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202300"/>
  <mc:AlternateContent xmlns:mc="http://schemas.openxmlformats.org/markup-compatibility/2006">
    <mc:Choice Requires="x15">
      <x15ac:absPath xmlns:x15ac="http://schemas.microsoft.com/office/spreadsheetml/2010/11/ac" url="C:\Construtor_Onto\OIFC\"/>
    </mc:Choice>
  </mc:AlternateContent>
  <xr:revisionPtr revIDLastSave="0" documentId="13_ncr:1_{5BCAEDDF-F6D1-4418-8DFA-C19712373249}" xr6:coauthVersionLast="47" xr6:coauthVersionMax="47" xr10:uidLastSave="{00000000-0000-0000-0000-000000000000}"/>
  <bookViews>
    <workbookView xWindow="-120" yWindow="-120" windowWidth="24240" windowHeight="13290" tabRatio="681" activeTab="4" xr2:uid="{EADD6BF3-7ABC-4ACF-B5B1-0F5DE0265229}"/>
  </bookViews>
  <sheets>
    <sheet name="Projeto" sheetId="16" r:id="rId1"/>
    <sheet name="Classes" sheetId="17" r:id="rId2"/>
    <sheet name="Disjunt" sheetId="18" r:id="rId3"/>
    <sheet name="Interop" sheetId="19" r:id="rId4"/>
    <sheet name="FatosIn" sheetId="13" r:id="rId5"/>
    <sheet name="TYPEENUM" sheetId="1" r:id="rId6"/>
  </sheets>
  <definedNames>
    <definedName name="_xlnm._FilterDatabase" localSheetId="4" hidden="1">FatosIn!$G$1:$G$3875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2" i="17" l="1"/>
  <c r="W3" i="17"/>
  <c r="W4" i="17"/>
  <c r="W5" i="17"/>
  <c r="W6" i="17"/>
  <c r="W7" i="17"/>
  <c r="W8" i="17"/>
  <c r="W9" i="17"/>
  <c r="W10" i="17"/>
  <c r="W11" i="17"/>
  <c r="W12" i="17"/>
  <c r="W13" i="17"/>
  <c r="U13" i="17" l="1"/>
  <c r="T13" i="17"/>
  <c r="S13" i="17"/>
  <c r="O13" i="17"/>
  <c r="N13" i="17"/>
  <c r="M13" i="17"/>
  <c r="L13" i="17"/>
  <c r="O3" i="17"/>
  <c r="O4" i="17"/>
  <c r="O5" i="17"/>
  <c r="O6" i="17"/>
  <c r="O7" i="17"/>
  <c r="O8" i="17"/>
  <c r="O9" i="17"/>
  <c r="O10" i="17"/>
  <c r="O11" i="17"/>
  <c r="O12" i="17"/>
  <c r="O2" i="17"/>
  <c r="U12" i="17"/>
  <c r="T12" i="17"/>
  <c r="S12" i="17"/>
  <c r="N12" i="17"/>
  <c r="M12" i="17"/>
  <c r="L12" i="17"/>
  <c r="U11" i="17"/>
  <c r="T11" i="17"/>
  <c r="S11" i="17"/>
  <c r="N11" i="17"/>
  <c r="M11" i="17"/>
  <c r="L11" i="17"/>
  <c r="B3" i="13" l="1"/>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502" i="13"/>
  <c r="B503" i="13"/>
  <c r="B504" i="13"/>
  <c r="B505" i="13"/>
  <c r="B506" i="13"/>
  <c r="B507" i="13"/>
  <c r="B508" i="13"/>
  <c r="B509" i="13"/>
  <c r="B510" i="13"/>
  <c r="B511" i="13"/>
  <c r="B512" i="13"/>
  <c r="B513" i="13"/>
  <c r="B514" i="13"/>
  <c r="B515" i="13"/>
  <c r="B516" i="13"/>
  <c r="B517" i="13"/>
  <c r="B518" i="13"/>
  <c r="B519" i="13"/>
  <c r="B520" i="13"/>
  <c r="B521" i="13"/>
  <c r="B522" i="13"/>
  <c r="B523" i="13"/>
  <c r="B524" i="13"/>
  <c r="B525" i="13"/>
  <c r="B526" i="13"/>
  <c r="B527" i="13"/>
  <c r="B528" i="13"/>
  <c r="B529"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B613" i="13"/>
  <c r="B614" i="13"/>
  <c r="B615" i="13"/>
  <c r="B616" i="13"/>
  <c r="B617" i="13"/>
  <c r="B618" i="13"/>
  <c r="B619" i="13"/>
  <c r="B620" i="13"/>
  <c r="B621" i="13"/>
  <c r="B622" i="13"/>
  <c r="B623" i="13"/>
  <c r="B624" i="13"/>
  <c r="B625" i="13"/>
  <c r="B626" i="13"/>
  <c r="B627" i="13"/>
  <c r="B628" i="13"/>
  <c r="B629" i="13"/>
  <c r="B630" i="13"/>
  <c r="B631" i="13"/>
  <c r="B632" i="13"/>
  <c r="B633" i="13"/>
  <c r="B634" i="13"/>
  <c r="B635" i="13"/>
  <c r="B636" i="13"/>
  <c r="B637" i="13"/>
  <c r="B638" i="13"/>
  <c r="B639" i="13"/>
  <c r="B640" i="13"/>
  <c r="B641" i="13"/>
  <c r="B642" i="13"/>
  <c r="B643" i="13"/>
  <c r="B644" i="13"/>
  <c r="B645" i="13"/>
  <c r="B646" i="13"/>
  <c r="B647" i="13"/>
  <c r="B648" i="13"/>
  <c r="B649" i="13"/>
  <c r="B650" i="13"/>
  <c r="B651" i="13"/>
  <c r="B652" i="13"/>
  <c r="B653" i="13"/>
  <c r="B654" i="13"/>
  <c r="B655" i="13"/>
  <c r="B656" i="13"/>
  <c r="B657" i="13"/>
  <c r="B658" i="13"/>
  <c r="B659" i="13"/>
  <c r="B660" i="13"/>
  <c r="B661" i="13"/>
  <c r="B662" i="13"/>
  <c r="B663" i="13"/>
  <c r="B664" i="13"/>
  <c r="B665" i="13"/>
  <c r="B666" i="13"/>
  <c r="B667" i="13"/>
  <c r="B668" i="13"/>
  <c r="B669" i="13"/>
  <c r="B670" i="13"/>
  <c r="B671" i="13"/>
  <c r="B672" i="13"/>
  <c r="B673" i="13"/>
  <c r="B674" i="13"/>
  <c r="B675" i="13"/>
  <c r="B676" i="13"/>
  <c r="B677" i="13"/>
  <c r="B678" i="13"/>
  <c r="B679" i="13"/>
  <c r="B680" i="13"/>
  <c r="B681" i="13"/>
  <c r="B682" i="13"/>
  <c r="B683" i="13"/>
  <c r="B684" i="13"/>
  <c r="B685" i="13"/>
  <c r="B686" i="13"/>
  <c r="B687" i="13"/>
  <c r="B688" i="13"/>
  <c r="B689" i="13"/>
  <c r="B690" i="13"/>
  <c r="B691" i="13"/>
  <c r="B692" i="13"/>
  <c r="B693" i="13"/>
  <c r="B694" i="13"/>
  <c r="B695" i="13"/>
  <c r="B696" i="13"/>
  <c r="B697" i="13"/>
  <c r="B698" i="13"/>
  <c r="B699" i="13"/>
  <c r="B700" i="13"/>
  <c r="B701" i="13"/>
  <c r="B702" i="13"/>
  <c r="B703" i="13"/>
  <c r="B704" i="13"/>
  <c r="B705" i="13"/>
  <c r="B706" i="13"/>
  <c r="B707" i="13"/>
  <c r="B708" i="13"/>
  <c r="B709" i="13"/>
  <c r="B710" i="13"/>
  <c r="B711" i="13"/>
  <c r="B712" i="13"/>
  <c r="B713" i="13"/>
  <c r="B714" i="13"/>
  <c r="B715" i="13"/>
  <c r="B716" i="13"/>
  <c r="B717" i="13"/>
  <c r="B718" i="13"/>
  <c r="B719" i="13"/>
  <c r="B720" i="13"/>
  <c r="B721" i="13"/>
  <c r="B722" i="13"/>
  <c r="B723" i="13"/>
  <c r="B724" i="13"/>
  <c r="B725" i="13"/>
  <c r="B726" i="13"/>
  <c r="B727" i="13"/>
  <c r="B728" i="13"/>
  <c r="B729" i="13"/>
  <c r="B730" i="13"/>
  <c r="B731" i="13"/>
  <c r="B732" i="13"/>
  <c r="B733" i="13"/>
  <c r="B734" i="13"/>
  <c r="B735" i="13"/>
  <c r="B736" i="13"/>
  <c r="B737" i="13"/>
  <c r="B738" i="13"/>
  <c r="B739" i="13"/>
  <c r="B740" i="13"/>
  <c r="B741" i="13"/>
  <c r="B742" i="13"/>
  <c r="B743" i="13"/>
  <c r="B744" i="13"/>
  <c r="B745" i="13"/>
  <c r="B746" i="13"/>
  <c r="B747" i="13"/>
  <c r="B748" i="13"/>
  <c r="B749" i="13"/>
  <c r="B750" i="13"/>
  <c r="B751" i="13"/>
  <c r="B752" i="13"/>
  <c r="B753" i="13"/>
  <c r="B754" i="13"/>
  <c r="B755" i="13"/>
  <c r="B756" i="13"/>
  <c r="B757" i="13"/>
  <c r="B758" i="13"/>
  <c r="B759" i="13"/>
  <c r="B760" i="13"/>
  <c r="B761" i="13"/>
  <c r="B762" i="13"/>
  <c r="B763" i="13"/>
  <c r="B764" i="13"/>
  <c r="B765" i="13"/>
  <c r="B766" i="13"/>
  <c r="B767" i="13"/>
  <c r="B768" i="13"/>
  <c r="B769" i="13"/>
  <c r="B770" i="13"/>
  <c r="B771" i="13"/>
  <c r="B772" i="13"/>
  <c r="B773" i="13"/>
  <c r="B774" i="13"/>
  <c r="B775" i="13"/>
  <c r="B776" i="13"/>
  <c r="B777" i="13"/>
  <c r="B778" i="13"/>
  <c r="B779" i="13"/>
  <c r="B780" i="13"/>
  <c r="B781" i="13"/>
  <c r="B782" i="13"/>
  <c r="B783" i="13"/>
  <c r="B784" i="13"/>
  <c r="B785" i="13"/>
  <c r="B786" i="13"/>
  <c r="B787" i="13"/>
  <c r="B788" i="13"/>
  <c r="B789" i="13"/>
  <c r="B790" i="13"/>
  <c r="B791" i="13"/>
  <c r="B792" i="13"/>
  <c r="B793" i="13"/>
  <c r="B794" i="13"/>
  <c r="B795" i="13"/>
  <c r="B796" i="13"/>
  <c r="B797" i="13"/>
  <c r="B798" i="13"/>
  <c r="B799" i="13"/>
  <c r="B800" i="13"/>
  <c r="B801" i="13"/>
  <c r="B802" i="13"/>
  <c r="B803" i="13"/>
  <c r="B804" i="13"/>
  <c r="B805" i="13"/>
  <c r="B806" i="13"/>
  <c r="B807" i="13"/>
  <c r="B808" i="13"/>
  <c r="B809" i="13"/>
  <c r="B810" i="13"/>
  <c r="B811" i="13"/>
  <c r="B812" i="13"/>
  <c r="B813" i="13"/>
  <c r="B814" i="13"/>
  <c r="B815" i="13"/>
  <c r="B816" i="13"/>
  <c r="B817" i="13"/>
  <c r="B818" i="13"/>
  <c r="B819" i="13"/>
  <c r="B820" i="13"/>
  <c r="B821" i="13"/>
  <c r="B822" i="13"/>
  <c r="B823" i="13"/>
  <c r="B824" i="13"/>
  <c r="B825" i="13"/>
  <c r="B826" i="13"/>
  <c r="B827" i="13"/>
  <c r="B828" i="13"/>
  <c r="B829" i="13"/>
  <c r="B830" i="13"/>
  <c r="B831" i="13"/>
  <c r="B832" i="13"/>
  <c r="B833" i="13"/>
  <c r="B834" i="13"/>
  <c r="B835" i="13"/>
  <c r="B836" i="13"/>
  <c r="B837" i="13"/>
  <c r="B838" i="13"/>
  <c r="B839" i="13"/>
  <c r="B840" i="13"/>
  <c r="B841" i="13"/>
  <c r="B842" i="13"/>
  <c r="B843" i="13"/>
  <c r="B844" i="13"/>
  <c r="B845" i="13"/>
  <c r="B846" i="13"/>
  <c r="B847" i="13"/>
  <c r="B848" i="13"/>
  <c r="B849" i="13"/>
  <c r="B850" i="13"/>
  <c r="B851" i="13"/>
  <c r="B852" i="13"/>
  <c r="B853" i="13"/>
  <c r="B854" i="13"/>
  <c r="B855" i="13"/>
  <c r="B856" i="13"/>
  <c r="B857" i="13"/>
  <c r="B858" i="13"/>
  <c r="B859" i="13"/>
  <c r="B860" i="13"/>
  <c r="B861" i="13"/>
  <c r="B862" i="13"/>
  <c r="B863" i="13"/>
  <c r="B864" i="13"/>
  <c r="B865" i="13"/>
  <c r="B866" i="13"/>
  <c r="B867" i="13"/>
  <c r="B868" i="13"/>
  <c r="B869" i="13"/>
  <c r="B870" i="13"/>
  <c r="B871" i="13"/>
  <c r="B872" i="13"/>
  <c r="B873" i="13"/>
  <c r="B874" i="13"/>
  <c r="B875" i="13"/>
  <c r="B876" i="13"/>
  <c r="B877" i="13"/>
  <c r="B878" i="13"/>
  <c r="B879" i="13"/>
  <c r="B880" i="13"/>
  <c r="B881" i="13"/>
  <c r="B882" i="13"/>
  <c r="B883" i="13"/>
  <c r="B884" i="13"/>
  <c r="B885" i="13"/>
  <c r="B886" i="13"/>
  <c r="B887" i="13"/>
  <c r="B888" i="13"/>
  <c r="B889" i="13"/>
  <c r="B890" i="13"/>
  <c r="B891" i="13"/>
  <c r="B892" i="13"/>
  <c r="B893" i="13"/>
  <c r="B894" i="13"/>
  <c r="B895" i="13"/>
  <c r="B896" i="13"/>
  <c r="B897" i="13"/>
  <c r="B898" i="13"/>
  <c r="B899" i="13"/>
  <c r="B900" i="13"/>
  <c r="B901" i="13"/>
  <c r="B902" i="13"/>
  <c r="B903" i="13"/>
  <c r="B904" i="13"/>
  <c r="B905" i="13"/>
  <c r="B906" i="13"/>
  <c r="B907" i="13"/>
  <c r="B908" i="13"/>
  <c r="B909" i="13"/>
  <c r="B910" i="13"/>
  <c r="B911" i="13"/>
  <c r="B912" i="13"/>
  <c r="B913" i="13"/>
  <c r="B914" i="13"/>
  <c r="B915" i="13"/>
  <c r="B916" i="13"/>
  <c r="B917" i="13"/>
  <c r="B918" i="13"/>
  <c r="B919" i="13"/>
  <c r="B920" i="13"/>
  <c r="B921" i="13"/>
  <c r="B922" i="13"/>
  <c r="B923" i="13"/>
  <c r="B924" i="13"/>
  <c r="B925" i="13"/>
  <c r="B926" i="13"/>
  <c r="B927" i="13"/>
  <c r="B928" i="13"/>
  <c r="B929" i="13"/>
  <c r="B930" i="13"/>
  <c r="B931" i="13"/>
  <c r="B932" i="13"/>
  <c r="B933" i="13"/>
  <c r="B934" i="13"/>
  <c r="B935" i="13"/>
  <c r="B936" i="13"/>
  <c r="B937" i="13"/>
  <c r="B938" i="13"/>
  <c r="B939" i="13"/>
  <c r="B940" i="13"/>
  <c r="B941" i="13"/>
  <c r="B942" i="13"/>
  <c r="B943" i="13"/>
  <c r="B944" i="13"/>
  <c r="B945" i="13"/>
  <c r="B946" i="13"/>
  <c r="B947" i="13"/>
  <c r="B948" i="13"/>
  <c r="B949" i="13"/>
  <c r="B950" i="13"/>
  <c r="B951" i="13"/>
  <c r="B952" i="13"/>
  <c r="B953" i="13"/>
  <c r="B954" i="13"/>
  <c r="B955" i="13"/>
  <c r="B956" i="13"/>
  <c r="B957" i="13"/>
  <c r="B958" i="13"/>
  <c r="B959" i="13"/>
  <c r="B960" i="13"/>
  <c r="B961" i="13"/>
  <c r="B962" i="13"/>
  <c r="B963" i="13"/>
  <c r="B964" i="13"/>
  <c r="B965" i="13"/>
  <c r="B966" i="13"/>
  <c r="B967" i="13"/>
  <c r="B968" i="13"/>
  <c r="B969" i="13"/>
  <c r="B970" i="13"/>
  <c r="B971" i="13"/>
  <c r="B972" i="13"/>
  <c r="B973" i="13"/>
  <c r="B974" i="13"/>
  <c r="B975" i="13"/>
  <c r="B976" i="13"/>
  <c r="B977" i="13"/>
  <c r="B978" i="13"/>
  <c r="B979" i="13"/>
  <c r="B980" i="13"/>
  <c r="B981" i="13"/>
  <c r="B982" i="13"/>
  <c r="B983" i="13"/>
  <c r="B984" i="13"/>
  <c r="B985" i="13"/>
  <c r="B986" i="13"/>
  <c r="B987" i="13"/>
  <c r="B988" i="13"/>
  <c r="B989" i="13"/>
  <c r="B990" i="13"/>
  <c r="B991" i="13"/>
  <c r="B992" i="13"/>
  <c r="B993" i="13"/>
  <c r="B994" i="13"/>
  <c r="B995" i="13"/>
  <c r="B996" i="13"/>
  <c r="B997" i="13"/>
  <c r="B998" i="13"/>
  <c r="B999" i="13"/>
  <c r="B1000" i="13"/>
  <c r="B1001" i="13"/>
  <c r="B1002" i="13"/>
  <c r="B1003" i="13"/>
  <c r="B1004" i="13"/>
  <c r="B1005" i="13"/>
  <c r="B1006" i="13"/>
  <c r="B1007" i="13"/>
  <c r="B1008" i="13"/>
  <c r="B1009" i="13"/>
  <c r="B1010" i="13"/>
  <c r="B1011" i="13"/>
  <c r="B1012" i="13"/>
  <c r="B1013" i="13"/>
  <c r="B1014" i="13"/>
  <c r="B1015" i="13"/>
  <c r="B1016" i="13"/>
  <c r="B1017" i="13"/>
  <c r="B1018" i="13"/>
  <c r="B1019" i="13"/>
  <c r="B1020" i="13"/>
  <c r="B1021" i="13"/>
  <c r="B1022" i="13"/>
  <c r="B1023" i="13"/>
  <c r="B1024" i="13"/>
  <c r="B1025" i="13"/>
  <c r="B1026" i="13"/>
  <c r="B1027" i="13"/>
  <c r="B1028" i="13"/>
  <c r="B1029" i="13"/>
  <c r="B1030" i="13"/>
  <c r="B1031" i="13"/>
  <c r="B1032" i="13"/>
  <c r="B1033" i="13"/>
  <c r="B1034" i="13"/>
  <c r="B1035" i="13"/>
  <c r="B1036" i="13"/>
  <c r="B1037" i="13"/>
  <c r="B1038" i="13"/>
  <c r="B1039" i="13"/>
  <c r="B1040" i="13"/>
  <c r="B1041" i="13"/>
  <c r="B1042" i="13"/>
  <c r="B1043" i="13"/>
  <c r="B1044" i="13"/>
  <c r="B1045" i="13"/>
  <c r="B1046" i="13"/>
  <c r="B1047" i="13"/>
  <c r="B1048" i="13"/>
  <c r="B1049" i="13"/>
  <c r="B1050" i="13"/>
  <c r="B1051" i="13"/>
  <c r="B1052" i="13"/>
  <c r="B1053" i="13"/>
  <c r="B1054" i="13"/>
  <c r="B1055" i="13"/>
  <c r="B1056" i="13"/>
  <c r="B1057" i="13"/>
  <c r="B1058" i="13"/>
  <c r="B1059" i="13"/>
  <c r="B1060" i="13"/>
  <c r="B1061" i="13"/>
  <c r="B1062" i="13"/>
  <c r="B1063" i="13"/>
  <c r="B1064" i="13"/>
  <c r="B1065" i="13"/>
  <c r="B1066" i="13"/>
  <c r="B1067" i="13"/>
  <c r="B1068" i="13"/>
  <c r="B1069" i="13"/>
  <c r="B1070" i="13"/>
  <c r="B1071" i="13"/>
  <c r="B1072" i="13"/>
  <c r="B1073" i="13"/>
  <c r="B1074" i="13"/>
  <c r="B1075" i="13"/>
  <c r="B1076" i="13"/>
  <c r="B1077" i="13"/>
  <c r="B1078" i="13"/>
  <c r="B1079" i="13"/>
  <c r="B1080" i="13"/>
  <c r="B1081" i="13"/>
  <c r="B1082" i="13"/>
  <c r="B1083" i="13"/>
  <c r="B1084" i="13"/>
  <c r="B1085" i="13"/>
  <c r="B1086" i="13"/>
  <c r="B1087" i="13"/>
  <c r="B1088" i="13"/>
  <c r="B1089" i="13"/>
  <c r="B1090" i="13"/>
  <c r="B1091" i="13"/>
  <c r="B1092" i="13"/>
  <c r="B1093" i="13"/>
  <c r="B1094" i="13"/>
  <c r="B1095" i="13"/>
  <c r="B1096" i="13"/>
  <c r="B1097" i="13"/>
  <c r="B1098" i="13"/>
  <c r="B1099" i="13"/>
  <c r="B1100" i="13"/>
  <c r="B1101" i="13"/>
  <c r="B1102" i="13"/>
  <c r="B1103" i="13"/>
  <c r="B1104" i="13"/>
  <c r="B1105" i="13"/>
  <c r="B1106" i="13"/>
  <c r="B1107" i="13"/>
  <c r="B1108" i="13"/>
  <c r="B1109" i="13"/>
  <c r="B1110" i="13"/>
  <c r="B1111" i="13"/>
  <c r="B1112" i="13"/>
  <c r="B1113" i="13"/>
  <c r="B1114" i="13"/>
  <c r="B1115" i="13"/>
  <c r="B1116" i="13"/>
  <c r="B1117" i="13"/>
  <c r="B1118" i="13"/>
  <c r="B1119" i="13"/>
  <c r="B1120" i="13"/>
  <c r="B1121" i="13"/>
  <c r="B1122" i="13"/>
  <c r="B1123" i="13"/>
  <c r="B1124" i="13"/>
  <c r="B1125" i="13"/>
  <c r="B1126" i="13"/>
  <c r="B1127" i="13"/>
  <c r="B1128" i="13"/>
  <c r="B1129" i="13"/>
  <c r="B1130" i="13"/>
  <c r="B1131" i="13"/>
  <c r="B1132" i="13"/>
  <c r="B1133" i="13"/>
  <c r="B1134" i="13"/>
  <c r="B1135" i="13"/>
  <c r="B1136" i="13"/>
  <c r="B1137" i="13"/>
  <c r="B1138" i="13"/>
  <c r="B1139" i="13"/>
  <c r="B1140" i="13"/>
  <c r="B1141" i="13"/>
  <c r="B1142" i="13"/>
  <c r="B1143" i="13"/>
  <c r="B1144" i="13"/>
  <c r="B1145" i="13"/>
  <c r="B1146" i="13"/>
  <c r="B1147" i="13"/>
  <c r="B1148" i="13"/>
  <c r="B1149" i="13"/>
  <c r="B1150" i="13"/>
  <c r="B1151" i="13"/>
  <c r="B1152" i="13"/>
  <c r="B1153" i="13"/>
  <c r="B1154" i="13"/>
  <c r="B1155" i="13"/>
  <c r="B1156" i="13"/>
  <c r="B1157" i="13"/>
  <c r="B1158" i="13"/>
  <c r="B1159" i="13"/>
  <c r="B1160" i="13"/>
  <c r="B1161" i="13"/>
  <c r="B1162" i="13"/>
  <c r="B1163" i="13"/>
  <c r="B1164" i="13"/>
  <c r="B1165" i="13"/>
  <c r="B1166" i="13"/>
  <c r="B1167" i="13"/>
  <c r="B1168" i="13"/>
  <c r="B1169" i="13"/>
  <c r="B1170" i="13"/>
  <c r="B1171" i="13"/>
  <c r="B1172" i="13"/>
  <c r="B1173" i="13"/>
  <c r="B1174" i="13"/>
  <c r="B1175" i="13"/>
  <c r="B1176" i="13"/>
  <c r="B1177" i="13"/>
  <c r="B1178" i="13"/>
  <c r="B1179" i="13"/>
  <c r="B1180" i="13"/>
  <c r="B1181" i="13"/>
  <c r="B1182" i="13"/>
  <c r="B1183" i="13"/>
  <c r="B1184" i="13"/>
  <c r="B1185" i="13"/>
  <c r="B1186" i="13"/>
  <c r="B1187" i="13"/>
  <c r="B1188" i="13"/>
  <c r="B1189" i="13"/>
  <c r="B1190" i="13"/>
  <c r="B1191" i="13"/>
  <c r="B1192" i="13"/>
  <c r="B1193" i="13"/>
  <c r="B1194" i="13"/>
  <c r="B1195" i="13"/>
  <c r="B1196" i="13"/>
  <c r="B1197" i="13"/>
  <c r="B1198" i="13"/>
  <c r="B1199" i="13"/>
  <c r="B1200" i="13"/>
  <c r="B1201" i="13"/>
  <c r="B1202" i="13"/>
  <c r="B1203" i="13"/>
  <c r="B1204" i="13"/>
  <c r="B1205" i="13"/>
  <c r="B1206" i="13"/>
  <c r="B1207" i="13"/>
  <c r="B1208" i="13"/>
  <c r="B1209" i="13"/>
  <c r="B1210" i="13"/>
  <c r="B1211" i="13"/>
  <c r="B1212" i="13"/>
  <c r="B1213" i="13"/>
  <c r="B1214" i="13"/>
  <c r="B1215" i="13"/>
  <c r="B1216" i="13"/>
  <c r="B1217" i="13"/>
  <c r="B1218" i="13"/>
  <c r="B1219" i="13"/>
  <c r="B1220" i="13"/>
  <c r="B1221" i="13"/>
  <c r="B1222" i="13"/>
  <c r="B1223" i="13"/>
  <c r="B1224" i="13"/>
  <c r="B1225" i="13"/>
  <c r="B1226" i="13"/>
  <c r="B1227" i="13"/>
  <c r="B1228" i="13"/>
  <c r="B1229" i="13"/>
  <c r="B1230" i="13"/>
  <c r="B1231" i="13"/>
  <c r="B1232" i="13"/>
  <c r="B1233" i="13"/>
  <c r="B1234" i="13"/>
  <c r="B1235" i="13"/>
  <c r="B1236" i="13"/>
  <c r="B1237" i="13"/>
  <c r="B1238" i="13"/>
  <c r="B1239" i="13"/>
  <c r="B1240" i="13"/>
  <c r="B1241" i="13"/>
  <c r="B1242" i="13"/>
  <c r="B1243" i="13"/>
  <c r="B1244" i="13"/>
  <c r="B1245" i="13"/>
  <c r="B1246" i="13"/>
  <c r="B1247" i="13"/>
  <c r="B1248" i="13"/>
  <c r="B1249" i="13"/>
  <c r="B1250" i="13"/>
  <c r="B1251" i="13"/>
  <c r="B1252" i="13"/>
  <c r="B1253" i="13"/>
  <c r="B1254" i="13"/>
  <c r="B1255" i="13"/>
  <c r="B1256" i="13"/>
  <c r="B1257" i="13"/>
  <c r="B1258" i="13"/>
  <c r="B1259" i="13"/>
  <c r="B1260" i="13"/>
  <c r="B1261" i="13"/>
  <c r="B1262" i="13"/>
  <c r="B1263" i="13"/>
  <c r="B1264" i="13"/>
  <c r="B1265" i="13"/>
  <c r="B1266" i="13"/>
  <c r="B1267" i="13"/>
  <c r="B1268" i="13"/>
  <c r="B1269" i="13"/>
  <c r="B1270" i="13"/>
  <c r="B1271" i="13"/>
  <c r="B1272" i="13"/>
  <c r="B1273" i="13"/>
  <c r="B1274" i="13"/>
  <c r="B1275" i="13"/>
  <c r="B1276" i="13"/>
  <c r="B1277" i="13"/>
  <c r="B1278" i="13"/>
  <c r="B1279" i="13"/>
  <c r="B1280" i="13"/>
  <c r="B1281" i="13"/>
  <c r="B1282" i="13"/>
  <c r="B1283" i="13"/>
  <c r="B1284" i="13"/>
  <c r="B1285" i="13"/>
  <c r="B1286" i="13"/>
  <c r="B1287" i="13"/>
  <c r="B1288" i="13"/>
  <c r="B1289" i="13"/>
  <c r="B1290" i="13"/>
  <c r="B1291" i="13"/>
  <c r="B1292" i="13"/>
  <c r="B1293" i="13"/>
  <c r="B1294" i="13"/>
  <c r="B1295" i="13"/>
  <c r="B1296" i="13"/>
  <c r="B1297" i="13"/>
  <c r="B1298" i="13"/>
  <c r="B1299" i="13"/>
  <c r="B1300" i="13"/>
  <c r="B1301" i="13"/>
  <c r="B1302" i="13"/>
  <c r="B1303" i="13"/>
  <c r="B1304" i="13"/>
  <c r="B1305" i="13"/>
  <c r="B1306" i="13"/>
  <c r="B1307" i="13"/>
  <c r="B1308" i="13"/>
  <c r="B1309" i="13"/>
  <c r="B1310" i="13"/>
  <c r="B1311" i="13"/>
  <c r="B1312" i="13"/>
  <c r="B1313" i="13"/>
  <c r="B1314" i="13"/>
  <c r="B1315" i="13"/>
  <c r="B1316" i="13"/>
  <c r="B1317" i="13"/>
  <c r="B1318" i="13"/>
  <c r="B1319" i="13"/>
  <c r="B1320" i="13"/>
  <c r="B1321" i="13"/>
  <c r="B1322" i="13"/>
  <c r="B1323" i="13"/>
  <c r="B1324" i="13"/>
  <c r="B1325" i="13"/>
  <c r="B1326" i="13"/>
  <c r="B1327" i="13"/>
  <c r="B1328" i="13"/>
  <c r="B1329" i="13"/>
  <c r="B1330" i="13"/>
  <c r="B1331" i="13"/>
  <c r="B1332" i="13"/>
  <c r="B1333" i="13"/>
  <c r="B1334" i="13"/>
  <c r="B1335" i="13"/>
  <c r="B1336" i="13"/>
  <c r="B1337" i="13"/>
  <c r="B1338" i="13"/>
  <c r="B1339" i="13"/>
  <c r="B1340" i="13"/>
  <c r="B1341" i="13"/>
  <c r="B1342" i="13"/>
  <c r="B1343" i="13"/>
  <c r="B1344" i="13"/>
  <c r="B1345" i="13"/>
  <c r="B1346" i="13"/>
  <c r="B1347" i="13"/>
  <c r="B1348" i="13"/>
  <c r="B1349" i="13"/>
  <c r="B1350" i="13"/>
  <c r="B1351" i="13"/>
  <c r="B1352" i="13"/>
  <c r="B1353" i="13"/>
  <c r="B1354" i="13"/>
  <c r="B1355" i="13"/>
  <c r="B1356" i="13"/>
  <c r="B1357" i="13"/>
  <c r="B1358" i="13"/>
  <c r="B1359" i="13"/>
  <c r="B1360" i="13"/>
  <c r="B1361" i="13"/>
  <c r="B1362" i="13"/>
  <c r="B1363" i="13"/>
  <c r="B1364" i="13"/>
  <c r="B1365" i="13"/>
  <c r="B1366" i="13"/>
  <c r="B1367" i="13"/>
  <c r="B1368" i="13"/>
  <c r="B1369" i="13"/>
  <c r="B1370" i="13"/>
  <c r="B1371" i="13"/>
  <c r="B1372" i="13"/>
  <c r="B1373" i="13"/>
  <c r="B1374" i="13"/>
  <c r="B1375" i="13"/>
  <c r="B1376" i="13"/>
  <c r="B1377" i="13"/>
  <c r="B1378" i="13"/>
  <c r="B1379" i="13"/>
  <c r="B1380" i="13"/>
  <c r="B1381" i="13"/>
  <c r="B1382" i="13"/>
  <c r="B1383" i="13"/>
  <c r="B1384" i="13"/>
  <c r="B1385" i="13"/>
  <c r="B1386" i="13"/>
  <c r="B1387" i="13"/>
  <c r="B1388" i="13"/>
  <c r="B1389" i="13"/>
  <c r="B1390" i="13"/>
  <c r="B1391" i="13"/>
  <c r="B1392" i="13"/>
  <c r="B1393" i="13"/>
  <c r="B1394" i="13"/>
  <c r="B1395" i="13"/>
  <c r="B1396" i="13"/>
  <c r="B1397" i="13"/>
  <c r="B1398" i="13"/>
  <c r="B1399" i="13"/>
  <c r="B1400" i="13"/>
  <c r="B1401" i="13"/>
  <c r="B1402" i="13"/>
  <c r="B1403" i="13"/>
  <c r="B1404" i="13"/>
  <c r="B1405" i="13"/>
  <c r="B1406" i="13"/>
  <c r="B1407" i="13"/>
  <c r="B1408" i="13"/>
  <c r="B1409" i="13"/>
  <c r="B1410" i="13"/>
  <c r="B1411" i="13"/>
  <c r="B1412" i="13"/>
  <c r="B1413" i="13"/>
  <c r="B1414" i="13"/>
  <c r="B1415" i="13"/>
  <c r="B1416" i="13"/>
  <c r="B1417" i="13"/>
  <c r="B1418" i="13"/>
  <c r="B1419" i="13"/>
  <c r="B1420" i="13"/>
  <c r="B1421" i="13"/>
  <c r="B1422" i="13"/>
  <c r="B1423" i="13"/>
  <c r="B1424" i="13"/>
  <c r="B1425" i="13"/>
  <c r="B1426" i="13"/>
  <c r="B1427" i="13"/>
  <c r="B1428" i="13"/>
  <c r="B1429" i="13"/>
  <c r="B1430" i="13"/>
  <c r="B1431" i="13"/>
  <c r="B1432" i="13"/>
  <c r="B1433" i="13"/>
  <c r="B1434" i="13"/>
  <c r="B1435" i="13"/>
  <c r="B1436" i="13"/>
  <c r="B1437" i="13"/>
  <c r="B1438" i="13"/>
  <c r="B1439" i="13"/>
  <c r="B1440" i="13"/>
  <c r="B1441" i="13"/>
  <c r="B1442" i="13"/>
  <c r="B1443" i="13"/>
  <c r="B1444" i="13"/>
  <c r="B1445" i="13"/>
  <c r="B1446" i="13"/>
  <c r="B1447" i="13"/>
  <c r="B1448" i="13"/>
  <c r="B1449" i="13"/>
  <c r="B1450" i="13"/>
  <c r="B1451" i="13"/>
  <c r="B1452" i="13"/>
  <c r="B1453" i="13"/>
  <c r="B1454" i="13"/>
  <c r="B1455" i="13"/>
  <c r="B1456" i="13"/>
  <c r="B1457" i="13"/>
  <c r="B1458" i="13"/>
  <c r="B1459" i="13"/>
  <c r="B1460" i="13"/>
  <c r="B1461" i="13"/>
  <c r="B1462" i="13"/>
  <c r="B1463" i="13"/>
  <c r="B1464" i="13"/>
  <c r="B1465" i="13"/>
  <c r="B1466" i="13"/>
  <c r="B1467" i="13"/>
  <c r="B1468" i="13"/>
  <c r="B1469" i="13"/>
  <c r="B1470" i="13"/>
  <c r="B1471" i="13"/>
  <c r="B1472" i="13"/>
  <c r="B1473" i="13"/>
  <c r="B1474" i="13"/>
  <c r="B1475" i="13"/>
  <c r="B1476" i="13"/>
  <c r="B1477" i="13"/>
  <c r="B1478" i="13"/>
  <c r="B1479" i="13"/>
  <c r="B1480" i="13"/>
  <c r="B1481" i="13"/>
  <c r="B1482" i="13"/>
  <c r="B1483" i="13"/>
  <c r="B1484" i="13"/>
  <c r="B1485" i="13"/>
  <c r="B1486" i="13"/>
  <c r="B1487" i="13"/>
  <c r="B1488" i="13"/>
  <c r="B1489" i="13"/>
  <c r="B1490" i="13"/>
  <c r="B1491" i="13"/>
  <c r="B1492" i="13"/>
  <c r="B1493" i="13"/>
  <c r="B1494" i="13"/>
  <c r="B1495" i="13"/>
  <c r="B1496" i="13"/>
  <c r="B1497" i="13"/>
  <c r="B1498" i="13"/>
  <c r="B1499" i="13"/>
  <c r="B1500" i="13"/>
  <c r="B1501" i="13"/>
  <c r="B1502" i="13"/>
  <c r="B1503" i="13"/>
  <c r="B1504" i="13"/>
  <c r="B1505" i="13"/>
  <c r="B1506" i="13"/>
  <c r="B1507" i="13"/>
  <c r="B1508" i="13"/>
  <c r="B1509" i="13"/>
  <c r="B1510" i="13"/>
  <c r="B1511" i="13"/>
  <c r="B1512" i="13"/>
  <c r="B1513" i="13"/>
  <c r="B1514" i="13"/>
  <c r="B1515" i="13"/>
  <c r="B1516" i="13"/>
  <c r="B1517" i="13"/>
  <c r="B1518" i="13"/>
  <c r="B1519" i="13"/>
  <c r="B1520" i="13"/>
  <c r="B1521" i="13"/>
  <c r="B1522" i="13"/>
  <c r="B1523" i="13"/>
  <c r="B1524" i="13"/>
  <c r="B1525" i="13"/>
  <c r="B1526" i="13"/>
  <c r="B1527" i="13"/>
  <c r="B1528" i="13"/>
  <c r="B1529" i="13"/>
  <c r="B1530" i="13"/>
  <c r="B1531" i="13"/>
  <c r="B1532" i="13"/>
  <c r="B1533" i="13"/>
  <c r="B1534" i="13"/>
  <c r="B1535" i="13"/>
  <c r="B1536" i="13"/>
  <c r="B1537" i="13"/>
  <c r="B1538" i="13"/>
  <c r="B1539" i="13"/>
  <c r="B1540" i="13"/>
  <c r="B1541" i="13"/>
  <c r="B1542" i="13"/>
  <c r="B1543" i="13"/>
  <c r="B1544" i="13"/>
  <c r="B1545" i="13"/>
  <c r="B1546" i="13"/>
  <c r="B1547" i="13"/>
  <c r="B1548" i="13"/>
  <c r="B1549" i="13"/>
  <c r="B1550" i="13"/>
  <c r="B1551" i="13"/>
  <c r="B1552" i="13"/>
  <c r="B1553" i="13"/>
  <c r="B1554" i="13"/>
  <c r="B1555" i="13"/>
  <c r="B1556" i="13"/>
  <c r="B1557" i="13"/>
  <c r="B1558" i="13"/>
  <c r="B1559" i="13"/>
  <c r="B1560" i="13"/>
  <c r="B1561" i="13"/>
  <c r="B1562" i="13"/>
  <c r="B1563" i="13"/>
  <c r="B1564" i="13"/>
  <c r="B1565" i="13"/>
  <c r="B1566" i="13"/>
  <c r="B1567" i="13"/>
  <c r="B1568" i="13"/>
  <c r="B1569" i="13"/>
  <c r="B1570" i="13"/>
  <c r="B1571" i="13"/>
  <c r="B1572" i="13"/>
  <c r="B1573" i="13"/>
  <c r="B1574" i="13"/>
  <c r="B1575" i="13"/>
  <c r="B1576" i="13"/>
  <c r="B1577" i="13"/>
  <c r="B1578" i="13"/>
  <c r="B1579" i="13"/>
  <c r="B1580" i="13"/>
  <c r="B1581" i="13"/>
  <c r="B1582" i="13"/>
  <c r="B1583" i="13"/>
  <c r="B1584" i="13"/>
  <c r="B1585" i="13"/>
  <c r="B1586" i="13"/>
  <c r="B1587" i="13"/>
  <c r="B1588" i="13"/>
  <c r="B1589" i="13"/>
  <c r="B1590" i="13"/>
  <c r="B1591" i="13"/>
  <c r="B1592" i="13"/>
  <c r="B1593" i="13"/>
  <c r="B1594" i="13"/>
  <c r="B1595" i="13"/>
  <c r="B1596" i="13"/>
  <c r="B1597" i="13"/>
  <c r="B1598" i="13"/>
  <c r="B1599" i="13"/>
  <c r="B1600" i="13"/>
  <c r="B1601" i="13"/>
  <c r="B1602" i="13"/>
  <c r="B1603" i="13"/>
  <c r="B1604" i="13"/>
  <c r="B1605" i="13"/>
  <c r="B1606" i="13"/>
  <c r="B1607" i="13"/>
  <c r="B1608" i="13"/>
  <c r="B1609" i="13"/>
  <c r="B1610" i="13"/>
  <c r="B1611" i="13"/>
  <c r="B1612" i="13"/>
  <c r="B1613" i="13"/>
  <c r="B1614" i="13"/>
  <c r="B1615" i="13"/>
  <c r="B1616" i="13"/>
  <c r="B1617" i="13"/>
  <c r="B1618" i="13"/>
  <c r="B1619" i="13"/>
  <c r="B1620" i="13"/>
  <c r="B1621" i="13"/>
  <c r="B1622" i="13"/>
  <c r="B1623" i="13"/>
  <c r="B1624" i="13"/>
  <c r="B1625" i="13"/>
  <c r="B1626" i="13"/>
  <c r="B1627" i="13"/>
  <c r="B1628" i="13"/>
  <c r="B1629" i="13"/>
  <c r="B1630" i="13"/>
  <c r="B1631" i="13"/>
  <c r="B1632" i="13"/>
  <c r="B1633" i="13"/>
  <c r="B1634" i="13"/>
  <c r="B1635" i="13"/>
  <c r="B1636" i="13"/>
  <c r="B1637" i="13"/>
  <c r="B1638" i="13"/>
  <c r="B1639" i="13"/>
  <c r="B1640" i="13"/>
  <c r="B1641" i="13"/>
  <c r="B1642" i="13"/>
  <c r="B1643" i="13"/>
  <c r="B1644" i="13"/>
  <c r="B1645" i="13"/>
  <c r="B1646" i="13"/>
  <c r="B1647" i="13"/>
  <c r="B1648" i="13"/>
  <c r="B1649" i="13"/>
  <c r="B1650" i="13"/>
  <c r="B1651" i="13"/>
  <c r="B1652" i="13"/>
  <c r="B1653" i="13"/>
  <c r="B1654" i="13"/>
  <c r="B1655" i="13"/>
  <c r="B1656" i="13"/>
  <c r="B1657" i="13"/>
  <c r="B1658" i="13"/>
  <c r="B1659" i="13"/>
  <c r="B1660" i="13"/>
  <c r="B1661" i="13"/>
  <c r="B1662" i="13"/>
  <c r="B1663" i="13"/>
  <c r="B1664" i="13"/>
  <c r="B1665" i="13"/>
  <c r="B1666" i="13"/>
  <c r="B1667" i="13"/>
  <c r="B1668" i="13"/>
  <c r="B1669" i="13"/>
  <c r="B1670" i="13"/>
  <c r="B1671" i="13"/>
  <c r="B1672" i="13"/>
  <c r="B1673" i="13"/>
  <c r="B1674" i="13"/>
  <c r="B1675" i="13"/>
  <c r="B1676" i="13"/>
  <c r="B1677" i="13"/>
  <c r="B1678" i="13"/>
  <c r="B1679" i="13"/>
  <c r="B1680" i="13"/>
  <c r="B1681" i="13"/>
  <c r="B1682" i="13"/>
  <c r="B1683" i="13"/>
  <c r="B1684" i="13"/>
  <c r="B1685" i="13"/>
  <c r="B1686" i="13"/>
  <c r="B1687" i="13"/>
  <c r="B1688" i="13"/>
  <c r="B1689" i="13"/>
  <c r="B1690" i="13"/>
  <c r="B1691" i="13"/>
  <c r="B1692" i="13"/>
  <c r="B1693" i="13"/>
  <c r="B1694" i="13"/>
  <c r="B1695" i="13"/>
  <c r="B1696" i="13"/>
  <c r="B1697" i="13"/>
  <c r="B1698" i="13"/>
  <c r="B1699" i="13"/>
  <c r="B1700" i="13"/>
  <c r="B1701" i="13"/>
  <c r="B1702" i="13"/>
  <c r="B1703" i="13"/>
  <c r="B1704" i="13"/>
  <c r="B1705" i="13"/>
  <c r="B1706" i="13"/>
  <c r="B1707" i="13"/>
  <c r="B1708" i="13"/>
  <c r="B1709" i="13"/>
  <c r="B1710" i="13"/>
  <c r="B1711" i="13"/>
  <c r="B1712" i="13"/>
  <c r="B1713" i="13"/>
  <c r="B1714" i="13"/>
  <c r="B1715" i="13"/>
  <c r="B1716" i="13"/>
  <c r="B1717" i="13"/>
  <c r="B1718" i="13"/>
  <c r="B1719" i="13"/>
  <c r="B1720" i="13"/>
  <c r="B1721" i="13"/>
  <c r="B1722" i="13"/>
  <c r="B1723" i="13"/>
  <c r="B1724" i="13"/>
  <c r="B1725" i="13"/>
  <c r="B1726" i="13"/>
  <c r="B1727" i="13"/>
  <c r="B1728" i="13"/>
  <c r="B1729" i="13"/>
  <c r="B1730" i="13"/>
  <c r="B1731" i="13"/>
  <c r="B1732" i="13"/>
  <c r="B1733" i="13"/>
  <c r="B1734" i="13"/>
  <c r="B1735" i="13"/>
  <c r="B1736" i="13"/>
  <c r="B1737" i="13"/>
  <c r="B1738" i="13"/>
  <c r="B1739" i="13"/>
  <c r="B1740" i="13"/>
  <c r="B1741" i="13"/>
  <c r="B1742" i="13"/>
  <c r="B1743" i="13"/>
  <c r="B1744" i="13"/>
  <c r="B1745" i="13"/>
  <c r="B1746" i="13"/>
  <c r="B1747" i="13"/>
  <c r="B1748" i="13"/>
  <c r="B1749" i="13"/>
  <c r="B1750" i="13"/>
  <c r="B1751" i="13"/>
  <c r="B1752" i="13"/>
  <c r="B1753" i="13"/>
  <c r="B1754" i="13"/>
  <c r="B1755" i="13"/>
  <c r="B1756" i="13"/>
  <c r="B1757" i="13"/>
  <c r="B1758" i="13"/>
  <c r="B1759" i="13"/>
  <c r="B1760" i="13"/>
  <c r="B1761" i="13"/>
  <c r="B1762" i="13"/>
  <c r="B1763" i="13"/>
  <c r="B1764" i="13"/>
  <c r="B1765" i="13"/>
  <c r="B1766" i="13"/>
  <c r="B1767" i="13"/>
  <c r="B1768" i="13"/>
  <c r="B1769" i="13"/>
  <c r="B1770" i="13"/>
  <c r="B1771" i="13"/>
  <c r="B1772" i="13"/>
  <c r="B1773" i="13"/>
  <c r="B1774" i="13"/>
  <c r="B1775" i="13"/>
  <c r="B1776" i="13"/>
  <c r="B1777" i="13"/>
  <c r="B1778" i="13"/>
  <c r="B1779" i="13"/>
  <c r="B1780" i="13"/>
  <c r="B1781" i="13"/>
  <c r="B1782" i="13"/>
  <c r="B1783" i="13"/>
  <c r="B1784" i="13"/>
  <c r="B1785" i="13"/>
  <c r="B1786" i="13"/>
  <c r="B1787" i="13"/>
  <c r="B1788" i="13"/>
  <c r="B1789" i="13"/>
  <c r="B1790" i="13"/>
  <c r="B1791" i="13"/>
  <c r="B1792" i="13"/>
  <c r="B1793" i="13"/>
  <c r="B1794" i="13"/>
  <c r="B1795" i="13"/>
  <c r="B1796" i="13"/>
  <c r="B1797" i="13"/>
  <c r="B1798" i="13"/>
  <c r="B1799" i="13"/>
  <c r="B1800" i="13"/>
  <c r="B1801" i="13"/>
  <c r="B1802" i="13"/>
  <c r="B1803" i="13"/>
  <c r="B1804" i="13"/>
  <c r="B1805" i="13"/>
  <c r="B1806" i="13"/>
  <c r="B1807" i="13"/>
  <c r="B1808" i="13"/>
  <c r="B1809" i="13"/>
  <c r="B1810" i="13"/>
  <c r="B1811" i="13"/>
  <c r="B1812" i="13"/>
  <c r="B1813" i="13"/>
  <c r="B1814" i="13"/>
  <c r="B1815" i="13"/>
  <c r="B1816" i="13"/>
  <c r="B1817" i="13"/>
  <c r="B1818" i="13"/>
  <c r="B1819" i="13"/>
  <c r="B1820" i="13"/>
  <c r="B1821" i="13"/>
  <c r="B1822" i="13"/>
  <c r="B1823" i="13"/>
  <c r="B1824" i="13"/>
  <c r="B1825" i="13"/>
  <c r="B1826" i="13"/>
  <c r="B1827" i="13"/>
  <c r="B1828" i="13"/>
  <c r="B1829" i="13"/>
  <c r="B1830" i="13"/>
  <c r="B1831" i="13"/>
  <c r="B1832" i="13"/>
  <c r="B1833" i="13"/>
  <c r="B1834" i="13"/>
  <c r="B1835" i="13"/>
  <c r="B1836" i="13"/>
  <c r="B1837" i="13"/>
  <c r="B1838" i="13"/>
  <c r="B1839" i="13"/>
  <c r="B1840" i="13"/>
  <c r="B1841" i="13"/>
  <c r="B1842" i="13"/>
  <c r="B1843" i="13"/>
  <c r="B1844" i="13"/>
  <c r="B1845" i="13"/>
  <c r="B1846" i="13"/>
  <c r="B1847" i="13"/>
  <c r="B1848" i="13"/>
  <c r="B1849" i="13"/>
  <c r="B1850" i="13"/>
  <c r="B1851" i="13"/>
  <c r="B1852" i="13"/>
  <c r="B1853" i="13"/>
  <c r="B1854" i="13"/>
  <c r="B1855" i="13"/>
  <c r="B1856" i="13"/>
  <c r="B1857" i="13"/>
  <c r="B1858" i="13"/>
  <c r="B1859" i="13"/>
  <c r="B1860" i="13"/>
  <c r="B1861" i="13"/>
  <c r="B1862" i="13"/>
  <c r="B1863" i="13"/>
  <c r="B1864" i="13"/>
  <c r="B1865" i="13"/>
  <c r="B1866" i="13"/>
  <c r="B1867" i="13"/>
  <c r="B1868" i="13"/>
  <c r="B1869" i="13"/>
  <c r="B1870" i="13"/>
  <c r="B1871" i="13"/>
  <c r="B1872" i="13"/>
  <c r="B1873" i="13"/>
  <c r="B1874" i="13"/>
  <c r="B1875" i="13"/>
  <c r="B1876" i="13"/>
  <c r="B1877" i="13"/>
  <c r="B1878" i="13"/>
  <c r="B1879" i="13"/>
  <c r="B1880" i="13"/>
  <c r="B1881" i="13"/>
  <c r="B1882" i="13"/>
  <c r="B1883" i="13"/>
  <c r="B1884" i="13"/>
  <c r="B1885" i="13"/>
  <c r="B1886" i="13"/>
  <c r="B1887" i="13"/>
  <c r="B1888" i="13"/>
  <c r="B1889" i="13"/>
  <c r="B1890" i="13"/>
  <c r="B1891" i="13"/>
  <c r="B1892" i="13"/>
  <c r="B1893" i="13"/>
  <c r="B1894" i="13"/>
  <c r="B1895" i="13"/>
  <c r="B1896" i="13"/>
  <c r="B1897" i="13"/>
  <c r="B1898" i="13"/>
  <c r="B1899" i="13"/>
  <c r="B1900" i="13"/>
  <c r="B1901" i="13"/>
  <c r="B1902" i="13"/>
  <c r="B1903" i="13"/>
  <c r="B1904" i="13"/>
  <c r="B1905" i="13"/>
  <c r="B1906" i="13"/>
  <c r="B1907" i="13"/>
  <c r="B1908" i="13"/>
  <c r="B1909" i="13"/>
  <c r="B1910" i="13"/>
  <c r="B1911" i="13"/>
  <c r="B1912" i="13"/>
  <c r="B1913" i="13"/>
  <c r="B1914" i="13"/>
  <c r="B1915" i="13"/>
  <c r="B1916" i="13"/>
  <c r="B1917" i="13"/>
  <c r="B1918" i="13"/>
  <c r="B1919" i="13"/>
  <c r="B1920" i="13"/>
  <c r="B1921" i="13"/>
  <c r="B1922" i="13"/>
  <c r="B1923" i="13"/>
  <c r="B1924" i="13"/>
  <c r="B1925" i="13"/>
  <c r="B1926" i="13"/>
  <c r="B1927" i="13"/>
  <c r="B1928" i="13"/>
  <c r="B1929" i="13"/>
  <c r="B1930" i="13"/>
  <c r="B1931" i="13"/>
  <c r="B1932" i="13"/>
  <c r="B1933" i="13"/>
  <c r="B1934" i="13"/>
  <c r="B1935" i="13"/>
  <c r="B1936" i="13"/>
  <c r="B1937" i="13"/>
  <c r="B1938" i="13"/>
  <c r="B1939" i="13"/>
  <c r="B1940" i="13"/>
  <c r="B1941" i="13"/>
  <c r="B1942" i="13"/>
  <c r="B1943" i="13"/>
  <c r="B1944" i="13"/>
  <c r="B1945" i="13"/>
  <c r="B1946" i="13"/>
  <c r="B1947" i="13"/>
  <c r="B1948" i="13"/>
  <c r="B1949" i="13"/>
  <c r="B1950" i="13"/>
  <c r="B1951"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6" i="13"/>
  <c r="B2007" i="13"/>
  <c r="B2008" i="13"/>
  <c r="B2009" i="13"/>
  <c r="B2010" i="13"/>
  <c r="B2011" i="13"/>
  <c r="B2012" i="13"/>
  <c r="B2013" i="13"/>
  <c r="B2014" i="13"/>
  <c r="B2015" i="13"/>
  <c r="B2016" i="13"/>
  <c r="B2017" i="13"/>
  <c r="B2018" i="13"/>
  <c r="B2019" i="13"/>
  <c r="B2020" i="13"/>
  <c r="B2021" i="13"/>
  <c r="B2022" i="13"/>
  <c r="B2023" i="13"/>
  <c r="B2024" i="13"/>
  <c r="B2025" i="13"/>
  <c r="B2026" i="13"/>
  <c r="B2027" i="13"/>
  <c r="B2028" i="13"/>
  <c r="B2029" i="13"/>
  <c r="B2030" i="13"/>
  <c r="B2031" i="13"/>
  <c r="B2032" i="13"/>
  <c r="B2033" i="13"/>
  <c r="B2034" i="13"/>
  <c r="B2035" i="13"/>
  <c r="B2036" i="13"/>
  <c r="B2037" i="13"/>
  <c r="B2038" i="13"/>
  <c r="B2039" i="13"/>
  <c r="B2040" i="13"/>
  <c r="B2041" i="13"/>
  <c r="B2042" i="13"/>
  <c r="B2043" i="13"/>
  <c r="B2044" i="13"/>
  <c r="B2045" i="13"/>
  <c r="B2046" i="13"/>
  <c r="B2047" i="13"/>
  <c r="B2048" i="13"/>
  <c r="B2049" i="13"/>
  <c r="B2050" i="13"/>
  <c r="B2051" i="13"/>
  <c r="B2052" i="13"/>
  <c r="B2053" i="13"/>
  <c r="B2054" i="13"/>
  <c r="B2055" i="13"/>
  <c r="B2056" i="13"/>
  <c r="B2057" i="13"/>
  <c r="B2058" i="13"/>
  <c r="B2059" i="13"/>
  <c r="B2060" i="13"/>
  <c r="B2061" i="13"/>
  <c r="B2062" i="13"/>
  <c r="B2063" i="13"/>
  <c r="B2064" i="13"/>
  <c r="B2065" i="13"/>
  <c r="B2066" i="13"/>
  <c r="B2067" i="13"/>
  <c r="B2068" i="13"/>
  <c r="B2069" i="13"/>
  <c r="B2070" i="13"/>
  <c r="B2071" i="13"/>
  <c r="B2072" i="13"/>
  <c r="B2073" i="13"/>
  <c r="B2074" i="13"/>
  <c r="B2075" i="13"/>
  <c r="B2076" i="13"/>
  <c r="B2077" i="13"/>
  <c r="B2078" i="13"/>
  <c r="B2079" i="13"/>
  <c r="B2080" i="13"/>
  <c r="B2081" i="13"/>
  <c r="B2082" i="13"/>
  <c r="B2083" i="13"/>
  <c r="B2084" i="13"/>
  <c r="B2085" i="13"/>
  <c r="B2086" i="13"/>
  <c r="B2087" i="13"/>
  <c r="B2088" i="13"/>
  <c r="B2089" i="13"/>
  <c r="B2090" i="13"/>
  <c r="B2091" i="13"/>
  <c r="B2092" i="13"/>
  <c r="B2093" i="13"/>
  <c r="B2094" i="13"/>
  <c r="B2095" i="13"/>
  <c r="B2096" i="13"/>
  <c r="B2097" i="13"/>
  <c r="B2098" i="13"/>
  <c r="B2099" i="13"/>
  <c r="B2100" i="13"/>
  <c r="B2101" i="13"/>
  <c r="B2102" i="13"/>
  <c r="B2103" i="13"/>
  <c r="B2104" i="13"/>
  <c r="B2105" i="13"/>
  <c r="B2106" i="13"/>
  <c r="B2107" i="13"/>
  <c r="B2108" i="13"/>
  <c r="B2109" i="13"/>
  <c r="B2110" i="13"/>
  <c r="B2111" i="13"/>
  <c r="B2112" i="13"/>
  <c r="B2113" i="13"/>
  <c r="B2114" i="13"/>
  <c r="B2115" i="13"/>
  <c r="B2116" i="13"/>
  <c r="B2117" i="13"/>
  <c r="B2118" i="13"/>
  <c r="B2119" i="13"/>
  <c r="B2120" i="13"/>
  <c r="B2121" i="13"/>
  <c r="B2122" i="13"/>
  <c r="B2123" i="13"/>
  <c r="B2124" i="13"/>
  <c r="B2125" i="13"/>
  <c r="B2126" i="13"/>
  <c r="B2127" i="13"/>
  <c r="B2128" i="13"/>
  <c r="B2129" i="13"/>
  <c r="B2130" i="13"/>
  <c r="B2131" i="13"/>
  <c r="B2132" i="13"/>
  <c r="B2133" i="13"/>
  <c r="B2134" i="13"/>
  <c r="B2135" i="13"/>
  <c r="B2136" i="13"/>
  <c r="B2137" i="13"/>
  <c r="B2138" i="13"/>
  <c r="B2139" i="13"/>
  <c r="B2140" i="13"/>
  <c r="B2141" i="13"/>
  <c r="B2142" i="13"/>
  <c r="B2143" i="13"/>
  <c r="B2144" i="13"/>
  <c r="B2145" i="13"/>
  <c r="B2146" i="13"/>
  <c r="B2147" i="13"/>
  <c r="B2148" i="13"/>
  <c r="B2149" i="13"/>
  <c r="B2150" i="13"/>
  <c r="B2151" i="13"/>
  <c r="B2152" i="13"/>
  <c r="B2153" i="13"/>
  <c r="B2154" i="13"/>
  <c r="B2155" i="13"/>
  <c r="B2156" i="13"/>
  <c r="B2157" i="13"/>
  <c r="B2158" i="13"/>
  <c r="B2159" i="13"/>
  <c r="B2160" i="13"/>
  <c r="B2161" i="13"/>
  <c r="B2162" i="13"/>
  <c r="B2163" i="13"/>
  <c r="B2164" i="13"/>
  <c r="B2165" i="13"/>
  <c r="B2166" i="13"/>
  <c r="B2167" i="13"/>
  <c r="B2168" i="13"/>
  <c r="B2169" i="13"/>
  <c r="B2170" i="13"/>
  <c r="B2171" i="13"/>
  <c r="B2172" i="13"/>
  <c r="B2173" i="13"/>
  <c r="B2174" i="13"/>
  <c r="B2175" i="13"/>
  <c r="B2176" i="13"/>
  <c r="B2177" i="13"/>
  <c r="B2178" i="13"/>
  <c r="B2179" i="13"/>
  <c r="B2180" i="13"/>
  <c r="B2181" i="13"/>
  <c r="B2182" i="13"/>
  <c r="B2183" i="13"/>
  <c r="B2184" i="13"/>
  <c r="B2185" i="13"/>
  <c r="B2186" i="13"/>
  <c r="B2187" i="13"/>
  <c r="B2188" i="13"/>
  <c r="B2189" i="13"/>
  <c r="B2190" i="13"/>
  <c r="B2191" i="13"/>
  <c r="B2192" i="13"/>
  <c r="B2193" i="13"/>
  <c r="B2194" i="13"/>
  <c r="B2195" i="13"/>
  <c r="B2196" i="13"/>
  <c r="B2197" i="13"/>
  <c r="B2198" i="13"/>
  <c r="B2199" i="13"/>
  <c r="B2200" i="13"/>
  <c r="B2201" i="13"/>
  <c r="B2202" i="13"/>
  <c r="B2203" i="13"/>
  <c r="B2204" i="13"/>
  <c r="B2205" i="13"/>
  <c r="B2206" i="13"/>
  <c r="B2207" i="13"/>
  <c r="B2208" i="13"/>
  <c r="B2209" i="13"/>
  <c r="B2210" i="13"/>
  <c r="B2211" i="13"/>
  <c r="B2212" i="13"/>
  <c r="B2213" i="13"/>
  <c r="B2214" i="13"/>
  <c r="B2215" i="13"/>
  <c r="B2216" i="13"/>
  <c r="B2217" i="13"/>
  <c r="B2218" i="13"/>
  <c r="B2219" i="13"/>
  <c r="B2220" i="13"/>
  <c r="B2221" i="13"/>
  <c r="B2222" i="13"/>
  <c r="B2223" i="13"/>
  <c r="B2224" i="13"/>
  <c r="B2225" i="13"/>
  <c r="B2226" i="13"/>
  <c r="B2227" i="13"/>
  <c r="B2228" i="13"/>
  <c r="B2229" i="13"/>
  <c r="B2230" i="13"/>
  <c r="B2231" i="13"/>
  <c r="B2232" i="13"/>
  <c r="B2233" i="13"/>
  <c r="B2234" i="13"/>
  <c r="B2235" i="13"/>
  <c r="B2236" i="13"/>
  <c r="B2237" i="13"/>
  <c r="B2238" i="13"/>
  <c r="B2239" i="13"/>
  <c r="B2240" i="13"/>
  <c r="B2241" i="13"/>
  <c r="B2242" i="13"/>
  <c r="B2243" i="13"/>
  <c r="B2244" i="13"/>
  <c r="B2245" i="13"/>
  <c r="B2246" i="13"/>
  <c r="B2247" i="13"/>
  <c r="B2248" i="13"/>
  <c r="B2249" i="13"/>
  <c r="B2250" i="13"/>
  <c r="B2251" i="13"/>
  <c r="B2252" i="13"/>
  <c r="B2253" i="13"/>
  <c r="B2254" i="13"/>
  <c r="B2255" i="13"/>
  <c r="B2256" i="13"/>
  <c r="B2257" i="13"/>
  <c r="B2258" i="13"/>
  <c r="B2259" i="13"/>
  <c r="B2260" i="13"/>
  <c r="B2261" i="13"/>
  <c r="B2262" i="13"/>
  <c r="B2263" i="13"/>
  <c r="B2264" i="13"/>
  <c r="B2265" i="13"/>
  <c r="B2266" i="13"/>
  <c r="B2267" i="13"/>
  <c r="B2268" i="13"/>
  <c r="B2269" i="13"/>
  <c r="B2270" i="13"/>
  <c r="B2271" i="13"/>
  <c r="B2272" i="13"/>
  <c r="B2273" i="13"/>
  <c r="B2274" i="13"/>
  <c r="B2275" i="13"/>
  <c r="B2276" i="13"/>
  <c r="B2277" i="13"/>
  <c r="B2278" i="13"/>
  <c r="B2279" i="13"/>
  <c r="B2280" i="13"/>
  <c r="B2281" i="13"/>
  <c r="B2282" i="13"/>
  <c r="B2283" i="13"/>
  <c r="B2284" i="13"/>
  <c r="B2285" i="13"/>
  <c r="B2286" i="13"/>
  <c r="B2287" i="13"/>
  <c r="B2288" i="13"/>
  <c r="B2289" i="13"/>
  <c r="B2290" i="13"/>
  <c r="B2291" i="13"/>
  <c r="B2292" i="13"/>
  <c r="B2293" i="13"/>
  <c r="B2294" i="13"/>
  <c r="B2295" i="13"/>
  <c r="B2296" i="13"/>
  <c r="B2297" i="13"/>
  <c r="B2298" i="13"/>
  <c r="B2299" i="13"/>
  <c r="B2300" i="13"/>
  <c r="B2301" i="13"/>
  <c r="B2302" i="13"/>
  <c r="B2303" i="13"/>
  <c r="B2304" i="13"/>
  <c r="B2305" i="13"/>
  <c r="B2306" i="13"/>
  <c r="B2307" i="13"/>
  <c r="B2308" i="13"/>
  <c r="B2309" i="13"/>
  <c r="B2310" i="13"/>
  <c r="B2311" i="13"/>
  <c r="B2312" i="13"/>
  <c r="B2313" i="13"/>
  <c r="B2314" i="13"/>
  <c r="B2315" i="13"/>
  <c r="B2316" i="13"/>
  <c r="B2317" i="13"/>
  <c r="B2318" i="13"/>
  <c r="B2319" i="13"/>
  <c r="B2320" i="13"/>
  <c r="B2321" i="13"/>
  <c r="B2322" i="13"/>
  <c r="B2323" i="13"/>
  <c r="B2324" i="13"/>
  <c r="B2325" i="13"/>
  <c r="B2326" i="13"/>
  <c r="B2327" i="13"/>
  <c r="B2328" i="13"/>
  <c r="B2329" i="13"/>
  <c r="B2330" i="13"/>
  <c r="B2331" i="13"/>
  <c r="B2332" i="13"/>
  <c r="B2333" i="13"/>
  <c r="B2334" i="13"/>
  <c r="B2335" i="13"/>
  <c r="B2336" i="13"/>
  <c r="B2337" i="13"/>
  <c r="B2338" i="13"/>
  <c r="B2339" i="13"/>
  <c r="B2340" i="13"/>
  <c r="B2341" i="13"/>
  <c r="B2342" i="13"/>
  <c r="B2343" i="13"/>
  <c r="B2344" i="13"/>
  <c r="B2345" i="13"/>
  <c r="B2346" i="13"/>
  <c r="B2347" i="13"/>
  <c r="B2348" i="13"/>
  <c r="B2349" i="13"/>
  <c r="B2350" i="13"/>
  <c r="B2351" i="13"/>
  <c r="B2352" i="13"/>
  <c r="B2353" i="13"/>
  <c r="B2354" i="13"/>
  <c r="B2355" i="13"/>
  <c r="B2356" i="13"/>
  <c r="B2357" i="13"/>
  <c r="B2358" i="13"/>
  <c r="B2359" i="13"/>
  <c r="B2360" i="13"/>
  <c r="B2361" i="13"/>
  <c r="B2362" i="13"/>
  <c r="B2363" i="13"/>
  <c r="B2364" i="13"/>
  <c r="B2365" i="13"/>
  <c r="B2366" i="13"/>
  <c r="B2367" i="13"/>
  <c r="B2368" i="13"/>
  <c r="B2369" i="13"/>
  <c r="B2370" i="13"/>
  <c r="B2371" i="13"/>
  <c r="B2372" i="13"/>
  <c r="B2373" i="13"/>
  <c r="B2374" i="13"/>
  <c r="B2375" i="13"/>
  <c r="B2376" i="13"/>
  <c r="B2377" i="13"/>
  <c r="B2378" i="13"/>
  <c r="B2379" i="13"/>
  <c r="B2380" i="13"/>
  <c r="B2381" i="13"/>
  <c r="B2382" i="13"/>
  <c r="B2383" i="13"/>
  <c r="B2384" i="13"/>
  <c r="B2385" i="13"/>
  <c r="B2386" i="13"/>
  <c r="B2387" i="13"/>
  <c r="B2388" i="13"/>
  <c r="B2389" i="13"/>
  <c r="B2390" i="13"/>
  <c r="B2391" i="13"/>
  <c r="B2392" i="13"/>
  <c r="B2393" i="13"/>
  <c r="B2394" i="13"/>
  <c r="B2395" i="13"/>
  <c r="B2396" i="13"/>
  <c r="B2397" i="13"/>
  <c r="B2398" i="13"/>
  <c r="B2399" i="13"/>
  <c r="B2400" i="13"/>
  <c r="B2401" i="13"/>
  <c r="B2402" i="13"/>
  <c r="B2403" i="13"/>
  <c r="B2404" i="13"/>
  <c r="B2405" i="13"/>
  <c r="B2406" i="13"/>
  <c r="B2407" i="13"/>
  <c r="B2408" i="13"/>
  <c r="B2409" i="13"/>
  <c r="B2410" i="13"/>
  <c r="B2411" i="13"/>
  <c r="B2412" i="13"/>
  <c r="B2413" i="13"/>
  <c r="B2414" i="13"/>
  <c r="B2415" i="13"/>
  <c r="B2416" i="13"/>
  <c r="B2417" i="13"/>
  <c r="B2418" i="13"/>
  <c r="B2419" i="13"/>
  <c r="B2420" i="13"/>
  <c r="B2421" i="13"/>
  <c r="B2422" i="13"/>
  <c r="B2423" i="13"/>
  <c r="B2424" i="13"/>
  <c r="B2425" i="13"/>
  <c r="B2426" i="13"/>
  <c r="B2427" i="13"/>
  <c r="B2428" i="13"/>
  <c r="B2429" i="13"/>
  <c r="B2430" i="13"/>
  <c r="B2431" i="13"/>
  <c r="B2432" i="13"/>
  <c r="B2433" i="13"/>
  <c r="B2434" i="13"/>
  <c r="B2435" i="13"/>
  <c r="B2436" i="13"/>
  <c r="B2437" i="13"/>
  <c r="B2438" i="13"/>
  <c r="B2439" i="13"/>
  <c r="B2440" i="13"/>
  <c r="B2441" i="13"/>
  <c r="B2442" i="13"/>
  <c r="B2443" i="13"/>
  <c r="B2444" i="13"/>
  <c r="B2445" i="13"/>
  <c r="B2446" i="13"/>
  <c r="B2447" i="13"/>
  <c r="B2448" i="13"/>
  <c r="B2449" i="13"/>
  <c r="B2450" i="13"/>
  <c r="B2451" i="13"/>
  <c r="B2452" i="13"/>
  <c r="B2453" i="13"/>
  <c r="B2454" i="13"/>
  <c r="B2455" i="13"/>
  <c r="B2456" i="13"/>
  <c r="B2457" i="13"/>
  <c r="B2458" i="13"/>
  <c r="B2459" i="13"/>
  <c r="B2460" i="13"/>
  <c r="B2461" i="13"/>
  <c r="B2462" i="13"/>
  <c r="B2463" i="13"/>
  <c r="B2464" i="13"/>
  <c r="B2465" i="13"/>
  <c r="B2466" i="13"/>
  <c r="B2467" i="13"/>
  <c r="B2468" i="13"/>
  <c r="B2469" i="13"/>
  <c r="B2470" i="13"/>
  <c r="B2471" i="13"/>
  <c r="B2472" i="13"/>
  <c r="B2473" i="13"/>
  <c r="B2474" i="13"/>
  <c r="B2475" i="13"/>
  <c r="B2476" i="13"/>
  <c r="B2477" i="13"/>
  <c r="B2478" i="13"/>
  <c r="B2479" i="13"/>
  <c r="B2480" i="13"/>
  <c r="B2481" i="13"/>
  <c r="B2482" i="13"/>
  <c r="B2483" i="13"/>
  <c r="B2484" i="13"/>
  <c r="B2485" i="13"/>
  <c r="B2486" i="13"/>
  <c r="B2487" i="13"/>
  <c r="B2488" i="13"/>
  <c r="B2489" i="13"/>
  <c r="B2490" i="13"/>
  <c r="B2491" i="13"/>
  <c r="B2492" i="13"/>
  <c r="B2493" i="13"/>
  <c r="B2494" i="13"/>
  <c r="B2495" i="13"/>
  <c r="B2496" i="13"/>
  <c r="B2497" i="13"/>
  <c r="B2498" i="13"/>
  <c r="B2499" i="13"/>
  <c r="B2500" i="13"/>
  <c r="B2501" i="13"/>
  <c r="B2502" i="13"/>
  <c r="B2503" i="13"/>
  <c r="B2504" i="13"/>
  <c r="B2505" i="13"/>
  <c r="B2506" i="13"/>
  <c r="B2507" i="13"/>
  <c r="B2508" i="13"/>
  <c r="B2509" i="13"/>
  <c r="B2510" i="13"/>
  <c r="B2511" i="13"/>
  <c r="B2512" i="13"/>
  <c r="B2513" i="13"/>
  <c r="B2514" i="13"/>
  <c r="B2515" i="13"/>
  <c r="B2516" i="13"/>
  <c r="B2517" i="13"/>
  <c r="B2518" i="13"/>
  <c r="B2519" i="13"/>
  <c r="B2520" i="13"/>
  <c r="B2521" i="13"/>
  <c r="B2522" i="13"/>
  <c r="B2523" i="13"/>
  <c r="B2524" i="13"/>
  <c r="B2525" i="13"/>
  <c r="B2526" i="13"/>
  <c r="B2527" i="13"/>
  <c r="B2528" i="13"/>
  <c r="B2529" i="13"/>
  <c r="B2530" i="13"/>
  <c r="B2531" i="13"/>
  <c r="B2532" i="13"/>
  <c r="B2533" i="13"/>
  <c r="B2534" i="13"/>
  <c r="B2535" i="13"/>
  <c r="B2536" i="13"/>
  <c r="B2537" i="13"/>
  <c r="B2538" i="13"/>
  <c r="B2539" i="13"/>
  <c r="B2540" i="13"/>
  <c r="B2541" i="13"/>
  <c r="B2542" i="13"/>
  <c r="B2543" i="13"/>
  <c r="B2544" i="13"/>
  <c r="B2545" i="13"/>
  <c r="B2546" i="13"/>
  <c r="B2547" i="13"/>
  <c r="B2548" i="13"/>
  <c r="B2549" i="13"/>
  <c r="B2550" i="13"/>
  <c r="B2551" i="13"/>
  <c r="B2552" i="13"/>
  <c r="B2553" i="13"/>
  <c r="B2554" i="13"/>
  <c r="B2555" i="13"/>
  <c r="B2556" i="13"/>
  <c r="B2557" i="13"/>
  <c r="B2558" i="13"/>
  <c r="B2559" i="13"/>
  <c r="B2560" i="13"/>
  <c r="B2561" i="13"/>
  <c r="B2562" i="13"/>
  <c r="B2563" i="13"/>
  <c r="B2564" i="13"/>
  <c r="B2565" i="13"/>
  <c r="B2566" i="13"/>
  <c r="B2567" i="13"/>
  <c r="B2568" i="13"/>
  <c r="B2569" i="13"/>
  <c r="B2570" i="13"/>
  <c r="B2571" i="13"/>
  <c r="B2572" i="13"/>
  <c r="B2573" i="13"/>
  <c r="B2574" i="13"/>
  <c r="B2575" i="13"/>
  <c r="B2576" i="13"/>
  <c r="B2577" i="13"/>
  <c r="B2578" i="13"/>
  <c r="B2579" i="13"/>
  <c r="B2580" i="13"/>
  <c r="B2581" i="13"/>
  <c r="B2582" i="13"/>
  <c r="B2583" i="13"/>
  <c r="B2584" i="13"/>
  <c r="B2585" i="13"/>
  <c r="B2586" i="13"/>
  <c r="B2587" i="13"/>
  <c r="B2588" i="13"/>
  <c r="B2589" i="13"/>
  <c r="B2590" i="13"/>
  <c r="B2591" i="13"/>
  <c r="B2592" i="13"/>
  <c r="B2593" i="13"/>
  <c r="B2594" i="13"/>
  <c r="B2595" i="13"/>
  <c r="B2596" i="13"/>
  <c r="B2597" i="13"/>
  <c r="B2598" i="13"/>
  <c r="B2599" i="13"/>
  <c r="B2600" i="13"/>
  <c r="B2601" i="13"/>
  <c r="B2602" i="13"/>
  <c r="B2603" i="13"/>
  <c r="B2604" i="13"/>
  <c r="B2605" i="13"/>
  <c r="B2606" i="13"/>
  <c r="B2607" i="13"/>
  <c r="B2608" i="13"/>
  <c r="B2609" i="13"/>
  <c r="B2610" i="13"/>
  <c r="B2611" i="13"/>
  <c r="B2612" i="13"/>
  <c r="B2613" i="13"/>
  <c r="B2614" i="13"/>
  <c r="B2615" i="13"/>
  <c r="B2616" i="13"/>
  <c r="B2617" i="13"/>
  <c r="B2618" i="13"/>
  <c r="B2619" i="13"/>
  <c r="B2620" i="13"/>
  <c r="B2621" i="13"/>
  <c r="B2622" i="13"/>
  <c r="B2623" i="13"/>
  <c r="B2624" i="13"/>
  <c r="B2625" i="13"/>
  <c r="B2626" i="13"/>
  <c r="B2627" i="13"/>
  <c r="B2628" i="13"/>
  <c r="B2629" i="13"/>
  <c r="B2630" i="13"/>
  <c r="B2631" i="13"/>
  <c r="B2632" i="13"/>
  <c r="B2633" i="13"/>
  <c r="B2634" i="13"/>
  <c r="B2635" i="13"/>
  <c r="B2636" i="13"/>
  <c r="B2637" i="13"/>
  <c r="B2638" i="13"/>
  <c r="B2639" i="13"/>
  <c r="B2640" i="13"/>
  <c r="B2641" i="13"/>
  <c r="B2642" i="13"/>
  <c r="B2643" i="13"/>
  <c r="B2644" i="13"/>
  <c r="B2645" i="13"/>
  <c r="B2646" i="13"/>
  <c r="B2647" i="13"/>
  <c r="B2648" i="13"/>
  <c r="B2649" i="13"/>
  <c r="B2650" i="13"/>
  <c r="B2651" i="13"/>
  <c r="B2652" i="13"/>
  <c r="B2653" i="13"/>
  <c r="B2654" i="13"/>
  <c r="B2655" i="13"/>
  <c r="B2656" i="13"/>
  <c r="B2657" i="13"/>
  <c r="B2658" i="13"/>
  <c r="B2659" i="13"/>
  <c r="B2660" i="13"/>
  <c r="B2661" i="13"/>
  <c r="B2662" i="13"/>
  <c r="B2663" i="13"/>
  <c r="B2664" i="13"/>
  <c r="B2665" i="13"/>
  <c r="B2666" i="13"/>
  <c r="B2667" i="13"/>
  <c r="B2668" i="13"/>
  <c r="B2669" i="13"/>
  <c r="B2670" i="13"/>
  <c r="B2671" i="13"/>
  <c r="B2672" i="13"/>
  <c r="B2673" i="13"/>
  <c r="B2674" i="13"/>
  <c r="B2675" i="13"/>
  <c r="B2676" i="13"/>
  <c r="B2677" i="13"/>
  <c r="B2678" i="13"/>
  <c r="B2679" i="13"/>
  <c r="B2680" i="13"/>
  <c r="B2681" i="13"/>
  <c r="B2682" i="13"/>
  <c r="B2683" i="13"/>
  <c r="B2684" i="13"/>
  <c r="B2685" i="13"/>
  <c r="B2686" i="13"/>
  <c r="B2687" i="13"/>
  <c r="B2688" i="13"/>
  <c r="B2689" i="13"/>
  <c r="B2690" i="13"/>
  <c r="B2691" i="13"/>
  <c r="B2692" i="13"/>
  <c r="B2693" i="13"/>
  <c r="B2694" i="13"/>
  <c r="B2695" i="13"/>
  <c r="B2696" i="13"/>
  <c r="B2697" i="13"/>
  <c r="B2698" i="13"/>
  <c r="B2699" i="13"/>
  <c r="B2700" i="13"/>
  <c r="B2701" i="13"/>
  <c r="B2702" i="13"/>
  <c r="B2703" i="13"/>
  <c r="B2704" i="13"/>
  <c r="B2705" i="13"/>
  <c r="B2706" i="13"/>
  <c r="B2707" i="13"/>
  <c r="B2708" i="13"/>
  <c r="B2709" i="13"/>
  <c r="B2710" i="13"/>
  <c r="B2711" i="13"/>
  <c r="B2712" i="13"/>
  <c r="B2713" i="13"/>
  <c r="B2714" i="13"/>
  <c r="B2715" i="13"/>
  <c r="B2716" i="13"/>
  <c r="B2717" i="13"/>
  <c r="B2718" i="13"/>
  <c r="B2719" i="13"/>
  <c r="B2720" i="13"/>
  <c r="B2721" i="13"/>
  <c r="B2722" i="13"/>
  <c r="B2723" i="13"/>
  <c r="B2724" i="13"/>
  <c r="B2725" i="13"/>
  <c r="B2726" i="13"/>
  <c r="B2727" i="13"/>
  <c r="B2728" i="13"/>
  <c r="B2729" i="13"/>
  <c r="B2730" i="13"/>
  <c r="B2731" i="13"/>
  <c r="B2732" i="13"/>
  <c r="B2733" i="13"/>
  <c r="B2734" i="13"/>
  <c r="B2735" i="13"/>
  <c r="B2736" i="13"/>
  <c r="B2737" i="13"/>
  <c r="B2738" i="13"/>
  <c r="B2739" i="13"/>
  <c r="B2740" i="13"/>
  <c r="B2741" i="13"/>
  <c r="B2742" i="13"/>
  <c r="B2743" i="13"/>
  <c r="B2744" i="13"/>
  <c r="B2745" i="13"/>
  <c r="B2746" i="13"/>
  <c r="B2747" i="13"/>
  <c r="B2748" i="13"/>
  <c r="B2749" i="13"/>
  <c r="B2750" i="13"/>
  <c r="B2751" i="13"/>
  <c r="B2752" i="13"/>
  <c r="B2753" i="13"/>
  <c r="B2754" i="13"/>
  <c r="B2755" i="13"/>
  <c r="B2756" i="13"/>
  <c r="B2757" i="13"/>
  <c r="B2758" i="13"/>
  <c r="B2759" i="13"/>
  <c r="B2760" i="13"/>
  <c r="B2761" i="13"/>
  <c r="B2762" i="13"/>
  <c r="B2763" i="13"/>
  <c r="B2764" i="13"/>
  <c r="B2765" i="13"/>
  <c r="B2766" i="13"/>
  <c r="B2767" i="13"/>
  <c r="B2768" i="13"/>
  <c r="B2769" i="13"/>
  <c r="B2770" i="13"/>
  <c r="B2771" i="13"/>
  <c r="B2772" i="13"/>
  <c r="B2773" i="13"/>
  <c r="B2774" i="13"/>
  <c r="B2775" i="13"/>
  <c r="B2776" i="13"/>
  <c r="B2777" i="13"/>
  <c r="B2778" i="13"/>
  <c r="B2779" i="13"/>
  <c r="B2780" i="13"/>
  <c r="B2781" i="13"/>
  <c r="B2782" i="13"/>
  <c r="B2783" i="13"/>
  <c r="B2784" i="13"/>
  <c r="B2785" i="13"/>
  <c r="B2786" i="13"/>
  <c r="B2787" i="13"/>
  <c r="B2788" i="13"/>
  <c r="B2789" i="13"/>
  <c r="B2790" i="13"/>
  <c r="B2791" i="13"/>
  <c r="B2792" i="13"/>
  <c r="B2793" i="13"/>
  <c r="B2794" i="13"/>
  <c r="B2795" i="13"/>
  <c r="B2796" i="13"/>
  <c r="B2797" i="13"/>
  <c r="B2798" i="13"/>
  <c r="B2799" i="13"/>
  <c r="B2800" i="13"/>
  <c r="B2801" i="13"/>
  <c r="B2802" i="13"/>
  <c r="B2803" i="13"/>
  <c r="B2804" i="13"/>
  <c r="B2805" i="13"/>
  <c r="B2806" i="13"/>
  <c r="B2807" i="13"/>
  <c r="B2808" i="13"/>
  <c r="B2809" i="13"/>
  <c r="B2810" i="13"/>
  <c r="B2811" i="13"/>
  <c r="B2812" i="13"/>
  <c r="B2813" i="13"/>
  <c r="B2814" i="13"/>
  <c r="B2815" i="13"/>
  <c r="B2816" i="13"/>
  <c r="B2817" i="13"/>
  <c r="B2818" i="13"/>
  <c r="B2819" i="13"/>
  <c r="B2820" i="13"/>
  <c r="B2821" i="13"/>
  <c r="B2822" i="13"/>
  <c r="B2823" i="13"/>
  <c r="B2824" i="13"/>
  <c r="B2825" i="13"/>
  <c r="B2826" i="13"/>
  <c r="B2827" i="13"/>
  <c r="B2828" i="13"/>
  <c r="B2829" i="13"/>
  <c r="B2830" i="13"/>
  <c r="B2831" i="13"/>
  <c r="B2832" i="13"/>
  <c r="B2833" i="13"/>
  <c r="B2834" i="13"/>
  <c r="B2835" i="13"/>
  <c r="B2836" i="13"/>
  <c r="B2837" i="13"/>
  <c r="B2838" i="13"/>
  <c r="B2839" i="13"/>
  <c r="B2840" i="13"/>
  <c r="B2841" i="13"/>
  <c r="B2842" i="13"/>
  <c r="B2843" i="13"/>
  <c r="B2844" i="13"/>
  <c r="B2845" i="13"/>
  <c r="B2846" i="13"/>
  <c r="B2847" i="13"/>
  <c r="B2848" i="13"/>
  <c r="B2849" i="13"/>
  <c r="B2850" i="13"/>
  <c r="B2851" i="13"/>
  <c r="B2852" i="13"/>
  <c r="B2853" i="13"/>
  <c r="B2854" i="13"/>
  <c r="B2855" i="13"/>
  <c r="B2856" i="13"/>
  <c r="B2857" i="13"/>
  <c r="B2858" i="13"/>
  <c r="B2859" i="13"/>
  <c r="B2860" i="13"/>
  <c r="B2861" i="13"/>
  <c r="B2862" i="13"/>
  <c r="B2863" i="13"/>
  <c r="B2864" i="13"/>
  <c r="B2865" i="13"/>
  <c r="B2866" i="13"/>
  <c r="B2867" i="13"/>
  <c r="B2868" i="13"/>
  <c r="B2869" i="13"/>
  <c r="B2870" i="13"/>
  <c r="B2871" i="13"/>
  <c r="B2872" i="13"/>
  <c r="B2873" i="13"/>
  <c r="B2874" i="13"/>
  <c r="B2875" i="13"/>
  <c r="B2876" i="13"/>
  <c r="B2877" i="13"/>
  <c r="B2878" i="13"/>
  <c r="B2879" i="13"/>
  <c r="B2880" i="13"/>
  <c r="B2881" i="13"/>
  <c r="B2882" i="13"/>
  <c r="B2883" i="13"/>
  <c r="B2884" i="13"/>
  <c r="B2885" i="13"/>
  <c r="B2886" i="13"/>
  <c r="B2887" i="13"/>
  <c r="B2888" i="13"/>
  <c r="B2889" i="13"/>
  <c r="B2890" i="13"/>
  <c r="B2891" i="13"/>
  <c r="B2892" i="13"/>
  <c r="B2893" i="13"/>
  <c r="B2894" i="13"/>
  <c r="B2895" i="13"/>
  <c r="B2896" i="13"/>
  <c r="B2897" i="13"/>
  <c r="B2898" i="13"/>
  <c r="B2899" i="13"/>
  <c r="B2900" i="13"/>
  <c r="B2901" i="13"/>
  <c r="B2902" i="13"/>
  <c r="B2903" i="13"/>
  <c r="B2904" i="13"/>
  <c r="B2905" i="13"/>
  <c r="B2906" i="13"/>
  <c r="B2907" i="13"/>
  <c r="B2908" i="13"/>
  <c r="B2909" i="13"/>
  <c r="B2910" i="13"/>
  <c r="B2911" i="13"/>
  <c r="B2912" i="13"/>
  <c r="B2913" i="13"/>
  <c r="B2914" i="13"/>
  <c r="B2915" i="13"/>
  <c r="B2916" i="13"/>
  <c r="B2917" i="13"/>
  <c r="B2918" i="13"/>
  <c r="B2919" i="13"/>
  <c r="B2920" i="13"/>
  <c r="B2921" i="13"/>
  <c r="B2922" i="13"/>
  <c r="B2923" i="13"/>
  <c r="B2924" i="13"/>
  <c r="B2925" i="13"/>
  <c r="B2926" i="13"/>
  <c r="B2927" i="13"/>
  <c r="B2928" i="13"/>
  <c r="B2929" i="13"/>
  <c r="B2930" i="13"/>
  <c r="B2931" i="13"/>
  <c r="B2932" i="13"/>
  <c r="B2933" i="13"/>
  <c r="B2934" i="13"/>
  <c r="B2935" i="13"/>
  <c r="B2936" i="13"/>
  <c r="B2937" i="13"/>
  <c r="B2938" i="13"/>
  <c r="B2939" i="13"/>
  <c r="B2940" i="13"/>
  <c r="B2941" i="13"/>
  <c r="B2942" i="13"/>
  <c r="B2943" i="13"/>
  <c r="B2944" i="13"/>
  <c r="B2945" i="13"/>
  <c r="B2946" i="13"/>
  <c r="B2947" i="13"/>
  <c r="B2948" i="13"/>
  <c r="B2949" i="13"/>
  <c r="B2950" i="13"/>
  <c r="B2951" i="13"/>
  <c r="B2952" i="13"/>
  <c r="B2953" i="13"/>
  <c r="B2954" i="13"/>
  <c r="B2955" i="13"/>
  <c r="B2956" i="13"/>
  <c r="B2957" i="13"/>
  <c r="B2958" i="13"/>
  <c r="B2959" i="13"/>
  <c r="B2960" i="13"/>
  <c r="B2961" i="13"/>
  <c r="B2962" i="13"/>
  <c r="B2963" i="13"/>
  <c r="B2964" i="13"/>
  <c r="B2965" i="13"/>
  <c r="B2966" i="13"/>
  <c r="B2967" i="13"/>
  <c r="B2968" i="13"/>
  <c r="B2969" i="13"/>
  <c r="B2970" i="13"/>
  <c r="B2971" i="13"/>
  <c r="B2972" i="13"/>
  <c r="B2973" i="13"/>
  <c r="B2974" i="13"/>
  <c r="B2975" i="13"/>
  <c r="B2976" i="13"/>
  <c r="B2977" i="13"/>
  <c r="B2978" i="13"/>
  <c r="B2979" i="13"/>
  <c r="B2980" i="13"/>
  <c r="B2981" i="13"/>
  <c r="B2982" i="13"/>
  <c r="B2983" i="13"/>
  <c r="B2984" i="13"/>
  <c r="B2985" i="13"/>
  <c r="B2986" i="13"/>
  <c r="B2987" i="13"/>
  <c r="B2988" i="13"/>
  <c r="B2989" i="13"/>
  <c r="B2990" i="13"/>
  <c r="B2991" i="13"/>
  <c r="B2992" i="13"/>
  <c r="B2993" i="13"/>
  <c r="B2994" i="13"/>
  <c r="B2995" i="13"/>
  <c r="B2996" i="13"/>
  <c r="B2997" i="13"/>
  <c r="B2998" i="13"/>
  <c r="B2999" i="13"/>
  <c r="B3000" i="13"/>
  <c r="B3001" i="13"/>
  <c r="B3002" i="13"/>
  <c r="B3003" i="13"/>
  <c r="B3004" i="13"/>
  <c r="B3005" i="13"/>
  <c r="B3006" i="13"/>
  <c r="B3007" i="13"/>
  <c r="B3008" i="13"/>
  <c r="B3009" i="13"/>
  <c r="B3010" i="13"/>
  <c r="B3011" i="13"/>
  <c r="B3012" i="13"/>
  <c r="B3013" i="13"/>
  <c r="B3014" i="13"/>
  <c r="B3015" i="13"/>
  <c r="B3016" i="13"/>
  <c r="B3017" i="13"/>
  <c r="B3018" i="13"/>
  <c r="B3019" i="13"/>
  <c r="B3020" i="13"/>
  <c r="B3021" i="13"/>
  <c r="B3022" i="13"/>
  <c r="B3023" i="13"/>
  <c r="B3024" i="13"/>
  <c r="B3025" i="13"/>
  <c r="B3026" i="13"/>
  <c r="B3027" i="13"/>
  <c r="B3028" i="13"/>
  <c r="B3029" i="13"/>
  <c r="B3030" i="13"/>
  <c r="B3031" i="13"/>
  <c r="B3032" i="13"/>
  <c r="B3033" i="13"/>
  <c r="B3034" i="13"/>
  <c r="B3035" i="13"/>
  <c r="B3036" i="13"/>
  <c r="B3037" i="13"/>
  <c r="B3038" i="13"/>
  <c r="B3039" i="13"/>
  <c r="B3040" i="13"/>
  <c r="B3041" i="13"/>
  <c r="B3042" i="13"/>
  <c r="B3043" i="13"/>
  <c r="B3044" i="13"/>
  <c r="B3045" i="13"/>
  <c r="B3046" i="13"/>
  <c r="B3047" i="13"/>
  <c r="B3048" i="13"/>
  <c r="B3049" i="13"/>
  <c r="B3050" i="13"/>
  <c r="B3051" i="13"/>
  <c r="B3052" i="13"/>
  <c r="B3053" i="13"/>
  <c r="B3054" i="13"/>
  <c r="B3055" i="13"/>
  <c r="B3056" i="13"/>
  <c r="B3057" i="13"/>
  <c r="B3058" i="13"/>
  <c r="B3059" i="13"/>
  <c r="B3060" i="13"/>
  <c r="B3061" i="13"/>
  <c r="B3062" i="13"/>
  <c r="B3063" i="13"/>
  <c r="B3064" i="13"/>
  <c r="B3065" i="13"/>
  <c r="B3066" i="13"/>
  <c r="B3067" i="13"/>
  <c r="B3068" i="13"/>
  <c r="B3069" i="13"/>
  <c r="B3070" i="13"/>
  <c r="B3071" i="13"/>
  <c r="B3072" i="13"/>
  <c r="B3073" i="13"/>
  <c r="B3074" i="13"/>
  <c r="B3075" i="13"/>
  <c r="B3076" i="13"/>
  <c r="B3077" i="13"/>
  <c r="B3078" i="13"/>
  <c r="B3079" i="13"/>
  <c r="B3080" i="13"/>
  <c r="B3081" i="13"/>
  <c r="B3082" i="13"/>
  <c r="B3083" i="13"/>
  <c r="B3084" i="13"/>
  <c r="B3085" i="13"/>
  <c r="B3086" i="13"/>
  <c r="B3087" i="13"/>
  <c r="B3088" i="13"/>
  <c r="B3089" i="13"/>
  <c r="B3090" i="13"/>
  <c r="B3091" i="13"/>
  <c r="B3092" i="13"/>
  <c r="B3093" i="13"/>
  <c r="B3094" i="13"/>
  <c r="B3095" i="13"/>
  <c r="B3096" i="13"/>
  <c r="B3097" i="13"/>
  <c r="B3098" i="13"/>
  <c r="B3099" i="13"/>
  <c r="B3100" i="13"/>
  <c r="B3101" i="13"/>
  <c r="B3102" i="13"/>
  <c r="B3103" i="13"/>
  <c r="B3104" i="13"/>
  <c r="B3105" i="13"/>
  <c r="B3106" i="13"/>
  <c r="B3107" i="13"/>
  <c r="B3108" i="13"/>
  <c r="B3109" i="13"/>
  <c r="B3110" i="13"/>
  <c r="B3111" i="13"/>
  <c r="B3112" i="13"/>
  <c r="B3113" i="13"/>
  <c r="B3114" i="13"/>
  <c r="B3115" i="13"/>
  <c r="B3116" i="13"/>
  <c r="B3117" i="13"/>
  <c r="B3118" i="13"/>
  <c r="B3119" i="13"/>
  <c r="B3120" i="13"/>
  <c r="B3121" i="13"/>
  <c r="B3122" i="13"/>
  <c r="B3123" i="13"/>
  <c r="B3124" i="13"/>
  <c r="B3125" i="13"/>
  <c r="B3126" i="13"/>
  <c r="B3127" i="13"/>
  <c r="B3128" i="13"/>
  <c r="B3129" i="13"/>
  <c r="B3130" i="13"/>
  <c r="B3131" i="13"/>
  <c r="B3132" i="13"/>
  <c r="B3133" i="13"/>
  <c r="B3134" i="13"/>
  <c r="B3135" i="13"/>
  <c r="B3136" i="13"/>
  <c r="B3137" i="13"/>
  <c r="B3138" i="13"/>
  <c r="B3139" i="13"/>
  <c r="B3140" i="13"/>
  <c r="B3141" i="13"/>
  <c r="B3142" i="13"/>
  <c r="B3143" i="13"/>
  <c r="B3144" i="13"/>
  <c r="B3145" i="13"/>
  <c r="B3146" i="13"/>
  <c r="B3147" i="13"/>
  <c r="B3148" i="13"/>
  <c r="B3149" i="13"/>
  <c r="B3150" i="13"/>
  <c r="B3151" i="13"/>
  <c r="B3152" i="13"/>
  <c r="B3153" i="13"/>
  <c r="B3154" i="13"/>
  <c r="B3155" i="13"/>
  <c r="B3156" i="13"/>
  <c r="B3157" i="13"/>
  <c r="B3158" i="13"/>
  <c r="B3159" i="13"/>
  <c r="B3160" i="13"/>
  <c r="B3161" i="13"/>
  <c r="B3162" i="13"/>
  <c r="B3163" i="13"/>
  <c r="B3164" i="13"/>
  <c r="B3165" i="13"/>
  <c r="B3166" i="13"/>
  <c r="B3167" i="13"/>
  <c r="B3168" i="13"/>
  <c r="B3169" i="13"/>
  <c r="B3170" i="13"/>
  <c r="B3171" i="13"/>
  <c r="B3172" i="13"/>
  <c r="B3173" i="13"/>
  <c r="B3174" i="13"/>
  <c r="B3175" i="13"/>
  <c r="B3176" i="13"/>
  <c r="B3177" i="13"/>
  <c r="B3178" i="13"/>
  <c r="B3179" i="13"/>
  <c r="B3180" i="13"/>
  <c r="B3181" i="13"/>
  <c r="B3182" i="13"/>
  <c r="B3183" i="13"/>
  <c r="B3184" i="13"/>
  <c r="B3185" i="13"/>
  <c r="B3186" i="13"/>
  <c r="B3187" i="13"/>
  <c r="B3188" i="13"/>
  <c r="B3189" i="13"/>
  <c r="B3190" i="13"/>
  <c r="B3191" i="13"/>
  <c r="B3192" i="13"/>
  <c r="B3193" i="13"/>
  <c r="B3194" i="13"/>
  <c r="B3195" i="13"/>
  <c r="B3196" i="13"/>
  <c r="B3197" i="13"/>
  <c r="B3198" i="13"/>
  <c r="B3199" i="13"/>
  <c r="B3200" i="13"/>
  <c r="B3201" i="13"/>
  <c r="B3202" i="13"/>
  <c r="B3203" i="13"/>
  <c r="B3204" i="13"/>
  <c r="B3205" i="13"/>
  <c r="B3206" i="13"/>
  <c r="B3207" i="13"/>
  <c r="B3208" i="13"/>
  <c r="B3209" i="13"/>
  <c r="B3210" i="13"/>
  <c r="B3211" i="13"/>
  <c r="B3212" i="13"/>
  <c r="B3213" i="13"/>
  <c r="B3214" i="13"/>
  <c r="B3215" i="13"/>
  <c r="B3216" i="13"/>
  <c r="B3217" i="13"/>
  <c r="B3218" i="13"/>
  <c r="B3219" i="13"/>
  <c r="B3220" i="13"/>
  <c r="B3221" i="13"/>
  <c r="B3222" i="13"/>
  <c r="B3223" i="13"/>
  <c r="B3224" i="13"/>
  <c r="B3225" i="13"/>
  <c r="B3226" i="13"/>
  <c r="B3227" i="13"/>
  <c r="B3228" i="13"/>
  <c r="B3229" i="13"/>
  <c r="B3230" i="13"/>
  <c r="B3231" i="13"/>
  <c r="B3232" i="13"/>
  <c r="B3233" i="13"/>
  <c r="B3234" i="13"/>
  <c r="B3235" i="13"/>
  <c r="B3236" i="13"/>
  <c r="B3237" i="13"/>
  <c r="B3238" i="13"/>
  <c r="B3239" i="13"/>
  <c r="B3240" i="13"/>
  <c r="B3241" i="13"/>
  <c r="B3242" i="13"/>
  <c r="B3243" i="13"/>
  <c r="B3244" i="13"/>
  <c r="B3245" i="13"/>
  <c r="B3246" i="13"/>
  <c r="B3247" i="13"/>
  <c r="B3248" i="13"/>
  <c r="B3249" i="13"/>
  <c r="B3250" i="13"/>
  <c r="B3251" i="13"/>
  <c r="B3252" i="13"/>
  <c r="B3253" i="13"/>
  <c r="B3254" i="13"/>
  <c r="B3255" i="13"/>
  <c r="B3256" i="13"/>
  <c r="B3257" i="13"/>
  <c r="B3258" i="13"/>
  <c r="B3259" i="13"/>
  <c r="B3260" i="13"/>
  <c r="B3261" i="13"/>
  <c r="B3262" i="13"/>
  <c r="B3263" i="13"/>
  <c r="B3264" i="13"/>
  <c r="B3265" i="13"/>
  <c r="B3266" i="13"/>
  <c r="B3267" i="13"/>
  <c r="B3268" i="13"/>
  <c r="B3269" i="13"/>
  <c r="B3270" i="13"/>
  <c r="B3271" i="13"/>
  <c r="B3272" i="13"/>
  <c r="B3273" i="13"/>
  <c r="B3274" i="13"/>
  <c r="B3275" i="13"/>
  <c r="B3276" i="13"/>
  <c r="B3277" i="13"/>
  <c r="B3278" i="13"/>
  <c r="B3279" i="13"/>
  <c r="B3280" i="13"/>
  <c r="B3281" i="13"/>
  <c r="B3282" i="13"/>
  <c r="B3283" i="13"/>
  <c r="B3284" i="13"/>
  <c r="B3285" i="13"/>
  <c r="B3286" i="13"/>
  <c r="B3287" i="13"/>
  <c r="B3288" i="13"/>
  <c r="B3289" i="13"/>
  <c r="B3290" i="13"/>
  <c r="B3291" i="13"/>
  <c r="B3292" i="13"/>
  <c r="B3293" i="13"/>
  <c r="B3294" i="13"/>
  <c r="B3295" i="13"/>
  <c r="B3296" i="13"/>
  <c r="B3297" i="13"/>
  <c r="B3298" i="13"/>
  <c r="B3299" i="13"/>
  <c r="B3300" i="13"/>
  <c r="B3301" i="13"/>
  <c r="B3302" i="13"/>
  <c r="B3303" i="13"/>
  <c r="B3304" i="13"/>
  <c r="B3305" i="13"/>
  <c r="B3306" i="13"/>
  <c r="B3307" i="13"/>
  <c r="B3308" i="13"/>
  <c r="B3309" i="13"/>
  <c r="B3310" i="13"/>
  <c r="B3311" i="13"/>
  <c r="B3312" i="13"/>
  <c r="B3313" i="13"/>
  <c r="B3314" i="13"/>
  <c r="B3315" i="13"/>
  <c r="B3316" i="13"/>
  <c r="B3317" i="13"/>
  <c r="B3318" i="13"/>
  <c r="B3319" i="13"/>
  <c r="B3320" i="13"/>
  <c r="B3321" i="13"/>
  <c r="B3322" i="13"/>
  <c r="B3323" i="13"/>
  <c r="B3324" i="13"/>
  <c r="B3325" i="13"/>
  <c r="B3326" i="13"/>
  <c r="B3327" i="13"/>
  <c r="B3328" i="13"/>
  <c r="B3329" i="13"/>
  <c r="B3330" i="13"/>
  <c r="B3331" i="13"/>
  <c r="B3332" i="13"/>
  <c r="B3333" i="13"/>
  <c r="B3334" i="13"/>
  <c r="B3335" i="13"/>
  <c r="B3336" i="13"/>
  <c r="B3337" i="13"/>
  <c r="B3338" i="13"/>
  <c r="B3339" i="13"/>
  <c r="B3340" i="13"/>
  <c r="B3341" i="13"/>
  <c r="B3342" i="13"/>
  <c r="B3343" i="13"/>
  <c r="B3344" i="13"/>
  <c r="B3345" i="13"/>
  <c r="B3346" i="13"/>
  <c r="B3347" i="13"/>
  <c r="B3348" i="13"/>
  <c r="B3349" i="13"/>
  <c r="B3350" i="13"/>
  <c r="B3351" i="13"/>
  <c r="B3352" i="13"/>
  <c r="B3353" i="13"/>
  <c r="B3354" i="13"/>
  <c r="B3355" i="13"/>
  <c r="B3356" i="13"/>
  <c r="B3357" i="13"/>
  <c r="B3358" i="13"/>
  <c r="B3359" i="13"/>
  <c r="B3360" i="13"/>
  <c r="B3361" i="13"/>
  <c r="B3362" i="13"/>
  <c r="B3363" i="13"/>
  <c r="B3364" i="13"/>
  <c r="B3365" i="13"/>
  <c r="B3366" i="13"/>
  <c r="B3367" i="13"/>
  <c r="B3368" i="13"/>
  <c r="B3369" i="13"/>
  <c r="B3370" i="13"/>
  <c r="B3371" i="13"/>
  <c r="B3372" i="13"/>
  <c r="B3373" i="13"/>
  <c r="B3374" i="13"/>
  <c r="B3375" i="13"/>
  <c r="B3376" i="13"/>
  <c r="B3377" i="13"/>
  <c r="B3378" i="13"/>
  <c r="B3379" i="13"/>
  <c r="B3380" i="13"/>
  <c r="B3381" i="13"/>
  <c r="B3382" i="13"/>
  <c r="B3383" i="13"/>
  <c r="B3384" i="13"/>
  <c r="B3385" i="13"/>
  <c r="B3386" i="13"/>
  <c r="B3387" i="13"/>
  <c r="B3388" i="13"/>
  <c r="B3389" i="13"/>
  <c r="B3390" i="13"/>
  <c r="B3391" i="13"/>
  <c r="B3392" i="13"/>
  <c r="B3393" i="13"/>
  <c r="B3394" i="13"/>
  <c r="B3395" i="13"/>
  <c r="B3396" i="13"/>
  <c r="B3397" i="13"/>
  <c r="B3398" i="13"/>
  <c r="B3399" i="13"/>
  <c r="B3400" i="13"/>
  <c r="B3401" i="13"/>
  <c r="B3402" i="13"/>
  <c r="B3403" i="13"/>
  <c r="B3404" i="13"/>
  <c r="B3405" i="13"/>
  <c r="B3406" i="13"/>
  <c r="B3407" i="13"/>
  <c r="B3408" i="13"/>
  <c r="B3409" i="13"/>
  <c r="B3410" i="13"/>
  <c r="B3411" i="13"/>
  <c r="B3412" i="13"/>
  <c r="B3413" i="13"/>
  <c r="B3414" i="13"/>
  <c r="B3415" i="13"/>
  <c r="B3416" i="13"/>
  <c r="B3417" i="13"/>
  <c r="B3418" i="13"/>
  <c r="B3419" i="13"/>
  <c r="B3420" i="13"/>
  <c r="B3421" i="13"/>
  <c r="B3422" i="13"/>
  <c r="B3423" i="13"/>
  <c r="B3424" i="13"/>
  <c r="B3425" i="13"/>
  <c r="B3426" i="13"/>
  <c r="B3427" i="13"/>
  <c r="B3428" i="13"/>
  <c r="B3429" i="13"/>
  <c r="B3430" i="13"/>
  <c r="B3431" i="13"/>
  <c r="B3432" i="13"/>
  <c r="B3433" i="13"/>
  <c r="B3434" i="13"/>
  <c r="B3435" i="13"/>
  <c r="B3436" i="13"/>
  <c r="B3437" i="13"/>
  <c r="B3438" i="13"/>
  <c r="B3439" i="13"/>
  <c r="B3440" i="13"/>
  <c r="B3441" i="13"/>
  <c r="B3442" i="13"/>
  <c r="B3443" i="13"/>
  <c r="B3444" i="13"/>
  <c r="B3445" i="13"/>
  <c r="B3446" i="13"/>
  <c r="B3447" i="13"/>
  <c r="B3448" i="13"/>
  <c r="B3449" i="13"/>
  <c r="B3450" i="13"/>
  <c r="B3451" i="13"/>
  <c r="B3452" i="13"/>
  <c r="B3453" i="13"/>
  <c r="B3454" i="13"/>
  <c r="B3455" i="13"/>
  <c r="B3456" i="13"/>
  <c r="B3457" i="13"/>
  <c r="B3458" i="13"/>
  <c r="B3459" i="13"/>
  <c r="B3460" i="13"/>
  <c r="B3461" i="13"/>
  <c r="B3462" i="13"/>
  <c r="B3463" i="13"/>
  <c r="B3464" i="13"/>
  <c r="B3465" i="13"/>
  <c r="B3466" i="13"/>
  <c r="B3467" i="13"/>
  <c r="B3468" i="13"/>
  <c r="B3469" i="13"/>
  <c r="B3470" i="13"/>
  <c r="B3471" i="13"/>
  <c r="B3472" i="13"/>
  <c r="B3473" i="13"/>
  <c r="B3474" i="13"/>
  <c r="B3475" i="13"/>
  <c r="B3476" i="13"/>
  <c r="B3477" i="13"/>
  <c r="B3478" i="13"/>
  <c r="B3479" i="13"/>
  <c r="B3480" i="13"/>
  <c r="B3481" i="13"/>
  <c r="B3482" i="13"/>
  <c r="B3483" i="13"/>
  <c r="B3484" i="13"/>
  <c r="B3485" i="13"/>
  <c r="B3486" i="13"/>
  <c r="B3487" i="13"/>
  <c r="B3488" i="13"/>
  <c r="B3489" i="13"/>
  <c r="B3490" i="13"/>
  <c r="B3491" i="13"/>
  <c r="B3492" i="13"/>
  <c r="B3493" i="13"/>
  <c r="B3494" i="13"/>
  <c r="B3495" i="13"/>
  <c r="B3496" i="13"/>
  <c r="B3497" i="13"/>
  <c r="B3498" i="13"/>
  <c r="B3499" i="13"/>
  <c r="B3500" i="13"/>
  <c r="B3501" i="13"/>
  <c r="B3502" i="13"/>
  <c r="B3503" i="13"/>
  <c r="B3504" i="13"/>
  <c r="B3505" i="13"/>
  <c r="B3506" i="13"/>
  <c r="B3507" i="13"/>
  <c r="B3508" i="13"/>
  <c r="B3509" i="13"/>
  <c r="B3510" i="13"/>
  <c r="B3511" i="13"/>
  <c r="B3512" i="13"/>
  <c r="B3513" i="13"/>
  <c r="B3514" i="13"/>
  <c r="B3515" i="13"/>
  <c r="B3516" i="13"/>
  <c r="B3517" i="13"/>
  <c r="B3518" i="13"/>
  <c r="B3519" i="13"/>
  <c r="B3520" i="13"/>
  <c r="B3521" i="13"/>
  <c r="B3522" i="13"/>
  <c r="B3523" i="13"/>
  <c r="B3524" i="13"/>
  <c r="B3525" i="13"/>
  <c r="B3526" i="13"/>
  <c r="B3527" i="13"/>
  <c r="B3528" i="13"/>
  <c r="B3529" i="13"/>
  <c r="B3530" i="13"/>
  <c r="B3531" i="13"/>
  <c r="B3532" i="13"/>
  <c r="B3533" i="13"/>
  <c r="B3534" i="13"/>
  <c r="B3535" i="13"/>
  <c r="B3536" i="13"/>
  <c r="B3537" i="13"/>
  <c r="B3538" i="13"/>
  <c r="B3539" i="13"/>
  <c r="B3540" i="13"/>
  <c r="B3541" i="13"/>
  <c r="B3542" i="13"/>
  <c r="B3543" i="13"/>
  <c r="B3544" i="13"/>
  <c r="B3545" i="13"/>
  <c r="B3546" i="13"/>
  <c r="B3547" i="13"/>
  <c r="B3548" i="13"/>
  <c r="B3549" i="13"/>
  <c r="B3550" i="13"/>
  <c r="B3551" i="13"/>
  <c r="B3552" i="13"/>
  <c r="B3553" i="13"/>
  <c r="B3554" i="13"/>
  <c r="B3555" i="13"/>
  <c r="B3556" i="13"/>
  <c r="B3557" i="13"/>
  <c r="B3558" i="13"/>
  <c r="B3559" i="13"/>
  <c r="B3560" i="13"/>
  <c r="B3561" i="13"/>
  <c r="B3562" i="13"/>
  <c r="B3563" i="13"/>
  <c r="B3564" i="13"/>
  <c r="B3565" i="13"/>
  <c r="B3566" i="13"/>
  <c r="B3567" i="13"/>
  <c r="B3568" i="13"/>
  <c r="B3569" i="13"/>
  <c r="B3570" i="13"/>
  <c r="B3571" i="13"/>
  <c r="B3572" i="13"/>
  <c r="B3573" i="13"/>
  <c r="B3574" i="13"/>
  <c r="B3575" i="13"/>
  <c r="B3576" i="13"/>
  <c r="B3577" i="13"/>
  <c r="B3578" i="13"/>
  <c r="B3579" i="13"/>
  <c r="B3580" i="13"/>
  <c r="B3581" i="13"/>
  <c r="B3582" i="13"/>
  <c r="B3583" i="13"/>
  <c r="B3584" i="13"/>
  <c r="B3585" i="13"/>
  <c r="B3586" i="13"/>
  <c r="B3587" i="13"/>
  <c r="B3588" i="13"/>
  <c r="B3589" i="13"/>
  <c r="B3590" i="13"/>
  <c r="B3591" i="13"/>
  <c r="B3592" i="13"/>
  <c r="B3593" i="13"/>
  <c r="B3594" i="13"/>
  <c r="B3595" i="13"/>
  <c r="B3596" i="13"/>
  <c r="B3597" i="13"/>
  <c r="B3598" i="13"/>
  <c r="B3599" i="13"/>
  <c r="B3600" i="13"/>
  <c r="B3601" i="13"/>
  <c r="B3602" i="13"/>
  <c r="B3603" i="13"/>
  <c r="B3604" i="13"/>
  <c r="B3605" i="13"/>
  <c r="B3606" i="13"/>
  <c r="B3607" i="13"/>
  <c r="B3608" i="13"/>
  <c r="B3609" i="13"/>
  <c r="B3610" i="13"/>
  <c r="B3611" i="13"/>
  <c r="B3612" i="13"/>
  <c r="B3613" i="13"/>
  <c r="B3614" i="13"/>
  <c r="B3615" i="13"/>
  <c r="B3616" i="13"/>
  <c r="B3617" i="13"/>
  <c r="B3618" i="13"/>
  <c r="B3619" i="13"/>
  <c r="B3620" i="13"/>
  <c r="B3621" i="13"/>
  <c r="B3622" i="13"/>
  <c r="B3623" i="13"/>
  <c r="B3624" i="13"/>
  <c r="B3625" i="13"/>
  <c r="B3626" i="13"/>
  <c r="B3627" i="13"/>
  <c r="B3628" i="13"/>
  <c r="B3629" i="13"/>
  <c r="B3630" i="13"/>
  <c r="B3631" i="13"/>
  <c r="B3632" i="13"/>
  <c r="B3633" i="13"/>
  <c r="B3634" i="13"/>
  <c r="B3635" i="13"/>
  <c r="B3636" i="13"/>
  <c r="B3637" i="13"/>
  <c r="B3638" i="13"/>
  <c r="B3639" i="13"/>
  <c r="B3640" i="13"/>
  <c r="B3641" i="13"/>
  <c r="B3642" i="13"/>
  <c r="B3643" i="13"/>
  <c r="B3644" i="13"/>
  <c r="B3645" i="13"/>
  <c r="B3646" i="13"/>
  <c r="B3647" i="13"/>
  <c r="B3648" i="13"/>
  <c r="B3649" i="13"/>
  <c r="B3650" i="13"/>
  <c r="B3651" i="13"/>
  <c r="B3652" i="13"/>
  <c r="B3653" i="13"/>
  <c r="B3654" i="13"/>
  <c r="B3655" i="13"/>
  <c r="B3656" i="13"/>
  <c r="B3657" i="13"/>
  <c r="B3658" i="13"/>
  <c r="B3659" i="13"/>
  <c r="B3660" i="13"/>
  <c r="B3661" i="13"/>
  <c r="B3662" i="13"/>
  <c r="B3663" i="13"/>
  <c r="B3664" i="13"/>
  <c r="B3665" i="13"/>
  <c r="B3666" i="13"/>
  <c r="B3667" i="13"/>
  <c r="B3668" i="13"/>
  <c r="B3669" i="13"/>
  <c r="B3670" i="13"/>
  <c r="B3671" i="13"/>
  <c r="B3672" i="13"/>
  <c r="B3673" i="13"/>
  <c r="B3674" i="13"/>
  <c r="B3675" i="13"/>
  <c r="B3676" i="13"/>
  <c r="B3677" i="13"/>
  <c r="B3678" i="13"/>
  <c r="B3679" i="13"/>
  <c r="B3680" i="13"/>
  <c r="B3681" i="13"/>
  <c r="B3682" i="13"/>
  <c r="B3683" i="13"/>
  <c r="B3684" i="13"/>
  <c r="B3685" i="13"/>
  <c r="B3686" i="13"/>
  <c r="B3687" i="13"/>
  <c r="B3688" i="13"/>
  <c r="B3689" i="13"/>
  <c r="B3690" i="13"/>
  <c r="B3691" i="13"/>
  <c r="B3692" i="13"/>
  <c r="B3693" i="13"/>
  <c r="B3694" i="13"/>
  <c r="B3695" i="13"/>
  <c r="B3696" i="13"/>
  <c r="B3697" i="13"/>
  <c r="B3698" i="13"/>
  <c r="B3699" i="13"/>
  <c r="B3700" i="13"/>
  <c r="B3701" i="13"/>
  <c r="B3702" i="13"/>
  <c r="B3703" i="13"/>
  <c r="B3704" i="13"/>
  <c r="B3705" i="13"/>
  <c r="B3706" i="13"/>
  <c r="B3707" i="13"/>
  <c r="B3708" i="13"/>
  <c r="B3709" i="13"/>
  <c r="B3710" i="13"/>
  <c r="B3711" i="13"/>
  <c r="B3712" i="13"/>
  <c r="B3713" i="13"/>
  <c r="B3714" i="13"/>
  <c r="B3715" i="13"/>
  <c r="B3716" i="13"/>
  <c r="B3717" i="13"/>
  <c r="B3718" i="13"/>
  <c r="B3719" i="13"/>
  <c r="B3720" i="13"/>
  <c r="B3721" i="13"/>
  <c r="B3722" i="13"/>
  <c r="B3723" i="13"/>
  <c r="B3724" i="13"/>
  <c r="B3725" i="13"/>
  <c r="B3726" i="13"/>
  <c r="B3727" i="13"/>
  <c r="B3728" i="13"/>
  <c r="B3729" i="13"/>
  <c r="B3730" i="13"/>
  <c r="B3731" i="13"/>
  <c r="B3732" i="13"/>
  <c r="B3733" i="13"/>
  <c r="B3734" i="13"/>
  <c r="B3735" i="13"/>
  <c r="B3736" i="13"/>
  <c r="B3737" i="13"/>
  <c r="B3738" i="13"/>
  <c r="B3739" i="13"/>
  <c r="B3740" i="13"/>
  <c r="B3741" i="13"/>
  <c r="B3742" i="13"/>
  <c r="B3743" i="13"/>
  <c r="B3744" i="13"/>
  <c r="B3745" i="13"/>
  <c r="B3746" i="13"/>
  <c r="B3747" i="13"/>
  <c r="B3748" i="13"/>
  <c r="B3749" i="13"/>
  <c r="B3750" i="13"/>
  <c r="B3751" i="13"/>
  <c r="B3752" i="13"/>
  <c r="B3753" i="13"/>
  <c r="B3754" i="13"/>
  <c r="B3755" i="13"/>
  <c r="B3756" i="13"/>
  <c r="B3757" i="13"/>
  <c r="B3758" i="13"/>
  <c r="B3759" i="13"/>
  <c r="B3760" i="13"/>
  <c r="B3761" i="13"/>
  <c r="B3762" i="13"/>
  <c r="B3763" i="13"/>
  <c r="B3764" i="13"/>
  <c r="B3765" i="13"/>
  <c r="B3766" i="13"/>
  <c r="B3767" i="13"/>
  <c r="B3768" i="13"/>
  <c r="B3769" i="13"/>
  <c r="B3770" i="13"/>
  <c r="B3771" i="13"/>
  <c r="B3772" i="13"/>
  <c r="B3773" i="13"/>
  <c r="B3774" i="13"/>
  <c r="B3775" i="13"/>
  <c r="B3776" i="13"/>
  <c r="B3777" i="13"/>
  <c r="B3778" i="13"/>
  <c r="B3779" i="13"/>
  <c r="B3780" i="13"/>
  <c r="B3781" i="13"/>
  <c r="B3782" i="13"/>
  <c r="B3783" i="13"/>
  <c r="B3784" i="13"/>
  <c r="B3785" i="13"/>
  <c r="U10" i="17" l="1"/>
  <c r="T10" i="17"/>
  <c r="S10" i="17"/>
  <c r="N10" i="17"/>
  <c r="M10" i="17"/>
  <c r="L10" i="17"/>
  <c r="B2" i="13"/>
  <c r="U9" i="17"/>
  <c r="T9" i="17"/>
  <c r="S9" i="17"/>
  <c r="N9" i="17"/>
  <c r="M9" i="17"/>
  <c r="L9" i="17"/>
  <c r="U8" i="17"/>
  <c r="T8" i="17"/>
  <c r="S8" i="17"/>
  <c r="N8" i="17"/>
  <c r="M8" i="17"/>
  <c r="L8" i="17"/>
  <c r="U7" i="17"/>
  <c r="T7" i="17"/>
  <c r="S7" i="17"/>
  <c r="N7" i="17"/>
  <c r="M7" i="17"/>
  <c r="L7" i="17"/>
  <c r="U6" i="17"/>
  <c r="T6" i="17"/>
  <c r="S6" i="17"/>
  <c r="N6" i="17"/>
  <c r="M6" i="17"/>
  <c r="L6" i="17"/>
  <c r="U5" i="17"/>
  <c r="T5" i="17"/>
  <c r="S5" i="17"/>
  <c r="N5" i="17"/>
  <c r="M5" i="17"/>
  <c r="L5" i="17"/>
  <c r="U4" i="17"/>
  <c r="T4" i="17"/>
  <c r="S4" i="17"/>
  <c r="N4" i="17"/>
  <c r="M4" i="17"/>
  <c r="L4" i="17"/>
  <c r="U3" i="17"/>
  <c r="T3" i="17"/>
  <c r="S3" i="17"/>
  <c r="N3" i="17"/>
  <c r="M3" i="17"/>
  <c r="L3" i="17"/>
  <c r="U2" i="17"/>
  <c r="T2" i="17"/>
  <c r="S2" i="17"/>
  <c r="N2" i="17"/>
  <c r="M2" i="17"/>
  <c r="L2" i="17"/>
  <c r="B18" i="16"/>
  <c r="B6" i="16"/>
  <c r="B5" i="16"/>
  <c r="B24" i="16"/>
</calcChain>
</file>

<file path=xl/sharedStrings.xml><?xml version="1.0" encoding="utf-8"?>
<sst xmlns="http://schemas.openxmlformats.org/spreadsheetml/2006/main" count="114028" uniqueCount="9731">
  <si>
    <t>IFCABSORBEDDOSEMEASURE</t>
  </si>
  <si>
    <t>xs:double</t>
  </si>
  <si>
    <t>IFCACCELERATIONMEASURE</t>
  </si>
  <si>
    <t>xs:string</t>
  </si>
  <si>
    <t>IFCAMOUNTOFSUBSTANCEMEASURE</t>
  </si>
  <si>
    <t>IFCANGULARVELOCITYMEASURE</t>
  </si>
  <si>
    <t>IFCAREADENSITYMEASURE</t>
  </si>
  <si>
    <t>IFCAREAMEASURE</t>
  </si>
  <si>
    <t>IFCARITHMETICOPERATORENUM</t>
  </si>
  <si>
    <t>IFCASSEMBLYPLACEENUM</t>
  </si>
  <si>
    <t>IFCBENCHMARKENUM</t>
  </si>
  <si>
    <t>IFCBINARY</t>
  </si>
  <si>
    <t>IFCBOOLEAN</t>
  </si>
  <si>
    <t>xs:boolean</t>
  </si>
  <si>
    <t>IFCBOXALIGNMENT</t>
  </si>
  <si>
    <t>IFCCARDINALPOINTREFERENCE</t>
  </si>
  <si>
    <t>xs:integer</t>
  </si>
  <si>
    <t>IFCCHANGEACTIONENUM</t>
  </si>
  <si>
    <t>IFCCONSTRAINTENUM</t>
  </si>
  <si>
    <t>IFCCONTEXTDEPENDENTMEASURE</t>
  </si>
  <si>
    <t>IFCCOUNTMEASURE</t>
  </si>
  <si>
    <t>IFCCURRENCYENUM</t>
  </si>
  <si>
    <t>IFCCURVATUREMEASURE</t>
  </si>
  <si>
    <t>IFCCURVEINTERPOLATIONENUM</t>
  </si>
  <si>
    <t>IFCDATAORIGINENUM</t>
  </si>
  <si>
    <t>IFCDATE</t>
  </si>
  <si>
    <t>xs:date</t>
  </si>
  <si>
    <t>IFCDATETIME</t>
  </si>
  <si>
    <t>xs:dateTime</t>
  </si>
  <si>
    <t>IFCDAYINMONTHNUMBER</t>
  </si>
  <si>
    <t>IFCDAYINWEEKNUMBER</t>
  </si>
  <si>
    <t>IFCDAYLIGHTSAVINGHOUR</t>
  </si>
  <si>
    <t>IFCDERIVEDUNITENUM</t>
  </si>
  <si>
    <t>IFCDESCRIPTIVEMEASURE</t>
  </si>
  <si>
    <t>IFCDIMENSIONCOUNT</t>
  </si>
  <si>
    <t>IFCDIRECTIONSENSEENUM</t>
  </si>
  <si>
    <t>IFCDISTRIBUTIONSYSTEMENUM</t>
  </si>
  <si>
    <t>IFCDOCUMENTCONFIDENTIALITYENUM</t>
  </si>
  <si>
    <t>IFCDOCUMENTSTATUSENUM</t>
  </si>
  <si>
    <t>IFCDOORPANELOPERATIONENUM</t>
  </si>
  <si>
    <t>IFCDOORPANELPOSITIONENUM</t>
  </si>
  <si>
    <t>IFCDOORSTYLECONSTRUCTIONENUM</t>
  </si>
  <si>
    <t>IFCDOORSTYLEOPERATIONENUM</t>
  </si>
  <si>
    <t>IFCDOORTYPEOPERATIONENUM</t>
  </si>
  <si>
    <t>IFCDOSEEQUIVALENTMEASURE</t>
  </si>
  <si>
    <t>IFCDURATION</t>
  </si>
  <si>
    <t>xs:duration</t>
  </si>
  <si>
    <t>IFCDYNAMICVISCOSITYMEASURE</t>
  </si>
  <si>
    <t>IFCELECTRICCAPACITANCEMEASURE</t>
  </si>
  <si>
    <t>IFCELECTRICCHARGEMEASURE</t>
  </si>
  <si>
    <t>IFCELECTRICCONDUCTANCEMEASURE</t>
  </si>
  <si>
    <t>IFCELECTRICCURRENTENUM</t>
  </si>
  <si>
    <t>IFCELECTRICCURRENTMEASURE</t>
  </si>
  <si>
    <t>IFCELECTRICDISTRIBUTIONPOINTFUNCTIONENUM</t>
  </si>
  <si>
    <t>IFCELECTRICRESISTANCEMEASURE</t>
  </si>
  <si>
    <t>IFCELECTRICVOLTAGEMEASURE</t>
  </si>
  <si>
    <t>IFCELEMENTCOMPOSITIONENUM</t>
  </si>
  <si>
    <t>IFCENERGYMEASURE</t>
  </si>
  <si>
    <t>IFCENERGYSEQUENCEENUM</t>
  </si>
  <si>
    <t>IFCENVIRONMENTALIMPACTCATEGORYENUM</t>
  </si>
  <si>
    <t>IFCFACILITYUSAGEENUM</t>
  </si>
  <si>
    <t>IFCFLOWDIRECTIONENUM</t>
  </si>
  <si>
    <t>IFCFONTSTYLE</t>
  </si>
  <si>
    <t>IFCFONTVARIANT</t>
  </si>
  <si>
    <t>IFCFONTWEIGHT</t>
  </si>
  <si>
    <t>IFCFORCEMEASURE</t>
  </si>
  <si>
    <t>IFCFREQUENCYMEASURE</t>
  </si>
  <si>
    <t>IFCGEOMETRICPROJECTIONENUM</t>
  </si>
  <si>
    <t>IFCGLOBALLYUNIQUEID</t>
  </si>
  <si>
    <t>IFCGLOBALORLOCALENUM</t>
  </si>
  <si>
    <t>IFCHEATFLUXDENSITYMEASURE</t>
  </si>
  <si>
    <t>IFCHEATINGVALUEMEASURE</t>
  </si>
  <si>
    <t>IFCHOURINDAY</t>
  </si>
  <si>
    <t>IFCIDENTIFIER</t>
  </si>
  <si>
    <t>IFCILLUMINANCEMEASURE</t>
  </si>
  <si>
    <t>IFCINDUCTANCEMEASURE</t>
  </si>
  <si>
    <t>IFCINTEGER</t>
  </si>
  <si>
    <t>IFCINTEGERCOUNTRATEMEASURE</t>
  </si>
  <si>
    <t>IFCINTERNALOREXTERNALENUM</t>
  </si>
  <si>
    <t>IFCIONCONCENTRATIONMEASURE</t>
  </si>
  <si>
    <t>IFCISOTHERMALMOISTURECAPACITYMEASURE</t>
  </si>
  <si>
    <t>IFCKINEMATICVISCOSITYMEASURE</t>
  </si>
  <si>
    <t>IFCLABEL</t>
  </si>
  <si>
    <t>IFCLANGUAGEID</t>
  </si>
  <si>
    <t>IFCLAYERSETDIRECTIONENUM</t>
  </si>
  <si>
    <t>IFCLENGTHMEASURE</t>
  </si>
  <si>
    <t>IFCLIGHTDISTRIBUTIONCURVEENUM</t>
  </si>
  <si>
    <t>IFCLIGHTEMISSIONSOURCEENUM</t>
  </si>
  <si>
    <t>IFCLINEARFORCEMEASURE</t>
  </si>
  <si>
    <t>IFCLINEARMOMENTMEASURE</t>
  </si>
  <si>
    <t>IFCLINEARSTIFFNESSMEASURE</t>
  </si>
  <si>
    <t>IFCLINEARVELOCITYMEASURE</t>
  </si>
  <si>
    <t>IFCLOGICAL</t>
  </si>
  <si>
    <t>IFCLOGICALOPERATORENUM</t>
  </si>
  <si>
    <t>IFCLUMINOUSFLUXMEASURE</t>
  </si>
  <si>
    <t>IFCLUMINOUSINTENSITYDISTRIBUTIONMEASURE</t>
  </si>
  <si>
    <t>IFCLUMINOUSINTENSITYMEASURE</t>
  </si>
  <si>
    <t>IFCMAGNETICFLUXDENSITYMEASURE</t>
  </si>
  <si>
    <t>IFCMAGNETICFLUXMEASURE</t>
  </si>
  <si>
    <t>IFCMASSDENSITYMEASURE</t>
  </si>
  <si>
    <t>IFCMASSFLOWRATEMEASURE</t>
  </si>
  <si>
    <t>IFCMASSMEASURE</t>
  </si>
  <si>
    <t>IFCMASSPERLENGTHMEASURE</t>
  </si>
  <si>
    <t>IFCMINUTEINHOUR</t>
  </si>
  <si>
    <t>IFCMODULUSOFELASTICITYMEASURE</t>
  </si>
  <si>
    <t>IFCMODULUSOFLINEARSUBGRADEREACTIONMEASURE</t>
  </si>
  <si>
    <t>IFCMODULUSOFROTATIONALSUBGRADEREACTIONMEASURE</t>
  </si>
  <si>
    <t>IFCMODULUSOFSUBGRADEREACTIONMEASURE</t>
  </si>
  <si>
    <t>IFCMOISTUREDIFFUSIVITYMEASURE</t>
  </si>
  <si>
    <t>IFCMOLECULARWEIGHTMEASURE</t>
  </si>
  <si>
    <t>IFCMOMENTOFINERTIAMEASURE</t>
  </si>
  <si>
    <t>IFCMONETARYMEASURE</t>
  </si>
  <si>
    <t>IFCMONTHINYEARNUMBER</t>
  </si>
  <si>
    <t>IFCNONNEGATIVELENGTHMEASURE</t>
  </si>
  <si>
    <t>IFCNORMALISEDRATIOMEASURE</t>
  </si>
  <si>
    <t>IFCNULLSTYLE</t>
  </si>
  <si>
    <t>IFCNUMERICMEASURE</t>
  </si>
  <si>
    <t>IFCOBJECTIVEENUM</t>
  </si>
  <si>
    <t>IFCPARAMETERVALUE</t>
  </si>
  <si>
    <t>IFCPERMEABLECOVERINGOPERATIONENUM</t>
  </si>
  <si>
    <t>IFCPHMEASURE</t>
  </si>
  <si>
    <t>IFCPHYSICALORVIRTUALENUM</t>
  </si>
  <si>
    <t>IFCPILECONSTRUCTIONENUM</t>
  </si>
  <si>
    <t>IFCPLANARFORCEMEASURE</t>
  </si>
  <si>
    <t>IFCPLANEANGLEMEASURE</t>
  </si>
  <si>
    <t>IFCPOSITIVEINTEGER</t>
  </si>
  <si>
    <t>IFCPOSITIVELENGTHMEASURE</t>
  </si>
  <si>
    <t>IFCPOSITIVEPLANEANGLEMEASURE</t>
  </si>
  <si>
    <t>IFCPOSITIVERATIOMEASURE</t>
  </si>
  <si>
    <t>IFCPOWERMEASURE</t>
  </si>
  <si>
    <t>IFCPRESENTABLETEXT</t>
  </si>
  <si>
    <t>IFCPRESSUREMEASURE</t>
  </si>
  <si>
    <t>IFCPROJECTEDORTRUELENGTHENUM</t>
  </si>
  <si>
    <t>IFCPROPERTYSOURCEENUM</t>
  </si>
  <si>
    <t>IFCRADIOACTIVITYMEASURE</t>
  </si>
  <si>
    <t>IFCRATIOMEASURE</t>
  </si>
  <si>
    <t>IFCREAL</t>
  </si>
  <si>
    <t>IFCREFLECTANCEMETHODENUM</t>
  </si>
  <si>
    <t>IFCREINFORCINGBARROLEENUM</t>
  </si>
  <si>
    <t>IFCREINFORCINGBARSURFACEENUM</t>
  </si>
  <si>
    <t>IFCRESOURCECONSUMPTIONENUM</t>
  </si>
  <si>
    <t>IFCRIBPLATEDIRECTIONENUM</t>
  </si>
  <si>
    <t>IFCROLEENUM</t>
  </si>
  <si>
    <t>IFCROTATIONALFREQUENCYMEASURE</t>
  </si>
  <si>
    <t>IFCROTATIONALMASSMEASURE</t>
  </si>
  <si>
    <t>IFCROTATIONALSTIFFNESSMEASURE</t>
  </si>
  <si>
    <t>IFCSECONDINMINUTE</t>
  </si>
  <si>
    <t>IFCSECTIONALAREAINTEGRALMEASURE</t>
  </si>
  <si>
    <t>IFCSECTIONMODULUSMEASURE</t>
  </si>
  <si>
    <t>IFCSEQUENCEENUM</t>
  </si>
  <si>
    <t>IFCSHEARMODULUSMEASURE</t>
  </si>
  <si>
    <t>IFCSOLIDANGLEMEASURE</t>
  </si>
  <si>
    <t>IFCSOUNDPOWERLEVELMEASURE</t>
  </si>
  <si>
    <t>IFCSOUNDPOWERMEASURE</t>
  </si>
  <si>
    <t>IFCSOUNDPRESSURELEVELMEASURE</t>
  </si>
  <si>
    <t>IFCSOUNDPRESSUREMEASURE</t>
  </si>
  <si>
    <t>IFCSOUNDSCALEENUM</t>
  </si>
  <si>
    <t>IFCSPECIFICHEATCAPACITYMEASURE</t>
  </si>
  <si>
    <t>IFCSPECULAREXPONENT</t>
  </si>
  <si>
    <t>IFCSPECULARROUGHNESS</t>
  </si>
  <si>
    <t>IFCSTATEENUM</t>
  </si>
  <si>
    <t>IFCSTRIPPEDOPTIONAL</t>
  </si>
  <si>
    <t>IFCSURFACETEXTUREENUM</t>
  </si>
  <si>
    <t>IFCTASKDURATIONENUM</t>
  </si>
  <si>
    <t>IFCTEMPERATUREGRADIENTMEASURE</t>
  </si>
  <si>
    <t>IFCTEMPERATURERATEOFCHANGEMEASURE</t>
  </si>
  <si>
    <t>IFCTEXT</t>
  </si>
  <si>
    <t>IFCTEXTALIGNMENT</t>
  </si>
  <si>
    <t>IFCTEXTDECORATION</t>
  </si>
  <si>
    <t>IFCTEXTFONTNAME</t>
  </si>
  <si>
    <t>IFCTEXTTRANSFORMATION</t>
  </si>
  <si>
    <t>IFCTHERMALADMITTANCEMEASURE</t>
  </si>
  <si>
    <t>IFCTHERMALCONDUCTIVITYMEASURE</t>
  </si>
  <si>
    <t>IFCTHERMALEXPANSIONCOEFFICIENTMEASURE</t>
  </si>
  <si>
    <t>IFCTHERMALLOADSOURCEENUM</t>
  </si>
  <si>
    <t>IFCTHERMALRESISTANCEMEASURE</t>
  </si>
  <si>
    <t>IFCTHERMALTRANSMITTANCEMEASURE</t>
  </si>
  <si>
    <t>IFCTHERMODYNAMICTEMPERATUREMEASURE</t>
  </si>
  <si>
    <t>IFCTIME</t>
  </si>
  <si>
    <t>xs:time</t>
  </si>
  <si>
    <t>IFCTIMEMEASURE</t>
  </si>
  <si>
    <t>IFCTIMESTAMP</t>
  </si>
  <si>
    <t>IFCTORQUEMEASURE</t>
  </si>
  <si>
    <t>IFCUNITENUM</t>
  </si>
  <si>
    <t>IFCURIREFERENCE</t>
  </si>
  <si>
    <t>IFCVAPORPERMEABILITYMEASURE</t>
  </si>
  <si>
    <t>IFCVOLUMEMEASURE</t>
  </si>
  <si>
    <t>IFCVOLUMETRICFLOWRATEMEASURE</t>
  </si>
  <si>
    <t>IFCWARPINGCONSTANTMEASURE</t>
  </si>
  <si>
    <t>IFCWARPINGMOMENTMEASURE</t>
  </si>
  <si>
    <t>IFCWELLKNOWNTEXTLITERAL</t>
  </si>
  <si>
    <t>IFCWINDOWPANELOPERATIONENUM</t>
  </si>
  <si>
    <t>IFCWINDOWPANELPOSITIONENUM</t>
  </si>
  <si>
    <t>IFCWINDOWSTYLECONSTRUCTIONENUM</t>
  </si>
  <si>
    <t>IFCWINDOWSTYLEOPERATIONENUM</t>
  </si>
  <si>
    <t>IFCWINDOWTYPEPARTITIONINGENUM</t>
  </si>
  <si>
    <t>IFCYEARNUMBER</t>
  </si>
  <si>
    <t>Ifc2x3</t>
  </si>
  <si>
    <t>Ifc4</t>
  </si>
  <si>
    <t>Ifc4x3</t>
  </si>
  <si>
    <t>Restriction base type</t>
  </si>
  <si>
    <t>DataType</t>
  </si>
  <si>
    <t>ARITHMETICOPERATORENUM</t>
  </si>
  <si>
    <t>ASSEMBLYPLACEENUM</t>
  </si>
  <si>
    <t>BENCHMARKENUM</t>
  </si>
  <si>
    <t>BINARY</t>
  </si>
  <si>
    <t>BOOLEAN</t>
  </si>
  <si>
    <t>BOXALIGNMENT</t>
  </si>
  <si>
    <t>CARDINALPOINTREFERENCE</t>
  </si>
  <si>
    <t>CHANGEACTIONENUM</t>
  </si>
  <si>
    <t>CONSTRAINTENUM</t>
  </si>
  <si>
    <t>CURRENCYENUM</t>
  </si>
  <si>
    <t>CURVEINTERPOLATIONENUM</t>
  </si>
  <si>
    <t>DATAORIGINENUM</t>
  </si>
  <si>
    <t>DATE</t>
  </si>
  <si>
    <t>DATETIME</t>
  </si>
  <si>
    <t>DAYINMONTHNUMBER</t>
  </si>
  <si>
    <t>DAYINWEEKNUMBER</t>
  </si>
  <si>
    <t>DAYLIGHTSAVINGHOUR</t>
  </si>
  <si>
    <t>DERIVEDUNITENUM</t>
  </si>
  <si>
    <t>DIMENSIONCOUNT</t>
  </si>
  <si>
    <t>DIRECTIONSENSEENUM</t>
  </si>
  <si>
    <t>DISTRIBUTIONSYSTEMENUM</t>
  </si>
  <si>
    <t>DOCUMENTCONFIDENTIALITYENUM</t>
  </si>
  <si>
    <t>DOCUMENTSTATUSENUM</t>
  </si>
  <si>
    <t>DOORPANELOPERATIONENUM</t>
  </si>
  <si>
    <t>DOORPANELPOSITIONENUM</t>
  </si>
  <si>
    <t>DOORSTYLECONSTRUCTIONENUM</t>
  </si>
  <si>
    <t>DOORSTYLEOPERATIONENUM</t>
  </si>
  <si>
    <t>DOORTYPEOPERATIONENUM</t>
  </si>
  <si>
    <t>DURATION</t>
  </si>
  <si>
    <t>ELECTRICCURRENTENUM</t>
  </si>
  <si>
    <t>ELECTRICDISTRIBUTIONPOINTFUNCTIONENUM</t>
  </si>
  <si>
    <t>ELEMENTCOMPOSITIONENUM</t>
  </si>
  <si>
    <t>ENERGYSEQUENCEENUM</t>
  </si>
  <si>
    <t>ENVIRONMENTALIMPACTCATEGORYENUM</t>
  </si>
  <si>
    <t>FACILITYUSAGEENUM</t>
  </si>
  <si>
    <t>FLOWDIRECTIONENUM</t>
  </si>
  <si>
    <t>FONTSTYLE</t>
  </si>
  <si>
    <t>FONTVARIANT</t>
  </si>
  <si>
    <t>FONTWEIGHT</t>
  </si>
  <si>
    <t>GEOMETRICPROJECTIONENUM</t>
  </si>
  <si>
    <t>GLOBALLYUNIQUEID</t>
  </si>
  <si>
    <t>GLOBALORLOCALENUM</t>
  </si>
  <si>
    <t>HOURINDAY</t>
  </si>
  <si>
    <t>IDENTIFIER</t>
  </si>
  <si>
    <t>INTEGER</t>
  </si>
  <si>
    <t>INTERNALOREXTERNALENUM</t>
  </si>
  <si>
    <t>LABEL</t>
  </si>
  <si>
    <t>LANGUAGEID</t>
  </si>
  <si>
    <t>LAYERSETDIRECTIONENUM</t>
  </si>
  <si>
    <t>LIGHTDISTRIBUTIONCURVEENUM</t>
  </si>
  <si>
    <t>LIGHTEMISSIONSOURCEENUM</t>
  </si>
  <si>
    <t>LOGICAL</t>
  </si>
  <si>
    <t>LOGICALOPERATORENUM</t>
  </si>
  <si>
    <t>MINUTEINHOUR</t>
  </si>
  <si>
    <t>MONTHINYEARNUMBER</t>
  </si>
  <si>
    <t>NULLSTYLE</t>
  </si>
  <si>
    <t>OBJECTIVEENUM</t>
  </si>
  <si>
    <t>PARAMETERVALUE</t>
  </si>
  <si>
    <t>PERMEABLECOVERINGOPERATIONENUM</t>
  </si>
  <si>
    <t>PHYSICALORVIRTUALENUM</t>
  </si>
  <si>
    <t>PILECONSTRUCTIONENUM</t>
  </si>
  <si>
    <t>POSITIVEINTEGER</t>
  </si>
  <si>
    <t>PRESENTABLETEXT</t>
  </si>
  <si>
    <t>PROJECTEDORTRUELENGTHENUM</t>
  </si>
  <si>
    <t>PROPERTYSOURCEENUM</t>
  </si>
  <si>
    <t>REAL</t>
  </si>
  <si>
    <t>REFLECTANCEMETHODENUM</t>
  </si>
  <si>
    <t>REINFORCINGBARROLEENUM</t>
  </si>
  <si>
    <t>REINFORCINGBARSURFACEENUM</t>
  </si>
  <si>
    <t>RESOURCECONSUMPTIONENUM</t>
  </si>
  <si>
    <t>RIBPLATEDIRECTIONENUM</t>
  </si>
  <si>
    <t>ROLEENUM</t>
  </si>
  <si>
    <t>SECONDINMINUTE</t>
  </si>
  <si>
    <t>SEQUENCEENUM</t>
  </si>
  <si>
    <t>SOUNDSCALEENUM</t>
  </si>
  <si>
    <t>SPECULAREXPONENT</t>
  </si>
  <si>
    <t>SPECULARROUGHNESS</t>
  </si>
  <si>
    <t>STATEENUM</t>
  </si>
  <si>
    <t>STRIPPEDOPTIONAL</t>
  </si>
  <si>
    <t>SURFACETEXTUREENUM</t>
  </si>
  <si>
    <t>TASKDURATIONENUM</t>
  </si>
  <si>
    <t>TEXT</t>
  </si>
  <si>
    <t>TEXTALIGNMENT</t>
  </si>
  <si>
    <t>TEXTDECORATION</t>
  </si>
  <si>
    <t>TEXTFONTNAME</t>
  </si>
  <si>
    <t>TEXTTRANSFORMATION</t>
  </si>
  <si>
    <t>THERMALLOADSOURCEENUM</t>
  </si>
  <si>
    <t>TIME</t>
  </si>
  <si>
    <t>TIMESTAMP</t>
  </si>
  <si>
    <t>UNITENUM</t>
  </si>
  <si>
    <t>URIREFERENCE</t>
  </si>
  <si>
    <t>WELLKNOWNTEXTLITERAL</t>
  </si>
  <si>
    <t>WINDOWPANELOPERATIONENUM</t>
  </si>
  <si>
    <t>WINDOWPANELPOSITIONENUM</t>
  </si>
  <si>
    <t>WINDOWSTYLECONSTRUCTIONENUM</t>
  </si>
  <si>
    <t>WINDOWSTYLEOPERATIONENUM</t>
  </si>
  <si>
    <t>WINDOWTYPEPARTITIONINGENUM</t>
  </si>
  <si>
    <t>YEARNUMBER</t>
  </si>
  <si>
    <t>ABSORBEDDOSE MEASURE</t>
  </si>
  <si>
    <t>ACCELERATION MEASURE</t>
  </si>
  <si>
    <t>AMOUNTOFSUBSTANCE MEASURE</t>
  </si>
  <si>
    <t>ANGULARVELOCITY MEASURE</t>
  </si>
  <si>
    <t>AREADENSITY MEASURE</t>
  </si>
  <si>
    <t>AREA MEASURE</t>
  </si>
  <si>
    <t>CONTEXTDEPENDENT MEASURE</t>
  </si>
  <si>
    <t>COUNT MEASURE</t>
  </si>
  <si>
    <t>CURVATURE MEASURE</t>
  </si>
  <si>
    <t>DESCRIPTIVE MEASURE</t>
  </si>
  <si>
    <t>DOSEEQUIVALENT MEASURE</t>
  </si>
  <si>
    <t>DYNAMICVISCOSITY MEASURE</t>
  </si>
  <si>
    <t>ELECTRICCAPACITANCE MEASURE</t>
  </si>
  <si>
    <t>ELECTRICCHARGE MEASURE</t>
  </si>
  <si>
    <t>ELECTRICCONDUCTANCE MEASURE</t>
  </si>
  <si>
    <t>ELECTRICCURRENT MEASURE</t>
  </si>
  <si>
    <t>ELECTRICRESISTANCE MEASURE</t>
  </si>
  <si>
    <t>ELECTRICVOLTAGE MEASURE</t>
  </si>
  <si>
    <t>ENERGY MEASURE</t>
  </si>
  <si>
    <t>FORCE MEASURE</t>
  </si>
  <si>
    <t>FREQUENCY MEASURE</t>
  </si>
  <si>
    <t>HEATFLUXDENSITY MEASURE</t>
  </si>
  <si>
    <t>HEATINGVALUE MEASURE</t>
  </si>
  <si>
    <t>ILLUMINANCE MEASURE</t>
  </si>
  <si>
    <t>INDUCTANCE MEASURE</t>
  </si>
  <si>
    <t>INTEGERCOUNTRATE MEASURE</t>
  </si>
  <si>
    <t>IONCONCENTRATION MEASURE</t>
  </si>
  <si>
    <t>ISOTHERMALMOISTURECAPACITY MEASURE</t>
  </si>
  <si>
    <t>KINEMATICVISCOSITY MEASURE</t>
  </si>
  <si>
    <t>LENGTH MEASURE</t>
  </si>
  <si>
    <t>LINEARFORCE MEASURE</t>
  </si>
  <si>
    <t>LINEARMOMENT MEASURE</t>
  </si>
  <si>
    <t>LINEARSTIFFNESS MEASURE</t>
  </si>
  <si>
    <t>LINEARVELOCITY MEASURE</t>
  </si>
  <si>
    <t>LUMINOUSFLUX MEASURE</t>
  </si>
  <si>
    <t>LUMINOUSINTENSITYDISTRIBUTION MEASURE</t>
  </si>
  <si>
    <t>LUMINOUSINTENSITY MEASURE</t>
  </si>
  <si>
    <t>MAGNETICFLUXDENSITY MEASURE</t>
  </si>
  <si>
    <t>MAGNETICFLUX MEASURE</t>
  </si>
  <si>
    <t>MASSDENSITY MEASURE</t>
  </si>
  <si>
    <t>MASSFLOWRATE MEASURE</t>
  </si>
  <si>
    <t>MASS MEASURE</t>
  </si>
  <si>
    <t>MASSPERLENGTH MEASURE</t>
  </si>
  <si>
    <t>MODULUSOFELASTICITY MEASURE</t>
  </si>
  <si>
    <t>MODULUSOFLINEARSUBGRADEREACTION MEASURE</t>
  </si>
  <si>
    <t>MODULUSOFROTATIONALSUBGRADEREACTION MEASURE</t>
  </si>
  <si>
    <t>MODULUSOFSUBGRADEREACTION MEASURE</t>
  </si>
  <si>
    <t>MOISTUREDIFFUSIVITY MEASURE</t>
  </si>
  <si>
    <t>MOLECULARWEIGHT MEASURE</t>
  </si>
  <si>
    <t>MOMENTOFINERTIA MEASURE</t>
  </si>
  <si>
    <t>MONETARY MEASURE</t>
  </si>
  <si>
    <t>NONNEGATIVELENGTH MEASURE</t>
  </si>
  <si>
    <t>NORMALISEDRATIO MEASURE</t>
  </si>
  <si>
    <t>NUMERIC MEASURE</t>
  </si>
  <si>
    <t>PH MEASURE</t>
  </si>
  <si>
    <t>PLANARFORCE MEASURE</t>
  </si>
  <si>
    <t>PLANEANGLE MEASURE</t>
  </si>
  <si>
    <t>POSITIVELENGTH MEASURE</t>
  </si>
  <si>
    <t>POSITIVEPLANEANGLE MEASURE</t>
  </si>
  <si>
    <t>POSITIVERATIO MEASURE</t>
  </si>
  <si>
    <t>POWER MEASURE</t>
  </si>
  <si>
    <t>PRESSURE MEASURE</t>
  </si>
  <si>
    <t>RADIOACTIVITY MEASURE</t>
  </si>
  <si>
    <t>RATIO MEASURE</t>
  </si>
  <si>
    <t>ROTATIONALFREQUENCY MEASURE</t>
  </si>
  <si>
    <t>ROTATIONALMASS MEASURE</t>
  </si>
  <si>
    <t>ROTATIONALSTIFFNESS MEASURE</t>
  </si>
  <si>
    <t>SECTIONALAREAINTEGRAL MEASURE</t>
  </si>
  <si>
    <t>SECTIONMODULUS MEASURE</t>
  </si>
  <si>
    <t>SHEARMODULUS MEASURE</t>
  </si>
  <si>
    <t>SOLIDANGLE MEASURE</t>
  </si>
  <si>
    <t>SOUNDPOWERLEVEL MEASURE</t>
  </si>
  <si>
    <t>SOUNDPOWER MEASURE</t>
  </si>
  <si>
    <t>SOUNDPRESSURELEVEL MEASURE</t>
  </si>
  <si>
    <t>SOUNDPRESSURE MEASURE</t>
  </si>
  <si>
    <t>SPECIFICHEATCAPACITY MEASURE</t>
  </si>
  <si>
    <t>TEMPERATUREGRADIENT MEASURE</t>
  </si>
  <si>
    <t>TEMPERATURERATEOFCHANGE MEASURE</t>
  </si>
  <si>
    <t>THERMALADMITTANCE MEASURE</t>
  </si>
  <si>
    <t>THERMALCONDUCTIVITY MEASURE</t>
  </si>
  <si>
    <t>THERMALEXPANSIONCOEFFICIENT MEASURE</t>
  </si>
  <si>
    <t>THERMALRESISTANCE MEASURE</t>
  </si>
  <si>
    <t>THERMALTRANSMITTANCE MEASURE</t>
  </si>
  <si>
    <t>THERMODYNAMICTEMPERATURE MEASURE</t>
  </si>
  <si>
    <t>TIME MEASURE</t>
  </si>
  <si>
    <t>TORQUE MEASURE</t>
  </si>
  <si>
    <t>VAPORPERMEABILITY MEASURE</t>
  </si>
  <si>
    <t>VOLUME MEASURE</t>
  </si>
  <si>
    <t>VOLUMETRICFLOWRATE MEASURE</t>
  </si>
  <si>
    <t>WARPINGCONSTANT MEASURE</t>
  </si>
  <si>
    <t>WARPINGMOMENT MEASURE</t>
  </si>
  <si>
    <t>IFCACTIONREQUEST TYPE ENUM</t>
  </si>
  <si>
    <t>ACTIONREQUEST TYPE ENUM</t>
  </si>
  <si>
    <t>IFCACTIONSOURCE TYPE ENUM</t>
  </si>
  <si>
    <t>ACTIONSOURCE TYPE ENUM</t>
  </si>
  <si>
    <t>IFCACTION TYPE ENUM</t>
  </si>
  <si>
    <t>ACTION TYPE ENUM</t>
  </si>
  <si>
    <t>IFCACTUATOR TYPE ENUM</t>
  </si>
  <si>
    <t>ACTUATOR TYPE ENUM</t>
  </si>
  <si>
    <t>IFCADDRESS TYPE ENUM</t>
  </si>
  <si>
    <t>ADDRESS TYPE ENUM</t>
  </si>
  <si>
    <t>IFCAIRTERMINALBOX TYPE ENUM</t>
  </si>
  <si>
    <t>AIRTERMINALBOX TYPE ENUM</t>
  </si>
  <si>
    <t>IFCAIRTERMINAL TYPE ENUM</t>
  </si>
  <si>
    <t>AIRTERMINAL TYPE ENUM</t>
  </si>
  <si>
    <t>IFCAIRTOAIRHEATRECOVERY TYPE ENUM</t>
  </si>
  <si>
    <t>AIRTOAIRHEATRECOVERY TYPE ENUM</t>
  </si>
  <si>
    <t>IFCALARM TYPE ENUM</t>
  </si>
  <si>
    <t>ALARM TYPE ENUM</t>
  </si>
  <si>
    <t>IFCALIGNMENTCANTSEGMENT TYPE ENUM</t>
  </si>
  <si>
    <t>ALIGNMENTCANTSEGMENT TYPE ENUM</t>
  </si>
  <si>
    <t>IFCALIGNMENTHORIZONTALSEGMENT TYPE ENUM</t>
  </si>
  <si>
    <t>ALIGNMENTHORIZONTALSEGMENT TYPE ENUM</t>
  </si>
  <si>
    <t>IFCALIGNMENT TYPE ENUM</t>
  </si>
  <si>
    <t>ALIGNMENT TYPE ENUM</t>
  </si>
  <si>
    <t>IFCALIGNMENTVERTICALSEGMENT TYPE ENUM</t>
  </si>
  <si>
    <t>ALIGNMENTVERTICALSEGMENT TYPE ENUM</t>
  </si>
  <si>
    <t>IFCANALYSISMODEL TYPE ENUM</t>
  </si>
  <si>
    <t>ANALYSISMODEL TYPE ENUM</t>
  </si>
  <si>
    <t>IFCANALYSISTHEORY TYPE ENUM</t>
  </si>
  <si>
    <t>ANALYSISTHEORY TYPE ENUM</t>
  </si>
  <si>
    <t>IFCANNOTATION TYPE ENUM</t>
  </si>
  <si>
    <t>ANNOTATION TYPE ENUM</t>
  </si>
  <si>
    <t>IFCAUDIOVISUALAPPLIANCE TYPE ENUM</t>
  </si>
  <si>
    <t>AUDIOVISUALAPPLIANCE TYPE ENUM</t>
  </si>
  <si>
    <t>IFCBEAM TYPE ENUM</t>
  </si>
  <si>
    <t>BEAM TYPE ENUM</t>
  </si>
  <si>
    <t>IFCBEARING TYPE ENUM</t>
  </si>
  <si>
    <t>BEARING TYPE ENUM</t>
  </si>
  <si>
    <t>IFCBOILER TYPE ENUM</t>
  </si>
  <si>
    <t>BOILER TYPE ENUM</t>
  </si>
  <si>
    <t>IFCBRIDGEPART TYPE ENUM</t>
  </si>
  <si>
    <t>BRIDGEPART TYPE ENUM</t>
  </si>
  <si>
    <t>IFCBRIDGE TYPE ENUM</t>
  </si>
  <si>
    <t>BRIDGE TYPE ENUM</t>
  </si>
  <si>
    <t>IFCBUILDINGELEMENTPART TYPE ENUM</t>
  </si>
  <si>
    <t>BUILDINGELEMENTPART TYPE ENUM</t>
  </si>
  <si>
    <t>IFCBUILDINGELEMENTPROXY TYPE ENUM</t>
  </si>
  <si>
    <t>BUILDINGELEMENTPROXY TYPE ENUM</t>
  </si>
  <si>
    <t>IFCBUILDINGSYSTEM TYPE ENUM</t>
  </si>
  <si>
    <t>BUILDINGSYSTEM TYPE ENUM</t>
  </si>
  <si>
    <t>IFCBUILTSYSTEM TYPE ENUM</t>
  </si>
  <si>
    <t>BUILTSYSTEM TYPE ENUM</t>
  </si>
  <si>
    <t>IFCBURNER TYPE ENUM</t>
  </si>
  <si>
    <t>BURNER TYPE ENUM</t>
  </si>
  <si>
    <t>IFCCABLECARRIERFITTING TYPE ENUM</t>
  </si>
  <si>
    <t>CABLECARRIERFITTING TYPE ENUM</t>
  </si>
  <si>
    <t>IFCCABLECARRIERSEGMENT TYPE ENUM</t>
  </si>
  <si>
    <t>CABLECARRIERSEGMENT TYPE ENUM</t>
  </si>
  <si>
    <t>IFCCABLEFITTING TYPE ENUM</t>
  </si>
  <si>
    <t>CABLEFITTING TYPE ENUM</t>
  </si>
  <si>
    <t>IFCCABLESEGMENT TYPE ENUM</t>
  </si>
  <si>
    <t>CABLESEGMENT TYPE ENUM</t>
  </si>
  <si>
    <t>IFCCAISSONFOUNDATION TYPE ENUM</t>
  </si>
  <si>
    <t>CAISSONFOUNDATION TYPE ENUM</t>
  </si>
  <si>
    <t>IFCCHILLER TYPE ENUM</t>
  </si>
  <si>
    <t>CHILLER TYPE ENUM</t>
  </si>
  <si>
    <t>IFCCHIMNEY TYPE ENUM</t>
  </si>
  <si>
    <t>CHIMNEY TYPE ENUM</t>
  </si>
  <si>
    <t>IFCCOIL TYPE ENUM</t>
  </si>
  <si>
    <t>COIL TYPE ENUM</t>
  </si>
  <si>
    <t>IFCCOLUMN TYPE ENUM</t>
  </si>
  <si>
    <t>COLUMN TYPE ENUM</t>
  </si>
  <si>
    <t>IFCCOMMUNICATIONSAPPLIANCE TYPE ENUM</t>
  </si>
  <si>
    <t>COMMUNICATIONSAPPLIANCE TYPE ENUM</t>
  </si>
  <si>
    <t>IFCCOMPLEXPROPERTYTEMPLATE TYPE ENUM</t>
  </si>
  <si>
    <t>COMPLEXPROPERTYTEMPLATE TYPE ENUM</t>
  </si>
  <si>
    <t>IFCCOMPRESSOR TYPE ENUM</t>
  </si>
  <si>
    <t>COMPRESSOR TYPE ENUM</t>
  </si>
  <si>
    <t>IFCCONDENSER TYPE ENUM</t>
  </si>
  <si>
    <t>CONDENSER TYPE ENUM</t>
  </si>
  <si>
    <t>IFCCONNECTION TYPE ENUM</t>
  </si>
  <si>
    <t>CONNECTION TYPE ENUM</t>
  </si>
  <si>
    <t>IFCCONSTRUCTIONEQUIPMENTRESOURCE TYPE ENUM</t>
  </si>
  <si>
    <t>CONSTRUCTIONEQUIPMENTRESOURCE TYPE ENUM</t>
  </si>
  <si>
    <t>IFCCONSTRUCTIONMATERIALRESOURCE TYPE ENUM</t>
  </si>
  <si>
    <t>CONSTRUCTIONMATERIALRESOURCE TYPE ENUM</t>
  </si>
  <si>
    <t>IFCCONSTRUCTIONPRODUCTRESOURCE TYPE ENUM</t>
  </si>
  <si>
    <t>CONSTRUCTIONPRODUCTRESOURCE TYPE ENUM</t>
  </si>
  <si>
    <t>IFCCONTROLLER TYPE ENUM</t>
  </si>
  <si>
    <t>CONTROLLER TYPE ENUM</t>
  </si>
  <si>
    <t>IFCCONVEYORSEGMENT TYPE ENUM</t>
  </si>
  <si>
    <t>CONVEYORSEGMENT TYPE ENUM</t>
  </si>
  <si>
    <t>IFCCOOLEDBEAM TYPE ENUM</t>
  </si>
  <si>
    <t>COOLEDBEAM TYPE ENUM</t>
  </si>
  <si>
    <t>IFCCOOLINGTOWER TYPE ENUM</t>
  </si>
  <si>
    <t>COOLINGTOWER TYPE ENUM</t>
  </si>
  <si>
    <t>IFCCOSTITEM TYPE ENUM</t>
  </si>
  <si>
    <t>COSTITEM TYPE ENUM</t>
  </si>
  <si>
    <t>IFCCOSTSCHEDULE TYPE ENUM</t>
  </si>
  <si>
    <t>COSTSCHEDULE TYPE ENUM</t>
  </si>
  <si>
    <t>IFCCOURSE TYPE ENUM</t>
  </si>
  <si>
    <t>COURSE TYPE ENUM</t>
  </si>
  <si>
    <t>IFCCOVERING TYPE ENUM</t>
  </si>
  <si>
    <t>COVERING TYPE ENUM</t>
  </si>
  <si>
    <t>IFCCREWRESOURCE TYPE ENUM</t>
  </si>
  <si>
    <t>CREWRESOURCE TYPE ENUM</t>
  </si>
  <si>
    <t>IFCCURTAINWALL TYPE ENUM</t>
  </si>
  <si>
    <t>CURTAINWALL TYPE ENUM</t>
  </si>
  <si>
    <t>IFCDAMPER TYPE ENUM</t>
  </si>
  <si>
    <t>DAMPER TYPE ENUM</t>
  </si>
  <si>
    <t>IFCDISCRETEACCESSORY TYPE ENUM</t>
  </si>
  <si>
    <t>DISCRETEACCESSORY TYPE ENUM</t>
  </si>
  <si>
    <t>IFCDISTRIBUTIONBOARD TYPE ENUM</t>
  </si>
  <si>
    <t>DISTRIBUTIONBOARD TYPE ENUM</t>
  </si>
  <si>
    <t>IFCDISTRIBUTIONCHAMBERELEMENT TYPE ENUM</t>
  </si>
  <si>
    <t>DISTRIBUTIONCHAMBERELEMENT TYPE ENUM</t>
  </si>
  <si>
    <t>IFCDISTRIBUTIONPORT TYPE ENUM</t>
  </si>
  <si>
    <t>DISTRIBUTIONPORT TYPE ENUM</t>
  </si>
  <si>
    <t>IFCDOOR TYPE ENUM</t>
  </si>
  <si>
    <t>DOOR TYPE ENUM</t>
  </si>
  <si>
    <t>IFCDUCTFITTING TYPE ENUM</t>
  </si>
  <si>
    <t>DUCTFITTING TYPE ENUM</t>
  </si>
  <si>
    <t>IFCDUCTSEGMENT TYPE ENUM</t>
  </si>
  <si>
    <t>DUCTSEGMENT TYPE ENUM</t>
  </si>
  <si>
    <t>IFCDUCTSILENCER TYPE ENUM</t>
  </si>
  <si>
    <t>DUCTSILENCER TYPE ENUM</t>
  </si>
  <si>
    <t>IFCEARTHWORKSCUT TYPE ENUM</t>
  </si>
  <si>
    <t>EARTHWORKSCUT TYPE ENUM</t>
  </si>
  <si>
    <t>IFCEARTHWORKSFILL TYPE ENUM</t>
  </si>
  <si>
    <t>EARTHWORKSFILL TYPE ENUM</t>
  </si>
  <si>
    <t>IFCELECTRICAPPLIANCE TYPE ENUM</t>
  </si>
  <si>
    <t>ELECTRICAPPLIANCE TYPE ENUM</t>
  </si>
  <si>
    <t>IFCELECTRICDISTRIBUTIONBOARD TYPE ENUM</t>
  </si>
  <si>
    <t>ELECTRICDISTRIBUTIONBOARD TYPE ENUM</t>
  </si>
  <si>
    <t>IFCELECTRICFLOWSTORAGEDEVICE TYPE ENUM</t>
  </si>
  <si>
    <t>ELECTRICFLOWSTORAGEDEVICE TYPE ENUM</t>
  </si>
  <si>
    <t>IFCELECTRICFLOWTREATMENTDEVICE TYPE ENUM</t>
  </si>
  <si>
    <t>ELECTRICFLOWTREATMENTDEVICE TYPE ENUM</t>
  </si>
  <si>
    <t>IFCELECTRICGENERATOR TYPE ENUM</t>
  </si>
  <si>
    <t>ELECTRICGENERATOR TYPE ENUM</t>
  </si>
  <si>
    <t>IFCELECTRICHEATER TYPE ENUM</t>
  </si>
  <si>
    <t>ELECTRICHEATER TYPE ENUM</t>
  </si>
  <si>
    <t>IFCELECTRICMOTOR TYPE ENUM</t>
  </si>
  <si>
    <t>ELECTRICMOTOR TYPE ENUM</t>
  </si>
  <si>
    <t>IFCELECTRICTIMECONTROL TYPE ENUM</t>
  </si>
  <si>
    <t>ELECTRICTIMECONTROL TYPE ENUM</t>
  </si>
  <si>
    <t>IFCELEMENTASSEMBLY TYPE ENUM</t>
  </si>
  <si>
    <t>ELEMENTASSEMBLY TYPE ENUM</t>
  </si>
  <si>
    <t>IFCENGINE TYPE ENUM</t>
  </si>
  <si>
    <t>ENGINE TYPE ENUM</t>
  </si>
  <si>
    <t>IFCEVAPORATIVECOOLER TYPE ENUM</t>
  </si>
  <si>
    <t>EVAPORATIVECOOLER TYPE ENUM</t>
  </si>
  <si>
    <t>IFCEVAPORATOR TYPE ENUM</t>
  </si>
  <si>
    <t>EVAPORATOR TYPE ENUM</t>
  </si>
  <si>
    <t>IFCEVENTTRIGGER TYPE ENUM</t>
  </si>
  <si>
    <t>EVENTTRIGGER TYPE ENUM</t>
  </si>
  <si>
    <t>IFCEVENT TYPE ENUM</t>
  </si>
  <si>
    <t>EVENT TYPE ENUM</t>
  </si>
  <si>
    <t>IFCEXTERNALSPATIALELEMENT TYPE ENUM</t>
  </si>
  <si>
    <t>EXTERNALSPATIALELEMENT TYPE ENUM</t>
  </si>
  <si>
    <t>IFCFACILITYPARTCOMMON TYPE ENUM</t>
  </si>
  <si>
    <t>FACILITYPARTCOMMON TYPE ENUM</t>
  </si>
  <si>
    <t>IFCFAN TYPE ENUM</t>
  </si>
  <si>
    <t>FAN TYPE ENUM</t>
  </si>
  <si>
    <t>IFCFASTENER TYPE ENUM</t>
  </si>
  <si>
    <t>FASTENER TYPE ENUM</t>
  </si>
  <si>
    <t>IFCFILTER TYPE ENUM</t>
  </si>
  <si>
    <t>FILTER TYPE ENUM</t>
  </si>
  <si>
    <t>IFCFIRESUPPRESSIONTERMINAL TYPE ENUM</t>
  </si>
  <si>
    <t>FIRESUPPRESSIONTERMINAL TYPE ENUM</t>
  </si>
  <si>
    <t>IFCFLOWINSTRUMENT TYPE ENUM</t>
  </si>
  <si>
    <t>FLOWINSTRUMENT TYPE ENUM</t>
  </si>
  <si>
    <t>IFCFLOWMETER TYPE ENUM</t>
  </si>
  <si>
    <t>FLOWMETER TYPE ENUM</t>
  </si>
  <si>
    <t>IFCFOOTING TYPE ENUM</t>
  </si>
  <si>
    <t>FOOTING TYPE ENUM</t>
  </si>
  <si>
    <t>IFCFURNITURE TYPE ENUM</t>
  </si>
  <si>
    <t>FURNITURE TYPE ENUM</t>
  </si>
  <si>
    <t>IFCGASTERMINAL TYPE ENUM</t>
  </si>
  <si>
    <t>GASTERMINAL TYPE ENUM</t>
  </si>
  <si>
    <t>IFCGEOGRAPHICELEMENT TYPE ENUM</t>
  </si>
  <si>
    <t>GEOGRAPHICELEMENT TYPE ENUM</t>
  </si>
  <si>
    <t>IFCGEOTECHNICALSTRATUM TYPE ENUM</t>
  </si>
  <si>
    <t>GEOTECHNICALSTRATUM TYPE ENUM</t>
  </si>
  <si>
    <t>IFCGRID TYPE ENUM</t>
  </si>
  <si>
    <t>GRID TYPE ENUM</t>
  </si>
  <si>
    <t>IFCHEATEXCHANGER TYPE ENUM</t>
  </si>
  <si>
    <t>HEATEXCHANGER TYPE ENUM</t>
  </si>
  <si>
    <t>IFCHUMIDIFIER TYPE ENUM</t>
  </si>
  <si>
    <t>HUMIDIFIER TYPE ENUM</t>
  </si>
  <si>
    <t>IFCIMPACTPROTECTIONDEVICE TYPE ENUM</t>
  </si>
  <si>
    <t>IMPACTPROTECTIONDEVICE TYPE ENUM</t>
  </si>
  <si>
    <t>IFCINTERCEPTOR TYPE ENUM</t>
  </si>
  <si>
    <t>INTERCEPTOR TYPE ENUM</t>
  </si>
  <si>
    <t>IFCINVENTORY TYPE ENUM</t>
  </si>
  <si>
    <t>INVENTORY TYPE ENUM</t>
  </si>
  <si>
    <t>IFCJUNCTIONBOX TYPE ENUM</t>
  </si>
  <si>
    <t>JUNCTIONBOX TYPE ENUM</t>
  </si>
  <si>
    <t>IFCKERB TYPE ENUM</t>
  </si>
  <si>
    <t>KERB TYPE ENUM</t>
  </si>
  <si>
    <t>IFCLABORRESOURCE TYPE ENUM</t>
  </si>
  <si>
    <t>LABORRESOURCE TYPE ENUM</t>
  </si>
  <si>
    <t>IFCLAMP TYPE ENUM</t>
  </si>
  <si>
    <t>LAMP TYPE ENUM</t>
  </si>
  <si>
    <t>IFCLIGHTFIXTURE TYPE ENUM</t>
  </si>
  <si>
    <t>LIGHTFIXTURE TYPE ENUM</t>
  </si>
  <si>
    <t>IFCLIQUIDTERMINAL TYPE ENUM</t>
  </si>
  <si>
    <t>LIQUIDTERMINAL TYPE ENUM</t>
  </si>
  <si>
    <t>IFCLOADGROUP TYPE ENUM</t>
  </si>
  <si>
    <t>LOADGROUP TYPE ENUM</t>
  </si>
  <si>
    <t>IFCMARINEFACILITY TYPE ENUM</t>
  </si>
  <si>
    <t>MARINEFACILITY TYPE ENUM</t>
  </si>
  <si>
    <t>IFCMARINEPART TYPE ENUM</t>
  </si>
  <si>
    <t>MARINEPART TYPE ENUM</t>
  </si>
  <si>
    <t>IFCMECHANICALFASTENER TYPE ENUM</t>
  </si>
  <si>
    <t>MECHANICALFASTENER TYPE ENUM</t>
  </si>
  <si>
    <t>IFCMEDICALDEVICE TYPE ENUM</t>
  </si>
  <si>
    <t>MEDICALDEVICE TYPE ENUM</t>
  </si>
  <si>
    <t>IFCMEMBER TYPE ENUM</t>
  </si>
  <si>
    <t>MEMBER TYPE ENUM</t>
  </si>
  <si>
    <t>IFCMOBILETELECOMMUNICATIONSAPPLIANCE TYPE ENUM</t>
  </si>
  <si>
    <t>MOBILETELECOMMUNICATIONSAPPLIANCE TYPE ENUM</t>
  </si>
  <si>
    <t>IFCMOORINGDEVICE TYPE ENUM</t>
  </si>
  <si>
    <t>MOORINGDEVICE TYPE ENUM</t>
  </si>
  <si>
    <t>IFCMOTORCONNECTION TYPE ENUM</t>
  </si>
  <si>
    <t>MOTORCONNECTION TYPE ENUM</t>
  </si>
  <si>
    <t>IFCNAVIGATIONELEMENT TYPE ENUM</t>
  </si>
  <si>
    <t>NAVIGATIONELEMENT TYPE ENUM</t>
  </si>
  <si>
    <t>IFCOBJECT TYPE ENUM</t>
  </si>
  <si>
    <t>OBJECT TYPE ENUM</t>
  </si>
  <si>
    <t>IFCOCCUPANT TYPE ENUM</t>
  </si>
  <si>
    <t>OCCUPANT TYPE ENUM</t>
  </si>
  <si>
    <t>IFCOPENINGELEMENT TYPE ENUM</t>
  </si>
  <si>
    <t>OPENINGELEMENT TYPE ENUM</t>
  </si>
  <si>
    <t>IFCOUTLET TYPE ENUM</t>
  </si>
  <si>
    <t>OUTLET TYPE ENUM</t>
  </si>
  <si>
    <t>IFCPAVEMENT TYPE ENUM</t>
  </si>
  <si>
    <t>PAVEMENT TYPE ENUM</t>
  </si>
  <si>
    <t>IFCPERFORMANCEHISTORY TYPE ENUM</t>
  </si>
  <si>
    <t>PERFORMANCEHISTORY TYPE ENUM</t>
  </si>
  <si>
    <t>IFCPERMIT TYPE ENUM</t>
  </si>
  <si>
    <t>PERMIT TYPE ENUM</t>
  </si>
  <si>
    <t>IFCPILE TYPE ENUM</t>
  </si>
  <si>
    <t>PILE TYPE ENUM</t>
  </si>
  <si>
    <t>IFCPIPEFITTING TYPE ENUM</t>
  </si>
  <si>
    <t>PIPEFITTING TYPE ENUM</t>
  </si>
  <si>
    <t>IFCPIPESEGMENT TYPE ENUM</t>
  </si>
  <si>
    <t>PIPESEGMENT TYPE ENUM</t>
  </si>
  <si>
    <t>IFCPLATE TYPE ENUM</t>
  </si>
  <si>
    <t>PLATE TYPE ENUM</t>
  </si>
  <si>
    <t>IFCPROCEDURE TYPE ENUM</t>
  </si>
  <si>
    <t>PROCEDURE TYPE ENUM</t>
  </si>
  <si>
    <t>IFCPROFILE TYPE ENUM</t>
  </si>
  <si>
    <t>PROFILE TYPE ENUM</t>
  </si>
  <si>
    <t>IFCPROJECTIONELEMENT TYPE ENUM</t>
  </si>
  <si>
    <t>PROJECTIONELEMENT TYPE ENUM</t>
  </si>
  <si>
    <t>IFCPROJECTORDERRECORD TYPE ENUM</t>
  </si>
  <si>
    <t>PROJECTORDERRECORD TYPE ENUM</t>
  </si>
  <si>
    <t>IFCPROJECTORDER TYPE ENUM</t>
  </si>
  <si>
    <t>PROJECTORDER TYPE ENUM</t>
  </si>
  <si>
    <t>IFCPROPERTYSETTEMPLATE TYPE ENUM</t>
  </si>
  <si>
    <t>PROPERTYSETTEMPLATE TYPE ENUM</t>
  </si>
  <si>
    <t>IFCPROTECTIVEDEVICETRIPPINGUNIT TYPE ENUM</t>
  </si>
  <si>
    <t>PROTECTIVEDEVICETRIPPINGUNIT TYPE ENUM</t>
  </si>
  <si>
    <t>IFCPROTECTIVEDEVICE TYPE ENUM</t>
  </si>
  <si>
    <t>PROTECTIVEDEVICE TYPE ENUM</t>
  </si>
  <si>
    <t>IFCPUMP TYPE ENUM</t>
  </si>
  <si>
    <t>PUMP TYPE ENUM</t>
  </si>
  <si>
    <t>IFCRAILING TYPE ENUM</t>
  </si>
  <si>
    <t>RAILING TYPE ENUM</t>
  </si>
  <si>
    <t>IFCRAIL TYPE ENUM</t>
  </si>
  <si>
    <t>RAIL TYPE ENUM</t>
  </si>
  <si>
    <t>IFCRAILWAYPART TYPE ENUM</t>
  </si>
  <si>
    <t>RAILWAYPART TYPE ENUM</t>
  </si>
  <si>
    <t>IFCRAILWAY TYPE ENUM</t>
  </si>
  <si>
    <t>RAILWAY TYPE ENUM</t>
  </si>
  <si>
    <t>IFCRAMPFLIGHT TYPE ENUM</t>
  </si>
  <si>
    <t>RAMPFLIGHT TYPE ENUM</t>
  </si>
  <si>
    <t>IFCRAMP TYPE ENUM</t>
  </si>
  <si>
    <t>RAMP TYPE ENUM</t>
  </si>
  <si>
    <t>IFCRECURRENCE TYPE ENUM</t>
  </si>
  <si>
    <t>RECURRENCE TYPE ENUM</t>
  </si>
  <si>
    <t>IFCREFERENT TYPE ENUM</t>
  </si>
  <si>
    <t>REFERENT TYPE ENUM</t>
  </si>
  <si>
    <t>IFCREINFORCEDSOIL TYPE ENUM</t>
  </si>
  <si>
    <t>REINFORCEDSOIL TYPE ENUM</t>
  </si>
  <si>
    <t>IFCREINFORCINGBAR TYPE ENUM</t>
  </si>
  <si>
    <t>REINFORCINGBAR TYPE ENUM</t>
  </si>
  <si>
    <t>IFCREINFORCINGMESH TYPE ENUM</t>
  </si>
  <si>
    <t>REINFORCINGMESH TYPE ENUM</t>
  </si>
  <si>
    <t>IFCROADPART TYPE ENUM</t>
  </si>
  <si>
    <t>ROADPART TYPE ENUM</t>
  </si>
  <si>
    <t>IFCROAD TYPE ENUM</t>
  </si>
  <si>
    <t>ROAD TYPE ENUM</t>
  </si>
  <si>
    <t>IFCROOF TYPE ENUM</t>
  </si>
  <si>
    <t>ROOF TYPE ENUM</t>
  </si>
  <si>
    <t>IFCSANITARYTERMINAL TYPE ENUM</t>
  </si>
  <si>
    <t>SANITARYTERMINAL TYPE ENUM</t>
  </si>
  <si>
    <t>IFCSECTION TYPE ENUM</t>
  </si>
  <si>
    <t>SECTION TYPE ENUM</t>
  </si>
  <si>
    <t>IFCSENSOR TYPE ENUM</t>
  </si>
  <si>
    <t>SENSOR TYPE ENUM</t>
  </si>
  <si>
    <t>IFCSERVICELIFEFACTOR TYPE ENUM</t>
  </si>
  <si>
    <t>SERVICELIFEFACTOR TYPE ENUM</t>
  </si>
  <si>
    <t>IFCSERVICELIFE TYPE ENUM</t>
  </si>
  <si>
    <t>SERVICELIFE TYPE ENUM</t>
  </si>
  <si>
    <t>IFCSHADINGDEVICE TYPE ENUM</t>
  </si>
  <si>
    <t>SHADINGDEVICE TYPE ENUM</t>
  </si>
  <si>
    <t>IFCSIGNAL TYPE ENUM</t>
  </si>
  <si>
    <t>SIGNAL TYPE ENUM</t>
  </si>
  <si>
    <t>IFCSIGN TYPE ENUM</t>
  </si>
  <si>
    <t>SIGN TYPE ENUM</t>
  </si>
  <si>
    <t>IFCSIMPLEPROPERTYTEMPLATE TYPE ENUM</t>
  </si>
  <si>
    <t>SIMPLEPROPERTYTEMPLATE TYPE ENUM</t>
  </si>
  <si>
    <t>IFCSLAB TYPE ENUM</t>
  </si>
  <si>
    <t>SLAB TYPE ENUM</t>
  </si>
  <si>
    <t>IFCSOLARDEVICE TYPE ENUM</t>
  </si>
  <si>
    <t>SOLARDEVICE TYPE ENUM</t>
  </si>
  <si>
    <t>IFCSPACEHEATER TYPE ENUM</t>
  </si>
  <si>
    <t>SPACEHEATER TYPE ENUM</t>
  </si>
  <si>
    <t>IFCSPACE TYPE ENUM</t>
  </si>
  <si>
    <t>SPACE TYPE ENUM</t>
  </si>
  <si>
    <t>IFCSPATIALZONE TYPE ENUM</t>
  </si>
  <si>
    <t>SPATIALZONE TYPE ENUM</t>
  </si>
  <si>
    <t>IFCSTACKTERMINAL TYPE ENUM</t>
  </si>
  <si>
    <t>STACKTERMINAL TYPE ENUM</t>
  </si>
  <si>
    <t>IFCSTAIRFLIGHT TYPE ENUM</t>
  </si>
  <si>
    <t>STAIRFLIGHT TYPE ENUM</t>
  </si>
  <si>
    <t>IFCSTAIR TYPE ENUM</t>
  </si>
  <si>
    <t>STAIR TYPE ENUM</t>
  </si>
  <si>
    <t>IFCSTRUCTURALCURVEACTIVITY TYPE ENUM</t>
  </si>
  <si>
    <t>STRUCTURALCURVEACTIVITY TYPE ENUM</t>
  </si>
  <si>
    <t>IFCSTRUCTURALCURVEMEMBER TYPE ENUM</t>
  </si>
  <si>
    <t>STRUCTURALCURVEMEMBER TYPE ENUM</t>
  </si>
  <si>
    <t>IFCSTRUCTURALCURVE TYPE ENUM</t>
  </si>
  <si>
    <t>STRUCTURALCURVE TYPE ENUM</t>
  </si>
  <si>
    <t>IFCSTRUCTURALSURFACEACTIVITY TYPE ENUM</t>
  </si>
  <si>
    <t>STRUCTURALSURFACEACTIVITY TYPE ENUM</t>
  </si>
  <si>
    <t>IFCSTRUCTURALSURFACEMEMBER TYPE ENUM</t>
  </si>
  <si>
    <t>STRUCTURALSURFACEMEMBER TYPE ENUM</t>
  </si>
  <si>
    <t>IFCSTRUCTURALSURFACE TYPE ENUM</t>
  </si>
  <si>
    <t>STRUCTURALSURFACE TYPE ENUM</t>
  </si>
  <si>
    <t>IFCSUBCONTRACTRESOURCE TYPE ENUM</t>
  </si>
  <si>
    <t>SUBCONTRACTRESOURCE TYPE ENUM</t>
  </si>
  <si>
    <t>IFCSURFACEFEATURE TYPE ENUM</t>
  </si>
  <si>
    <t>SURFACEFEATURE TYPE ENUM</t>
  </si>
  <si>
    <t>IFCSWITCHINGDEVICE TYPE ENUM</t>
  </si>
  <si>
    <t>SWITCHINGDEVICE TYPE ENUM</t>
  </si>
  <si>
    <t>IFCSYSTEMFURNITUREELEMENT TYPE ENUM</t>
  </si>
  <si>
    <t>SYSTEMFURNITUREELEMENT TYPE ENUM</t>
  </si>
  <si>
    <t>IFCTANK TYPE ENUM</t>
  </si>
  <si>
    <t>TANK TYPE ENUM</t>
  </si>
  <si>
    <t>IFCTASK TYPE ENUM</t>
  </si>
  <si>
    <t>TASK TYPE ENUM</t>
  </si>
  <si>
    <t>IFCTENDONANCHOR TYPE ENUM</t>
  </si>
  <si>
    <t>TENDONANCHOR TYPE ENUM</t>
  </si>
  <si>
    <t>IFCTENDONCONDUIT TYPE ENUM</t>
  </si>
  <si>
    <t>TENDONCONDUIT TYPE ENUM</t>
  </si>
  <si>
    <t>IFCTENDON TYPE ENUM</t>
  </si>
  <si>
    <t>TENDON TYPE ENUM</t>
  </si>
  <si>
    <t>IFCTHERMALLOAD TYPE ENUM</t>
  </si>
  <si>
    <t>THERMALLOAD TYPE ENUM</t>
  </si>
  <si>
    <t>IFCTIMESERIESDATA TYPE ENUM</t>
  </si>
  <si>
    <t>TIMESERIESDATA TYPE ENUM</t>
  </si>
  <si>
    <t>IFCTIMESERIESSCHEDULE TYPE ENUM</t>
  </si>
  <si>
    <t>TIMESERIESSCHEDULE TYPE ENUM</t>
  </si>
  <si>
    <t>IFCTRACKELEMENT TYPE ENUM</t>
  </si>
  <si>
    <t>TRACKELEMENT TYPE ENUM</t>
  </si>
  <si>
    <t>IFCTRANSFORMER TYPE ENUM</t>
  </si>
  <si>
    <t>TRANSFORMER TYPE ENUM</t>
  </si>
  <si>
    <t>IFCTRANSPORTELEMENT TYPE ENUM</t>
  </si>
  <si>
    <t>TRANSPORTELEMENT TYPE ENUM</t>
  </si>
  <si>
    <t>IFCTUBEBUNDLE TYPE ENUM</t>
  </si>
  <si>
    <t>TUBEBUNDLE TYPE ENUM</t>
  </si>
  <si>
    <t>IFCUNITARYCONTROLELEMENT TYPE ENUM</t>
  </si>
  <si>
    <t>UNITARYCONTROLELEMENT TYPE ENUM</t>
  </si>
  <si>
    <t>IFCUNITARYEQUIPMENT TYPE ENUM</t>
  </si>
  <si>
    <t>UNITARYEQUIPMENT TYPE ENUM</t>
  </si>
  <si>
    <t>IFCVALVE TYPE ENUM</t>
  </si>
  <si>
    <t>VALVE TYPE ENUM</t>
  </si>
  <si>
    <t>IFCVEHICLE TYPE ENUM</t>
  </si>
  <si>
    <t>VEHICLE TYPE ENUM</t>
  </si>
  <si>
    <t>IFCVIBRATIONDAMPER TYPE ENUM</t>
  </si>
  <si>
    <t>VIBRATIONDAMPER TYPE ENUM</t>
  </si>
  <si>
    <t>IFCVIBRATIONISOLATOR TYPE ENUM</t>
  </si>
  <si>
    <t>VIBRATIONISOLATOR TYPE ENUM</t>
  </si>
  <si>
    <t>IFCVIRTUALELEMENT TYPE ENUM</t>
  </si>
  <si>
    <t>VIRTUALELEMENT TYPE ENUM</t>
  </si>
  <si>
    <t>IFCVOIDINGFEATURE TYPE ENUM</t>
  </si>
  <si>
    <t>VOIDINGFEATURE TYPE ENUM</t>
  </si>
  <si>
    <t>IFCWALL TYPE ENUM</t>
  </si>
  <si>
    <t>WALL TYPE ENUM</t>
  </si>
  <si>
    <t>IFCWASTETERMINAL TYPE ENUM</t>
  </si>
  <si>
    <t>WASTETERMINAL TYPE ENUM</t>
  </si>
  <si>
    <t>IFCWINDOW TYPE ENUM</t>
  </si>
  <si>
    <t>WINDOW TYPE ENUM</t>
  </si>
  <si>
    <t>IFCWORKCALENDAR TYPE ENUM</t>
  </si>
  <si>
    <t>WORKCALENDAR TYPE ENUM</t>
  </si>
  <si>
    <t>IFCWORKCONTROL TYPE ENUM</t>
  </si>
  <si>
    <t>WORKCONTROL TYPE ENUM</t>
  </si>
  <si>
    <t>IFCWORKPLAN TYPE ENUM</t>
  </si>
  <si>
    <t>WORKPLAN TYPE ENUM</t>
  </si>
  <si>
    <t>IFCWORKSCHEDULE TYPE ENUM</t>
  </si>
  <si>
    <t>WORKSCHEDULE TYPE ENUM</t>
  </si>
  <si>
    <t>xs:hexBinary</t>
  </si>
  <si>
    <t>Organização</t>
  </si>
  <si>
    <t>Valor</t>
  </si>
  <si>
    <t>null</t>
  </si>
  <si>
    <t>Chave</t>
  </si>
  <si>
    <t>descrição</t>
  </si>
  <si>
    <t>classe.ifc.relativa</t>
  </si>
  <si>
    <t>link.ifc</t>
  </si>
  <si>
    <t>pset.ifc</t>
  </si>
  <si>
    <t>Individuo</t>
  </si>
  <si>
    <t>0.Tipo</t>
  </si>
  <si>
    <t>propriedade.ifc</t>
  </si>
  <si>
    <t>0.Chave</t>
  </si>
  <si>
    <t>0.Valor</t>
  </si>
  <si>
    <t>Idioma</t>
  </si>
  <si>
    <t>OntologiaPrefixo</t>
  </si>
  <si>
    <t>bim:</t>
  </si>
  <si>
    <t>pt</t>
  </si>
  <si>
    <t>OntologiaTema</t>
  </si>
  <si>
    <t>RaizClass</t>
  </si>
  <si>
    <t>BIM</t>
  </si>
  <si>
    <t>RaizProp</t>
  </si>
  <si>
    <t>RaizData</t>
  </si>
  <si>
    <t>URI</t>
  </si>
  <si>
    <t>https://github.com/JLMenegotto/RepoOnto#</t>
  </si>
  <si>
    <t>Autor</t>
  </si>
  <si>
    <t>Prof. José Luis Menegotto DEG/POLI/UFRJ</t>
  </si>
  <si>
    <t>Escola Politécnica da UFRJ</t>
  </si>
  <si>
    <t>NormaNúmero</t>
  </si>
  <si>
    <t>-</t>
  </si>
  <si>
    <t>Edição</t>
  </si>
  <si>
    <t>ISBN</t>
  </si>
  <si>
    <t>NormaEscopo</t>
  </si>
  <si>
    <t>NormaReferência1</t>
  </si>
  <si>
    <t>NormaReferência2</t>
  </si>
  <si>
    <t>Observações</t>
  </si>
  <si>
    <t>DataHora</t>
  </si>
  <si>
    <t>Advertência1</t>
  </si>
  <si>
    <t>Algumas traduções podem precisar de revisão - Traducción al español incorporada</t>
  </si>
  <si>
    <t>Prédio</t>
  </si>
  <si>
    <t>Cidade</t>
  </si>
  <si>
    <t>Explicação</t>
  </si>
  <si>
    <t>Formalizar elementos do projeto BIM. Ontologia orientativa da relação de correspondência entre Classes IFC e categorias Revit. Uma BuiltInCategory de Revit é uma enumeração usada pela API (Application Program Interface) do programa que permite orientar a coleção dos diversos elementos utilizados no modelo. Por exemplo, para os objetos da categoria Paredes a su BuiltInCategory é OST_Walls. Graças a estas enumerações os programadores de aplicações podem iniciar o processo de manipulação e controle dos objetos do modelo. Foram usadas as Versões 4x3 do IFC e Revit 2026. As classes de Modelado Indefinido ainda serão catalogadas.</t>
  </si>
  <si>
    <t>Explicación</t>
  </si>
  <si>
    <t>Formalización  de elementos de un projeto BIM. Ontología orientativa de la relación de correspondencia entre Clases IFC y categorías de Revit. Una BuiltInCategory de Revit es una enumeración usada por la API (Interfaz de Programación de Aplicaciones) del programa que permite orientar la colección de los diversos elementos utilizados en el modelo. Por ejemplo, para los objetos de la categoría Paredes, su BuiltInCategory es OST_Walls. Gracias a estas enumeraciones, los programadores de aplicaciones pueden iniciar el proceso de manipulación y control de los objetos del modelo. Se utilizaron las versiones IFC 4x3 y Revit 2026. Las classes de Modelado Indefinido aún serán catalogadas.</t>
  </si>
  <si>
    <t>es</t>
  </si>
  <si>
    <t>Explanation</t>
  </si>
  <si>
    <t>en</t>
  </si>
  <si>
    <t>Objetos_IFC</t>
  </si>
  <si>
    <t>Modelo de informação IFC 4x3</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</si>
  <si>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</si>
  <si>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</si>
  <si>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</si>
  <si>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</si>
  <si>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</si>
  <si>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</si>
  <si>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</si>
  <si>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</si>
  <si>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</si>
  <si>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</si>
  <si>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</si>
  <si>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4</t>
  </si>
  <si>
    <t>Anotações 
de ajuda
Classe 5</t>
  </si>
  <si>
    <t>000 Tradução Classe 5</t>
  </si>
  <si>
    <t>000 Traducción Classe 5</t>
  </si>
  <si>
    <t>Interop.</t>
  </si>
  <si>
    <t>Natureza</t>
  </si>
  <si>
    <t>Especie</t>
  </si>
  <si>
    <t>Tema</t>
  </si>
  <si>
    <t>Disciplina</t>
  </si>
  <si>
    <t>Key</t>
  </si>
  <si>
    <t>CategoriaRvt</t>
  </si>
  <si>
    <t>ClasseIfc</t>
  </si>
  <si>
    <t>ABNT</t>
  </si>
  <si>
    <t>000 Translate Classe 5</t>
  </si>
  <si>
    <t>Interoperabilidade</t>
  </si>
  <si>
    <t>00 Class
5</t>
  </si>
  <si>
    <t>Ifc.Propriedade</t>
  </si>
  <si>
    <t>Ifc.Enumeração</t>
  </si>
  <si>
    <t>Ifc.Entidade</t>
  </si>
  <si>
    <t>Ifc.Função</t>
  </si>
  <si>
    <t>Ifc.Regra</t>
  </si>
  <si>
    <t>Ifc.SelectTypes</t>
  </si>
  <si>
    <t>Ifc.Quantidade</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</si>
  <si>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</si>
  <si>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</si>
  <si>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</si>
  <si>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</si>
  <si>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</si>
  <si>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</si>
  <si>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</si>
  <si>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</si>
  <si>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</si>
  <si>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</si>
  <si>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</si>
  <si>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</si>
  <si>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</si>
  <si>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</si>
  <si>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</si>
  <si>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</si>
  <si>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</si>
  <si>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</si>
  <si>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</si>
  <si>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</si>
  <si>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</si>
  <si>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0-Classe Ifc</t>
  </si>
  <si>
    <t>0-Categoria Equivalente</t>
  </si>
  <si>
    <t>0-CategoriaEquivalente</t>
  </si>
  <si>
    <t>"AcousticRating"</t>
  </si>
  <si>
    <t>"FireRating"</t>
  </si>
  <si>
    <t>"FlammabilityRating"</t>
  </si>
  <si>
    <t>"FragilityRating"</t>
  </si>
  <si>
    <t>"Status"</t>
  </si>
  <si>
    <t>"SurfaceSpreadOfFlame"</t>
  </si>
  <si>
    <t>"Reference"</t>
  </si>
  <si>
    <t>"ThermalTransmittance"</t>
  </si>
  <si>
    <t>"Combustible"</t>
  </si>
  <si>
    <t>"IsExternal"</t>
  </si>
  <si>
    <t>"Finish"</t>
  </si>
  <si>
    <t>"LadderTrussBaseBarDiameter"</t>
  </si>
  <si>
    <t>"LadderTrussCrossBarDiameter"</t>
  </si>
  <si>
    <t>"LadderTrussCrossBarSpacing"</t>
  </si>
  <si>
    <t>"LadderTrussHeight"</t>
  </si>
  <si>
    <t>"LadderTrussLength"</t>
  </si>
  <si>
    <t>"LadderTrussSecondaryBarDiameter"</t>
  </si>
  <si>
    <t>"DiagonalTrussBaseBarDiameter"</t>
  </si>
  <si>
    <t>"DiagonalTrussCrossBarDiameter"</t>
  </si>
  <si>
    <t>"DiagonalTrussCrossBarSpacing"</t>
  </si>
  <si>
    <t>"DiagonalTrussHeight"</t>
  </si>
  <si>
    <t>"DiagonalTrussLength"</t>
  </si>
  <si>
    <t>"DiagonalTrussSecondaryBarDiameter"</t>
  </si>
  <si>
    <t>"TotalCoolingLoad"</t>
  </si>
  <si>
    <t>"TotalHeatingLoad"</t>
  </si>
  <si>
    <t>"ApplianceDiversity"</t>
  </si>
  <si>
    <t>"InfiltrationDiversitySummer"</t>
  </si>
  <si>
    <t>"InfiltrationDiversityWinter"</t>
  </si>
  <si>
    <t>"LightingDiversity"</t>
  </si>
  <si>
    <t>"LoadSafetyFactor"</t>
  </si>
  <si>
    <t>"pHLevel"</t>
  </si>
  <si>
    <t>"AcidityConcentration"</t>
  </si>
  <si>
    <t>"AlkalinityConcentration"</t>
  </si>
  <si>
    <t>"Hardness"</t>
  </si>
  <si>
    <t>"DissolvedSolidsContent"</t>
  </si>
  <si>
    <t>"ImpuritiesContent"</t>
  </si>
  <si>
    <t>"Condition"</t>
  </si>
  <si>
    <t>"HandicapAccessible"</t>
  </si>
  <si>
    <t>"PubliclyAccessible"</t>
  </si>
  <si>
    <t>"GrossPlannedArea"</t>
  </si>
  <si>
    <t>"NetPlannedArea"</t>
  </si>
  <si>
    <t>"LoadBearingCapacity"</t>
  </si>
  <si>
    <t>"AboveGround"</t>
  </si>
  <si>
    <t>"EntranceLevel"</t>
  </si>
  <si>
    <t>"SprinklerProtection"</t>
  </si>
  <si>
    <t>"SprinklerProtectionAutomatic"</t>
  </si>
  <si>
    <t>"AcquisitionMethod"</t>
  </si>
  <si>
    <t>"AccuracyQualityExpected"</t>
  </si>
  <si>
    <t>"AccuracyQualityObtained"</t>
  </si>
  <si>
    <t>"MediaSource"</t>
  </si>
  <si>
    <t>"AudioVolume"</t>
  </si>
  <si>
    <t>"ProjectorType"</t>
  </si>
  <si>
    <t>"VideoCaptionMode"</t>
  </si>
  <si>
    <t>"VideoResolutionMode"</t>
  </si>
  <si>
    <t>"VideoScaleMode"</t>
  </si>
  <si>
    <t>"VideoResolutionHeight"</t>
  </si>
  <si>
    <t>"VideoResolutionWidth"</t>
  </si>
  <si>
    <t>"ReceiverType"</t>
  </si>
  <si>
    <t>"AudioMode"</t>
  </si>
  <si>
    <t>"AudioAmplification"</t>
  </si>
  <si>
    <t>"SpeakerMounting"</t>
  </si>
  <si>
    <t>"SpeakerType"</t>
  </si>
  <si>
    <t>"SpeakerDriverSize"</t>
  </si>
  <si>
    <t>"FrequencyResponse"</t>
  </si>
  <si>
    <t>"Impedence"</t>
  </si>
  <si>
    <t>"AmplifierType"</t>
  </si>
  <si>
    <t>"CameraType"</t>
  </si>
  <si>
    <t>"PanTiltZoomPreset"</t>
  </si>
  <si>
    <t>"VideoCaptureInterval"</t>
  </si>
  <si>
    <t>"TiltHorizontal"</t>
  </si>
  <si>
    <t>"TiltVertical"</t>
  </si>
  <si>
    <t>"PanHorizontal"</t>
  </si>
  <si>
    <t>"PanVertical"</t>
  </si>
  <si>
    <t>"Zoom"</t>
  </si>
  <si>
    <t>"IsOutdoors"</t>
  </si>
  <si>
    <t>"PlayerType"</t>
  </si>
  <si>
    <t>"PlayerMediaFormat"</t>
  </si>
  <si>
    <t>"PlayerMediaEject"</t>
  </si>
  <si>
    <t>"DisplayType"</t>
  </si>
  <si>
    <t>"TouchScreen"</t>
  </si>
  <si>
    <t>"DisplayHeight"</t>
  </si>
  <si>
    <t>"DisplayWidth"</t>
  </si>
  <si>
    <t>"NominalSize"</t>
  </si>
  <si>
    <t>"RefreshRate"</t>
  </si>
  <si>
    <t>"Brightness"</t>
  </si>
  <si>
    <t>"ContrastRatio"</t>
  </si>
  <si>
    <t>"HeatingCapacity"</t>
  </si>
  <si>
    <t>"LatentCoolingCapacity"</t>
  </si>
  <si>
    <t>"SensibleCoolingCapacity"</t>
  </si>
  <si>
    <t>"CoolingEfficiency"</t>
  </si>
  <si>
    <t>"HeatingEfficiency"</t>
  </si>
  <si>
    <t>"CondenserEnteringTemperature"</t>
  </si>
  <si>
    <t>"CondenserLeavingTemperature"</t>
  </si>
  <si>
    <t>"CondenserFlowrate"</t>
  </si>
  <si>
    <t>"OutsideAirFlowrate"</t>
  </si>
  <si>
    <t>"EnergySource"</t>
  </si>
  <si>
    <t>"HeatTransferDimension"</t>
  </si>
  <si>
    <t>"HeatTransferMedium"</t>
  </si>
  <si>
    <t>"PlacementType"</t>
  </si>
  <si>
    <t>"TemperatureClassification"</t>
  </si>
  <si>
    <t>"BodyMass"</t>
  </si>
  <si>
    <t>"OutputCapacity"</t>
  </si>
  <si>
    <t>"ThermalEfficiency"</t>
  </si>
  <si>
    <t>"NumberOfPanels"</t>
  </si>
  <si>
    <t>"NumberOfSections"</t>
  </si>
  <si>
    <t>"ThermalMassHeatCapacity"</t>
  </si>
  <si>
    <t>"ConvectorType"</t>
  </si>
  <si>
    <t>"SoundScale"</t>
  </si>
  <si>
    <t>"SoundFrequency"</t>
  </si>
  <si>
    <t>"SoundPressure"</t>
  </si>
  <si>
    <t>"AssetAccountingType"</t>
  </si>
  <si>
    <t>"AssetInsuranceType"</t>
  </si>
  <si>
    <t>"AssetTaxType"</t>
  </si>
  <si>
    <t>"Category"</t>
  </si>
  <si>
    <t>"SkillLevel"</t>
  </si>
  <si>
    <t>"NumberOfActors"</t>
  </si>
  <si>
    <t>"Application"</t>
  </si>
  <si>
    <t>"FailPosition"</t>
  </si>
  <si>
    <t>"ManualOverride"</t>
  </si>
  <si>
    <t>"RangeAngle"</t>
  </si>
  <si>
    <t>"Torque"</t>
  </si>
  <si>
    <t>"ElectricActuatorType"</t>
  </si>
  <si>
    <t>"ActuatorInputPower"</t>
  </si>
  <si>
    <t>"InputPressure"</t>
  </si>
  <si>
    <t>"InputFlowrate"</t>
  </si>
  <si>
    <t>"Stroke"</t>
  </si>
  <si>
    <t>"Force"</t>
  </si>
  <si>
    <t>"BarSurface"</t>
  </si>
  <si>
    <t>"BendingShapeCode"</t>
  </si>
  <si>
    <t>"BarLength"</t>
  </si>
  <si>
    <t>"BarSpacing"</t>
  </si>
  <si>
    <t>"NominalDiameter"</t>
  </si>
  <si>
    <t>"BendingParameters"</t>
  </si>
  <si>
    <t>"ConnectionSize"</t>
  </si>
  <si>
    <t>"NominalRotationSpeed"</t>
  </si>
  <si>
    <t>"FlowResistanceRange"</t>
  </si>
  <si>
    <t>"NetPositiveSuctionHead"</t>
  </si>
  <si>
    <t>"TemperatureRange"</t>
  </si>
  <si>
    <t>"FlowRateRange"</t>
  </si>
  <si>
    <t>"ApparentPower"</t>
  </si>
  <si>
    <t>"Current"</t>
  </si>
  <si>
    <t>"DataReceived"</t>
  </si>
  <si>
    <t>"DataTransmitted"</t>
  </si>
  <si>
    <t>"PowerFactor"</t>
  </si>
  <si>
    <t>"ReactivePower"</t>
  </si>
  <si>
    <t>"RealPower"</t>
  </si>
  <si>
    <t>"Voltage"</t>
  </si>
  <si>
    <t>"IsPermanentID"</t>
  </si>
  <si>
    <t>"LandID"</t>
  </si>
  <si>
    <t>"LandTitleID"</t>
  </si>
  <si>
    <t>"ArrangementType"</t>
  </si>
  <si>
    <t>"ReheatType"</t>
  </si>
  <si>
    <t>"HousingThickness"</t>
  </si>
  <si>
    <t>"NominalDamperDiameter"</t>
  </si>
  <si>
    <t>"AirPressureRange"</t>
  </si>
  <si>
    <t>"NominalInletAirPressure"</t>
  </si>
  <si>
    <t>"ReturnAirFractionRange"</t>
  </si>
  <si>
    <t>"OperationTemperatureRange"</t>
  </si>
  <si>
    <t>"AirflowRateRange"</t>
  </si>
  <si>
    <t>"NominalAirFlowRate"</t>
  </si>
  <si>
    <t>"IP_Code"</t>
  </si>
  <si>
    <t>"MountingType"</t>
  </si>
  <si>
    <t>"PlacingType"</t>
  </si>
  <si>
    <t>"ShapeType"</t>
  </si>
  <si>
    <t>"ClearDepth"</t>
  </si>
  <si>
    <t>"NumberOfGangs"</t>
  </si>
  <si>
    <t>"HasFan"</t>
  </si>
  <si>
    <t>"HasReturnAir"</t>
  </si>
  <si>
    <t>"HasSoundAttenuator"</t>
  </si>
  <si>
    <t>"OperatingMode"</t>
  </si>
  <si>
    <t>"NominalEnergyConsumption"</t>
  </si>
  <si>
    <t>"PressureRating"</t>
  </si>
  <si>
    <t>"PartialLoadEfficiencyCurves"</t>
  </si>
  <si>
    <t>"OutletTemperatureRange"</t>
  </si>
  <si>
    <t>"WaterInletTemperatureRange"</t>
  </si>
  <si>
    <t>"WaterStorageCapacity"</t>
  </si>
  <si>
    <t>"NominalPartLoadRatio"</t>
  </si>
  <si>
    <t>"HeatTransferSurfaceArea"</t>
  </si>
  <si>
    <t>"IsWaterStorageHeater"</t>
  </si>
  <si>
    <t>"HeatOutput"</t>
  </si>
  <si>
    <t>"NominalEfficiency"</t>
  </si>
  <si>
    <t>"MaximumOutletPressure"</t>
  </si>
  <si>
    <t>"AccessCoverMaterial"</t>
  </si>
  <si>
    <t>"BaseMaterial"</t>
  </si>
  <si>
    <t>"WallMaterial"</t>
  </si>
  <si>
    <t>"InvertLevel"</t>
  </si>
  <si>
    <t>"SoffitLevel"</t>
  </si>
  <si>
    <t>"AccessLengthOrRadius"</t>
  </si>
  <si>
    <t>"AccessWidth"</t>
  </si>
  <si>
    <t>"BaseThickness"</t>
  </si>
  <si>
    <t>"WallThickness"</t>
  </si>
  <si>
    <t>"AccessCoverLoadRating"</t>
  </si>
  <si>
    <t>"ChamberLengthOrRadius"</t>
  </si>
  <si>
    <t>"ChamberWidth"</t>
  </si>
  <si>
    <t>"Length"</t>
  </si>
  <si>
    <t>"Width"</t>
  </si>
  <si>
    <t>"HasSteps"</t>
  </si>
  <si>
    <t>"IsShallow"</t>
  </si>
  <si>
    <t>"WithBackdrop"</t>
  </si>
  <si>
    <t>"Depth"</t>
  </si>
  <si>
    <t>"AirExchangeRate"</t>
  </si>
  <si>
    <t>"DryBulbTemperature"</t>
  </si>
  <si>
    <t>"EquipmentSensible"</t>
  </si>
  <si>
    <t>"ExhaustAir"</t>
  </si>
  <si>
    <t>"InfiltrationSensible"</t>
  </si>
  <si>
    <t>"Lighting"</t>
  </si>
  <si>
    <t>"People"</t>
  </si>
  <si>
    <t>"RecirculatedAir"</t>
  </si>
  <si>
    <t>"RelativeHumidity"</t>
  </si>
  <si>
    <t>"TotalLatentLoad"</t>
  </si>
  <si>
    <t>"TotalRadiantLoad"</t>
  </si>
  <si>
    <t>"TotalSensibleLoad"</t>
  </si>
  <si>
    <t>"VentilationIndoorAir"</t>
  </si>
  <si>
    <t>"VentilationOutdoorAir"</t>
  </si>
  <si>
    <t>"NominalCapacity"</t>
  </si>
  <si>
    <t>"NominalHeatRejectionRate"</t>
  </si>
  <si>
    <t>"NominalPowerConsumption"</t>
  </si>
  <si>
    <t>"FullLoadRatioCurve"</t>
  </si>
  <si>
    <t>"CapacityCurve"</t>
  </si>
  <si>
    <t>"CoefficientOfPerformanceCurve"</t>
  </si>
  <si>
    <t>"NominalCondensingTemperature"</t>
  </si>
  <si>
    <t>"NominalEvaporatingTemperature"</t>
  </si>
  <si>
    <t>"Arrangement"</t>
  </si>
  <si>
    <t>"DirectionOfRotation"</t>
  </si>
  <si>
    <t>"DischargePosition"</t>
  </si>
  <si>
    <t>"NumberOfDrafts"</t>
  </si>
  <si>
    <t>"LoadBearing"</t>
  </si>
  <si>
    <t>"Roll"</t>
  </si>
  <si>
    <t>"Slope"</t>
  </si>
  <si>
    <t>"PowerSource"</t>
  </si>
  <si>
    <t>"RefrigerantClass"</t>
  </si>
  <si>
    <t>"ImpellerDiameter"</t>
  </si>
  <si>
    <t>"CompressorSpeed"</t>
  </si>
  <si>
    <t>"IdealCapacity"</t>
  </si>
  <si>
    <t>"IdealShaftPower"</t>
  </si>
  <si>
    <t>"MaximumPartLoadRatio"</t>
  </si>
  <si>
    <t>"MinimumPartLoadRatio"</t>
  </si>
  <si>
    <t>"HasHotGasBypass"</t>
  </si>
  <si>
    <t>"ExternalSurfaceArea"</t>
  </si>
  <si>
    <t>"InternalSurfaceArea"</t>
  </si>
  <si>
    <t>"NominalHeatTransferArea"</t>
  </si>
  <si>
    <t>"NominalHeatTransferCoefficient"</t>
  </si>
  <si>
    <t>"InternalRefrigerantVolume"</t>
  </si>
  <si>
    <t>"InternalWaterVolume"</t>
  </si>
  <si>
    <t>"AssessmentDate"</t>
  </si>
  <si>
    <t>"AssessmentCondition"</t>
  </si>
  <si>
    <t>"AssessmentDescription"</t>
  </si>
  <si>
    <t>"PressureClass"</t>
  </si>
  <si>
    <t>"PressureRange"</t>
  </si>
  <si>
    <t>"HasCaps"</t>
  </si>
  <si>
    <t>"FittingLossFactor"</t>
  </si>
  <si>
    <t>"FlangeStandard"</t>
  </si>
  <si>
    <t>"FlangeTable"</t>
  </si>
  <si>
    <t>"BoltholePitch"</t>
  </si>
  <si>
    <t>"BoltSize"</t>
  </si>
  <si>
    <t>"BoreSize"</t>
  </si>
  <si>
    <t>"FlangeDiameter"</t>
  </si>
  <si>
    <t>"FlangeThickness"</t>
  </si>
  <si>
    <t>"NumberOfBoltholes"</t>
  </si>
  <si>
    <t>"BendAngle"</t>
  </si>
  <si>
    <t>"BendRadius"</t>
  </si>
  <si>
    <t>"XDirectionLowerBarCount"</t>
  </si>
  <si>
    <t>"XDirectionUpperBarCount"</t>
  </si>
  <si>
    <t>"YDirectionLowerBarCount"</t>
  </si>
  <si>
    <t>"YDirectionUpperBarCount"</t>
  </si>
  <si>
    <t>"Description"</t>
  </si>
  <si>
    <t>"CommencementDate"</t>
  </si>
  <si>
    <t>"TerminationDate"</t>
  </si>
  <si>
    <t>"VersionDate"</t>
  </si>
  <si>
    <t>"Duration"</t>
  </si>
  <si>
    <t>"AgreementType"</t>
  </si>
  <si>
    <t>"PropertyName"</t>
  </si>
  <si>
    <t>"Version"</t>
  </si>
  <si>
    <t>"Identifier"</t>
  </si>
  <si>
    <t>"ConditionCommencement"</t>
  </si>
  <si>
    <t>"ConditionTermination"</t>
  </si>
  <si>
    <t>"Options"</t>
  </si>
  <si>
    <t>"Restrictions"</t>
  </si>
  <si>
    <t>"ControlType"</t>
  </si>
  <si>
    <t>"SignalTime"</t>
  </si>
  <si>
    <t>"Labels"</t>
  </si>
  <si>
    <t>"Range"</t>
  </si>
  <si>
    <t>"SignalFactor"</t>
  </si>
  <si>
    <t>"SignalOffset"</t>
  </si>
  <si>
    <t>"Value"</t>
  </si>
  <si>
    <t>"FirmwareVersion"</t>
  </si>
  <si>
    <t>"SoftwareVersion"</t>
  </si>
  <si>
    <t>"SignalTimeDecrease"</t>
  </si>
  <si>
    <t>"SignalTimeIncrease"</t>
  </si>
  <si>
    <t>"DerivativeConstant"</t>
  </si>
  <si>
    <t>"IntegralConstant"</t>
  </si>
  <si>
    <t>"ProportionalConstant"</t>
  </si>
  <si>
    <t>"WorkDayDuration"</t>
  </si>
  <si>
    <t>"WorkMonthDuration"</t>
  </si>
  <si>
    <t>"WorkWeekDuration"</t>
  </si>
  <si>
    <t>"WorkFinishTime"</t>
  </si>
  <si>
    <t>"WorkStartTime"</t>
  </si>
  <si>
    <t>"ControlDamperOperation"</t>
  </si>
  <si>
    <t>"TorqueRange"</t>
  </si>
  <si>
    <t>"BladeAction"</t>
  </si>
  <si>
    <t>"BladeEdge"</t>
  </si>
  <si>
    <t>"BladeShape"</t>
  </si>
  <si>
    <t>"FrameType"</t>
  </si>
  <si>
    <t>"Operation"</t>
  </si>
  <si>
    <t>"Orientation"</t>
  </si>
  <si>
    <t>"LossCoefficentCurve"</t>
  </si>
  <si>
    <t>"FaceArea"</t>
  </si>
  <si>
    <t>"BladeThickness"</t>
  </si>
  <si>
    <t>"FrameDepth"</t>
  </si>
  <si>
    <t>"FrameThickness"</t>
  </si>
  <si>
    <t>"CloseOffRating"</t>
  </si>
  <si>
    <t>"MaximumWorkingPressure"</t>
  </si>
  <si>
    <t>"OpenPressureDrop"</t>
  </si>
  <si>
    <t>"TemperatureRating"</t>
  </si>
  <si>
    <t>"LeakageCurve"</t>
  </si>
  <si>
    <t>"LeakageFullyClosed"</t>
  </si>
  <si>
    <t>"MaximumAirFlowRate"</t>
  </si>
  <si>
    <t>"RegeneratedSoundCurve"</t>
  </si>
  <si>
    <t>"NumberofBlades"</t>
  </si>
  <si>
    <t>"ActuationType"</t>
  </si>
  <si>
    <t>"ClosureRatingEnum"</t>
  </si>
  <si>
    <t>"FireResistanceRating"</t>
  </si>
  <si>
    <t>"FusibleLinkTemperature"</t>
  </si>
  <si>
    <t>"Diameter"</t>
  </si>
  <si>
    <t>"Height"</t>
  </si>
  <si>
    <t>"CoolingDesignDay"</t>
  </si>
  <si>
    <t>"HeatingDesignDay"</t>
  </si>
  <si>
    <t>"WeatherDataDate"</t>
  </si>
  <si>
    <t>"BuildingThermalExposure"</t>
  </si>
  <si>
    <t>"PrevailingWindDirection"</t>
  </si>
  <si>
    <t>"CoolingDryBulb"</t>
  </si>
  <si>
    <t>"CoolingWetBulb"</t>
  </si>
  <si>
    <t>"HeatingDryBulb"</t>
  </si>
  <si>
    <t>"HeatingWetBulb"</t>
  </si>
  <si>
    <t>"PrevailingWindVelocity"</t>
  </si>
  <si>
    <t>"WeatherDataStation"</t>
  </si>
  <si>
    <t>"AppliancePercentLoadToRadiant"</t>
  </si>
  <si>
    <t>"LightingPercentLoadToReturnAir"</t>
  </si>
  <si>
    <t>"OccupancyDiversity"</t>
  </si>
  <si>
    <t>"OutsideAirPerPerson"</t>
  </si>
  <si>
    <t>"LightingLoadIntensity"</t>
  </si>
  <si>
    <t>"ReceptacleLoadIntensity"</t>
  </si>
  <si>
    <t>"TrippingCurveType"</t>
  </si>
  <si>
    <t>"TrippingCurve"</t>
  </si>
  <si>
    <t>"ConnectedConductorFunction"</t>
  </si>
  <si>
    <t>"ModuleCapacity"</t>
  </si>
  <si>
    <t>"ModulesInParallel"</t>
  </si>
  <si>
    <t>"ModulesInSeries"</t>
  </si>
  <si>
    <t>"RadiativeFraction"</t>
  </si>
  <si>
    <t>"EarthFault1PoleMaximumState"</t>
  </si>
  <si>
    <t>"EarthFault1PoleMinimumState"</t>
  </si>
  <si>
    <t>"ShortCircuit1PoleMaximumState"</t>
  </si>
  <si>
    <t>"ShortCircuit1PoleMinimumState"</t>
  </si>
  <si>
    <t>"ShortCircuit2PoleMinimumState"</t>
  </si>
  <si>
    <t>"ShortCircuit3PoleMaximumState"</t>
  </si>
  <si>
    <t>"NominalFrequency"</t>
  </si>
  <si>
    <t>"NominalSupplyVoltage"</t>
  </si>
  <si>
    <t>"NominalSupplyVoltageOffset"</t>
  </si>
  <si>
    <t>"EarthFault1PolePowerFactorMaximumState"</t>
  </si>
  <si>
    <t>"EarthFault1PolePowerFactorMinimumState"</t>
  </si>
  <si>
    <t>"ShortCircuit1PolePowerFactorMaximumState"</t>
  </si>
  <si>
    <t>"ShortCircuit1PolePowerFactorMinimumState"</t>
  </si>
  <si>
    <t>"ShortCircuit2PolePowerFactorMinimumState"</t>
  </si>
  <si>
    <t>"ShortCircuit3PolePowerFactorMaximumState"</t>
  </si>
  <si>
    <t>"Legend"</t>
  </si>
  <si>
    <t>"SwitchFunction"</t>
  </si>
  <si>
    <t>"HasLock"</t>
  </si>
  <si>
    <t>"IsIlluminated"</t>
  </si>
  <si>
    <t>"SetPoint"</t>
  </si>
  <si>
    <t>"ContactorType"</t>
  </si>
  <si>
    <t>"LoadDisconnectionType"</t>
  </si>
  <si>
    <t>"SwitchDisconnectorType"</t>
  </si>
  <si>
    <t>"AdjustmentDesignation"</t>
  </si>
  <si>
    <t>"AdjustmentValueType"</t>
  </si>
  <si>
    <t>"I2TApplicability"</t>
  </si>
  <si>
    <t>"AdjustmentRange"</t>
  </si>
  <si>
    <t>"AdjustmentRangeStepValue"</t>
  </si>
  <si>
    <t>"AdjustmentValues"</t>
  </si>
  <si>
    <t>"CurrentForTimeDelay"</t>
  </si>
  <si>
    <t>"EarthFailureDeviceType"</t>
  </si>
  <si>
    <t>"Sensitivity"</t>
  </si>
  <si>
    <t>"FuseDisconnectorType"</t>
  </si>
  <si>
    <t>"VoltageLevel"</t>
  </si>
  <si>
    <t>"PowerLoss"</t>
  </si>
  <si>
    <t>"PerformanceClasses"</t>
  </si>
  <si>
    <t>"ICM61947"</t>
  </si>
  <si>
    <t>"ICS61947"</t>
  </si>
  <si>
    <t>"ICU61947"</t>
  </si>
  <si>
    <t>"ICW61947"</t>
  </si>
  <si>
    <t>"TrippingUnitReleaseCurrent"</t>
  </si>
  <si>
    <t>"CurveDesignation"</t>
  </si>
  <si>
    <t>"ElectroMagneticTrippingUnitType"</t>
  </si>
  <si>
    <t>"T2"</t>
  </si>
  <si>
    <t>"T5"</t>
  </si>
  <si>
    <t>"TemperatureFactor"</t>
  </si>
  <si>
    <t>"DefinedTemperature"</t>
  </si>
  <si>
    <t>"I1"</t>
  </si>
  <si>
    <t>"I2"</t>
  </si>
  <si>
    <t>"I4"</t>
  </si>
  <si>
    <t>"I5"</t>
  </si>
  <si>
    <t>"ElectronicTrippingUnitType"</t>
  </si>
  <si>
    <t>"NominalCurrents"</t>
  </si>
  <si>
    <t>"N_Protection"</t>
  </si>
  <si>
    <t>"N_Protection_100"</t>
  </si>
  <si>
    <t>"N_Protection_50"</t>
  </si>
  <si>
    <t>"N_Protection_Select"</t>
  </si>
  <si>
    <t>"ThermalTrippingUnitType"</t>
  </si>
  <si>
    <t>"Roughness"</t>
  </si>
  <si>
    <t>"ShadingDeviceType"</t>
  </si>
  <si>
    <t>"SurfaceColor"</t>
  </si>
  <si>
    <t>"SolarReflectance"</t>
  </si>
  <si>
    <t>"SolarTransmittance"</t>
  </si>
  <si>
    <t>"VisibleLightReflectance"</t>
  </si>
  <si>
    <t>"VisibleLightTransmittance"</t>
  </si>
  <si>
    <t>"MechanicalOperated"</t>
  </si>
  <si>
    <t>"ConductorFunction"</t>
  </si>
  <si>
    <t>"IK_Code"</t>
  </si>
  <si>
    <t>"InsulationStandardClass"</t>
  </si>
  <si>
    <t>"RatedCurrent"</t>
  </si>
  <si>
    <t>"NominalFrequencyRange"</t>
  </si>
  <si>
    <t>"RatedVoltage"</t>
  </si>
  <si>
    <t>"HasProtectiveEarth"</t>
  </si>
  <si>
    <t>"NumberOfPoles"</t>
  </si>
  <si>
    <t>"ActiveCellSurfaceAreaFraction"</t>
  </si>
  <si>
    <t>"CellEfficiency"</t>
  </si>
  <si>
    <t>"ConnectionSubType"</t>
  </si>
  <si>
    <t>"ConnectionType"</t>
  </si>
  <si>
    <t>"NominalHeight"</t>
  </si>
  <si>
    <t>"NominalThickness"</t>
  </si>
  <si>
    <t>"NominalWidth"</t>
  </si>
  <si>
    <t>"Pressure"</t>
  </si>
  <si>
    <t>"WetBulbTemperature"</t>
  </si>
  <si>
    <t>"VolumetricFlowRate"</t>
  </si>
  <si>
    <t>"Velocity"</t>
  </si>
  <si>
    <t>"FlowCondition"</t>
  </si>
  <si>
    <t>"MassFlowRate"</t>
  </si>
  <si>
    <t>"Temperature"</t>
  </si>
  <si>
    <t>"ClearWidth"</t>
  </si>
  <si>
    <t>"ConstructionMethod"</t>
  </si>
  <si>
    <t>"FireProtectionClass"</t>
  </si>
  <si>
    <t>"OccupancyType"</t>
  </si>
  <si>
    <t>"YearOfConstruction"</t>
  </si>
  <si>
    <t>"YearOfLastRefurbishment"</t>
  </si>
  <si>
    <t>"BuildingID"</t>
  </si>
  <si>
    <t>"NumberOfStoreys"</t>
  </si>
  <si>
    <t>"IsLandmarked"</t>
  </si>
  <si>
    <t>"ConstructionToleranceClass"</t>
  </si>
  <si>
    <t>"DimensionalAccuracyClass"</t>
  </si>
  <si>
    <t>"ExposureClass"</t>
  </si>
  <si>
    <t>"ReinforcementStrengthClass"</t>
  </si>
  <si>
    <t>"StrengthClass"</t>
  </si>
  <si>
    <t>"StructuralClass"</t>
  </si>
  <si>
    <t>"ConcreteCover"</t>
  </si>
  <si>
    <t>"ConcreteCoverAtLinks"</t>
  </si>
  <si>
    <t>"ConcreteCoverAtMainBars"</t>
  </si>
  <si>
    <t>"ReinforcementVolumeRatio"</t>
  </si>
  <si>
    <t>"Purpose"</t>
  </si>
  <si>
    <t>"ReinforcementAreaRatio"</t>
  </si>
  <si>
    <t>"DesignLocationNumber"</t>
  </si>
  <si>
    <t>"HollowCorePlugging"</t>
  </si>
  <si>
    <t>"ManufacturingToleranceClass"</t>
  </si>
  <si>
    <t>"PieceMark"</t>
  </si>
  <si>
    <t>"TypeDesignator"</t>
  </si>
  <si>
    <t>"BatterAtEnd"</t>
  </si>
  <si>
    <t>"BatterAtStart"</t>
  </si>
  <si>
    <t>"Twisting"</t>
  </si>
  <si>
    <t>"CornerChamfer"</t>
  </si>
  <si>
    <t>"MinimumAllowableSupportLength"</t>
  </si>
  <si>
    <t>"FormStrippingStrength"</t>
  </si>
  <si>
    <t>"InitialTension"</t>
  </si>
  <si>
    <t>"LiftingStrength"</t>
  </si>
  <si>
    <t>"ReleaseStrength"</t>
  </si>
  <si>
    <t>"TransportationStrength"</t>
  </si>
  <si>
    <t>"CamberAtMidspan"</t>
  </si>
  <si>
    <t>"Shortening"</t>
  </si>
  <si>
    <t>"TendonRelaxation"</t>
  </si>
  <si>
    <t>"SupportDuringTransportDocReference"</t>
  </si>
  <si>
    <t>"SupportDuringTransportDescription"</t>
  </si>
  <si>
    <t>"Mode"</t>
  </si>
  <si>
    <t>"Finishing"</t>
  </si>
  <si>
    <t>"GroupCode"</t>
  </si>
  <si>
    <t>"CapacityPeople"</t>
  </si>
  <si>
    <t>"CapacityWeight"</t>
  </si>
  <si>
    <t>"CorrosionTreatment"</t>
  </si>
  <si>
    <t>"DeliveryType"</t>
  </si>
  <si>
    <t>"FireExit"</t>
  </si>
  <si>
    <t>"ProtectedOpening"</t>
  </si>
  <si>
    <t>"FireFightingLift"</t>
  </si>
  <si>
    <t>"ClearHeight"</t>
  </si>
  <si>
    <t>"GasPressure"</t>
  </si>
  <si>
    <t>"MoistureCapacityThermalGradient"</t>
  </si>
  <si>
    <t>"SolarRefractionIndex"</t>
  </si>
  <si>
    <t>"SpecificHeatTemperatureDerivative"</t>
  </si>
  <si>
    <t>"ThermalConductivityTemperatureDerivative"</t>
  </si>
  <si>
    <t>"ViscosityTemperatureDerivative"</t>
  </si>
  <si>
    <t>"VisibleRefractionIndex"</t>
  </si>
  <si>
    <t>"BreechingInletType"</t>
  </si>
  <si>
    <t>"CouplingType"</t>
  </si>
  <si>
    <t>"InletDiameter"</t>
  </si>
  <si>
    <t>"OutletDiameter"</t>
  </si>
  <si>
    <t>"NosingLength"</t>
  </si>
  <si>
    <t>"RequiredHeadroom"</t>
  </si>
  <si>
    <t>"RiserHeight"</t>
  </si>
  <si>
    <t>"TreadLength"</t>
  </si>
  <si>
    <t>"TreadLengthAtInnerSide"</t>
  </si>
  <si>
    <t>"TreadLengthAtOffset"</t>
  </si>
  <si>
    <t>"WaistThickness"</t>
  </si>
  <si>
    <t>"WalkingLineOffset"</t>
  </si>
  <si>
    <t>"NumberOfRiser"</t>
  </si>
  <si>
    <t>"NumberOfTreads"</t>
  </si>
  <si>
    <t>"Headroom"</t>
  </si>
  <si>
    <t>"HasNonSkidSurface"</t>
  </si>
  <si>
    <t>"ParkingUse"</t>
  </si>
  <si>
    <t>"ParkingUnits"</t>
  </si>
  <si>
    <t>"EvaporatorCoolant"</t>
  </si>
  <si>
    <t>"EvaporatorMediumType"</t>
  </si>
  <si>
    <t>"ChargePressure"</t>
  </si>
  <si>
    <t>"PressureRegulatorSetting"</t>
  </si>
  <si>
    <t>"ReliefValveSetting"</t>
  </si>
  <si>
    <t>"ActualErectionDate"</t>
  </si>
  <si>
    <t>"ActualProductionDate"</t>
  </si>
  <si>
    <t>"AsBuiltLocationNumber"</t>
  </si>
  <si>
    <t>"ProductionLotId"</t>
  </si>
  <si>
    <t>"SerialNumber"</t>
  </si>
  <si>
    <t>"DesignLevel"</t>
  </si>
  <si>
    <t>"IndoorEnvironment"</t>
  </si>
  <si>
    <t>"InUseConditions"</t>
  </si>
  <si>
    <t>"MaintenanceLevel"</t>
  </si>
  <si>
    <t>"OutdoorEnvironment"</t>
  </si>
  <si>
    <t>"QualityOfComponents"</t>
  </si>
  <si>
    <t>"WorkExecutionLevel"</t>
  </si>
  <si>
    <t>"FinCorrugatedType"</t>
  </si>
  <si>
    <t>"Spacing"</t>
  </si>
  <si>
    <t>"Thickness"</t>
  </si>
  <si>
    <t>"ThermalConductivity"</t>
  </si>
  <si>
    <t>"NominalParticleGeometricMeanDiameter"</t>
  </si>
  <si>
    <t>"Weight"</t>
  </si>
  <si>
    <t>"FinalResistance"</t>
  </si>
  <si>
    <t>"InitialResistance"</t>
  </si>
  <si>
    <t>"NominalPressureDrop"</t>
  </si>
  <si>
    <t>"NominalFlowrate"</t>
  </si>
  <si>
    <t>"NominalFilterFaceVelocity"</t>
  </si>
  <si>
    <t>"NominalMediaSurfaceVelocity"</t>
  </si>
  <si>
    <t>"NominalParticleGeometricStandardDeviation"</t>
  </si>
  <si>
    <t>"CompressedAirFilterType"</t>
  </si>
  <si>
    <t>"ParticleAbsorptionCurve"</t>
  </si>
  <si>
    <t>"OperationPressureMax"</t>
  </si>
  <si>
    <t>"WaterFilterType"</t>
  </si>
  <si>
    <t>"FrameMaterial"</t>
  </si>
  <si>
    <t>"AirParticleFilterType"</t>
  </si>
  <si>
    <t>"SeparationType"</t>
  </si>
  <si>
    <t>"CountedEfficiencyCurve"</t>
  </si>
  <si>
    <t>"DustHoldingCapacity"</t>
  </si>
  <si>
    <t>"WeightedEfficiencyCurve"</t>
  </si>
  <si>
    <t>"PressureDropCurve"</t>
  </si>
  <si>
    <t>"NominalCountedEfficiency"</t>
  </si>
  <si>
    <t>"NominalWeightedEfficiency"</t>
  </si>
  <si>
    <t>"AutomaticCondensateDischarge"</t>
  </si>
  <si>
    <t>"CloggingIndicator"</t>
  </si>
  <si>
    <t>"FaceSurfaceArea"</t>
  </si>
  <si>
    <t>"MediaExtendedArea"</t>
  </si>
  <si>
    <t>"NominalLength"</t>
  </si>
  <si>
    <t>"ElectricCookerType"</t>
  </si>
  <si>
    <t>"FountainType"</t>
  </si>
  <si>
    <t>"Mounting"</t>
  </si>
  <si>
    <t>"DrainSize"</t>
  </si>
  <si>
    <t>"TileLength"</t>
  </si>
  <si>
    <t>"TileWidth"</t>
  </si>
  <si>
    <t>"Permeability"</t>
  </si>
  <si>
    <t>"CurrentToleranceLimit1"</t>
  </si>
  <si>
    <t>"ReleaseTime"</t>
  </si>
  <si>
    <t>"ReleaseTimeI2tEnd"</t>
  </si>
  <si>
    <t>"ReleaseTimeI2tStart"</t>
  </si>
  <si>
    <t>"ReleaseCurrent"</t>
  </si>
  <si>
    <t>"ReleaseCurrentI2tEnd"</t>
  </si>
  <si>
    <t>"ReleaseCurrentI2tStart"</t>
  </si>
  <si>
    <t>"TimeToleranceLimit1"</t>
  </si>
  <si>
    <t>"CurrentTolerance1"</t>
  </si>
  <si>
    <t>"CurrentTolerance2"</t>
  </si>
  <si>
    <t>"TimeTolerance1"</t>
  </si>
  <si>
    <t>"TimeTolerance2"</t>
  </si>
  <si>
    <t>"ExternalAdjusted"</t>
  </si>
  <si>
    <t>"IsCurrentTolerancePositiveOnly"</t>
  </si>
  <si>
    <t>"IsSelectable"</t>
  </si>
  <si>
    <t>"IsTimeTolerancePositiveOnly"</t>
  </si>
  <si>
    <t>"NominalCurrentAdjusted"</t>
  </si>
  <si>
    <t>"IsOffWhenLfunctionOn"</t>
  </si>
  <si>
    <t>"MaxAdjustmentX_ICS"</t>
  </si>
  <si>
    <t>"IsOffWhenSFunctionOn"</t>
  </si>
  <si>
    <t>"LowerTime1"</t>
  </si>
  <si>
    <t>"LowerTime2"</t>
  </si>
  <si>
    <t>"UpperTime1"</t>
  </si>
  <si>
    <t>"UpperTime2"</t>
  </si>
  <si>
    <t>"LowerCurrent1"</t>
  </si>
  <si>
    <t>"LowerCurrent2"</t>
  </si>
  <si>
    <t>"UpperCurrent1"</t>
  </si>
  <si>
    <t>"UpperCurrent2"</t>
  </si>
  <si>
    <t>"MarketCategory"</t>
  </si>
  <si>
    <t>"MarketSubCategoriesAvailableFuture"</t>
  </si>
  <si>
    <t>"MarketSubCategoriesAvailableNow"</t>
  </si>
  <si>
    <t>"MarketSubCategory"</t>
  </si>
  <si>
    <t>"PlanningControlStatus"</t>
  </si>
  <si>
    <t>"TenureModesAvailableFuture"</t>
  </si>
  <si>
    <t>"TenureModesAvailableNow"</t>
  </si>
  <si>
    <t>"VacancyRateInCategoryFuture"</t>
  </si>
  <si>
    <t>"VacancyRateInCategoryNow"</t>
  </si>
  <si>
    <t>"RentalRatesInCategoryFuture"</t>
  </si>
  <si>
    <t>"RentalRatesInCategoryNow"</t>
  </si>
  <si>
    <t>"NarrativeText"</t>
  </si>
  <si>
    <t>"WarrantyEndDate"</t>
  </si>
  <si>
    <t>"WarrantyStartDate"</t>
  </si>
  <si>
    <t>"WarrantyPeriod"</t>
  </si>
  <si>
    <t>"PointOfContact"</t>
  </si>
  <si>
    <t>"WarrantyIdentifier"</t>
  </si>
  <si>
    <t>"Exclusions"</t>
  </si>
  <si>
    <t>"WarrantyContent"</t>
  </si>
  <si>
    <t>"IsExtendedWarranty"</t>
  </si>
  <si>
    <t>"SoundCurve"</t>
  </si>
  <si>
    <t>"MaximumPowerOutput"</t>
  </si>
  <si>
    <t>"ElectricGeneratorEfficiency"</t>
  </si>
  <si>
    <t>"StartCurrentFactor"</t>
  </si>
  <si>
    <t>"FireHydrantType"</t>
  </si>
  <si>
    <t>"FlowClass"</t>
  </si>
  <si>
    <t>"HoseConnectionSize"</t>
  </si>
  <si>
    <t>"PumperConnectionSize"</t>
  </si>
  <si>
    <t>"DischargeFlowRate"</t>
  </si>
  <si>
    <t>"WaterIsPotable"</t>
  </si>
  <si>
    <t>"NumberOfHoseConnections"</t>
  </si>
  <si>
    <t>"BodyColor"</t>
  </si>
  <si>
    <t>"CapColor"</t>
  </si>
  <si>
    <t>"CoilConnectionDirection"</t>
  </si>
  <si>
    <t>"CoilCoolant"</t>
  </si>
  <si>
    <t>"CoilFluidArrangement"</t>
  </si>
  <si>
    <t>"FluidPressureRange"</t>
  </si>
  <si>
    <t>"BypassFactor"</t>
  </si>
  <si>
    <t>"SensibleHeatRatio"</t>
  </si>
  <si>
    <t>"WetCoilFraction"</t>
  </si>
  <si>
    <t>"WaterPressureDropCurve"</t>
  </si>
  <si>
    <t>"TotalUACurves"</t>
  </si>
  <si>
    <t>"IsothermalMoistureCapacity"</t>
  </si>
  <si>
    <t>"MoistureDiffusivity"</t>
  </si>
  <si>
    <t>"VaporPermeability"</t>
  </si>
  <si>
    <t>"LowerVaporResistanceFactor"</t>
  </si>
  <si>
    <t>"UpperVaporResistanceFactor"</t>
  </si>
  <si>
    <t>"Flowrate"</t>
  </si>
  <si>
    <t>"MechanicalEfficiency"</t>
  </si>
  <si>
    <t>"OverallEfficiency"</t>
  </si>
  <si>
    <t>"Power"</t>
  </si>
  <si>
    <t>"PressureRise"</t>
  </si>
  <si>
    <t>"RotationSpeed"</t>
  </si>
  <si>
    <t>"AirflowCurve"</t>
  </si>
  <si>
    <t>"AtmosphericPressure"</t>
  </si>
  <si>
    <t>"DamperPosition"</t>
  </si>
  <si>
    <t>"Sound"</t>
  </si>
  <si>
    <t>"AuxiliaryEnergyConsumption"</t>
  </si>
  <si>
    <t>"CombustionEfficiency"</t>
  </si>
  <si>
    <t>"CombustionTemperature"</t>
  </si>
  <si>
    <t>"EnergySourceConsumption"</t>
  </si>
  <si>
    <t>"Load"</t>
  </si>
  <si>
    <t>"OperationalEfficiency"</t>
  </si>
  <si>
    <t>"PartLoadRatio"</t>
  </si>
  <si>
    <t>"PrimaryEnergyConsumption"</t>
  </si>
  <si>
    <t>"WorkingPressure"</t>
  </si>
  <si>
    <t>"AirFlowLeakage"</t>
  </si>
  <si>
    <t>"LossCoefficient"</t>
  </si>
  <si>
    <t>"FlowrateLeakage"</t>
  </si>
  <si>
    <t>"AirPressureDropCurves"</t>
  </si>
  <si>
    <t>"DefrostTemperatureEffectiveness"</t>
  </si>
  <si>
    <t>"HumidityEffectiveness"</t>
  </si>
  <si>
    <t>"LatentHeatTransferRate"</t>
  </si>
  <si>
    <t>"SensibleEffectiveness"</t>
  </si>
  <si>
    <t>"SensibleEffectivenessTable"</t>
  </si>
  <si>
    <t>"SensibleHeatTransferRate"</t>
  </si>
  <si>
    <t>"TemperatureEffectiveness"</t>
  </si>
  <si>
    <t>"TotalEffectiveness"</t>
  </si>
  <si>
    <t>"TotalEffectivenessTable"</t>
  </si>
  <si>
    <t>"TotalHeatTransferRate"</t>
  </si>
  <si>
    <t>"AirPressureDropCurve"</t>
  </si>
  <si>
    <t>"FaceVelocity"</t>
  </si>
  <si>
    <t>"Capacity"</t>
  </si>
  <si>
    <t>"HeatTransferCoefficient"</t>
  </si>
  <si>
    <t>"Performance"</t>
  </si>
  <si>
    <t>"SumpHeaterPower"</t>
  </si>
  <si>
    <t>"UACurve"</t>
  </si>
  <si>
    <t>"MeasuredFlowRate"</t>
  </si>
  <si>
    <t>"MeasuredPressureDrop"</t>
  </si>
  <si>
    <t>"PercentageOpen"</t>
  </si>
  <si>
    <t>"BeamCoolingCapacity"</t>
  </si>
  <si>
    <t>"BeamHeatingCapacity"</t>
  </si>
  <si>
    <t>"CoolingWaterFlowRate"</t>
  </si>
  <si>
    <t>"CorrectionFactorForCooling"</t>
  </si>
  <si>
    <t>"CorrectionFactorForHeating"</t>
  </si>
  <si>
    <t>"HeatingWaterFlowRate"</t>
  </si>
  <si>
    <t>"ReturnWaterTemperatureCooling"</t>
  </si>
  <si>
    <t>"ReturnWaterTemperatureHeating"</t>
  </si>
  <si>
    <t>"SupplyWaterTemperatureCooling"</t>
  </si>
  <si>
    <t>"SupplyWaterTemperatureHeating"</t>
  </si>
  <si>
    <t>"TotalCoolingCapacity"</t>
  </si>
  <si>
    <t>"TotalHeatingCapacity"</t>
  </si>
  <si>
    <t>"WaterPressureDropCurves"</t>
  </si>
  <si>
    <t>"AirFlowRate"</t>
  </si>
  <si>
    <t>"Throw"</t>
  </si>
  <si>
    <t>"Electricity"</t>
  </si>
  <si>
    <t>"Fuel"</t>
  </si>
  <si>
    <t>"Heat"</t>
  </si>
  <si>
    <t>"Steam"</t>
  </si>
  <si>
    <t>"Water"</t>
  </si>
  <si>
    <t>"PowerState"</t>
  </si>
  <si>
    <t>"Acknowledge"</t>
  </si>
  <si>
    <t>"Enabled"</t>
  </si>
  <si>
    <t>"Severity"</t>
  </si>
  <si>
    <t>"User"</t>
  </si>
  <si>
    <t>"BladePositionAngle"</t>
  </si>
  <si>
    <t>"Leakage"</t>
  </si>
  <si>
    <t>"PressureDrop"</t>
  </si>
  <si>
    <t>"PressureLossCoefficient"</t>
  </si>
  <si>
    <t>"MediaContent"</t>
  </si>
  <si>
    <t>"AirResistanceCurve"</t>
  </si>
  <si>
    <t>"AuxiliaryEnergySourceConsumption"</t>
  </si>
  <si>
    <t>"Effectiveness"</t>
  </si>
  <si>
    <t>"Exponent"</t>
  </si>
  <si>
    <t>"FractionConvectiveHeatTransfer"</t>
  </si>
  <si>
    <t>"FractionRadiantHeatTransfer"</t>
  </si>
  <si>
    <t>"HeatOutputRate"</t>
  </si>
  <si>
    <t>"OutputCapacityCurve"</t>
  </si>
  <si>
    <t>"SpaceAirTemperature"</t>
  </si>
  <si>
    <t>"SpaceMeanRadiantTemperature"</t>
  </si>
  <si>
    <t>"SurfaceTemperature"</t>
  </si>
  <si>
    <t>"Position"</t>
  </si>
  <si>
    <t>"Quality"</t>
  </si>
  <si>
    <t>"CoefficientOfPerformance"</t>
  </si>
  <si>
    <t>"EnergyEfficiencyRatio"</t>
  </si>
  <si>
    <t>"CompressionEfficiency"</t>
  </si>
  <si>
    <t>"CompressorCapacity"</t>
  </si>
  <si>
    <t>"CompressorTotalEfficiency"</t>
  </si>
  <si>
    <t>"CompressorTotalHeatGain"</t>
  </si>
  <si>
    <t>"FrictionHeatGain"</t>
  </si>
  <si>
    <t>"FullLoadRatio"</t>
  </si>
  <si>
    <t>"InputPower"</t>
  </si>
  <si>
    <t>"IsentropicEfficiency"</t>
  </si>
  <si>
    <t>"LubricantPumpHeatGain"</t>
  </si>
  <si>
    <t>"ShaftPower"</t>
  </si>
  <si>
    <t>"VolumetricEfficiency"</t>
  </si>
  <si>
    <t>"CompressorCondenserHeatGain"</t>
  </si>
  <si>
    <t>"CompressorCondenserPressureDrop"</t>
  </si>
  <si>
    <t>"CondenserMeanVoidFraction"</t>
  </si>
  <si>
    <t>"CondensingTemperature"</t>
  </si>
  <si>
    <t>"ExteriorHeatTransferCoefficient"</t>
  </si>
  <si>
    <t>"HeatRejectionRate"</t>
  </si>
  <si>
    <t>"InteriorHeatTransferCoefficient"</t>
  </si>
  <si>
    <t>"LogarithmicMeanTemperatureDifference"</t>
  </si>
  <si>
    <t>"RefrigerantFoulingResistance"</t>
  </si>
  <si>
    <t>"UAcurves"</t>
  </si>
  <si>
    <t>"WaterFoulingResistance"</t>
  </si>
  <si>
    <t>"WaterSumpTemperature"</t>
  </si>
  <si>
    <t>"Level"</t>
  </si>
  <si>
    <t>"Azimuth"</t>
  </si>
  <si>
    <t>"TiltAngle"</t>
  </si>
  <si>
    <t>"Fan"</t>
  </si>
  <si>
    <t>"CompressorEvaporatorHeatGain"</t>
  </si>
  <si>
    <t>"CompressorEvaporatorPressureDrop"</t>
  </si>
  <si>
    <t>"EvaporatingTemperature"</t>
  </si>
  <si>
    <t>"EvaporatorMeanVoidFraction"</t>
  </si>
  <si>
    <t>"CountedEfficiency"</t>
  </si>
  <si>
    <t>"ParticleMassHolding"</t>
  </si>
  <si>
    <t>"WeightedEfficiency"</t>
  </si>
  <si>
    <t>"FluidFlowLeakage"</t>
  </si>
  <si>
    <t>"Direction"</t>
  </si>
  <si>
    <t>"CenterlineAirVelocity"</t>
  </si>
  <si>
    <t>"NeckAirVelocity"</t>
  </si>
  <si>
    <t>"SupplyAirTemperatureCooling"</t>
  </si>
  <si>
    <t>"SupplyAirTemperatureHeating"</t>
  </si>
  <si>
    <t>"InductionRatio"</t>
  </si>
  <si>
    <t>"SaturationEfficiency"</t>
  </si>
  <si>
    <t>"DischargePressureLoss"</t>
  </si>
  <si>
    <t>"DischargeVelocity"</t>
  </si>
  <si>
    <t>"DrivePowerLoss"</t>
  </si>
  <si>
    <t>"FanEfficiency"</t>
  </si>
  <si>
    <t>"FanPowerRate"</t>
  </si>
  <si>
    <t>"FanRotationSpeed"</t>
  </si>
  <si>
    <t>"ShaftPowerRate"</t>
  </si>
  <si>
    <t>"WheelTipSpeed"</t>
  </si>
  <si>
    <t>"CoolingAirFlowRate"</t>
  </si>
  <si>
    <t>"ExhaustAirFlowRate"</t>
  </si>
  <si>
    <t>"HeatingAirFlowRate"</t>
  </si>
  <si>
    <t>"SpaceRelativeHumidity"</t>
  </si>
  <si>
    <t>"SpaceTemperature"</t>
  </si>
  <si>
    <t>"VentilationAirFlowRate"</t>
  </si>
  <si>
    <t>"LongInsideCenterLowerBarPitch"</t>
  </si>
  <si>
    <t>"LongInsideCenterTopBarPitch"</t>
  </si>
  <si>
    <t>"LongInsideEndLowerBarPitch"</t>
  </si>
  <si>
    <t>"LongInsideEndTopBarPitch"</t>
  </si>
  <si>
    <t>"LongOutsideLowerBarPitch"</t>
  </si>
  <si>
    <t>"LongOutsideTopBarPitch"</t>
  </si>
  <si>
    <t>"ShortInsideCenterLowerBarPitch"</t>
  </si>
  <si>
    <t>"ShortInsideCenterTopBarPitch"</t>
  </si>
  <si>
    <t>"ShortInsideEndLowerBarPitch"</t>
  </si>
  <si>
    <t>"ShortInsideEndTopBarPitch"</t>
  </si>
  <si>
    <t>"ShortOutsideLowerBarPitch"</t>
  </si>
  <si>
    <t>"ShortOutsideTopBarPitch"</t>
  </si>
  <si>
    <t>"CrossingLowerBarPitch"</t>
  </si>
  <si>
    <t>"CrossingUpperBarPitch"</t>
  </si>
  <si>
    <t>"SpacingBarPitch"</t>
  </si>
  <si>
    <t>"StirrupBarPitch"</t>
  </si>
  <si>
    <t>"ReinforcementBarType"</t>
  </si>
  <si>
    <t>"HoopBarPitch"</t>
  </si>
  <si>
    <t>"XDirectionTieHoopBarPitch"</t>
  </si>
  <si>
    <t>"YDirectionTieHoopBarPitch"</t>
  </si>
  <si>
    <t>"XDirectionTieHoopCount"</t>
  </si>
  <si>
    <t>"YDirectionTieHoopCount"</t>
  </si>
  <si>
    <t>"BarAllocationType"</t>
  </si>
  <si>
    <t>"HorizontalBarPitch"</t>
  </si>
  <si>
    <t>"VerticalBarPitch"</t>
  </si>
  <si>
    <t>"FunctionalUnitReference"</t>
  </si>
  <si>
    <t>"LifeCyclePhase"</t>
  </si>
  <si>
    <t>"ExpectedServiceLife"</t>
  </si>
  <si>
    <t>"NonRenewableEnergyConsumptionPerUnit"</t>
  </si>
  <si>
    <t>"RenewableEnergyConsumptionPerUnit"</t>
  </si>
  <si>
    <t>"TotalPrimaryEnergyConsumptionPerUnit"</t>
  </si>
  <si>
    <t>"AtmosphericAcidificationPerUnit"</t>
  </si>
  <si>
    <t>"ClimateChangePerUnit"</t>
  </si>
  <si>
    <t>"EutrophicationPerUnit"</t>
  </si>
  <si>
    <t>"HazardousWastePerUnit"</t>
  </si>
  <si>
    <t>"InertWastePerUnit"</t>
  </si>
  <si>
    <t>"NonHazardousWastePerUnit"</t>
  </si>
  <si>
    <t>"PhotochemicalOzoneFormationPerUnit"</t>
  </si>
  <si>
    <t>"RadioactiveWastePerUnit"</t>
  </si>
  <si>
    <t>"ResourceDepletionPerUnit"</t>
  </si>
  <si>
    <t>"StratosphericOzoneLayerDestructionPerUnit"</t>
  </si>
  <si>
    <t>"WaterConsumptionPerUnit"</t>
  </si>
  <si>
    <t>"Unit"</t>
  </si>
  <si>
    <t>"AirSideSystemDistributionType"</t>
  </si>
  <si>
    <t>"AirSideSystemType"</t>
  </si>
  <si>
    <t>"Name"</t>
  </si>
  <si>
    <t>"EnergyGainSensible"</t>
  </si>
  <si>
    <t>"EnergyGainTotal"</t>
  </si>
  <si>
    <t>"EnergyLoss"</t>
  </si>
  <si>
    <t>"FanPower"</t>
  </si>
  <si>
    <t>"CoolingTemperatureDelta"</t>
  </si>
  <si>
    <t>"HeatingTemperatureDelta"</t>
  </si>
  <si>
    <t>"AirflowSensible"</t>
  </si>
  <si>
    <t>"TotalAirflow"</t>
  </si>
  <si>
    <t>"Ventilation"</t>
  </si>
  <si>
    <t>"AssemblyPlace"</t>
  </si>
  <si>
    <t>"Manufacturer"</t>
  </si>
  <si>
    <t>"ModelLabel"</t>
  </si>
  <si>
    <t>"ModelReference"</t>
  </si>
  <si>
    <t>"ProductionYear"</t>
  </si>
  <si>
    <t>"ArticleNumber"</t>
  </si>
  <si>
    <t>"GlobalTradeItemNumber"</t>
  </si>
  <si>
    <t>"ContainerMaterial"</t>
  </si>
  <si>
    <t>"WrappingMaterial"</t>
  </si>
  <si>
    <t>"PackingCareType"</t>
  </si>
  <si>
    <t>"SpecialInstructions"</t>
  </si>
  <si>
    <t>"CoverLength"</t>
  </si>
  <si>
    <t>"CoverWidth"</t>
  </si>
  <si>
    <t>"InletConnectionSize"</t>
  </si>
  <si>
    <t>"NominalBodyDepth"</t>
  </si>
  <si>
    <t>"NominalBodyLength"</t>
  </si>
  <si>
    <t>"NominalBodyWidth"</t>
  </si>
  <si>
    <t>"OutletConnectionSize"</t>
  </si>
  <si>
    <t>"VentilatingPipeSize"</t>
  </si>
  <si>
    <t>"SwitchActivation"</t>
  </si>
  <si>
    <t>"SwitchUsage"</t>
  </si>
  <si>
    <t>"ToggleSwitchType"</t>
  </si>
  <si>
    <t>"StarterType"</t>
  </si>
  <si>
    <t>"DimmerType"</t>
  </si>
  <si>
    <t>"MomentaryType"</t>
  </si>
  <si>
    <t>"IsolatorStaticDeflection"</t>
  </si>
  <si>
    <t>"MaximumSupportedWeight"</t>
  </si>
  <si>
    <t>"IsolatorCompressibility"</t>
  </si>
  <si>
    <t>"VibrationTransmissibility"</t>
  </si>
  <si>
    <t>"IsolatingPurpose"</t>
  </si>
  <si>
    <t>"IsNormallyOpen"</t>
  </si>
  <si>
    <t>"MechanicalLoadRating"</t>
  </si>
  <si>
    <t>"SecurityRating"</t>
  </si>
  <si>
    <t>"WaterTightnessRating"</t>
  </si>
  <si>
    <t>"WindLoadRating"</t>
  </si>
  <si>
    <t>"GlazingAreaFraction"</t>
  </si>
  <si>
    <t>"Infiltration"</t>
  </si>
  <si>
    <t>"HasDrive"</t>
  </si>
  <si>
    <t>"HasSillExternal"</t>
  </si>
  <si>
    <t>"HasSillInternal"</t>
  </si>
  <si>
    <t>"SmokeStop"</t>
  </si>
  <si>
    <t>"JunctionType"</t>
  </si>
  <si>
    <t>"JunctionLeftAngle"</t>
  </si>
  <si>
    <t>"JunctionRightAngle"</t>
  </si>
  <si>
    <t>"JunctionLeftRadius"</t>
  </si>
  <si>
    <t>"JunctionRightRadius"</t>
  </si>
  <si>
    <t>"ColorAppearance"</t>
  </si>
  <si>
    <t>"LampBallastType"</t>
  </si>
  <si>
    <t>"LampCompensationType"</t>
  </si>
  <si>
    <t>"ContributedLuminousFlux"</t>
  </si>
  <si>
    <t>"LightEmitterNominalPower"</t>
  </si>
  <si>
    <t>"ColorTemperature"</t>
  </si>
  <si>
    <t>"Spectrum"</t>
  </si>
  <si>
    <t>"ColorRenderingIndex"</t>
  </si>
  <si>
    <t>"LampMaintenanceFactor"</t>
  </si>
  <si>
    <t>"FlushingRate"</t>
  </si>
  <si>
    <t>"HasIntegralShutOffDevice"</t>
  </si>
  <si>
    <t>"IsHighPressure"</t>
  </si>
  <si>
    <t>"DishwasherType"</t>
  </si>
  <si>
    <t>"IsAutomatic"</t>
  </si>
  <si>
    <t>"ContourValue"</t>
  </si>
  <si>
    <t>"VisibleAngleLeft"</t>
  </si>
  <si>
    <t>"VisibleAngleRight"</t>
  </si>
  <si>
    <t>"RoadVisibleDistanceLeft"</t>
  </si>
  <si>
    <t>"RoadVisibleDistanceRight"</t>
  </si>
  <si>
    <t>"SetbackDistance"</t>
  </si>
  <si>
    <t>"BuildableArea"</t>
  </si>
  <si>
    <t>"TotalArea"</t>
  </si>
  <si>
    <t>"LightFixtureMountingType"</t>
  </si>
  <si>
    <t>"LightFixturePlacingType"</t>
  </si>
  <si>
    <t>"MaximumPlenumSensibleLoad"</t>
  </si>
  <si>
    <t>"MaximumSpaceSensibleLoad"</t>
  </si>
  <si>
    <t>"TotalWattage"</t>
  </si>
  <si>
    <t>"SensibleLoadToRadiant"</t>
  </si>
  <si>
    <t>"NumberOfSources"</t>
  </si>
  <si>
    <t>"MaintenanceFactor"</t>
  </si>
  <si>
    <t>"Addressablility"</t>
  </si>
  <si>
    <t>"BackupSupplySystem"</t>
  </si>
  <si>
    <t>"PictogramEscapeDirection"</t>
  </si>
  <si>
    <t>"SecurityLightingType"</t>
  </si>
  <si>
    <t>"SelfTestFunction"</t>
  </si>
  <si>
    <t>"FixtureHeight"</t>
  </si>
  <si>
    <t>"PressureGaugeType"</t>
  </si>
  <si>
    <t>"DisplaySize"</t>
  </si>
  <si>
    <t>"AirHandlerConstruction"</t>
  </si>
  <si>
    <t>"AirHandlerFanCoilArrangement"</t>
  </si>
  <si>
    <t>"DualDeck"</t>
  </si>
  <si>
    <t>"CO2Content"</t>
  </si>
  <si>
    <t>"COContent"</t>
  </si>
  <si>
    <t>"N20Content"</t>
  </si>
  <si>
    <t>"SpecificHeatCapacity"</t>
  </si>
  <si>
    <t>"MaxAggregateSize"</t>
  </si>
  <si>
    <t>"CompressiveStrength"</t>
  </si>
  <si>
    <t>"ProtectivePoreRatio"</t>
  </si>
  <si>
    <t>"AdmixturesDescription"</t>
  </si>
  <si>
    <t>"WaterImpermeability"</t>
  </si>
  <si>
    <t>"Workability"</t>
  </si>
  <si>
    <t>"MassDensity"</t>
  </si>
  <si>
    <t>"MolecularWeight"</t>
  </si>
  <si>
    <t>"Porosity"</t>
  </si>
  <si>
    <t>"ProportionalStress"</t>
  </si>
  <si>
    <t>"UltimateStress"</t>
  </si>
  <si>
    <t>"YieldStress"</t>
  </si>
  <si>
    <t>"Relaxations"</t>
  </si>
  <si>
    <t>"PlasticStrain"</t>
  </si>
  <si>
    <t>"UltimateStrain"</t>
  </si>
  <si>
    <t>"HardeningModule"</t>
  </si>
  <si>
    <t>"CarbonContent"</t>
  </si>
  <si>
    <t>"HigherHeatingValue"</t>
  </si>
  <si>
    <t>"LowerHeatingValue"</t>
  </si>
  <si>
    <t>"InPlane"</t>
  </si>
  <si>
    <t>"InPlaneNegative"</t>
  </si>
  <si>
    <t>"OutOfPlane"</t>
  </si>
  <si>
    <t>"IsPotable"</t>
  </si>
  <si>
    <t>"OutOfPlaneNegative"</t>
  </si>
  <si>
    <t>"AppearanceGrade"</t>
  </si>
  <si>
    <t>"Layup"</t>
  </si>
  <si>
    <t>"Species"</t>
  </si>
  <si>
    <t>"StrengthGrade"</t>
  </si>
  <si>
    <t>"DimensionalChangeCoefficient"</t>
  </si>
  <si>
    <t>"MoistureContent"</t>
  </si>
  <si>
    <t>"ThicknessSwelling"</t>
  </si>
  <si>
    <t>"Layers"</t>
  </si>
  <si>
    <t>"Plies"</t>
  </si>
  <si>
    <t>"ApplicableStructuralDesignMethod"</t>
  </si>
  <si>
    <t>"BoilingPoint"</t>
  </si>
  <si>
    <t>"FreezingPoint"</t>
  </si>
  <si>
    <t>"BackflowPreventerType"</t>
  </si>
  <si>
    <t>"Type"</t>
  </si>
  <si>
    <t>"MaximumPressureLoss"</t>
  </si>
  <si>
    <t>"MaximumFlowRate"</t>
  </si>
  <si>
    <t>"MaximumCurrent"</t>
  </si>
  <si>
    <t>"NominalCurrent"</t>
  </si>
  <si>
    <t>"MultipleTarriff"</t>
  </si>
  <si>
    <t>"ReadOutType"</t>
  </si>
  <si>
    <t>"RemoteReading"</t>
  </si>
  <si>
    <t>"GasType"</t>
  </si>
  <si>
    <t>"Span"</t>
  </si>
  <si>
    <t>"Location1Global"</t>
  </si>
  <si>
    <t>"Location1Local"</t>
  </si>
  <si>
    <t>"Location2Global"</t>
  </si>
  <si>
    <t>"Location2Local"</t>
  </si>
  <si>
    <t>"Location3Global"</t>
  </si>
  <si>
    <t>"Location3Local"</t>
  </si>
  <si>
    <t>"Thickness1"</t>
  </si>
  <si>
    <t>"Thickness2"</t>
  </si>
  <si>
    <t>"Thickness3"</t>
  </si>
  <si>
    <t>"UrinalType"</t>
  </si>
  <si>
    <t>"SpilloverLevel"</t>
  </si>
  <si>
    <t>"MixerControl"</t>
  </si>
  <si>
    <t>"MainColor"</t>
  </si>
  <si>
    <t>"Style"</t>
  </si>
  <si>
    <t>"NominalDepth"</t>
  </si>
  <si>
    <t>"IsBuiltIn"</t>
  </si>
  <si>
    <t>"NumberOfChairs"</t>
  </si>
  <si>
    <t>"HighestSeatingHeight"</t>
  </si>
  <si>
    <t>"LowestSeatingHeight"</t>
  </si>
  <si>
    <t>"SeatingHeight"</t>
  </si>
  <si>
    <t>"WorksurfaceArea"</t>
  </si>
  <si>
    <t>"WithLock"</t>
  </si>
  <si>
    <t>"IsUsed"</t>
  </si>
  <si>
    <t>"FrameSize"</t>
  </si>
  <si>
    <t>"MotorEnclosureType"</t>
  </si>
  <si>
    <t>"StartingTime"</t>
  </si>
  <si>
    <t>"TeTime"</t>
  </si>
  <si>
    <t>"LockedRotorCurrent"</t>
  </si>
  <si>
    <t>"ElectricMotorEfficiency"</t>
  </si>
  <si>
    <t>"HasPartWinding"</t>
  </si>
  <si>
    <t>"IsGuarded"</t>
  </si>
  <si>
    <t>"Color"</t>
  </si>
  <si>
    <t>"InteriorRoughnessCoefficient"</t>
  </si>
  <si>
    <t>"HasLiner"</t>
  </si>
  <si>
    <t>"SizingMethod"</t>
  </si>
  <si>
    <t>"HasSoundAttenuation"</t>
  </si>
  <si>
    <t>"BaseType"</t>
  </si>
  <si>
    <t>"DriveConnectionType"</t>
  </si>
  <si>
    <t>"PoleUsage"</t>
  </si>
  <si>
    <t>"GroundFaultTrippingTime"</t>
  </si>
  <si>
    <t>"InstantaneousTrippingTime"</t>
  </si>
  <si>
    <t>"LongTimeDelay"</t>
  </si>
  <si>
    <t>"ShortTimeTrippingTime"</t>
  </si>
  <si>
    <t>"GroundFaultCurrentSetValue"</t>
  </si>
  <si>
    <t>"InstantaneousCurrentSetValue"</t>
  </si>
  <si>
    <t>"LongTimeCurrentSetValue"</t>
  </si>
  <si>
    <t>"ShortTimeCurrentSetValue"</t>
  </si>
  <si>
    <t>"GroundFaultFunction"</t>
  </si>
  <si>
    <t>"GroundFaulti2tFunction"</t>
  </si>
  <si>
    <t>"LongTimeFunction"</t>
  </si>
  <si>
    <t>"ShortTimeFunction"</t>
  </si>
  <si>
    <t>"ShortTimei2tFunction"</t>
  </si>
  <si>
    <t>"TankComposition"</t>
  </si>
  <si>
    <t>"HasLadder"</t>
  </si>
  <si>
    <t>"HasVisualIndicator"</t>
  </si>
  <si>
    <t>"ApplicationOfFan"</t>
  </si>
  <si>
    <t>"CoilPosition"</t>
  </si>
  <si>
    <t>"DischargeType"</t>
  </si>
  <si>
    <t>"FanMountingType"</t>
  </si>
  <si>
    <t>"MotorPosition"</t>
  </si>
  <si>
    <t>"FractionOfMotorHeatToAirStream"</t>
  </si>
  <si>
    <t>"AcquisitionDate"</t>
  </si>
  <si>
    <t>"BarCode"</t>
  </si>
  <si>
    <t>"BatchReference"</t>
  </si>
  <si>
    <t>"IsMain"</t>
  </si>
  <si>
    <t>"IsSkilledOperator"</t>
  </si>
  <si>
    <t>"InstallationMethod"</t>
  </si>
  <si>
    <t>"InstallationMethodFlagEnum"</t>
  </si>
  <si>
    <t>"MountingMethod"</t>
  </si>
  <si>
    <t>"DistanceBetweenParallelCircuits"</t>
  </si>
  <si>
    <t>"MaximumCableLength"</t>
  </si>
  <si>
    <t>"SoilConductivity"</t>
  </si>
  <si>
    <t>"CurrentCarryingCapasity"</t>
  </si>
  <si>
    <t>"DesignAmbientTemperature"</t>
  </si>
  <si>
    <t>"IsHorizontalCable"</t>
  </si>
  <si>
    <t>"IsMountedFlatCable"</t>
  </si>
  <si>
    <t>"CarrierStackNumber"</t>
  </si>
  <si>
    <t>"NumberOfParallelCircuits"</t>
  </si>
  <si>
    <t>"UserCorrectionFactor"</t>
  </si>
  <si>
    <t>"InvertElevation"</t>
  </si>
  <si>
    <t>"Gradient"</t>
  </si>
  <si>
    <t>"Location"</t>
  </si>
  <si>
    <t>"AirflowType"</t>
  </si>
  <si>
    <t>"IsFOB"</t>
  </si>
  <si>
    <t>"ShipMethod"</t>
  </si>
  <si>
    <t>"FaultPriorityType"</t>
  </si>
  <si>
    <t>"LocationPriorityType"</t>
  </si>
  <si>
    <t>"MaintenaceType"</t>
  </si>
  <si>
    <t>"ScheduledFrequency"</t>
  </si>
  <si>
    <t>"ContractualType"</t>
  </si>
  <si>
    <t>"IfNotAccomplished"</t>
  </si>
  <si>
    <t>"ProductDescription"</t>
  </si>
  <si>
    <t>"WorkTypeRequested"</t>
  </si>
  <si>
    <t>"BudgetSource"</t>
  </si>
  <si>
    <t>"ReasonForChange"</t>
  </si>
  <si>
    <t>"FurniturePanelType"</t>
  </si>
  <si>
    <t>"HasOpening"</t>
  </si>
  <si>
    <t>"SwitchOperation"</t>
  </si>
  <si>
    <t>"HeadShape"</t>
  </si>
  <si>
    <t>"KeyShape"</t>
  </si>
  <si>
    <t>"NutShape"</t>
  </si>
  <si>
    <t>"WasherShape"</t>
  </si>
  <si>
    <t>"ThreadDiameter"</t>
  </si>
  <si>
    <t>"ThreadLength"</t>
  </si>
  <si>
    <t>"NutsCount"</t>
  </si>
  <si>
    <t>"WashersCount"</t>
  </si>
  <si>
    <t>"AnchorBoltDiameter"</t>
  </si>
  <si>
    <t>"AnchorBoltLength"</t>
  </si>
  <si>
    <t>"AnchorBoltProtrusionLength"</t>
  </si>
  <si>
    <t>"AnchorBoltThreadLength"</t>
  </si>
  <si>
    <t>"Compartmentation"</t>
  </si>
  <si>
    <t>"ExtendToStructure"</t>
  </si>
  <si>
    <t>"FlangeBaseFillet"</t>
  </si>
  <si>
    <t>"FlangeChamfer"</t>
  </si>
  <si>
    <t>"FlangeDraft"</t>
  </si>
  <si>
    <t>"FlangeTopFillet"</t>
  </si>
  <si>
    <t>"StemBaseChamfer"</t>
  </si>
  <si>
    <t>"StemBaseFillet"</t>
  </si>
  <si>
    <t>"StemTopChamfer"</t>
  </si>
  <si>
    <t>"StemTopFillet"</t>
  </si>
  <si>
    <t>"FlangeDepth"</t>
  </si>
  <si>
    <t>"LeftFlangeWidth"</t>
  </si>
  <si>
    <t>"OverallDepth"</t>
  </si>
  <si>
    <t>"OverallWidth"</t>
  </si>
  <si>
    <t>"RightFlangeWidth"</t>
  </si>
  <si>
    <t>"StemBaseWidth"</t>
  </si>
  <si>
    <t>"StemTopWidth"</t>
  </si>
  <si>
    <t>"WarpingConstant"</t>
  </si>
  <si>
    <t>"CentreOfGravityInX"</t>
  </si>
  <si>
    <t>"CentreOfGravityInY"</t>
  </si>
  <si>
    <t>"ShearCentreY"</t>
  </si>
  <si>
    <t>"ShearCentreZ"</t>
  </si>
  <si>
    <t>"MaximumPlateThickness"</t>
  </si>
  <si>
    <t>"MinimumPlateThickness"</t>
  </si>
  <si>
    <t>"Perimeter"</t>
  </si>
  <si>
    <t>"MassPerLength"</t>
  </si>
  <si>
    <t>"PlasticShapeFactorY"</t>
  </si>
  <si>
    <t>"PlasticShapeFactorZ"</t>
  </si>
  <si>
    <t>"MaximumSectionModulusY"</t>
  </si>
  <si>
    <t>"MaximumSectionModulusZ"</t>
  </si>
  <si>
    <t>"MinimumSectionModulusY"</t>
  </si>
  <si>
    <t>"MinimumSectionModulusZ"</t>
  </si>
  <si>
    <t>"TorsionalSectionModulus"</t>
  </si>
  <si>
    <t>"MomentOfInertiaY"</t>
  </si>
  <si>
    <t>"MomentOfInertiaYZ"</t>
  </si>
  <si>
    <t>"MomentOfInertiaZ"</t>
  </si>
  <si>
    <t>"TorsionalConstantX"</t>
  </si>
  <si>
    <t>"BaseChamfer"</t>
  </si>
  <si>
    <t>"DraftBaseOffset"</t>
  </si>
  <si>
    <t>"DraftSideOffset"</t>
  </si>
  <si>
    <t>"EdgeDraft"</t>
  </si>
  <si>
    <t>"KeyDepth"</t>
  </si>
  <si>
    <t>"KeyHeight"</t>
  </si>
  <si>
    <t>"KeyOffset"</t>
  </si>
  <si>
    <t>"BottomCover"</t>
  </si>
  <si>
    <t>"CenterCoreBaseHeight"</t>
  </si>
  <si>
    <t>"CenterCoreBaseWidth"</t>
  </si>
  <si>
    <t>"CenterCoreMiddleHeight"</t>
  </si>
  <si>
    <t>"CenterCoreSpacing"</t>
  </si>
  <si>
    <t>"CenterCoreTopHeight"</t>
  </si>
  <si>
    <t>"CenterCoreTopWidth"</t>
  </si>
  <si>
    <t>"CoreBaseHeight"</t>
  </si>
  <si>
    <t>"CoreBaseWidth"</t>
  </si>
  <si>
    <t>"CoreMiddleHeight"</t>
  </si>
  <si>
    <t>"CoreSpacing"</t>
  </si>
  <si>
    <t>"CoreTopHeight"</t>
  </si>
  <si>
    <t>"CoreTopWidth"</t>
  </si>
  <si>
    <t>"NumberOfCores"</t>
  </si>
  <si>
    <t>"CrossSectionArea"</t>
  </si>
  <si>
    <t>"ShearAreaY"</t>
  </si>
  <si>
    <t>"ShearAreaZ"</t>
  </si>
  <si>
    <t>"ShearDeformationAreaY"</t>
  </si>
  <si>
    <t>"ShearDeformationAreaZ"</t>
  </si>
  <si>
    <t>"EndDate"</t>
  </si>
  <si>
    <t>"StartDate"</t>
  </si>
  <si>
    <t>"EscortRequirement"</t>
  </si>
  <si>
    <t>"SpecialRequirements"</t>
  </si>
  <si>
    <t>"SinkType"</t>
  </si>
  <si>
    <t>"MountingOffset"</t>
  </si>
  <si>
    <t>"EdgeFixingPlateFlangeWidthInPlaneX"</t>
  </si>
  <si>
    <t>"EdgeFixingPlateFlangeWidthInPlaneZ"</t>
  </si>
  <si>
    <t>"EdgeFixingPlateLength"</t>
  </si>
  <si>
    <t>"EdgeFixingPlateThickness"</t>
  </si>
  <si>
    <t>"CornerFixingPlateFlangeWidthInPlaneX"</t>
  </si>
  <si>
    <t>"CornerFixingPlateFlangeWidthInPlaneZ"</t>
  </si>
  <si>
    <t>"CornerFixingPlateLength"</t>
  </si>
  <si>
    <t>"CornerFixingPlateThickness"</t>
  </si>
  <si>
    <t>"StandardFixingPlateDepth"</t>
  </si>
  <si>
    <t>"StandardFixingPlateThickness"</t>
  </si>
  <si>
    <t>"StandardFixingPlateWidth"</t>
  </si>
  <si>
    <t>"NumberOfPlates"</t>
  </si>
  <si>
    <t>"ToppingType"</t>
  </si>
  <si>
    <t>"AngleBetweenComponentAxes"</t>
  </si>
  <si>
    <t>"AngleToFirstAxis"</t>
  </si>
  <si>
    <t>"DistanceBetweenComponentAxes"</t>
  </si>
  <si>
    <t>"EdgeDistanceToFirstAxis"</t>
  </si>
  <si>
    <t>"NominalToppingThickness"</t>
  </si>
  <si>
    <t>"InnerDiameter"</t>
  </si>
  <si>
    <t>"OuterDiameter"</t>
  </si>
  <si>
    <t>"DurabilityRating"</t>
  </si>
  <si>
    <t>"HygrothermalRating"</t>
  </si>
  <si>
    <t>"SelfClosing"</t>
  </si>
  <si>
    <t>"ConnectionGender"</t>
  </si>
  <si>
    <t>"ConnectionSubtype"</t>
  </si>
  <si>
    <t>"Protocols"</t>
  </si>
  <si>
    <t>"CurrentContent3rdHarmonic"</t>
  </si>
  <si>
    <t>"ColorCode"</t>
  </si>
  <si>
    <t>"PortNumber"</t>
  </si>
  <si>
    <t>"Polarity"</t>
  </si>
  <si>
    <t>"BoundaryAreaHeatLoss"</t>
  </si>
  <si>
    <t>"TotalHeatGain"</t>
  </si>
  <si>
    <t>"TotalHeatLoss"</t>
  </si>
  <si>
    <t>"TotalSensibleHeatGain"</t>
  </si>
  <si>
    <t>"CoolingRelativeHumidity"</t>
  </si>
  <si>
    <t>"HeatingRelativeHumidity"</t>
  </si>
  <si>
    <t>"CoolingDesignAirflow"</t>
  </si>
  <si>
    <t>"ExhaustAirFlowrate"</t>
  </si>
  <si>
    <t>"HeatingDesignAirflow"</t>
  </si>
  <si>
    <t>"VentilationAirFlowrate"</t>
  </si>
  <si>
    <t>"CeilingRAPlenum"</t>
  </si>
  <si>
    <t>"SolarReflectanceBack"</t>
  </si>
  <si>
    <t>"SolarReflectanceFront"</t>
  </si>
  <si>
    <t>"ThermalIrEmissivityBack"</t>
  </si>
  <si>
    <t>"ThermalIrEmissivityFront"</t>
  </si>
  <si>
    <t>"ThermalIrTransmittance"</t>
  </si>
  <si>
    <t>"VisibleReflectanceBack"</t>
  </si>
  <si>
    <t>"VisibleReflectanceFront"</t>
  </si>
  <si>
    <t>"VisibleTransmittance"</t>
  </si>
  <si>
    <t>"PoissonRatio"</t>
  </si>
  <si>
    <t>"DynamicViscosity"</t>
  </si>
  <si>
    <t>"ThermalExpansionCoefficient"</t>
  </si>
  <si>
    <t>"ShearModulus"</t>
  </si>
  <si>
    <t>"YoungModulus"</t>
  </si>
  <si>
    <t>"Shape"</t>
  </si>
  <si>
    <t>"System"</t>
  </si>
  <si>
    <t>"RadiatorType"</t>
  </si>
  <si>
    <t>"TubingLength"</t>
  </si>
  <si>
    <t>"WaterContent"</t>
  </si>
  <si>
    <t>"RequiredSlope"</t>
  </si>
  <si>
    <t>"CounterSlope"</t>
  </si>
  <si>
    <t>"HeatTransferType"</t>
  </si>
  <si>
    <t>"SecondaryAirflowRateRange"</t>
  </si>
  <si>
    <t>"OperationalTemperatureRange"</t>
  </si>
  <si>
    <t>"PrimaryAirflowRateRange"</t>
  </si>
  <si>
    <t>"HasDefrost"</t>
  </si>
  <si>
    <t>"ActualCompletion"</t>
  </si>
  <si>
    <t>"ActualCost"</t>
  </si>
  <si>
    <t>"ActualWork"</t>
  </si>
  <si>
    <t>"RemainingCost"</t>
  </si>
  <si>
    <t>"RemainingWork"</t>
  </si>
  <si>
    <t>"ScheduleCompletion"</t>
  </si>
  <si>
    <t>"ScheduleCost"</t>
  </si>
  <si>
    <t>"ScheduleWork"</t>
  </si>
  <si>
    <t>"WireDiameter"</t>
  </si>
  <si>
    <t>"WireEmbeddingLength"</t>
  </si>
  <si>
    <t>"WireLoopBasePlateLength"</t>
  </si>
  <si>
    <t>"WireLoopBasePlateThickness"</t>
  </si>
  <si>
    <t>"WireLoopBasePlateWidth"</t>
  </si>
  <si>
    <t>"WireLoopLength"</t>
  </si>
  <si>
    <t>"LongitudinalBarSurface"</t>
  </si>
  <si>
    <t>"MeshLength"</t>
  </si>
  <si>
    <t>"MeshWidth"</t>
  </si>
  <si>
    <t>"TransverseBarSurface"</t>
  </si>
  <si>
    <t>"TransverseBarBendingShapeCode"</t>
  </si>
  <si>
    <t>"LongitudinalBarNominalDiameter"</t>
  </si>
  <si>
    <t>"LongitudinalBarSpacing"</t>
  </si>
  <si>
    <t>"TransverseBarNominalDiameter"</t>
  </si>
  <si>
    <t>"TransverseBarSpacing"</t>
  </si>
  <si>
    <t>"TransverseBarBendingParameters"</t>
  </si>
  <si>
    <t>"CeilingCovering"</t>
  </si>
  <si>
    <t>"FloorCovering"</t>
  </si>
  <si>
    <t>"Molding"</t>
  </si>
  <si>
    <t>"SkirtingBoard"</t>
  </si>
  <si>
    <t>"WallCovering"</t>
  </si>
  <si>
    <t>"ConcealedCeilingOffset"</t>
  </si>
  <si>
    <t>"ConcealedFlooringOffset"</t>
  </si>
  <si>
    <t>"CeilingCoveringThickness"</t>
  </si>
  <si>
    <t>"FloorCoveringThickness"</t>
  </si>
  <si>
    <t>"MoldingHeight"</t>
  </si>
  <si>
    <t>"SkirtingBoardHeight"</t>
  </si>
  <si>
    <t>"WallCoveringThickness"</t>
  </si>
  <si>
    <t>"ConcealedCeiling"</t>
  </si>
  <si>
    <t>"ConcealedFlooring"</t>
  </si>
  <si>
    <t>"Illuminance"</t>
  </si>
  <si>
    <t>"ArtificialLighting"</t>
  </si>
  <si>
    <t>"OccupancyTimePerDay"</t>
  </si>
  <si>
    <t>"MinimumHeadroom"</t>
  </si>
  <si>
    <t>"OccupancyNumber"</t>
  </si>
  <si>
    <t>"OccupancyNumberPeak"</t>
  </si>
  <si>
    <t>"IsOutlookDesirable"</t>
  </si>
  <si>
    <t>"AreaPerOccupant"</t>
  </si>
  <si>
    <t>"FireRiskFactor"</t>
  </si>
  <si>
    <t>"AirPressurization"</t>
  </si>
  <si>
    <t>"FlammableStorage"</t>
  </si>
  <si>
    <t>"MechanicalVentilationRate"</t>
  </si>
  <si>
    <t>"NaturalVentilationRate"</t>
  </si>
  <si>
    <t>"SpaceHumidity"</t>
  </si>
  <si>
    <t>"SpaceHumidityMax"</t>
  </si>
  <si>
    <t>"SpaceHumidityMin"</t>
  </si>
  <si>
    <t>"SpaceHumiditySummer"</t>
  </si>
  <si>
    <t>"SpaceHumidityWinter"</t>
  </si>
  <si>
    <t>"SpaceTemperatureMax"</t>
  </si>
  <si>
    <t>"SpaceTemperatureMin"</t>
  </si>
  <si>
    <t>"SpaceTemperatureSummerMax"</t>
  </si>
  <si>
    <t>"SpaceTemperatureSummerMin"</t>
  </si>
  <si>
    <t>"SpaceTemperatureWinterMax"</t>
  </si>
  <si>
    <t>"SpaceTemperatureWinterMin"</t>
  </si>
  <si>
    <t>"AirConditioning"</t>
  </si>
  <si>
    <t>"AirConditioningCentral"</t>
  </si>
  <si>
    <t>"DiscontinuedHeating"</t>
  </si>
  <si>
    <t>"NaturalVentilation"</t>
  </si>
  <si>
    <t>"FlowArrangement"</t>
  </si>
  <si>
    <t>"EffectivenessTable"</t>
  </si>
  <si>
    <t>"WaterPressDropCurve"</t>
  </si>
  <si>
    <t>"WaterRequirement"</t>
  </si>
  <si>
    <t>"HeatExchangeArea"</t>
  </si>
  <si>
    <t>"HasAntiStaticSurface"</t>
  </si>
  <si>
    <t>"AssessmentOfRisk"</t>
  </si>
  <si>
    <t>"NatureOfRisk"</t>
  </si>
  <si>
    <t>"RiskConsequence"</t>
  </si>
  <si>
    <t>"RiskOwner"</t>
  </si>
  <si>
    <t>"RiskRating"</t>
  </si>
  <si>
    <t>"RiskType"</t>
  </si>
  <si>
    <t>"SubNatureOfRisk1"</t>
  </si>
  <si>
    <t>"SubNatureOfRisk2"</t>
  </si>
  <si>
    <t>"AffectsSurroundings"</t>
  </si>
  <si>
    <t>"PreventiveMeassures"</t>
  </si>
  <si>
    <t>"RiskCause"</t>
  </si>
  <si>
    <t>"ColumnShoeBasePlateDepth"</t>
  </si>
  <si>
    <t>"ColumnShoeBasePlateThickness"</t>
  </si>
  <si>
    <t>"ColumnShoeBasePlateWidth"</t>
  </si>
  <si>
    <t>"ColumnShoeCasingDepth"</t>
  </si>
  <si>
    <t>"ColumnShoeCasingHeight"</t>
  </si>
  <si>
    <t>"ColumnShoeCasingWidth"</t>
  </si>
  <si>
    <t>"SpecialConstruction"</t>
  </si>
  <si>
    <t>"Standard"</t>
  </si>
  <si>
    <t>"OverallDiameter"</t>
  </si>
  <si>
    <t>"ScreenDiameter"</t>
  </si>
  <si>
    <t>"MaximumOperatingTemperature"</t>
  </si>
  <si>
    <t>"MaximumShortCircuitTemperature"</t>
  </si>
  <si>
    <t>"RatedTemperature"</t>
  </si>
  <si>
    <t>"FunctionReliable"</t>
  </si>
  <si>
    <t>"HalogenProof"</t>
  </si>
  <si>
    <t>"NumberOfCompartments"</t>
  </si>
  <si>
    <t>"LadderConfiguration"</t>
  </si>
  <si>
    <t>"Construction"</t>
  </si>
  <si>
    <t>"Function"</t>
  </si>
  <si>
    <t>"Material"</t>
  </si>
  <si>
    <t>"CrossSectionalArea"</t>
  </si>
  <si>
    <t>"IsHorizontalBusbar"</t>
  </si>
  <si>
    <t>"SheathColors"</t>
  </si>
  <si>
    <t>"CoreIdentifier"</t>
  </si>
  <si>
    <t>"ConduitShapeType"</t>
  </si>
  <si>
    <t>"IsRigid"</t>
  </si>
  <si>
    <t>"HasCover"</t>
  </si>
  <si>
    <t>"InternalWidth"</t>
  </si>
  <si>
    <t>"Reinforcement"</t>
  </si>
  <si>
    <t>"NominalDiameterOrWidth"</t>
  </si>
  <si>
    <t>"ReinforcementSpacing"</t>
  </si>
  <si>
    <t>"LongitudinalSeam"</t>
  </si>
  <si>
    <t>"FlowRating"</t>
  </si>
  <si>
    <t>"SelectorType"</t>
  </si>
  <si>
    <t>"RateOfTemperatureRise"</t>
  </si>
  <si>
    <t>"SetPointTemperature"</t>
  </si>
  <si>
    <t>"SetPointConcentration"</t>
  </si>
  <si>
    <t>"SubstanceDetected"</t>
  </si>
  <si>
    <t>"SetPointConductance"</t>
  </si>
  <si>
    <t>"SetPointContact"</t>
  </si>
  <si>
    <t>"SetPointFlow"</t>
  </si>
  <si>
    <t>"HasBuiltInAlarm"</t>
  </si>
  <si>
    <t>"GasDetected"</t>
  </si>
  <si>
    <t>"SetPointFrost"</t>
  </si>
  <si>
    <t>"TimeConstant"</t>
  </si>
  <si>
    <t>"AccuracyOfFireSensor"</t>
  </si>
  <si>
    <t>"FireSensorSetPoint"</t>
  </si>
  <si>
    <t>"SetPointIlluminance"</t>
  </si>
  <si>
    <t>"MovementSensingType"</t>
  </si>
  <si>
    <t>"SetPointMovement"</t>
  </si>
  <si>
    <t>"SetPointLevel"</t>
  </si>
  <si>
    <t>"SetPointPH"</t>
  </si>
  <si>
    <t>"SetPointPressure"</t>
  </si>
  <si>
    <t>"IsSwitch"</t>
  </si>
  <si>
    <t>"SetPointRadiation"</t>
  </si>
  <si>
    <t>"SetPointRadioactivity"</t>
  </si>
  <si>
    <t>"SetPointSound"</t>
  </si>
  <si>
    <t>"TemperatureSensorType"</t>
  </si>
  <si>
    <t>"SetPointHumidity"</t>
  </si>
  <si>
    <t>"SetPointMoisture"</t>
  </si>
  <si>
    <t>"WindSensorType"</t>
  </si>
  <si>
    <t>"SetPointSpeed"</t>
  </si>
  <si>
    <t>"SetPointIdentifier"</t>
  </si>
  <si>
    <t>"CoverageArea"</t>
  </si>
  <si>
    <t>"NominalLatentCapacity"</t>
  </si>
  <si>
    <t>"NominalSensibleCapacity"</t>
  </si>
  <si>
    <t>"NominalUA"</t>
  </si>
  <si>
    <t>"CoilFaceArea"</t>
  </si>
  <si>
    <t>"HeatExchangeSurfaceArea"</t>
  </si>
  <si>
    <t>"PrimarySurfaceArea"</t>
  </si>
  <si>
    <t>"SecondarySurfaceArea"</t>
  </si>
  <si>
    <t>"HorizontalSpacing"</t>
  </si>
  <si>
    <t>"InLineRowSpacing"</t>
  </si>
  <si>
    <t>"InsideDiameter"</t>
  </si>
  <si>
    <t>"OutsideDiameter"</t>
  </si>
  <si>
    <t>"StaggeredRowSpacing"</t>
  </si>
  <si>
    <t>"VerticalSpacing"</t>
  </si>
  <si>
    <t>"FoulingFactor"</t>
  </si>
  <si>
    <t>"Volume"</t>
  </si>
  <si>
    <t>"HasTurbulator"</t>
  </si>
  <si>
    <t>"NumberOfCircuits"</t>
  </si>
  <si>
    <t>"NumberOfRows"</t>
  </si>
  <si>
    <t>"CoverMaterial"</t>
  </si>
  <si>
    <t>"InletPatternType"</t>
  </si>
  <si>
    <t>"TrapType"</t>
  </si>
  <si>
    <t>"HasStrainer"</t>
  </si>
  <si>
    <t>"IsForSullageWater"</t>
  </si>
  <si>
    <t>"HydraulicDiameter"</t>
  </si>
  <si>
    <t>"WorkingPressureRange"</t>
  </si>
  <si>
    <t>"AirFlowrateRange"</t>
  </si>
  <si>
    <t>"HasExteriorInsulation"</t>
  </si>
  <si>
    <t>"TunerType"</t>
  </si>
  <si>
    <t>"TunerChannel"</t>
  </si>
  <si>
    <t>"TunerMode"</t>
  </si>
  <si>
    <t>"TunerFrequency"</t>
  </si>
  <si>
    <t>"ElectricalSystemCategory"</t>
  </si>
  <si>
    <t>"ElectricalSystemType"</t>
  </si>
  <si>
    <t>"Diversity"</t>
  </si>
  <si>
    <t>"NetImpedance"</t>
  </si>
  <si>
    <t>"MaximumAllowedVoltageDrop"</t>
  </si>
  <si>
    <t>"NumberOfLiveConductors"</t>
  </si>
  <si>
    <t>"BuildingHeightLimit"</t>
  </si>
  <si>
    <t>"FloorAreaRatio"</t>
  </si>
  <si>
    <t>"SiteCoverageRatio"</t>
  </si>
  <si>
    <t>"PitchAngle"</t>
  </si>
  <si>
    <t>"ProcessName"</t>
  </si>
  <si>
    <t>"Surface1"</t>
  </si>
  <si>
    <t>"Surface2"</t>
  </si>
  <si>
    <t>"Type1"</t>
  </si>
  <si>
    <t>"Type2"</t>
  </si>
  <si>
    <t>"a"</t>
  </si>
  <si>
    <t>"c"</t>
  </si>
  <si>
    <t>"d"</t>
  </si>
  <si>
    <t>"e"</t>
  </si>
  <si>
    <t>"l"</t>
  </si>
  <si>
    <t>"s"</t>
  </si>
  <si>
    <t>"z"</t>
  </si>
  <si>
    <t>"n"</t>
  </si>
  <si>
    <t>"Intermittent"</t>
  </si>
  <si>
    <t>"Staggered"</t>
  </si>
  <si>
    <t>"Process"</t>
  </si>
  <si>
    <t>"RequestSourceLabel"</t>
  </si>
  <si>
    <t>"RequestSourceName"</t>
  </si>
  <si>
    <t>"RequestComments"</t>
  </si>
  <si>
    <t>"FixingSocketHeight"</t>
  </si>
  <si>
    <t>"FixingSocketThreadDiameter"</t>
  </si>
  <si>
    <t>"FixingSocketThreadLength"</t>
  </si>
  <si>
    <t>"FixingSocketTypeReference"</t>
  </si>
  <si>
    <t>"ShapeDescription"</t>
  </si>
  <si>
    <t>"SupportType"</t>
  </si>
  <si>
    <t>"UsePurpose"</t>
  </si>
  <si>
    <t>"HangingHeight"</t>
  </si>
  <si>
    <t>"AccessType"</t>
  </si>
  <si>
    <t>"EndShapeType"</t>
  </si>
  <si>
    <t>"PatternType"</t>
  </si>
  <si>
    <t>"StorageType"</t>
  </si>
  <si>
    <t>"FirstCurvatureRadius"</t>
  </si>
  <si>
    <t>"NominalLengthOrDiameter"</t>
  </si>
  <si>
    <t>"NominalWidthOrDiameter"</t>
  </si>
  <si>
    <t>"SecondCurvatureRadius"</t>
  </si>
  <si>
    <t>"OperatingWeight"</t>
  </si>
  <si>
    <t>"EffectiveCapacity"</t>
  </si>
  <si>
    <t>"SectionLength"</t>
  </si>
  <si>
    <t>"SectionWidth"</t>
  </si>
  <si>
    <t>"KeypadType"</t>
  </si>
  <si>
    <t>"SheathDiameter"</t>
  </si>
  <si>
    <t>"CoreType"</t>
  </si>
  <si>
    <t>"DischargeDirection"</t>
  </si>
  <si>
    <t>"FaceType"</t>
  </si>
  <si>
    <t>"FinishColor"</t>
  </si>
  <si>
    <t>"FinishType"</t>
  </si>
  <si>
    <t>"FlowControlType"</t>
  </si>
  <si>
    <t>"FlowPattern"</t>
  </si>
  <si>
    <t>"CoreSetHorizontal"</t>
  </si>
  <si>
    <t>"CoreSetVertical"</t>
  </si>
  <si>
    <t>"ThrowLength"</t>
  </si>
  <si>
    <t>"SlotLength"</t>
  </si>
  <si>
    <t>"SlotWidth"</t>
  </si>
  <si>
    <t>"AirFlowrateVersusFlowControlElement"</t>
  </si>
  <si>
    <t>"HasIntegralControl"</t>
  </si>
  <si>
    <t>"HasThermalInsulation"</t>
  </si>
  <si>
    <t>"NumberOfSlots"</t>
  </si>
  <si>
    <t>"AirDiffusionPerformanceIndex"</t>
  </si>
  <si>
    <t>"EffectiveArea"</t>
  </si>
  <si>
    <t>"NeckArea"</t>
  </si>
  <si>
    <t>"Activation"</t>
  </si>
  <si>
    <t>"BulbLiquidColor"</t>
  </si>
  <si>
    <t>"Response"</t>
  </si>
  <si>
    <t>"SprinklerType"</t>
  </si>
  <si>
    <t>"ResidualFlowingPressure"</t>
  </si>
  <si>
    <t>"ActivationTemperature"</t>
  </si>
  <si>
    <t>"HasDeflector"</t>
  </si>
  <si>
    <t>"DischargeCoefficient"</t>
  </si>
  <si>
    <t>"ClassificationAuthority"</t>
  </si>
  <si>
    <t>"ClassOfService"</t>
  </si>
  <si>
    <t>"HoseNozzleType"</t>
  </si>
  <si>
    <t>"HoseReelMountingType"</t>
  </si>
  <si>
    <t>"HoseReelType"</t>
  </si>
  <si>
    <t>"HoseDiameter"</t>
  </si>
  <si>
    <t>"HoseLength"</t>
  </si>
  <si>
    <t>"BackInletPatternType"</t>
  </si>
  <si>
    <t>"GullyType"</t>
  </si>
  <si>
    <t>"WasteTrapType"</t>
  </si>
  <si>
    <t>"NominalSumpDepth"</t>
  </si>
  <si>
    <t>"NominalSumpLength"</t>
  </si>
  <si>
    <t>"NominalSumpWidth"</t>
  </si>
  <si>
    <t>"BathType"</t>
  </si>
  <si>
    <t>"HasGrabHandles"</t>
  </si>
  <si>
    <t>"ShowerType"</t>
  </si>
  <si>
    <t>"HasTray"</t>
  </si>
  <si>
    <t>"ShowerHeadDescription"</t>
  </si>
  <si>
    <t>"CisternHeight"</t>
  </si>
  <si>
    <t>"FlushType"</t>
  </si>
  <si>
    <t>"CisternCapacity"</t>
  </si>
  <si>
    <t>"FlushRate"</t>
  </si>
  <si>
    <t>"IsAutomaticFlush"</t>
  </si>
  <si>
    <t>"IsSingleFlush"</t>
  </si>
  <si>
    <t>"WashHandBasinType"</t>
  </si>
  <si>
    <t>"PanMounting"</t>
  </si>
  <si>
    <t>"ToiletPanType"</t>
  </si>
  <si>
    <t>"ToiletType"</t>
  </si>
  <si>
    <t>"ThermometerType"</t>
  </si>
  <si>
    <t>"TemperatureSetPoint"</t>
  </si>
  <si>
    <t>"NumberOfSockets"</t>
  </si>
  <si>
    <t>"IsPluggableOutlet"</t>
  </si>
  <si>
    <t>"FaucetFunction"</t>
  </si>
  <si>
    <t>"FaucetOperation"</t>
  </si>
  <si>
    <t>"FaucetType"</t>
  </si>
  <si>
    <t>"FaucetTopDescription"</t>
  </si>
  <si>
    <t>"CapacityControl"</t>
  </si>
  <si>
    <t>"CircuitType"</t>
  </si>
  <si>
    <t>"ControlStrategy"</t>
  </si>
  <si>
    <t>"SprayType"</t>
  </si>
  <si>
    <t>"LiftElevationDifference"</t>
  </si>
  <si>
    <t>"AmbientDesignDryBulbTemperature"</t>
  </si>
  <si>
    <t>"AmbientDesignWetBulbTemperature"</t>
  </si>
  <si>
    <t>"BasinReserveVolume"</t>
  </si>
  <si>
    <t>"NumberOfCells"</t>
  </si>
  <si>
    <t>"SecondaryCurrentType"</t>
  </si>
  <si>
    <t>"TransformerVectorGroup"</t>
  </si>
  <si>
    <t>"PrimaryCurrent"</t>
  </si>
  <si>
    <t>"SecondaryCurrent"</t>
  </si>
  <si>
    <t>"PrimaryFrequency"</t>
  </si>
  <si>
    <t>"SecondaryFrequency"</t>
  </si>
  <si>
    <t>"MaximumApparentPower"</t>
  </si>
  <si>
    <t>"PrimaryApparentPower"</t>
  </si>
  <si>
    <t>"SecondaryApparentPower"</t>
  </si>
  <si>
    <t>"ImaginaryImpedanceRatio"</t>
  </si>
  <si>
    <t>"RealImpedanceRatio"</t>
  </si>
  <si>
    <t>"EfficiencyCurve"</t>
  </si>
  <si>
    <t>"PrimaryVoltage"</t>
  </si>
  <si>
    <t>"SecondaryVoltage"</t>
  </si>
  <si>
    <t>"ShortCircuitVoltage"</t>
  </si>
  <si>
    <t>"IsNeutralPrimaryTerminalAvailable"</t>
  </si>
  <si>
    <t>"IsNeutralSecondaryTerminalAvailable"</t>
  </si>
  <si>
    <t>"HasCoating"</t>
  </si>
  <si>
    <t>"InternalControl"</t>
  </si>
  <si>
    <t>"NominalMoistureGain"</t>
  </si>
  <si>
    <t>"SaturationEfficiencyCurve"</t>
  </si>
  <si>
    <t>"DrainConnectionSize"</t>
  </si>
  <si>
    <t>"BreakerUnitFuseBreakingingCurve"</t>
  </si>
  <si>
    <t>"BreakerUnitFuseMeltingCurve"</t>
  </si>
  <si>
    <t>"BreakerUnitCurve"</t>
  </si>
  <si>
    <t>"ICN61898"</t>
  </si>
  <si>
    <t>"ICS61898"</t>
  </si>
  <si>
    <t>"AtexVerified"</t>
  </si>
  <si>
    <t>"OldDevice"</t>
  </si>
  <si>
    <t>"UseInDiscrimination"</t>
  </si>
  <si>
    <t>"LimitingTerminalSize"</t>
  </si>
  <si>
    <t>"BreakerUnitIPICurve"</t>
  </si>
  <si>
    <t>"IsAisle"</t>
  </si>
  <si>
    <t>"IsOneWay"</t>
  </si>
  <si>
    <t>"LeadInTime"</t>
  </si>
  <si>
    <t>"LeadOutTime"</t>
  </si>
  <si>
    <t>"NonRenewableEnergyConsumption"</t>
  </si>
  <si>
    <t>"RenewableEnergyConsumption"</t>
  </si>
  <si>
    <t>"TotalPrimaryEnergyConsumption"</t>
  </si>
  <si>
    <t>"AtmosphericAcidification"</t>
  </si>
  <si>
    <t>"ClimateChange"</t>
  </si>
  <si>
    <t>"Eutrophication"</t>
  </si>
  <si>
    <t>"HazardousWaste"</t>
  </si>
  <si>
    <t>"InertWaste"</t>
  </si>
  <si>
    <t>"NonHazardousWaste"</t>
  </si>
  <si>
    <t>"PhotochemicalOzoneFormation"</t>
  </si>
  <si>
    <t>"RadioactiveWaste"</t>
  </si>
  <si>
    <t>"ResourceDepletion"</t>
  </si>
  <si>
    <t>"StratosphericOzoneLayerDestruction"</t>
  </si>
  <si>
    <t>"WaterConsumption"</t>
  </si>
  <si>
    <t>"ValveMechanism"</t>
  </si>
  <si>
    <t>"ValveOperation"</t>
  </si>
  <si>
    <t>"ValvePattern"</t>
  </si>
  <si>
    <t>"Size"</t>
  </si>
  <si>
    <t>"TestPressure"</t>
  </si>
  <si>
    <t>"FlowCoefficient"</t>
  </si>
  <si>
    <t>"ReliefPressure"</t>
  </si>
  <si>
    <t>"HasHoseUnion"</t>
  </si>
  <si>
    <t>"DownstreamPressure"</t>
  </si>
  <si>
    <t>"UpstreamPressure"</t>
  </si>
  <si>
    <t>"VaristorType"</t>
  </si>
  <si>
    <t>"DuctSealant"</t>
  </si>
  <si>
    <t>"DesignName"</t>
  </si>
  <si>
    <t>"DuctSizingMethod"</t>
  </si>
  <si>
    <t>"MinimumHeight"</t>
  </si>
  <si>
    <t>"MinimumWidth"</t>
  </si>
  <si>
    <t>"LeakageClass"</t>
  </si>
  <si>
    <t>"MaximumVelocity"</t>
  </si>
  <si>
    <t>"AspectRatio"</t>
  </si>
  <si>
    <t>"FrictionLoss"</t>
  </si>
  <si>
    <t>"ScrapFactor"</t>
  </si>
  <si>
    <t>"CapacityControlType"</t>
  </si>
  <si>
    <t>"MotorDriveType"</t>
  </si>
  <si>
    <t>"OperationalCriteria"</t>
  </si>
  <si>
    <t>"NominalPowerRate"</t>
  </si>
  <si>
    <t>"NominalStaticPressure"</t>
  </si>
  <si>
    <t>"NominalTotalPressure"</t>
  </si>
  <si>
    <t>"PressureCurve"</t>
  </si>
  <si>
    <t>"MeanTimeBetweenFailure"</t>
  </si>
  <si>
    <t>"ServiceLifeDuration"</t>
  </si>
  <si>
    <t>"FillGas"</t>
  </si>
  <si>
    <t>"GlassColor"</t>
  </si>
  <si>
    <t>"GlassThickness1"</t>
  </si>
  <si>
    <t>"GlassThickness2"</t>
  </si>
  <si>
    <t>"GlassThickness3"</t>
  </si>
  <si>
    <t>"GlassLayers"</t>
  </si>
  <si>
    <t>"ShadingCoefficient"</t>
  </si>
  <si>
    <t>"SolarAbsorption"</t>
  </si>
  <si>
    <t>"SolarHeatGainTransmittance"</t>
  </si>
  <si>
    <t>"ThermalTransmittanceSummer"</t>
  </si>
  <si>
    <t>"ThermalTransmittanceWinter"</t>
  </si>
  <si>
    <t>"IsCoated"</t>
  </si>
  <si>
    <t>"IsLaminated"</t>
  </si>
  <si>
    <t>"IsTempered"</t>
  </si>
  <si>
    <t>"IsWired"</t>
  </si>
  <si>
    <t>"IntegratedLightingType"</t>
  </si>
  <si>
    <t>"PipeConnection"</t>
  </si>
  <si>
    <t>"WaterFlowControlSystemType"</t>
  </si>
  <si>
    <t>"CoilLength"</t>
  </si>
  <si>
    <t>"CoilWidth"</t>
  </si>
  <si>
    <t>"NominalCoolingCapacity"</t>
  </si>
  <si>
    <t>"NominalHeatingCapacity"</t>
  </si>
  <si>
    <t>"WaterPressureRange"</t>
  </si>
  <si>
    <t>"NominalSurroundingHumidityCooling"</t>
  </si>
  <si>
    <t>"NominalReturnWaterTemperatureCooling"</t>
  </si>
  <si>
    <t>"NominalReturnWaterTemperatureHeating"</t>
  </si>
  <si>
    <t>"NominalSupplyWaterTemperatureCooling"</t>
  </si>
  <si>
    <t>"NominalSupplyWaterTemperatureHeating"</t>
  </si>
  <si>
    <t>"NominalSurroundingTemperatureCooling"</t>
  </si>
  <si>
    <t>"NominalSurroundingTemperatureHeating"</t>
  </si>
  <si>
    <t>"NominalWaterFlowCooling"</t>
  </si>
  <si>
    <t>"NominalWaterFlowHeating"</t>
  </si>
  <si>
    <t>"IsFreeHanging"</t>
  </si>
  <si>
    <t>"AirFlowConfiguration"</t>
  </si>
  <si>
    <t>"SupplyAirConnectionType"</t>
  </si>
  <si>
    <t>"IfcBoxAlignment"</t>
  </si>
  <si>
    <t>"IfcTextAlignment"</t>
  </si>
  <si>
    <t>"IfcTimeStamp"</t>
  </si>
  <si>
    <t>"IfcPropertySetDefinitionSet"</t>
  </si>
  <si>
    <t>"IfcDimensionCount"</t>
  </si>
  <si>
    <t>"IfcDate"</t>
  </si>
  <si>
    <t>"IfcDateTime"</t>
  </si>
  <si>
    <t>"IfcTextDecoration"</t>
  </si>
  <si>
    <t>"IfcDuration"</t>
  </si>
  <si>
    <t>"IfcLabel"</t>
  </si>
  <si>
    <t>"IfcFontStyle"</t>
  </si>
  <si>
    <t>"IfcSpecularExponent"</t>
  </si>
  <si>
    <t>"IfcLanguageId"</t>
  </si>
  <si>
    <t>"IfcGloballyUniqueId"</t>
  </si>
  <si>
    <t>"IfcIdentifier"</t>
  </si>
  <si>
    <t>"IfcBoolean"</t>
  </si>
  <si>
    <t>"IfcLogical"</t>
  </si>
  <si>
    <t>"IfcReal"</t>
  </si>
  <si>
    <t>"IfcArcIndex"</t>
  </si>
  <si>
    <t>"IfcLineIndex"</t>
  </si>
  <si>
    <t>"IfcInteger"</t>
  </si>
  <si>
    <t>"IfcPositiveInteger"</t>
  </si>
  <si>
    <t>"IfcSoundPowerLevelMeasure"</t>
  </si>
  <si>
    <t>"IfcWarpingConstantMeasure"</t>
  </si>
  <si>
    <t>"IfcAmountOfSubstanceMeasure"</t>
  </si>
  <si>
    <t>"IfcIntegerCountRateMeasure"</t>
  </si>
  <si>
    <t>"IfcTemperatureRateOfChangeMeasure"</t>
  </si>
  <si>
    <t>"IfcAccelerationMeasure"</t>
  </si>
  <si>
    <t>"IfcThermalAdmittanceMeasure"</t>
  </si>
  <si>
    <t>"IfcCompoundPlaneAngleMeasure"</t>
  </si>
  <si>
    <t>"IfcPlaneAngleMeasure"</t>
  </si>
  <si>
    <t>"IfcPositivePlaneAngleMeasure"</t>
  </si>
  <si>
    <t>"IfcSolidAngleMeasure"</t>
  </si>
  <si>
    <t>"IfcAreaMeasure"</t>
  </si>
  <si>
    <t>"IfcRadioActivityMeasure"</t>
  </si>
  <si>
    <t>"IfcIsothermalMoistureCapacityMeasure"</t>
  </si>
  <si>
    <t>"IfcElectricCapacitanceMeasure"</t>
  </si>
  <si>
    <t>"IfcElectricChargeMeasure"</t>
  </si>
  <si>
    <t>"IfcLengthMeasure"</t>
  </si>
  <si>
    <t>"IfcNonNegativeLengthMeasure"</t>
  </si>
  <si>
    <t>"IfcPositiveLengthMeasure"</t>
  </si>
  <si>
    <t>"IfcIonConcentrationMeasure"</t>
  </si>
  <si>
    <t>"IfcElectricConductanceMeasure"</t>
  </si>
  <si>
    <t>"IfcThermalConductivityMeasure"</t>
  </si>
  <si>
    <t>"IfcCountMeasure"</t>
  </si>
  <si>
    <t>"IfcElectricCurrentMeasure"</t>
  </si>
  <si>
    <t>"IfcCurvatureMeasure"</t>
  </si>
  <si>
    <t>"IfcAreaDensityMeasure"</t>
  </si>
  <si>
    <t>"IfcHeatFluxDensityMeasure"</t>
  </si>
  <si>
    <t>"IfcMagneticFluxDensityMeasure"</t>
  </si>
  <si>
    <t>"IfcMassDensityMeasure"</t>
  </si>
  <si>
    <t>"IfcMoistureDiffusivityMeasure"</t>
  </si>
  <si>
    <t>"IfcLuminousIntensityDistributionMeasure"</t>
  </si>
  <si>
    <t>"IfcAbsorbedDoseMeasure"</t>
  </si>
  <si>
    <t>"IfcDoseEquivalentMeasure"</t>
  </si>
  <si>
    <t>"IfcEnergyMeasure"</t>
  </si>
  <si>
    <t>"IfcLuminousFluxMeasure"</t>
  </si>
  <si>
    <t>"IfcMagneticFluxMeasure"</t>
  </si>
  <si>
    <t>"IfcForceMeasure"</t>
  </si>
  <si>
    <t>"IfcLinearForceMeasure"</t>
  </si>
  <si>
    <t>"IfcPlanarForceMeasure"</t>
  </si>
  <si>
    <t>"IfcFrequencyMeasure"</t>
  </si>
  <si>
    <t>"IfcRotationalFrequencyMeasure"</t>
  </si>
  <si>
    <t>"IfcIlluminanceMeasure"</t>
  </si>
  <si>
    <t>"IfcInductanceMeasure"</t>
  </si>
  <si>
    <t>"IfcLuminousIntensityMeasure"</t>
  </si>
  <si>
    <t>"IfcMassMeasure"</t>
  </si>
  <si>
    <t>"IfcMassPerLengthMeasure"</t>
  </si>
  <si>
    <t>"IfcRotationalMassMeasure"</t>
  </si>
  <si>
    <t>"IfcWarpingMomentMeasure"</t>
  </si>
  <si>
    <t>"IfcLinearMomentMeasure"</t>
  </si>
  <si>
    <t>"IfcSoundPressureLevelMeasure"</t>
  </si>
  <si>
    <t>"IfcVaporPermeabilityMeasure"</t>
  </si>
  <si>
    <t>"IfcMolecularWeightMeasure"</t>
  </si>
  <si>
    <t>"IfcPowerMeasure"</t>
  </si>
  <si>
    <t>"IfcSoundPowerMeasure"</t>
  </si>
  <si>
    <t>"IfcPressureMeasure"</t>
  </si>
  <si>
    <t>"IfcSoundPressureMeasure"</t>
  </si>
  <si>
    <t>"IfcRatioMeasure"</t>
  </si>
  <si>
    <t>"IfcNormalisedRatioMeasure"</t>
  </si>
  <si>
    <t>"IfcPositiveRatioMeasure"</t>
  </si>
  <si>
    <t>"IfcModulusOfSubgradeReactionMeasure"</t>
  </si>
  <si>
    <t>"IfcElectricResistanceMeasure"</t>
  </si>
  <si>
    <t>"IfcThermalResistanceMeasure"</t>
  </si>
  <si>
    <t>"IfcLinearStiffnessMeasure"</t>
  </si>
  <si>
    <t>"IfcRotationalStiffnessMeasure"</t>
  </si>
  <si>
    <t>"IfcThermodynamicTemperatureMeasure"</t>
  </si>
  <si>
    <t>"IfcTimeMeasure"</t>
  </si>
  <si>
    <t>"IfcElectricVoltageMeasure"</t>
  </si>
  <si>
    <t>"IfcTorqueMeasure"</t>
  </si>
  <si>
    <t>"IfcThermalTransmittanceMeasure"</t>
  </si>
  <si>
    <t>"IfcHeatingValueMeasure"</t>
  </si>
  <si>
    <t>"IfcMassFlowRateMeasure"</t>
  </si>
  <si>
    <t>"IfcVolumetricFlowRateMeasure"</t>
  </si>
  <si>
    <t>"IfcAngularVelocityMeasure"</t>
  </si>
  <si>
    <t>"IfcLinearVelocityMeasure"</t>
  </si>
  <si>
    <t>"IfcKinematicViscosityMeasure"</t>
  </si>
  <si>
    <t>"IfcDynamicViscosityMeasure"</t>
  </si>
  <si>
    <t>"IfcVolumeMeasure"</t>
  </si>
  <si>
    <t>"IfcContextDependentMeasure"</t>
  </si>
  <si>
    <t>"IfcDescriptiveMeasure"</t>
  </si>
  <si>
    <t>"IfcThermalExpansionCoefficientMeasure"</t>
  </si>
  <si>
    <t>"IfcTemperatureGradientMeasure"</t>
  </si>
  <si>
    <t>"IfcShearModulusMeasure"</t>
  </si>
  <si>
    <t>"IfcModulusOfElasticityMeasure"</t>
  </si>
  <si>
    <t>"IfcSectionModulusMeasure"</t>
  </si>
  <si>
    <t>"IfcMomentOfInertiaMeasure"</t>
  </si>
  <si>
    <t>"IfcSpecificHeatCapacityMeasure"</t>
  </si>
  <si>
    <t>"IfcSectionalAreaIntegralMeasure"</t>
  </si>
  <si>
    <t>"IfcMonetaryMeasure"</t>
  </si>
  <si>
    <t>"IfcNumericMeasure"</t>
  </si>
  <si>
    <t>"IfcPHMeasure"</t>
  </si>
  <si>
    <t>"IfcModulusOfLinearSubgradeReactionMeasure"</t>
  </si>
  <si>
    <t>"IfcModulusOfRotationalSubgradeReactionMeasure"</t>
  </si>
  <si>
    <t>"IfcTextFontName"</t>
  </si>
  <si>
    <t>"IfcMonthInYearNumber"</t>
  </si>
  <si>
    <t>"IfcDayInWeekNumber"</t>
  </si>
  <si>
    <t>"IfcDayInMonthNumber"</t>
  </si>
  <si>
    <t>"IfcFontWeight"</t>
  </si>
  <si>
    <t>"IfcCardinalPointReference"</t>
  </si>
  <si>
    <t>"IfcURIReference"</t>
  </si>
  <si>
    <t>"IfcSpecularRoughness"</t>
  </si>
  <si>
    <t>"IfcTime"</t>
  </si>
  <si>
    <t>"IfcPresentableText"</t>
  </si>
  <si>
    <t>"IfcText"</t>
  </si>
  <si>
    <t>"IfcTextTransformation"</t>
  </si>
  <si>
    <t>"IfcBinary"</t>
  </si>
  <si>
    <t>"IfcParameterValue"</t>
  </si>
  <si>
    <t>"IfcFontVariant"</t>
  </si>
  <si>
    <t>"IfcActionTypeEnum"</t>
  </si>
  <si>
    <t>"IfcChangeActionEnum"</t>
  </si>
  <si>
    <t>"IfcDiscreteAccessoryTypeEnum"</t>
  </si>
  <si>
    <t>"IfcAlarmTypeEnum"</t>
  </si>
  <si>
    <t>"IfcSpaceTypeEnum"</t>
  </si>
  <si>
    <t>"IfcDamperTypeEnum"</t>
  </si>
  <si>
    <t>"IfcTendonAnchorTypeEnum"</t>
  </si>
  <si>
    <t>"IfcAudioVisualApplianceTypeEnum"</t>
  </si>
  <si>
    <t>"IfcCommunicationsApplianceTypeEnum"</t>
  </si>
  <si>
    <t>"IfcSpaceHeaterTypeEnum"</t>
  </si>
  <si>
    <t>"IfcStructuralCurveActivityTypeEnum"</t>
  </si>
  <si>
    <t>"IfcStructuralSurfaceActivityTypeEnum"</t>
  </si>
  <si>
    <t>"IfcActuatorTypeEnum"</t>
  </si>
  <si>
    <t>"IfcReinforcingBarTypeEnum"</t>
  </si>
  <si>
    <t>"IfcReinforcingBarSurfaceEnum"</t>
  </si>
  <si>
    <t>"IfcBoilerTypeEnum"</t>
  </si>
  <si>
    <t>"IfcPumpTypeEnum"</t>
  </si>
  <si>
    <t>"IfcJunctionBoxTypeEnum"</t>
  </si>
  <si>
    <t>"IfcAirTerminalBoxTypeEnum"</t>
  </si>
  <si>
    <t>"IfcWorkCalendarTypeEnum"</t>
  </si>
  <si>
    <t>"IfcTextPath"</t>
  </si>
  <si>
    <t>"IfcSurfaceFeatureTypeEnum"</t>
  </si>
  <si>
    <t>"IfcChimneyTypeEnum"</t>
  </si>
  <si>
    <t>"IfcCoveringTypeEnum"</t>
  </si>
  <si>
    <t>"IfcTransitionCode"</t>
  </si>
  <si>
    <t>"IfcColumnTypeEnum"</t>
  </si>
  <si>
    <t>"IfcCompressorTypeEnum"</t>
  </si>
  <si>
    <t>"IfcProjectedOrTrueLengthEnum"</t>
  </si>
  <si>
    <t>"IfcCondenserTypeEnum"</t>
  </si>
  <si>
    <t>"IfcCableFittingTypeEnum"</t>
  </si>
  <si>
    <t>"IfcDuctFittingTypeEnum"</t>
  </si>
  <si>
    <t>"IfcMotorConnectionTypeEnum"</t>
  </si>
  <si>
    <t>"IfcPipeFittingTypeEnum"</t>
  </si>
  <si>
    <t>"IfcCableCarrierFittingTypeEnum"</t>
  </si>
  <si>
    <t>"IfcConnectionTypeEnum"</t>
  </si>
  <si>
    <t>"IfcDocumentConfidentialityEnum"</t>
  </si>
  <si>
    <t>"IfcDoorStyleConstructionEnum"</t>
  </si>
  <si>
    <t>"IfcControllerTypeEnum"</t>
  </si>
  <si>
    <t>"IfcElectricTimeControlTypeEnum"</t>
  </si>
  <si>
    <t>"IfcRailingTypeEnum"</t>
  </si>
  <si>
    <t>"IfcWorkScheduleTypeEnum"</t>
  </si>
  <si>
    <t>"IfcLightDistributionCurveEnum"</t>
  </si>
  <si>
    <t>"IfcCostItemTypeEnum"</t>
  </si>
  <si>
    <t>"IfcFlowDirectionEnum"</t>
  </si>
  <si>
    <t>"IfcLayerSetDirectionEnum"</t>
  </si>
  <si>
    <t>"IfcElectricFlowStorageDeviceTypeEnum"</t>
  </si>
  <si>
    <t>"IfcSwitchingDeviceTypeEnum"</t>
  </si>
  <si>
    <t>"IfcProtectiveDeviceTypeEnum"</t>
  </si>
  <si>
    <t>"IfcProtectiveDeviceTrippingUnitTypeEnum"</t>
  </si>
  <si>
    <t>"IfcShadingDeviceTypeEnum"</t>
  </si>
  <si>
    <t>"IfcMedicalDeviceTypeEnum"</t>
  </si>
  <si>
    <t>"IfcSolarDeviceTypeEnum"</t>
  </si>
  <si>
    <t>"IfcTaskDurationEnum"</t>
  </si>
  <si>
    <t>"IfcGridTypeEnum"</t>
  </si>
  <si>
    <t>"IfcDistributionChamberElementTypeEnum"</t>
  </si>
  <si>
    <t>"IfcOpeningElementTypeEnum"</t>
  </si>
  <si>
    <t>"IfcElementCompositionEnum"</t>
  </si>
  <si>
    <t>"IfcBuildingElementPartTypeEnum"</t>
  </si>
  <si>
    <t>"IfcUnitaryControlElementTypeEnum"</t>
  </si>
  <si>
    <t>"IfcSystemFurnitureElementTypeEnum"</t>
  </si>
  <si>
    <t>"IfcProjectionElementTypeEnum"</t>
  </si>
  <si>
    <t>"IfcTransportElementTypeEnum"</t>
  </si>
  <si>
    <t>"IfcExternalSpatialElementTypeEnum"</t>
  </si>
  <si>
    <t>"IfcGeographicElementTypeEnum"</t>
  </si>
  <si>
    <t>"IfcElectricApplianceTypeEnum"</t>
  </si>
  <si>
    <t>"IfcAddressTypeEnum"</t>
  </si>
  <si>
    <t>"IfcUnitaryEquipmentTypeEnum"</t>
  </si>
  <si>
    <t>"IfcStairTypeEnum"</t>
  </si>
  <si>
    <t>"IfcStairFlightTypeEnum"</t>
  </si>
  <si>
    <t>"IfcPileConstructionEnum"</t>
  </si>
  <si>
    <t>"IfcPileTypeEnum"</t>
  </si>
  <si>
    <t>"IfcStateEnum"</t>
  </si>
  <si>
    <t>"IfcNullStyle"</t>
  </si>
  <si>
    <t>"IfcWindowStyleConstructionEnum"</t>
  </si>
  <si>
    <t>"IfcEvaporatorTypeEnum"</t>
  </si>
  <si>
    <t>"IfcEventTypeEnum"</t>
  </si>
  <si>
    <t>"IfcBeamTypeEnum"</t>
  </si>
  <si>
    <t>"IfcTubeBundleTypeEnum"</t>
  </si>
  <si>
    <t>"IfcFilterTypeEnum"</t>
  </si>
  <si>
    <t>"IfcPhysicalOrVirtualEnum"</t>
  </si>
  <si>
    <t>"IfcMechanicalFastenerTypeEnum"</t>
  </si>
  <si>
    <t>"IfcFastenerTypeEnum"</t>
  </si>
  <si>
    <t>"IfcBSplineCurveForm"</t>
  </si>
  <si>
    <t>"IfcBSplineSurfaceForm"</t>
  </si>
  <si>
    <t>"IfcEventTriggerTypeEnum"</t>
  </si>
  <si>
    <t>"IfcElectricGeneratorTypeEnum"</t>
  </si>
  <si>
    <t>"IfcGlobalOrLocalEnum"</t>
  </si>
  <si>
    <t>"IfcLoadGroupTypeEnum"</t>
  </si>
  <si>
    <t>"IfcPerformanceHistoryTypeEnum"</t>
  </si>
  <si>
    <t>"IfcFlowInstrumentTypeEnum"</t>
  </si>
  <si>
    <t>"IfcInterceptorTypeEnum"</t>
  </si>
  <si>
    <t>"IfcInternalOrExternalEnum"</t>
  </si>
  <si>
    <t>"IfcCurveInterpolationEnum"</t>
  </si>
  <si>
    <t>"IfcInventoryTypeEnum"</t>
  </si>
  <si>
    <t>"IfcVibrationIsolatorTypeEnum"</t>
  </si>
  <si>
    <t>"IfcWindowTypeEnum"</t>
  </si>
  <si>
    <t>"IfcWindowTypePartitioningEnum"</t>
  </si>
  <si>
    <t>"IfcSurfaceSide"</t>
  </si>
  <si>
    <t>"IfcSlabTypeEnum"</t>
  </si>
  <si>
    <t>"IfcLampTypeEnum"</t>
  </si>
  <si>
    <t>"IfcAssemblyPlaceEnum"</t>
  </si>
  <si>
    <t>"IfcLightFixtureTypeEnum"</t>
  </si>
  <si>
    <t>"IfcReinforcingMeshTypeEnum"</t>
  </si>
  <si>
    <t>"IfcFlowMeterTypeEnum"</t>
  </si>
  <si>
    <t>"IfcMemberTypeEnum"</t>
  </si>
  <si>
    <t>"IfcStructuralCurveMemberTypeEnum"</t>
  </si>
  <si>
    <t>"IfcStructuralSurfaceMemberTypeEnum"</t>
  </si>
  <si>
    <t>"IfcObjectiveEnum"</t>
  </si>
  <si>
    <t>"IfcReflectanceMethodEnum"</t>
  </si>
  <si>
    <t>"IfcFurnitureTypeEnum"</t>
  </si>
  <si>
    <t>"IfcAnalysisModelTypeEnum"</t>
  </si>
  <si>
    <t>"IfcPropertySetTemplateTypeEnum"</t>
  </si>
  <si>
    <t>"IfcSimplePropertyTemplateTypeEnum"</t>
  </si>
  <si>
    <t>"IfcElementAssemblyTypeEnum"</t>
  </si>
  <si>
    <t>"IfcEngineTypeEnum"</t>
  </si>
  <si>
    <t>"IfcElectricMotorTypeEnum"</t>
  </si>
  <si>
    <t>"IfcKnotType"</t>
  </si>
  <si>
    <t>"IfcObjectTypeEnum"</t>
  </si>
  <si>
    <t>"IfcOccupantTypeEnum"</t>
  </si>
  <si>
    <t>"IfcPermeableCoveringOperationEnum"</t>
  </si>
  <si>
    <t>"IfcWindowStyleOperationEnum"</t>
  </si>
  <si>
    <t>"IfcDoorTypeOperationEnum"</t>
  </si>
  <si>
    <t>"IfcWindowPanelOperationEnum"</t>
  </si>
  <si>
    <t>"IfcDoorPanelOperationEnum"</t>
  </si>
  <si>
    <t>"IfcDoorStyleOperationEnum"</t>
  </si>
  <si>
    <t>"IfcArithmeticOperatorEnum"</t>
  </si>
  <si>
    <t>"IfcBooleanOperator"</t>
  </si>
  <si>
    <t>"IfcLogicalOperatorEnum"</t>
  </si>
  <si>
    <t>"IfcProjectOrderTypeEnum"</t>
  </si>
  <si>
    <t>"IfcActionSourceTypeEnum"</t>
  </si>
  <si>
    <t>"IfcLightEmissionSourceEnum"</t>
  </si>
  <si>
    <t>"IfcDataOriginEnum"</t>
  </si>
  <si>
    <t>"IfcWallTypeEnum"</t>
  </si>
  <si>
    <t>"IfcCurtainWallTypeEnum"</t>
  </si>
  <si>
    <t>"IfcProfileTypeEnum"</t>
  </si>
  <si>
    <t>"IfcBenchmarkEnum"</t>
  </si>
  <si>
    <t>"IfcPermitTypeEnum"</t>
  </si>
  <si>
    <t>"IfcPlateTypeEnum"</t>
  </si>
  <si>
    <t>"IfcWorkPlanTypeEnum"</t>
  </si>
  <si>
    <t>"IfcDoorTypeEnum"</t>
  </si>
  <si>
    <t>"IfcDistributionPortTypeEnum"</t>
  </si>
  <si>
    <t>"IfcWindowPanelPositionEnum"</t>
  </si>
  <si>
    <t>"IfcDoorPanelPositionEnum"</t>
  </si>
  <si>
    <t>"IfcTrimmingPreference"</t>
  </si>
  <si>
    <t>"IfcProcedureTypeEnum"</t>
  </si>
  <si>
    <t>"IfcGeometricProjectionEnum"</t>
  </si>
  <si>
    <t>"IfcBuildingElementProxyTypeEnum"</t>
  </si>
  <si>
    <t>"IfcElectricDistributionBoardTypeEnum"</t>
  </si>
  <si>
    <t>"IfcBurnerTypeEnum"</t>
  </si>
  <si>
    <t>"IfcRampTypeEnum"</t>
  </si>
  <si>
    <t>"IfcRampFlightTypeEnum"</t>
  </si>
  <si>
    <t>"IfcRecurrenceTypeEnum"</t>
  </si>
  <si>
    <t>"IfcAirToAirHeatRecoveryTypeEnum"</t>
  </si>
  <si>
    <t>"IfcConstructionEquipmentResourceTypeEnum"</t>
  </si>
  <si>
    <t>"IfcLaborResourceTypeEnum"</t>
  </si>
  <si>
    <t>"IfcConstructionProductResourceTypeEnum"</t>
  </si>
  <si>
    <t>"IfcCrewResourceTypeEnum"</t>
  </si>
  <si>
    <t>"IfcVoidingFeatureTypeEnum"</t>
  </si>
  <si>
    <t>"IfcConstructionMaterialResourceTypeEnum"</t>
  </si>
  <si>
    <t>"IfcSubContractResourceTypeEnum"</t>
  </si>
  <si>
    <t>"IfcEvaporativeCoolerTypeEnum"</t>
  </si>
  <si>
    <t>"IfcPreferredSurfaceCurveRepresentation"</t>
  </si>
  <si>
    <t>"IfcChillerTypeEnum"</t>
  </si>
  <si>
    <t>"IfcConstraintEnum"</t>
  </si>
  <si>
    <t>"IfcRoleEnum"</t>
  </si>
  <si>
    <t>"IfcReinforcingBarRoleEnum"</t>
  </si>
  <si>
    <t>"IfcFootingTypeEnum"</t>
  </si>
  <si>
    <t>"IfcSectionTypeEnum"</t>
  </si>
  <si>
    <t>"IfcCableSegmentTypeEnum"</t>
  </si>
  <si>
    <t>"IfcDuctSegmentTypeEnum"</t>
  </si>
  <si>
    <t>"IfcCableCarrierSegmentTypeEnum"</t>
  </si>
  <si>
    <t>"IfcPipeSegmentTypeEnum"</t>
  </si>
  <si>
    <t>"IfcSensorTypeEnum"</t>
  </si>
  <si>
    <t>"IfcDirectionSenseEnum"</t>
  </si>
  <si>
    <t>"IfcSequenceEnum"</t>
  </si>
  <si>
    <t>"IfcTimeSeriesDataTypeEnum"</t>
  </si>
  <si>
    <t>"IfcCoilTypeEnum"</t>
  </si>
  <si>
    <t>"IfcDuctSilencerTypeEnum"</t>
  </si>
  <si>
    <t>"IfcBuildingSystemTypeEnum"</t>
  </si>
  <si>
    <t>"IfcDistributionSystemEnum"</t>
  </si>
  <si>
    <t>"IfcActionRequestTypeEnum"</t>
  </si>
  <si>
    <t>"IfcDocumentStatusEnum"</t>
  </si>
  <si>
    <t>"IfcCostScheduleTypeEnum"</t>
  </si>
  <si>
    <t>"IfcTankTypeEnum"</t>
  </si>
  <si>
    <t>"IfcTaskTypeEnum"</t>
  </si>
  <si>
    <t>"IfcRoofTypeEnum"</t>
  </si>
  <si>
    <t>"IfcTendonTypeEnum"</t>
  </si>
  <si>
    <t>"IfcAnalysisTheoryTypeEnum"</t>
  </si>
  <si>
    <t>"IfcAirTerminalTypeEnum"</t>
  </si>
  <si>
    <t>"IfcStackTerminalTypeEnum"</t>
  </si>
  <si>
    <t>"IfcWasteTerminalTypeEnum"</t>
  </si>
  <si>
    <t>"IfcFireSuppressionTerminalTypeEnum"</t>
  </si>
  <si>
    <t>"IfcSanitaryTerminalTypeEnum"</t>
  </si>
  <si>
    <t>"IfcOutletTypeEnum"</t>
  </si>
  <si>
    <t>"IfcCoolingTowerTypeEnum"</t>
  </si>
  <si>
    <t>"IfcTransformerTypeEnum"</t>
  </si>
  <si>
    <t>"IfcHeatExchangerTypeEnum"</t>
  </si>
  <si>
    <t>"IfcHumidifierTypeEnum"</t>
  </si>
  <si>
    <t>"IfcUnitEnum"</t>
  </si>
  <si>
    <t>"IfcDerivedUnitEnum"</t>
  </si>
  <si>
    <t>"IfcSIUnitName"</t>
  </si>
  <si>
    <t>"IfcSIPrefix"</t>
  </si>
  <si>
    <t>"IfcValveTypeEnum"</t>
  </si>
  <si>
    <t>"IfcFanTypeEnum"</t>
  </si>
  <si>
    <t>"IfcCooledBeamTypeEnum"</t>
  </si>
  <si>
    <t>"IfcSpatialZoneTypeEnum"</t>
  </si>
  <si>
    <t>"IfcActorSelect"</t>
  </si>
  <si>
    <t>"IfcStructuralActivityAssignmentSelect"</t>
  </si>
  <si>
    <t>"IfcStyleAssignmentSelect"</t>
  </si>
  <si>
    <t>"IfcLibrarySelect"</t>
  </si>
  <si>
    <t>"IfcClassificationSelect"</t>
  </si>
  <si>
    <t>"IfcGeometricSetSelect"</t>
  </si>
  <si>
    <t>"IfcColour"</t>
  </si>
  <si>
    <t>"IfcColourOrFactor"</t>
  </si>
  <si>
    <t>"IfcTrimmingSelect"</t>
  </si>
  <si>
    <t>"IfcCsgSelect"</t>
  </si>
  <si>
    <t>"IfcCurveOnSurface"</t>
  </si>
  <si>
    <t>"IfcCurveOrEdgeCurve"</t>
  </si>
  <si>
    <t>"IfcPropertySetDefinitionSelect"</t>
  </si>
  <si>
    <t>"IfcDefinitionSelect"</t>
  </si>
  <si>
    <t>"IfcSpecularHighlightSelect"</t>
  </si>
  <si>
    <t>"IfcGridPlacementDirectionSelect"</t>
  </si>
  <si>
    <t>"IfcHatchLineDistanceSelect"</t>
  </si>
  <si>
    <t>"IfcDocumentSelect"</t>
  </si>
  <si>
    <t>"IfcSurfaceStyleElementSelect"</t>
  </si>
  <si>
    <t>"IfcFillStyleSelect"</t>
  </si>
  <si>
    <t>"IfcCurveFontOrScaledCurveFontSelect"</t>
  </si>
  <si>
    <t>"IfcLightDistributionDataSourceSelect"</t>
  </si>
  <si>
    <t>"IfcTextFontSelect"</t>
  </si>
  <si>
    <t>"IfcCurveStyleFontSelect"</t>
  </si>
  <si>
    <t>"IfcSpaceBoundarySelect"</t>
  </si>
  <si>
    <t>"IfcSegmentIndexSelect"</t>
  </si>
  <si>
    <t>"IfcLayeredItem"</t>
  </si>
  <si>
    <t>"IfcMaterialSelect"</t>
  </si>
  <si>
    <t>"IfcModulusOfRotationalSubgradeReactionSelect"</t>
  </si>
  <si>
    <t>"IfcModulusOfTranslationalSubgradeReactionSelect"</t>
  </si>
  <si>
    <t>"IfcModulusOfSubgradeReactionSelect"</t>
  </si>
  <si>
    <t>"IfcResourceObjectSelect"</t>
  </si>
  <si>
    <t>"IfcBooleanOperand"</t>
  </si>
  <si>
    <t>"IfcBendingParameterSelect"</t>
  </si>
  <si>
    <t>"IfcPointOrVertexPoint"</t>
  </si>
  <si>
    <t>"IfcAxis2Placement"</t>
  </si>
  <si>
    <t>"IfcProcessSelect"</t>
  </si>
  <si>
    <t>"IfcProductSelect"</t>
  </si>
  <si>
    <t>"IfcResourceSelect"</t>
  </si>
  <si>
    <t>"IfcClassificationReferenceSelect"</t>
  </si>
  <si>
    <t>"IfcObjectReferenceSelect"</t>
  </si>
  <si>
    <t>"IfcProductRepresentationSelect"</t>
  </si>
  <si>
    <t>"IfcWarpingStiffnessSelect"</t>
  </si>
  <si>
    <t>"IfcRotationalStiffnessSelect"</t>
  </si>
  <si>
    <t>"IfcTranslationalStiffnessSelect"</t>
  </si>
  <si>
    <t>"IfcPresentationStyleSelect"</t>
  </si>
  <si>
    <t>"IfcCoordinateReferenceSystemSelect"</t>
  </si>
  <si>
    <t>"IfcShell"</t>
  </si>
  <si>
    <t>"IfcSolidOrShell"</t>
  </si>
  <si>
    <t>"IfcSurfaceOrFaceSurface"</t>
  </si>
  <si>
    <t>"IfcSizeSelect"</t>
  </si>
  <si>
    <t>"IfcTimeOrRatioSelect"</t>
  </si>
  <si>
    <t>"IfcUnit"</t>
  </si>
  <si>
    <t>"IfcValue"</t>
  </si>
  <si>
    <t>"IfcAppliedValueSelect"</t>
  </si>
  <si>
    <t>"IfcMetricValueSelect"</t>
  </si>
  <si>
    <t>"IfcMeasureValue"</t>
  </si>
  <si>
    <t>"IfcDerivedMeasureValue"</t>
  </si>
  <si>
    <t>"IfcSimpleValue"</t>
  </si>
  <si>
    <t>"IfcVectorOrDirection"</t>
  </si>
  <si>
    <t>"IfcOpeningStandardCase"</t>
  </si>
  <si>
    <t>"IfcCovering"</t>
  </si>
  <si>
    <t>"IfcCoveringType"</t>
  </si>
  <si>
    <t>"IfcDiscreteAccessory"</t>
  </si>
  <si>
    <t>"IfcDiscreteAccessoryType"</t>
  </si>
  <si>
    <t>"IfcFeatureElementAddition"</t>
  </si>
  <si>
    <t>"IfcAlarm"</t>
  </si>
  <si>
    <t>"IfcAlarmType"</t>
  </si>
  <si>
    <t>"IfcDamper"</t>
  </si>
  <si>
    <t>"IfcDamperType"</t>
  </si>
  <si>
    <t>"IfcStructuralLoad"</t>
  </si>
  <si>
    <t>"IfcStructuralActivity"</t>
  </si>
  <si>
    <t>"IfcStructuralAction"</t>
  </si>
  <si>
    <t>"IfcStructuralCurveAction"</t>
  </si>
  <si>
    <t>"IfcStructuralLinearAction"</t>
  </si>
  <si>
    <t>"IfcStructuralPointAction"</t>
  </si>
  <si>
    <t>"IfcStructuralPlanarAction"</t>
  </si>
  <si>
    <t>"IfcStructuralSurfaceAction"</t>
  </si>
  <si>
    <t>"IfcStructuralLoadCase"</t>
  </si>
  <si>
    <t>"IfcStructuralLoadConfiguration"</t>
  </si>
  <si>
    <t>"IfcStructuralLoadLinearForce"</t>
  </si>
  <si>
    <t>"IfcStructuralLoadSingleForce"</t>
  </si>
  <si>
    <t>"IfcStructuralLoadSingleDisplacement"</t>
  </si>
  <si>
    <t>"IfcStructuralLoadSingleDisplacementDistortion"</t>
  </si>
  <si>
    <t>"IfcStructuralLoadSingleForceWarping"</t>
  </si>
  <si>
    <t>"IfcStructuralLoadPlanarForce"</t>
  </si>
  <si>
    <t>"IfcStructuralLoadStatic"</t>
  </si>
  <si>
    <t>"IfcStructuralLoadGroup"</t>
  </si>
  <si>
    <t>"IfcStructuralLoadOrResult"</t>
  </si>
  <si>
    <t>"IfcBoundaryEdgeCondition"</t>
  </si>
  <si>
    <t>"IfcFailureConnectionCondition"</t>
  </si>
  <si>
    <t>"IfcStructuralConnectionCondition"</t>
  </si>
  <si>
    <t>"IfcSlippageConnectionCondition"</t>
  </si>
  <si>
    <t>"IfcBoundaryCondition"</t>
  </si>
  <si>
    <t>"IfcBoundaryFaceCondition"</t>
  </si>
  <si>
    <t>"IfcBoundaryNodeCondition"</t>
  </si>
  <si>
    <t>"IfcBoundaryNodeConditionWarping"</t>
  </si>
  <si>
    <t>"IfcStructuralCurveConnection"</t>
  </si>
  <si>
    <t>"IfcStructuralCurveMember"</t>
  </si>
  <si>
    <t>"IfcStructuralAnalysisModel"</t>
  </si>
  <si>
    <t>"IfcStructuralReaction"</t>
  </si>
  <si>
    <t>"IfcStructuralCurveReaction"</t>
  </si>
  <si>
    <t>"IfcStructuralPointReaction"</t>
  </si>
  <si>
    <t>"IfcStructuralSurfaceReaction"</t>
  </si>
  <si>
    <t>"IfcStructuralLoadTemperature"</t>
  </si>
  <si>
    <t>"IfcStructuralCurveMemberVarying"</t>
  </si>
  <si>
    <t>"IfcStructuralSurfaceMemberVarying"</t>
  </si>
  <si>
    <t>"IfcTendonAnchor"</t>
  </si>
  <si>
    <t>"IfcTendonAnchorType"</t>
  </si>
  <si>
    <t>"IfcBuildingStorey"</t>
  </si>
  <si>
    <t>"IfcAudioVisualAppliance"</t>
  </si>
  <si>
    <t>"IfcAudioVisualApplianceType"</t>
  </si>
  <si>
    <t>"IfcCommunicationsAppliance"</t>
  </si>
  <si>
    <t>"IfcCommunicationsApplianceType"</t>
  </si>
  <si>
    <t>"IfcApplication"</t>
  </si>
  <si>
    <t>"IfcApproval"</t>
  </si>
  <si>
    <t>"IfcSpaceHeater"</t>
  </si>
  <si>
    <t>"IfcSpaceHeaterType"</t>
  </si>
  <si>
    <t>"IfcRevolvedAreaSolid"</t>
  </si>
  <si>
    <t>"IfcRevolvedAreaSolidTapered"</t>
  </si>
  <si>
    <t>"IfcSweptAreaSolid"</t>
  </si>
  <si>
    <t>"IfcExtrudedAreaSolid"</t>
  </si>
  <si>
    <t>"IfcExtrudedAreaSolidTapered"</t>
  </si>
  <si>
    <t>"IfcAsset"</t>
  </si>
  <si>
    <t>"IfcActor"</t>
  </si>
  <si>
    <t>"IfcPresentationLayerAssignment"</t>
  </si>
  <si>
    <t>"IfcActuator"</t>
  </si>
  <si>
    <t>"IfcActuatorType"</t>
  </si>
  <si>
    <t>"IfcProjectLibrary"</t>
  </si>
  <si>
    <t>"IfcBlock"</t>
  </si>
  <si>
    <t>"IfcBoiler"</t>
  </si>
  <si>
    <t>"IfcBoilerType"</t>
  </si>
  <si>
    <t>"IfcPump"</t>
  </si>
  <si>
    <t>"IfcPumpType"</t>
  </si>
  <si>
    <t>"IfcJunctionBox"</t>
  </si>
  <si>
    <t>"IfcJunctionBoxType"</t>
  </si>
  <si>
    <t>"IfcOpenShell"</t>
  </si>
  <si>
    <t>"IfcClosedShell"</t>
  </si>
  <si>
    <t>"IfcColumnStandardCase"</t>
  </si>
  <si>
    <t>"IfcWindowStandardCase"</t>
  </si>
  <si>
    <t>"IfcMemberStandardCase"</t>
  </si>
  <si>
    <t>"IfcWallStandardCase"</t>
  </si>
  <si>
    <t>"IfcPlateStandardCase"</t>
  </si>
  <si>
    <t>"IfcBeamStandardCase"</t>
  </si>
  <si>
    <t>"IfcChimney"</t>
  </si>
  <si>
    <t>"IfcChimneyType"</t>
  </si>
  <si>
    <t>"IfcChiller"</t>
  </si>
  <si>
    <t>"IfcChillerType"</t>
  </si>
  <si>
    <t>"IfcDistributionCircuit"</t>
  </si>
  <si>
    <t>"IfcStair"</t>
  </si>
  <si>
    <t>"IfcStairType"</t>
  </si>
  <si>
    <t>"IfcRampFlight"</t>
  </si>
  <si>
    <t>"IfcRampFlightType"</t>
  </si>
  <si>
    <t>"IfcStairFlight"</t>
  </si>
  <si>
    <t>"IfcStairFlightType"</t>
  </si>
  <si>
    <t>"IfcRamp"</t>
  </si>
  <si>
    <t>"IfcRampType"</t>
  </si>
  <si>
    <t>"IfcClassification"</t>
  </si>
  <si>
    <t>"IfcColumn"</t>
  </si>
  <si>
    <t>"IfcColumnType"</t>
  </si>
  <si>
    <t>"IfcElementComponent"</t>
  </si>
  <si>
    <t>"IfcElementQuantity"</t>
  </si>
  <si>
    <t>"IfcElementComponentType"</t>
  </si>
  <si>
    <t>"IfcCompressor"</t>
  </si>
  <si>
    <t>"IfcCompressorType"</t>
  </si>
  <si>
    <t>"IfcCondenser"</t>
  </si>
  <si>
    <t>"IfcCondenserType"</t>
  </si>
  <si>
    <t>"IfcPort"</t>
  </si>
  <si>
    <t>"IfcDistributionPort"</t>
  </si>
  <si>
    <t>"IfcCableFitting"</t>
  </si>
  <si>
    <t>"IfcCableFittingType"</t>
  </si>
  <si>
    <t>"IfcDuctFitting"</t>
  </si>
  <si>
    <t>"IfcDuctFittingType"</t>
  </si>
  <si>
    <t>"IfcFlowFitting"</t>
  </si>
  <si>
    <t>"IfcFlowFittingType"</t>
  </si>
  <si>
    <t>"IfcMotorConnection"</t>
  </si>
  <si>
    <t>"IfcPipeFitting"</t>
  </si>
  <si>
    <t>"IfcPipeFittingType"</t>
  </si>
  <si>
    <t>"IfcStructuralConnection"</t>
  </si>
  <si>
    <t>"IfcStructuralSurfaceConnection"</t>
  </si>
  <si>
    <t>"IfcStructuralPointConnection"</t>
  </si>
  <si>
    <t>"IfcMotorConnectionType"</t>
  </si>
  <si>
    <t>"IfcCableCarrierFitting"</t>
  </si>
  <si>
    <t>"IfcCableCarrierFittingType"</t>
  </si>
  <si>
    <t>"IfcPropertySet"</t>
  </si>
  <si>
    <t>"IfcPreDefinedPropertySet"</t>
  </si>
  <si>
    <t>"IfcQuantitySet"</t>
  </si>
  <si>
    <t>"IfcQuantityCount"</t>
  </si>
  <si>
    <t>"IfcContext"</t>
  </si>
  <si>
    <t>"IfcRepresentationContext"</t>
  </si>
  <si>
    <t>"IfcGeometricRepresentationContext"</t>
  </si>
  <si>
    <t>"IfcController"</t>
  </si>
  <si>
    <t>"IfcFlowController"</t>
  </si>
  <si>
    <t>"IfcFlowControllerType"</t>
  </si>
  <si>
    <t>"IfcElectricTimeControl"</t>
  </si>
  <si>
    <t>"IfcElectricTimeControlType"</t>
  </si>
  <si>
    <t>"IfcControllerType"</t>
  </si>
  <si>
    <t>"IfcControl"</t>
  </si>
  <si>
    <t>"IfcWorkControl"</t>
  </si>
  <si>
    <t>"IfcRailing"</t>
  </si>
  <si>
    <t>"IfcRailingType"</t>
  </si>
  <si>
    <t>"IfcPropertySetDefinition"</t>
  </si>
  <si>
    <t>"IfcPropertyTemplateDefinition"</t>
  </si>
  <si>
    <t>"IfcObjectDefinition"</t>
  </si>
  <si>
    <t>"IfcProfileDef"</t>
  </si>
  <si>
    <t>"IfcArbitraryOpenProfileDef"</t>
  </si>
  <si>
    <t>"IfcArbitraryProfileDefWithVoids"</t>
  </si>
  <si>
    <t>"IfcArbitraryClosedProfileDef"</t>
  </si>
  <si>
    <t>"IfcAsymmetricIShapeProfileDef"</t>
  </si>
  <si>
    <t>"IfcCShapeProfileDef"</t>
  </si>
  <si>
    <t>"IfcCircleProfileDef"</t>
  </si>
  <si>
    <t>"IfcCircleHollowProfileDef"</t>
  </si>
  <si>
    <t>"IfcDerivedProfileDef"</t>
  </si>
  <si>
    <t>"IfcCompositeProfileDef"</t>
  </si>
  <si>
    <t>"IfcEllipseProfileDef"</t>
  </si>
  <si>
    <t>"IfcMirroredProfileDef"</t>
  </si>
  <si>
    <t>"IfcIShapeProfileDef"</t>
  </si>
  <si>
    <t>"IfcLShapeProfileDef"</t>
  </si>
  <si>
    <t>"IfcCenterLineProfileDef"</t>
  </si>
  <si>
    <t>"IfcParameterizedProfileDef"</t>
  </si>
  <si>
    <t>"IfcRectangleProfileDef"</t>
  </si>
  <si>
    <t>"IfcRoundedRectangleProfileDef"</t>
  </si>
  <si>
    <t>"IfcRectangleHollowProfileDef"</t>
  </si>
  <si>
    <t>"IfcTShapeProfileDef"</t>
  </si>
  <si>
    <t>"IfcTrapeziumProfileDef"</t>
  </si>
  <si>
    <t>"IfcUShapeProfileDef"</t>
  </si>
  <si>
    <t>"IfcZShapeProfileDef"</t>
  </si>
  <si>
    <t>"IfcProductDefinitionShape"</t>
  </si>
  <si>
    <t>"IfcPropertyDefinition"</t>
  </si>
  <si>
    <t>"IfcLightSourceDirectional"</t>
  </si>
  <si>
    <t>"IfcFlowStorageDevice"</t>
  </si>
  <si>
    <t>"IfcFlowStorageDeviceType"</t>
  </si>
  <si>
    <t>"IfcElectricFlowStorageDevice"</t>
  </si>
  <si>
    <t>"IfcElectricFlowStorageDeviceType"</t>
  </si>
  <si>
    <t>"IfcSwitchingDevice"</t>
  </si>
  <si>
    <t>"IfcSwitchingDeviceType"</t>
  </si>
  <si>
    <t>"IfcEnergyConversionDevice"</t>
  </si>
  <si>
    <t>"IfcEnergyConversionDeviceType"</t>
  </si>
  <si>
    <t>"IfcFlowMovingDevice"</t>
  </si>
  <si>
    <t>"IfcFlowMovingDeviceType"</t>
  </si>
  <si>
    <t>"IfcProtectiveDevice"</t>
  </si>
  <si>
    <t>"IfcProtectiveDeviceType"</t>
  </si>
  <si>
    <t>"IfcShadingDevice"</t>
  </si>
  <si>
    <t>"IfcShadingDeviceType"</t>
  </si>
  <si>
    <t>"IfcFlowTreatmentDevice"</t>
  </si>
  <si>
    <t>"IfcFlowTreatmentDeviceType"</t>
  </si>
  <si>
    <t>"IfcMedicalDevice"</t>
  </si>
  <si>
    <t>"IfcMedicalDeviceType"</t>
  </si>
  <si>
    <t>"IfcSolarDevice"</t>
  </si>
  <si>
    <t>"IfcSolarDeviceType"</t>
  </si>
  <si>
    <t>"IfcBuilding"</t>
  </si>
  <si>
    <t>"IfcGrid"</t>
  </si>
  <si>
    <t>"IfcGridAxis"</t>
  </si>
  <si>
    <t>"IfcVirtualGridIntersection"</t>
  </si>
  <si>
    <t>"IfcGridPlacement"</t>
  </si>
  <si>
    <t>"IfcCivilElement"</t>
  </si>
  <si>
    <t>"IfcCivilElementType"</t>
  </si>
  <si>
    <t>"IfcOpeningElement"</t>
  </si>
  <si>
    <t>"IfcDistributionChamberElement"</t>
  </si>
  <si>
    <t>"IfcDistributionChamberElementType"</t>
  </si>
  <si>
    <t>"IfcFeatureElement"</t>
  </si>
  <si>
    <t>"IfcBuildingElement"</t>
  </si>
  <si>
    <t>"IfcBuildingElementType"</t>
  </si>
  <si>
    <t>"IfcDistributionControlElement"</t>
  </si>
  <si>
    <t>"IfcDistributionControlElementType"</t>
  </si>
  <si>
    <t>"IfcDistributionElement"</t>
  </si>
  <si>
    <t>"IfcDistributionFlowElement"</t>
  </si>
  <si>
    <t>"IfcDistributionFlowElementType"</t>
  </si>
  <si>
    <t>"IfcDistributionElementType"</t>
  </si>
  <si>
    <t>"IfcSpatialStructureElement"</t>
  </si>
  <si>
    <t>"IfcExternalSpatialStructureElement"</t>
  </si>
  <si>
    <t>"IfcSpatialStructureElementType"</t>
  </si>
  <si>
    <t>"IfcProjectionElement"</t>
  </si>
  <si>
    <t>"IfcTransportElement"</t>
  </si>
  <si>
    <t>"IfcTransportElementType"</t>
  </si>
  <si>
    <t>"IfcExternalSpatialElement"</t>
  </si>
  <si>
    <t>"IfcSpatialElement"</t>
  </si>
  <si>
    <t>"IfcSpatialElementType"</t>
  </si>
  <si>
    <t>"IfcStructuralSurfaceMember"</t>
  </si>
  <si>
    <t>"IfcGeographicElement"</t>
  </si>
  <si>
    <t>"IfcGeographicElementType"</t>
  </si>
  <si>
    <t>"IfcVirtualElement"</t>
  </si>
  <si>
    <t>"IfcElectricAppliance"</t>
  </si>
  <si>
    <t>"IfcElectricApplianceType"</t>
  </si>
  <si>
    <t>"IfcPostalAddress"</t>
  </si>
  <si>
    <t>"IfcTelecomAddress"</t>
  </si>
  <si>
    <t>"IfcAddress"</t>
  </si>
  <si>
    <t>"IfcPropertyEnumeration"</t>
  </si>
  <si>
    <t>"IfcUnitaryEquipment"</t>
  </si>
  <si>
    <t>"IfcUnitaryControlElement"</t>
  </si>
  <si>
    <t>"IfcUnitaryControlElementType"</t>
  </si>
  <si>
    <t>"IfcUnitaryEquipmentType"</t>
  </si>
  <si>
    <t>"IfcSpace"</t>
  </si>
  <si>
    <t>"IfcSpaceType"</t>
  </si>
  <si>
    <t>"IfcAnnotation"</t>
  </si>
  <si>
    <t>"IfcAnnotationFillArea"</t>
  </si>
  <si>
    <t>"IfcPresentationStyle"</t>
  </si>
  <si>
    <t>"IfcPresentationStyleAssignment"</t>
  </si>
  <si>
    <t>"IfcPresentationLayerWithStyle"</t>
  </si>
  <si>
    <t>"IfcFillAreaStyle"</t>
  </si>
  <si>
    <t>"IfcFillAreaStyleTiles"</t>
  </si>
  <si>
    <t>"IfcColourSpecification"</t>
  </si>
  <si>
    <t>"IfcPreDefinedColour"</t>
  </si>
  <si>
    <t>"IfcDraughtingPreDefinedColour"</t>
  </si>
  <si>
    <t>"IfcColourRgb"</t>
  </si>
  <si>
    <t>"IfcColourRgbList"</t>
  </si>
  <si>
    <t>"IfcSurfaceStyleLighting"</t>
  </si>
  <si>
    <t>"IfcWindowStyle"</t>
  </si>
  <si>
    <t>"IfcCurveStyleFontPattern"</t>
  </si>
  <si>
    <t>"IfcCurveStyle"</t>
  </si>
  <si>
    <t>"IfcStyleModel"</t>
  </si>
  <si>
    <t>"IfcCurveStyleFont"</t>
  </si>
  <si>
    <t>"IfcCurveStyleFontAndScaling"</t>
  </si>
  <si>
    <t>"IfcTextStyleForDefinedFont"</t>
  </si>
  <si>
    <t>"IfcExternallyDefinedTextFont"</t>
  </si>
  <si>
    <t>"IfcTextStyleFontModel"</t>
  </si>
  <si>
    <t>"IfcPreDefinedTextFont"</t>
  </si>
  <si>
    <t>"IfcDoorStyle"</t>
  </si>
  <si>
    <t>"IfcFillAreaStyleHatching"</t>
  </si>
  <si>
    <t>"IfcExternallyDefinedHatchStyle"</t>
  </si>
  <si>
    <t>"IfcStyledRepresentation"</t>
  </si>
  <si>
    <t>"IfcSurfaceStyleShading"</t>
  </si>
  <si>
    <t>"IfcSurfaceStyle"</t>
  </si>
  <si>
    <t>"IfcSurfaceStyleRefraction"</t>
  </si>
  <si>
    <t>"IfcSurfaceStyleRendering"</t>
  </si>
  <si>
    <t>"IfcSurfaceStyleWithTextures"</t>
  </si>
  <si>
    <t>"IfcExternallyDefinedSurfaceStyle"</t>
  </si>
  <si>
    <t>"IfcTextStyle"</t>
  </si>
  <si>
    <t>"IfcTextStyleTextModel"</t>
  </si>
  <si>
    <t>"IfcIndexedColourMap"</t>
  </si>
  <si>
    <t>"IfcRepresentationMap"</t>
  </si>
  <si>
    <t>"IfcEvaporator"</t>
  </si>
  <si>
    <t>"IfcEvaporatorType"</t>
  </si>
  <si>
    <t>"IfcTubeBundle"</t>
  </si>
  <si>
    <t>"IfcTubeBundleType"</t>
  </si>
  <si>
    <t>"IfcFilter"</t>
  </si>
  <si>
    <t>"IfcFilterType"</t>
  </si>
  <si>
    <t>"IfcFastener"</t>
  </si>
  <si>
    <t>"IfcFastenerType"</t>
  </si>
  <si>
    <t>"IfcMechanicalFastener"</t>
  </si>
  <si>
    <t>"IfcMechanicalFastenerType"</t>
  </si>
  <si>
    <t>"IfcLightSource"</t>
  </si>
  <si>
    <t>"IfcLightSourceAmbient"</t>
  </si>
  <si>
    <t>"IfcLightSourceGoniometric"</t>
  </si>
  <si>
    <t>"IfcLightSourcePositional"</t>
  </si>
  <si>
    <t>"IfcPile"</t>
  </si>
  <si>
    <t>"IfcPileType"</t>
  </si>
  <si>
    <t>"IfcFooting"</t>
  </si>
  <si>
    <t>"IfcFootingType"</t>
  </si>
  <si>
    <t>"IfcSectionedSpine"</t>
  </si>
  <si>
    <t>"IfcFixedReferenceSweptAreaSolid"</t>
  </si>
  <si>
    <t>"IfcEdge"</t>
  </si>
  <si>
    <t>"IfcOrientedEdge"</t>
  </si>
  <si>
    <t>"IfcShapeAspect"</t>
  </si>
  <si>
    <t>"IfcAdvancedBrep"</t>
  </si>
  <si>
    <t>"IfcAdvancedBrepWithVoids"</t>
  </si>
  <si>
    <t>"IfcFacetedBrep"</t>
  </si>
  <si>
    <t>"IfcFacetedBrepWithVoids"</t>
  </si>
  <si>
    <t>"IfcManifoldSolidBrep"</t>
  </si>
  <si>
    <t>"IfcBoundingBox"</t>
  </si>
  <si>
    <t>"IfcGeometricCurveSet"</t>
  </si>
  <si>
    <t>"IfcConnectedFaceSet"</t>
  </si>
  <si>
    <t>"IfcPolygonalFaceSet"</t>
  </si>
  <si>
    <t>"IfcTessellatedFaceSet"</t>
  </si>
  <si>
    <t>"IfcTriangulatedFaceSet"</t>
  </si>
  <si>
    <t>"IfcGeometricSet"</t>
  </si>
  <si>
    <t>"IfcMapConversion"</t>
  </si>
  <si>
    <t>"IfcCartesianPointList"</t>
  </si>
  <si>
    <t>"IfcCartesianPointList2D"</t>
  </si>
  <si>
    <t>"IfcCartesianPointList3D"</t>
  </si>
  <si>
    <t>"IfcCoordinateOperation"</t>
  </si>
  <si>
    <t>"IfcCartesianTransformationOperator"</t>
  </si>
  <si>
    <t>"IfcCartesianTransformationOperator2D"</t>
  </si>
  <si>
    <t>"IfcCartesianTransformationOperator2DnonUniform"</t>
  </si>
  <si>
    <t>"IfcCartesianTransformationOperator3D"</t>
  </si>
  <si>
    <t>"IfcCartesianTransformationOperator3DnonUniform"</t>
  </si>
  <si>
    <t>"IfcProjectedCRS"</t>
  </si>
  <si>
    <t>"IfcCsgPrimitive3D"</t>
  </si>
  <si>
    <t>"IfcCsgSolid"</t>
  </si>
  <si>
    <t>"IfcRightCircularCylinder"</t>
  </si>
  <si>
    <t>"IfcCurve"</t>
  </si>
  <si>
    <t>"IfcTrimmedCurve"</t>
  </si>
  <si>
    <t>"IfcBSplineCurve"</t>
  </si>
  <si>
    <t>"IfcBSplineCurveWithKnots"</t>
  </si>
  <si>
    <t>"IfcCompositeCurve"</t>
  </si>
  <si>
    <t>"IfcCompositeCurveOnSurface"</t>
  </si>
  <si>
    <t>"IfcEdgeCurve"</t>
  </si>
  <si>
    <t>"IfcBoundaryCurve"</t>
  </si>
  <si>
    <t>"IfcOuterBoundaryCurve"</t>
  </si>
  <si>
    <t>"IfcIntersectionCurve"</t>
  </si>
  <si>
    <t>"IfcSeamCurve"</t>
  </si>
  <si>
    <t>"IfcSurfaceCurve"</t>
  </si>
  <si>
    <t>"IfcOffsetCurve2D"</t>
  </si>
  <si>
    <t>"IfcOffsetCurve3D"</t>
  </si>
  <si>
    <t>"IfcBoundedCurve"</t>
  </si>
  <si>
    <t>"IfcPcurve"</t>
  </si>
  <si>
    <t>"IfcIndexedPolyCurve"</t>
  </si>
  <si>
    <t>"IfcRationalBSplineCurveWithKnots"</t>
  </si>
  <si>
    <t>"IfcDirection"</t>
  </si>
  <si>
    <t>"IfcDimensionalExponents"</t>
  </si>
  <si>
    <t>"IfcPlanarExtent"</t>
  </si>
  <si>
    <t>"IfcFace"</t>
  </si>
  <si>
    <t>"IfcFaceBound"</t>
  </si>
  <si>
    <t>"IfcFaceOuterBound"</t>
  </si>
  <si>
    <t>"IfcIndexedPolygonalFace"</t>
  </si>
  <si>
    <t>"IfcIndexedPolygonalFaceWithVoids"</t>
  </si>
  <si>
    <t>"IfcAdvancedFace"</t>
  </si>
  <si>
    <t>"IfcSurfaceFeature"</t>
  </si>
  <si>
    <t>"IfcPreDefinedCurveFont"</t>
  </si>
  <si>
    <t>"IfcDraughtingPreDefinedCurveFont"</t>
  </si>
  <si>
    <t>"IfcSolidModel"</t>
  </si>
  <si>
    <t>"IfcRectangularPyramid"</t>
  </si>
  <si>
    <t>"IfcPlanarBox"</t>
  </si>
  <si>
    <t>"IfcPlane"</t>
  </si>
  <si>
    <t>"IfcCurveBoundedPlane"</t>
  </si>
  <si>
    <t>"IfcPolyline"</t>
  </si>
  <si>
    <t>"IfcPolyLoop"</t>
  </si>
  <si>
    <t>"IfcConnectionPointGeometry"</t>
  </si>
  <si>
    <t>"IfcConnectionPointEccentricity"</t>
  </si>
  <si>
    <t>"IfcPointOnCurve"</t>
  </si>
  <si>
    <t>"IfcPointOnSurface"</t>
  </si>
  <si>
    <t>"IfcVertexPoint"</t>
  </si>
  <si>
    <t>"IfcPoint"</t>
  </si>
  <si>
    <t>"IfcPlacement"</t>
  </si>
  <si>
    <t>"IfcAxis1Placement"</t>
  </si>
  <si>
    <t>"IfcAxis2Placement2D"</t>
  </si>
  <si>
    <t>"IfcAxis2Placement3D"</t>
  </si>
  <si>
    <t>"IfcObjectPlacement"</t>
  </si>
  <si>
    <t>"IfcLocalPlacement"</t>
  </si>
  <si>
    <t>"IfcCircle"</t>
  </si>
  <si>
    <t>"IfcConic"</t>
  </si>
  <si>
    <t>"IfcEllipse"</t>
  </si>
  <si>
    <t>"IfcRightCircularCone"</t>
  </si>
  <si>
    <t>"IfcSphere"</t>
  </si>
  <si>
    <t>"IfcLine"</t>
  </si>
  <si>
    <t>"IfcCartesianPoint"</t>
  </si>
  <si>
    <t>"IfcConnectionGeometry"</t>
  </si>
  <si>
    <t>"IfcConnectionCurveGeometry"</t>
  </si>
  <si>
    <t>"IfcCompositeCurveSegment"</t>
  </si>
  <si>
    <t>"IfcReparametrisedCompositeCurveSegment"</t>
  </si>
  <si>
    <t>"IfcBoxedHalfSpace"</t>
  </si>
  <si>
    <t>"IfcPolygonalBoundedHalfSpace"</t>
  </si>
  <si>
    <t>"IfcHalfSpaceSolid"</t>
  </si>
  <si>
    <t>"IfcSweptDiskSolid"</t>
  </si>
  <si>
    <t>"IfcSweptDiskSolidPolygonal"</t>
  </si>
  <si>
    <t>"IfcGeometricRepresentationSubContext"</t>
  </si>
  <si>
    <t>"IfcSubedge"</t>
  </si>
  <si>
    <t>"IfcFeatureElementSubtraction"</t>
  </si>
  <si>
    <t>"IfcSurface"</t>
  </si>
  <si>
    <t>"IfcBSplineSurface"</t>
  </si>
  <si>
    <t>"IfcBSplineSurfaceWithKnots"</t>
  </si>
  <si>
    <t>"IfcRationalBSplineSurfaceWithKnots"</t>
  </si>
  <si>
    <t>"IfcCylindricalSurface"</t>
  </si>
  <si>
    <t>"IfcSurfaceOfLinearExtrusion"</t>
  </si>
  <si>
    <t>"IfcFaceSurface"</t>
  </si>
  <si>
    <t>"IfcSurfaceOfRevolution"</t>
  </si>
  <si>
    <t>"IfcSweptSurface"</t>
  </si>
  <si>
    <t>"IfcElementarySurface"</t>
  </si>
  <si>
    <t>"IfcSphericalSurface"</t>
  </si>
  <si>
    <t>"IfcBoundedSurface"</t>
  </si>
  <si>
    <t>"IfcCurveBoundedSurface"</t>
  </si>
  <si>
    <t>"IfcRectangularTrimmedSurface"</t>
  </si>
  <si>
    <t>"IfcSurfaceCurveSweptAreaSolid"</t>
  </si>
  <si>
    <t>"IfcToroidalSurface"</t>
  </si>
  <si>
    <t>"IfcConnectionSurfaceGeometry"</t>
  </si>
  <si>
    <t>"IfcTextureCoordinate"</t>
  </si>
  <si>
    <t>"IfcBlobTexture"</t>
  </si>
  <si>
    <t>"IfcImageTexture"</t>
  </si>
  <si>
    <t>"IfcPixelTexture"</t>
  </si>
  <si>
    <t>"IfcSurfaceTexture"</t>
  </si>
  <si>
    <t>"IfcTextureCoordinateGenerator"</t>
  </si>
  <si>
    <t>"IfcTextureMap"</t>
  </si>
  <si>
    <t>"IfcIndexedTriangleTextureMap"</t>
  </si>
  <si>
    <t>"IfcIndexedTextureMap"</t>
  </si>
  <si>
    <t>"IfcTextureVertex"</t>
  </si>
  <si>
    <t>"IfcTextureVertexList"</t>
  </si>
  <si>
    <t>"IfcVertex"</t>
  </si>
  <si>
    <t>"IfcVector"</t>
  </si>
  <si>
    <t>"IfcQuantityVolume"</t>
  </si>
  <si>
    <t>"IfcConnectionVolumeGeometry"</t>
  </si>
  <si>
    <t>"IfcElectricGenerator"</t>
  </si>
  <si>
    <t>"IfcElectricGeneratorType"</t>
  </si>
  <si>
    <t>"IfcStructuralResultGroup"</t>
  </si>
  <si>
    <t>"IfcGroup"</t>
  </si>
  <si>
    <t>"IfcLibraryInformation"</t>
  </si>
  <si>
    <t>"IfcDocumentInformation"</t>
  </si>
  <si>
    <t>"IfcExternalInformation"</t>
  </si>
  <si>
    <t>"IfcFlowInstrument"</t>
  </si>
  <si>
    <t>"IfcFlowInstrumentType"</t>
  </si>
  <si>
    <t>"IfcInterceptor"</t>
  </si>
  <si>
    <t>"IfcInterceptorType"</t>
  </si>
  <si>
    <t>"IfcInventory"</t>
  </si>
  <si>
    <t>"IfcVibrationIsolator"</t>
  </si>
  <si>
    <t>"IfcVibrationIsolatorType"</t>
  </si>
  <si>
    <t>"IfcPresentationItem"</t>
  </si>
  <si>
    <t>"IfcCostItem"</t>
  </si>
  <si>
    <t>"IfcStyledItem"</t>
  </si>
  <si>
    <t>"IfcGeometricRepresentationItem"</t>
  </si>
  <si>
    <t>"IfcRepresentationItem"</t>
  </si>
  <si>
    <t>"IfcTopologicalRepresentationItem"</t>
  </si>
  <si>
    <t>"IfcStructuralItem"</t>
  </si>
  <si>
    <t>"IfcMappedItem"</t>
  </si>
  <si>
    <t>"IfcPreDefinedItem"</t>
  </si>
  <si>
    <t>"IfcTessellatedItem"</t>
  </si>
  <si>
    <t>"IfcWindow"</t>
  </si>
  <si>
    <t>"IfcWindowPanelProperties"</t>
  </si>
  <si>
    <t>"IfcWindowLiningProperties"</t>
  </si>
  <si>
    <t>"IfcWindowType"</t>
  </si>
  <si>
    <t>"IfcSlab"</t>
  </si>
  <si>
    <t>"IfcSlabElementedCase"</t>
  </si>
  <si>
    <t>"IfcSlabStandardCase"</t>
  </si>
  <si>
    <t>"IfcSlabType"</t>
  </si>
  <si>
    <t>"IfcLamp"</t>
  </si>
  <si>
    <t>"IfcLampType"</t>
  </si>
  <si>
    <t>"IfcLightFixture"</t>
  </si>
  <si>
    <t>"IfcLightFixtureType"</t>
  </si>
  <si>
    <t>"IfcLightDistributionData"</t>
  </si>
  <si>
    <t>"IfcLightIntensityDistribution"</t>
  </si>
  <si>
    <t>"IfcEngine"</t>
  </si>
  <si>
    <t>"IfcEngineType"</t>
  </si>
  <si>
    <t>"IfcMaterial"</t>
  </si>
  <si>
    <t>"IfcMaterialLayer"</t>
  </si>
  <si>
    <t>"IfcMaterialLayerWithOffsets"</t>
  </si>
  <si>
    <t>"IfcMaterialLayerSetUsage"</t>
  </si>
  <si>
    <t>"IfcMaterialLayerSet"</t>
  </si>
  <si>
    <t>"IfcMaterialConstituentSet"</t>
  </si>
  <si>
    <t>"IfcMaterialConstituent"</t>
  </si>
  <si>
    <t>"IfcMaterialDefinition"</t>
  </si>
  <si>
    <t>"IfcMaterialUsageDefinition"</t>
  </si>
  <si>
    <t>"IfcMaterialList"</t>
  </si>
  <si>
    <t>"IfcMaterialProfile"</t>
  </si>
  <si>
    <t>"IfcMaterialProfileSet"</t>
  </si>
  <si>
    <t>"IfcMaterialProfileWithOffsets"</t>
  </si>
  <si>
    <t>"IfcMaterialProfileSetUsage"</t>
  </si>
  <si>
    <t>"IfcMaterialProfileSetUsageTapering"</t>
  </si>
  <si>
    <t>"IfcMaterialProperties"</t>
  </si>
  <si>
    <t>"IfcConstructionMaterialResource"</t>
  </si>
  <si>
    <t>"IfcMaterialDefinitionRepresentation"</t>
  </si>
  <si>
    <t>"IfcMeasureWithUnit"</t>
  </si>
  <si>
    <t>"IfcFlowMeter"</t>
  </si>
  <si>
    <t>"IfcFlowMeterType"</t>
  </si>
  <si>
    <t>"IfcStructuralMember"</t>
  </si>
  <si>
    <t>"IfcMember"</t>
  </si>
  <si>
    <t>"IfcMemberType"</t>
  </si>
  <si>
    <t>"IfcSystemFurnitureElement"</t>
  </si>
  <si>
    <t>"IfcSystemFurnitureElementType"</t>
  </si>
  <si>
    <t>"IfcFurnishingElement"</t>
  </si>
  <si>
    <t>"IfcFurnishingElementType"</t>
  </si>
  <si>
    <t>"IfcPropertySetTemplate"</t>
  </si>
  <si>
    <t>"IfcShapeModel"</t>
  </si>
  <si>
    <t>"IfcPropertyTemplate"</t>
  </si>
  <si>
    <t>"IfcShellBasedSurfaceModel"</t>
  </si>
  <si>
    <t>"IfcFaceBasedSurfaceModel"</t>
  </si>
  <si>
    <t>"IfcSimplePropertyTemplate"</t>
  </si>
  <si>
    <t>"IfcElementAssembly"</t>
  </si>
  <si>
    <t>"IfcElementAssemblyType"</t>
  </si>
  <si>
    <t>"IfcElectricMotor"</t>
  </si>
  <si>
    <t>"IfcElectricMotorType"</t>
  </si>
  <si>
    <t>"IfcFurniture"</t>
  </si>
  <si>
    <t>"IfcFurnitureType"</t>
  </si>
  <si>
    <t>"IfcObjective"</t>
  </si>
  <si>
    <t>"IfcObject"</t>
  </si>
  <si>
    <t>"IfcTypeObject"</t>
  </si>
  <si>
    <t>"IfcOccupant"</t>
  </si>
  <si>
    <t>"IfcProjectOrder"</t>
  </si>
  <si>
    <t>"IfcOrganization"</t>
  </si>
  <si>
    <t>"IfcRecurrencePattern"</t>
  </si>
  <si>
    <t>"IfcWallElementedCase"</t>
  </si>
  <si>
    <t>"IfcCurtainWall"</t>
  </si>
  <si>
    <t>"IfcCurtainWallType"</t>
  </si>
  <si>
    <t>"IfcWall"</t>
  </si>
  <si>
    <t>"IfcWallType"</t>
  </si>
  <si>
    <t>"IfcBuildingElementPart"</t>
  </si>
  <si>
    <t>"IfcBuildingElementPartType"</t>
  </si>
  <si>
    <t>"IfcPermit"</t>
  </si>
  <si>
    <t>"IfcQuantityWeight"</t>
  </si>
  <si>
    <t>"IfcPerson"</t>
  </si>
  <si>
    <t>"IfcPersonAndOrganization"</t>
  </si>
  <si>
    <t>"IfcPlate"</t>
  </si>
  <si>
    <t>"IfcPlateType"</t>
  </si>
  <si>
    <t>"IfcLightSourceSpot"</t>
  </si>
  <si>
    <t>"IfcDoor"</t>
  </si>
  <si>
    <t>"IfcDoorStandardCase"</t>
  </si>
  <si>
    <t>"IfcDoorLiningProperties"</t>
  </si>
  <si>
    <t>"IfcDoorPanelProperties"</t>
  </si>
  <si>
    <t>"IfcDoorType"</t>
  </si>
  <si>
    <t>"IfcProcedure"</t>
  </si>
  <si>
    <t>"IfcProcedureType"</t>
  </si>
  <si>
    <t>"IfcProcess"</t>
  </si>
  <si>
    <t>"IfcTypeProcess"</t>
  </si>
  <si>
    <t>"IfcProduct"</t>
  </si>
  <si>
    <t>"IfcTypeProduct"</t>
  </si>
  <si>
    <t>"IfcProject"</t>
  </si>
  <si>
    <t>"IfcProfileProperties"</t>
  </si>
  <si>
    <t>"IfcProperty"</t>
  </si>
  <si>
    <t>"IfcSimpleProperty"</t>
  </si>
  <si>
    <t>"IfcPermeableCoveringProperties"</t>
  </si>
  <si>
    <t>"IfcSectionProperties"</t>
  </si>
  <si>
    <t>"IfcExtendedProperties"</t>
  </si>
  <si>
    <t>"IfcPreDefinedProperties"</t>
  </si>
  <si>
    <t>"IfcProxy"</t>
  </si>
  <si>
    <t>"IfcBuildingElementProxy"</t>
  </si>
  <si>
    <t>"IfcBuildingElementProxyType"</t>
  </si>
  <si>
    <t>"IfcElectricDistributionBoard"</t>
  </si>
  <si>
    <t>"IfcElectricDistributionBoardType"</t>
  </si>
  <si>
    <t>"IfcPhysicalQuantity"</t>
  </si>
  <si>
    <t>"IfcPhysicalSimpleQuantity"</t>
  </si>
  <si>
    <t>"IfcBurner"</t>
  </si>
  <si>
    <t>"IfcBurnerType"</t>
  </si>
  <si>
    <t>"IfcRoot"</t>
  </si>
  <si>
    <t>"IfcPropertyAbstraction"</t>
  </si>
  <si>
    <t>"IfcElement"</t>
  </si>
  <si>
    <t>"IfcElementType"</t>
  </si>
  <si>
    <t>"IfcAirToAirHeatRecovery"</t>
  </si>
  <si>
    <t>"IfcAirToAirHeatRecoveryType"</t>
  </si>
  <si>
    <t>"IfcResource"</t>
  </si>
  <si>
    <t>"IfcVoidingFeature"</t>
  </si>
  <si>
    <t>"IfcConstructionResourceType"</t>
  </si>
  <si>
    <t>"IfcConstructionEquipmentResourceType"</t>
  </si>
  <si>
    <t>"IfcCrewResource"</t>
  </si>
  <si>
    <t>"IfcCrewResourceType"</t>
  </si>
  <si>
    <t>"IfcLaborResourceType"</t>
  </si>
  <si>
    <t>"IfcConstructionProductResourceType"</t>
  </si>
  <si>
    <t>"IfcConstructionProductResource"</t>
  </si>
  <si>
    <t>"IfcSubContractResource"</t>
  </si>
  <si>
    <t>"IfcSubContractResourceType"</t>
  </si>
  <si>
    <t>"IfcConstructionMaterialResourceType"</t>
  </si>
  <si>
    <t>"IfcTypeResource"</t>
  </si>
  <si>
    <t>"IfcConstructionResource"</t>
  </si>
  <si>
    <t>"IfcConstructionEquipmentResource"</t>
  </si>
  <si>
    <t>"IfcLaborResource"</t>
  </si>
  <si>
    <t>"IfcReference"</t>
  </si>
  <si>
    <t>"IfcLibraryReference"</t>
  </si>
  <si>
    <t>"IfcClassificationReference"</t>
  </si>
  <si>
    <t>"IfcDocumentReference"</t>
  </si>
  <si>
    <t>"IfcExternalReference"</t>
  </si>
  <si>
    <t>"IfcSurfaceReinforcementArea"</t>
  </si>
  <si>
    <t>"IfcReinforcingBar"</t>
  </si>
  <si>
    <t>"IfcReinforcementDefinitionProperties"</t>
  </si>
  <si>
    <t>"IfcReinforcingElement"</t>
  </si>
  <si>
    <t>"IfcReinforcingMesh"</t>
  </si>
  <si>
    <t>"IfcReinforcementBarProperties"</t>
  </si>
  <si>
    <t>"IfcSectionReinforcementProperties"</t>
  </si>
  <si>
    <t>"IfcReinforcingBarType"</t>
  </si>
  <si>
    <t>"IfcReinforcingElementType"</t>
  </si>
  <si>
    <t>"IfcReinforcingMeshType"</t>
  </si>
  <si>
    <t>"IfcRelAssociatesApproval"</t>
  </si>
  <si>
    <t>"IfcApprovalRelationship"</t>
  </si>
  <si>
    <t>"IfcResourceApprovalRelationship"</t>
  </si>
  <si>
    <t>"IfcRelAssigns"</t>
  </si>
  <si>
    <t>"IfcRelAssociatesLibrary"</t>
  </si>
  <si>
    <t>"IfcCurrencyRelationship"</t>
  </si>
  <si>
    <t>"IfcMaterialClassificationRelationship"</t>
  </si>
  <si>
    <t>"IfcRelAssociatesClassification"</t>
  </si>
  <si>
    <t>"IfcRelConnectsPorts"</t>
  </si>
  <si>
    <t>"IfcRelConnectsPortToElement"</t>
  </si>
  <si>
    <t>"IfcRelConnectsStructuralActivity"</t>
  </si>
  <si>
    <t>"IfcRelConnectsWithRealizingElements"</t>
  </si>
  <si>
    <t>"IfcRelConnectsWithEccentricity"</t>
  </si>
  <si>
    <t>"IfcRelConnectsStructuralMember"</t>
  </si>
  <si>
    <t>"IfcRelFlowControlElements"</t>
  </si>
  <si>
    <t>"IfcRelDefinesByObject"</t>
  </si>
  <si>
    <t>"IfcRelDefinesByProperties"</t>
  </si>
  <si>
    <t>"IfcRelDefinesByTemplate"</t>
  </si>
  <si>
    <t>"IfcRelDefinesByType"</t>
  </si>
  <si>
    <t>"IfcDocumentInformationRelationship"</t>
  </si>
  <si>
    <t>"IfcPropertyDependencyRelationship"</t>
  </si>
  <si>
    <t>"IfcRelAssociatesDocument"</t>
  </si>
  <si>
    <t>"IfcRelAggregates"</t>
  </si>
  <si>
    <t>"IfcRelNests"</t>
  </si>
  <si>
    <t>"IfcRelAssociates"</t>
  </si>
  <si>
    <t>"IfcRelDefines"</t>
  </si>
  <si>
    <t>"IfcRelReferencedInSpatialStructure"</t>
  </si>
  <si>
    <t>"IfcRelContainedInSpatialStructure"</t>
  </si>
  <si>
    <t>"IfcRelInterferesElements"</t>
  </si>
  <si>
    <t>"IfcRelSpaceBoundary"</t>
  </si>
  <si>
    <t>"IfcRelSpaceBoundary1stLevel"</t>
  </si>
  <si>
    <t>"IfcRelSpaceBoundary2ndLevel"</t>
  </si>
  <si>
    <t>"IfcExternalReferenceRelationship"</t>
  </si>
  <si>
    <t>"IfcRelDecomposes"</t>
  </si>
  <si>
    <t>"IfcRelFillsElement"</t>
  </si>
  <si>
    <t>"IfcRelProjectsElement"</t>
  </si>
  <si>
    <t>"IfcRelAssociatesConstraint"</t>
  </si>
  <si>
    <t>"IfcResourceConstraintRelationship"</t>
  </si>
  <si>
    <t>"IfcRelSequence"</t>
  </si>
  <si>
    <t>"IfcRelServicesBuildings"</t>
  </si>
  <si>
    <t>"IfcRelVoidsElement"</t>
  </si>
  <si>
    <t>"IfcRelationship"</t>
  </si>
  <si>
    <t>"IfcMaterialRelationship"</t>
  </si>
  <si>
    <t>"IfcOrganizationRelationship"</t>
  </si>
  <si>
    <t>"IfcRelCoversBldgElements"</t>
  </si>
  <si>
    <t>"IfcRelCoversSpaces"</t>
  </si>
  <si>
    <t>"IfcRelAssignsToControl"</t>
  </si>
  <si>
    <t>"IfcRelAssignsToGroup"</t>
  </si>
  <si>
    <t>"IfcRelAssignsToGroupByFactor"</t>
  </si>
  <si>
    <t>"IfcRelAssociatesMaterial"</t>
  </si>
  <si>
    <t>"IfcRelAssignsToProcess"</t>
  </si>
  <si>
    <t>"IfcRelAssignsToProduct"</t>
  </si>
  <si>
    <t>"IfcRelAssignsToResource"</t>
  </si>
  <si>
    <t>"IfcRelConnects"</t>
  </si>
  <si>
    <t>"IfcRelConnectsElements"</t>
  </si>
  <si>
    <t>"IfcRelConnectsPathElements"</t>
  </si>
  <si>
    <t>"IfcRelDeclares"</t>
  </si>
  <si>
    <t>"IfcRelAssignsToActor"</t>
  </si>
  <si>
    <t>"IfcResourceLevelRelationship"</t>
  </si>
  <si>
    <t>"IfcRepresentation"</t>
  </si>
  <si>
    <t>"IfcShapeRepresentation"</t>
  </si>
  <si>
    <t>"IfcProductRepresentation"</t>
  </si>
  <si>
    <t>"IfcTopologyRepresentation"</t>
  </si>
  <si>
    <t>"IfcEvaporativeCooler"</t>
  </si>
  <si>
    <t>"IfcEvaporativeCoolerType"</t>
  </si>
  <si>
    <t>"IfcConstraint"</t>
  </si>
  <si>
    <t>"IfcBooleanResult"</t>
  </si>
  <si>
    <t>"IfcBooleanClippingResult"</t>
  </si>
  <si>
    <t>"IfcActorRole"</t>
  </si>
  <si>
    <t>"IfcCableSegment"</t>
  </si>
  <si>
    <t>"IfcCableSegmentType"</t>
  </si>
  <si>
    <t>"IfcFlowSegment"</t>
  </si>
  <si>
    <t>"IfcFlowSegmentType"</t>
  </si>
  <si>
    <t>"IfcDuctSegment"</t>
  </si>
  <si>
    <t>"IfcDuctSegmentType"</t>
  </si>
  <si>
    <t>"IfcCableCarrierSegment"</t>
  </si>
  <si>
    <t>"IfcCableCarrierSegmentType"</t>
  </si>
  <si>
    <t>"IfcPipeSegment"</t>
  </si>
  <si>
    <t>"IfcPipeSegmentType"</t>
  </si>
  <si>
    <t>"IfcSensor"</t>
  </si>
  <si>
    <t>"IfcSensorType"</t>
  </si>
  <si>
    <t>"IfcCoil"</t>
  </si>
  <si>
    <t>"IfcCoilType"</t>
  </si>
  <si>
    <t>"IfcDuctSilencer"</t>
  </si>
  <si>
    <t>"IfcDuctSilencerType"</t>
  </si>
  <si>
    <t>"IfcBuildingSystem"</t>
  </si>
  <si>
    <t>"IfcCoordinateReferenceSystem"</t>
  </si>
  <si>
    <t>"IfcDistributionSystem"</t>
  </si>
  <si>
    <t>"IfcSystem"</t>
  </si>
  <si>
    <t>"IfcActionRequest"</t>
  </si>
  <si>
    <t>"IfcTableRow"</t>
  </si>
  <si>
    <t>"IfcTableColumn"</t>
  </si>
  <si>
    <t>"IfcCostSchedule"</t>
  </si>
  <si>
    <t>"IfcTable"</t>
  </si>
  <si>
    <t>"IfcTank"</t>
  </si>
  <si>
    <t>"IfcTankType"</t>
  </si>
  <si>
    <t>"IfcRoof"</t>
  </si>
  <si>
    <t>"IfcRoofType"</t>
  </si>
  <si>
    <t>"IfcLagTime"</t>
  </si>
  <si>
    <t>"IfcResourceTime"</t>
  </si>
  <si>
    <t>"IfcWorkTime"</t>
  </si>
  <si>
    <t>"IfcEvent"</t>
  </si>
  <si>
    <t>"IfcEventTime"</t>
  </si>
  <si>
    <t>"IfcEventType"</t>
  </si>
  <si>
    <t>"IfcPerformanceHistory"</t>
  </si>
  <si>
    <t>"IfcOwnerHistory"</t>
  </si>
  <si>
    <t>"IfcWorkSchedule"</t>
  </si>
  <si>
    <t>"IfcSchedulingTime"</t>
  </si>
  <si>
    <t>"IfcTimePeriod"</t>
  </si>
  <si>
    <t>"IfcQuantityTime"</t>
  </si>
  <si>
    <t>"IfcTimeSeries"</t>
  </si>
  <si>
    <t>"IfcIrregularTimeSeries"</t>
  </si>
  <si>
    <t>"IfcIrregularTimeSeriesValue"</t>
  </si>
  <si>
    <t>"IfcRegularTimeSeries"</t>
  </si>
  <si>
    <t>"IfcTimeSeriesValue"</t>
  </si>
  <si>
    <t>"IfcTask"</t>
  </si>
  <si>
    <t>"IfcWorkCalendar"</t>
  </si>
  <si>
    <t>"IfcTaskTime"</t>
  </si>
  <si>
    <t>"IfcWorkPlan"</t>
  </si>
  <si>
    <t>"IfcTaskTimeRecurring"</t>
  </si>
  <si>
    <t>"IfcTaskType"</t>
  </si>
  <si>
    <t>"IfcTendon"</t>
  </si>
  <si>
    <t>"IfcTendonType"</t>
  </si>
  <si>
    <t>"IfcAirTerminal"</t>
  </si>
  <si>
    <t>"IfcAirTerminalType"</t>
  </si>
  <si>
    <t>"IfcAirTerminalBox"</t>
  </si>
  <si>
    <t>"IfcAirTerminalBoxType"</t>
  </si>
  <si>
    <t>"IfcFireSuppressionTerminal"</t>
  </si>
  <si>
    <t>"IfcFireSuppressionTerminalType"</t>
  </si>
  <si>
    <t>"IfcFlowTerminal"</t>
  </si>
  <si>
    <t>"IfcFlowTerminalType"</t>
  </si>
  <si>
    <t>"IfcWasteTerminal"</t>
  </si>
  <si>
    <t>"IfcWasteTerminalType"</t>
  </si>
  <si>
    <t>"IfcStackTerminal"</t>
  </si>
  <si>
    <t>"IfcStackTerminalType"</t>
  </si>
  <si>
    <t>"IfcSanitaryTerminal"</t>
  </si>
  <si>
    <t>"IfcSanitaryTerminalType"</t>
  </si>
  <si>
    <t>"IfcSite"</t>
  </si>
  <si>
    <t>"IfcTextLiteral"</t>
  </si>
  <si>
    <t>"IfcTextLiteralWithExtent"</t>
  </si>
  <si>
    <t>"IfcOutlet"</t>
  </si>
  <si>
    <t>"IfcOutletType"</t>
  </si>
  <si>
    <t>"IfcPath"</t>
  </si>
  <si>
    <t>"IfcLoop"</t>
  </si>
  <si>
    <t>"IfcEdgeLoop"</t>
  </si>
  <si>
    <t>"IfcVertexLoop"</t>
  </si>
  <si>
    <t>"IfcCoolingTower"</t>
  </si>
  <si>
    <t>"IfcCoolingTowerType"</t>
  </si>
  <si>
    <t>"IfcTransformer"</t>
  </si>
  <si>
    <t>"IfcTransformerType"</t>
  </si>
  <si>
    <t>"IfcHeatExchanger"</t>
  </si>
  <si>
    <t>"IfcHeatExchangerType"</t>
  </si>
  <si>
    <t>"IfcHumidifier"</t>
  </si>
  <si>
    <t>"IfcHumidifierType"</t>
  </si>
  <si>
    <t>"IfcConversionBasedUnit"</t>
  </si>
  <si>
    <t>"IfcConversionBasedUnitWithOffset"</t>
  </si>
  <si>
    <t>"IfcProtectiveDeviceTrippingUnit"</t>
  </si>
  <si>
    <t>"IfcProtectiveDeviceTrippingUnitType"</t>
  </si>
  <si>
    <t>"IfcSIUnit"</t>
  </si>
  <si>
    <t>"IfcContextDependentUnit"</t>
  </si>
  <si>
    <t>"IfcDerivedUnit"</t>
  </si>
  <si>
    <t>"IfcDerivedUnitElement"</t>
  </si>
  <si>
    <t>"IfcUnitAssignment"</t>
  </si>
  <si>
    <t>"IfcMetric"</t>
  </si>
  <si>
    <t>"IfcMonetaryUnit"</t>
  </si>
  <si>
    <t>"IfcNamedUnit"</t>
  </si>
  <si>
    <t>"IfcAppliedValue"</t>
  </si>
  <si>
    <t>"IfcQuantityArea"</t>
  </si>
  <si>
    <t>"IfcQuantityLength"</t>
  </si>
  <si>
    <t>"IfcCostValue"</t>
  </si>
  <si>
    <t>"IfcPropertyBoundedValue"</t>
  </si>
  <si>
    <t>"IfcPropertyReferenceValue"</t>
  </si>
  <si>
    <t>"IfcPropertyEnumeratedValue"</t>
  </si>
  <si>
    <t>"IfcPropertyListValue"</t>
  </si>
  <si>
    <t>"IfcPropertySingleValue"</t>
  </si>
  <si>
    <t>"IfcPropertyTableValue"</t>
  </si>
  <si>
    <t>"IfcValve"</t>
  </si>
  <si>
    <t>"IfcValveType"</t>
  </si>
  <si>
    <t>"IfcFan"</t>
  </si>
  <si>
    <t>"IfcFanType"</t>
  </si>
  <si>
    <t>"IfcCooledBeam"</t>
  </si>
  <si>
    <t>"IfcCooledBeamType"</t>
  </si>
  <si>
    <t>"IfcBeam"</t>
  </si>
  <si>
    <t>"IfcBeamType"</t>
  </si>
  <si>
    <t>"IfcZone"</t>
  </si>
  <si>
    <t>"IfcSpatialZone"</t>
  </si>
  <si>
    <t>"IfcSpatialZoneType"</t>
  </si>
  <si>
    <t>"IfcMakeArrayOfArray"</t>
  </si>
  <si>
    <t>"IfcListToArray"</t>
  </si>
  <si>
    <t>"IfcCorrectLocalPlacement"</t>
  </si>
  <si>
    <t>"IfcCorrectObjectAssignment"</t>
  </si>
  <si>
    <t>"IfcCorrectUnitAssignment"</t>
  </si>
  <si>
    <t>"IfcPathHeadToTail"</t>
  </si>
  <si>
    <t>"IfcLoopHeadToTail"</t>
  </si>
  <si>
    <t>"IfcConvertDirectionInto2D"</t>
  </si>
  <si>
    <t>"IfcCorrectDimensions"</t>
  </si>
  <si>
    <t>"IfcCurveDim"</t>
  </si>
  <si>
    <t>"IfcDeriveDimensionalExponents"</t>
  </si>
  <si>
    <t>"IfcPointListDim"</t>
  </si>
  <si>
    <t>"IfcDimensionsForSiUnit"</t>
  </si>
  <si>
    <t>"IfcBuildAxes"</t>
  </si>
  <si>
    <t>"IfcBuild2Axes"</t>
  </si>
  <si>
    <t>"IfcSameAxis2Placement"</t>
  </si>
  <si>
    <t>"IfcFirstProjAxis"</t>
  </si>
  <si>
    <t>"IfcSecondProjAxis"</t>
  </si>
  <si>
    <t>"IfcBooleanChoose"</t>
  </si>
  <si>
    <t>"IfcCorrectFillAreaStyle"</t>
  </si>
  <si>
    <t>"IfcMlsTotalThickness"</t>
  </si>
  <si>
    <t>"IfcSameDirection"</t>
  </si>
  <si>
    <t>"IfcSameValidPrecision"</t>
  </si>
  <si>
    <t>"IfcSameCartesianPoint"</t>
  </si>
  <si>
    <t>"IfcSameValue"</t>
  </si>
  <si>
    <t>"IfcUniquePropertySetNames"</t>
  </si>
  <si>
    <t>"IfcUniqueDefinitionNames"</t>
  </si>
  <si>
    <t>"IfcUniquePropertyTemplateNames"</t>
  </si>
  <si>
    <t>"IfcUniquePropertyName"</t>
  </si>
  <si>
    <t>"IfcUniqueQuantityNames"</t>
  </si>
  <si>
    <t>"IfcGetBasisSurface"</t>
  </si>
  <si>
    <t>"IfcTaperedSweptAreaProfiles"</t>
  </si>
  <si>
    <t>"IfcShapeRepresentationTypes"</t>
  </si>
  <si>
    <t>"IfcTopologyRepresentationTypes"</t>
  </si>
  <si>
    <t>"IfcConstraintsParamBSpline"</t>
  </si>
  <si>
    <t>"IfcAssociatedSurface"</t>
  </si>
  <si>
    <t>"IfcCurveWeightsPositive"</t>
  </si>
  <si>
    <t>"IfcSurfaceWeightsPositive"</t>
  </si>
  <si>
    <t>"IfcConsecutiveSegments"</t>
  </si>
  <si>
    <t>"IfcOrthogonalComplement"</t>
  </si>
  <si>
    <t>"IfcVectorDifference"</t>
  </si>
  <si>
    <t>"IfcBaseAxis"</t>
  </si>
  <si>
    <t>"IfcNormalise"</t>
  </si>
  <si>
    <t>"IfcDotProduct"</t>
  </si>
  <si>
    <t>"IfcCrossProduct"</t>
  </si>
  <si>
    <t>"IfcVectorSum"</t>
  </si>
  <si>
    <t>"IfcScalarTimesVector"</t>
  </si>
  <si>
    <t>"IfcRepresentationContextSameWCS"</t>
  </si>
  <si>
    <t>"IfcSingleProjectInstance"</t>
  </si>
  <si>
    <t>"Qto_OpeningElementBaseQuantities"</t>
  </si>
  <si>
    <t>"Qto_CoveringBaseQuantities"</t>
  </si>
  <si>
    <t>"Qto_AlarmBaseQuantities"</t>
  </si>
  <si>
    <t>"Qto_BuildingStoreyBaseQuantities"</t>
  </si>
  <si>
    <t>"Qto_AudioVisualApplianceBaseQuantities"</t>
  </si>
  <si>
    <t>"Qto_CommunicationsApplianceBaseQuantities"</t>
  </si>
  <si>
    <t>"Qto_SpaceHeaterBaseQuantities"</t>
  </si>
  <si>
    <t>"Qto_ActuatorBaseQuantities"</t>
  </si>
  <si>
    <t>"Qto_PumpBaseQuantities"</t>
  </si>
  <si>
    <t>"Qto_JunctionBoxBaseQuantities"</t>
  </si>
  <si>
    <t>"Qto_BoilerBaseQuantities"</t>
  </si>
  <si>
    <t>"Qto_DistributionChamberElementBaseQuantities"</t>
  </si>
  <si>
    <t>"Qto_ChimneyBaseQuantities"</t>
  </si>
  <si>
    <t>"Qto_ChillerBaseQuantities"</t>
  </si>
  <si>
    <t>"Qto_RailingBaseQuantities"</t>
  </si>
  <si>
    <t>"Qto_StairFlightBaseQuantities"</t>
  </si>
  <si>
    <t>"Qto_RampFlightBaseQuantities"</t>
  </si>
  <si>
    <t>"Qto_ColumnBaseQuantities"</t>
  </si>
  <si>
    <t>"Qto_CompressorBaseQuantities"</t>
  </si>
  <si>
    <t>"Qto_CondenserBaseQuantities"</t>
  </si>
  <si>
    <t>"Qto_CableFittingBaseQuantities"</t>
  </si>
  <si>
    <t>"Qto_DuctFittingBaseQuantities"</t>
  </si>
  <si>
    <t>"Qto_MotorConnectionBaseQuantities"</t>
  </si>
  <si>
    <t>"Qto_CableCarrierFittingBaseQuantities"</t>
  </si>
  <si>
    <t>"Qto_PipeFittingBaseQuantities"</t>
  </si>
  <si>
    <t>"Qto_BuildingBaseQuantities"</t>
  </si>
  <si>
    <t>"Qto_ControllerBaseQuantities"</t>
  </si>
  <si>
    <t>"Qto_ElectricTimeControlBaseQuantities"</t>
  </si>
  <si>
    <t>"Qto_DamperBaseQuantities"</t>
  </si>
  <si>
    <t>"Qto_ElectricFlowStorageDeviceBaseQuantities"</t>
  </si>
  <si>
    <t>"Qto_SwitchingDeviceBaseQuantities"</t>
  </si>
  <si>
    <t>"Qto_ProtectiveDeviceBaseQuantities"</t>
  </si>
  <si>
    <t>"Qto_ProtectiveDeviceTrippingUnitBaseQuantities"</t>
  </si>
  <si>
    <t>"Qto_SolarDeviceBaseQuantities"</t>
  </si>
  <si>
    <t>"Qto_ProjectionElementBaseQuantities"</t>
  </si>
  <si>
    <t>"Qto_ElectricApplianceBaseQuantities"</t>
  </si>
  <si>
    <t>"Qto_UnitaryEquipmentBaseQuantities"</t>
  </si>
  <si>
    <t>"Qto_UnitaryControlElementBaseQuantities"</t>
  </si>
  <si>
    <t>"Qto_SpaceBaseQuantities"</t>
  </si>
  <si>
    <t>"Qto_EvaporatorBaseQuantities"</t>
  </si>
  <si>
    <t>"Qto_TubeBundleBaseQuantities"</t>
  </si>
  <si>
    <t>"Qto_FilterBaseQuantities"</t>
  </si>
  <si>
    <t>"Qto_FootingBaseQuantities"</t>
  </si>
  <si>
    <t>"Qto_PileBaseQuantities"</t>
  </si>
  <si>
    <t>"Qto_ElectricGeneratorBaseQuantities"</t>
  </si>
  <si>
    <t>"Qto_FlowInstrumentBaseQuantities"</t>
  </si>
  <si>
    <t>"Qto_InterceptorBaseQuantities"</t>
  </si>
  <si>
    <t>"Qto_VibrationIsolatorBaseQuantities"</t>
  </si>
  <si>
    <t>"Qto_WindowBaseQuantities"</t>
  </si>
  <si>
    <t>"Qto_SlabBaseQuantities"</t>
  </si>
  <si>
    <t>"Qto_LampBaseQuantities"</t>
  </si>
  <si>
    <t>"Qto_LightFixtureBaseQuantities"</t>
  </si>
  <si>
    <t>"Qto_FlowMeterBaseQuantities"</t>
  </si>
  <si>
    <t>"Qto_MemberBaseQuantities"</t>
  </si>
  <si>
    <t>"Qto_ElectricMotorBaseQuantities"</t>
  </si>
  <si>
    <t>"Qto_WallBaseQuantities"</t>
  </si>
  <si>
    <t>"Qto_CurtainWallQuantities"</t>
  </si>
  <si>
    <t>"Qto_PlateBaseQuantities"</t>
  </si>
  <si>
    <t>"Qto_DoorBaseQuantities"</t>
  </si>
  <si>
    <t>"Qto_BuildingElementProxyQuantities"</t>
  </si>
  <si>
    <t>"Qto_ElectricDistributionBoardBaseQuantities"</t>
  </si>
  <si>
    <t>"Qto_BurnerBaseQuantities"</t>
  </si>
  <si>
    <t>"Qto_AirToAirHeatRecoveryBaseQuantities"</t>
  </si>
  <si>
    <t>"Qto_ConstructionEquipmentResourceBaseQuantities"</t>
  </si>
  <si>
    <t>"Qto_ConstructionMaterialResourceBaseQuantities"</t>
  </si>
  <si>
    <t>"Qto_LaborResourceBaseQuantities"</t>
  </si>
  <si>
    <t>"Qto_ReinforcingElementBaseQuantities"</t>
  </si>
  <si>
    <t>"Qto_EvaporativeCoolerBaseQuantities"</t>
  </si>
  <si>
    <t>"Qto_CableSegmentBaseQuantities"</t>
  </si>
  <si>
    <t>"Qto_DuctSegmentBaseQuantities"</t>
  </si>
  <si>
    <t>"Qto_CableCarrierSegmentBaseQuantities"</t>
  </si>
  <si>
    <t>"Qto_PipeSegmentBaseQuantities"</t>
  </si>
  <si>
    <t>"Qto_SensorBaseQuantities"</t>
  </si>
  <si>
    <t>"Qto_CoilBaseQuantities"</t>
  </si>
  <si>
    <t>"Qto_DuctSilencerBaseQuantities"</t>
  </si>
  <si>
    <t>"Qto_SiteBaseQuantities"</t>
  </si>
  <si>
    <t>"Qto_TankBaseQuantities"</t>
  </si>
  <si>
    <t>"Qto_RoofBaseQuantities"</t>
  </si>
  <si>
    <t>"Qto_AirTerminalBaseQuantities"</t>
  </si>
  <si>
    <t>"Qto_AirTerminalBoxTypeBaseQuantities"</t>
  </si>
  <si>
    <t>"Qto_FireSuppressionTerminalBaseQuantities"</t>
  </si>
  <si>
    <t>"Qto_WasteTerminalBaseQuantities"</t>
  </si>
  <si>
    <t>"Qto_StackTerminalBaseQuantities"</t>
  </si>
  <si>
    <t>"Qto_SanitaryTerminalBaseQuantities"</t>
  </si>
  <si>
    <t>"Qto_OutletBaseQuantities"</t>
  </si>
  <si>
    <t>"Qto_CoolingTowerBaseQuantities"</t>
  </si>
  <si>
    <t>"Qto_TransformerBaseQuantities"</t>
  </si>
  <si>
    <t>"Qto_HeatExchangerBaseQuantities"</t>
  </si>
  <si>
    <t>"Qto_HumidifierBaseQuantities"</t>
  </si>
  <si>
    <t>"Qto_ValveBaseQuantities"</t>
  </si>
  <si>
    <t>"Qto_FanBaseQuantities"</t>
  </si>
  <si>
    <t>"Qto_BeamBaseQuantities"</t>
  </si>
  <si>
    <t>"Qto_CooledBeamBaseQuantities"</t>
  </si>
  <si>
    <t>"Seleção de Ator ou Agente"</t>
  </si>
  <si>
    <t>"Seleção de Atribuição de Atividade Estrutural"</t>
  </si>
  <si>
    <t>"Seleção de Atribuição de Estilo"</t>
  </si>
  <si>
    <t>"Seleção de Biblioteca"</t>
  </si>
  <si>
    <t>"Seleção de Classificação Selecionada"</t>
  </si>
  <si>
    <t>"Seleção de Conjuntos Geométricos"</t>
  </si>
  <si>
    <t>"Seleção de Cor"</t>
  </si>
  <si>
    <t>"Seleção de Cor ou Fator"</t>
  </si>
  <si>
    <t>"Seleção de Corte"</t>
  </si>
  <si>
    <t>"Seleção de Csg Select"</t>
  </si>
  <si>
    <t>"Seleção de Curva na Superfície"</t>
  </si>
  <si>
    <t>"Seleção de Curva ou Curva de Aresta"</t>
  </si>
  <si>
    <t>"Seleção de Definição Select"</t>
  </si>
  <si>
    <t>"Seleção de Destaque Especular"</t>
  </si>
  <si>
    <t>"Seleção de Documento"</t>
  </si>
  <si>
    <t>"Seleção de Estilo de Superfície"</t>
  </si>
  <si>
    <t>"Seleção de Estilo de Preenchimento"</t>
  </si>
  <si>
    <t>"Seleção de Fonte de Curvas ou Fonte de Curvas Escalada"</t>
  </si>
  <si>
    <t>"Seleção de Fonte de Dados de Distribuição de Luz"</t>
  </si>
  <si>
    <t>"Seleção de Fonte de Texto"</t>
  </si>
  <si>
    <t>"Seleção de Limite de Ambiente ou Espacial"</t>
  </si>
  <si>
    <t>"Seleção de Índice de Segmentos"</t>
  </si>
  <si>
    <t>"Seleção de Item em Camadas"</t>
  </si>
  <si>
    <t>"Seleção de Material"</t>
  </si>
  <si>
    <t>"Seleção de Módulo de Reação de Subgrau rotacional"</t>
  </si>
  <si>
    <t>"Seleção de Módulo de Reação de Subgrau Translacional"</t>
  </si>
  <si>
    <t>"Seleção de Objeto de Recursos"</t>
  </si>
  <si>
    <t>"Seleção de Operando Booleano"</t>
  </si>
  <si>
    <t>"Seleção de Parâmetro de Flexão"</t>
  </si>
  <si>
    <t>"Seleção de Ponto ou ponto de vértice"</t>
  </si>
  <si>
    <t>"Seleção de Posicionamento no Eixo 2"</t>
  </si>
  <si>
    <t>"Seleção de Processos"</t>
  </si>
  <si>
    <t>"Seleção de Produto"</t>
  </si>
  <si>
    <t>"Seleção de Recursos"</t>
  </si>
  <si>
    <t>"Seleção de Referência de Classificação"</t>
  </si>
  <si>
    <t>"Seleção de Referência de Objeto"</t>
  </si>
  <si>
    <t>"Seleção de Rigidez para Deformação"</t>
  </si>
  <si>
    <t>"Seleção de Rigidez rotacional"</t>
  </si>
  <si>
    <t>"Seleção de Rigidez translacional"</t>
  </si>
  <si>
    <t>"Seleção de Estilo de Apresentação"</t>
  </si>
  <si>
    <t>"Seleção de Sistema de Referência de Coordenadas Select"</t>
  </si>
  <si>
    <t>"Seleção de Superfície"</t>
  </si>
  <si>
    <t>"Seleção de Superfície ou Sólido"</t>
  </si>
  <si>
    <t>"Seleção de Tamanho"</t>
  </si>
  <si>
    <t>"Seleção de Tempo ou Razão"</t>
  </si>
  <si>
    <t>"Seleção de Unidade"</t>
  </si>
  <si>
    <t>"Seleção de Valor"</t>
  </si>
  <si>
    <t>"Seleção de Valor Aplicado"</t>
  </si>
  <si>
    <t>"Seleção de Valor de Medida"</t>
  </si>
  <si>
    <t>"Seleção de Valor de Medida derivada"</t>
  </si>
  <si>
    <t>"Seleção de Valor Simples"</t>
  </si>
  <si>
    <t>"Seleção de Valor Vetorial ou Direcional"</t>
  </si>
  <si>
    <t>"Entidade de Abertura Padrão"</t>
  </si>
  <si>
    <t>"Entidade de Acabamento ou Revestimento"</t>
  </si>
  <si>
    <t>"Entidade de Acabamento ou Revestimento Tipificado"</t>
  </si>
  <si>
    <t>"Entidade de Acessórios Discretos"</t>
  </si>
  <si>
    <t>"Entidade de Acessórios Discretos Tipificado"</t>
  </si>
  <si>
    <t>"Entidade de Adição de Elementos de Característica"</t>
  </si>
  <si>
    <t>"Entidade de Alarme"</t>
  </si>
  <si>
    <t>"Entidade de Alarme Tipificado"</t>
  </si>
  <si>
    <t>"Entidade de Amortecedores ou Dampers"</t>
  </si>
  <si>
    <t>"Entidade de Amortecedores ou Dampers Tipificado"</t>
  </si>
  <si>
    <t>"Entidade de Análise Estrutural"</t>
  </si>
  <si>
    <t>"Entidade de Análise Estrutural Ação"</t>
  </si>
  <si>
    <t>"Entidade de Análise Estrutural Ação Estrutural"</t>
  </si>
  <si>
    <t>"Entidade de Análise Estrutural Ação Estrutural Curva"</t>
  </si>
  <si>
    <t>"Entidade de Análise Estrutural Ação Estrutural Linear"</t>
  </si>
  <si>
    <t>"Entidade de Análise Estrutural Ação Estrutural Pontual"</t>
  </si>
  <si>
    <t>"Entidade de Análise Estrutural Ação Estrutural Superficial"</t>
  </si>
  <si>
    <t>"Entidade de Análise Estrutural Ação Estrutural Superfícial"</t>
  </si>
  <si>
    <t>"Entidade de Análise Estrutural Carga Casos"</t>
  </si>
  <si>
    <t>"Entidade de Análise Estrutural Carga Configuração"</t>
  </si>
  <si>
    <t>"Entidade de Análise Estrutural Carga de Força Linear"</t>
  </si>
  <si>
    <t>"Entidade de Análise Estrutural Carga de Força Pontual"</t>
  </si>
  <si>
    <t>"Entidade de Análise Estrutural Carga de Força Pontual Deslocada"</t>
  </si>
  <si>
    <t>"Entidade de Análise Estrutural Carga de Força Pontual Deslocada com Distorção"</t>
  </si>
  <si>
    <t>"Entidade de Análise Estrutural Carga de Força Pontual Empenada"</t>
  </si>
  <si>
    <t>"Entidade de Análise Estrutural Carga de Força Superficial"</t>
  </si>
  <si>
    <t>"Entidade de Análise Estrutural Carga Estática"</t>
  </si>
  <si>
    <t>"Entidade de Análise Estrutural Carga Grupos"</t>
  </si>
  <si>
    <t>"Entidade de Análise Estrutural Carga ou Resultados"</t>
  </si>
  <si>
    <t>"Entidade de Análise Estrutural Condição de Borda"</t>
  </si>
  <si>
    <t>"Entidade de Análise Estrutural Condição de Conexão Defeituosa"</t>
  </si>
  <si>
    <t>"Entidade de Análise Estrutural Condição de Conexão Estrutural"</t>
  </si>
  <si>
    <t>"Entidade de Análise Estrutural Condição de Conexão por Deslizamento"</t>
  </si>
  <si>
    <t>"Entidade de Análise Estrutural Condição de Contorno"</t>
  </si>
  <si>
    <t>"Entidade de Análise Estrutural Condição de Contorno de Face"</t>
  </si>
  <si>
    <t>"Entidade de Análise Estrutural Condição de Nó de Borda"</t>
  </si>
  <si>
    <t>"Entidade de Análise Estrutural Condição de Nó de Contorno com Distorção"</t>
  </si>
  <si>
    <t>"Entidade de Análise Estrutural Conexão de Curva"</t>
  </si>
  <si>
    <t>"Entidade de Análise Estrutural Membro Estrutural Curvo"</t>
  </si>
  <si>
    <t>"Entidade de Análise Estrutural Modelo"</t>
  </si>
  <si>
    <t>"Entidade de Análise Estrutural Reação Estrutural"</t>
  </si>
  <si>
    <t>"Entidade de Análise Estrutural Reação Lineal"</t>
  </si>
  <si>
    <t>"Entidade de Análise Estrutural Reação Pontual"</t>
  </si>
  <si>
    <t>"Entidade de Análise Estrutural Reação Superficial"</t>
  </si>
  <si>
    <t>"Entidade de Análise Estrutural Temperatura"</t>
  </si>
  <si>
    <t>"Entidade de Análise Estrutural Variação de Elemento Estrutural de Curva"</t>
  </si>
  <si>
    <t>"Entidade de Análise Estrutural Variação de Elemento Estrutural de Superfície"</t>
  </si>
  <si>
    <t>"Entidade de Ancoragem de Tensor Estrutural"</t>
  </si>
  <si>
    <t>"Entidade de Ancoragem de Tensor Estrutural Tipificado"</t>
  </si>
  <si>
    <t>"Entidade de Andar de Edifício"</t>
  </si>
  <si>
    <t>"Entidade de Aparelho Audiovisual"</t>
  </si>
  <si>
    <t>"Entidade de Aparelho Audiovisual Tipificado"</t>
  </si>
  <si>
    <t>"Entidade de Aparelho de Comunicação"</t>
  </si>
  <si>
    <t>"Entidade de Aparelho de Comunicação Tipificado"</t>
  </si>
  <si>
    <t>"Entidade de Aplicação"</t>
  </si>
  <si>
    <t>"Entidade de Aprovação"</t>
  </si>
  <si>
    <t>"Entidade de Aquecedor de Ambiente"</t>
  </si>
  <si>
    <t>"Entidade de Aquecedor de Ambiente Tipificado"</t>
  </si>
  <si>
    <t>"Entidade de Área Geométrica de Sólido de Revolução"</t>
  </si>
  <si>
    <t>"Entidade de Área Geométrica de Sólido de Revolução Inclinado"</t>
  </si>
  <si>
    <t>"Entidade de Área Geométrica de Sólido de Varredura"</t>
  </si>
  <si>
    <t>"Entidade de Área Geométrica de Sólido Extrudado"</t>
  </si>
  <si>
    <t>"Entidade de Área Geométrica de Sólido Extrudado Inclinado"</t>
  </si>
  <si>
    <t>"Entidade de Ativo"</t>
  </si>
  <si>
    <t>"Entidade de Ator ou Agente"</t>
  </si>
  <si>
    <t>"Entidade de Atribuição de Camada de Apresentação"</t>
  </si>
  <si>
    <t>"Entidade de Atuador"</t>
  </si>
  <si>
    <t>"Entidade de Atuador Tipificado"</t>
  </si>
  <si>
    <t>"Entidade de Biblioteca de Projeto"</t>
  </si>
  <si>
    <t>"Entidade de Bloco"</t>
  </si>
  <si>
    <t>"Entidade de Boiler ou Caldeira"</t>
  </si>
  <si>
    <t>"Entidade de Boiler ou Caldeira Tipificado"</t>
  </si>
  <si>
    <t>"Entidade de Bomba"</t>
  </si>
  <si>
    <t>"Entidade de Bomba Tipificado"</t>
  </si>
  <si>
    <t>"Entidade de Caixa de Junção"</t>
  </si>
  <si>
    <t>"Entidade de Caixa de Junção Tipificado"</t>
  </si>
  <si>
    <t>"Entidade de Casca Aberta"</t>
  </si>
  <si>
    <t>"Entidade de Casca Fechada"</t>
  </si>
  <si>
    <t>"Entidade de Caso de Coluna Padrão"</t>
  </si>
  <si>
    <t>"Entidade de Caso de Janela Padrão"</t>
  </si>
  <si>
    <t>"Entidade de Caso de Membro Padrão"</t>
  </si>
  <si>
    <t>"Entidade de Caso de Parede Padrão"</t>
  </si>
  <si>
    <t>"Entidade de Caso de Placa Padrão"</t>
  </si>
  <si>
    <t>"Entidade de Caso de Viga Padrão"</t>
  </si>
  <si>
    <t>"Entidade de Chaminé"</t>
  </si>
  <si>
    <t>"Entidade de Chaminé Tipificado"</t>
  </si>
  <si>
    <t>"Entidade de Chiller"</t>
  </si>
  <si>
    <t>"Entidade de Chiller Tipificado"</t>
  </si>
  <si>
    <t>"Entidade de Circuito de Distribuição"</t>
  </si>
  <si>
    <t>"Entidade de Circulação Escada"</t>
  </si>
  <si>
    <t>"Entidade de Circulação Escada Tipificado"</t>
  </si>
  <si>
    <t>"Entidade de Circulação Patamar de Rampa"</t>
  </si>
  <si>
    <t>"Entidade de Circulação Patamar de Rampa Tipificado"</t>
  </si>
  <si>
    <t>"Entidade de Circulação Patamar Escada"</t>
  </si>
  <si>
    <t>"Entidade de Circulação Patamar Escada Tipificado"</t>
  </si>
  <si>
    <t>"Entidade de Circulação Rampa"</t>
  </si>
  <si>
    <t>"Entidade de Circulação Rampa Tipificado"</t>
  </si>
  <si>
    <t>"Entidade de Classificação"</t>
  </si>
  <si>
    <t>"Entidade de Coluna Estrutural"</t>
  </si>
  <si>
    <t>"Entidade de Coluna Estrutural Tipificado"</t>
  </si>
  <si>
    <t>"Entidade de Componente Elemental"</t>
  </si>
  <si>
    <t>"Entidade de Componente Elemental Quantidade"</t>
  </si>
  <si>
    <t>"Entidade de Componente Elemental Tipificado"</t>
  </si>
  <si>
    <t>"Entidade de Compressor"</t>
  </si>
  <si>
    <t>"Entidade de Compressor Tipificado"</t>
  </si>
  <si>
    <t>"Entidade de Condensador"</t>
  </si>
  <si>
    <t>"Entidade de Condensador Tipificado"</t>
  </si>
  <si>
    <t>"Entidade de Conector"</t>
  </si>
  <si>
    <t>"Entidade de Conector de Sistema de Distribuição"</t>
  </si>
  <si>
    <t>"Entidade de Conexão de Cabeamento"</t>
  </si>
  <si>
    <t>"Entidade de Conexão de Cabeamento Tipificado"</t>
  </si>
  <si>
    <t>"Entidade de Conexão de Duto"</t>
  </si>
  <si>
    <t>"Entidade de Conexão de Duto Tipificado"</t>
  </si>
  <si>
    <t>"Entidade de Conexão de Fluído"</t>
  </si>
  <si>
    <t>"Entidade de Conexão de Fluído Tipificado"</t>
  </si>
  <si>
    <t>"Entidade de Conexão de Motor"</t>
  </si>
  <si>
    <t>"Entidade de Conexão de Tubulação"</t>
  </si>
  <si>
    <t>"Entidade de Conexão de Tubulação Tipificado"</t>
  </si>
  <si>
    <t>"Entidade de Conexão Estrutural"</t>
  </si>
  <si>
    <t>"Entidade de Conexão Estrutural de Superfície"</t>
  </si>
  <si>
    <t>"Entidade de Conexão Estrutural Pontual"</t>
  </si>
  <si>
    <t>"Entidade de Conexão Motora Tipificado"</t>
  </si>
  <si>
    <t>"Entidade de Conexão para Transportador de Cabeamento"</t>
  </si>
  <si>
    <t>"Entidade de Conexão para Transportador de Cabeamento Tipificado"</t>
  </si>
  <si>
    <t>"Entidade de Conjunto de Propriedades"</t>
  </si>
  <si>
    <t>"Entidade de Conjunto de Propriedades Pré-Definidas"</t>
  </si>
  <si>
    <t>"Entidade de Conjunto de Quantidades"</t>
  </si>
  <si>
    <t>"Entidade de Contagem de Quantidades"</t>
  </si>
  <si>
    <t>"Entidade de Contexto"</t>
  </si>
  <si>
    <t>"Entidade de Contexto de Representação"</t>
  </si>
  <si>
    <t>"Entidade de Contexto de Representação Geométrica"</t>
  </si>
  <si>
    <t>"Entidade de Controlador"</t>
  </si>
  <si>
    <t>"Entidade de Controlador de Fluxo"</t>
  </si>
  <si>
    <t>"Entidade de Controlador de Fluxo Tipificado"</t>
  </si>
  <si>
    <t>"Entidade de Controlador Temporal Elétrico"</t>
  </si>
  <si>
    <t>"Entidade de Controlador Temporal Elétrico Tipificado"</t>
  </si>
  <si>
    <t>"Entidade de Controlador Tipificado"</t>
  </si>
  <si>
    <t>"Entidade de Controle"</t>
  </si>
  <si>
    <t>"Entidade de Controle de Trabalho"</t>
  </si>
  <si>
    <t>"Entidade de Corrimão"</t>
  </si>
  <si>
    <t>"Entidade de Corrimão Tipificado"</t>
  </si>
  <si>
    <t>"Entidade de Definição de Conjunto de Propriedades"</t>
  </si>
  <si>
    <t>"Entidade de Definição de Modelo de Propriedade"</t>
  </si>
  <si>
    <t>"Entidade de Definição de Objeto"</t>
  </si>
  <si>
    <t>"Entidade de Definição de Perfil"</t>
  </si>
  <si>
    <t>"Entidade de Definição de Perfil Arbitrário Aberto"</t>
  </si>
  <si>
    <t>"Entidade de Definição de Perfil Arbitrário com Vazios"</t>
  </si>
  <si>
    <t>"Entidade de Definição de Perfil Arbitrário Fechado"</t>
  </si>
  <si>
    <t>"Entidade de Definição de Perfil Assimétrico com Forma I"</t>
  </si>
  <si>
    <t>"Entidade de Definição de Perfil C"</t>
  </si>
  <si>
    <t>"Entidade de Definição de Perfil Circular"</t>
  </si>
  <si>
    <t>"Entidade de Definição de Perfil Circular Tubular"</t>
  </si>
  <si>
    <t>"Entidade de Definição de Perfil Com Derivação"</t>
  </si>
  <si>
    <t>"Entidade de Definição de Perfil Composto"</t>
  </si>
  <si>
    <t>"Entidade de Definição de Perfil Elíptico"</t>
  </si>
  <si>
    <t>"Entidade de Definição de Perfil Espelhado"</t>
  </si>
  <si>
    <t>"Entidade de Definição de Perfil I"</t>
  </si>
  <si>
    <t>"Entidade de Definição de Perfil L"</t>
  </si>
  <si>
    <t>"Entidade de Definição de Perfil Linha Central"</t>
  </si>
  <si>
    <t>"Entidade de Definição de Perfil Parametrizado"</t>
  </si>
  <si>
    <t>"Entidade de Definição de Perfil Retangular"</t>
  </si>
  <si>
    <t>"Entidade de Definição de Perfil Retangular Arredondado"</t>
  </si>
  <si>
    <t>"Entidade de Definição de Perfil Retangular Tubular"</t>
  </si>
  <si>
    <t>"Entidade de Definição de Perfil T"</t>
  </si>
  <si>
    <t>"Entidade de Definição de Perfil Trapézoidal"</t>
  </si>
  <si>
    <t>"Entidade de Definição de Perfil U"</t>
  </si>
  <si>
    <t>"Entidade de Definição de Perfil Z"</t>
  </si>
  <si>
    <t>"Entidade de Definição de Produto Forma"</t>
  </si>
  <si>
    <t>"Entidade de Definição de propriedade"</t>
  </si>
  <si>
    <t>"Entidade de Direcional de Fonte de Luz"</t>
  </si>
  <si>
    <t>"Entidade de Dispositivo de Armazenamento de Insumo"</t>
  </si>
  <si>
    <t>"Entidade de Dispositivo de Armazenamento de Insumo Tipificado"</t>
  </si>
  <si>
    <t>"Entidade de Dispositivo de Armazenamento Elétrico"</t>
  </si>
  <si>
    <t>"Entidade de Dispositivo de Armazenamento Elétrico Tipificado"</t>
  </si>
  <si>
    <t>"Entidade de Dispositivo de Comutação"</t>
  </si>
  <si>
    <t>"Entidade de Dispositivo de Comutação Tipificado"</t>
  </si>
  <si>
    <t>"Entidade de Dispositivo de Conversão de Energia"</t>
  </si>
  <si>
    <t>"Entidade de Dispositivo de Conversão de Energia Tipificado"</t>
  </si>
  <si>
    <t>"Entidade de Dispositivo de Movimento de Fluído"</t>
  </si>
  <si>
    <t>"Entidade de Dispositivo de Movimento de Fluído Tipificado"</t>
  </si>
  <si>
    <t>"Entidade de Dispositivo de Proteção"</t>
  </si>
  <si>
    <t>"Entidade de Dispositivo de Proteção Tipificado"</t>
  </si>
  <si>
    <t>"Entidade de Dispositivo de Sombreamento"</t>
  </si>
  <si>
    <t>"Entidade de Dispositivo de Sombreamento Tipificado"</t>
  </si>
  <si>
    <t>"Entidade de Dispositivo de Tratamento de Fluído"</t>
  </si>
  <si>
    <t>"Entidade de Dispositivo de Tratamento de Fluído Tipificado"</t>
  </si>
  <si>
    <t>"Entidade de Dispositivo Médico"</t>
  </si>
  <si>
    <t>"Entidade de Dispositivo Médico Tipificado"</t>
  </si>
  <si>
    <t>"Entidade de Dispositivo Solar"</t>
  </si>
  <si>
    <t>"Entidade de Dispositivo Solar Tipificado"</t>
  </si>
  <si>
    <t>"Entidade de Edificação"</t>
  </si>
  <si>
    <t>"Entidade de Eixo"</t>
  </si>
  <si>
    <t>"Entidade de Eixo Estrutural"</t>
  </si>
  <si>
    <t>"Entidade de Eixo Ponto de Interseção"</t>
  </si>
  <si>
    <t>"Entidade de Eixo Posicionamento"</t>
  </si>
  <si>
    <t>"Entidade de Elemento Civil"</t>
  </si>
  <si>
    <t>"Entidade de Elemento Civil Tipificado"</t>
  </si>
  <si>
    <t>"Entidade de Elemento de Abertura"</t>
  </si>
  <si>
    <t>"Entidade de Elemento de Câmara de Distribuição"</t>
  </si>
  <si>
    <t>"Entidade de Elemento de Câmara de Distribuição Tipificado"</t>
  </si>
  <si>
    <t>"Entidade de Elemento de Característica"</t>
  </si>
  <si>
    <t>"Entidade de Elemento de Construção"</t>
  </si>
  <si>
    <t>"Entidade de Elemento de Construção Tipificado"</t>
  </si>
  <si>
    <t>"Entidade de Elemento de Controle de Distribuição"</t>
  </si>
  <si>
    <t>"Entidade de Elemento de Controle de Distribuição Tipificado"</t>
  </si>
  <si>
    <t>"Entidade de Elemento de Distribuição"</t>
  </si>
  <si>
    <t>"Entidade de Elemento de Distribuição de Insumos"</t>
  </si>
  <si>
    <t>"Entidade de Elemento de Distribuição de Insumos Tipificado"</t>
  </si>
  <si>
    <t>"Entidade de Elemento de Distribuição Tipificado"</t>
  </si>
  <si>
    <t>"Entidade de Elemento de Estrutura Espacial"</t>
  </si>
  <si>
    <t>"Entidade de Elemento de Estrutura Espacial Externa"</t>
  </si>
  <si>
    <t>"Entidade de Elemento de Estruturação Espacial Tipificado"</t>
  </si>
  <si>
    <t>"Entidade de Elemento de Projeção"</t>
  </si>
  <si>
    <t>"Entidade de Elemento de Transporte"</t>
  </si>
  <si>
    <t>"Entidade de Elemento de Transporte Tipificado"</t>
  </si>
  <si>
    <t>"Entidade de Elemento Espacial Externo"</t>
  </si>
  <si>
    <t>"Entidade de Elemento Espacial Interno"</t>
  </si>
  <si>
    <t>"Entidade de Elemento Espacial Interno Tipificado"</t>
  </si>
  <si>
    <t>"Entidade de Elemento Estrutural Membro Superfícial"</t>
  </si>
  <si>
    <t>"Entidade de Elemento Geográfico"</t>
  </si>
  <si>
    <t>"Entidade de Elemento Geográfico Tipificado"</t>
  </si>
  <si>
    <t>"Entidade de Elemento Virtual"</t>
  </si>
  <si>
    <t>"Entidade de Eletrodoméstico"</t>
  </si>
  <si>
    <t>"Entidade de Eletrodoméstico Tipificado"</t>
  </si>
  <si>
    <t>"Entidade de Endereço Postal"</t>
  </si>
  <si>
    <t>"Entidade de Endereço Telecom"</t>
  </si>
  <si>
    <t>"Entidade de Endereço Urbano"</t>
  </si>
  <si>
    <t>"Entidade de Enumeração de Propriedades Tipificadas"</t>
  </si>
  <si>
    <t>"Entidade de Equipamento"</t>
  </si>
  <si>
    <t>"Entidade de Equipamento de Controle Unitário"</t>
  </si>
  <si>
    <t>"Entidade de Equipamento de Controle Unitário Tipificado"</t>
  </si>
  <si>
    <t>"Entidade de Equipamento Tipificado"</t>
  </si>
  <si>
    <t>"Entidade de Espaço"</t>
  </si>
  <si>
    <t>"Entidade de Espaço Tipificado"</t>
  </si>
  <si>
    <t>"Entidade de Estilo Anotação"</t>
  </si>
  <si>
    <t>"Entidade de Estilo Anotação Area Preenchida"</t>
  </si>
  <si>
    <t>"Entidade de Estilo Apresentação"</t>
  </si>
  <si>
    <t>"Entidade de Estilo Apresentação Atribuição"</t>
  </si>
  <si>
    <t>"Entidade de Estilo Apresentação Camada"</t>
  </si>
  <si>
    <t>"Entidade de Estilo de Área de Preenchimento"</t>
  </si>
  <si>
    <t>"Entidade de Estilo de Área de Preenchimento Matriz"</t>
  </si>
  <si>
    <t>"Entidade de Estilo de Cor Especifição"</t>
  </si>
  <si>
    <t>"Entidade de Estilo de Cor Pré-definida"</t>
  </si>
  <si>
    <t>"Entidade de Estilo de Cor Pré-definida de Bocetos"</t>
  </si>
  <si>
    <t>"Entidade de Estilo de Cor RGB"</t>
  </si>
  <si>
    <t>"Entidade de Estilo de Cor RGB Listado"</t>
  </si>
  <si>
    <t>"Entidade de Estilo de Iluminação Superficial"</t>
  </si>
  <si>
    <t>"Entidade de Estilo de Janelas"</t>
  </si>
  <si>
    <t>"Entidade de Estilo de Linha"</t>
  </si>
  <si>
    <t>"Entidade de Estilo de Modelo"</t>
  </si>
  <si>
    <t>"Entidade de Estilo de Padrão de Linha"</t>
  </si>
  <si>
    <t>"Entidade de Estilo de Padrão de Linha Escalável"</t>
  </si>
  <si>
    <t>"Entidade de Estilo de Padrão de Texto Definido"</t>
  </si>
  <si>
    <t>"Entidade de Estilo de Padrão de Texto Definido Externamente"</t>
  </si>
  <si>
    <t>"Entidade de Estilo de Padrão de Texto Modelo"</t>
  </si>
  <si>
    <t>"Entidade de Estilo de Padrão de Texto Predefinido"</t>
  </si>
  <si>
    <t>"Entidade de Estilo de Portas"</t>
  </si>
  <si>
    <t>"Entidade de Estilo de Preenchimento"</t>
  </si>
  <si>
    <t>"Entidade de Estilo de Preenchimento Definido Externamente"</t>
  </si>
  <si>
    <t>"Entidade de Estilo de Representação"</t>
  </si>
  <si>
    <t>"Entidade de Estilo de Sombreamento"</t>
  </si>
  <si>
    <t>"Entidade de Estilo de Superfície"</t>
  </si>
  <si>
    <t>"Entidade de Estilo de Superfície Refratada"</t>
  </si>
  <si>
    <t>"Entidade de Estilo de Superfície Renderizada"</t>
  </si>
  <si>
    <t>"Entidade de Estilo de Superfície Texturizada"</t>
  </si>
  <si>
    <t>"Entidade de Estilo de Superfícies Definido Externamente"</t>
  </si>
  <si>
    <t>"Entidade de Estilo de Texto"</t>
  </si>
  <si>
    <t>"Entidade de Estilo de Texto Modelo"</t>
  </si>
  <si>
    <t>"Entidade de Estilo Mapa de Cor Indexada"</t>
  </si>
  <si>
    <t>"Entidade de Estilo Mapa de Representação"</t>
  </si>
  <si>
    <t>"Entidade de Evaporador"</t>
  </si>
  <si>
    <t>"Entidade de Evaporador Tipificado"</t>
  </si>
  <si>
    <t>"Entidade de Feixe de Tubulação"</t>
  </si>
  <si>
    <t>"Entidade de Feixe de Tubulação Tipificado"</t>
  </si>
  <si>
    <t>"Entidade de Filtro"</t>
  </si>
  <si>
    <t>"Entidade de Filtro Tipificado"</t>
  </si>
  <si>
    <t>"Entidade de Fixador Aderente"</t>
  </si>
  <si>
    <t>"Entidade de Fixador Aderente Tipificado"</t>
  </si>
  <si>
    <t>"Entidade de Fixador Mecânico"</t>
  </si>
  <si>
    <t>"Entidade de Fixador Mecânico Tipificado"</t>
  </si>
  <si>
    <t>"Entidade de Fonte de Luz"</t>
  </si>
  <si>
    <t>"Entidade de Fonte de Luz Ambiente"</t>
  </si>
  <si>
    <t>"Entidade de Fonte de Luz Goniométrica"</t>
  </si>
  <si>
    <t>"Entidade de Fonte de Luz Posicional"</t>
  </si>
  <si>
    <t>"Entidade de Fundação Estaca"</t>
  </si>
  <si>
    <t>"Entidade de Fundação Estaca Tipificado"</t>
  </si>
  <si>
    <t>"Entidade de Fundação Estrutural"</t>
  </si>
  <si>
    <t>"Entidade de Fundação Estrutural Tipificado"</t>
  </si>
  <si>
    <t>"Entidade de Geometria 3D Construída por Seções"</t>
  </si>
  <si>
    <t>"Entidade de Geometria Area de Sólido de Varredura de Referência Fixa"</t>
  </si>
  <si>
    <t>"Entidade de Geometria Aresta"</t>
  </si>
  <si>
    <t>"Entidade de Geometria Aresta Orientada"</t>
  </si>
  <si>
    <t>"Entidade de Geometria Aspecto Formal"</t>
  </si>
  <si>
    <t>"Entidade de Geometria Brep Avançada"</t>
  </si>
  <si>
    <t>"Entidade de Geometria Brep Avançada com Vazios"</t>
  </si>
  <si>
    <t>"Entidade de Geometria Brep Facetada"</t>
  </si>
  <si>
    <t>"Entidade de Geometria Brep Facetada com Vazios"</t>
  </si>
  <si>
    <t>"Entidade de Geometria Brep Sólida Manifold"</t>
  </si>
  <si>
    <t>"Entidade de Geometria Caixa Delimitadora"</t>
  </si>
  <si>
    <t>"Entidade de Geometria Conjunto de Curvas"</t>
  </si>
  <si>
    <t>"Entidade de Geometria Conjunto de Faces Conectadas"</t>
  </si>
  <si>
    <t>"Entidade de Geometria Conjunto de Faces Poligonais"</t>
  </si>
  <si>
    <t>"Entidade de Geometria Conjunto de Faces Tesseladas"</t>
  </si>
  <si>
    <t>"Entidade de Geometria Conjunto de Faces Trianguladas"</t>
  </si>
  <si>
    <t>"Entidade de Geometria Conjunto Geométrico"</t>
  </si>
  <si>
    <t>"Entidade de Geometria Conversão de Mapas"</t>
  </si>
  <si>
    <t>"Entidade de Geometria Coordenadas Lista de Pontos Cartesianos"</t>
  </si>
  <si>
    <t>"Entidade de Geometria Coordenadas Lista de Pontos Cartesianos 2D"</t>
  </si>
  <si>
    <t>"Entidade de Geometria Coordenadas Lista de Pontos Cartesianos 3D"</t>
  </si>
  <si>
    <t>"Entidade de Geometria Coordenadas Operações de Conversão"</t>
  </si>
  <si>
    <t>"Entidade de Geometria Coordenadas Operações de Transformação Cartesiana"</t>
  </si>
  <si>
    <t>"Entidade de Geometria Coordenadas Operações de Transformação Cartesiana 2D"</t>
  </si>
  <si>
    <t>"Entidade de Geometria Coordenadas Operações de Transformação Cartesiana 2D Non Uniform"</t>
  </si>
  <si>
    <t>"Entidade de Geometria Coordenadas Operações de Transformação Cartesiana 3D"</t>
  </si>
  <si>
    <t>"Entidade de Geometria Coordenadas Operações de Transformação Cartesiana 3D Non Uniform"</t>
  </si>
  <si>
    <t>"Entidade de Geometria CRS Projetado"</t>
  </si>
  <si>
    <t>"Entidade de Geometria CSG Primitiva 3D"</t>
  </si>
  <si>
    <t>"Entidade de Geometria CSG Sólido"</t>
  </si>
  <si>
    <t>"Entidade de Geometria CSG Sólido Cilíndrico"</t>
  </si>
  <si>
    <t>"Entidade de Geometria Curva"</t>
  </si>
  <si>
    <t>"Entidade de Geometria Curva Aparada"</t>
  </si>
  <si>
    <t>"Entidade de Geometria Curva BSpline"</t>
  </si>
  <si>
    <t>"Entidade de Geometria Curva BSpline com Nós"</t>
  </si>
  <si>
    <t>"Entidade de Geometria Curva Composta"</t>
  </si>
  <si>
    <t>"Entidade de Geometria Curva Composta em Superfície"</t>
  </si>
  <si>
    <t>"Entidade de Geometria Curva de Aresta"</t>
  </si>
  <si>
    <t>"Entidade de Geometria Curva de Contorno"</t>
  </si>
  <si>
    <t>"Entidade de Geometria Curva de Contorno Externo"</t>
  </si>
  <si>
    <t>"Entidade de Geometria Curva de Interseção"</t>
  </si>
  <si>
    <t>"Entidade de Geometria Curva de Ligação Geométrica"</t>
  </si>
  <si>
    <t>"Entidade de Geometria Curva de Superfície"</t>
  </si>
  <si>
    <t>"Entidade de Geometria Curva Deslocada em 2D"</t>
  </si>
  <si>
    <t>"Entidade de Geometria Curva Deslocada em 3D"</t>
  </si>
  <si>
    <t>"Entidade de Geometria Curva Limitada"</t>
  </si>
  <si>
    <t>"Entidade de Geometria Curva P Paramétrica"</t>
  </si>
  <si>
    <t>"Entidade de Geometria Curva Poligonal Indexada"</t>
  </si>
  <si>
    <t>"Entidade de Geometria Curva Racional BSpline com Nós"</t>
  </si>
  <si>
    <t>"Entidade de Geometria Direção"</t>
  </si>
  <si>
    <t>"Entidade de Geometria Expoentes Dimensionais"</t>
  </si>
  <si>
    <t>"Entidade de Geometria Extensão Planar"</t>
  </si>
  <si>
    <t>"Entidade de Geometria Face"</t>
  </si>
  <si>
    <t>"Entidade de Geometria Face Limitada"</t>
  </si>
  <si>
    <t>"Entidade de Geometria Face Limitada Exterior"</t>
  </si>
  <si>
    <t>"Entidade de Geometria Face Poligonal Indexada"</t>
  </si>
  <si>
    <t>"Entidade de Geometria Face Poligonal Indexada com vazios"</t>
  </si>
  <si>
    <t>"Entidade de Geometria Face Projetada"</t>
  </si>
  <si>
    <t>"Entidade de Geometria Feição Superficial"</t>
  </si>
  <si>
    <t>"Entidade de Geometria Fonte de Curva Pré-Definida"</t>
  </si>
  <si>
    <t>"Entidade de Geometria Fonte de Curva Pré-Definida de Esboço"</t>
  </si>
  <si>
    <t>"Entidade de Geometria Modelo Sólido"</t>
  </si>
  <si>
    <t>"Entidade de Geometria Pirâmide Retangular"</t>
  </si>
  <si>
    <t>"Entidade de Geometria Planar Box"</t>
  </si>
  <si>
    <t>"Entidade de Geometria Plano"</t>
  </si>
  <si>
    <t>"Entidade de Geometria Plano Limitado de Curva"</t>
  </si>
  <si>
    <t>"Entidade de Geometria Polilinha"</t>
  </si>
  <si>
    <t>"Entidade de Geometria Polilinha Cíclo"</t>
  </si>
  <si>
    <t>"Entidade de Geometria Ponto de Conexão"</t>
  </si>
  <si>
    <t>"Entidade de Geometria Ponto de Conexão Excêntrico"</t>
  </si>
  <si>
    <t>"Entidade de Geometria Ponto em Curva"</t>
  </si>
  <si>
    <t>"Entidade de Geometria Ponto em Superfície"</t>
  </si>
  <si>
    <t>"Entidade de Geometria Ponto em Vértice"</t>
  </si>
  <si>
    <t>"Entidade de Geometria Ponto Raiz"</t>
  </si>
  <si>
    <t>"Entidade de Geometria Posicionamento"</t>
  </si>
  <si>
    <t>"Entidade de Geometria Posicionamento Axis1"</t>
  </si>
  <si>
    <t>"Entidade de Geometria Posicionamento Axis2 em 2D"</t>
  </si>
  <si>
    <t>"Entidade de Geometria Posicionamento Axis2 em 3D"</t>
  </si>
  <si>
    <t>"Entidade de Geometria Posicionamento de Objetos"</t>
  </si>
  <si>
    <t>"Entidade de Geometria Posicionamento Local"</t>
  </si>
  <si>
    <t>"Entidade de Geometria Primitiva 2D Círculo"</t>
  </si>
  <si>
    <t>"Entidade de Geometria Primitiva 2D Cônica Circulo ou Elipse"</t>
  </si>
  <si>
    <t>"Entidade de Geometria Primitiva 2D Elipse"</t>
  </si>
  <si>
    <t>"Entidade de Geometria Primitiva 3D Cone Circular"</t>
  </si>
  <si>
    <t>"Entidade de Geometria Primitiva 3D Esfera"</t>
  </si>
  <si>
    <t>"Entidade de Geometria Primitiva 3D Linha"</t>
  </si>
  <si>
    <t>"Entidade de Geometria Primitiva 3D Ponto Cartesiano"</t>
  </si>
  <si>
    <t>"Entidade de Geometria Raiz de Ponto Curva Faces ou Volume"</t>
  </si>
  <si>
    <t>"Entidade de Geometria Restrição Geométrica de Conexão"</t>
  </si>
  <si>
    <t>"Entidade de Geometria Segmento de Curva Composta"</t>
  </si>
  <si>
    <t>"Entidade de Geometria Segmento de Curva Composta Reparametrizada"</t>
  </si>
  <si>
    <t>"Entidade de Geometria Semi‑Espaço de Caixa"</t>
  </si>
  <si>
    <t>"Entidade de Geometria Semi‑Espaço de Poligonal"</t>
  </si>
  <si>
    <t>"Entidade de Geometria Semi‑Espaço de Sólido"</t>
  </si>
  <si>
    <t>"Entidade de Geometria Sólido CSG de Barredura"</t>
  </si>
  <si>
    <t>"Entidade de Geometria Sólido CSG de Barredura Poligonal"</t>
  </si>
  <si>
    <t>"Entidade de Geometria Subcontexto de Representação Geométrica"</t>
  </si>
  <si>
    <t>"Entidade de Geometria Subedge"</t>
  </si>
  <si>
    <t>"Entidade de Geometria Subtração Característica"</t>
  </si>
  <si>
    <t>"Entidade de Geometria Superfície"</t>
  </si>
  <si>
    <t>"Entidade de Geometria Superfície BSpline"</t>
  </si>
  <si>
    <t>"Entidade de Geometria Superfície BSpline de Nós"</t>
  </si>
  <si>
    <t>"Entidade de Geometria Superfície BSpline Racional de Nós"</t>
  </si>
  <si>
    <t>"Entidade de Geometria Superfície Cilíndrica"</t>
  </si>
  <si>
    <t>"Entidade de Geometria Superfície de Extrusão Linear"</t>
  </si>
  <si>
    <t>"Entidade de Geometria Superfície de Face"</t>
  </si>
  <si>
    <t>"Entidade de Geometria Superfície de Revolução"</t>
  </si>
  <si>
    <t>"Entidade de Geometria Superfície de Varredura"</t>
  </si>
  <si>
    <t>"Entidade de Geometria Superfície Elementar"</t>
  </si>
  <si>
    <t>"Entidade de Geometria Superfície Esférica"</t>
  </si>
  <si>
    <t>"Entidade de Geometria Superfície Limitada"</t>
  </si>
  <si>
    <t>"Entidade de Geometria Superfície Limitada por curvas"</t>
  </si>
  <si>
    <t>"Entidade de Geometria Superfície Rectangular Aparada"</t>
  </si>
  <si>
    <t>"Entidade de Geometria Superfície Sólida de Área de Varredura"</t>
  </si>
  <si>
    <t>"Entidade de Geometria Superfície Toroidal"</t>
  </si>
  <si>
    <t>"Entidade de Geometria Superfícies Conectadas"</t>
  </si>
  <si>
    <t>"Entidade de Geometria Textura Coordenadas"</t>
  </si>
  <si>
    <t>"Entidade de Geometria Textura de Blob"</t>
  </si>
  <si>
    <t>"Entidade de Geometria Textura de Imagem"</t>
  </si>
  <si>
    <t>"Entidade de Geometria Textura de Pixel"</t>
  </si>
  <si>
    <t>"Entidade de Geometria Textura de Superfície"</t>
  </si>
  <si>
    <t>"Entidade de Geometria Textura Gerador de Coordenadas"</t>
  </si>
  <si>
    <t>"Entidade de Geometria Textura Mapa"</t>
  </si>
  <si>
    <t>"Entidade de Geometria Textura Mapa de Triângulos Indexados"</t>
  </si>
  <si>
    <t>"Entidade de Geometria Textura Mapa Indexado"</t>
  </si>
  <si>
    <t>"Entidade de Geometria Textura Vértice"</t>
  </si>
  <si>
    <t>"Entidade de Geometria Textura Vértices Listados"</t>
  </si>
  <si>
    <t>"Entidade de Geometria Vértice"</t>
  </si>
  <si>
    <t>"Entidade de Geometria Vetor"</t>
  </si>
  <si>
    <t>"Entidade de Geometria Volume de Quantidade"</t>
  </si>
  <si>
    <t>"Entidade de Geometria Volumes Conectado"</t>
  </si>
  <si>
    <t>"Entidade de Gerador Elétrico"</t>
  </si>
  <si>
    <t>"Entidade de Gerador Elétrico Tipificado"</t>
  </si>
  <si>
    <t>"Entidade de Grupo de Resultados Analíticos Estruturais"</t>
  </si>
  <si>
    <t>"Entidade de Grupo Raiz"</t>
  </si>
  <si>
    <t>"Entidade de Informação de Biblioteca de Projeto"</t>
  </si>
  <si>
    <t>"Entidade de Informação de Documento"</t>
  </si>
  <si>
    <t>"Entidade de Informação Externa"</t>
  </si>
  <si>
    <t>"Entidade de Instrumento de Insumos"</t>
  </si>
  <si>
    <t>"Entidade de Instrumento de Insumos Tipificado"</t>
  </si>
  <si>
    <t>"Entidade de Interceptador"</t>
  </si>
  <si>
    <t>"Entidade de Interceptador Tipificado"</t>
  </si>
  <si>
    <t>"Entidade de Inventário"</t>
  </si>
  <si>
    <t>"Entidade de Isolador de Vibração"</t>
  </si>
  <si>
    <t>"Entidade de Isolador de Vibração Tipificado"</t>
  </si>
  <si>
    <t>"Entidade de Item de Apresentação Raiz de Definições de Aparência"</t>
  </si>
  <si>
    <t>"Entidade de Item de Custo"</t>
  </si>
  <si>
    <t>"Entidade de Item de Estilo"</t>
  </si>
  <si>
    <t>"Entidade de Item de Representação Raiz de Elementos de Geometria e Representação"</t>
  </si>
  <si>
    <t>"Entidade de Item de Representação Raiz de Elementos de Mapeamento Geométrico Estilos e Topologias"</t>
  </si>
  <si>
    <t>"Entidade de Item de Representação Topológica Raiz de Elementos Geométricos"</t>
  </si>
  <si>
    <t>"Entidade de Item Estrutural Raiz de Conexões e Membros Estruturais"</t>
  </si>
  <si>
    <t>"Entidade de Item Mapeado"</t>
  </si>
  <si>
    <t>"Entidade de Item Pré-Definido"</t>
  </si>
  <si>
    <t>"Entidade de Item Tesselado"</t>
  </si>
  <si>
    <t>"Entidade de Janela"</t>
  </si>
  <si>
    <t>"Entidade de Janela Propriedade de Painel"</t>
  </si>
  <si>
    <t>"Entidade de Janela Propriedade de Revestimento"</t>
  </si>
  <si>
    <t>"Entidade de Janela Tipificado"</t>
  </si>
  <si>
    <t>"Entidade de Laje Estrutural"</t>
  </si>
  <si>
    <t>"Entidade de Laje Estrutural Caso"</t>
  </si>
  <si>
    <t>"Entidade de Laje Estrutural Padrão"</t>
  </si>
  <si>
    <t>"Entidade de Laje Estrutural Tipificado"</t>
  </si>
  <si>
    <t>"Entidade de Lâmpada"</t>
  </si>
  <si>
    <t>"Entidade de Lâmpada Tipificado"</t>
  </si>
  <si>
    <t>"Entidade de Luminária"</t>
  </si>
  <si>
    <t>"Entidade de Luminária Tipificado"</t>
  </si>
  <si>
    <t>"Entidade de Luminotécnica Dados Photométricos"</t>
  </si>
  <si>
    <t>"Entidade de Luminotécnica Intensidade Luminosa"</t>
  </si>
  <si>
    <t>"Entidade de Máquina"</t>
  </si>
  <si>
    <t>"Entidade de Máquina Tipificado"</t>
  </si>
  <si>
    <t>"Entidade de Material"</t>
  </si>
  <si>
    <t>"Entidade de Material Camada de Material"</t>
  </si>
  <si>
    <t>"Entidade de Material Camada de Material com Deslocamentos"</t>
  </si>
  <si>
    <t>"Entidade de Material Camada Usada"</t>
  </si>
  <si>
    <t>"Entidade de Material Conjunto de Camadas de Material"</t>
  </si>
  <si>
    <t>"Entidade de Material Conjunto de Compostos Materiais"</t>
  </si>
  <si>
    <t>"Entidade de Material Constituinte"</t>
  </si>
  <si>
    <t>"Entidade de Material Definição"</t>
  </si>
  <si>
    <t>"Entidade de Material Definição Usada"</t>
  </si>
  <si>
    <t>"Entidade de Material Listado"</t>
  </si>
  <si>
    <t>"Entidade de Material Perfil Material"</t>
  </si>
  <si>
    <t>"Entidade de Material Perfil Material Conjunto"</t>
  </si>
  <si>
    <t>"Entidade de Material Perfil Material Conjunto com Deslocamentos"</t>
  </si>
  <si>
    <t>"Entidade de Material Perfil Material Conjunto Uso"</t>
  </si>
  <si>
    <t>"Entidade de Material Perfil Material Conjunto Uso Inclinado"</t>
  </si>
  <si>
    <t>"Entidade de Material Propriedade de Material"</t>
  </si>
  <si>
    <t>"Entidade de Material Recursos de Material de Construção"</t>
  </si>
  <si>
    <t>"Entidade de Material Representação de Material"</t>
  </si>
  <si>
    <t>"Entidade de Medida com Unidade"</t>
  </si>
  <si>
    <t>"Entidade de Medidor de Insumo"</t>
  </si>
  <si>
    <t>"Entidade de Medidor de Insumo Tipificado"</t>
  </si>
  <si>
    <t>"Entidade de Membro Estrutural"</t>
  </si>
  <si>
    <t>"Entidade de Membros"</t>
  </si>
  <si>
    <t>"Entidade de Membros Tipificado"</t>
  </si>
  <si>
    <t>"Entidade de Mobiliário Sistema"</t>
  </si>
  <si>
    <t>"Entidade de Mobiliário Sistema Tipificado"</t>
  </si>
  <si>
    <t>"Entidade de Mobílias ou Decoração"</t>
  </si>
  <si>
    <t>"Entidade de Mobílias ou Decoração Tipificado"</t>
  </si>
  <si>
    <t>"Entidade de Modelo de Conjunto de Propriedades"</t>
  </si>
  <si>
    <t>"Entidade de Modelo de Forma"</t>
  </si>
  <si>
    <t>"Entidade de Modelo de Propriedade"</t>
  </si>
  <si>
    <t>"Entidade de Modelo de Superfície Baseado em Casca"</t>
  </si>
  <si>
    <t>"Entidade de Modelo de Superfície Baseado em Face"</t>
  </si>
  <si>
    <t>"Entidade de Modelo Simples de Propriedade"</t>
  </si>
  <si>
    <t>"Entidade de Montagem de Elementos"</t>
  </si>
  <si>
    <t>"Entidade de Montagem de Elementos Tipificado"</t>
  </si>
  <si>
    <t>"Entidade de Motor Elétrico"</t>
  </si>
  <si>
    <t>"Entidade de Motor Elétrico Tipificado"</t>
  </si>
  <si>
    <t>"Entidade de Móvel"</t>
  </si>
  <si>
    <t>"Entidade de Móvel Tipificado"</t>
  </si>
  <si>
    <t>"Entidade de Objetivo ou Meta"</t>
  </si>
  <si>
    <t>"Entidade de Objeto"</t>
  </si>
  <si>
    <t>"Entidade de Objetos Raiz de Processos Produtos e Recursos"</t>
  </si>
  <si>
    <t>"Entidade de Ocupante"</t>
  </si>
  <si>
    <t>"Entidade de Ordem de Projeto"</t>
  </si>
  <si>
    <t>"Entidade de Organização"</t>
  </si>
  <si>
    <t>"Entidade de Padrão de Recorrência"</t>
  </si>
  <si>
    <t>"Entidade de Parede Cortina"</t>
  </si>
  <si>
    <t>"Entidade de Parede Cortina Tipificado"</t>
  </si>
  <si>
    <t>"Entidade de Paredes"</t>
  </si>
  <si>
    <t>"Entidade de Paredes Tipificado"</t>
  </si>
  <si>
    <t>"Entidade de Parte de Edifício"</t>
  </si>
  <si>
    <t>"Entidade de Parte de Edifício Tipificado"</t>
  </si>
  <si>
    <t>"Entidade de Permissão"</t>
  </si>
  <si>
    <t>"Entidade de Peso Quantitativo"</t>
  </si>
  <si>
    <t>"Entidade de Pessoa"</t>
  </si>
  <si>
    <t>"Entidade de Pessoa e Organização"</t>
  </si>
  <si>
    <t>"Entidade de Placas"</t>
  </si>
  <si>
    <t>"Entidade de Placas Tipificado"</t>
  </si>
  <si>
    <t>"Entidade de Ponto de Fonte de Luz"</t>
  </si>
  <si>
    <t>"Entidade de Porta"</t>
  </si>
  <si>
    <t>"Entidade de Porta Padrão"</t>
  </si>
  <si>
    <t>"Entidade de Porta Propriedades de Acabamento"</t>
  </si>
  <si>
    <t>"Entidade de Porta Propriedades de Painel"</t>
  </si>
  <si>
    <t>"Entidade de Porta Tipificado"</t>
  </si>
  <si>
    <t>"Entidade de Procedimento"</t>
  </si>
  <si>
    <t>"Entidade de Procedimento Tipificado"</t>
  </si>
  <si>
    <t>"Entidade de Processo"</t>
  </si>
  <si>
    <t>"Entidade de Processo Tipificado"</t>
  </si>
  <si>
    <t>"Entidade de Produto"</t>
  </si>
  <si>
    <t>"Entidade de Produto Tipificado"</t>
  </si>
  <si>
    <t>"Entidade de Projeto"</t>
  </si>
  <si>
    <t>"Entidade de Propiedades de Perfil"</t>
  </si>
  <si>
    <t>"Entidade de Propriedade"</t>
  </si>
  <si>
    <t>"Entidade de Propriedade Simples"</t>
  </si>
  <si>
    <t>"Entidade de Propriedades de Cobertura Permeável"</t>
  </si>
  <si>
    <t>"Entidade de Propriedades de Seção"</t>
  </si>
  <si>
    <t>"Entidade de Propriedades Estendidas"</t>
  </si>
  <si>
    <t>"Entidade de Propriedades Pré-definidas"</t>
  </si>
  <si>
    <t>"Entidade de Proxy"</t>
  </si>
  <si>
    <t>"Entidade de Proxy de Elemento de Construção"</t>
  </si>
  <si>
    <t>"Entidade de Proxy de Elemento de Construção Tipificado"</t>
  </si>
  <si>
    <t>"Entidade de Quadro de Distribuição Elétrica"</t>
  </si>
  <si>
    <t>"Entidade de Quadro de Distribuição Elétrica Tipificado"</t>
  </si>
  <si>
    <t>"Entidade de Quantidade Física"</t>
  </si>
  <si>
    <t>"Entidade de Quantidade Física Simples"</t>
  </si>
  <si>
    <t>"Entidade de Queimador"</t>
  </si>
  <si>
    <t>"Entidade de Queimador Tipificado"</t>
  </si>
  <si>
    <t>"Entidade de Raiz"</t>
  </si>
  <si>
    <t>"Entidade de Raiz Abstrata de Propriedades"</t>
  </si>
  <si>
    <t>"Entidade de Raiz de Elementos"</t>
  </si>
  <si>
    <t>"Entidade de Raiz de Elementos Tipificado"</t>
  </si>
  <si>
    <t>"Entidade de Recuperador de Calor Ar-Ar"</t>
  </si>
  <si>
    <t>"Entidade de Recuperador de Calor Ar-Ar Tipificado"</t>
  </si>
  <si>
    <t>"Entidade de Recurso"</t>
  </si>
  <si>
    <t>"Entidade de Recurso de Anulação"</t>
  </si>
  <si>
    <t>"Entidade de Recurso de Construção Tipificado"</t>
  </si>
  <si>
    <t>"Entidade de Recurso de Equipamentos de Construção Tipificado"</t>
  </si>
  <si>
    <t>"Entidade de Recurso de Equipe"</t>
  </si>
  <si>
    <t>"Entidade de Recurso de Equipe Tipificado"</t>
  </si>
  <si>
    <t>"Entidade de Recurso de Mão de Obra Tipificado"</t>
  </si>
  <si>
    <t>"Entidade de Recurso de Produto de Construção Tipificado"</t>
  </si>
  <si>
    <t>"Entidade de Recurso de Produtos de Construção"</t>
  </si>
  <si>
    <t>"Entidade de Recurso de Subcontratação"</t>
  </si>
  <si>
    <t>"Entidade de Recurso de Subcontratado Tipificado"</t>
  </si>
  <si>
    <t>"Entidade de Recurso Material de Construção Tipificado"</t>
  </si>
  <si>
    <t>"Entidade de Recurso Tipificado"</t>
  </si>
  <si>
    <t>"Entidade de Recursos de Construção"</t>
  </si>
  <si>
    <t>"Entidade de Recursos de Equipamentos de Construção"</t>
  </si>
  <si>
    <t>"Entidade de Recursos de Mão de Obra"</t>
  </si>
  <si>
    <t>"Entidade de Referência"</t>
  </si>
  <si>
    <t>"Entidade de Referência de Biblioteca"</t>
  </si>
  <si>
    <t>"Entidade de Referência de Classificação"</t>
  </si>
  <si>
    <t>"Entidade de Referência de Documento"</t>
  </si>
  <si>
    <t>"Entidade de Referência Externa"</t>
  </si>
  <si>
    <t>"Entidade de Reforço Estrutural Área Superficial"</t>
  </si>
  <si>
    <t>"Entidade de Reforço Estrutural Barra"</t>
  </si>
  <si>
    <t>"Entidade de Reforço Estrutural Definição de Propriedades"</t>
  </si>
  <si>
    <t>"Entidade de Reforço Estrutural Elemento"</t>
  </si>
  <si>
    <t>"Entidade de Reforço Estrutural Malha"</t>
  </si>
  <si>
    <t>"Entidade de Reforço Estrutural Propriedades de Barras e Vergalhões"</t>
  </si>
  <si>
    <t>"Entidade de Reforço Estrutural Propriedades de Seção"</t>
  </si>
  <si>
    <t>"Entidade de Reforço Estrutural Tipo de Barras e Vergalhões"</t>
  </si>
  <si>
    <t>"Entidade de Reforço Estrutural Tipo de Elemento de Reforço"</t>
  </si>
  <si>
    <t>"Entidade de Reforço Estrutural Tipo de Malha Usada"</t>
  </si>
  <si>
    <t>"Entidade de Relação de Aprovação Associadas"</t>
  </si>
  <si>
    <t>"Entidade de Relação de Aprovação entre Recursos Principais (Relating) e Secundários (Related)"</t>
  </si>
  <si>
    <t>"Entidade de Relação de Atribuições"</t>
  </si>
  <si>
    <t>"Entidade de Relação de Biblioteca de Projeto Associada"</t>
  </si>
  <si>
    <t>"Entidade de Relação de Cambio Monetário"</t>
  </si>
  <si>
    <t>"Entidade de Relação de Classificação de Material"</t>
  </si>
  <si>
    <t>"Entidade de Relação de Classificações Associadas"</t>
  </si>
  <si>
    <t>"Entidade de Relação de Conectores de Distribuição"</t>
  </si>
  <si>
    <t>"Entidade de Relação de Conectores e Elementos"</t>
  </si>
  <si>
    <t>"Entidade de Relação de Conexão entre Ação Estrutural e Elemento Estrutural"</t>
  </si>
  <si>
    <t>"Entidade de Relação de Conexão Entre Elementos"</t>
  </si>
  <si>
    <t>"Entidade de Relação de Conexão Excêntrica"</t>
  </si>
  <si>
    <t>"Entidade de Relação de Conexões de Membros Estruturais"</t>
  </si>
  <si>
    <t>"Entidade de Relação de Controle de Fluxos"</t>
  </si>
  <si>
    <t>"Entidade de Relação de Definições de Objeto"</t>
  </si>
  <si>
    <t>"Entidade de Relação de Definições de Propriedades"</t>
  </si>
  <si>
    <t>"Entidade de Relação de Definições de Templates"</t>
  </si>
  <si>
    <t>"Entidade de Relação de Definições de Tipo"</t>
  </si>
  <si>
    <t>"Entidade de Relação de Dependência entre um Documento Principal (Depending) e um Documento Secundário (Dependant)"</t>
  </si>
  <si>
    <t>"Entidade de Relação de Dependência entre uma Propriedade Principal (Depending) e uma Secundária (Dependant)"</t>
  </si>
  <si>
    <t>"Entidade de Relação de Documentos Associados"</t>
  </si>
  <si>
    <t>"Entidade de Relação de Elementos Agregados"</t>
  </si>
  <si>
    <t>"Entidade de Relação de Elementos Aninhados"</t>
  </si>
  <si>
    <t>"Entidade de Relação de Elementos Associados"</t>
  </si>
  <si>
    <t>"Entidade de Relação de Elementos Definição das Relações"</t>
  </si>
  <si>
    <t>"Entidade de Relação de Estrutura Espacial"</t>
  </si>
  <si>
    <t>"Entidade de Relação de Inclusão em Estrutura Espacial"</t>
  </si>
  <si>
    <t>"Entidade de Relação de Interferência entre Elementos"</t>
  </si>
  <si>
    <t>"Entidade de Relação de Limites Espaciais"</t>
  </si>
  <si>
    <t>"Entidade de Relação de Limites Espaciais 1º Nível"</t>
  </si>
  <si>
    <t>"Entidade de Relação de Limites Espaciais 2º Nível"</t>
  </si>
  <si>
    <t>"Entidade de Relação de Marcação de Referências Externas"</t>
  </si>
  <si>
    <t>"Entidade de Relação de Objetos Compostos"</t>
  </si>
  <si>
    <t>"Entidade de Relação de Preenchimento"</t>
  </si>
  <si>
    <t>"Entidade de Relação de Projeções"</t>
  </si>
  <si>
    <t>"Entidade de Relação de Restrição Associadas"</t>
  </si>
  <si>
    <t>"Entidade de Relação de Restrição de entre um Objeto Principal (Relating) e outro Secundário (Related)"</t>
  </si>
  <si>
    <t>"Entidade de Relação de Sequênciamento Temporal"</t>
  </si>
  <si>
    <t>"Entidade de Relação de Serviços de Edificação"</t>
  </si>
  <si>
    <t>"Entidade de Relação de Vazios"</t>
  </si>
  <si>
    <t>"Entidade de Relação de Vínculo Associação ou Conexão Raiz dos Relacionamentos"</t>
  </si>
  <si>
    <t>"Entidade de Relação entre Material Primário (Relating) e Secundário (Related) de Material"</t>
  </si>
  <si>
    <t>"Entidade de Relação entre Organizações Primárias (Relating) e Subsidiárias (Related)"</t>
  </si>
  <si>
    <t>"Entidade de Relação que Atribui Elemento de Revestimento"</t>
  </si>
  <si>
    <t>"Entidade de Relação que Atribui Elemento de Revestimento aos Espaços"</t>
  </si>
  <si>
    <t>"Entidade de Relação que Atribui um Controle"</t>
  </si>
  <si>
    <t>"Entidade de Relação que Atribui um Grupo"</t>
  </si>
  <si>
    <t>"Entidade de Relação que Atribui um Grupo por Fator"</t>
  </si>
  <si>
    <t>"Entidade de Relação que Atribui um Material"</t>
  </si>
  <si>
    <t>"Entidade de Relação que Atribui um Processo"</t>
  </si>
  <si>
    <t>"Entidade de Relação que Atribui um Produto"</t>
  </si>
  <si>
    <t>"Entidade de Relação que Atribui um Recurso"</t>
  </si>
  <si>
    <t>"Entidade de Relação que Conecta Elementos"</t>
  </si>
  <si>
    <t>"Entidade de Relação que Conecta Elementos por Caminho"</t>
  </si>
  <si>
    <t>"Entidade de Relação que Declara o Contexto de Projeto ou Biblioteca de Projeto"</t>
  </si>
  <si>
    <t>"Entidade de Relação que Designa um Ator ou Agente"</t>
  </si>
  <si>
    <t>"Entidade de Relação Raiz de Relacionamentos"</t>
  </si>
  <si>
    <t>"Entidade de Representação"</t>
  </si>
  <si>
    <t>"Entidade de Representação de Forma"</t>
  </si>
  <si>
    <t>"Entidade de Representação de Produto"</t>
  </si>
  <si>
    <t>"Entidade de Representação Topológica"</t>
  </si>
  <si>
    <t>"Entidade de Resfriador Evaporativo"</t>
  </si>
  <si>
    <t>"Entidade de Resfriador Evaporativo Tipificado"</t>
  </si>
  <si>
    <t>"Entidade de Restrição"</t>
  </si>
  <si>
    <t>"Entidade de Resultado Booleano"</t>
  </si>
  <si>
    <t>"Entidade de Resultado de Recorte Booleano"</t>
  </si>
  <si>
    <t>"Entidade de Rol de Ator ou Agente"</t>
  </si>
  <si>
    <t>"Entidade de Segmento de Cabeamento"</t>
  </si>
  <si>
    <t>"Entidade de Segmento de Cabeamento Tipificado"</t>
  </si>
  <si>
    <t>"Entidade de Segmento de Drenagem"</t>
  </si>
  <si>
    <t>"Entidade de Segmento de Drenagem Tipificado"</t>
  </si>
  <si>
    <t>"Entidade de Segmento de Duto"</t>
  </si>
  <si>
    <t>"Entidade de Segmento de Duto Tipificado"</t>
  </si>
  <si>
    <t>"Entidade de Segmento de Transportador de Cabeamento"</t>
  </si>
  <si>
    <t>"Entidade de Segmento de Transportador de Cabeamento Tipificado"</t>
  </si>
  <si>
    <t>"Entidade de Segmento de Tubulação"</t>
  </si>
  <si>
    <t>"Entidade de Segmento de Tubulação Tipificado"</t>
  </si>
  <si>
    <t>"Entidade de Sensor"</t>
  </si>
  <si>
    <t>"Entidade de Sensor Tipificado"</t>
  </si>
  <si>
    <t>"Entidade de Serpentina"</t>
  </si>
  <si>
    <t>"Entidade de Serpentina Tipificado"</t>
  </si>
  <si>
    <t>"Entidade de Silenciador de Duto"</t>
  </si>
  <si>
    <t>"Entidade de Silenciador de Duto Tipificado"</t>
  </si>
  <si>
    <t>"Entidade de Sistema de Construção"</t>
  </si>
  <si>
    <t>"Entidade de Sistema de Coordenadas de Referência"</t>
  </si>
  <si>
    <t>"Entidade de Sistema de Distribuição"</t>
  </si>
  <si>
    <t>"Entidade de Sistemas"</t>
  </si>
  <si>
    <t>"Entidade de Solicitação de Ação"</t>
  </si>
  <si>
    <t>"Entidade de Tabelas Células Horizontais de Registro"</t>
  </si>
  <si>
    <t>"Entidade de Tabelas Células Verticais de Campos"</t>
  </si>
  <si>
    <t>"Entidade de Tabelas de Custo"</t>
  </si>
  <si>
    <t>"Entidade de Tabelas Tabela"</t>
  </si>
  <si>
    <t>"Entidade de Tanque"</t>
  </si>
  <si>
    <t>"Entidade de Tanque Tipificado"</t>
  </si>
  <si>
    <t>"Entidade de Telhado"</t>
  </si>
  <si>
    <t>"Entidade de Telhado Tipificado"</t>
  </si>
  <si>
    <t>"Entidade de Temporal Atrasos"</t>
  </si>
  <si>
    <t>"Entidade de Temporal Atributos"</t>
  </si>
  <si>
    <t>"Entidade de Temporal Definição de Periodicidade"</t>
  </si>
  <si>
    <t>"Entidade de Temporal Eventos"</t>
  </si>
  <si>
    <t>"Entidade de Temporal Eventos Agendado"</t>
  </si>
  <si>
    <t>"Entidade de Temporal Eventos Tipificado"</t>
  </si>
  <si>
    <t>"Entidade de Temporal Histórico de Apresentações"</t>
  </si>
  <si>
    <t>"Entidade de Temporal Histórico de Proprietário"</t>
  </si>
  <si>
    <t>"Entidade de Temporal Horário de Tarefas"</t>
  </si>
  <si>
    <t>"Entidade de Temporal Marcação de Horários"</t>
  </si>
  <si>
    <t>"Entidade de Temporal Período Temporal"</t>
  </si>
  <si>
    <t>"Entidade de Temporal Previsão de Duração"</t>
  </si>
  <si>
    <t>"Entidade de Temporal Série Temporal"</t>
  </si>
  <si>
    <t>"Entidade de Temporal Série Temporal Irregular"</t>
  </si>
  <si>
    <t>"Entidade de Temporal Série Temporal Irregular Valor"</t>
  </si>
  <si>
    <t>"Entidade de Temporal Série Temporal Regular"</t>
  </si>
  <si>
    <t>"Entidade de Temporal Série Temporal Valor"</t>
  </si>
  <si>
    <t>"Entidade de Temporal Tarefas"</t>
  </si>
  <si>
    <t>"Entidade de Temporal Tarefas Calendário"</t>
  </si>
  <si>
    <t>"Entidade de Temporal Tarefas Horário"</t>
  </si>
  <si>
    <t>"Entidade de Temporal Tarefas Planejadas"</t>
  </si>
  <si>
    <t>"Entidade de Temporal Tarefas Recorrentes"</t>
  </si>
  <si>
    <t>"Entidade de Temporal Tarefas Tipificado"</t>
  </si>
  <si>
    <t>"Entidade de Tensor Estrutural"</t>
  </si>
  <si>
    <t>"Entidade de Tensor Estrutural Tipificado"</t>
  </si>
  <si>
    <t>"Entidade de Terminal AVAC"</t>
  </si>
  <si>
    <t>"Entidade de Terminal AVAC Tipificado"</t>
  </si>
  <si>
    <t>"Entidade de Terminal Caixa AVAC de Ar"</t>
  </si>
  <si>
    <t>"Entidade de Terminal Caixa AVAC de Ar Tipificado"</t>
  </si>
  <si>
    <t>"Entidade de Terminal de Combate de Incêndio"</t>
  </si>
  <si>
    <t>"Entidade de Terminal de Combate de Incêndio Tipificado"</t>
  </si>
  <si>
    <t>"Entidade de Terminal de Fluído"</t>
  </si>
  <si>
    <t>"Entidade de Terminal de Fluído Tipificado"</t>
  </si>
  <si>
    <t>"Entidade de Terminal de Resíduos"</t>
  </si>
  <si>
    <t>"Entidade de Terminal de Resíduos Tipificado"</t>
  </si>
  <si>
    <t>"Entidade de Terminal Empilhável"</t>
  </si>
  <si>
    <t>"Entidade de Terminal Empilhável Tipificado"</t>
  </si>
  <si>
    <t>"Entidade de Terminal Sanitário"</t>
  </si>
  <si>
    <t>"Entidade de Terminal Sanitário Tipificado"</t>
  </si>
  <si>
    <t>"Entidade de Terreno"</t>
  </si>
  <si>
    <t>"Entidade de Texto Literal"</t>
  </si>
  <si>
    <t>"Entidade de Texto Literal Extendido"</t>
  </si>
  <si>
    <t>"Entidade de Tomada"</t>
  </si>
  <si>
    <t>"Entidade de Tomada Tipificado"</t>
  </si>
  <si>
    <t>"Entidade de Topologia Caminho"</t>
  </si>
  <si>
    <t>"Entidade de Topologia Loop"</t>
  </si>
  <si>
    <t>"Entidade de Topologia Loop de Borda"</t>
  </si>
  <si>
    <t>"Entidade de Topologia Loop de Vértice"</t>
  </si>
  <si>
    <t>"Entidade de Torre de Arrefecimento"</t>
  </si>
  <si>
    <t>"Entidade de Torre de Arrefecimento Tipificado"</t>
  </si>
  <si>
    <t>"Entidade de Transformador"</t>
  </si>
  <si>
    <t>"Entidade de Transformador Tipificado"</t>
  </si>
  <si>
    <t>"Entidade de Trocador de Calor"</t>
  </si>
  <si>
    <t>"Entidade de Trocador de Calor Tipificado"</t>
  </si>
  <si>
    <t>"Entidade de Umidificador"</t>
  </si>
  <si>
    <t>"Entidade de Umidificador Tipificado"</t>
  </si>
  <si>
    <t>"Entidade de Unidade Baseada em Conversão"</t>
  </si>
  <si>
    <t>"Entidade de Unidade Baseada em Conversão com Offset"</t>
  </si>
  <si>
    <t>"Entidade de Unidade de Disparo de Dispositivo de Proteção"</t>
  </si>
  <si>
    <t>"Entidade de Unidade de Disparo de Dispositivo de Proteção Tipificado"</t>
  </si>
  <si>
    <t>"Entidade de Unidade de Sistema Internacional SI"</t>
  </si>
  <si>
    <t>"Entidade de Unidade Dependente de Contexto"</t>
  </si>
  <si>
    <t>"Entidade de Unidade Derivada"</t>
  </si>
  <si>
    <t>"Entidade de Unidade Designação"</t>
  </si>
  <si>
    <t>"Entidade de Unidade Métrica"</t>
  </si>
  <si>
    <t>"Entidade de Unidade Monetária"</t>
  </si>
  <si>
    <t>"Entidade de Unidade Nome"</t>
  </si>
  <si>
    <t>"Entidade de Valor Aplicado"</t>
  </si>
  <si>
    <t>"Entidade de Valor de Área"</t>
  </si>
  <si>
    <t>"Entidade de Valor de Comprimento"</t>
  </si>
  <si>
    <t>"Entidade de Valor de Custo"</t>
  </si>
  <si>
    <t>"Entidade de Valor de Propriedade com Limites"</t>
  </si>
  <si>
    <t>"Entidade de Valor de Propriedade de Referência"</t>
  </si>
  <si>
    <t>"Entidade de Valor de Propriedade Enumerado"</t>
  </si>
  <si>
    <t>"Entidade de Valor de Propriedade Listadas"</t>
  </si>
  <si>
    <t>"Entidade de Valor de Propriedade Única"</t>
  </si>
  <si>
    <t>"Entidade de Valor de Tabela de Propriedades"</t>
  </si>
  <si>
    <t>"Entidade de Válvula"</t>
  </si>
  <si>
    <t>"Entidade de Válvula Tipificado"</t>
  </si>
  <si>
    <t>"Entidade de Ventilador"</t>
  </si>
  <si>
    <t>"Entidade de Ventilador Tipificado"</t>
  </si>
  <si>
    <t>"Entidade de Viga de Refrigeração"</t>
  </si>
  <si>
    <t>"Entidade de Viga de Refrigeração Tipificado"</t>
  </si>
  <si>
    <t>"Entidade de Viga Estrutural"</t>
  </si>
  <si>
    <t>"Entidade de Viga Estrutural Tipificado"</t>
  </si>
  <si>
    <t>"Entidade de Zona"</t>
  </si>
  <si>
    <t>"Entidade de Zona Espacial"</t>
  </si>
  <si>
    <t>"Entidade de Zona Espacial Tipificado"</t>
  </si>
  <si>
    <t>"Função de Arrays Gerar Array de Array"</t>
  </si>
  <si>
    <t>"Função de Arrays Gerar Lista com Array"</t>
  </si>
  <si>
    <t>"Função de Atribuir Local"</t>
  </si>
  <si>
    <t>"Função de Atribuir Objetos"</t>
  </si>
  <si>
    <t>"Função de Atribuir Unidades"</t>
  </si>
  <si>
    <t>"Função de Caminho Cabeça para Cauda"</t>
  </si>
  <si>
    <t>"Função de Converte Cabeça para Cauda"</t>
  </si>
  <si>
    <t>"Função de Converte Direção em 2D"</t>
  </si>
  <si>
    <t>"Função de Dimensão Correta"</t>
  </si>
  <si>
    <t>"Função de Dimensão Curva"</t>
  </si>
  <si>
    <t>"Função de Dimensão Derivar Expoentes"</t>
  </si>
  <si>
    <t>"Função de Dimensão Pontos"</t>
  </si>
  <si>
    <t>"Função de Dimensão Unidade Internacional SI"</t>
  </si>
  <si>
    <t>"Função de Eixos Eixo de Construção"</t>
  </si>
  <si>
    <t>"Função de Eixos Gerar 2 Eixos"</t>
  </si>
  <si>
    <t>"Função de Eixos Mesma Colocação no Eixo 2"</t>
  </si>
  <si>
    <t>"Função de Eixos Projeção no Primeiro Eixo"</t>
  </si>
  <si>
    <t>"Função de Eixos Projeção no Segundo Eixo"</t>
  </si>
  <si>
    <t>"Função de Escolha Booleana"</t>
  </si>
  <si>
    <t>"Função de Estilo Área de Preenchimento"</t>
  </si>
  <si>
    <t>"Função de Material Espessura Total"</t>
  </si>
  <si>
    <t>"Função de Mesma Direção"</t>
  </si>
  <si>
    <t>"Função de Mesma Precisão"</t>
  </si>
  <si>
    <t>"Função de Mesmo Ponto Cartesiano"</t>
  </si>
  <si>
    <t>"Função de Mesmo Valor"</t>
  </si>
  <si>
    <t>"Função de Nome de Conjunto de Propriedade Único"</t>
  </si>
  <si>
    <t>"Função de Nome de Definição Único"</t>
  </si>
  <si>
    <t>"Função de Nome de Modelos de Propriedade Único"</t>
  </si>
  <si>
    <t>"Função de Nome de Propriedade Única"</t>
  </si>
  <si>
    <t>"Função de Nome de Quantidade Única"</t>
  </si>
  <si>
    <t>"Função de Pegar a Superfície Base"</t>
  </si>
  <si>
    <t>"Função de Perfis de Área de Varredura Inclinda"</t>
  </si>
  <si>
    <t>"Função de Representação Formal"</t>
  </si>
  <si>
    <t>"Função de Representação Topológica"</t>
  </si>
  <si>
    <t>"Função de Restrições Paramétricas de BSpline"</t>
  </si>
  <si>
    <t>"Função de Superfície Associada"</t>
  </si>
  <si>
    <t>"Função de Verifica Positividade de Curva"</t>
  </si>
  <si>
    <t>"Função de Verifica Positividade de Superfície"</t>
  </si>
  <si>
    <t>"Função de Verifica Segmentos Consecutivos"</t>
  </si>
  <si>
    <t>"Função de Vetores Complemento Ortogonal"</t>
  </si>
  <si>
    <t>"Função de Vetores Diferença Vetorial"</t>
  </si>
  <si>
    <t>"Função de Vetores Eixo de Base"</t>
  </si>
  <si>
    <t>"Função de Vetores Normalizar"</t>
  </si>
  <si>
    <t>"Função de Vetores Produto Escalar"</t>
  </si>
  <si>
    <t>"Função de Vetores Produto Vetorial"</t>
  </si>
  <si>
    <t>"Função de Vetores Soma Vetorial"</t>
  </si>
  <si>
    <t>"Função de Vetores Vetor Escalar Multiplicado por Vetor"</t>
  </si>
  <si>
    <t>"Regra de Instancia de Projeto"</t>
  </si>
  <si>
    <t>"Quantidade de Aberturas"</t>
  </si>
  <si>
    <t>"Quantidade de Acabamentos ou Revestimentos"</t>
  </si>
  <si>
    <t>"Quantidade de Alarmes"</t>
  </si>
  <si>
    <t>"Quantidade de Andares"</t>
  </si>
  <si>
    <t>"Quantidade de Aparelhos Audiovisuais"</t>
  </si>
  <si>
    <t>"Quantidade de Aparelhos de Comunicação"</t>
  </si>
  <si>
    <t>"Quantidade de Aquecedores de Ambientes"</t>
  </si>
  <si>
    <t>"Quantidade de Atuadores"</t>
  </si>
  <si>
    <t>"Quantidade de Bombas"</t>
  </si>
  <si>
    <t>"Quantidade de Caixas de Junção"</t>
  </si>
  <si>
    <t>"Quantidade de Caldeiras"</t>
  </si>
  <si>
    <t>"Quantidade de Câmaras de Distribuição"</t>
  </si>
  <si>
    <t>"Quantidade de Chaminés"</t>
  </si>
  <si>
    <t>"Quantidade de Chillers"</t>
  </si>
  <si>
    <t>"Quantidade de Circulação Corrimões"</t>
  </si>
  <si>
    <t>"Quantidade de Circulação Escadas"</t>
  </si>
  <si>
    <t>"Quantidade de Circulação Rampas"</t>
  </si>
  <si>
    <t>"Quantidade de Colunas"</t>
  </si>
  <si>
    <t>"Quantidade de Compressores"</t>
  </si>
  <si>
    <t>"Quantidade de Condensadores"</t>
  </si>
  <si>
    <t>"Quantidade de Conexões de Cabeamento"</t>
  </si>
  <si>
    <t>"Quantidade de Conexões de Dutos"</t>
  </si>
  <si>
    <t>"Quantidade de Conexões de Motores"</t>
  </si>
  <si>
    <t>"Quantidade de Conexões de Transportadores de Cabeamento"</t>
  </si>
  <si>
    <t>"Quantidade de Conexões de Tubulação"</t>
  </si>
  <si>
    <t>"Quantidade de Construções"</t>
  </si>
  <si>
    <t>"Quantidade de Controladores"</t>
  </si>
  <si>
    <t>"Quantidade de Controles de Tempo Elétrico"</t>
  </si>
  <si>
    <t>"Quantidade de Dampers"</t>
  </si>
  <si>
    <t>"Quantidade de Dispositivos de Armazenamento Elétrico"</t>
  </si>
  <si>
    <t>"Quantidade de Dispositivos de Comutação"</t>
  </si>
  <si>
    <t>"Quantidade de Dispositivos de Proteção"</t>
  </si>
  <si>
    <t>"Quantidade de Dispositivos de Proteção de Disparo"</t>
  </si>
  <si>
    <t>"Quantidade de Dispositivos Solares"</t>
  </si>
  <si>
    <t>"Quantidade de Elementos de Projeção"</t>
  </si>
  <si>
    <t>"Quantidade de Eletrodomésticos"</t>
  </si>
  <si>
    <t>"Quantidade de Equipamentos"</t>
  </si>
  <si>
    <t>"Quantidade de Equipamentos de Controle"</t>
  </si>
  <si>
    <t>"Quantidade de Espaços"</t>
  </si>
  <si>
    <t>"Quantidade de Evaporadores"</t>
  </si>
  <si>
    <t>"Quantidade de Feixe de Tubos"</t>
  </si>
  <si>
    <t>"Quantidade de Filtros"</t>
  </si>
  <si>
    <t>"Quantidade de Fundações"</t>
  </si>
  <si>
    <t>"Quantidade de Fundações Estacas"</t>
  </si>
  <si>
    <t>"Quantidade de Geradores Elétricos"</t>
  </si>
  <si>
    <t>"Quantidade de Instrumentos de Fluídos"</t>
  </si>
  <si>
    <t>"Quantidade de Interceptadores"</t>
  </si>
  <si>
    <t>"Quantidade de Isoladores de Vibração"</t>
  </si>
  <si>
    <t>"Quantidade de Janelas"</t>
  </si>
  <si>
    <t>"Quantidade de Lajes"</t>
  </si>
  <si>
    <t>"Quantidade de Lâmpadas"</t>
  </si>
  <si>
    <t>"Quantidade de Luminárias"</t>
  </si>
  <si>
    <t>"Quantidade de Medidores"</t>
  </si>
  <si>
    <t>"Quantidade de Membros"</t>
  </si>
  <si>
    <t>"Quantidade de Motores Elétricos"</t>
  </si>
  <si>
    <t>"Quantidade de Paredes"</t>
  </si>
  <si>
    <t>"Quantidade de Paredes Cortina"</t>
  </si>
  <si>
    <t>"Quantidade de Placas"</t>
  </si>
  <si>
    <t>"Quantidade de Portas"</t>
  </si>
  <si>
    <t>"Quantidade de Proxy de Elementos Construtivos"</t>
  </si>
  <si>
    <t>"Quantidade de Quadros de Distribuição Elétrica"</t>
  </si>
  <si>
    <t>"Quantidade de Queimadores"</t>
  </si>
  <si>
    <t>"Quantidade de Recuperadores de Calor Ar-Ar"</t>
  </si>
  <si>
    <t>"Quantidade de Recursos de Equipamentos de Construção"</t>
  </si>
  <si>
    <t>"Quantidade de Recursos de Materiais de Construção"</t>
  </si>
  <si>
    <t>"Quantidade de Recursos de Tarefas"</t>
  </si>
  <si>
    <t>"Quantidade de Reforço Estrutural"</t>
  </si>
  <si>
    <t>"Quantidade de Refrigeradores Evaporativos"</t>
  </si>
  <si>
    <t>"Quantidade de Segmentos de Cabeamento"</t>
  </si>
  <si>
    <t>"Quantidade de Segmentos de Dutos"</t>
  </si>
  <si>
    <t>"Quantidade de Segmentos de Transportadores de Cabeamento"</t>
  </si>
  <si>
    <t>"Quantidade de Segmentos de Tubulação"</t>
  </si>
  <si>
    <t>"Quantidade de Sensores"</t>
  </si>
  <si>
    <t>"Quantidade de Serpentinas"</t>
  </si>
  <si>
    <t>"Quantidade de Silenciadores de Dutos"</t>
  </si>
  <si>
    <t>"Quantidade de Sítio"</t>
  </si>
  <si>
    <t>"Quantidade de Tanques"</t>
  </si>
  <si>
    <t>"Quantidade de Telhados"</t>
  </si>
  <si>
    <t>"Quantidade de Tomadas"</t>
  </si>
  <si>
    <t>"Quantidade de Torres de Arrefecimento"</t>
  </si>
  <si>
    <t>"Quantidade de Transformadores"</t>
  </si>
  <si>
    <t>"Quantidade de Trocadores de Calor"</t>
  </si>
  <si>
    <t>"Quantidade de Umidificadores"</t>
  </si>
  <si>
    <t>"Quantidade de Válvulas"</t>
  </si>
  <si>
    <t>"Quantidade de Ventiladores"</t>
  </si>
  <si>
    <t>"Quantidade de Vigas"</t>
  </si>
  <si>
    <t>"Quantidade de Vigas de Refrigeração"</t>
  </si>
  <si>
    <t>"Pset_CoveringCommon"</t>
  </si>
  <si>
    <t>"Pset_DiscreteAccessoryLadderTrussConnector"</t>
  </si>
  <si>
    <t>"Pset_DiscreteAccessoryDiagonalTrussConnector"</t>
  </si>
  <si>
    <t>"Pset_ThermalLoadAggregate"</t>
  </si>
  <si>
    <t>"Pset_MaterialWater"</t>
  </si>
  <si>
    <t>"Pset_AlarmTypeCommon"</t>
  </si>
  <si>
    <t>"Pset_SpaceCommon"</t>
  </si>
  <si>
    <t>"Pset_TendonAnchorCommon"</t>
  </si>
  <si>
    <t>"Pset_BuildingStoreyCommon"</t>
  </si>
  <si>
    <t>"Pset_AnnotationSurveyArea"</t>
  </si>
  <si>
    <t>"Pset_AudioVisualApplianceTypeCommon"</t>
  </si>
  <si>
    <t>"Pset_AudioVisualApplianceTypeProjector"</t>
  </si>
  <si>
    <t>"Pset_AudioVisualApplianceTypeReceiver"</t>
  </si>
  <si>
    <t>"Pset_AudioVisualApplianceTypeSpeaker"</t>
  </si>
  <si>
    <t>"Pset_AudioVisualApplianceTypeAmplifier"</t>
  </si>
  <si>
    <t>"Pset_AudioVisualApplianceTypeCamera"</t>
  </si>
  <si>
    <t>"Pset_AudioVisualApplianceTypePlayer"</t>
  </si>
  <si>
    <t>"Pset_AudioVisualApplianceTypeDisplay"</t>
  </si>
  <si>
    <t>"Pset_UnitaryEquipmentTypeAirConditioningUnit"</t>
  </si>
  <si>
    <t>"Pset_CommunicationsApplianceTypeCommon"</t>
  </si>
  <si>
    <t>"Pset_ElectricApplianceTypeCommon"</t>
  </si>
  <si>
    <t>"Pset_SpaceHeaterTypeCommon"</t>
  </si>
  <si>
    <t>"Pset_SpaceHeaterTypeConvector"</t>
  </si>
  <si>
    <t>"Pset_SoundAttenuation"</t>
  </si>
  <si>
    <t>"Pset_Asset"</t>
  </si>
  <si>
    <t>"Pset_ActorCommon"</t>
  </si>
  <si>
    <t>"Pset_ActuatorTypeCommon"</t>
  </si>
  <si>
    <t>"Pset_ActuatorTypeRotationalActuation"</t>
  </si>
  <si>
    <t>"Pset_ActuatorTypeElectricActuator"</t>
  </si>
  <si>
    <t>"Pset_ActuatorTypeHydraulicActuator"</t>
  </si>
  <si>
    <t>"Pset_ActuatorTypeLinearActuation"</t>
  </si>
  <si>
    <t>"Pset_ActuatorTypePneumaticActuator"</t>
  </si>
  <si>
    <t>"Pset_ReinforcingBarCommon"</t>
  </si>
  <si>
    <t>"Pset_PumpTypeCommon"</t>
  </si>
  <si>
    <t>"Pset_DistributionPortPHistoryCable"</t>
  </si>
  <si>
    <t>"Pset_LandRegistration"</t>
  </si>
  <si>
    <t>"Pset_AirTerminalBoxTypeCommon"</t>
  </si>
  <si>
    <t>"Pset_JunctionBoxTypeCommon"</t>
  </si>
  <si>
    <t>"Pset_BoilerTypeCommon"</t>
  </si>
  <si>
    <t>"Pset_BoilerTypeWater"</t>
  </si>
  <si>
    <t>"Pset_BoilerTypeSteam"</t>
  </si>
  <si>
    <t>"Pset_DistributionChamberElementTypeManhole"</t>
  </si>
  <si>
    <t>"Pset_DistributionChamberElementTypeMeterChamber"</t>
  </si>
  <si>
    <t>"Pset_DistributionChamberElementTypeSump"</t>
  </si>
  <si>
    <t>"Pset_DistributionChamberElementTypeInspectionChamber"</t>
  </si>
  <si>
    <t>"Pset_DistributionChamberElementTypeValveChamber"</t>
  </si>
  <si>
    <t>"Pset_DistributionChamberElementTypeTrench"</t>
  </si>
  <si>
    <t>"Pset_SpaceThermalLoad"</t>
  </si>
  <si>
    <t>"Pset_ChillerTypeCommon"</t>
  </si>
  <si>
    <t>"Pset_FanCentrifugal"</t>
  </si>
  <si>
    <t>"Pset_ChimneyCommon"</t>
  </si>
  <si>
    <t>"Pset_ColumnCommon"</t>
  </si>
  <si>
    <t>"Pset_CompressorTypeCommon"</t>
  </si>
  <si>
    <t>"Pset_CondenserTypeCommon"</t>
  </si>
  <si>
    <t>"Pset_Condition"</t>
  </si>
  <si>
    <t>"Pset_CableFittingTypeCommon"</t>
  </si>
  <si>
    <t>"Pset_DuctFittingTypeCommon"</t>
  </si>
  <si>
    <t>"Pset_FireSuppressionTerminalTypeBreechingInlet"</t>
  </si>
  <si>
    <t>"Pset_MotorConnectionTypeCommon"</t>
  </si>
  <si>
    <t>"Pset_CableCarrierFittingTypeCommon"</t>
  </si>
  <si>
    <t>"Pset_PipeFittingTypeCommon"</t>
  </si>
  <si>
    <t>"Pset_PipeConnectionFlanged"</t>
  </si>
  <si>
    <t>"Pset_PipeFittingTypeBend"</t>
  </si>
  <si>
    <t>"Pset_ReinforcementBarCountOfIndependentFooting"</t>
  </si>
  <si>
    <t>"Pset_PropertyAgreement"</t>
  </si>
  <si>
    <t>"Pset_ControllerTypeCommon"</t>
  </si>
  <si>
    <t>"Pset_ElectricTimeControlTypeCommon"</t>
  </si>
  <si>
    <t>"Pset_ControllerTypeFloating"</t>
  </si>
  <si>
    <t>"Pset_ControllerTypeMultiPosition"</t>
  </si>
  <si>
    <t>"Pset_ControllerTypeProgrammable"</t>
  </si>
  <si>
    <t>"Pset_ControllerTypeProportional"</t>
  </si>
  <si>
    <t>"Pset_WorkControlCommon"</t>
  </si>
  <si>
    <t>"Pset_DamperTypeControlDamper"</t>
  </si>
  <si>
    <t>"Pset_DamperTypeCommon"</t>
  </si>
  <si>
    <t>"Pset_DamperTypeFireSmokeDamper"</t>
  </si>
  <si>
    <t>"Pset_DamperTypeSmokeDamper"</t>
  </si>
  <si>
    <t>"Pset_DamperTypeFireDamper"</t>
  </si>
  <si>
    <t>"Pset_RailingCommon"</t>
  </si>
  <si>
    <t>"Pset_OutsideDesignCriteria"</t>
  </si>
  <si>
    <t>"Pset_ThermalLoadDesignCriteria"</t>
  </si>
  <si>
    <t>"Pset_ProtectiveDeviceTrippingCurve"</t>
  </si>
  <si>
    <t>"Pset_ElectricFlowStorageDeviceTypeCommon"</t>
  </si>
  <si>
    <t>"Pset_SwitchingDeviceTypeCommon"</t>
  </si>
  <si>
    <t>"Pset_SwitchingDeviceTypeContactor"</t>
  </si>
  <si>
    <t>"Pset_SwitchingDeviceTypeSwitchDisconnector"</t>
  </si>
  <si>
    <t>"Pset_ProtectiveDeviceTypeCommon"</t>
  </si>
  <si>
    <t>"Pset_ProtectiveDeviceTrippingUnitTimeAdjustment"</t>
  </si>
  <si>
    <t>"Pset_ProtectiveDeviceTrippingUnitCurrentAdjustment"</t>
  </si>
  <si>
    <t>"Pset_ProtectiveDeviceTypeEarthLeakageCircuitBreaker"</t>
  </si>
  <si>
    <t>"Pset_ProtectiveDeviceTypeResidualCurrentCircuitBreaker"</t>
  </si>
  <si>
    <t>"Pset_ProtectiveDeviceTypeFuseDisconnector"</t>
  </si>
  <si>
    <t>"Pset_ProtectiveDeviceTypeCircuitBreaker"</t>
  </si>
  <si>
    <t>"Pset_ProtectiveDeviceBreakerUnitTypeMotorProtection"</t>
  </si>
  <si>
    <t>"Pset_ProtectiveDeviceTrippingUnitTypeResidualCurrent"</t>
  </si>
  <si>
    <t>"Pset_ProtectiveDeviceTrippingUnitTypeElectroMagnetic"</t>
  </si>
  <si>
    <t>"Pset_ProtectiveDeviceTrippingUnitTypeElectronic"</t>
  </si>
  <si>
    <t>"Pset_ProtectiveDeviceTrippingUnitTypeThermal"</t>
  </si>
  <si>
    <t>"Pset_ShadingDeviceCommon"</t>
  </si>
  <si>
    <t>"Pset_ElectricalDeviceCommon"</t>
  </si>
  <si>
    <t>"Pset_MedicalDeviceTypeCommon"</t>
  </si>
  <si>
    <t>"Pset_SolarDeviceTypeCommon"</t>
  </si>
  <si>
    <t>"Pset_DistributionPortTypeDuct"</t>
  </si>
  <si>
    <t>"Pset_DistributionPortPHistoryDuct"</t>
  </si>
  <si>
    <t>"Pset_DistributionChamberElementTypeFormedDuct"</t>
  </si>
  <si>
    <t>"Pset_BuildingCommon"</t>
  </si>
  <si>
    <t>"Pset_CivilElementCommon"</t>
  </si>
  <si>
    <t>"Pset_ConcreteElementGeneral"</t>
  </si>
  <si>
    <t>"Pset_DistributionChamberElementCommon"</t>
  </si>
  <si>
    <t>"Pset_OpeningElementCommon"</t>
  </si>
  <si>
    <t>"Pset_PrecastConcreteElementGeneral"</t>
  </si>
  <si>
    <t>"Pset_UnitaryControlElementTypeCommon"</t>
  </si>
  <si>
    <t>"Pset_SystemFurnitureElementTypeCommon"</t>
  </si>
  <si>
    <t>"Pset_TransportElementCommon"</t>
  </si>
  <si>
    <t>"Pset_ElementComponentCommon"</t>
  </si>
  <si>
    <t>"Pset_TransportElementElevator"</t>
  </si>
  <si>
    <t>"Pset_MaterialEnergy"</t>
  </si>
  <si>
    <t>"Pset_UnitaryEquipmentTypeCommon"</t>
  </si>
  <si>
    <t>"Pset_StairCommon"</t>
  </si>
  <si>
    <t>"Pset_StairFlightCommon"</t>
  </si>
  <si>
    <t>"Pset_PileCommon"</t>
  </si>
  <si>
    <t>"Pset_SpaceParking"</t>
  </si>
  <si>
    <t>"Pset_EvaporatorTypeCommon"</t>
  </si>
  <si>
    <t>"Pset_TankTypeExpansion"</t>
  </si>
  <si>
    <t>"Pset_PrecastConcreteElementFabrication"</t>
  </si>
  <si>
    <t>"Pset_ServiceLifeFactors"</t>
  </si>
  <si>
    <t>"Pset_TubeBundleTypeFinned"</t>
  </si>
  <si>
    <t>"Pset_FilterTypeCommon"</t>
  </si>
  <si>
    <t>"Pset_FilterTypeCompressedAirFilter"</t>
  </si>
  <si>
    <t>"Pset_FilterTypeWaterFilter"</t>
  </si>
  <si>
    <t>"Pset_FilterTypeAirParticleFilter"</t>
  </si>
  <si>
    <t>"Pset_MechanicalFastenerCommon"</t>
  </si>
  <si>
    <t>"Pset_ElectricApplianceTypeElectricCooker"</t>
  </si>
  <si>
    <t>"Pset_SanitaryTerminalTypeSanitaryFountain"</t>
  </si>
  <si>
    <t>"Pset_CoveringCeiling"</t>
  </si>
  <si>
    <t>"Pset_DistributionChamberElementTypeInspectionPit"</t>
  </si>
  <si>
    <t>"Pset_ProtectiveDeviceTrippingFunctionGCurve"</t>
  </si>
  <si>
    <t>"Pset_ProtectiveDeviceTrippingFunctionSCurve"</t>
  </si>
  <si>
    <t>"Pset_ProtectiveDeviceTrippingFunctionICurve"</t>
  </si>
  <si>
    <t>"Pset_ProtectiveDeviceTrippingFunctionLCurve"</t>
  </si>
  <si>
    <t>"Pset_BuildingUse"</t>
  </si>
  <si>
    <t>"Pset_BuildingUseAdjacent"</t>
  </si>
  <si>
    <t>"Pset_FootingCommon"</t>
  </si>
  <si>
    <t>"Pset_Warranty"</t>
  </si>
  <si>
    <t>"Pset_SoundGeneration"</t>
  </si>
  <si>
    <t>"Pset_ElectricGeneratorTypeCommon"</t>
  </si>
  <si>
    <t>"Pset_FireSuppressionTerminalTypeFireHydrant"</t>
  </si>
  <si>
    <t>"Pset_CoilTypeHydronic"</t>
  </si>
  <si>
    <t>"Pset_MaterialHygroscopic"</t>
  </si>
  <si>
    <t>"Pset_PumpPHistory"</t>
  </si>
  <si>
    <t>"Pset_AirTerminalBoxPHistory"</t>
  </si>
  <si>
    <t>"Pset_BoilerPHistory"</t>
  </si>
  <si>
    <t>"Pset_SpaceThermalLoadPHistory"</t>
  </si>
  <si>
    <t>"Pset_DuctFittingPHistory"</t>
  </si>
  <si>
    <t>"Pset_PipeFittingPHistory"</t>
  </si>
  <si>
    <t>"Pset_AirToAirHeatRecoveryPHistory"</t>
  </si>
  <si>
    <t>"Pset_CoilPHistory"</t>
  </si>
  <si>
    <t>"Pset_CoolingTowerPHistory"</t>
  </si>
  <si>
    <t>"Pset_ValvePHistory"</t>
  </si>
  <si>
    <t>"Pset_CooledBeamPHistory"</t>
  </si>
  <si>
    <t>"Pset_CooledBeamPHistoryActive"</t>
  </si>
  <si>
    <t>"Pset_UtilityConsumptionPHistory"</t>
  </si>
  <si>
    <t>"Pset_ElectricAppliancePHistory"</t>
  </si>
  <si>
    <t>"Pset_AlarmPHistory"</t>
  </si>
  <si>
    <t>"Pset_DamperPHistory"</t>
  </si>
  <si>
    <t>"Pset_AudioVisualAppliancePHistory"</t>
  </si>
  <si>
    <t>"Pset_CommunicationsAppliancePHistory"</t>
  </si>
  <si>
    <t>"Pset_SpaceHeaterPHistory"</t>
  </si>
  <si>
    <t>"Pset_ActuatorPHistory"</t>
  </si>
  <si>
    <t>"Pset_ChillerPHistory"</t>
  </si>
  <si>
    <t>"Pset_CompressorPHistory"</t>
  </si>
  <si>
    <t>"Pset_CondenserPHistory"</t>
  </si>
  <si>
    <t>"Pset_ControllerPHistory"</t>
  </si>
  <si>
    <t>"Pset_EvaporativeCoolerPHistory"</t>
  </si>
  <si>
    <t>"Pset_ElectricFlowStorageDevicePHistory"</t>
  </si>
  <si>
    <t>"Pset_ShadingDevicePHistory"</t>
  </si>
  <si>
    <t>"Pset_UnitaryControlElementPHistory"</t>
  </si>
  <si>
    <t>"Pset_EvaporatorPHistory"</t>
  </si>
  <si>
    <t>"Pset_FilterPHistory"</t>
  </si>
  <si>
    <t>"Pset_FlowInstrumentPHistory"</t>
  </si>
  <si>
    <t>"Pset_DuctSegmentPHistory"</t>
  </si>
  <si>
    <t>"Pset_PipeSegmentPHistory"</t>
  </si>
  <si>
    <t>"Pset_SensorPHistory"</t>
  </si>
  <si>
    <t>"Pset_DuctSilencerPHistory"</t>
  </si>
  <si>
    <t>"Pset_TankPHistory"</t>
  </si>
  <si>
    <t>"Pset_AirTerminalPHistory"</t>
  </si>
  <si>
    <t>"Pset_SwitchingDeviceTypePHistory"</t>
  </si>
  <si>
    <t>"Pset_HumidifierPHistory"</t>
  </si>
  <si>
    <t>"Pset_FanPHistory"</t>
  </si>
  <si>
    <t>"Pset_SpaceThermalPHistory"</t>
  </si>
  <si>
    <t>"Pset_ReinforcementBarPitchOfSlab"</t>
  </si>
  <si>
    <t>"Pset_ReinforcementBarPitchOfContinuousFooting"</t>
  </si>
  <si>
    <t>"Pset_ReinforcementBarPitchOfBeam"</t>
  </si>
  <si>
    <t>"Pset_ReinforcementBarPitchOfColumn"</t>
  </si>
  <si>
    <t>"Pset_ReinforcementBarPitchOfWall"</t>
  </si>
  <si>
    <t>"Pset_EnvironmentalImpactIndicators"</t>
  </si>
  <si>
    <t>"Pset_AirSideSystemInformation"</t>
  </si>
  <si>
    <t>"Pset_ManufacturerTypeInformation"</t>
  </si>
  <si>
    <t>"Pset_PackingInstructions"</t>
  </si>
  <si>
    <t>"Pset_FlowInstrumentTypeCommon"</t>
  </si>
  <si>
    <t>"Pset_InterceptorTypeCommon"</t>
  </si>
  <si>
    <t>"Pset_SwitchingDeviceTypeToggleSwitch"</t>
  </si>
  <si>
    <t>"Pset_ProtectiveDeviceTypeResidualCurrentSwitch"</t>
  </si>
  <si>
    <t>"Pset_SwitchingDeviceTypeStarter"</t>
  </si>
  <si>
    <t>"Pset_SwitchingDeviceTypeDimmerSwitch"</t>
  </si>
  <si>
    <t>"Pset_SwitchingDeviceTypeMomentarySwitch"</t>
  </si>
  <si>
    <t>"Pset_VibrationIsolatorTypeCommon"</t>
  </si>
  <si>
    <t>"Pset_ValveTypeIsolating"</t>
  </si>
  <si>
    <t>"Pset_WindowCommon"</t>
  </si>
  <si>
    <t>"Pset_PipeFittingTypeJunction"</t>
  </si>
  <si>
    <t>"Pset_LampTypeCommon"</t>
  </si>
  <si>
    <t>"Pset_ValveTypeFlushing"</t>
  </si>
  <si>
    <t>"Pset_ElectricApplianceTypeDishwasher"</t>
  </si>
  <si>
    <t>"Pset_ValveTypeAirRelease"</t>
  </si>
  <si>
    <t>"Pset_AnnotationContourLine"</t>
  </si>
  <si>
    <t>"Pset_AnnotationLineOfSight"</t>
  </si>
  <si>
    <t>"Pset_SiteCommon"</t>
  </si>
  <si>
    <t>"Pset_LightFixtureTypeCommon"</t>
  </si>
  <si>
    <t>"Pset_LightFixtureTypeSecurityLighting"</t>
  </si>
  <si>
    <t>"Pset_FlowInstrumentTypePressureGauge"</t>
  </si>
  <si>
    <t>"Pset_UnitaryEquipmentTypeAirHandler"</t>
  </si>
  <si>
    <t>"Pset_MaterialCombustion"</t>
  </si>
  <si>
    <t>"Pset_MaterialConcrete"</t>
  </si>
  <si>
    <t>"Pset_MaterialCommon"</t>
  </si>
  <si>
    <t>"Pset_MaterialSteel"</t>
  </si>
  <si>
    <t>"Pset_MaterialFuel"</t>
  </si>
  <si>
    <t>"Pset_MaterialWoodBasedBeam"</t>
  </si>
  <si>
    <t>"Pset_MaterialWoodBasedPanel"</t>
  </si>
  <si>
    <t>"Pset_MaterialWood"</t>
  </si>
  <si>
    <t>"Pset_MaterialThermal"</t>
  </si>
  <si>
    <t>"Pset_FlowMeterTypeWaterMeter"</t>
  </si>
  <si>
    <t>"Pset_FlowMeterTypeEnergyMeter"</t>
  </si>
  <si>
    <t>"Pset_FlowMeterTypeCommon"</t>
  </si>
  <si>
    <t>"Pset_FlowMeterTypeGasMeter"</t>
  </si>
  <si>
    <t>"Pset_FlowMeterTypeOilMeter"</t>
  </si>
  <si>
    <t>"Pset_MemberCommon"</t>
  </si>
  <si>
    <t>"Pset_StructuralSurfaceMemberVaryingThickness"</t>
  </si>
  <si>
    <t>"Pset_SanitaryTerminalTypeUrinal"</t>
  </si>
  <si>
    <t>"Pset_ValveTypeMixing"</t>
  </si>
  <si>
    <t>"Pset_FurnitureTypeCommon"</t>
  </si>
  <si>
    <t>"Pset_FurnitureTypeTable"</t>
  </si>
  <si>
    <t>"Pset_FurnitureTypeChair"</t>
  </si>
  <si>
    <t>"Pset_FurnitureTypeDesk"</t>
  </si>
  <si>
    <t>"Pset_FurnitureTypeFileCabinet"</t>
  </si>
  <si>
    <t>"Pset_ElementAssemblyCommon"</t>
  </si>
  <si>
    <t>"Pset_EngineTypeCommon"</t>
  </si>
  <si>
    <t>"Pset_ElectricMotorTypeCommon"</t>
  </si>
  <si>
    <t>"Pset_DuctFittingOccurrence"</t>
  </si>
  <si>
    <t>"Pset_DamperOccurrence"</t>
  </si>
  <si>
    <t>"Pset_CoilOccurrence"</t>
  </si>
  <si>
    <t>"Pset_PumpOccurrence"</t>
  </si>
  <si>
    <t>"Pset_PipeFittingOccurrence"</t>
  </si>
  <si>
    <t>"Pset_ProtectiveDeviceOccurrence"</t>
  </si>
  <si>
    <t>"Pset_TankOccurrence"</t>
  </si>
  <si>
    <t>"Pset_FanOccurrence"</t>
  </si>
  <si>
    <t>"Pset_ManufacturerOccurrence"</t>
  </si>
  <si>
    <t>"Pset_FlowMeterOccurrence"</t>
  </si>
  <si>
    <t>"Pset_ElectricDistributionBoardOccurrence"</t>
  </si>
  <si>
    <t>"Pset_CableSegmentOccurrence"</t>
  </si>
  <si>
    <t>"Pset_DuctSegmentOccurrence"</t>
  </si>
  <si>
    <t>"Pset_PipeSegmentOccurrence"</t>
  </si>
  <si>
    <t>"Pset_AirTerminalOccurrence"</t>
  </si>
  <si>
    <t>"Pset_ProjectOrderPurchaseOrder"</t>
  </si>
  <si>
    <t>"Pset_ProjectOrderMaintenanceWorkOrder"</t>
  </si>
  <si>
    <t>"Pset_ProjectOrderMoveOrder"</t>
  </si>
  <si>
    <t>"Pset_ProjectOrderWorkOrder"</t>
  </si>
  <si>
    <t>"Pset_ProjectOrderChangeOrder"</t>
  </si>
  <si>
    <t>"Pset_SystemFurnitureElementTypePanel"</t>
  </si>
  <si>
    <t>"Pset_UnitaryControlElementTypeIndicatorPanel"</t>
  </si>
  <si>
    <t>"Pset_SwitchingDeviceTypeEmergencyStop"</t>
  </si>
  <si>
    <t>"Pset_MechanicalFastenerBolt"</t>
  </si>
  <si>
    <t>"Pset_MechanicalFastenerAnchorBolt"</t>
  </si>
  <si>
    <t>"Pset_WallCommon"</t>
  </si>
  <si>
    <t>"Pset_CurtainWallCommon"</t>
  </si>
  <si>
    <t>"Pset_ProfileArbitraryDoubleT"</t>
  </si>
  <si>
    <t>"Pset_ProfileMechanical"</t>
  </si>
  <si>
    <t>"Pset_ProfileArbitraryHollowCore"</t>
  </si>
  <si>
    <t>"Pset_Permit"</t>
  </si>
  <si>
    <t>"Pset_SanitaryTerminalTypeSink"</t>
  </si>
  <si>
    <t>"Pset_PlateCommon"</t>
  </si>
  <si>
    <t>"Pset_DiscreteAccessoryEdgeFixingPlate"</t>
  </si>
  <si>
    <t>"Pset_DiscreteAccessoryCornerFixingPlate"</t>
  </si>
  <si>
    <t>"Pset_DiscreteAccessoryStandardFixingPlate"</t>
  </si>
  <si>
    <t>"Pset_HeatExchangerTypePlate"</t>
  </si>
  <si>
    <t>"Pset_PrecastSlab"</t>
  </si>
  <si>
    <t>"Pset_DistributionPortTypePipe"</t>
  </si>
  <si>
    <t>"Pset_DoorCommon"</t>
  </si>
  <si>
    <t>"Pset_DistributionPortTypeCable"</t>
  </si>
  <si>
    <t>"Pset_DistributionPortCommon"</t>
  </si>
  <si>
    <t>"Pset_ControllerTypeTwoPosition"</t>
  </si>
  <si>
    <t>"Pset_SpaceThermalDesign"</t>
  </si>
  <si>
    <t>"Pset_MaterialOptical"</t>
  </si>
  <si>
    <t>"Pset_MaterialMechanical"</t>
  </si>
  <si>
    <t>"Pset_BuildingElementProxyCommon"</t>
  </si>
  <si>
    <t>"Pset_BuildingElementProxyProvisionForVoid"</t>
  </si>
  <si>
    <t>"Pset_ElectricDistributionBoardTypeCommon"</t>
  </si>
  <si>
    <t>"Pset_BurnerTypeCommon"</t>
  </si>
  <si>
    <t>"Pset_SpaceHeaterTypeRadiator"</t>
  </si>
  <si>
    <t>"Pset_RampCommon"</t>
  </si>
  <si>
    <t>"Pset_RampFlightCommon"</t>
  </si>
  <si>
    <t>"Pset_AirToAirHeatRecoveryTypeCommon"</t>
  </si>
  <si>
    <t>"Pset_ConstructionResource"</t>
  </si>
  <si>
    <t>"Pset_DiscreteAccessoryWireLoop"</t>
  </si>
  <si>
    <t>"Pset_ReinforcingMeshCommon"</t>
  </si>
  <si>
    <t>"Pset_SpaceCoveringRequirements"</t>
  </si>
  <si>
    <t>"Pset_SpaceLightingRequirements"</t>
  </si>
  <si>
    <t>"Pset_SpaceOccupancyRequirements"</t>
  </si>
  <si>
    <t>"Pset_SpaceFireSafetyRequirements"</t>
  </si>
  <si>
    <t>"Pset_SpaceThermalRequirements"</t>
  </si>
  <si>
    <t>"Pset_EvaporativeCoolerTypeCommon"</t>
  </si>
  <si>
    <t>"Pset_CoveringFlooring"</t>
  </si>
  <si>
    <t>"Pset_Risk"</t>
  </si>
  <si>
    <t>"Pset_DiscreteAccessoryColumnShoe"</t>
  </si>
  <si>
    <t>"Pset_CableSegmentTypeCableSegment"</t>
  </si>
  <si>
    <t>"Pset_CableCarrierSegmentTypeCableTrunkingSegment"</t>
  </si>
  <si>
    <t>"Pset_CableCarrierSegmentTypeCableLadderSegment"</t>
  </si>
  <si>
    <t>"Pset_CableSegmentTypeCommon"</t>
  </si>
  <si>
    <t>"Pset_CableSegmentTypeConductorSegment"</t>
  </si>
  <si>
    <t>"Pset_CableSegmentTypeBusBarSegment"</t>
  </si>
  <si>
    <t>"Pset_CableSegmentTypeCoreSegment"</t>
  </si>
  <si>
    <t>"Pset_CableCarrierSegmentTypeConduitSegment"</t>
  </si>
  <si>
    <t>"Pset_CableCarrierSegmentTypeCommon"</t>
  </si>
  <si>
    <t>"Pset_CableCarrierSegmentTypeCableTraySegment"</t>
  </si>
  <si>
    <t>"Pset_PipeSegmentTypeCulvert"</t>
  </si>
  <si>
    <t>"Pset_DuctSegmentTypeCommon"</t>
  </si>
  <si>
    <t>"Pset_PipeSegmentTypeCommon"</t>
  </si>
  <si>
    <t>"Pset_PipeSegmentTypeGutter"</t>
  </si>
  <si>
    <t>"Pset_SwitchingDeviceTypeSelectorSwitch"</t>
  </si>
  <si>
    <t>"Pset_SensorTypeCommon"</t>
  </si>
  <si>
    <t>"Pset_SensorTypeHeatSensor"</t>
  </si>
  <si>
    <t>"Pset_SensorTypeCO2Sensor"</t>
  </si>
  <si>
    <t>"Pset_SensorTypeIonConcentrationSensor"</t>
  </si>
  <si>
    <t>"Pset_SensorTypeConductanceSensor"</t>
  </si>
  <si>
    <t>"Pset_SensorTypeContactSensor"</t>
  </si>
  <si>
    <t>"Pset_SensorTypeFlowSensor"</t>
  </si>
  <si>
    <t>"Pset_SensorTypeSmokeSensor"</t>
  </si>
  <si>
    <t>"Pset_SensorTypeGasSensor"</t>
  </si>
  <si>
    <t>"Pset_SensorTypeFrostSensor"</t>
  </si>
  <si>
    <t>"Pset_SensorTypeFireSensor"</t>
  </si>
  <si>
    <t>"Pset_SensorTypeLightSensor"</t>
  </si>
  <si>
    <t>"Pset_SensorTypeMovementSensor"</t>
  </si>
  <si>
    <t>"Pset_SensorTypeLevelSensor"</t>
  </si>
  <si>
    <t>"Pset_SensorTypePHSensor"</t>
  </si>
  <si>
    <t>"Pset_SensorTypePressureSensor"</t>
  </si>
  <si>
    <t>"Pset_SensorTypeRadiationSensor"</t>
  </si>
  <si>
    <t>"Pset_SensorTypeRadioactivitySensor"</t>
  </si>
  <si>
    <t>"Pset_SensorTypeSoundSensor"</t>
  </si>
  <si>
    <t>"Pset_SensorTypeTemperatureSensor"</t>
  </si>
  <si>
    <t>"Pset_SensorTypeHumiditySensor"</t>
  </si>
  <si>
    <t>"Pset_SensorTypeMoistureSensor"</t>
  </si>
  <si>
    <t>"Pset_SensorTypeWindSensor"</t>
  </si>
  <si>
    <t>"Pset_SensorTypeIdentifierSensor"</t>
  </si>
  <si>
    <t>"Pset_CoilTypeCommon"</t>
  </si>
  <si>
    <t>"Pset_TubeBundleTypeCommon"</t>
  </si>
  <si>
    <t>"Pset_WasteTerminalTypeFloorTrap"</t>
  </si>
  <si>
    <t>"Pset_DuctSilencerTypeCommon"</t>
  </si>
  <si>
    <t>"Pset_AudioVisualApplianceTypeTuner"</t>
  </si>
  <si>
    <t>"Pset_BuildingSystemCommon"</t>
  </si>
  <si>
    <t>"Pset_DistributionSystemCommon"</t>
  </si>
  <si>
    <t>"Pset_DistributionSystemTypeElectrical"</t>
  </si>
  <si>
    <t>"Pset_SlabCommon"</t>
  </si>
  <si>
    <t>"Pset_FastenerWeld"</t>
  </si>
  <si>
    <t>"Pset_ActionRequest"</t>
  </si>
  <si>
    <t>"Pset_DiscreteAccessoryFixingSocket"</t>
  </si>
  <si>
    <t>"Pset_SystemFurnitureElementTypeWorkSurface"</t>
  </si>
  <si>
    <t>"Pset_TankTypeCommon"</t>
  </si>
  <si>
    <t>"Pset_TankTypePreformed"</t>
  </si>
  <si>
    <t>"Pset_TankTypeSectional"</t>
  </si>
  <si>
    <t>"Pset_SwitchingDeviceTypeKeypad"</t>
  </si>
  <si>
    <t>"Pset_RoofCommon"</t>
  </si>
  <si>
    <t>"Pset_TendonCommon"</t>
  </si>
  <si>
    <t>"Pset_AirTerminalTypeCommon"</t>
  </si>
  <si>
    <t>"Pset_FireSuppressionTerminalTypeSprinkler"</t>
  </si>
  <si>
    <t>"Pset_FireSuppressionTerminalTypeHoseReel"</t>
  </si>
  <si>
    <t>"Pset_WasteTerminalTypeGullyTrap"</t>
  </si>
  <si>
    <t>"Pset_WasteTerminalTypeCommon"</t>
  </si>
  <si>
    <t>"Pset_WasteTerminalTypeFloorWaste"</t>
  </si>
  <si>
    <t>"Pset_WasteTerminalTypeWasteTrap"</t>
  </si>
  <si>
    <t>"Pset_WasteTerminalTypeGullySump"</t>
  </si>
  <si>
    <t>"Pset_WasteTerminalTypeRoofDrain"</t>
  </si>
  <si>
    <t>"Pset_FireSuppressionTerminalTypeCommon"</t>
  </si>
  <si>
    <t>"Pset_StackTerminalTypeCommon"</t>
  </si>
  <si>
    <t>"Pset_SanitaryTerminalTypeCommon"</t>
  </si>
  <si>
    <t>"Pset_SanitaryTerminalTypeBath"</t>
  </si>
  <si>
    <t>"Pset_SanitaryTerminalTypeBidet"</t>
  </si>
  <si>
    <t>"Pset_SanitaryTerminalTypeShower"</t>
  </si>
  <si>
    <t>"Pset_SanitaryTerminalTypeCistern"</t>
  </si>
  <si>
    <t>"Pset_SanitaryTerminalTypeWashHandBasin"</t>
  </si>
  <si>
    <t>"Pset_SanitaryTerminalTypeToiletPan"</t>
  </si>
  <si>
    <t>"Pset_FlowInstrumentTypeThermometer"</t>
  </si>
  <si>
    <t>"Pset_UnitaryControlElementTypeThermostat"</t>
  </si>
  <si>
    <t>"Pset_OutletTypeCommon"</t>
  </si>
  <si>
    <t>"Pset_ValveTypeFaucet"</t>
  </si>
  <si>
    <t>"Pset_CoolingTowerTypeCommon"</t>
  </si>
  <si>
    <t>"Pset_TransformerTypeCommon"</t>
  </si>
  <si>
    <t>"Pset_HeatExchangerTypeCommon"</t>
  </si>
  <si>
    <t>"Pset_DistributionPortPHistoryPipe"</t>
  </si>
  <si>
    <t>"Pset_HumidifierTypeCommon"</t>
  </si>
  <si>
    <t>"Pset_WasteTerminalTypeWasteDisposalUnit"</t>
  </si>
  <si>
    <t>"Pset_ProtectiveDeviceBreakerUnitI2TFuseCurve"</t>
  </si>
  <si>
    <t>"Pset_ProtectiveDeviceBreakerUnitI2TCurve"</t>
  </si>
  <si>
    <t>"Pset_ProtectiveDeviceBreakerUnitTypeMCB"</t>
  </si>
  <si>
    <t>"Pset_ProtectiveDeviceTrippingUnitTypeCommon"</t>
  </si>
  <si>
    <t>"Pset_ProtectiveDeviceBreakerUnitIPICurve"</t>
  </si>
  <si>
    <t>"Pset_EnvironmentalImpactValues"</t>
  </si>
  <si>
    <t>"Pset_ValveTypeCommon"</t>
  </si>
  <si>
    <t>"Pset_ValveTypePressureRelief"</t>
  </si>
  <si>
    <t>"Pset_ValveTypeGasTap"</t>
  </si>
  <si>
    <t>"Pset_ValveTypePressureReducing"</t>
  </si>
  <si>
    <t>"Pset_ValveTypeDrawOffCock"</t>
  </si>
  <si>
    <t>"Pset_ProtectiveDeviceTypeVaristor"</t>
  </si>
  <si>
    <t>"Pset_TankTypePressureVessel"</t>
  </si>
  <si>
    <t>"Pset_DistributionSystemTypeVentilation"</t>
  </si>
  <si>
    <t>"Pset_FanTypeCommon"</t>
  </si>
  <si>
    <t>"Pset_ServiceLife"</t>
  </si>
  <si>
    <t>"Pset_DoorWindowGlazingType"</t>
  </si>
  <si>
    <t>"Pset_BeamCommon"</t>
  </si>
  <si>
    <t>"Pset_CooledBeamTypeCommon"</t>
  </si>
  <si>
    <t>"Pset_CooledBeamTypeActive"</t>
  </si>
  <si>
    <t>"Pset_SpatialZoneCommon"</t>
  </si>
  <si>
    <t>"Pset_ZoneCommon"</t>
  </si>
  <si>
    <t>"CP_MaterialMechanicalBeam"</t>
  </si>
  <si>
    <t>"CP_MaterialMechanicalPanel"</t>
  </si>
  <si>
    <t>"PEnum_AirTerminalAirflowType"</t>
  </si>
  <si>
    <t>"Etiqueta Identificadora em IFC"</t>
  </si>
  <si>
    <t>"Identificador em IFC"</t>
  </si>
  <si>
    <t>"Medida de Transmissância Térmica em IFC"</t>
  </si>
  <si>
    <t>"Valor Binário 0 ou 1 em IFC"</t>
  </si>
  <si>
    <t>"Valor Textual em IFC"</t>
  </si>
  <si>
    <t>"Medida de Comprimento Positivo em IFC"</t>
  </si>
  <si>
    <t>"Medida de Potência em IFC"</t>
  </si>
  <si>
    <t>"Medida de Razão Positiva em IFC"</t>
  </si>
  <si>
    <t>"Medida de Acidez pH em IFC"</t>
  </si>
  <si>
    <t>"Medida de Concentração de Íons em IFC"</t>
  </si>
  <si>
    <t>"Medida de Razão Normalizada em IFC"</t>
  </si>
  <si>
    <t>"Medida de Área em IFC"</t>
  </si>
  <si>
    <t>"Medida de Força Plana em IFC"</t>
  </si>
  <si>
    <t>"Valor Lógico em IFC"</t>
  </si>
  <si>
    <t>"Medida de Razão em IFC"</t>
  </si>
  <si>
    <t>"Valor de Número Inteiro em IFC"</t>
  </si>
  <si>
    <t>"Medida de Frequência em IFC"</t>
  </si>
  <si>
    <t>"Medida de Ângulo no Plano em IFC"</t>
  </si>
  <si>
    <t>"Medida de Comprimento em IFC"</t>
  </si>
  <si>
    <t>"Medida de Iluminância em IFC"</t>
  </si>
  <si>
    <t>"Medida de Temperatura Termodinâmica em IFC"</t>
  </si>
  <si>
    <t>"Medida de Vazão Volumétrica em IFC"</t>
  </si>
  <si>
    <t>"Medida de Massa em IFC"</t>
  </si>
  <si>
    <t>"Valor de Número Real em IFC"</t>
  </si>
  <si>
    <t>"Série Temporal em IFC"</t>
  </si>
  <si>
    <t>"Medida de Contagem em IFC"</t>
  </si>
  <si>
    <t>"Medida de Torque em IFC"</t>
  </si>
  <si>
    <t>"Medida de Pressão em IFC"</t>
  </si>
  <si>
    <t>"Medida de Força em IFC"</t>
  </si>
  <si>
    <t>"Valor em IFC"</t>
  </si>
  <si>
    <t>"Medida de Frequência Rotacional em IFC"</t>
  </si>
  <si>
    <t>"Medida de Vazão de Massa Transportada por Tempo em IFC"</t>
  </si>
  <si>
    <t>"Medida de Volume em IFC"</t>
  </si>
  <si>
    <t>"Definição de Material em IFC"</t>
  </si>
  <si>
    <t>"Datas em IFC"</t>
  </si>
  <si>
    <t>"Medida de Ângulo Plano Positivo em IFC"</t>
  </si>
  <si>
    <t>"Durações em IFC"</t>
  </si>
  <si>
    <t>"Medida de Ajuste Temporal em IFC"</t>
  </si>
  <si>
    <t>"Tempo de Controle em IFC"</t>
  </si>
  <si>
    <t>"Datas e Horários em IFC"</t>
  </si>
  <si>
    <t>"Medida de Velocidade Linear em IFC"</t>
  </si>
  <si>
    <t>"Medida de Corrente Elétrica em IFC"</t>
  </si>
  <si>
    <t>"Medida de Tensão Elétrica em IFC"</t>
  </si>
  <si>
    <t>"Medida de Densidade de Massa em IFC"</t>
  </si>
  <si>
    <t>"Medida de Densidade de Área em IFC"</t>
  </si>
  <si>
    <t>"Referência Externa em IFC"</t>
  </si>
  <si>
    <t>"Medida de Condutividade Térmica em IFC"</t>
  </si>
  <si>
    <t>"Valor Monetário em IFC"</t>
  </si>
  <si>
    <t>"Medida de Capacidade de Umidade Isotérmica em IFC"</t>
  </si>
  <si>
    <t>"Medida de Difusividade de Umidade em IFC"</t>
  </si>
  <si>
    <t>"Medida de Permeabilidade ao Vapor em IFC"</t>
  </si>
  <si>
    <t>"Medida de Energia em IFC"</t>
  </si>
  <si>
    <t>"Medida de Fluxo Luminoso em IFC"</t>
  </si>
  <si>
    <t>"Medida Numérica em IFC"</t>
  </si>
  <si>
    <t>"Medida Específica de Capacidade Calorífica em IFC"</t>
  </si>
  <si>
    <t>"Medida de Peso Molecular em IFC"</t>
  </si>
  <si>
    <t>"Medida do Módulo de Elasticidade em IFC"</t>
  </si>
  <si>
    <t>"Medida de Valor Calorifico em IFC"</t>
  </si>
  <si>
    <t>"Proposta Conceitual para Material de Vigas em IFC"</t>
  </si>
  <si>
    <t>"Proposta Conceitual para Material de Paineis em IFC"</t>
  </si>
  <si>
    <t>"Tipos de Terminais de Fluxo de Ar em IFC"</t>
  </si>
  <si>
    <t>"Medida de Comprimento Não Negativo em IFC"</t>
  </si>
  <si>
    <t>"Medida Constante de Dobra em IFC"</t>
  </si>
  <si>
    <t>"Medida de Massa Linear em IFC"</t>
  </si>
  <si>
    <t>"Medida do Módulo de Seção em IFC"</t>
  </si>
  <si>
    <t>"Medida do Momento de Inércia em IFC"</t>
  </si>
  <si>
    <t>"Medida de Densidade de Fluxo de Calor em IFC"</t>
  </si>
  <si>
    <t>"Medida de Viscosidade Dinâmica em IFC"</t>
  </si>
  <si>
    <t>"Medida do Coeficiente de Expansão Térmica em IFC"</t>
  </si>
  <si>
    <t>"Medida da Taxa de Variação da Temperatura em IFC"</t>
  </si>
  <si>
    <t>"Medida de Condutância Elétrica em IFC"</t>
  </si>
  <si>
    <t>"Medida de Radioatividade em IFC"</t>
  </si>
  <si>
    <t>"Medida de Pressão Sonora em IFC"</t>
  </si>
  <si>
    <t>"Medida de Resistência Térmica em IFC"</t>
  </si>
  <si>
    <t>"Medida de Resistência Elétrica em IFC"</t>
  </si>
  <si>
    <t>"Pessoa em IFC"</t>
  </si>
  <si>
    <t>"P_SINGLEVALUE"</t>
  </si>
  <si>
    <t>"P_ENUMERATEDVALUE"</t>
  </si>
  <si>
    <t>"P_TABLEVALUE"</t>
  </si>
  <si>
    <t>"P_BOUNDEDVALUE"</t>
  </si>
  <si>
    <t>"P_LISTVALUE"</t>
  </si>
  <si>
    <t>"P_REFERENCEVALUE"</t>
  </si>
  <si>
    <t>usada.por</t>
  </si>
  <si>
    <t>"Alinhamento de Textos em em IFC"</t>
  </si>
  <si>
    <t>"Contagem de Dimensões em IFC"</t>
  </si>
  <si>
    <t>"Duração em IFC"</t>
  </si>
  <si>
    <t>"Estilo de Fonte em IFC"</t>
  </si>
  <si>
    <t>"Expoente Especular em IFC"</t>
  </si>
  <si>
    <t>"IFC Lógico"</t>
  </si>
  <si>
    <t>"Índice de Arco em IFC"</t>
  </si>
  <si>
    <t>"Índice de Linhas em IFC"</t>
  </si>
  <si>
    <t>"Inteiro em IFC"</t>
  </si>
  <si>
    <t>"Inteiro Positivo em IFC"</t>
  </si>
  <si>
    <t>"Medida de Aceleração em IFC"</t>
  </si>
  <si>
    <t>"Medida de Admitância Térmica em IFC"</t>
  </si>
  <si>
    <t>"Medida de Ângulo Plano Composto em IFC"</t>
  </si>
  <si>
    <t>"Medida de Ângulo Plano em IFC"</t>
  </si>
  <si>
    <t>"Medida de Ângulo Sólido em IFC"</t>
  </si>
  <si>
    <t>"Medida de Atividade Radiofónica em IFC"</t>
  </si>
  <si>
    <t>"Medida de Capacitância Elétrica em IFC"</t>
  </si>
  <si>
    <t>"Medida de Carga Elétrica em IFC"</t>
  </si>
  <si>
    <t>"Medida de Curvatura em IFC"</t>
  </si>
  <si>
    <t>"Medida de Densidade de Fluxo Magnético em IFC"</t>
  </si>
  <si>
    <t>"Medida de Distribuição de Intensidade Luminosa em IFC"</t>
  </si>
  <si>
    <t>"Medida de Dose Absorvida em IFC"</t>
  </si>
  <si>
    <t>"Medida de Dose Equivalente em IFC"</t>
  </si>
  <si>
    <t>"Medida de Fluxo Magnético em IFC"</t>
  </si>
  <si>
    <t>"Medida de Força Linear em IFC"</t>
  </si>
  <si>
    <t>"Medida de Força Planar em IFC"</t>
  </si>
  <si>
    <t>"Medida de Indutância em IFC"</t>
  </si>
  <si>
    <t>"Medida de Intensidade Luminosa em IFC"</t>
  </si>
  <si>
    <t>"Medida de Massa por Comprimento em IFC"</t>
  </si>
  <si>
    <t>"Medida de Massa Rotacional em IFC"</t>
  </si>
  <si>
    <t>"Medida de Momento de Dobra em IFC"</t>
  </si>
  <si>
    <t>"Medida de Momento Linear em IFC"</t>
  </si>
  <si>
    <t>"Medida de Nível de Pressão Sonora em IFC"</t>
  </si>
  <si>
    <t>"Medida de Potência Sonora em IFC"</t>
  </si>
  <si>
    <t>"Medida de Rigidez Linear em IFC"</t>
  </si>
  <si>
    <t>"Medida de Rigidez Rotacional em IFC"</t>
  </si>
  <si>
    <t>"Medida de Tempo em IFC"</t>
  </si>
  <si>
    <t>"Medida de Vazão de Massa em IFC"</t>
  </si>
  <si>
    <t>"Medida de Velocidade Angular em IFC"</t>
  </si>
  <si>
    <t>"Medida de Viscosidade Cinemática em IFC"</t>
  </si>
  <si>
    <t>"Medida Descritiva em IFC"</t>
  </si>
  <si>
    <t>"Medida Integral de Área Seccional em IFC"</t>
  </si>
  <si>
    <t>"Medida Monetária em IFC"</t>
  </si>
  <si>
    <t>"Medida de pH em IFC"</t>
  </si>
  <si>
    <t>"Módulo Linear de Reação de Subgrau"</t>
  </si>
  <si>
    <t>"Módulo Rotacional de Reação de Subgrau"</t>
  </si>
  <si>
    <t>"Referência URI em IFC"</t>
  </si>
  <si>
    <t>"Rugosidade Especular em IFC"</t>
  </si>
  <si>
    <t>"Tempo em IFC"</t>
  </si>
  <si>
    <t>"Texto Apresentável em IFC"</t>
  </si>
  <si>
    <t>"Texto em IFC"</t>
  </si>
  <si>
    <t>"Transformação de Texto em IFC"</t>
  </si>
  <si>
    <t>"Valor Binário em em IFC"</t>
  </si>
  <si>
    <t>"Acabamentos ou Revestimentos"</t>
  </si>
  <si>
    <t>"Acessórios Tipo Conector de Treliças"</t>
  </si>
  <si>
    <t>"Acessórios Tipo Diagonais de Treliças"</t>
  </si>
  <si>
    <t>"Agregados de Carga Térmica"</t>
  </si>
  <si>
    <t>"Alarmes"</t>
  </si>
  <si>
    <t>"Ambientes e Espaços"</t>
  </si>
  <si>
    <t>"Anotações de Áreas Levantadas"</t>
  </si>
  <si>
    <t>"Atenuadores de Som"</t>
  </si>
  <si>
    <t>"Ativos"</t>
  </si>
  <si>
    <t>"Atores ou Agentes"</t>
  </si>
  <si>
    <t>"Atuadores"</t>
  </si>
  <si>
    <t>"Atuadores de Acionamento Rotacional"</t>
  </si>
  <si>
    <t>"Atuadores Elétricos"</t>
  </si>
  <si>
    <t>"Atuadores Hidráulicos"</t>
  </si>
  <si>
    <t>"Atuadores Lineares"</t>
  </si>
  <si>
    <t>"Atuadores Pneumáticos"</t>
  </si>
  <si>
    <t>"Barra de Reforço Estrutural"</t>
  </si>
  <si>
    <t>"Bombas"</t>
  </si>
  <si>
    <t>"Cadastro de Loteamentos"</t>
  </si>
  <si>
    <t>"Cadastro de Propriedades"</t>
  </si>
  <si>
    <t>"Câmara de Distribuição tipo Bueiro"</t>
  </si>
  <si>
    <t>"Câmara de Distribuição Tipo Elemento de Câmara de Distribuição"</t>
  </si>
  <si>
    <t>"Câmara de Distribuição Tipo Sumidouro"</t>
  </si>
  <si>
    <t>"Central de Água Gelada"</t>
  </si>
  <si>
    <t>"Condições"</t>
  </si>
  <si>
    <t>"Conexões de Cabeamentos"</t>
  </si>
  <si>
    <t>"Conexões de Dutos"</t>
  </si>
  <si>
    <t>"Conexões de Motores"</t>
  </si>
  <si>
    <t>"Conexões de Portador de Cabeamento"</t>
  </si>
  <si>
    <t>"Contagem de Barras de Reforço de Fundação Isolada"</t>
  </si>
  <si>
    <t>"Contratos de Propriedade"</t>
  </si>
  <si>
    <t>"Critérios de Design Externos"</t>
  </si>
  <si>
    <t>"Critérios de Projeto de Carga Térmica"</t>
  </si>
  <si>
    <t>"Curva de Dispositivos de Proteção de Disparo"</t>
  </si>
  <si>
    <t>"Dispositivos de Armazenamento de Energia Elétrica"</t>
  </si>
  <si>
    <t>"Dispositivos de Comutação"</t>
  </si>
  <si>
    <t>"Dispositivos de Comutação Contator"</t>
  </si>
  <si>
    <t>"Dispositivos de Comutação Interruptor Desconectador"</t>
  </si>
  <si>
    <t>"Dispositivos de Proteção"</t>
  </si>
  <si>
    <t>"Dispositivos de Proteção de Ajuste Temporal"</t>
  </si>
  <si>
    <t>"Dispositivos de Sombreamento e Brises"</t>
  </si>
  <si>
    <t>"Dispositivos Elétricos"</t>
  </si>
  <si>
    <t>"Dispositivos Médicos"</t>
  </si>
  <si>
    <t>"Dispositivos Solares"</t>
  </si>
  <si>
    <t>"Portas de Dutos de Distribuição"</t>
  </si>
  <si>
    <t>"Edifício"</t>
  </si>
  <si>
    <t>"Edifícios"</t>
  </si>
  <si>
    <t>"Elementos Civis"</t>
  </si>
  <si>
    <t>"Elementos de Concreto"</t>
  </si>
  <si>
    <t>"Elementos de Aberturas"</t>
  </si>
  <si>
    <t>"Elementos de Concreto Geral"</t>
  </si>
  <si>
    <t>"Elementos de Controle Unitário"</t>
  </si>
  <si>
    <t>"Elementos de Mobiliário de Sistema Tipo"</t>
  </si>
  <si>
    <t>"Elementos de Transporte"</t>
  </si>
  <si>
    <t>"Elementos Componentes"</t>
  </si>
  <si>
    <t>"Elementos de Câmaras de Inspeção"</t>
  </si>
  <si>
    <t>"Elementos de Transporte Horizontal"</t>
  </si>
  <si>
    <t>"Elementos de Transporte Vertical Tipo Elevadores"</t>
  </si>
  <si>
    <t>"Materiais de Energia"</t>
  </si>
  <si>
    <t>"Equipamento Unitário"</t>
  </si>
  <si>
    <t>"Espaços"</t>
  </si>
  <si>
    <t>"Estacas"</t>
  </si>
  <si>
    <t>"Estacionamento Vaga"</t>
  </si>
  <si>
    <t>"Evaporadores"</t>
  </si>
  <si>
    <t>"Tanque de Expansão"</t>
  </si>
  <si>
    <t>"Fatores de Vida Útil"</t>
  </si>
  <si>
    <t>"Feixe Tubular com Aletas"</t>
  </si>
  <si>
    <t>"Filtro"</t>
  </si>
  <si>
    <t>"Filtro de Filtro de Água"</t>
  </si>
  <si>
    <t>"Filtro Tipo Filtro de Partículas de Ar"</t>
  </si>
  <si>
    <t>"Filtros de Ar Comprimido"</t>
  </si>
  <si>
    <t>"Filtros de Partículas de Ar"</t>
  </si>
  <si>
    <t>"Fixadores Mecânicos Comuns"</t>
  </si>
  <si>
    <t>"Fundação Estrutural"</t>
  </si>
  <si>
    <t>"Fundações"</t>
  </si>
  <si>
    <t>"Garantia"</t>
  </si>
  <si>
    <t>"Garantias"</t>
  </si>
  <si>
    <t>"Geração de Som"</t>
  </si>
  <si>
    <t>"Gerador Elétrico"</t>
  </si>
  <si>
    <t>"Histórico de Consumo"</t>
  </si>
  <si>
    <t>"Histórico de Eletrodoméstico"</t>
  </si>
  <si>
    <t>"Instruções de Embalagem"</t>
  </si>
  <si>
    <t>"Interceptor"</t>
  </si>
  <si>
    <t>"Interruptor de Comutação"</t>
  </si>
  <si>
    <t>"Isolador de Vibração"</t>
  </si>
  <si>
    <t>"Janela"</t>
  </si>
  <si>
    <t>"Lâmpada"</t>
  </si>
  <si>
    <t>"Luminária"</t>
  </si>
  <si>
    <t>"Material Aço"</t>
  </si>
  <si>
    <t>"Material Combustível"</t>
  </si>
  <si>
    <t>"Material de Água"</t>
  </si>
  <si>
    <t>"Material Madeira"</t>
  </si>
  <si>
    <t>"Material Térmico"</t>
  </si>
  <si>
    <t>"Membro"</t>
  </si>
  <si>
    <t>"Mobiliário"</t>
  </si>
  <si>
    <t>"Mobiliário Mesa"</t>
  </si>
  <si>
    <t>"Mobiliários de Arquivamento"</t>
  </si>
  <si>
    <t>"Montagem de Elementos"</t>
  </si>
  <si>
    <t>"Motor Elétrico"</t>
  </si>
  <si>
    <t>"Ocorrência de Acessórios de Duto"</t>
  </si>
  <si>
    <t>"Ocorrência de Conexões de Tubulação"</t>
  </si>
  <si>
    <t>"Ocorrência de Tanques"</t>
  </si>
  <si>
    <t>"Ocorrência de Ventilador"</t>
  </si>
  <si>
    <t>"Ocorrência em Segmentos de Cabeamento"</t>
  </si>
  <si>
    <t>"Ordem de Compra"</t>
  </si>
  <si>
    <t>"Ordem de Mudança"</t>
  </si>
  <si>
    <t>"Ordem de Trabalho"</t>
  </si>
  <si>
    <t>"Ordem de Troca"</t>
  </si>
  <si>
    <t>"Parede"</t>
  </si>
  <si>
    <t>"Paredes Tipo Cortina"</t>
  </si>
  <si>
    <t>"Perfil Arbitrário Duplo T"</t>
  </si>
  <si>
    <t>"Perfil Mecânico"</t>
  </si>
  <si>
    <t>"Perfil Núcleo Oco Arbitrário"</t>
  </si>
  <si>
    <t>"Perfís Mecânicos"</t>
  </si>
  <si>
    <t>"Permissão"</t>
  </si>
  <si>
    <t>"Pia Sanitária"</t>
  </si>
  <si>
    <t>"Placa"</t>
  </si>
  <si>
    <t>"Placa para Trocador de Calor"</t>
  </si>
  <si>
    <t>"Portas"</t>
  </si>
  <si>
    <t>"Portas de Distribuição para Cabeamento"</t>
  </si>
  <si>
    <t>"Portas de Sistemas de Distribuição"</t>
  </si>
  <si>
    <t>"Projeto Espacial Térmico"</t>
  </si>
  <si>
    <t>"Proxy de Elemento de Construção"</t>
  </si>
  <si>
    <t>"Proxy de Elemento de Construção para Vazios"</t>
  </si>
  <si>
    <t>"Quadros de Distribuição Elétrica"</t>
  </si>
  <si>
    <t>"Queimador"</t>
  </si>
  <si>
    <t>"Recuperador de Calor Ar-Ar"</t>
  </si>
  <si>
    <t>"Recursos de Construção"</t>
  </si>
  <si>
    <t>"Reforço de Fio Dobrado"</t>
  </si>
  <si>
    <t>"Reforço de Malha"</t>
  </si>
  <si>
    <t>"Requisitos de Cobertura de Espaço"</t>
  </si>
  <si>
    <t>"Requisitos de Iluminação Espacial"</t>
  </si>
  <si>
    <t>"Requisitos de Ocupação de Espaço"</t>
  </si>
  <si>
    <t>"Requisitos de Ocupação Espacial"</t>
  </si>
  <si>
    <t>"Requisitos de Segurança contra Incêndio Espacial"</t>
  </si>
  <si>
    <t>"Requisitos Térmicos Espaciais"</t>
  </si>
  <si>
    <t>"Resfriador Evaporativo"</t>
  </si>
  <si>
    <t>"Resfriadores Evaporativos"</t>
  </si>
  <si>
    <t>"Riscos"</t>
  </si>
  <si>
    <t>"Sapata de Coluna de Acessórios Discreta"</t>
  </si>
  <si>
    <t>"Segmentos de Cabeamento"</t>
  </si>
  <si>
    <t>"Segmentos de Cabeamento Tipo Cabeamento Trunking"</t>
  </si>
  <si>
    <t>"Segmentos de Cabeamento Tipo Escada de Cabeamento"</t>
  </si>
  <si>
    <t>"Segmentos de Cabeamento de Condução"</t>
  </si>
  <si>
    <t>"Segmentos de Cabeamento em Barramentos"</t>
  </si>
  <si>
    <t>"Segmentos de Cabeamento Tipo Núcleo"</t>
  </si>
  <si>
    <t>"Segmentos de Calhas e Leitos de Cabeamentos"</t>
  </si>
  <si>
    <t>"Segmentos de Calhas e Leitos de Cabeamentos Bandeja de Cabeamentos"</t>
  </si>
  <si>
    <t>"Segmentos de Canalização Para Bueiros"</t>
  </si>
  <si>
    <t>"Segmentos de Dutos"</t>
  </si>
  <si>
    <t>"Segmentos de Tubulação"</t>
  </si>
  <si>
    <t>"Segmentos de Tubulações Pluviais"</t>
  </si>
  <si>
    <t>"Seletor de Tipo de Dispositivos de Comutação"</t>
  </si>
  <si>
    <t>"Sensor"</t>
  </si>
  <si>
    <t>"Sensor de Calor"</t>
  </si>
  <si>
    <t>"Sensor de CO2"</t>
  </si>
  <si>
    <t>"Sensor de Concentração de Íons"</t>
  </si>
  <si>
    <t>"Sensor de Condutância"</t>
  </si>
  <si>
    <t>"Sensor de Contato"</t>
  </si>
  <si>
    <t>"Sensor de Fluxo"</t>
  </si>
  <si>
    <t>"Sensor de fumaça"</t>
  </si>
  <si>
    <t>"Sensor de Gás"</t>
  </si>
  <si>
    <t>"Sensor de Geada"</t>
  </si>
  <si>
    <t>"Sensor de Incêndio"</t>
  </si>
  <si>
    <t>"Sensor de Luz"</t>
  </si>
  <si>
    <t>"Sensor de Movimento"</t>
  </si>
  <si>
    <t>"Sensor de Nível"</t>
  </si>
  <si>
    <t>"Sensor de PH"</t>
  </si>
  <si>
    <t>"Sensor de Pressão"</t>
  </si>
  <si>
    <t>"Sensor de Radiação"</t>
  </si>
  <si>
    <t>"Sensor de Radioatividade"</t>
  </si>
  <si>
    <t>"Sensor de Som"</t>
  </si>
  <si>
    <t>"Sensor de Temperatura"</t>
  </si>
  <si>
    <t>"Sensor de umidade"</t>
  </si>
  <si>
    <t>"Sensor de Vento"</t>
  </si>
  <si>
    <t>"Sensor Identificador de Sensor"</t>
  </si>
  <si>
    <t>"Sensores de Calor"</t>
  </si>
  <si>
    <t>"Sensores de Fumaça"</t>
  </si>
  <si>
    <t>"Sensores de Gás"</t>
  </si>
  <si>
    <t>"Serpentina"</t>
  </si>
  <si>
    <t>"Serpentinas de Tipo Hidrônicas"</t>
  </si>
  <si>
    <t>"Serpentinas de Tubulação"</t>
  </si>
  <si>
    <t>"Silenciador de Duto"</t>
  </si>
  <si>
    <t>"Sistema de Construção"</t>
  </si>
  <si>
    <t>"Sistema de Distribuição"</t>
  </si>
  <si>
    <t>"Sistema de Distribuição Elétrico"</t>
  </si>
  <si>
    <t>"Site Common"</t>
  </si>
  <si>
    <t>"Slab Common"</t>
  </si>
  <si>
    <t>"Solda com Fixadores"</t>
  </si>
  <si>
    <t>"Solicitação de Ação"</t>
  </si>
  <si>
    <t>"Soquete de fixação discreta para acessórios"</t>
  </si>
  <si>
    <t>"Tanque"</t>
  </si>
  <si>
    <t>"Tanque Premoldado"</t>
  </si>
  <si>
    <t>"Tanque Seccional"</t>
  </si>
  <si>
    <t>"Telhados"</t>
  </si>
  <si>
    <t>"Tendon Common"</t>
  </si>
  <si>
    <t>"Termômetros ou Instrumentos de fluxo"</t>
  </si>
  <si>
    <t>"Termostatos"</t>
  </si>
  <si>
    <t>"Tomadas"</t>
  </si>
  <si>
    <t>"Torneiras"</t>
  </si>
  <si>
    <t>"Torres de Arrefecimento"</t>
  </si>
  <si>
    <t>"Transformadores"</t>
  </si>
  <si>
    <t>"Trocadores de Calor"</t>
  </si>
  <si>
    <t>"Tubulares com Aletas"</t>
  </si>
  <si>
    <t>"Umidificadores"</t>
  </si>
  <si>
    <t>"Vagas de Estacionamento"</t>
  </si>
  <si>
    <t>"Valores de Impacto Ambiental"</t>
  </si>
  <si>
    <t>"Vaso de Pressão"</t>
  </si>
  <si>
    <t>"Ventiladores"</t>
  </si>
  <si>
    <t>"Vidros de Portas e Janelas"</t>
  </si>
  <si>
    <t>"Vigamentos e Vigas Estrututurais"</t>
  </si>
  <si>
    <t>"Vigas de Refrigeração"</t>
  </si>
  <si>
    <t>"Vigas de Refrigeração Ativa"</t>
  </si>
  <si>
    <t>"Zonas Espaciais"</t>
  </si>
  <si>
    <t>"Carimbo ou Selo de Identificação Temporal em IFC"</t>
  </si>
  <si>
    <t>"Data Definida em IFC"</t>
  </si>
  <si>
    <t>"Data Horário Definidos em IFC"</t>
  </si>
  <si>
    <t>"Etiquetas em IFC"</t>
  </si>
  <si>
    <t>"Id de Língua Utilizada em IFC"</t>
  </si>
  <si>
    <t>"Identificador Global Único em IFC"</t>
  </si>
  <si>
    <t>"IFC Booleano"</t>
  </si>
  <si>
    <t>"IFC Número Real"</t>
  </si>
  <si>
    <t>"Tipos Enumerados de Ação"</t>
  </si>
  <si>
    <t>"Tipos Enumerados de Ação de Mudança"</t>
  </si>
  <si>
    <t>"Tipos Enumerados de Acessório Discreto"</t>
  </si>
  <si>
    <t>"Tipos Enumerados de Alarmes"</t>
  </si>
  <si>
    <t>"Tipos Enumerados de Ambientes e Espaços"</t>
  </si>
  <si>
    <t>"Tipos Enumerados de Amortecedores"</t>
  </si>
  <si>
    <t>"Tipos Enumerados de Âncoragem de Tensores"</t>
  </si>
  <si>
    <t>"Tipos Enumerados de Aparelhos Audiovisuais"</t>
  </si>
  <si>
    <t>"Tipos Enumerados de Aparelhos de Comunicação"</t>
  </si>
  <si>
    <t>"Tipos Enumerados de Aquecedor Ambiente"</t>
  </si>
  <si>
    <t>"Tipos Enumerados de Atuadores"</t>
  </si>
  <si>
    <t>"Tipos Enumerados de Barras de Reforço Estrutural"</t>
  </si>
  <si>
    <t>"Tipos Enumerados de Barras de Reforço Estrutural Superficial"</t>
  </si>
  <si>
    <t>"Tipos Enumerados de Boilers"</t>
  </si>
  <si>
    <t>"Tipos Enumerados de Bombas"</t>
  </si>
  <si>
    <t>"Tipos Enumerados de Caixa de Junção"</t>
  </si>
  <si>
    <t>"Tipos Enumerados de Caixa de Terminal Aérea"</t>
  </si>
  <si>
    <t>"Tipos Enumerados de Calendário de Trabalho"</t>
  </si>
  <si>
    <t>"Tipos Enumerados de Característica de Superfície"</t>
  </si>
  <si>
    <t>"Tipos Enumerados de Chaminés"</t>
  </si>
  <si>
    <t>"Tipos Enumerados de Coberturas"</t>
  </si>
  <si>
    <t>"Tipos Enumerados de Código de Transiçãos"</t>
  </si>
  <si>
    <t>"Tipos Enumerados de Colunas"</t>
  </si>
  <si>
    <t>"Tipos Enumerados de Compressores"</t>
  </si>
  <si>
    <t>"Tipos Enumerados de Comprimento Projetado ou Real"</t>
  </si>
  <si>
    <t>"Tipos Enumerados de Condensadores"</t>
  </si>
  <si>
    <t>"Tipos Enumerados de Conexão de Cabeamentos"</t>
  </si>
  <si>
    <t>"Tipos Enumerados de Conexão de Dutos"</t>
  </si>
  <si>
    <t>"Tipos Enumerados de Conexão de Motores"</t>
  </si>
  <si>
    <t>"Tipos Enumerados de Conexão de Tubulações"</t>
  </si>
  <si>
    <t>"Tipos Enumerados de Conexão Transportadora de Cabeamentos"</t>
  </si>
  <si>
    <t>"Tipos Enumerados de Conexões"</t>
  </si>
  <si>
    <t>"Tipos Enumerados de Confidencialidades"</t>
  </si>
  <si>
    <t>"Tipos Enumerados de Construção de Portas no Estilo"</t>
  </si>
  <si>
    <t>"Tipos Enumerados de Controladores"</t>
  </si>
  <si>
    <t>"Tipos Enumerados de Controle de Tempo Elétrico"</t>
  </si>
  <si>
    <t>"Tipos Enumerados de Cronograma de Tarefas"</t>
  </si>
  <si>
    <t>"Tipos Enumerados de Custos de Item"</t>
  </si>
  <si>
    <t>"Tipos Enumerados de Direção de Fluxo"</t>
  </si>
  <si>
    <t>"Tipos Enumerados de Dispositivos de Armazenamento de Fluxo Elétrico"</t>
  </si>
  <si>
    <t>"Tipos Enumerados de Dispositivos de Comutação"</t>
  </si>
  <si>
    <t>"Tipos Enumerados de Dispositivos de Proteção"</t>
  </si>
  <si>
    <t>"Tipos Enumerados de Dispositivos de Proteção de Disparo"</t>
  </si>
  <si>
    <t>"Tipos Enumerados de Dispositivos de Sombreamento"</t>
  </si>
  <si>
    <t>"Tipos Enumerados de Dispositivos Médicos"</t>
  </si>
  <si>
    <t>"Tipos Enumerados de Dispositivos Solares"</t>
  </si>
  <si>
    <t>"Tipos Enumerados de Duração de Tarefas"</t>
  </si>
  <si>
    <t>"Tipos Enumerados de Eixos"</t>
  </si>
  <si>
    <t>"Tipos Enumerados de Elementos de Abertura"</t>
  </si>
  <si>
    <t>"Tipos Enumerados de Elementos de Composição"</t>
  </si>
  <si>
    <t>"Tipos Enumerados de Elementos de Construção de Peça"</t>
  </si>
  <si>
    <t>"Tipos Enumerados de Elementos de Controle Unitário"</t>
  </si>
  <si>
    <t>"Tipos Enumerados de Elementos de Projeção"</t>
  </si>
  <si>
    <t>"Tipos Enumerados de Elementos de Transporte"</t>
  </si>
  <si>
    <t>"Tipos Enumerados de Elementos Espacial Externo"</t>
  </si>
  <si>
    <t>"Tipos Enumerados de Elementos Geográfico"</t>
  </si>
  <si>
    <t>"Tipos Enumerados de Eletrodomésticos"</t>
  </si>
  <si>
    <t>"Tipos Enumerados de Endereços"</t>
  </si>
  <si>
    <t>"Tipos Enumerados de Equipamentos Unitário"</t>
  </si>
  <si>
    <t>"Tipos Enumerados de Escadas Lance"</t>
  </si>
  <si>
    <t>"Tipos Enumerados de Escadas Patamar"</t>
  </si>
  <si>
    <t>"Tipos Enumerados de Estacas de Fundação"</t>
  </si>
  <si>
    <t>"Tipos Enumerados de Estados de Conservação"</t>
  </si>
  <si>
    <t>"Tipos Enumerados de Estilo Null"</t>
  </si>
  <si>
    <t>"Tipos Enumerados de Estilos de Janelas"</t>
  </si>
  <si>
    <t>"Tipos Enumerados de Evaporadores"</t>
  </si>
  <si>
    <t>"Tipos Enumerados de Eventos"</t>
  </si>
  <si>
    <t>"Tipos Enumerados de Feixe"</t>
  </si>
  <si>
    <t>"Tipos Enumerados de Feixe de Tubulações"</t>
  </si>
  <si>
    <t>"Tipos Enumerados de Filtros"</t>
  </si>
  <si>
    <t>"Tipos Enumerados de Físico ou Virtual"</t>
  </si>
  <si>
    <t>"Tipos Enumerados de Fixação Mecânica"</t>
  </si>
  <si>
    <t>"Tipos Enumerados de Fixadores"</t>
  </si>
  <si>
    <t>"Tipos Enumerados de Formas de Superfície Bspline"</t>
  </si>
  <si>
    <t>"Tipos Enumerados de Gatilhos de Eventos"</t>
  </si>
  <si>
    <t>"Tipos Enumerados de Geradores Elétricos"</t>
  </si>
  <si>
    <t>"Tipos Enumerados de Global ou Local"</t>
  </si>
  <si>
    <t>"Tipos Enumerados de Grupos de Cargas"</t>
  </si>
  <si>
    <t>"Tipos Enumerados de Históricos de Desempenho"</t>
  </si>
  <si>
    <t>"Tipos Enumerados de Instrumentos de Fluxo"</t>
  </si>
  <si>
    <t>"Tipos Enumerados de Interceptores"</t>
  </si>
  <si>
    <t>"Tipos Enumerados de Internos ou Externos"</t>
  </si>
  <si>
    <t>"Tipos Enumerados de Interpolação de Curvas"</t>
  </si>
  <si>
    <t>"Tipos Enumerados de Inventários"</t>
  </si>
  <si>
    <t>"Tipos Enumerados de Isoladores de Vibração"</t>
  </si>
  <si>
    <t>"Tipos Enumerados de Janelas"</t>
  </si>
  <si>
    <t>"Tipos Enumerados de Janelas de Particionamento"</t>
  </si>
  <si>
    <t>"Tipos Enumerados de Lado Superficial"</t>
  </si>
  <si>
    <t>"Tipos Enumerados de Lajes"</t>
  </si>
  <si>
    <t>"Tipos Enumerados de Lâmpadas"</t>
  </si>
  <si>
    <t>"Tipos Enumerados de Locais de Assembleias"</t>
  </si>
  <si>
    <t>"Tipos Enumerados de Luminárias"</t>
  </si>
  <si>
    <t>"Tipos Enumerados de Malhas de Reforço"</t>
  </si>
  <si>
    <t>"Tipos Enumerados de Medidores de Fluxo"</t>
  </si>
  <si>
    <t>"Tipos Enumerados de Membros"</t>
  </si>
  <si>
    <t>"Tipos Enumerados de Membros Estruturais Curvos"</t>
  </si>
  <si>
    <t>"Tipos Enumerados de Membros Estruturais Superfíciais"</t>
  </si>
  <si>
    <t>"Tipos Enumerados de Metas ou Objetivos"</t>
  </si>
  <si>
    <t>"Tipos Enumerados de Método de Reflectância"</t>
  </si>
  <si>
    <t>"Tipos Enumerados de Mobiliários"</t>
  </si>
  <si>
    <t>"Tipos Enumerados de Modelo de Análise"</t>
  </si>
  <si>
    <t>"Tipos Enumerados de Modelo de Conjunto de Propriedades"</t>
  </si>
  <si>
    <t>"Tipos Enumerados de Modelo de Propriedade Simples"</t>
  </si>
  <si>
    <t>"Tipos Enumerados de Montagem de Elementos"</t>
  </si>
  <si>
    <t>"Tipos Enumerados de Motores"</t>
  </si>
  <si>
    <t>"Tipos Enumerados de Motores Elétricos"</t>
  </si>
  <si>
    <t>"Tipos Enumerados de Nós"</t>
  </si>
  <si>
    <t>"Tipos Enumerados de Objetos"</t>
  </si>
  <si>
    <t>"Tipos Enumerados de Ocupantes"</t>
  </si>
  <si>
    <t>"Tipos Enumerados de Operação de Cobertura Permeável"</t>
  </si>
  <si>
    <t>"Tipos Enumerados de Operação de Janelas"</t>
  </si>
  <si>
    <t>"Tipos Enumerados de Operação de Portas"</t>
  </si>
  <si>
    <t>"Tipos Enumerados de Operação no Estilo de Portas"</t>
  </si>
  <si>
    <t>"Tipos Enumerados de Operadores Aritméticos"</t>
  </si>
  <si>
    <t>"Tipos Enumerados de Operadores Booleanos"</t>
  </si>
  <si>
    <t>"Tipos Enumerados de Operadores Lógicos"</t>
  </si>
  <si>
    <t>"Tipos Enumerados de Ordem de Projeto"</t>
  </si>
  <si>
    <t>"Tipos Enumerados de Origem de Emissão de Luz"</t>
  </si>
  <si>
    <t>"Tipos Enumerados de Origem dos Dados"</t>
  </si>
  <si>
    <t>"Tipos Enumerados de Paredes"</t>
  </si>
  <si>
    <t>"Tipos Enumerados de Paredes Cortina"</t>
  </si>
  <si>
    <t>"Tipos Enumerados de Perfis"</t>
  </si>
  <si>
    <t>"Tipos Enumerados de Performances"</t>
  </si>
  <si>
    <t>"Tipos Enumerados de Permissões"</t>
  </si>
  <si>
    <t>"Tipos Enumerados de Placas"</t>
  </si>
  <si>
    <t>"Tipos Enumerados de Planos de Trabalho"</t>
  </si>
  <si>
    <t>"Tipos Enumerados de Portas"</t>
  </si>
  <si>
    <t>"Tipos Enumerados de Portas de Distribuição"</t>
  </si>
  <si>
    <t>"Tipos Enumerados de Posições de Paineis de Janelas"</t>
  </si>
  <si>
    <t>"Tipos Enumerados de Posições de Paineis de Porta"</t>
  </si>
  <si>
    <t>"Tipos Enumerados de Preferências de Corte"</t>
  </si>
  <si>
    <t>"Tipos Enumerados de Procedimento"</t>
  </si>
  <si>
    <t>"Tipos Enumerados de Projeção Geométrica"</t>
  </si>
  <si>
    <t>"Tipos Enumerados de Proxy de Elemento de Construção"</t>
  </si>
  <si>
    <t>"Tipos Enumerados de Quadro de Distribuição Elétrica"</t>
  </si>
  <si>
    <t>"Tipos Enumerados de Queimador"</t>
  </si>
  <si>
    <t>"Tipos Enumerados de Rampas Lance"</t>
  </si>
  <si>
    <t>"Tipos Enumerados de Rampas Patamar"</t>
  </si>
  <si>
    <t>"Tipos Enumerados de Recorrência"</t>
  </si>
  <si>
    <t>"Tipos Enumerados de Recuperação de Calor Ar-Ar"</t>
  </si>
  <si>
    <t>"Tipos Enumerados de Recursos de Equipamentos de Construção da"</t>
  </si>
  <si>
    <t>"Tipos Enumerados de Recursos de Mão de Obra"</t>
  </si>
  <si>
    <t>"Tipos Enumerados de Recursos de Produto de Construção"</t>
  </si>
  <si>
    <t>"Tipos Enumerados de Recursos de Tripulação"</t>
  </si>
  <si>
    <t>"Tipos Enumerados de Recursos de Vazios"</t>
  </si>
  <si>
    <t>"Tipos Enumerados de Recursos Materiais de Construção"</t>
  </si>
  <si>
    <t>"Tipos Enumerados de Recursos Subcontratados"</t>
  </si>
  <si>
    <t>"Tipos Enumerados de Refrigerador Evaporativo"</t>
  </si>
  <si>
    <t>"Tipos Enumerados de Resfriamentos"</t>
  </si>
  <si>
    <t>"Tipos Enumerados de Restrições"</t>
  </si>
  <si>
    <t>"Tipos Enumerados de Rol"</t>
  </si>
  <si>
    <t>"Tipos Enumerados de Rol de Barra de Reforço Estrutural"</t>
  </si>
  <si>
    <t>"Tipos Enumerados de Sapatas"</t>
  </si>
  <si>
    <t>"Tipos Enumerados de Segmentos de Cabeamentos"</t>
  </si>
  <si>
    <t>"Tipos Enumerados de Segmentos de Dutos"</t>
  </si>
  <si>
    <t>"Tipos Enumerados de Segmentos de Transportador de Cabeamento"</t>
  </si>
  <si>
    <t>"Tipos Enumerados de Segmentos de Tubulações"</t>
  </si>
  <si>
    <t>"Tipos Enumerados de Sensor"</t>
  </si>
  <si>
    <t>"Tipos Enumerados de Serpentinas"</t>
  </si>
  <si>
    <t>"Tipos Enumerados de Silenciadores de Duto"</t>
  </si>
  <si>
    <t>"Tipos Enumerados de Sistema de Construção"</t>
  </si>
  <si>
    <t>"Tipos Enumerados de Sistema de Distribuição"</t>
  </si>
  <si>
    <t>"Tipos Enumerados de Solicitações de Ação"</t>
  </si>
  <si>
    <t>"Tipos Enumerados de Tabelas de Custos"</t>
  </si>
  <si>
    <t>"Tipos Enumerados de Tanques ou Vasos"</t>
  </si>
  <si>
    <t>"Tipos Enumerados de Tarefas"</t>
  </si>
  <si>
    <t>"Tipos Enumerados de Telhados"</t>
  </si>
  <si>
    <t>"Tipos Enumerados de Tensor Estrututural"</t>
  </si>
  <si>
    <t>"Tipos Enumerados de Teoria de Análise"</t>
  </si>
  <si>
    <t>"Tipos Enumerados de Terminal de Resíduos"</t>
  </si>
  <si>
    <t>"Tipos Enumerados de Terminal Sanitário"</t>
  </si>
  <si>
    <t>"Tipos Enumerados de Tomadas"</t>
  </si>
  <si>
    <t>"Tipos Enumerados de Torres de Arrefecimento"</t>
  </si>
  <si>
    <t>"Tipos Enumerados de Transformadores"</t>
  </si>
  <si>
    <t>"Tipos Enumerados de Trocadores de Calor"</t>
  </si>
  <si>
    <t>"Tipos Enumerados de Umidificadores"</t>
  </si>
  <si>
    <t>"Tipos Enumerados de Unidades"</t>
  </si>
  <si>
    <t>"Tipos Enumerados de Unidades Derivadas"</t>
  </si>
  <si>
    <t>"Tipos Enumerados de Unidades Internacional SI Nomes"</t>
  </si>
  <si>
    <t>"Tipos Enumerados de Unidades Internacional SI Prefixos"</t>
  </si>
  <si>
    <t>"Tipos Enumerados de Válvulas"</t>
  </si>
  <si>
    <t>"Tipos Enumerados de Ventiladores"</t>
  </si>
  <si>
    <t>"Tipos Enumerados de Vigas de Refrigeração"</t>
  </si>
  <si>
    <t>"Tipos Enumerados de Zonas Espaciais"</t>
  </si>
  <si>
    <t>"Tipos Enumerados de Sentidos Direcionais"</t>
  </si>
  <si>
    <t>"Tipos Enumerados de Sequências"</t>
  </si>
  <si>
    <t>"Tipos Enumerados de Série Temporais"</t>
  </si>
  <si>
    <t>"Tipos Enumerados de Seções Transversais"</t>
  </si>
  <si>
    <t>"Caixa de Terminal AVAC"</t>
  </si>
  <si>
    <t>"Ocorrência em Terminal AVAC"</t>
  </si>
  <si>
    <t>"Terminal AVAC"</t>
  </si>
  <si>
    <t>"Terminal AVACs"</t>
  </si>
  <si>
    <t>"Terminal de Combate a Incêndio - Sprinkler"</t>
  </si>
  <si>
    <t>"Terminal de Combate de Incêndios Tipo Carretel de Mangueira"</t>
  </si>
  <si>
    <t>"Terminal de Contenção de Sedimentos Tipo Armadilha com Ravina"</t>
  </si>
  <si>
    <t>"Terminal de Resíduos"</t>
  </si>
  <si>
    <t>"Terminal de Resíduos no Piso"</t>
  </si>
  <si>
    <t>"Terminal de Resíduos Tipo Armadilha"</t>
  </si>
  <si>
    <t>"Terminal de Resíduos tipo Drenagem"</t>
  </si>
  <si>
    <t>"Terminal de Resíduos tipo Dreno de Telhado"</t>
  </si>
  <si>
    <t>"Terminal Empilhável"</t>
  </si>
  <si>
    <t>"Quantidade de Terminal AVAC"</t>
  </si>
  <si>
    <t>"Quantidade de Terminal AVAC Tipo Caixa"</t>
  </si>
  <si>
    <t>"Quantidade de Terminal de Combate de Incêndio"</t>
  </si>
  <si>
    <t>"Quantidade de Terminal de Resíduo"</t>
  </si>
  <si>
    <t>"Quantidade de Terminal Empiháveis"</t>
  </si>
  <si>
    <t>"Terminal Sanitário"</t>
  </si>
  <si>
    <t>"Quantidade de Terminal Sanitário"</t>
  </si>
  <si>
    <t>"Terminal Sanitário - Banheira"</t>
  </si>
  <si>
    <t>"Terminal Sanitário - Bidê"</t>
  </si>
  <si>
    <t>"Terminal Sanitário - Chuveiro"</t>
  </si>
  <si>
    <t>"Terminal Sanitário - Cisterna"</t>
  </si>
  <si>
    <t>"Terminal Sanitário - Lavatório"</t>
  </si>
  <si>
    <t>"Terminal Sanitário - Vaso Sanitário"</t>
  </si>
  <si>
    <t>"Terminal de Combate a Incêndio"</t>
  </si>
  <si>
    <t>"Tipos Enumerados de Terminal AVAC"</t>
  </si>
  <si>
    <t>"Tipos Enumerados de Terminal Empilhável"</t>
  </si>
  <si>
    <t>"Tipos Enumerados de Terminal de Combate a Incêndio"</t>
  </si>
  <si>
    <t>"Eletrodoméstico - Fogão Elétrico"</t>
  </si>
  <si>
    <t>"Terminal Sanitário - Fonte"</t>
  </si>
  <si>
    <t>"Dispositivos de Proteção de Disparo Função de Curva G"</t>
  </si>
  <si>
    <t>"Dispositivos de Proteção de Disparo Função de Curva S"</t>
  </si>
  <si>
    <t>"Dispositivos de Proteção de Disparo Função de Curva  I"</t>
  </si>
  <si>
    <t>"Dispositivos de Proteção de Disparo Função de Curva  L"</t>
  </si>
  <si>
    <t>"Câmara de Distribuição - Fossa de Inspeção"</t>
  </si>
  <si>
    <t>"Terminal de Combate a Incêndio - Hidrante"</t>
  </si>
  <si>
    <t>"Elemento Hidrônico Serpentina"</t>
  </si>
  <si>
    <t>"Material Higroscópico"</t>
  </si>
  <si>
    <t>"Andares de Edifício"</t>
  </si>
  <si>
    <t>"Cabo de Histórico de Porto de Distribuição P"</t>
  </si>
  <si>
    <t>"Isoladores de Tipo Damper"</t>
  </si>
  <si>
    <t>"Isoladores de Tipo Damper de Fumaça"</t>
  </si>
  <si>
    <t>"Isoladores de Tipo Damper de Fumaça de Incêncio"</t>
  </si>
  <si>
    <t>"Isoladores de Tipo Damper de Incêncio"</t>
  </si>
  <si>
    <t>"Duto de Histórico de Porto de Distribuição P"</t>
  </si>
  <si>
    <t>"Filtro de Ar Comprimido de Tipo Filtro"</t>
  </si>
  <si>
    <t>"Forro de Teto"</t>
  </si>
  <si>
    <t>"Função Principal de Edifício"</t>
  </si>
  <si>
    <t>"Função Principal de Edifício Adjacente"</t>
  </si>
  <si>
    <t>"Histórico de Alarme"</t>
  </si>
  <si>
    <t>"Histórico de Amortecedor Damper"</t>
  </si>
  <si>
    <t xml:space="preserve">"Histórico de Aparelho Audiovisual" </t>
  </si>
  <si>
    <t>"Histórico de Aparelho de Comunicação"</t>
  </si>
  <si>
    <t>"Histórico de Aquecedor Portátil"</t>
  </si>
  <si>
    <t>"Histórico de Chiller"</t>
  </si>
  <si>
    <t>"Histórico de Compressor"</t>
  </si>
  <si>
    <t>"Histórico de Condensador"</t>
  </si>
  <si>
    <t>"Histórico de Controlador"</t>
  </si>
  <si>
    <t>"Histórico de Cooler Evaporativo"</t>
  </si>
  <si>
    <t>"Histórico de Dispositivos de Armazenamento de Fluxo Elétrico"</t>
  </si>
  <si>
    <t>"Histórico de Evaporador"</t>
  </si>
  <si>
    <t>"Histórico de Filtro"</t>
  </si>
  <si>
    <t>"Histórico de Instrumento de Fluxo"</t>
  </si>
  <si>
    <t>"Histórico de Segmentos de Dutos"</t>
  </si>
  <si>
    <t>"Histórico de Sensor"</t>
  </si>
  <si>
    <t>"Histórico de Silenciador de Duto"</t>
  </si>
  <si>
    <t>"Histórico de Tanque"</t>
  </si>
  <si>
    <t>"Histórico de Terminal AVAC"</t>
  </si>
  <si>
    <t>"Histórico de Umidificador"</t>
  </si>
  <si>
    <t>"Histórico de Ventilador"</t>
  </si>
  <si>
    <t>"Histórico Térmico de Espaço"</t>
  </si>
  <si>
    <t>"Informações de Sistema de Lado Aéreo"</t>
  </si>
  <si>
    <t>"Ocorrência de Fabricante"</t>
  </si>
  <si>
    <t>"Ordem de Manutenção de Projeto"</t>
  </si>
  <si>
    <t>"Posição de Controladores  Duplo"</t>
  </si>
  <si>
    <t>"Propriedades Ópticas de Material"</t>
  </si>
  <si>
    <t>"Revestimento de Piso"</t>
  </si>
  <si>
    <t>"Sifão de piso de tipo Terminal de resíduos"</t>
  </si>
  <si>
    <t>"Sintonizador de tipo Aparelhos Audiovisual"</t>
  </si>
  <si>
    <t>"Superfície de Trabalho de Tipo Elemento de Mobiliário de Sistema"</t>
  </si>
  <si>
    <t>"Tubulação de História de Porto de Distribuição P"</t>
  </si>
  <si>
    <t>"Conjunto de Definição de Conjunto de Propriedades em IFC"</t>
  </si>
  <si>
    <t>"Decoração de Texto em IFC"</t>
  </si>
  <si>
    <t>"Medição de Nível de Potência Sonora em IFC"</t>
  </si>
  <si>
    <t>"Medida de Reação de Módulo em IFC  de Sublegrado"</t>
  </si>
  <si>
    <t>"Medida Dependente de Contexto em IFC"</t>
  </si>
  <si>
    <t>"Medida de Coeficiente de Expansão Térmica em IFC"</t>
  </si>
  <si>
    <t>"Medida de Gradiente de Temperatura em IFC"</t>
  </si>
  <si>
    <t>"Medida de Módulo de Cisalhamento em IFC"</t>
  </si>
  <si>
    <t>"Medida de Módulo de Elasticidade em IFC"</t>
  </si>
  <si>
    <t>"Medida de Módulo de Seção em IFC"</t>
  </si>
  <si>
    <t>"Medida de Momento de Inércia em IFC"</t>
  </si>
  <si>
    <t>"Mês de Ano Numérico em IFC"</t>
  </si>
  <si>
    <t>"Dia de Mês Numérico em IFC"</t>
  </si>
  <si>
    <t>"Referência de Ponto Cardinal em IFC"</t>
  </si>
  <si>
    <t>"Valor de Parâmetro em IFC"</t>
  </si>
  <si>
    <t>"Tipos Enumerados de Caminho de Texto"</t>
  </si>
  <si>
    <t>"Tipos Enumerados de Direção de Conjunto de Camadas"</t>
  </si>
  <si>
    <t>"Tipos Enumerados de Elementos de Mobiliário de Sistema"</t>
  </si>
  <si>
    <t>"Tipos Enumerados de Operação de Painel de Janelas"</t>
  </si>
  <si>
    <t>"Tipos Enumerados de Operação de Painel de Portas"</t>
  </si>
  <si>
    <t>"Tipos Enumerados de Status de Documento"</t>
  </si>
  <si>
    <t>"Seleção de Definição de Conjunto de Propriedades"</t>
  </si>
  <si>
    <t>"Seleção de Fonte de Estilo Curva"</t>
  </si>
  <si>
    <t>"Seleção de Módulo de Reação de Subgrau"</t>
  </si>
  <si>
    <t>"Seleção de Representação de Produto"</t>
  </si>
  <si>
    <t>"Regra de Contexto de Representação de Mesmo WCS"</t>
  </si>
  <si>
    <t>"Duto formado de tipo de elemento de câmara de distribuição"</t>
  </si>
  <si>
    <t>"Histórico de Bomba"</t>
  </si>
  <si>
    <t>"Histórico de Caixa de Terminal AVAC"</t>
  </si>
  <si>
    <t>"Histórico de Caldeira"</t>
  </si>
  <si>
    <t>"Histórico de Carga Térmica Espacial"</t>
  </si>
  <si>
    <t>"Histórico de Conexões de Duto"</t>
  </si>
  <si>
    <t>"Histórico de Conexões de Tubulação"</t>
  </si>
  <si>
    <t>"Histórico de Recuperação de Calor Ar-Ar"</t>
  </si>
  <si>
    <t>"Histórico de Serpentina"</t>
  </si>
  <si>
    <t>"Histórico de Torre de Arrefecimento"</t>
  </si>
  <si>
    <t>"Histórico de Válvula"</t>
  </si>
  <si>
    <t>"Histórico de Viga de Refrigeração"</t>
  </si>
  <si>
    <t>"Histórico de Viga de Refrigeração Ativa"</t>
  </si>
  <si>
    <t>"Inclinação de Barra de Reforço de Laje"</t>
  </si>
  <si>
    <t>"Inclinação de Barra de Reforço de Viga"</t>
  </si>
  <si>
    <t>"Membro Estrutural de Superfície Variando de Espessura"</t>
  </si>
  <si>
    <t>"Vida Útil - Definida em Técnicas de LCA Life Cycle Assessment ou Ciclo de Vida de Construção"</t>
  </si>
  <si>
    <t>"Medida de Quantidade de Substância em IFC"</t>
  </si>
  <si>
    <t>"Medida de Taxa de Contagem de Inteiros em IFC"</t>
  </si>
  <si>
    <t>"Medida de Taxa de Variação de Temperatura em IFC"</t>
  </si>
  <si>
    <t>"Nome de Fonte dos Textos em IFC"</t>
  </si>
  <si>
    <t>"Dia de Semana Numérico em IFC"</t>
  </si>
  <si>
    <t>"Peso de Fonte em IFC"</t>
  </si>
  <si>
    <t>"Variante de Fonte em IFC"</t>
  </si>
  <si>
    <t>"Tipos Enumerados de Atividade de Curva Estrutural"</t>
  </si>
  <si>
    <t>"Tipos Enumerados de Atividade Estrutural de Superfície"</t>
  </si>
  <si>
    <t>"Tipos Enumerados de Curva de Distribuição de Luz"</t>
  </si>
  <si>
    <t>"Tipos Enumerados de Elementos de Câmara de Distribuição"</t>
  </si>
  <si>
    <t>"Tipos Enumerados de Formas de Curva BSpline"</t>
  </si>
  <si>
    <t>"Tipos Enumerados de Origem de Ação"</t>
  </si>
  <si>
    <t>"Tipos Enumerados de Representação de Curva de Superfície Preferencial"</t>
  </si>
  <si>
    <t>"Seleção de Direção de Posicionamento de Grade"</t>
  </si>
  <si>
    <t>"Seleção de Distância de Linha de Hatch"</t>
  </si>
  <si>
    <t>"Seleção de Superfície ou Face de Superfície"</t>
  </si>
  <si>
    <t>"Seleção de Valor de Métrica"</t>
  </si>
  <si>
    <t>"Histórico de Atuador"</t>
  </si>
  <si>
    <t>"Histórico de Dispositivos de Sombreamento"</t>
  </si>
  <si>
    <t>"Histórico de Unidade Controladora"</t>
  </si>
  <si>
    <t>"Histórico de Segmentos de Tubulação"</t>
  </si>
  <si>
    <t>"Histórico de Dispositivos de Comutação"</t>
  </si>
  <si>
    <t>"Inclinação de Barra de Reforço de Sapata Contínua"</t>
  </si>
  <si>
    <t>"Inclinação de Barra de Reforço de Coluna"</t>
  </si>
  <si>
    <t>"Inclinação de Barra de Reforço de Parede"</t>
  </si>
  <si>
    <t>"Indicador de Impacto Ambiental"</t>
  </si>
  <si>
    <t>"Informações Sobre o Fabricante"</t>
  </si>
  <si>
    <t>"Instrumental de Fluído"</t>
  </si>
  <si>
    <t>"Interruptor de Parada Momentânea"</t>
  </si>
  <si>
    <t>"Interruptor de Dimmer"</t>
  </si>
  <si>
    <t>"Válvula de Fechamento"</t>
  </si>
  <si>
    <t>"Conexões de Tubulação - Junção"</t>
  </si>
  <si>
    <t>"Válvula de Descarga"</t>
  </si>
  <si>
    <t>"Eletrodoméstico - Lava-Louças"</t>
  </si>
  <si>
    <t>"Válvula de Alívio"</t>
  </si>
  <si>
    <t>"Anotação - Linha de Contorno"</t>
  </si>
  <si>
    <t>"Anotação - Linha de Visão"</t>
  </si>
  <si>
    <t>"Loteamento"</t>
  </si>
  <si>
    <t>"Instrumental de Fluído - Manômetro"</t>
  </si>
  <si>
    <t>"Equipamento Manuseador de Ar"</t>
  </si>
  <si>
    <t>"Material de Concreto"</t>
  </si>
  <si>
    <t>"Material Gasolina"</t>
  </si>
  <si>
    <t>"Material para Vigas de Madeira"</t>
  </si>
  <si>
    <t>"Material para Paineis de Madeira"</t>
  </si>
  <si>
    <t>"Medidor de Água"</t>
  </si>
  <si>
    <t>"Medidor de Energia Elétrica"</t>
  </si>
  <si>
    <t>"Medidor de Insumo"</t>
  </si>
  <si>
    <t>"Medidor de Gás"</t>
  </si>
  <si>
    <t>"Medidor de Óleo"</t>
  </si>
  <si>
    <t>"Terminal Sanitário - Mictório"</t>
  </si>
  <si>
    <t>"Válvula Misturadora"</t>
  </si>
  <si>
    <t>"Mobiliário Cadeira"</t>
  </si>
  <si>
    <t>"Mobiliário Escrivaninhas"</t>
  </si>
  <si>
    <t>"Mobiliário Tampo de Mesas"</t>
  </si>
  <si>
    <t>"Mobiliários de Sistema Montado"</t>
  </si>
  <si>
    <t>"Máquina"</t>
  </si>
  <si>
    <t>"Ocorrência de Bombeamento"</t>
  </si>
  <si>
    <t>"Ocorrência de Serpentina"</t>
  </si>
  <si>
    <t>"Ocorrência de Amortecedor Damper"</t>
  </si>
  <si>
    <t>"Ocorrência de Dispositivo de Proteção"</t>
  </si>
  <si>
    <t>"Ocorrência de Medidor de Fluído ou Insumo"</t>
  </si>
  <si>
    <t>"Ocorrência em Quadro de Distribuição Elétrica"</t>
  </si>
  <si>
    <t>"Ocorrência em Segmentos de Tubulação"</t>
  </si>
  <si>
    <t>"Ocorrência em Segmentos de Duto"</t>
  </si>
  <si>
    <t>"Mobiliário de Sistema - Painel"</t>
  </si>
  <si>
    <t>"Quadro Indicador de Unidade Controladora"</t>
  </si>
  <si>
    <t>"Interruptor de Parada de Emergência"</t>
  </si>
  <si>
    <t>"Parafuso de Ancoragem"</t>
  </si>
  <si>
    <t>"Parafuso de Fixação"</t>
  </si>
  <si>
    <t>"Placa de Fixação de Acessórios na Borda"</t>
  </si>
  <si>
    <t>"Placa de Fixação de Acessórios no Canto"</t>
  </si>
  <si>
    <t>"Placa de Fixação de Acessórios"</t>
  </si>
  <si>
    <t>"Laje Pré-Moldada"</t>
  </si>
  <si>
    <t>"Conector de Distribuição de Tubulação"</t>
  </si>
  <si>
    <t>"Propriedades Mecânicas de Material"</t>
  </si>
  <si>
    <t>"Radiador Aquecedor Portátil"</t>
  </si>
  <si>
    <t>"Material Água"</t>
  </si>
  <si>
    <t>"Aparelho Audiovisual de Projeção"</t>
  </si>
  <si>
    <t>"Aparelho Audiovisual de Recepção"</t>
  </si>
  <si>
    <t>"Aparelho Audiovisual - Alto-Falantes"</t>
  </si>
  <si>
    <t>"Aparelho Audiovisual - Amplificadores"</t>
  </si>
  <si>
    <t>"Aparelho Audiovisual - Câmera"</t>
  </si>
  <si>
    <t>"Aparelho Audiovisual - Câmeras"</t>
  </si>
  <si>
    <t>"Aparelho Audiovisual - Player"</t>
  </si>
  <si>
    <t>"Aparelho Audiovisual - Tela"</t>
  </si>
  <si>
    <t>"Aparelho Audiovisual"</t>
  </si>
  <si>
    <t>"Aparelho de Ar-Condicionado"</t>
  </si>
  <si>
    <t>"Aparelho de Comunicação"</t>
  </si>
  <si>
    <t>"Câmara de Distribuição - Câmara de Inspeção"</t>
  </si>
  <si>
    <t>"Câmara de Válvulas"</t>
  </si>
  <si>
    <t>"Câmara de Distribuição - Bueiro"</t>
  </si>
  <si>
    <t>"Câmara de Distribuição - Trincheira"</t>
  </si>
  <si>
    <t>"Câmara de Distribuição"</t>
  </si>
  <si>
    <t>"Válvula de Alívio de Pressão"</t>
  </si>
  <si>
    <t>"Válvula de Derivação de Gás"</t>
  </si>
  <si>
    <t>"Válvula Redutora de Pressão"</t>
  </si>
  <si>
    <t>"Válvula Draw Off"</t>
  </si>
  <si>
    <t>"Válvula"</t>
  </si>
  <si>
    <t>"Dispositivos de Proteção - Varistor"</t>
  </si>
  <si>
    <t>"Sistema de Distribuição - Ventilação"</t>
  </si>
  <si>
    <t>"Dispositivos de Proteção - Disjuntor Tipo MCB"</t>
  </si>
  <si>
    <t>"Dispositivos de Proteção - Disjuntor 2T Curva"</t>
  </si>
  <si>
    <t>"Dispositivos de Proteção - Fusíveis T"</t>
  </si>
  <si>
    <t>"Terminal de Descarte de Resíduos"</t>
  </si>
  <si>
    <t>"Interruptor de Teclado"</t>
  </si>
  <si>
    <t>"Luminária de Iluminação de Segurança"</t>
  </si>
  <si>
    <t>"Interruptor de Partida"</t>
  </si>
  <si>
    <t>"Dispositivos de Proteção de Corrente Residual"</t>
  </si>
  <si>
    <t>"Dispositivos de Proteção - Disjuntor de Motor"</t>
  </si>
  <si>
    <t>"Dispositivos de Proteção - Corrente Residual"</t>
  </si>
  <si>
    <t>"Dispositivos de Proteção - Eletromagnético"</t>
  </si>
  <si>
    <t>"Dispositivos de Proteção - Eletrônico"</t>
  </si>
  <si>
    <t>"Dispositivos de Proteção - Térmico"</t>
  </si>
  <si>
    <t>"Dispositivos de Proteção - Fusível"</t>
  </si>
  <si>
    <t>"Dispositivos de Proteção - Disjuntor de Corrente Residual"</t>
  </si>
  <si>
    <t>"Dispositivos de Proteção - Aterramento"</t>
  </si>
  <si>
    <t>"Aquecedor de Ambiente por Convecção"</t>
  </si>
  <si>
    <t>"Aquecedor de Ambiente"</t>
  </si>
  <si>
    <t>"Âncoragem de Tensor Estrutural"</t>
  </si>
  <si>
    <t>"Dispositivos de Proteção - Unidade de Disparo"</t>
  </si>
  <si>
    <t>"Dispositivos de Proteção - Disjuntor Curva I"</t>
  </si>
  <si>
    <t>"Dispositivos de Proteção - Sobrecarga Elétrica"</t>
  </si>
  <si>
    <t>"Dispositivos de Proteção de Corrente Elétrica"</t>
  </si>
  <si>
    <t>"Terminal de Combate a Incêndio Entrada de Abertura"</t>
  </si>
  <si>
    <t>"Eletrodoméstico"</t>
  </si>
  <si>
    <t>"Elementos de Concreto Pré-Moldado Geral"</t>
  </si>
  <si>
    <t>"Elementos de Concreto Pré-Moldado"</t>
  </si>
  <si>
    <t>"Caixa de Junção"</t>
  </si>
  <si>
    <t>"Caldeira de Água"</t>
  </si>
  <si>
    <t>"Caldeira de Vapor"</t>
  </si>
  <si>
    <t>"Caldeira"</t>
  </si>
  <si>
    <t>"Carga Térmica de Ambiente"</t>
  </si>
  <si>
    <t>"Centrífuga com Ventilador"</t>
  </si>
  <si>
    <t>"Chaminé"</t>
  </si>
  <si>
    <t>"Coluna Estrutural"</t>
  </si>
  <si>
    <t>"Compressor"</t>
  </si>
  <si>
    <t>"Condensadora"</t>
  </si>
  <si>
    <t>"Terminal de Combate de Incêndio - Conexões de Entrada"</t>
  </si>
  <si>
    <t>"Conexões de Tubulação Flangeada"</t>
  </si>
  <si>
    <t>"Conexões de Tubulação - Curva"</t>
  </si>
  <si>
    <t>"Conexões de Tubulação"</t>
  </si>
  <si>
    <t>"Controlador Temporal Elétrico"</t>
  </si>
  <si>
    <t>"Controlador Flutuante"</t>
  </si>
  <si>
    <t>"Controlador Multi Posição"</t>
  </si>
  <si>
    <t>"Controlador Programável"</t>
  </si>
  <si>
    <t>"Controlador Proporcional"</t>
  </si>
  <si>
    <t>"Controlador"</t>
  </si>
  <si>
    <t>"Controlador de Tarefas"</t>
  </si>
  <si>
    <t>"Circulação - Escada"</t>
  </si>
  <si>
    <t>"Circulação - Rampa"</t>
  </si>
  <si>
    <t>"Circulação - Rampa com Patamar"</t>
  </si>
  <si>
    <t>"Circulação - Corrimão"</t>
  </si>
  <si>
    <t>"Tipos Enumerados de Corrimão"</t>
  </si>
  <si>
    <t>"Circulação - Escada com Patamar"</t>
  </si>
  <si>
    <t>"Pan Horizontal"</t>
  </si>
  <si>
    <t>"Pan Vertical"</t>
  </si>
  <si>
    <t>"N_ Protection_100"</t>
  </si>
  <si>
    <t>"N_ Protection_50"</t>
  </si>
  <si>
    <t>"Dual Deck"</t>
  </si>
  <si>
    <t>"In Plane Negative"</t>
  </si>
  <si>
    <t>"Classificação Acústica"</t>
  </si>
  <si>
    <t>"Classificação de Inflamabilidade"</t>
  </si>
  <si>
    <t>"Classificação de Fragilidade"</t>
  </si>
  <si>
    <t>"Referência"</t>
  </si>
  <si>
    <t>"Combustível"</t>
  </si>
  <si>
    <t>"Carga Total de Resfriamento"</t>
  </si>
  <si>
    <t>"Carga Total de Aquecimento"</t>
  </si>
  <si>
    <t>"Diversidade de Eletrodomésticos"</t>
  </si>
  <si>
    <t>"Infiltração Diversidade Inverno"</t>
  </si>
  <si>
    <t>"Diversidade de Iluminação"</t>
  </si>
  <si>
    <t>"Fator de Segurança de Carga"</t>
  </si>
  <si>
    <t>"Condição"</t>
  </si>
  <si>
    <t>"Acessível ao Público"</t>
  </si>
  <si>
    <t>"Capacidade de Carga"</t>
  </si>
  <si>
    <t>"Nível de Entrada"</t>
  </si>
  <si>
    <t>"Valor de Contorno"</t>
  </si>
  <si>
    <t>"Ângulo Visível à Esquerda"</t>
  </si>
  <si>
    <t>"Ângulo Visível à Direita"</t>
  </si>
  <si>
    <t>"Distância Visível na Estrada à Direita"</t>
  </si>
  <si>
    <t>"Distância de Retrocesso"</t>
  </si>
  <si>
    <t>"Método de Aquisição"</t>
  </si>
  <si>
    <t>"Tipo de Alto-falante"</t>
  </si>
  <si>
    <t>"Impedância"</t>
  </si>
  <si>
    <t>"Tipo de Amplificador"</t>
  </si>
  <si>
    <t>"Modo Áudio"</t>
  </si>
  <si>
    <t>"Amplificação de Áudio"</t>
  </si>
  <si>
    <t>"Tipo de Câmera"</t>
  </si>
  <si>
    <t>"Intervalo de Captura de Vídeo"</t>
  </si>
  <si>
    <t>"Inclinar Horizontalmente"</t>
  </si>
  <si>
    <t>"Inclinar Verticalmente"</t>
  </si>
  <si>
    <t>"Largura de Exibição"</t>
  </si>
  <si>
    <t>"Tamanho Nominal"</t>
  </si>
  <si>
    <t>"Taxa de Atualização"</t>
  </si>
  <si>
    <t>"Brilho"</t>
  </si>
  <si>
    <t>"Razão de Contraste"</t>
  </si>
  <si>
    <t>"Tipo de Projetor"</t>
  </si>
  <si>
    <t>"Tipo de Receptor"</t>
  </si>
  <si>
    <t>"Fonte de Mídia"</t>
  </si>
  <si>
    <t>"Volume de Áudio"</t>
  </si>
  <si>
    <t>"Capacidade de Aquecimento"</t>
  </si>
  <si>
    <t>"Capacidade de Resfriamento Latente"</t>
  </si>
  <si>
    <t>"Vazão do Condensador"</t>
  </si>
  <si>
    <t>"Fonte de Energia"</t>
  </si>
  <si>
    <t>"Dimensão de Transferência de Calor"</t>
  </si>
  <si>
    <t>"Meio de Transferência de Calor"</t>
  </si>
  <si>
    <t>"Classificação de Temperatura"</t>
  </si>
  <si>
    <t>"Massa Corporal"</t>
  </si>
  <si>
    <t>"Capacidade de Saída"</t>
  </si>
  <si>
    <t>"Eficiência Térmica"</t>
  </si>
  <si>
    <t>"Capacidade Térmica de Massa"</t>
  </si>
  <si>
    <t>"Escala de Som"</t>
  </si>
  <si>
    <t>"Pressão Sonora"</t>
  </si>
  <si>
    <t>"Tipo de Contabilidade de Ativos"</t>
  </si>
  <si>
    <t>"Tipo de Seguro de Ativos"</t>
  </si>
  <si>
    <t>"Categoria"</t>
  </si>
  <si>
    <t>"Nível de Habilidade"</t>
  </si>
  <si>
    <t>"Ângulo de Alcance"</t>
  </si>
  <si>
    <t>"Tipo de Atuador Elétrico"</t>
  </si>
  <si>
    <t>"Pressão de Entrada"</t>
  </si>
  <si>
    <t>"Força"</t>
  </si>
  <si>
    <t>"Aplicação"</t>
  </si>
  <si>
    <t>"Posição de Falha"</t>
  </si>
  <si>
    <t>"Substituição Manual"</t>
  </si>
  <si>
    <t>"Diâmetro Nominal"</t>
  </si>
  <si>
    <t>"Parâmetros de Flexão"</t>
  </si>
  <si>
    <t>"Velocidade Nominal de Rotação"</t>
  </si>
  <si>
    <t>"Cabeça de Sucção Líquida Positiva"</t>
  </si>
  <si>
    <t>"Corrente"</t>
  </si>
  <si>
    <t>"Dados Recebidos"</t>
  </si>
  <si>
    <t>"Dados Transmitidos"</t>
  </si>
  <si>
    <t>"Fator de Potência"</t>
  </si>
  <si>
    <t>"Tensão"</t>
  </si>
  <si>
    <t>"Tipo de Montagem"</t>
  </si>
  <si>
    <t>"Tipo de Forma"</t>
  </si>
  <si>
    <t>"Tipo de Arranjo"</t>
  </si>
  <si>
    <t>"Tipo de Reaquecimento"</t>
  </si>
  <si>
    <t>"Vazão Nominal de Ar"</t>
  </si>
  <si>
    <t>"Eficiência Nominal"</t>
  </si>
  <si>
    <t>"Pressão Máxima de Saída"</t>
  </si>
  <si>
    <t>"Modo de Operação"</t>
  </si>
  <si>
    <t>"Consumo Nominal de Energia"</t>
  </si>
  <si>
    <t>"Classificação de Pressão"</t>
  </si>
  <si>
    <t>"Curvas de Eficiência de Carga Parcial"</t>
  </si>
  <si>
    <t>"Capacidade de Armazenamento de Água"</t>
  </si>
  <si>
    <t>"Área de Superfície de Transferência de Calor"</t>
  </si>
  <si>
    <t>"Com Pano de Fundo"</t>
  </si>
  <si>
    <t>"Material Base"</t>
  </si>
  <si>
    <t>"Material de Parede"</t>
  </si>
  <si>
    <t>"Comprimento ou Raio de Acesso"</t>
  </si>
  <si>
    <t>"Largura de Acesso"</t>
  </si>
  <si>
    <t>"Profundidade"</t>
  </si>
  <si>
    <t>"Comprimento"</t>
  </si>
  <si>
    <t>"Largura"</t>
  </si>
  <si>
    <t>"Equipamento Sensato"</t>
  </si>
  <si>
    <t>"Ar de Exaustão"</t>
  </si>
  <si>
    <t>"Iluminação"</t>
  </si>
  <si>
    <t>"Pessoas"</t>
  </si>
  <si>
    <t>"Umidade Relativa"</t>
  </si>
  <si>
    <t>"Carga Latente Total"</t>
  </si>
  <si>
    <t>"Carga Radiante Total"</t>
  </si>
  <si>
    <t>"Capacidade Nominal"</t>
  </si>
  <si>
    <t>"Curva de Capacidade"</t>
  </si>
  <si>
    <t>"Temperatura Nominal de Condensação"</t>
  </si>
  <si>
    <t>"Temperatura Nominal de Evaporação"</t>
  </si>
  <si>
    <t>"Arranjo"</t>
  </si>
  <si>
    <t>"Direção de Rotação"</t>
  </si>
  <si>
    <t>"Posição de Descarga"</t>
  </si>
  <si>
    <t>"Diâmetro"</t>
  </si>
  <si>
    <t>"Altura"</t>
  </si>
  <si>
    <t>"Contra-Inclinação"</t>
  </si>
  <si>
    <t>"Inclinação"</t>
  </si>
  <si>
    <t>"Largura Livre"</t>
  </si>
  <si>
    <t>"Inclinação Obrigatória"</t>
  </si>
  <si>
    <t>"Classe Refrigerante"</t>
  </si>
  <si>
    <t>"Capacidade Ideal"</t>
  </si>
  <si>
    <t>"Razão Máxima de Carga da Peça"</t>
  </si>
  <si>
    <t>"Possui Bypass de Gás Quente"</t>
  </si>
  <si>
    <t>"Área de Superfície Externa"</t>
  </si>
  <si>
    <t>"Área Nominal de Transferência de Calor"</t>
  </si>
  <si>
    <t>"Coeficiente Nominal de Transferência de Calor"</t>
  </si>
  <si>
    <t>"Volume Interno de Refrigerante"</t>
  </si>
  <si>
    <t>"Volume Interno de Água"</t>
  </si>
  <si>
    <t>"Condição de Avaliação"</t>
  </si>
  <si>
    <t>"Subtipo de Conexão"</t>
  </si>
  <si>
    <t>"Tipo de Conexão"</t>
  </si>
  <si>
    <t>"Diâmetro Interno"</t>
  </si>
  <si>
    <t>"Diâmetro Externo"</t>
  </si>
  <si>
    <t>"Pressão"</t>
  </si>
  <si>
    <t>"Condição de Fluxo"</t>
  </si>
  <si>
    <t>"Temperatura"</t>
  </si>
  <si>
    <t>"Vazão Volumétrica"</t>
  </si>
  <si>
    <t>"Velocidade"</t>
  </si>
  <si>
    <t>"Classe de Pressão"</t>
  </si>
  <si>
    <t>"Ângulo de Flexão"</t>
  </si>
  <si>
    <t>"Tipo de Junção"</t>
  </si>
  <si>
    <t>"Junção Raio Esquerdo"</t>
  </si>
  <si>
    <t>"Padrão de Flange"</t>
  </si>
  <si>
    <t>"Mesa de Flange"</t>
  </si>
  <si>
    <t>"Fator de Perda de Ajuste"</t>
  </si>
  <si>
    <t>"Descrição"</t>
  </si>
  <si>
    <t>"Data de Formatura"</t>
  </si>
  <si>
    <t>"Data de Término"</t>
  </si>
  <si>
    <t>"Data de Versão"</t>
  </si>
  <si>
    <t>"Duração"</t>
  </si>
  <si>
    <t>"Tipo de Acordo"</t>
  </si>
  <si>
    <t>"Versão"</t>
  </si>
  <si>
    <t>"Identificador"</t>
  </si>
  <si>
    <t>"Opções"</t>
  </si>
  <si>
    <t>"Restrições"</t>
  </si>
  <si>
    <t>"Tipo de Controle"</t>
  </si>
  <si>
    <t>"Rótulos"</t>
  </si>
  <si>
    <t>"Intervalo"</t>
  </si>
  <si>
    <t>"Valor"</t>
  </si>
  <si>
    <t>"Versão de Firmware"</t>
  </si>
  <si>
    <t>"Versão de Software"</t>
  </si>
  <si>
    <t>"Constante derivada"</t>
  </si>
  <si>
    <t>"Constante Integral"</t>
  </si>
  <si>
    <t>"Constante Proporcional"</t>
  </si>
  <si>
    <t>"Exposição Térmica ao Edifício"</t>
  </si>
  <si>
    <t>"Estação de Dados Meteorológicos"</t>
  </si>
  <si>
    <t>"Carga de Porcentagem de Relâmpago para Retorno de Ar"</t>
  </si>
  <si>
    <t>"Diversidade de Ocupação"</t>
  </si>
  <si>
    <t>"Ar Externo Por Pessoa"</t>
  </si>
  <si>
    <t>"Tipo de Curva de Disparo"</t>
  </si>
  <si>
    <t>"Módulos em Paralelo"</t>
  </si>
  <si>
    <t>"Módulos em Série"</t>
  </si>
  <si>
    <t>"Fração Radiativa"</t>
  </si>
  <si>
    <t>"Frequência Nominal"</t>
  </si>
  <si>
    <t>"Deslocamento nominal de tensão de alimentação"</t>
  </si>
  <si>
    <t>"Tipo Contator"</t>
  </si>
  <si>
    <t>"Tipo de Desconexão de Carga"</t>
  </si>
  <si>
    <t>"Sensibilidade"</t>
  </si>
  <si>
    <t>"Nível de Tensão"</t>
  </si>
  <si>
    <t>"Corrente Nominal"</t>
  </si>
  <si>
    <t>"Correntes Nominais"</t>
  </si>
  <si>
    <t>"Perda de Energia"</t>
  </si>
  <si>
    <t>"Designação de Curva"</t>
  </si>
  <si>
    <t>"Tipo de Unidade de Disparo Eletromagnético"</t>
  </si>
  <si>
    <t>"Fator de Temperatura"</t>
  </si>
  <si>
    <t>"Temperatura Definida"</t>
  </si>
  <si>
    <t>"Tipo de Unidade Eletrônica de Desligamento"</t>
  </si>
  <si>
    <t>"N_ Proteção"</t>
  </si>
  <si>
    <t>"N_ Protection_ Selecionar"</t>
  </si>
  <si>
    <t>"Tipo Desconectador de Fusíveis"</t>
  </si>
  <si>
    <t>"Tipo de Unidade de Disparo Térmico"</t>
  </si>
  <si>
    <t>"Padrão"</t>
  </si>
  <si>
    <t>"Verificado pela Atex"</t>
  </si>
  <si>
    <t>"Dispositivo Antigo"</t>
  </si>
  <si>
    <t>"Tipo Varistor"</t>
  </si>
  <si>
    <t>"Designação de Ajuste"</t>
  </si>
  <si>
    <t>"Valores de Ajuste"</t>
  </si>
  <si>
    <t>"Corrente para Atraso de Tempo"</t>
  </si>
  <si>
    <t>"Tolerância Atual1"</t>
  </si>
  <si>
    <t>"Tolerância de Corrente2"</t>
  </si>
  <si>
    <t>"Tolerância Temporal1"</t>
  </si>
  <si>
    <t>"Tolerância de Tempo2"</t>
  </si>
  <si>
    <t>"Corrente nominal ajustada"</t>
  </si>
  <si>
    <t>"Corrente Inferior1"</t>
  </si>
  <si>
    <t>"Corrente Inferior2"</t>
  </si>
  <si>
    <t>"Hora de Lançamento I2t Start"</t>
  </si>
  <si>
    <t>"Liberar o I2T End Atual"</t>
  </si>
  <si>
    <t>"Aspereza"</t>
  </si>
  <si>
    <t>"Tipo de Dispositivo de Sombreamento"</t>
  </si>
  <si>
    <t>"Refletância Solar"</t>
  </si>
  <si>
    <t>"Classe Padrão de Isolamento"</t>
  </si>
  <si>
    <t>"Tensão Nominal"</t>
  </si>
  <si>
    <t>"Método de Construção"</t>
  </si>
  <si>
    <t>"Classe de Proteção contra Incêndio"</t>
  </si>
  <si>
    <t>"Tipo de Ocupação"</t>
  </si>
  <si>
    <t>"Construção I"</t>
  </si>
  <si>
    <t>"Fator de Desvio"</t>
  </si>
  <si>
    <t>"Curvas Totali U A"</t>
  </si>
  <si>
    <t>"Tratamento contra Corrosão"</t>
  </si>
  <si>
    <t>"Tipo de Entrega"</t>
  </si>
  <si>
    <t>"Propósito"</t>
  </si>
  <si>
    <t>"Abertura Protegida"</t>
  </si>
  <si>
    <t>"Razão de Área de Reforço"</t>
  </si>
  <si>
    <t>"Número de Local de Projeto"</t>
  </si>
  <si>
    <t>"Entopimento de Núcleo Vazio"</t>
  </si>
  <si>
    <t>"Classe de Tolerância de Fabricação"</t>
  </si>
  <si>
    <t>"Marca de Peça"</t>
  </si>
  <si>
    <t>"Designador de Tipo"</t>
  </si>
  <si>
    <t>"Rebatedor no Final"</t>
  </si>
  <si>
    <t>"Rebatedor no Início"</t>
  </si>
  <si>
    <t>"Comprimento Mínimo Permitido de Suporte"</t>
  </si>
  <si>
    <t>"Força de Arrancar a Forma"</t>
  </si>
  <si>
    <t>"Tensão Inicial"</t>
  </si>
  <si>
    <t>"Força de Levantamento"</t>
  </si>
  <si>
    <t>"Força de Liberação"</t>
  </si>
  <si>
    <t>"Força no Transporte"</t>
  </si>
  <si>
    <t>"Encurtamento"</t>
  </si>
  <si>
    <t>"Referência de Documento de Apoio Durante o Transporte"</t>
  </si>
  <si>
    <t>"Data Real de Ereção"</t>
  </si>
  <si>
    <t>"Data Atual de Produção"</t>
  </si>
  <si>
    <t>"Número de Local Conforme Construído"</t>
  </si>
  <si>
    <t>"Classe de Tolerância de Construção"</t>
  </si>
  <si>
    <t>"Classe de Precisão Dimensional"</t>
  </si>
  <si>
    <t>"Classe de Exposição"</t>
  </si>
  <si>
    <t>"Classe de Força de Reforço"</t>
  </si>
  <si>
    <t>"Classe Estrutural"</t>
  </si>
  <si>
    <t>"Razão de Volume de Reforço"</t>
  </si>
  <si>
    <t>"Modo"</t>
  </si>
  <si>
    <t>"Código de Grupo"</t>
  </si>
  <si>
    <t>"Altura Nominal"</t>
  </si>
  <si>
    <t>"Elevador de Combate a Incêndio"</t>
  </si>
  <si>
    <t>"Peso de Capacidade"</t>
  </si>
  <si>
    <t>"Tipo de Fogão Elétrico"</t>
  </si>
  <si>
    <t>"Tipo Lava-louças"</t>
  </si>
  <si>
    <t>"Construção de Manuseador de Ar"</t>
  </si>
  <si>
    <t>"Tipo Meio Evaporador"</t>
  </si>
  <si>
    <t>"Nível de Design"</t>
  </si>
  <si>
    <t>"Condições de Uso"</t>
  </si>
  <si>
    <t>"Nível de Manutenção"</t>
  </si>
  <si>
    <t>"Espaçamento"</t>
  </si>
  <si>
    <t>"Espessura"</t>
  </si>
  <si>
    <t>"Condutividade Térmica"</t>
  </si>
  <si>
    <t>"Curva de absorção de partículas"</t>
  </si>
  <si>
    <t>"Operação Pressão Máxima"</t>
  </si>
  <si>
    <t>"Tipo de Filtro de Água"</t>
  </si>
  <si>
    <t>"Tipo de Filtro de Partículas de Ar"</t>
  </si>
  <si>
    <t>"Tipo de Separação"</t>
  </si>
  <si>
    <t>"Curva de Eficiência Contada"</t>
  </si>
  <si>
    <t>"Capacidade de Retenção de Poeira"</t>
  </si>
  <si>
    <t>"Curva de Eficiência Ponderada"</t>
  </si>
  <si>
    <t>"Curva de Queda de Pressão"</t>
  </si>
  <si>
    <t>"Eficiência Nominal Contabilizada"</t>
  </si>
  <si>
    <t>"Eficiência Nominal Ponderada"</t>
  </si>
  <si>
    <t>"Diâmetro Médio Geométrico Nominal de Partícula"</t>
  </si>
  <si>
    <t>"Peso"</t>
  </si>
  <si>
    <t>"Resistência Final"</t>
  </si>
  <si>
    <t>"Resistência Inicial"</t>
  </si>
  <si>
    <t>"Queda de Pressão Nominal"</t>
  </si>
  <si>
    <t>"Vazão Nominal"</t>
  </si>
  <si>
    <t>"Desvio Padrão Geométrico de Partícula Nominal"</t>
  </si>
  <si>
    <t>"Descarga Automática de Condensado"</t>
  </si>
  <si>
    <t>"Indicador de Entupido"</t>
  </si>
  <si>
    <t>"Área Estendida de Mídia"</t>
  </si>
  <si>
    <t>"Comprimento Nominal"</t>
  </si>
  <si>
    <t>"Permeabilidade"</t>
  </si>
  <si>
    <t>"Categoria de Mercado"</t>
  </si>
  <si>
    <t>"Subcategoria de Mercado"</t>
  </si>
  <si>
    <t>"Texto Narrativo"</t>
  </si>
  <si>
    <t>"Modos de Estabilidade Disponíveis no Futuro"</t>
  </si>
  <si>
    <t>"Modos de Estabilidade Disponíveis Agora"</t>
  </si>
  <si>
    <t>"Período de Garantia"</t>
  </si>
  <si>
    <t>"Ponto de Contato"</t>
  </si>
  <si>
    <t>"Identificador de Garantia"</t>
  </si>
  <si>
    <t>"Exclusões"</t>
  </si>
  <si>
    <t>"Curva Sonora"</t>
  </si>
  <si>
    <t>"Potência Máxima de Saída"</t>
  </si>
  <si>
    <t>"Fator de Corrente de Iniciação"</t>
  </si>
  <si>
    <t>"Confirmar"</t>
  </si>
  <si>
    <t>"Gravidade"</t>
  </si>
  <si>
    <t>"Usuário"</t>
  </si>
  <si>
    <t>"Taxa de Fluxo de Ar"</t>
  </si>
  <si>
    <t>"Vazamento"</t>
  </si>
  <si>
    <t>"Queda de Pressão"</t>
  </si>
  <si>
    <t>"Conteúdo de Mídia"</t>
  </si>
  <si>
    <t>"Consumo de Fonte Auxiliar de Energia"</t>
  </si>
  <si>
    <t>"Eficácia"</t>
  </si>
  <si>
    <t>"Expoente"</t>
  </si>
  <si>
    <t>"Transferência de Calor Convectiva por Fração"</t>
  </si>
  <si>
    <t>"Transferência de Calor Radiante por Fração"</t>
  </si>
  <si>
    <t>"Taxa de Produção de Calor"</t>
  </si>
  <si>
    <t>"Curva de Capacidade de Saída"</t>
  </si>
  <si>
    <t>"Posição"</t>
  </si>
  <si>
    <t>"Qualidade"</t>
  </si>
  <si>
    <t>"Vazão"</t>
  </si>
  <si>
    <t>"Eficiência Mecânica"</t>
  </si>
  <si>
    <t>"Eficiência Geral"</t>
  </si>
  <si>
    <t>"Aumento de Pressão"</t>
  </si>
  <si>
    <t>"Velocidade de Rotação"</t>
  </si>
  <si>
    <t>"Curva de Fluxo de Ar"</t>
  </si>
  <si>
    <t>"Pressão Atmosférica"</t>
  </si>
  <si>
    <t>"Som"</t>
  </si>
  <si>
    <t>"Consumo Auxiliar de Energia"</t>
  </si>
  <si>
    <t>"Eficiência de Combustão"</t>
  </si>
  <si>
    <t>"Temperatura de Combustão"</t>
  </si>
  <si>
    <t>"Consumo de Fonte de Energia"</t>
  </si>
  <si>
    <t>"Eficiência Operacional"</t>
  </si>
  <si>
    <t>"Relação de Carga Parcial"</t>
  </si>
  <si>
    <t>"Consumo de Energia Primária"</t>
  </si>
  <si>
    <t>"Capacidade"</t>
  </si>
  <si>
    <t>"Coeficiente de Desempenho"</t>
  </si>
  <si>
    <t>"Índice de Eficiência Energética"</t>
  </si>
  <si>
    <t>"Eficiência de Compressão"</t>
  </si>
  <si>
    <t>"Ganho de Calor por Atrito"</t>
  </si>
  <si>
    <t>"Razão de Carga Total"</t>
  </si>
  <si>
    <t>"Energia de Entrada"</t>
  </si>
  <si>
    <t>"Eficiência Isentrópica"</t>
  </si>
  <si>
    <t>"Eficiência Volumétrica"</t>
  </si>
  <si>
    <t>"Temperatura de Condensação"</t>
  </si>
  <si>
    <t>"Coeficiente de Transferência de Calor Exterior"</t>
  </si>
  <si>
    <t>"Taxa de Rejeição de Calor"</t>
  </si>
  <si>
    <t>"Coeficiente de Transferência de Calor Interna"</t>
  </si>
  <si>
    <t>"Diferença Média Logarítmica de Temperatura"</t>
  </si>
  <si>
    <t>"Vazamento de Fluxo de Ar"</t>
  </si>
  <si>
    <t>"Coeficiente de Perda"</t>
  </si>
  <si>
    <t>"Vazamento de Vazão"</t>
  </si>
  <si>
    <t>"Eletricidade"</t>
  </si>
  <si>
    <t>"Calor"</t>
  </si>
  <si>
    <t>"Vapor"</t>
  </si>
  <si>
    <t>"Água"</t>
  </si>
  <si>
    <t>"Taxa de Transferência de Calor Latente"</t>
  </si>
  <si>
    <t>"Nível"</t>
  </si>
  <si>
    <t>"Azimut"</t>
  </si>
  <si>
    <t>"Ângulo de Inclinação"</t>
  </si>
  <si>
    <t>"Temperatura de Evaporação"</t>
  </si>
  <si>
    <t>"Eficiência Contada"</t>
  </si>
  <si>
    <t>"Retenção de Massa de Partículas"</t>
  </si>
  <si>
    <t>"Eficiência Ponderada"</t>
  </si>
  <si>
    <t>"Eficácia Total"</t>
  </si>
  <si>
    <t>"Tabela de Eficácia Total"</t>
  </si>
  <si>
    <t>"Vazamento de Fluxo de Fluido"</t>
  </si>
  <si>
    <t>"Curva de Vazamento"</t>
  </si>
  <si>
    <t>"Direção"</t>
  </si>
  <si>
    <t>"Velocidade Facial"</t>
  </si>
  <si>
    <t>"Razão de Indução"</t>
  </si>
  <si>
    <t>"Coeficiente de Transferência de Calor"</t>
  </si>
  <si>
    <t>"Eficiência de Saturação"</t>
  </si>
  <si>
    <t>"Ventilador"</t>
  </si>
  <si>
    <t>"Vazão Medida"</t>
  </si>
  <si>
    <t>"Percentual de Abertura"</t>
  </si>
  <si>
    <t>"Perda de Pressão de Descarga"</t>
  </si>
  <si>
    <t>"Velocidade de Descarga"</t>
  </si>
  <si>
    <t>"Vazão de Água de Resfriamento"</t>
  </si>
  <si>
    <t>"Fator de Correção para Resfriamento"</t>
  </si>
  <si>
    <t>"Fator de Correção para Aquecimento"</t>
  </si>
  <si>
    <t>"Capacidade Total de Resfriamento"</t>
  </si>
  <si>
    <t>"Capacidade Total de Aquecimento"</t>
  </si>
  <si>
    <t>"Taxa de Fluxo de Ar de Resfriamento"</t>
  </si>
  <si>
    <t>"Taxa de Fluxo de Ar de Exaustão"</t>
  </si>
  <si>
    <t>"Taxa de Fluxo de Ar de Aquecimento"</t>
  </si>
  <si>
    <t>"Temperatura Espacial"</t>
  </si>
  <si>
    <t>"Vazão de Ar de Ventilação"</t>
  </si>
  <si>
    <t>"Tipo de Barra de Reforço"</t>
  </si>
  <si>
    <t>"Tipo de Alocação de Barras"</t>
  </si>
  <si>
    <t>"Passo de Barra Horizontal"</t>
  </si>
  <si>
    <t>"Referência de Unidade Funcional"</t>
  </si>
  <si>
    <t>"Vida Útil Esperada"</t>
  </si>
  <si>
    <t>"Consumo de Energia Não Renovável por Unidade"</t>
  </si>
  <si>
    <t>"Consumo de Energia Renovável por Unidade"</t>
  </si>
  <si>
    <t>"Consumo Total de Energia Primária por Unidade"</t>
  </si>
  <si>
    <t>"Acidificação Atmosférica por Unidade"</t>
  </si>
  <si>
    <t>"Mudança Climática por Unidade"</t>
  </si>
  <si>
    <t>"Eutrofização por Unidade"</t>
  </si>
  <si>
    <t>"Resíduos Perigosos por Unidade"</t>
  </si>
  <si>
    <t>"Resíduos Inertes por Unidade"</t>
  </si>
  <si>
    <t>"Resíduos Não Perigosos por Unidade"</t>
  </si>
  <si>
    <t>"Resíduos Radioativos por Unidade"</t>
  </si>
  <si>
    <t>"Esgotamento de Recursos por Unidade"</t>
  </si>
  <si>
    <t>"Consumo de Água por Unidade"</t>
  </si>
  <si>
    <t>"Unidade"</t>
  </si>
  <si>
    <t>"Nome"</t>
  </si>
  <si>
    <t>"Ganho de Energia Sensato"</t>
  </si>
  <si>
    <t>"Total de Ganho de Energia"</t>
  </si>
  <si>
    <t>"Delta de Temperatura de Resfriamento"</t>
  </si>
  <si>
    <t>"Delta de Temperatura de Aquecimento"</t>
  </si>
  <si>
    <t>"Fluxo de Ar Sensato"</t>
  </si>
  <si>
    <t>"Fluxo de Ar Total"</t>
  </si>
  <si>
    <t>"Ventilação"</t>
  </si>
  <si>
    <t>"Local de Assembleia"</t>
  </si>
  <si>
    <t>"Fabricante"</t>
  </si>
  <si>
    <t>"Etiqueta de Modelo"</t>
  </si>
  <si>
    <t>"Material de Embrulho"</t>
  </si>
  <si>
    <t>"Instruções Especiais"</t>
  </si>
  <si>
    <t>"Tipo de Manômetro"</t>
  </si>
  <si>
    <t>"Tipo de Interruptor de Alavanca"</t>
  </si>
  <si>
    <t>"Tipo Dimmer"</t>
  </si>
  <si>
    <t>"Tipo Momentâneo"</t>
  </si>
  <si>
    <t>"Tipo Inicial"</t>
  </si>
  <si>
    <t>"Tipo de Teclado"</t>
  </si>
  <si>
    <t>"Peso Máximo Suportado"</t>
  </si>
  <si>
    <t>"Transmissibilidade por Vibração"</t>
  </si>
  <si>
    <t>"Classificação de Resistência ao Fogo"</t>
  </si>
  <si>
    <t>"Tipo de Atuação"</t>
  </si>
  <si>
    <t>"Ação de Lâmina"</t>
  </si>
  <si>
    <t>"Lâmina de Borda"</t>
  </si>
  <si>
    <t>"Formato de Lâmina"</t>
  </si>
  <si>
    <t>"Tipo de Quadro"</t>
  </si>
  <si>
    <t>"Operação"</t>
  </si>
  <si>
    <t>"Curva Coeficiente de Perda"</t>
  </si>
  <si>
    <t>"Profundidade de Quadro"</t>
  </si>
  <si>
    <t>"Pressão Máxima de Trabalho"</t>
  </si>
  <si>
    <t>"Queda de Pressão Aberta"</t>
  </si>
  <si>
    <t>"Vazamento Totalmente Fechado"</t>
  </si>
  <si>
    <t>"Vazão Máxima de Ar"</t>
  </si>
  <si>
    <t>"Curva Sonora Regenerada"</t>
  </si>
  <si>
    <t>"Classificação de Carga Mecânica"</t>
  </si>
  <si>
    <t>"Classificação de Segurança"</t>
  </si>
  <si>
    <t>"Classificação de Estanqueidade"</t>
  </si>
  <si>
    <t>"Infiltração"</t>
  </si>
  <si>
    <t>"Ângulo Entre os Eixos Componentes"</t>
  </si>
  <si>
    <t>"Distância entre os eixos componentes"</t>
  </si>
  <si>
    <t>"Espessura nominal"</t>
  </si>
  <si>
    <t>"Aparência de Cor"</t>
  </si>
  <si>
    <t>"Tipo de Lastro de Lâmpada"</t>
  </si>
  <si>
    <t>"Tipo de Compensação de Lâmpada"</t>
  </si>
  <si>
    <t>"Fluxo Luminoso Contribuído"</t>
  </si>
  <si>
    <t>"Temperatura de Cor"</t>
  </si>
  <si>
    <t>"Índice de Renderização de Cor"</t>
  </si>
  <si>
    <t>"Área Construível"</t>
  </si>
  <si>
    <t>"Direção de Fuga por Pictograma"</t>
  </si>
  <si>
    <t>"Tipo de Iluminação de Segurança"</t>
  </si>
  <si>
    <t>"Função de Auto-Teste"</t>
  </si>
  <si>
    <t>"Tipo de Montagem de Luminária"</t>
  </si>
  <si>
    <t>"Carga Máxima Sensível do Plenum"</t>
  </si>
  <si>
    <t>"Potência Total"</t>
  </si>
  <si>
    <t>"Fator de Manutenção"</t>
  </si>
  <si>
    <t>"Pressão de Gás"</t>
  </si>
  <si>
    <t>"Índice de Refração Solar"</t>
  </si>
  <si>
    <t>"Índice de Refração Visível"</t>
  </si>
  <si>
    <t>"Estresse Proporcional"</t>
  </si>
  <si>
    <t>"Tensão de Escoamento"</t>
  </si>
  <si>
    <t>"Relaxamentos"</t>
  </si>
  <si>
    <t>"Módulo de Endurecimento"</t>
  </si>
  <si>
    <t>"Concentração de Acidez"</t>
  </si>
  <si>
    <t>"Dureza"</t>
  </si>
  <si>
    <t>"Conteúdo de Sólidos Dissolvidos"</t>
  </si>
  <si>
    <t>"Conteúdo de Impurezas"</t>
  </si>
  <si>
    <t>"Capacidade Calorífica Específica"</t>
  </si>
  <si>
    <t>"Tamanho Máximo Agregado"</t>
  </si>
  <si>
    <t>"Resistência à Compressão"</t>
  </si>
  <si>
    <t>"Proporção de Poros Protetores"</t>
  </si>
  <si>
    <t>"Funcionalidade"</t>
  </si>
  <si>
    <t>"Conteúdo de Carbono"</t>
  </si>
  <si>
    <t>"Maior Valor Térmico"</t>
  </si>
  <si>
    <t>"Menor Valor Térmico"</t>
  </si>
  <si>
    <t>"Capacidade de Umidade Isotérmica"</t>
  </si>
  <si>
    <t>"Difusividade de Umidade"</t>
  </si>
  <si>
    <t>"Permeabilidade ao Vapor"</t>
  </si>
  <si>
    <t>"Fator de Resistência ao Vapor Menor"</t>
  </si>
  <si>
    <t>"Fator Superior de Resistência ao Vapor"</t>
  </si>
  <si>
    <t>"Grau de Aparência"</t>
  </si>
  <si>
    <t>"Espécie"</t>
  </si>
  <si>
    <t>"Coeficiente de Mudança Dimensional"</t>
  </si>
  <si>
    <t>"Conteúdo de Umidade"</t>
  </si>
  <si>
    <t>"Inchaço de Espessura"</t>
  </si>
  <si>
    <t>"Camadas"</t>
  </si>
  <si>
    <t>"No Plano"</t>
  </si>
  <si>
    <t>"Método de Projeto Estrutural Aplicável"</t>
  </si>
  <si>
    <t>"Ponto de Ebulição"</t>
  </si>
  <si>
    <t>"Ponto de Congelamento"</t>
  </si>
  <si>
    <t>"Densidade de Massa"</t>
  </si>
  <si>
    <t>"Peso Molecular"</t>
  </si>
  <si>
    <t>"Porosidade"</t>
  </si>
  <si>
    <t>"Tipo Preventor de Refluxo"</t>
  </si>
  <si>
    <t>"Vazão Máxima"</t>
  </si>
  <si>
    <t>"Corrente Máxima"</t>
  </si>
  <si>
    <t>"Tipo Gás"</t>
  </si>
  <si>
    <t>"Tipo de Leitura"</t>
  </si>
  <si>
    <t>"Leitura Remota"</t>
  </si>
  <si>
    <t>"Espessura1"</t>
  </si>
  <si>
    <t>"Espessura2"</t>
  </si>
  <si>
    <t>"Espessura3"</t>
  </si>
  <si>
    <t>"Maior Altura de Assento"</t>
  </si>
  <si>
    <t>"Menor Altura de Assento"</t>
  </si>
  <si>
    <t>"Altura de Assentos"</t>
  </si>
  <si>
    <t>"Tipo de Painel de Móveis"</t>
  </si>
  <si>
    <t>"Cor Principal"</t>
  </si>
  <si>
    <t>"Estilo"</t>
  </si>
  <si>
    <t>"Profundidade Nominal"</t>
  </si>
  <si>
    <t>"É Usado"</t>
  </si>
  <si>
    <t>"Tipo de Gabinete de Motor"</t>
  </si>
  <si>
    <t>"Horário de Início"</t>
  </si>
  <si>
    <t>"Corrente de Rotor Travada"</t>
  </si>
  <si>
    <t>"Eficiência de Motores Elétricos"</t>
  </si>
  <si>
    <t>"Cor"</t>
  </si>
  <si>
    <t>"Coeficiente de Rugosidade Interna"</t>
  </si>
  <si>
    <t>"Método de Dimensionamento"</t>
  </si>
  <si>
    <t>"Tipo Base"</t>
  </si>
  <si>
    <t>"Tipo de Conexão de Drive"</t>
  </si>
  <si>
    <t>"Uso de Postes"</t>
  </si>
  <si>
    <t>"Valor de Conjunto de Corrente Instantânea"</t>
  </si>
  <si>
    <t>"Valor de Conjunto Atual de Longo Tempo"</t>
  </si>
  <si>
    <t>"Valor de Conjunto Atual de Curto Tempo"</t>
  </si>
  <si>
    <t>"Função de Longo Prazo"</t>
  </si>
  <si>
    <t>"Função de Curto Prazo"</t>
  </si>
  <si>
    <t>"Data de Aquisição"</t>
  </si>
  <si>
    <t>"Referência de Lote"</t>
  </si>
  <si>
    <t>"Tipo de Descarga"</t>
  </si>
  <si>
    <t>"Tipo de Montagem de Ventilador"</t>
  </si>
  <si>
    <t>"Método de Instalação"</t>
  </si>
  <si>
    <t>"Método de Instalação Flag Enum"</t>
  </si>
  <si>
    <t>"Método de Montagem"</t>
  </si>
  <si>
    <t>"Distância entre circuitos paralelos"</t>
  </si>
  <si>
    <t>"Capacidade de Transporte de Corrente"</t>
  </si>
  <si>
    <t>"Temperatura Ambiente de Projeto"</t>
  </si>
  <si>
    <t>"Gradiente"</t>
  </si>
  <si>
    <t>"Localização"</t>
  </si>
  <si>
    <t>"Tipo de Fluxo de Ar"</t>
  </si>
  <si>
    <t>"Tipo de Prioridade de Falha"</t>
  </si>
  <si>
    <t>"Tipo de Prioridade de Localização"</t>
  </si>
  <si>
    <t>"Tipo de Manutenção"</t>
  </si>
  <si>
    <t>"Frequência Programada"</t>
  </si>
  <si>
    <t>"Tipo Contratual"</t>
  </si>
  <si>
    <t>"Razão para a Mudança"</t>
  </si>
  <si>
    <t>"Formato de Arruela"</t>
  </si>
  <si>
    <t>"Compartimentação"</t>
  </si>
  <si>
    <t>"Profundidade Geral"</t>
  </si>
  <si>
    <t>"Constante de Deformação"</t>
  </si>
  <si>
    <t>"Centro de Gravidade em X"</t>
  </si>
  <si>
    <t>"Centro de Gravidade em Y"</t>
  </si>
  <si>
    <t>"Perímetro"</t>
  </si>
  <si>
    <t>"Massa por Comprimento"</t>
  </si>
  <si>
    <t>"Fator de Forma Plástico Y"</t>
  </si>
  <si>
    <t>"Fator de Forma Plástico Z"</t>
  </si>
  <si>
    <t>"Momento de Inércia Y"</t>
  </si>
  <si>
    <t>"Momento de Inércia Z"</t>
  </si>
  <si>
    <t>"Constante Torsional X"</t>
  </si>
  <si>
    <t>"Aresta de Borda"</t>
  </si>
  <si>
    <t>"Capa Inferior"</t>
  </si>
  <si>
    <t>"Núcleo Central Altura Média"</t>
  </si>
  <si>
    <t>"Altura Média Central"</t>
  </si>
  <si>
    <t>"Data de Início"</t>
  </si>
  <si>
    <t>"Requisito de Escolta"</t>
  </si>
  <si>
    <t>"Requisitos Especiais"</t>
  </si>
  <si>
    <t>"Montagem"</t>
  </si>
  <si>
    <t>"Tipo Pia"</t>
  </si>
  <si>
    <t>"Deslocamento de Montagem"</t>
  </si>
  <si>
    <t>"Protocolos"</t>
  </si>
  <si>
    <t>"Conteúdo Atual 3º Harmônico"</t>
  </si>
  <si>
    <t>"Código de Cores"</t>
  </si>
  <si>
    <t>"Classificação de Durabilidade"</t>
  </si>
  <si>
    <t>"Autofechamento"</t>
  </si>
  <si>
    <t>"Polaridade"</t>
  </si>
  <si>
    <t>"Perda de Calor na Área de Fronteira"</t>
  </si>
  <si>
    <t>"Ganho Total de Calor"</t>
  </si>
  <si>
    <t>"Perda Total de Calor"</t>
  </si>
  <si>
    <t>"Ganho Total de Calor Sensível"</t>
  </si>
  <si>
    <t>"Umidade Relativa Resfriando"</t>
  </si>
  <si>
    <t>"Fluxo de Ar de Projeto de Resfriamento"</t>
  </si>
  <si>
    <t>"Fluxo de Ar de Projeto de Aquecimento"</t>
  </si>
  <si>
    <t>"Viscosidade Dinâmica"</t>
  </si>
  <si>
    <t>"Coeficiente de Expansão Térmica"</t>
  </si>
  <si>
    <t>"Frente de Refletância Solar"</t>
  </si>
  <si>
    <t>"Emissividade Térmica IR de volta"</t>
  </si>
  <si>
    <t>"Frente de Emissividade Térmica Ir"</t>
  </si>
  <si>
    <t>"Frente de Refletância Visível"</t>
  </si>
  <si>
    <t>"Sistema"</t>
  </si>
  <si>
    <t>"Tipo Radiador"</t>
  </si>
  <si>
    <t>"Conteúdo de Água"</t>
  </si>
  <si>
    <t>"Tipo de Transferência de Calor"</t>
  </si>
  <si>
    <t>"Conclusão Real"</t>
  </si>
  <si>
    <t>"Custo Real"</t>
  </si>
  <si>
    <t>"Custo Remanescente"</t>
  </si>
  <si>
    <t>"Comprimento de Embedding de Fio"</t>
  </si>
  <si>
    <t>"Cobertura de Teto"</t>
  </si>
  <si>
    <t>"Moldagem"</t>
  </si>
  <si>
    <t>"Rodapés"</t>
  </si>
  <si>
    <t>"Revestimento de Parede"</t>
  </si>
  <si>
    <t>"Altura de Moldagem"</t>
  </si>
  <si>
    <t>"Iluminância"</t>
  </si>
  <si>
    <t>"Iluminação Artificial"</t>
  </si>
  <si>
    <t>"Área por Ocupante"</t>
  </si>
  <si>
    <t>"Fator de Risco de Incêndio"</t>
  </si>
  <si>
    <t>"Taxa de Ventilação Mecânica"</t>
  </si>
  <si>
    <t>"Taxa de Ventilação Natural"</t>
  </si>
  <si>
    <t>"Mínimo de Umidade Espacial"</t>
  </si>
  <si>
    <t>"Temperatura Máxima Espacial"</t>
  </si>
  <si>
    <t>"Temperatura Espacial Minima"</t>
  </si>
  <si>
    <t>"Temperatura Espacial Mínimo de Verão"</t>
  </si>
  <si>
    <t>"Temperatura Espacial Inverno Máxima"</t>
  </si>
  <si>
    <t>"Temperatura Espacial Inverno Minima"</t>
  </si>
  <si>
    <t>"Central de Ar-Condicionado"</t>
  </si>
  <si>
    <t>"Ventilação Natural"</t>
  </si>
  <si>
    <t>"Arranjo de Fluxo"</t>
  </si>
  <si>
    <t>"Tabela de Eficácia"</t>
  </si>
  <si>
    <t>"Necessidade de Água"</t>
  </si>
  <si>
    <t>"Área de Troca de Calor"</t>
  </si>
  <si>
    <t>"Classificação de Risco"</t>
  </si>
  <si>
    <t>"Tipo de Risco"</t>
  </si>
  <si>
    <t>"Medidas Preventivas"</t>
  </si>
  <si>
    <t>"Causa de Risco"</t>
  </si>
  <si>
    <t>"Construção"</t>
  </si>
  <si>
    <t>"Função"</t>
  </si>
  <si>
    <t>"Identificador de Núcleo"</t>
  </si>
  <si>
    <t>"Diâmetro Total"</t>
  </si>
  <si>
    <t>"Temperatura Nominal"</t>
  </si>
  <si>
    <t>"Função Confiável"</t>
  </si>
  <si>
    <t>"Construção Especial"</t>
  </si>
  <si>
    <t>"Temperatura Máxima de Operação"</t>
  </si>
  <si>
    <t>"Temperatura máxima de curto-circuito"</t>
  </si>
  <si>
    <t>"Largura Interna"</t>
  </si>
  <si>
    <t>"Diâmetro ou Largura Nominal"</t>
  </si>
  <si>
    <t>"Espaçamento de Reforços"</t>
  </si>
  <si>
    <t>"Costura Longitudinal"</t>
  </si>
  <si>
    <t>"Classificação de Fluxo"</t>
  </si>
  <si>
    <t>"Tipo de Selector"</t>
  </si>
  <si>
    <t>"Substância Detectada"</t>
  </si>
  <si>
    <t>"Constante de Tempo"</t>
  </si>
  <si>
    <t>"Tipo de Sensor de Movimento"</t>
  </si>
  <si>
    <t>"Tipo de Sensor de Temperatura"</t>
  </si>
  <si>
    <t>"Tipo Sensor de Vento"</t>
  </si>
  <si>
    <t>"Área de Cobertura"</t>
  </si>
  <si>
    <t>"Capacidade Latente Nominal"</t>
  </si>
  <si>
    <t>"Área de Superfície de Troca de Calor"</t>
  </si>
  <si>
    <t>"Espaçamento Horizontal"</t>
  </si>
  <si>
    <t>"Espaçamento em Fileira em Fila"</t>
  </si>
  <si>
    <t>"Espaçamento de Fileiras Escalonado"</t>
  </si>
  <si>
    <t>"Espaçamento Vertical"</t>
  </si>
  <si>
    <t>"Fator de Insujeção"</t>
  </si>
  <si>
    <t>"Material de Capa"</t>
  </si>
  <si>
    <t>"Tipo de Padrão de Entrada"</t>
  </si>
  <si>
    <t>"Tipo Armadilha"</t>
  </si>
  <si>
    <t>"Nível de Transbordamento"</t>
  </si>
  <si>
    <t>"Diâmetro Hidráulico"</t>
  </si>
  <si>
    <t>"Tipo Tuner"</t>
  </si>
  <si>
    <t>"Canal Sintonizador"</t>
  </si>
  <si>
    <t>"Modo Tuner"</t>
  </si>
  <si>
    <t>"Selante de Dutos"</t>
  </si>
  <si>
    <t>"Método de Dimensionamento de Dutos"</t>
  </si>
  <si>
    <t>"Altura Mínima"</t>
  </si>
  <si>
    <t>"Largura Mínima"</t>
  </si>
  <si>
    <t>"Classe de Vazamento"</t>
  </si>
  <si>
    <t>"Velocidade Máxima"</t>
  </si>
  <si>
    <t>"Proporção de Aspecto"</t>
  </si>
  <si>
    <t>"Perda por Atrito"</t>
  </si>
  <si>
    <t>"Categoria de Sistema Elétrico"</t>
  </si>
  <si>
    <t>"Tipo de Sistema Elétrico"</t>
  </si>
  <si>
    <t>"Diversidade"</t>
  </si>
  <si>
    <t>"Impedância Líquida"</t>
  </si>
  <si>
    <t>"Proporção de Área de Piso"</t>
  </si>
  <si>
    <t>"Intermitente"</t>
  </si>
  <si>
    <t>"Escalonado"</t>
  </si>
  <si>
    <t>"Processo"</t>
  </si>
  <si>
    <t>"Solicitar Comentários"</t>
  </si>
  <si>
    <t>"Tipo de Suporte"</t>
  </si>
  <si>
    <t>"Altura de Penduração"</t>
  </si>
  <si>
    <t>"Pressão de Carga"</t>
  </si>
  <si>
    <t>"Tipo de Forma Final"</t>
  </si>
  <si>
    <t>"Tipo de Padrão"</t>
  </si>
  <si>
    <t>"Primeiro Raio de Curvatura"</t>
  </si>
  <si>
    <t>"Segundo Raio de Curvatura"</t>
  </si>
  <si>
    <t>"Tipo de Acesso"</t>
  </si>
  <si>
    <t>"Tipo de Armazenamento"</t>
  </si>
  <si>
    <t>"Comprimento ou Diâmetro Nominal"</t>
  </si>
  <si>
    <t>"Largura ou Diâmetro Nominal"</t>
  </si>
  <si>
    <t>"Peso de Operação"</t>
  </si>
  <si>
    <t>"Capacidade Efetiva"</t>
  </si>
  <si>
    <t>"Tipo Núcleo"</t>
  </si>
  <si>
    <t>"Direção de Descarga"</t>
  </si>
  <si>
    <t>"Cor de Acabamento"</t>
  </si>
  <si>
    <t>"Tipo de Finalização"</t>
  </si>
  <si>
    <t>"Tipo de Controle de Fluxo"</t>
  </si>
  <si>
    <t>"Padrão de Fluxo"</t>
  </si>
  <si>
    <t>"Conjunto Básico Horizontal"</t>
  </si>
  <si>
    <t>"Conjunto Básico Vertical"</t>
  </si>
  <si>
    <t>"Vazão de Ar versus Elemento de Controle de Fluxo"</t>
  </si>
  <si>
    <t>"Índice de Desempenho de Difusão de Ar"</t>
  </si>
  <si>
    <t>"Área Efetiva"</t>
  </si>
  <si>
    <t>"Tipo Hidrante de Incêndio"</t>
  </si>
  <si>
    <t>"Classe de Fluxo"</t>
  </si>
  <si>
    <t>"Ativação"</t>
  </si>
  <si>
    <t>"Resposta"</t>
  </si>
  <si>
    <t>"Tipo Aspersor"</t>
  </si>
  <si>
    <t>"Pressão Residual de Fluxo"</t>
  </si>
  <si>
    <t>"Temperatura de Ativação"</t>
  </si>
  <si>
    <t>"Coeficiente de Descarga"</t>
  </si>
  <si>
    <t>"Tipo de Acoplamento"</t>
  </si>
  <si>
    <t>"Autoridade de Classificação"</t>
  </si>
  <si>
    <t>"Classe de Serviço"</t>
  </si>
  <si>
    <t>"Tipo de Bocal de Mangueira"</t>
  </si>
  <si>
    <t>"Tipo de Carretel de Mangueira"</t>
  </si>
  <si>
    <t>"Tipo de Padrão de Entrada Traseira"</t>
  </si>
  <si>
    <t>"Tipo Armadilha de Resíduos"</t>
  </si>
  <si>
    <t>"Tipo Chuveiro"</t>
  </si>
  <si>
    <t>"Taxa de Descarga"</t>
  </si>
  <si>
    <t>"Tipo Fonte"</t>
  </si>
  <si>
    <t>"Montagem em Panela"</t>
  </si>
  <si>
    <t>"Tipo de Banheiro"</t>
  </si>
  <si>
    <t>"Tipo Termômetro"</t>
  </si>
  <si>
    <t>"Ponto de Ajuste de Temperatura"</t>
  </si>
  <si>
    <t>"Tipo de Torneira"</t>
  </si>
  <si>
    <t>"Controle de Capacidade"</t>
  </si>
  <si>
    <t>"Tipo de Circuito"</t>
  </si>
  <si>
    <t>"Estratégia de Controle"</t>
  </si>
  <si>
    <t>"Tipo Spray"</t>
  </si>
  <si>
    <t>"Tipo de Corrente Secundária"</t>
  </si>
  <si>
    <t>"Grupo Vetorial de Transformador"</t>
  </si>
  <si>
    <t>"Corrente Primária"</t>
  </si>
  <si>
    <t>"Corrente Secundária"</t>
  </si>
  <si>
    <t>"Frequência Primária"</t>
  </si>
  <si>
    <t>"Frequência Secundária"</t>
  </si>
  <si>
    <t>"Razão de Impedância Imaginária"</t>
  </si>
  <si>
    <t>"Razão de Impedância Real"</t>
  </si>
  <si>
    <t>"Curva de Eficiência"</t>
  </si>
  <si>
    <t>"Tensão Primária"</t>
  </si>
  <si>
    <t>"Tensão Secundária"</t>
  </si>
  <si>
    <t>"Tensão de Curto-Circuito"</t>
  </si>
  <si>
    <t>"Terminal Primário Neutro Disponível"</t>
  </si>
  <si>
    <t>"Terminal Secundário Neutro Disponível"</t>
  </si>
  <si>
    <t>"Controle Interno"</t>
  </si>
  <si>
    <t>"Ganho nominal de umidade"</t>
  </si>
  <si>
    <t>"Curva de Eficiência de Saturação"</t>
  </si>
  <si>
    <t>"Hora de Sair"</t>
  </si>
  <si>
    <t>"Consumo de Energia Não Renovável"</t>
  </si>
  <si>
    <t>"Consumo de Energia Renovável"</t>
  </si>
  <si>
    <t>"Consumo Total de Energia Primária"</t>
  </si>
  <si>
    <t>"Acidificação Atmosférica"</t>
  </si>
  <si>
    <t>"Mudança Climática"</t>
  </si>
  <si>
    <t>"Eutrofização"</t>
  </si>
  <si>
    <t>"Resíduos Perigosos"</t>
  </si>
  <si>
    <t>"Resíduos Inertes"</t>
  </si>
  <si>
    <t>"Resíduos Não Perigosos"</t>
  </si>
  <si>
    <t>"Resíduos Radioativos"</t>
  </si>
  <si>
    <t>"Esgotamento de Recursos"</t>
  </si>
  <si>
    <t>"Consumo de Água"</t>
  </si>
  <si>
    <t>"Pressão de Alívio"</t>
  </si>
  <si>
    <t>"Possui Dispositivo de Desligamento Integrado"</t>
  </si>
  <si>
    <t>"Propósito Isolante"</t>
  </si>
  <si>
    <t>"Mecanismo de Válvula"</t>
  </si>
  <si>
    <t>"Padrão de Válvulas"</t>
  </si>
  <si>
    <t>"Tamanho"</t>
  </si>
  <si>
    <t>"Pressão de Teste"</t>
  </si>
  <si>
    <t>"Coeficiente de Fluxo"</t>
  </si>
  <si>
    <t>"Tipo de Controle de Capacidade"</t>
  </si>
  <si>
    <t>"Tipo de Acionamento Motorizado"</t>
  </si>
  <si>
    <t>"Critérios Operacionais"</t>
  </si>
  <si>
    <t>"Taxa Nominal de Potência"</t>
  </si>
  <si>
    <t>"Pressão Estática Nominal"</t>
  </si>
  <si>
    <t>"Pressão Total Nominal"</t>
  </si>
  <si>
    <t>"Curva de Pressão"</t>
  </si>
  <si>
    <t>"Tempo Médio Entre Falhas"</t>
  </si>
  <si>
    <t>"Camadas de Vidro"</t>
  </si>
  <si>
    <t>"Absorção Solar"</t>
  </si>
  <si>
    <t>"Tipo de Conexão de Suprimento de Ar"</t>
  </si>
  <si>
    <t>"Tipo de Iluminação Integrada"</t>
  </si>
  <si>
    <t>"Conexão de Tubulação"</t>
  </si>
  <si>
    <t>"Tipo de Sistema de Controle de Fluxo de Água"</t>
  </si>
  <si>
    <t>"Capacidade Nominal de Resfriamento"</t>
  </si>
  <si>
    <t>"Capacidade Nominal de Aquecimento"</t>
  </si>
  <si>
    <t>"Resfriamento Nominal de Fluxo de Água"</t>
  </si>
  <si>
    <t>"Transmitância Térmica"</t>
  </si>
  <si>
    <t>"Infiltração de Inverno"</t>
  </si>
  <si>
    <t>"Infiltração de Verão"</t>
  </si>
  <si>
    <t>"Diversidade de Carga de Eletrodomésticos"</t>
  </si>
  <si>
    <t>"Diversidade de Carga de Iluminação"</t>
  </si>
  <si>
    <t>"Acessível para Pessoas com Necessidades Especiais PNE"</t>
  </si>
  <si>
    <t>"Montagem de Alto-falante"</t>
  </si>
  <si>
    <t>"Tamanho de Suporte de Alto-Falante"</t>
  </si>
  <si>
    <t>"Acima de Solo"</t>
  </si>
  <si>
    <t>"Ejeção de Mídia de Player"</t>
  </si>
  <si>
    <t>"Altura de Display"</t>
  </si>
  <si>
    <t>"Eficiência de Resfriamento"</t>
  </si>
  <si>
    <t>"Eficiência de Aquecimento"</t>
  </si>
  <si>
    <t>"Vazão de Ar Externo"</t>
  </si>
  <si>
    <t>"Frequência de Som"</t>
  </si>
  <si>
    <t>"Potência de Entrada de Atuador"</t>
  </si>
  <si>
    <t>"Taxa de câmbio de ar"</t>
  </si>
  <si>
    <t>"Ventilação de Ar Interno"</t>
  </si>
  <si>
    <t>"Ventilação de Ar Externo"</t>
  </si>
  <si>
    <t>"Diâmetro de Impulsor"</t>
  </si>
  <si>
    <t>"Velocidade de Compressor"</t>
  </si>
  <si>
    <t>"Potência Ideal de Eixo"</t>
  </si>
  <si>
    <t>"Tamanho de Parafuso"</t>
  </si>
  <si>
    <t>"Tamanho de Furo"</t>
  </si>
  <si>
    <t>"Duração de Dia de Trabalho"</t>
  </si>
  <si>
    <t>"Duração de Mês de Trabalho"</t>
  </si>
  <si>
    <t>"Hora de Término de Trabalho"</t>
  </si>
  <si>
    <t>"Horário de Início de Trabalho"</t>
  </si>
  <si>
    <t>"Dia de Projeto de Resfriamento"</t>
  </si>
  <si>
    <t>"Dia de Design de Aquecimento"</t>
  </si>
  <si>
    <t>"Porcentagem de Carga de Aparelho para Radiante"</t>
  </si>
  <si>
    <t>"Função de Condutor Conectado"</t>
  </si>
  <si>
    <t>"Capacidade de Módulo"</t>
  </si>
  <si>
    <t>"Limitando o Tamanho de Terminal"</t>
  </si>
  <si>
    <t>"Hora de Lançamento"</t>
  </si>
  <si>
    <t>"Descrição de Apoio Durante o Transporte"</t>
  </si>
  <si>
    <t>"Líquido de Arrefecimento de Evaporador"</t>
  </si>
  <si>
    <t>"Nível de Execução de Trabalho"</t>
  </si>
  <si>
    <t>"Comprimento de Azulejo"</t>
  </si>
  <si>
    <t>"Largura de Azulejo"</t>
  </si>
  <si>
    <t>"Eficiência de Gerador Elétrico"</t>
  </si>
  <si>
    <t>"Curva de Resistência de Ar"</t>
  </si>
  <si>
    <t>"Temperatura Média Radiante de Espaço"</t>
  </si>
  <si>
    <t>"Capacidade de Compressor"</t>
  </si>
  <si>
    <t>"Eficiência Total de Compressor"</t>
  </si>
  <si>
    <t>"Ganho Total de Calor de Compressor"</t>
  </si>
  <si>
    <t>"Potência de Eixo"</t>
  </si>
  <si>
    <t>"Ganho de Calor de Compressor Condensador"</t>
  </si>
  <si>
    <t>"Queda de Pressão de Compressor Condensador"</t>
  </si>
  <si>
    <t>"Fração Média de Vazio de Condensador"</t>
  </si>
  <si>
    <t>"Resistência à Incrustação de Refrigerante"</t>
  </si>
  <si>
    <t>"Ganho de Calor de Compressor Evaporador"</t>
  </si>
  <si>
    <t>"Queda de Pressão de Evaporador de Compressor"</t>
  </si>
  <si>
    <t>"Fração Média de Vazio de Evaporador"</t>
  </si>
  <si>
    <t>"Curvas de Queda de Pressão de Ar"</t>
  </si>
  <si>
    <t>"Curva de Queda de Pressão de Ar"</t>
  </si>
  <si>
    <t>"Velocidade de Ar na Linha Central"</t>
  </si>
  <si>
    <t>"Velocidade de Ar no Pescoço"</t>
  </si>
  <si>
    <t>"Energia de Aquecedor de Sumido"</t>
  </si>
  <si>
    <t>"Perda de Potência de Motor"</t>
  </si>
  <si>
    <t>"Eficiência de Ventilador"</t>
  </si>
  <si>
    <t>"Taxa de Potência de Ventilador"</t>
  </si>
  <si>
    <t>"Velocidade de Rotação de Ventilador"</t>
  </si>
  <si>
    <t>"Taxa de Potência de Eixo"</t>
  </si>
  <si>
    <t>"Capacidade de Resfriamento de Feixe"</t>
  </si>
  <si>
    <t>"Capacidade de Aquecimento de Feixe"</t>
  </si>
  <si>
    <t>"Fase de Ciclo de Vida"</t>
  </si>
  <si>
    <t>"Referência de Modelo"</t>
  </si>
  <si>
    <t>"Material de Contêiner"</t>
  </si>
  <si>
    <t>"Tamanho de Tubo de Ventilação"</t>
  </si>
  <si>
    <t>"Deflexão Estática de Isolador"</t>
  </si>
  <si>
    <t>"Compressibilidade de Isolador"</t>
  </si>
  <si>
    <t>"Operação de Amortecedor de Controle"</t>
  </si>
  <si>
    <t>"Espessura de Quadro"</t>
  </si>
  <si>
    <t>"Espessura nominal de topo"</t>
  </si>
  <si>
    <t>"Potência nominal de emissor de luz"</t>
  </si>
  <si>
    <t>"Altura de Equipamento"</t>
  </si>
  <si>
    <t>"Fora de Plano"</t>
  </si>
  <si>
    <t>"Negativo Fora de Plano"</t>
  </si>
  <si>
    <t>"Valor de Conjunto de Corrente de Falha Terra"</t>
  </si>
  <si>
    <t>"Composição de Tanque"</t>
  </si>
  <si>
    <t>"Fração de Calor de Motor para o Fluxo de Ar"</t>
  </si>
  <si>
    <t>"Comprimento Máximo de Cabo"</t>
  </si>
  <si>
    <t>"Condutividade de solo"</t>
  </si>
  <si>
    <t>"Fator de Correção de Usuário"</t>
  </si>
  <si>
    <t>"Fonte de Orçamento"</t>
  </si>
  <si>
    <t>"Largura de Topo de Haste"</t>
  </si>
  <si>
    <t>"Deslocamento de Lado de Draft"</t>
  </si>
  <si>
    <t>"Espaçamento de Centro Central"</t>
  </si>
  <si>
    <t>"Altura Superior de Núcleo Central"</t>
  </si>
  <si>
    <t>"Largura Superior de Núcleo Central"</t>
  </si>
  <si>
    <t>"Altura Superior de Núcleo"</t>
  </si>
  <si>
    <t>"Largura de Núcleo Superior"</t>
  </si>
  <si>
    <t>"Tamanho de Dreno"</t>
  </si>
  <si>
    <t>"Umidade Relativa de Aquecimento"</t>
  </si>
  <si>
    <t>"Vazão de Ar de Exaustão"</t>
  </si>
  <si>
    <t>"Comprimento de Tubo"</t>
  </si>
  <si>
    <t>"Custo de Cronograma"</t>
  </si>
  <si>
    <t>"Diâmetro de Fio"</t>
  </si>
  <si>
    <t>"Comprimento de Loop de Fio"</t>
  </si>
  <si>
    <t>"Espessura de Teto Cobertura"</t>
  </si>
  <si>
    <t>"Pressurização de Ar"</t>
  </si>
  <si>
    <t>"Temperatura Espacial Máximo de Verão"</t>
  </si>
  <si>
    <t>"Avaliação de Risco"</t>
  </si>
  <si>
    <t>"Natureza de Risco"</t>
  </si>
  <si>
    <t>"Consequência de Risco"</t>
  </si>
  <si>
    <t>"Subnatureza de Risco1"</t>
  </si>
  <si>
    <t>"Subnatureza de Risco2"</t>
  </si>
  <si>
    <t>"Precisão de Sensor de Fogo"</t>
  </si>
  <si>
    <t>"Ponto de Ajuste de Sensor de Incêndio"</t>
  </si>
  <si>
    <t>"Nome de Design"</t>
  </si>
  <si>
    <t>"Limite de Altura de Prédio"</t>
  </si>
  <si>
    <t>"Índice de Cobertura de Local"</t>
  </si>
  <si>
    <t>"Corrigindo a Altura de Soquete"</t>
  </si>
  <si>
    <t>"Fixando Referência de Tipo de Soquete"</t>
  </si>
  <si>
    <t>"Ajuste de Regulador de Pressão"</t>
  </si>
  <si>
    <t>"Largura de Slot"</t>
  </si>
  <si>
    <t>"Tipo de Montagem de Carretel de Mangueira"</t>
  </si>
  <si>
    <t>"Descrição de Chuveiro"</t>
  </si>
  <si>
    <t>"Diferença de elevação de elevador"</t>
  </si>
  <si>
    <t>"Controle de Mixer"</t>
  </si>
  <si>
    <t>"Cor de Vidro"</t>
  </si>
  <si>
    <t>"Espessura de Vidro1"</t>
  </si>
  <si>
    <t>"Espessura de Vidro2"</t>
  </si>
  <si>
    <t>"Espessura de Vidro3"</t>
  </si>
  <si>
    <t>"Configuração de Fluxo de Ar"</t>
  </si>
  <si>
    <t>"Tamanho de Conexão"</t>
  </si>
  <si>
    <t>"Espessura de Caixa"</t>
  </si>
  <si>
    <t>"Espessura de Base"</t>
  </si>
  <si>
    <t>"Comprimento ou Raio de Câmara"</t>
  </si>
  <si>
    <t>"Largura de Câmara"</t>
  </si>
  <si>
    <t>"Espessura de Parede"</t>
  </si>
  <si>
    <t>"Curva de Razão de Carga Total"</t>
  </si>
  <si>
    <t>"Coeficiente de Curva de Desempenho"</t>
  </si>
  <si>
    <t>"Deslocamento de Linha de Caminhada"</t>
  </si>
  <si>
    <t>"Data de Avaliação"</t>
  </si>
  <si>
    <t>"Descrição de Avaliação"</t>
  </si>
  <si>
    <t>"Ângulo Esquerdo de Junção"</t>
  </si>
  <si>
    <t>"Ângulo Reto de Junção"</t>
  </si>
  <si>
    <t>"Raio Direito de Junção"</t>
  </si>
  <si>
    <t>"Diâmetro de Flange"</t>
  </si>
  <si>
    <t>"Espessura de Flange"</t>
  </si>
  <si>
    <t>"Nome de Propriedade"</t>
  </si>
  <si>
    <t>"Início de Condição"</t>
  </si>
  <si>
    <t>"Duração de Semana de Trabalho"</t>
  </si>
  <si>
    <t>"Intensidade de Carga de Relâmpago"</t>
  </si>
  <si>
    <t>"Intensidade de Carga de Tomada"</t>
  </si>
  <si>
    <t>"Estado Máximo de Polo de Falha de Terra"</t>
  </si>
  <si>
    <t>"Estado Mínimo de Pelo de Falha de Terra"</t>
  </si>
  <si>
    <t>"Estado Máximo de Fator de Potência de Polo de Falha de Terra"</t>
  </si>
  <si>
    <t>"Estado Mínimo de Fator de Potência de Polo de Falha Terrestre 1"</t>
  </si>
  <si>
    <t>"Curva de Unidade de Disjuntor"</t>
  </si>
  <si>
    <t>"Curva de Quebra de Fusível de Unidade de Disjuntor"</t>
  </si>
  <si>
    <t>"Curva de Fusão de Fusível de Unidade de Disjuntor"</t>
  </si>
  <si>
    <t>"Refletância de Luz Visível"</t>
  </si>
  <si>
    <t>"Fração de Área de Superfície Celular Ativa"</t>
  </si>
  <si>
    <t>"Eficiência de Célula"</t>
  </si>
  <si>
    <t>"Ano de Construção"</t>
  </si>
  <si>
    <t>"Ano de Última Reforma"</t>
  </si>
  <si>
    <t>"Direção de Conexão de Bobina"</t>
  </si>
  <si>
    <t>"Curva de Queda de Pressão de Água"</t>
  </si>
  <si>
    <t>"Material de Estrutura"</t>
  </si>
  <si>
    <t>"Velocidade nominal de face de filtro"</t>
  </si>
  <si>
    <t>"Velocidade Nominal de Superfície de Meio"</t>
  </si>
  <si>
    <t>"Data de Término de Garantia"</t>
  </si>
  <si>
    <t>"Data de Início de Garantia"</t>
  </si>
  <si>
    <t>"Conteúdo de Garantia"</t>
  </si>
  <si>
    <t>"Ângulo de Posição de Lâmina"</t>
  </si>
  <si>
    <t>"Ganho de Calor de Bomba de Lubrificante"</t>
  </si>
  <si>
    <t>"Resistência à Contaminação de Água"</t>
  </si>
  <si>
    <t>"Eficácia de Temperatura de Descongelamento"</t>
  </si>
  <si>
    <t>"Eficácia de Umidade"</t>
  </si>
  <si>
    <t>"Eficácia de Temperatura"</t>
  </si>
  <si>
    <t>"Velocidade de Ponta de Roda"</t>
  </si>
  <si>
    <t>"Curvas de Queda de Pressão de Água"</t>
  </si>
  <si>
    <t>"Inclinação de Barra de Aro de Amarração X Direção"</t>
  </si>
  <si>
    <t>"Inclinação de barra de aro de amarração em Y Direction"</t>
  </si>
  <si>
    <t>"Espaçamento de Inclinação de Barra"</t>
  </si>
  <si>
    <t>"Cruzando a Altura de Barra Inferior"</t>
  </si>
  <si>
    <t>"Cruzando a Altura de Barra Superior"</t>
  </si>
  <si>
    <t>"Destruição de Camada de Ozônio Estratosférico por Unidade"</t>
  </si>
  <si>
    <t>"Verão de Diversidade de Infiltração"</t>
  </si>
  <si>
    <t>"Tamanho de Tela"</t>
  </si>
  <si>
    <t>"Tamanho de Conexão de Entrada"</t>
  </si>
  <si>
    <t>"Tamanho de Conexão de Tomada"</t>
  </si>
  <si>
    <t>"Espessura de Lâmina"</t>
  </si>
  <si>
    <t>"Fração de Área de Vidro"</t>
  </si>
  <si>
    <t>"Distância de Aresta ao Primeiro Eixo"</t>
  </si>
  <si>
    <t>"Fator de Manutenção de Lâmpida"</t>
  </si>
  <si>
    <t>"Gradiente Térmico de Capacidade de Umidade"</t>
  </si>
  <si>
    <t>"Derivada de Temperatura Térmica Específica"</t>
  </si>
  <si>
    <t>"Derivada de Temperatura de Condutividade Térmica"</t>
  </si>
  <si>
    <t>"Derivada de Temperatura de Viscosidade"</t>
  </si>
  <si>
    <t>"Impermeabilidade de Água"</t>
  </si>
  <si>
    <t>"Tamanho de Estrutura"</t>
  </si>
  <si>
    <t>"Diâmetro de Parafuso de Âncora"</t>
  </si>
  <si>
    <t>"Comprimento de Parafuso de Âncora"</t>
  </si>
  <si>
    <t>"Comprimento de Protrusão de Parafuso de Âncora"</t>
  </si>
  <si>
    <t>"Comprimento de rosca de parafuso de âncora"</t>
  </si>
  <si>
    <t>"Formato de Cabeça"</t>
  </si>
  <si>
    <t>"Diâmetro de Fiação"</t>
  </si>
  <si>
    <t>"Comprimento de Fiação"</t>
  </si>
  <si>
    <t>"Largura de Flange Esquerda"</t>
  </si>
  <si>
    <t>"Largura de Flange Direita"</t>
  </si>
  <si>
    <t>"Largura de Base de Haste"</t>
  </si>
  <si>
    <t>"Espessura Máxima de Placa"</t>
  </si>
  <si>
    <t>"Espessura Mínima de Placa"</t>
  </si>
  <si>
    <t>"Largura de Base de Núcleo Central"</t>
  </si>
  <si>
    <t>"Largura de Base de Núcleo"</t>
  </si>
  <si>
    <t>"Comprimento de Placa de Fixação de Borda"</t>
  </si>
  <si>
    <t>"Espessura de Placa de Fixação de Borda"</t>
  </si>
  <si>
    <t>"Comprimento de Placa de Fixação de Canto"</t>
  </si>
  <si>
    <t>"Espessura de Placa de Fixação de Cantos"</t>
  </si>
  <si>
    <t>"Espessura padrão de placa de fixação"</t>
  </si>
  <si>
    <t>"Largura Padrão de Placa de Fixação"</t>
  </si>
  <si>
    <t>"Gênero de Conexão"</t>
  </si>
  <si>
    <t>"Comprimento de Base de Loop de Arame"</t>
  </si>
  <si>
    <t>"Espessura de Base de Loop de Fio"</t>
  </si>
  <si>
    <t>"Largura de Base de Loop de Arame"</t>
  </si>
  <si>
    <t>"Comprimento de Malha"</t>
  </si>
  <si>
    <t>"Largura de Malha"</t>
  </si>
  <si>
    <t>"Diâmetro Nominal de Barra Longitudinal"</t>
  </si>
  <si>
    <t>"Diâmetro Nominal de Barra Transversal"</t>
  </si>
  <si>
    <t>"Parâmetros de Flexão de Barra Transversal"</t>
  </si>
  <si>
    <t>"Espessura de Cobertura de Piso"</t>
  </si>
  <si>
    <t>"Espessura de Cobertura de Parede"</t>
  </si>
  <si>
    <t>"Verão de Umidade Espacial"</t>
  </si>
  <si>
    <t>"Curva de Queda de Prensa de Água"</t>
  </si>
  <si>
    <t>"Espessura de Base de Placa de Sapatos de Coluna"</t>
  </si>
  <si>
    <t>"Configuração de escada"</t>
  </si>
  <si>
    <t>"Diâmetro de Tela"</t>
  </si>
  <si>
    <t>"Taxa de Aumento de Temperatura"</t>
  </si>
  <si>
    <t>"Corrigindo o Diâmetro de Rosca de Soquete"</t>
  </si>
  <si>
    <t>"Corrigindo o Comprimento de Rosca de Soquete"</t>
  </si>
  <si>
    <t>"Descrição de Forma"</t>
  </si>
  <si>
    <t>"Ajuste de Válvula de Alívio"</t>
  </si>
  <si>
    <t>"Comprimento de Seção"</t>
  </si>
  <si>
    <t>"Largura de Seção"</t>
  </si>
  <si>
    <t>"Comprimento de Slot"</t>
  </si>
  <si>
    <t>"Tamanho de Conexão de Mangueira"</t>
  </si>
  <si>
    <t>"Tamanho de Conexão de Bombeira"</t>
  </si>
  <si>
    <t>"Cor de Carroceria"</t>
  </si>
  <si>
    <t>"Diâmetro de Entrada"</t>
  </si>
  <si>
    <t>"Diâmetro de Saída"</t>
  </si>
  <si>
    <t>"Diâmetro de Mangueira"</t>
  </si>
  <si>
    <t>"Comprimento de Mangueira"</t>
  </si>
  <si>
    <t>"Tamanho de Conexão de Dreno"</t>
  </si>
  <si>
    <t>"Altura de Cisterna"</t>
  </si>
  <si>
    <t>"Capacidade de Cisterna"</t>
  </si>
  <si>
    <t>"Função de Torneira"</t>
  </si>
  <si>
    <t>"Descrição de topo de torneira"</t>
  </si>
  <si>
    <t>"Destruição de Camada de Ozônio Estratosférico"</t>
  </si>
  <si>
    <t>"Duração de Vida Útil"</t>
  </si>
  <si>
    <t>"Comprimento de Bobina"</t>
  </si>
  <si>
    <t>"Resfriamento Nominal de Temperatura Ambiente"</t>
  </si>
  <si>
    <t>"Descrição de Misturas"</t>
  </si>
  <si>
    <t>"Espaçamento longitudinal de barras"</t>
  </si>
  <si>
    <t>"Data de Dados Meteorológicos"</t>
  </si>
  <si>
    <t>"Relaxamento de Tendões"</t>
  </si>
  <si>
    <t>"Qualidade de Componentes"</t>
  </si>
  <si>
    <t>"Espaçamento de Núcleos"</t>
  </si>
  <si>
    <t>"Zoom e Inclinação Presetadas"</t>
  </si>
  <si>
    <t>"Tipo de Player"</t>
  </si>
  <si>
    <t>"Formato de Mídia de Player"</t>
  </si>
  <si>
    <t>"Origem de Mídia"</t>
  </si>
  <si>
    <t>"Capacidade de Resfriamento Sensível"</t>
  </si>
  <si>
    <t>"Temperatura de Saída do Condensador"</t>
  </si>
  <si>
    <t>"Temperatura de Entrada do Condensador"</t>
  </si>
  <si>
    <t>"Tipo de Convetor"</t>
  </si>
  <si>
    <t>"Origem de Energia"</t>
  </si>
  <si>
    <t>"Vazão de Entrada"</t>
  </si>
  <si>
    <t>"Curso Mecânico do Atuador"</t>
  </si>
  <si>
    <t>"Código Formal de Flexão"</t>
  </si>
  <si>
    <t>"Comprimento de Barra"</t>
  </si>
  <si>
    <t>"Espaçamento de Barras"</t>
  </si>
  <si>
    <t>"Potência Aparente"</t>
  </si>
  <si>
    <t>"Potência Real"</t>
  </si>
  <si>
    <t>"Potência Reativa"</t>
  </si>
  <si>
    <t>"ID de Título de Propriedade"</t>
  </si>
  <si>
    <t>"ID de Identificação do Terreno"</t>
  </si>
  <si>
    <t>"Tipo de Instalação"</t>
  </si>
  <si>
    <t>"Quantidade de Interruptores ou Teclas"</t>
  </si>
  <si>
    <t>"Diâmetro Nominal de Damper"</t>
  </si>
  <si>
    <t>"Pressão Nominal de Ar de Entrada"</t>
  </si>
  <si>
    <t>"Fração de Ar de Retorno"</t>
  </si>
  <si>
    <t>"Temperatura de Operação"</t>
  </si>
  <si>
    <t>"Taxa de Vazão de Ar"</t>
  </si>
  <si>
    <t>"Taxa de Resistência ao Fluxo"</t>
  </si>
  <si>
    <t>"Taxa de Temperatura"</t>
  </si>
  <si>
    <t>"Taxa de Vazão"</t>
  </si>
  <si>
    <t>"Taxa de Pressão de Ar"</t>
  </si>
  <si>
    <t>"Taxa de Temperatura de Saída"</t>
  </si>
  <si>
    <t>"Taxa de Temperatura de Entrada de Água"</t>
  </si>
  <si>
    <t>"Taxa de Pressão"</t>
  </si>
  <si>
    <t>"Taxa de Ajuste"</t>
  </si>
  <si>
    <t>"Taxa de Frequência Nominal"</t>
  </si>
  <si>
    <t>"Taxa de Pressão de Fluido"</t>
  </si>
  <si>
    <t>"Taxa de Temperatura de Operação"</t>
  </si>
  <si>
    <t>"Taxa de Torque"</t>
  </si>
  <si>
    <t>"Taxa de Vazão de Ar Secundária"</t>
  </si>
  <si>
    <t>"Taxa Primária de Vazão de Ar"</t>
  </si>
  <si>
    <t>"Taxa de Pressão de Água"</t>
  </si>
  <si>
    <t>"Saída de Calor"</t>
  </si>
  <si>
    <t>"Calor Produzido"</t>
  </si>
  <si>
    <t>"Razão Nominal de Carga"</t>
  </si>
  <si>
    <t>"Material de Base"</t>
  </si>
  <si>
    <t>"Nível do Forro do Beiral"</t>
  </si>
  <si>
    <t>"Nível Invertido"</t>
  </si>
  <si>
    <t>"Taxa de Renovão de Ar"</t>
  </si>
  <si>
    <t>"Temperatura de Bulbo Seco"</t>
  </si>
  <si>
    <t>"Equipamento AVAC Sensível"</t>
  </si>
  <si>
    <t>"Infiltração Sensível"</t>
  </si>
  <si>
    <t>"Ar de Recirculação"</t>
  </si>
  <si>
    <t>"Carga Total Sensível"</t>
  </si>
  <si>
    <t>"Eficácia Sensível"</t>
  </si>
  <si>
    <t>"Tabela de Efetividade Sensível"</t>
  </si>
  <si>
    <t>"Carga Sensível para Radiante"</t>
  </si>
  <si>
    <t>"Capacidade Nominal Sensível"</t>
  </si>
  <si>
    <t>"Taxa Nominal de Rejeição de Calor"</t>
  </si>
  <si>
    <t>"Quantidade de Saídas de Ar"</t>
  </si>
  <si>
    <t>"Transmitância Térmica U-value"</t>
  </si>
  <si>
    <t>"Altura Livre"</t>
  </si>
  <si>
    <t>"Profundidade de Degrau"</t>
  </si>
  <si>
    <t>"Quantidade de Espelhos"</t>
  </si>
  <si>
    <t>"Quantidade de Degraus"</t>
  </si>
  <si>
    <t>"Espessura do Lance de Escada"</t>
  </si>
  <si>
    <t>"Profundidade de Degrau Interna"</t>
  </si>
  <si>
    <t>"Profundidade de Degrau Externa"</t>
  </si>
  <si>
    <t>"Transmitância Térmica U-Value"</t>
  </si>
  <si>
    <t>"Altura de Espelho"</t>
  </si>
  <si>
    <t>"Afeta o Entorno"</t>
  </si>
  <si>
    <t>"Ajuste Externo"</t>
  </si>
  <si>
    <t>"Altura de Núcleo da Base"</t>
  </si>
  <si>
    <t>"Altura de Bloco de Base de Coluna"</t>
  </si>
  <si>
    <t>"Altura de Rodapé"</t>
  </si>
  <si>
    <t>"Ambiente Exterior"</t>
  </si>
  <si>
    <t>"Ambiente Interior"</t>
  </si>
  <si>
    <t>"Ângulo em Relação ao Primeiro Eixo"</t>
  </si>
  <si>
    <t>"Aplicabilidade do Critério I2T"</t>
  </si>
  <si>
    <t>"Aplicação de Ventilador"</t>
  </si>
  <si>
    <t>"Temperatura Nominal de Água de Aquecimento"</t>
  </si>
  <si>
    <t>"Taxa de Fluxo de Água de Aquecimento"</t>
  </si>
  <si>
    <t>"Temperatura de Água de Retorno"</t>
  </si>
  <si>
    <t>"Aquecimento Descontinuo"</t>
  </si>
  <si>
    <t>"Temperatura Nominal de Ambiente"</t>
  </si>
  <si>
    <t>"Temperatura Nominal de Água de Retorno"</t>
  </si>
  <si>
    <t>"Fluxo Nominal de Água"</t>
  </si>
  <si>
    <t>"Ar-Condicionado"</t>
  </si>
  <si>
    <t>"Área Superficial de Serpentina"</t>
  </si>
  <si>
    <t>"Área de Plano de Trabalho"</t>
  </si>
  <si>
    <t>"Área Bruta Planejada"</t>
  </si>
  <si>
    <t>"Área Útil Planejada"</t>
  </si>
  <si>
    <t>"Arranjo de Fan Coil de Ar"</t>
  </si>
  <si>
    <t>"Arranjo de Fluido de Serpentina"</t>
  </si>
  <si>
    <t>"Quantidade de Arruelas"</t>
  </si>
  <si>
    <t>"Passo de Furos de Parafuso"</t>
  </si>
  <si>
    <t>"Alcance do Ar Insuflado"</t>
  </si>
  <si>
    <t>"Disponível"</t>
  </si>
  <si>
    <t>"Concentração de Monóxido de Carbono CO"</t>
  </si>
  <si>
    <t>"Contraflecha Central"</t>
  </si>
  <si>
    <t>"Carga Máxima Sensível do Espaço"</t>
  </si>
  <si>
    <t>"Deformação Plástica"</t>
  </si>
  <si>
    <t>"Chanfro de Canto"</t>
  </si>
  <si>
    <t>"Chanfro de Flange"</t>
  </si>
  <si>
    <t>"Tempo de Preparação"</t>
  </si>
  <si>
    <t>"Classificação de Carga de Vento"</t>
  </si>
  <si>
    <t>"Classificação de Carga de Tampa de Acesso"</t>
  </si>
  <si>
    <t>"Classificação de Fechamento"</t>
  </si>
  <si>
    <t>"Tempo de Resistência ao Fogo"</t>
  </si>
  <si>
    <t>"Taxa Higrotérmica"</t>
  </si>
  <si>
    <t>"Código de Barras"</t>
  </si>
  <si>
    <t>"Coeficiente de Perda de Carga"</t>
  </si>
  <si>
    <t>"Coeficiente de Sombreamento"</t>
  </si>
  <si>
    <t>"Com Cadeado ou Tranca"</t>
  </si>
  <si>
    <t>"Curva de Disparo"</t>
  </si>
  <si>
    <t>"Corrente de Ativação de Disparo"</t>
  </si>
  <si>
    <t>"Frequência de Sintonizador"</t>
  </si>
  <si>
    <t>"Curva UA de Desempenho Térmico"</t>
  </si>
  <si>
    <t>"Deformação Máxima"</t>
  </si>
  <si>
    <t>"Corrente Superior 1"</t>
  </si>
  <si>
    <t>"Corrente Superior 2"</t>
  </si>
  <si>
    <t>"Pressão a Montante"</t>
  </si>
  <si>
    <t>"Tipo de Mictório"</t>
  </si>
  <si>
    <t>"Uso Seletivo"</t>
  </si>
  <si>
    <t>"Uso Propósito"</t>
  </si>
  <si>
    <t>"Taxa de Vacância Atual"</t>
  </si>
  <si>
    <t>"Taxa de Vacância Futura"</t>
  </si>
  <si>
    <t>"Inclinação da Barra Vertical"</t>
  </si>
  <si>
    <t>"Vídeo - Altura de Resolução (H)"</t>
  </si>
  <si>
    <t>"Vídeo - Largura de Resolução (W)"</t>
  </si>
  <si>
    <t>"Volume de Bacia de Reserva"</t>
  </si>
  <si>
    <t>"Vazão de Massa"</t>
  </si>
  <si>
    <t>"Vazão de Descarga"</t>
  </si>
  <si>
    <t>"Tarifa Variável"</t>
  </si>
  <si>
    <t>"Umidade Relativa do Ambiente"</t>
  </si>
  <si>
    <t>"Umidade Máxima do Ambiente"</t>
  </si>
  <si>
    <t>"Umidade Invernal do Ambiente"</t>
  </si>
  <si>
    <t>"Umidade de Ambiente"</t>
  </si>
  <si>
    <t>"Transmitância Solar"</t>
  </si>
  <si>
    <t>"Transmitância Visível"</t>
  </si>
  <si>
    <t>"Transmitância de Luz Visível"</t>
  </si>
  <si>
    <t>"Transmitância Térmica Infravermelha IR"</t>
  </si>
  <si>
    <t>"Transmitância de Ganho de Calor Solar"</t>
  </si>
  <si>
    <t>"Torção"</t>
  </si>
  <si>
    <t>"Tipo Vaso Sanitário"</t>
  </si>
  <si>
    <t>"Tipo Bueiro"</t>
  </si>
  <si>
    <t>"Tipo Descarga"</t>
  </si>
  <si>
    <t>"Tipo Valor Ajustável"</t>
  </si>
  <si>
    <t>"Tipo de Tarefa Solicitada"</t>
  </si>
  <si>
    <t>"Tipo de Cobertura"</t>
  </si>
  <si>
    <t>"Tipo de Sistema AVAC"</t>
  </si>
  <si>
    <t>"Tipo de Face"</t>
  </si>
  <si>
    <t>"Tipo de Imposto ou Taxa a Pagar"</t>
  </si>
  <si>
    <t>"Tipo de Conduíte"</t>
  </si>
  <si>
    <t>"Tipo de Filtro de ar comprimido"</t>
  </si>
  <si>
    <t>"Tipo de Display Exibidor"</t>
  </si>
  <si>
    <t>"Tipo de Entrada"</t>
  </si>
  <si>
    <t>"Tipo de Distribuição de Sistema de AVAC"</t>
  </si>
  <si>
    <t>"Tipo de Dispositivo de Aterramento"</t>
  </si>
  <si>
    <t>"Tipo de Cuidado com Embalagem"</t>
  </si>
  <si>
    <t>"Tipo de Instalação de Luminária"</t>
  </si>
  <si>
    <t>"Tipo de Pia de Lavagem de Mão"</t>
  </si>
  <si>
    <t>"Corrugado com Nadadeiras"</t>
  </si>
  <si>
    <t>"Tipo Banheira"</t>
  </si>
  <si>
    <t>"Condição de Finalização"</t>
  </si>
  <si>
    <t>"Tensão Nominal de Fornecimento"</t>
  </si>
  <si>
    <t>"Tempo de Ocupação Diário"</t>
  </si>
  <si>
    <t>"Temperatura de Bulbo Úmido"</t>
  </si>
  <si>
    <t>"Temperatura de Bulbo Úmido de Projeto"</t>
  </si>
  <si>
    <t>"Temperatura de Bulbo Seco de Projeto"</t>
  </si>
  <si>
    <t>"Temperatura de Fusível"</t>
  </si>
  <si>
    <t>"Temperatura de Ar Ambiente"</t>
  </si>
  <si>
    <t>"Temperatura de Ar Insuflado"</t>
  </si>
  <si>
    <t>"Temperatura de Água Fornecida"</t>
  </si>
  <si>
    <t>"Tempo de Transição"</t>
  </si>
  <si>
    <t>"Taxa de Aluguel Futura"</t>
  </si>
  <si>
    <t>"Taxa de Aluguel Atual"</t>
  </si>
  <si>
    <t>"Taxa de Pressão de Operação"</t>
  </si>
  <si>
    <t>"Subcategoria Disponível de Mercado Atual"</t>
  </si>
  <si>
    <t>"Subcategoria Disponível de Mercado Futuro"</t>
  </si>
  <si>
    <t>"Vão Livre"</t>
  </si>
  <si>
    <t>"Solicitar Nome de Origem"</t>
  </si>
  <si>
    <t>"Solicitar Rótulo de Origem"</t>
  </si>
  <si>
    <t>"Barreira de Fumaça"</t>
  </si>
  <si>
    <t>"Sistema de Reserva"</t>
  </si>
  <si>
    <t>"Frequência de Resposta"</t>
  </si>
  <si>
    <t>"Resfriamento Nominal de Umidade do Entorno"</t>
  </si>
  <si>
    <t>"Resfriamento Nominal de Temperatura de Água de Retorno"</t>
  </si>
  <si>
    <t>"Temperatura de Resfriamento de Água de Retorno"</t>
  </si>
  <si>
    <t>"Temperatura de Ar Refrigerado Insuflado"</t>
  </si>
  <si>
    <t>"Região de Pescoço"</t>
  </si>
  <si>
    <t>"Refrigerante de Serpentina"</t>
  </si>
  <si>
    <t>"Temperatura Nominal de Refrigeração de Água de Fornecimento"</t>
  </si>
  <si>
    <t>"Temperatura de Refrigeração Água de Fornecimento"</t>
  </si>
  <si>
    <t>"Reforço Estrutural"</t>
  </si>
  <si>
    <t>"Refletância Visível Interior"</t>
  </si>
  <si>
    <t>"Refletância Solar Interior"</t>
  </si>
  <si>
    <t>"Coeficiente de Poisson"</t>
  </si>
  <si>
    <t>"Razão Mínima de Carga da Peça"</t>
  </si>
  <si>
    <t>"Razão de Calor Sensível"</t>
  </si>
  <si>
    <t>"Queda de Pressão Real"</t>
  </si>
  <si>
    <t>"Acurácia Esperada"</t>
  </si>
  <si>
    <t>"Acurácia Obtida"</t>
  </si>
  <si>
    <t>"Proteção com Aspersores"</t>
  </si>
  <si>
    <t>"Proteção com Aspersores Automáticos"</t>
  </si>
  <si>
    <t>"Tomador de Risco"</t>
  </si>
  <si>
    <t>"Profundidade Padrão de Placa de Fixação"</t>
  </si>
  <si>
    <t>"Profundidade Nominal de Corpo"</t>
  </si>
  <si>
    <t>"Profundidade com Nominal do Sumidouro"</t>
  </si>
  <si>
    <t>"Profundidade Livre Neta ou Líquida"</t>
  </si>
  <si>
    <t>"Profundidade de Flange"</t>
  </si>
  <si>
    <t>"Profundidade de Bloco de Coluna"</t>
  </si>
  <si>
    <t>"Pressão de Operação"</t>
  </si>
  <si>
    <t>"Pressão a Jusante"</t>
  </si>
  <si>
    <t>"Potência de Ventilação"</t>
  </si>
  <si>
    <t>"Potência Aparente Secundária"</t>
  </si>
  <si>
    <t>"Potência Aparente Primária"</t>
  </si>
  <si>
    <t>"Potência Aparente Máxima"</t>
  </si>
  <si>
    <t>"Possui Isolamento Térmico"</t>
  </si>
  <si>
    <t>"Possui Isolamento Externo"</t>
  </si>
  <si>
    <t>"Posição de Motor"</t>
  </si>
  <si>
    <t>"Posição de Serpentina"</t>
  </si>
  <si>
    <t>"Posição de Amortecedor Damper"</t>
  </si>
  <si>
    <t>"Pitch de Barra de Ganchos"</t>
  </si>
  <si>
    <t>"Ocupação Máxima ou Pico de Ocupação"</t>
  </si>
  <si>
    <t>"Lotação de Ocupação"</t>
  </si>
  <si>
    <t>"Quantidade de Atores"</t>
  </si>
  <si>
    <t>"Quantidade de Cadeiras"</t>
  </si>
  <si>
    <t>"Quantidade de Células"</t>
  </si>
  <si>
    <t>"Quantidade de Circuitos Paralelos"</t>
  </si>
  <si>
    <t>"Quantidade de Circuitos"</t>
  </si>
  <si>
    <t>"Quantidade de Compartimentos"</t>
  </si>
  <si>
    <t>"Quantidade de Conexões de Mangueira"</t>
  </si>
  <si>
    <t>"Quantidade de Fontes"</t>
  </si>
  <si>
    <t>"Quantidade de Item de Comércio Global"</t>
  </si>
  <si>
    <t>"Quantidade de Lâminas"</t>
  </si>
  <si>
    <t>"Quantidade de Linhas"</t>
  </si>
  <si>
    <t>"Quantidade de Núcleos"</t>
  </si>
  <si>
    <t>"Quantidade de Ocupação"</t>
  </si>
  <si>
    <t>"Quantidade de Painéis"</t>
  </si>
  <si>
    <t>"Quantidade de Seções"</t>
  </si>
  <si>
    <t>"Quantidade de Soquetes"</t>
  </si>
  <si>
    <t>"Quantidade de Módulos"</t>
  </si>
  <si>
    <t>"Quantidade de Condutores Vivos"</t>
  </si>
  <si>
    <t>"Número de Shaft"</t>
  </si>
  <si>
    <t>"Quantidade de Fases ou Polos"</t>
  </si>
  <si>
    <t>"Número de Conector"</t>
  </si>
  <si>
    <t>"Número Serial"</t>
  </si>
  <si>
    <t>"Quantidade de Slots"</t>
  </si>
  <si>
    <t>"Deslocamento do Centro"</t>
  </si>
  <si>
    <t>"Operado por Torneira"</t>
  </si>
  <si>
    <t>"Operado por Válvula"</t>
  </si>
  <si>
    <t>"Nível de pH"</t>
  </si>
  <si>
    <t>"Nominal UA"</t>
  </si>
  <si>
    <t>"Normalmente Aberto"</t>
  </si>
  <si>
    <t>"Momento de Inércia YZ"</t>
  </si>
  <si>
    <t>"Módulo de Young"</t>
  </si>
  <si>
    <t>"Módulo de Resistência Máximo Y"</t>
  </si>
  <si>
    <t>"Módulo de Resistência Máximo Z"</t>
  </si>
  <si>
    <t>"Módulo de Resistência Mínimo Y"</t>
  </si>
  <si>
    <t>"Módulo de Resistência Torsional"</t>
  </si>
  <si>
    <t>"Módulo de Resistência Mínimo Z"</t>
  </si>
  <si>
    <t>"Vídeo - Modo de Resolução"</t>
  </si>
  <si>
    <t>"Vídeo - Modo Escala"</t>
  </si>
  <si>
    <t>"Vídeo - Modo de Legenda"</t>
  </si>
  <si>
    <t>"Material de Tampa"</t>
  </si>
  <si>
    <t>"Localização - Local 1"</t>
  </si>
  <si>
    <t>"Localização - Local 3"</t>
  </si>
  <si>
    <t>"Atraso Longo"</t>
  </si>
  <si>
    <t>"Localização - Local 2"</t>
  </si>
  <si>
    <t>"Localização - Global 1"</t>
  </si>
  <si>
    <t>"Localização - Global 2"</t>
  </si>
  <si>
    <t>"Localização - Global 3"</t>
  </si>
  <si>
    <t>"Carga"</t>
  </si>
  <si>
    <t>"Limite de Tolerância de Corrente 1"</t>
  </si>
  <si>
    <t>"Limite de Tolerância Temporal 1"</t>
  </si>
  <si>
    <t>"Lengenda"</t>
  </si>
  <si>
    <t>"Largura Total"</t>
  </si>
  <si>
    <t>"Largura Nominal"</t>
  </si>
  <si>
    <t>"Largura Nominal de Sumidouro"</t>
  </si>
  <si>
    <t>"Largura de Flange de Placa de Fixação de Borda no Plano X"</t>
  </si>
  <si>
    <t>"Largura de Flange de Placa de Fixação de Borda no Plano Z"</t>
  </si>
  <si>
    <t>"Largura de Flange de Placa de Fixação de Canto no Plano X"</t>
  </si>
  <si>
    <t>"Largura de Flange de Placa de Fixação de Canto no Plano Z"</t>
  </si>
  <si>
    <t>"Largura de Tampa"</t>
  </si>
  <si>
    <t>"Largura de Serpentina"</t>
  </si>
  <si>
    <t>"Largura de Placa de Base de Coluna"</t>
  </si>
  <si>
    <t>"Largura de Bloco de Fundação de Coluna"</t>
  </si>
  <si>
    <t>"Largura Nominal do Corpo"</t>
  </si>
  <si>
    <t>"Corrente Elétrica Disponível"</t>
  </si>
  <si>
    <t>"Corrente Elétrica Disponível Inícial"</t>
  </si>
  <si>
    <t>"Bulbo Úmido de Aquecimento"</t>
  </si>
  <si>
    <t>"Bulbo Úmido de Resfriando"</t>
  </si>
  <si>
    <t>"Bulbo Seco de Aquecimento"</t>
  </si>
  <si>
    <t>"Bulbo Seco de Resfriando"</t>
  </si>
  <si>
    <t>"Gás Detectado"</t>
  </si>
  <si>
    <t>"Função de Condutor"</t>
  </si>
  <si>
    <t>"Função de Aterramento"</t>
  </si>
  <si>
    <t>"Fração de Serpentina Úmida"</t>
  </si>
  <si>
    <t>"Rotação Longitudinal"</t>
  </si>
  <si>
    <t>"Rotação Longitudinal "</t>
  </si>
  <si>
    <t>"Distância Visível na Estrada à Esquerda"</t>
  </si>
  <si>
    <t>"Medida Normalizada em ISO 2553"</t>
  </si>
  <si>
    <t>"Fixadores de Aderência - Solda"</t>
  </si>
  <si>
    <t>"Atuador de Acionamento Rotacional"</t>
  </si>
  <si>
    <t>"Acabamento"</t>
  </si>
  <si>
    <t>"Treliça Paralela - Espaçamento entre Perfis"</t>
  </si>
  <si>
    <t>"Treliça Paralela - Altura"</t>
  </si>
  <si>
    <t>"Treliça Paralela - Comprimento"</t>
  </si>
  <si>
    <t>"Treliça Paralela - Diâmetro de Barra Secundária"</t>
  </si>
  <si>
    <t>"Treliça Inclinada - Altura"</t>
  </si>
  <si>
    <t>"Treliça Inclinada - Comprimento"</t>
  </si>
  <si>
    <t>"Treliça Inclinada - Espaçamento entre Perfis"</t>
  </si>
  <si>
    <t>"Treliça Paralela - Diâmetro de Perfil Primário"</t>
  </si>
  <si>
    <t>"Treliça Paralela - Diâmetro de Perfil Montante"</t>
  </si>
  <si>
    <t>"Treliça Inclinada - Diâmetro de Perfil Primário"</t>
  </si>
  <si>
    <t>"Treliça Inclinada - Diâmetro de Perfil Montante"</t>
  </si>
  <si>
    <t>"Treliça Inclinada - Diâmetro de Barra Secundária"</t>
  </si>
  <si>
    <t>"Endereçabilidade"</t>
  </si>
  <si>
    <t>"Alcance do Ar Insuflado Comprimento"</t>
  </si>
  <si>
    <t>"Altura de Núcleo Central"</t>
  </si>
  <si>
    <t>"Perfil - Altura Principal"</t>
  </si>
  <si>
    <t>"Perfil - Deslocamento"</t>
  </si>
  <si>
    <t>"Perfil - Seção"</t>
  </si>
  <si>
    <t>"Perfil - Largura"</t>
  </si>
  <si>
    <t>"Entalhe - Profundidade"</t>
  </si>
  <si>
    <t>"Área de Seção Transversal Estrutural"</t>
  </si>
  <si>
    <t>"Área de Seção do Condutor Elétrico"</t>
  </si>
  <si>
    <t>"Área de Superfície de Filtragem"</t>
  </si>
  <si>
    <t>"Área de Superfície de Damper"</t>
  </si>
  <si>
    <t>"Área Interna de Superfície de Condensação"</t>
  </si>
  <si>
    <t>"Área Interna de Superfície de Evaporação"</t>
  </si>
  <si>
    <t>"Área Superficial Primária de Serpentina"</t>
  </si>
  <si>
    <t>"Área Superficial Secundária de Serpentina"</t>
  </si>
  <si>
    <t>"Área Total do Terreno"</t>
  </si>
  <si>
    <t>"Laminado - Camada"</t>
  </si>
  <si>
    <t>"Laminado - Camadas"</t>
  </si>
  <si>
    <t>"Série IEC 60947 - Capacidade Pico de Disjuntor de Motor"</t>
  </si>
  <si>
    <t>"Série IEC 60947 - Capacidade Serviço de Disjuntor de Motor"</t>
  </si>
  <si>
    <t>"Série IEC 60947 - Capacidade Máxima de Disjuntor de Motor"</t>
  </si>
  <si>
    <t>"Série IEC 60947 - Resistência Térmica de Disjuntor de Motor"</t>
  </si>
  <si>
    <t>"Série IEC 60898 - Capacidade Nominal para MCB"</t>
  </si>
  <si>
    <t>"Série IEC 60898 - Capacidade Serviço para MCB"</t>
  </si>
  <si>
    <t>"Espectro"</t>
  </si>
  <si>
    <t>"Estado de Controle de Planejamento"</t>
  </si>
  <si>
    <t xml:space="preserve">"Teste Eletromagnético - Limite Inferior de Corrente" </t>
  </si>
  <si>
    <t xml:space="preserve">"Teste Eletromagnético - Limite Superior de Corrente" </t>
  </si>
  <si>
    <t>"Teste Térmico - Limite Inferior de Corrente"</t>
  </si>
  <si>
    <t>"Tempo de Teste Térmico - Correntes I1 I2."</t>
  </si>
  <si>
    <t>"Tempo de Teste Electromagnético - Correntes I4 I5"</t>
  </si>
  <si>
    <t>"Inclinação de Barra de Estribos"</t>
  </si>
  <si>
    <t>"Raio de Base de Haste"</t>
  </si>
  <si>
    <t>"Raio de Topo de Haste"</t>
  </si>
  <si>
    <t>"Força - Classe"</t>
  </si>
  <si>
    <t>"Força - Grau"</t>
  </si>
  <si>
    <t>"É Combustível?"</t>
  </si>
  <si>
    <t>"É Faixa de Passagem?"</t>
  </si>
  <si>
    <t>"É Alta Pressão?"</t>
  </si>
  <si>
    <t>"É Barra Suspensora Horizontal?"</t>
  </si>
  <si>
    <t>"É Externo?"</t>
  </si>
  <si>
    <t>"É Descarga Automática?"</t>
  </si>
  <si>
    <t>"É Descarga Única?"</t>
  </si>
  <si>
    <t>"É Garantia Estendida?"</t>
  </si>
  <si>
    <t>"É ID Permanente?"</t>
  </si>
  <si>
    <t>"É Laminado?"</t>
  </si>
  <si>
    <t>"É Potável?"</t>
  </si>
  <si>
    <t>"É Raso?"</t>
  </si>
  <si>
    <t>"É Rígido?"</t>
  </si>
  <si>
    <t>"É Selecionável?"</t>
  </si>
  <si>
    <t>"É Interruptor?"</t>
  </si>
  <si>
    <t>"É Temperado?"</t>
  </si>
  <si>
    <t>"É Tomada Plugável?"</t>
  </si>
  <si>
    <t>"É Aquecedor de Acumulação de Água?"</t>
  </si>
  <si>
    <t>"É Cabo Plano Montado?"</t>
  </si>
  <si>
    <t>"É Tolerância ao Tempo Positiva?"</t>
  </si>
  <si>
    <t>"Raio de Base de Flange"</t>
  </si>
  <si>
    <t>"Estender até a Estrutura"</t>
  </si>
  <si>
    <t>"É FOB - Transporte Gratis?"</t>
  </si>
  <si>
    <t>"É OutDoor?"</t>
  </si>
  <si>
    <t>"É Cabo Horizontal?"</t>
  </si>
  <si>
    <t>"É Automático?"</t>
  </si>
  <si>
    <t>"É Perspectiva Desejável?"</t>
  </si>
  <si>
    <t>"É Tolerância de Corrente Positiva?"</t>
  </si>
  <si>
    <t>"É Pendurado?"</t>
  </si>
  <si>
    <t>"É Marco Histórico?"</t>
  </si>
  <si>
    <t>"É Água Cinza?"</t>
  </si>
  <si>
    <t>"É Principal?"</t>
  </si>
  <si>
    <t>"É Sentido Único?"</t>
  </si>
  <si>
    <t>"Comprimento de Tampa"</t>
  </si>
  <si>
    <t>"Concentração de Alcalinidade"</t>
  </si>
  <si>
    <t>"Está Guardado?"</t>
  </si>
  <si>
    <t>"Está Iluminado?"</t>
  </si>
  <si>
    <t>"Está Incorporado?"</t>
  </si>
  <si>
    <t>"Está Ligada?"</t>
  </si>
  <si>
    <t>"Tem Acabamento Protetor?"</t>
  </si>
  <si>
    <t>"Tem Abertura?"</t>
  </si>
  <si>
    <t>"Tem Alças de Agarre?"</t>
  </si>
  <si>
    <t>"Tem Alarme Interno?"</t>
  </si>
  <si>
    <t>"Tem Ar de Retorno?"</t>
  </si>
  <si>
    <t>"Tem Atenuação de Som?"</t>
  </si>
  <si>
    <t>"Tem Atenuador de Som?"</t>
  </si>
  <si>
    <t>"Tem Aterramento?"</t>
  </si>
  <si>
    <t>"Tem Bandeja?"</t>
  </si>
  <si>
    <t>"Tem Cap?"</t>
  </si>
  <si>
    <t>"Tem Controle Integral?"</t>
  </si>
  <si>
    <t>"Tem Defletor?"</t>
  </si>
  <si>
    <t>"Tem Descongelador?"</t>
  </si>
  <si>
    <t>"Tem Escada?"</t>
  </si>
  <si>
    <t>"Tem Escorredor?"</t>
  </si>
  <si>
    <t>"Tem Forro?"</t>
  </si>
  <si>
    <t>"Tem Graus?"</t>
  </si>
  <si>
    <t>"Tem Impulsador?"</t>
  </si>
  <si>
    <t>"Tem Indicador Visual?"</t>
  </si>
  <si>
    <t>"Tem Pano de Fundo?"</t>
  </si>
  <si>
    <t>"Tem Peitoril Exterior?"</t>
  </si>
  <si>
    <t>"Tem Peitoril Interior?"</t>
  </si>
  <si>
    <t>"Tem Revestimento?"</t>
  </si>
  <si>
    <t>"Tem Superfície Antiderrapante?"</t>
  </si>
  <si>
    <t>"Tem Superfície Antiestática?"</t>
  </si>
  <si>
    <t>"Tem Tranca?"</t>
  </si>
  <si>
    <t>"Tem Turbulador?"</t>
  </si>
  <si>
    <t>"Tem Ventilador?"</t>
  </si>
  <si>
    <t>"Tem Lance?"</t>
  </si>
  <si>
    <t>"Tem Ligação de Mangueira?"</t>
  </si>
  <si>
    <t>"Tem Tampa?"</t>
  </si>
  <si>
    <t>"É Tela Sensível ao Toque?"</t>
  </si>
  <si>
    <t>"Bainha do Cabo - Cores IEC 60757"</t>
  </si>
  <si>
    <t>"Bainha do Cabo - Diâmetro"</t>
  </si>
  <si>
    <t>"Método de Envio"</t>
  </si>
  <si>
    <t>"Circuito Monofásico - Fator de Potência Máximo"</t>
  </si>
  <si>
    <t>"Circuito Monofásico - Fator de Potência Mínimo"</t>
  </si>
  <si>
    <t>"Circuito Monofásico - Corrente Máxima"</t>
  </si>
  <si>
    <t>"Circuito Monofásico - Corrente Mínima"</t>
  </si>
  <si>
    <t>"Circuito Bifásico - Corrente Mínima"</t>
  </si>
  <si>
    <t>"Circuito Bifásico - Fator de Potência Mínimo"</t>
  </si>
  <si>
    <t>"Circuito Trifásico - Corrente Máxima"</t>
  </si>
  <si>
    <t>"Circuito Trifásico - Fator de Potência Máximo"</t>
  </si>
  <si>
    <t>"Tempo de Curta Duração"</t>
  </si>
  <si>
    <t>"Sinal - Fator"</t>
  </si>
  <si>
    <t>"Sinal - Constante de Deslocamento"</t>
  </si>
  <si>
    <t>"Sinal - Fator Temporal"</t>
  </si>
  <si>
    <t>"Sinal - Fator Decremental"</t>
  </si>
  <si>
    <t>"Sinal - Fator Incremental"</t>
  </si>
  <si>
    <t>"É Operador com Habilidade?"</t>
  </si>
  <si>
    <t>"Função Curto I2T"</t>
  </si>
  <si>
    <t>"Função Atgerramento I2T"</t>
  </si>
  <si>
    <t>"Formação Fotoquímica de Ozônio"</t>
  </si>
  <si>
    <t>"Formação Fotoquímica de Ozônio por Unidade"</t>
  </si>
  <si>
    <t>"Formato"</t>
  </si>
  <si>
    <t>"Ângulo do Flange"</t>
  </si>
  <si>
    <t>"Acabado"</t>
  </si>
  <si>
    <t>"Raio de Flange Superior"</t>
  </si>
  <si>
    <t>"Desligado Quando S Ligado"</t>
  </si>
  <si>
    <t>"Fator de Perda"</t>
  </si>
  <si>
    <t>"Cabo Autoextinguível conforme IEC 60332‑1"</t>
  </si>
  <si>
    <t>"Cabo Autoextinguível conforme IEC 60332‑3"</t>
  </si>
  <si>
    <t>"SelfExtinguishing60332_1"</t>
  </si>
  <si>
    <t>"SelfExtinguishing60332_3"</t>
  </si>
  <si>
    <t>"Estado de Potência"</t>
  </si>
  <si>
    <t>"Desligado Quando L Ligado"</t>
  </si>
  <si>
    <t>"Inverte a Elevação"</t>
  </si>
  <si>
    <t>"IC60269"</t>
  </si>
  <si>
    <t>"Série IEC 60269 - Capacidade de Ruptura Fusível"</t>
  </si>
  <si>
    <t>"Altura de Piso Elevado"</t>
  </si>
  <si>
    <t>"Altura de Teto Rebaixado"</t>
  </si>
  <si>
    <t>"Forro Rebaixado"</t>
  </si>
  <si>
    <t>"Piso Elevado"</t>
  </si>
  <si>
    <t>"Gás de Enchimento "</t>
  </si>
  <si>
    <t>"Cobrimento nas Barras Principais"</t>
  </si>
  <si>
    <t>"Cobrimento nas Ligações"</t>
  </si>
  <si>
    <t>"Cobrimento de Concreto"</t>
  </si>
  <si>
    <t>"Código Formal Normatizado da Barra de Reforço"</t>
  </si>
  <si>
    <t>"Comprimento Nominal do Corpo"</t>
  </si>
  <si>
    <t>"Comprimento Nominal do Poço"</t>
  </si>
  <si>
    <t>"Conclusão Planejada"</t>
  </si>
  <si>
    <t>"Vento Predominante - Direção"</t>
  </si>
  <si>
    <t>"Vento Predominante - Velocidade"</t>
  </si>
  <si>
    <t>"Processo - Nome"</t>
  </si>
  <si>
    <t>"Produto - Descrição"</t>
  </si>
  <si>
    <t>"Produto - ID de Lote Produzido"</t>
  </si>
  <si>
    <t>"Produto - Ano de Produção"</t>
  </si>
  <si>
    <t>"Setagem"</t>
  </si>
  <si>
    <t>"Setagem da Concentração"</t>
  </si>
  <si>
    <t>"Setagem de Condutância"</t>
  </si>
  <si>
    <t>"Setagem de Contato"</t>
  </si>
  <si>
    <t>"Setagem de Fluxo"</t>
  </si>
  <si>
    <t>"Setagem de Congelamento"</t>
  </si>
  <si>
    <t>"Setagem de Umidade Relativa do Ar"</t>
  </si>
  <si>
    <t>"Setagem - Identificador"</t>
  </si>
  <si>
    <t>"Setagem de Iluminância"</t>
  </si>
  <si>
    <t>"Setagem de Nível"</t>
  </si>
  <si>
    <t>"Setagem de Umidade Absoluta do Ar"</t>
  </si>
  <si>
    <t>"Setagem de Movimento"</t>
  </si>
  <si>
    <t>"Setagem de pH"</t>
  </si>
  <si>
    <t>"Setagem de Pressão"</t>
  </si>
  <si>
    <t>"Setagem de Radiação"</t>
  </si>
  <si>
    <t>"Setagem de Radioatividade"</t>
  </si>
  <si>
    <t>"Setagem de Som"</t>
  </si>
  <si>
    <t>"Setagem de Velocidade"</t>
  </si>
  <si>
    <t>"Setagem de Temperatura"</t>
  </si>
  <si>
    <t>"Temperatura de Poço de Água"</t>
  </si>
  <si>
    <t>"Tempo de Disparo para Falha à Terra"</t>
  </si>
  <si>
    <t>"Tempo Inferior 1 da Função I2T"</t>
  </si>
  <si>
    <t>"Tempo Inferior 2 da Função I2T"</t>
  </si>
  <si>
    <t>"Tempo Limite da Função I2T"</t>
  </si>
  <si>
    <t>"Tempo Superior 1 da Função I2T"</t>
  </si>
  <si>
    <t>"Tempo Superior 2 da Função I2T"</t>
  </si>
  <si>
    <t>"Tempo de Interrupção Instantâneo"</t>
  </si>
  <si>
    <t>"Tarefa Planejada"</t>
  </si>
  <si>
    <t>"Tarefa Real"</t>
  </si>
  <si>
    <t>"Tarefa Restante"</t>
  </si>
  <si>
    <t>"Acabamento das Barras (Lisas ou Nervuradas)"</t>
  </si>
  <si>
    <t>"Aspecto da Superfície do Cordão de Solda"</t>
  </si>
  <si>
    <t>"Cordão de Solda Tipo 2 - ISO 2553"</t>
  </si>
  <si>
    <t>"Tipo de Medidor de Vazão"</t>
  </si>
  <si>
    <t>"Cordão de Solda Tipo 1 - ISO 2553"</t>
  </si>
  <si>
    <t>"Contagem de Barra Superior na Direção Y"</t>
  </si>
  <si>
    <t>"Contagem de Barra Superior na Direção X"</t>
  </si>
  <si>
    <t>"Contagem de Barra Inferior na Direção Y"</t>
  </si>
  <si>
    <t>"Contagem de Barra Inferior na Direção X"</t>
  </si>
  <si>
    <t>"Contagem de Barra Estribo na Direção X"</t>
  </si>
  <si>
    <t>"Contagem de Barra Estribo na Direção Y"</t>
  </si>
  <si>
    <t>"Contagem de Porcas"</t>
  </si>
  <si>
    <t>"Formato de Porcas"</t>
  </si>
  <si>
    <t>"Pé-direito Mínimo"</t>
  </si>
  <si>
    <t>"Pé-direito Obrigatório"</t>
  </si>
  <si>
    <t>"Pé-direito"</t>
  </si>
  <si>
    <t>"Barra Inferior Dimensão Curta Centro Interno"</t>
  </si>
  <si>
    <t>"Barra Inferior Dimensão Curta Extremo Interior"</t>
  </si>
  <si>
    <t>"Barra Inferior Dimensão Curta Externa"</t>
  </si>
  <si>
    <t>"Barra Inferior Dimensão Longa Centro Interno"</t>
  </si>
  <si>
    <t>"Barra Inferior Dimensão Longa Externa"</t>
  </si>
  <si>
    <t>"Barra Inferior Dimensão Longa Extremo Interior"</t>
  </si>
  <si>
    <t>"Barra Superior Dimensão Curta Centro Interno"</t>
  </si>
  <si>
    <t>"Barra Superior Dimensão Curta Externa"</t>
  </si>
  <si>
    <t>"Barra Superior Dimensão Curta Extremo Interior"</t>
  </si>
  <si>
    <t>"Barra Superior Dimensão Longa Centro Interno"</t>
  </si>
  <si>
    <t>"Barra Superior Dimensão Longa Externa"</t>
  </si>
  <si>
    <t>"Barra Superior Dimensão Longa Extremo Interior"</t>
  </si>
  <si>
    <t>"Barra Transversal - Espaçamento"</t>
  </si>
  <si>
    <t>"Barra Transversal - Superfície"</t>
  </si>
  <si>
    <t>"Transmitância Térmica do Verão"</t>
  </si>
  <si>
    <t>"Transmitância Térmica do Inverno"</t>
  </si>
  <si>
    <t>"Aplicada em Alinhamento da Caixas em em IFC"</t>
  </si>
  <si>
    <t>"Taxa de Transferência de Calor Sensível"</t>
  </si>
  <si>
    <t>"Taxa de Transferência de Calor Total"</t>
  </si>
  <si>
    <t>"Comentário de Tarefa Não Realizada"</t>
  </si>
  <si>
    <t>"Saída de Emergência ou de Incêndio"</t>
  </si>
  <si>
    <t>"Raio de Curvatura"</t>
  </si>
  <si>
    <t>"Queda de Tensão Máxima Permitida"</t>
  </si>
  <si>
    <t>"Quantidade de Furos para Parafusos"</t>
  </si>
  <si>
    <t>"Número de Artigo ou Norma de Referência"</t>
  </si>
  <si>
    <t>"Operado Mecanicamente"</t>
  </si>
  <si>
    <t>"Orientação do Damper"</t>
  </si>
  <si>
    <t>"Perda de Pressão Máxima"</t>
  </si>
  <si>
    <t>"Plenum de Instalações no Forro"</t>
  </si>
  <si>
    <t>"Potência"</t>
  </si>
  <si>
    <t>"Livre de Halogênios"</t>
  </si>
  <si>
    <t>"Água Potável"</t>
  </si>
  <si>
    <t>"Valor de Passo da Faixa de Ajuste"</t>
  </si>
  <si>
    <t>"Unidade da Curva IPI do Disjuntor"</t>
  </si>
  <si>
    <t>"Vaga de Estacionamento - Uso"</t>
  </si>
  <si>
    <t>"Vaga de Estacionamento - Unidade"</t>
  </si>
  <si>
    <t>"Interruptor - Ativação"</t>
  </si>
  <si>
    <t>"Interruptor - Função de Comutação"</t>
  </si>
  <si>
    <t>"Interruptor - Tipo de Interruptor de Parada"</t>
  </si>
  <si>
    <t>"Interruptor - Operação"</t>
  </si>
  <si>
    <t>"Interruptor - Uso"</t>
  </si>
  <si>
    <t>"Indice de Propagação Superficial da Chama"</t>
  </si>
  <si>
    <t>"Temperatura Média Superficial"</t>
  </si>
  <si>
    <t>"Chanfro do Haste na Base"</t>
  </si>
  <si>
    <t>"Chanfro do Haste no Topo"</t>
  </si>
  <si>
    <t>"Chanfro da Base"</t>
  </si>
  <si>
    <t>"Código IK - Grau de Proteção Contra Impacto Mecânico - IEC 62262"</t>
  </si>
  <si>
    <t>"Código IP - Grau de Proteção de Invólucros - IEC 60529"</t>
  </si>
  <si>
    <t>"Armazenamento de Inflamáveis"</t>
  </si>
  <si>
    <t>"Classificação de Desempenho do Disjuntor (B C N S H L ou V)"</t>
  </si>
  <si>
    <t>"Teste Térmico - Limite Superior de Corrente"</t>
  </si>
  <si>
    <t>"/ifcsharedbldgelements/pset/pset_doorwindowglazingtype.htm"</t>
  </si>
  <si>
    <t>"/ifcsharedfacilitieselements/pset/pset_systemfurnitureelementtypecommon.htm"</t>
  </si>
  <si>
    <t>"/ifcstructuralelementsdomain/pset/pset_reinforcingbarcommon.htm"</t>
  </si>
  <si>
    <t>"/ifcstructuralelementsdomain/pset/pset_reinforcingmeshcommon.htm"</t>
  </si>
  <si>
    <t>"/ifcsharedbldgelements/pset/pset_coveringcommon.htm"</t>
  </si>
  <si>
    <t>"/ifchvacdomain/pset/pset_valvetypefaucet.htm"</t>
  </si>
  <si>
    <t>"/ifchvacdomain/pset/pset_dampertypecommon.htm"</t>
  </si>
  <si>
    <t>"/ifcproductextension/pset/pset_spacecommon.htm"</t>
  </si>
  <si>
    <t>"/ifcproductextension/pset/pset_zonecommon.htm"</t>
  </si>
  <si>
    <t>"/ifcsharedbldgelements/pset/pset_staircommon.htm"</t>
  </si>
  <si>
    <t>"/ifcsharedbldgelements/pset/pset_doorcommon.htm"</t>
  </si>
  <si>
    <t>"/ifcsharedbldgelements/pset/pset_rampcommon.htm"</t>
  </si>
  <si>
    <t>"/ifcproductextension/pset/pset_environmentalimpactindicators.htm"</t>
  </si>
  <si>
    <t>"/ifcproductextension/pset/pset_environmentalimpactvalues.htm"</t>
  </si>
  <si>
    <t>"/ifcproductextension/pset/pset_buildingstoreycommon.htm"</t>
  </si>
  <si>
    <t>"/ifcproductextension/pset/pset_annotationsurveyarea.htm"</t>
  </si>
  <si>
    <t>"/ifcsharedfacilitieselements/pset/pset_risk.htm"</t>
  </si>
  <si>
    <t>"/ifcplumbingfireprotectiondomain/pset/pset_firesuppressionterminaltypefirehydrant.htm"</t>
  </si>
  <si>
    <t>"/ifcsharedbldgserviceelements/pset/pset_utilityconsumptionphistory.htm"</t>
  </si>
  <si>
    <t>"/ifchvacdomain/pset/pset_tanktypeexpansion.htm"</t>
  </si>
  <si>
    <t>"/ifchvacdomain/pset/pset_tanktypepressurevessel.htm"</t>
  </si>
  <si>
    <t>"/ifcelectricaldomain/pset/pset_protectivedevicetrippingfunctiongcurve.htm"</t>
  </si>
  <si>
    <t>"/ifchvacdomain/pset/pset_airterminaltypecommon.htm"</t>
  </si>
  <si>
    <t>"/ifchvacdomain/pset/pset_cooledbeamphistoryactive.htm"</t>
  </si>
  <si>
    <t>"/ifcsharedfacilitieselements/pset/pset_furnituretypechair.htm"</t>
  </si>
  <si>
    <t>"/ifcsharedcomponentelements/pset/pset_discreteaccessorycolumnshoe.htm"</t>
  </si>
  <si>
    <t>"/ifcplumbingfireprotectiondomain/pset/pset_sanitaryterminaltypecistern.htm"</t>
  </si>
  <si>
    <t>"/ifcelectricaldomain/pset/pset_audiovisualappliancetypedisplay.htm"</t>
  </si>
  <si>
    <t>"/ifcelectricaldomain/pset/pset_lightfixturetypesecuritylighting.htm"</t>
  </si>
  <si>
    <t>"/ifcsharedbldgelements/pset/pset_stairflightcommon.htm"</t>
  </si>
  <si>
    <t>"/ifcproductextension/pset/pset_spacecoveringrequirements.htm"</t>
  </si>
  <si>
    <t>"/ifcprofileresource/pset/pset_profilearbitraryhollowcore.htm"</t>
  </si>
  <si>
    <t>"/ifcsharedfacilitieselements/pset/pset_systemfurnitureelementtypeworksurface.htm"</t>
  </si>
  <si>
    <t>"/ifcproductextension/pset/pset_transportelementelevator.htm"</t>
  </si>
  <si>
    <t>"/ifcsharedbldgserviceelements/pset/pset_distributionsystemtypeventilation.htm"</t>
  </si>
  <si>
    <t>"/ifchvacdomain/pset/pset_vibrationisolatortypecommon.htm"</t>
  </si>
  <si>
    <t>"/ifcsharedfacilitieselements/pset/pset_furnituretypecommon.htm"</t>
  </si>
  <si>
    <t>"/ifcsharedbldgserviceelements/pset/pset_distributionporttypeduct.htm"</t>
  </si>
  <si>
    <t>"/ifcelectricaldomain/pset/pset_cablecarriersegmenttypecabletrunkingsegment.htm"</t>
  </si>
  <si>
    <t>"/ifcelectricaldomain/pset/pset_cablecarriersegmenttypecableladdersegment.htm"</t>
  </si>
  <si>
    <t>"/ifcelectricaldomain/pset/pset_cablecarriersegmenttypecabletraysegment.htm"</t>
  </si>
  <si>
    <t>"/ifcelectricaldomain/pset/pset_cablecarriersegmenttypeconduitsegment.htm"</t>
  </si>
  <si>
    <t>"/ifchvacdomain/pset/pset_ductsegmenttypecommon.htm"</t>
  </si>
  <si>
    <t>"/ifcsharedbldgelements/pset/pset_railingcommon.htm"</t>
  </si>
  <si>
    <t>"/ifchvacdomain/pset/pset_tubebundletypefinned.htm"</t>
  </si>
  <si>
    <t>"/ifcsharedbldgelements/pset/pset_buildingelementproxyprovisionforvoid.htm"</t>
  </si>
  <si>
    <t>"/ifcsharedfacilitieselements/pset/pset_servicelifefactors.htm"</t>
  </si>
  <si>
    <t>"/ifcelectricaldomain/pset/pset_audiovisualappliancetypeamplifier.htm"</t>
  </si>
  <si>
    <t>"/ifcelectricaldomain/pset/pset_audiovisualappliancetypereceiver.htm"</t>
  </si>
  <si>
    <t>"/ifcbuildingcontrolsdomain/pset/pset_actuatortyperotationalactuation.htm"</t>
  </si>
  <si>
    <t>"/ifchvacdomain/pset/pset_pipefittingtypebend.htm"</t>
  </si>
  <si>
    <t>"/ifcsharedbldgelements/pset/pset_slabcommon.htm"</t>
  </si>
  <si>
    <t>"/ifchvacdomain/pset/pset_shadingdevicephistory.htm"</t>
  </si>
  <si>
    <t>"/ifchvacdomain/pset/pset_damperphistory.htm"</t>
  </si>
  <si>
    <t>"/ifcprofileresource/pset/pset_profilearbitrarydoublet.htm"</t>
  </si>
  <si>
    <t>"/ifcstructuralelementsdomain/pset/pset_precastslab.htm"</t>
  </si>
  <si>
    <t>"/ifchvacdomain/pset/pset_pipefittingtypejunction.htm"</t>
  </si>
  <si>
    <t>"/ifcproductextension/pset/pset_annotationlineofsight.htm"</t>
  </si>
  <si>
    <t>"/ifcproductextension/pset/pset_buildingcommon.htm"</t>
  </si>
  <si>
    <t>"/ifcelectricaldomain/pset/pset_lamptypecommon.htm"</t>
  </si>
  <si>
    <t>"/ifcelectricaldomain/pset/pset_protectivedevicetrippingunittimeadjustment.htm"</t>
  </si>
  <si>
    <t>"/ifchvacdomain/pset/pset_fanoccurrence.htm"</t>
  </si>
  <si>
    <t>"/ifcbuildingcontrolsdomain/pset/pset_actuatortypecommon.htm"</t>
  </si>
  <si>
    <t>"/ifcbuildingcontrolsdomain/pset/pset_controllertypeprogrammable.htm"</t>
  </si>
  <si>
    <t>"/ifcbuildingcontrolsdomain/pset/pset_unitarycontrolelementtypeindicatorpanel.htm"</t>
  </si>
  <si>
    <t>"/ifchvacdomain/pset/pset_humidifiertypecommon.htm"</t>
  </si>
  <si>
    <t>"/ifcproductextension/pset/pset_spacethermalrequirements.htm"</t>
  </si>
  <si>
    <t>"/ifcsharedbldgserviceelements/pset/pset_spacethermalload.htm"</t>
  </si>
  <si>
    <t>"/ifcsharedbldgserviceelements/pset/pset_spacethermalloadphistory.htm"</t>
  </si>
  <si>
    <t>"/ifcsharedbldgserviceelements/pset/pset_thermalloaddesigncriteria.htm"</t>
  </si>
  <si>
    <t>"/ifcproductextension/pset/pset_sitecommon.htm"</t>
  </si>
  <si>
    <t>"/ifcbuildingcontrolsdomain/pset/pset_sensortypeheatsensor.htm"</t>
  </si>
  <si>
    <t>"/ifcbuildingcontrolsdomain/pset/pset_sensortypesmokesensor.htm"</t>
  </si>
  <si>
    <t>"/ifcbuildingcontrolsdomain/pset/pset_sensortypegassensor.htm"</t>
  </si>
  <si>
    <t>"/ifcplumbingfireprotectiondomain/pset/pset_firesuppressionterminaltypesprinkler.htm"</t>
  </si>
  <si>
    <t>"/ifcsharedfacilitieselements/pset/pset_furnituretypedesk.htm"</t>
  </si>
  <si>
    <t>"/ifcsharedfacilitieselements/pset/pset_furnituretypetable.htm"</t>
  </si>
  <si>
    <t>"/ifcelectricaldomain/pset/pset_cablesegmenttypeconductorsegment.htm"</t>
  </si>
  <si>
    <t>"/ifcprofileresource/pset/pset_profilemechanical.htm"</t>
  </si>
  <si>
    <t>"/ifchvacdomain/pset/pset_filtertypeairparticlefilter.htm"</t>
  </si>
  <si>
    <t>"/ifchvacdomain/pset/pset_boilertypecommon.htm"</t>
  </si>
  <si>
    <t>"/ifchvacdomain/pset/pset_coiltypehydronic.htm"</t>
  </si>
  <si>
    <t>"/ifchvacdomain/pset/pset_condensertypecommon.htm"</t>
  </si>
  <si>
    <t>"/ifchvacdomain/pset/pset_evaporatortypecommon.htm"</t>
  </si>
  <si>
    <t>"/ifchvacdomain/pset/pset_evaporativecoolertypecommon.htm"</t>
  </si>
  <si>
    <t>"/ifcproductextension/pset/pset_spaceoccupancyrequirements.htm"</t>
  </si>
  <si>
    <t>"/ifcproductextension/pset/pset_spacefiresafetyrequirements.htm"</t>
  </si>
  <si>
    <t>"/ifchvacdomain/pset/pset_unitaryequipmenttypeairhandler.htm"</t>
  </si>
  <si>
    <t>"/ifchvacdomain/pset/pset_coolingtowertypecommon.htm"</t>
  </si>
  <si>
    <t>"/ifchvacdomain/pset/pset_fancentrifugal.htm"</t>
  </si>
  <si>
    <t>"/ifchvacdomain/pset/pset_heatexchangertypecommon.htm"</t>
  </si>
  <si>
    <t>"/ifcsharedcomponentelements/pset/pset_fastenerweld.htm"</t>
  </si>
  <si>
    <t>"/ifcsharedbldgelements/pset/pset_shadingdevicecommon.htm"</t>
  </si>
  <si>
    <t>"/ifcelectricaldomain/pset/pset_protectivedeviceoccurrence.htm"</t>
  </si>
  <si>
    <t>"/ifchvacdomain/pset/pset_pumpphistory.htm"</t>
  </si>
  <si>
    <t>"/ifcplumbingfireprotectiondomain/pset/pset_firesuppressionterminaltypehosereel.htm"</t>
  </si>
  <si>
    <t>"/ifcelectricaldomain/pset/pset_cablesegmenttypecoresegment.htm"</t>
  </si>
  <si>
    <t>"/ifcstructuralelementsdomain/pset/pset_tendoncommon.htm"</t>
  </si>
  <si>
    <t>"/ifcstructuralelementsdomain/pset/pset_reinforcementbarpitchofslab.htm"</t>
  </si>
  <si>
    <t>"/ifcsharedbldgelements/pset/pset_windowcommon.htm"</t>
  </si>
  <si>
    <t>"/ifcsharedbldgserviceelements/pset/pset_outsidedesigncriteria.htm"</t>
  </si>
  <si>
    <t>"/ifcsharedbldgserviceelements/pset/pset_spacethermaldesign.htm"</t>
  </si>
  <si>
    <t>"/ifchvacdomain/pset/pset_pumptypecommon.htm"</t>
  </si>
  <si>
    <t>"/ifcelectricaldomain/pset/pset_cablesegmenttypecablesegment.htm"</t>
  </si>
  <si>
    <t>"/ifchvacdomain/pset/pset_boilertypesteam.htm"</t>
  </si>
  <si>
    <t>"/ifcmaterialresource/pset/pset_materialwood.htm"</t>
  </si>
  <si>
    <t>"/ifcelectricaldomain/pset/pset_audiovisualappliancetypetuner.htm"</t>
  </si>
  <si>
    <t>"/ifcmaterialresource/pset/pset_materialcombustion.htm"</t>
  </si>
  <si>
    <t>"/ifcmaterialresource/pset/pset_materialthermal.htm"</t>
  </si>
  <si>
    <t>"/ifchvacdomain/pset/pset_cooledbeamphistory.htm"</t>
  </si>
  <si>
    <t>"/ifchvacdomain/pset/pset_unitaryequipmenttypeairconditioningunit.htm"</t>
  </si>
  <si>
    <t>"/ifchvacdomain/pset/pset_compressorphistory.htm"</t>
  </si>
  <si>
    <t>"/ifcelectricaldomain/pset/pset_electricflowstoragedevicetypecommon.htm"</t>
  </si>
  <si>
    <t>"/ifchvacdomain/pset/pset_spaceheatertypecommon.htm"</t>
  </si>
  <si>
    <t>"/ifcelectricaldomain/pset/pset_cablesegmentoccurrence.htm"</t>
  </si>
  <si>
    <t>"/ifcmaterialresource/pset/pset_materialhygroscopic.htm"</t>
  </si>
  <si>
    <t>"/ifchvacdomain/pset/pset_tanktypecommon.htm"</t>
  </si>
  <si>
    <t>"/ifcelectricaldomain/pset/pset_protectivedevicetrippingfunctionicurve.htm"</t>
  </si>
  <si>
    <t>"/ifchvacdomain/pset/pset_compressortypecommon.htm"</t>
  </si>
  <si>
    <t>"/ifchvacdomain/pset/pset_coiltypecommon.htm"</t>
  </si>
  <si>
    <t>"/ifchvacdomain/pset/pset_cooledbeamtypecommon.htm"</t>
  </si>
  <si>
    <t>"/ifchvacdomain/pset/pset_chillertypecommon.htm"</t>
  </si>
  <si>
    <t>"/ifchvacdomain/pset/pset_chillerphistory.htm"</t>
  </si>
  <si>
    <t>"/ifchvacdomain/pset/pset_coolingtowerphistory.htm"</t>
  </si>
  <si>
    <t>"/ifcelectricaldomain/pset/pset_lightfixturetypecommon.htm"</t>
  </si>
  <si>
    <t>"/ifcsharedbldgelements/pset/pset_chimneycommon.htm"</t>
  </si>
  <si>
    <t>"/ifcsharedbldgelements/pset/pset_columncommon.htm"</t>
  </si>
  <si>
    <t>"/ifcstructuralelementsdomain/pset/pset_pilecommon.htm"</t>
  </si>
  <si>
    <t>"/ifcstructuralelementsdomain/pset/pset_footingcommon.htm"</t>
  </si>
  <si>
    <t>"/ifcsharedbldgelements/pset/pset_membercommon.htm"</t>
  </si>
  <si>
    <t>"/ifcsharedbldgelements/pset/pset_wallcommon.htm"</t>
  </si>
  <si>
    <t>"/ifcsharedbldgelements/pset/pset_platecommon.htm"</t>
  </si>
  <si>
    <t>"/ifcsharedbldgelements/pset/pset_buildingelementproxycommon.htm"</t>
  </si>
  <si>
    <t>"/ifcsharedbldgelements/pset/pset_roofcommon.htm"</t>
  </si>
  <si>
    <t>"/ifcsharedbldgelements/pset/pset_beamcommon.htm"</t>
  </si>
  <si>
    <t>"/ifcsharedbldgserviceelements/pset/pset_thermalloadaggregate.htm"</t>
  </si>
  <si>
    <t>"/ifchvacdomain/pset/pset_boilerphistory.htm"</t>
  </si>
  <si>
    <t>"/ifcproductextension/pset/pset_buildinguseadjacent.htm"</t>
  </si>
  <si>
    <t>"/ifcproductextension/pset/pset_buildinguse.htm"</t>
  </si>
  <si>
    <t>"/ifcsharedbldgserviceelements/pset/pset_distributionsystemtypeelectrical.htm"</t>
  </si>
  <si>
    <t>"/ifckernel/pset/pset_actorcommon.htm"</t>
  </si>
  <si>
    <t>"/ifcstructuralelementsdomain/pset/pset_precastconcreteelementgeneral.htm"</t>
  </si>
  <si>
    <t>"/ifcmaterialresource/pset/pset_materialmechanical.htm"</t>
  </si>
  <si>
    <t>"/ifcstructuralelementsdomain/pset/pset_concreteelementgeneral.htm"</t>
  </si>
  <si>
    <t>"/ifchvacdomain/pset/pset_ductfittingtypecommon.htm"</t>
  </si>
  <si>
    <t>"/ifchvacdomain/pset/pset_pipefittingtypecommon.htm"</t>
  </si>
  <si>
    <t>"/ifcelectricaldomain/pset/pset_electricaldevicecommon.htm"</t>
  </si>
  <si>
    <t>"/ifcsharedbldgelements/pset/pset_curtainwallcommon.htm"</t>
  </si>
  <si>
    <t>"/ifcsharedbldgserviceelements/pset/pset_distributionchamberelementtypeinspectionchamber.htm"</t>
  </si>
  <si>
    <t>"/ifcsharedbldgserviceelements/pset/pset_distributionchamberelementtypemanhole.htm"</t>
  </si>
  <si>
    <t>"/ifcsharedbldgserviceelements/pset/pset_distributionchamberelementtypeformedduct.htm"</t>
  </si>
  <si>
    <t>"/ifcelectricaldomain/pset/pset_protectivedevicebreakerunittypemotorprotection.htm"</t>
  </si>
  <si>
    <t>"/ifcelectricaldomain/pset/pset_protectivedevicetypecircuitbreaker.htm"</t>
  </si>
  <si>
    <t>"/ifchvacdomain/pset/pset_valvetypecommon.htm"</t>
  </si>
  <si>
    <t>"/ifchvacdomain/pset/pset_dampertypefiresmokedamper.htm"</t>
  </si>
  <si>
    <t>"/ifchvacdomain/pset/pset_dampertypefiredamper.htm"</t>
  </si>
  <si>
    <t>"/ifchvacdomain/pset/pset_pipesegmenttypegutter.htm"</t>
  </si>
  <si>
    <t>"/ifcsharedfacilitieselements/pset/pset_manufactureroccurrence.htm"</t>
  </si>
  <si>
    <t>"/ifcsharedbldgserviceelements/pset/pset_distributionportcommon.htm"</t>
  </si>
  <si>
    <t>"/ifcelectricaldomain/pset/pset_junctionboxtypecommon.htm"</t>
  </si>
  <si>
    <t>"/ifchvacdomain/pset/pset_ductfittingphistory.htm"</t>
  </si>
  <si>
    <t>"/ifchvacdomain/pset/pset_pipefittingphistory.htm"</t>
  </si>
  <si>
    <t>"/ifchvacdomain/pset/pset_ductsegmentphistory.htm"</t>
  </si>
  <si>
    <t>"/ifchvacdomain/pset/pset_ductfittingoccurrence.htm"</t>
  </si>
  <si>
    <t>"/ifchvacdomain/pset/pset_pipefittingoccurrence.htm"</t>
  </si>
  <si>
    <t>"/ifchvacdomain/pset/pset_ductsegmentoccurrence.htm"</t>
  </si>
  <si>
    <t>"/ifchvacdomain/pset/pset_pipesegmentoccurrence.htm"</t>
  </si>
  <si>
    <t>"/ifchvacdomain/pset/pset_condenserphistory.htm"</t>
  </si>
  <si>
    <t>"/ifchvacdomain/pset/pset_evaporatorphistory.htm"</t>
  </si>
  <si>
    <t>"/ifcsharedfacilitieselements/pset/pset_furnituretypefilecabinet.htm"</t>
  </si>
  <si>
    <t>"/ifcsharedmgmtelements/pset/pset_projectordermaintenanceworkorder.htm"</t>
  </si>
  <si>
    <t>"/ifcsharedmgmtelements/pset/pset_projectorderworkorder.htm"</t>
  </si>
  <si>
    <t>"/ifchvacdomain/pset/pset_tankoccurrence.htm"</t>
  </si>
  <si>
    <t>"/ifcsharedbldgelements/pset/pset_coveringceiling.htm"</t>
  </si>
  <si>
    <t>"/ifcsharedcomponentelements/pset/pset_discreteaccessorywireloop.htm"</t>
  </si>
  <si>
    <t>"/ifcsharedcomponentelements/pset/pset_mechanicalfastenerbolt.htm"</t>
  </si>
  <si>
    <t>"/ifcsharedcomponentelements/pset/pset_mechanicalfasteneranchorbolt.htm"</t>
  </si>
  <si>
    <t>"/ifcsharedcomponentelements/pset/pset_discreteaccessoryedgefixingplate.htm"</t>
  </si>
  <si>
    <t>"/ifcsharedcomponentelements/pset/pset_discreteaccessorycornerfixingplate.htm"</t>
  </si>
  <si>
    <t>"/ifchvacdomain/pset/pset_tanktypesectional.htm"</t>
  </si>
  <si>
    <t>"/ifcplumbingfireprotectiondomain/pset/pset_interceptortypecommon.htm"</t>
  </si>
  <si>
    <t>"/ifcplumbingfireprotectiondomain/pset/pset_wasteterminaltypefloortrap.htm"</t>
  </si>
  <si>
    <t>"/ifcplumbingfireprotectiondomain/pset/pset_wasteterminaltypegullytrap.htm"</t>
  </si>
  <si>
    <t>"/ifcplumbingfireprotectiondomain/pset/pset_wasteterminaltypefloorwaste.htm"</t>
  </si>
  <si>
    <t>"/ifcplumbingfireprotectiondomain/pset/pset_wasteterminaltypegullysump.htm"</t>
  </si>
  <si>
    <t>"/ifcplumbingfireprotectiondomain/pset/pset_wasteterminaltyperoofdrain.htm"</t>
  </si>
  <si>
    <t>"/ifchvacdomain/pset/pset_spaceheatertyperadiator.htm"</t>
  </si>
  <si>
    <t>"/ifcsharedcomponentelements/pset/pset_mechanicalfastenercommon.htm"</t>
  </si>
  <si>
    <t>"/ifcplumbingfireprotectiondomain/pset/pset_sanitaryterminaltypecommon.htm"</t>
  </si>
  <si>
    <t>"/ifcsharedbldgserviceelements/pset/pset_distributionchamberelementtypemeterchamber.htm"</t>
  </si>
  <si>
    <t>"/ifcsharedbldgserviceelements/pset/pset_distributionchamberelementtypevalvechamber.htm"</t>
  </si>
  <si>
    <t>"/ifcsharedbldgserviceelements/pset/pset_distributionchamberelementtypeinspectionpit.htm"</t>
  </si>
  <si>
    <t>"/ifcsharedbldgserviceelements/pset/pset_distributionchamberelementtypesump.htm"</t>
  </si>
  <si>
    <t>"/ifchvacdomain/pset/pset_tubebundletypecommon.htm"</t>
  </si>
  <si>
    <t>"/ifchvacdomain/pset/pset_ductsilencertypecommon.htm"</t>
  </si>
  <si>
    <t>"/ifcmaterialresource/pset/pset_materialwater.htm"</t>
  </si>
  <si>
    <t>"/ifcconstructionmgmtdomain/pset/pset_constructionresource.htm"</t>
  </si>
  <si>
    <t>"/ifcsharedfacilitieselements/pset/pset_condition.htm"</t>
  </si>
  <si>
    <t>"/ifcsharedfacilitieselements/pset/pset_propertyagreement.htm"</t>
  </si>
  <si>
    <t>"/ifcsharedbldgserviceelements/pset/pset_distributionporttypepipe.htm"</t>
  </si>
  <si>
    <t>"/ifcsharedbldgserviceelements/pset/pset_distributionportphistoryduct.htm"</t>
  </si>
  <si>
    <t>"/ifcbuildingcontrolsdomain/pset/pset_alarmtypecommon.htm"</t>
  </si>
  <si>
    <t>"/ifcbuildingcontrolsdomain/pset/pset_alarmphistory.htm"</t>
  </si>
  <si>
    <t>"/ifchvacdomain/pset/pset_cooledbeamtypeactive.htm"</t>
  </si>
  <si>
    <t>"/ifcbuildingcontrolsdomain/pset/pset_sensortypefiresensor.htm"</t>
  </si>
  <si>
    <t>"/ifcbuildingcontrolsdomain/pset/pset_controllertypeproportional.htm"</t>
  </si>
  <si>
    <t>"/ifchvacdomain/pset/pset_spaceheaterphistory.htm"</t>
  </si>
  <si>
    <t>"/ifcstructuralelementsdomain/pset/pset_reinforcementbarpitchofcolumn.htm"</t>
  </si>
  <si>
    <t>"/ifcstructuralelementsdomain/pset/pset_reinforcementbarcountofindependentfooting.htm"</t>
  </si>
  <si>
    <t>"/ifcsharedbldgserviceelements/pset/pset_distributionporttypecable.htm"</t>
  </si>
  <si>
    <t>"/ifcmaterialresource/pset/pset_materialfuel.htm"</t>
  </si>
  <si>
    <t>"/ifcsharedfacilitieselements/pset/pset_warranty.htm"</t>
  </si>
  <si>
    <t>"/ifcelectricaldomain/pset/pset_audiovisualappliancephistory.htm"</t>
  </si>
  <si>
    <t>"/ifcsharedbldgelements/pset/pset_rampflightcommon.htm"</t>
  </si>
  <si>
    <t>"/ifchvacdomain/pset/pset_valvetypemixing.htm"</t>
  </si>
  <si>
    <t>"/ifcplumbingfireprotectiondomain/pset/pset_sanitaryterminaltypesink.htm"</t>
  </si>
  <si>
    <t>"/ifcelectricaldomain/pset/pset_protectivedevicetrippingunittyperesidualcurrent.htm"</t>
  </si>
  <si>
    <t>"/ifcelectricaldomain/pset/pset_electricmotortypecommon.htm"</t>
  </si>
  <si>
    <t>"/ifcelectricaldomain/pset/pset_protectivedevicetrippingfunctionscurve.htm"</t>
  </si>
  <si>
    <t>"/ifcelectricaldomain/pset/pset_protectivedevicetrippingfunctionlcurve.htm"</t>
  </si>
  <si>
    <t>"/ifchvacdomain/pset/pset_flowmetertypeenergymeter.htm"</t>
  </si>
  <si>
    <t>"/ifcelectricaldomain/pset/pset_protectivedevicebreakeruniti2tcurve.htm"</t>
  </si>
  <si>
    <t>"/ifcelectricaldomain/pset/pset_protectivedevicebreakerunitipicurve.htm"</t>
  </si>
  <si>
    <t>"/ifcelectricaldomain/pset/pset_transformertypecommon.htm"</t>
  </si>
  <si>
    <t>"/ifcsharedbldgserviceelements/pset/pset_distributionportphistorycable.htm"</t>
  </si>
  <si>
    <t>"/ifcelectricaldomain/pset/pset_protectivedevicebreakerunittypemcb.htm"</t>
  </si>
  <si>
    <t>"/ifcelectricaldomain/pset/pset_protectivedevicetrippingunittypeelectronic.htm"</t>
  </si>
  <si>
    <t>"/ifcsharedcomponentelements/pset/pset_discreteaccessoryfixingsocket.htm"</t>
  </si>
  <si>
    <t>"/ifchvacdomain/pset/pset_fantypecommon.htm"</t>
  </si>
  <si>
    <t>"/ifcstructuralelementsdomain/pset/pset_reinforcementbarpitchofcontinuousfooting.htm"</t>
  </si>
  <si>
    <t>"/ifcbuildingcontrolsdomain/pset/pset_actuatortypelinearactuation.htm"</t>
  </si>
  <si>
    <t>"/ifchvacdomain/pset/pset_filtertypecompressedairfilter.htm"</t>
  </si>
  <si>
    <t>"/ifcelectricaldomain/pset/pset_protectivedevicetrippingcurve.htm"</t>
  </si>
  <si>
    <t>"/ifchvacdomain/pset/pset_airterminalboxphistory.htm"</t>
  </si>
  <si>
    <t>"/ifcelectricaldomain/pset/pset_protectivedevicebreakeruniti2tfusecurve.htm"</t>
  </si>
  <si>
    <t>"/ifchvacdomain/pset/pset_coilphistory.htm"</t>
  </si>
  <si>
    <t>"/ifchvacdomain/pset/pset_ductsilencerphistory.htm"</t>
  </si>
  <si>
    <t>"/ifchvacdomain/pset/pset_pipesegmentphistory.htm"</t>
  </si>
  <si>
    <t>"/ifcsharedbldgserviceelements/pset/pset_soundgeneration.htm"</t>
  </si>
  <si>
    <t>"/ifchvacdomain/pset/pset_airtoairheatrecoveryphistory.htm"</t>
  </si>
  <si>
    <t>"/ifcstructuralelementsdomain/pset/pset_precastconcreteelementfabrication.htm"</t>
  </si>
  <si>
    <t>"/ifcsharedmgmtelements/pset/pset_permit.htm"</t>
  </si>
  <si>
    <t>"/ifcmaterialresource/pset/pset_materialsteel.htm"</t>
  </si>
  <si>
    <t>"/ifcsharedbldgserviceelements/pset/pset_airsidesysteminformation.htm"</t>
  </si>
  <si>
    <t>"/ifcmaterialresource/pset/pset_materialcommon.htm"</t>
  </si>
  <si>
    <t>"/ifcmaterialresource/pset/pset_materialenergy.htm"</t>
  </si>
  <si>
    <t>"/ifcplumbingfireprotectiondomain/pset/pset_sanitaryterminaltypeshower.htm"</t>
  </si>
  <si>
    <t>"/ifcmaterialresource/pset/pset_materialconcrete.htm"</t>
  </si>
  <si>
    <t>"/ifcstructuralelementsdomain/pset/pset_reinforcementbarpitchofwall.htm"</t>
  </si>
  <si>
    <t>"/ifcstructuralelementsdomain/pset/pset_reinforcementbarpitchofbeam.htm"</t>
  </si>
  <si>
    <t>"/ifcelectricaldomain/pset/pset_protectivedevicetrippingunitcurrentadjustment.htm"</t>
  </si>
  <si>
    <t>"/ifcelectricaldomain/pset/pset_protectivedevicetrippingunittypeelectromagnetic.htm"</t>
  </si>
  <si>
    <t>"/ifcelectricaldomain/pset/pset_protectivedevicetrippingunittypethermal.htm"</t>
  </si>
  <si>
    <t>"/ifcplumbingfireprotectiondomain/pset/pset_sanitaryterminaltypewashhandbasin.htm"</t>
  </si>
  <si>
    <t>"/ifchvacdomain/pset/pset_filtertypecommon.htm"</t>
  </si>
  <si>
    <t>"/ifcplumbingfireprotectiondomain/pset/pset_firesuppressionterminaltypebreechinginlet.htm"</t>
  </si>
  <si>
    <t>"/ifchvacdomain/pset/pset_pipeconnectionflanged.htm"</t>
  </si>
  <si>
    <t>"/ifchvacdomain/pset/pset_pumpoccurrence.htm"</t>
  </si>
  <si>
    <t>"/ifchvacdomain/pset/pset_pipesegmenttypecommon.htm"</t>
  </si>
  <si>
    <t>"/ifchvacdomain/pset/pset_airterminalboxtypecommon.htm"</t>
  </si>
  <si>
    <t>"/ifcbuildingcontrolsdomain/pset/pset_sensorphistory.htm"</t>
  </si>
  <si>
    <t>"/ifcelectricaldomain/pset/pset_protectivedevicetrippingunittypecommon.htm"</t>
  </si>
  <si>
    <t>"/ifcprocessextension/pset/pset_workcontrolcommon.htm"</t>
  </si>
  <si>
    <t>"/ifcsharedfacilitieselements/pset/pset_servicelife.htm"</t>
  </si>
  <si>
    <t>"/ifchvacdomain/pset/pset_valvetypeflushing.htm"</t>
  </si>
  <si>
    <t>"/ifchvacdomain/pset/pset_valvetypeairrelease.htm"</t>
  </si>
  <si>
    <t>"/ifcelectricaldomain/pset/pset_cablesegmenttypebusbarsegment.htm"</t>
  </si>
  <si>
    <t>"/ifcproductextension/pset/pset_spatialzonecommon.htm"</t>
  </si>
  <si>
    <t>"/ifcproductextension/pset/pset_spaceparking.htm"</t>
  </si>
  <si>
    <t>"/ifcsharedmgmtelements/pset/pset_projectorderpurchaseorder.htm"</t>
  </si>
  <si>
    <t>"/ifcproductextension/pset/pset_landregistration.htm"</t>
  </si>
  <si>
    <t>"/ifcbuildingcontrolsdomain/pset/pset_sensortypepressuresensor.htm"</t>
  </si>
  <si>
    <t>"/ifcelectricaldomain/pset/pset_electricdistributionboardoccurrence.htm"</t>
  </si>
  <si>
    <t>"/ifcelectricaldomain/pset/pset_audiovisualappliancetypecamera.htm"</t>
  </si>
  <si>
    <t>"/ifcelectricaldomain/pset/pset_outlettypecommon.htm"</t>
  </si>
  <si>
    <t>"/ifchvacdomain/pset/pset_evaporativecoolerphistory.htm"</t>
  </si>
  <si>
    <t>"/ifchvacdomain/pset/pset_filterphistory.htm"</t>
  </si>
  <si>
    <t>"/ifcelectricaldomain/pset/pset_solardevicetypecommon.htm"</t>
  </si>
  <si>
    <t>"/ifcelectricaldomain/pset/pset_electricgeneratortypecommon.htm"</t>
  </si>
  <si>
    <t>"/ifchvacdomain/pset/pset_humidifierphistory.htm"</t>
  </si>
  <si>
    <t>"/ifchvacdomain/pset/pset_fanphistory.htm"</t>
  </si>
  <si>
    <t>"/ifchvacdomain/pset/pset_boilertypewater.htm"</t>
  </si>
  <si>
    <t>"/ifcelectricaldomain/pset/pset_audiovisualappliancetypeplayer.htm"</t>
  </si>
  <si>
    <t>"/ifcmaterialresource/pset/pset_materialoptical.htm"</t>
  </si>
  <si>
    <t>"/ifcsharedbldgserviceelements/pset/pset_soundattenuation.htm"</t>
  </si>
  <si>
    <t>"/ifcsharedfacilitieselements/pset/pset_systemfurnitureelementtypepanel.htm"</t>
  </si>
  <si>
    <t>"/ifcsharedcomponentelements/pset/pset_discreteaccessorystandardfixingplate.htm"</t>
  </si>
  <si>
    <t>"/ifcstructuralanalysisdomain/pset/pset_structuralsurfacemembervaryingthickness.htm"</t>
  </si>
  <si>
    <t>"/ifcelectricaldomain/pset/pset_switchingdevicetypecommon.htm"</t>
  </si>
  <si>
    <t>"/ifcelectricaldomain/pset/pset_communicationsappliancephistory.htm"</t>
  </si>
  <si>
    <t>"/ifcelectricaldomain/pset/pset_electricappliancephistory.htm"</t>
  </si>
  <si>
    <t>"/ifcsharedfacilitieselements/pset/pset_manufacturertypeinformation.htm"</t>
  </si>
  <si>
    <t>"/ifchvacdomain/pset/pset_enginetypecommon.htm"</t>
  </si>
  <si>
    <t>"/ifchvacdomain/pset/pset_burnertypecommon.htm"</t>
  </si>
  <si>
    <t>"/ifcsharedmgmtelements/pset/pset_projectorderchangeorder.htm"</t>
  </si>
  <si>
    <t>"/ifcmaterialresource/pset/pset_materialwoodbasedpanel.htm"</t>
  </si>
  <si>
    <t>"/ifcmaterialresource/pset/pset_materialwoodbasedbeam.htm"</t>
  </si>
  <si>
    <t>"/ifcelectricaldomain/pset/pset_audiovisualappliancetypespeaker.htm"</t>
  </si>
  <si>
    <t>"/ifcproductextension/pset/pset_spacelightingrequirements.htm"</t>
  </si>
  <si>
    <t>"/ifcsharedmgmtelements/pset/pset_packinginstructions.htm"</t>
  </si>
  <si>
    <t>"/ifcsharedmgmtelements/pset/pset_projectordermoveorder.htm"</t>
  </si>
  <si>
    <t>"/ifcelectricaldomain/pset/pset_switchingdevicetypetoggleswitch.htm"</t>
  </si>
  <si>
    <t>"/ifcelectricaldomain/pset/pset_switchingdevicetypeselectorswitch.htm"</t>
  </si>
  <si>
    <t>"/ifcelectricaldomain/pset/pset_switchingdevicetypeemergencystop.htm"</t>
  </si>
  <si>
    <t>"/ifcelectricaldomain/pset/pset_switchingdevicetypeswitchdisconnector.htm"</t>
  </si>
  <si>
    <t>"/ifcbuildingcontrolsdomain/pset/pset_controllertypefloating.htm"</t>
  </si>
  <si>
    <t>"/ifcbuildingcontrolsdomain/pset/pset_controllertypemultiposition.htm"</t>
  </si>
  <si>
    <t>"/ifchvacdomain/pset/pset_pipesegmenttypeculvert.htm"</t>
  </si>
  <si>
    <t>"/ifcsharedbldgserviceelements/pset/pset_distributionchamberelementtypetrench.htm"</t>
  </si>
  <si>
    <t>"/ifchvacdomain/pset/pset_flowmetertypecommon.htm"</t>
  </si>
  <si>
    <t>"/ifchvacdomain/pset/pset_airterminaloccurrence.htm"</t>
  </si>
  <si>
    <t>"/ifcproductextension/pset/pset_transportelementcommon.htm"</t>
  </si>
  <si>
    <t>"/ifchvacdomain/pset/pset_damperoccurrence.htm"</t>
  </si>
  <si>
    <t>"/ifcbuildingcontrolsdomain/pset/pset_unitarycontrolelementtypecommon.htm"</t>
  </si>
  <si>
    <t>"/ifcbuildingcontrolsdomain/pset/pset_unitarycontrolelementphistory.htm"</t>
  </si>
  <si>
    <t>"/ifcplumbingfireprotectiondomain/pset/pset_sanitaryterminaltypetoiletpan.htm"</t>
  </si>
  <si>
    <t>"/ifcplumbingfireprotectiondomain/pset/pset_sanitaryterminaltypebidet.htm"</t>
  </si>
  <si>
    <t>"/ifcplumbingfireprotectiondomain/pset/pset_sanitaryterminaltypesanitaryfountain.htm"</t>
  </si>
  <si>
    <t>"/ifcplumbingfireprotectiondomain/pset/pset_sanitaryterminaltypeurinal.htm"</t>
  </si>
  <si>
    <t>"/ifcelectricaldomain/pset/pset_protectivedevicetypefusedisconnector.htm"</t>
  </si>
  <si>
    <t>"/ifcelectricaldomain/pset/pset_electricflowstoragedevicephistory.htm"</t>
  </si>
  <si>
    <t>"/ifchvacdomain/pset/pset_tankphistory.htm"</t>
  </si>
  <si>
    <t>"/ifchvacdomain/pset/pset_valvetypeisolating.htm"</t>
  </si>
  <si>
    <t>"/ifchvacdomain/pset/pset_dampertypecontroldamper.htm"</t>
  </si>
  <si>
    <t>"/ifcelectricaldomain/pset/pset_audiovisualappliancetypecommon.htm"</t>
  </si>
  <si>
    <t>"/ifchvacdomain/pset/pset_valvephistory.htm"</t>
  </si>
  <si>
    <t>"/ifchvacdomain/pset/pset_flowmetertypewatermeter.htm"</t>
  </si>
  <si>
    <t>"/ifchvacdomain/pset/pset_flowmetertypegasmeter.htm"</t>
  </si>
  <si>
    <t>"/ifcbuildingcontrolsdomain/pset/pset_controllertypetwoposition.htm"</t>
  </si>
  <si>
    <t>"/ifcbuildingcontrolsdomain/pset/pset_unitarycontrolelementtypethermostat.htm"</t>
  </si>
  <si>
    <t>"/ifcbuildingcontrolsdomain/pset/pset_actuatorphistory.htm"</t>
  </si>
  <si>
    <t>"/ifcbuildingcontrolsdomain/pset/pset_actuatortypeelectricactuator.htm"</t>
  </si>
  <si>
    <t>"/ifchvacdomain/pset/pset_valvetypepressurereducing.htm"</t>
  </si>
  <si>
    <t>"/ifchvacdomain/pset/pset_valvetypepressurerelief.htm"</t>
  </si>
  <si>
    <t>"/ifcbuildingcontrolsdomain/pset/pset_actuatortypehydraulicactuator.htm"</t>
  </si>
  <si>
    <t>"/ifcbuildingcontrolsdomain/pset/pset_actuatortypepneumaticactuator.htm"</t>
  </si>
  <si>
    <t>"/ifcsharedbldgserviceelements/pset/pset_distributionportphistorypipe.htm"</t>
  </si>
  <si>
    <t>"/ifchvacdomain/pset/pset_tanktypepreformed.htm"</t>
  </si>
  <si>
    <t>"/ifcplumbingfireprotectiondomain/pset/pset_wasteterminaltypewastedisposalunit.htm"</t>
  </si>
  <si>
    <t>"/ifcproductextension/pset/pset_openingelementcommon.htm"</t>
  </si>
  <si>
    <t>"/ifchvacdomain/pset/pset_flowmeteroccurrence.htm"</t>
  </si>
  <si>
    <t>"/ifcbuildingcontrolsdomain/pset/pset_controllerphistory.htm"</t>
  </si>
  <si>
    <t>"/ifcbuildingcontrolsdomain/pset/pset_flowinstrumentphistory.htm"</t>
  </si>
  <si>
    <t>"/ifchvacdomain/pset/pset_heatexchangertypeplate.htm"</t>
  </si>
  <si>
    <t>"/ifchvacdomain/pset/pset_airterminalphistory.htm"</t>
  </si>
  <si>
    <t>"/ifcstructuralelementsdomain/pset/pset_tendonanchorcommon.htm"</t>
  </si>
  <si>
    <t>"/ifcelectricaldomain/pset/pset_communicationsappliancetypecommon.htm"</t>
  </si>
  <si>
    <t>"/ifcsharedbldgserviceelements/pset/pset_distributionchamberelementcommon.htm"</t>
  </si>
  <si>
    <t>"/ifcelectricaldomain/pset/pset_cablefittingtypecommon.htm"</t>
  </si>
  <si>
    <t>"/ifcelectricaldomain/pset/pset_motorconnectiontypecommon.htm"</t>
  </si>
  <si>
    <t>"/ifcelectricaldomain/pset/pset_cablecarrierfittingtypecommon.htm"</t>
  </si>
  <si>
    <t>"/ifcelectricaldomain/pset/pset_electrictimecontroltypecommon.htm"</t>
  </si>
  <si>
    <t>"/ifcbuildingcontrolsdomain/pset/pset_controllertypecommon.htm"</t>
  </si>
  <si>
    <t>"/ifcelectricaldomain/pset/pset_protectivedevicetypecommon.htm"</t>
  </si>
  <si>
    <t>"/ifchvacdomain/pset/pset_medicaldevicetypecommon.htm"</t>
  </si>
  <si>
    <t>"/ifcproductextension/pset/pset_civilelementcommon.htm"</t>
  </si>
  <si>
    <t>"/ifcsharedcomponentelements/pset/pset_elementcomponentcommon.htm"</t>
  </si>
  <si>
    <t>"/ifcelectricaldomain/pset/pset_electricappliancetypecommon.htm"</t>
  </si>
  <si>
    <t>"/ifchvacdomain/pset/pset_unitaryequipmenttypecommon.htm"</t>
  </si>
  <si>
    <t>"/ifcbuildingcontrolsdomain/pset/pset_flowinstrumenttypecommon.htm"</t>
  </si>
  <si>
    <t>"/ifcproductextension/pset/pset_elementassemblycommon.htm"</t>
  </si>
  <si>
    <t>"/ifcelectricaldomain/pset/pset_electricdistributionboardtypecommon.htm"</t>
  </si>
  <si>
    <t>"/ifchvacdomain/pset/pset_airtoairheatrecoverytypecommon.htm"</t>
  </si>
  <si>
    <t>"/ifcelectricaldomain/pset/pset_cablesegmenttypecommon.htm"</t>
  </si>
  <si>
    <t>"/ifcelectricaldomain/pset/pset_cablecarriersegmenttypecommon.htm"</t>
  </si>
  <si>
    <t>"/ifcbuildingcontrolsdomain/pset/pset_sensortypecommon.htm"</t>
  </si>
  <si>
    <t>"/ifcsharedbldgelements/pset/pset_buildingsystemcommon.htm"</t>
  </si>
  <si>
    <t>"/ifcsharedbldgserviceelements/pset/pset_distributionsystemcommon.htm"</t>
  </si>
  <si>
    <t>"/ifcplumbingfireprotectiondomain/pset/pset_firesuppressionterminaltypecommon.htm"</t>
  </si>
  <si>
    <t>"/ifcplumbingfireprotectiondomain/pset/pset_wasteterminaltypecommon.htm"</t>
  </si>
  <si>
    <t>"/ifcplumbingfireprotectiondomain/pset/pset_stackterminaltypecommon.htm"</t>
  </si>
  <si>
    <t>"/ifcelectricaldomain/pset/pset_protectivedevicetypeearthleakagecircuitbreaker.htm"</t>
  </si>
  <si>
    <t>"/ifcelectricaldomain/pset/pset_protectivedevicetyperesidualcurrentcircuitbreaker.htm"</t>
  </si>
  <si>
    <t>"/ifcelectricaldomain/pset/pset_protectivedevicetyperesidualcurrentswitch.htm"</t>
  </si>
  <si>
    <t>"/ifcbuildingcontrolsdomain/pset/pset_sensortypeidentifiersensor.htm"</t>
  </si>
  <si>
    <t>"/ifcbuildingcontrolsdomain/pset/pset_sensortypeco2sensor.htm"</t>
  </si>
  <si>
    <t>"/ifcbuildingcontrolsdomain/pset/pset_sensortypeionconcentrationsensor.htm"</t>
  </si>
  <si>
    <t>"/ifcbuildingcontrolsdomain/pset/pset_sensortypeconductancesensor.htm"</t>
  </si>
  <si>
    <t>"/ifcbuildingcontrolsdomain/pset/pset_sensortypefrostsensor.htm"</t>
  </si>
  <si>
    <t>"/ifcbuildingcontrolsdomain/pset/pset_sensortypecontactsensor.htm"</t>
  </si>
  <si>
    <t>"/ifcbuildingcontrolsdomain/pset/pset_sensortypeflowsensor.htm"</t>
  </si>
  <si>
    <t>"/ifcbuildingcontrolsdomain/pset/pset_sensortypelightsensor.htm"</t>
  </si>
  <si>
    <t>"/ifcbuildingcontrolsdomain/pset/pset_sensortypemovementsensor.htm"</t>
  </si>
  <si>
    <t>"/ifcbuildingcontrolsdomain/pset/pset_sensortypelevelsensor.htm"</t>
  </si>
  <si>
    <t>"/ifcbuildingcontrolsdomain/pset/pset_sensortypephsensor.htm"</t>
  </si>
  <si>
    <t>"/ifcbuildingcontrolsdomain/pset/pset_sensortyperadiationsensor.htm"</t>
  </si>
  <si>
    <t>"/ifcbuildingcontrolsdomain/pset/pset_sensortyperadioactivitysensor.htm"</t>
  </si>
  <si>
    <t>"/ifcbuildingcontrolsdomain/pset/pset_sensortypesoundsensor.htm"</t>
  </si>
  <si>
    <t>"/ifcbuildingcontrolsdomain/pset/pset_sensortypetemperaturesensor.htm"</t>
  </si>
  <si>
    <t>"/ifcbuildingcontrolsdomain/pset/pset_sensortypemoisturesensor.htm"</t>
  </si>
  <si>
    <t>"/ifcbuildingcontrolsdomain/pset/pset_sensortypehumiditysensor.htm"</t>
  </si>
  <si>
    <t>"/ifcbuildingcontrolsdomain/pset/pset_sensortypewindsensor.htm"</t>
  </si>
  <si>
    <t>"/ifcelectricaldomain/pset/pset_switchingdevicetypephistory.htm"</t>
  </si>
  <si>
    <t>"/ifcsharedmgmtelements/pset/pset_actionrequest.htm"</t>
  </si>
  <si>
    <t>"/ifcplumbingfireprotectiondomain/pset/pset_wasteterminaltypewastetrap.htm"</t>
  </si>
  <si>
    <t>"/ifchvacdomain/pset/pset_flowmetertypeoilmeter.htm"</t>
  </si>
  <si>
    <t>"/ifcplumbingfireprotectiondomain/pset/pset_sanitaryterminaltypebath.htm"</t>
  </si>
  <si>
    <t>"/ifcbuildingcontrolsdomain/pset/pset_flowinstrumenttypepressuregauge.htm"</t>
  </si>
  <si>
    <t>"/ifcbuildingcontrolsdomain/pset/pset_flowinstrumenttypethermometer.htm"</t>
  </si>
  <si>
    <t>"/ifchvacdomain/pset/pset_spacethermalphistory.htm"</t>
  </si>
  <si>
    <t>"/ifchvacdomain/pset/pset_coiloccurrence.htm"</t>
  </si>
  <si>
    <t>"/ifchvacdomain/pset/pset_valvetypegastap.htm"</t>
  </si>
  <si>
    <t>"/ifchvacdomain/pset/pset_valvetypedrawoffcock.htm"</t>
  </si>
  <si>
    <t>"/ifcsharedbldgelements/pset/pset_coveringflooring.htm"</t>
  </si>
  <si>
    <t>"/ifcelectricaldomain/pset/pset_switchingdevicetypecontactor.htm"</t>
  </si>
  <si>
    <t>"/ifcsharedfacilitieselements/pset/pset_asset.htm"</t>
  </si>
  <si>
    <t>"/ifchvacdomain/pset/pset_dampertypesmokedamper.htm"</t>
  </si>
  <si>
    <t>"/ifchvacdomain/pset/pset_spaceheatertypeconvector.htm"</t>
  </si>
  <si>
    <t>"/ifchvacdomain/pset/pset_filtertypewaterfilter.htm"</t>
  </si>
  <si>
    <t>"/ifcelectricaldomain/pset/pset_electricappliancetypeelectriccooker.htm"</t>
  </si>
  <si>
    <t>"/ifcelectricaldomain/pset/pset_audiovisualappliancetypeprojector.htm"</t>
  </si>
  <si>
    <t>"/ifcelectricaldomain/pset/pset_switchingdevicetypekeypad.htm"</t>
  </si>
  <si>
    <t>"/ifcelectricaldomain/pset/pset_switchingdevicetypedimmerswitch.htm"</t>
  </si>
  <si>
    <t>"/ifcelectricaldomain/pset/pset_switchingdevicetypestarter.htm"</t>
  </si>
  <si>
    <t>"/ifcelectricaldomain/pset/pset_electricappliancetypedishwasher.htm"</t>
  </si>
  <si>
    <t>"/ifcelectricaldomain/pset/pset_switchingdevicetypemomentaryswitch.htm"</t>
  </si>
  <si>
    <t>"/ifcelectricaldomain/pset/pset_protectivedevicetypevaristor.htm"</t>
  </si>
  <si>
    <t>"/ifcsharedcomponentelements/pset/pset_discreteaccessorydiagonaltrussconnector.htm"</t>
  </si>
  <si>
    <t>"/ifcsharedcomponentelements/pset/pset_discreteaccessoryladdertrussconnector.htm"</t>
  </si>
  <si>
    <t>"/ifcproductextension/pset/pset_annotationcontourline.htm"</t>
  </si>
  <si>
    <t>"/ifcpresentationdefinitionresource/lexical/ifcboxalignment.htm"</t>
  </si>
  <si>
    <t>"/ifcpresentationappearanceresource/lexical/ifctextalignment.htm"</t>
  </si>
  <si>
    <t>"/ifcdatetimeresource/lexical/ifctimestamp.htm"</t>
  </si>
  <si>
    <t>"/ifckernel/lexical/ifcpropertysetdefinitionset.htm"</t>
  </si>
  <si>
    <t>"/ifcgeometryresource/lexical/ifcdimensioncount.htm"</t>
  </si>
  <si>
    <t>"/ifcdatetimeresource/lexical/ifcdate.htm"</t>
  </si>
  <si>
    <t>"/ifcdatetimeresource/lexical/ifcdatetime.htm"</t>
  </si>
  <si>
    <t>"/ifcpresentationappearanceresource/lexical/ifctextdecoration.htm"</t>
  </si>
  <si>
    <t>"/ifcdatetimeresource/lexical/ifcduration.htm"</t>
  </si>
  <si>
    <t>"/ifcmeasureresource/lexical/ifclabel.htm"</t>
  </si>
  <si>
    <t>"/ifcpresentationappearanceresource/lexical/ifcfontstyle.htm"</t>
  </si>
  <si>
    <t>"/ifcpresentationappearanceresource/lexical/ifcspecularexponent.htm"</t>
  </si>
  <si>
    <t>"/ifcexternalreferenceresource/lexical/ifclanguageid.htm"</t>
  </si>
  <si>
    <t>"/ifcutilityresource/lexical/ifcgloballyuniqueid.htm"</t>
  </si>
  <si>
    <t>"/ifcmeasureresource/lexical/ifcidentifier.htm"</t>
  </si>
  <si>
    <t>"/ifcmeasureresource/lexical/ifcboolean.htm"</t>
  </si>
  <si>
    <t>"/ifcmeasureresource/lexical/ifclogical.htm"</t>
  </si>
  <si>
    <t>"/ifcmeasureresource/lexical/ifcreal.htm"</t>
  </si>
  <si>
    <t>"/ifcgeometryresource/lexical/ifcarcindex.htm"</t>
  </si>
  <si>
    <t>"/ifcgeometryresource/lexical/ifclineindex.htm"</t>
  </si>
  <si>
    <t>"/ifcmeasureresource/lexical/ifcinteger.htm"</t>
  </si>
  <si>
    <t>"/ifcmeasureresource/lexical/ifcpositiveinteger.htm"</t>
  </si>
  <si>
    <t>"/ifcmeasureresource/lexical/ifcsoundpowerlevelmeasure.htm"</t>
  </si>
  <si>
    <t>"/ifcmeasureresource/lexical/ifcwarpingconstantmeasure.htm"</t>
  </si>
  <si>
    <t>"/ifcmeasureresource/lexical/ifcamountofsubstancemeasure.htm"</t>
  </si>
  <si>
    <t>"/ifcmeasureresource/lexical/ifcintegercountratemeasure.htm"</t>
  </si>
  <si>
    <t>"/ifcmeasureresource/lexical/ifctemperaturerateofchangemeasure.htm"</t>
  </si>
  <si>
    <t>"/ifcmeasureresource/lexical/ifcaccelerationmeasure.htm"</t>
  </si>
  <si>
    <t>"/ifcmeasureresource/lexical/ifcthermaladmittancemeasure.htm"</t>
  </si>
  <si>
    <t>"/ifcmeasureresource/lexical/ifccompoundplaneanglemeasure.htm"</t>
  </si>
  <si>
    <t>"/ifcmeasureresource/lexical/ifcplaneanglemeasure.htm"</t>
  </si>
  <si>
    <t>"/ifcmeasureresource/lexical/ifcpositiveplaneanglemeasure.htm"</t>
  </si>
  <si>
    <t>"/ifcmeasureresource/lexical/ifcsolidanglemeasure.htm"</t>
  </si>
  <si>
    <t>"/ifcmeasureresource/lexical/ifcareameasure.htm"</t>
  </si>
  <si>
    <t>"/ifcmeasureresource/lexical/ifcradioactivitymeasure.htm"</t>
  </si>
  <si>
    <t>"/ifcmeasureresource/lexical/ifcisothermalmoisturecapacitymeasure.htm"</t>
  </si>
  <si>
    <t>"/ifcmeasureresource/lexical/ifcelectriccapacitancemeasure.htm"</t>
  </si>
  <si>
    <t>"/ifcmeasureresource/lexical/ifcelectricchargemeasure.htm"</t>
  </si>
  <si>
    <t>"/ifcmeasureresource/lexical/ifclengthmeasure.htm"</t>
  </si>
  <si>
    <t>"/ifcmeasureresource/lexical/ifcnonnegativelengthmeasure.htm"</t>
  </si>
  <si>
    <t>"/ifcmeasureresource/lexical/ifcpositivelengthmeasure.htm"</t>
  </si>
  <si>
    <t>"/ifcmeasureresource/lexical/ifcionconcentrationmeasure.htm"</t>
  </si>
  <si>
    <t>"/ifcmeasureresource/lexical/ifcelectricconductancemeasure.htm"</t>
  </si>
  <si>
    <t>"/ifcmeasureresource/lexical/ifcthermalconductivitymeasure.htm"</t>
  </si>
  <si>
    <t>"/ifcmeasureresource/lexical/ifccountmeasure.htm"</t>
  </si>
  <si>
    <t>"/ifcmeasureresource/lexical/ifcelectriccurrentmeasure.htm"</t>
  </si>
  <si>
    <t>"/ifcmeasureresource/lexical/ifccurvaturemeasure.htm"</t>
  </si>
  <si>
    <t>"/ifcmeasureresource/lexical/ifcareadensitymeasure.htm"</t>
  </si>
  <si>
    <t>"/ifcmeasureresource/lexical/ifcheatfluxdensitymeasure.htm"</t>
  </si>
  <si>
    <t>"/ifcmeasureresource/lexical/ifcmagneticfluxdensitymeasure.htm"</t>
  </si>
  <si>
    <t>"/ifcmeasureresource/lexical/ifcmassdensitymeasure.htm"</t>
  </si>
  <si>
    <t>"/ifcmeasureresource/lexical/ifcmoisturediffusivitymeasure.htm"</t>
  </si>
  <si>
    <t>"/ifcmeasureresource/lexical/ifcluminousintensitydistributionmeasure.htm"</t>
  </si>
  <si>
    <t>"/ifcmeasureresource/lexical/ifcabsorbeddosemeasure.htm"</t>
  </si>
  <si>
    <t>"/ifcmeasureresource/lexical/ifcdoseequivalentmeasure.htm"</t>
  </si>
  <si>
    <t>"/ifcmeasureresource/lexical/ifcenergymeasure.htm"</t>
  </si>
  <si>
    <t>"/ifcmeasureresource/lexical/ifcluminousfluxmeasure.htm"</t>
  </si>
  <si>
    <t>"/ifcmeasureresource/lexical/ifcmagneticfluxmeasure.htm"</t>
  </si>
  <si>
    <t>"/ifcmeasureresource/lexical/ifcforcemeasure.htm"</t>
  </si>
  <si>
    <t>"/ifcmeasureresource/lexical/ifclinearforcemeasure.htm"</t>
  </si>
  <si>
    <t>"/ifcmeasureresource/lexical/ifcplanarforcemeasure.htm"</t>
  </si>
  <si>
    <t>"/ifcmeasureresource/lexical/ifcfrequencymeasure.htm"</t>
  </si>
  <si>
    <t>"/ifcmeasureresource/lexical/ifcrotationalfrequencymeasure.htm"</t>
  </si>
  <si>
    <t>"/ifcmeasureresource/lexical/ifcilluminancemeasure.htm"</t>
  </si>
  <si>
    <t>"/ifcmeasureresource/lexical/ifcinductancemeasure.htm"</t>
  </si>
  <si>
    <t>"/ifcmeasureresource/lexical/ifcluminousintensitymeasure.htm"</t>
  </si>
  <si>
    <t>"/ifcmeasureresource/lexical/ifcmassmeasure.htm"</t>
  </si>
  <si>
    <t>"/ifcmeasureresource/lexical/ifcmassperlengthmeasure.htm"</t>
  </si>
  <si>
    <t>"/ifcmeasureresource/lexical/ifcrotationalmassmeasure.htm"</t>
  </si>
  <si>
    <t>"/ifcmeasureresource/lexical/ifcwarpingmomentmeasure.htm"</t>
  </si>
  <si>
    <t>"/ifcmeasureresource/lexical/ifclinearmomentmeasure.htm"</t>
  </si>
  <si>
    <t>"/ifcmeasureresource/lexical/ifcsoundpressurelevelmeasure.htm"</t>
  </si>
  <si>
    <t>"/ifcmeasureresource/lexical/ifcvaporpermeabilitymeasure.htm"</t>
  </si>
  <si>
    <t>"/ifcmeasureresource/lexical/ifcmolecularweightmeasure.htm"</t>
  </si>
  <si>
    <t>"/ifcmeasureresource/lexical/ifcpowermeasure.htm"</t>
  </si>
  <si>
    <t>"/ifcmeasureresource/lexical/ifcsoundpowermeasure.htm"</t>
  </si>
  <si>
    <t>"/ifcmeasureresource/lexical/ifcpressuremeasure.htm"</t>
  </si>
  <si>
    <t>"/ifcmeasureresource/lexical/ifcsoundpressuremeasure.htm"</t>
  </si>
  <si>
    <t>"/ifcmeasureresource/lexical/ifcratiomeasure.htm"</t>
  </si>
  <si>
    <t>"/ifcmeasureresource/lexical/ifcnormalisedratiomeasure.htm"</t>
  </si>
  <si>
    <t>"/ifcmeasureresource/lexical/ifcpositiveratiomeasure.htm"</t>
  </si>
  <si>
    <t>"/ifcmeasureresource/lexical/ifcmodulusofsubgradereactionmeasure.htm"</t>
  </si>
  <si>
    <t>"/ifcmeasureresource/lexical/ifcelectricresistancemeasure.htm"</t>
  </si>
  <si>
    <t>"/ifcmeasureresource/lexical/ifcthermalresistancemeasure.htm"</t>
  </si>
  <si>
    <t>"/ifcmeasureresource/lexical/ifclinearstiffnessmeasure.htm"</t>
  </si>
  <si>
    <t>"/ifcmeasureresource/lexical/ifcrotationalstiffnessmeasure.htm"</t>
  </si>
  <si>
    <t>"/ifcmeasureresource/lexical/ifcthermodynamictemperaturemeasure.htm"</t>
  </si>
  <si>
    <t>"/ifcmeasureresource/lexical/ifctimemeasure.htm"</t>
  </si>
  <si>
    <t>"/ifcmeasureresource/lexical/ifcelectricvoltagemeasure.htm"</t>
  </si>
  <si>
    <t>"/ifcmeasureresource/lexical/ifctorquemeasure.htm"</t>
  </si>
  <si>
    <t>"/ifcmeasureresource/lexical/ifcthermaltransmittancemeasure.htm"</t>
  </si>
  <si>
    <t>"/ifcmeasureresource/lexical/ifcheatingvaluemeasure.htm"</t>
  </si>
  <si>
    <t>"/ifcmeasureresource/lexical/ifcmassflowratemeasure.htm"</t>
  </si>
  <si>
    <t>"/ifcmeasureresource/lexical/ifcvolumetricflowratemeasure.htm"</t>
  </si>
  <si>
    <t>"/ifcmeasureresource/lexical/ifcangularvelocitymeasure.htm"</t>
  </si>
  <si>
    <t>"/ifcmeasureresource/lexical/ifclinearvelocitymeasure.htm"</t>
  </si>
  <si>
    <t>"/ifcmeasureresource/lexical/ifckinematicviscositymeasure.htm"</t>
  </si>
  <si>
    <t>"/ifcmeasureresource/lexical/ifcdynamicviscositymeasure.htm"</t>
  </si>
  <si>
    <t>"/ifcmeasureresource/lexical/ifcvolumemeasure.htm"</t>
  </si>
  <si>
    <t>"/ifcmeasureresource/lexical/ifccontextdependentmeasure.htm"</t>
  </si>
  <si>
    <t>"/ifcmeasureresource/lexical/ifcdescriptivemeasure.htm"</t>
  </si>
  <si>
    <t>"/ifcmeasureresource/lexical/ifcthermalexpansioncoefficientmeasure.htm"</t>
  </si>
  <si>
    <t>"/ifcmeasureresource/lexical/ifctemperaturegradientmeasure.htm"</t>
  </si>
  <si>
    <t>"/ifcmeasureresource/lexical/ifcshearmodulusmeasure.htm"</t>
  </si>
  <si>
    <t>"/ifcmeasureresource/lexical/ifcmodulusofelasticitymeasure.htm"</t>
  </si>
  <si>
    <t>"/ifcmeasureresource/lexical/ifcsectionmodulusmeasure.htm"</t>
  </si>
  <si>
    <t>"/ifcmeasureresource/lexical/ifcmomentofinertiameasure.htm"</t>
  </si>
  <si>
    <t>"/ifcmeasureresource/lexical/ifcspecificheatcapacitymeasure.htm"</t>
  </si>
  <si>
    <t>"/ifcmeasureresource/lexical/ifcsectionalareaintegralmeasure.htm"</t>
  </si>
  <si>
    <t>"/ifcmeasureresource/lexical/ifcmonetarymeasure.htm"</t>
  </si>
  <si>
    <t>"/ifcmeasureresource/lexical/ifcnumericmeasure.htm"</t>
  </si>
  <si>
    <t>"/ifcmeasureresource/lexical/ifcphmeasure.htm"</t>
  </si>
  <si>
    <t>"/ifcmeasureresource/lexical/ifcmodulusoflinearsubgradereactionmeasure.htm"</t>
  </si>
  <si>
    <t>"/ifcmeasureresource/lexical/ifcmodulusofrotationalsubgradereactionmeasure.htm"</t>
  </si>
  <si>
    <t>"/ifcpresentationappearanceresource/lexical/ifctextfontname.htm"</t>
  </si>
  <si>
    <t>"/ifcdatetimeresource/lexical/ifcmonthinyearnumber.htm"</t>
  </si>
  <si>
    <t>"/ifcdatetimeresource/lexical/ifcdayinweeknumber.htm"</t>
  </si>
  <si>
    <t>"/ifcdatetimeresource/lexical/ifcdayinmonthnumber.htm"</t>
  </si>
  <si>
    <t>"/ifcpresentationappearanceresource/lexical/ifcfontweight.htm"</t>
  </si>
  <si>
    <t>"/ifcmaterialresource/lexical/ifccardinalpointreference.htm"</t>
  </si>
  <si>
    <t>"/ifcexternalreferenceresource/lexical/ifcurireference.htm"</t>
  </si>
  <si>
    <t>"/ifcpresentationappearanceresource/lexical/ifcspecularroughness.htm"</t>
  </si>
  <si>
    <t>"/ifcdatetimeresource/lexical/ifctime.htm"</t>
  </si>
  <si>
    <t>"/ifcpresentationappearanceresource/lexical/ifcpresentabletext.htm"</t>
  </si>
  <si>
    <t>"/ifcmeasureresource/lexical/ifctext.htm"</t>
  </si>
  <si>
    <t>"/ifcpresentationappearanceresource/lexical/ifctexttransformation.htm"</t>
  </si>
  <si>
    <t>"/ifcmeasureresource/lexical/ifcbinary.htm"</t>
  </si>
  <si>
    <t>"/ifcmeasureresource/lexical/ifcparametervalue.htm"</t>
  </si>
  <si>
    <t>"/ifcpresentationappearanceresource/lexical/ifcfontvariant.htm"</t>
  </si>
  <si>
    <t>"/ifcstructuralanalysisdomain/lexical/ifcactiontypeenum.htm"</t>
  </si>
  <si>
    <t>"/ifcutilityresource/lexical/ifcchangeactionenum.htm"</t>
  </si>
  <si>
    <t>"/ifcsharedcomponentelements/lexical/ifcdiscreteaccessorytypeenum.htm"</t>
  </si>
  <si>
    <t>"/ifcbuildingcontrolsdomain/lexical/ifcalarmtypeenum.htm"</t>
  </si>
  <si>
    <t>"/ifcproductextension/lexical/ifcspacetypeenum.htm"</t>
  </si>
  <si>
    <t>"/ifchvacdomain/lexical/ifcdampertypeenum.htm"</t>
  </si>
  <si>
    <t>"/ifcstructuralelementsdomain/lexical/ifctendonanchortypeenum.htm"</t>
  </si>
  <si>
    <t>"/ifcelectricaldomain/lexical/ifcaudiovisualappliancetypeenum.htm"</t>
  </si>
  <si>
    <t>"/ifcelectricaldomain/lexical/ifccommunicationsappliancetypeenum.htm"</t>
  </si>
  <si>
    <t>"/ifchvacdomain/lexical/ifcspaceheatertypeenum.htm"</t>
  </si>
  <si>
    <t>"/ifcstructuralanalysisdomain/lexical/ifcstructuralcurveactivitytypeenum.htm"</t>
  </si>
  <si>
    <t>"/ifcstructuralanalysisdomain/lexical/ifcstructuralsurfaceactivitytypeenum.htm"</t>
  </si>
  <si>
    <t>"/ifcbuildingcontrolsdomain/lexical/ifcactuatortypeenum.htm"</t>
  </si>
  <si>
    <t>"/ifcstructuralelementsdomain/lexical/ifcreinforcingbartypeenum.htm"</t>
  </si>
  <si>
    <t>"/ifcprofileresource/lexical/ifcreinforcingbarsurfaceenum.htm"</t>
  </si>
  <si>
    <t>"/ifchvacdomain/lexical/ifcboilertypeenum.htm"</t>
  </si>
  <si>
    <t>"/ifchvacdomain/lexical/ifcpumptypeenum.htm"</t>
  </si>
  <si>
    <t>"/ifcelectricaldomain/lexical/ifcjunctionboxtypeenum.htm"</t>
  </si>
  <si>
    <t>"/ifchvacdomain/lexical/ifcairterminalboxtypeenum.htm"</t>
  </si>
  <si>
    <t>"/ifcprocessextension/lexical/ifcworkcalendartypeenum.htm"</t>
  </si>
  <si>
    <t>"/ifcpresentationdefinitionresource/lexical/ifctextpath.htm"</t>
  </si>
  <si>
    <t>"/ifcstructuralelementsdomain/lexical/ifcsurfacefeaturetypeenum.htm"</t>
  </si>
  <si>
    <t>"/ifcsharedbldgelements/lexical/ifcchimneytypeenum.htm"</t>
  </si>
  <si>
    <t>"/ifcsharedbldgelements/lexical/ifccoveringtypeenum.htm"</t>
  </si>
  <si>
    <t>"/ifcgeometryresource/lexical/ifctransitioncode.htm"</t>
  </si>
  <si>
    <t>"/ifcsharedbldgelements/lexical/ifccolumntypeenum.htm"</t>
  </si>
  <si>
    <t>"/ifchvacdomain/lexical/ifccompressortypeenum.htm"</t>
  </si>
  <si>
    <t>"/ifcstructuralanalysisdomain/lexical/ifcprojectedortruelengthenum.htm"</t>
  </si>
  <si>
    <t>"/ifchvacdomain/lexical/ifccondensertypeenum.htm"</t>
  </si>
  <si>
    <t>"/ifcelectricaldomain/lexical/ifccablefittingtypeenum.htm"</t>
  </si>
  <si>
    <t>"/ifchvacdomain/lexical/ifcductfittingtypeenum.htm"</t>
  </si>
  <si>
    <t>"/ifcelectricaldomain/lexical/ifcmotorconnectiontypeenum.htm"</t>
  </si>
  <si>
    <t>"/ifchvacdomain/lexical/ifcpipefittingtypeenum.htm"</t>
  </si>
  <si>
    <t>"/ifcelectricaldomain/lexical/ifccablecarrierfittingtypeenum.htm"</t>
  </si>
  <si>
    <t>"/ifcsharedbldgelements/lexical/ifcconnectiontypeenum.htm"</t>
  </si>
  <si>
    <t>"/ifcexternalreferenceresource/lexical/ifcdocumentconfidentialityenum.htm"</t>
  </si>
  <si>
    <t>"/ifcarchitecturedomain/lexical/ifcdoorstyleconstructionenum.htm"</t>
  </si>
  <si>
    <t>"/ifcbuildingcontrolsdomain/lexical/ifccontrollertypeenum.htm"</t>
  </si>
  <si>
    <t>"/ifcelectricaldomain/lexical/ifcelectrictimecontroltypeenum.htm"</t>
  </si>
  <si>
    <t>"/ifcsharedbldgelements/lexical/ifcrailingtypeenum.htm"</t>
  </si>
  <si>
    <t>"/ifcprocessextension/lexical/ifcworkscheduletypeenum.htm"</t>
  </si>
  <si>
    <t>"/ifcpresentationorganizationresource/lexical/ifclightdistributioncurveenum.htm"</t>
  </si>
  <si>
    <t>"/ifcsharedmgmtelements/lexical/ifccostitemtypeenum.htm"</t>
  </si>
  <si>
    <t>"/ifcsharedbldgserviceelements/lexical/ifcflowdirectionenum.htm"</t>
  </si>
  <si>
    <t>"/ifcmaterialresource/lexical/ifclayersetdirectionenum.htm"</t>
  </si>
  <si>
    <t>"/ifcelectricaldomain/lexical/ifcelectricflowstoragedevicetypeenum.htm"</t>
  </si>
  <si>
    <t>"/ifcelectricaldomain/lexical/ifcswitchingdevicetypeenum.htm"</t>
  </si>
  <si>
    <t>"/ifcelectricaldomain/lexical/ifcprotectivedevicetypeenum.htm"</t>
  </si>
  <si>
    <t>"/ifcelectricaldomain/lexical/ifcprotectivedevicetrippingunittypeenum.htm"</t>
  </si>
  <si>
    <t>"/ifcsharedbldgelements/lexical/ifcshadingdevicetypeenum.htm"</t>
  </si>
  <si>
    <t>"/ifchvacdomain/lexical/ifcmedicaldevicetypeenum.htm"</t>
  </si>
  <si>
    <t>"/ifcelectricaldomain/lexical/ifcsolardevicetypeenum.htm"</t>
  </si>
  <si>
    <t>"/ifcdatetimeresource/lexical/ifctaskdurationenum.htm"</t>
  </si>
  <si>
    <t>"/ifcproductextension/lexical/ifcgridtypeenum.htm"</t>
  </si>
  <si>
    <t>"/ifcsharedbldgserviceelements/lexical/ifcdistributionchamberelementtypeenum.htm"</t>
  </si>
  <si>
    <t>"/ifcproductextension/lexical/ifcopeningelementtypeenum.htm"</t>
  </si>
  <si>
    <t>"/ifcproductextension/lexical/ifcelementcompositionenum.htm"</t>
  </si>
  <si>
    <t>"/ifcsharedcomponentelements/lexical/ifcbuildingelementparttypeenum.htm"</t>
  </si>
  <si>
    <t>"/ifcbuildingcontrolsdomain/lexical/ifcunitarycontrolelementtypeenum.htm"</t>
  </si>
  <si>
    <t>"/ifcsharedfacilitieselements/lexical/ifcsystemfurnitureelementtypeenum.htm"</t>
  </si>
  <si>
    <t>"/ifcproductextension/lexical/ifcprojectionelementtypeenum.htm"</t>
  </si>
  <si>
    <t>"/ifcproductextension/lexical/ifctransportelementtypeenum.htm"</t>
  </si>
  <si>
    <t>"/ifcproductextension/lexical/ifcexternalspatialelementtypeenum.htm"</t>
  </si>
  <si>
    <t>"/ifcproductextension/lexical/ifcgeographicelementtypeenum.htm"</t>
  </si>
  <si>
    <t>"/ifcelectricaldomain/lexical/ifcelectricappliancetypeenum.htm"</t>
  </si>
  <si>
    <t>"/ifcactorresource/lexical/ifcaddresstypeenum.htm"</t>
  </si>
  <si>
    <t>"/ifchvacdomain/lexical/ifcunitaryequipmenttypeenum.htm"</t>
  </si>
  <si>
    <t>"/ifcsharedbldgelements/lexical/ifcstairtypeenum.htm"</t>
  </si>
  <si>
    <t>"/ifcsharedbldgelements/lexical/ifcstairflighttypeenum.htm"</t>
  </si>
  <si>
    <t>"/ifcstructuralelementsdomain/lexical/ifcpileconstructionenum.htm"</t>
  </si>
  <si>
    <t>"/ifcstructuralelementsdomain/lexical/ifcpiletypeenum.htm"</t>
  </si>
  <si>
    <t>"/ifcutilityresource/lexical/ifcstateenum.htm"</t>
  </si>
  <si>
    <t>"/ifcpresentationappearanceresource/lexical/ifcnullstyle.htm"</t>
  </si>
  <si>
    <t>"/ifcarchitecturedomain/lexical/ifcwindowstyleconstructionenum.htm"</t>
  </si>
  <si>
    <t>"/ifchvacdomain/lexical/ifcevaporatortypeenum.htm"</t>
  </si>
  <si>
    <t>"/ifcprocessextension/lexical/ifceventtypeenum.htm"</t>
  </si>
  <si>
    <t>"/ifcsharedbldgelements/lexical/ifcbeamtypeenum.htm"</t>
  </si>
  <si>
    <t>"/ifchvacdomain/lexical/ifctubebundletypeenum.htm"</t>
  </si>
  <si>
    <t>"/ifchvacdomain/lexical/ifcfiltertypeenum.htm"</t>
  </si>
  <si>
    <t>"/ifcproductextension/lexical/ifcphysicalorvirtualenum.htm"</t>
  </si>
  <si>
    <t>"/ifcsharedcomponentelements/lexical/ifcmechanicalfastenertypeenum.htm"</t>
  </si>
  <si>
    <t>"/ifcsharedcomponentelements/lexical/ifcfastenertypeenum.htm"</t>
  </si>
  <si>
    <t>"/ifcgeometryresource/lexical/ifcbsplinecurveform.htm"</t>
  </si>
  <si>
    <t>"/ifcgeometryresource/lexical/ifcbsplinesurfaceform.htm"</t>
  </si>
  <si>
    <t>"/ifcprocessextension/lexical/ifceventtriggertypeenum.htm"</t>
  </si>
  <si>
    <t>"/ifcelectricaldomain/lexical/ifcelectricgeneratortypeenum.htm"</t>
  </si>
  <si>
    <t>"/ifcrepresentationresource/lexical/ifcglobalorlocalenum.htm"</t>
  </si>
  <si>
    <t>"/ifcstructuralanalysisdomain/lexical/ifcloadgrouptypeenum.htm"</t>
  </si>
  <si>
    <t>"/ifccontrolextension/lexical/ifcperformancehistorytypeenum.htm"</t>
  </si>
  <si>
    <t>"/ifcbuildingcontrolsdomain/lexical/ifcflowinstrumenttypeenum.htm"</t>
  </si>
  <si>
    <t>"/ifcplumbingfireprotectiondomain/lexical/ifcinterceptortypeenum.htm"</t>
  </si>
  <si>
    <t>"/ifcproductextension/lexical/ifcinternalorexternalenum.htm"</t>
  </si>
  <si>
    <t>"/ifcpropertyresource/lexical/ifccurveinterpolationenum.htm"</t>
  </si>
  <si>
    <t>"/ifcsharedfacilitieselements/lexical/ifcinventorytypeenum.htm"</t>
  </si>
  <si>
    <t>"/ifchvacdomain/lexical/ifcvibrationisolatortypeenum.htm"</t>
  </si>
  <si>
    <t>"/ifcsharedbldgelements/lexical/ifcwindowtypeenum.htm"</t>
  </si>
  <si>
    <t>"/ifcsharedbldgelements/lexical/ifcwindowtypepartitioningenum.htm"</t>
  </si>
  <si>
    <t>"/ifcpresentationappearanceresource/lexical/ifcsurfaceside.htm"</t>
  </si>
  <si>
    <t>"/ifcsharedbldgelements/lexical/ifcslabtypeenum.htm"</t>
  </si>
  <si>
    <t>"/ifcelectricaldomain/lexical/ifclamptypeenum.htm"</t>
  </si>
  <si>
    <t>"/ifcproductextension/lexical/ifcassemblyplaceenum.htm"</t>
  </si>
  <si>
    <t>"/ifcelectricaldomain/lexical/ifclightfixturetypeenum.htm"</t>
  </si>
  <si>
    <t>"/ifcstructuralelementsdomain/lexical/ifcreinforcingmeshtypeenum.htm"</t>
  </si>
  <si>
    <t>"/ifchvacdomain/lexical/ifcflowmetertypeenum.htm"</t>
  </si>
  <si>
    <t>"/ifcsharedbldgelements/lexical/ifcmembertypeenum.htm"</t>
  </si>
  <si>
    <t>"/ifcstructuralanalysisdomain/lexical/ifcstructuralcurvemembertypeenum.htm"</t>
  </si>
  <si>
    <t>"/ifcstructuralanalysisdomain/lexical/ifcstructuralsurfacemembertypeenum.htm"</t>
  </si>
  <si>
    <t>"/ifcconstraintresource/lexical/ifcobjectiveenum.htm"</t>
  </si>
  <si>
    <t>"/ifcpresentationappearanceresource/lexical/ifcreflectancemethodenum.htm"</t>
  </si>
  <si>
    <t>"/ifcsharedfacilitieselements/lexical/ifcfurnituretypeenum.htm"</t>
  </si>
  <si>
    <t>"/ifcstructuralanalysisdomain/lexical/ifcanalysismodeltypeenum.htm"</t>
  </si>
  <si>
    <t>"/ifckernel/lexical/ifcpropertysettemplatetypeenum.htm"</t>
  </si>
  <si>
    <t>"/ifckernel/lexical/ifcsimplepropertytemplatetypeenum.htm"</t>
  </si>
  <si>
    <t>"/ifcproductextension/lexical/ifcelementassemblytypeenum.htm"</t>
  </si>
  <si>
    <t>"/ifchvacdomain/lexical/ifcenginetypeenum.htm"</t>
  </si>
  <si>
    <t>"/ifcelectricaldomain/lexical/ifcelectricmotortypeenum.htm"</t>
  </si>
  <si>
    <t>"/ifcgeometryresource/lexical/ifcknottype.htm"</t>
  </si>
  <si>
    <t>"/ifckernel/lexical/ifcobjecttypeenum.htm"</t>
  </si>
  <si>
    <t>"/ifcsharedfacilitieselements/lexical/ifcoccupanttypeenum.htm"</t>
  </si>
  <si>
    <t>"/ifcarchitecturedomain/lexical/ifcpermeablecoveringoperationenum.htm"</t>
  </si>
  <si>
    <t>"/ifcarchitecturedomain/lexical/ifcwindowstyleoperationenum.htm"</t>
  </si>
  <si>
    <t>"/ifcsharedbldgelements/lexical/ifcdoortypeoperationenum.htm"</t>
  </si>
  <si>
    <t>"/ifcarchitecturedomain/lexical/ifcwindowpaneloperationenum.htm"</t>
  </si>
  <si>
    <t>"/ifcarchitecturedomain/lexical/ifcdoorpaneloperationenum.htm"</t>
  </si>
  <si>
    <t>"/ifcarchitecturedomain/lexical/ifcdoorstyleoperationenum.htm"</t>
  </si>
  <si>
    <t>"/ifccostresource/lexical/ifcarithmeticoperatorenum.htm"</t>
  </si>
  <si>
    <t>"/ifcgeometricmodelresource/lexical/ifcbooleanoperator.htm"</t>
  </si>
  <si>
    <t>"/ifcconstraintresource/lexical/ifclogicaloperatorenum.htm"</t>
  </si>
  <si>
    <t>"/ifcsharedmgmtelements/lexical/ifcprojectordertypeenum.htm"</t>
  </si>
  <si>
    <t>"/ifcstructuralanalysisdomain/lexical/ifcactionsourcetypeenum.htm"</t>
  </si>
  <si>
    <t>"/ifcpresentationorganizationresource/lexical/ifclightemissionsourceenum.htm"</t>
  </si>
  <si>
    <t>"/ifcdatetimeresource/lexical/ifcdataoriginenum.htm"</t>
  </si>
  <si>
    <t>"/ifcsharedbldgelements/lexical/ifcwalltypeenum.htm"</t>
  </si>
  <si>
    <t>"/ifcsharedbldgelements/lexical/ifccurtainwalltypeenum.htm"</t>
  </si>
  <si>
    <t>"/ifcprofileresource/lexical/ifcprofiletypeenum.htm"</t>
  </si>
  <si>
    <t>"/ifcconstraintresource/lexical/ifcbenchmarkenum.htm"</t>
  </si>
  <si>
    <t>"/ifcsharedmgmtelements/lexical/ifcpermittypeenum.htm"</t>
  </si>
  <si>
    <t>"/ifcsharedbldgelements/lexical/ifcplatetypeenum.htm"</t>
  </si>
  <si>
    <t>"/ifcprocessextension/lexical/ifcworkplantypeenum.htm"</t>
  </si>
  <si>
    <t>"/ifcsharedbldgelements/lexical/ifcdoortypeenum.htm"</t>
  </si>
  <si>
    <t>"/ifcsharedbldgserviceelements/lexical/ifcdistributionporttypeenum.htm"</t>
  </si>
  <si>
    <t>"/ifcarchitecturedomain/lexical/ifcwindowpanelpositionenum.htm"</t>
  </si>
  <si>
    <t>"/ifcarchitecturedomain/lexical/ifcdoorpanelpositionenum.htm"</t>
  </si>
  <si>
    <t>"/ifcgeometryresource/lexical/ifctrimmingpreference.htm"</t>
  </si>
  <si>
    <t>"/ifcprocessextension/lexical/ifcproceduretypeenum.htm"</t>
  </si>
  <si>
    <t>"/ifcrepresentationresource/lexical/ifcgeometricprojectionenum.htm"</t>
  </si>
  <si>
    <t>"/ifcsharedbldgelements/lexical/ifcbuildingelementproxytypeenum.htm"</t>
  </si>
  <si>
    <t>"/ifcelectricaldomain/lexical/ifcelectricdistributionboardtypeenum.htm"</t>
  </si>
  <si>
    <t>"/ifchvacdomain/lexical/ifcburnertypeenum.htm"</t>
  </si>
  <si>
    <t>"/ifcsharedbldgelements/lexical/ifcramptypeenum.htm"</t>
  </si>
  <si>
    <t>"/ifcsharedbldgelements/lexical/ifcrampflighttypeenum.htm"</t>
  </si>
  <si>
    <t>"/ifcdatetimeresource/lexical/ifcrecurrencetypeenum.htm"</t>
  </si>
  <si>
    <t>"/ifchvacdomain/lexical/ifcairtoairheatrecoverytypeenum.htm"</t>
  </si>
  <si>
    <t>"/ifcconstructionmgmtdomain/lexical/ifcconstructionequipmentresourcetypeenum.htm"</t>
  </si>
  <si>
    <t>"/ifcconstructionmgmtdomain/lexical/ifclaborresourcetypeenum.htm"</t>
  </si>
  <si>
    <t>"/ifcconstructionmgmtdomain/lexical/ifcconstructionproductresourcetypeenum.htm"</t>
  </si>
  <si>
    <t>"/ifcconstructionmgmtdomain/lexical/ifccrewresourcetypeenum.htm"</t>
  </si>
  <si>
    <t>"/ifcstructuralelementsdomain/lexical/ifcvoidingfeaturetypeenum.htm"</t>
  </si>
  <si>
    <t>"/ifcconstructionmgmtdomain/lexical/ifcconstructionmaterialresourcetypeenum.htm"</t>
  </si>
  <si>
    <t>"/ifcconstructionmgmtdomain/lexical/ifcsubcontractresourcetypeenum.htm"</t>
  </si>
  <si>
    <t>"/ifchvacdomain/lexical/ifcevaporativecoolertypeenum.htm"</t>
  </si>
  <si>
    <t>"/ifcgeometryresource/lexical/ifcpreferredsurfacecurverepresentation.htm"</t>
  </si>
  <si>
    <t>"/ifchvacdomain/lexical/ifcchillertypeenum.htm"</t>
  </si>
  <si>
    <t>"/ifcconstraintresource/lexical/ifcconstraintenum.htm"</t>
  </si>
  <si>
    <t>"/ifcactorresource/lexical/ifcroleenum.htm"</t>
  </si>
  <si>
    <t>"/ifcprofileresource/lexical/ifcreinforcingbarroleenum.htm"</t>
  </si>
  <si>
    <t>"/ifcstructuralelementsdomain/lexical/ifcfootingtypeenum.htm"</t>
  </si>
  <si>
    <t>"/ifcprofileresource/lexical/ifcsectiontypeenum.htm"</t>
  </si>
  <si>
    <t>"/ifcelectricaldomain/lexical/ifccablesegmenttypeenum.htm"</t>
  </si>
  <si>
    <t>"/ifchvacdomain/lexical/ifcductsegmenttypeenum.htm"</t>
  </si>
  <si>
    <t>"/ifcelectricaldomain/lexical/ifccablecarriersegmenttypeenum.htm"</t>
  </si>
  <si>
    <t>"/ifchvacdomain/lexical/ifcpipesegmenttypeenum.htm"</t>
  </si>
  <si>
    <t>"/ifcbuildingcontrolsdomain/lexical/ifcsensortypeenum.htm"</t>
  </si>
  <si>
    <t>"/ifcmaterialresource/lexical/ifcdirectionsenseenum.htm"</t>
  </si>
  <si>
    <t>"/ifcprocessextension/lexical/ifcsequenceenum.htm"</t>
  </si>
  <si>
    <t>"/ifcdatetimeresource/lexical/ifctimeseriesdatatypeenum.htm"</t>
  </si>
  <si>
    <t>"/ifchvacdomain/lexical/ifccoiltypeenum.htm"</t>
  </si>
  <si>
    <t>"/ifchvacdomain/lexical/ifcductsilencertypeenum.htm"</t>
  </si>
  <si>
    <t>"/ifcsharedbldgelements/lexical/ifcbuildingsystemtypeenum.htm"</t>
  </si>
  <si>
    <t>"/ifcsharedbldgserviceelements/lexical/ifcdistributionsystemenum.htm"</t>
  </si>
  <si>
    <t>"/ifcsharedmgmtelements/lexical/ifcactionrequesttypeenum.htm"</t>
  </si>
  <si>
    <t>"/ifcexternalreferenceresource/lexical/ifcdocumentstatusenum.htm"</t>
  </si>
  <si>
    <t>"/ifcsharedmgmtelements/lexical/ifccostscheduletypeenum.htm"</t>
  </si>
  <si>
    <t>"/ifchvacdomain/lexical/ifctanktypeenum.htm"</t>
  </si>
  <si>
    <t>"/ifcprocessextension/lexical/ifctasktypeenum.htm"</t>
  </si>
  <si>
    <t>"/ifcsharedbldgelements/lexical/ifcrooftypeenum.htm"</t>
  </si>
  <si>
    <t>"/ifcstructuralelementsdomain/lexical/ifctendontypeenum.htm"</t>
  </si>
  <si>
    <t>"/ifcstructuralanalysisdomain/lexical/ifcanalysistheorytypeenum.htm"</t>
  </si>
  <si>
    <t>"/ifchvacdomain/lexical/ifcairterminaltypeenum.htm"</t>
  </si>
  <si>
    <t>"/ifcplumbingfireprotectiondomain/lexical/ifcstackterminaltypeenum.htm"</t>
  </si>
  <si>
    <t>"/ifcplumbingfireprotectiondomain/lexical/ifcwasteterminaltypeenum.htm"</t>
  </si>
  <si>
    <t>"/ifcplumbingfireprotectiondomain/lexical/ifcfiresuppressionterminaltypeenum.htm"</t>
  </si>
  <si>
    <t>"/ifcplumbingfireprotectiondomain/lexical/ifcsanitaryterminaltypeenum.htm"</t>
  </si>
  <si>
    <t>"/ifcelectricaldomain/lexical/ifcoutlettypeenum.htm"</t>
  </si>
  <si>
    <t>"/ifchvacdomain/lexical/ifccoolingtowertypeenum.htm"</t>
  </si>
  <si>
    <t>"/ifcelectricaldomain/lexical/ifctransformertypeenum.htm"</t>
  </si>
  <si>
    <t>"/ifchvacdomain/lexical/ifcheatexchangertypeenum.htm"</t>
  </si>
  <si>
    <t>"/ifchvacdomain/lexical/ifchumidifiertypeenum.htm"</t>
  </si>
  <si>
    <t>"/ifcmeasureresource/lexical/ifcunitenum.htm"</t>
  </si>
  <si>
    <t>"/ifcmeasureresource/lexical/ifcderivedunitenum.htm"</t>
  </si>
  <si>
    <t>"/ifcmeasureresource/lexical/ifcsiunitname.htm"</t>
  </si>
  <si>
    <t>"/ifcmeasureresource/lexical/ifcsiprefix.htm"</t>
  </si>
  <si>
    <t>"/ifchvacdomain/lexical/ifcvalvetypeenum.htm"</t>
  </si>
  <si>
    <t>"/ifchvacdomain/lexical/ifcfantypeenum.htm"</t>
  </si>
  <si>
    <t>"/ifchvacdomain/lexical/ifccooledbeamtypeenum.htm"</t>
  </si>
  <si>
    <t>"/ifcproductextension/lexical/ifcspatialzonetypeenum.htm"</t>
  </si>
  <si>
    <t>"/ifcactorresource/lexical/ifcactorselect.htm"</t>
  </si>
  <si>
    <t>"/ifcstructuralanalysisdomain/lexical/ifcstructuralactivityassignmentselect.htm"</t>
  </si>
  <si>
    <t>"/ifcpresentationappearanceresource/lexical/ifcstyleassignmentselect.htm"</t>
  </si>
  <si>
    <t>"/ifcexternalreferenceresource/lexical/ifclibraryselect.htm"</t>
  </si>
  <si>
    <t>"/ifcexternalreferenceresource/lexical/ifcclassificationselect.htm"</t>
  </si>
  <si>
    <t>"/ifcgeometricmodelresource/lexical/ifcgeometricsetselect.htm"</t>
  </si>
  <si>
    <t>"/ifcpresentationappearanceresource/lexical/ifccolour.htm"</t>
  </si>
  <si>
    <t>"/ifcpresentationappearanceresource/lexical/ifccolourorfactor.htm"</t>
  </si>
  <si>
    <t>"/ifcgeometryresource/lexical/ifctrimmingselect.htm"</t>
  </si>
  <si>
    <t>"/ifcgeometricmodelresource/lexical/ifccsgselect.htm"</t>
  </si>
  <si>
    <t>"/ifcgeometryresource/lexical/ifccurveonsurface.htm"</t>
  </si>
  <si>
    <t>"/ifcgeometricconstraintresource/lexical/ifccurveoredgecurve.htm"</t>
  </si>
  <si>
    <t>"/ifckernel/lexical/ifcpropertysetdefinitionselect.htm"</t>
  </si>
  <si>
    <t>"/ifckernel/lexical/ifcdefinitionselect.htm"</t>
  </si>
  <si>
    <t>"/ifcpresentationappearanceresource/lexical/ifcspecularhighlightselect.htm"</t>
  </si>
  <si>
    <t>"/ifcgeometricconstraintresource/lexical/ifcgridplacementdirectionselect.htm"</t>
  </si>
  <si>
    <t>"/ifcpresentationappearanceresource/lexical/ifchatchlinedistanceselect.htm"</t>
  </si>
  <si>
    <t>"/ifcexternalreferenceresource/lexical/ifcdocumentselect.htm"</t>
  </si>
  <si>
    <t>"/ifcpresentationappearanceresource/lexical/ifcsurfacestyleelementselect.htm"</t>
  </si>
  <si>
    <t>"/ifcpresentationappearanceresource/lexical/ifcfillstyleselect.htm"</t>
  </si>
  <si>
    <t>"/ifcpresentationappearanceresource/lexical/ifccurvefontorscaledcurvefontselect.htm"</t>
  </si>
  <si>
    <t>"/ifcpresentationorganizationresource/lexical/ifclightdistributiondatasourceselect.htm"</t>
  </si>
  <si>
    <t>"/ifcpresentationappearanceresource/lexical/ifctextfontselect.htm"</t>
  </si>
  <si>
    <t>"/ifcpresentationappearanceresource/lexical/ifccurvestylefontselect.htm"</t>
  </si>
  <si>
    <t>"/ifcproductextension/lexical/ifcspaceboundaryselect.htm"</t>
  </si>
  <si>
    <t>"/ifcgeometryresource/lexical/ifcsegmentindexselect.htm"</t>
  </si>
  <si>
    <t>"/ifcpresentationorganizationresource/lexical/ifclayereditem.htm"</t>
  </si>
  <si>
    <t>"/ifcmaterialresource/lexical/ifcmaterialselect.htm"</t>
  </si>
  <si>
    <t>"/ifcstructuralloadresource/lexical/ifcmodulusofrotationalsubgradereactionselect.htm"</t>
  </si>
  <si>
    <t>"/ifcstructuralloadresource/lexical/ifcmodulusoftranslationalsubgradereactionselect.htm"</t>
  </si>
  <si>
    <t>"/ifcstructuralloadresource/lexical/ifcmodulusofsubgradereactionselect.htm"</t>
  </si>
  <si>
    <t>"/ifcexternalreferenceresource/lexical/ifcresourceobjectselect.htm"</t>
  </si>
  <si>
    <t>"/ifcgeometricmodelresource/lexical/ifcbooleanoperand.htm"</t>
  </si>
  <si>
    <t>"/ifcstructuralelementsdomain/lexical/ifcbendingparameterselect.htm"</t>
  </si>
  <si>
    <t>"/ifcgeometricconstraintresource/lexical/ifcpointorvertexpoint.htm"</t>
  </si>
  <si>
    <t>"/ifcgeometryresource/lexical/ifcaxis2placement.htm"</t>
  </si>
  <si>
    <t>"/ifckernel/lexical/ifcprocessselect.htm"</t>
  </si>
  <si>
    <t>"/ifckernel/lexical/ifcproductselect.htm"</t>
  </si>
  <si>
    <t>"/ifckernel/lexical/ifcresourceselect.htm"</t>
  </si>
  <si>
    <t>"/ifcexternalreferenceresource/lexical/ifcclassificationreferenceselect.htm"</t>
  </si>
  <si>
    <t>"/ifcpropertyresource/lexical/ifcobjectreferenceselect.htm"</t>
  </si>
  <si>
    <t>"/ifcrepresentationresource/lexical/ifcproductrepresentationselect.htm"</t>
  </si>
  <si>
    <t>"/ifcstructuralloadresource/lexical/ifcwarpingstiffnessselect.htm"</t>
  </si>
  <si>
    <t>"/ifcstructuralloadresource/lexical/ifcrotationalstiffnessselect.htm"</t>
  </si>
  <si>
    <t>"/ifcstructuralloadresource/lexical/ifctranslationalstiffnessselect.htm"</t>
  </si>
  <si>
    <t>"/ifcpresentationappearanceresource/lexical/ifcpresentationstyleselect.htm"</t>
  </si>
  <si>
    <t>"/ifcrepresentationresource/lexical/ifccoordinatereferencesystemselect.htm"</t>
  </si>
  <si>
    <t>"/ifctopologyresource/lexical/ifcshell.htm"</t>
  </si>
  <si>
    <t>"/ifcgeometricconstraintresource/lexical/ifcsolidorshell.htm"</t>
  </si>
  <si>
    <t>"/ifcgeometricconstraintresource/lexical/ifcsurfaceorfacesurface.htm"</t>
  </si>
  <si>
    <t>"/ifcpresentationappearanceresource/lexical/ifcsizeselect.htm"</t>
  </si>
  <si>
    <t>"/ifcdatetimeresource/lexical/ifctimeorratioselect.htm"</t>
  </si>
  <si>
    <t>"/ifcmeasureresource/lexical/ifcunit.htm"</t>
  </si>
  <si>
    <t>"/ifcmeasureresource/lexical/ifcvalue.htm"</t>
  </si>
  <si>
    <t>"/ifccostresource/lexical/ifcappliedvalueselect.htm"</t>
  </si>
  <si>
    <t>"/ifcconstraintresource/lexical/ifcmetricvalueselect.htm"</t>
  </si>
  <si>
    <t>"/ifcmeasureresource/lexical/ifcmeasurevalue.htm"</t>
  </si>
  <si>
    <t>"/ifcmeasureresource/lexical/ifcderivedmeasurevalue.htm"</t>
  </si>
  <si>
    <t>"/ifcmeasureresource/lexical/ifcsimplevalue.htm"</t>
  </si>
  <si>
    <t>"/ifcgeometryresource/lexical/ifcvectorordirection.htm"</t>
  </si>
  <si>
    <t>"/ifcproductextension/lexical/ifcopeningstandardcase.htm"</t>
  </si>
  <si>
    <t>"/ifcsharedbldgelements/lexical/ifccovering.htm"</t>
  </si>
  <si>
    <t>"/ifcsharedbldgelements/lexical/ifccoveringtype.htm"</t>
  </si>
  <si>
    <t>"/ifcsharedcomponentelements/lexical/ifcdiscreteaccessory.htm"</t>
  </si>
  <si>
    <t>"/ifcsharedcomponentelements/lexical/ifcdiscreteaccessorytype.htm"</t>
  </si>
  <si>
    <t>"/ifcproductextension/lexical/ifcfeatureelementaddition.htm"</t>
  </si>
  <si>
    <t>"/ifcbuildingcontrolsdomain/lexical/ifcalarm.htm"</t>
  </si>
  <si>
    <t>"/ifcbuildingcontrolsdomain/lexical/ifcalarmtype.htm"</t>
  </si>
  <si>
    <t>"/ifchvacdomain/lexical/ifcdamper.htm"</t>
  </si>
  <si>
    <t>"/ifchvacdomain/lexical/ifcdampertype.htm"</t>
  </si>
  <si>
    <t>"/ifcstructuralloadresource/lexical/ifcstructuralload.htm"</t>
  </si>
  <si>
    <t>"/ifcstructuralanalysisdomain/lexical/ifcstructuralactivity.htm"</t>
  </si>
  <si>
    <t>"/ifcstructuralanalysisdomain/lexical/ifcstructuralaction.htm"</t>
  </si>
  <si>
    <t>"/ifcstructuralanalysisdomain/lexical/ifcstructuralcurveaction.htm"</t>
  </si>
  <si>
    <t>"/ifcstructuralanalysisdomain/lexical/ifcstructurallinearaction.htm"</t>
  </si>
  <si>
    <t>"/ifcstructuralanalysisdomain/lexical/ifcstructuralpointaction.htm"</t>
  </si>
  <si>
    <t>"/ifcstructuralanalysisdomain/lexical/ifcstructuralplanaraction.htm"</t>
  </si>
  <si>
    <t>"/ifcstructuralanalysisdomain/lexical/ifcstructuralsurfaceaction.htm"</t>
  </si>
  <si>
    <t>"/ifcstructuralanalysisdomain/lexical/ifcstructuralloadcase.htm"</t>
  </si>
  <si>
    <t>"/ifcstructuralloadresource/lexical/ifcstructuralloadconfiguration.htm"</t>
  </si>
  <si>
    <t>"/ifcstructuralloadresource/lexical/ifcstructuralloadlinearforce.htm"</t>
  </si>
  <si>
    <t>"/ifcstructuralloadresource/lexical/ifcstructuralloadsingleforce.htm"</t>
  </si>
  <si>
    <t>"/ifcstructuralloadresource/lexical/ifcstructuralloadsingledisplacement.htm"</t>
  </si>
  <si>
    <t>"/ifcstructuralloadresource/lexical/ifcstructuralloadsingledisplacementdistortion.htm"</t>
  </si>
  <si>
    <t>"/ifcstructuralloadresource/lexical/ifcstructuralloadsingleforcewarping.htm"</t>
  </si>
  <si>
    <t>"/ifcstructuralloadresource/lexical/ifcstructuralloadplanarforce.htm"</t>
  </si>
  <si>
    <t>"/ifcstructuralloadresource/lexical/ifcstructuralloadstatic.htm"</t>
  </si>
  <si>
    <t>"/ifcstructuralanalysisdomain/lexical/ifcstructuralloadgroup.htm"</t>
  </si>
  <si>
    <t>"/ifcstructuralloadresource/lexical/ifcstructuralloadorresult.htm"</t>
  </si>
  <si>
    <t>"/ifcstructuralloadresource/lexical/ifcboundaryedgecondition.htm"</t>
  </si>
  <si>
    <t>"/ifcstructuralloadresource/lexical/ifcfailureconnectioncondition.htm"</t>
  </si>
  <si>
    <t>"/ifcstructuralloadresource/lexical/ifcstructuralconnectioncondition.htm"</t>
  </si>
  <si>
    <t>"/ifcstructuralloadresource/lexical/ifcslippageconnectioncondition.htm"</t>
  </si>
  <si>
    <t>"/ifcstructuralloadresource/lexical/ifcboundarycondition.htm"</t>
  </si>
  <si>
    <t>"/ifcstructuralloadresource/lexical/ifcboundaryfacecondition.htm"</t>
  </si>
  <si>
    <t>"/ifcstructuralloadresource/lexical/ifcboundarynodecondition.htm"</t>
  </si>
  <si>
    <t>"/ifcstructuralloadresource/lexical/ifcboundarynodeconditionwarping.htm"</t>
  </si>
  <si>
    <t>"/ifcstructuralanalysisdomain/lexical/ifcstructuralcurveconnection.htm"</t>
  </si>
  <si>
    <t>"/ifcstructuralanalysisdomain/lexical/ifcstructuralcurvemember.htm"</t>
  </si>
  <si>
    <t>"/ifcstructuralanalysisdomain/lexical/ifcstructuralanalysismodel.htm"</t>
  </si>
  <si>
    <t>"/ifcstructuralanalysisdomain/lexical/ifcstructuralreaction.htm"</t>
  </si>
  <si>
    <t>"/ifcstructuralanalysisdomain/lexical/ifcstructuralcurvereaction.htm"</t>
  </si>
  <si>
    <t>"/ifcstructuralanalysisdomain/lexical/ifcstructuralpointreaction.htm"</t>
  </si>
  <si>
    <t>"/ifcstructuralanalysisdomain/lexical/ifcstructuralsurfacereaction.htm"</t>
  </si>
  <si>
    <t>"/ifcstructuralloadresource/lexical/ifcstructuralloadtemperature.htm"</t>
  </si>
  <si>
    <t>"/ifcstructuralanalysisdomain/lexical/ifcstructuralcurvemembervarying.htm"</t>
  </si>
  <si>
    <t>"/ifcstructuralanalysisdomain/lexical/ifcstructuralsurfacemembervarying.htm"</t>
  </si>
  <si>
    <t>"/ifcstructuralelementsdomain/lexical/ifctendonanchor.htm"</t>
  </si>
  <si>
    <t>"/ifcstructuralelementsdomain/lexical/ifctendonanchortype.htm"</t>
  </si>
  <si>
    <t>"/ifcproductextension/lexical/ifcbuildingstorey.htm"</t>
  </si>
  <si>
    <t>"/ifcelectricaldomain/lexical/ifcaudiovisualappliance.htm"</t>
  </si>
  <si>
    <t>"/ifcelectricaldomain/lexical/ifcaudiovisualappliancetype.htm"</t>
  </si>
  <si>
    <t>"/ifcelectricaldomain/lexical/ifccommunicationsappliance.htm"</t>
  </si>
  <si>
    <t>"/ifcelectricaldomain/lexical/ifccommunicationsappliancetype.htm"</t>
  </si>
  <si>
    <t>"/ifcutilityresource/lexical/ifcapplication.htm"</t>
  </si>
  <si>
    <t>"/ifcapprovalresource/lexical/ifcapproval.htm"</t>
  </si>
  <si>
    <t>"/ifchvacdomain/lexical/ifcspaceheater.htm"</t>
  </si>
  <si>
    <t>"/ifchvacdomain/lexical/ifcspaceheatertype.htm"</t>
  </si>
  <si>
    <t>"/ifcgeometricmodelresource/lexical/ifcrevolvedareasolid.htm"</t>
  </si>
  <si>
    <t>"/ifcgeometricmodelresource/lexical/ifcrevolvedareasolidtapered.htm"</t>
  </si>
  <si>
    <t>"/ifcgeometricmodelresource/lexical/ifcsweptareasolid.htm"</t>
  </si>
  <si>
    <t>"/ifcgeometricmodelresource/lexical/ifcextrudedareasolid.htm"</t>
  </si>
  <si>
    <t>"/ifcgeometricmodelresource/lexical/ifcextrudedareasolidtapered.htm"</t>
  </si>
  <si>
    <t>"/ifcsharedfacilitieselements/lexical/ifcasset.htm"</t>
  </si>
  <si>
    <t>"/ifckernel/lexical/ifcactor.htm"</t>
  </si>
  <si>
    <t>"/ifcpresentationorganizationresource/lexical/ifcpresentationlayerassignment.htm"</t>
  </si>
  <si>
    <t>"/ifcbuildingcontrolsdomain/lexical/ifcactuator.htm"</t>
  </si>
  <si>
    <t>"/ifcbuildingcontrolsdomain/lexical/ifcactuatortype.htm"</t>
  </si>
  <si>
    <t>"/ifckernel/lexical/ifcprojectlibrary.htm"</t>
  </si>
  <si>
    <t>"/ifcgeometricmodelresource/lexical/ifcblock.htm"</t>
  </si>
  <si>
    <t>"/ifchvacdomain/lexical/ifcboiler.htm"</t>
  </si>
  <si>
    <t>"/ifchvacdomain/lexical/ifcboilertype.htm"</t>
  </si>
  <si>
    <t>"/ifchvacdomain/lexical/ifcpump.htm"</t>
  </si>
  <si>
    <t>"/ifchvacdomain/lexical/ifcpumptype.htm"</t>
  </si>
  <si>
    <t>"/ifcelectricaldomain/lexical/ifcjunctionbox.htm"</t>
  </si>
  <si>
    <t>"/ifcelectricaldomain/lexical/ifcjunctionboxtype.htm"</t>
  </si>
  <si>
    <t>"/ifctopologyresource/lexical/ifcopenshell.htm"</t>
  </si>
  <si>
    <t>"/ifctopologyresource/lexical/ifcclosedshell.htm"</t>
  </si>
  <si>
    <t>"/ifcsharedbldgelements/lexical/ifccolumnstandardcase.htm"</t>
  </si>
  <si>
    <t>"/ifcsharedbldgelements/lexical/ifcwindowstandardcase.htm"</t>
  </si>
  <si>
    <t>"/ifcsharedbldgelements/lexical/ifcmemberstandardcase.htm"</t>
  </si>
  <si>
    <t>"/ifcsharedbldgelements/lexical/ifcwallstandardcase.htm"</t>
  </si>
  <si>
    <t>"/ifcsharedbldgelements/lexical/ifcplatestandardcase.htm"</t>
  </si>
  <si>
    <t>"/ifcsharedbldgelements/lexical/ifcbeamstandardcase.htm"</t>
  </si>
  <si>
    <t>"/ifcsharedbldgelements/lexical/ifcchimney.htm"</t>
  </si>
  <si>
    <t>"/ifcsharedbldgelements/lexical/ifcchimneytype.htm"</t>
  </si>
  <si>
    <t>"/ifchvacdomain/lexical/ifcchiller.htm"</t>
  </si>
  <si>
    <t>"/ifchvacdomain/lexical/ifcchillertype.htm"</t>
  </si>
  <si>
    <t>"/ifcsharedbldgserviceelements/lexical/ifcdistributioncircuit.htm"</t>
  </si>
  <si>
    <t>"/ifcsharedbldgelements/lexical/ifcstair.htm"</t>
  </si>
  <si>
    <t>"/ifcsharedbldgelements/lexical/ifcstairtype.htm"</t>
  </si>
  <si>
    <t>"/ifcsharedbldgelements/lexical/ifcrampflight.htm"</t>
  </si>
  <si>
    <t>"/ifcsharedbldgelements/lexical/ifcrampflighttype.htm"</t>
  </si>
  <si>
    <t>"/ifcsharedbldgelements/lexical/ifcstairflight.htm"</t>
  </si>
  <si>
    <t>"/ifcsharedbldgelements/lexical/ifcstairflighttype.htm"</t>
  </si>
  <si>
    <t>"/ifcsharedbldgelements/lexical/ifcramp.htm"</t>
  </si>
  <si>
    <t>"/ifcsharedbldgelements/lexical/ifcramptype.htm"</t>
  </si>
  <si>
    <t>"/ifcexternalreferenceresource/lexical/ifcclassification.htm"</t>
  </si>
  <si>
    <t>"/ifcsharedbldgelements/lexical/ifccolumn.htm"</t>
  </si>
  <si>
    <t>"/ifcsharedbldgelements/lexical/ifccolumntype.htm"</t>
  </si>
  <si>
    <t>"/ifcsharedcomponentelements/lexical/ifcelementcomponent.htm"</t>
  </si>
  <si>
    <t>"/ifcproductextension/lexical/ifcelementquantity.htm"</t>
  </si>
  <si>
    <t>"/ifcsharedcomponentelements/lexical/ifcelementcomponenttype.htm"</t>
  </si>
  <si>
    <t>"/ifchvacdomain/lexical/ifccompressor.htm"</t>
  </si>
  <si>
    <t>"/ifchvacdomain/lexical/ifccompressortype.htm"</t>
  </si>
  <si>
    <t>"/ifchvacdomain/lexical/ifccondenser.htm"</t>
  </si>
  <si>
    <t>"/ifchvacdomain/lexical/ifccondensertype.htm"</t>
  </si>
  <si>
    <t>"/ifcproductextension/lexical/ifcport.htm"</t>
  </si>
  <si>
    <t>"/ifcsharedbldgserviceelements/lexical/ifcdistributionport.htm"</t>
  </si>
  <si>
    <t>"/ifcelectricaldomain/lexical/ifccablefitting.htm"</t>
  </si>
  <si>
    <t>"/ifcelectricaldomain/lexical/ifccablefittingtype.htm"</t>
  </si>
  <si>
    <t>"/ifchvacdomain/lexical/ifcductfitting.htm"</t>
  </si>
  <si>
    <t>"/ifchvacdomain/lexical/ifcductfittingtype.htm"</t>
  </si>
  <si>
    <t>"/ifcsharedbldgserviceelements/lexical/ifcflowfitting.htm"</t>
  </si>
  <si>
    <t>"/ifcsharedbldgserviceelements/lexical/ifcflowfittingtype.htm"</t>
  </si>
  <si>
    <t>"/ifcelectricaldomain/lexical/ifcmotorconnection.htm"</t>
  </si>
  <si>
    <t>"/ifchvacdomain/lexical/ifcpipefitting.htm"</t>
  </si>
  <si>
    <t>"/ifchvacdomain/lexical/ifcpipefittingtype.htm"</t>
  </si>
  <si>
    <t>"/ifcstructuralanalysisdomain/lexical/ifcstructuralconnection.htm"</t>
  </si>
  <si>
    <t>"/ifcstructuralanalysisdomain/lexical/ifcstructuralsurfaceconnection.htm"</t>
  </si>
  <si>
    <t>"/ifcstructuralanalysisdomain/lexical/ifcstructuralpointconnection.htm"</t>
  </si>
  <si>
    <t>"/ifcelectricaldomain/lexical/ifcmotorconnectiontype.htm"</t>
  </si>
  <si>
    <t>"/ifcelectricaldomain/lexical/ifccablecarrierfitting.htm"</t>
  </si>
  <si>
    <t>"/ifcelectricaldomain/lexical/ifccablecarrierfittingtype.htm"</t>
  </si>
  <si>
    <t>"/ifckernel/lexical/ifcpropertyset.htm"</t>
  </si>
  <si>
    <t>"/ifckernel/lexical/ifcpredefinedpropertyset.htm"</t>
  </si>
  <si>
    <t>"/ifckernel/lexical/ifcquantityset.htm"</t>
  </si>
  <si>
    <t>"/ifcquantityresource/lexical/ifcquantitycount.htm"</t>
  </si>
  <si>
    <t>"/ifckernel/lexical/ifccontext.htm"</t>
  </si>
  <si>
    <t>"/ifcrepresentationresource/lexical/ifcrepresentationcontext.htm"</t>
  </si>
  <si>
    <t>"/ifcrepresentationresource/lexical/ifcgeometricrepresentationcontext.htm"</t>
  </si>
  <si>
    <t>"/ifcbuildingcontrolsdomain/lexical/ifccontroller.htm"</t>
  </si>
  <si>
    <t>"/ifcsharedbldgserviceelements/lexical/ifcflowcontroller.htm"</t>
  </si>
  <si>
    <t>"/ifcsharedbldgserviceelements/lexical/ifcflowcontrollertype.htm"</t>
  </si>
  <si>
    <t>"/ifcelectricaldomain/lexical/ifcelectrictimecontrol.htm"</t>
  </si>
  <si>
    <t>"/ifcelectricaldomain/lexical/ifcelectrictimecontroltype.htm"</t>
  </si>
  <si>
    <t>"/ifcbuildingcontrolsdomain/lexical/ifccontrollertype.htm"</t>
  </si>
  <si>
    <t>"/ifckernel/lexical/ifccontrol.htm"</t>
  </si>
  <si>
    <t>"/ifcprocessextension/lexical/ifcworkcontrol.htm"</t>
  </si>
  <si>
    <t>"/ifcsharedbldgelements/lexical/ifcrailing.htm"</t>
  </si>
  <si>
    <t>"/ifcsharedbldgelements/lexical/ifcrailingtype.htm"</t>
  </si>
  <si>
    <t>"/ifckernel/lexical/ifcpropertysetdefinition.htm"</t>
  </si>
  <si>
    <t>"/ifckernel/lexical/ifcpropertytemplatedefinition.htm"</t>
  </si>
  <si>
    <t>"/ifckernel/lexical/ifcobjectdefinition.htm"</t>
  </si>
  <si>
    <t>"/ifcprofileresource/lexical/ifcprofiledef.htm"</t>
  </si>
  <si>
    <t>"/ifcprofileresource/lexical/ifcarbitraryopenprofiledef.htm"</t>
  </si>
  <si>
    <t>"/ifcprofileresource/lexical/ifcarbitraryprofiledefwithvoids.htm"</t>
  </si>
  <si>
    <t>"/ifcprofileresource/lexical/ifcarbitraryclosedprofiledef.htm"</t>
  </si>
  <si>
    <t>"/ifcprofileresource/lexical/ifcasymmetricishapeprofiledef.htm"</t>
  </si>
  <si>
    <t>"/ifcprofileresource/lexical/ifccshapeprofiledef.htm"</t>
  </si>
  <si>
    <t>"/ifcprofileresource/lexical/ifccircleprofiledef.htm"</t>
  </si>
  <si>
    <t>"/ifcprofileresource/lexical/ifccirclehollowprofiledef.htm"</t>
  </si>
  <si>
    <t>"/ifcprofileresource/lexical/ifcderivedprofiledef.htm"</t>
  </si>
  <si>
    <t>"/ifcprofileresource/lexical/ifccompositeprofiledef.htm"</t>
  </si>
  <si>
    <t>"/ifcprofileresource/lexical/ifcellipseprofiledef.htm"</t>
  </si>
  <si>
    <t>"/ifcprofileresource/lexical/ifcmirroredprofiledef.htm"</t>
  </si>
  <si>
    <t>"/ifcprofileresource/lexical/ifcishapeprofiledef.htm"</t>
  </si>
  <si>
    <t>"/ifcprofileresource/lexical/ifclshapeprofiledef.htm"</t>
  </si>
  <si>
    <t>"/ifcprofileresource/lexical/ifccenterlineprofiledef.htm"</t>
  </si>
  <si>
    <t>"/ifcprofileresource/lexical/ifcparameterizedprofiledef.htm"</t>
  </si>
  <si>
    <t>"/ifcprofileresource/lexical/ifcrectangleprofiledef.htm"</t>
  </si>
  <si>
    <t>"/ifcprofileresource/lexical/ifcroundedrectangleprofiledef.htm"</t>
  </si>
  <si>
    <t>"/ifcprofileresource/lexical/ifcrectanglehollowprofiledef.htm"</t>
  </si>
  <si>
    <t>"/ifcprofileresource/lexical/ifctshapeprofiledef.htm"</t>
  </si>
  <si>
    <t>"/ifcprofileresource/lexical/ifctrapeziumprofiledef.htm"</t>
  </si>
  <si>
    <t>"/ifcprofileresource/lexical/ifcushapeprofiledef.htm"</t>
  </si>
  <si>
    <t>"/ifcprofileresource/lexical/ifczshapeprofiledef.htm"</t>
  </si>
  <si>
    <t>"/ifcrepresentationresource/lexical/ifcproductdefinitionshape.htm"</t>
  </si>
  <si>
    <t>"/ifckernel/lexical/ifcpropertydefinition.htm"</t>
  </si>
  <si>
    <t>"/ifcpresentationorganizationresource/lexical/ifclightsourcedirectional.htm"</t>
  </si>
  <si>
    <t>"/ifcsharedbldgserviceelements/lexical/ifcflowstoragedevice.htm"</t>
  </si>
  <si>
    <t>"/ifcsharedbldgserviceelements/lexical/ifcflowstoragedevicetype.htm"</t>
  </si>
  <si>
    <t>"/ifcelectricaldomain/lexical/ifcelectricflowstoragedevice.htm"</t>
  </si>
  <si>
    <t>"/ifcelectricaldomain/lexical/ifcelectricflowstoragedevicetype.htm"</t>
  </si>
  <si>
    <t>"/ifcelectricaldomain/lexical/ifcswitchingdevice.htm"</t>
  </si>
  <si>
    <t>"/ifcelectricaldomain/lexical/ifcswitchingdevicetype.htm"</t>
  </si>
  <si>
    <t>"/ifcsharedbldgserviceelements/lexical/ifcenergyconversiondevice.htm"</t>
  </si>
  <si>
    <t>"/ifcsharedbldgserviceelements/lexical/ifcenergyconversiondevicetype.htm"</t>
  </si>
  <si>
    <t>"/ifcsharedbldgserviceelements/lexical/ifcflowmovingdevice.htm"</t>
  </si>
  <si>
    <t>"/ifcsharedbldgserviceelements/lexical/ifcflowmovingdevicetype.htm"</t>
  </si>
  <si>
    <t>"/ifcelectricaldomain/lexical/ifcprotectivedevice.htm"</t>
  </si>
  <si>
    <t>"/ifcelectricaldomain/lexical/ifcprotectivedevicetype.htm"</t>
  </si>
  <si>
    <t>"/ifcsharedbldgelements/lexical/ifcshadingdevice.htm"</t>
  </si>
  <si>
    <t>"/ifcsharedbldgelements/lexical/ifcshadingdevicetype.htm"</t>
  </si>
  <si>
    <t>"/ifcsharedbldgserviceelements/lexical/ifcflowtreatmentdevice.htm"</t>
  </si>
  <si>
    <t>"/ifcsharedbldgserviceelements/lexical/ifcflowtreatmentdevicetype.htm"</t>
  </si>
  <si>
    <t>"/ifchvacdomain/lexical/ifcmedicaldevice.htm"</t>
  </si>
  <si>
    <t>"/ifchvacdomain/lexical/ifcmedicaldevicetype.htm"</t>
  </si>
  <si>
    <t>"/ifcelectricaldomain/lexical/ifcsolardevice.htm"</t>
  </si>
  <si>
    <t>"/ifcelectricaldomain/lexical/ifcsolardevicetype.htm"</t>
  </si>
  <si>
    <t>"/ifcproductextension/lexical/ifcbuilding.htm"</t>
  </si>
  <si>
    <t>"/ifcproductextension/lexical/ifcgrid.htm"</t>
  </si>
  <si>
    <t>"/ifcgeometricconstraintresource/lexical/ifcgridaxis.htm"</t>
  </si>
  <si>
    <t>"/ifcgeometricconstraintresource/lexical/ifcvirtualgridintersection.htm"</t>
  </si>
  <si>
    <t>"/ifcgeometricconstraintresource/lexical/ifcgridplacement.htm"</t>
  </si>
  <si>
    <t>"/ifcproductextension/lexical/ifccivilelement.htm"</t>
  </si>
  <si>
    <t>"/ifcproductextension/lexical/ifccivilelementtype.htm"</t>
  </si>
  <si>
    <t>"/ifcproductextension/lexical/ifcopeningelement.htm"</t>
  </si>
  <si>
    <t>"/ifcsharedbldgserviceelements/lexical/ifcdistributionchamberelement.htm"</t>
  </si>
  <si>
    <t>"/ifcsharedbldgserviceelements/lexical/ifcdistributionchamberelementtype.htm"</t>
  </si>
  <si>
    <t>"/ifcproductextension/lexical/ifcfeatureelement.htm"</t>
  </si>
  <si>
    <t>"/ifcproductextension/lexical/ifcbuildingelement.htm"</t>
  </si>
  <si>
    <t>"/ifcproductextension/lexical/ifcbuildingelementtype.htm"</t>
  </si>
  <si>
    <t>"/ifcsharedbldgserviceelements/lexical/ifcdistributioncontrolelement.htm"</t>
  </si>
  <si>
    <t>"/ifcsharedbldgserviceelements/lexical/ifcdistributioncontrolelementtype.htm"</t>
  </si>
  <si>
    <t>"/ifcproductextension/lexical/ifcdistributionelement.htm"</t>
  </si>
  <si>
    <t>"/ifcsharedbldgserviceelements/lexical/ifcdistributionflowelement.htm"</t>
  </si>
  <si>
    <t>"/ifcsharedbldgserviceelements/lexical/ifcdistributionflowelementtype.htm"</t>
  </si>
  <si>
    <t>"/ifcproductextension/lexical/ifcdistributionelementtype.htm"</t>
  </si>
  <si>
    <t>"/ifcproductextension/lexical/ifcspatialstructureelement.htm"</t>
  </si>
  <si>
    <t>"/ifcproductextension/lexical/ifcexternalspatialstructureelement.htm"</t>
  </si>
  <si>
    <t>"/ifcproductextension/lexical/ifcspatialstructureelementtype.htm"</t>
  </si>
  <si>
    <t>"/ifcproductextension/lexical/ifcprojectionelement.htm"</t>
  </si>
  <si>
    <t>"/ifcproductextension/lexical/ifctransportelement.htm"</t>
  </si>
  <si>
    <t>"/ifcproductextension/lexical/ifctransportelementtype.htm"</t>
  </si>
  <si>
    <t>"/ifcproductextension/lexical/ifcexternalspatialelement.htm"</t>
  </si>
  <si>
    <t>"/ifcproductextension/lexical/ifcspatialelement.htm"</t>
  </si>
  <si>
    <t>"/ifcproductextension/lexical/ifcspatialelementtype.htm"</t>
  </si>
  <si>
    <t>"/ifcstructuralanalysisdomain/lexical/ifcstructuralsurfacemember.htm"</t>
  </si>
  <si>
    <t>"/ifcproductextension/lexical/ifcgeographicelement.htm"</t>
  </si>
  <si>
    <t>"/ifcproductextension/lexical/ifcgeographicelementtype.htm"</t>
  </si>
  <si>
    <t>"/ifcproductextension/lexical/ifcvirtualelement.htm"</t>
  </si>
  <si>
    <t>"/ifcelectricaldomain/lexical/ifcelectricappliance.htm"</t>
  </si>
  <si>
    <t>"/ifcelectricaldomain/lexical/ifcelectricappliancetype.htm"</t>
  </si>
  <si>
    <t>"/ifcactorresource/lexical/ifcpostaladdress.htm"</t>
  </si>
  <si>
    <t>"/ifcactorresource/lexical/ifctelecomaddress.htm"</t>
  </si>
  <si>
    <t>"/ifcactorresource/lexical/ifcaddress.htm"</t>
  </si>
  <si>
    <t>"/ifcpropertyresource/lexical/ifcpropertyenumeration.htm"</t>
  </si>
  <si>
    <t>"/ifchvacdomain/lexical/ifcunitaryequipment.htm"</t>
  </si>
  <si>
    <t>"/ifcbuildingcontrolsdomain/lexical/ifcunitarycontrolelement.htm"</t>
  </si>
  <si>
    <t>"/ifcbuildingcontrolsdomain/lexical/ifcunitarycontrolelementtype.htm"</t>
  </si>
  <si>
    <t>"/ifchvacdomain/lexical/ifcunitaryequipmenttype.htm"</t>
  </si>
  <si>
    <t>"/ifcproductextension/lexical/ifcspace.htm"</t>
  </si>
  <si>
    <t>"/ifcproductextension/lexical/ifcspacetype.htm"</t>
  </si>
  <si>
    <t>"/ifcproductextension/lexical/ifcannotation.htm"</t>
  </si>
  <si>
    <t>"/ifcpresentationdefinitionresource/lexical/ifcannotationfillarea.htm"</t>
  </si>
  <si>
    <t>"/ifcpresentationappearanceresource/lexical/ifcpresentationstyle.htm"</t>
  </si>
  <si>
    <t>"/ifcpresentationappearanceresource/lexical/ifcpresentationstyleassignment.htm"</t>
  </si>
  <si>
    <t>"/ifcpresentationorganizationresource/lexical/ifcpresentationlayerwithstyle.htm"</t>
  </si>
  <si>
    <t>"/ifcpresentationappearanceresource/lexical/ifcfillareastyle.htm"</t>
  </si>
  <si>
    <t>"/ifcpresentationappearanceresource/lexical/ifcfillareastyletiles.htm"</t>
  </si>
  <si>
    <t>"/ifcpresentationappearanceresource/lexical/ifccolourspecification.htm"</t>
  </si>
  <si>
    <t>"/ifcpresentationappearanceresource/lexical/ifcpredefinedcolour.htm"</t>
  </si>
  <si>
    <t>"/ifcpresentationappearanceresource/lexical/ifcdraughtingpredefinedcolour.htm"</t>
  </si>
  <si>
    <t>"/ifcpresentationappearanceresource/lexical/ifccolourrgb.htm"</t>
  </si>
  <si>
    <t>"/ifcpresentationappearanceresource/lexical/ifccolourrgblist.htm"</t>
  </si>
  <si>
    <t>"/ifcpresentationappearanceresource/lexical/ifcsurfacestylelighting.htm"</t>
  </si>
  <si>
    <t>"/ifcarchitecturedomain/lexical/ifcwindowstyle.htm"</t>
  </si>
  <si>
    <t>"/ifcpresentationappearanceresource/lexical/ifccurvestylefontpattern.htm"</t>
  </si>
  <si>
    <t>"/ifcpresentationappearanceresource/lexical/ifccurvestyle.htm"</t>
  </si>
  <si>
    <t>"/ifcrepresentationresource/lexical/ifcstylemodel.htm"</t>
  </si>
  <si>
    <t>"/ifcpresentationappearanceresource/lexical/ifccurvestylefont.htm"</t>
  </si>
  <si>
    <t>"/ifcpresentationappearanceresource/lexical/ifccurvestylefontandscaling.htm"</t>
  </si>
  <si>
    <t>"/ifcpresentationappearanceresource/lexical/ifctextstylefordefinedfont.htm"</t>
  </si>
  <si>
    <t>"/ifcpresentationappearanceresource/lexical/ifcexternallydefinedtextfont.htm"</t>
  </si>
  <si>
    <t>"/ifcpresentationappearanceresource/lexical/ifctextstylefontmodel.htm"</t>
  </si>
  <si>
    <t>"/ifcpresentationappearanceresource/lexical/ifcpredefinedtextfont.htm"</t>
  </si>
  <si>
    <t>"/ifcarchitecturedomain/lexical/ifcdoorstyle.htm"</t>
  </si>
  <si>
    <t>"/ifcpresentationappearanceresource/lexical/ifcfillareastylehatching.htm"</t>
  </si>
  <si>
    <t>"/ifcpresentationappearanceresource/lexical/ifcexternallydefinedhatchstyle.htm"</t>
  </si>
  <si>
    <t>"/ifcrepresentationresource/lexical/ifcstyledrepresentation.htm"</t>
  </si>
  <si>
    <t>"/ifcpresentationappearanceresource/lexical/ifcsurfacestyleshading.htm"</t>
  </si>
  <si>
    <t>"/ifcpresentationappearanceresource/lexical/ifcsurfacestyle.htm"</t>
  </si>
  <si>
    <t>"/ifcpresentationappearanceresource/lexical/ifcsurfacestylerefraction.htm"</t>
  </si>
  <si>
    <t>"/ifcpresentationappearanceresource/lexical/ifcsurfacestylerendering.htm"</t>
  </si>
  <si>
    <t>"/ifcpresentationappearanceresource/lexical/ifcsurfacestylewithtextures.htm"</t>
  </si>
  <si>
    <t>"/ifcpresentationappearanceresource/lexical/ifcexternallydefinedsurfacestyle.htm"</t>
  </si>
  <si>
    <t>"/ifcpresentationappearanceresource/lexical/ifctextstyle.htm"</t>
  </si>
  <si>
    <t>"/ifcpresentationappearanceresource/lexical/ifctextstyletextmodel.htm"</t>
  </si>
  <si>
    <t>"/ifcpresentationappearanceresource/lexical/ifcindexedcolourmap.htm"</t>
  </si>
  <si>
    <t>"/ifcgeometryresource/lexical/ifcrepresentationmap.htm"</t>
  </si>
  <si>
    <t>"/ifchvacdomain/lexical/ifcevaporator.htm"</t>
  </si>
  <si>
    <t>"/ifchvacdomain/lexical/ifcevaporatortype.htm"</t>
  </si>
  <si>
    <t>"/ifchvacdomain/lexical/ifctubebundle.htm"</t>
  </si>
  <si>
    <t>"/ifchvacdomain/lexical/ifctubebundletype.htm"</t>
  </si>
  <si>
    <t>"/ifchvacdomain/lexical/ifcfilter.htm"</t>
  </si>
  <si>
    <t>"/ifchvacdomain/lexical/ifcfiltertype.htm"</t>
  </si>
  <si>
    <t>"/ifcsharedcomponentelements/lexical/ifcfastener.htm"</t>
  </si>
  <si>
    <t>"/ifcsharedcomponentelements/lexical/ifcfastenertype.htm"</t>
  </si>
  <si>
    <t>"/ifcsharedcomponentelements/lexical/ifcmechanicalfastener.htm"</t>
  </si>
  <si>
    <t>"/ifcsharedcomponentelements/lexical/ifcmechanicalfastenertype.htm"</t>
  </si>
  <si>
    <t>"/ifcpresentationorganizationresource/lexical/ifclightsource.htm"</t>
  </si>
  <si>
    <t>"/ifcpresentationorganizationresource/lexical/ifclightsourceambient.htm"</t>
  </si>
  <si>
    <t>"/ifcpresentationorganizationresource/lexical/ifclightsourcegoniometric.htm"</t>
  </si>
  <si>
    <t>"/ifcpresentationorganizationresource/lexical/ifclightsourcepositional.htm"</t>
  </si>
  <si>
    <t>"/ifcstructuralelementsdomain/lexical/ifcpile.htm"</t>
  </si>
  <si>
    <t>"/ifcstructuralelementsdomain/lexical/ifcpiletype.htm"</t>
  </si>
  <si>
    <t>"/ifcstructuralelementsdomain/lexical/ifcfooting.htm"</t>
  </si>
  <si>
    <t>"/ifcstructuralelementsdomain/lexical/ifcfootingtype.htm"</t>
  </si>
  <si>
    <t>"/ifcgeometricmodelresource/lexical/ifcsectionedspine.htm"</t>
  </si>
  <si>
    <t>"/ifcgeometricmodelresource/lexical/ifcfixedreferencesweptareasolid.htm"</t>
  </si>
  <si>
    <t>"/ifctopologyresource/lexical/ifcedge.htm"</t>
  </si>
  <si>
    <t>"/ifctopologyresource/lexical/ifcorientededge.htm"</t>
  </si>
  <si>
    <t>"/ifcrepresentationresource/lexical/ifcshapeaspect.htm"</t>
  </si>
  <si>
    <t>"/ifcgeometricmodelresource/lexical/ifcadvancedbrep.htm"</t>
  </si>
  <si>
    <t>"/ifcgeometricmodelresource/lexical/ifcadvancedbrepwithvoids.htm"</t>
  </si>
  <si>
    <t>"/ifcgeometricmodelresource/lexical/ifcfacetedbrep.htm"</t>
  </si>
  <si>
    <t>"/ifcgeometricmodelresource/lexical/ifcfacetedbrepwithvoids.htm"</t>
  </si>
  <si>
    <t>"/ifcgeometricmodelresource/lexical/ifcmanifoldsolidbrep.htm"</t>
  </si>
  <si>
    <t>"/ifcgeometricmodelresource/lexical/ifcboundingbox.htm"</t>
  </si>
  <si>
    <t>"/ifcgeometricmodelresource/lexical/ifcgeometriccurveset.htm"</t>
  </si>
  <si>
    <t>"/ifctopologyresource/lexical/ifcconnectedfaceset.htm"</t>
  </si>
  <si>
    <t>"/ifcgeometricmodelresource/lexical/ifcpolygonalfaceset.htm"</t>
  </si>
  <si>
    <t>"/ifcgeometricmodelresource/lexical/ifctessellatedfaceset.htm"</t>
  </si>
  <si>
    <t>"/ifcgeometricmodelresource/lexical/ifctriangulatedfaceset.htm"</t>
  </si>
  <si>
    <t>"/ifcgeometricmodelresource/lexical/ifcgeometricset.htm"</t>
  </si>
  <si>
    <t>"/ifcrepresentationresource/lexical/ifcmapconversion.htm"</t>
  </si>
  <si>
    <t>"/ifcgeometricmodelresource/lexical/ifccartesianpointlist.htm"</t>
  </si>
  <si>
    <t>"/ifcgeometricmodelresource/lexical/ifccartesianpointlist2d.htm"</t>
  </si>
  <si>
    <t>"/ifcgeometricmodelresource/lexical/ifccartesianpointlist3d.htm"</t>
  </si>
  <si>
    <t>"/ifcrepresentationresource/lexical/ifccoordinateoperation.htm"</t>
  </si>
  <si>
    <t>"/ifcgeometryresource/lexical/ifccartesiantransformationoperator.htm"</t>
  </si>
  <si>
    <t>"/ifcgeometryresource/lexical/ifccartesiantransformationoperator2d.htm"</t>
  </si>
  <si>
    <t>"/ifcgeometryresource/lexical/ifccartesiantransformationoperator2dnonuniform.htm"</t>
  </si>
  <si>
    <t>"/ifcgeometryresource/lexical/ifccartesiantransformationoperator3d.htm"</t>
  </si>
  <si>
    <t>"/ifcgeometryresource/lexical/ifccartesiantransformationoperator3dnonuniform.htm"</t>
  </si>
  <si>
    <t>"/ifcrepresentationresource/lexical/ifcprojectedcrs.htm"</t>
  </si>
  <si>
    <t>"/ifcgeometricmodelresource/lexical/ifccsgprimitive3d.htm"</t>
  </si>
  <si>
    <t>"/ifcgeometricmodelresource/lexical/ifccsgsolid.htm"</t>
  </si>
  <si>
    <t>"/ifcgeometricmodelresource/lexical/ifcrightcircularcylinder.htm"</t>
  </si>
  <si>
    <t>"/ifcgeometryresource/lexical/ifccurve.htm"</t>
  </si>
  <si>
    <t>"/ifcgeometryresource/lexical/ifctrimmedcurve.htm"</t>
  </si>
  <si>
    <t>"/ifcgeometryresource/lexical/ifcbsplinecurve.htm"</t>
  </si>
  <si>
    <t>"/ifcgeometryresource/lexical/ifcbsplinecurvewithknots.htm"</t>
  </si>
  <si>
    <t>"/ifcgeometryresource/lexical/ifccompositecurve.htm"</t>
  </si>
  <si>
    <t>"/ifcgeometryresource/lexical/ifccompositecurveonsurface.htm"</t>
  </si>
  <si>
    <t>"/ifctopologyresource/lexical/ifcedgecurve.htm"</t>
  </si>
  <si>
    <t>"/ifcgeometryresource/lexical/ifcboundarycurve.htm"</t>
  </si>
  <si>
    <t>"/ifcgeometryresource/lexical/ifcouterboundarycurve.htm"</t>
  </si>
  <si>
    <t>"/ifcgeometryresource/lexical/ifcintersectioncurve.htm"</t>
  </si>
  <si>
    <t>"/ifcgeometryresource/lexical/ifcseamcurve.htm"</t>
  </si>
  <si>
    <t>"/ifcgeometryresource/lexical/ifcsurfacecurve.htm"</t>
  </si>
  <si>
    <t>"/ifcgeometryresource/lexical/ifcoffsetcurve2d.htm"</t>
  </si>
  <si>
    <t>"/ifcgeometryresource/lexical/ifcoffsetcurve3d.htm"</t>
  </si>
  <si>
    <t>"/ifcgeometryresource/lexical/ifcboundedcurve.htm"</t>
  </si>
  <si>
    <t>"/ifcgeometryresource/lexical/ifcpcurve.htm"</t>
  </si>
  <si>
    <t>"/ifcgeometryresource/lexical/ifcindexedpolycurve.htm"</t>
  </si>
  <si>
    <t>"/ifcgeometryresource/lexical/ifcrationalbsplinecurvewithknots.htm"</t>
  </si>
  <si>
    <t>"/ifcgeometryresource/lexical/ifcdirection.htm"</t>
  </si>
  <si>
    <t>"/ifcmeasureresource/lexical/ifcdimensionalexponents.htm"</t>
  </si>
  <si>
    <t>"/ifcpresentationdefinitionresource/lexical/ifcplanarextent.htm"</t>
  </si>
  <si>
    <t>"/ifctopologyresource/lexical/ifcface.htm"</t>
  </si>
  <si>
    <t>"/ifctopologyresource/lexical/ifcfacebound.htm"</t>
  </si>
  <si>
    <t>"/ifctopologyresource/lexical/ifcfaceouterbound.htm"</t>
  </si>
  <si>
    <t>"/ifcgeometricmodelresource/lexical/ifcindexedpolygonalface.htm"</t>
  </si>
  <si>
    <t>"/ifcgeometricmodelresource/lexical/ifcindexedpolygonalfacewithvoids.htm"</t>
  </si>
  <si>
    <t>"/ifctopologyresource/lexical/ifcadvancedface.htm"</t>
  </si>
  <si>
    <t>"/ifcstructuralelementsdomain/lexical/ifcsurfacefeature.htm"</t>
  </si>
  <si>
    <t>"/ifcpresentationappearanceresource/lexical/ifcpredefinedcurvefont.htm"</t>
  </si>
  <si>
    <t>"/ifcpresentationappearanceresource/lexical/ifcdraughtingpredefinedcurvefont.htm"</t>
  </si>
  <si>
    <t>"/ifcgeometricmodelresource/lexical/ifcsolidmodel.htm"</t>
  </si>
  <si>
    <t>"/ifcgeometricmodelresource/lexical/ifcrectangularpyramid.htm"</t>
  </si>
  <si>
    <t>"/ifcpresentationdefinitionresource/lexical/ifcplanarbox.htm"</t>
  </si>
  <si>
    <t>"/ifcgeometryresource/lexical/ifcplane.htm"</t>
  </si>
  <si>
    <t>"/ifcgeometryresource/lexical/ifccurveboundedplane.htm"</t>
  </si>
  <si>
    <t>"/ifcgeometryresource/lexical/ifcpolyline.htm"</t>
  </si>
  <si>
    <t>"/ifctopologyresource/lexical/ifcpolyloop.htm"</t>
  </si>
  <si>
    <t>"/ifcgeometricconstraintresource/lexical/ifcconnectionpointgeometry.htm"</t>
  </si>
  <si>
    <t>"/ifcgeometricconstraintresource/lexical/ifcconnectionpointeccentricity.htm"</t>
  </si>
  <si>
    <t>"/ifcgeometryresource/lexical/ifcpointoncurve.htm"</t>
  </si>
  <si>
    <t>"/ifcgeometryresource/lexical/ifcpointonsurface.htm"</t>
  </si>
  <si>
    <t>"/ifctopologyresource/lexical/ifcvertexpoint.htm"</t>
  </si>
  <si>
    <t>"/ifcgeometryresource/lexical/ifcpoint.htm"</t>
  </si>
  <si>
    <t>"/ifcgeometryresource/lexical/ifcplacement.htm"</t>
  </si>
  <si>
    <t>"/ifcgeometryresource/lexical/ifcaxis1placement.htm"</t>
  </si>
  <si>
    <t>"/ifcgeometryresource/lexical/ifcaxis2placement2d.htm"</t>
  </si>
  <si>
    <t>"/ifcgeometryresource/lexical/ifcaxis2placement3d.htm"</t>
  </si>
  <si>
    <t>"/ifcgeometricconstraintresource/lexical/ifcobjectplacement.htm"</t>
  </si>
  <si>
    <t>"/ifcgeometricconstraintresource/lexical/ifclocalplacement.htm"</t>
  </si>
  <si>
    <t>"/ifcgeometryresource/lexical/ifccircle.htm"</t>
  </si>
  <si>
    <t>"/ifcgeometryresource/lexical/ifcconic.htm"</t>
  </si>
  <si>
    <t>"/ifcgeometryresource/lexical/ifcellipse.htm"</t>
  </si>
  <si>
    <t>"/ifcgeometricmodelresource/lexical/ifcrightcircularcone.htm"</t>
  </si>
  <si>
    <t>"/ifcgeometricmodelresource/lexical/ifcsphere.htm"</t>
  </si>
  <si>
    <t>"/ifcgeometryresource/lexical/ifcline.htm"</t>
  </si>
  <si>
    <t>"/ifcgeometryresource/lexical/ifccartesianpoint.htm"</t>
  </si>
  <si>
    <t>"/ifcgeometricconstraintresource/lexical/ifcconnectiongeometry.htm"</t>
  </si>
  <si>
    <t>"/ifcgeometricconstraintresource/lexical/ifcconnectioncurvegeometry.htm"</t>
  </si>
  <si>
    <t>"/ifcgeometryresource/lexical/ifccompositecurvesegment.htm"</t>
  </si>
  <si>
    <t>"/ifcgeometryresource/lexical/ifcreparametrisedcompositecurvesegment.htm"</t>
  </si>
  <si>
    <t>"/ifcgeometricmodelresource/lexical/ifcboxedhalfspace.htm"</t>
  </si>
  <si>
    <t>"/ifcgeometricmodelresource/lexical/ifcpolygonalboundedhalfspace.htm"</t>
  </si>
  <si>
    <t>"/ifcgeometricmodelresource/lexical/ifchalfspacesolid.htm"</t>
  </si>
  <si>
    <t>"/ifcgeometricmodelresource/lexical/ifcsweptdisksolid.htm"</t>
  </si>
  <si>
    <t>"/ifcgeometricmodelresource/lexical/ifcsweptdisksolidpolygonal.htm"</t>
  </si>
  <si>
    <t>"/ifcrepresentationresource/lexical/ifcgeometricrepresentationsubcontext.htm"</t>
  </si>
  <si>
    <t>"/ifctopologyresource/lexical/ifcsubedge.htm"</t>
  </si>
  <si>
    <t>"/ifcproductextension/lexical/ifcfeatureelementsubtraction.htm"</t>
  </si>
  <si>
    <t>"/ifcgeometryresource/lexical/ifcsurface.htm"</t>
  </si>
  <si>
    <t>"/ifcgeometryresource/lexical/ifcbsplinesurface.htm"</t>
  </si>
  <si>
    <t>"/ifcgeometryresource/lexical/ifcbsplinesurfacewithknots.htm"</t>
  </si>
  <si>
    <t>"/ifcgeometryresource/lexical/ifcrationalbsplinesurfacewithknots.htm"</t>
  </si>
  <si>
    <t>"/ifcgeometryresource/lexical/ifccylindricalsurface.htm"</t>
  </si>
  <si>
    <t>"/ifcgeometryresource/lexical/ifcsurfaceoflinearextrusion.htm"</t>
  </si>
  <si>
    <t>"/ifctopologyresource/lexical/ifcfacesurface.htm"</t>
  </si>
  <si>
    <t>"/ifcgeometryresource/lexical/ifcsurfaceofrevolution.htm"</t>
  </si>
  <si>
    <t>"/ifcgeometryresource/lexical/ifcsweptsurface.htm"</t>
  </si>
  <si>
    <t>"/ifcgeometryresource/lexical/ifcelementarysurface.htm"</t>
  </si>
  <si>
    <t>"/ifcgeometryresource/lexical/ifcsphericalsurface.htm"</t>
  </si>
  <si>
    <t>"/ifcgeometryresource/lexical/ifcboundedsurface.htm"</t>
  </si>
  <si>
    <t>"/ifcgeometryresource/lexical/ifccurveboundedsurface.htm"</t>
  </si>
  <si>
    <t>"/ifcgeometryresource/lexical/ifcrectangulartrimmedsurface.htm"</t>
  </si>
  <si>
    <t>"/ifcgeometricmodelresource/lexical/ifcsurfacecurvesweptareasolid.htm"</t>
  </si>
  <si>
    <t>"/ifcgeometryresource/lexical/ifctoroidalsurface.htm"</t>
  </si>
  <si>
    <t>"/ifcgeometricconstraintresource/lexical/ifcconnectionsurfacegeometry.htm"</t>
  </si>
  <si>
    <t>"/ifcpresentationappearanceresource/lexical/ifctexturecoordinate.htm"</t>
  </si>
  <si>
    <t>"/ifcpresentationappearanceresource/lexical/ifcblobtexture.htm"</t>
  </si>
  <si>
    <t>"/ifcpresentationappearanceresource/lexical/ifcimagetexture.htm"</t>
  </si>
  <si>
    <t>"/ifcpresentationappearanceresource/lexical/ifcpixeltexture.htm"</t>
  </si>
  <si>
    <t>"/ifcpresentationappearanceresource/lexical/ifcsurfacetexture.htm"</t>
  </si>
  <si>
    <t>"/ifcpresentationappearanceresource/lexical/ifctexturecoordinategenerator.htm"</t>
  </si>
  <si>
    <t>"/ifcpresentationappearanceresource/lexical/ifctexturemap.htm"</t>
  </si>
  <si>
    <t>"/ifcpresentationappearanceresource/lexical/ifcindexedtriangletexturemap.htm"</t>
  </si>
  <si>
    <t>"/ifcpresentationappearanceresource/lexical/ifcindexedtexturemap.htm"</t>
  </si>
  <si>
    <t>"/ifcpresentationappearanceresource/lexical/ifctexturevertex.htm"</t>
  </si>
  <si>
    <t>"/ifcpresentationappearanceresource/lexical/ifctexturevertexlist.htm"</t>
  </si>
  <si>
    <t>"/ifctopologyresource/lexical/ifcvertex.htm"</t>
  </si>
  <si>
    <t>"/ifcgeometryresource/lexical/ifcvector.htm"</t>
  </si>
  <si>
    <t>"/ifcquantityresource/lexical/ifcquantityvolume.htm"</t>
  </si>
  <si>
    <t>"/ifcgeometricconstraintresource/lexical/ifcconnectionvolumegeometry.htm"</t>
  </si>
  <si>
    <t>"/ifcelectricaldomain/lexical/ifcelectricgenerator.htm"</t>
  </si>
  <si>
    <t>"/ifcelectricaldomain/lexical/ifcelectricgeneratortype.htm"</t>
  </si>
  <si>
    <t>"/ifcstructuralanalysisdomain/lexical/ifcstructuralresultgroup.htm"</t>
  </si>
  <si>
    <t>"/ifckernel/lexical/ifcgroup.htm"</t>
  </si>
  <si>
    <t>"/ifcexternalreferenceresource/lexical/ifclibraryinformation.htm"</t>
  </si>
  <si>
    <t>"/ifcexternalreferenceresource/lexical/ifcdocumentinformation.htm"</t>
  </si>
  <si>
    <t>"/ifcexternalreferenceresource/lexical/ifcexternalinformation.htm"</t>
  </si>
  <si>
    <t>"/ifcbuildingcontrolsdomain/lexical/ifcflowinstrument.htm"</t>
  </si>
  <si>
    <t>"/ifcbuildingcontrolsdomain/lexical/ifcflowinstrumenttype.htm"</t>
  </si>
  <si>
    <t>"/ifcplumbingfireprotectiondomain/lexical/ifcinterceptor.htm"</t>
  </si>
  <si>
    <t>"/ifcplumbingfireprotectiondomain/lexical/ifcinterceptortype.htm"</t>
  </si>
  <si>
    <t>"/ifcsharedfacilitieselements/lexical/ifcinventory.htm"</t>
  </si>
  <si>
    <t>"/ifchvacdomain/lexical/ifcvibrationisolator.htm"</t>
  </si>
  <si>
    <t>"/ifchvacdomain/lexical/ifcvibrationisolatortype.htm"</t>
  </si>
  <si>
    <t>"/ifcpresentationdefinitionresource/lexical/ifcpresentationitem.htm"</t>
  </si>
  <si>
    <t>"/ifcsharedmgmtelements/lexical/ifccostitem.htm"</t>
  </si>
  <si>
    <t>"/ifcpresentationappearanceresource/lexical/ifcstyleditem.htm"</t>
  </si>
  <si>
    <t>"/ifcgeometryresource/lexical/ifcgeometricrepresentationitem.htm"</t>
  </si>
  <si>
    <t>"/ifcgeometryresource/lexical/ifcrepresentationitem.htm"</t>
  </si>
  <si>
    <t>"/ifctopologyresource/lexical/ifctopologicalrepresentationitem.htm"</t>
  </si>
  <si>
    <t>"/ifcstructuralanalysisdomain/lexical/ifcstructuralitem.htm"</t>
  </si>
  <si>
    <t>"/ifcgeometryresource/lexical/ifcmappeditem.htm"</t>
  </si>
  <si>
    <t>"/ifcpresentationappearanceresource/lexical/ifcpredefineditem.htm"</t>
  </si>
  <si>
    <t>"/ifcgeometricmodelresource/lexical/ifctessellateditem.htm"</t>
  </si>
  <si>
    <t>"/ifcsharedbldgelements/lexical/ifcwindow.htm"</t>
  </si>
  <si>
    <t>"/ifcarchitecturedomain/lexical/ifcwindowpanelproperties.htm"</t>
  </si>
  <si>
    <t>"/ifcarchitecturedomain/lexical/ifcwindowliningproperties.htm"</t>
  </si>
  <si>
    <t>"/ifcsharedbldgelements/lexical/ifcwindowtype.htm"</t>
  </si>
  <si>
    <t>"/ifcsharedbldgelements/lexical/ifcslab.htm"</t>
  </si>
  <si>
    <t>"/ifcsharedbldgelements/lexical/ifcslabelementedcase.htm"</t>
  </si>
  <si>
    <t>"/ifcsharedbldgelements/lexical/ifcslabstandardcase.htm"</t>
  </si>
  <si>
    <t>"/ifcsharedbldgelements/lexical/ifcslabtype.htm"</t>
  </si>
  <si>
    <t>"/ifcelectricaldomain/lexical/ifclamp.htm"</t>
  </si>
  <si>
    <t>"/ifcelectricaldomain/lexical/ifclamptype.htm"</t>
  </si>
  <si>
    <t>"/ifcelectricaldomain/lexical/ifclightfixture.htm"</t>
  </si>
  <si>
    <t>"/ifcelectricaldomain/lexical/ifclightfixturetype.htm"</t>
  </si>
  <si>
    <t>"/ifcpresentationorganizationresource/lexical/ifclightdistributiondata.htm"</t>
  </si>
  <si>
    <t>"/ifcpresentationorganizationresource/lexical/ifclightintensitydistribution.htm"</t>
  </si>
  <si>
    <t>"/ifchvacdomain/lexical/ifcengine.htm"</t>
  </si>
  <si>
    <t>"/ifchvacdomain/lexical/ifcenginetype.htm"</t>
  </si>
  <si>
    <t>"/ifcmaterialresource/lexical/ifcmaterial.htm"</t>
  </si>
  <si>
    <t>"/ifcmaterialresource/lexical/ifcmateriallayer.htm"</t>
  </si>
  <si>
    <t>"/ifcmaterialresource/lexical/ifcmateriallayerwithoffsets.htm"</t>
  </si>
  <si>
    <t>"/ifcmaterialresource/lexical/ifcmateriallayersetusage.htm"</t>
  </si>
  <si>
    <t>"/ifcmaterialresource/lexical/ifcmateriallayerset.htm"</t>
  </si>
  <si>
    <t>"/ifcmaterialresource/lexical/ifcmaterialconstituentset.htm"</t>
  </si>
  <si>
    <t>"/ifcmaterialresource/lexical/ifcmaterialconstituent.htm"</t>
  </si>
  <si>
    <t>"/ifcmaterialresource/lexical/ifcmaterialdefinition.htm"</t>
  </si>
  <si>
    <t>"/ifcmaterialresource/lexical/ifcmaterialusagedefinition.htm"</t>
  </si>
  <si>
    <t>"/ifcmaterialresource/lexical/ifcmateriallist.htm"</t>
  </si>
  <si>
    <t>"/ifcmaterialresource/lexical/ifcmaterialprofile.htm"</t>
  </si>
  <si>
    <t>"/ifcmaterialresource/lexical/ifcmaterialprofileset.htm"</t>
  </si>
  <si>
    <t>"/ifcmaterialresource/lexical/ifcmaterialprofilewithoffsets.htm"</t>
  </si>
  <si>
    <t>"/ifcmaterialresource/lexical/ifcmaterialprofilesetusage.htm"</t>
  </si>
  <si>
    <t>"/ifcmaterialresource/lexical/ifcmaterialprofilesetusagetapering.htm"</t>
  </si>
  <si>
    <t>"/ifcmaterialresource/lexical/ifcmaterialproperties.htm"</t>
  </si>
  <si>
    <t>"/ifcconstructionmgmtdomain/lexical/ifcconstructionmaterialresource.htm"</t>
  </si>
  <si>
    <t>"/ifcrepresentationresource/lexical/ifcmaterialdefinitionrepresentation.htm"</t>
  </si>
  <si>
    <t>"/ifcmeasureresource/lexical/ifcmeasurewithunit.htm"</t>
  </si>
  <si>
    <t>"/ifchvacdomain/lexical/ifcflowmeter.htm"</t>
  </si>
  <si>
    <t>"/ifchvacdomain/lexical/ifcflowmetertype.htm"</t>
  </si>
  <si>
    <t>"/ifcstructuralanalysisdomain/lexical/ifcstructuralmember.htm"</t>
  </si>
  <si>
    <t>"/ifcsharedbldgelements/lexical/ifcmember.htm"</t>
  </si>
  <si>
    <t>"/ifcsharedbldgelements/lexical/ifcmembertype.htm"</t>
  </si>
  <si>
    <t>"/ifcsharedfacilitieselements/lexical/ifcsystemfurnitureelement.htm"</t>
  </si>
  <si>
    <t>"/ifcsharedfacilitieselements/lexical/ifcsystemfurnitureelementtype.htm"</t>
  </si>
  <si>
    <t>"/ifcproductextension/lexical/ifcfurnishingelement.htm"</t>
  </si>
  <si>
    <t>"/ifcproductextension/lexical/ifcfurnishingelementtype.htm"</t>
  </si>
  <si>
    <t>"/ifckernel/lexical/ifcpropertysettemplate.htm"</t>
  </si>
  <si>
    <t>"/ifcrepresentationresource/lexical/ifcshapemodel.htm"</t>
  </si>
  <si>
    <t>"/ifckernel/lexical/ifcpropertytemplate.htm"</t>
  </si>
  <si>
    <t>"/ifcgeometricmodelresource/lexical/ifcshellbasedsurfacemodel.htm"</t>
  </si>
  <si>
    <t>"/ifcgeometricmodelresource/lexical/ifcfacebasedsurfacemodel.htm"</t>
  </si>
  <si>
    <t>"/ifckernel/lexical/ifcsimplepropertytemplate.htm"</t>
  </si>
  <si>
    <t>"/ifcproductextension/lexical/ifcelementassembly.htm"</t>
  </si>
  <si>
    <t>"/ifcproductextension/lexical/ifcelementassemblytype.htm"</t>
  </si>
  <si>
    <t>"/ifcelectricaldomain/lexical/ifcelectricmotor.htm"</t>
  </si>
  <si>
    <t>"/ifcelectricaldomain/lexical/ifcelectricmotortype.htm"</t>
  </si>
  <si>
    <t>"/ifcsharedfacilitieselements/lexical/ifcfurniture.htm"</t>
  </si>
  <si>
    <t>"/ifcsharedfacilitieselements/lexical/ifcfurnituretype.htm"</t>
  </si>
  <si>
    <t>"/ifcconstraintresource/lexical/ifcobjective.htm"</t>
  </si>
  <si>
    <t>"/ifckernel/lexical/ifcobject.htm"</t>
  </si>
  <si>
    <t>"/ifckernel/lexical/ifctypeobject.htm"</t>
  </si>
  <si>
    <t>"/ifcsharedfacilitieselements/lexical/ifcoccupant.htm"</t>
  </si>
  <si>
    <t>"/ifcsharedmgmtelements/lexical/ifcprojectorder.htm"</t>
  </si>
  <si>
    <t>"/ifcactorresource/lexical/ifcorganization.htm"</t>
  </si>
  <si>
    <t>"/ifcdatetimeresource/lexical/ifcrecurrencepattern.htm"</t>
  </si>
  <si>
    <t>"/ifcsharedbldgelements/lexical/ifcwallelementedcase.htm"</t>
  </si>
  <si>
    <t>"/ifcsharedbldgelements/lexical/ifccurtainwall.htm"</t>
  </si>
  <si>
    <t>"/ifcsharedbldgelements/lexical/ifccurtainwalltype.htm"</t>
  </si>
  <si>
    <t>"/ifcsharedbldgelements/lexical/ifcwall.htm"</t>
  </si>
  <si>
    <t>"/ifcsharedbldgelements/lexical/ifcwalltype.htm"</t>
  </si>
  <si>
    <t>"/ifcsharedcomponentelements/lexical/ifcbuildingelementpart.htm"</t>
  </si>
  <si>
    <t>"/ifcsharedcomponentelements/lexical/ifcbuildingelementparttype.htm"</t>
  </si>
  <si>
    <t>"/ifcsharedmgmtelements/lexical/ifcpermit.htm"</t>
  </si>
  <si>
    <t>"/ifcquantityresource/lexical/ifcquantityweight.htm"</t>
  </si>
  <si>
    <t>"/ifcactorresource/lexical/ifcperson.htm"</t>
  </si>
  <si>
    <t>"/ifcactorresource/lexical/ifcpersonandorganization.htm"</t>
  </si>
  <si>
    <t>"/ifcsharedbldgelements/lexical/ifcplate.htm"</t>
  </si>
  <si>
    <t>"/ifcsharedbldgelements/lexical/ifcplatetype.htm"</t>
  </si>
  <si>
    <t>"/ifcpresentationorganizationresource/lexical/ifclightsourcespot.htm"</t>
  </si>
  <si>
    <t>"/ifcsharedbldgelements/lexical/ifcdoor.htm"</t>
  </si>
  <si>
    <t>"/ifcsharedbldgelements/lexical/ifcdoorstandardcase.htm"</t>
  </si>
  <si>
    <t>"/ifcarchitecturedomain/lexical/ifcdoorliningproperties.htm"</t>
  </si>
  <si>
    <t>"/ifcarchitecturedomain/lexical/ifcdoorpanelproperties.htm"</t>
  </si>
  <si>
    <t>"/ifcsharedbldgelements/lexical/ifcdoortype.htm"</t>
  </si>
  <si>
    <t>"/ifcprocessextension/lexical/ifcprocedure.htm"</t>
  </si>
  <si>
    <t>"/ifcprocessextension/lexical/ifcproceduretype.htm"</t>
  </si>
  <si>
    <t>"/ifckernel/lexical/ifcprocess.htm"</t>
  </si>
  <si>
    <t>"/ifckernel/lexical/ifctypeprocess.htm"</t>
  </si>
  <si>
    <t>"/ifckernel/lexical/ifcproduct.htm"</t>
  </si>
  <si>
    <t>"/ifckernel/lexical/ifctypeproduct.htm"</t>
  </si>
  <si>
    <t>"/ifckernel/lexical/ifcproject.htm"</t>
  </si>
  <si>
    <t>"/ifcprofileresource/lexical/ifcprofileproperties.htm"</t>
  </si>
  <si>
    <t>"/ifcpropertyresource/lexical/ifcproperty.htm"</t>
  </si>
  <si>
    <t>"/ifcpropertyresource/lexical/ifcsimpleproperty.htm"</t>
  </si>
  <si>
    <t>"/ifcarchitecturedomain/lexical/ifcpermeablecoveringproperties.htm"</t>
  </si>
  <si>
    <t>"/ifcprofileresource/lexical/ifcsectionproperties.htm"</t>
  </si>
  <si>
    <t>"/ifcpropertyresource/lexical/ifcextendedproperties.htm"</t>
  </si>
  <si>
    <t>"/ifcpropertyresource/lexical/ifcpredefinedproperties.htm"</t>
  </si>
  <si>
    <t>"/ifckernel/lexical/ifcproxy.htm"</t>
  </si>
  <si>
    <t>"/ifcsharedbldgelements/lexical/ifcbuildingelementproxy.htm"</t>
  </si>
  <si>
    <t>"/ifcsharedbldgelements/lexical/ifcbuildingelementproxytype.htm"</t>
  </si>
  <si>
    <t>"/ifcelectricaldomain/lexical/ifcelectricdistributionboard.htm"</t>
  </si>
  <si>
    <t>"/ifcelectricaldomain/lexical/ifcelectricdistributionboardtype.htm"</t>
  </si>
  <si>
    <t>"/ifcquantityresource/lexical/ifcphysicalquantity.htm"</t>
  </si>
  <si>
    <t>"/ifcquantityresource/lexical/ifcphysicalsimplequantity.htm"</t>
  </si>
  <si>
    <t>"/ifchvacdomain/lexical/ifcburner.htm"</t>
  </si>
  <si>
    <t>"/ifchvacdomain/lexical/ifcburnertype.htm"</t>
  </si>
  <si>
    <t>"/ifckernel/lexical/ifcroot.htm"</t>
  </si>
  <si>
    <t>"/ifcpropertyresource/lexical/ifcpropertyabstraction.htm"</t>
  </si>
  <si>
    <t>"/ifcproductextension/lexical/ifcelement.htm"</t>
  </si>
  <si>
    <t>"/ifcproductextension/lexical/ifcelementtype.htm"</t>
  </si>
  <si>
    <t>"/ifchvacdomain/lexical/ifcairtoairheatrecovery.htm"</t>
  </si>
  <si>
    <t>"/ifchvacdomain/lexical/ifcairtoairheatrecoverytype.htm"</t>
  </si>
  <si>
    <t>"/ifckernel/lexical/ifcresource.htm"</t>
  </si>
  <si>
    <t>"/ifcstructuralelementsdomain/lexical/ifcvoidingfeature.htm"</t>
  </si>
  <si>
    <t>"/ifcconstructionmgmtdomain/lexical/ifcconstructionresourcetype.htm"</t>
  </si>
  <si>
    <t>"/ifcconstructionmgmtdomain/lexical/ifcconstructionequipmentresourcetype.htm"</t>
  </si>
  <si>
    <t>"/ifcconstructionmgmtdomain/lexical/ifccrewresource.htm"</t>
  </si>
  <si>
    <t>"/ifcconstructionmgmtdomain/lexical/ifccrewresourcetype.htm"</t>
  </si>
  <si>
    <t>"/ifcconstructionmgmtdomain/lexical/ifclaborresourcetype.htm"</t>
  </si>
  <si>
    <t>"/ifcconstructionmgmtdomain/lexical/ifcconstructionproductresourcetype.htm"</t>
  </si>
  <si>
    <t>"/ifcconstructionmgmtdomain/lexical/ifcconstructionproductresource.htm"</t>
  </si>
  <si>
    <t>"/ifcconstructionmgmtdomain/lexical/ifcsubcontractresource.htm"</t>
  </si>
  <si>
    <t>"/ifcconstructionmgmtdomain/lexical/ifcsubcontractresourcetype.htm"</t>
  </si>
  <si>
    <t>"/ifcconstructionmgmtdomain/lexical/ifcconstructionmaterialresourcetype.htm"</t>
  </si>
  <si>
    <t>"/ifckernel/lexical/ifctyperesource.htm"</t>
  </si>
  <si>
    <t>"/ifcconstructionmgmtdomain/lexical/ifcconstructionresource.htm"</t>
  </si>
  <si>
    <t>"/ifcconstructionmgmtdomain/lexical/ifcconstructionequipmentresource.htm"</t>
  </si>
  <si>
    <t>"/ifcconstructionmgmtdomain/lexical/ifclaborresource.htm"</t>
  </si>
  <si>
    <t>"/ifcconstraintresource/lexical/ifcreference.htm"</t>
  </si>
  <si>
    <t>"/ifcexternalreferenceresource/lexical/ifclibraryreference.htm"</t>
  </si>
  <si>
    <t>"/ifcexternalreferenceresource/lexical/ifcclassificationreference.htm"</t>
  </si>
  <si>
    <t>"/ifcexternalreferenceresource/lexical/ifcdocumentreference.htm"</t>
  </si>
  <si>
    <t>"/ifcexternalreferenceresource/lexical/ifcexternalreference.htm"</t>
  </si>
  <si>
    <t>"/ifcstructuralloadresource/lexical/ifcsurfacereinforcementarea.htm"</t>
  </si>
  <si>
    <t>"/ifcstructuralelementsdomain/lexical/ifcreinforcingbar.htm"</t>
  </si>
  <si>
    <t>"/ifcstructuralelementsdomain/lexical/ifcreinforcementdefinitionproperties.htm"</t>
  </si>
  <si>
    <t>"/ifcstructuralelementsdomain/lexical/ifcreinforcingelement.htm"</t>
  </si>
  <si>
    <t>"/ifcstructuralelementsdomain/lexical/ifcreinforcingmesh.htm"</t>
  </si>
  <si>
    <t>"/ifcprofileresource/lexical/ifcreinforcementbarproperties.htm"</t>
  </si>
  <si>
    <t>"/ifcprofileresource/lexical/ifcsectionreinforcementproperties.htm"</t>
  </si>
  <si>
    <t>"/ifcstructuralelementsdomain/lexical/ifcreinforcingbartype.htm"</t>
  </si>
  <si>
    <t>"/ifcstructuralelementsdomain/lexical/ifcreinforcingelementtype.htm"</t>
  </si>
  <si>
    <t>"/ifcstructuralelementsdomain/lexical/ifcreinforcingmeshtype.htm"</t>
  </si>
  <si>
    <t>"/ifccontrolextension/lexical/ifcrelassociatesapproval.htm"</t>
  </si>
  <si>
    <t>"/ifcapprovalresource/lexical/ifcapprovalrelationship.htm"</t>
  </si>
  <si>
    <t>"/ifcapprovalresource/lexical/ifcresourceapprovalrelationship.htm"</t>
  </si>
  <si>
    <t>"/ifckernel/lexical/ifcrelassigns.htm"</t>
  </si>
  <si>
    <t>"/ifckernel/lexical/ifcrelassociateslibrary.htm"</t>
  </si>
  <si>
    <t>"/ifccostresource/lexical/ifccurrencyrelationship.htm"</t>
  </si>
  <si>
    <t>"/ifcmaterialresource/lexical/ifcmaterialclassificationrelationship.htm"</t>
  </si>
  <si>
    <t>"/ifckernel/lexical/ifcrelassociatesclassification.htm"</t>
  </si>
  <si>
    <t>"/ifcproductextension/lexical/ifcrelconnectsports.htm"</t>
  </si>
  <si>
    <t>"/ifcproductextension/lexical/ifcrelconnectsporttoelement.htm"</t>
  </si>
  <si>
    <t>"/ifcstructuralanalysisdomain/lexical/ifcrelconnectsstructuralactivity.htm"</t>
  </si>
  <si>
    <t>"/ifcproductextension/lexical/ifcrelconnectswithrealizingelements.htm"</t>
  </si>
  <si>
    <t>"/ifcstructuralanalysisdomain/lexical/ifcrelconnectswitheccentricity.htm"</t>
  </si>
  <si>
    <t>"/ifcstructuralanalysisdomain/lexical/ifcrelconnectsstructuralmember.htm"</t>
  </si>
  <si>
    <t>"/ifcsharedbldgserviceelements/lexical/ifcrelflowcontrolelements.htm"</t>
  </si>
  <si>
    <t>"/ifckernel/lexical/ifcreldefinesbyobject.htm"</t>
  </si>
  <si>
    <t>"/ifckernel/lexical/ifcreldefinesbyproperties.htm"</t>
  </si>
  <si>
    <t>"/ifckernel/lexical/ifcreldefinesbytemplate.htm"</t>
  </si>
  <si>
    <t>"/ifckernel/lexical/ifcreldefinesbytype.htm"</t>
  </si>
  <si>
    <t>"/ifcexternalreferenceresource/lexical/ifcdocumentinformationrelationship.htm"</t>
  </si>
  <si>
    <t>"/ifcpropertyresource/lexical/ifcpropertydependencyrelationship.htm"</t>
  </si>
  <si>
    <t>"/ifckernel/lexical/ifcrelassociatesdocument.htm"</t>
  </si>
  <si>
    <t>"/ifckernel/lexical/ifcrelaggregates.htm"</t>
  </si>
  <si>
    <t>"/ifckernel/lexical/ifcrelnests.htm"</t>
  </si>
  <si>
    <t>"/ifckernel/lexical/ifcrelassociates.htm"</t>
  </si>
  <si>
    <t>"/ifckernel/lexical/ifcreldefines.htm"</t>
  </si>
  <si>
    <t>"/ifcproductextension/lexical/ifcrelreferencedinspatialstructure.htm"</t>
  </si>
  <si>
    <t>"/ifcproductextension/lexical/ifcrelcontainedinspatialstructure.htm"</t>
  </si>
  <si>
    <t>"/ifcproductextension/lexical/ifcrelinterfereselements.htm"</t>
  </si>
  <si>
    <t>"/ifcproductextension/lexical/ifcrelspaceboundary.htm"</t>
  </si>
  <si>
    <t>"/ifcproductextension/lexical/ifcrelspaceboundary1stlevel.htm"</t>
  </si>
  <si>
    <t>"/ifcproductextension/lexical/ifcrelspaceboundary2ndlevel.htm"</t>
  </si>
  <si>
    <t>"/ifcexternalreferenceresource/lexical/ifcexternalreferencerelationship.htm"</t>
  </si>
  <si>
    <t>"/ifckernel/lexical/ifcreldecomposes.htm"</t>
  </si>
  <si>
    <t>"/ifcproductextension/lexical/ifcrelfillselement.htm"</t>
  </si>
  <si>
    <t>"/ifcproductextension/lexical/ifcrelprojectselement.htm"</t>
  </si>
  <si>
    <t>"/ifccontrolextension/lexical/ifcrelassociatesconstraint.htm"</t>
  </si>
  <si>
    <t>"/ifcconstraintresource/lexical/ifcresourceconstraintrelationship.htm"</t>
  </si>
  <si>
    <t>"/ifcprocessextension/lexical/ifcrelsequence.htm"</t>
  </si>
  <si>
    <t>"/ifcproductextension/lexical/ifcrelservicesbuildings.htm"</t>
  </si>
  <si>
    <t>"/ifcproductextension/lexical/ifcrelvoidselement.htm"</t>
  </si>
  <si>
    <t>"/ifckernel/lexical/ifcrelationship.htm"</t>
  </si>
  <si>
    <t>"/ifcmaterialresource/lexical/ifcmaterialrelationship.htm"</t>
  </si>
  <si>
    <t>"/ifcactorresource/lexical/ifcorganizationrelationship.htm"</t>
  </si>
  <si>
    <t>"/ifcsharedbldgelements/lexical/ifcrelcoversbldgelements.htm"</t>
  </si>
  <si>
    <t>"/ifcsharedbldgelements/lexical/ifcrelcoversspaces.htm"</t>
  </si>
  <si>
    <t>"/ifckernel/lexical/ifcrelassignstocontrol.htm"</t>
  </si>
  <si>
    <t>"/ifckernel/lexical/ifcrelassignstogroup.htm"</t>
  </si>
  <si>
    <t>"/ifckernel/lexical/ifcrelassignstogroupbyfactor.htm"</t>
  </si>
  <si>
    <t>"/ifcproductextension/lexical/ifcrelassociatesmaterial.htm"</t>
  </si>
  <si>
    <t>"/ifckernel/lexical/ifcrelassignstoprocess.htm"</t>
  </si>
  <si>
    <t>"/ifckernel/lexical/ifcrelassignstoproduct.htm"</t>
  </si>
  <si>
    <t>"/ifckernel/lexical/ifcrelassignstoresource.htm"</t>
  </si>
  <si>
    <t>"/ifckernel/lexical/ifcrelconnects.htm"</t>
  </si>
  <si>
    <t>"/ifcproductextension/lexical/ifcrelconnectselements.htm"</t>
  </si>
  <si>
    <t>"/ifcsharedbldgelements/lexical/ifcrelconnectspathelements.htm"</t>
  </si>
  <si>
    <t>"/ifckernel/lexical/ifcreldeclares.htm"</t>
  </si>
  <si>
    <t>"/ifckernel/lexical/ifcrelassignstoactor.htm"</t>
  </si>
  <si>
    <t>"/ifcexternalreferenceresource/lexical/ifcresourcelevelrelationship.htm"</t>
  </si>
  <si>
    <t>"/ifcrepresentationresource/lexical/ifcrepresentation.htm"</t>
  </si>
  <si>
    <t>"/ifcrepresentationresource/lexical/ifcshaperepresentation.htm"</t>
  </si>
  <si>
    <t>"/ifcrepresentationresource/lexical/ifcproductrepresentation.htm"</t>
  </si>
  <si>
    <t>"/ifcrepresentationresource/lexical/ifctopologyrepresentation.htm"</t>
  </si>
  <si>
    <t>"/ifchvacdomain/lexical/ifcevaporativecooler.htm"</t>
  </si>
  <si>
    <t>"/ifchvacdomain/lexical/ifcevaporativecoolertype.htm"</t>
  </si>
  <si>
    <t>"/ifcconstraintresource/lexical/ifcconstraint.htm"</t>
  </si>
  <si>
    <t>"/ifcgeometricmodelresource/lexical/ifcbooleanresult.htm"</t>
  </si>
  <si>
    <t>"/ifcgeometricmodelresource/lexical/ifcbooleanclippingresult.htm"</t>
  </si>
  <si>
    <t>"/ifcactorresource/lexical/ifcactorrole.htm"</t>
  </si>
  <si>
    <t>"/ifcelectricaldomain/lexical/ifccablesegment.htm"</t>
  </si>
  <si>
    <t>"/ifcelectricaldomain/lexical/ifccablesegmenttype.htm"</t>
  </si>
  <si>
    <t>"/ifcsharedbldgserviceelements/lexical/ifcflowsegment.htm"</t>
  </si>
  <si>
    <t>"/ifcsharedbldgserviceelements/lexical/ifcflowsegmenttype.htm"</t>
  </si>
  <si>
    <t>"/ifchvacdomain/lexical/ifcductsegment.htm"</t>
  </si>
  <si>
    <t>"/ifchvacdomain/lexical/ifcductsegmenttype.htm"</t>
  </si>
  <si>
    <t>"/ifcelectricaldomain/lexical/ifccablecarriersegment.htm"</t>
  </si>
  <si>
    <t>"/ifcelectricaldomain/lexical/ifccablecarriersegmenttype.htm"</t>
  </si>
  <si>
    <t>"/ifchvacdomain/lexical/ifcpipesegment.htm"</t>
  </si>
  <si>
    <t>"/ifchvacdomain/lexical/ifcpipesegmenttype.htm"</t>
  </si>
  <si>
    <t>"/ifcbuildingcontrolsdomain/lexical/ifcsensor.htm"</t>
  </si>
  <si>
    <t>"/ifcbuildingcontrolsdomain/lexical/ifcsensortype.htm"</t>
  </si>
  <si>
    <t>"/ifchvacdomain/lexical/ifccoil.htm"</t>
  </si>
  <si>
    <t>"/ifchvacdomain/lexical/ifccoiltype.htm"</t>
  </si>
  <si>
    <t>"/ifchvacdomain/lexical/ifcductsilencer.htm"</t>
  </si>
  <si>
    <t>"/ifchvacdomain/lexical/ifcductsilencertype.htm"</t>
  </si>
  <si>
    <t>"/ifcsharedbldgelements/lexical/ifcbuildingsystem.htm"</t>
  </si>
  <si>
    <t>"/ifcrepresentationresource/lexical/ifccoordinatereferencesystem.htm"</t>
  </si>
  <si>
    <t>"/ifcsharedbldgserviceelements/lexical/ifcdistributionsystem.htm"</t>
  </si>
  <si>
    <t>"/ifcproductextension/lexical/ifcsystem.htm"</t>
  </si>
  <si>
    <t>"/ifcsharedmgmtelements/lexical/ifcactionrequest.htm"</t>
  </si>
  <si>
    <t>"/ifcutilityresource/lexical/ifctablerow.htm"</t>
  </si>
  <si>
    <t>"/ifcutilityresource/lexical/ifctablecolumn.htm"</t>
  </si>
  <si>
    <t>"/ifcsharedmgmtelements/lexical/ifccostschedule.htm"</t>
  </si>
  <si>
    <t>"/ifcutilityresource/lexical/ifctable.htm"</t>
  </si>
  <si>
    <t>"/ifchvacdomain/lexical/ifctank.htm"</t>
  </si>
  <si>
    <t>"/ifchvacdomain/lexical/ifctanktype.htm"</t>
  </si>
  <si>
    <t>"/ifcsharedbldgelements/lexical/ifcroof.htm"</t>
  </si>
  <si>
    <t>"/ifcsharedbldgelements/lexical/ifcrooftype.htm"</t>
  </si>
  <si>
    <t>"/ifcdatetimeresource/lexical/ifclagtime.htm"</t>
  </si>
  <si>
    <t>"/ifcdatetimeresource/lexical/ifcresourcetime.htm"</t>
  </si>
  <si>
    <t>"/ifcdatetimeresource/lexical/ifcworktime.htm"</t>
  </si>
  <si>
    <t>"/ifcprocessextension/lexical/ifcevent.htm"</t>
  </si>
  <si>
    <t>"/ifcdatetimeresource/lexical/ifceventtime.htm"</t>
  </si>
  <si>
    <t>"/ifcprocessextension/lexical/ifceventtype.htm"</t>
  </si>
  <si>
    <t>"/ifccontrolextension/lexical/ifcperformancehistory.htm"</t>
  </si>
  <si>
    <t>"/ifcutilityresource/lexical/ifcownerhistory.htm"</t>
  </si>
  <si>
    <t>"/ifcprocessextension/lexical/ifcworkschedule.htm"</t>
  </si>
  <si>
    <t>"/ifcdatetimeresource/lexical/ifcschedulingtime.htm"</t>
  </si>
  <si>
    <t>"/ifcdatetimeresource/lexical/ifctimeperiod.htm"</t>
  </si>
  <si>
    <t>"/ifcquantityresource/lexical/ifcquantitytime.htm"</t>
  </si>
  <si>
    <t>"/ifcdatetimeresource/lexical/ifctimeseries.htm"</t>
  </si>
  <si>
    <t>"/ifcdatetimeresource/lexical/ifcirregulartimeseries.htm"</t>
  </si>
  <si>
    <t>"/ifcdatetimeresource/lexical/ifcirregulartimeseriesvalue.htm"</t>
  </si>
  <si>
    <t>"/ifcdatetimeresource/lexical/ifcregulartimeseries.htm"</t>
  </si>
  <si>
    <t>"/ifcdatetimeresource/lexical/ifctimeseriesvalue.htm"</t>
  </si>
  <si>
    <t>"/ifcprocessextension/lexical/ifctask.htm"</t>
  </si>
  <si>
    <t>"/ifcprocessextension/lexical/ifcworkcalendar.htm"</t>
  </si>
  <si>
    <t>"/ifcdatetimeresource/lexical/ifctasktime.htm"</t>
  </si>
  <si>
    <t>"/ifcprocessextension/lexical/ifcworkplan.htm"</t>
  </si>
  <si>
    <t>"/ifcdatetimeresource/lexical/ifctasktimerecurring.htm"</t>
  </si>
  <si>
    <t>"/ifcprocessextension/lexical/ifctasktype.htm"</t>
  </si>
  <si>
    <t>"/ifcstructuralelementsdomain/lexical/ifctendon.htm"</t>
  </si>
  <si>
    <t>"/ifcstructuralelementsdomain/lexical/ifctendontype.htm"</t>
  </si>
  <si>
    <t>"/ifchvacdomain/lexical/ifcairterminal.htm"</t>
  </si>
  <si>
    <t>"/ifchvacdomain/lexical/ifcairterminaltype.htm"</t>
  </si>
  <si>
    <t>"/ifchvacdomain/lexical/ifcairterminalbox.htm"</t>
  </si>
  <si>
    <t>"/ifchvacdomain/lexical/ifcairterminalboxtype.htm"</t>
  </si>
  <si>
    <t>"/ifcplumbingfireprotectiondomain/lexical/ifcfiresuppressionterminal.htm"</t>
  </si>
  <si>
    <t>"/ifcplumbingfireprotectiondomain/lexical/ifcfiresuppressionterminaltype.htm"</t>
  </si>
  <si>
    <t>"/ifcsharedbldgserviceelements/lexical/ifcflowterminal.htm"</t>
  </si>
  <si>
    <t>"/ifcsharedbldgserviceelements/lexical/ifcflowterminaltype.htm"</t>
  </si>
  <si>
    <t>"/ifcplumbingfireprotectiondomain/lexical/ifcwasteterminal.htm"</t>
  </si>
  <si>
    <t>"/ifcplumbingfireprotectiondomain/lexical/ifcwasteterminaltype.htm"</t>
  </si>
  <si>
    <t>"/ifcplumbingfireprotectiondomain/lexical/ifcstackterminal.htm"</t>
  </si>
  <si>
    <t>"/ifcplumbingfireprotectiondomain/lexical/ifcstackterminaltype.htm"</t>
  </si>
  <si>
    <t>"/ifcplumbingfireprotectiondomain/lexical/ifcsanitaryterminal.htm"</t>
  </si>
  <si>
    <t>"/ifcplumbingfireprotectiondomain/lexical/ifcsanitaryterminaltype.htm"</t>
  </si>
  <si>
    <t>"/ifcproductextension/lexical/ifcsite.htm"</t>
  </si>
  <si>
    <t>"/ifcpresentationdefinitionresource/lexical/ifctextliteral.htm"</t>
  </si>
  <si>
    <t>"/ifcpresentationdefinitionresource/lexical/ifctextliteralwithextent.htm"</t>
  </si>
  <si>
    <t>"/ifcelectricaldomain/lexical/ifcoutlet.htm"</t>
  </si>
  <si>
    <t>"/ifcelectricaldomain/lexical/ifcoutlettype.htm"</t>
  </si>
  <si>
    <t>"/ifctopologyresource/lexical/ifcpath.htm"</t>
  </si>
  <si>
    <t>"/ifctopologyresource/lexical/ifcloop.htm"</t>
  </si>
  <si>
    <t>"/ifctopologyresource/lexical/ifcedgeloop.htm"</t>
  </si>
  <si>
    <t>"/ifctopologyresource/lexical/ifcvertexloop.htm"</t>
  </si>
  <si>
    <t>"/ifchvacdomain/lexical/ifccoolingtower.htm"</t>
  </si>
  <si>
    <t>"/ifchvacdomain/lexical/ifccoolingtowertype.htm"</t>
  </si>
  <si>
    <t>"/ifcelectricaldomain/lexical/ifctransformer.htm"</t>
  </si>
  <si>
    <t>"/ifcelectricaldomain/lexical/ifctransformertype.htm"</t>
  </si>
  <si>
    <t>"/ifchvacdomain/lexical/ifcheatexchanger.htm"</t>
  </si>
  <si>
    <t>"/ifchvacdomain/lexical/ifcheatexchangertype.htm"</t>
  </si>
  <si>
    <t>"/ifchvacdomain/lexical/ifchumidifier.htm"</t>
  </si>
  <si>
    <t>"/ifchvacdomain/lexical/ifchumidifiertype.htm"</t>
  </si>
  <si>
    <t>"/ifcmeasureresource/lexical/ifcconversionbasedunit.htm"</t>
  </si>
  <si>
    <t>"/ifcmeasureresource/lexical/ifcconversionbasedunitwithoffset.htm"</t>
  </si>
  <si>
    <t>"/ifcelectricaldomain/lexical/ifcprotectivedevicetrippingunit.htm"</t>
  </si>
  <si>
    <t>"/ifcelectricaldomain/lexical/ifcprotectivedevicetrippingunittype.htm"</t>
  </si>
  <si>
    <t>"/ifcmeasureresource/lexical/ifcsiunit.htm"</t>
  </si>
  <si>
    <t>"/ifcmeasureresource/lexical/ifccontextdependentunit.htm"</t>
  </si>
  <si>
    <t>"/ifcmeasureresource/lexical/ifcderivedunit.htm"</t>
  </si>
  <si>
    <t>"/ifcmeasureresource/lexical/ifcderivedunitelement.htm"</t>
  </si>
  <si>
    <t>"/ifcmeasureresource/lexical/ifcunitassignment.htm"</t>
  </si>
  <si>
    <t>"/ifcconstraintresource/lexical/ifcmetric.htm"</t>
  </si>
  <si>
    <t>"/ifcmeasureresource/lexical/ifcmonetaryunit.htm"</t>
  </si>
  <si>
    <t>"/ifcmeasureresource/lexical/ifcnamedunit.htm"</t>
  </si>
  <si>
    <t>"/ifccostresource/lexical/ifcappliedvalue.htm"</t>
  </si>
  <si>
    <t>"/ifcquantityresource/lexical/ifcquantityarea.htm"</t>
  </si>
  <si>
    <t>"/ifcquantityresource/lexical/ifcquantitylength.htm"</t>
  </si>
  <si>
    <t>"/ifccostresource/lexical/ifccostvalue.htm"</t>
  </si>
  <si>
    <t>"/ifcpropertyresource/lexical/ifcpropertyboundedvalue.htm"</t>
  </si>
  <si>
    <t>"/ifcpropertyresource/lexical/ifcpropertyreferencevalue.htm"</t>
  </si>
  <si>
    <t>"/ifcpropertyresource/lexical/ifcpropertyenumeratedvalue.htm"</t>
  </si>
  <si>
    <t>"/ifcpropertyresource/lexical/ifcpropertylistvalue.htm"</t>
  </si>
  <si>
    <t>"/ifcpropertyresource/lexical/ifcpropertysinglevalue.htm"</t>
  </si>
  <si>
    <t>"/ifcpropertyresource/lexical/ifcpropertytablevalue.htm"</t>
  </si>
  <si>
    <t>"/ifchvacdomain/lexical/ifcvalve.htm"</t>
  </si>
  <si>
    <t>"/ifchvacdomain/lexical/ifcvalvetype.htm"</t>
  </si>
  <si>
    <t>"/ifchvacdomain/lexical/ifcfan.htm"</t>
  </si>
  <si>
    <t>"/ifchvacdomain/lexical/ifcfantype.htm"</t>
  </si>
  <si>
    <t>"/ifchvacdomain/lexical/ifccooledbeam.htm"</t>
  </si>
  <si>
    <t>"/ifchvacdomain/lexical/ifccooledbeamtype.htm"</t>
  </si>
  <si>
    <t>"/ifcsharedbldgelements/lexical/ifcbeam.htm"</t>
  </si>
  <si>
    <t>"/ifcsharedbldgelements/lexical/ifcbeamtype.htm"</t>
  </si>
  <si>
    <t>"/ifcproductextension/lexical/ifczone.htm"</t>
  </si>
  <si>
    <t>"/ifcproductextension/lexical/ifcspatialzone.htm"</t>
  </si>
  <si>
    <t>"/ifcproductextension/lexical/ifcspatialzonetype.htm"</t>
  </si>
  <si>
    <t>"/ifcgeometryresource/lexical/ifcmakearrayofarray.htm"</t>
  </si>
  <si>
    <t>"/ifcgeometryresource/lexical/ifclisttoarray.htm"</t>
  </si>
  <si>
    <t>"/ifcgeometricconstraintresource/lexical/ifccorrectlocalplacement.htm"</t>
  </si>
  <si>
    <t>"/ifckernel/lexical/ifccorrectobjectassignment.htm"</t>
  </si>
  <si>
    <t>"/ifcmeasureresource/lexical/ifccorrectunitassignment.htm"</t>
  </si>
  <si>
    <t>"/ifctopologyresource/lexical/ifcpathheadtotail.htm"</t>
  </si>
  <si>
    <t>"/ifctopologyresource/lexical/ifcloopheadtotail.htm"</t>
  </si>
  <si>
    <t>"/ifcrepresentationresource/lexical/ifcconvertdirectioninto2d.htm"</t>
  </si>
  <si>
    <t>"/ifcmeasureresource/lexical/ifccorrectdimensions.htm"</t>
  </si>
  <si>
    <t>"/ifcgeometryresource/lexical/ifccurvedim.htm"</t>
  </si>
  <si>
    <t>"/ifcmeasureresource/lexical/ifcderivedimensionalexponents.htm"</t>
  </si>
  <si>
    <t>"/ifcgeometricmodelresource/lexical/ifcpointlistdim.htm"</t>
  </si>
  <si>
    <t>"/ifcmeasureresource/lexical/ifcdimensionsforsiunit.htm"</t>
  </si>
  <si>
    <t>"/ifcgeometryresource/lexical/ifcbuildaxes.htm"</t>
  </si>
  <si>
    <t>"/ifcgeometryresource/lexical/ifcbuild2axes.htm"</t>
  </si>
  <si>
    <t>"/ifcgeometryresource/lexical/ifcsameaxis2placement.htm"</t>
  </si>
  <si>
    <t>"/ifcgeometryresource/lexical/ifcfirstprojaxis.htm"</t>
  </si>
  <si>
    <t>"/ifcgeometryresource/lexical/ifcsecondprojaxis.htm"</t>
  </si>
  <si>
    <t>"/ifctopologyresource/lexical/ifcbooleanchoose.htm"</t>
  </si>
  <si>
    <t>"/ifcpresentationappearanceresource/lexical/ifccorrectfillareastyle.htm"</t>
  </si>
  <si>
    <t>"/ifcmaterialresource/lexical/ifcmlstotalthickness.htm"</t>
  </si>
  <si>
    <t>"/ifcgeometryresource/lexical/ifcsamedirection.htm"</t>
  </si>
  <si>
    <t>"/ifcrepresentationresource/lexical/ifcsamevalidprecision.htm"</t>
  </si>
  <si>
    <t>"/ifcgeometryresource/lexical/ifcsamecartesianpoint.htm"</t>
  </si>
  <si>
    <t>"/ifcgeometryresource/lexical/ifcsamevalue.htm"</t>
  </si>
  <si>
    <t>"/ifckernel/lexical/ifcuniquepropertysetnames.htm"</t>
  </si>
  <si>
    <t>"/ifckernel/lexical/ifcuniquedefinitionnames.htm"</t>
  </si>
  <si>
    <t>"/ifckernel/lexical/ifcuniquepropertytemplatenames.htm"</t>
  </si>
  <si>
    <t>"/ifckernel/lexical/ifcuniquepropertyname.htm"</t>
  </si>
  <si>
    <t>"/ifcquantityresource/lexical/ifcuniquequantitynames.htm"</t>
  </si>
  <si>
    <t>"/ifcgeometryresource/lexical/ifcgetbasissurface.htm"</t>
  </si>
  <si>
    <t>"/ifcgeometricmodelresource/lexical/ifctaperedsweptareaprofiles.htm"</t>
  </si>
  <si>
    <t>"/ifcrepresentationresource/lexical/ifcshaperepresentationtypes.htm"</t>
  </si>
  <si>
    <t>"/ifcrepresentationresource/lexical/ifctopologyrepresentationtypes.htm"</t>
  </si>
  <si>
    <t>"/ifcgeometryresource/lexical/ifcconstraintsparambspline.htm"</t>
  </si>
  <si>
    <t>"/ifcgeometryresource/lexical/ifcassociatedsurface.htm"</t>
  </si>
  <si>
    <t>"/ifcgeometryresource/lexical/ifccurveweightspositive.htm"</t>
  </si>
  <si>
    <t>"/ifcgeometryresource/lexical/ifcsurfaceweightspositive.htm"</t>
  </si>
  <si>
    <t>"/ifcgeometryresource/lexical/ifcconsecutivesegments.htm"</t>
  </si>
  <si>
    <t>"/ifcgeometryresource/lexical/ifcorthogonalcomplement.htm"</t>
  </si>
  <si>
    <t>"/ifcgeometryresource/lexical/ifcvectordifference.htm"</t>
  </si>
  <si>
    <t>"/ifcgeometryresource/lexical/ifcbaseaxis.htm"</t>
  </si>
  <si>
    <t>"/ifcgeometryresource/lexical/ifcnormalise.htm"</t>
  </si>
  <si>
    <t>"/ifcgeometryresource/lexical/ifcdotproduct.htm"</t>
  </si>
  <si>
    <t>"/ifcgeometryresource/lexical/ifccrossproduct.htm"</t>
  </si>
  <si>
    <t>"/ifcgeometryresource/lexical/ifcvectorsum.htm"</t>
  </si>
  <si>
    <t>"/ifcgeometryresource/lexical/ifcscalartimesvector.htm"</t>
  </si>
  <si>
    <t>"/ifcrepresentationresource/lexical/ifcrepresentationcontextsamewcs.htm"</t>
  </si>
  <si>
    <t>"/ifckernel/lexical/ifcsingleprojectinstance.htm"</t>
  </si>
  <si>
    <t>"/ifcproductextension/qset/qto_openingelementbasequantities.htm"</t>
  </si>
  <si>
    <t>"/ifcsharedbldgelements/qset/qto_coveringbasequantities.htm"</t>
  </si>
  <si>
    <t>"/ifcbuildingcontrolsdomain/qset/qto_alarmbasequantities.htm"</t>
  </si>
  <si>
    <t>"/ifcproductextension/qset/qto_buildingstoreybasequantities.htm"</t>
  </si>
  <si>
    <t>"/ifcelectricaldomain/qset/qto_audiovisualappliancebasequantities.htm"</t>
  </si>
  <si>
    <t>"/ifcelectricaldomain/qset/qto_communicationsappliancebasequantities.htm"</t>
  </si>
  <si>
    <t>"/ifchvacdomain/qset/qto_spaceheaterbasequantities.htm"</t>
  </si>
  <si>
    <t>"/ifcbuildingcontrolsdomain/qset/qto_actuatorbasequantities.htm"</t>
  </si>
  <si>
    <t>"/ifchvacdomain/qset/qto_pumpbasequantities.htm"</t>
  </si>
  <si>
    <t>"/ifcelectricaldomain/qset/qto_junctionboxbasequantities.htm"</t>
  </si>
  <si>
    <t>"/ifchvacdomain/qset/qto_boilerbasequantities.htm"</t>
  </si>
  <si>
    <t>"/ifcsharedbldgserviceelements/qset/qto_distributionchamberelementbasequantities.htm"</t>
  </si>
  <si>
    <t>"/ifcsharedbldgelements/qset/qto_chimneybasequantities.htm"</t>
  </si>
  <si>
    <t>"/ifchvacdomain/qset/qto_chillerbasequantities.htm"</t>
  </si>
  <si>
    <t>"/ifcsharedbldgelements/qset/qto_railingbasequantities.htm"</t>
  </si>
  <si>
    <t>"/ifcsharedbldgelements/qset/qto_stairflightbasequantities.htm"</t>
  </si>
  <si>
    <t>"/ifcsharedbldgelements/qset/qto_rampflightbasequantities.htm"</t>
  </si>
  <si>
    <t>"/ifcsharedbldgelements/qset/qto_columnbasequantities.htm"</t>
  </si>
  <si>
    <t>"/ifchvacdomain/qset/qto_compressorbasequantities.htm"</t>
  </si>
  <si>
    <t>"/ifchvacdomain/qset/qto_condenserbasequantities.htm"</t>
  </si>
  <si>
    <t>"/ifcelectricaldomain/qset/qto_cablefittingbasequantities.htm"</t>
  </si>
  <si>
    <t>"/ifchvacdomain/qset/qto_ductfittingbasequantities.htm"</t>
  </si>
  <si>
    <t>"/ifcelectricaldomain/qset/qto_motorconnectionbasequantities.htm"</t>
  </si>
  <si>
    <t>"/ifcelectricaldomain/qset/qto_cablecarrierfittingbasequantities.htm"</t>
  </si>
  <si>
    <t>"/ifchvacdomain/qset/qto_pipefittingbasequantities.htm"</t>
  </si>
  <si>
    <t>"/ifcproductextension/qset/qto_buildingbasequantities.htm"</t>
  </si>
  <si>
    <t>"/ifcbuildingcontrolsdomain/qset/qto_controllerbasequantities.htm"</t>
  </si>
  <si>
    <t>"/ifcelectricaldomain/qset/qto_electrictimecontrolbasequantities.htm"</t>
  </si>
  <si>
    <t>"/ifchvacdomain/qset/qto_damperbasequantities.htm"</t>
  </si>
  <si>
    <t>"/ifcelectricaldomain/qset/qto_electricflowstoragedevicebasequantities.htm"</t>
  </si>
  <si>
    <t>"/ifcelectricaldomain/qset/qto_switchingdevicebasequantities.htm"</t>
  </si>
  <si>
    <t>"/ifcelectricaldomain/qset/qto_protectivedevicebasequantities.htm"</t>
  </si>
  <si>
    <t>"/ifcelectricaldomain/qset/qto_protectivedevicetrippingunitbasequantities.htm"</t>
  </si>
  <si>
    <t>"/ifcelectricaldomain/qset/qto_solardevicebasequantities.htm"</t>
  </si>
  <si>
    <t>"/ifcproductextension/qset/qto_projectionelementbasequantities.htm"</t>
  </si>
  <si>
    <t>"/ifcelectricaldomain/qset/qto_electricappliancebasequantities.htm"</t>
  </si>
  <si>
    <t>"/ifchvacdomain/qset/qto_unitaryequipmentbasequantities.htm"</t>
  </si>
  <si>
    <t>"/ifcbuildingcontrolsdomain/qset/qto_unitarycontrolelementbasequantities.htm"</t>
  </si>
  <si>
    <t>"/ifcproductextension/qset/qto_spacebasequantities.htm"</t>
  </si>
  <si>
    <t>"/ifchvacdomain/qset/qto_evaporatorbasequantities.htm"</t>
  </si>
  <si>
    <t>"/ifchvacdomain/qset/qto_tubebundlebasequantities.htm"</t>
  </si>
  <si>
    <t>"/ifchvacdomain/qset/qto_filterbasequantities.htm"</t>
  </si>
  <si>
    <t>"/ifcstructuralelementsdomain/qset/qto_footingbasequantities.htm"</t>
  </si>
  <si>
    <t>"/ifcstructuralelementsdomain/qset/qto_pilebasequantities.htm"</t>
  </si>
  <si>
    <t>"/ifcelectricaldomain/qset/qto_electricgeneratorbasequantities.htm"</t>
  </si>
  <si>
    <t>"/ifcbuildingcontrolsdomain/qset/qto_flowinstrumentbasequantities.htm"</t>
  </si>
  <si>
    <t>"/ifcplumbingfireprotectiondomain/qset/qto_interceptorbasequantities.htm"</t>
  </si>
  <si>
    <t>"/ifchvacdomain/qset/qto_vibrationisolatorbasequantities.htm"</t>
  </si>
  <si>
    <t>"/ifcsharedbldgelements/qset/qto_windowbasequantities.htm"</t>
  </si>
  <si>
    <t>"/ifcsharedbldgelements/qset/qto_slabbasequantities.htm"</t>
  </si>
  <si>
    <t>"/ifcelectricaldomain/qset/qto_lampbasequantities.htm"</t>
  </si>
  <si>
    <t>"/ifcelectricaldomain/qset/qto_lightfixturebasequantities.htm"</t>
  </si>
  <si>
    <t>"/ifchvacdomain/qset/qto_flowmeterbasequantities.htm"</t>
  </si>
  <si>
    <t>"/ifcsharedbldgelements/qset/qto_memberbasequantities.htm"</t>
  </si>
  <si>
    <t>"/ifcelectricaldomain/qset/qto_electricmotorbasequantities.htm"</t>
  </si>
  <si>
    <t>"/ifcsharedbldgelements/qset/qto_wallbasequantities.htm"</t>
  </si>
  <si>
    <t>"/ifcsharedbldgelements/qset/qto_curtainwallquantities.htm"</t>
  </si>
  <si>
    <t>"/ifcsharedbldgelements/qset/qto_platebasequantities.htm"</t>
  </si>
  <si>
    <t>"/ifcsharedbldgelements/qset/qto_doorbasequantities.htm"</t>
  </si>
  <si>
    <t>"/ifcsharedbldgelements/qset/qto_buildingelementproxyquantities.htm"</t>
  </si>
  <si>
    <t>"/ifcelectricaldomain/qset/qto_electricdistributionboardbasequantities.htm"</t>
  </si>
  <si>
    <t>"/ifchvacdomain/qset/qto_burnerbasequantities.htm"</t>
  </si>
  <si>
    <t>"/ifchvacdomain/qset/qto_airtoairheatrecoverybasequantities.htm"</t>
  </si>
  <si>
    <t>"/ifcconstructionmgmtdomain/qset/qto_constructionequipmentresourcebasequantities.htm"</t>
  </si>
  <si>
    <t>"/ifcconstructionmgmtdomain/qset/qto_constructionmaterialresourcebasequantities.htm"</t>
  </si>
  <si>
    <t>"/ifcconstructionmgmtdomain/qset/qto_laborresourcebasequantities.htm"</t>
  </si>
  <si>
    <t>"/ifcstructuralelementsdomain/qset/qto_reinforcingelementbasequantities.htm"</t>
  </si>
  <si>
    <t>"/ifchvacdomain/qset/qto_evaporativecoolerbasequantities.htm"</t>
  </si>
  <si>
    <t>"/ifcelectricaldomain/qset/qto_cablesegmentbasequantities.htm"</t>
  </si>
  <si>
    <t>"/ifchvacdomain/qset/qto_ductsegmentbasequantities.htm"</t>
  </si>
  <si>
    <t>"/ifcelectricaldomain/qset/qto_cablecarriersegmentbasequantities.htm"</t>
  </si>
  <si>
    <t>"/ifchvacdomain/qset/qto_pipesegmentbasequantities.htm"</t>
  </si>
  <si>
    <t>"/ifcbuildingcontrolsdomain/qset/qto_sensorbasequantities.htm"</t>
  </si>
  <si>
    <t>"/ifchvacdomain/qset/qto_coilbasequantities.htm"</t>
  </si>
  <si>
    <t>"/ifchvacdomain/qset/qto_ductsilencerbasequantities.htm"</t>
  </si>
  <si>
    <t>"/ifcproductextension/qset/qto_sitebasequantities.htm"</t>
  </si>
  <si>
    <t>"/ifchvacdomain/qset/qto_tankbasequantities.htm"</t>
  </si>
  <si>
    <t>"/ifcsharedbldgelements/qset/qto_roofbasequantities.htm"</t>
  </si>
  <si>
    <t>"/ifchvacdomain/qset/qto_airterminalbasequantities.htm"</t>
  </si>
  <si>
    <t>"/ifchvacdomain/qset/qto_airterminalboxtypebasequantities.htm"</t>
  </si>
  <si>
    <t>"/ifcplumbingfireprotectiondomain/qset/qto_firesuppressionterminalbasequantities.htm"</t>
  </si>
  <si>
    <t>"/ifcplumbingfireprotectiondomain/qset/qto_wasteterminalbasequantities.htm"</t>
  </si>
  <si>
    <t>"/ifcplumbingfireprotectiondomain/qset/qto_stackterminalbasequantities.htm"</t>
  </si>
  <si>
    <t>"/ifcplumbingfireprotectiondomain/qset/qto_sanitaryterminalbasequantities.htm"</t>
  </si>
  <si>
    <t>"/ifcelectricaldomain/qset/qto_outletbasequantities.htm"</t>
  </si>
  <si>
    <t>"/ifchvacdomain/qset/qto_coolingtowerbasequantities.htm"</t>
  </si>
  <si>
    <t>"/ifcelectricaldomain/qset/qto_transformerbasequantities.htm"</t>
  </si>
  <si>
    <t>"/ifchvacdomain/qset/qto_heatexchangerbasequantities.htm"</t>
  </si>
  <si>
    <t>"/ifchvacdomain/qset/qto_humidifierbasequantities.htm"</t>
  </si>
  <si>
    <t>"/ifchvacdomain/qset/qto_valvebasequantities.htm"</t>
  </si>
  <si>
    <t>"/ifchvacdomain/qset/qto_fanbasequantities.htm"</t>
  </si>
  <si>
    <t>"/ifcsharedbldgelements/qset/qto_beambasequantities.htm"</t>
  </si>
  <si>
    <t>"/ifchvacdomain/qset/qto_cooledbeambasequantities.htm"</t>
  </si>
  <si>
    <t>https://standards.buildingsmart.org/IFC/RELEASE/IFC4/ADD2_TC1/HTML/schema</t>
  </si>
  <si>
    <t>Link do Esquema</t>
  </si>
  <si>
    <t>"É Elemento Estrutural de Suporte?"</t>
  </si>
  <si>
    <t>"Força de Cisalhamento - Área Deformada Y"</t>
  </si>
  <si>
    <t>"Força de Cisalhamento - Área Deformada Z"</t>
  </si>
  <si>
    <t>"Força de Cisalhamento - Área Y"</t>
  </si>
  <si>
    <t>"Força de Cisalhamento - Área Z"</t>
  </si>
  <si>
    <t>"Força de Cisalhamento - Centro Y"</t>
  </si>
  <si>
    <t>"Força de Cisalhamento - Centro Z"</t>
  </si>
  <si>
    <t>"Força de Cisalhamento - Módulo"</t>
  </si>
  <si>
    <t>"Comprimento de Borda do Degrau"</t>
  </si>
  <si>
    <t>dado.ifc</t>
  </si>
  <si>
    <t>"COMPLEX"</t>
  </si>
  <si>
    <t>"Número Complexo em IFC"</t>
  </si>
  <si>
    <t>"IfcComplexNumber"</t>
  </si>
  <si>
    <t>"/ifcmeasureresource/lexical/ifccomplexnumber.htm"</t>
  </si>
  <si>
    <t>"IfcComplexPropertyTemplateTypeEnum"</t>
  </si>
  <si>
    <t>"Tipos Enumerados de Modelo de Propriedade Complexa"</t>
  </si>
  <si>
    <t>"/ifckernel/lexical/ifccomplexpropertytemplatetypeenum.htm"</t>
  </si>
  <si>
    <t>"IfcComplexPropertyTemplate"</t>
  </si>
  <si>
    <t>"Entidade de Modelo de Propriedade Complexa"</t>
  </si>
  <si>
    <t>"/ifckernel/lexical/ifccomplexpropertytemplate.htm"</t>
  </si>
  <si>
    <t>"IfcComplexProperty"</t>
  </si>
  <si>
    <t>"Entidade de Propriedade Complexa"</t>
  </si>
  <si>
    <t>"/ifcpropertyresource/lexical/ifccomplexproperty.htm"</t>
  </si>
  <si>
    <t>"IfcPhysicalComplexQuantity"</t>
  </si>
  <si>
    <t>"Entidade de Quantidade Física Complexa"</t>
  </si>
  <si>
    <t>"/ifcquantityresource/lexical/ifcphysicalcomplexquantity.htm"</t>
  </si>
  <si>
    <t>tipo.ifc</t>
  </si>
  <si>
    <t>enumeração.ifc</t>
  </si>
  <si>
    <t>seleção.ifc</t>
  </si>
  <si>
    <t>entidade.ifc</t>
  </si>
  <si>
    <t>função.ifc</t>
  </si>
  <si>
    <t>regra.ifc</t>
  </si>
  <si>
    <t>qto.ifc</t>
  </si>
  <si>
    <t>"São dados que admitem um valor único, que pode ser um número, um texto ou valor binário"</t>
  </si>
  <si>
    <t>"São dados que admitem valor de referência"</t>
  </si>
  <si>
    <t>"São dados que admitem valores limitados entre um valor Mínimo e Máximo"</t>
  </si>
  <si>
    <t>"São dados que representan valores em Tabelas"</t>
  </si>
  <si>
    <t>"São dados que representan valores em Listas"</t>
  </si>
  <si>
    <t>"São dados que representan valores de números complexos"</t>
  </si>
  <si>
    <t>"São dados que representan tipos enumerados. Sempre são valores textuais xs:string"</t>
  </si>
  <si>
    <t>"Representa o valor de uma propriedade que usa um único valor  que pode ser numérico ou descritivo"</t>
  </si>
  <si>
    <t>"Representa uma lista de tipos predefinidos de classes de objetos. Incluem as opções de OTHER, UNSET e NOTKNOWN"</t>
  </si>
  <si>
    <t>"Representar informações quantitativas de modelos de informação da construção. Os QTOs definem uma forma consistente de medir, calcular e relatar quantidades físicas de elementos construtivos, como comprimento, área, volume, peso e contagem. Essas quantidades são essenciais para estimativas de custo, planejamento, aquisição de materiais e outras atividades de gestão da construção."</t>
  </si>
  <si>
    <t>Ifc.Explica</t>
  </si>
  <si>
    <t>é.explicado.em</t>
  </si>
  <si>
    <t>Explica.Pro</t>
  </si>
  <si>
    <t>Explica.Enu</t>
  </si>
  <si>
    <t>Explica.Sel</t>
  </si>
  <si>
    <t>Explica.Ent</t>
  </si>
  <si>
    <t>Explica.Fun</t>
  </si>
  <si>
    <t>Explica.Reg</t>
  </si>
  <si>
    <t>Explica.Qto</t>
  </si>
  <si>
    <t>"Explicação de Tipos Selecionados IFC"</t>
  </si>
  <si>
    <t>Explica.DadoSgl</t>
  </si>
  <si>
    <t>Explica.DadoEnu</t>
  </si>
  <si>
    <t>Explica.DadoRef</t>
  </si>
  <si>
    <t>Explica.DadoBou</t>
  </si>
  <si>
    <t>Explica.DadoTab</t>
  </si>
  <si>
    <t>Explica.DadoLis</t>
  </si>
  <si>
    <t>Explica.DadoCpx</t>
  </si>
  <si>
    <t>0.Dado</t>
  </si>
  <si>
    <t>"Cor do Bulbo"</t>
  </si>
  <si>
    <t>"Cor de Tamponamento"</t>
  </si>
  <si>
    <t>"Cor Superficial"</t>
  </si>
  <si>
    <t>"Conteúdo de Óxido Nitroso (N₂O)"</t>
  </si>
  <si>
    <t>"Conteúdo de Dióxido de Carbono (CO₂)"</t>
  </si>
  <si>
    <t>"Capacidade ICS Máxima do Disjuntor "</t>
  </si>
  <si>
    <t>É.Instância</t>
  </si>
  <si>
    <t>É.Tipo</t>
  </si>
  <si>
    <t>É.Raiz0</t>
  </si>
  <si>
    <t>É.Raiz1</t>
  </si>
  <si>
    <t>É.Raiz2</t>
  </si>
  <si>
    <t>É.Raiz3</t>
  </si>
  <si>
    <t>É.Raiz4</t>
  </si>
  <si>
    <t>É.Raiz5</t>
  </si>
  <si>
    <t>Ifc.Hierarquia</t>
  </si>
  <si>
    <t>é.dentro.de</t>
  </si>
  <si>
    <t>é.entidade.ifc</t>
  </si>
  <si>
    <t>"Para relacionar os objetos a suas propriedades às entidades IfcPropertySet"</t>
  </si>
  <si>
    <t>É.MetaProp</t>
  </si>
  <si>
    <t>"É Raiz de Nivel 5 do IFC. Está embaixo da Raiz de Nível 4."</t>
  </si>
  <si>
    <t>"É Raiz de Nivel 3 do IFC. Está embaixo da Raiz de Nível 2."</t>
  </si>
  <si>
    <t>"É Raiz de Nivel 1 do IFC. Está embaixo da Raiz Principal."</t>
  </si>
  <si>
    <t>"É Raiz de Nivel 2 do IFC. Está embaixo da Raiz de Nível 1."</t>
  </si>
  <si>
    <t>"É Raiz de Nivel 4 do IFC. Está embaixo da Raiz de Nível 3."</t>
  </si>
  <si>
    <t>"É a Raiz Principal do IFC. Representada pela entidade IfcRoot."</t>
  </si>
  <si>
    <t>"As entidades IFC represemtam objetos concretos como paredes, espaços, materiais, geometria, relacionamentos e processos. Elas descrevem como são esses objetos e como se conectam aos outros objetos de um modelo BIM. As Classes das entidades estão ordenadas por domínios específicos. Arquitetura, Estrutura, Sistemas, etc. Podem ser elementos físicos organizados nas raizes IfcElement e sua subordinada IfcBuildingElement, que representam componentes construtivos como IfcWall, IfcSlab, IfcBeam, IfcColumn, IfcDoor, IfcWindow, IfcStair, IfcRailing, IfcFurniture. ou os elementos das instalações prediais IfcDistributionElement (HVAC, elétrica, hidráulica). As entidades podem aparecer em duas formas: como instâncias colocadas no modelo ou como tipos referenciados (Instância  IfcFlowMeter ou tipo IfcFlowMeterType, por exemplo). Outras entidades representam as características no nível geométrico dos objetos dentro de  IfcRepresentation, como IfcShapeRepresentation, IfcExtrudedAreaSolid, IfcFacetedBrep, IfcMappedItem, etc. Permitem que o mesmo objeto tenha múltiplas representações seja em 3D, em 2D, ou de modo Unifilar simplificado. O ordenamento espacial do projeto é representado por entidades cuja raiz é IfcSpatialStructureElement. Elas definem a localização, andares, ambientes e zonas: IfcSite, IfcBuilding, IfcBuildingStorey, IfcSpace. Os relacionamentos conectivos entre entidades são definidos por entidades cuja raiz é IfcRelationship. Elas conectam objetos e definem significados como agregados parte-todo IfcRelAggregates, IfcRelContainedInSpatialStructure (elementos incluídos em espaços), IfcRelDefinesByProperties (relações definidas em propriedades), IfcRelConnectsElements (conexões físicas entre elementos)."</t>
  </si>
  <si>
    <t>É.Definição</t>
  </si>
  <si>
    <t>É.Geometria</t>
  </si>
  <si>
    <t>É.InstânciaEspacial</t>
  </si>
  <si>
    <t>É.TipoEspacial</t>
  </si>
  <si>
    <t>É.Relação</t>
  </si>
  <si>
    <t>É.Enumeração</t>
  </si>
  <si>
    <t>É.Função</t>
  </si>
  <si>
    <t>É.Regra</t>
  </si>
  <si>
    <t>É.Propriedade</t>
  </si>
  <si>
    <t>É.Quantidade</t>
  </si>
  <si>
    <t>Ifc.Informa</t>
  </si>
  <si>
    <t>Explica.Inf</t>
  </si>
  <si>
    <t>É.Informação</t>
  </si>
  <si>
    <t>É.TipoSelecionável</t>
  </si>
  <si>
    <t>"Este Indivíduo é uma entidade Instanciada de natureza Construtiva IFC"</t>
  </si>
  <si>
    <t>"Este Indivíduo é uma entidade Instanciada de natureza Espacial IFC"</t>
  </si>
  <si>
    <t>"Este Indivíduo é uma entidade Tipo de natureza Construtiva IFC"</t>
  </si>
  <si>
    <t>"Este Indivíduo é uma entidade Tipo de natureza Espacial IFC"</t>
  </si>
  <si>
    <t>"Este Indivíduo é entidade relacionada com as Propriedades dos objetos IFC"</t>
  </si>
  <si>
    <t>"Este Indivíduo é entidade relacionada com as Definições dos objetos IFC"</t>
  </si>
  <si>
    <t>"Este Indivíduo é entidade de natureza Geométrica"</t>
  </si>
  <si>
    <t>"Este Indivíduo é entidade é de natureza Relacional"</t>
  </si>
  <si>
    <t>"Este Indivíduo é uma Enumeração de Tipos predefinidos para associar com as entidades de IFC"</t>
  </si>
  <si>
    <t>"Este Indivíduo é uma Regra definida"</t>
  </si>
  <si>
    <t>"Este Indivíduo é uma Função definida"</t>
  </si>
  <si>
    <t>"Este Indivíduo é um objeto de natureza Informacional, como medidas, etiquetas, textos, valores, etc"</t>
  </si>
  <si>
    <t>"Este Indivíduo é um objeto de natureza Quantity Take Off (Qto)"</t>
  </si>
  <si>
    <t>"Este Indivíduo é um objeto de natureza Selected Type"</t>
  </si>
  <si>
    <t>"Explicação de Entidades com Informação IFC como medidas, textos, etiquetas, etc"</t>
  </si>
  <si>
    <t>"Explicação de Enumerações de tipos IFC que são predefinições tipificadas do esquema IFC"</t>
  </si>
  <si>
    <t>"Explicação de Regras IFC. Apenas 2 regras."</t>
  </si>
  <si>
    <t>"Explicação de Funções IFC. Executam operações vetoriais ou de cálculo em geral"</t>
  </si>
  <si>
    <t>"Este Indivíduo é um objeto de natureza Meta propriedade usado quando os objetos são compostos por vários tipos de propriedades"</t>
  </si>
  <si>
    <t>Declara as Propriedades que estão definidas no esquema IFC</t>
  </si>
  <si>
    <t>Declara se o objeto é uma elemento que contêm um valor de Informação como uma Medida ou uma Etiqueta textual</t>
  </si>
  <si>
    <t>Declara os objetos definidos como Enumerações de Tipos predefinidos no esquema IFC</t>
  </si>
  <si>
    <t>Declara os objetos definidos como Selected Types no esquema IFC</t>
  </si>
  <si>
    <t>Declara as Entidades do esquema IFC</t>
  </si>
  <si>
    <t>Declara as Entidades correspondentes a Funções de Cálculos do esquema IFC</t>
  </si>
  <si>
    <t>Declara as Entidades correspondentes a Regras do esquema IFC</t>
  </si>
  <si>
    <t>Declara as Entidades correspondentes aos Quantity Take Off (Qto)  do esquema IFC</t>
  </si>
  <si>
    <t>Explica com maior profundidade os conceitos do esquema IFC</t>
  </si>
  <si>
    <t>Declara a que nível da Hierarquia corresponde o Elemento IFC, por Exemplo IfcRoot = 0, IfcObjectDefinition = 1, IfcObject = 2, etc...</t>
  </si>
  <si>
    <t>Declares the Properties that are defined in the IFC schema</t>
  </si>
  <si>
    <t>Declares whether the object is an element containing an Information value such as a Measure or a Textual Label</t>
  </si>
  <si>
    <t>Declares objects defined as predefined Type Enumerations in the IFC schema</t>
  </si>
  <si>
    <t>Declares the objects defined as Selected Types in the IFC schema</t>
  </si>
  <si>
    <t>Declares the IFC Scheme Entities</t>
  </si>
  <si>
    <t>Declares the Entities corresponding to IFC schema Calculation Functions</t>
  </si>
  <si>
    <t>Declares the Entities corresponding to IFC Schema Rules</t>
  </si>
  <si>
    <t>Declares the Entities corresponding to the Quantity Take Off (Qto) of the IFC schema</t>
  </si>
  <si>
    <t>Further explains the concepts of the IFC scheme</t>
  </si>
  <si>
    <t>Declares to which level of the Hierarchy the IFC Element corresponds, for example IfcRoot = 0, IfcObjectDefinition = 1, IfcObject = 2, etc...</t>
  </si>
  <si>
    <t>Declara las Propiedades que están definidas en el esquema IFC</t>
  </si>
  <si>
    <t>Declara si el objeto es un elemento que contiene un valor de Información como una Medida o una Etiqueta Textual</t>
  </si>
  <si>
    <t>Declara objetos definidos como Enumeraciones de Tipos predefinidas en el esquema IFC</t>
  </si>
  <si>
    <t>Declara los objetos definidos como Tipos Seleccionados en el esquema IFC</t>
  </si>
  <si>
    <t>Declara las entidades del esquema IFC</t>
  </si>
  <si>
    <t>Declara las Entidades correspondientes a las Funciones de Cálculo del esquema IFC</t>
  </si>
  <si>
    <t>Declara las Entidades correspondientes a las Reglas de Esquema IFC</t>
  </si>
  <si>
    <t>Declara las Entidades correspondientes a la Toma de Cantidad (Qto) del esquema IFC</t>
  </si>
  <si>
    <t>Explica además los conceptos del esquema IFC</t>
  </si>
  <si>
    <t>Declara a qué nivel de la Jerarquía corresponde el Elemento IFC, por ejemplo IfcRoot = 0, IfcObjectDefinition = 1, IfcObject = 2, etc...</t>
  </si>
  <si>
    <t>IFC</t>
  </si>
  <si>
    <t>Ifc.Natureza</t>
  </si>
  <si>
    <t>É.Temporal</t>
  </si>
  <si>
    <t>É.Virtual</t>
  </si>
  <si>
    <t>"Este Indivíduo é um objeto de natureza Temporal"</t>
  </si>
  <si>
    <t>"Este Indivíduo é um objeto de natureza Física Material"</t>
  </si>
  <si>
    <t>"Este Indivíduo é um objeto de natureza Virtual"</t>
  </si>
  <si>
    <t>É.Física</t>
  </si>
  <si>
    <t>Declara a natureza de um Indivíduo da Ontologia IFC. Por exemplo, IfcWall é uma Instância e IfcWallType é um Tipo. Podem ser atribuídas mais de uma natureza aos indivíduos. Por Exemplo, IfcWall é uma Instância de natureza Física. Ou seja tem uma materialidade definida no modelo. IfcWallTypeEnum é de natureza Enumerativa e Virtual, pois embora haja vários tipos de paredes predefinidas como tipo, elas são representações ainda virtuais para o projeto.</t>
  </si>
  <si>
    <t>Declara la naturaleza de un individuo con ontología IFC. Por ejemplo, IfcWall es una Instancia e IfcWallType es un Tipo. Se puede atribuir a más de una naturaleza a los individuos. Por ejemplo, IfcWall es una Instancia de Naturaleza Física. Es decir, tiene una materialidad definida en el modelo. IfcWallTypeEnum es de naturaleza enumerativa y virtual, porque aunque existen varios tipos de muros predefinidos como tipos, siguen siendo representaciones virtuales para el proyecto.</t>
  </si>
  <si>
    <t>Declares the nature of an IFC Ontology Individual. For example, IfcWall is an Instance and IfcWallType is a Type. More than one nature can be attributed to individuals. For example, IfcWall is an Instance of Physical nature. That is, it has a materiality defined in the model. IfcWallTypeEnum is Enumerative and Virtual in nature, because although there are several types of predefined walls as a type, they are still virtual representations for the project.</t>
  </si>
  <si>
    <t>"Entidade de Parede Diferente"</t>
  </si>
  <si>
    <t>É.Arquitetura</t>
  </si>
  <si>
    <t>É.Circulação</t>
  </si>
  <si>
    <t>É.Mobiliário</t>
  </si>
  <si>
    <t>Ifc.Domínio</t>
  </si>
  <si>
    <t>Declara o dominio específico do projeto (Arquitetura, Estrutura, Hidráulica, etc).</t>
  </si>
  <si>
    <t>Declara el dominio específico del proyecto (Arquitectura, Estructura, Hidráulica, etc.).</t>
  </si>
  <si>
    <t>Declares the specific domain of the project (Architecture, Structure, Hydraulics, etc).</t>
  </si>
  <si>
    <t>é.domínio</t>
  </si>
  <si>
    <t>É.Adefinir</t>
  </si>
  <si>
    <t>"Este Indivíduo pertence a um domínio que ainda será definido"</t>
  </si>
  <si>
    <t>"Este indivívuo pertence ao domínio de Arquitetura"</t>
  </si>
  <si>
    <t>"Este indivívuo pertence ao domínio de Mobiliário"</t>
  </si>
  <si>
    <t>"Este indivívuo pertence ao domínio de Esgoto Secundário"</t>
  </si>
  <si>
    <t>"Este indivívuo pertence ao domínio de Esgoto Primário"</t>
  </si>
  <si>
    <t>É.Elétrica.de.Força</t>
  </si>
  <si>
    <t>É.Elétrica.de.Uso.Geral</t>
  </si>
  <si>
    <t>É.Elétrica.de.Uso.Específico</t>
  </si>
  <si>
    <t>"Este indivívuo pertence ao domínio de Elétrica de Uso Geral"</t>
  </si>
  <si>
    <t>"Este indivívuo pertence ao domínio de Elétrica de Uso Específico"</t>
  </si>
  <si>
    <t>"Este indivívuo pertence ao domínio de Elétrica de Força"</t>
  </si>
  <si>
    <t>"Este indivívuo pertence ao domínio de Elétrica de Emergência"</t>
  </si>
  <si>
    <t>"Este indivívuo pertence ao domínio de Elétrica de Baixa Tensão"</t>
  </si>
  <si>
    <t>"Este indivívuo pertence ao domínio de Esgoto Ventilação"</t>
  </si>
  <si>
    <t>"Este indivívuo pertence ao domínio de Esgotos Especiais"</t>
  </si>
  <si>
    <t>É.Esquadrias</t>
  </si>
  <si>
    <t>É.Estrutural.Contraventamento</t>
  </si>
  <si>
    <t>"Este indivívuo pertence ao domínio de Estrutura de Fundação"</t>
  </si>
  <si>
    <t>"Este indivívuo pertence ao domínio de Estrutura de Superestrutura"</t>
  </si>
  <si>
    <t>"Este indivívuo pertence ao domínio de Estrutura de Contraventamento"</t>
  </si>
  <si>
    <t>"Este indivívuo pertence ao domínio de Luminotécnica, Lâmpadas e Luminárias"</t>
  </si>
  <si>
    <t>"Este indivívuo pertence ao domínio de Circulação, escadas, rampas e corrimãos"</t>
  </si>
  <si>
    <t>É.Esquadrias.Envoltória</t>
  </si>
  <si>
    <t>É.Esquadrias.Internas</t>
  </si>
  <si>
    <t>É.Avac.Insuflamento</t>
  </si>
  <si>
    <t>É.Avac.Retorno</t>
  </si>
  <si>
    <t>É.Avac.Exaustão</t>
  </si>
  <si>
    <t>"Este indivívuo pertence ao domínio de Avac de Retorno"</t>
  </si>
  <si>
    <t>"Este indivívuo pertence ao domínio de Avac de Insuflamento"</t>
  </si>
  <si>
    <t>"Este indivívuo pertence ao domínio de Avac de Exaustão"</t>
  </si>
  <si>
    <t>É.Hidráulica.AF</t>
  </si>
  <si>
    <t>É.Hidráulica.AQ</t>
  </si>
  <si>
    <t>É.Hidráulica.RE</t>
  </si>
  <si>
    <t>"Este indivívuo pertence ao domínio de Hidráulica de Água Fria"</t>
  </si>
  <si>
    <t>"Este indivívuo pertence ao domínio de Hidráulica de Água Quente"</t>
  </si>
  <si>
    <t>"Este indivívuo pertence ao domínio de Hidráulica de Agua de Reuso"</t>
  </si>
  <si>
    <t>É.Incêndio</t>
  </si>
  <si>
    <t>"Este indivívuo pertence ao domínio de Incêndio"</t>
  </si>
  <si>
    <t>É.Elétrica.Proteção</t>
  </si>
  <si>
    <t>"Este indivívuo pertence ao domínio de Elétrica de Proteção e Aterramento"</t>
  </si>
  <si>
    <t>código</t>
  </si>
  <si>
    <t>"ARQ"</t>
  </si>
  <si>
    <t>"ESQ"</t>
  </si>
  <si>
    <t>"CIR"</t>
  </si>
  <si>
    <t>"MOB"</t>
  </si>
  <si>
    <t>"ADE"</t>
  </si>
  <si>
    <t>"REDE-TEL"</t>
  </si>
  <si>
    <t>"REDE-SOL"</t>
  </si>
  <si>
    <t>"REDE-ELE"</t>
  </si>
  <si>
    <t>"REDE-ESG"</t>
  </si>
  <si>
    <t>"REDE-HID"</t>
  </si>
  <si>
    <t>É.Rede.Solar</t>
  </si>
  <si>
    <t>É.Rede.Elétrica</t>
  </si>
  <si>
    <t>É.Rede.Telecom</t>
  </si>
  <si>
    <t>É.Rede.Esgoto</t>
  </si>
  <si>
    <t>É.Rede.Hidráulica</t>
  </si>
  <si>
    <t>É.Rede.Incêndio</t>
  </si>
  <si>
    <t>"REDE-INC"</t>
  </si>
  <si>
    <t>É.Esgoto.Primário</t>
  </si>
  <si>
    <t>É.Esgoto.Secundário</t>
  </si>
  <si>
    <t>É.Esgoto.Ventilado</t>
  </si>
  <si>
    <t>É.Esgoto.Especial</t>
  </si>
  <si>
    <t>É.Esgoto.Perigoso</t>
  </si>
  <si>
    <t>É.Elétrica.Emergência</t>
  </si>
  <si>
    <t>É.Elétrica.BT</t>
  </si>
  <si>
    <t>"Este indivívuo pertence ao domínio de Conexão da Energia Solar. Do Ponto de Entrega até Inversores"</t>
  </si>
  <si>
    <t>"Este indivívuo pertence ao domínio de Conexão de Esgoto. Da Caixa de Inspeção até Coletor"</t>
  </si>
  <si>
    <t>"Este indivívuo pertence ao domínio de Conexão de Incêndio. Da Reserva até Ponto de Engate"</t>
  </si>
  <si>
    <t>"Este indivívuo pertence ao domínio de Conexão de Hidráulica. Do Ponto de Entrega até as Cisternas"</t>
  </si>
  <si>
    <t>"Este indivívuo pertence ao domínio de Conexão de Telecom. Do Ponto de Entrega até Hub Interno"</t>
  </si>
  <si>
    <t>"Este indivívuo pertence ao domínio de Conexão de Elétrica. Do Ponto de Entrega até Medidores"</t>
  </si>
  <si>
    <t>"MAS"</t>
  </si>
  <si>
    <t>"PLA"</t>
  </si>
  <si>
    <t>É.PrP.Massa</t>
  </si>
  <si>
    <t>É.PrP.Plano</t>
  </si>
  <si>
    <t>"Este indivívuo pertence ao domínio de Planos de Projeto de Estudo Preliminar"</t>
  </si>
  <si>
    <t>"Este indivívuo pertence ao domínio de Massas Volumétricas  de Projeto de Estudo Preliminar"</t>
  </si>
  <si>
    <t>É.Telecom.Backbone</t>
  </si>
  <si>
    <t>É.Telecom.Distribuição</t>
  </si>
  <si>
    <t>"Este indivívuo pertence ao domínio de Telecom Distribuição Interna"</t>
  </si>
  <si>
    <t>"Este indivívuo pertence ao domínio de Telecom BackBone Interno"</t>
  </si>
  <si>
    <t>"Este indivívuo pertence ao domínio de Luminotécnica de Emergência"</t>
  </si>
  <si>
    <t>É.Luz.Geral</t>
  </si>
  <si>
    <t>É.Luz.Emergência</t>
  </si>
  <si>
    <t>É.Tubulações</t>
  </si>
  <si>
    <t>É.Dutagem</t>
  </si>
  <si>
    <t>É.Cabeamentos</t>
  </si>
  <si>
    <t>É.Estrutural.Super</t>
  </si>
  <si>
    <t>É.Estrutural.Infra</t>
  </si>
  <si>
    <t>"TUB"</t>
  </si>
  <si>
    <t>"DUT"</t>
  </si>
  <si>
    <t>"CAB"</t>
  </si>
  <si>
    <t>É.Rede.Gás</t>
  </si>
  <si>
    <t>"REDE-GAS"</t>
  </si>
  <si>
    <t>"Este indivívuo pertence ao domínio de Conexão da Gás. Do Ponto de Entrega até Medidores"</t>
  </si>
  <si>
    <t>"ESQ-I"</t>
  </si>
  <si>
    <t>"ESQ-E"</t>
  </si>
  <si>
    <t>"EST-S"</t>
  </si>
  <si>
    <t>"EST-X"</t>
  </si>
  <si>
    <t>É.Vedações.Alvenaria</t>
  </si>
  <si>
    <t>É.Vedações.Divisórias</t>
  </si>
  <si>
    <t>"VED-A"</t>
  </si>
  <si>
    <t>"VED-D"</t>
  </si>
  <si>
    <t>É.Vedações.Muros</t>
  </si>
  <si>
    <t>"VED-M"</t>
  </si>
  <si>
    <t>É.Vedações.Coberturas</t>
  </si>
  <si>
    <t>"VED-C"</t>
  </si>
  <si>
    <t>"Este indivívuo pertence ao domínio de Vedações Superiores como Coberturas"</t>
  </si>
  <si>
    <t>"Este indivívuo pertence ao domínio de Vedações Leves como Divisórias Navais e Sistemas de DryWall"</t>
  </si>
  <si>
    <t>"Este indivívuo pertence ao domínio de Vedações Fixas como Alvenarias Altas e Baixas"</t>
  </si>
  <si>
    <t>"Este indivívuo pertence ao domínio de Vedações Fixas como Muros Especiais"</t>
  </si>
  <si>
    <t>"AVA-I"</t>
  </si>
  <si>
    <t>"AVA-R"</t>
  </si>
  <si>
    <t>"AVA-E"</t>
  </si>
  <si>
    <t>"AVA-A"</t>
  </si>
  <si>
    <t>É.Avac.Aparelhos</t>
  </si>
  <si>
    <t>"Este indivívuo pertence ao domínio de Avac de Aparelhos de Climatização Independentes"</t>
  </si>
  <si>
    <t>"Este indivívuo pertence ao domínio de Esquadrias em Geral como Portas, Janelas e Brises"</t>
  </si>
  <si>
    <t>"Este indivívuo pertence ao domínio de Esquadrias Interiores. Usar para dar maior especificidade"</t>
  </si>
  <si>
    <t>"Este indivívuo pertence ao domínio de Esquadrias da Envoltória. Usar para dar maior especificidade em Análise Energético"</t>
  </si>
  <si>
    <t>"Este indivívuo pertence ao domínio de Cabeamentos em Geral. Pode ser em qualquer sistema. Para Ser mais específico, pode acrescentar uma propriedade de objeto 'é.sistema.predial' para declarar o sistema"</t>
  </si>
  <si>
    <t>"Este indivívuo pertence ao domínio de Dutos em Geral. Pode ser em qualquer sistema. Para Ser mais específico, pode acrescentar uma propriedade de objeto 'é.sistema.predial' para declarar o sistema"</t>
  </si>
  <si>
    <t>"Este indivívuo pertence ao domínio de Tubulações em Geral. Pode ser em qualquer sistema. Para Ser mais específico, pode acrescentar uma propriedade de objeto 'é.sistema.predial' para declarar o sistema"</t>
  </si>
  <si>
    <t>tradução.ifc</t>
  </si>
  <si>
    <t>É.Armadura</t>
  </si>
  <si>
    <t>É.Treliça</t>
  </si>
  <si>
    <t>"BAR"</t>
  </si>
  <si>
    <t>"TRE"</t>
  </si>
  <si>
    <t>"Este indivívuo pertence ao domínio de Armaduras estruturais em Geral. Pode ser em qualquer sistema. Para Ser mais específico, pode acrescentar uma propriedade de objeto 'é.armadura.estrutural' para declarar o tipo e posição na estrutura"</t>
  </si>
  <si>
    <t>"ELE-G"</t>
  </si>
  <si>
    <t>"ELE-E"</t>
  </si>
  <si>
    <t>"ELE-F"</t>
  </si>
  <si>
    <t>"ELE-M"</t>
  </si>
  <si>
    <t>"ELE-P"</t>
  </si>
  <si>
    <t>"ELE-B"</t>
  </si>
  <si>
    <t>"TEL-B"</t>
  </si>
  <si>
    <t>"TEL-D"</t>
  </si>
  <si>
    <t>"ESG-1"</t>
  </si>
  <si>
    <t>"ESG-2"</t>
  </si>
  <si>
    <t>"ESG-V"</t>
  </si>
  <si>
    <t>"ESG-P"</t>
  </si>
  <si>
    <t>"ESG-E"</t>
  </si>
  <si>
    <t>"HID-Q"</t>
  </si>
  <si>
    <t>"HID-F"</t>
  </si>
  <si>
    <t>"HID-R"</t>
  </si>
  <si>
    <t>"LUZ-G"</t>
  </si>
  <si>
    <t>"LUZ-M"</t>
  </si>
  <si>
    <t>"INC-I"</t>
  </si>
  <si>
    <t>"EST-I"</t>
  </si>
  <si>
    <t>Conceitos</t>
  </si>
  <si>
    <t>Esquemas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</si>
</sst>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theme="1"/>
      <name val="Aptos Narrow"/>
      <family val="2"/>
      <scheme val="minor"/>
    </font>
    <font>
      <sz val="8"/>
      <color theme="1"/>
      <name val="Arial Nova Cond Light"/>
      <family val="2"/>
    </font>
    <font>
      <b/>
      <sz val="8"/>
      <color rgb="FF1F2328"/>
      <name val="Arial Nova Cond Light"/>
      <family val="2"/>
    </font>
    <font>
      <b/>
      <sz val="8"/>
      <color theme="1"/>
      <name val="Arial Nova Cond Light"/>
      <family val="2"/>
    </font>
    <font>
      <u/>
      <sz val="9"/>
      <color theme="10"/>
      <name val="Aptos Narrow"/>
      <family val="2"/>
      <scheme val="minor"/>
    </font>
    <font>
      <sz val="8"/>
      <color rgb="FF000000"/>
      <name val="Arial Nova Cond Light"/>
      <family val="2"/>
    </font>
    <font>
      <u/>
      <sz val="8"/>
      <color theme="10"/>
      <name val="Arial Nova Cond Light"/>
      <family val="2"/>
    </font>
    <font>
      <sz val="8"/>
      <name val="Arial Nova Cond Light"/>
      <family val="2"/>
    </font>
    <font>
      <sz val="8"/>
      <name val="Aptos Narrow"/>
      <family val="2"/>
      <scheme val="minor"/>
    </font>
    <font>
      <i/>
      <sz val="8"/>
      <name val="Arial Nova Cond Light"/>
      <family val="2"/>
    </font>
    <font>
      <i/>
      <sz val="8"/>
      <color theme="1"/>
      <name val="Arial Nova Cond Light"/>
      <family val="2"/>
    </font>
    <font>
      <b/>
      <sz val="6"/>
      <color rgb="FF000000"/>
      <name val="Arial Nova Cond Light"/>
      <family val="2"/>
    </font>
    <font>
      <b/>
      <sz val="6"/>
      <color theme="1"/>
      <name val="Arial Nova Cond Light"/>
      <family val="2"/>
    </font>
    <font>
      <sz val="6"/>
      <color rgb="FF000000"/>
      <name val="Arial Nova Cond Light"/>
      <family val="2"/>
    </font>
    <font>
      <sz val="6"/>
      <color theme="1"/>
      <name val="Arial Nova Cond Light"/>
      <family val="2"/>
    </font>
    <font>
      <sz val="5"/>
      <color rgb="FF000000"/>
      <name val="Arial Nova Cond Light"/>
      <family val="2"/>
    </font>
    <font>
      <sz val="5"/>
      <name val="Arial Nova Cond Light"/>
      <family val="2"/>
    </font>
    <font>
      <b/>
      <sz val="5"/>
      <color rgb="FF000000"/>
      <name val="Arial Nova Cond Light"/>
      <family val="2"/>
    </font>
    <font>
      <sz val="5"/>
      <color rgb="FF000000"/>
      <name val="Aptos Narrow"/>
      <family val="2"/>
      <charset val="1"/>
    </font>
    <font>
      <sz val="6"/>
      <name val="Arial Nova Cond Light"/>
      <family val="2"/>
    </font>
    <font>
      <i/>
      <sz val="6"/>
      <name val="Arial Nova Cond Light"/>
      <family val="2"/>
    </font>
    <font>
      <b/>
      <sz val="6"/>
      <name val="Arial Nova Cond Light"/>
      <family val="2"/>
    </font>
    <font>
      <u/>
      <sz val="6"/>
      <color theme="10"/>
      <name val="Arial Nova Cond Light"/>
      <family val="2"/>
    </font>
  </fonts>
  <fills count="27">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4.9989318521683403E-2"/>
        <bgColor rgb="FFD1D1D1"/>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9" tint="0.79998168889431442"/>
        <bgColor rgb="FFCCFFCC"/>
      </patternFill>
    </fill>
    <fill>
      <patternFill patternType="solid">
        <fgColor theme="8" tint="0.79998168889431442"/>
        <bgColor indexed="64"/>
      </patternFill>
    </fill>
    <fill>
      <patternFill patternType="solid">
        <fgColor rgb="FFFFC000"/>
        <bgColor indexed="64"/>
      </patternFill>
    </fill>
    <fill>
      <patternFill patternType="solid">
        <fgColor rgb="FFAEAAAA"/>
        <bgColor rgb="FF000000"/>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theme="0" tint="-0.14999847407452621"/>
        <bgColor indexed="64"/>
      </patternFill>
    </fill>
    <fill>
      <patternFill patternType="solid">
        <fgColor rgb="FFFBE79D"/>
        <bgColor indexed="64"/>
      </patternFill>
    </fill>
    <fill>
      <patternFill patternType="solid">
        <fgColor theme="5" tint="0.79998168889431442"/>
        <bgColor rgb="FFFFC7CE"/>
      </patternFill>
    </fill>
    <fill>
      <patternFill patternType="solid">
        <fgColor theme="5" tint="0.79998168889431442"/>
        <bgColor indexed="64"/>
      </patternFill>
    </fill>
    <fill>
      <patternFill patternType="solid">
        <fgColor rgb="FFFFE89F"/>
        <bgColor indexed="64"/>
      </patternFill>
    </fill>
    <fill>
      <patternFill patternType="solid">
        <fgColor rgb="FFD9D9D9"/>
        <bgColor rgb="FFD1D1D1"/>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rgb="FFD9F2D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85">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applyAlignment="1">
      <alignment horizontal="left" vertical="center" wrapText="1"/>
    </xf>
    <xf numFmtId="0" fontId="3" fillId="0" borderId="1" xfId="0" applyFont="1" applyBorder="1" applyAlignment="1">
      <alignment horizontal="center"/>
    </xf>
    <xf numFmtId="0" fontId="3" fillId="0" borderId="1" xfId="0" applyFont="1" applyBorder="1"/>
    <xf numFmtId="0" fontId="1" fillId="0" borderId="1" xfId="0" applyFont="1" applyBorder="1"/>
    <xf numFmtId="0" fontId="1" fillId="0" borderId="1" xfId="0" applyFont="1" applyBorder="1" applyAlignment="1">
      <alignment horizont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0" xfId="0" applyFont="1" applyAlignment="1">
      <alignment horizontal="left" vertical="center"/>
    </xf>
    <xf numFmtId="0" fontId="1" fillId="0" borderId="0" xfId="0" applyFont="1" applyAlignment="1">
      <alignment horizontal="left" vertical="center"/>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 fillId="6" borderId="1" xfId="0" applyFont="1" applyFill="1" applyBorder="1" applyAlignment="1">
      <alignment horizontal="left" vertical="center"/>
    </xf>
    <xf numFmtId="0" fontId="7" fillId="5" borderId="1" xfId="0" applyFont="1" applyFill="1" applyBorder="1" applyAlignment="1">
      <alignment horizontal="left" vertical="center"/>
    </xf>
    <xf numFmtId="0" fontId="7" fillId="6" borderId="1" xfId="0" applyFont="1" applyFill="1" applyBorder="1" applyAlignment="1">
      <alignment horizontal="left" vertical="center"/>
    </xf>
    <xf numFmtId="0" fontId="10" fillId="5" borderId="1" xfId="0" applyFont="1" applyFill="1" applyBorder="1" applyAlignment="1">
      <alignment horizontal="left" vertical="center"/>
    </xf>
    <xf numFmtId="0" fontId="10" fillId="6" borderId="1" xfId="0" applyFont="1" applyFill="1" applyBorder="1" applyAlignment="1">
      <alignment horizontal="left" vertical="center"/>
    </xf>
    <xf numFmtId="0" fontId="6" fillId="6" borderId="1" xfId="1" applyFont="1" applyFill="1" applyBorder="1" applyAlignment="1">
      <alignment horizontal="left" vertical="center" wrapText="1"/>
    </xf>
    <xf numFmtId="0" fontId="5" fillId="8" borderId="1" xfId="0" applyFont="1" applyFill="1" applyBorder="1" applyAlignment="1">
      <alignment horizontal="left" vertical="center"/>
    </xf>
    <xf numFmtId="0" fontId="1" fillId="10" borderId="1" xfId="0" applyFont="1" applyFill="1" applyBorder="1" applyAlignment="1">
      <alignment horizontal="left" vertical="center"/>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9" fillId="5" borderId="1" xfId="0" applyFont="1" applyFill="1" applyBorder="1" applyAlignment="1">
      <alignment horizontal="left" vertical="center"/>
    </xf>
    <xf numFmtId="0" fontId="11" fillId="11" borderId="1" xfId="0" applyFont="1" applyFill="1" applyBorder="1" applyAlignment="1">
      <alignment vertical="center"/>
    </xf>
    <xf numFmtId="0" fontId="12" fillId="12" borderId="1" xfId="0" applyFont="1" applyFill="1" applyBorder="1" applyAlignment="1">
      <alignment horizontal="center" vertical="center"/>
    </xf>
    <xf numFmtId="0" fontId="13" fillId="13" borderId="1" xfId="0" applyFont="1" applyFill="1" applyBorder="1" applyAlignment="1">
      <alignment vertical="center"/>
    </xf>
    <xf numFmtId="0" fontId="14" fillId="0" borderId="1" xfId="0" applyFont="1" applyBorder="1" applyAlignment="1">
      <alignment horizontal="center" vertical="center"/>
    </xf>
    <xf numFmtId="0" fontId="14" fillId="0" borderId="1" xfId="0" applyFont="1" applyBorder="1" applyAlignment="1">
      <alignment vertical="center"/>
    </xf>
    <xf numFmtId="0" fontId="14" fillId="0" borderId="1" xfId="0" applyFont="1" applyBorder="1"/>
    <xf numFmtId="0" fontId="14" fillId="0" borderId="1" xfId="0" applyFont="1" applyBorder="1" applyAlignment="1">
      <alignment horizontal="left" vertical="center"/>
    </xf>
    <xf numFmtId="22" fontId="14" fillId="0" borderId="1" xfId="0" applyNumberFormat="1" applyFont="1" applyBorder="1" applyAlignment="1">
      <alignment horizontal="left" vertical="center"/>
    </xf>
    <xf numFmtId="0" fontId="14" fillId="0" borderId="1" xfId="0" applyFont="1" applyBorder="1" applyAlignment="1">
      <alignment vertical="center" wrapText="1"/>
    </xf>
    <xf numFmtId="0" fontId="15" fillId="14" borderId="1" xfId="0" applyFont="1" applyFill="1" applyBorder="1" applyAlignment="1">
      <alignment horizontal="center" vertical="center" wrapText="1"/>
    </xf>
    <xf numFmtId="0" fontId="15" fillId="14"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17" fillId="15" borderId="1" xfId="0" applyFont="1" applyFill="1" applyBorder="1" applyAlignment="1">
      <alignment horizontal="left" vertical="center" wrapText="1"/>
    </xf>
    <xf numFmtId="0" fontId="13" fillId="16" borderId="1" xfId="0" applyFont="1" applyFill="1" applyBorder="1" applyAlignment="1">
      <alignment horizontal="center" vertical="center"/>
    </xf>
    <xf numFmtId="0" fontId="13" fillId="17" borderId="1" xfId="0" applyFont="1" applyFill="1" applyBorder="1" applyAlignment="1">
      <alignment horizontal="left" vertical="center"/>
    </xf>
    <xf numFmtId="0" fontId="13" fillId="17" borderId="3" xfId="0" applyFont="1" applyFill="1" applyBorder="1" applyAlignment="1">
      <alignment horizontal="left" vertical="center"/>
    </xf>
    <xf numFmtId="0" fontId="13" fillId="18" borderId="1" xfId="0" applyFont="1" applyFill="1" applyBorder="1" applyAlignment="1">
      <alignment horizontal="left" vertical="center"/>
    </xf>
    <xf numFmtId="0" fontId="13" fillId="19" borderId="1" xfId="0" applyFont="1" applyFill="1" applyBorder="1" applyAlignment="1">
      <alignment horizontal="left" vertical="center"/>
    </xf>
    <xf numFmtId="0" fontId="19" fillId="20" borderId="1" xfId="0" applyFont="1" applyFill="1" applyBorder="1" applyAlignment="1">
      <alignment horizontal="left" vertical="center"/>
    </xf>
    <xf numFmtId="0" fontId="14" fillId="20" borderId="1" xfId="0" applyFont="1" applyFill="1" applyBorder="1" applyAlignment="1">
      <alignment horizontal="left" vertical="center"/>
    </xf>
    <xf numFmtId="0" fontId="19" fillId="20" borderId="1" xfId="0" applyFont="1" applyFill="1" applyBorder="1" applyAlignment="1">
      <alignment horizontal="left" vertical="center" wrapText="1"/>
    </xf>
    <xf numFmtId="0" fontId="20" fillId="21" borderId="4" xfId="0" applyFont="1" applyFill="1" applyBorder="1" applyAlignment="1">
      <alignment horizontal="center" vertical="center" wrapText="1"/>
    </xf>
    <xf numFmtId="0" fontId="21" fillId="21" borderId="5" xfId="0" applyFont="1" applyFill="1" applyBorder="1" applyAlignment="1">
      <alignment horizontal="left" vertical="center" wrapText="1"/>
    </xf>
    <xf numFmtId="0" fontId="21" fillId="21" borderId="6" xfId="0" applyFont="1" applyFill="1" applyBorder="1" applyAlignment="1">
      <alignment horizontal="left" vertical="center" wrapText="1"/>
    </xf>
    <xf numFmtId="0" fontId="19" fillId="0" borderId="0" xfId="0" applyFont="1" applyAlignment="1">
      <alignment horizontal="left"/>
    </xf>
    <xf numFmtId="0" fontId="20" fillId="21" borderId="3" xfId="0" applyFont="1" applyFill="1" applyBorder="1" applyAlignment="1">
      <alignment horizontal="center" vertical="center" wrapText="1"/>
    </xf>
    <xf numFmtId="0" fontId="19" fillId="14" borderId="1" xfId="0" applyFont="1" applyFill="1" applyBorder="1" applyAlignment="1">
      <alignment vertical="center"/>
    </xf>
    <xf numFmtId="0" fontId="19" fillId="14" borderId="7" xfId="0" applyFont="1" applyFill="1" applyBorder="1" applyAlignment="1">
      <alignment vertical="center"/>
    </xf>
    <xf numFmtId="0" fontId="19" fillId="0" borderId="0" xfId="0" applyFont="1"/>
    <xf numFmtId="0" fontId="19" fillId="0" borderId="0" xfId="0" applyFont="1" applyAlignment="1">
      <alignment horizontal="center" vertical="center"/>
    </xf>
    <xf numFmtId="0" fontId="19" fillId="0" borderId="0" xfId="0" applyFont="1" applyAlignment="1">
      <alignment vertical="center"/>
    </xf>
    <xf numFmtId="0" fontId="11" fillId="22" borderId="1" xfId="0" applyFont="1" applyFill="1" applyBorder="1" applyAlignment="1">
      <alignment horizontal="center" vertical="center" wrapText="1"/>
    </xf>
    <xf numFmtId="0" fontId="11" fillId="22" borderId="1" xfId="0" applyFont="1" applyFill="1" applyBorder="1" applyAlignment="1">
      <alignment horizontal="left" vertical="center" wrapText="1"/>
    </xf>
    <xf numFmtId="0" fontId="11" fillId="23" borderId="1" xfId="0" applyFont="1" applyFill="1" applyBorder="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6" borderId="1" xfId="0" applyFont="1" applyFill="1" applyBorder="1" applyAlignment="1">
      <alignment horizontal="left" vertical="center" wrapText="1"/>
    </xf>
    <xf numFmtId="0" fontId="22" fillId="0" borderId="1" xfId="1" applyFont="1" applyBorder="1" applyAlignment="1">
      <alignment vertical="center"/>
    </xf>
    <xf numFmtId="0" fontId="14" fillId="0" borderId="0" xfId="0" applyFont="1"/>
    <xf numFmtId="0" fontId="3" fillId="3" borderId="1" xfId="0" applyFont="1" applyFill="1" applyBorder="1" applyAlignment="1">
      <alignment vertical="center" wrapText="1"/>
    </xf>
    <xf numFmtId="0" fontId="1" fillId="9" borderId="1" xfId="0" applyFont="1" applyFill="1" applyBorder="1" applyAlignment="1">
      <alignment vertical="center"/>
    </xf>
    <xf numFmtId="0" fontId="1" fillId="0" borderId="0" xfId="0" applyFont="1" applyAlignment="1">
      <alignment vertical="center"/>
    </xf>
    <xf numFmtId="0" fontId="7" fillId="24" borderId="1" xfId="0" applyFont="1" applyFill="1" applyBorder="1" applyAlignment="1">
      <alignment horizontal="left" vertical="center"/>
    </xf>
    <xf numFmtId="0" fontId="7" fillId="9" borderId="1" xfId="0" applyFont="1" applyFill="1" applyBorder="1" applyAlignment="1">
      <alignment horizontal="left" vertical="center"/>
    </xf>
    <xf numFmtId="0" fontId="7" fillId="25" borderId="1" xfId="0" applyFont="1" applyFill="1" applyBorder="1" applyAlignment="1">
      <alignment horizontal="left" vertical="center"/>
    </xf>
    <xf numFmtId="0" fontId="1" fillId="9" borderId="1" xfId="0" applyFont="1" applyFill="1" applyBorder="1" applyAlignment="1">
      <alignment horizontal="left" vertical="center"/>
    </xf>
    <xf numFmtId="0" fontId="7" fillId="2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1" fillId="0" borderId="0" xfId="0" applyFont="1" applyAlignment="1">
      <alignment horizontal="center" vertical="center"/>
    </xf>
    <xf numFmtId="0" fontId="13" fillId="26" borderId="1" xfId="0" applyFont="1" applyFill="1" applyBorder="1" applyAlignment="1">
      <alignment horizontal="left" vertical="center"/>
    </xf>
    <xf numFmtId="0" fontId="0" fillId="0" borderId="0" xfId="0" applyAlignment="1">
      <alignment horizontal="left"/>
    </xf>
    <xf numFmtId="0" fontId="13" fillId="16" borderId="1" xfId="0" applyFont="1" applyFill="1" applyBorder="1" applyAlignment="1">
      <alignment horizontal="right" vertical="center"/>
    </xf>
    <xf numFmtId="0" fontId="19" fillId="14" borderId="1" xfId="0" applyFont="1" applyFill="1" applyBorder="1" applyAlignment="1">
      <alignment horizontal="left" vertical="center"/>
    </xf>
    <xf numFmtId="0" fontId="16" fillId="14" borderId="1" xfId="0" applyFont="1" applyFill="1" applyBorder="1" applyAlignment="1">
      <alignment horizontal="left" vertical="center" wrapText="1"/>
    </xf>
    <xf numFmtId="0" fontId="11" fillId="15" borderId="2" xfId="0" applyFont="1" applyFill="1" applyBorder="1" applyAlignment="1">
      <alignment horizontal="left" vertical="center" wrapText="1"/>
    </xf>
    <xf numFmtId="0" fontId="18" fillId="0" borderId="0" xfId="0" applyFont="1" applyAlignment="1">
      <alignment horizontal="left"/>
    </xf>
  </cellXfs>
  <cellStyles count="2">
    <cellStyle name="Hiperlink" xfId="1" builtinId="8"/>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tint="-0.499984740745262"/>
      </font>
    </dxf>
    <dxf>
      <font>
        <b val="0"/>
        <i/>
        <strike val="0"/>
        <color theme="0" tint="-0.499984740745262"/>
      </font>
    </dxf>
  </dxfs>
  <tableStyles count="0" defaultTableStyle="TableStyleMedium2" defaultPivotStyle="PivotStyleLight16"/>
  <colors>
    <mruColors>
      <color rgb="FFFFE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CDAE2-7952-4369-A5BC-07E9750EC2A5}" name="Tabla4" displayName="Tabla4" ref="A1:U3" totalsRowShown="0">
  <tableColumns count="21">
    <tableColumn id="1" xr3:uid="{583A8325-4A11-4115-9FBF-B18A310CAC78}" name="1"/>
    <tableColumn id="2" xr3:uid="{D38AE385-6C4D-4D8E-9F5F-993423BD402B}" name="Disjunta 1"/>
    <tableColumn id="3" xr3:uid="{B3AE13C5-692D-436F-B47B-48CE26D5F3ED}" name="Disjunta 2"/>
    <tableColumn id="4" xr3:uid="{CDFF4936-9C8A-4161-A6D7-EF859E578043}" name="Disjunta 3"/>
    <tableColumn id="5" xr3:uid="{FCB45EFF-B866-4F9D-A088-09368F6CCAED}" name="Disjunta 4"/>
    <tableColumn id="6" xr3:uid="{6F5CB332-310B-4CC4-9EFF-59264BC85D99}" name="Disjunta 5"/>
    <tableColumn id="7" xr3:uid="{87C14D4B-9E50-44B9-B696-2E709CC119CF}" name="Disjunta 6"/>
    <tableColumn id="8" xr3:uid="{42C65DDE-E925-4894-91B4-F2E4987556D2}" name="Disjunta 7"/>
    <tableColumn id="9" xr3:uid="{F75A0E8F-3EA2-43A9-B668-50CDCB3B448C}" name="Disjunta 8"/>
    <tableColumn id="10" xr3:uid="{C620E7A5-0DA7-48B7-8640-4B226D7AA8C7}" name="Disjunta 9"/>
    <tableColumn id="11" xr3:uid="{0801425D-F9F9-455C-9FA4-9C6C1DECB9AD}" name="Disjunta 10"/>
    <tableColumn id="12" xr3:uid="{A5B01D57-9A88-4CB7-8AC5-E24C489D0031}" name="Disjunta 11"/>
    <tableColumn id="13" xr3:uid="{8894692D-E2E5-4BE8-B681-BB870CA42A67}" name="Disjunta 12"/>
    <tableColumn id="14" xr3:uid="{080D2DE7-8B2C-43CB-BE54-484218BF9954}" name="Disjunta 13"/>
    <tableColumn id="15" xr3:uid="{F25A5529-BEC7-4AD0-9502-9399D2C789E9}" name="Disjunta 14"/>
    <tableColumn id="16" xr3:uid="{BC3AEA00-0DF3-410E-893E-5D3B83E2C611}" name="Disjunta 15"/>
    <tableColumn id="17" xr3:uid="{1E2C0EAA-B27B-4790-B529-9F53A6E5DEEB}" name="Disjunta 16"/>
    <tableColumn id="18" xr3:uid="{E510FEF4-EF55-4A27-AF9A-1C59F07D5BC1}" name="Disjunta 17"/>
    <tableColumn id="19" xr3:uid="{91E4AD36-F86D-42AD-8B7A-3F0633A3109F}" name="Disjunta 18"/>
    <tableColumn id="20" xr3:uid="{E4F0BCBD-BEED-430D-BAB8-0E560471480A}" name="Disjunta 19"/>
    <tableColumn id="21" xr3:uid="{BADAFF57-36EA-446C-9A7C-F9455EE1A227}"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tandards.buildingsmart.org/IFC/RELEASE/IFC4/ADD2_TC1/HTML/schema"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827" Type="http://schemas.openxmlformats.org/officeDocument/2006/relationships/hyperlink" Target="https://standards.buildingsmart.org/IFC/RELEASE/IFC4/ADD2_TC1/HTML/schema/ifcsharedmgmtelements/pset/pset_permit.htm" TargetMode="External"/><Relationship Id="rId3182" Type="http://schemas.openxmlformats.org/officeDocument/2006/relationships/hyperlink" Target="https://standards.buildingsmart.org/IFC/RELEASE/IFC4/ADD2_TC1/HTML/schema/ifchvacdomain/pset/pset_tubebundletypefinned.htm" TargetMode="External"/><Relationship Id="rId3042" Type="http://schemas.openxmlformats.org/officeDocument/2006/relationships/hyperlink" Target="https://standards.buildingsmart.org/IFC/RELEASE/IFC4/ADD2_TC1/HTML/schema/ifcmaterialresource/pset/pset_materialwater.htm" TargetMode="External"/><Relationship Id="rId170" Type="http://schemas.openxmlformats.org/officeDocument/2006/relationships/hyperlink" Target="https://standards.buildingsmart.org/IFC/RELEASE/IFC4/ADD2_TC1/HTML/schema/ifcbuildingcontrolsdomain/lexical/ifccontrollertypeenum.htm" TargetMode="External"/><Relationship Id="rId987" Type="http://schemas.openxmlformats.org/officeDocument/2006/relationships/hyperlink" Target="https://standards.buildingsmart.org/IFC/RELEASE/IFC4/ADD2_TC1/HTML/schema/ifcrepresentationresource/lexical/ifcshaperepresentation.htm" TargetMode="External"/><Relationship Id="rId2668" Type="http://schemas.openxmlformats.org/officeDocument/2006/relationships/hyperlink" Target="https://standards.buildingsmart.org/IFC/RELEASE/IFC4/ADD2_TC1/HTML/schema/ifcelectricaldomain/pset/pset_protectivedevicetrippingfunctionlcurve.htm" TargetMode="External"/><Relationship Id="rId2875" Type="http://schemas.openxmlformats.org/officeDocument/2006/relationships/hyperlink" Target="https://standards.buildingsmart.org/IFC/RELEASE/IFC4/ADD2_TC1/HTML/schema/ifchvacdomain/pset/pset_ductsegmentoccurrence.htm" TargetMode="External"/><Relationship Id="rId3719" Type="http://schemas.openxmlformats.org/officeDocument/2006/relationships/hyperlink" Target="https://standards.buildingsmart.org/IFC/RELEASE/IFC4/ADD2_TC1/HTML/schema/ifcsharedbldgserviceelements/pset/pset_spacethermalloadphistory.htm" TargetMode="External"/><Relationship Id="rId847" Type="http://schemas.openxmlformats.org/officeDocument/2006/relationships/hyperlink" Target="https://standards.buildingsmart.org/IFC/RELEASE/IFC4/ADD2_TC1/HTML/schema/ifcrepresentationresource/lexical/ifcproductrepresentation.htm" TargetMode="External"/><Relationship Id="rId1477" Type="http://schemas.openxmlformats.org/officeDocument/2006/relationships/hyperlink" Target="https://standards.buildingsmart.org/IFC/RELEASE/IFC4/ADD2_TC1/HTML/schema/ifcbuildingcontrolsdomain/pset/pset_controllertypetwoposition.htm" TargetMode="External"/><Relationship Id="rId1684" Type="http://schemas.openxmlformats.org/officeDocument/2006/relationships/hyperlink" Target="https://standards.buildingsmart.org/IFC/RELEASE/IFC4/ADD2_TC1/HTML/schema/ifcproductextension/pset/pset_environmentalimpactindicators.htm" TargetMode="External"/><Relationship Id="rId1891" Type="http://schemas.openxmlformats.org/officeDocument/2006/relationships/hyperlink" Target="https://standards.buildingsmart.org/IFC/RELEASE/IFC4/ADD2_TC1/HTML/schema/ifcbuildingcontrolsdomain/pset/pset_controllertypeproportional.htm" TargetMode="External"/><Relationship Id="rId2528" Type="http://schemas.openxmlformats.org/officeDocument/2006/relationships/hyperlink" Target="https://standards.buildingsmart.org/IFC/RELEASE/IFC4/ADD2_TC1/HTML/schema/ifcplumbingfireprotectiondomain/pset/pset_wasteterminaltypefloortrap.htm" TargetMode="External"/><Relationship Id="rId2735" Type="http://schemas.openxmlformats.org/officeDocument/2006/relationships/hyperlink" Target="https://standards.buildingsmart.org/IFC/RELEASE/IFC4/ADD2_TC1/HTML/schema/ifchvacdomain/pset/pset_tubebundletypecommon.htm" TargetMode="External"/><Relationship Id="rId2942" Type="http://schemas.openxmlformats.org/officeDocument/2006/relationships/hyperlink" Target="https://standards.buildingsmart.org/IFC/RELEASE/IFC4/ADD2_TC1/HTML/schema/ifcelectricaldomain/pset/pset_protectivedevicebreakerunittypemcb.htm" TargetMode="External"/><Relationship Id="rId707" Type="http://schemas.openxmlformats.org/officeDocument/2006/relationships/hyperlink" Target="https://standards.buildingsmart.org/IFC/RELEASE/IFC4/ADD2_TC1/HTML/schema/ifchvacdomain/lexical/ifchumidifiertype.htm" TargetMode="External"/><Relationship Id="rId914" Type="http://schemas.openxmlformats.org/officeDocument/2006/relationships/hyperlink" Target="https://standards.buildingsmart.org/IFC/RELEASE/IFC4/ADD2_TC1/HTML/schema/ifckernel/lexical/ifcrelassignstoprocess.htm" TargetMode="External"/><Relationship Id="rId1337" Type="http://schemas.openxmlformats.org/officeDocument/2006/relationships/hyperlink" Target="https://standards.buildingsmart.org/IFC/RELEASE/IFC4/ADD2_TC1/HTML/schema/ifcprocessextension/pset/pset_workcontrolcommon.htm" TargetMode="External"/><Relationship Id="rId1544" Type="http://schemas.openxmlformats.org/officeDocument/2006/relationships/hyperlink" Target="https://standards.buildingsmart.org/IFC/RELEASE/IFC4/ADD2_TC1/HTML/schema/ifcproductextension/pset/pset_environmentalimpactvalues.htm" TargetMode="External"/><Relationship Id="rId1751" Type="http://schemas.openxmlformats.org/officeDocument/2006/relationships/hyperlink" Target="https://standards.buildingsmart.org/IFC/RELEASE/IFC4/ADD2_TC1/HTML/schema/ifchvacdomain/pset/pset_filtertypecommon.htm" TargetMode="External"/><Relationship Id="rId2802" Type="http://schemas.openxmlformats.org/officeDocument/2006/relationships/hyperlink" Target="https://standards.buildingsmart.org/IFC/RELEASE/IFC4/ADD2_TC1/HTML/schema/ifcelectricaldomain/pset/pset_audiovisualappliancetypecamera.htm" TargetMode="External"/><Relationship Id="rId43" Type="http://schemas.openxmlformats.org/officeDocument/2006/relationships/hyperlink" Target="https://standards.buildingsmart.org/IFC/RELEASE/IFC4/ADD2_TC1/HTML/schema/ifcpresentationappearanceresource/lexical/ifcpresentabletext.htm" TargetMode="External"/><Relationship Id="rId1404" Type="http://schemas.openxmlformats.org/officeDocument/2006/relationships/hyperlink" Target="https://standards.buildingsmart.org/IFC/RELEASE/IFC4/ADD2_TC1/HTML/schema/ifcsharedbldgserviceelements/pset/pset_distributionchamberelementtypemanhole.htm" TargetMode="External"/><Relationship Id="rId1611" Type="http://schemas.openxmlformats.org/officeDocument/2006/relationships/hyperlink" Target="https://standards.buildingsmart.org/IFC/RELEASE/IFC4/ADD2_TC1/HTML/schema/ifchvacdomain/pset/pset_spaceheatertypecommon.htm" TargetMode="External"/><Relationship Id="rId3369" Type="http://schemas.openxmlformats.org/officeDocument/2006/relationships/hyperlink" Target="https://standards.buildingsmart.org/IFC/RELEASE/IFC4/ADD2_TC1/HTML/schema/ifcplumbingfireprotectiondomain/pset/pset_wasteterminaltypegullysump.htm" TargetMode="External"/><Relationship Id="rId3576" Type="http://schemas.openxmlformats.org/officeDocument/2006/relationships/hyperlink" Target="https://standards.buildingsmart.org/IFC/RELEASE/IFC4/ADD2_TC1/HTML/schema/ifcsharedbldgserviceelements/pset/pset_outsidedesigncriteria.htm" TargetMode="External"/><Relationship Id="rId497" Type="http://schemas.openxmlformats.org/officeDocument/2006/relationships/hyperlink" Target="https://standards.buildingsmart.org/IFC/RELEASE/IFC4/ADD2_TC1/HTML/schema/ifcsharedbldgelements/lexical/ifccolumn.htm" TargetMode="External"/><Relationship Id="rId2178" Type="http://schemas.openxmlformats.org/officeDocument/2006/relationships/hyperlink" Target="https://standards.buildingsmart.org/IFC/RELEASE/IFC4/ADD2_TC1/HTML/schema/ifcelectricaldomain/pset/pset_cablefittingtypecommon.htm" TargetMode="External"/><Relationship Id="rId2385" Type="http://schemas.openxmlformats.org/officeDocument/2006/relationships/hyperlink" Target="https://standards.buildingsmart.org/IFC/RELEASE/IFC4/ADD2_TC1/HTML/schema/ifcproductextension/pset/pset_spaceoccupancyrequirements.htm" TargetMode="External"/><Relationship Id="rId3229" Type="http://schemas.openxmlformats.org/officeDocument/2006/relationships/hyperlink" Target="https://standards.buildingsmart.org/IFC/RELEASE/IFC4/ADD2_TC1/HTML/schema/ifchvacdomain/pset/pset_boilertypecommon.htm" TargetMode="External"/><Relationship Id="rId3783" Type="http://schemas.openxmlformats.org/officeDocument/2006/relationships/hyperlink" Target="https://standards.buildingsmart.org/IFC/RELEASE/IFC4/ADD2_TC1/HTML/schema/ifcpropertyresource/lexical/ifccomplexproperty.htm" TargetMode="External"/><Relationship Id="rId357" Type="http://schemas.openxmlformats.org/officeDocument/2006/relationships/hyperlink" Target="https://standards.buildingsmart.org/IFC/RELEASE/IFC4/ADD2_TC1/HTML/schema/ifcpresentationorganizationresource/lexical/ifclayereditem.htm" TargetMode="External"/><Relationship Id="rId1194" Type="http://schemas.openxmlformats.org/officeDocument/2006/relationships/hyperlink" Target="https://standards.buildingsmart.org/IFC/RELEASE/IFC4/ADD2_TC1/HTML/schema/ifchvacdomain/qset/qto_cooledbeambasequantities.htm" TargetMode="External"/><Relationship Id="rId2038" Type="http://schemas.openxmlformats.org/officeDocument/2006/relationships/hyperlink" Target="https://standards.buildingsmart.org/IFC/RELEASE/IFC4/ADD2_TC1/HTML/schema/ifcsharedmgmtelements/pset/pset_actionrequest.htm" TargetMode="External"/><Relationship Id="rId2592" Type="http://schemas.openxmlformats.org/officeDocument/2006/relationships/hyperlink" Target="https://standards.buildingsmart.org/IFC/RELEASE/IFC4/ADD2_TC1/HTML/schema/ifcsharedfacilitieselements/pset/pset_manufacturertypeinformation.htm" TargetMode="External"/><Relationship Id="rId3436" Type="http://schemas.openxmlformats.org/officeDocument/2006/relationships/hyperlink" Target="https://standards.buildingsmart.org/IFC/RELEASE/IFC4/ADD2_TC1/HTML/schema/ifcelectricaldomain/pset/pset_cablesegmenttypeconductorsegment.htm" TargetMode="External"/><Relationship Id="rId3643" Type="http://schemas.openxmlformats.org/officeDocument/2006/relationships/hyperlink" Target="https://standards.buildingsmart.org/IFC/RELEASE/IFC4/ADD2_TC1/HTML/schema/ifchvacdomain/pset/pset_ductsegmentphistory.htm" TargetMode="External"/><Relationship Id="rId217" Type="http://schemas.openxmlformats.org/officeDocument/2006/relationships/hyperlink" Target="https://standards.buildingsmart.org/IFC/RELEASE/IFC4/ADD2_TC1/HTML/schema/ifcbuildingcontrolsdomain/lexical/ifcflowinstrumenttypeenum.htm" TargetMode="External"/><Relationship Id="rId564" Type="http://schemas.openxmlformats.org/officeDocument/2006/relationships/hyperlink" Target="https://standards.buildingsmart.org/IFC/RELEASE/IFC4/ADD2_TC1/HTML/schema/ifcmeasureresource/lexical/ifcderivedunit.htm" TargetMode="External"/><Relationship Id="rId771" Type="http://schemas.openxmlformats.org/officeDocument/2006/relationships/hyperlink" Target="https://standards.buildingsmart.org/IFC/RELEASE/IFC4/ADD2_TC1/HTML/schema/ifchvacdomain/lexical/ifcmedicaldevicetype.htm" TargetMode="External"/><Relationship Id="rId2245" Type="http://schemas.openxmlformats.org/officeDocument/2006/relationships/hyperlink" Target="https://standards.buildingsmart.org/IFC/RELEASE/IFC4/ADD2_TC1/HTML/schema/ifchvacdomain/pset/pset_boilerphistory.htm" TargetMode="External"/><Relationship Id="rId2452" Type="http://schemas.openxmlformats.org/officeDocument/2006/relationships/hyperlink" Target="https://standards.buildingsmart.org/IFC/RELEASE/IFC4/ADD2_TC1/HTML/schema/ifcplumbingfireprotectiondomain/pset/pset_wasteterminaltypegullysump.htm" TargetMode="External"/><Relationship Id="rId3503" Type="http://schemas.openxmlformats.org/officeDocument/2006/relationships/hyperlink" Target="https://standards.buildingsmart.org/IFC/RELEASE/IFC4/ADD2_TC1/HTML/schema/ifchvacdomain/pset/pset_pipesegmentoccurrence.htm" TargetMode="External"/><Relationship Id="rId3710" Type="http://schemas.openxmlformats.org/officeDocument/2006/relationships/hyperlink" Target="https://standards.buildingsmart.org/IFC/RELEASE/IFC4/ADD2_TC1/HTML/schema/ifchvacdomain/pset/pset_airterminalboxtypecommon.htm" TargetMode="External"/><Relationship Id="rId424" Type="http://schemas.openxmlformats.org/officeDocument/2006/relationships/hyperlink" Target="https://standards.buildingsmart.org/IFC/RELEASE/IFC4/ADD2_TC1/HTML/schema/ifcelectricaldomain/lexical/ifcaudiovisualappliancetype.htm" TargetMode="External"/><Relationship Id="rId631" Type="http://schemas.openxmlformats.org/officeDocument/2006/relationships/hyperlink" Target="https://standards.buildingsmart.org/IFC/RELEASE/IFC4/ADD2_TC1/HTML/schema/ifcprocessextension/lexical/ifcevent.htm" TargetMode="External"/><Relationship Id="rId1054" Type="http://schemas.openxmlformats.org/officeDocument/2006/relationships/hyperlink" Target="https://standards.buildingsmart.org/IFC/RELEASE/IFC4/ADD2_TC1/HTML/schema/ifcstructuralanalysisdomain/lexical/ifcstructuralsurfacemembervarying.htm" TargetMode="External"/><Relationship Id="rId1261" Type="http://schemas.openxmlformats.org/officeDocument/2006/relationships/hyperlink" Target="https://standards.buildingsmart.org/IFC/RELEASE/IFC4/ADD2_TC1/HTML/schema/ifcgeometryresource/lexical/ifcassociatedsurface.htm" TargetMode="External"/><Relationship Id="rId2105" Type="http://schemas.openxmlformats.org/officeDocument/2006/relationships/hyperlink" Target="https://standards.buildingsmart.org/IFC/RELEASE/IFC4/ADD2_TC1/HTML/schema/ifcelectricaldomain/pset/pset_switchingdevicetypecommon.htm" TargetMode="External"/><Relationship Id="rId2312" Type="http://schemas.openxmlformats.org/officeDocument/2006/relationships/hyperlink" Target="https://standards.buildingsmart.org/IFC/RELEASE/IFC4/ADD2_TC1/HTML/schema/ifcmaterialresource/pset/pset_materialwater.htm" TargetMode="External"/><Relationship Id="rId1121" Type="http://schemas.openxmlformats.org/officeDocument/2006/relationships/hyperlink" Target="https://standards.buildingsmart.org/IFC/RELEASE/IFC4/ADD2_TC1/HTML/schema/ifcproductextension/lexical/ifctransportelementtype.htm" TargetMode="External"/><Relationship Id="rId3086" Type="http://schemas.openxmlformats.org/officeDocument/2006/relationships/hyperlink" Target="https://standards.buildingsmart.org/IFC/RELEASE/IFC4/ADD2_TC1/HTML/schema/ifcsharedbldgserviceelements/pset/pset_distributionsystemtypeventilation.htm" TargetMode="External"/><Relationship Id="rId3293" Type="http://schemas.openxmlformats.org/officeDocument/2006/relationships/hyperlink" Target="https://standards.buildingsmart.org/IFC/RELEASE/IFC4/ADD2_TC1/HTML/schema/ifcmaterialresource/pset/pset_materialwater.htm" TargetMode="External"/><Relationship Id="rId1938" Type="http://schemas.openxmlformats.org/officeDocument/2006/relationships/hyperlink" Target="https://standards.buildingsmart.org/IFC/RELEASE/IFC4/ADD2_TC1/HTML/schema/ifcbuildingcontrolsdomain/pset/pset_alarmphistory.htm" TargetMode="External"/><Relationship Id="rId3153" Type="http://schemas.openxmlformats.org/officeDocument/2006/relationships/hyperlink" Target="https://standards.buildingsmart.org/IFC/RELEASE/IFC4/ADD2_TC1/HTML/schema/ifcsharedbldgelements/pset/pset_staircommon.htm" TargetMode="External"/><Relationship Id="rId3360" Type="http://schemas.openxmlformats.org/officeDocument/2006/relationships/hyperlink" Target="https://standards.buildingsmart.org/IFC/RELEASE/IFC4/ADD2_TC1/HTML/schema/ifcelectricaldomain/pset/pset_cablesegmentoccurrence.htm" TargetMode="External"/><Relationship Id="rId281" Type="http://schemas.openxmlformats.org/officeDocument/2006/relationships/hyperlink" Target="https://standards.buildingsmart.org/IFC/RELEASE/IFC4/ADD2_TC1/HTML/schema/ifcprofileresource/lexical/ifcsectiontypeenum.htm" TargetMode="External"/><Relationship Id="rId3013" Type="http://schemas.openxmlformats.org/officeDocument/2006/relationships/hyperlink" Target="https://standards.buildingsmart.org/IFC/RELEASE/IFC4/ADD2_TC1/HTML/schema/ifchvacdomain/pset/pset_airterminalboxtypecommon.htm" TargetMode="External"/><Relationship Id="rId141" Type="http://schemas.openxmlformats.org/officeDocument/2006/relationships/hyperlink" Target="https://standards.buildingsmart.org/IFC/RELEASE/IFC4/ADD2_TC1/HTML/schema/ifcproductextension/lexical/ifcassemblyplaceenum.htm" TargetMode="External"/><Relationship Id="rId3220" Type="http://schemas.openxmlformats.org/officeDocument/2006/relationships/hyperlink" Target="https://standards.buildingsmart.org/IFC/RELEASE/IFC4/ADD2_TC1/HTML/schema/ifcproductextension/pset/pset_environmentalimpactvalues.htm" TargetMode="External"/><Relationship Id="rId7" Type="http://schemas.openxmlformats.org/officeDocument/2006/relationships/hyperlink" Target="https://standards.buildingsmart.org/IFC/RELEASE/IFC4/ADD2_TC1/HTML/schema/ifcmeasureresource/lexical/ifctorquemeasure.htm" TargetMode="External"/><Relationship Id="rId2779" Type="http://schemas.openxmlformats.org/officeDocument/2006/relationships/hyperlink" Target="https://standards.buildingsmart.org/IFC/RELEASE/IFC4/ADD2_TC1/HTML/schema/ifchvacdomain/pset/pset_pipefittingtypejunction.htm" TargetMode="External"/><Relationship Id="rId2986" Type="http://schemas.openxmlformats.org/officeDocument/2006/relationships/hyperlink" Target="https://standards.buildingsmart.org/IFC/RELEASE/IFC4/ADD2_TC1/HTML/schema/ifchvacdomain/pset/pset_unitaryequipmenttypeairconditioningunit.htm" TargetMode="External"/><Relationship Id="rId958" Type="http://schemas.openxmlformats.org/officeDocument/2006/relationships/hyperlink" Target="https://standards.buildingsmart.org/IFC/RELEASE/IFC4/ADD2_TC1/HTML/schema/ifcrepresentationresource/lexical/ifcrepresentationcontext.htm" TargetMode="External"/><Relationship Id="rId1588" Type="http://schemas.openxmlformats.org/officeDocument/2006/relationships/hyperlink" Target="https://standards.buildingsmart.org/IFC/RELEASE/IFC4/ADD2_TC1/HTML/schema/ifcstructuralanalysisdomain/pset/pset_structuralsurfacemembervaryingthickness.htm" TargetMode="External"/><Relationship Id="rId1795" Type="http://schemas.openxmlformats.org/officeDocument/2006/relationships/hyperlink" Target="https://standards.buildingsmart.org/IFC/RELEASE/IFC4/ADD2_TC1/HTML/schema/ifchvacdomain/pset/pset_airterminalboxtypecommon.htm" TargetMode="External"/><Relationship Id="rId2639" Type="http://schemas.openxmlformats.org/officeDocument/2006/relationships/hyperlink" Target="https://standards.buildingsmart.org/IFC/RELEASE/IFC4/ADD2_TC1/HTML/schema/ifchvacdomain/pset/pset_flowmetertypegasmeter.htm" TargetMode="External"/><Relationship Id="rId2846" Type="http://schemas.openxmlformats.org/officeDocument/2006/relationships/hyperlink" Target="https://standards.buildingsmart.org/IFC/RELEASE/IFC4/ADD2_TC1/HTML/schema/ifcsharedfacilitieselements/pset/pset_warranty.htm" TargetMode="External"/><Relationship Id="rId87" Type="http://schemas.openxmlformats.org/officeDocument/2006/relationships/hyperlink" Target="https://standards.buildingsmart.org/IFC/RELEASE/IFC4/ADD2_TC1/HTML/schema/ifcmeasureresource/lexical/ifcinteger.htm" TargetMode="External"/><Relationship Id="rId818" Type="http://schemas.openxmlformats.org/officeDocument/2006/relationships/hyperlink" Target="https://standards.buildingsmart.org/IFC/RELEASE/IFC4/ADD2_TC1/HTML/schema/ifcgeometryresource/lexical/ifcplane.htm" TargetMode="External"/><Relationship Id="rId1448" Type="http://schemas.openxmlformats.org/officeDocument/2006/relationships/hyperlink" Target="https://standards.buildingsmart.org/IFC/RELEASE/IFC4/ADD2_TC1/HTML/schema/ifcelectricaldomain/pset/pset_audiovisualappliancetypedisplay.htm" TargetMode="External"/><Relationship Id="rId1655" Type="http://schemas.openxmlformats.org/officeDocument/2006/relationships/hyperlink" Target="https://standards.buildingsmart.org/IFC/RELEASE/IFC4/ADD2_TC1/HTML/schema/ifcelectricaldomain/pset/pset_switchingdevicetypecommon.htm" TargetMode="External"/><Relationship Id="rId2706" Type="http://schemas.openxmlformats.org/officeDocument/2006/relationships/hyperlink" Target="https://standards.buildingsmart.org/IFC/RELEASE/IFC4/ADD2_TC1/HTML/schema/ifcsharedbldgelements/pset/pset_roofcommon.htm" TargetMode="External"/><Relationship Id="rId1308" Type="http://schemas.openxmlformats.org/officeDocument/2006/relationships/hyperlink" Target="https://standards.buildingsmart.org/IFC/RELEASE/IFC4/ADD2_TC1/HTML/schema/ifcrepresentationresource/lexical/ifcrepresentationcontextsamewcs.htm" TargetMode="External"/><Relationship Id="rId1862" Type="http://schemas.openxmlformats.org/officeDocument/2006/relationships/hyperlink" Target="https://standards.buildingsmart.org/IFC/RELEASE/IFC4/ADD2_TC1/HTML/schema/ifcmaterialresource/pset/pset_materialoptical.htm" TargetMode="External"/><Relationship Id="rId2913" Type="http://schemas.openxmlformats.org/officeDocument/2006/relationships/hyperlink" Target="https://standards.buildingsmart.org/IFC/RELEASE/IFC4/ADD2_TC1/HTML/schema/ifcsharedbldgserviceelements/pset/pset_airsidesysteminformation.htm" TargetMode="External"/><Relationship Id="rId1515" Type="http://schemas.openxmlformats.org/officeDocument/2006/relationships/hyperlink" Target="https://standards.buildingsmart.org/IFC/RELEASE/IFC4/ADD2_TC1/HTML/schema/ifchvacdomain/pset/pset_spaceheatertyperadiator.htm" TargetMode="External"/><Relationship Id="rId1722" Type="http://schemas.openxmlformats.org/officeDocument/2006/relationships/hyperlink" Target="https://standards.buildingsmart.org/IFC/RELEASE/IFC4/ADD2_TC1/HTML/schema/ifcsharedbldgelements/pset/pset_roofcommon.htm" TargetMode="External"/><Relationship Id="rId14" Type="http://schemas.openxmlformats.org/officeDocument/2006/relationships/hyperlink" Target="https://standards.buildingsmart.org/IFC/RELEASE/IFC4/ADD2_TC1/HTML/schema/ifcmeasureresource/lexical/ifcthermalexpansioncoefficientmeasure.htm" TargetMode="External"/><Relationship Id="rId3687" Type="http://schemas.openxmlformats.org/officeDocument/2006/relationships/hyperlink" Target="https://standards.buildingsmart.org/IFC/RELEASE/IFC4/ADD2_TC1/HTML/schema/ifchvacdomain/pset/pset_coolingtowertypecommon.htm" TargetMode="External"/><Relationship Id="rId2289" Type="http://schemas.openxmlformats.org/officeDocument/2006/relationships/hyperlink" Target="https://standards.buildingsmart.org/IFC/RELEASE/IFC4/ADD2_TC1/HTML/schema/ifcelectricaldomain/pset/pset_protectivedeviceoccurrence.htm" TargetMode="External"/><Relationship Id="rId2496" Type="http://schemas.openxmlformats.org/officeDocument/2006/relationships/hyperlink" Target="https://standards.buildingsmart.org/IFC/RELEASE/IFC4/ADD2_TC1/HTML/schema/ifchvacdomain/pset/pset_boilertypesteam.htm" TargetMode="External"/><Relationship Id="rId3547" Type="http://schemas.openxmlformats.org/officeDocument/2006/relationships/hyperlink" Target="https://standards.buildingsmart.org/IFC/RELEASE/IFC4/ADD2_TC1/HTML/schema/ifcprofileresource/pset/pset_profilemechanical.htm" TargetMode="External"/><Relationship Id="rId3754" Type="http://schemas.openxmlformats.org/officeDocument/2006/relationships/hyperlink" Target="https://standards.buildingsmart.org/IFC/RELEASE/IFC4/ADD2_TC1/HTML/schema/ifcsharedbldgelements/pset/pset_roofcommon.htm" TargetMode="External"/><Relationship Id="rId468" Type="http://schemas.openxmlformats.org/officeDocument/2006/relationships/hyperlink" Target="https://standards.buildingsmart.org/IFC/RELEASE/IFC4/ADD2_TC1/HTML/schema/ifcelectricaldomain/lexical/ifccablesegment.htm" TargetMode="External"/><Relationship Id="rId675" Type="http://schemas.openxmlformats.org/officeDocument/2006/relationships/hyperlink" Target="https://standards.buildingsmart.org/IFC/RELEASE/IFC4/ADD2_TC1/HTML/schema/ifchvacdomain/lexical/ifcflowmetertype.htm" TargetMode="External"/><Relationship Id="rId882" Type="http://schemas.openxmlformats.org/officeDocument/2006/relationships/hyperlink" Target="https://standards.buildingsmart.org/IFC/RELEASE/IFC4/ADD2_TC1/HTML/schema/ifcquantityresource/lexical/ifcquantitytime.htm" TargetMode="External"/><Relationship Id="rId1098" Type="http://schemas.openxmlformats.org/officeDocument/2006/relationships/hyperlink" Target="https://standards.buildingsmart.org/IFC/RELEASE/IFC4/ADD2_TC1/HTML/schema/ifcstructuralelementsdomain/lexical/ifctendontype.htm" TargetMode="External"/><Relationship Id="rId2149" Type="http://schemas.openxmlformats.org/officeDocument/2006/relationships/hyperlink" Target="https://standards.buildingsmart.org/IFC/RELEASE/IFC4/ADD2_TC1/HTML/schema/ifcproductextension/pset/pset_environmentalimpactindicators.htm" TargetMode="External"/><Relationship Id="rId2356" Type="http://schemas.openxmlformats.org/officeDocument/2006/relationships/hyperlink" Target="https://standards.buildingsmart.org/IFC/RELEASE/IFC4/ADD2_TC1/HTML/schema/ifcplumbingfireprotectiondomain/pset/pset_wasteterminaltypegullysump.htm" TargetMode="External"/><Relationship Id="rId2563" Type="http://schemas.openxmlformats.org/officeDocument/2006/relationships/hyperlink" Target="https://standards.buildingsmart.org/IFC/RELEASE/IFC4/ADD2_TC1/HTML/schema/ifcsharedcomponentelements/pset/pset_fastenerweld.htm" TargetMode="External"/><Relationship Id="rId2770" Type="http://schemas.openxmlformats.org/officeDocument/2006/relationships/hyperlink" Target="https://standards.buildingsmart.org/IFC/RELEASE/IFC4/ADD2_TC1/HTML/schema/ifcsharedcomponentelements/pset/pset_fastenerweld.htm" TargetMode="External"/><Relationship Id="rId3407" Type="http://schemas.openxmlformats.org/officeDocument/2006/relationships/hyperlink" Target="https://standards.buildingsmart.org/IFC/RELEASE/IFC4/ADD2_TC1/HTML/schema/ifchvacdomain/pset/pset_cooledbeamphistory.htm" TargetMode="External"/><Relationship Id="rId3614" Type="http://schemas.openxmlformats.org/officeDocument/2006/relationships/hyperlink" Target="https://standards.buildingsmart.org/IFC/RELEASE/IFC4/ADD2_TC1/HTML/schema/ifcsharedbldgserviceelements/pset/pset_distributionchamberelementtypemanhole.htm" TargetMode="External"/><Relationship Id="rId328" Type="http://schemas.openxmlformats.org/officeDocument/2006/relationships/hyperlink" Target="https://standards.buildingsmart.org/IFC/RELEASE/IFC4/ADD2_TC1/HTML/schema/ifcarchitecturedomain/lexical/ifcwindowstyleconstructionenum.htm" TargetMode="External"/><Relationship Id="rId535" Type="http://schemas.openxmlformats.org/officeDocument/2006/relationships/hyperlink" Target="https://standards.buildingsmart.org/IFC/RELEASE/IFC4/ADD2_TC1/HTML/schema/ifchvacdomain/lexical/ifccooledbeamtype.htm" TargetMode="External"/><Relationship Id="rId742" Type="http://schemas.openxmlformats.org/officeDocument/2006/relationships/hyperlink" Target="https://standards.buildingsmart.org/IFC/RELEASE/IFC4/ADD2_TC1/HTML/schema/ifcgeometricconstraintresource/lexical/ifclocalplacement.htm" TargetMode="External"/><Relationship Id="rId1165" Type="http://schemas.openxmlformats.org/officeDocument/2006/relationships/hyperlink" Target="https://standards.buildingsmart.org/IFC/RELEASE/IFC4/ADD2_TC1/HTML/schema/ifcdatetimeresource/lexical/ifcworktime.htm" TargetMode="External"/><Relationship Id="rId1372" Type="http://schemas.openxmlformats.org/officeDocument/2006/relationships/hyperlink" Target="https://standards.buildingsmart.org/IFC/RELEASE/IFC4/ADD2_TC1/HTML/schema/ifchvacdomain/pset/pset_evaporativecoolerphistory.htm" TargetMode="External"/><Relationship Id="rId2009" Type="http://schemas.openxmlformats.org/officeDocument/2006/relationships/hyperlink" Target="https://standards.buildingsmart.org/IFC/RELEASE/IFC4/ADD2_TC1/HTML/schema/ifchvacdomain/pset/pset_humidifierphistory.htm" TargetMode="External"/><Relationship Id="rId2216" Type="http://schemas.openxmlformats.org/officeDocument/2006/relationships/hyperlink" Target="https://standards.buildingsmart.org/IFC/RELEASE/IFC4/ADD2_TC1/HTML/schema/ifchvacdomain/pset/pset_spaceheatertyperadiator.htm" TargetMode="External"/><Relationship Id="rId2423" Type="http://schemas.openxmlformats.org/officeDocument/2006/relationships/hyperlink" Target="https://standards.buildingsmart.org/IFC/RELEASE/IFC4/ADD2_TC1/HTML/schema/ifcproductextension/pset/pset_environmentalimpactindicators.htm" TargetMode="External"/><Relationship Id="rId2630" Type="http://schemas.openxmlformats.org/officeDocument/2006/relationships/hyperlink" Target="https://standards.buildingsmart.org/IFC/RELEASE/IFC4/ADD2_TC1/HTML/schema/ifcelectricaldomain/pset/pset_electricmotortypecommon.htm" TargetMode="External"/><Relationship Id="rId602" Type="http://schemas.openxmlformats.org/officeDocument/2006/relationships/hyperlink" Target="https://standards.buildingsmart.org/IFC/RELEASE/IFC4/ADD2_TC1/HTML/schema/ifcelectricaldomain/lexical/ifcelectricappliancetype.htm" TargetMode="External"/><Relationship Id="rId1025" Type="http://schemas.openxmlformats.org/officeDocument/2006/relationships/hyperlink" Target="https://standards.buildingsmart.org/IFC/RELEASE/IFC4/ADD2_TC1/HTML/schema/ifcstructuralanalysisdomain/lexical/ifcstructuralcurveconnection.htm" TargetMode="External"/><Relationship Id="rId1232" Type="http://schemas.openxmlformats.org/officeDocument/2006/relationships/hyperlink" Target="https://standards.buildingsmart.org/IFC/RELEASE/IFC4/ADD2_TC1/HTML/schema/ifcsharedbldgelements/qset/qto_platebasequantities.htm" TargetMode="External"/><Relationship Id="rId3197" Type="http://schemas.openxmlformats.org/officeDocument/2006/relationships/hyperlink" Target="https://standards.buildingsmart.org/IFC/RELEASE/IFC4/ADD2_TC1/HTML/schema/ifchvacdomain/pset/pset_coilphistory.htm" TargetMode="External"/><Relationship Id="rId3057" Type="http://schemas.openxmlformats.org/officeDocument/2006/relationships/hyperlink" Target="https://standards.buildingsmart.org/IFC/RELEASE/IFC4/ADD2_TC1/HTML/schema/ifcelectricaldomain/pset/pset_protectivedeviceoccurrence.htm" TargetMode="External"/><Relationship Id="rId185" Type="http://schemas.openxmlformats.org/officeDocument/2006/relationships/hyperlink" Target="https://standards.buildingsmart.org/IFC/RELEASE/IFC4/ADD2_TC1/HTML/schema/ifcsharedbldgserviceelements/lexical/ifcdistributionporttypeenum.htm" TargetMode="External"/><Relationship Id="rId1909" Type="http://schemas.openxmlformats.org/officeDocument/2006/relationships/hyperlink" Target="https://standards.buildingsmart.org/IFC/RELEASE/IFC4/ADD2_TC1/HTML/schema/ifcelectricaldomain/pset/pset_transformertypecommon.htm" TargetMode="External"/><Relationship Id="rId3264" Type="http://schemas.openxmlformats.org/officeDocument/2006/relationships/hyperlink" Target="https://standards.buildingsmart.org/IFC/RELEASE/IFC4/ADD2_TC1/HTML/schema/ifcelectricaldomain/pset/pset_electricflowstoragedevicetypecommon.htm" TargetMode="External"/><Relationship Id="rId3471" Type="http://schemas.openxmlformats.org/officeDocument/2006/relationships/hyperlink" Target="https://standards.buildingsmart.org/IFC/RELEASE/IFC4/ADD2_TC1/HTML/schema/ifchvacdomain/pset/pset_compressorphistory.htm" TargetMode="External"/><Relationship Id="rId392" Type="http://schemas.openxmlformats.org/officeDocument/2006/relationships/hyperlink" Target="https://standards.buildingsmart.org/IFC/RELEASE/IFC4/ADD2_TC1/HTML/schema/ifcmeasureresource/lexical/ifcvalue.htm" TargetMode="External"/><Relationship Id="rId2073" Type="http://schemas.openxmlformats.org/officeDocument/2006/relationships/hyperlink" Target="https://standards.buildingsmart.org/IFC/RELEASE/IFC4/ADD2_TC1/HTML/schema/ifchvacdomain/pset/pset_airterminalboxtypecommon.htm" TargetMode="External"/><Relationship Id="rId2280" Type="http://schemas.openxmlformats.org/officeDocument/2006/relationships/hyperlink" Target="https://standards.buildingsmart.org/IFC/RELEASE/IFC4/ADD2_TC1/HTML/schema/ifcelectricaldomain/pset/pset_protectivedevicebreakerunittypemcb.htm" TargetMode="External"/><Relationship Id="rId3124" Type="http://schemas.openxmlformats.org/officeDocument/2006/relationships/hyperlink" Target="https://standards.buildingsmart.org/IFC/RELEASE/IFC4/ADD2_TC1/HTML/schema/ifcproductextension/pset/pset_spacecoveringrequirements.htm" TargetMode="External"/><Relationship Id="rId3331" Type="http://schemas.openxmlformats.org/officeDocument/2006/relationships/hyperlink" Target="https://standards.buildingsmart.org/IFC/RELEASE/IFC4/ADD2_TC1/HTML/schema/ifcstructuralelementsdomain/pset/pset_reinforcementbarpitchofbeam.htm" TargetMode="External"/><Relationship Id="rId252" Type="http://schemas.openxmlformats.org/officeDocument/2006/relationships/hyperlink" Target="https://standards.buildingsmart.org/IFC/RELEASE/IFC4/ADD2_TC1/HTML/schema/ifcsharedmgmtelements/lexical/ifcpermittypeenum.htm" TargetMode="External"/><Relationship Id="rId2140" Type="http://schemas.openxmlformats.org/officeDocument/2006/relationships/hyperlink" Target="https://standards.buildingsmart.org/IFC/RELEASE/IFC4/ADD2_TC1/HTML/schema/ifchvacdomain/pset/pset_heatexchangertypecommon.htm" TargetMode="External"/><Relationship Id="rId112" Type="http://schemas.openxmlformats.org/officeDocument/2006/relationships/hyperlink" Target="https://standards.buildingsmart.org/IFC/RELEASE/IFC4/ADD2_TC1/HTML/schema/ifcdatetimeresource/lexical/ifcdayinmonthnumber.htm" TargetMode="External"/><Relationship Id="rId1699" Type="http://schemas.openxmlformats.org/officeDocument/2006/relationships/hyperlink" Target="https://standards.buildingsmart.org/IFC/RELEASE/IFC4/ADD2_TC1/HTML/schema/ifcsharedbldgelements/pset/pset_windowcommon.htm" TargetMode="External"/><Relationship Id="rId2000" Type="http://schemas.openxmlformats.org/officeDocument/2006/relationships/hyperlink" Target="https://standards.buildingsmart.org/IFC/RELEASE/IFC4/ADD2_TC1/HTML/schema/ifcsharedfacilitieselements/pset/pset_furnituretypechair.htm" TargetMode="External"/><Relationship Id="rId2957" Type="http://schemas.openxmlformats.org/officeDocument/2006/relationships/hyperlink" Target="https://standards.buildingsmart.org/IFC/RELEASE/IFC4/ADD2_TC1/HTML/schema/ifcplumbingfireprotectiondomain/pset/pset_firesuppressionterminaltypehosereel.htm" TargetMode="External"/><Relationship Id="rId929" Type="http://schemas.openxmlformats.org/officeDocument/2006/relationships/hyperlink" Target="https://standards.buildingsmart.org/IFC/RELEASE/IFC4/ADD2_TC1/HTML/schema/ifcproductextension/lexical/ifcrelconnectsporttoelement.htm" TargetMode="External"/><Relationship Id="rId1559" Type="http://schemas.openxmlformats.org/officeDocument/2006/relationships/hyperlink" Target="https://standards.buildingsmart.org/IFC/RELEASE/IFC4/ADD2_TC1/HTML/schema/ifcprofileresource/pset/pset_profilemechanical.htm" TargetMode="External"/><Relationship Id="rId1766" Type="http://schemas.openxmlformats.org/officeDocument/2006/relationships/hyperlink" Target="https://standards.buildingsmart.org/IFC/RELEASE/IFC4/ADD2_TC1/HTML/schema/ifchvacdomain/pset/pset_ductfittingtypecommon.htm" TargetMode="External"/><Relationship Id="rId1973" Type="http://schemas.openxmlformats.org/officeDocument/2006/relationships/hyperlink" Target="https://standards.buildingsmart.org/IFC/RELEASE/IFC4/ADD2_TC1/HTML/schema/ifchvacdomain/pset/pset_evaporativecoolerphistory.htm" TargetMode="External"/><Relationship Id="rId2817" Type="http://schemas.openxmlformats.org/officeDocument/2006/relationships/hyperlink" Target="https://standards.buildingsmart.org/IFC/RELEASE/IFC4/ADD2_TC1/HTML/schema/ifcelectricaldomain/pset/pset_switchingdevicetypecommon.htm" TargetMode="External"/><Relationship Id="rId58" Type="http://schemas.openxmlformats.org/officeDocument/2006/relationships/hyperlink" Target="https://standards.buildingsmart.org/IFC/RELEASE/IFC4/ADD2_TC1/HTML/schema/ifcmeasureresource/lexical/ifcmomentofinertiameasure.htm" TargetMode="External"/><Relationship Id="rId1419" Type="http://schemas.openxmlformats.org/officeDocument/2006/relationships/hyperlink" Target="https://standards.buildingsmart.org/IFC/RELEASE/IFC4/ADD2_TC1/HTML/schema/ifcsharedbldgserviceelements/pset/pset_distributionporttypeduct.htm" TargetMode="External"/><Relationship Id="rId1626" Type="http://schemas.openxmlformats.org/officeDocument/2006/relationships/hyperlink" Target="https://standards.buildingsmart.org/IFC/RELEASE/IFC4/ADD2_TC1/HTML/schema/ifcstructuralelementsdomain/pset/pset_precastconcreteelementgeneral.htm" TargetMode="External"/><Relationship Id="rId1833" Type="http://schemas.openxmlformats.org/officeDocument/2006/relationships/hyperlink" Target="https://standards.buildingsmart.org/IFC/RELEASE/IFC4/ADD2_TC1/HTML/schema/ifcelectricaldomain/pset/pset_audiovisualappliancetypespeaker.htm" TargetMode="External"/><Relationship Id="rId1900" Type="http://schemas.openxmlformats.org/officeDocument/2006/relationships/hyperlink" Target="https://standards.buildingsmart.org/IFC/RELEASE/IFC4/ADD2_TC1/HTML/schema/ifcelectricaldomain/pset/pset_protectivedeviceoccurrence.htm" TargetMode="External"/><Relationship Id="rId3658" Type="http://schemas.openxmlformats.org/officeDocument/2006/relationships/hyperlink" Target="https://standards.buildingsmart.org/IFC/RELEASE/IFC4/ADD2_TC1/HTML/schema/ifcsharedfacilitieselements/pset/pset_manufactureroccurrence.htm" TargetMode="External"/><Relationship Id="rId579" Type="http://schemas.openxmlformats.org/officeDocument/2006/relationships/hyperlink" Target="https://standards.buildingsmart.org/IFC/RELEASE/IFC4/ADD2_TC1/HTML/schema/ifcsharedbldgserviceelements/lexical/ifcdistributionport.htm" TargetMode="External"/><Relationship Id="rId786" Type="http://schemas.openxmlformats.org/officeDocument/2006/relationships/hyperlink" Target="https://standards.buildingsmart.org/IFC/RELEASE/IFC4/ADD2_TC1/HTML/schema/ifcgeometryresource/lexical/ifcoffsetcurve2d.htm" TargetMode="External"/><Relationship Id="rId993" Type="http://schemas.openxmlformats.org/officeDocument/2006/relationships/hyperlink" Target="https://standards.buildingsmart.org/IFC/RELEASE/IFC4/ADD2_TC1/HTML/schema/ifcsharedbldgelements/lexical/ifcslab.htm" TargetMode="External"/><Relationship Id="rId2467" Type="http://schemas.openxmlformats.org/officeDocument/2006/relationships/hyperlink" Target="https://standards.buildingsmart.org/IFC/RELEASE/IFC4/ADD2_TC1/HTML/schema/ifchvacdomain/pset/pset_filtertypecommon.htm" TargetMode="External"/><Relationship Id="rId2674" Type="http://schemas.openxmlformats.org/officeDocument/2006/relationships/hyperlink" Target="https://standards.buildingsmart.org/IFC/RELEASE/IFC4/ADD2_TC1/HTML/schema/ifchvacdomain/pset/pset_ductsegmentphistory.htm" TargetMode="External"/><Relationship Id="rId3518" Type="http://schemas.openxmlformats.org/officeDocument/2006/relationships/hyperlink" Target="https://standards.buildingsmart.org/IFC/RELEASE/IFC4/ADD2_TC1/HTML/schema/ifcmaterialresource/pset/pset_materialcombustion.htm" TargetMode="External"/><Relationship Id="rId439" Type="http://schemas.openxmlformats.org/officeDocument/2006/relationships/hyperlink" Target="https://standards.buildingsmart.org/IFC/RELEASE/IFC4/ADD2_TC1/HTML/schema/ifcstructuralloadresource/lexical/ifcboundaryedgecondition.htm" TargetMode="External"/><Relationship Id="rId646" Type="http://schemas.openxmlformats.org/officeDocument/2006/relationships/hyperlink" Target="https://standards.buildingsmart.org/IFC/RELEASE/IFC4/ADD2_TC1/HTML/schema/ifcgeometricmodelresource/lexical/ifcfacebasedsurfacemodel.htm" TargetMode="External"/><Relationship Id="rId1069" Type="http://schemas.openxmlformats.org/officeDocument/2006/relationships/hyperlink" Target="https://standards.buildingsmart.org/IFC/RELEASE/IFC4/ADD2_TC1/HTML/schema/ifcpresentationappearanceresource/lexical/ifcsurfacestyle.htm" TargetMode="External"/><Relationship Id="rId1276" Type="http://schemas.openxmlformats.org/officeDocument/2006/relationships/hyperlink" Target="https://standards.buildingsmart.org/IFC/RELEASE/IFC4/ADD2_TC1/HTML/schema/ifcgeometryresource/lexical/ifccurveweightspositive.htm" TargetMode="External"/><Relationship Id="rId1483" Type="http://schemas.openxmlformats.org/officeDocument/2006/relationships/hyperlink" Target="https://standards.buildingsmart.org/IFC/RELEASE/IFC4/ADD2_TC1/HTML/schema/ifcbuildingcontrolsdomain/pset/pset_controllertypemultiposition.htm" TargetMode="External"/><Relationship Id="rId2327" Type="http://schemas.openxmlformats.org/officeDocument/2006/relationships/hyperlink" Target="https://standards.buildingsmart.org/IFC/RELEASE/IFC4/ADD2_TC1/HTML/schema/ifcproductextension/pset/pset_spaceparking.htm" TargetMode="External"/><Relationship Id="rId2881" Type="http://schemas.openxmlformats.org/officeDocument/2006/relationships/hyperlink" Target="https://standards.buildingsmart.org/IFC/RELEASE/IFC4/ADD2_TC1/HTML/schema/ifcelectricaldomain/pset/pset_electricaldevicecommon.htm" TargetMode="External"/><Relationship Id="rId3725" Type="http://schemas.openxmlformats.org/officeDocument/2006/relationships/hyperlink" Target="https://standards.buildingsmart.org/IFC/RELEASE/IFC4/ADD2_TC1/HTML/schema/ifcsharedfacilitieselements/pset/pset_risk.htm" TargetMode="External"/><Relationship Id="rId506" Type="http://schemas.openxmlformats.org/officeDocument/2006/relationships/hyperlink" Target="https://standards.buildingsmart.org/IFC/RELEASE/IFC4/ADD2_TC1/HTML/schema/ifchvacdomain/lexical/ifccompressor.htm" TargetMode="External"/><Relationship Id="rId853" Type="http://schemas.openxmlformats.org/officeDocument/2006/relationships/hyperlink" Target="https://standards.buildingsmart.org/IFC/RELEASE/IFC4/ADD2_TC1/HTML/schema/ifckernel/lexical/ifcprojectlibrary.htm" TargetMode="External"/><Relationship Id="rId1136" Type="http://schemas.openxmlformats.org/officeDocument/2006/relationships/hyperlink" Target="https://standards.buildingsmart.org/IFC/RELEASE/IFC4/ADD2_TC1/HTML/schema/ifcmeasureresource/lexical/ifcunitassignment.htm" TargetMode="External"/><Relationship Id="rId1690" Type="http://schemas.openxmlformats.org/officeDocument/2006/relationships/hyperlink" Target="https://standards.buildingsmart.org/IFC/RELEASE/IFC4/ADD2_TC1/HTML/schema/ifcprofileresource/pset/pset_profilearbitrarydoublet.htm" TargetMode="External"/><Relationship Id="rId2534" Type="http://schemas.openxmlformats.org/officeDocument/2006/relationships/hyperlink" Target="https://standards.buildingsmart.org/IFC/RELEASE/IFC4/ADD2_TC1/HTML/schema/ifcplumbingfireprotectiondomain/pset/pset_interceptortypecommon.htm" TargetMode="External"/><Relationship Id="rId2741" Type="http://schemas.openxmlformats.org/officeDocument/2006/relationships/hyperlink" Target="https://standards.buildingsmart.org/IFC/RELEASE/IFC4/ADD2_TC1/HTML/schema/ifchvacdomain/pset/pset_dampertypecommon.htm" TargetMode="External"/><Relationship Id="rId713" Type="http://schemas.openxmlformats.org/officeDocument/2006/relationships/hyperlink" Target="https://standards.buildingsmart.org/IFC/RELEASE/IFC4/ADD2_TC1/HTML/schema/ifcpresentationappearanceresource/lexical/ifcindexedtexturemap.htm" TargetMode="External"/><Relationship Id="rId920" Type="http://schemas.openxmlformats.org/officeDocument/2006/relationships/hyperlink" Target="https://standards.buildingsmart.org/IFC/RELEASE/IFC4/ADD2_TC1/HTML/schema/ifccontrolextension/lexical/ifcrelassociatesconstraint.htm" TargetMode="External"/><Relationship Id="rId1343" Type="http://schemas.openxmlformats.org/officeDocument/2006/relationships/hyperlink" Target="https://standards.buildingsmart.org/IFC/RELEASE/IFC4/ADD2_TC1/HTML/schema/ifcsharedbldgserviceelements/pset/pset_distributionchamberelementtypeinspectionchamber.htm" TargetMode="External"/><Relationship Id="rId1550" Type="http://schemas.openxmlformats.org/officeDocument/2006/relationships/hyperlink" Target="https://standards.buildingsmart.org/IFC/RELEASE/IFC4/ADD2_TC1/HTML/schema/ifcsharedbldgserviceelements/pset/pset_thermalloadaggregate.htm" TargetMode="External"/><Relationship Id="rId2601" Type="http://schemas.openxmlformats.org/officeDocument/2006/relationships/hyperlink" Target="https://standards.buildingsmart.org/IFC/RELEASE/IFC4/ADD2_TC1/HTML/schema/ifchvacdomain/pset/pset_compressortypecommon.htm" TargetMode="External"/><Relationship Id="rId1203" Type="http://schemas.openxmlformats.org/officeDocument/2006/relationships/hyperlink" Target="https://standards.buildingsmart.org/IFC/RELEASE/IFC4/ADD2_TC1/HTML/schema/ifchvacdomain/qset/qto_ductsilencerbasequantities.htm" TargetMode="External"/><Relationship Id="rId1410" Type="http://schemas.openxmlformats.org/officeDocument/2006/relationships/hyperlink" Target="https://standards.buildingsmart.org/IFC/RELEASE/IFC4/ADD2_TC1/HTML/schema/ifcsharedbldgserviceelements/pset/pset_distributionchamberelementtypeinspectionchamber.htm" TargetMode="External"/><Relationship Id="rId3168" Type="http://schemas.openxmlformats.org/officeDocument/2006/relationships/hyperlink" Target="https://standards.buildingsmart.org/IFC/RELEASE/IFC4/ADD2_TC1/HTML/schema/ifcproductextension/pset/pset_transportelementelevator.htm" TargetMode="External"/><Relationship Id="rId3375" Type="http://schemas.openxmlformats.org/officeDocument/2006/relationships/hyperlink" Target="https://standards.buildingsmart.org/IFC/RELEASE/IFC4/ADD2_TC1/HTML/schema/ifcplumbingfireprotectiondomain/pset/pset_wasteterminaltypegullytrap.htm" TargetMode="External"/><Relationship Id="rId3582" Type="http://schemas.openxmlformats.org/officeDocument/2006/relationships/hyperlink" Target="https://standards.buildingsmart.org/IFC/RELEASE/IFC4/ADD2_TC1/HTML/schema/ifcplumbingfireprotectiondomain/pset/pset_firesuppressionterminaltypebreechinginlet.htm" TargetMode="External"/><Relationship Id="rId296" Type="http://schemas.openxmlformats.org/officeDocument/2006/relationships/hyperlink" Target="https://standards.buildingsmart.org/IFC/RELEASE/IFC4/ADD2_TC1/HTML/schema/ifcutilityresource/lexical/ifcstateenum.htm" TargetMode="External"/><Relationship Id="rId2184" Type="http://schemas.openxmlformats.org/officeDocument/2006/relationships/hyperlink" Target="https://standards.buildingsmart.org/IFC/RELEASE/IFC4/ADD2_TC1/HTML/schema/ifcsharedbldgelements/pset/pset_buildingelementproxycommon.htm" TargetMode="External"/><Relationship Id="rId2391" Type="http://schemas.openxmlformats.org/officeDocument/2006/relationships/hyperlink" Target="https://standards.buildingsmart.org/IFC/RELEASE/IFC4/ADD2_TC1/HTML/schema/ifcproductextension/pset/pset_buildingcommon.htm" TargetMode="External"/><Relationship Id="rId3028" Type="http://schemas.openxmlformats.org/officeDocument/2006/relationships/hyperlink" Target="https://standards.buildingsmart.org/IFC/RELEASE/IFC4/ADD2_TC1/HTML/schema/ifchvacdomain/pset/pset_valvetypegastap.htm" TargetMode="External"/><Relationship Id="rId3235" Type="http://schemas.openxmlformats.org/officeDocument/2006/relationships/hyperlink" Target="https://standards.buildingsmart.org/IFC/RELEASE/IFC4/ADD2_TC1/HTML/schema/ifchvacdomain/pset/pset_tanktypepreformed.htm" TargetMode="External"/><Relationship Id="rId3442" Type="http://schemas.openxmlformats.org/officeDocument/2006/relationships/hyperlink" Target="https://standards.buildingsmart.org/IFC/RELEASE/IFC4/ADD2_TC1/HTML/schema/ifcsharedbldgserviceelements/pset/pset_distributionporttypecable.htm" TargetMode="External"/><Relationship Id="rId156" Type="http://schemas.openxmlformats.org/officeDocument/2006/relationships/hyperlink" Target="https://standards.buildingsmart.org/IFC/RELEASE/IFC4/ADD2_TC1/HTML/schema/ifcelectricaldomain/lexical/ifccablesegmenttypeenum.htm" TargetMode="External"/><Relationship Id="rId363" Type="http://schemas.openxmlformats.org/officeDocument/2006/relationships/hyperlink" Target="https://standards.buildingsmart.org/IFC/RELEASE/IFC4/ADD2_TC1/HTML/schema/ifcstructuralloadresource/lexical/ifcmodulusofrotationalsubgradereactionselect.htm" TargetMode="External"/><Relationship Id="rId570" Type="http://schemas.openxmlformats.org/officeDocument/2006/relationships/hyperlink" Target="https://standards.buildingsmart.org/IFC/RELEASE/IFC4/ADD2_TC1/HTML/schema/ifcsharedbldgserviceelements/lexical/ifcdistributionchamberelement.htm" TargetMode="External"/><Relationship Id="rId2044" Type="http://schemas.openxmlformats.org/officeDocument/2006/relationships/hyperlink" Target="https://standards.buildingsmart.org/IFC/RELEASE/IFC4/ADD2_TC1/HTML/schema/ifcconstructionmgmtdomain/pset/pset_constructionresource.htm" TargetMode="External"/><Relationship Id="rId2251" Type="http://schemas.openxmlformats.org/officeDocument/2006/relationships/hyperlink" Target="https://standards.buildingsmart.org/IFC/RELEASE/IFC4/ADD2_TC1/HTML/schema/ifcsharedbldgserviceelements/pset/pset_outsidedesigncriteria.htm" TargetMode="External"/><Relationship Id="rId3302" Type="http://schemas.openxmlformats.org/officeDocument/2006/relationships/hyperlink" Target="https://standards.buildingsmart.org/IFC/RELEASE/IFC4/ADD2_TC1/HTML/schema/ifchvacdomain/pset/pset_fanoccurrence.htm" TargetMode="External"/><Relationship Id="rId223" Type="http://schemas.openxmlformats.org/officeDocument/2006/relationships/hyperlink" Target="https://standards.buildingsmart.org/IFC/RELEASE/IFC4/ADD2_TC1/HTML/schema/ifcrepresentationresource/lexical/ifcglobalorlocalenum.htm" TargetMode="External"/><Relationship Id="rId430" Type="http://schemas.openxmlformats.org/officeDocument/2006/relationships/hyperlink" Target="https://standards.buildingsmart.org/IFC/RELEASE/IFC4/ADD2_TC1/HTML/schema/ifcsharedbldgelements/lexical/ifcbeamtype.htm" TargetMode="External"/><Relationship Id="rId1060" Type="http://schemas.openxmlformats.org/officeDocument/2006/relationships/hyperlink" Target="https://standards.buildingsmart.org/IFC/RELEASE/IFC4/ADD2_TC1/HTML/schema/ifcconstructionmgmtdomain/lexical/ifcsubcontractresourcetype.htm" TargetMode="External"/><Relationship Id="rId2111" Type="http://schemas.openxmlformats.org/officeDocument/2006/relationships/hyperlink" Target="https://standards.buildingsmart.org/IFC/RELEASE/IFC4/ADD2_TC1/HTML/schema/ifcelectricaldomain/pset/pset_solardevicetypecommon.htm" TargetMode="External"/><Relationship Id="rId1877" Type="http://schemas.openxmlformats.org/officeDocument/2006/relationships/hyperlink" Target="https://standards.buildingsmart.org/IFC/RELEASE/IFC4/ADD2_TC1/HTML/schema/ifchvacdomain/pset/pset_airterminaltypecommon.htm" TargetMode="External"/><Relationship Id="rId2928" Type="http://schemas.openxmlformats.org/officeDocument/2006/relationships/hyperlink" Target="https://standards.buildingsmart.org/IFC/RELEASE/IFC4/ADD2_TC1/HTML/schema/ifcsharedmgmtelements/pset/pset_projectorderworkorder.htm" TargetMode="External"/><Relationship Id="rId1737" Type="http://schemas.openxmlformats.org/officeDocument/2006/relationships/hyperlink" Target="https://standards.buildingsmart.org/IFC/RELEASE/IFC4/ADD2_TC1/HTML/schema/ifcelectricaldomain/pset/pset_motorconnectiontypecommon.htm" TargetMode="External"/><Relationship Id="rId1944" Type="http://schemas.openxmlformats.org/officeDocument/2006/relationships/hyperlink" Target="https://standards.buildingsmart.org/IFC/RELEASE/IFC4/ADD2_TC1/HTML/schema/ifcbuildingcontrolsdomain/pset/pset_sensortyperadiationsensor.htm" TargetMode="External"/><Relationship Id="rId3092" Type="http://schemas.openxmlformats.org/officeDocument/2006/relationships/hyperlink" Target="https://standards.buildingsmart.org/IFC/RELEASE/IFC4/ADD2_TC1/HTML/schema/ifcelectricaldomain/pset/pset_electricmotortypecommon.htm" TargetMode="External"/><Relationship Id="rId29" Type="http://schemas.openxmlformats.org/officeDocument/2006/relationships/hyperlink" Target="https://standards.buildingsmart.org/IFC/RELEASE/IFC4/ADD2_TC1/HTML/schema/ifcmeasureresource/lexical/ifcsoundpowermeasure.htm" TargetMode="External"/><Relationship Id="rId1804" Type="http://schemas.openxmlformats.org/officeDocument/2006/relationships/hyperlink" Target="https://standards.buildingsmart.org/IFC/RELEASE/IFC4/ADD2_TC1/HTML/schema/ifcsharedcomponentelements/pset/pset_discreteaccessorystandardfixingplate.htm" TargetMode="External"/><Relationship Id="rId3769" Type="http://schemas.openxmlformats.org/officeDocument/2006/relationships/hyperlink" Target="https://standards.buildingsmart.org/IFC/RELEASE/IFC4/ADD2_TC1/HTML/schema/ifcsharedbldgserviceelements/pset/pset_distributionchamberelementtypevalvechamber.htm" TargetMode="External"/><Relationship Id="rId897" Type="http://schemas.openxmlformats.org/officeDocument/2006/relationships/hyperlink" Target="https://standards.buildingsmart.org/IFC/RELEASE/IFC4/ADD2_TC1/HTML/schema/ifcdatetimeresource/lexical/ifcrecurrencepattern.htm" TargetMode="External"/><Relationship Id="rId2578" Type="http://schemas.openxmlformats.org/officeDocument/2006/relationships/hyperlink" Target="https://standards.buildingsmart.org/IFC/RELEASE/IFC4/ADD2_TC1/HTML/schema/ifchvacdomain/pset/pset_fantypecommon.htm" TargetMode="External"/><Relationship Id="rId2785" Type="http://schemas.openxmlformats.org/officeDocument/2006/relationships/hyperlink" Target="https://standards.buildingsmart.org/IFC/RELEASE/IFC4/ADD2_TC1/HTML/schema/ifcelectricaldomain/pset/pset_protectivedevicetrippingfunctionicurve.htm" TargetMode="External"/><Relationship Id="rId2992" Type="http://schemas.openxmlformats.org/officeDocument/2006/relationships/hyperlink" Target="https://standards.buildingsmart.org/IFC/RELEASE/IFC4/ADD2_TC1/HTML/schema/ifchvacdomain/pset/pset_spacethermalphistory.htm" TargetMode="External"/><Relationship Id="rId3629" Type="http://schemas.openxmlformats.org/officeDocument/2006/relationships/hyperlink" Target="https://standards.buildingsmart.org/IFC/RELEASE/IFC4/ADD2_TC1/HTML/schema/ifcplumbingfireprotectiondomain/pset/pset_wasteterminaltypegullysump.htm" TargetMode="External"/><Relationship Id="rId757" Type="http://schemas.openxmlformats.org/officeDocument/2006/relationships/hyperlink" Target="https://standards.buildingsmart.org/IFC/RELEASE/IFC4/ADD2_TC1/HTML/schema/ifcmaterialresource/lexical/ifcmateriallayerwithoffsets.htm" TargetMode="External"/><Relationship Id="rId964" Type="http://schemas.openxmlformats.org/officeDocument/2006/relationships/hyperlink" Target="https://standards.buildingsmart.org/IFC/RELEASE/IFC4/ADD2_TC1/HTML/schema/ifcexternalreferenceresource/lexical/ifcresourcelevelrelationship.htm" TargetMode="External"/><Relationship Id="rId1387" Type="http://schemas.openxmlformats.org/officeDocument/2006/relationships/hyperlink" Target="https://standards.buildingsmart.org/IFC/RELEASE/IFC4/ADD2_TC1/HTML/schema/ifchvacdomain/pset/pset_filtertypewaterfilter.htm" TargetMode="External"/><Relationship Id="rId1594" Type="http://schemas.openxmlformats.org/officeDocument/2006/relationships/hyperlink" Target="https://standards.buildingsmart.org/IFC/RELEASE/IFC4/ADD2_TC1/HTML/schema/ifcsharedbldgelements/pset/pset_doorwindowglazingtype.htm" TargetMode="External"/><Relationship Id="rId2438" Type="http://schemas.openxmlformats.org/officeDocument/2006/relationships/hyperlink" Target="https://standards.buildingsmart.org/IFC/RELEASE/IFC4/ADD2_TC1/HTML/schema/ifcstructuralelementsdomain/pset/pset_precastslab.htm" TargetMode="External"/><Relationship Id="rId2645" Type="http://schemas.openxmlformats.org/officeDocument/2006/relationships/hyperlink" Target="https://standards.buildingsmart.org/IFC/RELEASE/IFC4/ADD2_TC1/HTML/schema/ifcmaterialresource/pset/pset_materialconcrete.htm" TargetMode="External"/><Relationship Id="rId2852" Type="http://schemas.openxmlformats.org/officeDocument/2006/relationships/hyperlink" Target="https://standards.buildingsmart.org/IFC/RELEASE/IFC4/ADD2_TC1/HTML/schema/ifcsharedfacilitieselements/pset/pset_furnituretypecommon.htm" TargetMode="External"/><Relationship Id="rId93" Type="http://schemas.openxmlformats.org/officeDocument/2006/relationships/hyperlink" Target="https://standards.buildingsmart.org/IFC/RELEASE/IFC4/ADD2_TC1/HTML/schema/ifcutilityresource/lexical/ifcgloballyuniqueid.htm" TargetMode="External"/><Relationship Id="rId617" Type="http://schemas.openxmlformats.org/officeDocument/2006/relationships/hyperlink" Target="https://standards.buildingsmart.org/IFC/RELEASE/IFC4/ADD2_TC1/HTML/schema/ifcsharedcomponentelements/lexical/ifcelementcomponent.htm" TargetMode="External"/><Relationship Id="rId824" Type="http://schemas.openxmlformats.org/officeDocument/2006/relationships/hyperlink" Target="https://standards.buildingsmart.org/IFC/RELEASE/IFC4/ADD2_TC1/HTML/schema/ifcgeometryresource/lexical/ifcpointonsurface.htm" TargetMode="External"/><Relationship Id="rId1247" Type="http://schemas.openxmlformats.org/officeDocument/2006/relationships/hyperlink" Target="https://standards.buildingsmart.org/IFC/RELEASE/IFC4/ADD2_TC1/HTML/schema/ifchvacdomain/qset/qto_spaceheaterbasequantities.htm" TargetMode="External"/><Relationship Id="rId1454" Type="http://schemas.openxmlformats.org/officeDocument/2006/relationships/hyperlink" Target="https://standards.buildingsmart.org/IFC/RELEASE/IFC4/ADD2_TC1/HTML/schema/ifcelectricaldomain/pset/pset_audiovisualappliancetypeprojector.htm" TargetMode="External"/><Relationship Id="rId1661" Type="http://schemas.openxmlformats.org/officeDocument/2006/relationships/hyperlink" Target="https://standards.buildingsmart.org/IFC/RELEASE/IFC4/ADD2_TC1/HTML/schema/ifcsharedbldgelements/pset/pset_slabcommon.htm" TargetMode="External"/><Relationship Id="rId2505" Type="http://schemas.openxmlformats.org/officeDocument/2006/relationships/hyperlink" Target="https://standards.buildingsmart.org/IFC/RELEASE/IFC4/ADD2_TC1/HTML/schema/ifcplumbingfireprotectiondomain/pset/pset_wasteterminaltypewastedisposalunit.htm" TargetMode="External"/><Relationship Id="rId2712" Type="http://schemas.openxmlformats.org/officeDocument/2006/relationships/hyperlink" Target="https://standards.buildingsmart.org/IFC/RELEASE/IFC4/ADD2_TC1/HTML/schema/ifcsharedbldgelements/pset/pset_membercommon.htm" TargetMode="External"/><Relationship Id="rId1107" Type="http://schemas.openxmlformats.org/officeDocument/2006/relationships/hyperlink" Target="https://standards.buildingsmart.org/IFC/RELEASE/IFC4/ADD2_TC1/HTML/schema/ifcpresentationappearanceresource/lexical/ifctexturecoordinate.htm" TargetMode="External"/><Relationship Id="rId1314" Type="http://schemas.openxmlformats.org/officeDocument/2006/relationships/hyperlink" Target="https://standards.buildingsmart.org/IFC/RELEASE/IFC4/ADD2_TC1/HTML/schema/ifcproductextension/pset/pset_buildingcommon.htm" TargetMode="External"/><Relationship Id="rId1521" Type="http://schemas.openxmlformats.org/officeDocument/2006/relationships/hyperlink" Target="https://standards.buildingsmart.org/IFC/RELEASE/IFC4/ADD2_TC1/HTML/schema/ifcsharedbldgelements/pset/pset_stairflightcommon.htm" TargetMode="External"/><Relationship Id="rId3279" Type="http://schemas.openxmlformats.org/officeDocument/2006/relationships/hyperlink" Target="https://standards.buildingsmart.org/IFC/RELEASE/IFC4/ADD2_TC1/HTML/schema/ifchvacdomain/pset/pset_pumpoccurrence.htm" TargetMode="External"/><Relationship Id="rId3486" Type="http://schemas.openxmlformats.org/officeDocument/2006/relationships/hyperlink" Target="https://standards.buildingsmart.org/IFC/RELEASE/IFC4/ADD2_TC1/HTML/schema/ifchvacdomain/pset/pset_boilerphistory.htm" TargetMode="External"/><Relationship Id="rId3693" Type="http://schemas.openxmlformats.org/officeDocument/2006/relationships/hyperlink" Target="https://standards.buildingsmart.org/IFC/RELEASE/IFC4/ADD2_TC1/HTML/schema/ifchvacdomain/pset/pset_airterminalboxtypecommon.htm" TargetMode="External"/><Relationship Id="rId20" Type="http://schemas.openxmlformats.org/officeDocument/2006/relationships/hyperlink" Target="https://standards.buildingsmart.org/IFC/RELEASE/IFC4/ADD2_TC1/HTML/schema/ifcpresentationappearanceresource/lexical/ifctextalignment.htm" TargetMode="External"/><Relationship Id="rId2088" Type="http://schemas.openxmlformats.org/officeDocument/2006/relationships/hyperlink" Target="https://standards.buildingsmart.org/IFC/RELEASE/IFC4/ADD2_TC1/HTML/schema/ifcsharedfacilitieselements/pset/pset_furnituretypecommon.htm" TargetMode="External"/><Relationship Id="rId2295" Type="http://schemas.openxmlformats.org/officeDocument/2006/relationships/hyperlink" Target="https://standards.buildingsmart.org/IFC/RELEASE/IFC4/ADD2_TC1/HTML/schema/ifcelectricaldomain/pset/pset_audiovisualappliancetypeplayer.htm" TargetMode="External"/><Relationship Id="rId3139" Type="http://schemas.openxmlformats.org/officeDocument/2006/relationships/hyperlink" Target="https://standards.buildingsmart.org/IFC/RELEASE/IFC4/ADD2_TC1/HTML/schema/ifcsharedcomponentelements/pset/pset_discreteaccessoryfixingsocket.htm" TargetMode="External"/><Relationship Id="rId3346" Type="http://schemas.openxmlformats.org/officeDocument/2006/relationships/hyperlink" Target="https://standards.buildingsmart.org/IFC/RELEASE/IFC4/ADD2_TC1/HTML/schema/ifcsharedcomponentelements/pset/pset_fastenerweld.htm" TargetMode="External"/><Relationship Id="rId267" Type="http://schemas.openxmlformats.org/officeDocument/2006/relationships/hyperlink" Target="https://standards.buildingsmart.org/IFC/RELEASE/IFC4/ADD2_TC1/HTML/schema/ifcelectricaldomain/lexical/ifcprotectivedevicetypeenum.htm" TargetMode="External"/><Relationship Id="rId474" Type="http://schemas.openxmlformats.org/officeDocument/2006/relationships/hyperlink" Target="https://standards.buildingsmart.org/IFC/RELEASE/IFC4/ADD2_TC1/HTML/schema/ifcgeometryresource/lexical/ifccartesiantransformationoperator.htm" TargetMode="External"/><Relationship Id="rId2155" Type="http://schemas.openxmlformats.org/officeDocument/2006/relationships/hyperlink" Target="https://standards.buildingsmart.org/IFC/RELEASE/IFC4/ADD2_TC1/HTML/schema/ifcelectricaldomain/pset/pset_electricflowstoragedevicetypecommon.htm" TargetMode="External"/><Relationship Id="rId3553" Type="http://schemas.openxmlformats.org/officeDocument/2006/relationships/hyperlink" Target="https://standards.buildingsmart.org/IFC/RELEASE/IFC4/ADD2_TC1/HTML/schema/ifcprofileresource/pset/pset_profilearbitraryhollowcore.htm" TargetMode="External"/><Relationship Id="rId3760" Type="http://schemas.openxmlformats.org/officeDocument/2006/relationships/hyperlink" Target="https://standards.buildingsmart.org/IFC/RELEASE/IFC4/ADD2_TC1/HTML/schema/ifcmaterialresource/pset/pset_materialwater.htm" TargetMode="External"/><Relationship Id="rId127" Type="http://schemas.openxmlformats.org/officeDocument/2006/relationships/hyperlink" Target="https://standards.buildingsmart.org/IFC/RELEASE/IFC4/ADD2_TC1/HTML/schema/ifcmeasureresource/lexical/ifcaccelerationmeasure.htm" TargetMode="External"/><Relationship Id="rId681" Type="http://schemas.openxmlformats.org/officeDocument/2006/relationships/hyperlink" Target="https://standards.buildingsmart.org/IFC/RELEASE/IFC4/ADD2_TC1/HTML/schema/ifcsharedbldgserviceelements/lexical/ifcflowstoragedevicetype.htm" TargetMode="External"/><Relationship Id="rId2362" Type="http://schemas.openxmlformats.org/officeDocument/2006/relationships/hyperlink" Target="https://standards.buildingsmart.org/IFC/RELEASE/IFC4/ADD2_TC1/HTML/schema/ifcsharedbldgserviceelements/pset/pset_distributionporttypepipe.htm" TargetMode="External"/><Relationship Id="rId3206" Type="http://schemas.openxmlformats.org/officeDocument/2006/relationships/hyperlink" Target="https://standards.buildingsmart.org/IFC/RELEASE/IFC4/ADD2_TC1/HTML/schema/ifcsharedbldgelements/pset/pset_wallcommon.htm" TargetMode="External"/><Relationship Id="rId3413" Type="http://schemas.openxmlformats.org/officeDocument/2006/relationships/hyperlink" Target="https://standards.buildingsmart.org/IFC/RELEASE/IFC4/ADD2_TC1/HTML/schema/ifcsharedbldgserviceelements/pset/pset_outsidedesigncriteria.htm" TargetMode="External"/><Relationship Id="rId3620" Type="http://schemas.openxmlformats.org/officeDocument/2006/relationships/hyperlink" Target="https://standards.buildingsmart.org/IFC/RELEASE/IFC4/ADD2_TC1/HTML/schema/ifcsharedbldgserviceelements/pset/pset_distributionchamberelementtypeinspectionchamber.htm" TargetMode="External"/><Relationship Id="rId334" Type="http://schemas.openxmlformats.org/officeDocument/2006/relationships/hyperlink" Target="https://standards.buildingsmart.org/IFC/RELEASE/IFC4/ADD2_TC1/HTML/schema/ifcprocessextension/lexical/ifcworkscheduletypeenum.htm" TargetMode="External"/><Relationship Id="rId541" Type="http://schemas.openxmlformats.org/officeDocument/2006/relationships/hyperlink" Target="https://standards.buildingsmart.org/IFC/RELEASE/IFC4/ADD2_TC1/HTML/schema/ifcsharedmgmtelements/lexical/ifccostschedule.htm" TargetMode="External"/><Relationship Id="rId1171" Type="http://schemas.openxmlformats.org/officeDocument/2006/relationships/hyperlink" Target="https://standards.buildingsmart.org/IFC/RELEASE/IFC4/ADD2_TC1/HTML/schema/ifchvacdomain/qset/qto_airtoairheatrecoverybasequantities.htm" TargetMode="External"/><Relationship Id="rId2015" Type="http://schemas.openxmlformats.org/officeDocument/2006/relationships/hyperlink" Target="https://standards.buildingsmart.org/IFC/RELEASE/IFC4/ADD2_TC1/HTML/schema/ifcproductextension/pset/pset_annotationlineofsight.htm" TargetMode="External"/><Relationship Id="rId2222" Type="http://schemas.openxmlformats.org/officeDocument/2006/relationships/hyperlink" Target="https://standards.buildingsmart.org/IFC/RELEASE/IFC4/ADD2_TC1/HTML/schema/ifcbuildingcontrolsdomain/pset/pset_controllerphistory.htm" TargetMode="External"/><Relationship Id="rId401" Type="http://schemas.openxmlformats.org/officeDocument/2006/relationships/hyperlink" Target="https://standards.buildingsmart.org/IFC/RELEASE/IFC4/ADD2_TC1/HTML/schema/ifcgeometricmodelresource/lexical/ifcadvancedbrep.htm" TargetMode="External"/><Relationship Id="rId1031" Type="http://schemas.openxmlformats.org/officeDocument/2006/relationships/hyperlink" Target="https://standards.buildingsmart.org/IFC/RELEASE/IFC4/ADD2_TC1/HTML/schema/ifcstructuralloadresource/lexical/ifcstructuralload.htm" TargetMode="External"/><Relationship Id="rId1988" Type="http://schemas.openxmlformats.org/officeDocument/2006/relationships/hyperlink" Target="https://standards.buildingsmart.org/IFC/RELEASE/IFC4/ADD2_TC1/HTML/schema/ifcelectricaldomain/pset/pset_lightfixturetypesecuritylighting.htm" TargetMode="External"/><Relationship Id="rId1848" Type="http://schemas.openxmlformats.org/officeDocument/2006/relationships/hyperlink" Target="https://standards.buildingsmart.org/IFC/RELEASE/IFC4/ADD2_TC1/HTML/schema/ifchvacdomain/pset/pset_spaceheaterphistory.htm" TargetMode="External"/><Relationship Id="rId3063" Type="http://schemas.openxmlformats.org/officeDocument/2006/relationships/hyperlink" Target="https://standards.buildingsmart.org/IFC/RELEASE/IFC4/ADD2_TC1/HTML/schema/ifchvacdomain/pset/pset_pipesegmentoccurrence.htm" TargetMode="External"/><Relationship Id="rId3270" Type="http://schemas.openxmlformats.org/officeDocument/2006/relationships/hyperlink" Target="https://standards.buildingsmart.org/IFC/RELEASE/IFC4/ADD2_TC1/HTML/schema/ifcproductextension/pset/pset_environmentalimpactvalues.htm" TargetMode="External"/><Relationship Id="rId191" Type="http://schemas.openxmlformats.org/officeDocument/2006/relationships/hyperlink" Target="https://standards.buildingsmart.org/IFC/RELEASE/IFC4/ADD2_TC1/HTML/schema/ifcarchitecturedomain/lexical/ifcdoorstyleconstructionenum.htm" TargetMode="External"/><Relationship Id="rId1708" Type="http://schemas.openxmlformats.org/officeDocument/2006/relationships/hyperlink" Target="https://standards.buildingsmart.org/IFC/RELEASE/IFC4/ADD2_TC1/HTML/schema/ifcelectricaldomain/pset/pset_transformertypecommon.htm" TargetMode="External"/><Relationship Id="rId1915" Type="http://schemas.openxmlformats.org/officeDocument/2006/relationships/hyperlink" Target="https://standards.buildingsmart.org/IFC/RELEASE/IFC4/ADD2_TC1/HTML/schema/ifcelectricaldomain/pset/pset_electricflowstoragedevicetypecommon.htm" TargetMode="External"/><Relationship Id="rId3130" Type="http://schemas.openxmlformats.org/officeDocument/2006/relationships/hyperlink" Target="https://standards.buildingsmart.org/IFC/RELEASE/IFC4/ADD2_TC1/HTML/schema/ifchvacdomain/pset/pset_pipeconnectionflanged.htm" TargetMode="External"/><Relationship Id="rId2689" Type="http://schemas.openxmlformats.org/officeDocument/2006/relationships/hyperlink" Target="https://standards.buildingsmart.org/IFC/RELEASE/IFC4/ADD2_TC1/HTML/schema/ifcstructuralelementsdomain/pset/pset_reinforcementbarpitchofslab.htm" TargetMode="External"/><Relationship Id="rId2896" Type="http://schemas.openxmlformats.org/officeDocument/2006/relationships/hyperlink" Target="https://standards.buildingsmart.org/IFC/RELEASE/IFC4/ADD2_TC1/HTML/schema/ifcsharedbldgserviceelements/pset/pset_distributionporttypepipe.htm" TargetMode="External"/><Relationship Id="rId868" Type="http://schemas.openxmlformats.org/officeDocument/2006/relationships/hyperlink" Target="https://standards.buildingsmart.org/IFC/RELEASE/IFC4/ADD2_TC1/HTML/schema/ifcpropertyresource/lexical/ifcpropertytablevalue.htm" TargetMode="External"/><Relationship Id="rId1498" Type="http://schemas.openxmlformats.org/officeDocument/2006/relationships/hyperlink" Target="https://standards.buildingsmart.org/IFC/RELEASE/IFC4/ADD2_TC1/HTML/schema/ifcmaterialresource/pset/pset_materialsteel.htm" TargetMode="External"/><Relationship Id="rId2549" Type="http://schemas.openxmlformats.org/officeDocument/2006/relationships/hyperlink" Target="https://standards.buildingsmart.org/IFC/RELEASE/IFC4/ADD2_TC1/HTML/schema/ifcsharedbldgserviceelements/pset/pset_distributionsystemtypeelectrical.htm" TargetMode="External"/><Relationship Id="rId2756" Type="http://schemas.openxmlformats.org/officeDocument/2006/relationships/hyperlink" Target="https://standards.buildingsmart.org/IFC/RELEASE/IFC4/ADD2_TC1/HTML/schema/ifcelectricaldomain/pset/pset_lamptypecommon.htm" TargetMode="External"/><Relationship Id="rId2963" Type="http://schemas.openxmlformats.org/officeDocument/2006/relationships/hyperlink" Target="https://standards.buildingsmart.org/IFC/RELEASE/IFC4/ADD2_TC1/HTML/schema/ifchvacdomain/pset/pset_tubebundletypecommon.htm" TargetMode="External"/><Relationship Id="rId728" Type="http://schemas.openxmlformats.org/officeDocument/2006/relationships/hyperlink" Target="https://standards.buildingsmart.org/IFC/RELEASE/IFC4/ADD2_TC1/HTML/schema/ifcelectricaldomain/lexical/ifclamptype.htm" TargetMode="External"/><Relationship Id="rId935" Type="http://schemas.openxmlformats.org/officeDocument/2006/relationships/hyperlink" Target="https://standards.buildingsmart.org/IFC/RELEASE/IFC4/ADD2_TC1/HTML/schema/ifcsharedbldgelements/lexical/ifcrelcoversbldgelements.htm" TargetMode="External"/><Relationship Id="rId1358" Type="http://schemas.openxmlformats.org/officeDocument/2006/relationships/hyperlink" Target="https://standards.buildingsmart.org/IFC/RELEASE/IFC4/ADD2_TC1/HTML/schema/ifchvacdomain/pset/pset_coiltypehydronic.htm" TargetMode="External"/><Relationship Id="rId1565" Type="http://schemas.openxmlformats.org/officeDocument/2006/relationships/hyperlink" Target="https://standards.buildingsmart.org/IFC/RELEASE/IFC4/ADD2_TC1/HTML/schema/ifcplumbingfireprotectiondomain/pset/pset_sanitaryterminaltypetoiletpan.htm" TargetMode="External"/><Relationship Id="rId1772" Type="http://schemas.openxmlformats.org/officeDocument/2006/relationships/hyperlink" Target="https://standards.buildingsmart.org/IFC/RELEASE/IFC4/ADD2_TC1/HTML/schema/ifchvacdomain/pset/pset_coolingtowertypecommon.htm" TargetMode="External"/><Relationship Id="rId2409" Type="http://schemas.openxmlformats.org/officeDocument/2006/relationships/hyperlink" Target="https://standards.buildingsmart.org/IFC/RELEASE/IFC4/ADD2_TC1/HTML/schema/ifcsharedbldgelements/pset/pset_chimneycommon.htm" TargetMode="External"/><Relationship Id="rId2616" Type="http://schemas.openxmlformats.org/officeDocument/2006/relationships/hyperlink" Target="https://standards.buildingsmart.org/IFC/RELEASE/IFC4/ADD2_TC1/HTML/schema/ifchvacdomain/pset/pset_compressorphistory.htm" TargetMode="External"/><Relationship Id="rId64" Type="http://schemas.openxmlformats.org/officeDocument/2006/relationships/hyperlink" Target="https://standards.buildingsmart.org/IFC/RELEASE/IFC4/ADD2_TC1/HTML/schema/ifcmeasureresource/lexical/ifcmodulusofelasticitymeasure.htm" TargetMode="External"/><Relationship Id="rId1218" Type="http://schemas.openxmlformats.org/officeDocument/2006/relationships/hyperlink" Target="https://standards.buildingsmart.org/IFC/RELEASE/IFC4/ADD2_TC1/HTML/schema/ifchvacdomain/qset/qto_heatexchangerbasequantities.htm" TargetMode="External"/><Relationship Id="rId1425" Type="http://schemas.openxmlformats.org/officeDocument/2006/relationships/hyperlink" Target="https://standards.buildingsmart.org/IFC/RELEASE/IFC4/ADD2_TC1/HTML/schema/ifcelectricaldomain/pset/pset_protectivedevicebreakerunittypemcb.htm" TargetMode="External"/><Relationship Id="rId2823" Type="http://schemas.openxmlformats.org/officeDocument/2006/relationships/hyperlink" Target="https://standards.buildingsmart.org/IFC/RELEASE/IFC4/ADD2_TC1/HTML/schema/ifcplumbingfireprotectiondomain/pset/pset_wasteterminaltypefloortrap.htm" TargetMode="External"/><Relationship Id="rId1632" Type="http://schemas.openxmlformats.org/officeDocument/2006/relationships/hyperlink" Target="https://standards.buildingsmart.org/IFC/RELEASE/IFC4/ADD2_TC1/HTML/schema/ifchvacdomain/pset/pset_pipefittingtypecommon.htm" TargetMode="External"/><Relationship Id="rId2199" Type="http://schemas.openxmlformats.org/officeDocument/2006/relationships/hyperlink" Target="https://standards.buildingsmart.org/IFC/RELEASE/IFC4/ADD2_TC1/HTML/schema/ifcsharedbldgserviceelements/pset/pset_distributionportphistorycable.htm" TargetMode="External"/><Relationship Id="rId3597" Type="http://schemas.openxmlformats.org/officeDocument/2006/relationships/hyperlink" Target="https://standards.buildingsmart.org/IFC/RELEASE/IFC4/ADD2_TC1/HTML/schema/ifchvacdomain/pset/pset_damperphistory.htm" TargetMode="External"/><Relationship Id="rId3457" Type="http://schemas.openxmlformats.org/officeDocument/2006/relationships/hyperlink" Target="https://standards.buildingsmart.org/IFC/RELEASE/IFC4/ADD2_TC1/HTML/schema/ifcbuildingcontrolsdomain/pset/pset_alarmphistory.htm" TargetMode="External"/><Relationship Id="rId3664" Type="http://schemas.openxmlformats.org/officeDocument/2006/relationships/hyperlink" Target="https://standards.buildingsmart.org/IFC/RELEASE/IFC4/ADD2_TC1/HTML/schema/ifchvacdomain/pset/pset_heatexchangertypecommon.htm" TargetMode="External"/><Relationship Id="rId378" Type="http://schemas.openxmlformats.org/officeDocument/2006/relationships/hyperlink" Target="https://standards.buildingsmart.org/IFC/RELEASE/IFC4/ADD2_TC1/HTML/schema/ifcmeasureresource/lexical/ifcsimplevalue.htm" TargetMode="External"/><Relationship Id="rId585" Type="http://schemas.openxmlformats.org/officeDocument/2006/relationships/hyperlink" Target="https://standards.buildingsmart.org/IFC/RELEASE/IFC4/ADD2_TC1/HTML/schema/ifcarchitecturedomain/lexical/ifcdoorliningproperties.htm" TargetMode="External"/><Relationship Id="rId792" Type="http://schemas.openxmlformats.org/officeDocument/2006/relationships/hyperlink" Target="https://standards.buildingsmart.org/IFC/RELEASE/IFC4/ADD2_TC1/HTML/schema/ifcactorresource/lexical/ifcorganizationrelationship.htm" TargetMode="External"/><Relationship Id="rId2059" Type="http://schemas.openxmlformats.org/officeDocument/2006/relationships/hyperlink" Target="https://standards.buildingsmart.org/IFC/RELEASE/IFC4/ADD2_TC1/HTML/schema/ifcelectricaldomain/pset/pset_protectivedevicetrippingfunctionscurve.htm" TargetMode="External"/><Relationship Id="rId2266" Type="http://schemas.openxmlformats.org/officeDocument/2006/relationships/hyperlink" Target="https://standards.buildingsmart.org/IFC/RELEASE/IFC4/ADD2_TC1/HTML/schema/ifchvacdomain/pset/pset_fantypecommon.htm" TargetMode="External"/><Relationship Id="rId2473" Type="http://schemas.openxmlformats.org/officeDocument/2006/relationships/hyperlink" Target="https://standards.buildingsmart.org/IFC/RELEASE/IFC4/ADD2_TC1/HTML/schema/ifchvacdomain/pset/pset_airterminalboxtypecommon.htm" TargetMode="External"/><Relationship Id="rId2680" Type="http://schemas.openxmlformats.org/officeDocument/2006/relationships/hyperlink" Target="https://standards.buildingsmart.org/IFC/RELEASE/IFC4/ADD2_TC1/HTML/schema/ifcstructuralelementsdomain/pset/pset_reinforcementbarpitchofslab.htm" TargetMode="External"/><Relationship Id="rId3317" Type="http://schemas.openxmlformats.org/officeDocument/2006/relationships/hyperlink" Target="https://standards.buildingsmart.org/IFC/RELEASE/IFC4/ADD2_TC1/HTML/schema/ifcsharedcomponentelements/pset/pset_discreteaccessorydiagonaltrussconnector.htm" TargetMode="External"/><Relationship Id="rId3524" Type="http://schemas.openxmlformats.org/officeDocument/2006/relationships/hyperlink" Target="https://standards.buildingsmart.org/IFC/RELEASE/IFC4/ADD2_TC1/HTML/schema/ifcproductextension/pset/pset_environmentalimpactindicators.htm" TargetMode="External"/><Relationship Id="rId3731" Type="http://schemas.openxmlformats.org/officeDocument/2006/relationships/hyperlink" Target="https://standards.buildingsmart.org/IFC/RELEASE/IFC4/ADD2_TC1/HTML/schema/ifcelectricaldomain/pset/pset_protectivedevicetrippingunittimeadjustment.htm" TargetMode="External"/><Relationship Id="rId238" Type="http://schemas.openxmlformats.org/officeDocument/2006/relationships/hyperlink" Target="https://standards.buildingsmart.org/IFC/RELEASE/IFC4/ADD2_TC1/HTML/schema/ifcstructuralanalysisdomain/lexical/ifcloadgrouptypeenum.htm" TargetMode="External"/><Relationship Id="rId445" Type="http://schemas.openxmlformats.org/officeDocument/2006/relationships/hyperlink" Target="https://standards.buildingsmart.org/IFC/RELEASE/IFC4/ADD2_TC1/HTML/schema/ifcgeometricmodelresource/lexical/ifcboundingbox.htm" TargetMode="External"/><Relationship Id="rId652" Type="http://schemas.openxmlformats.org/officeDocument/2006/relationships/hyperlink" Target="https://standards.buildingsmart.org/IFC/RELEASE/IFC4/ADD2_TC1/HTML/schema/ifcstructuralloadresource/lexical/ifcfailureconnectioncondition.htm" TargetMode="External"/><Relationship Id="rId1075" Type="http://schemas.openxmlformats.org/officeDocument/2006/relationships/hyperlink" Target="https://standards.buildingsmart.org/IFC/RELEASE/IFC4/ADD2_TC1/HTML/schema/ifcpresentationappearanceresource/lexical/ifcsurfacetexture.htm" TargetMode="External"/><Relationship Id="rId1282" Type="http://schemas.openxmlformats.org/officeDocument/2006/relationships/hyperlink" Target="https://standards.buildingsmart.org/IFC/RELEASE/IFC4/ADD2_TC1/HTML/schema/ifcgeometryresource/lexical/ifclisttoarray.htm" TargetMode="External"/><Relationship Id="rId2126" Type="http://schemas.openxmlformats.org/officeDocument/2006/relationships/hyperlink" Target="https://standards.buildingsmart.org/IFC/RELEASE/IFC4/ADD2_TC1/HTML/schema/ifcsharedbldgelements/pset/pset_platecommon.htm" TargetMode="External"/><Relationship Id="rId2333" Type="http://schemas.openxmlformats.org/officeDocument/2006/relationships/hyperlink" Target="https://standards.buildingsmart.org/IFC/RELEASE/IFC4/ADD2_TC1/HTML/schema/ifcsharedmgmtelements/pset/pset_packinginstructions.htm" TargetMode="External"/><Relationship Id="rId2540" Type="http://schemas.openxmlformats.org/officeDocument/2006/relationships/hyperlink" Target="https://standards.buildingsmart.org/IFC/RELEASE/IFC4/ADD2_TC1/HTML/schema/ifchvacdomain/pset/pset_humidifiertypecommon.htm" TargetMode="External"/><Relationship Id="rId305" Type="http://schemas.openxmlformats.org/officeDocument/2006/relationships/hyperlink" Target="https://standards.buildingsmart.org/IFC/RELEASE/IFC4/ADD2_TC1/HTML/schema/ifcsharedfacilitieselements/lexical/ifcsystemfurnitureelementtypeenum.htm" TargetMode="External"/><Relationship Id="rId512" Type="http://schemas.openxmlformats.org/officeDocument/2006/relationships/hyperlink" Target="https://standards.buildingsmart.org/IFC/RELEASE/IFC4/ADD2_TC1/HTML/schema/ifcgeometricconstraintresource/lexical/ifcconnectioncurvegeometry.htm" TargetMode="External"/><Relationship Id="rId1142" Type="http://schemas.openxmlformats.org/officeDocument/2006/relationships/hyperlink" Target="https://standards.buildingsmart.org/IFC/RELEASE/IFC4/ADD2_TC1/HTML/schema/ifctopologyresource/lexical/ifcvertexloop.htm" TargetMode="External"/><Relationship Id="rId2400" Type="http://schemas.openxmlformats.org/officeDocument/2006/relationships/hyperlink" Target="https://standards.buildingsmart.org/IFC/RELEASE/IFC4/ADD2_TC1/HTML/schema/ifcsharedbldgelements/pset/pset_staircommon.htm" TargetMode="External"/><Relationship Id="rId1002" Type="http://schemas.openxmlformats.org/officeDocument/2006/relationships/hyperlink" Target="https://standards.buildingsmart.org/IFC/RELEASE/IFC4/ADD2_TC1/HTML/schema/ifchvacdomain/lexical/ifcspaceheater.htm" TargetMode="External"/><Relationship Id="rId1959" Type="http://schemas.openxmlformats.org/officeDocument/2006/relationships/hyperlink" Target="https://standards.buildingsmart.org/IFC/RELEASE/IFC4/ADD2_TC1/HTML/schema/ifcbuildingcontrolsdomain/pset/pset_sensortypeco2sensor.htm" TargetMode="External"/><Relationship Id="rId3174" Type="http://schemas.openxmlformats.org/officeDocument/2006/relationships/hyperlink" Target="https://standards.buildingsmart.org/IFC/RELEASE/IFC4/ADD2_TC1/HTML/schema/ifcproductextension/pset/pset_openingelementcommon.htm" TargetMode="External"/><Relationship Id="rId1819" Type="http://schemas.openxmlformats.org/officeDocument/2006/relationships/hyperlink" Target="https://standards.buildingsmart.org/IFC/RELEASE/IFC4/ADD2_TC1/HTML/schema/ifcplumbingfireprotectiondomain/pset/pset_sanitaryterminaltypeurinal.htm" TargetMode="External"/><Relationship Id="rId3381" Type="http://schemas.openxmlformats.org/officeDocument/2006/relationships/hyperlink" Target="https://standards.buildingsmart.org/IFC/RELEASE/IFC4/ADD2_TC1/HTML/schema/ifcbuildingcontrolsdomain/pset/pset_sensortypeheatsensor.htm" TargetMode="External"/><Relationship Id="rId2190" Type="http://schemas.openxmlformats.org/officeDocument/2006/relationships/hyperlink" Target="https://standards.buildingsmart.org/IFC/RELEASE/IFC4/ADD2_TC1/HTML/schema/ifchvacdomain/pset/pset_airtoairheatrecoverytypecommon.htm" TargetMode="External"/><Relationship Id="rId3034" Type="http://schemas.openxmlformats.org/officeDocument/2006/relationships/hyperlink" Target="https://standards.buildingsmart.org/IFC/RELEASE/IFC4/ADD2_TC1/HTML/schema/ifcsharedbldgelements/pset/pset_doorcommon.htm" TargetMode="External"/><Relationship Id="rId3241" Type="http://schemas.openxmlformats.org/officeDocument/2006/relationships/hyperlink" Target="https://standards.buildingsmart.org/IFC/RELEASE/IFC4/ADD2_TC1/HTML/schema/ifcelectricaldomain/pset/pset_electricmotortypecommon.htm" TargetMode="External"/><Relationship Id="rId162" Type="http://schemas.openxmlformats.org/officeDocument/2006/relationships/hyperlink" Target="https://standards.buildingsmart.org/IFC/RELEASE/IFC4/ADD2_TC1/HTML/schema/ifcelectricaldomain/lexical/ifccommunicationsappliancetypeenum.htm" TargetMode="External"/><Relationship Id="rId2050" Type="http://schemas.openxmlformats.org/officeDocument/2006/relationships/hyperlink" Target="https://standards.buildingsmart.org/IFC/RELEASE/IFC4/ADD2_TC1/HTML/schema/ifcelectricaldomain/pset/pset_protectivedevicetrippingfunctiongcurve.htm" TargetMode="External"/><Relationship Id="rId3101" Type="http://schemas.openxmlformats.org/officeDocument/2006/relationships/hyperlink" Target="https://standards.buildingsmart.org/IFC/RELEASE/IFC4/ADD2_TC1/HTML/schema/ifcstructuralelementsdomain/pset/pset_precastconcreteelementgeneral.htm" TargetMode="External"/><Relationship Id="rId979" Type="http://schemas.openxmlformats.org/officeDocument/2006/relationships/hyperlink" Target="https://standards.buildingsmart.org/IFC/RELEASE/IFC4/ADD2_TC1/HTML/schema/ifcprofileresource/lexical/ifcsectionproperties.htm" TargetMode="External"/><Relationship Id="rId839" Type="http://schemas.openxmlformats.org/officeDocument/2006/relationships/hyperlink" Target="https://standards.buildingsmart.org/IFC/RELEASE/IFC4/ADD2_TC1/HTML/schema/ifcpresentationorganizationresource/lexical/ifcpresentationlayerwithstyle.htm" TargetMode="External"/><Relationship Id="rId1469" Type="http://schemas.openxmlformats.org/officeDocument/2006/relationships/hyperlink" Target="https://standards.buildingsmart.org/IFC/RELEASE/IFC4/ADD2_TC1/HTML/schema/ifcsharedbldgserviceelements/pset/pset_distributionportphistoryduct.htm" TargetMode="External"/><Relationship Id="rId2867" Type="http://schemas.openxmlformats.org/officeDocument/2006/relationships/hyperlink" Target="https://standards.buildingsmart.org/IFC/RELEASE/IFC4/ADD2_TC1/HTML/schema/ifchvacdomain/pset/pset_evaporatortypecommon.htm" TargetMode="External"/><Relationship Id="rId1676" Type="http://schemas.openxmlformats.org/officeDocument/2006/relationships/hyperlink" Target="https://standards.buildingsmart.org/IFC/RELEASE/IFC4/ADD2_TC1/HTML/schema/ifcbuildingcontrolsdomain/pset/pset_sensortypeionconcentrationsensor.htm" TargetMode="External"/><Relationship Id="rId1883" Type="http://schemas.openxmlformats.org/officeDocument/2006/relationships/hyperlink" Target="https://standards.buildingsmart.org/IFC/RELEASE/IFC4/ADD2_TC1/HTML/schema/ifcsharedbldgelements/pset/pset_beamcommon.htm" TargetMode="External"/><Relationship Id="rId2727" Type="http://schemas.openxmlformats.org/officeDocument/2006/relationships/hyperlink" Target="https://standards.buildingsmart.org/IFC/RELEASE/IFC4/ADD2_TC1/HTML/schema/ifcelectricaldomain/pset/pset_lightfixturetypecommon.htm" TargetMode="External"/><Relationship Id="rId2934" Type="http://schemas.openxmlformats.org/officeDocument/2006/relationships/hyperlink" Target="https://standards.buildingsmart.org/IFC/RELEASE/IFC4/ADD2_TC1/HTML/schema/ifcelectricaldomain/pset/pset_protectivedevicebreakerunittypemotorprotection.htm" TargetMode="External"/><Relationship Id="rId906" Type="http://schemas.openxmlformats.org/officeDocument/2006/relationships/hyperlink" Target="https://standards.buildingsmart.org/IFC/RELEASE/IFC4/ADD2_TC1/HTML/schema/ifcstructuralelementsdomain/lexical/ifcreinforcingmesh.htm" TargetMode="External"/><Relationship Id="rId1329" Type="http://schemas.openxmlformats.org/officeDocument/2006/relationships/hyperlink" Target="https://standards.buildingsmart.org/IFC/RELEASE/IFC4/ADD2_TC1/HTML/schema/ifcsharedfacilitieselements/pset/pset_furnituretypedesk.htm" TargetMode="External"/><Relationship Id="rId1536" Type="http://schemas.openxmlformats.org/officeDocument/2006/relationships/hyperlink" Target="https://standards.buildingsmart.org/IFC/RELEASE/IFC4/ADD2_TC1/HTML/schema/ifcelectricaldomain/pset/pset_lightfixturetypecommon.htm" TargetMode="External"/><Relationship Id="rId1743" Type="http://schemas.openxmlformats.org/officeDocument/2006/relationships/hyperlink" Target="https://standards.buildingsmart.org/IFC/RELEASE/IFC4/ADD2_TC1/HTML/schema/ifcplumbingfireprotectiondomain/pset/pset_interceptortypecommon.htm" TargetMode="External"/><Relationship Id="rId1950" Type="http://schemas.openxmlformats.org/officeDocument/2006/relationships/hyperlink" Target="https://standards.buildingsmart.org/IFC/RELEASE/IFC4/ADD2_TC1/HTML/schema/ifcbuildingcontrolsdomain/pset/pset_sensortypelightsensor.htm" TargetMode="External"/><Relationship Id="rId35" Type="http://schemas.openxmlformats.org/officeDocument/2006/relationships/hyperlink" Target="https://standards.buildingsmart.org/IFC/RELEASE/IFC4/ADD2_TC1/HTML/schema/ifcmeasureresource/lexical/ifcrotationalstiffnessmeasure.htm" TargetMode="External"/><Relationship Id="rId1603" Type="http://schemas.openxmlformats.org/officeDocument/2006/relationships/hyperlink" Target="https://standards.buildingsmart.org/IFC/RELEASE/IFC4/ADD2_TC1/HTML/schema/ifcsharedbldgelements/pset/pset_curtainwallcommon.htm" TargetMode="External"/><Relationship Id="rId1810" Type="http://schemas.openxmlformats.org/officeDocument/2006/relationships/hyperlink" Target="https://standards.buildingsmart.org/IFC/RELEASE/IFC4/ADD2_TC1/HTML/schema/ifcplumbingfireprotectiondomain/pset/pset_firesuppressionterminaltypesprinkler.htm" TargetMode="External"/><Relationship Id="rId3568" Type="http://schemas.openxmlformats.org/officeDocument/2006/relationships/hyperlink" Target="https://standards.buildingsmart.org/IFC/RELEASE/IFC4/ADD2_TC1/HTML/schema/ifchvacdomain/pset/pset_coolingtowertypecommon.htm" TargetMode="External"/><Relationship Id="rId3775" Type="http://schemas.openxmlformats.org/officeDocument/2006/relationships/hyperlink" Target="https://standards.buildingsmart.org/IFC/RELEASE/IFC4/ADD2_TC1/HTML/schema/ifcsharedbldgserviceelements/pset/pset_distributionchamberelementtypeformedduct.htm" TargetMode="External"/><Relationship Id="rId489" Type="http://schemas.openxmlformats.org/officeDocument/2006/relationships/hyperlink" Target="https://standards.buildingsmart.org/IFC/RELEASE/IFC4/ADD2_TC1/HTML/schema/ifcexternalreferenceresource/lexical/ifcclassification.htm" TargetMode="External"/><Relationship Id="rId696" Type="http://schemas.openxmlformats.org/officeDocument/2006/relationships/hyperlink" Target="https://standards.buildingsmart.org/IFC/RELEASE/IFC4/ADD2_TC1/HTML/schema/ifcgeometryresource/lexical/ifcgeometricrepresentationitem.htm" TargetMode="External"/><Relationship Id="rId2377" Type="http://schemas.openxmlformats.org/officeDocument/2006/relationships/hyperlink" Target="https://standards.buildingsmart.org/IFC/RELEASE/IFC4/ADD2_TC1/HTML/schema/ifchvacdomain/pset/pset_tanktypecommon.htm" TargetMode="External"/><Relationship Id="rId2584" Type="http://schemas.openxmlformats.org/officeDocument/2006/relationships/hyperlink" Target="https://standards.buildingsmart.org/IFC/RELEASE/IFC4/ADD2_TC1/HTML/schema/ifcproductextension/pset/pset_spacecoveringrequirements.htm" TargetMode="External"/><Relationship Id="rId2791" Type="http://schemas.openxmlformats.org/officeDocument/2006/relationships/hyperlink" Target="https://standards.buildingsmart.org/IFC/RELEASE/IFC4/ADD2_TC1/HTML/schema/ifcsharedbldgserviceelements/pset/pset_distributionchamberelementtypemanhole.htm" TargetMode="External"/><Relationship Id="rId3428" Type="http://schemas.openxmlformats.org/officeDocument/2006/relationships/hyperlink" Target="https://standards.buildingsmart.org/IFC/RELEASE/IFC4/ADD2_TC1/HTML/schema/ifcsharedmgmtelements/pset/pset_projectorderworkorder.htm" TargetMode="External"/><Relationship Id="rId3635" Type="http://schemas.openxmlformats.org/officeDocument/2006/relationships/hyperlink" Target="https://standards.buildingsmart.org/IFC/RELEASE/IFC4/ADD2_TC1/HTML/schema/ifcelectricaldomain/pset/pset_audiovisualappliancetypecommon.htm" TargetMode="External"/><Relationship Id="rId349" Type="http://schemas.openxmlformats.org/officeDocument/2006/relationships/hyperlink" Target="https://standards.buildingsmart.org/IFC/RELEASE/IFC4/ADD2_TC1/HTML/schema/ifcpresentationappearanceresource/lexical/ifccurvestylefontselect.htm" TargetMode="External"/><Relationship Id="rId556" Type="http://schemas.openxmlformats.org/officeDocument/2006/relationships/hyperlink" Target="https://standards.buildingsmart.org/IFC/RELEASE/IFC4/ADD2_TC1/HTML/schema/ifcpresentationappearanceresource/lexical/ifccurvestyle.htm" TargetMode="External"/><Relationship Id="rId763" Type="http://schemas.openxmlformats.org/officeDocument/2006/relationships/hyperlink" Target="https://standards.buildingsmart.org/IFC/RELEASE/IFC4/ADD2_TC1/HTML/schema/ifcmaterialresource/lexical/ifcmaterialprofilewithoffsets.htm" TargetMode="External"/><Relationship Id="rId1186" Type="http://schemas.openxmlformats.org/officeDocument/2006/relationships/hyperlink" Target="https://standards.buildingsmart.org/IFC/RELEASE/IFC4/ADD2_TC1/HTML/schema/ifchvacdomain/qset/qto_coilbasequantities.htm" TargetMode="External"/><Relationship Id="rId1393" Type="http://schemas.openxmlformats.org/officeDocument/2006/relationships/hyperlink" Target="https://standards.buildingsmart.org/IFC/RELEASE/IFC4/ADD2_TC1/HTML/schema/ifcplumbingfireprotectiondomain/pset/pset_sanitaryterminaltypewashhandbasin.htm" TargetMode="External"/><Relationship Id="rId2237" Type="http://schemas.openxmlformats.org/officeDocument/2006/relationships/hyperlink" Target="https://standards.buildingsmart.org/IFC/RELEASE/IFC4/ADD2_TC1/HTML/schema/ifcstructuralelementsdomain/pset/pset_precastconcreteelementfabrication.htm" TargetMode="External"/><Relationship Id="rId2444" Type="http://schemas.openxmlformats.org/officeDocument/2006/relationships/hyperlink" Target="https://standards.buildingsmart.org/IFC/RELEASE/IFC4/ADD2_TC1/HTML/schema/ifchvacdomain/pset/pset_cooledbeamtypecommon.htm" TargetMode="External"/><Relationship Id="rId209" Type="http://schemas.openxmlformats.org/officeDocument/2006/relationships/hyperlink" Target="https://standards.buildingsmart.org/IFC/RELEASE/IFC4/ADD2_TC1/HTML/schema/ifcprocessextension/lexical/ifceventtriggertypeenum.htm" TargetMode="External"/><Relationship Id="rId416" Type="http://schemas.openxmlformats.org/officeDocument/2006/relationships/hyperlink" Target="https://standards.buildingsmart.org/IFC/RELEASE/IFC4/ADD2_TC1/HTML/schema/ifcapprovalresource/lexical/ifcapproval.htm" TargetMode="External"/><Relationship Id="rId970" Type="http://schemas.openxmlformats.org/officeDocument/2006/relationships/hyperlink" Target="https://standards.buildingsmart.org/IFC/RELEASE/IFC4/ADD2_TC1/HTML/schema/ifcsharedbldgelements/lexical/ifcroof.htm" TargetMode="External"/><Relationship Id="rId1046" Type="http://schemas.openxmlformats.org/officeDocument/2006/relationships/hyperlink" Target="https://standards.buildingsmart.org/IFC/RELEASE/IFC4/ADD2_TC1/HTML/schema/ifcstructuralanalysisdomain/lexical/ifcstructuralpointaction.htm" TargetMode="External"/><Relationship Id="rId1253" Type="http://schemas.openxmlformats.org/officeDocument/2006/relationships/hyperlink" Target="https://standards.buildingsmart.org/IFC/RELEASE/IFC4/ADD2_TC1/HTML/schema/ifchvacdomain/qset/qto_tubebundlebasequantities.htm" TargetMode="External"/><Relationship Id="rId2651" Type="http://schemas.openxmlformats.org/officeDocument/2006/relationships/hyperlink" Target="https://standards.buildingsmart.org/IFC/RELEASE/IFC4/ADD2_TC1/HTML/schema/ifcmaterialresource/pset/pset_materialcommon.htm" TargetMode="External"/><Relationship Id="rId3702" Type="http://schemas.openxmlformats.org/officeDocument/2006/relationships/hyperlink" Target="https://standards.buildingsmart.org/IFC/RELEASE/IFC4/ADD2_TC1/HTML/schema/ifchvacdomain/pset/pset_unitaryequipmenttypeairhandler.htm" TargetMode="External"/><Relationship Id="rId623" Type="http://schemas.openxmlformats.org/officeDocument/2006/relationships/hyperlink" Target="https://standards.buildingsmart.org/IFC/RELEASE/IFC4/ADD2_TC1/HTML/schema/ifcsharedbldgserviceelements/lexical/ifcenergyconversiondevice.htm" TargetMode="External"/><Relationship Id="rId830" Type="http://schemas.openxmlformats.org/officeDocument/2006/relationships/hyperlink" Target="https://standards.buildingsmart.org/IFC/RELEASE/IFC4/ADD2_TC1/HTML/schema/ifcactorresource/lexical/ifcpostaladdress.htm" TargetMode="External"/><Relationship Id="rId1460" Type="http://schemas.openxmlformats.org/officeDocument/2006/relationships/hyperlink" Target="https://standards.buildingsmart.org/IFC/RELEASE/IFC4/ADD2_TC1/HTML/schema/ifcsharedfacilitieselements/pset/pset_propertyagreement.htm" TargetMode="External"/><Relationship Id="rId2304" Type="http://schemas.openxmlformats.org/officeDocument/2006/relationships/hyperlink" Target="https://standards.buildingsmart.org/IFC/RELEASE/IFC4/ADD2_TC1/HTML/schema/ifchvacdomain/pset/pset_coiltypecommon.htm" TargetMode="External"/><Relationship Id="rId2511" Type="http://schemas.openxmlformats.org/officeDocument/2006/relationships/hyperlink" Target="https://standards.buildingsmart.org/IFC/RELEASE/IFC4/ADD2_TC1/HTML/schema/ifcelectricaldomain/pset/pset_protectivedevicebreakerunittypemcb.htm" TargetMode="External"/><Relationship Id="rId1113" Type="http://schemas.openxmlformats.org/officeDocument/2006/relationships/hyperlink" Target="https://standards.buildingsmart.org/IFC/RELEASE/IFC4/ADD2_TC1/HTML/schema/ifcdatetimeresource/lexical/ifctimeseries.htm" TargetMode="External"/><Relationship Id="rId1320" Type="http://schemas.openxmlformats.org/officeDocument/2006/relationships/hyperlink" Target="https://standards.buildingsmart.org/IFC/RELEASE/IFC4/ADD2_TC1/HTML/schema/ifcstructuralelementsdomain/pset/pset_reinforcementbarcountofindependentfooting.htm" TargetMode="External"/><Relationship Id="rId3078" Type="http://schemas.openxmlformats.org/officeDocument/2006/relationships/hyperlink" Target="https://standards.buildingsmart.org/IFC/RELEASE/IFC4/ADD2_TC1/HTML/schema/ifcsharedfacilitieselements/pset/pset_systemfurnitureelementtypepanel.htm" TargetMode="External"/><Relationship Id="rId3285" Type="http://schemas.openxmlformats.org/officeDocument/2006/relationships/hyperlink" Target="https://standards.buildingsmart.org/IFC/RELEASE/IFC4/ADD2_TC1/HTML/schema/ifcplumbingfireprotectiondomain/pset/pset_sanitaryterminaltypebath.htm" TargetMode="External"/><Relationship Id="rId3492" Type="http://schemas.openxmlformats.org/officeDocument/2006/relationships/hyperlink" Target="https://standards.buildingsmart.org/IFC/RELEASE/IFC4/ADD2_TC1/HTML/schema/ifcsharedcomponentelements/pset/pset_discreteaccessorycolumnshoe.htm" TargetMode="External"/><Relationship Id="rId2094" Type="http://schemas.openxmlformats.org/officeDocument/2006/relationships/hyperlink" Target="https://standards.buildingsmart.org/IFC/RELEASE/IFC4/ADD2_TC1/HTML/schema/ifcsharedbldgelements/pset/pset_wallcommon.htm" TargetMode="External"/><Relationship Id="rId3145" Type="http://schemas.openxmlformats.org/officeDocument/2006/relationships/hyperlink" Target="https://standards.buildingsmart.org/IFC/RELEASE/IFC4/ADD2_TC1/HTML/schema/ifchvacdomain/pset/pset_tanktypecommon.htm" TargetMode="External"/><Relationship Id="rId3352" Type="http://schemas.openxmlformats.org/officeDocument/2006/relationships/hyperlink" Target="https://standards.buildingsmart.org/IFC/RELEASE/IFC4/ADD2_TC1/HTML/schema/ifcelectricaldomain/pset/pset_protectivedevicetrippingfunctionscurve.htm" TargetMode="External"/><Relationship Id="rId273" Type="http://schemas.openxmlformats.org/officeDocument/2006/relationships/hyperlink" Target="https://standards.buildingsmart.org/IFC/RELEASE/IFC4/ADD2_TC1/HTML/schema/ifcpresentationappearanceresource/lexical/ifcreflectancemethodenum.htm" TargetMode="External"/><Relationship Id="rId480" Type="http://schemas.openxmlformats.org/officeDocument/2006/relationships/hyperlink" Target="https://standards.buildingsmart.org/IFC/RELEASE/IFC4/ADD2_TC1/HTML/schema/ifchvacdomain/lexical/ifcchiller.htm" TargetMode="External"/><Relationship Id="rId2161" Type="http://schemas.openxmlformats.org/officeDocument/2006/relationships/hyperlink" Target="https://standards.buildingsmart.org/IFC/RELEASE/IFC4/ADD2_TC1/HTML/schema/ifcsharedbldgelements/pset/pset_doorcommon.htm" TargetMode="External"/><Relationship Id="rId3005" Type="http://schemas.openxmlformats.org/officeDocument/2006/relationships/hyperlink" Target="https://standards.buildingsmart.org/IFC/RELEASE/IFC4/ADD2_TC1/HTML/schema/ifcplumbingfireprotectiondomain/pset/pset_wasteterminaltypegullytrap.htm" TargetMode="External"/><Relationship Id="rId3212" Type="http://schemas.openxmlformats.org/officeDocument/2006/relationships/hyperlink" Target="https://standards.buildingsmart.org/IFC/RELEASE/IFC4/ADD2_TC1/HTML/schema/ifcsharedbldgserviceelements/pset/pset_spacethermalloadphistory.htm" TargetMode="External"/><Relationship Id="rId133" Type="http://schemas.openxmlformats.org/officeDocument/2006/relationships/hyperlink" Target="https://standards.buildingsmart.org/IFC/RELEASE/IFC4/ADD2_TC1/HTML/schema/ifcactorresource/lexical/ifcaddresstypeenum.htm" TargetMode="External"/><Relationship Id="rId340" Type="http://schemas.openxmlformats.org/officeDocument/2006/relationships/hyperlink" Target="https://standards.buildingsmart.org/IFC/RELEASE/IFC4/ADD2_TC1/HTML/schema/ifcexternalreferenceresource/lexical/ifcclassificationreferenceselect.htm" TargetMode="External"/><Relationship Id="rId2021" Type="http://schemas.openxmlformats.org/officeDocument/2006/relationships/hyperlink" Target="https://standards.buildingsmart.org/IFC/RELEASE/IFC4/ADD2_TC1/HTML/schema/ifcsharedfacilitieselements/pset/pset_risk.htm" TargetMode="External"/><Relationship Id="rId200" Type="http://schemas.openxmlformats.org/officeDocument/2006/relationships/hyperlink" Target="https://standards.buildingsmart.org/IFC/RELEASE/IFC4/ADD2_TC1/HTML/schema/ifcelectricaldomain/lexical/ifcelectricflowstoragedevicetypeenum.htm" TargetMode="External"/><Relationship Id="rId2978" Type="http://schemas.openxmlformats.org/officeDocument/2006/relationships/hyperlink" Target="https://standards.buildingsmart.org/IFC/RELEASE/IFC4/ADD2_TC1/HTML/schema/ifchvacdomain/pset/pset_condenserphistory.htm" TargetMode="External"/><Relationship Id="rId1787" Type="http://schemas.openxmlformats.org/officeDocument/2006/relationships/hyperlink" Target="https://standards.buildingsmart.org/IFC/RELEASE/IFC4/ADD2_TC1/HTML/schema/ifchvacdomain/pset/pset_burnertypecommon.htm" TargetMode="External"/><Relationship Id="rId1994" Type="http://schemas.openxmlformats.org/officeDocument/2006/relationships/hyperlink" Target="https://standards.buildingsmart.org/IFC/RELEASE/IFC4/ADD2_TC1/HTML/schema/ifchvacdomain/pset/pset_coiltypehydronic.htm" TargetMode="External"/><Relationship Id="rId2838" Type="http://schemas.openxmlformats.org/officeDocument/2006/relationships/hyperlink" Target="https://standards.buildingsmart.org/IFC/RELEASE/IFC4/ADD2_TC1/HTML/schema/ifcelectricaldomain/pset/pset_junctionboxtypecommon.htm" TargetMode="External"/><Relationship Id="rId79" Type="http://schemas.openxmlformats.org/officeDocument/2006/relationships/hyperlink" Target="https://standards.buildingsmart.org/IFC/RELEASE/IFC4/ADD2_TC1/HTML/schema/ifcmeasureresource/lexical/ifclinearforcemeasure.htm" TargetMode="External"/><Relationship Id="rId1647" Type="http://schemas.openxmlformats.org/officeDocument/2006/relationships/hyperlink" Target="https://standards.buildingsmart.org/IFC/RELEASE/IFC4/ADD2_TC1/HTML/schema/ifchvacdomain/pset/pset_tankoccurrence.htm" TargetMode="External"/><Relationship Id="rId1854" Type="http://schemas.openxmlformats.org/officeDocument/2006/relationships/hyperlink" Target="https://standards.buildingsmart.org/IFC/RELEASE/IFC4/ADD2_TC1/HTML/schema/ifchvacdomain/pset/pset_spaceheaterphistory.htm" TargetMode="External"/><Relationship Id="rId2905" Type="http://schemas.openxmlformats.org/officeDocument/2006/relationships/hyperlink" Target="https://standards.buildingsmart.org/IFC/RELEASE/IFC4/ADD2_TC1/HTML/schema/ifcplumbingfireprotectiondomain/pset/pset_firesuppressionterminaltypehosereel.htm" TargetMode="External"/><Relationship Id="rId1507" Type="http://schemas.openxmlformats.org/officeDocument/2006/relationships/hyperlink" Target="https://standards.buildingsmart.org/IFC/RELEASE/IFC4/ADD2_TC1/HTML/schema/ifcsharedcomponentelements/pset/pset_fastenerweld.htm" TargetMode="External"/><Relationship Id="rId1714" Type="http://schemas.openxmlformats.org/officeDocument/2006/relationships/hyperlink" Target="https://standards.buildingsmart.org/IFC/RELEASE/IFC4/ADD2_TC1/HTML/schema/ifcsharedbldgelements/pset/pset_staircommon.htm" TargetMode="External"/><Relationship Id="rId1921" Type="http://schemas.openxmlformats.org/officeDocument/2006/relationships/hyperlink" Target="https://standards.buildingsmart.org/IFC/RELEASE/IFC4/ADD2_TC1/HTML/schema/ifcmaterialresource/pset/pset_materialmechanical.htm" TargetMode="External"/><Relationship Id="rId3679" Type="http://schemas.openxmlformats.org/officeDocument/2006/relationships/hyperlink" Target="https://standards.buildingsmart.org/IFC/RELEASE/IFC4/ADD2_TC1/HTML/schema/ifcstructuralelementsdomain/pset/pset_precastslab.htm" TargetMode="External"/><Relationship Id="rId2488" Type="http://schemas.openxmlformats.org/officeDocument/2006/relationships/hyperlink" Target="https://standards.buildingsmart.org/IFC/RELEASE/IFC4/ADD2_TC1/HTML/schema/ifchvacdomain/pset/pset_cooledbeamtypecommon.htm" TargetMode="External"/><Relationship Id="rId1297" Type="http://schemas.openxmlformats.org/officeDocument/2006/relationships/hyperlink" Target="https://standards.buildingsmart.org/IFC/RELEASE/IFC4/ADD2_TC1/HTML/schema/ifcrepresentationresource/lexical/ifcshaperepresentationtypes.htm" TargetMode="External"/><Relationship Id="rId2695" Type="http://schemas.openxmlformats.org/officeDocument/2006/relationships/hyperlink" Target="https://standards.buildingsmart.org/IFC/RELEASE/IFC4/ADD2_TC1/HTML/schema/ifcstructuralanalysisdomain/pset/pset_structuralsurfacemembervaryingthickness.htm" TargetMode="External"/><Relationship Id="rId3539" Type="http://schemas.openxmlformats.org/officeDocument/2006/relationships/hyperlink" Target="https://standards.buildingsmart.org/IFC/RELEASE/IFC4/ADD2_TC1/HTML/schema/ifchvacdomain/pset/pset_tanktypepressurevessel.htm" TargetMode="External"/><Relationship Id="rId3746" Type="http://schemas.openxmlformats.org/officeDocument/2006/relationships/hyperlink" Target="https://standards.buildingsmart.org/IFC/RELEASE/IFC4/ADD2_TC1/HTML/schema/ifcelectricaldomain/pset/pset_solardevicetypecommon.htm" TargetMode="External"/><Relationship Id="rId667" Type="http://schemas.openxmlformats.org/officeDocument/2006/relationships/hyperlink" Target="https://standards.buildingsmart.org/IFC/RELEASE/IFC4/ADD2_TC1/HTML/schema/ifcgeometricmodelresource/lexical/ifcfixedreferencesweptareasolid.htm" TargetMode="External"/><Relationship Id="rId874" Type="http://schemas.openxmlformats.org/officeDocument/2006/relationships/hyperlink" Target="https://standards.buildingsmart.org/IFC/RELEASE/IFC4/ADD2_TC1/HTML/schema/ifcelectricaldomain/lexical/ifcprotectivedevicetype.htm" TargetMode="External"/><Relationship Id="rId2348" Type="http://schemas.openxmlformats.org/officeDocument/2006/relationships/hyperlink" Target="https://standards.buildingsmart.org/IFC/RELEASE/IFC4/ADD2_TC1/HTML/schema/ifcmaterialresource/pset/pset_materialwoodbasedpanel.htm" TargetMode="External"/><Relationship Id="rId2555" Type="http://schemas.openxmlformats.org/officeDocument/2006/relationships/hyperlink" Target="https://standards.buildingsmart.org/IFC/RELEASE/IFC4/ADD2_TC1/HTML/schema/ifcproductextension/pset/pset_buildinguseadjacent.htm" TargetMode="External"/><Relationship Id="rId2762" Type="http://schemas.openxmlformats.org/officeDocument/2006/relationships/hyperlink" Target="https://standards.buildingsmart.org/IFC/RELEASE/IFC4/ADD2_TC1/HTML/schema/ifcsharedcomponentelements/pset/pset_discreteaccessoryladdertrussconnector.htm" TargetMode="External"/><Relationship Id="rId3606" Type="http://schemas.openxmlformats.org/officeDocument/2006/relationships/hyperlink" Target="https://standards.buildingsmart.org/IFC/RELEASE/IFC4/ADD2_TC1/HTML/schema/ifcstructuralelementsdomain/pset/pset_precastconcreteelementgeneral.htm" TargetMode="External"/><Relationship Id="rId527" Type="http://schemas.openxmlformats.org/officeDocument/2006/relationships/hyperlink" Target="https://standards.buildingsmart.org/IFC/RELEASE/IFC4/ADD2_TC1/HTML/schema/ifckernel/lexical/ifccontext.htm" TargetMode="External"/><Relationship Id="rId734" Type="http://schemas.openxmlformats.org/officeDocument/2006/relationships/hyperlink" Target="https://standards.buildingsmart.org/IFC/RELEASE/IFC4/ADD2_TC1/HTML/schema/ifcpresentationorganizationresource/lexical/ifclightintensitydistribution.htm" TargetMode="External"/><Relationship Id="rId941" Type="http://schemas.openxmlformats.org/officeDocument/2006/relationships/hyperlink" Target="https://standards.buildingsmart.org/IFC/RELEASE/IFC4/ADD2_TC1/HTML/schema/ifckernel/lexical/ifcreldefinesbyproperties.htm" TargetMode="External"/><Relationship Id="rId1157" Type="http://schemas.openxmlformats.org/officeDocument/2006/relationships/hyperlink" Target="https://standards.buildingsmart.org/IFC/RELEASE/IFC4/ADD2_TC1/HTML/schema/ifcarchitecturedomain/lexical/ifcwindowpanelproperties.htm" TargetMode="External"/><Relationship Id="rId1364" Type="http://schemas.openxmlformats.org/officeDocument/2006/relationships/hyperlink" Target="https://standards.buildingsmart.org/IFC/RELEASE/IFC4/ADD2_TC1/HTML/schema/ifchvacdomain/pset/pset_filtertypecommon.htm" TargetMode="External"/><Relationship Id="rId1571" Type="http://schemas.openxmlformats.org/officeDocument/2006/relationships/hyperlink" Target="https://standards.buildingsmart.org/IFC/RELEASE/IFC4/ADD2_TC1/HTML/schema/ifcelectricaldomain/pset/pset_protectivedevicetrippingfunctionicurve.htm" TargetMode="External"/><Relationship Id="rId2208" Type="http://schemas.openxmlformats.org/officeDocument/2006/relationships/hyperlink" Target="https://standards.buildingsmart.org/IFC/RELEASE/IFC4/ADD2_TC1/HTML/schema/ifcelectricaldomain/pset/pset_cablesegmenttypecablesegment.htm" TargetMode="External"/><Relationship Id="rId2415" Type="http://schemas.openxmlformats.org/officeDocument/2006/relationships/hyperlink" Target="https://standards.buildingsmart.org/IFC/RELEASE/IFC4/ADD2_TC1/HTML/schema/ifchvacdomain/pset/pset_coolingtowertypecommon.htm" TargetMode="External"/><Relationship Id="rId2622" Type="http://schemas.openxmlformats.org/officeDocument/2006/relationships/hyperlink" Target="https://standards.buildingsmart.org/IFC/RELEASE/IFC4/ADD2_TC1/HTML/schema/ifcsharedbldgserviceelements/pset/pset_distributionsystemtypeventilation.htm" TargetMode="External"/><Relationship Id="rId70" Type="http://schemas.openxmlformats.org/officeDocument/2006/relationships/hyperlink" Target="https://standards.buildingsmart.org/IFC/RELEASE/IFC4/ADD2_TC1/HTML/schema/ifcmeasureresource/lexical/ifcmagneticfluxdensitymeasure.htm" TargetMode="External"/><Relationship Id="rId801" Type="http://schemas.openxmlformats.org/officeDocument/2006/relationships/hyperlink" Target="https://standards.buildingsmart.org/IFC/RELEASE/IFC4/ADD2_TC1/HTML/schema/ifccontrolextension/lexical/ifcperformancehistory.htm" TargetMode="External"/><Relationship Id="rId1017" Type="http://schemas.openxmlformats.org/officeDocument/2006/relationships/hyperlink" Target="https://standards.buildingsmart.org/IFC/RELEASE/IFC4/ADD2_TC1/HTML/schema/ifcsharedbldgelements/lexical/ifcstairflighttype.htm" TargetMode="External"/><Relationship Id="rId1224" Type="http://schemas.openxmlformats.org/officeDocument/2006/relationships/hyperlink" Target="https://standards.buildingsmart.org/IFC/RELEASE/IFC4/ADD2_TC1/HTML/schema/ifcelectricaldomain/qset/qto_lightfixturebasequantities.htm" TargetMode="External"/><Relationship Id="rId1431" Type="http://schemas.openxmlformats.org/officeDocument/2006/relationships/hyperlink" Target="https://standards.buildingsmart.org/IFC/RELEASE/IFC4/ADD2_TC1/HTML/schema/ifcmaterialresource/pset/pset_materialoptical.htm" TargetMode="External"/><Relationship Id="rId3189" Type="http://schemas.openxmlformats.org/officeDocument/2006/relationships/hyperlink" Target="https://standards.buildingsmart.org/IFC/RELEASE/IFC4/ADD2_TC1/HTML/schema/ifchvacdomain/pset/pset_valvetypefaucet.htm" TargetMode="External"/><Relationship Id="rId3396" Type="http://schemas.openxmlformats.org/officeDocument/2006/relationships/hyperlink" Target="https://standards.buildingsmart.org/IFC/RELEASE/IFC4/ADD2_TC1/HTML/schema/ifchvacdomain/pset/pset_airterminaltypecommon.htm" TargetMode="External"/><Relationship Id="rId3049" Type="http://schemas.openxmlformats.org/officeDocument/2006/relationships/hyperlink" Target="https://standards.buildingsmart.org/IFC/RELEASE/IFC4/ADD2_TC1/HTML/schema/ifcsharedbldgelements/pset/pset_doorcommon.htm" TargetMode="External"/><Relationship Id="rId3256" Type="http://schemas.openxmlformats.org/officeDocument/2006/relationships/hyperlink" Target="https://standards.buildingsmart.org/IFC/RELEASE/IFC4/ADD2_TC1/HTML/schema/ifcsharedcomponentelements/pset/pset_discreteaccessoryedgefixingplate.htm" TargetMode="External"/><Relationship Id="rId3463" Type="http://schemas.openxmlformats.org/officeDocument/2006/relationships/hyperlink" Target="https://standards.buildingsmart.org/IFC/RELEASE/IFC4/ADD2_TC1/HTML/schema/ifcstructuralelementsdomain/pset/pset_concreteelementgeneral.htm" TargetMode="External"/><Relationship Id="rId177" Type="http://schemas.openxmlformats.org/officeDocument/2006/relationships/hyperlink" Target="https://standards.buildingsmart.org/IFC/RELEASE/IFC4/ADD2_TC1/HTML/schema/ifcsharedbldgelements/lexical/ifccurtainwalltypeenum.htm" TargetMode="External"/><Relationship Id="rId384" Type="http://schemas.openxmlformats.org/officeDocument/2006/relationships/hyperlink" Target="https://standards.buildingsmart.org/IFC/RELEASE/IFC4/ADD2_TC1/HTML/schema/ifcpresentationappearanceresource/lexical/ifcstyleassignmentselect.htm" TargetMode="External"/><Relationship Id="rId591" Type="http://schemas.openxmlformats.org/officeDocument/2006/relationships/hyperlink" Target="https://standards.buildingsmart.org/IFC/RELEASE/IFC4/ADD2_TC1/HTML/schema/ifcpresentationappearanceresource/lexical/ifcdraughtingpredefinedcurvefont.htm" TargetMode="External"/><Relationship Id="rId2065" Type="http://schemas.openxmlformats.org/officeDocument/2006/relationships/hyperlink" Target="https://standards.buildingsmart.org/IFC/RELEASE/IFC4/ADD2_TC1/HTML/schema/ifcsharedbldgserviceelements/pset/pset_spacethermalloadphistory.htm" TargetMode="External"/><Relationship Id="rId2272" Type="http://schemas.openxmlformats.org/officeDocument/2006/relationships/hyperlink" Target="https://standards.buildingsmart.org/IFC/RELEASE/IFC4/ADD2_TC1/HTML/schema/ifcsharedbldgserviceelements/pset/pset_distributionportphistoryduct.htm" TargetMode="External"/><Relationship Id="rId3116" Type="http://schemas.openxmlformats.org/officeDocument/2006/relationships/hyperlink" Target="https://standards.buildingsmart.org/IFC/RELEASE/IFC4/ADD2_TC1/HTML/schema/ifchvacdomain/pset/pset_airterminaltypecommon.htm" TargetMode="External"/><Relationship Id="rId3670" Type="http://schemas.openxmlformats.org/officeDocument/2006/relationships/hyperlink" Target="https://standards.buildingsmart.org/IFC/RELEASE/IFC4/ADD2_TC1/HTML/schema/ifcbuildingcontrolsdomain/pset/pset_controllertypeprogrammable.htm" TargetMode="External"/><Relationship Id="rId244" Type="http://schemas.openxmlformats.org/officeDocument/2006/relationships/hyperlink" Target="https://standards.buildingsmart.org/IFC/RELEASE/IFC4/ADD2_TC1/HTML/schema/ifcpresentationappearanceresource/lexical/ifcnullstyle.htm" TargetMode="External"/><Relationship Id="rId1081" Type="http://schemas.openxmlformats.org/officeDocument/2006/relationships/hyperlink" Target="https://standards.buildingsmart.org/IFC/RELEASE/IFC4/ADD2_TC1/HTML/schema/ifcelectricaldomain/lexical/ifcswitchingdevicetype.htm" TargetMode="External"/><Relationship Id="rId3323" Type="http://schemas.openxmlformats.org/officeDocument/2006/relationships/hyperlink" Target="https://standards.buildingsmart.org/IFC/RELEASE/IFC4/ADD2_TC1/HTML/schema/ifcsharedbldgserviceelements/pset/pset_distributionsystemtypeventilation.htm" TargetMode="External"/><Relationship Id="rId3530" Type="http://schemas.openxmlformats.org/officeDocument/2006/relationships/hyperlink" Target="https://standards.buildingsmart.org/IFC/RELEASE/IFC4/ADD2_TC1/HTML/schema/ifcproductextension/pset/pset_transportelementelevator.htm" TargetMode="External"/><Relationship Id="rId451" Type="http://schemas.openxmlformats.org/officeDocument/2006/relationships/hyperlink" Target="https://standards.buildingsmart.org/IFC/RELEASE/IFC4/ADD2_TC1/HTML/schema/ifcproductextension/lexical/ifcbuilding.htm" TargetMode="External"/><Relationship Id="rId2132" Type="http://schemas.openxmlformats.org/officeDocument/2006/relationships/hyperlink" Target="https://standards.buildingsmart.org/IFC/RELEASE/IFC4/ADD2_TC1/HTML/schema/ifcelectricaldomain/pset/pset_motorconnectiontypecommon.htm" TargetMode="External"/><Relationship Id="rId104" Type="http://schemas.openxmlformats.org/officeDocument/2006/relationships/hyperlink" Target="https://standards.buildingsmart.org/IFC/RELEASE/IFC4/ADD2_TC1/HTML/schema/ifcmeasureresource/lexical/ifcelectricchargemeasure.htm" TargetMode="External"/><Relationship Id="rId311" Type="http://schemas.openxmlformats.org/officeDocument/2006/relationships/hyperlink" Target="https://standards.buildingsmart.org/IFC/RELEASE/IFC4/ADD2_TC1/HTML/schema/ifcpresentationdefinitionresource/lexical/ifctextpath.htm" TargetMode="External"/><Relationship Id="rId1898" Type="http://schemas.openxmlformats.org/officeDocument/2006/relationships/hyperlink" Target="https://standards.buildingsmart.org/IFC/RELEASE/IFC4/ADD2_TC1/HTML/schema/ifcelectricaldomain/pset/pset_protectivedeviceoccurrence.htm" TargetMode="External"/><Relationship Id="rId2949" Type="http://schemas.openxmlformats.org/officeDocument/2006/relationships/hyperlink" Target="https://standards.buildingsmart.org/IFC/RELEASE/IFC4/ADD2_TC1/HTML/schema/ifcelectricaldomain/pset/pset_protectivedevicetrippingunittypethermal.htm" TargetMode="External"/><Relationship Id="rId1758" Type="http://schemas.openxmlformats.org/officeDocument/2006/relationships/hyperlink" Target="https://standards.buildingsmart.org/IFC/RELEASE/IFC4/ADD2_TC1/HTML/schema/ifcelectricaldomain/pset/pset_electrictimecontroltypecommon.htm" TargetMode="External"/><Relationship Id="rId2809" Type="http://schemas.openxmlformats.org/officeDocument/2006/relationships/hyperlink" Target="https://standards.buildingsmart.org/IFC/RELEASE/IFC4/ADD2_TC1/HTML/schema/ifcelectricaldomain/pset/pset_protectivedevicetrippingfunctionscurve.htm" TargetMode="External"/><Relationship Id="rId1965" Type="http://schemas.openxmlformats.org/officeDocument/2006/relationships/hyperlink" Target="https://standards.buildingsmart.org/IFC/RELEASE/IFC4/ADD2_TC1/HTML/schema/ifcsharedfacilitieselements/pset/pset_servicelife.htm" TargetMode="External"/><Relationship Id="rId3180" Type="http://schemas.openxmlformats.org/officeDocument/2006/relationships/hyperlink" Target="https://standards.buildingsmart.org/IFC/RELEASE/IFC4/ADD2_TC1/HTML/schema/ifchvacdomain/pset/pset_valvetypefaucet.htm" TargetMode="External"/><Relationship Id="rId1618" Type="http://schemas.openxmlformats.org/officeDocument/2006/relationships/hyperlink" Target="https://standards.buildingsmart.org/IFC/RELEASE/IFC4/ADD2_TC1/HTML/schema/ifchvacdomain/pset/pset_tubebundletypefinned.htm" TargetMode="External"/><Relationship Id="rId1825" Type="http://schemas.openxmlformats.org/officeDocument/2006/relationships/hyperlink" Target="https://standards.buildingsmart.org/IFC/RELEASE/IFC4/ADD2_TC1/HTML/schema/ifcmaterialresource/pset/pset_materialcombustion.htm" TargetMode="External"/><Relationship Id="rId3040" Type="http://schemas.openxmlformats.org/officeDocument/2006/relationships/hyperlink" Target="https://standards.buildingsmart.org/IFC/RELEASE/IFC4/ADD2_TC1/HTML/schema/ifcbuildingcontrolsdomain/pset/pset_sensortypesmokesensor.htm" TargetMode="External"/><Relationship Id="rId2599" Type="http://schemas.openxmlformats.org/officeDocument/2006/relationships/hyperlink" Target="https://standards.buildingsmart.org/IFC/RELEASE/IFC4/ADD2_TC1/HTML/schema/ifcprofileresource/pset/pset_profilemechanical.htm" TargetMode="External"/><Relationship Id="rId778" Type="http://schemas.openxmlformats.org/officeDocument/2006/relationships/hyperlink" Target="https://standards.buildingsmart.org/IFC/RELEASE/IFC4/ADD2_TC1/HTML/schema/ifcelectricaldomain/lexical/ifcmotorconnection.htm" TargetMode="External"/><Relationship Id="rId985" Type="http://schemas.openxmlformats.org/officeDocument/2006/relationships/hyperlink" Target="https://standards.buildingsmart.org/IFC/RELEASE/IFC4/ADD2_TC1/HTML/schema/ifcrepresentationresource/lexical/ifcshapeaspect.htm" TargetMode="External"/><Relationship Id="rId2459" Type="http://schemas.openxmlformats.org/officeDocument/2006/relationships/hyperlink" Target="https://standards.buildingsmart.org/IFC/RELEASE/IFC4/ADD2_TC1/HTML/schema/ifchvacdomain/pset/pset_cooledbeamtypecommon.htm" TargetMode="External"/><Relationship Id="rId2666" Type="http://schemas.openxmlformats.org/officeDocument/2006/relationships/hyperlink" Target="https://standards.buildingsmart.org/IFC/RELEASE/IFC4/ADD2_TC1/HTML/schema/ifcsharedfacilitieselements/pset/pset_furnituretypechair.htm" TargetMode="External"/><Relationship Id="rId2873" Type="http://schemas.openxmlformats.org/officeDocument/2006/relationships/hyperlink" Target="https://standards.buildingsmart.org/IFC/RELEASE/IFC4/ADD2_TC1/HTML/schema/ifchvacdomain/pset/pset_pipesegmentoccurrence.htm" TargetMode="External"/><Relationship Id="rId3717" Type="http://schemas.openxmlformats.org/officeDocument/2006/relationships/hyperlink" Target="https://standards.buildingsmart.org/IFC/RELEASE/IFC4/ADD2_TC1/HTML/schema/ifchvacdomain/pset/pset_airterminalboxphistory.htm" TargetMode="External"/><Relationship Id="rId638" Type="http://schemas.openxmlformats.org/officeDocument/2006/relationships/hyperlink" Target="https://standards.buildingsmart.org/IFC/RELEASE/IFC4/ADD2_TC1/HTML/schema/ifcpresentationappearanceresource/lexical/ifcexternallydefinedtextfont.htm" TargetMode="External"/><Relationship Id="rId845" Type="http://schemas.openxmlformats.org/officeDocument/2006/relationships/hyperlink" Target="https://standards.buildingsmart.org/IFC/RELEASE/IFC4/ADD2_TC1/HTML/schema/ifckernel/lexical/ifcproduct.htm" TargetMode="External"/><Relationship Id="rId1268" Type="http://schemas.openxmlformats.org/officeDocument/2006/relationships/hyperlink" Target="https://standards.buildingsmart.org/IFC/RELEASE/IFC4/ADD2_TC1/HTML/schema/ifcrepresentationresource/lexical/ifcconvertdirectioninto2d.htm" TargetMode="External"/><Relationship Id="rId1475" Type="http://schemas.openxmlformats.org/officeDocument/2006/relationships/hyperlink" Target="https://standards.buildingsmart.org/IFC/RELEASE/IFC4/ADD2_TC1/HTML/schema/ifchvacdomain/pset/pset_valvetypecommon.htm" TargetMode="External"/><Relationship Id="rId1682" Type="http://schemas.openxmlformats.org/officeDocument/2006/relationships/hyperlink" Target="https://standards.buildingsmart.org/IFC/RELEASE/IFC4/ADD2_TC1/HTML/schema/ifcmaterialresource/pset/pset_materialwood.htm" TargetMode="External"/><Relationship Id="rId2319" Type="http://schemas.openxmlformats.org/officeDocument/2006/relationships/hyperlink" Target="https://standards.buildingsmart.org/IFC/RELEASE/IFC4/ADD2_TC1/HTML/schema/ifcsharedbldgserviceelements/pset/pset_spacethermalloadphistory.htm" TargetMode="External"/><Relationship Id="rId2526" Type="http://schemas.openxmlformats.org/officeDocument/2006/relationships/hyperlink" Target="https://standards.buildingsmart.org/IFC/RELEASE/IFC4/ADD2_TC1/HTML/schema/ifcplumbingfireprotectiondomain/pset/pset_wasteterminaltypegullytrap.htm" TargetMode="External"/><Relationship Id="rId2733" Type="http://schemas.openxmlformats.org/officeDocument/2006/relationships/hyperlink" Target="https://standards.buildingsmart.org/IFC/RELEASE/IFC4/ADD2_TC1/HTML/schema/ifchvacdomain/pset/pset_tankphistory.htm" TargetMode="External"/><Relationship Id="rId705" Type="http://schemas.openxmlformats.org/officeDocument/2006/relationships/hyperlink" Target="https://standards.buildingsmart.org/IFC/RELEASE/IFC4/ADD2_TC1/HTML/schema/ifchvacdomain/lexical/ifcheatexchangertype.htm" TargetMode="External"/><Relationship Id="rId1128" Type="http://schemas.openxmlformats.org/officeDocument/2006/relationships/hyperlink" Target="https://standards.buildingsmart.org/IFC/RELEASE/IFC4/ADD2_TC1/HTML/schema/ifckernel/lexical/ifctypeobject.htm" TargetMode="External"/><Relationship Id="rId1335" Type="http://schemas.openxmlformats.org/officeDocument/2006/relationships/hyperlink" Target="https://standards.buildingsmart.org/IFC/RELEASE/IFC4/ADD2_TC1/HTML/schema/ifchvacdomain/pset/pset_ductsegmenttypecommon.htm" TargetMode="External"/><Relationship Id="rId1542" Type="http://schemas.openxmlformats.org/officeDocument/2006/relationships/hyperlink" Target="https://standards.buildingsmart.org/IFC/RELEASE/IFC4/ADD2_TC1/HTML/schema/ifcsharedbldgserviceelements/pset/pset_spacethermalload.htm" TargetMode="External"/><Relationship Id="rId2940" Type="http://schemas.openxmlformats.org/officeDocument/2006/relationships/hyperlink" Target="https://standards.buildingsmart.org/IFC/RELEASE/IFC4/ADD2_TC1/HTML/schema/ifcelectricaldomain/pset/pset_protectivedevicebreakerunittypemcb.htm" TargetMode="External"/><Relationship Id="rId912" Type="http://schemas.openxmlformats.org/officeDocument/2006/relationships/hyperlink" Target="https://standards.buildingsmart.org/IFC/RELEASE/IFC4/ADD2_TC1/HTML/schema/ifckernel/lexical/ifcrelassignstogroup.htm" TargetMode="External"/><Relationship Id="rId2800" Type="http://schemas.openxmlformats.org/officeDocument/2006/relationships/hyperlink" Target="https://standards.buildingsmart.org/IFC/RELEASE/IFC4/ADD2_TC1/HTML/schema/ifcproductextension/pset/pset_buildingcommon.htm" TargetMode="External"/><Relationship Id="rId41" Type="http://schemas.openxmlformats.org/officeDocument/2006/relationships/hyperlink" Target="https://standards.buildingsmart.org/IFC/RELEASE/IFC4/ADD2_TC1/HTML/schema/ifckernel/lexical/ifcpropertysetdefinitionset.htm" TargetMode="External"/><Relationship Id="rId1402" Type="http://schemas.openxmlformats.org/officeDocument/2006/relationships/hyperlink" Target="https://standards.buildingsmart.org/IFC/RELEASE/IFC4/ADD2_TC1/HTML/schema/ifcsharedbldgserviceelements/pset/pset_distributionchamberelementtypevalvechamber.htm" TargetMode="External"/><Relationship Id="rId288" Type="http://schemas.openxmlformats.org/officeDocument/2006/relationships/hyperlink" Target="https://standards.buildingsmart.org/IFC/RELEASE/IFC4/ADD2_TC1/HTML/schema/ifcsharedbldgelements/lexical/ifcslabtypeenum.htm" TargetMode="External"/><Relationship Id="rId3367" Type="http://schemas.openxmlformats.org/officeDocument/2006/relationships/hyperlink" Target="https://standards.buildingsmart.org/IFC/RELEASE/IFC4/ADD2_TC1/HTML/schema/ifcplumbingfireprotectiondomain/pset/pset_wasteterminaltyperoofdrain.htm" TargetMode="External"/><Relationship Id="rId3574" Type="http://schemas.openxmlformats.org/officeDocument/2006/relationships/hyperlink" Target="https://standards.buildingsmart.org/IFC/RELEASE/IFC4/ADD2_TC1/HTML/schema/ifchvacdomain/pset/pset_coiltypehydronic.htm" TargetMode="External"/><Relationship Id="rId3781" Type="http://schemas.openxmlformats.org/officeDocument/2006/relationships/hyperlink" Target="https://standards.buildingsmart.org/IFC/RELEASE/IFC4/ADD2_TC1/HTML/schema/ifckernel/lexical/ifccomplexpropertytemplatetypeenum.htm" TargetMode="External"/><Relationship Id="rId495" Type="http://schemas.openxmlformats.org/officeDocument/2006/relationships/hyperlink" Target="https://standards.buildingsmart.org/IFC/RELEASE/IFC4/ADD2_TC1/HTML/schema/ifcpresentationappearanceresource/lexical/ifccolourrgblist.htm" TargetMode="External"/><Relationship Id="rId2176" Type="http://schemas.openxmlformats.org/officeDocument/2006/relationships/hyperlink" Target="https://standards.buildingsmart.org/IFC/RELEASE/IFC4/ADD2_TC1/HTML/schema/ifchvacdomain/pset/pset_chillertypecommon.htm" TargetMode="External"/><Relationship Id="rId2383" Type="http://schemas.openxmlformats.org/officeDocument/2006/relationships/hyperlink" Target="https://standards.buildingsmart.org/IFC/RELEASE/IFC4/ADD2_TC1/HTML/schema/ifcproductextension/pset/pset_spaceoccupancyrequirements.htm" TargetMode="External"/><Relationship Id="rId2590" Type="http://schemas.openxmlformats.org/officeDocument/2006/relationships/hyperlink" Target="https://standards.buildingsmart.org/IFC/RELEASE/IFC4/ADD2_TC1/HTML/schema/ifcelectricaldomain/pset/pset_electricflowstoragedevicetypecommon.htm" TargetMode="External"/><Relationship Id="rId3227" Type="http://schemas.openxmlformats.org/officeDocument/2006/relationships/hyperlink" Target="https://standards.buildingsmart.org/IFC/RELEASE/IFC4/ADD2_TC1/HTML/schema/ifchvacdomain/pset/pset_enginetypecommon.htm" TargetMode="External"/><Relationship Id="rId3434" Type="http://schemas.openxmlformats.org/officeDocument/2006/relationships/hyperlink" Target="https://standards.buildingsmart.org/IFC/RELEASE/IFC4/ADD2_TC1/HTML/schema/ifcstructuralelementsdomain/pset/pset_concreteelementgeneral.htm" TargetMode="External"/><Relationship Id="rId3641" Type="http://schemas.openxmlformats.org/officeDocument/2006/relationships/hyperlink" Target="https://standards.buildingsmart.org/IFC/RELEASE/IFC4/ADD2_TC1/HTML/schema/ifcelectricaldomain/pset/pset_audiovisualappliancetypeamplifier.htm" TargetMode="External"/><Relationship Id="rId148" Type="http://schemas.openxmlformats.org/officeDocument/2006/relationships/hyperlink" Target="https://standards.buildingsmart.org/IFC/RELEASE/IFC4/ADD2_TC1/HTML/schema/ifcgeometryresource/lexical/ifcbsplinesurfaceform.htm" TargetMode="External"/><Relationship Id="rId355" Type="http://schemas.openxmlformats.org/officeDocument/2006/relationships/hyperlink" Target="https://standards.buildingsmart.org/IFC/RELEASE/IFC4/ADD2_TC1/HTML/schema/ifcgeometricconstraintresource/lexical/ifcgridplacementdirectionselect.htm" TargetMode="External"/><Relationship Id="rId562" Type="http://schemas.openxmlformats.org/officeDocument/2006/relationships/hyperlink" Target="https://standards.buildingsmart.org/IFC/RELEASE/IFC4/ADD2_TC1/HTML/schema/ifchvacdomain/lexical/ifcdampertype.htm" TargetMode="External"/><Relationship Id="rId1192" Type="http://schemas.openxmlformats.org/officeDocument/2006/relationships/hyperlink" Target="https://standards.buildingsmart.org/IFC/RELEASE/IFC4/ADD2_TC1/HTML/schema/ifcconstructionmgmtdomain/qset/qto_constructionmaterialresourcebasequantities.htm" TargetMode="External"/><Relationship Id="rId2036" Type="http://schemas.openxmlformats.org/officeDocument/2006/relationships/hyperlink" Target="https://standards.buildingsmart.org/IFC/RELEASE/IFC4/ADD2_TC1/HTML/schema/ifcsharedmgmtelements/pset/pset_actionrequest.htm" TargetMode="External"/><Relationship Id="rId2243" Type="http://schemas.openxmlformats.org/officeDocument/2006/relationships/hyperlink" Target="https://standards.buildingsmart.org/IFC/RELEASE/IFC4/ADD2_TC1/HTML/schema/ifchvacdomain/pset/pset_coiltypehydronic.htm" TargetMode="External"/><Relationship Id="rId2450" Type="http://schemas.openxmlformats.org/officeDocument/2006/relationships/hyperlink" Target="https://standards.buildingsmart.org/IFC/RELEASE/IFC4/ADD2_TC1/HTML/schema/ifcplumbingfireprotectiondomain/pset/pset_wasteterminaltypegullysump.htm" TargetMode="External"/><Relationship Id="rId3501" Type="http://schemas.openxmlformats.org/officeDocument/2006/relationships/hyperlink" Target="https://standards.buildingsmart.org/IFC/RELEASE/IFC4/ADD2_TC1/HTML/schema/ifcplumbingfireprotectiondomain/pset/pset_sanitaryterminaltypesink.htm" TargetMode="External"/><Relationship Id="rId215" Type="http://schemas.openxmlformats.org/officeDocument/2006/relationships/hyperlink" Target="https://standards.buildingsmart.org/IFC/RELEASE/IFC4/ADD2_TC1/HTML/schema/ifcplumbingfireprotectiondomain/lexical/ifcfiresuppressionterminaltypeenum.htm" TargetMode="External"/><Relationship Id="rId422" Type="http://schemas.openxmlformats.org/officeDocument/2006/relationships/hyperlink" Target="https://standards.buildingsmart.org/IFC/RELEASE/IFC4/ADD2_TC1/HTML/schema/ifcprofileresource/lexical/ifcasymmetricishapeprofiledef.htm" TargetMode="External"/><Relationship Id="rId1052" Type="http://schemas.openxmlformats.org/officeDocument/2006/relationships/hyperlink" Target="https://standards.buildingsmart.org/IFC/RELEASE/IFC4/ADD2_TC1/HTML/schema/ifcstructuralanalysisdomain/lexical/ifcstructuralsurfaceconnection.htm" TargetMode="External"/><Relationship Id="rId2103" Type="http://schemas.openxmlformats.org/officeDocument/2006/relationships/hyperlink" Target="https://standards.buildingsmart.org/IFC/RELEASE/IFC4/ADD2_TC1/HTML/schema/ifcstructuralelementsdomain/pset/pset_tendonanchorcommon.htm" TargetMode="External"/><Relationship Id="rId2310" Type="http://schemas.openxmlformats.org/officeDocument/2006/relationships/hyperlink" Target="https://standards.buildingsmart.org/IFC/RELEASE/IFC4/ADD2_TC1/HTML/schema/ifcproductextension/pset/pset_environmentalimpactindicators.htm" TargetMode="External"/><Relationship Id="rId1869" Type="http://schemas.openxmlformats.org/officeDocument/2006/relationships/hyperlink" Target="https://standards.buildingsmart.org/IFC/RELEASE/IFC4/ADD2_TC1/HTML/schema/ifcsharedbldgelements/pset/pset_doorwindowglazingtype.htm" TargetMode="External"/><Relationship Id="rId3084" Type="http://schemas.openxmlformats.org/officeDocument/2006/relationships/hyperlink" Target="https://standards.buildingsmart.org/IFC/RELEASE/IFC4/ADD2_TC1/HTML/schema/ifchvacdomain/pset/pset_compressorphistory.htm" TargetMode="External"/><Relationship Id="rId3291" Type="http://schemas.openxmlformats.org/officeDocument/2006/relationships/hyperlink" Target="https://standards.buildingsmart.org/IFC/RELEASE/IFC4/ADD2_TC1/HTML/schema/ifcelectricaldomain/pset/pset_cablesegmentoccurrence.htm" TargetMode="External"/><Relationship Id="rId1729" Type="http://schemas.openxmlformats.org/officeDocument/2006/relationships/hyperlink" Target="https://standards.buildingsmart.org/IFC/RELEASE/IFC4/ADD2_TC1/HTML/schema/ifcelectricaldomain/pset/pset_protectivedevicetypecommon.htm" TargetMode="External"/><Relationship Id="rId1936" Type="http://schemas.openxmlformats.org/officeDocument/2006/relationships/hyperlink" Target="https://standards.buildingsmart.org/IFC/RELEASE/IFC4/ADD2_TC1/HTML/schema/ifcsharedbldgelements/pset/pset_shadingdevicecommon.htm" TargetMode="External"/><Relationship Id="rId3151" Type="http://schemas.openxmlformats.org/officeDocument/2006/relationships/hyperlink" Target="https://standards.buildingsmart.org/IFC/RELEASE/IFC4/ADD2_TC1/HTML/schema/ifcsharedbldgelements/pset/pset_windowcommon.htm" TargetMode="External"/><Relationship Id="rId3011" Type="http://schemas.openxmlformats.org/officeDocument/2006/relationships/hyperlink" Target="https://standards.buildingsmart.org/IFC/RELEASE/IFC4/ADD2_TC1/HTML/schema/ifcsharedbldgelements/pset/pset_windowcommon.htm" TargetMode="External"/><Relationship Id="rId5" Type="http://schemas.openxmlformats.org/officeDocument/2006/relationships/hyperlink" Target="https://standards.buildingsmart.org/IFC/RELEASE/IFC4/ADD2_TC1/HTML/schema/ifcmeasureresource/lexical/ifcvaporpermeabilitymeasure.htm" TargetMode="External"/><Relationship Id="rId889" Type="http://schemas.openxmlformats.org/officeDocument/2006/relationships/hyperlink" Target="https://standards.buildingsmart.org/IFC/RELEASE/IFC4/ADD2_TC1/HTML/schema/ifcsharedbldgelements/lexical/ifcrampflighttype.htm" TargetMode="External"/><Relationship Id="rId2777" Type="http://schemas.openxmlformats.org/officeDocument/2006/relationships/hyperlink" Target="https://standards.buildingsmart.org/IFC/RELEASE/IFC4/ADD2_TC1/HTML/schema/ifchvacdomain/pset/pset_pipefittingtypejunction.htm" TargetMode="External"/><Relationship Id="rId749" Type="http://schemas.openxmlformats.org/officeDocument/2006/relationships/hyperlink" Target="https://standards.buildingsmart.org/IFC/RELEASE/IFC4/ADD2_TC1/HTML/schema/ifcmaterialresource/lexical/ifcmaterialclassificationrelationship.htm" TargetMode="External"/><Relationship Id="rId1379" Type="http://schemas.openxmlformats.org/officeDocument/2006/relationships/hyperlink" Target="https://standards.buildingsmart.org/IFC/RELEASE/IFC4/ADD2_TC1/HTML/schema/ifchvacdomain/pset/pset_coiltypehydronic.htm" TargetMode="External"/><Relationship Id="rId1586" Type="http://schemas.openxmlformats.org/officeDocument/2006/relationships/hyperlink" Target="https://standards.buildingsmart.org/IFC/RELEASE/IFC4/ADD2_TC1/HTML/schema/ifcmaterialresource/pset/pset_materialwood.htm" TargetMode="External"/><Relationship Id="rId2984" Type="http://schemas.openxmlformats.org/officeDocument/2006/relationships/hyperlink" Target="https://standards.buildingsmart.org/IFC/RELEASE/IFC4/ADD2_TC1/HTML/schema/ifcsharedbldgserviceelements/pset/pset_airsidesysteminformation.htm" TargetMode="External"/><Relationship Id="rId609" Type="http://schemas.openxmlformats.org/officeDocument/2006/relationships/hyperlink" Target="https://standards.buildingsmart.org/IFC/RELEASE/IFC4/ADD2_TC1/HTML/schema/ifcelectricaldomain/lexical/ifcelectricmotor.htm" TargetMode="External"/><Relationship Id="rId956" Type="http://schemas.openxmlformats.org/officeDocument/2006/relationships/hyperlink" Target="https://standards.buildingsmart.org/IFC/RELEASE/IFC4/ADD2_TC1/HTML/schema/ifcgeometryresource/lexical/ifcreparametrisedcompositecurvesegment.htm" TargetMode="External"/><Relationship Id="rId1239" Type="http://schemas.openxmlformats.org/officeDocument/2006/relationships/hyperlink" Target="https://standards.buildingsmart.org/IFC/RELEASE/IFC4/ADD2_TC1/HTML/schema/ifcstructuralelementsdomain/qset/qto_reinforcingelementbasequantities.htm" TargetMode="External"/><Relationship Id="rId1793" Type="http://schemas.openxmlformats.org/officeDocument/2006/relationships/hyperlink" Target="https://standards.buildingsmart.org/IFC/RELEASE/IFC4/ADD2_TC1/HTML/schema/ifchvacdomain/pset/pset_airtoairheatrecoverytypecommon.htm" TargetMode="External"/><Relationship Id="rId2637" Type="http://schemas.openxmlformats.org/officeDocument/2006/relationships/hyperlink" Target="https://standards.buildingsmart.org/IFC/RELEASE/IFC4/ADD2_TC1/HTML/schema/ifchvacdomain/pset/pset_flowmetertypewatermeter.htm" TargetMode="External"/><Relationship Id="rId2844" Type="http://schemas.openxmlformats.org/officeDocument/2006/relationships/hyperlink" Target="https://standards.buildingsmart.org/IFC/RELEASE/IFC4/ADD2_TC1/HTML/schema/ifcsharedbldgelements/pset/pset_buildingelementproxycommon.htm" TargetMode="External"/><Relationship Id="rId85" Type="http://schemas.openxmlformats.org/officeDocument/2006/relationships/hyperlink" Target="https://standards.buildingsmart.org/IFC/RELEASE/IFC4/ADD2_TC1/HTML/schema/ifcmeasureresource/lexical/ifcionconcentrationmeasure.htm" TargetMode="External"/><Relationship Id="rId816" Type="http://schemas.openxmlformats.org/officeDocument/2006/relationships/hyperlink" Target="https://standards.buildingsmart.org/IFC/RELEASE/IFC4/ADD2_TC1/HTML/schema/ifcpresentationdefinitionresource/lexical/ifcplanarbox.htm" TargetMode="External"/><Relationship Id="rId1446" Type="http://schemas.openxmlformats.org/officeDocument/2006/relationships/hyperlink" Target="https://standards.buildingsmart.org/IFC/RELEASE/IFC4/ADD2_TC1/HTML/schema/ifcelectricaldomain/pset/pset_audiovisualappliancetypecamera.htm" TargetMode="External"/><Relationship Id="rId1653" Type="http://schemas.openxmlformats.org/officeDocument/2006/relationships/hyperlink" Target="https://standards.buildingsmart.org/IFC/RELEASE/IFC4/ADD2_TC1/HTML/schema/ifcelectricaldomain/pset/pset_switchingdevicetypeselectorswitch.htm" TargetMode="External"/><Relationship Id="rId1860" Type="http://schemas.openxmlformats.org/officeDocument/2006/relationships/hyperlink" Target="https://standards.buildingsmart.org/IFC/RELEASE/IFC4/ADD2_TC1/HTML/schema/ifchvacdomain/pset/pset_airterminalboxphistory.htm" TargetMode="External"/><Relationship Id="rId2704" Type="http://schemas.openxmlformats.org/officeDocument/2006/relationships/hyperlink" Target="https://standards.buildingsmart.org/IFC/RELEASE/IFC4/ADD2_TC1/HTML/schema/ifcproductextension/pset/pset_buildingstoreycommon.htm" TargetMode="External"/><Relationship Id="rId2911" Type="http://schemas.openxmlformats.org/officeDocument/2006/relationships/hyperlink" Target="https://standards.buildingsmart.org/IFC/RELEASE/IFC4/ADD2_TC1/HTML/schema/ifcsharedbldgserviceelements/pset/pset_airsidesysteminformation.htm" TargetMode="External"/><Relationship Id="rId1306" Type="http://schemas.openxmlformats.org/officeDocument/2006/relationships/hyperlink" Target="https://standards.buildingsmart.org/IFC/RELEASE/IFC4/ADD2_TC1/HTML/schema/ifcgeometryresource/lexical/ifcvectordifference.htm" TargetMode="External"/><Relationship Id="rId1513" Type="http://schemas.openxmlformats.org/officeDocument/2006/relationships/hyperlink" Target="https://standards.buildingsmart.org/IFC/RELEASE/IFC4/ADD2_TC1/HTML/schema/ifcelectricaldomain/pset/pset_audiovisualappliancetypetuner.htm" TargetMode="External"/><Relationship Id="rId1720" Type="http://schemas.openxmlformats.org/officeDocument/2006/relationships/hyperlink" Target="https://standards.buildingsmart.org/IFC/RELEASE/IFC4/ADD2_TC1/HTML/schema/ifcbuildingcontrolsdomain/pset/pset_sensortypecommon.htm" TargetMode="External"/><Relationship Id="rId12" Type="http://schemas.openxmlformats.org/officeDocument/2006/relationships/hyperlink" Target="https://standards.buildingsmart.org/IFC/RELEASE/IFC4/ADD2_TC1/HTML/schema/ifcmeasureresource/lexical/ifcthermaltransmittancemeasure.htm" TargetMode="External"/><Relationship Id="rId3478" Type="http://schemas.openxmlformats.org/officeDocument/2006/relationships/hyperlink" Target="https://standards.buildingsmart.org/IFC/RELEASE/IFC4/ADD2_TC1/HTML/schema/ifcmaterialresource/pset/pset_materialconcrete.htm" TargetMode="External"/><Relationship Id="rId3685" Type="http://schemas.openxmlformats.org/officeDocument/2006/relationships/hyperlink" Target="https://standards.buildingsmart.org/IFC/RELEASE/IFC4/ADD2_TC1/HTML/schema/ifcelectricaldomain/pset/pset_audiovisualappliancetypeamplifier.htm" TargetMode="External"/><Relationship Id="rId399" Type="http://schemas.openxmlformats.org/officeDocument/2006/relationships/hyperlink" Target="https://standards.buildingsmart.org/IFC/RELEASE/IFC4/ADD2_TC1/HTML/schema/ifcbuildingcontrolsdomain/lexical/ifcactuatortype.htm" TargetMode="External"/><Relationship Id="rId2287" Type="http://schemas.openxmlformats.org/officeDocument/2006/relationships/hyperlink" Target="https://standards.buildingsmart.org/IFC/RELEASE/IFC4/ADD2_TC1/HTML/schema/ifcsharedbldgserviceelements/pset/pset_distributionportcommon.htm" TargetMode="External"/><Relationship Id="rId2494" Type="http://schemas.openxmlformats.org/officeDocument/2006/relationships/hyperlink" Target="https://standards.buildingsmart.org/IFC/RELEASE/IFC4/ADD2_TC1/HTML/schema/ifchvacdomain/pset/pset_boilertypecommon.htm" TargetMode="External"/><Relationship Id="rId3338" Type="http://schemas.openxmlformats.org/officeDocument/2006/relationships/hyperlink" Target="https://standards.buildingsmart.org/IFC/RELEASE/IFC4/ADD2_TC1/HTML/schema/ifcsharedcomponentelements/pset/pset_elementcomponentcommon.htm" TargetMode="External"/><Relationship Id="rId3545" Type="http://schemas.openxmlformats.org/officeDocument/2006/relationships/hyperlink" Target="https://standards.buildingsmart.org/IFC/RELEASE/IFC4/ADD2_TC1/HTML/schema/ifcsharedbldgserviceelements/pset/pset_distributionchamberelementtypemeterchamber.htm" TargetMode="External"/><Relationship Id="rId3752" Type="http://schemas.openxmlformats.org/officeDocument/2006/relationships/hyperlink" Target="https://standards.buildingsmart.org/IFC/RELEASE/IFC4/ADD2_TC1/HTML/schema/ifcsharedbldgelements/pset/pset_wallcommon.htm" TargetMode="External"/><Relationship Id="rId259" Type="http://schemas.openxmlformats.org/officeDocument/2006/relationships/hyperlink" Target="https://standards.buildingsmart.org/IFC/RELEASE/IFC4/ADD2_TC1/HTML/schema/ifcgeometryresource/lexical/ifcpreferredsurfacecurverepresentation.htm" TargetMode="External"/><Relationship Id="rId466" Type="http://schemas.openxmlformats.org/officeDocument/2006/relationships/hyperlink" Target="https://standards.buildingsmart.org/IFC/RELEASE/IFC4/ADD2_TC1/HTML/schema/ifcelectricaldomain/lexical/ifccablefitting.htm" TargetMode="External"/><Relationship Id="rId673" Type="http://schemas.openxmlformats.org/officeDocument/2006/relationships/hyperlink" Target="https://standards.buildingsmart.org/IFC/RELEASE/IFC4/ADD2_TC1/HTML/schema/ifcbuildingcontrolsdomain/lexical/ifcflowinstrumenttype.htm" TargetMode="External"/><Relationship Id="rId880" Type="http://schemas.openxmlformats.org/officeDocument/2006/relationships/hyperlink" Target="https://standards.buildingsmart.org/IFC/RELEASE/IFC4/ADD2_TC1/HTML/schema/ifcquantityresource/lexical/ifcquantitylength.htm" TargetMode="External"/><Relationship Id="rId1096" Type="http://schemas.openxmlformats.org/officeDocument/2006/relationships/hyperlink" Target="https://standards.buildingsmart.org/IFC/RELEASE/IFC4/ADD2_TC1/HTML/schema/ifcstructuralelementsdomain/lexical/ifctendonanchor.htm" TargetMode="External"/><Relationship Id="rId2147" Type="http://schemas.openxmlformats.org/officeDocument/2006/relationships/hyperlink" Target="https://standards.buildingsmart.org/IFC/RELEASE/IFC4/ADD2_TC1/HTML/schema/ifchvacdomain/pset/pset_evaporatortypecommon.htm" TargetMode="External"/><Relationship Id="rId2354" Type="http://schemas.openxmlformats.org/officeDocument/2006/relationships/hyperlink" Target="https://standards.buildingsmart.org/IFC/RELEASE/IFC4/ADD2_TC1/HTML/schema/ifcplumbingfireprotectiondomain/pset/pset_wasteterminaltyperoofdrain.htm" TargetMode="External"/><Relationship Id="rId2561" Type="http://schemas.openxmlformats.org/officeDocument/2006/relationships/hyperlink" Target="https://standards.buildingsmart.org/IFC/RELEASE/IFC4/ADD2_TC1/HTML/schema/ifcelectricaldomain/pset/pset_protectivedevicetrippingunittypeelectronic.htm" TargetMode="External"/><Relationship Id="rId3405" Type="http://schemas.openxmlformats.org/officeDocument/2006/relationships/hyperlink" Target="https://standards.buildingsmart.org/IFC/RELEASE/IFC4/ADD2_TC1/HTML/schema/ifcprofileresource/pset/pset_profilearbitraryhollowcore.htm" TargetMode="External"/><Relationship Id="rId119" Type="http://schemas.openxmlformats.org/officeDocument/2006/relationships/hyperlink" Target="https://standards.buildingsmart.org/IFC/RELEASE/IFC4/ADD2_TC1/HTML/schema/ifcmaterialresource/lexical/ifccardinalpointreference.htm" TargetMode="External"/><Relationship Id="rId326" Type="http://schemas.openxmlformats.org/officeDocument/2006/relationships/hyperlink" Target="https://standards.buildingsmart.org/IFC/RELEASE/IFC4/ADD2_TC1/HTML/schema/ifcarchitecturedomain/lexical/ifcwindowpaneloperationenum.htm" TargetMode="External"/><Relationship Id="rId533" Type="http://schemas.openxmlformats.org/officeDocument/2006/relationships/hyperlink" Target="https://standards.buildingsmart.org/IFC/RELEASE/IFC4/ADD2_TC1/HTML/schema/ifcmeasureresource/lexical/ifcconversionbasedunitwithoffset.htm" TargetMode="External"/><Relationship Id="rId1163" Type="http://schemas.openxmlformats.org/officeDocument/2006/relationships/hyperlink" Target="https://standards.buildingsmart.org/IFC/RELEASE/IFC4/ADD2_TC1/HTML/schema/ifcprocessextension/lexical/ifcworkplan.htm" TargetMode="External"/><Relationship Id="rId1370" Type="http://schemas.openxmlformats.org/officeDocument/2006/relationships/hyperlink" Target="https://standards.buildingsmart.org/IFC/RELEASE/IFC4/ADD2_TC1/HTML/schema/ifcsharedbldgelements/pset/pset_windowcommon.htm" TargetMode="External"/><Relationship Id="rId2007" Type="http://schemas.openxmlformats.org/officeDocument/2006/relationships/hyperlink" Target="https://standards.buildingsmart.org/IFC/RELEASE/IFC4/ADD2_TC1/HTML/schema/ifcconstructionmgmtdomain/pset/pset_constructionresource.htm" TargetMode="External"/><Relationship Id="rId2214" Type="http://schemas.openxmlformats.org/officeDocument/2006/relationships/hyperlink" Target="https://standards.buildingsmart.org/IFC/RELEASE/IFC4/ADD2_TC1/HTML/schema/ifcproductextension/pset/pset_environmentalimpactindicators.htm" TargetMode="External"/><Relationship Id="rId3612" Type="http://schemas.openxmlformats.org/officeDocument/2006/relationships/hyperlink" Target="https://standards.buildingsmart.org/IFC/RELEASE/IFC4/ADD2_TC1/HTML/schema/ifcsharedbldgserviceelements/pset/pset_distributionchamberelementtypevalvechamber.htm" TargetMode="External"/><Relationship Id="rId740" Type="http://schemas.openxmlformats.org/officeDocument/2006/relationships/hyperlink" Target="https://standards.buildingsmart.org/IFC/RELEASE/IFC4/ADD2_TC1/HTML/schema/ifcpresentationorganizationresource/lexical/ifclightsourcespot.htm" TargetMode="External"/><Relationship Id="rId1023" Type="http://schemas.openxmlformats.org/officeDocument/2006/relationships/hyperlink" Target="https://standards.buildingsmart.org/IFC/RELEASE/IFC4/ADD2_TC1/HTML/schema/ifcstructuralloadresource/lexical/ifcstructuralconnectioncondition.htm" TargetMode="External"/><Relationship Id="rId2421" Type="http://schemas.openxmlformats.org/officeDocument/2006/relationships/hyperlink" Target="https://standards.buildingsmart.org/IFC/RELEASE/IFC4/ADD2_TC1/HTML/schema/ifcproductextension/pset/pset_environmentalimpactindicators.htm" TargetMode="External"/><Relationship Id="rId600" Type="http://schemas.openxmlformats.org/officeDocument/2006/relationships/hyperlink" Target="https://standards.buildingsmart.org/IFC/RELEASE/IFC4/ADD2_TC1/HTML/schema/ifctopologyresource/lexical/ifcedgeloop.htm" TargetMode="External"/><Relationship Id="rId1230" Type="http://schemas.openxmlformats.org/officeDocument/2006/relationships/hyperlink" Target="https://standards.buildingsmart.org/IFC/RELEASE/IFC4/ADD2_TC1/HTML/schema/ifchvacdomain/qset/qto_pipefittingbasequantities.htm" TargetMode="External"/><Relationship Id="rId3195" Type="http://schemas.openxmlformats.org/officeDocument/2006/relationships/hyperlink" Target="https://standards.buildingsmart.org/IFC/RELEASE/IFC4/ADD2_TC1/HTML/schema/ifcbuildingcontrolsdomain/pset/pset_unitarycontrolelementphistory.htm" TargetMode="External"/><Relationship Id="rId3055" Type="http://schemas.openxmlformats.org/officeDocument/2006/relationships/hyperlink" Target="https://standards.buildingsmart.org/IFC/RELEASE/IFC4/ADD2_TC1/HTML/schema/ifcelectricaldomain/pset/pset_protectivedeviceoccurrence.htm" TargetMode="External"/><Relationship Id="rId3262" Type="http://schemas.openxmlformats.org/officeDocument/2006/relationships/hyperlink" Target="https://standards.buildingsmart.org/IFC/RELEASE/IFC4/ADD2_TC1/HTML/schema/ifcelectricaldomain/pset/pset_electricflowstoragedevicetypecommon.htm" TargetMode="External"/><Relationship Id="rId183" Type="http://schemas.openxmlformats.org/officeDocument/2006/relationships/hyperlink" Target="https://standards.buildingsmart.org/IFC/RELEASE/IFC4/ADD2_TC1/HTML/schema/ifcsharedcomponentelements/lexical/ifcdiscreteaccessorytypeenum.htm" TargetMode="External"/><Relationship Id="rId390" Type="http://schemas.openxmlformats.org/officeDocument/2006/relationships/hyperlink" Target="https://standards.buildingsmart.org/IFC/RELEASE/IFC4/ADD2_TC1/HTML/schema/ifcgeometryresource/lexical/ifctrimmingselect.htm" TargetMode="External"/><Relationship Id="rId1907" Type="http://schemas.openxmlformats.org/officeDocument/2006/relationships/hyperlink" Target="https://standards.buildingsmart.org/IFC/RELEASE/IFC4/ADD2_TC1/HTML/schema/ifcstructuralelementsdomain/pset/pset_reinforcementbarpitchofslab.htm" TargetMode="External"/><Relationship Id="rId2071" Type="http://schemas.openxmlformats.org/officeDocument/2006/relationships/hyperlink" Target="https://standards.buildingsmart.org/IFC/RELEASE/IFC4/ADD2_TC1/HTML/schema/ifcstructuralelementsdomain/pset/pset_concreteelementgeneral.htm" TargetMode="External"/><Relationship Id="rId3122" Type="http://schemas.openxmlformats.org/officeDocument/2006/relationships/hyperlink" Target="https://standards.buildingsmart.org/IFC/RELEASE/IFC4/ADD2_TC1/HTML/schema/ifchvacdomain/pset/pset_evaporativecoolertypecommon.htm" TargetMode="External"/><Relationship Id="rId250" Type="http://schemas.openxmlformats.org/officeDocument/2006/relationships/hyperlink" Target="https://standards.buildingsmart.org/IFC/RELEASE/IFC4/ADD2_TC1/HTML/schema/ifccontrolextension/lexical/ifcperformancehistorytypeenum.htm" TargetMode="External"/><Relationship Id="rId110" Type="http://schemas.openxmlformats.org/officeDocument/2006/relationships/hyperlink" Target="https://standards.buildingsmart.org/IFC/RELEASE/IFC4/ADD2_TC1/HTML/schema/ifcmeasureresource/lexical/ifcdescriptivemeasure.htm" TargetMode="External"/><Relationship Id="rId2888" Type="http://schemas.openxmlformats.org/officeDocument/2006/relationships/hyperlink" Target="https://standards.buildingsmart.org/IFC/RELEASE/IFC4/ADD2_TC1/HTML/schema/ifcbuildingcontrolsdomain/pset/pset_actuatortypehydraulicactuator.htm" TargetMode="External"/><Relationship Id="rId1697" Type="http://schemas.openxmlformats.org/officeDocument/2006/relationships/hyperlink" Target="https://standards.buildingsmart.org/IFC/RELEASE/IFC4/ADD2_TC1/HTML/schema/ifcbuildingcontrolsdomain/pset/pset_controllerphistory.htm" TargetMode="External"/><Relationship Id="rId2748" Type="http://schemas.openxmlformats.org/officeDocument/2006/relationships/hyperlink" Target="https://standards.buildingsmart.org/IFC/RELEASE/IFC4/ADD2_TC1/HTML/schema/ifcproductextension/pset/pset_environmentalimpactvalues.htm" TargetMode="External"/><Relationship Id="rId2955" Type="http://schemas.openxmlformats.org/officeDocument/2006/relationships/hyperlink" Target="https://standards.buildingsmart.org/IFC/RELEASE/IFC4/ADD2_TC1/HTML/schema/ifchvacdomain/pset/pset_airtoairheatrecoveryphistory.htm" TargetMode="External"/><Relationship Id="rId927" Type="http://schemas.openxmlformats.org/officeDocument/2006/relationships/hyperlink" Target="https://standards.buildingsmart.org/IFC/RELEASE/IFC4/ADD2_TC1/HTML/schema/ifcsharedbldgelements/lexical/ifcrelconnectspathelements.htm" TargetMode="External"/><Relationship Id="rId1557" Type="http://schemas.openxmlformats.org/officeDocument/2006/relationships/hyperlink" Target="https://standards.buildingsmart.org/IFC/RELEASE/IFC4/ADD2_TC1/HTML/schema/ifcproductextension/pset/pset_sitecommon.htm" TargetMode="External"/><Relationship Id="rId1764" Type="http://schemas.openxmlformats.org/officeDocument/2006/relationships/hyperlink" Target="https://standards.buildingsmart.org/IFC/RELEASE/IFC4/ADD2_TC1/HTML/schema/ifchvacdomain/pset/pset_ductsilencertypecommon.htm" TargetMode="External"/><Relationship Id="rId1971" Type="http://schemas.openxmlformats.org/officeDocument/2006/relationships/hyperlink" Target="https://standards.buildingsmart.org/IFC/RELEASE/IFC4/ADD2_TC1/HTML/schema/ifcelectricaldomain/pset/pset_protectivedevicetypeearthleakagecircuitbreaker.htm" TargetMode="External"/><Relationship Id="rId2608" Type="http://schemas.openxmlformats.org/officeDocument/2006/relationships/hyperlink" Target="https://standards.buildingsmart.org/IFC/RELEASE/IFC4/ADD2_TC1/HTML/schema/ifcelectricaldomain/pset/pset_audiovisualappliancephistory.htm" TargetMode="External"/><Relationship Id="rId2815" Type="http://schemas.openxmlformats.org/officeDocument/2006/relationships/hyperlink" Target="https://standards.buildingsmart.org/IFC/RELEASE/IFC4/ADD2_TC1/HTML/schema/ifcproductextension/pset/pset_buildingcommon.htm" TargetMode="External"/><Relationship Id="rId56" Type="http://schemas.openxmlformats.org/officeDocument/2006/relationships/hyperlink" Target="https://standards.buildingsmart.org/IFC/RELEASE/IFC4/ADD2_TC1/HTML/schema/ifcdatetimeresource/lexical/ifcmonthinyearnumber.htm" TargetMode="External"/><Relationship Id="rId1417" Type="http://schemas.openxmlformats.org/officeDocument/2006/relationships/hyperlink" Target="https://standards.buildingsmart.org/IFC/RELEASE/IFC4/ADD2_TC1/HTML/schema/ifcsharedbldgserviceelements/pset/pset_distributionportphistoryduct.htm" TargetMode="External"/><Relationship Id="rId1624" Type="http://schemas.openxmlformats.org/officeDocument/2006/relationships/hyperlink" Target="https://standards.buildingsmart.org/IFC/RELEASE/IFC4/ADD2_TC1/HTML/schema/ifcproductextension/pset/pset_buildinguse.htm" TargetMode="External"/><Relationship Id="rId1831" Type="http://schemas.openxmlformats.org/officeDocument/2006/relationships/hyperlink" Target="https://standards.buildingsmart.org/IFC/RELEASE/IFC4/ADD2_TC1/HTML/schema/ifcelectricaldomain/pset/pset_audiovisualappliancetypespeaker.htm" TargetMode="External"/><Relationship Id="rId3589" Type="http://schemas.openxmlformats.org/officeDocument/2006/relationships/hyperlink" Target="https://standards.buildingsmart.org/IFC/RELEASE/IFC4/ADD2_TC1/HTML/schema/ifchvacdomain/pset/pset_pipeconnectionflanged.htm" TargetMode="External"/><Relationship Id="rId2398" Type="http://schemas.openxmlformats.org/officeDocument/2006/relationships/hyperlink" Target="https://standards.buildingsmart.org/IFC/RELEASE/IFC4/ADD2_TC1/HTML/schema/ifchvacdomain/pset/pset_tubebundletypecommon.htm" TargetMode="External"/><Relationship Id="rId3449" Type="http://schemas.openxmlformats.org/officeDocument/2006/relationships/hyperlink" Target="https://standards.buildingsmart.org/IFC/RELEASE/IFC4/ADD2_TC1/HTML/schema/ifcsharedbldgserviceelements/pset/pset_distributionporttypecable.htm" TargetMode="External"/><Relationship Id="rId577" Type="http://schemas.openxmlformats.org/officeDocument/2006/relationships/hyperlink" Target="https://standards.buildingsmart.org/IFC/RELEASE/IFC4/ADD2_TC1/HTML/schema/ifcsharedbldgserviceelements/lexical/ifcdistributionflowelement.htm" TargetMode="External"/><Relationship Id="rId2258" Type="http://schemas.openxmlformats.org/officeDocument/2006/relationships/hyperlink" Target="https://standards.buildingsmart.org/IFC/RELEASE/IFC4/ADD2_TC1/HTML/schema/ifchvacdomain/pset/pset_pipefittingtypecommon.htm" TargetMode="External"/><Relationship Id="rId3656" Type="http://schemas.openxmlformats.org/officeDocument/2006/relationships/hyperlink" Target="https://standards.buildingsmart.org/IFC/RELEASE/IFC4/ADD2_TC1/HTML/schema/ifcsharedfacilitieselements/pset/pset_condition.htm" TargetMode="External"/><Relationship Id="rId784" Type="http://schemas.openxmlformats.org/officeDocument/2006/relationships/hyperlink" Target="https://standards.buildingsmart.org/IFC/RELEASE/IFC4/ADD2_TC1/HTML/schema/ifcgeometricconstraintresource/lexical/ifcobjectplacement.htm" TargetMode="External"/><Relationship Id="rId991" Type="http://schemas.openxmlformats.org/officeDocument/2006/relationships/hyperlink" Target="https://standards.buildingsmart.org/IFC/RELEASE/IFC4/ADD2_TC1/HTML/schema/ifcproductextension/lexical/ifcsite.htm" TargetMode="External"/><Relationship Id="rId1067" Type="http://schemas.openxmlformats.org/officeDocument/2006/relationships/hyperlink" Target="https://standards.buildingsmart.org/IFC/RELEASE/IFC4/ADD2_TC1/HTML/schema/ifcgeometryresource/lexical/ifcsurfaceofrevolution.htm" TargetMode="External"/><Relationship Id="rId2465" Type="http://schemas.openxmlformats.org/officeDocument/2006/relationships/hyperlink" Target="https://standards.buildingsmart.org/IFC/RELEASE/IFC4/ADD2_TC1/HTML/schema/ifchvacdomain/pset/pset_filtertypecommon.htm" TargetMode="External"/><Relationship Id="rId2672" Type="http://schemas.openxmlformats.org/officeDocument/2006/relationships/hyperlink" Target="https://standards.buildingsmart.org/IFC/RELEASE/IFC4/ADD2_TC1/HTML/schema/ifcelectricaldomain/pset/pset_protectivedevicetrippingfunctionlcurve.htm" TargetMode="External"/><Relationship Id="rId3309" Type="http://schemas.openxmlformats.org/officeDocument/2006/relationships/hyperlink" Target="https://standards.buildingsmart.org/IFC/RELEASE/IFC4/ADD2_TC1/HTML/schema/ifchvacdomain/pset/pset_fancentrifugal.htm" TargetMode="External"/><Relationship Id="rId3516" Type="http://schemas.openxmlformats.org/officeDocument/2006/relationships/hyperlink" Target="https://standards.buildingsmart.org/IFC/RELEASE/IFC4/ADD2_TC1/HTML/schema/ifchvacdomain/pset/pset_chillerphistory.htm" TargetMode="External"/><Relationship Id="rId3723" Type="http://schemas.openxmlformats.org/officeDocument/2006/relationships/hyperlink" Target="https://standards.buildingsmart.org/IFC/RELEASE/IFC4/ADD2_TC1/HTML/schema/ifcproductextension/pset/pset_spacethermalrequirements.htm" TargetMode="External"/><Relationship Id="rId437" Type="http://schemas.openxmlformats.org/officeDocument/2006/relationships/hyperlink" Target="https://standards.buildingsmart.org/IFC/RELEASE/IFC4/ADD2_TC1/HTML/schema/ifcstructuralloadresource/lexical/ifcboundarycondition.htm" TargetMode="External"/><Relationship Id="rId644" Type="http://schemas.openxmlformats.org/officeDocument/2006/relationships/hyperlink" Target="https://standards.buildingsmart.org/IFC/RELEASE/IFC4/ADD2_TC1/HTML/schema/ifcgeometricmodelresource/lexical/ifcextrudedareasolidtapered.htm" TargetMode="External"/><Relationship Id="rId851" Type="http://schemas.openxmlformats.org/officeDocument/2006/relationships/hyperlink" Target="https://standards.buildingsmart.org/IFC/RELEASE/IFC4/ADD2_TC1/HTML/schema/ifcrepresentationresource/lexical/ifcprojectedcrs.htm" TargetMode="External"/><Relationship Id="rId1274" Type="http://schemas.openxmlformats.org/officeDocument/2006/relationships/hyperlink" Target="https://standards.buildingsmart.org/IFC/RELEASE/IFC4/ADD2_TC1/HTML/schema/ifcgeometryresource/lexical/ifccrossproduct.htm" TargetMode="External"/><Relationship Id="rId1481" Type="http://schemas.openxmlformats.org/officeDocument/2006/relationships/hyperlink" Target="https://standards.buildingsmart.org/IFC/RELEASE/IFC4/ADD2_TC1/HTML/schema/ifcbuildingcontrolsdomain/pset/pset_controllertypeproportional.htm" TargetMode="External"/><Relationship Id="rId2118" Type="http://schemas.openxmlformats.org/officeDocument/2006/relationships/hyperlink" Target="https://standards.buildingsmart.org/IFC/RELEASE/IFC4/ADD2_TC1/HTML/schema/ifcstructuralelementsdomain/pset/pset_reinforcingmeshcommon.htm" TargetMode="External"/><Relationship Id="rId2325" Type="http://schemas.openxmlformats.org/officeDocument/2006/relationships/hyperlink" Target="https://standards.buildingsmart.org/IFC/RELEASE/IFC4/ADD2_TC1/HTML/schema/ifchvacdomain/pset/pset_filtertypecompressedairfilter.htm" TargetMode="External"/><Relationship Id="rId2532" Type="http://schemas.openxmlformats.org/officeDocument/2006/relationships/hyperlink" Target="https://standards.buildingsmart.org/IFC/RELEASE/IFC4/ADD2_TC1/HTML/schema/ifcplumbingfireprotectiondomain/pset/pset_wasteterminaltypefloorwaste.htm" TargetMode="External"/><Relationship Id="rId504" Type="http://schemas.openxmlformats.org/officeDocument/2006/relationships/hyperlink" Target="https://standards.buildingsmart.org/IFC/RELEASE/IFC4/ADD2_TC1/HTML/schema/ifcgeometryresource/lexical/ifccompositecurvesegment.htm" TargetMode="External"/><Relationship Id="rId711" Type="http://schemas.openxmlformats.org/officeDocument/2006/relationships/hyperlink" Target="https://standards.buildingsmart.org/IFC/RELEASE/IFC4/ADD2_TC1/HTML/schema/ifcgeometricmodelresource/lexical/ifcindexedpolygonalface.htm" TargetMode="External"/><Relationship Id="rId1134" Type="http://schemas.openxmlformats.org/officeDocument/2006/relationships/hyperlink" Target="https://standards.buildingsmart.org/IFC/RELEASE/IFC4/ADD2_TC1/HTML/schema/ifchvacdomain/lexical/ifcunitaryequipment.htm" TargetMode="External"/><Relationship Id="rId1341" Type="http://schemas.openxmlformats.org/officeDocument/2006/relationships/hyperlink" Target="https://standards.buildingsmart.org/IFC/RELEASE/IFC4/ADD2_TC1/HTML/schema/ifcsharedfacilitieselements/pset/pset_furnituretypefilecabinet.htm" TargetMode="External"/><Relationship Id="rId1201" Type="http://schemas.openxmlformats.org/officeDocument/2006/relationships/hyperlink" Target="https://standards.buildingsmart.org/IFC/RELEASE/IFC4/ADD2_TC1/HTML/schema/ifchvacdomain/qset/qto_ductfittingbasequantities.htm" TargetMode="External"/><Relationship Id="rId3099" Type="http://schemas.openxmlformats.org/officeDocument/2006/relationships/hyperlink" Target="https://standards.buildingsmart.org/IFC/RELEASE/IFC4/ADD2_TC1/HTML/schema/ifcplumbingfireprotectiondomain/pset/pset_sanitaryterminaltypesanitaryfountain.htm" TargetMode="External"/><Relationship Id="rId3166" Type="http://schemas.openxmlformats.org/officeDocument/2006/relationships/hyperlink" Target="https://standards.buildingsmart.org/IFC/RELEASE/IFC4/ADD2_TC1/HTML/schema/ifcproductextension/pset/pset_buildingcommon.htm" TargetMode="External"/><Relationship Id="rId3373" Type="http://schemas.openxmlformats.org/officeDocument/2006/relationships/hyperlink" Target="https://standards.buildingsmart.org/IFC/RELEASE/IFC4/ADD2_TC1/HTML/schema/ifcplumbingfireprotectiondomain/pset/pset_wasteterminaltypefloortrap.htm" TargetMode="External"/><Relationship Id="rId3580" Type="http://schemas.openxmlformats.org/officeDocument/2006/relationships/hyperlink" Target="https://standards.buildingsmart.org/IFC/RELEASE/IFC4/ADD2_TC1/HTML/schema/ifcsharedmgmtelements/pset/pset_projectorderchangeorder.htm" TargetMode="External"/><Relationship Id="rId294" Type="http://schemas.openxmlformats.org/officeDocument/2006/relationships/hyperlink" Target="https://standards.buildingsmart.org/IFC/RELEASE/IFC4/ADD2_TC1/HTML/schema/ifcsharedbldgelements/lexical/ifcstairflighttypeenum.htm" TargetMode="External"/><Relationship Id="rId2182" Type="http://schemas.openxmlformats.org/officeDocument/2006/relationships/hyperlink" Target="https://standards.buildingsmart.org/IFC/RELEASE/IFC4/ADD2_TC1/HTML/schema/ifcsharedbldgelements/pset/pset_buildingsystemcommon.htm" TargetMode="External"/><Relationship Id="rId3026" Type="http://schemas.openxmlformats.org/officeDocument/2006/relationships/hyperlink" Target="https://standards.buildingsmart.org/IFC/RELEASE/IFC4/ADD2_TC1/HTML/schema/ifchvacdomain/pset/pset_airterminaltypecommon.htm" TargetMode="External"/><Relationship Id="rId3233" Type="http://schemas.openxmlformats.org/officeDocument/2006/relationships/hyperlink" Target="https://standards.buildingsmart.org/IFC/RELEASE/IFC4/ADD2_TC1/HTML/schema/ifchvacdomain/pset/pset_compressorphistory.htm" TargetMode="External"/><Relationship Id="rId154" Type="http://schemas.openxmlformats.org/officeDocument/2006/relationships/hyperlink" Target="https://standards.buildingsmart.org/IFC/RELEASE/IFC4/ADD2_TC1/HTML/schema/ifcelectricaldomain/lexical/ifccablecarriersegmenttypeenum.htm" TargetMode="External"/><Relationship Id="rId361" Type="http://schemas.openxmlformats.org/officeDocument/2006/relationships/hyperlink" Target="https://standards.buildingsmart.org/IFC/RELEASE/IFC4/ADD2_TC1/HTML/schema/ifcmeasureresource/lexical/ifcmeasurevalue.htm" TargetMode="External"/><Relationship Id="rId2042" Type="http://schemas.openxmlformats.org/officeDocument/2006/relationships/hyperlink" Target="https://standards.buildingsmart.org/IFC/RELEASE/IFC4/ADD2_TC1/HTML/schema/ifcproductextension/pset/pset_environmentalimpactvalues.htm" TargetMode="External"/><Relationship Id="rId3440" Type="http://schemas.openxmlformats.org/officeDocument/2006/relationships/hyperlink" Target="https://standards.buildingsmart.org/IFC/RELEASE/IFC4/ADD2_TC1/HTML/schema/ifcsharedbldgserviceelements/pset/pset_distributionporttypepipe.htm" TargetMode="External"/><Relationship Id="rId2999" Type="http://schemas.openxmlformats.org/officeDocument/2006/relationships/hyperlink" Target="https://standards.buildingsmart.org/IFC/RELEASE/IFC4/ADD2_TC1/HTML/schema/ifcproductextension/pset/pset_environmentalimpactindicators.htm" TargetMode="External"/><Relationship Id="rId3300" Type="http://schemas.openxmlformats.org/officeDocument/2006/relationships/hyperlink" Target="https://standards.buildingsmart.org/IFC/RELEASE/IFC4/ADD2_TC1/HTML/schema/ifcproductextension/pset/pset_spacethermalrequirements.htm" TargetMode="External"/><Relationship Id="rId221" Type="http://schemas.openxmlformats.org/officeDocument/2006/relationships/hyperlink" Target="https://standards.buildingsmart.org/IFC/RELEASE/IFC4/ADD2_TC1/HTML/schema/ifcproductextension/lexical/ifcgeographicelementtypeenum.htm" TargetMode="External"/><Relationship Id="rId2859" Type="http://schemas.openxmlformats.org/officeDocument/2006/relationships/hyperlink" Target="https://standards.buildingsmart.org/IFC/RELEASE/IFC4/ADD2_TC1/HTML/schema/ifcsharedbldgserviceelements/pset/pset_distributionchamberelementtypetrench.htm" TargetMode="External"/><Relationship Id="rId1668" Type="http://schemas.openxmlformats.org/officeDocument/2006/relationships/hyperlink" Target="https://standards.buildingsmart.org/IFC/RELEASE/IFC4/ADD2_TC1/HTML/schema/ifcstructuralelementsdomain/pset/pset_precastconcreteelementgeneral.htm" TargetMode="External"/><Relationship Id="rId1875" Type="http://schemas.openxmlformats.org/officeDocument/2006/relationships/hyperlink" Target="https://standards.buildingsmart.org/IFC/RELEASE/IFC4/ADD2_TC1/HTML/schema/ifcsharedbldgelements/pset/pset_windowcommon.htm" TargetMode="External"/><Relationship Id="rId2719" Type="http://schemas.openxmlformats.org/officeDocument/2006/relationships/hyperlink" Target="https://standards.buildingsmart.org/IFC/RELEASE/IFC4/ADD2_TC1/HTML/schema/ifcelectricaldomain/pset/pset_protectivedevicetrippingunittypecommon.htm" TargetMode="External"/><Relationship Id="rId1528" Type="http://schemas.openxmlformats.org/officeDocument/2006/relationships/hyperlink" Target="https://standards.buildingsmart.org/IFC/RELEASE/IFC4/ADD2_TC1/HTML/schema/ifcstructuralelementsdomain/pset/pset_reinforcingmeshcommon.htm" TargetMode="External"/><Relationship Id="rId2926" Type="http://schemas.openxmlformats.org/officeDocument/2006/relationships/hyperlink" Target="https://standards.buildingsmart.org/IFC/RELEASE/IFC4/ADD2_TC1/HTML/schema/ifcproductextension/pset/pset_spacelightingrequirements.htm" TargetMode="External"/><Relationship Id="rId3090" Type="http://schemas.openxmlformats.org/officeDocument/2006/relationships/hyperlink" Target="https://standards.buildingsmart.org/IFC/RELEASE/IFC4/ADD2_TC1/HTML/schema/ifchvacdomain/pset/pset_dampertypecommon.htm" TargetMode="External"/><Relationship Id="rId1735" Type="http://schemas.openxmlformats.org/officeDocument/2006/relationships/hyperlink" Target="https://standards.buildingsmart.org/IFC/RELEASE/IFC4/ADD2_TC1/HTML/schema/ifcelectricaldomain/pset/pset_outlettypecommon.htm" TargetMode="External"/><Relationship Id="rId1942" Type="http://schemas.openxmlformats.org/officeDocument/2006/relationships/hyperlink" Target="https://standards.buildingsmart.org/IFC/RELEASE/IFC4/ADD2_TC1/HTML/schema/ifcbuildingcontrolsdomain/pset/pset_sensortypesoundsensor.htm" TargetMode="External"/><Relationship Id="rId27" Type="http://schemas.openxmlformats.org/officeDocument/2006/relationships/hyperlink" Target="https://standards.buildingsmart.org/IFC/RELEASE/IFC4/ADD2_TC1/HTML/schema/ifcmeasureresource/lexical/ifcsoundpressuremeasure.htm" TargetMode="External"/><Relationship Id="rId1802" Type="http://schemas.openxmlformats.org/officeDocument/2006/relationships/hyperlink" Target="https://standards.buildingsmart.org/IFC/RELEASE/IFC4/ADD2_TC1/HTML/schema/ifcsharedcomponentelements/pset/pset_discreteaccessorystandardfixingplate.htm" TargetMode="External"/><Relationship Id="rId3767" Type="http://schemas.openxmlformats.org/officeDocument/2006/relationships/hyperlink" Target="https://standards.buildingsmart.org/IFC/RELEASE/IFC4/ADD2_TC1/HTML/schema/ifcsharedbldgserviceelements/pset/pset_distributionchamberelementtypemanhole.htm" TargetMode="External"/><Relationship Id="rId688" Type="http://schemas.openxmlformats.org/officeDocument/2006/relationships/hyperlink" Target="https://standards.buildingsmart.org/IFC/RELEASE/IFC4/ADD2_TC1/HTML/schema/ifcproductextension/lexical/ifcfurnishingelement.htm" TargetMode="External"/><Relationship Id="rId895" Type="http://schemas.openxmlformats.org/officeDocument/2006/relationships/hyperlink" Target="https://standards.buildingsmart.org/IFC/RELEASE/IFC4/ADD2_TC1/HTML/schema/ifcgeometricmodelresource/lexical/ifcrectangularpyramid.htm" TargetMode="External"/><Relationship Id="rId2369" Type="http://schemas.openxmlformats.org/officeDocument/2006/relationships/hyperlink" Target="https://standards.buildingsmart.org/IFC/RELEASE/IFC4/ADD2_TC1/HTML/schema/ifchvacdomain/pset/pset_evaporativecoolertypecommon.htm" TargetMode="External"/><Relationship Id="rId2576" Type="http://schemas.openxmlformats.org/officeDocument/2006/relationships/hyperlink" Target="https://standards.buildingsmart.org/IFC/RELEASE/IFC4/ADD2_TC1/HTML/schema/ifchvacdomain/pset/pset_fanoccurrence.htm" TargetMode="External"/><Relationship Id="rId2783" Type="http://schemas.openxmlformats.org/officeDocument/2006/relationships/hyperlink" Target="https://standards.buildingsmart.org/IFC/RELEASE/IFC4/ADD2_TC1/HTML/schema/ifcsharedfacilitieselements/pset/pset_systemfurnitureelementtypecommon.htm" TargetMode="External"/><Relationship Id="rId2990" Type="http://schemas.openxmlformats.org/officeDocument/2006/relationships/hyperlink" Target="https://standards.buildingsmart.org/IFC/RELEASE/IFC4/ADD2_TC1/HTML/schema/ifcsharedbldgserviceelements/pset/pset_spacethermaldesign.htm" TargetMode="External"/><Relationship Id="rId3627" Type="http://schemas.openxmlformats.org/officeDocument/2006/relationships/hyperlink" Target="https://standards.buildingsmart.org/IFC/RELEASE/IFC4/ADD2_TC1/HTML/schema/ifcelectricaldomain/pset/pset_lightfixturetypesecuritylighting.htm" TargetMode="External"/><Relationship Id="rId548" Type="http://schemas.openxmlformats.org/officeDocument/2006/relationships/hyperlink" Target="https://standards.buildingsmart.org/IFC/RELEASE/IFC4/ADD2_TC1/HTML/schema/ifcgeometricmodelresource/lexical/ifccsgsolid.htm" TargetMode="External"/><Relationship Id="rId755" Type="http://schemas.openxmlformats.org/officeDocument/2006/relationships/hyperlink" Target="https://standards.buildingsmart.org/IFC/RELEASE/IFC4/ADD2_TC1/HTML/schema/ifcmaterialresource/lexical/ifcmateriallayerset.htm" TargetMode="External"/><Relationship Id="rId962" Type="http://schemas.openxmlformats.org/officeDocument/2006/relationships/hyperlink" Target="https://standards.buildingsmart.org/IFC/RELEASE/IFC4/ADD2_TC1/HTML/schema/ifcapprovalresource/lexical/ifcresourceapprovalrelationship.htm" TargetMode="External"/><Relationship Id="rId1178" Type="http://schemas.openxmlformats.org/officeDocument/2006/relationships/hyperlink" Target="https://standards.buildingsmart.org/IFC/RELEASE/IFC4/ADD2_TC1/HTML/schema/ifcproductextension/qset/qto_buildingstoreybasequantities.htm" TargetMode="External"/><Relationship Id="rId1385" Type="http://schemas.openxmlformats.org/officeDocument/2006/relationships/hyperlink" Target="https://standards.buildingsmart.org/IFC/RELEASE/IFC4/ADD2_TC1/HTML/schema/ifchvacdomain/pset/pset_condenserphistory.htm" TargetMode="External"/><Relationship Id="rId1592" Type="http://schemas.openxmlformats.org/officeDocument/2006/relationships/hyperlink" Target="https://standards.buildingsmart.org/IFC/RELEASE/IFC4/ADD2_TC1/HTML/schema/ifcelectricaldomain/pset/pset_protectivedevicetrippingunittypethermal.htm" TargetMode="External"/><Relationship Id="rId2229" Type="http://schemas.openxmlformats.org/officeDocument/2006/relationships/hyperlink" Target="https://standards.buildingsmart.org/IFC/RELEASE/IFC4/ADD2_TC1/HTML/schema/ifcsharedbldgserviceelements/pset/pset_distributionporttypecable.htm" TargetMode="External"/><Relationship Id="rId2436" Type="http://schemas.openxmlformats.org/officeDocument/2006/relationships/hyperlink" Target="https://standards.buildingsmart.org/IFC/RELEASE/IFC4/ADD2_TC1/HTML/schema/ifchvacdomain/pset/pset_coiltypecommon.htm" TargetMode="External"/><Relationship Id="rId2643" Type="http://schemas.openxmlformats.org/officeDocument/2006/relationships/hyperlink" Target="https://standards.buildingsmart.org/IFC/RELEASE/IFC4/ADD2_TC1/HTML/schema/ifcsharedbldgserviceelements/pset/pset_distributionsystemtypeelectrical.htm" TargetMode="External"/><Relationship Id="rId2850" Type="http://schemas.openxmlformats.org/officeDocument/2006/relationships/hyperlink" Target="https://standards.buildingsmart.org/IFC/RELEASE/IFC4/ADD2_TC1/HTML/schema/ifcelectricaldomain/pset/pset_protectivedevicetrippingfunctiongcurve.htm" TargetMode="External"/><Relationship Id="rId91" Type="http://schemas.openxmlformats.org/officeDocument/2006/relationships/hyperlink" Target="https://standards.buildingsmart.org/IFC/RELEASE/IFC4/ADD2_TC1/HTML/schema/ifcmeasureresource/lexical/ifcheatingvaluemeasure.htm" TargetMode="External"/><Relationship Id="rId408" Type="http://schemas.openxmlformats.org/officeDocument/2006/relationships/hyperlink" Target="https://standards.buildingsmart.org/IFC/RELEASE/IFC4/ADD2_TC1/HTML/schema/ifchvacdomain/lexical/ifcairtoairheatrecovery.htm" TargetMode="External"/><Relationship Id="rId615" Type="http://schemas.openxmlformats.org/officeDocument/2006/relationships/hyperlink" Target="https://standards.buildingsmart.org/IFC/RELEASE/IFC4/ADD2_TC1/HTML/schema/ifcproductextension/lexical/ifcelementassembly.htm" TargetMode="External"/><Relationship Id="rId822" Type="http://schemas.openxmlformats.org/officeDocument/2006/relationships/hyperlink" Target="https://standards.buildingsmart.org/IFC/RELEASE/IFC4/ADD2_TC1/HTML/schema/ifcgeometryresource/lexical/ifcpoint.htm" TargetMode="External"/><Relationship Id="rId1038" Type="http://schemas.openxmlformats.org/officeDocument/2006/relationships/hyperlink" Target="https://standards.buildingsmart.org/IFC/RELEASE/IFC4/ADD2_TC1/HTML/schema/ifcstructuralloadresource/lexical/ifcstructuralloadsingledisplacement.htm" TargetMode="External"/><Relationship Id="rId1245" Type="http://schemas.openxmlformats.org/officeDocument/2006/relationships/hyperlink" Target="https://standards.buildingsmart.org/IFC/RELEASE/IFC4/ADD2_TC1/HTML/schema/ifcelectricaldomain/qset/qto_solardevicebasequantities.htm" TargetMode="External"/><Relationship Id="rId1452" Type="http://schemas.openxmlformats.org/officeDocument/2006/relationships/hyperlink" Target="https://standards.buildingsmart.org/IFC/RELEASE/IFC4/ADD2_TC1/HTML/schema/ifcelectricaldomain/pset/pset_audiovisualappliancetypecamera.htm" TargetMode="External"/><Relationship Id="rId2503" Type="http://schemas.openxmlformats.org/officeDocument/2006/relationships/hyperlink" Target="https://standards.buildingsmart.org/IFC/RELEASE/IFC4/ADD2_TC1/HTML/schema/ifcsharedcomponentelements/pset/pset_mechanicalfastenercommon.htm" TargetMode="External"/><Relationship Id="rId1105" Type="http://schemas.openxmlformats.org/officeDocument/2006/relationships/hyperlink" Target="https://standards.buildingsmart.org/IFC/RELEASE/IFC4/ADD2_TC1/HTML/schema/ifcpresentationappearanceresource/lexical/ifctextstylefordefinedfont.htm" TargetMode="External"/><Relationship Id="rId1312" Type="http://schemas.openxmlformats.org/officeDocument/2006/relationships/hyperlink" Target="https://standards.buildingsmart.org/IFC/RELEASE/IFC4/ADD2_TC1/HTML/schema/ifcmaterialresource/pset/pset_materialmechanical.htm" TargetMode="External"/><Relationship Id="rId2710" Type="http://schemas.openxmlformats.org/officeDocument/2006/relationships/hyperlink" Target="https://standards.buildingsmart.org/IFC/RELEASE/IFC4/ADD2_TC1/HTML/schema/ifcsharedbldgelements/pset/pset_platecommon.htm" TargetMode="External"/><Relationship Id="rId3277" Type="http://schemas.openxmlformats.org/officeDocument/2006/relationships/hyperlink" Target="https://standards.buildingsmart.org/IFC/RELEASE/IFC4/ADD2_TC1/HTML/schema/ifcsharedbldgserviceelements/pset/pset_spacethermalload.htm" TargetMode="External"/><Relationship Id="rId198" Type="http://schemas.openxmlformats.org/officeDocument/2006/relationships/hyperlink" Target="https://standards.buildingsmart.org/IFC/RELEASE/IFC4/ADD2_TC1/HTML/schema/ifcelectricaldomain/lexical/ifcelectricappliancetypeenum.htm" TargetMode="External"/><Relationship Id="rId2086" Type="http://schemas.openxmlformats.org/officeDocument/2006/relationships/hyperlink" Target="https://standards.buildingsmart.org/IFC/RELEASE/IFC4/ADD2_TC1/HTML/schema/ifcstructuralelementsdomain/pset/pset_reinforcementbarpitchofbeam.htm" TargetMode="External"/><Relationship Id="rId3484" Type="http://schemas.openxmlformats.org/officeDocument/2006/relationships/hyperlink" Target="https://standards.buildingsmart.org/IFC/RELEASE/IFC4/ADD2_TC1/HTML/schema/ifcmaterialresource/pset/pset_materialfuel.htm" TargetMode="External"/><Relationship Id="rId3691" Type="http://schemas.openxmlformats.org/officeDocument/2006/relationships/hyperlink" Target="https://standards.buildingsmart.org/IFC/RELEASE/IFC4/ADD2_TC1/HTML/schema/ifchvacdomain/pset/pset_spaceheaterphistory.htm" TargetMode="External"/><Relationship Id="rId2293" Type="http://schemas.openxmlformats.org/officeDocument/2006/relationships/hyperlink" Target="https://standards.buildingsmart.org/IFC/RELEASE/IFC4/ADD2_TC1/HTML/schema/ifcmaterialresource/pset/pset_materialwood.htm" TargetMode="External"/><Relationship Id="rId3137" Type="http://schemas.openxmlformats.org/officeDocument/2006/relationships/hyperlink" Target="https://standards.buildingsmart.org/IFC/RELEASE/IFC4/ADD2_TC1/HTML/schema/ifcsharedbldgelements/pset/pset_coveringcommon.htm" TargetMode="External"/><Relationship Id="rId3344" Type="http://schemas.openxmlformats.org/officeDocument/2006/relationships/hyperlink" Target="https://standards.buildingsmart.org/IFC/RELEASE/IFC4/ADD2_TC1/HTML/schema/ifchvacdomain/pset/pset_damperphistory.htm" TargetMode="External"/><Relationship Id="rId3551" Type="http://schemas.openxmlformats.org/officeDocument/2006/relationships/hyperlink" Target="https://standards.buildingsmart.org/IFC/RELEASE/IFC4/ADD2_TC1/HTML/schema/ifcprofileresource/pset/pset_profilearbitraryhollowcore.htm" TargetMode="External"/><Relationship Id="rId265" Type="http://schemas.openxmlformats.org/officeDocument/2006/relationships/hyperlink" Target="https://standards.buildingsmart.org/IFC/RELEASE/IFC4/ADD2_TC1/HTML/schema/ifckernel/lexical/ifcpropertysettemplatetypeenum.htm" TargetMode="External"/><Relationship Id="rId472" Type="http://schemas.openxmlformats.org/officeDocument/2006/relationships/hyperlink" Target="https://standards.buildingsmart.org/IFC/RELEASE/IFC4/ADD2_TC1/HTML/schema/ifcgeometricmodelresource/lexical/ifccartesianpointlist2d.htm" TargetMode="External"/><Relationship Id="rId2153" Type="http://schemas.openxmlformats.org/officeDocument/2006/relationships/hyperlink" Target="https://standards.buildingsmart.org/IFC/RELEASE/IFC4/ADD2_TC1/HTML/schema/ifcelectricaldomain/pset/pset_electricmotortypecommon.htm" TargetMode="External"/><Relationship Id="rId2360" Type="http://schemas.openxmlformats.org/officeDocument/2006/relationships/hyperlink" Target="https://standards.buildingsmart.org/IFC/RELEASE/IFC4/ADD2_TC1/HTML/schema/ifcplumbingfireprotectiondomain/pset/pset_interceptortypecommon.htm" TargetMode="External"/><Relationship Id="rId3204" Type="http://schemas.openxmlformats.org/officeDocument/2006/relationships/hyperlink" Target="https://standards.buildingsmart.org/IFC/RELEASE/IFC4/ADD2_TC1/HTML/schema/ifchvacdomain/pset/pset_evaporatorphistory.htm" TargetMode="External"/><Relationship Id="rId3411" Type="http://schemas.openxmlformats.org/officeDocument/2006/relationships/hyperlink" Target="https://standards.buildingsmart.org/IFC/RELEASE/IFC4/ADD2_TC1/HTML/schema/ifcsharedbldgserviceelements/pset/pset_spacethermaldesign.htm" TargetMode="External"/><Relationship Id="rId125" Type="http://schemas.openxmlformats.org/officeDocument/2006/relationships/hyperlink" Target="https://standards.buildingsmart.org/IFC/RELEASE/IFC4/ADD2_TC1/HTML/schema/ifcmeasureresource/lexical/ifcangularvelocitymeasure.htm" TargetMode="External"/><Relationship Id="rId332" Type="http://schemas.openxmlformats.org/officeDocument/2006/relationships/hyperlink" Target="https://standards.buildingsmart.org/IFC/RELEASE/IFC4/ADD2_TC1/HTML/schema/ifcprocessextension/lexical/ifcworkcalendartypeenum.htm" TargetMode="External"/><Relationship Id="rId2013" Type="http://schemas.openxmlformats.org/officeDocument/2006/relationships/hyperlink" Target="https://standards.buildingsmart.org/IFC/RELEASE/IFC4/ADD2_TC1/HTML/schema/ifcsharedbldgelements/pset/pset_columncommon.htm" TargetMode="External"/><Relationship Id="rId2220" Type="http://schemas.openxmlformats.org/officeDocument/2006/relationships/hyperlink" Target="https://standards.buildingsmart.org/IFC/RELEASE/IFC4/ADD2_TC1/HTML/schema/ifcbuildingcontrolsdomain/pset/pset_sensorphistory.htm" TargetMode="External"/><Relationship Id="rId1779" Type="http://schemas.openxmlformats.org/officeDocument/2006/relationships/hyperlink" Target="https://standards.buildingsmart.org/IFC/RELEASE/IFC4/ADD2_TC1/HTML/schema/ifchvacdomain/pset/pset_coiltypecommon.htm" TargetMode="External"/><Relationship Id="rId1986" Type="http://schemas.openxmlformats.org/officeDocument/2006/relationships/hyperlink" Target="https://standards.buildingsmart.org/IFC/RELEASE/IFC4/ADD2_TC1/HTML/schema/ifcsharedbldgelements/pset/pset_windowcommon.htm" TargetMode="External"/><Relationship Id="rId1639" Type="http://schemas.openxmlformats.org/officeDocument/2006/relationships/hyperlink" Target="https://standards.buildingsmart.org/IFC/RELEASE/IFC4/ADD2_TC1/HTML/schema/ifcelectricaldomain/pset/pset_protectivedevicetrippingunittypeelectromagnetic.htm" TargetMode="External"/><Relationship Id="rId1846" Type="http://schemas.openxmlformats.org/officeDocument/2006/relationships/hyperlink" Target="https://standards.buildingsmart.org/IFC/RELEASE/IFC4/ADD2_TC1/HTML/schema/ifchvacdomain/pset/pset_spacethermalphistory.htm" TargetMode="External"/><Relationship Id="rId3061" Type="http://schemas.openxmlformats.org/officeDocument/2006/relationships/hyperlink" Target="https://standards.buildingsmart.org/IFC/RELEASE/IFC4/ADD2_TC1/HTML/schema/ifcproductextension/pset/pset_buildingstoreycommon.htm" TargetMode="External"/><Relationship Id="rId1706" Type="http://schemas.openxmlformats.org/officeDocument/2006/relationships/hyperlink" Target="https://standards.buildingsmart.org/IFC/RELEASE/IFC4/ADD2_TC1/HTML/schema/ifchvacdomain/pset/pset_tubebundletypecommon.htm" TargetMode="External"/><Relationship Id="rId1913" Type="http://schemas.openxmlformats.org/officeDocument/2006/relationships/hyperlink" Target="https://standards.buildingsmart.org/IFC/RELEASE/IFC4/ADD2_TC1/HTML/schema/ifcelectricaldomain/pset/pset_electricflowstoragedevicetypecommon.htm" TargetMode="External"/><Relationship Id="rId799" Type="http://schemas.openxmlformats.org/officeDocument/2006/relationships/hyperlink" Target="https://standards.buildingsmart.org/IFC/RELEASE/IFC4/ADD2_TC1/HTML/schema/ifctopologyresource/lexical/ifcpath.htm" TargetMode="External"/><Relationship Id="rId2687" Type="http://schemas.openxmlformats.org/officeDocument/2006/relationships/hyperlink" Target="https://standards.buildingsmart.org/IFC/RELEASE/IFC4/ADD2_TC1/HTML/schema/ifcstructuralelementsdomain/pset/pset_reinforcementbarpitchofslab.htm" TargetMode="External"/><Relationship Id="rId2894" Type="http://schemas.openxmlformats.org/officeDocument/2006/relationships/hyperlink" Target="https://standards.buildingsmart.org/IFC/RELEASE/IFC4/ADD2_TC1/HTML/schema/ifcmaterialresource/pset/pset_materialwoodbasedbeam.htm" TargetMode="External"/><Relationship Id="rId3738" Type="http://schemas.openxmlformats.org/officeDocument/2006/relationships/hyperlink" Target="https://standards.buildingsmart.org/IFC/RELEASE/IFC4/ADD2_TC1/HTML/schema/ifcbuildingcontrolsdomain/pset/pset_actuatortypeelectricactuator.htm" TargetMode="External"/><Relationship Id="rId659" Type="http://schemas.openxmlformats.org/officeDocument/2006/relationships/hyperlink" Target="https://standards.buildingsmart.org/IFC/RELEASE/IFC4/ADD2_TC1/HTML/schema/ifcproductextension/lexical/ifcfeatureelementsubtraction.htm" TargetMode="External"/><Relationship Id="rId866" Type="http://schemas.openxmlformats.org/officeDocument/2006/relationships/hyperlink" Target="https://standards.buildingsmart.org/IFC/RELEASE/IFC4/ADD2_TC1/HTML/schema/ifckernel/lexical/ifcpropertysettemplate.htm" TargetMode="External"/><Relationship Id="rId1289" Type="http://schemas.openxmlformats.org/officeDocument/2006/relationships/hyperlink" Target="https://standards.buildingsmart.org/IFC/RELEASE/IFC4/ADD2_TC1/HTML/schema/ifcgeometricmodelresource/lexical/ifcpointlistdim.htm" TargetMode="External"/><Relationship Id="rId1496" Type="http://schemas.openxmlformats.org/officeDocument/2006/relationships/hyperlink" Target="https://standards.buildingsmart.org/IFC/RELEASE/IFC4/ADD2_TC1/HTML/schema/ifcelectricaldomain/pset/pset_protectivedevicetrippingfunctionlcurve.htm" TargetMode="External"/><Relationship Id="rId2547" Type="http://schemas.openxmlformats.org/officeDocument/2006/relationships/hyperlink" Target="https://standards.buildingsmart.org/IFC/RELEASE/IFC4/ADD2_TC1/HTML/schema/ifcproductextension/pset/pset_buildingstoreycommon.htm" TargetMode="External"/><Relationship Id="rId519" Type="http://schemas.openxmlformats.org/officeDocument/2006/relationships/hyperlink" Target="https://standards.buildingsmart.org/IFC/RELEASE/IFC4/ADD2_TC1/HTML/schema/ifcconstructionmgmtdomain/lexical/ifcconstructionequipmentresource.htm" TargetMode="External"/><Relationship Id="rId1149" Type="http://schemas.openxmlformats.org/officeDocument/2006/relationships/hyperlink" Target="https://standards.buildingsmart.org/IFC/RELEASE/IFC4/ADD2_TC1/HTML/schema/ifcsharedbldgelements/lexical/ifcwall.htm" TargetMode="External"/><Relationship Id="rId1356" Type="http://schemas.openxmlformats.org/officeDocument/2006/relationships/hyperlink" Target="https://standards.buildingsmart.org/IFC/RELEASE/IFC4/ADD2_TC1/HTML/schema/ifcsharedbldgelements/pset/pset_buildingelementproxyprovisionforvoid.htm" TargetMode="External"/><Relationship Id="rId2754" Type="http://schemas.openxmlformats.org/officeDocument/2006/relationships/hyperlink" Target="https://standards.buildingsmart.org/IFC/RELEASE/IFC4/ADD2_TC1/HTML/schema/ifcproductextension/pset/pset_landregistration.htm" TargetMode="External"/><Relationship Id="rId2961" Type="http://schemas.openxmlformats.org/officeDocument/2006/relationships/hyperlink" Target="https://standards.buildingsmart.org/IFC/RELEASE/IFC4/ADD2_TC1/HTML/schema/ifcplumbingfireprotectiondomain/pset/pset_firesuppressionterminaltypehosereel.htm" TargetMode="External"/><Relationship Id="rId726" Type="http://schemas.openxmlformats.org/officeDocument/2006/relationships/hyperlink" Target="https://standards.buildingsmart.org/IFC/RELEASE/IFC4/ADD2_TC1/HTML/schema/ifcdatetimeresource/lexical/ifclagtime.htm" TargetMode="External"/><Relationship Id="rId933" Type="http://schemas.openxmlformats.org/officeDocument/2006/relationships/hyperlink" Target="https://standards.buildingsmart.org/IFC/RELEASE/IFC4/ADD2_TC1/HTML/schema/ifcproductextension/lexical/ifcrelconnectswithrealizingelements.htm" TargetMode="External"/><Relationship Id="rId1009" Type="http://schemas.openxmlformats.org/officeDocument/2006/relationships/hyperlink" Target="https://standards.buildingsmart.org/IFC/RELEASE/IFC4/ADD2_TC1/HTML/schema/ifcproductextension/lexical/ifcspatialzone.htm" TargetMode="External"/><Relationship Id="rId1563" Type="http://schemas.openxmlformats.org/officeDocument/2006/relationships/hyperlink" Target="https://standards.buildingsmart.org/IFC/RELEASE/IFC4/ADD2_TC1/HTML/schema/ifcstructuralelementsdomain/pset/pset_precastslab.htm" TargetMode="External"/><Relationship Id="rId1770" Type="http://schemas.openxmlformats.org/officeDocument/2006/relationships/hyperlink" Target="https://standards.buildingsmart.org/IFC/RELEASE/IFC4/ADD2_TC1/HTML/schema/ifcsharedbldgelements/pset/pset_curtainwallcommon.htm" TargetMode="External"/><Relationship Id="rId2407" Type="http://schemas.openxmlformats.org/officeDocument/2006/relationships/hyperlink" Target="https://standards.buildingsmart.org/IFC/RELEASE/IFC4/ADD2_TC1/HTML/schema/ifcelectricaldomain/pset/pset_switchingdevicetypecommon.htm" TargetMode="External"/><Relationship Id="rId2614" Type="http://schemas.openxmlformats.org/officeDocument/2006/relationships/hyperlink" Target="https://standards.buildingsmart.org/IFC/RELEASE/IFC4/ADD2_TC1/HTML/schema/ifcsharedbldgelements/pset/pset_doorcommon.htm" TargetMode="External"/><Relationship Id="rId2821" Type="http://schemas.openxmlformats.org/officeDocument/2006/relationships/hyperlink" Target="https://standards.buildingsmart.org/IFC/RELEASE/IFC4/ADD2_TC1/HTML/schema/ifcelectricaldomain/pset/pset_electricmotortypecommon.htm" TargetMode="External"/><Relationship Id="rId62" Type="http://schemas.openxmlformats.org/officeDocument/2006/relationships/hyperlink" Target="https://standards.buildingsmart.org/IFC/RELEASE/IFC4/ADD2_TC1/HTML/schema/ifcmeasureresource/lexical/ifcmodulusofrotationalsubgradereactionmeasure.htm" TargetMode="External"/><Relationship Id="rId1216" Type="http://schemas.openxmlformats.org/officeDocument/2006/relationships/hyperlink" Target="https://standards.buildingsmart.org/IFC/RELEASE/IFC4/ADD2_TC1/HTML/schema/ifchvacdomain/qset/qto_flowmeterbasequantities.htm" TargetMode="External"/><Relationship Id="rId1423" Type="http://schemas.openxmlformats.org/officeDocument/2006/relationships/hyperlink" Target="https://standards.buildingsmart.org/IFC/RELEASE/IFC4/ADD2_TC1/HTML/schema/ifcelectricaldomain/pset/pset_protectivedevicetypecircuitbreaker.htm" TargetMode="External"/><Relationship Id="rId1630" Type="http://schemas.openxmlformats.org/officeDocument/2006/relationships/hyperlink" Target="https://standards.buildingsmart.org/IFC/RELEASE/IFC4/ADD2_TC1/HTML/schema/ifchvacdomain/pset/pset_pumptypecommon.htm" TargetMode="External"/><Relationship Id="rId3388" Type="http://schemas.openxmlformats.org/officeDocument/2006/relationships/hyperlink" Target="https://standards.buildingsmart.org/IFC/RELEASE/IFC4/ADD2_TC1/HTML/schema/ifcsharedcomponentelements/pset/pset_elementcomponentcommon.htm" TargetMode="External"/><Relationship Id="rId3595" Type="http://schemas.openxmlformats.org/officeDocument/2006/relationships/hyperlink" Target="https://standards.buildingsmart.org/IFC/RELEASE/IFC4/ADD2_TC1/HTML/schema/ifchvacdomain/pset/pset_dampertypecommon.htm" TargetMode="External"/><Relationship Id="rId2197" Type="http://schemas.openxmlformats.org/officeDocument/2006/relationships/hyperlink" Target="https://standards.buildingsmart.org/IFC/RELEASE/IFC4/ADD2_TC1/HTML/schema/ifcelectricaldomain/pset/pset_audiovisualappliancetypereceiver.htm" TargetMode="External"/><Relationship Id="rId3248" Type="http://schemas.openxmlformats.org/officeDocument/2006/relationships/hyperlink" Target="https://standards.buildingsmart.org/IFC/RELEASE/IFC4/ADD2_TC1/HTML/schema/ifchvacdomain/pset/pset_fantypecommon.htm" TargetMode="External"/><Relationship Id="rId3455" Type="http://schemas.openxmlformats.org/officeDocument/2006/relationships/hyperlink" Target="https://standards.buildingsmart.org/IFC/RELEASE/IFC4/ADD2_TC1/HTML/schema/ifcsharedfacilitieselements/pset/pset_propertyagreement.htm" TargetMode="External"/><Relationship Id="rId3662" Type="http://schemas.openxmlformats.org/officeDocument/2006/relationships/hyperlink" Target="https://standards.buildingsmart.org/IFC/RELEASE/IFC4/ADD2_TC1/HTML/schema/ifcsharedfacilitieselements/pset/pset_manufacturertypeinformation.htm" TargetMode="External"/><Relationship Id="rId169" Type="http://schemas.openxmlformats.org/officeDocument/2006/relationships/hyperlink" Target="https://standards.buildingsmart.org/IFC/RELEASE/IFC4/ADD2_TC1/HTML/schema/ifcconstructionmgmtdomain/lexical/ifcconstructionproductresourcetypeenum.htm" TargetMode="External"/><Relationship Id="rId376" Type="http://schemas.openxmlformats.org/officeDocument/2006/relationships/hyperlink" Target="https://standards.buildingsmart.org/IFC/RELEASE/IFC4/ADD2_TC1/HTML/schema/ifcgeometryresource/lexical/ifcsegmentindexselect.htm" TargetMode="External"/><Relationship Id="rId583" Type="http://schemas.openxmlformats.org/officeDocument/2006/relationships/hyperlink" Target="https://standards.buildingsmart.org/IFC/RELEASE/IFC4/ADD2_TC1/HTML/schema/ifcexternalreferenceresource/lexical/ifcdocumentreference.htm" TargetMode="External"/><Relationship Id="rId790" Type="http://schemas.openxmlformats.org/officeDocument/2006/relationships/hyperlink" Target="https://standards.buildingsmart.org/IFC/RELEASE/IFC4/ADD2_TC1/HTML/schema/ifctopologyresource/lexical/ifcopenshell.htm" TargetMode="External"/><Relationship Id="rId2057" Type="http://schemas.openxmlformats.org/officeDocument/2006/relationships/hyperlink" Target="https://standards.buildingsmart.org/IFC/RELEASE/IFC4/ADD2_TC1/HTML/schema/ifcelectricaldomain/pset/pset_protectivedevicetrippingfunctionscurve.htm" TargetMode="External"/><Relationship Id="rId2264" Type="http://schemas.openxmlformats.org/officeDocument/2006/relationships/hyperlink" Target="https://standards.buildingsmart.org/IFC/RELEASE/IFC4/ADD2_TC1/HTML/schema/ifchvacdomain/pset/pset_damperphistory.htm" TargetMode="External"/><Relationship Id="rId2471" Type="http://schemas.openxmlformats.org/officeDocument/2006/relationships/hyperlink" Target="https://standards.buildingsmart.org/IFC/RELEASE/IFC4/ADD2_TC1/HTML/schema/ifcsharedfacilitieselements/pset/pset_furnituretypecommon.htm" TargetMode="External"/><Relationship Id="rId3108" Type="http://schemas.openxmlformats.org/officeDocument/2006/relationships/hyperlink" Target="https://standards.buildingsmart.org/IFC/RELEASE/IFC4/ADD2_TC1/HTML/schema/ifchvacdomain/pset/pset_ductsegmentphistory.htm" TargetMode="External"/><Relationship Id="rId3315" Type="http://schemas.openxmlformats.org/officeDocument/2006/relationships/hyperlink" Target="https://standards.buildingsmart.org/IFC/RELEASE/IFC4/ADD2_TC1/HTML/schema/ifcsharedbldgelements/pset/pset_railingcommon.htm" TargetMode="External"/><Relationship Id="rId3522" Type="http://schemas.openxmlformats.org/officeDocument/2006/relationships/hyperlink" Target="https://standards.buildingsmart.org/IFC/RELEASE/IFC4/ADD2_TC1/HTML/schema/ifchvacdomain/pset/pset_dampertypecommon.htm" TargetMode="External"/><Relationship Id="rId236" Type="http://schemas.openxmlformats.org/officeDocument/2006/relationships/hyperlink" Target="https://standards.buildingsmart.org/IFC/RELEASE/IFC4/ADD2_TC1/HTML/schema/ifcpresentationorganizationresource/lexical/ifclightemissionsourceenum.htm" TargetMode="External"/><Relationship Id="rId443" Type="http://schemas.openxmlformats.org/officeDocument/2006/relationships/hyperlink" Target="https://standards.buildingsmart.org/IFC/RELEASE/IFC4/ADD2_TC1/HTML/schema/ifcgeometryresource/lexical/ifcboundedcurve.htm" TargetMode="External"/><Relationship Id="rId650" Type="http://schemas.openxmlformats.org/officeDocument/2006/relationships/hyperlink" Target="https://standards.buildingsmart.org/IFC/RELEASE/IFC4/ADD2_TC1/HTML/schema/ifcgeometricmodelresource/lexical/ifcfacetedbrep.htm" TargetMode="External"/><Relationship Id="rId1073" Type="http://schemas.openxmlformats.org/officeDocument/2006/relationships/hyperlink" Target="https://standards.buildingsmart.org/IFC/RELEASE/IFC4/ADD2_TC1/HTML/schema/ifcpresentationappearanceresource/lexical/ifcsurfacestyleshading.htm" TargetMode="External"/><Relationship Id="rId1280" Type="http://schemas.openxmlformats.org/officeDocument/2006/relationships/hyperlink" Target="https://standards.buildingsmart.org/IFC/RELEASE/IFC4/ADD2_TC1/HTML/schema/ifcgeometryresource/lexical/ifcfirstprojaxis.htm" TargetMode="External"/><Relationship Id="rId2124" Type="http://schemas.openxmlformats.org/officeDocument/2006/relationships/hyperlink" Target="https://standards.buildingsmart.org/IFC/RELEASE/IFC4/ADD2_TC1/HTML/schema/ifcelectricaldomain/pset/pset_protectivedevicetypecommon.htm" TargetMode="External"/><Relationship Id="rId2331" Type="http://schemas.openxmlformats.org/officeDocument/2006/relationships/hyperlink" Target="https://standards.buildingsmart.org/IFC/RELEASE/IFC4/ADD2_TC1/HTML/schema/ifcplumbingfireprotectiondomain/pset/pset_sanitaryterminaltypetoiletpan.htm" TargetMode="External"/><Relationship Id="rId303" Type="http://schemas.openxmlformats.org/officeDocument/2006/relationships/hyperlink" Target="https://standards.buildingsmart.org/IFC/RELEASE/IFC4/ADD2_TC1/HTML/schema/ifcpresentationappearanceresource/lexical/ifcsurfaceside.htm" TargetMode="External"/><Relationship Id="rId1140" Type="http://schemas.openxmlformats.org/officeDocument/2006/relationships/hyperlink" Target="https://standards.buildingsmart.org/IFC/RELEASE/IFC4/ADD2_TC1/HTML/schema/ifcgeometryresource/lexical/ifcvector.htm" TargetMode="External"/><Relationship Id="rId510" Type="http://schemas.openxmlformats.org/officeDocument/2006/relationships/hyperlink" Target="https://standards.buildingsmart.org/IFC/RELEASE/IFC4/ADD2_TC1/HTML/schema/ifcgeometryresource/lexical/ifcconic.htm" TargetMode="External"/><Relationship Id="rId1000" Type="http://schemas.openxmlformats.org/officeDocument/2006/relationships/hyperlink" Target="https://standards.buildingsmart.org/IFC/RELEASE/IFC4/ADD2_TC1/HTML/schema/ifcgeometricmodelresource/lexical/ifcsolidmodel.htm" TargetMode="External"/><Relationship Id="rId1957" Type="http://schemas.openxmlformats.org/officeDocument/2006/relationships/hyperlink" Target="https://standards.buildingsmart.org/IFC/RELEASE/IFC4/ADD2_TC1/HTML/schema/ifcbuildingcontrolsdomain/pset/pset_sensortypesmokesensor.htm" TargetMode="External"/><Relationship Id="rId1817" Type="http://schemas.openxmlformats.org/officeDocument/2006/relationships/hyperlink" Target="https://standards.buildingsmart.org/IFC/RELEASE/IFC4/ADD2_TC1/HTML/schema/ifchvacdomain/pset/pset_coolingtowertypecommon.htm" TargetMode="External"/><Relationship Id="rId3172" Type="http://schemas.openxmlformats.org/officeDocument/2006/relationships/hyperlink" Target="https://standards.buildingsmart.org/IFC/RELEASE/IFC4/ADD2_TC1/HTML/schema/ifcproductextension/pset/pset_spacefiresafetyrequirements.htm" TargetMode="External"/><Relationship Id="rId3032" Type="http://schemas.openxmlformats.org/officeDocument/2006/relationships/hyperlink" Target="https://standards.buildingsmart.org/IFC/RELEASE/IFC4/ADD2_TC1/HTML/schema/ifchvacdomain/pset/pset_ductsilencertypecommon.htm" TargetMode="External"/><Relationship Id="rId160" Type="http://schemas.openxmlformats.org/officeDocument/2006/relationships/hyperlink" Target="https://standards.buildingsmart.org/IFC/RELEASE/IFC4/ADD2_TC1/HTML/schema/ifchvacdomain/lexical/ifccoiltypeenum.htm" TargetMode="External"/><Relationship Id="rId2798" Type="http://schemas.openxmlformats.org/officeDocument/2006/relationships/hyperlink" Target="https://standards.buildingsmart.org/IFC/RELEASE/IFC4/ADD2_TC1/HTML/schema/ifcelectricaldomain/pset/pset_outlettypecommon.htm" TargetMode="External"/><Relationship Id="rId977" Type="http://schemas.openxmlformats.org/officeDocument/2006/relationships/hyperlink" Target="https://standards.buildingsmart.org/IFC/RELEASE/IFC4/ADD2_TC1/HTML/schema/ifcgeometryresource/lexical/ifcseamcurve.htm" TargetMode="External"/><Relationship Id="rId2658" Type="http://schemas.openxmlformats.org/officeDocument/2006/relationships/hyperlink" Target="https://standards.buildingsmart.org/IFC/RELEASE/IFC4/ADD2_TC1/HTML/schema/ifcstructuralelementsdomain/pset/pset_precastconcreteelementgeneral.htm" TargetMode="External"/><Relationship Id="rId2865" Type="http://schemas.openxmlformats.org/officeDocument/2006/relationships/hyperlink" Target="https://standards.buildingsmart.org/IFC/RELEASE/IFC4/ADD2_TC1/HTML/schema/ifchvacdomain/pset/pset_evaporatortypecommon.htm" TargetMode="External"/><Relationship Id="rId3709" Type="http://schemas.openxmlformats.org/officeDocument/2006/relationships/hyperlink" Target="https://standards.buildingsmart.org/IFC/RELEASE/IFC4/ADD2_TC1/HTML/schema/ifchvacdomain/pset/pset_coiltypecommon.htm" TargetMode="External"/><Relationship Id="rId837" Type="http://schemas.openxmlformats.org/officeDocument/2006/relationships/hyperlink" Target="https://standards.buildingsmart.org/IFC/RELEASE/IFC4/ADD2_TC1/HTML/schema/ifcpresentationdefinitionresource/lexical/ifcpresentationitem.htm" TargetMode="External"/><Relationship Id="rId1467" Type="http://schemas.openxmlformats.org/officeDocument/2006/relationships/hyperlink" Target="https://standards.buildingsmart.org/IFC/RELEASE/IFC4/ADD2_TC1/HTML/schema/ifcsharedbldgserviceelements/pset/pset_airsidesysteminformation.htm" TargetMode="External"/><Relationship Id="rId1674" Type="http://schemas.openxmlformats.org/officeDocument/2006/relationships/hyperlink" Target="https://standards.buildingsmart.org/IFC/RELEASE/IFC4/ADD2_TC1/HTML/schema/ifchvacdomain/pset/pset_cooledbeamtypeactive.htm" TargetMode="External"/><Relationship Id="rId1881" Type="http://schemas.openxmlformats.org/officeDocument/2006/relationships/hyperlink" Target="https://standards.buildingsmart.org/IFC/RELEASE/IFC4/ADD2_TC1/HTML/schema/ifcsharedbldgelements/pset/pset_membercommon.htm" TargetMode="External"/><Relationship Id="rId2518" Type="http://schemas.openxmlformats.org/officeDocument/2006/relationships/hyperlink" Target="https://standards.buildingsmart.org/IFC/RELEASE/IFC4/ADD2_TC1/HTML/schema/ifchvacdomain/pset/pset_filtertypeairparticlefilter.htm" TargetMode="External"/><Relationship Id="rId2725" Type="http://schemas.openxmlformats.org/officeDocument/2006/relationships/hyperlink" Target="https://standards.buildingsmart.org/IFC/RELEASE/IFC4/ADD2_TC1/HTML/schema/ifcsharedbldgserviceelements/pset/pset_spacethermalload.htm" TargetMode="External"/><Relationship Id="rId2932" Type="http://schemas.openxmlformats.org/officeDocument/2006/relationships/hyperlink" Target="https://standards.buildingsmart.org/IFC/RELEASE/IFC4/ADD2_TC1/HTML/schema/ifchvacdomain/pset/pset_compressortypecommon.htm" TargetMode="External"/><Relationship Id="rId904" Type="http://schemas.openxmlformats.org/officeDocument/2006/relationships/hyperlink" Target="https://standards.buildingsmart.org/IFC/RELEASE/IFC4/ADD2_TC1/HTML/schema/ifcstructuralelementsdomain/lexical/ifcreinforcingelement.htm" TargetMode="External"/><Relationship Id="rId1327" Type="http://schemas.openxmlformats.org/officeDocument/2006/relationships/hyperlink" Target="https://standards.buildingsmart.org/IFC/RELEASE/IFC4/ADD2_TC1/HTML/schema/ifcsharedmgmtelements/pset/pset_projectordermaintenanceworkorder.htm" TargetMode="External"/><Relationship Id="rId1534" Type="http://schemas.openxmlformats.org/officeDocument/2006/relationships/hyperlink" Target="https://standards.buildingsmart.org/IFC/RELEASE/IFC4/ADD2_TC1/HTML/schema/ifcelectricaldomain/pset/pset_transformertypecommon.htm" TargetMode="External"/><Relationship Id="rId1741" Type="http://schemas.openxmlformats.org/officeDocument/2006/relationships/hyperlink" Target="https://standards.buildingsmart.org/IFC/RELEASE/IFC4/ADD2_TC1/HTML/schema/ifcelectricaldomain/pset/pset_lamptypecommon.htm" TargetMode="External"/><Relationship Id="rId33" Type="http://schemas.openxmlformats.org/officeDocument/2006/relationships/hyperlink" Target="https://standards.buildingsmart.org/IFC/RELEASE/IFC4/ADD2_TC1/HTML/schema/ifcmeasureresource/lexical/ifcsectionmodulusmeasure.htm" TargetMode="External"/><Relationship Id="rId1601" Type="http://schemas.openxmlformats.org/officeDocument/2006/relationships/hyperlink" Target="https://standards.buildingsmart.org/IFC/RELEASE/IFC4/ADD2_TC1/HTML/schema/ifcsharedbldgelements/pset/pset_membercommon.htm" TargetMode="External"/><Relationship Id="rId3499" Type="http://schemas.openxmlformats.org/officeDocument/2006/relationships/hyperlink" Target="https://standards.buildingsmart.org/IFC/RELEASE/IFC4/ADD2_TC1/HTML/schema/ifcsharedbldgserviceelements/pset/pset_distributionportcommon.htm" TargetMode="External"/><Relationship Id="rId3359" Type="http://schemas.openxmlformats.org/officeDocument/2006/relationships/hyperlink" Target="https://standards.buildingsmart.org/IFC/RELEASE/IFC4/ADD2_TC1/HTML/schema/ifcsharedbldgserviceelements/pset/pset_distributionporttypecable.htm" TargetMode="External"/><Relationship Id="rId3566" Type="http://schemas.openxmlformats.org/officeDocument/2006/relationships/hyperlink" Target="https://standards.buildingsmart.org/IFC/RELEASE/IFC4/ADD2_TC1/HTML/schema/ifchvacdomain/pset/pset_chillertypecommon.htm" TargetMode="External"/><Relationship Id="rId487" Type="http://schemas.openxmlformats.org/officeDocument/2006/relationships/hyperlink" Target="https://standards.buildingsmart.org/IFC/RELEASE/IFC4/ADD2_TC1/HTML/schema/ifcproductextension/lexical/ifccivilelement.htm" TargetMode="External"/><Relationship Id="rId694" Type="http://schemas.openxmlformats.org/officeDocument/2006/relationships/hyperlink" Target="https://standards.buildingsmart.org/IFC/RELEASE/IFC4/ADD2_TC1/HTML/schema/ifcgeometricmodelresource/lexical/ifcgeometriccurveset.htm" TargetMode="External"/><Relationship Id="rId2168" Type="http://schemas.openxmlformats.org/officeDocument/2006/relationships/hyperlink" Target="https://standards.buildingsmart.org/IFC/RELEASE/IFC4/ADD2_TC1/HTML/schema/ifchvacdomain/pset/pset_cooledbeamtypecommon.htm" TargetMode="External"/><Relationship Id="rId2375" Type="http://schemas.openxmlformats.org/officeDocument/2006/relationships/hyperlink" Target="https://standards.buildingsmart.org/IFC/RELEASE/IFC4/ADD2_TC1/HTML/schema/ifchvacdomain/pset/pset_fantypecommon.htm" TargetMode="External"/><Relationship Id="rId3219" Type="http://schemas.openxmlformats.org/officeDocument/2006/relationships/hyperlink" Target="https://standards.buildingsmart.org/IFC/RELEASE/IFC4/ADD2_TC1/HTML/schema/ifcproductextension/pset/pset_environmentalimpactindicators.htm" TargetMode="External"/><Relationship Id="rId3773" Type="http://schemas.openxmlformats.org/officeDocument/2006/relationships/hyperlink" Target="https://standards.buildingsmart.org/IFC/RELEASE/IFC4/ADD2_TC1/HTML/schema/ifcsharedbldgserviceelements/pset/pset_distributionchamberelementtypemanhole.htm" TargetMode="External"/><Relationship Id="rId347" Type="http://schemas.openxmlformats.org/officeDocument/2006/relationships/hyperlink" Target="https://standards.buildingsmart.org/IFC/RELEASE/IFC4/ADD2_TC1/HTML/schema/ifcgeometryresource/lexical/ifccurveonsurface.htm" TargetMode="External"/><Relationship Id="rId1184" Type="http://schemas.openxmlformats.org/officeDocument/2006/relationships/hyperlink" Target="https://standards.buildingsmart.org/IFC/RELEASE/IFC4/ADD2_TC1/HTML/schema/ifchvacdomain/qset/qto_chillerbasequantities.htm" TargetMode="External"/><Relationship Id="rId2028" Type="http://schemas.openxmlformats.org/officeDocument/2006/relationships/hyperlink" Target="https://standards.buildingsmart.org/IFC/RELEASE/IFC4/ADD2_TC1/HTML/schema/ifcsharedfacilitieselements/pset/pset_propertyagreement.htm" TargetMode="External"/><Relationship Id="rId2582" Type="http://schemas.openxmlformats.org/officeDocument/2006/relationships/hyperlink" Target="https://standards.buildingsmart.org/IFC/RELEASE/IFC4/ADD2_TC1/HTML/schema/ifcelectricaldomain/pset/pset_switchingdevicetypemomentaryswitch.htm" TargetMode="External"/><Relationship Id="rId3426" Type="http://schemas.openxmlformats.org/officeDocument/2006/relationships/hyperlink" Target="https://standards.buildingsmart.org/IFC/RELEASE/IFC4/ADD2_TC1/HTML/schema/ifcelectricaldomain/pset/pset_lamptypecommon.htm" TargetMode="External"/><Relationship Id="rId3633" Type="http://schemas.openxmlformats.org/officeDocument/2006/relationships/hyperlink" Target="https://standards.buildingsmart.org/IFC/RELEASE/IFC4/ADD2_TC1/HTML/schema/ifchvacdomain/pset/pset_boilerphistory.htm" TargetMode="External"/><Relationship Id="rId554" Type="http://schemas.openxmlformats.org/officeDocument/2006/relationships/hyperlink" Target="https://standards.buildingsmart.org/IFC/RELEASE/IFC4/ADD2_TC1/HTML/schema/ifcgeometryresource/lexical/ifccurveboundedplane.htm" TargetMode="External"/><Relationship Id="rId761" Type="http://schemas.openxmlformats.org/officeDocument/2006/relationships/hyperlink" Target="https://standards.buildingsmart.org/IFC/RELEASE/IFC4/ADD2_TC1/HTML/schema/ifcmaterialresource/lexical/ifcmaterialprofilesetusage.htm" TargetMode="External"/><Relationship Id="rId1391" Type="http://schemas.openxmlformats.org/officeDocument/2006/relationships/hyperlink" Target="https://standards.buildingsmart.org/IFC/RELEASE/IFC4/ADD2_TC1/HTML/schema/ifcsharedbldgserviceelements/pset/pset_utilityconsumptionphistory.htm" TargetMode="External"/><Relationship Id="rId2235" Type="http://schemas.openxmlformats.org/officeDocument/2006/relationships/hyperlink" Target="https://standards.buildingsmart.org/IFC/RELEASE/IFC4/ADD2_TC1/HTML/schema/ifcelectricaldomain/pset/pset_audiovisualappliancetypeprojector.htm" TargetMode="External"/><Relationship Id="rId2442" Type="http://schemas.openxmlformats.org/officeDocument/2006/relationships/hyperlink" Target="https://standards.buildingsmart.org/IFC/RELEASE/IFC4/ADD2_TC1/HTML/schema/ifcsharedbldgserviceelements/pset/pset_distributionporttypeduct.htm" TargetMode="External"/><Relationship Id="rId3700" Type="http://schemas.openxmlformats.org/officeDocument/2006/relationships/hyperlink" Target="https://standards.buildingsmart.org/IFC/RELEASE/IFC4/ADD2_TC1/HTML/schema/ifchvacdomain/pset/pset_filtertypeairparticlefilter.htm" TargetMode="External"/><Relationship Id="rId207" Type="http://schemas.openxmlformats.org/officeDocument/2006/relationships/hyperlink" Target="https://standards.buildingsmart.org/IFC/RELEASE/IFC4/ADD2_TC1/HTML/schema/ifchvacdomain/lexical/ifcevaporativecoolertypeenum.htm" TargetMode="External"/><Relationship Id="rId414" Type="http://schemas.openxmlformats.org/officeDocument/2006/relationships/hyperlink" Target="https://standards.buildingsmart.org/IFC/RELEASE/IFC4/ADD2_TC1/HTML/schema/ifcutilityresource/lexical/ifcapplication.htm" TargetMode="External"/><Relationship Id="rId621" Type="http://schemas.openxmlformats.org/officeDocument/2006/relationships/hyperlink" Target="https://standards.buildingsmart.org/IFC/RELEASE/IFC4/ADD2_TC1/HTML/schema/ifcgeometryresource/lexical/ifcellipse.htm" TargetMode="External"/><Relationship Id="rId1044" Type="http://schemas.openxmlformats.org/officeDocument/2006/relationships/hyperlink" Target="https://standards.buildingsmart.org/IFC/RELEASE/IFC4/ADD2_TC1/HTML/schema/ifcstructuralanalysisdomain/lexical/ifcstructuralmember.htm" TargetMode="External"/><Relationship Id="rId1251" Type="http://schemas.openxmlformats.org/officeDocument/2006/relationships/hyperlink" Target="https://standards.buildingsmart.org/IFC/RELEASE/IFC4/ADD2_TC1/HTML/schema/ifchvacdomain/qset/qto_tankbasequantities.htm" TargetMode="External"/><Relationship Id="rId2302" Type="http://schemas.openxmlformats.org/officeDocument/2006/relationships/hyperlink" Target="https://standards.buildingsmart.org/IFC/RELEASE/IFC4/ADD2_TC1/HTML/schema/ifcelectricaldomain/pset/pset_junctionboxtypecommon.htm" TargetMode="External"/><Relationship Id="rId1111" Type="http://schemas.openxmlformats.org/officeDocument/2006/relationships/hyperlink" Target="https://standards.buildingsmart.org/IFC/RELEASE/IFC4/ADD2_TC1/HTML/schema/ifcpresentationappearanceresource/lexical/ifctexturevertexlist.htm" TargetMode="External"/><Relationship Id="rId3076" Type="http://schemas.openxmlformats.org/officeDocument/2006/relationships/hyperlink" Target="https://standards.buildingsmart.org/IFC/RELEASE/IFC4/ADD2_TC1/HTML/schema/ifchvacdomain/pset/pset_dampertypefiredamper.htm" TargetMode="External"/><Relationship Id="rId3283" Type="http://schemas.openxmlformats.org/officeDocument/2006/relationships/hyperlink" Target="https://standards.buildingsmart.org/IFC/RELEASE/IFC4/ADD2_TC1/HTML/schema/ifcplumbingfireprotectiondomain/pset/pset_sanitaryterminaltypesanitaryfountain.htm" TargetMode="External"/><Relationship Id="rId3490" Type="http://schemas.openxmlformats.org/officeDocument/2006/relationships/hyperlink" Target="https://standards.buildingsmart.org/IFC/RELEASE/IFC4/ADD2_TC1/HTML/schema/ifcsharedbldgelements/pset/pset_coveringcommon.htm" TargetMode="External"/><Relationship Id="rId1928" Type="http://schemas.openxmlformats.org/officeDocument/2006/relationships/hyperlink" Target="https://standards.buildingsmart.org/IFC/RELEASE/IFC4/ADD2_TC1/HTML/schema/ifcelectricaldomain/pset/pset_junctionboxtypecommon.htm" TargetMode="External"/><Relationship Id="rId2092" Type="http://schemas.openxmlformats.org/officeDocument/2006/relationships/hyperlink" Target="https://standards.buildingsmart.org/IFC/RELEASE/IFC4/ADD2_TC1/HTML/schema/ifcsharedbldgelements/pset/pset_windowcommon.htm" TargetMode="External"/><Relationship Id="rId3143" Type="http://schemas.openxmlformats.org/officeDocument/2006/relationships/hyperlink" Target="https://standards.buildingsmart.org/IFC/RELEASE/IFC4/ADD2_TC1/HTML/schema/ifchvacdomain/pset/pset_pipefittingtypecommon.htm" TargetMode="External"/><Relationship Id="rId3350" Type="http://schemas.openxmlformats.org/officeDocument/2006/relationships/hyperlink" Target="https://standards.buildingsmart.org/IFC/RELEASE/IFC4/ADD2_TC1/HTML/schema/ifcelectricaldomain/pset/pset_protectivedevicetrippingfunctionicurve.htm" TargetMode="External"/><Relationship Id="rId271" Type="http://schemas.openxmlformats.org/officeDocument/2006/relationships/hyperlink" Target="https://standards.buildingsmart.org/IFC/RELEASE/IFC4/ADD2_TC1/HTML/schema/ifcsharedbldgelements/lexical/ifcramptypeenum.htm" TargetMode="External"/><Relationship Id="rId3003" Type="http://schemas.openxmlformats.org/officeDocument/2006/relationships/hyperlink" Target="https://standards.buildingsmart.org/IFC/RELEASE/IFC4/ADD2_TC1/HTML/schema/ifcplumbingfireprotectiondomain/pset/pset_sanitaryterminaltypeshower.htm" TargetMode="External"/><Relationship Id="rId131" Type="http://schemas.openxmlformats.org/officeDocument/2006/relationships/hyperlink" Target="https://standards.buildingsmart.org/IFC/RELEASE/IFC4/ADD2_TC1/HTML/schema/ifcstructuralanalysisdomain/lexical/ifcactiontypeenum.htm" TargetMode="External"/><Relationship Id="rId3210" Type="http://schemas.openxmlformats.org/officeDocument/2006/relationships/hyperlink" Target="https://standards.buildingsmart.org/IFC/RELEASE/IFC4/ADD2_TC1/HTML/schema/ifcsharedbldgserviceelements/pset/pset_spacethermaldesign.htm" TargetMode="External"/><Relationship Id="rId2769" Type="http://schemas.openxmlformats.org/officeDocument/2006/relationships/hyperlink" Target="https://standards.buildingsmart.org/IFC/RELEASE/IFC4/ADD2_TC1/HTML/schema/ifcbuildingcontrolsdomain/pset/pset_controllertypetwoposition.htm" TargetMode="External"/><Relationship Id="rId2976" Type="http://schemas.openxmlformats.org/officeDocument/2006/relationships/hyperlink" Target="https://standards.buildingsmart.org/IFC/RELEASE/IFC4/ADD2_TC1/HTML/schema/ifchvacdomain/pset/pset_coolingtowerphistory.htm" TargetMode="External"/><Relationship Id="rId948" Type="http://schemas.openxmlformats.org/officeDocument/2006/relationships/hyperlink" Target="https://standards.buildingsmart.org/IFC/RELEASE/IFC4/ADD2_TC1/HTML/schema/ifcproductextension/lexical/ifcrelprojectselement.htm" TargetMode="External"/><Relationship Id="rId1578" Type="http://schemas.openxmlformats.org/officeDocument/2006/relationships/hyperlink" Target="https://standards.buildingsmart.org/IFC/RELEASE/IFC4/ADD2_TC1/HTML/schema/ifcelectricaldomain/pset/pset_audiovisualappliancetypecamera.htm" TargetMode="External"/><Relationship Id="rId1785" Type="http://schemas.openxmlformats.org/officeDocument/2006/relationships/hyperlink" Target="https://standards.buildingsmart.org/IFC/RELEASE/IFC4/ADD2_TC1/HTML/schema/ifcelectricaldomain/pset/pset_cablecarriersegmenttypecommon.htm" TargetMode="External"/><Relationship Id="rId1992" Type="http://schemas.openxmlformats.org/officeDocument/2006/relationships/hyperlink" Target="https://standards.buildingsmart.org/IFC/RELEASE/IFC4/ADD2_TC1/HTML/schema/ifchvacdomain/pset/pset_tanktypecommon.htm" TargetMode="External"/><Relationship Id="rId2629" Type="http://schemas.openxmlformats.org/officeDocument/2006/relationships/hyperlink" Target="https://standards.buildingsmart.org/IFC/RELEASE/IFC4/ADD2_TC1/HTML/schema/ifchvacdomain/pset/pset_flowmetertypegasmeter.htm" TargetMode="External"/><Relationship Id="rId2836" Type="http://schemas.openxmlformats.org/officeDocument/2006/relationships/hyperlink" Target="https://standards.buildingsmart.org/IFC/RELEASE/IFC4/ADD2_TC1/HTML/schema/ifcsharedbldgelements/pset/pset_platecommon.htm" TargetMode="External"/><Relationship Id="rId77" Type="http://schemas.openxmlformats.org/officeDocument/2006/relationships/hyperlink" Target="https://standards.buildingsmart.org/IFC/RELEASE/IFC4/ADD2_TC1/HTML/schema/ifcmeasureresource/lexical/ifclinearstiffnessmeasure.htm" TargetMode="External"/><Relationship Id="rId808" Type="http://schemas.openxmlformats.org/officeDocument/2006/relationships/hyperlink" Target="https://standards.buildingsmart.org/IFC/RELEASE/IFC4/ADD2_TC1/HTML/schema/ifcstructuralelementsdomain/lexical/ifcpile.htm" TargetMode="External"/><Relationship Id="rId1438" Type="http://schemas.openxmlformats.org/officeDocument/2006/relationships/hyperlink" Target="https://standards.buildingsmart.org/IFC/RELEASE/IFC4/ADD2_TC1/HTML/schema/ifcsharedbldgelements/pset/pset_doorwindowglazingtype.htm" TargetMode="External"/><Relationship Id="rId1645" Type="http://schemas.openxmlformats.org/officeDocument/2006/relationships/hyperlink" Target="https://standards.buildingsmart.org/IFC/RELEASE/IFC4/ADD2_TC1/HTML/schema/ifcsharedbldgserviceelements/pset/pset_distributionportphistoryduct.htm" TargetMode="External"/><Relationship Id="rId1852" Type="http://schemas.openxmlformats.org/officeDocument/2006/relationships/hyperlink" Target="https://standards.buildingsmart.org/IFC/RELEASE/IFC4/ADD2_TC1/HTML/schema/ifcproductextension/pset/pset_spacethermalrequirements.htm" TargetMode="External"/><Relationship Id="rId2903" Type="http://schemas.openxmlformats.org/officeDocument/2006/relationships/hyperlink" Target="https://standards.buildingsmart.org/IFC/RELEASE/IFC4/ADD2_TC1/HTML/schema/ifcplumbingfireprotectiondomain/pset/pset_wasteterminaltypefloortrap.htm" TargetMode="External"/><Relationship Id="rId1505" Type="http://schemas.openxmlformats.org/officeDocument/2006/relationships/hyperlink" Target="https://standards.buildingsmart.org/IFC/RELEASE/IFC4/ADD2_TC1/HTML/schema/ifcstructuralelementsdomain/pset/pset_precastconcreteelementgeneral.htm" TargetMode="External"/><Relationship Id="rId1712" Type="http://schemas.openxmlformats.org/officeDocument/2006/relationships/hyperlink" Target="https://standards.buildingsmart.org/IFC/RELEASE/IFC4/ADD2_TC1/HTML/schema/ifcelectricaldomain/pset/pset_switchingdevicetypecommon.htm" TargetMode="External"/><Relationship Id="rId3677" Type="http://schemas.openxmlformats.org/officeDocument/2006/relationships/hyperlink" Target="https://standards.buildingsmart.org/IFC/RELEASE/IFC4/ADD2_TC1/HTML/schema/ifcmaterialresource/pset/pset_materialwood.htm" TargetMode="External"/><Relationship Id="rId598" Type="http://schemas.openxmlformats.org/officeDocument/2006/relationships/hyperlink" Target="https://standards.buildingsmart.org/IFC/RELEASE/IFC4/ADD2_TC1/HTML/schema/ifctopologyresource/lexical/ifcedge.htm" TargetMode="External"/><Relationship Id="rId2279" Type="http://schemas.openxmlformats.org/officeDocument/2006/relationships/hyperlink" Target="https://standards.buildingsmart.org/IFC/RELEASE/IFC4/ADD2_TC1/HTML/schema/ifcelectricaldomain/pset/pset_protectivedevicetypefusedisconnector.htm" TargetMode="External"/><Relationship Id="rId2486" Type="http://schemas.openxmlformats.org/officeDocument/2006/relationships/hyperlink" Target="https://standards.buildingsmart.org/IFC/RELEASE/IFC4/ADD2_TC1/HTML/schema/ifchvacdomain/pset/pset_condensertypecommon.htm" TargetMode="External"/><Relationship Id="rId2693" Type="http://schemas.openxmlformats.org/officeDocument/2006/relationships/hyperlink" Target="https://standards.buildingsmart.org/IFC/RELEASE/IFC4/ADD2_TC1/HTML/schema/ifcsharedmgmtelements/pset/pset_projectordermaintenanceworkorder.htm" TargetMode="External"/><Relationship Id="rId3537" Type="http://schemas.openxmlformats.org/officeDocument/2006/relationships/hyperlink" Target="https://standards.buildingsmart.org/IFC/RELEASE/IFC4/ADD2_TC1/HTML/schema/ifcplumbingfireprotectiondomain/pset/pset_sanitaryterminaltypecistern.htm" TargetMode="External"/><Relationship Id="rId3744" Type="http://schemas.openxmlformats.org/officeDocument/2006/relationships/hyperlink" Target="https://standards.buildingsmart.org/IFC/RELEASE/IFC4/ADD2_TC1/HTML/schema/ifcconstructionmgmtdomain/pset/pset_constructionresource.htm" TargetMode="External"/><Relationship Id="rId458" Type="http://schemas.openxmlformats.org/officeDocument/2006/relationships/hyperlink" Target="https://standards.buildingsmart.org/IFC/RELEASE/IFC4/ADD2_TC1/HTML/schema/ifcproductextension/lexical/ifcbuildingstorey.htm" TargetMode="External"/><Relationship Id="rId665" Type="http://schemas.openxmlformats.org/officeDocument/2006/relationships/hyperlink" Target="https://standards.buildingsmart.org/IFC/RELEASE/IFC4/ADD2_TC1/HTML/schema/ifcplumbingfireprotectiondomain/lexical/ifcfiresuppressionterminal.htm" TargetMode="External"/><Relationship Id="rId872" Type="http://schemas.openxmlformats.org/officeDocument/2006/relationships/hyperlink" Target="https://standards.buildingsmart.org/IFC/RELEASE/IFC4/ADD2_TC1/HTML/schema/ifcelectricaldomain/lexical/ifcprotectivedevicetrippingunit.htm" TargetMode="External"/><Relationship Id="rId1088" Type="http://schemas.openxmlformats.org/officeDocument/2006/relationships/hyperlink" Target="https://standards.buildingsmart.org/IFC/RELEASE/IFC4/ADD2_TC1/HTML/schema/ifchvacdomain/lexical/ifctank.htm" TargetMode="External"/><Relationship Id="rId1295" Type="http://schemas.openxmlformats.org/officeDocument/2006/relationships/hyperlink" Target="https://standards.buildingsmart.org/IFC/RELEASE/IFC4/ADD2_TC1/HTML/schema/ifcgeometryresource/lexical/ifcscalartimesvector.htm" TargetMode="External"/><Relationship Id="rId2139" Type="http://schemas.openxmlformats.org/officeDocument/2006/relationships/hyperlink" Target="https://standards.buildingsmart.org/IFC/RELEASE/IFC4/ADD2_TC1/HTML/schema/ifchvacdomain/pset/pset_humidifiertypecommon.htm" TargetMode="External"/><Relationship Id="rId2346" Type="http://schemas.openxmlformats.org/officeDocument/2006/relationships/hyperlink" Target="https://standards.buildingsmart.org/IFC/RELEASE/IFC4/ADD2_TC1/HTML/schema/ifchvacdomain/pset/pset_spaceheatertypecommon.htm" TargetMode="External"/><Relationship Id="rId2553" Type="http://schemas.openxmlformats.org/officeDocument/2006/relationships/hyperlink" Target="https://standards.buildingsmart.org/IFC/RELEASE/IFC4/ADD2_TC1/HTML/schema/ifcproductextension/pset/pset_spacethermalrequirements.htm" TargetMode="External"/><Relationship Id="rId2760" Type="http://schemas.openxmlformats.org/officeDocument/2006/relationships/hyperlink" Target="https://standards.buildingsmart.org/IFC/RELEASE/IFC4/ADD2_TC1/HTML/schema/ifcsharedcomponentelements/pset/pset_discreteaccessoryladdertrussconnector.htm" TargetMode="External"/><Relationship Id="rId3604" Type="http://schemas.openxmlformats.org/officeDocument/2006/relationships/hyperlink" Target="https://standards.buildingsmart.org/IFC/RELEASE/IFC4/ADD2_TC1/HTML/schema/ifchvacdomain/pset/pset_cooledbeamphistory.htm" TargetMode="External"/><Relationship Id="rId318" Type="http://schemas.openxmlformats.org/officeDocument/2006/relationships/hyperlink" Target="https://standards.buildingsmart.org/IFC/RELEASE/IFC4/ADD2_TC1/HTML/schema/ifcbuildingcontrolsdomain/lexical/ifcunitarycontrolelementtypeenum.htm" TargetMode="External"/><Relationship Id="rId525" Type="http://schemas.openxmlformats.org/officeDocument/2006/relationships/hyperlink" Target="https://standards.buildingsmart.org/IFC/RELEASE/IFC4/ADD2_TC1/HTML/schema/ifcconstructionmgmtdomain/lexical/ifcconstructionresource.htm" TargetMode="External"/><Relationship Id="rId732" Type="http://schemas.openxmlformats.org/officeDocument/2006/relationships/hyperlink" Target="https://standards.buildingsmart.org/IFC/RELEASE/IFC4/ADD2_TC1/HTML/schema/ifcelectricaldomain/lexical/ifclightfixture.htm" TargetMode="External"/><Relationship Id="rId1155" Type="http://schemas.openxmlformats.org/officeDocument/2006/relationships/hyperlink" Target="https://standards.buildingsmart.org/IFC/RELEASE/IFC4/ADD2_TC1/HTML/schema/ifcsharedbldgelements/lexical/ifcwindow.htm" TargetMode="External"/><Relationship Id="rId1362" Type="http://schemas.openxmlformats.org/officeDocument/2006/relationships/hyperlink" Target="https://standards.buildingsmart.org/IFC/RELEASE/IFC4/ADD2_TC1/HTML/schema/ifchvacdomain/pset/pset_filterphistory.htm" TargetMode="External"/><Relationship Id="rId2206" Type="http://schemas.openxmlformats.org/officeDocument/2006/relationships/hyperlink" Target="https://standards.buildingsmart.org/IFC/RELEASE/IFC4/ADD2_TC1/HTML/schema/ifcelectricaldomain/pset/pset_cablesegmenttypecablesegment.htm" TargetMode="External"/><Relationship Id="rId2413" Type="http://schemas.openxmlformats.org/officeDocument/2006/relationships/hyperlink" Target="https://standards.buildingsmart.org/IFC/RELEASE/IFC4/ADD2_TC1/HTML/schema/ifchvacdomain/pset/pset_tubebundletypecommon.htm" TargetMode="External"/><Relationship Id="rId2620" Type="http://schemas.openxmlformats.org/officeDocument/2006/relationships/hyperlink" Target="https://standards.buildingsmart.org/IFC/RELEASE/IFC4/ADD2_TC1/HTML/schema/ifcplumbingfireprotectiondomain/pset/pset_firesuppressionterminaltypesprinkler.htm" TargetMode="External"/><Relationship Id="rId1015" Type="http://schemas.openxmlformats.org/officeDocument/2006/relationships/hyperlink" Target="https://standards.buildingsmart.org/IFC/RELEASE/IFC4/ADD2_TC1/HTML/schema/ifcsharedbldgelements/lexical/ifcstair.htm" TargetMode="External"/><Relationship Id="rId1222" Type="http://schemas.openxmlformats.org/officeDocument/2006/relationships/hyperlink" Target="https://standards.buildingsmart.org/IFC/RELEASE/IFC4/ADD2_TC1/HTML/schema/ifcconstructionmgmtdomain/qset/qto_laborresourcebasequantities.htm" TargetMode="External"/><Relationship Id="rId3187" Type="http://schemas.openxmlformats.org/officeDocument/2006/relationships/hyperlink" Target="https://standards.buildingsmart.org/IFC/RELEASE/IFC4/ADD2_TC1/HTML/schema/ifchvacdomain/pset/pset_valvetypefaucet.htm" TargetMode="External"/><Relationship Id="rId3394" Type="http://schemas.openxmlformats.org/officeDocument/2006/relationships/hyperlink" Target="https://standards.buildingsmart.org/IFC/RELEASE/IFC4/ADD2_TC1/HTML/schema/ifcsharedcomponentelements/pset/pset_discreteaccessorycornerfixingplate.htm" TargetMode="External"/><Relationship Id="rId3047" Type="http://schemas.openxmlformats.org/officeDocument/2006/relationships/hyperlink" Target="https://standards.buildingsmart.org/IFC/RELEASE/IFC4/ADD2_TC1/HTML/schema/ifcproductextension/pset/pset_spacecommon.htm" TargetMode="External"/><Relationship Id="rId175" Type="http://schemas.openxmlformats.org/officeDocument/2006/relationships/hyperlink" Target="https://standards.buildingsmart.org/IFC/RELEASE/IFC4/ADD2_TC1/HTML/schema/ifcsharedbldgelements/lexical/ifccoveringtypeenum.htm" TargetMode="External"/><Relationship Id="rId3254" Type="http://schemas.openxmlformats.org/officeDocument/2006/relationships/hyperlink" Target="https://standards.buildingsmart.org/IFC/RELEASE/IFC4/ADD2_TC1/HTML/schema/ifchvacdomain/pset/pset_airterminaltypecommon.htm" TargetMode="External"/><Relationship Id="rId3461" Type="http://schemas.openxmlformats.org/officeDocument/2006/relationships/hyperlink" Target="https://standards.buildingsmart.org/IFC/RELEASE/IFC4/ADD2_TC1/HTML/schema/ifchvacdomain/pset/pset_unitaryequipmenttypeairconditioningunit.htm" TargetMode="External"/><Relationship Id="rId382" Type="http://schemas.openxmlformats.org/officeDocument/2006/relationships/hyperlink" Target="https://standards.buildingsmart.org/IFC/RELEASE/IFC4/ADD2_TC1/HTML/schema/ifcpresentationappearanceresource/lexical/ifcspecularhighlightselect.htm" TargetMode="External"/><Relationship Id="rId2063" Type="http://schemas.openxmlformats.org/officeDocument/2006/relationships/hyperlink" Target="https://standards.buildingsmart.org/IFC/RELEASE/IFC4/ADD2_TC1/HTML/schema/ifcelectricaldomain/pset/pset_protectivedevicetrippingfunctiongcurve.htm" TargetMode="External"/><Relationship Id="rId2270" Type="http://schemas.openxmlformats.org/officeDocument/2006/relationships/hyperlink" Target="https://standards.buildingsmart.org/IFC/RELEASE/IFC4/ADD2_TC1/HTML/schema/ifchvacdomain/pset/pset_tankphistory.htm" TargetMode="External"/><Relationship Id="rId3114" Type="http://schemas.openxmlformats.org/officeDocument/2006/relationships/hyperlink" Target="https://standards.buildingsmart.org/IFC/RELEASE/IFC4/ADD2_TC1/HTML/schema/ifchvacdomain/pset/pset_pumpphistory.htm" TargetMode="External"/><Relationship Id="rId3321" Type="http://schemas.openxmlformats.org/officeDocument/2006/relationships/hyperlink" Target="https://standards.buildingsmart.org/IFC/RELEASE/IFC4/ADD2_TC1/HTML/schema/ifcsharedcomponentelements/pset/pset_discreteaccessorydiagonaltrussconnector.htm" TargetMode="External"/><Relationship Id="rId242" Type="http://schemas.openxmlformats.org/officeDocument/2006/relationships/hyperlink" Target="https://standards.buildingsmart.org/IFC/RELEASE/IFC4/ADD2_TC1/HTML/schema/ifcsharedbldgelements/lexical/ifcmembertypeenum.htm" TargetMode="External"/><Relationship Id="rId2130" Type="http://schemas.openxmlformats.org/officeDocument/2006/relationships/hyperlink" Target="https://standards.buildingsmart.org/IFC/RELEASE/IFC4/ADD2_TC1/HTML/schema/ifcelectricaldomain/pset/pset_outlettypecommon.htm" TargetMode="External"/><Relationship Id="rId102" Type="http://schemas.openxmlformats.org/officeDocument/2006/relationships/hyperlink" Target="https://standards.buildingsmart.org/IFC/RELEASE/IFC4/ADD2_TC1/HTML/schema/ifcmeasureresource/lexical/ifcelectriccurrentmeasure.htm" TargetMode="External"/><Relationship Id="rId1689" Type="http://schemas.openxmlformats.org/officeDocument/2006/relationships/hyperlink" Target="https://standards.buildingsmart.org/IFC/RELEASE/IFC4/ADD2_TC1/HTML/schema/ifcprofileresource/pset/pset_profilearbitrarydoublet.htm" TargetMode="External"/><Relationship Id="rId1896" Type="http://schemas.openxmlformats.org/officeDocument/2006/relationships/hyperlink" Target="https://standards.buildingsmart.org/IFC/RELEASE/IFC4/ADD2_TC1/HTML/schema/ifcplumbingfireprotectiondomain/pset/pset_sanitaryterminaltypeshower.htm" TargetMode="External"/><Relationship Id="rId2947" Type="http://schemas.openxmlformats.org/officeDocument/2006/relationships/hyperlink" Target="https://standards.buildingsmart.org/IFC/RELEASE/IFC4/ADD2_TC1/HTML/schema/ifcelectricaldomain/pset/pset_protectivedevicetrippingunittypeelectromagnetic.htm" TargetMode="External"/><Relationship Id="rId919" Type="http://schemas.openxmlformats.org/officeDocument/2006/relationships/hyperlink" Target="https://standards.buildingsmart.org/IFC/RELEASE/IFC4/ADD2_TC1/HTML/schema/ifckernel/lexical/ifcrelassociatesclassification.htm" TargetMode="External"/><Relationship Id="rId1549" Type="http://schemas.openxmlformats.org/officeDocument/2006/relationships/hyperlink" Target="https://standards.buildingsmart.org/IFC/RELEASE/IFC4/ADD2_TC1/HTML/schema/ifcsharedbldgserviceelements/pset/pset_spacethermaldesign.htm" TargetMode="External"/><Relationship Id="rId1756" Type="http://schemas.openxmlformats.org/officeDocument/2006/relationships/hyperlink" Target="https://standards.buildingsmart.org/IFC/RELEASE/IFC4/ADD2_TC1/HTML/schema/ifcsharedcomponentelements/pset/pset_elementcomponentcommon.htm" TargetMode="External"/><Relationship Id="rId1963" Type="http://schemas.openxmlformats.org/officeDocument/2006/relationships/hyperlink" Target="https://standards.buildingsmart.org/IFC/RELEASE/IFC4/ADD2_TC1/HTML/schema/ifcelectricaldomain/pset/pset_switchingdevicetypephistory.htm" TargetMode="External"/><Relationship Id="rId2807" Type="http://schemas.openxmlformats.org/officeDocument/2006/relationships/hyperlink" Target="https://standards.buildingsmart.org/IFC/RELEASE/IFC4/ADD2_TC1/HTML/schema/ifchvacdomain/pset/pset_valvetypeisolating.htm" TargetMode="External"/><Relationship Id="rId48" Type="http://schemas.openxmlformats.org/officeDocument/2006/relationships/hyperlink" Target="https://standards.buildingsmart.org/IFC/RELEASE/IFC4/ADD2_TC1/HTML/schema/ifcmeasureresource/lexical/ifcpositiveinteger.htm" TargetMode="External"/><Relationship Id="rId1409" Type="http://schemas.openxmlformats.org/officeDocument/2006/relationships/hyperlink" Target="https://standards.buildingsmart.org/IFC/RELEASE/IFC4/ADD2_TC1/HTML/schema/ifcsharedbldgserviceelements/pset/pset_distributionchamberelementtypemanhole.htm" TargetMode="External"/><Relationship Id="rId1616" Type="http://schemas.openxmlformats.org/officeDocument/2006/relationships/hyperlink" Target="https://standards.buildingsmart.org/IFC/RELEASE/IFC4/ADD2_TC1/HTML/schema/ifchvacdomain/pset/pset_spaceheatertypecommon.htm" TargetMode="External"/><Relationship Id="rId1823" Type="http://schemas.openxmlformats.org/officeDocument/2006/relationships/hyperlink" Target="https://standards.buildingsmart.org/IFC/RELEASE/IFC4/ADD2_TC1/HTML/schema/ifcmaterialresource/pset/pset_materialenergy.htm" TargetMode="External"/><Relationship Id="rId2597" Type="http://schemas.openxmlformats.org/officeDocument/2006/relationships/hyperlink" Target="https://standards.buildingsmart.org/IFC/RELEASE/IFC4/ADD2_TC1/HTML/schema/ifcsharedbldgserviceelements/pset/pset_distributionsystemtypeventilation.htm" TargetMode="External"/><Relationship Id="rId3648" Type="http://schemas.openxmlformats.org/officeDocument/2006/relationships/hyperlink" Target="https://standards.buildingsmart.org/IFC/RELEASE/IFC4/ADD2_TC1/HTML/schema/ifcproductextension/pset/pset_environmentalimpactvalues.htm" TargetMode="External"/><Relationship Id="rId569" Type="http://schemas.openxmlformats.org/officeDocument/2006/relationships/hyperlink" Target="https://standards.buildingsmart.org/IFC/RELEASE/IFC4/ADD2_TC1/HTML/schema/ifcsharedcomponentelements/lexical/ifcdiscreteaccessorytype.htm" TargetMode="External"/><Relationship Id="rId776" Type="http://schemas.openxmlformats.org/officeDocument/2006/relationships/hyperlink" Target="https://standards.buildingsmart.org/IFC/RELEASE/IFC4/ADD2_TC1/HTML/schema/ifcprofileresource/lexical/ifcmirroredprofiledef.htm" TargetMode="External"/><Relationship Id="rId983" Type="http://schemas.openxmlformats.org/officeDocument/2006/relationships/hyperlink" Target="https://standards.buildingsmart.org/IFC/RELEASE/IFC4/ADD2_TC1/HTML/schema/ifcsharedbldgelements/lexical/ifcshadingdevice.htm" TargetMode="External"/><Relationship Id="rId1199" Type="http://schemas.openxmlformats.org/officeDocument/2006/relationships/hyperlink" Target="https://standards.buildingsmart.org/IFC/RELEASE/IFC4/ADD2_TC1/HTML/schema/ifcsharedbldgserviceelements/qset/qto_distributionchamberelementbasequantities.htm" TargetMode="External"/><Relationship Id="rId2457" Type="http://schemas.openxmlformats.org/officeDocument/2006/relationships/hyperlink" Target="https://standards.buildingsmart.org/IFC/RELEASE/IFC4/ADD2_TC1/HTML/schema/ifchvacdomain/pset/pset_fantypecommon.htm" TargetMode="External"/><Relationship Id="rId2664" Type="http://schemas.openxmlformats.org/officeDocument/2006/relationships/hyperlink" Target="https://standards.buildingsmart.org/IFC/RELEASE/IFC4/ADD2_TC1/HTML/schema/ifcsharedfacilitieselements/pset/pset_furnituretypecommon.htm" TargetMode="External"/><Relationship Id="rId3508" Type="http://schemas.openxmlformats.org/officeDocument/2006/relationships/hyperlink" Target="https://standards.buildingsmart.org/IFC/RELEASE/IFC4/ADD2_TC1/HTML/schema/ifchvacdomain/pset/pset_fanoccurrence.htm" TargetMode="External"/><Relationship Id="rId429" Type="http://schemas.openxmlformats.org/officeDocument/2006/relationships/hyperlink" Target="https://standards.buildingsmart.org/IFC/RELEASE/IFC4/ADD2_TC1/HTML/schema/ifcsharedbldgelements/lexical/ifcbeamstandardcase.htm" TargetMode="External"/><Relationship Id="rId636" Type="http://schemas.openxmlformats.org/officeDocument/2006/relationships/hyperlink" Target="https://standards.buildingsmart.org/IFC/RELEASE/IFC4/ADD2_TC1/HTML/schema/ifcpresentationappearanceresource/lexical/ifcexternallydefinedhatchstyle.htm" TargetMode="External"/><Relationship Id="rId1059" Type="http://schemas.openxmlformats.org/officeDocument/2006/relationships/hyperlink" Target="https://standards.buildingsmart.org/IFC/RELEASE/IFC4/ADD2_TC1/HTML/schema/ifcconstructionmgmtdomain/lexical/ifcsubcontractresource.htm" TargetMode="External"/><Relationship Id="rId1266" Type="http://schemas.openxmlformats.org/officeDocument/2006/relationships/hyperlink" Target="https://standards.buildingsmart.org/IFC/RELEASE/IFC4/ADD2_TC1/HTML/schema/ifcgeometryresource/lexical/ifcconsecutivesegments.htm" TargetMode="External"/><Relationship Id="rId1473" Type="http://schemas.openxmlformats.org/officeDocument/2006/relationships/hyperlink" Target="https://standards.buildingsmart.org/IFC/RELEASE/IFC4/ADD2_TC1/HTML/schema/ifcmaterialresource/pset/pset_materialhygroscopic.htm" TargetMode="External"/><Relationship Id="rId2317" Type="http://schemas.openxmlformats.org/officeDocument/2006/relationships/hyperlink" Target="https://standards.buildingsmart.org/IFC/RELEASE/IFC4/ADD2_TC1/HTML/schema/ifchvacdomain/pset/pset_coolingtowerphistory.htm" TargetMode="External"/><Relationship Id="rId2871" Type="http://schemas.openxmlformats.org/officeDocument/2006/relationships/hyperlink" Target="https://standards.buildingsmart.org/IFC/RELEASE/IFC4/ADD2_TC1/HTML/schema/ifchvacdomain/pset/pset_humidifiertypecommon.htm" TargetMode="External"/><Relationship Id="rId3715" Type="http://schemas.openxmlformats.org/officeDocument/2006/relationships/hyperlink" Target="https://standards.buildingsmart.org/IFC/RELEASE/IFC4/ADD2_TC1/HTML/schema/ifchvacdomain/pset/pset_airterminalphistory.htm" TargetMode="External"/><Relationship Id="rId843" Type="http://schemas.openxmlformats.org/officeDocument/2006/relationships/hyperlink" Target="https://standards.buildingsmart.org/IFC/RELEASE/IFC4/ADD2_TC1/HTML/schema/ifcprocessextension/lexical/ifcproceduretype.htm" TargetMode="External"/><Relationship Id="rId1126" Type="http://schemas.openxmlformats.org/officeDocument/2006/relationships/hyperlink" Target="https://standards.buildingsmart.org/IFC/RELEASE/IFC4/ADD2_TC1/HTML/schema/ifchvacdomain/lexical/ifctubebundle.htm" TargetMode="External"/><Relationship Id="rId1680" Type="http://schemas.openxmlformats.org/officeDocument/2006/relationships/hyperlink" Target="https://standards.buildingsmart.org/IFC/RELEASE/IFC4/ADD2_TC1/HTML/schema/ifcstructuralelementsdomain/pset/pset_concreteelementgeneral.htm" TargetMode="External"/><Relationship Id="rId2524" Type="http://schemas.openxmlformats.org/officeDocument/2006/relationships/hyperlink" Target="https://standards.buildingsmart.org/IFC/RELEASE/IFC4/ADD2_TC1/HTML/schema/ifchvacdomain/pset/pset_chillertypecommon.htm" TargetMode="External"/><Relationship Id="rId2731" Type="http://schemas.openxmlformats.org/officeDocument/2006/relationships/hyperlink" Target="https://standards.buildingsmart.org/IFC/RELEASE/IFC4/ADD2_TC1/HTML/schema/ifcproductextension/pset/pset_environmentalimpactindicators.htm" TargetMode="External"/><Relationship Id="rId703" Type="http://schemas.openxmlformats.org/officeDocument/2006/relationships/hyperlink" Target="https://standards.buildingsmart.org/IFC/RELEASE/IFC4/ADD2_TC1/HTML/schema/ifcgeometricmodelresource/lexical/ifchalfspacesolid.htm" TargetMode="External"/><Relationship Id="rId910" Type="http://schemas.openxmlformats.org/officeDocument/2006/relationships/hyperlink" Target="https://standards.buildingsmart.org/IFC/RELEASE/IFC4/ADD2_TC1/HTML/schema/ifckernel/lexical/ifcrelassignstoactor.htm" TargetMode="External"/><Relationship Id="rId1333" Type="http://schemas.openxmlformats.org/officeDocument/2006/relationships/hyperlink" Target="https://standards.buildingsmart.org/IFC/RELEASE/IFC4/ADD2_TC1/HTML/schema/ifchvacdomain/pset/pset_valvetypecommon.htm" TargetMode="External"/><Relationship Id="rId1540" Type="http://schemas.openxmlformats.org/officeDocument/2006/relationships/hyperlink" Target="https://standards.buildingsmart.org/IFC/RELEASE/IFC4/ADD2_TC1/HTML/schema/ifcsharedbldgserviceelements/pset/pset_spacethermaldesign.htm" TargetMode="External"/><Relationship Id="rId1400" Type="http://schemas.openxmlformats.org/officeDocument/2006/relationships/hyperlink" Target="https://standards.buildingsmart.org/IFC/RELEASE/IFC4/ADD2_TC1/HTML/schema/ifcsharedfacilitieselements/pset/pset_warranty.htm" TargetMode="External"/><Relationship Id="rId3298" Type="http://schemas.openxmlformats.org/officeDocument/2006/relationships/hyperlink" Target="https://standards.buildingsmart.org/IFC/RELEASE/IFC4/ADD2_TC1/HTML/schema/ifcelectricaldomain/pset/pset_audiovisualappliancetypedisplay.htm" TargetMode="External"/><Relationship Id="rId3158" Type="http://schemas.openxmlformats.org/officeDocument/2006/relationships/hyperlink" Target="https://standards.buildingsmart.org/IFC/RELEASE/IFC4/ADD2_TC1/HTML/schema/ifcsharedbldgelements/pset/pset_membercommon.htm" TargetMode="External"/><Relationship Id="rId3365" Type="http://schemas.openxmlformats.org/officeDocument/2006/relationships/hyperlink" Target="https://standards.buildingsmart.org/IFC/RELEASE/IFC4/ADD2_TC1/HTML/schema/ifcstructuralelementsdomain/pset/pset_reinforcementbarpitchofcontinuousfooting.htm" TargetMode="External"/><Relationship Id="rId3572" Type="http://schemas.openxmlformats.org/officeDocument/2006/relationships/hyperlink" Target="https://standards.buildingsmart.org/IFC/RELEASE/IFC4/ADD2_TC1/HTML/schema/ifcstructuralelementsdomain/pset/pset_precastconcreteelementgeneral.htm" TargetMode="External"/><Relationship Id="rId286" Type="http://schemas.openxmlformats.org/officeDocument/2006/relationships/hyperlink" Target="https://standards.buildingsmart.org/IFC/RELEASE/IFC4/ADD2_TC1/HTML/schema/ifcmeasureresource/lexical/ifcsiprefix.htm" TargetMode="External"/><Relationship Id="rId493" Type="http://schemas.openxmlformats.org/officeDocument/2006/relationships/hyperlink" Target="https://standards.buildingsmart.org/IFC/RELEASE/IFC4/ADD2_TC1/HTML/schema/ifchvacdomain/lexical/ifccoiltype.htm" TargetMode="External"/><Relationship Id="rId2174" Type="http://schemas.openxmlformats.org/officeDocument/2006/relationships/hyperlink" Target="https://standards.buildingsmart.org/IFC/RELEASE/IFC4/ADD2_TC1/HTML/schema/ifchvacdomain/pset/pset_coiltypecommon.htm" TargetMode="External"/><Relationship Id="rId2381" Type="http://schemas.openxmlformats.org/officeDocument/2006/relationships/hyperlink" Target="https://standards.buildingsmart.org/IFC/RELEASE/IFC4/ADD2_TC1/HTML/schema/ifcproductextension/pset/pset_spaceoccupancyrequirements.htm" TargetMode="External"/><Relationship Id="rId3018" Type="http://schemas.openxmlformats.org/officeDocument/2006/relationships/hyperlink" Target="https://standards.buildingsmart.org/IFC/RELEASE/IFC4/ADD2_TC1/HTML/schema/ifcsharedbldgelements/pset/pset_staircommon.htm" TargetMode="External"/><Relationship Id="rId3225" Type="http://schemas.openxmlformats.org/officeDocument/2006/relationships/hyperlink" Target="https://standards.buildingsmart.org/IFC/RELEASE/IFC4/ADD2_TC1/HTML/schema/ifchvacdomain/pset/pset_boilerphistory.htm" TargetMode="External"/><Relationship Id="rId3432" Type="http://schemas.openxmlformats.org/officeDocument/2006/relationships/hyperlink" Target="https://standards.buildingsmart.org/IFC/RELEASE/IFC4/ADD2_TC1/HTML/schema/ifcelectricaldomain/pset/pset_switchingdevicetypecontactor.htm" TargetMode="External"/><Relationship Id="rId146" Type="http://schemas.openxmlformats.org/officeDocument/2006/relationships/hyperlink" Target="https://standards.buildingsmart.org/IFC/RELEASE/IFC4/ADD2_TC1/HTML/schema/ifcgeometricmodelresource/lexical/ifcbooleanoperator.htm" TargetMode="External"/><Relationship Id="rId353" Type="http://schemas.openxmlformats.org/officeDocument/2006/relationships/hyperlink" Target="https://standards.buildingsmart.org/IFC/RELEASE/IFC4/ADD2_TC1/HTML/schema/ifcpresentationappearanceresource/lexical/ifcfillstyleselect.htm" TargetMode="External"/><Relationship Id="rId560" Type="http://schemas.openxmlformats.org/officeDocument/2006/relationships/hyperlink" Target="https://standards.buildingsmart.org/IFC/RELEASE/IFC4/ADD2_TC1/HTML/schema/ifcgeometryresource/lexical/ifccylindricalsurface.htm" TargetMode="External"/><Relationship Id="rId1190" Type="http://schemas.openxmlformats.org/officeDocument/2006/relationships/hyperlink" Target="https://standards.buildingsmart.org/IFC/RELEASE/IFC4/ADD2_TC1/HTML/schema/ifchvacdomain/qset/qto_condenserbasequantities.htm" TargetMode="External"/><Relationship Id="rId2034" Type="http://schemas.openxmlformats.org/officeDocument/2006/relationships/hyperlink" Target="https://standards.buildingsmart.org/IFC/RELEASE/IFC4/ADD2_TC1/HTML/schema/ifcsharedbldgelements/pset/pset_staircommon.htm" TargetMode="External"/><Relationship Id="rId2241" Type="http://schemas.openxmlformats.org/officeDocument/2006/relationships/hyperlink" Target="https://standards.buildingsmart.org/IFC/RELEASE/IFC4/ADD2_TC1/HTML/schema/ifcsharedcomponentelements/pset/pset_fastenerweld.htm" TargetMode="External"/><Relationship Id="rId213" Type="http://schemas.openxmlformats.org/officeDocument/2006/relationships/hyperlink" Target="https://standards.buildingsmart.org/IFC/RELEASE/IFC4/ADD2_TC1/HTML/schema/ifcsharedcomponentelements/lexical/ifcfastenertypeenum.htm" TargetMode="External"/><Relationship Id="rId420" Type="http://schemas.openxmlformats.org/officeDocument/2006/relationships/hyperlink" Target="https://standards.buildingsmart.org/IFC/RELEASE/IFC4/ADD2_TC1/HTML/schema/ifcprofileresource/lexical/ifcarbitraryprofiledefwithvoids.htm" TargetMode="External"/><Relationship Id="rId1050" Type="http://schemas.openxmlformats.org/officeDocument/2006/relationships/hyperlink" Target="https://standards.buildingsmart.org/IFC/RELEASE/IFC4/ADD2_TC1/HTML/schema/ifcstructuralanalysisdomain/lexical/ifcstructuralresultgroup.htm" TargetMode="External"/><Relationship Id="rId2101" Type="http://schemas.openxmlformats.org/officeDocument/2006/relationships/hyperlink" Target="https://standards.buildingsmart.org/IFC/RELEASE/IFC4/ADD2_TC1/HTML/schema/ifcelectricaldomain/pset/pset_transformertypecommon.htm" TargetMode="External"/><Relationship Id="rId1867" Type="http://schemas.openxmlformats.org/officeDocument/2006/relationships/hyperlink" Target="https://standards.buildingsmart.org/IFC/RELEASE/IFC4/ADD2_TC1/HTML/schema/ifcsharedbldgelements/pset/pset_shadingdevicecommon.htm" TargetMode="External"/><Relationship Id="rId2918" Type="http://schemas.openxmlformats.org/officeDocument/2006/relationships/hyperlink" Target="https://standards.buildingsmart.org/IFC/RELEASE/IFC4/ADD2_TC1/HTML/schema/ifchvacdomain/pset/pset_airterminalphistory.htm" TargetMode="External"/><Relationship Id="rId1727" Type="http://schemas.openxmlformats.org/officeDocument/2006/relationships/hyperlink" Target="https://standards.buildingsmart.org/IFC/RELEASE/IFC4/ADD2_TC1/HTML/schema/ifcsharedbldgelements/pset/pset_railingcommon.htm" TargetMode="External"/><Relationship Id="rId1934" Type="http://schemas.openxmlformats.org/officeDocument/2006/relationships/hyperlink" Target="https://standards.buildingsmart.org/IFC/RELEASE/IFC4/ADD2_TC1/HTML/schema/ifchvacdomain/pset/pset_fanphistory.htm" TargetMode="External"/><Relationship Id="rId3082" Type="http://schemas.openxmlformats.org/officeDocument/2006/relationships/hyperlink" Target="https://standards.buildingsmart.org/IFC/RELEASE/IFC4/ADD2_TC1/HTML/schema/ifcelectricaldomain/pset/pset_cablesegmenttypeconductorsegment.htm" TargetMode="External"/><Relationship Id="rId19" Type="http://schemas.openxmlformats.org/officeDocument/2006/relationships/hyperlink" Target="https://standards.buildingsmart.org/IFC/RELEASE/IFC4/ADD2_TC1/HTML/schema/ifcpresentationappearanceresource/lexical/ifctextdecoration.htm" TargetMode="External"/><Relationship Id="rId3759" Type="http://schemas.openxmlformats.org/officeDocument/2006/relationships/hyperlink" Target="https://standards.buildingsmart.org/IFC/RELEASE/IFC4/ADD2_TC1/HTML/schema/ifcbuildingcontrolsdomain/pset/pset_alarmphistory.htm" TargetMode="External"/><Relationship Id="rId3" Type="http://schemas.openxmlformats.org/officeDocument/2006/relationships/hyperlink" Target="https://standards.buildingsmart.org/IFC/RELEASE/IFC4/ADD2_TC1/HTML/schema/ifcmeasureresource/lexical/ifcvolumetricflowratemeasure.htm" TargetMode="External"/><Relationship Id="rId887" Type="http://schemas.openxmlformats.org/officeDocument/2006/relationships/hyperlink" Target="https://standards.buildingsmart.org/IFC/RELEASE/IFC4/ADD2_TC1/HTML/schema/ifcsharedbldgelements/lexical/ifcramp.htm" TargetMode="External"/><Relationship Id="rId2568" Type="http://schemas.openxmlformats.org/officeDocument/2006/relationships/hyperlink" Target="https://standards.buildingsmart.org/IFC/RELEASE/IFC4/ADD2_TC1/HTML/schema/ifcplumbingfireprotectiondomain/pset/pset_sanitaryterminaltypewashhandbasin.htm" TargetMode="External"/><Relationship Id="rId2775" Type="http://schemas.openxmlformats.org/officeDocument/2006/relationships/hyperlink" Target="https://standards.buildingsmart.org/IFC/RELEASE/IFC4/ADD2_TC1/HTML/schema/ifcprofileresource/pset/pset_profilearbitraryhollowcore.htm" TargetMode="External"/><Relationship Id="rId2982" Type="http://schemas.openxmlformats.org/officeDocument/2006/relationships/hyperlink" Target="https://standards.buildingsmart.org/IFC/RELEASE/IFC4/ADD2_TC1/HTML/schema/ifcsharedbldgserviceelements/pset/pset_outsidedesigncriteria.htm" TargetMode="External"/><Relationship Id="rId3619" Type="http://schemas.openxmlformats.org/officeDocument/2006/relationships/hyperlink" Target="https://standards.buildingsmart.org/IFC/RELEASE/IFC4/ADD2_TC1/HTML/schema/ifcsharedbldgserviceelements/pset/pset_distributionchamberelementtypemanhole.htm" TargetMode="External"/><Relationship Id="rId747" Type="http://schemas.openxmlformats.org/officeDocument/2006/relationships/hyperlink" Target="https://standards.buildingsmart.org/IFC/RELEASE/IFC4/ADD2_TC1/HTML/schema/ifcgeometryresource/lexical/ifcmappeditem.htm" TargetMode="External"/><Relationship Id="rId954" Type="http://schemas.openxmlformats.org/officeDocument/2006/relationships/hyperlink" Target="https://standards.buildingsmart.org/IFC/RELEASE/IFC4/ADD2_TC1/HTML/schema/ifcproductextension/lexical/ifcrelspaceboundary2ndlevel.htm" TargetMode="External"/><Relationship Id="rId1377" Type="http://schemas.openxmlformats.org/officeDocument/2006/relationships/hyperlink" Target="https://standards.buildingsmart.org/IFC/RELEASE/IFC4/ADD2_TC1/HTML/schema/ifchvacdomain/pset/pset_cooledbeamtypecommon.htm" TargetMode="External"/><Relationship Id="rId1584" Type="http://schemas.openxmlformats.org/officeDocument/2006/relationships/hyperlink" Target="https://standards.buildingsmart.org/IFC/RELEASE/IFC4/ADD2_TC1/HTML/schema/ifcsharedcomponentelements/pset/pset_mechanicalfastenerbolt.htm" TargetMode="External"/><Relationship Id="rId1791" Type="http://schemas.openxmlformats.org/officeDocument/2006/relationships/hyperlink" Target="https://standards.buildingsmart.org/IFC/RELEASE/IFC4/ADD2_TC1/HTML/schema/ifcelectricaldomain/pset/pset_audiovisualappliancetypecommon.htm" TargetMode="External"/><Relationship Id="rId2428" Type="http://schemas.openxmlformats.org/officeDocument/2006/relationships/hyperlink" Target="https://standards.buildingsmart.org/IFC/RELEASE/IFC4/ADD2_TC1/HTML/schema/ifcsharedbldgserviceelements/pset/pset_distributionporttypeduct.htm" TargetMode="External"/><Relationship Id="rId2635" Type="http://schemas.openxmlformats.org/officeDocument/2006/relationships/hyperlink" Target="https://standards.buildingsmart.org/IFC/RELEASE/IFC4/ADD2_TC1/HTML/schema/ifchvacdomain/pset/pset_boilertypesteam.htm" TargetMode="External"/><Relationship Id="rId2842" Type="http://schemas.openxmlformats.org/officeDocument/2006/relationships/hyperlink" Target="https://standards.buildingsmart.org/IFC/RELEASE/IFC4/ADD2_TC1/HTML/schema/ifcsharedbldgelements/pset/pset_columncommon.htm" TargetMode="External"/><Relationship Id="rId83" Type="http://schemas.openxmlformats.org/officeDocument/2006/relationships/hyperlink" Target="https://standards.buildingsmart.org/IFC/RELEASE/IFC4/ADD2_TC1/HTML/schema/ifcmeasureresource/lexical/ifckinematicviscositymeasure.htm" TargetMode="External"/><Relationship Id="rId607" Type="http://schemas.openxmlformats.org/officeDocument/2006/relationships/hyperlink" Target="https://standards.buildingsmart.org/IFC/RELEASE/IFC4/ADD2_TC1/HTML/schema/ifcelectricaldomain/lexical/ifcelectricgenerator.htm" TargetMode="External"/><Relationship Id="rId814" Type="http://schemas.openxmlformats.org/officeDocument/2006/relationships/hyperlink" Target="https://standards.buildingsmart.org/IFC/RELEASE/IFC4/ADD2_TC1/HTML/schema/ifcpresentationappearanceresource/lexical/ifcpixeltexture.htm" TargetMode="External"/><Relationship Id="rId1237" Type="http://schemas.openxmlformats.org/officeDocument/2006/relationships/hyperlink" Target="https://standards.buildingsmart.org/IFC/RELEASE/IFC4/ADD2_TC1/HTML/schema/ifcsharedbldgelements/qset/qto_railingbasequantities.htm" TargetMode="External"/><Relationship Id="rId1444" Type="http://schemas.openxmlformats.org/officeDocument/2006/relationships/hyperlink" Target="https://standards.buildingsmart.org/IFC/RELEASE/IFC4/ADD2_TC1/HTML/schema/ifcelectricaldomain/pset/pset_audiovisualappliancetypeprojector.htm" TargetMode="External"/><Relationship Id="rId1651" Type="http://schemas.openxmlformats.org/officeDocument/2006/relationships/hyperlink" Target="https://standards.buildingsmart.org/IFC/RELEASE/IFC4/ADD2_TC1/HTML/schema/ifcsharedbldgelements/pset/pset_buildingelementproxyprovisionforvoid.htm" TargetMode="External"/><Relationship Id="rId2702" Type="http://schemas.openxmlformats.org/officeDocument/2006/relationships/hyperlink" Target="https://standards.buildingsmart.org/IFC/RELEASE/IFC4/ADD2_TC1/HTML/schema/ifcsharedbldgserviceelements/pset/pset_airsidesysteminformation.htm" TargetMode="External"/><Relationship Id="rId1304" Type="http://schemas.openxmlformats.org/officeDocument/2006/relationships/hyperlink" Target="https://standards.buildingsmart.org/IFC/RELEASE/IFC4/ADD2_TC1/HTML/schema/ifckernel/lexical/ifcuniquepropertytemplatenames.htm" TargetMode="External"/><Relationship Id="rId1511" Type="http://schemas.openxmlformats.org/officeDocument/2006/relationships/hyperlink" Target="https://standards.buildingsmart.org/IFC/RELEASE/IFC4/ADD2_TC1/HTML/schema/ifcelectricaldomain/pset/pset_audiovisualappliancetypetuner.htm" TargetMode="External"/><Relationship Id="rId3269" Type="http://schemas.openxmlformats.org/officeDocument/2006/relationships/hyperlink" Target="https://standards.buildingsmart.org/IFC/RELEASE/IFC4/ADD2_TC1/HTML/schema/ifcsharedfacilitieselements/pset/pset_propertyagreement.htm" TargetMode="External"/><Relationship Id="rId3476" Type="http://schemas.openxmlformats.org/officeDocument/2006/relationships/hyperlink" Target="https://standards.buildingsmart.org/IFC/RELEASE/IFC4/ADD2_TC1/HTML/schema/ifchvacdomain/pset/pset_condenserphistory.htm" TargetMode="External"/><Relationship Id="rId3683" Type="http://schemas.openxmlformats.org/officeDocument/2006/relationships/hyperlink" Target="https://standards.buildingsmart.org/IFC/RELEASE/IFC4/ADD2_TC1/HTML/schema/ifcsharedcomponentelements/pset/pset_mechanicalfasteneranchorbolt.htm" TargetMode="External"/><Relationship Id="rId10" Type="http://schemas.openxmlformats.org/officeDocument/2006/relationships/hyperlink" Target="https://standards.buildingsmart.org/IFC/RELEASE/IFC4/ADD2_TC1/HTML/schema/ifcdatetimeresource/lexical/ifctime.htm" TargetMode="External"/><Relationship Id="rId397" Type="http://schemas.openxmlformats.org/officeDocument/2006/relationships/hyperlink" Target="https://standards.buildingsmart.org/IFC/RELEASE/IFC4/ADD2_TC1/HTML/schema/ifcactorresource/lexical/ifcactorrole.htm" TargetMode="External"/><Relationship Id="rId2078" Type="http://schemas.openxmlformats.org/officeDocument/2006/relationships/hyperlink" Target="https://standards.buildingsmart.org/IFC/RELEASE/IFC4/ADD2_TC1/HTML/schema/ifchvacdomain/pset/pset_condensertypecommon.htm" TargetMode="External"/><Relationship Id="rId2285" Type="http://schemas.openxmlformats.org/officeDocument/2006/relationships/hyperlink" Target="https://standards.buildingsmart.org/IFC/RELEASE/IFC4/ADD2_TC1/HTML/schema/ifcsharedbldgserviceelements/pset/pset_distributionporttypecable.htm" TargetMode="External"/><Relationship Id="rId2492" Type="http://schemas.openxmlformats.org/officeDocument/2006/relationships/hyperlink" Target="https://standards.buildingsmart.org/IFC/RELEASE/IFC4/ADD2_TC1/HTML/schema/ifchvacdomain/pset/pset_filtertypecommon.htm" TargetMode="External"/><Relationship Id="rId3129" Type="http://schemas.openxmlformats.org/officeDocument/2006/relationships/hyperlink" Target="https://standards.buildingsmart.org/IFC/RELEASE/IFC4/ADD2_TC1/HTML/schema/ifchvacdomain/pset/pset_pipeconnectionflanged.htm" TargetMode="External"/><Relationship Id="rId3336" Type="http://schemas.openxmlformats.org/officeDocument/2006/relationships/hyperlink" Target="https://standards.buildingsmart.org/IFC/RELEASE/IFC4/ADD2_TC1/HTML/schema/ifcsharedbldgserviceelements/pset/pset_distributionchamberelementtypeinspectionpit.htm" TargetMode="External"/><Relationship Id="rId257" Type="http://schemas.openxmlformats.org/officeDocument/2006/relationships/hyperlink" Target="https://standards.buildingsmart.org/IFC/RELEASE/IFC4/ADD2_TC1/HTML/schema/ifchvacdomain/lexical/ifcpipesegmenttypeenum.htm" TargetMode="External"/><Relationship Id="rId464" Type="http://schemas.openxmlformats.org/officeDocument/2006/relationships/hyperlink" Target="https://standards.buildingsmart.org/IFC/RELEASE/IFC4/ADD2_TC1/HTML/schema/ifcelectricaldomain/lexical/ifccablecarriersegment.htm" TargetMode="External"/><Relationship Id="rId1094" Type="http://schemas.openxmlformats.org/officeDocument/2006/relationships/hyperlink" Target="https://standards.buildingsmart.org/IFC/RELEASE/IFC4/ADD2_TC1/HTML/schema/ifcactorresource/lexical/ifctelecomaddress.htm" TargetMode="External"/><Relationship Id="rId2145" Type="http://schemas.openxmlformats.org/officeDocument/2006/relationships/hyperlink" Target="https://standards.buildingsmart.org/IFC/RELEASE/IFC4/ADD2_TC1/HTML/schema/ifchvacdomain/pset/pset_filtertypecommon.htm" TargetMode="External"/><Relationship Id="rId3543" Type="http://schemas.openxmlformats.org/officeDocument/2006/relationships/hyperlink" Target="https://standards.buildingsmart.org/IFC/RELEASE/IFC4/ADD2_TC1/HTML/schema/ifcsharedbldgserviceelements/pset/pset_distributionchamberelementtypeinspectionchamber.htm" TargetMode="External"/><Relationship Id="rId3750" Type="http://schemas.openxmlformats.org/officeDocument/2006/relationships/hyperlink" Target="https://standards.buildingsmart.org/IFC/RELEASE/IFC4/ADD2_TC1/HTML/schema/ifcsharedfacilitieselements/pset/pset_manufactureroccurrence.htm" TargetMode="External"/><Relationship Id="rId117" Type="http://schemas.openxmlformats.org/officeDocument/2006/relationships/hyperlink" Target="https://standards.buildingsmart.org/IFC/RELEASE/IFC4/ADD2_TC1/HTML/schema/ifcmeasureresource/lexical/ifccontextdependentmeasure.htm" TargetMode="External"/><Relationship Id="rId671" Type="http://schemas.openxmlformats.org/officeDocument/2006/relationships/hyperlink" Target="https://standards.buildingsmart.org/IFC/RELEASE/IFC4/ADD2_TC1/HTML/schema/ifcsharedbldgserviceelements/lexical/ifcflowfittingtype.htm" TargetMode="External"/><Relationship Id="rId2352" Type="http://schemas.openxmlformats.org/officeDocument/2006/relationships/hyperlink" Target="https://standards.buildingsmart.org/IFC/RELEASE/IFC4/ADD2_TC1/HTML/schema/ifcplumbingfireprotectiondomain/pset/pset_wasteterminaltypewastetrap.htm" TargetMode="External"/><Relationship Id="rId3403" Type="http://schemas.openxmlformats.org/officeDocument/2006/relationships/hyperlink" Target="https://standards.buildingsmart.org/IFC/RELEASE/IFC4/ADD2_TC1/HTML/schema/ifcelectricaldomain/pset/pset_cablesegmenttypecoresegment.htm" TargetMode="External"/><Relationship Id="rId3610" Type="http://schemas.openxmlformats.org/officeDocument/2006/relationships/hyperlink" Target="https://standards.buildingsmart.org/IFC/RELEASE/IFC4/ADD2_TC1/HTML/schema/ifchvacdomain/pset/pset_coolingtowertypecommon.htm" TargetMode="External"/><Relationship Id="rId324" Type="http://schemas.openxmlformats.org/officeDocument/2006/relationships/hyperlink" Target="https://standards.buildingsmart.org/IFC/RELEASE/IFC4/ADD2_TC1/HTML/schema/ifcsharedbldgelements/lexical/ifcwalltypeenum.htm" TargetMode="External"/><Relationship Id="rId531" Type="http://schemas.openxmlformats.org/officeDocument/2006/relationships/hyperlink" Target="https://standards.buildingsmart.org/IFC/RELEASE/IFC4/ADD2_TC1/HTML/schema/ifcbuildingcontrolsdomain/lexical/ifccontrollertype.htm" TargetMode="External"/><Relationship Id="rId1161" Type="http://schemas.openxmlformats.org/officeDocument/2006/relationships/hyperlink" Target="https://standards.buildingsmart.org/IFC/RELEASE/IFC4/ADD2_TC1/HTML/schema/ifcprocessextension/lexical/ifcworkcalendar.htm" TargetMode="External"/><Relationship Id="rId2005" Type="http://schemas.openxmlformats.org/officeDocument/2006/relationships/hyperlink" Target="https://standards.buildingsmart.org/IFC/RELEASE/IFC4/ADD2_TC1/HTML/schema/ifcsharedmgmtelements/pset/pset_projectordermaintenanceworkorder.htm" TargetMode="External"/><Relationship Id="rId2212" Type="http://schemas.openxmlformats.org/officeDocument/2006/relationships/hyperlink" Target="https://standards.buildingsmart.org/IFC/RELEASE/IFC4/ADD2_TC1/HTML/schema/ifcbuildingcontrolsdomain/pset/pset_controllertypefloating.htm" TargetMode="External"/><Relationship Id="rId1021" Type="http://schemas.openxmlformats.org/officeDocument/2006/relationships/hyperlink" Target="https://standards.buildingsmart.org/IFC/RELEASE/IFC4/ADD2_TC1/HTML/schema/ifcstructuralanalysisdomain/lexical/ifcstructuralanalysismodel.htm" TargetMode="External"/><Relationship Id="rId1978" Type="http://schemas.openxmlformats.org/officeDocument/2006/relationships/hyperlink" Target="https://standards.buildingsmart.org/IFC/RELEASE/IFC4/ADD2_TC1/HTML/schema/ifchvacdomain/pset/pset_unitaryequipmenttypeairconditioningunit.htm" TargetMode="External"/><Relationship Id="rId3193" Type="http://schemas.openxmlformats.org/officeDocument/2006/relationships/hyperlink" Target="https://standards.buildingsmart.org/IFC/RELEASE/IFC4/ADD2_TC1/HTML/schema/ifchvacdomain/pset/pset_fanoccurrence.htm" TargetMode="External"/><Relationship Id="rId1838" Type="http://schemas.openxmlformats.org/officeDocument/2006/relationships/hyperlink" Target="https://standards.buildingsmart.org/IFC/RELEASE/IFC4/ADD2_TC1/HTML/schema/ifchvacdomain/pset/pset_tubebundletypefinned.htm" TargetMode="External"/><Relationship Id="rId3053" Type="http://schemas.openxmlformats.org/officeDocument/2006/relationships/hyperlink" Target="https://standards.buildingsmart.org/IFC/RELEASE/IFC4/ADD2_TC1/HTML/schema/ifcplumbingfireprotectiondomain/pset/pset_wasteterminaltypegullysump.htm" TargetMode="External"/><Relationship Id="rId3260" Type="http://schemas.openxmlformats.org/officeDocument/2006/relationships/hyperlink" Target="https://standards.buildingsmart.org/IFC/RELEASE/IFC4/ADD2_TC1/HTML/schema/ifcstructuralelementsdomain/pset/pset_precastslab.htm" TargetMode="External"/><Relationship Id="rId181" Type="http://schemas.openxmlformats.org/officeDocument/2006/relationships/hyperlink" Target="https://standards.buildingsmart.org/IFC/RELEASE/IFC4/ADD2_TC1/HTML/schema/ifcmeasureresource/lexical/ifcderivedunitenum.htm" TargetMode="External"/><Relationship Id="rId1905" Type="http://schemas.openxmlformats.org/officeDocument/2006/relationships/hyperlink" Target="https://standards.buildingsmart.org/IFC/RELEASE/IFC4/ADD2_TC1/HTML/schema/ifcstructuralelementsdomain/pset/pset_reinforcementbarpitchofslab.htm" TargetMode="External"/><Relationship Id="rId3120" Type="http://schemas.openxmlformats.org/officeDocument/2006/relationships/hyperlink" Target="https://standards.buildingsmart.org/IFC/RELEASE/IFC4/ADD2_TC1/HTML/schema/ifchvacdomain/pset/pset_valvetypecommon.htm" TargetMode="External"/><Relationship Id="rId998" Type="http://schemas.openxmlformats.org/officeDocument/2006/relationships/hyperlink" Target="https://standards.buildingsmart.org/IFC/RELEASE/IFC4/ADD2_TC1/HTML/schema/ifcelectricaldomain/lexical/ifcsolardevice.htm" TargetMode="External"/><Relationship Id="rId2679" Type="http://schemas.openxmlformats.org/officeDocument/2006/relationships/hyperlink" Target="https://standards.buildingsmart.org/IFC/RELEASE/IFC4/ADD2_TC1/HTML/schema/ifcelectricaldomain/pset/pset_protectivedeviceoccurrence.htm" TargetMode="External"/><Relationship Id="rId2886" Type="http://schemas.openxmlformats.org/officeDocument/2006/relationships/hyperlink" Target="https://standards.buildingsmart.org/IFC/RELEASE/IFC4/ADD2_TC1/HTML/schema/ifchvacdomain/pset/pset_tubebundletypecommon.htm" TargetMode="External"/><Relationship Id="rId858" Type="http://schemas.openxmlformats.org/officeDocument/2006/relationships/hyperlink" Target="https://standards.buildingsmart.org/IFC/RELEASE/IFC4/ADD2_TC1/HTML/schema/ifckernel/lexical/ifcpropertydefinition.htm" TargetMode="External"/><Relationship Id="rId1488" Type="http://schemas.openxmlformats.org/officeDocument/2006/relationships/hyperlink" Target="https://standards.buildingsmart.org/IFC/RELEASE/IFC4/ADD2_TC1/HTML/schema/ifcsharedfacilitieselements/pset/pset_systemfurnitureelementtypeworksurface.htm" TargetMode="External"/><Relationship Id="rId1695" Type="http://schemas.openxmlformats.org/officeDocument/2006/relationships/hyperlink" Target="https://standards.buildingsmart.org/IFC/RELEASE/IFC4/ADD2_TC1/HTML/schema/ifcbuildingcontrolsdomain/pset/pset_sensorphistory.htm" TargetMode="External"/><Relationship Id="rId2539" Type="http://schemas.openxmlformats.org/officeDocument/2006/relationships/hyperlink" Target="https://standards.buildingsmart.org/IFC/RELEASE/IFC4/ADD2_TC1/HTML/schema/ifcplumbingfireprotectiondomain/pset/pset_interceptortypecommon.htm" TargetMode="External"/><Relationship Id="rId2746" Type="http://schemas.openxmlformats.org/officeDocument/2006/relationships/hyperlink" Target="https://standards.buildingsmart.org/IFC/RELEASE/IFC4/ADD2_TC1/HTML/schema/ifchvacdomain/pset/pset_damperphistory.htm" TargetMode="External"/><Relationship Id="rId2953" Type="http://schemas.openxmlformats.org/officeDocument/2006/relationships/hyperlink" Target="https://standards.buildingsmart.org/IFC/RELEASE/IFC4/ADD2_TC1/HTML/schema/ifcsharedbldgelements/pset/pset_doorcommon.htm" TargetMode="External"/><Relationship Id="rId718" Type="http://schemas.openxmlformats.org/officeDocument/2006/relationships/hyperlink" Target="https://standards.buildingsmart.org/IFC/RELEASE/IFC4/ADD2_TC1/HTML/schema/ifcsharedfacilitieselements/lexical/ifcinventory.htm" TargetMode="External"/><Relationship Id="rId925" Type="http://schemas.openxmlformats.org/officeDocument/2006/relationships/hyperlink" Target="https://standards.buildingsmart.org/IFC/RELEASE/IFC4/ADD2_TC1/HTML/schema/ifckernel/lexical/ifcrelconnects.htm" TargetMode="External"/><Relationship Id="rId1348" Type="http://schemas.openxmlformats.org/officeDocument/2006/relationships/hyperlink" Target="https://standards.buildingsmart.org/IFC/RELEASE/IFC4/ADD2_TC1/HTML/schema/ifcsharedcomponentelements/pset/pset_discreteaccessorywireloop.htm" TargetMode="External"/><Relationship Id="rId1555" Type="http://schemas.openxmlformats.org/officeDocument/2006/relationships/hyperlink" Target="https://standards.buildingsmart.org/IFC/RELEASE/IFC4/ADD2_TC1/HTML/schema/ifcsharedbldgserviceelements/pset/pset_thermalloadaggregate.htm" TargetMode="External"/><Relationship Id="rId1762" Type="http://schemas.openxmlformats.org/officeDocument/2006/relationships/hyperlink" Target="https://standards.buildingsmart.org/IFC/RELEASE/IFC4/ADD2_TC1/HTML/schema/ifcelectricaldomain/pset/pset_electricdistributionboardtypecommon.htm" TargetMode="External"/><Relationship Id="rId2606" Type="http://schemas.openxmlformats.org/officeDocument/2006/relationships/hyperlink" Target="https://standards.buildingsmart.org/IFC/RELEASE/IFC4/ADD2_TC1/HTML/schema/ifcstructuralelementsdomain/pset/pset_reinforcingmeshcommon.htm" TargetMode="External"/><Relationship Id="rId1208" Type="http://schemas.openxmlformats.org/officeDocument/2006/relationships/hyperlink" Target="https://standards.buildingsmart.org/IFC/RELEASE/IFC4/ADD2_TC1/HTML/schema/ifcelectricaldomain/qset/qto_electricmotorbasequantities.htm" TargetMode="External"/><Relationship Id="rId1415" Type="http://schemas.openxmlformats.org/officeDocument/2006/relationships/hyperlink" Target="https://standards.buildingsmart.org/IFC/RELEASE/IFC4/ADD2_TC1/HTML/schema/ifcsharedbldgelements/pset/pset_stairflightcommon.htm" TargetMode="External"/><Relationship Id="rId2813" Type="http://schemas.openxmlformats.org/officeDocument/2006/relationships/hyperlink" Target="https://standards.buildingsmart.org/IFC/RELEASE/IFC4/ADD2_TC1/HTML/schema/ifcelectricaldomain/pset/pset_cablesegmentoccurrence.htm" TargetMode="External"/><Relationship Id="rId54" Type="http://schemas.openxmlformats.org/officeDocument/2006/relationships/hyperlink" Target="https://standards.buildingsmart.org/IFC/RELEASE/IFC4/ADD2_TC1/HTML/schema/ifcmeasureresource/lexical/ifcnormalisedratiomeasure.htm" TargetMode="External"/><Relationship Id="rId1622" Type="http://schemas.openxmlformats.org/officeDocument/2006/relationships/hyperlink" Target="https://standards.buildingsmart.org/IFC/RELEASE/IFC4/ADD2_TC1/HTML/schema/ifchvacdomain/pset/pset_valvetypecommon.htm" TargetMode="External"/><Relationship Id="rId2189" Type="http://schemas.openxmlformats.org/officeDocument/2006/relationships/hyperlink" Target="https://standards.buildingsmart.org/IFC/RELEASE/IFC4/ADD2_TC1/HTML/schema/ifcbuildingcontrolsdomain/pset/pset_alarmtypecommon.htm" TargetMode="External"/><Relationship Id="rId3587" Type="http://schemas.openxmlformats.org/officeDocument/2006/relationships/hyperlink" Target="https://standards.buildingsmart.org/IFC/RELEASE/IFC4/ADD2_TC1/HTML/schema/ifcsharedbldgserviceelements/pset/pset_spacethermaldesign.htm" TargetMode="External"/><Relationship Id="rId2396" Type="http://schemas.openxmlformats.org/officeDocument/2006/relationships/hyperlink" Target="https://standards.buildingsmart.org/IFC/RELEASE/IFC4/ADD2_TC1/HTML/schema/ifchvacdomain/pset/pset_tanktypecommon.htm" TargetMode="External"/><Relationship Id="rId3447" Type="http://schemas.openxmlformats.org/officeDocument/2006/relationships/hyperlink" Target="https://standards.buildingsmart.org/IFC/RELEASE/IFC4/ADD2_TC1/HTML/schema/ifcplumbingfireprotectiondomain/pset/pset_firesuppressionterminaltypesprinkler.htm" TargetMode="External"/><Relationship Id="rId3654" Type="http://schemas.openxmlformats.org/officeDocument/2006/relationships/hyperlink" Target="https://standards.buildingsmart.org/IFC/RELEASE/IFC4/ADD2_TC1/HTML/schema/ifcsharedfacilitieselements/pset/pset_condition.htm" TargetMode="External"/><Relationship Id="rId368" Type="http://schemas.openxmlformats.org/officeDocument/2006/relationships/hyperlink" Target="https://standards.buildingsmart.org/IFC/RELEASE/IFC4/ADD2_TC1/HTML/schema/ifcpresentationappearanceresource/lexical/ifcpresentationstyleselect.htm" TargetMode="External"/><Relationship Id="rId575" Type="http://schemas.openxmlformats.org/officeDocument/2006/relationships/hyperlink" Target="https://standards.buildingsmart.org/IFC/RELEASE/IFC4/ADD2_TC1/HTML/schema/ifcproductextension/lexical/ifcdistributionelement.htm" TargetMode="External"/><Relationship Id="rId782" Type="http://schemas.openxmlformats.org/officeDocument/2006/relationships/hyperlink" Target="https://standards.buildingsmart.org/IFC/RELEASE/IFC4/ADD2_TC1/HTML/schema/ifckernel/lexical/ifcobjectdefinition.htm" TargetMode="External"/><Relationship Id="rId2049" Type="http://schemas.openxmlformats.org/officeDocument/2006/relationships/hyperlink" Target="https://standards.buildingsmart.org/IFC/RELEASE/IFC4/ADD2_TC1/HTML/schema/ifcelectricaldomain/pset/pset_protectivedevicetrippingfunctionscurve.htm" TargetMode="External"/><Relationship Id="rId2256" Type="http://schemas.openxmlformats.org/officeDocument/2006/relationships/hyperlink" Target="https://standards.buildingsmart.org/IFC/RELEASE/IFC4/ADD2_TC1/HTML/schema/ifchvacdomain/pset/pset_boilertypecommon.htm" TargetMode="External"/><Relationship Id="rId2463" Type="http://schemas.openxmlformats.org/officeDocument/2006/relationships/hyperlink" Target="https://standards.buildingsmart.org/IFC/RELEASE/IFC4/ADD2_TC1/HTML/schema/ifchvacdomain/pset/pset_boilertypecommon.htm" TargetMode="External"/><Relationship Id="rId2670" Type="http://schemas.openxmlformats.org/officeDocument/2006/relationships/hyperlink" Target="https://standards.buildingsmart.org/IFC/RELEASE/IFC4/ADD2_TC1/HTML/schema/ifcmaterialresource/pset/pset_materialfuel.htm" TargetMode="External"/><Relationship Id="rId3307" Type="http://schemas.openxmlformats.org/officeDocument/2006/relationships/hyperlink" Target="https://standards.buildingsmart.org/IFC/RELEASE/IFC4/ADD2_TC1/HTML/schema/ifchvacdomain/pset/pset_airterminaltypecommon.htm" TargetMode="External"/><Relationship Id="rId3514" Type="http://schemas.openxmlformats.org/officeDocument/2006/relationships/hyperlink" Target="https://standards.buildingsmart.org/IFC/RELEASE/IFC4/ADD2_TC1/HTML/schema/ifchvacdomain/pset/pset_chillertypecommon.htm" TargetMode="External"/><Relationship Id="rId3721" Type="http://schemas.openxmlformats.org/officeDocument/2006/relationships/hyperlink" Target="https://standards.buildingsmart.org/IFC/RELEASE/IFC4/ADD2_TC1/HTML/schema/ifchvacdomain/pset/pset_airterminaltypecommon.htm" TargetMode="External"/><Relationship Id="rId228" Type="http://schemas.openxmlformats.org/officeDocument/2006/relationships/hyperlink" Target="https://standards.buildingsmart.org/IFC/RELEASE/IFC4/ADD2_TC1/HTML/schema/ifcproductextension/lexical/ifcinternalorexternalenum.htm" TargetMode="External"/><Relationship Id="rId435" Type="http://schemas.openxmlformats.org/officeDocument/2006/relationships/hyperlink" Target="https://standards.buildingsmart.org/IFC/RELEASE/IFC4/ADD2_TC1/HTML/schema/ifcgeometricmodelresource/lexical/ifcbooleanclippingresult.htm" TargetMode="External"/><Relationship Id="rId642" Type="http://schemas.openxmlformats.org/officeDocument/2006/relationships/hyperlink" Target="https://standards.buildingsmart.org/IFC/RELEASE/IFC4/ADD2_TC1/HTML/schema/ifcproductextension/lexical/ifcexternalspatialstructureelement.htm" TargetMode="External"/><Relationship Id="rId1065" Type="http://schemas.openxmlformats.org/officeDocument/2006/relationships/hyperlink" Target="https://standards.buildingsmart.org/IFC/RELEASE/IFC4/ADD2_TC1/HTML/schema/ifcstructuralelementsdomain/lexical/ifcsurfacefeature.htm" TargetMode="External"/><Relationship Id="rId1272" Type="http://schemas.openxmlformats.org/officeDocument/2006/relationships/hyperlink" Target="https://standards.buildingsmart.org/IFC/RELEASE/IFC4/ADD2_TC1/HTML/schema/ifckernel/lexical/ifccorrectobjectassignment.htm" TargetMode="External"/><Relationship Id="rId2116" Type="http://schemas.openxmlformats.org/officeDocument/2006/relationships/hyperlink" Target="https://standards.buildingsmart.org/IFC/RELEASE/IFC4/ADD2_TC1/HTML/schema/ifcplumbingfireprotectiondomain/pset/pset_sanitaryterminaltypecommon.htm" TargetMode="External"/><Relationship Id="rId2323" Type="http://schemas.openxmlformats.org/officeDocument/2006/relationships/hyperlink" Target="https://standards.buildingsmart.org/IFC/RELEASE/IFC4/ADD2_TC1/HTML/schema/ifchvacdomain/pset/pset_boilerphistory.htm" TargetMode="External"/><Relationship Id="rId2530" Type="http://schemas.openxmlformats.org/officeDocument/2006/relationships/hyperlink" Target="https://standards.buildingsmart.org/IFC/RELEASE/IFC4/ADD2_TC1/HTML/schema/ifcplumbingfireprotectiondomain/pset/pset_wasteterminaltyperoofdrain.htm" TargetMode="External"/><Relationship Id="rId502" Type="http://schemas.openxmlformats.org/officeDocument/2006/relationships/hyperlink" Target="https://standards.buildingsmart.org/IFC/RELEASE/IFC4/ADD2_TC1/HTML/schema/ifcgeometryresource/lexical/ifccompositecurve.htm" TargetMode="External"/><Relationship Id="rId1132" Type="http://schemas.openxmlformats.org/officeDocument/2006/relationships/hyperlink" Target="https://standards.buildingsmart.org/IFC/RELEASE/IFC4/ADD2_TC1/HTML/schema/ifcbuildingcontrolsdomain/lexical/ifcunitarycontrolelement.htm" TargetMode="External"/><Relationship Id="rId3097" Type="http://schemas.openxmlformats.org/officeDocument/2006/relationships/hyperlink" Target="https://standards.buildingsmart.org/IFC/RELEASE/IFC4/ADD2_TC1/HTML/schema/ifchvacdomain/pset/pset_fanoccurrence.htm" TargetMode="External"/><Relationship Id="rId1949" Type="http://schemas.openxmlformats.org/officeDocument/2006/relationships/hyperlink" Target="https://standards.buildingsmart.org/IFC/RELEASE/IFC4/ADD2_TC1/HTML/schema/ifcbuildingcontrolsdomain/pset/pset_sensortypelevelsensor.htm" TargetMode="External"/><Relationship Id="rId3164" Type="http://schemas.openxmlformats.org/officeDocument/2006/relationships/hyperlink" Target="https://standards.buildingsmart.org/IFC/RELEASE/IFC4/ADD2_TC1/HTML/schema/ifcsharedbldgelements/pset/pset_buildingelementproxycommon.htm" TargetMode="External"/><Relationship Id="rId292" Type="http://schemas.openxmlformats.org/officeDocument/2006/relationships/hyperlink" Target="https://standards.buildingsmart.org/IFC/RELEASE/IFC4/ADD2_TC1/HTML/schema/ifcproductextension/lexical/ifcspatialzonetypeenum.htm" TargetMode="External"/><Relationship Id="rId1809" Type="http://schemas.openxmlformats.org/officeDocument/2006/relationships/hyperlink" Target="https://standards.buildingsmart.org/IFC/RELEASE/IFC4/ADD2_TC1/HTML/schema/ifcsharedcomponentelements/pset/pset_fastenerweld.htm" TargetMode="External"/><Relationship Id="rId3371" Type="http://schemas.openxmlformats.org/officeDocument/2006/relationships/hyperlink" Target="https://standards.buildingsmart.org/IFC/RELEASE/IFC4/ADD2_TC1/HTML/schema/ifcplumbingfireprotectiondomain/pset/pset_wasteterminaltypefloortrap.htm" TargetMode="External"/><Relationship Id="rId2180" Type="http://schemas.openxmlformats.org/officeDocument/2006/relationships/hyperlink" Target="https://standards.buildingsmart.org/IFC/RELEASE/IFC4/ADD2_TC1/HTML/schema/ifcelectricaldomain/pset/pset_cablecarrierfittingtypecommon.htm" TargetMode="External"/><Relationship Id="rId3024" Type="http://schemas.openxmlformats.org/officeDocument/2006/relationships/hyperlink" Target="https://standards.buildingsmart.org/IFC/RELEASE/IFC4/ADD2_TC1/HTML/schema/ifchvacdomain/pset/pset_tankoccurrence.htm" TargetMode="External"/><Relationship Id="rId3231" Type="http://schemas.openxmlformats.org/officeDocument/2006/relationships/hyperlink" Target="https://standards.buildingsmart.org/IFC/RELEASE/IFC4/ADD2_TC1/HTML/schema/ifcsharedbldgserviceelements/pset/pset_airsidesysteminformation.htm" TargetMode="External"/><Relationship Id="rId152" Type="http://schemas.openxmlformats.org/officeDocument/2006/relationships/hyperlink" Target="https://standards.buildingsmart.org/IFC/RELEASE/IFC4/ADD2_TC1/HTML/schema/ifchvacdomain/lexical/ifcburnertypeenum.htm" TargetMode="External"/><Relationship Id="rId2040" Type="http://schemas.openxmlformats.org/officeDocument/2006/relationships/hyperlink" Target="https://standards.buildingsmart.org/IFC/RELEASE/IFC4/ADD2_TC1/HTML/schema/ifcproductextension/pset/pset_buildinguse.htm" TargetMode="External"/><Relationship Id="rId2997" Type="http://schemas.openxmlformats.org/officeDocument/2006/relationships/hyperlink" Target="https://standards.buildingsmart.org/IFC/RELEASE/IFC4/ADD2_TC1/HTML/schema/ifcsharedbldgelements/pset/pset_stairflightcommon.htm" TargetMode="External"/><Relationship Id="rId969" Type="http://schemas.openxmlformats.org/officeDocument/2006/relationships/hyperlink" Target="https://standards.buildingsmart.org/IFC/RELEASE/IFC4/ADD2_TC1/HTML/schema/ifcgeometricmodelresource/lexical/ifcrightcircularcylinder.htm" TargetMode="External"/><Relationship Id="rId1599" Type="http://schemas.openxmlformats.org/officeDocument/2006/relationships/hyperlink" Target="https://standards.buildingsmart.org/IFC/RELEASE/IFC4/ADD2_TC1/HTML/schema/ifcsharedbldgelements/pset/pset_roofcommon.htm" TargetMode="External"/><Relationship Id="rId1459" Type="http://schemas.openxmlformats.org/officeDocument/2006/relationships/hyperlink" Target="https://standards.buildingsmart.org/IFC/RELEASE/IFC4/ADD2_TC1/HTML/schema/ifcsharedfacilitieselements/pset/pset_propertyagreement.htm" TargetMode="External"/><Relationship Id="rId2857" Type="http://schemas.openxmlformats.org/officeDocument/2006/relationships/hyperlink" Target="https://standards.buildingsmart.org/IFC/RELEASE/IFC4/ADD2_TC1/HTML/schema/ifcelectricaldomain/pset/pset_electricaldevicecommon.htm" TargetMode="External"/><Relationship Id="rId98" Type="http://schemas.openxmlformats.org/officeDocument/2006/relationships/hyperlink" Target="https://standards.buildingsmart.org/IFC/RELEASE/IFC4/ADD2_TC1/HTML/schema/ifcpresentationappearanceresource/lexical/ifcfontstyle.htm" TargetMode="External"/><Relationship Id="rId829" Type="http://schemas.openxmlformats.org/officeDocument/2006/relationships/hyperlink" Target="https://standards.buildingsmart.org/IFC/RELEASE/IFC4/ADD2_TC1/HTML/schema/ifcproductextension/lexical/ifcport.htm" TargetMode="External"/><Relationship Id="rId1666" Type="http://schemas.openxmlformats.org/officeDocument/2006/relationships/hyperlink" Target="https://standards.buildingsmart.org/IFC/RELEASE/IFC4/ADD2_TC1/HTML/schema/ifcsharedcomponentelements/pset/pset_fastenerweld.htm" TargetMode="External"/><Relationship Id="rId1873" Type="http://schemas.openxmlformats.org/officeDocument/2006/relationships/hyperlink" Target="https://standards.buildingsmart.org/IFC/RELEASE/IFC4/ADD2_TC1/HTML/schema/ifcsharedbldgserviceelements/pset/pset_distributionchamberelementtypemanhole.htm" TargetMode="External"/><Relationship Id="rId2717" Type="http://schemas.openxmlformats.org/officeDocument/2006/relationships/hyperlink" Target="https://standards.buildingsmart.org/IFC/RELEASE/IFC4/ADD2_TC1/HTML/schema/ifcsharedbldgelements/pset/pset_beamcommon.htm" TargetMode="External"/><Relationship Id="rId2924" Type="http://schemas.openxmlformats.org/officeDocument/2006/relationships/hyperlink" Target="https://standards.buildingsmart.org/IFC/RELEASE/IFC4/ADD2_TC1/HTML/schema/ifcelectricaldomain/pset/pset_audiovisualappliancetypespeaker.htm" TargetMode="External"/><Relationship Id="rId1319" Type="http://schemas.openxmlformats.org/officeDocument/2006/relationships/hyperlink" Target="https://standards.buildingsmart.org/IFC/RELEASE/IFC4/ADD2_TC1/HTML/schema/ifcstructuralelementsdomain/pset/pset_reinforcementbarcountofindependentfooting.htm" TargetMode="External"/><Relationship Id="rId1526" Type="http://schemas.openxmlformats.org/officeDocument/2006/relationships/hyperlink" Target="https://standards.buildingsmart.org/IFC/RELEASE/IFC4/ADD2_TC1/HTML/schema/ifcplumbingfireprotectiondomain/pset/pset_wasteterminaltypegullysump.htm" TargetMode="External"/><Relationship Id="rId1733" Type="http://schemas.openxmlformats.org/officeDocument/2006/relationships/hyperlink" Target="https://standards.buildingsmart.org/IFC/RELEASE/IFC4/ADD2_TC1/HTML/schema/ifchvacdomain/pset/pset_pipefittingtypecommon.htm" TargetMode="External"/><Relationship Id="rId1940" Type="http://schemas.openxmlformats.org/officeDocument/2006/relationships/hyperlink" Target="https://standards.buildingsmart.org/IFC/RELEASE/IFC4/ADD2_TC1/HTML/schema/ifcbuildingcontrolsdomain/pset/pset_sensortypeheatsensor.htm" TargetMode="External"/><Relationship Id="rId25" Type="http://schemas.openxmlformats.org/officeDocument/2006/relationships/hyperlink" Target="https://standards.buildingsmart.org/IFC/RELEASE/IFC4/ADD2_TC1/HTML/schema/ifcpresentationappearanceresource/lexical/ifcspecularexponent.htm" TargetMode="External"/><Relationship Id="rId1800" Type="http://schemas.openxmlformats.org/officeDocument/2006/relationships/hyperlink" Target="https://standards.buildingsmart.org/IFC/RELEASE/IFC4/ADD2_TC1/HTML/schema/ifcelectricaldomain/pset/pset_electricmotortypecommon.htm" TargetMode="External"/><Relationship Id="rId3698" Type="http://schemas.openxmlformats.org/officeDocument/2006/relationships/hyperlink" Target="https://standards.buildingsmart.org/IFC/RELEASE/IFC4/ADD2_TC1/HTML/schema/ifchvacdomain/pset/pset_ductsilencerphistory.htm" TargetMode="External"/><Relationship Id="rId3558" Type="http://schemas.openxmlformats.org/officeDocument/2006/relationships/hyperlink" Target="https://standards.buildingsmart.org/IFC/RELEASE/IFC4/ADD2_TC1/HTML/schema/ifcproductextension/pset/pset_spacecoveringrequirements.htm" TargetMode="External"/><Relationship Id="rId3765" Type="http://schemas.openxmlformats.org/officeDocument/2006/relationships/hyperlink" Target="https://standards.buildingsmart.org/IFC/RELEASE/IFC4/ADD2_TC1/HTML/schema/ifcsharedbldgserviceelements/pset/pset_distributionchamberelementtypeinspectionchamber.htm" TargetMode="External"/><Relationship Id="rId479" Type="http://schemas.openxmlformats.org/officeDocument/2006/relationships/hyperlink" Target="https://standards.buildingsmart.org/IFC/RELEASE/IFC4/ADD2_TC1/HTML/schema/ifcprofileresource/lexical/ifccenterlineprofiledef.htm" TargetMode="External"/><Relationship Id="rId686" Type="http://schemas.openxmlformats.org/officeDocument/2006/relationships/hyperlink" Target="https://standards.buildingsmart.org/IFC/RELEASE/IFC4/ADD2_TC1/HTML/schema/ifcstructuralelementsdomain/lexical/ifcfooting.htm" TargetMode="External"/><Relationship Id="rId893" Type="http://schemas.openxmlformats.org/officeDocument/2006/relationships/hyperlink" Target="https://standards.buildingsmart.org/IFC/RELEASE/IFC4/ADD2_TC1/HTML/schema/ifcprofileresource/lexical/ifcrectanglehollowprofiledef.htm" TargetMode="External"/><Relationship Id="rId2367" Type="http://schemas.openxmlformats.org/officeDocument/2006/relationships/hyperlink" Target="https://standards.buildingsmart.org/IFC/RELEASE/IFC4/ADD2_TC1/HTML/schema/ifchvacdomain/pset/pset_filtertypecommon.htm" TargetMode="External"/><Relationship Id="rId2574" Type="http://schemas.openxmlformats.org/officeDocument/2006/relationships/hyperlink" Target="https://standards.buildingsmart.org/IFC/RELEASE/IFC4/ADD2_TC1/HTML/schema/ifcplumbingfireprotectiondomain/pset/pset_sanitaryterminaltypesanitaryfountain.htm" TargetMode="External"/><Relationship Id="rId2781" Type="http://schemas.openxmlformats.org/officeDocument/2006/relationships/hyperlink" Target="https://standards.buildingsmart.org/IFC/RELEASE/IFC4/ADD2_TC1/HTML/schema/ifcsharedbldgelements/pset/pset_doorwindowglazingtype.htm" TargetMode="External"/><Relationship Id="rId3418" Type="http://schemas.openxmlformats.org/officeDocument/2006/relationships/hyperlink" Target="https://standards.buildingsmart.org/IFC/RELEASE/IFC4/ADD2_TC1/HTML/schema/ifchvacdomain/pset/pset_dampertypefiresmokedamper.htm" TargetMode="External"/><Relationship Id="rId3625" Type="http://schemas.openxmlformats.org/officeDocument/2006/relationships/hyperlink" Target="https://standards.buildingsmart.org/IFC/RELEASE/IFC4/ADD2_TC1/HTML/schema/ifcsharedfacilitieselements/pset/pset_manufactureroccurrence.htm" TargetMode="External"/><Relationship Id="rId339" Type="http://schemas.openxmlformats.org/officeDocument/2006/relationships/hyperlink" Target="https://standards.buildingsmart.org/IFC/RELEASE/IFC4/ADD2_TC1/HTML/schema/ifcgeometricmodelresource/lexical/ifcbooleanoperand.htm" TargetMode="External"/><Relationship Id="rId546" Type="http://schemas.openxmlformats.org/officeDocument/2006/relationships/hyperlink" Target="https://standards.buildingsmart.org/IFC/RELEASE/IFC4/ADD2_TC1/HTML/schema/ifcconstructionmgmtdomain/lexical/ifccrewresourcetype.htm" TargetMode="External"/><Relationship Id="rId753" Type="http://schemas.openxmlformats.org/officeDocument/2006/relationships/hyperlink" Target="https://standards.buildingsmart.org/IFC/RELEASE/IFC4/ADD2_TC1/HTML/schema/ifcrepresentationresource/lexical/ifcmaterialdefinitionrepresentation.htm" TargetMode="External"/><Relationship Id="rId1176" Type="http://schemas.openxmlformats.org/officeDocument/2006/relationships/hyperlink" Target="https://standards.buildingsmart.org/IFC/RELEASE/IFC4/ADD2_TC1/HTML/schema/ifcproductextension/qset/qto_buildingbasequantities.htm" TargetMode="External"/><Relationship Id="rId1383" Type="http://schemas.openxmlformats.org/officeDocument/2006/relationships/hyperlink" Target="https://standards.buildingsmart.org/IFC/RELEASE/IFC4/ADD2_TC1/HTML/schema/ifcmaterialresource/pset/pset_materialconcrete.htm" TargetMode="External"/><Relationship Id="rId2227" Type="http://schemas.openxmlformats.org/officeDocument/2006/relationships/hyperlink" Target="https://standards.buildingsmart.org/IFC/RELEASE/IFC4/ADD2_TC1/HTML/schema/ifcproductextension/pset/pset_zonecommon.htm" TargetMode="External"/><Relationship Id="rId2434" Type="http://schemas.openxmlformats.org/officeDocument/2006/relationships/hyperlink" Target="https://standards.buildingsmart.org/IFC/RELEASE/IFC4/ADD2_TC1/HTML/schema/ifchvacdomain/pset/pset_cooledbeamtypecommon.htm" TargetMode="External"/><Relationship Id="rId406" Type="http://schemas.openxmlformats.org/officeDocument/2006/relationships/hyperlink" Target="https://standards.buildingsmart.org/IFC/RELEASE/IFC4/ADD2_TC1/HTML/schema/ifchvacdomain/lexical/ifcairterminalboxtype.htm" TargetMode="External"/><Relationship Id="rId960" Type="http://schemas.openxmlformats.org/officeDocument/2006/relationships/hyperlink" Target="https://standards.buildingsmart.org/IFC/RELEASE/IFC4/ADD2_TC1/HTML/schema/ifcgeometryresource/lexical/ifcrepresentationmap.htm" TargetMode="External"/><Relationship Id="rId1036" Type="http://schemas.openxmlformats.org/officeDocument/2006/relationships/hyperlink" Target="https://standards.buildingsmart.org/IFC/RELEASE/IFC4/ADD2_TC1/HTML/schema/ifcstructuralloadresource/lexical/ifcstructuralloadorresult.htm" TargetMode="External"/><Relationship Id="rId1243" Type="http://schemas.openxmlformats.org/officeDocument/2006/relationships/hyperlink" Target="https://standards.buildingsmart.org/IFC/RELEASE/IFC4/ADD2_TC1/HTML/schema/ifcproductextension/qset/qto_sitebasequantities.htm" TargetMode="External"/><Relationship Id="rId1590" Type="http://schemas.openxmlformats.org/officeDocument/2006/relationships/hyperlink" Target="https://standards.buildingsmart.org/IFC/RELEASE/IFC4/ADD2_TC1/HTML/schema/ifchvacdomain/pset/pset_tubebundletypefinned.htm" TargetMode="External"/><Relationship Id="rId2641" Type="http://schemas.openxmlformats.org/officeDocument/2006/relationships/hyperlink" Target="https://standards.buildingsmart.org/IFC/RELEASE/IFC4/ADD2_TC1/HTML/schema/ifcelectricaldomain/pset/pset_cablesegmentoccurrence.htm" TargetMode="External"/><Relationship Id="rId613" Type="http://schemas.openxmlformats.org/officeDocument/2006/relationships/hyperlink" Target="https://standards.buildingsmart.org/IFC/RELEASE/IFC4/ADD2_TC1/HTML/schema/ifcproductextension/lexical/ifcelement.htm" TargetMode="External"/><Relationship Id="rId820" Type="http://schemas.openxmlformats.org/officeDocument/2006/relationships/hyperlink" Target="https://standards.buildingsmart.org/IFC/RELEASE/IFC4/ADD2_TC1/HTML/schema/ifcsharedbldgelements/lexical/ifcplatestandardcase.htm" TargetMode="External"/><Relationship Id="rId1450" Type="http://schemas.openxmlformats.org/officeDocument/2006/relationships/hyperlink" Target="https://standards.buildingsmart.org/IFC/RELEASE/IFC4/ADD2_TC1/HTML/schema/ifcelectricaldomain/pset/pset_audiovisualappliancetypeprojector.htm" TargetMode="External"/><Relationship Id="rId2501" Type="http://schemas.openxmlformats.org/officeDocument/2006/relationships/hyperlink" Target="https://standards.buildingsmart.org/IFC/RELEASE/IFC4/ADD2_TC1/HTML/schema/ifcstructuralelementsdomain/pset/pset_reinforcingbarcommon.htm" TargetMode="External"/><Relationship Id="rId1103" Type="http://schemas.openxmlformats.org/officeDocument/2006/relationships/hyperlink" Target="https://standards.buildingsmart.org/IFC/RELEASE/IFC4/ADD2_TC1/HTML/schema/ifcpresentationappearanceresource/lexical/ifctextstyle.htm" TargetMode="External"/><Relationship Id="rId1310" Type="http://schemas.openxmlformats.org/officeDocument/2006/relationships/hyperlink" Target="https://standards.buildingsmart.org/IFC/RELEASE/IFC4/ADD2_TC1/HTML/schema/ifcelectricaldomain/pset/pset_audiovisualappliancetypecamera.htm" TargetMode="External"/><Relationship Id="rId3068" Type="http://schemas.openxmlformats.org/officeDocument/2006/relationships/hyperlink" Target="https://standards.buildingsmart.org/IFC/RELEASE/IFC4/ADD2_TC1/HTML/schema/ifcsharedbldgelements/pset/pset_doorwindowglazingtype.htm" TargetMode="External"/><Relationship Id="rId3275" Type="http://schemas.openxmlformats.org/officeDocument/2006/relationships/hyperlink" Target="https://standards.buildingsmart.org/IFC/RELEASE/IFC4/ADD2_TC1/HTML/schema/ifcsharedbldgserviceelements/pset/pset_spacethermalloadphistory.htm" TargetMode="External"/><Relationship Id="rId3482" Type="http://schemas.openxmlformats.org/officeDocument/2006/relationships/hyperlink" Target="https://standards.buildingsmart.org/IFC/RELEASE/IFC4/ADD2_TC1/HTML/schema/ifcsharedbldgelements/pset/pset_slabcommon.htm" TargetMode="External"/><Relationship Id="rId196" Type="http://schemas.openxmlformats.org/officeDocument/2006/relationships/hyperlink" Target="https://standards.buildingsmart.org/IFC/RELEASE/IFC4/ADD2_TC1/HTML/schema/ifchvacdomain/lexical/ifcductsegmenttypeenum.htm" TargetMode="External"/><Relationship Id="rId2084" Type="http://schemas.openxmlformats.org/officeDocument/2006/relationships/hyperlink" Target="https://standards.buildingsmart.org/IFC/RELEASE/IFC4/ADD2_TC1/HTML/schema/ifcstructuralelementsdomain/pset/pset_reinforcementbarpitchofcontinuousfooting.htm" TargetMode="External"/><Relationship Id="rId2291" Type="http://schemas.openxmlformats.org/officeDocument/2006/relationships/hyperlink" Target="https://standards.buildingsmart.org/IFC/RELEASE/IFC4/ADD2_TC1/HTML/schema/ifcmaterialresource/pset/pset_materialmechanical.htm" TargetMode="External"/><Relationship Id="rId3135" Type="http://schemas.openxmlformats.org/officeDocument/2006/relationships/hyperlink" Target="https://standards.buildingsmart.org/IFC/RELEASE/IFC4/ADD2_TC1/HTML/schema/ifcprofileresource/pset/pset_profilearbitrarydoublet.htm" TargetMode="External"/><Relationship Id="rId3342" Type="http://schemas.openxmlformats.org/officeDocument/2006/relationships/hyperlink" Target="https://standards.buildingsmart.org/IFC/RELEASE/IFC4/ADD2_TC1/HTML/schema/ifcsharedbldgserviceelements/pset/pset_distributionportphistorycable.htm" TargetMode="External"/><Relationship Id="rId263" Type="http://schemas.openxmlformats.org/officeDocument/2006/relationships/hyperlink" Target="https://standards.buildingsmart.org/IFC/RELEASE/IFC4/ADD2_TC1/HTML/schema/ifcproductextension/lexical/ifcprojectionelementtypeenum.htm" TargetMode="External"/><Relationship Id="rId470" Type="http://schemas.openxmlformats.org/officeDocument/2006/relationships/hyperlink" Target="https://standards.buildingsmart.org/IFC/RELEASE/IFC4/ADD2_TC1/HTML/schema/ifcgeometryresource/lexical/ifccartesianpoint.htm" TargetMode="External"/><Relationship Id="rId2151" Type="http://schemas.openxmlformats.org/officeDocument/2006/relationships/hyperlink" Target="https://standards.buildingsmart.org/IFC/RELEASE/IFC4/ADD2_TC1/HTML/schema/ifcsharedcomponentelements/pset/pset_elementcomponentcommon.htm" TargetMode="External"/><Relationship Id="rId3202" Type="http://schemas.openxmlformats.org/officeDocument/2006/relationships/hyperlink" Target="https://standards.buildingsmart.org/IFC/RELEASE/IFC4/ADD2_TC1/HTML/schema/ifchvacdomain/pset/pset_condensertypecommon.htm" TargetMode="External"/><Relationship Id="rId123" Type="http://schemas.openxmlformats.org/officeDocument/2006/relationships/hyperlink" Target="https://standards.buildingsmart.org/IFC/RELEASE/IFC4/ADD2_TC1/HTML/schema/ifcmeasureresource/lexical/ifcareadensitymeasure.htm" TargetMode="External"/><Relationship Id="rId330" Type="http://schemas.openxmlformats.org/officeDocument/2006/relationships/hyperlink" Target="https://standards.buildingsmart.org/IFC/RELEASE/IFC4/ADD2_TC1/HTML/schema/ifcsharedbldgelements/lexical/ifcwindowtypeenum.htm" TargetMode="External"/><Relationship Id="rId2011" Type="http://schemas.openxmlformats.org/officeDocument/2006/relationships/hyperlink" Target="https://standards.buildingsmart.org/IFC/RELEASE/IFC4/ADD2_TC1/HTML/schema/ifcsharedbldgelements/pset/pset_shadingdevicecommon.htm" TargetMode="External"/><Relationship Id="rId2968" Type="http://schemas.openxmlformats.org/officeDocument/2006/relationships/hyperlink" Target="https://standards.buildingsmart.org/IFC/RELEASE/IFC4/ADD2_TC1/HTML/schema/ifcmaterialresource/pset/pset_materialfuel.htm" TargetMode="External"/><Relationship Id="rId1777" Type="http://schemas.openxmlformats.org/officeDocument/2006/relationships/hyperlink" Target="https://standards.buildingsmart.org/IFC/RELEASE/IFC4/ADD2_TC1/HTML/schema/ifcelectricaldomain/pset/pset_communicationsappliancetypecommon.htm" TargetMode="External"/><Relationship Id="rId1984" Type="http://schemas.openxmlformats.org/officeDocument/2006/relationships/hyperlink" Target="https://standards.buildingsmart.org/IFC/RELEASE/IFC4/ADD2_TC1/HTML/schema/ifcsharedbldgelements/pset/pset_doorcommon.htm" TargetMode="External"/><Relationship Id="rId2828" Type="http://schemas.openxmlformats.org/officeDocument/2006/relationships/hyperlink" Target="https://standards.buildingsmart.org/IFC/RELEASE/IFC4/ADD2_TC1/HTML/schema/ifcsharedbldgelements/pset/pset_staircommon.htm" TargetMode="External"/><Relationship Id="rId69" Type="http://schemas.openxmlformats.org/officeDocument/2006/relationships/hyperlink" Target="https://standards.buildingsmart.org/IFC/RELEASE/IFC4/ADD2_TC1/HTML/schema/ifcmeasureresource/lexical/ifcmagneticfluxmeasure.htm" TargetMode="External"/><Relationship Id="rId1637" Type="http://schemas.openxmlformats.org/officeDocument/2006/relationships/hyperlink" Target="https://standards.buildingsmart.org/IFC/RELEASE/IFC4/ADD2_TC1/HTML/schema/ifchvacdomain/pset/pset_airterminaltypecommon.htm" TargetMode="External"/><Relationship Id="rId1844" Type="http://schemas.openxmlformats.org/officeDocument/2006/relationships/hyperlink" Target="https://standards.buildingsmart.org/IFC/RELEASE/IFC4/ADD2_TC1/HTML/schema/ifcproductextension/pset/pset_spacethermalrequirements.htm" TargetMode="External"/><Relationship Id="rId1704" Type="http://schemas.openxmlformats.org/officeDocument/2006/relationships/hyperlink" Target="https://standards.buildingsmart.org/IFC/RELEASE/IFC4/ADD2_TC1/HTML/schema/ifchvacdomain/pset/pset_unitaryequipmenttypecommon.htm" TargetMode="External"/><Relationship Id="rId1911" Type="http://schemas.openxmlformats.org/officeDocument/2006/relationships/hyperlink" Target="https://standards.buildingsmart.org/IFC/RELEASE/IFC4/ADD2_TC1/HTML/schema/ifcelectricaldomain/pset/pset_electricflowstoragedevicetypecommon.htm" TargetMode="External"/><Relationship Id="rId3669" Type="http://schemas.openxmlformats.org/officeDocument/2006/relationships/hyperlink" Target="https://standards.buildingsmart.org/IFC/RELEASE/IFC4/ADD2_TC1/HTML/schema/ifchvacdomain/pset/pset_humidifiertypecommon.htm" TargetMode="External"/><Relationship Id="rId797" Type="http://schemas.openxmlformats.org/officeDocument/2006/relationships/hyperlink" Target="https://standards.buildingsmart.org/IFC/RELEASE/IFC4/ADD2_TC1/HTML/schema/ifcutilityresource/lexical/ifcownerhistory.htm" TargetMode="External"/><Relationship Id="rId2478" Type="http://schemas.openxmlformats.org/officeDocument/2006/relationships/hyperlink" Target="https://standards.buildingsmart.org/IFC/RELEASE/IFC4/ADD2_TC1/HTML/schema/ifcsharedbldgserviceelements/pset/pset_distributionporttypeduct.htm" TargetMode="External"/><Relationship Id="rId1287" Type="http://schemas.openxmlformats.org/officeDocument/2006/relationships/hyperlink" Target="https://standards.buildingsmart.org/IFC/RELEASE/IFC4/ADD2_TC1/HTML/schema/ifcgeometryresource/lexical/ifcorthogonalcomplement.htm" TargetMode="External"/><Relationship Id="rId2685" Type="http://schemas.openxmlformats.org/officeDocument/2006/relationships/hyperlink" Target="https://standards.buildingsmart.org/IFC/RELEASE/IFC4/ADD2_TC1/HTML/schema/ifcstructuralelementsdomain/pset/pset_reinforcingmeshcommon.htm" TargetMode="External"/><Relationship Id="rId2892" Type="http://schemas.openxmlformats.org/officeDocument/2006/relationships/hyperlink" Target="https://standards.buildingsmart.org/IFC/RELEASE/IFC4/ADD2_TC1/HTML/schema/ifcmaterialresource/pset/pset_materialwoodbasedbeam.htm" TargetMode="External"/><Relationship Id="rId3529" Type="http://schemas.openxmlformats.org/officeDocument/2006/relationships/hyperlink" Target="https://standards.buildingsmart.org/IFC/RELEASE/IFC4/ADD2_TC1/HTML/schema/ifcproductextension/pset/pset_transportelementelevator.htm" TargetMode="External"/><Relationship Id="rId3736" Type="http://schemas.openxmlformats.org/officeDocument/2006/relationships/hyperlink" Target="https://standards.buildingsmart.org/IFC/RELEASE/IFC4/ADD2_TC1/HTML/schema/ifcelectricaldomain/pset/pset_protectivedevicetrippingunitcurrentadjustment.htm" TargetMode="External"/><Relationship Id="rId657" Type="http://schemas.openxmlformats.org/officeDocument/2006/relationships/hyperlink" Target="https://standards.buildingsmart.org/IFC/RELEASE/IFC4/ADD2_TC1/HTML/schema/ifcproductextension/lexical/ifcfeatureelement.htm" TargetMode="External"/><Relationship Id="rId864" Type="http://schemas.openxmlformats.org/officeDocument/2006/relationships/hyperlink" Target="https://standards.buildingsmart.org/IFC/RELEASE/IFC4/ADD2_TC1/HTML/schema/ifckernel/lexical/ifcpropertyset.htm" TargetMode="External"/><Relationship Id="rId1494" Type="http://schemas.openxmlformats.org/officeDocument/2006/relationships/hyperlink" Target="https://standards.buildingsmart.org/IFC/RELEASE/IFC4/ADD2_TC1/HTML/schema/ifcelectricaldomain/pset/pset_protectivedevicetrippingfunctionlcurve.htm" TargetMode="External"/><Relationship Id="rId2338" Type="http://schemas.openxmlformats.org/officeDocument/2006/relationships/hyperlink" Target="https://standards.buildingsmart.org/IFC/RELEASE/IFC4/ADD2_TC1/HTML/schema/ifcelectricaldomain/pset/pset_cablesegmenttypecoresegment.htm" TargetMode="External"/><Relationship Id="rId2545" Type="http://schemas.openxmlformats.org/officeDocument/2006/relationships/hyperlink" Target="https://standards.buildingsmart.org/IFC/RELEASE/IFC4/ADD2_TC1/HTML/schema/ifcproductextension/pset/pset_zonecommon.htm" TargetMode="External"/><Relationship Id="rId2752" Type="http://schemas.openxmlformats.org/officeDocument/2006/relationships/hyperlink" Target="https://standards.buildingsmart.org/IFC/RELEASE/IFC4/ADD2_TC1/HTML/schema/ifchvacdomain/pset/pset_airtoairheatrecoveryphistory.htm" TargetMode="External"/><Relationship Id="rId517" Type="http://schemas.openxmlformats.org/officeDocument/2006/relationships/hyperlink" Target="https://standards.buildingsmart.org/IFC/RELEASE/IFC4/ADD2_TC1/HTML/schema/ifcgeometricconstraintresource/lexical/ifcconnectionvolumegeometry.htm" TargetMode="External"/><Relationship Id="rId724" Type="http://schemas.openxmlformats.org/officeDocument/2006/relationships/hyperlink" Target="https://standards.buildingsmart.org/IFC/RELEASE/IFC4/ADD2_TC1/HTML/schema/ifcconstructionmgmtdomain/lexical/ifclaborresource.htm" TargetMode="External"/><Relationship Id="rId931" Type="http://schemas.openxmlformats.org/officeDocument/2006/relationships/hyperlink" Target="https://standards.buildingsmart.org/IFC/RELEASE/IFC4/ADD2_TC1/HTML/schema/ifcstructuralanalysisdomain/lexical/ifcrelconnectsstructuralmember.htm" TargetMode="External"/><Relationship Id="rId1147" Type="http://schemas.openxmlformats.org/officeDocument/2006/relationships/hyperlink" Target="https://standards.buildingsmart.org/IFC/RELEASE/IFC4/ADD2_TC1/HTML/schema/ifcgeometricconstraintresource/lexical/ifcvirtualgridintersection.htm" TargetMode="External"/><Relationship Id="rId1354" Type="http://schemas.openxmlformats.org/officeDocument/2006/relationships/hyperlink" Target="https://standards.buildingsmart.org/IFC/RELEASE/IFC4/ADD2_TC1/HTML/schema/ifcsharedbldgserviceelements/pset/pset_distributionchamberelementtypesump.htm" TargetMode="External"/><Relationship Id="rId1561" Type="http://schemas.openxmlformats.org/officeDocument/2006/relationships/hyperlink" Target="https://standards.buildingsmart.org/IFC/RELEASE/IFC4/ADD2_TC1/HTML/schema/ifchvacdomain/pset/pset_dampertypecontroldamper.htm" TargetMode="External"/><Relationship Id="rId2405" Type="http://schemas.openxmlformats.org/officeDocument/2006/relationships/hyperlink" Target="https://standards.buildingsmart.org/IFC/RELEASE/IFC4/ADD2_TC1/HTML/schema/ifcsharedbldgserviceelements/pset/pset_distributionsystemtypeelectrical.htm" TargetMode="External"/><Relationship Id="rId2612" Type="http://schemas.openxmlformats.org/officeDocument/2006/relationships/hyperlink" Target="https://standards.buildingsmart.org/IFC/RELEASE/IFC4/ADD2_TC1/HTML/schema/ifcsharedbldgelements/pset/pset_shadingdevicecommon.htm" TargetMode="External"/><Relationship Id="rId60" Type="http://schemas.openxmlformats.org/officeDocument/2006/relationships/hyperlink" Target="https://standards.buildingsmart.org/IFC/RELEASE/IFC4/ADD2_TC1/HTML/schema/ifcmeasureresource/lexical/ifcmoisturediffusivitymeasure.htm" TargetMode="External"/><Relationship Id="rId1007" Type="http://schemas.openxmlformats.org/officeDocument/2006/relationships/hyperlink" Target="https://standards.buildingsmart.org/IFC/RELEASE/IFC4/ADD2_TC1/HTML/schema/ifcproductextension/lexical/ifcspatialstructureelement.htm" TargetMode="External"/><Relationship Id="rId1214" Type="http://schemas.openxmlformats.org/officeDocument/2006/relationships/hyperlink" Target="https://standards.buildingsmart.org/IFC/RELEASE/IFC4/ADD2_TC1/HTML/schema/ifcplumbingfireprotectiondomain/qset/qto_firesuppressionterminalbasequantities.htm" TargetMode="External"/><Relationship Id="rId1421" Type="http://schemas.openxmlformats.org/officeDocument/2006/relationships/hyperlink" Target="https://standards.buildingsmart.org/IFC/RELEASE/IFC4/ADD2_TC1/HTML/schema/ifchvacdomain/pset/pset_tubebundletypecommon.htm" TargetMode="External"/><Relationship Id="rId3179" Type="http://schemas.openxmlformats.org/officeDocument/2006/relationships/hyperlink" Target="https://standards.buildingsmart.org/IFC/RELEASE/IFC4/ADD2_TC1/HTML/schema/ifchvacdomain/pset/pset_airterminaltypecommon.htm" TargetMode="External"/><Relationship Id="rId3386" Type="http://schemas.openxmlformats.org/officeDocument/2006/relationships/hyperlink" Target="https://standards.buildingsmart.org/IFC/RELEASE/IFC4/ADD2_TC1/HTML/schema/ifchvacdomain/pset/pset_filtertypeairparticlefilter.htm" TargetMode="External"/><Relationship Id="rId3593" Type="http://schemas.openxmlformats.org/officeDocument/2006/relationships/hyperlink" Target="https://standards.buildingsmart.org/IFC/RELEASE/IFC4/ADD2_TC1/HTML/schema/ifchvacdomain/pset/pset_spaceheatertypecommon.htm" TargetMode="External"/><Relationship Id="rId2195" Type="http://schemas.openxmlformats.org/officeDocument/2006/relationships/hyperlink" Target="https://standards.buildingsmart.org/IFC/RELEASE/IFC4/ADD2_TC1/HTML/schema/ifcsharedbldgserviceelements/pset/pset_spacethermalload.htm" TargetMode="External"/><Relationship Id="rId3039" Type="http://schemas.openxmlformats.org/officeDocument/2006/relationships/hyperlink" Target="https://standards.buildingsmart.org/IFC/RELEASE/IFC4/ADD2_TC1/HTML/schema/ifcplumbingfireprotectiondomain/pset/pset_firesuppressionterminaltypebreechinginlet.htm" TargetMode="External"/><Relationship Id="rId3246" Type="http://schemas.openxmlformats.org/officeDocument/2006/relationships/hyperlink" Target="https://standards.buildingsmart.org/IFC/RELEASE/IFC4/ADD2_TC1/HTML/schema/ifcsharedbldgserviceelements/pset/pset_distributionsystemtypeelectrical.htm" TargetMode="External"/><Relationship Id="rId3453" Type="http://schemas.openxmlformats.org/officeDocument/2006/relationships/hyperlink" Target="https://standards.buildingsmart.org/IFC/RELEASE/IFC4/ADD2_TC1/HTML/schema/ifcsharedbldgserviceelements/pset/pset_distributionporttypecable.htm" TargetMode="External"/><Relationship Id="rId167" Type="http://schemas.openxmlformats.org/officeDocument/2006/relationships/hyperlink" Target="https://standards.buildingsmart.org/IFC/RELEASE/IFC4/ADD2_TC1/HTML/schema/ifcconstructionmgmtdomain/lexical/ifcconstructionequipmentresourcetypeenum.htm" TargetMode="External"/><Relationship Id="rId374" Type="http://schemas.openxmlformats.org/officeDocument/2006/relationships/hyperlink" Target="https://standards.buildingsmart.org/IFC/RELEASE/IFC4/ADD2_TC1/HTML/schema/ifckernel/lexical/ifcresourceselect.htm" TargetMode="External"/><Relationship Id="rId581" Type="http://schemas.openxmlformats.org/officeDocument/2006/relationships/hyperlink" Target="https://standards.buildingsmart.org/IFC/RELEASE/IFC4/ADD2_TC1/HTML/schema/ifcexternalreferenceresource/lexical/ifcdocumentinformation.htm" TargetMode="External"/><Relationship Id="rId2055" Type="http://schemas.openxmlformats.org/officeDocument/2006/relationships/hyperlink" Target="https://standards.buildingsmart.org/IFC/RELEASE/IFC4/ADD2_TC1/HTML/schema/ifcelectricaldomain/pset/pset_protectivedevicetrippingfunctiongcurve.htm" TargetMode="External"/><Relationship Id="rId2262" Type="http://schemas.openxmlformats.org/officeDocument/2006/relationships/hyperlink" Target="https://standards.buildingsmart.org/IFC/RELEASE/IFC4/ADD2_TC1/HTML/schema/ifcbuildingcontrolsdomain/pset/pset_flowinstrumenttypepressuregauge.htm" TargetMode="External"/><Relationship Id="rId3106" Type="http://schemas.openxmlformats.org/officeDocument/2006/relationships/hyperlink" Target="https://standards.buildingsmart.org/IFC/RELEASE/IFC4/ADD2_TC1/HTML/schema/ifchvacdomain/pset/pset_coiltypehydronic.htm" TargetMode="External"/><Relationship Id="rId3660" Type="http://schemas.openxmlformats.org/officeDocument/2006/relationships/hyperlink" Target="https://standards.buildingsmart.org/IFC/RELEASE/IFC4/ADD2_TC1/HTML/schema/ifcstructuralelementsdomain/pset/pset_precastconcreteelementfabrication.htm" TargetMode="External"/><Relationship Id="rId234" Type="http://schemas.openxmlformats.org/officeDocument/2006/relationships/hyperlink" Target="https://standards.buildingsmart.org/IFC/RELEASE/IFC4/ADD2_TC1/HTML/schema/ifcmaterialresource/lexical/ifclayersetdirectionenum.htm" TargetMode="External"/><Relationship Id="rId3313" Type="http://schemas.openxmlformats.org/officeDocument/2006/relationships/hyperlink" Target="https://standards.buildingsmart.org/IFC/RELEASE/IFC4/ADD2_TC1/HTML/schema/ifcstructuralelementsdomain/pset/pset_concreteelementgeneral.htm" TargetMode="External"/><Relationship Id="rId3520" Type="http://schemas.openxmlformats.org/officeDocument/2006/relationships/hyperlink" Target="https://standards.buildingsmart.org/IFC/RELEASE/IFC4/ADD2_TC1/HTML/schema/ifchvacdomain/pset/pset_dampertypefiredamper.htm" TargetMode="External"/><Relationship Id="rId441" Type="http://schemas.openxmlformats.org/officeDocument/2006/relationships/hyperlink" Target="https://standards.buildingsmart.org/IFC/RELEASE/IFC4/ADD2_TC1/HTML/schema/ifcstructuralloadresource/lexical/ifcboundarynodecondition.htm" TargetMode="External"/><Relationship Id="rId1071" Type="http://schemas.openxmlformats.org/officeDocument/2006/relationships/hyperlink" Target="https://standards.buildingsmart.org/IFC/RELEASE/IFC4/ADD2_TC1/HTML/schema/ifcpresentationappearanceresource/lexical/ifcsurfacestylerefraction.htm" TargetMode="External"/><Relationship Id="rId2122" Type="http://schemas.openxmlformats.org/officeDocument/2006/relationships/hyperlink" Target="https://standards.buildingsmart.org/IFC/RELEASE/IFC4/ADD2_TC1/HTML/schema/ifcsharedbldgelements/pset/pset_railingcommon.htm" TargetMode="External"/><Relationship Id="rId301" Type="http://schemas.openxmlformats.org/officeDocument/2006/relationships/hyperlink" Target="https://standards.buildingsmart.org/IFC/RELEASE/IFC4/ADD2_TC1/HTML/schema/ifcconstructionmgmtdomain/lexical/ifcsubcontractresourcetypeenum.htm" TargetMode="External"/><Relationship Id="rId1888" Type="http://schemas.openxmlformats.org/officeDocument/2006/relationships/hyperlink" Target="https://standards.buildingsmart.org/IFC/RELEASE/IFC4/ADD2_TC1/HTML/schema/ifchvacdomain/pset/pset_valvetypecommon.htm" TargetMode="External"/><Relationship Id="rId2939" Type="http://schemas.openxmlformats.org/officeDocument/2006/relationships/hyperlink" Target="https://standards.buildingsmart.org/IFC/RELEASE/IFC4/ADD2_TC1/HTML/schema/ifcelectricaldomain/pset/pset_protectivedevicebreakerunittypemotorprotection.htm" TargetMode="External"/><Relationship Id="rId1748" Type="http://schemas.openxmlformats.org/officeDocument/2006/relationships/hyperlink" Target="https://standards.buildingsmart.org/IFC/RELEASE/IFC4/ADD2_TC1/HTML/schema/ifchvacdomain/pset/pset_flowmetertypecommon.htm" TargetMode="External"/><Relationship Id="rId1955" Type="http://schemas.openxmlformats.org/officeDocument/2006/relationships/hyperlink" Target="https://standards.buildingsmart.org/IFC/RELEASE/IFC4/ADD2_TC1/HTML/schema/ifcbuildingcontrolsdomain/pset/pset_sensortypecontactsensor.htm" TargetMode="External"/><Relationship Id="rId3170" Type="http://schemas.openxmlformats.org/officeDocument/2006/relationships/hyperlink" Target="https://standards.buildingsmart.org/IFC/RELEASE/IFC4/ADD2_TC1/HTML/schema/ifcproductextension/pset/pset_transportelementcommon.htm" TargetMode="External"/><Relationship Id="rId1608" Type="http://schemas.openxmlformats.org/officeDocument/2006/relationships/hyperlink" Target="https://standards.buildingsmart.org/IFC/RELEASE/IFC4/ADD2_TC1/HTML/schema/ifcsharedbldgelements/pset/pset_beamcommon.htm" TargetMode="External"/><Relationship Id="rId1815" Type="http://schemas.openxmlformats.org/officeDocument/2006/relationships/hyperlink" Target="https://standards.buildingsmart.org/IFC/RELEASE/IFC4/ADD2_TC1/HTML/schema/ifcproductextension/pset/pset_buildingstoreycommon.htm" TargetMode="External"/><Relationship Id="rId3030" Type="http://schemas.openxmlformats.org/officeDocument/2006/relationships/hyperlink" Target="https://standards.buildingsmart.org/IFC/RELEASE/IFC4/ADD2_TC1/HTML/schema/ifcplumbingfireprotectiondomain/pset/pset_sanitaryterminaltypebath.htm" TargetMode="External"/><Relationship Id="rId2589" Type="http://schemas.openxmlformats.org/officeDocument/2006/relationships/hyperlink" Target="https://standards.buildingsmart.org/IFC/RELEASE/IFC4/ADD2_TC1/HTML/schema/ifcelectricaldomain/pset/pset_electricflowstoragedevicetypecommon.htm" TargetMode="External"/><Relationship Id="rId2796" Type="http://schemas.openxmlformats.org/officeDocument/2006/relationships/hyperlink" Target="https://standards.buildingsmart.org/IFC/RELEASE/IFC4/ADD2_TC1/HTML/schema/ifcelectricaldomain/pset/pset_cablecarriersegmenttypeconduitsegment.htm" TargetMode="External"/><Relationship Id="rId768" Type="http://schemas.openxmlformats.org/officeDocument/2006/relationships/hyperlink" Target="https://standards.buildingsmart.org/IFC/RELEASE/IFC4/ADD2_TC1/HTML/schema/ifcsharedcomponentelements/lexical/ifcmechanicalfastener.htm" TargetMode="External"/><Relationship Id="rId975" Type="http://schemas.openxmlformats.org/officeDocument/2006/relationships/hyperlink" Target="https://standards.buildingsmart.org/IFC/RELEASE/IFC4/ADD2_TC1/HTML/schema/ifcplumbingfireprotectiondomain/lexical/ifcsanitaryterminaltype.htm" TargetMode="External"/><Relationship Id="rId1398" Type="http://schemas.openxmlformats.org/officeDocument/2006/relationships/hyperlink" Target="https://standards.buildingsmart.org/IFC/RELEASE/IFC4/ADD2_TC1/HTML/schema/ifcsharedfacilitieselements/pset/pset_warranty.htm" TargetMode="External"/><Relationship Id="rId2449" Type="http://schemas.openxmlformats.org/officeDocument/2006/relationships/hyperlink" Target="https://standards.buildingsmart.org/IFC/RELEASE/IFC4/ADD2_TC1/HTML/schema/ifcelectricaldomain/pset/pset_electricflowstoragedevicetypecommon.htm" TargetMode="External"/><Relationship Id="rId2656" Type="http://schemas.openxmlformats.org/officeDocument/2006/relationships/hyperlink" Target="https://standards.buildingsmart.org/IFC/RELEASE/IFC4/ADD2_TC1/HTML/schema/ifcproductextension/pset/pset_buildinguseadjacent.htm" TargetMode="External"/><Relationship Id="rId2863" Type="http://schemas.openxmlformats.org/officeDocument/2006/relationships/hyperlink" Target="https://standards.buildingsmart.org/IFC/RELEASE/IFC4/ADD2_TC1/HTML/schema/ifcsharedfacilitieselements/pset/pset_servicelifefactors.htm" TargetMode="External"/><Relationship Id="rId3707" Type="http://schemas.openxmlformats.org/officeDocument/2006/relationships/hyperlink" Target="https://standards.buildingsmart.org/IFC/RELEASE/IFC4/ADD2_TC1/HTML/schema/ifchvacdomain/pset/pset_airterminaltypecommon.htm" TargetMode="External"/><Relationship Id="rId628" Type="http://schemas.openxmlformats.org/officeDocument/2006/relationships/hyperlink" Target="https://standards.buildingsmart.org/IFC/RELEASE/IFC4/ADD2_TC1/HTML/schema/ifchvacdomain/lexical/ifcevaporativecoolertype.htm" TargetMode="External"/><Relationship Id="rId835" Type="http://schemas.openxmlformats.org/officeDocument/2006/relationships/hyperlink" Target="https://standards.buildingsmart.org/IFC/RELEASE/IFC4/ADD2_TC1/HTML/schema/ifckernel/lexical/ifcpredefinedpropertyset.htm" TargetMode="External"/><Relationship Id="rId1258" Type="http://schemas.openxmlformats.org/officeDocument/2006/relationships/hyperlink" Target="https://standards.buildingsmart.org/IFC/RELEASE/IFC4/ADD2_TC1/HTML/schema/ifcsharedbldgelements/qset/qto_wallbasequantities.htm" TargetMode="External"/><Relationship Id="rId1465" Type="http://schemas.openxmlformats.org/officeDocument/2006/relationships/hyperlink" Target="https://standards.buildingsmart.org/IFC/RELEASE/IFC4/ADD2_TC1/HTML/schema/ifcsharedbldgserviceelements/pset/pset_spacethermaldesign.htm" TargetMode="External"/><Relationship Id="rId1672" Type="http://schemas.openxmlformats.org/officeDocument/2006/relationships/hyperlink" Target="https://standards.buildingsmart.org/IFC/RELEASE/IFC4/ADD2_TC1/HTML/schema/ifchvacdomain/pset/pset_airterminalphistory.htm" TargetMode="External"/><Relationship Id="rId2309" Type="http://schemas.openxmlformats.org/officeDocument/2006/relationships/hyperlink" Target="https://standards.buildingsmart.org/IFC/RELEASE/IFC4/ADD2_TC1/HTML/schema/ifcelectricaldomain/pset/pset_lightfixturetypesecuritylighting.htm" TargetMode="External"/><Relationship Id="rId2516" Type="http://schemas.openxmlformats.org/officeDocument/2006/relationships/hyperlink" Target="https://standards.buildingsmart.org/IFC/RELEASE/IFC4/ADD2_TC1/HTML/schema/ifcelectricaldomain/pset/pset_protectivedevicebreakeruniti2tcurve.htm" TargetMode="External"/><Relationship Id="rId2723" Type="http://schemas.openxmlformats.org/officeDocument/2006/relationships/hyperlink" Target="https://standards.buildingsmart.org/IFC/RELEASE/IFC4/ADD2_TC1/HTML/schema/ifcsharedbldgserviceelements/pset/pset_airsidesysteminformation.htm" TargetMode="External"/><Relationship Id="rId1118" Type="http://schemas.openxmlformats.org/officeDocument/2006/relationships/hyperlink" Target="https://standards.buildingsmart.org/IFC/RELEASE/IFC4/ADD2_TC1/HTML/schema/ifcelectricaldomain/lexical/ifctransformer.htm" TargetMode="External"/><Relationship Id="rId1325" Type="http://schemas.openxmlformats.org/officeDocument/2006/relationships/hyperlink" Target="https://standards.buildingsmart.org/IFC/RELEASE/IFC4/ADD2_TC1/HTML/schema/ifcprocessextension/pset/pset_workcontrolcommon.htm" TargetMode="External"/><Relationship Id="rId1532" Type="http://schemas.openxmlformats.org/officeDocument/2006/relationships/hyperlink" Target="https://standards.buildingsmart.org/IFC/RELEASE/IFC4/ADD2_TC1/HTML/schema/ifcstructuralelementsdomain/pset/pset_reinforcingmeshcommon.htm" TargetMode="External"/><Relationship Id="rId2930" Type="http://schemas.openxmlformats.org/officeDocument/2006/relationships/hyperlink" Target="https://standards.buildingsmart.org/IFC/RELEASE/IFC4/ADD2_TC1/HTML/schema/ifcsharedfacilitieselements/pset/pset_propertyagreement.htm" TargetMode="External"/><Relationship Id="rId902" Type="http://schemas.openxmlformats.org/officeDocument/2006/relationships/hyperlink" Target="https://standards.buildingsmart.org/IFC/RELEASE/IFC4/ADD2_TC1/HTML/schema/ifcstructuralelementsdomain/lexical/ifcreinforcingbar.htm" TargetMode="External"/><Relationship Id="rId3497" Type="http://schemas.openxmlformats.org/officeDocument/2006/relationships/hyperlink" Target="https://standards.buildingsmart.org/IFC/RELEASE/IFC4/ADD2_TC1/HTML/schema/ifcelectricaldomain/pset/pset_lamptypecommon.htm" TargetMode="External"/><Relationship Id="rId31" Type="http://schemas.openxmlformats.org/officeDocument/2006/relationships/hyperlink" Target="https://standards.buildingsmart.org/IFC/RELEASE/IFC4/ADD2_TC1/HTML/schema/ifcmeasureresource/lexical/ifcsolidanglemeasure.htm" TargetMode="External"/><Relationship Id="rId2099" Type="http://schemas.openxmlformats.org/officeDocument/2006/relationships/hyperlink" Target="https://standards.buildingsmart.org/IFC/RELEASE/IFC4/ADD2_TC1/HTML/schema/ifchvacdomain/pset/pset_tubebundletypecommon.htm" TargetMode="External"/><Relationship Id="rId278" Type="http://schemas.openxmlformats.org/officeDocument/2006/relationships/hyperlink" Target="https://standards.buildingsmart.org/IFC/RELEASE/IFC4/ADD2_TC1/HTML/schema/ifcactorresource/lexical/ifcroleenum.htm" TargetMode="External"/><Relationship Id="rId3357" Type="http://schemas.openxmlformats.org/officeDocument/2006/relationships/hyperlink" Target="https://standards.buildingsmart.org/IFC/RELEASE/IFC4/ADD2_TC1/HTML/schema/ifcelectricaldomain/pset/pset_protectivedevicetrippingfunctiongcurve.htm" TargetMode="External"/><Relationship Id="rId3564" Type="http://schemas.openxmlformats.org/officeDocument/2006/relationships/hyperlink" Target="https://standards.buildingsmart.org/IFC/RELEASE/IFC4/ADD2_TC1/HTML/schema/ifcproductextension/pset/pset_transportelementcommon.htm" TargetMode="External"/><Relationship Id="rId3771" Type="http://schemas.openxmlformats.org/officeDocument/2006/relationships/hyperlink" Target="https://standards.buildingsmart.org/IFC/RELEASE/IFC4/ADD2_TC1/HTML/schema/ifcsharedbldgserviceelements/pset/pset_distributionchamberelementtypemanhole.htm" TargetMode="External"/><Relationship Id="rId485" Type="http://schemas.openxmlformats.org/officeDocument/2006/relationships/hyperlink" Target="https://standards.buildingsmart.org/IFC/RELEASE/IFC4/ADD2_TC1/HTML/schema/ifcprofileresource/lexical/ifccirclehollowprofiledef.htm" TargetMode="External"/><Relationship Id="rId692" Type="http://schemas.openxmlformats.org/officeDocument/2006/relationships/hyperlink" Target="https://standards.buildingsmart.org/IFC/RELEASE/IFC4/ADD2_TC1/HTML/schema/ifcproductextension/lexical/ifcgeographicelement.htm" TargetMode="External"/><Relationship Id="rId2166" Type="http://schemas.openxmlformats.org/officeDocument/2006/relationships/hyperlink" Target="https://standards.buildingsmart.org/IFC/RELEASE/IFC4/ADD2_TC1/HTML/schema/ifcsharedbldgelements/pset/pset_coveringcommon.htm" TargetMode="External"/><Relationship Id="rId2373" Type="http://schemas.openxmlformats.org/officeDocument/2006/relationships/hyperlink" Target="https://standards.buildingsmart.org/IFC/RELEASE/IFC4/ADD2_TC1/HTML/schema/ifchvacdomain/pset/pset_airtoairheatrecoverytypecommon.htm" TargetMode="External"/><Relationship Id="rId2580" Type="http://schemas.openxmlformats.org/officeDocument/2006/relationships/hyperlink" Target="https://standards.buildingsmart.org/IFC/RELEASE/IFC4/ADD2_TC1/HTML/schema/ifcprofileresource/pset/pset_profilemechanical.htm" TargetMode="External"/><Relationship Id="rId3217" Type="http://schemas.openxmlformats.org/officeDocument/2006/relationships/hyperlink" Target="https://standards.buildingsmart.org/IFC/RELEASE/IFC4/ADD2_TC1/HTML/schema/ifchvacdomain/pset/pset_evaporatortypecommon.htm" TargetMode="External"/><Relationship Id="rId3424" Type="http://schemas.openxmlformats.org/officeDocument/2006/relationships/hyperlink" Target="https://standards.buildingsmart.org/IFC/RELEASE/IFC4/ADD2_TC1/HTML/schema/ifchvacdomain/pset/pset_coolingtowertypecommon.htm" TargetMode="External"/><Relationship Id="rId3631" Type="http://schemas.openxmlformats.org/officeDocument/2006/relationships/hyperlink" Target="https://standards.buildingsmart.org/IFC/RELEASE/IFC4/ADD2_TC1/HTML/schema/ifchvacdomain/pset/pset_shadingdevicephistory.htm" TargetMode="External"/><Relationship Id="rId138" Type="http://schemas.openxmlformats.org/officeDocument/2006/relationships/hyperlink" Target="https://standards.buildingsmart.org/IFC/RELEASE/IFC4/ADD2_TC1/HTML/schema/ifcstructuralanalysisdomain/lexical/ifcanalysismodeltypeenum.htm" TargetMode="External"/><Relationship Id="rId345" Type="http://schemas.openxmlformats.org/officeDocument/2006/relationships/hyperlink" Target="https://standards.buildingsmart.org/IFC/RELEASE/IFC4/ADD2_TC1/HTML/schema/ifcgeometricmodelresource/lexical/ifccsgselect.htm" TargetMode="External"/><Relationship Id="rId552" Type="http://schemas.openxmlformats.org/officeDocument/2006/relationships/hyperlink" Target="https://standards.buildingsmart.org/IFC/RELEASE/IFC4/ADD2_TC1/HTML/schema/ifcsharedbldgelements/lexical/ifccurtainwalltype.htm" TargetMode="External"/><Relationship Id="rId1182" Type="http://schemas.openxmlformats.org/officeDocument/2006/relationships/hyperlink" Target="https://standards.buildingsmart.org/IFC/RELEASE/IFC4/ADD2_TC1/HTML/schema/ifcelectricaldomain/qset/qto_cablefittingbasequantities.htm" TargetMode="External"/><Relationship Id="rId2026" Type="http://schemas.openxmlformats.org/officeDocument/2006/relationships/hyperlink" Target="https://standards.buildingsmart.org/IFC/RELEASE/IFC4/ADD2_TC1/HTML/schema/ifchvacdomain/pset/pset_cooledbeamphistory.htm" TargetMode="External"/><Relationship Id="rId2233" Type="http://schemas.openxmlformats.org/officeDocument/2006/relationships/hyperlink" Target="https://standards.buildingsmart.org/IFC/RELEASE/IFC4/ADD2_TC1/HTML/schema/ifcbuildingcontrolsdomain/pset/pset_controllertypeproportional.htm" TargetMode="External"/><Relationship Id="rId2440" Type="http://schemas.openxmlformats.org/officeDocument/2006/relationships/hyperlink" Target="https://standards.buildingsmart.org/IFC/RELEASE/IFC4/ADD2_TC1/HTML/schema/ifcsharedfacilitieselements/pset/pset_systemfurnitureelementtypepanel.htm" TargetMode="External"/><Relationship Id="rId205" Type="http://schemas.openxmlformats.org/officeDocument/2006/relationships/hyperlink" Target="https://standards.buildingsmart.org/IFC/RELEASE/IFC4/ADD2_TC1/HTML/schema/ifcproductextension/lexical/ifcelementcompositionenum.htm" TargetMode="External"/><Relationship Id="rId412" Type="http://schemas.openxmlformats.org/officeDocument/2006/relationships/hyperlink" Target="https://standards.buildingsmart.org/IFC/RELEASE/IFC4/ADD2_TC1/HTML/schema/ifcproductextension/lexical/ifcannotation.htm" TargetMode="External"/><Relationship Id="rId1042" Type="http://schemas.openxmlformats.org/officeDocument/2006/relationships/hyperlink" Target="https://standards.buildingsmart.org/IFC/RELEASE/IFC4/ADD2_TC1/HTML/schema/ifcstructuralloadresource/lexical/ifcstructuralloadstatic.htm" TargetMode="External"/><Relationship Id="rId2300" Type="http://schemas.openxmlformats.org/officeDocument/2006/relationships/hyperlink" Target="https://standards.buildingsmart.org/IFC/RELEASE/IFC4/ADD2_TC1/HTML/schema/ifcproductextension/pset/pset_buildinguseadjacent.htm" TargetMode="External"/><Relationship Id="rId1999" Type="http://schemas.openxmlformats.org/officeDocument/2006/relationships/hyperlink" Target="https://standards.buildingsmart.org/IFC/RELEASE/IFC4/ADD2_TC1/HTML/schema/ifchvacdomain/pset/pset_airtoairheatrecoverytypecommon.htm" TargetMode="External"/><Relationship Id="rId1859" Type="http://schemas.openxmlformats.org/officeDocument/2006/relationships/hyperlink" Target="https://standards.buildingsmart.org/IFC/RELEASE/IFC4/ADD2_TC1/HTML/schema/ifchvacdomain/pset/pset_coilphistory.htm" TargetMode="External"/><Relationship Id="rId3074" Type="http://schemas.openxmlformats.org/officeDocument/2006/relationships/hyperlink" Target="https://standards.buildingsmart.org/IFC/RELEASE/IFC4/ADD2_TC1/HTML/schema/ifcbuildingcontrolsdomain/pset/pset_sensortypegassensor.htm" TargetMode="External"/><Relationship Id="rId1719" Type="http://schemas.openxmlformats.org/officeDocument/2006/relationships/hyperlink" Target="https://standards.buildingsmart.org/IFC/RELEASE/IFC4/ADD2_TC1/HTML/schema/ifcsharedbldgelements/pset/pset_shadingdevicecommon.htm" TargetMode="External"/><Relationship Id="rId1926" Type="http://schemas.openxmlformats.org/officeDocument/2006/relationships/hyperlink" Target="https://standards.buildingsmart.org/IFC/RELEASE/IFC4/ADD2_TC1/HTML/schema/ifcprofileresource/pset/pset_profilemechanical.htm" TargetMode="External"/><Relationship Id="rId3281" Type="http://schemas.openxmlformats.org/officeDocument/2006/relationships/hyperlink" Target="https://standards.buildingsmart.org/IFC/RELEASE/IFC4/ADD2_TC1/HTML/schema/ifcplumbingfireprotectiondomain/pset/pset_sanitaryterminaltypesink.htm" TargetMode="External"/><Relationship Id="rId2090" Type="http://schemas.openxmlformats.org/officeDocument/2006/relationships/hyperlink" Target="https://standards.buildingsmart.org/IFC/RELEASE/IFC4/ADD2_TC1/HTML/schema/ifcproductextension/pset/pset_civilelementcommon.htm" TargetMode="External"/><Relationship Id="rId3141" Type="http://schemas.openxmlformats.org/officeDocument/2006/relationships/hyperlink" Target="https://standards.buildingsmart.org/IFC/RELEASE/IFC4/ADD2_TC1/HTML/schema/ifcsharedcomponentelements/pset/pset_discreteaccessoryfixingsocket.htm" TargetMode="External"/><Relationship Id="rId3001" Type="http://schemas.openxmlformats.org/officeDocument/2006/relationships/hyperlink" Target="https://standards.buildingsmart.org/IFC/RELEASE/IFC4/ADD2_TC1/HTML/schema/ifchvacdomain/pset/pset_tankoccurrence.htm" TargetMode="External"/><Relationship Id="rId879" Type="http://schemas.openxmlformats.org/officeDocument/2006/relationships/hyperlink" Target="https://standards.buildingsmart.org/IFC/RELEASE/IFC4/ADD2_TC1/HTML/schema/ifcquantityresource/lexical/ifcquantitycount.htm" TargetMode="External"/><Relationship Id="rId2767" Type="http://schemas.openxmlformats.org/officeDocument/2006/relationships/hyperlink" Target="https://standards.buildingsmart.org/IFC/RELEASE/IFC4/ADD2_TC1/HTML/schema/ifcbuildingcontrolsdomain/pset/pset_controllertypefloating.htm" TargetMode="External"/><Relationship Id="rId739" Type="http://schemas.openxmlformats.org/officeDocument/2006/relationships/hyperlink" Target="https://standards.buildingsmart.org/IFC/RELEASE/IFC4/ADD2_TC1/HTML/schema/ifcpresentationorganizationresource/lexical/ifclightsourcepositional.htm" TargetMode="External"/><Relationship Id="rId1369" Type="http://schemas.openxmlformats.org/officeDocument/2006/relationships/hyperlink" Target="https://standards.buildingsmart.org/IFC/RELEASE/IFC4/ADD2_TC1/HTML/schema/ifcsharedbldgserviceelements/pset/pset_outsidedesigncriteria.htm" TargetMode="External"/><Relationship Id="rId1576" Type="http://schemas.openxmlformats.org/officeDocument/2006/relationships/hyperlink" Target="https://standards.buildingsmart.org/IFC/RELEASE/IFC4/ADD2_TC1/HTML/schema/ifcbuildingcontrolsdomain/pset/pset_sensortypefiresensor.htm" TargetMode="External"/><Relationship Id="rId2974" Type="http://schemas.openxmlformats.org/officeDocument/2006/relationships/hyperlink" Target="https://standards.buildingsmart.org/IFC/RELEASE/IFC4/ADD2_TC1/HTML/schema/ifchvacdomain/pset/pset_spaceheatertypecommon.htm" TargetMode="External"/><Relationship Id="rId946" Type="http://schemas.openxmlformats.org/officeDocument/2006/relationships/hyperlink" Target="https://standards.buildingsmart.org/IFC/RELEASE/IFC4/ADD2_TC1/HTML/schema/ifcproductextension/lexical/ifcrelinterfereselements.htm" TargetMode="External"/><Relationship Id="rId1229" Type="http://schemas.openxmlformats.org/officeDocument/2006/relationships/hyperlink" Target="https://standards.buildingsmart.org/IFC/RELEASE/IFC4/ADD2_TC1/HTML/schema/ifcstructuralelementsdomain/qset/qto_pilebasequantities.htm" TargetMode="External"/><Relationship Id="rId1783" Type="http://schemas.openxmlformats.org/officeDocument/2006/relationships/hyperlink" Target="https://standards.buildingsmart.org/IFC/RELEASE/IFC4/ADD2_TC1/HTML/schema/ifcelectricaldomain/pset/pset_cablesegmenttypecommon.htm" TargetMode="External"/><Relationship Id="rId1990" Type="http://schemas.openxmlformats.org/officeDocument/2006/relationships/hyperlink" Target="https://standards.buildingsmart.org/IFC/RELEASE/IFC4/ADD2_TC1/HTML/schema/ifchvacdomain/pset/pset_tanktypesectional.htm" TargetMode="External"/><Relationship Id="rId2627" Type="http://schemas.openxmlformats.org/officeDocument/2006/relationships/hyperlink" Target="https://standards.buildingsmart.org/IFC/RELEASE/IFC4/ADD2_TC1/HTML/schema/ifcprofileresource/pset/pset_profilemechanical.htm" TargetMode="External"/><Relationship Id="rId2834" Type="http://schemas.openxmlformats.org/officeDocument/2006/relationships/hyperlink" Target="https://standards.buildingsmart.org/IFC/RELEASE/IFC4/ADD2_TC1/HTML/schema/ifcsharedbldgelements/pset/pset_rampcommon.htm" TargetMode="External"/><Relationship Id="rId75" Type="http://schemas.openxmlformats.org/officeDocument/2006/relationships/hyperlink" Target="https://standards.buildingsmart.org/IFC/RELEASE/IFC4/ADD2_TC1/HTML/schema/ifcgeometryresource/lexical/ifclineindex.htm" TargetMode="External"/><Relationship Id="rId806" Type="http://schemas.openxmlformats.org/officeDocument/2006/relationships/hyperlink" Target="https://standards.buildingsmart.org/IFC/RELEASE/IFC4/ADD2_TC1/HTML/schema/ifcquantityresource/lexical/ifcphysicalquantity.htm" TargetMode="External"/><Relationship Id="rId1436" Type="http://schemas.openxmlformats.org/officeDocument/2006/relationships/hyperlink" Target="https://standards.buildingsmart.org/IFC/RELEASE/IFC4/ADD2_TC1/HTML/schema/ifcsharedbldgelements/pset/pset_doorwindowglazingtype.htm" TargetMode="External"/><Relationship Id="rId1643" Type="http://schemas.openxmlformats.org/officeDocument/2006/relationships/hyperlink" Target="https://standards.buildingsmart.org/IFC/RELEASE/IFC4/ADD2_TC1/HTML/schema/ifcbuildingcontrolsdomain/pset/pset_unitarycontrolelementphistory.htm" TargetMode="External"/><Relationship Id="rId1850" Type="http://schemas.openxmlformats.org/officeDocument/2006/relationships/hyperlink" Target="https://standards.buildingsmart.org/IFC/RELEASE/IFC4/ADD2_TC1/HTML/schema/ifcproductextension/pset/pset_spacethermalrequirements.htm" TargetMode="External"/><Relationship Id="rId2901" Type="http://schemas.openxmlformats.org/officeDocument/2006/relationships/hyperlink" Target="https://standards.buildingsmart.org/IFC/RELEASE/IFC4/ADD2_TC1/HTML/schema/ifcplumbingfireprotectiondomain/pset/pset_wasteterminaltypegullytrap.htm" TargetMode="External"/><Relationship Id="rId1503" Type="http://schemas.openxmlformats.org/officeDocument/2006/relationships/hyperlink" Target="https://standards.buildingsmart.org/IFC/RELEASE/IFC4/ADD2_TC1/HTML/schema/ifchvacdomain/pset/pset_coolingtowerphistory.htm" TargetMode="External"/><Relationship Id="rId1710" Type="http://schemas.openxmlformats.org/officeDocument/2006/relationships/hyperlink" Target="https://standards.buildingsmart.org/IFC/RELEASE/IFC4/ADD2_TC1/HTML/schema/ifcstructuralelementsdomain/pset/pset_tendonanchorcommon.htm" TargetMode="External"/><Relationship Id="rId3468" Type="http://schemas.openxmlformats.org/officeDocument/2006/relationships/hyperlink" Target="https://standards.buildingsmart.org/IFC/RELEASE/IFC4/ADD2_TC1/HTML/schema/ifcproductextension/pset/pset_spacecoveringrequirements.htm" TargetMode="External"/><Relationship Id="rId3675" Type="http://schemas.openxmlformats.org/officeDocument/2006/relationships/hyperlink" Target="https://standards.buildingsmart.org/IFC/RELEASE/IFC4/ADD2_TC1/HTML/schema/ifcsharedbldgserviceelements/pset/pset_thermalloadaggregate.htm" TargetMode="External"/><Relationship Id="rId389" Type="http://schemas.openxmlformats.org/officeDocument/2006/relationships/hyperlink" Target="https://standards.buildingsmart.org/IFC/RELEASE/IFC4/ADD2_TC1/HTML/schema/ifcstructuralloadresource/lexical/ifctranslationalstiffnessselect.htm" TargetMode="External"/><Relationship Id="rId596" Type="http://schemas.openxmlformats.org/officeDocument/2006/relationships/hyperlink" Target="https://standards.buildingsmart.org/IFC/RELEASE/IFC4/ADD2_TC1/HTML/schema/ifchvacdomain/lexical/ifcductsilencer.htm" TargetMode="External"/><Relationship Id="rId2277" Type="http://schemas.openxmlformats.org/officeDocument/2006/relationships/hyperlink" Target="https://standards.buildingsmart.org/IFC/RELEASE/IFC4/ADD2_TC1/HTML/schema/ifcelectricaldomain/pset/pset_audiovisualappliancephistory.htm" TargetMode="External"/><Relationship Id="rId2484" Type="http://schemas.openxmlformats.org/officeDocument/2006/relationships/hyperlink" Target="https://standards.buildingsmart.org/IFC/RELEASE/IFC4/ADD2_TC1/HTML/schema/ifchvacdomain/pset/pset_condensertypecommon.htm" TargetMode="External"/><Relationship Id="rId2691" Type="http://schemas.openxmlformats.org/officeDocument/2006/relationships/hyperlink" Target="https://standards.buildingsmart.org/IFC/RELEASE/IFC4/ADD2_TC1/HTML/schema/ifchvacdomain/pset/pset_condenserphistory.htm" TargetMode="External"/><Relationship Id="rId3328" Type="http://schemas.openxmlformats.org/officeDocument/2006/relationships/hyperlink" Target="https://standards.buildingsmart.org/IFC/RELEASE/IFC4/ADD2_TC1/HTML/schema/ifcstructuralelementsdomain/pset/pset_reinforcementbarpitchofslab.htm" TargetMode="External"/><Relationship Id="rId3535" Type="http://schemas.openxmlformats.org/officeDocument/2006/relationships/hyperlink" Target="https://standards.buildingsmart.org/IFC/RELEASE/IFC4/ADD2_TC1/HTML/schema/ifcplumbingfireprotectiondomain/pset/pset_firesuppressionterminaltypehosereel.htm" TargetMode="External"/><Relationship Id="rId3742" Type="http://schemas.openxmlformats.org/officeDocument/2006/relationships/hyperlink" Target="https://standards.buildingsmart.org/IFC/RELEASE/IFC4/ADD2_TC1/HTML/schema/ifcstructuralelementsdomain/pset/pset_precastconcreteelementfabrication.htm" TargetMode="External"/><Relationship Id="rId249" Type="http://schemas.openxmlformats.org/officeDocument/2006/relationships/hyperlink" Target="https://standards.buildingsmart.org/IFC/RELEASE/IFC4/ADD2_TC1/HTML/schema/ifcelectricaldomain/lexical/ifcoutlettypeenum.htm" TargetMode="External"/><Relationship Id="rId456" Type="http://schemas.openxmlformats.org/officeDocument/2006/relationships/hyperlink" Target="https://standards.buildingsmart.org/IFC/RELEASE/IFC4/ADD2_TC1/HTML/schema/ifcsharedbldgelements/lexical/ifcbuildingelementproxytype.htm" TargetMode="External"/><Relationship Id="rId663" Type="http://schemas.openxmlformats.org/officeDocument/2006/relationships/hyperlink" Target="https://standards.buildingsmart.org/IFC/RELEASE/IFC4/ADD2_TC1/HTML/schema/ifchvacdomain/lexical/ifcfilter.htm" TargetMode="External"/><Relationship Id="rId870" Type="http://schemas.openxmlformats.org/officeDocument/2006/relationships/hyperlink" Target="https://standards.buildingsmart.org/IFC/RELEASE/IFC4/ADD2_TC1/HTML/schema/ifckernel/lexical/ifcpropertytemplatedefinition.htm" TargetMode="External"/><Relationship Id="rId1086" Type="http://schemas.openxmlformats.org/officeDocument/2006/relationships/hyperlink" Target="https://standards.buildingsmart.org/IFC/RELEASE/IFC4/ADD2_TC1/HTML/schema/ifcutilityresource/lexical/ifctablecolumn.htm" TargetMode="External"/><Relationship Id="rId1293" Type="http://schemas.openxmlformats.org/officeDocument/2006/relationships/hyperlink" Target="https://standards.buildingsmart.org/IFC/RELEASE/IFC4/ADD2_TC1/HTML/schema/ifcrepresentationresource/lexical/ifcsamevalidprecision.htm" TargetMode="External"/><Relationship Id="rId2137" Type="http://schemas.openxmlformats.org/officeDocument/2006/relationships/hyperlink" Target="https://standards.buildingsmart.org/IFC/RELEASE/IFC4/ADD2_TC1/HTML/schema/ifcelectricaldomain/pset/pset_junctionboxtypecommon.htm" TargetMode="External"/><Relationship Id="rId2344" Type="http://schemas.openxmlformats.org/officeDocument/2006/relationships/hyperlink" Target="https://standards.buildingsmart.org/IFC/RELEASE/IFC4/ADD2_TC1/HTML/schema/ifchvacdomain/pset/pset_unitaryequipmenttypeairconditioningunit.htm" TargetMode="External"/><Relationship Id="rId2551" Type="http://schemas.openxmlformats.org/officeDocument/2006/relationships/hyperlink" Target="https://standards.buildingsmart.org/IFC/RELEASE/IFC4/ADD2_TC1/HTML/schema/ifchvacdomain/pset/pset_airterminalphistory.htm" TargetMode="External"/><Relationship Id="rId109" Type="http://schemas.openxmlformats.org/officeDocument/2006/relationships/hyperlink" Target="https://standards.buildingsmart.org/IFC/RELEASE/IFC4/ADD2_TC1/HTML/schema/ifcgeometryresource/lexical/ifcdimensioncount.htm" TargetMode="External"/><Relationship Id="rId316" Type="http://schemas.openxmlformats.org/officeDocument/2006/relationships/hyperlink" Target="https://standards.buildingsmart.org/IFC/RELEASE/IFC4/ADD2_TC1/HTML/schema/ifcgeometryresource/lexical/ifctrimmingpreference.htm" TargetMode="External"/><Relationship Id="rId523" Type="http://schemas.openxmlformats.org/officeDocument/2006/relationships/hyperlink" Target="https://standards.buildingsmart.org/IFC/RELEASE/IFC4/ADD2_TC1/HTML/schema/ifcconstructionmgmtdomain/lexical/ifcconstructionproductresource.htm" TargetMode="External"/><Relationship Id="rId1153" Type="http://schemas.openxmlformats.org/officeDocument/2006/relationships/hyperlink" Target="https://standards.buildingsmart.org/IFC/RELEASE/IFC4/ADD2_TC1/HTML/schema/ifcplumbingfireprotectiondomain/lexical/ifcwasteterminal.htm" TargetMode="External"/><Relationship Id="rId2204" Type="http://schemas.openxmlformats.org/officeDocument/2006/relationships/hyperlink" Target="https://standards.buildingsmart.org/IFC/RELEASE/IFC4/ADD2_TC1/HTML/schema/ifcelectricaldomain/pset/pset_electricaldevicecommon.htm" TargetMode="External"/><Relationship Id="rId3602" Type="http://schemas.openxmlformats.org/officeDocument/2006/relationships/hyperlink" Target="https://standards.buildingsmart.org/IFC/RELEASE/IFC4/ADD2_TC1/HTML/schema/ifcstructuralelementsdomain/pset/pset_reinforcingbarcommon.htm" TargetMode="External"/><Relationship Id="rId730" Type="http://schemas.openxmlformats.org/officeDocument/2006/relationships/hyperlink" Target="https://standards.buildingsmart.org/IFC/RELEASE/IFC4/ADD2_TC1/HTML/schema/ifcexternalreferenceresource/lexical/ifclibraryreference.htm" TargetMode="External"/><Relationship Id="rId1013" Type="http://schemas.openxmlformats.org/officeDocument/2006/relationships/hyperlink" Target="https://standards.buildingsmart.org/IFC/RELEASE/IFC4/ADD2_TC1/HTML/schema/ifcplumbingfireprotectiondomain/lexical/ifcstackterminal.htm" TargetMode="External"/><Relationship Id="rId1360" Type="http://schemas.openxmlformats.org/officeDocument/2006/relationships/hyperlink" Target="https://standards.buildingsmart.org/IFC/RELEASE/IFC4/ADD2_TC1/HTML/schema/ifcsharedbldgserviceelements/pset/pset_distributionporttypeduct.htm" TargetMode="External"/><Relationship Id="rId2411" Type="http://schemas.openxmlformats.org/officeDocument/2006/relationships/hyperlink" Target="https://standards.buildingsmart.org/IFC/RELEASE/IFC4/ADD2_TC1/HTML/schema/ifcprofileresource/pset/pset_profilearbitraryhollowcore.htm" TargetMode="External"/><Relationship Id="rId1220" Type="http://schemas.openxmlformats.org/officeDocument/2006/relationships/hyperlink" Target="https://standards.buildingsmart.org/IFC/RELEASE/IFC4/ADD2_TC1/HTML/schema/ifcplumbingfireprotectiondomain/qset/qto_interceptorbasequantities.htm" TargetMode="External"/><Relationship Id="rId3185" Type="http://schemas.openxmlformats.org/officeDocument/2006/relationships/hyperlink" Target="https://standards.buildingsmart.org/IFC/RELEASE/IFC4/ADD2_TC1/HTML/schema/ifcsharedmgmtelements/pset/pset_projectordermaintenanceworkorder.htm" TargetMode="External"/><Relationship Id="rId3392" Type="http://schemas.openxmlformats.org/officeDocument/2006/relationships/hyperlink" Target="https://standards.buildingsmart.org/IFC/RELEASE/IFC4/ADD2_TC1/HTML/schema/ifcsharedcomponentelements/pset/pset_discreteaccessorycornerfixingplate.htm" TargetMode="External"/><Relationship Id="rId3045" Type="http://schemas.openxmlformats.org/officeDocument/2006/relationships/hyperlink" Target="https://standards.buildingsmart.org/IFC/RELEASE/IFC4/ADD2_TC1/HTML/schema/ifcproductextension/pset/pset_zonecommon.htm" TargetMode="External"/><Relationship Id="rId3252" Type="http://schemas.openxmlformats.org/officeDocument/2006/relationships/hyperlink" Target="https://standards.buildingsmart.org/IFC/RELEASE/IFC4/ADD2_TC1/HTML/schema/ifchvacdomain/pset/pset_evaporativecoolerphistory.htm" TargetMode="External"/><Relationship Id="rId173" Type="http://schemas.openxmlformats.org/officeDocument/2006/relationships/hyperlink" Target="https://standards.buildingsmart.org/IFC/RELEASE/IFC4/ADD2_TC1/HTML/schema/ifcsharedmgmtelements/lexical/ifccostitemtypeenum.htm" TargetMode="External"/><Relationship Id="rId380" Type="http://schemas.openxmlformats.org/officeDocument/2006/relationships/hyperlink" Target="https://standards.buildingsmart.org/IFC/RELEASE/IFC4/ADD2_TC1/HTML/schema/ifcgeometricconstraintresource/lexical/ifcsolidorshell.htm" TargetMode="External"/><Relationship Id="rId2061" Type="http://schemas.openxmlformats.org/officeDocument/2006/relationships/hyperlink" Target="https://standards.buildingsmart.org/IFC/RELEASE/IFC4/ADD2_TC1/HTML/schema/ifcelectricaldomain/pset/pset_protectivedevicetrippingfunctionscurve.htm" TargetMode="External"/><Relationship Id="rId3112" Type="http://schemas.openxmlformats.org/officeDocument/2006/relationships/hyperlink" Target="https://standards.buildingsmart.org/IFC/RELEASE/IFC4/ADD2_TC1/HTML/schema/ifchvacdomain/pset/pset_pumptypecommon.htm" TargetMode="External"/><Relationship Id="rId240" Type="http://schemas.openxmlformats.org/officeDocument/2006/relationships/hyperlink" Target="https://standards.buildingsmart.org/IFC/RELEASE/IFC4/ADD2_TC1/HTML/schema/ifcsharedcomponentelements/lexical/ifcmechanicalfastenertypeenum.htm" TargetMode="External"/><Relationship Id="rId100" Type="http://schemas.openxmlformats.org/officeDocument/2006/relationships/hyperlink" Target="https://standards.buildingsmart.org/IFC/RELEASE/IFC4/ADD2_TC1/HTML/schema/ifcmeasureresource/lexical/ifcelectricvoltagemeasure.htm" TargetMode="External"/><Relationship Id="rId2878" Type="http://schemas.openxmlformats.org/officeDocument/2006/relationships/hyperlink" Target="https://standards.buildingsmart.org/IFC/RELEASE/IFC4/ADD2_TC1/HTML/schema/ifchvacdomain/pset/pset_condenserphistory.htm" TargetMode="External"/><Relationship Id="rId1687" Type="http://schemas.openxmlformats.org/officeDocument/2006/relationships/hyperlink" Target="https://standards.buildingsmart.org/IFC/RELEASE/IFC4/ADD2_TC1/HTML/schema/ifcstructuralelementsdomain/pset/pset_reinforcementbarpitchofbeam.htm" TargetMode="External"/><Relationship Id="rId1894" Type="http://schemas.openxmlformats.org/officeDocument/2006/relationships/hyperlink" Target="https://standards.buildingsmart.org/IFC/RELEASE/IFC4/ADD2_TC1/HTML/schema/ifcbuildingcontrolsdomain/pset/pset_controllertypefloating.htm" TargetMode="External"/><Relationship Id="rId2738" Type="http://schemas.openxmlformats.org/officeDocument/2006/relationships/hyperlink" Target="https://standards.buildingsmart.org/IFC/RELEASE/IFC4/ADD2_TC1/HTML/schema/ifchvacdomain/pset/pset_ductsilencertypecommon.htm" TargetMode="External"/><Relationship Id="rId2945" Type="http://schemas.openxmlformats.org/officeDocument/2006/relationships/hyperlink" Target="https://standards.buildingsmart.org/IFC/RELEASE/IFC4/ADD2_TC1/HTML/schema/ifcelectricaldomain/pset/pset_protectivedevicetypefusedisconnector.htm" TargetMode="External"/><Relationship Id="rId917" Type="http://schemas.openxmlformats.org/officeDocument/2006/relationships/hyperlink" Target="https://standards.buildingsmart.org/IFC/RELEASE/IFC4/ADD2_TC1/HTML/schema/ifckernel/lexical/ifcrelassociates.htm" TargetMode="External"/><Relationship Id="rId1547" Type="http://schemas.openxmlformats.org/officeDocument/2006/relationships/hyperlink" Target="https://standards.buildingsmart.org/IFC/RELEASE/IFC4/ADD2_TC1/HTML/schema/ifchvacdomain/pset/pset_evaporativecoolerphistory.htm" TargetMode="External"/><Relationship Id="rId1754" Type="http://schemas.openxmlformats.org/officeDocument/2006/relationships/hyperlink" Target="https://standards.buildingsmart.org/IFC/RELEASE/IFC4/ADD2_TC1/HTML/schema/ifchvacdomain/pset/pset_evaporativecoolertypecommon.htm" TargetMode="External"/><Relationship Id="rId1961" Type="http://schemas.openxmlformats.org/officeDocument/2006/relationships/hyperlink" Target="https://standards.buildingsmart.org/IFC/RELEASE/IFC4/ADD2_TC1/HTML/schema/ifcelectricaldomain/pset/pset_switchingdevicetypecommon.htm" TargetMode="External"/><Relationship Id="rId2805" Type="http://schemas.openxmlformats.org/officeDocument/2006/relationships/hyperlink" Target="https://standards.buildingsmart.org/IFC/RELEASE/IFC4/ADD2_TC1/HTML/schema/ifchvacdomain/pset/pset_vibrationisolatortypecommon.htm" TargetMode="External"/><Relationship Id="rId46" Type="http://schemas.openxmlformats.org/officeDocument/2006/relationships/hyperlink" Target="https://standards.buildingsmart.org/IFC/RELEASE/IFC4/ADD2_TC1/HTML/schema/ifcmeasureresource/lexical/ifcpositiveplaneanglemeasure.htm" TargetMode="External"/><Relationship Id="rId1407" Type="http://schemas.openxmlformats.org/officeDocument/2006/relationships/hyperlink" Target="https://standards.buildingsmart.org/IFC/RELEASE/IFC4/ADD2_TC1/HTML/schema/ifcsharedbldgserviceelements/pset/pset_distributionchamberelementtypevalvechamber.htm" TargetMode="External"/><Relationship Id="rId1614" Type="http://schemas.openxmlformats.org/officeDocument/2006/relationships/hyperlink" Target="https://standards.buildingsmart.org/IFC/RELEASE/IFC4/ADD2_TC1/HTML/schema/ifcmaterialresource/pset/pset_materialoptical.htm" TargetMode="External"/><Relationship Id="rId1821" Type="http://schemas.openxmlformats.org/officeDocument/2006/relationships/hyperlink" Target="https://standards.buildingsmart.org/IFC/RELEASE/IFC4/ADD2_TC1/HTML/schema/ifcplumbingfireprotectiondomain/pset/pset_sanitaryterminaltypebidet.htm" TargetMode="External"/><Relationship Id="rId3579" Type="http://schemas.openxmlformats.org/officeDocument/2006/relationships/hyperlink" Target="https://standards.buildingsmart.org/IFC/RELEASE/IFC4/ADD2_TC1/HTML/schema/ifcproductextension/pset/pset_sitecommon.htm" TargetMode="External"/><Relationship Id="rId2388" Type="http://schemas.openxmlformats.org/officeDocument/2006/relationships/hyperlink" Target="https://standards.buildingsmart.org/IFC/RELEASE/IFC4/ADD2_TC1/HTML/schema/ifcsharedcomponentelements/pset/pset_mechanicalfastenerbolt.htm" TargetMode="External"/><Relationship Id="rId2595" Type="http://schemas.openxmlformats.org/officeDocument/2006/relationships/hyperlink" Target="https://standards.buildingsmart.org/IFC/RELEASE/IFC4/ADD2_TC1/HTML/schema/ifcbuildingcontrolsdomain/pset/pset_unitarycontrolelementphistory.htm" TargetMode="External"/><Relationship Id="rId3439" Type="http://schemas.openxmlformats.org/officeDocument/2006/relationships/hyperlink" Target="https://standards.buildingsmart.org/IFC/RELEASE/IFC4/ADD2_TC1/HTML/schema/ifcsharedbldgserviceelements/pset/pset_distributionporttypecable.htm" TargetMode="External"/><Relationship Id="rId567" Type="http://schemas.openxmlformats.org/officeDocument/2006/relationships/hyperlink" Target="https://standards.buildingsmart.org/IFC/RELEASE/IFC4/ADD2_TC1/HTML/schema/ifcgeometryresource/lexical/ifcdirection.htm" TargetMode="External"/><Relationship Id="rId1197" Type="http://schemas.openxmlformats.org/officeDocument/2006/relationships/hyperlink" Target="https://standards.buildingsmart.org/IFC/RELEASE/IFC4/ADD2_TC1/HTML/schema/ifcsharedbldgelements/qset/qto_curtainwallquantities.htm" TargetMode="External"/><Relationship Id="rId2248" Type="http://schemas.openxmlformats.org/officeDocument/2006/relationships/hyperlink" Target="https://standards.buildingsmart.org/IFC/RELEASE/IFC4/ADD2_TC1/HTML/schema/ifchvacdomain/pset/pset_airtoairheatrecoverytypecommon.htm" TargetMode="External"/><Relationship Id="rId3646" Type="http://schemas.openxmlformats.org/officeDocument/2006/relationships/hyperlink" Target="https://standards.buildingsmart.org/IFC/RELEASE/IFC4/ADD2_TC1/HTML/schema/ifchvacdomain/pset/pset_airterminalboxphistory.htm" TargetMode="External"/><Relationship Id="rId774" Type="http://schemas.openxmlformats.org/officeDocument/2006/relationships/hyperlink" Target="https://standards.buildingsmart.org/IFC/RELEASE/IFC4/ADD2_TC1/HTML/schema/ifcsharedbldgelements/lexical/ifcmembertype.htm" TargetMode="External"/><Relationship Id="rId981" Type="http://schemas.openxmlformats.org/officeDocument/2006/relationships/hyperlink" Target="https://standards.buildingsmart.org/IFC/RELEASE/IFC4/ADD2_TC1/HTML/schema/ifcbuildingcontrolsdomain/lexical/ifcsensor.htm" TargetMode="External"/><Relationship Id="rId1057" Type="http://schemas.openxmlformats.org/officeDocument/2006/relationships/hyperlink" Target="https://standards.buildingsmart.org/IFC/RELEASE/IFC4/ADD2_TC1/HTML/schema/ifcrepresentationresource/lexical/ifcstyledrepresentation.htm" TargetMode="External"/><Relationship Id="rId2455" Type="http://schemas.openxmlformats.org/officeDocument/2006/relationships/hyperlink" Target="https://standards.buildingsmart.org/IFC/RELEASE/IFC4/ADD2_TC1/HTML/schema/ifchvacdomain/pset/pset_coiltypecommon.htm" TargetMode="External"/><Relationship Id="rId2662" Type="http://schemas.openxmlformats.org/officeDocument/2006/relationships/hyperlink" Target="https://standards.buildingsmart.org/IFC/RELEASE/IFC4/ADD2_TC1/HTML/schema/ifcelectricaldomain/pset/pset_lightfixturetypecommon.htm" TargetMode="External"/><Relationship Id="rId3506" Type="http://schemas.openxmlformats.org/officeDocument/2006/relationships/hyperlink" Target="https://standards.buildingsmart.org/IFC/RELEASE/IFC4/ADD2_TC1/HTML/schema/ifchvacdomain/pset/pset_ductfittingoccurrence.htm" TargetMode="External"/><Relationship Id="rId3713" Type="http://schemas.openxmlformats.org/officeDocument/2006/relationships/hyperlink" Target="https://standards.buildingsmart.org/IFC/RELEASE/IFC4/ADD2_TC1/HTML/schema/ifchvacdomain/pset/pset_damperphistory.htm" TargetMode="External"/><Relationship Id="rId427" Type="http://schemas.openxmlformats.org/officeDocument/2006/relationships/hyperlink" Target="https://standards.buildingsmart.org/IFC/RELEASE/IFC4/ADD2_TC1/HTML/schema/ifcgeometryresource/lexical/ifcaxis2placement3d.htm" TargetMode="External"/><Relationship Id="rId634" Type="http://schemas.openxmlformats.org/officeDocument/2006/relationships/hyperlink" Target="https://standards.buildingsmart.org/IFC/RELEASE/IFC4/ADD2_TC1/HTML/schema/ifcpropertyresource/lexical/ifcextendedproperties.htm" TargetMode="External"/><Relationship Id="rId841" Type="http://schemas.openxmlformats.org/officeDocument/2006/relationships/hyperlink" Target="https://standards.buildingsmart.org/IFC/RELEASE/IFC4/ADD2_TC1/HTML/schema/ifcpresentationappearanceresource/lexical/ifcpresentationstyleassignment.htm" TargetMode="External"/><Relationship Id="rId1264" Type="http://schemas.openxmlformats.org/officeDocument/2006/relationships/hyperlink" Target="https://standards.buildingsmart.org/IFC/RELEASE/IFC4/ADD2_TC1/HTML/schema/ifcgeometryresource/lexical/ifcbuild2axes.htm" TargetMode="External"/><Relationship Id="rId1471" Type="http://schemas.openxmlformats.org/officeDocument/2006/relationships/hyperlink" Target="https://standards.buildingsmart.org/IFC/RELEASE/IFC4/ADD2_TC1/HTML/schema/ifcsharedbldgserviceelements/pset/pset_distributionporttypeduct.htm" TargetMode="External"/><Relationship Id="rId2108" Type="http://schemas.openxmlformats.org/officeDocument/2006/relationships/hyperlink" Target="https://standards.buildingsmart.org/IFC/RELEASE/IFC4/ADD2_TC1/HTML/schema/ifcplumbingfireprotectiondomain/pset/pset_stackterminaltypecommon.htm" TargetMode="External"/><Relationship Id="rId2315" Type="http://schemas.openxmlformats.org/officeDocument/2006/relationships/hyperlink" Target="https://standards.buildingsmart.org/IFC/RELEASE/IFC4/ADD2_TC1/HTML/schema/ifcelectricaldomain/pset/pset_protectivedevicetypecircuitbreaker.htm" TargetMode="External"/><Relationship Id="rId2522" Type="http://schemas.openxmlformats.org/officeDocument/2006/relationships/hyperlink" Target="https://standards.buildingsmart.org/IFC/RELEASE/IFC4/ADD2_TC1/HTML/schema/ifchvacdomain/pset/pset_coolingtowertypecommon.htm" TargetMode="External"/><Relationship Id="rId701" Type="http://schemas.openxmlformats.org/officeDocument/2006/relationships/hyperlink" Target="https://standards.buildingsmart.org/IFC/RELEASE/IFC4/ADD2_TC1/HTML/schema/ifcgeometricconstraintresource/lexical/ifcgridplacement.htm" TargetMode="External"/><Relationship Id="rId1124" Type="http://schemas.openxmlformats.org/officeDocument/2006/relationships/hyperlink" Target="https://standards.buildingsmart.org/IFC/RELEASE/IFC4/ADD2_TC1/HTML/schema/ifcgeometryresource/lexical/ifctrimmedcurve.htm" TargetMode="External"/><Relationship Id="rId1331" Type="http://schemas.openxmlformats.org/officeDocument/2006/relationships/hyperlink" Target="https://standards.buildingsmart.org/IFC/RELEASE/IFC4/ADD2_TC1/HTML/schema/ifcprocessextension/pset/pset_workcontrolcommon.htm" TargetMode="External"/><Relationship Id="rId3089" Type="http://schemas.openxmlformats.org/officeDocument/2006/relationships/hyperlink" Target="https://standards.buildingsmart.org/IFC/RELEASE/IFC4/ADD2_TC1/HTML/schema/ifcmaterialresource/pset/pset_materialthermal.htm" TargetMode="External"/><Relationship Id="rId3296" Type="http://schemas.openxmlformats.org/officeDocument/2006/relationships/hyperlink" Target="https://standards.buildingsmart.org/IFC/RELEASE/IFC4/ADD2_TC1/HTML/schema/ifcbuildingcontrolsdomain/pset/pset_flowinstrumenttypethermometer.htm" TargetMode="External"/><Relationship Id="rId3156" Type="http://schemas.openxmlformats.org/officeDocument/2006/relationships/hyperlink" Target="https://standards.buildingsmart.org/IFC/RELEASE/IFC4/ADD2_TC1/HTML/schema/ifcsharedbldgelements/pset/pset_rampcommon.htm" TargetMode="External"/><Relationship Id="rId3363" Type="http://schemas.openxmlformats.org/officeDocument/2006/relationships/hyperlink" Target="https://standards.buildingsmart.org/IFC/RELEASE/IFC4/ADD2_TC1/HTML/schema/ifcprofileresource/pset/pset_profilemechanical.htm" TargetMode="External"/><Relationship Id="rId284" Type="http://schemas.openxmlformats.org/officeDocument/2006/relationships/hyperlink" Target="https://standards.buildingsmart.org/IFC/RELEASE/IFC4/ADD2_TC1/HTML/schema/ifcsharedbldgelements/lexical/ifcshadingdevicetypeenum.htm" TargetMode="External"/><Relationship Id="rId491" Type="http://schemas.openxmlformats.org/officeDocument/2006/relationships/hyperlink" Target="https://standards.buildingsmart.org/IFC/RELEASE/IFC4/ADD2_TC1/HTML/schema/ifctopologyresource/lexical/ifcclosedshell.htm" TargetMode="External"/><Relationship Id="rId2172" Type="http://schemas.openxmlformats.org/officeDocument/2006/relationships/hyperlink" Target="https://standards.buildingsmart.org/IFC/RELEASE/IFC4/ADD2_TC1/HTML/schema/ifcelectricaldomain/pset/pset_communicationsappliancetypecommon.htm" TargetMode="External"/><Relationship Id="rId3016" Type="http://schemas.openxmlformats.org/officeDocument/2006/relationships/hyperlink" Target="https://standards.buildingsmart.org/IFC/RELEASE/IFC4/ADD2_TC1/HTML/schema/ifcelectricaldomain/pset/pset_electricmotortypecommon.htm" TargetMode="External"/><Relationship Id="rId3223" Type="http://schemas.openxmlformats.org/officeDocument/2006/relationships/hyperlink" Target="https://standards.buildingsmart.org/IFC/RELEASE/IFC4/ADD2_TC1/HTML/schema/ifcsharedbldgserviceelements/pset/pset_spacethermalload.htm" TargetMode="External"/><Relationship Id="rId3570" Type="http://schemas.openxmlformats.org/officeDocument/2006/relationships/hyperlink" Target="https://standards.buildingsmart.org/IFC/RELEASE/IFC4/ADD2_TC1/HTML/schema/ifchvacdomain/pset/pset_chillerphistory.htm" TargetMode="External"/><Relationship Id="rId144" Type="http://schemas.openxmlformats.org/officeDocument/2006/relationships/hyperlink" Target="https://standards.buildingsmart.org/IFC/RELEASE/IFC4/ADD2_TC1/HTML/schema/ifcconstraintresource/lexical/ifcbenchmarkenum.htm" TargetMode="External"/><Relationship Id="rId3430" Type="http://schemas.openxmlformats.org/officeDocument/2006/relationships/hyperlink" Target="https://standards.buildingsmart.org/IFC/RELEASE/IFC4/ADD2_TC1/HTML/schema/ifcproductextension/pset/pset_annotationcontourline.htm" TargetMode="External"/><Relationship Id="rId351" Type="http://schemas.openxmlformats.org/officeDocument/2006/relationships/hyperlink" Target="https://standards.buildingsmart.org/IFC/RELEASE/IFC4/ADD2_TC1/HTML/schema/ifcmeasureresource/lexical/ifcderivedmeasurevalue.htm" TargetMode="External"/><Relationship Id="rId2032" Type="http://schemas.openxmlformats.org/officeDocument/2006/relationships/hyperlink" Target="https://standards.buildingsmart.org/IFC/RELEASE/IFC4/ADD2_TC1/HTML/schema/ifcplumbingfireprotectiondomain/pset/pset_firesuppressionterminaltypesprinkler.htm" TargetMode="External"/><Relationship Id="rId2989" Type="http://schemas.openxmlformats.org/officeDocument/2006/relationships/hyperlink" Target="https://standards.buildingsmart.org/IFC/RELEASE/IFC4/ADD2_TC1/HTML/schema/ifcsharedbldgserviceelements/pset/pset_outsidedesigncriteria.htm" TargetMode="External"/><Relationship Id="rId211" Type="http://schemas.openxmlformats.org/officeDocument/2006/relationships/hyperlink" Target="https://standards.buildingsmart.org/IFC/RELEASE/IFC4/ADD2_TC1/HTML/schema/ifcproductextension/lexical/ifcexternalspatialelementtypeenum.htm" TargetMode="External"/><Relationship Id="rId1798" Type="http://schemas.openxmlformats.org/officeDocument/2006/relationships/hyperlink" Target="https://standards.buildingsmart.org/IFC/RELEASE/IFC4/ADD2_TC1/HTML/schema/ifcelectricaldomain/pset/pset_switchingdevicetypestarter.htm" TargetMode="External"/><Relationship Id="rId2849" Type="http://schemas.openxmlformats.org/officeDocument/2006/relationships/hyperlink" Target="https://standards.buildingsmart.org/IFC/RELEASE/IFC4/ADD2_TC1/HTML/schema/ifcelectricaldomain/pset/pset_protectivedevicetrippingfunctionicurve.htm" TargetMode="External"/><Relationship Id="rId1658" Type="http://schemas.openxmlformats.org/officeDocument/2006/relationships/hyperlink" Target="https://standards.buildingsmart.org/IFC/RELEASE/IFC4/ADD2_TC1/HTML/schema/ifcelectricaldomain/pset/pset_switchingdevicetypeselectorswitch.htm" TargetMode="External"/><Relationship Id="rId1865" Type="http://schemas.openxmlformats.org/officeDocument/2006/relationships/hyperlink" Target="https://standards.buildingsmart.org/IFC/RELEASE/IFC4/ADD2_TC1/HTML/schema/ifcmaterialresource/pset/pset_materialoptical.htm" TargetMode="External"/><Relationship Id="rId2709" Type="http://schemas.openxmlformats.org/officeDocument/2006/relationships/hyperlink" Target="https://standards.buildingsmart.org/IFC/RELEASE/IFC4/ADD2_TC1/HTML/schema/ifcsharedbldgelements/pset/pset_slabcommon.htm" TargetMode="External"/><Relationship Id="rId1518" Type="http://schemas.openxmlformats.org/officeDocument/2006/relationships/hyperlink" Target="https://standards.buildingsmart.org/IFC/RELEASE/IFC4/ADD2_TC1/HTML/schema/ifcelectricaldomain/pset/pset_protectivedevicetrippingcurve.htm" TargetMode="External"/><Relationship Id="rId2916" Type="http://schemas.openxmlformats.org/officeDocument/2006/relationships/hyperlink" Target="https://standards.buildingsmart.org/IFC/RELEASE/IFC4/ADD2_TC1/HTML/schema/ifcproductextension/pset/pset_environmentalimpactindicators.htm" TargetMode="External"/><Relationship Id="rId3080" Type="http://schemas.openxmlformats.org/officeDocument/2006/relationships/hyperlink" Target="https://standards.buildingsmart.org/IFC/RELEASE/IFC4/ADD2_TC1/HTML/schema/ifcelectricaldomain/pset/pset_cablesegmenttypecablesegment.htm" TargetMode="External"/><Relationship Id="rId1725" Type="http://schemas.openxmlformats.org/officeDocument/2006/relationships/hyperlink" Target="https://standards.buildingsmart.org/IFC/RELEASE/IFC4/ADD2_TC1/HTML/schema/ifcsharedbldgelements/pset/pset_rampflightcommon.htm" TargetMode="External"/><Relationship Id="rId1932" Type="http://schemas.openxmlformats.org/officeDocument/2006/relationships/hyperlink" Target="https://standards.buildingsmart.org/IFC/RELEASE/IFC4/ADD2_TC1/HTML/schema/ifcelectricaldomain/pset/pset_cablesegmenttypeconductorsegment.htm" TargetMode="External"/><Relationship Id="rId17" Type="http://schemas.openxmlformats.org/officeDocument/2006/relationships/hyperlink" Target="https://standards.buildingsmart.org/IFC/RELEASE/IFC4/ADD2_TC1/HTML/schema/ifcpresentationappearanceresource/lexical/ifctexttransformation.htm" TargetMode="External"/><Relationship Id="rId2499" Type="http://schemas.openxmlformats.org/officeDocument/2006/relationships/hyperlink" Target="https://standards.buildingsmart.org/IFC/RELEASE/IFC4/ADD2_TC1/HTML/schema/ifchvacdomain/pset/pset_tubebundletypecommon.htm" TargetMode="External"/><Relationship Id="rId3757" Type="http://schemas.openxmlformats.org/officeDocument/2006/relationships/hyperlink" Target="https://standards.buildingsmart.org/IFC/RELEASE/IFC4/ADD2_TC1/HTML/schema/ifcsharedbldgelements/pset/pset_curtainwallcommon.htm" TargetMode="External"/><Relationship Id="rId1" Type="http://schemas.openxmlformats.org/officeDocument/2006/relationships/hyperlink" Target="https://standards.buildingsmart.org/IFC/RELEASE/IFC4/ADD2_TC1/HTML/schema/ifcmeasureresource/lexical/ifcwarpingmomentmeasure.htm" TargetMode="External"/><Relationship Id="rId678" Type="http://schemas.openxmlformats.org/officeDocument/2006/relationships/hyperlink" Target="https://standards.buildingsmart.org/IFC/RELEASE/IFC4/ADD2_TC1/HTML/schema/ifcsharedbldgserviceelements/lexical/ifcflowsegment.htm" TargetMode="External"/><Relationship Id="rId885" Type="http://schemas.openxmlformats.org/officeDocument/2006/relationships/hyperlink" Target="https://standards.buildingsmart.org/IFC/RELEASE/IFC4/ADD2_TC1/HTML/schema/ifcsharedbldgelements/lexical/ifcrailing.htm" TargetMode="External"/><Relationship Id="rId2359" Type="http://schemas.openxmlformats.org/officeDocument/2006/relationships/hyperlink" Target="https://standards.buildingsmart.org/IFC/RELEASE/IFC4/ADD2_TC1/HTML/schema/ifchvacdomain/pset/pset_valvetypemixing.htm" TargetMode="External"/><Relationship Id="rId2566" Type="http://schemas.openxmlformats.org/officeDocument/2006/relationships/hyperlink" Target="https://standards.buildingsmart.org/IFC/RELEASE/IFC4/ADD2_TC1/HTML/schema/ifcelectricaldomain/pset/pset_junctionboxtypecommon.htm" TargetMode="External"/><Relationship Id="rId2773" Type="http://schemas.openxmlformats.org/officeDocument/2006/relationships/hyperlink" Target="https://standards.buildingsmart.org/IFC/RELEASE/IFC4/ADD2_TC1/HTML/schema/ifcprofileresource/pset/pset_profilearbitraryhollowcore.htm" TargetMode="External"/><Relationship Id="rId2980" Type="http://schemas.openxmlformats.org/officeDocument/2006/relationships/hyperlink" Target="https://standards.buildingsmart.org/IFC/RELEASE/IFC4/ADD2_TC1/HTML/schema/ifchvacdomain/pset/pset_boilertypewater.htm" TargetMode="External"/><Relationship Id="rId3617" Type="http://schemas.openxmlformats.org/officeDocument/2006/relationships/hyperlink" Target="https://standards.buildingsmart.org/IFC/RELEASE/IFC4/ADD2_TC1/HTML/schema/ifcsharedbldgserviceelements/pset/pset_distributionchamberelementtypevalvechamber.htm" TargetMode="External"/><Relationship Id="rId538" Type="http://schemas.openxmlformats.org/officeDocument/2006/relationships/hyperlink" Target="https://standards.buildingsmart.org/IFC/RELEASE/IFC4/ADD2_TC1/HTML/schema/ifcrepresentationresource/lexical/ifccoordinateoperation.htm" TargetMode="External"/><Relationship Id="rId745" Type="http://schemas.openxmlformats.org/officeDocument/2006/relationships/hyperlink" Target="https://standards.buildingsmart.org/IFC/RELEASE/IFC4/ADD2_TC1/HTML/schema/ifcgeometricmodelresource/lexical/ifcmanifoldsolidbrep.htm" TargetMode="External"/><Relationship Id="rId952" Type="http://schemas.openxmlformats.org/officeDocument/2006/relationships/hyperlink" Target="https://standards.buildingsmart.org/IFC/RELEASE/IFC4/ADD2_TC1/HTML/schema/ifcproductextension/lexical/ifcrelspaceboundary.htm" TargetMode="External"/><Relationship Id="rId1168" Type="http://schemas.openxmlformats.org/officeDocument/2006/relationships/hyperlink" Target="https://standards.buildingsmart.org/IFC/RELEASE/IFC4/ADD2_TC1/HTML/schema/ifcbuildingcontrolsdomain/qset/qto_actuatorbasequantities.htm" TargetMode="External"/><Relationship Id="rId1375" Type="http://schemas.openxmlformats.org/officeDocument/2006/relationships/hyperlink" Target="https://standards.buildingsmart.org/IFC/RELEASE/IFC4/ADD2_TC1/HTML/schema/ifchvacdomain/pset/pset_evaporativecoolertypecommon.htm" TargetMode="External"/><Relationship Id="rId1582" Type="http://schemas.openxmlformats.org/officeDocument/2006/relationships/hyperlink" Target="https://standards.buildingsmart.org/IFC/RELEASE/IFC4/ADD2_TC1/HTML/schema/ifchvacdomain/pset/pset_airterminaltypecommon.htm" TargetMode="External"/><Relationship Id="rId2219" Type="http://schemas.openxmlformats.org/officeDocument/2006/relationships/hyperlink" Target="https://standards.buildingsmart.org/IFC/RELEASE/IFC4/ADD2_TC1/HTML/schema/ifcsharedfacilitieselements/pset/pset_servicelifefactors.htm" TargetMode="External"/><Relationship Id="rId2426" Type="http://schemas.openxmlformats.org/officeDocument/2006/relationships/hyperlink" Target="https://standards.buildingsmart.org/IFC/RELEASE/IFC4/ADD2_TC1/HTML/schema/ifcsharedfacilitieselements/pset/pset_systemfurnitureelementtypecommon.htm" TargetMode="External"/><Relationship Id="rId2633" Type="http://schemas.openxmlformats.org/officeDocument/2006/relationships/hyperlink" Target="https://standards.buildingsmart.org/IFC/RELEASE/IFC4/ADD2_TC1/HTML/schema/ifcprofileresource/pset/pset_profilemechanical.htm" TargetMode="External"/><Relationship Id="rId81" Type="http://schemas.openxmlformats.org/officeDocument/2006/relationships/hyperlink" Target="https://standards.buildingsmart.org/IFC/RELEASE/IFC4/ADD2_TC1/HTML/schema/ifcexternalreferenceresource/lexical/ifclanguageid.htm" TargetMode="External"/><Relationship Id="rId605" Type="http://schemas.openxmlformats.org/officeDocument/2006/relationships/hyperlink" Target="https://standards.buildingsmart.org/IFC/RELEASE/IFC4/ADD2_TC1/HTML/schema/ifcelectricaldomain/lexical/ifcelectricflowstoragedevice.htm" TargetMode="External"/><Relationship Id="rId812" Type="http://schemas.openxmlformats.org/officeDocument/2006/relationships/hyperlink" Target="https://standards.buildingsmart.org/IFC/RELEASE/IFC4/ADD2_TC1/HTML/schema/ifchvacdomain/lexical/ifcpipesegment.htm" TargetMode="External"/><Relationship Id="rId1028" Type="http://schemas.openxmlformats.org/officeDocument/2006/relationships/hyperlink" Target="https://standards.buildingsmart.org/IFC/RELEASE/IFC4/ADD2_TC1/HTML/schema/ifcstructuralanalysisdomain/lexical/ifcstructuralcurvereaction.htm" TargetMode="External"/><Relationship Id="rId1235" Type="http://schemas.openxmlformats.org/officeDocument/2006/relationships/hyperlink" Target="https://standards.buildingsmart.org/IFC/RELEASE/IFC4/ADD2_TC1/HTML/schema/ifcelectricaldomain/qset/qto_protectivedevicetrippingunitbasequantities.htm" TargetMode="External"/><Relationship Id="rId1442" Type="http://schemas.openxmlformats.org/officeDocument/2006/relationships/hyperlink" Target="https://standards.buildingsmart.org/IFC/RELEASE/IFC4/ADD2_TC1/HTML/schema/ifcelectricaldomain/pset/pset_audiovisualappliancetypeprojector.htm" TargetMode="External"/><Relationship Id="rId2840" Type="http://schemas.openxmlformats.org/officeDocument/2006/relationships/hyperlink" Target="https://standards.buildingsmart.org/IFC/RELEASE/IFC4/ADD2_TC1/HTML/schema/ifcsharedbldgelements/pset/pset_curtainwallcommon.htm" TargetMode="External"/><Relationship Id="rId1302" Type="http://schemas.openxmlformats.org/officeDocument/2006/relationships/hyperlink" Target="https://standards.buildingsmart.org/IFC/RELEASE/IFC4/ADD2_TC1/HTML/schema/ifckernel/lexical/ifcuniquepropertyname.htm" TargetMode="External"/><Relationship Id="rId2700" Type="http://schemas.openxmlformats.org/officeDocument/2006/relationships/hyperlink" Target="https://standards.buildingsmart.org/IFC/RELEASE/IFC4/ADD2_TC1/HTML/schema/ifchvacdomain/pset/pset_airterminaloccurrence.htm" TargetMode="External"/><Relationship Id="rId3267" Type="http://schemas.openxmlformats.org/officeDocument/2006/relationships/hyperlink" Target="https://standards.buildingsmart.org/IFC/RELEASE/IFC4/ADD2_TC1/HTML/schema/ifcmaterialresource/pset/pset_materialmechanical.htm" TargetMode="External"/><Relationship Id="rId188" Type="http://schemas.openxmlformats.org/officeDocument/2006/relationships/hyperlink" Target="https://standards.buildingsmart.org/IFC/RELEASE/IFC4/ADD2_TC1/HTML/schema/ifcexternalreferenceresource/lexical/ifcdocumentstatusenum.htm" TargetMode="External"/><Relationship Id="rId395" Type="http://schemas.openxmlformats.org/officeDocument/2006/relationships/hyperlink" Target="https://standards.buildingsmart.org/IFC/RELEASE/IFC4/ADD2_TC1/HTML/schema/ifcsharedmgmtelements/lexical/ifcactionrequest.htm" TargetMode="External"/><Relationship Id="rId2076" Type="http://schemas.openxmlformats.org/officeDocument/2006/relationships/hyperlink" Target="https://standards.buildingsmart.org/IFC/RELEASE/IFC4/ADD2_TC1/HTML/schema/ifchvacdomain/pset/pset_condenserphistory.htm" TargetMode="External"/><Relationship Id="rId3474" Type="http://schemas.openxmlformats.org/officeDocument/2006/relationships/hyperlink" Target="https://standards.buildingsmart.org/IFC/RELEASE/IFC4/ADD2_TC1/HTML/schema/ifchvacdomain/pset/pset_evaporatorphistory.htm" TargetMode="External"/><Relationship Id="rId3681" Type="http://schemas.openxmlformats.org/officeDocument/2006/relationships/hyperlink" Target="https://standards.buildingsmart.org/IFC/RELEASE/IFC4/ADD2_TC1/HTML/schema/ifcsharedcomponentelements/pset/pset_mechanicalfasteneranchorbolt.htm" TargetMode="External"/><Relationship Id="rId2283" Type="http://schemas.openxmlformats.org/officeDocument/2006/relationships/hyperlink" Target="https://standards.buildingsmart.org/IFC/RELEASE/IFC4/ADD2_TC1/HTML/schema/ifcsharedbldgserviceelements/pset/pset_distributionportphistorycable.htm" TargetMode="External"/><Relationship Id="rId2490" Type="http://schemas.openxmlformats.org/officeDocument/2006/relationships/hyperlink" Target="https://standards.buildingsmart.org/IFC/RELEASE/IFC4/ADD2_TC1/HTML/schema/ifcelectricaldomain/pset/pset_electricflowstoragedevicetypecommon.htm" TargetMode="External"/><Relationship Id="rId3127" Type="http://schemas.openxmlformats.org/officeDocument/2006/relationships/hyperlink" Target="https://standards.buildingsmart.org/IFC/RELEASE/IFC4/ADD2_TC1/HTML/schema/ifcprofileresource/pset/pset_profilearbitrarydoublet.htm" TargetMode="External"/><Relationship Id="rId3334" Type="http://schemas.openxmlformats.org/officeDocument/2006/relationships/hyperlink" Target="https://standards.buildingsmart.org/IFC/RELEASE/IFC4/ADD2_TC1/HTML/schema/ifcbuildingcontrolsdomain/pset/pset_controllertypeproportional.htm" TargetMode="External"/><Relationship Id="rId3541" Type="http://schemas.openxmlformats.org/officeDocument/2006/relationships/hyperlink" Target="https://standards.buildingsmart.org/IFC/RELEASE/IFC4/ADD2_TC1/HTML/schema/ifcsharedbldgserviceelements/pset/pset_distributionchamberelementtypevalvechamber.htm" TargetMode="External"/><Relationship Id="rId255" Type="http://schemas.openxmlformats.org/officeDocument/2006/relationships/hyperlink" Target="https://standards.buildingsmart.org/IFC/RELEASE/IFC4/ADD2_TC1/HTML/schema/ifcstructuralelementsdomain/lexical/ifcpiletypeenum.htm" TargetMode="External"/><Relationship Id="rId462" Type="http://schemas.openxmlformats.org/officeDocument/2006/relationships/hyperlink" Target="https://standards.buildingsmart.org/IFC/RELEASE/IFC4/ADD2_TC1/HTML/schema/ifcelectricaldomain/lexical/ifccablecarrierfitting.htm" TargetMode="External"/><Relationship Id="rId1092" Type="http://schemas.openxmlformats.org/officeDocument/2006/relationships/hyperlink" Target="https://standards.buildingsmart.org/IFC/RELEASE/IFC4/ADD2_TC1/HTML/schema/ifcdatetimeresource/lexical/ifctasktimerecurring.htm" TargetMode="External"/><Relationship Id="rId2143" Type="http://schemas.openxmlformats.org/officeDocument/2006/relationships/hyperlink" Target="https://standards.buildingsmart.org/IFC/RELEASE/IFC4/ADD2_TC1/HTML/schema/ifcbuildingcontrolsdomain/pset/pset_flowinstrumenttypecommon.htm" TargetMode="External"/><Relationship Id="rId2350" Type="http://schemas.openxmlformats.org/officeDocument/2006/relationships/hyperlink" Target="https://standards.buildingsmart.org/IFC/RELEASE/IFC4/ADD2_TC1/HTML/schema/ifchvacdomain/pset/pset_boilertypecommon.htm" TargetMode="External"/><Relationship Id="rId3401" Type="http://schemas.openxmlformats.org/officeDocument/2006/relationships/hyperlink" Target="https://standards.buildingsmart.org/IFC/RELEASE/IFC4/ADD2_TC1/HTML/schema/ifchvacdomain/pset/pset_airterminaltypecommon.htm" TargetMode="External"/><Relationship Id="rId115" Type="http://schemas.openxmlformats.org/officeDocument/2006/relationships/hyperlink" Target="https://standards.buildingsmart.org/IFC/RELEASE/IFC4/ADD2_TC1/HTML/schema/ifcmeasureresource/lexical/ifccurvaturemeasure.htm" TargetMode="External"/><Relationship Id="rId322" Type="http://schemas.openxmlformats.org/officeDocument/2006/relationships/hyperlink" Target="https://standards.buildingsmart.org/IFC/RELEASE/IFC4/ADD2_TC1/HTML/schema/ifchvacdomain/lexical/ifcvibrationisolatortypeenum.htm" TargetMode="External"/><Relationship Id="rId2003" Type="http://schemas.openxmlformats.org/officeDocument/2006/relationships/hyperlink" Target="https://standards.buildingsmart.org/IFC/RELEASE/IFC4/ADD2_TC1/HTML/schema/ifcsharedbldgserviceelements/pset/pset_distributionsystemtypeventilation.htm" TargetMode="External"/><Relationship Id="rId2210" Type="http://schemas.openxmlformats.org/officeDocument/2006/relationships/hyperlink" Target="https://standards.buildingsmart.org/IFC/RELEASE/IFC4/ADD2_TC1/HTML/schema/ifcbuildingcontrolsdomain/pset/pset_actuatortyperotationalactuation.htm" TargetMode="External"/><Relationship Id="rId1769" Type="http://schemas.openxmlformats.org/officeDocument/2006/relationships/hyperlink" Target="https://standards.buildingsmart.org/IFC/RELEASE/IFC4/ADD2_TC1/HTML/schema/ifchvacdomain/pset/pset_dampertypecommon.htm" TargetMode="External"/><Relationship Id="rId1976" Type="http://schemas.openxmlformats.org/officeDocument/2006/relationships/hyperlink" Target="https://standards.buildingsmart.org/IFC/RELEASE/IFC4/ADD2_TC1/HTML/schema/ifchvacdomain/pset/pset_airtoairheatrecoveryphistory.htm" TargetMode="External"/><Relationship Id="rId3191" Type="http://schemas.openxmlformats.org/officeDocument/2006/relationships/hyperlink" Target="https://standards.buildingsmart.org/IFC/RELEASE/IFC4/ADD2_TC1/HTML/schema/ifchvacdomain/pset/pset_fanphistory.htm" TargetMode="External"/><Relationship Id="rId1629" Type="http://schemas.openxmlformats.org/officeDocument/2006/relationships/hyperlink" Target="https://standards.buildingsmart.org/IFC/RELEASE/IFC4/ADD2_TC1/HTML/schema/ifchvacdomain/pset/pset_dampertypecommon.htm" TargetMode="External"/><Relationship Id="rId1836" Type="http://schemas.openxmlformats.org/officeDocument/2006/relationships/hyperlink" Target="https://standards.buildingsmart.org/IFC/RELEASE/IFC4/ADD2_TC1/HTML/schema/ifcstructuralelementsdomain/pset/pset_reinforcementbarpitchofwall.htm" TargetMode="External"/><Relationship Id="rId1903" Type="http://schemas.openxmlformats.org/officeDocument/2006/relationships/hyperlink" Target="https://standards.buildingsmart.org/IFC/RELEASE/IFC4/ADD2_TC1/HTML/schema/ifcstructuralelementsdomain/pset/pset_reinforcementbarpitchofslab.htm" TargetMode="External"/><Relationship Id="rId3051" Type="http://schemas.openxmlformats.org/officeDocument/2006/relationships/hyperlink" Target="https://standards.buildingsmart.org/IFC/RELEASE/IFC4/ADD2_TC1/HTML/schema/ifcelectricaldomain/pset/pset_cablesegmenttypecablesegment.htm" TargetMode="External"/><Relationship Id="rId789" Type="http://schemas.openxmlformats.org/officeDocument/2006/relationships/hyperlink" Target="https://standards.buildingsmart.org/IFC/RELEASE/IFC4/ADD2_TC1/HTML/schema/ifcproductextension/lexical/ifcopeningstandardcase.htm" TargetMode="External"/><Relationship Id="rId996" Type="http://schemas.openxmlformats.org/officeDocument/2006/relationships/hyperlink" Target="https://standards.buildingsmart.org/IFC/RELEASE/IFC4/ADD2_TC1/HTML/schema/ifcsharedbldgelements/lexical/ifcslabtype.htm" TargetMode="External"/><Relationship Id="rId2677" Type="http://schemas.openxmlformats.org/officeDocument/2006/relationships/hyperlink" Target="https://standards.buildingsmart.org/IFC/RELEASE/IFC4/ADD2_TC1/HTML/schema/ifcelectricaldomain/pset/pset_protectivedeviceoccurrence.htm" TargetMode="External"/><Relationship Id="rId2884" Type="http://schemas.openxmlformats.org/officeDocument/2006/relationships/hyperlink" Target="https://standards.buildingsmart.org/IFC/RELEASE/IFC4/ADD2_TC1/HTML/schema/ifcelectricaldomain/pset/pset_cablesegmentoccurrence.htm" TargetMode="External"/><Relationship Id="rId3728" Type="http://schemas.openxmlformats.org/officeDocument/2006/relationships/hyperlink" Target="https://standards.buildingsmart.org/IFC/RELEASE/IFC4/ADD2_TC1/HTML/schema/ifcelectricaldomain/pset/pset_protectivedevicetrippingunitcurrentadjustment.htm" TargetMode="External"/><Relationship Id="rId649" Type="http://schemas.openxmlformats.org/officeDocument/2006/relationships/hyperlink" Target="https://standards.buildingsmart.org/IFC/RELEASE/IFC4/ADD2_TC1/HTML/schema/ifctopologyresource/lexical/ifcfacesurface.htm" TargetMode="External"/><Relationship Id="rId856" Type="http://schemas.openxmlformats.org/officeDocument/2006/relationships/hyperlink" Target="https://standards.buildingsmart.org/IFC/RELEASE/IFC4/ADD2_TC1/HTML/schema/ifcpropertyresource/lexical/ifcpropertyabstraction.htm" TargetMode="External"/><Relationship Id="rId1279" Type="http://schemas.openxmlformats.org/officeDocument/2006/relationships/hyperlink" Target="https://standards.buildingsmart.org/IFC/RELEASE/IFC4/ADD2_TC1/HTML/schema/ifcgeometryresource/lexical/ifcdotproduct.htm" TargetMode="External"/><Relationship Id="rId1486" Type="http://schemas.openxmlformats.org/officeDocument/2006/relationships/hyperlink" Target="https://standards.buildingsmart.org/IFC/RELEASE/IFC4/ADD2_TC1/HTML/schema/ifcelectricaldomain/pset/pset_cablesegmentoccurrence.htm" TargetMode="External"/><Relationship Id="rId2537" Type="http://schemas.openxmlformats.org/officeDocument/2006/relationships/hyperlink" Target="https://standards.buildingsmart.org/IFC/RELEASE/IFC4/ADD2_TC1/HTML/schema/ifcplumbingfireprotectiondomain/pset/pset_wasteterminaltypefloorwaste.htm" TargetMode="External"/><Relationship Id="rId509" Type="http://schemas.openxmlformats.org/officeDocument/2006/relationships/hyperlink" Target="https://standards.buildingsmart.org/IFC/RELEASE/IFC4/ADD2_TC1/HTML/schema/ifchvacdomain/lexical/ifccondensertype.htm" TargetMode="External"/><Relationship Id="rId1139" Type="http://schemas.openxmlformats.org/officeDocument/2006/relationships/hyperlink" Target="https://standards.buildingsmart.org/IFC/RELEASE/IFC4/ADD2_TC1/HTML/schema/ifchvacdomain/lexical/ifcvalvetype.htm" TargetMode="External"/><Relationship Id="rId1346" Type="http://schemas.openxmlformats.org/officeDocument/2006/relationships/hyperlink" Target="https://standards.buildingsmart.org/IFC/RELEASE/IFC4/ADD2_TC1/HTML/schema/ifcsharedcomponentelements/pset/pset_discreteaccessorywireloop.htm" TargetMode="External"/><Relationship Id="rId1693" Type="http://schemas.openxmlformats.org/officeDocument/2006/relationships/hyperlink" Target="https://standards.buildingsmart.org/IFC/RELEASE/IFC4/ADD2_TC1/HTML/schema/ifcprofileresource/pset/pset_profilearbitrarydoublet.htm" TargetMode="External"/><Relationship Id="rId2744" Type="http://schemas.openxmlformats.org/officeDocument/2006/relationships/hyperlink" Target="https://standards.buildingsmart.org/IFC/RELEASE/IFC4/ADD2_TC1/HTML/schema/ifchvacdomain/pset/pset_ductsegmentphistory.htm" TargetMode="External"/><Relationship Id="rId2951" Type="http://schemas.openxmlformats.org/officeDocument/2006/relationships/hyperlink" Target="https://standards.buildingsmart.org/IFC/RELEASE/IFC4/ADD2_TC1/HTML/schema/ifcelectricaldomain/pset/pset_protectivedevicetrippingunittypethermal.htm" TargetMode="External"/><Relationship Id="rId716" Type="http://schemas.openxmlformats.org/officeDocument/2006/relationships/hyperlink" Target="https://standards.buildingsmart.org/IFC/RELEASE/IFC4/ADD2_TC1/HTML/schema/ifcplumbingfireprotectiondomain/lexical/ifcinterceptortype.htm" TargetMode="External"/><Relationship Id="rId923" Type="http://schemas.openxmlformats.org/officeDocument/2006/relationships/hyperlink" Target="https://standards.buildingsmart.org/IFC/RELEASE/IFC4/ADD2_TC1/HTML/schema/ifcproductextension/lexical/ifcrelassociatesmaterial.htm" TargetMode="External"/><Relationship Id="rId1553" Type="http://schemas.openxmlformats.org/officeDocument/2006/relationships/hyperlink" Target="https://standards.buildingsmart.org/IFC/RELEASE/IFC4/ADD2_TC1/HTML/schema/ifchvacdomain/pset/pset_airtoairheatrecoveryphistory.htm" TargetMode="External"/><Relationship Id="rId1760" Type="http://schemas.openxmlformats.org/officeDocument/2006/relationships/hyperlink" Target="https://standards.buildingsmart.org/IFC/RELEASE/IFC4/ADD2_TC1/HTML/schema/ifcelectricaldomain/pset/pset_electricgeneratortypecommon.htm" TargetMode="External"/><Relationship Id="rId2604" Type="http://schemas.openxmlformats.org/officeDocument/2006/relationships/hyperlink" Target="https://standards.buildingsmart.org/IFC/RELEASE/IFC4/ADD2_TC1/HTML/schema/ifcstructuralelementsdomain/pset/pset_precastconcreteelementgeneral.htm" TargetMode="External"/><Relationship Id="rId2811" Type="http://schemas.openxmlformats.org/officeDocument/2006/relationships/hyperlink" Target="https://standards.buildingsmart.org/IFC/RELEASE/IFC4/ADD2_TC1/HTML/schema/ifcelectricaldomain/pset/pset_transformertypecommon.htm" TargetMode="External"/><Relationship Id="rId52" Type="http://schemas.openxmlformats.org/officeDocument/2006/relationships/hyperlink" Target="https://standards.buildingsmart.org/IFC/RELEASE/IFC4/ADD2_TC1/HTML/schema/ifcmeasureresource/lexical/ifcparametervalue.htm" TargetMode="External"/><Relationship Id="rId1206" Type="http://schemas.openxmlformats.org/officeDocument/2006/relationships/hyperlink" Target="https://standards.buildingsmart.org/IFC/RELEASE/IFC4/ADD2_TC1/HTML/schema/ifcelectricaldomain/qset/qto_electricflowstoragedevicebasequantities.htm" TargetMode="External"/><Relationship Id="rId1413" Type="http://schemas.openxmlformats.org/officeDocument/2006/relationships/hyperlink" Target="https://standards.buildingsmart.org/IFC/RELEASE/IFC4/ADD2_TC1/HTML/schema/ifcsharedbldgelements/pset/pset_stairflightcommon.htm" TargetMode="External"/><Relationship Id="rId1620" Type="http://schemas.openxmlformats.org/officeDocument/2006/relationships/hyperlink" Target="https://standards.buildingsmart.org/IFC/RELEASE/IFC4/ADD2_TC1/HTML/schema/ifcmaterialresource/pset/pset_materialthermal.htm" TargetMode="External"/><Relationship Id="rId3378" Type="http://schemas.openxmlformats.org/officeDocument/2006/relationships/hyperlink" Target="https://standards.buildingsmart.org/IFC/RELEASE/IFC4/ADD2_TC1/HTML/schema/ifcplumbingfireprotectiondomain/pset/pset_wasteterminaltypefloortrap.htm" TargetMode="External"/><Relationship Id="rId3585" Type="http://schemas.openxmlformats.org/officeDocument/2006/relationships/hyperlink" Target="https://standards.buildingsmart.org/IFC/RELEASE/IFC4/ADD2_TC1/HTML/schema/ifcelectricaldomain/pset/pset_protectivedevicebreakeruniti2tfusecurve.htm" TargetMode="External"/><Relationship Id="rId299" Type="http://schemas.openxmlformats.org/officeDocument/2006/relationships/hyperlink" Target="https://standards.buildingsmart.org/IFC/RELEASE/IFC4/ADD2_TC1/HTML/schema/ifcstructuralanalysisdomain/lexical/ifcstructuralsurfaceactivitytypeenum.htm" TargetMode="External"/><Relationship Id="rId2187" Type="http://schemas.openxmlformats.org/officeDocument/2006/relationships/hyperlink" Target="https://standards.buildingsmart.org/IFC/RELEASE/IFC4/ADD2_TC1/HTML/schema/ifcsharedbldgelements/pset/pset_beamcommon.htm" TargetMode="External"/><Relationship Id="rId2394" Type="http://schemas.openxmlformats.org/officeDocument/2006/relationships/hyperlink" Target="https://standards.buildingsmart.org/IFC/RELEASE/IFC4/ADD2_TC1/HTML/schema/ifchvacdomain/pset/pset_airterminaltypecommon.htm" TargetMode="External"/><Relationship Id="rId3238" Type="http://schemas.openxmlformats.org/officeDocument/2006/relationships/hyperlink" Target="https://standards.buildingsmart.org/IFC/RELEASE/IFC4/ADD2_TC1/HTML/schema/ifcbuildingcontrolsdomain/pset/pset_alarmphistory.htm" TargetMode="External"/><Relationship Id="rId3445" Type="http://schemas.openxmlformats.org/officeDocument/2006/relationships/hyperlink" Target="https://standards.buildingsmart.org/IFC/RELEASE/IFC4/ADD2_TC1/HTML/schema/ifchvacdomain/pset/pset_flowmetertypeoilmeter.htm" TargetMode="External"/><Relationship Id="rId3652" Type="http://schemas.openxmlformats.org/officeDocument/2006/relationships/hyperlink" Target="https://standards.buildingsmart.org/IFC/RELEASE/IFC4/ADD2_TC1/HTML/schema/ifcsharedfacilitieselements/pset/pset_asset.htm" TargetMode="External"/><Relationship Id="rId159" Type="http://schemas.openxmlformats.org/officeDocument/2006/relationships/hyperlink" Target="https://standards.buildingsmart.org/IFC/RELEASE/IFC4/ADD2_TC1/HTML/schema/ifcsharedbldgelements/lexical/ifcchimneytypeenum.htm" TargetMode="External"/><Relationship Id="rId366" Type="http://schemas.openxmlformats.org/officeDocument/2006/relationships/hyperlink" Target="https://standards.buildingsmart.org/IFC/RELEASE/IFC4/ADD2_TC1/HTML/schema/ifcpropertyresource/lexical/ifcobjectreferenceselect.htm" TargetMode="External"/><Relationship Id="rId573" Type="http://schemas.openxmlformats.org/officeDocument/2006/relationships/hyperlink" Target="https://standards.buildingsmart.org/IFC/RELEASE/IFC4/ADD2_TC1/HTML/schema/ifcsharedbldgserviceelements/lexical/ifcdistributioncontrolelement.htm" TargetMode="External"/><Relationship Id="rId780" Type="http://schemas.openxmlformats.org/officeDocument/2006/relationships/hyperlink" Target="https://standards.buildingsmart.org/IFC/RELEASE/IFC4/ADD2_TC1/HTML/schema/ifcmeasureresource/lexical/ifcnamedunit.htm" TargetMode="External"/><Relationship Id="rId2047" Type="http://schemas.openxmlformats.org/officeDocument/2006/relationships/hyperlink" Target="https://standards.buildingsmart.org/IFC/RELEASE/IFC4/ADD2_TC1/HTML/schema/ifchvacdomain/pset/pset_tanktypeexpansion.htm" TargetMode="External"/><Relationship Id="rId2254" Type="http://schemas.openxmlformats.org/officeDocument/2006/relationships/hyperlink" Target="https://standards.buildingsmart.org/IFC/RELEASE/IFC4/ADD2_TC1/HTML/schema/ifchvacdomain/pset/pset_tanktypeexpansion.htm" TargetMode="External"/><Relationship Id="rId2461" Type="http://schemas.openxmlformats.org/officeDocument/2006/relationships/hyperlink" Target="https://standards.buildingsmart.org/IFC/RELEASE/IFC4/ADD2_TC1/HTML/schema/ifchvacdomain/pset/pset_fantypecommon.htm" TargetMode="External"/><Relationship Id="rId3305" Type="http://schemas.openxmlformats.org/officeDocument/2006/relationships/hyperlink" Target="https://standards.buildingsmart.org/IFC/RELEASE/IFC4/ADD2_TC1/HTML/schema/ifcplumbingfireprotectiondomain/pset/pset_firesuppressionterminaltypesprinkler.htm" TargetMode="External"/><Relationship Id="rId3512" Type="http://schemas.openxmlformats.org/officeDocument/2006/relationships/hyperlink" Target="https://standards.buildingsmart.org/IFC/RELEASE/IFC4/ADD2_TC1/HTML/schema/ifchvacdomain/pset/pset_coiltypehydronic.htm" TargetMode="External"/><Relationship Id="rId226" Type="http://schemas.openxmlformats.org/officeDocument/2006/relationships/hyperlink" Target="https://standards.buildingsmart.org/IFC/RELEASE/IFC4/ADD2_TC1/HTML/schema/ifchvacdomain/lexical/ifchumidifiertypeenum.htm" TargetMode="External"/><Relationship Id="rId433" Type="http://schemas.openxmlformats.org/officeDocument/2006/relationships/hyperlink" Target="https://standards.buildingsmart.org/IFC/RELEASE/IFC4/ADD2_TC1/HTML/schema/ifchvacdomain/lexical/ifcboiler.htm" TargetMode="External"/><Relationship Id="rId1063" Type="http://schemas.openxmlformats.org/officeDocument/2006/relationships/hyperlink" Target="https://standards.buildingsmart.org/IFC/RELEASE/IFC4/ADD2_TC1/HTML/schema/ifcgeometryresource/lexical/ifcsurfacecurve.htm" TargetMode="External"/><Relationship Id="rId1270" Type="http://schemas.openxmlformats.org/officeDocument/2006/relationships/hyperlink" Target="https://standards.buildingsmart.org/IFC/RELEASE/IFC4/ADD2_TC1/HTML/schema/ifcpresentationappearanceresource/lexical/ifccorrectfillareastyle.htm" TargetMode="External"/><Relationship Id="rId2114" Type="http://schemas.openxmlformats.org/officeDocument/2006/relationships/hyperlink" Target="https://standards.buildingsmart.org/IFC/RELEASE/IFC4/ADD2_TC1/HTML/schema/ifcsharedbldgelements/pset/pset_shadingdevicecommon.htm" TargetMode="External"/><Relationship Id="rId640" Type="http://schemas.openxmlformats.org/officeDocument/2006/relationships/hyperlink" Target="https://standards.buildingsmart.org/IFC/RELEASE/IFC4/ADD2_TC1/HTML/schema/ifcexternalreferenceresource/lexical/ifcexternalreferencerelationship.htm" TargetMode="External"/><Relationship Id="rId2321" Type="http://schemas.openxmlformats.org/officeDocument/2006/relationships/hyperlink" Target="https://standards.buildingsmart.org/IFC/RELEASE/IFC4/ADD2_TC1/HTML/schema/ifchvacdomain/pset/pset_tanktypepreformed.htm" TargetMode="External"/><Relationship Id="rId500" Type="http://schemas.openxmlformats.org/officeDocument/2006/relationships/hyperlink" Target="https://standards.buildingsmart.org/IFC/RELEASE/IFC4/ADD2_TC1/HTML/schema/ifcelectricaldomain/lexical/ifccommunicationsappliance.htm" TargetMode="External"/><Relationship Id="rId1130" Type="http://schemas.openxmlformats.org/officeDocument/2006/relationships/hyperlink" Target="https://standards.buildingsmart.org/IFC/RELEASE/IFC4/ADD2_TC1/HTML/schema/ifckernel/lexical/ifctypeproduct.htm" TargetMode="External"/><Relationship Id="rId1947" Type="http://schemas.openxmlformats.org/officeDocument/2006/relationships/hyperlink" Target="https://standards.buildingsmart.org/IFC/RELEASE/IFC4/ADD2_TC1/HTML/schema/ifcbuildingcontrolsdomain/pset/pset_sensortypemovementsensor.htm" TargetMode="External"/><Relationship Id="rId3095" Type="http://schemas.openxmlformats.org/officeDocument/2006/relationships/hyperlink" Target="https://standards.buildingsmart.org/IFC/RELEASE/IFC4/ADD2_TC1/HTML/schema/ifcsharedbldgelements/pset/pset_coveringcommon.htm" TargetMode="External"/><Relationship Id="rId1807" Type="http://schemas.openxmlformats.org/officeDocument/2006/relationships/hyperlink" Target="https://standards.buildingsmart.org/IFC/RELEASE/IFC4/ADD2_TC1/HTML/schema/ifcelectricaldomain/pset/pset_cablesegmenttypecablesegment.htm" TargetMode="External"/><Relationship Id="rId3162" Type="http://schemas.openxmlformats.org/officeDocument/2006/relationships/hyperlink" Target="https://standards.buildingsmart.org/IFC/RELEASE/IFC4/ADD2_TC1/HTML/schema/ifcsharedbldgelements/pset/pset_columncommon.htm" TargetMode="External"/><Relationship Id="rId290" Type="http://schemas.openxmlformats.org/officeDocument/2006/relationships/hyperlink" Target="https://standards.buildingsmart.org/IFC/RELEASE/IFC4/ADD2_TC1/HTML/schema/ifchvacdomain/lexical/ifcspaceheatertypeenum.htm" TargetMode="External"/><Relationship Id="rId3022" Type="http://schemas.openxmlformats.org/officeDocument/2006/relationships/hyperlink" Target="https://standards.buildingsmart.org/IFC/RELEASE/IFC4/ADD2_TC1/HTML/schema/ifchvacdomain/pset/pset_ductsegmentoccurrence.htm" TargetMode="External"/><Relationship Id="rId150" Type="http://schemas.openxmlformats.org/officeDocument/2006/relationships/hyperlink" Target="https://standards.buildingsmart.org/IFC/RELEASE/IFC4/ADD2_TC1/HTML/schema/ifcsharedbldgelements/lexical/ifcbuildingelementproxytypeenum.htm" TargetMode="External"/><Relationship Id="rId2788" Type="http://schemas.openxmlformats.org/officeDocument/2006/relationships/hyperlink" Target="https://standards.buildingsmart.org/IFC/RELEASE/IFC4/ADD2_TC1/HTML/schema/ifcbuildingcontrolsdomain/pset/pset_sensortypepressuresensor.htm" TargetMode="External"/><Relationship Id="rId2995" Type="http://schemas.openxmlformats.org/officeDocument/2006/relationships/hyperlink" Target="https://standards.buildingsmart.org/IFC/RELEASE/IFC4/ADD2_TC1/HTML/schema/ifcsharedbldgserviceelements/pset/pset_utilityconsumptionphistory.htm" TargetMode="External"/><Relationship Id="rId967" Type="http://schemas.openxmlformats.org/officeDocument/2006/relationships/hyperlink" Target="https://standards.buildingsmart.org/IFC/RELEASE/IFC4/ADD2_TC1/HTML/schema/ifcgeometricmodelresource/lexical/ifcrevolvedareasolidtapered.htm" TargetMode="External"/><Relationship Id="rId1597" Type="http://schemas.openxmlformats.org/officeDocument/2006/relationships/hyperlink" Target="https://standards.buildingsmart.org/IFC/RELEASE/IFC4/ADD2_TC1/HTML/schema/ifcsharedbldgelements/pset/pset_slabcommon.htm" TargetMode="External"/><Relationship Id="rId2648" Type="http://schemas.openxmlformats.org/officeDocument/2006/relationships/hyperlink" Target="https://standards.buildingsmart.org/IFC/RELEASE/IFC4/ADD2_TC1/HTML/schema/ifcprofileresource/pset/pset_profilemechanical.htm" TargetMode="External"/><Relationship Id="rId2855" Type="http://schemas.openxmlformats.org/officeDocument/2006/relationships/hyperlink" Target="https://standards.buildingsmart.org/IFC/RELEASE/IFC4/ADD2_TC1/HTML/schema/ifcproductextension/pset/pset_spaceparking.htm" TargetMode="External"/><Relationship Id="rId96" Type="http://schemas.openxmlformats.org/officeDocument/2006/relationships/hyperlink" Target="https://standards.buildingsmart.org/IFC/RELEASE/IFC4/ADD2_TC1/HTML/schema/ifcpresentationappearanceresource/lexical/ifcfontweight.htm" TargetMode="External"/><Relationship Id="rId827" Type="http://schemas.openxmlformats.org/officeDocument/2006/relationships/hyperlink" Target="https://standards.buildingsmart.org/IFC/RELEASE/IFC4/ADD2_TC1/HTML/schema/ifcgeometryresource/lexical/ifcpolyline.htm" TargetMode="External"/><Relationship Id="rId1457" Type="http://schemas.openxmlformats.org/officeDocument/2006/relationships/hyperlink" Target="https://standards.buildingsmart.org/IFC/RELEASE/IFC4/ADD2_TC1/HTML/schema/ifchvacdomain/pset/pset_tubebundletypecommon.htm" TargetMode="External"/><Relationship Id="rId1664" Type="http://schemas.openxmlformats.org/officeDocument/2006/relationships/hyperlink" Target="https://standards.buildingsmart.org/IFC/RELEASE/IFC4/ADD2_TC1/HTML/schema/ifcsharedbldgelements/pset/pset_shadingdevicecommon.htm" TargetMode="External"/><Relationship Id="rId1871" Type="http://schemas.openxmlformats.org/officeDocument/2006/relationships/hyperlink" Target="https://standards.buildingsmart.org/IFC/RELEASE/IFC4/ADD2_TC1/HTML/schema/ifcelectricaldomain/pset/pset_cablesegmentoccurrence.htm" TargetMode="External"/><Relationship Id="rId2508" Type="http://schemas.openxmlformats.org/officeDocument/2006/relationships/hyperlink" Target="https://standards.buildingsmart.org/IFC/RELEASE/IFC4/ADD2_TC1/HTML/schema/ifcsharedfacilitieselements/pset/pset_furnituretypecommon.htm" TargetMode="External"/><Relationship Id="rId2715" Type="http://schemas.openxmlformats.org/officeDocument/2006/relationships/hyperlink" Target="https://standards.buildingsmart.org/IFC/RELEASE/IFC4/ADD2_TC1/HTML/schema/ifcsharedbldgelements/pset/pset_chimneycommon.htm" TargetMode="External"/><Relationship Id="rId2922" Type="http://schemas.openxmlformats.org/officeDocument/2006/relationships/hyperlink" Target="https://standards.buildingsmart.org/IFC/RELEASE/IFC4/ADD2_TC1/HTML/schema/ifchvacdomain/pset/pset_fanoccurrence.htm" TargetMode="External"/><Relationship Id="rId1317" Type="http://schemas.openxmlformats.org/officeDocument/2006/relationships/hyperlink" Target="https://standards.buildingsmart.org/IFC/RELEASE/IFC4/ADD2_TC1/HTML/schema/ifcstructuralelementsdomain/pset/pset_reinforcementbarpitchofcolumn.htm" TargetMode="External"/><Relationship Id="rId1524" Type="http://schemas.openxmlformats.org/officeDocument/2006/relationships/hyperlink" Target="https://standards.buildingsmart.org/IFC/RELEASE/IFC4/ADD2_TC1/HTML/schema/ifcsharedbldgelements/pset/pset_staircommon.htm" TargetMode="External"/><Relationship Id="rId1731" Type="http://schemas.openxmlformats.org/officeDocument/2006/relationships/hyperlink" Target="https://standards.buildingsmart.org/IFC/RELEASE/IFC4/ADD2_TC1/HTML/schema/ifcsharedbldgelements/pset/pset_platecommon.htm" TargetMode="External"/><Relationship Id="rId23" Type="http://schemas.openxmlformats.org/officeDocument/2006/relationships/hyperlink" Target="https://standards.buildingsmart.org/IFC/RELEASE/IFC4/ADD2_TC1/HTML/schema/ifcmeasureresource/lexical/ifctemperaturegradientmeasure.htm" TargetMode="External"/><Relationship Id="rId3489" Type="http://schemas.openxmlformats.org/officeDocument/2006/relationships/hyperlink" Target="https://standards.buildingsmart.org/IFC/RELEASE/IFC4/ADD2_TC1/HTML/schema/ifcsharedbldgelements/pset/pset_curtainwallcommon.htm" TargetMode="External"/><Relationship Id="rId3696" Type="http://schemas.openxmlformats.org/officeDocument/2006/relationships/hyperlink" Target="https://standards.buildingsmart.org/IFC/RELEASE/IFC4/ADD2_TC1/HTML/schema/ifchvacdomain/pset/pset_humidifiertypecommon.htm" TargetMode="External"/><Relationship Id="rId2298" Type="http://schemas.openxmlformats.org/officeDocument/2006/relationships/hyperlink" Target="https://standards.buildingsmart.org/IFC/RELEASE/IFC4/ADD2_TC1/HTML/schema/ifcprofileresource/pset/pset_profilemechanical.htm" TargetMode="External"/><Relationship Id="rId3349" Type="http://schemas.openxmlformats.org/officeDocument/2006/relationships/hyperlink" Target="https://standards.buildingsmart.org/IFC/RELEASE/IFC4/ADD2_TC1/HTML/schema/ifcelectricaldomain/pset/pset_protectivedevicetrippingfunctionscurve.htm" TargetMode="External"/><Relationship Id="rId3556" Type="http://schemas.openxmlformats.org/officeDocument/2006/relationships/hyperlink" Target="https://standards.buildingsmart.org/IFC/RELEASE/IFC4/ADD2_TC1/HTML/schema/ifcelectricaldomain/pset/pset_solardevicetypecommon.htm" TargetMode="External"/><Relationship Id="rId477" Type="http://schemas.openxmlformats.org/officeDocument/2006/relationships/hyperlink" Target="https://standards.buildingsmart.org/IFC/RELEASE/IFC4/ADD2_TC1/HTML/schema/ifcgeometryresource/lexical/ifccartesiantransformationoperator3d.htm" TargetMode="External"/><Relationship Id="rId684" Type="http://schemas.openxmlformats.org/officeDocument/2006/relationships/hyperlink" Target="https://standards.buildingsmart.org/IFC/RELEASE/IFC4/ADD2_TC1/HTML/schema/ifcsharedbldgserviceelements/lexical/ifcflowtreatmentdevice.htm" TargetMode="External"/><Relationship Id="rId2158" Type="http://schemas.openxmlformats.org/officeDocument/2006/relationships/hyperlink" Target="https://standards.buildingsmart.org/IFC/RELEASE/IFC4/ADD2_TC1/HTML/schema/ifchvacdomain/pset/pset_ductsilencertypecommon.htm" TargetMode="External"/><Relationship Id="rId2365" Type="http://schemas.openxmlformats.org/officeDocument/2006/relationships/hyperlink" Target="https://standards.buildingsmart.org/IFC/RELEASE/IFC4/ADD2_TC1/HTML/schema/ifcsharedfacilitieselements/pset/pset_propertyagreement.htm" TargetMode="External"/><Relationship Id="rId3209" Type="http://schemas.openxmlformats.org/officeDocument/2006/relationships/hyperlink" Target="https://standards.buildingsmart.org/IFC/RELEASE/IFC4/ADD2_TC1/HTML/schema/ifcproductextension/pset/pset_environmentalimpactindicators.htm" TargetMode="External"/><Relationship Id="rId3763" Type="http://schemas.openxmlformats.org/officeDocument/2006/relationships/hyperlink" Target="https://standards.buildingsmart.org/IFC/RELEASE/IFC4/ADD2_TC1/HTML/schema/ifcbuildingcontrolsdomain/pset/pset_sensortypefiresensor.htm" TargetMode="External"/><Relationship Id="rId337" Type="http://schemas.openxmlformats.org/officeDocument/2006/relationships/hyperlink" Target="https://standards.buildingsmart.org/IFC/RELEASE/IFC4/ADD2_TC1/HTML/schema/ifcgeometryresource/lexical/ifcaxis2placement.htm" TargetMode="External"/><Relationship Id="rId891" Type="http://schemas.openxmlformats.org/officeDocument/2006/relationships/hyperlink" Target="https://standards.buildingsmart.org/IFC/RELEASE/IFC4/ADD2_TC1/HTML/schema/ifcgeometryresource/lexical/ifcrationalbsplinecurvewithknots.htm" TargetMode="External"/><Relationship Id="rId2018" Type="http://schemas.openxmlformats.org/officeDocument/2006/relationships/hyperlink" Target="https://standards.buildingsmart.org/IFC/RELEASE/IFC4/ADD2_TC1/HTML/schema/ifcsharedfacilitieselements/pset/pset_risk.htm" TargetMode="External"/><Relationship Id="rId2572" Type="http://schemas.openxmlformats.org/officeDocument/2006/relationships/hyperlink" Target="https://standards.buildingsmart.org/IFC/RELEASE/IFC4/ADD2_TC1/HTML/schema/ifcplumbingfireprotectiondomain/pset/pset_sanitaryterminaltypeurinal.htm" TargetMode="External"/><Relationship Id="rId3416" Type="http://schemas.openxmlformats.org/officeDocument/2006/relationships/hyperlink" Target="https://standards.buildingsmart.org/IFC/RELEASE/IFC4/ADD2_TC1/HTML/schema/ifchvacdomain/pset/pset_spaceheatertypeconvector.htm" TargetMode="External"/><Relationship Id="rId3623" Type="http://schemas.openxmlformats.org/officeDocument/2006/relationships/hyperlink" Target="https://standards.buildingsmart.org/IFC/RELEASE/IFC4/ADD2_TC1/HTML/schema/ifcstructuralelementsdomain/pset/pset_reinforcingbarcommon.htm" TargetMode="External"/><Relationship Id="rId544" Type="http://schemas.openxmlformats.org/officeDocument/2006/relationships/hyperlink" Target="https://standards.buildingsmart.org/IFC/RELEASE/IFC4/ADD2_TC1/HTML/schema/ifcsharedbldgelements/lexical/ifccoveringtype.htm" TargetMode="External"/><Relationship Id="rId751" Type="http://schemas.openxmlformats.org/officeDocument/2006/relationships/hyperlink" Target="https://standards.buildingsmart.org/IFC/RELEASE/IFC4/ADD2_TC1/HTML/schema/ifcmaterialresource/lexical/ifcmaterialconstituentset.htm" TargetMode="External"/><Relationship Id="rId1174" Type="http://schemas.openxmlformats.org/officeDocument/2006/relationships/hyperlink" Target="https://standards.buildingsmart.org/IFC/RELEASE/IFC4/ADD2_TC1/HTML/schema/ifcsharedbldgelements/qset/qto_beambasequantities.htm" TargetMode="External"/><Relationship Id="rId1381" Type="http://schemas.openxmlformats.org/officeDocument/2006/relationships/hyperlink" Target="https://standards.buildingsmart.org/IFC/RELEASE/IFC4/ADD2_TC1/HTML/schema/ifcplumbingfireprotectiondomain/pset/pset_firesuppressionterminaltypefirehydrant.htm" TargetMode="External"/><Relationship Id="rId2225" Type="http://schemas.openxmlformats.org/officeDocument/2006/relationships/hyperlink" Target="https://standards.buildingsmart.org/IFC/RELEASE/IFC4/ADD2_TC1/HTML/schema/ifchvacdomain/pset/pset_flowmeteroccurrence.htm" TargetMode="External"/><Relationship Id="rId2432" Type="http://schemas.openxmlformats.org/officeDocument/2006/relationships/hyperlink" Target="https://standards.buildingsmart.org/IFC/RELEASE/IFC4/ADD2_TC1/HTML/schema/ifcelectricaldomain/pset/pset_cablecarriersegmenttypecableladdersegment.htm" TargetMode="External"/><Relationship Id="rId404" Type="http://schemas.openxmlformats.org/officeDocument/2006/relationships/hyperlink" Target="https://standards.buildingsmart.org/IFC/RELEASE/IFC4/ADD2_TC1/HTML/schema/ifchvacdomain/lexical/ifcairterminal.htm" TargetMode="External"/><Relationship Id="rId611" Type="http://schemas.openxmlformats.org/officeDocument/2006/relationships/hyperlink" Target="https://standards.buildingsmart.org/IFC/RELEASE/IFC4/ADD2_TC1/HTML/schema/ifcelectricaldomain/lexical/ifcelectrictimecontrol.htm" TargetMode="External"/><Relationship Id="rId1034" Type="http://schemas.openxmlformats.org/officeDocument/2006/relationships/hyperlink" Target="https://standards.buildingsmart.org/IFC/RELEASE/IFC4/ADD2_TC1/HTML/schema/ifcstructuralanalysisdomain/lexical/ifcstructuralloadgroup.htm" TargetMode="External"/><Relationship Id="rId1241" Type="http://schemas.openxmlformats.org/officeDocument/2006/relationships/hyperlink" Target="https://standards.buildingsmart.org/IFC/RELEASE/IFC4/ADD2_TC1/HTML/schema/ifcplumbingfireprotectiondomain/qset/qto_sanitaryterminalbasequantities.htm" TargetMode="External"/><Relationship Id="rId1101" Type="http://schemas.openxmlformats.org/officeDocument/2006/relationships/hyperlink" Target="https://standards.buildingsmart.org/IFC/RELEASE/IFC4/ADD2_TC1/HTML/schema/ifcpresentationdefinitionresource/lexical/ifctextliteral.htm" TargetMode="External"/><Relationship Id="rId3066" Type="http://schemas.openxmlformats.org/officeDocument/2006/relationships/hyperlink" Target="https://standards.buildingsmart.org/IFC/RELEASE/IFC4/ADD2_TC1/HTML/schema/ifcsharedbldgelements/pset/pset_doorcommon.htm" TargetMode="External"/><Relationship Id="rId3273" Type="http://schemas.openxmlformats.org/officeDocument/2006/relationships/hyperlink" Target="https://standards.buildingsmart.org/IFC/RELEASE/IFC4/ADD2_TC1/HTML/schema/ifcsharedbldgserviceelements/pset/pset_distributionsystemtypeventilation.htm" TargetMode="External"/><Relationship Id="rId3480" Type="http://schemas.openxmlformats.org/officeDocument/2006/relationships/hyperlink" Target="https://standards.buildingsmart.org/IFC/RELEASE/IFC4/ADD2_TC1/HTML/schema/ifchvacdomain/pset/pset_filtertypecompressedairfilter.htm" TargetMode="External"/><Relationship Id="rId194" Type="http://schemas.openxmlformats.org/officeDocument/2006/relationships/hyperlink" Target="https://standards.buildingsmart.org/IFC/RELEASE/IFC4/ADD2_TC1/HTML/schema/ifcsharedbldgelements/lexical/ifcdoortypeoperationenum.htm" TargetMode="External"/><Relationship Id="rId1918" Type="http://schemas.openxmlformats.org/officeDocument/2006/relationships/hyperlink" Target="https://standards.buildingsmart.org/IFC/RELEASE/IFC4/ADD2_TC1/HTML/schema/ifcsharedmgmtelements/pset/pset_projectorderpurchaseorder.htm" TargetMode="External"/><Relationship Id="rId2082" Type="http://schemas.openxmlformats.org/officeDocument/2006/relationships/hyperlink" Target="https://standards.buildingsmart.org/IFC/RELEASE/IFC4/ADD2_TC1/HTML/schema/ifcstructuralelementsdomain/pset/pset_reinforcementbarpitchofwall.htm" TargetMode="External"/><Relationship Id="rId3133" Type="http://schemas.openxmlformats.org/officeDocument/2006/relationships/hyperlink" Target="https://standards.buildingsmart.org/IFC/RELEASE/IFC4/ADD2_TC1/HTML/schema/ifcprofileresource/pset/pset_profilearbitrarydoublet.htm" TargetMode="External"/><Relationship Id="rId261" Type="http://schemas.openxmlformats.org/officeDocument/2006/relationships/hyperlink" Target="https://standards.buildingsmart.org/IFC/RELEASE/IFC4/ADD2_TC1/HTML/schema/ifcprofileresource/lexical/ifcprofiletypeenum.htm" TargetMode="External"/><Relationship Id="rId3340" Type="http://schemas.openxmlformats.org/officeDocument/2006/relationships/hyperlink" Target="https://standards.buildingsmart.org/IFC/RELEASE/IFC4/ADD2_TC1/HTML/schema/ifcelectricaldomain/pset/pset_protectivedevicetrippingunittypethermal.htm" TargetMode="External"/><Relationship Id="rId2899" Type="http://schemas.openxmlformats.org/officeDocument/2006/relationships/hyperlink" Target="https://standards.buildingsmart.org/IFC/RELEASE/IFC4/ADD2_TC1/HTML/schema/ifcplumbingfireprotectiondomain/pset/pset_firesuppressionterminaltypebreechinginlet.htm" TargetMode="External"/><Relationship Id="rId3200" Type="http://schemas.openxmlformats.org/officeDocument/2006/relationships/hyperlink" Target="https://standards.buildingsmart.org/IFC/RELEASE/IFC4/ADD2_TC1/HTML/schema/ifchvacdomain/pset/pset_dampertypecommon.htm" TargetMode="External"/><Relationship Id="rId121" Type="http://schemas.openxmlformats.org/officeDocument/2006/relationships/hyperlink" Target="https://standards.buildingsmart.org/IFC/RELEASE/IFC4/ADD2_TC1/HTML/schema/ifcmeasureresource/lexical/ifcbinary.htm" TargetMode="External"/><Relationship Id="rId2759" Type="http://schemas.openxmlformats.org/officeDocument/2006/relationships/hyperlink" Target="https://standards.buildingsmart.org/IFC/RELEASE/IFC4/ADD2_TC1/HTML/schema/ifcsharedcomponentelements/pset/pset_discreteaccessoryladdertrussconnector.htm" TargetMode="External"/><Relationship Id="rId2966" Type="http://schemas.openxmlformats.org/officeDocument/2006/relationships/hyperlink" Target="https://standards.buildingsmart.org/IFC/RELEASE/IFC4/ADD2_TC1/HTML/schema/ifcstructuralelementsdomain/pset/pset_precastconcreteelementgeneral.htm" TargetMode="External"/><Relationship Id="rId938" Type="http://schemas.openxmlformats.org/officeDocument/2006/relationships/hyperlink" Target="https://standards.buildingsmart.org/IFC/RELEASE/IFC4/ADD2_TC1/HTML/schema/ifckernel/lexical/ifcreldecomposes.htm" TargetMode="External"/><Relationship Id="rId1568" Type="http://schemas.openxmlformats.org/officeDocument/2006/relationships/hyperlink" Target="https://standards.buildingsmart.org/IFC/RELEASE/IFC4/ADD2_TC1/HTML/schema/ifcelectricaldomain/pset/pset_protectivedevicetrippingfunctionicurve.htm" TargetMode="External"/><Relationship Id="rId1775" Type="http://schemas.openxmlformats.org/officeDocument/2006/relationships/hyperlink" Target="https://standards.buildingsmart.org/IFC/RELEASE/IFC4/ADD2_TC1/HTML/schema/ifchvacdomain/pset/pset_condensertypecommon.htm" TargetMode="External"/><Relationship Id="rId2619" Type="http://schemas.openxmlformats.org/officeDocument/2006/relationships/hyperlink" Target="https://standards.buildingsmart.org/IFC/RELEASE/IFC4/ADD2_TC1/HTML/schema/ifcsharedfacilitieselements/pset/pset_servicelife.htm" TargetMode="External"/><Relationship Id="rId2826" Type="http://schemas.openxmlformats.org/officeDocument/2006/relationships/hyperlink" Target="https://standards.buildingsmart.org/IFC/RELEASE/IFC4/ADD2_TC1/HTML/schema/ifcsharedbldgelements/pset/pset_windowcommon.htm" TargetMode="External"/><Relationship Id="rId67" Type="http://schemas.openxmlformats.org/officeDocument/2006/relationships/hyperlink" Target="https://standards.buildingsmart.org/IFC/RELEASE/IFC4/ADD2_TC1/HTML/schema/ifcmeasureresource/lexical/ifcmassflowratemeasure.htm" TargetMode="External"/><Relationship Id="rId1428" Type="http://schemas.openxmlformats.org/officeDocument/2006/relationships/hyperlink" Target="https://standards.buildingsmart.org/IFC/RELEASE/IFC4/ADD2_TC1/HTML/schema/ifcelectricaldomain/pset/pset_protectivedevicebreakeruniti2tcurve.htm" TargetMode="External"/><Relationship Id="rId1635" Type="http://schemas.openxmlformats.org/officeDocument/2006/relationships/hyperlink" Target="https://standards.buildingsmart.org/IFC/RELEASE/IFC4/ADD2_TC1/HTML/schema/ifchvacdomain/pset/pset_ductfittingtypecommon.htm" TargetMode="External"/><Relationship Id="rId1982" Type="http://schemas.openxmlformats.org/officeDocument/2006/relationships/hyperlink" Target="https://standards.buildingsmart.org/IFC/RELEASE/IFC4/ADD2_TC1/HTML/schema/ifcelectricaldomain/pset/pset_cablesegmenttypecoresegment.htm" TargetMode="External"/><Relationship Id="rId1842" Type="http://schemas.openxmlformats.org/officeDocument/2006/relationships/hyperlink" Target="https://standards.buildingsmart.org/IFC/RELEASE/IFC4/ADD2_TC1/HTML/schema/ifcproductextension/pset/pset_spacethermalrequirements.htm" TargetMode="External"/><Relationship Id="rId1702" Type="http://schemas.openxmlformats.org/officeDocument/2006/relationships/hyperlink" Target="https://standards.buildingsmart.org/IFC/RELEASE/IFC4/ADD2_TC1/HTML/schema/ifchvacdomain/pset/pset_vibrationisolatortypecommon.htm" TargetMode="External"/><Relationship Id="rId3667" Type="http://schemas.openxmlformats.org/officeDocument/2006/relationships/hyperlink" Target="https://standards.buildingsmart.org/IFC/RELEASE/IFC4/ADD2_TC1/HTML/schema/ifchvacdomain/pset/pset_fanoccurrence.htm" TargetMode="External"/><Relationship Id="rId588" Type="http://schemas.openxmlformats.org/officeDocument/2006/relationships/hyperlink" Target="https://standards.buildingsmart.org/IFC/RELEASE/IFC4/ADD2_TC1/HTML/schema/ifcarchitecturedomain/lexical/ifcdoorstyle.htm" TargetMode="External"/><Relationship Id="rId795" Type="http://schemas.openxmlformats.org/officeDocument/2006/relationships/hyperlink" Target="https://standards.buildingsmart.org/IFC/RELEASE/IFC4/ADD2_TC1/HTML/schema/ifcelectricaldomain/lexical/ifcoutlet.htm" TargetMode="External"/><Relationship Id="rId2269" Type="http://schemas.openxmlformats.org/officeDocument/2006/relationships/hyperlink" Target="https://standards.buildingsmart.org/IFC/RELEASE/IFC4/ADD2_TC1/HTML/schema/ifcsharedbldgserviceelements/pset/pset_distributionsystemtypeventilation.htm" TargetMode="External"/><Relationship Id="rId2476" Type="http://schemas.openxmlformats.org/officeDocument/2006/relationships/hyperlink" Target="https://standards.buildingsmart.org/IFC/RELEASE/IFC4/ADD2_TC1/HTML/schema/ifcsharedfacilitieselements/pset/pset_furnituretypecommon.htm" TargetMode="External"/><Relationship Id="rId2683" Type="http://schemas.openxmlformats.org/officeDocument/2006/relationships/hyperlink" Target="https://standards.buildingsmart.org/IFC/RELEASE/IFC4/ADD2_TC1/HTML/schema/ifcstructuralelementsdomain/pset/pset_reinforcingmeshcommon.htm" TargetMode="External"/><Relationship Id="rId2890" Type="http://schemas.openxmlformats.org/officeDocument/2006/relationships/hyperlink" Target="https://standards.buildingsmart.org/IFC/RELEASE/IFC4/ADD2_TC1/HTML/schema/ifcbuildingcontrolsdomain/pset/pset_actuatortypepneumaticactuator.htm" TargetMode="External"/><Relationship Id="rId3527" Type="http://schemas.openxmlformats.org/officeDocument/2006/relationships/hyperlink" Target="https://standards.buildingsmart.org/IFC/RELEASE/IFC4/ADD2_TC1/HTML/schema/ifcsharedbldgelements/pset/pset_rampflightcommon.htm" TargetMode="External"/><Relationship Id="rId3734" Type="http://schemas.openxmlformats.org/officeDocument/2006/relationships/hyperlink" Target="https://standards.buildingsmart.org/IFC/RELEASE/IFC4/ADD2_TC1/HTML/schema/ifcelectricaldomain/pset/pset_protectivedevicetrippingunitcurrentadjustment.htm" TargetMode="External"/><Relationship Id="rId448" Type="http://schemas.openxmlformats.org/officeDocument/2006/relationships/hyperlink" Target="https://standards.buildingsmart.org/IFC/RELEASE/IFC4/ADD2_TC1/HTML/schema/ifcgeometryresource/lexical/ifcbsplinecurvewithknots.htm" TargetMode="External"/><Relationship Id="rId655" Type="http://schemas.openxmlformats.org/officeDocument/2006/relationships/hyperlink" Target="https://standards.buildingsmart.org/IFC/RELEASE/IFC4/ADD2_TC1/HTML/schema/ifcsharedcomponentelements/lexical/ifcfastener.htm" TargetMode="External"/><Relationship Id="rId862" Type="http://schemas.openxmlformats.org/officeDocument/2006/relationships/hyperlink" Target="https://standards.buildingsmart.org/IFC/RELEASE/IFC4/ADD2_TC1/HTML/schema/ifcpropertyresource/lexical/ifcpropertylistvalue.htm" TargetMode="External"/><Relationship Id="rId1078" Type="http://schemas.openxmlformats.org/officeDocument/2006/relationships/hyperlink" Target="https://standards.buildingsmart.org/IFC/RELEASE/IFC4/ADD2_TC1/HTML/schema/ifcgeometricmodelresource/lexical/ifcsweptdisksolidpolygonal.htm" TargetMode="External"/><Relationship Id="rId1285" Type="http://schemas.openxmlformats.org/officeDocument/2006/relationships/hyperlink" Target="https://standards.buildingsmart.org/IFC/RELEASE/IFC4/ADD2_TC1/HTML/schema/ifcmaterialresource/lexical/ifcmlstotalthickness.htm" TargetMode="External"/><Relationship Id="rId1492" Type="http://schemas.openxmlformats.org/officeDocument/2006/relationships/hyperlink" Target="https://standards.buildingsmart.org/IFC/RELEASE/IFC4/ADD2_TC1/HTML/schema/ifcmaterialresource/pset/pset_materialhygroscopic.htm" TargetMode="External"/><Relationship Id="rId2129" Type="http://schemas.openxmlformats.org/officeDocument/2006/relationships/hyperlink" Target="https://standards.buildingsmart.org/IFC/RELEASE/IFC4/ADD2_TC1/HTML/schema/ifcstructuralelementsdomain/pset/pset_pilecommon.htm" TargetMode="External"/><Relationship Id="rId2336" Type="http://schemas.openxmlformats.org/officeDocument/2006/relationships/hyperlink" Target="https://standards.buildingsmart.org/IFC/RELEASE/IFC4/ADD2_TC1/HTML/schema/ifchvacdomain/pset/pset_pumpphistory.htm" TargetMode="External"/><Relationship Id="rId2543" Type="http://schemas.openxmlformats.org/officeDocument/2006/relationships/hyperlink" Target="https://standards.buildingsmart.org/IFC/RELEASE/IFC4/ADD2_TC1/HTML/schema/ifchvacdomain/pset/pset_airterminalboxtypecommon.htm" TargetMode="External"/><Relationship Id="rId2750" Type="http://schemas.openxmlformats.org/officeDocument/2006/relationships/hyperlink" Target="https://standards.buildingsmart.org/IFC/RELEASE/IFC4/ADD2_TC1/HTML/schema/ifcmaterialresource/pset/pset_materialwood.htm" TargetMode="External"/><Relationship Id="rId308" Type="http://schemas.openxmlformats.org/officeDocument/2006/relationships/hyperlink" Target="https://standards.buildingsmart.org/IFC/RELEASE/IFC4/ADD2_TC1/HTML/schema/ifcprocessextension/lexical/ifctasktypeenum.htm" TargetMode="External"/><Relationship Id="rId515" Type="http://schemas.openxmlformats.org/officeDocument/2006/relationships/hyperlink" Target="https://standards.buildingsmart.org/IFC/RELEASE/IFC4/ADD2_TC1/HTML/schema/ifcgeometricconstraintresource/lexical/ifcconnectionpointgeometry.htm" TargetMode="External"/><Relationship Id="rId722" Type="http://schemas.openxmlformats.org/officeDocument/2006/relationships/hyperlink" Target="https://standards.buildingsmart.org/IFC/RELEASE/IFC4/ADD2_TC1/HTML/schema/ifcelectricaldomain/lexical/ifcjunctionbox.htm" TargetMode="External"/><Relationship Id="rId1145" Type="http://schemas.openxmlformats.org/officeDocument/2006/relationships/hyperlink" Target="https://standards.buildingsmart.org/IFC/RELEASE/IFC4/ADD2_TC1/HTML/schema/ifchvacdomain/lexical/ifcvibrationisolatortype.htm" TargetMode="External"/><Relationship Id="rId1352" Type="http://schemas.openxmlformats.org/officeDocument/2006/relationships/hyperlink" Target="https://standards.buildingsmart.org/IFC/RELEASE/IFC4/ADD2_TC1/HTML/schema/ifcsharedbldgelements/pset/pset_doorcommon.htm" TargetMode="External"/><Relationship Id="rId2403" Type="http://schemas.openxmlformats.org/officeDocument/2006/relationships/hyperlink" Target="https://standards.buildingsmart.org/IFC/RELEASE/IFC4/ADD2_TC1/HTML/schema/ifcelectricaldomain/pset/pset_cablesegmentoccurrence.htm" TargetMode="External"/><Relationship Id="rId1005" Type="http://schemas.openxmlformats.org/officeDocument/2006/relationships/hyperlink" Target="https://standards.buildingsmart.org/IFC/RELEASE/IFC4/ADD2_TC1/HTML/schema/ifcproductextension/lexical/ifcspatialelement.htm" TargetMode="External"/><Relationship Id="rId1212" Type="http://schemas.openxmlformats.org/officeDocument/2006/relationships/hyperlink" Target="https://standards.buildingsmart.org/IFC/RELEASE/IFC4/ADD2_TC1/HTML/schema/ifchvacdomain/qset/qto_fanbasequantities.htm" TargetMode="External"/><Relationship Id="rId2610" Type="http://schemas.openxmlformats.org/officeDocument/2006/relationships/hyperlink" Target="https://standards.buildingsmart.org/IFC/RELEASE/IFC4/ADD2_TC1/HTML/schema/ifcelectricaldomain/pset/pset_audiovisualappliancephistory.htm" TargetMode="External"/><Relationship Id="rId3177" Type="http://schemas.openxmlformats.org/officeDocument/2006/relationships/hyperlink" Target="https://standards.buildingsmart.org/IFC/RELEASE/IFC4/ADD2_TC1/HTML/schema/ifcsharedfacilitieselements/pset/pset_systemfurnitureelementtypecommon.htm" TargetMode="External"/><Relationship Id="rId3037" Type="http://schemas.openxmlformats.org/officeDocument/2006/relationships/hyperlink" Target="https://standards.buildingsmart.org/IFC/RELEASE/IFC4/ADD2_TC1/HTML/schema/ifcelectricaldomain/pset/pset_cablecarriersegmenttypecabletraysegment.htm" TargetMode="External"/><Relationship Id="rId3384" Type="http://schemas.openxmlformats.org/officeDocument/2006/relationships/hyperlink" Target="https://standards.buildingsmart.org/IFC/RELEASE/IFC4/ADD2_TC1/HTML/schema/ifcplumbingfireprotectiondomain/pset/pset_firesuppressionterminaltypebreechinginlet.htm" TargetMode="External"/><Relationship Id="rId3591" Type="http://schemas.openxmlformats.org/officeDocument/2006/relationships/hyperlink" Target="https://standards.buildingsmart.org/IFC/RELEASE/IFC4/ADD2_TC1/HTML/schema/ifchvacdomain/pset/pset_pipeconnectionflanged.htm" TargetMode="External"/><Relationship Id="rId2193" Type="http://schemas.openxmlformats.org/officeDocument/2006/relationships/hyperlink" Target="https://standards.buildingsmart.org/IFC/RELEASE/IFC4/ADD2_TC1/HTML/schema/ifcbuildingcontrolsdomain/pset/pset_actuatortypecommon.htm" TargetMode="External"/><Relationship Id="rId3244" Type="http://schemas.openxmlformats.org/officeDocument/2006/relationships/hyperlink" Target="https://standards.buildingsmart.org/IFC/RELEASE/IFC4/ADD2_TC1/HTML/schema/ifcelectricaldomain/pset/pset_electricappliancetypeelectriccooker.htm" TargetMode="External"/><Relationship Id="rId3451" Type="http://schemas.openxmlformats.org/officeDocument/2006/relationships/hyperlink" Target="https://standards.buildingsmart.org/IFC/RELEASE/IFC4/ADD2_TC1/HTML/schema/ifcelectricaldomain/pset/pset_cablecarriersegmenttypeconduitsegment.htm" TargetMode="External"/><Relationship Id="rId165" Type="http://schemas.openxmlformats.org/officeDocument/2006/relationships/hyperlink" Target="https://standards.buildingsmart.org/IFC/RELEASE/IFC4/ADD2_TC1/HTML/schema/ifcsharedbldgelements/lexical/ifcconnectiontypeenum.htm" TargetMode="External"/><Relationship Id="rId372" Type="http://schemas.openxmlformats.org/officeDocument/2006/relationships/hyperlink" Target="https://standards.buildingsmart.org/IFC/RELEASE/IFC4/ADD2_TC1/HTML/schema/ifckernel/lexical/ifcpropertysetdefinitionselect.htm" TargetMode="External"/><Relationship Id="rId2053" Type="http://schemas.openxmlformats.org/officeDocument/2006/relationships/hyperlink" Target="https://standards.buildingsmart.org/IFC/RELEASE/IFC4/ADD2_TC1/HTML/schema/ifcelectricaldomain/pset/pset_protectivedevicetrippingfunctionscurve.htm" TargetMode="External"/><Relationship Id="rId2260" Type="http://schemas.openxmlformats.org/officeDocument/2006/relationships/hyperlink" Target="https://standards.buildingsmart.org/IFC/RELEASE/IFC4/ADD2_TC1/HTML/schema/ifchvacdomain/pset/pset_ductfittingtypecommon.htm" TargetMode="External"/><Relationship Id="rId3104" Type="http://schemas.openxmlformats.org/officeDocument/2006/relationships/hyperlink" Target="https://standards.buildingsmart.org/IFC/RELEASE/IFC4/ADD2_TC1/HTML/schema/ifcplumbingfireprotectiondomain/pset/pset_sanitaryterminaltypecistern.htm" TargetMode="External"/><Relationship Id="rId3311" Type="http://schemas.openxmlformats.org/officeDocument/2006/relationships/hyperlink" Target="https://standards.buildingsmart.org/IFC/RELEASE/IFC4/ADD2_TC1/HTML/schema/ifcelectricaldomain/pset/pset_switchingdevicetypedimmerswitch.htm" TargetMode="External"/><Relationship Id="rId232" Type="http://schemas.openxmlformats.org/officeDocument/2006/relationships/hyperlink" Target="https://standards.buildingsmart.org/IFC/RELEASE/IFC4/ADD2_TC1/HTML/schema/ifcconstructionmgmtdomain/lexical/ifclaborresourcetypeenum.htm" TargetMode="External"/><Relationship Id="rId2120" Type="http://schemas.openxmlformats.org/officeDocument/2006/relationships/hyperlink" Target="https://standards.buildingsmart.org/IFC/RELEASE/IFC4/ADD2_TC1/HTML/schema/ifcsharedbldgelements/pset/pset_rampflightcommon.htm" TargetMode="External"/><Relationship Id="rId1679" Type="http://schemas.openxmlformats.org/officeDocument/2006/relationships/hyperlink" Target="https://standards.buildingsmart.org/IFC/RELEASE/IFC4/ADD2_TC1/HTML/schema/ifcsharedfacilitieselements/pset/pset_furnituretypecommon.htm" TargetMode="External"/><Relationship Id="rId1886" Type="http://schemas.openxmlformats.org/officeDocument/2006/relationships/hyperlink" Target="https://standards.buildingsmart.org/IFC/RELEASE/IFC4/ADD2_TC1/HTML/schema/ifckernel/pset/pset_actorcommon.htm" TargetMode="External"/><Relationship Id="rId2937" Type="http://schemas.openxmlformats.org/officeDocument/2006/relationships/hyperlink" Target="https://standards.buildingsmart.org/IFC/RELEASE/IFC4/ADD2_TC1/HTML/schema/ifcelectricaldomain/pset/pset_protectivedevicebreakerunittypemcb.htm" TargetMode="External"/><Relationship Id="rId909" Type="http://schemas.openxmlformats.org/officeDocument/2006/relationships/hyperlink" Target="https://standards.buildingsmart.org/IFC/RELEASE/IFC4/ADD2_TC1/HTML/schema/ifckernel/lexical/ifcrelassigns.htm" TargetMode="External"/><Relationship Id="rId1539" Type="http://schemas.openxmlformats.org/officeDocument/2006/relationships/hyperlink" Target="https://standards.buildingsmart.org/IFC/RELEASE/IFC4/ADD2_TC1/HTML/schema/ifcsharedbldgserviceelements/pset/pset_spacethermalload.htm" TargetMode="External"/><Relationship Id="rId1746" Type="http://schemas.openxmlformats.org/officeDocument/2006/relationships/hyperlink" Target="https://standards.buildingsmart.org/IFC/RELEASE/IFC4/ADD2_TC1/HTML/schema/ifcsharedfacilitieselements/pset/pset_furnituretypecommon.htm" TargetMode="External"/><Relationship Id="rId1953" Type="http://schemas.openxmlformats.org/officeDocument/2006/relationships/hyperlink" Target="https://standards.buildingsmart.org/IFC/RELEASE/IFC4/ADD2_TC1/HTML/schema/ifcbuildingcontrolsdomain/pset/pset_sensortypefrostsensor.htm" TargetMode="External"/><Relationship Id="rId38" Type="http://schemas.openxmlformats.org/officeDocument/2006/relationships/hyperlink" Target="https://standards.buildingsmart.org/IFC/RELEASE/IFC4/ADD2_TC1/HTML/schema/ifcmeasureresource/lexical/ifcreal.htm" TargetMode="External"/><Relationship Id="rId1606" Type="http://schemas.openxmlformats.org/officeDocument/2006/relationships/hyperlink" Target="https://standards.buildingsmart.org/IFC/RELEASE/IFC4/ADD2_TC1/HTML/schema/ifcsharedbldgelements/pset/pset_chimneycommon.htm" TargetMode="External"/><Relationship Id="rId1813" Type="http://schemas.openxmlformats.org/officeDocument/2006/relationships/hyperlink" Target="https://standards.buildingsmart.org/IFC/RELEASE/IFC4/ADD2_TC1/HTML/schema/ifcproductextension/pset/pset_buildingcommon.htm" TargetMode="External"/><Relationship Id="rId3778" Type="http://schemas.openxmlformats.org/officeDocument/2006/relationships/hyperlink" Target="https://standards.buildingsmart.org/IFC/RELEASE/IFC4/ADD2_TC1/HTML/schema/ifcprofileresource/pset/pset_profilearbitraryhollowcore.htm" TargetMode="External"/><Relationship Id="rId699" Type="http://schemas.openxmlformats.org/officeDocument/2006/relationships/hyperlink" Target="https://standards.buildingsmart.org/IFC/RELEASE/IFC4/ADD2_TC1/HTML/schema/ifcproductextension/lexical/ifcgrid.htm" TargetMode="External"/><Relationship Id="rId2587" Type="http://schemas.openxmlformats.org/officeDocument/2006/relationships/hyperlink" Target="https://standards.buildingsmart.org/IFC/RELEASE/IFC4/ADD2_TC1/HTML/schema/ifcmaterialresource/pset/pset_materialwood.htm" TargetMode="External"/><Relationship Id="rId2794" Type="http://schemas.openxmlformats.org/officeDocument/2006/relationships/hyperlink" Target="https://standards.buildingsmart.org/IFC/RELEASE/IFC4/ADD2_TC1/HTML/schema/ifcelectricaldomain/pset/pset_protectivedevicetrippingfunctionicurve.htm" TargetMode="External"/><Relationship Id="rId3638" Type="http://schemas.openxmlformats.org/officeDocument/2006/relationships/hyperlink" Target="https://standards.buildingsmart.org/IFC/RELEASE/IFC4/ADD2_TC1/HTML/schema/ifcelectricaldomain/pset/pset_audiovisualappliancetypedisplay.htm" TargetMode="External"/><Relationship Id="rId559" Type="http://schemas.openxmlformats.org/officeDocument/2006/relationships/hyperlink" Target="https://standards.buildingsmart.org/IFC/RELEASE/IFC4/ADD2_TC1/HTML/schema/ifcpresentationappearanceresource/lexical/ifccurvestylefontpattern.htm" TargetMode="External"/><Relationship Id="rId766" Type="http://schemas.openxmlformats.org/officeDocument/2006/relationships/hyperlink" Target="https://standards.buildingsmart.org/IFC/RELEASE/IFC4/ADD2_TC1/HTML/schema/ifcmaterialresource/lexical/ifcmaterialusagedefinition.htm" TargetMode="External"/><Relationship Id="rId1189" Type="http://schemas.openxmlformats.org/officeDocument/2006/relationships/hyperlink" Target="https://standards.buildingsmart.org/IFC/RELEASE/IFC4/ADD2_TC1/HTML/schema/ifchvacdomain/qset/qto_compressorbasequantities.htm" TargetMode="External"/><Relationship Id="rId1396" Type="http://schemas.openxmlformats.org/officeDocument/2006/relationships/hyperlink" Target="https://standards.buildingsmart.org/IFC/RELEASE/IFC4/ADD2_TC1/HTML/schema/ifcsharedfacilitieselements/pset/pset_warranty.htm" TargetMode="External"/><Relationship Id="rId2447" Type="http://schemas.openxmlformats.org/officeDocument/2006/relationships/hyperlink" Target="https://standards.buildingsmart.org/IFC/RELEASE/IFC4/ADD2_TC1/HTML/schema/ifchvacdomain/pset/pset_cooledbeamtypecommon.htm" TargetMode="External"/><Relationship Id="rId419" Type="http://schemas.openxmlformats.org/officeDocument/2006/relationships/hyperlink" Target="https://standards.buildingsmart.org/IFC/RELEASE/IFC4/ADD2_TC1/HTML/schema/ifcprofileresource/lexical/ifcarbitraryopenprofiledef.htm" TargetMode="External"/><Relationship Id="rId626" Type="http://schemas.openxmlformats.org/officeDocument/2006/relationships/hyperlink" Target="https://standards.buildingsmart.org/IFC/RELEASE/IFC4/ADD2_TC1/HTML/schema/ifchvacdomain/lexical/ifcenginetype.htm" TargetMode="External"/><Relationship Id="rId973" Type="http://schemas.openxmlformats.org/officeDocument/2006/relationships/hyperlink" Target="https://standards.buildingsmart.org/IFC/RELEASE/IFC4/ADD2_TC1/HTML/schema/ifcprofileresource/lexical/ifcroundedrectangleprofiledef.htm" TargetMode="External"/><Relationship Id="rId1049" Type="http://schemas.openxmlformats.org/officeDocument/2006/relationships/hyperlink" Target="https://standards.buildingsmart.org/IFC/RELEASE/IFC4/ADD2_TC1/HTML/schema/ifcstructuralanalysisdomain/lexical/ifcstructuralreaction.htm" TargetMode="External"/><Relationship Id="rId1256" Type="http://schemas.openxmlformats.org/officeDocument/2006/relationships/hyperlink" Target="https://standards.buildingsmart.org/IFC/RELEASE/IFC4/ADD2_TC1/HTML/schema/ifchvacdomain/qset/qto_valvebasequantities.htm" TargetMode="External"/><Relationship Id="rId2307" Type="http://schemas.openxmlformats.org/officeDocument/2006/relationships/hyperlink" Target="https://standards.buildingsmart.org/IFC/RELEASE/IFC4/ADD2_TC1/HTML/schema/ifcstructuralelementsdomain/pset/pset_precastconcreteelementgeneral.htm" TargetMode="External"/><Relationship Id="rId2654" Type="http://schemas.openxmlformats.org/officeDocument/2006/relationships/hyperlink" Target="https://standards.buildingsmart.org/IFC/RELEASE/IFC4/ADD2_TC1/HTML/schema/ifcproductextension/pset/pset_buildinguse.htm" TargetMode="External"/><Relationship Id="rId2861" Type="http://schemas.openxmlformats.org/officeDocument/2006/relationships/hyperlink" Target="https://standards.buildingsmart.org/IFC/RELEASE/IFC4/ADD2_TC1/HTML/schema/ifcsharedbldgserviceelements/pset/pset_distributionchamberelementtypeinspectionchamber.htm" TargetMode="External"/><Relationship Id="rId3705" Type="http://schemas.openxmlformats.org/officeDocument/2006/relationships/hyperlink" Target="https://standards.buildingsmart.org/IFC/RELEASE/IFC4/ADD2_TC1/HTML/schema/ifchvacdomain/pset/pset_airterminaltypecommon.htm" TargetMode="External"/><Relationship Id="rId833" Type="http://schemas.openxmlformats.org/officeDocument/2006/relationships/hyperlink" Target="https://standards.buildingsmart.org/IFC/RELEASE/IFC4/ADD2_TC1/HTML/schema/ifcpresentationappearanceresource/lexical/ifcpredefineditem.htm" TargetMode="External"/><Relationship Id="rId1116" Type="http://schemas.openxmlformats.org/officeDocument/2006/relationships/hyperlink" Target="https://standards.buildingsmart.org/IFC/RELEASE/IFC4/ADD2_TC1/HTML/schema/ifcrepresentationresource/lexical/ifctopologyrepresentation.htm" TargetMode="External"/><Relationship Id="rId1463" Type="http://schemas.openxmlformats.org/officeDocument/2006/relationships/hyperlink" Target="https://standards.buildingsmart.org/IFC/RELEASE/IFC4/ADD2_TC1/HTML/schema/ifcsharedbldgserviceelements/pset/pset_spacethermalloadphistory.htm" TargetMode="External"/><Relationship Id="rId1670" Type="http://schemas.openxmlformats.org/officeDocument/2006/relationships/hyperlink" Target="https://standards.buildingsmart.org/IFC/RELEASE/IFC4/ADD2_TC1/HTML/schema/ifchvacdomain/pset/pset_cooledbeamphistory.htm" TargetMode="External"/><Relationship Id="rId2514" Type="http://schemas.openxmlformats.org/officeDocument/2006/relationships/hyperlink" Target="https://standards.buildingsmart.org/IFC/RELEASE/IFC4/ADD2_TC1/HTML/schema/ifcelectricaldomain/pset/pset_protectivedevicetrippingfunctiongcurve.htm" TargetMode="External"/><Relationship Id="rId2721" Type="http://schemas.openxmlformats.org/officeDocument/2006/relationships/hyperlink" Target="https://standards.buildingsmart.org/IFC/RELEASE/IFC4/ADD2_TC1/HTML/schema/ifcsharedbldgserviceelements/pset/pset_thermalloaddesigncriteria.htm" TargetMode="External"/><Relationship Id="rId900" Type="http://schemas.openxmlformats.org/officeDocument/2006/relationships/hyperlink" Target="https://standards.buildingsmart.org/IFC/RELEASE/IFC4/ADD2_TC1/HTML/schema/ifcprofileresource/lexical/ifcreinforcementbarproperties.htm" TargetMode="External"/><Relationship Id="rId1323" Type="http://schemas.openxmlformats.org/officeDocument/2006/relationships/hyperlink" Target="https://standards.buildingsmart.org/IFC/RELEASE/IFC4/ADD2_TC1/HTML/schema/ifcstructuralelementsdomain/pset/pset_reinforcementbarcountofindependentfooting.htm" TargetMode="External"/><Relationship Id="rId1530" Type="http://schemas.openxmlformats.org/officeDocument/2006/relationships/hyperlink" Target="https://standards.buildingsmart.org/IFC/RELEASE/IFC4/ADD2_TC1/HTML/schema/ifcstructuralelementsdomain/pset/pset_reinforcingmeshcommon.htm" TargetMode="External"/><Relationship Id="rId3288" Type="http://schemas.openxmlformats.org/officeDocument/2006/relationships/hyperlink" Target="https://standards.buildingsmart.org/IFC/RELEASE/IFC4/ADD2_TC1/HTML/schema/ifcprofileresource/pset/pset_profilearbitraryhollowcore.htm" TargetMode="External"/><Relationship Id="rId3495" Type="http://schemas.openxmlformats.org/officeDocument/2006/relationships/hyperlink" Target="https://standards.buildingsmart.org/IFC/RELEASE/IFC4/ADD2_TC1/HTML/schema/ifcsharedcomponentelements/pset/pset_discreteaccessorycolumnshoe.htm" TargetMode="External"/><Relationship Id="rId2097" Type="http://schemas.openxmlformats.org/officeDocument/2006/relationships/hyperlink" Target="https://standards.buildingsmart.org/IFC/RELEASE/IFC4/ADD2_TC1/HTML/schema/ifchvacdomain/pset/pset_unitaryequipmenttypecommon.htm" TargetMode="External"/><Relationship Id="rId3148" Type="http://schemas.openxmlformats.org/officeDocument/2006/relationships/hyperlink" Target="https://standards.buildingsmart.org/IFC/RELEASE/IFC4/ADD2_TC1/HTML/schema/ifcproductextension/pset/pset_spacefiresafetyrequirements.htm" TargetMode="External"/><Relationship Id="rId3355" Type="http://schemas.openxmlformats.org/officeDocument/2006/relationships/hyperlink" Target="https://standards.buildingsmart.org/IFC/RELEASE/IFC4/ADD2_TC1/HTML/schema/ifcelectricaldomain/pset/pset_protectivedevicetrippingfunctionscurve.htm" TargetMode="External"/><Relationship Id="rId3562" Type="http://schemas.openxmlformats.org/officeDocument/2006/relationships/hyperlink" Target="https://standards.buildingsmart.org/IFC/RELEASE/IFC4/ADD2_TC1/HTML/schema/ifcmaterialresource/pset/pset_materialfuel.htm" TargetMode="External"/><Relationship Id="rId276" Type="http://schemas.openxmlformats.org/officeDocument/2006/relationships/hyperlink" Target="https://standards.buildingsmart.org/IFC/RELEASE/IFC4/ADD2_TC1/HTML/schema/ifcstructuralelementsdomain/lexical/ifcreinforcingbartypeenum.htm" TargetMode="External"/><Relationship Id="rId483" Type="http://schemas.openxmlformats.org/officeDocument/2006/relationships/hyperlink" Target="https://standards.buildingsmart.org/IFC/RELEASE/IFC4/ADD2_TC1/HTML/schema/ifcsharedbldgelements/lexical/ifcchimneytype.htm" TargetMode="External"/><Relationship Id="rId690" Type="http://schemas.openxmlformats.org/officeDocument/2006/relationships/hyperlink" Target="https://standards.buildingsmart.org/IFC/RELEASE/IFC4/ADD2_TC1/HTML/schema/ifcsharedfacilitieselements/lexical/ifcfurniture.htm" TargetMode="External"/><Relationship Id="rId2164" Type="http://schemas.openxmlformats.org/officeDocument/2006/relationships/hyperlink" Target="https://standards.buildingsmart.org/IFC/RELEASE/IFC4/ADD2_TC1/HTML/schema/ifchvacdomain/pset/pset_dampertypecommon.htm" TargetMode="External"/><Relationship Id="rId2371" Type="http://schemas.openxmlformats.org/officeDocument/2006/relationships/hyperlink" Target="https://standards.buildingsmart.org/IFC/RELEASE/IFC4/ADD2_TC1/HTML/schema/ifchvacdomain/pset/pset_filtertypecompressedairfilter.htm" TargetMode="External"/><Relationship Id="rId3008" Type="http://schemas.openxmlformats.org/officeDocument/2006/relationships/hyperlink" Target="https://standards.buildingsmart.org/IFC/RELEASE/IFC4/ADD2_TC1/HTML/schema/ifchvacdomain/pset/pset_airterminaltypecommon.htm" TargetMode="External"/><Relationship Id="rId3215" Type="http://schemas.openxmlformats.org/officeDocument/2006/relationships/hyperlink" Target="https://standards.buildingsmart.org/IFC/RELEASE/IFC4/ADD2_TC1/HTML/schema/ifchvacdomain/pset/pset_evaporatortypecommon.htm" TargetMode="External"/><Relationship Id="rId3422" Type="http://schemas.openxmlformats.org/officeDocument/2006/relationships/hyperlink" Target="https://standards.buildingsmart.org/IFC/RELEASE/IFC4/ADD2_TC1/HTML/schema/ifcbuildingcontrolsdomain/pset/pset_controllertypemultiposition.htm" TargetMode="External"/><Relationship Id="rId136" Type="http://schemas.openxmlformats.org/officeDocument/2006/relationships/hyperlink" Target="https://standards.buildingsmart.org/IFC/RELEASE/IFC4/ADD2_TC1/HTML/schema/ifchvacdomain/lexical/ifcairtoairheatrecoverytypeenum.htm" TargetMode="External"/><Relationship Id="rId343" Type="http://schemas.openxmlformats.org/officeDocument/2006/relationships/hyperlink" Target="https://standards.buildingsmart.org/IFC/RELEASE/IFC4/ADD2_TC1/HTML/schema/ifcpresentationappearanceresource/lexical/ifccolourorfactor.htm" TargetMode="External"/><Relationship Id="rId550" Type="http://schemas.openxmlformats.org/officeDocument/2006/relationships/hyperlink" Target="https://standards.buildingsmart.org/IFC/RELEASE/IFC4/ADD2_TC1/HTML/schema/ifccostresource/lexical/ifccurrencyrelationship.htm" TargetMode="External"/><Relationship Id="rId788" Type="http://schemas.openxmlformats.org/officeDocument/2006/relationships/hyperlink" Target="https://standards.buildingsmart.org/IFC/RELEASE/IFC4/ADD2_TC1/HTML/schema/ifcproductextension/lexical/ifcopeningelement.htm" TargetMode="External"/><Relationship Id="rId995" Type="http://schemas.openxmlformats.org/officeDocument/2006/relationships/hyperlink" Target="https://standards.buildingsmart.org/IFC/RELEASE/IFC4/ADD2_TC1/HTML/schema/ifcsharedbldgelements/lexical/ifcslabstandardcase.htm" TargetMode="External"/><Relationship Id="rId1180" Type="http://schemas.openxmlformats.org/officeDocument/2006/relationships/hyperlink" Target="https://standards.buildingsmart.org/IFC/RELEASE/IFC4/ADD2_TC1/HTML/schema/ifcelectricaldomain/qset/qto_cablecarrierfittingbasequantities.htm" TargetMode="External"/><Relationship Id="rId2024" Type="http://schemas.openxmlformats.org/officeDocument/2006/relationships/hyperlink" Target="https://standards.buildingsmart.org/IFC/RELEASE/IFC4/ADD2_TC1/HTML/schema/ifcprofileresource/pset/pset_profilearbitrarydoublet.htm" TargetMode="External"/><Relationship Id="rId2231" Type="http://schemas.openxmlformats.org/officeDocument/2006/relationships/hyperlink" Target="/ifcproductextension/pset/pset_openingelementcommon.htm" TargetMode="External"/><Relationship Id="rId2469" Type="http://schemas.openxmlformats.org/officeDocument/2006/relationships/hyperlink" Target="https://standards.buildingsmart.org/IFC/RELEASE/IFC4/ADD2_TC1/HTML/schema/ifcplumbingfireprotectiondomain/pset/pset_sanitaryterminaltypecommon.htm" TargetMode="External"/><Relationship Id="rId2676" Type="http://schemas.openxmlformats.org/officeDocument/2006/relationships/hyperlink" Target="https://standards.buildingsmart.org/IFC/RELEASE/IFC4/ADD2_TC1/HTML/schema/ifchvacdomain/pset/pset_dampertypecommon.htm" TargetMode="External"/><Relationship Id="rId2883" Type="http://schemas.openxmlformats.org/officeDocument/2006/relationships/hyperlink" Target="https://standards.buildingsmart.org/IFC/RELEASE/IFC4/ADD2_TC1/HTML/schema/ifcelectricaldomain/pset/pset_protectivedeviceoccurrence.htm" TargetMode="External"/><Relationship Id="rId3727" Type="http://schemas.openxmlformats.org/officeDocument/2006/relationships/hyperlink" Target="https://standards.buildingsmart.org/IFC/RELEASE/IFC4/ADD2_TC1/HTML/schema/ifcelectricaldomain/pset/pset_protectivedevicetrippingunittimeadjustment.htm" TargetMode="External"/><Relationship Id="rId203" Type="http://schemas.openxmlformats.org/officeDocument/2006/relationships/hyperlink" Target="https://standards.buildingsmart.org/IFC/RELEASE/IFC4/ADD2_TC1/HTML/schema/ifcelectricaldomain/lexical/ifcelectrictimecontroltypeenum.htm" TargetMode="External"/><Relationship Id="rId648" Type="http://schemas.openxmlformats.org/officeDocument/2006/relationships/hyperlink" Target="https://standards.buildingsmart.org/IFC/RELEASE/IFC4/ADD2_TC1/HTML/schema/ifctopologyresource/lexical/ifcfaceouterbound.htm" TargetMode="External"/><Relationship Id="rId855" Type="http://schemas.openxmlformats.org/officeDocument/2006/relationships/hyperlink" Target="https://standards.buildingsmart.org/IFC/RELEASE/IFC4/ADD2_TC1/HTML/schema/ifcpropertyresource/lexical/ifcproperty.htm" TargetMode="External"/><Relationship Id="rId1040" Type="http://schemas.openxmlformats.org/officeDocument/2006/relationships/hyperlink" Target="https://standards.buildingsmart.org/IFC/RELEASE/IFC4/ADD2_TC1/HTML/schema/ifcstructuralloadresource/lexical/ifcstructuralloadsingleforce.htm" TargetMode="External"/><Relationship Id="rId1278" Type="http://schemas.openxmlformats.org/officeDocument/2006/relationships/hyperlink" Target="https://standards.buildingsmart.org/IFC/RELEASE/IFC4/ADD2_TC1/HTML/schema/ifcmeasureresource/lexical/ifcdimensionsforsiunit.htm" TargetMode="External"/><Relationship Id="rId1485" Type="http://schemas.openxmlformats.org/officeDocument/2006/relationships/hyperlink" Target="https://standards.buildingsmart.org/IFC/RELEASE/IFC4/ADD2_TC1/HTML/schema/ifcproductextension/pset/pset_buildinguse.htm" TargetMode="External"/><Relationship Id="rId1692" Type="http://schemas.openxmlformats.org/officeDocument/2006/relationships/hyperlink" Target="https://standards.buildingsmart.org/IFC/RELEASE/IFC4/ADD2_TC1/HTML/schema/ifcprofileresource/pset/pset_profilearbitrarydoublet.htm" TargetMode="External"/><Relationship Id="rId2329" Type="http://schemas.openxmlformats.org/officeDocument/2006/relationships/hyperlink" Target="https://standards.buildingsmart.org/IFC/RELEASE/IFC4/ADD2_TC1/HTML/schema/ifcelectricaldomain/pset/pset_audiovisualappliancetypecamera.htm" TargetMode="External"/><Relationship Id="rId2536" Type="http://schemas.openxmlformats.org/officeDocument/2006/relationships/hyperlink" Target="https://standards.buildingsmart.org/IFC/RELEASE/IFC4/ADD2_TC1/HTML/schema/ifcplumbingfireprotectiondomain/pset/pset_wasteterminaltypegullytrap.htm" TargetMode="External"/><Relationship Id="rId2743" Type="http://schemas.openxmlformats.org/officeDocument/2006/relationships/hyperlink" Target="https://standards.buildingsmart.org/IFC/RELEASE/IFC4/ADD2_TC1/HTML/schema/ifchvacdomain/pset/pset_pipesegmentphistory.htm" TargetMode="External"/><Relationship Id="rId410" Type="http://schemas.openxmlformats.org/officeDocument/2006/relationships/hyperlink" Target="https://standards.buildingsmart.org/IFC/RELEASE/IFC4/ADD2_TC1/HTML/schema/ifcbuildingcontrolsdomain/lexical/ifcalarm.htm" TargetMode="External"/><Relationship Id="rId508" Type="http://schemas.openxmlformats.org/officeDocument/2006/relationships/hyperlink" Target="https://standards.buildingsmart.org/IFC/RELEASE/IFC4/ADD2_TC1/HTML/schema/ifchvacdomain/lexical/ifccondenser.htm" TargetMode="External"/><Relationship Id="rId715" Type="http://schemas.openxmlformats.org/officeDocument/2006/relationships/hyperlink" Target="https://standards.buildingsmart.org/IFC/RELEASE/IFC4/ADD2_TC1/HTML/schema/ifcplumbingfireprotectiondomain/lexical/ifcinterceptor.htm" TargetMode="External"/><Relationship Id="rId922" Type="http://schemas.openxmlformats.org/officeDocument/2006/relationships/hyperlink" Target="https://standards.buildingsmart.org/IFC/RELEASE/IFC4/ADD2_TC1/HTML/schema/ifckernel/lexical/ifcrelassociateslibrary.htm" TargetMode="External"/><Relationship Id="rId1138" Type="http://schemas.openxmlformats.org/officeDocument/2006/relationships/hyperlink" Target="https://standards.buildingsmart.org/IFC/RELEASE/IFC4/ADD2_TC1/HTML/schema/ifchvacdomain/lexical/ifcvalve.htm" TargetMode="External"/><Relationship Id="rId1345" Type="http://schemas.openxmlformats.org/officeDocument/2006/relationships/hyperlink" Target="https://standards.buildingsmart.org/IFC/RELEASE/IFC4/ADD2_TC1/HTML/schema/ifcsharedcomponentelements/pset/pset_discreteaccessorywireloop.htm" TargetMode="External"/><Relationship Id="rId1552" Type="http://schemas.openxmlformats.org/officeDocument/2006/relationships/hyperlink" Target="https://standards.buildingsmart.org/IFC/RELEASE/IFC4/ADD2_TC1/HTML/schema/ifcsharedbldgserviceelements/pset/pset_spacethermaldesign.htm" TargetMode="External"/><Relationship Id="rId1997" Type="http://schemas.openxmlformats.org/officeDocument/2006/relationships/hyperlink" Target="https://standards.buildingsmart.org/IFC/RELEASE/IFC4/ADD2_TC1/HTML/schema/ifcelectricaldomain/pset/pset_transformertypecommon.htm" TargetMode="External"/><Relationship Id="rId2603" Type="http://schemas.openxmlformats.org/officeDocument/2006/relationships/hyperlink" Target="https://standards.buildingsmart.org/IFC/RELEASE/IFC4/ADD2_TC1/HTML/schema/ifcproductextension/pset/pset_spaceoccupancyrequirements.htm" TargetMode="External"/><Relationship Id="rId2950" Type="http://schemas.openxmlformats.org/officeDocument/2006/relationships/hyperlink" Target="https://standards.buildingsmart.org/IFC/RELEASE/IFC4/ADD2_TC1/HTML/schema/ifcelectricaldomain/pset/pset_protectivedevicetrippingunittypeelectromagnetic.htm" TargetMode="External"/><Relationship Id="rId1205" Type="http://schemas.openxmlformats.org/officeDocument/2006/relationships/hyperlink" Target="https://standards.buildingsmart.org/IFC/RELEASE/IFC4/ADD2_TC1/HTML/schema/ifcelectricaldomain/qset/qto_electricdistributionboardbasequantities.htm" TargetMode="External"/><Relationship Id="rId1857" Type="http://schemas.openxmlformats.org/officeDocument/2006/relationships/hyperlink" Target="https://standards.buildingsmart.org/IFC/RELEASE/IFC4/ADD2_TC1/HTML/schema/ifcsharedbldgserviceelements/pset/pset_soundattenuation.htm" TargetMode="External"/><Relationship Id="rId2810" Type="http://schemas.openxmlformats.org/officeDocument/2006/relationships/hyperlink" Target="https://standards.buildingsmart.org/IFC/RELEASE/IFC4/ADD2_TC1/HTML/schema/ifchvacdomain/pset/pset_valvetypeisolating.htm" TargetMode="External"/><Relationship Id="rId2908" Type="http://schemas.openxmlformats.org/officeDocument/2006/relationships/hyperlink" Target="https://standards.buildingsmart.org/IFC/RELEASE/IFC4/ADD2_TC1/HTML/schema/ifcsharedbldgserviceelements/pset/pset_spacethermalloadphistory.htm" TargetMode="External"/><Relationship Id="rId51" Type="http://schemas.openxmlformats.org/officeDocument/2006/relationships/hyperlink" Target="https://standards.buildingsmart.org/IFC/RELEASE/IFC4/ADD2_TC1/HTML/schema/ifcmeasureresource/lexical/ifcphmeasure.htm" TargetMode="External"/><Relationship Id="rId1412" Type="http://schemas.openxmlformats.org/officeDocument/2006/relationships/hyperlink" Target="https://standards.buildingsmart.org/IFC/RELEASE/IFC4/ADD2_TC1/HTML/schema/ifcproductextension/pset/pset_spacecoveringrequirements.htm" TargetMode="External"/><Relationship Id="rId1717" Type="http://schemas.openxmlformats.org/officeDocument/2006/relationships/hyperlink" Target="https://standards.buildingsmart.org/IFC/RELEASE/IFC4/ADD2_TC1/HTML/schema/ifcelectricaldomain/pset/pset_solardevicetypecommon.htm" TargetMode="External"/><Relationship Id="rId1924" Type="http://schemas.openxmlformats.org/officeDocument/2006/relationships/hyperlink" Target="https://standards.buildingsmart.org/IFC/RELEASE/IFC4/ADD2_TC1/HTML/schema/ifcprofileresource/pset/pset_profilemechanical.htm" TargetMode="External"/><Relationship Id="rId3072" Type="http://schemas.openxmlformats.org/officeDocument/2006/relationships/hyperlink" Target="https://standards.buildingsmart.org/IFC/RELEASE/IFC4/ADD2_TC1/HTML/schema/ifchvacdomain/pset/pset_flowmetertypegasmeter.htm" TargetMode="External"/><Relationship Id="rId3377" Type="http://schemas.openxmlformats.org/officeDocument/2006/relationships/hyperlink" Target="https://standards.buildingsmart.org/IFC/RELEASE/IFC4/ADD2_TC1/HTML/schema/ifcplumbingfireprotectiondomain/pset/pset_wasteterminaltypefloorwaste.htm" TargetMode="External"/><Relationship Id="rId298" Type="http://schemas.openxmlformats.org/officeDocument/2006/relationships/hyperlink" Target="https://standards.buildingsmart.org/IFC/RELEASE/IFC4/ADD2_TC1/HTML/schema/ifcstructuralanalysisdomain/lexical/ifcstructuralcurvemembertypeenum.htm" TargetMode="External"/><Relationship Id="rId3584" Type="http://schemas.openxmlformats.org/officeDocument/2006/relationships/hyperlink" Target="https://standards.buildingsmart.org/IFC/RELEASE/IFC4/ADD2_TC1/HTML/schema/ifcelectricaldomain/pset/pset_protectivedevicebreakeruniti2tfusecurve.htm" TargetMode="External"/><Relationship Id="rId158" Type="http://schemas.openxmlformats.org/officeDocument/2006/relationships/hyperlink" Target="https://standards.buildingsmart.org/IFC/RELEASE/IFC4/ADD2_TC1/HTML/schema/ifchvacdomain/lexical/ifcchillertypeenum.htm" TargetMode="External"/><Relationship Id="rId2186" Type="http://schemas.openxmlformats.org/officeDocument/2006/relationships/hyperlink" Target="https://standards.buildingsmart.org/IFC/RELEASE/IFC4/ADD2_TC1/HTML/schema/ifchvacdomain/pset/pset_boilertypecommon.htm" TargetMode="External"/><Relationship Id="rId2393" Type="http://schemas.openxmlformats.org/officeDocument/2006/relationships/hyperlink" Target="https://standards.buildingsmart.org/IFC/RELEASE/IFC4/ADD2_TC1/HTML/schema/ifcelectricaldomain/pset/pset_outlettypecommon.htm" TargetMode="External"/><Relationship Id="rId2698" Type="http://schemas.openxmlformats.org/officeDocument/2006/relationships/hyperlink" Target="https://standards.buildingsmart.org/IFC/RELEASE/IFC4/ADD2_TC1/HTML/schema/ifcstructuralanalysisdomain/pset/pset_structuralsurfacemembervaryingthickness.htm" TargetMode="External"/><Relationship Id="rId3237" Type="http://schemas.openxmlformats.org/officeDocument/2006/relationships/hyperlink" Target="https://standards.buildingsmart.org/IFC/RELEASE/IFC4/ADD2_TC1/HTML/schema/ifcsharedmgmtelements/pset/pset_permit.htm" TargetMode="External"/><Relationship Id="rId3444" Type="http://schemas.openxmlformats.org/officeDocument/2006/relationships/hyperlink" Target="https://standards.buildingsmart.org/IFC/RELEASE/IFC4/ADD2_TC1/HTML/schema/ifchvacdomain/pset/pset_flowmetertypewatermeter.htm" TargetMode="External"/><Relationship Id="rId3651" Type="http://schemas.openxmlformats.org/officeDocument/2006/relationships/hyperlink" Target="https://standards.buildingsmart.org/IFC/RELEASE/IFC4/ADD2_TC1/HTML/schema/ifcsharedfacilitieselements/pset/pset_asset.htm" TargetMode="External"/><Relationship Id="rId365" Type="http://schemas.openxmlformats.org/officeDocument/2006/relationships/hyperlink" Target="https://standards.buildingsmart.org/IFC/RELEASE/IFC4/ADD2_TC1/HTML/schema/ifcstructuralloadresource/lexical/ifcmodulusoftranslationalsubgradereactionselect.htm" TargetMode="External"/><Relationship Id="rId572" Type="http://schemas.openxmlformats.org/officeDocument/2006/relationships/hyperlink" Target="https://standards.buildingsmart.org/IFC/RELEASE/IFC4/ADD2_TC1/HTML/schema/ifcsharedbldgserviceelements/lexical/ifcdistributioncircuit.htm" TargetMode="External"/><Relationship Id="rId2046" Type="http://schemas.openxmlformats.org/officeDocument/2006/relationships/hyperlink" Target="https://standards.buildingsmart.org/IFC/RELEASE/IFC4/ADD2_TC1/HTML/schema/ifchvacdomain/pset/pset_tanktypepressurevessel.htm" TargetMode="External"/><Relationship Id="rId2253" Type="http://schemas.openxmlformats.org/officeDocument/2006/relationships/hyperlink" Target="https://standards.buildingsmart.org/IFC/RELEASE/IFC4/ADD2_TC1/HTML/schema/ifchvacdomain/pset/pset_tanktypepressurevessel.htm" TargetMode="External"/><Relationship Id="rId2460" Type="http://schemas.openxmlformats.org/officeDocument/2006/relationships/hyperlink" Target="https://standards.buildingsmart.org/IFC/RELEASE/IFC4/ADD2_TC1/HTML/schema/ifchvacdomain/pset/pset_filtertypecommon.htm" TargetMode="External"/><Relationship Id="rId3304" Type="http://schemas.openxmlformats.org/officeDocument/2006/relationships/hyperlink" Target="https://standards.buildingsmart.org/IFC/RELEASE/IFC4/ADD2_TC1/HTML/schema/ifchvacdomain/pset/pset_fancentrifugal.htm" TargetMode="External"/><Relationship Id="rId3511" Type="http://schemas.openxmlformats.org/officeDocument/2006/relationships/hyperlink" Target="https://standards.buildingsmart.org/IFC/RELEASE/IFC4/ADD2_TC1/HTML/schema/ifchvacdomain/pset/pset_coiltypehydronic.htm" TargetMode="External"/><Relationship Id="rId3749" Type="http://schemas.openxmlformats.org/officeDocument/2006/relationships/hyperlink" Target="https://standards.buildingsmart.org/IFC/RELEASE/IFC4/ADD2_TC1/HTML/schema/ifcproductextension/pset/pset_annotationsurveyarea.htm" TargetMode="External"/><Relationship Id="rId225" Type="http://schemas.openxmlformats.org/officeDocument/2006/relationships/hyperlink" Target="https://standards.buildingsmart.org/IFC/RELEASE/IFC4/ADD2_TC1/HTML/schema/ifchvacdomain/lexical/ifcheatexchangertypeenum.htm" TargetMode="External"/><Relationship Id="rId432" Type="http://schemas.openxmlformats.org/officeDocument/2006/relationships/hyperlink" Target="https://standards.buildingsmart.org/IFC/RELEASE/IFC4/ADD2_TC1/HTML/schema/ifcgeometricmodelresource/lexical/ifcblock.htm" TargetMode="External"/><Relationship Id="rId877" Type="http://schemas.openxmlformats.org/officeDocument/2006/relationships/hyperlink" Target="https://standards.buildingsmart.org/IFC/RELEASE/IFC4/ADD2_TC1/HTML/schema/ifchvacdomain/lexical/ifcpumptype.htm" TargetMode="External"/><Relationship Id="rId1062" Type="http://schemas.openxmlformats.org/officeDocument/2006/relationships/hyperlink" Target="https://standards.buildingsmart.org/IFC/RELEASE/IFC4/ADD2_TC1/HTML/schema/ifcgeometryresource/lexical/ifcsurface.htm" TargetMode="External"/><Relationship Id="rId2113" Type="http://schemas.openxmlformats.org/officeDocument/2006/relationships/hyperlink" Target="https://standards.buildingsmart.org/IFC/RELEASE/IFC4/ADD2_TC1/HTML/schema/ifcproductextension/pset/pset_sitecommon.htm" TargetMode="External"/><Relationship Id="rId2320" Type="http://schemas.openxmlformats.org/officeDocument/2006/relationships/hyperlink" Target="https://standards.buildingsmart.org/IFC/RELEASE/IFC4/ADD2_TC1/HTML/schema/ifcsharedbldgserviceelements/pset/pset_spacethermalload.htm" TargetMode="External"/><Relationship Id="rId2558" Type="http://schemas.openxmlformats.org/officeDocument/2006/relationships/hyperlink" Target="https://standards.buildingsmart.org/IFC/RELEASE/IFC4/ADD2_TC1/HTML/schema/ifcmaterialresource/pset/pset_materialcombustion.htm" TargetMode="External"/><Relationship Id="rId2765" Type="http://schemas.openxmlformats.org/officeDocument/2006/relationships/hyperlink" Target="https://standards.buildingsmart.org/IFC/RELEASE/IFC4/ADD2_TC1/HTML/schema/ifcelectricaldomain/pset/pset_cablecarriersegmenttypecableladdersegment.htm" TargetMode="External"/><Relationship Id="rId2972" Type="http://schemas.openxmlformats.org/officeDocument/2006/relationships/hyperlink" Target="https://standards.buildingsmart.org/IFC/RELEASE/IFC4/ADD2_TC1/HTML/schema/ifchvacdomain/pset/pset_airtoairheatrecoverytypecommon.htm" TargetMode="External"/><Relationship Id="rId3609" Type="http://schemas.openxmlformats.org/officeDocument/2006/relationships/hyperlink" Target="https://standards.buildingsmart.org/IFC/RELEASE/IFC4/ADD2_TC1/HTML/schema/ifcsharedfacilitieselements/pset/pset_manufactureroccurrence.htm" TargetMode="External"/><Relationship Id="rId737" Type="http://schemas.openxmlformats.org/officeDocument/2006/relationships/hyperlink" Target="https://standards.buildingsmart.org/IFC/RELEASE/IFC4/ADD2_TC1/HTML/schema/ifcpresentationorganizationresource/lexical/ifclightsourcedirectional.htm" TargetMode="External"/><Relationship Id="rId944" Type="http://schemas.openxmlformats.org/officeDocument/2006/relationships/hyperlink" Target="https://standards.buildingsmart.org/IFC/RELEASE/IFC4/ADD2_TC1/HTML/schema/ifcproductextension/lexical/ifcrelfillselement.htm" TargetMode="External"/><Relationship Id="rId1367" Type="http://schemas.openxmlformats.org/officeDocument/2006/relationships/hyperlink" Target="https://standards.buildingsmart.org/IFC/RELEASE/IFC4/ADD2_TC1/HTML/schema/ifcelectricaldomain/pset/pset_cablesegmenttypecablesegment.htm" TargetMode="External"/><Relationship Id="rId1574" Type="http://schemas.openxmlformats.org/officeDocument/2006/relationships/hyperlink" Target="https://standards.buildingsmart.org/IFC/RELEASE/IFC4/ADD2_TC1/HTML/schema/ifcelectricaldomain/pset/pset_protectivedevicetrippingfunctionicurve.htm" TargetMode="External"/><Relationship Id="rId1781" Type="http://schemas.openxmlformats.org/officeDocument/2006/relationships/hyperlink" Target="https://standards.buildingsmart.org/IFC/RELEASE/IFC4/ADD2_TC1/HTML/schema/ifcsharedbldgelements/pset/pset_chimneycommon.htm" TargetMode="External"/><Relationship Id="rId2418" Type="http://schemas.openxmlformats.org/officeDocument/2006/relationships/hyperlink" Target="https://standards.buildingsmart.org/IFC/RELEASE/IFC4/ADD2_TC1/HTML/schema/ifckernel/pset/pset_actorcommon.htm" TargetMode="External"/><Relationship Id="rId2625" Type="http://schemas.openxmlformats.org/officeDocument/2006/relationships/hyperlink" Target="https://standards.buildingsmart.org/IFC/RELEASE/IFC4/ADD2_TC1/HTML/schema/ifcelectricaldomain/pset/pset_cablesegmenttypecablesegment.htm" TargetMode="External"/><Relationship Id="rId2832" Type="http://schemas.openxmlformats.org/officeDocument/2006/relationships/hyperlink" Target="https://standards.buildingsmart.org/IFC/RELEASE/IFC4/ADD2_TC1/HTML/schema/ifcsharedbldgelements/pset/pset_shadingdevicecommon.htm" TargetMode="External"/><Relationship Id="rId73" Type="http://schemas.openxmlformats.org/officeDocument/2006/relationships/hyperlink" Target="https://standards.buildingsmart.org/IFC/RELEASE/IFC4/ADD2_TC1/HTML/schema/ifcmeasureresource/lexical/ifcluminousfluxmeasure.htm" TargetMode="External"/><Relationship Id="rId804" Type="http://schemas.openxmlformats.org/officeDocument/2006/relationships/hyperlink" Target="https://standards.buildingsmart.org/IFC/RELEASE/IFC4/ADD2_TC1/HTML/schema/ifcactorresource/lexical/ifcperson.htm" TargetMode="External"/><Relationship Id="rId1227" Type="http://schemas.openxmlformats.org/officeDocument/2006/relationships/hyperlink" Target="https://standards.buildingsmart.org/IFC/RELEASE/IFC4/ADD2_TC1/HTML/schema/ifcproductextension/qset/qto_openingelementbasequantities.htm" TargetMode="External"/><Relationship Id="rId1434" Type="http://schemas.openxmlformats.org/officeDocument/2006/relationships/hyperlink" Target="https://standards.buildingsmart.org/IFC/RELEASE/IFC4/ADD2_TC1/HTML/schema/ifcmaterialresource/pset/pset_materialoptical.htm" TargetMode="External"/><Relationship Id="rId1641" Type="http://schemas.openxmlformats.org/officeDocument/2006/relationships/hyperlink" Target="https://standards.buildingsmart.org/IFC/RELEASE/IFC4/ADD2_TC1/HTML/schema/ifchvacdomain/pset/pset_spaceheatertypecommon.htm" TargetMode="External"/><Relationship Id="rId1879" Type="http://schemas.openxmlformats.org/officeDocument/2006/relationships/hyperlink" Target="https://standards.buildingsmart.org/IFC/RELEASE/IFC4/ADD2_TC1/HTML/schema/ifcsharedbldgelements/pset/pset_rampflightcommon.htm" TargetMode="External"/><Relationship Id="rId3094" Type="http://schemas.openxmlformats.org/officeDocument/2006/relationships/hyperlink" Target="https://standards.buildingsmart.org/IFC/RELEASE/IFC4/ADD2_TC1/HTML/schema/ifchvacdomain/pset/pset_dampertypecommon.htm" TargetMode="External"/><Relationship Id="rId1501" Type="http://schemas.openxmlformats.org/officeDocument/2006/relationships/hyperlink" Target="https://standards.buildingsmart.org/IFC/RELEASE/IFC4/ADD2_TC1/HTML/schema/ifchvacdomain/pset/pset_condenserphistory.htm" TargetMode="External"/><Relationship Id="rId1739" Type="http://schemas.openxmlformats.org/officeDocument/2006/relationships/hyperlink" Target="https://standards.buildingsmart.org/IFC/RELEASE/IFC4/ADD2_TC1/HTML/schema/ifchvacdomain/pset/pset_medicaldevicetypecommon.htm" TargetMode="External"/><Relationship Id="rId1946" Type="http://schemas.openxmlformats.org/officeDocument/2006/relationships/hyperlink" Target="https://standards.buildingsmart.org/IFC/RELEASE/IFC4/ADD2_TC1/HTML/schema/ifcbuildingcontrolsdomain/pset/pset_sensortypephsensor.htm" TargetMode="External"/><Relationship Id="rId3399" Type="http://schemas.openxmlformats.org/officeDocument/2006/relationships/hyperlink" Target="https://standards.buildingsmart.org/IFC/RELEASE/IFC4/ADD2_TC1/HTML/schema/ifcprofileresource/pset/pset_profilearbitraryhollowcore.htm" TargetMode="External"/><Relationship Id="rId1806" Type="http://schemas.openxmlformats.org/officeDocument/2006/relationships/hyperlink" Target="https://standards.buildingsmart.org/IFC/RELEASE/IFC4/ADD2_TC1/HTML/schema/ifcelectricaldomain/pset/pset_cablesegmenttypecoresegment.htm" TargetMode="External"/><Relationship Id="rId3161" Type="http://schemas.openxmlformats.org/officeDocument/2006/relationships/hyperlink" Target="https://standards.buildingsmart.org/IFC/RELEASE/IFC4/ADD2_TC1/HTML/schema/ifcsharedbldgelements/pset/pset_coveringcommon.htm" TargetMode="External"/><Relationship Id="rId3259" Type="http://schemas.openxmlformats.org/officeDocument/2006/relationships/hyperlink" Target="https://standards.buildingsmart.org/IFC/RELEASE/IFC4/ADD2_TC1/HTML/schema/ifcprofileresource/pset/pset_profilearbitraryhollowcore.htm" TargetMode="External"/><Relationship Id="rId3466" Type="http://schemas.openxmlformats.org/officeDocument/2006/relationships/hyperlink" Target="https://standards.buildingsmart.org/IFC/RELEASE/IFC4/ADD2_TC1/HTML/schema/ifcproductextension/pset/pset_spacecoveringrequirements.htm" TargetMode="External"/><Relationship Id="rId387" Type="http://schemas.openxmlformats.org/officeDocument/2006/relationships/hyperlink" Target="https://standards.buildingsmart.org/IFC/RELEASE/IFC4/ADD2_TC1/HTML/schema/ifcpresentationappearanceresource/lexical/ifctextfontselect.htm" TargetMode="External"/><Relationship Id="rId594" Type="http://schemas.openxmlformats.org/officeDocument/2006/relationships/hyperlink" Target="https://standards.buildingsmart.org/IFC/RELEASE/IFC4/ADD2_TC1/HTML/schema/ifchvacdomain/lexical/ifcductsegment.htm" TargetMode="External"/><Relationship Id="rId2068" Type="http://schemas.openxmlformats.org/officeDocument/2006/relationships/hyperlink" Target="https://standards.buildingsmart.org/IFC/RELEASE/IFC4/ADD2_TC1/HTML/schema/ifcstructuralelementsdomain/pset/pset_concreteelementgeneral.htm" TargetMode="External"/><Relationship Id="rId2275" Type="http://schemas.openxmlformats.org/officeDocument/2006/relationships/hyperlink" Target="https://standards.buildingsmart.org/IFC/RELEASE/IFC4/ADD2_TC1/HTML/schema/ifcelectricaldomain/pset/pset_electricappliancephistory.htm" TargetMode="External"/><Relationship Id="rId3021" Type="http://schemas.openxmlformats.org/officeDocument/2006/relationships/hyperlink" Target="https://standards.buildingsmart.org/IFC/RELEASE/IFC4/ADD2_TC1/HTML/schema/ifcelectricaldomain/pset/pset_switchingdevicetypecommon.htm" TargetMode="External"/><Relationship Id="rId3119" Type="http://schemas.openxmlformats.org/officeDocument/2006/relationships/hyperlink" Target="https://standards.buildingsmart.org/IFC/RELEASE/IFC4/ADD2_TC1/HTML/schema/ifcsharedbldgserviceelements/pset/pset_distributionporttypepipe.htm" TargetMode="External"/><Relationship Id="rId3326" Type="http://schemas.openxmlformats.org/officeDocument/2006/relationships/hyperlink" Target="https://standards.buildingsmart.org/IFC/RELEASE/IFC4/ADD2_TC1/HTML/schema/ifcelectricaldomain/pset/pset_cablesegmentoccurrence.htm" TargetMode="External"/><Relationship Id="rId3673" Type="http://schemas.openxmlformats.org/officeDocument/2006/relationships/hyperlink" Target="https://standards.buildingsmart.org/IFC/RELEASE/IFC4/ADD2_TC1/HTML/schema/ifcmaterialresource/pset/pset_materialwoodbasedbeam.htm" TargetMode="External"/><Relationship Id="rId247" Type="http://schemas.openxmlformats.org/officeDocument/2006/relationships/hyperlink" Target="https://standards.buildingsmart.org/IFC/RELEASE/IFC4/ADD2_TC1/HTML/schema/ifcsharedfacilitieselements/lexical/ifcoccupanttypeenum.htm" TargetMode="External"/><Relationship Id="rId899" Type="http://schemas.openxmlformats.org/officeDocument/2006/relationships/hyperlink" Target="https://standards.buildingsmart.org/IFC/RELEASE/IFC4/ADD2_TC1/HTML/schema/ifcdatetimeresource/lexical/ifcregulartimeseries.htm" TargetMode="External"/><Relationship Id="rId1084" Type="http://schemas.openxmlformats.org/officeDocument/2006/relationships/hyperlink" Target="https://standards.buildingsmart.org/IFC/RELEASE/IFC4/ADD2_TC1/HTML/schema/ifcsharedfacilitieselements/lexical/ifcsystemfurnitureelementtype.htm" TargetMode="External"/><Relationship Id="rId2482" Type="http://schemas.openxmlformats.org/officeDocument/2006/relationships/hyperlink" Target="https://standards.buildingsmart.org/IFC/RELEASE/IFC4/ADD2_TC1/HTML/schema/ifcelectricaldomain/pset/pset_cablecarriersegmenttypecableladdersegment.htm" TargetMode="External"/><Relationship Id="rId2787" Type="http://schemas.openxmlformats.org/officeDocument/2006/relationships/hyperlink" Target="https://standards.buildingsmart.org/IFC/RELEASE/IFC4/ADD2_TC1/HTML/schema/ifcsharedbldgelements/pset/pset_doorwindowglazingtype.htm" TargetMode="External"/><Relationship Id="rId3533" Type="http://schemas.openxmlformats.org/officeDocument/2006/relationships/hyperlink" Target="https://standards.buildingsmart.org/IFC/RELEASE/IFC4/ADD2_TC1/HTML/schema/ifchvacdomain/pset/pset_pipesegmenttypeculvert.htm" TargetMode="External"/><Relationship Id="rId3740" Type="http://schemas.openxmlformats.org/officeDocument/2006/relationships/hyperlink" Target="https://standards.buildingsmart.org/IFC/RELEASE/IFC4/ADD2_TC1/HTML/schema/ifchvacdomain/pset/pset_dampertypefiredamper.htm" TargetMode="External"/><Relationship Id="rId107" Type="http://schemas.openxmlformats.org/officeDocument/2006/relationships/hyperlink" Target="https://standards.buildingsmart.org/IFC/RELEASE/IFC4/ADD2_TC1/HTML/schema/ifcdatetimeresource/lexical/ifcduration.htm" TargetMode="External"/><Relationship Id="rId454" Type="http://schemas.openxmlformats.org/officeDocument/2006/relationships/hyperlink" Target="https://standards.buildingsmart.org/IFC/RELEASE/IFC4/ADD2_TC1/HTML/schema/ifcsharedcomponentelements/lexical/ifcbuildingelementparttype.htm" TargetMode="External"/><Relationship Id="rId661" Type="http://schemas.openxmlformats.org/officeDocument/2006/relationships/hyperlink" Target="https://standards.buildingsmart.org/IFC/RELEASE/IFC4/ADD2_TC1/HTML/schema/ifcpresentationappearanceresource/lexical/ifcfillareastylehatching.htm" TargetMode="External"/><Relationship Id="rId759" Type="http://schemas.openxmlformats.org/officeDocument/2006/relationships/hyperlink" Target="https://standards.buildingsmart.org/IFC/RELEASE/IFC4/ADD2_TC1/HTML/schema/ifcmaterialresource/lexical/ifcmaterialprofile.htm" TargetMode="External"/><Relationship Id="rId966" Type="http://schemas.openxmlformats.org/officeDocument/2006/relationships/hyperlink" Target="https://standards.buildingsmart.org/IFC/RELEASE/IFC4/ADD2_TC1/HTML/schema/ifcgeometricmodelresource/lexical/ifcrevolvedareasolid.htm" TargetMode="External"/><Relationship Id="rId1291" Type="http://schemas.openxmlformats.org/officeDocument/2006/relationships/hyperlink" Target="https://standards.buildingsmart.org/IFC/RELEASE/IFC4/ADD2_TC1/HTML/schema/ifcgeometryresource/lexical/ifcsamecartesianpoint.htm" TargetMode="External"/><Relationship Id="rId1389" Type="http://schemas.openxmlformats.org/officeDocument/2006/relationships/hyperlink" Target="https://standards.buildingsmart.org/IFC/RELEASE/IFC4/ADD2_TC1/HTML/schema/ifcproductextension/pset/pset_environmentalimpactindicators.htm" TargetMode="External"/><Relationship Id="rId1596" Type="http://schemas.openxmlformats.org/officeDocument/2006/relationships/hyperlink" Target="https://standards.buildingsmart.org/IFC/RELEASE/IFC4/ADD2_TC1/HTML/schema/ifcsharedbldgelements/pset/pset_wallcommon.htm" TargetMode="External"/><Relationship Id="rId2135" Type="http://schemas.openxmlformats.org/officeDocument/2006/relationships/hyperlink" Target="https://standards.buildingsmart.org/IFC/RELEASE/IFC4/ADD2_TC1/HTML/schema/ifcelectricaldomain/pset/pset_lightfixturetypecommon.htm" TargetMode="External"/><Relationship Id="rId2342" Type="http://schemas.openxmlformats.org/officeDocument/2006/relationships/hyperlink" Target="https://standards.buildingsmart.org/IFC/RELEASE/IFC4/ADD2_TC1/HTML/schema/ifchvacdomain/pset/pset_tubebundletypecommon.htm" TargetMode="External"/><Relationship Id="rId2647" Type="http://schemas.openxmlformats.org/officeDocument/2006/relationships/hyperlink" Target="https://standards.buildingsmart.org/IFC/RELEASE/IFC4/ADD2_TC1/HTML/schema/ifcelectricaldomain/pset/pset_cablesegmenttypeconductorsegment.htm" TargetMode="External"/><Relationship Id="rId2994" Type="http://schemas.openxmlformats.org/officeDocument/2006/relationships/hyperlink" Target="https://standards.buildingsmart.org/IFC/RELEASE/IFC4/ADD2_TC1/HTML/schema/ifchvacdomain/pset/pset_evaporativecoolertypecommon.htm" TargetMode="External"/><Relationship Id="rId3600" Type="http://schemas.openxmlformats.org/officeDocument/2006/relationships/hyperlink" Target="https://standards.buildingsmart.org/IFC/RELEASE/IFC4/ADD2_TC1/HTML/schema/ifchvacdomain/pset/pset_pipefittingtypebend.htm" TargetMode="External"/><Relationship Id="rId314" Type="http://schemas.openxmlformats.org/officeDocument/2006/relationships/hyperlink" Target="https://standards.buildingsmart.org/IFC/RELEASE/IFC4/ADD2_TC1/HTML/schema/ifcgeometryresource/lexical/ifctransitioncode.htm" TargetMode="External"/><Relationship Id="rId521" Type="http://schemas.openxmlformats.org/officeDocument/2006/relationships/hyperlink" Target="https://standards.buildingsmart.org/IFC/RELEASE/IFC4/ADD2_TC1/HTML/schema/ifcconstructionmgmtdomain/lexical/ifcconstructionmaterialresource.htm" TargetMode="External"/><Relationship Id="rId619" Type="http://schemas.openxmlformats.org/officeDocument/2006/relationships/hyperlink" Target="https://standards.buildingsmart.org/IFC/RELEASE/IFC4/ADD2_TC1/HTML/schema/ifcproductextension/lexical/ifcelementquantity.htm" TargetMode="External"/><Relationship Id="rId1151" Type="http://schemas.openxmlformats.org/officeDocument/2006/relationships/hyperlink" Target="https://standards.buildingsmart.org/IFC/RELEASE/IFC4/ADD2_TC1/HTML/schema/ifcsharedbldgelements/lexical/ifcwallstandardcase.htm" TargetMode="External"/><Relationship Id="rId1249" Type="http://schemas.openxmlformats.org/officeDocument/2006/relationships/hyperlink" Target="https://standards.buildingsmart.org/IFC/RELEASE/IFC4/ADD2_TC1/HTML/schema/ifcsharedbldgelements/qset/qto_stairflightbasequantities.htm" TargetMode="External"/><Relationship Id="rId2202" Type="http://schemas.openxmlformats.org/officeDocument/2006/relationships/hyperlink" Target="https://standards.buildingsmart.org/IFC/RELEASE/IFC4/ADD2_TC1/HTML/schema/ifcsharedbldgserviceelements/pset/pset_distributionportphistorycable.htm" TargetMode="External"/><Relationship Id="rId2854" Type="http://schemas.openxmlformats.org/officeDocument/2006/relationships/hyperlink" Target="https://standards.buildingsmart.org/IFC/RELEASE/IFC4/ADD2_TC1/HTML/schema/ifchvacdomain/pset/pset_valvetypeairrelease.htm" TargetMode="External"/><Relationship Id="rId95" Type="http://schemas.openxmlformats.org/officeDocument/2006/relationships/hyperlink" Target="https://standards.buildingsmart.org/IFC/RELEASE/IFC4/ADD2_TC1/HTML/schema/ifcmeasureresource/lexical/ifcforcemeasure.htm" TargetMode="External"/><Relationship Id="rId826" Type="http://schemas.openxmlformats.org/officeDocument/2006/relationships/hyperlink" Target="https://standards.buildingsmart.org/IFC/RELEASE/IFC4/ADD2_TC1/HTML/schema/ifcgeometricmodelresource/lexical/ifcpolygonalfaceset.htm" TargetMode="External"/><Relationship Id="rId1011" Type="http://schemas.openxmlformats.org/officeDocument/2006/relationships/hyperlink" Target="https://standards.buildingsmart.org/IFC/RELEASE/IFC4/ADD2_TC1/HTML/schema/ifcgeometricmodelresource/lexical/ifcsphere.htm" TargetMode="External"/><Relationship Id="rId1109" Type="http://schemas.openxmlformats.org/officeDocument/2006/relationships/hyperlink" Target="https://standards.buildingsmart.org/IFC/RELEASE/IFC4/ADD2_TC1/HTML/schema/ifcpresentationappearanceresource/lexical/ifctexturemap.htm" TargetMode="External"/><Relationship Id="rId1456" Type="http://schemas.openxmlformats.org/officeDocument/2006/relationships/hyperlink" Target="https://standards.buildingsmart.org/IFC/RELEASE/IFC4/ADD2_TC1/HTML/schema/ifchvacdomain/pset/pset_vibrationisolatortypecommon.htm" TargetMode="External"/><Relationship Id="rId1663" Type="http://schemas.openxmlformats.org/officeDocument/2006/relationships/hyperlink" Target="https://standards.buildingsmart.org/IFC/RELEASE/IFC4/ADD2_TC1/HTML/schema/ifcsharedbldgelements/pset/pset_coveringcommon.htm" TargetMode="External"/><Relationship Id="rId1870" Type="http://schemas.openxmlformats.org/officeDocument/2006/relationships/hyperlink" Target="https://standards.buildingsmart.org/IFC/RELEASE/IFC4/ADD2_TC1/HTML/schema/ifcsharedbldgelements/pset/pset_doorwindowglazingtype.htm" TargetMode="External"/><Relationship Id="rId1968" Type="http://schemas.openxmlformats.org/officeDocument/2006/relationships/hyperlink" Target="https://standards.buildingsmart.org/IFC/RELEASE/IFC4/ADD2_TC1/HTML/schema/ifchvacdomain/pset/pset_filtertypeairparticlefilter.htm" TargetMode="External"/><Relationship Id="rId2507" Type="http://schemas.openxmlformats.org/officeDocument/2006/relationships/hyperlink" Target="https://standards.buildingsmart.org/IFC/RELEASE/IFC4/ADD2_TC1/HTML/schema/ifcplumbingfireprotectiondomain/pset/pset_sanitaryterminaltypecommon.htm" TargetMode="External"/><Relationship Id="rId2714" Type="http://schemas.openxmlformats.org/officeDocument/2006/relationships/hyperlink" Target="https://standards.buildingsmart.org/IFC/RELEASE/IFC4/ADD2_TC1/HTML/schema/ifcsharedbldgelements/pset/pset_columncommon.htm" TargetMode="External"/><Relationship Id="rId2921" Type="http://schemas.openxmlformats.org/officeDocument/2006/relationships/hyperlink" Target="https://standards.buildingsmart.org/IFC/RELEASE/IFC4/ADD2_TC1/HTML/schema/ifchvacdomain/pset/pset_pumpoccurrence.htm" TargetMode="External"/><Relationship Id="rId1316" Type="http://schemas.openxmlformats.org/officeDocument/2006/relationships/hyperlink" Target="https://standards.buildingsmart.org/IFC/RELEASE/IFC4/ADD2_TC1/HTML/schema/ifcstructuralelementsdomain/pset/pset_reinforcementbarcountofindependentfooting.htm" TargetMode="External"/><Relationship Id="rId1523" Type="http://schemas.openxmlformats.org/officeDocument/2006/relationships/hyperlink" Target="https://standards.buildingsmart.org/IFC/RELEASE/IFC4/ADD2_TC1/HTML/schema/ifcsharedbldgelements/pset/pset_stairflightcommon.htm" TargetMode="External"/><Relationship Id="rId1730" Type="http://schemas.openxmlformats.org/officeDocument/2006/relationships/hyperlink" Target="https://standards.buildingsmart.org/IFC/RELEASE/IFC4/ADD2_TC1/HTML/schema/ifcelectricaldomain/pset/pset_protectivedevicetrippingunittypecommon.htm" TargetMode="External"/><Relationship Id="rId3183" Type="http://schemas.openxmlformats.org/officeDocument/2006/relationships/hyperlink" Target="https://standards.buildingsmart.org/IFC/RELEASE/IFC4/ADD2_TC1/HTML/schema/ifchvacdomain/pset/pset_filtertypecommon.htm" TargetMode="External"/><Relationship Id="rId3390" Type="http://schemas.openxmlformats.org/officeDocument/2006/relationships/hyperlink" Target="https://standards.buildingsmart.org/IFC/RELEASE/IFC4/ADD2_TC1/HTML/schema/ifchvacdomain/pset/pset_cooledbeamphistory.htm" TargetMode="External"/><Relationship Id="rId22" Type="http://schemas.openxmlformats.org/officeDocument/2006/relationships/hyperlink" Target="https://standards.buildingsmart.org/IFC/RELEASE/IFC4/ADD2_TC1/HTML/schema/ifcmeasureresource/lexical/ifctemperaturerateofchangemeasure.htm" TargetMode="External"/><Relationship Id="rId1828" Type="http://schemas.openxmlformats.org/officeDocument/2006/relationships/hyperlink" Target="https://standards.buildingsmart.org/IFC/RELEASE/IFC4/ADD2_TC1/HTML/schema/ifcsharedmgmtelements/pset/pset_projectordermoveorder.htm" TargetMode="External"/><Relationship Id="rId3043" Type="http://schemas.openxmlformats.org/officeDocument/2006/relationships/hyperlink" Target="https://standards.buildingsmart.org/IFC/RELEASE/IFC4/ADD2_TC1/HTML/schema/ifcmaterialresource/pset/pset_materialsteel.htm" TargetMode="External"/><Relationship Id="rId3250" Type="http://schemas.openxmlformats.org/officeDocument/2006/relationships/hyperlink" Target="https://standards.buildingsmart.org/IFC/RELEASE/IFC4/ADD2_TC1/HTML/schema/ifchvacdomain/pset/pset_evaporativecoolertypecommon.htm" TargetMode="External"/><Relationship Id="rId3488" Type="http://schemas.openxmlformats.org/officeDocument/2006/relationships/hyperlink" Target="https://standards.buildingsmart.org/IFC/RELEASE/IFC4/ADD2_TC1/HTML/schema/ifcsharedbldgelements/pset/pset_slabcommon.htm" TargetMode="External"/><Relationship Id="rId3695" Type="http://schemas.openxmlformats.org/officeDocument/2006/relationships/hyperlink" Target="https://standards.buildingsmart.org/IFC/RELEASE/IFC4/ADD2_TC1/HTML/schema/ifchvacdomain/pset/pset_airtoairheatrecoveryphistory.htm" TargetMode="External"/><Relationship Id="rId171" Type="http://schemas.openxmlformats.org/officeDocument/2006/relationships/hyperlink" Target="https://standards.buildingsmart.org/IFC/RELEASE/IFC4/ADD2_TC1/HTML/schema/ifchvacdomain/lexical/ifccooledbeamtypeenum.htm" TargetMode="External"/><Relationship Id="rId2297" Type="http://schemas.openxmlformats.org/officeDocument/2006/relationships/hyperlink" Target="https://standards.buildingsmart.org/IFC/RELEASE/IFC4/ADD2_TC1/HTML/schema/ifcmaterialresource/pset/pset_materialsteel.htm" TargetMode="External"/><Relationship Id="rId3348" Type="http://schemas.openxmlformats.org/officeDocument/2006/relationships/hyperlink" Target="https://standards.buildingsmart.org/IFC/RELEASE/IFC4/ADD2_TC1/HTML/schema/ifcelectricaldomain/pset/pset_protectivedevicetrippingunittypeelectromagnetic.htm" TargetMode="External"/><Relationship Id="rId3555" Type="http://schemas.openxmlformats.org/officeDocument/2006/relationships/hyperlink" Target="https://standards.buildingsmart.org/IFC/RELEASE/IFC4/ADD2_TC1/HTML/schema/ifcprofileresource/pset/pset_profilearbitraryhollowcore.htm" TargetMode="External"/><Relationship Id="rId3762" Type="http://schemas.openxmlformats.org/officeDocument/2006/relationships/hyperlink" Target="https://standards.buildingsmart.org/IFC/RELEASE/IFC4/ADD2_TC1/HTML/schema/ifcproductextension/pset/pset_annotationsurveyarea.htm" TargetMode="External"/><Relationship Id="rId269" Type="http://schemas.openxmlformats.org/officeDocument/2006/relationships/hyperlink" Target="https://standards.buildingsmart.org/IFC/RELEASE/IFC4/ADD2_TC1/HTML/schema/ifcsharedbldgelements/lexical/ifcrailingtypeenum.htm" TargetMode="External"/><Relationship Id="rId476" Type="http://schemas.openxmlformats.org/officeDocument/2006/relationships/hyperlink" Target="https://standards.buildingsmart.org/IFC/RELEASE/IFC4/ADD2_TC1/HTML/schema/ifcgeometryresource/lexical/ifccartesiantransformationoperator2dnonuniform.htm" TargetMode="External"/><Relationship Id="rId683" Type="http://schemas.openxmlformats.org/officeDocument/2006/relationships/hyperlink" Target="https://standards.buildingsmart.org/IFC/RELEASE/IFC4/ADD2_TC1/HTML/schema/ifcsharedbldgserviceelements/lexical/ifcflowterminaltype.htm" TargetMode="External"/><Relationship Id="rId890" Type="http://schemas.openxmlformats.org/officeDocument/2006/relationships/hyperlink" Target="https://standards.buildingsmart.org/IFC/RELEASE/IFC4/ADD2_TC1/HTML/schema/ifcsharedbldgelements/lexical/ifcramptype.htm" TargetMode="External"/><Relationship Id="rId2157" Type="http://schemas.openxmlformats.org/officeDocument/2006/relationships/hyperlink" Target="https://standards.buildingsmart.org/IFC/RELEASE/IFC4/ADD2_TC1/HTML/schema/ifcelectricaldomain/pset/pset_electricappliancetypecommon.htm" TargetMode="External"/><Relationship Id="rId2364" Type="http://schemas.openxmlformats.org/officeDocument/2006/relationships/hyperlink" Target="https://standards.buildingsmart.org/IFC/RELEASE/IFC4/ADD2_TC1/HTML/schema/ifchvacdomain/pset/pset_dampertypecommon.htm" TargetMode="External"/><Relationship Id="rId2571" Type="http://schemas.openxmlformats.org/officeDocument/2006/relationships/hyperlink" Target="https://standards.buildingsmart.org/IFC/RELEASE/IFC4/ADD2_TC1/HTML/schema/ifcplumbingfireprotectiondomain/pset/pset_sanitaryterminaltypewashhandbasin.htm" TargetMode="External"/><Relationship Id="rId3110" Type="http://schemas.openxmlformats.org/officeDocument/2006/relationships/hyperlink" Target="https://standards.buildingsmart.org/IFC/RELEASE/IFC4/ADD2_TC1/HTML/schema/ifchvacdomain/pset/pset_pipesegmenttypegutter.htm" TargetMode="External"/><Relationship Id="rId3208" Type="http://schemas.openxmlformats.org/officeDocument/2006/relationships/hyperlink" Target="https://standards.buildingsmart.org/IFC/RELEASE/IFC4/ADD2_TC1/HTML/schema/ifchvacdomain/pset/pset_spaceheaterphistory.htm" TargetMode="External"/><Relationship Id="rId3415" Type="http://schemas.openxmlformats.org/officeDocument/2006/relationships/hyperlink" Target="https://standards.buildingsmart.org/IFC/RELEASE/IFC4/ADD2_TC1/HTML/schema/ifchvacdomain/pset/pset_spacethermalphistory.htm" TargetMode="External"/><Relationship Id="rId129" Type="http://schemas.openxmlformats.org/officeDocument/2006/relationships/hyperlink" Target="https://standards.buildingsmart.org/IFC/RELEASE/IFC4/ADD2_TC1/HTML/schema/ifcsharedmgmtelements/lexical/ifcactionrequesttypeenum.htm" TargetMode="External"/><Relationship Id="rId336" Type="http://schemas.openxmlformats.org/officeDocument/2006/relationships/hyperlink" Target="https://standards.buildingsmart.org/IFC/RELEASE/IFC4/ADD2_TC1/HTML/schema/ifccostresource/lexical/ifcappliedvalueselect.htm" TargetMode="External"/><Relationship Id="rId543" Type="http://schemas.openxmlformats.org/officeDocument/2006/relationships/hyperlink" Target="https://standards.buildingsmart.org/IFC/RELEASE/IFC4/ADD2_TC1/HTML/schema/ifcsharedbldgelements/lexical/ifccovering.htm" TargetMode="External"/><Relationship Id="rId988" Type="http://schemas.openxmlformats.org/officeDocument/2006/relationships/hyperlink" Target="https://standards.buildingsmart.org/IFC/RELEASE/IFC4/ADD2_TC1/HTML/schema/ifcgeometricmodelresource/lexical/ifcshellbasedsurfacemodel.htm" TargetMode="External"/><Relationship Id="rId1173" Type="http://schemas.openxmlformats.org/officeDocument/2006/relationships/hyperlink" Target="https://standards.buildingsmart.org/IFC/RELEASE/IFC4/ADD2_TC1/HTML/schema/ifcelectricaldomain/qset/qto_audiovisualappliancebasequantities.htm" TargetMode="External"/><Relationship Id="rId1380" Type="http://schemas.openxmlformats.org/officeDocument/2006/relationships/hyperlink" Target="https://standards.buildingsmart.org/IFC/RELEASE/IFC4/ADD2_TC1/HTML/schema/ifchvacdomain/pset/pset_evaporativecoolertypecommon.htm" TargetMode="External"/><Relationship Id="rId2017" Type="http://schemas.openxmlformats.org/officeDocument/2006/relationships/hyperlink" Target="https://standards.buildingsmart.org/IFC/RELEASE/IFC4/ADD2_TC1/HTML/schema/ifcsharedfacilitieselements/pset/pset_risk.htm" TargetMode="External"/><Relationship Id="rId2224" Type="http://schemas.openxmlformats.org/officeDocument/2006/relationships/hyperlink" Target="https://standards.buildingsmart.org/IFC/RELEASE/IFC4/ADD2_TC1/HTML/schema/ifcproductextension/pset/pset_openingelementcommon.htm" TargetMode="External"/><Relationship Id="rId2669" Type="http://schemas.openxmlformats.org/officeDocument/2006/relationships/hyperlink" Target="https://standards.buildingsmart.org/IFC/RELEASE/IFC4/ADD2_TC1/HTML/schema/ifcelectricaldomain/pset/pset_protectivedevicetrippingfunctionlcurve.htm" TargetMode="External"/><Relationship Id="rId2876" Type="http://schemas.openxmlformats.org/officeDocument/2006/relationships/hyperlink" Target="https://standards.buildingsmart.org/IFC/RELEASE/IFC4/ADD2_TC1/HTML/schema/ifchvacdomain/pset/pset_ductfittingoccurrence.htm" TargetMode="External"/><Relationship Id="rId3622" Type="http://schemas.openxmlformats.org/officeDocument/2006/relationships/hyperlink" Target="https://standards.buildingsmart.org/IFC/RELEASE/IFC4/ADD2_TC1/HTML/schema/ifcstructuralelementsdomain/pset/pset_reinforcingbarcommon.htm" TargetMode="External"/><Relationship Id="rId403" Type="http://schemas.openxmlformats.org/officeDocument/2006/relationships/hyperlink" Target="https://standards.buildingsmart.org/IFC/RELEASE/IFC4/ADD2_TC1/HTML/schema/ifctopologyresource/lexical/ifcadvancedface.htm" TargetMode="External"/><Relationship Id="rId750" Type="http://schemas.openxmlformats.org/officeDocument/2006/relationships/hyperlink" Target="https://standards.buildingsmart.org/IFC/RELEASE/IFC4/ADD2_TC1/HTML/schema/ifcmaterialresource/lexical/ifcmaterialconstituent.htm" TargetMode="External"/><Relationship Id="rId848" Type="http://schemas.openxmlformats.org/officeDocument/2006/relationships/hyperlink" Target="https://standards.buildingsmart.org/IFC/RELEASE/IFC4/ADD2_TC1/HTML/schema/ifcprofileresource/lexical/ifcprofiledef.htm" TargetMode="External"/><Relationship Id="rId1033" Type="http://schemas.openxmlformats.org/officeDocument/2006/relationships/hyperlink" Target="https://standards.buildingsmart.org/IFC/RELEASE/IFC4/ADD2_TC1/HTML/schema/ifcstructuralloadresource/lexical/ifcstructuralloadconfiguration.htm" TargetMode="External"/><Relationship Id="rId1478" Type="http://schemas.openxmlformats.org/officeDocument/2006/relationships/hyperlink" Target="https://standards.buildingsmart.org/IFC/RELEASE/IFC4/ADD2_TC1/HTML/schema/ifcbuildingcontrolsdomain/pset/pset_sensorphistory.htm" TargetMode="External"/><Relationship Id="rId1685" Type="http://schemas.openxmlformats.org/officeDocument/2006/relationships/hyperlink" Target="https://standards.buildingsmart.org/IFC/RELEASE/IFC4/ADD2_TC1/HTML/schema/ifcproductextension/pset/pset_environmentalimpactvalues.htm" TargetMode="External"/><Relationship Id="rId1892" Type="http://schemas.openxmlformats.org/officeDocument/2006/relationships/hyperlink" Target="https://standards.buildingsmart.org/IFC/RELEASE/IFC4/ADD2_TC1/HTML/schema/ifcbuildingcontrolsdomain/pset/pset_controllertypeproportional.htm" TargetMode="External"/><Relationship Id="rId2431" Type="http://schemas.openxmlformats.org/officeDocument/2006/relationships/hyperlink" Target="https://standards.buildingsmart.org/IFC/RELEASE/IFC4/ADD2_TC1/HTML/schema/ifcelectricaldomain/pset/pset_cablecarriersegmenttypecabletraysegment.htm" TargetMode="External"/><Relationship Id="rId2529" Type="http://schemas.openxmlformats.org/officeDocument/2006/relationships/hyperlink" Target="https://standards.buildingsmart.org/IFC/RELEASE/IFC4/ADD2_TC1/HTML/schema/ifcplumbingfireprotectiondomain/pset/pset_interceptortypecommon.htm" TargetMode="External"/><Relationship Id="rId2736" Type="http://schemas.openxmlformats.org/officeDocument/2006/relationships/hyperlink" Target="https://standards.buildingsmart.org/IFC/RELEASE/IFC4/ADD2_TC1/HTML/schema/ifcsharedbldgserviceelements/pset/pset_distributionchamberelementtypesump.htm" TargetMode="External"/><Relationship Id="rId610" Type="http://schemas.openxmlformats.org/officeDocument/2006/relationships/hyperlink" Target="https://standards.buildingsmart.org/IFC/RELEASE/IFC4/ADD2_TC1/HTML/schema/ifcelectricaldomain/lexical/ifcelectricmotortype.htm" TargetMode="External"/><Relationship Id="rId708" Type="http://schemas.openxmlformats.org/officeDocument/2006/relationships/hyperlink" Target="https://standards.buildingsmart.org/IFC/RELEASE/IFC4/ADD2_TC1/HTML/schema/ifcpresentationappearanceresource/lexical/ifcimagetexture.htm" TargetMode="External"/><Relationship Id="rId915" Type="http://schemas.openxmlformats.org/officeDocument/2006/relationships/hyperlink" Target="https://standards.buildingsmart.org/IFC/RELEASE/IFC4/ADD2_TC1/HTML/schema/ifckernel/lexical/ifcrelassignstoproduct.htm" TargetMode="External"/><Relationship Id="rId1240" Type="http://schemas.openxmlformats.org/officeDocument/2006/relationships/hyperlink" Target="https://standards.buildingsmart.org/IFC/RELEASE/IFC4/ADD2_TC1/HTML/schema/ifcsharedbldgelements/qset/qto_roofbasequantities.htm" TargetMode="External"/><Relationship Id="rId1338" Type="http://schemas.openxmlformats.org/officeDocument/2006/relationships/hyperlink" Target="https://standards.buildingsmart.org/IFC/RELEASE/IFC4/ADD2_TC1/HTML/schema/ifcsharedfacilitieselements/pset/pset_servicelifefactors.htm" TargetMode="External"/><Relationship Id="rId1545" Type="http://schemas.openxmlformats.org/officeDocument/2006/relationships/hyperlink" Target="https://standards.buildingsmart.org/IFC/RELEASE/IFC4/ADD2_TC1/HTML/schema/ifcsharedbldgserviceelements/pset/pset_spacethermalloadphistory.htm" TargetMode="External"/><Relationship Id="rId2943" Type="http://schemas.openxmlformats.org/officeDocument/2006/relationships/hyperlink" Target="https://standards.buildingsmart.org/IFC/RELEASE/IFC4/ADD2_TC1/HTML/schema/ifcelectricaldomain/pset/pset_protectivedevicetypecircuitbreaker.htm" TargetMode="External"/><Relationship Id="rId1100" Type="http://schemas.openxmlformats.org/officeDocument/2006/relationships/hyperlink" Target="https://standards.buildingsmart.org/IFC/RELEASE/IFC4/ADD2_TC1/HTML/schema/ifcgeometricmodelresource/lexical/ifctessellateditem.htm" TargetMode="External"/><Relationship Id="rId1405" Type="http://schemas.openxmlformats.org/officeDocument/2006/relationships/hyperlink" Target="https://standards.buildingsmart.org/IFC/RELEASE/IFC4/ADD2_TC1/HTML/schema/ifcsharedbldgserviceelements/pset/pset_distributionchamberelementtypeinspectionchamber.htm" TargetMode="External"/><Relationship Id="rId1752" Type="http://schemas.openxmlformats.org/officeDocument/2006/relationships/hyperlink" Target="https://standards.buildingsmart.org/IFC/RELEASE/IFC4/ADD2_TC1/HTML/schema/ifchvacdomain/pset/pset_fantypecommon.htm" TargetMode="External"/><Relationship Id="rId2803" Type="http://schemas.openxmlformats.org/officeDocument/2006/relationships/hyperlink" Target="https://standards.buildingsmart.org/IFC/RELEASE/IFC4/ADD2_TC1/HTML/schema/ifcmaterialresource/pset/pset_materialhygroscopic.htm" TargetMode="External"/><Relationship Id="rId44" Type="http://schemas.openxmlformats.org/officeDocument/2006/relationships/hyperlink" Target="https://standards.buildingsmart.org/IFC/RELEASE/IFC4/ADD2_TC1/HTML/schema/ifcmeasureresource/lexical/ifcpowermeasure.htm" TargetMode="External"/><Relationship Id="rId1612" Type="http://schemas.openxmlformats.org/officeDocument/2006/relationships/hyperlink" Target="https://standards.buildingsmart.org/IFC/RELEASE/IFC4/ADD2_TC1/HTML/schema/ifcmaterialresource/pset/pset_materialoptical.htm" TargetMode="External"/><Relationship Id="rId1917" Type="http://schemas.openxmlformats.org/officeDocument/2006/relationships/hyperlink" Target="https://standards.buildingsmart.org/IFC/RELEASE/IFC4/ADD2_TC1/HTML/schema/ifcelectricaldomain/pset/pset_electricflowstoragedevicetypecommon.htm" TargetMode="External"/><Relationship Id="rId3065" Type="http://schemas.openxmlformats.org/officeDocument/2006/relationships/hyperlink" Target="https://standards.buildingsmart.org/IFC/RELEASE/IFC4/ADD2_TC1/HTML/schema/ifcsharedbldgelements/pset/pset_windowcommon.htm" TargetMode="External"/><Relationship Id="rId3272" Type="http://schemas.openxmlformats.org/officeDocument/2006/relationships/hyperlink" Target="https://standards.buildingsmart.org/IFC/RELEASE/IFC4/ADD2_TC1/HTML/schema/ifcsharedbldgserviceelements/pset/pset_distributionsystemtypeventilation.htm" TargetMode="External"/><Relationship Id="rId193" Type="http://schemas.openxmlformats.org/officeDocument/2006/relationships/hyperlink" Target="https://standards.buildingsmart.org/IFC/RELEASE/IFC4/ADD2_TC1/HTML/schema/ifcsharedbldgelements/lexical/ifcdoortypeenum.htm" TargetMode="External"/><Relationship Id="rId498" Type="http://schemas.openxmlformats.org/officeDocument/2006/relationships/hyperlink" Target="https://standards.buildingsmart.org/IFC/RELEASE/IFC4/ADD2_TC1/HTML/schema/ifcsharedbldgelements/lexical/ifccolumnstandardcase.htm" TargetMode="External"/><Relationship Id="rId2081" Type="http://schemas.openxmlformats.org/officeDocument/2006/relationships/hyperlink" Target="https://standards.buildingsmart.org/IFC/RELEASE/IFC4/ADD2_TC1/HTML/schema/ifcproductextension/pset/pset_spatialzonecommon.htm" TargetMode="External"/><Relationship Id="rId2179" Type="http://schemas.openxmlformats.org/officeDocument/2006/relationships/hyperlink" Target="https://standards.buildingsmart.org/IFC/RELEASE/IFC4/ADD2_TC1/HTML/schema/ifcelectricaldomain/pset/pset_cablecarriersegmenttypecommon.htm" TargetMode="External"/><Relationship Id="rId3132" Type="http://schemas.openxmlformats.org/officeDocument/2006/relationships/hyperlink" Target="https://standards.buildingsmart.org/IFC/RELEASE/IFC4/ADD2_TC1/HTML/schema/ifchvacdomain/pset/pset_pipeconnectionflanged.htm" TargetMode="External"/><Relationship Id="rId3577" Type="http://schemas.openxmlformats.org/officeDocument/2006/relationships/hyperlink" Target="https://standards.buildingsmart.org/IFC/RELEASE/IFC4/ADD2_TC1/HTML/schema/ifcproductextension/pset/pset_buildingcommon.htm" TargetMode="External"/><Relationship Id="rId3784" Type="http://schemas.openxmlformats.org/officeDocument/2006/relationships/hyperlink" Target="https://standards.buildingsmart.org/IFC/RELEASE/IFC4/ADD2_TC1/HTML/schema/ifcquantityresource/lexical/ifcphysicalcomplexquantity.htm" TargetMode="External"/><Relationship Id="rId260" Type="http://schemas.openxmlformats.org/officeDocument/2006/relationships/hyperlink" Target="https://standards.buildingsmart.org/IFC/RELEASE/IFC4/ADD2_TC1/HTML/schema/ifcprocessextension/lexical/ifcproceduretypeenum.htm" TargetMode="External"/><Relationship Id="rId2386" Type="http://schemas.openxmlformats.org/officeDocument/2006/relationships/hyperlink" Target="https://standards.buildingsmart.org/IFC/RELEASE/IFC4/ADD2_TC1/HTML/schema/ifcsharedbldgserviceelements/pset/pset_thermalloaddesigncriteria.htm" TargetMode="External"/><Relationship Id="rId2593" Type="http://schemas.openxmlformats.org/officeDocument/2006/relationships/hyperlink" Target="https://standards.buildingsmart.org/IFC/RELEASE/IFC4/ADD2_TC1/HTML/schema/ifcsharedfacilitieselements/pset/pset_manufacturertypeinformation.htm" TargetMode="External"/><Relationship Id="rId3437" Type="http://schemas.openxmlformats.org/officeDocument/2006/relationships/hyperlink" Target="https://standards.buildingsmart.org/IFC/RELEASE/IFC4/ADD2_TC1/HTML/schema/ifcsharedbldgserviceelements/pset/pset_distributionporttypepipe.htm" TargetMode="External"/><Relationship Id="rId3644" Type="http://schemas.openxmlformats.org/officeDocument/2006/relationships/hyperlink" Target="https://standards.buildingsmart.org/IFC/RELEASE/IFC4/ADD2_TC1/HTML/schema/ifchvacdomain/pset/pset_ductfittingphistory.htm" TargetMode="External"/><Relationship Id="rId120" Type="http://schemas.openxmlformats.org/officeDocument/2006/relationships/hyperlink" Target="https://standards.buildingsmart.org/IFC/RELEASE/IFC4/ADD2_TC1/HTML/schema/ifcmeasureresource/lexical/ifcboolean.htm" TargetMode="External"/><Relationship Id="rId358" Type="http://schemas.openxmlformats.org/officeDocument/2006/relationships/hyperlink" Target="https://standards.buildingsmart.org/IFC/RELEASE/IFC4/ADD2_TC1/HTML/schema/ifcexternalreferenceresource/lexical/ifclibraryselect.htm" TargetMode="External"/><Relationship Id="rId565" Type="http://schemas.openxmlformats.org/officeDocument/2006/relationships/hyperlink" Target="https://standards.buildingsmart.org/IFC/RELEASE/IFC4/ADD2_TC1/HTML/schema/ifcmeasureresource/lexical/ifcderivedunitelement.htm" TargetMode="External"/><Relationship Id="rId772" Type="http://schemas.openxmlformats.org/officeDocument/2006/relationships/hyperlink" Target="https://standards.buildingsmart.org/IFC/RELEASE/IFC4/ADD2_TC1/HTML/schema/ifcsharedbldgelements/lexical/ifcmember.htm" TargetMode="External"/><Relationship Id="rId1195" Type="http://schemas.openxmlformats.org/officeDocument/2006/relationships/hyperlink" Target="https://standards.buildingsmart.org/IFC/RELEASE/IFC4/ADD2_TC1/HTML/schema/ifchvacdomain/qset/qto_coolingtowerbasequantities.htm" TargetMode="External"/><Relationship Id="rId2039" Type="http://schemas.openxmlformats.org/officeDocument/2006/relationships/hyperlink" Target="https://standards.buildingsmart.org/IFC/RELEASE/IFC4/ADD2_TC1/HTML/schema/ifcproductextension/pset/pset_buildinguse.htm" TargetMode="External"/><Relationship Id="rId2246" Type="http://schemas.openxmlformats.org/officeDocument/2006/relationships/hyperlink" Target="https://standards.buildingsmart.org/IFC/RELEASE/IFC4/ADD2_TC1/HTML/schema/ifcelectricaldomain/pset/pset_transformertypecommon.htm" TargetMode="External"/><Relationship Id="rId2453" Type="http://schemas.openxmlformats.org/officeDocument/2006/relationships/hyperlink" Target="https://standards.buildingsmart.org/IFC/RELEASE/IFC4/ADD2_TC1/HTML/schema/ifchvacdomain/pset/pset_fantypecommon.htm" TargetMode="External"/><Relationship Id="rId2660" Type="http://schemas.openxmlformats.org/officeDocument/2006/relationships/hyperlink" Target="https://standards.buildingsmart.org/IFC/RELEASE/IFC4/ADD2_TC1/HTML/schema/ifcbuildingcontrolsdomain/pset/pset_actuatortypecommon.htm" TargetMode="External"/><Relationship Id="rId2898" Type="http://schemas.openxmlformats.org/officeDocument/2006/relationships/hyperlink" Target="https://standards.buildingsmart.org/IFC/RELEASE/IFC4/ADD2_TC1/HTML/schema/ifcplumbingfireprotectiondomain/pset/pset_wasteterminaltypefloortrap.htm" TargetMode="External"/><Relationship Id="rId3504" Type="http://schemas.openxmlformats.org/officeDocument/2006/relationships/hyperlink" Target="https://standards.buildingsmart.org/IFC/RELEASE/IFC4/ADD2_TC1/HTML/schema/ifchvacdomain/pset/pset_pipefittingoccurrence.htm" TargetMode="External"/><Relationship Id="rId3711" Type="http://schemas.openxmlformats.org/officeDocument/2006/relationships/hyperlink" Target="https://standards.buildingsmart.org/IFC/RELEASE/IFC4/ADD2_TC1/HTML/schema/ifchvacdomain/pset/pset_airterminaloccurrence.htm" TargetMode="External"/><Relationship Id="rId218" Type="http://schemas.openxmlformats.org/officeDocument/2006/relationships/hyperlink" Target="https://standards.buildingsmart.org/IFC/RELEASE/IFC4/ADD2_TC1/HTML/schema/ifchvacdomain/lexical/ifcflowmetertypeenum.htm" TargetMode="External"/><Relationship Id="rId425" Type="http://schemas.openxmlformats.org/officeDocument/2006/relationships/hyperlink" Target="https://standards.buildingsmart.org/IFC/RELEASE/IFC4/ADD2_TC1/HTML/schema/ifcgeometryresource/lexical/ifcaxis1placement.htm" TargetMode="External"/><Relationship Id="rId632" Type="http://schemas.openxmlformats.org/officeDocument/2006/relationships/hyperlink" Target="https://standards.buildingsmart.org/IFC/RELEASE/IFC4/ADD2_TC1/HTML/schema/ifcdatetimeresource/lexical/ifceventtime.htm" TargetMode="External"/><Relationship Id="rId1055" Type="http://schemas.openxmlformats.org/officeDocument/2006/relationships/hyperlink" Target="https://standards.buildingsmart.org/IFC/RELEASE/IFC4/ADD2_TC1/HTML/schema/ifcstructuralanalysisdomain/lexical/ifcstructuralsurfacereaction.htm" TargetMode="External"/><Relationship Id="rId1262" Type="http://schemas.openxmlformats.org/officeDocument/2006/relationships/hyperlink" Target="https://standards.buildingsmart.org/IFC/RELEASE/IFC4/ADD2_TC1/HTML/schema/ifcgeometryresource/lexical/ifcbaseaxis.htm" TargetMode="External"/><Relationship Id="rId2106" Type="http://schemas.openxmlformats.org/officeDocument/2006/relationships/hyperlink" Target="https://standards.buildingsmart.org/IFC/RELEASE/IFC4/ADD2_TC1/HTML/schema/ifcsharedbldgelements/pset/pset_stairflightcommon.htm" TargetMode="External"/><Relationship Id="rId2313" Type="http://schemas.openxmlformats.org/officeDocument/2006/relationships/hyperlink" Target="https://standards.buildingsmart.org/IFC/RELEASE/IFC4/ADD2_TC1/HTML/schema/ifcsharedbldgelements/pset/pset_coveringceiling.htm" TargetMode="External"/><Relationship Id="rId2520" Type="http://schemas.openxmlformats.org/officeDocument/2006/relationships/hyperlink" Target="https://standards.buildingsmart.org/IFC/RELEASE/IFC4/ADD2_TC1/HTML/schema/ifchvacdomain/pset/pset_chillertypecommon.htm" TargetMode="External"/><Relationship Id="rId2758" Type="http://schemas.openxmlformats.org/officeDocument/2006/relationships/hyperlink" Target="https://standards.buildingsmart.org/IFC/RELEASE/IFC4/ADD2_TC1/HTML/schema/ifcelectricaldomain/pset/pset_lamptypecommon.htm" TargetMode="External"/><Relationship Id="rId2965" Type="http://schemas.openxmlformats.org/officeDocument/2006/relationships/hyperlink" Target="https://standards.buildingsmart.org/IFC/RELEASE/IFC4/ADD2_TC1/HTML/schema/ifcstructuralelementsdomain/pset/pset_reinforcementbarpitchofcolumn.htm" TargetMode="External"/><Relationship Id="rId937" Type="http://schemas.openxmlformats.org/officeDocument/2006/relationships/hyperlink" Target="https://standards.buildingsmart.org/IFC/RELEASE/IFC4/ADD2_TC1/HTML/schema/ifckernel/lexical/ifcreldeclares.htm" TargetMode="External"/><Relationship Id="rId1122" Type="http://schemas.openxmlformats.org/officeDocument/2006/relationships/hyperlink" Target="https://standards.buildingsmart.org/IFC/RELEASE/IFC4/ADD2_TC1/HTML/schema/ifcprofileresource/lexical/ifctrapeziumprofiledef.htm" TargetMode="External"/><Relationship Id="rId1567" Type="http://schemas.openxmlformats.org/officeDocument/2006/relationships/hyperlink" Target="https://standards.buildingsmart.org/IFC/RELEASE/IFC4/ADD2_TC1/HTML/schema/ifcelectricaldomain/pset/pset_protectivedevicetrippingfunctionscurve.htm" TargetMode="External"/><Relationship Id="rId1774" Type="http://schemas.openxmlformats.org/officeDocument/2006/relationships/hyperlink" Target="https://standards.buildingsmart.org/IFC/RELEASE/IFC4/ADD2_TC1/HTML/schema/ifcbuildingcontrolsdomain/pset/pset_controllertypecommon.htm" TargetMode="External"/><Relationship Id="rId1981" Type="http://schemas.openxmlformats.org/officeDocument/2006/relationships/hyperlink" Target="https://standards.buildingsmart.org/IFC/RELEASE/IFC4/ADD2_TC1/HTML/schema/ifcelectricaldomain/pset/pset_cablesegmenttypecablesegment.htm" TargetMode="External"/><Relationship Id="rId2618" Type="http://schemas.openxmlformats.org/officeDocument/2006/relationships/hyperlink" Target="https://standards.buildingsmart.org/IFC/RELEASE/IFC4/ADD2_TC1/HTML/schema/ifchvacdomain/pset/pset_valvephistory.htm" TargetMode="External"/><Relationship Id="rId2825" Type="http://schemas.openxmlformats.org/officeDocument/2006/relationships/hyperlink" Target="https://standards.buildingsmart.org/IFC/RELEASE/IFC4/ADD2_TC1/HTML/schema/ifcproductextension/pset/pset_zonecommon.htm" TargetMode="External"/><Relationship Id="rId66" Type="http://schemas.openxmlformats.org/officeDocument/2006/relationships/hyperlink" Target="https://standards.buildingsmart.org/IFC/RELEASE/IFC4/ADD2_TC1/HTML/schema/ifcmeasureresource/lexical/ifcmassmeasure.htm" TargetMode="External"/><Relationship Id="rId1427" Type="http://schemas.openxmlformats.org/officeDocument/2006/relationships/hyperlink" Target="https://standards.buildingsmart.org/IFC/RELEASE/IFC4/ADD2_TC1/HTML/schema/ifcelectricaldomain/pset/pset_protectivedevicebreakeruniti2tfusecurve.htm" TargetMode="External"/><Relationship Id="rId1634" Type="http://schemas.openxmlformats.org/officeDocument/2006/relationships/hyperlink" Target="https://standards.buildingsmart.org/IFC/RELEASE/IFC4/ADD2_TC1/HTML/schema/ifchvacdomain/pset/pset_ductsegmenttypecommon.htm" TargetMode="External"/><Relationship Id="rId1841" Type="http://schemas.openxmlformats.org/officeDocument/2006/relationships/hyperlink" Target="https://standards.buildingsmart.org/IFC/RELEASE/IFC4/ADD2_TC1/HTML/schema/ifcproductextension/pset/pset_spacethermalrequirements.htm" TargetMode="External"/><Relationship Id="rId3087" Type="http://schemas.openxmlformats.org/officeDocument/2006/relationships/hyperlink" Target="https://standards.buildingsmart.org/IFC/RELEASE/IFC4/ADD2_TC1/HTML/schema/ifchvacdomain/pset/pset_compressorphistory.htm" TargetMode="External"/><Relationship Id="rId3294" Type="http://schemas.openxmlformats.org/officeDocument/2006/relationships/hyperlink" Target="https://standards.buildingsmart.org/IFC/RELEASE/IFC4/ADD2_TC1/HTML/schema/ifcelectricaldomain/pset/pset_audiovisualappliancetypedisplay.htm" TargetMode="External"/><Relationship Id="rId1939" Type="http://schemas.openxmlformats.org/officeDocument/2006/relationships/hyperlink" Target="https://standards.buildingsmart.org/IFC/RELEASE/IFC4/ADD2_TC1/HTML/schema/ifcbuildingcontrolsdomain/pset/pset_sensortypetemperaturesensor.htm" TargetMode="External"/><Relationship Id="rId3599" Type="http://schemas.openxmlformats.org/officeDocument/2006/relationships/hyperlink" Target="https://standards.buildingsmart.org/IFC/RELEASE/IFC4/ADD2_TC1/HTML/schema/ifchvacdomain/pset/pset_dampertypecommon.htm" TargetMode="External"/><Relationship Id="rId1701" Type="http://schemas.openxmlformats.org/officeDocument/2006/relationships/hyperlink" Target="https://standards.buildingsmart.org/IFC/RELEASE/IFC4/ADD2_TC1/HTML/schema/ifcsharedbldgelements/pset/pset_wallcommon.htm" TargetMode="External"/><Relationship Id="rId3154" Type="http://schemas.openxmlformats.org/officeDocument/2006/relationships/hyperlink" Target="https://standards.buildingsmart.org/IFC/RELEASE/IFC4/ADD2_TC1/HTML/schema/ifcsharedbldgelements/pset/pset_slabcommon.htm" TargetMode="External"/><Relationship Id="rId3361" Type="http://schemas.openxmlformats.org/officeDocument/2006/relationships/hyperlink" Target="https://standards.buildingsmart.org/IFC/RELEASE/IFC4/ADD2_TC1/HTML/schema/ifcsharedbldgserviceelements/pset/pset_distributionportphistorycable.htm" TargetMode="External"/><Relationship Id="rId3459" Type="http://schemas.openxmlformats.org/officeDocument/2006/relationships/hyperlink" Target="https://standards.buildingsmart.org/IFC/RELEASE/IFC4/ADD2_TC1/HTML/schema/ifchvacdomain/pset/pset_condenserphistory.htm" TargetMode="External"/><Relationship Id="rId3666" Type="http://schemas.openxmlformats.org/officeDocument/2006/relationships/hyperlink" Target="https://standards.buildingsmart.org/IFC/RELEASE/IFC4/ADD2_TC1/HTML/schema/ifcproductextension/pset/pset_spaceoccupancyrequirements.htm" TargetMode="External"/><Relationship Id="rId282" Type="http://schemas.openxmlformats.org/officeDocument/2006/relationships/hyperlink" Target="https://standards.buildingsmart.org/IFC/RELEASE/IFC4/ADD2_TC1/HTML/schema/ifcbuildingcontrolsdomain/lexical/ifcsensortypeenum.htm" TargetMode="External"/><Relationship Id="rId587" Type="http://schemas.openxmlformats.org/officeDocument/2006/relationships/hyperlink" Target="https://standards.buildingsmart.org/IFC/RELEASE/IFC4/ADD2_TC1/HTML/schema/ifcsharedbldgelements/lexical/ifcdoorstandardcase.htm" TargetMode="External"/><Relationship Id="rId2170" Type="http://schemas.openxmlformats.org/officeDocument/2006/relationships/hyperlink" Target="https://standards.buildingsmart.org/IFC/RELEASE/IFC4/ADD2_TC1/HTML/schema/ifchvacdomain/pset/pset_condensertypecommon.htm" TargetMode="External"/><Relationship Id="rId2268" Type="http://schemas.openxmlformats.org/officeDocument/2006/relationships/hyperlink" Target="https://standards.buildingsmart.org/IFC/RELEASE/IFC4/ADD2_TC1/HTML/schema/ifchvacdomain/pset/pset_ductfittingtypecommon.htm" TargetMode="External"/><Relationship Id="rId3014" Type="http://schemas.openxmlformats.org/officeDocument/2006/relationships/hyperlink" Target="https://standards.buildingsmart.org/IFC/RELEASE/IFC4/ADD2_TC1/HTML/schema/ifcelectricaldomain/pset/pset_electricaldevicecommon.htm" TargetMode="External"/><Relationship Id="rId3221" Type="http://schemas.openxmlformats.org/officeDocument/2006/relationships/hyperlink" Target="https://standards.buildingsmart.org/IFC/RELEASE/IFC4/ADD2_TC1/HTML/schema/ifcsharedmgmtelements/pset/pset_permit.htm" TargetMode="External"/><Relationship Id="rId3319" Type="http://schemas.openxmlformats.org/officeDocument/2006/relationships/hyperlink" Target="https://standards.buildingsmart.org/IFC/RELEASE/IFC4/ADD2_TC1/HTML/schema/ifcsharedcomponentelements/pset/pset_discreteaccessorydiagonaltrussconnector.htm" TargetMode="External"/><Relationship Id="rId8" Type="http://schemas.openxmlformats.org/officeDocument/2006/relationships/hyperlink" Target="https://standards.buildingsmart.org/IFC/RELEASE/IFC4/ADD2_TC1/HTML/schema/ifcdatetimeresource/lexical/ifctimestamp.htm" TargetMode="External"/><Relationship Id="rId142" Type="http://schemas.openxmlformats.org/officeDocument/2006/relationships/hyperlink" Target="https://standards.buildingsmart.org/IFC/RELEASE/IFC4/ADD2_TC1/HTML/schema/ifcelectricaldomain/lexical/ifcaudiovisualappliancetypeenum.htm" TargetMode="External"/><Relationship Id="rId447" Type="http://schemas.openxmlformats.org/officeDocument/2006/relationships/hyperlink" Target="https://standards.buildingsmart.org/IFC/RELEASE/IFC4/ADD2_TC1/HTML/schema/ifcgeometryresource/lexical/ifcbsplinecurve.htm" TargetMode="External"/><Relationship Id="rId794" Type="http://schemas.openxmlformats.org/officeDocument/2006/relationships/hyperlink" Target="https://standards.buildingsmart.org/IFC/RELEASE/IFC4/ADD2_TC1/HTML/schema/ifcgeometryresource/lexical/ifcouterboundarycurve.htm" TargetMode="External"/><Relationship Id="rId1077" Type="http://schemas.openxmlformats.org/officeDocument/2006/relationships/hyperlink" Target="https://standards.buildingsmart.org/IFC/RELEASE/IFC4/ADD2_TC1/HTML/schema/ifcgeometricmodelresource/lexical/ifcsweptdisksolid.htm" TargetMode="External"/><Relationship Id="rId2030" Type="http://schemas.openxmlformats.org/officeDocument/2006/relationships/hyperlink" Target="https://standards.buildingsmart.org/IFC/RELEASE/IFC4/ADD2_TC1/HTML/schema/ifcproductextension/pset/pset_environmentalimpactindicators.htm" TargetMode="External"/><Relationship Id="rId2128" Type="http://schemas.openxmlformats.org/officeDocument/2006/relationships/hyperlink" Target="https://standards.buildingsmart.org/IFC/RELEASE/IFC4/ADD2_TC1/HTML/schema/ifchvacdomain/pset/pset_pipefittingtypecommon.htm" TargetMode="External"/><Relationship Id="rId2475" Type="http://schemas.openxmlformats.org/officeDocument/2006/relationships/hyperlink" Target="https://standards.buildingsmart.org/IFC/RELEASE/IFC4/ADD2_TC1/HTML/schema/ifcsharedfacilitieselements/pset/pset_systemfurnitureelementtypecommon.htm" TargetMode="External"/><Relationship Id="rId2682" Type="http://schemas.openxmlformats.org/officeDocument/2006/relationships/hyperlink" Target="https://standards.buildingsmart.org/IFC/RELEASE/IFC4/ADD2_TC1/HTML/schema/ifchvacdomain/pset/pset_ductsegmenttypecommon.htm" TargetMode="External"/><Relationship Id="rId2987" Type="http://schemas.openxmlformats.org/officeDocument/2006/relationships/hyperlink" Target="https://standards.buildingsmart.org/IFC/RELEASE/IFC4/ADD2_TC1/HTML/schema/ifcsharedbldgserviceelements/pset/pset_spacethermaldesign.htm" TargetMode="External"/><Relationship Id="rId3526" Type="http://schemas.openxmlformats.org/officeDocument/2006/relationships/hyperlink" Target="https://standards.buildingsmart.org/IFC/RELEASE/IFC4/ADD2_TC1/HTML/schema/ifcproductextension/pset/pset_transportelementelevator.htm" TargetMode="External"/><Relationship Id="rId3733" Type="http://schemas.openxmlformats.org/officeDocument/2006/relationships/hyperlink" Target="https://standards.buildingsmart.org/IFC/RELEASE/IFC4/ADD2_TC1/HTML/schema/ifcelectricaldomain/pset/pset_protectivedevicetrippingunittimeadjustment.htm" TargetMode="External"/><Relationship Id="rId654" Type="http://schemas.openxmlformats.org/officeDocument/2006/relationships/hyperlink" Target="https://standards.buildingsmart.org/IFC/RELEASE/IFC4/ADD2_TC1/HTML/schema/ifchvacdomain/lexical/ifcfantype.htm" TargetMode="External"/><Relationship Id="rId861" Type="http://schemas.openxmlformats.org/officeDocument/2006/relationships/hyperlink" Target="https://standards.buildingsmart.org/IFC/RELEASE/IFC4/ADD2_TC1/HTML/schema/ifcpropertyresource/lexical/ifcpropertyenumeration.htm" TargetMode="External"/><Relationship Id="rId959" Type="http://schemas.openxmlformats.org/officeDocument/2006/relationships/hyperlink" Target="https://standards.buildingsmart.org/IFC/RELEASE/IFC4/ADD2_TC1/HTML/schema/ifcgeometryresource/lexical/ifcrepresentationitem.htm" TargetMode="External"/><Relationship Id="rId1284" Type="http://schemas.openxmlformats.org/officeDocument/2006/relationships/hyperlink" Target="https://standards.buildingsmart.org/IFC/RELEASE/IFC4/ADD2_TC1/HTML/schema/ifcgeometryresource/lexical/ifcmakearrayofarray.htm" TargetMode="External"/><Relationship Id="rId1491" Type="http://schemas.openxmlformats.org/officeDocument/2006/relationships/hyperlink" Target="https://standards.buildingsmart.org/IFC/RELEASE/IFC4/ADD2_TC1/HTML/schema/ifchvacdomain/pset/pset_valvetypepressurereducing.htm" TargetMode="External"/><Relationship Id="rId1589" Type="http://schemas.openxmlformats.org/officeDocument/2006/relationships/hyperlink" Target="https://standards.buildingsmart.org/IFC/RELEASE/IFC4/ADD2_TC1/HTML/schema/ifcstructuralanalysisdomain/pset/pset_structuralsurfacemembervaryingthickness.htm" TargetMode="External"/><Relationship Id="rId2335" Type="http://schemas.openxmlformats.org/officeDocument/2006/relationships/hyperlink" Target="https://standards.buildingsmart.org/IFC/RELEASE/IFC4/ADD2_TC1/HTML/schema/ifcprofileresource/pset/pset_profilearbitrarydoublet.htm" TargetMode="External"/><Relationship Id="rId2542" Type="http://schemas.openxmlformats.org/officeDocument/2006/relationships/hyperlink" Target="https://standards.buildingsmart.org/IFC/RELEASE/IFC4/ADD2_TC1/HTML/schema/ifchvacdomain/pset/pset_dampertypecommon.htm" TargetMode="External"/><Relationship Id="rId307" Type="http://schemas.openxmlformats.org/officeDocument/2006/relationships/hyperlink" Target="https://standards.buildingsmart.org/IFC/RELEASE/IFC4/ADD2_TC1/HTML/schema/ifcdatetimeresource/lexical/ifctaskdurationenum.htm" TargetMode="External"/><Relationship Id="rId514" Type="http://schemas.openxmlformats.org/officeDocument/2006/relationships/hyperlink" Target="https://standards.buildingsmart.org/IFC/RELEASE/IFC4/ADD2_TC1/HTML/schema/ifcgeometricconstraintresource/lexical/ifcconnectionpointeccentricity.htm" TargetMode="External"/><Relationship Id="rId721" Type="http://schemas.openxmlformats.org/officeDocument/2006/relationships/hyperlink" Target="https://standards.buildingsmart.org/IFC/RELEASE/IFC4/ADD2_TC1/HTML/schema/ifcprofileresource/lexical/ifcishapeprofiledef.htm" TargetMode="External"/><Relationship Id="rId1144" Type="http://schemas.openxmlformats.org/officeDocument/2006/relationships/hyperlink" Target="https://standards.buildingsmart.org/IFC/RELEASE/IFC4/ADD2_TC1/HTML/schema/ifchvacdomain/lexical/ifcvibrationisolator.htm" TargetMode="External"/><Relationship Id="rId1351" Type="http://schemas.openxmlformats.org/officeDocument/2006/relationships/hyperlink" Target="https://standards.buildingsmart.org/IFC/RELEASE/IFC4/ADD2_TC1/HTML/schema/ifcsharedbldgelements/pset/pset_windowcommon.htm" TargetMode="External"/><Relationship Id="rId1449" Type="http://schemas.openxmlformats.org/officeDocument/2006/relationships/hyperlink" Target="https://standards.buildingsmart.org/IFC/RELEASE/IFC4/ADD2_TC1/HTML/schema/ifcelectricaldomain/pset/pset_audiovisualappliancetypecamera.htm" TargetMode="External"/><Relationship Id="rId1796" Type="http://schemas.openxmlformats.org/officeDocument/2006/relationships/hyperlink" Target="https://standards.buildingsmart.org/IFC/RELEASE/IFC4/ADD2_TC1/HTML/schema/ifcbuildingcontrolsdomain/pset/pset_actuatortypecommon.htm" TargetMode="External"/><Relationship Id="rId2402" Type="http://schemas.openxmlformats.org/officeDocument/2006/relationships/hyperlink" Target="https://standards.buildingsmart.org/IFC/RELEASE/IFC4/ADD2_TC1/HTML/schema/ifchvacdomain/pset/pset_heatexchangertypeplate.htm" TargetMode="External"/><Relationship Id="rId2847" Type="http://schemas.openxmlformats.org/officeDocument/2006/relationships/hyperlink" Target="https://standards.buildingsmart.org/IFC/RELEASE/IFC4/ADD2_TC1/HTML/schema/ifchvacdomain/pset/pset_compressorphistory.htm" TargetMode="External"/><Relationship Id="rId88" Type="http://schemas.openxmlformats.org/officeDocument/2006/relationships/hyperlink" Target="https://standards.buildingsmart.org/IFC/RELEASE/IFC4/ADD2_TC1/HTML/schema/ifcmeasureresource/lexical/ifcinductancemeasure.htm" TargetMode="External"/><Relationship Id="rId819" Type="http://schemas.openxmlformats.org/officeDocument/2006/relationships/hyperlink" Target="https://standards.buildingsmart.org/IFC/RELEASE/IFC4/ADD2_TC1/HTML/schema/ifcsharedbldgelements/lexical/ifcplate.htm" TargetMode="External"/><Relationship Id="rId1004" Type="http://schemas.openxmlformats.org/officeDocument/2006/relationships/hyperlink" Target="https://standards.buildingsmart.org/IFC/RELEASE/IFC4/ADD2_TC1/HTML/schema/ifcproductextension/lexical/ifcspacetype.htm" TargetMode="External"/><Relationship Id="rId1211" Type="http://schemas.openxmlformats.org/officeDocument/2006/relationships/hyperlink" Target="https://standards.buildingsmart.org/IFC/RELEASE/IFC4/ADD2_TC1/HTML/schema/ifchvacdomain/qset/qto_evaporatorbasequantities.htm" TargetMode="External"/><Relationship Id="rId1656" Type="http://schemas.openxmlformats.org/officeDocument/2006/relationships/hyperlink" Target="https://standards.buildingsmart.org/IFC/RELEASE/IFC4/ADD2_TC1/HTML/schema/ifcelectricaldomain/pset/pset_switchingdevicetypeswitchdisconnector.htm" TargetMode="External"/><Relationship Id="rId1863" Type="http://schemas.openxmlformats.org/officeDocument/2006/relationships/hyperlink" Target="https://standards.buildingsmart.org/IFC/RELEASE/IFC4/ADD2_TC1/HTML/schema/ifcsharedbldgelements/pset/pset_doorwindowglazingtype.htm" TargetMode="External"/><Relationship Id="rId2707" Type="http://schemas.openxmlformats.org/officeDocument/2006/relationships/hyperlink" Target="https://standards.buildingsmart.org/IFC/RELEASE/IFC4/ADD2_TC1/HTML/schema/ifcsharedbldgelements/pset/pset_rampcommon.htm" TargetMode="External"/><Relationship Id="rId2914" Type="http://schemas.openxmlformats.org/officeDocument/2006/relationships/hyperlink" Target="https://standards.buildingsmart.org/IFC/RELEASE/IFC4/ADD2_TC1/HTML/schema/ifcsharedbldgelements/pset/pset_windowcommon.htm" TargetMode="External"/><Relationship Id="rId1309" Type="http://schemas.openxmlformats.org/officeDocument/2006/relationships/hyperlink" Target="https://standards.buildingsmart.org/IFC/RELEASE/IFC4/ADD2_TC1/HTML/schema/ifckernel/lexical/ifcsingleprojectinstance.htm" TargetMode="External"/><Relationship Id="rId1516" Type="http://schemas.openxmlformats.org/officeDocument/2006/relationships/hyperlink" Target="https://standards.buildingsmart.org/IFC/RELEASE/IFC4/ADD2_TC1/HTML/schema/ifcelectricaldomain/pset/pset_protectivedevicetrippingunittyperesidualcurrent.htm" TargetMode="External"/><Relationship Id="rId1723" Type="http://schemas.openxmlformats.org/officeDocument/2006/relationships/hyperlink" Target="https://standards.buildingsmart.org/IFC/RELEASE/IFC4/ADD2_TC1/HTML/schema/ifcstructuralelementsdomain/pset/pset_reinforcingmeshcommon.htm" TargetMode="External"/><Relationship Id="rId1930" Type="http://schemas.openxmlformats.org/officeDocument/2006/relationships/hyperlink" Target="https://standards.buildingsmart.org/IFC/RELEASE/IFC4/ADD2_TC1/HTML/schema/ifcsharedbldgelements/pset/pset_buildingelementproxyprovisionforvoid.htm" TargetMode="External"/><Relationship Id="rId3176" Type="http://schemas.openxmlformats.org/officeDocument/2006/relationships/hyperlink" Target="https://standards.buildingsmart.org/IFC/RELEASE/IFC4/ADD2_TC1/HTML/schema/ifchvacdomain/pset/pset_airterminaltypecommon.htm" TargetMode="External"/><Relationship Id="rId3383" Type="http://schemas.openxmlformats.org/officeDocument/2006/relationships/hyperlink" Target="https://standards.buildingsmart.org/IFC/RELEASE/IFC4/ADD2_TC1/HTML/schema/ifcplumbingfireprotectiondomain/pset/pset_firesuppressionterminaltypesprinkler.htm" TargetMode="External"/><Relationship Id="rId3590" Type="http://schemas.openxmlformats.org/officeDocument/2006/relationships/hyperlink" Target="https://standards.buildingsmart.org/IFC/RELEASE/IFC4/ADD2_TC1/HTML/schema/ifchvacdomain/pset/pset_pipeconnectionflanged.htm" TargetMode="External"/><Relationship Id="rId15" Type="http://schemas.openxmlformats.org/officeDocument/2006/relationships/hyperlink" Target="https://standards.buildingsmart.org/IFC/RELEASE/IFC4/ADD2_TC1/HTML/schema/ifcmeasureresource/lexical/ifcthermalconductivitymeasure.htm" TargetMode="External"/><Relationship Id="rId2192" Type="http://schemas.openxmlformats.org/officeDocument/2006/relationships/hyperlink" Target="https://standards.buildingsmart.org/IFC/RELEASE/IFC4/ADD2_TC1/HTML/schema/ifchvacdomain/pset/pset_airterminalboxtypecommon.htm" TargetMode="External"/><Relationship Id="rId3036" Type="http://schemas.openxmlformats.org/officeDocument/2006/relationships/hyperlink" Target="https://standards.buildingsmart.org/IFC/RELEASE/IFC4/ADD2_TC1/HTML/schema/ifcplumbingfireprotectiondomain/pset/pset_firesuppressionterminaltypesprinkler.htm" TargetMode="External"/><Relationship Id="rId3243" Type="http://schemas.openxmlformats.org/officeDocument/2006/relationships/hyperlink" Target="https://standards.buildingsmart.org/IFC/RELEASE/IFC4/ADD2_TC1/HTML/schema/ifcelectricaldomain/pset/pset_electricgeneratortypecommon.htm" TargetMode="External"/><Relationship Id="rId3688" Type="http://schemas.openxmlformats.org/officeDocument/2006/relationships/hyperlink" Target="https://standards.buildingsmart.org/IFC/RELEASE/IFC4/ADD2_TC1/HTML/schema/ifcmaterialresource/pset/pset_materialwater.htm" TargetMode="External"/><Relationship Id="rId164" Type="http://schemas.openxmlformats.org/officeDocument/2006/relationships/hyperlink" Target="https://standards.buildingsmart.org/IFC/RELEASE/IFC4/ADD2_TC1/HTML/schema/ifchvacdomain/lexical/ifccondensertypeenum.htm" TargetMode="External"/><Relationship Id="rId371" Type="http://schemas.openxmlformats.org/officeDocument/2006/relationships/hyperlink" Target="https://standards.buildingsmart.org/IFC/RELEASE/IFC4/ADD2_TC1/HTML/schema/ifckernel/lexical/ifcproductselect.htm" TargetMode="External"/><Relationship Id="rId2052" Type="http://schemas.openxmlformats.org/officeDocument/2006/relationships/hyperlink" Target="https://standards.buildingsmart.org/IFC/RELEASE/IFC4/ADD2_TC1/HTML/schema/ifcelectricaldomain/pset/pset_protectivedevicetrippingfunctiongcurve.htm" TargetMode="External"/><Relationship Id="rId2497" Type="http://schemas.openxmlformats.org/officeDocument/2006/relationships/hyperlink" Target="https://standards.buildingsmart.org/IFC/RELEASE/IFC4/ADD2_TC1/HTML/schema/ifchvacdomain/pset/pset_chillertypecommon.htm" TargetMode="External"/><Relationship Id="rId3450" Type="http://schemas.openxmlformats.org/officeDocument/2006/relationships/hyperlink" Target="https://standards.buildingsmart.org/IFC/RELEASE/IFC4/ADD2_TC1/HTML/schema/ifcelectricaldomain/pset/pset_electricflowstoragedevicetypecommon.htm" TargetMode="External"/><Relationship Id="rId3548" Type="http://schemas.openxmlformats.org/officeDocument/2006/relationships/hyperlink" Target="https://standards.buildingsmart.org/IFC/RELEASE/IFC4/ADD2_TC1/HTML/schema/ifcprofileresource/pset/pset_profilemechanical.htm" TargetMode="External"/><Relationship Id="rId3755" Type="http://schemas.openxmlformats.org/officeDocument/2006/relationships/hyperlink" Target="https://standards.buildingsmart.org/IFC/RELEASE/IFC4/ADD2_TC1/HTML/schema/ifcsharedbldgelements/pset/pset_platecommon.htm" TargetMode="External"/><Relationship Id="rId469" Type="http://schemas.openxmlformats.org/officeDocument/2006/relationships/hyperlink" Target="https://standards.buildingsmart.org/IFC/RELEASE/IFC4/ADD2_TC1/HTML/schema/ifcelectricaldomain/lexical/ifccablesegmenttype.htm" TargetMode="External"/><Relationship Id="rId676" Type="http://schemas.openxmlformats.org/officeDocument/2006/relationships/hyperlink" Target="https://standards.buildingsmart.org/IFC/RELEASE/IFC4/ADD2_TC1/HTML/schema/ifcsharedbldgserviceelements/lexical/ifcflowmovingdevice.htm" TargetMode="External"/><Relationship Id="rId883" Type="http://schemas.openxmlformats.org/officeDocument/2006/relationships/hyperlink" Target="https://standards.buildingsmart.org/IFC/RELEASE/IFC4/ADD2_TC1/HTML/schema/ifcquantityresource/lexical/ifcquantityvolume.htm" TargetMode="External"/><Relationship Id="rId1099" Type="http://schemas.openxmlformats.org/officeDocument/2006/relationships/hyperlink" Target="https://standards.buildingsmart.org/IFC/RELEASE/IFC4/ADD2_TC1/HTML/schema/ifcgeometricmodelresource/lexical/ifctessellatedfaceset.htm" TargetMode="External"/><Relationship Id="rId2357" Type="http://schemas.openxmlformats.org/officeDocument/2006/relationships/hyperlink" Target="https://standards.buildingsmart.org/IFC/RELEASE/IFC4/ADD2_TC1/HTML/schema/ifcplumbingfireprotectiondomain/pset/pset_wasteterminaltypefloorwaste.htm" TargetMode="External"/><Relationship Id="rId2564" Type="http://schemas.openxmlformats.org/officeDocument/2006/relationships/hyperlink" Target="https://standards.buildingsmart.org/IFC/RELEASE/IFC4/ADD2_TC1/HTML/schema/ifchvacdomain/pset/pset_flowmetertypeenergymeter.htm" TargetMode="External"/><Relationship Id="rId3103" Type="http://schemas.openxmlformats.org/officeDocument/2006/relationships/hyperlink" Target="https://standards.buildingsmart.org/IFC/RELEASE/IFC4/ADD2_TC1/HTML/schema/ifcplumbingfireprotectiondomain/pset/pset_sanitaryterminaltypecistern.htm" TargetMode="External"/><Relationship Id="rId3310" Type="http://schemas.openxmlformats.org/officeDocument/2006/relationships/hyperlink" Target="https://standards.buildingsmart.org/IFC/RELEASE/IFC4/ADD2_TC1/HTML/schema/ifcbuildingcontrolsdomain/pset/pset_sensorphistory.htm" TargetMode="External"/><Relationship Id="rId3408" Type="http://schemas.openxmlformats.org/officeDocument/2006/relationships/hyperlink" Target="https://standards.buildingsmart.org/IFC/RELEASE/IFC4/ADD2_TC1/HTML/schema/ifcsharedbldgserviceelements/pset/pset_airsidesysteminformation.htm" TargetMode="External"/><Relationship Id="rId3615" Type="http://schemas.openxmlformats.org/officeDocument/2006/relationships/hyperlink" Target="https://standards.buildingsmart.org/IFC/RELEASE/IFC4/ADD2_TC1/HTML/schema/ifcsharedbldgserviceelements/pset/pset_distributionchamberelementtypeinspectionchamber.htm" TargetMode="External"/><Relationship Id="rId231" Type="http://schemas.openxmlformats.org/officeDocument/2006/relationships/hyperlink" Target="https://standards.buildingsmart.org/IFC/RELEASE/IFC4/ADD2_TC1/HTML/schema/ifcgeometryresource/lexical/ifcknottype.htm" TargetMode="External"/><Relationship Id="rId329" Type="http://schemas.openxmlformats.org/officeDocument/2006/relationships/hyperlink" Target="https://standards.buildingsmart.org/IFC/RELEASE/IFC4/ADD2_TC1/HTML/schema/ifcarchitecturedomain/lexical/ifcwindowstyleoperationenum.htm" TargetMode="External"/><Relationship Id="rId536" Type="http://schemas.openxmlformats.org/officeDocument/2006/relationships/hyperlink" Target="https://standards.buildingsmart.org/IFC/RELEASE/IFC4/ADD2_TC1/HTML/schema/ifchvacdomain/lexical/ifccoolingtower.htm" TargetMode="External"/><Relationship Id="rId1166" Type="http://schemas.openxmlformats.org/officeDocument/2006/relationships/hyperlink" Target="https://standards.buildingsmart.org/IFC/RELEASE/IFC4/ADD2_TC1/HTML/schema/ifcproductextension/lexical/ifczone.htm" TargetMode="External"/><Relationship Id="rId1373" Type="http://schemas.openxmlformats.org/officeDocument/2006/relationships/hyperlink" Target="https://standards.buildingsmart.org/IFC/RELEASE/IFC4/ADD2_TC1/HTML/schema/ifchvacdomain/pset/pset_boilertypecommon.htm" TargetMode="External"/><Relationship Id="rId2217" Type="http://schemas.openxmlformats.org/officeDocument/2006/relationships/hyperlink" Target="https://standards.buildingsmart.org/IFC/RELEASE/IFC4/ADD2_TC1/HTML/schema/ifcelectricaldomain/pset/pset_transformertypecommon.htm" TargetMode="External"/><Relationship Id="rId2771" Type="http://schemas.openxmlformats.org/officeDocument/2006/relationships/hyperlink" Target="https://standards.buildingsmart.org/IFC/RELEASE/IFC4/ADD2_TC1/HTML/schema/ifcsharedcomponentelements/pset/pset_mechanicalfastenerbolt.htm" TargetMode="External"/><Relationship Id="rId2869" Type="http://schemas.openxmlformats.org/officeDocument/2006/relationships/hyperlink" Target="https://standards.buildingsmart.org/IFC/RELEASE/IFC4/ADD2_TC1/HTML/schema/ifchvacdomain/pset/pset_evaporatortypecommon.htm" TargetMode="External"/><Relationship Id="rId743" Type="http://schemas.openxmlformats.org/officeDocument/2006/relationships/hyperlink" Target="https://standards.buildingsmart.org/IFC/RELEASE/IFC4/ADD2_TC1/HTML/schema/ifctopologyresource/lexical/ifcloop.htm" TargetMode="External"/><Relationship Id="rId950" Type="http://schemas.openxmlformats.org/officeDocument/2006/relationships/hyperlink" Target="https://standards.buildingsmart.org/IFC/RELEASE/IFC4/ADD2_TC1/HTML/schema/ifcprocessextension/lexical/ifcrelsequence.htm" TargetMode="External"/><Relationship Id="rId1026" Type="http://schemas.openxmlformats.org/officeDocument/2006/relationships/hyperlink" Target="https://standards.buildingsmart.org/IFC/RELEASE/IFC4/ADD2_TC1/HTML/schema/ifcstructuralanalysisdomain/lexical/ifcstructuralcurvemember.htm" TargetMode="External"/><Relationship Id="rId1580" Type="http://schemas.openxmlformats.org/officeDocument/2006/relationships/hyperlink" Target="https://standards.buildingsmart.org/IFC/RELEASE/IFC4/ADD2_TC1/HTML/schema/ifcsharedbldgelements/pset/pset_coveringceiling.htm" TargetMode="External"/><Relationship Id="rId1678" Type="http://schemas.openxmlformats.org/officeDocument/2006/relationships/hyperlink" Target="https://standards.buildingsmart.org/IFC/RELEASE/IFC4/ADD2_TC1/HTML/schema/ifcsharedfacilitieselements/pset/pset_risk.htm" TargetMode="External"/><Relationship Id="rId1885" Type="http://schemas.openxmlformats.org/officeDocument/2006/relationships/hyperlink" Target="https://standards.buildingsmart.org/IFC/RELEASE/IFC4/ADD2_TC1/HTML/schema/ifcproductextension/pset/pset_spacecoveringrequirements.htm" TargetMode="External"/><Relationship Id="rId2424" Type="http://schemas.openxmlformats.org/officeDocument/2006/relationships/hyperlink" Target="https://standards.buildingsmart.org/IFC/RELEASE/IFC4/ADD2_TC1/HTML/schema/ifcproductextension/pset/pset_environmentalimpactvalues.htm" TargetMode="External"/><Relationship Id="rId2631" Type="http://schemas.openxmlformats.org/officeDocument/2006/relationships/hyperlink" Target="https://standards.buildingsmart.org/IFC/RELEASE/IFC4/ADD2_TC1/HTML/schema/ifcelectricaldomain/pset/pset_electricgeneratortypecommon.htm" TargetMode="External"/><Relationship Id="rId2729" Type="http://schemas.openxmlformats.org/officeDocument/2006/relationships/hyperlink" Target="https://standards.buildingsmart.org/IFC/RELEASE/IFC4/ADD2_TC1/HTML/schema/ifcstructuralelementsdomain/pset/pset_precastconcreteelementgeneral.htm" TargetMode="External"/><Relationship Id="rId2936" Type="http://schemas.openxmlformats.org/officeDocument/2006/relationships/hyperlink" Target="https://standards.buildingsmart.org/IFC/RELEASE/IFC4/ADD2_TC1/HTML/schema/ifcelectricaldomain/pset/pset_protectivedevicebreakerunittypemotorprotection.htm" TargetMode="External"/><Relationship Id="rId603" Type="http://schemas.openxmlformats.org/officeDocument/2006/relationships/hyperlink" Target="https://standards.buildingsmart.org/IFC/RELEASE/IFC4/ADD2_TC1/HTML/schema/ifcelectricaldomain/lexical/ifcelectricdistributionboard.htm" TargetMode="External"/><Relationship Id="rId810" Type="http://schemas.openxmlformats.org/officeDocument/2006/relationships/hyperlink" Target="https://standards.buildingsmart.org/IFC/RELEASE/IFC4/ADD2_TC1/HTML/schema/ifchvacdomain/lexical/ifcpipefitting.htm" TargetMode="External"/><Relationship Id="rId908" Type="http://schemas.openxmlformats.org/officeDocument/2006/relationships/hyperlink" Target="https://standards.buildingsmart.org/IFC/RELEASE/IFC4/ADD2_TC1/HTML/schema/ifckernel/lexical/ifcrelaggregates.htm" TargetMode="External"/><Relationship Id="rId1233" Type="http://schemas.openxmlformats.org/officeDocument/2006/relationships/hyperlink" Target="https://standards.buildingsmart.org/IFC/RELEASE/IFC4/ADD2_TC1/HTML/schema/ifcproductextension/qset/qto_projectionelementbasequantities.htm" TargetMode="External"/><Relationship Id="rId1440" Type="http://schemas.openxmlformats.org/officeDocument/2006/relationships/hyperlink" Target="https://standards.buildingsmart.org/IFC/RELEASE/IFC4/ADD2_TC1/HTML/schema/ifcproductextension/pset/pset_annotationlineofsight.htm" TargetMode="External"/><Relationship Id="rId1538" Type="http://schemas.openxmlformats.org/officeDocument/2006/relationships/hyperlink" Target="https://standards.buildingsmart.org/IFC/RELEASE/IFC4/ADD2_TC1/HTML/schema/ifcsharedbldgserviceelements/pset/pset_spacethermalloadphistory.htm" TargetMode="External"/><Relationship Id="rId1300" Type="http://schemas.openxmlformats.org/officeDocument/2006/relationships/hyperlink" Target="https://standards.buildingsmart.org/IFC/RELEASE/IFC4/ADD2_TC1/HTML/schema/ifcrepresentationresource/lexical/ifctopologyrepresentationtypes.htm" TargetMode="External"/><Relationship Id="rId1745" Type="http://schemas.openxmlformats.org/officeDocument/2006/relationships/hyperlink" Target="https://standards.buildingsmart.org/IFC/RELEASE/IFC4/ADD2_TC1/HTML/schema/ifchvacdomain/pset/pset_heatexchangertypecommon.htm" TargetMode="External"/><Relationship Id="rId1952" Type="http://schemas.openxmlformats.org/officeDocument/2006/relationships/hyperlink" Target="https://standards.buildingsmart.org/IFC/RELEASE/IFC4/ADD2_TC1/HTML/schema/ifcbuildingcontrolsdomain/pset/pset_sensortypehumiditysensor.htm" TargetMode="External"/><Relationship Id="rId3198" Type="http://schemas.openxmlformats.org/officeDocument/2006/relationships/hyperlink" Target="https://standards.buildingsmart.org/IFC/RELEASE/IFC4/ADD2_TC1/HTML/schema/ifchvacdomain/pset/pset_airterminaltypecommon.htm" TargetMode="External"/><Relationship Id="rId37" Type="http://schemas.openxmlformats.org/officeDocument/2006/relationships/hyperlink" Target="https://standards.buildingsmart.org/IFC/RELEASE/IFC4/ADD2_TC1/HTML/schema/ifcmeasureresource/lexical/ifcrotationalfrequencymeasure.htm" TargetMode="External"/><Relationship Id="rId1605" Type="http://schemas.openxmlformats.org/officeDocument/2006/relationships/hyperlink" Target="https://standards.buildingsmart.org/IFC/RELEASE/IFC4/ADD2_TC1/HTML/schema/ifcsharedbldgelements/pset/pset_columncommon.htm" TargetMode="External"/><Relationship Id="rId1812" Type="http://schemas.openxmlformats.org/officeDocument/2006/relationships/hyperlink" Target="https://standards.buildingsmart.org/IFC/RELEASE/IFC4/ADD2_TC1/HTML/schema/ifcproductextension/pset/pset_buildingstoreycommon.htm" TargetMode="External"/><Relationship Id="rId3058" Type="http://schemas.openxmlformats.org/officeDocument/2006/relationships/hyperlink" Target="https://standards.buildingsmart.org/IFC/RELEASE/IFC4/ADD2_TC1/HTML/schema/ifcelectricaldomain/pset/pset_protectivedeviceoccurrence.htm" TargetMode="External"/><Relationship Id="rId3265" Type="http://schemas.openxmlformats.org/officeDocument/2006/relationships/hyperlink" Target="https://standards.buildingsmart.org/IFC/RELEASE/IFC4/ADD2_TC1/HTML/schema/ifcelectricaldomain/pset/pset_protectivedevicetypeearthleakagecircuitbreaker.htm" TargetMode="External"/><Relationship Id="rId3472" Type="http://schemas.openxmlformats.org/officeDocument/2006/relationships/hyperlink" Target="https://standards.buildingsmart.org/IFC/RELEASE/IFC4/ADD2_TC1/HTML/schema/ifchvacdomain/pset/pset_compressortypecommon.htm" TargetMode="External"/><Relationship Id="rId186" Type="http://schemas.openxmlformats.org/officeDocument/2006/relationships/hyperlink" Target="https://standards.buildingsmart.org/IFC/RELEASE/IFC4/ADD2_TC1/HTML/schema/ifcsharedbldgserviceelements/lexical/ifcdistributionsystemenum.htm" TargetMode="External"/><Relationship Id="rId393" Type="http://schemas.openxmlformats.org/officeDocument/2006/relationships/hyperlink" Target="https://standards.buildingsmart.org/IFC/RELEASE/IFC4/ADD2_TC1/HTML/schema/ifcgeometryresource/lexical/ifcvectorordirection.htm" TargetMode="External"/><Relationship Id="rId2074" Type="http://schemas.openxmlformats.org/officeDocument/2006/relationships/hyperlink" Target="https://standards.buildingsmart.org/IFC/RELEASE/IFC4/ADD2_TC1/HTML/schema/ifchvacdomain/pset/pset_dampertypecommon.htm" TargetMode="External"/><Relationship Id="rId2281" Type="http://schemas.openxmlformats.org/officeDocument/2006/relationships/hyperlink" Target="https://standards.buildingsmart.org/IFC/RELEASE/IFC4/ADD2_TC1/HTML/schema/ifcelectricaldomain/pset/pset_cablesegmentoccurrence.htm" TargetMode="External"/><Relationship Id="rId3125" Type="http://schemas.openxmlformats.org/officeDocument/2006/relationships/hyperlink" Target="https://standards.buildingsmart.org/IFC/RELEASE/IFC4/ADD2_TC1/HTML/schema/ifcproductextension/pset/pset_spacecoveringrequirements.htm" TargetMode="External"/><Relationship Id="rId3332" Type="http://schemas.openxmlformats.org/officeDocument/2006/relationships/hyperlink" Target="https://standards.buildingsmart.org/IFC/RELEASE/IFC4/ADD2_TC1/HTML/schema/ifcstructuralelementsdomain/pset/pset_reinforcementbarcountofindependentfooting.htm" TargetMode="External"/><Relationship Id="rId3777" Type="http://schemas.openxmlformats.org/officeDocument/2006/relationships/hyperlink" Target="https://standards.buildingsmart.org/IFC/RELEASE/IFC4/ADD2_TC1/HTML/schema/ifcsharedcomponentelements/pset/pset_fastenerweld.htm" TargetMode="External"/><Relationship Id="rId253" Type="http://schemas.openxmlformats.org/officeDocument/2006/relationships/hyperlink" Target="https://standards.buildingsmart.org/IFC/RELEASE/IFC4/ADD2_TC1/HTML/schema/ifcproductextension/lexical/ifcphysicalorvirtualenum.htm" TargetMode="External"/><Relationship Id="rId460" Type="http://schemas.openxmlformats.org/officeDocument/2006/relationships/hyperlink" Target="https://standards.buildingsmart.org/IFC/RELEASE/IFC4/ADD2_TC1/HTML/schema/ifchvacdomain/lexical/ifcburner.htm" TargetMode="External"/><Relationship Id="rId698" Type="http://schemas.openxmlformats.org/officeDocument/2006/relationships/hyperlink" Target="https://standards.buildingsmart.org/IFC/RELEASE/IFC4/ADD2_TC1/HTML/schema/ifcgeometricmodelresource/lexical/ifcgeometricset.htm" TargetMode="External"/><Relationship Id="rId1090" Type="http://schemas.openxmlformats.org/officeDocument/2006/relationships/hyperlink" Target="https://standards.buildingsmart.org/IFC/RELEASE/IFC4/ADD2_TC1/HTML/schema/ifcprocessextension/lexical/ifctask.htm" TargetMode="External"/><Relationship Id="rId2141" Type="http://schemas.openxmlformats.org/officeDocument/2006/relationships/hyperlink" Target="https://standards.buildingsmart.org/IFC/RELEASE/IFC4/ADD2_TC1/HTML/schema/ifcstructuralelementsdomain/pset/pset_footingcommon.htm" TargetMode="External"/><Relationship Id="rId2379" Type="http://schemas.openxmlformats.org/officeDocument/2006/relationships/hyperlink" Target="https://standards.buildingsmart.org/IFC/RELEASE/IFC4/ADD2_TC1/HTML/schema/ifchvacdomain/pset/pset_dampertypecommon.htm" TargetMode="External"/><Relationship Id="rId2586" Type="http://schemas.openxmlformats.org/officeDocument/2006/relationships/hyperlink" Target="https://standards.buildingsmart.org/IFC/RELEASE/IFC4/ADD2_TC1/HTML/schema/ifcmaterialresource/pset/pset_materialhygroscopic.htm" TargetMode="External"/><Relationship Id="rId2793" Type="http://schemas.openxmlformats.org/officeDocument/2006/relationships/hyperlink" Target="https://standards.buildingsmart.org/IFC/RELEASE/IFC4/ADD2_TC1/HTML/schema/ifcelectricaldomain/pset/pset_protectivedevicetrippingfunctionlcurve.htm" TargetMode="External"/><Relationship Id="rId3637" Type="http://schemas.openxmlformats.org/officeDocument/2006/relationships/hyperlink" Target="https://standards.buildingsmart.org/IFC/RELEASE/IFC4/ADD2_TC1/HTML/schema/ifcelectricaldomain/pset/pset_audiovisualappliancetypereceiver.htm" TargetMode="External"/><Relationship Id="rId113" Type="http://schemas.openxmlformats.org/officeDocument/2006/relationships/hyperlink" Target="https://standards.buildingsmart.org/IFC/RELEASE/IFC4/ADD2_TC1/HTML/schema/ifcdatetimeresource/lexical/ifcdatetime.htm" TargetMode="External"/><Relationship Id="rId320" Type="http://schemas.openxmlformats.org/officeDocument/2006/relationships/hyperlink" Target="https://standards.buildingsmart.org/IFC/RELEASE/IFC4/ADD2_TC1/HTML/schema/ifcmeasureresource/lexical/ifcunitenum.htm" TargetMode="External"/><Relationship Id="rId558" Type="http://schemas.openxmlformats.org/officeDocument/2006/relationships/hyperlink" Target="https://standards.buildingsmart.org/IFC/RELEASE/IFC4/ADD2_TC1/HTML/schema/ifcpresentationappearanceresource/lexical/ifccurvestylefontandscaling.htm" TargetMode="External"/><Relationship Id="rId765" Type="http://schemas.openxmlformats.org/officeDocument/2006/relationships/hyperlink" Target="https://standards.buildingsmart.org/IFC/RELEASE/IFC4/ADD2_TC1/HTML/schema/ifcmaterialresource/lexical/ifcmaterialrelationship.htm" TargetMode="External"/><Relationship Id="rId972" Type="http://schemas.openxmlformats.org/officeDocument/2006/relationships/hyperlink" Target="https://standards.buildingsmart.org/IFC/RELEASE/IFC4/ADD2_TC1/HTML/schema/ifckernel/lexical/ifcroot.htm" TargetMode="External"/><Relationship Id="rId1188" Type="http://schemas.openxmlformats.org/officeDocument/2006/relationships/hyperlink" Target="https://standards.buildingsmart.org/IFC/RELEASE/IFC4/ADD2_TC1/HTML/schema/ifcelectricaldomain/qset/qto_communicationsappliancebasequantities.htm" TargetMode="External"/><Relationship Id="rId1395" Type="http://schemas.openxmlformats.org/officeDocument/2006/relationships/hyperlink" Target="https://standards.buildingsmart.org/IFC/RELEASE/IFC4/ADD2_TC1/HTML/schema/ifcsharedcomponentelements/pset/pset_mechanicalfastenerbolt.htm" TargetMode="External"/><Relationship Id="rId2001" Type="http://schemas.openxmlformats.org/officeDocument/2006/relationships/hyperlink" Target="https://standards.buildingsmart.org/IFC/RELEASE/IFC4/ADD2_TC1/HTML/schema/ifcelectricaldomain/pset/pset_cablesegmenttypecoresegment.htm" TargetMode="External"/><Relationship Id="rId2239" Type="http://schemas.openxmlformats.org/officeDocument/2006/relationships/hyperlink" Target="https://standards.buildingsmart.org/IFC/RELEASE/IFC4/ADD2_TC1/HTML/schema/ifcsharedmgmtelements/pset/pset_projectordermaintenanceworkorder.htm" TargetMode="External"/><Relationship Id="rId2446" Type="http://schemas.openxmlformats.org/officeDocument/2006/relationships/hyperlink" Target="https://standards.buildingsmart.org/IFC/RELEASE/IFC4/ADD2_TC1/HTML/schema/ifchvacdomain/pset/pset_cooledbeamtypecommon.htm" TargetMode="External"/><Relationship Id="rId2653" Type="http://schemas.openxmlformats.org/officeDocument/2006/relationships/hyperlink" Target="https://standards.buildingsmart.org/IFC/RELEASE/IFC4/ADD2_TC1/HTML/schema/ifcproductextension/pset/pset_buildinguse.htm" TargetMode="External"/><Relationship Id="rId2860" Type="http://schemas.openxmlformats.org/officeDocument/2006/relationships/hyperlink" Target="https://standards.buildingsmart.org/IFC/RELEASE/IFC4/ADD2_TC1/HTML/schema/ifcsharedbldgserviceelements/pset/pset_distributionchamberelementtypemanhole.htm" TargetMode="External"/><Relationship Id="rId3704" Type="http://schemas.openxmlformats.org/officeDocument/2006/relationships/hyperlink" Target="https://standards.buildingsmart.org/IFC/RELEASE/IFC4/ADD2_TC1/HTML/schema/ifcsharedbldgserviceelements/pset/pset_airsidesysteminformation.htm" TargetMode="External"/><Relationship Id="rId418" Type="http://schemas.openxmlformats.org/officeDocument/2006/relationships/hyperlink" Target="https://standards.buildingsmart.org/IFC/RELEASE/IFC4/ADD2_TC1/HTML/schema/ifcprofileresource/lexical/ifcarbitraryclosedprofiledef.htm" TargetMode="External"/><Relationship Id="rId625" Type="http://schemas.openxmlformats.org/officeDocument/2006/relationships/hyperlink" Target="https://standards.buildingsmart.org/IFC/RELEASE/IFC4/ADD2_TC1/HTML/schema/ifchvacdomain/lexical/ifcengine.htm" TargetMode="External"/><Relationship Id="rId832" Type="http://schemas.openxmlformats.org/officeDocument/2006/relationships/hyperlink" Target="https://standards.buildingsmart.org/IFC/RELEASE/IFC4/ADD2_TC1/HTML/schema/ifcpresentationappearanceresource/lexical/ifcpredefinedcurvefont.htm" TargetMode="External"/><Relationship Id="rId1048" Type="http://schemas.openxmlformats.org/officeDocument/2006/relationships/hyperlink" Target="https://standards.buildingsmart.org/IFC/RELEASE/IFC4/ADD2_TC1/HTML/schema/ifcstructuralanalysisdomain/lexical/ifcstructuralpointreaction.htm" TargetMode="External"/><Relationship Id="rId1255" Type="http://schemas.openxmlformats.org/officeDocument/2006/relationships/hyperlink" Target="https://standards.buildingsmart.org/IFC/RELEASE/IFC4/ADD2_TC1/HTML/schema/ifchvacdomain/qset/qto_unitaryequipmentbasequantities.htm" TargetMode="External"/><Relationship Id="rId1462" Type="http://schemas.openxmlformats.org/officeDocument/2006/relationships/hyperlink" Target="https://standards.buildingsmart.org/IFC/RELEASE/IFC4/ADD2_TC1/HTML/schema/ifcsharedbldgserviceelements/pset/pset_spacethermalload.htm" TargetMode="External"/><Relationship Id="rId2306" Type="http://schemas.openxmlformats.org/officeDocument/2006/relationships/hyperlink" Target="https://standards.buildingsmart.org/IFC/RELEASE/IFC4/ADD2_TC1/HTML/schema/ifchvacdomain/pset/pset_cooledbeamtypecommon.htm" TargetMode="External"/><Relationship Id="rId2513" Type="http://schemas.openxmlformats.org/officeDocument/2006/relationships/hyperlink" Target="https://standards.buildingsmart.org/IFC/RELEASE/IFC4/ADD2_TC1/HTML/schema/ifcelectricaldomain/pset/pset_protectivedevicetrippingfunctionicurve.htm" TargetMode="External"/><Relationship Id="rId2958" Type="http://schemas.openxmlformats.org/officeDocument/2006/relationships/hyperlink" Target="https://standards.buildingsmart.org/IFC/RELEASE/IFC4/ADD2_TC1/HTML/schema/ifcplumbingfireprotectiondomain/pset/pset_firesuppressionterminaltypehosereel.htm" TargetMode="External"/><Relationship Id="rId1115" Type="http://schemas.openxmlformats.org/officeDocument/2006/relationships/hyperlink" Target="https://standards.buildingsmart.org/IFC/RELEASE/IFC4/ADD2_TC1/HTML/schema/ifctopologyresource/lexical/ifctopologicalrepresentationitem.htm" TargetMode="External"/><Relationship Id="rId1322" Type="http://schemas.openxmlformats.org/officeDocument/2006/relationships/hyperlink" Target="https://standards.buildingsmart.org/IFC/RELEASE/IFC4/ADD2_TC1/HTML/schema/ifcstructuralelementsdomain/pset/pset_reinforcementbarpitchofcolumn.htm" TargetMode="External"/><Relationship Id="rId1767" Type="http://schemas.openxmlformats.org/officeDocument/2006/relationships/hyperlink" Target="https://standards.buildingsmart.org/IFC/RELEASE/IFC4/ADD2_TC1/HTML/schema/ifcsharedbldgelements/pset/pset_doorcommon.htm" TargetMode="External"/><Relationship Id="rId1974" Type="http://schemas.openxmlformats.org/officeDocument/2006/relationships/hyperlink" Target="https://standards.buildingsmart.org/IFC/RELEASE/IFC4/ADD2_TC1/HTML/schema/ifchvacdomain/pset/pset_airtoairheatrecoveryphistory.htm" TargetMode="External"/><Relationship Id="rId2720" Type="http://schemas.openxmlformats.org/officeDocument/2006/relationships/hyperlink" Target="https://standards.buildingsmart.org/IFC/RELEASE/IFC4/ADD2_TC1/HTML/schema/ifcsharedbldgserviceelements/pset/pset_thermalloaddesigncriteria.htm" TargetMode="External"/><Relationship Id="rId2818" Type="http://schemas.openxmlformats.org/officeDocument/2006/relationships/hyperlink" Target="https://standards.buildingsmart.org/IFC/RELEASE/IFC4/ADD2_TC1/HTML/schema/ifcelectricaldomain/pset/pset_cablesegmentoccurrence.htm" TargetMode="External"/><Relationship Id="rId59" Type="http://schemas.openxmlformats.org/officeDocument/2006/relationships/hyperlink" Target="https://standards.buildingsmart.org/IFC/RELEASE/IFC4/ADD2_TC1/HTML/schema/ifcmeasureresource/lexical/ifcmolecularweightmeasure.htm" TargetMode="External"/><Relationship Id="rId1627" Type="http://schemas.openxmlformats.org/officeDocument/2006/relationships/hyperlink" Target="https://standards.buildingsmart.org/IFC/RELEASE/IFC4/ADD2_TC1/HTML/schema/ifcbuildingcontrolsdomain/pset/pset_unitarycontrolelementtypethermostat.htm" TargetMode="External"/><Relationship Id="rId1834" Type="http://schemas.openxmlformats.org/officeDocument/2006/relationships/hyperlink" Target="https://standards.buildingsmart.org/IFC/RELEASE/IFC4/ADD2_TC1/HTML/schema/ifcsharedbldgelements/pset/pset_membercommon.htm" TargetMode="External"/><Relationship Id="rId3287" Type="http://schemas.openxmlformats.org/officeDocument/2006/relationships/hyperlink" Target="https://standards.buildingsmart.org/IFC/RELEASE/IFC4/ADD2_TC1/HTML/schema/ifcprofileresource/pset/pset_profilearbitraryhollowcore.htm" TargetMode="External"/><Relationship Id="rId2096" Type="http://schemas.openxmlformats.org/officeDocument/2006/relationships/hyperlink" Target="https://standards.buildingsmart.org/IFC/RELEASE/IFC4/ADD2_TC1/HTML/schema/ifchvacdomain/pset/pset_valvetypecommon.htm" TargetMode="External"/><Relationship Id="rId3494" Type="http://schemas.openxmlformats.org/officeDocument/2006/relationships/hyperlink" Target="https://standards.buildingsmart.org/IFC/RELEASE/IFC4/ADD2_TC1/HTML/schema/ifcsharedcomponentelements/pset/pset_discreteaccessorycolumnshoe.htm" TargetMode="External"/><Relationship Id="rId1901" Type="http://schemas.openxmlformats.org/officeDocument/2006/relationships/hyperlink" Target="https://standards.buildingsmart.org/IFC/RELEASE/IFC4/ADD2_TC1/HTML/schema/ifcelectricaldomain/pset/pset_protectivedeviceoccurrence.htm" TargetMode="External"/><Relationship Id="rId3147" Type="http://schemas.openxmlformats.org/officeDocument/2006/relationships/hyperlink" Target="https://standards.buildingsmart.org/IFC/RELEASE/IFC4/ADD2_TC1/HTML/schema/ifcbuildingcontrolsdomain/pset/pset_sensortypefiresensor.htm" TargetMode="External"/><Relationship Id="rId3354" Type="http://schemas.openxmlformats.org/officeDocument/2006/relationships/hyperlink" Target="https://standards.buildingsmart.org/IFC/RELEASE/IFC4/ADD2_TC1/HTML/schema/ifcelectricaldomain/pset/pset_protectivedevicetrippingfunctiongcurve.htm" TargetMode="External"/><Relationship Id="rId3561" Type="http://schemas.openxmlformats.org/officeDocument/2006/relationships/hyperlink" Target="https://standards.buildingsmart.org/IFC/RELEASE/IFC4/ADD2_TC1/HTML/schema/ifcelectricaldomain/pset/pset_cablesegmentoccurrence.htm" TargetMode="External"/><Relationship Id="rId3659" Type="http://schemas.openxmlformats.org/officeDocument/2006/relationships/hyperlink" Target="https://standards.buildingsmart.org/IFC/RELEASE/IFC4/ADD2_TC1/HTML/schema/ifcsharedbldgserviceelements/pset/pset_distributionsystemtypeventilation.htm" TargetMode="External"/><Relationship Id="rId275" Type="http://schemas.openxmlformats.org/officeDocument/2006/relationships/hyperlink" Target="https://standards.buildingsmart.org/IFC/RELEASE/IFC4/ADD2_TC1/HTML/schema/ifcprofileresource/lexical/ifcreinforcingbarsurfaceenum.htm" TargetMode="External"/><Relationship Id="rId482" Type="http://schemas.openxmlformats.org/officeDocument/2006/relationships/hyperlink" Target="https://standards.buildingsmart.org/IFC/RELEASE/IFC4/ADD2_TC1/HTML/schema/ifcsharedbldgelements/lexical/ifcchimney.htm" TargetMode="External"/><Relationship Id="rId2163" Type="http://schemas.openxmlformats.org/officeDocument/2006/relationships/hyperlink" Target="https://standards.buildingsmart.org/IFC/RELEASE/IFC4/ADD2_TC1/HTML/schema/ifcsharedbldgserviceelements/pset/pset_distributionchamberelementcommon.htm" TargetMode="External"/><Relationship Id="rId2370" Type="http://schemas.openxmlformats.org/officeDocument/2006/relationships/hyperlink" Target="https://standards.buildingsmart.org/IFC/RELEASE/IFC4/ADD2_TC1/HTML/schema/ifchvacdomain/pset/pset_airterminalboxtypecommon.htm" TargetMode="External"/><Relationship Id="rId3007" Type="http://schemas.openxmlformats.org/officeDocument/2006/relationships/hyperlink" Target="https://standards.buildingsmart.org/IFC/RELEASE/IFC4/ADD2_TC1/HTML/schema/ifcsharedbldgserviceelements/pset/pset_distributionchamberelementtypemanhole.htm" TargetMode="External"/><Relationship Id="rId3214" Type="http://schemas.openxmlformats.org/officeDocument/2006/relationships/hyperlink" Target="https://standards.buildingsmart.org/IFC/RELEASE/IFC4/ADD2_TC1/HTML/schema/ifcsharedfacilitieselements/pset/pset_warranty.htm" TargetMode="External"/><Relationship Id="rId3421" Type="http://schemas.openxmlformats.org/officeDocument/2006/relationships/hyperlink" Target="https://standards.buildingsmart.org/IFC/RELEASE/IFC4/ADD2_TC1/HTML/schema/ifcbuildingcontrolsdomain/pset/pset_controllertypeprogrammable.htm" TargetMode="External"/><Relationship Id="rId135" Type="http://schemas.openxmlformats.org/officeDocument/2006/relationships/hyperlink" Target="https://standards.buildingsmart.org/IFC/RELEASE/IFC4/ADD2_TC1/HTML/schema/ifchvacdomain/lexical/ifcairterminaltypeenum.htm" TargetMode="External"/><Relationship Id="rId342" Type="http://schemas.openxmlformats.org/officeDocument/2006/relationships/hyperlink" Target="https://standards.buildingsmart.org/IFC/RELEASE/IFC4/ADD2_TC1/HTML/schema/ifcpresentationappearanceresource/lexical/ifccolour.htm" TargetMode="External"/><Relationship Id="rId787" Type="http://schemas.openxmlformats.org/officeDocument/2006/relationships/hyperlink" Target="https://standards.buildingsmart.org/IFC/RELEASE/IFC4/ADD2_TC1/HTML/schema/ifcgeometryresource/lexical/ifcoffsetcurve3d.htm" TargetMode="External"/><Relationship Id="rId994" Type="http://schemas.openxmlformats.org/officeDocument/2006/relationships/hyperlink" Target="https://standards.buildingsmart.org/IFC/RELEASE/IFC4/ADD2_TC1/HTML/schema/ifcsharedbldgelements/lexical/ifcslabelementedcase.htm" TargetMode="External"/><Relationship Id="rId2023" Type="http://schemas.openxmlformats.org/officeDocument/2006/relationships/hyperlink" Target="https://standards.buildingsmart.org/IFC/RELEASE/IFC4/ADD2_TC1/HTML/schema/ifcsharedbldgelements/pset/pset_staircommon.htm" TargetMode="External"/><Relationship Id="rId2230" Type="http://schemas.openxmlformats.org/officeDocument/2006/relationships/hyperlink" Target="https://standards.buildingsmart.org/IFC/RELEASE/IFC4/ADD2_TC1/HTML/schema/ifcmaterialresource/pset/pset_materialconcrete.htm" TargetMode="External"/><Relationship Id="rId2468" Type="http://schemas.openxmlformats.org/officeDocument/2006/relationships/hyperlink" Target="https://standards.buildingsmart.org/IFC/RELEASE/IFC4/ADD2_TC1/HTML/schema/ifchvacdomain/pset/pset_tanktypecommon.htm" TargetMode="External"/><Relationship Id="rId2675" Type="http://schemas.openxmlformats.org/officeDocument/2006/relationships/hyperlink" Target="https://standards.buildingsmart.org/IFC/RELEASE/IFC4/ADD2_TC1/HTML/schema/ifchvacdomain/pset/pset_ductfittingphistory.htm" TargetMode="External"/><Relationship Id="rId2882" Type="http://schemas.openxmlformats.org/officeDocument/2006/relationships/hyperlink" Target="https://standards.buildingsmart.org/IFC/RELEASE/IFC4/ADD2_TC1/HTML/schema/ifcelectricaldomain/pset/pset_protectivedeviceoccurrence.htm" TargetMode="External"/><Relationship Id="rId3519" Type="http://schemas.openxmlformats.org/officeDocument/2006/relationships/hyperlink" Target="https://standards.buildingsmart.org/IFC/RELEASE/IFC4/ADD2_TC1/HTML/schema/ifchvacdomain/pset/pset_dampertypefiresmokedamper.htm" TargetMode="External"/><Relationship Id="rId3726" Type="http://schemas.openxmlformats.org/officeDocument/2006/relationships/hyperlink" Target="https://standards.buildingsmart.org/IFC/RELEASE/IFC4/ADD2_TC1/HTML/schema/ifcmaterialresource/pset/pset_materialconcrete.htm" TargetMode="External"/><Relationship Id="rId202" Type="http://schemas.openxmlformats.org/officeDocument/2006/relationships/hyperlink" Target="https://standards.buildingsmart.org/IFC/RELEASE/IFC4/ADD2_TC1/HTML/schema/ifcelectricaldomain/lexical/ifcelectricmotortypeenum.htm" TargetMode="External"/><Relationship Id="rId647" Type="http://schemas.openxmlformats.org/officeDocument/2006/relationships/hyperlink" Target="https://standards.buildingsmart.org/IFC/RELEASE/IFC4/ADD2_TC1/HTML/schema/ifctopologyresource/lexical/ifcfacebound.htm" TargetMode="External"/><Relationship Id="rId854" Type="http://schemas.openxmlformats.org/officeDocument/2006/relationships/hyperlink" Target="https://standards.buildingsmart.org/IFC/RELEASE/IFC4/ADD2_TC1/HTML/schema/ifcsharedmgmtelements/lexical/ifcprojectorder.htm" TargetMode="External"/><Relationship Id="rId1277" Type="http://schemas.openxmlformats.org/officeDocument/2006/relationships/hyperlink" Target="https://standards.buildingsmart.org/IFC/RELEASE/IFC4/ADD2_TC1/HTML/schema/ifcmeasureresource/lexical/ifcderivedimensionalexponents.htm" TargetMode="External"/><Relationship Id="rId1484" Type="http://schemas.openxmlformats.org/officeDocument/2006/relationships/hyperlink" Target="https://standards.buildingsmart.org/IFC/RELEASE/IFC4/ADD2_TC1/HTML/schema/ifcproductextension/pset/pset_buildinguse.htm" TargetMode="External"/><Relationship Id="rId1691" Type="http://schemas.openxmlformats.org/officeDocument/2006/relationships/hyperlink" Target="https://standards.buildingsmart.org/IFC/RELEASE/IFC4/ADD2_TC1/HTML/schema/ifcprofileresource/pset/pset_profilearbitrarydoublet.htm" TargetMode="External"/><Relationship Id="rId2328" Type="http://schemas.openxmlformats.org/officeDocument/2006/relationships/hyperlink" Target="https://standards.buildingsmart.org/IFC/RELEASE/IFC4/ADD2_TC1/HTML/schema/ifcproductextension/pset/pset_spaceparking.htm" TargetMode="External"/><Relationship Id="rId2535" Type="http://schemas.openxmlformats.org/officeDocument/2006/relationships/hyperlink" Target="https://standards.buildingsmart.org/IFC/RELEASE/IFC4/ADD2_TC1/HTML/schema/ifcplumbingfireprotectiondomain/pset/pset_wasteterminaltyperoofdrain.htm" TargetMode="External"/><Relationship Id="rId2742" Type="http://schemas.openxmlformats.org/officeDocument/2006/relationships/hyperlink" Target="https://standards.buildingsmart.org/IFC/RELEASE/IFC4/ADD2_TC1/HTML/schema/ifchvacdomain/pset/pset_dampertypecommon.htm" TargetMode="External"/><Relationship Id="rId507" Type="http://schemas.openxmlformats.org/officeDocument/2006/relationships/hyperlink" Target="https://standards.buildingsmart.org/IFC/RELEASE/IFC4/ADD2_TC1/HTML/schema/ifchvacdomain/lexical/ifccompressortype.htm" TargetMode="External"/><Relationship Id="rId714" Type="http://schemas.openxmlformats.org/officeDocument/2006/relationships/hyperlink" Target="https://standards.buildingsmart.org/IFC/RELEASE/IFC4/ADD2_TC1/HTML/schema/ifcpresentationappearanceresource/lexical/ifcindexedtriangletexturemap.htm" TargetMode="External"/><Relationship Id="rId921" Type="http://schemas.openxmlformats.org/officeDocument/2006/relationships/hyperlink" Target="https://standards.buildingsmart.org/IFC/RELEASE/IFC4/ADD2_TC1/HTML/schema/ifckernel/lexical/ifcrelassociatesdocument.htm" TargetMode="External"/><Relationship Id="rId1137" Type="http://schemas.openxmlformats.org/officeDocument/2006/relationships/hyperlink" Target="https://standards.buildingsmart.org/IFC/RELEASE/IFC4/ADD2_TC1/HTML/schema/ifcprofileresource/lexical/ifcushapeprofiledef.htm" TargetMode="External"/><Relationship Id="rId1344" Type="http://schemas.openxmlformats.org/officeDocument/2006/relationships/hyperlink" Target="https://standards.buildingsmart.org/IFC/RELEASE/IFC4/ADD2_TC1/HTML/schema/ifcsharedcomponentelements/pset/pset_discreteaccessorywireloop.htm" TargetMode="External"/><Relationship Id="rId1551" Type="http://schemas.openxmlformats.org/officeDocument/2006/relationships/hyperlink" Target="https://standards.buildingsmart.org/IFC/RELEASE/IFC4/ADD2_TC1/HTML/schema/ifchvacdomain/pset/pset_cooledbeamphistory.htm" TargetMode="External"/><Relationship Id="rId1789" Type="http://schemas.openxmlformats.org/officeDocument/2006/relationships/hyperlink" Target="https://standards.buildingsmart.org/IFC/RELEASE/IFC4/ADD2_TC1/HTML/schema/ifchvacdomain/pset/pset_boilertypecommon.htm" TargetMode="External"/><Relationship Id="rId1996" Type="http://schemas.openxmlformats.org/officeDocument/2006/relationships/hyperlink" Target="https://standards.buildingsmart.org/IFC/RELEASE/IFC4/ADD2_TC1/HTML/schema/ifcelectricaldomain/pset/pset_transformertypecommon.htm" TargetMode="External"/><Relationship Id="rId2602" Type="http://schemas.openxmlformats.org/officeDocument/2006/relationships/hyperlink" Target="https://standards.buildingsmart.org/IFC/RELEASE/IFC4/ADD2_TC1/HTML/schema/ifcsharedbldgserviceelements/pset/pset_distributionsystemtypeventilation.htm" TargetMode="External"/><Relationship Id="rId50" Type="http://schemas.openxmlformats.org/officeDocument/2006/relationships/hyperlink" Target="https://standards.buildingsmart.org/IFC/RELEASE/IFC4/ADD2_TC1/HTML/schema/ifcmeasureresource/lexical/ifcplanarforcemeasure.htm" TargetMode="External"/><Relationship Id="rId1204" Type="http://schemas.openxmlformats.org/officeDocument/2006/relationships/hyperlink" Target="https://standards.buildingsmart.org/IFC/RELEASE/IFC4/ADD2_TC1/HTML/schema/ifcelectricaldomain/qset/qto_electricappliancebasequantities.htm" TargetMode="External"/><Relationship Id="rId1411" Type="http://schemas.openxmlformats.org/officeDocument/2006/relationships/hyperlink" Target="https://standards.buildingsmart.org/IFC/RELEASE/IFC4/ADD2_TC1/HTML/schema/ifcproductextension/pset/pset_spacecoveringrequirements.htm" TargetMode="External"/><Relationship Id="rId1649" Type="http://schemas.openxmlformats.org/officeDocument/2006/relationships/hyperlink" Target="https://standards.buildingsmart.org/IFC/RELEASE/IFC4/ADD2_TC1/HTML/schema/ifcelectricaldomain/pset/pset_protectivedevicetrippingunittypethermal.htm" TargetMode="External"/><Relationship Id="rId1856" Type="http://schemas.openxmlformats.org/officeDocument/2006/relationships/hyperlink" Target="https://standards.buildingsmart.org/IFC/RELEASE/IFC4/ADD2_TC1/HTML/schema/ifcsharedbldgserviceelements/pset/pset_soundattenuation.htm" TargetMode="External"/><Relationship Id="rId2907" Type="http://schemas.openxmlformats.org/officeDocument/2006/relationships/hyperlink" Target="https://standards.buildingsmart.org/IFC/RELEASE/IFC4/ADD2_TC1/HTML/schema/ifchvacdomain/pset/pset_filtertypecommon.htm" TargetMode="External"/><Relationship Id="rId3071" Type="http://schemas.openxmlformats.org/officeDocument/2006/relationships/hyperlink" Target="https://standards.buildingsmart.org/IFC/RELEASE/IFC4/ADD2_TC1/HTML/schema/ifcsharedbldgelements/pset/pset_doorwindowglazingtype.htm" TargetMode="External"/><Relationship Id="rId1509" Type="http://schemas.openxmlformats.org/officeDocument/2006/relationships/hyperlink" Target="https://standards.buildingsmart.org/IFC/RELEASE/IFC4/ADD2_TC1/HTML/schema/ifchvacdomain/pset/pset_flowmetertypewatermeter.htm" TargetMode="External"/><Relationship Id="rId1716" Type="http://schemas.openxmlformats.org/officeDocument/2006/relationships/hyperlink" Target="https://standards.buildingsmart.org/IFC/RELEASE/IFC4/ADD2_TC1/HTML/schema/ifchvacdomain/pset/pset_spaceheatertypecommon.htm" TargetMode="External"/><Relationship Id="rId1923" Type="http://schemas.openxmlformats.org/officeDocument/2006/relationships/hyperlink" Target="https://standards.buildingsmart.org/IFC/RELEASE/IFC4/ADD2_TC1/HTML/schema/ifcprofileresource/pset/pset_profilemechanical.htm" TargetMode="External"/><Relationship Id="rId3169" Type="http://schemas.openxmlformats.org/officeDocument/2006/relationships/hyperlink" Target="https://standards.buildingsmart.org/IFC/RELEASE/IFC4/ADD2_TC1/HTML/schema/ifcsharedbldgelements/pset/pset_windowcommon.htm" TargetMode="External"/><Relationship Id="rId3376" Type="http://schemas.openxmlformats.org/officeDocument/2006/relationships/hyperlink" Target="https://standards.buildingsmart.org/IFC/RELEASE/IFC4/ADD2_TC1/HTML/schema/ifcplumbingfireprotectiondomain/pset/pset_wasteterminaltypegullysump.htm" TargetMode="External"/><Relationship Id="rId3583" Type="http://schemas.openxmlformats.org/officeDocument/2006/relationships/hyperlink" Target="https://standards.buildingsmart.org/IFC/RELEASE/IFC4/ADD2_TC1/HTML/schema/ifcelectricaldomain/pset/pset_protectivedevicebreakerunitipicurve.htm" TargetMode="External"/><Relationship Id="rId297" Type="http://schemas.openxmlformats.org/officeDocument/2006/relationships/hyperlink" Target="https://standards.buildingsmart.org/IFC/RELEASE/IFC4/ADD2_TC1/HTML/schema/ifcstructuralanalysisdomain/lexical/ifcstructuralcurveactivitytypeenum.htm" TargetMode="External"/><Relationship Id="rId2185" Type="http://schemas.openxmlformats.org/officeDocument/2006/relationships/hyperlink" Target="https://standards.buildingsmart.org/IFC/RELEASE/IFC4/ADD2_TC1/HTML/schema/ifcproductextension/pset/pset_buildingcommon.htm" TargetMode="External"/><Relationship Id="rId2392" Type="http://schemas.openxmlformats.org/officeDocument/2006/relationships/hyperlink" Target="https://standards.buildingsmart.org/IFC/RELEASE/IFC4/ADD2_TC1/HTML/schema/ifcelectricaldomain/pset/pset_lightfixturetypecommon.htm" TargetMode="External"/><Relationship Id="rId3029" Type="http://schemas.openxmlformats.org/officeDocument/2006/relationships/hyperlink" Target="https://standards.buildingsmart.org/IFC/RELEASE/IFC4/ADD2_TC1/HTML/schema/ifchvacdomain/pset/pset_valvetypedrawoffcock.htm" TargetMode="External"/><Relationship Id="rId3236" Type="http://schemas.openxmlformats.org/officeDocument/2006/relationships/hyperlink" Target="https://standards.buildingsmart.org/IFC/RELEASE/IFC4/ADD2_TC1/HTML/schema/ifchvacdomain/pset/pset_tanktypecommon.htm" TargetMode="External"/><Relationship Id="rId157" Type="http://schemas.openxmlformats.org/officeDocument/2006/relationships/hyperlink" Target="https://standards.buildingsmart.org/IFC/RELEASE/IFC4/ADD2_TC1/HTML/schema/ifcutilityresource/lexical/ifcchangeactionenum.htm" TargetMode="External"/><Relationship Id="rId364" Type="http://schemas.openxmlformats.org/officeDocument/2006/relationships/hyperlink" Target="https://standards.buildingsmart.org/IFC/RELEASE/IFC4/ADD2_TC1/HTML/schema/ifcstructuralloadresource/lexical/ifcmodulusofsubgradereactionselect.htm" TargetMode="External"/><Relationship Id="rId2045" Type="http://schemas.openxmlformats.org/officeDocument/2006/relationships/hyperlink" Target="https://standards.buildingsmart.org/IFC/RELEASE/IFC4/ADD2_TC1/HTML/schema/ifcconstructionmgmtdomain/pset/pset_constructionresource.htm" TargetMode="External"/><Relationship Id="rId2697" Type="http://schemas.openxmlformats.org/officeDocument/2006/relationships/hyperlink" Target="https://standards.buildingsmart.org/IFC/RELEASE/IFC4/ADD2_TC1/HTML/schema/ifcstructuralanalysisdomain/pset/pset_structuralsurfacemembervaryingthickness.htm" TargetMode="External"/><Relationship Id="rId3443" Type="http://schemas.openxmlformats.org/officeDocument/2006/relationships/hyperlink" Target="https://standards.buildingsmart.org/IFC/RELEASE/IFC4/ADD2_TC1/HTML/schema/ifchvacdomain/pset/pset_pumptypecommon.htm" TargetMode="External"/><Relationship Id="rId3650" Type="http://schemas.openxmlformats.org/officeDocument/2006/relationships/hyperlink" Target="https://standards.buildingsmart.org/IFC/RELEASE/IFC4/ADD2_TC1/HTML/schema/ifcsharedfacilitieselements/pset/pset_asset.htm" TargetMode="External"/><Relationship Id="rId3748" Type="http://schemas.openxmlformats.org/officeDocument/2006/relationships/hyperlink" Target="https://standards.buildingsmart.org/IFC/RELEASE/IFC4/ADD2_TC1/HTML/schema/ifcplumbingfireprotectiondomain/pset/pset_firesuppressionterminaltypesprinkler.htm" TargetMode="External"/><Relationship Id="rId571" Type="http://schemas.openxmlformats.org/officeDocument/2006/relationships/hyperlink" Target="https://standards.buildingsmart.org/IFC/RELEASE/IFC4/ADD2_TC1/HTML/schema/ifcsharedbldgserviceelements/lexical/ifcdistributionchamberelementtype.htm" TargetMode="External"/><Relationship Id="rId669" Type="http://schemas.openxmlformats.org/officeDocument/2006/relationships/hyperlink" Target="https://standards.buildingsmart.org/IFC/RELEASE/IFC4/ADD2_TC1/HTML/schema/ifcsharedbldgserviceelements/lexical/ifcflowcontrollertype.htm" TargetMode="External"/><Relationship Id="rId876" Type="http://schemas.openxmlformats.org/officeDocument/2006/relationships/hyperlink" Target="https://standards.buildingsmart.org/IFC/RELEASE/IFC4/ADD2_TC1/HTML/schema/ifchvacdomain/lexical/ifcpump.htm" TargetMode="External"/><Relationship Id="rId1299" Type="http://schemas.openxmlformats.org/officeDocument/2006/relationships/hyperlink" Target="https://standards.buildingsmart.org/IFC/RELEASE/IFC4/ADD2_TC1/HTML/schema/ifcgeometricmodelresource/lexical/ifctaperedsweptareaprofiles.htm" TargetMode="External"/><Relationship Id="rId2252" Type="http://schemas.openxmlformats.org/officeDocument/2006/relationships/hyperlink" Target="https://standards.buildingsmart.org/IFC/RELEASE/IFC4/ADD2_TC1/HTML/schema/ifchvacdomain/pset/pset_pumpphistory.htm" TargetMode="External"/><Relationship Id="rId2557" Type="http://schemas.openxmlformats.org/officeDocument/2006/relationships/hyperlink" Target="https://standards.buildingsmart.org/IFC/RELEASE/IFC4/ADD2_TC1/HTML/schema/ifcsharedbldgserviceelements/pset/pset_airsidesysteminformation.htm" TargetMode="External"/><Relationship Id="rId3303" Type="http://schemas.openxmlformats.org/officeDocument/2006/relationships/hyperlink" Target="https://standards.buildingsmart.org/IFC/RELEASE/IFC4/ADD2_TC1/HTML/schema/ifchvacdomain/pset/pset_fanphistory.htm" TargetMode="External"/><Relationship Id="rId3510" Type="http://schemas.openxmlformats.org/officeDocument/2006/relationships/hyperlink" Target="https://standards.buildingsmart.org/IFC/RELEASE/IFC4/ADD2_TC1/HTML/schema/ifchvacdomain/pset/pset_coiltypehydronic.htm" TargetMode="External"/><Relationship Id="rId3608" Type="http://schemas.openxmlformats.org/officeDocument/2006/relationships/hyperlink" Target="https://standards.buildingsmart.org/IFC/RELEASE/IFC4/ADD2_TC1/HTML/schema/ifcplumbingfireprotectiondomain/pset/pset_sanitaryterminaltypebath.htm" TargetMode="External"/><Relationship Id="rId224" Type="http://schemas.openxmlformats.org/officeDocument/2006/relationships/hyperlink" Target="https://standards.buildingsmart.org/IFC/RELEASE/IFC4/ADD2_TC1/HTML/schema/ifcproductextension/lexical/ifcgridtypeenum.htm" TargetMode="External"/><Relationship Id="rId431" Type="http://schemas.openxmlformats.org/officeDocument/2006/relationships/hyperlink" Target="https://standards.buildingsmart.org/IFC/RELEASE/IFC4/ADD2_TC1/HTML/schema/ifcpresentationappearanceresource/lexical/ifcblobtexture.htm" TargetMode="External"/><Relationship Id="rId529" Type="http://schemas.openxmlformats.org/officeDocument/2006/relationships/hyperlink" Target="https://standards.buildingsmart.org/IFC/RELEASE/IFC4/ADD2_TC1/HTML/schema/ifckernel/lexical/ifccontrol.htm" TargetMode="External"/><Relationship Id="rId736" Type="http://schemas.openxmlformats.org/officeDocument/2006/relationships/hyperlink" Target="https://standards.buildingsmart.org/IFC/RELEASE/IFC4/ADD2_TC1/HTML/schema/ifcpresentationorganizationresource/lexical/ifclightsourceambient.htm" TargetMode="External"/><Relationship Id="rId1061" Type="http://schemas.openxmlformats.org/officeDocument/2006/relationships/hyperlink" Target="https://standards.buildingsmart.org/IFC/RELEASE/IFC4/ADD2_TC1/HTML/schema/ifctopologyresource/lexical/ifcsubedge.htm" TargetMode="External"/><Relationship Id="rId1159" Type="http://schemas.openxmlformats.org/officeDocument/2006/relationships/hyperlink" Target="https://standards.buildingsmart.org/IFC/RELEASE/IFC4/ADD2_TC1/HTML/schema/ifcarchitecturedomain/lexical/ifcwindowstyle.htm" TargetMode="External"/><Relationship Id="rId1366" Type="http://schemas.openxmlformats.org/officeDocument/2006/relationships/hyperlink" Target="https://standards.buildingsmart.org/IFC/RELEASE/IFC4/ADD2_TC1/HTML/schema/ifcelectricaldomain/pset/pset_cablesegmenttypecoresegment.htm" TargetMode="External"/><Relationship Id="rId2112" Type="http://schemas.openxmlformats.org/officeDocument/2006/relationships/hyperlink" Target="https://standards.buildingsmart.org/IFC/RELEASE/IFC4/ADD2_TC1/HTML/schema/ifcsharedbldgelements/pset/pset_slabcommon.htm" TargetMode="External"/><Relationship Id="rId2417" Type="http://schemas.openxmlformats.org/officeDocument/2006/relationships/hyperlink" Target="https://standards.buildingsmart.org/IFC/RELEASE/IFC4/ADD2_TC1/HTML/schema/ifchvacdomain/pset/pset_dampertypecommon.htm" TargetMode="External"/><Relationship Id="rId2764" Type="http://schemas.openxmlformats.org/officeDocument/2006/relationships/hyperlink" Target="https://standards.buildingsmart.org/IFC/RELEASE/IFC4/ADD2_TC1/HTML/schema/ifcsharedcomponentelements/pset/pset_discreteaccessoryladdertrussconnector.htm" TargetMode="External"/><Relationship Id="rId2971" Type="http://schemas.openxmlformats.org/officeDocument/2006/relationships/hyperlink" Target="https://standards.buildingsmart.org/IFC/RELEASE/IFC4/ADD2_TC1/HTML/schema/ifcsharedbldgelements/pset/pset_buildingelementproxyprovisionforvoid.htm" TargetMode="External"/><Relationship Id="rId943" Type="http://schemas.openxmlformats.org/officeDocument/2006/relationships/hyperlink" Target="https://standards.buildingsmart.org/IFC/RELEASE/IFC4/ADD2_TC1/HTML/schema/ifckernel/lexical/ifcreldefinesbytype.htm" TargetMode="External"/><Relationship Id="rId1019" Type="http://schemas.openxmlformats.org/officeDocument/2006/relationships/hyperlink" Target="https://standards.buildingsmart.org/IFC/RELEASE/IFC4/ADD2_TC1/HTML/schema/ifcstructuralanalysisdomain/lexical/ifcstructuralaction.htm" TargetMode="External"/><Relationship Id="rId1573" Type="http://schemas.openxmlformats.org/officeDocument/2006/relationships/hyperlink" Target="https://standards.buildingsmart.org/IFC/RELEASE/IFC4/ADD2_TC1/HTML/schema/ifcelectricaldomain/pset/pset_protectivedevicetrippingfunctionscurve.htm" TargetMode="External"/><Relationship Id="rId1780" Type="http://schemas.openxmlformats.org/officeDocument/2006/relationships/hyperlink" Target="https://standards.buildingsmart.org/IFC/RELEASE/IFC4/ADD2_TC1/HTML/schema/ifcproductextension/pset/pset_civilelementcommon.htm" TargetMode="External"/><Relationship Id="rId1878" Type="http://schemas.openxmlformats.org/officeDocument/2006/relationships/hyperlink" Target="https://standards.buildingsmart.org/IFC/RELEASE/IFC4/ADD2_TC1/HTML/schema/ifchvacdomain/pset/pset_airterminaltypecommon.htm" TargetMode="External"/><Relationship Id="rId2624" Type="http://schemas.openxmlformats.org/officeDocument/2006/relationships/hyperlink" Target="https://standards.buildingsmart.org/IFC/RELEASE/IFC4/ADD2_TC1/HTML/schema/ifcelectricaldomain/pset/pset_lightfixturetypecommon.htm" TargetMode="External"/><Relationship Id="rId2831" Type="http://schemas.openxmlformats.org/officeDocument/2006/relationships/hyperlink" Target="https://standards.buildingsmart.org/IFC/RELEASE/IFC4/ADD2_TC1/HTML/schema/ifcsharedbldgelements/pset/pset_slabcommon.htm" TargetMode="External"/><Relationship Id="rId2929" Type="http://schemas.openxmlformats.org/officeDocument/2006/relationships/hyperlink" Target="https://standards.buildingsmart.org/IFC/RELEASE/IFC4/ADD2_TC1/HTML/schema/ifcsharedmgmtelements/pset/pset_projectordermaintenanceworkorder.htm" TargetMode="External"/><Relationship Id="rId72" Type="http://schemas.openxmlformats.org/officeDocument/2006/relationships/hyperlink" Target="https://standards.buildingsmart.org/IFC/RELEASE/IFC4/ADD2_TC1/HTML/schema/ifcmeasureresource/lexical/ifcluminousintensitydistributionmeasure.htm" TargetMode="External"/><Relationship Id="rId803" Type="http://schemas.openxmlformats.org/officeDocument/2006/relationships/hyperlink" Target="https://standards.buildingsmart.org/IFC/RELEASE/IFC4/ADD2_TC1/HTML/schema/ifcsharedmgmtelements/lexical/ifcpermit.htm" TargetMode="External"/><Relationship Id="rId1226" Type="http://schemas.openxmlformats.org/officeDocument/2006/relationships/hyperlink" Target="https://standards.buildingsmart.org/IFC/RELEASE/IFC4/ADD2_TC1/HTML/schema/ifcelectricaldomain/qset/qto_motorconnectionbasequantities.htm" TargetMode="External"/><Relationship Id="rId1433" Type="http://schemas.openxmlformats.org/officeDocument/2006/relationships/hyperlink" Target="https://standards.buildingsmart.org/IFC/RELEASE/IFC4/ADD2_TC1/HTML/schema/ifcmaterialresource/pset/pset_materialoptical.htm" TargetMode="External"/><Relationship Id="rId1640" Type="http://schemas.openxmlformats.org/officeDocument/2006/relationships/hyperlink" Target="https://standards.buildingsmart.org/IFC/RELEASE/IFC4/ADD2_TC1/HTML/schema/ifchvacdomain/pset/pset_airtoairheatrecoveryphistory.htm" TargetMode="External"/><Relationship Id="rId1738" Type="http://schemas.openxmlformats.org/officeDocument/2006/relationships/hyperlink" Target="https://standards.buildingsmart.org/IFC/RELEASE/IFC4/ADD2_TC1/HTML/schema/ifcsharedbldgelements/pset/pset_membercommon.htm" TargetMode="External"/><Relationship Id="rId3093" Type="http://schemas.openxmlformats.org/officeDocument/2006/relationships/hyperlink" Target="https://standards.buildingsmart.org/IFC/RELEASE/IFC4/ADD2_TC1/HTML/schema/ifchvacdomain/pset/pset_filtertypeairparticlefilter.htm" TargetMode="External"/><Relationship Id="rId1500" Type="http://schemas.openxmlformats.org/officeDocument/2006/relationships/hyperlink" Target="https://standards.buildingsmart.org/IFC/RELEASE/IFC4/ADD2_TC1/HTML/schema/ifchvacdomain/pset/pset_evaporatorphistory.htm" TargetMode="External"/><Relationship Id="rId1945" Type="http://schemas.openxmlformats.org/officeDocument/2006/relationships/hyperlink" Target="https://standards.buildingsmart.org/IFC/RELEASE/IFC4/ADD2_TC1/HTML/schema/ifcbuildingcontrolsdomain/pset/pset_sensortypepressuresensor.htm" TargetMode="External"/><Relationship Id="rId3160" Type="http://schemas.openxmlformats.org/officeDocument/2006/relationships/hyperlink" Target="https://standards.buildingsmart.org/IFC/RELEASE/IFC4/ADD2_TC1/HTML/schema/ifcsharedbldgelements/pset/pset_curtainwallcommon.htm" TargetMode="External"/><Relationship Id="rId3398" Type="http://schemas.openxmlformats.org/officeDocument/2006/relationships/hyperlink" Target="https://standards.buildingsmart.org/IFC/RELEASE/IFC4/ADD2_TC1/HTML/schema/ifcprofileresource/pset/pset_profilearbitraryhollowcore.htm" TargetMode="External"/><Relationship Id="rId1805" Type="http://schemas.openxmlformats.org/officeDocument/2006/relationships/hyperlink" Target="https://standards.buildingsmart.org/IFC/RELEASE/IFC4/ADD2_TC1/HTML/schema/ifcelectricaldomain/pset/pset_protectivedevicetrippingunittypecommon.htm" TargetMode="External"/><Relationship Id="rId3020" Type="http://schemas.openxmlformats.org/officeDocument/2006/relationships/hyperlink" Target="https://standards.buildingsmart.org/IFC/RELEASE/IFC4/ADD2_TC1/HTML/schema/ifcsharedbldgelements/pset/pset_coveringflooring.htm" TargetMode="External"/><Relationship Id="rId3258" Type="http://schemas.openxmlformats.org/officeDocument/2006/relationships/hyperlink" Target="https://standards.buildingsmart.org/IFC/RELEASE/IFC4/ADD2_TC1/HTML/schema/ifcsharedcomponentelements/pset/pset_discreteaccessoryedgefixingplate.htm" TargetMode="External"/><Relationship Id="rId3465" Type="http://schemas.openxmlformats.org/officeDocument/2006/relationships/hyperlink" Target="https://standards.buildingsmart.org/IFC/RELEASE/IFC4/ADD2_TC1/HTML/schema/ifcstructuralelementsdomain/pset/pset_concreteelementgeneral.htm" TargetMode="External"/><Relationship Id="rId3672" Type="http://schemas.openxmlformats.org/officeDocument/2006/relationships/hyperlink" Target="https://standards.buildingsmart.org/IFC/RELEASE/IFC4/ADD2_TC1/HTML/schema/ifcmaterialresource/pset/pset_materialwoodbasedpanel.htm" TargetMode="External"/><Relationship Id="rId179" Type="http://schemas.openxmlformats.org/officeDocument/2006/relationships/hyperlink" Target="https://standards.buildingsmart.org/IFC/RELEASE/IFC4/ADD2_TC1/HTML/schema/ifchvacdomain/lexical/ifcdampertypeenum.htm" TargetMode="External"/><Relationship Id="rId386" Type="http://schemas.openxmlformats.org/officeDocument/2006/relationships/hyperlink" Target="https://standards.buildingsmart.org/IFC/RELEASE/IFC4/ADD2_TC1/HTML/schema/ifcpresentationappearanceresource/lexical/ifcsurfacestyleelementselect.htm" TargetMode="External"/><Relationship Id="rId593" Type="http://schemas.openxmlformats.org/officeDocument/2006/relationships/hyperlink" Target="https://standards.buildingsmart.org/IFC/RELEASE/IFC4/ADD2_TC1/HTML/schema/ifchvacdomain/lexical/ifcductfittingtype.htm" TargetMode="External"/><Relationship Id="rId2067" Type="http://schemas.openxmlformats.org/officeDocument/2006/relationships/hyperlink" Target="https://standards.buildingsmart.org/IFC/RELEASE/IFC4/ADD2_TC1/HTML/schema/ifcstructuralelementsdomain/pset/pset_concreteelementgeneral.htm" TargetMode="External"/><Relationship Id="rId2274" Type="http://schemas.openxmlformats.org/officeDocument/2006/relationships/hyperlink" Target="https://standards.buildingsmart.org/IFC/RELEASE/IFC4/ADD2_TC1/HTML/schema/ifcsharedbldgserviceelements/pset/pset_distributionporttypeduct.htm" TargetMode="External"/><Relationship Id="rId2481" Type="http://schemas.openxmlformats.org/officeDocument/2006/relationships/hyperlink" Target="https://standards.buildingsmart.org/IFC/RELEASE/IFC4/ADD2_TC1/HTML/schema/ifcelectricaldomain/pset/pset_cablecarriersegmenttypecabletraysegment.htm" TargetMode="External"/><Relationship Id="rId3118" Type="http://schemas.openxmlformats.org/officeDocument/2006/relationships/hyperlink" Target="https://standards.buildingsmart.org/IFC/RELEASE/IFC4/ADD2_TC1/HTML/schema/ifcsharedbldgserviceelements/pset/pset_distributionportphistoryduct.htm" TargetMode="External"/><Relationship Id="rId3325" Type="http://schemas.openxmlformats.org/officeDocument/2006/relationships/hyperlink" Target="https://standards.buildingsmart.org/IFC/RELEASE/IFC4/ADD2_TC1/HTML/schema/ifcsharedfacilitieselements/pset/pset_servicelifefactors.htm" TargetMode="External"/><Relationship Id="rId3532" Type="http://schemas.openxmlformats.org/officeDocument/2006/relationships/hyperlink" Target="https://standards.buildingsmart.org/IFC/RELEASE/IFC4/ADD2_TC1/HTML/schema/ifcsharedbldgserviceelements/pset/pset_distributionchamberelementtypeformedduct.htm" TargetMode="External"/><Relationship Id="rId246" Type="http://schemas.openxmlformats.org/officeDocument/2006/relationships/hyperlink" Target="https://standards.buildingsmart.org/IFC/RELEASE/IFC4/ADD2_TC1/HTML/schema/ifckernel/lexical/ifcobjecttypeenum.htm" TargetMode="External"/><Relationship Id="rId453" Type="http://schemas.openxmlformats.org/officeDocument/2006/relationships/hyperlink" Target="https://standards.buildingsmart.org/IFC/RELEASE/IFC4/ADD2_TC1/HTML/schema/ifcsharedcomponentelements/lexical/ifcbuildingelementpart.htm" TargetMode="External"/><Relationship Id="rId660" Type="http://schemas.openxmlformats.org/officeDocument/2006/relationships/hyperlink" Target="https://standards.buildingsmart.org/IFC/RELEASE/IFC4/ADD2_TC1/HTML/schema/ifcpresentationappearanceresource/lexical/ifcfillareastyle.htm" TargetMode="External"/><Relationship Id="rId898" Type="http://schemas.openxmlformats.org/officeDocument/2006/relationships/hyperlink" Target="https://standards.buildingsmart.org/IFC/RELEASE/IFC4/ADD2_TC1/HTML/schema/ifcconstraintresource/lexical/ifcreference.htm" TargetMode="External"/><Relationship Id="rId1083" Type="http://schemas.openxmlformats.org/officeDocument/2006/relationships/hyperlink" Target="https://standards.buildingsmart.org/IFC/RELEASE/IFC4/ADD2_TC1/HTML/schema/ifcsharedfacilitieselements/lexical/ifcsystemfurnitureelement.htm" TargetMode="External"/><Relationship Id="rId1290" Type="http://schemas.openxmlformats.org/officeDocument/2006/relationships/hyperlink" Target="https://standards.buildingsmart.org/IFC/RELEASE/IFC4/ADD2_TC1/HTML/schema/ifcgeometryresource/lexical/ifcsameaxis2placement.htm" TargetMode="External"/><Relationship Id="rId2134" Type="http://schemas.openxmlformats.org/officeDocument/2006/relationships/hyperlink" Target="https://standards.buildingsmart.org/IFC/RELEASE/IFC4/ADD2_TC1/HTML/schema/ifchvacdomain/pset/pset_medicaldevicetypecommon.htm" TargetMode="External"/><Relationship Id="rId2341" Type="http://schemas.openxmlformats.org/officeDocument/2006/relationships/hyperlink" Target="https://standards.buildingsmart.org/IFC/RELEASE/IFC4/ADD2_TC1/HTML/schema/ifcprofileresource/pset/pset_profilearbitrarydoublet.htm" TargetMode="External"/><Relationship Id="rId2579" Type="http://schemas.openxmlformats.org/officeDocument/2006/relationships/hyperlink" Target="https://standards.buildingsmart.org/IFC/RELEASE/IFC4/ADD2_TC1/HTML/schema/ifcprofileresource/pset/pset_profilemechanical.htm" TargetMode="External"/><Relationship Id="rId2786" Type="http://schemas.openxmlformats.org/officeDocument/2006/relationships/hyperlink" Target="https://standards.buildingsmart.org/IFC/RELEASE/IFC4/ADD2_TC1/HTML/schema/ifcelectricaldomain/pset/pset_protectivedevicetrippingfunctiongcurve.htm" TargetMode="External"/><Relationship Id="rId2993" Type="http://schemas.openxmlformats.org/officeDocument/2006/relationships/hyperlink" Target="https://standards.buildingsmart.org/IFC/RELEASE/IFC4/ADD2_TC1/HTML/schema/ifchvacdomain/pset/pset_coiltypehydronic.htm" TargetMode="External"/><Relationship Id="rId106" Type="http://schemas.openxmlformats.org/officeDocument/2006/relationships/hyperlink" Target="https://standards.buildingsmart.org/IFC/RELEASE/IFC4/ADD2_TC1/HTML/schema/ifcmeasureresource/lexical/ifcdynamicviscositymeasure.htm" TargetMode="External"/><Relationship Id="rId313" Type="http://schemas.openxmlformats.org/officeDocument/2006/relationships/hyperlink" Target="https://standards.buildingsmart.org/IFC/RELEASE/IFC4/ADD2_TC1/HTML/schema/ifcelectricaldomain/lexical/ifctransformertypeenum.htm" TargetMode="External"/><Relationship Id="rId758" Type="http://schemas.openxmlformats.org/officeDocument/2006/relationships/hyperlink" Target="https://standards.buildingsmart.org/IFC/RELEASE/IFC4/ADD2_TC1/HTML/schema/ifcmaterialresource/lexical/ifcmateriallist.htm" TargetMode="External"/><Relationship Id="rId965" Type="http://schemas.openxmlformats.org/officeDocument/2006/relationships/hyperlink" Target="https://standards.buildingsmart.org/IFC/RELEASE/IFC4/ADD2_TC1/HTML/schema/ifcdatetimeresource/lexical/ifcresourcetime.htm" TargetMode="External"/><Relationship Id="rId1150" Type="http://schemas.openxmlformats.org/officeDocument/2006/relationships/hyperlink" Target="https://standards.buildingsmart.org/IFC/RELEASE/IFC4/ADD2_TC1/HTML/schema/ifcsharedbldgelements/lexical/ifcwallelementedcase.htm" TargetMode="External"/><Relationship Id="rId1388" Type="http://schemas.openxmlformats.org/officeDocument/2006/relationships/hyperlink" Target="https://standards.buildingsmart.org/IFC/RELEASE/IFC4/ADD2_TC1/HTML/schema/ifchvacdomain/pset/pset_spaceheatertyperadiator.htm" TargetMode="External"/><Relationship Id="rId1595" Type="http://schemas.openxmlformats.org/officeDocument/2006/relationships/hyperlink" Target="https://standards.buildingsmart.org/IFC/RELEASE/IFC4/ADD2_TC1/HTML/schema/ifcsharedbldgelements/pset/pset_windowcommon.htm" TargetMode="External"/><Relationship Id="rId2439" Type="http://schemas.openxmlformats.org/officeDocument/2006/relationships/hyperlink" Target="https://standards.buildingsmart.org/IFC/RELEASE/IFC4/ADD2_TC1/HTML/schema/ifcsharedfacilitieselements/pset/pset_systemfurnitureelementtypeworksurface.htm" TargetMode="External"/><Relationship Id="rId2646" Type="http://schemas.openxmlformats.org/officeDocument/2006/relationships/hyperlink" Target="https://standards.buildingsmart.org/IFC/RELEASE/IFC4/ADD2_TC1/HTML/schema/ifcelectricaldomain/pset/pset_protectivedevicetrippingfunctionicurve.htm" TargetMode="External"/><Relationship Id="rId2853" Type="http://schemas.openxmlformats.org/officeDocument/2006/relationships/hyperlink" Target="https://standards.buildingsmart.org/IFC/RELEASE/IFC4/ADD2_TC1/HTML/schema/ifcplumbingfireprotectiondomain/pset/pset_sanitaryterminaltypecistern.htm" TargetMode="External"/><Relationship Id="rId94" Type="http://schemas.openxmlformats.org/officeDocument/2006/relationships/hyperlink" Target="https://standards.buildingsmart.org/IFC/RELEASE/IFC4/ADD2_TC1/HTML/schema/ifcmeasureresource/lexical/ifcfrequencymeasure.htm" TargetMode="External"/><Relationship Id="rId520" Type="http://schemas.openxmlformats.org/officeDocument/2006/relationships/hyperlink" Target="https://standards.buildingsmart.org/IFC/RELEASE/IFC4/ADD2_TC1/HTML/schema/ifcconstructionmgmtdomain/lexical/ifcconstructionequipmentresourcetype.htm" TargetMode="External"/><Relationship Id="rId618" Type="http://schemas.openxmlformats.org/officeDocument/2006/relationships/hyperlink" Target="https://standards.buildingsmart.org/IFC/RELEASE/IFC4/ADD2_TC1/HTML/schema/ifcsharedcomponentelements/lexical/ifcelementcomponenttype.htm" TargetMode="External"/><Relationship Id="rId825" Type="http://schemas.openxmlformats.org/officeDocument/2006/relationships/hyperlink" Target="https://standards.buildingsmart.org/IFC/RELEASE/IFC4/ADD2_TC1/HTML/schema/ifcgeometricmodelresource/lexical/ifcpolygonalboundedhalfspace.htm" TargetMode="External"/><Relationship Id="rId1248" Type="http://schemas.openxmlformats.org/officeDocument/2006/relationships/hyperlink" Target="https://standards.buildingsmart.org/IFC/RELEASE/IFC4/ADD2_TC1/HTML/schema/ifcplumbingfireprotectiondomain/qset/qto_stackterminalbasequantities.htm" TargetMode="External"/><Relationship Id="rId1455" Type="http://schemas.openxmlformats.org/officeDocument/2006/relationships/hyperlink" Target="https://standards.buildingsmart.org/IFC/RELEASE/IFC4/ADD2_TC1/HTML/schema/ifcelectricaldomain/pset/pset_audiovisualappliancetypedisplay.htm" TargetMode="External"/><Relationship Id="rId1662" Type="http://schemas.openxmlformats.org/officeDocument/2006/relationships/hyperlink" Target="https://standards.buildingsmart.org/IFC/RELEASE/IFC4/ADD2_TC1/HTML/schema/ifcsharedbldgelements/pset/pset_curtainwallcommon.htm" TargetMode="External"/><Relationship Id="rId2201" Type="http://schemas.openxmlformats.org/officeDocument/2006/relationships/hyperlink" Target="https://standards.buildingsmart.org/IFC/RELEASE/IFC4/ADD2_TC1/HTML/schema/ifchvacdomain/pset/pset_flowmetertypecommon.htm" TargetMode="External"/><Relationship Id="rId2506" Type="http://schemas.openxmlformats.org/officeDocument/2006/relationships/hyperlink" Target="https://standards.buildingsmart.org/IFC/RELEASE/IFC4/ADD2_TC1/HTML/schema/ifchvacdomain/pset/pset_tanktypecommon.htm" TargetMode="External"/><Relationship Id="rId1010" Type="http://schemas.openxmlformats.org/officeDocument/2006/relationships/hyperlink" Target="https://standards.buildingsmart.org/IFC/RELEASE/IFC4/ADD2_TC1/HTML/schema/ifcproductextension/lexical/ifcspatialzonetype.htm" TargetMode="External"/><Relationship Id="rId1108" Type="http://schemas.openxmlformats.org/officeDocument/2006/relationships/hyperlink" Target="https://standards.buildingsmart.org/IFC/RELEASE/IFC4/ADD2_TC1/HTML/schema/ifcpresentationappearanceresource/lexical/ifctexturecoordinategenerator.htm" TargetMode="External"/><Relationship Id="rId1315" Type="http://schemas.openxmlformats.org/officeDocument/2006/relationships/hyperlink" Target="https://standards.buildingsmart.org/IFC/RELEASE/IFC4/ADD2_TC1/HTML/schema/ifcproductextension/pset/pset_buildingcommon.htm" TargetMode="External"/><Relationship Id="rId1967" Type="http://schemas.openxmlformats.org/officeDocument/2006/relationships/hyperlink" Target="https://standards.buildingsmart.org/IFC/RELEASE/IFC4/ADD2_TC1/HTML/schema/ifcsharedfacilitieselements/pset/pset_manufactureroccurrence.htm" TargetMode="External"/><Relationship Id="rId2713" Type="http://schemas.openxmlformats.org/officeDocument/2006/relationships/hyperlink" Target="https://standards.buildingsmart.org/IFC/RELEASE/IFC4/ADD2_TC1/HTML/schema/ifcstructuralelementsdomain/pset/pset_footingcommon.htm" TargetMode="External"/><Relationship Id="rId2920" Type="http://schemas.openxmlformats.org/officeDocument/2006/relationships/hyperlink" Target="https://standards.buildingsmart.org/IFC/RELEASE/IFC4/ADD2_TC1/HTML/schema/ifcmaterialresource/pset/pset_materialwater.htm" TargetMode="External"/><Relationship Id="rId1522" Type="http://schemas.openxmlformats.org/officeDocument/2006/relationships/hyperlink" Target="https://standards.buildingsmart.org/IFC/RELEASE/IFC4/ADD2_TC1/HTML/schema/ifcsharedbldgelements/pset/pset_staircommon.htm" TargetMode="External"/><Relationship Id="rId21" Type="http://schemas.openxmlformats.org/officeDocument/2006/relationships/hyperlink" Target="https://standards.buildingsmart.org/IFC/RELEASE/IFC4/ADD2_TC1/HTML/schema/ifcmeasureresource/lexical/ifctext.htm" TargetMode="External"/><Relationship Id="rId2089" Type="http://schemas.openxmlformats.org/officeDocument/2006/relationships/hyperlink" Target="https://standards.buildingsmart.org/IFC/RELEASE/IFC4/ADD2_TC1/HTML/schema/ifcproductextension/pset/pset_elementassemblycommon.htm" TargetMode="External"/><Relationship Id="rId3487" Type="http://schemas.openxmlformats.org/officeDocument/2006/relationships/hyperlink" Target="https://standards.buildingsmart.org/IFC/RELEASE/IFC4/ADD2_TC1/HTML/schema/ifcsharedbldgelements/pset/pset_wallcommon.htm" TargetMode="External"/><Relationship Id="rId3694" Type="http://schemas.openxmlformats.org/officeDocument/2006/relationships/hyperlink" Target="https://standards.buildingsmart.org/IFC/RELEASE/IFC4/ADD2_TC1/HTML/schema/ifchvacdomain/pset/pset_cooledbeamphistoryactive.htm" TargetMode="External"/><Relationship Id="rId2296" Type="http://schemas.openxmlformats.org/officeDocument/2006/relationships/hyperlink" Target="https://standards.buildingsmart.org/IFC/RELEASE/IFC4/ADD2_TC1/HTML/schema/ifcelectricaldomain/pset/pset_audiovisualappliancetypeplayer.htm" TargetMode="External"/><Relationship Id="rId3347" Type="http://schemas.openxmlformats.org/officeDocument/2006/relationships/hyperlink" Target="https://standards.buildingsmart.org/IFC/RELEASE/IFC4/ADD2_TC1/HTML/schema/ifcelectricaldomain/pset/pset_protectivedevicetrippingunittypethermal.htm" TargetMode="External"/><Relationship Id="rId3554" Type="http://schemas.openxmlformats.org/officeDocument/2006/relationships/hyperlink" Target="https://standards.buildingsmart.org/IFC/RELEASE/IFC4/ADD2_TC1/HTML/schema/ifcprofileresource/pset/pset_profilearbitraryhollowcore.htm" TargetMode="External"/><Relationship Id="rId3761" Type="http://schemas.openxmlformats.org/officeDocument/2006/relationships/hyperlink" Target="https://standards.buildingsmart.org/IFC/RELEASE/IFC4/ADD2_TC1/HTML/schema/ifcproductextension/pset/pset_annotationsurveyarea.htm" TargetMode="External"/><Relationship Id="rId268" Type="http://schemas.openxmlformats.org/officeDocument/2006/relationships/hyperlink" Target="https://standards.buildingsmart.org/IFC/RELEASE/IFC4/ADD2_TC1/HTML/schema/ifchvacdomain/lexical/ifcpumptypeenum.htm" TargetMode="External"/><Relationship Id="rId475" Type="http://schemas.openxmlformats.org/officeDocument/2006/relationships/hyperlink" Target="https://standards.buildingsmart.org/IFC/RELEASE/IFC4/ADD2_TC1/HTML/schema/ifcgeometryresource/lexical/ifccartesiantransformationoperator2d.htm" TargetMode="External"/><Relationship Id="rId682" Type="http://schemas.openxmlformats.org/officeDocument/2006/relationships/hyperlink" Target="https://standards.buildingsmart.org/IFC/RELEASE/IFC4/ADD2_TC1/HTML/schema/ifcsharedbldgserviceelements/lexical/ifcflowterminal.htm" TargetMode="External"/><Relationship Id="rId2156" Type="http://schemas.openxmlformats.org/officeDocument/2006/relationships/hyperlink" Target="https://standards.buildingsmart.org/IFC/RELEASE/IFC4/ADD2_TC1/HTML/schema/ifcelectricaldomain/pset/pset_electricdistributionboardtypecommon.htm" TargetMode="External"/><Relationship Id="rId2363" Type="http://schemas.openxmlformats.org/officeDocument/2006/relationships/hyperlink" Target="https://standards.buildingsmart.org/IFC/RELEASE/IFC4/ADD2_TC1/HTML/schema/ifcsharedfacilitieselements/pset/pset_servicelifefactors.htm" TargetMode="External"/><Relationship Id="rId2570" Type="http://schemas.openxmlformats.org/officeDocument/2006/relationships/hyperlink" Target="https://standards.buildingsmart.org/IFC/RELEASE/IFC4/ADD2_TC1/HTML/schema/ifcelectricaldomain/pset/pset_cablesegmentoccurrence.htm" TargetMode="External"/><Relationship Id="rId3207" Type="http://schemas.openxmlformats.org/officeDocument/2006/relationships/hyperlink" Target="https://standards.buildingsmart.org/IFC/RELEASE/IFC4/ADD2_TC1/HTML/schema/ifcstructuralelementsdomain/pset/pset_concreteelementgeneral.htm" TargetMode="External"/><Relationship Id="rId3414" Type="http://schemas.openxmlformats.org/officeDocument/2006/relationships/hyperlink" Target="https://standards.buildingsmart.org/IFC/RELEASE/IFC4/ADD2_TC1/HTML/schema/ifcsharedbldgserviceelements/pset/pset_spacethermaldesign.htm" TargetMode="External"/><Relationship Id="rId3621" Type="http://schemas.openxmlformats.org/officeDocument/2006/relationships/hyperlink" Target="https://standards.buildingsmart.org/IFC/RELEASE/IFC4/ADD2_TC1/HTML/schema/ifcprofileresource/pset/pset_profilearbitraryhollowcore.htm" TargetMode="External"/><Relationship Id="rId128" Type="http://schemas.openxmlformats.org/officeDocument/2006/relationships/hyperlink" Target="https://standards.buildingsmart.org/IFC/RELEASE/IFC4/ADD2_TC1/HTML/schema/ifcmeasureresource/lexical/ifcabsorbeddosemeasure.htm" TargetMode="External"/><Relationship Id="rId335" Type="http://schemas.openxmlformats.org/officeDocument/2006/relationships/hyperlink" Target="https://standards.buildingsmart.org/IFC/RELEASE/IFC4/ADD2_TC1/HTML/schema/ifcactorresource/lexical/ifcactorselect.htm" TargetMode="External"/><Relationship Id="rId542" Type="http://schemas.openxmlformats.org/officeDocument/2006/relationships/hyperlink" Target="https://standards.buildingsmart.org/IFC/RELEASE/IFC4/ADD2_TC1/HTML/schema/ifccostresource/lexical/ifccostvalue.htm" TargetMode="External"/><Relationship Id="rId1172" Type="http://schemas.openxmlformats.org/officeDocument/2006/relationships/hyperlink" Target="https://standards.buildingsmart.org/IFC/RELEASE/IFC4/ADD2_TC1/HTML/schema/ifcbuildingcontrolsdomain/qset/qto_alarmbasequantities.htm" TargetMode="External"/><Relationship Id="rId2016" Type="http://schemas.openxmlformats.org/officeDocument/2006/relationships/hyperlink" Target="https://standards.buildingsmart.org/IFC/RELEASE/IFC4/ADD2_TC1/HTML/schema/ifcproductextension/pset/pset_annotationlineofsight.htm" TargetMode="External"/><Relationship Id="rId2223" Type="http://schemas.openxmlformats.org/officeDocument/2006/relationships/hyperlink" Target="https://standards.buildingsmart.org/IFC/RELEASE/IFC4/ADD2_TC1/HTML/schema/ifcbuildingcontrolsdomain/pset/pset_actuatorphistory.htm" TargetMode="External"/><Relationship Id="rId2430" Type="http://schemas.openxmlformats.org/officeDocument/2006/relationships/hyperlink" Target="https://standards.buildingsmart.org/IFC/RELEASE/IFC4/ADD2_TC1/HTML/schema/ifcelectricaldomain/pset/pset_cablecarriersegmenttypecabletrunkingsegment.htm" TargetMode="External"/><Relationship Id="rId402" Type="http://schemas.openxmlformats.org/officeDocument/2006/relationships/hyperlink" Target="https://standards.buildingsmart.org/IFC/RELEASE/IFC4/ADD2_TC1/HTML/schema/ifcgeometricmodelresource/lexical/ifcadvancedbrepwithvoids.htm" TargetMode="External"/><Relationship Id="rId1032" Type="http://schemas.openxmlformats.org/officeDocument/2006/relationships/hyperlink" Target="https://standards.buildingsmart.org/IFC/RELEASE/IFC4/ADD2_TC1/HTML/schema/ifcstructuralanalysisdomain/lexical/ifcstructuralloadcase.htm" TargetMode="External"/><Relationship Id="rId1989" Type="http://schemas.openxmlformats.org/officeDocument/2006/relationships/hyperlink" Target="https://standards.buildingsmart.org/IFC/RELEASE/IFC4/ADD2_TC1/HTML/schema/ifchvacdomain/pset/pset_tanktypesectional.htm" TargetMode="External"/><Relationship Id="rId1849" Type="http://schemas.openxmlformats.org/officeDocument/2006/relationships/hyperlink" Target="https://standards.buildingsmart.org/IFC/RELEASE/IFC4/ADD2_TC1/HTML/schema/ifcproductextension/pset/pset_spacethermalrequirements.htm" TargetMode="External"/><Relationship Id="rId3064" Type="http://schemas.openxmlformats.org/officeDocument/2006/relationships/hyperlink" Target="https://standards.buildingsmart.org/IFC/RELEASE/IFC4/ADD2_TC1/HTML/schema/ifcsharedfacilitieselements/pset/pset_manufacturertypeinformation.htm" TargetMode="External"/><Relationship Id="rId192" Type="http://schemas.openxmlformats.org/officeDocument/2006/relationships/hyperlink" Target="https://standards.buildingsmart.org/IFC/RELEASE/IFC4/ADD2_TC1/HTML/schema/ifcarchitecturedomain/lexical/ifcdoorstyleoperationenum.htm" TargetMode="External"/><Relationship Id="rId1709" Type="http://schemas.openxmlformats.org/officeDocument/2006/relationships/hyperlink" Target="https://standards.buildingsmart.org/IFC/RELEASE/IFC4/ADD2_TC1/HTML/schema/ifcstructuralelementsdomain/pset/pset_tendoncommon.htm" TargetMode="External"/><Relationship Id="rId1916" Type="http://schemas.openxmlformats.org/officeDocument/2006/relationships/hyperlink" Target="https://standards.buildingsmart.org/IFC/RELEASE/IFC4/ADD2_TC1/HTML/schema/ifcelectricaldomain/pset/pset_electricflowstoragedevicetypecommon.htm" TargetMode="External"/><Relationship Id="rId3271" Type="http://schemas.openxmlformats.org/officeDocument/2006/relationships/hyperlink" Target="https://standards.buildingsmart.org/IFC/RELEASE/IFC4/ADD2_TC1/HTML/schema/ifcsharedbldgelements/pset/pset_doorcommon.htm" TargetMode="External"/><Relationship Id="rId2080" Type="http://schemas.openxmlformats.org/officeDocument/2006/relationships/hyperlink" Target="https://standards.buildingsmart.org/IFC/RELEASE/IFC4/ADD2_TC1/HTML/schema/ifcelectricaldomain/pset/pset_audiovisualappliancetypedisplay.htm" TargetMode="External"/><Relationship Id="rId3131" Type="http://schemas.openxmlformats.org/officeDocument/2006/relationships/hyperlink" Target="https://standards.buildingsmart.org/IFC/RELEASE/IFC4/ADD2_TC1/HTML/schema/ifcprofileresource/pset/pset_profilearbitrarydoublet.htm" TargetMode="External"/><Relationship Id="rId2897" Type="http://schemas.openxmlformats.org/officeDocument/2006/relationships/hyperlink" Target="https://standards.buildingsmart.org/IFC/RELEASE/IFC4/ADD2_TC1/HTML/schema/ifchvacdomain/pset/pset_tubebundletypecommon.htm" TargetMode="External"/><Relationship Id="rId869" Type="http://schemas.openxmlformats.org/officeDocument/2006/relationships/hyperlink" Target="https://standards.buildingsmart.org/IFC/RELEASE/IFC4/ADD2_TC1/HTML/schema/ifckernel/lexical/ifcpropertytemplate.htm" TargetMode="External"/><Relationship Id="rId1499" Type="http://schemas.openxmlformats.org/officeDocument/2006/relationships/hyperlink" Target="https://standards.buildingsmart.org/IFC/RELEASE/IFC4/ADD2_TC1/HTML/schema/ifcmaterialresource/pset/pset_materialsteel.htm" TargetMode="External"/><Relationship Id="rId729" Type="http://schemas.openxmlformats.org/officeDocument/2006/relationships/hyperlink" Target="https://standards.buildingsmart.org/IFC/RELEASE/IFC4/ADD2_TC1/HTML/schema/ifcexternalreferenceresource/lexical/ifclibraryinformation.htm" TargetMode="External"/><Relationship Id="rId1359" Type="http://schemas.openxmlformats.org/officeDocument/2006/relationships/hyperlink" Target="https://standards.buildingsmart.org/IFC/RELEASE/IFC4/ADD2_TC1/HTML/schema/ifcsharedbldgserviceelements/pset/pset_distributionportphistoryduct.htm" TargetMode="External"/><Relationship Id="rId2757" Type="http://schemas.openxmlformats.org/officeDocument/2006/relationships/hyperlink" Target="https://standards.buildingsmart.org/IFC/RELEASE/IFC4/ADD2_TC1/HTML/schema/ifcelectricaldomain/pset/pset_lamptypecommon.htm" TargetMode="External"/><Relationship Id="rId2964" Type="http://schemas.openxmlformats.org/officeDocument/2006/relationships/hyperlink" Target="https://standards.buildingsmart.org/IFC/RELEASE/IFC4/ADD2_TC1/HTML/schema/ifcstructuralelementsdomain/pset/pset_reinforcementbarpitchofwall.htm" TargetMode="External"/><Relationship Id="rId936" Type="http://schemas.openxmlformats.org/officeDocument/2006/relationships/hyperlink" Target="https://standards.buildingsmart.org/IFC/RELEASE/IFC4/ADD2_TC1/HTML/schema/ifcsharedbldgelements/lexical/ifcrelcoversspaces.htm" TargetMode="External"/><Relationship Id="rId1219" Type="http://schemas.openxmlformats.org/officeDocument/2006/relationships/hyperlink" Target="https://standards.buildingsmart.org/IFC/RELEASE/IFC4/ADD2_TC1/HTML/schema/ifchvacdomain/qset/qto_humidifierbasequantities.htm" TargetMode="External"/><Relationship Id="rId1566" Type="http://schemas.openxmlformats.org/officeDocument/2006/relationships/hyperlink" Target="https://standards.buildingsmart.org/IFC/RELEASE/IFC4/ADD2_TC1/HTML/schema/ifcelectricaldomain/pset/pset_switchingdevicetypetoggleswitch.htm" TargetMode="External"/><Relationship Id="rId1773" Type="http://schemas.openxmlformats.org/officeDocument/2006/relationships/hyperlink" Target="https://standards.buildingsmart.org/IFC/RELEASE/IFC4/ADD2_TC1/HTML/schema/ifchvacdomain/pset/pset_cooledbeamtypecommon.htm" TargetMode="External"/><Relationship Id="rId1980" Type="http://schemas.openxmlformats.org/officeDocument/2006/relationships/hyperlink" Target="https://standards.buildingsmart.org/IFC/RELEASE/IFC4/ADD2_TC1/HTML/schema/ifcelectricaldomain/pset/pset_cablesegmenttypecoresegment.htm" TargetMode="External"/><Relationship Id="rId2617" Type="http://schemas.openxmlformats.org/officeDocument/2006/relationships/hyperlink" Target="https://standards.buildingsmart.org/IFC/RELEASE/IFC4/ADD2_TC1/HTML/schema/ifchvacdomain/pset/pset_valvephistory.htm" TargetMode="External"/><Relationship Id="rId2824" Type="http://schemas.openxmlformats.org/officeDocument/2006/relationships/hyperlink" Target="https://standards.buildingsmart.org/IFC/RELEASE/IFC4/ADD2_TC1/HTML/schema/ifcsharedmgmtelements/pset/pset_projectorderpurchaseorder.htm" TargetMode="External"/><Relationship Id="rId65" Type="http://schemas.openxmlformats.org/officeDocument/2006/relationships/hyperlink" Target="https://standards.buildingsmart.org/IFC/RELEASE/IFC4/ADD2_TC1/HTML/schema/ifcmeasureresource/lexical/ifcmassperlengthmeasure.htm" TargetMode="External"/><Relationship Id="rId1426" Type="http://schemas.openxmlformats.org/officeDocument/2006/relationships/hyperlink" Target="https://standards.buildingsmart.org/IFC/RELEASE/IFC4/ADD2_TC1/HTML/schema/ifcelectricaldomain/pset/pset_protectivedevicebreakerunitipicurve.htm" TargetMode="External"/><Relationship Id="rId1633" Type="http://schemas.openxmlformats.org/officeDocument/2006/relationships/hyperlink" Target="https://standards.buildingsmart.org/IFC/RELEASE/IFC4/ADD2_TC1/HTML/schema/ifchvacdomain/pset/pset_ductsilencertypecommon.htm" TargetMode="External"/><Relationship Id="rId1840" Type="http://schemas.openxmlformats.org/officeDocument/2006/relationships/hyperlink" Target="https://standards.buildingsmart.org/IFC/RELEASE/IFC4/ADD2_TC1/HTML/schema/ifcproductextension/pset/pset_spacethermalrequirements.htm" TargetMode="External"/><Relationship Id="rId1700" Type="http://schemas.openxmlformats.org/officeDocument/2006/relationships/hyperlink" Target="https://standards.buildingsmart.org/IFC/RELEASE/IFC4/ADD2_TC1/HTML/schema/ifcplumbingfireprotectiondomain/pset/pset_wasteterminaltypecommon.htm" TargetMode="External"/><Relationship Id="rId3598" Type="http://schemas.openxmlformats.org/officeDocument/2006/relationships/hyperlink" Target="https://standards.buildingsmart.org/IFC/RELEASE/IFC4/ADD2_TC1/HTML/schema/ifchvacdomain/pset/pset_dampertypecommon.htm" TargetMode="External"/><Relationship Id="rId3458" Type="http://schemas.openxmlformats.org/officeDocument/2006/relationships/hyperlink" Target="https://standards.buildingsmart.org/IFC/RELEASE/IFC4/ADD2_TC1/HTML/schema/ifchvacdomain/pset/pset_condenserphistory.htm" TargetMode="External"/><Relationship Id="rId3665" Type="http://schemas.openxmlformats.org/officeDocument/2006/relationships/hyperlink" Target="https://standards.buildingsmart.org/IFC/RELEASE/IFC4/ADD2_TC1/HTML/schema/ifchvacdomain/pset/pset_fancentrifugal.htm" TargetMode="External"/><Relationship Id="rId379" Type="http://schemas.openxmlformats.org/officeDocument/2006/relationships/hyperlink" Target="https://standards.buildingsmart.org/IFC/RELEASE/IFC4/ADD2_TC1/HTML/schema/ifcpresentationappearanceresource/lexical/ifcsizeselect.htm" TargetMode="External"/><Relationship Id="rId586" Type="http://schemas.openxmlformats.org/officeDocument/2006/relationships/hyperlink" Target="https://standards.buildingsmart.org/IFC/RELEASE/IFC4/ADD2_TC1/HTML/schema/ifcarchitecturedomain/lexical/ifcdoorpanelproperties.htm" TargetMode="External"/><Relationship Id="rId793" Type="http://schemas.openxmlformats.org/officeDocument/2006/relationships/hyperlink" Target="https://standards.buildingsmart.org/IFC/RELEASE/IFC4/ADD2_TC1/HTML/schema/ifctopologyresource/lexical/ifcorientededge.htm" TargetMode="External"/><Relationship Id="rId2267" Type="http://schemas.openxmlformats.org/officeDocument/2006/relationships/hyperlink" Target="https://standards.buildingsmart.org/IFC/RELEASE/IFC4/ADD2_TC1/HTML/schema/ifchvacdomain/pset/pset_pipefittingtypecommon.htm" TargetMode="External"/><Relationship Id="rId2474" Type="http://schemas.openxmlformats.org/officeDocument/2006/relationships/hyperlink" Target="https://standards.buildingsmart.org/IFC/RELEASE/IFC4/ADD2_TC1/HTML/schema/ifchvacdomain/pset/pset_vibrationisolatortypecommon.htm" TargetMode="External"/><Relationship Id="rId2681" Type="http://schemas.openxmlformats.org/officeDocument/2006/relationships/hyperlink" Target="https://standards.buildingsmart.org/IFC/RELEASE/IFC4/ADD2_TC1/HTML/schema/ifcstructuralelementsdomain/pset/pset_reinforcementbarpitchofslab.htm" TargetMode="External"/><Relationship Id="rId3318" Type="http://schemas.openxmlformats.org/officeDocument/2006/relationships/hyperlink" Target="https://standards.buildingsmart.org/IFC/RELEASE/IFC4/ADD2_TC1/HTML/schema/ifcsharedcomponentelements/pset/pset_discreteaccessorydiagonaltrussconnector.htm" TargetMode="External"/><Relationship Id="rId3525" Type="http://schemas.openxmlformats.org/officeDocument/2006/relationships/hyperlink" Target="https://standards.buildingsmart.org/IFC/RELEASE/IFC4/ADD2_TC1/HTML/schema/ifcproductextension/pset/pset_environmentalimpactvalues.htm" TargetMode="External"/><Relationship Id="rId239" Type="http://schemas.openxmlformats.org/officeDocument/2006/relationships/hyperlink" Target="https://standards.buildingsmart.org/IFC/RELEASE/IFC4/ADD2_TC1/HTML/schema/ifcconstraintresource/lexical/ifclogicaloperatorenum.htm" TargetMode="External"/><Relationship Id="rId446" Type="http://schemas.openxmlformats.org/officeDocument/2006/relationships/hyperlink" Target="https://standards.buildingsmart.org/IFC/RELEASE/IFC4/ADD2_TC1/HTML/schema/ifcgeometricmodelresource/lexical/ifcboxedhalfspace.htm" TargetMode="External"/><Relationship Id="rId653" Type="http://schemas.openxmlformats.org/officeDocument/2006/relationships/hyperlink" Target="https://standards.buildingsmart.org/IFC/RELEASE/IFC4/ADD2_TC1/HTML/schema/ifchvacdomain/lexical/ifcfan.htm" TargetMode="External"/><Relationship Id="rId1076" Type="http://schemas.openxmlformats.org/officeDocument/2006/relationships/hyperlink" Target="https://standards.buildingsmart.org/IFC/RELEASE/IFC4/ADD2_TC1/HTML/schema/ifcgeometricmodelresource/lexical/ifcsweptareasolid.htm" TargetMode="External"/><Relationship Id="rId1283" Type="http://schemas.openxmlformats.org/officeDocument/2006/relationships/hyperlink" Target="https://standards.buildingsmart.org/IFC/RELEASE/IFC4/ADD2_TC1/HTML/schema/ifctopologyresource/lexical/ifcloopheadtotail.htm" TargetMode="External"/><Relationship Id="rId1490" Type="http://schemas.openxmlformats.org/officeDocument/2006/relationships/hyperlink" Target="https://standards.buildingsmart.org/IFC/RELEASE/IFC4/ADD2_TC1/HTML/schema/ifcplumbingfireprotectiondomain/pset/pset_sanitaryterminaltypeurinal.htm" TargetMode="External"/><Relationship Id="rId2127" Type="http://schemas.openxmlformats.org/officeDocument/2006/relationships/hyperlink" Target="https://standards.buildingsmart.org/IFC/RELEASE/IFC4/ADD2_TC1/HTML/schema/ifchvacdomain/pset/pset_pipesegmenttypecommon.htm" TargetMode="External"/><Relationship Id="rId2334" Type="http://schemas.openxmlformats.org/officeDocument/2006/relationships/hyperlink" Target="https://standards.buildingsmart.org/IFC/RELEASE/IFC4/ADD2_TC1/HTML/schema/ifcprofileresource/pset/pset_profilearbitraryhollowcore.htm" TargetMode="External"/><Relationship Id="rId3732" Type="http://schemas.openxmlformats.org/officeDocument/2006/relationships/hyperlink" Target="https://standards.buildingsmart.org/IFC/RELEASE/IFC4/ADD2_TC1/HTML/schema/ifcelectricaldomain/pset/pset_protectivedevicetrippingunitcurrentadjustment.htm" TargetMode="External"/><Relationship Id="rId306" Type="http://schemas.openxmlformats.org/officeDocument/2006/relationships/hyperlink" Target="https://standards.buildingsmart.org/IFC/RELEASE/IFC4/ADD2_TC1/HTML/schema/ifchvacdomain/lexical/ifctanktypeenum.htm" TargetMode="External"/><Relationship Id="rId860" Type="http://schemas.openxmlformats.org/officeDocument/2006/relationships/hyperlink" Target="https://standards.buildingsmart.org/IFC/RELEASE/IFC4/ADD2_TC1/HTML/schema/ifcpropertyresource/lexical/ifcpropertyenumeratedvalue.htm" TargetMode="External"/><Relationship Id="rId1143" Type="http://schemas.openxmlformats.org/officeDocument/2006/relationships/hyperlink" Target="https://standards.buildingsmart.org/IFC/RELEASE/IFC4/ADD2_TC1/HTML/schema/ifctopologyresource/lexical/ifcvertexpoint.htm" TargetMode="External"/><Relationship Id="rId2541" Type="http://schemas.openxmlformats.org/officeDocument/2006/relationships/hyperlink" Target="https://standards.buildingsmart.org/IFC/RELEASE/IFC4/ADD2_TC1/HTML/schema/ifchvacdomain/pset/pset_fantypecommon.htm" TargetMode="External"/><Relationship Id="rId513" Type="http://schemas.openxmlformats.org/officeDocument/2006/relationships/hyperlink" Target="https://standards.buildingsmart.org/IFC/RELEASE/IFC4/ADD2_TC1/HTML/schema/ifcgeometricconstraintresource/lexical/ifcconnectiongeometry.htm" TargetMode="External"/><Relationship Id="rId720" Type="http://schemas.openxmlformats.org/officeDocument/2006/relationships/hyperlink" Target="https://standards.buildingsmart.org/IFC/RELEASE/IFC4/ADD2_TC1/HTML/schema/ifcdatetimeresource/lexical/ifcirregulartimeseriesvalue.htm" TargetMode="External"/><Relationship Id="rId1350" Type="http://schemas.openxmlformats.org/officeDocument/2006/relationships/hyperlink" Target="https://standards.buildingsmart.org/IFC/RELEASE/IFC4/ADD2_TC1/HTML/schema/ifcbuildingcontrolsdomain/pset/pset_sensortypewindsensor.htm" TargetMode="External"/><Relationship Id="rId2401" Type="http://schemas.openxmlformats.org/officeDocument/2006/relationships/hyperlink" Target="https://standards.buildingsmart.org/IFC/RELEASE/IFC4/ADD2_TC1/HTML/schema/ifcelectricaldomain/pset/pset_electricaldevicecommon.htm" TargetMode="External"/><Relationship Id="rId1003" Type="http://schemas.openxmlformats.org/officeDocument/2006/relationships/hyperlink" Target="https://standards.buildingsmart.org/IFC/RELEASE/IFC4/ADD2_TC1/HTML/schema/ifchvacdomain/lexical/ifcspaceheatertype.htm" TargetMode="External"/><Relationship Id="rId1210" Type="http://schemas.openxmlformats.org/officeDocument/2006/relationships/hyperlink" Target="https://standards.buildingsmart.org/IFC/RELEASE/IFC4/ADD2_TC1/HTML/schema/ifchvacdomain/qset/qto_evaporativecoolerbasequantities.htm" TargetMode="External"/><Relationship Id="rId3175" Type="http://schemas.openxmlformats.org/officeDocument/2006/relationships/hyperlink" Target="https://standards.buildingsmart.org/IFC/RELEASE/IFC4/ADD2_TC1/HTML/schema/ifcsharedbldgelements/pset/pset_doorcommon.htm" TargetMode="External"/><Relationship Id="rId3382" Type="http://schemas.openxmlformats.org/officeDocument/2006/relationships/hyperlink" Target="https://standards.buildingsmart.org/IFC/RELEASE/IFC4/ADD2_TC1/HTML/schema/ifcbuildingcontrolsdomain/pset/pset_sensortypegassensor.htm" TargetMode="External"/><Relationship Id="rId2191" Type="http://schemas.openxmlformats.org/officeDocument/2006/relationships/hyperlink" Target="https://standards.buildingsmart.org/IFC/RELEASE/IFC4/ADD2_TC1/HTML/schema/ifchvacdomain/pset/pset_airterminaltypecommon.htm" TargetMode="External"/><Relationship Id="rId3035" Type="http://schemas.openxmlformats.org/officeDocument/2006/relationships/hyperlink" Target="https://standards.buildingsmart.org/IFC/RELEASE/IFC4/ADD2_TC1/HTML/schema/ifchvacdomain/pset/pset_airtoairheatrecoverytypecommon.htm" TargetMode="External"/><Relationship Id="rId3242" Type="http://schemas.openxmlformats.org/officeDocument/2006/relationships/hyperlink" Target="https://standards.buildingsmart.org/IFC/RELEASE/IFC4/ADD2_TC1/HTML/schema/ifcsharedbldgserviceelements/pset/pset_utilityconsumptionphistory.htm" TargetMode="External"/><Relationship Id="rId163" Type="http://schemas.openxmlformats.org/officeDocument/2006/relationships/hyperlink" Target="https://standards.buildingsmart.org/IFC/RELEASE/IFC4/ADD2_TC1/HTML/schema/ifchvacdomain/lexical/ifccompressortypeenum.htm" TargetMode="External"/><Relationship Id="rId370" Type="http://schemas.openxmlformats.org/officeDocument/2006/relationships/hyperlink" Target="https://standards.buildingsmart.org/IFC/RELEASE/IFC4/ADD2_TC1/HTML/schema/ifcrepresentationresource/lexical/ifcproductrepresentationselect.htm" TargetMode="External"/><Relationship Id="rId2051" Type="http://schemas.openxmlformats.org/officeDocument/2006/relationships/hyperlink" Target="https://standards.buildingsmart.org/IFC/RELEASE/IFC4/ADD2_TC1/HTML/schema/ifcelectricaldomain/pset/pset_protectivedevicetrippingfunctionscurve.htm" TargetMode="External"/><Relationship Id="rId3102" Type="http://schemas.openxmlformats.org/officeDocument/2006/relationships/hyperlink" Target="https://standards.buildingsmart.org/IFC/RELEASE/IFC4/ADD2_TC1/HTML/schema/ifcbuildingcontrolsdomain/pset/pset_actuatortypelinearactuation.htm" TargetMode="External"/><Relationship Id="rId230" Type="http://schemas.openxmlformats.org/officeDocument/2006/relationships/hyperlink" Target="https://standards.buildingsmart.org/IFC/RELEASE/IFC4/ADD2_TC1/HTML/schema/ifcelectricaldomain/lexical/ifcjunctionboxtypeenum.htm" TargetMode="External"/><Relationship Id="rId2868" Type="http://schemas.openxmlformats.org/officeDocument/2006/relationships/hyperlink" Target="https://standards.buildingsmart.org/IFC/RELEASE/IFC4/ADD2_TC1/HTML/schema/ifchvacdomain/pset/pset_condensertypecommon.htm" TargetMode="External"/><Relationship Id="rId1677" Type="http://schemas.openxmlformats.org/officeDocument/2006/relationships/hyperlink" Target="https://standards.buildingsmart.org/IFC/RELEASE/IFC4/ADD2_TC1/HTML/schema/ifcsharedfacilitieselements/pset/pset_risk.htm" TargetMode="External"/><Relationship Id="rId1884" Type="http://schemas.openxmlformats.org/officeDocument/2006/relationships/hyperlink" Target="https://standards.buildingsmart.org/IFC/RELEASE/IFC4/ADD2_TC1/HTML/schema/ifcproductextension/pset/pset_spacecoveringrequirements.htm" TargetMode="External"/><Relationship Id="rId2728" Type="http://schemas.openxmlformats.org/officeDocument/2006/relationships/hyperlink" Target="https://standards.buildingsmart.org/IFC/RELEASE/IFC4/ADD2_TC1/HTML/schema/ifcelectricaldomain/pset/pset_lamptypecommon.htm" TargetMode="External"/><Relationship Id="rId2935" Type="http://schemas.openxmlformats.org/officeDocument/2006/relationships/hyperlink" Target="https://standards.buildingsmart.org/IFC/RELEASE/IFC4/ADD2_TC1/HTML/schema/ifcelectricaldomain/pset/pset_protectivedevicetypecircuitbreaker.htm" TargetMode="External"/><Relationship Id="rId907" Type="http://schemas.openxmlformats.org/officeDocument/2006/relationships/hyperlink" Target="https://standards.buildingsmart.org/IFC/RELEASE/IFC4/ADD2_TC1/HTML/schema/ifcstructuralelementsdomain/lexical/ifcreinforcingmeshtype.htm" TargetMode="External"/><Relationship Id="rId1537" Type="http://schemas.openxmlformats.org/officeDocument/2006/relationships/hyperlink" Target="https://standards.buildingsmart.org/IFC/RELEASE/IFC4/ADD2_TC1/HTML/schema/ifchvacdomain/pset/pset_coiltypehydronic.htm" TargetMode="External"/><Relationship Id="rId1744" Type="http://schemas.openxmlformats.org/officeDocument/2006/relationships/hyperlink" Target="https://standards.buildingsmart.org/IFC/RELEASE/IFC4/ADD2_TC1/HTML/schema/ifchvacdomain/pset/pset_humidifiertypecommon.htm" TargetMode="External"/><Relationship Id="rId1951" Type="http://schemas.openxmlformats.org/officeDocument/2006/relationships/hyperlink" Target="https://standards.buildingsmart.org/IFC/RELEASE/IFC4/ADD2_TC1/HTML/schema/ifcbuildingcontrolsdomain/pset/pset_sensortypeidentifiersensor.htm" TargetMode="External"/><Relationship Id="rId36" Type="http://schemas.openxmlformats.org/officeDocument/2006/relationships/hyperlink" Target="https://standards.buildingsmart.org/IFC/RELEASE/IFC4/ADD2_TC1/HTML/schema/ifcmeasureresource/lexical/ifcrotationalmassmeasure.htm" TargetMode="External"/><Relationship Id="rId1604" Type="http://schemas.openxmlformats.org/officeDocument/2006/relationships/hyperlink" Target="https://standards.buildingsmart.org/IFC/RELEASE/IFC4/ADD2_TC1/HTML/schema/ifcsharedbldgelements/pset/pset_coveringcommon.htm" TargetMode="External"/><Relationship Id="rId1811" Type="http://schemas.openxmlformats.org/officeDocument/2006/relationships/hyperlink" Target="https://standards.buildingsmart.org/IFC/RELEASE/IFC4/ADD2_TC1/HTML/schema/ifcproductextension/pset/pset_spacefiresafetyrequirements.htm" TargetMode="External"/><Relationship Id="rId3569" Type="http://schemas.openxmlformats.org/officeDocument/2006/relationships/hyperlink" Target="https://standards.buildingsmart.org/IFC/RELEASE/IFC4/ADD2_TC1/HTML/schema/ifchvacdomain/pset/pset_coolingtowerphistory.htm" TargetMode="External"/><Relationship Id="rId697" Type="http://schemas.openxmlformats.org/officeDocument/2006/relationships/hyperlink" Target="https://standards.buildingsmart.org/IFC/RELEASE/IFC4/ADD2_TC1/HTML/schema/ifcrepresentationresource/lexical/ifcgeometricrepresentationsubcontext.htm" TargetMode="External"/><Relationship Id="rId2378" Type="http://schemas.openxmlformats.org/officeDocument/2006/relationships/hyperlink" Target="https://standards.buildingsmart.org/IFC/RELEASE/IFC4/ADD2_TC1/HTML/schema/ifchvacdomain/pset/pset_boilertypecommon.htm" TargetMode="External"/><Relationship Id="rId3429" Type="http://schemas.openxmlformats.org/officeDocument/2006/relationships/hyperlink" Target="https://standards.buildingsmart.org/IFC/RELEASE/IFC4/ADD2_TC1/HTML/schema/ifcsharedmgmtelements/pset/pset_projectordermaintenanceworkorder.htm" TargetMode="External"/><Relationship Id="rId3776" Type="http://schemas.openxmlformats.org/officeDocument/2006/relationships/hyperlink" Target="https://standards.buildingsmart.org/IFC/RELEASE/IFC4/ADD2_TC1/HTML/schema/ifcproductextension/pset/pset_buildingstoreycommon.htm" TargetMode="External"/><Relationship Id="rId1187" Type="http://schemas.openxmlformats.org/officeDocument/2006/relationships/hyperlink" Target="https://standards.buildingsmart.org/IFC/RELEASE/IFC4/ADD2_TC1/HTML/schema/ifcsharedbldgelements/qset/qto_columnbasequantities.htm" TargetMode="External"/><Relationship Id="rId2585" Type="http://schemas.openxmlformats.org/officeDocument/2006/relationships/hyperlink" Target="https://standards.buildingsmart.org/IFC/RELEASE/IFC4/ADD2_TC1/HTML/schema/ifcproductextension/pset/pset_spacecoveringrequirements.htm" TargetMode="External"/><Relationship Id="rId2792" Type="http://schemas.openxmlformats.org/officeDocument/2006/relationships/hyperlink" Target="https://standards.buildingsmart.org/IFC/RELEASE/IFC4/ADD2_TC1/HTML/schema/ifcelectricaldomain/pset/pset_protectivedevicetrippingfunctionscurve.htm" TargetMode="External"/><Relationship Id="rId3636" Type="http://schemas.openxmlformats.org/officeDocument/2006/relationships/hyperlink" Target="https://standards.buildingsmart.org/IFC/RELEASE/IFC4/ADD2_TC1/HTML/schema/ifcelectricaldomain/pset/pset_audiovisualappliancephistory.htm" TargetMode="External"/><Relationship Id="rId557" Type="http://schemas.openxmlformats.org/officeDocument/2006/relationships/hyperlink" Target="https://standards.buildingsmart.org/IFC/RELEASE/IFC4/ADD2_TC1/HTML/schema/ifcpresentationappearanceresource/lexical/ifccurvestylefont.htm" TargetMode="External"/><Relationship Id="rId764" Type="http://schemas.openxmlformats.org/officeDocument/2006/relationships/hyperlink" Target="https://standards.buildingsmart.org/IFC/RELEASE/IFC4/ADD2_TC1/HTML/schema/ifcmaterialresource/lexical/ifcmaterialproperties.htm" TargetMode="External"/><Relationship Id="rId971" Type="http://schemas.openxmlformats.org/officeDocument/2006/relationships/hyperlink" Target="https://standards.buildingsmart.org/IFC/RELEASE/IFC4/ADD2_TC1/HTML/schema/ifcsharedbldgelements/lexical/ifcrooftype.htm" TargetMode="External"/><Relationship Id="rId1394" Type="http://schemas.openxmlformats.org/officeDocument/2006/relationships/hyperlink" Target="https://standards.buildingsmart.org/IFC/RELEASE/IFC4/ADD2_TC1/HTML/schema/ifcsharedcomponentelements/pset/pset_mechanicalfastenerbolt.htm" TargetMode="External"/><Relationship Id="rId2238" Type="http://schemas.openxmlformats.org/officeDocument/2006/relationships/hyperlink" Target="https://standards.buildingsmart.org/IFC/RELEASE/IFC4/ADD2_TC1/HTML/schema/ifcsharedmgmtelements/pset/pset_projectorderworkorder.htm" TargetMode="External"/><Relationship Id="rId2445" Type="http://schemas.openxmlformats.org/officeDocument/2006/relationships/hyperlink" Target="https://standards.buildingsmart.org/IFC/RELEASE/IFC4/ADD2_TC1/HTML/schema/ifchvacdomain/pset/pset_cooledbeamtypecommon.htm" TargetMode="External"/><Relationship Id="rId2652" Type="http://schemas.openxmlformats.org/officeDocument/2006/relationships/hyperlink" Target="https://standards.buildingsmart.org/IFC/RELEASE/IFC4/ADD2_TC1/HTML/schema/ifcproductextension/pset/pset_buildinguseadjacent.htm" TargetMode="External"/><Relationship Id="rId3703" Type="http://schemas.openxmlformats.org/officeDocument/2006/relationships/hyperlink" Target="https://standards.buildingsmart.org/IFC/RELEASE/IFC4/ADD2_TC1/HTML/schema/ifchvacdomain/pset/pset_airterminaloccurrence.htm" TargetMode="External"/><Relationship Id="rId417" Type="http://schemas.openxmlformats.org/officeDocument/2006/relationships/hyperlink" Target="https://standards.buildingsmart.org/IFC/RELEASE/IFC4/ADD2_TC1/HTML/schema/ifcapprovalresource/lexical/ifcapprovalrelationship.htm" TargetMode="External"/><Relationship Id="rId624" Type="http://schemas.openxmlformats.org/officeDocument/2006/relationships/hyperlink" Target="https://standards.buildingsmart.org/IFC/RELEASE/IFC4/ADD2_TC1/HTML/schema/ifcsharedbldgserviceelements/lexical/ifcenergyconversiondevicetype.htm" TargetMode="External"/><Relationship Id="rId831" Type="http://schemas.openxmlformats.org/officeDocument/2006/relationships/hyperlink" Target="https://standards.buildingsmart.org/IFC/RELEASE/IFC4/ADD2_TC1/HTML/schema/ifcpresentationappearanceresource/lexical/ifcpredefinedcolour.htm" TargetMode="External"/><Relationship Id="rId1047" Type="http://schemas.openxmlformats.org/officeDocument/2006/relationships/hyperlink" Target="https://standards.buildingsmart.org/IFC/RELEASE/IFC4/ADD2_TC1/HTML/schema/ifcstructuralanalysisdomain/lexical/ifcstructuralpointconnection.htm" TargetMode="External"/><Relationship Id="rId1254" Type="http://schemas.openxmlformats.org/officeDocument/2006/relationships/hyperlink" Target="https://standards.buildingsmart.org/IFC/RELEASE/IFC4/ADD2_TC1/HTML/schema/ifcbuildingcontrolsdomain/qset/qto_unitarycontrolelementbasequantities.htm" TargetMode="External"/><Relationship Id="rId1461" Type="http://schemas.openxmlformats.org/officeDocument/2006/relationships/hyperlink" Target="https://standards.buildingsmart.org/IFC/RELEASE/IFC4/ADD2_TC1/HTML/schema/ifcsharedbldgserviceelements/pset/pset_spacethermalloadphistory.htm" TargetMode="External"/><Relationship Id="rId2305" Type="http://schemas.openxmlformats.org/officeDocument/2006/relationships/hyperlink" Target="https://standards.buildingsmart.org/IFC/RELEASE/IFC4/ADD2_TC1/HTML/schema/ifcsharedbldgelements/pset/pset_slabcommon.htm" TargetMode="External"/><Relationship Id="rId2512" Type="http://schemas.openxmlformats.org/officeDocument/2006/relationships/hyperlink" Target="https://standards.buildingsmart.org/IFC/RELEASE/IFC4/ADD2_TC1/HTML/schema/ifcelectricaldomain/pset/pset_protectivedevicetrippingfunctionscurve.htm" TargetMode="External"/><Relationship Id="rId1114" Type="http://schemas.openxmlformats.org/officeDocument/2006/relationships/hyperlink" Target="https://standards.buildingsmart.org/IFC/RELEASE/IFC4/ADD2_TC1/HTML/schema/ifcdatetimeresource/lexical/ifctimeseriesvalue.htm" TargetMode="External"/><Relationship Id="rId1321" Type="http://schemas.openxmlformats.org/officeDocument/2006/relationships/hyperlink" Target="https://standards.buildingsmart.org/IFC/RELEASE/IFC4/ADD2_TC1/HTML/schema/ifcstructuralelementsdomain/pset/pset_reinforcementbarpitchofcolumn.htm" TargetMode="External"/><Relationship Id="rId3079" Type="http://schemas.openxmlformats.org/officeDocument/2006/relationships/hyperlink" Target="https://standards.buildingsmart.org/IFC/RELEASE/IFC4/ADD2_TC1/HTML/schema/ifcelectricaldomain/pset/pset_cablesegmenttypecoresegment.htm" TargetMode="External"/><Relationship Id="rId3286" Type="http://schemas.openxmlformats.org/officeDocument/2006/relationships/hyperlink" Target="https://standards.buildingsmart.org/IFC/RELEASE/IFC4/ADD2_TC1/HTML/schema/ifcplumbingfireprotectiondomain/pset/pset_wasteterminaltypewastedisposalunit.htm" TargetMode="External"/><Relationship Id="rId3493" Type="http://schemas.openxmlformats.org/officeDocument/2006/relationships/hyperlink" Target="https://standards.buildingsmart.org/IFC/RELEASE/IFC4/ADD2_TC1/HTML/schema/ifcsharedcomponentelements/pset/pset_discreteaccessorycolumnshoe.htm" TargetMode="External"/><Relationship Id="rId2095" Type="http://schemas.openxmlformats.org/officeDocument/2006/relationships/hyperlink" Target="https://standards.buildingsmart.org/IFC/RELEASE/IFC4/ADD2_TC1/HTML/schema/ifchvacdomain/pset/pset_vibrationisolatortypecommon.htm" TargetMode="External"/><Relationship Id="rId3146" Type="http://schemas.openxmlformats.org/officeDocument/2006/relationships/hyperlink" Target="https://standards.buildingsmart.org/IFC/RELEASE/IFC4/ADD2_TC1/HTML/schema/ifcbuildingcontrolsdomain/pset/pset_controllertypeprogrammable.htm" TargetMode="External"/><Relationship Id="rId3353" Type="http://schemas.openxmlformats.org/officeDocument/2006/relationships/hyperlink" Target="https://standards.buildingsmart.org/IFC/RELEASE/IFC4/ADD2_TC1/HTML/schema/ifcelectricaldomain/pset/pset_protectivedevicetrippingfunctionicurve.htm" TargetMode="External"/><Relationship Id="rId274" Type="http://schemas.openxmlformats.org/officeDocument/2006/relationships/hyperlink" Target="https://standards.buildingsmart.org/IFC/RELEASE/IFC4/ADD2_TC1/HTML/schema/ifcprofileresource/lexical/ifcreinforcingbarroleenum.htm" TargetMode="External"/><Relationship Id="rId481" Type="http://schemas.openxmlformats.org/officeDocument/2006/relationships/hyperlink" Target="https://standards.buildingsmart.org/IFC/RELEASE/IFC4/ADD2_TC1/HTML/schema/ifchvacdomain/lexical/ifcchillertype.htm" TargetMode="External"/><Relationship Id="rId2162" Type="http://schemas.openxmlformats.org/officeDocument/2006/relationships/hyperlink" Target="https://standards.buildingsmart.org/IFC/RELEASE/IFC4/ADD2_TC1/HTML/schema/ifcsharedbldgserviceelements/pset/pset_distributionsystemcommon.htm" TargetMode="External"/><Relationship Id="rId3006" Type="http://schemas.openxmlformats.org/officeDocument/2006/relationships/hyperlink" Target="https://standards.buildingsmart.org/IFC/RELEASE/IFC4/ADD2_TC1/HTML/schema/ifcplumbingfireprotectiondomain/pset/pset_wasteterminaltypefloortrap.htm" TargetMode="External"/><Relationship Id="rId3560" Type="http://schemas.openxmlformats.org/officeDocument/2006/relationships/hyperlink" Target="https://standards.buildingsmart.org/IFC/RELEASE/IFC4/ADD2_TC1/HTML/schema/ifckernel/pset/pset_actorcommon.htm" TargetMode="External"/><Relationship Id="rId134" Type="http://schemas.openxmlformats.org/officeDocument/2006/relationships/hyperlink" Target="https://standards.buildingsmart.org/IFC/RELEASE/IFC4/ADD2_TC1/HTML/schema/ifchvacdomain/lexical/ifcairterminalboxtypeenum.htm" TargetMode="External"/><Relationship Id="rId3213" Type="http://schemas.openxmlformats.org/officeDocument/2006/relationships/hyperlink" Target="https://standards.buildingsmart.org/IFC/RELEASE/IFC4/ADD2_TC1/HTML/schema/ifcsharedbldgserviceelements/pset/pset_spacethermalload.htm" TargetMode="External"/><Relationship Id="rId3420" Type="http://schemas.openxmlformats.org/officeDocument/2006/relationships/hyperlink" Target="https://standards.buildingsmart.org/IFC/RELEASE/IFC4/ADD2_TC1/HTML/schema/ifcbuildingcontrolsdomain/pset/pset_controllertypeproportional.htm" TargetMode="External"/><Relationship Id="rId341" Type="http://schemas.openxmlformats.org/officeDocument/2006/relationships/hyperlink" Target="https://standards.buildingsmart.org/IFC/RELEASE/IFC4/ADD2_TC1/HTML/schema/ifcexternalreferenceresource/lexical/ifcclassificationselect.htm" TargetMode="External"/><Relationship Id="rId2022" Type="http://schemas.openxmlformats.org/officeDocument/2006/relationships/hyperlink" Target="https://standards.buildingsmart.org/IFC/RELEASE/IFC4/ADD2_TC1/HTML/schema/ifcsharedbldgelements/pset/pset_stairflightcommon.htm" TargetMode="External"/><Relationship Id="rId2979" Type="http://schemas.openxmlformats.org/officeDocument/2006/relationships/hyperlink" Target="https://standards.buildingsmart.org/IFC/RELEASE/IFC4/ADD2_TC1/HTML/schema/ifchvacdomain/pset/pset_spaceheaterphistory.htm" TargetMode="External"/><Relationship Id="rId201" Type="http://schemas.openxmlformats.org/officeDocument/2006/relationships/hyperlink" Target="https://standards.buildingsmart.org/IFC/RELEASE/IFC4/ADD2_TC1/HTML/schema/ifcelectricaldomain/lexical/ifcelectricgeneratortypeenum.htm" TargetMode="External"/><Relationship Id="rId1788" Type="http://schemas.openxmlformats.org/officeDocument/2006/relationships/hyperlink" Target="https://standards.buildingsmart.org/IFC/RELEASE/IFC4/ADD2_TC1/HTML/schema/ifcsharedbldgelements/pset/pset_buildingelementproxycommon.htm" TargetMode="External"/><Relationship Id="rId1995" Type="http://schemas.openxmlformats.org/officeDocument/2006/relationships/hyperlink" Target="https://standards.buildingsmart.org/IFC/RELEASE/IFC4/ADD2_TC1/HTML/schema/ifcelectricaldomain/pset/pset_transformertypecommon.htm" TargetMode="External"/><Relationship Id="rId2839" Type="http://schemas.openxmlformats.org/officeDocument/2006/relationships/hyperlink" Target="https://standards.buildingsmart.org/IFC/RELEASE/IFC4/ADD2_TC1/HTML/schema/ifcsharedbldgelements/pset/pset_doorcommon.htm" TargetMode="External"/><Relationship Id="rId1648" Type="http://schemas.openxmlformats.org/officeDocument/2006/relationships/hyperlink" Target="https://standards.buildingsmart.org/IFC/RELEASE/IFC4/ADD2_TC1/HTML/schema/ifcelectricaldomain/pset/pset_protectivedevicetrippingunittypeelectromagnetic.htm" TargetMode="External"/><Relationship Id="rId1508" Type="http://schemas.openxmlformats.org/officeDocument/2006/relationships/hyperlink" Target="https://standards.buildingsmart.org/IFC/RELEASE/IFC4/ADD2_TC1/HTML/schema/ifcsharedcomponentelements/pset/pset_fastenerweld.htm" TargetMode="External"/><Relationship Id="rId1855" Type="http://schemas.openxmlformats.org/officeDocument/2006/relationships/hyperlink" Target="https://standards.buildingsmart.org/IFC/RELEASE/IFC4/ADD2_TC1/HTML/schema/ifcsharedbldgserviceelements/pset/pset_soundattenuation.htm" TargetMode="External"/><Relationship Id="rId2906" Type="http://schemas.openxmlformats.org/officeDocument/2006/relationships/hyperlink" Target="https://standards.buildingsmart.org/IFC/RELEASE/IFC4/ADD2_TC1/HTML/schema/ifcstructuralelementsdomain/pset/pset_precastconcreteelementgeneral.htm" TargetMode="External"/><Relationship Id="rId3070" Type="http://schemas.openxmlformats.org/officeDocument/2006/relationships/hyperlink" Target="https://standards.buildingsmart.org/IFC/RELEASE/IFC4/ADD2_TC1/HTML/schema/ifcsharedbldgelements/pset/pset_doorwindowglazingtype.htm" TargetMode="External"/><Relationship Id="rId1715" Type="http://schemas.openxmlformats.org/officeDocument/2006/relationships/hyperlink" Target="https://standards.buildingsmart.org/IFC/RELEASE/IFC4/ADD2_TC1/HTML/schema/ifcplumbingfireprotectiondomain/pset/pset_stackterminaltypecommon.htm" TargetMode="External"/><Relationship Id="rId1922" Type="http://schemas.openxmlformats.org/officeDocument/2006/relationships/hyperlink" Target="https://standards.buildingsmart.org/IFC/RELEASE/IFC4/ADD2_TC1/HTML/schema/ifcprofileresource/pset/pset_profilemechanical.htm" TargetMode="External"/><Relationship Id="rId2489" Type="http://schemas.openxmlformats.org/officeDocument/2006/relationships/hyperlink" Target="https://standards.buildingsmart.org/IFC/RELEASE/IFC4/ADD2_TC1/HTML/schema/ifcelectricaldomain/pset/pset_electricaldevicecommon.htm" TargetMode="External"/><Relationship Id="rId2696" Type="http://schemas.openxmlformats.org/officeDocument/2006/relationships/hyperlink" Target="https://standards.buildingsmart.org/IFC/RELEASE/IFC4/ADD2_TC1/HTML/schema/ifcstructuralanalysisdomain/pset/pset_structuralsurfacemembervaryingthickness.htm" TargetMode="External"/><Relationship Id="rId3747" Type="http://schemas.openxmlformats.org/officeDocument/2006/relationships/hyperlink" Target="https://standards.buildingsmart.org/IFC/RELEASE/IFC4/ADD2_TC1/HTML/schema/ifcplumbingfireprotectiondomain/pset/pset_firesuppressionterminaltypesprinkler.htm" TargetMode="External"/><Relationship Id="rId668" Type="http://schemas.openxmlformats.org/officeDocument/2006/relationships/hyperlink" Target="https://standards.buildingsmart.org/IFC/RELEASE/IFC4/ADD2_TC1/HTML/schema/ifcsharedbldgserviceelements/lexical/ifcflowcontroller.htm" TargetMode="External"/><Relationship Id="rId875" Type="http://schemas.openxmlformats.org/officeDocument/2006/relationships/hyperlink" Target="https://standards.buildingsmart.org/IFC/RELEASE/IFC4/ADD2_TC1/HTML/schema/ifckernel/lexical/ifcproxy.htm" TargetMode="External"/><Relationship Id="rId1298" Type="http://schemas.openxmlformats.org/officeDocument/2006/relationships/hyperlink" Target="https://standards.buildingsmart.org/IFC/RELEASE/IFC4/ADD2_TC1/HTML/schema/ifcgeometryresource/lexical/ifcsurfaceweightspositive.htm" TargetMode="External"/><Relationship Id="rId2349" Type="http://schemas.openxmlformats.org/officeDocument/2006/relationships/hyperlink" Target="https://standards.buildingsmart.org/IFC/RELEASE/IFC4/ADD2_TC1/HTML/schema/ifcmaterialresource/pset/pset_materialwoodbasedbeam.htm" TargetMode="External"/><Relationship Id="rId2556" Type="http://schemas.openxmlformats.org/officeDocument/2006/relationships/hyperlink" Target="https://standards.buildingsmart.org/IFC/RELEASE/IFC4/ADD2_TC1/HTML/schema/ifcproductextension/pset/pset_buildinguse.htm" TargetMode="External"/><Relationship Id="rId2763" Type="http://schemas.openxmlformats.org/officeDocument/2006/relationships/hyperlink" Target="https://standards.buildingsmart.org/IFC/RELEASE/IFC4/ADD2_TC1/HTML/schema/ifcsharedcomponentelements/pset/pset_discreteaccessoryladdertrussconnector.htm" TargetMode="External"/><Relationship Id="rId2970" Type="http://schemas.openxmlformats.org/officeDocument/2006/relationships/hyperlink" Target="https://standards.buildingsmart.org/IFC/RELEASE/IFC4/ADD2_TC1/HTML/schema/ifcsharedbldgelements/pset/pset_railingcommon.htm" TargetMode="External"/><Relationship Id="rId3607" Type="http://schemas.openxmlformats.org/officeDocument/2006/relationships/hyperlink" Target="https://standards.buildingsmart.org/IFC/RELEASE/IFC4/ADD2_TC1/HTML/schema/ifcstructuralelementsdomain/pset/pset_precastconcreteelementgeneral.htm" TargetMode="External"/><Relationship Id="rId528" Type="http://schemas.openxmlformats.org/officeDocument/2006/relationships/hyperlink" Target="https://standards.buildingsmart.org/IFC/RELEASE/IFC4/ADD2_TC1/HTML/schema/ifcmeasureresource/lexical/ifccontextdependentunit.htm" TargetMode="External"/><Relationship Id="rId735" Type="http://schemas.openxmlformats.org/officeDocument/2006/relationships/hyperlink" Target="https://standards.buildingsmart.org/IFC/RELEASE/IFC4/ADD2_TC1/HTML/schema/ifcpresentationorganizationresource/lexical/ifclightsource.htm" TargetMode="External"/><Relationship Id="rId942" Type="http://schemas.openxmlformats.org/officeDocument/2006/relationships/hyperlink" Target="https://standards.buildingsmart.org/IFC/RELEASE/IFC4/ADD2_TC1/HTML/schema/ifckernel/lexical/ifcreldefinesbytemplate.htm" TargetMode="External"/><Relationship Id="rId1158" Type="http://schemas.openxmlformats.org/officeDocument/2006/relationships/hyperlink" Target="https://standards.buildingsmart.org/IFC/RELEASE/IFC4/ADD2_TC1/HTML/schema/ifcsharedbldgelements/lexical/ifcwindowstandardcase.htm" TargetMode="External"/><Relationship Id="rId1365" Type="http://schemas.openxmlformats.org/officeDocument/2006/relationships/hyperlink" Target="https://standards.buildingsmart.org/IFC/RELEASE/IFC4/ADD2_TC1/HTML/schema/ifchvacdomain/pset/pset_ductsilencertypecommon.htm" TargetMode="External"/><Relationship Id="rId1572" Type="http://schemas.openxmlformats.org/officeDocument/2006/relationships/hyperlink" Target="https://standards.buildingsmart.org/IFC/RELEASE/IFC4/ADD2_TC1/HTML/schema/ifcelectricaldomain/pset/pset_protectivedevicetrippingfunctiongcurve.htm" TargetMode="External"/><Relationship Id="rId2209" Type="http://schemas.openxmlformats.org/officeDocument/2006/relationships/hyperlink" Target="https://standards.buildingsmart.org/IFC/RELEASE/IFC4/ADD2_TC1/HTML/schema/ifcelectricaldomain/pset/pset_electricaldevicecommon.htm" TargetMode="External"/><Relationship Id="rId2416" Type="http://schemas.openxmlformats.org/officeDocument/2006/relationships/hyperlink" Target="https://standards.buildingsmart.org/IFC/RELEASE/IFC4/ADD2_TC1/HTML/schema/ifchvacdomain/pset/pset_pipeconnectionflanged.htm" TargetMode="External"/><Relationship Id="rId2623" Type="http://schemas.openxmlformats.org/officeDocument/2006/relationships/hyperlink" Target="https://standards.buildingsmart.org/IFC/RELEASE/IFC4/ADD2_TC1/HTML/schema/ifchvacdomain/pset/pset_vibrationisolatortypecommon.htm" TargetMode="External"/><Relationship Id="rId1018" Type="http://schemas.openxmlformats.org/officeDocument/2006/relationships/hyperlink" Target="https://standards.buildingsmart.org/IFC/RELEASE/IFC4/ADD2_TC1/HTML/schema/ifcsharedbldgelements/lexical/ifcstairtype.htm" TargetMode="External"/><Relationship Id="rId1225" Type="http://schemas.openxmlformats.org/officeDocument/2006/relationships/hyperlink" Target="https://standards.buildingsmart.org/IFC/RELEASE/IFC4/ADD2_TC1/HTML/schema/ifcsharedbldgelements/qset/qto_memberbasequantities.htm" TargetMode="External"/><Relationship Id="rId1432" Type="http://schemas.openxmlformats.org/officeDocument/2006/relationships/hyperlink" Target="https://standards.buildingsmart.org/IFC/RELEASE/IFC4/ADD2_TC1/HTML/schema/ifcmaterialresource/pset/pset_materialenergy.htm" TargetMode="External"/><Relationship Id="rId2830" Type="http://schemas.openxmlformats.org/officeDocument/2006/relationships/hyperlink" Target="https://standards.buildingsmart.org/IFC/RELEASE/IFC4/ADD2_TC1/HTML/schema/ifcproductextension/pset/pset_spacecommon.htm" TargetMode="External"/><Relationship Id="rId71" Type="http://schemas.openxmlformats.org/officeDocument/2006/relationships/hyperlink" Target="https://standards.buildingsmart.org/IFC/RELEASE/IFC4/ADD2_TC1/HTML/schema/ifcmeasureresource/lexical/ifcluminousintensitymeasure.htm" TargetMode="External"/><Relationship Id="rId802" Type="http://schemas.openxmlformats.org/officeDocument/2006/relationships/hyperlink" Target="https://standards.buildingsmart.org/IFC/RELEASE/IFC4/ADD2_TC1/HTML/schema/ifcarchitecturedomain/lexical/ifcpermeablecoveringproperties.htm" TargetMode="External"/><Relationship Id="rId3397" Type="http://schemas.openxmlformats.org/officeDocument/2006/relationships/hyperlink" Target="https://standards.buildingsmart.org/IFC/RELEASE/IFC4/ADD2_TC1/HTML/schema/ifcprofileresource/pset/pset_profilearbitraryhollowcore.htm" TargetMode="External"/><Relationship Id="rId178" Type="http://schemas.openxmlformats.org/officeDocument/2006/relationships/hyperlink" Target="https://standards.buildingsmart.org/IFC/RELEASE/IFC4/ADD2_TC1/HTML/schema/ifcpropertyresource/lexical/ifccurveinterpolationenum.htm" TargetMode="External"/><Relationship Id="rId3257" Type="http://schemas.openxmlformats.org/officeDocument/2006/relationships/hyperlink" Target="https://standards.buildingsmart.org/IFC/RELEASE/IFC4/ADD2_TC1/HTML/schema/ifcsharedcomponentelements/pset/pset_discreteaccessoryedgefixingplate.htm" TargetMode="External"/><Relationship Id="rId3464" Type="http://schemas.openxmlformats.org/officeDocument/2006/relationships/hyperlink" Target="https://standards.buildingsmart.org/IFC/RELEASE/IFC4/ADD2_TC1/HTML/schema/ifcstructuralelementsdomain/pset/pset_concreteelementgeneral.htm" TargetMode="External"/><Relationship Id="rId3671" Type="http://schemas.openxmlformats.org/officeDocument/2006/relationships/hyperlink" Target="https://standards.buildingsmart.org/IFC/RELEASE/IFC4/ADD2_TC1/HTML/schema/ifcbuildingcontrolsdomain/pset/pset_actuatortypecommon.htm" TargetMode="External"/><Relationship Id="rId385" Type="http://schemas.openxmlformats.org/officeDocument/2006/relationships/hyperlink" Target="https://standards.buildingsmart.org/IFC/RELEASE/IFC4/ADD2_TC1/HTML/schema/ifcgeometricconstraintresource/lexical/ifcsurfaceorfacesurface.htm" TargetMode="External"/><Relationship Id="rId592" Type="http://schemas.openxmlformats.org/officeDocument/2006/relationships/hyperlink" Target="https://standards.buildingsmart.org/IFC/RELEASE/IFC4/ADD2_TC1/HTML/schema/ifchvacdomain/lexical/ifcductfitting.htm" TargetMode="External"/><Relationship Id="rId2066" Type="http://schemas.openxmlformats.org/officeDocument/2006/relationships/hyperlink" Target="https://standards.buildingsmart.org/IFC/RELEASE/IFC4/ADD2_TC1/HTML/schema/ifcsharedbldgserviceelements/pset/pset_spacethermalload.htm" TargetMode="External"/><Relationship Id="rId2273" Type="http://schemas.openxmlformats.org/officeDocument/2006/relationships/hyperlink" Target="https://standards.buildingsmart.org/IFC/RELEASE/IFC4/ADD2_TC1/HTML/schema/ifcsharedbldgserviceelements/pset/pset_distributionporttypepipe.htm" TargetMode="External"/><Relationship Id="rId2480" Type="http://schemas.openxmlformats.org/officeDocument/2006/relationships/hyperlink" Target="https://standards.buildingsmart.org/IFC/RELEASE/IFC4/ADD2_TC1/HTML/schema/ifcelectricaldomain/pset/pset_cablecarriersegmenttypecabletrunkingsegment.htm" TargetMode="External"/><Relationship Id="rId3117" Type="http://schemas.openxmlformats.org/officeDocument/2006/relationships/hyperlink" Target="https://standards.buildingsmart.org/IFC/RELEASE/IFC4/ADD2_TC1/HTML/schema/ifchvacdomain/pset/pset_airterminaltypecommon.htm" TargetMode="External"/><Relationship Id="rId3324" Type="http://schemas.openxmlformats.org/officeDocument/2006/relationships/hyperlink" Target="https://standards.buildingsmart.org/IFC/RELEASE/IFC4/ADD2_TC1/HTML/schema/ifcstructuralelementsdomain/pset/pset_precastconcreteelementgeneral.htm" TargetMode="External"/><Relationship Id="rId3531" Type="http://schemas.openxmlformats.org/officeDocument/2006/relationships/hyperlink" Target="https://standards.buildingsmart.org/IFC/RELEASE/IFC4/ADD2_TC1/HTML/schema/ifcelectricaldomain/pset/pset_junctionboxtypecommon.htm" TargetMode="External"/><Relationship Id="rId245" Type="http://schemas.openxmlformats.org/officeDocument/2006/relationships/hyperlink" Target="https://standards.buildingsmart.org/IFC/RELEASE/IFC4/ADD2_TC1/HTML/schema/ifcconstraintresource/lexical/ifcobjectiveenum.htm" TargetMode="External"/><Relationship Id="rId452" Type="http://schemas.openxmlformats.org/officeDocument/2006/relationships/hyperlink" Target="https://standards.buildingsmart.org/IFC/RELEASE/IFC4/ADD2_TC1/HTML/schema/ifcproductextension/lexical/ifcbuildingelement.htm" TargetMode="External"/><Relationship Id="rId1082" Type="http://schemas.openxmlformats.org/officeDocument/2006/relationships/hyperlink" Target="https://standards.buildingsmart.org/IFC/RELEASE/IFC4/ADD2_TC1/HTML/schema/ifcproductextension/lexical/ifcsystem.htm" TargetMode="External"/><Relationship Id="rId2133" Type="http://schemas.openxmlformats.org/officeDocument/2006/relationships/hyperlink" Target="https://standards.buildingsmart.org/IFC/RELEASE/IFC4/ADD2_TC1/HTML/schema/ifcsharedbldgelements/pset/pset_membercommon.htm" TargetMode="External"/><Relationship Id="rId2340" Type="http://schemas.openxmlformats.org/officeDocument/2006/relationships/hyperlink" Target="https://standards.buildingsmart.org/IFC/RELEASE/IFC4/ADD2_TC1/HTML/schema/ifcprofileresource/pset/pset_profilearbitraryhollowcore.htm" TargetMode="External"/><Relationship Id="rId105" Type="http://schemas.openxmlformats.org/officeDocument/2006/relationships/hyperlink" Target="https://standards.buildingsmart.org/IFC/RELEASE/IFC4/ADD2_TC1/HTML/schema/ifcmeasureresource/lexical/ifcelectriccapacitancemeasure.htm" TargetMode="External"/><Relationship Id="rId312" Type="http://schemas.openxmlformats.org/officeDocument/2006/relationships/hyperlink" Target="https://standards.buildingsmart.org/IFC/RELEASE/IFC4/ADD2_TC1/HTML/schema/ifcdatetimeresource/lexical/ifctimeseriesdatatypeenum.htm" TargetMode="External"/><Relationship Id="rId2200" Type="http://schemas.openxmlformats.org/officeDocument/2006/relationships/hyperlink" Target="https://standards.buildingsmart.org/IFC/RELEASE/IFC4/ADD2_TC1/HTML/schema/ifcelectricaldomain/pset/pset_transformertypecommon.htm" TargetMode="External"/><Relationship Id="rId1899" Type="http://schemas.openxmlformats.org/officeDocument/2006/relationships/hyperlink" Target="https://standards.buildingsmart.org/IFC/RELEASE/IFC4/ADD2_TC1/HTML/schema/ifcelectricaldomain/pset/pset_protectivedeviceoccurrence.htm" TargetMode="External"/><Relationship Id="rId1759" Type="http://schemas.openxmlformats.org/officeDocument/2006/relationships/hyperlink" Target="https://standards.buildingsmart.org/IFC/RELEASE/IFC4/ADD2_TC1/HTML/schema/ifcelectricaldomain/pset/pset_electricmotortypecommon.htm" TargetMode="External"/><Relationship Id="rId1966" Type="http://schemas.openxmlformats.org/officeDocument/2006/relationships/hyperlink" Target="https://standards.buildingsmart.org/IFC/RELEASE/IFC4/ADD2_TC1/HTML/schema/ifcstructuralelementsdomain/pset/pset_precastconcreteelementfabrication.htm" TargetMode="External"/><Relationship Id="rId3181" Type="http://schemas.openxmlformats.org/officeDocument/2006/relationships/hyperlink" Target="https://standards.buildingsmart.org/IFC/RELEASE/IFC4/ADD2_TC1/HTML/schema/ifcsharedbldgelements/pset/pset_coveringcommon.htm" TargetMode="External"/><Relationship Id="rId1619" Type="http://schemas.openxmlformats.org/officeDocument/2006/relationships/hyperlink" Target="https://standards.buildingsmart.org/IFC/RELEASE/IFC4/ADD2_TC1/HTML/schema/ifchvacdomain/pset/pset_tubebundletypecommon.htm" TargetMode="External"/><Relationship Id="rId1826" Type="http://schemas.openxmlformats.org/officeDocument/2006/relationships/hyperlink" Target="https://standards.buildingsmart.org/IFC/RELEASE/IFC4/ADD2_TC1/HTML/schema/ifcmaterialresource/pset/pset_materialwood.htm" TargetMode="External"/><Relationship Id="rId3041" Type="http://schemas.openxmlformats.org/officeDocument/2006/relationships/hyperlink" Target="https://standards.buildingsmart.org/IFC/RELEASE/IFC4/ADD2_TC1/HTML/schema/ifcsharedbldgelements/pset/pset_coveringflooring.htm" TargetMode="External"/><Relationship Id="rId779" Type="http://schemas.openxmlformats.org/officeDocument/2006/relationships/hyperlink" Target="https://standards.buildingsmart.org/IFC/RELEASE/IFC4/ADD2_TC1/HTML/schema/ifcelectricaldomain/lexical/ifcmotorconnectiontype.htm" TargetMode="External"/><Relationship Id="rId986" Type="http://schemas.openxmlformats.org/officeDocument/2006/relationships/hyperlink" Target="https://standards.buildingsmart.org/IFC/RELEASE/IFC4/ADD2_TC1/HTML/schema/ifcrepresentationresource/lexical/ifcshapemodel.htm" TargetMode="External"/><Relationship Id="rId2667" Type="http://schemas.openxmlformats.org/officeDocument/2006/relationships/hyperlink" Target="https://standards.buildingsmart.org/IFC/RELEASE/IFC4/ADD2_TC1/HTML/schema/ifcmaterialresource/pset/pset_materialhygroscopic.htm" TargetMode="External"/><Relationship Id="rId3718" Type="http://schemas.openxmlformats.org/officeDocument/2006/relationships/hyperlink" Target="https://standards.buildingsmart.org/IFC/RELEASE/IFC4/ADD2_TC1/HTML/schema/ifchvacdomain/pset/pset_cooledbeamtypeactive.htm" TargetMode="External"/><Relationship Id="rId639" Type="http://schemas.openxmlformats.org/officeDocument/2006/relationships/hyperlink" Target="https://standards.buildingsmart.org/IFC/RELEASE/IFC4/ADD2_TC1/HTML/schema/ifcexternalreferenceresource/lexical/ifcexternalreference.htm" TargetMode="External"/><Relationship Id="rId1269" Type="http://schemas.openxmlformats.org/officeDocument/2006/relationships/hyperlink" Target="https://standards.buildingsmart.org/IFC/RELEASE/IFC4/ADD2_TC1/HTML/schema/ifcmeasureresource/lexical/ifccorrectdimensions.htm" TargetMode="External"/><Relationship Id="rId1476" Type="http://schemas.openxmlformats.org/officeDocument/2006/relationships/hyperlink" Target="https://standards.buildingsmart.org/IFC/RELEASE/IFC4/ADD2_TC1/HTML/schema/ifchvacdomain/pset/pset_valvetypecommon.htm" TargetMode="External"/><Relationship Id="rId2874" Type="http://schemas.openxmlformats.org/officeDocument/2006/relationships/hyperlink" Target="https://standards.buildingsmart.org/IFC/RELEASE/IFC4/ADD2_TC1/HTML/schema/ifchvacdomain/pset/pset_pipefittingoccurrence.htm" TargetMode="External"/><Relationship Id="rId846" Type="http://schemas.openxmlformats.org/officeDocument/2006/relationships/hyperlink" Target="https://standards.buildingsmart.org/IFC/RELEASE/IFC4/ADD2_TC1/HTML/schema/ifcrepresentationresource/lexical/ifcproductdefinitionshape.htm" TargetMode="External"/><Relationship Id="rId1129" Type="http://schemas.openxmlformats.org/officeDocument/2006/relationships/hyperlink" Target="https://standards.buildingsmart.org/IFC/RELEASE/IFC4/ADD2_TC1/HTML/schema/ifckernel/lexical/ifctypeprocess.htm" TargetMode="External"/><Relationship Id="rId1683" Type="http://schemas.openxmlformats.org/officeDocument/2006/relationships/hyperlink" Target="https://standards.buildingsmart.org/IFC/RELEASE/IFC4/ADD2_TC1/HTML/schema/ifcstructuralelementsdomain/pset/pset_concreteelementgeneral.htm" TargetMode="External"/><Relationship Id="rId1890" Type="http://schemas.openxmlformats.org/officeDocument/2006/relationships/hyperlink" Target="https://standards.buildingsmart.org/IFC/RELEASE/IFC4/ADD2_TC1/HTML/schema/ifcplumbingfireprotectiondomain/pset/pset_sanitaryterminaltypesink.htm" TargetMode="External"/><Relationship Id="rId2527" Type="http://schemas.openxmlformats.org/officeDocument/2006/relationships/hyperlink" Target="https://standards.buildingsmart.org/IFC/RELEASE/IFC4/ADD2_TC1/HTML/schema/ifcplumbingfireprotectiondomain/pset/pset_wasteterminaltypefloorwaste.htm" TargetMode="External"/><Relationship Id="rId2734" Type="http://schemas.openxmlformats.org/officeDocument/2006/relationships/hyperlink" Target="https://standards.buildingsmart.org/IFC/RELEASE/IFC4/ADD2_TC1/HTML/schema/ifchvacdomain/pset/pset_tubebundletypefinned.htm" TargetMode="External"/><Relationship Id="rId2941" Type="http://schemas.openxmlformats.org/officeDocument/2006/relationships/hyperlink" Target="https://standards.buildingsmart.org/IFC/RELEASE/IFC4/ADD2_TC1/HTML/schema/ifcelectricaldomain/pset/pset_protectivedevicebreakerunittypemcb.htm" TargetMode="External"/><Relationship Id="rId706" Type="http://schemas.openxmlformats.org/officeDocument/2006/relationships/hyperlink" Target="https://standards.buildingsmart.org/IFC/RELEASE/IFC4/ADD2_TC1/HTML/schema/ifchvacdomain/lexical/ifchumidifier.htm" TargetMode="External"/><Relationship Id="rId913" Type="http://schemas.openxmlformats.org/officeDocument/2006/relationships/hyperlink" Target="https://standards.buildingsmart.org/IFC/RELEASE/IFC4/ADD2_TC1/HTML/schema/ifckernel/lexical/ifcrelassignstogroupbyfactor.htm" TargetMode="External"/><Relationship Id="rId1336" Type="http://schemas.openxmlformats.org/officeDocument/2006/relationships/hyperlink" Target="https://standards.buildingsmart.org/IFC/RELEASE/IFC4/ADD2_TC1/HTML/schema/ifchvacdomain/pset/pset_boilerphistory.htm" TargetMode="External"/><Relationship Id="rId1543" Type="http://schemas.openxmlformats.org/officeDocument/2006/relationships/hyperlink" Target="https://standards.buildingsmart.org/IFC/RELEASE/IFC4/ADD2_TC1/HTML/schema/ifcproductextension/pset/pset_environmentalimpactindicators.htm" TargetMode="External"/><Relationship Id="rId1750" Type="http://schemas.openxmlformats.org/officeDocument/2006/relationships/hyperlink" Target="https://standards.buildingsmart.org/IFC/RELEASE/IFC4/ADD2_TC1/HTML/schema/ifcplumbingfireprotectiondomain/pset/pset_firesuppressionterminaltypecommon.htm" TargetMode="External"/><Relationship Id="rId2801" Type="http://schemas.openxmlformats.org/officeDocument/2006/relationships/hyperlink" Target="https://standards.buildingsmart.org/IFC/RELEASE/IFC4/ADD2_TC1/HTML/schema/ifcproductextension/pset/pset_spaceoccupancyrequirements.htm" TargetMode="External"/><Relationship Id="rId42" Type="http://schemas.openxmlformats.org/officeDocument/2006/relationships/hyperlink" Target="https://standards.buildingsmart.org/IFC/RELEASE/IFC4/ADD2_TC1/HTML/schema/ifcmeasureresource/lexical/ifcpressuremeasure.htm" TargetMode="External"/><Relationship Id="rId1403" Type="http://schemas.openxmlformats.org/officeDocument/2006/relationships/hyperlink" Target="https://standards.buildingsmart.org/IFC/RELEASE/IFC4/ADD2_TC1/HTML/schema/ifcsharedbldgserviceelements/pset/pset_distributionchamberelementtypemeterchamber.htm" TargetMode="External"/><Relationship Id="rId1610" Type="http://schemas.openxmlformats.org/officeDocument/2006/relationships/hyperlink" Target="https://standards.buildingsmart.org/IFC/RELEASE/IFC4/ADD2_TC1/HTML/schema/ifcsharedbldgelements/pset/pset_rampcommon.htm" TargetMode="External"/><Relationship Id="rId3368" Type="http://schemas.openxmlformats.org/officeDocument/2006/relationships/hyperlink" Target="https://standards.buildingsmart.org/IFC/RELEASE/IFC4/ADD2_TC1/HTML/schema/ifcplumbingfireprotectiondomain/pset/pset_wasteterminaltypegullytrap.htm" TargetMode="External"/><Relationship Id="rId3575" Type="http://schemas.openxmlformats.org/officeDocument/2006/relationships/hyperlink" Target="https://standards.buildingsmart.org/IFC/RELEASE/IFC4/ADD2_TC1/HTML/schema/ifcplumbingfireprotectiondomain/pset/pset_firesuppressionterminaltypesprinkler.htm" TargetMode="External"/><Relationship Id="rId3782" Type="http://schemas.openxmlformats.org/officeDocument/2006/relationships/hyperlink" Target="https://standards.buildingsmart.org/IFC/RELEASE/IFC4/ADD2_TC1/HTML/schema/ifckernel/lexical/ifccomplexpropertytemplate.htm" TargetMode="External"/><Relationship Id="rId289" Type="http://schemas.openxmlformats.org/officeDocument/2006/relationships/hyperlink" Target="https://standards.buildingsmart.org/IFC/RELEASE/IFC4/ADD2_TC1/HTML/schema/ifcelectricaldomain/lexical/ifcsolardevicetypeenum.htm" TargetMode="External"/><Relationship Id="rId496" Type="http://schemas.openxmlformats.org/officeDocument/2006/relationships/hyperlink" Target="https://standards.buildingsmart.org/IFC/RELEASE/IFC4/ADD2_TC1/HTML/schema/ifcpresentationappearanceresource/lexical/ifccolourspecification.htm" TargetMode="External"/><Relationship Id="rId2177" Type="http://schemas.openxmlformats.org/officeDocument/2006/relationships/hyperlink" Target="https://standards.buildingsmart.org/IFC/RELEASE/IFC4/ADD2_TC1/HTML/schema/ifcelectricaldomain/pset/pset_cablesegmenttypecommon.htm" TargetMode="External"/><Relationship Id="rId2384" Type="http://schemas.openxmlformats.org/officeDocument/2006/relationships/hyperlink" Target="https://standards.buildingsmart.org/IFC/RELEASE/IFC4/ADD2_TC1/HTML/schema/ifcproductextension/pset/pset_spaceoccupancyrequirements.htm" TargetMode="External"/><Relationship Id="rId2591" Type="http://schemas.openxmlformats.org/officeDocument/2006/relationships/hyperlink" Target="https://standards.buildingsmart.org/IFC/RELEASE/IFC4/ADD2_TC1/HTML/schema/ifcelectricaldomain/pset/pset_electricflowstoragedevicetypecommon.htm" TargetMode="External"/><Relationship Id="rId3228" Type="http://schemas.openxmlformats.org/officeDocument/2006/relationships/hyperlink" Target="https://standards.buildingsmart.org/IFC/RELEASE/IFC4/ADD2_TC1/HTML/schema/ifchvacdomain/pset/pset_burnertypecommon.htm" TargetMode="External"/><Relationship Id="rId3435" Type="http://schemas.openxmlformats.org/officeDocument/2006/relationships/hyperlink" Target="https://standards.buildingsmart.org/IFC/RELEASE/IFC4/ADD2_TC1/HTML/schema/ifcproductextension/pset/pset_buildingcommon.htm" TargetMode="External"/><Relationship Id="rId3642" Type="http://schemas.openxmlformats.org/officeDocument/2006/relationships/hyperlink" Target="https://standards.buildingsmart.org/IFC/RELEASE/IFC4/ADD2_TC1/HTML/schema/ifchvacdomain/pset/pset_humidifierphistory.htm" TargetMode="External"/><Relationship Id="rId149" Type="http://schemas.openxmlformats.org/officeDocument/2006/relationships/hyperlink" Target="https://standards.buildingsmart.org/IFC/RELEASE/IFC4/ADD2_TC1/HTML/schema/ifcsharedcomponentelements/lexical/ifcbuildingelementparttypeenum.htm" TargetMode="External"/><Relationship Id="rId356" Type="http://schemas.openxmlformats.org/officeDocument/2006/relationships/hyperlink" Target="https://standards.buildingsmart.org/IFC/RELEASE/IFC4/ADD2_TC1/HTML/schema/ifcpresentationappearanceresource/lexical/ifchatchlinedistanceselect.htm" TargetMode="External"/><Relationship Id="rId563" Type="http://schemas.openxmlformats.org/officeDocument/2006/relationships/hyperlink" Target="https://standards.buildingsmart.org/IFC/RELEASE/IFC4/ADD2_TC1/HTML/schema/ifcprofileresource/lexical/ifcderivedprofiledef.htm" TargetMode="External"/><Relationship Id="rId770" Type="http://schemas.openxmlformats.org/officeDocument/2006/relationships/hyperlink" Target="https://standards.buildingsmart.org/IFC/RELEASE/IFC4/ADD2_TC1/HTML/schema/ifchvacdomain/lexical/ifcmedicaldevice.htm" TargetMode="External"/><Relationship Id="rId1193" Type="http://schemas.openxmlformats.org/officeDocument/2006/relationships/hyperlink" Target="https://standards.buildingsmart.org/IFC/RELEASE/IFC4/ADD2_TC1/HTML/schema/ifcbuildingcontrolsdomain/qset/qto_controllerbasequantities.htm" TargetMode="External"/><Relationship Id="rId2037" Type="http://schemas.openxmlformats.org/officeDocument/2006/relationships/hyperlink" Target="https://standards.buildingsmart.org/IFC/RELEASE/IFC4/ADD2_TC1/HTML/schema/ifcsharedmgmtelements/pset/pset_actionrequest.htm" TargetMode="External"/><Relationship Id="rId2244" Type="http://schemas.openxmlformats.org/officeDocument/2006/relationships/hyperlink" Target="https://standards.buildingsmart.org/IFC/RELEASE/IFC4/ADD2_TC1/HTML/schema/ifcelectricaldomain/pset/pset_transformertypecommon.htm" TargetMode="External"/><Relationship Id="rId2451" Type="http://schemas.openxmlformats.org/officeDocument/2006/relationships/hyperlink" Target="https://standards.buildingsmart.org/IFC/RELEASE/IFC4/ADD2_TC1/HTML/schema/ifcplumbingfireprotectiondomain/pset/pset_wasteterminaltypegullysump.htm" TargetMode="External"/><Relationship Id="rId216" Type="http://schemas.openxmlformats.org/officeDocument/2006/relationships/hyperlink" Target="https://standards.buildingsmart.org/IFC/RELEASE/IFC4/ADD2_TC1/HTML/schema/ifcsharedbldgserviceelements/lexical/ifcflowdirectionenum.htm" TargetMode="External"/><Relationship Id="rId423" Type="http://schemas.openxmlformats.org/officeDocument/2006/relationships/hyperlink" Target="https://standards.buildingsmart.org/IFC/RELEASE/IFC4/ADD2_TC1/HTML/schema/ifcelectricaldomain/lexical/ifcaudiovisualappliance.htm" TargetMode="External"/><Relationship Id="rId1053" Type="http://schemas.openxmlformats.org/officeDocument/2006/relationships/hyperlink" Target="https://standards.buildingsmart.org/IFC/RELEASE/IFC4/ADD2_TC1/HTML/schema/ifcstructuralanalysisdomain/lexical/ifcstructuralsurfacemember.htm" TargetMode="External"/><Relationship Id="rId1260" Type="http://schemas.openxmlformats.org/officeDocument/2006/relationships/hyperlink" Target="https://standards.buildingsmart.org/IFC/RELEASE/IFC4/ADD2_TC1/HTML/schema/ifcsharedbldgelements/qset/qto_windowbasequantities.htm" TargetMode="External"/><Relationship Id="rId2104" Type="http://schemas.openxmlformats.org/officeDocument/2006/relationships/hyperlink" Target="https://standards.buildingsmart.org/IFC/RELEASE/IFC4/ADD2_TC1/HTML/schema/ifchvacdomain/pset/pset_tanktypecommon.htm" TargetMode="External"/><Relationship Id="rId3502" Type="http://schemas.openxmlformats.org/officeDocument/2006/relationships/hyperlink" Target="https://standards.buildingsmart.org/IFC/RELEASE/IFC4/ADD2_TC1/HTML/schema/ifcplumbingfireprotectiondomain/pset/pset_sanitaryterminaltypecommon.htm" TargetMode="External"/><Relationship Id="rId630" Type="http://schemas.openxmlformats.org/officeDocument/2006/relationships/hyperlink" Target="https://standards.buildingsmart.org/IFC/RELEASE/IFC4/ADD2_TC1/HTML/schema/ifchvacdomain/lexical/ifcevaporatortype.htm" TargetMode="External"/><Relationship Id="rId2311" Type="http://schemas.openxmlformats.org/officeDocument/2006/relationships/hyperlink" Target="https://standards.buildingsmart.org/IFC/RELEASE/IFC4/ADD2_TC1/HTML/schema/ifcproductextension/pset/pset_environmentalimpactvalues.htm" TargetMode="External"/><Relationship Id="rId1120" Type="http://schemas.openxmlformats.org/officeDocument/2006/relationships/hyperlink" Target="https://standards.buildingsmart.org/IFC/RELEASE/IFC4/ADD2_TC1/HTML/schema/ifcproductextension/lexical/ifctransportelement.htm" TargetMode="External"/><Relationship Id="rId1937" Type="http://schemas.openxmlformats.org/officeDocument/2006/relationships/hyperlink" Target="https://standards.buildingsmart.org/IFC/RELEASE/IFC4/ADD2_TC1/HTML/schema/ifcsharedbldgelements/pset/pset_doorwindowglazingtype.htm" TargetMode="External"/><Relationship Id="rId3085" Type="http://schemas.openxmlformats.org/officeDocument/2006/relationships/hyperlink" Target="https://standards.buildingsmart.org/IFC/RELEASE/IFC4/ADD2_TC1/HTML/schema/ifcsharedbldgserviceelements/pset/pset_utilityconsumptionphistory.htm" TargetMode="External"/><Relationship Id="rId3292" Type="http://schemas.openxmlformats.org/officeDocument/2006/relationships/hyperlink" Target="https://standards.buildingsmart.org/IFC/RELEASE/IFC4/ADD2_TC1/HTML/schema/ifcstructuralelementsdomain/pset/pset_precastslab.htm" TargetMode="External"/><Relationship Id="rId3152" Type="http://schemas.openxmlformats.org/officeDocument/2006/relationships/hyperlink" Target="https://standards.buildingsmart.org/IFC/RELEASE/IFC4/ADD2_TC1/HTML/schema/ifcsharedbldgelements/pset/pset_wallcommon.htm" TargetMode="External"/><Relationship Id="rId280" Type="http://schemas.openxmlformats.org/officeDocument/2006/relationships/hyperlink" Target="https://standards.buildingsmart.org/IFC/RELEASE/IFC4/ADD2_TC1/HTML/schema/ifcplumbingfireprotectiondomain/lexical/ifcsanitaryterminaltypeenum.htm" TargetMode="External"/><Relationship Id="rId3012" Type="http://schemas.openxmlformats.org/officeDocument/2006/relationships/hyperlink" Target="https://standards.buildingsmart.org/IFC/RELEASE/IFC4/ADD2_TC1/HTML/schema/ifcsharedbldgelements/pset/pset_windowcommon.htm" TargetMode="External"/><Relationship Id="rId140" Type="http://schemas.openxmlformats.org/officeDocument/2006/relationships/hyperlink" Target="https://standards.buildingsmart.org/IFC/RELEASE/IFC4/ADD2_TC1/HTML/schema/ifccostresource/lexical/ifcarithmeticoperatorenum.htm" TargetMode="External"/><Relationship Id="rId6" Type="http://schemas.openxmlformats.org/officeDocument/2006/relationships/hyperlink" Target="https://standards.buildingsmart.org/IFC/RELEASE/IFC4/ADD2_TC1/HTML/schema/ifcexternalreferenceresource/lexical/ifcurireference.htm" TargetMode="External"/><Relationship Id="rId2778" Type="http://schemas.openxmlformats.org/officeDocument/2006/relationships/hyperlink" Target="https://standards.buildingsmart.org/IFC/RELEASE/IFC4/ADD2_TC1/HTML/schema/ifchvacdomain/pset/pset_pipefittingtypejunction.htm" TargetMode="External"/><Relationship Id="rId2985" Type="http://schemas.openxmlformats.org/officeDocument/2006/relationships/hyperlink" Target="https://standards.buildingsmart.org/IFC/RELEASE/IFC4/ADD2_TC1/HTML/schema/ifcsharedbldgserviceelements/pset/pset_spacethermaldesign.htm" TargetMode="External"/><Relationship Id="rId957" Type="http://schemas.openxmlformats.org/officeDocument/2006/relationships/hyperlink" Target="https://standards.buildingsmart.org/IFC/RELEASE/IFC4/ADD2_TC1/HTML/schema/ifcrepresentationresource/lexical/ifcrepresentation.htm" TargetMode="External"/><Relationship Id="rId1587" Type="http://schemas.openxmlformats.org/officeDocument/2006/relationships/hyperlink" Target="https://standards.buildingsmart.org/IFC/RELEASE/IFC4/ADD2_TC1/HTML/schema/ifcstructuralanalysisdomain/pset/pset_structuralsurfacemembervaryingthickness.htm" TargetMode="External"/><Relationship Id="rId1794" Type="http://schemas.openxmlformats.org/officeDocument/2006/relationships/hyperlink" Target="https://standards.buildingsmart.org/IFC/RELEASE/IFC4/ADD2_TC1/HTML/schema/ifchvacdomain/pset/pset_airterminaltypecommon.htm" TargetMode="External"/><Relationship Id="rId2638" Type="http://schemas.openxmlformats.org/officeDocument/2006/relationships/hyperlink" Target="https://standards.buildingsmart.org/IFC/RELEASE/IFC4/ADD2_TC1/HTML/schema/ifchvacdomain/pset/pset_flowmetertypeoilmeter.htm" TargetMode="External"/><Relationship Id="rId2845" Type="http://schemas.openxmlformats.org/officeDocument/2006/relationships/hyperlink" Target="https://standards.buildingsmart.org/IFC/RELEASE/IFC4/ADD2_TC1/HTML/schema/ifcsharedbldgelements/pset/pset_beamcommon.htm" TargetMode="External"/><Relationship Id="rId86" Type="http://schemas.openxmlformats.org/officeDocument/2006/relationships/hyperlink" Target="https://standards.buildingsmart.org/IFC/RELEASE/IFC4/ADD2_TC1/HTML/schema/ifcmeasureresource/lexical/ifcintegercountratemeasure.htm" TargetMode="External"/><Relationship Id="rId817" Type="http://schemas.openxmlformats.org/officeDocument/2006/relationships/hyperlink" Target="https://standards.buildingsmart.org/IFC/RELEASE/IFC4/ADD2_TC1/HTML/schema/ifcpresentationdefinitionresource/lexical/ifcplanarextent.htm" TargetMode="External"/><Relationship Id="rId1447" Type="http://schemas.openxmlformats.org/officeDocument/2006/relationships/hyperlink" Target="https://standards.buildingsmart.org/IFC/RELEASE/IFC4/ADD2_TC1/HTML/schema/ifcelectricaldomain/pset/pset_audiovisualappliancetypeprojector.htm" TargetMode="External"/><Relationship Id="rId1654" Type="http://schemas.openxmlformats.org/officeDocument/2006/relationships/hyperlink" Target="https://standards.buildingsmart.org/IFC/RELEASE/IFC4/ADD2_TC1/HTML/schema/ifcelectricaldomain/pset/pset_switchingdevicetypeemergencystop.htm" TargetMode="External"/><Relationship Id="rId1861" Type="http://schemas.openxmlformats.org/officeDocument/2006/relationships/hyperlink" Target="https://standards.buildingsmart.org/IFC/RELEASE/IFC4/ADD2_TC1/HTML/schema/ifcsharedbldgelements/pset/pset_shadingdevicecommon.htm" TargetMode="External"/><Relationship Id="rId2705" Type="http://schemas.openxmlformats.org/officeDocument/2006/relationships/hyperlink" Target="https://standards.buildingsmart.org/IFC/RELEASE/IFC4/ADD2_TC1/HTML/schema/ifcsharedbldgelements/pset/pset_staircommon.htm" TargetMode="External"/><Relationship Id="rId2912" Type="http://schemas.openxmlformats.org/officeDocument/2006/relationships/hyperlink" Target="https://standards.buildingsmart.org/IFC/RELEASE/IFC4/ADD2_TC1/HTML/schema/ifcsharedbldgserviceelements/pset/pset_thermalloadaggregate.htm" TargetMode="External"/><Relationship Id="rId1307" Type="http://schemas.openxmlformats.org/officeDocument/2006/relationships/hyperlink" Target="https://standards.buildingsmart.org/IFC/RELEASE/IFC4/ADD2_TC1/HTML/schema/ifcgeometryresource/lexical/ifcvectorsum.htm" TargetMode="External"/><Relationship Id="rId1514" Type="http://schemas.openxmlformats.org/officeDocument/2006/relationships/hyperlink" Target="https://standards.buildingsmart.org/IFC/RELEASE/IFC4/ADD2_TC1/HTML/schema/ifcelectricaldomain/pset/pset_audiovisualappliancetypetuner.htm" TargetMode="External"/><Relationship Id="rId1721" Type="http://schemas.openxmlformats.org/officeDocument/2006/relationships/hyperlink" Target="https://standards.buildingsmart.org/IFC/RELEASE/IFC4/ADD2_TC1/HTML/schema/ifcplumbingfireprotectiondomain/pset/pset_sanitaryterminaltypecommon.htm" TargetMode="External"/><Relationship Id="rId13" Type="http://schemas.openxmlformats.org/officeDocument/2006/relationships/hyperlink" Target="https://standards.buildingsmart.org/IFC/RELEASE/IFC4/ADD2_TC1/HTML/schema/ifcmeasureresource/lexical/ifcthermalresistancemeasure.htm" TargetMode="External"/><Relationship Id="rId3479" Type="http://schemas.openxmlformats.org/officeDocument/2006/relationships/hyperlink" Target="https://standards.buildingsmart.org/IFC/RELEASE/IFC4/ADD2_TC1/HTML/schema/ifchvacdomain/pset/pset_compressorphistory.htm" TargetMode="External"/><Relationship Id="rId3686" Type="http://schemas.openxmlformats.org/officeDocument/2006/relationships/hyperlink" Target="https://standards.buildingsmart.org/IFC/RELEASE/IFC4/ADD2_TC1/HTML/schema/ifchvacdomain/pset/pset_coolingtowertypecommon.htm" TargetMode="External"/><Relationship Id="rId2288" Type="http://schemas.openxmlformats.org/officeDocument/2006/relationships/hyperlink" Target="https://standards.buildingsmart.org/IFC/RELEASE/IFC4/ADD2_TC1/HTML/schema/ifcmaterialresource/pset/pset_materialcommon.htm" TargetMode="External"/><Relationship Id="rId2495" Type="http://schemas.openxmlformats.org/officeDocument/2006/relationships/hyperlink" Target="https://standards.buildingsmart.org/IFC/RELEASE/IFC4/ADD2_TC1/HTML/schema/ifchvacdomain/pset/pset_boilertypewater.htm" TargetMode="External"/><Relationship Id="rId3339" Type="http://schemas.openxmlformats.org/officeDocument/2006/relationships/hyperlink" Target="https://standards.buildingsmart.org/IFC/RELEASE/IFC4/ADD2_TC1/HTML/schema/ifchvacdomain/pset/pset_airtoairheatrecoveryphistory.htm" TargetMode="External"/><Relationship Id="rId467" Type="http://schemas.openxmlformats.org/officeDocument/2006/relationships/hyperlink" Target="https://standards.buildingsmart.org/IFC/RELEASE/IFC4/ADD2_TC1/HTML/schema/ifcelectricaldomain/lexical/ifccablefittingtype.htm" TargetMode="External"/><Relationship Id="rId1097" Type="http://schemas.openxmlformats.org/officeDocument/2006/relationships/hyperlink" Target="https://standards.buildingsmart.org/IFC/RELEASE/IFC4/ADD2_TC1/HTML/schema/ifcstructuralelementsdomain/lexical/ifctendonanchortype.htm" TargetMode="External"/><Relationship Id="rId2148" Type="http://schemas.openxmlformats.org/officeDocument/2006/relationships/hyperlink" Target="https://standards.buildingsmart.org/IFC/RELEASE/IFC4/ADD2_TC1/HTML/schema/ifchvacdomain/pset/pset_evaporativecoolertypecommon.htm" TargetMode="External"/><Relationship Id="rId3546" Type="http://schemas.openxmlformats.org/officeDocument/2006/relationships/hyperlink" Target="https://standards.buildingsmart.org/IFC/RELEASE/IFC4/ADD2_TC1/HTML/schema/ifcsharedbldgserviceelements/pset/pset_distributionchamberelementtypeinspectionchamber.htm" TargetMode="External"/><Relationship Id="rId3753" Type="http://schemas.openxmlformats.org/officeDocument/2006/relationships/hyperlink" Target="https://standards.buildingsmart.org/IFC/RELEASE/IFC4/ADD2_TC1/HTML/schema/ifcsharedbldgelements/pset/pset_slabcommon.htm" TargetMode="External"/><Relationship Id="rId674" Type="http://schemas.openxmlformats.org/officeDocument/2006/relationships/hyperlink" Target="https://standards.buildingsmart.org/IFC/RELEASE/IFC4/ADD2_TC1/HTML/schema/ifchvacdomain/lexical/ifcflowmeter.htm" TargetMode="External"/><Relationship Id="rId881" Type="http://schemas.openxmlformats.org/officeDocument/2006/relationships/hyperlink" Target="https://standards.buildingsmart.org/IFC/RELEASE/IFC4/ADD2_TC1/HTML/schema/ifckernel/lexical/ifcquantityset.htm" TargetMode="External"/><Relationship Id="rId2355" Type="http://schemas.openxmlformats.org/officeDocument/2006/relationships/hyperlink" Target="https://standards.buildingsmart.org/IFC/RELEASE/IFC4/ADD2_TC1/HTML/schema/ifcplumbingfireprotectiondomain/pset/pset_wasteterminaltypegullytrap.htm" TargetMode="External"/><Relationship Id="rId2562" Type="http://schemas.openxmlformats.org/officeDocument/2006/relationships/hyperlink" Target="https://standards.buildingsmart.org/IFC/RELEASE/IFC4/ADD2_TC1/HTML/schema/ifcelectricaldomain/pset/pset_protectivedevicetrippingunittypeelectronic.htm" TargetMode="External"/><Relationship Id="rId3406" Type="http://schemas.openxmlformats.org/officeDocument/2006/relationships/hyperlink" Target="https://standards.buildingsmart.org/IFC/RELEASE/IFC4/ADD2_TC1/HTML/schema/ifcsharedbldgserviceelements/pset/pset_outsidedesigncriteria.htm" TargetMode="External"/><Relationship Id="rId3613" Type="http://schemas.openxmlformats.org/officeDocument/2006/relationships/hyperlink" Target="https://standards.buildingsmart.org/IFC/RELEASE/IFC4/ADD2_TC1/HTML/schema/ifcsharedbldgserviceelements/pset/pset_distributionchamberelementtypemeterchamber.htm" TargetMode="External"/><Relationship Id="rId327" Type="http://schemas.openxmlformats.org/officeDocument/2006/relationships/hyperlink" Target="https://standards.buildingsmart.org/IFC/RELEASE/IFC4/ADD2_TC1/HTML/schema/ifcarchitecturedomain/lexical/ifcwindowpanelpositionenum.htm" TargetMode="External"/><Relationship Id="rId534" Type="http://schemas.openxmlformats.org/officeDocument/2006/relationships/hyperlink" Target="https://standards.buildingsmart.org/IFC/RELEASE/IFC4/ADD2_TC1/HTML/schema/ifchvacdomain/lexical/ifccooledbeam.htm" TargetMode="External"/><Relationship Id="rId741" Type="http://schemas.openxmlformats.org/officeDocument/2006/relationships/hyperlink" Target="https://standards.buildingsmart.org/IFC/RELEASE/IFC4/ADD2_TC1/HTML/schema/ifcgeometryresource/lexical/ifcline.htm" TargetMode="External"/><Relationship Id="rId1164" Type="http://schemas.openxmlformats.org/officeDocument/2006/relationships/hyperlink" Target="https://standards.buildingsmart.org/IFC/RELEASE/IFC4/ADD2_TC1/HTML/schema/ifcprocessextension/lexical/ifcworkschedule.htm" TargetMode="External"/><Relationship Id="rId1371" Type="http://schemas.openxmlformats.org/officeDocument/2006/relationships/hyperlink" Target="https://standards.buildingsmart.org/IFC/RELEASE/IFC4/ADD2_TC1/HTML/schema/ifcsharedbldgelements/pset/pset_doorcommon.htm" TargetMode="External"/><Relationship Id="rId2008" Type="http://schemas.openxmlformats.org/officeDocument/2006/relationships/hyperlink" Target="https://standards.buildingsmart.org/IFC/RELEASE/IFC4/ADD2_TC1/HTML/schema/ifchvacdomain/pset/pset_humidifiertypecommon.htm" TargetMode="External"/><Relationship Id="rId2215" Type="http://schemas.openxmlformats.org/officeDocument/2006/relationships/hyperlink" Target="https://standards.buildingsmart.org/IFC/RELEASE/IFC4/ADD2_TC1/HTML/schema/ifcproductextension/pset/pset_environmentalimpactvalues.htm" TargetMode="External"/><Relationship Id="rId2422" Type="http://schemas.openxmlformats.org/officeDocument/2006/relationships/hyperlink" Target="https://standards.buildingsmart.org/IFC/RELEASE/IFC4/ADD2_TC1/HTML/schema/ifcproductextension/pset/pset_environmentalimpactvalues.htm" TargetMode="External"/><Relationship Id="rId601" Type="http://schemas.openxmlformats.org/officeDocument/2006/relationships/hyperlink" Target="https://standards.buildingsmart.org/IFC/RELEASE/IFC4/ADD2_TC1/HTML/schema/ifcelectricaldomain/lexical/ifcelectricappliance.htm" TargetMode="External"/><Relationship Id="rId1024" Type="http://schemas.openxmlformats.org/officeDocument/2006/relationships/hyperlink" Target="https://standards.buildingsmart.org/IFC/RELEASE/IFC4/ADD2_TC1/HTML/schema/ifcstructuralanalysisdomain/lexical/ifcstructuralcurveaction.htm" TargetMode="External"/><Relationship Id="rId1231" Type="http://schemas.openxmlformats.org/officeDocument/2006/relationships/hyperlink" Target="https://standards.buildingsmart.org/IFC/RELEASE/IFC4/ADD2_TC1/HTML/schema/ifchvacdomain/qset/qto_pipesegmentbasequantities.htm" TargetMode="External"/><Relationship Id="rId3196" Type="http://schemas.openxmlformats.org/officeDocument/2006/relationships/hyperlink" Target="https://standards.buildingsmart.org/IFC/RELEASE/IFC4/ADD2_TC1/HTML/schema/ifcbuildingcontrolsdomain/pset/pset_actuatortypecommon.htm" TargetMode="External"/><Relationship Id="rId3056" Type="http://schemas.openxmlformats.org/officeDocument/2006/relationships/hyperlink" Target="https://standards.buildingsmart.org/IFC/RELEASE/IFC4/ADD2_TC1/HTML/schema/ifcelectricaldomain/pset/pset_protectivedeviceoccurrence.htm" TargetMode="External"/><Relationship Id="rId3263" Type="http://schemas.openxmlformats.org/officeDocument/2006/relationships/hyperlink" Target="https://standards.buildingsmart.org/IFC/RELEASE/IFC4/ADD2_TC1/HTML/schema/ifcelectricaldomain/pset/pset_electricflowstoragedevicetypecommon.htm" TargetMode="External"/><Relationship Id="rId3470" Type="http://schemas.openxmlformats.org/officeDocument/2006/relationships/hyperlink" Target="https://standards.buildingsmart.org/IFC/RELEASE/IFC4/ADD2_TC1/HTML/schema/ifchvacdomain/pset/pset_compressorphistory.htm" TargetMode="External"/><Relationship Id="rId184" Type="http://schemas.openxmlformats.org/officeDocument/2006/relationships/hyperlink" Target="https://standards.buildingsmart.org/IFC/RELEASE/IFC4/ADD2_TC1/HTML/schema/ifcsharedbldgserviceelements/lexical/ifcdistributionchamberelementtypeenum.htm" TargetMode="External"/><Relationship Id="rId391" Type="http://schemas.openxmlformats.org/officeDocument/2006/relationships/hyperlink" Target="https://standards.buildingsmart.org/IFC/RELEASE/IFC4/ADD2_TC1/HTML/schema/ifcmeasureresource/lexical/ifcunit.htm" TargetMode="External"/><Relationship Id="rId1908" Type="http://schemas.openxmlformats.org/officeDocument/2006/relationships/hyperlink" Target="https://standards.buildingsmart.org/IFC/RELEASE/IFC4/ADD2_TC1/HTML/schema/ifcstructuralelementsdomain/pset/pset_precastconcreteelementgeneral.htm" TargetMode="External"/><Relationship Id="rId2072" Type="http://schemas.openxmlformats.org/officeDocument/2006/relationships/hyperlink" Target="https://standards.buildingsmart.org/IFC/RELEASE/IFC4/ADD2_TC1/HTML/schema/ifchvacdomain/pset/pset_ductsegmenttypecommon.htm" TargetMode="External"/><Relationship Id="rId3123" Type="http://schemas.openxmlformats.org/officeDocument/2006/relationships/hyperlink" Target="https://standards.buildingsmart.org/IFC/RELEASE/IFC4/ADD2_TC1/HTML/schema/ifchvacdomain/pset/pset_coolingtowertypecommon.htm" TargetMode="External"/><Relationship Id="rId251" Type="http://schemas.openxmlformats.org/officeDocument/2006/relationships/hyperlink" Target="https://standards.buildingsmart.org/IFC/RELEASE/IFC4/ADD2_TC1/HTML/schema/ifcarchitecturedomain/lexical/ifcpermeablecoveringoperationenum.htm" TargetMode="External"/><Relationship Id="rId3330" Type="http://schemas.openxmlformats.org/officeDocument/2006/relationships/hyperlink" Target="https://standards.buildingsmart.org/IFC/RELEASE/IFC4/ADD2_TC1/HTML/schema/ifcstructuralelementsdomain/pset/pset_reinforcementbarpitchofcolumn.htm" TargetMode="External"/><Relationship Id="rId2889" Type="http://schemas.openxmlformats.org/officeDocument/2006/relationships/hyperlink" Target="https://standards.buildingsmart.org/IFC/RELEASE/IFC4/ADD2_TC1/HTML/schema/ifchvacdomain/pset/pset_compressorphistory.htm" TargetMode="External"/><Relationship Id="rId111" Type="http://schemas.openxmlformats.org/officeDocument/2006/relationships/hyperlink" Target="https://standards.buildingsmart.org/IFC/RELEASE/IFC4/ADD2_TC1/HTML/schema/ifcdatetimeresource/lexical/ifcdayinweeknumber.htm" TargetMode="External"/><Relationship Id="rId1698" Type="http://schemas.openxmlformats.org/officeDocument/2006/relationships/hyperlink" Target="https://standards.buildingsmart.org/IFC/RELEASE/IFC4/ADD2_TC1/HTML/schema/ifcbuildingcontrolsdomain/pset/pset_actuatorphistory.htm" TargetMode="External"/><Relationship Id="rId2749" Type="http://schemas.openxmlformats.org/officeDocument/2006/relationships/hyperlink" Target="https://standards.buildingsmart.org/IFC/RELEASE/IFC4/ADD2_TC1/HTML/schema/ifcmaterialresource/pset/pset_materialwood.htm" TargetMode="External"/><Relationship Id="rId2956" Type="http://schemas.openxmlformats.org/officeDocument/2006/relationships/hyperlink" Target="https://standards.buildingsmart.org/IFC/RELEASE/IFC4/ADD2_TC1/HTML/schema/ifchvacdomain/pset/pset_airterminalboxtypecommon.htm" TargetMode="External"/><Relationship Id="rId928" Type="http://schemas.openxmlformats.org/officeDocument/2006/relationships/hyperlink" Target="https://standards.buildingsmart.org/IFC/RELEASE/IFC4/ADD2_TC1/HTML/schema/ifcproductextension/lexical/ifcrelconnectsports.htm" TargetMode="External"/><Relationship Id="rId1558" Type="http://schemas.openxmlformats.org/officeDocument/2006/relationships/hyperlink" Target="https://standards.buildingsmart.org/IFC/RELEASE/IFC4/ADD2_TC1/HTML/schema/ifcsharedbldgserviceelements/pset/pset_airsidesysteminformation.htm" TargetMode="External"/><Relationship Id="rId1765" Type="http://schemas.openxmlformats.org/officeDocument/2006/relationships/hyperlink" Target="https://standards.buildingsmart.org/IFC/RELEASE/IFC4/ADD2_TC1/HTML/schema/ifchvacdomain/pset/pset_ductsegmenttypecommon.htm" TargetMode="External"/><Relationship Id="rId2609" Type="http://schemas.openxmlformats.org/officeDocument/2006/relationships/hyperlink" Target="https://standards.buildingsmart.org/IFC/RELEASE/IFC4/ADD2_TC1/HTML/schema/ifchvacdomain/pset/pset_filtertypeairparticlefilter.htm" TargetMode="External"/><Relationship Id="rId57" Type="http://schemas.openxmlformats.org/officeDocument/2006/relationships/hyperlink" Target="https://standards.buildingsmart.org/IFC/RELEASE/IFC4/ADD2_TC1/HTML/schema/ifcmeasureresource/lexical/ifcmonetarymeasure.htm" TargetMode="External"/><Relationship Id="rId1418" Type="http://schemas.openxmlformats.org/officeDocument/2006/relationships/hyperlink" Target="https://standards.buildingsmart.org/IFC/RELEASE/IFC4/ADD2_TC1/HTML/schema/ifcsharedbldgserviceelements/pset/pset_distributionporttypepipe.htm" TargetMode="External"/><Relationship Id="rId1972" Type="http://schemas.openxmlformats.org/officeDocument/2006/relationships/hyperlink" Target="https://standards.buildingsmart.org/IFC/RELEASE/IFC4/ADD2_TC1/HTML/schema/ifcelectricaldomain/pset/pset_lightfixturetypecommon.htm" TargetMode="External"/><Relationship Id="rId2816" Type="http://schemas.openxmlformats.org/officeDocument/2006/relationships/hyperlink" Target="https://standards.buildingsmart.org/IFC/RELEASE/IFC4/ADD2_TC1/HTML/schema/ifcsharedbldgelements/pset/pset_doorwindowglazingtype.htm" TargetMode="External"/><Relationship Id="rId1625" Type="http://schemas.openxmlformats.org/officeDocument/2006/relationships/hyperlink" Target="https://standards.buildingsmart.org/IFC/RELEASE/IFC4/ADD2_TC1/HTML/schema/ifcproductextension/pset/pset_buildinguse.htm" TargetMode="External"/><Relationship Id="rId1832" Type="http://schemas.openxmlformats.org/officeDocument/2006/relationships/hyperlink" Target="https://standards.buildingsmart.org/IFC/RELEASE/IFC4/ADD2_TC1/HTML/schema/ifcelectricaldomain/pset/pset_audiovisualappliancetypespeaker.htm" TargetMode="External"/><Relationship Id="rId2399" Type="http://schemas.openxmlformats.org/officeDocument/2006/relationships/hyperlink" Target="https://standards.buildingsmart.org/IFC/RELEASE/IFC4/ADD2_TC1/HTML/schema/ifcsharedbldgelements/pset/pset_stairflightcommon.htm" TargetMode="External"/><Relationship Id="rId3657" Type="http://schemas.openxmlformats.org/officeDocument/2006/relationships/hyperlink" Target="https://standards.buildingsmart.org/IFC/RELEASE/IFC4/ADD2_TC1/HTML/schema/ifcsharedfacilitieselements/pset/pset_manufacturertypeinformation.htm" TargetMode="External"/><Relationship Id="rId578" Type="http://schemas.openxmlformats.org/officeDocument/2006/relationships/hyperlink" Target="https://standards.buildingsmart.org/IFC/RELEASE/IFC4/ADD2_TC1/HTML/schema/ifcsharedbldgserviceelements/lexical/ifcdistributionflowelementtype.htm" TargetMode="External"/><Relationship Id="rId785" Type="http://schemas.openxmlformats.org/officeDocument/2006/relationships/hyperlink" Target="https://standards.buildingsmart.org/IFC/RELEASE/IFC4/ADD2_TC1/HTML/schema/ifcsharedfacilitieselements/lexical/ifcoccupant.htm" TargetMode="External"/><Relationship Id="rId992" Type="http://schemas.openxmlformats.org/officeDocument/2006/relationships/hyperlink" Target="https://standards.buildingsmart.org/IFC/RELEASE/IFC4/ADD2_TC1/HTML/schema/ifcmeasureresource/lexical/ifcsiunit.htm" TargetMode="External"/><Relationship Id="rId2259" Type="http://schemas.openxmlformats.org/officeDocument/2006/relationships/hyperlink" Target="https://standards.buildingsmart.org/IFC/RELEASE/IFC4/ADD2_TC1/HTML/schema/ifchvacdomain/pset/pset_ductsegmenttypecommon.htm" TargetMode="External"/><Relationship Id="rId2466" Type="http://schemas.openxmlformats.org/officeDocument/2006/relationships/hyperlink" Target="https://standards.buildingsmart.org/IFC/RELEASE/IFC4/ADD2_TC1/HTML/schema/ifchvacdomain/pset/pset_humidifiertypecommon.htm" TargetMode="External"/><Relationship Id="rId2673" Type="http://schemas.openxmlformats.org/officeDocument/2006/relationships/hyperlink" Target="https://standards.buildingsmart.org/IFC/RELEASE/IFC4/ADD2_TC1/HTML/schema/ifchvacdomain/pset/pset_pipefittingphistory.htm" TargetMode="External"/><Relationship Id="rId2880" Type="http://schemas.openxmlformats.org/officeDocument/2006/relationships/hyperlink" Target="https://standards.buildingsmart.org/IFC/RELEASE/IFC4/ADD2_TC1/HTML/schema/ifcbuildingcontrolsdomain/pset/pset_controllertypeproportional.htm" TargetMode="External"/><Relationship Id="rId3517" Type="http://schemas.openxmlformats.org/officeDocument/2006/relationships/hyperlink" Target="https://standards.buildingsmart.org/IFC/RELEASE/IFC4/ADD2_TC1/HTML/schema/ifcmaterialresource/pset/pset_materialcombustion.htm" TargetMode="External"/><Relationship Id="rId3724" Type="http://schemas.openxmlformats.org/officeDocument/2006/relationships/hyperlink" Target="https://standards.buildingsmart.org/IFC/RELEASE/IFC4/ADD2_TC1/HTML/schema/ifcsharedfacilitieselements/pset/pset_propertyagreement.htm" TargetMode="External"/><Relationship Id="rId438" Type="http://schemas.openxmlformats.org/officeDocument/2006/relationships/hyperlink" Target="https://standards.buildingsmart.org/IFC/RELEASE/IFC4/ADD2_TC1/HTML/schema/ifcgeometryresource/lexical/ifcboundarycurve.htm" TargetMode="External"/><Relationship Id="rId645" Type="http://schemas.openxmlformats.org/officeDocument/2006/relationships/hyperlink" Target="https://standards.buildingsmart.org/IFC/RELEASE/IFC4/ADD2_TC1/HTML/schema/ifctopologyresource/lexical/ifcface.htm" TargetMode="External"/><Relationship Id="rId852" Type="http://schemas.openxmlformats.org/officeDocument/2006/relationships/hyperlink" Target="https://standards.buildingsmart.org/IFC/RELEASE/IFC4/ADD2_TC1/HTML/schema/ifcproductextension/lexical/ifcprojectionelement.htm" TargetMode="External"/><Relationship Id="rId1068" Type="http://schemas.openxmlformats.org/officeDocument/2006/relationships/hyperlink" Target="https://standards.buildingsmart.org/IFC/RELEASE/IFC4/ADD2_TC1/HTML/schema/ifcstructuralloadresource/lexical/ifcsurfacereinforcementarea.htm" TargetMode="External"/><Relationship Id="rId1275" Type="http://schemas.openxmlformats.org/officeDocument/2006/relationships/hyperlink" Target="https://standards.buildingsmart.org/IFC/RELEASE/IFC4/ADD2_TC1/HTML/schema/ifcgeometryresource/lexical/ifccurvedim.htm" TargetMode="External"/><Relationship Id="rId1482" Type="http://schemas.openxmlformats.org/officeDocument/2006/relationships/hyperlink" Target="https://standards.buildingsmart.org/IFC/RELEASE/IFC4/ADD2_TC1/HTML/schema/ifcbuildingcontrolsdomain/pset/pset_controllertypefloating.htm" TargetMode="External"/><Relationship Id="rId2119" Type="http://schemas.openxmlformats.org/officeDocument/2006/relationships/hyperlink" Target="https://standards.buildingsmart.org/IFC/RELEASE/IFC4/ADD2_TC1/HTML/schema/ifcstructuralelementsdomain/pset/pset_reinforcingbarcommon.htm" TargetMode="External"/><Relationship Id="rId2326" Type="http://schemas.openxmlformats.org/officeDocument/2006/relationships/hyperlink" Target="https://standards.buildingsmart.org/IFC/RELEASE/IFC4/ADD2_TC1/HTML/schema/ifchvacdomain/pset/pset_boilertypecommon.htm" TargetMode="External"/><Relationship Id="rId2533" Type="http://schemas.openxmlformats.org/officeDocument/2006/relationships/hyperlink" Target="https://standards.buildingsmart.org/IFC/RELEASE/IFC4/ADD2_TC1/HTML/schema/ifcplumbingfireprotectiondomain/pset/pset_wasteterminaltypefloortrap.htm" TargetMode="External"/><Relationship Id="rId2740" Type="http://schemas.openxmlformats.org/officeDocument/2006/relationships/hyperlink" Target="https://standards.buildingsmart.org/IFC/RELEASE/IFC4/ADD2_TC1/HTML/schema/ifcprofileresource/pset/pset_profilearbitrarydoublet.htm" TargetMode="External"/><Relationship Id="rId505" Type="http://schemas.openxmlformats.org/officeDocument/2006/relationships/hyperlink" Target="https://standards.buildingsmart.org/IFC/RELEASE/IFC4/ADD2_TC1/HTML/schema/ifcprofileresource/lexical/ifccompositeprofiledef.htm" TargetMode="External"/><Relationship Id="rId712" Type="http://schemas.openxmlformats.org/officeDocument/2006/relationships/hyperlink" Target="https://standards.buildingsmart.org/IFC/RELEASE/IFC4/ADD2_TC1/HTML/schema/ifcgeometricmodelresource/lexical/ifcindexedpolygonalfacewithvoids.htm" TargetMode="External"/><Relationship Id="rId1135" Type="http://schemas.openxmlformats.org/officeDocument/2006/relationships/hyperlink" Target="https://standards.buildingsmart.org/IFC/RELEASE/IFC4/ADD2_TC1/HTML/schema/ifchvacdomain/lexical/ifcunitaryequipmenttype.htm" TargetMode="External"/><Relationship Id="rId1342" Type="http://schemas.openxmlformats.org/officeDocument/2006/relationships/hyperlink" Target="https://standards.buildingsmart.org/IFC/RELEASE/IFC4/ADD2_TC1/HTML/schema/ifcsharedbldgserviceelements/pset/pset_distributionchamberelementtypemanhole.htm" TargetMode="External"/><Relationship Id="rId1202" Type="http://schemas.openxmlformats.org/officeDocument/2006/relationships/hyperlink" Target="https://standards.buildingsmart.org/IFC/RELEASE/IFC4/ADD2_TC1/HTML/schema/ifchvacdomain/qset/qto_ductsegmentbasequantities.htm" TargetMode="External"/><Relationship Id="rId2600" Type="http://schemas.openxmlformats.org/officeDocument/2006/relationships/hyperlink" Target="https://standards.buildingsmart.org/IFC/RELEASE/IFC4/ADD2_TC1/HTML/schema/ifcprofileresource/pset/pset_profilemechanical.htm" TargetMode="External"/><Relationship Id="rId3167" Type="http://schemas.openxmlformats.org/officeDocument/2006/relationships/hyperlink" Target="https://standards.buildingsmart.org/IFC/RELEASE/IFC4/ADD2_TC1/HTML/schema/ifcplumbingfireprotectiondomain/pset/pset_firesuppressionterminaltypefirehydrant.htm" TargetMode="External"/><Relationship Id="rId295" Type="http://schemas.openxmlformats.org/officeDocument/2006/relationships/hyperlink" Target="https://standards.buildingsmart.org/IFC/RELEASE/IFC4/ADD2_TC1/HTML/schema/ifcsharedbldgelements/lexical/ifcstairtypeenum.htm" TargetMode="External"/><Relationship Id="rId3374" Type="http://schemas.openxmlformats.org/officeDocument/2006/relationships/hyperlink" Target="https://standards.buildingsmart.org/IFC/RELEASE/IFC4/ADD2_TC1/HTML/schema/ifcplumbingfireprotectiondomain/pset/pset_wasteterminaltyperoofdrain.htm" TargetMode="External"/><Relationship Id="rId3581" Type="http://schemas.openxmlformats.org/officeDocument/2006/relationships/hyperlink" Target="https://standards.buildingsmart.org/IFC/RELEASE/IFC4/ADD2_TC1/HTML/schema/ifcelectricaldomain/pset/pset_audiovisualappliancetypedisplay.htm" TargetMode="External"/><Relationship Id="rId2183" Type="http://schemas.openxmlformats.org/officeDocument/2006/relationships/hyperlink" Target="https://standards.buildingsmart.org/IFC/RELEASE/IFC4/ADD2_TC1/HTML/schema/ifcproductextension/pset/pset_buildingstoreycommon.htm" TargetMode="External"/><Relationship Id="rId2390" Type="http://schemas.openxmlformats.org/officeDocument/2006/relationships/hyperlink" Target="https://standards.buildingsmart.org/IFC/RELEASE/IFC4/ADD2_TC1/HTML/schema/ifcsharedbldgelements/pset/pset_staircommon.htm" TargetMode="External"/><Relationship Id="rId3027" Type="http://schemas.openxmlformats.org/officeDocument/2006/relationships/hyperlink" Target="https://standards.buildingsmart.org/IFC/RELEASE/IFC4/ADD2_TC1/HTML/schema/ifchvacdomain/pset/pset_compressortypecommon.htm" TargetMode="External"/><Relationship Id="rId3234" Type="http://schemas.openxmlformats.org/officeDocument/2006/relationships/hyperlink" Target="https://standards.buildingsmart.org/IFC/RELEASE/IFC4/ADD2_TC1/HTML/schema/ifchvacdomain/pset/pset_chillerphistory.htm" TargetMode="External"/><Relationship Id="rId3441" Type="http://schemas.openxmlformats.org/officeDocument/2006/relationships/hyperlink" Target="https://standards.buildingsmart.org/IFC/RELEASE/IFC4/ADD2_TC1/HTML/schema/ifcsharedbldgserviceelements/pset/pset_distributionporttypeduct.htm" TargetMode="External"/><Relationship Id="rId155" Type="http://schemas.openxmlformats.org/officeDocument/2006/relationships/hyperlink" Target="https://standards.buildingsmart.org/IFC/RELEASE/IFC4/ADD2_TC1/HTML/schema/ifcelectricaldomain/lexical/ifccablefittingtypeenum.htm" TargetMode="External"/><Relationship Id="rId362" Type="http://schemas.openxmlformats.org/officeDocument/2006/relationships/hyperlink" Target="https://standards.buildingsmart.org/IFC/RELEASE/IFC4/ADD2_TC1/HTML/schema/ifcconstraintresource/lexical/ifcmetricvalueselect.htm" TargetMode="External"/><Relationship Id="rId2043" Type="http://schemas.openxmlformats.org/officeDocument/2006/relationships/hyperlink" Target="https://standards.buildingsmart.org/IFC/RELEASE/IFC4/ADD2_TC1/HTML/schema/ifchvacdomain/pset/pset_flowmetertypecommon.htm" TargetMode="External"/><Relationship Id="rId2250" Type="http://schemas.openxmlformats.org/officeDocument/2006/relationships/hyperlink" Target="https://standards.buildingsmart.org/IFC/RELEASE/IFC4/ADD2_TC1/HTML/schema/ifcsharedbldgserviceelements/pset/pset_outsidedesigncriteria.htm" TargetMode="External"/><Relationship Id="rId3301" Type="http://schemas.openxmlformats.org/officeDocument/2006/relationships/hyperlink" Target="https://standards.buildingsmart.org/IFC/RELEASE/IFC4/ADD2_TC1/HTML/schema/ifchvacdomain/pset/pset_fanphistory.htm" TargetMode="External"/><Relationship Id="rId222" Type="http://schemas.openxmlformats.org/officeDocument/2006/relationships/hyperlink" Target="https://standards.buildingsmart.org/IFC/RELEASE/IFC4/ADD2_TC1/HTML/schema/ifcrepresentationresource/lexical/ifcgeometricprojectionenum.htm" TargetMode="External"/><Relationship Id="rId2110" Type="http://schemas.openxmlformats.org/officeDocument/2006/relationships/hyperlink" Target="https://standards.buildingsmart.org/IFC/RELEASE/IFC4/ADD2_TC1/HTML/schema/ifcproductextension/pset/pset_spacecommon.htm" TargetMode="External"/><Relationship Id="rId1669" Type="http://schemas.openxmlformats.org/officeDocument/2006/relationships/hyperlink" Target="https://standards.buildingsmart.org/IFC/RELEASE/IFC4/ADD2_TC1/HTML/schema/ifcstructuralelementsdomain/pset/pset_precastconcreteelementgeneral.htm" TargetMode="External"/><Relationship Id="rId1876" Type="http://schemas.openxmlformats.org/officeDocument/2006/relationships/hyperlink" Target="https://standards.buildingsmart.org/IFC/RELEASE/IFC4/ADD2_TC1/HTML/schema/ifcsharedbldgelements/pset/pset_doorcommon.htm" TargetMode="External"/><Relationship Id="rId2927" Type="http://schemas.openxmlformats.org/officeDocument/2006/relationships/hyperlink" Target="https://standards.buildingsmart.org/IFC/RELEASE/IFC4/ADD2_TC1/HTML/schema/ifcelectricaldomain/pset/pset_electricaldevicecommon.htm" TargetMode="External"/><Relationship Id="rId3091" Type="http://schemas.openxmlformats.org/officeDocument/2006/relationships/hyperlink" Target="https://standards.buildingsmart.org/IFC/RELEASE/IFC4/ADD2_TC1/HTML/schema/ifchvacdomain/pset/pset_dampertypecommon.htm" TargetMode="External"/><Relationship Id="rId1529" Type="http://schemas.openxmlformats.org/officeDocument/2006/relationships/hyperlink" Target="https://standards.buildingsmart.org/IFC/RELEASE/IFC4/ADD2_TC1/HTML/schema/ifcstructuralelementsdomain/pset/pset_reinforcingmeshcommon.htm" TargetMode="External"/><Relationship Id="rId1736" Type="http://schemas.openxmlformats.org/officeDocument/2006/relationships/hyperlink" Target="https://standards.buildingsmart.org/IFC/RELEASE/IFC4/ADD2_TC1/HTML/schema/ifcproductextension/pset/pset_openingelementcommon.htm" TargetMode="External"/><Relationship Id="rId1943" Type="http://schemas.openxmlformats.org/officeDocument/2006/relationships/hyperlink" Target="https://standards.buildingsmart.org/IFC/RELEASE/IFC4/ADD2_TC1/HTML/schema/ifcbuildingcontrolsdomain/pset/pset_sensortyperadioactivitysensor.htm" TargetMode="External"/><Relationship Id="rId28" Type="http://schemas.openxmlformats.org/officeDocument/2006/relationships/hyperlink" Target="https://standards.buildingsmart.org/IFC/RELEASE/IFC4/ADD2_TC1/HTML/schema/ifcmeasureresource/lexical/ifcsoundpressurelevelmeasure.htm" TargetMode="External"/><Relationship Id="rId1803" Type="http://schemas.openxmlformats.org/officeDocument/2006/relationships/hyperlink" Target="https://standards.buildingsmart.org/IFC/RELEASE/IFC4/ADD2_TC1/HTML/schema/ifcsharedcomponentelements/pset/pset_discreteaccessorystandardfixingplate.htm" TargetMode="External"/><Relationship Id="rId3768" Type="http://schemas.openxmlformats.org/officeDocument/2006/relationships/hyperlink" Target="https://standards.buildingsmart.org/IFC/RELEASE/IFC4/ADD2_TC1/HTML/schema/ifcsharedbldgserviceelements/pset/pset_distributionchamberelementtypeinspectionchamber.htm" TargetMode="External"/><Relationship Id="rId689" Type="http://schemas.openxmlformats.org/officeDocument/2006/relationships/hyperlink" Target="https://standards.buildingsmart.org/IFC/RELEASE/IFC4/ADD2_TC1/HTML/schema/ifcproductextension/lexical/ifcfurnishingelementtype.htm" TargetMode="External"/><Relationship Id="rId896" Type="http://schemas.openxmlformats.org/officeDocument/2006/relationships/hyperlink" Target="https://standards.buildingsmart.org/IFC/RELEASE/IFC4/ADD2_TC1/HTML/schema/ifcgeometryresource/lexical/ifcrectangulartrimmedsurface.htm" TargetMode="External"/><Relationship Id="rId2577" Type="http://schemas.openxmlformats.org/officeDocument/2006/relationships/hyperlink" Target="https://standards.buildingsmart.org/IFC/RELEASE/IFC4/ADD2_TC1/HTML/schema/ifcelectricaldomain/pset/pset_electricmotortypecommon.htm" TargetMode="External"/><Relationship Id="rId2784" Type="http://schemas.openxmlformats.org/officeDocument/2006/relationships/hyperlink" Target="https://standards.buildingsmart.org/IFC/RELEASE/IFC4/ADD2_TC1/HTML/schema/ifcelectricaldomain/pset/pset_protectivedevicetrippingfunctionscurve.htm" TargetMode="External"/><Relationship Id="rId3628" Type="http://schemas.openxmlformats.org/officeDocument/2006/relationships/hyperlink" Target="https://standards.buildingsmart.org/IFC/RELEASE/IFC4/ADD2_TC1/HTML/schema/ifcplumbingfireprotectiondomain/pset/pset_wasteterminaltypegullytrap.htm" TargetMode="External"/><Relationship Id="rId549" Type="http://schemas.openxmlformats.org/officeDocument/2006/relationships/hyperlink" Target="https://standards.buildingsmart.org/IFC/RELEASE/IFC4/ADD2_TC1/HTML/schema/ifcprofileresource/lexical/ifccshapeprofiledef.htm" TargetMode="External"/><Relationship Id="rId756" Type="http://schemas.openxmlformats.org/officeDocument/2006/relationships/hyperlink" Target="https://standards.buildingsmart.org/IFC/RELEASE/IFC4/ADD2_TC1/HTML/schema/ifcmaterialresource/lexical/ifcmateriallayersetusage.htm" TargetMode="External"/><Relationship Id="rId1179" Type="http://schemas.openxmlformats.org/officeDocument/2006/relationships/hyperlink" Target="https://standards.buildingsmart.org/IFC/RELEASE/IFC4/ADD2_TC1/HTML/schema/ifchvacdomain/qset/qto_burnerbasequantities.htm" TargetMode="External"/><Relationship Id="rId1386" Type="http://schemas.openxmlformats.org/officeDocument/2006/relationships/hyperlink" Target="https://standards.buildingsmart.org/IFC/RELEASE/IFC4/ADD2_TC1/HTML/schema/ifchvacdomain/pset/pset_cooledbeamtypecommon.htm" TargetMode="External"/><Relationship Id="rId1593" Type="http://schemas.openxmlformats.org/officeDocument/2006/relationships/hyperlink" Target="https://standards.buildingsmart.org/IFC/RELEASE/IFC4/ADD2_TC1/HTML/schema/ifcsharedbldgelements/pset/pset_doorwindowglazingtype.htm" TargetMode="External"/><Relationship Id="rId2437" Type="http://schemas.openxmlformats.org/officeDocument/2006/relationships/hyperlink" Target="https://standards.buildingsmart.org/IFC/RELEASE/IFC4/ADD2_TC1/HTML/schema/ifchvacdomain/pset/pset_fantypecommon.htm" TargetMode="External"/><Relationship Id="rId2991" Type="http://schemas.openxmlformats.org/officeDocument/2006/relationships/hyperlink" Target="https://standards.buildingsmart.org/IFC/RELEASE/IFC4/ADD2_TC1/HTML/schema/ifchvacdomain/pset/pset_unitaryequipmenttypeairconditioningunit.htm" TargetMode="External"/><Relationship Id="rId409" Type="http://schemas.openxmlformats.org/officeDocument/2006/relationships/hyperlink" Target="https://standards.buildingsmart.org/IFC/RELEASE/IFC4/ADD2_TC1/HTML/schema/ifchvacdomain/lexical/ifcairtoairheatrecoverytype.htm" TargetMode="External"/><Relationship Id="rId963" Type="http://schemas.openxmlformats.org/officeDocument/2006/relationships/hyperlink" Target="https://standards.buildingsmart.org/IFC/RELEASE/IFC4/ADD2_TC1/HTML/schema/ifcconstraintresource/lexical/ifcresourceconstraintrelationship.htm" TargetMode="External"/><Relationship Id="rId1039" Type="http://schemas.openxmlformats.org/officeDocument/2006/relationships/hyperlink" Target="https://standards.buildingsmart.org/IFC/RELEASE/IFC4/ADD2_TC1/HTML/schema/ifcstructuralloadresource/lexical/ifcstructuralloadsingledisplacementdistortion.htm" TargetMode="External"/><Relationship Id="rId1246" Type="http://schemas.openxmlformats.org/officeDocument/2006/relationships/hyperlink" Target="https://standards.buildingsmart.org/IFC/RELEASE/IFC4/ADD2_TC1/HTML/schema/ifcproductextension/qset/qto_spacebasequantities.htm" TargetMode="External"/><Relationship Id="rId2644" Type="http://schemas.openxmlformats.org/officeDocument/2006/relationships/hyperlink" Target="https://standards.buildingsmart.org/IFC/RELEASE/IFC4/ADD2_TC1/HTML/schema/ifchvacdomain/pset/pset_dampertypecommon.htm" TargetMode="External"/><Relationship Id="rId2851" Type="http://schemas.openxmlformats.org/officeDocument/2006/relationships/hyperlink" Target="https://standards.buildingsmart.org/IFC/RELEASE/IFC4/ADD2_TC1/HTML/schema/ifcsharedbldgelements/pset/pset_doorwindowglazingtype.htm" TargetMode="External"/><Relationship Id="rId92" Type="http://schemas.openxmlformats.org/officeDocument/2006/relationships/hyperlink" Target="https://standards.buildingsmart.org/IFC/RELEASE/IFC4/ADD2_TC1/HTML/schema/ifcmeasureresource/lexical/ifcheatfluxdensitymeasure.htm" TargetMode="External"/><Relationship Id="rId616" Type="http://schemas.openxmlformats.org/officeDocument/2006/relationships/hyperlink" Target="https://standards.buildingsmart.org/IFC/RELEASE/IFC4/ADD2_TC1/HTML/schema/ifcproductextension/lexical/ifcelementassemblytype.htm" TargetMode="External"/><Relationship Id="rId823" Type="http://schemas.openxmlformats.org/officeDocument/2006/relationships/hyperlink" Target="https://standards.buildingsmart.org/IFC/RELEASE/IFC4/ADD2_TC1/HTML/schema/ifcgeometryresource/lexical/ifcpointoncurve.htm" TargetMode="External"/><Relationship Id="rId1453" Type="http://schemas.openxmlformats.org/officeDocument/2006/relationships/hyperlink" Target="https://standards.buildingsmart.org/IFC/RELEASE/IFC4/ADD2_TC1/HTML/schema/ifcelectricaldomain/pset/pset_audiovisualappliancetypecamera.htm" TargetMode="External"/><Relationship Id="rId1660" Type="http://schemas.openxmlformats.org/officeDocument/2006/relationships/hyperlink" Target="https://standards.buildingsmart.org/IFC/RELEASE/IFC4/ADD2_TC1/HTML/schema/ifcsharedbldgelements/pset/pset_wallcommon.htm" TargetMode="External"/><Relationship Id="rId2504" Type="http://schemas.openxmlformats.org/officeDocument/2006/relationships/hyperlink" Target="https://standards.buildingsmart.org/IFC/RELEASE/IFC4/ADD2_TC1/HTML/schema/ifcsharedbldgserviceelements/pset/pset_distributionporttypepipe.htm" TargetMode="External"/><Relationship Id="rId2711" Type="http://schemas.openxmlformats.org/officeDocument/2006/relationships/hyperlink" Target="https://standards.buildingsmart.org/IFC/RELEASE/IFC4/ADD2_TC1/HTML/schema/ifcstructuralelementsdomain/pset/pset_pilecommon.htm" TargetMode="External"/><Relationship Id="rId1106" Type="http://schemas.openxmlformats.org/officeDocument/2006/relationships/hyperlink" Target="https://standards.buildingsmart.org/IFC/RELEASE/IFC4/ADD2_TC1/HTML/schema/ifcpresentationappearanceresource/lexical/ifctextstyletextmodel.htm" TargetMode="External"/><Relationship Id="rId1313" Type="http://schemas.openxmlformats.org/officeDocument/2006/relationships/hyperlink" Target="https://standards.buildingsmart.org/IFC/RELEASE/IFC4/ADD2_TC1/HTML/schema/ifcmaterialresource/pset/pset_materialsteel.htm" TargetMode="External"/><Relationship Id="rId1520" Type="http://schemas.openxmlformats.org/officeDocument/2006/relationships/hyperlink" Target="https://standards.buildingsmart.org/IFC/RELEASE/IFC4/ADD2_TC1/HTML/schema/ifcsharedbldgelements/pset/pset_staircommon.htm" TargetMode="External"/><Relationship Id="rId3278" Type="http://schemas.openxmlformats.org/officeDocument/2006/relationships/hyperlink" Target="https://standards.buildingsmart.org/IFC/RELEASE/IFC4/ADD2_TC1/HTML/schema/ifchvacdomain/pset/pset_fanphistory.htm" TargetMode="External"/><Relationship Id="rId3485" Type="http://schemas.openxmlformats.org/officeDocument/2006/relationships/hyperlink" Target="https://standards.buildingsmart.org/IFC/RELEASE/IFC4/ADD2_TC1/HTML/schema/ifchvacdomain/pset/pset_boilerphistory.htm" TargetMode="External"/><Relationship Id="rId3692" Type="http://schemas.openxmlformats.org/officeDocument/2006/relationships/hyperlink" Target="https://standards.buildingsmart.org/IFC/RELEASE/IFC4/ADD2_TC1/HTML/schema/ifcproductextension/pset/pset_spacefiresafetyrequirements.htm" TargetMode="External"/><Relationship Id="rId199" Type="http://schemas.openxmlformats.org/officeDocument/2006/relationships/hyperlink" Target="https://standards.buildingsmart.org/IFC/RELEASE/IFC4/ADD2_TC1/HTML/schema/ifcelectricaldomain/lexical/ifcelectricdistributionboardtypeenum.htm" TargetMode="External"/><Relationship Id="rId2087" Type="http://schemas.openxmlformats.org/officeDocument/2006/relationships/hyperlink" Target="https://standards.buildingsmart.org/IFC/RELEASE/IFC4/ADD2_TC1/HTML/schema/ifcstructuralelementsdomain/pset/pset_reinforcementbarcountofindependentfooting.htm" TargetMode="External"/><Relationship Id="rId2294" Type="http://schemas.openxmlformats.org/officeDocument/2006/relationships/hyperlink" Target="https://standards.buildingsmart.org/IFC/RELEASE/IFC4/ADD2_TC1/HTML/schema/ifcelectricaldomain/pset/pset_audiovisualappliancetypeplayer.htm" TargetMode="External"/><Relationship Id="rId3138" Type="http://schemas.openxmlformats.org/officeDocument/2006/relationships/hyperlink" Target="https://standards.buildingsmart.org/IFC/RELEASE/IFC4/ADD2_TC1/HTML/schema/ifcelectricaldomain/pset/pset_lightfixturetypesecuritylighting.htm" TargetMode="External"/><Relationship Id="rId3345" Type="http://schemas.openxmlformats.org/officeDocument/2006/relationships/hyperlink" Target="https://standards.buildingsmart.org/IFC/RELEASE/IFC4/ADD2_TC1/HTML/schema/ifchvacdomain/pset/pset_airterminalboxphistory.htm" TargetMode="External"/><Relationship Id="rId3552" Type="http://schemas.openxmlformats.org/officeDocument/2006/relationships/hyperlink" Target="https://standards.buildingsmart.org/IFC/RELEASE/IFC4/ADD2_TC1/HTML/schema/ifcprofileresource/pset/pset_profilearbitraryhollowcore.htm" TargetMode="External"/><Relationship Id="rId266" Type="http://schemas.openxmlformats.org/officeDocument/2006/relationships/hyperlink" Target="https://standards.buildingsmart.org/IFC/RELEASE/IFC4/ADD2_TC1/HTML/schema/ifcelectricaldomain/lexical/ifcprotectivedevicetrippingunittypeenum.htm" TargetMode="External"/><Relationship Id="rId473" Type="http://schemas.openxmlformats.org/officeDocument/2006/relationships/hyperlink" Target="https://standards.buildingsmart.org/IFC/RELEASE/IFC4/ADD2_TC1/HTML/schema/ifcgeometricmodelresource/lexical/ifccartesianpointlist3d.htm" TargetMode="External"/><Relationship Id="rId680" Type="http://schemas.openxmlformats.org/officeDocument/2006/relationships/hyperlink" Target="https://standards.buildingsmart.org/IFC/RELEASE/IFC4/ADD2_TC1/HTML/schema/ifcsharedbldgserviceelements/lexical/ifcflowstoragedevice.htm" TargetMode="External"/><Relationship Id="rId2154" Type="http://schemas.openxmlformats.org/officeDocument/2006/relationships/hyperlink" Target="https://standards.buildingsmart.org/IFC/RELEASE/IFC4/ADD2_TC1/HTML/schema/ifcelectricaldomain/pset/pset_electricgeneratortypecommon.htm" TargetMode="External"/><Relationship Id="rId2361" Type="http://schemas.openxmlformats.org/officeDocument/2006/relationships/hyperlink" Target="https://standards.buildingsmart.org/IFC/RELEASE/IFC4/ADD2_TC1/HTML/schema/ifchvacdomain/pset/pset_pipesegmenttypecommon.htm" TargetMode="External"/><Relationship Id="rId3205" Type="http://schemas.openxmlformats.org/officeDocument/2006/relationships/hyperlink" Target="https://standards.buildingsmart.org/IFC/RELEASE/IFC4/ADD2_TC1/HTML/schema/ifchvacdomain/pset/pset_condenserphistory.htm" TargetMode="External"/><Relationship Id="rId3412" Type="http://schemas.openxmlformats.org/officeDocument/2006/relationships/hyperlink" Target="https://standards.buildingsmart.org/IFC/RELEASE/IFC4/ADD2_TC1/HTML/schema/ifcsharedbldgserviceelements/pset/pset_outsidedesigncriteria.htm" TargetMode="External"/><Relationship Id="rId126" Type="http://schemas.openxmlformats.org/officeDocument/2006/relationships/hyperlink" Target="https://standards.buildingsmart.org/IFC/RELEASE/IFC4/ADD2_TC1/HTML/schema/ifcmeasureresource/lexical/ifcamountofsubstancemeasure.htm" TargetMode="External"/><Relationship Id="rId333" Type="http://schemas.openxmlformats.org/officeDocument/2006/relationships/hyperlink" Target="https://standards.buildingsmart.org/IFC/RELEASE/IFC4/ADD2_TC1/HTML/schema/ifcprocessextension/lexical/ifcworkplantypeenum.htm" TargetMode="External"/><Relationship Id="rId540" Type="http://schemas.openxmlformats.org/officeDocument/2006/relationships/hyperlink" Target="https://standards.buildingsmart.org/IFC/RELEASE/IFC4/ADD2_TC1/HTML/schema/ifcsharedmgmtelements/lexical/ifccostitem.htm" TargetMode="External"/><Relationship Id="rId1170" Type="http://schemas.openxmlformats.org/officeDocument/2006/relationships/hyperlink" Target="https://standards.buildingsmart.org/IFC/RELEASE/IFC4/ADD2_TC1/HTML/schema/ifchvacdomain/qset/qto_airterminalboxtypebasequantities.htm" TargetMode="External"/><Relationship Id="rId2014" Type="http://schemas.openxmlformats.org/officeDocument/2006/relationships/hyperlink" Target="https://standards.buildingsmart.org/IFC/RELEASE/IFC4/ADD2_TC1/HTML/schema/ifcsharedbldgelements/pset/pset_beamcommon.htm" TargetMode="External"/><Relationship Id="rId2221" Type="http://schemas.openxmlformats.org/officeDocument/2006/relationships/hyperlink" Target="https://standards.buildingsmart.org/IFC/RELEASE/IFC4/ADD2_TC1/HTML/schema/ifcbuildingcontrolsdomain/pset/pset_flowinstrumentphistory.htm" TargetMode="External"/><Relationship Id="rId1030" Type="http://schemas.openxmlformats.org/officeDocument/2006/relationships/hyperlink" Target="https://standards.buildingsmart.org/IFC/RELEASE/IFC4/ADD2_TC1/HTML/schema/ifcstructuralanalysisdomain/lexical/ifcstructurallinearaction.htm" TargetMode="External"/><Relationship Id="rId400" Type="http://schemas.openxmlformats.org/officeDocument/2006/relationships/hyperlink" Target="https://standards.buildingsmart.org/IFC/RELEASE/IFC4/ADD2_TC1/HTML/schema/ifcactorresource/lexical/ifcaddress.htm" TargetMode="External"/><Relationship Id="rId1987" Type="http://schemas.openxmlformats.org/officeDocument/2006/relationships/hyperlink" Target="https://standards.buildingsmart.org/IFC/RELEASE/IFC4/ADD2_TC1/HTML/schema/ifcsharedbldgelements/pset/pset_doorcommon.htm" TargetMode="External"/><Relationship Id="rId1847" Type="http://schemas.openxmlformats.org/officeDocument/2006/relationships/hyperlink" Target="https://standards.buildingsmart.org/IFC/RELEASE/IFC4/ADD2_TC1/HTML/schema/ifchvacdomain/pset/pset_spacethermalphistory.htm" TargetMode="External"/><Relationship Id="rId1707" Type="http://schemas.openxmlformats.org/officeDocument/2006/relationships/hyperlink" Target="https://standards.buildingsmart.org/IFC/RELEASE/IFC4/ADD2_TC1/HTML/schema/ifcproductextension/pset/pset_transportelementcommon.htm" TargetMode="External"/><Relationship Id="rId3062" Type="http://schemas.openxmlformats.org/officeDocument/2006/relationships/hyperlink" Target="https://standards.buildingsmart.org/IFC/RELEASE/IFC4/ADD2_TC1/HTML/schema/ifcproductextension/pset/pset_buildingcommon.htm" TargetMode="External"/><Relationship Id="rId190" Type="http://schemas.openxmlformats.org/officeDocument/2006/relationships/hyperlink" Target="https://standards.buildingsmart.org/IFC/RELEASE/IFC4/ADD2_TC1/HTML/schema/ifcarchitecturedomain/lexical/ifcdoorpanelpositionenum.htm" TargetMode="External"/><Relationship Id="rId1914" Type="http://schemas.openxmlformats.org/officeDocument/2006/relationships/hyperlink" Target="https://standards.buildingsmart.org/IFC/RELEASE/IFC4/ADD2_TC1/HTML/schema/ifcelectricaldomain/pset/pset_electricflowstoragedevicetypecommon.htm" TargetMode="External"/><Relationship Id="rId2688" Type="http://schemas.openxmlformats.org/officeDocument/2006/relationships/hyperlink" Target="https://standards.buildingsmart.org/IFC/RELEASE/IFC4/ADD2_TC1/HTML/schema/ifcstructuralelementsdomain/pset/pset_reinforcementbarpitchofslab.htm" TargetMode="External"/><Relationship Id="rId2895" Type="http://schemas.openxmlformats.org/officeDocument/2006/relationships/hyperlink" Target="https://standards.buildingsmart.org/IFC/RELEASE/IFC4/ADD2_TC1/HTML/schema/ifchvacdomain/pset/pset_pipesegmenttypecommon.htm" TargetMode="External"/><Relationship Id="rId3739" Type="http://schemas.openxmlformats.org/officeDocument/2006/relationships/hyperlink" Target="https://standards.buildingsmart.org/IFC/RELEASE/IFC4/ADD2_TC1/HTML/schema/ifchvacdomain/pset/pset_dampertypefiresmokedamper.htm" TargetMode="External"/><Relationship Id="rId867" Type="http://schemas.openxmlformats.org/officeDocument/2006/relationships/hyperlink" Target="https://standards.buildingsmart.org/IFC/RELEASE/IFC4/ADD2_TC1/HTML/schema/ifcpropertyresource/lexical/ifcpropertysinglevalue.htm" TargetMode="External"/><Relationship Id="rId1497" Type="http://schemas.openxmlformats.org/officeDocument/2006/relationships/hyperlink" Target="https://standards.buildingsmart.org/IFC/RELEASE/IFC4/ADD2_TC1/HTML/schema/ifcproductextension/pset/pset_environmentalimpactindicators.htm" TargetMode="External"/><Relationship Id="rId2548" Type="http://schemas.openxmlformats.org/officeDocument/2006/relationships/hyperlink" Target="https://standards.buildingsmart.org/IFC/RELEASE/IFC4/ADD2_TC1/HTML/schema/ifcproductextension/pset/pset_buildingcommon.htm" TargetMode="External"/><Relationship Id="rId2755" Type="http://schemas.openxmlformats.org/officeDocument/2006/relationships/hyperlink" Target="https://standards.buildingsmart.org/IFC/RELEASE/IFC4/ADD2_TC1/HTML/schema/ifcproductextension/pset/pset_landregistration.htm" TargetMode="External"/><Relationship Id="rId2962" Type="http://schemas.openxmlformats.org/officeDocument/2006/relationships/hyperlink" Target="https://standards.buildingsmart.org/IFC/RELEASE/IFC4/ADD2_TC1/HTML/schema/ifcplumbingfireprotectiondomain/pset/pset_firesuppressionterminaltypefirehydrant.htm" TargetMode="External"/><Relationship Id="rId727" Type="http://schemas.openxmlformats.org/officeDocument/2006/relationships/hyperlink" Target="https://standards.buildingsmart.org/IFC/RELEASE/IFC4/ADD2_TC1/HTML/schema/ifcelectricaldomain/lexical/ifclamp.htm" TargetMode="External"/><Relationship Id="rId934" Type="http://schemas.openxmlformats.org/officeDocument/2006/relationships/hyperlink" Target="https://standards.buildingsmart.org/IFC/RELEASE/IFC4/ADD2_TC1/HTML/schema/ifcproductextension/lexical/ifcrelcontainedinspatialstructure.htm" TargetMode="External"/><Relationship Id="rId1357" Type="http://schemas.openxmlformats.org/officeDocument/2006/relationships/hyperlink" Target="https://standards.buildingsmart.org/IFC/RELEASE/IFC4/ADD2_TC1/HTML/schema/ifchvacdomain/pset/pset_fanphistory.htm" TargetMode="External"/><Relationship Id="rId1564" Type="http://schemas.openxmlformats.org/officeDocument/2006/relationships/hyperlink" Target="https://standards.buildingsmart.org/IFC/RELEASE/IFC4/ADD2_TC1/HTML/schema/ifcplumbingfireprotectiondomain/pset/pset_sanitaryterminaltypetoiletpan.htm" TargetMode="External"/><Relationship Id="rId1771" Type="http://schemas.openxmlformats.org/officeDocument/2006/relationships/hyperlink" Target="https://standards.buildingsmart.org/IFC/RELEASE/IFC4/ADD2_TC1/HTML/schema/ifcsharedbldgelements/pset/pset_coveringcommon.htm" TargetMode="External"/><Relationship Id="rId2408" Type="http://schemas.openxmlformats.org/officeDocument/2006/relationships/hyperlink" Target="https://standards.buildingsmart.org/IFC/RELEASE/IFC4/ADD2_TC1/HTML/schema/ifcelectricaldomain/pset/pset_junctionboxtypecommon.htm" TargetMode="External"/><Relationship Id="rId2615" Type="http://schemas.openxmlformats.org/officeDocument/2006/relationships/hyperlink" Target="https://standards.buildingsmart.org/IFC/RELEASE/IFC4/ADD2_TC1/HTML/schema/ifchvacdomain/pset/pset_pumpphistory.htm" TargetMode="External"/><Relationship Id="rId2822" Type="http://schemas.openxmlformats.org/officeDocument/2006/relationships/hyperlink" Target="https://standards.buildingsmart.org/IFC/RELEASE/IFC4/ADD2_TC1/HTML/schema/ifchvacdomain/pset/pset_cooledbeamtypecommon.htm" TargetMode="External"/><Relationship Id="rId63" Type="http://schemas.openxmlformats.org/officeDocument/2006/relationships/hyperlink" Target="https://standards.buildingsmart.org/IFC/RELEASE/IFC4/ADD2_TC1/HTML/schema/ifcmeasureresource/lexical/ifcmodulusoflinearsubgradereactionmeasure.htm" TargetMode="External"/><Relationship Id="rId1217" Type="http://schemas.openxmlformats.org/officeDocument/2006/relationships/hyperlink" Target="https://standards.buildingsmart.org/IFC/RELEASE/IFC4/ADD2_TC1/HTML/schema/ifcstructuralelementsdomain/qset/qto_footingbasequantities.htm" TargetMode="External"/><Relationship Id="rId1424" Type="http://schemas.openxmlformats.org/officeDocument/2006/relationships/hyperlink" Target="https://standards.buildingsmart.org/IFC/RELEASE/IFC4/ADD2_TC1/HTML/schema/ifcelectricaldomain/pset/pset_protectivedevicebreakerunittypemotorprotection.htm" TargetMode="External"/><Relationship Id="rId1631" Type="http://schemas.openxmlformats.org/officeDocument/2006/relationships/hyperlink" Target="https://standards.buildingsmart.org/IFC/RELEASE/IFC4/ADD2_TC1/HTML/schema/ifchvacdomain/pset/pset_pipesegmenttypecommon.htm" TargetMode="External"/><Relationship Id="rId3389" Type="http://schemas.openxmlformats.org/officeDocument/2006/relationships/hyperlink" Target="https://standards.buildingsmart.org/IFC/RELEASE/IFC4/ADD2_TC1/HTML/schema/ifchvacdomain/pset/pset_cooledbeamphistory.htm" TargetMode="External"/><Relationship Id="rId3596" Type="http://schemas.openxmlformats.org/officeDocument/2006/relationships/hyperlink" Target="https://standards.buildingsmart.org/IFC/RELEASE/IFC4/ADD2_TC1/HTML/schema/ifchvacdomain/pset/pset_dampertypecommon.htm" TargetMode="External"/><Relationship Id="rId2198" Type="http://schemas.openxmlformats.org/officeDocument/2006/relationships/hyperlink" Target="https://standards.buildingsmart.org/IFC/RELEASE/IFC4/ADD2_TC1/HTML/schema/ifcsharedmgmtelements/pset/pset_projectorderchangeorder.htm" TargetMode="External"/><Relationship Id="rId3249" Type="http://schemas.openxmlformats.org/officeDocument/2006/relationships/hyperlink" Target="https://standards.buildingsmart.org/IFC/RELEASE/IFC4/ADD2_TC1/HTML/schema/ifcelectricaldomain/pset/pset_transformertypecommon.htm" TargetMode="External"/><Relationship Id="rId3456" Type="http://schemas.openxmlformats.org/officeDocument/2006/relationships/hyperlink" Target="https://standards.buildingsmart.org/IFC/RELEASE/IFC4/ADD2_TC1/HTML/schema/ifcbuildingcontrolsdomain/pset/pset_alarmtypecommon.htm" TargetMode="External"/><Relationship Id="rId377" Type="http://schemas.openxmlformats.org/officeDocument/2006/relationships/hyperlink" Target="https://standards.buildingsmart.org/IFC/RELEASE/IFC4/ADD2_TC1/HTML/schema/ifctopologyresource/lexical/ifcshell.htm" TargetMode="External"/><Relationship Id="rId584" Type="http://schemas.openxmlformats.org/officeDocument/2006/relationships/hyperlink" Target="https://standards.buildingsmart.org/IFC/RELEASE/IFC4/ADD2_TC1/HTML/schema/ifcsharedbldgelements/lexical/ifcdoor.htm" TargetMode="External"/><Relationship Id="rId2058" Type="http://schemas.openxmlformats.org/officeDocument/2006/relationships/hyperlink" Target="https://standards.buildingsmart.org/IFC/RELEASE/IFC4/ADD2_TC1/HTML/schema/ifcelectricaldomain/pset/pset_protectivedevicetrippingfunctiongcurve.htm" TargetMode="External"/><Relationship Id="rId2265" Type="http://schemas.openxmlformats.org/officeDocument/2006/relationships/hyperlink" Target="https://standards.buildingsmart.org/IFC/RELEASE/IFC4/ADD2_TC1/HTML/schema/ifchvacdomain/pset/pset_airterminalphistory.htm" TargetMode="External"/><Relationship Id="rId3109" Type="http://schemas.openxmlformats.org/officeDocument/2006/relationships/hyperlink" Target="https://standards.buildingsmart.org/IFC/RELEASE/IFC4/ADD2_TC1/HTML/schema/ifchvacdomain/pset/pset_pumptypecommon.htm" TargetMode="External"/><Relationship Id="rId3663" Type="http://schemas.openxmlformats.org/officeDocument/2006/relationships/hyperlink" Target="https://standards.buildingsmart.org/IFC/RELEASE/IFC4/ADD2_TC1/HTML/schema/ifchvacdomain/pset/pset_airterminalboxtypecommon.htm" TargetMode="External"/><Relationship Id="rId237" Type="http://schemas.openxmlformats.org/officeDocument/2006/relationships/hyperlink" Target="https://standards.buildingsmart.org/IFC/RELEASE/IFC4/ADD2_TC1/HTML/schema/ifcelectricaldomain/lexical/ifclightfixturetypeenum.htm" TargetMode="External"/><Relationship Id="rId791" Type="http://schemas.openxmlformats.org/officeDocument/2006/relationships/hyperlink" Target="https://standards.buildingsmart.org/IFC/RELEASE/IFC4/ADD2_TC1/HTML/schema/ifcactorresource/lexical/ifcorganization.htm" TargetMode="External"/><Relationship Id="rId1074" Type="http://schemas.openxmlformats.org/officeDocument/2006/relationships/hyperlink" Target="https://standards.buildingsmart.org/IFC/RELEASE/IFC4/ADD2_TC1/HTML/schema/ifcpresentationappearanceresource/lexical/ifcsurfacestylewithtextures.htm" TargetMode="External"/><Relationship Id="rId2472" Type="http://schemas.openxmlformats.org/officeDocument/2006/relationships/hyperlink" Target="https://standards.buildingsmart.org/IFC/RELEASE/IFC4/ADD2_TC1/HTML/schema/ifchvacdomain/pset/pset_coiltypecommon.htm" TargetMode="External"/><Relationship Id="rId3316" Type="http://schemas.openxmlformats.org/officeDocument/2006/relationships/hyperlink" Target="https://standards.buildingsmart.org/IFC/RELEASE/IFC4/ADD2_TC1/HTML/schema/ifcsharedbldgelements/pset/pset_buildingelementproxyprovisionforvoid.htm" TargetMode="External"/><Relationship Id="rId3523" Type="http://schemas.openxmlformats.org/officeDocument/2006/relationships/hyperlink" Target="https://standards.buildingsmart.org/IFC/RELEASE/IFC4/ADD2_TC1/HTML/schema/ifchvacdomain/pset/pset_filtertypecompressedairfilter.htm" TargetMode="External"/><Relationship Id="rId3730" Type="http://schemas.openxmlformats.org/officeDocument/2006/relationships/hyperlink" Target="https://standards.buildingsmart.org/IFC/RELEASE/IFC4/ADD2_TC1/HTML/schema/ifcelectricaldomain/pset/pset_protectivedevicetrippingunitcurrentadjustment.htm" TargetMode="External"/><Relationship Id="rId444" Type="http://schemas.openxmlformats.org/officeDocument/2006/relationships/hyperlink" Target="https://standards.buildingsmart.org/IFC/RELEASE/IFC4/ADD2_TC1/HTML/schema/ifcgeometryresource/lexical/ifcboundedsurface.htm" TargetMode="External"/><Relationship Id="rId651" Type="http://schemas.openxmlformats.org/officeDocument/2006/relationships/hyperlink" Target="https://standards.buildingsmart.org/IFC/RELEASE/IFC4/ADD2_TC1/HTML/schema/ifcgeometricmodelresource/lexical/ifcfacetedbrepwithvoids.htm" TargetMode="External"/><Relationship Id="rId1281" Type="http://schemas.openxmlformats.org/officeDocument/2006/relationships/hyperlink" Target="https://standards.buildingsmart.org/IFC/RELEASE/IFC4/ADD2_TC1/HTML/schema/ifcgeometryresource/lexical/ifcgetbasissurface.htm" TargetMode="External"/><Relationship Id="rId2125" Type="http://schemas.openxmlformats.org/officeDocument/2006/relationships/hyperlink" Target="https://standards.buildingsmart.org/IFC/RELEASE/IFC4/ADD2_TC1/HTML/schema/ifcelectricaldomain/pset/pset_protectivedevicetrippingunittypecommon.htm" TargetMode="External"/><Relationship Id="rId2332" Type="http://schemas.openxmlformats.org/officeDocument/2006/relationships/hyperlink" Target="https://standards.buildingsmart.org/IFC/RELEASE/IFC4/ADD2_TC1/HTML/schema/ifcelectricaldomain/pset/pset_audiovisualappliancetypecamera.htm" TargetMode="External"/><Relationship Id="rId304" Type="http://schemas.openxmlformats.org/officeDocument/2006/relationships/hyperlink" Target="https://standards.buildingsmart.org/IFC/RELEASE/IFC4/ADD2_TC1/HTML/schema/ifcelectricaldomain/lexical/ifcswitchingdevicetypeenum.htm" TargetMode="External"/><Relationship Id="rId511" Type="http://schemas.openxmlformats.org/officeDocument/2006/relationships/hyperlink" Target="https://standards.buildingsmart.org/IFC/RELEASE/IFC4/ADD2_TC1/HTML/schema/ifctopologyresource/lexical/ifcconnectedfaceset.htm" TargetMode="External"/><Relationship Id="rId1141" Type="http://schemas.openxmlformats.org/officeDocument/2006/relationships/hyperlink" Target="https://standards.buildingsmart.org/IFC/RELEASE/IFC4/ADD2_TC1/HTML/schema/ifctopologyresource/lexical/ifcvertex.htm" TargetMode="External"/><Relationship Id="rId1001" Type="http://schemas.openxmlformats.org/officeDocument/2006/relationships/hyperlink" Target="https://standards.buildingsmart.org/IFC/RELEASE/IFC4/ADD2_TC1/HTML/schema/ifcproductextension/lexical/ifcspace.htm" TargetMode="External"/><Relationship Id="rId1958" Type="http://schemas.openxmlformats.org/officeDocument/2006/relationships/hyperlink" Target="https://standards.buildingsmart.org/IFC/RELEASE/IFC4/ADD2_TC1/HTML/schema/ifcbuildingcontrolsdomain/pset/pset_sensortypegassensor.htm" TargetMode="External"/><Relationship Id="rId3173" Type="http://schemas.openxmlformats.org/officeDocument/2006/relationships/hyperlink" Target="https://standards.buildingsmart.org/IFC/RELEASE/IFC4/ADD2_TC1/HTML/schema/ifcsharedbldgelements/pset/pset_rampcommon.htm" TargetMode="External"/><Relationship Id="rId3380" Type="http://schemas.openxmlformats.org/officeDocument/2006/relationships/hyperlink" Target="https://standards.buildingsmart.org/IFC/RELEASE/IFC4/ADD2_TC1/HTML/schema/ifcbuildingcontrolsdomain/pset/pset_sensortypesmokesensor.htm" TargetMode="External"/><Relationship Id="rId1818" Type="http://schemas.openxmlformats.org/officeDocument/2006/relationships/hyperlink" Target="https://standards.buildingsmart.org/IFC/RELEASE/IFC4/ADD2_TC1/HTML/schema/ifcplumbingfireprotectiondomain/pset/pset_wasteterminaltypefloortrap.htm" TargetMode="External"/><Relationship Id="rId3033" Type="http://schemas.openxmlformats.org/officeDocument/2006/relationships/hyperlink" Target="https://standards.buildingsmart.org/IFC/RELEASE/IFC4/ADD2_TC1/HTML/schema/ifcsharedbldgelements/pset/pset_windowcommon.htm" TargetMode="External"/><Relationship Id="rId3240" Type="http://schemas.openxmlformats.org/officeDocument/2006/relationships/hyperlink" Target="https://standards.buildingsmart.org/IFC/RELEASE/IFC4/ADD2_TC1/HTML/schema/ifcelectricaldomain/pset/pset_protectivedevicetrippingunittypeelectromagnetic.htm" TargetMode="External"/><Relationship Id="rId161" Type="http://schemas.openxmlformats.org/officeDocument/2006/relationships/hyperlink" Target="https://standards.buildingsmart.org/IFC/RELEASE/IFC4/ADD2_TC1/HTML/schema/ifcsharedbldgelements/lexical/ifccolumntypeenum.htm" TargetMode="External"/><Relationship Id="rId2799" Type="http://schemas.openxmlformats.org/officeDocument/2006/relationships/hyperlink" Target="https://standards.buildingsmart.org/IFC/RELEASE/IFC4/ADD2_TC1/HTML/schema/ifcproductextension/pset/pset_landregistration.htm" TargetMode="External"/><Relationship Id="rId3100" Type="http://schemas.openxmlformats.org/officeDocument/2006/relationships/hyperlink" Target="https://standards.buildingsmart.org/IFC/RELEASE/IFC4/ADD2_TC1/HTML/schema/ifchvacdomain/pset/pset_tubebundletypecommon.htm" TargetMode="External"/><Relationship Id="rId978" Type="http://schemas.openxmlformats.org/officeDocument/2006/relationships/hyperlink" Target="https://standards.buildingsmart.org/IFC/RELEASE/IFC4/ADD2_TC1/HTML/schema/ifcgeometricmodelresource/lexical/ifcsectionedspine.htm" TargetMode="External"/><Relationship Id="rId2659" Type="http://schemas.openxmlformats.org/officeDocument/2006/relationships/hyperlink" Target="https://standards.buildingsmart.org/IFC/RELEASE/IFC4/ADD2_TC1/HTML/schema/ifcsharedfacilitieselements/pset/pset_manufacturertypeinformation.htm" TargetMode="External"/><Relationship Id="rId2866" Type="http://schemas.openxmlformats.org/officeDocument/2006/relationships/hyperlink" Target="https://standards.buildingsmart.org/IFC/RELEASE/IFC4/ADD2_TC1/HTML/schema/ifchvacdomain/pset/pset_condensertypecommon.htm" TargetMode="External"/><Relationship Id="rId838" Type="http://schemas.openxmlformats.org/officeDocument/2006/relationships/hyperlink" Target="https://standards.buildingsmart.org/IFC/RELEASE/IFC4/ADD2_TC1/HTML/schema/ifcpresentationorganizationresource/lexical/ifcpresentationlayerassignment.htm" TargetMode="External"/><Relationship Id="rId1468" Type="http://schemas.openxmlformats.org/officeDocument/2006/relationships/hyperlink" Target="https://standards.buildingsmart.org/IFC/RELEASE/IFC4/ADD2_TC1/HTML/schema/ifcplumbingfireprotectiondomain/pset/pset_interceptortypecommon.htm" TargetMode="External"/><Relationship Id="rId1675" Type="http://schemas.openxmlformats.org/officeDocument/2006/relationships/hyperlink" Target="https://standards.buildingsmart.org/IFC/RELEASE/IFC4/ADD2_TC1/HTML/schema/ifchvacdomain/pset/pset_coolingtowerphistory.htm" TargetMode="External"/><Relationship Id="rId1882" Type="http://schemas.openxmlformats.org/officeDocument/2006/relationships/hyperlink" Target="https://standards.buildingsmart.org/IFC/RELEASE/IFC4/ADD2_TC1/HTML/schema/ifcsharedbldgelements/pset/pset_columncommon.htm" TargetMode="External"/><Relationship Id="rId2519" Type="http://schemas.openxmlformats.org/officeDocument/2006/relationships/hyperlink" Target="https://standards.buildingsmart.org/IFC/RELEASE/IFC4/ADD2_TC1/HTML/schema/ifchvacdomain/pset/pset_cooledbeamtypecommon.htm" TargetMode="External"/><Relationship Id="rId2726" Type="http://schemas.openxmlformats.org/officeDocument/2006/relationships/hyperlink" Target="https://standards.buildingsmart.org/IFC/RELEASE/IFC4/ADD2_TC1/HTML/schema/ifcelectricaldomain/pset/pset_lightfixturetypecommon.htm" TargetMode="External"/><Relationship Id="rId1328" Type="http://schemas.openxmlformats.org/officeDocument/2006/relationships/hyperlink" Target="https://standards.buildingsmart.org/IFC/RELEASE/IFC4/ADD2_TC1/HTML/schema/ifcsharedfacilitieselements/pset/pset_furnituretypetable.htm" TargetMode="External"/><Relationship Id="rId1535" Type="http://schemas.openxmlformats.org/officeDocument/2006/relationships/hyperlink" Target="https://standards.buildingsmart.org/IFC/RELEASE/IFC4/ADD2_TC1/HTML/schema/ifcelectricaldomain/pset/pset_audiovisualappliancetypedisplay.htm" TargetMode="External"/><Relationship Id="rId2933" Type="http://schemas.openxmlformats.org/officeDocument/2006/relationships/hyperlink" Target="https://standards.buildingsmart.org/IFC/RELEASE/IFC4/ADD2_TC1/HTML/schema/ifcelectricaldomain/pset/pset_protectivedevicetypecircuitbreaker.htm" TargetMode="External"/><Relationship Id="rId905" Type="http://schemas.openxmlformats.org/officeDocument/2006/relationships/hyperlink" Target="https://standards.buildingsmart.org/IFC/RELEASE/IFC4/ADD2_TC1/HTML/schema/ifcstructuralelementsdomain/lexical/ifcreinforcingelementtype.htm" TargetMode="External"/><Relationship Id="rId1742" Type="http://schemas.openxmlformats.org/officeDocument/2006/relationships/hyperlink" Target="https://standards.buildingsmart.org/IFC/RELEASE/IFC4/ADD2_TC1/HTML/schema/ifcelectricaldomain/pset/pset_junctionboxtypecommon.htm" TargetMode="External"/><Relationship Id="rId34" Type="http://schemas.openxmlformats.org/officeDocument/2006/relationships/hyperlink" Target="https://standards.buildingsmart.org/IFC/RELEASE/IFC4/ADD2_TC1/HTML/schema/ifcmeasureresource/lexical/ifcsectionalareaintegralmeasure.htm" TargetMode="External"/><Relationship Id="rId1602" Type="http://schemas.openxmlformats.org/officeDocument/2006/relationships/hyperlink" Target="https://standards.buildingsmart.org/IFC/RELEASE/IFC4/ADD2_TC1/HTML/schema/ifcsharedbldgelements/pset/pset_doorcommon.htm" TargetMode="External"/><Relationship Id="rId3567" Type="http://schemas.openxmlformats.org/officeDocument/2006/relationships/hyperlink" Target="https://standards.buildingsmart.org/IFC/RELEASE/IFC4/ADD2_TC1/HTML/schema/ifchvacdomain/pset/pset_fantypecommon.htm" TargetMode="External"/><Relationship Id="rId3774" Type="http://schemas.openxmlformats.org/officeDocument/2006/relationships/hyperlink" Target="https://standards.buildingsmart.org/IFC/RELEASE/IFC4/ADD2_TC1/HTML/schema/ifcsharedbldgserviceelements/pset/pset_distributionchamberelementtypeinspectionchamber.htm" TargetMode="External"/><Relationship Id="rId488" Type="http://schemas.openxmlformats.org/officeDocument/2006/relationships/hyperlink" Target="https://standards.buildingsmart.org/IFC/RELEASE/IFC4/ADD2_TC1/HTML/schema/ifcproductextension/lexical/ifccivilelementtype.htm" TargetMode="External"/><Relationship Id="rId695" Type="http://schemas.openxmlformats.org/officeDocument/2006/relationships/hyperlink" Target="https://standards.buildingsmart.org/IFC/RELEASE/IFC4/ADD2_TC1/HTML/schema/ifcrepresentationresource/lexical/ifcgeometricrepresentationcontext.htm" TargetMode="External"/><Relationship Id="rId2169" Type="http://schemas.openxmlformats.org/officeDocument/2006/relationships/hyperlink" Target="https://standards.buildingsmart.org/IFC/RELEASE/IFC4/ADD2_TC1/HTML/schema/ifcbuildingcontrolsdomain/pset/pset_controllertypecommon.htm" TargetMode="External"/><Relationship Id="rId2376" Type="http://schemas.openxmlformats.org/officeDocument/2006/relationships/hyperlink" Target="https://standards.buildingsmart.org/IFC/RELEASE/IFC4/ADD2_TC1/HTML/schema/ifchvacdomain/pset/pset_dampertypecommon.htm" TargetMode="External"/><Relationship Id="rId2583" Type="http://schemas.openxmlformats.org/officeDocument/2006/relationships/hyperlink" Target="https://standards.buildingsmart.org/IFC/RELEASE/IFC4/ADD2_TC1/HTML/schema/ifcmaterialresource/pset/pset_materialcommon.htm" TargetMode="External"/><Relationship Id="rId2790" Type="http://schemas.openxmlformats.org/officeDocument/2006/relationships/hyperlink" Target="https://standards.buildingsmart.org/IFC/RELEASE/IFC4/ADD2_TC1/HTML/schema/ifcplumbingfireprotectiondomain/pset/pset_sanitaryterminaltypecistern.htm" TargetMode="External"/><Relationship Id="rId3427" Type="http://schemas.openxmlformats.org/officeDocument/2006/relationships/hyperlink" Target="https://standards.buildingsmart.org/IFC/RELEASE/IFC4/ADD2_TC1/HTML/schema/ifcelectricaldomain/pset/pset_audiovisualappliancetypedisplay.htm" TargetMode="External"/><Relationship Id="rId3634" Type="http://schemas.openxmlformats.org/officeDocument/2006/relationships/hyperlink" Target="https://standards.buildingsmart.org/IFC/RELEASE/IFC4/ADD2_TC1/HTML/schema/ifchvacdomain/pset/pset_filtertypecompressedairfilter.htm" TargetMode="External"/><Relationship Id="rId348" Type="http://schemas.openxmlformats.org/officeDocument/2006/relationships/hyperlink" Target="https://standards.buildingsmart.org/IFC/RELEASE/IFC4/ADD2_TC1/HTML/schema/ifcgeometricconstraintresource/lexical/ifccurveoredgecurve.htm" TargetMode="External"/><Relationship Id="rId555" Type="http://schemas.openxmlformats.org/officeDocument/2006/relationships/hyperlink" Target="https://standards.buildingsmart.org/IFC/RELEASE/IFC4/ADD2_TC1/HTML/schema/ifcgeometryresource/lexical/ifccurveboundedsurface.htm" TargetMode="External"/><Relationship Id="rId762" Type="http://schemas.openxmlformats.org/officeDocument/2006/relationships/hyperlink" Target="https://standards.buildingsmart.org/IFC/RELEASE/IFC4/ADD2_TC1/HTML/schema/ifcmaterialresource/lexical/ifcmaterialprofilesetusagetapering.htm" TargetMode="External"/><Relationship Id="rId1185" Type="http://schemas.openxmlformats.org/officeDocument/2006/relationships/hyperlink" Target="https://standards.buildingsmart.org/IFC/RELEASE/IFC4/ADD2_TC1/HTML/schema/ifcsharedbldgelements/qset/qto_chimneybasequantities.htm" TargetMode="External"/><Relationship Id="rId1392" Type="http://schemas.openxmlformats.org/officeDocument/2006/relationships/hyperlink" Target="https://standards.buildingsmart.org/IFC/RELEASE/IFC4/ADD2_TC1/HTML/schema/ifcplumbingfireprotectiondomain/pset/pset_wasteterminaltypewastetrap.htm" TargetMode="External"/><Relationship Id="rId2029" Type="http://schemas.openxmlformats.org/officeDocument/2006/relationships/hyperlink" Target="https://standards.buildingsmart.org/IFC/RELEASE/IFC4/ADD2_TC1/HTML/schema/ifcplumbingfireprotectiondomain/pset/pset_firesuppressionterminaltypesprinkler.htm" TargetMode="External"/><Relationship Id="rId2236" Type="http://schemas.openxmlformats.org/officeDocument/2006/relationships/hyperlink" Target="https://standards.buildingsmart.org/IFC/RELEASE/IFC4/ADD2_TC1/HTML/schema/ifcsharedfacilitieselements/pset/pset_manufacturertypeinformation.htm" TargetMode="External"/><Relationship Id="rId2443" Type="http://schemas.openxmlformats.org/officeDocument/2006/relationships/hyperlink" Target="https://standards.buildingsmart.org/IFC/RELEASE/IFC4/ADD2_TC1/HTML/schema/ifchvacdomain/pset/pset_cooledbeamtypecommon.htm" TargetMode="External"/><Relationship Id="rId2650" Type="http://schemas.openxmlformats.org/officeDocument/2006/relationships/hyperlink" Target="https://standards.buildingsmart.org/IFC/RELEASE/IFC4/ADD2_TC1/HTML/schema/ifcsharedbldgserviceelements/pset/pset_distributionporttypepipe.htm" TargetMode="External"/><Relationship Id="rId3701" Type="http://schemas.openxmlformats.org/officeDocument/2006/relationships/hyperlink" Target="https://standards.buildingsmart.org/IFC/RELEASE/IFC4/ADD2_TC1/HTML/schema/ifchvacdomain/pset/pset_unitaryequipmenttypeairhandler.htm" TargetMode="External"/><Relationship Id="rId208" Type="http://schemas.openxmlformats.org/officeDocument/2006/relationships/hyperlink" Target="https://standards.buildingsmart.org/IFC/RELEASE/IFC4/ADD2_TC1/HTML/schema/ifchvacdomain/lexical/ifcevaporatortypeenum.htm" TargetMode="External"/><Relationship Id="rId415" Type="http://schemas.openxmlformats.org/officeDocument/2006/relationships/hyperlink" Target="https://standards.buildingsmart.org/IFC/RELEASE/IFC4/ADD2_TC1/HTML/schema/ifccostresource/lexical/ifcappliedvalue.htm" TargetMode="External"/><Relationship Id="rId622" Type="http://schemas.openxmlformats.org/officeDocument/2006/relationships/hyperlink" Target="https://standards.buildingsmart.org/IFC/RELEASE/IFC4/ADD2_TC1/HTML/schema/ifcprofileresource/lexical/ifcellipseprofiledef.htm" TargetMode="External"/><Relationship Id="rId1045" Type="http://schemas.openxmlformats.org/officeDocument/2006/relationships/hyperlink" Target="https://standards.buildingsmart.org/IFC/RELEASE/IFC4/ADD2_TC1/HTML/schema/ifcstructuralanalysisdomain/lexical/ifcstructuralplanaraction.htm" TargetMode="External"/><Relationship Id="rId1252" Type="http://schemas.openxmlformats.org/officeDocument/2006/relationships/hyperlink" Target="https://standards.buildingsmart.org/IFC/RELEASE/IFC4/ADD2_TC1/HTML/schema/ifcelectricaldomain/qset/qto_transformerbasequantities.htm" TargetMode="External"/><Relationship Id="rId2303" Type="http://schemas.openxmlformats.org/officeDocument/2006/relationships/hyperlink" Target="https://standards.buildingsmart.org/IFC/RELEASE/IFC4/ADD2_TC1/HTML/schema/ifchvacdomain/pset/pset_spaceheatertypecommon.htm" TargetMode="External"/><Relationship Id="rId2510" Type="http://schemas.openxmlformats.org/officeDocument/2006/relationships/hyperlink" Target="https://standards.buildingsmart.org/IFC/RELEASE/IFC4/ADD2_TC1/HTML/schema/ifcelectricaldomain/pset/pset_protectivedevicetrippingunittypeelectronic.htm" TargetMode="External"/><Relationship Id="rId1112" Type="http://schemas.openxmlformats.org/officeDocument/2006/relationships/hyperlink" Target="https://standards.buildingsmart.org/IFC/RELEASE/IFC4/ADD2_TC1/HTML/schema/ifcdatetimeresource/lexical/ifctimeperiod.htm" TargetMode="External"/><Relationship Id="rId3077" Type="http://schemas.openxmlformats.org/officeDocument/2006/relationships/hyperlink" Target="https://standards.buildingsmart.org/IFC/RELEASE/IFC4/ADD2_TC1/HTML/schema/ifcelectricaldomain/pset/pset_protectivedevicetypefusedisconnector.htm" TargetMode="External"/><Relationship Id="rId3284" Type="http://schemas.openxmlformats.org/officeDocument/2006/relationships/hyperlink" Target="https://standards.buildingsmart.org/IFC/RELEASE/IFC4/ADD2_TC1/HTML/schema/ifcplumbingfireprotectiondomain/pset/pset_sanitaryterminaltypebidet.htm" TargetMode="External"/><Relationship Id="rId1929" Type="http://schemas.openxmlformats.org/officeDocument/2006/relationships/hyperlink" Target="https://standards.buildingsmart.org/IFC/RELEASE/IFC4/ADD2_TC1/HTML/schema/ifcsharedfacilitieselements/pset/pset_systemfurnitureelementtypeworksurface.htm" TargetMode="External"/><Relationship Id="rId2093" Type="http://schemas.openxmlformats.org/officeDocument/2006/relationships/hyperlink" Target="https://standards.buildingsmart.org/IFC/RELEASE/IFC4/ADD2_TC1/HTML/schema/ifcplumbingfireprotectiondomain/pset/pset_wasteterminaltypecommon.htm" TargetMode="External"/><Relationship Id="rId3491" Type="http://schemas.openxmlformats.org/officeDocument/2006/relationships/hyperlink" Target="https://standards.buildingsmart.org/IFC/RELEASE/IFC4/ADD2_TC1/HTML/schema/ifcsharedcomponentelements/pset/pset_discreteaccessorycolumnshoe.htm" TargetMode="External"/><Relationship Id="rId3144" Type="http://schemas.openxmlformats.org/officeDocument/2006/relationships/hyperlink" Target="https://standards.buildingsmart.org/IFC/RELEASE/IFC4/ADD2_TC1/HTML/schema/ifchvacdomain/pset/pset_tanktypepreformed.htm" TargetMode="External"/><Relationship Id="rId3351" Type="http://schemas.openxmlformats.org/officeDocument/2006/relationships/hyperlink" Target="https://standards.buildingsmart.org/IFC/RELEASE/IFC4/ADD2_TC1/HTML/schema/ifcelectricaldomain/pset/pset_protectivedevicetrippingfunctiongcurve.htm" TargetMode="External"/><Relationship Id="rId272" Type="http://schemas.openxmlformats.org/officeDocument/2006/relationships/hyperlink" Target="https://standards.buildingsmart.org/IFC/RELEASE/IFC4/ADD2_TC1/HTML/schema/ifcdatetimeresource/lexical/ifcrecurrencetypeenum.htm" TargetMode="External"/><Relationship Id="rId2160" Type="http://schemas.openxmlformats.org/officeDocument/2006/relationships/hyperlink" Target="https://standards.buildingsmart.org/IFC/RELEASE/IFC4/ADD2_TC1/HTML/schema/ifchvacdomain/pset/pset_ductfittingtypecommon.htm" TargetMode="External"/><Relationship Id="rId3004" Type="http://schemas.openxmlformats.org/officeDocument/2006/relationships/hyperlink" Target="https://standards.buildingsmart.org/IFC/RELEASE/IFC4/ADD2_TC1/HTML/schema/ifchvacdomain/pset/pset_airterminaltypecommon.htm" TargetMode="External"/><Relationship Id="rId3211" Type="http://schemas.openxmlformats.org/officeDocument/2006/relationships/hyperlink" Target="https://standards.buildingsmart.org/IFC/RELEASE/IFC4/ADD2_TC1/HTML/schema/ifchvacdomain/pset/pset_spacethermalphistory.htm" TargetMode="External"/><Relationship Id="rId132" Type="http://schemas.openxmlformats.org/officeDocument/2006/relationships/hyperlink" Target="https://standards.buildingsmart.org/IFC/RELEASE/IFC4/ADD2_TC1/HTML/schema/ifcbuildingcontrolsdomain/lexical/ifcactuatortypeenum.htm" TargetMode="External"/><Relationship Id="rId2020" Type="http://schemas.openxmlformats.org/officeDocument/2006/relationships/hyperlink" Target="https://standards.buildingsmart.org/IFC/RELEASE/IFC4/ADD2_TC1/HTML/schema/ifcsharedfacilitieselements/pset/pset_risk.htm" TargetMode="External"/><Relationship Id="rId1579" Type="http://schemas.openxmlformats.org/officeDocument/2006/relationships/hyperlink" Target="https://standards.buildingsmart.org/IFC/RELEASE/IFC4/ADD2_TC1/HTML/schema/ifchvacdomain/pset/pset_shadingdevicephistory.htm" TargetMode="External"/><Relationship Id="rId2977" Type="http://schemas.openxmlformats.org/officeDocument/2006/relationships/hyperlink" Target="https://standards.buildingsmart.org/IFC/RELEASE/IFC4/ADD2_TC1/HTML/schema/ifchvacdomain/pset/pset_evaporatorphistory.htm" TargetMode="External"/><Relationship Id="rId949" Type="http://schemas.openxmlformats.org/officeDocument/2006/relationships/hyperlink" Target="https://standards.buildingsmart.org/IFC/RELEASE/IFC4/ADD2_TC1/HTML/schema/ifcproductextension/lexical/ifcrelreferencedinspatialstructure.htm" TargetMode="External"/><Relationship Id="rId1786" Type="http://schemas.openxmlformats.org/officeDocument/2006/relationships/hyperlink" Target="https://standards.buildingsmart.org/IFC/RELEASE/IFC4/ADD2_TC1/HTML/schema/ifcelectricaldomain/pset/pset_cablecarrierfittingtypecommon.htm" TargetMode="External"/><Relationship Id="rId1993" Type="http://schemas.openxmlformats.org/officeDocument/2006/relationships/hyperlink" Target="https://standards.buildingsmart.org/IFC/RELEASE/IFC4/ADD2_TC1/HTML/schema/ifcelectricaldomain/pset/pset_transformertypecommon.htm" TargetMode="External"/><Relationship Id="rId2837" Type="http://schemas.openxmlformats.org/officeDocument/2006/relationships/hyperlink" Target="https://standards.buildingsmart.org/IFC/RELEASE/IFC4/ADD2_TC1/HTML/schema/ifcsharedbldgelements/pset/pset_membercommon.htm" TargetMode="External"/><Relationship Id="rId78" Type="http://schemas.openxmlformats.org/officeDocument/2006/relationships/hyperlink" Target="https://standards.buildingsmart.org/IFC/RELEASE/IFC4/ADD2_TC1/HTML/schema/ifcmeasureresource/lexical/ifclinearmomentmeasure.htm" TargetMode="External"/><Relationship Id="rId809" Type="http://schemas.openxmlformats.org/officeDocument/2006/relationships/hyperlink" Target="https://standards.buildingsmart.org/IFC/RELEASE/IFC4/ADD2_TC1/HTML/schema/ifcstructuralelementsdomain/lexical/ifcpiletype.htm" TargetMode="External"/><Relationship Id="rId1439" Type="http://schemas.openxmlformats.org/officeDocument/2006/relationships/hyperlink" Target="https://standards.buildingsmart.org/IFC/RELEASE/IFC4/ADD2_TC1/HTML/schema/ifcproductextension/pset/pset_annotationlineofsight.htm" TargetMode="External"/><Relationship Id="rId1646" Type="http://schemas.openxmlformats.org/officeDocument/2006/relationships/hyperlink" Target="https://standards.buildingsmart.org/IFC/RELEASE/IFC4/ADD2_TC1/HTML/schema/ifcsharedbldgserviceelements/pset/pset_distributionporttypepipe.htm" TargetMode="External"/><Relationship Id="rId1853" Type="http://schemas.openxmlformats.org/officeDocument/2006/relationships/hyperlink" Target="https://standards.buildingsmart.org/IFC/RELEASE/IFC4/ADD2_TC1/HTML/schema/ifcproductextension/pset/pset_spacethermalrequirements.htm" TargetMode="External"/><Relationship Id="rId2904" Type="http://schemas.openxmlformats.org/officeDocument/2006/relationships/hyperlink" Target="https://standards.buildingsmart.org/IFC/RELEASE/IFC4/ADD2_TC1/HTML/schema/ifcplumbingfireprotectiondomain/pset/pset_interceptortypecommon.htm" TargetMode="External"/><Relationship Id="rId1506" Type="http://schemas.openxmlformats.org/officeDocument/2006/relationships/hyperlink" Target="https://standards.buildingsmart.org/IFC/RELEASE/IFC4/ADD2_TC1/HTML/schema/ifcstructuralelementsdomain/pset/pset_precastconcreteelementfabrication.htm" TargetMode="External"/><Relationship Id="rId1713" Type="http://schemas.openxmlformats.org/officeDocument/2006/relationships/hyperlink" Target="https://standards.buildingsmart.org/IFC/RELEASE/IFC4/ADD2_TC1/HTML/schema/ifcsharedbldgelements/pset/pset_stairflightcommon.htm" TargetMode="External"/><Relationship Id="rId1920" Type="http://schemas.openxmlformats.org/officeDocument/2006/relationships/hyperlink" Target="https://standards.buildingsmart.org/IFC/RELEASE/IFC4/ADD2_TC1/HTML/schema/ifcelectricaldomain/pset/pset_cablesegmenttypecoresegment.htm" TargetMode="External"/><Relationship Id="rId3678" Type="http://schemas.openxmlformats.org/officeDocument/2006/relationships/hyperlink" Target="https://standards.buildingsmart.org/IFC/RELEASE/IFC4/ADD2_TC1/HTML/schema/ifcsharedbldgserviceelements/pset/pset_distributionportphistorycable.htm" TargetMode="External"/><Relationship Id="rId599" Type="http://schemas.openxmlformats.org/officeDocument/2006/relationships/hyperlink" Target="https://standards.buildingsmart.org/IFC/RELEASE/IFC4/ADD2_TC1/HTML/schema/ifctopologyresource/lexical/ifcedgecurve.htm" TargetMode="External"/><Relationship Id="rId2487" Type="http://schemas.openxmlformats.org/officeDocument/2006/relationships/hyperlink" Target="https://standards.buildingsmart.org/IFC/RELEASE/IFC4/ADD2_TC1/HTML/schema/ifchvacdomain/pset/pset_chillertypecommon.htm" TargetMode="External"/><Relationship Id="rId2694" Type="http://schemas.openxmlformats.org/officeDocument/2006/relationships/hyperlink" Target="https://standards.buildingsmart.org/IFC/RELEASE/IFC4/ADD2_TC1/HTML/schema/ifcstructuralanalysisdomain/pset/pset_structuralsurfacemembervaryingthickness.htm" TargetMode="External"/><Relationship Id="rId3538" Type="http://schemas.openxmlformats.org/officeDocument/2006/relationships/hyperlink" Target="https://standards.buildingsmart.org/IFC/RELEASE/IFC4/ADD2_TC1/HTML/schema/ifchvacdomain/pset/pset_coolingtowertypecommon.htm" TargetMode="External"/><Relationship Id="rId3745" Type="http://schemas.openxmlformats.org/officeDocument/2006/relationships/hyperlink" Target="https://standards.buildingsmart.org/IFC/RELEASE/IFC4/ADD2_TC1/HTML/schema/ifcconstructionmgmtdomain/pset/pset_constructionresource.htm" TargetMode="External"/><Relationship Id="rId459" Type="http://schemas.openxmlformats.org/officeDocument/2006/relationships/hyperlink" Target="https://standards.buildingsmart.org/IFC/RELEASE/IFC4/ADD2_TC1/HTML/schema/ifcsharedbldgelements/lexical/ifcbuildingsystem.htm" TargetMode="External"/><Relationship Id="rId666" Type="http://schemas.openxmlformats.org/officeDocument/2006/relationships/hyperlink" Target="https://standards.buildingsmart.org/IFC/RELEASE/IFC4/ADD2_TC1/HTML/schema/ifcplumbingfireprotectiondomain/lexical/ifcfiresuppressionterminaltype.htm" TargetMode="External"/><Relationship Id="rId873" Type="http://schemas.openxmlformats.org/officeDocument/2006/relationships/hyperlink" Target="https://standards.buildingsmart.org/IFC/RELEASE/IFC4/ADD2_TC1/HTML/schema/ifcelectricaldomain/lexical/ifcprotectivedevicetrippingunittype.htm" TargetMode="External"/><Relationship Id="rId1089" Type="http://schemas.openxmlformats.org/officeDocument/2006/relationships/hyperlink" Target="https://standards.buildingsmart.org/IFC/RELEASE/IFC4/ADD2_TC1/HTML/schema/ifchvacdomain/lexical/ifctanktype.htm" TargetMode="External"/><Relationship Id="rId1296" Type="http://schemas.openxmlformats.org/officeDocument/2006/relationships/hyperlink" Target="https://standards.buildingsmart.org/IFC/RELEASE/IFC4/ADD2_TC1/HTML/schema/ifcgeometryresource/lexical/ifcsecondprojaxis.htm" TargetMode="External"/><Relationship Id="rId2347" Type="http://schemas.openxmlformats.org/officeDocument/2006/relationships/hyperlink" Target="https://standards.buildingsmart.org/IFC/RELEASE/IFC4/ADD2_TC1/HTML/schema/ifcmaterialresource/pset/pset_materialwoodbasedpanel.htm" TargetMode="External"/><Relationship Id="rId2554" Type="http://schemas.openxmlformats.org/officeDocument/2006/relationships/hyperlink" Target="https://standards.buildingsmart.org/IFC/RELEASE/IFC4/ADD2_TC1/HTML/schema/ifcproductextension/pset/pset_spacethermalrequirements.htm" TargetMode="External"/><Relationship Id="rId319" Type="http://schemas.openxmlformats.org/officeDocument/2006/relationships/hyperlink" Target="https://standards.buildingsmart.org/IFC/RELEASE/IFC4/ADD2_TC1/HTML/schema/ifchvacdomain/lexical/ifcunitaryequipmenttypeenum.htm" TargetMode="External"/><Relationship Id="rId526" Type="http://schemas.openxmlformats.org/officeDocument/2006/relationships/hyperlink" Target="https://standards.buildingsmart.org/IFC/RELEASE/IFC4/ADD2_TC1/HTML/schema/ifcconstructionmgmtdomain/lexical/ifcconstructionresourcetype.htm" TargetMode="External"/><Relationship Id="rId1156" Type="http://schemas.openxmlformats.org/officeDocument/2006/relationships/hyperlink" Target="https://standards.buildingsmart.org/IFC/RELEASE/IFC4/ADD2_TC1/HTML/schema/ifcarchitecturedomain/lexical/ifcwindowliningproperties.htm" TargetMode="External"/><Relationship Id="rId1363" Type="http://schemas.openxmlformats.org/officeDocument/2006/relationships/hyperlink" Target="https://standards.buildingsmart.org/IFC/RELEASE/IFC4/ADD2_TC1/HTML/schema/ifchvacdomain/pset/pset_humidifiertypecommon.htm" TargetMode="External"/><Relationship Id="rId2207" Type="http://schemas.openxmlformats.org/officeDocument/2006/relationships/hyperlink" Target="https://standards.buildingsmart.org/IFC/RELEASE/IFC4/ADD2_TC1/HTML/schema/ifcelectricaldomain/pset/pset_cablesegmenttypecoresegment.htm" TargetMode="External"/><Relationship Id="rId2761" Type="http://schemas.openxmlformats.org/officeDocument/2006/relationships/hyperlink" Target="https://standards.buildingsmart.org/IFC/RELEASE/IFC4/ADD2_TC1/HTML/schema/ifcsharedcomponentelements/pset/pset_discreteaccessoryladdertrussconnector.htm" TargetMode="External"/><Relationship Id="rId3605" Type="http://schemas.openxmlformats.org/officeDocument/2006/relationships/hyperlink" Target="https://standards.buildingsmart.org/IFC/RELEASE/IFC4/ADD2_TC1/HTML/schema/ifchvacdomain/pset/pset_cooledbeamphistory.htm" TargetMode="External"/><Relationship Id="rId733" Type="http://schemas.openxmlformats.org/officeDocument/2006/relationships/hyperlink" Target="https://standards.buildingsmart.org/IFC/RELEASE/IFC4/ADD2_TC1/HTML/schema/ifcelectricaldomain/lexical/ifclightfixturetype.htm" TargetMode="External"/><Relationship Id="rId940" Type="http://schemas.openxmlformats.org/officeDocument/2006/relationships/hyperlink" Target="https://standards.buildingsmart.org/IFC/RELEASE/IFC4/ADD2_TC1/HTML/schema/ifckernel/lexical/ifcreldefinesbyobject.htm" TargetMode="External"/><Relationship Id="rId1016" Type="http://schemas.openxmlformats.org/officeDocument/2006/relationships/hyperlink" Target="https://standards.buildingsmart.org/IFC/RELEASE/IFC4/ADD2_TC1/HTML/schema/ifcsharedbldgelements/lexical/ifcstairflight.htm" TargetMode="External"/><Relationship Id="rId1570" Type="http://schemas.openxmlformats.org/officeDocument/2006/relationships/hyperlink" Target="https://standards.buildingsmart.org/IFC/RELEASE/IFC4/ADD2_TC1/HTML/schema/ifcelectricaldomain/pset/pset_protectivedevicetrippingfunctionscurve.htm" TargetMode="External"/><Relationship Id="rId2414" Type="http://schemas.openxmlformats.org/officeDocument/2006/relationships/hyperlink" Target="https://standards.buildingsmart.org/IFC/RELEASE/IFC4/ADD2_TC1/HTML/schema/ifcsharedfacilitieselements/pset/pset_furnituretypetable.htm" TargetMode="External"/><Relationship Id="rId2621" Type="http://schemas.openxmlformats.org/officeDocument/2006/relationships/hyperlink" Target="https://standards.buildingsmart.org/IFC/RELEASE/IFC4/ADD2_TC1/HTML/schema/ifchvacdomain/pset/pset_dampertypecommon.htm" TargetMode="External"/><Relationship Id="rId800" Type="http://schemas.openxmlformats.org/officeDocument/2006/relationships/hyperlink" Target="https://standards.buildingsmart.org/IFC/RELEASE/IFC4/ADD2_TC1/HTML/schema/ifcgeometryresource/lexical/ifcpcurve.htm" TargetMode="External"/><Relationship Id="rId1223" Type="http://schemas.openxmlformats.org/officeDocument/2006/relationships/hyperlink" Target="https://standards.buildingsmart.org/IFC/RELEASE/IFC4/ADD2_TC1/HTML/schema/ifcelectricaldomain/qset/qto_lampbasequantities.htm" TargetMode="External"/><Relationship Id="rId1430" Type="http://schemas.openxmlformats.org/officeDocument/2006/relationships/hyperlink" Target="https://standards.buildingsmart.org/IFC/RELEASE/IFC4/ADD2_TC1/HTML/schema/ifcsharedbldgserviceelements/pset/pset_distributionporttypecable.htm" TargetMode="External"/><Relationship Id="rId3188" Type="http://schemas.openxmlformats.org/officeDocument/2006/relationships/hyperlink" Target="https://standards.buildingsmart.org/IFC/RELEASE/IFC4/ADD2_TC1/HTML/schema/ifchvacdomain/pset/pset_valvetypefaucet.htm" TargetMode="External"/><Relationship Id="rId3395" Type="http://schemas.openxmlformats.org/officeDocument/2006/relationships/hyperlink" Target="https://standards.buildingsmart.org/IFC/RELEASE/IFC4/ADD2_TC1/HTML/schema/ifcstructuralelementsdomain/pset/pset_precastconcreteelementgeneral.htm" TargetMode="External"/><Relationship Id="rId3048" Type="http://schemas.openxmlformats.org/officeDocument/2006/relationships/hyperlink" Target="https://standards.buildingsmart.org/IFC/RELEASE/IFC4/ADD2_TC1/HTML/schema/ifcsharedbldgelements/pset/pset_rampcommon.htm" TargetMode="External"/><Relationship Id="rId3255" Type="http://schemas.openxmlformats.org/officeDocument/2006/relationships/hyperlink" Target="https://standards.buildingsmart.org/IFC/RELEASE/IFC4/ADD2_TC1/HTML/schema/ifcsharedcomponentelements/pset/pset_discreteaccessoryedgefixingplate.htm" TargetMode="External"/><Relationship Id="rId3462" Type="http://schemas.openxmlformats.org/officeDocument/2006/relationships/hyperlink" Target="https://standards.buildingsmart.org/IFC/RELEASE/IFC4/ADD2_TC1/HTML/schema/ifchvacdomain/pset/pset_unitaryequipmenttypeairconditioningunit.htm" TargetMode="External"/><Relationship Id="rId176" Type="http://schemas.openxmlformats.org/officeDocument/2006/relationships/hyperlink" Target="https://standards.buildingsmart.org/IFC/RELEASE/IFC4/ADD2_TC1/HTML/schema/ifcconstructionmgmtdomain/lexical/ifccrewresourcetypeenum.htm" TargetMode="External"/><Relationship Id="rId383" Type="http://schemas.openxmlformats.org/officeDocument/2006/relationships/hyperlink" Target="https://standards.buildingsmart.org/IFC/RELEASE/IFC4/ADD2_TC1/HTML/schema/ifcstructuralanalysisdomain/lexical/ifcstructuralactivityassignmentselect.htm" TargetMode="External"/><Relationship Id="rId590" Type="http://schemas.openxmlformats.org/officeDocument/2006/relationships/hyperlink" Target="https://standards.buildingsmart.org/IFC/RELEASE/IFC4/ADD2_TC1/HTML/schema/ifcpresentationappearanceresource/lexical/ifcdraughtingpredefinedcolour.htm" TargetMode="External"/><Relationship Id="rId2064" Type="http://schemas.openxmlformats.org/officeDocument/2006/relationships/hyperlink" Target="https://standards.buildingsmart.org/IFC/RELEASE/IFC4/ADD2_TC1/HTML/schema/ifcmaterialresource/pset/pset_materialsteel.htm" TargetMode="External"/><Relationship Id="rId2271" Type="http://schemas.openxmlformats.org/officeDocument/2006/relationships/hyperlink" Target="https://standards.buildingsmart.org/IFC/RELEASE/IFC4/ADD2_TC1/HTML/schema/ifcsharedbldgserviceelements/pset/pset_distributionportphistorypipe.htm" TargetMode="External"/><Relationship Id="rId3115" Type="http://schemas.openxmlformats.org/officeDocument/2006/relationships/hyperlink" Target="https://standards.buildingsmart.org/IFC/RELEASE/IFC4/ADD2_TC1/HTML/schema/ifcsharedbldgserviceelements/pset/pset_distributionportphistorypipe.htm" TargetMode="External"/><Relationship Id="rId3322" Type="http://schemas.openxmlformats.org/officeDocument/2006/relationships/hyperlink" Target="https://standards.buildingsmart.org/IFC/RELEASE/IFC4/ADD2_TC1/HTML/schema/ifcsharedcomponentelements/pset/pset_discreteaccessorydiagonaltrussconnector.htm" TargetMode="External"/><Relationship Id="rId243" Type="http://schemas.openxmlformats.org/officeDocument/2006/relationships/hyperlink" Target="https://standards.buildingsmart.org/IFC/RELEASE/IFC4/ADD2_TC1/HTML/schema/ifcelectricaldomain/lexical/ifcmotorconnectiontypeenum.htm" TargetMode="External"/><Relationship Id="rId450" Type="http://schemas.openxmlformats.org/officeDocument/2006/relationships/hyperlink" Target="https://standards.buildingsmart.org/IFC/RELEASE/IFC4/ADD2_TC1/HTML/schema/ifcgeometryresource/lexical/ifcbsplinesurfacewithknots.htm" TargetMode="External"/><Relationship Id="rId1080" Type="http://schemas.openxmlformats.org/officeDocument/2006/relationships/hyperlink" Target="https://standards.buildingsmart.org/IFC/RELEASE/IFC4/ADD2_TC1/HTML/schema/ifcelectricaldomain/lexical/ifcswitchingdevice.htm" TargetMode="External"/><Relationship Id="rId2131" Type="http://schemas.openxmlformats.org/officeDocument/2006/relationships/hyperlink" Target="https://standards.buildingsmart.org/IFC/RELEASE/IFC4/ADD2_TC1/HTML/schema/ifcproductextension/pset/pset_openingelementcommon.htm" TargetMode="External"/><Relationship Id="rId103" Type="http://schemas.openxmlformats.org/officeDocument/2006/relationships/hyperlink" Target="https://standards.buildingsmart.org/IFC/RELEASE/IFC4/ADD2_TC1/HTML/schema/ifcmeasureresource/lexical/ifcelectricconductancemeasure.htm" TargetMode="External"/><Relationship Id="rId310" Type="http://schemas.openxmlformats.org/officeDocument/2006/relationships/hyperlink" Target="https://standards.buildingsmart.org/IFC/RELEASE/IFC4/ADD2_TC1/HTML/schema/ifcstructuralelementsdomain/lexical/ifctendontypeenum.htm" TargetMode="External"/><Relationship Id="rId1897" Type="http://schemas.openxmlformats.org/officeDocument/2006/relationships/hyperlink" Target="https://standards.buildingsmart.org/IFC/RELEASE/IFC4/ADD2_TC1/HTML/schema/ifcplumbingfireprotectiondomain/pset/pset_sanitaryterminaltypeshower.htm" TargetMode="External"/><Relationship Id="rId2948" Type="http://schemas.openxmlformats.org/officeDocument/2006/relationships/hyperlink" Target="https://standards.buildingsmart.org/IFC/RELEASE/IFC4/ADD2_TC1/HTML/schema/ifcelectricaldomain/pset/pset_protectivedevicetrippingunittimeadjustment.htm" TargetMode="External"/><Relationship Id="rId1757" Type="http://schemas.openxmlformats.org/officeDocument/2006/relationships/hyperlink" Target="https://standards.buildingsmart.org/IFC/RELEASE/IFC4/ADD2_TC1/HTML/schema/ifcproductextension/pset/pset_elementassemblycommon.htm" TargetMode="External"/><Relationship Id="rId1964" Type="http://schemas.openxmlformats.org/officeDocument/2006/relationships/hyperlink" Target="https://standards.buildingsmart.org/IFC/RELEASE/IFC4/ADD2_TC1/HTML/schema/ifcproductextension/pset/pset_annotationlineofsight.htm" TargetMode="External"/><Relationship Id="rId2808" Type="http://schemas.openxmlformats.org/officeDocument/2006/relationships/hyperlink" Target="https://standards.buildingsmart.org/IFC/RELEASE/IFC4/ADD2_TC1/HTML/schema/ifcelectricaldomain/pset/pset_protectivedevicetrippingfunctionicurve.htm" TargetMode="External"/><Relationship Id="rId49" Type="http://schemas.openxmlformats.org/officeDocument/2006/relationships/hyperlink" Target="https://standards.buildingsmart.org/IFC/RELEASE/IFC4/ADD2_TC1/HTML/schema/ifcmeasureresource/lexical/ifcplaneanglemeasure.htm" TargetMode="External"/><Relationship Id="rId1617" Type="http://schemas.openxmlformats.org/officeDocument/2006/relationships/hyperlink" Target="https://standards.buildingsmart.org/IFC/RELEASE/IFC4/ADD2_TC1/HTML/schema/ifcmaterialresource/pset/pset_materialenergy.htm" TargetMode="External"/><Relationship Id="rId1824" Type="http://schemas.openxmlformats.org/officeDocument/2006/relationships/hyperlink" Target="https://standards.buildingsmart.org/IFC/RELEASE/IFC4/ADD2_TC1/HTML/schema/ifcmaterialresource/pset/pset_materialthermal.htm" TargetMode="External"/><Relationship Id="rId2598" Type="http://schemas.openxmlformats.org/officeDocument/2006/relationships/hyperlink" Target="https://standards.buildingsmart.org/IFC/RELEASE/IFC4/ADD2_TC1/HTML/schema/ifcprofileresource/pset/pset_profilemechanical.htm" TargetMode="External"/><Relationship Id="rId3649" Type="http://schemas.openxmlformats.org/officeDocument/2006/relationships/hyperlink" Target="https://standards.buildingsmart.org/IFC/RELEASE/IFC4/ADD2_TC1/HTML/schema/ifcelectricaldomain/pset/pset_protectivedevicetrippingunittypecommon.htm" TargetMode="External"/><Relationship Id="rId777" Type="http://schemas.openxmlformats.org/officeDocument/2006/relationships/hyperlink" Target="https://standards.buildingsmart.org/IFC/RELEASE/IFC4/ADD2_TC1/HTML/schema/ifcmeasureresource/lexical/ifcmonetaryunit.htm" TargetMode="External"/><Relationship Id="rId984" Type="http://schemas.openxmlformats.org/officeDocument/2006/relationships/hyperlink" Target="https://standards.buildingsmart.org/IFC/RELEASE/IFC4/ADD2_TC1/HTML/schema/ifcsharedbldgelements/lexical/ifcshadingdevicetype.htm" TargetMode="External"/><Relationship Id="rId2458" Type="http://schemas.openxmlformats.org/officeDocument/2006/relationships/hyperlink" Target="https://standards.buildingsmart.org/IFC/RELEASE/IFC4/ADD2_TC1/HTML/schema/ifchvacdomain/pset/pset_cooledbeamtypecommon.htm" TargetMode="External"/><Relationship Id="rId2665" Type="http://schemas.openxmlformats.org/officeDocument/2006/relationships/hyperlink" Target="https://standards.buildingsmart.org/IFC/RELEASE/IFC4/ADD2_TC1/HTML/schema/ifchvacdomain/pset/pset_compressorphistory.htm" TargetMode="External"/><Relationship Id="rId2872" Type="http://schemas.openxmlformats.org/officeDocument/2006/relationships/hyperlink" Target="https://standards.buildingsmart.org/IFC/RELEASE/IFC4/ADD2_TC1/HTML/schema/ifcsharedcomponentelements/pset/pset_fastenerweld.htm" TargetMode="External"/><Relationship Id="rId3509" Type="http://schemas.openxmlformats.org/officeDocument/2006/relationships/hyperlink" Target="https://standards.buildingsmart.org/IFC/RELEASE/IFC4/ADD2_TC1/HTML/schema/ifchvacdomain/pset/pset_cooledbeamtypecommon.htm" TargetMode="External"/><Relationship Id="rId3716" Type="http://schemas.openxmlformats.org/officeDocument/2006/relationships/hyperlink" Target="https://standards.buildingsmart.org/IFC/RELEASE/IFC4/ADD2_TC1/HTML/schema/ifchvacdomain/pset/pset_ductfittingphistory.htm" TargetMode="External"/><Relationship Id="rId637" Type="http://schemas.openxmlformats.org/officeDocument/2006/relationships/hyperlink" Target="https://standards.buildingsmart.org/IFC/RELEASE/IFC4/ADD2_TC1/HTML/schema/ifcpresentationappearanceresource/lexical/ifcexternallydefinedsurfacestyle.htm" TargetMode="External"/><Relationship Id="rId844" Type="http://schemas.openxmlformats.org/officeDocument/2006/relationships/hyperlink" Target="https://standards.buildingsmart.org/IFC/RELEASE/IFC4/ADD2_TC1/HTML/schema/ifckernel/lexical/ifcprocess.htm" TargetMode="External"/><Relationship Id="rId1267" Type="http://schemas.openxmlformats.org/officeDocument/2006/relationships/hyperlink" Target="https://standards.buildingsmart.org/IFC/RELEASE/IFC4/ADD2_TC1/HTML/schema/ifcgeometryresource/lexical/ifcconstraintsparambspline.htm" TargetMode="External"/><Relationship Id="rId1474" Type="http://schemas.openxmlformats.org/officeDocument/2006/relationships/hyperlink" Target="https://standards.buildingsmart.org/IFC/RELEASE/IFC4/ADD2_TC1/HTML/schema/ifchvacdomain/pset/pset_valvetypecommon.htm" TargetMode="External"/><Relationship Id="rId1681" Type="http://schemas.openxmlformats.org/officeDocument/2006/relationships/hyperlink" Target="https://standards.buildingsmart.org/IFC/RELEASE/IFC4/ADD2_TC1/HTML/schema/ifcbuildingcontrolsdomain/pset/pset_actuatortypelinearactuation.htm" TargetMode="External"/><Relationship Id="rId2318" Type="http://schemas.openxmlformats.org/officeDocument/2006/relationships/hyperlink" Target="https://standards.buildingsmart.org/IFC/RELEASE/IFC4/ADD2_TC1/HTML/schema/ifchvacdomain/pset/pset_valvephistory.htm" TargetMode="External"/><Relationship Id="rId2525" Type="http://schemas.openxmlformats.org/officeDocument/2006/relationships/hyperlink" Target="https://standards.buildingsmart.org/IFC/RELEASE/IFC4/ADD2_TC1/HTML/schema/ifcplumbingfireprotectiondomain/pset/pset_wasteterminaltyperoofdrain.htm" TargetMode="External"/><Relationship Id="rId2732" Type="http://schemas.openxmlformats.org/officeDocument/2006/relationships/hyperlink" Target="https://standards.buildingsmart.org/IFC/RELEASE/IFC4/ADD2_TC1/HTML/schema/ifcelectricaldomain/pset/pset_electricflowstoragedevicephistory.htm" TargetMode="External"/><Relationship Id="rId704" Type="http://schemas.openxmlformats.org/officeDocument/2006/relationships/hyperlink" Target="https://standards.buildingsmart.org/IFC/RELEASE/IFC4/ADD2_TC1/HTML/schema/ifchvacdomain/lexical/ifcheatexchanger.htm" TargetMode="External"/><Relationship Id="rId911" Type="http://schemas.openxmlformats.org/officeDocument/2006/relationships/hyperlink" Target="https://standards.buildingsmart.org/IFC/RELEASE/IFC4/ADD2_TC1/HTML/schema/ifckernel/lexical/ifcrelassignstocontrol.htm" TargetMode="External"/><Relationship Id="rId1127" Type="http://schemas.openxmlformats.org/officeDocument/2006/relationships/hyperlink" Target="https://standards.buildingsmart.org/IFC/RELEASE/IFC4/ADD2_TC1/HTML/schema/ifchvacdomain/lexical/ifctubebundletype.htm" TargetMode="External"/><Relationship Id="rId1334" Type="http://schemas.openxmlformats.org/officeDocument/2006/relationships/hyperlink" Target="https://standards.buildingsmart.org/IFC/RELEASE/IFC4/ADD2_TC1/HTML/schema/ifchvacdomain/pset/pset_pipesegmenttypecommon.htm" TargetMode="External"/><Relationship Id="rId1541" Type="http://schemas.openxmlformats.org/officeDocument/2006/relationships/hyperlink" Target="https://standards.buildingsmart.org/IFC/RELEASE/IFC4/ADD2_TC1/HTML/schema/ifcsharedbldgserviceelements/pset/pset_spacethermalloadphistory.htm" TargetMode="External"/><Relationship Id="rId40" Type="http://schemas.openxmlformats.org/officeDocument/2006/relationships/hyperlink" Target="https://standards.buildingsmart.org/IFC/RELEASE/IFC4/ADD2_TC1/HTML/schema/ifcmeasureresource/lexical/ifcradioactivitymeasure.htm" TargetMode="External"/><Relationship Id="rId1401" Type="http://schemas.openxmlformats.org/officeDocument/2006/relationships/hyperlink" Target="https://standards.buildingsmart.org/IFC/RELEASE/IFC4/ADD2_TC1/HTML/schema/ifcprofileresource/pset/pset_profilemechanical.htm" TargetMode="External"/><Relationship Id="rId3299" Type="http://schemas.openxmlformats.org/officeDocument/2006/relationships/hyperlink" Target="https://standards.buildingsmart.org/IFC/RELEASE/IFC4/ADD2_TC1/HTML/schema/ifcelectricaldomain/pset/pset_electricappliancetypedishwasher.htm" TargetMode="External"/><Relationship Id="rId3159" Type="http://schemas.openxmlformats.org/officeDocument/2006/relationships/hyperlink" Target="https://standards.buildingsmart.org/IFC/RELEASE/IFC4/ADD2_TC1/HTML/schema/ifcsharedbldgelements/pset/pset_doorcommon.htm" TargetMode="External"/><Relationship Id="rId3366" Type="http://schemas.openxmlformats.org/officeDocument/2006/relationships/hyperlink" Target="https://standards.buildingsmart.org/IFC/RELEASE/IFC4/ADD2_TC1/HTML/schema/ifcstructuralelementsdomain/pset/pset_reinforcementbarpitchofcontinuousfooting.htm" TargetMode="External"/><Relationship Id="rId3573" Type="http://schemas.openxmlformats.org/officeDocument/2006/relationships/hyperlink" Target="https://standards.buildingsmart.org/IFC/RELEASE/IFC4/ADD2_TC1/HTML/schema/ifcsharedcomponentelements/pset/pset_fastenerweld.htm" TargetMode="External"/><Relationship Id="rId287" Type="http://schemas.openxmlformats.org/officeDocument/2006/relationships/hyperlink" Target="https://standards.buildingsmart.org/IFC/RELEASE/IFC4/ADD2_TC1/HTML/schema/ifcmeasureresource/lexical/ifcsiunitname.htm" TargetMode="External"/><Relationship Id="rId494" Type="http://schemas.openxmlformats.org/officeDocument/2006/relationships/hyperlink" Target="https://standards.buildingsmart.org/IFC/RELEASE/IFC4/ADD2_TC1/HTML/schema/ifcpresentationappearanceresource/lexical/ifccolourrgb.htm" TargetMode="External"/><Relationship Id="rId2175" Type="http://schemas.openxmlformats.org/officeDocument/2006/relationships/hyperlink" Target="https://standards.buildingsmart.org/IFC/RELEASE/IFC4/ADD2_TC1/HTML/schema/ifcsharedbldgelements/pset/pset_chimneycommon.htm" TargetMode="External"/><Relationship Id="rId2382" Type="http://schemas.openxmlformats.org/officeDocument/2006/relationships/hyperlink" Target="https://standards.buildingsmart.org/IFC/RELEASE/IFC4/ADD2_TC1/HTML/schema/ifcproductextension/pset/pset_buildingcommon.htm" TargetMode="External"/><Relationship Id="rId3019" Type="http://schemas.openxmlformats.org/officeDocument/2006/relationships/hyperlink" Target="https://standards.buildingsmart.org/IFC/RELEASE/IFC4/ADD2_TC1/HTML/schema/ifcsharedbldgelements/pset/pset_rampcommon.htm" TargetMode="External"/><Relationship Id="rId3226" Type="http://schemas.openxmlformats.org/officeDocument/2006/relationships/hyperlink" Target="https://standards.buildingsmart.org/IFC/RELEASE/IFC4/ADD2_TC1/HTML/schema/ifchvacdomain/pset/pset_spaceheatertypecommon.htm" TargetMode="External"/><Relationship Id="rId3780" Type="http://schemas.openxmlformats.org/officeDocument/2006/relationships/hyperlink" Target="https://standards.buildingsmart.org/IFC/RELEASE/IFC4/ADD2_TC1/HTML/schema/ifcmeasureresource/lexical/ifccomplexnumber.htm" TargetMode="External"/><Relationship Id="rId147" Type="http://schemas.openxmlformats.org/officeDocument/2006/relationships/hyperlink" Target="https://standards.buildingsmart.org/IFC/RELEASE/IFC4/ADD2_TC1/HTML/schema/ifcgeometryresource/lexical/ifcbsplinecurveform.htm" TargetMode="External"/><Relationship Id="rId354" Type="http://schemas.openxmlformats.org/officeDocument/2006/relationships/hyperlink" Target="https://standards.buildingsmart.org/IFC/RELEASE/IFC4/ADD2_TC1/HTML/schema/ifcgeometricmodelresource/lexical/ifcgeometricsetselect.htm" TargetMode="External"/><Relationship Id="rId1191" Type="http://schemas.openxmlformats.org/officeDocument/2006/relationships/hyperlink" Target="https://standards.buildingsmart.org/IFC/RELEASE/IFC4/ADD2_TC1/HTML/schema/ifcconstructionmgmtdomain/qset/qto_constructionequipmentresourcebasequantities.htm" TargetMode="External"/><Relationship Id="rId2035" Type="http://schemas.openxmlformats.org/officeDocument/2006/relationships/hyperlink" Target="https://standards.buildingsmart.org/IFC/RELEASE/IFC4/ADD2_TC1/HTML/schema/ifcsharedbldgelements/pset/pset_rampcommon.htm" TargetMode="External"/><Relationship Id="rId3433" Type="http://schemas.openxmlformats.org/officeDocument/2006/relationships/hyperlink" Target="https://standards.buildingsmart.org/IFC/RELEASE/IFC4/ADD2_TC1/HTML/schema/ifcstructuralelementsdomain/pset/pset_concreteelementgeneral.htm" TargetMode="External"/><Relationship Id="rId3640" Type="http://schemas.openxmlformats.org/officeDocument/2006/relationships/hyperlink" Target="https://standards.buildingsmart.org/IFC/RELEASE/IFC4/ADD2_TC1/HTML/schema/ifcelectricaldomain/pset/pset_audiovisualappliancetypereceiver.htm" TargetMode="External"/><Relationship Id="rId561" Type="http://schemas.openxmlformats.org/officeDocument/2006/relationships/hyperlink" Target="https://standards.buildingsmart.org/IFC/RELEASE/IFC4/ADD2_TC1/HTML/schema/ifchvacdomain/lexical/ifcdamper.htm" TargetMode="External"/><Relationship Id="rId2242" Type="http://schemas.openxmlformats.org/officeDocument/2006/relationships/hyperlink" Target="https://standards.buildingsmart.org/IFC/RELEASE/IFC4/ADD2_TC1/HTML/schema/ifcelectricaldomain/pset/pset_transformertypecommon.htm" TargetMode="External"/><Relationship Id="rId3500" Type="http://schemas.openxmlformats.org/officeDocument/2006/relationships/hyperlink" Target="https://standards.buildingsmart.org/IFC/RELEASE/IFC4/ADD2_TC1/HTML/schema/ifcelectricaldomain/pset/pset_lamptypecommon.htm" TargetMode="External"/><Relationship Id="rId214" Type="http://schemas.openxmlformats.org/officeDocument/2006/relationships/hyperlink" Target="https://standards.buildingsmart.org/IFC/RELEASE/IFC4/ADD2_TC1/HTML/schema/ifchvacdomain/lexical/ifcfiltertypeenum.htm" TargetMode="External"/><Relationship Id="rId421" Type="http://schemas.openxmlformats.org/officeDocument/2006/relationships/hyperlink" Target="https://standards.buildingsmart.org/IFC/RELEASE/IFC4/ADD2_TC1/HTML/schema/ifcsharedfacilitieselements/lexical/ifcasset.htm" TargetMode="External"/><Relationship Id="rId1051" Type="http://schemas.openxmlformats.org/officeDocument/2006/relationships/hyperlink" Target="https://standards.buildingsmart.org/IFC/RELEASE/IFC4/ADD2_TC1/HTML/schema/ifcstructuralanalysisdomain/lexical/ifcstructuralsurfaceaction.htm" TargetMode="External"/><Relationship Id="rId2102" Type="http://schemas.openxmlformats.org/officeDocument/2006/relationships/hyperlink" Target="https://standards.buildingsmart.org/IFC/RELEASE/IFC4/ADD2_TC1/HTML/schema/ifcstructuralelementsdomain/pset/pset_tendoncommon.htm" TargetMode="External"/><Relationship Id="rId1868" Type="http://schemas.openxmlformats.org/officeDocument/2006/relationships/hyperlink" Target="https://standards.buildingsmart.org/IFC/RELEASE/IFC4/ADD2_TC1/HTML/schema/ifcsharedbldgelements/pset/pset_doorwindowglazingtype.htm" TargetMode="External"/><Relationship Id="rId2919" Type="http://schemas.openxmlformats.org/officeDocument/2006/relationships/hyperlink" Target="https://standards.buildingsmart.org/IFC/RELEASE/IFC4/ADD2_TC1/HTML/schema/ifcsharedfacilitieselements/pset/pset_servicelifefactors.htm" TargetMode="External"/><Relationship Id="rId3083" Type="http://schemas.openxmlformats.org/officeDocument/2006/relationships/hyperlink" Target="https://standards.buildingsmart.org/IFC/RELEASE/IFC4/ADD2_TC1/HTML/schema/ifchvacdomain/pset/pset_chillertypecommon.htm" TargetMode="External"/><Relationship Id="rId3290" Type="http://schemas.openxmlformats.org/officeDocument/2006/relationships/hyperlink" Target="https://standards.buildingsmart.org/IFC/RELEASE/IFC4/ADD2_TC1/HTML/schema/ifcsharedbldgserviceelements/pset/pset_distributionsystemtypeelectrical.htm" TargetMode="External"/><Relationship Id="rId1728" Type="http://schemas.openxmlformats.org/officeDocument/2006/relationships/hyperlink" Target="https://standards.buildingsmart.org/IFC/RELEASE/IFC4/ADD2_TC1/HTML/schema/ifchvacdomain/pset/pset_pumptypecommon.htm" TargetMode="External"/><Relationship Id="rId1935" Type="http://schemas.openxmlformats.org/officeDocument/2006/relationships/hyperlink" Target="https://standards.buildingsmart.org/IFC/RELEASE/IFC4/ADD2_TC1/HTML/schema/ifchvacdomain/pset/pset_compressorphistory.htm" TargetMode="External"/><Relationship Id="rId3150" Type="http://schemas.openxmlformats.org/officeDocument/2006/relationships/hyperlink" Target="https://standards.buildingsmart.org/IFC/RELEASE/IFC4/ADD2_TC1/HTML/schema/ifchvacdomain/pset/pset_dampertypefiredamper.htm" TargetMode="External"/><Relationship Id="rId3010" Type="http://schemas.openxmlformats.org/officeDocument/2006/relationships/hyperlink" Target="https://standards.buildingsmart.org/IFC/RELEASE/IFC4/ADD2_TC1/HTML/schema/ifchvacdomain/pset/pset_coiloccurrence.htm" TargetMode="External"/><Relationship Id="rId4" Type="http://schemas.openxmlformats.org/officeDocument/2006/relationships/hyperlink" Target="https://standards.buildingsmart.org/IFC/RELEASE/IFC4/ADD2_TC1/HTML/schema/ifcmeasureresource/lexical/ifcvolumemeasure.htm" TargetMode="External"/><Relationship Id="rId888" Type="http://schemas.openxmlformats.org/officeDocument/2006/relationships/hyperlink" Target="https://standards.buildingsmart.org/IFC/RELEASE/IFC4/ADD2_TC1/HTML/schema/ifcsharedbldgelements/lexical/ifcrampflight.htm" TargetMode="External"/><Relationship Id="rId2569" Type="http://schemas.openxmlformats.org/officeDocument/2006/relationships/hyperlink" Target="https://standards.buildingsmart.org/IFC/RELEASE/IFC4/ADD2_TC1/HTML/schema/ifcplumbingfireprotectiondomain/pset/pset_sanitaryterminaltypesink.htm" TargetMode="External"/><Relationship Id="rId2776" Type="http://schemas.openxmlformats.org/officeDocument/2006/relationships/hyperlink" Target="https://standards.buildingsmart.org/IFC/RELEASE/IFC4/ADD2_TC1/HTML/schema/ifchvacdomain/pset/pset_pipefittingtypejunction.htm" TargetMode="External"/><Relationship Id="rId2983" Type="http://schemas.openxmlformats.org/officeDocument/2006/relationships/hyperlink" Target="https://standards.buildingsmart.org/IFC/RELEASE/IFC4/ADD2_TC1/HTML/schema/ifchvacdomain/pset/pset_cooledbeamphistory.htm" TargetMode="External"/><Relationship Id="rId748" Type="http://schemas.openxmlformats.org/officeDocument/2006/relationships/hyperlink" Target="https://standards.buildingsmart.org/IFC/RELEASE/IFC4/ADD2_TC1/HTML/schema/ifcmaterialresource/lexical/ifcmaterial.htm" TargetMode="External"/><Relationship Id="rId955" Type="http://schemas.openxmlformats.org/officeDocument/2006/relationships/hyperlink" Target="https://standards.buildingsmart.org/IFC/RELEASE/IFC4/ADD2_TC1/HTML/schema/ifcproductextension/lexical/ifcrelvoidselement.htm" TargetMode="External"/><Relationship Id="rId1378" Type="http://schemas.openxmlformats.org/officeDocument/2006/relationships/hyperlink" Target="https://standards.buildingsmart.org/IFC/RELEASE/IFC4/ADD2_TC1/HTML/schema/ifchvacdomain/pset/pset_cooledbeamphistory.htm" TargetMode="External"/><Relationship Id="rId1585" Type="http://schemas.openxmlformats.org/officeDocument/2006/relationships/hyperlink" Target="https://standards.buildingsmart.org/IFC/RELEASE/IFC4/ADD2_TC1/HTML/schema/ifcsharedcomponentelements/pset/pset_mechanicalfastenerbolt.htm" TargetMode="External"/><Relationship Id="rId1792" Type="http://schemas.openxmlformats.org/officeDocument/2006/relationships/hyperlink" Target="https://standards.buildingsmart.org/IFC/RELEASE/IFC4/ADD2_TC1/HTML/schema/ifcbuildingcontrolsdomain/pset/pset_alarmtypecommon.htm" TargetMode="External"/><Relationship Id="rId2429" Type="http://schemas.openxmlformats.org/officeDocument/2006/relationships/hyperlink" Target="https://standards.buildingsmart.org/IFC/RELEASE/IFC4/ADD2_TC1/HTML/schema/ifcelectricaldomain/pset/pset_cablecarriersegmenttypeconduitsegment.htm" TargetMode="External"/><Relationship Id="rId2636" Type="http://schemas.openxmlformats.org/officeDocument/2006/relationships/hyperlink" Target="https://standards.buildingsmart.org/IFC/RELEASE/IFC4/ADD2_TC1/HTML/schema/ifcelectricaldomain/pset/pset_cablesegmenttypecablesegment.htm" TargetMode="External"/><Relationship Id="rId2843" Type="http://schemas.openxmlformats.org/officeDocument/2006/relationships/hyperlink" Target="https://standards.buildingsmart.org/IFC/RELEASE/IFC4/ADD2_TC1/HTML/schema/ifcsharedbldgelements/pset/pset_chimneycommon.htm" TargetMode="External"/><Relationship Id="rId84" Type="http://schemas.openxmlformats.org/officeDocument/2006/relationships/hyperlink" Target="https://standards.buildingsmart.org/IFC/RELEASE/IFC4/ADD2_TC1/HTML/schema/ifcmeasureresource/lexical/ifcisothermalmoisturecapacitymeasure.htm" TargetMode="External"/><Relationship Id="rId608" Type="http://schemas.openxmlformats.org/officeDocument/2006/relationships/hyperlink" Target="https://standards.buildingsmart.org/IFC/RELEASE/IFC4/ADD2_TC1/HTML/schema/ifcelectricaldomain/lexical/ifcelectricgeneratortype.htm" TargetMode="External"/><Relationship Id="rId815" Type="http://schemas.openxmlformats.org/officeDocument/2006/relationships/hyperlink" Target="https://standards.buildingsmart.org/IFC/RELEASE/IFC4/ADD2_TC1/HTML/schema/ifcgeometryresource/lexical/ifcplacement.htm" TargetMode="External"/><Relationship Id="rId1238" Type="http://schemas.openxmlformats.org/officeDocument/2006/relationships/hyperlink" Target="https://standards.buildingsmart.org/IFC/RELEASE/IFC4/ADD2_TC1/HTML/schema/ifcsharedbldgelements/qset/qto_rampflightbasequantities.htm" TargetMode="External"/><Relationship Id="rId1445" Type="http://schemas.openxmlformats.org/officeDocument/2006/relationships/hyperlink" Target="https://standards.buildingsmart.org/IFC/RELEASE/IFC4/ADD2_TC1/HTML/schema/ifcelectricaldomain/pset/pset_audiovisualappliancetypedisplay.htm" TargetMode="External"/><Relationship Id="rId1652" Type="http://schemas.openxmlformats.org/officeDocument/2006/relationships/hyperlink" Target="https://standards.buildingsmart.org/IFC/RELEASE/IFC4/ADD2_TC1/HTML/schema/ifcelectricaldomain/pset/pset_switchingdevicetypetoggleswitch.htm" TargetMode="External"/><Relationship Id="rId1305" Type="http://schemas.openxmlformats.org/officeDocument/2006/relationships/hyperlink" Target="https://standards.buildingsmart.org/IFC/RELEASE/IFC4/ADD2_TC1/HTML/schema/ifcquantityresource/lexical/ifcuniquequantitynames.htm" TargetMode="External"/><Relationship Id="rId2703" Type="http://schemas.openxmlformats.org/officeDocument/2006/relationships/hyperlink" Target="https://standards.buildingsmart.org/IFC/RELEASE/IFC4/ADD2_TC1/HTML/schema/ifcelectricaldomain/pset/pset_switchingdevicetypeswitchdisconnector.htm" TargetMode="External"/><Relationship Id="rId2910" Type="http://schemas.openxmlformats.org/officeDocument/2006/relationships/hyperlink" Target="https://standards.buildingsmart.org/IFC/RELEASE/IFC4/ADD2_TC1/HTML/schema/ifcsharedbldgserviceelements/pset/pset_thermalloadaggregate.htm" TargetMode="External"/><Relationship Id="rId1512" Type="http://schemas.openxmlformats.org/officeDocument/2006/relationships/hyperlink" Target="https://standards.buildingsmart.org/IFC/RELEASE/IFC4/ADD2_TC1/HTML/schema/ifcelectricaldomain/pset/pset_audiovisualappliancetypetuner.htm" TargetMode="External"/><Relationship Id="rId11" Type="http://schemas.openxmlformats.org/officeDocument/2006/relationships/hyperlink" Target="https://standards.buildingsmart.org/IFC/RELEASE/IFC4/ADD2_TC1/HTML/schema/ifcmeasureresource/lexical/ifcthermodynamictemperaturemeasure.htm" TargetMode="External"/><Relationship Id="rId398" Type="http://schemas.openxmlformats.org/officeDocument/2006/relationships/hyperlink" Target="https://standards.buildingsmart.org/IFC/RELEASE/IFC4/ADD2_TC1/HTML/schema/ifcbuildingcontrolsdomain/lexical/ifcactuator.htm" TargetMode="External"/><Relationship Id="rId2079" Type="http://schemas.openxmlformats.org/officeDocument/2006/relationships/hyperlink" Target="https://standards.buildingsmart.org/IFC/RELEASE/IFC4/ADD2_TC1/HTML/schema/ifchvacdomain/pset/pset_compressortypecommon.htm" TargetMode="External"/><Relationship Id="rId3477" Type="http://schemas.openxmlformats.org/officeDocument/2006/relationships/hyperlink" Target="https://standards.buildingsmart.org/IFC/RELEASE/IFC4/ADD2_TC1/HTML/schema/ifchvacdomain/pset/pset_compressorphistory.htm" TargetMode="External"/><Relationship Id="rId3684" Type="http://schemas.openxmlformats.org/officeDocument/2006/relationships/hyperlink" Target="https://standards.buildingsmart.org/IFC/RELEASE/IFC4/ADD2_TC1/HTML/schema/ifcsharedcomponentelements/pset/pset_mechanicalfasteneranchorbolt.htm" TargetMode="External"/><Relationship Id="rId2286" Type="http://schemas.openxmlformats.org/officeDocument/2006/relationships/hyperlink" Target="https://standards.buildingsmart.org/IFC/RELEASE/IFC4/ADD2_TC1/HTML/schema/ifcbuildingcontrolsdomain/pset/pset_actuatorphistory.htm" TargetMode="External"/><Relationship Id="rId2493" Type="http://schemas.openxmlformats.org/officeDocument/2006/relationships/hyperlink" Target="https://standards.buildingsmart.org/IFC/RELEASE/IFC4/ADD2_TC1/HTML/schema/ifchvacdomain/pset/pset_chillertypecommon.htm" TargetMode="External"/><Relationship Id="rId3337" Type="http://schemas.openxmlformats.org/officeDocument/2006/relationships/hyperlink" Target="https://standards.buildingsmart.org/IFC/RELEASE/IFC4/ADD2_TC1/HTML/schema/ifcsharedbldgelements/pset/pset_buildingelementproxyprovisionforvoid.htm" TargetMode="External"/><Relationship Id="rId3544" Type="http://schemas.openxmlformats.org/officeDocument/2006/relationships/hyperlink" Target="https://standards.buildingsmart.org/IFC/RELEASE/IFC4/ADD2_TC1/HTML/schema/ifcsharedbldgserviceelements/pset/pset_distributionchamberelementtypevalvechamber.htm" TargetMode="External"/><Relationship Id="rId3751" Type="http://schemas.openxmlformats.org/officeDocument/2006/relationships/hyperlink" Target="https://standards.buildingsmart.org/IFC/RELEASE/IFC4/ADD2_TC1/HTML/schema/ifcsharedbldgelements/pset/pset_windowcommon.htm" TargetMode="External"/><Relationship Id="rId258" Type="http://schemas.openxmlformats.org/officeDocument/2006/relationships/hyperlink" Target="https://standards.buildingsmart.org/IFC/RELEASE/IFC4/ADD2_TC1/HTML/schema/ifcsharedbldgelements/lexical/ifcplatetypeenum.htm" TargetMode="External"/><Relationship Id="rId465" Type="http://schemas.openxmlformats.org/officeDocument/2006/relationships/hyperlink" Target="https://standards.buildingsmart.org/IFC/RELEASE/IFC4/ADD2_TC1/HTML/schema/ifcelectricaldomain/lexical/ifccablecarriersegmenttype.htm" TargetMode="External"/><Relationship Id="rId672" Type="http://schemas.openxmlformats.org/officeDocument/2006/relationships/hyperlink" Target="https://standards.buildingsmart.org/IFC/RELEASE/IFC4/ADD2_TC1/HTML/schema/ifcbuildingcontrolsdomain/lexical/ifcflowinstrument.htm" TargetMode="External"/><Relationship Id="rId1095" Type="http://schemas.openxmlformats.org/officeDocument/2006/relationships/hyperlink" Target="https://standards.buildingsmart.org/IFC/RELEASE/IFC4/ADD2_TC1/HTML/schema/ifcstructuralelementsdomain/lexical/ifctendon.htm" TargetMode="External"/><Relationship Id="rId2146" Type="http://schemas.openxmlformats.org/officeDocument/2006/relationships/hyperlink" Target="https://standards.buildingsmart.org/IFC/RELEASE/IFC4/ADD2_TC1/HTML/schema/ifchvacdomain/pset/pset_fantypecommon.htm" TargetMode="External"/><Relationship Id="rId2353" Type="http://schemas.openxmlformats.org/officeDocument/2006/relationships/hyperlink" Target="https://standards.buildingsmart.org/IFC/RELEASE/IFC4/ADD2_TC1/HTML/schema/ifcplumbingfireprotectiondomain/pset/pset_wasteterminaltypewastedisposalunit.htm" TargetMode="External"/><Relationship Id="rId2560" Type="http://schemas.openxmlformats.org/officeDocument/2006/relationships/hyperlink" Target="https://standards.buildingsmart.org/IFC/RELEASE/IFC4/ADD2_TC1/HTML/schema/ifcelectricaldomain/pset/pset_protectivedevicetrippingunittypeelectronic.htm" TargetMode="External"/><Relationship Id="rId3404" Type="http://schemas.openxmlformats.org/officeDocument/2006/relationships/hyperlink" Target="https://standards.buildingsmart.org/IFC/RELEASE/IFC4/ADD2_TC1/HTML/schema/ifcprofileresource/pset/pset_profilearbitraryhollowcore.htm" TargetMode="External"/><Relationship Id="rId3611" Type="http://schemas.openxmlformats.org/officeDocument/2006/relationships/hyperlink" Target="https://standards.buildingsmart.org/IFC/RELEASE/IFC4/ADD2_TC1/HTML/schema/ifchvacdomain/pset/pset_pumpoccurrence.htm" TargetMode="External"/><Relationship Id="rId118" Type="http://schemas.openxmlformats.org/officeDocument/2006/relationships/hyperlink" Target="https://standards.buildingsmart.org/IFC/RELEASE/IFC4/ADD2_TC1/HTML/schema/ifcmeasureresource/lexical/ifccompoundplaneanglemeasure.htm" TargetMode="External"/><Relationship Id="rId325" Type="http://schemas.openxmlformats.org/officeDocument/2006/relationships/hyperlink" Target="https://standards.buildingsmart.org/IFC/RELEASE/IFC4/ADD2_TC1/HTML/schema/ifcplumbingfireprotectiondomain/lexical/ifcwasteterminaltypeenum.htm" TargetMode="External"/><Relationship Id="rId532" Type="http://schemas.openxmlformats.org/officeDocument/2006/relationships/hyperlink" Target="https://standards.buildingsmart.org/IFC/RELEASE/IFC4/ADD2_TC1/HTML/schema/ifcmeasureresource/lexical/ifcconversionbasedunit.htm" TargetMode="External"/><Relationship Id="rId1162" Type="http://schemas.openxmlformats.org/officeDocument/2006/relationships/hyperlink" Target="https://standards.buildingsmart.org/IFC/RELEASE/IFC4/ADD2_TC1/HTML/schema/ifcprocessextension/lexical/ifcworkcontrol.htm" TargetMode="External"/><Relationship Id="rId2006" Type="http://schemas.openxmlformats.org/officeDocument/2006/relationships/hyperlink" Target="https://standards.buildingsmart.org/IFC/RELEASE/IFC4/ADD2_TC1/HTML/schema/ifcconstructionmgmtdomain/pset/pset_constructionresource.htm" TargetMode="External"/><Relationship Id="rId2213" Type="http://schemas.openxmlformats.org/officeDocument/2006/relationships/hyperlink" Target="https://standards.buildingsmart.org/IFC/RELEASE/IFC4/ADD2_TC1/HTML/schema/ifcbuildingcontrolsdomain/pset/pset_controllertypemultiposition.htm" TargetMode="External"/><Relationship Id="rId2420" Type="http://schemas.openxmlformats.org/officeDocument/2006/relationships/hyperlink" Target="https://standards.buildingsmart.org/IFC/RELEASE/IFC4/ADD2_TC1/HTML/schema/ifcsharedbldgelements/pset/pset_staircommon.htm" TargetMode="External"/><Relationship Id="rId1022" Type="http://schemas.openxmlformats.org/officeDocument/2006/relationships/hyperlink" Target="https://standards.buildingsmart.org/IFC/RELEASE/IFC4/ADD2_TC1/HTML/schema/ifcstructuralanalysisdomain/lexical/ifcstructuralconnection.htm" TargetMode="External"/><Relationship Id="rId1979" Type="http://schemas.openxmlformats.org/officeDocument/2006/relationships/hyperlink" Target="https://standards.buildingsmart.org/IFC/RELEASE/IFC4/ADD2_TC1/HTML/schema/ifcelectricaldomain/pset/pset_lightfixturetypesecuritylighting.htm" TargetMode="External"/><Relationship Id="rId3194" Type="http://schemas.openxmlformats.org/officeDocument/2006/relationships/hyperlink" Target="https://standards.buildingsmart.org/IFC/RELEASE/IFC4/ADD2_TC1/HTML/schema/ifchvacdomain/pset/pset_fanphistory.htm" TargetMode="External"/><Relationship Id="rId1839" Type="http://schemas.openxmlformats.org/officeDocument/2006/relationships/hyperlink" Target="https://standards.buildingsmart.org/IFC/RELEASE/IFC4/ADD2_TC1/HTML/schema/ifcproductextension/pset/pset_spacethermalrequirements.htm" TargetMode="External"/><Relationship Id="rId3054" Type="http://schemas.openxmlformats.org/officeDocument/2006/relationships/hyperlink" Target="https://standards.buildingsmart.org/IFC/RELEASE/IFC4/ADD2_TC1/HTML/schema/ifcsharedfacilitieselements/pset/pset_systemfurnitureelementtypecommon.htm" TargetMode="External"/><Relationship Id="rId182" Type="http://schemas.openxmlformats.org/officeDocument/2006/relationships/hyperlink" Target="https://standards.buildingsmart.org/IFC/RELEASE/IFC4/ADD2_TC1/HTML/schema/ifcmaterialresource/lexical/ifcdirectionsenseenum.htm" TargetMode="External"/><Relationship Id="rId1906" Type="http://schemas.openxmlformats.org/officeDocument/2006/relationships/hyperlink" Target="https://standards.buildingsmart.org/IFC/RELEASE/IFC4/ADD2_TC1/HTML/schema/ifcstructuralelementsdomain/pset/pset_reinforcementbarpitchofslab.htm" TargetMode="External"/><Relationship Id="rId3261" Type="http://schemas.openxmlformats.org/officeDocument/2006/relationships/hyperlink" Target="https://standards.buildingsmart.org/IFC/RELEASE/IFC4/ADD2_TC1/HTML/schema/ifcelectricaldomain/pset/pset_electricflowstoragedevicetypecommon.htm" TargetMode="External"/><Relationship Id="rId2070" Type="http://schemas.openxmlformats.org/officeDocument/2006/relationships/hyperlink" Target="https://standards.buildingsmart.org/IFC/RELEASE/IFC4/ADD2_TC1/HTML/schema/ifcstructuralelementsdomain/pset/pset_reinforcementbarpitchofcolumn.htm" TargetMode="External"/><Relationship Id="rId3121" Type="http://schemas.openxmlformats.org/officeDocument/2006/relationships/hyperlink" Target="https://standards.buildingsmart.org/IFC/RELEASE/IFC4/ADD2_TC1/HTML/schema/ifcplumbingfireprotectiondomain/pset/pset_firesuppressionterminaltypefirehydrant.htm" TargetMode="External"/><Relationship Id="rId999" Type="http://schemas.openxmlformats.org/officeDocument/2006/relationships/hyperlink" Target="https://standards.buildingsmart.org/IFC/RELEASE/IFC4/ADD2_TC1/HTML/schema/ifcelectricaldomain/lexical/ifcsolardevicetype.htm" TargetMode="External"/><Relationship Id="rId2887" Type="http://schemas.openxmlformats.org/officeDocument/2006/relationships/hyperlink" Target="https://standards.buildingsmart.org/IFC/RELEASE/IFC4/ADD2_TC1/HTML/schema/ifcbuildingcontrolsdomain/pset/pset_actuatortypepneumaticactuator.htm" TargetMode="External"/><Relationship Id="rId859" Type="http://schemas.openxmlformats.org/officeDocument/2006/relationships/hyperlink" Target="https://standards.buildingsmart.org/IFC/RELEASE/IFC4/ADD2_TC1/HTML/schema/ifcpropertyresource/lexical/ifcpropertydependencyrelationship.htm" TargetMode="External"/><Relationship Id="rId1489" Type="http://schemas.openxmlformats.org/officeDocument/2006/relationships/hyperlink" Target="https://standards.buildingsmart.org/IFC/RELEASE/IFC4/ADD2_TC1/HTML/schema/ifcelectricaldomain/pset/pset_protectivedevicetrippingunittypecommon.htm" TargetMode="External"/><Relationship Id="rId1696" Type="http://schemas.openxmlformats.org/officeDocument/2006/relationships/hyperlink" Target="https://standards.buildingsmart.org/IFC/RELEASE/IFC4/ADD2_TC1/HTML/schema/ifcbuildingcontrolsdomain/pset/pset_flowinstrumentphistory.htm" TargetMode="External"/><Relationship Id="rId1349" Type="http://schemas.openxmlformats.org/officeDocument/2006/relationships/hyperlink" Target="https://standards.buildingsmart.org/IFC/RELEASE/IFC4/ADD2_TC1/HTML/schema/ifcsharedcomponentelements/pset/pset_discreteaccessorywireloop.htm" TargetMode="External"/><Relationship Id="rId2747" Type="http://schemas.openxmlformats.org/officeDocument/2006/relationships/hyperlink" Target="https://standards.buildingsmart.org/IFC/RELEASE/IFC4/ADD2_TC1/HTML/schema/ifcproductextension/pset/pset_environmentalimpactvalues.htm" TargetMode="External"/><Relationship Id="rId2954" Type="http://schemas.openxmlformats.org/officeDocument/2006/relationships/hyperlink" Target="https://standards.buildingsmart.org/IFC/RELEASE/IFC4/ADD2_TC1/HTML/schema/ifchvacdomain/pset/pset_ductsilencertypecommon.htm" TargetMode="External"/><Relationship Id="rId719" Type="http://schemas.openxmlformats.org/officeDocument/2006/relationships/hyperlink" Target="https://standards.buildingsmart.org/IFC/RELEASE/IFC4/ADD2_TC1/HTML/schema/ifcdatetimeresource/lexical/ifcirregulartimeseries.htm" TargetMode="External"/><Relationship Id="rId926" Type="http://schemas.openxmlformats.org/officeDocument/2006/relationships/hyperlink" Target="https://standards.buildingsmart.org/IFC/RELEASE/IFC4/ADD2_TC1/HTML/schema/ifcproductextension/lexical/ifcrelconnectselements.htm" TargetMode="External"/><Relationship Id="rId1556" Type="http://schemas.openxmlformats.org/officeDocument/2006/relationships/hyperlink" Target="https://standards.buildingsmart.org/IFC/RELEASE/IFC4/ADD2_TC1/HTML/schema/ifchvacdomain/pset/pset_cooledbeamphistory.htm" TargetMode="External"/><Relationship Id="rId1763" Type="http://schemas.openxmlformats.org/officeDocument/2006/relationships/hyperlink" Target="https://standards.buildingsmart.org/IFC/RELEASE/IFC4/ADD2_TC1/HTML/schema/ifcelectricaldomain/pset/pset_electricappliancetypecommon.htm" TargetMode="External"/><Relationship Id="rId1970" Type="http://schemas.openxmlformats.org/officeDocument/2006/relationships/hyperlink" Target="https://standards.buildingsmart.org/IFC/RELEASE/IFC4/ADD2_TC1/HTML/schema/ifcelectricaldomain/pset/pset_protectivedevicetyperesidualcurrentcircuitbreaker.htm" TargetMode="External"/><Relationship Id="rId2607" Type="http://schemas.openxmlformats.org/officeDocument/2006/relationships/hyperlink" Target="https://standards.buildingsmart.org/IFC/RELEASE/IFC4/ADD2_TC1/HTML/schema/ifcelectricaldomain/pset/pset_audiovisualappliancetypecommon.htm" TargetMode="External"/><Relationship Id="rId2814" Type="http://schemas.openxmlformats.org/officeDocument/2006/relationships/hyperlink" Target="https://standards.buildingsmart.org/IFC/RELEASE/IFC4/ADD2_TC1/HTML/schema/ifcelectricaldomain/pset/pset_electricdistributionboardoccurrence.htm" TargetMode="External"/><Relationship Id="rId55" Type="http://schemas.openxmlformats.org/officeDocument/2006/relationships/hyperlink" Target="https://standards.buildingsmart.org/IFC/RELEASE/IFC4/ADD2_TC1/HTML/schema/ifcmeasureresource/lexical/ifcnonnegativelengthmeasure.htm" TargetMode="External"/><Relationship Id="rId1209" Type="http://schemas.openxmlformats.org/officeDocument/2006/relationships/hyperlink" Target="https://standards.buildingsmart.org/IFC/RELEASE/IFC4/ADD2_TC1/HTML/schema/ifcelectricaldomain/qset/qto_electrictimecontrolbasequantities.htm" TargetMode="External"/><Relationship Id="rId1416" Type="http://schemas.openxmlformats.org/officeDocument/2006/relationships/hyperlink" Target="https://standards.buildingsmart.org/IFC/RELEASE/IFC4/ADD2_TC1/HTML/schema/ifcsharedbldgelements/pset/pset_staircommon.htm" TargetMode="External"/><Relationship Id="rId1623" Type="http://schemas.openxmlformats.org/officeDocument/2006/relationships/hyperlink" Target="https://standards.buildingsmart.org/IFC/RELEASE/IFC4/ADD2_TC1/HTML/schema/ifcsharedfacilitieselements/pset/pset_propertyagreement.htm" TargetMode="External"/><Relationship Id="rId1830" Type="http://schemas.openxmlformats.org/officeDocument/2006/relationships/hyperlink" Target="https://standards.buildingsmart.org/IFC/RELEASE/IFC4/ADD2_TC1/HTML/schema/ifcelectricaldomain/pset/pset_cablesegmenttypecablesegment.htm" TargetMode="External"/><Relationship Id="rId3588" Type="http://schemas.openxmlformats.org/officeDocument/2006/relationships/hyperlink" Target="https://standards.buildingsmart.org/IFC/RELEASE/IFC4/ADD2_TC1/HTML/schema/ifcprofileresource/pset/pset_profilearbitraryhollowcore.htm" TargetMode="External"/><Relationship Id="rId2397" Type="http://schemas.openxmlformats.org/officeDocument/2006/relationships/hyperlink" Target="https://standards.buildingsmart.org/IFC/RELEASE/IFC4/ADD2_TC1/HTML/schema/ifchvacdomain/pset/pset_spaceheatertypecommon.htm" TargetMode="External"/><Relationship Id="rId3448" Type="http://schemas.openxmlformats.org/officeDocument/2006/relationships/hyperlink" Target="https://standards.buildingsmart.org/IFC/RELEASE/IFC4/ADD2_TC1/HTML/schema/ifchvacdomain/pset/pset_cooledbeamtypeactive.htm" TargetMode="External"/><Relationship Id="rId3655" Type="http://schemas.openxmlformats.org/officeDocument/2006/relationships/hyperlink" Target="https://standards.buildingsmart.org/IFC/RELEASE/IFC4/ADD2_TC1/HTML/schema/ifcsharedfacilitieselements/pset/pset_condition.htm" TargetMode="External"/><Relationship Id="rId369" Type="http://schemas.openxmlformats.org/officeDocument/2006/relationships/hyperlink" Target="https://standards.buildingsmart.org/IFC/RELEASE/IFC4/ADD2_TC1/HTML/schema/ifckernel/lexical/ifcprocessselect.htm" TargetMode="External"/><Relationship Id="rId576" Type="http://schemas.openxmlformats.org/officeDocument/2006/relationships/hyperlink" Target="https://standards.buildingsmart.org/IFC/RELEASE/IFC4/ADD2_TC1/HTML/schema/ifcproductextension/lexical/ifcdistributionelementtype.htm" TargetMode="External"/><Relationship Id="rId783" Type="http://schemas.openxmlformats.org/officeDocument/2006/relationships/hyperlink" Target="https://standards.buildingsmart.org/IFC/RELEASE/IFC4/ADD2_TC1/HTML/schema/ifcconstraintresource/lexical/ifcobjective.htm" TargetMode="External"/><Relationship Id="rId990" Type="http://schemas.openxmlformats.org/officeDocument/2006/relationships/hyperlink" Target="https://standards.buildingsmart.org/IFC/RELEASE/IFC4/ADD2_TC1/HTML/schema/ifckernel/lexical/ifcsimplepropertytemplate.htm" TargetMode="External"/><Relationship Id="rId2257" Type="http://schemas.openxmlformats.org/officeDocument/2006/relationships/hyperlink" Target="https://standards.buildingsmart.org/IFC/RELEASE/IFC4/ADD2_TC1/HTML/schema/ifchvacdomain/pset/pset_pipesegmenttypecommon.htm" TargetMode="External"/><Relationship Id="rId2464" Type="http://schemas.openxmlformats.org/officeDocument/2006/relationships/hyperlink" Target="https://standards.buildingsmart.org/IFC/RELEASE/IFC4/ADD2_TC1/HTML/schema/ifchvacdomain/pset/pset_filtertypecommon.htm" TargetMode="External"/><Relationship Id="rId2671" Type="http://schemas.openxmlformats.org/officeDocument/2006/relationships/hyperlink" Target="https://standards.buildingsmart.org/IFC/RELEASE/IFC4/ADD2_TC1/HTML/schema/ifcelectricaldomain/pset/pset_protectivedevicetrippingfunctionlcurve.htm" TargetMode="External"/><Relationship Id="rId3308" Type="http://schemas.openxmlformats.org/officeDocument/2006/relationships/hyperlink" Target="https://standards.buildingsmart.org/IFC/RELEASE/IFC4/ADD2_TC1/HTML/schema/ifcplumbingfireprotectiondomain/pset/pset_firesuppressionterminaltypesprinkler.htm" TargetMode="External"/><Relationship Id="rId3515" Type="http://schemas.openxmlformats.org/officeDocument/2006/relationships/hyperlink" Target="https://standards.buildingsmart.org/IFC/RELEASE/IFC4/ADD2_TC1/HTML/schema/ifchvacdomain/pset/pset_compressorphistory.htm" TargetMode="External"/><Relationship Id="rId229" Type="http://schemas.openxmlformats.org/officeDocument/2006/relationships/hyperlink" Target="https://standards.buildingsmart.org/IFC/RELEASE/IFC4/ADD2_TC1/HTML/schema/ifcsharedfacilitieselements/lexical/ifcinventorytypeenum.htm" TargetMode="External"/><Relationship Id="rId436" Type="http://schemas.openxmlformats.org/officeDocument/2006/relationships/hyperlink" Target="https://standards.buildingsmart.org/IFC/RELEASE/IFC4/ADD2_TC1/HTML/schema/ifcgeometricmodelresource/lexical/ifcbooleanresult.htm" TargetMode="External"/><Relationship Id="rId643" Type="http://schemas.openxmlformats.org/officeDocument/2006/relationships/hyperlink" Target="https://standards.buildingsmart.org/IFC/RELEASE/IFC4/ADD2_TC1/HTML/schema/ifcgeometricmodelresource/lexical/ifcextrudedareasolid.htm" TargetMode="External"/><Relationship Id="rId1066" Type="http://schemas.openxmlformats.org/officeDocument/2006/relationships/hyperlink" Target="https://standards.buildingsmart.org/IFC/RELEASE/IFC4/ADD2_TC1/HTML/schema/ifcgeometryresource/lexical/ifcsurfaceoflinearextrusion.htm" TargetMode="External"/><Relationship Id="rId1273" Type="http://schemas.openxmlformats.org/officeDocument/2006/relationships/hyperlink" Target="https://standards.buildingsmart.org/IFC/RELEASE/IFC4/ADD2_TC1/HTML/schema/ifcmeasureresource/lexical/ifccorrectunitassignment.htm" TargetMode="External"/><Relationship Id="rId1480" Type="http://schemas.openxmlformats.org/officeDocument/2006/relationships/hyperlink" Target="https://standards.buildingsmart.org/IFC/RELEASE/IFC4/ADD2_TC1/HTML/schema/ifcbuildingcontrolsdomain/pset/pset_controllerphistory.htm" TargetMode="External"/><Relationship Id="rId2117" Type="http://schemas.openxmlformats.org/officeDocument/2006/relationships/hyperlink" Target="https://standards.buildingsmart.org/IFC/RELEASE/IFC4/ADD2_TC1/HTML/schema/ifcsharedbldgelements/pset/pset_roofcommon.htm" TargetMode="External"/><Relationship Id="rId2324" Type="http://schemas.openxmlformats.org/officeDocument/2006/relationships/hyperlink" Target="https://standards.buildingsmart.org/IFC/RELEASE/IFC4/ADD2_TC1/HTML/schema/ifchvacdomain/pset/pset_filterphistory.htm" TargetMode="External"/><Relationship Id="rId3722" Type="http://schemas.openxmlformats.org/officeDocument/2006/relationships/hyperlink" Target="https://standards.buildingsmart.org/IFC/RELEASE/IFC4/ADD2_TC1/HTML/schema/ifcproductextension/pset/pset_spacethermalrequirements.htm" TargetMode="External"/><Relationship Id="rId850" Type="http://schemas.openxmlformats.org/officeDocument/2006/relationships/hyperlink" Target="https://standards.buildingsmart.org/IFC/RELEASE/IFC4/ADD2_TC1/HTML/schema/ifckernel/lexical/ifcproject.htm" TargetMode="External"/><Relationship Id="rId1133" Type="http://schemas.openxmlformats.org/officeDocument/2006/relationships/hyperlink" Target="https://standards.buildingsmart.org/IFC/RELEASE/IFC4/ADD2_TC1/HTML/schema/ifcbuildingcontrolsdomain/lexical/ifcunitarycontrolelementtype.htm" TargetMode="External"/><Relationship Id="rId2531" Type="http://schemas.openxmlformats.org/officeDocument/2006/relationships/hyperlink" Target="https://standards.buildingsmart.org/IFC/RELEASE/IFC4/ADD2_TC1/HTML/schema/ifcplumbingfireprotectiondomain/pset/pset_wasteterminaltypegullytrap.htm" TargetMode="External"/><Relationship Id="rId503" Type="http://schemas.openxmlformats.org/officeDocument/2006/relationships/hyperlink" Target="https://standards.buildingsmart.org/IFC/RELEASE/IFC4/ADD2_TC1/HTML/schema/ifcgeometryresource/lexical/ifccompositecurveonsurface.htm" TargetMode="External"/><Relationship Id="rId710" Type="http://schemas.openxmlformats.org/officeDocument/2006/relationships/hyperlink" Target="https://standards.buildingsmart.org/IFC/RELEASE/IFC4/ADD2_TC1/HTML/schema/ifcgeometryresource/lexical/ifcindexedpolycurve.htm" TargetMode="External"/><Relationship Id="rId1340" Type="http://schemas.openxmlformats.org/officeDocument/2006/relationships/hyperlink" Target="https://standards.buildingsmart.org/IFC/RELEASE/IFC4/ADD2_TC1/HTML/schema/ifcmaterialresource/pset/pset_materialconcrete.htm" TargetMode="External"/><Relationship Id="rId3098" Type="http://schemas.openxmlformats.org/officeDocument/2006/relationships/hyperlink" Target="https://standards.buildingsmart.org/IFC/RELEASE/IFC4/ADD2_TC1/HTML/schema/ifchvacdomain/pset/pset_spaceheaterphistory.htm" TargetMode="External"/><Relationship Id="rId1200" Type="http://schemas.openxmlformats.org/officeDocument/2006/relationships/hyperlink" Target="https://standards.buildingsmart.org/IFC/RELEASE/IFC4/ADD2_TC1/HTML/schema/ifcsharedbldgelements/qset/qto_doorbasequantities.htm" TargetMode="External"/><Relationship Id="rId3165" Type="http://schemas.openxmlformats.org/officeDocument/2006/relationships/hyperlink" Target="https://standards.buildingsmart.org/IFC/RELEASE/IFC4/ADD2_TC1/HTML/schema/ifcsharedbldgelements/pset/pset_beamcommon.htm" TargetMode="External"/><Relationship Id="rId3372" Type="http://schemas.openxmlformats.org/officeDocument/2006/relationships/hyperlink" Target="https://standards.buildingsmart.org/IFC/RELEASE/IFC4/ADD2_TC1/HTML/schema/ifcplumbingfireprotectiondomain/pset/pset_interceptortypecommon.htm" TargetMode="External"/><Relationship Id="rId293" Type="http://schemas.openxmlformats.org/officeDocument/2006/relationships/hyperlink" Target="https://standards.buildingsmart.org/IFC/RELEASE/IFC4/ADD2_TC1/HTML/schema/ifcplumbingfireprotectiondomain/lexical/ifcstackterminaltypeenum.htm" TargetMode="External"/><Relationship Id="rId2181" Type="http://schemas.openxmlformats.org/officeDocument/2006/relationships/hyperlink" Target="https://standards.buildingsmart.org/IFC/RELEASE/IFC4/ADD2_TC1/HTML/schema/ifchvacdomain/pset/pset_burnertypecommon.htm" TargetMode="External"/><Relationship Id="rId3025" Type="http://schemas.openxmlformats.org/officeDocument/2006/relationships/hyperlink" Target="https://standards.buildingsmart.org/IFC/RELEASE/IFC4/ADD2_TC1/HTML/schema/ifchvacdomain/pset/pset_valvetypeflushing.htm" TargetMode="External"/><Relationship Id="rId3232" Type="http://schemas.openxmlformats.org/officeDocument/2006/relationships/hyperlink" Target="https://standards.buildingsmart.org/IFC/RELEASE/IFC4/ADD2_TC1/HTML/schema/ifcsharedbldgserviceelements/pset/pset_airsidesysteminformation.htm" TargetMode="External"/><Relationship Id="rId153" Type="http://schemas.openxmlformats.org/officeDocument/2006/relationships/hyperlink" Target="https://standards.buildingsmart.org/IFC/RELEASE/IFC4/ADD2_TC1/HTML/schema/ifcelectricaldomain/lexical/ifccablecarrierfittingtypeenum.htm" TargetMode="External"/><Relationship Id="rId360" Type="http://schemas.openxmlformats.org/officeDocument/2006/relationships/hyperlink" Target="https://standards.buildingsmart.org/IFC/RELEASE/IFC4/ADD2_TC1/HTML/schema/ifcmaterialresource/lexical/ifcmaterialselect.htm" TargetMode="External"/><Relationship Id="rId2041" Type="http://schemas.openxmlformats.org/officeDocument/2006/relationships/hyperlink" Target="https://standards.buildingsmart.org/IFC/RELEASE/IFC4/ADD2_TC1/HTML/schema/ifcproductextension/pset/pset_environmentalimpactindicators.htm" TargetMode="External"/><Relationship Id="rId220" Type="http://schemas.openxmlformats.org/officeDocument/2006/relationships/hyperlink" Target="https://standards.buildingsmart.org/IFC/RELEASE/IFC4/ADD2_TC1/HTML/schema/ifcsharedfacilitieselements/lexical/ifcfurnituretypeenum.htm" TargetMode="External"/><Relationship Id="rId2998" Type="http://schemas.openxmlformats.org/officeDocument/2006/relationships/hyperlink" Target="https://standards.buildingsmart.org/IFC/RELEASE/IFC4/ADD2_TC1/HTML/schema/ifcsharedbldgelements/pset/pset_rampflightcommon.htm" TargetMode="External"/><Relationship Id="rId2858" Type="http://schemas.openxmlformats.org/officeDocument/2006/relationships/hyperlink" Target="https://standards.buildingsmart.org/IFC/RELEASE/IFC4/ADD2_TC1/HTML/schema/ifcsharedbldgserviceelements/pset/pset_distributionchamberelementtypesump.htm" TargetMode="External"/><Relationship Id="rId99" Type="http://schemas.openxmlformats.org/officeDocument/2006/relationships/hyperlink" Target="https://standards.buildingsmart.org/IFC/RELEASE/IFC4/ADD2_TC1/HTML/schema/ifcmeasureresource/lexical/ifcenergymeasure.htm" TargetMode="External"/><Relationship Id="rId1667" Type="http://schemas.openxmlformats.org/officeDocument/2006/relationships/hyperlink" Target="https://standards.buildingsmart.org/IFC/RELEASE/IFC4/ADD2_TC1/HTML/schema/ifcsharedfacilitieselements/pset/pset_systemfurnitureelementtypeworksurface.htm" TargetMode="External"/><Relationship Id="rId1874" Type="http://schemas.openxmlformats.org/officeDocument/2006/relationships/hyperlink" Target="https://standards.buildingsmart.org/IFC/RELEASE/IFC4/ADD2_TC1/HTML/schema/ifcsharedbldgserviceelements/pset/pset_distributionchamberelementtypeinspectionchamber.htm" TargetMode="External"/><Relationship Id="rId2718" Type="http://schemas.openxmlformats.org/officeDocument/2006/relationships/hyperlink" Target="https://standards.buildingsmart.org/IFC/RELEASE/IFC4/ADD2_TC1/HTML/schema/ifchvacdomain/pset/pset_boilerphistory.htm" TargetMode="External"/><Relationship Id="rId2925" Type="http://schemas.openxmlformats.org/officeDocument/2006/relationships/hyperlink" Target="https://standards.buildingsmart.org/IFC/RELEASE/IFC4/ADD2_TC1/HTML/schema/ifcelectricaldomain/pset/pset_transformertypecommon.htm" TargetMode="External"/><Relationship Id="rId1527" Type="http://schemas.openxmlformats.org/officeDocument/2006/relationships/hyperlink" Target="https://standards.buildingsmart.org/IFC/RELEASE/IFC4/ADD2_TC1/HTML/schema/ifcplumbingfireprotectiondomain/pset/pset_wasteterminaltypefloortrap.htm" TargetMode="External"/><Relationship Id="rId1734" Type="http://schemas.openxmlformats.org/officeDocument/2006/relationships/hyperlink" Target="https://standards.buildingsmart.org/IFC/RELEASE/IFC4/ADD2_TC1/HTML/schema/ifcstructuralelementsdomain/pset/pset_pilecommon.htm" TargetMode="External"/><Relationship Id="rId1941" Type="http://schemas.openxmlformats.org/officeDocument/2006/relationships/hyperlink" Target="https://standards.buildingsmart.org/IFC/RELEASE/IFC4/ADD2_TC1/HTML/schema/ifcbuildingcontrolsdomain/pset/pset_sensortypewindsensor.htm" TargetMode="External"/><Relationship Id="rId26" Type="http://schemas.openxmlformats.org/officeDocument/2006/relationships/hyperlink" Target="https://standards.buildingsmart.org/IFC/RELEASE/IFC4/ADD2_TC1/HTML/schema/ifcmeasureresource/lexical/ifcspecificheatcapacitymeasure.htm" TargetMode="External"/><Relationship Id="rId3699" Type="http://schemas.openxmlformats.org/officeDocument/2006/relationships/hyperlink" Target="https://standards.buildingsmart.org/IFC/RELEASE/IFC4/ADD2_TC1/HTML/schema/ifchvacdomain/pset/pset_coilphistory.htm" TargetMode="External"/><Relationship Id="rId1801" Type="http://schemas.openxmlformats.org/officeDocument/2006/relationships/hyperlink" Target="https://standards.buildingsmart.org/IFC/RELEASE/IFC4/ADD2_TC1/HTML/schema/ifcelectricaldomain/pset/pset_electricgeneratortypecommon.htm" TargetMode="External"/><Relationship Id="rId3559" Type="http://schemas.openxmlformats.org/officeDocument/2006/relationships/hyperlink" Target="https://standards.buildingsmart.org/IFC/RELEASE/IFC4/ADD2_TC1/HTML/schema/ifcproductextension/pset/pset_spacecoveringrequirements.htm" TargetMode="External"/><Relationship Id="rId687" Type="http://schemas.openxmlformats.org/officeDocument/2006/relationships/hyperlink" Target="https://standards.buildingsmart.org/IFC/RELEASE/IFC4/ADD2_TC1/HTML/schema/ifcstructuralelementsdomain/lexical/ifcfootingtype.htm" TargetMode="External"/><Relationship Id="rId2368" Type="http://schemas.openxmlformats.org/officeDocument/2006/relationships/hyperlink" Target="https://standards.buildingsmart.org/IFC/RELEASE/IFC4/ADD2_TC1/HTML/schema/ifchvacdomain/pset/pset_fantypecommon.htm" TargetMode="External"/><Relationship Id="rId3766" Type="http://schemas.openxmlformats.org/officeDocument/2006/relationships/hyperlink" Target="https://standards.buildingsmart.org/IFC/RELEASE/IFC4/ADD2_TC1/HTML/schema/ifchvacdomain/pset/pset_tanktypecommon.htm" TargetMode="External"/><Relationship Id="rId894" Type="http://schemas.openxmlformats.org/officeDocument/2006/relationships/hyperlink" Target="https://standards.buildingsmart.org/IFC/RELEASE/IFC4/ADD2_TC1/HTML/schema/ifcprofileresource/lexical/ifcrectangleprofiledef.htm" TargetMode="External"/><Relationship Id="rId1177" Type="http://schemas.openxmlformats.org/officeDocument/2006/relationships/hyperlink" Target="https://standards.buildingsmart.org/IFC/RELEASE/IFC4/ADD2_TC1/HTML/schema/ifcsharedbldgelements/qset/qto_buildingelementproxyquantities.htm" TargetMode="External"/><Relationship Id="rId2575" Type="http://schemas.openxmlformats.org/officeDocument/2006/relationships/hyperlink" Target="https://standards.buildingsmart.org/IFC/RELEASE/IFC4/ADD2_TC1/HTML/schema/ifcplumbingfireprotectiondomain/pset/pset_sanitaryterminaltypebidet.htm" TargetMode="External"/><Relationship Id="rId2782" Type="http://schemas.openxmlformats.org/officeDocument/2006/relationships/hyperlink" Target="https://standards.buildingsmart.org/IFC/RELEASE/IFC4/ADD2_TC1/HTML/schema/ifchvacdomain/pset/pset_boilertypecommon.htm" TargetMode="External"/><Relationship Id="rId3419" Type="http://schemas.openxmlformats.org/officeDocument/2006/relationships/hyperlink" Target="https://standards.buildingsmart.org/IFC/RELEASE/IFC4/ADD2_TC1/HTML/schema/ifcbuildingcontrolsdomain/pset/pset_controllertypetwoposition.htm" TargetMode="External"/><Relationship Id="rId3626" Type="http://schemas.openxmlformats.org/officeDocument/2006/relationships/hyperlink" Target="https://standards.buildingsmart.org/IFC/RELEASE/IFC4/ADD2_TC1/HTML/schema/ifcstructuralelementsdomain/pset/pset_reinforcementbarpitchofwall.htm" TargetMode="External"/><Relationship Id="rId547" Type="http://schemas.openxmlformats.org/officeDocument/2006/relationships/hyperlink" Target="https://standards.buildingsmart.org/IFC/RELEASE/IFC4/ADD2_TC1/HTML/schema/ifcgeometricmodelresource/lexical/ifccsgprimitive3d.htm" TargetMode="External"/><Relationship Id="rId754" Type="http://schemas.openxmlformats.org/officeDocument/2006/relationships/hyperlink" Target="https://standards.buildingsmart.org/IFC/RELEASE/IFC4/ADD2_TC1/HTML/schema/ifcmaterialresource/lexical/ifcmateriallayer.htm" TargetMode="External"/><Relationship Id="rId961" Type="http://schemas.openxmlformats.org/officeDocument/2006/relationships/hyperlink" Target="https://standards.buildingsmart.org/IFC/RELEASE/IFC4/ADD2_TC1/HTML/schema/ifckernel/lexical/ifcresource.htm" TargetMode="External"/><Relationship Id="rId1384" Type="http://schemas.openxmlformats.org/officeDocument/2006/relationships/hyperlink" Target="https://standards.buildingsmart.org/IFC/RELEASE/IFC4/ADD2_TC1/HTML/schema/ifchvacdomain/pset/pset_evaporatorphistory.htm" TargetMode="External"/><Relationship Id="rId1591" Type="http://schemas.openxmlformats.org/officeDocument/2006/relationships/hyperlink" Target="https://standards.buildingsmart.org/IFC/RELEASE/IFC4/ADD2_TC1/HTML/schema/ifcbuildingcontrolsdomain/pset/pset_flowinstrumenttypethermometer.htm" TargetMode="External"/><Relationship Id="rId2228" Type="http://schemas.openxmlformats.org/officeDocument/2006/relationships/hyperlink" Target="https://standards.buildingsmart.org/IFC/RELEASE/IFC4/ADD2_TC1/HTML/schema/ifcproductextension/pset/pset_spacecommon.htm" TargetMode="External"/><Relationship Id="rId2435" Type="http://schemas.openxmlformats.org/officeDocument/2006/relationships/hyperlink" Target="https://standards.buildingsmart.org/IFC/RELEASE/IFC4/ADD2_TC1/HTML/schema/ifchvacdomain/pset/pset_cooledbeamtypecommon.htm" TargetMode="External"/><Relationship Id="rId2642" Type="http://schemas.openxmlformats.org/officeDocument/2006/relationships/hyperlink" Target="https://standards.buildingsmart.org/IFC/RELEASE/IFC4/ADD2_TC1/HTML/schema/ifcelectricaldomain/pset/pset_transformertypecommon.htm" TargetMode="External"/><Relationship Id="rId90" Type="http://schemas.openxmlformats.org/officeDocument/2006/relationships/hyperlink" Target="https://standards.buildingsmart.org/IFC/RELEASE/IFC4/ADD2_TC1/HTML/schema/ifcmeasureresource/lexical/ifcidentifier.htm" TargetMode="External"/><Relationship Id="rId407" Type="http://schemas.openxmlformats.org/officeDocument/2006/relationships/hyperlink" Target="https://standards.buildingsmart.org/IFC/RELEASE/IFC4/ADD2_TC1/HTML/schema/ifchvacdomain/lexical/ifcairterminaltype.htm" TargetMode="External"/><Relationship Id="rId614" Type="http://schemas.openxmlformats.org/officeDocument/2006/relationships/hyperlink" Target="https://standards.buildingsmart.org/IFC/RELEASE/IFC4/ADD2_TC1/HTML/schema/ifcgeometryresource/lexical/ifcelementarysurface.htm" TargetMode="External"/><Relationship Id="rId821" Type="http://schemas.openxmlformats.org/officeDocument/2006/relationships/hyperlink" Target="https://standards.buildingsmart.org/IFC/RELEASE/IFC4/ADD2_TC1/HTML/schema/ifcsharedbldgelements/lexical/ifcplatetype.htm" TargetMode="External"/><Relationship Id="rId1037" Type="http://schemas.openxmlformats.org/officeDocument/2006/relationships/hyperlink" Target="https://standards.buildingsmart.org/IFC/RELEASE/IFC4/ADD2_TC1/HTML/schema/ifcstructuralloadresource/lexical/ifcstructuralloadplanarforce.htm" TargetMode="External"/><Relationship Id="rId1244" Type="http://schemas.openxmlformats.org/officeDocument/2006/relationships/hyperlink" Target="https://standards.buildingsmart.org/IFC/RELEASE/IFC4/ADD2_TC1/HTML/schema/ifcsharedbldgelements/qset/qto_slabbasequantities.htm" TargetMode="External"/><Relationship Id="rId1451" Type="http://schemas.openxmlformats.org/officeDocument/2006/relationships/hyperlink" Target="https://standards.buildingsmart.org/IFC/RELEASE/IFC4/ADD2_TC1/HTML/schema/ifcelectricaldomain/pset/pset_audiovisualappliancetypedisplay.htm" TargetMode="External"/><Relationship Id="rId2502" Type="http://schemas.openxmlformats.org/officeDocument/2006/relationships/hyperlink" Target="https://standards.buildingsmart.org/IFC/RELEASE/IFC4/ADD2_TC1/HTML/schema/ifchvacdomain/pset/pset_pipesegmenttypecommon.htm" TargetMode="External"/><Relationship Id="rId1104" Type="http://schemas.openxmlformats.org/officeDocument/2006/relationships/hyperlink" Target="https://standards.buildingsmart.org/IFC/RELEASE/IFC4/ADD2_TC1/HTML/schema/ifcpresentationappearanceresource/lexical/ifctextstylefontmodel.htm" TargetMode="External"/><Relationship Id="rId1311" Type="http://schemas.openxmlformats.org/officeDocument/2006/relationships/hyperlink" Target="https://standards.buildingsmart.org/IFC/RELEASE/IFC4/ADD2_TC1/HTML/schema/ifcsharedcomponentelements/pset/pset_fastenerweld.htm" TargetMode="External"/><Relationship Id="rId3069" Type="http://schemas.openxmlformats.org/officeDocument/2006/relationships/hyperlink" Target="https://standards.buildingsmart.org/IFC/RELEASE/IFC4/ADD2_TC1/HTML/schema/ifcsharedbldgelements/pset/pset_doorwindowglazingtype.htm" TargetMode="External"/><Relationship Id="rId3276" Type="http://schemas.openxmlformats.org/officeDocument/2006/relationships/hyperlink" Target="https://standards.buildingsmart.org/IFC/RELEASE/IFC4/ADD2_TC1/HTML/schema/ifcsharedbldgserviceelements/pset/pset_distributionporttypeduct.htm" TargetMode="External"/><Relationship Id="rId3483" Type="http://schemas.openxmlformats.org/officeDocument/2006/relationships/hyperlink" Target="https://standards.buildingsmart.org/IFC/RELEASE/IFC4/ADD2_TC1/HTML/schema/ifcsharedfacilitieselements/pset/pset_propertyagreement.htm" TargetMode="External"/><Relationship Id="rId3690" Type="http://schemas.openxmlformats.org/officeDocument/2006/relationships/hyperlink" Target="https://standards.buildingsmart.org/IFC/RELEASE/IFC4/ADD2_TC1/HTML/schema/ifcsharedbldgserviceelements/pset/pset_airsidesysteminformation.htm" TargetMode="External"/><Relationship Id="rId197" Type="http://schemas.openxmlformats.org/officeDocument/2006/relationships/hyperlink" Target="https://standards.buildingsmart.org/IFC/RELEASE/IFC4/ADD2_TC1/HTML/schema/ifchvacdomain/lexical/ifcductsilencertypeenum.htm" TargetMode="External"/><Relationship Id="rId2085" Type="http://schemas.openxmlformats.org/officeDocument/2006/relationships/hyperlink" Target="https://standards.buildingsmart.org/IFC/RELEASE/IFC4/ADD2_TC1/HTML/schema/ifcstructuralelementsdomain/pset/pset_reinforcementbarpitchofcolumn.htm" TargetMode="External"/><Relationship Id="rId2292" Type="http://schemas.openxmlformats.org/officeDocument/2006/relationships/hyperlink" Target="https://standards.buildingsmart.org/IFC/RELEASE/IFC4/ADD2_TC1/HTML/schema/ifcsharedfacilitieselements/pset/pset_warranty.htm" TargetMode="External"/><Relationship Id="rId3136" Type="http://schemas.openxmlformats.org/officeDocument/2006/relationships/hyperlink" Target="https://standards.buildingsmart.org/IFC/RELEASE/IFC4/ADD2_TC1/HTML/schema/ifcproductextension/pset/pset_spacefiresafetyrequirements.htm" TargetMode="External"/><Relationship Id="rId3343" Type="http://schemas.openxmlformats.org/officeDocument/2006/relationships/hyperlink" Target="https://standards.buildingsmart.org/IFC/RELEASE/IFC4/ADD2_TC1/HTML/schema/ifcsharedbldgserviceelements/pset/pset_distributionportphistorycable.htm" TargetMode="External"/><Relationship Id="rId264" Type="http://schemas.openxmlformats.org/officeDocument/2006/relationships/hyperlink" Target="https://standards.buildingsmart.org/IFC/RELEASE/IFC4/ADD2_TC1/HTML/schema/ifcsharedmgmtelements/lexical/ifcprojectordertypeenum.htm" TargetMode="External"/><Relationship Id="rId471" Type="http://schemas.openxmlformats.org/officeDocument/2006/relationships/hyperlink" Target="https://standards.buildingsmart.org/IFC/RELEASE/IFC4/ADD2_TC1/HTML/schema/ifcgeometricmodelresource/lexical/ifccartesianpointlist.htm" TargetMode="External"/><Relationship Id="rId2152" Type="http://schemas.openxmlformats.org/officeDocument/2006/relationships/hyperlink" Target="https://standards.buildingsmart.org/IFC/RELEASE/IFC4/ADD2_TC1/HTML/schema/ifcelectricaldomain/pset/pset_electrictimecontroltypecommon.htm" TargetMode="External"/><Relationship Id="rId3550" Type="http://schemas.openxmlformats.org/officeDocument/2006/relationships/hyperlink" Target="https://standards.buildingsmart.org/IFC/RELEASE/IFC4/ADD2_TC1/HTML/schema/ifcprofileresource/pset/pset_profilearbitraryhollowcore.htm" TargetMode="External"/><Relationship Id="rId124" Type="http://schemas.openxmlformats.org/officeDocument/2006/relationships/hyperlink" Target="https://standards.buildingsmart.org/IFC/RELEASE/IFC4/ADD2_TC1/HTML/schema/ifcgeometryresource/lexical/ifcarcindex.htm" TargetMode="External"/><Relationship Id="rId3203" Type="http://schemas.openxmlformats.org/officeDocument/2006/relationships/hyperlink" Target="https://standards.buildingsmart.org/IFC/RELEASE/IFC4/ADD2_TC1/HTML/schema/ifcelectricaldomain/pset/pset_protectivedevicetrippingfunctiongcurve.htm" TargetMode="External"/><Relationship Id="rId3410" Type="http://schemas.openxmlformats.org/officeDocument/2006/relationships/hyperlink" Target="https://standards.buildingsmart.org/IFC/RELEASE/IFC4/ADD2_TC1/HTML/schema/ifchvacdomain/pset/pset_unitaryequipmenttypeairconditioningunit.htm" TargetMode="External"/><Relationship Id="rId331" Type="http://schemas.openxmlformats.org/officeDocument/2006/relationships/hyperlink" Target="https://standards.buildingsmart.org/IFC/RELEASE/IFC4/ADD2_TC1/HTML/schema/ifcsharedbldgelements/lexical/ifcwindowtypepartitioningenum.htm" TargetMode="External"/><Relationship Id="rId2012" Type="http://schemas.openxmlformats.org/officeDocument/2006/relationships/hyperlink" Target="https://standards.buildingsmart.org/IFC/RELEASE/IFC4/ADD2_TC1/HTML/schema/ifchvacdomain/pset/pset_pumpphistory.htm" TargetMode="External"/><Relationship Id="rId2969" Type="http://schemas.openxmlformats.org/officeDocument/2006/relationships/hyperlink" Target="https://standards.buildingsmart.org/IFC/RELEASE/IFC4/ADD2_TC1/HTML/schema/ifchvacdomain/pset/pset_tubebundletypefinned.htm" TargetMode="External"/><Relationship Id="rId1778" Type="http://schemas.openxmlformats.org/officeDocument/2006/relationships/hyperlink" Target="https://standards.buildingsmart.org/IFC/RELEASE/IFC4/ADD2_TC1/HTML/schema/ifcsharedbldgelements/pset/pset_columncommon.htm" TargetMode="External"/><Relationship Id="rId1985" Type="http://schemas.openxmlformats.org/officeDocument/2006/relationships/hyperlink" Target="https://standards.buildingsmart.org/IFC/RELEASE/IFC4/ADD2_TC1/HTML/schema/ifcelectricaldomain/pset/pset_switchingdevicetypeselectorswitch.htm" TargetMode="External"/><Relationship Id="rId2829" Type="http://schemas.openxmlformats.org/officeDocument/2006/relationships/hyperlink" Target="https://standards.buildingsmart.org/IFC/RELEASE/IFC4/ADD2_TC1/HTML/schema/ifcproductextension/pset/pset_spatialzonecommon.htm" TargetMode="External"/><Relationship Id="rId1638" Type="http://schemas.openxmlformats.org/officeDocument/2006/relationships/hyperlink" Target="https://standards.buildingsmart.org/IFC/RELEASE/IFC4/ADD2_TC1/HTML/schema/ifcelectricaldomain/pset/pset_protectivedevicetrippingunittypethermal.htm" TargetMode="External"/><Relationship Id="rId1845" Type="http://schemas.openxmlformats.org/officeDocument/2006/relationships/hyperlink" Target="https://standards.buildingsmart.org/IFC/RELEASE/IFC4/ADD2_TC1/HTML/schema/ifcproductextension/pset/pset_spacethermalrequirements.htm" TargetMode="External"/><Relationship Id="rId3060" Type="http://schemas.openxmlformats.org/officeDocument/2006/relationships/hyperlink" Target="https://standards.buildingsmart.org/IFC/RELEASE/IFC4/ADD2_TC1/HTML/schema/ifcproductextension/pset/pset_spacecommon.htm" TargetMode="External"/><Relationship Id="rId1705" Type="http://schemas.openxmlformats.org/officeDocument/2006/relationships/hyperlink" Target="https://standards.buildingsmart.org/IFC/RELEASE/IFC4/ADD2_TC1/HTML/schema/ifcbuildingcontrolsdomain/pset/pset_unitarycontrolelementtypecommon.htm" TargetMode="External"/><Relationship Id="rId1912" Type="http://schemas.openxmlformats.org/officeDocument/2006/relationships/hyperlink" Target="https://standards.buildingsmart.org/IFC/RELEASE/IFC4/ADD2_TC1/HTML/schema/ifcelectricaldomain/pset/pset_electricflowstoragedevicetypecommon.htm" TargetMode="External"/><Relationship Id="rId798" Type="http://schemas.openxmlformats.org/officeDocument/2006/relationships/hyperlink" Target="https://standards.buildingsmart.org/IFC/RELEASE/IFC4/ADD2_TC1/HTML/schema/ifcprofileresource/lexical/ifcparameterizedprofiledef.htm" TargetMode="External"/><Relationship Id="rId2479" Type="http://schemas.openxmlformats.org/officeDocument/2006/relationships/hyperlink" Target="https://standards.buildingsmart.org/IFC/RELEASE/IFC4/ADD2_TC1/HTML/schema/ifcelectricaldomain/pset/pset_cablecarriersegmenttypeconduitsegment.htm" TargetMode="External"/><Relationship Id="rId2686" Type="http://schemas.openxmlformats.org/officeDocument/2006/relationships/hyperlink" Target="https://standards.buildingsmart.org/IFC/RELEASE/IFC4/ADD2_TC1/HTML/schema/ifcstructuralelementsdomain/pset/pset_reinforcementbarpitchofslab.htm" TargetMode="External"/><Relationship Id="rId2893" Type="http://schemas.openxmlformats.org/officeDocument/2006/relationships/hyperlink" Target="https://standards.buildingsmart.org/IFC/RELEASE/IFC4/ADD2_TC1/HTML/schema/ifcmaterialresource/pset/pset_materialwoodbasedpanel.htm" TargetMode="External"/><Relationship Id="rId3737" Type="http://schemas.openxmlformats.org/officeDocument/2006/relationships/hyperlink" Target="https://standards.buildingsmart.org/IFC/RELEASE/IFC4/ADD2_TC1/HTML/schema/ifcelectricaldomain/pset/pset_lightfixturetypesecuritylighting.htm" TargetMode="External"/><Relationship Id="rId658" Type="http://schemas.openxmlformats.org/officeDocument/2006/relationships/hyperlink" Target="https://standards.buildingsmart.org/IFC/RELEASE/IFC4/ADD2_TC1/HTML/schema/ifcproductextension/lexical/ifcfeatureelementaddition.htm" TargetMode="External"/><Relationship Id="rId865" Type="http://schemas.openxmlformats.org/officeDocument/2006/relationships/hyperlink" Target="https://standards.buildingsmart.org/IFC/RELEASE/IFC4/ADD2_TC1/HTML/schema/ifckernel/lexical/ifcpropertysetdefinition.htm" TargetMode="External"/><Relationship Id="rId1288" Type="http://schemas.openxmlformats.org/officeDocument/2006/relationships/hyperlink" Target="https://standards.buildingsmart.org/IFC/RELEASE/IFC4/ADD2_TC1/HTML/schema/ifctopologyresource/lexical/ifcpathheadtotail.htm" TargetMode="External"/><Relationship Id="rId1495" Type="http://schemas.openxmlformats.org/officeDocument/2006/relationships/hyperlink" Target="https://standards.buildingsmart.org/IFC/RELEASE/IFC4/ADD2_TC1/HTML/schema/ifcelectricaldomain/pset/pset_protectivedevicetrippingfunctionlcurve.htm" TargetMode="External"/><Relationship Id="rId2339" Type="http://schemas.openxmlformats.org/officeDocument/2006/relationships/hyperlink" Target="https://standards.buildingsmart.org/IFC/RELEASE/IFC4/ADD2_TC1/HTML/schema/ifcelectricaldomain/pset/pset_cablesegmenttypecablesegment.htm" TargetMode="External"/><Relationship Id="rId2546" Type="http://schemas.openxmlformats.org/officeDocument/2006/relationships/hyperlink" Target="https://standards.buildingsmart.org/IFC/RELEASE/IFC4/ADD2_TC1/HTML/schema/ifcproductextension/pset/pset_spacecommon.htm" TargetMode="External"/><Relationship Id="rId2753" Type="http://schemas.openxmlformats.org/officeDocument/2006/relationships/hyperlink" Target="https://standards.buildingsmart.org/IFC/RELEASE/IFC4/ADD2_TC1/HTML/schema/ifchvacdomain/pset/pset_unitaryequipmenttypeairconditioningunit.htm" TargetMode="External"/><Relationship Id="rId2960" Type="http://schemas.openxmlformats.org/officeDocument/2006/relationships/hyperlink" Target="https://standards.buildingsmart.org/IFC/RELEASE/IFC4/ADD2_TC1/HTML/schema/ifcplumbingfireprotectiondomain/pset/pset_firesuppressionterminaltypehosereel.htm" TargetMode="External"/><Relationship Id="rId518" Type="http://schemas.openxmlformats.org/officeDocument/2006/relationships/hyperlink" Target="https://standards.buildingsmart.org/IFC/RELEASE/IFC4/ADD2_TC1/HTML/schema/ifcconstraintresource/lexical/ifcconstraint.htm" TargetMode="External"/><Relationship Id="rId725" Type="http://schemas.openxmlformats.org/officeDocument/2006/relationships/hyperlink" Target="https://standards.buildingsmart.org/IFC/RELEASE/IFC4/ADD2_TC1/HTML/schema/ifcconstructionmgmtdomain/lexical/ifclaborresourcetype.htm" TargetMode="External"/><Relationship Id="rId932" Type="http://schemas.openxmlformats.org/officeDocument/2006/relationships/hyperlink" Target="https://standards.buildingsmart.org/IFC/RELEASE/IFC4/ADD2_TC1/HTML/schema/ifcstructuralanalysisdomain/lexical/ifcrelconnectswitheccentricity.htm" TargetMode="External"/><Relationship Id="rId1148" Type="http://schemas.openxmlformats.org/officeDocument/2006/relationships/hyperlink" Target="https://standards.buildingsmart.org/IFC/RELEASE/IFC4/ADD2_TC1/HTML/schema/ifcstructuralelementsdomain/lexical/ifcvoidingfeature.htm" TargetMode="External"/><Relationship Id="rId1355" Type="http://schemas.openxmlformats.org/officeDocument/2006/relationships/hyperlink" Target="https://standards.buildingsmart.org/IFC/RELEASE/IFC4/ADD2_TC1/HTML/schema/ifcsharedbldgserviceelements/pset/pset_distributionchamberelementtypeinspectionpit.htm" TargetMode="External"/><Relationship Id="rId1562" Type="http://schemas.openxmlformats.org/officeDocument/2006/relationships/hyperlink" Target="https://standards.buildingsmart.org/IFC/RELEASE/IFC4/ADD2_TC1/HTML/schema/ifcbuildingcontrolsdomain/pset/pset_actuatortyperotationalactuation.htm" TargetMode="External"/><Relationship Id="rId2406" Type="http://schemas.openxmlformats.org/officeDocument/2006/relationships/hyperlink" Target="https://standards.buildingsmart.org/IFC/RELEASE/IFC4/ADD2_TC1/HTML/schema/ifcplumbingfireprotectiondomain/pset/pset_firesuppressionterminaltypefirehydrant.htm" TargetMode="External"/><Relationship Id="rId2613" Type="http://schemas.openxmlformats.org/officeDocument/2006/relationships/hyperlink" Target="https://standards.buildingsmart.org/IFC/RELEASE/IFC4/ADD2_TC1/HTML/schema/ifcsharedbldgelements/pset/pset_windowcommon.htm" TargetMode="External"/><Relationship Id="rId1008" Type="http://schemas.openxmlformats.org/officeDocument/2006/relationships/hyperlink" Target="https://standards.buildingsmart.org/IFC/RELEASE/IFC4/ADD2_TC1/HTML/schema/ifcproductextension/lexical/ifcspatialstructureelementtype.htm" TargetMode="External"/><Relationship Id="rId1215" Type="http://schemas.openxmlformats.org/officeDocument/2006/relationships/hyperlink" Target="https://standards.buildingsmart.org/IFC/RELEASE/IFC4/ADD2_TC1/HTML/schema/ifcbuildingcontrolsdomain/qset/qto_flowinstrumentbasequantities.htm" TargetMode="External"/><Relationship Id="rId1422" Type="http://schemas.openxmlformats.org/officeDocument/2006/relationships/hyperlink" Target="https://standards.buildingsmart.org/IFC/RELEASE/IFC4/ADD2_TC1/HTML/schema/ifcelectricaldomain/pset/pset_protectivedevicetypefusedisconnector.htm" TargetMode="External"/><Relationship Id="rId2820" Type="http://schemas.openxmlformats.org/officeDocument/2006/relationships/hyperlink" Target="https://standards.buildingsmart.org/IFC/RELEASE/IFC4/ADD2_TC1/HTML/schema/ifchvacdomain/pset/pset_valvetypeflushing.htm" TargetMode="External"/><Relationship Id="rId61" Type="http://schemas.openxmlformats.org/officeDocument/2006/relationships/hyperlink" Target="https://standards.buildingsmart.org/IFC/RELEASE/IFC4/ADD2_TC1/HTML/schema/ifcmeasureresource/lexical/ifcmodulusofsubgradereactionmeasure.htm" TargetMode="External"/><Relationship Id="rId3387" Type="http://schemas.openxmlformats.org/officeDocument/2006/relationships/hyperlink" Target="https://standards.buildingsmart.org/IFC/RELEASE/IFC4/ADD2_TC1/HTML/schema/ifchvacdomain/pset/pset_filterphistory.htm" TargetMode="External"/><Relationship Id="rId2196" Type="http://schemas.openxmlformats.org/officeDocument/2006/relationships/hyperlink" Target="https://standards.buildingsmart.org/IFC/RELEASE/IFC4/ADD2_TC1/HTML/schema/ifcsharedbldgserviceelements/pset/pset_thermalloaddesigncriteria.htm" TargetMode="External"/><Relationship Id="rId3594" Type="http://schemas.openxmlformats.org/officeDocument/2006/relationships/hyperlink" Target="https://standards.buildingsmart.org/IFC/RELEASE/IFC4/ADD2_TC1/HTML/schema/ifcplumbingfireprotectiondomain/pset/pset_firesuppressionterminaltypefirehydrant.htm" TargetMode="External"/><Relationship Id="rId168" Type="http://schemas.openxmlformats.org/officeDocument/2006/relationships/hyperlink" Target="https://standards.buildingsmart.org/IFC/RELEASE/IFC4/ADD2_TC1/HTML/schema/ifcconstructionmgmtdomain/lexical/ifcconstructionmaterialresourcetypeenum.htm" TargetMode="External"/><Relationship Id="rId3247" Type="http://schemas.openxmlformats.org/officeDocument/2006/relationships/hyperlink" Target="https://standards.buildingsmart.org/IFC/RELEASE/IFC4/ADD2_TC1/HTML/schema/ifcbuildingcontrolsdomain/pset/pset_actuatortypeelectricactuator.htm" TargetMode="External"/><Relationship Id="rId3454" Type="http://schemas.openxmlformats.org/officeDocument/2006/relationships/hyperlink" Target="https://standards.buildingsmart.org/IFC/RELEASE/IFC4/ADD2_TC1/HTML/schema/ifcsharedfacilitieselements/pset/pset_propertyagreement.htm" TargetMode="External"/><Relationship Id="rId3661" Type="http://schemas.openxmlformats.org/officeDocument/2006/relationships/hyperlink" Target="https://standards.buildingsmart.org/IFC/RELEASE/IFC4/ADD2_TC1/HTML/schema/ifcproductextension/pset/pset_spacelightingrequirements.htm" TargetMode="External"/><Relationship Id="rId375" Type="http://schemas.openxmlformats.org/officeDocument/2006/relationships/hyperlink" Target="https://standards.buildingsmart.org/IFC/RELEASE/IFC4/ADD2_TC1/HTML/schema/ifcstructuralloadresource/lexical/ifcrotationalstiffnessselect.htm" TargetMode="External"/><Relationship Id="rId582" Type="http://schemas.openxmlformats.org/officeDocument/2006/relationships/hyperlink" Target="https://standards.buildingsmart.org/IFC/RELEASE/IFC4/ADD2_TC1/HTML/schema/ifcexternalreferenceresource/lexical/ifcdocumentinformationrelationship.htm" TargetMode="External"/><Relationship Id="rId2056" Type="http://schemas.openxmlformats.org/officeDocument/2006/relationships/hyperlink" Target="https://standards.buildingsmart.org/IFC/RELEASE/IFC4/ADD2_TC1/HTML/schema/ifcstructuralelementsdomain/pset/pset_precastconcreteelementgeneral.htm" TargetMode="External"/><Relationship Id="rId2263" Type="http://schemas.openxmlformats.org/officeDocument/2006/relationships/hyperlink" Target="https://standards.buildingsmart.org/IFC/RELEASE/IFC4/ADD2_TC1/HTML/schema/ifchvacdomain/pset/pset_filtertypeairparticlefilter.htm" TargetMode="External"/><Relationship Id="rId2470" Type="http://schemas.openxmlformats.org/officeDocument/2006/relationships/hyperlink" Target="https://standards.buildingsmart.org/IFC/RELEASE/IFC4/ADD2_TC1/HTML/schema/ifcsharedcomponentelements/pset/pset_mechanicalfastenercommon.htm" TargetMode="External"/><Relationship Id="rId3107" Type="http://schemas.openxmlformats.org/officeDocument/2006/relationships/hyperlink" Target="https://standards.buildingsmart.org/IFC/RELEASE/IFC4/ADD2_TC1/HTML/schema/ifchvacdomain/pset/pset_pipesegmentphistory.htm" TargetMode="External"/><Relationship Id="rId3314" Type="http://schemas.openxmlformats.org/officeDocument/2006/relationships/hyperlink" Target="https://standards.buildingsmart.org/IFC/RELEASE/IFC4/ADD2_TC1/HTML/schema/ifchvacdomain/pset/pset_tubebundletypefinned.htm" TargetMode="External"/><Relationship Id="rId3521" Type="http://schemas.openxmlformats.org/officeDocument/2006/relationships/hyperlink" Target="https://standards.buildingsmart.org/IFC/RELEASE/IFC4/ADD2_TC1/HTML/schema/ifchvacdomain/pset/pset_valvetypecommon.htm" TargetMode="External"/><Relationship Id="rId235" Type="http://schemas.openxmlformats.org/officeDocument/2006/relationships/hyperlink" Target="https://standards.buildingsmart.org/IFC/RELEASE/IFC4/ADD2_TC1/HTML/schema/ifcpresentationorganizationresource/lexical/ifclightdistributioncurveenum.htm" TargetMode="External"/><Relationship Id="rId442" Type="http://schemas.openxmlformats.org/officeDocument/2006/relationships/hyperlink" Target="https://standards.buildingsmart.org/IFC/RELEASE/IFC4/ADD2_TC1/HTML/schema/ifcstructuralloadresource/lexical/ifcboundarynodeconditionwarping.htm" TargetMode="External"/><Relationship Id="rId1072" Type="http://schemas.openxmlformats.org/officeDocument/2006/relationships/hyperlink" Target="https://standards.buildingsmart.org/IFC/RELEASE/IFC4/ADD2_TC1/HTML/schema/ifcpresentationappearanceresource/lexical/ifcsurfacestylerendering.htm" TargetMode="External"/><Relationship Id="rId2123" Type="http://schemas.openxmlformats.org/officeDocument/2006/relationships/hyperlink" Target="https://standards.buildingsmart.org/IFC/RELEASE/IFC4/ADD2_TC1/HTML/schema/ifchvacdomain/pset/pset_pumptypecommon.htm" TargetMode="External"/><Relationship Id="rId2330" Type="http://schemas.openxmlformats.org/officeDocument/2006/relationships/hyperlink" Target="https://standards.buildingsmart.org/IFC/RELEASE/IFC4/ADD2_TC1/HTML/schema/ifcelectricaldomain/pset/pset_audiovisualappliancetypecamera.htm" TargetMode="External"/><Relationship Id="rId302" Type="http://schemas.openxmlformats.org/officeDocument/2006/relationships/hyperlink" Target="https://standards.buildingsmart.org/IFC/RELEASE/IFC4/ADD2_TC1/HTML/schema/ifcstructuralelementsdomain/lexical/ifcsurfacefeaturetypeenum.htm" TargetMode="External"/><Relationship Id="rId1889" Type="http://schemas.openxmlformats.org/officeDocument/2006/relationships/hyperlink" Target="https://standards.buildingsmart.org/IFC/RELEASE/IFC4/ADD2_TC1/HTML/schema/ifcproductextension/pset/pset_sitecommon.htm" TargetMode="External"/><Relationship Id="rId1749" Type="http://schemas.openxmlformats.org/officeDocument/2006/relationships/hyperlink" Target="https://standards.buildingsmart.org/IFC/RELEASE/IFC4/ADD2_TC1/HTML/schema/ifcbuildingcontrolsdomain/pset/pset_flowinstrumenttypecommon.htm" TargetMode="External"/><Relationship Id="rId1956" Type="http://schemas.openxmlformats.org/officeDocument/2006/relationships/hyperlink" Target="https://standards.buildingsmart.org/IFC/RELEASE/IFC4/ADD2_TC1/HTML/schema/ifcbuildingcontrolsdomain/pset/pset_sensortypeconductancesensor.htm" TargetMode="External"/><Relationship Id="rId3171" Type="http://schemas.openxmlformats.org/officeDocument/2006/relationships/hyperlink" Target="https://standards.buildingsmart.org/IFC/RELEASE/IFC4/ADD2_TC1/HTML/schema/ifcsharedbldgelements/pset/pset_staircommon.htm" TargetMode="External"/><Relationship Id="rId1609" Type="http://schemas.openxmlformats.org/officeDocument/2006/relationships/hyperlink" Target="https://standards.buildingsmart.org/IFC/RELEASE/IFC4/ADD2_TC1/HTML/schema/ifcsharedbldgelements/pset/pset_staircommon.htm" TargetMode="External"/><Relationship Id="rId1816" Type="http://schemas.openxmlformats.org/officeDocument/2006/relationships/hyperlink" Target="https://standards.buildingsmart.org/IFC/RELEASE/IFC4/ADD2_TC1/HTML/schema/ifcproductextension/pset/pset_buildingcommon.htm" TargetMode="External"/><Relationship Id="rId3031" Type="http://schemas.openxmlformats.org/officeDocument/2006/relationships/hyperlink" Target="https://standards.buildingsmart.org/IFC/RELEASE/IFC4/ADD2_TC1/HTML/schema/ifchvacdomain/pset/pset_airterminalboxtypecommon.htm" TargetMode="External"/><Relationship Id="rId2797" Type="http://schemas.openxmlformats.org/officeDocument/2006/relationships/hyperlink" Target="https://standards.buildingsmart.org/IFC/RELEASE/IFC4/ADD2_TC1/HTML/schema/ifcmaterialresource/pset/pset_materialwater.htm" TargetMode="External"/><Relationship Id="rId769" Type="http://schemas.openxmlformats.org/officeDocument/2006/relationships/hyperlink" Target="https://standards.buildingsmart.org/IFC/RELEASE/IFC4/ADD2_TC1/HTML/schema/ifcsharedcomponentelements/lexical/ifcmechanicalfastenertype.htm" TargetMode="External"/><Relationship Id="rId976" Type="http://schemas.openxmlformats.org/officeDocument/2006/relationships/hyperlink" Target="https://standards.buildingsmart.org/IFC/RELEASE/IFC4/ADD2_TC1/HTML/schema/ifcdatetimeresource/lexical/ifcschedulingtime.htm" TargetMode="External"/><Relationship Id="rId1399" Type="http://schemas.openxmlformats.org/officeDocument/2006/relationships/hyperlink" Target="https://standards.buildingsmart.org/IFC/RELEASE/IFC4/ADD2_TC1/HTML/schema/ifcsharedfacilitieselements/pset/pset_warranty.htm" TargetMode="External"/><Relationship Id="rId2657" Type="http://schemas.openxmlformats.org/officeDocument/2006/relationships/hyperlink" Target="https://standards.buildingsmart.org/IFC/RELEASE/IFC4/ADD2_TC1/HTML/schema/ifcproductextension/pset/pset_buildinguse.htm" TargetMode="External"/><Relationship Id="rId629" Type="http://schemas.openxmlformats.org/officeDocument/2006/relationships/hyperlink" Target="https://standards.buildingsmart.org/IFC/RELEASE/IFC4/ADD2_TC1/HTML/schema/ifchvacdomain/lexical/ifcevaporator.htm" TargetMode="External"/><Relationship Id="rId1259" Type="http://schemas.openxmlformats.org/officeDocument/2006/relationships/hyperlink" Target="https://standards.buildingsmart.org/IFC/RELEASE/IFC4/ADD2_TC1/HTML/schema/ifcplumbingfireprotectiondomain/qset/qto_wasteterminalbasequantities.htm" TargetMode="External"/><Relationship Id="rId1466" Type="http://schemas.openxmlformats.org/officeDocument/2006/relationships/hyperlink" Target="https://standards.buildingsmart.org/IFC/RELEASE/IFC4/ADD2_TC1/HTML/schema/ifchvacdomain/pset/pset_spacethermalphistory.htm" TargetMode="External"/><Relationship Id="rId2864" Type="http://schemas.openxmlformats.org/officeDocument/2006/relationships/hyperlink" Target="https://standards.buildingsmart.org/IFC/RELEASE/IFC4/ADD2_TC1/HTML/schema/ifchvacdomain/pset/pset_pipesegmenttypeculvert.htm" TargetMode="External"/><Relationship Id="rId3708" Type="http://schemas.openxmlformats.org/officeDocument/2006/relationships/hyperlink" Target="https://standards.buildingsmart.org/IFC/RELEASE/IFC4/ADD2_TC1/HTML/schema/ifchvacdomain/pset/pset_cooledbeamtypeactive.htm" TargetMode="External"/><Relationship Id="rId836" Type="http://schemas.openxmlformats.org/officeDocument/2006/relationships/hyperlink" Target="https://standards.buildingsmart.org/IFC/RELEASE/IFC4/ADD2_TC1/HTML/schema/ifcpresentationappearanceresource/lexical/ifcpredefinedtextfont.htm" TargetMode="External"/><Relationship Id="rId1119" Type="http://schemas.openxmlformats.org/officeDocument/2006/relationships/hyperlink" Target="https://standards.buildingsmart.org/IFC/RELEASE/IFC4/ADD2_TC1/HTML/schema/ifcelectricaldomain/lexical/ifctransformertype.htm" TargetMode="External"/><Relationship Id="rId1673" Type="http://schemas.openxmlformats.org/officeDocument/2006/relationships/hyperlink" Target="https://standards.buildingsmart.org/IFC/RELEASE/IFC4/ADD2_TC1/HTML/schema/ifchvacdomain/pset/pset_airterminalphistory.htm" TargetMode="External"/><Relationship Id="rId1880" Type="http://schemas.openxmlformats.org/officeDocument/2006/relationships/hyperlink" Target="https://standards.buildingsmart.org/IFC/RELEASE/IFC4/ADD2_TC1/HTML/schema/ifchvacdomain/pset/pset_pipesegmenttypegutter.htm" TargetMode="External"/><Relationship Id="rId2517" Type="http://schemas.openxmlformats.org/officeDocument/2006/relationships/hyperlink" Target="https://standards.buildingsmart.org/IFC/RELEASE/IFC4/ADD2_TC1/HTML/schema/ifchvacdomain/pset/pset_flowmetertypeenergymeter.htm" TargetMode="External"/><Relationship Id="rId2724" Type="http://schemas.openxmlformats.org/officeDocument/2006/relationships/hyperlink" Target="https://standards.buildingsmart.org/IFC/RELEASE/IFC4/ADD2_TC1/HTML/schema/ifcsharedbldgserviceelements/pset/pset_spacethermalloadphistory.htm" TargetMode="External"/><Relationship Id="rId2931" Type="http://schemas.openxmlformats.org/officeDocument/2006/relationships/hyperlink" Target="https://standards.buildingsmart.org/IFC/RELEASE/IFC4/ADD2_TC1/HTML/schema/ifchvacdomain/pset/pset_compressortypecommon.htm" TargetMode="External"/><Relationship Id="rId903" Type="http://schemas.openxmlformats.org/officeDocument/2006/relationships/hyperlink" Target="https://standards.buildingsmart.org/IFC/RELEASE/IFC4/ADD2_TC1/HTML/schema/ifcstructuralelementsdomain/lexical/ifcreinforcingbartype.htm" TargetMode="External"/><Relationship Id="rId1326" Type="http://schemas.openxmlformats.org/officeDocument/2006/relationships/hyperlink" Target="https://standards.buildingsmart.org/IFC/RELEASE/IFC4/ADD2_TC1/HTML/schema/ifcsharedmgmtelements/pset/pset_projectorderworkorder.htm" TargetMode="External"/><Relationship Id="rId1533" Type="http://schemas.openxmlformats.org/officeDocument/2006/relationships/hyperlink" Target="https://standards.buildingsmart.org/IFC/RELEASE/IFC4/ADD2_TC1/HTML/schema/ifcstructuralelementsdomain/pset/pset_precastconcreteelementgeneral.htm" TargetMode="External"/><Relationship Id="rId1740" Type="http://schemas.openxmlformats.org/officeDocument/2006/relationships/hyperlink" Target="https://standards.buildingsmart.org/IFC/RELEASE/IFC4/ADD2_TC1/HTML/schema/ifcelectricaldomain/pset/pset_lightfixturetypecommon.htm" TargetMode="External"/><Relationship Id="rId32" Type="http://schemas.openxmlformats.org/officeDocument/2006/relationships/hyperlink" Target="https://standards.buildingsmart.org/IFC/RELEASE/IFC4/ADD2_TC1/HTML/schema/ifcmeasureresource/lexical/ifcshearmodulusmeasure.htm" TargetMode="External"/><Relationship Id="rId1600" Type="http://schemas.openxmlformats.org/officeDocument/2006/relationships/hyperlink" Target="https://standards.buildingsmart.org/IFC/RELEASE/IFC4/ADD2_TC1/HTML/schema/ifcsharedbldgelements/pset/pset_platecommon.htm" TargetMode="External"/><Relationship Id="rId3498" Type="http://schemas.openxmlformats.org/officeDocument/2006/relationships/hyperlink" Target="https://standards.buildingsmart.org/IFC/RELEASE/IFC4/ADD2_TC1/HTML/schema/ifcelectricaldomain/pset/pset_lamptypecommon.htm" TargetMode="External"/><Relationship Id="rId3358" Type="http://schemas.openxmlformats.org/officeDocument/2006/relationships/hyperlink" Target="https://standards.buildingsmart.org/IFC/RELEASE/IFC4/ADD2_TC1/HTML/schema/ifcelectricaldomain/pset/pset_protectivedevicetrippingunittimeadjustment.htm" TargetMode="External"/><Relationship Id="rId3565" Type="http://schemas.openxmlformats.org/officeDocument/2006/relationships/hyperlink" Target="https://standards.buildingsmart.org/IFC/RELEASE/IFC4/ADD2_TC1/HTML/schema/ifcproductextension/pset/pset_transportelementcommon.htm" TargetMode="External"/><Relationship Id="rId3772" Type="http://schemas.openxmlformats.org/officeDocument/2006/relationships/hyperlink" Target="https://standards.buildingsmart.org/IFC/RELEASE/IFC4/ADD2_TC1/HTML/schema/ifcsharedbldgserviceelements/pset/pset_distributionchamberelementtypeinspectionchamber.htm" TargetMode="External"/><Relationship Id="rId279" Type="http://schemas.openxmlformats.org/officeDocument/2006/relationships/hyperlink" Target="https://standards.buildingsmart.org/IFC/RELEASE/IFC4/ADD2_TC1/HTML/schema/ifcsharedbldgelements/lexical/ifcrooftypeenum.htm" TargetMode="External"/><Relationship Id="rId486" Type="http://schemas.openxmlformats.org/officeDocument/2006/relationships/hyperlink" Target="https://standards.buildingsmart.org/IFC/RELEASE/IFC4/ADD2_TC1/HTML/schema/ifcprofileresource/lexical/ifccircleprofiledef.htm" TargetMode="External"/><Relationship Id="rId693" Type="http://schemas.openxmlformats.org/officeDocument/2006/relationships/hyperlink" Target="https://standards.buildingsmart.org/IFC/RELEASE/IFC4/ADD2_TC1/HTML/schema/ifcproductextension/lexical/ifcgeographicelementtype.htm" TargetMode="External"/><Relationship Id="rId2167" Type="http://schemas.openxmlformats.org/officeDocument/2006/relationships/hyperlink" Target="https://standards.buildingsmart.org/IFC/RELEASE/IFC4/ADD2_TC1/HTML/schema/ifchvacdomain/pset/pset_coolingtowertypecommon.htm" TargetMode="External"/><Relationship Id="rId2374" Type="http://schemas.openxmlformats.org/officeDocument/2006/relationships/hyperlink" Target="https://standards.buildingsmart.org/IFC/RELEASE/IFC4/ADD2_TC1/HTML/schema/ifchvacdomain/pset/pset_boilerphistory.htm" TargetMode="External"/><Relationship Id="rId2581" Type="http://schemas.openxmlformats.org/officeDocument/2006/relationships/hyperlink" Target="https://standards.buildingsmart.org/IFC/RELEASE/IFC4/ADD2_TC1/HTML/schema/ifcprofileresource/pset/pset_profilemechanical.htm" TargetMode="External"/><Relationship Id="rId3218" Type="http://schemas.openxmlformats.org/officeDocument/2006/relationships/hyperlink" Target="https://standards.buildingsmart.org/IFC/RELEASE/IFC4/ADD2_TC1/HTML/schema/ifchvacdomain/pset/pset_evaporatorphistory.htm" TargetMode="External"/><Relationship Id="rId3425" Type="http://schemas.openxmlformats.org/officeDocument/2006/relationships/hyperlink" Target="https://standards.buildingsmart.org/IFC/RELEASE/IFC4/ADD2_TC1/HTML/schema/ifchvacdomain/pset/pset_dampertypecontroldamper.htm" TargetMode="External"/><Relationship Id="rId3632" Type="http://schemas.openxmlformats.org/officeDocument/2006/relationships/hyperlink" Target="https://standards.buildingsmart.org/IFC/RELEASE/IFC4/ADD2_TC1/HTML/schema/ifchvacdomain/pset/pset_spaceheaterphistory.htm" TargetMode="External"/><Relationship Id="rId139" Type="http://schemas.openxmlformats.org/officeDocument/2006/relationships/hyperlink" Target="https://standards.buildingsmart.org/IFC/RELEASE/IFC4/ADD2_TC1/HTML/schema/ifcstructuralanalysisdomain/lexical/ifcanalysistheorytypeenum.htm" TargetMode="External"/><Relationship Id="rId346" Type="http://schemas.openxmlformats.org/officeDocument/2006/relationships/hyperlink" Target="https://standards.buildingsmart.org/IFC/RELEASE/IFC4/ADD2_TC1/HTML/schema/ifcpresentationappearanceresource/lexical/ifccurvefontorscaledcurvefontselect.htm" TargetMode="External"/><Relationship Id="rId553" Type="http://schemas.openxmlformats.org/officeDocument/2006/relationships/hyperlink" Target="https://standards.buildingsmart.org/IFC/RELEASE/IFC4/ADD2_TC1/HTML/schema/ifcgeometryresource/lexical/ifccurve.htm" TargetMode="External"/><Relationship Id="rId760" Type="http://schemas.openxmlformats.org/officeDocument/2006/relationships/hyperlink" Target="https://standards.buildingsmart.org/IFC/RELEASE/IFC4/ADD2_TC1/HTML/schema/ifcmaterialresource/lexical/ifcmaterialprofileset.htm" TargetMode="External"/><Relationship Id="rId1183" Type="http://schemas.openxmlformats.org/officeDocument/2006/relationships/hyperlink" Target="https://standards.buildingsmart.org/IFC/RELEASE/IFC4/ADD2_TC1/HTML/schema/ifcelectricaldomain/qset/qto_cablesegmentbasequantities.htm" TargetMode="External"/><Relationship Id="rId1390" Type="http://schemas.openxmlformats.org/officeDocument/2006/relationships/hyperlink" Target="https://standards.buildingsmart.org/IFC/RELEASE/IFC4/ADD2_TC1/HTML/schema/ifcproductextension/pset/pset_environmentalimpactvalues.htm" TargetMode="External"/><Relationship Id="rId2027" Type="http://schemas.openxmlformats.org/officeDocument/2006/relationships/hyperlink" Target="https://standards.buildingsmart.org/IFC/RELEASE/IFC4/ADD2_TC1/HTML/schema/ifchvacdomain/pset/pset_airterminalboxtypecommon.htm" TargetMode="External"/><Relationship Id="rId2234" Type="http://schemas.openxmlformats.org/officeDocument/2006/relationships/hyperlink" Target="https://standards.buildingsmart.org/IFC/RELEASE/IFC4/ADD2_TC1/HTML/schema/ifcsharedfacilitieselements/pset/pset_propertyagreement.htm" TargetMode="External"/><Relationship Id="rId2441" Type="http://schemas.openxmlformats.org/officeDocument/2006/relationships/hyperlink" Target="https://standards.buildingsmart.org/IFC/RELEASE/IFC4/ADD2_TC1/HTML/schema/ifcstructuralelementsdomain/pset/pset_precastslab.htm" TargetMode="External"/><Relationship Id="rId206" Type="http://schemas.openxmlformats.org/officeDocument/2006/relationships/hyperlink" Target="https://standards.buildingsmart.org/IFC/RELEASE/IFC4/ADD2_TC1/HTML/schema/ifchvacdomain/lexical/ifcenginetypeenum.htm" TargetMode="External"/><Relationship Id="rId413" Type="http://schemas.openxmlformats.org/officeDocument/2006/relationships/hyperlink" Target="https://standards.buildingsmart.org/IFC/RELEASE/IFC4/ADD2_TC1/HTML/schema/ifcpresentationdefinitionresource/lexical/ifcannotationfillarea.htm" TargetMode="External"/><Relationship Id="rId1043" Type="http://schemas.openxmlformats.org/officeDocument/2006/relationships/hyperlink" Target="https://standards.buildingsmart.org/IFC/RELEASE/IFC4/ADD2_TC1/HTML/schema/ifcstructuralloadresource/lexical/ifcstructuralloadtemperature.htm" TargetMode="External"/><Relationship Id="rId620" Type="http://schemas.openxmlformats.org/officeDocument/2006/relationships/hyperlink" Target="https://standards.buildingsmart.org/IFC/RELEASE/IFC4/ADD2_TC1/HTML/schema/ifcproductextension/lexical/ifcelementtype.htm" TargetMode="External"/><Relationship Id="rId1250" Type="http://schemas.openxmlformats.org/officeDocument/2006/relationships/hyperlink" Target="https://standards.buildingsmart.org/IFC/RELEASE/IFC4/ADD2_TC1/HTML/schema/ifcelectricaldomain/qset/qto_switchingdevicebasequantities.htm" TargetMode="External"/><Relationship Id="rId2301" Type="http://schemas.openxmlformats.org/officeDocument/2006/relationships/hyperlink" Target="https://standards.buildingsmart.org/IFC/RELEASE/IFC4/ADD2_TC1/HTML/schema/ifcproductextension/pset/pset_buildinguse.htm" TargetMode="External"/><Relationship Id="rId1110" Type="http://schemas.openxmlformats.org/officeDocument/2006/relationships/hyperlink" Target="https://standards.buildingsmart.org/IFC/RELEASE/IFC4/ADD2_TC1/HTML/schema/ifcpresentationappearanceresource/lexical/ifctexturevertex.htm" TargetMode="External"/><Relationship Id="rId1927" Type="http://schemas.openxmlformats.org/officeDocument/2006/relationships/hyperlink" Target="https://standards.buildingsmart.org/IFC/RELEASE/IFC4/ADD2_TC1/HTML/schema/ifcprofileresource/pset/pset_profilemechanical.htm" TargetMode="External"/><Relationship Id="rId3075" Type="http://schemas.openxmlformats.org/officeDocument/2006/relationships/hyperlink" Target="https://standards.buildingsmart.org/IFC/RELEASE/IFC4/ADD2_TC1/HTML/schema/ifchvacdomain/pset/pset_dampertypefiresmokedamper.htm" TargetMode="External"/><Relationship Id="rId3282" Type="http://schemas.openxmlformats.org/officeDocument/2006/relationships/hyperlink" Target="https://standards.buildingsmart.org/IFC/RELEASE/IFC4/ADD2_TC1/HTML/schema/ifcplumbingfireprotectiondomain/pset/pset_sanitaryterminaltypeshower.htm" TargetMode="External"/><Relationship Id="rId2091" Type="http://schemas.openxmlformats.org/officeDocument/2006/relationships/hyperlink" Target="https://standards.buildingsmart.org/IFC/RELEASE/IFC4/ADD2_TC1/HTML/schema/ifcproductextension/pset/pset_zonecommon.htm" TargetMode="External"/><Relationship Id="rId3142" Type="http://schemas.openxmlformats.org/officeDocument/2006/relationships/hyperlink" Target="https://standards.buildingsmart.org/IFC/RELEASE/IFC4/ADD2_TC1/HTML/schema/ifcsharedcomponentelements/pset/pset_discreteaccessoryfixingsocket.htm" TargetMode="External"/><Relationship Id="rId270" Type="http://schemas.openxmlformats.org/officeDocument/2006/relationships/hyperlink" Target="https://standards.buildingsmart.org/IFC/RELEASE/IFC4/ADD2_TC1/HTML/schema/ifcsharedbldgelements/lexical/ifcrampflighttypeenum.htm" TargetMode="External"/><Relationship Id="rId3002" Type="http://schemas.openxmlformats.org/officeDocument/2006/relationships/hyperlink" Target="https://standards.buildingsmart.org/IFC/RELEASE/IFC4/ADD2_TC1/HTML/schema/ifchvacdomain/pset/pset_tubebundletypecommon.htm" TargetMode="External"/><Relationship Id="rId130" Type="http://schemas.openxmlformats.org/officeDocument/2006/relationships/hyperlink" Target="https://standards.buildingsmart.org/IFC/RELEASE/IFC4/ADD2_TC1/HTML/schema/ifcstructuralanalysisdomain/lexical/ifcactionsourcetypeenum.htm" TargetMode="External"/><Relationship Id="rId2768" Type="http://schemas.openxmlformats.org/officeDocument/2006/relationships/hyperlink" Target="https://standards.buildingsmart.org/IFC/RELEASE/IFC4/ADD2_TC1/HTML/schema/ifcbuildingcontrolsdomain/pset/pset_controllertypemultiposition.htm" TargetMode="External"/><Relationship Id="rId2975" Type="http://schemas.openxmlformats.org/officeDocument/2006/relationships/hyperlink" Target="https://standards.buildingsmart.org/IFC/RELEASE/IFC4/ADD2_TC1/HTML/schema/ifchvacdomain/pset/pset_spaceheatertypecommon.htm" TargetMode="External"/><Relationship Id="rId947" Type="http://schemas.openxmlformats.org/officeDocument/2006/relationships/hyperlink" Target="https://standards.buildingsmart.org/IFC/RELEASE/IFC4/ADD2_TC1/HTML/schema/ifckernel/lexical/ifcrelnests.htm" TargetMode="External"/><Relationship Id="rId1577" Type="http://schemas.openxmlformats.org/officeDocument/2006/relationships/hyperlink" Target="https://standards.buildingsmart.org/IFC/RELEASE/IFC4/ADD2_TC1/HTML/schema/ifcelectricaldomain/pset/pset_audiovisualappliancetypecamera.htm" TargetMode="External"/><Relationship Id="rId1784" Type="http://schemas.openxmlformats.org/officeDocument/2006/relationships/hyperlink" Target="https://standards.buildingsmart.org/IFC/RELEASE/IFC4/ADD2_TC1/HTML/schema/ifcelectricaldomain/pset/pset_cablefittingtypecommon.htm" TargetMode="External"/><Relationship Id="rId1991" Type="http://schemas.openxmlformats.org/officeDocument/2006/relationships/hyperlink" Target="https://standards.buildingsmart.org/IFC/RELEASE/IFC4/ADD2_TC1/HTML/schema/ifchvacdomain/pset/pset_tanktypepreformed.htm" TargetMode="External"/><Relationship Id="rId2628" Type="http://schemas.openxmlformats.org/officeDocument/2006/relationships/hyperlink" Target="https://standards.buildingsmart.org/IFC/RELEASE/IFC4/ADD2_TC1/HTML/schema/ifchvacdomain/pset/pset_flowmetertypewatermeter.htm" TargetMode="External"/><Relationship Id="rId2835" Type="http://schemas.openxmlformats.org/officeDocument/2006/relationships/hyperlink" Target="https://standards.buildingsmart.org/IFC/RELEASE/IFC4/ADD2_TC1/HTML/schema/ifcsharedbldgelements/pset/pset_railingcommon.htm" TargetMode="External"/><Relationship Id="rId76" Type="http://schemas.openxmlformats.org/officeDocument/2006/relationships/hyperlink" Target="https://standards.buildingsmart.org/IFC/RELEASE/IFC4/ADD2_TC1/HTML/schema/ifcmeasureresource/lexical/ifclinearvelocitymeasure.htm" TargetMode="External"/><Relationship Id="rId807" Type="http://schemas.openxmlformats.org/officeDocument/2006/relationships/hyperlink" Target="https://standards.buildingsmart.org/IFC/RELEASE/IFC4/ADD2_TC1/HTML/schema/ifcquantityresource/lexical/ifcphysicalsimplequantity.htm" TargetMode="External"/><Relationship Id="rId1437" Type="http://schemas.openxmlformats.org/officeDocument/2006/relationships/hyperlink" Target="https://standards.buildingsmart.org/IFC/RELEASE/IFC4/ADD2_TC1/HTML/schema/ifcsharedbldgelements/pset/pset_shadingdevicecommon.htm" TargetMode="External"/><Relationship Id="rId1644" Type="http://schemas.openxmlformats.org/officeDocument/2006/relationships/hyperlink" Target="https://standards.buildingsmart.org/IFC/RELEASE/IFC4/ADD2_TC1/HTML/schema/ifcsharedbldgserviceelements/pset/pset_distributionportphistorypipe.htm" TargetMode="External"/><Relationship Id="rId1851" Type="http://schemas.openxmlformats.org/officeDocument/2006/relationships/hyperlink" Target="https://standards.buildingsmart.org/IFC/RELEASE/IFC4/ADD2_TC1/HTML/schema/ifcproductextension/pset/pset_spacethermalrequirements.htm" TargetMode="External"/><Relationship Id="rId2902" Type="http://schemas.openxmlformats.org/officeDocument/2006/relationships/hyperlink" Target="https://standards.buildingsmart.org/IFC/RELEASE/IFC4/ADD2_TC1/HTML/schema/ifcplumbingfireprotectiondomain/pset/pset_wasteterminaltypegullysump.htm" TargetMode="External"/><Relationship Id="rId1504" Type="http://schemas.openxmlformats.org/officeDocument/2006/relationships/hyperlink" Target="https://standards.buildingsmart.org/IFC/RELEASE/IFC4/ADD2_TC1/HTML/schema/ifcstructuralelementsdomain/pset/pset_precastslab.htm" TargetMode="External"/><Relationship Id="rId1711" Type="http://schemas.openxmlformats.org/officeDocument/2006/relationships/hyperlink" Target="https://standards.buildingsmart.org/IFC/RELEASE/IFC4/ADD2_TC1/HTML/schema/ifchvacdomain/pset/pset_tanktypecommon.htm" TargetMode="External"/><Relationship Id="rId3469" Type="http://schemas.openxmlformats.org/officeDocument/2006/relationships/hyperlink" Target="https://standards.buildingsmart.org/IFC/RELEASE/IFC4/ADD2_TC1/HTML/schema/ifcproductextension/pset/pset_spacecoveringrequirements.htm" TargetMode="External"/><Relationship Id="rId3676" Type="http://schemas.openxmlformats.org/officeDocument/2006/relationships/hyperlink" Target="https://standards.buildingsmart.org/IFC/RELEASE/IFC4/ADD2_TC1/HTML/schema/ifcsharedbldgserviceelements/pset/pset_airsidesysteminformation.htm" TargetMode="External"/><Relationship Id="rId597" Type="http://schemas.openxmlformats.org/officeDocument/2006/relationships/hyperlink" Target="https://standards.buildingsmart.org/IFC/RELEASE/IFC4/ADD2_TC1/HTML/schema/ifchvacdomain/lexical/ifcductsilencertype.htm" TargetMode="External"/><Relationship Id="rId2278" Type="http://schemas.openxmlformats.org/officeDocument/2006/relationships/hyperlink" Target="https://standards.buildingsmart.org/IFC/RELEASE/IFC4/ADD2_TC1/HTML/schema/ifchvacdomain/pset/pset_compressortypecommon.htm" TargetMode="External"/><Relationship Id="rId2485" Type="http://schemas.openxmlformats.org/officeDocument/2006/relationships/hyperlink" Target="https://standards.buildingsmart.org/IFC/RELEASE/IFC4/ADD2_TC1/HTML/schema/ifchvacdomain/pset/pset_evaporatortypecommon.htm" TargetMode="External"/><Relationship Id="rId3329" Type="http://schemas.openxmlformats.org/officeDocument/2006/relationships/hyperlink" Target="https://standards.buildingsmart.org/IFC/RELEASE/IFC4/ADD2_TC1/HTML/schema/ifcstructuralelementsdomain/pset/pset_reinforcementbarpitchofcontinuousfooting.htm" TargetMode="External"/><Relationship Id="rId457" Type="http://schemas.openxmlformats.org/officeDocument/2006/relationships/hyperlink" Target="https://standards.buildingsmart.org/IFC/RELEASE/IFC4/ADD2_TC1/HTML/schema/ifcproductextension/lexical/ifcbuildingelementtype.htm" TargetMode="External"/><Relationship Id="rId1087" Type="http://schemas.openxmlformats.org/officeDocument/2006/relationships/hyperlink" Target="https://standards.buildingsmart.org/IFC/RELEASE/IFC4/ADD2_TC1/HTML/schema/ifcutilityresource/lexical/ifctablerow.htm" TargetMode="External"/><Relationship Id="rId1294" Type="http://schemas.openxmlformats.org/officeDocument/2006/relationships/hyperlink" Target="https://standards.buildingsmart.org/IFC/RELEASE/IFC4/ADD2_TC1/HTML/schema/ifcgeometryresource/lexical/ifcsamevalue.htm" TargetMode="External"/><Relationship Id="rId2138" Type="http://schemas.openxmlformats.org/officeDocument/2006/relationships/hyperlink" Target="https://standards.buildingsmart.org/IFC/RELEASE/IFC4/ADD2_TC1/HTML/schema/ifcplumbingfireprotectiondomain/pset/pset_interceptortypecommon.htm" TargetMode="External"/><Relationship Id="rId2692" Type="http://schemas.openxmlformats.org/officeDocument/2006/relationships/hyperlink" Target="https://standards.buildingsmart.org/IFC/RELEASE/IFC4/ADD2_TC1/HTML/schema/ifcelectricaldomain/pset/pset_electricmotortypecommon.htm" TargetMode="External"/><Relationship Id="rId3536" Type="http://schemas.openxmlformats.org/officeDocument/2006/relationships/hyperlink" Target="https://standards.buildingsmart.org/IFC/RELEASE/IFC4/ADD2_TC1/HTML/schema/ifcplumbingfireprotectiondomain/pset/pset_sanitaryterminaltypecistern.htm" TargetMode="External"/><Relationship Id="rId3743" Type="http://schemas.openxmlformats.org/officeDocument/2006/relationships/hyperlink" Target="https://standards.buildingsmart.org/IFC/RELEASE/IFC4/ADD2_TC1/HTML/schema/ifcstructuralelementsdomain/pset/pset_precastconcreteelementfabrication.htm" TargetMode="External"/><Relationship Id="rId664" Type="http://schemas.openxmlformats.org/officeDocument/2006/relationships/hyperlink" Target="https://standards.buildingsmart.org/IFC/RELEASE/IFC4/ADD2_TC1/HTML/schema/ifchvacdomain/lexical/ifcfiltertype.htm" TargetMode="External"/><Relationship Id="rId871" Type="http://schemas.openxmlformats.org/officeDocument/2006/relationships/hyperlink" Target="https://standards.buildingsmart.org/IFC/RELEASE/IFC4/ADD2_TC1/HTML/schema/ifcelectricaldomain/lexical/ifcprotectivedevice.htm" TargetMode="External"/><Relationship Id="rId2345" Type="http://schemas.openxmlformats.org/officeDocument/2006/relationships/hyperlink" Target="https://standards.buildingsmart.org/IFC/RELEASE/IFC4/ADD2_TC1/HTML/schema/ifchvacdomain/pset/pset_spaceheaterphistory.htm" TargetMode="External"/><Relationship Id="rId2552" Type="http://schemas.openxmlformats.org/officeDocument/2006/relationships/hyperlink" Target="https://standards.buildingsmart.org/IFC/RELEASE/IFC4/ADD2_TC1/HTML/schema/ifcsharedfacilitieselements/pset/pset_risk.htm" TargetMode="External"/><Relationship Id="rId3603" Type="http://schemas.openxmlformats.org/officeDocument/2006/relationships/hyperlink" Target="https://standards.buildingsmart.org/IFC/RELEASE/IFC4/ADD2_TC1/HTML/schema/ifchvacdomain/pset/pset_pipefittingtypebend.htm" TargetMode="External"/><Relationship Id="rId317" Type="http://schemas.openxmlformats.org/officeDocument/2006/relationships/hyperlink" Target="https://standards.buildingsmart.org/IFC/RELEASE/IFC4/ADD2_TC1/HTML/schema/ifchvacdomain/lexical/ifctubebundletypeenum.htm" TargetMode="External"/><Relationship Id="rId524" Type="http://schemas.openxmlformats.org/officeDocument/2006/relationships/hyperlink" Target="https://standards.buildingsmart.org/IFC/RELEASE/IFC4/ADD2_TC1/HTML/schema/ifcconstructionmgmtdomain/lexical/ifcconstructionproductresourcetype.htm" TargetMode="External"/><Relationship Id="rId731" Type="http://schemas.openxmlformats.org/officeDocument/2006/relationships/hyperlink" Target="https://standards.buildingsmart.org/IFC/RELEASE/IFC4/ADD2_TC1/HTML/schema/ifcpresentationorganizationresource/lexical/ifclightdistributiondata.htm" TargetMode="External"/><Relationship Id="rId1154" Type="http://schemas.openxmlformats.org/officeDocument/2006/relationships/hyperlink" Target="https://standards.buildingsmart.org/IFC/RELEASE/IFC4/ADD2_TC1/HTML/schema/ifcplumbingfireprotectiondomain/lexical/ifcwasteterminaltype.htm" TargetMode="External"/><Relationship Id="rId1361" Type="http://schemas.openxmlformats.org/officeDocument/2006/relationships/hyperlink" Target="https://standards.buildingsmart.org/IFC/RELEASE/IFC4/ADD2_TC1/HTML/schema/ifchvacdomain/pset/pset_filtertypeairparticlefilter.htm" TargetMode="External"/><Relationship Id="rId2205" Type="http://schemas.openxmlformats.org/officeDocument/2006/relationships/hyperlink" Target="https://standards.buildingsmart.org/IFC/RELEASE/IFC4/ADD2_TC1/HTML/schema/ifcelectricaldomain/pset/pset_cablesegmenttypecoresegment.htm" TargetMode="External"/><Relationship Id="rId2412" Type="http://schemas.openxmlformats.org/officeDocument/2006/relationships/hyperlink" Target="https://standards.buildingsmart.org/IFC/RELEASE/IFC4/ADD2_TC1/HTML/schema/ifcelectricaldomain/pset/pset_cablecarriersegmenttypecabletrunkingsegment.htm" TargetMode="External"/><Relationship Id="rId1014" Type="http://schemas.openxmlformats.org/officeDocument/2006/relationships/hyperlink" Target="https://standards.buildingsmart.org/IFC/RELEASE/IFC4/ADD2_TC1/HTML/schema/ifcplumbingfireprotectiondomain/lexical/ifcstackterminaltype.htm" TargetMode="External"/><Relationship Id="rId1221" Type="http://schemas.openxmlformats.org/officeDocument/2006/relationships/hyperlink" Target="https://standards.buildingsmart.org/IFC/RELEASE/IFC4/ADD2_TC1/HTML/schema/ifcelectricaldomain/qset/qto_junctionboxbasequantities.htm" TargetMode="External"/><Relationship Id="rId3186" Type="http://schemas.openxmlformats.org/officeDocument/2006/relationships/hyperlink" Target="https://standards.buildingsmart.org/IFC/RELEASE/IFC4/ADD2_TC1/HTML/schema/ifchvacdomain/pset/pset_valvetypefaucet.htm" TargetMode="External"/><Relationship Id="rId3393" Type="http://schemas.openxmlformats.org/officeDocument/2006/relationships/hyperlink" Target="https://standards.buildingsmart.org/IFC/RELEASE/IFC4/ADD2_TC1/HTML/schema/ifcsharedcomponentelements/pset/pset_discreteaccessorycornerfixingplate.htm" TargetMode="External"/><Relationship Id="rId3046" Type="http://schemas.openxmlformats.org/officeDocument/2006/relationships/hyperlink" Target="https://standards.buildingsmart.org/IFC/RELEASE/IFC4/ADD2_TC1/HTML/schema/ifcsharedbldgelements/pset/pset_staircommon.htm" TargetMode="External"/><Relationship Id="rId3253" Type="http://schemas.openxmlformats.org/officeDocument/2006/relationships/hyperlink" Target="https://standards.buildingsmart.org/IFC/RELEASE/IFC4/ADD2_TC1/HTML/schema/ifchvacdomain/pset/pset_tanktypecommon.htm" TargetMode="External"/><Relationship Id="rId3460" Type="http://schemas.openxmlformats.org/officeDocument/2006/relationships/hyperlink" Target="https://standards.buildingsmart.org/IFC/RELEASE/IFC4/ADD2_TC1/HTML/schema/ifchvacdomain/pset/pset_unitaryequipmenttypeairconditioningunit.htm" TargetMode="External"/><Relationship Id="rId174" Type="http://schemas.openxmlformats.org/officeDocument/2006/relationships/hyperlink" Target="https://standards.buildingsmart.org/IFC/RELEASE/IFC4/ADD2_TC1/HTML/schema/ifcsharedmgmtelements/lexical/ifccostscheduletypeenum.htm" TargetMode="External"/><Relationship Id="rId381" Type="http://schemas.openxmlformats.org/officeDocument/2006/relationships/hyperlink" Target="https://standards.buildingsmart.org/IFC/RELEASE/IFC4/ADD2_TC1/HTML/schema/ifcproductextension/lexical/ifcspaceboundaryselect.htm" TargetMode="External"/><Relationship Id="rId2062" Type="http://schemas.openxmlformats.org/officeDocument/2006/relationships/hyperlink" Target="https://standards.buildingsmart.org/IFC/RELEASE/IFC4/ADD2_TC1/HTML/schema/ifcelectricaldomain/pset/pset_protectivedevicetrippingfunctionicurve.htm" TargetMode="External"/><Relationship Id="rId3113" Type="http://schemas.openxmlformats.org/officeDocument/2006/relationships/hyperlink" Target="https://standards.buildingsmart.org/IFC/RELEASE/IFC4/ADD2_TC1/HTML/schema/ifchvacdomain/pset/pset_pipefittingphistory.htm" TargetMode="External"/><Relationship Id="rId241" Type="http://schemas.openxmlformats.org/officeDocument/2006/relationships/hyperlink" Target="https://standards.buildingsmart.org/IFC/RELEASE/IFC4/ADD2_TC1/HTML/schema/ifchvacdomain/lexical/ifcmedicaldevicetypeenum.htm" TargetMode="External"/><Relationship Id="rId3320" Type="http://schemas.openxmlformats.org/officeDocument/2006/relationships/hyperlink" Target="https://standards.buildingsmart.org/IFC/RELEASE/IFC4/ADD2_TC1/HTML/schema/ifcsharedcomponentelements/pset/pset_discreteaccessorydiagonaltrussconnector.htm" TargetMode="External"/><Relationship Id="rId2879" Type="http://schemas.openxmlformats.org/officeDocument/2006/relationships/hyperlink" Target="https://standards.buildingsmart.org/IFC/RELEASE/IFC4/ADD2_TC1/HTML/schema/ifchvacdomain/pset/pset_cooledbeamtypecommon.htm" TargetMode="External"/><Relationship Id="rId101" Type="http://schemas.openxmlformats.org/officeDocument/2006/relationships/hyperlink" Target="https://standards.buildingsmart.org/IFC/RELEASE/IFC4/ADD2_TC1/HTML/schema/ifcmeasureresource/lexical/ifcelectricresistancemeasure.htm" TargetMode="External"/><Relationship Id="rId1688" Type="http://schemas.openxmlformats.org/officeDocument/2006/relationships/hyperlink" Target="https://standards.buildingsmart.org/IFC/RELEASE/IFC4/ADD2_TC1/HTML/schema/ifcprofileresource/pset/pset_profilearbitrarydoublet.htm" TargetMode="External"/><Relationship Id="rId1895" Type="http://schemas.openxmlformats.org/officeDocument/2006/relationships/hyperlink" Target="https://standards.buildingsmart.org/IFC/RELEASE/IFC4/ADD2_TC1/HTML/schema/ifcbuildingcontrolsdomain/pset/pset_controllertypefloating.htm" TargetMode="External"/><Relationship Id="rId2739" Type="http://schemas.openxmlformats.org/officeDocument/2006/relationships/hyperlink" Target="https://standards.buildingsmart.org/IFC/RELEASE/IFC4/ADD2_TC1/HTML/schema/ifcelectricaldomain/pset/pset_switchingdevicetypecommon.htm" TargetMode="External"/><Relationship Id="rId2946" Type="http://schemas.openxmlformats.org/officeDocument/2006/relationships/hyperlink" Target="https://standards.buildingsmart.org/IFC/RELEASE/IFC4/ADD2_TC1/HTML/schema/ifcelectricaldomain/pset/pset_protectivedevicetrippingunittypeelectromagnetic.htm" TargetMode="External"/><Relationship Id="rId918" Type="http://schemas.openxmlformats.org/officeDocument/2006/relationships/hyperlink" Target="https://standards.buildingsmart.org/IFC/RELEASE/IFC4/ADD2_TC1/HTML/schema/ifccontrolextension/lexical/ifcrelassociatesapproval.htm" TargetMode="External"/><Relationship Id="rId1548" Type="http://schemas.openxmlformats.org/officeDocument/2006/relationships/hyperlink" Target="https://standards.buildingsmart.org/IFC/RELEASE/IFC4/ADD2_TC1/HTML/schema/ifchvacdomain/pset/pset_airtoairheatrecoveryphistory.htm" TargetMode="External"/><Relationship Id="rId1755" Type="http://schemas.openxmlformats.org/officeDocument/2006/relationships/hyperlink" Target="https://standards.buildingsmart.org/IFC/RELEASE/IFC4/ADD2_TC1/HTML/schema/ifchvacdomain/pset/pset_enginetypecommon.htm" TargetMode="External"/><Relationship Id="rId1408" Type="http://schemas.openxmlformats.org/officeDocument/2006/relationships/hyperlink" Target="https://standards.buildingsmart.org/IFC/RELEASE/IFC4/ADD2_TC1/HTML/schema/ifcsharedbldgserviceelements/pset/pset_distributionchamberelementtypemeterchamber.htm" TargetMode="External"/><Relationship Id="rId1962" Type="http://schemas.openxmlformats.org/officeDocument/2006/relationships/hyperlink" Target="https://standards.buildingsmart.org/IFC/RELEASE/IFC4/ADD2_TC1/HTML/schema/ifcbuildingcontrolsdomain/pset/pset_unitarycontrolelementphistory.htm" TargetMode="External"/><Relationship Id="rId2806" Type="http://schemas.openxmlformats.org/officeDocument/2006/relationships/hyperlink" Target="https://standards.buildingsmart.org/IFC/RELEASE/IFC4/ADD2_TC1/HTML/schema/ifchvacdomain/pset/pset_vibrationisolatortypecommon.htm" TargetMode="External"/><Relationship Id="rId47" Type="http://schemas.openxmlformats.org/officeDocument/2006/relationships/hyperlink" Target="https://standards.buildingsmart.org/IFC/RELEASE/IFC4/ADD2_TC1/HTML/schema/ifcmeasureresource/lexical/ifcpositivelengthmeasure.htm" TargetMode="External"/><Relationship Id="rId1615" Type="http://schemas.openxmlformats.org/officeDocument/2006/relationships/hyperlink" Target="https://standards.buildingsmart.org/IFC/RELEASE/IFC4/ADD2_TC1/HTML/schema/ifcmaterialresource/pset/pset_materialmechanical.htm" TargetMode="External"/><Relationship Id="rId1822" Type="http://schemas.openxmlformats.org/officeDocument/2006/relationships/hyperlink" Target="https://standards.buildingsmart.org/IFC/RELEASE/IFC4/ADD2_TC1/HTML/schema/ifcelectricaldomain/pset/pset_lamptypecommon.htm" TargetMode="External"/><Relationship Id="rId2389" Type="http://schemas.openxmlformats.org/officeDocument/2006/relationships/hyperlink" Target="https://standards.buildingsmart.org/IFC/RELEASE/IFC4/ADD2_TC1/HTML/schema/ifcsharedbldgelements/pset/pset_stairflightcommon.htm" TargetMode="External"/><Relationship Id="rId2596" Type="http://schemas.openxmlformats.org/officeDocument/2006/relationships/hyperlink" Target="https://standards.buildingsmart.org/IFC/RELEASE/IFC4/ADD2_TC1/HTML/schema/ifchvacdomain/pset/pset_valvetypemixing.htm" TargetMode="External"/><Relationship Id="rId3647" Type="http://schemas.openxmlformats.org/officeDocument/2006/relationships/hyperlink" Target="https://standards.buildingsmart.org/IFC/RELEASE/IFC4/ADD2_TC1/HTML/schema/ifcproductextension/pset/pset_environmentalimpactindicators.htm" TargetMode="External"/><Relationship Id="rId568" Type="http://schemas.openxmlformats.org/officeDocument/2006/relationships/hyperlink" Target="https://standards.buildingsmart.org/IFC/RELEASE/IFC4/ADD2_TC1/HTML/schema/ifcsharedcomponentelements/lexical/ifcdiscreteaccessory.htm" TargetMode="External"/><Relationship Id="rId775" Type="http://schemas.openxmlformats.org/officeDocument/2006/relationships/hyperlink" Target="https://standards.buildingsmart.org/IFC/RELEASE/IFC4/ADD2_TC1/HTML/schema/ifcconstraintresource/lexical/ifcmetric.htm" TargetMode="External"/><Relationship Id="rId982" Type="http://schemas.openxmlformats.org/officeDocument/2006/relationships/hyperlink" Target="https://standards.buildingsmart.org/IFC/RELEASE/IFC4/ADD2_TC1/HTML/schema/ifcbuildingcontrolsdomain/lexical/ifcsensortype.htm" TargetMode="External"/><Relationship Id="rId1198" Type="http://schemas.openxmlformats.org/officeDocument/2006/relationships/hyperlink" Target="https://standards.buildingsmart.org/IFC/RELEASE/IFC4/ADD2_TC1/HTML/schema/ifchvacdomain/qset/qto_damperbasequantities.htm" TargetMode="External"/><Relationship Id="rId2249" Type="http://schemas.openxmlformats.org/officeDocument/2006/relationships/hyperlink" Target="https://standards.buildingsmart.org/IFC/RELEASE/IFC4/ADD2_TC1/HTML/schema/ifcsharedfacilitieselements/pset/pset_risk.htm" TargetMode="External"/><Relationship Id="rId2456" Type="http://schemas.openxmlformats.org/officeDocument/2006/relationships/hyperlink" Target="https://standards.buildingsmart.org/IFC/RELEASE/IFC4/ADD2_TC1/HTML/schema/ifchvacdomain/pset/pset_pumptypecommon.htm" TargetMode="External"/><Relationship Id="rId2663" Type="http://schemas.openxmlformats.org/officeDocument/2006/relationships/hyperlink" Target="https://standards.buildingsmart.org/IFC/RELEASE/IFC4/ADD2_TC1/HTML/schema/ifcsharedmgmtelements/pset/pset_projectordermaintenanceworkorder.htm" TargetMode="External"/><Relationship Id="rId2870" Type="http://schemas.openxmlformats.org/officeDocument/2006/relationships/hyperlink" Target="https://standards.buildingsmart.org/IFC/RELEASE/IFC4/ADD2_TC1/HTML/schema/ifchvacdomain/pset/pset_condensertypecommon.htm" TargetMode="External"/><Relationship Id="rId3507" Type="http://schemas.openxmlformats.org/officeDocument/2006/relationships/hyperlink" Target="https://standards.buildingsmart.org/IFC/RELEASE/IFC4/ADD2_TC1/HTML/schema/ifchvacdomain/pset/pset_cooledbeamtypecommon.htm" TargetMode="External"/><Relationship Id="rId3714" Type="http://schemas.openxmlformats.org/officeDocument/2006/relationships/hyperlink" Target="https://standards.buildingsmart.org/IFC/RELEASE/IFC4/ADD2_TC1/HTML/schema/ifchvacdomain/pset/pset_cooledbeamphistoryactive.htm" TargetMode="External"/><Relationship Id="rId428" Type="http://schemas.openxmlformats.org/officeDocument/2006/relationships/hyperlink" Target="https://standards.buildingsmart.org/IFC/RELEASE/IFC4/ADD2_TC1/HTML/schema/ifcsharedbldgelements/lexical/ifcbeam.htm" TargetMode="External"/><Relationship Id="rId635" Type="http://schemas.openxmlformats.org/officeDocument/2006/relationships/hyperlink" Target="https://standards.buildingsmart.org/IFC/RELEASE/IFC4/ADD2_TC1/HTML/schema/ifcexternalreferenceresource/lexical/ifcexternalinformation.htm" TargetMode="External"/><Relationship Id="rId842" Type="http://schemas.openxmlformats.org/officeDocument/2006/relationships/hyperlink" Target="https://standards.buildingsmart.org/IFC/RELEASE/IFC4/ADD2_TC1/HTML/schema/ifcprocessextension/lexical/ifcprocedure.htm" TargetMode="External"/><Relationship Id="rId1058" Type="http://schemas.openxmlformats.org/officeDocument/2006/relationships/hyperlink" Target="https://standards.buildingsmart.org/IFC/RELEASE/IFC4/ADD2_TC1/HTML/schema/ifcrepresentationresource/lexical/ifcstylemodel.htm" TargetMode="External"/><Relationship Id="rId1265" Type="http://schemas.openxmlformats.org/officeDocument/2006/relationships/hyperlink" Target="https://standards.buildingsmart.org/IFC/RELEASE/IFC4/ADD2_TC1/HTML/schema/ifcgeometryresource/lexical/ifcbuildaxes.htm" TargetMode="External"/><Relationship Id="rId1472" Type="http://schemas.openxmlformats.org/officeDocument/2006/relationships/hyperlink" Target="https://standards.buildingsmart.org/IFC/RELEASE/IFC4/ADD2_TC1/HTML/schema/ifcelectricaldomain/pset/pset_protectivedevicetypevaristor.htm" TargetMode="External"/><Relationship Id="rId2109" Type="http://schemas.openxmlformats.org/officeDocument/2006/relationships/hyperlink" Target="https://standards.buildingsmart.org/IFC/RELEASE/IFC4/ADD2_TC1/HTML/schema/ifchvacdomain/pset/pset_spaceheatertypecommon.htm" TargetMode="External"/><Relationship Id="rId2316" Type="http://schemas.openxmlformats.org/officeDocument/2006/relationships/hyperlink" Target="https://standards.buildingsmart.org/IFC/RELEASE/IFC4/ADD2_TC1/HTML/schema/ifcelectricaldomain/pset/pset_protectivedevicebreakerunittypemotorprotection.htm" TargetMode="External"/><Relationship Id="rId2523" Type="http://schemas.openxmlformats.org/officeDocument/2006/relationships/hyperlink" Target="https://standards.buildingsmart.org/IFC/RELEASE/IFC4/ADD2_TC1/HTML/schema/ifchvacdomain/pset/pset_compressortypecommon.htm" TargetMode="External"/><Relationship Id="rId2730" Type="http://schemas.openxmlformats.org/officeDocument/2006/relationships/hyperlink" Target="https://standards.buildingsmart.org/IFC/RELEASE/IFC4/ADD2_TC1/HTML/schema/ifchvacdomain/pset/pset_coolingtowertypecommon.htm" TargetMode="External"/><Relationship Id="rId702" Type="http://schemas.openxmlformats.org/officeDocument/2006/relationships/hyperlink" Target="https://standards.buildingsmart.org/IFC/RELEASE/IFC4/ADD2_TC1/HTML/schema/ifckernel/lexical/ifcgroup.htm" TargetMode="External"/><Relationship Id="rId1125" Type="http://schemas.openxmlformats.org/officeDocument/2006/relationships/hyperlink" Target="https://standards.buildingsmart.org/IFC/RELEASE/IFC4/ADD2_TC1/HTML/schema/ifcprofileresource/lexical/ifctshapeprofiledef.htm" TargetMode="External"/><Relationship Id="rId1332" Type="http://schemas.openxmlformats.org/officeDocument/2006/relationships/hyperlink" Target="https://standards.buildingsmart.org/IFC/RELEASE/IFC4/ADD2_TC1/HTML/schema/ifchvacdomain/pset/pset_ductsilencertypecommon.htm" TargetMode="External"/><Relationship Id="rId3297" Type="http://schemas.openxmlformats.org/officeDocument/2006/relationships/hyperlink" Target="https://standards.buildingsmart.org/IFC/RELEASE/IFC4/ADD2_TC1/HTML/schema/ifcbuildingcontrolsdomain/pset/pset_flowinstrumenttypepressuregauge.htm" TargetMode="External"/><Relationship Id="rId3157" Type="http://schemas.openxmlformats.org/officeDocument/2006/relationships/hyperlink" Target="https://standards.buildingsmart.org/IFC/RELEASE/IFC4/ADD2_TC1/HTML/schema/ifcsharedbldgelements/pset/pset_platecommon.htm" TargetMode="External"/><Relationship Id="rId285" Type="http://schemas.openxmlformats.org/officeDocument/2006/relationships/hyperlink" Target="https://standards.buildingsmart.org/IFC/RELEASE/IFC4/ADD2_TC1/HTML/schema/ifckernel/lexical/ifcsimplepropertytemplatetypeenum.htm" TargetMode="External"/><Relationship Id="rId3364" Type="http://schemas.openxmlformats.org/officeDocument/2006/relationships/hyperlink" Target="https://standards.buildingsmart.org/IFC/RELEASE/IFC4/ADD2_TC1/HTML/schema/ifcelectricaldomain/pset/pset_cablesegmenttypeconductorsegment.htm" TargetMode="External"/><Relationship Id="rId3571" Type="http://schemas.openxmlformats.org/officeDocument/2006/relationships/hyperlink" Target="https://standards.buildingsmart.org/IFC/RELEASE/IFC4/ADD2_TC1/HTML/schema/ifcelectricaldomain/pset/pset_audiovisualappliancetypecamera.htm" TargetMode="External"/><Relationship Id="rId492" Type="http://schemas.openxmlformats.org/officeDocument/2006/relationships/hyperlink" Target="https://standards.buildingsmart.org/IFC/RELEASE/IFC4/ADD2_TC1/HTML/schema/ifchvacdomain/lexical/ifccoil.htm" TargetMode="External"/><Relationship Id="rId2173" Type="http://schemas.openxmlformats.org/officeDocument/2006/relationships/hyperlink" Target="https://standards.buildingsmart.org/IFC/RELEASE/IFC4/ADD2_TC1/HTML/schema/ifcsharedbldgelements/pset/pset_columncommon.htm" TargetMode="External"/><Relationship Id="rId2380" Type="http://schemas.openxmlformats.org/officeDocument/2006/relationships/hyperlink" Target="https://standards.buildingsmart.org/IFC/RELEASE/IFC4/ADD2_TC1/HTML/schema/ifcelectricaldomain/pset/pset_protectivedevicetrippingunittypecommon.htm" TargetMode="External"/><Relationship Id="rId3017" Type="http://schemas.openxmlformats.org/officeDocument/2006/relationships/hyperlink" Target="https://standards.buildingsmart.org/IFC/RELEASE/IFC4/ADD2_TC1/HTML/schema/ifcsharedfacilitieselements/pset/pset_systemfurnitureelementtypepanel.htm" TargetMode="External"/><Relationship Id="rId3224" Type="http://schemas.openxmlformats.org/officeDocument/2006/relationships/hyperlink" Target="https://standards.buildingsmart.org/IFC/RELEASE/IFC4/ADD2_TC1/HTML/schema/ifcproductextension/pset/pset_buildingstoreycommon.htm" TargetMode="External"/><Relationship Id="rId3431" Type="http://schemas.openxmlformats.org/officeDocument/2006/relationships/hyperlink" Target="https://standards.buildingsmart.org/IFC/RELEASE/IFC4/ADD2_TC1/HTML/schema/ifcsharedmgmtelements/pset/pset_packinginstructions.htm" TargetMode="External"/><Relationship Id="rId145" Type="http://schemas.openxmlformats.org/officeDocument/2006/relationships/hyperlink" Target="https://standards.buildingsmart.org/IFC/RELEASE/IFC4/ADD2_TC1/HTML/schema/ifchvacdomain/lexical/ifcboilertypeenum.htm" TargetMode="External"/><Relationship Id="rId352" Type="http://schemas.openxmlformats.org/officeDocument/2006/relationships/hyperlink" Target="https://standards.buildingsmart.org/IFC/RELEASE/IFC4/ADD2_TC1/HTML/schema/ifcexternalreferenceresource/lexical/ifcdocumentselect.htm" TargetMode="External"/><Relationship Id="rId2033" Type="http://schemas.openxmlformats.org/officeDocument/2006/relationships/hyperlink" Target="https://standards.buildingsmart.org/IFC/RELEASE/IFC4/ADD2_TC1/HTML/schema/ifcsharedbldgelements/pset/pset_rampcommon.htm" TargetMode="External"/><Relationship Id="rId2240" Type="http://schemas.openxmlformats.org/officeDocument/2006/relationships/hyperlink" Target="https://standards.buildingsmart.org/IFC/RELEASE/IFC4/ADD2_TC1/HTML/schema/ifcsharedcomponentelements/pset/pset_fastenerweld.htm" TargetMode="External"/><Relationship Id="rId212" Type="http://schemas.openxmlformats.org/officeDocument/2006/relationships/hyperlink" Target="https://standards.buildingsmart.org/IFC/RELEASE/IFC4/ADD2_TC1/HTML/schema/ifchvacdomain/lexical/ifcfantypeenum.htm" TargetMode="External"/><Relationship Id="rId1799" Type="http://schemas.openxmlformats.org/officeDocument/2006/relationships/hyperlink" Target="https://standards.buildingsmart.org/IFC/RELEASE/IFC4/ADD2_TC1/HTML/schema/ifcsharedmgmtelements/pset/pset_permit.htm" TargetMode="External"/><Relationship Id="rId2100" Type="http://schemas.openxmlformats.org/officeDocument/2006/relationships/hyperlink" Target="https://standards.buildingsmart.org/IFC/RELEASE/IFC4/ADD2_TC1/HTML/schema/ifcproductextension/pset/pset_transportelementcommon.htm" TargetMode="External"/><Relationship Id="rId1659" Type="http://schemas.openxmlformats.org/officeDocument/2006/relationships/hyperlink" Target="https://standards.buildingsmart.org/IFC/RELEASE/IFC4/ADD2_TC1/HTML/schema/ifchvacdomain/pset/pset_spaceheaterphistory.htm" TargetMode="External"/><Relationship Id="rId1866" Type="http://schemas.openxmlformats.org/officeDocument/2006/relationships/hyperlink" Target="https://standards.buildingsmart.org/IFC/RELEASE/IFC4/ADD2_TC1/HTML/schema/ifcmaterialresource/pset/pset_materialoptical.htm" TargetMode="External"/><Relationship Id="rId2917" Type="http://schemas.openxmlformats.org/officeDocument/2006/relationships/hyperlink" Target="https://standards.buildingsmart.org/IFC/RELEASE/IFC4/ADD2_TC1/HTML/schema/ifcproductextension/pset/pset_environmentalimpactvalues.htm" TargetMode="External"/><Relationship Id="rId3081" Type="http://schemas.openxmlformats.org/officeDocument/2006/relationships/hyperlink" Target="https://standards.buildingsmart.org/IFC/RELEASE/IFC4/ADD2_TC1/HTML/schema/ifcproductextension/pset/pset_environmentalimpactindicators.htm" TargetMode="External"/><Relationship Id="rId1519" Type="http://schemas.openxmlformats.org/officeDocument/2006/relationships/hyperlink" Target="https://standards.buildingsmart.org/IFC/RELEASE/IFC4/ADD2_TC1/HTML/schema/ifcsharedbldgelements/pset/pset_stairflightcommon.htm" TargetMode="External"/><Relationship Id="rId1726" Type="http://schemas.openxmlformats.org/officeDocument/2006/relationships/hyperlink" Target="https://standards.buildingsmart.org/IFC/RELEASE/IFC4/ADD2_TC1/HTML/schema/ifcsharedbldgelements/pset/pset_rampcommon.htm" TargetMode="External"/><Relationship Id="rId1933" Type="http://schemas.openxmlformats.org/officeDocument/2006/relationships/hyperlink" Target="https://standards.buildingsmart.org/IFC/RELEASE/IFC4/ADD2_TC1/HTML/schema/ifchvacdomain/pset/pset_airterminaltypecommon.htm" TargetMode="External"/><Relationship Id="rId18" Type="http://schemas.openxmlformats.org/officeDocument/2006/relationships/hyperlink" Target="https://standards.buildingsmart.org/IFC/RELEASE/IFC4/ADD2_TC1/HTML/schema/ifcpresentationappearanceresource/lexical/ifctextfontname.htm" TargetMode="External"/><Relationship Id="rId3758" Type="http://schemas.openxmlformats.org/officeDocument/2006/relationships/hyperlink" Target="https://standards.buildingsmart.org/IFC/RELEASE/IFC4/ADD2_TC1/HTML/schema/ifcsharedbldgelements/pset/pset_coveringcommon.htm" TargetMode="External"/><Relationship Id="rId679" Type="http://schemas.openxmlformats.org/officeDocument/2006/relationships/hyperlink" Target="https://standards.buildingsmart.org/IFC/RELEASE/IFC4/ADD2_TC1/HTML/schema/ifcsharedbldgserviceelements/lexical/ifcflowsegmenttype.htm" TargetMode="External"/><Relationship Id="rId886" Type="http://schemas.openxmlformats.org/officeDocument/2006/relationships/hyperlink" Target="https://standards.buildingsmart.org/IFC/RELEASE/IFC4/ADD2_TC1/HTML/schema/ifcsharedbldgelements/lexical/ifcrailingtype.htm" TargetMode="External"/><Relationship Id="rId2567" Type="http://schemas.openxmlformats.org/officeDocument/2006/relationships/hyperlink" Target="https://standards.buildingsmart.org/IFC/RELEASE/IFC4/ADD2_TC1/HTML/schema/ifchvacdomain/pset/pset_airterminaltypecommon.htm" TargetMode="External"/><Relationship Id="rId2774" Type="http://schemas.openxmlformats.org/officeDocument/2006/relationships/hyperlink" Target="https://standards.buildingsmart.org/IFC/RELEASE/IFC4/ADD2_TC1/HTML/schema/ifcprofileresource/pset/pset_profilearbitraryhollowcore.htm" TargetMode="External"/><Relationship Id="rId3618" Type="http://schemas.openxmlformats.org/officeDocument/2006/relationships/hyperlink" Target="https://standards.buildingsmart.org/IFC/RELEASE/IFC4/ADD2_TC1/HTML/schema/ifcsharedbldgserviceelements/pset/pset_distributionchamberelementtypemeterchamber.htm" TargetMode="External"/><Relationship Id="rId2" Type="http://schemas.openxmlformats.org/officeDocument/2006/relationships/hyperlink" Target="https://standards.buildingsmart.org/IFC/RELEASE/IFC4/ADD2_TC1/HTML/schema/ifcmeasureresource/lexical/ifcwarpingconstantmeasure.htm" TargetMode="External"/><Relationship Id="rId539" Type="http://schemas.openxmlformats.org/officeDocument/2006/relationships/hyperlink" Target="https://standards.buildingsmart.org/IFC/RELEASE/IFC4/ADD2_TC1/HTML/schema/ifcrepresentationresource/lexical/ifccoordinatereferencesystem.htm" TargetMode="External"/><Relationship Id="rId746" Type="http://schemas.openxmlformats.org/officeDocument/2006/relationships/hyperlink" Target="https://standards.buildingsmart.org/IFC/RELEASE/IFC4/ADD2_TC1/HTML/schema/ifcrepresentationresource/lexical/ifcmapconversion.htm" TargetMode="External"/><Relationship Id="rId1169" Type="http://schemas.openxmlformats.org/officeDocument/2006/relationships/hyperlink" Target="https://standards.buildingsmart.org/IFC/RELEASE/IFC4/ADD2_TC1/HTML/schema/ifchvacdomain/qset/qto_airterminalbasequantities.htm" TargetMode="External"/><Relationship Id="rId1376" Type="http://schemas.openxmlformats.org/officeDocument/2006/relationships/hyperlink" Target="https://standards.buildingsmart.org/IFC/RELEASE/IFC4/ADD2_TC1/HTML/schema/ifchvacdomain/pset/pset_coolingtowertypecommon.htm" TargetMode="External"/><Relationship Id="rId1583" Type="http://schemas.openxmlformats.org/officeDocument/2006/relationships/hyperlink" Target="https://standards.buildingsmart.org/IFC/RELEASE/IFC4/ADD2_TC1/HTML/schema/ifchvacdomain/pset/pset_cooledbeamphistoryactive.htm" TargetMode="External"/><Relationship Id="rId2427" Type="http://schemas.openxmlformats.org/officeDocument/2006/relationships/hyperlink" Target="https://standards.buildingsmart.org/IFC/RELEASE/IFC4/ADD2_TC1/HTML/schema/ifcplumbingfireprotectiondomain/pset/pset_sanitaryterminaltypecommon.htm" TargetMode="External"/><Relationship Id="rId2981" Type="http://schemas.openxmlformats.org/officeDocument/2006/relationships/hyperlink" Target="https://standards.buildingsmart.org/IFC/RELEASE/IFC4/ADD2_TC1/HTML/schema/ifchvacdomain/pset/pset_boilertypesteam.htm" TargetMode="External"/><Relationship Id="rId953" Type="http://schemas.openxmlformats.org/officeDocument/2006/relationships/hyperlink" Target="https://standards.buildingsmart.org/IFC/RELEASE/IFC4/ADD2_TC1/HTML/schema/ifcproductextension/lexical/ifcrelspaceboundary1stlevel.htm" TargetMode="External"/><Relationship Id="rId1029" Type="http://schemas.openxmlformats.org/officeDocument/2006/relationships/hyperlink" Target="https://standards.buildingsmart.org/IFC/RELEASE/IFC4/ADD2_TC1/HTML/schema/ifcstructuralanalysisdomain/lexical/ifcstructuralitem.htm" TargetMode="External"/><Relationship Id="rId1236" Type="http://schemas.openxmlformats.org/officeDocument/2006/relationships/hyperlink" Target="https://standards.buildingsmart.org/IFC/RELEASE/IFC4/ADD2_TC1/HTML/schema/ifchvacdomain/qset/qto_pumpbasequantities.htm" TargetMode="External"/><Relationship Id="rId1790" Type="http://schemas.openxmlformats.org/officeDocument/2006/relationships/hyperlink" Target="https://standards.buildingsmart.org/IFC/RELEASE/IFC4/ADD2_TC1/HTML/schema/ifcsharedbldgelements/pset/pset_beamcommon.htm" TargetMode="External"/><Relationship Id="rId2634" Type="http://schemas.openxmlformats.org/officeDocument/2006/relationships/hyperlink" Target="https://standards.buildingsmart.org/IFC/RELEASE/IFC4/ADD2_TC1/HTML/schema/ifchvacdomain/pset/pset_compressortypecommon.htm" TargetMode="External"/><Relationship Id="rId2841" Type="http://schemas.openxmlformats.org/officeDocument/2006/relationships/hyperlink" Target="https://standards.buildingsmart.org/IFC/RELEASE/IFC4/ADD2_TC1/HTML/schema/ifcsharedbldgelements/pset/pset_coveringcommon.htm" TargetMode="External"/><Relationship Id="rId82" Type="http://schemas.openxmlformats.org/officeDocument/2006/relationships/hyperlink" Target="https://standards.buildingsmart.org/IFC/RELEASE/IFC4/ADD2_TC1/HTML/schema/ifcmeasureresource/lexical/ifclabel.htm" TargetMode="External"/><Relationship Id="rId606" Type="http://schemas.openxmlformats.org/officeDocument/2006/relationships/hyperlink" Target="https://standards.buildingsmart.org/IFC/RELEASE/IFC4/ADD2_TC1/HTML/schema/ifcelectricaldomain/lexical/ifcelectricflowstoragedevicetype.htm" TargetMode="External"/><Relationship Id="rId813" Type="http://schemas.openxmlformats.org/officeDocument/2006/relationships/hyperlink" Target="https://standards.buildingsmart.org/IFC/RELEASE/IFC4/ADD2_TC1/HTML/schema/ifchvacdomain/lexical/ifcpipesegmenttype.htm" TargetMode="External"/><Relationship Id="rId1443" Type="http://schemas.openxmlformats.org/officeDocument/2006/relationships/hyperlink" Target="https://standards.buildingsmart.org/IFC/RELEASE/IFC4/ADD2_TC1/HTML/schema/ifcelectricaldomain/pset/pset_audiovisualappliancetypedisplay.htm" TargetMode="External"/><Relationship Id="rId1650" Type="http://schemas.openxmlformats.org/officeDocument/2006/relationships/hyperlink" Target="https://standards.buildingsmart.org/IFC/RELEASE/IFC4/ADD2_TC1/HTML/schema/ifcelectricaldomain/pset/pset_protectivedevicetrippingunittypeelectromagnetic.htm" TargetMode="External"/><Relationship Id="rId2701" Type="http://schemas.openxmlformats.org/officeDocument/2006/relationships/hyperlink" Target="https://standards.buildingsmart.org/IFC/RELEASE/IFC4/ADD2_TC1/HTML/schema/ifcsharedbldgserviceelements/pset/pset_thermalloadaggregate.htm" TargetMode="External"/><Relationship Id="rId1303" Type="http://schemas.openxmlformats.org/officeDocument/2006/relationships/hyperlink" Target="https://standards.buildingsmart.org/IFC/RELEASE/IFC4/ADD2_TC1/HTML/schema/ifckernel/lexical/ifcuniquepropertysetnames.htm" TargetMode="External"/><Relationship Id="rId1510" Type="http://schemas.openxmlformats.org/officeDocument/2006/relationships/hyperlink" Target="https://standards.buildingsmart.org/IFC/RELEASE/IFC4/ADD2_TC1/HTML/schema/ifcstructuralelementsdomain/pset/pset_precastconcreteelementgeneral.htm" TargetMode="External"/><Relationship Id="rId3268" Type="http://schemas.openxmlformats.org/officeDocument/2006/relationships/hyperlink" Target="https://standards.buildingsmart.org/IFC/RELEASE/IFC4/ADD2_TC1/HTML/schema/ifchvacdomain/pset/pset_filtertypeairparticlefilter.htm" TargetMode="External"/><Relationship Id="rId3475" Type="http://schemas.openxmlformats.org/officeDocument/2006/relationships/hyperlink" Target="https://standards.buildingsmart.org/IFC/RELEASE/IFC4/ADD2_TC1/HTML/schema/ifchvacdomain/pset/pset_condenserphistory.htm" TargetMode="External"/><Relationship Id="rId3682" Type="http://schemas.openxmlformats.org/officeDocument/2006/relationships/hyperlink" Target="https://standards.buildingsmart.org/IFC/RELEASE/IFC4/ADD2_TC1/HTML/schema/ifcsharedcomponentelements/pset/pset_mechanicalfasteneranchorbolt.htm" TargetMode="External"/><Relationship Id="rId189" Type="http://schemas.openxmlformats.org/officeDocument/2006/relationships/hyperlink" Target="https://standards.buildingsmart.org/IFC/RELEASE/IFC4/ADD2_TC1/HTML/schema/ifcarchitecturedomain/lexical/ifcdoorpaneloperationenum.htm" TargetMode="External"/><Relationship Id="rId396" Type="http://schemas.openxmlformats.org/officeDocument/2006/relationships/hyperlink" Target="https://standards.buildingsmart.org/IFC/RELEASE/IFC4/ADD2_TC1/HTML/schema/ifckernel/lexical/ifcactor.htm" TargetMode="External"/><Relationship Id="rId2077" Type="http://schemas.openxmlformats.org/officeDocument/2006/relationships/hyperlink" Target="https://standards.buildingsmart.org/IFC/RELEASE/IFC4/ADD2_TC1/HTML/schema/ifchvacdomain/pset/pset_evaporatortypecommon.htm" TargetMode="External"/><Relationship Id="rId2284" Type="http://schemas.openxmlformats.org/officeDocument/2006/relationships/hyperlink" Target="https://standards.buildingsmart.org/IFC/RELEASE/IFC4/ADD2_TC1/HTML/schema/ifchvacdomain/pset/pset_pumpphistory.htm" TargetMode="External"/><Relationship Id="rId2491" Type="http://schemas.openxmlformats.org/officeDocument/2006/relationships/hyperlink" Target="https://standards.buildingsmart.org/IFC/RELEASE/IFC4/ADD2_TC1/HTML/schema/ifchvacdomain/pset/pset_filtertypecommon.htm" TargetMode="External"/><Relationship Id="rId3128" Type="http://schemas.openxmlformats.org/officeDocument/2006/relationships/hyperlink" Target="https://standards.buildingsmart.org/IFC/RELEASE/IFC4/ADD2_TC1/HTML/schema/ifchvacdomain/pset/pset_pipeconnectionflanged.htm" TargetMode="External"/><Relationship Id="rId3335" Type="http://schemas.openxmlformats.org/officeDocument/2006/relationships/hyperlink" Target="https://standards.buildingsmart.org/IFC/RELEASE/IFC4/ADD2_TC1/HTML/schema/ifcsharedbldgserviceelements/pset/pset_distributionchamberelementtypetrench.htm" TargetMode="External"/><Relationship Id="rId3542" Type="http://schemas.openxmlformats.org/officeDocument/2006/relationships/hyperlink" Target="https://standards.buildingsmart.org/IFC/RELEASE/IFC4/ADD2_TC1/HTML/schema/ifcsharedbldgserviceelements/pset/pset_distributionchamberelementtypemeterchamber.htm" TargetMode="External"/><Relationship Id="rId256" Type="http://schemas.openxmlformats.org/officeDocument/2006/relationships/hyperlink" Target="https://standards.buildingsmart.org/IFC/RELEASE/IFC4/ADD2_TC1/HTML/schema/ifchvacdomain/lexical/ifcpipefittingtypeenum.htm" TargetMode="External"/><Relationship Id="rId463" Type="http://schemas.openxmlformats.org/officeDocument/2006/relationships/hyperlink" Target="https://standards.buildingsmart.org/IFC/RELEASE/IFC4/ADD2_TC1/HTML/schema/ifcelectricaldomain/lexical/ifccablecarrierfittingtype.htm" TargetMode="External"/><Relationship Id="rId670" Type="http://schemas.openxmlformats.org/officeDocument/2006/relationships/hyperlink" Target="https://standards.buildingsmart.org/IFC/RELEASE/IFC4/ADD2_TC1/HTML/schema/ifcsharedbldgserviceelements/lexical/ifcflowfitting.htm" TargetMode="External"/><Relationship Id="rId1093" Type="http://schemas.openxmlformats.org/officeDocument/2006/relationships/hyperlink" Target="https://standards.buildingsmart.org/IFC/RELEASE/IFC4/ADD2_TC1/HTML/schema/ifcprocessextension/lexical/ifctasktype.htm" TargetMode="External"/><Relationship Id="rId2144" Type="http://schemas.openxmlformats.org/officeDocument/2006/relationships/hyperlink" Target="https://standards.buildingsmart.org/IFC/RELEASE/IFC4/ADD2_TC1/HTML/schema/ifcplumbingfireprotectiondomain/pset/pset_firesuppressionterminaltypecommon.htm" TargetMode="External"/><Relationship Id="rId2351" Type="http://schemas.openxmlformats.org/officeDocument/2006/relationships/hyperlink" Target="https://standards.buildingsmart.org/IFC/RELEASE/IFC4/ADD2_TC1/HTML/schema/ifcplumbingfireprotectiondomain/pset/pset_firesuppressionterminaltypebreechinginlet.htm" TargetMode="External"/><Relationship Id="rId3402" Type="http://schemas.openxmlformats.org/officeDocument/2006/relationships/hyperlink" Target="https://standards.buildingsmart.org/IFC/RELEASE/IFC4/ADD2_TC1/HTML/schema/ifcprofileresource/pset/pset_profilearbitraryhollowcore.htm" TargetMode="External"/><Relationship Id="rId116" Type="http://schemas.openxmlformats.org/officeDocument/2006/relationships/hyperlink" Target="https://standards.buildingsmart.org/IFC/RELEASE/IFC4/ADD2_TC1/HTML/schema/ifcmeasureresource/lexical/ifccountmeasure.htm" TargetMode="External"/><Relationship Id="rId323" Type="http://schemas.openxmlformats.org/officeDocument/2006/relationships/hyperlink" Target="https://standards.buildingsmart.org/IFC/RELEASE/IFC4/ADD2_TC1/HTML/schema/ifcstructuralelementsdomain/lexical/ifcvoidingfeaturetypeenum.htm" TargetMode="External"/><Relationship Id="rId530" Type="http://schemas.openxmlformats.org/officeDocument/2006/relationships/hyperlink" Target="https://standards.buildingsmart.org/IFC/RELEASE/IFC4/ADD2_TC1/HTML/schema/ifcbuildingcontrolsdomain/lexical/ifccontroller.htm" TargetMode="External"/><Relationship Id="rId1160" Type="http://schemas.openxmlformats.org/officeDocument/2006/relationships/hyperlink" Target="https://standards.buildingsmart.org/IFC/RELEASE/IFC4/ADD2_TC1/HTML/schema/ifcsharedbldgelements/lexical/ifcwindowtype.htm" TargetMode="External"/><Relationship Id="rId2004" Type="http://schemas.openxmlformats.org/officeDocument/2006/relationships/hyperlink" Target="https://standards.buildingsmart.org/IFC/RELEASE/IFC4/ADD2_TC1/HTML/schema/ifcconstructionmgmtdomain/pset/pset_constructionresource.htm" TargetMode="External"/><Relationship Id="rId2211" Type="http://schemas.openxmlformats.org/officeDocument/2006/relationships/hyperlink" Target="https://standards.buildingsmart.org/IFC/RELEASE/IFC4/ADD2_TC1/HTML/schema/ifcbuildingcontrolsdomain/pset/pset_controllertypeproportional.htm" TargetMode="External"/><Relationship Id="rId1020" Type="http://schemas.openxmlformats.org/officeDocument/2006/relationships/hyperlink" Target="https://standards.buildingsmart.org/IFC/RELEASE/IFC4/ADD2_TC1/HTML/schema/ifcstructuralanalysisdomain/lexical/ifcstructuralactivity.htm" TargetMode="External"/><Relationship Id="rId1977" Type="http://schemas.openxmlformats.org/officeDocument/2006/relationships/hyperlink" Target="https://standards.buildingsmart.org/IFC/RELEASE/IFC4/ADD2_TC1/HTML/schema/ifchvacdomain/pset/pset_airtoairheatrecoveryphistory.htm" TargetMode="External"/><Relationship Id="rId1837" Type="http://schemas.openxmlformats.org/officeDocument/2006/relationships/hyperlink" Target="https://standards.buildingsmart.org/IFC/RELEASE/IFC4/ADD2_TC1/HTML/schema/ifcstructuralelementsdomain/pset/pset_reinforcementbarpitchofbeam.htm" TargetMode="External"/><Relationship Id="rId3192" Type="http://schemas.openxmlformats.org/officeDocument/2006/relationships/hyperlink" Target="https://standards.buildingsmart.org/IFC/RELEASE/IFC4/ADD2_TC1/HTML/schema/ifcsharedbldgserviceelements/pset/pset_airsidesysteminformation.htm" TargetMode="External"/><Relationship Id="rId3052" Type="http://schemas.openxmlformats.org/officeDocument/2006/relationships/hyperlink" Target="https://standards.buildingsmart.org/IFC/RELEASE/IFC4/ADD2_TC1/HTML/schema/ifcplumbingfireprotectiondomain/pset/pset_wasteterminaltypegullytrap.htm" TargetMode="External"/><Relationship Id="rId180" Type="http://schemas.openxmlformats.org/officeDocument/2006/relationships/hyperlink" Target="https://standards.buildingsmart.org/IFC/RELEASE/IFC4/ADD2_TC1/HTML/schema/ifcdatetimeresource/lexical/ifcdataoriginenum.htm" TargetMode="External"/><Relationship Id="rId1904" Type="http://schemas.openxmlformats.org/officeDocument/2006/relationships/hyperlink" Target="https://standards.buildingsmart.org/IFC/RELEASE/IFC4/ADD2_TC1/HTML/schema/ifcstructuralelementsdomain/pset/pset_reinforcementbarpitchofslab.htm" TargetMode="External"/><Relationship Id="rId997" Type="http://schemas.openxmlformats.org/officeDocument/2006/relationships/hyperlink" Target="https://standards.buildingsmart.org/IFC/RELEASE/IFC4/ADD2_TC1/HTML/schema/ifcstructuralloadresource/lexical/ifcslippageconnectioncondition.htm" TargetMode="External"/><Relationship Id="rId2678" Type="http://schemas.openxmlformats.org/officeDocument/2006/relationships/hyperlink" Target="https://standards.buildingsmart.org/IFC/RELEASE/IFC4/ADD2_TC1/HTML/schema/ifcelectricaldomain/pset/pset_protectivedeviceoccurrence.htm" TargetMode="External"/><Relationship Id="rId2885" Type="http://schemas.openxmlformats.org/officeDocument/2006/relationships/hyperlink" Target="https://standards.buildingsmart.org/IFC/RELEASE/IFC4/ADD2_TC1/HTML/schema/ifcelectricaldomain/pset/pset_cablesegmentoccurrence.htm" TargetMode="External"/><Relationship Id="rId3729" Type="http://schemas.openxmlformats.org/officeDocument/2006/relationships/hyperlink" Target="https://standards.buildingsmart.org/IFC/RELEASE/IFC4/ADD2_TC1/HTML/schema/ifcelectricaldomain/pset/pset_protectivedevicetrippingunittimeadjustment.htm" TargetMode="External"/><Relationship Id="rId857" Type="http://schemas.openxmlformats.org/officeDocument/2006/relationships/hyperlink" Target="https://standards.buildingsmart.org/IFC/RELEASE/IFC4/ADD2_TC1/HTML/schema/ifcpropertyresource/lexical/ifcpropertyboundedvalue.htm" TargetMode="External"/><Relationship Id="rId1487" Type="http://schemas.openxmlformats.org/officeDocument/2006/relationships/hyperlink" Target="https://standards.buildingsmart.org/IFC/RELEASE/IFC4/ADD2_TC1/HTML/schema/ifcbuildingcontrolsdomain/pset/pset_alarmphistory.htm" TargetMode="External"/><Relationship Id="rId1694" Type="http://schemas.openxmlformats.org/officeDocument/2006/relationships/hyperlink" Target="https://standards.buildingsmart.org/IFC/RELEASE/IFC4/ADD2_TC1/HTML/schema/ifcsharedbldgserviceelements/pset/pset_utilityconsumptionphistory.htm" TargetMode="External"/><Relationship Id="rId2538" Type="http://schemas.openxmlformats.org/officeDocument/2006/relationships/hyperlink" Target="https://standards.buildingsmart.org/IFC/RELEASE/IFC4/ADD2_TC1/HTML/schema/ifcplumbingfireprotectiondomain/pset/pset_wasteterminaltypefloortrap.htm" TargetMode="External"/><Relationship Id="rId2745" Type="http://schemas.openxmlformats.org/officeDocument/2006/relationships/hyperlink" Target="https://standards.buildingsmart.org/IFC/RELEASE/IFC4/ADD2_TC1/HTML/schema/ifcsharedbldgserviceelements/pset/pset_distributionsystemtypeventilation.htm" TargetMode="External"/><Relationship Id="rId2952" Type="http://schemas.openxmlformats.org/officeDocument/2006/relationships/hyperlink" Target="https://standards.buildingsmart.org/IFC/RELEASE/IFC4/ADD2_TC1/HTML/schema/ifcelectricaldomain/pset/pset_protectivedevicetrippingunittypeelectromagnetic.htm" TargetMode="External"/><Relationship Id="rId717" Type="http://schemas.openxmlformats.org/officeDocument/2006/relationships/hyperlink" Target="https://standards.buildingsmart.org/IFC/RELEASE/IFC4/ADD2_TC1/HTML/schema/ifcgeometryresource/lexical/ifcintersectioncurve.htm" TargetMode="External"/><Relationship Id="rId924" Type="http://schemas.openxmlformats.org/officeDocument/2006/relationships/hyperlink" Target="https://standards.buildingsmart.org/IFC/RELEASE/IFC4/ADD2_TC1/HTML/schema/ifckernel/lexical/ifcrelationship.htm" TargetMode="External"/><Relationship Id="rId1347" Type="http://schemas.openxmlformats.org/officeDocument/2006/relationships/hyperlink" Target="https://standards.buildingsmart.org/IFC/RELEASE/IFC4/ADD2_TC1/HTML/schema/ifcsharedcomponentelements/pset/pset_discreteaccessorywireloop.htm" TargetMode="External"/><Relationship Id="rId1554" Type="http://schemas.openxmlformats.org/officeDocument/2006/relationships/hyperlink" Target="https://standards.buildingsmart.org/IFC/RELEASE/IFC4/ADD2_TC1/HTML/schema/ifchvacdomain/pset/pset_airtoairheatrecoveryphistory.htm" TargetMode="External"/><Relationship Id="rId1761" Type="http://schemas.openxmlformats.org/officeDocument/2006/relationships/hyperlink" Target="https://standards.buildingsmart.org/IFC/RELEASE/IFC4/ADD2_TC1/HTML/schema/ifcelectricaldomain/pset/pset_electricflowstoragedevicetypecommon.htm" TargetMode="External"/><Relationship Id="rId2605" Type="http://schemas.openxmlformats.org/officeDocument/2006/relationships/hyperlink" Target="https://standards.buildingsmart.org/IFC/RELEASE/IFC4/ADD2_TC1/HTML/schema/ifcstructuralelementsdomain/pset/pset_reinforcingmeshcommon.htm" TargetMode="External"/><Relationship Id="rId2812" Type="http://schemas.openxmlformats.org/officeDocument/2006/relationships/hyperlink" Target="https://standards.buildingsmart.org/IFC/RELEASE/IFC4/ADD2_TC1/HTML/schema/ifcelectricaldomain/pset/pset_transformertypecommon.htm" TargetMode="External"/><Relationship Id="rId53" Type="http://schemas.openxmlformats.org/officeDocument/2006/relationships/hyperlink" Target="https://standards.buildingsmart.org/IFC/RELEASE/IFC4/ADD2_TC1/HTML/schema/ifcmeasureresource/lexical/ifcnumericmeasure.htm" TargetMode="External"/><Relationship Id="rId1207" Type="http://schemas.openxmlformats.org/officeDocument/2006/relationships/hyperlink" Target="https://standards.buildingsmart.org/IFC/RELEASE/IFC4/ADD2_TC1/HTML/schema/ifcelectricaldomain/qset/qto_electricgeneratorbasequantities.htm" TargetMode="External"/><Relationship Id="rId1414" Type="http://schemas.openxmlformats.org/officeDocument/2006/relationships/hyperlink" Target="https://standards.buildingsmart.org/IFC/RELEASE/IFC4/ADD2_TC1/HTML/schema/ifcsharedbldgelements/pset/pset_staircommon.htm" TargetMode="External"/><Relationship Id="rId1621" Type="http://schemas.openxmlformats.org/officeDocument/2006/relationships/hyperlink" Target="https://standards.buildingsmart.org/IFC/RELEASE/IFC4/ADD2_TC1/HTML/schema/ifcelectricaldomain/pset/pset_electricmotortypecommon.htm" TargetMode="External"/><Relationship Id="rId3379" Type="http://schemas.openxmlformats.org/officeDocument/2006/relationships/hyperlink" Target="https://standards.buildingsmart.org/IFC/RELEASE/IFC4/ADD2_TC1/HTML/schema/ifcplumbingfireprotectiondomain/pset/pset_interceptortypecommon.htm" TargetMode="External"/><Relationship Id="rId3586" Type="http://schemas.openxmlformats.org/officeDocument/2006/relationships/hyperlink" Target="https://standards.buildingsmart.org/IFC/RELEASE/IFC4/ADD2_TC1/HTML/schema/ifcelectricaldomain/pset/pset_protectivedevicebreakeruniti2tcurve.htm" TargetMode="External"/><Relationship Id="rId2188" Type="http://schemas.openxmlformats.org/officeDocument/2006/relationships/hyperlink" Target="https://standards.buildingsmart.org/IFC/RELEASE/IFC4/ADD2_TC1/HTML/schema/ifcelectricaldomain/pset/pset_audiovisualappliancetypecommon.htm" TargetMode="External"/><Relationship Id="rId2395" Type="http://schemas.openxmlformats.org/officeDocument/2006/relationships/hyperlink" Target="https://standards.buildingsmart.org/IFC/RELEASE/IFC4/ADD2_TC1/HTML/schema/ifchvacdomain/pset/pset_tanktypesectional.htm" TargetMode="External"/><Relationship Id="rId3239" Type="http://schemas.openxmlformats.org/officeDocument/2006/relationships/hyperlink" Target="https://standards.buildingsmart.org/IFC/RELEASE/IFC4/ADD2_TC1/HTML/schema/ifcelectricaldomain/pset/pset_protectivedevicetrippingunittypeelectronic.htm" TargetMode="External"/><Relationship Id="rId3446" Type="http://schemas.openxmlformats.org/officeDocument/2006/relationships/hyperlink" Target="https://standards.buildingsmart.org/IFC/RELEASE/IFC4/ADD2_TC1/HTML/schema/ifchvacdomain/pset/pset_flowmetertypegasmeter.htm" TargetMode="External"/><Relationship Id="rId367" Type="http://schemas.openxmlformats.org/officeDocument/2006/relationships/hyperlink" Target="https://standards.buildingsmart.org/IFC/RELEASE/IFC4/ADD2_TC1/HTML/schema/ifcgeometricconstraintresource/lexical/ifcpointorvertexpoint.htm" TargetMode="External"/><Relationship Id="rId574" Type="http://schemas.openxmlformats.org/officeDocument/2006/relationships/hyperlink" Target="https://standards.buildingsmart.org/IFC/RELEASE/IFC4/ADD2_TC1/HTML/schema/ifcsharedbldgserviceelements/lexical/ifcdistributioncontrolelementtype.htm" TargetMode="External"/><Relationship Id="rId2048" Type="http://schemas.openxmlformats.org/officeDocument/2006/relationships/hyperlink" Target="https://standards.buildingsmart.org/IFC/RELEASE/IFC4/ADD2_TC1/HTML/schema/ifchvacdomain/pset/pset_valvetypepressurerelief.htm" TargetMode="External"/><Relationship Id="rId2255" Type="http://schemas.openxmlformats.org/officeDocument/2006/relationships/hyperlink" Target="https://standards.buildingsmart.org/IFC/RELEASE/IFC4/ADD2_TC1/HTML/schema/ifcplumbingfireprotectiondomain/pset/pset_firesuppressionterminaltypefirehydrant.htm" TargetMode="External"/><Relationship Id="rId3653" Type="http://schemas.openxmlformats.org/officeDocument/2006/relationships/hyperlink" Target="https://standards.buildingsmart.org/IFC/RELEASE/IFC4/ADD2_TC1/HTML/schema/ifcsharedfacilitieselements/pset/pset_risk.htm" TargetMode="External"/><Relationship Id="rId227" Type="http://schemas.openxmlformats.org/officeDocument/2006/relationships/hyperlink" Target="https://standards.buildingsmart.org/IFC/RELEASE/IFC4/ADD2_TC1/HTML/schema/ifcplumbingfireprotectiondomain/lexical/ifcinterceptortypeenum.htm" TargetMode="External"/><Relationship Id="rId781" Type="http://schemas.openxmlformats.org/officeDocument/2006/relationships/hyperlink" Target="https://standards.buildingsmart.org/IFC/RELEASE/IFC4/ADD2_TC1/HTML/schema/ifckernel/lexical/ifcobject.htm" TargetMode="External"/><Relationship Id="rId2462" Type="http://schemas.openxmlformats.org/officeDocument/2006/relationships/hyperlink" Target="https://standards.buildingsmart.org/IFC/RELEASE/IFC4/ADD2_TC1/HTML/schema/ifchvacdomain/pset/pset_chillertypecommon.htm" TargetMode="External"/><Relationship Id="rId3306" Type="http://schemas.openxmlformats.org/officeDocument/2006/relationships/hyperlink" Target="https://standards.buildingsmart.org/IFC/RELEASE/IFC4/ADD2_TC1/HTML/schema/ifcplumbingfireprotectiondomain/pset/pset_firesuppressionterminaltypefirehydrant.htm" TargetMode="External"/><Relationship Id="rId3513" Type="http://schemas.openxmlformats.org/officeDocument/2006/relationships/hyperlink" Target="https://standards.buildingsmart.org/IFC/RELEASE/IFC4/ADD2_TC1/HTML/schema/ifchvacdomain/pset/pset_coiltypehydronic.htm" TargetMode="External"/><Relationship Id="rId3720" Type="http://schemas.openxmlformats.org/officeDocument/2006/relationships/hyperlink" Target="https://standards.buildingsmart.org/IFC/RELEASE/IFC4/ADD2_TC1/HTML/schema/ifcsharedbldgserviceelements/pset/pset_spacethermalload.htm" TargetMode="External"/><Relationship Id="rId434" Type="http://schemas.openxmlformats.org/officeDocument/2006/relationships/hyperlink" Target="https://standards.buildingsmart.org/IFC/RELEASE/IFC4/ADD2_TC1/HTML/schema/ifchvacdomain/lexical/ifcboilertype.htm" TargetMode="External"/><Relationship Id="rId641" Type="http://schemas.openxmlformats.org/officeDocument/2006/relationships/hyperlink" Target="https://standards.buildingsmart.org/IFC/RELEASE/IFC4/ADD2_TC1/HTML/schema/ifcproductextension/lexical/ifcexternalspatialelement.htm" TargetMode="External"/><Relationship Id="rId1064" Type="http://schemas.openxmlformats.org/officeDocument/2006/relationships/hyperlink" Target="https://standards.buildingsmart.org/IFC/RELEASE/IFC4/ADD2_TC1/HTML/schema/ifcgeometricmodelresource/lexical/ifcsurfacecurvesweptareasolid.htm" TargetMode="External"/><Relationship Id="rId1271" Type="http://schemas.openxmlformats.org/officeDocument/2006/relationships/hyperlink" Target="https://standards.buildingsmart.org/IFC/RELEASE/IFC4/ADD2_TC1/HTML/schema/ifcgeometricconstraintresource/lexical/ifccorrectlocalplacement.htm" TargetMode="External"/><Relationship Id="rId2115" Type="http://schemas.openxmlformats.org/officeDocument/2006/relationships/hyperlink" Target="https://standards.buildingsmart.org/IFC/RELEASE/IFC4/ADD2_TC1/HTML/schema/ifcbuildingcontrolsdomain/pset/pset_sensortypecommon.htm" TargetMode="External"/><Relationship Id="rId2322" Type="http://schemas.openxmlformats.org/officeDocument/2006/relationships/hyperlink" Target="https://standards.buildingsmart.org/IFC/RELEASE/IFC4/ADD2_TC1/HTML/schema/ifchvacdomain/pset/pset_tanktypecommon.htm" TargetMode="External"/><Relationship Id="rId501" Type="http://schemas.openxmlformats.org/officeDocument/2006/relationships/hyperlink" Target="https://standards.buildingsmart.org/IFC/RELEASE/IFC4/ADD2_TC1/HTML/schema/ifcelectricaldomain/lexical/ifccommunicationsappliancetype.htm" TargetMode="External"/><Relationship Id="rId1131" Type="http://schemas.openxmlformats.org/officeDocument/2006/relationships/hyperlink" Target="https://standards.buildingsmart.org/IFC/RELEASE/IFC4/ADD2_TC1/HTML/schema/ifckernel/lexical/ifctyperesource.htm" TargetMode="External"/><Relationship Id="rId3096" Type="http://schemas.openxmlformats.org/officeDocument/2006/relationships/hyperlink" Target="https://standards.buildingsmart.org/IFC/RELEASE/IFC4/ADD2_TC1/HTML/schema/ifchvacdomain/pset/pset_spaceheaterphistory.htm" TargetMode="External"/><Relationship Id="rId1948" Type="http://schemas.openxmlformats.org/officeDocument/2006/relationships/hyperlink" Target="https://standards.buildingsmart.org/IFC/RELEASE/IFC4/ADD2_TC1/HTML/schema/ifcbuildingcontrolsdomain/pset/pset_sensortypemoisturesensor.htm" TargetMode="External"/><Relationship Id="rId3163" Type="http://schemas.openxmlformats.org/officeDocument/2006/relationships/hyperlink" Target="https://standards.buildingsmart.org/IFC/RELEASE/IFC4/ADD2_TC1/HTML/schema/ifcsharedbldgelements/pset/pset_chimneycommon.htm" TargetMode="External"/><Relationship Id="rId3370" Type="http://schemas.openxmlformats.org/officeDocument/2006/relationships/hyperlink" Target="https://standards.buildingsmart.org/IFC/RELEASE/IFC4/ADD2_TC1/HTML/schema/ifcplumbingfireprotectiondomain/pset/pset_wasteterminaltypefloorwaste.htm" TargetMode="External"/><Relationship Id="rId291" Type="http://schemas.openxmlformats.org/officeDocument/2006/relationships/hyperlink" Target="https://standards.buildingsmart.org/IFC/RELEASE/IFC4/ADD2_TC1/HTML/schema/ifcproductextension/lexical/ifcspacetypeenum.htm" TargetMode="External"/><Relationship Id="rId1808" Type="http://schemas.openxmlformats.org/officeDocument/2006/relationships/hyperlink" Target="https://standards.buildingsmart.org/IFC/RELEASE/IFC4/ADD2_TC1/HTML/schema/ifchvacdomain/pset/pset_tubebundletypecommon.htm" TargetMode="External"/><Relationship Id="rId3023" Type="http://schemas.openxmlformats.org/officeDocument/2006/relationships/hyperlink" Target="https://standards.buildingsmart.org/IFC/RELEASE/IFC4/ADD2_TC1/HTML/schema/ifchvacdomain/pset/pset_ductfittingoccurrence.htm" TargetMode="External"/><Relationship Id="rId151" Type="http://schemas.openxmlformats.org/officeDocument/2006/relationships/hyperlink" Target="https://standards.buildingsmart.org/IFC/RELEASE/IFC4/ADD2_TC1/HTML/schema/ifcsharedbldgelements/lexical/ifcbuildingsystemtypeenum.htm" TargetMode="External"/><Relationship Id="rId3230" Type="http://schemas.openxmlformats.org/officeDocument/2006/relationships/hyperlink" Target="https://standards.buildingsmart.org/IFC/RELEASE/IFC4/ADD2_TC1/HTML/schema/ifcsharedbldgserviceelements/pset/pset_airsidesysteminformation.htm" TargetMode="External"/><Relationship Id="rId2789" Type="http://schemas.openxmlformats.org/officeDocument/2006/relationships/hyperlink" Target="https://standards.buildingsmart.org/IFC/RELEASE/IFC4/ADD2_TC1/HTML/schema/ifcelectricaldomain/pset/pset_electricdistributionboardoccurrence.htm" TargetMode="External"/><Relationship Id="rId2996" Type="http://schemas.openxmlformats.org/officeDocument/2006/relationships/hyperlink" Target="https://standards.buildingsmart.org/IFC/RELEASE/IFC4/ADD2_TC1/HTML/schema/ifcsharedcomponentelements/pset/pset_mechanicalfastenerbolt.htm" TargetMode="External"/><Relationship Id="rId968" Type="http://schemas.openxmlformats.org/officeDocument/2006/relationships/hyperlink" Target="https://standards.buildingsmart.org/IFC/RELEASE/IFC4/ADD2_TC1/HTML/schema/ifcgeometricmodelresource/lexical/ifcrightcircularcone.htm" TargetMode="External"/><Relationship Id="rId1598" Type="http://schemas.openxmlformats.org/officeDocument/2006/relationships/hyperlink" Target="https://standards.buildingsmart.org/IFC/RELEASE/IFC4/ADD2_TC1/HTML/schema/ifcsharedbldgelements/pset/pset_shadingdevicecommon.htm" TargetMode="External"/><Relationship Id="rId2649" Type="http://schemas.openxmlformats.org/officeDocument/2006/relationships/hyperlink" Target="https://standards.buildingsmart.org/IFC/RELEASE/IFC4/ADD2_TC1/HTML/schema/ifcsharedbldgserviceelements/pset/pset_distributionportphistoryduct.htm" TargetMode="External"/><Relationship Id="rId2856" Type="http://schemas.openxmlformats.org/officeDocument/2006/relationships/hyperlink" Target="https://standards.buildingsmart.org/IFC/RELEASE/IFC4/ADD2_TC1/HTML/schema/ifcelectricaldomain/pset/pset_junctionboxtypecommon.htm" TargetMode="External"/><Relationship Id="rId97" Type="http://schemas.openxmlformats.org/officeDocument/2006/relationships/hyperlink" Target="https://standards.buildingsmart.org/IFC/RELEASE/IFC4/ADD2_TC1/HTML/schema/ifcpresentationappearanceresource/lexical/ifcfontvariant.htm" TargetMode="External"/><Relationship Id="rId828" Type="http://schemas.openxmlformats.org/officeDocument/2006/relationships/hyperlink" Target="https://standards.buildingsmart.org/IFC/RELEASE/IFC4/ADD2_TC1/HTML/schema/ifctopologyresource/lexical/ifcpolyloop.htm" TargetMode="External"/><Relationship Id="rId1458" Type="http://schemas.openxmlformats.org/officeDocument/2006/relationships/hyperlink" Target="https://standards.buildingsmart.org/IFC/RELEASE/IFC4/ADD2_TC1/HTML/schema/ifcstructuralelementsdomain/pset/pset_reinforcementbarpitchofwall.htm" TargetMode="External"/><Relationship Id="rId1665" Type="http://schemas.openxmlformats.org/officeDocument/2006/relationships/hyperlink" Target="https://standards.buildingsmart.org/IFC/RELEASE/IFC4/ADD2_TC1/HTML/schema/ifcsharedcomponentelements/pset/pset_fastenerweld.htm" TargetMode="External"/><Relationship Id="rId1872" Type="http://schemas.openxmlformats.org/officeDocument/2006/relationships/hyperlink" Target="https://standards.buildingsmart.org/IFC/RELEASE/IFC4/ADD2_TC1/HTML/schema/ifcbuildingcontrolsdomain/pset/pset_controllertypeprogrammable.htm" TargetMode="External"/><Relationship Id="rId2509" Type="http://schemas.openxmlformats.org/officeDocument/2006/relationships/hyperlink" Target="https://standards.buildingsmart.org/IFC/RELEASE/IFC4/ADD2_TC1/HTML/schema/ifchvacdomain/pset/pset_airterminalboxtypecommon.htm" TargetMode="External"/><Relationship Id="rId2716" Type="http://schemas.openxmlformats.org/officeDocument/2006/relationships/hyperlink" Target="https://standards.buildingsmart.org/IFC/RELEASE/IFC4/ADD2_TC1/HTML/schema/ifcsharedbldgelements/pset/pset_buildingelementproxycommon.htm" TargetMode="External"/><Relationship Id="rId1318" Type="http://schemas.openxmlformats.org/officeDocument/2006/relationships/hyperlink" Target="https://standards.buildingsmart.org/IFC/RELEASE/IFC4/ADD2_TC1/HTML/schema/ifcstructuralelementsdomain/pset/pset_reinforcementbarpitchofcolumn.htm" TargetMode="External"/><Relationship Id="rId1525" Type="http://schemas.openxmlformats.org/officeDocument/2006/relationships/hyperlink" Target="https://standards.buildingsmart.org/IFC/RELEASE/IFC4/ADD2_TC1/HTML/schema/ifcplumbingfireprotectiondomain/pset/pset_wasteterminaltypegullytrap.htm" TargetMode="External"/><Relationship Id="rId2923" Type="http://schemas.openxmlformats.org/officeDocument/2006/relationships/hyperlink" Target="https://standards.buildingsmart.org/IFC/RELEASE/IFC4/ADD2_TC1/HTML/schema/ifchvacdomain/pset/pset_compressortypecommon.htm" TargetMode="External"/><Relationship Id="rId1732" Type="http://schemas.openxmlformats.org/officeDocument/2006/relationships/hyperlink" Target="https://standards.buildingsmart.org/IFC/RELEASE/IFC4/ADD2_TC1/HTML/schema/ifchvacdomain/pset/pset_pipesegmenttypecommon.htm" TargetMode="External"/><Relationship Id="rId24" Type="http://schemas.openxmlformats.org/officeDocument/2006/relationships/hyperlink" Target="https://standards.buildingsmart.org/IFC/RELEASE/IFC4/ADD2_TC1/HTML/schema/ifcpresentationappearanceresource/lexical/ifcspecularroughness.htm" TargetMode="External"/><Relationship Id="rId2299" Type="http://schemas.openxmlformats.org/officeDocument/2006/relationships/hyperlink" Target="https://standards.buildingsmart.org/IFC/RELEASE/IFC4/ADD2_TC1/HTML/schema/ifcprofileresource/pset/pset_profilemechanical.htm" TargetMode="External"/><Relationship Id="rId3697" Type="http://schemas.openxmlformats.org/officeDocument/2006/relationships/hyperlink" Target="https://standards.buildingsmart.org/IFC/RELEASE/IFC4/ADD2_TC1/HTML/schema/ifchvacdomain/pset/pset_evaporativecoolertypecommon.htm" TargetMode="External"/><Relationship Id="rId3557" Type="http://schemas.openxmlformats.org/officeDocument/2006/relationships/hyperlink" Target="https://standards.buildingsmart.org/IFC/RELEASE/IFC4/ADD2_TC1/HTML/schema/ifcsharedbldgserviceelements/pset/pset_spacethermaldesign.htm" TargetMode="External"/><Relationship Id="rId3764" Type="http://schemas.openxmlformats.org/officeDocument/2006/relationships/hyperlink" Target="https://standards.buildingsmart.org/IFC/RELEASE/IFC4/ADD2_TC1/HTML/schema/ifcsharedbldgserviceelements/pset/pset_distributionchamberelementtypemanhole.htm" TargetMode="External"/><Relationship Id="rId478" Type="http://schemas.openxmlformats.org/officeDocument/2006/relationships/hyperlink" Target="https://standards.buildingsmart.org/IFC/RELEASE/IFC4/ADD2_TC1/HTML/schema/ifcgeometryresource/lexical/ifccartesiantransformationoperator3dnonuniform.htm" TargetMode="External"/><Relationship Id="rId685" Type="http://schemas.openxmlformats.org/officeDocument/2006/relationships/hyperlink" Target="https://standards.buildingsmart.org/IFC/RELEASE/IFC4/ADD2_TC1/HTML/schema/ifcsharedbldgserviceelements/lexical/ifcflowtreatmentdevicetype.htm" TargetMode="External"/><Relationship Id="rId892" Type="http://schemas.openxmlformats.org/officeDocument/2006/relationships/hyperlink" Target="https://standards.buildingsmart.org/IFC/RELEASE/IFC4/ADD2_TC1/HTML/schema/ifcgeometryresource/lexical/ifcrationalbsplinesurfacewithknots.htm" TargetMode="External"/><Relationship Id="rId2159" Type="http://schemas.openxmlformats.org/officeDocument/2006/relationships/hyperlink" Target="https://standards.buildingsmart.org/IFC/RELEASE/IFC4/ADD2_TC1/HTML/schema/ifchvacdomain/pset/pset_ductsegmenttypecommon.htm" TargetMode="External"/><Relationship Id="rId2366" Type="http://schemas.openxmlformats.org/officeDocument/2006/relationships/hyperlink" Target="https://standards.buildingsmart.org/IFC/RELEASE/IFC4/ADD2_TC1/HTML/schema/ifchvacdomain/pset/pset_coolingtowertypecommon.htm" TargetMode="External"/><Relationship Id="rId2573" Type="http://schemas.openxmlformats.org/officeDocument/2006/relationships/hyperlink" Target="https://standards.buildingsmart.org/IFC/RELEASE/IFC4/ADD2_TC1/HTML/schema/ifcplumbingfireprotectiondomain/pset/pset_sanitaryterminaltypesink.htm" TargetMode="External"/><Relationship Id="rId2780" Type="http://schemas.openxmlformats.org/officeDocument/2006/relationships/hyperlink" Target="https://standards.buildingsmart.org/IFC/RELEASE/IFC4/ADD2_TC1/HTML/schema/ifchvacdomain/pset/pset_pipefittingtypejunction.htm" TargetMode="External"/><Relationship Id="rId3417" Type="http://schemas.openxmlformats.org/officeDocument/2006/relationships/hyperlink" Target="https://standards.buildingsmart.org/IFC/RELEASE/IFC4/ADD2_TC1/HTML/schema/ifchvacdomain/pset/pset_dampertypesmokedamper.htm" TargetMode="External"/><Relationship Id="rId3624" Type="http://schemas.openxmlformats.org/officeDocument/2006/relationships/hyperlink" Target="https://standards.buildingsmart.org/IFC/RELEASE/IFC4/ADD2_TC1/HTML/schema/ifcstructuralelementsdomain/pset/pset_reinforcingbarcommon.htm" TargetMode="External"/><Relationship Id="rId338" Type="http://schemas.openxmlformats.org/officeDocument/2006/relationships/hyperlink" Target="https://standards.buildingsmart.org/IFC/RELEASE/IFC4/ADD2_TC1/HTML/schema/ifcstructuralelementsdomain/lexical/ifcbendingparameterselect.htm" TargetMode="External"/><Relationship Id="rId545" Type="http://schemas.openxmlformats.org/officeDocument/2006/relationships/hyperlink" Target="https://standards.buildingsmart.org/IFC/RELEASE/IFC4/ADD2_TC1/HTML/schema/ifcconstructionmgmtdomain/lexical/ifccrewresource.htm" TargetMode="External"/><Relationship Id="rId752" Type="http://schemas.openxmlformats.org/officeDocument/2006/relationships/hyperlink" Target="https://standards.buildingsmart.org/IFC/RELEASE/IFC4/ADD2_TC1/HTML/schema/ifcmaterialresource/lexical/ifcmaterialdefinition.htm" TargetMode="External"/><Relationship Id="rId1175" Type="http://schemas.openxmlformats.org/officeDocument/2006/relationships/hyperlink" Target="https://standards.buildingsmart.org/IFC/RELEASE/IFC4/ADD2_TC1/HTML/schema/ifchvacdomain/qset/qto_boilerbasequantities.htm" TargetMode="External"/><Relationship Id="rId1382" Type="http://schemas.openxmlformats.org/officeDocument/2006/relationships/hyperlink" Target="https://standards.buildingsmart.org/IFC/RELEASE/IFC4/ADD2_TC1/HTML/schema/ifchvacdomain/pset/pset_boilertypecommon.htm" TargetMode="External"/><Relationship Id="rId2019" Type="http://schemas.openxmlformats.org/officeDocument/2006/relationships/hyperlink" Target="https://standards.buildingsmart.org/IFC/RELEASE/IFC4/ADD2_TC1/HTML/schema/ifcsharedfacilitieselements/pset/pset_risk.htm" TargetMode="External"/><Relationship Id="rId2226" Type="http://schemas.openxmlformats.org/officeDocument/2006/relationships/hyperlink" Target="https://standards.buildingsmart.org/IFC/RELEASE/IFC4/ADD2_TC1/HTML/schema/ifcplumbingfireprotectiondomain/pset/pset_firesuppressionterminaltypefirehydrant.htm" TargetMode="External"/><Relationship Id="rId2433" Type="http://schemas.openxmlformats.org/officeDocument/2006/relationships/hyperlink" Target="https://standards.buildingsmart.org/IFC/RELEASE/IFC4/ADD2_TC1/HTML/schema/ifchvacdomain/pset/pset_filtertypeairparticlefilter.htm" TargetMode="External"/><Relationship Id="rId2640" Type="http://schemas.openxmlformats.org/officeDocument/2006/relationships/hyperlink" Target="https://standards.buildingsmart.org/IFC/RELEASE/IFC4/ADD2_TC1/HTML/schema/ifchvacdomain/pset/pset_flowmetertypeenergymeter.htm" TargetMode="External"/><Relationship Id="rId405" Type="http://schemas.openxmlformats.org/officeDocument/2006/relationships/hyperlink" Target="https://standards.buildingsmart.org/IFC/RELEASE/IFC4/ADD2_TC1/HTML/schema/ifchvacdomain/lexical/ifcairterminalbox.htm" TargetMode="External"/><Relationship Id="rId612" Type="http://schemas.openxmlformats.org/officeDocument/2006/relationships/hyperlink" Target="https://standards.buildingsmart.org/IFC/RELEASE/IFC4/ADD2_TC1/HTML/schema/ifcelectricaldomain/lexical/ifcelectrictimecontroltype.htm" TargetMode="External"/><Relationship Id="rId1035" Type="http://schemas.openxmlformats.org/officeDocument/2006/relationships/hyperlink" Target="https://standards.buildingsmart.org/IFC/RELEASE/IFC4/ADD2_TC1/HTML/schema/ifcstructuralloadresource/lexical/ifcstructuralloadlinearforce.htm" TargetMode="External"/><Relationship Id="rId1242" Type="http://schemas.openxmlformats.org/officeDocument/2006/relationships/hyperlink" Target="https://standards.buildingsmart.org/IFC/RELEASE/IFC4/ADD2_TC1/HTML/schema/ifcbuildingcontrolsdomain/qset/qto_sensorbasequantities.htm" TargetMode="External"/><Relationship Id="rId2500" Type="http://schemas.openxmlformats.org/officeDocument/2006/relationships/hyperlink" Target="https://standards.buildingsmart.org/IFC/RELEASE/IFC4/ADD2_TC1/HTML/schema/ifcstructuralelementsdomain/pset/pset_tendoncommon.htm" TargetMode="External"/><Relationship Id="rId1102" Type="http://schemas.openxmlformats.org/officeDocument/2006/relationships/hyperlink" Target="https://standards.buildingsmart.org/IFC/RELEASE/IFC4/ADD2_TC1/HTML/schema/ifcpresentationdefinitionresource/lexical/ifctextliteralwithextent.htm" TargetMode="External"/><Relationship Id="rId3067" Type="http://schemas.openxmlformats.org/officeDocument/2006/relationships/hyperlink" Target="https://standards.buildingsmart.org/IFC/RELEASE/IFC4/ADD2_TC1/HTML/schema/ifcsharedbldgelements/pset/pset_doorwindowglazingtype.htm" TargetMode="External"/><Relationship Id="rId3274" Type="http://schemas.openxmlformats.org/officeDocument/2006/relationships/hyperlink" Target="https://standards.buildingsmart.org/IFC/RELEASE/IFC4/ADD2_TC1/HTML/schema/ifchvacdomain/pset/pset_unitaryequipmenttypeairhandler.htm" TargetMode="External"/><Relationship Id="rId195" Type="http://schemas.openxmlformats.org/officeDocument/2006/relationships/hyperlink" Target="https://standards.buildingsmart.org/IFC/RELEASE/IFC4/ADD2_TC1/HTML/schema/ifchvacdomain/lexical/ifcductfittingtypeenum.htm" TargetMode="External"/><Relationship Id="rId1919" Type="http://schemas.openxmlformats.org/officeDocument/2006/relationships/hyperlink" Target="https://standards.buildingsmart.org/IFC/RELEASE/IFC4/ADD2_TC1/HTML/schema/ifcstructuralelementsdomain/pset/pset_tendoncommon.htm" TargetMode="External"/><Relationship Id="rId3481" Type="http://schemas.openxmlformats.org/officeDocument/2006/relationships/hyperlink" Target="https://standards.buildingsmart.org/IFC/RELEASE/IFC4/ADD2_TC1/HTML/schema/ifcsharedbldgelements/pset/pset_wallcommon.htm" TargetMode="External"/><Relationship Id="rId2083" Type="http://schemas.openxmlformats.org/officeDocument/2006/relationships/hyperlink" Target="https://standards.buildingsmart.org/IFC/RELEASE/IFC4/ADD2_TC1/HTML/schema/ifcstructuralelementsdomain/pset/pset_reinforcementbarpitchofslab.htm" TargetMode="External"/><Relationship Id="rId2290" Type="http://schemas.openxmlformats.org/officeDocument/2006/relationships/hyperlink" Target="https://standards.buildingsmart.org/IFC/RELEASE/IFC4/ADD2_TC1/HTML/schema/ifcbuildingcontrolsdomain/pset/pset_controllertypetwoposition.htm" TargetMode="External"/><Relationship Id="rId3134" Type="http://schemas.openxmlformats.org/officeDocument/2006/relationships/hyperlink" Target="https://standards.buildingsmart.org/IFC/RELEASE/IFC4/ADD2_TC1/HTML/schema/ifcprofileresource/pset/pset_profilearbitrarydoublet.htm" TargetMode="External"/><Relationship Id="rId3341" Type="http://schemas.openxmlformats.org/officeDocument/2006/relationships/hyperlink" Target="https://standards.buildingsmart.org/IFC/RELEASE/IFC4/ADD2_TC1/HTML/schema/ifcelectricaldomain/pset/pset_protectivedevicetrippingunittypeelectromagnetic.htm" TargetMode="External"/><Relationship Id="rId262" Type="http://schemas.openxmlformats.org/officeDocument/2006/relationships/hyperlink" Target="https://standards.buildingsmart.org/IFC/RELEASE/IFC4/ADD2_TC1/HTML/schema/ifcstructuralanalysisdomain/lexical/ifcprojectedortruelengthenum.htm" TargetMode="External"/><Relationship Id="rId2150" Type="http://schemas.openxmlformats.org/officeDocument/2006/relationships/hyperlink" Target="https://standards.buildingsmart.org/IFC/RELEASE/IFC4/ADD2_TC1/HTML/schema/ifchvacdomain/pset/pset_enginetypecommon.htm" TargetMode="External"/><Relationship Id="rId3201" Type="http://schemas.openxmlformats.org/officeDocument/2006/relationships/hyperlink" Target="https://standards.buildingsmart.org/IFC/RELEASE/IFC4/ADD2_TC1/HTML/schema/ifchvacdomain/pset/pset_evaporatortypecommon.htm" TargetMode="External"/><Relationship Id="rId122" Type="http://schemas.openxmlformats.org/officeDocument/2006/relationships/hyperlink" Target="https://standards.buildingsmart.org/IFC/RELEASE/IFC4/ADD2_TC1/HTML/schema/ifcmeasureresource/lexical/ifcareameasure.htm" TargetMode="External"/><Relationship Id="rId2010" Type="http://schemas.openxmlformats.org/officeDocument/2006/relationships/hyperlink" Target="https://standards.buildingsmart.org/IFC/RELEASE/IFC4/ADD2_TC1/HTML/schema/ifcsharedcomponentelements/pset/pset_fastenerweld.htm" TargetMode="External"/><Relationship Id="rId1569" Type="http://schemas.openxmlformats.org/officeDocument/2006/relationships/hyperlink" Target="https://standards.buildingsmart.org/IFC/RELEASE/IFC4/ADD2_TC1/HTML/schema/ifcelectricaldomain/pset/pset_protectivedevicetrippingfunctiongcurve.htm" TargetMode="External"/><Relationship Id="rId2967" Type="http://schemas.openxmlformats.org/officeDocument/2006/relationships/hyperlink" Target="https://standards.buildingsmart.org/IFC/RELEASE/IFC4/ADD2_TC1/HTML/schema/ifcsharedfacilitieselements/pset/pset_furnituretypechair.htm" TargetMode="External"/><Relationship Id="rId939" Type="http://schemas.openxmlformats.org/officeDocument/2006/relationships/hyperlink" Target="https://standards.buildingsmart.org/IFC/RELEASE/IFC4/ADD2_TC1/HTML/schema/ifckernel/lexical/ifcreldefines.htm" TargetMode="External"/><Relationship Id="rId1776" Type="http://schemas.openxmlformats.org/officeDocument/2006/relationships/hyperlink" Target="https://standards.buildingsmart.org/IFC/RELEASE/IFC4/ADD2_TC1/HTML/schema/ifchvacdomain/pset/pset_compressortypecommon.htm" TargetMode="External"/><Relationship Id="rId1983" Type="http://schemas.openxmlformats.org/officeDocument/2006/relationships/hyperlink" Target="https://standards.buildingsmart.org/IFC/RELEASE/IFC4/ADD2_TC1/HTML/schema/ifcelectricaldomain/pset/pset_cablesegmenttypecablesegment.htm" TargetMode="External"/><Relationship Id="rId2827" Type="http://schemas.openxmlformats.org/officeDocument/2006/relationships/hyperlink" Target="https://standards.buildingsmart.org/IFC/RELEASE/IFC4/ADD2_TC1/HTML/schema/ifcsharedbldgelements/pset/pset_wallcommon.htm" TargetMode="External"/><Relationship Id="rId68" Type="http://schemas.openxmlformats.org/officeDocument/2006/relationships/hyperlink" Target="https://standards.buildingsmart.org/IFC/RELEASE/IFC4/ADD2_TC1/HTML/schema/ifcmeasureresource/lexical/ifcmassdensitymeasure.htm" TargetMode="External"/><Relationship Id="rId1429" Type="http://schemas.openxmlformats.org/officeDocument/2006/relationships/hyperlink" Target="https://standards.buildingsmart.org/IFC/RELEASE/IFC4/ADD2_TC1/HTML/schema/ifcsharedbldgserviceelements/pset/pset_distributionportphistorycable.htm" TargetMode="External"/><Relationship Id="rId1636" Type="http://schemas.openxmlformats.org/officeDocument/2006/relationships/hyperlink" Target="https://standards.buildingsmart.org/IFC/RELEASE/IFC4/ADD2_TC1/HTML/schema/ifchvacdomain/pset/pset_dampertypecommon.htm" TargetMode="External"/><Relationship Id="rId1843" Type="http://schemas.openxmlformats.org/officeDocument/2006/relationships/hyperlink" Target="https://standards.buildingsmart.org/IFC/RELEASE/IFC4/ADD2_TC1/HTML/schema/ifcproductextension/pset/pset_spacethermalrequirements.htm" TargetMode="External"/><Relationship Id="rId1703" Type="http://schemas.openxmlformats.org/officeDocument/2006/relationships/hyperlink" Target="https://standards.buildingsmart.org/IFC/RELEASE/IFC4/ADD2_TC1/HTML/schema/ifchvacdomain/pset/pset_valvetypecommon.htm" TargetMode="External"/><Relationship Id="rId1910" Type="http://schemas.openxmlformats.org/officeDocument/2006/relationships/hyperlink" Target="https://standards.buildingsmart.org/IFC/RELEASE/IFC4/ADD2_TC1/HTML/schema/ifcelectricaldomain/pset/pset_electricflowstoragedevicetypecommon.htm" TargetMode="External"/><Relationship Id="rId3668" Type="http://schemas.openxmlformats.org/officeDocument/2006/relationships/hyperlink" Target="https://standards.buildingsmart.org/IFC/RELEASE/IFC4/ADD2_TC1/HTML/schema/ifcbuildingcontrolsdomain/pset/pset_unitarycontrolelementtypeindicatorpanel.htm" TargetMode="External"/><Relationship Id="rId589" Type="http://schemas.openxmlformats.org/officeDocument/2006/relationships/hyperlink" Target="https://standards.buildingsmart.org/IFC/RELEASE/IFC4/ADD2_TC1/HTML/schema/ifcsharedbldgelements/lexical/ifcdoortype.htm" TargetMode="External"/><Relationship Id="rId796" Type="http://schemas.openxmlformats.org/officeDocument/2006/relationships/hyperlink" Target="https://standards.buildingsmart.org/IFC/RELEASE/IFC4/ADD2_TC1/HTML/schema/ifcelectricaldomain/lexical/ifcoutlettype.htm" TargetMode="External"/><Relationship Id="rId2477" Type="http://schemas.openxmlformats.org/officeDocument/2006/relationships/hyperlink" Target="https://standards.buildingsmart.org/IFC/RELEASE/IFC4/ADD2_TC1/HTML/schema/ifchvacdomain/pset/pset_ductsegmenttypecommon.htm" TargetMode="External"/><Relationship Id="rId2684" Type="http://schemas.openxmlformats.org/officeDocument/2006/relationships/hyperlink" Target="https://standards.buildingsmart.org/IFC/RELEASE/IFC4/ADD2_TC1/HTML/schema/ifcstructuralelementsdomain/pset/pset_reinforcingmeshcommon.htm" TargetMode="External"/><Relationship Id="rId3528" Type="http://schemas.openxmlformats.org/officeDocument/2006/relationships/hyperlink" Target="https://standards.buildingsmart.org/IFC/RELEASE/IFC4/ADD2_TC1/HTML/schema/ifcsharedbldgserviceelements/pset/pset_distributionchamberelementtypeformedduct.htm" TargetMode="External"/><Relationship Id="rId3735" Type="http://schemas.openxmlformats.org/officeDocument/2006/relationships/hyperlink" Target="https://standards.buildingsmart.org/IFC/RELEASE/IFC4/ADD2_TC1/HTML/schema/ifcelectricaldomain/pset/pset_protectivedevicetrippingunittimeadjustment.htm" TargetMode="External"/><Relationship Id="rId449" Type="http://schemas.openxmlformats.org/officeDocument/2006/relationships/hyperlink" Target="https://standards.buildingsmart.org/IFC/RELEASE/IFC4/ADD2_TC1/HTML/schema/ifcgeometryresource/lexical/ifcbsplinesurface.htm" TargetMode="External"/><Relationship Id="rId656" Type="http://schemas.openxmlformats.org/officeDocument/2006/relationships/hyperlink" Target="https://standards.buildingsmart.org/IFC/RELEASE/IFC4/ADD2_TC1/HTML/schema/ifcsharedcomponentelements/lexical/ifcfastenertype.htm" TargetMode="External"/><Relationship Id="rId863" Type="http://schemas.openxmlformats.org/officeDocument/2006/relationships/hyperlink" Target="https://standards.buildingsmart.org/IFC/RELEASE/IFC4/ADD2_TC1/HTML/schema/ifcpropertyresource/lexical/ifcpropertyreferencevalue.htm" TargetMode="External"/><Relationship Id="rId1079" Type="http://schemas.openxmlformats.org/officeDocument/2006/relationships/hyperlink" Target="https://standards.buildingsmart.org/IFC/RELEASE/IFC4/ADD2_TC1/HTML/schema/ifcgeometryresource/lexical/ifcsweptsurface.htm" TargetMode="External"/><Relationship Id="rId1286" Type="http://schemas.openxmlformats.org/officeDocument/2006/relationships/hyperlink" Target="https://standards.buildingsmart.org/IFC/RELEASE/IFC4/ADD2_TC1/HTML/schema/ifcgeometryresource/lexical/ifcnormalise.htm" TargetMode="External"/><Relationship Id="rId1493" Type="http://schemas.openxmlformats.org/officeDocument/2006/relationships/hyperlink" Target="https://standards.buildingsmart.org/IFC/RELEASE/IFC4/ADD2_TC1/HTML/schema/ifcelectricaldomain/pset/pset_protectivedevicetrippingfunctionlcurve.htm" TargetMode="External"/><Relationship Id="rId2337" Type="http://schemas.openxmlformats.org/officeDocument/2006/relationships/hyperlink" Target="https://standards.buildingsmart.org/IFC/RELEASE/IFC4/ADD2_TC1/HTML/schema/ifchvacdomain/pset/pset_fanphistory.htm" TargetMode="External"/><Relationship Id="rId2544" Type="http://schemas.openxmlformats.org/officeDocument/2006/relationships/hyperlink" Target="https://standards.buildingsmart.org/IFC/RELEASE/IFC4/ADD2_TC1/HTML/schema/ifchvacdomain/pset/pset_pumptypecommon.htm" TargetMode="External"/><Relationship Id="rId2891" Type="http://schemas.openxmlformats.org/officeDocument/2006/relationships/hyperlink" Target="https://standards.buildingsmart.org/IFC/RELEASE/IFC4/ADD2_TC1/HTML/schema/ifcbuildingcontrolsdomain/pset/pset_actuatortypehydraulicactuator.htm" TargetMode="External"/><Relationship Id="rId309" Type="http://schemas.openxmlformats.org/officeDocument/2006/relationships/hyperlink" Target="https://standards.buildingsmart.org/IFC/RELEASE/IFC4/ADD2_TC1/HTML/schema/ifcstructuralelementsdomain/lexical/ifctendonanchortypeenum.htm" TargetMode="External"/><Relationship Id="rId516" Type="http://schemas.openxmlformats.org/officeDocument/2006/relationships/hyperlink" Target="https://standards.buildingsmart.org/IFC/RELEASE/IFC4/ADD2_TC1/HTML/schema/ifcgeometricconstraintresource/lexical/ifcconnectionsurfacegeometry.htm" TargetMode="External"/><Relationship Id="rId1146" Type="http://schemas.openxmlformats.org/officeDocument/2006/relationships/hyperlink" Target="https://standards.buildingsmart.org/IFC/RELEASE/IFC4/ADD2_TC1/HTML/schema/ifcproductextension/lexical/ifcvirtualelement.htm" TargetMode="External"/><Relationship Id="rId2751" Type="http://schemas.openxmlformats.org/officeDocument/2006/relationships/hyperlink" Target="https://standards.buildingsmart.org/IFC/RELEASE/IFC4/ADD2_TC1/HTML/schema/ifchvacdomain/pset/pset_evaporativecoolerphistory.htm" TargetMode="External"/><Relationship Id="rId723" Type="http://schemas.openxmlformats.org/officeDocument/2006/relationships/hyperlink" Target="https://standards.buildingsmart.org/IFC/RELEASE/IFC4/ADD2_TC1/HTML/schema/ifcelectricaldomain/lexical/ifcjunctionboxtype.htm" TargetMode="External"/><Relationship Id="rId930" Type="http://schemas.openxmlformats.org/officeDocument/2006/relationships/hyperlink" Target="https://standards.buildingsmart.org/IFC/RELEASE/IFC4/ADD2_TC1/HTML/schema/ifcstructuralanalysisdomain/lexical/ifcrelconnectsstructuralactivity.htm" TargetMode="External"/><Relationship Id="rId1006" Type="http://schemas.openxmlformats.org/officeDocument/2006/relationships/hyperlink" Target="https://standards.buildingsmart.org/IFC/RELEASE/IFC4/ADD2_TC1/HTML/schema/ifcproductextension/lexical/ifcspatialelementtype.htm" TargetMode="External"/><Relationship Id="rId1353" Type="http://schemas.openxmlformats.org/officeDocument/2006/relationships/hyperlink" Target="https://standards.buildingsmart.org/IFC/RELEASE/IFC4/ADD2_TC1/HTML/schema/ifcsharedbldgserviceelements/pset/pset_distributionchamberelementtypetrench.htm" TargetMode="External"/><Relationship Id="rId1560" Type="http://schemas.openxmlformats.org/officeDocument/2006/relationships/hyperlink" Target="https://standards.buildingsmart.org/IFC/RELEASE/IFC4/ADD2_TC1/HTML/schema/ifcprofileresource/pset/pset_profilemechanical.htm" TargetMode="External"/><Relationship Id="rId2404" Type="http://schemas.openxmlformats.org/officeDocument/2006/relationships/hyperlink" Target="https://standards.buildingsmart.org/IFC/RELEASE/IFC4/ADD2_TC1/HTML/schema/ifchvacdomain/pset/pset_spaceheatertypecommon.htm" TargetMode="External"/><Relationship Id="rId2611" Type="http://schemas.openxmlformats.org/officeDocument/2006/relationships/hyperlink" Target="https://standards.buildingsmart.org/IFC/RELEASE/IFC4/ADD2_TC1/HTML/schema/ifcproductextension/pset/pset_spacethermalrequirements.htm" TargetMode="External"/><Relationship Id="rId1213" Type="http://schemas.openxmlformats.org/officeDocument/2006/relationships/hyperlink" Target="https://standards.buildingsmart.org/IFC/RELEASE/IFC4/ADD2_TC1/HTML/schema/ifchvacdomain/qset/qto_filterbasequantities.htm" TargetMode="External"/><Relationship Id="rId1420" Type="http://schemas.openxmlformats.org/officeDocument/2006/relationships/hyperlink" Target="https://standards.buildingsmart.org/IFC/RELEASE/IFC4/ADD2_TC1/HTML/schema/ifchvacdomain/pset/pset_compressorphistory.htm" TargetMode="External"/><Relationship Id="rId3178" Type="http://schemas.openxmlformats.org/officeDocument/2006/relationships/hyperlink" Target="https://standards.buildingsmart.org/IFC/RELEASE/IFC4/ADD2_TC1/HTML/schema/ifchvacdomain/pset/pset_cooledbeamtypecommon.htm" TargetMode="External"/><Relationship Id="rId3385" Type="http://schemas.openxmlformats.org/officeDocument/2006/relationships/hyperlink" Target="https://standards.buildingsmart.org/IFC/RELEASE/IFC4/ADD2_TC1/HTML/schema/ifcsharedbldgelements/pset/pset_rampflightcommon.htm" TargetMode="External"/><Relationship Id="rId3592" Type="http://schemas.openxmlformats.org/officeDocument/2006/relationships/hyperlink" Target="https://standards.buildingsmart.org/IFC/RELEASE/IFC4/ADD2_TC1/HTML/schema/ifcmaterialresource/pset/pset_materialthermal.htm" TargetMode="External"/><Relationship Id="rId2194" Type="http://schemas.openxmlformats.org/officeDocument/2006/relationships/hyperlink" Target="https://standards.buildingsmart.org/IFC/RELEASE/IFC4/ADD2_TC1/HTML/schema/ifcsharedbldgserviceelements/pset/pset_spacethermalloadphistory.htm" TargetMode="External"/><Relationship Id="rId3038" Type="http://schemas.openxmlformats.org/officeDocument/2006/relationships/hyperlink" Target="https://standards.buildingsmart.org/IFC/RELEASE/IFC4/ADD2_TC1/HTML/schema/ifchvacdomain/pset/pset_tubebundletypefinned.htm" TargetMode="External"/><Relationship Id="rId3245" Type="http://schemas.openxmlformats.org/officeDocument/2006/relationships/hyperlink" Target="https://standards.buildingsmart.org/IFC/RELEASE/IFC4/ADD2_TC1/HTML/schema/ifcsharedbldgserviceelements/pset/pset_distributionsystemtypeelectrical.htm" TargetMode="External"/><Relationship Id="rId3452" Type="http://schemas.openxmlformats.org/officeDocument/2006/relationships/hyperlink" Target="https://standards.buildingsmart.org/IFC/RELEASE/IFC4/ADD2_TC1/HTML/schema/ifcelectricaldomain/pset/pset_electricaldevicecommon.htm" TargetMode="External"/><Relationship Id="rId166" Type="http://schemas.openxmlformats.org/officeDocument/2006/relationships/hyperlink" Target="https://standards.buildingsmart.org/IFC/RELEASE/IFC4/ADD2_TC1/HTML/schema/ifcconstraintresource/lexical/ifcconstraintenum.htm" TargetMode="External"/><Relationship Id="rId373" Type="http://schemas.openxmlformats.org/officeDocument/2006/relationships/hyperlink" Target="https://standards.buildingsmart.org/IFC/RELEASE/IFC4/ADD2_TC1/HTML/schema/ifcexternalreferenceresource/lexical/ifcresourceobjectselect.htm" TargetMode="External"/><Relationship Id="rId580" Type="http://schemas.openxmlformats.org/officeDocument/2006/relationships/hyperlink" Target="https://standards.buildingsmart.org/IFC/RELEASE/IFC4/ADD2_TC1/HTML/schema/ifcsharedbldgserviceelements/lexical/ifcdistributionsystem.htm" TargetMode="External"/><Relationship Id="rId2054" Type="http://schemas.openxmlformats.org/officeDocument/2006/relationships/hyperlink" Target="https://standards.buildingsmart.org/IFC/RELEASE/IFC4/ADD2_TC1/HTML/schema/ifcelectricaldomain/pset/pset_protectivedevicetrippingfunctionicurve.htm" TargetMode="External"/><Relationship Id="rId2261" Type="http://schemas.openxmlformats.org/officeDocument/2006/relationships/hyperlink" Target="https://standards.buildingsmart.org/IFC/RELEASE/IFC4/ADD2_TC1/HTML/schema/ifchvacdomain/pset/pset_damperphistory.htm" TargetMode="External"/><Relationship Id="rId3105" Type="http://schemas.openxmlformats.org/officeDocument/2006/relationships/hyperlink" Target="https://standards.buildingsmart.org/IFC/RELEASE/IFC4/ADD2_TC1/HTML/schema/ifchvacdomain/pset/pset_valvetypeflushing.htm" TargetMode="External"/><Relationship Id="rId3312" Type="http://schemas.openxmlformats.org/officeDocument/2006/relationships/hyperlink" Target="https://standards.buildingsmart.org/IFC/RELEASE/IFC4/ADD2_TC1/HTML/schema/ifcmaterialresource/pset/pset_materialwood.htm" TargetMode="External"/><Relationship Id="rId233" Type="http://schemas.openxmlformats.org/officeDocument/2006/relationships/hyperlink" Target="https://standards.buildingsmart.org/IFC/RELEASE/IFC4/ADD2_TC1/HTML/schema/ifcelectricaldomain/lexical/ifclamptypeenum.htm" TargetMode="External"/><Relationship Id="rId440" Type="http://schemas.openxmlformats.org/officeDocument/2006/relationships/hyperlink" Target="https://standards.buildingsmart.org/IFC/RELEASE/IFC4/ADD2_TC1/HTML/schema/ifcstructuralloadresource/lexical/ifcboundaryfacecondition.htm" TargetMode="External"/><Relationship Id="rId1070" Type="http://schemas.openxmlformats.org/officeDocument/2006/relationships/hyperlink" Target="https://standards.buildingsmart.org/IFC/RELEASE/IFC4/ADD2_TC1/HTML/schema/ifcpresentationappearanceresource/lexical/ifcsurfacestylelighting.htm" TargetMode="External"/><Relationship Id="rId2121" Type="http://schemas.openxmlformats.org/officeDocument/2006/relationships/hyperlink" Target="https://standards.buildingsmart.org/IFC/RELEASE/IFC4/ADD2_TC1/HTML/schema/ifcsharedbldgelements/pset/pset_rampcommon.htm" TargetMode="External"/><Relationship Id="rId300" Type="http://schemas.openxmlformats.org/officeDocument/2006/relationships/hyperlink" Target="https://standards.buildingsmart.org/IFC/RELEASE/IFC4/ADD2_TC1/HTML/schema/ifcstructuralanalysisdomain/lexical/ifcstructuralsurfacemembertypeenum.htm" TargetMode="External"/><Relationship Id="rId1887" Type="http://schemas.openxmlformats.org/officeDocument/2006/relationships/hyperlink" Target="https://standards.buildingsmart.org/IFC/RELEASE/IFC4/ADD2_TC1/HTML/schema/ifchvacdomain/pset/pset_damperoccurrence.htm" TargetMode="External"/><Relationship Id="rId2938" Type="http://schemas.openxmlformats.org/officeDocument/2006/relationships/hyperlink" Target="https://standards.buildingsmart.org/IFC/RELEASE/IFC4/ADD2_TC1/HTML/schema/ifcelectricaldomain/pset/pset_protectivedevicetypecircuitbreaker.htm" TargetMode="External"/><Relationship Id="rId1747" Type="http://schemas.openxmlformats.org/officeDocument/2006/relationships/hyperlink" Target="https://standards.buildingsmart.org/IFC/RELEASE/IFC4/ADD2_TC1/HTML/schema/ifcstructuralelementsdomain/pset/pset_footingcommon.htm" TargetMode="External"/><Relationship Id="rId1954" Type="http://schemas.openxmlformats.org/officeDocument/2006/relationships/hyperlink" Target="https://standards.buildingsmart.org/IFC/RELEASE/IFC4/ADD2_TC1/HTML/schema/ifcbuildingcontrolsdomain/pset/pset_sensortypeflowsensor.htm" TargetMode="External"/><Relationship Id="rId39" Type="http://schemas.openxmlformats.org/officeDocument/2006/relationships/hyperlink" Target="https://standards.buildingsmart.org/IFC/RELEASE/IFC4/ADD2_TC1/HTML/schema/ifcmeasureresource/lexical/ifcratiomeasure.htm" TargetMode="External"/><Relationship Id="rId1607" Type="http://schemas.openxmlformats.org/officeDocument/2006/relationships/hyperlink" Target="https://standards.buildingsmart.org/IFC/RELEASE/IFC4/ADD2_TC1/HTML/schema/ifcsharedbldgelements/pset/pset_buildingelementproxycommon.htm" TargetMode="External"/><Relationship Id="rId1814" Type="http://schemas.openxmlformats.org/officeDocument/2006/relationships/hyperlink" Target="https://standards.buildingsmart.org/IFC/RELEASE/IFC4/ADD2_TC1/HTML/schema/ifcproductextension/pset/pset_spacefiresafetyrequirements.htm" TargetMode="External"/><Relationship Id="rId3779" Type="http://schemas.openxmlformats.org/officeDocument/2006/relationships/hyperlink" Target="https://standards.buildingsmart.org/IFC/RELEASE/IFC4/ADD2_TC1/HTML/schema/ifcpresentationdefinitionresource/lexical/ifcboxalignment.htm" TargetMode="External"/><Relationship Id="rId2588" Type="http://schemas.openxmlformats.org/officeDocument/2006/relationships/hyperlink" Target="https://standards.buildingsmart.org/IFC/RELEASE/IFC4/ADD2_TC1/HTML/schema/ifcmaterialresource/pset/pset_materialenergy.htm" TargetMode="External"/><Relationship Id="rId1397" Type="http://schemas.openxmlformats.org/officeDocument/2006/relationships/hyperlink" Target="https://standards.buildingsmart.org/IFC/RELEASE/IFC4/ADD2_TC1/HTML/schema/ifcsharedfacilitieselements/pset/pset_warranty.htm" TargetMode="External"/><Relationship Id="rId2795" Type="http://schemas.openxmlformats.org/officeDocument/2006/relationships/hyperlink" Target="https://standards.buildingsmart.org/IFC/RELEASE/IFC4/ADD2_TC1/HTML/schema/ifcelectricaldomain/pset/pset_protectivedevicetrippingfunctiongcurve.htm" TargetMode="External"/><Relationship Id="rId3639" Type="http://schemas.openxmlformats.org/officeDocument/2006/relationships/hyperlink" Target="https://standards.buildingsmart.org/IFC/RELEASE/IFC4/ADD2_TC1/HTML/schema/ifcelectricaldomain/pset/pset_audiovisualappliancetypeamplifier.htm" TargetMode="External"/><Relationship Id="rId767" Type="http://schemas.openxmlformats.org/officeDocument/2006/relationships/hyperlink" Target="https://standards.buildingsmart.org/IFC/RELEASE/IFC4/ADD2_TC1/HTML/schema/ifcmeasureresource/lexical/ifcmeasurewithunit.htm" TargetMode="External"/><Relationship Id="rId974" Type="http://schemas.openxmlformats.org/officeDocument/2006/relationships/hyperlink" Target="https://standards.buildingsmart.org/IFC/RELEASE/IFC4/ADD2_TC1/HTML/schema/ifcplumbingfireprotectiondomain/lexical/ifcsanitaryterminal.htm" TargetMode="External"/><Relationship Id="rId2448" Type="http://schemas.openxmlformats.org/officeDocument/2006/relationships/hyperlink" Target="https://standards.buildingsmart.org/IFC/RELEASE/IFC4/ADD2_TC1/HTML/schema/ifcelectricaldomain/pset/pset_electricflowstoragedevicetypecommon.htm" TargetMode="External"/><Relationship Id="rId2655" Type="http://schemas.openxmlformats.org/officeDocument/2006/relationships/hyperlink" Target="https://standards.buildingsmart.org/IFC/RELEASE/IFC4/ADD2_TC1/HTML/schema/ifcproductextension/pset/pset_buildinguse.htm" TargetMode="External"/><Relationship Id="rId2862" Type="http://schemas.openxmlformats.org/officeDocument/2006/relationships/hyperlink" Target="https://standards.buildingsmart.org/IFC/RELEASE/IFC4/ADD2_TC1/HTML/schema/ifchvacdomain/pset/pset_pipesegmentoccurrence.htm" TargetMode="External"/><Relationship Id="rId3706" Type="http://schemas.openxmlformats.org/officeDocument/2006/relationships/hyperlink" Target="https://standards.buildingsmart.org/IFC/RELEASE/IFC4/ADD2_TC1/HTML/schema/ifchvacdomain/pset/pset_ductsilencertypecommon.htm" TargetMode="External"/><Relationship Id="rId627" Type="http://schemas.openxmlformats.org/officeDocument/2006/relationships/hyperlink" Target="https://standards.buildingsmart.org/IFC/RELEASE/IFC4/ADD2_TC1/HTML/schema/ifchvacdomain/lexical/ifcevaporativecooler.htm" TargetMode="External"/><Relationship Id="rId834" Type="http://schemas.openxmlformats.org/officeDocument/2006/relationships/hyperlink" Target="https://standards.buildingsmart.org/IFC/RELEASE/IFC4/ADD2_TC1/HTML/schema/ifcpropertyresource/lexical/ifcpredefinedproperties.htm" TargetMode="External"/><Relationship Id="rId1257" Type="http://schemas.openxmlformats.org/officeDocument/2006/relationships/hyperlink" Target="https://standards.buildingsmart.org/IFC/RELEASE/IFC4/ADD2_TC1/HTML/schema/ifchvacdomain/qset/qto_vibrationisolatorbasequantities.htm" TargetMode="External"/><Relationship Id="rId1464" Type="http://schemas.openxmlformats.org/officeDocument/2006/relationships/hyperlink" Target="https://standards.buildingsmart.org/IFC/RELEASE/IFC4/ADD2_TC1/HTML/schema/ifcsharedbldgserviceelements/pset/pset_spacethermalload.htm" TargetMode="External"/><Relationship Id="rId1671" Type="http://schemas.openxmlformats.org/officeDocument/2006/relationships/hyperlink" Target="https://standards.buildingsmart.org/IFC/RELEASE/IFC4/ADD2_TC1/HTML/schema/ifchvacdomain/pset/pset_cooledbeamphistory.htm" TargetMode="External"/><Relationship Id="rId2308" Type="http://schemas.openxmlformats.org/officeDocument/2006/relationships/hyperlink" Target="https://standards.buildingsmart.org/IFC/RELEASE/IFC4/ADD2_TC1/HTML/schema/ifcstructuralelementsdomain/pset/pset_precastconcreteelementfabrication.htm" TargetMode="External"/><Relationship Id="rId2515" Type="http://schemas.openxmlformats.org/officeDocument/2006/relationships/hyperlink" Target="https://standards.buildingsmart.org/IFC/RELEASE/IFC4/ADD2_TC1/HTML/schema/ifcelectricaldomain/pset/pset_protectivedevicebreakerunitipicurve.htm" TargetMode="External"/><Relationship Id="rId2722" Type="http://schemas.openxmlformats.org/officeDocument/2006/relationships/hyperlink" Target="https://standards.buildingsmart.org/IFC/RELEASE/IFC4/ADD2_TC1/HTML/schema/ifcsharedbldgserviceelements/pset/pset_thermalloadaggregate.htm" TargetMode="External"/><Relationship Id="rId901" Type="http://schemas.openxmlformats.org/officeDocument/2006/relationships/hyperlink" Target="https://standards.buildingsmart.org/IFC/RELEASE/IFC4/ADD2_TC1/HTML/schema/ifcstructuralelementsdomain/lexical/ifcreinforcementdefinitionproperties.htm" TargetMode="External"/><Relationship Id="rId1117" Type="http://schemas.openxmlformats.org/officeDocument/2006/relationships/hyperlink" Target="https://standards.buildingsmart.org/IFC/RELEASE/IFC4/ADD2_TC1/HTML/schema/ifcgeometryresource/lexical/ifctoroidalsurface.htm" TargetMode="External"/><Relationship Id="rId1324" Type="http://schemas.openxmlformats.org/officeDocument/2006/relationships/hyperlink" Target="https://standards.buildingsmart.org/IFC/RELEASE/IFC4/ADD2_TC1/HTML/schema/ifcsharedmgmtelements/pset/pset_packinginstructions.htm" TargetMode="External"/><Relationship Id="rId1531" Type="http://schemas.openxmlformats.org/officeDocument/2006/relationships/hyperlink" Target="https://standards.buildingsmart.org/IFC/RELEASE/IFC4/ADD2_TC1/HTML/schema/ifcstructuralelementsdomain/pset/pset_reinforcingmeshcommon.htm" TargetMode="External"/><Relationship Id="rId30" Type="http://schemas.openxmlformats.org/officeDocument/2006/relationships/hyperlink" Target="https://standards.buildingsmart.org/IFC/RELEASE/IFC4/ADD2_TC1/HTML/schema/ifcmeasureresource/lexical/ifcsoundpowerlevelmeasure.htm" TargetMode="External"/><Relationship Id="rId3289" Type="http://schemas.openxmlformats.org/officeDocument/2006/relationships/hyperlink" Target="https://standards.buildingsmart.org/IFC/RELEASE/IFC4/ADD2_TC1/HTML/schema/ifchvacdomain/pset/pset_valvetypepressurereducing.htm" TargetMode="External"/><Relationship Id="rId3496" Type="http://schemas.openxmlformats.org/officeDocument/2006/relationships/hyperlink" Target="https://standards.buildingsmart.org/IFC/RELEASE/IFC4/ADD2_TC1/HTML/schema/ifcsharedcomponentelements/pset/pset_discreteaccessorycolumnshoe.htm" TargetMode="External"/><Relationship Id="rId2098" Type="http://schemas.openxmlformats.org/officeDocument/2006/relationships/hyperlink" Target="https://standards.buildingsmart.org/IFC/RELEASE/IFC4/ADD2_TC1/HTML/schema/ifcbuildingcontrolsdomain/pset/pset_unitarycontrolelementtypecommon.htm" TargetMode="External"/><Relationship Id="rId3149" Type="http://schemas.openxmlformats.org/officeDocument/2006/relationships/hyperlink" Target="https://standards.buildingsmart.org/IFC/RELEASE/IFC4/ADD2_TC1/HTML/schema/ifchvacdomain/pset/pset_dampertypefiresmokedamper.htm" TargetMode="External"/><Relationship Id="rId3356" Type="http://schemas.openxmlformats.org/officeDocument/2006/relationships/hyperlink" Target="https://standards.buildingsmart.org/IFC/RELEASE/IFC4/ADD2_TC1/HTML/schema/ifcelectricaldomain/pset/pset_protectivedevicetrippingfunctionicurve.htm" TargetMode="External"/><Relationship Id="rId3563" Type="http://schemas.openxmlformats.org/officeDocument/2006/relationships/hyperlink" Target="https://standards.buildingsmart.org/IFC/RELEASE/IFC4/ADD2_TC1/HTML/schema/ifcplumbingfireprotectiondomain/pset/pset_firesuppressionterminaltypefirehydrant.htm" TargetMode="External"/><Relationship Id="rId277" Type="http://schemas.openxmlformats.org/officeDocument/2006/relationships/hyperlink" Target="https://standards.buildingsmart.org/IFC/RELEASE/IFC4/ADD2_TC1/HTML/schema/ifcstructuralelementsdomain/lexical/ifcreinforcingmeshtypeenum.htm" TargetMode="External"/><Relationship Id="rId484" Type="http://schemas.openxmlformats.org/officeDocument/2006/relationships/hyperlink" Target="https://standards.buildingsmart.org/IFC/RELEASE/IFC4/ADD2_TC1/HTML/schema/ifcgeometryresource/lexical/ifccircle.htm" TargetMode="External"/><Relationship Id="rId2165" Type="http://schemas.openxmlformats.org/officeDocument/2006/relationships/hyperlink" Target="https://standards.buildingsmart.org/IFC/RELEASE/IFC4/ADD2_TC1/HTML/schema/ifcsharedbldgelements/pset/pset_curtainwallcommon.htm" TargetMode="External"/><Relationship Id="rId3009" Type="http://schemas.openxmlformats.org/officeDocument/2006/relationships/hyperlink" Target="https://standards.buildingsmart.org/IFC/RELEASE/IFC4/ADD2_TC1/HTML/schema/ifchvacdomain/pset/pset_airterminalboxtypecommon.htm" TargetMode="External"/><Relationship Id="rId3216" Type="http://schemas.openxmlformats.org/officeDocument/2006/relationships/hyperlink" Target="https://standards.buildingsmart.org/IFC/RELEASE/IFC4/ADD2_TC1/HTML/schema/ifchvacdomain/pset/pset_evaporatorphistory.htm" TargetMode="External"/><Relationship Id="rId3770" Type="http://schemas.openxmlformats.org/officeDocument/2006/relationships/hyperlink" Target="https://standards.buildingsmart.org/IFC/RELEASE/IFC4/ADD2_TC1/HTML/schema/ifcsharedbldgserviceelements/pset/pset_distributionchamberelementtypemeterchamber.htm" TargetMode="External"/><Relationship Id="rId137" Type="http://schemas.openxmlformats.org/officeDocument/2006/relationships/hyperlink" Target="https://standards.buildingsmart.org/IFC/RELEASE/IFC4/ADD2_TC1/HTML/schema/ifcbuildingcontrolsdomain/lexical/ifcalarmtypeenum.htm" TargetMode="External"/><Relationship Id="rId344" Type="http://schemas.openxmlformats.org/officeDocument/2006/relationships/hyperlink" Target="https://standards.buildingsmart.org/IFC/RELEASE/IFC4/ADD2_TC1/HTML/schema/ifcrepresentationresource/lexical/ifccoordinatereferencesystemselect.htm" TargetMode="External"/><Relationship Id="rId691" Type="http://schemas.openxmlformats.org/officeDocument/2006/relationships/hyperlink" Target="https://standards.buildingsmart.org/IFC/RELEASE/IFC4/ADD2_TC1/HTML/schema/ifcsharedfacilitieselements/lexical/ifcfurnituretype.htm" TargetMode="External"/><Relationship Id="rId2025" Type="http://schemas.openxmlformats.org/officeDocument/2006/relationships/hyperlink" Target="https://standards.buildingsmart.org/IFC/RELEASE/IFC4/ADD2_TC1/HTML/schema/ifchvacdomain/pset/pset_cooledbeamphistory.htm" TargetMode="External"/><Relationship Id="rId2372" Type="http://schemas.openxmlformats.org/officeDocument/2006/relationships/hyperlink" Target="https://standards.buildingsmart.org/IFC/RELEASE/IFC4/ADD2_TC1/HTML/schema/ifchvacdomain/pset/pset_coiltypecommon.htm" TargetMode="External"/><Relationship Id="rId3423" Type="http://schemas.openxmlformats.org/officeDocument/2006/relationships/hyperlink" Target="https://standards.buildingsmart.org/IFC/RELEASE/IFC4/ADD2_TC1/HTML/schema/ifcbuildingcontrolsdomain/pset/pset_controllertypefloating.htm" TargetMode="External"/><Relationship Id="rId3630" Type="http://schemas.openxmlformats.org/officeDocument/2006/relationships/hyperlink" Target="https://standards.buildingsmart.org/IFC/RELEASE/IFC4/ADD2_TC1/HTML/schema/ifchvacdomain/pset/pset_flowmetertypewatermeter.htm" TargetMode="External"/><Relationship Id="rId551" Type="http://schemas.openxmlformats.org/officeDocument/2006/relationships/hyperlink" Target="https://standards.buildingsmart.org/IFC/RELEASE/IFC4/ADD2_TC1/HTML/schema/ifcsharedbldgelements/lexical/ifccurtainwall.htm" TargetMode="External"/><Relationship Id="rId1181" Type="http://schemas.openxmlformats.org/officeDocument/2006/relationships/hyperlink" Target="https://standards.buildingsmart.org/IFC/RELEASE/IFC4/ADD2_TC1/HTML/schema/ifcelectricaldomain/qset/qto_cablecarriersegmentbasequantities.htm" TargetMode="External"/><Relationship Id="rId2232" Type="http://schemas.openxmlformats.org/officeDocument/2006/relationships/hyperlink" Target="https://standards.buildingsmart.org/IFC/RELEASE/IFC4/ADD2_TC1/HTML/schema/ifcmaterialresource/pset/pset_materialsteel.htm" TargetMode="External"/><Relationship Id="rId204" Type="http://schemas.openxmlformats.org/officeDocument/2006/relationships/hyperlink" Target="https://standards.buildingsmart.org/IFC/RELEASE/IFC4/ADD2_TC1/HTML/schema/ifcproductextension/lexical/ifcelementassemblytypeenum.htm" TargetMode="External"/><Relationship Id="rId411" Type="http://schemas.openxmlformats.org/officeDocument/2006/relationships/hyperlink" Target="https://standards.buildingsmart.org/IFC/RELEASE/IFC4/ADD2_TC1/HTML/schema/ifcbuildingcontrolsdomain/lexical/ifcalarmtype.htm" TargetMode="External"/><Relationship Id="rId1041" Type="http://schemas.openxmlformats.org/officeDocument/2006/relationships/hyperlink" Target="https://standards.buildingsmart.org/IFC/RELEASE/IFC4/ADD2_TC1/HTML/schema/ifcstructuralloadresource/lexical/ifcstructuralloadsingleforcewarping.htm" TargetMode="External"/><Relationship Id="rId1998" Type="http://schemas.openxmlformats.org/officeDocument/2006/relationships/hyperlink" Target="https://standards.buildingsmart.org/IFC/RELEASE/IFC4/ADD2_TC1/HTML/schema/ifcelectricaldomain/pset/pset_transformertypecommon.htm" TargetMode="External"/><Relationship Id="rId1858" Type="http://schemas.openxmlformats.org/officeDocument/2006/relationships/hyperlink" Target="https://standards.buildingsmart.org/IFC/RELEASE/IFC4/ADD2_TC1/HTML/schema/ifcsharedbldgserviceelements/pset/pset_soundgeneration.htm" TargetMode="External"/><Relationship Id="rId2909" Type="http://schemas.openxmlformats.org/officeDocument/2006/relationships/hyperlink" Target="https://standards.buildingsmart.org/IFC/RELEASE/IFC4/ADD2_TC1/HTML/schema/ifcsharedbldgserviceelements/pset/pset_spacethermalload.htm" TargetMode="External"/><Relationship Id="rId3073" Type="http://schemas.openxmlformats.org/officeDocument/2006/relationships/hyperlink" Target="https://standards.buildingsmart.org/IFC/RELEASE/IFC4/ADD2_TC1/HTML/schema/ifcmaterialresource/pset/pset_materialenergy.htm" TargetMode="External"/><Relationship Id="rId3280" Type="http://schemas.openxmlformats.org/officeDocument/2006/relationships/hyperlink" Target="https://standards.buildingsmart.org/IFC/RELEASE/IFC4/ADD2_TC1/HTML/schema/ifcplumbingfireprotectiondomain/pset/pset_sanitaryterminaltypewashhandbasin.htm" TargetMode="External"/><Relationship Id="rId1718" Type="http://schemas.openxmlformats.org/officeDocument/2006/relationships/hyperlink" Target="https://standards.buildingsmart.org/IFC/RELEASE/IFC4/ADD2_TC1/HTML/schema/ifcsharedbldgelements/pset/pset_slabcommon.htm" TargetMode="External"/><Relationship Id="rId1925" Type="http://schemas.openxmlformats.org/officeDocument/2006/relationships/hyperlink" Target="https://standards.buildingsmart.org/IFC/RELEASE/IFC4/ADD2_TC1/HTML/schema/ifcprofileresource/pset/pset_profilemechanical.htm" TargetMode="External"/><Relationship Id="rId3140" Type="http://schemas.openxmlformats.org/officeDocument/2006/relationships/hyperlink" Target="https://standards.buildingsmart.org/IFC/RELEASE/IFC4/ADD2_TC1/HTML/schema/ifcsharedcomponentelements/pset/pset_discreteaccessoryfixingsocket.htm" TargetMode="External"/><Relationship Id="rId2699" Type="http://schemas.openxmlformats.org/officeDocument/2006/relationships/hyperlink" Target="https://standards.buildingsmart.org/IFC/RELEASE/IFC4/ADD2_TC1/HTML/schema/ifcstructuralanalysisdomain/pset/pset_structuralsurfacemembervaryingthickness.htm" TargetMode="External"/><Relationship Id="rId3000" Type="http://schemas.openxmlformats.org/officeDocument/2006/relationships/hyperlink" Target="https://standards.buildingsmart.org/IFC/RELEASE/IFC4/ADD2_TC1/HTML/schema/ifcproductextension/pset/pset_environmentalimpactvalues.htm" TargetMode="External"/><Relationship Id="rId878" Type="http://schemas.openxmlformats.org/officeDocument/2006/relationships/hyperlink" Target="https://standards.buildingsmart.org/IFC/RELEASE/IFC4/ADD2_TC1/HTML/schema/ifcquantityresource/lexical/ifcquantityarea.htm" TargetMode="External"/><Relationship Id="rId2559" Type="http://schemas.openxmlformats.org/officeDocument/2006/relationships/hyperlink" Target="https://standards.buildingsmart.org/IFC/RELEASE/IFC4/ADD2_TC1/HTML/schema/ifcelectricaldomain/pset/pset_protectivedevicetrippingunittypeelectronic.htm" TargetMode="External"/><Relationship Id="rId2766" Type="http://schemas.openxmlformats.org/officeDocument/2006/relationships/hyperlink" Target="https://standards.buildingsmart.org/IFC/RELEASE/IFC4/ADD2_TC1/HTML/schema/ifcbuildingcontrolsdomain/pset/pset_controllertypeproportional.htm" TargetMode="External"/><Relationship Id="rId2973" Type="http://schemas.openxmlformats.org/officeDocument/2006/relationships/hyperlink" Target="https://standards.buildingsmart.org/IFC/RELEASE/IFC4/ADD2_TC1/HTML/schema/ifchvacdomain/pset/pset_boilertypecommon.htm" TargetMode="External"/><Relationship Id="rId738" Type="http://schemas.openxmlformats.org/officeDocument/2006/relationships/hyperlink" Target="https://standards.buildingsmart.org/IFC/RELEASE/IFC4/ADD2_TC1/HTML/schema/ifcpresentationorganizationresource/lexical/ifclightsourcegoniometric.htm" TargetMode="External"/><Relationship Id="rId945" Type="http://schemas.openxmlformats.org/officeDocument/2006/relationships/hyperlink" Target="https://standards.buildingsmart.org/IFC/RELEASE/IFC4/ADD2_TC1/HTML/schema/ifcsharedbldgserviceelements/lexical/ifcrelflowcontrolelements.htm" TargetMode="External"/><Relationship Id="rId1368" Type="http://schemas.openxmlformats.org/officeDocument/2006/relationships/hyperlink" Target="https://standards.buildingsmart.org/IFC/RELEASE/IFC4/ADD2_TC1/HTML/schema/ifcsharedbldgserviceelements/pset/pset_outsidedesigncriteria.htm" TargetMode="External"/><Relationship Id="rId1575" Type="http://schemas.openxmlformats.org/officeDocument/2006/relationships/hyperlink" Target="https://standards.buildingsmart.org/IFC/RELEASE/IFC4/ADD2_TC1/HTML/schema/ifcelectricaldomain/pset/pset_protectivedevicetrippingfunctiongcurve.htm" TargetMode="External"/><Relationship Id="rId1782" Type="http://schemas.openxmlformats.org/officeDocument/2006/relationships/hyperlink" Target="https://standards.buildingsmart.org/IFC/RELEASE/IFC4/ADD2_TC1/HTML/schema/ifchvacdomain/pset/pset_chillertypecommon.htm" TargetMode="External"/><Relationship Id="rId2419" Type="http://schemas.openxmlformats.org/officeDocument/2006/relationships/hyperlink" Target="https://standards.buildingsmart.org/IFC/RELEASE/IFC4/ADD2_TC1/HTML/schema/ifcsharedbldgelements/pset/pset_stairflightcommon.htm" TargetMode="External"/><Relationship Id="rId2626" Type="http://schemas.openxmlformats.org/officeDocument/2006/relationships/hyperlink" Target="https://standards.buildingsmart.org/IFC/RELEASE/IFC4/ADD2_TC1/HTML/schema/ifcprofileresource/pset/pset_profilemechanical.htm" TargetMode="External"/><Relationship Id="rId2833" Type="http://schemas.openxmlformats.org/officeDocument/2006/relationships/hyperlink" Target="https://standards.buildingsmart.org/IFC/RELEASE/IFC4/ADD2_TC1/HTML/schema/ifcsharedbldgelements/pset/pset_roofcommon.htm" TargetMode="External"/><Relationship Id="rId74" Type="http://schemas.openxmlformats.org/officeDocument/2006/relationships/hyperlink" Target="https://standards.buildingsmart.org/IFC/RELEASE/IFC4/ADD2_TC1/HTML/schema/ifcmeasureresource/lexical/ifclogical.htm" TargetMode="External"/><Relationship Id="rId805" Type="http://schemas.openxmlformats.org/officeDocument/2006/relationships/hyperlink" Target="https://standards.buildingsmart.org/IFC/RELEASE/IFC4/ADD2_TC1/HTML/schema/ifcactorresource/lexical/ifcpersonandorganization.htm" TargetMode="External"/><Relationship Id="rId1228" Type="http://schemas.openxmlformats.org/officeDocument/2006/relationships/hyperlink" Target="https://standards.buildingsmart.org/IFC/RELEASE/IFC4/ADD2_TC1/HTML/schema/ifcelectricaldomain/qset/qto_outletbasequantities.htm" TargetMode="External"/><Relationship Id="rId1435" Type="http://schemas.openxmlformats.org/officeDocument/2006/relationships/hyperlink" Target="https://standards.buildingsmart.org/IFC/RELEASE/IFC4/ADD2_TC1/HTML/schema/ifcsharedbldgelements/pset/pset_shadingdevicecommon.htm" TargetMode="External"/><Relationship Id="rId1642" Type="http://schemas.openxmlformats.org/officeDocument/2006/relationships/hyperlink" Target="https://standards.buildingsmart.org/IFC/RELEASE/IFC4/ADD2_TC1/HTML/schema/ifchvacdomain/pset/pset_tankphistory.htm" TargetMode="External"/><Relationship Id="rId2900" Type="http://schemas.openxmlformats.org/officeDocument/2006/relationships/hyperlink" Target="https://standards.buildingsmart.org/IFC/RELEASE/IFC4/ADD2_TC1/HTML/schema/ifcplumbingfireprotectiondomain/pset/pset_wasteterminaltypewastetrap.htm" TargetMode="External"/><Relationship Id="rId1502" Type="http://schemas.openxmlformats.org/officeDocument/2006/relationships/hyperlink" Target="https://standards.buildingsmart.org/IFC/RELEASE/IFC4/ADD2_TC1/HTML/schema/ifchvacdomain/pset/pset_spaceheaterphistory.htm" TargetMode="External"/><Relationship Id="rId388" Type="http://schemas.openxmlformats.org/officeDocument/2006/relationships/hyperlink" Target="https://standards.buildingsmart.org/IFC/RELEASE/IFC4/ADD2_TC1/HTML/schema/ifcdatetimeresource/lexical/ifctimeorratioselect.htm" TargetMode="External"/><Relationship Id="rId2069" Type="http://schemas.openxmlformats.org/officeDocument/2006/relationships/hyperlink" Target="https://standards.buildingsmart.org/IFC/RELEASE/IFC4/ADD2_TC1/HTML/schema/ifchvacdomain/pset/pset_ductsegmenttypecommon.htm" TargetMode="External"/><Relationship Id="rId3467" Type="http://schemas.openxmlformats.org/officeDocument/2006/relationships/hyperlink" Target="https://standards.buildingsmart.org/IFC/RELEASE/IFC4/ADD2_TC1/HTML/schema/ifcproductextension/pset/pset_spacecoveringrequirements.htm" TargetMode="External"/><Relationship Id="rId3674" Type="http://schemas.openxmlformats.org/officeDocument/2006/relationships/hyperlink" Target="https://standards.buildingsmart.org/IFC/RELEASE/IFC4/ADD2_TC1/HTML/schema/ifcsharedbldgserviceelements/pset/pset_thermalloaddesigncriteria.htm" TargetMode="External"/><Relationship Id="rId595" Type="http://schemas.openxmlformats.org/officeDocument/2006/relationships/hyperlink" Target="https://standards.buildingsmart.org/IFC/RELEASE/IFC4/ADD2_TC1/HTML/schema/ifchvacdomain/lexical/ifcductsegmenttype.htm" TargetMode="External"/><Relationship Id="rId2276" Type="http://schemas.openxmlformats.org/officeDocument/2006/relationships/hyperlink" Target="https://standards.buildingsmart.org/IFC/RELEASE/IFC4/ADD2_TC1/HTML/schema/ifcelectricaldomain/pset/pset_communicationsappliancephistory.htm" TargetMode="External"/><Relationship Id="rId2483" Type="http://schemas.openxmlformats.org/officeDocument/2006/relationships/hyperlink" Target="https://standards.buildingsmart.org/IFC/RELEASE/IFC4/ADD2_TC1/HTML/schema/ifchvacdomain/pset/pset_evaporatortypecommon.htm" TargetMode="External"/><Relationship Id="rId2690" Type="http://schemas.openxmlformats.org/officeDocument/2006/relationships/hyperlink" Target="https://standards.buildingsmart.org/IFC/RELEASE/IFC4/ADD2_TC1/HTML/schema/ifchvacdomain/pset/pset_evaporatorphistory.htm" TargetMode="External"/><Relationship Id="rId3327" Type="http://schemas.openxmlformats.org/officeDocument/2006/relationships/hyperlink" Target="https://standards.buildingsmart.org/IFC/RELEASE/IFC4/ADD2_TC1/HTML/schema/ifcstructuralelementsdomain/pset/pset_reinforcementbarpitchofwall.htm" TargetMode="External"/><Relationship Id="rId3534" Type="http://schemas.openxmlformats.org/officeDocument/2006/relationships/hyperlink" Target="https://standards.buildingsmart.org/IFC/RELEASE/IFC4/ADD2_TC1/HTML/schema/ifcplumbingfireprotectiondomain/pset/pset_firesuppressionterminaltypehosereel.htm" TargetMode="External"/><Relationship Id="rId3741" Type="http://schemas.openxmlformats.org/officeDocument/2006/relationships/hyperlink" Target="https://standards.buildingsmart.org/IFC/RELEASE/IFC4/ADD2_TC1/HTML/schema/ifcconstructionmgmtdomain/pset/pset_constructionresource.htm" TargetMode="External"/><Relationship Id="rId248" Type="http://schemas.openxmlformats.org/officeDocument/2006/relationships/hyperlink" Target="https://standards.buildingsmart.org/IFC/RELEASE/IFC4/ADD2_TC1/HTML/schema/ifcproductextension/lexical/ifcopeningelementtypeenum.htm" TargetMode="External"/><Relationship Id="rId455" Type="http://schemas.openxmlformats.org/officeDocument/2006/relationships/hyperlink" Target="https://standards.buildingsmart.org/IFC/RELEASE/IFC4/ADD2_TC1/HTML/schema/ifcsharedbldgelements/lexical/ifcbuildingelementproxy.htm" TargetMode="External"/><Relationship Id="rId662" Type="http://schemas.openxmlformats.org/officeDocument/2006/relationships/hyperlink" Target="https://standards.buildingsmart.org/IFC/RELEASE/IFC4/ADD2_TC1/HTML/schema/ifcpresentationappearanceresource/lexical/ifcfillareastyletiles.htm" TargetMode="External"/><Relationship Id="rId1085" Type="http://schemas.openxmlformats.org/officeDocument/2006/relationships/hyperlink" Target="https://standards.buildingsmart.org/IFC/RELEASE/IFC4/ADD2_TC1/HTML/schema/ifcutilityresource/lexical/ifctable.htm" TargetMode="External"/><Relationship Id="rId1292" Type="http://schemas.openxmlformats.org/officeDocument/2006/relationships/hyperlink" Target="https://standards.buildingsmart.org/IFC/RELEASE/IFC4/ADD2_TC1/HTML/schema/ifcgeometryresource/lexical/ifcsamedirection.htm" TargetMode="External"/><Relationship Id="rId2136" Type="http://schemas.openxmlformats.org/officeDocument/2006/relationships/hyperlink" Target="https://standards.buildingsmart.org/IFC/RELEASE/IFC4/ADD2_TC1/HTML/schema/ifcelectricaldomain/pset/pset_lamptypecommon.htm" TargetMode="External"/><Relationship Id="rId2343" Type="http://schemas.openxmlformats.org/officeDocument/2006/relationships/hyperlink" Target="https://standards.buildingsmart.org/IFC/RELEASE/IFC4/ADD2_TC1/HTML/schema/ifcsharedbldgserviceelements/pset/pset_thermalloaddesigncriteria.htm" TargetMode="External"/><Relationship Id="rId2550" Type="http://schemas.openxmlformats.org/officeDocument/2006/relationships/hyperlink" Target="https://standards.buildingsmart.org/IFC/RELEASE/IFC4/ADD2_TC1/HTML/schema/ifchvacdomain/pset/pset_airterminaltypecommon.htm" TargetMode="External"/><Relationship Id="rId3601" Type="http://schemas.openxmlformats.org/officeDocument/2006/relationships/hyperlink" Target="https://standards.buildingsmart.org/IFC/RELEASE/IFC4/ADD2_TC1/HTML/schema/ifcstructuralelementsdomain/pset/pset_reinforcingbarcommon.htm" TargetMode="External"/><Relationship Id="rId108" Type="http://schemas.openxmlformats.org/officeDocument/2006/relationships/hyperlink" Target="https://standards.buildingsmart.org/IFC/RELEASE/IFC4/ADD2_TC1/HTML/schema/ifcmeasureresource/lexical/ifcdoseequivalentmeasure.htm" TargetMode="External"/><Relationship Id="rId315" Type="http://schemas.openxmlformats.org/officeDocument/2006/relationships/hyperlink" Target="https://standards.buildingsmart.org/IFC/RELEASE/IFC4/ADD2_TC1/HTML/schema/ifcproductextension/lexical/ifctransportelementtypeenum.htm" TargetMode="External"/><Relationship Id="rId522" Type="http://schemas.openxmlformats.org/officeDocument/2006/relationships/hyperlink" Target="https://standards.buildingsmart.org/IFC/RELEASE/IFC4/ADD2_TC1/HTML/schema/ifcconstructionmgmtdomain/lexical/ifcconstructionmaterialresourcetype.htm" TargetMode="External"/><Relationship Id="rId1152" Type="http://schemas.openxmlformats.org/officeDocument/2006/relationships/hyperlink" Target="https://standards.buildingsmart.org/IFC/RELEASE/IFC4/ADD2_TC1/HTML/schema/ifcsharedbldgelements/lexical/ifcwalltype.htm" TargetMode="External"/><Relationship Id="rId2203" Type="http://schemas.openxmlformats.org/officeDocument/2006/relationships/hyperlink" Target="https://standards.buildingsmart.org/IFC/RELEASE/IFC4/ADD2_TC1/HTML/schema/ifcbuildingcontrolsdomain/pset/pset_sensortypeheatsensor.htm" TargetMode="External"/><Relationship Id="rId2410" Type="http://schemas.openxmlformats.org/officeDocument/2006/relationships/hyperlink" Target="https://standards.buildingsmart.org/IFC/RELEASE/IFC4/ADD2_TC1/HTML/schema/ifcelectricaldomain/pset/pset_cablesegmenttypecablesegment.htm" TargetMode="External"/><Relationship Id="rId1012" Type="http://schemas.openxmlformats.org/officeDocument/2006/relationships/hyperlink" Target="https://standards.buildingsmart.org/IFC/RELEASE/IFC4/ADD2_TC1/HTML/schema/ifcgeometryresource/lexical/ifcsphericalsurface.htm" TargetMode="External"/><Relationship Id="rId1969" Type="http://schemas.openxmlformats.org/officeDocument/2006/relationships/hyperlink" Target="https://standards.buildingsmart.org/IFC/RELEASE/IFC4/ADD2_TC1/HTML/schema/ifcelectricaldomain/pset/pset_protectivedevicetyperesidualcurrentswitch.htm" TargetMode="External"/><Relationship Id="rId3184" Type="http://schemas.openxmlformats.org/officeDocument/2006/relationships/hyperlink" Target="https://standards.buildingsmart.org/IFC/RELEASE/IFC4/ADD2_TC1/HTML/schema/ifcsharedbldgelements/pset/pset_doorwindowglazingtype.htm" TargetMode="External"/><Relationship Id="rId1829" Type="http://schemas.openxmlformats.org/officeDocument/2006/relationships/hyperlink" Target="https://standards.buildingsmart.org/IFC/RELEASE/IFC4/ADD2_TC1/HTML/schema/ifcsharedmgmtelements/pset/pset_packinginstructions.htm" TargetMode="External"/><Relationship Id="rId3391" Type="http://schemas.openxmlformats.org/officeDocument/2006/relationships/hyperlink" Target="https://standards.buildingsmart.org/IFC/RELEASE/IFC4/ADD2_TC1/HTML/schema/ifcsharedcomponentelements/pset/pset_discreteaccessorycornerfixingplate.htm" TargetMode="External"/><Relationship Id="rId3044" Type="http://schemas.openxmlformats.org/officeDocument/2006/relationships/hyperlink" Target="https://standards.buildingsmart.org/IFC/RELEASE/IFC4/ADD2_TC1/HTML/schema/ifcsharedfacilitieselements/pset/pset_systemfurnitureelementtypeworksurface.htm" TargetMode="External"/><Relationship Id="rId3251" Type="http://schemas.openxmlformats.org/officeDocument/2006/relationships/hyperlink" Target="https://standards.buildingsmart.org/IFC/RELEASE/IFC4/ADD2_TC1/HTML/schema/ifchvacdomain/pset/pset_spaceheaterphistory.htm" TargetMode="External"/><Relationship Id="rId172" Type="http://schemas.openxmlformats.org/officeDocument/2006/relationships/hyperlink" Target="https://standards.buildingsmart.org/IFC/RELEASE/IFC4/ADD2_TC1/HTML/schema/ifchvacdomain/lexical/ifccoolingtowertypeenum.htm" TargetMode="External"/><Relationship Id="rId2060" Type="http://schemas.openxmlformats.org/officeDocument/2006/relationships/hyperlink" Target="https://standards.buildingsmart.org/IFC/RELEASE/IFC4/ADD2_TC1/HTML/schema/ifcelectricaldomain/pset/pset_protectivedevicetrippingfunctiongcurve.htm" TargetMode="External"/><Relationship Id="rId3111" Type="http://schemas.openxmlformats.org/officeDocument/2006/relationships/hyperlink" Target="https://standards.buildingsmart.org/IFC/RELEASE/IFC4/ADD2_TC1/HTML/schema/ifchvacdomain/pset/pset_filtertypecommon.htm" TargetMode="External"/><Relationship Id="rId989" Type="http://schemas.openxmlformats.org/officeDocument/2006/relationships/hyperlink" Target="https://standards.buildingsmart.org/IFC/RELEASE/IFC4/ADD2_TC1/HTML/schema/ifcpropertyresource/lexical/ifcsimpleproperty.htm" TargetMode="External"/><Relationship Id="rId2877" Type="http://schemas.openxmlformats.org/officeDocument/2006/relationships/hyperlink" Target="https://standards.buildingsmart.org/IFC/RELEASE/IFC4/ADD2_TC1/HTML/schema/ifchvacdomain/pset/pset_evaporatorphistory.htm" TargetMode="External"/><Relationship Id="rId849" Type="http://schemas.openxmlformats.org/officeDocument/2006/relationships/hyperlink" Target="https://standards.buildingsmart.org/IFC/RELEASE/IFC4/ADD2_TC1/HTML/schema/ifcprofileresource/lexical/ifcprofileproperties.htm" TargetMode="External"/><Relationship Id="rId1479" Type="http://schemas.openxmlformats.org/officeDocument/2006/relationships/hyperlink" Target="https://standards.buildingsmart.org/IFC/RELEASE/IFC4/ADD2_TC1/HTML/schema/ifcbuildingcontrolsdomain/pset/pset_flowinstrumentphistory.htm" TargetMode="External"/><Relationship Id="rId1686" Type="http://schemas.openxmlformats.org/officeDocument/2006/relationships/hyperlink" Target="https://standards.buildingsmart.org/IFC/RELEASE/IFC4/ADD2_TC1/HTML/schema/ifchvacdomain/pset/pset_tanktypecommon.htm" TargetMode="External"/><Relationship Id="rId1339" Type="http://schemas.openxmlformats.org/officeDocument/2006/relationships/hyperlink" Target="https://standards.buildingsmart.org/IFC/RELEASE/IFC4/ADD2_TC1/HTML/schema/ifcprocessextension/pset/pset_workcontrolcommon.htm" TargetMode="External"/><Relationship Id="rId1893" Type="http://schemas.openxmlformats.org/officeDocument/2006/relationships/hyperlink" Target="https://standards.buildingsmart.org/IFC/RELEASE/IFC4/ADD2_TC1/HTML/schema/ifcbuildingcontrolsdomain/pset/pset_controllertypefloating.htm" TargetMode="External"/><Relationship Id="rId2737" Type="http://schemas.openxmlformats.org/officeDocument/2006/relationships/hyperlink" Target="https://standards.buildingsmart.org/IFC/RELEASE/IFC4/ADD2_TC1/HTML/schema/ifcsharedbldgserviceelements/pset/pset_distributionchamberelementtypeinspectionpit.htm" TargetMode="External"/><Relationship Id="rId2944" Type="http://schemas.openxmlformats.org/officeDocument/2006/relationships/hyperlink" Target="https://standards.buildingsmart.org/IFC/RELEASE/IFC4/ADD2_TC1/HTML/schema/ifcelectricaldomain/pset/pset_protectivedevicebreakerunittypemotorprotection.htm" TargetMode="External"/><Relationship Id="rId709" Type="http://schemas.openxmlformats.org/officeDocument/2006/relationships/hyperlink" Target="https://standards.buildingsmart.org/IFC/RELEASE/IFC4/ADD2_TC1/HTML/schema/ifcpresentationappearanceresource/lexical/ifcindexedcolourmap.htm" TargetMode="External"/><Relationship Id="rId916" Type="http://schemas.openxmlformats.org/officeDocument/2006/relationships/hyperlink" Target="https://standards.buildingsmart.org/IFC/RELEASE/IFC4/ADD2_TC1/HTML/schema/ifckernel/lexical/ifcrelassignstoresource.htm" TargetMode="External"/><Relationship Id="rId1546" Type="http://schemas.openxmlformats.org/officeDocument/2006/relationships/hyperlink" Target="https://standards.buildingsmart.org/IFC/RELEASE/IFC4/ADD2_TC1/HTML/schema/ifcsharedbldgserviceelements/pset/pset_spacethermalload.htm" TargetMode="External"/><Relationship Id="rId1753" Type="http://schemas.openxmlformats.org/officeDocument/2006/relationships/hyperlink" Target="https://standards.buildingsmart.org/IFC/RELEASE/IFC4/ADD2_TC1/HTML/schema/ifchvacdomain/pset/pset_evaporatortypecommon.htm" TargetMode="External"/><Relationship Id="rId1960" Type="http://schemas.openxmlformats.org/officeDocument/2006/relationships/hyperlink" Target="https://standards.buildingsmart.org/IFC/RELEASE/IFC4/ADD2_TC1/HTML/schema/ifcbuildingcontrolsdomain/pset/pset_sensortypeionconcentrationsensor.htm" TargetMode="External"/><Relationship Id="rId2804" Type="http://schemas.openxmlformats.org/officeDocument/2006/relationships/hyperlink" Target="https://standards.buildingsmart.org/IFC/RELEASE/IFC4/ADD2_TC1/HTML/schema/ifcproductextension/pset/pset_spaceparking.htm" TargetMode="External"/><Relationship Id="rId45" Type="http://schemas.openxmlformats.org/officeDocument/2006/relationships/hyperlink" Target="https://standards.buildingsmart.org/IFC/RELEASE/IFC4/ADD2_TC1/HTML/schema/ifcmeasureresource/lexical/ifcpositiveratiomeasure.htm" TargetMode="External"/><Relationship Id="rId1406" Type="http://schemas.openxmlformats.org/officeDocument/2006/relationships/hyperlink" Target="https://standards.buildingsmart.org/IFC/RELEASE/IFC4/ADD2_TC1/HTML/schema/ifcsharedbldgserviceelements/pset/pset_distributionchamberelementtypeformedduct.htm" TargetMode="External"/><Relationship Id="rId1613" Type="http://schemas.openxmlformats.org/officeDocument/2006/relationships/hyperlink" Target="https://standards.buildingsmart.org/IFC/RELEASE/IFC4/ADD2_TC1/HTML/schema/ifcmaterialresource/pset/pset_materialoptical.htm" TargetMode="External"/><Relationship Id="rId1820" Type="http://schemas.openxmlformats.org/officeDocument/2006/relationships/hyperlink" Target="https://standards.buildingsmart.org/IFC/RELEASE/IFC4/ADD2_TC1/HTML/schema/ifcplumbingfireprotectiondomain/pset/pset_sanitaryterminaltypetoiletpan.htm" TargetMode="External"/><Relationship Id="rId3578" Type="http://schemas.openxmlformats.org/officeDocument/2006/relationships/hyperlink" Target="https://standards.buildingsmart.org/IFC/RELEASE/IFC4/ADD2_TC1/HTML/schema/ifcproductextension/pset/pset_sitecommon.htm" TargetMode="External"/><Relationship Id="rId3785" Type="http://schemas.openxmlformats.org/officeDocument/2006/relationships/printerSettings" Target="../printerSettings/printerSettings1.bin"/><Relationship Id="rId499" Type="http://schemas.openxmlformats.org/officeDocument/2006/relationships/hyperlink" Target="https://standards.buildingsmart.org/IFC/RELEASE/IFC4/ADD2_TC1/HTML/schema/ifcsharedbldgelements/lexical/ifccolumntype.htm" TargetMode="External"/><Relationship Id="rId2387" Type="http://schemas.openxmlformats.org/officeDocument/2006/relationships/hyperlink" Target="https://standards.buildingsmart.org/IFC/RELEASE/IFC4/ADD2_TC1/HTML/schema/ifcsharedcomponentelements/pset/pset_mechanicalfastenerbolt.htm" TargetMode="External"/><Relationship Id="rId2594" Type="http://schemas.openxmlformats.org/officeDocument/2006/relationships/hyperlink" Target="https://standards.buildingsmart.org/IFC/RELEASE/IFC4/ADD2_TC1/HTML/schema/ifcbuildingcontrolsdomain/pset/pset_unitarycontrolelementtypecommon.htm" TargetMode="External"/><Relationship Id="rId3438" Type="http://schemas.openxmlformats.org/officeDocument/2006/relationships/hyperlink" Target="https://standards.buildingsmart.org/IFC/RELEASE/IFC4/ADD2_TC1/HTML/schema/ifcsharedbldgserviceelements/pset/pset_distributionporttypeduct.htm" TargetMode="External"/><Relationship Id="rId3645" Type="http://schemas.openxmlformats.org/officeDocument/2006/relationships/hyperlink" Target="https://standards.buildingsmart.org/IFC/RELEASE/IFC4/ADD2_TC1/HTML/schema/ifchvacdomain/pset/pset_coilphistory.htm" TargetMode="External"/><Relationship Id="rId359" Type="http://schemas.openxmlformats.org/officeDocument/2006/relationships/hyperlink" Target="https://standards.buildingsmart.org/IFC/RELEASE/IFC4/ADD2_TC1/HTML/schema/ifcpresentationorganizationresource/lexical/ifclightdistributiondatasourceselect.htm" TargetMode="External"/><Relationship Id="rId566" Type="http://schemas.openxmlformats.org/officeDocument/2006/relationships/hyperlink" Target="https://standards.buildingsmart.org/IFC/RELEASE/IFC4/ADD2_TC1/HTML/schema/ifcmeasureresource/lexical/ifcdimensionalexponents.htm" TargetMode="External"/><Relationship Id="rId773" Type="http://schemas.openxmlformats.org/officeDocument/2006/relationships/hyperlink" Target="https://standards.buildingsmart.org/IFC/RELEASE/IFC4/ADD2_TC1/HTML/schema/ifcsharedbldgelements/lexical/ifcmemberstandardcase.htm" TargetMode="External"/><Relationship Id="rId1196" Type="http://schemas.openxmlformats.org/officeDocument/2006/relationships/hyperlink" Target="https://standards.buildingsmart.org/IFC/RELEASE/IFC4/ADD2_TC1/HTML/schema/ifcsharedbldgelements/qset/qto_coveringbasequantities.htm" TargetMode="External"/><Relationship Id="rId2247" Type="http://schemas.openxmlformats.org/officeDocument/2006/relationships/hyperlink" Target="https://standards.buildingsmart.org/IFC/RELEASE/IFC4/ADD2_TC1/HTML/schema/ifcelectricaldomain/pset/pset_transformertypecommon.htm" TargetMode="External"/><Relationship Id="rId2454" Type="http://schemas.openxmlformats.org/officeDocument/2006/relationships/hyperlink" Target="https://standards.buildingsmart.org/IFC/RELEASE/IFC4/ADD2_TC1/HTML/schema/ifcelectricaldomain/pset/pset_audiovisualappliancetypedisplay.htm" TargetMode="External"/><Relationship Id="rId3505" Type="http://schemas.openxmlformats.org/officeDocument/2006/relationships/hyperlink" Target="https://standards.buildingsmart.org/IFC/RELEASE/IFC4/ADD2_TC1/HTML/schema/ifchvacdomain/pset/pset_ductsegmentoccurrence.htm" TargetMode="External"/><Relationship Id="rId219" Type="http://schemas.openxmlformats.org/officeDocument/2006/relationships/hyperlink" Target="https://standards.buildingsmart.org/IFC/RELEASE/IFC4/ADD2_TC1/HTML/schema/ifcstructuralelementsdomain/lexical/ifcfootingtypeenum.htm" TargetMode="External"/><Relationship Id="rId426" Type="http://schemas.openxmlformats.org/officeDocument/2006/relationships/hyperlink" Target="https://standards.buildingsmart.org/IFC/RELEASE/IFC4/ADD2_TC1/HTML/schema/ifcgeometryresource/lexical/ifcaxis2placement2d.htm" TargetMode="External"/><Relationship Id="rId633" Type="http://schemas.openxmlformats.org/officeDocument/2006/relationships/hyperlink" Target="https://standards.buildingsmart.org/IFC/RELEASE/IFC4/ADD2_TC1/HTML/schema/ifcprocessextension/lexical/ifceventtype.htm" TargetMode="External"/><Relationship Id="rId980" Type="http://schemas.openxmlformats.org/officeDocument/2006/relationships/hyperlink" Target="https://standards.buildingsmart.org/IFC/RELEASE/IFC4/ADD2_TC1/HTML/schema/ifcprofileresource/lexical/ifcsectionreinforcementproperties.htm" TargetMode="External"/><Relationship Id="rId1056" Type="http://schemas.openxmlformats.org/officeDocument/2006/relationships/hyperlink" Target="https://standards.buildingsmart.org/IFC/RELEASE/IFC4/ADD2_TC1/HTML/schema/ifcpresentationappearanceresource/lexical/ifcstyleditem.htm" TargetMode="External"/><Relationship Id="rId1263" Type="http://schemas.openxmlformats.org/officeDocument/2006/relationships/hyperlink" Target="https://standards.buildingsmart.org/IFC/RELEASE/IFC4/ADD2_TC1/HTML/schema/ifctopologyresource/lexical/ifcbooleanchoose.htm" TargetMode="External"/><Relationship Id="rId2107" Type="http://schemas.openxmlformats.org/officeDocument/2006/relationships/hyperlink" Target="https://standards.buildingsmart.org/IFC/RELEASE/IFC4/ADD2_TC1/HTML/schema/ifcsharedbldgelements/pset/pset_staircommon.htm" TargetMode="External"/><Relationship Id="rId2314" Type="http://schemas.openxmlformats.org/officeDocument/2006/relationships/hyperlink" Target="https://standards.buildingsmart.org/IFC/RELEASE/IFC4/ADD2_TC1/HTML/schema/ifcprofileresource/pset/pset_profilemechanical.htm" TargetMode="External"/><Relationship Id="rId2661" Type="http://schemas.openxmlformats.org/officeDocument/2006/relationships/hyperlink" Target="https://standards.buildingsmart.org/IFC/RELEASE/IFC4/ADD2_TC1/HTML/schema/ifcsharedfacilitieselements/pset/pset_servicelifefactors.htm" TargetMode="External"/><Relationship Id="rId3712" Type="http://schemas.openxmlformats.org/officeDocument/2006/relationships/hyperlink" Target="https://standards.buildingsmart.org/IFC/RELEASE/IFC4/ADD2_TC1/HTML/schema/ifchvacdomain/pset/pset_ductsilencerphistory.htm" TargetMode="External"/><Relationship Id="rId840" Type="http://schemas.openxmlformats.org/officeDocument/2006/relationships/hyperlink" Target="https://standards.buildingsmart.org/IFC/RELEASE/IFC4/ADD2_TC1/HTML/schema/ifcpresentationappearanceresource/lexical/ifcpresentationstyle.htm" TargetMode="External"/><Relationship Id="rId1470" Type="http://schemas.openxmlformats.org/officeDocument/2006/relationships/hyperlink" Target="https://standards.buildingsmart.org/IFC/RELEASE/IFC4/ADD2_TC1/HTML/schema/ifcsharedbldgserviceelements/pset/pset_distributionporttypepipe.htm" TargetMode="External"/><Relationship Id="rId2521" Type="http://schemas.openxmlformats.org/officeDocument/2006/relationships/hyperlink" Target="https://standards.buildingsmart.org/IFC/RELEASE/IFC4/ADD2_TC1/HTML/schema/ifchvacdomain/pset/pset_tanktypecommon.htm" TargetMode="External"/><Relationship Id="rId700" Type="http://schemas.openxmlformats.org/officeDocument/2006/relationships/hyperlink" Target="https://standards.buildingsmart.org/IFC/RELEASE/IFC4/ADD2_TC1/HTML/schema/ifcgeometricconstraintresource/lexical/ifcgridaxis.htm" TargetMode="External"/><Relationship Id="rId1123" Type="http://schemas.openxmlformats.org/officeDocument/2006/relationships/hyperlink" Target="https://standards.buildingsmart.org/IFC/RELEASE/IFC4/ADD2_TC1/HTML/schema/ifcgeometricmodelresource/lexical/ifctriangulatedfaceset.htm" TargetMode="External"/><Relationship Id="rId1330" Type="http://schemas.openxmlformats.org/officeDocument/2006/relationships/hyperlink" Target="https://standards.buildingsmart.org/IFC/RELEASE/IFC4/ADD2_TC1/HTML/schema/ifcprocessextension/pset/pset_workcontrolcommon.htm" TargetMode="External"/><Relationship Id="rId3088" Type="http://schemas.openxmlformats.org/officeDocument/2006/relationships/hyperlink" Target="https://standards.buildingsmart.org/IFC/RELEASE/IFC4/ADD2_TC1/HTML/schema/ifcelectricaldomain/pset/pset_audiovisualappliancetypespeaker.htm" TargetMode="External"/><Relationship Id="rId3295" Type="http://schemas.openxmlformats.org/officeDocument/2006/relationships/hyperlink" Target="https://standards.buildingsmart.org/IFC/RELEASE/IFC4/ADD2_TC1/HTML/schema/ifcelectricaldomain/pset/pset_audiovisualappliancetypedisplay.htm" TargetMode="External"/><Relationship Id="rId3155" Type="http://schemas.openxmlformats.org/officeDocument/2006/relationships/hyperlink" Target="https://standards.buildingsmart.org/IFC/RELEASE/IFC4/ADD2_TC1/HTML/schema/ifcsharedbldgelements/pset/pset_roofcommon.htm" TargetMode="External"/><Relationship Id="rId3362" Type="http://schemas.openxmlformats.org/officeDocument/2006/relationships/hyperlink" Target="https://standards.buildingsmart.org/IFC/RELEASE/IFC4/ADD2_TC1/HTML/schema/ifcsharedbldgserviceelements/pset/pset_distributionporttypecable.htm" TargetMode="External"/><Relationship Id="rId283" Type="http://schemas.openxmlformats.org/officeDocument/2006/relationships/hyperlink" Target="https://standards.buildingsmart.org/IFC/RELEASE/IFC4/ADD2_TC1/HTML/schema/ifcprocessextension/lexical/ifcsequenceenum.htm" TargetMode="External"/><Relationship Id="rId490" Type="http://schemas.openxmlformats.org/officeDocument/2006/relationships/hyperlink" Target="https://standards.buildingsmart.org/IFC/RELEASE/IFC4/ADD2_TC1/HTML/schema/ifcexternalreferenceresource/lexical/ifcclassificationreference.htm" TargetMode="External"/><Relationship Id="rId2171" Type="http://schemas.openxmlformats.org/officeDocument/2006/relationships/hyperlink" Target="https://standards.buildingsmart.org/IFC/RELEASE/IFC4/ADD2_TC1/HTML/schema/ifchvacdomain/pset/pset_compressortypecommon.htm" TargetMode="External"/><Relationship Id="rId3015" Type="http://schemas.openxmlformats.org/officeDocument/2006/relationships/hyperlink" Target="https://standards.buildingsmart.org/IFC/RELEASE/IFC4/ADD2_TC1/HTML/schema/ifcelectricaldomain/pset/pset_cablesegmenttypecablesegment.htm" TargetMode="External"/><Relationship Id="rId3222" Type="http://schemas.openxmlformats.org/officeDocument/2006/relationships/hyperlink" Target="https://standards.buildingsmart.org/IFC/RELEASE/IFC4/ADD2_TC1/HTML/schema/ifcsharedbldgserviceelements/pset/pset_spacethermalloadphistory.htm" TargetMode="External"/><Relationship Id="rId143" Type="http://schemas.openxmlformats.org/officeDocument/2006/relationships/hyperlink" Target="https://standards.buildingsmart.org/IFC/RELEASE/IFC4/ADD2_TC1/HTML/schema/ifcsharedbldgelements/lexical/ifcbeamtypeenum.htm" TargetMode="External"/><Relationship Id="rId350" Type="http://schemas.openxmlformats.org/officeDocument/2006/relationships/hyperlink" Target="https://standards.buildingsmart.org/IFC/RELEASE/IFC4/ADD2_TC1/HTML/schema/ifckernel/lexical/ifcdefinitionselect.htm" TargetMode="External"/><Relationship Id="rId2031" Type="http://schemas.openxmlformats.org/officeDocument/2006/relationships/hyperlink" Target="https://standards.buildingsmart.org/IFC/RELEASE/IFC4/ADD2_TC1/HTML/schema/ifcproductextension/pset/pset_environmentalimpactvalues.htm" TargetMode="External"/><Relationship Id="rId9" Type="http://schemas.openxmlformats.org/officeDocument/2006/relationships/hyperlink" Target="https://standards.buildingsmart.org/IFC/RELEASE/IFC4/ADD2_TC1/HTML/schema/ifcmeasureresource/lexical/ifctimemeasure.htm" TargetMode="External"/><Relationship Id="rId210" Type="http://schemas.openxmlformats.org/officeDocument/2006/relationships/hyperlink" Target="https://standards.buildingsmart.org/IFC/RELEASE/IFC4/ADD2_TC1/HTML/schema/ifcprocessextension/lexical/ifceventtypeenum.htm" TargetMode="External"/><Relationship Id="rId2988" Type="http://schemas.openxmlformats.org/officeDocument/2006/relationships/hyperlink" Target="https://standards.buildingsmart.org/IFC/RELEASE/IFC4/ADD2_TC1/HTML/schema/ifcsharedbldgserviceelements/pset/pset_outsidedesigncriteria.htm" TargetMode="External"/><Relationship Id="rId1797" Type="http://schemas.openxmlformats.org/officeDocument/2006/relationships/hyperlink" Target="https://standards.buildingsmart.org/IFC/RELEASE/IFC4/ADD2_TC1/HTML/schema/ifcelectricaldomain/pset/pset_electricmotortypecommon.htm" TargetMode="External"/><Relationship Id="rId2848" Type="http://schemas.openxmlformats.org/officeDocument/2006/relationships/hyperlink" Target="https://standards.buildingsmart.org/IFC/RELEASE/IFC4/ADD2_TC1/HTML/schema/ifcelectricaldomain/pset/pset_protectivedevicetrippingfunctionscurve.htm" TargetMode="External"/><Relationship Id="rId89" Type="http://schemas.openxmlformats.org/officeDocument/2006/relationships/hyperlink" Target="https://standards.buildingsmart.org/IFC/RELEASE/IFC4/ADD2_TC1/HTML/schema/ifcmeasureresource/lexical/ifcilluminancemeasure.htm" TargetMode="External"/><Relationship Id="rId1657" Type="http://schemas.openxmlformats.org/officeDocument/2006/relationships/hyperlink" Target="https://standards.buildingsmart.org/IFC/RELEASE/IFC4/ADD2_TC1/HTML/schema/ifcelectricaldomain/pset/pset_switchingdevicetypetoggleswitch.htm" TargetMode="External"/><Relationship Id="rId1864" Type="http://schemas.openxmlformats.org/officeDocument/2006/relationships/hyperlink" Target="https://standards.buildingsmart.org/IFC/RELEASE/IFC4/ADD2_TC1/HTML/schema/ifcmaterialresource/pset/pset_materialenergy.htm" TargetMode="External"/><Relationship Id="rId2708" Type="http://schemas.openxmlformats.org/officeDocument/2006/relationships/hyperlink" Target="https://standards.buildingsmart.org/IFC/RELEASE/IFC4/ADD2_TC1/HTML/schema/ifcsharedbldgelements/pset/pset_wallcommon.htm" TargetMode="External"/><Relationship Id="rId2915" Type="http://schemas.openxmlformats.org/officeDocument/2006/relationships/hyperlink" Target="https://standards.buildingsmart.org/IFC/RELEASE/IFC4/ADD2_TC1/HTML/schema/ifcsharedbldgelements/pset/pset_doorcommon.htm" TargetMode="External"/><Relationship Id="rId1517" Type="http://schemas.openxmlformats.org/officeDocument/2006/relationships/hyperlink" Target="https://standards.buildingsmart.org/IFC/RELEASE/IFC4/ADD2_TC1/HTML/schema/ifcelectricaldomain/pset/pset_protectivedevicetrippingcurve.htm" TargetMode="External"/><Relationship Id="rId1724" Type="http://schemas.openxmlformats.org/officeDocument/2006/relationships/hyperlink" Target="https://standards.buildingsmart.org/IFC/RELEASE/IFC4/ADD2_TC1/HTML/schema/ifcstructuralelementsdomain/pset/pset_reinforcingbarcommon.htm" TargetMode="External"/><Relationship Id="rId16" Type="http://schemas.openxmlformats.org/officeDocument/2006/relationships/hyperlink" Target="https://standards.buildingsmart.org/IFC/RELEASE/IFC4/ADD2_TC1/HTML/schema/ifcmeasureresource/lexical/ifcthermaladmittancemeasure.htm" TargetMode="External"/><Relationship Id="rId1931" Type="http://schemas.openxmlformats.org/officeDocument/2006/relationships/hyperlink" Target="https://standards.buildingsmart.org/IFC/RELEASE/IFC4/ADD2_TC1/HTML/schema/ifchvacdomain/pset/pset_ductsegmenttypecommon.htm" TargetMode="External"/><Relationship Id="rId3689" Type="http://schemas.openxmlformats.org/officeDocument/2006/relationships/hyperlink" Target="https://standards.buildingsmart.org/IFC/RELEASE/IFC4/ADD2_TC1/HTML/schema/ifcsharedbldgserviceelements/pset/pset_airsidesysteminformation.htm" TargetMode="External"/><Relationship Id="rId2498" Type="http://schemas.openxmlformats.org/officeDocument/2006/relationships/hyperlink" Target="https://standards.buildingsmart.org/IFC/RELEASE/IFC4/ADD2_TC1/HTML/schema/ifchvacdomain/pset/pset_ductsegmenttypecommon.htm" TargetMode="External"/><Relationship Id="rId3549" Type="http://schemas.openxmlformats.org/officeDocument/2006/relationships/hyperlink" Target="https://standards.buildingsmart.org/IFC/RELEASE/IFC4/ADD2_TC1/HTML/schema/ifchvacdomain/pset/pset_airterminalphistory.htm" TargetMode="External"/><Relationship Id="rId677" Type="http://schemas.openxmlformats.org/officeDocument/2006/relationships/hyperlink" Target="https://standards.buildingsmart.org/IFC/RELEASE/IFC4/ADD2_TC1/HTML/schema/ifcsharedbldgserviceelements/lexical/ifcflowmovingdevicetype.htm" TargetMode="External"/><Relationship Id="rId2358" Type="http://schemas.openxmlformats.org/officeDocument/2006/relationships/hyperlink" Target="https://standards.buildingsmart.org/IFC/RELEASE/IFC4/ADD2_TC1/HTML/schema/ifcplumbingfireprotectiondomain/pset/pset_wasteterminaltypefloortrap.htm" TargetMode="External"/><Relationship Id="rId3756" Type="http://schemas.openxmlformats.org/officeDocument/2006/relationships/hyperlink" Target="https://standards.buildingsmart.org/IFC/RELEASE/IFC4/ADD2_TC1/HTML/schema/ifcsharedbldgelements/pset/pset_doorcommon.htm" TargetMode="External"/><Relationship Id="rId884" Type="http://schemas.openxmlformats.org/officeDocument/2006/relationships/hyperlink" Target="https://standards.buildingsmart.org/IFC/RELEASE/IFC4/ADD2_TC1/HTML/schema/ifcquantityresource/lexical/ifcquantityweight.htm" TargetMode="External"/><Relationship Id="rId2565" Type="http://schemas.openxmlformats.org/officeDocument/2006/relationships/hyperlink" Target="https://standards.buildingsmart.org/IFC/RELEASE/IFC4/ADD2_TC1/HTML/schema/ifcbuildingcontrolsdomain/pset/pset_sensortypemovementsensor.htm" TargetMode="External"/><Relationship Id="rId2772" Type="http://schemas.openxmlformats.org/officeDocument/2006/relationships/hyperlink" Target="https://standards.buildingsmart.org/IFC/RELEASE/IFC4/ADD2_TC1/HTML/schema/ifcelectricaldomain/pset/pset_switchingdevicetypekeypad.htm" TargetMode="External"/><Relationship Id="rId3409" Type="http://schemas.openxmlformats.org/officeDocument/2006/relationships/hyperlink" Target="https://standards.buildingsmart.org/IFC/RELEASE/IFC4/ADD2_TC1/HTML/schema/ifcsharedbldgserviceelements/pset/pset_spacethermaldesign.htm" TargetMode="External"/><Relationship Id="rId3616" Type="http://schemas.openxmlformats.org/officeDocument/2006/relationships/hyperlink" Target="https://standards.buildingsmart.org/IFC/RELEASE/IFC4/ADD2_TC1/HTML/schema/ifcsharedbldgserviceelements/pset/pset_distributionchamberelementtypeformedduct.htm" TargetMode="External"/><Relationship Id="rId537" Type="http://schemas.openxmlformats.org/officeDocument/2006/relationships/hyperlink" Target="https://standards.buildingsmart.org/IFC/RELEASE/IFC4/ADD2_TC1/HTML/schema/ifchvacdomain/lexical/ifccoolingtowertype.htm" TargetMode="External"/><Relationship Id="rId744" Type="http://schemas.openxmlformats.org/officeDocument/2006/relationships/hyperlink" Target="https://standards.buildingsmart.org/IFC/RELEASE/IFC4/ADD2_TC1/HTML/schema/ifcprofileresource/lexical/ifclshapeprofiledef.htm" TargetMode="External"/><Relationship Id="rId951" Type="http://schemas.openxmlformats.org/officeDocument/2006/relationships/hyperlink" Target="https://standards.buildingsmart.org/IFC/RELEASE/IFC4/ADD2_TC1/HTML/schema/ifcproductextension/lexical/ifcrelservicesbuildings.htm" TargetMode="External"/><Relationship Id="rId1167" Type="http://schemas.openxmlformats.org/officeDocument/2006/relationships/hyperlink" Target="https://standards.buildingsmart.org/IFC/RELEASE/IFC4/ADD2_TC1/HTML/schema/ifcprofileresource/lexical/ifczshapeprofiledef.htm" TargetMode="External"/><Relationship Id="rId1374" Type="http://schemas.openxmlformats.org/officeDocument/2006/relationships/hyperlink" Target="https://standards.buildingsmart.org/IFC/RELEASE/IFC4/ADD2_TC1/HTML/schema/ifchvacdomain/pset/pset_humidifiertypecommon.htm" TargetMode="External"/><Relationship Id="rId1581" Type="http://schemas.openxmlformats.org/officeDocument/2006/relationships/hyperlink" Target="https://standards.buildingsmart.org/IFC/RELEASE/IFC4/ADD2_TC1/HTML/schema/ifcsharedbldgelements/pset/pset_coveringceiling.htm" TargetMode="External"/><Relationship Id="rId2218" Type="http://schemas.openxmlformats.org/officeDocument/2006/relationships/hyperlink" Target="https://standards.buildingsmart.org/IFC/RELEASE/IFC4/ADD2_TC1/HTML/schema/ifcelectricaldomain/pset/pset_electricflowstoragedevicetypecommon.htm" TargetMode="External"/><Relationship Id="rId2425" Type="http://schemas.openxmlformats.org/officeDocument/2006/relationships/hyperlink" Target="https://standards.buildingsmart.org/IFC/RELEASE/IFC4/ADD2_TC1/HTML/schema/ifchvacdomain/pset/pset_tanktypecommon.htm" TargetMode="External"/><Relationship Id="rId2632" Type="http://schemas.openxmlformats.org/officeDocument/2006/relationships/hyperlink" Target="https://standards.buildingsmart.org/IFC/RELEASE/IFC4/ADD2_TC1/HTML/schema/ifcelectricaldomain/pset/pset_lightfixturetypecommon.htm" TargetMode="External"/><Relationship Id="rId80" Type="http://schemas.openxmlformats.org/officeDocument/2006/relationships/hyperlink" Target="https://standards.buildingsmart.org/IFC/RELEASE/IFC4/ADD2_TC1/HTML/schema/ifcmeasureresource/lexical/ifclengthmeasure.htm" TargetMode="External"/><Relationship Id="rId604" Type="http://schemas.openxmlformats.org/officeDocument/2006/relationships/hyperlink" Target="https://standards.buildingsmart.org/IFC/RELEASE/IFC4/ADD2_TC1/HTML/schema/ifcelectricaldomain/lexical/ifcelectricdistributionboardtype.htm" TargetMode="External"/><Relationship Id="rId811" Type="http://schemas.openxmlformats.org/officeDocument/2006/relationships/hyperlink" Target="https://standards.buildingsmart.org/IFC/RELEASE/IFC4/ADD2_TC1/HTML/schema/ifchvacdomain/lexical/ifcpipefittingtype.htm" TargetMode="External"/><Relationship Id="rId1027" Type="http://schemas.openxmlformats.org/officeDocument/2006/relationships/hyperlink" Target="https://standards.buildingsmart.org/IFC/RELEASE/IFC4/ADD2_TC1/HTML/schema/ifcstructuralanalysisdomain/lexical/ifcstructuralcurvemembervarying.htm" TargetMode="External"/><Relationship Id="rId1234" Type="http://schemas.openxmlformats.org/officeDocument/2006/relationships/hyperlink" Target="https://standards.buildingsmart.org/IFC/RELEASE/IFC4/ADD2_TC1/HTML/schema/ifcelectricaldomain/qset/qto_protectivedevicebasequantities.htm" TargetMode="External"/><Relationship Id="rId1441" Type="http://schemas.openxmlformats.org/officeDocument/2006/relationships/hyperlink" Target="https://standards.buildingsmart.org/IFC/RELEASE/IFC4/ADD2_TC1/HTML/schema/ifcmaterialresource/pset/pset_materialenergy.htm" TargetMode="External"/><Relationship Id="rId1301" Type="http://schemas.openxmlformats.org/officeDocument/2006/relationships/hyperlink" Target="https://standards.buildingsmart.org/IFC/RELEASE/IFC4/ADD2_TC1/HTML/schema/ifckernel/lexical/ifcuniquedefinitionnames.htm" TargetMode="External"/><Relationship Id="rId3199" Type="http://schemas.openxmlformats.org/officeDocument/2006/relationships/hyperlink" Target="https://standards.buildingsmart.org/IFC/RELEASE/IFC4/ADD2_TC1/HTML/schema/ifchvacdomain/pset/pset_filtertypeairparticlefilter.htm" TargetMode="External"/><Relationship Id="rId3059" Type="http://schemas.openxmlformats.org/officeDocument/2006/relationships/hyperlink" Target="https://standards.buildingsmart.org/IFC/RELEASE/IFC4/ADD2_TC1/HTML/schema/ifcproductextension/pset/pset_zonecommon.htm" TargetMode="External"/><Relationship Id="rId3266" Type="http://schemas.openxmlformats.org/officeDocument/2006/relationships/hyperlink" Target="https://standards.buildingsmart.org/IFC/RELEASE/IFC4/ADD2_TC1/HTML/schema/ifcsharedcomponentelements/pset/pset_fastenerweld.htm" TargetMode="External"/><Relationship Id="rId3473" Type="http://schemas.openxmlformats.org/officeDocument/2006/relationships/hyperlink" Target="https://standards.buildingsmart.org/IFC/RELEASE/IFC4/ADD2_TC1/HTML/schema/ifchvacdomain/pset/pset_evaporatorphistory.htm" TargetMode="External"/><Relationship Id="rId187" Type="http://schemas.openxmlformats.org/officeDocument/2006/relationships/hyperlink" Target="https://standards.buildingsmart.org/IFC/RELEASE/IFC4/ADD2_TC1/HTML/schema/ifcexternalreferenceresource/lexical/ifcdocumentconfidentialityenum.htm" TargetMode="External"/><Relationship Id="rId394" Type="http://schemas.openxmlformats.org/officeDocument/2006/relationships/hyperlink" Target="https://standards.buildingsmart.org/IFC/RELEASE/IFC4/ADD2_TC1/HTML/schema/ifcstructuralloadresource/lexical/ifcwarpingstiffnessselect.htm" TargetMode="External"/><Relationship Id="rId2075" Type="http://schemas.openxmlformats.org/officeDocument/2006/relationships/hyperlink" Target="https://standards.buildingsmart.org/IFC/RELEASE/IFC4/ADD2_TC1/HTML/schema/ifchvacdomain/pset/pset_evaporatorphistory.htm" TargetMode="External"/><Relationship Id="rId2282" Type="http://schemas.openxmlformats.org/officeDocument/2006/relationships/hyperlink" Target="https://standards.buildingsmart.org/IFC/RELEASE/IFC4/ADD2_TC1/HTML/schema/ifcelectricaldomain/pset/pset_electricaldevicecommon.htm" TargetMode="External"/><Relationship Id="rId3126" Type="http://schemas.openxmlformats.org/officeDocument/2006/relationships/hyperlink" Target="https://standards.buildingsmart.org/IFC/RELEASE/IFC4/ADD2_TC1/HTML/schema/ifcproductextension/pset/pset_sitecommon.htm" TargetMode="External"/><Relationship Id="rId3680" Type="http://schemas.openxmlformats.org/officeDocument/2006/relationships/hyperlink" Target="https://standards.buildingsmart.org/IFC/RELEASE/IFC4/ADD2_TC1/HTML/schema/ifcstructuralelementsdomain/pset/pset_precastslab.htm" TargetMode="External"/><Relationship Id="rId254" Type="http://schemas.openxmlformats.org/officeDocument/2006/relationships/hyperlink" Target="https://standards.buildingsmart.org/IFC/RELEASE/IFC4/ADD2_TC1/HTML/schema/ifcstructuralelementsdomain/lexical/ifcpileconstructionenum.htm" TargetMode="External"/><Relationship Id="rId1091" Type="http://schemas.openxmlformats.org/officeDocument/2006/relationships/hyperlink" Target="https://standards.buildingsmart.org/IFC/RELEASE/IFC4/ADD2_TC1/HTML/schema/ifcdatetimeresource/lexical/ifctasktime.htm" TargetMode="External"/><Relationship Id="rId3333" Type="http://schemas.openxmlformats.org/officeDocument/2006/relationships/hyperlink" Target="https://standards.buildingsmart.org/IFC/RELEASE/IFC4/ADD2_TC1/HTML/schema/ifcsharedbldgserviceelements/pset/pset_airsidesysteminformation.htm" TargetMode="External"/><Relationship Id="rId3540" Type="http://schemas.openxmlformats.org/officeDocument/2006/relationships/hyperlink" Target="https://standards.buildingsmart.org/IFC/RELEASE/IFC4/ADD2_TC1/HTML/schema/ifchvacdomain/pset/pset_tanktypeexpansion.htm" TargetMode="External"/><Relationship Id="rId114" Type="http://schemas.openxmlformats.org/officeDocument/2006/relationships/hyperlink" Target="https://standards.buildingsmart.org/IFC/RELEASE/IFC4/ADD2_TC1/HTML/schema/ifcdatetimeresource/lexical/ifcdate.htm" TargetMode="External"/><Relationship Id="rId461" Type="http://schemas.openxmlformats.org/officeDocument/2006/relationships/hyperlink" Target="https://standards.buildingsmart.org/IFC/RELEASE/IFC4/ADD2_TC1/HTML/schema/ifchvacdomain/lexical/ifcburnertype.htm" TargetMode="External"/><Relationship Id="rId2142" Type="http://schemas.openxmlformats.org/officeDocument/2006/relationships/hyperlink" Target="https://standards.buildingsmart.org/IFC/RELEASE/IFC4/ADD2_TC1/HTML/schema/ifchvacdomain/pset/pset_flowmetertypecommon.htm" TargetMode="External"/><Relationship Id="rId3400" Type="http://schemas.openxmlformats.org/officeDocument/2006/relationships/hyperlink" Target="https://standards.buildingsmart.org/IFC/RELEASE/IFC4/ADD2_TC1/HTML/schema/ifchvacdomain/pset/pset_airterminaltypecommon.htm" TargetMode="External"/><Relationship Id="rId321" Type="http://schemas.openxmlformats.org/officeDocument/2006/relationships/hyperlink" Target="https://standards.buildingsmart.org/IFC/RELEASE/IFC4/ADD2_TC1/HTML/schema/ifchvacdomain/lexical/ifcvalvetypeenum.htm" TargetMode="External"/><Relationship Id="rId2002" Type="http://schemas.openxmlformats.org/officeDocument/2006/relationships/hyperlink" Target="https://standards.buildingsmart.org/IFC/RELEASE/IFC4/ADD2_TC1/HTML/schema/ifcelectricaldomain/pset/pset_cablesegmenttypecablesegment.htm" TargetMode="External"/><Relationship Id="rId2959" Type="http://schemas.openxmlformats.org/officeDocument/2006/relationships/hyperlink" Target="https://standards.buildingsmart.org/IFC/RELEASE/IFC4/ADD2_TC1/HTML/schema/ifcplumbingfireprotectiondomain/pset/pset_firesuppressionterminaltypehosereel.htm" TargetMode="External"/><Relationship Id="rId1768" Type="http://schemas.openxmlformats.org/officeDocument/2006/relationships/hyperlink" Target="https://standards.buildingsmart.org/IFC/RELEASE/IFC4/ADD2_TC1/HTML/schema/ifcsharedbldgserviceelements/pset/pset_distributionchamberelementcommon.htm" TargetMode="External"/><Relationship Id="rId2819" Type="http://schemas.openxmlformats.org/officeDocument/2006/relationships/hyperlink" Target="https://standards.buildingsmart.org/IFC/RELEASE/IFC4/ADD2_TC1/HTML/schema/ifcelectricaldomain/pset/pset_cablesegmenttypebusbarsegment.htm" TargetMode="External"/><Relationship Id="rId1628" Type="http://schemas.openxmlformats.org/officeDocument/2006/relationships/hyperlink" Target="https://standards.buildingsmart.org/IFC/RELEASE/IFC4/ADD2_TC1/HTML/schema/ifcbuildingcontrolsdomain/pset/pset_sensortypetemperaturesensor.htm" TargetMode="External"/><Relationship Id="rId1975" Type="http://schemas.openxmlformats.org/officeDocument/2006/relationships/hyperlink" Target="https://standards.buildingsmart.org/IFC/RELEASE/IFC4/ADD2_TC1/HTML/schema/ifchvacdomain/pset/pset_coiltypehydronic.htm" TargetMode="External"/><Relationship Id="rId3190" Type="http://schemas.openxmlformats.org/officeDocument/2006/relationships/hyperlink" Target="https://standards.buildingsmart.org/IFC/RELEASE/IFC4/ADD2_TC1/HTML/schema/ifchvacdomain/pset/pset_fanphistory.htm" TargetMode="External"/><Relationship Id="rId1835" Type="http://schemas.openxmlformats.org/officeDocument/2006/relationships/hyperlink" Target="https://standards.buildingsmart.org/IFC/RELEASE/IFC4/ADD2_TC1/HTML/schema/ifcsharedbldgelements/pset/pset_beamcommon.htm" TargetMode="External"/><Relationship Id="rId3050" Type="http://schemas.openxmlformats.org/officeDocument/2006/relationships/hyperlink" Target="https://standards.buildingsmart.org/IFC/RELEASE/IFC4/ADD2_TC1/HTML/schema/ifcelectricaldomain/pset/pset_cablesegmenttypecoresegment.htm" TargetMode="External"/><Relationship Id="rId1902" Type="http://schemas.openxmlformats.org/officeDocument/2006/relationships/hyperlink" Target="https://standards.buildingsmart.org/IFC/RELEASE/IFC4/ADD2_TC1/HTML/schema/ifcstructuralelementsdomain/pset/pset_reinforcementbarpitchofslab.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FCF6-0637-46A8-9CC0-1BF6FB3A6D15}">
  <sheetPr codeName="Planilha14"/>
  <dimension ref="A1:C24"/>
  <sheetViews>
    <sheetView zoomScale="220" zoomScaleNormal="220" workbookViewId="0">
      <selection activeCell="D15" sqref="D15"/>
    </sheetView>
  </sheetViews>
  <sheetFormatPr defaultRowHeight="6.95" customHeight="1" x14ac:dyDescent="0.2"/>
  <cols>
    <col min="1" max="1" width="8.83203125" bestFit="1" customWidth="1"/>
    <col min="2" max="2" width="65.33203125" style="65" customWidth="1"/>
    <col min="3" max="3" width="4.1640625" bestFit="1" customWidth="1"/>
  </cols>
  <sheetData>
    <row r="1" spans="1:3" ht="9" customHeight="1" x14ac:dyDescent="0.2">
      <c r="A1" s="27" t="s">
        <v>799</v>
      </c>
      <c r="B1" s="27" t="s">
        <v>797</v>
      </c>
      <c r="C1" s="28" t="s">
        <v>809</v>
      </c>
    </row>
    <row r="2" spans="1:3" ht="6.95" customHeight="1" x14ac:dyDescent="0.2">
      <c r="A2" s="29" t="s">
        <v>810</v>
      </c>
      <c r="B2" s="29" t="s">
        <v>811</v>
      </c>
      <c r="C2" s="30" t="s">
        <v>812</v>
      </c>
    </row>
    <row r="3" spans="1:3" ht="6.95" customHeight="1" x14ac:dyDescent="0.2">
      <c r="A3" s="29" t="s">
        <v>813</v>
      </c>
      <c r="B3" s="29" t="s">
        <v>843</v>
      </c>
      <c r="C3" s="30" t="s">
        <v>812</v>
      </c>
    </row>
    <row r="4" spans="1:3" ht="6.95" customHeight="1" x14ac:dyDescent="0.2">
      <c r="A4" s="31" t="s">
        <v>814</v>
      </c>
      <c r="B4" s="31" t="s">
        <v>815</v>
      </c>
      <c r="C4" s="30" t="s">
        <v>812</v>
      </c>
    </row>
    <row r="5" spans="1:3" ht="6.95" customHeight="1" x14ac:dyDescent="0.2">
      <c r="A5" s="31" t="s">
        <v>816</v>
      </c>
      <c r="B5" s="31" t="str">
        <f>_xlfn.CONCAT(B4,"Prop")</f>
        <v>BIMProp</v>
      </c>
      <c r="C5" s="30" t="s">
        <v>812</v>
      </c>
    </row>
    <row r="6" spans="1:3" ht="6.95" customHeight="1" x14ac:dyDescent="0.2">
      <c r="A6" s="31" t="s">
        <v>817</v>
      </c>
      <c r="B6" s="31" t="str">
        <f>_xlfn.CONCAT(B4,"Data")</f>
        <v>BIMData</v>
      </c>
      <c r="C6" s="30" t="s">
        <v>812</v>
      </c>
    </row>
    <row r="7" spans="1:3" ht="6.95" customHeight="1" x14ac:dyDescent="0.2">
      <c r="A7" s="31" t="s">
        <v>818</v>
      </c>
      <c r="B7" s="32" t="s">
        <v>819</v>
      </c>
      <c r="C7" s="30" t="s">
        <v>812</v>
      </c>
    </row>
    <row r="8" spans="1:3" ht="6.95" customHeight="1" x14ac:dyDescent="0.2">
      <c r="A8" s="33" t="s">
        <v>820</v>
      </c>
      <c r="B8" s="33" t="s">
        <v>821</v>
      </c>
      <c r="C8" s="30" t="s">
        <v>812</v>
      </c>
    </row>
    <row r="9" spans="1:3" ht="6.95" customHeight="1" x14ac:dyDescent="0.2">
      <c r="A9" s="31" t="s">
        <v>796</v>
      </c>
      <c r="B9" s="31" t="s">
        <v>822</v>
      </c>
      <c r="C9" s="30" t="s">
        <v>812</v>
      </c>
    </row>
    <row r="10" spans="1:3" ht="6.95" customHeight="1" x14ac:dyDescent="0.2">
      <c r="A10" s="31" t="s">
        <v>823</v>
      </c>
      <c r="B10" s="31" t="s">
        <v>824</v>
      </c>
      <c r="C10" s="30" t="s">
        <v>812</v>
      </c>
    </row>
    <row r="11" spans="1:3" ht="6.95" customHeight="1" x14ac:dyDescent="0.2">
      <c r="A11" s="31" t="s">
        <v>825</v>
      </c>
      <c r="B11" s="31" t="s">
        <v>824</v>
      </c>
      <c r="C11" s="30" t="s">
        <v>812</v>
      </c>
    </row>
    <row r="12" spans="1:3" ht="6.95" customHeight="1" x14ac:dyDescent="0.2">
      <c r="A12" s="31" t="s">
        <v>826</v>
      </c>
      <c r="B12" s="31" t="s">
        <v>824</v>
      </c>
      <c r="C12" s="30" t="s">
        <v>812</v>
      </c>
    </row>
    <row r="13" spans="1:3" ht="6.95" customHeight="1" x14ac:dyDescent="0.2">
      <c r="A13" s="31" t="s">
        <v>827</v>
      </c>
      <c r="B13" s="31" t="s">
        <v>824</v>
      </c>
      <c r="C13" s="30" t="s">
        <v>812</v>
      </c>
    </row>
    <row r="14" spans="1:3" ht="6.95" customHeight="1" x14ac:dyDescent="0.2">
      <c r="A14" s="31" t="s">
        <v>828</v>
      </c>
      <c r="B14" s="31" t="s">
        <v>824</v>
      </c>
      <c r="C14" s="30" t="s">
        <v>812</v>
      </c>
    </row>
    <row r="15" spans="1:3" ht="6.95" customHeight="1" x14ac:dyDescent="0.2">
      <c r="A15" s="31" t="s">
        <v>829</v>
      </c>
      <c r="B15" s="31" t="s">
        <v>824</v>
      </c>
      <c r="C15" s="30" t="s">
        <v>812</v>
      </c>
    </row>
    <row r="16" spans="1:3" ht="6.95" customHeight="1" x14ac:dyDescent="0.2">
      <c r="A16" s="31" t="s">
        <v>9408</v>
      </c>
      <c r="B16" s="64" t="s">
        <v>9407</v>
      </c>
      <c r="C16" s="30" t="s">
        <v>812</v>
      </c>
    </row>
    <row r="17" spans="1:3" ht="6.95" customHeight="1" x14ac:dyDescent="0.2">
      <c r="A17" s="31" t="s">
        <v>830</v>
      </c>
      <c r="B17" s="31" t="s">
        <v>844</v>
      </c>
      <c r="C17" s="30" t="s">
        <v>812</v>
      </c>
    </row>
    <row r="18" spans="1:3" ht="6.95" customHeight="1" x14ac:dyDescent="0.2">
      <c r="A18" s="31" t="s">
        <v>831</v>
      </c>
      <c r="B18" s="34">
        <f ca="1">NOW()</f>
        <v>46244.65373726852</v>
      </c>
      <c r="C18" s="30" t="s">
        <v>812</v>
      </c>
    </row>
    <row r="19" spans="1:3" ht="6.95" customHeight="1" x14ac:dyDescent="0.2">
      <c r="A19" s="31" t="s">
        <v>832</v>
      </c>
      <c r="B19" s="34" t="s">
        <v>833</v>
      </c>
      <c r="C19" s="30" t="s">
        <v>812</v>
      </c>
    </row>
    <row r="20" spans="1:3" ht="6.95" customHeight="1" x14ac:dyDescent="0.2">
      <c r="A20" s="31" t="s">
        <v>834</v>
      </c>
      <c r="B20" s="31" t="s">
        <v>824</v>
      </c>
      <c r="C20" s="30" t="s">
        <v>812</v>
      </c>
    </row>
    <row r="21" spans="1:3" ht="6.95" customHeight="1" x14ac:dyDescent="0.2">
      <c r="A21" s="31" t="s">
        <v>835</v>
      </c>
      <c r="B21" s="31" t="s">
        <v>824</v>
      </c>
      <c r="C21" s="30" t="s">
        <v>812</v>
      </c>
    </row>
    <row r="22" spans="1:3" ht="6.95" customHeight="1" x14ac:dyDescent="0.2">
      <c r="A22" s="31" t="s">
        <v>836</v>
      </c>
      <c r="B22" s="35" t="s">
        <v>837</v>
      </c>
      <c r="C22" s="30" t="s">
        <v>812</v>
      </c>
    </row>
    <row r="23" spans="1:3" ht="6.95" customHeight="1" x14ac:dyDescent="0.2">
      <c r="A23" s="31" t="s">
        <v>838</v>
      </c>
      <c r="B23" s="35" t="s">
        <v>839</v>
      </c>
      <c r="C23" s="30" t="s">
        <v>840</v>
      </c>
    </row>
    <row r="24" spans="1:3" ht="6.95" customHeight="1" x14ac:dyDescent="0.2">
      <c r="A24" s="31" t="s">
        <v>841</v>
      </c>
      <c r="B24" s="35" t="str">
        <f>_xlfn.TRANSLATE(B22,"pt","en")</f>
        <v>Formalize elements of the BIM project. Guiding ontology of the correspondence relationship between IFC Classes and Revit categories. A Revit BuiltInCategory is an enumeration used by the program's Application Program Interface (API) that allows you to guide the collection of the various elements used in the model. For example, for objects in the Walls category, your BuiltInCategory is OST_Walls. Thanks to these enumerations, application programmers can start the process of manipulating and controlling the objects of the model. IFC and Revit 2026 4x3 Versions were used. The Undefined Modeled classes will still be cataloged.</v>
      </c>
      <c r="C24" s="30" t="s">
        <v>842</v>
      </c>
    </row>
  </sheetData>
  <hyperlinks>
    <hyperlink ref="B16" r:id="rId1" xr:uid="{67E19429-3B34-42B2-A226-F2A3288DDDB6}"/>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5A45-8276-46DE-88C3-0C2F06AB1AA9}">
  <sheetPr codeName="Planilha15"/>
  <dimension ref="A1:AA13"/>
  <sheetViews>
    <sheetView topLeftCell="Q1" zoomScale="190" zoomScaleNormal="190" workbookViewId="0">
      <selection sqref="A1:XFD1048576"/>
    </sheetView>
  </sheetViews>
  <sheetFormatPr defaultColWidth="10.6640625" defaultRowHeight="6.75" customHeight="1" x14ac:dyDescent="0.2"/>
  <cols>
    <col min="1" max="1" width="2.83203125" bestFit="1" customWidth="1"/>
    <col min="2" max="2" width="7.33203125" style="79" bestFit="1" customWidth="1"/>
    <col min="3" max="3" width="12.1640625" style="79" bestFit="1" customWidth="1"/>
    <col min="4" max="4" width="7.1640625" style="79" bestFit="1" customWidth="1"/>
    <col min="5" max="5" width="5.5" style="79" bestFit="1" customWidth="1"/>
    <col min="6" max="6" width="10.5" style="79" bestFit="1" customWidth="1"/>
    <col min="7" max="11" width="6.5" style="79" bestFit="1" customWidth="1"/>
    <col min="12" max="12" width="12.1640625" style="79" bestFit="1" customWidth="1"/>
    <col min="13" max="13" width="7.1640625" style="79" bestFit="1" customWidth="1"/>
    <col min="14" max="15" width="10.5" style="79" bestFit="1" customWidth="1"/>
    <col min="16" max="17" width="255.83203125" style="79" bestFit="1" customWidth="1"/>
    <col min="18" max="18" width="4.1640625" style="79" bestFit="1" customWidth="1"/>
    <col min="19" max="19" width="12.1640625" style="79" bestFit="1" customWidth="1"/>
    <col min="20" max="20" width="7.1640625" style="79" bestFit="1" customWidth="1"/>
    <col min="21" max="21" width="10.5" style="79" bestFit="1" customWidth="1"/>
    <col min="22" max="22" width="12.1640625" style="79" bestFit="1" customWidth="1"/>
    <col min="23" max="23" width="9.5" style="79" bestFit="1" customWidth="1"/>
    <col min="24" max="24" width="7.33203125" style="79" bestFit="1" customWidth="1"/>
    <col min="25" max="25" width="5.1640625" style="79" bestFit="1" customWidth="1"/>
    <col min="26" max="26" width="4.5" style="79" bestFit="1" customWidth="1"/>
    <col min="27" max="27" width="255.83203125" style="79" bestFit="1" customWidth="1"/>
    <col min="28" max="16384" width="10.6640625" style="79"/>
  </cols>
  <sheetData>
    <row r="1" spans="1:27" s="84" customFormat="1" ht="51" customHeight="1" x14ac:dyDescent="0.15">
      <c r="A1" s="36">
        <v>1</v>
      </c>
      <c r="B1" s="37" t="s">
        <v>845</v>
      </c>
      <c r="C1" s="37" t="s">
        <v>846</v>
      </c>
      <c r="D1" s="37" t="s">
        <v>847</v>
      </c>
      <c r="E1" s="37" t="s">
        <v>848</v>
      </c>
      <c r="F1" s="37" t="s">
        <v>871</v>
      </c>
      <c r="G1" s="82" t="s">
        <v>849</v>
      </c>
      <c r="H1" s="82" t="s">
        <v>850</v>
      </c>
      <c r="I1" s="82" t="s">
        <v>851</v>
      </c>
      <c r="J1" s="82" t="s">
        <v>852</v>
      </c>
      <c r="K1" s="82" t="s">
        <v>853</v>
      </c>
      <c r="L1" s="38" t="s">
        <v>854</v>
      </c>
      <c r="M1" s="38" t="s">
        <v>855</v>
      </c>
      <c r="N1" s="38" t="s">
        <v>856</v>
      </c>
      <c r="O1" s="38" t="s">
        <v>857</v>
      </c>
      <c r="P1" s="38" t="s">
        <v>858</v>
      </c>
      <c r="Q1" s="38" t="s">
        <v>859</v>
      </c>
      <c r="R1" s="38" t="s">
        <v>860</v>
      </c>
      <c r="S1" s="38" t="s">
        <v>861</v>
      </c>
      <c r="T1" s="38" t="s">
        <v>862</v>
      </c>
      <c r="U1" s="38" t="s">
        <v>863</v>
      </c>
      <c r="V1" s="38" t="s">
        <v>864</v>
      </c>
      <c r="W1" s="37" t="s">
        <v>865</v>
      </c>
      <c r="X1" s="83" t="s">
        <v>866</v>
      </c>
      <c r="Y1" s="83" t="s">
        <v>867</v>
      </c>
      <c r="Z1" s="39" t="s">
        <v>868</v>
      </c>
      <c r="AA1" s="39" t="s">
        <v>869</v>
      </c>
    </row>
    <row r="2" spans="1:27" ht="6.75" customHeight="1" x14ac:dyDescent="0.2">
      <c r="A2" s="80">
        <v>2</v>
      </c>
      <c r="B2" s="41" t="s">
        <v>9729</v>
      </c>
      <c r="C2" s="42" t="s">
        <v>870</v>
      </c>
      <c r="D2" s="41" t="s">
        <v>9730</v>
      </c>
      <c r="E2" s="41" t="s">
        <v>9559</v>
      </c>
      <c r="F2" s="45" t="s">
        <v>872</v>
      </c>
      <c r="G2" s="81" t="s">
        <v>798</v>
      </c>
      <c r="H2" s="81" t="s">
        <v>798</v>
      </c>
      <c r="I2" s="81" t="s">
        <v>798</v>
      </c>
      <c r="J2" s="81" t="s">
        <v>798</v>
      </c>
      <c r="K2" s="81" t="s">
        <v>798</v>
      </c>
      <c r="L2" s="43" t="str">
        <f t="shared" ref="L2:L9" si="0">CONCATENATE("", C2)</f>
        <v>Interoperabilidade</v>
      </c>
      <c r="M2" s="43" t="str">
        <f t="shared" ref="M2:M9" si="1">CONCATENATE("", D2)</f>
        <v>Esquemas</v>
      </c>
      <c r="N2" s="43" t="str">
        <f t="shared" ref="N2:N9" si="2">(SUBSTITUTE(SUBSTITUTE(CONCATENATE("",F2),"."," ")," De "," de "))</f>
        <v>Ifc Propriedade</v>
      </c>
      <c r="O2" s="44" t="str">
        <f>IF(ISNUMBER(FIND("Ifc",F2)),CONCATENATE("",F2),CONCATENATE("Categ.  Rvt:   ",F2))</f>
        <v>Ifc.Propriedade</v>
      </c>
      <c r="P2" s="44" t="s">
        <v>9529</v>
      </c>
      <c r="Q2" s="44" t="s">
        <v>9549</v>
      </c>
      <c r="R2" s="44" t="s">
        <v>798</v>
      </c>
      <c r="S2" s="44" t="str">
        <f t="shared" ref="S2:S9" si="3">SUBSTITUTE(C2, "_", " ")</f>
        <v>Interoperabilidade</v>
      </c>
      <c r="T2" s="44" t="str">
        <f t="shared" ref="T2:T9" si="4">SUBSTITUTE(D2, "_", " ")</f>
        <v>Esquemas</v>
      </c>
      <c r="U2" s="44" t="str">
        <f t="shared" ref="U2:U9" si="5">SUBSTITUTE(F2, "_", " ")</f>
        <v>Ifc.Propriedade</v>
      </c>
      <c r="V2" s="44" t="s">
        <v>870</v>
      </c>
      <c r="W2" s="78" t="str">
        <f t="shared" ref="W2:W13" si="6">CONCATENATE("Key-IFC43-",A2)</f>
        <v>Key-IFC43-2</v>
      </c>
      <c r="X2" s="44" t="s">
        <v>798</v>
      </c>
      <c r="Y2" s="44" t="s">
        <v>798</v>
      </c>
      <c r="Z2" s="44" t="s">
        <v>798</v>
      </c>
      <c r="AA2" s="44" t="s">
        <v>9539</v>
      </c>
    </row>
    <row r="3" spans="1:27" ht="6.75" customHeight="1" x14ac:dyDescent="0.2">
      <c r="A3" s="80">
        <v>3</v>
      </c>
      <c r="B3" s="41" t="s">
        <v>9729</v>
      </c>
      <c r="C3" s="42" t="s">
        <v>870</v>
      </c>
      <c r="D3" s="41" t="s">
        <v>9730</v>
      </c>
      <c r="E3" s="41" t="s">
        <v>9559</v>
      </c>
      <c r="F3" s="46" t="s">
        <v>9506</v>
      </c>
      <c r="G3" s="81" t="s">
        <v>798</v>
      </c>
      <c r="H3" s="81" t="s">
        <v>798</v>
      </c>
      <c r="I3" s="81" t="s">
        <v>798</v>
      </c>
      <c r="J3" s="81" t="s">
        <v>798</v>
      </c>
      <c r="K3" s="81" t="s">
        <v>798</v>
      </c>
      <c r="L3" s="43" t="str">
        <f t="shared" si="0"/>
        <v>Interoperabilidade</v>
      </c>
      <c r="M3" s="43" t="str">
        <f t="shared" si="1"/>
        <v>Esquemas</v>
      </c>
      <c r="N3" s="43" t="str">
        <f t="shared" si="2"/>
        <v>Ifc Informa</v>
      </c>
      <c r="O3" s="44" t="str">
        <f t="shared" ref="O3:O12" si="7">IF(ISNUMBER(FIND("Ifc",F3)),CONCATENATE("",F3),CONCATENATE("Categ.  Rvt:   ",F3))</f>
        <v>Ifc.Informa</v>
      </c>
      <c r="P3" s="44" t="s">
        <v>9530</v>
      </c>
      <c r="Q3" s="44" t="s">
        <v>9550</v>
      </c>
      <c r="R3" s="44" t="s">
        <v>798</v>
      </c>
      <c r="S3" s="44" t="str">
        <f t="shared" si="3"/>
        <v>Interoperabilidade</v>
      </c>
      <c r="T3" s="44" t="str">
        <f t="shared" si="4"/>
        <v>Esquemas</v>
      </c>
      <c r="U3" s="44" t="str">
        <f t="shared" si="5"/>
        <v>Ifc.Informa</v>
      </c>
      <c r="V3" s="44" t="s">
        <v>870</v>
      </c>
      <c r="W3" s="78" t="str">
        <f t="shared" si="6"/>
        <v>Key-IFC43-3</v>
      </c>
      <c r="X3" s="44" t="s">
        <v>798</v>
      </c>
      <c r="Y3" s="44" t="s">
        <v>798</v>
      </c>
      <c r="Z3" s="44" t="s">
        <v>798</v>
      </c>
      <c r="AA3" s="44" t="s">
        <v>9540</v>
      </c>
    </row>
    <row r="4" spans="1:27" ht="6.75" customHeight="1" x14ac:dyDescent="0.2">
      <c r="A4" s="80">
        <v>4</v>
      </c>
      <c r="B4" s="41" t="s">
        <v>9729</v>
      </c>
      <c r="C4" s="42" t="s">
        <v>870</v>
      </c>
      <c r="D4" s="41" t="s">
        <v>9730</v>
      </c>
      <c r="E4" s="41" t="s">
        <v>9559</v>
      </c>
      <c r="F4" s="46" t="s">
        <v>873</v>
      </c>
      <c r="G4" s="81" t="s">
        <v>798</v>
      </c>
      <c r="H4" s="81" t="s">
        <v>798</v>
      </c>
      <c r="I4" s="81" t="s">
        <v>798</v>
      </c>
      <c r="J4" s="81" t="s">
        <v>798</v>
      </c>
      <c r="K4" s="81" t="s">
        <v>798</v>
      </c>
      <c r="L4" s="43" t="str">
        <f t="shared" si="0"/>
        <v>Interoperabilidade</v>
      </c>
      <c r="M4" s="43" t="str">
        <f t="shared" si="1"/>
        <v>Esquemas</v>
      </c>
      <c r="N4" s="43" t="str">
        <f t="shared" si="2"/>
        <v>Ifc Enumeração</v>
      </c>
      <c r="O4" s="44" t="str">
        <f t="shared" si="7"/>
        <v>Ifc.Enumeração</v>
      </c>
      <c r="P4" s="44" t="s">
        <v>9531</v>
      </c>
      <c r="Q4" s="44" t="s">
        <v>9551</v>
      </c>
      <c r="R4" s="44" t="s">
        <v>798</v>
      </c>
      <c r="S4" s="44" t="str">
        <f t="shared" si="3"/>
        <v>Interoperabilidade</v>
      </c>
      <c r="T4" s="44" t="str">
        <f t="shared" si="4"/>
        <v>Esquemas</v>
      </c>
      <c r="U4" s="44" t="str">
        <f t="shared" si="5"/>
        <v>Ifc.Enumeração</v>
      </c>
      <c r="V4" s="44" t="s">
        <v>870</v>
      </c>
      <c r="W4" s="78" t="str">
        <f t="shared" si="6"/>
        <v>Key-IFC43-4</v>
      </c>
      <c r="X4" s="44" t="s">
        <v>798</v>
      </c>
      <c r="Y4" s="44" t="s">
        <v>798</v>
      </c>
      <c r="Z4" s="44" t="s">
        <v>798</v>
      </c>
      <c r="AA4" s="44" t="s">
        <v>9541</v>
      </c>
    </row>
    <row r="5" spans="1:27" ht="6.75" customHeight="1" x14ac:dyDescent="0.2">
      <c r="A5" s="80">
        <v>5</v>
      </c>
      <c r="B5" s="41" t="s">
        <v>9729</v>
      </c>
      <c r="C5" s="42" t="s">
        <v>870</v>
      </c>
      <c r="D5" s="41" t="s">
        <v>9730</v>
      </c>
      <c r="E5" s="41" t="s">
        <v>9559</v>
      </c>
      <c r="F5" s="45" t="s">
        <v>877</v>
      </c>
      <c r="G5" s="81" t="s">
        <v>798</v>
      </c>
      <c r="H5" s="81" t="s">
        <v>798</v>
      </c>
      <c r="I5" s="81" t="s">
        <v>798</v>
      </c>
      <c r="J5" s="81" t="s">
        <v>798</v>
      </c>
      <c r="K5" s="81" t="s">
        <v>798</v>
      </c>
      <c r="L5" s="43" t="str">
        <f t="shared" si="0"/>
        <v>Interoperabilidade</v>
      </c>
      <c r="M5" s="43" t="str">
        <f t="shared" si="1"/>
        <v>Esquemas</v>
      </c>
      <c r="N5" s="43" t="str">
        <f t="shared" si="2"/>
        <v>Ifc SelectTypes</v>
      </c>
      <c r="O5" s="44" t="str">
        <f t="shared" si="7"/>
        <v>Ifc.SelectTypes</v>
      </c>
      <c r="P5" s="44" t="s">
        <v>9532</v>
      </c>
      <c r="Q5" s="44" t="s">
        <v>9552</v>
      </c>
      <c r="R5" s="44" t="s">
        <v>798</v>
      </c>
      <c r="S5" s="44" t="str">
        <f t="shared" si="3"/>
        <v>Interoperabilidade</v>
      </c>
      <c r="T5" s="44" t="str">
        <f t="shared" si="4"/>
        <v>Esquemas</v>
      </c>
      <c r="U5" s="44" t="str">
        <f t="shared" si="5"/>
        <v>Ifc.SelectTypes</v>
      </c>
      <c r="V5" s="44" t="s">
        <v>870</v>
      </c>
      <c r="W5" s="78" t="str">
        <f t="shared" si="6"/>
        <v>Key-IFC43-5</v>
      </c>
      <c r="X5" s="44" t="s">
        <v>798</v>
      </c>
      <c r="Y5" s="44" t="s">
        <v>798</v>
      </c>
      <c r="Z5" s="44" t="s">
        <v>798</v>
      </c>
      <c r="AA5" s="44" t="s">
        <v>9542</v>
      </c>
    </row>
    <row r="6" spans="1:27" ht="6.75" customHeight="1" x14ac:dyDescent="0.2">
      <c r="A6" s="80">
        <v>6</v>
      </c>
      <c r="B6" s="41" t="s">
        <v>9729</v>
      </c>
      <c r="C6" s="42" t="s">
        <v>870</v>
      </c>
      <c r="D6" s="41" t="s">
        <v>9730</v>
      </c>
      <c r="E6" s="41" t="s">
        <v>9559</v>
      </c>
      <c r="F6" s="47" t="s">
        <v>874</v>
      </c>
      <c r="G6" s="81" t="s">
        <v>798</v>
      </c>
      <c r="H6" s="81" t="s">
        <v>798</v>
      </c>
      <c r="I6" s="81" t="s">
        <v>798</v>
      </c>
      <c r="J6" s="81" t="s">
        <v>798</v>
      </c>
      <c r="K6" s="81" t="s">
        <v>798</v>
      </c>
      <c r="L6" s="43" t="str">
        <f t="shared" si="0"/>
        <v>Interoperabilidade</v>
      </c>
      <c r="M6" s="43" t="str">
        <f t="shared" si="1"/>
        <v>Esquemas</v>
      </c>
      <c r="N6" s="43" t="str">
        <f t="shared" si="2"/>
        <v>Ifc Entidade</v>
      </c>
      <c r="O6" s="44" t="str">
        <f t="shared" si="7"/>
        <v>Ifc.Entidade</v>
      </c>
      <c r="P6" s="44" t="s">
        <v>9533</v>
      </c>
      <c r="Q6" s="44" t="s">
        <v>9553</v>
      </c>
      <c r="R6" s="44" t="s">
        <v>798</v>
      </c>
      <c r="S6" s="44" t="str">
        <f t="shared" si="3"/>
        <v>Interoperabilidade</v>
      </c>
      <c r="T6" s="44" t="str">
        <f t="shared" si="4"/>
        <v>Esquemas</v>
      </c>
      <c r="U6" s="44" t="str">
        <f t="shared" si="5"/>
        <v>Ifc.Entidade</v>
      </c>
      <c r="V6" s="44" t="s">
        <v>870</v>
      </c>
      <c r="W6" s="78" t="str">
        <f t="shared" si="6"/>
        <v>Key-IFC43-6</v>
      </c>
      <c r="X6" s="44" t="s">
        <v>798</v>
      </c>
      <c r="Y6" s="44" t="s">
        <v>798</v>
      </c>
      <c r="Z6" s="44" t="s">
        <v>798</v>
      </c>
      <c r="AA6" s="44" t="s">
        <v>9543</v>
      </c>
    </row>
    <row r="7" spans="1:27" ht="6.75" customHeight="1" x14ac:dyDescent="0.2">
      <c r="A7" s="80">
        <v>7</v>
      </c>
      <c r="B7" s="41" t="s">
        <v>9729</v>
      </c>
      <c r="C7" s="42" t="s">
        <v>870</v>
      </c>
      <c r="D7" s="41" t="s">
        <v>9730</v>
      </c>
      <c r="E7" s="41" t="s">
        <v>9559</v>
      </c>
      <c r="F7" s="46" t="s">
        <v>875</v>
      </c>
      <c r="G7" s="81" t="s">
        <v>798</v>
      </c>
      <c r="H7" s="81" t="s">
        <v>798</v>
      </c>
      <c r="I7" s="81" t="s">
        <v>798</v>
      </c>
      <c r="J7" s="81" t="s">
        <v>798</v>
      </c>
      <c r="K7" s="81" t="s">
        <v>798</v>
      </c>
      <c r="L7" s="43" t="str">
        <f t="shared" si="0"/>
        <v>Interoperabilidade</v>
      </c>
      <c r="M7" s="43" t="str">
        <f t="shared" si="1"/>
        <v>Esquemas</v>
      </c>
      <c r="N7" s="43" t="str">
        <f t="shared" si="2"/>
        <v>Ifc Função</v>
      </c>
      <c r="O7" s="44" t="str">
        <f t="shared" si="7"/>
        <v>Ifc.Função</v>
      </c>
      <c r="P7" s="44" t="s">
        <v>9534</v>
      </c>
      <c r="Q7" s="44" t="s">
        <v>9554</v>
      </c>
      <c r="R7" s="44" t="s">
        <v>798</v>
      </c>
      <c r="S7" s="44" t="str">
        <f t="shared" si="3"/>
        <v>Interoperabilidade</v>
      </c>
      <c r="T7" s="44" t="str">
        <f t="shared" si="4"/>
        <v>Esquemas</v>
      </c>
      <c r="U7" s="44" t="str">
        <f t="shared" si="5"/>
        <v>Ifc.Função</v>
      </c>
      <c r="V7" s="44" t="s">
        <v>870</v>
      </c>
      <c r="W7" s="78" t="str">
        <f t="shared" si="6"/>
        <v>Key-IFC43-7</v>
      </c>
      <c r="X7" s="44" t="s">
        <v>798</v>
      </c>
      <c r="Y7" s="44" t="s">
        <v>798</v>
      </c>
      <c r="Z7" s="44" t="s">
        <v>798</v>
      </c>
      <c r="AA7" s="44" t="s">
        <v>9544</v>
      </c>
    </row>
    <row r="8" spans="1:27" ht="6.75" customHeight="1" x14ac:dyDescent="0.2">
      <c r="A8" s="80">
        <v>8</v>
      </c>
      <c r="B8" s="41" t="s">
        <v>9729</v>
      </c>
      <c r="C8" s="42" t="s">
        <v>870</v>
      </c>
      <c r="D8" s="41" t="s">
        <v>9730</v>
      </c>
      <c r="E8" s="41" t="s">
        <v>9559</v>
      </c>
      <c r="F8" s="46" t="s">
        <v>876</v>
      </c>
      <c r="G8" s="81" t="s">
        <v>798</v>
      </c>
      <c r="H8" s="81" t="s">
        <v>798</v>
      </c>
      <c r="I8" s="81" t="s">
        <v>798</v>
      </c>
      <c r="J8" s="81" t="s">
        <v>798</v>
      </c>
      <c r="K8" s="81" t="s">
        <v>798</v>
      </c>
      <c r="L8" s="43" t="str">
        <f t="shared" si="0"/>
        <v>Interoperabilidade</v>
      </c>
      <c r="M8" s="43" t="str">
        <f t="shared" si="1"/>
        <v>Esquemas</v>
      </c>
      <c r="N8" s="43" t="str">
        <f t="shared" si="2"/>
        <v>Ifc Regra</v>
      </c>
      <c r="O8" s="44" t="str">
        <f t="shared" si="7"/>
        <v>Ifc.Regra</v>
      </c>
      <c r="P8" s="44" t="s">
        <v>9535</v>
      </c>
      <c r="Q8" s="44" t="s">
        <v>9555</v>
      </c>
      <c r="R8" s="44" t="s">
        <v>798</v>
      </c>
      <c r="S8" s="44" t="str">
        <f t="shared" si="3"/>
        <v>Interoperabilidade</v>
      </c>
      <c r="T8" s="44" t="str">
        <f t="shared" si="4"/>
        <v>Esquemas</v>
      </c>
      <c r="U8" s="44" t="str">
        <f t="shared" si="5"/>
        <v>Ifc.Regra</v>
      </c>
      <c r="V8" s="44" t="s">
        <v>870</v>
      </c>
      <c r="W8" s="78" t="str">
        <f t="shared" si="6"/>
        <v>Key-IFC43-8</v>
      </c>
      <c r="X8" s="44" t="s">
        <v>798</v>
      </c>
      <c r="Y8" s="44" t="s">
        <v>798</v>
      </c>
      <c r="Z8" s="44" t="s">
        <v>798</v>
      </c>
      <c r="AA8" s="44" t="s">
        <v>9545</v>
      </c>
    </row>
    <row r="9" spans="1:27" ht="6.75" customHeight="1" x14ac:dyDescent="0.2">
      <c r="A9" s="80">
        <v>9</v>
      </c>
      <c r="B9" s="41" t="s">
        <v>9729</v>
      </c>
      <c r="C9" s="42" t="s">
        <v>870</v>
      </c>
      <c r="D9" s="41" t="s">
        <v>9730</v>
      </c>
      <c r="E9" s="41" t="s">
        <v>9559</v>
      </c>
      <c r="F9" s="46" t="s">
        <v>878</v>
      </c>
      <c r="G9" s="81" t="s">
        <v>798</v>
      </c>
      <c r="H9" s="81" t="s">
        <v>798</v>
      </c>
      <c r="I9" s="81" t="s">
        <v>798</v>
      </c>
      <c r="J9" s="81" t="s">
        <v>798</v>
      </c>
      <c r="K9" s="81" t="s">
        <v>798</v>
      </c>
      <c r="L9" s="43" t="str">
        <f t="shared" si="0"/>
        <v>Interoperabilidade</v>
      </c>
      <c r="M9" s="43" t="str">
        <f t="shared" si="1"/>
        <v>Esquemas</v>
      </c>
      <c r="N9" s="43" t="str">
        <f t="shared" si="2"/>
        <v>Ifc Quantidade</v>
      </c>
      <c r="O9" s="44" t="str">
        <f t="shared" si="7"/>
        <v>Ifc.Quantidade</v>
      </c>
      <c r="P9" s="44" t="s">
        <v>9536</v>
      </c>
      <c r="Q9" s="44" t="s">
        <v>9556</v>
      </c>
      <c r="R9" s="44" t="s">
        <v>798</v>
      </c>
      <c r="S9" s="44" t="str">
        <f t="shared" si="3"/>
        <v>Interoperabilidade</v>
      </c>
      <c r="T9" s="44" t="str">
        <f t="shared" si="4"/>
        <v>Esquemas</v>
      </c>
      <c r="U9" s="44" t="str">
        <f t="shared" si="5"/>
        <v>Ifc.Quantidade</v>
      </c>
      <c r="V9" s="44" t="s">
        <v>870</v>
      </c>
      <c r="W9" s="78" t="str">
        <f t="shared" si="6"/>
        <v>Key-IFC43-9</v>
      </c>
      <c r="X9" s="44" t="s">
        <v>798</v>
      </c>
      <c r="Y9" s="44" t="s">
        <v>798</v>
      </c>
      <c r="Z9" s="44" t="s">
        <v>798</v>
      </c>
      <c r="AA9" s="44" t="s">
        <v>9546</v>
      </c>
    </row>
    <row r="10" spans="1:27" ht="6.75" customHeight="1" x14ac:dyDescent="0.2">
      <c r="A10" s="80">
        <v>10</v>
      </c>
      <c r="B10" s="41" t="s">
        <v>9729</v>
      </c>
      <c r="C10" s="42" t="s">
        <v>870</v>
      </c>
      <c r="D10" s="41" t="s">
        <v>9730</v>
      </c>
      <c r="E10" s="41" t="s">
        <v>9559</v>
      </c>
      <c r="F10" s="46" t="s">
        <v>9452</v>
      </c>
      <c r="G10" s="81" t="s">
        <v>798</v>
      </c>
      <c r="H10" s="81" t="s">
        <v>798</v>
      </c>
      <c r="I10" s="81" t="s">
        <v>798</v>
      </c>
      <c r="J10" s="81" t="s">
        <v>798</v>
      </c>
      <c r="K10" s="81" t="s">
        <v>798</v>
      </c>
      <c r="L10" s="43" t="str">
        <f t="shared" ref="L10" si="8">CONCATENATE("", C10)</f>
        <v>Interoperabilidade</v>
      </c>
      <c r="M10" s="43" t="str">
        <f t="shared" ref="M10" si="9">CONCATENATE("", D10)</f>
        <v>Esquemas</v>
      </c>
      <c r="N10" s="43" t="str">
        <f t="shared" ref="N10" si="10">(SUBSTITUTE(SUBSTITUTE(CONCATENATE("",F10),"."," ")," De "," de "))</f>
        <v>Ifc Explica</v>
      </c>
      <c r="O10" s="44" t="str">
        <f t="shared" si="7"/>
        <v>Ifc.Explica</v>
      </c>
      <c r="P10" s="44" t="s">
        <v>9537</v>
      </c>
      <c r="Q10" s="44" t="s">
        <v>9557</v>
      </c>
      <c r="R10" s="44" t="s">
        <v>798</v>
      </c>
      <c r="S10" s="44" t="str">
        <f t="shared" ref="S10" si="11">SUBSTITUTE(C10, "_", " ")</f>
        <v>Interoperabilidade</v>
      </c>
      <c r="T10" s="44" t="str">
        <f t="shared" ref="T10" si="12">SUBSTITUTE(D10, "_", " ")</f>
        <v>Esquemas</v>
      </c>
      <c r="U10" s="44" t="str">
        <f t="shared" ref="U10" si="13">SUBSTITUTE(F10, "_", " ")</f>
        <v>Ifc.Explica</v>
      </c>
      <c r="V10" s="44" t="s">
        <v>870</v>
      </c>
      <c r="W10" s="78" t="str">
        <f t="shared" si="6"/>
        <v>Key-IFC43-10</v>
      </c>
      <c r="X10" s="44" t="s">
        <v>798</v>
      </c>
      <c r="Y10" s="44" t="s">
        <v>798</v>
      </c>
      <c r="Z10" s="44" t="s">
        <v>798</v>
      </c>
      <c r="AA10" s="44" t="s">
        <v>9547</v>
      </c>
    </row>
    <row r="11" spans="1:27" ht="6.75" customHeight="1" x14ac:dyDescent="0.2">
      <c r="A11" s="80">
        <v>11</v>
      </c>
      <c r="B11" s="41" t="s">
        <v>9729</v>
      </c>
      <c r="C11" s="42" t="s">
        <v>870</v>
      </c>
      <c r="D11" s="41" t="s">
        <v>9730</v>
      </c>
      <c r="E11" s="41" t="s">
        <v>9559</v>
      </c>
      <c r="F11" s="46" t="s">
        <v>9484</v>
      </c>
      <c r="G11" s="81" t="s">
        <v>798</v>
      </c>
      <c r="H11" s="81" t="s">
        <v>798</v>
      </c>
      <c r="I11" s="81" t="s">
        <v>798</v>
      </c>
      <c r="J11" s="81" t="s">
        <v>798</v>
      </c>
      <c r="K11" s="81" t="s">
        <v>798</v>
      </c>
      <c r="L11" s="43" t="str">
        <f t="shared" ref="L11:L12" si="14">CONCATENATE("", C11)</f>
        <v>Interoperabilidade</v>
      </c>
      <c r="M11" s="43" t="str">
        <f t="shared" ref="M11:M12" si="15">CONCATENATE("", D11)</f>
        <v>Esquemas</v>
      </c>
      <c r="N11" s="43" t="str">
        <f t="shared" ref="N11:N12" si="16">(SUBSTITUTE(SUBSTITUTE(CONCATENATE("",F11),"."," ")," De "," de "))</f>
        <v>Ifc Hierarquia</v>
      </c>
      <c r="O11" s="44" t="str">
        <f t="shared" si="7"/>
        <v>Ifc.Hierarquia</v>
      </c>
      <c r="P11" s="44" t="s">
        <v>9538</v>
      </c>
      <c r="Q11" s="44" t="s">
        <v>9558</v>
      </c>
      <c r="R11" s="44" t="s">
        <v>798</v>
      </c>
      <c r="S11" s="44" t="str">
        <f t="shared" ref="S11:S12" si="17">SUBSTITUTE(C11, "_", " ")</f>
        <v>Interoperabilidade</v>
      </c>
      <c r="T11" s="44" t="str">
        <f t="shared" ref="T11:T12" si="18">SUBSTITUTE(D11, "_", " ")</f>
        <v>Esquemas</v>
      </c>
      <c r="U11" s="44" t="str">
        <f t="shared" ref="U11:U12" si="19">SUBSTITUTE(F11, "_", " ")</f>
        <v>Ifc.Hierarquia</v>
      </c>
      <c r="V11" s="44" t="s">
        <v>870</v>
      </c>
      <c r="W11" s="78" t="str">
        <f t="shared" si="6"/>
        <v>Key-IFC43-11</v>
      </c>
      <c r="X11" s="44" t="s">
        <v>798</v>
      </c>
      <c r="Y11" s="44" t="s">
        <v>798</v>
      </c>
      <c r="Z11" s="44" t="s">
        <v>798</v>
      </c>
      <c r="AA11" s="44" t="s">
        <v>9548</v>
      </c>
    </row>
    <row r="12" spans="1:27" ht="6.75" customHeight="1" x14ac:dyDescent="0.2">
      <c r="A12" s="80">
        <v>12</v>
      </c>
      <c r="B12" s="41" t="s">
        <v>9729</v>
      </c>
      <c r="C12" s="42" t="s">
        <v>870</v>
      </c>
      <c r="D12" s="41" t="s">
        <v>9730</v>
      </c>
      <c r="E12" s="41" t="s">
        <v>9559</v>
      </c>
      <c r="F12" s="46" t="s">
        <v>9560</v>
      </c>
      <c r="G12" s="81" t="s">
        <v>798</v>
      </c>
      <c r="H12" s="81" t="s">
        <v>798</v>
      </c>
      <c r="I12" s="81" t="s">
        <v>798</v>
      </c>
      <c r="J12" s="81" t="s">
        <v>798</v>
      </c>
      <c r="K12" s="81" t="s">
        <v>798</v>
      </c>
      <c r="L12" s="43" t="str">
        <f t="shared" si="14"/>
        <v>Interoperabilidade</v>
      </c>
      <c r="M12" s="43" t="str">
        <f t="shared" si="15"/>
        <v>Esquemas</v>
      </c>
      <c r="N12" s="43" t="str">
        <f t="shared" si="16"/>
        <v>Ifc Natureza</v>
      </c>
      <c r="O12" s="44" t="str">
        <f t="shared" si="7"/>
        <v>Ifc.Natureza</v>
      </c>
      <c r="P12" s="44" t="s">
        <v>9567</v>
      </c>
      <c r="Q12" s="44" t="s">
        <v>9568</v>
      </c>
      <c r="R12" s="44" t="s">
        <v>798</v>
      </c>
      <c r="S12" s="44" t="str">
        <f t="shared" si="17"/>
        <v>Interoperabilidade</v>
      </c>
      <c r="T12" s="44" t="str">
        <f t="shared" si="18"/>
        <v>Esquemas</v>
      </c>
      <c r="U12" s="44" t="str">
        <f t="shared" si="19"/>
        <v>Ifc.Natureza</v>
      </c>
      <c r="V12" s="44" t="s">
        <v>870</v>
      </c>
      <c r="W12" s="78" t="str">
        <f t="shared" si="6"/>
        <v>Key-IFC43-12</v>
      </c>
      <c r="X12" s="44" t="s">
        <v>798</v>
      </c>
      <c r="Y12" s="44" t="s">
        <v>798</v>
      </c>
      <c r="Z12" s="44" t="s">
        <v>798</v>
      </c>
      <c r="AA12" s="44" t="s">
        <v>9569</v>
      </c>
    </row>
    <row r="13" spans="1:27" ht="6.75" customHeight="1" x14ac:dyDescent="0.2">
      <c r="A13" s="80">
        <v>13</v>
      </c>
      <c r="B13" s="41" t="s">
        <v>9729</v>
      </c>
      <c r="C13" s="42" t="s">
        <v>870</v>
      </c>
      <c r="D13" s="41" t="s">
        <v>9730</v>
      </c>
      <c r="E13" s="41" t="s">
        <v>9559</v>
      </c>
      <c r="F13" s="46" t="s">
        <v>9574</v>
      </c>
      <c r="G13" s="81" t="s">
        <v>798</v>
      </c>
      <c r="H13" s="81" t="s">
        <v>798</v>
      </c>
      <c r="I13" s="81" t="s">
        <v>798</v>
      </c>
      <c r="J13" s="81" t="s">
        <v>798</v>
      </c>
      <c r="K13" s="81" t="s">
        <v>798</v>
      </c>
      <c r="L13" s="43" t="str">
        <f t="shared" ref="L13" si="20">CONCATENATE("", C13)</f>
        <v>Interoperabilidade</v>
      </c>
      <c r="M13" s="43" t="str">
        <f t="shared" ref="M13" si="21">CONCATENATE("", D13)</f>
        <v>Esquemas</v>
      </c>
      <c r="N13" s="43" t="str">
        <f t="shared" ref="N13" si="22">(SUBSTITUTE(SUBSTITUTE(CONCATENATE("",F13),"."," ")," De "," de "))</f>
        <v>Ifc Domínio</v>
      </c>
      <c r="O13" s="44" t="str">
        <f t="shared" ref="O13" si="23">IF(ISNUMBER(FIND("Ifc",F13)),CONCATENATE("",F13),CONCATENATE("Categ.  Rvt:   ",F13))</f>
        <v>Ifc.Domínio</v>
      </c>
      <c r="P13" s="44" t="s">
        <v>9575</v>
      </c>
      <c r="Q13" s="44" t="s">
        <v>9576</v>
      </c>
      <c r="R13" s="44" t="s">
        <v>798</v>
      </c>
      <c r="S13" s="44" t="str">
        <f t="shared" ref="S13" si="24">SUBSTITUTE(C13, "_", " ")</f>
        <v>Interoperabilidade</v>
      </c>
      <c r="T13" s="44" t="str">
        <f t="shared" ref="T13" si="25">SUBSTITUTE(D13, "_", " ")</f>
        <v>Esquemas</v>
      </c>
      <c r="U13" s="44" t="str">
        <f t="shared" ref="U13" si="26">SUBSTITUTE(F13, "_", " ")</f>
        <v>Ifc.Domínio</v>
      </c>
      <c r="V13" s="44" t="s">
        <v>870</v>
      </c>
      <c r="W13" s="78" t="str">
        <f t="shared" si="6"/>
        <v>Key-IFC43-13</v>
      </c>
      <c r="X13" s="44" t="s">
        <v>798</v>
      </c>
      <c r="Y13" s="44" t="s">
        <v>798</v>
      </c>
      <c r="Z13" s="44" t="s">
        <v>798</v>
      </c>
      <c r="AA13" s="44" t="s">
        <v>9577</v>
      </c>
    </row>
  </sheetData>
  <conditionalFormatting sqref="A2:B13 AA2:AA13">
    <cfRule type="cellIs" dxfId="21" priority="6" operator="equal">
      <formula>"null"</formula>
    </cfRule>
  </conditionalFormatting>
  <conditionalFormatting sqref="Z1:AA1">
    <cfRule type="cellIs" dxfId="20" priority="27"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89E0-AD15-4DC4-98AC-F14614FE99CB}">
  <sheetPr codeName="Planilha16"/>
  <dimension ref="A1:U3"/>
  <sheetViews>
    <sheetView zoomScale="205" zoomScaleNormal="205" workbookViewId="0">
      <selection activeCell="D23" sqref="D23"/>
    </sheetView>
  </sheetViews>
  <sheetFormatPr defaultColWidth="13.1640625" defaultRowHeight="8.25" x14ac:dyDescent="0.15"/>
  <cols>
    <col min="1" max="1" width="3.33203125" style="56" customWidth="1"/>
    <col min="2" max="10" width="7.6640625" style="57" customWidth="1"/>
    <col min="11" max="21" width="7.6640625" style="55" customWidth="1"/>
    <col min="22" max="16384" width="13.1640625" style="55"/>
  </cols>
  <sheetData>
    <row r="1" spans="1:21" s="51" customFormat="1" ht="15.6" customHeight="1" x14ac:dyDescent="0.15">
      <c r="A1" s="48" t="s">
        <v>879</v>
      </c>
      <c r="B1" s="49" t="s">
        <v>880</v>
      </c>
      <c r="C1" s="49" t="s">
        <v>881</v>
      </c>
      <c r="D1" s="49" t="s">
        <v>882</v>
      </c>
      <c r="E1" s="49" t="s">
        <v>883</v>
      </c>
      <c r="F1" s="49" t="s">
        <v>884</v>
      </c>
      <c r="G1" s="49" t="s">
        <v>885</v>
      </c>
      <c r="H1" s="49" t="s">
        <v>886</v>
      </c>
      <c r="I1" s="49" t="s">
        <v>887</v>
      </c>
      <c r="J1" s="49" t="s">
        <v>888</v>
      </c>
      <c r="K1" s="49" t="s">
        <v>889</v>
      </c>
      <c r="L1" s="49" t="s">
        <v>890</v>
      </c>
      <c r="M1" s="49" t="s">
        <v>891</v>
      </c>
      <c r="N1" s="49" t="s">
        <v>892</v>
      </c>
      <c r="O1" s="49" t="s">
        <v>893</v>
      </c>
      <c r="P1" s="49" t="s">
        <v>894</v>
      </c>
      <c r="Q1" s="49" t="s">
        <v>895</v>
      </c>
      <c r="R1" s="49" t="s">
        <v>896</v>
      </c>
      <c r="S1" s="49" t="s">
        <v>897</v>
      </c>
      <c r="T1" s="49" t="s">
        <v>898</v>
      </c>
      <c r="U1" s="50" t="s">
        <v>899</v>
      </c>
    </row>
    <row r="2" spans="1:21" s="51" customFormat="1" x14ac:dyDescent="0.15">
      <c r="A2" s="52">
        <v>2</v>
      </c>
      <c r="B2" s="53" t="s">
        <v>798</v>
      </c>
      <c r="C2" s="53" t="s">
        <v>798</v>
      </c>
      <c r="D2" s="53" t="s">
        <v>798</v>
      </c>
      <c r="E2" s="53" t="s">
        <v>798</v>
      </c>
      <c r="F2" s="53" t="s">
        <v>798</v>
      </c>
      <c r="G2" s="53" t="s">
        <v>798</v>
      </c>
      <c r="H2" s="53" t="s">
        <v>798</v>
      </c>
      <c r="I2" s="53" t="s">
        <v>798</v>
      </c>
      <c r="J2" s="53" t="s">
        <v>798</v>
      </c>
      <c r="K2" s="53" t="s">
        <v>798</v>
      </c>
      <c r="L2" s="53" t="s">
        <v>798</v>
      </c>
      <c r="M2" s="53" t="s">
        <v>798</v>
      </c>
      <c r="N2" s="53" t="s">
        <v>798</v>
      </c>
      <c r="O2" s="53" t="s">
        <v>798</v>
      </c>
      <c r="P2" s="53" t="s">
        <v>798</v>
      </c>
      <c r="Q2" s="53" t="s">
        <v>798</v>
      </c>
      <c r="R2" s="53" t="s">
        <v>798</v>
      </c>
      <c r="S2" s="53" t="s">
        <v>798</v>
      </c>
      <c r="T2" s="53" t="s">
        <v>798</v>
      </c>
      <c r="U2" s="53" t="s">
        <v>798</v>
      </c>
    </row>
    <row r="3" spans="1:21" x14ac:dyDescent="0.15">
      <c r="A3" s="52">
        <v>3</v>
      </c>
      <c r="B3" s="53" t="s">
        <v>798</v>
      </c>
      <c r="C3" s="53" t="s">
        <v>798</v>
      </c>
      <c r="D3" s="53" t="s">
        <v>798</v>
      </c>
      <c r="E3" s="53" t="s">
        <v>798</v>
      </c>
      <c r="F3" s="53" t="s">
        <v>798</v>
      </c>
      <c r="G3" s="53" t="s">
        <v>798</v>
      </c>
      <c r="H3" s="53" t="s">
        <v>798</v>
      </c>
      <c r="I3" s="53" t="s">
        <v>798</v>
      </c>
      <c r="J3" s="53" t="s">
        <v>798</v>
      </c>
      <c r="K3" s="53" t="s">
        <v>798</v>
      </c>
      <c r="L3" s="53" t="s">
        <v>798</v>
      </c>
      <c r="M3" s="53" t="s">
        <v>798</v>
      </c>
      <c r="N3" s="53" t="s">
        <v>798</v>
      </c>
      <c r="O3" s="53" t="s">
        <v>798</v>
      </c>
      <c r="P3" s="53" t="s">
        <v>798</v>
      </c>
      <c r="Q3" s="53" t="s">
        <v>798</v>
      </c>
      <c r="R3" s="53" t="s">
        <v>798</v>
      </c>
      <c r="S3" s="53" t="s">
        <v>798</v>
      </c>
      <c r="T3" s="53" t="s">
        <v>798</v>
      </c>
      <c r="U3" s="54" t="s">
        <v>798</v>
      </c>
    </row>
  </sheetData>
  <conditionalFormatting sqref="A1:XFD1048576">
    <cfRule type="cellIs" dxfId="19" priority="1" operator="equal">
      <formula>"null"</formula>
    </cfRule>
  </conditionalFormatting>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D1F58-E12C-4CFF-B0CB-74B96F67AF9C}">
  <sheetPr codeName="Planilha17"/>
  <dimension ref="A1:G2"/>
  <sheetViews>
    <sheetView zoomScale="205" zoomScaleNormal="205" workbookViewId="0">
      <selection activeCell="E4" sqref="E4"/>
    </sheetView>
  </sheetViews>
  <sheetFormatPr defaultColWidth="10.6640625" defaultRowHeight="12" x14ac:dyDescent="0.2"/>
  <cols>
    <col min="1" max="1" width="1.33203125" style="61" bestFit="1" customWidth="1"/>
    <col min="2" max="2" width="7" style="62" bestFit="1" customWidth="1"/>
    <col min="3" max="3" width="13.33203125" style="62" bestFit="1" customWidth="1"/>
    <col min="4" max="7" width="12.83203125" style="62" bestFit="1" customWidth="1"/>
  </cols>
  <sheetData>
    <row r="1" spans="1:7" ht="33" customHeight="1" x14ac:dyDescent="0.2">
      <c r="A1" s="58">
        <v>0</v>
      </c>
      <c r="B1" s="59" t="s">
        <v>900</v>
      </c>
      <c r="C1" s="60" t="s">
        <v>901</v>
      </c>
      <c r="D1" s="60" t="s">
        <v>902</v>
      </c>
      <c r="E1" s="60" t="s">
        <v>902</v>
      </c>
      <c r="F1" s="60" t="s">
        <v>902</v>
      </c>
      <c r="G1" s="60" t="s">
        <v>902</v>
      </c>
    </row>
    <row r="2" spans="1:7" ht="8.25" customHeight="1" x14ac:dyDescent="0.2">
      <c r="A2" s="40">
        <v>2</v>
      </c>
      <c r="B2" s="44" t="s">
        <v>798</v>
      </c>
      <c r="C2" s="44" t="s">
        <v>798</v>
      </c>
      <c r="D2" s="44" t="s">
        <v>798</v>
      </c>
      <c r="E2" s="44" t="s">
        <v>798</v>
      </c>
      <c r="F2" s="44" t="s">
        <v>798</v>
      </c>
      <c r="G2" s="44" t="s">
        <v>798</v>
      </c>
    </row>
  </sheetData>
  <conditionalFormatting sqref="A1:G1 B3:G1048576">
    <cfRule type="containsText" dxfId="18" priority="5" operator="containsText" text="null">
      <formula>NOT(ISERROR(SEARCH("null",A1)))</formula>
    </cfRule>
  </conditionalFormatting>
  <conditionalFormatting sqref="B2">
    <cfRule type="duplicateValues" dxfId="17" priority="12"/>
    <cfRule type="duplicateValues" dxfId="16" priority="13"/>
  </conditionalFormatting>
  <conditionalFormatting sqref="B3:B1048576 A1:B1">
    <cfRule type="duplicateValues" dxfId="15" priority="6"/>
  </conditionalFormatting>
  <conditionalFormatting sqref="B3:B1048576 B1">
    <cfRule type="duplicateValues" dxfId="14" priority="4"/>
  </conditionalFormatting>
  <conditionalFormatting sqref="B2:G2">
    <cfRule type="containsText" dxfId="13"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0CFA-4A0C-4501-ADBE-B142CC1A7FEB}">
  <sheetPr codeName="Planilha9"/>
  <dimension ref="A1:AE3875"/>
  <sheetViews>
    <sheetView tabSelected="1" zoomScale="175" zoomScaleNormal="175" workbookViewId="0">
      <pane ySplit="1" topLeftCell="A2" activePane="bottomLeft" state="frozen"/>
      <selection pane="bottomLeft" activeCell="F5" sqref="F5"/>
    </sheetView>
  </sheetViews>
  <sheetFormatPr defaultColWidth="51.33203125" defaultRowHeight="8.65" customHeight="1" x14ac:dyDescent="0.2"/>
  <cols>
    <col min="1" max="1" width="4.5" style="77" bestFit="1" customWidth="1"/>
    <col min="2" max="2" width="20.5" style="68" bestFit="1" customWidth="1"/>
    <col min="3" max="3" width="14" style="11" customWidth="1"/>
    <col min="4" max="4" width="12.33203125" style="11" customWidth="1"/>
    <col min="5" max="5" width="11.1640625" style="11" customWidth="1"/>
    <col min="6" max="6" width="10.6640625" style="11" bestFit="1" customWidth="1"/>
    <col min="7" max="7" width="31.6640625" style="11" bestFit="1" customWidth="1"/>
    <col min="8" max="8" width="8.1640625" style="11" bestFit="1" customWidth="1"/>
    <col min="9" max="9" width="37.1640625" style="11" customWidth="1"/>
    <col min="10" max="10" width="10.5" style="11" customWidth="1"/>
    <col min="11" max="11" width="36.83203125" style="11" bestFit="1" customWidth="1"/>
    <col min="12" max="12" width="7" style="11" bestFit="1" customWidth="1"/>
    <col min="13" max="13" width="255.83203125" style="11" bestFit="1" customWidth="1"/>
    <col min="14" max="14" width="7" style="11" bestFit="1" customWidth="1"/>
    <col min="15" max="15" width="29" style="11" bestFit="1" customWidth="1"/>
    <col min="16" max="16" width="6.83203125" style="11" bestFit="1" customWidth="1"/>
    <col min="17" max="17" width="11.1640625" style="11" customWidth="1"/>
    <col min="18" max="18" width="11.33203125" style="11" bestFit="1" customWidth="1"/>
    <col min="19" max="19" width="28.5" style="11" bestFit="1" customWidth="1"/>
    <col min="20" max="20" width="7.5" style="11" bestFit="1" customWidth="1"/>
    <col min="21" max="21" width="43.33203125" style="11" bestFit="1" customWidth="1"/>
    <col min="22" max="22" width="6" style="11" bestFit="1" customWidth="1"/>
    <col min="23" max="23" width="19" style="11" bestFit="1" customWidth="1"/>
    <col min="24" max="24" width="10.6640625" style="11" bestFit="1" customWidth="1"/>
    <col min="25" max="25" width="11.83203125" style="11" bestFit="1" customWidth="1"/>
    <col min="26" max="26" width="9.5" style="11" bestFit="1" customWidth="1"/>
    <col min="27" max="27" width="12.83203125" style="11" bestFit="1" customWidth="1"/>
    <col min="28" max="28" width="9.5" style="11" bestFit="1" customWidth="1"/>
    <col min="29" max="29" width="8.33203125" style="11" bestFit="1" customWidth="1"/>
    <col min="30" max="30" width="7.5" style="11" bestFit="1" customWidth="1"/>
    <col min="31" max="31" width="15" style="11" bestFit="1" customWidth="1"/>
    <col min="32" max="16384" width="51.33203125" style="11"/>
  </cols>
  <sheetData>
    <row r="1" spans="1:31" s="10" customFormat="1" ht="35.65" customHeight="1" x14ac:dyDescent="0.2">
      <c r="A1" s="75">
        <v>1</v>
      </c>
      <c r="B1" s="66" t="s">
        <v>804</v>
      </c>
      <c r="C1" s="8" t="s">
        <v>805</v>
      </c>
      <c r="D1" s="8" t="s">
        <v>807</v>
      </c>
      <c r="E1" s="9" t="s">
        <v>808</v>
      </c>
      <c r="F1" s="8" t="s">
        <v>807</v>
      </c>
      <c r="G1" s="9" t="s">
        <v>808</v>
      </c>
      <c r="H1" s="8" t="s">
        <v>807</v>
      </c>
      <c r="I1" s="9" t="s">
        <v>808</v>
      </c>
      <c r="J1" s="8" t="s">
        <v>807</v>
      </c>
      <c r="K1" s="9" t="s">
        <v>808</v>
      </c>
      <c r="L1" s="8" t="s">
        <v>807</v>
      </c>
      <c r="M1" s="9" t="s">
        <v>808</v>
      </c>
      <c r="N1" s="8" t="s">
        <v>807</v>
      </c>
      <c r="O1" s="9" t="s">
        <v>808</v>
      </c>
      <c r="P1" s="8" t="s">
        <v>807</v>
      </c>
      <c r="Q1" s="9" t="s">
        <v>808</v>
      </c>
      <c r="R1" s="8" t="s">
        <v>807</v>
      </c>
      <c r="S1" s="9" t="s">
        <v>808</v>
      </c>
      <c r="T1" s="8" t="s">
        <v>807</v>
      </c>
      <c r="U1" s="9" t="s">
        <v>808</v>
      </c>
      <c r="V1" s="8" t="s">
        <v>807</v>
      </c>
      <c r="W1" s="9" t="s">
        <v>808</v>
      </c>
      <c r="X1" s="8" t="s">
        <v>807</v>
      </c>
      <c r="Y1" s="9" t="s">
        <v>9469</v>
      </c>
      <c r="Z1" s="8" t="s">
        <v>807</v>
      </c>
      <c r="AA1" s="9" t="s">
        <v>9469</v>
      </c>
      <c r="AB1" s="8" t="s">
        <v>807</v>
      </c>
      <c r="AC1" s="9" t="s">
        <v>9469</v>
      </c>
      <c r="AD1" s="8" t="s">
        <v>807</v>
      </c>
      <c r="AE1" s="9" t="s">
        <v>9469</v>
      </c>
    </row>
    <row r="2" spans="1:31" ht="8.65" customHeight="1" x14ac:dyDescent="0.2">
      <c r="A2" s="76">
        <v>2</v>
      </c>
      <c r="B2" s="67" t="str">
        <f>MID(C2, FIND("Ifc.", C2) + 4, 4) &amp; "_" &amp; TEXT(COUNTIF($C$2:C2, C2),"0000")</f>
        <v>Prop_0001</v>
      </c>
      <c r="C2" s="24" t="s">
        <v>872</v>
      </c>
      <c r="D2" s="69" t="s">
        <v>9453</v>
      </c>
      <c r="E2" s="70" t="s">
        <v>9454</v>
      </c>
      <c r="F2" s="17" t="s">
        <v>806</v>
      </c>
      <c r="G2" s="22" t="s">
        <v>1389</v>
      </c>
      <c r="H2" s="12" t="s">
        <v>9703</v>
      </c>
      <c r="I2" s="13" t="s">
        <v>6281</v>
      </c>
      <c r="J2" s="14" t="s">
        <v>798</v>
      </c>
      <c r="K2" s="15" t="s">
        <v>798</v>
      </c>
      <c r="L2" s="12" t="s">
        <v>5315</v>
      </c>
      <c r="M2" s="13" t="s">
        <v>5418</v>
      </c>
      <c r="N2" s="12" t="s">
        <v>803</v>
      </c>
      <c r="O2" s="13" t="s">
        <v>4918</v>
      </c>
      <c r="P2" s="17" t="s">
        <v>802</v>
      </c>
      <c r="Q2" s="21" t="s">
        <v>8016</v>
      </c>
      <c r="R2" s="17" t="s">
        <v>801</v>
      </c>
      <c r="S2" s="18" t="s">
        <v>2560</v>
      </c>
      <c r="T2" s="17" t="s">
        <v>800</v>
      </c>
      <c r="U2" s="18" t="s">
        <v>5236</v>
      </c>
      <c r="V2" s="17" t="s">
        <v>9418</v>
      </c>
      <c r="W2" s="18" t="s">
        <v>5309</v>
      </c>
      <c r="X2" s="69" t="s">
        <v>9453</v>
      </c>
      <c r="Y2" s="70" t="s">
        <v>9462</v>
      </c>
      <c r="Z2" s="73" t="s">
        <v>9486</v>
      </c>
      <c r="AA2" s="74" t="s">
        <v>9504</v>
      </c>
      <c r="AB2" s="73" t="s">
        <v>9486</v>
      </c>
      <c r="AC2" s="74" t="s">
        <v>9562</v>
      </c>
      <c r="AD2" s="73" t="s">
        <v>9578</v>
      </c>
      <c r="AE2" s="74" t="s">
        <v>9579</v>
      </c>
    </row>
    <row r="3" spans="1:31" ht="8.65" customHeight="1" x14ac:dyDescent="0.2">
      <c r="A3" s="76">
        <v>3</v>
      </c>
      <c r="B3" s="67" t="str">
        <f>MID(C3, FIND("Ifc.", C3) + 4, 4) &amp; "_" &amp; TEXT(COUNTIF($C$2:C3, C3),"0000")</f>
        <v>Prop_0002</v>
      </c>
      <c r="C3" s="24" t="s">
        <v>872</v>
      </c>
      <c r="D3" s="69" t="s">
        <v>9453</v>
      </c>
      <c r="E3" s="70" t="s">
        <v>9454</v>
      </c>
      <c r="F3" s="17" t="s">
        <v>806</v>
      </c>
      <c r="G3" s="22" t="s">
        <v>2517</v>
      </c>
      <c r="H3" s="12" t="s">
        <v>9703</v>
      </c>
      <c r="I3" s="13" t="s">
        <v>6831</v>
      </c>
      <c r="J3" s="14" t="s">
        <v>798</v>
      </c>
      <c r="K3" s="15" t="s">
        <v>798</v>
      </c>
      <c r="L3" s="12" t="s">
        <v>5315</v>
      </c>
      <c r="M3" s="13" t="s">
        <v>5578</v>
      </c>
      <c r="N3" s="12" t="s">
        <v>803</v>
      </c>
      <c r="O3" s="13" t="s">
        <v>5224</v>
      </c>
      <c r="P3" s="17" t="s">
        <v>802</v>
      </c>
      <c r="Q3" s="21" t="s">
        <v>7677</v>
      </c>
      <c r="R3" s="17" t="s">
        <v>801</v>
      </c>
      <c r="S3" s="18" t="s">
        <v>2624</v>
      </c>
      <c r="T3" s="17" t="s">
        <v>800</v>
      </c>
      <c r="U3" s="18" t="s">
        <v>5243</v>
      </c>
      <c r="V3" s="17" t="s">
        <v>9418</v>
      </c>
      <c r="W3" s="18" t="s">
        <v>5309</v>
      </c>
      <c r="X3" s="69" t="s">
        <v>9453</v>
      </c>
      <c r="Y3" s="70" t="s">
        <v>9462</v>
      </c>
      <c r="Z3" s="73" t="s">
        <v>9486</v>
      </c>
      <c r="AA3" s="74" t="s">
        <v>9504</v>
      </c>
      <c r="AB3" s="73" t="s">
        <v>9486</v>
      </c>
      <c r="AC3" s="74" t="s">
        <v>9566</v>
      </c>
      <c r="AD3" s="73" t="s">
        <v>9578</v>
      </c>
      <c r="AE3" s="74" t="s">
        <v>9579</v>
      </c>
    </row>
    <row r="4" spans="1:31" ht="8.65" customHeight="1" x14ac:dyDescent="0.2">
      <c r="A4" s="76">
        <v>4</v>
      </c>
      <c r="B4" s="67" t="str">
        <f>MID(C4, FIND("Ifc.", C4) + 4, 4) &amp; "_" &amp; TEXT(COUNTIF($C$2:C4, C4),"0000")</f>
        <v>Prop_0003</v>
      </c>
      <c r="C4" s="24" t="s">
        <v>872</v>
      </c>
      <c r="D4" s="69" t="s">
        <v>9453</v>
      </c>
      <c r="E4" s="70" t="s">
        <v>9454</v>
      </c>
      <c r="F4" s="17" t="s">
        <v>806</v>
      </c>
      <c r="G4" s="22" t="s">
        <v>1382</v>
      </c>
      <c r="H4" s="12" t="s">
        <v>9703</v>
      </c>
      <c r="I4" s="13" t="s">
        <v>7549</v>
      </c>
      <c r="J4" s="14" t="s">
        <v>798</v>
      </c>
      <c r="K4" s="15" t="s">
        <v>798</v>
      </c>
      <c r="L4" s="12" t="s">
        <v>5315</v>
      </c>
      <c r="M4" s="13" t="s">
        <v>5421</v>
      </c>
      <c r="N4" s="12" t="s">
        <v>803</v>
      </c>
      <c r="O4" s="13" t="s">
        <v>4921</v>
      </c>
      <c r="P4" s="17" t="s">
        <v>802</v>
      </c>
      <c r="Q4" s="21" t="s">
        <v>7678</v>
      </c>
      <c r="R4" s="17" t="s">
        <v>801</v>
      </c>
      <c r="S4" s="18" t="s">
        <v>2554</v>
      </c>
      <c r="T4" s="17" t="s">
        <v>800</v>
      </c>
      <c r="U4" s="18" t="s">
        <v>5233</v>
      </c>
      <c r="V4" s="17" t="s">
        <v>9418</v>
      </c>
      <c r="W4" s="18" t="s">
        <v>5309</v>
      </c>
      <c r="X4" s="69" t="s">
        <v>9453</v>
      </c>
      <c r="Y4" s="70" t="s">
        <v>9462</v>
      </c>
      <c r="Z4" s="73" t="s">
        <v>9486</v>
      </c>
      <c r="AA4" s="74" t="s">
        <v>9504</v>
      </c>
      <c r="AB4" s="73" t="s">
        <v>9486</v>
      </c>
      <c r="AC4" s="74" t="s">
        <v>9562</v>
      </c>
      <c r="AD4" s="73" t="s">
        <v>9578</v>
      </c>
      <c r="AE4" s="74" t="s">
        <v>9579</v>
      </c>
    </row>
    <row r="5" spans="1:31" ht="8.65" customHeight="1" x14ac:dyDescent="0.2">
      <c r="A5" s="76">
        <v>5</v>
      </c>
      <c r="B5" s="67" t="str">
        <f>MID(C5, FIND("Ifc.", C5) + 4, 4) &amp; "_" &amp; TEXT(COUNTIF($C$2:C5, C5),"0000")</f>
        <v>Prop_0004</v>
      </c>
      <c r="C5" s="24" t="s">
        <v>872</v>
      </c>
      <c r="D5" s="69" t="s">
        <v>9453</v>
      </c>
      <c r="E5" s="70" t="s">
        <v>9454</v>
      </c>
      <c r="F5" s="17" t="s">
        <v>806</v>
      </c>
      <c r="G5" s="22" t="s">
        <v>1030</v>
      </c>
      <c r="H5" s="12" t="s">
        <v>9703</v>
      </c>
      <c r="I5" s="13" t="s">
        <v>7610</v>
      </c>
      <c r="J5" s="14" t="s">
        <v>798</v>
      </c>
      <c r="K5" s="15" t="s">
        <v>798</v>
      </c>
      <c r="L5" s="12" t="s">
        <v>5315</v>
      </c>
      <c r="M5" s="13" t="s">
        <v>5385</v>
      </c>
      <c r="N5" s="12" t="s">
        <v>803</v>
      </c>
      <c r="O5" s="13" t="s">
        <v>4842</v>
      </c>
      <c r="P5" s="17" t="s">
        <v>802</v>
      </c>
      <c r="Q5" s="21" t="s">
        <v>7679</v>
      </c>
      <c r="R5" s="17" t="s">
        <v>801</v>
      </c>
      <c r="S5" s="18" t="s">
        <v>2554</v>
      </c>
      <c r="T5" s="17" t="s">
        <v>800</v>
      </c>
      <c r="U5" s="18" t="s">
        <v>5233</v>
      </c>
      <c r="V5" s="17" t="s">
        <v>9418</v>
      </c>
      <c r="W5" s="18" t="s">
        <v>5310</v>
      </c>
      <c r="X5" s="69" t="s">
        <v>9453</v>
      </c>
      <c r="Y5" s="70" t="s">
        <v>9463</v>
      </c>
      <c r="Z5" s="73" t="s">
        <v>9486</v>
      </c>
      <c r="AA5" s="74" t="s">
        <v>9504</v>
      </c>
      <c r="AB5" s="73" t="s">
        <v>9486</v>
      </c>
      <c r="AC5" s="74" t="s">
        <v>9562</v>
      </c>
      <c r="AD5" s="73" t="s">
        <v>9578</v>
      </c>
      <c r="AE5" s="74" t="s">
        <v>9704</v>
      </c>
    </row>
    <row r="6" spans="1:31" ht="8.65" customHeight="1" x14ac:dyDescent="0.2">
      <c r="A6" s="76">
        <v>6</v>
      </c>
      <c r="B6" s="67" t="str">
        <f>MID(C6, FIND("Ifc.", C6) + 4, 4) &amp; "_" &amp; TEXT(COUNTIF($C$2:C6, C6),"0000")</f>
        <v>Prop_0005</v>
      </c>
      <c r="C6" s="24" t="s">
        <v>872</v>
      </c>
      <c r="D6" s="69" t="s">
        <v>9453</v>
      </c>
      <c r="E6" s="70" t="s">
        <v>9454</v>
      </c>
      <c r="F6" s="17" t="s">
        <v>806</v>
      </c>
      <c r="G6" s="22" t="s">
        <v>2143</v>
      </c>
      <c r="H6" s="12" t="s">
        <v>9703</v>
      </c>
      <c r="I6" s="13" t="s">
        <v>7610</v>
      </c>
      <c r="J6" s="14" t="s">
        <v>798</v>
      </c>
      <c r="K6" s="15" t="s">
        <v>798</v>
      </c>
      <c r="L6" s="12" t="s">
        <v>5315</v>
      </c>
      <c r="M6" s="13" t="s">
        <v>5498</v>
      </c>
      <c r="N6" s="12" t="s">
        <v>803</v>
      </c>
      <c r="O6" s="13" t="s">
        <v>5112</v>
      </c>
      <c r="P6" s="17" t="s">
        <v>802</v>
      </c>
      <c r="Q6" s="21" t="s">
        <v>7680</v>
      </c>
      <c r="R6" s="17" t="s">
        <v>801</v>
      </c>
      <c r="S6" s="18" t="s">
        <v>2554</v>
      </c>
      <c r="T6" s="17" t="s">
        <v>800</v>
      </c>
      <c r="U6" s="18" t="s">
        <v>5233</v>
      </c>
      <c r="V6" s="17" t="s">
        <v>9418</v>
      </c>
      <c r="W6" s="18" t="s">
        <v>5310</v>
      </c>
      <c r="X6" s="69" t="s">
        <v>9453</v>
      </c>
      <c r="Y6" s="70" t="s">
        <v>9463</v>
      </c>
      <c r="Z6" s="73" t="s">
        <v>9486</v>
      </c>
      <c r="AA6" s="74" t="s">
        <v>9504</v>
      </c>
      <c r="AB6" s="73" t="s">
        <v>9486</v>
      </c>
      <c r="AC6" s="74" t="s">
        <v>9562</v>
      </c>
      <c r="AD6" s="73" t="s">
        <v>9578</v>
      </c>
      <c r="AE6" s="74" t="s">
        <v>9704</v>
      </c>
    </row>
    <row r="7" spans="1:31" ht="8.65" customHeight="1" x14ac:dyDescent="0.2">
      <c r="A7" s="76">
        <v>7</v>
      </c>
      <c r="B7" s="67" t="str">
        <f>MID(C7, FIND("Ifc.", C7) + 4, 4) &amp; "_" &amp; TEXT(COUNTIF($C$2:C7, C7),"0000")</f>
        <v>Prop_0006</v>
      </c>
      <c r="C7" s="24" t="s">
        <v>872</v>
      </c>
      <c r="D7" s="69" t="s">
        <v>9453</v>
      </c>
      <c r="E7" s="70" t="s">
        <v>9454</v>
      </c>
      <c r="F7" s="17" t="s">
        <v>806</v>
      </c>
      <c r="G7" s="22" t="s">
        <v>913</v>
      </c>
      <c r="H7" s="12" t="s">
        <v>9703</v>
      </c>
      <c r="I7" s="13" t="s">
        <v>7404</v>
      </c>
      <c r="J7" s="14" t="s">
        <v>798</v>
      </c>
      <c r="K7" s="15" t="s">
        <v>798</v>
      </c>
      <c r="L7" s="12" t="s">
        <v>5315</v>
      </c>
      <c r="M7" s="13" t="s">
        <v>5369</v>
      </c>
      <c r="N7" s="12" t="s">
        <v>803</v>
      </c>
      <c r="O7" s="13" t="s">
        <v>4810</v>
      </c>
      <c r="P7" s="17" t="s">
        <v>802</v>
      </c>
      <c r="Q7" s="21" t="s">
        <v>7681</v>
      </c>
      <c r="R7" s="17" t="s">
        <v>801</v>
      </c>
      <c r="S7" s="18" t="s">
        <v>2669</v>
      </c>
      <c r="T7" s="17" t="s">
        <v>800</v>
      </c>
      <c r="U7" s="18" t="s">
        <v>5237</v>
      </c>
      <c r="V7" s="17" t="s">
        <v>9418</v>
      </c>
      <c r="W7" s="18" t="s">
        <v>5309</v>
      </c>
      <c r="X7" s="69" t="s">
        <v>9453</v>
      </c>
      <c r="Y7" s="70" t="s">
        <v>9462</v>
      </c>
      <c r="Z7" s="73" t="s">
        <v>9486</v>
      </c>
      <c r="AA7" s="74" t="s">
        <v>9504</v>
      </c>
      <c r="AB7" s="73" t="s">
        <v>9486</v>
      </c>
      <c r="AC7" s="74" t="s">
        <v>9562</v>
      </c>
      <c r="AD7" s="73" t="s">
        <v>9578</v>
      </c>
      <c r="AE7" s="74" t="s">
        <v>9579</v>
      </c>
    </row>
    <row r="8" spans="1:31" ht="8.65" customHeight="1" x14ac:dyDescent="0.2">
      <c r="A8" s="76">
        <v>8</v>
      </c>
      <c r="B8" s="67" t="str">
        <f>MID(C8, FIND("Ifc.", C8) + 4, 4) &amp; "_" &amp; TEXT(COUNTIF($C$2:C8, C8),"0000")</f>
        <v>Prop_0007</v>
      </c>
      <c r="C8" s="24" t="s">
        <v>872</v>
      </c>
      <c r="D8" s="69" t="s">
        <v>9453</v>
      </c>
      <c r="E8" s="70" t="s">
        <v>9454</v>
      </c>
      <c r="F8" s="17" t="s">
        <v>806</v>
      </c>
      <c r="G8" s="22" t="s">
        <v>913</v>
      </c>
      <c r="H8" s="12" t="s">
        <v>9703</v>
      </c>
      <c r="I8" s="13" t="s">
        <v>7404</v>
      </c>
      <c r="J8" s="14" t="s">
        <v>798</v>
      </c>
      <c r="K8" s="15" t="s">
        <v>798</v>
      </c>
      <c r="L8" s="12" t="s">
        <v>5315</v>
      </c>
      <c r="M8" s="13" t="s">
        <v>5568</v>
      </c>
      <c r="N8" s="12" t="s">
        <v>803</v>
      </c>
      <c r="O8" s="13" t="s">
        <v>5201</v>
      </c>
      <c r="P8" s="17" t="s">
        <v>802</v>
      </c>
      <c r="Q8" s="21" t="s">
        <v>7682</v>
      </c>
      <c r="R8" s="17" t="s">
        <v>801</v>
      </c>
      <c r="S8" s="18" t="s">
        <v>2669</v>
      </c>
      <c r="T8" s="17" t="s">
        <v>800</v>
      </c>
      <c r="U8" s="18" t="s">
        <v>5237</v>
      </c>
      <c r="V8" s="17" t="s">
        <v>9418</v>
      </c>
      <c r="W8" s="18" t="s">
        <v>5309</v>
      </c>
      <c r="X8" s="69" t="s">
        <v>9453</v>
      </c>
      <c r="Y8" s="70" t="s">
        <v>9462</v>
      </c>
      <c r="Z8" s="73" t="s">
        <v>9486</v>
      </c>
      <c r="AA8" s="74" t="s">
        <v>9504</v>
      </c>
      <c r="AB8" s="73" t="s">
        <v>9486</v>
      </c>
      <c r="AC8" s="74" t="s">
        <v>9562</v>
      </c>
      <c r="AD8" s="73" t="s">
        <v>9578</v>
      </c>
      <c r="AE8" s="74" t="s">
        <v>9579</v>
      </c>
    </row>
    <row r="9" spans="1:31" ht="8.65" customHeight="1" x14ac:dyDescent="0.2">
      <c r="A9" s="76">
        <v>9</v>
      </c>
      <c r="B9" s="67" t="str">
        <f>MID(C9, FIND("Ifc.", C9) + 4, 4) &amp; "_" &amp; TEXT(COUNTIF($C$2:C9, C9),"0000")</f>
        <v>Prop_0008</v>
      </c>
      <c r="C9" s="24" t="s">
        <v>872</v>
      </c>
      <c r="D9" s="69" t="s">
        <v>9453</v>
      </c>
      <c r="E9" s="70" t="s">
        <v>9454</v>
      </c>
      <c r="F9" s="17" t="s">
        <v>806</v>
      </c>
      <c r="G9" s="22" t="s">
        <v>1202</v>
      </c>
      <c r="H9" s="12" t="s">
        <v>9703</v>
      </c>
      <c r="I9" s="13" t="s">
        <v>6482</v>
      </c>
      <c r="J9" s="14" t="s">
        <v>798</v>
      </c>
      <c r="K9" s="15" t="s">
        <v>798</v>
      </c>
      <c r="L9" s="12" t="s">
        <v>5315</v>
      </c>
      <c r="M9" s="13" t="s">
        <v>5821</v>
      </c>
      <c r="N9" s="12" t="s">
        <v>803</v>
      </c>
      <c r="O9" s="13" t="s">
        <v>4883</v>
      </c>
      <c r="P9" s="17" t="s">
        <v>802</v>
      </c>
      <c r="Q9" s="21" t="s">
        <v>7683</v>
      </c>
      <c r="R9" s="17" t="s">
        <v>801</v>
      </c>
      <c r="S9" s="18" t="s">
        <v>2554</v>
      </c>
      <c r="T9" s="17" t="s">
        <v>800</v>
      </c>
      <c r="U9" s="18" t="s">
        <v>5233</v>
      </c>
      <c r="V9" s="17" t="s">
        <v>9418</v>
      </c>
      <c r="W9" s="18" t="s">
        <v>5310</v>
      </c>
      <c r="X9" s="69" t="s">
        <v>9453</v>
      </c>
      <c r="Y9" s="70" t="s">
        <v>9463</v>
      </c>
      <c r="Z9" s="73" t="s">
        <v>9486</v>
      </c>
      <c r="AA9" s="74" t="s">
        <v>9504</v>
      </c>
      <c r="AB9" s="73" t="s">
        <v>9486</v>
      </c>
      <c r="AC9" s="74" t="s">
        <v>9562</v>
      </c>
      <c r="AD9" s="73" t="s">
        <v>9578</v>
      </c>
      <c r="AE9" s="74" t="s">
        <v>9579</v>
      </c>
    </row>
    <row r="10" spans="1:31" ht="8.65" customHeight="1" x14ac:dyDescent="0.2">
      <c r="A10" s="76">
        <v>10</v>
      </c>
      <c r="B10" s="67" t="str">
        <f>MID(C10, FIND("Ifc.", C10) + 4, 4) &amp; "_" &amp; TEXT(COUNTIF($C$2:C10, C10),"0000")</f>
        <v>Prop_0009</v>
      </c>
      <c r="C10" s="24" t="s">
        <v>872</v>
      </c>
      <c r="D10" s="69" t="s">
        <v>9453</v>
      </c>
      <c r="E10" s="70" t="s">
        <v>9454</v>
      </c>
      <c r="F10" s="17" t="s">
        <v>806</v>
      </c>
      <c r="G10" s="22" t="s">
        <v>941</v>
      </c>
      <c r="H10" s="12" t="s">
        <v>9703</v>
      </c>
      <c r="I10" s="13" t="s">
        <v>6078</v>
      </c>
      <c r="J10" s="14" t="s">
        <v>798</v>
      </c>
      <c r="K10" s="15" t="s">
        <v>798</v>
      </c>
      <c r="L10" s="12" t="s">
        <v>5315</v>
      </c>
      <c r="M10" s="13" t="s">
        <v>5374</v>
      </c>
      <c r="N10" s="12" t="s">
        <v>803</v>
      </c>
      <c r="O10" s="13" t="s">
        <v>4816</v>
      </c>
      <c r="P10" s="17" t="s">
        <v>802</v>
      </c>
      <c r="Q10" s="21" t="s">
        <v>7684</v>
      </c>
      <c r="R10" s="17" t="s">
        <v>801</v>
      </c>
      <c r="S10" s="18" t="s">
        <v>2560</v>
      </c>
      <c r="T10" s="17" t="s">
        <v>800</v>
      </c>
      <c r="U10" s="18" t="s">
        <v>5236</v>
      </c>
      <c r="V10" s="17" t="s">
        <v>9418</v>
      </c>
      <c r="W10" s="18" t="s">
        <v>5309</v>
      </c>
      <c r="X10" s="69" t="s">
        <v>9453</v>
      </c>
      <c r="Y10" s="70" t="s">
        <v>9462</v>
      </c>
      <c r="Z10" s="73" t="s">
        <v>9486</v>
      </c>
      <c r="AA10" s="74" t="s">
        <v>9504</v>
      </c>
      <c r="AB10" s="73" t="s">
        <v>9486</v>
      </c>
      <c r="AC10" s="74" t="s">
        <v>9562</v>
      </c>
      <c r="AD10" s="73" t="s">
        <v>9578</v>
      </c>
      <c r="AE10" s="74" t="s">
        <v>9579</v>
      </c>
    </row>
    <row r="11" spans="1:31" ht="8.65" customHeight="1" x14ac:dyDescent="0.2">
      <c r="A11" s="76">
        <v>11</v>
      </c>
      <c r="B11" s="67" t="str">
        <f>MID(C11, FIND("Ifc.", C11) + 4, 4) &amp; "_" &amp; TEXT(COUNTIF($C$2:C11, C11),"0000")</f>
        <v>Prop_0010</v>
      </c>
      <c r="C11" s="24" t="s">
        <v>872</v>
      </c>
      <c r="D11" s="69" t="s">
        <v>9453</v>
      </c>
      <c r="E11" s="70" t="s">
        <v>9454</v>
      </c>
      <c r="F11" s="17" t="s">
        <v>806</v>
      </c>
      <c r="G11" s="22" t="s">
        <v>941</v>
      </c>
      <c r="H11" s="12" t="s">
        <v>9703</v>
      </c>
      <c r="I11" s="13" t="s">
        <v>6078</v>
      </c>
      <c r="J11" s="14" t="s">
        <v>798</v>
      </c>
      <c r="K11" s="15" t="s">
        <v>798</v>
      </c>
      <c r="L11" s="12" t="s">
        <v>5315</v>
      </c>
      <c r="M11" s="13" t="s">
        <v>5582</v>
      </c>
      <c r="N11" s="12" t="s">
        <v>803</v>
      </c>
      <c r="O11" s="13" t="s">
        <v>5229</v>
      </c>
      <c r="P11" s="17" t="s">
        <v>802</v>
      </c>
      <c r="Q11" s="21" t="s">
        <v>7685</v>
      </c>
      <c r="R11" s="17" t="s">
        <v>801</v>
      </c>
      <c r="S11" s="18" t="s">
        <v>2560</v>
      </c>
      <c r="T11" s="17" t="s">
        <v>800</v>
      </c>
      <c r="U11" s="18" t="s">
        <v>5236</v>
      </c>
      <c r="V11" s="17" t="s">
        <v>9418</v>
      </c>
      <c r="W11" s="18" t="s">
        <v>5309</v>
      </c>
      <c r="X11" s="69" t="s">
        <v>9453</v>
      </c>
      <c r="Y11" s="70" t="s">
        <v>9462</v>
      </c>
      <c r="Z11" s="73" t="s">
        <v>9486</v>
      </c>
      <c r="AA11" s="74" t="s">
        <v>9504</v>
      </c>
      <c r="AB11" s="73" t="s">
        <v>9486</v>
      </c>
      <c r="AC11" s="74" t="s">
        <v>9562</v>
      </c>
      <c r="AD11" s="73" t="s">
        <v>9578</v>
      </c>
      <c r="AE11" s="74" t="s">
        <v>9579</v>
      </c>
    </row>
    <row r="12" spans="1:31" ht="8.65" customHeight="1" x14ac:dyDescent="0.2">
      <c r="A12" s="76">
        <v>12</v>
      </c>
      <c r="B12" s="67" t="str">
        <f>MID(C12, FIND("Ifc.", C12) + 4, 4) &amp; "_" &amp; TEXT(COUNTIF($C$2:C12, C12),"0000")</f>
        <v>Prop_0011</v>
      </c>
      <c r="C12" s="24" t="s">
        <v>872</v>
      </c>
      <c r="D12" s="69" t="s">
        <v>9453</v>
      </c>
      <c r="E12" s="70" t="s">
        <v>9454</v>
      </c>
      <c r="F12" s="17" t="s">
        <v>806</v>
      </c>
      <c r="G12" s="22" t="s">
        <v>940</v>
      </c>
      <c r="H12" s="12" t="s">
        <v>9703</v>
      </c>
      <c r="I12" s="13" t="s">
        <v>6844</v>
      </c>
      <c r="J12" s="14" t="s">
        <v>798</v>
      </c>
      <c r="K12" s="15" t="s">
        <v>798</v>
      </c>
      <c r="L12" s="12" t="s">
        <v>5315</v>
      </c>
      <c r="M12" s="13" t="s">
        <v>5374</v>
      </c>
      <c r="N12" s="12" t="s">
        <v>803</v>
      </c>
      <c r="O12" s="13" t="s">
        <v>4816</v>
      </c>
      <c r="P12" s="17" t="s">
        <v>802</v>
      </c>
      <c r="Q12" s="21" t="s">
        <v>7684</v>
      </c>
      <c r="R12" s="17" t="s">
        <v>801</v>
      </c>
      <c r="S12" s="18" t="s">
        <v>2560</v>
      </c>
      <c r="T12" s="17" t="s">
        <v>800</v>
      </c>
      <c r="U12" s="18" t="s">
        <v>5236</v>
      </c>
      <c r="V12" s="17" t="s">
        <v>9418</v>
      </c>
      <c r="W12" s="18" t="s">
        <v>5309</v>
      </c>
      <c r="X12" s="69" t="s">
        <v>9453</v>
      </c>
      <c r="Y12" s="70" t="s">
        <v>9462</v>
      </c>
      <c r="Z12" s="73" t="s">
        <v>9486</v>
      </c>
      <c r="AA12" s="74" t="s">
        <v>9504</v>
      </c>
      <c r="AB12" s="73" t="s">
        <v>9486</v>
      </c>
      <c r="AC12" s="74" t="s">
        <v>9562</v>
      </c>
      <c r="AD12" s="73" t="s">
        <v>9578</v>
      </c>
      <c r="AE12" s="74" t="s">
        <v>9579</v>
      </c>
    </row>
    <row r="13" spans="1:31" ht="8.65" customHeight="1" x14ac:dyDescent="0.2">
      <c r="A13" s="76">
        <v>13</v>
      </c>
      <c r="B13" s="67" t="str">
        <f>MID(C13, FIND("Ifc.", C13) + 4, 4) &amp; "_" &amp; TEXT(COUNTIF($C$2:C13, C13),"0000")</f>
        <v>Prop_0012</v>
      </c>
      <c r="C13" s="24" t="s">
        <v>872</v>
      </c>
      <c r="D13" s="69" t="s">
        <v>9453</v>
      </c>
      <c r="E13" s="70" t="s">
        <v>9454</v>
      </c>
      <c r="F13" s="17" t="s">
        <v>806</v>
      </c>
      <c r="G13" s="22" t="s">
        <v>940</v>
      </c>
      <c r="H13" s="12" t="s">
        <v>9703</v>
      </c>
      <c r="I13" s="13" t="s">
        <v>6844</v>
      </c>
      <c r="J13" s="14" t="s">
        <v>798</v>
      </c>
      <c r="K13" s="15" t="s">
        <v>798</v>
      </c>
      <c r="L13" s="12" t="s">
        <v>5315</v>
      </c>
      <c r="M13" s="13" t="s">
        <v>6054</v>
      </c>
      <c r="N13" s="12" t="s">
        <v>803</v>
      </c>
      <c r="O13" s="13" t="s">
        <v>4927</v>
      </c>
      <c r="P13" s="17" t="s">
        <v>802</v>
      </c>
      <c r="Q13" s="21" t="s">
        <v>7686</v>
      </c>
      <c r="R13" s="17" t="s">
        <v>801</v>
      </c>
      <c r="S13" s="18" t="s">
        <v>2560</v>
      </c>
      <c r="T13" s="17" t="s">
        <v>800</v>
      </c>
      <c r="U13" s="18" t="s">
        <v>5236</v>
      </c>
      <c r="V13" s="17" t="s">
        <v>9418</v>
      </c>
      <c r="W13" s="18" t="s">
        <v>5309</v>
      </c>
      <c r="X13" s="69" t="s">
        <v>9453</v>
      </c>
      <c r="Y13" s="70" t="s">
        <v>9462</v>
      </c>
      <c r="Z13" s="73" t="s">
        <v>9486</v>
      </c>
      <c r="AA13" s="74" t="s">
        <v>9504</v>
      </c>
      <c r="AB13" s="73" t="s">
        <v>9486</v>
      </c>
      <c r="AC13" s="74" t="s">
        <v>9562</v>
      </c>
      <c r="AD13" s="73" t="s">
        <v>9578</v>
      </c>
      <c r="AE13" s="74" t="s">
        <v>9579</v>
      </c>
    </row>
    <row r="14" spans="1:31" ht="8.65" customHeight="1" x14ac:dyDescent="0.2">
      <c r="A14" s="76">
        <v>14</v>
      </c>
      <c r="B14" s="67" t="str">
        <f>MID(C14, FIND("Ifc.", C14) + 4, 4) &amp; "_" &amp; TEXT(COUNTIF($C$2:C14, C14),"0000")</f>
        <v>Prop_0013</v>
      </c>
      <c r="C14" s="24" t="s">
        <v>872</v>
      </c>
      <c r="D14" s="69" t="s">
        <v>9453</v>
      </c>
      <c r="E14" s="70" t="s">
        <v>9454</v>
      </c>
      <c r="F14" s="17" t="s">
        <v>806</v>
      </c>
      <c r="G14" s="22" t="s">
        <v>940</v>
      </c>
      <c r="H14" s="12" t="s">
        <v>9703</v>
      </c>
      <c r="I14" s="13" t="s">
        <v>6844</v>
      </c>
      <c r="J14" s="14" t="s">
        <v>798</v>
      </c>
      <c r="K14" s="15" t="s">
        <v>798</v>
      </c>
      <c r="L14" s="12" t="s">
        <v>5315</v>
      </c>
      <c r="M14" s="13" t="s">
        <v>5487</v>
      </c>
      <c r="N14" s="12" t="s">
        <v>803</v>
      </c>
      <c r="O14" s="13" t="s">
        <v>5095</v>
      </c>
      <c r="P14" s="17" t="s">
        <v>802</v>
      </c>
      <c r="Q14" s="21" t="s">
        <v>7687</v>
      </c>
      <c r="R14" s="17" t="s">
        <v>801</v>
      </c>
      <c r="S14" s="18" t="s">
        <v>2560</v>
      </c>
      <c r="T14" s="17" t="s">
        <v>800</v>
      </c>
      <c r="U14" s="18" t="s">
        <v>5236</v>
      </c>
      <c r="V14" s="17" t="s">
        <v>9418</v>
      </c>
      <c r="W14" s="18" t="s">
        <v>5309</v>
      </c>
      <c r="X14" s="69" t="s">
        <v>9453</v>
      </c>
      <c r="Y14" s="70" t="s">
        <v>9462</v>
      </c>
      <c r="Z14" s="73" t="s">
        <v>9486</v>
      </c>
      <c r="AA14" s="74" t="s">
        <v>9504</v>
      </c>
      <c r="AB14" s="73" t="s">
        <v>9486</v>
      </c>
      <c r="AC14" s="74" t="s">
        <v>9562</v>
      </c>
      <c r="AD14" s="73" t="s">
        <v>9578</v>
      </c>
      <c r="AE14" s="74" t="s">
        <v>9579</v>
      </c>
    </row>
    <row r="15" spans="1:31" ht="8.65" customHeight="1" x14ac:dyDescent="0.2">
      <c r="A15" s="76">
        <v>15</v>
      </c>
      <c r="B15" s="67" t="str">
        <f>MID(C15, FIND("Ifc.", C15) + 4, 4) &amp; "_" &amp; TEXT(COUNTIF($C$2:C15, C15),"0000")</f>
        <v>Prop_0014</v>
      </c>
      <c r="C15" s="24" t="s">
        <v>872</v>
      </c>
      <c r="D15" s="69" t="s">
        <v>9453</v>
      </c>
      <c r="E15" s="70" t="s">
        <v>9454</v>
      </c>
      <c r="F15" s="17" t="s">
        <v>806</v>
      </c>
      <c r="G15" s="22" t="s">
        <v>940</v>
      </c>
      <c r="H15" s="12" t="s">
        <v>9703</v>
      </c>
      <c r="I15" s="13" t="s">
        <v>6844</v>
      </c>
      <c r="J15" s="14" t="s">
        <v>798</v>
      </c>
      <c r="K15" s="15" t="s">
        <v>798</v>
      </c>
      <c r="L15" s="12" t="s">
        <v>5315</v>
      </c>
      <c r="M15" s="13" t="s">
        <v>6055</v>
      </c>
      <c r="N15" s="12" t="s">
        <v>803</v>
      </c>
      <c r="O15" s="13" t="s">
        <v>5107</v>
      </c>
      <c r="P15" s="17" t="s">
        <v>802</v>
      </c>
      <c r="Q15" s="21" t="s">
        <v>7688</v>
      </c>
      <c r="R15" s="17" t="s">
        <v>801</v>
      </c>
      <c r="S15" s="18" t="s">
        <v>2560</v>
      </c>
      <c r="T15" s="17" t="s">
        <v>800</v>
      </c>
      <c r="U15" s="18" t="s">
        <v>5236</v>
      </c>
      <c r="V15" s="17" t="s">
        <v>9418</v>
      </c>
      <c r="W15" s="18" t="s">
        <v>5309</v>
      </c>
      <c r="X15" s="69" t="s">
        <v>9453</v>
      </c>
      <c r="Y15" s="70" t="s">
        <v>9462</v>
      </c>
      <c r="Z15" s="73" t="s">
        <v>9486</v>
      </c>
      <c r="AA15" s="74" t="s">
        <v>9504</v>
      </c>
      <c r="AB15" s="73" t="s">
        <v>9486</v>
      </c>
      <c r="AC15" s="74" t="s">
        <v>9562</v>
      </c>
      <c r="AD15" s="73" t="s">
        <v>9578</v>
      </c>
      <c r="AE15" s="74" t="s">
        <v>9579</v>
      </c>
    </row>
    <row r="16" spans="1:31" ht="8.65" customHeight="1" x14ac:dyDescent="0.2">
      <c r="A16" s="76">
        <v>16</v>
      </c>
      <c r="B16" s="67" t="str">
        <f>MID(C16, FIND("Ifc.", C16) + 4, 4) &amp; "_" &amp; TEXT(COUNTIF($C$2:C16, C16),"0000")</f>
        <v>Prop_0015</v>
      </c>
      <c r="C16" s="24" t="s">
        <v>872</v>
      </c>
      <c r="D16" s="69" t="s">
        <v>9453</v>
      </c>
      <c r="E16" s="70" t="s">
        <v>9454</v>
      </c>
      <c r="F16" s="17" t="s">
        <v>806</v>
      </c>
      <c r="G16" s="22" t="s">
        <v>940</v>
      </c>
      <c r="H16" s="12" t="s">
        <v>9703</v>
      </c>
      <c r="I16" s="13" t="s">
        <v>6844</v>
      </c>
      <c r="J16" s="14" t="s">
        <v>798</v>
      </c>
      <c r="K16" s="15" t="s">
        <v>798</v>
      </c>
      <c r="L16" s="12" t="s">
        <v>5315</v>
      </c>
      <c r="M16" s="13" t="s">
        <v>5582</v>
      </c>
      <c r="N16" s="12" t="s">
        <v>803</v>
      </c>
      <c r="O16" s="13" t="s">
        <v>5229</v>
      </c>
      <c r="P16" s="17" t="s">
        <v>802</v>
      </c>
      <c r="Q16" s="21" t="s">
        <v>7685</v>
      </c>
      <c r="R16" s="17" t="s">
        <v>801</v>
      </c>
      <c r="S16" s="18" t="s">
        <v>2560</v>
      </c>
      <c r="T16" s="17" t="s">
        <v>800</v>
      </c>
      <c r="U16" s="18" t="s">
        <v>5236</v>
      </c>
      <c r="V16" s="17" t="s">
        <v>9418</v>
      </c>
      <c r="W16" s="18" t="s">
        <v>5309</v>
      </c>
      <c r="X16" s="69" t="s">
        <v>9453</v>
      </c>
      <c r="Y16" s="70" t="s">
        <v>9462</v>
      </c>
      <c r="Z16" s="73" t="s">
        <v>9486</v>
      </c>
      <c r="AA16" s="74" t="s">
        <v>9504</v>
      </c>
      <c r="AB16" s="73" t="s">
        <v>9486</v>
      </c>
      <c r="AC16" s="74" t="s">
        <v>9562</v>
      </c>
      <c r="AD16" s="73" t="s">
        <v>9578</v>
      </c>
      <c r="AE16" s="74" t="s">
        <v>9579</v>
      </c>
    </row>
    <row r="17" spans="1:31" ht="8.65" customHeight="1" x14ac:dyDescent="0.2">
      <c r="A17" s="76">
        <v>17</v>
      </c>
      <c r="B17" s="67" t="str">
        <f>MID(C17, FIND("Ifc.", C17) + 4, 4) &amp; "_" &amp; TEXT(COUNTIF($C$2:C17, C17),"0000")</f>
        <v>Prop_0016</v>
      </c>
      <c r="C17" s="24" t="s">
        <v>872</v>
      </c>
      <c r="D17" s="69" t="s">
        <v>9453</v>
      </c>
      <c r="E17" s="70" t="s">
        <v>9454</v>
      </c>
      <c r="F17" s="17" t="s">
        <v>806</v>
      </c>
      <c r="G17" s="22" t="s">
        <v>1722</v>
      </c>
      <c r="H17" s="12" t="s">
        <v>9703</v>
      </c>
      <c r="I17" s="13" t="s">
        <v>6449</v>
      </c>
      <c r="J17" s="14" t="s">
        <v>798</v>
      </c>
      <c r="K17" s="15" t="s">
        <v>798</v>
      </c>
      <c r="L17" s="12" t="s">
        <v>5315</v>
      </c>
      <c r="M17" s="13" t="s">
        <v>5931</v>
      </c>
      <c r="N17" s="12" t="s">
        <v>803</v>
      </c>
      <c r="O17" s="13" t="s">
        <v>5004</v>
      </c>
      <c r="P17" s="17" t="s">
        <v>802</v>
      </c>
      <c r="Q17" s="21" t="s">
        <v>7689</v>
      </c>
      <c r="R17" s="17" t="s">
        <v>801</v>
      </c>
      <c r="S17" s="18" t="s">
        <v>2611</v>
      </c>
      <c r="T17" s="17" t="s">
        <v>800</v>
      </c>
      <c r="U17" s="18" t="s">
        <v>5255</v>
      </c>
      <c r="V17" s="17" t="s">
        <v>9418</v>
      </c>
      <c r="W17" s="18" t="s">
        <v>5309</v>
      </c>
      <c r="X17" s="69" t="s">
        <v>9453</v>
      </c>
      <c r="Y17" s="70" t="s">
        <v>9462</v>
      </c>
      <c r="Z17" s="73" t="s">
        <v>9486</v>
      </c>
      <c r="AA17" s="74" t="s">
        <v>9504</v>
      </c>
      <c r="AB17" s="73" t="s">
        <v>9486</v>
      </c>
      <c r="AC17" s="74" t="s">
        <v>9566</v>
      </c>
      <c r="AD17" s="73" t="s">
        <v>9578</v>
      </c>
      <c r="AE17" s="74" t="s">
        <v>9579</v>
      </c>
    </row>
    <row r="18" spans="1:31" ht="8.65" customHeight="1" x14ac:dyDescent="0.2">
      <c r="A18" s="76">
        <v>18</v>
      </c>
      <c r="B18" s="67" t="str">
        <f>MID(C18, FIND("Ifc.", C18) + 4, 4) &amp; "_" &amp; TEXT(COUNTIF($C$2:C18, C18),"0000")</f>
        <v>Prop_0017</v>
      </c>
      <c r="C18" s="24" t="s">
        <v>872</v>
      </c>
      <c r="D18" s="69" t="s">
        <v>9453</v>
      </c>
      <c r="E18" s="70" t="s">
        <v>9454</v>
      </c>
      <c r="F18" s="17" t="s">
        <v>806</v>
      </c>
      <c r="G18" s="22" t="s">
        <v>2469</v>
      </c>
      <c r="H18" s="12" t="s">
        <v>9703</v>
      </c>
      <c r="I18" s="13" t="s">
        <v>6805</v>
      </c>
      <c r="J18" s="14" t="s">
        <v>798</v>
      </c>
      <c r="K18" s="15" t="s">
        <v>798</v>
      </c>
      <c r="L18" s="12" t="s">
        <v>5315</v>
      </c>
      <c r="M18" s="13" t="s">
        <v>5575</v>
      </c>
      <c r="N18" s="12" t="s">
        <v>803</v>
      </c>
      <c r="O18" s="13" t="s">
        <v>5213</v>
      </c>
      <c r="P18" s="17" t="s">
        <v>802</v>
      </c>
      <c r="Q18" s="21" t="s">
        <v>7690</v>
      </c>
      <c r="R18" s="17" t="s">
        <v>801</v>
      </c>
      <c r="S18" s="18" t="s">
        <v>2611</v>
      </c>
      <c r="T18" s="17" t="s">
        <v>800</v>
      </c>
      <c r="U18" s="18" t="s">
        <v>5255</v>
      </c>
      <c r="V18" s="17" t="s">
        <v>9418</v>
      </c>
      <c r="W18" s="18" t="s">
        <v>5309</v>
      </c>
      <c r="X18" s="69" t="s">
        <v>9453</v>
      </c>
      <c r="Y18" s="70" t="s">
        <v>9462</v>
      </c>
      <c r="Z18" s="73" t="s">
        <v>9486</v>
      </c>
      <c r="AA18" s="74" t="s">
        <v>9504</v>
      </c>
      <c r="AB18" s="73" t="s">
        <v>9486</v>
      </c>
      <c r="AC18" s="74" t="s">
        <v>9566</v>
      </c>
      <c r="AD18" s="73" t="s">
        <v>9578</v>
      </c>
      <c r="AE18" s="74" t="s">
        <v>9579</v>
      </c>
    </row>
    <row r="19" spans="1:31" ht="8.65" customHeight="1" x14ac:dyDescent="0.2">
      <c r="A19" s="76">
        <v>19</v>
      </c>
      <c r="B19" s="67" t="str">
        <f>MID(C19, FIND("Ifc.", C19) + 4, 4) &amp; "_" &amp; TEXT(COUNTIF($C$2:C19, C19),"0000")</f>
        <v>Prop_0018</v>
      </c>
      <c r="C19" s="24" t="s">
        <v>872</v>
      </c>
      <c r="D19" s="69" t="s">
        <v>9453</v>
      </c>
      <c r="E19" s="70" t="s">
        <v>9454</v>
      </c>
      <c r="F19" s="17" t="s">
        <v>806</v>
      </c>
      <c r="G19" s="22" t="s">
        <v>945</v>
      </c>
      <c r="H19" s="12" t="s">
        <v>9703</v>
      </c>
      <c r="I19" s="13" t="s">
        <v>6847</v>
      </c>
      <c r="J19" s="14" t="s">
        <v>798</v>
      </c>
      <c r="K19" s="15" t="s">
        <v>798</v>
      </c>
      <c r="L19" s="12" t="s">
        <v>5315</v>
      </c>
      <c r="M19" s="13" t="s">
        <v>5819</v>
      </c>
      <c r="N19" s="12" t="s">
        <v>803</v>
      </c>
      <c r="O19" s="13" t="s">
        <v>4818</v>
      </c>
      <c r="P19" s="17" t="s">
        <v>802</v>
      </c>
      <c r="Q19" s="21" t="s">
        <v>7691</v>
      </c>
      <c r="R19" s="17" t="s">
        <v>801</v>
      </c>
      <c r="S19" s="18" t="s">
        <v>2561</v>
      </c>
      <c r="T19" s="17" t="s">
        <v>800</v>
      </c>
      <c r="U19" s="18" t="s">
        <v>5246</v>
      </c>
      <c r="V19" s="17" t="s">
        <v>9418</v>
      </c>
      <c r="W19" s="18" t="s">
        <v>5309</v>
      </c>
      <c r="X19" s="69" t="s">
        <v>9453</v>
      </c>
      <c r="Y19" s="70" t="s">
        <v>9462</v>
      </c>
      <c r="Z19" s="73" t="s">
        <v>9486</v>
      </c>
      <c r="AA19" s="74" t="s">
        <v>9504</v>
      </c>
      <c r="AB19" s="73" t="s">
        <v>9486</v>
      </c>
      <c r="AC19" s="74" t="s">
        <v>9562</v>
      </c>
      <c r="AD19" s="73" t="s">
        <v>9578</v>
      </c>
      <c r="AE19" s="74" t="s">
        <v>9579</v>
      </c>
    </row>
    <row r="20" spans="1:31" ht="8.65" customHeight="1" x14ac:dyDescent="0.2">
      <c r="A20" s="76">
        <v>20</v>
      </c>
      <c r="B20" s="67" t="str">
        <f>MID(C20, FIND("Ifc.", C20) + 4, 4) &amp; "_" &amp; TEXT(COUNTIF($C$2:C20, C20),"0000")</f>
        <v>Prop_0019</v>
      </c>
      <c r="C20" s="24" t="s">
        <v>872</v>
      </c>
      <c r="D20" s="69" t="s">
        <v>9453</v>
      </c>
      <c r="E20" s="70" t="s">
        <v>9454</v>
      </c>
      <c r="F20" s="17" t="s">
        <v>806</v>
      </c>
      <c r="G20" s="22" t="s">
        <v>950</v>
      </c>
      <c r="H20" s="12" t="s">
        <v>9703</v>
      </c>
      <c r="I20" s="13" t="s">
        <v>7300</v>
      </c>
      <c r="J20" s="14" t="s">
        <v>798</v>
      </c>
      <c r="K20" s="15" t="s">
        <v>798</v>
      </c>
      <c r="L20" s="12" t="s">
        <v>5315</v>
      </c>
      <c r="M20" s="13" t="s">
        <v>5375</v>
      </c>
      <c r="N20" s="12" t="s">
        <v>803</v>
      </c>
      <c r="O20" s="13" t="s">
        <v>4819</v>
      </c>
      <c r="P20" s="17" t="s">
        <v>802</v>
      </c>
      <c r="Q20" s="21" t="s">
        <v>7692</v>
      </c>
      <c r="R20" s="17" t="s">
        <v>801</v>
      </c>
      <c r="S20" s="18" t="s">
        <v>2623</v>
      </c>
      <c r="T20" s="17" t="s">
        <v>800</v>
      </c>
      <c r="U20" s="18" t="s">
        <v>5247</v>
      </c>
      <c r="V20" s="17" t="s">
        <v>9418</v>
      </c>
      <c r="W20" s="18" t="s">
        <v>5309</v>
      </c>
      <c r="X20" s="69" t="s">
        <v>9453</v>
      </c>
      <c r="Y20" s="70" t="s">
        <v>9462</v>
      </c>
      <c r="Z20" s="73" t="s">
        <v>9486</v>
      </c>
      <c r="AA20" s="74" t="s">
        <v>9504</v>
      </c>
      <c r="AB20" s="73" t="s">
        <v>9486</v>
      </c>
      <c r="AC20" s="74" t="s">
        <v>9566</v>
      </c>
      <c r="AD20" s="73" t="s">
        <v>9578</v>
      </c>
      <c r="AE20" s="74" t="s">
        <v>9579</v>
      </c>
    </row>
    <row r="21" spans="1:31" ht="8.65" customHeight="1" x14ac:dyDescent="0.2">
      <c r="A21" s="76">
        <v>21</v>
      </c>
      <c r="B21" s="67" t="str">
        <f>MID(C21, FIND("Ifc.", C21) + 4, 4) &amp; "_" &amp; TEXT(COUNTIF($C$2:C21, C21),"0000")</f>
        <v>Prop_0020</v>
      </c>
      <c r="C21" s="24" t="s">
        <v>872</v>
      </c>
      <c r="D21" s="69" t="s">
        <v>9453</v>
      </c>
      <c r="E21" s="70" t="s">
        <v>9454</v>
      </c>
      <c r="F21" s="17" t="s">
        <v>806</v>
      </c>
      <c r="G21" s="22" t="s">
        <v>951</v>
      </c>
      <c r="H21" s="12" t="s">
        <v>9703</v>
      </c>
      <c r="I21" s="13" t="s">
        <v>7301</v>
      </c>
      <c r="J21" s="14" t="s">
        <v>798</v>
      </c>
      <c r="K21" s="15" t="s">
        <v>798</v>
      </c>
      <c r="L21" s="12" t="s">
        <v>5315</v>
      </c>
      <c r="M21" s="13" t="s">
        <v>5375</v>
      </c>
      <c r="N21" s="12" t="s">
        <v>803</v>
      </c>
      <c r="O21" s="13" t="s">
        <v>4819</v>
      </c>
      <c r="P21" s="17" t="s">
        <v>802</v>
      </c>
      <c r="Q21" s="21" t="s">
        <v>7692</v>
      </c>
      <c r="R21" s="17" t="s">
        <v>801</v>
      </c>
      <c r="S21" s="18" t="s">
        <v>2623</v>
      </c>
      <c r="T21" s="17" t="s">
        <v>800</v>
      </c>
      <c r="U21" s="18" t="s">
        <v>5247</v>
      </c>
      <c r="V21" s="17" t="s">
        <v>9418</v>
      </c>
      <c r="W21" s="18" t="s">
        <v>5309</v>
      </c>
      <c r="X21" s="69" t="s">
        <v>9453</v>
      </c>
      <c r="Y21" s="70" t="s">
        <v>9462</v>
      </c>
      <c r="Z21" s="73" t="s">
        <v>9486</v>
      </c>
      <c r="AA21" s="74" t="s">
        <v>9504</v>
      </c>
      <c r="AB21" s="73" t="s">
        <v>9486</v>
      </c>
      <c r="AC21" s="74" t="s">
        <v>9566</v>
      </c>
      <c r="AD21" s="73" t="s">
        <v>9578</v>
      </c>
      <c r="AE21" s="74" t="s">
        <v>9579</v>
      </c>
    </row>
    <row r="22" spans="1:31" ht="8.65" customHeight="1" x14ac:dyDescent="0.2">
      <c r="A22" s="76">
        <v>22</v>
      </c>
      <c r="B22" s="67" t="str">
        <f>MID(C22, FIND("Ifc.", C22) + 4, 4) &amp; "_" &amp; TEXT(COUNTIF($C$2:C22, C22),"0000")</f>
        <v>Prop_0021</v>
      </c>
      <c r="C22" s="24" t="s">
        <v>872</v>
      </c>
      <c r="D22" s="69" t="s">
        <v>9453</v>
      </c>
      <c r="E22" s="70" t="s">
        <v>9454</v>
      </c>
      <c r="F22" s="17" t="s">
        <v>806</v>
      </c>
      <c r="G22" s="22" t="s">
        <v>2209</v>
      </c>
      <c r="H22" s="12" t="s">
        <v>9703</v>
      </c>
      <c r="I22" s="13" t="s">
        <v>7169</v>
      </c>
      <c r="J22" s="14" t="s">
        <v>798</v>
      </c>
      <c r="K22" s="15" t="s">
        <v>798</v>
      </c>
      <c r="L22" s="12" t="s">
        <v>5315</v>
      </c>
      <c r="M22" s="13" t="s">
        <v>5507</v>
      </c>
      <c r="N22" s="12" t="s">
        <v>803</v>
      </c>
      <c r="O22" s="13" t="s">
        <v>5120</v>
      </c>
      <c r="P22" s="17" t="s">
        <v>802</v>
      </c>
      <c r="Q22" s="21" t="s">
        <v>7693</v>
      </c>
      <c r="R22" s="17" t="s">
        <v>801</v>
      </c>
      <c r="S22" s="18" t="s">
        <v>2560</v>
      </c>
      <c r="T22" s="17" t="s">
        <v>800</v>
      </c>
      <c r="U22" s="18" t="s">
        <v>5236</v>
      </c>
      <c r="V22" s="17" t="s">
        <v>9418</v>
      </c>
      <c r="W22" s="18" t="s">
        <v>5309</v>
      </c>
      <c r="X22" s="69" t="s">
        <v>9453</v>
      </c>
      <c r="Y22" s="70" t="s">
        <v>9462</v>
      </c>
      <c r="Z22" s="73" t="s">
        <v>9486</v>
      </c>
      <c r="AA22" s="74" t="s">
        <v>9504</v>
      </c>
      <c r="AB22" s="73" t="s">
        <v>9486</v>
      </c>
      <c r="AC22" s="74" t="s">
        <v>9562</v>
      </c>
      <c r="AD22" s="73" t="s">
        <v>9578</v>
      </c>
      <c r="AE22" s="74" t="s">
        <v>9579</v>
      </c>
    </row>
    <row r="23" spans="1:31" ht="8.65" customHeight="1" x14ac:dyDescent="0.2">
      <c r="A23" s="76">
        <v>23</v>
      </c>
      <c r="B23" s="67" t="str">
        <f>MID(C23, FIND("Ifc.", C23) + 4, 4) &amp; "_" &amp; TEXT(COUNTIF($C$2:C23, C23),"0000")</f>
        <v>Prop_0022</v>
      </c>
      <c r="C23" s="24" t="s">
        <v>872</v>
      </c>
      <c r="D23" s="69" t="s">
        <v>9453</v>
      </c>
      <c r="E23" s="70" t="s">
        <v>9454</v>
      </c>
      <c r="F23" s="17" t="s">
        <v>806</v>
      </c>
      <c r="G23" s="22" t="s">
        <v>1529</v>
      </c>
      <c r="H23" s="12" t="s">
        <v>9703</v>
      </c>
      <c r="I23" s="13" t="s">
        <v>7657</v>
      </c>
      <c r="J23" s="14" t="s">
        <v>798</v>
      </c>
      <c r="K23" s="15" t="s">
        <v>798</v>
      </c>
      <c r="L23" s="12" t="s">
        <v>5315</v>
      </c>
      <c r="M23" s="13" t="s">
        <v>5816</v>
      </c>
      <c r="N23" s="12" t="s">
        <v>803</v>
      </c>
      <c r="O23" s="13" t="s">
        <v>4955</v>
      </c>
      <c r="P23" s="17" t="s">
        <v>802</v>
      </c>
      <c r="Q23" s="21" t="s">
        <v>7694</v>
      </c>
      <c r="R23" s="17" t="s">
        <v>801</v>
      </c>
      <c r="S23" s="18" t="s">
        <v>2560</v>
      </c>
      <c r="T23" s="17" t="s">
        <v>800</v>
      </c>
      <c r="U23" s="18" t="s">
        <v>5236</v>
      </c>
      <c r="V23" s="17" t="s">
        <v>9418</v>
      </c>
      <c r="W23" s="18" t="s">
        <v>5309</v>
      </c>
      <c r="X23" s="69" t="s">
        <v>9453</v>
      </c>
      <c r="Y23" s="70" t="s">
        <v>9462</v>
      </c>
      <c r="Z23" s="73" t="s">
        <v>9486</v>
      </c>
      <c r="AA23" s="74" t="s">
        <v>9504</v>
      </c>
      <c r="AB23" s="73" t="s">
        <v>9486</v>
      </c>
      <c r="AC23" s="74" t="s">
        <v>9562</v>
      </c>
      <c r="AD23" s="73" t="s">
        <v>9578</v>
      </c>
      <c r="AE23" s="74" t="s">
        <v>9579</v>
      </c>
    </row>
    <row r="24" spans="1:31" ht="8.65" customHeight="1" x14ac:dyDescent="0.2">
      <c r="A24" s="76">
        <v>24</v>
      </c>
      <c r="B24" s="67" t="str">
        <f>MID(C24, FIND("Ifc.", C24) + 4, 4) &amp; "_" &amp; TEXT(COUNTIF($C$2:C24, C24),"0000")</f>
        <v>Prop_0023</v>
      </c>
      <c r="C24" s="24" t="s">
        <v>872</v>
      </c>
      <c r="D24" s="69" t="s">
        <v>9453</v>
      </c>
      <c r="E24" s="70" t="s">
        <v>9454</v>
      </c>
      <c r="F24" s="17" t="s">
        <v>806</v>
      </c>
      <c r="G24" s="22" t="s">
        <v>1609</v>
      </c>
      <c r="H24" s="12" t="s">
        <v>9703</v>
      </c>
      <c r="I24" s="13" t="s">
        <v>6408</v>
      </c>
      <c r="J24" s="14" t="s">
        <v>798</v>
      </c>
      <c r="K24" s="15" t="s">
        <v>798</v>
      </c>
      <c r="L24" s="12" t="s">
        <v>5315</v>
      </c>
      <c r="M24" s="13" t="s">
        <v>5448</v>
      </c>
      <c r="N24" s="12" t="s">
        <v>803</v>
      </c>
      <c r="O24" s="13" t="s">
        <v>4970</v>
      </c>
      <c r="P24" s="17" t="s">
        <v>802</v>
      </c>
      <c r="Q24" s="21" t="s">
        <v>7695</v>
      </c>
      <c r="R24" s="17" t="s">
        <v>801</v>
      </c>
      <c r="S24" s="18" t="s">
        <v>3636</v>
      </c>
      <c r="T24" s="17" t="s">
        <v>800</v>
      </c>
      <c r="U24" s="18" t="s">
        <v>5257</v>
      </c>
      <c r="V24" s="17" t="s">
        <v>9418</v>
      </c>
      <c r="W24" s="18" t="s">
        <v>5314</v>
      </c>
      <c r="X24" s="69" t="s">
        <v>9453</v>
      </c>
      <c r="Y24" s="70" t="s">
        <v>9464</v>
      </c>
      <c r="Z24" s="73" t="s">
        <v>9486</v>
      </c>
      <c r="AA24" s="74" t="s">
        <v>9504</v>
      </c>
      <c r="AB24" s="73" t="s">
        <v>9486</v>
      </c>
      <c r="AC24" s="74" t="s">
        <v>9561</v>
      </c>
      <c r="AD24" s="73" t="s">
        <v>9578</v>
      </c>
      <c r="AE24" s="74" t="s">
        <v>9579</v>
      </c>
    </row>
    <row r="25" spans="1:31" ht="8.65" customHeight="1" x14ac:dyDescent="0.2">
      <c r="A25" s="76">
        <v>25</v>
      </c>
      <c r="B25" s="67" t="str">
        <f>MID(C25, FIND("Ifc.", C25) + 4, 4) &amp; "_" &amp; TEXT(COUNTIF($C$2:C25, C25),"0000")</f>
        <v>Prop_0024</v>
      </c>
      <c r="C25" s="24" t="s">
        <v>872</v>
      </c>
      <c r="D25" s="69" t="s">
        <v>9453</v>
      </c>
      <c r="E25" s="70" t="s">
        <v>9454</v>
      </c>
      <c r="F25" s="17" t="s">
        <v>806</v>
      </c>
      <c r="G25" s="22" t="s">
        <v>1420</v>
      </c>
      <c r="H25" s="12" t="s">
        <v>9703</v>
      </c>
      <c r="I25" s="13" t="s">
        <v>6954</v>
      </c>
      <c r="J25" s="14" t="s">
        <v>798</v>
      </c>
      <c r="K25" s="15" t="s">
        <v>798</v>
      </c>
      <c r="L25" s="12" t="s">
        <v>5315</v>
      </c>
      <c r="M25" s="13" t="s">
        <v>5433</v>
      </c>
      <c r="N25" s="12" t="s">
        <v>803</v>
      </c>
      <c r="O25" s="13" t="s">
        <v>4932</v>
      </c>
      <c r="P25" s="17" t="s">
        <v>802</v>
      </c>
      <c r="Q25" s="21" t="s">
        <v>7696</v>
      </c>
      <c r="R25" s="17" t="s">
        <v>801</v>
      </c>
      <c r="S25" s="18" t="s">
        <v>2621</v>
      </c>
      <c r="T25" s="17" t="s">
        <v>800</v>
      </c>
      <c r="U25" s="18" t="s">
        <v>5260</v>
      </c>
      <c r="V25" s="17" t="s">
        <v>9418</v>
      </c>
      <c r="W25" s="18" t="s">
        <v>5309</v>
      </c>
      <c r="X25" s="69" t="s">
        <v>9453</v>
      </c>
      <c r="Y25" s="70" t="s">
        <v>9462</v>
      </c>
      <c r="Z25" s="73" t="s">
        <v>9486</v>
      </c>
      <c r="AA25" s="74" t="s">
        <v>9504</v>
      </c>
      <c r="AB25" s="73" t="s">
        <v>9486</v>
      </c>
      <c r="AC25" s="74" t="s">
        <v>9566</v>
      </c>
      <c r="AD25" s="73" t="s">
        <v>9578</v>
      </c>
      <c r="AE25" s="74" t="s">
        <v>9579</v>
      </c>
    </row>
    <row r="26" spans="1:31" ht="8.65" customHeight="1" x14ac:dyDescent="0.2">
      <c r="A26" s="76">
        <v>26</v>
      </c>
      <c r="B26" s="67" t="str">
        <f>MID(C26, FIND("Ifc.", C26) + 4, 4) &amp; "_" &amp; TEXT(COUNTIF($C$2:C26, C26),"0000")</f>
        <v>Prop_0025</v>
      </c>
      <c r="C26" s="24" t="s">
        <v>872</v>
      </c>
      <c r="D26" s="69" t="s">
        <v>9453</v>
      </c>
      <c r="E26" s="70" t="s">
        <v>9454</v>
      </c>
      <c r="F26" s="17" t="s">
        <v>806</v>
      </c>
      <c r="G26" s="22" t="s">
        <v>1420</v>
      </c>
      <c r="H26" s="12" t="s">
        <v>9703</v>
      </c>
      <c r="I26" s="13" t="s">
        <v>6954</v>
      </c>
      <c r="J26" s="14" t="s">
        <v>798</v>
      </c>
      <c r="K26" s="15" t="s">
        <v>798</v>
      </c>
      <c r="L26" s="12" t="s">
        <v>5315</v>
      </c>
      <c r="M26" s="13" t="s">
        <v>5576</v>
      </c>
      <c r="N26" s="12" t="s">
        <v>803</v>
      </c>
      <c r="O26" s="13" t="s">
        <v>5220</v>
      </c>
      <c r="P26" s="17" t="s">
        <v>802</v>
      </c>
      <c r="Q26" s="21" t="s">
        <v>7697</v>
      </c>
      <c r="R26" s="17" t="s">
        <v>801</v>
      </c>
      <c r="S26" s="18" t="s">
        <v>2621</v>
      </c>
      <c r="T26" s="17" t="s">
        <v>800</v>
      </c>
      <c r="U26" s="18" t="s">
        <v>5260</v>
      </c>
      <c r="V26" s="17" t="s">
        <v>9418</v>
      </c>
      <c r="W26" s="18" t="s">
        <v>5309</v>
      </c>
      <c r="X26" s="69" t="s">
        <v>9453</v>
      </c>
      <c r="Y26" s="70" t="s">
        <v>9462</v>
      </c>
      <c r="Z26" s="73" t="s">
        <v>9486</v>
      </c>
      <c r="AA26" s="74" t="s">
        <v>9504</v>
      </c>
      <c r="AB26" s="73" t="s">
        <v>9486</v>
      </c>
      <c r="AC26" s="74" t="s">
        <v>9566</v>
      </c>
      <c r="AD26" s="73" t="s">
        <v>9578</v>
      </c>
      <c r="AE26" s="74" t="s">
        <v>9579</v>
      </c>
    </row>
    <row r="27" spans="1:31" ht="8.65" customHeight="1" x14ac:dyDescent="0.2">
      <c r="A27" s="76">
        <v>27</v>
      </c>
      <c r="B27" s="67" t="str">
        <f>MID(C27, FIND("Ifc.", C27) + 4, 4) &amp; "_" &amp; TEXT(COUNTIF($C$2:C27, C27),"0000")</f>
        <v>Prop_0026</v>
      </c>
      <c r="C27" s="24" t="s">
        <v>872</v>
      </c>
      <c r="D27" s="69" t="s">
        <v>9453</v>
      </c>
      <c r="E27" s="70" t="s">
        <v>9454</v>
      </c>
      <c r="F27" s="17" t="s">
        <v>806</v>
      </c>
      <c r="G27" s="22" t="s">
        <v>1421</v>
      </c>
      <c r="H27" s="12" t="s">
        <v>9703</v>
      </c>
      <c r="I27" s="13" t="s">
        <v>7074</v>
      </c>
      <c r="J27" s="14" t="s">
        <v>798</v>
      </c>
      <c r="K27" s="15" t="s">
        <v>798</v>
      </c>
      <c r="L27" s="12" t="s">
        <v>5315</v>
      </c>
      <c r="M27" s="13" t="s">
        <v>5433</v>
      </c>
      <c r="N27" s="12" t="s">
        <v>803</v>
      </c>
      <c r="O27" s="13" t="s">
        <v>4932</v>
      </c>
      <c r="P27" s="17" t="s">
        <v>802</v>
      </c>
      <c r="Q27" s="21" t="s">
        <v>7696</v>
      </c>
      <c r="R27" s="17" t="s">
        <v>801</v>
      </c>
      <c r="S27" s="18" t="s">
        <v>2621</v>
      </c>
      <c r="T27" s="17" t="s">
        <v>800</v>
      </c>
      <c r="U27" s="18" t="s">
        <v>5260</v>
      </c>
      <c r="V27" s="17" t="s">
        <v>9418</v>
      </c>
      <c r="W27" s="18" t="s">
        <v>5309</v>
      </c>
      <c r="X27" s="69" t="s">
        <v>9453</v>
      </c>
      <c r="Y27" s="70" t="s">
        <v>9462</v>
      </c>
      <c r="Z27" s="73" t="s">
        <v>9486</v>
      </c>
      <c r="AA27" s="74" t="s">
        <v>9504</v>
      </c>
      <c r="AB27" s="73" t="s">
        <v>9486</v>
      </c>
      <c r="AC27" s="74" t="s">
        <v>9566</v>
      </c>
      <c r="AD27" s="73" t="s">
        <v>9578</v>
      </c>
      <c r="AE27" s="74" t="s">
        <v>9579</v>
      </c>
    </row>
    <row r="28" spans="1:31" ht="8.65" customHeight="1" x14ac:dyDescent="0.2">
      <c r="A28" s="76">
        <v>28</v>
      </c>
      <c r="B28" s="67" t="str">
        <f>MID(C28, FIND("Ifc.", C28) + 4, 4) &amp; "_" &amp; TEXT(COUNTIF($C$2:C28, C28),"0000")</f>
        <v>Prop_0027</v>
      </c>
      <c r="C28" s="24" t="s">
        <v>872</v>
      </c>
      <c r="D28" s="69" t="s">
        <v>9453</v>
      </c>
      <c r="E28" s="70" t="s">
        <v>9454</v>
      </c>
      <c r="F28" s="17" t="s">
        <v>806</v>
      </c>
      <c r="G28" s="22" t="s">
        <v>1421</v>
      </c>
      <c r="H28" s="12" t="s">
        <v>9703</v>
      </c>
      <c r="I28" s="13" t="s">
        <v>7074</v>
      </c>
      <c r="J28" s="14" t="s">
        <v>798</v>
      </c>
      <c r="K28" s="15" t="s">
        <v>798</v>
      </c>
      <c r="L28" s="12" t="s">
        <v>5315</v>
      </c>
      <c r="M28" s="13" t="s">
        <v>5576</v>
      </c>
      <c r="N28" s="12" t="s">
        <v>803</v>
      </c>
      <c r="O28" s="13" t="s">
        <v>5220</v>
      </c>
      <c r="P28" s="17" t="s">
        <v>802</v>
      </c>
      <c r="Q28" s="21" t="s">
        <v>7697</v>
      </c>
      <c r="R28" s="17" t="s">
        <v>801</v>
      </c>
      <c r="S28" s="18" t="s">
        <v>2621</v>
      </c>
      <c r="T28" s="17" t="s">
        <v>800</v>
      </c>
      <c r="U28" s="18" t="s">
        <v>5260</v>
      </c>
      <c r="V28" s="17" t="s">
        <v>9418</v>
      </c>
      <c r="W28" s="18" t="s">
        <v>5309</v>
      </c>
      <c r="X28" s="69" t="s">
        <v>9453</v>
      </c>
      <c r="Y28" s="70" t="s">
        <v>9462</v>
      </c>
      <c r="Z28" s="73" t="s">
        <v>9486</v>
      </c>
      <c r="AA28" s="74" t="s">
        <v>9504</v>
      </c>
      <c r="AB28" s="73" t="s">
        <v>9486</v>
      </c>
      <c r="AC28" s="74" t="s">
        <v>9566</v>
      </c>
      <c r="AD28" s="73" t="s">
        <v>9578</v>
      </c>
      <c r="AE28" s="74" t="s">
        <v>9579</v>
      </c>
    </row>
    <row r="29" spans="1:31" ht="8.65" customHeight="1" x14ac:dyDescent="0.2">
      <c r="A29" s="76">
        <v>29</v>
      </c>
      <c r="B29" s="67" t="str">
        <f>MID(C29, FIND("Ifc.", C29) + 4, 4) &amp; "_" &amp; TEXT(COUNTIF($C$2:C29, C29),"0000")</f>
        <v>Prop_0028</v>
      </c>
      <c r="C29" s="24" t="s">
        <v>872</v>
      </c>
      <c r="D29" s="69" t="s">
        <v>9453</v>
      </c>
      <c r="E29" s="70" t="s">
        <v>9454</v>
      </c>
      <c r="F29" s="17" t="s">
        <v>806</v>
      </c>
      <c r="G29" s="22" t="s">
        <v>1484</v>
      </c>
      <c r="H29" s="12" t="s">
        <v>9703</v>
      </c>
      <c r="I29" s="13" t="s">
        <v>7170</v>
      </c>
      <c r="J29" s="14" t="s">
        <v>798</v>
      </c>
      <c r="K29" s="15" t="s">
        <v>798</v>
      </c>
      <c r="L29" s="12" t="s">
        <v>5315</v>
      </c>
      <c r="M29" s="13" t="s">
        <v>5811</v>
      </c>
      <c r="N29" s="12" t="s">
        <v>803</v>
      </c>
      <c r="O29" s="13" t="s">
        <v>4945</v>
      </c>
      <c r="P29" s="17" t="s">
        <v>802</v>
      </c>
      <c r="Q29" s="21" t="s">
        <v>7698</v>
      </c>
      <c r="R29" s="17" t="s">
        <v>801</v>
      </c>
      <c r="S29" s="18" t="s">
        <v>2560</v>
      </c>
      <c r="T29" s="17" t="s">
        <v>800</v>
      </c>
      <c r="U29" s="18" t="s">
        <v>5236</v>
      </c>
      <c r="V29" s="17" t="s">
        <v>9418</v>
      </c>
      <c r="W29" s="18" t="s">
        <v>5309</v>
      </c>
      <c r="X29" s="69" t="s">
        <v>9453</v>
      </c>
      <c r="Y29" s="70" t="s">
        <v>9462</v>
      </c>
      <c r="Z29" s="73" t="s">
        <v>9486</v>
      </c>
      <c r="AA29" s="74" t="s">
        <v>9504</v>
      </c>
      <c r="AB29" s="73" t="s">
        <v>9486</v>
      </c>
      <c r="AC29" s="74" t="s">
        <v>9562</v>
      </c>
      <c r="AD29" s="73" t="s">
        <v>9578</v>
      </c>
      <c r="AE29" s="74" t="s">
        <v>9579</v>
      </c>
    </row>
    <row r="30" spans="1:31" ht="8.65" customHeight="1" x14ac:dyDescent="0.2">
      <c r="A30" s="76">
        <v>30</v>
      </c>
      <c r="B30" s="67" t="str">
        <f>MID(C30, FIND("Ifc.", C30) + 4, 4) &amp; "_" &amp; TEXT(COUNTIF($C$2:C30, C30),"0000")</f>
        <v>Prop_0029</v>
      </c>
      <c r="C30" s="24" t="s">
        <v>872</v>
      </c>
      <c r="D30" s="69" t="s">
        <v>9453</v>
      </c>
      <c r="E30" s="70" t="s">
        <v>9454</v>
      </c>
      <c r="F30" s="17" t="s">
        <v>806</v>
      </c>
      <c r="G30" s="22" t="s">
        <v>2367</v>
      </c>
      <c r="H30" s="12" t="s">
        <v>9703</v>
      </c>
      <c r="I30" s="13" t="s">
        <v>7418</v>
      </c>
      <c r="J30" s="14" t="s">
        <v>798</v>
      </c>
      <c r="K30" s="15" t="s">
        <v>798</v>
      </c>
      <c r="L30" s="12" t="s">
        <v>5315</v>
      </c>
      <c r="M30" s="13" t="s">
        <v>5781</v>
      </c>
      <c r="N30" s="12" t="s">
        <v>803</v>
      </c>
      <c r="O30" s="13" t="s">
        <v>5180</v>
      </c>
      <c r="P30" s="17" t="s">
        <v>802</v>
      </c>
      <c r="Q30" s="21" t="s">
        <v>7699</v>
      </c>
      <c r="R30" s="17" t="s">
        <v>801</v>
      </c>
      <c r="S30" s="18" t="s">
        <v>2583</v>
      </c>
      <c r="T30" s="17" t="s">
        <v>800</v>
      </c>
      <c r="U30" s="18" t="s">
        <v>5251</v>
      </c>
      <c r="V30" s="17" t="s">
        <v>9418</v>
      </c>
      <c r="W30" s="18" t="s">
        <v>5309</v>
      </c>
      <c r="X30" s="69" t="s">
        <v>9453</v>
      </c>
      <c r="Y30" s="70" t="s">
        <v>9462</v>
      </c>
      <c r="Z30" s="73" t="s">
        <v>9486</v>
      </c>
      <c r="AA30" s="74" t="s">
        <v>9504</v>
      </c>
      <c r="AB30" s="73" t="s">
        <v>9486</v>
      </c>
      <c r="AC30" s="74" t="s">
        <v>9566</v>
      </c>
      <c r="AD30" s="73" t="s">
        <v>9578</v>
      </c>
      <c r="AE30" s="74" t="s">
        <v>9579</v>
      </c>
    </row>
    <row r="31" spans="1:31" ht="8.65" customHeight="1" x14ac:dyDescent="0.2">
      <c r="A31" s="76">
        <v>31</v>
      </c>
      <c r="B31" s="67" t="str">
        <f>MID(C31, FIND("Ifc.", C31) + 4, 4) &amp; "_" &amp; TEXT(COUNTIF($C$2:C31, C31),"0000")</f>
        <v>Prop_0030</v>
      </c>
      <c r="C31" s="24" t="s">
        <v>872</v>
      </c>
      <c r="D31" s="69" t="s">
        <v>9453</v>
      </c>
      <c r="E31" s="70" t="s">
        <v>9454</v>
      </c>
      <c r="F31" s="17" t="s">
        <v>806</v>
      </c>
      <c r="G31" s="22" t="s">
        <v>1604</v>
      </c>
      <c r="H31" s="12" t="s">
        <v>9703</v>
      </c>
      <c r="I31" s="13" t="s">
        <v>7195</v>
      </c>
      <c r="J31" s="14" t="s">
        <v>798</v>
      </c>
      <c r="K31" s="15" t="s">
        <v>798</v>
      </c>
      <c r="L31" s="12" t="s">
        <v>5315</v>
      </c>
      <c r="M31" s="13" t="s">
        <v>5900</v>
      </c>
      <c r="N31" s="12" t="s">
        <v>803</v>
      </c>
      <c r="O31" s="13" t="s">
        <v>4969</v>
      </c>
      <c r="P31" s="17" t="s">
        <v>802</v>
      </c>
      <c r="Q31" s="21" t="s">
        <v>7700</v>
      </c>
      <c r="R31" s="17" t="s">
        <v>801</v>
      </c>
      <c r="S31" s="18" t="s">
        <v>3636</v>
      </c>
      <c r="T31" s="17" t="s">
        <v>800</v>
      </c>
      <c r="U31" s="18" t="s">
        <v>5257</v>
      </c>
      <c r="V31" s="17" t="s">
        <v>9418</v>
      </c>
      <c r="W31" s="18" t="s">
        <v>5314</v>
      </c>
      <c r="X31" s="69" t="s">
        <v>9453</v>
      </c>
      <c r="Y31" s="70" t="s">
        <v>9464</v>
      </c>
      <c r="Z31" s="73" t="s">
        <v>9486</v>
      </c>
      <c r="AA31" s="74" t="s">
        <v>9504</v>
      </c>
      <c r="AB31" s="73" t="s">
        <v>9486</v>
      </c>
      <c r="AC31" s="74" t="s">
        <v>9561</v>
      </c>
      <c r="AD31" s="73" t="s">
        <v>9578</v>
      </c>
      <c r="AE31" s="74" t="s">
        <v>9579</v>
      </c>
    </row>
    <row r="32" spans="1:31" ht="8.65" customHeight="1" x14ac:dyDescent="0.2">
      <c r="A32" s="76">
        <v>32</v>
      </c>
      <c r="B32" s="67" t="str">
        <f>MID(C32, FIND("Ifc.", C32) + 4, 4) &amp; "_" &amp; TEXT(COUNTIF($C$2:C32, C32),"0000")</f>
        <v>Prop_0031</v>
      </c>
      <c r="C32" s="24" t="s">
        <v>872</v>
      </c>
      <c r="D32" s="69" t="s">
        <v>9453</v>
      </c>
      <c r="E32" s="70" t="s">
        <v>9454</v>
      </c>
      <c r="F32" s="17" t="s">
        <v>806</v>
      </c>
      <c r="G32" s="22" t="s">
        <v>1903</v>
      </c>
      <c r="H32" s="12" t="s">
        <v>9703</v>
      </c>
      <c r="I32" s="13" t="s">
        <v>6563</v>
      </c>
      <c r="J32" s="14" t="s">
        <v>798</v>
      </c>
      <c r="K32" s="15" t="s">
        <v>798</v>
      </c>
      <c r="L32" s="12" t="s">
        <v>5315</v>
      </c>
      <c r="M32" s="13" t="s">
        <v>5957</v>
      </c>
      <c r="N32" s="12" t="s">
        <v>803</v>
      </c>
      <c r="O32" s="13" t="s">
        <v>5050</v>
      </c>
      <c r="P32" s="17" t="s">
        <v>802</v>
      </c>
      <c r="Q32" s="21" t="s">
        <v>7701</v>
      </c>
      <c r="R32" s="17" t="s">
        <v>801</v>
      </c>
      <c r="S32" s="18" t="s">
        <v>2585</v>
      </c>
      <c r="T32" s="17" t="s">
        <v>800</v>
      </c>
      <c r="U32" s="18" t="s">
        <v>5238</v>
      </c>
      <c r="V32" s="17" t="s">
        <v>9418</v>
      </c>
      <c r="W32" s="18" t="s">
        <v>5309</v>
      </c>
      <c r="X32" s="69" t="s">
        <v>9453</v>
      </c>
      <c r="Y32" s="70" t="s">
        <v>9462</v>
      </c>
      <c r="Z32" s="73" t="s">
        <v>9486</v>
      </c>
      <c r="AA32" s="74" t="s">
        <v>9504</v>
      </c>
      <c r="AB32" s="73" t="s">
        <v>9486</v>
      </c>
      <c r="AC32" s="74" t="s">
        <v>9566</v>
      </c>
      <c r="AD32" s="73" t="s">
        <v>9578</v>
      </c>
      <c r="AE32" s="74" t="s">
        <v>9579</v>
      </c>
    </row>
    <row r="33" spans="1:31" ht="8.65" customHeight="1" x14ac:dyDescent="0.2">
      <c r="A33" s="76">
        <v>33</v>
      </c>
      <c r="B33" s="67" t="str">
        <f>MID(C33, FIND("Ifc.", C33) + 4, 4) &amp; "_" &amp; TEXT(COUNTIF($C$2:C33, C33),"0000")</f>
        <v>Prop_0032</v>
      </c>
      <c r="C33" s="24" t="s">
        <v>872</v>
      </c>
      <c r="D33" s="69" t="s">
        <v>9453</v>
      </c>
      <c r="E33" s="70" t="s">
        <v>9454</v>
      </c>
      <c r="F33" s="17" t="s">
        <v>806</v>
      </c>
      <c r="G33" s="22" t="s">
        <v>2216</v>
      </c>
      <c r="H33" s="12" t="s">
        <v>9703</v>
      </c>
      <c r="I33" s="13" t="s">
        <v>7172</v>
      </c>
      <c r="J33" s="14" t="s">
        <v>798</v>
      </c>
      <c r="K33" s="15" t="s">
        <v>798</v>
      </c>
      <c r="L33" s="12" t="s">
        <v>5315</v>
      </c>
      <c r="M33" s="13" t="s">
        <v>5508</v>
      </c>
      <c r="N33" s="12" t="s">
        <v>803</v>
      </c>
      <c r="O33" s="13" t="s">
        <v>5121</v>
      </c>
      <c r="P33" s="17" t="s">
        <v>802</v>
      </c>
      <c r="Q33" s="21" t="s">
        <v>7702</v>
      </c>
      <c r="R33" s="17" t="s">
        <v>801</v>
      </c>
      <c r="S33" s="18" t="s">
        <v>2585</v>
      </c>
      <c r="T33" s="17" t="s">
        <v>800</v>
      </c>
      <c r="U33" s="18" t="s">
        <v>5238</v>
      </c>
      <c r="V33" s="17" t="s">
        <v>9418</v>
      </c>
      <c r="W33" s="18" t="s">
        <v>5309</v>
      </c>
      <c r="X33" s="69" t="s">
        <v>9453</v>
      </c>
      <c r="Y33" s="70" t="s">
        <v>9462</v>
      </c>
      <c r="Z33" s="73" t="s">
        <v>9486</v>
      </c>
      <c r="AA33" s="74" t="s">
        <v>9504</v>
      </c>
      <c r="AB33" s="73" t="s">
        <v>9486</v>
      </c>
      <c r="AC33" s="74" t="s">
        <v>9566</v>
      </c>
      <c r="AD33" s="73" t="s">
        <v>9578</v>
      </c>
      <c r="AE33" s="74" t="s">
        <v>9579</v>
      </c>
    </row>
    <row r="34" spans="1:31" ht="8.65" customHeight="1" x14ac:dyDescent="0.2">
      <c r="A34" s="76">
        <v>34</v>
      </c>
      <c r="B34" s="67" t="str">
        <f>MID(C34, FIND("Ifc.", C34) + 4, 4) &amp; "_" &amp; TEXT(COUNTIF($C$2:C34, C34),"0000")</f>
        <v>Prop_0033</v>
      </c>
      <c r="C34" s="24" t="s">
        <v>872</v>
      </c>
      <c r="D34" s="69" t="s">
        <v>9453</v>
      </c>
      <c r="E34" s="70" t="s">
        <v>9454</v>
      </c>
      <c r="F34" s="17" t="s">
        <v>806</v>
      </c>
      <c r="G34" s="22" t="s">
        <v>2403</v>
      </c>
      <c r="H34" s="12" t="s">
        <v>9703</v>
      </c>
      <c r="I34" s="13" t="s">
        <v>7086</v>
      </c>
      <c r="J34" s="14" t="s">
        <v>798</v>
      </c>
      <c r="K34" s="15" t="s">
        <v>798</v>
      </c>
      <c r="L34" s="12" t="s">
        <v>5315</v>
      </c>
      <c r="M34" s="13" t="s">
        <v>5802</v>
      </c>
      <c r="N34" s="12" t="s">
        <v>803</v>
      </c>
      <c r="O34" s="13" t="s">
        <v>5195</v>
      </c>
      <c r="P34" s="17" t="s">
        <v>802</v>
      </c>
      <c r="Q34" s="21" t="s">
        <v>7703</v>
      </c>
      <c r="R34" s="17" t="s">
        <v>801</v>
      </c>
      <c r="S34" s="18" t="s">
        <v>2554</v>
      </c>
      <c r="T34" s="17" t="s">
        <v>800</v>
      </c>
      <c r="U34" s="18" t="s">
        <v>5233</v>
      </c>
      <c r="V34" s="17" t="s">
        <v>9418</v>
      </c>
      <c r="W34" s="18" t="s">
        <v>5310</v>
      </c>
      <c r="X34" s="69" t="s">
        <v>9453</v>
      </c>
      <c r="Y34" s="70" t="s">
        <v>9463</v>
      </c>
      <c r="Z34" s="73" t="s">
        <v>9486</v>
      </c>
      <c r="AA34" s="74" t="s">
        <v>9504</v>
      </c>
      <c r="AB34" s="73" t="s">
        <v>9486</v>
      </c>
      <c r="AC34" s="74" t="s">
        <v>9562</v>
      </c>
      <c r="AD34" s="73" t="s">
        <v>9578</v>
      </c>
      <c r="AE34" s="74" t="s">
        <v>9579</v>
      </c>
    </row>
    <row r="35" spans="1:31" ht="8.65" customHeight="1" x14ac:dyDescent="0.2">
      <c r="A35" s="76">
        <v>35</v>
      </c>
      <c r="B35" s="67" t="str">
        <f>MID(C35, FIND("Ifc.", C35) + 4, 4) &amp; "_" &amp; TEXT(COUNTIF($C$2:C35, C35),"0000")</f>
        <v>Prop_0034</v>
      </c>
      <c r="C35" s="24" t="s">
        <v>872</v>
      </c>
      <c r="D35" s="69" t="s">
        <v>9453</v>
      </c>
      <c r="E35" s="70" t="s">
        <v>9454</v>
      </c>
      <c r="F35" s="17" t="s">
        <v>806</v>
      </c>
      <c r="G35" s="22" t="s">
        <v>983</v>
      </c>
      <c r="H35" s="12" t="s">
        <v>9703</v>
      </c>
      <c r="I35" s="13" t="s">
        <v>6849</v>
      </c>
      <c r="J35" s="14" t="s">
        <v>798</v>
      </c>
      <c r="K35" s="15" t="s">
        <v>798</v>
      </c>
      <c r="L35" s="12" t="s">
        <v>5315</v>
      </c>
      <c r="M35" s="13" t="s">
        <v>5990</v>
      </c>
      <c r="N35" s="12" t="s">
        <v>803</v>
      </c>
      <c r="O35" s="13" t="s">
        <v>4827</v>
      </c>
      <c r="P35" s="17" t="s">
        <v>802</v>
      </c>
      <c r="Q35" s="21" t="s">
        <v>7704</v>
      </c>
      <c r="R35" s="17" t="s">
        <v>801</v>
      </c>
      <c r="S35" s="18" t="s">
        <v>2585</v>
      </c>
      <c r="T35" s="17" t="s">
        <v>800</v>
      </c>
      <c r="U35" s="18" t="s">
        <v>5238</v>
      </c>
      <c r="V35" s="17" t="s">
        <v>9418</v>
      </c>
      <c r="W35" s="18" t="s">
        <v>5309</v>
      </c>
      <c r="X35" s="69" t="s">
        <v>9453</v>
      </c>
      <c r="Y35" s="70" t="s">
        <v>9462</v>
      </c>
      <c r="Z35" s="73" t="s">
        <v>9486</v>
      </c>
      <c r="AA35" s="74" t="s">
        <v>9504</v>
      </c>
      <c r="AB35" s="73" t="s">
        <v>9486</v>
      </c>
      <c r="AC35" s="74" t="s">
        <v>9566</v>
      </c>
      <c r="AD35" s="73" t="s">
        <v>9578</v>
      </c>
      <c r="AE35" s="74" t="s">
        <v>9579</v>
      </c>
    </row>
    <row r="36" spans="1:31" ht="8.65" customHeight="1" x14ac:dyDescent="0.2">
      <c r="A36" s="76">
        <v>36</v>
      </c>
      <c r="B36" s="67" t="str">
        <f>MID(C36, FIND("Ifc.", C36) + 4, 4) &amp; "_" &amp; TEXT(COUNTIF($C$2:C36, C36),"0000")</f>
        <v>Prop_0035</v>
      </c>
      <c r="C36" s="24" t="s">
        <v>872</v>
      </c>
      <c r="D36" s="69" t="s">
        <v>9453</v>
      </c>
      <c r="E36" s="70" t="s">
        <v>9454</v>
      </c>
      <c r="F36" s="17" t="s">
        <v>806</v>
      </c>
      <c r="G36" s="22" t="s">
        <v>1827</v>
      </c>
      <c r="H36" s="12" t="s">
        <v>9703</v>
      </c>
      <c r="I36" s="13" t="s">
        <v>6915</v>
      </c>
      <c r="J36" s="14" t="s">
        <v>798</v>
      </c>
      <c r="K36" s="15" t="s">
        <v>798</v>
      </c>
      <c r="L36" s="12" t="s">
        <v>5315</v>
      </c>
      <c r="M36" s="13" t="s">
        <v>6011</v>
      </c>
      <c r="N36" s="12" t="s">
        <v>803</v>
      </c>
      <c r="O36" s="13" t="s">
        <v>5027</v>
      </c>
      <c r="P36" s="17" t="s">
        <v>802</v>
      </c>
      <c r="Q36" s="21" t="s">
        <v>7705</v>
      </c>
      <c r="R36" s="17" t="s">
        <v>801</v>
      </c>
      <c r="S36" s="18" t="s">
        <v>2585</v>
      </c>
      <c r="T36" s="17" t="s">
        <v>800</v>
      </c>
      <c r="U36" s="18" t="s">
        <v>5238</v>
      </c>
      <c r="V36" s="17" t="s">
        <v>9418</v>
      </c>
      <c r="W36" s="18" t="s">
        <v>5309</v>
      </c>
      <c r="X36" s="69" t="s">
        <v>9453</v>
      </c>
      <c r="Y36" s="70" t="s">
        <v>9462</v>
      </c>
      <c r="Z36" s="73" t="s">
        <v>9486</v>
      </c>
      <c r="AA36" s="74" t="s">
        <v>9504</v>
      </c>
      <c r="AB36" s="73" t="s">
        <v>9486</v>
      </c>
      <c r="AC36" s="74" t="s">
        <v>9566</v>
      </c>
      <c r="AD36" s="73" t="s">
        <v>9578</v>
      </c>
      <c r="AE36" s="74" t="s">
        <v>9579</v>
      </c>
    </row>
    <row r="37" spans="1:31" ht="8.65" customHeight="1" x14ac:dyDescent="0.2">
      <c r="A37" s="76">
        <v>37</v>
      </c>
      <c r="B37" s="67" t="str">
        <f>MID(C37, FIND("Ifc.", C37) + 4, 4) &amp; "_" &amp; TEXT(COUNTIF($C$2:C37, C37),"0000")</f>
        <v>Prop_0036</v>
      </c>
      <c r="C37" s="24" t="s">
        <v>872</v>
      </c>
      <c r="D37" s="69" t="s">
        <v>9453</v>
      </c>
      <c r="E37" s="70" t="s">
        <v>9454</v>
      </c>
      <c r="F37" s="17" t="s">
        <v>806</v>
      </c>
      <c r="G37" s="22" t="s">
        <v>1405</v>
      </c>
      <c r="H37" s="12" t="s">
        <v>9703</v>
      </c>
      <c r="I37" s="13" t="s">
        <v>7168</v>
      </c>
      <c r="J37" s="14" t="s">
        <v>798</v>
      </c>
      <c r="K37" s="15" t="s">
        <v>798</v>
      </c>
      <c r="L37" s="12" t="s">
        <v>5315</v>
      </c>
      <c r="M37" s="13" t="s">
        <v>6054</v>
      </c>
      <c r="N37" s="12" t="s">
        <v>803</v>
      </c>
      <c r="O37" s="13" t="s">
        <v>4927</v>
      </c>
      <c r="P37" s="17" t="s">
        <v>802</v>
      </c>
      <c r="Q37" s="21" t="s">
        <v>7686</v>
      </c>
      <c r="R37" s="17" t="s">
        <v>801</v>
      </c>
      <c r="S37" s="18" t="s">
        <v>2585</v>
      </c>
      <c r="T37" s="17" t="s">
        <v>800</v>
      </c>
      <c r="U37" s="18" t="s">
        <v>5238</v>
      </c>
      <c r="V37" s="17" t="s">
        <v>9418</v>
      </c>
      <c r="W37" s="18" t="s">
        <v>5309</v>
      </c>
      <c r="X37" s="69" t="s">
        <v>9453</v>
      </c>
      <c r="Y37" s="70" t="s">
        <v>9462</v>
      </c>
      <c r="Z37" s="73" t="s">
        <v>9486</v>
      </c>
      <c r="AA37" s="74" t="s">
        <v>9504</v>
      </c>
      <c r="AB37" s="73" t="s">
        <v>9486</v>
      </c>
      <c r="AC37" s="74" t="s">
        <v>9566</v>
      </c>
      <c r="AD37" s="73" t="s">
        <v>9578</v>
      </c>
      <c r="AE37" s="74" t="s">
        <v>9579</v>
      </c>
    </row>
    <row r="38" spans="1:31" ht="8.65" customHeight="1" x14ac:dyDescent="0.2">
      <c r="A38" s="76">
        <v>38</v>
      </c>
      <c r="B38" s="67" t="str">
        <f>MID(C38, FIND("Ifc.", C38) + 4, 4) &amp; "_" &amp; TEXT(COUNTIF($C$2:C38, C38),"0000")</f>
        <v>Prop_0037</v>
      </c>
      <c r="C38" s="24" t="s">
        <v>872</v>
      </c>
      <c r="D38" s="69" t="s">
        <v>9453</v>
      </c>
      <c r="E38" s="70" t="s">
        <v>9454</v>
      </c>
      <c r="F38" s="17" t="s">
        <v>806</v>
      </c>
      <c r="G38" s="22" t="s">
        <v>1405</v>
      </c>
      <c r="H38" s="12" t="s">
        <v>9703</v>
      </c>
      <c r="I38" s="13" t="s">
        <v>7168</v>
      </c>
      <c r="J38" s="14" t="s">
        <v>798</v>
      </c>
      <c r="K38" s="15" t="s">
        <v>798</v>
      </c>
      <c r="L38" s="12" t="s">
        <v>5315</v>
      </c>
      <c r="M38" s="13" t="s">
        <v>6059</v>
      </c>
      <c r="N38" s="12" t="s">
        <v>803</v>
      </c>
      <c r="O38" s="13" t="s">
        <v>4928</v>
      </c>
      <c r="P38" s="17" t="s">
        <v>802</v>
      </c>
      <c r="Q38" s="21" t="s">
        <v>7706</v>
      </c>
      <c r="R38" s="17" t="s">
        <v>801</v>
      </c>
      <c r="S38" s="18" t="s">
        <v>2585</v>
      </c>
      <c r="T38" s="17" t="s">
        <v>800</v>
      </c>
      <c r="U38" s="18" t="s">
        <v>5238</v>
      </c>
      <c r="V38" s="17" t="s">
        <v>9418</v>
      </c>
      <c r="W38" s="18" t="s">
        <v>5309</v>
      </c>
      <c r="X38" s="69" t="s">
        <v>9453</v>
      </c>
      <c r="Y38" s="70" t="s">
        <v>9462</v>
      </c>
      <c r="Z38" s="73" t="s">
        <v>9486</v>
      </c>
      <c r="AA38" s="74" t="s">
        <v>9504</v>
      </c>
      <c r="AB38" s="73" t="s">
        <v>9486</v>
      </c>
      <c r="AC38" s="74" t="s">
        <v>9566</v>
      </c>
      <c r="AD38" s="73" t="s">
        <v>9578</v>
      </c>
      <c r="AE38" s="74" t="s">
        <v>9579</v>
      </c>
    </row>
    <row r="39" spans="1:31" ht="8.65" customHeight="1" x14ac:dyDescent="0.2">
      <c r="A39" s="76">
        <v>39</v>
      </c>
      <c r="B39" s="67" t="str">
        <f>MID(C39, FIND("Ifc.", C39) + 4, 4) &amp; "_" &amp; TEXT(COUNTIF($C$2:C39, C39),"0000")</f>
        <v>Prop_0038</v>
      </c>
      <c r="C39" s="24" t="s">
        <v>872</v>
      </c>
      <c r="D39" s="69" t="s">
        <v>9453</v>
      </c>
      <c r="E39" s="70" t="s">
        <v>9454</v>
      </c>
      <c r="F39" s="17" t="s">
        <v>806</v>
      </c>
      <c r="G39" s="22" t="s">
        <v>2162</v>
      </c>
      <c r="H39" s="12" t="s">
        <v>9703</v>
      </c>
      <c r="I39" s="13" t="s">
        <v>6657</v>
      </c>
      <c r="J39" s="14" t="s">
        <v>798</v>
      </c>
      <c r="K39" s="15" t="s">
        <v>798</v>
      </c>
      <c r="L39" s="12" t="s">
        <v>5315</v>
      </c>
      <c r="M39" s="13" t="s">
        <v>5499</v>
      </c>
      <c r="N39" s="12" t="s">
        <v>803</v>
      </c>
      <c r="O39" s="13" t="s">
        <v>5113</v>
      </c>
      <c r="P39" s="17" t="s">
        <v>802</v>
      </c>
      <c r="Q39" s="21" t="s">
        <v>7707</v>
      </c>
      <c r="R39" s="17" t="s">
        <v>801</v>
      </c>
      <c r="S39" s="18" t="s">
        <v>2585</v>
      </c>
      <c r="T39" s="17" t="s">
        <v>800</v>
      </c>
      <c r="U39" s="18" t="s">
        <v>5238</v>
      </c>
      <c r="V39" s="17" t="s">
        <v>9418</v>
      </c>
      <c r="W39" s="18" t="s">
        <v>5309</v>
      </c>
      <c r="X39" s="69" t="s">
        <v>9453</v>
      </c>
      <c r="Y39" s="70" t="s">
        <v>9462</v>
      </c>
      <c r="Z39" s="73" t="s">
        <v>9486</v>
      </c>
      <c r="AA39" s="74" t="s">
        <v>9504</v>
      </c>
      <c r="AB39" s="73" t="s">
        <v>9486</v>
      </c>
      <c r="AC39" s="74" t="s">
        <v>9566</v>
      </c>
      <c r="AD39" s="73" t="s">
        <v>9578</v>
      </c>
      <c r="AE39" s="74" t="s">
        <v>9579</v>
      </c>
    </row>
    <row r="40" spans="1:31" ht="8.65" customHeight="1" x14ac:dyDescent="0.2">
      <c r="A40" s="76">
        <v>40</v>
      </c>
      <c r="B40" s="67" t="str">
        <f>MID(C40, FIND("Ifc.", C40) + 4, 4) &amp; "_" &amp; TEXT(COUNTIF($C$2:C40, C40),"0000")</f>
        <v>Prop_0039</v>
      </c>
      <c r="C40" s="24" t="s">
        <v>872</v>
      </c>
      <c r="D40" s="69" t="s">
        <v>9453</v>
      </c>
      <c r="E40" s="70" t="s">
        <v>9454</v>
      </c>
      <c r="F40" s="17" t="s">
        <v>806</v>
      </c>
      <c r="G40" s="22" t="s">
        <v>2039</v>
      </c>
      <c r="H40" s="12" t="s">
        <v>9703</v>
      </c>
      <c r="I40" s="13" t="s">
        <v>7419</v>
      </c>
      <c r="J40" s="14" t="s">
        <v>798</v>
      </c>
      <c r="K40" s="15" t="s">
        <v>798</v>
      </c>
      <c r="L40" s="12" t="s">
        <v>5315</v>
      </c>
      <c r="M40" s="13" t="s">
        <v>5481</v>
      </c>
      <c r="N40" s="12" t="s">
        <v>803</v>
      </c>
      <c r="O40" s="13" t="s">
        <v>5085</v>
      </c>
      <c r="P40" s="17" t="s">
        <v>802</v>
      </c>
      <c r="Q40" s="21" t="s">
        <v>7708</v>
      </c>
      <c r="R40" s="17" t="s">
        <v>801</v>
      </c>
      <c r="S40" s="18" t="s">
        <v>2585</v>
      </c>
      <c r="T40" s="17" t="s">
        <v>800</v>
      </c>
      <c r="U40" s="18" t="s">
        <v>5238</v>
      </c>
      <c r="V40" s="17" t="s">
        <v>9418</v>
      </c>
      <c r="W40" s="18" t="s">
        <v>5309</v>
      </c>
      <c r="X40" s="69" t="s">
        <v>9453</v>
      </c>
      <c r="Y40" s="70" t="s">
        <v>9462</v>
      </c>
      <c r="Z40" s="73" t="s">
        <v>9486</v>
      </c>
      <c r="AA40" s="74" t="s">
        <v>9504</v>
      </c>
      <c r="AB40" s="73" t="s">
        <v>9486</v>
      </c>
      <c r="AC40" s="74" t="s">
        <v>9566</v>
      </c>
      <c r="AD40" s="73" t="s">
        <v>9578</v>
      </c>
      <c r="AE40" s="74" t="s">
        <v>9579</v>
      </c>
    </row>
    <row r="41" spans="1:31" ht="8.65" customHeight="1" x14ac:dyDescent="0.2">
      <c r="A41" s="76">
        <v>41</v>
      </c>
      <c r="B41" s="67" t="str">
        <f>MID(C41, FIND("Ifc.", C41) + 4, 4) &amp; "_" &amp; TEXT(COUNTIF($C$2:C41, C41),"0000")</f>
        <v>Prop_0040</v>
      </c>
      <c r="C41" s="24" t="s">
        <v>872</v>
      </c>
      <c r="D41" s="69" t="s">
        <v>9453</v>
      </c>
      <c r="E41" s="70" t="s">
        <v>9454</v>
      </c>
      <c r="F41" s="17" t="s">
        <v>806</v>
      </c>
      <c r="G41" s="22" t="s">
        <v>2045</v>
      </c>
      <c r="H41" s="12" t="s">
        <v>9703</v>
      </c>
      <c r="I41" s="13" t="s">
        <v>7171</v>
      </c>
      <c r="J41" s="14" t="s">
        <v>798</v>
      </c>
      <c r="K41" s="15" t="s">
        <v>798</v>
      </c>
      <c r="L41" s="12" t="s">
        <v>5315</v>
      </c>
      <c r="M41" s="13" t="s">
        <v>5481</v>
      </c>
      <c r="N41" s="12" t="s">
        <v>803</v>
      </c>
      <c r="O41" s="13" t="s">
        <v>5085</v>
      </c>
      <c r="P41" s="17" t="s">
        <v>802</v>
      </c>
      <c r="Q41" s="21" t="s">
        <v>7708</v>
      </c>
      <c r="R41" s="17" t="s">
        <v>801</v>
      </c>
      <c r="S41" s="18" t="s">
        <v>2585</v>
      </c>
      <c r="T41" s="17" t="s">
        <v>800</v>
      </c>
      <c r="U41" s="18" t="s">
        <v>5238</v>
      </c>
      <c r="V41" s="17" t="s">
        <v>9418</v>
      </c>
      <c r="W41" s="18" t="s">
        <v>5309</v>
      </c>
      <c r="X41" s="69" t="s">
        <v>9453</v>
      </c>
      <c r="Y41" s="70" t="s">
        <v>9462</v>
      </c>
      <c r="Z41" s="73" t="s">
        <v>9486</v>
      </c>
      <c r="AA41" s="74" t="s">
        <v>9504</v>
      </c>
      <c r="AB41" s="73" t="s">
        <v>9486</v>
      </c>
      <c r="AC41" s="74" t="s">
        <v>9566</v>
      </c>
      <c r="AD41" s="73" t="s">
        <v>9578</v>
      </c>
      <c r="AE41" s="74" t="s">
        <v>9579</v>
      </c>
    </row>
    <row r="42" spans="1:31" ht="8.65" customHeight="1" x14ac:dyDescent="0.2">
      <c r="A42" s="76">
        <v>42</v>
      </c>
      <c r="B42" s="67" t="str">
        <f>MID(C42, FIND("Ifc.", C42) + 4, 4) &amp; "_" &amp; TEXT(COUNTIF($C$2:C42, C42),"0000")</f>
        <v>Prop_0041</v>
      </c>
      <c r="C42" s="24" t="s">
        <v>872</v>
      </c>
      <c r="D42" s="69" t="s">
        <v>9453</v>
      </c>
      <c r="E42" s="70" t="s">
        <v>9454</v>
      </c>
      <c r="F42" s="17" t="s">
        <v>806</v>
      </c>
      <c r="G42" s="22" t="s">
        <v>2343</v>
      </c>
      <c r="H42" s="12" t="s">
        <v>9703</v>
      </c>
      <c r="I42" s="13" t="s">
        <v>6734</v>
      </c>
      <c r="J42" s="14" t="s">
        <v>798</v>
      </c>
      <c r="K42" s="15" t="s">
        <v>798</v>
      </c>
      <c r="L42" s="12" t="s">
        <v>5315</v>
      </c>
      <c r="M42" s="13" t="s">
        <v>5860</v>
      </c>
      <c r="N42" s="12" t="s">
        <v>803</v>
      </c>
      <c r="O42" s="13" t="s">
        <v>5173</v>
      </c>
      <c r="P42" s="17" t="s">
        <v>802</v>
      </c>
      <c r="Q42" s="21" t="s">
        <v>7709</v>
      </c>
      <c r="R42" s="17" t="s">
        <v>801</v>
      </c>
      <c r="S42" s="18" t="s">
        <v>2585</v>
      </c>
      <c r="T42" s="17" t="s">
        <v>800</v>
      </c>
      <c r="U42" s="18" t="s">
        <v>5238</v>
      </c>
      <c r="V42" s="17" t="s">
        <v>9418</v>
      </c>
      <c r="W42" s="18" t="s">
        <v>5309</v>
      </c>
      <c r="X42" s="69" t="s">
        <v>9453</v>
      </c>
      <c r="Y42" s="70" t="s">
        <v>9462</v>
      </c>
      <c r="Z42" s="73" t="s">
        <v>9486</v>
      </c>
      <c r="AA42" s="74" t="s">
        <v>9504</v>
      </c>
      <c r="AB42" s="73" t="s">
        <v>9486</v>
      </c>
      <c r="AC42" s="74" t="s">
        <v>9566</v>
      </c>
      <c r="AD42" s="73" t="s">
        <v>9578</v>
      </c>
      <c r="AE42" s="74" t="s">
        <v>9579</v>
      </c>
    </row>
    <row r="43" spans="1:31" ht="8.65" customHeight="1" x14ac:dyDescent="0.2">
      <c r="A43" s="76">
        <v>43</v>
      </c>
      <c r="B43" s="67" t="str">
        <f>MID(C43, FIND("Ifc.", C43) + 4, 4) &amp; "_" &amp; TEXT(COUNTIF($C$2:C43, C43),"0000")</f>
        <v>Prop_0042</v>
      </c>
      <c r="C43" s="24" t="s">
        <v>872</v>
      </c>
      <c r="D43" s="69" t="s">
        <v>9453</v>
      </c>
      <c r="E43" s="70" t="s">
        <v>9454</v>
      </c>
      <c r="F43" s="17" t="s">
        <v>806</v>
      </c>
      <c r="G43" s="22" t="s">
        <v>2159</v>
      </c>
      <c r="H43" s="12" t="s">
        <v>9703</v>
      </c>
      <c r="I43" s="13" t="s">
        <v>7562</v>
      </c>
      <c r="J43" s="14" t="s">
        <v>798</v>
      </c>
      <c r="K43" s="15" t="s">
        <v>798</v>
      </c>
      <c r="L43" s="12" t="s">
        <v>5315</v>
      </c>
      <c r="M43" s="13" t="s">
        <v>5499</v>
      </c>
      <c r="N43" s="12" t="s">
        <v>803</v>
      </c>
      <c r="O43" s="13" t="s">
        <v>5113</v>
      </c>
      <c r="P43" s="17" t="s">
        <v>802</v>
      </c>
      <c r="Q43" s="21" t="s">
        <v>7707</v>
      </c>
      <c r="R43" s="17" t="s">
        <v>801</v>
      </c>
      <c r="S43" s="18" t="s">
        <v>2584</v>
      </c>
      <c r="T43" s="17" t="s">
        <v>800</v>
      </c>
      <c r="U43" s="18" t="s">
        <v>5294</v>
      </c>
      <c r="V43" s="17" t="s">
        <v>9418</v>
      </c>
      <c r="W43" s="18" t="s">
        <v>5309</v>
      </c>
      <c r="X43" s="69" t="s">
        <v>9453</v>
      </c>
      <c r="Y43" s="70" t="s">
        <v>9462</v>
      </c>
      <c r="Z43" s="73" t="s">
        <v>9486</v>
      </c>
      <c r="AA43" s="74" t="s">
        <v>9504</v>
      </c>
      <c r="AB43" s="73" t="s">
        <v>9486</v>
      </c>
      <c r="AC43" s="74" t="s">
        <v>9566</v>
      </c>
      <c r="AD43" s="73" t="s">
        <v>9578</v>
      </c>
      <c r="AE43" s="74" t="s">
        <v>9579</v>
      </c>
    </row>
    <row r="44" spans="1:31" ht="8.65" customHeight="1" x14ac:dyDescent="0.2">
      <c r="A44" s="76">
        <v>44</v>
      </c>
      <c r="B44" s="67" t="str">
        <f>MID(C44, FIND("Ifc.", C44) + 4, 4) &amp; "_" &amp; TEXT(COUNTIF($C$2:C44, C44),"0000")</f>
        <v>Prop_0043</v>
      </c>
      <c r="C44" s="24" t="s">
        <v>872</v>
      </c>
      <c r="D44" s="69" t="s">
        <v>9453</v>
      </c>
      <c r="E44" s="70" t="s">
        <v>9454</v>
      </c>
      <c r="F44" s="17" t="s">
        <v>806</v>
      </c>
      <c r="G44" s="22" t="s">
        <v>2163</v>
      </c>
      <c r="H44" s="12" t="s">
        <v>9703</v>
      </c>
      <c r="I44" s="13" t="s">
        <v>7173</v>
      </c>
      <c r="J44" s="14" t="s">
        <v>798</v>
      </c>
      <c r="K44" s="15" t="s">
        <v>798</v>
      </c>
      <c r="L44" s="12" t="s">
        <v>5315</v>
      </c>
      <c r="M44" s="13" t="s">
        <v>5499</v>
      </c>
      <c r="N44" s="12" t="s">
        <v>803</v>
      </c>
      <c r="O44" s="13" t="s">
        <v>5113</v>
      </c>
      <c r="P44" s="17" t="s">
        <v>802</v>
      </c>
      <c r="Q44" s="21" t="s">
        <v>7707</v>
      </c>
      <c r="R44" s="17" t="s">
        <v>801</v>
      </c>
      <c r="S44" s="18" t="s">
        <v>2585</v>
      </c>
      <c r="T44" s="17" t="s">
        <v>800</v>
      </c>
      <c r="U44" s="18" t="s">
        <v>5238</v>
      </c>
      <c r="V44" s="17" t="s">
        <v>9418</v>
      </c>
      <c r="W44" s="18" t="s">
        <v>5309</v>
      </c>
      <c r="X44" s="69" t="s">
        <v>9453</v>
      </c>
      <c r="Y44" s="70" t="s">
        <v>9462</v>
      </c>
      <c r="Z44" s="73" t="s">
        <v>9486</v>
      </c>
      <c r="AA44" s="74" t="s">
        <v>9504</v>
      </c>
      <c r="AB44" s="73" t="s">
        <v>9486</v>
      </c>
      <c r="AC44" s="74" t="s">
        <v>9566</v>
      </c>
      <c r="AD44" s="73" t="s">
        <v>9578</v>
      </c>
      <c r="AE44" s="74" t="s">
        <v>9579</v>
      </c>
    </row>
    <row r="45" spans="1:31" ht="8.65" customHeight="1" x14ac:dyDescent="0.2">
      <c r="A45" s="76">
        <v>45</v>
      </c>
      <c r="B45" s="67" t="str">
        <f>MID(C45, FIND("Ifc.", C45) + 4, 4) &amp; "_" &amp; TEXT(COUNTIF($C$2:C45, C45),"0000")</f>
        <v>Prop_0044</v>
      </c>
      <c r="C45" s="24" t="s">
        <v>872</v>
      </c>
      <c r="D45" s="69" t="s">
        <v>9453</v>
      </c>
      <c r="E45" s="70" t="s">
        <v>9454</v>
      </c>
      <c r="F45" s="17" t="s">
        <v>806</v>
      </c>
      <c r="G45" s="22" t="s">
        <v>2158</v>
      </c>
      <c r="H45" s="12" t="s">
        <v>9703</v>
      </c>
      <c r="I45" s="13" t="s">
        <v>7563</v>
      </c>
      <c r="J45" s="14" t="s">
        <v>798</v>
      </c>
      <c r="K45" s="15" t="s">
        <v>798</v>
      </c>
      <c r="L45" s="12" t="s">
        <v>5315</v>
      </c>
      <c r="M45" s="13" t="s">
        <v>5499</v>
      </c>
      <c r="N45" s="12" t="s">
        <v>803</v>
      </c>
      <c r="O45" s="13" t="s">
        <v>5113</v>
      </c>
      <c r="P45" s="17" t="s">
        <v>802</v>
      </c>
      <c r="Q45" s="21" t="s">
        <v>7707</v>
      </c>
      <c r="R45" s="17" t="s">
        <v>801</v>
      </c>
      <c r="S45" s="18" t="s">
        <v>2584</v>
      </c>
      <c r="T45" s="17" t="s">
        <v>800</v>
      </c>
      <c r="U45" s="18" t="s">
        <v>5294</v>
      </c>
      <c r="V45" s="17" t="s">
        <v>9418</v>
      </c>
      <c r="W45" s="18" t="s">
        <v>5309</v>
      </c>
      <c r="X45" s="69" t="s">
        <v>9453</v>
      </c>
      <c r="Y45" s="70" t="s">
        <v>9462</v>
      </c>
      <c r="Z45" s="73" t="s">
        <v>9486</v>
      </c>
      <c r="AA45" s="74" t="s">
        <v>9504</v>
      </c>
      <c r="AB45" s="73" t="s">
        <v>9486</v>
      </c>
      <c r="AC45" s="74" t="s">
        <v>9566</v>
      </c>
      <c r="AD45" s="73" t="s">
        <v>9578</v>
      </c>
      <c r="AE45" s="74" t="s">
        <v>9579</v>
      </c>
    </row>
    <row r="46" spans="1:31" ht="8.65" customHeight="1" x14ac:dyDescent="0.2">
      <c r="A46" s="76">
        <v>46</v>
      </c>
      <c r="B46" s="67" t="str">
        <f>MID(C46, FIND("Ifc.", C46) + 4, 4) &amp; "_" &amp; TEXT(COUNTIF($C$2:C46, C46),"0000")</f>
        <v>Prop_0045</v>
      </c>
      <c r="C46" s="24" t="s">
        <v>872</v>
      </c>
      <c r="D46" s="69" t="s">
        <v>9453</v>
      </c>
      <c r="E46" s="70" t="s">
        <v>9454</v>
      </c>
      <c r="F46" s="17" t="s">
        <v>806</v>
      </c>
      <c r="G46" s="22" t="s">
        <v>1391</v>
      </c>
      <c r="H46" s="12" t="s">
        <v>9703</v>
      </c>
      <c r="I46" s="13" t="s">
        <v>7160</v>
      </c>
      <c r="J46" s="14" t="s">
        <v>798</v>
      </c>
      <c r="K46" s="15" t="s">
        <v>798</v>
      </c>
      <c r="L46" s="12" t="s">
        <v>5315</v>
      </c>
      <c r="M46" s="13" t="s">
        <v>5426</v>
      </c>
      <c r="N46" s="12" t="s">
        <v>803</v>
      </c>
      <c r="O46" s="13" t="s">
        <v>4924</v>
      </c>
      <c r="P46" s="17" t="s">
        <v>802</v>
      </c>
      <c r="Q46" s="21" t="s">
        <v>7710</v>
      </c>
      <c r="R46" s="17" t="s">
        <v>801</v>
      </c>
      <c r="S46" s="18" t="s">
        <v>2585</v>
      </c>
      <c r="T46" s="17" t="s">
        <v>800</v>
      </c>
      <c r="U46" s="18" t="s">
        <v>5238</v>
      </c>
      <c r="V46" s="17" t="s">
        <v>9418</v>
      </c>
      <c r="W46" s="18" t="s">
        <v>5309</v>
      </c>
      <c r="X46" s="69" t="s">
        <v>9453</v>
      </c>
      <c r="Y46" s="70" t="s">
        <v>9462</v>
      </c>
      <c r="Z46" s="73" t="s">
        <v>9486</v>
      </c>
      <c r="AA46" s="74" t="s">
        <v>9504</v>
      </c>
      <c r="AB46" s="73" t="s">
        <v>9486</v>
      </c>
      <c r="AC46" s="74" t="s">
        <v>9566</v>
      </c>
      <c r="AD46" s="73" t="s">
        <v>9578</v>
      </c>
      <c r="AE46" s="74" t="s">
        <v>9579</v>
      </c>
    </row>
    <row r="47" spans="1:31" ht="8.65" customHeight="1" x14ac:dyDescent="0.2">
      <c r="A47" s="76">
        <v>47</v>
      </c>
      <c r="B47" s="67" t="str">
        <f>MID(C47, FIND("Ifc.", C47) + 4, 4) &amp; "_" &amp; TEXT(COUNTIF($C$2:C47, C47),"0000")</f>
        <v>Prop_0046</v>
      </c>
      <c r="C47" s="24" t="s">
        <v>872</v>
      </c>
      <c r="D47" s="69" t="s">
        <v>9453</v>
      </c>
      <c r="E47" s="70" t="s">
        <v>9454</v>
      </c>
      <c r="F47" s="17" t="s">
        <v>806</v>
      </c>
      <c r="G47" s="22" t="s">
        <v>2047</v>
      </c>
      <c r="H47" s="12" t="s">
        <v>9703</v>
      </c>
      <c r="I47" s="13" t="s">
        <v>6619</v>
      </c>
      <c r="J47" s="14" t="s">
        <v>798</v>
      </c>
      <c r="K47" s="15" t="s">
        <v>798</v>
      </c>
      <c r="L47" s="12" t="s">
        <v>5315</v>
      </c>
      <c r="M47" s="13" t="s">
        <v>5481</v>
      </c>
      <c r="N47" s="12" t="s">
        <v>803</v>
      </c>
      <c r="O47" s="13" t="s">
        <v>5085</v>
      </c>
      <c r="P47" s="17" t="s">
        <v>802</v>
      </c>
      <c r="Q47" s="21" t="s">
        <v>7708</v>
      </c>
      <c r="R47" s="17" t="s">
        <v>801</v>
      </c>
      <c r="S47" s="18" t="s">
        <v>2585</v>
      </c>
      <c r="T47" s="17" t="s">
        <v>800</v>
      </c>
      <c r="U47" s="18" t="s">
        <v>5238</v>
      </c>
      <c r="V47" s="17" t="s">
        <v>9418</v>
      </c>
      <c r="W47" s="18" t="s">
        <v>5309</v>
      </c>
      <c r="X47" s="69" t="s">
        <v>9453</v>
      </c>
      <c r="Y47" s="70" t="s">
        <v>9462</v>
      </c>
      <c r="Z47" s="73" t="s">
        <v>9486</v>
      </c>
      <c r="AA47" s="74" t="s">
        <v>9504</v>
      </c>
      <c r="AB47" s="73" t="s">
        <v>9486</v>
      </c>
      <c r="AC47" s="74" t="s">
        <v>9566</v>
      </c>
      <c r="AD47" s="73" t="s">
        <v>9578</v>
      </c>
      <c r="AE47" s="74" t="s">
        <v>9579</v>
      </c>
    </row>
    <row r="48" spans="1:31" ht="8.65" customHeight="1" x14ac:dyDescent="0.2">
      <c r="A48" s="76">
        <v>48</v>
      </c>
      <c r="B48" s="67" t="str">
        <f>MID(C48, FIND("Ifc.", C48) + 4, 4) &amp; "_" &amp; TEXT(COUNTIF($C$2:C48, C48),"0000")</f>
        <v>Prop_0047</v>
      </c>
      <c r="C48" s="24" t="s">
        <v>872</v>
      </c>
      <c r="D48" s="69" t="s">
        <v>9453</v>
      </c>
      <c r="E48" s="70" t="s">
        <v>9454</v>
      </c>
      <c r="F48" s="17" t="s">
        <v>806</v>
      </c>
      <c r="G48" s="22" t="s">
        <v>2494</v>
      </c>
      <c r="H48" s="12" t="s">
        <v>9703</v>
      </c>
      <c r="I48" s="13" t="s">
        <v>6718</v>
      </c>
      <c r="J48" s="14" t="s">
        <v>798</v>
      </c>
      <c r="K48" s="15" t="s">
        <v>798</v>
      </c>
      <c r="L48" s="12" t="s">
        <v>5315</v>
      </c>
      <c r="M48" s="13" t="s">
        <v>6005</v>
      </c>
      <c r="N48" s="12" t="s">
        <v>803</v>
      </c>
      <c r="O48" s="13" t="s">
        <v>5221</v>
      </c>
      <c r="P48" s="17" t="s">
        <v>802</v>
      </c>
      <c r="Q48" s="21" t="s">
        <v>7711</v>
      </c>
      <c r="R48" s="17" t="s">
        <v>801</v>
      </c>
      <c r="S48" s="18" t="s">
        <v>2585</v>
      </c>
      <c r="T48" s="17" t="s">
        <v>800</v>
      </c>
      <c r="U48" s="18" t="s">
        <v>5238</v>
      </c>
      <c r="V48" s="17" t="s">
        <v>9418</v>
      </c>
      <c r="W48" s="18" t="s">
        <v>5309</v>
      </c>
      <c r="X48" s="69" t="s">
        <v>9453</v>
      </c>
      <c r="Y48" s="70" t="s">
        <v>9462</v>
      </c>
      <c r="Z48" s="73" t="s">
        <v>9486</v>
      </c>
      <c r="AA48" s="74" t="s">
        <v>9504</v>
      </c>
      <c r="AB48" s="73" t="s">
        <v>9486</v>
      </c>
      <c r="AC48" s="74" t="s">
        <v>9566</v>
      </c>
      <c r="AD48" s="73" t="s">
        <v>9578</v>
      </c>
      <c r="AE48" s="74" t="s">
        <v>9579</v>
      </c>
    </row>
    <row r="49" spans="1:31" ht="8.65" customHeight="1" x14ac:dyDescent="0.2">
      <c r="A49" s="76">
        <v>49</v>
      </c>
      <c r="B49" s="67" t="str">
        <f>MID(C49, FIND("Ifc.", C49) + 4, 4) &amp; "_" &amp; TEXT(COUNTIF($C$2:C49, C49),"0000")</f>
        <v>Prop_0048</v>
      </c>
      <c r="C49" s="24" t="s">
        <v>872</v>
      </c>
      <c r="D49" s="69" t="s">
        <v>9453</v>
      </c>
      <c r="E49" s="70" t="s">
        <v>9454</v>
      </c>
      <c r="F49" s="17" t="s">
        <v>806</v>
      </c>
      <c r="G49" s="22" t="s">
        <v>1330</v>
      </c>
      <c r="H49" s="12" t="s">
        <v>9703</v>
      </c>
      <c r="I49" s="13" t="s">
        <v>6309</v>
      </c>
      <c r="J49" s="14" t="s">
        <v>798</v>
      </c>
      <c r="K49" s="15" t="s">
        <v>798</v>
      </c>
      <c r="L49" s="12" t="s">
        <v>5315</v>
      </c>
      <c r="M49" s="13" t="s">
        <v>5421</v>
      </c>
      <c r="N49" s="12" t="s">
        <v>803</v>
      </c>
      <c r="O49" s="13" t="s">
        <v>4921</v>
      </c>
      <c r="P49" s="17" t="s">
        <v>802</v>
      </c>
      <c r="Q49" s="21" t="s">
        <v>7678</v>
      </c>
      <c r="R49" s="17" t="s">
        <v>801</v>
      </c>
      <c r="S49" s="18" t="s">
        <v>2585</v>
      </c>
      <c r="T49" s="17" t="s">
        <v>800</v>
      </c>
      <c r="U49" s="18" t="s">
        <v>5238</v>
      </c>
      <c r="V49" s="17" t="s">
        <v>9418</v>
      </c>
      <c r="W49" s="18" t="s">
        <v>5309</v>
      </c>
      <c r="X49" s="69" t="s">
        <v>9453</v>
      </c>
      <c r="Y49" s="70" t="s">
        <v>9462</v>
      </c>
      <c r="Z49" s="73" t="s">
        <v>9486</v>
      </c>
      <c r="AA49" s="74" t="s">
        <v>9504</v>
      </c>
      <c r="AB49" s="73" t="s">
        <v>9486</v>
      </c>
      <c r="AC49" s="74" t="s">
        <v>9566</v>
      </c>
      <c r="AD49" s="73" t="s">
        <v>9578</v>
      </c>
      <c r="AE49" s="74" t="s">
        <v>9579</v>
      </c>
    </row>
    <row r="50" spans="1:31" ht="8.65" customHeight="1" x14ac:dyDescent="0.2">
      <c r="A50" s="76">
        <v>50</v>
      </c>
      <c r="B50" s="67" t="str">
        <f>MID(C50, FIND("Ifc.", C50) + 4, 4) &amp; "_" &amp; TEXT(COUNTIF($C$2:C50, C50),"0000")</f>
        <v>Prop_0049</v>
      </c>
      <c r="C50" s="24" t="s">
        <v>872</v>
      </c>
      <c r="D50" s="69" t="s">
        <v>9453</v>
      </c>
      <c r="E50" s="70" t="s">
        <v>9454</v>
      </c>
      <c r="F50" s="17" t="s">
        <v>806</v>
      </c>
      <c r="G50" s="22" t="s">
        <v>1330</v>
      </c>
      <c r="H50" s="12" t="s">
        <v>9703</v>
      </c>
      <c r="I50" s="13" t="s">
        <v>6309</v>
      </c>
      <c r="J50" s="14" t="s">
        <v>798</v>
      </c>
      <c r="K50" s="15" t="s">
        <v>798</v>
      </c>
      <c r="L50" s="12" t="s">
        <v>5315</v>
      </c>
      <c r="M50" s="13" t="s">
        <v>5453</v>
      </c>
      <c r="N50" s="12" t="s">
        <v>803</v>
      </c>
      <c r="O50" s="13" t="s">
        <v>5015</v>
      </c>
      <c r="P50" s="17" t="s">
        <v>802</v>
      </c>
      <c r="Q50" s="21" t="s">
        <v>7712</v>
      </c>
      <c r="R50" s="17" t="s">
        <v>801</v>
      </c>
      <c r="S50" s="18" t="s">
        <v>2585</v>
      </c>
      <c r="T50" s="17" t="s">
        <v>800</v>
      </c>
      <c r="U50" s="18" t="s">
        <v>5238</v>
      </c>
      <c r="V50" s="17" t="s">
        <v>9418</v>
      </c>
      <c r="W50" s="18" t="s">
        <v>5309</v>
      </c>
      <c r="X50" s="69" t="s">
        <v>9453</v>
      </c>
      <c r="Y50" s="70" t="s">
        <v>9462</v>
      </c>
      <c r="Z50" s="73" t="s">
        <v>9486</v>
      </c>
      <c r="AA50" s="74" t="s">
        <v>9504</v>
      </c>
      <c r="AB50" s="73" t="s">
        <v>9486</v>
      </c>
      <c r="AC50" s="74" t="s">
        <v>9566</v>
      </c>
      <c r="AD50" s="73" t="s">
        <v>9578</v>
      </c>
      <c r="AE50" s="74" t="s">
        <v>9579</v>
      </c>
    </row>
    <row r="51" spans="1:31" ht="8.65" customHeight="1" x14ac:dyDescent="0.2">
      <c r="A51" s="76">
        <v>51</v>
      </c>
      <c r="B51" s="67" t="str">
        <f>MID(C51, FIND("Ifc.", C51) + 4, 4) &amp; "_" &amp; TEXT(COUNTIF($C$2:C51, C51),"0000")</f>
        <v>Prop_0050</v>
      </c>
      <c r="C51" s="24" t="s">
        <v>872</v>
      </c>
      <c r="D51" s="69" t="s">
        <v>9453</v>
      </c>
      <c r="E51" s="70" t="s">
        <v>9454</v>
      </c>
      <c r="F51" s="17" t="s">
        <v>806</v>
      </c>
      <c r="G51" s="22" t="s">
        <v>1330</v>
      </c>
      <c r="H51" s="12" t="s">
        <v>9703</v>
      </c>
      <c r="I51" s="13" t="s">
        <v>6309</v>
      </c>
      <c r="J51" s="14" t="s">
        <v>798</v>
      </c>
      <c r="K51" s="15" t="s">
        <v>798</v>
      </c>
      <c r="L51" s="12" t="s">
        <v>5315</v>
      </c>
      <c r="M51" s="13" t="s">
        <v>5463</v>
      </c>
      <c r="N51" s="12" t="s">
        <v>803</v>
      </c>
      <c r="O51" s="13" t="s">
        <v>5048</v>
      </c>
      <c r="P51" s="17" t="s">
        <v>802</v>
      </c>
      <c r="Q51" s="21" t="s">
        <v>7713</v>
      </c>
      <c r="R51" s="17" t="s">
        <v>801</v>
      </c>
      <c r="S51" s="18" t="s">
        <v>2585</v>
      </c>
      <c r="T51" s="17" t="s">
        <v>800</v>
      </c>
      <c r="U51" s="18" t="s">
        <v>5238</v>
      </c>
      <c r="V51" s="17" t="s">
        <v>9418</v>
      </c>
      <c r="W51" s="18" t="s">
        <v>5309</v>
      </c>
      <c r="X51" s="69" t="s">
        <v>9453</v>
      </c>
      <c r="Y51" s="70" t="s">
        <v>9462</v>
      </c>
      <c r="Z51" s="73" t="s">
        <v>9486</v>
      </c>
      <c r="AA51" s="74" t="s">
        <v>9504</v>
      </c>
      <c r="AB51" s="73" t="s">
        <v>9486</v>
      </c>
      <c r="AC51" s="74" t="s">
        <v>9566</v>
      </c>
      <c r="AD51" s="73" t="s">
        <v>9578</v>
      </c>
      <c r="AE51" s="74" t="s">
        <v>9579</v>
      </c>
    </row>
    <row r="52" spans="1:31" ht="8.65" customHeight="1" x14ac:dyDescent="0.2">
      <c r="A52" s="76">
        <v>52</v>
      </c>
      <c r="B52" s="67" t="str">
        <f>MID(C52, FIND("Ifc.", C52) + 4, 4) &amp; "_" &amp; TEXT(COUNTIF($C$2:C52, C52),"0000")</f>
        <v>Prop_0051</v>
      </c>
      <c r="C52" s="24" t="s">
        <v>872</v>
      </c>
      <c r="D52" s="69" t="s">
        <v>9453</v>
      </c>
      <c r="E52" s="70" t="s">
        <v>9454</v>
      </c>
      <c r="F52" s="17" t="s">
        <v>806</v>
      </c>
      <c r="G52" s="22" t="s">
        <v>1330</v>
      </c>
      <c r="H52" s="12" t="s">
        <v>9703</v>
      </c>
      <c r="I52" s="13" t="s">
        <v>6309</v>
      </c>
      <c r="J52" s="14" t="s">
        <v>798</v>
      </c>
      <c r="K52" s="15" t="s">
        <v>798</v>
      </c>
      <c r="L52" s="12" t="s">
        <v>5315</v>
      </c>
      <c r="M52" s="13" t="s">
        <v>5413</v>
      </c>
      <c r="N52" s="12" t="s">
        <v>803</v>
      </c>
      <c r="O52" s="13" t="s">
        <v>4911</v>
      </c>
      <c r="P52" s="17" t="s">
        <v>802</v>
      </c>
      <c r="Q52" s="21" t="s">
        <v>7714</v>
      </c>
      <c r="R52" s="17" t="s">
        <v>801</v>
      </c>
      <c r="S52" s="18" t="s">
        <v>2585</v>
      </c>
      <c r="T52" s="17" t="s">
        <v>800</v>
      </c>
      <c r="U52" s="18" t="s">
        <v>5238</v>
      </c>
      <c r="V52" s="17" t="s">
        <v>9418</v>
      </c>
      <c r="W52" s="18" t="s">
        <v>5309</v>
      </c>
      <c r="X52" s="69" t="s">
        <v>9453</v>
      </c>
      <c r="Y52" s="70" t="s">
        <v>9462</v>
      </c>
      <c r="Z52" s="73" t="s">
        <v>9486</v>
      </c>
      <c r="AA52" s="74" t="s">
        <v>9504</v>
      </c>
      <c r="AB52" s="73" t="s">
        <v>9486</v>
      </c>
      <c r="AC52" s="74" t="s">
        <v>9566</v>
      </c>
      <c r="AD52" s="73" t="s">
        <v>9578</v>
      </c>
      <c r="AE52" s="74" t="s">
        <v>9579</v>
      </c>
    </row>
    <row r="53" spans="1:31" ht="8.65" customHeight="1" x14ac:dyDescent="0.2">
      <c r="A53" s="76">
        <v>53</v>
      </c>
      <c r="B53" s="67" t="str">
        <f>MID(C53, FIND("Ifc.", C53) + 4, 4) &amp; "_" &amp; TEXT(COUNTIF($C$2:C53, C53),"0000")</f>
        <v>Prop_0052</v>
      </c>
      <c r="C53" s="24" t="s">
        <v>872</v>
      </c>
      <c r="D53" s="69" t="s">
        <v>9453</v>
      </c>
      <c r="E53" s="70" t="s">
        <v>9454</v>
      </c>
      <c r="F53" s="17" t="s">
        <v>806</v>
      </c>
      <c r="G53" s="22" t="s">
        <v>1330</v>
      </c>
      <c r="H53" s="12" t="s">
        <v>9703</v>
      </c>
      <c r="I53" s="13" t="s">
        <v>6309</v>
      </c>
      <c r="J53" s="14" t="s">
        <v>798</v>
      </c>
      <c r="K53" s="15" t="s">
        <v>798</v>
      </c>
      <c r="L53" s="12" t="s">
        <v>5315</v>
      </c>
      <c r="M53" s="13" t="s">
        <v>5510</v>
      </c>
      <c r="N53" s="12" t="s">
        <v>803</v>
      </c>
      <c r="O53" s="13" t="s">
        <v>5123</v>
      </c>
      <c r="P53" s="17" t="s">
        <v>802</v>
      </c>
      <c r="Q53" s="21" t="s">
        <v>7715</v>
      </c>
      <c r="R53" s="17" t="s">
        <v>801</v>
      </c>
      <c r="S53" s="18" t="s">
        <v>2585</v>
      </c>
      <c r="T53" s="17" t="s">
        <v>800</v>
      </c>
      <c r="U53" s="18" t="s">
        <v>5238</v>
      </c>
      <c r="V53" s="17" t="s">
        <v>9418</v>
      </c>
      <c r="W53" s="18" t="s">
        <v>5309</v>
      </c>
      <c r="X53" s="69" t="s">
        <v>9453</v>
      </c>
      <c r="Y53" s="70" t="s">
        <v>9462</v>
      </c>
      <c r="Z53" s="73" t="s">
        <v>9486</v>
      </c>
      <c r="AA53" s="74" t="s">
        <v>9504</v>
      </c>
      <c r="AB53" s="73" t="s">
        <v>9486</v>
      </c>
      <c r="AC53" s="74" t="s">
        <v>9566</v>
      </c>
      <c r="AD53" s="73" t="s">
        <v>9578</v>
      </c>
      <c r="AE53" s="74" t="s">
        <v>9579</v>
      </c>
    </row>
    <row r="54" spans="1:31" ht="8.65" customHeight="1" x14ac:dyDescent="0.2">
      <c r="A54" s="76">
        <v>54</v>
      </c>
      <c r="B54" s="67" t="str">
        <f>MID(C54, FIND("Ifc.", C54) + 4, 4) &amp; "_" &amp; TEXT(COUNTIF($C$2:C54, C54),"0000")</f>
        <v>Prop_0053</v>
      </c>
      <c r="C54" s="24" t="s">
        <v>872</v>
      </c>
      <c r="D54" s="69" t="s">
        <v>9453</v>
      </c>
      <c r="E54" s="70" t="s">
        <v>9454</v>
      </c>
      <c r="F54" s="17" t="s">
        <v>806</v>
      </c>
      <c r="G54" s="22" t="s">
        <v>1330</v>
      </c>
      <c r="H54" s="12" t="s">
        <v>9703</v>
      </c>
      <c r="I54" s="13" t="s">
        <v>6309</v>
      </c>
      <c r="J54" s="14" t="s">
        <v>798</v>
      </c>
      <c r="K54" s="15" t="s">
        <v>798</v>
      </c>
      <c r="L54" s="12" t="s">
        <v>5315</v>
      </c>
      <c r="M54" s="13" t="s">
        <v>5511</v>
      </c>
      <c r="N54" s="12" t="s">
        <v>803</v>
      </c>
      <c r="O54" s="13" t="s">
        <v>5124</v>
      </c>
      <c r="P54" s="17" t="s">
        <v>802</v>
      </c>
      <c r="Q54" s="21" t="s">
        <v>7716</v>
      </c>
      <c r="R54" s="17" t="s">
        <v>801</v>
      </c>
      <c r="S54" s="18" t="s">
        <v>2585</v>
      </c>
      <c r="T54" s="17" t="s">
        <v>800</v>
      </c>
      <c r="U54" s="18" t="s">
        <v>5238</v>
      </c>
      <c r="V54" s="17" t="s">
        <v>9418</v>
      </c>
      <c r="W54" s="18" t="s">
        <v>5309</v>
      </c>
      <c r="X54" s="69" t="s">
        <v>9453</v>
      </c>
      <c r="Y54" s="70" t="s">
        <v>9462</v>
      </c>
      <c r="Z54" s="73" t="s">
        <v>9486</v>
      </c>
      <c r="AA54" s="74" t="s">
        <v>9504</v>
      </c>
      <c r="AB54" s="73" t="s">
        <v>9486</v>
      </c>
      <c r="AC54" s="74" t="s">
        <v>9566</v>
      </c>
      <c r="AD54" s="73" t="s">
        <v>9578</v>
      </c>
      <c r="AE54" s="74" t="s">
        <v>9579</v>
      </c>
    </row>
    <row r="55" spans="1:31" ht="8.65" customHeight="1" x14ac:dyDescent="0.2">
      <c r="A55" s="76">
        <v>55</v>
      </c>
      <c r="B55" s="67" t="str">
        <f>MID(C55, FIND("Ifc.", C55) + 4, 4) &amp; "_" &amp; TEXT(COUNTIF($C$2:C55, C55),"0000")</f>
        <v>Prop_0054</v>
      </c>
      <c r="C55" s="24" t="s">
        <v>872</v>
      </c>
      <c r="D55" s="69" t="s">
        <v>9453</v>
      </c>
      <c r="E55" s="70" t="s">
        <v>9454</v>
      </c>
      <c r="F55" s="17" t="s">
        <v>806</v>
      </c>
      <c r="G55" s="22" t="s">
        <v>1330</v>
      </c>
      <c r="H55" s="12" t="s">
        <v>9703</v>
      </c>
      <c r="I55" s="13" t="s">
        <v>6309</v>
      </c>
      <c r="J55" s="14" t="s">
        <v>798</v>
      </c>
      <c r="K55" s="15" t="s">
        <v>798</v>
      </c>
      <c r="L55" s="12" t="s">
        <v>5315</v>
      </c>
      <c r="M55" s="13" t="s">
        <v>5516</v>
      </c>
      <c r="N55" s="12" t="s">
        <v>803</v>
      </c>
      <c r="O55" s="13" t="s">
        <v>5131</v>
      </c>
      <c r="P55" s="17" t="s">
        <v>802</v>
      </c>
      <c r="Q55" s="21" t="s">
        <v>7717</v>
      </c>
      <c r="R55" s="17" t="s">
        <v>801</v>
      </c>
      <c r="S55" s="18" t="s">
        <v>2585</v>
      </c>
      <c r="T55" s="17" t="s">
        <v>800</v>
      </c>
      <c r="U55" s="18" t="s">
        <v>5238</v>
      </c>
      <c r="V55" s="17" t="s">
        <v>9418</v>
      </c>
      <c r="W55" s="18" t="s">
        <v>5309</v>
      </c>
      <c r="X55" s="69" t="s">
        <v>9453</v>
      </c>
      <c r="Y55" s="70" t="s">
        <v>9462</v>
      </c>
      <c r="Z55" s="73" t="s">
        <v>9486</v>
      </c>
      <c r="AA55" s="74" t="s">
        <v>9504</v>
      </c>
      <c r="AB55" s="73" t="s">
        <v>9486</v>
      </c>
      <c r="AC55" s="74" t="s">
        <v>9566</v>
      </c>
      <c r="AD55" s="73" t="s">
        <v>9578</v>
      </c>
      <c r="AE55" s="74" t="s">
        <v>9579</v>
      </c>
    </row>
    <row r="56" spans="1:31" ht="8.65" customHeight="1" x14ac:dyDescent="0.2">
      <c r="A56" s="76">
        <v>56</v>
      </c>
      <c r="B56" s="67" t="str">
        <f>MID(C56, FIND("Ifc.", C56) + 4, 4) &amp; "_" &amp; TEXT(COUNTIF($C$2:C56, C56),"0000")</f>
        <v>Prop_0055</v>
      </c>
      <c r="C56" s="24" t="s">
        <v>872</v>
      </c>
      <c r="D56" s="69" t="s">
        <v>9453</v>
      </c>
      <c r="E56" s="70" t="s">
        <v>9454</v>
      </c>
      <c r="F56" s="17" t="s">
        <v>806</v>
      </c>
      <c r="G56" s="22" t="s">
        <v>1330</v>
      </c>
      <c r="H56" s="12" t="s">
        <v>9703</v>
      </c>
      <c r="I56" s="13" t="s">
        <v>6309</v>
      </c>
      <c r="J56" s="14" t="s">
        <v>798</v>
      </c>
      <c r="K56" s="15" t="s">
        <v>798</v>
      </c>
      <c r="L56" s="12" t="s">
        <v>5315</v>
      </c>
      <c r="M56" s="13" t="s">
        <v>5515</v>
      </c>
      <c r="N56" s="12" t="s">
        <v>803</v>
      </c>
      <c r="O56" s="13" t="s">
        <v>5129</v>
      </c>
      <c r="P56" s="17" t="s">
        <v>802</v>
      </c>
      <c r="Q56" s="21" t="s">
        <v>7718</v>
      </c>
      <c r="R56" s="17" t="s">
        <v>801</v>
      </c>
      <c r="S56" s="18" t="s">
        <v>2585</v>
      </c>
      <c r="T56" s="17" t="s">
        <v>800</v>
      </c>
      <c r="U56" s="18" t="s">
        <v>5238</v>
      </c>
      <c r="V56" s="17" t="s">
        <v>9418</v>
      </c>
      <c r="W56" s="18" t="s">
        <v>5309</v>
      </c>
      <c r="X56" s="69" t="s">
        <v>9453</v>
      </c>
      <c r="Y56" s="70" t="s">
        <v>9462</v>
      </c>
      <c r="Z56" s="73" t="s">
        <v>9486</v>
      </c>
      <c r="AA56" s="74" t="s">
        <v>9504</v>
      </c>
      <c r="AB56" s="73" t="s">
        <v>9486</v>
      </c>
      <c r="AC56" s="74" t="s">
        <v>9566</v>
      </c>
      <c r="AD56" s="73" t="s">
        <v>9578</v>
      </c>
      <c r="AE56" s="74" t="s">
        <v>9579</v>
      </c>
    </row>
    <row r="57" spans="1:31" ht="8.65" customHeight="1" x14ac:dyDescent="0.2">
      <c r="A57" s="76">
        <v>57</v>
      </c>
      <c r="B57" s="67" t="str">
        <f>MID(C57, FIND("Ifc.", C57) + 4, 4) &amp; "_" &amp; TEXT(COUNTIF($C$2:C57, C57),"0000")</f>
        <v>Prop_0056</v>
      </c>
      <c r="C57" s="24" t="s">
        <v>872</v>
      </c>
      <c r="D57" s="69" t="s">
        <v>9453</v>
      </c>
      <c r="E57" s="70" t="s">
        <v>9454</v>
      </c>
      <c r="F57" s="17" t="s">
        <v>806</v>
      </c>
      <c r="G57" s="22" t="s">
        <v>1330</v>
      </c>
      <c r="H57" s="12" t="s">
        <v>9703</v>
      </c>
      <c r="I57" s="13" t="s">
        <v>6309</v>
      </c>
      <c r="J57" s="14" t="s">
        <v>798</v>
      </c>
      <c r="K57" s="15" t="s">
        <v>798</v>
      </c>
      <c r="L57" s="12" t="s">
        <v>5315</v>
      </c>
      <c r="M57" s="13" t="s">
        <v>5518</v>
      </c>
      <c r="N57" s="12" t="s">
        <v>803</v>
      </c>
      <c r="O57" s="13" t="s">
        <v>5133</v>
      </c>
      <c r="P57" s="17" t="s">
        <v>802</v>
      </c>
      <c r="Q57" s="21" t="s">
        <v>7719</v>
      </c>
      <c r="R57" s="17" t="s">
        <v>801</v>
      </c>
      <c r="S57" s="18" t="s">
        <v>2585</v>
      </c>
      <c r="T57" s="17" t="s">
        <v>800</v>
      </c>
      <c r="U57" s="18" t="s">
        <v>5238</v>
      </c>
      <c r="V57" s="17" t="s">
        <v>9418</v>
      </c>
      <c r="W57" s="18" t="s">
        <v>5309</v>
      </c>
      <c r="X57" s="69" t="s">
        <v>9453</v>
      </c>
      <c r="Y57" s="70" t="s">
        <v>9462</v>
      </c>
      <c r="Z57" s="73" t="s">
        <v>9486</v>
      </c>
      <c r="AA57" s="74" t="s">
        <v>9504</v>
      </c>
      <c r="AB57" s="73" t="s">
        <v>9486</v>
      </c>
      <c r="AC57" s="74" t="s">
        <v>9566</v>
      </c>
      <c r="AD57" s="73" t="s">
        <v>9578</v>
      </c>
      <c r="AE57" s="74" t="s">
        <v>9579</v>
      </c>
    </row>
    <row r="58" spans="1:31" ht="8.65" customHeight="1" x14ac:dyDescent="0.2">
      <c r="A58" s="76">
        <v>58</v>
      </c>
      <c r="B58" s="67" t="str">
        <f>MID(C58, FIND("Ifc.", C58) + 4, 4) &amp; "_" &amp; TEXT(COUNTIF($C$2:C58, C58),"0000")</f>
        <v>Prop_0057</v>
      </c>
      <c r="C58" s="24" t="s">
        <v>872</v>
      </c>
      <c r="D58" s="69" t="s">
        <v>9453</v>
      </c>
      <c r="E58" s="70" t="s">
        <v>9454</v>
      </c>
      <c r="F58" s="17" t="s">
        <v>806</v>
      </c>
      <c r="G58" s="22" t="s">
        <v>2043</v>
      </c>
      <c r="H58" s="12" t="s">
        <v>9703</v>
      </c>
      <c r="I58" s="13" t="s">
        <v>6928</v>
      </c>
      <c r="J58" s="14" t="s">
        <v>798</v>
      </c>
      <c r="K58" s="15" t="s">
        <v>798</v>
      </c>
      <c r="L58" s="12" t="s">
        <v>5315</v>
      </c>
      <c r="M58" s="13" t="s">
        <v>5481</v>
      </c>
      <c r="N58" s="12" t="s">
        <v>803</v>
      </c>
      <c r="O58" s="13" t="s">
        <v>5085</v>
      </c>
      <c r="P58" s="17" t="s">
        <v>802</v>
      </c>
      <c r="Q58" s="21" t="s">
        <v>7708</v>
      </c>
      <c r="R58" s="17" t="s">
        <v>801</v>
      </c>
      <c r="S58" s="18" t="s">
        <v>2585</v>
      </c>
      <c r="T58" s="17" t="s">
        <v>800</v>
      </c>
      <c r="U58" s="18" t="s">
        <v>5238</v>
      </c>
      <c r="V58" s="17" t="s">
        <v>9418</v>
      </c>
      <c r="W58" s="18" t="s">
        <v>5309</v>
      </c>
      <c r="X58" s="69" t="s">
        <v>9453</v>
      </c>
      <c r="Y58" s="70" t="s">
        <v>9462</v>
      </c>
      <c r="Z58" s="73" t="s">
        <v>9486</v>
      </c>
      <c r="AA58" s="74" t="s">
        <v>9504</v>
      </c>
      <c r="AB58" s="73" t="s">
        <v>9486</v>
      </c>
      <c r="AC58" s="74" t="s">
        <v>9566</v>
      </c>
      <c r="AD58" s="73" t="s">
        <v>9578</v>
      </c>
      <c r="AE58" s="74" t="s">
        <v>9579</v>
      </c>
    </row>
    <row r="59" spans="1:31" ht="8.65" customHeight="1" x14ac:dyDescent="0.2">
      <c r="A59" s="76">
        <v>59</v>
      </c>
      <c r="B59" s="67" t="str">
        <f>MID(C59, FIND("Ifc.", C59) + 4, 4) &amp; "_" &amp; TEXT(COUNTIF($C$2:C59, C59),"0000")</f>
        <v>Prop_0058</v>
      </c>
      <c r="C59" s="24" t="s">
        <v>872</v>
      </c>
      <c r="D59" s="69" t="s">
        <v>9453</v>
      </c>
      <c r="E59" s="70" t="s">
        <v>9454</v>
      </c>
      <c r="F59" s="17" t="s">
        <v>806</v>
      </c>
      <c r="G59" s="22" t="s">
        <v>2049</v>
      </c>
      <c r="H59" s="12" t="s">
        <v>9703</v>
      </c>
      <c r="I59" s="13" t="s">
        <v>6930</v>
      </c>
      <c r="J59" s="14" t="s">
        <v>798</v>
      </c>
      <c r="K59" s="15" t="s">
        <v>798</v>
      </c>
      <c r="L59" s="12" t="s">
        <v>5315</v>
      </c>
      <c r="M59" s="13" t="s">
        <v>5481</v>
      </c>
      <c r="N59" s="12" t="s">
        <v>803</v>
      </c>
      <c r="O59" s="13" t="s">
        <v>5085</v>
      </c>
      <c r="P59" s="17" t="s">
        <v>802</v>
      </c>
      <c r="Q59" s="21" t="s">
        <v>7708</v>
      </c>
      <c r="R59" s="17" t="s">
        <v>801</v>
      </c>
      <c r="S59" s="18" t="s">
        <v>2585</v>
      </c>
      <c r="T59" s="17" t="s">
        <v>800</v>
      </c>
      <c r="U59" s="18" t="s">
        <v>5238</v>
      </c>
      <c r="V59" s="17" t="s">
        <v>9418</v>
      </c>
      <c r="W59" s="18" t="s">
        <v>5309</v>
      </c>
      <c r="X59" s="69" t="s">
        <v>9453</v>
      </c>
      <c r="Y59" s="70" t="s">
        <v>9462</v>
      </c>
      <c r="Z59" s="73" t="s">
        <v>9486</v>
      </c>
      <c r="AA59" s="74" t="s">
        <v>9504</v>
      </c>
      <c r="AB59" s="73" t="s">
        <v>9486</v>
      </c>
      <c r="AC59" s="74" t="s">
        <v>9566</v>
      </c>
      <c r="AD59" s="73" t="s">
        <v>9578</v>
      </c>
      <c r="AE59" s="74" t="s">
        <v>9579</v>
      </c>
    </row>
    <row r="60" spans="1:31" ht="8.65" customHeight="1" x14ac:dyDescent="0.2">
      <c r="A60" s="76">
        <v>60</v>
      </c>
      <c r="B60" s="67" t="str">
        <f>MID(C60, FIND("Ifc.", C60) + 4, 4) &amp; "_" &amp; TEXT(COUNTIF($C$2:C60, C60),"0000")</f>
        <v>Prop_0059</v>
      </c>
      <c r="C60" s="24" t="s">
        <v>872</v>
      </c>
      <c r="D60" s="69" t="s">
        <v>9453</v>
      </c>
      <c r="E60" s="70" t="s">
        <v>9454</v>
      </c>
      <c r="F60" s="17" t="s">
        <v>806</v>
      </c>
      <c r="G60" s="22" t="s">
        <v>1227</v>
      </c>
      <c r="H60" s="12" t="s">
        <v>9703</v>
      </c>
      <c r="I60" s="13" t="s">
        <v>6174</v>
      </c>
      <c r="J60" s="14" t="s">
        <v>798</v>
      </c>
      <c r="K60" s="15" t="s">
        <v>798</v>
      </c>
      <c r="L60" s="12" t="s">
        <v>5315</v>
      </c>
      <c r="M60" s="13" t="s">
        <v>6057</v>
      </c>
      <c r="N60" s="12" t="s">
        <v>803</v>
      </c>
      <c r="O60" s="13" t="s">
        <v>4887</v>
      </c>
      <c r="P60" s="17" t="s">
        <v>802</v>
      </c>
      <c r="Q60" s="21" t="s">
        <v>7720</v>
      </c>
      <c r="R60" s="17" t="s">
        <v>801</v>
      </c>
      <c r="S60" s="18" t="s">
        <v>2585</v>
      </c>
      <c r="T60" s="17" t="s">
        <v>800</v>
      </c>
      <c r="U60" s="18" t="s">
        <v>5238</v>
      </c>
      <c r="V60" s="17" t="s">
        <v>9418</v>
      </c>
      <c r="W60" s="18" t="s">
        <v>5309</v>
      </c>
      <c r="X60" s="69" t="s">
        <v>9453</v>
      </c>
      <c r="Y60" s="70" t="s">
        <v>9462</v>
      </c>
      <c r="Z60" s="73" t="s">
        <v>9486</v>
      </c>
      <c r="AA60" s="74" t="s">
        <v>9504</v>
      </c>
      <c r="AB60" s="73" t="s">
        <v>9486</v>
      </c>
      <c r="AC60" s="74" t="s">
        <v>9566</v>
      </c>
      <c r="AD60" s="73" t="s">
        <v>9578</v>
      </c>
      <c r="AE60" s="74" t="s">
        <v>9579</v>
      </c>
    </row>
    <row r="61" spans="1:31" ht="8.65" customHeight="1" x14ac:dyDescent="0.2">
      <c r="A61" s="76">
        <v>61</v>
      </c>
      <c r="B61" s="67" t="str">
        <f>MID(C61, FIND("Ifc.", C61) + 4, 4) &amp; "_" &amp; TEXT(COUNTIF($C$2:C61, C61),"0000")</f>
        <v>Prop_0060</v>
      </c>
      <c r="C61" s="24" t="s">
        <v>872</v>
      </c>
      <c r="D61" s="69" t="s">
        <v>9453</v>
      </c>
      <c r="E61" s="70" t="s">
        <v>9454</v>
      </c>
      <c r="F61" s="17" t="s">
        <v>806</v>
      </c>
      <c r="G61" s="22" t="s">
        <v>1227</v>
      </c>
      <c r="H61" s="12" t="s">
        <v>9703</v>
      </c>
      <c r="I61" s="13" t="s">
        <v>6174</v>
      </c>
      <c r="J61" s="14" t="s">
        <v>798</v>
      </c>
      <c r="K61" s="15" t="s">
        <v>798</v>
      </c>
      <c r="L61" s="12" t="s">
        <v>5315</v>
      </c>
      <c r="M61" s="13" t="s">
        <v>5435</v>
      </c>
      <c r="N61" s="12" t="s">
        <v>803</v>
      </c>
      <c r="O61" s="13" t="s">
        <v>4935</v>
      </c>
      <c r="P61" s="17" t="s">
        <v>802</v>
      </c>
      <c r="Q61" s="21" t="s">
        <v>7721</v>
      </c>
      <c r="R61" s="17" t="s">
        <v>801</v>
      </c>
      <c r="S61" s="18" t="s">
        <v>2585</v>
      </c>
      <c r="T61" s="17" t="s">
        <v>800</v>
      </c>
      <c r="U61" s="18" t="s">
        <v>5238</v>
      </c>
      <c r="V61" s="17" t="s">
        <v>9418</v>
      </c>
      <c r="W61" s="18" t="s">
        <v>5309</v>
      </c>
      <c r="X61" s="69" t="s">
        <v>9453</v>
      </c>
      <c r="Y61" s="70" t="s">
        <v>9462</v>
      </c>
      <c r="Z61" s="73" t="s">
        <v>9486</v>
      </c>
      <c r="AA61" s="74" t="s">
        <v>9504</v>
      </c>
      <c r="AB61" s="73" t="s">
        <v>9486</v>
      </c>
      <c r="AC61" s="74" t="s">
        <v>9566</v>
      </c>
      <c r="AD61" s="73" t="s">
        <v>9578</v>
      </c>
      <c r="AE61" s="74" t="s">
        <v>9579</v>
      </c>
    </row>
    <row r="62" spans="1:31" ht="8.65" customHeight="1" x14ac:dyDescent="0.2">
      <c r="A62" s="76">
        <v>62</v>
      </c>
      <c r="B62" s="67" t="str">
        <f>MID(C62, FIND("Ifc.", C62) + 4, 4) &amp; "_" &amp; TEXT(COUNTIF($C$2:C62, C62),"0000")</f>
        <v>Prop_0061</v>
      </c>
      <c r="C62" s="24" t="s">
        <v>872</v>
      </c>
      <c r="D62" s="69" t="s">
        <v>9453</v>
      </c>
      <c r="E62" s="70" t="s">
        <v>9454</v>
      </c>
      <c r="F62" s="17" t="s">
        <v>806</v>
      </c>
      <c r="G62" s="22" t="s">
        <v>1227</v>
      </c>
      <c r="H62" s="12" t="s">
        <v>9703</v>
      </c>
      <c r="I62" s="13" t="s">
        <v>6174</v>
      </c>
      <c r="J62" s="14" t="s">
        <v>798</v>
      </c>
      <c r="K62" s="15" t="s">
        <v>798</v>
      </c>
      <c r="L62" s="12" t="s">
        <v>5315</v>
      </c>
      <c r="M62" s="13" t="s">
        <v>5492</v>
      </c>
      <c r="N62" s="12" t="s">
        <v>803</v>
      </c>
      <c r="O62" s="13" t="s">
        <v>5103</v>
      </c>
      <c r="P62" s="17" t="s">
        <v>802</v>
      </c>
      <c r="Q62" s="21" t="s">
        <v>7722</v>
      </c>
      <c r="R62" s="17" t="s">
        <v>801</v>
      </c>
      <c r="S62" s="18" t="s">
        <v>2585</v>
      </c>
      <c r="T62" s="17" t="s">
        <v>800</v>
      </c>
      <c r="U62" s="18" t="s">
        <v>5238</v>
      </c>
      <c r="V62" s="17" t="s">
        <v>9418</v>
      </c>
      <c r="W62" s="18" t="s">
        <v>5309</v>
      </c>
      <c r="X62" s="69" t="s">
        <v>9453</v>
      </c>
      <c r="Y62" s="70" t="s">
        <v>9462</v>
      </c>
      <c r="Z62" s="73" t="s">
        <v>9486</v>
      </c>
      <c r="AA62" s="74" t="s">
        <v>9504</v>
      </c>
      <c r="AB62" s="73" t="s">
        <v>9486</v>
      </c>
      <c r="AC62" s="74" t="s">
        <v>9566</v>
      </c>
      <c r="AD62" s="73" t="s">
        <v>9578</v>
      </c>
      <c r="AE62" s="74" t="s">
        <v>9579</v>
      </c>
    </row>
    <row r="63" spans="1:31" ht="8.65" customHeight="1" x14ac:dyDescent="0.2">
      <c r="A63" s="76">
        <v>63</v>
      </c>
      <c r="B63" s="67" t="str">
        <f>MID(C63, FIND("Ifc.", C63) + 4, 4) &amp; "_" &amp; TEXT(COUNTIF($C$2:C63, C63),"0000")</f>
        <v>Prop_0062</v>
      </c>
      <c r="C63" s="24" t="s">
        <v>872</v>
      </c>
      <c r="D63" s="69" t="s">
        <v>9453</v>
      </c>
      <c r="E63" s="70" t="s">
        <v>9454</v>
      </c>
      <c r="F63" s="17" t="s">
        <v>806</v>
      </c>
      <c r="G63" s="22" t="s">
        <v>1431</v>
      </c>
      <c r="H63" s="12" t="s">
        <v>9703</v>
      </c>
      <c r="I63" s="13" t="s">
        <v>7174</v>
      </c>
      <c r="J63" s="14" t="s">
        <v>798</v>
      </c>
      <c r="K63" s="15" t="s">
        <v>798</v>
      </c>
      <c r="L63" s="12" t="s">
        <v>5315</v>
      </c>
      <c r="M63" s="13" t="s">
        <v>5434</v>
      </c>
      <c r="N63" s="12" t="s">
        <v>803</v>
      </c>
      <c r="O63" s="13" t="s">
        <v>4934</v>
      </c>
      <c r="P63" s="17" t="s">
        <v>802</v>
      </c>
      <c r="Q63" s="21" t="s">
        <v>7723</v>
      </c>
      <c r="R63" s="17" t="s">
        <v>801</v>
      </c>
      <c r="S63" s="18" t="s">
        <v>2625</v>
      </c>
      <c r="T63" s="17" t="s">
        <v>800</v>
      </c>
      <c r="U63" s="18" t="s">
        <v>5240</v>
      </c>
      <c r="V63" s="17" t="s">
        <v>9418</v>
      </c>
      <c r="W63" s="18" t="s">
        <v>5312</v>
      </c>
      <c r="X63" s="69" t="s">
        <v>9453</v>
      </c>
      <c r="Y63" s="70" t="s">
        <v>9465</v>
      </c>
      <c r="Z63" s="73" t="s">
        <v>9486</v>
      </c>
      <c r="AA63" s="74" t="s">
        <v>9504</v>
      </c>
      <c r="AB63" s="73" t="s">
        <v>9486</v>
      </c>
      <c r="AC63" s="74" t="s">
        <v>9566</v>
      </c>
      <c r="AD63" s="73" t="s">
        <v>9578</v>
      </c>
      <c r="AE63" s="74" t="s">
        <v>9579</v>
      </c>
    </row>
    <row r="64" spans="1:31" ht="8.65" customHeight="1" x14ac:dyDescent="0.2">
      <c r="A64" s="76">
        <v>64</v>
      </c>
      <c r="B64" s="67" t="str">
        <f>MID(C64, FIND("Ifc.", C64) + 4, 4) &amp; "_" &amp; TEXT(COUNTIF($C$2:C64, C64),"0000")</f>
        <v>Prop_0063</v>
      </c>
      <c r="C64" s="24" t="s">
        <v>872</v>
      </c>
      <c r="D64" s="69" t="s">
        <v>9453</v>
      </c>
      <c r="E64" s="70" t="s">
        <v>9454</v>
      </c>
      <c r="F64" s="17" t="s">
        <v>806</v>
      </c>
      <c r="G64" s="22" t="s">
        <v>1428</v>
      </c>
      <c r="H64" s="12" t="s">
        <v>9703</v>
      </c>
      <c r="I64" s="13" t="s">
        <v>7175</v>
      </c>
      <c r="J64" s="14" t="s">
        <v>798</v>
      </c>
      <c r="K64" s="15" t="s">
        <v>798</v>
      </c>
      <c r="L64" s="12" t="s">
        <v>5315</v>
      </c>
      <c r="M64" s="13" t="s">
        <v>5434</v>
      </c>
      <c r="N64" s="12" t="s">
        <v>803</v>
      </c>
      <c r="O64" s="13" t="s">
        <v>4934</v>
      </c>
      <c r="P64" s="17" t="s">
        <v>802</v>
      </c>
      <c r="Q64" s="21" t="s">
        <v>7723</v>
      </c>
      <c r="R64" s="17" t="s">
        <v>801</v>
      </c>
      <c r="S64" s="18" t="s">
        <v>2625</v>
      </c>
      <c r="T64" s="17" t="s">
        <v>800</v>
      </c>
      <c r="U64" s="18" t="s">
        <v>5240</v>
      </c>
      <c r="V64" s="17" t="s">
        <v>9418</v>
      </c>
      <c r="W64" s="18" t="s">
        <v>5312</v>
      </c>
      <c r="X64" s="69" t="s">
        <v>9453</v>
      </c>
      <c r="Y64" s="70" t="s">
        <v>9465</v>
      </c>
      <c r="Z64" s="73" t="s">
        <v>9486</v>
      </c>
      <c r="AA64" s="74" t="s">
        <v>9504</v>
      </c>
      <c r="AB64" s="73" t="s">
        <v>9486</v>
      </c>
      <c r="AC64" s="74" t="s">
        <v>9566</v>
      </c>
      <c r="AD64" s="73" t="s">
        <v>9578</v>
      </c>
      <c r="AE64" s="74" t="s">
        <v>9579</v>
      </c>
    </row>
    <row r="65" spans="1:31" ht="8.65" customHeight="1" x14ac:dyDescent="0.2">
      <c r="A65" s="76">
        <v>65</v>
      </c>
      <c r="B65" s="67" t="str">
        <f>MID(C65, FIND("Ifc.", C65) + 4, 4) &amp; "_" &amp; TEXT(COUNTIF($C$2:C65, C65),"0000")</f>
        <v>Prop_0064</v>
      </c>
      <c r="C65" s="24" t="s">
        <v>872</v>
      </c>
      <c r="D65" s="69" t="s">
        <v>9453</v>
      </c>
      <c r="E65" s="70" t="s">
        <v>9454</v>
      </c>
      <c r="F65" s="17" t="s">
        <v>806</v>
      </c>
      <c r="G65" s="22" t="s">
        <v>962</v>
      </c>
      <c r="H65" s="12" t="s">
        <v>9703</v>
      </c>
      <c r="I65" s="13" t="s">
        <v>6091</v>
      </c>
      <c r="J65" s="14" t="s">
        <v>798</v>
      </c>
      <c r="K65" s="15" t="s">
        <v>798</v>
      </c>
      <c r="L65" s="12" t="s">
        <v>5315</v>
      </c>
      <c r="M65" s="13" t="s">
        <v>5986</v>
      </c>
      <c r="N65" s="12" t="s">
        <v>803</v>
      </c>
      <c r="O65" s="13" t="s">
        <v>4824</v>
      </c>
      <c r="P65" s="17" t="s">
        <v>802</v>
      </c>
      <c r="Q65" s="21" t="s">
        <v>7724</v>
      </c>
      <c r="R65" s="17" t="s">
        <v>801</v>
      </c>
      <c r="S65" s="18" t="s">
        <v>2606</v>
      </c>
      <c r="T65" s="17" t="s">
        <v>800</v>
      </c>
      <c r="U65" s="18" t="s">
        <v>5249</v>
      </c>
      <c r="V65" s="17" t="s">
        <v>9418</v>
      </c>
      <c r="W65" s="18" t="s">
        <v>5311</v>
      </c>
      <c r="X65" s="69" t="s">
        <v>9453</v>
      </c>
      <c r="Y65" s="70" t="s">
        <v>9466</v>
      </c>
      <c r="Z65" s="73" t="s">
        <v>9486</v>
      </c>
      <c r="AA65" s="74" t="s">
        <v>9504</v>
      </c>
      <c r="AB65" s="73" t="s">
        <v>9486</v>
      </c>
      <c r="AC65" s="74" t="s">
        <v>9566</v>
      </c>
      <c r="AD65" s="73" t="s">
        <v>9578</v>
      </c>
      <c r="AE65" s="74" t="s">
        <v>9579</v>
      </c>
    </row>
    <row r="66" spans="1:31" ht="8.65" customHeight="1" x14ac:dyDescent="0.2">
      <c r="A66" s="76">
        <v>66</v>
      </c>
      <c r="B66" s="67" t="str">
        <f>MID(C66, FIND("Ifc.", C66) + 4, 4) &amp; "_" &amp; TEXT(COUNTIF($C$2:C66, C66),"0000")</f>
        <v>Prop_0065</v>
      </c>
      <c r="C66" s="24" t="s">
        <v>872</v>
      </c>
      <c r="D66" s="69" t="s">
        <v>9453</v>
      </c>
      <c r="E66" s="70" t="s">
        <v>9454</v>
      </c>
      <c r="F66" s="17" t="s">
        <v>806</v>
      </c>
      <c r="G66" s="22" t="s">
        <v>962</v>
      </c>
      <c r="H66" s="12" t="s">
        <v>9703</v>
      </c>
      <c r="I66" s="13" t="s">
        <v>6091</v>
      </c>
      <c r="J66" s="14" t="s">
        <v>798</v>
      </c>
      <c r="K66" s="15" t="s">
        <v>798</v>
      </c>
      <c r="L66" s="12" t="s">
        <v>5315</v>
      </c>
      <c r="M66" s="13" t="s">
        <v>5984</v>
      </c>
      <c r="N66" s="12" t="s">
        <v>803</v>
      </c>
      <c r="O66" s="13" t="s">
        <v>4822</v>
      </c>
      <c r="P66" s="17" t="s">
        <v>802</v>
      </c>
      <c r="Q66" s="21" t="s">
        <v>7725</v>
      </c>
      <c r="R66" s="17" t="s">
        <v>801</v>
      </c>
      <c r="S66" s="18" t="s">
        <v>2606</v>
      </c>
      <c r="T66" s="17" t="s">
        <v>800</v>
      </c>
      <c r="U66" s="18" t="s">
        <v>5249</v>
      </c>
      <c r="V66" s="17" t="s">
        <v>9418</v>
      </c>
      <c r="W66" s="18" t="s">
        <v>5311</v>
      </c>
      <c r="X66" s="69" t="s">
        <v>9453</v>
      </c>
      <c r="Y66" s="70" t="s">
        <v>9466</v>
      </c>
      <c r="Z66" s="73" t="s">
        <v>9486</v>
      </c>
      <c r="AA66" s="74" t="s">
        <v>9504</v>
      </c>
      <c r="AB66" s="73" t="s">
        <v>9486</v>
      </c>
      <c r="AC66" s="74" t="s">
        <v>9566</v>
      </c>
      <c r="AD66" s="73" t="s">
        <v>9578</v>
      </c>
      <c r="AE66" s="74" t="s">
        <v>9579</v>
      </c>
    </row>
    <row r="67" spans="1:31" ht="8.65" customHeight="1" x14ac:dyDescent="0.2">
      <c r="A67" s="76">
        <v>67</v>
      </c>
      <c r="B67" s="67" t="str">
        <f>MID(C67, FIND("Ifc.", C67) + 4, 4) &amp; "_" &amp; TEXT(COUNTIF($C$2:C67, C67),"0000")</f>
        <v>Prop_0066</v>
      </c>
      <c r="C67" s="24" t="s">
        <v>872</v>
      </c>
      <c r="D67" s="69" t="s">
        <v>9453</v>
      </c>
      <c r="E67" s="70" t="s">
        <v>9454</v>
      </c>
      <c r="F67" s="17" t="s">
        <v>806</v>
      </c>
      <c r="G67" s="22" t="s">
        <v>1022</v>
      </c>
      <c r="H67" s="12" t="s">
        <v>9703</v>
      </c>
      <c r="I67" s="13" t="s">
        <v>6122</v>
      </c>
      <c r="J67" s="14" t="s">
        <v>798</v>
      </c>
      <c r="K67" s="15" t="s">
        <v>798</v>
      </c>
      <c r="L67" s="12" t="s">
        <v>5315</v>
      </c>
      <c r="M67" s="13" t="s">
        <v>7403</v>
      </c>
      <c r="N67" s="12" t="s">
        <v>803</v>
      </c>
      <c r="O67" s="13" t="s">
        <v>4837</v>
      </c>
      <c r="P67" s="17" t="s">
        <v>802</v>
      </c>
      <c r="Q67" s="21" t="s">
        <v>7726</v>
      </c>
      <c r="R67" s="17" t="s">
        <v>801</v>
      </c>
      <c r="S67" s="18" t="s">
        <v>2575</v>
      </c>
      <c r="T67" s="17" t="s">
        <v>800</v>
      </c>
      <c r="U67" s="18" t="s">
        <v>5250</v>
      </c>
      <c r="V67" s="17" t="s">
        <v>9418</v>
      </c>
      <c r="W67" s="18" t="s">
        <v>5309</v>
      </c>
      <c r="X67" s="69" t="s">
        <v>9453</v>
      </c>
      <c r="Y67" s="70" t="s">
        <v>9462</v>
      </c>
      <c r="Z67" s="73" t="s">
        <v>9486</v>
      </c>
      <c r="AA67" s="74" t="s">
        <v>9504</v>
      </c>
      <c r="AB67" s="73" t="s">
        <v>9486</v>
      </c>
      <c r="AC67" s="74" t="s">
        <v>9566</v>
      </c>
      <c r="AD67" s="73" t="s">
        <v>9578</v>
      </c>
      <c r="AE67" s="74" t="s">
        <v>9579</v>
      </c>
    </row>
    <row r="68" spans="1:31" ht="8.65" customHeight="1" x14ac:dyDescent="0.2">
      <c r="A68" s="76">
        <v>68</v>
      </c>
      <c r="B68" s="67" t="str">
        <f>MID(C68, FIND("Ifc.", C68) + 4, 4) &amp; "_" &amp; TEXT(COUNTIF($C$2:C68, C68),"0000")</f>
        <v>Prop_0067</v>
      </c>
      <c r="C68" s="24" t="s">
        <v>872</v>
      </c>
      <c r="D68" s="69" t="s">
        <v>9453</v>
      </c>
      <c r="E68" s="70" t="s">
        <v>9454</v>
      </c>
      <c r="F68" s="17" t="s">
        <v>806</v>
      </c>
      <c r="G68" s="22" t="s">
        <v>1162</v>
      </c>
      <c r="H68" s="12" t="s">
        <v>9703</v>
      </c>
      <c r="I68" s="13" t="s">
        <v>6199</v>
      </c>
      <c r="J68" s="14" t="s">
        <v>798</v>
      </c>
      <c r="K68" s="15" t="s">
        <v>798</v>
      </c>
      <c r="L68" s="12" t="s">
        <v>5315</v>
      </c>
      <c r="M68" s="13" t="s">
        <v>6045</v>
      </c>
      <c r="N68" s="12" t="s">
        <v>803</v>
      </c>
      <c r="O68" s="13" t="s">
        <v>4872</v>
      </c>
      <c r="P68" s="17" t="s">
        <v>802</v>
      </c>
      <c r="Q68" s="21" t="s">
        <v>7727</v>
      </c>
      <c r="R68" s="17" t="s">
        <v>801</v>
      </c>
      <c r="S68" s="18" t="s">
        <v>2576</v>
      </c>
      <c r="T68" s="17" t="s">
        <v>800</v>
      </c>
      <c r="U68" s="18" t="s">
        <v>5268</v>
      </c>
      <c r="V68" s="17" t="s">
        <v>9418</v>
      </c>
      <c r="W68" s="18" t="s">
        <v>5309</v>
      </c>
      <c r="X68" s="69" t="s">
        <v>9453</v>
      </c>
      <c r="Y68" s="70" t="s">
        <v>9462</v>
      </c>
      <c r="Z68" s="73" t="s">
        <v>9486</v>
      </c>
      <c r="AA68" s="74" t="s">
        <v>9504</v>
      </c>
      <c r="AB68" s="73" t="s">
        <v>9486</v>
      </c>
      <c r="AC68" s="74" t="s">
        <v>9566</v>
      </c>
      <c r="AD68" s="73" t="s">
        <v>9578</v>
      </c>
      <c r="AE68" s="74" t="s">
        <v>9579</v>
      </c>
    </row>
    <row r="69" spans="1:31" ht="8.65" customHeight="1" x14ac:dyDescent="0.2">
      <c r="A69" s="76">
        <v>69</v>
      </c>
      <c r="B69" s="67" t="str">
        <f>MID(C69, FIND("Ifc.", C69) + 4, 4) &amp; "_" &amp; TEXT(COUNTIF($C$2:C69, C69),"0000")</f>
        <v>Prop_0068</v>
      </c>
      <c r="C69" s="24" t="s">
        <v>872</v>
      </c>
      <c r="D69" s="69" t="s">
        <v>9453</v>
      </c>
      <c r="E69" s="70" t="s">
        <v>9454</v>
      </c>
      <c r="F69" s="17" t="s">
        <v>806</v>
      </c>
      <c r="G69" s="22" t="s">
        <v>2316</v>
      </c>
      <c r="H69" s="12" t="s">
        <v>9703</v>
      </c>
      <c r="I69" s="13" t="s">
        <v>6412</v>
      </c>
      <c r="J69" s="14" t="s">
        <v>798</v>
      </c>
      <c r="K69" s="15" t="s">
        <v>798</v>
      </c>
      <c r="L69" s="12" t="s">
        <v>5315</v>
      </c>
      <c r="M69" s="13" t="s">
        <v>5556</v>
      </c>
      <c r="N69" s="12" t="s">
        <v>803</v>
      </c>
      <c r="O69" s="13" t="s">
        <v>5169</v>
      </c>
      <c r="P69" s="17" t="s">
        <v>802</v>
      </c>
      <c r="Q69" s="21" t="s">
        <v>7728</v>
      </c>
      <c r="R69" s="17" t="s">
        <v>801</v>
      </c>
      <c r="S69" s="18" t="s">
        <v>2575</v>
      </c>
      <c r="T69" s="17" t="s">
        <v>800</v>
      </c>
      <c r="U69" s="18" t="s">
        <v>5250</v>
      </c>
      <c r="V69" s="17" t="s">
        <v>9418</v>
      </c>
      <c r="W69" s="18" t="s">
        <v>5309</v>
      </c>
      <c r="X69" s="69" t="s">
        <v>9453</v>
      </c>
      <c r="Y69" s="70" t="s">
        <v>9462</v>
      </c>
      <c r="Z69" s="73" t="s">
        <v>9486</v>
      </c>
      <c r="AA69" s="74" t="s">
        <v>9504</v>
      </c>
      <c r="AB69" s="73" t="s">
        <v>9486</v>
      </c>
      <c r="AC69" s="74" t="s">
        <v>9566</v>
      </c>
      <c r="AD69" s="73" t="s">
        <v>9578</v>
      </c>
      <c r="AE69" s="74" t="s">
        <v>9579</v>
      </c>
    </row>
    <row r="70" spans="1:31" ht="8.65" customHeight="1" x14ac:dyDescent="0.2">
      <c r="A70" s="76">
        <v>70</v>
      </c>
      <c r="B70" s="67" t="str">
        <f>MID(C70, FIND("Ifc.", C70) + 4, 4) &amp; "_" &amp; TEXT(COUNTIF($C$2:C70, C70),"0000")</f>
        <v>Prop_0069</v>
      </c>
      <c r="C70" s="24" t="s">
        <v>872</v>
      </c>
      <c r="D70" s="69" t="s">
        <v>9453</v>
      </c>
      <c r="E70" s="70" t="s">
        <v>9454</v>
      </c>
      <c r="F70" s="17" t="s">
        <v>806</v>
      </c>
      <c r="G70" s="22" t="s">
        <v>1660</v>
      </c>
      <c r="H70" s="12" t="s">
        <v>9703</v>
      </c>
      <c r="I70" s="13" t="s">
        <v>6412</v>
      </c>
      <c r="J70" s="14" t="s">
        <v>798</v>
      </c>
      <c r="K70" s="15" t="s">
        <v>798</v>
      </c>
      <c r="L70" s="12" t="s">
        <v>5315</v>
      </c>
      <c r="M70" s="13" t="s">
        <v>5924</v>
      </c>
      <c r="N70" s="12" t="s">
        <v>803</v>
      </c>
      <c r="O70" s="13" t="s">
        <v>4984</v>
      </c>
      <c r="P70" s="17" t="s">
        <v>802</v>
      </c>
      <c r="Q70" s="21" t="s">
        <v>7729</v>
      </c>
      <c r="R70" s="17" t="s">
        <v>801</v>
      </c>
      <c r="S70" s="18" t="s">
        <v>3636</v>
      </c>
      <c r="T70" s="17" t="s">
        <v>800</v>
      </c>
      <c r="U70" s="18" t="s">
        <v>5257</v>
      </c>
      <c r="V70" s="17" t="s">
        <v>9418</v>
      </c>
      <c r="W70" s="18" t="s">
        <v>5314</v>
      </c>
      <c r="X70" s="69" t="s">
        <v>9453</v>
      </c>
      <c r="Y70" s="70" t="s">
        <v>9464</v>
      </c>
      <c r="Z70" s="73" t="s">
        <v>9486</v>
      </c>
      <c r="AA70" s="74" t="s">
        <v>9504</v>
      </c>
      <c r="AB70" s="73" t="s">
        <v>9486</v>
      </c>
      <c r="AC70" s="74" t="s">
        <v>9561</v>
      </c>
      <c r="AD70" s="73" t="s">
        <v>9578</v>
      </c>
      <c r="AE70" s="74" t="s">
        <v>9579</v>
      </c>
    </row>
    <row r="71" spans="1:31" ht="8.65" customHeight="1" x14ac:dyDescent="0.2">
      <c r="A71" s="76">
        <v>71</v>
      </c>
      <c r="B71" s="67" t="str">
        <f>MID(C71, FIND("Ifc.", C71) + 4, 4) &amp; "_" &amp; TEXT(COUNTIF($C$2:C71, C71),"0000")</f>
        <v>Prop_0070</v>
      </c>
      <c r="C71" s="24" t="s">
        <v>872</v>
      </c>
      <c r="D71" s="69" t="s">
        <v>9453</v>
      </c>
      <c r="E71" s="70" t="s">
        <v>9454</v>
      </c>
      <c r="F71" s="17" t="s">
        <v>806</v>
      </c>
      <c r="G71" s="22" t="s">
        <v>1615</v>
      </c>
      <c r="H71" s="12" t="s">
        <v>9703</v>
      </c>
      <c r="I71" s="13" t="s">
        <v>7006</v>
      </c>
      <c r="J71" s="14" t="s">
        <v>798</v>
      </c>
      <c r="K71" s="15" t="s">
        <v>798</v>
      </c>
      <c r="L71" s="12" t="s">
        <v>5315</v>
      </c>
      <c r="M71" s="13" t="s">
        <v>5831</v>
      </c>
      <c r="N71" s="12" t="s">
        <v>803</v>
      </c>
      <c r="O71" s="13" t="s">
        <v>4973</v>
      </c>
      <c r="P71" s="17" t="s">
        <v>802</v>
      </c>
      <c r="Q71" s="21" t="s">
        <v>7730</v>
      </c>
      <c r="R71" s="17" t="s">
        <v>801</v>
      </c>
      <c r="S71" s="18" t="s">
        <v>3636</v>
      </c>
      <c r="T71" s="17" t="s">
        <v>800</v>
      </c>
      <c r="U71" s="18" t="s">
        <v>5257</v>
      </c>
      <c r="V71" s="17" t="s">
        <v>9418</v>
      </c>
      <c r="W71" s="18" t="s">
        <v>5314</v>
      </c>
      <c r="X71" s="69" t="s">
        <v>9453</v>
      </c>
      <c r="Y71" s="70" t="s">
        <v>9464</v>
      </c>
      <c r="Z71" s="73" t="s">
        <v>9486</v>
      </c>
      <c r="AA71" s="74" t="s">
        <v>9504</v>
      </c>
      <c r="AB71" s="73" t="s">
        <v>9486</v>
      </c>
      <c r="AC71" s="74" t="s">
        <v>9561</v>
      </c>
      <c r="AD71" s="73" t="s">
        <v>9578</v>
      </c>
      <c r="AE71" s="74" t="s">
        <v>9579</v>
      </c>
    </row>
    <row r="72" spans="1:31" ht="8.65" customHeight="1" x14ac:dyDescent="0.2">
      <c r="A72" s="76">
        <v>72</v>
      </c>
      <c r="B72" s="67" t="str">
        <f>MID(C72, FIND("Ifc.", C72) + 4, 4) &amp; "_" &amp; TEXT(COUNTIF($C$2:C72, C72),"0000")</f>
        <v>Prop_0071</v>
      </c>
      <c r="C72" s="24" t="s">
        <v>872</v>
      </c>
      <c r="D72" s="69" t="s">
        <v>9453</v>
      </c>
      <c r="E72" s="70" t="s">
        <v>9454</v>
      </c>
      <c r="F72" s="17" t="s">
        <v>806</v>
      </c>
      <c r="G72" s="22" t="s">
        <v>1998</v>
      </c>
      <c r="H72" s="12" t="s">
        <v>9703</v>
      </c>
      <c r="I72" s="13" t="s">
        <v>7548</v>
      </c>
      <c r="J72" s="14" t="s">
        <v>798</v>
      </c>
      <c r="K72" s="15" t="s">
        <v>798</v>
      </c>
      <c r="L72" s="12" t="s">
        <v>5315</v>
      </c>
      <c r="M72" s="13" t="s">
        <v>5479</v>
      </c>
      <c r="N72" s="12" t="s">
        <v>803</v>
      </c>
      <c r="O72" s="13" t="s">
        <v>5083</v>
      </c>
      <c r="P72" s="17" t="s">
        <v>802</v>
      </c>
      <c r="Q72" s="21" t="s">
        <v>7731</v>
      </c>
      <c r="R72" s="17" t="s">
        <v>801</v>
      </c>
      <c r="S72" s="18" t="s">
        <v>2584</v>
      </c>
      <c r="T72" s="17" t="s">
        <v>800</v>
      </c>
      <c r="U72" s="18" t="s">
        <v>5294</v>
      </c>
      <c r="V72" s="17" t="s">
        <v>9418</v>
      </c>
      <c r="W72" s="18" t="s">
        <v>5309</v>
      </c>
      <c r="X72" s="69" t="s">
        <v>9453</v>
      </c>
      <c r="Y72" s="70" t="s">
        <v>9462</v>
      </c>
      <c r="Z72" s="73" t="s">
        <v>9486</v>
      </c>
      <c r="AA72" s="74" t="s">
        <v>9504</v>
      </c>
      <c r="AB72" s="73" t="s">
        <v>9486</v>
      </c>
      <c r="AC72" s="74" t="s">
        <v>9566</v>
      </c>
      <c r="AD72" s="73" t="s">
        <v>9578</v>
      </c>
      <c r="AE72" s="74" t="s">
        <v>9579</v>
      </c>
    </row>
    <row r="73" spans="1:31" ht="8.65" customHeight="1" x14ac:dyDescent="0.2">
      <c r="A73" s="76">
        <v>73</v>
      </c>
      <c r="B73" s="67" t="str">
        <f>MID(C73, FIND("Ifc.", C73) + 4, 4) &amp; "_" &amp; TEXT(COUNTIF($C$2:C73, C73),"0000")</f>
        <v>Prop_0072</v>
      </c>
      <c r="C73" s="24" t="s">
        <v>872</v>
      </c>
      <c r="D73" s="69" t="s">
        <v>9453</v>
      </c>
      <c r="E73" s="70" t="s">
        <v>9454</v>
      </c>
      <c r="F73" s="17" t="s">
        <v>806</v>
      </c>
      <c r="G73" s="22" t="s">
        <v>2077</v>
      </c>
      <c r="H73" s="12" t="s">
        <v>9703</v>
      </c>
      <c r="I73" s="13" t="s">
        <v>7176</v>
      </c>
      <c r="J73" s="14" t="s">
        <v>798</v>
      </c>
      <c r="K73" s="15" t="s">
        <v>798</v>
      </c>
      <c r="L73" s="12" t="s">
        <v>5315</v>
      </c>
      <c r="M73" s="13" t="s">
        <v>5978</v>
      </c>
      <c r="N73" s="12" t="s">
        <v>803</v>
      </c>
      <c r="O73" s="13" t="s">
        <v>5093</v>
      </c>
      <c r="P73" s="17" t="s">
        <v>802</v>
      </c>
      <c r="Q73" s="21" t="s">
        <v>7732</v>
      </c>
      <c r="R73" s="17" t="s">
        <v>801</v>
      </c>
      <c r="S73" s="18" t="s">
        <v>2575</v>
      </c>
      <c r="T73" s="17" t="s">
        <v>800</v>
      </c>
      <c r="U73" s="18" t="s">
        <v>5250</v>
      </c>
      <c r="V73" s="17" t="s">
        <v>9418</v>
      </c>
      <c r="W73" s="18" t="s">
        <v>5309</v>
      </c>
      <c r="X73" s="69" t="s">
        <v>9453</v>
      </c>
      <c r="Y73" s="70" t="s">
        <v>9462</v>
      </c>
      <c r="Z73" s="73" t="s">
        <v>9486</v>
      </c>
      <c r="AA73" s="74" t="s">
        <v>9504</v>
      </c>
      <c r="AB73" s="73" t="s">
        <v>9486</v>
      </c>
      <c r="AC73" s="74" t="s">
        <v>9566</v>
      </c>
      <c r="AD73" s="73" t="s">
        <v>9578</v>
      </c>
      <c r="AE73" s="74" t="s">
        <v>9579</v>
      </c>
    </row>
    <row r="74" spans="1:31" ht="8.65" customHeight="1" x14ac:dyDescent="0.2">
      <c r="A74" s="76">
        <v>74</v>
      </c>
      <c r="B74" s="67" t="str">
        <f>MID(C74, FIND("Ifc.", C74) + 4, 4) &amp; "_" &amp; TEXT(COUNTIF($C$2:C74, C74),"0000")</f>
        <v>Prop_0073</v>
      </c>
      <c r="C74" s="24" t="s">
        <v>872</v>
      </c>
      <c r="D74" s="69" t="s">
        <v>9453</v>
      </c>
      <c r="E74" s="70" t="s">
        <v>9454</v>
      </c>
      <c r="F74" s="17" t="s">
        <v>806</v>
      </c>
      <c r="G74" s="22" t="s">
        <v>2076</v>
      </c>
      <c r="H74" s="12" t="s">
        <v>9703</v>
      </c>
      <c r="I74" s="13" t="s">
        <v>6498</v>
      </c>
      <c r="J74" s="14" t="s">
        <v>798</v>
      </c>
      <c r="K74" s="15" t="s">
        <v>798</v>
      </c>
      <c r="L74" s="12" t="s">
        <v>5315</v>
      </c>
      <c r="M74" s="13" t="s">
        <v>5978</v>
      </c>
      <c r="N74" s="12" t="s">
        <v>803</v>
      </c>
      <c r="O74" s="13" t="s">
        <v>5093</v>
      </c>
      <c r="P74" s="17" t="s">
        <v>802</v>
      </c>
      <c r="Q74" s="21" t="s">
        <v>7732</v>
      </c>
      <c r="R74" s="17" t="s">
        <v>801</v>
      </c>
      <c r="S74" s="18" t="s">
        <v>2575</v>
      </c>
      <c r="T74" s="17" t="s">
        <v>800</v>
      </c>
      <c r="U74" s="18" t="s">
        <v>5250</v>
      </c>
      <c r="V74" s="17" t="s">
        <v>9418</v>
      </c>
      <c r="W74" s="18" t="s">
        <v>5309</v>
      </c>
      <c r="X74" s="69" t="s">
        <v>9453</v>
      </c>
      <c r="Y74" s="70" t="s">
        <v>9462</v>
      </c>
      <c r="Z74" s="73" t="s">
        <v>9486</v>
      </c>
      <c r="AA74" s="74" t="s">
        <v>9504</v>
      </c>
      <c r="AB74" s="73" t="s">
        <v>9486</v>
      </c>
      <c r="AC74" s="74" t="s">
        <v>9566</v>
      </c>
      <c r="AD74" s="73" t="s">
        <v>9578</v>
      </c>
      <c r="AE74" s="74" t="s">
        <v>9579</v>
      </c>
    </row>
    <row r="75" spans="1:31" ht="8.65" customHeight="1" x14ac:dyDescent="0.2">
      <c r="A75" s="76">
        <v>75</v>
      </c>
      <c r="B75" s="67" t="str">
        <f>MID(C75, FIND("Ifc.", C75) + 4, 4) &amp; "_" &amp; TEXT(COUNTIF($C$2:C75, C75),"0000")</f>
        <v>Prop_0074</v>
      </c>
      <c r="C75" s="24" t="s">
        <v>872</v>
      </c>
      <c r="D75" s="69" t="s">
        <v>9453</v>
      </c>
      <c r="E75" s="70" t="s">
        <v>9454</v>
      </c>
      <c r="F75" s="17" t="s">
        <v>806</v>
      </c>
      <c r="G75" s="22" t="s">
        <v>1788</v>
      </c>
      <c r="H75" s="12" t="s">
        <v>9703</v>
      </c>
      <c r="I75" s="13" t="s">
        <v>6976</v>
      </c>
      <c r="J75" s="14" t="s">
        <v>798</v>
      </c>
      <c r="K75" s="15" t="s">
        <v>798</v>
      </c>
      <c r="L75" s="12" t="s">
        <v>5315</v>
      </c>
      <c r="M75" s="13" t="s">
        <v>5937</v>
      </c>
      <c r="N75" s="12" t="s">
        <v>803</v>
      </c>
      <c r="O75" s="13" t="s">
        <v>5018</v>
      </c>
      <c r="P75" s="17" t="s">
        <v>802</v>
      </c>
      <c r="Q75" s="21" t="s">
        <v>7733</v>
      </c>
      <c r="R75" s="17" t="s">
        <v>801</v>
      </c>
      <c r="S75" s="18" t="s">
        <v>2576</v>
      </c>
      <c r="T75" s="17" t="s">
        <v>800</v>
      </c>
      <c r="U75" s="18" t="s">
        <v>5268</v>
      </c>
      <c r="V75" s="17" t="s">
        <v>9418</v>
      </c>
      <c r="W75" s="18" t="s">
        <v>5309</v>
      </c>
      <c r="X75" s="69" t="s">
        <v>9453</v>
      </c>
      <c r="Y75" s="70" t="s">
        <v>9462</v>
      </c>
      <c r="Z75" s="73" t="s">
        <v>9486</v>
      </c>
      <c r="AA75" s="74" t="s">
        <v>9504</v>
      </c>
      <c r="AB75" s="73" t="s">
        <v>9486</v>
      </c>
      <c r="AC75" s="74" t="s">
        <v>9566</v>
      </c>
      <c r="AD75" s="73" t="s">
        <v>9578</v>
      </c>
      <c r="AE75" s="74" t="s">
        <v>9579</v>
      </c>
    </row>
    <row r="76" spans="1:31" ht="8.65" customHeight="1" x14ac:dyDescent="0.2">
      <c r="A76" s="76">
        <v>76</v>
      </c>
      <c r="B76" s="67" t="str">
        <f>MID(C76, FIND("Ifc.", C76) + 4, 4) &amp; "_" &amp; TEXT(COUNTIF($C$2:C76, C76),"0000")</f>
        <v>Prop_0075</v>
      </c>
      <c r="C76" s="24" t="s">
        <v>872</v>
      </c>
      <c r="D76" s="69" t="s">
        <v>9453</v>
      </c>
      <c r="E76" s="70" t="s">
        <v>9454</v>
      </c>
      <c r="F76" s="17" t="s">
        <v>806</v>
      </c>
      <c r="G76" s="22" t="s">
        <v>1789</v>
      </c>
      <c r="H76" s="12" t="s">
        <v>9703</v>
      </c>
      <c r="I76" s="13" t="s">
        <v>6977</v>
      </c>
      <c r="J76" s="14" t="s">
        <v>798</v>
      </c>
      <c r="K76" s="15" t="s">
        <v>798</v>
      </c>
      <c r="L76" s="12" t="s">
        <v>5315</v>
      </c>
      <c r="M76" s="13" t="s">
        <v>5937</v>
      </c>
      <c r="N76" s="12" t="s">
        <v>803</v>
      </c>
      <c r="O76" s="13" t="s">
        <v>5018</v>
      </c>
      <c r="P76" s="17" t="s">
        <v>802</v>
      </c>
      <c r="Q76" s="21" t="s">
        <v>7733</v>
      </c>
      <c r="R76" s="17" t="s">
        <v>801</v>
      </c>
      <c r="S76" s="18" t="s">
        <v>2576</v>
      </c>
      <c r="T76" s="17" t="s">
        <v>800</v>
      </c>
      <c r="U76" s="18" t="s">
        <v>5268</v>
      </c>
      <c r="V76" s="17" t="s">
        <v>9418</v>
      </c>
      <c r="W76" s="18" t="s">
        <v>5309</v>
      </c>
      <c r="X76" s="69" t="s">
        <v>9453</v>
      </c>
      <c r="Y76" s="70" t="s">
        <v>9462</v>
      </c>
      <c r="Z76" s="73" t="s">
        <v>9486</v>
      </c>
      <c r="AA76" s="74" t="s">
        <v>9504</v>
      </c>
      <c r="AB76" s="73" t="s">
        <v>9486</v>
      </c>
      <c r="AC76" s="74" t="s">
        <v>9566</v>
      </c>
      <c r="AD76" s="73" t="s">
        <v>9578</v>
      </c>
      <c r="AE76" s="74" t="s">
        <v>9579</v>
      </c>
    </row>
    <row r="77" spans="1:31" ht="8.65" customHeight="1" x14ac:dyDescent="0.2">
      <c r="A77" s="76">
        <v>77</v>
      </c>
      <c r="B77" s="67" t="str">
        <f>MID(C77, FIND("Ifc.", C77) + 4, 4) &amp; "_" &amp; TEXT(COUNTIF($C$2:C77, C77),"0000")</f>
        <v>Prop_0076</v>
      </c>
      <c r="C77" s="24" t="s">
        <v>872</v>
      </c>
      <c r="D77" s="69" t="s">
        <v>9453</v>
      </c>
      <c r="E77" s="70" t="s">
        <v>9454</v>
      </c>
      <c r="F77" s="17" t="s">
        <v>806</v>
      </c>
      <c r="G77" s="22" t="s">
        <v>1808</v>
      </c>
      <c r="H77" s="12" t="s">
        <v>9703</v>
      </c>
      <c r="I77" s="13" t="s">
        <v>6083</v>
      </c>
      <c r="J77" s="14" t="s">
        <v>798</v>
      </c>
      <c r="K77" s="15" t="s">
        <v>798</v>
      </c>
      <c r="L77" s="12" t="s">
        <v>5315</v>
      </c>
      <c r="M77" s="13" t="s">
        <v>5942</v>
      </c>
      <c r="N77" s="12" t="s">
        <v>803</v>
      </c>
      <c r="O77" s="13" t="s">
        <v>5024</v>
      </c>
      <c r="P77" s="17" t="s">
        <v>802</v>
      </c>
      <c r="Q77" s="21" t="s">
        <v>7734</v>
      </c>
      <c r="R77" s="17" t="s">
        <v>801</v>
      </c>
      <c r="S77" s="18" t="s">
        <v>2576</v>
      </c>
      <c r="T77" s="17" t="s">
        <v>800</v>
      </c>
      <c r="U77" s="18" t="s">
        <v>5268</v>
      </c>
      <c r="V77" s="17" t="s">
        <v>9418</v>
      </c>
      <c r="W77" s="18" t="s">
        <v>5309</v>
      </c>
      <c r="X77" s="69" t="s">
        <v>9453</v>
      </c>
      <c r="Y77" s="70" t="s">
        <v>9462</v>
      </c>
      <c r="Z77" s="73" t="s">
        <v>9486</v>
      </c>
      <c r="AA77" s="74" t="s">
        <v>9504</v>
      </c>
      <c r="AB77" s="73" t="s">
        <v>9486</v>
      </c>
      <c r="AC77" s="74" t="s">
        <v>9566</v>
      </c>
      <c r="AD77" s="73" t="s">
        <v>9578</v>
      </c>
      <c r="AE77" s="74" t="s">
        <v>9579</v>
      </c>
    </row>
    <row r="78" spans="1:31" ht="8.65" customHeight="1" x14ac:dyDescent="0.2">
      <c r="A78" s="76">
        <v>78</v>
      </c>
      <c r="B78" s="67" t="str">
        <f>MID(C78, FIND("Ifc.", C78) + 4, 4) &amp; "_" &amp; TEXT(COUNTIF($C$2:C78, C78),"0000")</f>
        <v>Prop_0077</v>
      </c>
      <c r="C78" s="24" t="s">
        <v>872</v>
      </c>
      <c r="D78" s="69" t="s">
        <v>9453</v>
      </c>
      <c r="E78" s="70" t="s">
        <v>9454</v>
      </c>
      <c r="F78" s="17" t="s">
        <v>806</v>
      </c>
      <c r="G78" s="22" t="s">
        <v>1807</v>
      </c>
      <c r="H78" s="12" t="s">
        <v>9703</v>
      </c>
      <c r="I78" s="13" t="s">
        <v>6082</v>
      </c>
      <c r="J78" s="14" t="s">
        <v>798</v>
      </c>
      <c r="K78" s="15" t="s">
        <v>798</v>
      </c>
      <c r="L78" s="12" t="s">
        <v>5315</v>
      </c>
      <c r="M78" s="13" t="s">
        <v>5942</v>
      </c>
      <c r="N78" s="12" t="s">
        <v>803</v>
      </c>
      <c r="O78" s="13" t="s">
        <v>5024</v>
      </c>
      <c r="P78" s="17" t="s">
        <v>802</v>
      </c>
      <c r="Q78" s="21" t="s">
        <v>7734</v>
      </c>
      <c r="R78" s="17" t="s">
        <v>801</v>
      </c>
      <c r="S78" s="18" t="s">
        <v>2576</v>
      </c>
      <c r="T78" s="17" t="s">
        <v>800</v>
      </c>
      <c r="U78" s="18" t="s">
        <v>5268</v>
      </c>
      <c r="V78" s="17" t="s">
        <v>9418</v>
      </c>
      <c r="W78" s="18" t="s">
        <v>5309</v>
      </c>
      <c r="X78" s="69" t="s">
        <v>9453</v>
      </c>
      <c r="Y78" s="70" t="s">
        <v>9462</v>
      </c>
      <c r="Z78" s="73" t="s">
        <v>9486</v>
      </c>
      <c r="AA78" s="74" t="s">
        <v>9504</v>
      </c>
      <c r="AB78" s="73" t="s">
        <v>9486</v>
      </c>
      <c r="AC78" s="74" t="s">
        <v>9566</v>
      </c>
      <c r="AD78" s="73" t="s">
        <v>9578</v>
      </c>
      <c r="AE78" s="74" t="s">
        <v>9579</v>
      </c>
    </row>
    <row r="79" spans="1:31" ht="8.65" customHeight="1" x14ac:dyDescent="0.2">
      <c r="A79" s="76">
        <v>79</v>
      </c>
      <c r="B79" s="67" t="str">
        <f>MID(C79, FIND("Ifc.", C79) + 4, 4) &amp; "_" &amp; TEXT(COUNTIF($C$2:C79, C79),"0000")</f>
        <v>Prop_0078</v>
      </c>
      <c r="C79" s="24" t="s">
        <v>872</v>
      </c>
      <c r="D79" s="69" t="s">
        <v>9453</v>
      </c>
      <c r="E79" s="70" t="s">
        <v>9454</v>
      </c>
      <c r="F79" s="17" t="s">
        <v>806</v>
      </c>
      <c r="G79" s="22" t="s">
        <v>1344</v>
      </c>
      <c r="H79" s="12" t="s">
        <v>9703</v>
      </c>
      <c r="I79" s="13" t="s">
        <v>6996</v>
      </c>
      <c r="J79" s="14" t="s">
        <v>798</v>
      </c>
      <c r="K79" s="15" t="s">
        <v>798</v>
      </c>
      <c r="L79" s="12" t="s">
        <v>5315</v>
      </c>
      <c r="M79" s="13" t="s">
        <v>5414</v>
      </c>
      <c r="N79" s="12" t="s">
        <v>803</v>
      </c>
      <c r="O79" s="13" t="s">
        <v>4914</v>
      </c>
      <c r="P79" s="17" t="s">
        <v>802</v>
      </c>
      <c r="Q79" s="21" t="s">
        <v>7735</v>
      </c>
      <c r="R79" s="17" t="s">
        <v>801</v>
      </c>
      <c r="S79" s="18" t="s">
        <v>2554</v>
      </c>
      <c r="T79" s="17" t="s">
        <v>800</v>
      </c>
      <c r="U79" s="18" t="s">
        <v>5233</v>
      </c>
      <c r="V79" s="17" t="s">
        <v>9418</v>
      </c>
      <c r="W79" s="18" t="s">
        <v>5309</v>
      </c>
      <c r="X79" s="69" t="s">
        <v>9453</v>
      </c>
      <c r="Y79" s="70" t="s">
        <v>9462</v>
      </c>
      <c r="Z79" s="73" t="s">
        <v>9486</v>
      </c>
      <c r="AA79" s="74" t="s">
        <v>9504</v>
      </c>
      <c r="AB79" s="73" t="s">
        <v>9486</v>
      </c>
      <c r="AC79" s="74" t="s">
        <v>9562</v>
      </c>
      <c r="AD79" s="73" t="s">
        <v>9578</v>
      </c>
      <c r="AE79" s="74" t="s">
        <v>9579</v>
      </c>
    </row>
    <row r="80" spans="1:31" ht="8.65" customHeight="1" x14ac:dyDescent="0.2">
      <c r="A80" s="76">
        <v>80</v>
      </c>
      <c r="B80" s="67" t="str">
        <f>MID(C80, FIND("Ifc.", C80) + 4, 4) &amp; "_" &amp; TEXT(COUNTIF($C$2:C80, C80),"0000")</f>
        <v>Prop_0079</v>
      </c>
      <c r="C80" s="24" t="s">
        <v>872</v>
      </c>
      <c r="D80" s="69" t="s">
        <v>9453</v>
      </c>
      <c r="E80" s="70" t="s">
        <v>9454</v>
      </c>
      <c r="F80" s="17" t="s">
        <v>806</v>
      </c>
      <c r="G80" s="22" t="s">
        <v>1345</v>
      </c>
      <c r="H80" s="12" t="s">
        <v>9703</v>
      </c>
      <c r="I80" s="13" t="s">
        <v>6997</v>
      </c>
      <c r="J80" s="14" t="s">
        <v>798</v>
      </c>
      <c r="K80" s="15" t="s">
        <v>798</v>
      </c>
      <c r="L80" s="12" t="s">
        <v>5315</v>
      </c>
      <c r="M80" s="13" t="s">
        <v>5414</v>
      </c>
      <c r="N80" s="12" t="s">
        <v>803</v>
      </c>
      <c r="O80" s="13" t="s">
        <v>4914</v>
      </c>
      <c r="P80" s="17" t="s">
        <v>802</v>
      </c>
      <c r="Q80" s="21" t="s">
        <v>7735</v>
      </c>
      <c r="R80" s="17" t="s">
        <v>801</v>
      </c>
      <c r="S80" s="18" t="s">
        <v>2554</v>
      </c>
      <c r="T80" s="17" t="s">
        <v>800</v>
      </c>
      <c r="U80" s="18" t="s">
        <v>5233</v>
      </c>
      <c r="V80" s="17" t="s">
        <v>9418</v>
      </c>
      <c r="W80" s="18" t="s">
        <v>5309</v>
      </c>
      <c r="X80" s="69" t="s">
        <v>9453</v>
      </c>
      <c r="Y80" s="70" t="s">
        <v>9462</v>
      </c>
      <c r="Z80" s="73" t="s">
        <v>9486</v>
      </c>
      <c r="AA80" s="74" t="s">
        <v>9504</v>
      </c>
      <c r="AB80" s="73" t="s">
        <v>9486</v>
      </c>
      <c r="AC80" s="74" t="s">
        <v>9562</v>
      </c>
      <c r="AD80" s="73" t="s">
        <v>9578</v>
      </c>
      <c r="AE80" s="74" t="s">
        <v>9579</v>
      </c>
    </row>
    <row r="81" spans="1:31" ht="8.65" customHeight="1" x14ac:dyDescent="0.2">
      <c r="A81" s="76">
        <v>81</v>
      </c>
      <c r="B81" s="67" t="str">
        <f>MID(C81, FIND("Ifc.", C81) + 4, 4) &amp; "_" &amp; TEXT(COUNTIF($C$2:C81, C81),"0000")</f>
        <v>Prop_0080</v>
      </c>
      <c r="C81" s="24" t="s">
        <v>872</v>
      </c>
      <c r="D81" s="69" t="s">
        <v>9453</v>
      </c>
      <c r="E81" s="70" t="s">
        <v>9454</v>
      </c>
      <c r="F81" s="17" t="s">
        <v>806</v>
      </c>
      <c r="G81" s="22" t="s">
        <v>1792</v>
      </c>
      <c r="H81" s="12" t="s">
        <v>9703</v>
      </c>
      <c r="I81" s="13" t="s">
        <v>6501</v>
      </c>
      <c r="J81" s="14" t="s">
        <v>798</v>
      </c>
      <c r="K81" s="15" t="s">
        <v>798</v>
      </c>
      <c r="L81" s="12" t="s">
        <v>5315</v>
      </c>
      <c r="M81" s="13" t="s">
        <v>5455</v>
      </c>
      <c r="N81" s="12" t="s">
        <v>803</v>
      </c>
      <c r="O81" s="13" t="s">
        <v>5019</v>
      </c>
      <c r="P81" s="17" t="s">
        <v>802</v>
      </c>
      <c r="Q81" s="21" t="s">
        <v>7736</v>
      </c>
      <c r="R81" s="17" t="s">
        <v>801</v>
      </c>
      <c r="S81" s="18" t="s">
        <v>2554</v>
      </c>
      <c r="T81" s="17" t="s">
        <v>800</v>
      </c>
      <c r="U81" s="18" t="s">
        <v>5233</v>
      </c>
      <c r="V81" s="17" t="s">
        <v>9418</v>
      </c>
      <c r="W81" s="18" t="s">
        <v>5309</v>
      </c>
      <c r="X81" s="69" t="s">
        <v>9453</v>
      </c>
      <c r="Y81" s="70" t="s">
        <v>9462</v>
      </c>
      <c r="Z81" s="73" t="s">
        <v>9486</v>
      </c>
      <c r="AA81" s="74" t="s">
        <v>9504</v>
      </c>
      <c r="AB81" s="73" t="s">
        <v>9486</v>
      </c>
      <c r="AC81" s="74" t="s">
        <v>9562</v>
      </c>
      <c r="AD81" s="73" t="s">
        <v>9578</v>
      </c>
      <c r="AE81" s="74" t="s">
        <v>9579</v>
      </c>
    </row>
    <row r="82" spans="1:31" ht="8.65" customHeight="1" x14ac:dyDescent="0.2">
      <c r="A82" s="76">
        <v>82</v>
      </c>
      <c r="B82" s="67" t="str">
        <f>MID(C82, FIND("Ifc.", C82) + 4, 4) &amp; "_" &amp; TEXT(COUNTIF($C$2:C82, C82),"0000")</f>
        <v>Prop_0081</v>
      </c>
      <c r="C82" s="24" t="s">
        <v>872</v>
      </c>
      <c r="D82" s="69" t="s">
        <v>9453</v>
      </c>
      <c r="E82" s="70" t="s">
        <v>9454</v>
      </c>
      <c r="F82" s="17" t="s">
        <v>806</v>
      </c>
      <c r="G82" s="22" t="s">
        <v>1277</v>
      </c>
      <c r="H82" s="12" t="s">
        <v>9703</v>
      </c>
      <c r="I82" s="13" t="s">
        <v>7177</v>
      </c>
      <c r="J82" s="14" t="s">
        <v>798</v>
      </c>
      <c r="K82" s="15" t="s">
        <v>798</v>
      </c>
      <c r="L82" s="12" t="s">
        <v>5315</v>
      </c>
      <c r="M82" s="13" t="s">
        <v>5408</v>
      </c>
      <c r="N82" s="12" t="s">
        <v>803</v>
      </c>
      <c r="O82" s="13" t="s">
        <v>4896</v>
      </c>
      <c r="P82" s="17" t="s">
        <v>802</v>
      </c>
      <c r="Q82" s="21" t="s">
        <v>7737</v>
      </c>
      <c r="R82" s="17" t="s">
        <v>801</v>
      </c>
      <c r="S82" s="18" t="s">
        <v>2554</v>
      </c>
      <c r="T82" s="17" t="s">
        <v>800</v>
      </c>
      <c r="U82" s="18" t="s">
        <v>5233</v>
      </c>
      <c r="V82" s="17" t="s">
        <v>9418</v>
      </c>
      <c r="W82" s="18" t="s">
        <v>5310</v>
      </c>
      <c r="X82" s="69" t="s">
        <v>9453</v>
      </c>
      <c r="Y82" s="70" t="s">
        <v>9463</v>
      </c>
      <c r="Z82" s="73" t="s">
        <v>9486</v>
      </c>
      <c r="AA82" s="74" t="s">
        <v>9504</v>
      </c>
      <c r="AB82" s="73" t="s">
        <v>9486</v>
      </c>
      <c r="AC82" s="74" t="s">
        <v>9562</v>
      </c>
      <c r="AD82" s="73" t="s">
        <v>9578</v>
      </c>
      <c r="AE82" s="74" t="s">
        <v>9618</v>
      </c>
    </row>
    <row r="83" spans="1:31" ht="8.65" customHeight="1" x14ac:dyDescent="0.2">
      <c r="A83" s="76">
        <v>83</v>
      </c>
      <c r="B83" s="67" t="str">
        <f>MID(C83, FIND("Ifc.", C83) + 4, 4) &amp; "_" &amp; TEXT(COUNTIF($C$2:C83, C83),"0000")</f>
        <v>Prop_0082</v>
      </c>
      <c r="C83" s="24" t="s">
        <v>872</v>
      </c>
      <c r="D83" s="69" t="s">
        <v>9453</v>
      </c>
      <c r="E83" s="70" t="s">
        <v>9454</v>
      </c>
      <c r="F83" s="17" t="s">
        <v>806</v>
      </c>
      <c r="G83" s="22" t="s">
        <v>1939</v>
      </c>
      <c r="H83" s="12" t="s">
        <v>9703</v>
      </c>
      <c r="I83" s="13" t="s">
        <v>7178</v>
      </c>
      <c r="J83" s="14" t="s">
        <v>798</v>
      </c>
      <c r="K83" s="15" t="s">
        <v>798</v>
      </c>
      <c r="L83" s="12" t="s">
        <v>5315</v>
      </c>
      <c r="M83" s="13" t="s">
        <v>5471</v>
      </c>
      <c r="N83" s="12" t="s">
        <v>803</v>
      </c>
      <c r="O83" s="13" t="s">
        <v>5063</v>
      </c>
      <c r="P83" s="17" t="s">
        <v>802</v>
      </c>
      <c r="Q83" s="21" t="s">
        <v>7738</v>
      </c>
      <c r="R83" s="17" t="s">
        <v>801</v>
      </c>
      <c r="S83" s="18" t="s">
        <v>2554</v>
      </c>
      <c r="T83" s="17" t="s">
        <v>800</v>
      </c>
      <c r="U83" s="18" t="s">
        <v>5233</v>
      </c>
      <c r="V83" s="17" t="s">
        <v>9418</v>
      </c>
      <c r="W83" s="18" t="s">
        <v>5310</v>
      </c>
      <c r="X83" s="69" t="s">
        <v>9453</v>
      </c>
      <c r="Y83" s="70" t="s">
        <v>9463</v>
      </c>
      <c r="Z83" s="73" t="s">
        <v>9486</v>
      </c>
      <c r="AA83" s="74" t="s">
        <v>9504</v>
      </c>
      <c r="AB83" s="73" t="s">
        <v>9486</v>
      </c>
      <c r="AC83" s="74" t="s">
        <v>9562</v>
      </c>
      <c r="AD83" s="73" t="s">
        <v>9578</v>
      </c>
      <c r="AE83" s="74" t="s">
        <v>9579</v>
      </c>
    </row>
    <row r="84" spans="1:31" ht="8.65" customHeight="1" x14ac:dyDescent="0.2">
      <c r="A84" s="76">
        <v>84</v>
      </c>
      <c r="B84" s="67" t="str">
        <f>MID(C84, FIND("Ifc.", C84) + 4, 4) &amp; "_" &amp; TEXT(COUNTIF($C$2:C84, C84),"0000")</f>
        <v>Prop_0083</v>
      </c>
      <c r="C84" s="24" t="s">
        <v>872</v>
      </c>
      <c r="D84" s="69" t="s">
        <v>9453</v>
      </c>
      <c r="E84" s="70" t="s">
        <v>9454</v>
      </c>
      <c r="F84" s="17" t="s">
        <v>806</v>
      </c>
      <c r="G84" s="22" t="s">
        <v>1019</v>
      </c>
      <c r="H84" s="12" t="s">
        <v>9703</v>
      </c>
      <c r="I84" s="13" t="s">
        <v>6126</v>
      </c>
      <c r="J84" s="14" t="s">
        <v>798</v>
      </c>
      <c r="K84" s="15" t="s">
        <v>798</v>
      </c>
      <c r="L84" s="12" t="s">
        <v>5315</v>
      </c>
      <c r="M84" s="13" t="s">
        <v>5379</v>
      </c>
      <c r="N84" s="12" t="s">
        <v>803</v>
      </c>
      <c r="O84" s="13" t="s">
        <v>4836</v>
      </c>
      <c r="P84" s="17" t="s">
        <v>802</v>
      </c>
      <c r="Q84" s="21" t="s">
        <v>7739</v>
      </c>
      <c r="R84" s="17" t="s">
        <v>801</v>
      </c>
      <c r="S84" s="18" t="s">
        <v>2554</v>
      </c>
      <c r="T84" s="17" t="s">
        <v>800</v>
      </c>
      <c r="U84" s="18" t="s">
        <v>5233</v>
      </c>
      <c r="V84" s="17" t="s">
        <v>9418</v>
      </c>
      <c r="W84" s="18" t="s">
        <v>5310</v>
      </c>
      <c r="X84" s="69" t="s">
        <v>9453</v>
      </c>
      <c r="Y84" s="70" t="s">
        <v>9463</v>
      </c>
      <c r="Z84" s="73" t="s">
        <v>9486</v>
      </c>
      <c r="AA84" s="74" t="s">
        <v>9504</v>
      </c>
      <c r="AB84" s="73" t="s">
        <v>9486</v>
      </c>
      <c r="AC84" s="74" t="s">
        <v>9562</v>
      </c>
      <c r="AD84" s="73" t="s">
        <v>9578</v>
      </c>
      <c r="AE84" s="74" t="s">
        <v>9579</v>
      </c>
    </row>
    <row r="85" spans="1:31" ht="8.65" customHeight="1" x14ac:dyDescent="0.2">
      <c r="A85" s="76">
        <v>85</v>
      </c>
      <c r="B85" s="67" t="str">
        <f>MID(C85, FIND("Ifc.", C85) + 4, 4) &amp; "_" &amp; TEXT(COUNTIF($C$2:C85, C85),"0000")</f>
        <v>Prop_0084</v>
      </c>
      <c r="C85" s="24" t="s">
        <v>872</v>
      </c>
      <c r="D85" s="69" t="s">
        <v>9453</v>
      </c>
      <c r="E85" s="70" t="s">
        <v>9454</v>
      </c>
      <c r="F85" s="17" t="s">
        <v>806</v>
      </c>
      <c r="G85" s="22" t="s">
        <v>1019</v>
      </c>
      <c r="H85" s="12" t="s">
        <v>9703</v>
      </c>
      <c r="I85" s="13" t="s">
        <v>6126</v>
      </c>
      <c r="J85" s="14" t="s">
        <v>798</v>
      </c>
      <c r="K85" s="15" t="s">
        <v>798</v>
      </c>
      <c r="L85" s="12" t="s">
        <v>5315</v>
      </c>
      <c r="M85" s="13" t="s">
        <v>6050</v>
      </c>
      <c r="N85" s="12" t="s">
        <v>803</v>
      </c>
      <c r="O85" s="13" t="s">
        <v>4879</v>
      </c>
      <c r="P85" s="17" t="s">
        <v>802</v>
      </c>
      <c r="Q85" s="21" t="s">
        <v>7740</v>
      </c>
      <c r="R85" s="17" t="s">
        <v>801</v>
      </c>
      <c r="S85" s="18" t="s">
        <v>2554</v>
      </c>
      <c r="T85" s="17" t="s">
        <v>800</v>
      </c>
      <c r="U85" s="18" t="s">
        <v>5233</v>
      </c>
      <c r="V85" s="17" t="s">
        <v>9418</v>
      </c>
      <c r="W85" s="18" t="s">
        <v>5310</v>
      </c>
      <c r="X85" s="69" t="s">
        <v>9453</v>
      </c>
      <c r="Y85" s="70" t="s">
        <v>9463</v>
      </c>
      <c r="Z85" s="73" t="s">
        <v>9486</v>
      </c>
      <c r="AA85" s="74" t="s">
        <v>9504</v>
      </c>
      <c r="AB85" s="73" t="s">
        <v>9486</v>
      </c>
      <c r="AC85" s="74" t="s">
        <v>9562</v>
      </c>
      <c r="AD85" s="73" t="s">
        <v>9578</v>
      </c>
      <c r="AE85" s="74" t="s">
        <v>9579</v>
      </c>
    </row>
    <row r="86" spans="1:31" ht="8.65" customHeight="1" x14ac:dyDescent="0.2">
      <c r="A86" s="76">
        <v>86</v>
      </c>
      <c r="B86" s="67" t="str">
        <f>MID(C86, FIND("Ifc.", C86) + 4, 4) &amp; "_" &amp; TEXT(COUNTIF($C$2:C86, C86),"0000")</f>
        <v>Prop_0085</v>
      </c>
      <c r="C86" s="24" t="s">
        <v>872</v>
      </c>
      <c r="D86" s="69" t="s">
        <v>9453</v>
      </c>
      <c r="E86" s="70" t="s">
        <v>9454</v>
      </c>
      <c r="F86" s="17" t="s">
        <v>806</v>
      </c>
      <c r="G86" s="22" t="s">
        <v>1019</v>
      </c>
      <c r="H86" s="12" t="s">
        <v>9703</v>
      </c>
      <c r="I86" s="13" t="s">
        <v>6126</v>
      </c>
      <c r="J86" s="14" t="s">
        <v>798</v>
      </c>
      <c r="K86" s="15" t="s">
        <v>798</v>
      </c>
      <c r="L86" s="12" t="s">
        <v>5315</v>
      </c>
      <c r="M86" s="13" t="s">
        <v>5971</v>
      </c>
      <c r="N86" s="12" t="s">
        <v>803</v>
      </c>
      <c r="O86" s="13" t="s">
        <v>5077</v>
      </c>
      <c r="P86" s="17" t="s">
        <v>802</v>
      </c>
      <c r="Q86" s="21" t="s">
        <v>7741</v>
      </c>
      <c r="R86" s="17" t="s">
        <v>801</v>
      </c>
      <c r="S86" s="18" t="s">
        <v>2554</v>
      </c>
      <c r="T86" s="17" t="s">
        <v>800</v>
      </c>
      <c r="U86" s="18" t="s">
        <v>5233</v>
      </c>
      <c r="V86" s="17" t="s">
        <v>9418</v>
      </c>
      <c r="W86" s="18" t="s">
        <v>5310</v>
      </c>
      <c r="X86" s="69" t="s">
        <v>9453</v>
      </c>
      <c r="Y86" s="70" t="s">
        <v>9463</v>
      </c>
      <c r="Z86" s="73" t="s">
        <v>9486</v>
      </c>
      <c r="AA86" s="74" t="s">
        <v>9504</v>
      </c>
      <c r="AB86" s="73" t="s">
        <v>9486</v>
      </c>
      <c r="AC86" s="74" t="s">
        <v>9562</v>
      </c>
      <c r="AD86" s="73" t="s">
        <v>9578</v>
      </c>
      <c r="AE86" s="74" t="s">
        <v>9579</v>
      </c>
    </row>
    <row r="87" spans="1:31" ht="8.65" customHeight="1" x14ac:dyDescent="0.2">
      <c r="A87" s="76">
        <v>87</v>
      </c>
      <c r="B87" s="67" t="str">
        <f>MID(C87, FIND("Ifc.", C87) + 4, 4) &amp; "_" &amp; TEXT(COUNTIF($C$2:C87, C87),"0000")</f>
        <v>Prop_0086</v>
      </c>
      <c r="C87" s="24" t="s">
        <v>872</v>
      </c>
      <c r="D87" s="69" t="s">
        <v>9453</v>
      </c>
      <c r="E87" s="70" t="s">
        <v>9454</v>
      </c>
      <c r="F87" s="17" t="s">
        <v>806</v>
      </c>
      <c r="G87" s="22" t="s">
        <v>1019</v>
      </c>
      <c r="H87" s="12" t="s">
        <v>9703</v>
      </c>
      <c r="I87" s="13" t="s">
        <v>6126</v>
      </c>
      <c r="J87" s="14" t="s">
        <v>798</v>
      </c>
      <c r="K87" s="15" t="s">
        <v>798</v>
      </c>
      <c r="L87" s="12" t="s">
        <v>5315</v>
      </c>
      <c r="M87" s="13" t="s">
        <v>5573</v>
      </c>
      <c r="N87" s="12" t="s">
        <v>803</v>
      </c>
      <c r="O87" s="13" t="s">
        <v>5206</v>
      </c>
      <c r="P87" s="17" t="s">
        <v>802</v>
      </c>
      <c r="Q87" s="21" t="s">
        <v>7742</v>
      </c>
      <c r="R87" s="17" t="s">
        <v>801</v>
      </c>
      <c r="S87" s="18" t="s">
        <v>2554</v>
      </c>
      <c r="T87" s="17" t="s">
        <v>800</v>
      </c>
      <c r="U87" s="18" t="s">
        <v>5233</v>
      </c>
      <c r="V87" s="17" t="s">
        <v>9418</v>
      </c>
      <c r="W87" s="18" t="s">
        <v>5310</v>
      </c>
      <c r="X87" s="69" t="s">
        <v>9453</v>
      </c>
      <c r="Y87" s="70" t="s">
        <v>9463</v>
      </c>
      <c r="Z87" s="73" t="s">
        <v>9486</v>
      </c>
      <c r="AA87" s="74" t="s">
        <v>9504</v>
      </c>
      <c r="AB87" s="73" t="s">
        <v>9486</v>
      </c>
      <c r="AC87" s="74" t="s">
        <v>9562</v>
      </c>
      <c r="AD87" s="73" t="s">
        <v>9578</v>
      </c>
      <c r="AE87" s="74" t="s">
        <v>9579</v>
      </c>
    </row>
    <row r="88" spans="1:31" ht="8.65" customHeight="1" x14ac:dyDescent="0.2">
      <c r="A88" s="76">
        <v>88</v>
      </c>
      <c r="B88" s="67" t="str">
        <f>MID(C88, FIND("Ifc.", C88) + 4, 4) &amp; "_" &amp; TEXT(COUNTIF($C$2:C88, C88),"0000")</f>
        <v>Prop_0087</v>
      </c>
      <c r="C88" s="24" t="s">
        <v>872</v>
      </c>
      <c r="D88" s="69" t="s">
        <v>9453</v>
      </c>
      <c r="E88" s="70" t="s">
        <v>9454</v>
      </c>
      <c r="F88" s="17" t="s">
        <v>806</v>
      </c>
      <c r="G88" s="22" t="s">
        <v>2193</v>
      </c>
      <c r="H88" s="12" t="s">
        <v>9703</v>
      </c>
      <c r="I88" s="13" t="s">
        <v>7182</v>
      </c>
      <c r="J88" s="14" t="s">
        <v>798</v>
      </c>
      <c r="K88" s="15" t="s">
        <v>798</v>
      </c>
      <c r="L88" s="12" t="s">
        <v>5315</v>
      </c>
      <c r="M88" s="13" t="s">
        <v>5504</v>
      </c>
      <c r="N88" s="12" t="s">
        <v>803</v>
      </c>
      <c r="O88" s="13" t="s">
        <v>5117</v>
      </c>
      <c r="P88" s="17" t="s">
        <v>802</v>
      </c>
      <c r="Q88" s="21" t="s">
        <v>7743</v>
      </c>
      <c r="R88" s="17" t="s">
        <v>801</v>
      </c>
      <c r="S88" s="18" t="s">
        <v>2560</v>
      </c>
      <c r="T88" s="17" t="s">
        <v>800</v>
      </c>
      <c r="U88" s="18" t="s">
        <v>5236</v>
      </c>
      <c r="V88" s="17" t="s">
        <v>9418</v>
      </c>
      <c r="W88" s="18" t="s">
        <v>5309</v>
      </c>
      <c r="X88" s="69" t="s">
        <v>9453</v>
      </c>
      <c r="Y88" s="70" t="s">
        <v>9462</v>
      </c>
      <c r="Z88" s="73" t="s">
        <v>9486</v>
      </c>
      <c r="AA88" s="74" t="s">
        <v>9504</v>
      </c>
      <c r="AB88" s="73" t="s">
        <v>9486</v>
      </c>
      <c r="AC88" s="74" t="s">
        <v>9562</v>
      </c>
      <c r="AD88" s="73" t="s">
        <v>9578</v>
      </c>
      <c r="AE88" s="74" t="s">
        <v>9579</v>
      </c>
    </row>
    <row r="89" spans="1:31" ht="8.65" customHeight="1" x14ac:dyDescent="0.2">
      <c r="A89" s="76">
        <v>89</v>
      </c>
      <c r="B89" s="67" t="str">
        <f>MID(C89, FIND("Ifc.", C89) + 4, 4) &amp; "_" &amp; TEXT(COUNTIF($C$2:C89, C89),"0000")</f>
        <v>Prop_0088</v>
      </c>
      <c r="C89" s="24" t="s">
        <v>872</v>
      </c>
      <c r="D89" s="69" t="s">
        <v>9453</v>
      </c>
      <c r="E89" s="70" t="s">
        <v>9454</v>
      </c>
      <c r="F89" s="17" t="s">
        <v>806</v>
      </c>
      <c r="G89" s="22" t="s">
        <v>1106</v>
      </c>
      <c r="H89" s="12" t="s">
        <v>9703</v>
      </c>
      <c r="I89" s="13" t="s">
        <v>6160</v>
      </c>
      <c r="J89" s="14" t="s">
        <v>798</v>
      </c>
      <c r="K89" s="15" t="s">
        <v>798</v>
      </c>
      <c r="L89" s="12" t="s">
        <v>5315</v>
      </c>
      <c r="M89" s="13" t="s">
        <v>6037</v>
      </c>
      <c r="N89" s="12" t="s">
        <v>803</v>
      </c>
      <c r="O89" s="13" t="s">
        <v>4857</v>
      </c>
      <c r="P89" s="17" t="s">
        <v>802</v>
      </c>
      <c r="Q89" s="21" t="s">
        <v>7744</v>
      </c>
      <c r="R89" s="17" t="s">
        <v>801</v>
      </c>
      <c r="S89" s="18" t="s">
        <v>2619</v>
      </c>
      <c r="T89" s="17" t="s">
        <v>800</v>
      </c>
      <c r="U89" s="18" t="s">
        <v>5239</v>
      </c>
      <c r="V89" s="17" t="s">
        <v>9418</v>
      </c>
      <c r="W89" s="18" t="s">
        <v>5312</v>
      </c>
      <c r="X89" s="69" t="s">
        <v>9453</v>
      </c>
      <c r="Y89" s="70" t="s">
        <v>9465</v>
      </c>
      <c r="Z89" s="73" t="s">
        <v>9486</v>
      </c>
      <c r="AA89" s="74" t="s">
        <v>9504</v>
      </c>
      <c r="AB89" s="73" t="s">
        <v>9486</v>
      </c>
      <c r="AC89" s="74" t="s">
        <v>9566</v>
      </c>
      <c r="AD89" s="73" t="s">
        <v>9578</v>
      </c>
      <c r="AE89" s="74" t="s">
        <v>9579</v>
      </c>
    </row>
    <row r="90" spans="1:31" ht="8.65" customHeight="1" x14ac:dyDescent="0.2">
      <c r="A90" s="76">
        <v>90</v>
      </c>
      <c r="B90" s="67" t="str">
        <f>MID(C90, FIND("Ifc.", C90) + 4, 4) &amp; "_" &amp; TEXT(COUNTIF($C$2:C90, C90),"0000")</f>
        <v>Prop_0089</v>
      </c>
      <c r="C90" s="24" t="s">
        <v>872</v>
      </c>
      <c r="D90" s="69" t="s">
        <v>9453</v>
      </c>
      <c r="E90" s="70" t="s">
        <v>9454</v>
      </c>
      <c r="F90" s="17" t="s">
        <v>806</v>
      </c>
      <c r="G90" s="22" t="s">
        <v>1106</v>
      </c>
      <c r="H90" s="12" t="s">
        <v>9703</v>
      </c>
      <c r="I90" s="13" t="s">
        <v>6160</v>
      </c>
      <c r="J90" s="14" t="s">
        <v>798</v>
      </c>
      <c r="K90" s="15" t="s">
        <v>798</v>
      </c>
      <c r="L90" s="12" t="s">
        <v>5315</v>
      </c>
      <c r="M90" s="13" t="s">
        <v>5892</v>
      </c>
      <c r="N90" s="12" t="s">
        <v>803</v>
      </c>
      <c r="O90" s="13" t="s">
        <v>4961</v>
      </c>
      <c r="P90" s="17" t="s">
        <v>802</v>
      </c>
      <c r="Q90" s="21" t="s">
        <v>7745</v>
      </c>
      <c r="R90" s="17" t="s">
        <v>801</v>
      </c>
      <c r="S90" s="18" t="s">
        <v>3636</v>
      </c>
      <c r="T90" s="17" t="s">
        <v>800</v>
      </c>
      <c r="U90" s="18" t="s">
        <v>5257</v>
      </c>
      <c r="V90" s="17" t="s">
        <v>9418</v>
      </c>
      <c r="W90" s="18" t="s">
        <v>5314</v>
      </c>
      <c r="X90" s="69" t="s">
        <v>9453</v>
      </c>
      <c r="Y90" s="70" t="s">
        <v>9464</v>
      </c>
      <c r="Z90" s="73" t="s">
        <v>9486</v>
      </c>
      <c r="AA90" s="74" t="s">
        <v>9504</v>
      </c>
      <c r="AB90" s="73" t="s">
        <v>9486</v>
      </c>
      <c r="AC90" s="74" t="s">
        <v>9561</v>
      </c>
      <c r="AD90" s="73" t="s">
        <v>9578</v>
      </c>
      <c r="AE90" s="74" t="s">
        <v>9579</v>
      </c>
    </row>
    <row r="91" spans="1:31" ht="8.65" customHeight="1" x14ac:dyDescent="0.2">
      <c r="A91" s="76">
        <v>91</v>
      </c>
      <c r="B91" s="67" t="str">
        <f>MID(C91, FIND("Ifc.", C91) + 4, 4) &amp; "_" &amp; TEXT(COUNTIF($C$2:C91, C91),"0000")</f>
        <v>Prop_0090</v>
      </c>
      <c r="C91" s="24" t="s">
        <v>872</v>
      </c>
      <c r="D91" s="69" t="s">
        <v>9453</v>
      </c>
      <c r="E91" s="70" t="s">
        <v>9454</v>
      </c>
      <c r="F91" s="17" t="s">
        <v>806</v>
      </c>
      <c r="G91" s="22" t="s">
        <v>1110</v>
      </c>
      <c r="H91" s="12" t="s">
        <v>9703</v>
      </c>
      <c r="I91" s="13" t="s">
        <v>7151</v>
      </c>
      <c r="J91" s="14" t="s">
        <v>798</v>
      </c>
      <c r="K91" s="15" t="s">
        <v>798</v>
      </c>
      <c r="L91" s="12" t="s">
        <v>5315</v>
      </c>
      <c r="M91" s="13" t="s">
        <v>6037</v>
      </c>
      <c r="N91" s="12" t="s">
        <v>803</v>
      </c>
      <c r="O91" s="13" t="s">
        <v>4857</v>
      </c>
      <c r="P91" s="17" t="s">
        <v>802</v>
      </c>
      <c r="Q91" s="21" t="s">
        <v>7744</v>
      </c>
      <c r="R91" s="17" t="s">
        <v>801</v>
      </c>
      <c r="S91" s="18" t="s">
        <v>2619</v>
      </c>
      <c r="T91" s="17" t="s">
        <v>800</v>
      </c>
      <c r="U91" s="18" t="s">
        <v>5239</v>
      </c>
      <c r="V91" s="17" t="s">
        <v>9418</v>
      </c>
      <c r="W91" s="18" t="s">
        <v>5312</v>
      </c>
      <c r="X91" s="69" t="s">
        <v>9453</v>
      </c>
      <c r="Y91" s="70" t="s">
        <v>9465</v>
      </c>
      <c r="Z91" s="73" t="s">
        <v>9486</v>
      </c>
      <c r="AA91" s="74" t="s">
        <v>9504</v>
      </c>
      <c r="AB91" s="73" t="s">
        <v>9486</v>
      </c>
      <c r="AC91" s="74" t="s">
        <v>9566</v>
      </c>
      <c r="AD91" s="73" t="s">
        <v>9578</v>
      </c>
      <c r="AE91" s="74" t="s">
        <v>9579</v>
      </c>
    </row>
    <row r="92" spans="1:31" ht="8.65" customHeight="1" x14ac:dyDescent="0.2">
      <c r="A92" s="76">
        <v>92</v>
      </c>
      <c r="B92" s="67" t="str">
        <f>MID(C92, FIND("Ifc.", C92) + 4, 4) &amp; "_" &amp; TEXT(COUNTIF($C$2:C92, C92),"0000")</f>
        <v>Prop_0091</v>
      </c>
      <c r="C92" s="24" t="s">
        <v>872</v>
      </c>
      <c r="D92" s="69" t="s">
        <v>9453</v>
      </c>
      <c r="E92" s="70" t="s">
        <v>9454</v>
      </c>
      <c r="F92" s="17" t="s">
        <v>806</v>
      </c>
      <c r="G92" s="22" t="s">
        <v>1110</v>
      </c>
      <c r="H92" s="12" t="s">
        <v>9703</v>
      </c>
      <c r="I92" s="13" t="s">
        <v>7151</v>
      </c>
      <c r="J92" s="14" t="s">
        <v>798</v>
      </c>
      <c r="K92" s="15" t="s">
        <v>798</v>
      </c>
      <c r="L92" s="12" t="s">
        <v>5315</v>
      </c>
      <c r="M92" s="13" t="s">
        <v>5892</v>
      </c>
      <c r="N92" s="12" t="s">
        <v>803</v>
      </c>
      <c r="O92" s="13" t="s">
        <v>4961</v>
      </c>
      <c r="P92" s="17" t="s">
        <v>802</v>
      </c>
      <c r="Q92" s="21" t="s">
        <v>7745</v>
      </c>
      <c r="R92" s="17" t="s">
        <v>801</v>
      </c>
      <c r="S92" s="18" t="s">
        <v>3636</v>
      </c>
      <c r="T92" s="17" t="s">
        <v>800</v>
      </c>
      <c r="U92" s="18" t="s">
        <v>5257</v>
      </c>
      <c r="V92" s="17" t="s">
        <v>9418</v>
      </c>
      <c r="W92" s="18" t="s">
        <v>5314</v>
      </c>
      <c r="X92" s="69" t="s">
        <v>9453</v>
      </c>
      <c r="Y92" s="70" t="s">
        <v>9464</v>
      </c>
      <c r="Z92" s="73" t="s">
        <v>9486</v>
      </c>
      <c r="AA92" s="74" t="s">
        <v>9504</v>
      </c>
      <c r="AB92" s="73" t="s">
        <v>9486</v>
      </c>
      <c r="AC92" s="74" t="s">
        <v>9561</v>
      </c>
      <c r="AD92" s="73" t="s">
        <v>9578</v>
      </c>
      <c r="AE92" s="74" t="s">
        <v>9579</v>
      </c>
    </row>
    <row r="93" spans="1:31" ht="8.65" customHeight="1" x14ac:dyDescent="0.2">
      <c r="A93" s="76">
        <v>93</v>
      </c>
      <c r="B93" s="67" t="str">
        <f>MID(C93, FIND("Ifc.", C93) + 4, 4) &amp; "_" &amp; TEXT(COUNTIF($C$2:C93, C93),"0000")</f>
        <v>Prop_0092</v>
      </c>
      <c r="C93" s="24" t="s">
        <v>872</v>
      </c>
      <c r="D93" s="69" t="s">
        <v>9453</v>
      </c>
      <c r="E93" s="70" t="s">
        <v>9454</v>
      </c>
      <c r="F93" s="17" t="s">
        <v>806</v>
      </c>
      <c r="G93" s="22" t="s">
        <v>1242</v>
      </c>
      <c r="H93" s="12" t="s">
        <v>9703</v>
      </c>
      <c r="I93" s="13" t="s">
        <v>6228</v>
      </c>
      <c r="J93" s="14" t="s">
        <v>798</v>
      </c>
      <c r="K93" s="15" t="s">
        <v>798</v>
      </c>
      <c r="L93" s="12" t="s">
        <v>5315</v>
      </c>
      <c r="M93" s="13" t="s">
        <v>5401</v>
      </c>
      <c r="N93" s="12" t="s">
        <v>803</v>
      </c>
      <c r="O93" s="13" t="s">
        <v>4889</v>
      </c>
      <c r="P93" s="17" t="s">
        <v>802</v>
      </c>
      <c r="Q93" s="21" t="s">
        <v>7746</v>
      </c>
      <c r="R93" s="17" t="s">
        <v>801</v>
      </c>
      <c r="S93" s="18" t="s">
        <v>2638</v>
      </c>
      <c r="T93" s="17" t="s">
        <v>800</v>
      </c>
      <c r="U93" s="18" t="s">
        <v>5254</v>
      </c>
      <c r="V93" s="17" t="s">
        <v>9418</v>
      </c>
      <c r="W93" s="18" t="s">
        <v>5309</v>
      </c>
      <c r="X93" s="69" t="s">
        <v>9453</v>
      </c>
      <c r="Y93" s="70" t="s">
        <v>9462</v>
      </c>
      <c r="Z93" s="73" t="s">
        <v>9486</v>
      </c>
      <c r="AA93" s="74" t="s">
        <v>9504</v>
      </c>
      <c r="AB93" s="73" t="s">
        <v>9486</v>
      </c>
      <c r="AC93" s="74" t="s">
        <v>9566</v>
      </c>
      <c r="AD93" s="73" t="s">
        <v>9578</v>
      </c>
      <c r="AE93" s="74" t="s">
        <v>9579</v>
      </c>
    </row>
    <row r="94" spans="1:31" ht="8.65" customHeight="1" x14ac:dyDescent="0.2">
      <c r="A94" s="76">
        <v>94</v>
      </c>
      <c r="B94" s="67" t="str">
        <f>MID(C94, FIND("Ifc.", C94) + 4, 4) &amp; "_" &amp; TEXT(COUNTIF($C$2:C94, C94),"0000")</f>
        <v>Prop_0093</v>
      </c>
      <c r="C94" s="24" t="s">
        <v>872</v>
      </c>
      <c r="D94" s="69" t="s">
        <v>9453</v>
      </c>
      <c r="E94" s="70" t="s">
        <v>9454</v>
      </c>
      <c r="F94" s="17" t="s">
        <v>806</v>
      </c>
      <c r="G94" s="22" t="s">
        <v>2191</v>
      </c>
      <c r="H94" s="12" t="s">
        <v>9703</v>
      </c>
      <c r="I94" s="13" t="s">
        <v>7186</v>
      </c>
      <c r="J94" s="14" t="s">
        <v>798</v>
      </c>
      <c r="K94" s="15" t="s">
        <v>798</v>
      </c>
      <c r="L94" s="12" t="s">
        <v>5315</v>
      </c>
      <c r="M94" s="13" t="s">
        <v>5504</v>
      </c>
      <c r="N94" s="12" t="s">
        <v>803</v>
      </c>
      <c r="O94" s="13" t="s">
        <v>5117</v>
      </c>
      <c r="P94" s="17" t="s">
        <v>802</v>
      </c>
      <c r="Q94" s="21" t="s">
        <v>7743</v>
      </c>
      <c r="R94" s="17" t="s">
        <v>801</v>
      </c>
      <c r="S94" s="18" t="s">
        <v>2560</v>
      </c>
      <c r="T94" s="17" t="s">
        <v>800</v>
      </c>
      <c r="U94" s="18" t="s">
        <v>5236</v>
      </c>
      <c r="V94" s="17" t="s">
        <v>9418</v>
      </c>
      <c r="W94" s="18" t="s">
        <v>5309</v>
      </c>
      <c r="X94" s="69" t="s">
        <v>9453</v>
      </c>
      <c r="Y94" s="70" t="s">
        <v>9462</v>
      </c>
      <c r="Z94" s="73" t="s">
        <v>9486</v>
      </c>
      <c r="AA94" s="74" t="s">
        <v>9504</v>
      </c>
      <c r="AB94" s="73" t="s">
        <v>9486</v>
      </c>
      <c r="AC94" s="74" t="s">
        <v>9562</v>
      </c>
      <c r="AD94" s="73" t="s">
        <v>9578</v>
      </c>
      <c r="AE94" s="74" t="s">
        <v>9579</v>
      </c>
    </row>
    <row r="95" spans="1:31" ht="8.65" customHeight="1" x14ac:dyDescent="0.2">
      <c r="A95" s="76">
        <v>95</v>
      </c>
      <c r="B95" s="67" t="str">
        <f>MID(C95, FIND("Ifc.", C95) + 4, 4) &amp; "_" &amp; TEXT(COUNTIF($C$2:C95, C95),"0000")</f>
        <v>Prop_0094</v>
      </c>
      <c r="C95" s="24" t="s">
        <v>872</v>
      </c>
      <c r="D95" s="69" t="s">
        <v>9453</v>
      </c>
      <c r="E95" s="70" t="s">
        <v>9454</v>
      </c>
      <c r="F95" s="17" t="s">
        <v>806</v>
      </c>
      <c r="G95" s="22" t="s">
        <v>942</v>
      </c>
      <c r="H95" s="12" t="s">
        <v>9703</v>
      </c>
      <c r="I95" s="13" t="s">
        <v>7189</v>
      </c>
      <c r="J95" s="14" t="s">
        <v>798</v>
      </c>
      <c r="K95" s="15" t="s">
        <v>798</v>
      </c>
      <c r="L95" s="12" t="s">
        <v>5315</v>
      </c>
      <c r="M95" s="13" t="s">
        <v>5819</v>
      </c>
      <c r="N95" s="12" t="s">
        <v>803</v>
      </c>
      <c r="O95" s="13" t="s">
        <v>4818</v>
      </c>
      <c r="P95" s="17" t="s">
        <v>802</v>
      </c>
      <c r="Q95" s="21" t="s">
        <v>7691</v>
      </c>
      <c r="R95" s="17" t="s">
        <v>801</v>
      </c>
      <c r="S95" s="18" t="s">
        <v>2578</v>
      </c>
      <c r="T95" s="17" t="s">
        <v>800</v>
      </c>
      <c r="U95" s="18" t="s">
        <v>5244</v>
      </c>
      <c r="V95" s="17" t="s">
        <v>9418</v>
      </c>
      <c r="W95" s="18" t="s">
        <v>5309</v>
      </c>
      <c r="X95" s="69" t="s">
        <v>9453</v>
      </c>
      <c r="Y95" s="70" t="s">
        <v>9462</v>
      </c>
      <c r="Z95" s="73" t="s">
        <v>9486</v>
      </c>
      <c r="AA95" s="74" t="s">
        <v>9504</v>
      </c>
      <c r="AB95" s="73" t="s">
        <v>9486</v>
      </c>
      <c r="AC95" s="74" t="s">
        <v>9566</v>
      </c>
      <c r="AD95" s="73" t="s">
        <v>9578</v>
      </c>
      <c r="AE95" s="74" t="s">
        <v>9579</v>
      </c>
    </row>
    <row r="96" spans="1:31" ht="8.65" customHeight="1" x14ac:dyDescent="0.2">
      <c r="A96" s="76">
        <v>96</v>
      </c>
      <c r="B96" s="67" t="str">
        <f>MID(C96, FIND("Ifc.", C96) + 4, 4) &amp; "_" &amp; TEXT(COUNTIF($C$2:C96, C96),"0000")</f>
        <v>Prop_0095</v>
      </c>
      <c r="C96" s="24" t="s">
        <v>872</v>
      </c>
      <c r="D96" s="69" t="s">
        <v>9453</v>
      </c>
      <c r="E96" s="70" t="s">
        <v>9454</v>
      </c>
      <c r="F96" s="17" t="s">
        <v>806</v>
      </c>
      <c r="G96" s="22" t="s">
        <v>942</v>
      </c>
      <c r="H96" s="12" t="s">
        <v>9703</v>
      </c>
      <c r="I96" s="13" t="s">
        <v>7189</v>
      </c>
      <c r="J96" s="14" t="s">
        <v>798</v>
      </c>
      <c r="K96" s="15" t="s">
        <v>798</v>
      </c>
      <c r="L96" s="12" t="s">
        <v>5315</v>
      </c>
      <c r="M96" s="13" t="s">
        <v>5415</v>
      </c>
      <c r="N96" s="12" t="s">
        <v>803</v>
      </c>
      <c r="O96" s="13" t="s">
        <v>4914</v>
      </c>
      <c r="P96" s="17" t="s">
        <v>802</v>
      </c>
      <c r="Q96" s="21" t="s">
        <v>7735</v>
      </c>
      <c r="R96" s="17" t="s">
        <v>801</v>
      </c>
      <c r="S96" s="18" t="s">
        <v>2578</v>
      </c>
      <c r="T96" s="17" t="s">
        <v>800</v>
      </c>
      <c r="U96" s="18" t="s">
        <v>5244</v>
      </c>
      <c r="V96" s="17" t="s">
        <v>9418</v>
      </c>
      <c r="W96" s="18" t="s">
        <v>5309</v>
      </c>
      <c r="X96" s="69" t="s">
        <v>9453</v>
      </c>
      <c r="Y96" s="70" t="s">
        <v>9462</v>
      </c>
      <c r="Z96" s="73" t="s">
        <v>9486</v>
      </c>
      <c r="AA96" s="74" t="s">
        <v>9504</v>
      </c>
      <c r="AB96" s="73" t="s">
        <v>9486</v>
      </c>
      <c r="AC96" s="74" t="s">
        <v>9566</v>
      </c>
      <c r="AD96" s="73" t="s">
        <v>9578</v>
      </c>
      <c r="AE96" s="74" t="s">
        <v>9579</v>
      </c>
    </row>
    <row r="97" spans="1:31" ht="8.65" customHeight="1" x14ac:dyDescent="0.2">
      <c r="A97" s="76">
        <v>97</v>
      </c>
      <c r="B97" s="67" t="str">
        <f>MID(C97, FIND("Ifc.", C97) + 4, 4) &amp; "_" &amp; TEXT(COUNTIF($C$2:C97, C97),"0000")</f>
        <v>Prop_0096</v>
      </c>
      <c r="C97" s="24" t="s">
        <v>872</v>
      </c>
      <c r="D97" s="69" t="s">
        <v>9453</v>
      </c>
      <c r="E97" s="70" t="s">
        <v>9454</v>
      </c>
      <c r="F97" s="17" t="s">
        <v>806</v>
      </c>
      <c r="G97" s="22" t="s">
        <v>942</v>
      </c>
      <c r="H97" s="12" t="s">
        <v>9703</v>
      </c>
      <c r="I97" s="13" t="s">
        <v>7189</v>
      </c>
      <c r="J97" s="14" t="s">
        <v>798</v>
      </c>
      <c r="K97" s="15" t="s">
        <v>798</v>
      </c>
      <c r="L97" s="12" t="s">
        <v>5315</v>
      </c>
      <c r="M97" s="13" t="s">
        <v>5429</v>
      </c>
      <c r="N97" s="12" t="s">
        <v>803</v>
      </c>
      <c r="O97" s="13" t="s">
        <v>4816</v>
      </c>
      <c r="P97" s="17" t="s">
        <v>802</v>
      </c>
      <c r="Q97" s="21" t="s">
        <v>7684</v>
      </c>
      <c r="R97" s="17" t="s">
        <v>801</v>
      </c>
      <c r="S97" s="18" t="s">
        <v>2578</v>
      </c>
      <c r="T97" s="17" t="s">
        <v>800</v>
      </c>
      <c r="U97" s="18" t="s">
        <v>5244</v>
      </c>
      <c r="V97" s="17" t="s">
        <v>9418</v>
      </c>
      <c r="W97" s="18" t="s">
        <v>5309</v>
      </c>
      <c r="X97" s="69" t="s">
        <v>9453</v>
      </c>
      <c r="Y97" s="70" t="s">
        <v>9462</v>
      </c>
      <c r="Z97" s="73" t="s">
        <v>9486</v>
      </c>
      <c r="AA97" s="74" t="s">
        <v>9504</v>
      </c>
      <c r="AB97" s="73" t="s">
        <v>9486</v>
      </c>
      <c r="AC97" s="74" t="s">
        <v>9566</v>
      </c>
      <c r="AD97" s="73" t="s">
        <v>9578</v>
      </c>
      <c r="AE97" s="74" t="s">
        <v>9579</v>
      </c>
    </row>
    <row r="98" spans="1:31" ht="8.65" customHeight="1" x14ac:dyDescent="0.2">
      <c r="A98" s="76">
        <v>98</v>
      </c>
      <c r="B98" s="67" t="str">
        <f>MID(C98, FIND("Ifc.", C98) + 4, 4) &amp; "_" &amp; TEXT(COUNTIF($C$2:C98, C98),"0000")</f>
        <v>Prop_0097</v>
      </c>
      <c r="C98" s="24" t="s">
        <v>872</v>
      </c>
      <c r="D98" s="69" t="s">
        <v>9453</v>
      </c>
      <c r="E98" s="70" t="s">
        <v>9454</v>
      </c>
      <c r="F98" s="17" t="s">
        <v>806</v>
      </c>
      <c r="G98" s="22" t="s">
        <v>942</v>
      </c>
      <c r="H98" s="12" t="s">
        <v>9703</v>
      </c>
      <c r="I98" s="13" t="s">
        <v>7189</v>
      </c>
      <c r="J98" s="14" t="s">
        <v>798</v>
      </c>
      <c r="K98" s="15" t="s">
        <v>798</v>
      </c>
      <c r="L98" s="12" t="s">
        <v>5315</v>
      </c>
      <c r="M98" s="13" t="s">
        <v>5582</v>
      </c>
      <c r="N98" s="12" t="s">
        <v>803</v>
      </c>
      <c r="O98" s="13" t="s">
        <v>5229</v>
      </c>
      <c r="P98" s="17" t="s">
        <v>802</v>
      </c>
      <c r="Q98" s="21" t="s">
        <v>7685</v>
      </c>
      <c r="R98" s="17" t="s">
        <v>801</v>
      </c>
      <c r="S98" s="18" t="s">
        <v>2578</v>
      </c>
      <c r="T98" s="17" t="s">
        <v>800</v>
      </c>
      <c r="U98" s="18" t="s">
        <v>5244</v>
      </c>
      <c r="V98" s="17" t="s">
        <v>9418</v>
      </c>
      <c r="W98" s="18" t="s">
        <v>5309</v>
      </c>
      <c r="X98" s="69" t="s">
        <v>9453</v>
      </c>
      <c r="Y98" s="70" t="s">
        <v>9462</v>
      </c>
      <c r="Z98" s="73" t="s">
        <v>9486</v>
      </c>
      <c r="AA98" s="74" t="s">
        <v>9504</v>
      </c>
      <c r="AB98" s="73" t="s">
        <v>9486</v>
      </c>
      <c r="AC98" s="74" t="s">
        <v>9566</v>
      </c>
      <c r="AD98" s="73" t="s">
        <v>9578</v>
      </c>
      <c r="AE98" s="74" t="s">
        <v>9579</v>
      </c>
    </row>
    <row r="99" spans="1:31" ht="8.65" customHeight="1" x14ac:dyDescent="0.2">
      <c r="A99" s="76">
        <v>99</v>
      </c>
      <c r="B99" s="67" t="str">
        <f>MID(C99, FIND("Ifc.", C99) + 4, 4) &amp; "_" &amp; TEXT(COUNTIF($C$2:C99, C99),"0000")</f>
        <v>Prop_0098</v>
      </c>
      <c r="C99" s="24" t="s">
        <v>872</v>
      </c>
      <c r="D99" s="69" t="s">
        <v>9453</v>
      </c>
      <c r="E99" s="70" t="s">
        <v>9454</v>
      </c>
      <c r="F99" s="17" t="s">
        <v>806</v>
      </c>
      <c r="G99" s="22" t="s">
        <v>1812</v>
      </c>
      <c r="H99" s="12" t="s">
        <v>9703</v>
      </c>
      <c r="I99" s="13" t="s">
        <v>6507</v>
      </c>
      <c r="J99" s="14" t="s">
        <v>798</v>
      </c>
      <c r="K99" s="15" t="s">
        <v>798</v>
      </c>
      <c r="L99" s="12" t="s">
        <v>5315</v>
      </c>
      <c r="M99" s="13" t="s">
        <v>5943</v>
      </c>
      <c r="N99" s="12" t="s">
        <v>803</v>
      </c>
      <c r="O99" s="13" t="s">
        <v>5025</v>
      </c>
      <c r="P99" s="17" t="s">
        <v>802</v>
      </c>
      <c r="Q99" s="21" t="s">
        <v>7747</v>
      </c>
      <c r="R99" s="17" t="s">
        <v>801</v>
      </c>
      <c r="S99" s="18" t="s">
        <v>2578</v>
      </c>
      <c r="T99" s="17" t="s">
        <v>800</v>
      </c>
      <c r="U99" s="18" t="s">
        <v>5244</v>
      </c>
      <c r="V99" s="17" t="s">
        <v>9418</v>
      </c>
      <c r="W99" s="18" t="s">
        <v>5309</v>
      </c>
      <c r="X99" s="69" t="s">
        <v>9453</v>
      </c>
      <c r="Y99" s="70" t="s">
        <v>9462</v>
      </c>
      <c r="Z99" s="73" t="s">
        <v>9486</v>
      </c>
      <c r="AA99" s="74" t="s">
        <v>9504</v>
      </c>
      <c r="AB99" s="73" t="s">
        <v>9486</v>
      </c>
      <c r="AC99" s="74" t="s">
        <v>9566</v>
      </c>
      <c r="AD99" s="73" t="s">
        <v>9578</v>
      </c>
      <c r="AE99" s="74" t="s">
        <v>9579</v>
      </c>
    </row>
    <row r="100" spans="1:31" ht="8.65" customHeight="1" x14ac:dyDescent="0.2">
      <c r="A100" s="76">
        <v>100</v>
      </c>
      <c r="B100" s="67" t="str">
        <f>MID(C100, FIND("Ifc.", C100) + 4, 4) &amp; "_" &amp; TEXT(COUNTIF($C$2:C100, C100),"0000")</f>
        <v>Prop_0099</v>
      </c>
      <c r="C100" s="24" t="s">
        <v>872</v>
      </c>
      <c r="D100" s="69" t="s">
        <v>9453</v>
      </c>
      <c r="E100" s="70" t="s">
        <v>9454</v>
      </c>
      <c r="F100" s="17" t="s">
        <v>806</v>
      </c>
      <c r="G100" s="22" t="s">
        <v>2275</v>
      </c>
      <c r="H100" s="12" t="s">
        <v>9703</v>
      </c>
      <c r="I100" s="13" t="s">
        <v>6700</v>
      </c>
      <c r="J100" s="14" t="s">
        <v>798</v>
      </c>
      <c r="K100" s="15" t="s">
        <v>798</v>
      </c>
      <c r="L100" s="12" t="s">
        <v>5315</v>
      </c>
      <c r="M100" s="13" t="s">
        <v>5545</v>
      </c>
      <c r="N100" s="12" t="s">
        <v>803</v>
      </c>
      <c r="O100" s="13" t="s">
        <v>5138</v>
      </c>
      <c r="P100" s="17" t="s">
        <v>802</v>
      </c>
      <c r="Q100" s="21" t="s">
        <v>7748</v>
      </c>
      <c r="R100" s="17" t="s">
        <v>801</v>
      </c>
      <c r="S100" s="18" t="s">
        <v>2578</v>
      </c>
      <c r="T100" s="17" t="s">
        <v>800</v>
      </c>
      <c r="U100" s="18" t="s">
        <v>5244</v>
      </c>
      <c r="V100" s="17" t="s">
        <v>9418</v>
      </c>
      <c r="W100" s="18" t="s">
        <v>5309</v>
      </c>
      <c r="X100" s="69" t="s">
        <v>9453</v>
      </c>
      <c r="Y100" s="70" t="s">
        <v>9462</v>
      </c>
      <c r="Z100" s="73" t="s">
        <v>9486</v>
      </c>
      <c r="AA100" s="74" t="s">
        <v>9504</v>
      </c>
      <c r="AB100" s="73" t="s">
        <v>9486</v>
      </c>
      <c r="AC100" s="74" t="s">
        <v>9566</v>
      </c>
      <c r="AD100" s="73" t="s">
        <v>9578</v>
      </c>
      <c r="AE100" s="74" t="s">
        <v>9579</v>
      </c>
    </row>
    <row r="101" spans="1:31" ht="8.65" customHeight="1" x14ac:dyDescent="0.2">
      <c r="A101" s="76">
        <v>101</v>
      </c>
      <c r="B101" s="67" t="str">
        <f>MID(C101, FIND("Ifc.", C101) + 4, 4) &amp; "_" &amp; TEXT(COUNTIF($C$2:C101, C101),"0000")</f>
        <v>Prop_0100</v>
      </c>
      <c r="C101" s="24" t="s">
        <v>872</v>
      </c>
      <c r="D101" s="69" t="s">
        <v>9453</v>
      </c>
      <c r="E101" s="70" t="s">
        <v>9454</v>
      </c>
      <c r="F101" s="17" t="s">
        <v>806</v>
      </c>
      <c r="G101" s="22" t="s">
        <v>2275</v>
      </c>
      <c r="H101" s="12" t="s">
        <v>9703</v>
      </c>
      <c r="I101" s="13" t="s">
        <v>6700</v>
      </c>
      <c r="J101" s="14" t="s">
        <v>798</v>
      </c>
      <c r="K101" s="15" t="s">
        <v>798</v>
      </c>
      <c r="L101" s="12" t="s">
        <v>5315</v>
      </c>
      <c r="M101" s="13" t="s">
        <v>5546</v>
      </c>
      <c r="N101" s="12" t="s">
        <v>803</v>
      </c>
      <c r="O101" s="13" t="s">
        <v>5144</v>
      </c>
      <c r="P101" s="17" t="s">
        <v>802</v>
      </c>
      <c r="Q101" s="21" t="s">
        <v>7749</v>
      </c>
      <c r="R101" s="17" t="s">
        <v>801</v>
      </c>
      <c r="S101" s="18" t="s">
        <v>2578</v>
      </c>
      <c r="T101" s="17" t="s">
        <v>800</v>
      </c>
      <c r="U101" s="18" t="s">
        <v>5244</v>
      </c>
      <c r="V101" s="17" t="s">
        <v>9418</v>
      </c>
      <c r="W101" s="18" t="s">
        <v>5309</v>
      </c>
      <c r="X101" s="69" t="s">
        <v>9453</v>
      </c>
      <c r="Y101" s="70" t="s">
        <v>9462</v>
      </c>
      <c r="Z101" s="73" t="s">
        <v>9486</v>
      </c>
      <c r="AA101" s="74" t="s">
        <v>9504</v>
      </c>
      <c r="AB101" s="73" t="s">
        <v>9486</v>
      </c>
      <c r="AC101" s="74" t="s">
        <v>9566</v>
      </c>
      <c r="AD101" s="73" t="s">
        <v>9578</v>
      </c>
      <c r="AE101" s="74" t="s">
        <v>9579</v>
      </c>
    </row>
    <row r="102" spans="1:31" ht="8.65" customHeight="1" x14ac:dyDescent="0.2">
      <c r="A102" s="76">
        <v>102</v>
      </c>
      <c r="B102" s="67" t="str">
        <f>MID(C102, FIND("Ifc.", C102) + 4, 4) &amp; "_" &amp; TEXT(COUNTIF($C$2:C102, C102),"0000")</f>
        <v>Prop_0101</v>
      </c>
      <c r="C102" s="24" t="s">
        <v>872</v>
      </c>
      <c r="D102" s="69" t="s">
        <v>9453</v>
      </c>
      <c r="E102" s="70" t="s">
        <v>9454</v>
      </c>
      <c r="F102" s="17" t="s">
        <v>806</v>
      </c>
      <c r="G102" s="22" t="s">
        <v>2275</v>
      </c>
      <c r="H102" s="12" t="s">
        <v>9703</v>
      </c>
      <c r="I102" s="13" t="s">
        <v>6700</v>
      </c>
      <c r="J102" s="14" t="s">
        <v>798</v>
      </c>
      <c r="K102" s="15" t="s">
        <v>798</v>
      </c>
      <c r="L102" s="12" t="s">
        <v>5315</v>
      </c>
      <c r="M102" s="13" t="s">
        <v>5547</v>
      </c>
      <c r="N102" s="12" t="s">
        <v>803</v>
      </c>
      <c r="O102" s="13" t="s">
        <v>5145</v>
      </c>
      <c r="P102" s="17" t="s">
        <v>802</v>
      </c>
      <c r="Q102" s="21" t="s">
        <v>7750</v>
      </c>
      <c r="R102" s="17" t="s">
        <v>801</v>
      </c>
      <c r="S102" s="18" t="s">
        <v>2578</v>
      </c>
      <c r="T102" s="17" t="s">
        <v>800</v>
      </c>
      <c r="U102" s="18" t="s">
        <v>5244</v>
      </c>
      <c r="V102" s="17" t="s">
        <v>9418</v>
      </c>
      <c r="W102" s="18" t="s">
        <v>5309</v>
      </c>
      <c r="X102" s="69" t="s">
        <v>9453</v>
      </c>
      <c r="Y102" s="70" t="s">
        <v>9462</v>
      </c>
      <c r="Z102" s="73" t="s">
        <v>9486</v>
      </c>
      <c r="AA102" s="74" t="s">
        <v>9504</v>
      </c>
      <c r="AB102" s="73" t="s">
        <v>9486</v>
      </c>
      <c r="AC102" s="74" t="s">
        <v>9566</v>
      </c>
      <c r="AD102" s="73" t="s">
        <v>9578</v>
      </c>
      <c r="AE102" s="74" t="s">
        <v>9579</v>
      </c>
    </row>
    <row r="103" spans="1:31" ht="8.65" customHeight="1" x14ac:dyDescent="0.2">
      <c r="A103" s="76">
        <v>103</v>
      </c>
      <c r="B103" s="67" t="str">
        <f>MID(C103, FIND("Ifc.", C103) + 4, 4) &amp; "_" &amp; TEXT(COUNTIF($C$2:C103, C103),"0000")</f>
        <v>Prop_0102</v>
      </c>
      <c r="C103" s="24" t="s">
        <v>872</v>
      </c>
      <c r="D103" s="69" t="s">
        <v>9453</v>
      </c>
      <c r="E103" s="70" t="s">
        <v>9454</v>
      </c>
      <c r="F103" s="17" t="s">
        <v>806</v>
      </c>
      <c r="G103" s="22" t="s">
        <v>2275</v>
      </c>
      <c r="H103" s="12" t="s">
        <v>9703</v>
      </c>
      <c r="I103" s="13" t="s">
        <v>6700</v>
      </c>
      <c r="J103" s="14" t="s">
        <v>798</v>
      </c>
      <c r="K103" s="15" t="s">
        <v>798</v>
      </c>
      <c r="L103" s="12" t="s">
        <v>5315</v>
      </c>
      <c r="M103" s="13" t="s">
        <v>5783</v>
      </c>
      <c r="N103" s="12" t="s">
        <v>803</v>
      </c>
      <c r="O103" s="13" t="s">
        <v>5181</v>
      </c>
      <c r="P103" s="17" t="s">
        <v>802</v>
      </c>
      <c r="Q103" s="21" t="s">
        <v>7751</v>
      </c>
      <c r="R103" s="17" t="s">
        <v>801</v>
      </c>
      <c r="S103" s="18" t="s">
        <v>2578</v>
      </c>
      <c r="T103" s="17" t="s">
        <v>800</v>
      </c>
      <c r="U103" s="18" t="s">
        <v>5244</v>
      </c>
      <c r="V103" s="17" t="s">
        <v>9418</v>
      </c>
      <c r="W103" s="18" t="s">
        <v>5309</v>
      </c>
      <c r="X103" s="69" t="s">
        <v>9453</v>
      </c>
      <c r="Y103" s="70" t="s">
        <v>9462</v>
      </c>
      <c r="Z103" s="73" t="s">
        <v>9486</v>
      </c>
      <c r="AA103" s="74" t="s">
        <v>9504</v>
      </c>
      <c r="AB103" s="73" t="s">
        <v>9486</v>
      </c>
      <c r="AC103" s="74" t="s">
        <v>9566</v>
      </c>
      <c r="AD103" s="73" t="s">
        <v>9578</v>
      </c>
      <c r="AE103" s="74" t="s">
        <v>9579</v>
      </c>
    </row>
    <row r="104" spans="1:31" ht="8.65" customHeight="1" x14ac:dyDescent="0.2">
      <c r="A104" s="76">
        <v>104</v>
      </c>
      <c r="B104" s="67" t="str">
        <f>MID(C104, FIND("Ifc.", C104) + 4, 4) &amp; "_" &amp; TEXT(COUNTIF($C$2:C104, C104),"0000")</f>
        <v>Prop_0103</v>
      </c>
      <c r="C104" s="24" t="s">
        <v>872</v>
      </c>
      <c r="D104" s="69" t="s">
        <v>9453</v>
      </c>
      <c r="E104" s="70" t="s">
        <v>9454</v>
      </c>
      <c r="F104" s="17" t="s">
        <v>806</v>
      </c>
      <c r="G104" s="22" t="s">
        <v>1904</v>
      </c>
      <c r="H104" s="12" t="s">
        <v>9703</v>
      </c>
      <c r="I104" s="13" t="s">
        <v>7188</v>
      </c>
      <c r="J104" s="14" t="s">
        <v>798</v>
      </c>
      <c r="K104" s="15" t="s">
        <v>798</v>
      </c>
      <c r="L104" s="12" t="s">
        <v>5315</v>
      </c>
      <c r="M104" s="13" t="s">
        <v>5958</v>
      </c>
      <c r="N104" s="12" t="s">
        <v>803</v>
      </c>
      <c r="O104" s="13" t="s">
        <v>5051</v>
      </c>
      <c r="P104" s="17" t="s">
        <v>802</v>
      </c>
      <c r="Q104" s="21" t="s">
        <v>7752</v>
      </c>
      <c r="R104" s="17" t="s">
        <v>801</v>
      </c>
      <c r="S104" s="18" t="s">
        <v>2578</v>
      </c>
      <c r="T104" s="17" t="s">
        <v>800</v>
      </c>
      <c r="U104" s="18" t="s">
        <v>5244</v>
      </c>
      <c r="V104" s="17" t="s">
        <v>9418</v>
      </c>
      <c r="W104" s="18" t="s">
        <v>5309</v>
      </c>
      <c r="X104" s="69" t="s">
        <v>9453</v>
      </c>
      <c r="Y104" s="70" t="s">
        <v>9462</v>
      </c>
      <c r="Z104" s="73" t="s">
        <v>9486</v>
      </c>
      <c r="AA104" s="74" t="s">
        <v>9504</v>
      </c>
      <c r="AB104" s="73" t="s">
        <v>9486</v>
      </c>
      <c r="AC104" s="74" t="s">
        <v>9566</v>
      </c>
      <c r="AD104" s="73" t="s">
        <v>9578</v>
      </c>
      <c r="AE104" s="74" t="s">
        <v>9579</v>
      </c>
    </row>
    <row r="105" spans="1:31" ht="8.65" customHeight="1" x14ac:dyDescent="0.2">
      <c r="A105" s="76">
        <v>105</v>
      </c>
      <c r="B105" s="67" t="str">
        <f>MID(C105, FIND("Ifc.", C105) + 4, 4) &amp; "_" &amp; TEXT(COUNTIF($C$2:C105, C105),"0000")</f>
        <v>Prop_0104</v>
      </c>
      <c r="C105" s="24" t="s">
        <v>872</v>
      </c>
      <c r="D105" s="69" t="s">
        <v>9453</v>
      </c>
      <c r="E105" s="70" t="s">
        <v>9454</v>
      </c>
      <c r="F105" s="17" t="s">
        <v>806</v>
      </c>
      <c r="G105" s="22" t="s">
        <v>1904</v>
      </c>
      <c r="H105" s="12" t="s">
        <v>9703</v>
      </c>
      <c r="I105" s="13" t="s">
        <v>7188</v>
      </c>
      <c r="J105" s="14" t="s">
        <v>798</v>
      </c>
      <c r="K105" s="15" t="s">
        <v>798</v>
      </c>
      <c r="L105" s="12" t="s">
        <v>5315</v>
      </c>
      <c r="M105" s="13" t="s">
        <v>5959</v>
      </c>
      <c r="N105" s="12" t="s">
        <v>803</v>
      </c>
      <c r="O105" s="13" t="s">
        <v>5049</v>
      </c>
      <c r="P105" s="17" t="s">
        <v>802</v>
      </c>
      <c r="Q105" s="21" t="s">
        <v>7753</v>
      </c>
      <c r="R105" s="17" t="s">
        <v>801</v>
      </c>
      <c r="S105" s="18" t="s">
        <v>2578</v>
      </c>
      <c r="T105" s="17" t="s">
        <v>800</v>
      </c>
      <c r="U105" s="18" t="s">
        <v>5244</v>
      </c>
      <c r="V105" s="17" t="s">
        <v>9418</v>
      </c>
      <c r="W105" s="18" t="s">
        <v>5309</v>
      </c>
      <c r="X105" s="69" t="s">
        <v>9453</v>
      </c>
      <c r="Y105" s="70" t="s">
        <v>9462</v>
      </c>
      <c r="Z105" s="73" t="s">
        <v>9486</v>
      </c>
      <c r="AA105" s="74" t="s">
        <v>9504</v>
      </c>
      <c r="AB105" s="73" t="s">
        <v>9486</v>
      </c>
      <c r="AC105" s="74" t="s">
        <v>9566</v>
      </c>
      <c r="AD105" s="73" t="s">
        <v>9578</v>
      </c>
      <c r="AE105" s="74" t="s">
        <v>9579</v>
      </c>
    </row>
    <row r="106" spans="1:31" ht="8.65" customHeight="1" x14ac:dyDescent="0.2">
      <c r="A106" s="76">
        <v>106</v>
      </c>
      <c r="B106" s="67" t="str">
        <f>MID(C106, FIND("Ifc.", C106) + 4, 4) &amp; "_" &amp; TEXT(COUNTIF($C$2:C106, C106),"0000")</f>
        <v>Prop_0105</v>
      </c>
      <c r="C106" s="24" t="s">
        <v>872</v>
      </c>
      <c r="D106" s="69" t="s">
        <v>9453</v>
      </c>
      <c r="E106" s="70" t="s">
        <v>9454</v>
      </c>
      <c r="F106" s="17" t="s">
        <v>806</v>
      </c>
      <c r="G106" s="22" t="s">
        <v>2232</v>
      </c>
      <c r="H106" s="12" t="s">
        <v>9703</v>
      </c>
      <c r="I106" s="13" t="s">
        <v>7426</v>
      </c>
      <c r="J106" s="14" t="s">
        <v>798</v>
      </c>
      <c r="K106" s="15" t="s">
        <v>798</v>
      </c>
      <c r="L106" s="12" t="s">
        <v>5315</v>
      </c>
      <c r="M106" s="13" t="s">
        <v>5512</v>
      </c>
      <c r="N106" s="12" t="s">
        <v>803</v>
      </c>
      <c r="O106" s="13" t="s">
        <v>5126</v>
      </c>
      <c r="P106" s="17" t="s">
        <v>802</v>
      </c>
      <c r="Q106" s="21" t="s">
        <v>7754</v>
      </c>
      <c r="R106" s="17" t="s">
        <v>801</v>
      </c>
      <c r="S106" s="18" t="s">
        <v>2578</v>
      </c>
      <c r="T106" s="17" t="s">
        <v>800</v>
      </c>
      <c r="U106" s="18" t="s">
        <v>5244</v>
      </c>
      <c r="V106" s="17" t="s">
        <v>9418</v>
      </c>
      <c r="W106" s="18" t="s">
        <v>5309</v>
      </c>
      <c r="X106" s="69" t="s">
        <v>9453</v>
      </c>
      <c r="Y106" s="70" t="s">
        <v>9462</v>
      </c>
      <c r="Z106" s="73" t="s">
        <v>9486</v>
      </c>
      <c r="AA106" s="74" t="s">
        <v>9504</v>
      </c>
      <c r="AB106" s="73" t="s">
        <v>9486</v>
      </c>
      <c r="AC106" s="74" t="s">
        <v>9566</v>
      </c>
      <c r="AD106" s="73" t="s">
        <v>9578</v>
      </c>
      <c r="AE106" s="74" t="s">
        <v>9579</v>
      </c>
    </row>
    <row r="107" spans="1:31" ht="8.65" customHeight="1" x14ac:dyDescent="0.2">
      <c r="A107" s="76">
        <v>107</v>
      </c>
      <c r="B107" s="67" t="str">
        <f>MID(C107, FIND("Ifc.", C107) + 4, 4) &amp; "_" &amp; TEXT(COUNTIF($C$2:C107, C107),"0000")</f>
        <v>Prop_0106</v>
      </c>
      <c r="C107" s="24" t="s">
        <v>872</v>
      </c>
      <c r="D107" s="69" t="s">
        <v>9453</v>
      </c>
      <c r="E107" s="70" t="s">
        <v>9454</v>
      </c>
      <c r="F107" s="17" t="s">
        <v>806</v>
      </c>
      <c r="G107" s="22" t="s">
        <v>2052</v>
      </c>
      <c r="H107" s="12" t="s">
        <v>9703</v>
      </c>
      <c r="I107" s="13" t="s">
        <v>7425</v>
      </c>
      <c r="J107" s="14" t="s">
        <v>798</v>
      </c>
      <c r="K107" s="15" t="s">
        <v>798</v>
      </c>
      <c r="L107" s="12" t="s">
        <v>5315</v>
      </c>
      <c r="M107" s="13" t="s">
        <v>5482</v>
      </c>
      <c r="N107" s="12" t="s">
        <v>803</v>
      </c>
      <c r="O107" s="13" t="s">
        <v>5084</v>
      </c>
      <c r="P107" s="17" t="s">
        <v>802</v>
      </c>
      <c r="Q107" s="21" t="s">
        <v>7755</v>
      </c>
      <c r="R107" s="17" t="s">
        <v>801</v>
      </c>
      <c r="S107" s="18" t="s">
        <v>2578</v>
      </c>
      <c r="T107" s="17" t="s">
        <v>800</v>
      </c>
      <c r="U107" s="18" t="s">
        <v>5244</v>
      </c>
      <c r="V107" s="17" t="s">
        <v>9418</v>
      </c>
      <c r="W107" s="18" t="s">
        <v>5309</v>
      </c>
      <c r="X107" s="69" t="s">
        <v>9453</v>
      </c>
      <c r="Y107" s="70" t="s">
        <v>9462</v>
      </c>
      <c r="Z107" s="73" t="s">
        <v>9486</v>
      </c>
      <c r="AA107" s="74" t="s">
        <v>9504</v>
      </c>
      <c r="AB107" s="73" t="s">
        <v>9486</v>
      </c>
      <c r="AC107" s="74" t="s">
        <v>9566</v>
      </c>
      <c r="AD107" s="73" t="s">
        <v>9578</v>
      </c>
      <c r="AE107" s="74" t="s">
        <v>9579</v>
      </c>
    </row>
    <row r="108" spans="1:31" ht="8.65" customHeight="1" x14ac:dyDescent="0.2">
      <c r="A108" s="76">
        <v>108</v>
      </c>
      <c r="B108" s="67" t="str">
        <f>MID(C108, FIND("Ifc.", C108) + 4, 4) &amp; "_" &amp; TEXT(COUNTIF($C$2:C108, C108),"0000")</f>
        <v>Prop_0107</v>
      </c>
      <c r="C108" s="24" t="s">
        <v>872</v>
      </c>
      <c r="D108" s="69" t="s">
        <v>9453</v>
      </c>
      <c r="E108" s="70" t="s">
        <v>9454</v>
      </c>
      <c r="F108" s="17" t="s">
        <v>806</v>
      </c>
      <c r="G108" s="22" t="s">
        <v>1209</v>
      </c>
      <c r="H108" s="12" t="s">
        <v>9703</v>
      </c>
      <c r="I108" s="13" t="s">
        <v>7428</v>
      </c>
      <c r="J108" s="14" t="s">
        <v>798</v>
      </c>
      <c r="K108" s="15" t="s">
        <v>798</v>
      </c>
      <c r="L108" s="12" t="s">
        <v>5315</v>
      </c>
      <c r="M108" s="13" t="s">
        <v>5821</v>
      </c>
      <c r="N108" s="12" t="s">
        <v>803</v>
      </c>
      <c r="O108" s="13" t="s">
        <v>4883</v>
      </c>
      <c r="P108" s="17" t="s">
        <v>802</v>
      </c>
      <c r="Q108" s="21" t="s">
        <v>7683</v>
      </c>
      <c r="R108" s="17" t="s">
        <v>801</v>
      </c>
      <c r="S108" s="18" t="s">
        <v>2578</v>
      </c>
      <c r="T108" s="17" t="s">
        <v>800</v>
      </c>
      <c r="U108" s="18" t="s">
        <v>5244</v>
      </c>
      <c r="V108" s="17" t="s">
        <v>9418</v>
      </c>
      <c r="W108" s="18" t="s">
        <v>5309</v>
      </c>
      <c r="X108" s="69" t="s">
        <v>9453</v>
      </c>
      <c r="Y108" s="70" t="s">
        <v>9462</v>
      </c>
      <c r="Z108" s="73" t="s">
        <v>9486</v>
      </c>
      <c r="AA108" s="74" t="s">
        <v>9504</v>
      </c>
      <c r="AB108" s="73" t="s">
        <v>9486</v>
      </c>
      <c r="AC108" s="74" t="s">
        <v>9566</v>
      </c>
      <c r="AD108" s="73" t="s">
        <v>9578</v>
      </c>
      <c r="AE108" s="74" t="s">
        <v>9579</v>
      </c>
    </row>
    <row r="109" spans="1:31" ht="8.65" customHeight="1" x14ac:dyDescent="0.2">
      <c r="A109" s="76">
        <v>109</v>
      </c>
      <c r="B109" s="67" t="str">
        <f>MID(C109, FIND("Ifc.", C109) + 4, 4) &amp; "_" &amp; TEXT(COUNTIF($C$2:C109, C109),"0000")</f>
        <v>Prop_0108</v>
      </c>
      <c r="C109" s="24" t="s">
        <v>872</v>
      </c>
      <c r="D109" s="69" t="s">
        <v>9453</v>
      </c>
      <c r="E109" s="70" t="s">
        <v>9454</v>
      </c>
      <c r="F109" s="17" t="s">
        <v>806</v>
      </c>
      <c r="G109" s="22" t="s">
        <v>1462</v>
      </c>
      <c r="H109" s="12" t="s">
        <v>9703</v>
      </c>
      <c r="I109" s="13" t="s">
        <v>7427</v>
      </c>
      <c r="J109" s="14" t="s">
        <v>798</v>
      </c>
      <c r="K109" s="15" t="s">
        <v>798</v>
      </c>
      <c r="L109" s="12" t="s">
        <v>5315</v>
      </c>
      <c r="M109" s="13" t="s">
        <v>5440</v>
      </c>
      <c r="N109" s="12" t="s">
        <v>803</v>
      </c>
      <c r="O109" s="13" t="s">
        <v>4939</v>
      </c>
      <c r="P109" s="17" t="s">
        <v>802</v>
      </c>
      <c r="Q109" s="21" t="s">
        <v>7756</v>
      </c>
      <c r="R109" s="17" t="s">
        <v>801</v>
      </c>
      <c r="S109" s="18" t="s">
        <v>2578</v>
      </c>
      <c r="T109" s="17" t="s">
        <v>800</v>
      </c>
      <c r="U109" s="18" t="s">
        <v>5244</v>
      </c>
      <c r="V109" s="17" t="s">
        <v>9418</v>
      </c>
      <c r="W109" s="18" t="s">
        <v>5309</v>
      </c>
      <c r="X109" s="69" t="s">
        <v>9453</v>
      </c>
      <c r="Y109" s="70" t="s">
        <v>9462</v>
      </c>
      <c r="Z109" s="73" t="s">
        <v>9486</v>
      </c>
      <c r="AA109" s="74" t="s">
        <v>9504</v>
      </c>
      <c r="AB109" s="73" t="s">
        <v>9486</v>
      </c>
      <c r="AC109" s="74" t="s">
        <v>9566</v>
      </c>
      <c r="AD109" s="73" t="s">
        <v>9578</v>
      </c>
      <c r="AE109" s="74" t="s">
        <v>9579</v>
      </c>
    </row>
    <row r="110" spans="1:31" ht="8.65" customHeight="1" x14ac:dyDescent="0.2">
      <c r="A110" s="76">
        <v>110</v>
      </c>
      <c r="B110" s="67" t="str">
        <f>MID(C110, FIND("Ifc.", C110) + 4, 4) &amp; "_" &amp; TEXT(COUNTIF($C$2:C110, C110),"0000")</f>
        <v>Prop_0109</v>
      </c>
      <c r="C110" s="24" t="s">
        <v>872</v>
      </c>
      <c r="D110" s="69" t="s">
        <v>9453</v>
      </c>
      <c r="E110" s="70" t="s">
        <v>9454</v>
      </c>
      <c r="F110" s="17" t="s">
        <v>806</v>
      </c>
      <c r="G110" s="22" t="s">
        <v>1080</v>
      </c>
      <c r="H110" s="12" t="s">
        <v>9703</v>
      </c>
      <c r="I110" s="13" t="s">
        <v>6150</v>
      </c>
      <c r="J110" s="14" t="s">
        <v>798</v>
      </c>
      <c r="K110" s="15" t="s">
        <v>798</v>
      </c>
      <c r="L110" s="12" t="s">
        <v>5315</v>
      </c>
      <c r="M110" s="13" t="s">
        <v>6036</v>
      </c>
      <c r="N110" s="12" t="s">
        <v>803</v>
      </c>
      <c r="O110" s="13" t="s">
        <v>4848</v>
      </c>
      <c r="P110" s="17" t="s">
        <v>802</v>
      </c>
      <c r="Q110" s="21" t="s">
        <v>7757</v>
      </c>
      <c r="R110" s="17" t="s">
        <v>801</v>
      </c>
      <c r="S110" s="18" t="s">
        <v>2578</v>
      </c>
      <c r="T110" s="17" t="s">
        <v>800</v>
      </c>
      <c r="U110" s="18" t="s">
        <v>5244</v>
      </c>
      <c r="V110" s="17" t="s">
        <v>9418</v>
      </c>
      <c r="W110" s="18" t="s">
        <v>5309</v>
      </c>
      <c r="X110" s="69" t="s">
        <v>9453</v>
      </c>
      <c r="Y110" s="70" t="s">
        <v>9462</v>
      </c>
      <c r="Z110" s="73" t="s">
        <v>9486</v>
      </c>
      <c r="AA110" s="74" t="s">
        <v>9504</v>
      </c>
      <c r="AB110" s="73" t="s">
        <v>9486</v>
      </c>
      <c r="AC110" s="74" t="s">
        <v>9566</v>
      </c>
      <c r="AD110" s="73" t="s">
        <v>9578</v>
      </c>
      <c r="AE110" s="74" t="s">
        <v>9579</v>
      </c>
    </row>
    <row r="111" spans="1:31" ht="8.65" customHeight="1" x14ac:dyDescent="0.2">
      <c r="A111" s="76">
        <v>111</v>
      </c>
      <c r="B111" s="67" t="str">
        <f>MID(C111, FIND("Ifc.", C111) + 4, 4) &amp; "_" &amp; TEXT(COUNTIF($C$2:C111, C111),"0000")</f>
        <v>Prop_0110</v>
      </c>
      <c r="C111" s="24" t="s">
        <v>872</v>
      </c>
      <c r="D111" s="69" t="s">
        <v>9453</v>
      </c>
      <c r="E111" s="70" t="s">
        <v>9454</v>
      </c>
      <c r="F111" s="17" t="s">
        <v>806</v>
      </c>
      <c r="G111" s="22" t="s">
        <v>2280</v>
      </c>
      <c r="H111" s="12" t="s">
        <v>9703</v>
      </c>
      <c r="I111" s="13" t="s">
        <v>6702</v>
      </c>
      <c r="J111" s="14" t="s">
        <v>798</v>
      </c>
      <c r="K111" s="15" t="s">
        <v>798</v>
      </c>
      <c r="L111" s="12" t="s">
        <v>5315</v>
      </c>
      <c r="M111" s="13" t="s">
        <v>5549</v>
      </c>
      <c r="N111" s="12" t="s">
        <v>803</v>
      </c>
      <c r="O111" s="13" t="s">
        <v>4956</v>
      </c>
      <c r="P111" s="17" t="s">
        <v>802</v>
      </c>
      <c r="Q111" s="21" t="s">
        <v>7758</v>
      </c>
      <c r="R111" s="17" t="s">
        <v>801</v>
      </c>
      <c r="S111" s="18" t="s">
        <v>2578</v>
      </c>
      <c r="T111" s="17" t="s">
        <v>800</v>
      </c>
      <c r="U111" s="18" t="s">
        <v>5244</v>
      </c>
      <c r="V111" s="17" t="s">
        <v>9418</v>
      </c>
      <c r="W111" s="18" t="s">
        <v>5309</v>
      </c>
      <c r="X111" s="69" t="s">
        <v>9453</v>
      </c>
      <c r="Y111" s="70" t="s">
        <v>9462</v>
      </c>
      <c r="Z111" s="73" t="s">
        <v>9486</v>
      </c>
      <c r="AA111" s="74" t="s">
        <v>9504</v>
      </c>
      <c r="AB111" s="73" t="s">
        <v>9486</v>
      </c>
      <c r="AC111" s="74" t="s">
        <v>9566</v>
      </c>
      <c r="AD111" s="73" t="s">
        <v>9578</v>
      </c>
      <c r="AE111" s="74" t="s">
        <v>9579</v>
      </c>
    </row>
    <row r="112" spans="1:31" ht="8.65" customHeight="1" x14ac:dyDescent="0.2">
      <c r="A112" s="76">
        <v>112</v>
      </c>
      <c r="B112" s="67" t="str">
        <f>MID(C112, FIND("Ifc.", C112) + 4, 4) &amp; "_" &amp; TEXT(COUNTIF($C$2:C112, C112),"0000")</f>
        <v>Prop_0111</v>
      </c>
      <c r="C112" s="24" t="s">
        <v>872</v>
      </c>
      <c r="D112" s="69" t="s">
        <v>9453</v>
      </c>
      <c r="E112" s="70" t="s">
        <v>9454</v>
      </c>
      <c r="F112" s="17" t="s">
        <v>806</v>
      </c>
      <c r="G112" s="22" t="s">
        <v>1141</v>
      </c>
      <c r="H112" s="12" t="s">
        <v>9703</v>
      </c>
      <c r="I112" s="13" t="s">
        <v>6183</v>
      </c>
      <c r="J112" s="14" t="s">
        <v>798</v>
      </c>
      <c r="K112" s="15" t="s">
        <v>798</v>
      </c>
      <c r="L112" s="12" t="s">
        <v>5315</v>
      </c>
      <c r="M112" s="13" t="s">
        <v>6042</v>
      </c>
      <c r="N112" s="12" t="s">
        <v>803</v>
      </c>
      <c r="O112" s="13" t="s">
        <v>4863</v>
      </c>
      <c r="P112" s="17" t="s">
        <v>802</v>
      </c>
      <c r="Q112" s="21" t="s">
        <v>7759</v>
      </c>
      <c r="R112" s="17" t="s">
        <v>801</v>
      </c>
      <c r="S112" s="18" t="s">
        <v>2578</v>
      </c>
      <c r="T112" s="17" t="s">
        <v>800</v>
      </c>
      <c r="U112" s="18" t="s">
        <v>5244</v>
      </c>
      <c r="V112" s="17" t="s">
        <v>9418</v>
      </c>
      <c r="W112" s="18" t="s">
        <v>5309</v>
      </c>
      <c r="X112" s="69" t="s">
        <v>9453</v>
      </c>
      <c r="Y112" s="70" t="s">
        <v>9462</v>
      </c>
      <c r="Z112" s="73" t="s">
        <v>9486</v>
      </c>
      <c r="AA112" s="74" t="s">
        <v>9504</v>
      </c>
      <c r="AB112" s="73" t="s">
        <v>9486</v>
      </c>
      <c r="AC112" s="74" t="s">
        <v>9566</v>
      </c>
      <c r="AD112" s="73" t="s">
        <v>9578</v>
      </c>
      <c r="AE112" s="74" t="s">
        <v>9579</v>
      </c>
    </row>
    <row r="113" spans="1:31" ht="8.65" customHeight="1" x14ac:dyDescent="0.2">
      <c r="A113" s="76">
        <v>113</v>
      </c>
      <c r="B113" s="67" t="str">
        <f>MID(C113, FIND("Ifc.", C113) + 4, 4) &amp; "_" &amp; TEXT(COUNTIF($C$2:C113, C113),"0000")</f>
        <v>Prop_0112</v>
      </c>
      <c r="C113" s="24" t="s">
        <v>872</v>
      </c>
      <c r="D113" s="69" t="s">
        <v>9453</v>
      </c>
      <c r="E113" s="70" t="s">
        <v>9454</v>
      </c>
      <c r="F113" s="17" t="s">
        <v>806</v>
      </c>
      <c r="G113" s="22" t="s">
        <v>1141</v>
      </c>
      <c r="H113" s="12" t="s">
        <v>9703</v>
      </c>
      <c r="I113" s="13" t="s">
        <v>6183</v>
      </c>
      <c r="J113" s="14" t="s">
        <v>798</v>
      </c>
      <c r="K113" s="15" t="s">
        <v>798</v>
      </c>
      <c r="L113" s="12" t="s">
        <v>5315</v>
      </c>
      <c r="M113" s="13" t="s">
        <v>5432</v>
      </c>
      <c r="N113" s="12" t="s">
        <v>803</v>
      </c>
      <c r="O113" s="13" t="s">
        <v>4931</v>
      </c>
      <c r="P113" s="17" t="s">
        <v>802</v>
      </c>
      <c r="Q113" s="21" t="s">
        <v>7760</v>
      </c>
      <c r="R113" s="17" t="s">
        <v>801</v>
      </c>
      <c r="S113" s="18" t="s">
        <v>2578</v>
      </c>
      <c r="T113" s="17" t="s">
        <v>800</v>
      </c>
      <c r="U113" s="18" t="s">
        <v>5244</v>
      </c>
      <c r="V113" s="17" t="s">
        <v>9418</v>
      </c>
      <c r="W113" s="18" t="s">
        <v>5309</v>
      </c>
      <c r="X113" s="69" t="s">
        <v>9453</v>
      </c>
      <c r="Y113" s="70" t="s">
        <v>9462</v>
      </c>
      <c r="Z113" s="73" t="s">
        <v>9486</v>
      </c>
      <c r="AA113" s="74" t="s">
        <v>9504</v>
      </c>
      <c r="AB113" s="73" t="s">
        <v>9486</v>
      </c>
      <c r="AC113" s="74" t="s">
        <v>9566</v>
      </c>
      <c r="AD113" s="73" t="s">
        <v>9578</v>
      </c>
      <c r="AE113" s="74" t="s">
        <v>9579</v>
      </c>
    </row>
    <row r="114" spans="1:31" ht="8.65" customHeight="1" x14ac:dyDescent="0.2">
      <c r="A114" s="76">
        <v>114</v>
      </c>
      <c r="B114" s="67" t="str">
        <f>MID(C114, FIND("Ifc.", C114) + 4, 4) &amp; "_" &amp; TEXT(COUNTIF($C$2:C114, C114),"0000")</f>
        <v>Prop_0113</v>
      </c>
      <c r="C114" s="24" t="s">
        <v>872</v>
      </c>
      <c r="D114" s="69" t="s">
        <v>9453</v>
      </c>
      <c r="E114" s="70" t="s">
        <v>9454</v>
      </c>
      <c r="F114" s="17" t="s">
        <v>806</v>
      </c>
      <c r="G114" s="22" t="s">
        <v>2199</v>
      </c>
      <c r="H114" s="12" t="s">
        <v>9703</v>
      </c>
      <c r="I114" s="13" t="s">
        <v>6675</v>
      </c>
      <c r="J114" s="14" t="s">
        <v>798</v>
      </c>
      <c r="K114" s="15" t="s">
        <v>798</v>
      </c>
      <c r="L114" s="12" t="s">
        <v>5315</v>
      </c>
      <c r="M114" s="13" t="s">
        <v>5506</v>
      </c>
      <c r="N114" s="12" t="s">
        <v>803</v>
      </c>
      <c r="O114" s="13" t="s">
        <v>5118</v>
      </c>
      <c r="P114" s="17" t="s">
        <v>802</v>
      </c>
      <c r="Q114" s="21" t="s">
        <v>7761</v>
      </c>
      <c r="R114" s="17" t="s">
        <v>801</v>
      </c>
      <c r="S114" s="18" t="s">
        <v>2578</v>
      </c>
      <c r="T114" s="17" t="s">
        <v>800</v>
      </c>
      <c r="U114" s="18" t="s">
        <v>5244</v>
      </c>
      <c r="V114" s="17" t="s">
        <v>9418</v>
      </c>
      <c r="W114" s="18" t="s">
        <v>5309</v>
      </c>
      <c r="X114" s="69" t="s">
        <v>9453</v>
      </c>
      <c r="Y114" s="70" t="s">
        <v>9462</v>
      </c>
      <c r="Z114" s="73" t="s">
        <v>9486</v>
      </c>
      <c r="AA114" s="74" t="s">
        <v>9504</v>
      </c>
      <c r="AB114" s="73" t="s">
        <v>9486</v>
      </c>
      <c r="AC114" s="74" t="s">
        <v>9566</v>
      </c>
      <c r="AD114" s="73" t="s">
        <v>9578</v>
      </c>
      <c r="AE114" s="74" t="s">
        <v>9579</v>
      </c>
    </row>
    <row r="115" spans="1:31" ht="8.65" customHeight="1" x14ac:dyDescent="0.2">
      <c r="A115" s="76">
        <v>115</v>
      </c>
      <c r="B115" s="67" t="str">
        <f>MID(C115, FIND("Ifc.", C115) + 4, 4) &amp; "_" &amp; TEXT(COUNTIF($C$2:C115, C115),"0000")</f>
        <v>Prop_0114</v>
      </c>
      <c r="C115" s="24" t="s">
        <v>872</v>
      </c>
      <c r="D115" s="69" t="s">
        <v>9453</v>
      </c>
      <c r="E115" s="70" t="s">
        <v>9454</v>
      </c>
      <c r="F115" s="17" t="s">
        <v>806</v>
      </c>
      <c r="G115" s="22" t="s">
        <v>2375</v>
      </c>
      <c r="H115" s="12" t="s">
        <v>9703</v>
      </c>
      <c r="I115" s="13" t="s">
        <v>6756</v>
      </c>
      <c r="J115" s="14" t="s">
        <v>798</v>
      </c>
      <c r="K115" s="15" t="s">
        <v>798</v>
      </c>
      <c r="L115" s="12" t="s">
        <v>5315</v>
      </c>
      <c r="M115" s="13" t="s">
        <v>5782</v>
      </c>
      <c r="N115" s="12" t="s">
        <v>803</v>
      </c>
      <c r="O115" s="13" t="s">
        <v>5180</v>
      </c>
      <c r="P115" s="17" t="s">
        <v>802</v>
      </c>
      <c r="Q115" s="21" t="s">
        <v>7699</v>
      </c>
      <c r="R115" s="17" t="s">
        <v>801</v>
      </c>
      <c r="S115" s="18" t="s">
        <v>2578</v>
      </c>
      <c r="T115" s="17" t="s">
        <v>800</v>
      </c>
      <c r="U115" s="18" t="s">
        <v>5244</v>
      </c>
      <c r="V115" s="17" t="s">
        <v>9418</v>
      </c>
      <c r="W115" s="18" t="s">
        <v>5309</v>
      </c>
      <c r="X115" s="69" t="s">
        <v>9453</v>
      </c>
      <c r="Y115" s="70" t="s">
        <v>9462</v>
      </c>
      <c r="Z115" s="73" t="s">
        <v>9486</v>
      </c>
      <c r="AA115" s="74" t="s">
        <v>9504</v>
      </c>
      <c r="AB115" s="73" t="s">
        <v>9486</v>
      </c>
      <c r="AC115" s="74" t="s">
        <v>9566</v>
      </c>
      <c r="AD115" s="73" t="s">
        <v>9578</v>
      </c>
      <c r="AE115" s="74" t="s">
        <v>9579</v>
      </c>
    </row>
    <row r="116" spans="1:31" ht="8.65" customHeight="1" x14ac:dyDescent="0.2">
      <c r="A116" s="76">
        <v>116</v>
      </c>
      <c r="B116" s="67" t="str">
        <f>MID(C116, FIND("Ifc.", C116) + 4, 4) &amp; "_" &amp; TEXT(COUNTIF($C$2:C116, C116),"0000")</f>
        <v>Prop_0115</v>
      </c>
      <c r="C116" s="24" t="s">
        <v>872</v>
      </c>
      <c r="D116" s="69" t="s">
        <v>9453</v>
      </c>
      <c r="E116" s="70" t="s">
        <v>9454</v>
      </c>
      <c r="F116" s="17" t="s">
        <v>806</v>
      </c>
      <c r="G116" s="22" t="s">
        <v>1463</v>
      </c>
      <c r="H116" s="12" t="s">
        <v>9703</v>
      </c>
      <c r="I116" s="13" t="s">
        <v>6342</v>
      </c>
      <c r="J116" s="14" t="s">
        <v>798</v>
      </c>
      <c r="K116" s="15" t="s">
        <v>798</v>
      </c>
      <c r="L116" s="12" t="s">
        <v>5315</v>
      </c>
      <c r="M116" s="13" t="s">
        <v>5440</v>
      </c>
      <c r="N116" s="12" t="s">
        <v>803</v>
      </c>
      <c r="O116" s="13" t="s">
        <v>4939</v>
      </c>
      <c r="P116" s="17" t="s">
        <v>802</v>
      </c>
      <c r="Q116" s="21" t="s">
        <v>7756</v>
      </c>
      <c r="R116" s="17" t="s">
        <v>801</v>
      </c>
      <c r="S116" s="18" t="s">
        <v>2578</v>
      </c>
      <c r="T116" s="17" t="s">
        <v>800</v>
      </c>
      <c r="U116" s="18" t="s">
        <v>5244</v>
      </c>
      <c r="V116" s="17" t="s">
        <v>9418</v>
      </c>
      <c r="W116" s="18" t="s">
        <v>5309</v>
      </c>
      <c r="X116" s="69" t="s">
        <v>9453</v>
      </c>
      <c r="Y116" s="70" t="s">
        <v>9462</v>
      </c>
      <c r="Z116" s="73" t="s">
        <v>9486</v>
      </c>
      <c r="AA116" s="74" t="s">
        <v>9504</v>
      </c>
      <c r="AB116" s="73" t="s">
        <v>9486</v>
      </c>
      <c r="AC116" s="74" t="s">
        <v>9566</v>
      </c>
      <c r="AD116" s="73" t="s">
        <v>9578</v>
      </c>
      <c r="AE116" s="74" t="s">
        <v>9579</v>
      </c>
    </row>
    <row r="117" spans="1:31" ht="8.65" customHeight="1" x14ac:dyDescent="0.2">
      <c r="A117" s="76">
        <v>117</v>
      </c>
      <c r="B117" s="67" t="str">
        <f>MID(C117, FIND("Ifc.", C117) + 4, 4) &amp; "_" &amp; TEXT(COUNTIF($C$2:C117, C117),"0000")</f>
        <v>Prop_0116</v>
      </c>
      <c r="C117" s="24" t="s">
        <v>872</v>
      </c>
      <c r="D117" s="69" t="s">
        <v>9453</v>
      </c>
      <c r="E117" s="70" t="s">
        <v>9454</v>
      </c>
      <c r="F117" s="17" t="s">
        <v>806</v>
      </c>
      <c r="G117" s="22" t="s">
        <v>1142</v>
      </c>
      <c r="H117" s="12" t="s">
        <v>9703</v>
      </c>
      <c r="I117" s="13" t="s">
        <v>7429</v>
      </c>
      <c r="J117" s="14" t="s">
        <v>798</v>
      </c>
      <c r="K117" s="15" t="s">
        <v>798</v>
      </c>
      <c r="L117" s="12" t="s">
        <v>5315</v>
      </c>
      <c r="M117" s="13" t="s">
        <v>6042</v>
      </c>
      <c r="N117" s="12" t="s">
        <v>803</v>
      </c>
      <c r="O117" s="13" t="s">
        <v>4863</v>
      </c>
      <c r="P117" s="17" t="s">
        <v>802</v>
      </c>
      <c r="Q117" s="21" t="s">
        <v>7759</v>
      </c>
      <c r="R117" s="17" t="s">
        <v>801</v>
      </c>
      <c r="S117" s="18" t="s">
        <v>2578</v>
      </c>
      <c r="T117" s="17" t="s">
        <v>800</v>
      </c>
      <c r="U117" s="18" t="s">
        <v>5244</v>
      </c>
      <c r="V117" s="17" t="s">
        <v>9418</v>
      </c>
      <c r="W117" s="18" t="s">
        <v>5309</v>
      </c>
      <c r="X117" s="69" t="s">
        <v>9453</v>
      </c>
      <c r="Y117" s="70" t="s">
        <v>9462</v>
      </c>
      <c r="Z117" s="73" t="s">
        <v>9486</v>
      </c>
      <c r="AA117" s="74" t="s">
        <v>9504</v>
      </c>
      <c r="AB117" s="73" t="s">
        <v>9486</v>
      </c>
      <c r="AC117" s="74" t="s">
        <v>9566</v>
      </c>
      <c r="AD117" s="73" t="s">
        <v>9578</v>
      </c>
      <c r="AE117" s="74" t="s">
        <v>9579</v>
      </c>
    </row>
    <row r="118" spans="1:31" ht="8.65" customHeight="1" x14ac:dyDescent="0.2">
      <c r="A118" s="76">
        <v>118</v>
      </c>
      <c r="B118" s="67" t="str">
        <f>MID(C118, FIND("Ifc.", C118) + 4, 4) &amp; "_" &amp; TEXT(COUNTIF($C$2:C118, C118),"0000")</f>
        <v>Prop_0117</v>
      </c>
      <c r="C118" s="24" t="s">
        <v>872</v>
      </c>
      <c r="D118" s="69" t="s">
        <v>9453</v>
      </c>
      <c r="E118" s="70" t="s">
        <v>9454</v>
      </c>
      <c r="F118" s="17" t="s">
        <v>806</v>
      </c>
      <c r="G118" s="22" t="s">
        <v>1142</v>
      </c>
      <c r="H118" s="12" t="s">
        <v>9703</v>
      </c>
      <c r="I118" s="13" t="s">
        <v>7430</v>
      </c>
      <c r="J118" s="14" t="s">
        <v>798</v>
      </c>
      <c r="K118" s="15" t="s">
        <v>798</v>
      </c>
      <c r="L118" s="12" t="s">
        <v>5315</v>
      </c>
      <c r="M118" s="13" t="s">
        <v>5432</v>
      </c>
      <c r="N118" s="12" t="s">
        <v>803</v>
      </c>
      <c r="O118" s="13" t="s">
        <v>4931</v>
      </c>
      <c r="P118" s="17" t="s">
        <v>802</v>
      </c>
      <c r="Q118" s="21" t="s">
        <v>7760</v>
      </c>
      <c r="R118" s="17" t="s">
        <v>801</v>
      </c>
      <c r="S118" s="18" t="s">
        <v>2578</v>
      </c>
      <c r="T118" s="17" t="s">
        <v>800</v>
      </c>
      <c r="U118" s="18" t="s">
        <v>5244</v>
      </c>
      <c r="V118" s="17" t="s">
        <v>9418</v>
      </c>
      <c r="W118" s="18" t="s">
        <v>5309</v>
      </c>
      <c r="X118" s="69" t="s">
        <v>9453</v>
      </c>
      <c r="Y118" s="70" t="s">
        <v>9462</v>
      </c>
      <c r="Z118" s="73" t="s">
        <v>9486</v>
      </c>
      <c r="AA118" s="74" t="s">
        <v>9504</v>
      </c>
      <c r="AB118" s="73" t="s">
        <v>9486</v>
      </c>
      <c r="AC118" s="74" t="s">
        <v>9566</v>
      </c>
      <c r="AD118" s="73" t="s">
        <v>9578</v>
      </c>
      <c r="AE118" s="74" t="s">
        <v>9579</v>
      </c>
    </row>
    <row r="119" spans="1:31" ht="8.65" customHeight="1" x14ac:dyDescent="0.2">
      <c r="A119" s="76">
        <v>119</v>
      </c>
      <c r="B119" s="67" t="str">
        <f>MID(C119, FIND("Ifc.", C119) + 4, 4) &amp; "_" &amp; TEXT(COUNTIF($C$2:C119, C119),"0000")</f>
        <v>Prop_0118</v>
      </c>
      <c r="C119" s="24" t="s">
        <v>872</v>
      </c>
      <c r="D119" s="69" t="s">
        <v>9453</v>
      </c>
      <c r="E119" s="70" t="s">
        <v>9454</v>
      </c>
      <c r="F119" s="17" t="s">
        <v>806</v>
      </c>
      <c r="G119" s="22" t="s">
        <v>1143</v>
      </c>
      <c r="H119" s="12" t="s">
        <v>9703</v>
      </c>
      <c r="I119" s="13" t="s">
        <v>6184</v>
      </c>
      <c r="J119" s="14" t="s">
        <v>798</v>
      </c>
      <c r="K119" s="15" t="s">
        <v>798</v>
      </c>
      <c r="L119" s="12" t="s">
        <v>5315</v>
      </c>
      <c r="M119" s="13" t="s">
        <v>6042</v>
      </c>
      <c r="N119" s="12" t="s">
        <v>803</v>
      </c>
      <c r="O119" s="13" t="s">
        <v>4863</v>
      </c>
      <c r="P119" s="17" t="s">
        <v>802</v>
      </c>
      <c r="Q119" s="21" t="s">
        <v>7759</v>
      </c>
      <c r="R119" s="17" t="s">
        <v>801</v>
      </c>
      <c r="S119" s="18" t="s">
        <v>2578</v>
      </c>
      <c r="T119" s="17" t="s">
        <v>800</v>
      </c>
      <c r="U119" s="18" t="s">
        <v>5244</v>
      </c>
      <c r="V119" s="17" t="s">
        <v>9418</v>
      </c>
      <c r="W119" s="18" t="s">
        <v>5309</v>
      </c>
      <c r="X119" s="69" t="s">
        <v>9453</v>
      </c>
      <c r="Y119" s="70" t="s">
        <v>9462</v>
      </c>
      <c r="Z119" s="73" t="s">
        <v>9486</v>
      </c>
      <c r="AA119" s="74" t="s">
        <v>9504</v>
      </c>
      <c r="AB119" s="73" t="s">
        <v>9486</v>
      </c>
      <c r="AC119" s="74" t="s">
        <v>9566</v>
      </c>
      <c r="AD119" s="73" t="s">
        <v>9578</v>
      </c>
      <c r="AE119" s="74" t="s">
        <v>9579</v>
      </c>
    </row>
    <row r="120" spans="1:31" ht="8.65" customHeight="1" x14ac:dyDescent="0.2">
      <c r="A120" s="76">
        <v>120</v>
      </c>
      <c r="B120" s="67" t="str">
        <f>MID(C120, FIND("Ifc.", C120) + 4, 4) &amp; "_" &amp; TEXT(COUNTIF($C$2:C120, C120),"0000")</f>
        <v>Prop_0119</v>
      </c>
      <c r="C120" s="24" t="s">
        <v>872</v>
      </c>
      <c r="D120" s="69" t="s">
        <v>9453</v>
      </c>
      <c r="E120" s="70" t="s">
        <v>9454</v>
      </c>
      <c r="F120" s="17" t="s">
        <v>806</v>
      </c>
      <c r="G120" s="22" t="s">
        <v>1143</v>
      </c>
      <c r="H120" s="12" t="s">
        <v>9703</v>
      </c>
      <c r="I120" s="13" t="s">
        <v>6184</v>
      </c>
      <c r="J120" s="14" t="s">
        <v>798</v>
      </c>
      <c r="K120" s="15" t="s">
        <v>798</v>
      </c>
      <c r="L120" s="12" t="s">
        <v>5315</v>
      </c>
      <c r="M120" s="13" t="s">
        <v>5432</v>
      </c>
      <c r="N120" s="12" t="s">
        <v>803</v>
      </c>
      <c r="O120" s="13" t="s">
        <v>4931</v>
      </c>
      <c r="P120" s="17" t="s">
        <v>802</v>
      </c>
      <c r="Q120" s="21" t="s">
        <v>7760</v>
      </c>
      <c r="R120" s="17" t="s">
        <v>801</v>
      </c>
      <c r="S120" s="18" t="s">
        <v>2578</v>
      </c>
      <c r="T120" s="17" t="s">
        <v>800</v>
      </c>
      <c r="U120" s="18" t="s">
        <v>5244</v>
      </c>
      <c r="V120" s="17" t="s">
        <v>9418</v>
      </c>
      <c r="W120" s="18" t="s">
        <v>5309</v>
      </c>
      <c r="X120" s="69" t="s">
        <v>9453</v>
      </c>
      <c r="Y120" s="70" t="s">
        <v>9462</v>
      </c>
      <c r="Z120" s="73" t="s">
        <v>9486</v>
      </c>
      <c r="AA120" s="74" t="s">
        <v>9504</v>
      </c>
      <c r="AB120" s="73" t="s">
        <v>9486</v>
      </c>
      <c r="AC120" s="74" t="s">
        <v>9566</v>
      </c>
      <c r="AD120" s="73" t="s">
        <v>9578</v>
      </c>
      <c r="AE120" s="74" t="s">
        <v>9579</v>
      </c>
    </row>
    <row r="121" spans="1:31" ht="8.65" customHeight="1" x14ac:dyDescent="0.2">
      <c r="A121" s="76">
        <v>121</v>
      </c>
      <c r="B121" s="67" t="str">
        <f>MID(C121, FIND("Ifc.", C121) + 4, 4) &amp; "_" &amp; TEXT(COUNTIF($C$2:C121, C121),"0000")</f>
        <v>Prop_0120</v>
      </c>
      <c r="C121" s="24" t="s">
        <v>872</v>
      </c>
      <c r="D121" s="69" t="s">
        <v>9453</v>
      </c>
      <c r="E121" s="70" t="s">
        <v>9454</v>
      </c>
      <c r="F121" s="17" t="s">
        <v>806</v>
      </c>
      <c r="G121" s="22" t="s">
        <v>2174</v>
      </c>
      <c r="H121" s="12" t="s">
        <v>9703</v>
      </c>
      <c r="I121" s="13" t="s">
        <v>6660</v>
      </c>
      <c r="J121" s="14" t="s">
        <v>798</v>
      </c>
      <c r="K121" s="15" t="s">
        <v>798</v>
      </c>
      <c r="L121" s="12" t="s">
        <v>5315</v>
      </c>
      <c r="M121" s="13" t="s">
        <v>5502</v>
      </c>
      <c r="N121" s="12" t="s">
        <v>803</v>
      </c>
      <c r="O121" s="13" t="s">
        <v>5115</v>
      </c>
      <c r="P121" s="17" t="s">
        <v>802</v>
      </c>
      <c r="Q121" s="21" t="s">
        <v>7762</v>
      </c>
      <c r="R121" s="17" t="s">
        <v>801</v>
      </c>
      <c r="S121" s="18" t="s">
        <v>2578</v>
      </c>
      <c r="T121" s="17" t="s">
        <v>800</v>
      </c>
      <c r="U121" s="18" t="s">
        <v>5244</v>
      </c>
      <c r="V121" s="17" t="s">
        <v>9418</v>
      </c>
      <c r="W121" s="18" t="s">
        <v>5309</v>
      </c>
      <c r="X121" s="69" t="s">
        <v>9453</v>
      </c>
      <c r="Y121" s="70" t="s">
        <v>9462</v>
      </c>
      <c r="Z121" s="73" t="s">
        <v>9486</v>
      </c>
      <c r="AA121" s="74" t="s">
        <v>9504</v>
      </c>
      <c r="AB121" s="73" t="s">
        <v>9486</v>
      </c>
      <c r="AC121" s="74" t="s">
        <v>9566</v>
      </c>
      <c r="AD121" s="73" t="s">
        <v>9578</v>
      </c>
      <c r="AE121" s="74" t="s">
        <v>9579</v>
      </c>
    </row>
    <row r="122" spans="1:31" ht="8.65" customHeight="1" x14ac:dyDescent="0.2">
      <c r="A122" s="76">
        <v>122</v>
      </c>
      <c r="B122" s="67" t="str">
        <f>MID(C122, FIND("Ifc.", C122) + 4, 4) &amp; "_" &amp; TEXT(COUNTIF($C$2:C122, C122),"0000")</f>
        <v>Prop_0121</v>
      </c>
      <c r="C122" s="24" t="s">
        <v>872</v>
      </c>
      <c r="D122" s="69" t="s">
        <v>9453</v>
      </c>
      <c r="E122" s="70" t="s">
        <v>9454</v>
      </c>
      <c r="F122" s="17" t="s">
        <v>806</v>
      </c>
      <c r="G122" s="22" t="s">
        <v>2279</v>
      </c>
      <c r="H122" s="12" t="s">
        <v>9703</v>
      </c>
      <c r="I122" s="13" t="s">
        <v>7187</v>
      </c>
      <c r="J122" s="14" t="s">
        <v>798</v>
      </c>
      <c r="K122" s="15" t="s">
        <v>798</v>
      </c>
      <c r="L122" s="12" t="s">
        <v>5315</v>
      </c>
      <c r="M122" s="13" t="s">
        <v>5549</v>
      </c>
      <c r="N122" s="12" t="s">
        <v>803</v>
      </c>
      <c r="O122" s="13" t="s">
        <v>4956</v>
      </c>
      <c r="P122" s="17" t="s">
        <v>802</v>
      </c>
      <c r="Q122" s="21" t="s">
        <v>7758</v>
      </c>
      <c r="R122" s="17" t="s">
        <v>801</v>
      </c>
      <c r="S122" s="18" t="s">
        <v>2578</v>
      </c>
      <c r="T122" s="17" t="s">
        <v>800</v>
      </c>
      <c r="U122" s="18" t="s">
        <v>5244</v>
      </c>
      <c r="V122" s="17" t="s">
        <v>9418</v>
      </c>
      <c r="W122" s="18" t="s">
        <v>5309</v>
      </c>
      <c r="X122" s="69" t="s">
        <v>9453</v>
      </c>
      <c r="Y122" s="70" t="s">
        <v>9462</v>
      </c>
      <c r="Z122" s="73" t="s">
        <v>9486</v>
      </c>
      <c r="AA122" s="74" t="s">
        <v>9504</v>
      </c>
      <c r="AB122" s="73" t="s">
        <v>9486</v>
      </c>
      <c r="AC122" s="74" t="s">
        <v>9566</v>
      </c>
      <c r="AD122" s="73" t="s">
        <v>9578</v>
      </c>
      <c r="AE122" s="74" t="s">
        <v>9579</v>
      </c>
    </row>
    <row r="123" spans="1:31" ht="8.65" customHeight="1" x14ac:dyDescent="0.2">
      <c r="A123" s="76">
        <v>123</v>
      </c>
      <c r="B123" s="67" t="str">
        <f>MID(C123, FIND("Ifc.", C123) + 4, 4) &amp; "_" &amp; TEXT(COUNTIF($C$2:C123, C123),"0000")</f>
        <v>Prop_0122</v>
      </c>
      <c r="C123" s="24" t="s">
        <v>872</v>
      </c>
      <c r="D123" s="69" t="s">
        <v>9453</v>
      </c>
      <c r="E123" s="70" t="s">
        <v>9454</v>
      </c>
      <c r="F123" s="17" t="s">
        <v>806</v>
      </c>
      <c r="G123" s="22" t="s">
        <v>2281</v>
      </c>
      <c r="H123" s="12" t="s">
        <v>9703</v>
      </c>
      <c r="I123" s="13" t="s">
        <v>7431</v>
      </c>
      <c r="J123" s="14" t="s">
        <v>798</v>
      </c>
      <c r="K123" s="15" t="s">
        <v>798</v>
      </c>
      <c r="L123" s="12" t="s">
        <v>5315</v>
      </c>
      <c r="M123" s="13" t="s">
        <v>5549</v>
      </c>
      <c r="N123" s="12" t="s">
        <v>803</v>
      </c>
      <c r="O123" s="13" t="s">
        <v>4956</v>
      </c>
      <c r="P123" s="17" t="s">
        <v>802</v>
      </c>
      <c r="Q123" s="21" t="s">
        <v>7758</v>
      </c>
      <c r="R123" s="17" t="s">
        <v>801</v>
      </c>
      <c r="S123" s="18" t="s">
        <v>2578</v>
      </c>
      <c r="T123" s="17" t="s">
        <v>800</v>
      </c>
      <c r="U123" s="18" t="s">
        <v>5244</v>
      </c>
      <c r="V123" s="17" t="s">
        <v>9418</v>
      </c>
      <c r="W123" s="18" t="s">
        <v>5309</v>
      </c>
      <c r="X123" s="69" t="s">
        <v>9453</v>
      </c>
      <c r="Y123" s="70" t="s">
        <v>9462</v>
      </c>
      <c r="Z123" s="73" t="s">
        <v>9486</v>
      </c>
      <c r="AA123" s="74" t="s">
        <v>9504</v>
      </c>
      <c r="AB123" s="73" t="s">
        <v>9486</v>
      </c>
      <c r="AC123" s="74" t="s">
        <v>9566</v>
      </c>
      <c r="AD123" s="73" t="s">
        <v>9578</v>
      </c>
      <c r="AE123" s="74" t="s">
        <v>9579</v>
      </c>
    </row>
    <row r="124" spans="1:31" ht="8.65" customHeight="1" x14ac:dyDescent="0.2">
      <c r="A124" s="76">
        <v>124</v>
      </c>
      <c r="B124" s="67" t="str">
        <f>MID(C124, FIND("Ifc.", C124) + 4, 4) &amp; "_" &amp; TEXT(COUNTIF($C$2:C124, C124),"0000")</f>
        <v>Prop_0123</v>
      </c>
      <c r="C124" s="24" t="s">
        <v>872</v>
      </c>
      <c r="D124" s="69" t="s">
        <v>9453</v>
      </c>
      <c r="E124" s="70" t="s">
        <v>9454</v>
      </c>
      <c r="F124" s="17" t="s">
        <v>806</v>
      </c>
      <c r="G124" s="22" t="s">
        <v>2282</v>
      </c>
      <c r="H124" s="12" t="s">
        <v>9703</v>
      </c>
      <c r="I124" s="13" t="s">
        <v>7432</v>
      </c>
      <c r="J124" s="14" t="s">
        <v>798</v>
      </c>
      <c r="K124" s="15" t="s">
        <v>798</v>
      </c>
      <c r="L124" s="12" t="s">
        <v>5315</v>
      </c>
      <c r="M124" s="13" t="s">
        <v>5549</v>
      </c>
      <c r="N124" s="12" t="s">
        <v>803</v>
      </c>
      <c r="O124" s="13" t="s">
        <v>4956</v>
      </c>
      <c r="P124" s="17" t="s">
        <v>802</v>
      </c>
      <c r="Q124" s="21" t="s">
        <v>7758</v>
      </c>
      <c r="R124" s="17" t="s">
        <v>801</v>
      </c>
      <c r="S124" s="18" t="s">
        <v>2578</v>
      </c>
      <c r="T124" s="17" t="s">
        <v>800</v>
      </c>
      <c r="U124" s="18" t="s">
        <v>5244</v>
      </c>
      <c r="V124" s="17" t="s">
        <v>9418</v>
      </c>
      <c r="W124" s="18" t="s">
        <v>5309</v>
      </c>
      <c r="X124" s="69" t="s">
        <v>9453</v>
      </c>
      <c r="Y124" s="70" t="s">
        <v>9462</v>
      </c>
      <c r="Z124" s="73" t="s">
        <v>9486</v>
      </c>
      <c r="AA124" s="74" t="s">
        <v>9504</v>
      </c>
      <c r="AB124" s="73" t="s">
        <v>9486</v>
      </c>
      <c r="AC124" s="74" t="s">
        <v>9566</v>
      </c>
      <c r="AD124" s="73" t="s">
        <v>9578</v>
      </c>
      <c r="AE124" s="74" t="s">
        <v>9579</v>
      </c>
    </row>
    <row r="125" spans="1:31" ht="8.65" customHeight="1" x14ac:dyDescent="0.2">
      <c r="A125" s="76">
        <v>125</v>
      </c>
      <c r="B125" s="67" t="str">
        <f>MID(C125, FIND("Ifc.", C125) + 4, 4) &amp; "_" &amp; TEXT(COUNTIF($C$2:C125, C125),"0000")</f>
        <v>Prop_0124</v>
      </c>
      <c r="C125" s="24" t="s">
        <v>872</v>
      </c>
      <c r="D125" s="69" t="s">
        <v>9453</v>
      </c>
      <c r="E125" s="70" t="s">
        <v>9454</v>
      </c>
      <c r="F125" s="17" t="s">
        <v>806</v>
      </c>
      <c r="G125" s="22" t="s">
        <v>1813</v>
      </c>
      <c r="H125" s="12" t="s">
        <v>9703</v>
      </c>
      <c r="I125" s="13" t="s">
        <v>7433</v>
      </c>
      <c r="J125" s="14" t="s">
        <v>798</v>
      </c>
      <c r="K125" s="15" t="s">
        <v>798</v>
      </c>
      <c r="L125" s="12" t="s">
        <v>5315</v>
      </c>
      <c r="M125" s="13" t="s">
        <v>5943</v>
      </c>
      <c r="N125" s="12" t="s">
        <v>803</v>
      </c>
      <c r="O125" s="13" t="s">
        <v>5025</v>
      </c>
      <c r="P125" s="17" t="s">
        <v>802</v>
      </c>
      <c r="Q125" s="21" t="s">
        <v>7747</v>
      </c>
      <c r="R125" s="17" t="s">
        <v>801</v>
      </c>
      <c r="S125" s="18" t="s">
        <v>2578</v>
      </c>
      <c r="T125" s="17" t="s">
        <v>800</v>
      </c>
      <c r="U125" s="18" t="s">
        <v>5244</v>
      </c>
      <c r="V125" s="17" t="s">
        <v>9418</v>
      </c>
      <c r="W125" s="18" t="s">
        <v>5309</v>
      </c>
      <c r="X125" s="69" t="s">
        <v>9453</v>
      </c>
      <c r="Y125" s="70" t="s">
        <v>9462</v>
      </c>
      <c r="Z125" s="73" t="s">
        <v>9486</v>
      </c>
      <c r="AA125" s="74" t="s">
        <v>9504</v>
      </c>
      <c r="AB125" s="73" t="s">
        <v>9486</v>
      </c>
      <c r="AC125" s="74" t="s">
        <v>9566</v>
      </c>
      <c r="AD125" s="73" t="s">
        <v>9578</v>
      </c>
      <c r="AE125" s="74" t="s">
        <v>9579</v>
      </c>
    </row>
    <row r="126" spans="1:31" ht="8.65" customHeight="1" x14ac:dyDescent="0.2">
      <c r="A126" s="76">
        <v>126</v>
      </c>
      <c r="B126" s="67" t="str">
        <f>MID(C126, FIND("Ifc.", C126) + 4, 4) &amp; "_" &amp; TEXT(COUNTIF($C$2:C126, C126),"0000")</f>
        <v>Prop_0125</v>
      </c>
      <c r="C126" s="24" t="s">
        <v>872</v>
      </c>
      <c r="D126" s="69" t="s">
        <v>9453</v>
      </c>
      <c r="E126" s="70" t="s">
        <v>9454</v>
      </c>
      <c r="F126" s="17" t="s">
        <v>806</v>
      </c>
      <c r="G126" s="22" t="s">
        <v>943</v>
      </c>
      <c r="H126" s="12" t="s">
        <v>9703</v>
      </c>
      <c r="I126" s="13" t="s">
        <v>7190</v>
      </c>
      <c r="J126" s="14" t="s">
        <v>798</v>
      </c>
      <c r="K126" s="15" t="s">
        <v>798</v>
      </c>
      <c r="L126" s="12" t="s">
        <v>5315</v>
      </c>
      <c r="M126" s="13" t="s">
        <v>5819</v>
      </c>
      <c r="N126" s="12" t="s">
        <v>803</v>
      </c>
      <c r="O126" s="13" t="s">
        <v>4818</v>
      </c>
      <c r="P126" s="17" t="s">
        <v>802</v>
      </c>
      <c r="Q126" s="21" t="s">
        <v>7691</v>
      </c>
      <c r="R126" s="17" t="s">
        <v>801</v>
      </c>
      <c r="S126" s="18" t="s">
        <v>2578</v>
      </c>
      <c r="T126" s="17" t="s">
        <v>800</v>
      </c>
      <c r="U126" s="18" t="s">
        <v>5244</v>
      </c>
      <c r="V126" s="17" t="s">
        <v>9418</v>
      </c>
      <c r="W126" s="18" t="s">
        <v>5309</v>
      </c>
      <c r="X126" s="69" t="s">
        <v>9453</v>
      </c>
      <c r="Y126" s="70" t="s">
        <v>9462</v>
      </c>
      <c r="Z126" s="73" t="s">
        <v>9486</v>
      </c>
      <c r="AA126" s="74" t="s">
        <v>9504</v>
      </c>
      <c r="AB126" s="73" t="s">
        <v>9486</v>
      </c>
      <c r="AC126" s="74" t="s">
        <v>9566</v>
      </c>
      <c r="AD126" s="73" t="s">
        <v>9578</v>
      </c>
      <c r="AE126" s="74" t="s">
        <v>9579</v>
      </c>
    </row>
    <row r="127" spans="1:31" ht="8.65" customHeight="1" x14ac:dyDescent="0.2">
      <c r="A127" s="76">
        <v>127</v>
      </c>
      <c r="B127" s="67" t="str">
        <f>MID(C127, FIND("Ifc.", C127) + 4, 4) &amp; "_" &amp; TEXT(COUNTIF($C$2:C127, C127),"0000")</f>
        <v>Prop_0126</v>
      </c>
      <c r="C127" s="24" t="s">
        <v>872</v>
      </c>
      <c r="D127" s="69" t="s">
        <v>9453</v>
      </c>
      <c r="E127" s="70" t="s">
        <v>9454</v>
      </c>
      <c r="F127" s="17" t="s">
        <v>806</v>
      </c>
      <c r="G127" s="22" t="s">
        <v>943</v>
      </c>
      <c r="H127" s="12" t="s">
        <v>9703</v>
      </c>
      <c r="I127" s="13" t="s">
        <v>7190</v>
      </c>
      <c r="J127" s="14" t="s">
        <v>798</v>
      </c>
      <c r="K127" s="15" t="s">
        <v>798</v>
      </c>
      <c r="L127" s="12" t="s">
        <v>5315</v>
      </c>
      <c r="M127" s="13" t="s">
        <v>5415</v>
      </c>
      <c r="N127" s="12" t="s">
        <v>803</v>
      </c>
      <c r="O127" s="13" t="s">
        <v>4914</v>
      </c>
      <c r="P127" s="17" t="s">
        <v>802</v>
      </c>
      <c r="Q127" s="21" t="s">
        <v>7735</v>
      </c>
      <c r="R127" s="17" t="s">
        <v>801</v>
      </c>
      <c r="S127" s="18" t="s">
        <v>2578</v>
      </c>
      <c r="T127" s="17" t="s">
        <v>800</v>
      </c>
      <c r="U127" s="18" t="s">
        <v>5244</v>
      </c>
      <c r="V127" s="17" t="s">
        <v>9418</v>
      </c>
      <c r="W127" s="18" t="s">
        <v>5309</v>
      </c>
      <c r="X127" s="69" t="s">
        <v>9453</v>
      </c>
      <c r="Y127" s="70" t="s">
        <v>9462</v>
      </c>
      <c r="Z127" s="73" t="s">
        <v>9486</v>
      </c>
      <c r="AA127" s="74" t="s">
        <v>9504</v>
      </c>
      <c r="AB127" s="73" t="s">
        <v>9486</v>
      </c>
      <c r="AC127" s="74" t="s">
        <v>9566</v>
      </c>
      <c r="AD127" s="73" t="s">
        <v>9578</v>
      </c>
      <c r="AE127" s="74" t="s">
        <v>9579</v>
      </c>
    </row>
    <row r="128" spans="1:31" ht="8.65" customHeight="1" x14ac:dyDescent="0.2">
      <c r="A128" s="76">
        <v>128</v>
      </c>
      <c r="B128" s="67" t="str">
        <f>MID(C128, FIND("Ifc.", C128) + 4, 4) &amp; "_" &amp; TEXT(COUNTIF($C$2:C128, C128),"0000")</f>
        <v>Prop_0127</v>
      </c>
      <c r="C128" s="24" t="s">
        <v>872</v>
      </c>
      <c r="D128" s="69" t="s">
        <v>9453</v>
      </c>
      <c r="E128" s="70" t="s">
        <v>9454</v>
      </c>
      <c r="F128" s="17" t="s">
        <v>806</v>
      </c>
      <c r="G128" s="22" t="s">
        <v>943</v>
      </c>
      <c r="H128" s="12" t="s">
        <v>9703</v>
      </c>
      <c r="I128" s="13" t="s">
        <v>7190</v>
      </c>
      <c r="J128" s="14" t="s">
        <v>798</v>
      </c>
      <c r="K128" s="15" t="s">
        <v>798</v>
      </c>
      <c r="L128" s="12" t="s">
        <v>5315</v>
      </c>
      <c r="M128" s="13" t="s">
        <v>5429</v>
      </c>
      <c r="N128" s="12" t="s">
        <v>803</v>
      </c>
      <c r="O128" s="13" t="s">
        <v>4816</v>
      </c>
      <c r="P128" s="17" t="s">
        <v>802</v>
      </c>
      <c r="Q128" s="21" t="s">
        <v>7684</v>
      </c>
      <c r="R128" s="17" t="s">
        <v>801</v>
      </c>
      <c r="S128" s="18" t="s">
        <v>2578</v>
      </c>
      <c r="T128" s="17" t="s">
        <v>800</v>
      </c>
      <c r="U128" s="18" t="s">
        <v>5244</v>
      </c>
      <c r="V128" s="17" t="s">
        <v>9418</v>
      </c>
      <c r="W128" s="18" t="s">
        <v>5309</v>
      </c>
      <c r="X128" s="69" t="s">
        <v>9453</v>
      </c>
      <c r="Y128" s="70" t="s">
        <v>9462</v>
      </c>
      <c r="Z128" s="73" t="s">
        <v>9486</v>
      </c>
      <c r="AA128" s="74" t="s">
        <v>9504</v>
      </c>
      <c r="AB128" s="73" t="s">
        <v>9486</v>
      </c>
      <c r="AC128" s="74" t="s">
        <v>9566</v>
      </c>
      <c r="AD128" s="73" t="s">
        <v>9578</v>
      </c>
      <c r="AE128" s="74" t="s">
        <v>9579</v>
      </c>
    </row>
    <row r="129" spans="1:31" ht="8.65" customHeight="1" x14ac:dyDescent="0.2">
      <c r="A129" s="76">
        <v>129</v>
      </c>
      <c r="B129" s="67" t="str">
        <f>MID(C129, FIND("Ifc.", C129) + 4, 4) &amp; "_" &amp; TEXT(COUNTIF($C$2:C129, C129),"0000")</f>
        <v>Prop_0128</v>
      </c>
      <c r="C129" s="24" t="s">
        <v>872</v>
      </c>
      <c r="D129" s="69" t="s">
        <v>9453</v>
      </c>
      <c r="E129" s="70" t="s">
        <v>9454</v>
      </c>
      <c r="F129" s="17" t="s">
        <v>806</v>
      </c>
      <c r="G129" s="22" t="s">
        <v>943</v>
      </c>
      <c r="H129" s="12" t="s">
        <v>9703</v>
      </c>
      <c r="I129" s="13" t="s">
        <v>7190</v>
      </c>
      <c r="J129" s="14" t="s">
        <v>798</v>
      </c>
      <c r="K129" s="15" t="s">
        <v>798</v>
      </c>
      <c r="L129" s="12" t="s">
        <v>5315</v>
      </c>
      <c r="M129" s="13" t="s">
        <v>5582</v>
      </c>
      <c r="N129" s="12" t="s">
        <v>803</v>
      </c>
      <c r="O129" s="13" t="s">
        <v>5229</v>
      </c>
      <c r="P129" s="17" t="s">
        <v>802</v>
      </c>
      <c r="Q129" s="21" t="s">
        <v>7685</v>
      </c>
      <c r="R129" s="17" t="s">
        <v>801</v>
      </c>
      <c r="S129" s="18" t="s">
        <v>2578</v>
      </c>
      <c r="T129" s="17" t="s">
        <v>800</v>
      </c>
      <c r="U129" s="18" t="s">
        <v>5244</v>
      </c>
      <c r="V129" s="17" t="s">
        <v>9418</v>
      </c>
      <c r="W129" s="18" t="s">
        <v>5309</v>
      </c>
      <c r="X129" s="69" t="s">
        <v>9453</v>
      </c>
      <c r="Y129" s="70" t="s">
        <v>9462</v>
      </c>
      <c r="Z129" s="73" t="s">
        <v>9486</v>
      </c>
      <c r="AA129" s="74" t="s">
        <v>9504</v>
      </c>
      <c r="AB129" s="73" t="s">
        <v>9486</v>
      </c>
      <c r="AC129" s="74" t="s">
        <v>9566</v>
      </c>
      <c r="AD129" s="73" t="s">
        <v>9578</v>
      </c>
      <c r="AE129" s="74" t="s">
        <v>9579</v>
      </c>
    </row>
    <row r="130" spans="1:31" ht="8.65" customHeight="1" x14ac:dyDescent="0.2">
      <c r="A130" s="76">
        <v>130</v>
      </c>
      <c r="B130" s="67" t="str">
        <f>MID(C130, FIND("Ifc.", C130) + 4, 4) &amp; "_" &amp; TEXT(COUNTIF($C$2:C130, C130),"0000")</f>
        <v>Prop_0129</v>
      </c>
      <c r="C130" s="24" t="s">
        <v>872</v>
      </c>
      <c r="D130" s="69" t="s">
        <v>9453</v>
      </c>
      <c r="E130" s="70" t="s">
        <v>9454</v>
      </c>
      <c r="F130" s="17" t="s">
        <v>806</v>
      </c>
      <c r="G130" s="22" t="s">
        <v>2034</v>
      </c>
      <c r="H130" s="12" t="s">
        <v>9703</v>
      </c>
      <c r="I130" s="13" t="s">
        <v>6616</v>
      </c>
      <c r="J130" s="14" t="s">
        <v>798</v>
      </c>
      <c r="K130" s="15" t="s">
        <v>798</v>
      </c>
      <c r="L130" s="12" t="s">
        <v>5315</v>
      </c>
      <c r="M130" s="13" t="s">
        <v>5481</v>
      </c>
      <c r="N130" s="12" t="s">
        <v>803</v>
      </c>
      <c r="O130" s="13" t="s">
        <v>5085</v>
      </c>
      <c r="P130" s="17" t="s">
        <v>802</v>
      </c>
      <c r="Q130" s="21" t="s">
        <v>7708</v>
      </c>
      <c r="R130" s="17" t="s">
        <v>801</v>
      </c>
      <c r="S130" s="18" t="s">
        <v>2584</v>
      </c>
      <c r="T130" s="17" t="s">
        <v>800</v>
      </c>
      <c r="U130" s="18" t="s">
        <v>5294</v>
      </c>
      <c r="V130" s="17" t="s">
        <v>9418</v>
      </c>
      <c r="W130" s="18" t="s">
        <v>5309</v>
      </c>
      <c r="X130" s="69" t="s">
        <v>9453</v>
      </c>
      <c r="Y130" s="70" t="s">
        <v>9462</v>
      </c>
      <c r="Z130" s="73" t="s">
        <v>9486</v>
      </c>
      <c r="AA130" s="74" t="s">
        <v>9504</v>
      </c>
      <c r="AB130" s="73" t="s">
        <v>9486</v>
      </c>
      <c r="AC130" s="74" t="s">
        <v>9566</v>
      </c>
      <c r="AD130" s="73" t="s">
        <v>9578</v>
      </c>
      <c r="AE130" s="74" t="s">
        <v>9579</v>
      </c>
    </row>
    <row r="131" spans="1:31" ht="8.65" customHeight="1" x14ac:dyDescent="0.2">
      <c r="A131" s="76">
        <v>131</v>
      </c>
      <c r="B131" s="67" t="str">
        <f>MID(C131, FIND("Ifc.", C131) + 4, 4) &amp; "_" &amp; TEXT(COUNTIF($C$2:C131, C131),"0000")</f>
        <v>Prop_0130</v>
      </c>
      <c r="C131" s="24" t="s">
        <v>872</v>
      </c>
      <c r="D131" s="69" t="s">
        <v>9453</v>
      </c>
      <c r="E131" s="70" t="s">
        <v>9454</v>
      </c>
      <c r="F131" s="17" t="s">
        <v>806</v>
      </c>
      <c r="G131" s="22" t="s">
        <v>2177</v>
      </c>
      <c r="H131" s="12" t="s">
        <v>9703</v>
      </c>
      <c r="I131" s="13" t="s">
        <v>7674</v>
      </c>
      <c r="J131" s="14" t="s">
        <v>798</v>
      </c>
      <c r="K131" s="15" t="s">
        <v>798</v>
      </c>
      <c r="L131" s="12" t="s">
        <v>5315</v>
      </c>
      <c r="M131" s="13" t="s">
        <v>5503</v>
      </c>
      <c r="N131" s="12" t="s">
        <v>803</v>
      </c>
      <c r="O131" s="13" t="s">
        <v>5116</v>
      </c>
      <c r="P131" s="17" t="s">
        <v>802</v>
      </c>
      <c r="Q131" s="21" t="s">
        <v>7763</v>
      </c>
      <c r="R131" s="17" t="s">
        <v>801</v>
      </c>
      <c r="S131" s="18" t="s">
        <v>2560</v>
      </c>
      <c r="T131" s="17" t="s">
        <v>800</v>
      </c>
      <c r="U131" s="18" t="s">
        <v>5236</v>
      </c>
      <c r="V131" s="17" t="s">
        <v>9418</v>
      </c>
      <c r="W131" s="18" t="s">
        <v>5309</v>
      </c>
      <c r="X131" s="69" t="s">
        <v>9453</v>
      </c>
      <c r="Y131" s="70" t="s">
        <v>9462</v>
      </c>
      <c r="Z131" s="73" t="s">
        <v>9486</v>
      </c>
      <c r="AA131" s="74" t="s">
        <v>9504</v>
      </c>
      <c r="AB131" s="73" t="s">
        <v>9486</v>
      </c>
      <c r="AC131" s="74" t="s">
        <v>9562</v>
      </c>
      <c r="AD131" s="73" t="s">
        <v>9578</v>
      </c>
      <c r="AE131" s="74" t="s">
        <v>9579</v>
      </c>
    </row>
    <row r="132" spans="1:31" ht="8.65" customHeight="1" x14ac:dyDescent="0.2">
      <c r="A132" s="76">
        <v>132</v>
      </c>
      <c r="B132" s="67" t="str">
        <f>MID(C132, FIND("Ifc.", C132) + 4, 4) &amp; "_" &amp; TEXT(COUNTIF($C$2:C132, C132),"0000")</f>
        <v>Prop_0131</v>
      </c>
      <c r="C132" s="24" t="s">
        <v>872</v>
      </c>
      <c r="D132" s="69" t="s">
        <v>9453</v>
      </c>
      <c r="E132" s="70" t="s">
        <v>9454</v>
      </c>
      <c r="F132" s="17" t="s">
        <v>806</v>
      </c>
      <c r="G132" s="22" t="s">
        <v>1831</v>
      </c>
      <c r="H132" s="12" t="s">
        <v>9703</v>
      </c>
      <c r="I132" s="13" t="s">
        <v>7191</v>
      </c>
      <c r="J132" s="14" t="s">
        <v>798</v>
      </c>
      <c r="K132" s="15" t="s">
        <v>798</v>
      </c>
      <c r="L132" s="12" t="s">
        <v>5315</v>
      </c>
      <c r="M132" s="13" t="s">
        <v>5945</v>
      </c>
      <c r="N132" s="12" t="s">
        <v>803</v>
      </c>
      <c r="O132" s="13" t="s">
        <v>5029</v>
      </c>
      <c r="P132" s="17" t="s">
        <v>802</v>
      </c>
      <c r="Q132" s="21" t="s">
        <v>7764</v>
      </c>
      <c r="R132" s="17" t="s">
        <v>801</v>
      </c>
      <c r="S132" s="18" t="s">
        <v>2554</v>
      </c>
      <c r="T132" s="17" t="s">
        <v>800</v>
      </c>
      <c r="U132" s="18" t="s">
        <v>5233</v>
      </c>
      <c r="V132" s="17" t="s">
        <v>9418</v>
      </c>
      <c r="W132" s="18" t="s">
        <v>5310</v>
      </c>
      <c r="X132" s="69" t="s">
        <v>9453</v>
      </c>
      <c r="Y132" s="70" t="s">
        <v>9463</v>
      </c>
      <c r="Z132" s="73" t="s">
        <v>9486</v>
      </c>
      <c r="AA132" s="74" t="s">
        <v>9504</v>
      </c>
      <c r="AB132" s="73" t="s">
        <v>9486</v>
      </c>
      <c r="AC132" s="74" t="s">
        <v>9562</v>
      </c>
      <c r="AD132" s="73" t="s">
        <v>9578</v>
      </c>
      <c r="AE132" s="74" t="s">
        <v>9579</v>
      </c>
    </row>
    <row r="133" spans="1:31" ht="8.65" customHeight="1" x14ac:dyDescent="0.2">
      <c r="A133" s="76">
        <v>133</v>
      </c>
      <c r="B133" s="67" t="str">
        <f>MID(C133, FIND("Ifc.", C133) + 4, 4) &amp; "_" &amp; TEXT(COUNTIF($C$2:C133, C133),"0000")</f>
        <v>Prop_0132</v>
      </c>
      <c r="C133" s="24" t="s">
        <v>872</v>
      </c>
      <c r="D133" s="69" t="s">
        <v>9453</v>
      </c>
      <c r="E133" s="70" t="s">
        <v>9454</v>
      </c>
      <c r="F133" s="17" t="s">
        <v>806</v>
      </c>
      <c r="G133" s="22" t="s">
        <v>1535</v>
      </c>
      <c r="H133" s="12" t="s">
        <v>9703</v>
      </c>
      <c r="I133" s="13" t="s">
        <v>7192</v>
      </c>
      <c r="J133" s="14" t="s">
        <v>798</v>
      </c>
      <c r="K133" s="15" t="s">
        <v>798</v>
      </c>
      <c r="L133" s="12" t="s">
        <v>5315</v>
      </c>
      <c r="M133" s="13" t="s">
        <v>5817</v>
      </c>
      <c r="N133" s="12" t="s">
        <v>803</v>
      </c>
      <c r="O133" s="13" t="s">
        <v>4956</v>
      </c>
      <c r="P133" s="17" t="s">
        <v>802</v>
      </c>
      <c r="Q133" s="21" t="s">
        <v>7758</v>
      </c>
      <c r="R133" s="17" t="s">
        <v>801</v>
      </c>
      <c r="S133" s="18" t="s">
        <v>2554</v>
      </c>
      <c r="T133" s="17" t="s">
        <v>800</v>
      </c>
      <c r="U133" s="18" t="s">
        <v>5233</v>
      </c>
      <c r="V133" s="17" t="s">
        <v>9418</v>
      </c>
      <c r="W133" s="18" t="s">
        <v>5310</v>
      </c>
      <c r="X133" s="69" t="s">
        <v>9453</v>
      </c>
      <c r="Y133" s="70" t="s">
        <v>9463</v>
      </c>
      <c r="Z133" s="73" t="s">
        <v>9486</v>
      </c>
      <c r="AA133" s="74" t="s">
        <v>9504</v>
      </c>
      <c r="AB133" s="73" t="s">
        <v>9486</v>
      </c>
      <c r="AC133" s="74" t="s">
        <v>9562</v>
      </c>
      <c r="AD133" s="73" t="s">
        <v>9578</v>
      </c>
      <c r="AE133" s="74" t="s">
        <v>9579</v>
      </c>
    </row>
    <row r="134" spans="1:31" ht="8.65" customHeight="1" x14ac:dyDescent="0.2">
      <c r="A134" s="76">
        <v>134</v>
      </c>
      <c r="B134" s="67" t="str">
        <f>MID(C134, FIND("Ifc.", C134) + 4, 4) &amp; "_" &amp; TEXT(COUNTIF($C$2:C134, C134),"0000")</f>
        <v>Prop_0133</v>
      </c>
      <c r="C134" s="24" t="s">
        <v>872</v>
      </c>
      <c r="D134" s="69" t="s">
        <v>9453</v>
      </c>
      <c r="E134" s="70" t="s">
        <v>9454</v>
      </c>
      <c r="F134" s="17" t="s">
        <v>806</v>
      </c>
      <c r="G134" s="22" t="s">
        <v>2195</v>
      </c>
      <c r="H134" s="12" t="s">
        <v>9703</v>
      </c>
      <c r="I134" s="13" t="s">
        <v>6672</v>
      </c>
      <c r="J134" s="14" t="s">
        <v>798</v>
      </c>
      <c r="K134" s="15" t="s">
        <v>798</v>
      </c>
      <c r="L134" s="12" t="s">
        <v>5315</v>
      </c>
      <c r="M134" s="13" t="s">
        <v>5505</v>
      </c>
      <c r="N134" s="12" t="s">
        <v>803</v>
      </c>
      <c r="O134" s="13" t="s">
        <v>5118</v>
      </c>
      <c r="P134" s="17" t="s">
        <v>802</v>
      </c>
      <c r="Q134" s="21" t="s">
        <v>7761</v>
      </c>
      <c r="R134" s="17" t="s">
        <v>801</v>
      </c>
      <c r="S134" s="18" t="s">
        <v>2554</v>
      </c>
      <c r="T134" s="17" t="s">
        <v>800</v>
      </c>
      <c r="U134" s="18" t="s">
        <v>5233</v>
      </c>
      <c r="V134" s="17" t="s">
        <v>9418</v>
      </c>
      <c r="W134" s="18" t="s">
        <v>5310</v>
      </c>
      <c r="X134" s="69" t="s">
        <v>9453</v>
      </c>
      <c r="Y134" s="70" t="s">
        <v>9463</v>
      </c>
      <c r="Z134" s="73" t="s">
        <v>9486</v>
      </c>
      <c r="AA134" s="74" t="s">
        <v>9504</v>
      </c>
      <c r="AB134" s="73" t="s">
        <v>9486</v>
      </c>
      <c r="AC134" s="74" t="s">
        <v>9562</v>
      </c>
      <c r="AD134" s="73" t="s">
        <v>9578</v>
      </c>
      <c r="AE134" s="74" t="s">
        <v>9579</v>
      </c>
    </row>
    <row r="135" spans="1:31" ht="8.65" customHeight="1" x14ac:dyDescent="0.2">
      <c r="A135" s="76">
        <v>135</v>
      </c>
      <c r="B135" s="67" t="str">
        <f>MID(C135, FIND("Ifc.", C135) + 4, 4) &amp; "_" &amp; TEXT(COUNTIF($C$2:C135, C135),"0000")</f>
        <v>Prop_0134</v>
      </c>
      <c r="C135" s="24" t="s">
        <v>872</v>
      </c>
      <c r="D135" s="69" t="s">
        <v>9453</v>
      </c>
      <c r="E135" s="70" t="s">
        <v>9454</v>
      </c>
      <c r="F135" s="17" t="s">
        <v>806</v>
      </c>
      <c r="G135" s="22" t="s">
        <v>2195</v>
      </c>
      <c r="H135" s="12" t="s">
        <v>9703</v>
      </c>
      <c r="I135" s="13" t="s">
        <v>6672</v>
      </c>
      <c r="J135" s="14" t="s">
        <v>798</v>
      </c>
      <c r="K135" s="15" t="s">
        <v>798</v>
      </c>
      <c r="L135" s="12" t="s">
        <v>5315</v>
      </c>
      <c r="M135" s="13" t="s">
        <v>5569</v>
      </c>
      <c r="N135" s="12" t="s">
        <v>803</v>
      </c>
      <c r="O135" s="13" t="s">
        <v>5202</v>
      </c>
      <c r="P135" s="17" t="s">
        <v>802</v>
      </c>
      <c r="Q135" s="21" t="s">
        <v>7765</v>
      </c>
      <c r="R135" s="17" t="s">
        <v>801</v>
      </c>
      <c r="S135" s="18" t="s">
        <v>2554</v>
      </c>
      <c r="T135" s="17" t="s">
        <v>800</v>
      </c>
      <c r="U135" s="18" t="s">
        <v>5233</v>
      </c>
      <c r="V135" s="17" t="s">
        <v>9418</v>
      </c>
      <c r="W135" s="18" t="s">
        <v>5310</v>
      </c>
      <c r="X135" s="69" t="s">
        <v>9453</v>
      </c>
      <c r="Y135" s="70" t="s">
        <v>9463</v>
      </c>
      <c r="Z135" s="73" t="s">
        <v>9486</v>
      </c>
      <c r="AA135" s="74" t="s">
        <v>9504</v>
      </c>
      <c r="AB135" s="73" t="s">
        <v>9486</v>
      </c>
      <c r="AC135" s="74" t="s">
        <v>9562</v>
      </c>
      <c r="AD135" s="73" t="s">
        <v>9578</v>
      </c>
      <c r="AE135" s="74" t="s">
        <v>9579</v>
      </c>
    </row>
    <row r="136" spans="1:31" ht="8.65" customHeight="1" x14ac:dyDescent="0.2">
      <c r="A136" s="76">
        <v>136</v>
      </c>
      <c r="B136" s="67" t="str">
        <f>MID(C136, FIND("Ifc.", C136) + 4, 4) &amp; "_" &amp; TEXT(COUNTIF($C$2:C136, C136),"0000")</f>
        <v>Prop_0135</v>
      </c>
      <c r="C136" s="24" t="s">
        <v>872</v>
      </c>
      <c r="D136" s="69" t="s">
        <v>9453</v>
      </c>
      <c r="E136" s="70" t="s">
        <v>9454</v>
      </c>
      <c r="F136" s="17" t="s">
        <v>806</v>
      </c>
      <c r="G136" s="22" t="s">
        <v>1125</v>
      </c>
      <c r="H136" s="12" t="s">
        <v>9703</v>
      </c>
      <c r="I136" s="13" t="s">
        <v>6170</v>
      </c>
      <c r="J136" s="14" t="s">
        <v>798</v>
      </c>
      <c r="K136" s="15" t="s">
        <v>798</v>
      </c>
      <c r="L136" s="12" t="s">
        <v>5315</v>
      </c>
      <c r="M136" s="13" t="s">
        <v>6038</v>
      </c>
      <c r="N136" s="12" t="s">
        <v>803</v>
      </c>
      <c r="O136" s="13" t="s">
        <v>4859</v>
      </c>
      <c r="P136" s="17" t="s">
        <v>802</v>
      </c>
      <c r="Q136" s="21" t="s">
        <v>7766</v>
      </c>
      <c r="R136" s="17" t="s">
        <v>801</v>
      </c>
      <c r="S136" s="18" t="s">
        <v>2554</v>
      </c>
      <c r="T136" s="17" t="s">
        <v>800</v>
      </c>
      <c r="U136" s="18" t="s">
        <v>5233</v>
      </c>
      <c r="V136" s="17" t="s">
        <v>9418</v>
      </c>
      <c r="W136" s="18" t="s">
        <v>5310</v>
      </c>
      <c r="X136" s="69" t="s">
        <v>9453</v>
      </c>
      <c r="Y136" s="70" t="s">
        <v>9463</v>
      </c>
      <c r="Z136" s="73" t="s">
        <v>9486</v>
      </c>
      <c r="AA136" s="74" t="s">
        <v>9504</v>
      </c>
      <c r="AB136" s="73" t="s">
        <v>9486</v>
      </c>
      <c r="AC136" s="74" t="s">
        <v>9562</v>
      </c>
      <c r="AD136" s="73" t="s">
        <v>9578</v>
      </c>
      <c r="AE136" s="74" t="s">
        <v>9579</v>
      </c>
    </row>
    <row r="137" spans="1:31" ht="8.65" customHeight="1" x14ac:dyDescent="0.2">
      <c r="A137" s="76">
        <v>137</v>
      </c>
      <c r="B137" s="67" t="str">
        <f>MID(C137, FIND("Ifc.", C137) + 4, 4) &amp; "_" &amp; TEXT(COUNTIF($C$2:C137, C137),"0000")</f>
        <v>Prop_0136</v>
      </c>
      <c r="C137" s="24" t="s">
        <v>872</v>
      </c>
      <c r="D137" s="69" t="s">
        <v>9453</v>
      </c>
      <c r="E137" s="70" t="s">
        <v>9454</v>
      </c>
      <c r="F137" s="17" t="s">
        <v>806</v>
      </c>
      <c r="G137" s="22" t="s">
        <v>1125</v>
      </c>
      <c r="H137" s="12" t="s">
        <v>9703</v>
      </c>
      <c r="I137" s="13" t="s">
        <v>6170</v>
      </c>
      <c r="J137" s="14" t="s">
        <v>798</v>
      </c>
      <c r="K137" s="15" t="s">
        <v>798</v>
      </c>
      <c r="L137" s="12" t="s">
        <v>5315</v>
      </c>
      <c r="M137" s="13" t="s">
        <v>5571</v>
      </c>
      <c r="N137" s="12" t="s">
        <v>803</v>
      </c>
      <c r="O137" s="13" t="s">
        <v>5204</v>
      </c>
      <c r="P137" s="17" t="s">
        <v>802</v>
      </c>
      <c r="Q137" s="21" t="s">
        <v>7767</v>
      </c>
      <c r="R137" s="17" t="s">
        <v>801</v>
      </c>
      <c r="S137" s="18" t="s">
        <v>2554</v>
      </c>
      <c r="T137" s="17" t="s">
        <v>800</v>
      </c>
      <c r="U137" s="18" t="s">
        <v>5233</v>
      </c>
      <c r="V137" s="17" t="s">
        <v>9418</v>
      </c>
      <c r="W137" s="18" t="s">
        <v>5310</v>
      </c>
      <c r="X137" s="69" t="s">
        <v>9453</v>
      </c>
      <c r="Y137" s="70" t="s">
        <v>9463</v>
      </c>
      <c r="Z137" s="73" t="s">
        <v>9486</v>
      </c>
      <c r="AA137" s="74" t="s">
        <v>9504</v>
      </c>
      <c r="AB137" s="73" t="s">
        <v>9486</v>
      </c>
      <c r="AC137" s="74" t="s">
        <v>9562</v>
      </c>
      <c r="AD137" s="73" t="s">
        <v>9578</v>
      </c>
      <c r="AE137" s="74" t="s">
        <v>9579</v>
      </c>
    </row>
    <row r="138" spans="1:31" ht="8.65" customHeight="1" x14ac:dyDescent="0.2">
      <c r="A138" s="76">
        <v>138</v>
      </c>
      <c r="B138" s="67" t="str">
        <f>MID(C138, FIND("Ifc.", C138) + 4, 4) &amp; "_" &amp; TEXT(COUNTIF($C$2:C138, C138),"0000")</f>
        <v>Prop_0137</v>
      </c>
      <c r="C138" s="24" t="s">
        <v>872</v>
      </c>
      <c r="D138" s="69" t="s">
        <v>9453</v>
      </c>
      <c r="E138" s="70" t="s">
        <v>9454</v>
      </c>
      <c r="F138" s="17" t="s">
        <v>806</v>
      </c>
      <c r="G138" s="22" t="s">
        <v>2318</v>
      </c>
      <c r="H138" s="12" t="s">
        <v>9703</v>
      </c>
      <c r="I138" s="13" t="s">
        <v>7611</v>
      </c>
      <c r="J138" s="14" t="s">
        <v>798</v>
      </c>
      <c r="K138" s="15" t="s">
        <v>798</v>
      </c>
      <c r="L138" s="12" t="s">
        <v>5315</v>
      </c>
      <c r="M138" s="13" t="s">
        <v>5557</v>
      </c>
      <c r="N138" s="12" t="s">
        <v>803</v>
      </c>
      <c r="O138" s="13" t="s">
        <v>5170</v>
      </c>
      <c r="P138" s="17" t="s">
        <v>802</v>
      </c>
      <c r="Q138" s="21" t="s">
        <v>7768</v>
      </c>
      <c r="R138" s="17" t="s">
        <v>801</v>
      </c>
      <c r="S138" s="18" t="s">
        <v>2554</v>
      </c>
      <c r="T138" s="17" t="s">
        <v>800</v>
      </c>
      <c r="U138" s="18" t="s">
        <v>5233</v>
      </c>
      <c r="V138" s="17" t="s">
        <v>9418</v>
      </c>
      <c r="W138" s="18" t="s">
        <v>5309</v>
      </c>
      <c r="X138" s="69" t="s">
        <v>9453</v>
      </c>
      <c r="Y138" s="70" t="s">
        <v>9462</v>
      </c>
      <c r="Z138" s="73" t="s">
        <v>9486</v>
      </c>
      <c r="AA138" s="74" t="s">
        <v>9504</v>
      </c>
      <c r="AB138" s="73" t="s">
        <v>9486</v>
      </c>
      <c r="AC138" s="74" t="s">
        <v>9562</v>
      </c>
      <c r="AD138" s="73" t="s">
        <v>9578</v>
      </c>
      <c r="AE138" s="74" t="s">
        <v>9579</v>
      </c>
    </row>
    <row r="139" spans="1:31" ht="8.65" customHeight="1" x14ac:dyDescent="0.2">
      <c r="A139" s="76">
        <v>139</v>
      </c>
      <c r="B139" s="67" t="str">
        <f>MID(C139, FIND("Ifc.", C139) + 4, 4) &amp; "_" &amp; TEXT(COUNTIF($C$2:C139, C139),"0000")</f>
        <v>Prop_0138</v>
      </c>
      <c r="C139" s="24" t="s">
        <v>872</v>
      </c>
      <c r="D139" s="69" t="s">
        <v>9453</v>
      </c>
      <c r="E139" s="70" t="s">
        <v>9454</v>
      </c>
      <c r="F139" s="17" t="s">
        <v>806</v>
      </c>
      <c r="G139" s="22" t="s">
        <v>2319</v>
      </c>
      <c r="H139" s="12" t="s">
        <v>9703</v>
      </c>
      <c r="I139" s="13" t="s">
        <v>7611</v>
      </c>
      <c r="J139" s="14" t="s">
        <v>798</v>
      </c>
      <c r="K139" s="15" t="s">
        <v>798</v>
      </c>
      <c r="L139" s="12" t="s">
        <v>5315</v>
      </c>
      <c r="M139" s="13" t="s">
        <v>5557</v>
      </c>
      <c r="N139" s="12" t="s">
        <v>803</v>
      </c>
      <c r="O139" s="13" t="s">
        <v>5170</v>
      </c>
      <c r="P139" s="17" t="s">
        <v>802</v>
      </c>
      <c r="Q139" s="21" t="s">
        <v>7768</v>
      </c>
      <c r="R139" s="17" t="s">
        <v>801</v>
      </c>
      <c r="S139" s="18" t="s">
        <v>2554</v>
      </c>
      <c r="T139" s="17" t="s">
        <v>800</v>
      </c>
      <c r="U139" s="18" t="s">
        <v>5233</v>
      </c>
      <c r="V139" s="17" t="s">
        <v>9418</v>
      </c>
      <c r="W139" s="18" t="s">
        <v>5309</v>
      </c>
      <c r="X139" s="69" t="s">
        <v>9453</v>
      </c>
      <c r="Y139" s="70" t="s">
        <v>9462</v>
      </c>
      <c r="Z139" s="73" t="s">
        <v>9486</v>
      </c>
      <c r="AA139" s="74" t="s">
        <v>9504</v>
      </c>
      <c r="AB139" s="73" t="s">
        <v>9486</v>
      </c>
      <c r="AC139" s="74" t="s">
        <v>9562</v>
      </c>
      <c r="AD139" s="73" t="s">
        <v>9578</v>
      </c>
      <c r="AE139" s="74" t="s">
        <v>9579</v>
      </c>
    </row>
    <row r="140" spans="1:31" ht="8.65" customHeight="1" x14ac:dyDescent="0.2">
      <c r="A140" s="76">
        <v>140</v>
      </c>
      <c r="B140" s="67" t="str">
        <f>MID(C140, FIND("Ifc.", C140) + 4, 4) &amp; "_" &amp; TEXT(COUNTIF($C$2:C140, C140),"0000")</f>
        <v>Prop_0139</v>
      </c>
      <c r="C140" s="24" t="s">
        <v>872</v>
      </c>
      <c r="D140" s="69" t="s">
        <v>9453</v>
      </c>
      <c r="E140" s="70" t="s">
        <v>9454</v>
      </c>
      <c r="F140" s="17" t="s">
        <v>806</v>
      </c>
      <c r="G140" s="22" t="s">
        <v>1310</v>
      </c>
      <c r="H140" s="12" t="s">
        <v>9703</v>
      </c>
      <c r="I140" s="13" t="s">
        <v>6267</v>
      </c>
      <c r="J140" s="14" t="s">
        <v>798</v>
      </c>
      <c r="K140" s="15" t="s">
        <v>798</v>
      </c>
      <c r="L140" s="12" t="s">
        <v>5315</v>
      </c>
      <c r="M140" s="13" t="s">
        <v>5409</v>
      </c>
      <c r="N140" s="12" t="s">
        <v>803</v>
      </c>
      <c r="O140" s="13" t="s">
        <v>4907</v>
      </c>
      <c r="P140" s="17" t="s">
        <v>802</v>
      </c>
      <c r="Q140" s="21" t="s">
        <v>7769</v>
      </c>
      <c r="R140" s="17" t="s">
        <v>801</v>
      </c>
      <c r="S140" s="18" t="s">
        <v>2554</v>
      </c>
      <c r="T140" s="17" t="s">
        <v>800</v>
      </c>
      <c r="U140" s="18" t="s">
        <v>5233</v>
      </c>
      <c r="V140" s="17" t="s">
        <v>9418</v>
      </c>
      <c r="W140" s="18" t="s">
        <v>5309</v>
      </c>
      <c r="X140" s="69" t="s">
        <v>9453</v>
      </c>
      <c r="Y140" s="70" t="s">
        <v>9462</v>
      </c>
      <c r="Z140" s="73" t="s">
        <v>9486</v>
      </c>
      <c r="AA140" s="74" t="s">
        <v>9504</v>
      </c>
      <c r="AB140" s="73" t="s">
        <v>9486</v>
      </c>
      <c r="AC140" s="74" t="s">
        <v>9562</v>
      </c>
      <c r="AD140" s="73" t="s">
        <v>9578</v>
      </c>
      <c r="AE140" s="74" t="s">
        <v>9579</v>
      </c>
    </row>
    <row r="141" spans="1:31" ht="8.65" customHeight="1" x14ac:dyDescent="0.2">
      <c r="A141" s="76">
        <v>141</v>
      </c>
      <c r="B141" s="67" t="str">
        <f>MID(C141, FIND("Ifc.", C141) + 4, 4) &amp; "_" &amp; TEXT(COUNTIF($C$2:C141, C141),"0000")</f>
        <v>Prop_0140</v>
      </c>
      <c r="C141" s="24" t="s">
        <v>872</v>
      </c>
      <c r="D141" s="69" t="s">
        <v>9453</v>
      </c>
      <c r="E141" s="70" t="s">
        <v>9454</v>
      </c>
      <c r="F141" s="17" t="s">
        <v>806</v>
      </c>
      <c r="G141" s="22" t="s">
        <v>2377</v>
      </c>
      <c r="H141" s="12" t="s">
        <v>9703</v>
      </c>
      <c r="I141" s="13" t="s">
        <v>6759</v>
      </c>
      <c r="J141" s="14" t="s">
        <v>798</v>
      </c>
      <c r="K141" s="15" t="s">
        <v>798</v>
      </c>
      <c r="L141" s="12" t="s">
        <v>5315</v>
      </c>
      <c r="M141" s="13" t="s">
        <v>5783</v>
      </c>
      <c r="N141" s="12" t="s">
        <v>803</v>
      </c>
      <c r="O141" s="13" t="s">
        <v>5181</v>
      </c>
      <c r="P141" s="17" t="s">
        <v>802</v>
      </c>
      <c r="Q141" s="21" t="s">
        <v>7751</v>
      </c>
      <c r="R141" s="17" t="s">
        <v>801</v>
      </c>
      <c r="S141" s="18" t="s">
        <v>2554</v>
      </c>
      <c r="T141" s="17" t="s">
        <v>800</v>
      </c>
      <c r="U141" s="18" t="s">
        <v>5233</v>
      </c>
      <c r="V141" s="17" t="s">
        <v>9418</v>
      </c>
      <c r="W141" s="18" t="s">
        <v>5310</v>
      </c>
      <c r="X141" s="69" t="s">
        <v>9453</v>
      </c>
      <c r="Y141" s="70" t="s">
        <v>9463</v>
      </c>
      <c r="Z141" s="73" t="s">
        <v>9486</v>
      </c>
      <c r="AA141" s="74" t="s">
        <v>9504</v>
      </c>
      <c r="AB141" s="73" t="s">
        <v>9486</v>
      </c>
      <c r="AC141" s="74" t="s">
        <v>9562</v>
      </c>
      <c r="AD141" s="73" t="s">
        <v>9578</v>
      </c>
      <c r="AE141" s="74" t="s">
        <v>9579</v>
      </c>
    </row>
    <row r="142" spans="1:31" ht="8.65" customHeight="1" x14ac:dyDescent="0.2">
      <c r="A142" s="76">
        <v>142</v>
      </c>
      <c r="B142" s="67" t="str">
        <f>MID(C142, FIND("Ifc.", C142) + 4, 4) &amp; "_" &amp; TEXT(COUNTIF($C$2:C142, C142),"0000")</f>
        <v>Prop_0141</v>
      </c>
      <c r="C142" s="24" t="s">
        <v>872</v>
      </c>
      <c r="D142" s="69" t="s">
        <v>9453</v>
      </c>
      <c r="E142" s="70" t="s">
        <v>9454</v>
      </c>
      <c r="F142" s="17" t="s">
        <v>806</v>
      </c>
      <c r="G142" s="22" t="s">
        <v>1925</v>
      </c>
      <c r="H142" s="12" t="s">
        <v>9703</v>
      </c>
      <c r="I142" s="13" t="s">
        <v>7367</v>
      </c>
      <c r="J142" s="14" t="s">
        <v>798</v>
      </c>
      <c r="K142" s="15" t="s">
        <v>798</v>
      </c>
      <c r="L142" s="12" t="s">
        <v>5315</v>
      </c>
      <c r="M142" s="13" t="s">
        <v>5965</v>
      </c>
      <c r="N142" s="12" t="s">
        <v>803</v>
      </c>
      <c r="O142" s="13" t="s">
        <v>5061</v>
      </c>
      <c r="P142" s="17" t="s">
        <v>802</v>
      </c>
      <c r="Q142" s="21" t="s">
        <v>7770</v>
      </c>
      <c r="R142" s="17" t="s">
        <v>801</v>
      </c>
      <c r="S142" s="18" t="s">
        <v>2632</v>
      </c>
      <c r="T142" s="17" t="s">
        <v>800</v>
      </c>
      <c r="U142" s="18" t="s">
        <v>5270</v>
      </c>
      <c r="V142" s="17" t="s">
        <v>9418</v>
      </c>
      <c r="W142" s="18" t="s">
        <v>5309</v>
      </c>
      <c r="X142" s="69" t="s">
        <v>9453</v>
      </c>
      <c r="Y142" s="70" t="s">
        <v>9462</v>
      </c>
      <c r="Z142" s="73" t="s">
        <v>9486</v>
      </c>
      <c r="AA142" s="74" t="s">
        <v>9504</v>
      </c>
      <c r="AB142" s="73" t="s">
        <v>9486</v>
      </c>
      <c r="AC142" s="74" t="s">
        <v>9561</v>
      </c>
      <c r="AD142" s="73" t="s">
        <v>9578</v>
      </c>
      <c r="AE142" s="74" t="s">
        <v>9579</v>
      </c>
    </row>
    <row r="143" spans="1:31" ht="8.65" customHeight="1" x14ac:dyDescent="0.2">
      <c r="A143" s="76">
        <v>143</v>
      </c>
      <c r="B143" s="67" t="str">
        <f>MID(C143, FIND("Ifc.", C143) + 4, 4) &amp; "_" &amp; TEXT(COUNTIF($C$2:C143, C143),"0000")</f>
        <v>Prop_0142</v>
      </c>
      <c r="C143" s="24" t="s">
        <v>872</v>
      </c>
      <c r="D143" s="69" t="s">
        <v>9453</v>
      </c>
      <c r="E143" s="70" t="s">
        <v>9454</v>
      </c>
      <c r="F143" s="17" t="s">
        <v>806</v>
      </c>
      <c r="G143" s="22" t="s">
        <v>1551</v>
      </c>
      <c r="H143" s="12" t="s">
        <v>9703</v>
      </c>
      <c r="I143" s="13" t="s">
        <v>6376</v>
      </c>
      <c r="J143" s="14" t="s">
        <v>798</v>
      </c>
      <c r="K143" s="15" t="s">
        <v>798</v>
      </c>
      <c r="L143" s="12" t="s">
        <v>5315</v>
      </c>
      <c r="M143" s="13" t="s">
        <v>5889</v>
      </c>
      <c r="N143" s="12" t="s">
        <v>803</v>
      </c>
      <c r="O143" s="13" t="s">
        <v>4958</v>
      </c>
      <c r="P143" s="17" t="s">
        <v>802</v>
      </c>
      <c r="Q143" s="21" t="s">
        <v>7771</v>
      </c>
      <c r="R143" s="17" t="s">
        <v>801</v>
      </c>
      <c r="S143" s="18" t="s">
        <v>3636</v>
      </c>
      <c r="T143" s="17" t="s">
        <v>800</v>
      </c>
      <c r="U143" s="18" t="s">
        <v>5257</v>
      </c>
      <c r="V143" s="17" t="s">
        <v>9418</v>
      </c>
      <c r="W143" s="18" t="s">
        <v>5314</v>
      </c>
      <c r="X143" s="69" t="s">
        <v>9453</v>
      </c>
      <c r="Y143" s="70" t="s">
        <v>9464</v>
      </c>
      <c r="Z143" s="73" t="s">
        <v>9486</v>
      </c>
      <c r="AA143" s="74" t="s">
        <v>9504</v>
      </c>
      <c r="AB143" s="73" t="s">
        <v>9486</v>
      </c>
      <c r="AC143" s="74" t="s">
        <v>9561</v>
      </c>
      <c r="AD143" s="73" t="s">
        <v>9578</v>
      </c>
      <c r="AE143" s="74" t="s">
        <v>9579</v>
      </c>
    </row>
    <row r="144" spans="1:31" ht="8.65" customHeight="1" x14ac:dyDescent="0.2">
      <c r="A144" s="76">
        <v>144</v>
      </c>
      <c r="B144" s="67" t="str">
        <f>MID(C144, FIND("Ifc.", C144) + 4, 4) &amp; "_" &amp; TEXT(COUNTIF($C$2:C144, C144),"0000")</f>
        <v>Prop_0143</v>
      </c>
      <c r="C144" s="24" t="s">
        <v>872</v>
      </c>
      <c r="D144" s="69" t="s">
        <v>9453</v>
      </c>
      <c r="E144" s="70" t="s">
        <v>9454</v>
      </c>
      <c r="F144" s="17" t="s">
        <v>806</v>
      </c>
      <c r="G144" s="22" t="s">
        <v>2085</v>
      </c>
      <c r="H144" s="12" t="s">
        <v>9703</v>
      </c>
      <c r="I144" s="13" t="s">
        <v>6630</v>
      </c>
      <c r="J144" s="14" t="s">
        <v>798</v>
      </c>
      <c r="K144" s="15" t="s">
        <v>798</v>
      </c>
      <c r="L144" s="12" t="s">
        <v>5315</v>
      </c>
      <c r="M144" s="13" t="s">
        <v>5487</v>
      </c>
      <c r="N144" s="12" t="s">
        <v>803</v>
      </c>
      <c r="O144" s="13" t="s">
        <v>5095</v>
      </c>
      <c r="P144" s="17" t="s">
        <v>802</v>
      </c>
      <c r="Q144" s="21" t="s">
        <v>7687</v>
      </c>
      <c r="R144" s="17" t="s">
        <v>801</v>
      </c>
      <c r="S144" s="18" t="s">
        <v>2560</v>
      </c>
      <c r="T144" s="17" t="s">
        <v>800</v>
      </c>
      <c r="U144" s="18" t="s">
        <v>5236</v>
      </c>
      <c r="V144" s="17" t="s">
        <v>9418</v>
      </c>
      <c r="W144" s="18" t="s">
        <v>5309</v>
      </c>
      <c r="X144" s="69" t="s">
        <v>9453</v>
      </c>
      <c r="Y144" s="70" t="s">
        <v>9462</v>
      </c>
      <c r="Z144" s="73" t="s">
        <v>9486</v>
      </c>
      <c r="AA144" s="74" t="s">
        <v>9504</v>
      </c>
      <c r="AB144" s="73" t="s">
        <v>9486</v>
      </c>
      <c r="AC144" s="74" t="s">
        <v>9562</v>
      </c>
      <c r="AD144" s="73" t="s">
        <v>9578</v>
      </c>
      <c r="AE144" s="74" t="s">
        <v>9579</v>
      </c>
    </row>
    <row r="145" spans="1:31" ht="8.65" customHeight="1" x14ac:dyDescent="0.2">
      <c r="A145" s="76">
        <v>145</v>
      </c>
      <c r="B145" s="67" t="str">
        <f>MID(C145, FIND("Ifc.", C145) + 4, 4) &amp; "_" &amp; TEXT(COUNTIF($C$2:C145, C145),"0000")</f>
        <v>Prop_0144</v>
      </c>
      <c r="C145" s="24" t="s">
        <v>872</v>
      </c>
      <c r="D145" s="69" t="s">
        <v>9453</v>
      </c>
      <c r="E145" s="70" t="s">
        <v>9454</v>
      </c>
      <c r="F145" s="17" t="s">
        <v>806</v>
      </c>
      <c r="G145" s="22" t="s">
        <v>2385</v>
      </c>
      <c r="H145" s="12" t="s">
        <v>9703</v>
      </c>
      <c r="I145" s="13" t="s">
        <v>6766</v>
      </c>
      <c r="J145" s="14" t="s">
        <v>798</v>
      </c>
      <c r="K145" s="15" t="s">
        <v>798</v>
      </c>
      <c r="L145" s="12" t="s">
        <v>5315</v>
      </c>
      <c r="M145" s="13" t="s">
        <v>5784</v>
      </c>
      <c r="N145" s="12" t="s">
        <v>803</v>
      </c>
      <c r="O145" s="13" t="s">
        <v>5182</v>
      </c>
      <c r="P145" s="17" t="s">
        <v>802</v>
      </c>
      <c r="Q145" s="21" t="s">
        <v>7772</v>
      </c>
      <c r="R145" s="17" t="s">
        <v>801</v>
      </c>
      <c r="S145" s="18" t="s">
        <v>2554</v>
      </c>
      <c r="T145" s="17" t="s">
        <v>800</v>
      </c>
      <c r="U145" s="18" t="s">
        <v>5233</v>
      </c>
      <c r="V145" s="17" t="s">
        <v>9418</v>
      </c>
      <c r="W145" s="18" t="s">
        <v>5309</v>
      </c>
      <c r="X145" s="69" t="s">
        <v>9453</v>
      </c>
      <c r="Y145" s="70" t="s">
        <v>9462</v>
      </c>
      <c r="Z145" s="73" t="s">
        <v>9486</v>
      </c>
      <c r="AA145" s="74" t="s">
        <v>9504</v>
      </c>
      <c r="AB145" s="73" t="s">
        <v>9486</v>
      </c>
      <c r="AC145" s="74" t="s">
        <v>9562</v>
      </c>
      <c r="AD145" s="73" t="s">
        <v>9578</v>
      </c>
      <c r="AE145" s="74" t="s">
        <v>9579</v>
      </c>
    </row>
    <row r="146" spans="1:31" ht="8.65" customHeight="1" x14ac:dyDescent="0.2">
      <c r="A146" s="76">
        <v>146</v>
      </c>
      <c r="B146" s="67" t="str">
        <f>MID(C146, FIND("Ifc.", C146) + 4, 4) &amp; "_" &amp; TEXT(COUNTIF($C$2:C146, C146),"0000")</f>
        <v>Prop_0145</v>
      </c>
      <c r="C146" s="24" t="s">
        <v>872</v>
      </c>
      <c r="D146" s="69" t="s">
        <v>9453</v>
      </c>
      <c r="E146" s="70" t="s">
        <v>9454</v>
      </c>
      <c r="F146" s="17" t="s">
        <v>806</v>
      </c>
      <c r="G146" s="22" t="s">
        <v>2201</v>
      </c>
      <c r="H146" s="12" t="s">
        <v>9703</v>
      </c>
      <c r="I146" s="13" t="s">
        <v>6942</v>
      </c>
      <c r="J146" s="14" t="s">
        <v>798</v>
      </c>
      <c r="K146" s="15" t="s">
        <v>798</v>
      </c>
      <c r="L146" s="12" t="s">
        <v>5315</v>
      </c>
      <c r="M146" s="13" t="s">
        <v>5507</v>
      </c>
      <c r="N146" s="12" t="s">
        <v>803</v>
      </c>
      <c r="O146" s="13" t="s">
        <v>5120</v>
      </c>
      <c r="P146" s="17" t="s">
        <v>802</v>
      </c>
      <c r="Q146" s="21" t="s">
        <v>7693</v>
      </c>
      <c r="R146" s="17" t="s">
        <v>801</v>
      </c>
      <c r="S146" s="18" t="s">
        <v>2554</v>
      </c>
      <c r="T146" s="17" t="s">
        <v>800</v>
      </c>
      <c r="U146" s="18" t="s">
        <v>5233</v>
      </c>
      <c r="V146" s="17" t="s">
        <v>9418</v>
      </c>
      <c r="W146" s="18" t="s">
        <v>5310</v>
      </c>
      <c r="X146" s="69" t="s">
        <v>9453</v>
      </c>
      <c r="Y146" s="70" t="s">
        <v>9463</v>
      </c>
      <c r="Z146" s="73" t="s">
        <v>9486</v>
      </c>
      <c r="AA146" s="74" t="s">
        <v>9504</v>
      </c>
      <c r="AB146" s="73" t="s">
        <v>9486</v>
      </c>
      <c r="AC146" s="74" t="s">
        <v>9562</v>
      </c>
      <c r="AD146" s="73" t="s">
        <v>9578</v>
      </c>
      <c r="AE146" s="74" t="s">
        <v>9579</v>
      </c>
    </row>
    <row r="147" spans="1:31" ht="8.65" customHeight="1" x14ac:dyDescent="0.2">
      <c r="A147" s="76">
        <v>147</v>
      </c>
      <c r="B147" s="67" t="str">
        <f>MID(C147, FIND("Ifc.", C147) + 4, 4) &amp; "_" &amp; TEXT(COUNTIF($C$2:C147, C147),"0000")</f>
        <v>Prop_0146</v>
      </c>
      <c r="C147" s="24" t="s">
        <v>872</v>
      </c>
      <c r="D147" s="69" t="s">
        <v>9453</v>
      </c>
      <c r="E147" s="70" t="s">
        <v>9454</v>
      </c>
      <c r="F147" s="17" t="s">
        <v>806</v>
      </c>
      <c r="G147" s="22" t="s">
        <v>1659</v>
      </c>
      <c r="H147" s="12" t="s">
        <v>9703</v>
      </c>
      <c r="I147" s="13" t="s">
        <v>6411</v>
      </c>
      <c r="J147" s="14" t="s">
        <v>798</v>
      </c>
      <c r="K147" s="15" t="s">
        <v>798</v>
      </c>
      <c r="L147" s="12" t="s">
        <v>5315</v>
      </c>
      <c r="M147" s="13" t="s">
        <v>5924</v>
      </c>
      <c r="N147" s="12" t="s">
        <v>803</v>
      </c>
      <c r="O147" s="13" t="s">
        <v>4984</v>
      </c>
      <c r="P147" s="17" t="s">
        <v>802</v>
      </c>
      <c r="Q147" s="21" t="s">
        <v>7729</v>
      </c>
      <c r="R147" s="17" t="s">
        <v>801</v>
      </c>
      <c r="S147" s="18" t="s">
        <v>3636</v>
      </c>
      <c r="T147" s="17" t="s">
        <v>800</v>
      </c>
      <c r="U147" s="18" t="s">
        <v>5257</v>
      </c>
      <c r="V147" s="17" t="s">
        <v>9418</v>
      </c>
      <c r="W147" s="18" t="s">
        <v>5314</v>
      </c>
      <c r="X147" s="69" t="s">
        <v>9453</v>
      </c>
      <c r="Y147" s="70" t="s">
        <v>9464</v>
      </c>
      <c r="Z147" s="73" t="s">
        <v>9486</v>
      </c>
      <c r="AA147" s="74" t="s">
        <v>9504</v>
      </c>
      <c r="AB147" s="73" t="s">
        <v>9486</v>
      </c>
      <c r="AC147" s="74" t="s">
        <v>9561</v>
      </c>
      <c r="AD147" s="73" t="s">
        <v>9578</v>
      </c>
      <c r="AE147" s="74" t="s">
        <v>9579</v>
      </c>
    </row>
    <row r="148" spans="1:31" ht="8.65" customHeight="1" x14ac:dyDescent="0.2">
      <c r="A148" s="76">
        <v>148</v>
      </c>
      <c r="B148" s="67" t="str">
        <f>MID(C148, FIND("Ifc.", C148) + 4, 4) &amp; "_" &amp; TEXT(COUNTIF($C$2:C148, C148),"0000")</f>
        <v>Prop_0147</v>
      </c>
      <c r="C148" s="24" t="s">
        <v>872</v>
      </c>
      <c r="D148" s="69" t="s">
        <v>9453</v>
      </c>
      <c r="E148" s="70" t="s">
        <v>9454</v>
      </c>
      <c r="F148" s="17" t="s">
        <v>806</v>
      </c>
      <c r="G148" s="22" t="s">
        <v>2234</v>
      </c>
      <c r="H148" s="12" t="s">
        <v>9703</v>
      </c>
      <c r="I148" s="13" t="s">
        <v>7525</v>
      </c>
      <c r="J148" s="14" t="s">
        <v>798</v>
      </c>
      <c r="K148" s="15" t="s">
        <v>798</v>
      </c>
      <c r="L148" s="12" t="s">
        <v>5315</v>
      </c>
      <c r="M148" s="13" t="s">
        <v>5514</v>
      </c>
      <c r="N148" s="12" t="s">
        <v>803</v>
      </c>
      <c r="O148" s="13" t="s">
        <v>5128</v>
      </c>
      <c r="P148" s="17" t="s">
        <v>802</v>
      </c>
      <c r="Q148" s="21" t="s">
        <v>7773</v>
      </c>
      <c r="R148" s="17" t="s">
        <v>801</v>
      </c>
      <c r="S148" s="18" t="s">
        <v>2554</v>
      </c>
      <c r="T148" s="17" t="s">
        <v>800</v>
      </c>
      <c r="U148" s="18" t="s">
        <v>5233</v>
      </c>
      <c r="V148" s="17" t="s">
        <v>9418</v>
      </c>
      <c r="W148" s="18" t="s">
        <v>5310</v>
      </c>
      <c r="X148" s="69" t="s">
        <v>9453</v>
      </c>
      <c r="Y148" s="70" t="s">
        <v>9463</v>
      </c>
      <c r="Z148" s="73" t="s">
        <v>9486</v>
      </c>
      <c r="AA148" s="74" t="s">
        <v>9504</v>
      </c>
      <c r="AB148" s="73" t="s">
        <v>9486</v>
      </c>
      <c r="AC148" s="74" t="s">
        <v>9562</v>
      </c>
      <c r="AD148" s="73" t="s">
        <v>9578</v>
      </c>
      <c r="AE148" s="74" t="s">
        <v>9579</v>
      </c>
    </row>
    <row r="149" spans="1:31" ht="8.65" customHeight="1" x14ac:dyDescent="0.2">
      <c r="A149" s="76">
        <v>149</v>
      </c>
      <c r="B149" s="67" t="str">
        <f>MID(C149, FIND("Ifc.", C149) + 4, 4) &amp; "_" &amp; TEXT(COUNTIF($C$2:C149, C149),"0000")</f>
        <v>Prop_0148</v>
      </c>
      <c r="C149" s="24" t="s">
        <v>872</v>
      </c>
      <c r="D149" s="69" t="s">
        <v>9453</v>
      </c>
      <c r="E149" s="70" t="s">
        <v>9454</v>
      </c>
      <c r="F149" s="17" t="s">
        <v>806</v>
      </c>
      <c r="G149" s="22" t="s">
        <v>2357</v>
      </c>
      <c r="H149" s="12" t="s">
        <v>9703</v>
      </c>
      <c r="I149" s="13" t="s">
        <v>7526</v>
      </c>
      <c r="J149" s="14" t="s">
        <v>798</v>
      </c>
      <c r="K149" s="15" t="s">
        <v>798</v>
      </c>
      <c r="L149" s="12" t="s">
        <v>5315</v>
      </c>
      <c r="M149" s="13" t="s">
        <v>5564</v>
      </c>
      <c r="N149" s="12" t="s">
        <v>803</v>
      </c>
      <c r="O149" s="13" t="s">
        <v>5179</v>
      </c>
      <c r="P149" s="17" t="s">
        <v>802</v>
      </c>
      <c r="Q149" s="21" t="s">
        <v>7774</v>
      </c>
      <c r="R149" s="17" t="s">
        <v>801</v>
      </c>
      <c r="S149" s="18" t="s">
        <v>2585</v>
      </c>
      <c r="T149" s="17" t="s">
        <v>800</v>
      </c>
      <c r="U149" s="18" t="s">
        <v>5238</v>
      </c>
      <c r="V149" s="17" t="s">
        <v>9418</v>
      </c>
      <c r="W149" s="18" t="s">
        <v>5309</v>
      </c>
      <c r="X149" s="69" t="s">
        <v>9453</v>
      </c>
      <c r="Y149" s="70" t="s">
        <v>9462</v>
      </c>
      <c r="Z149" s="73" t="s">
        <v>9486</v>
      </c>
      <c r="AA149" s="74" t="s">
        <v>9504</v>
      </c>
      <c r="AB149" s="73" t="s">
        <v>9486</v>
      </c>
      <c r="AC149" s="74" t="s">
        <v>9566</v>
      </c>
      <c r="AD149" s="73" t="s">
        <v>9578</v>
      </c>
      <c r="AE149" s="74" t="s">
        <v>9579</v>
      </c>
    </row>
    <row r="150" spans="1:31" ht="8.65" customHeight="1" x14ac:dyDescent="0.2">
      <c r="A150" s="76">
        <v>150</v>
      </c>
      <c r="B150" s="67" t="str">
        <f>MID(C150, FIND("Ifc.", C150) + 4, 4) &amp; "_" &amp; TEXT(COUNTIF($C$2:C150, C150),"0000")</f>
        <v>Prop_0149</v>
      </c>
      <c r="C150" s="24" t="s">
        <v>872</v>
      </c>
      <c r="D150" s="69" t="s">
        <v>9453</v>
      </c>
      <c r="E150" s="70" t="s">
        <v>9454</v>
      </c>
      <c r="F150" s="17" t="s">
        <v>806</v>
      </c>
      <c r="G150" s="22" t="s">
        <v>1697</v>
      </c>
      <c r="H150" s="12" t="s">
        <v>9703</v>
      </c>
      <c r="I150" s="63" t="s">
        <v>7626</v>
      </c>
      <c r="J150" s="14" t="s">
        <v>798</v>
      </c>
      <c r="K150" s="15" t="s">
        <v>798</v>
      </c>
      <c r="L150" s="12" t="s">
        <v>5315</v>
      </c>
      <c r="M150" s="13" t="s">
        <v>5901</v>
      </c>
      <c r="N150" s="12" t="s">
        <v>803</v>
      </c>
      <c r="O150" s="13" t="s">
        <v>4999</v>
      </c>
      <c r="P150" s="17" t="s">
        <v>802</v>
      </c>
      <c r="Q150" s="21" t="s">
        <v>7775</v>
      </c>
      <c r="R150" s="17" t="s">
        <v>801</v>
      </c>
      <c r="S150" s="18" t="s">
        <v>2585</v>
      </c>
      <c r="T150" s="17" t="s">
        <v>800</v>
      </c>
      <c r="U150" s="18" t="s">
        <v>5238</v>
      </c>
      <c r="V150" s="17" t="s">
        <v>9418</v>
      </c>
      <c r="W150" s="18" t="s">
        <v>5309</v>
      </c>
      <c r="X150" s="69" t="s">
        <v>9453</v>
      </c>
      <c r="Y150" s="70" t="s">
        <v>9462</v>
      </c>
      <c r="Z150" s="73" t="s">
        <v>9486</v>
      </c>
      <c r="AA150" s="74" t="s">
        <v>9504</v>
      </c>
      <c r="AB150" s="73" t="s">
        <v>9486</v>
      </c>
      <c r="AC150" s="74" t="s">
        <v>9566</v>
      </c>
      <c r="AD150" s="73" t="s">
        <v>9578</v>
      </c>
      <c r="AE150" s="74" t="s">
        <v>9704</v>
      </c>
    </row>
    <row r="151" spans="1:31" ht="8.65" customHeight="1" x14ac:dyDescent="0.2">
      <c r="A151" s="76">
        <v>151</v>
      </c>
      <c r="B151" s="67" t="str">
        <f>MID(C151, FIND("Ifc.", C151) + 4, 4) &amp; "_" &amp; TEXT(COUNTIF($C$2:C151, C151),"0000")</f>
        <v>Prop_0150</v>
      </c>
      <c r="C151" s="24" t="s">
        <v>872</v>
      </c>
      <c r="D151" s="69" t="s">
        <v>9453</v>
      </c>
      <c r="E151" s="70" t="s">
        <v>9454</v>
      </c>
      <c r="F151" s="17" t="s">
        <v>806</v>
      </c>
      <c r="G151" s="22" t="s">
        <v>1701</v>
      </c>
      <c r="H151" s="12" t="s">
        <v>9703</v>
      </c>
      <c r="I151" s="63" t="s">
        <v>7628</v>
      </c>
      <c r="J151" s="14" t="s">
        <v>798</v>
      </c>
      <c r="K151" s="15" t="s">
        <v>798</v>
      </c>
      <c r="L151" s="12" t="s">
        <v>5315</v>
      </c>
      <c r="M151" s="13" t="s">
        <v>5901</v>
      </c>
      <c r="N151" s="12" t="s">
        <v>803</v>
      </c>
      <c r="O151" s="13" t="s">
        <v>4999</v>
      </c>
      <c r="P151" s="17" t="s">
        <v>802</v>
      </c>
      <c r="Q151" s="21" t="s">
        <v>7775</v>
      </c>
      <c r="R151" s="17" t="s">
        <v>801</v>
      </c>
      <c r="S151" s="18" t="s">
        <v>2585</v>
      </c>
      <c r="T151" s="17" t="s">
        <v>800</v>
      </c>
      <c r="U151" s="18" t="s">
        <v>5238</v>
      </c>
      <c r="V151" s="17" t="s">
        <v>9418</v>
      </c>
      <c r="W151" s="18" t="s">
        <v>5309</v>
      </c>
      <c r="X151" s="69" t="s">
        <v>9453</v>
      </c>
      <c r="Y151" s="70" t="s">
        <v>9462</v>
      </c>
      <c r="Z151" s="73" t="s">
        <v>9486</v>
      </c>
      <c r="AA151" s="74" t="s">
        <v>9504</v>
      </c>
      <c r="AB151" s="73" t="s">
        <v>9486</v>
      </c>
      <c r="AC151" s="74" t="s">
        <v>9566</v>
      </c>
      <c r="AD151" s="73" t="s">
        <v>9578</v>
      </c>
      <c r="AE151" s="74" t="s">
        <v>9704</v>
      </c>
    </row>
    <row r="152" spans="1:31" ht="8.65" customHeight="1" x14ac:dyDescent="0.2">
      <c r="A152" s="76">
        <v>152</v>
      </c>
      <c r="B152" s="67" t="str">
        <f>MID(C152, FIND("Ifc.", C152) + 4, 4) &amp; "_" &amp; TEXT(COUNTIF($C$2:C152, C152),"0000")</f>
        <v>Prop_0151</v>
      </c>
      <c r="C152" s="24" t="s">
        <v>872</v>
      </c>
      <c r="D152" s="69" t="s">
        <v>9453</v>
      </c>
      <c r="E152" s="70" t="s">
        <v>9454</v>
      </c>
      <c r="F152" s="17" t="s">
        <v>806</v>
      </c>
      <c r="G152" s="22" t="s">
        <v>1699</v>
      </c>
      <c r="H152" s="12" t="s">
        <v>9703</v>
      </c>
      <c r="I152" s="63" t="s">
        <v>7627</v>
      </c>
      <c r="J152" s="14" t="s">
        <v>798</v>
      </c>
      <c r="K152" s="15" t="s">
        <v>798</v>
      </c>
      <c r="L152" s="12" t="s">
        <v>5315</v>
      </c>
      <c r="M152" s="13" t="s">
        <v>5901</v>
      </c>
      <c r="N152" s="12" t="s">
        <v>803</v>
      </c>
      <c r="O152" s="13" t="s">
        <v>4999</v>
      </c>
      <c r="P152" s="17" t="s">
        <v>802</v>
      </c>
      <c r="Q152" s="21" t="s">
        <v>7775</v>
      </c>
      <c r="R152" s="17" t="s">
        <v>801</v>
      </c>
      <c r="S152" s="18" t="s">
        <v>2585</v>
      </c>
      <c r="T152" s="17" t="s">
        <v>800</v>
      </c>
      <c r="U152" s="18" t="s">
        <v>5238</v>
      </c>
      <c r="V152" s="17" t="s">
        <v>9418</v>
      </c>
      <c r="W152" s="18" t="s">
        <v>5309</v>
      </c>
      <c r="X152" s="69" t="s">
        <v>9453</v>
      </c>
      <c r="Y152" s="70" t="s">
        <v>9462</v>
      </c>
      <c r="Z152" s="73" t="s">
        <v>9486</v>
      </c>
      <c r="AA152" s="74" t="s">
        <v>9504</v>
      </c>
      <c r="AB152" s="73" t="s">
        <v>9486</v>
      </c>
      <c r="AC152" s="74" t="s">
        <v>9566</v>
      </c>
      <c r="AD152" s="73" t="s">
        <v>9578</v>
      </c>
      <c r="AE152" s="74" t="s">
        <v>9704</v>
      </c>
    </row>
    <row r="153" spans="1:31" ht="8.65" customHeight="1" x14ac:dyDescent="0.2">
      <c r="A153" s="76">
        <v>153</v>
      </c>
      <c r="B153" s="67" t="str">
        <f>MID(C153, FIND("Ifc.", C153) + 4, 4) &amp; "_" &amp; TEXT(COUNTIF($C$2:C153, C153),"0000")</f>
        <v>Prop_0152</v>
      </c>
      <c r="C153" s="24" t="s">
        <v>872</v>
      </c>
      <c r="D153" s="69" t="s">
        <v>9453</v>
      </c>
      <c r="E153" s="70" t="s">
        <v>9454</v>
      </c>
      <c r="F153" s="17" t="s">
        <v>806</v>
      </c>
      <c r="G153" s="22" t="s">
        <v>1691</v>
      </c>
      <c r="H153" s="12" t="s">
        <v>9703</v>
      </c>
      <c r="I153" s="63" t="s">
        <v>7629</v>
      </c>
      <c r="J153" s="14" t="s">
        <v>798</v>
      </c>
      <c r="K153" s="15" t="s">
        <v>798</v>
      </c>
      <c r="L153" s="12" t="s">
        <v>5315</v>
      </c>
      <c r="M153" s="13" t="s">
        <v>5901</v>
      </c>
      <c r="N153" s="12" t="s">
        <v>803</v>
      </c>
      <c r="O153" s="13" t="s">
        <v>4999</v>
      </c>
      <c r="P153" s="17" t="s">
        <v>802</v>
      </c>
      <c r="Q153" s="21" t="s">
        <v>7775</v>
      </c>
      <c r="R153" s="17" t="s">
        <v>801</v>
      </c>
      <c r="S153" s="18" t="s">
        <v>2585</v>
      </c>
      <c r="T153" s="17" t="s">
        <v>800</v>
      </c>
      <c r="U153" s="18" t="s">
        <v>5238</v>
      </c>
      <c r="V153" s="17" t="s">
        <v>9418</v>
      </c>
      <c r="W153" s="18" t="s">
        <v>5309</v>
      </c>
      <c r="X153" s="69" t="s">
        <v>9453</v>
      </c>
      <c r="Y153" s="70" t="s">
        <v>9462</v>
      </c>
      <c r="Z153" s="73" t="s">
        <v>9486</v>
      </c>
      <c r="AA153" s="74" t="s">
        <v>9504</v>
      </c>
      <c r="AB153" s="73" t="s">
        <v>9486</v>
      </c>
      <c r="AC153" s="74" t="s">
        <v>9566</v>
      </c>
      <c r="AD153" s="73" t="s">
        <v>9578</v>
      </c>
      <c r="AE153" s="74" t="s">
        <v>9704</v>
      </c>
    </row>
    <row r="154" spans="1:31" ht="8.65" customHeight="1" x14ac:dyDescent="0.2">
      <c r="A154" s="76">
        <v>154</v>
      </c>
      <c r="B154" s="67" t="str">
        <f>MID(C154, FIND("Ifc.", C154) + 4, 4) &amp; "_" &amp; TEXT(COUNTIF($C$2:C154, C154),"0000")</f>
        <v>Prop_0153</v>
      </c>
      <c r="C154" s="24" t="s">
        <v>872</v>
      </c>
      <c r="D154" s="69" t="s">
        <v>9453</v>
      </c>
      <c r="E154" s="70" t="s">
        <v>9454</v>
      </c>
      <c r="F154" s="17" t="s">
        <v>806</v>
      </c>
      <c r="G154" s="22" t="s">
        <v>1695</v>
      </c>
      <c r="H154" s="12" t="s">
        <v>9703</v>
      </c>
      <c r="I154" s="63" t="s">
        <v>7630</v>
      </c>
      <c r="J154" s="14" t="s">
        <v>798</v>
      </c>
      <c r="K154" s="15" t="s">
        <v>798</v>
      </c>
      <c r="L154" s="12" t="s">
        <v>5315</v>
      </c>
      <c r="M154" s="13" t="s">
        <v>5901</v>
      </c>
      <c r="N154" s="12" t="s">
        <v>803</v>
      </c>
      <c r="O154" s="13" t="s">
        <v>4999</v>
      </c>
      <c r="P154" s="17" t="s">
        <v>802</v>
      </c>
      <c r="Q154" s="21" t="s">
        <v>7775</v>
      </c>
      <c r="R154" s="17" t="s">
        <v>801</v>
      </c>
      <c r="S154" s="18" t="s">
        <v>2585</v>
      </c>
      <c r="T154" s="17" t="s">
        <v>800</v>
      </c>
      <c r="U154" s="18" t="s">
        <v>5238</v>
      </c>
      <c r="V154" s="17" t="s">
        <v>9418</v>
      </c>
      <c r="W154" s="18" t="s">
        <v>5309</v>
      </c>
      <c r="X154" s="69" t="s">
        <v>9453</v>
      </c>
      <c r="Y154" s="70" t="s">
        <v>9462</v>
      </c>
      <c r="Z154" s="73" t="s">
        <v>9486</v>
      </c>
      <c r="AA154" s="74" t="s">
        <v>9504</v>
      </c>
      <c r="AB154" s="73" t="s">
        <v>9486</v>
      </c>
      <c r="AC154" s="74" t="s">
        <v>9566</v>
      </c>
      <c r="AD154" s="73" t="s">
        <v>9578</v>
      </c>
      <c r="AE154" s="74" t="s">
        <v>9704</v>
      </c>
    </row>
    <row r="155" spans="1:31" ht="8.65" customHeight="1" x14ac:dyDescent="0.2">
      <c r="A155" s="76">
        <v>155</v>
      </c>
      <c r="B155" s="67" t="str">
        <f>MID(C155, FIND("Ifc.", C155) + 4, 4) &amp; "_" &amp; TEXT(COUNTIF($C$2:C155, C155),"0000")</f>
        <v>Prop_0154</v>
      </c>
      <c r="C155" s="24" t="s">
        <v>872</v>
      </c>
      <c r="D155" s="69" t="s">
        <v>9453</v>
      </c>
      <c r="E155" s="70" t="s">
        <v>9454</v>
      </c>
      <c r="F155" s="17" t="s">
        <v>806</v>
      </c>
      <c r="G155" s="22" t="s">
        <v>1693</v>
      </c>
      <c r="H155" s="12" t="s">
        <v>9703</v>
      </c>
      <c r="I155" s="63" t="s">
        <v>7631</v>
      </c>
      <c r="J155" s="14" t="s">
        <v>798</v>
      </c>
      <c r="K155" s="15" t="s">
        <v>798</v>
      </c>
      <c r="L155" s="12" t="s">
        <v>5315</v>
      </c>
      <c r="M155" s="13" t="s">
        <v>5901</v>
      </c>
      <c r="N155" s="12" t="s">
        <v>803</v>
      </c>
      <c r="O155" s="13" t="s">
        <v>4999</v>
      </c>
      <c r="P155" s="17" t="s">
        <v>802</v>
      </c>
      <c r="Q155" s="21" t="s">
        <v>7775</v>
      </c>
      <c r="R155" s="17" t="s">
        <v>801</v>
      </c>
      <c r="S155" s="18" t="s">
        <v>2585</v>
      </c>
      <c r="T155" s="17" t="s">
        <v>800</v>
      </c>
      <c r="U155" s="18" t="s">
        <v>5238</v>
      </c>
      <c r="V155" s="17" t="s">
        <v>9418</v>
      </c>
      <c r="W155" s="18" t="s">
        <v>5309</v>
      </c>
      <c r="X155" s="69" t="s">
        <v>9453</v>
      </c>
      <c r="Y155" s="70" t="s">
        <v>9462</v>
      </c>
      <c r="Z155" s="73" t="s">
        <v>9486</v>
      </c>
      <c r="AA155" s="74" t="s">
        <v>9504</v>
      </c>
      <c r="AB155" s="73" t="s">
        <v>9486</v>
      </c>
      <c r="AC155" s="74" t="s">
        <v>9566</v>
      </c>
      <c r="AD155" s="73" t="s">
        <v>9578</v>
      </c>
      <c r="AE155" s="74" t="s">
        <v>9704</v>
      </c>
    </row>
    <row r="156" spans="1:31" ht="8.65" customHeight="1" x14ac:dyDescent="0.2">
      <c r="A156" s="76">
        <v>156</v>
      </c>
      <c r="B156" s="67" t="str">
        <f>MID(C156, FIND("Ifc.", C156) + 4, 4) &amp; "_" &amp; TEXT(COUNTIF($C$2:C156, C156),"0000")</f>
        <v>Prop_0155</v>
      </c>
      <c r="C156" s="24" t="s">
        <v>872</v>
      </c>
      <c r="D156" s="69" t="s">
        <v>9453</v>
      </c>
      <c r="E156" s="70" t="s">
        <v>9454</v>
      </c>
      <c r="F156" s="17" t="s">
        <v>806</v>
      </c>
      <c r="G156" s="22" t="s">
        <v>1698</v>
      </c>
      <c r="H156" s="12" t="s">
        <v>9703</v>
      </c>
      <c r="I156" s="63" t="s">
        <v>7632</v>
      </c>
      <c r="J156" s="14" t="s">
        <v>798</v>
      </c>
      <c r="K156" s="15" t="s">
        <v>798</v>
      </c>
      <c r="L156" s="12" t="s">
        <v>5315</v>
      </c>
      <c r="M156" s="13" t="s">
        <v>5901</v>
      </c>
      <c r="N156" s="12" t="s">
        <v>803</v>
      </c>
      <c r="O156" s="13" t="s">
        <v>4999</v>
      </c>
      <c r="P156" s="17" t="s">
        <v>802</v>
      </c>
      <c r="Q156" s="21" t="s">
        <v>7775</v>
      </c>
      <c r="R156" s="17" t="s">
        <v>801</v>
      </c>
      <c r="S156" s="18" t="s">
        <v>2585</v>
      </c>
      <c r="T156" s="17" t="s">
        <v>800</v>
      </c>
      <c r="U156" s="18" t="s">
        <v>5238</v>
      </c>
      <c r="V156" s="17" t="s">
        <v>9418</v>
      </c>
      <c r="W156" s="18" t="s">
        <v>5309</v>
      </c>
      <c r="X156" s="69" t="s">
        <v>9453</v>
      </c>
      <c r="Y156" s="70" t="s">
        <v>9462</v>
      </c>
      <c r="Z156" s="73" t="s">
        <v>9486</v>
      </c>
      <c r="AA156" s="74" t="s">
        <v>9504</v>
      </c>
      <c r="AB156" s="73" t="s">
        <v>9486</v>
      </c>
      <c r="AC156" s="74" t="s">
        <v>9566</v>
      </c>
      <c r="AD156" s="73" t="s">
        <v>9578</v>
      </c>
      <c r="AE156" s="74" t="s">
        <v>9704</v>
      </c>
    </row>
    <row r="157" spans="1:31" ht="8.65" customHeight="1" x14ac:dyDescent="0.2">
      <c r="A157" s="76">
        <v>157</v>
      </c>
      <c r="B157" s="67" t="str">
        <f>MID(C157, FIND("Ifc.", C157) + 4, 4) &amp; "_" &amp; TEXT(COUNTIF($C$2:C157, C157),"0000")</f>
        <v>Prop_0156</v>
      </c>
      <c r="C157" s="24" t="s">
        <v>872</v>
      </c>
      <c r="D157" s="69" t="s">
        <v>9453</v>
      </c>
      <c r="E157" s="70" t="s">
        <v>9454</v>
      </c>
      <c r="F157" s="17" t="s">
        <v>806</v>
      </c>
      <c r="G157" s="22" t="s">
        <v>1702</v>
      </c>
      <c r="H157" s="12" t="s">
        <v>9703</v>
      </c>
      <c r="I157" s="63" t="s">
        <v>7633</v>
      </c>
      <c r="J157" s="14" t="s">
        <v>798</v>
      </c>
      <c r="K157" s="15" t="s">
        <v>798</v>
      </c>
      <c r="L157" s="12" t="s">
        <v>5315</v>
      </c>
      <c r="M157" s="13" t="s">
        <v>5901</v>
      </c>
      <c r="N157" s="12" t="s">
        <v>803</v>
      </c>
      <c r="O157" s="13" t="s">
        <v>4999</v>
      </c>
      <c r="P157" s="17" t="s">
        <v>802</v>
      </c>
      <c r="Q157" s="21" t="s">
        <v>7775</v>
      </c>
      <c r="R157" s="17" t="s">
        <v>801</v>
      </c>
      <c r="S157" s="18" t="s">
        <v>2585</v>
      </c>
      <c r="T157" s="17" t="s">
        <v>800</v>
      </c>
      <c r="U157" s="18" t="s">
        <v>5238</v>
      </c>
      <c r="V157" s="17" t="s">
        <v>9418</v>
      </c>
      <c r="W157" s="18" t="s">
        <v>5309</v>
      </c>
      <c r="X157" s="69" t="s">
        <v>9453</v>
      </c>
      <c r="Y157" s="70" t="s">
        <v>9462</v>
      </c>
      <c r="Z157" s="73" t="s">
        <v>9486</v>
      </c>
      <c r="AA157" s="74" t="s">
        <v>9504</v>
      </c>
      <c r="AB157" s="73" t="s">
        <v>9486</v>
      </c>
      <c r="AC157" s="74" t="s">
        <v>9566</v>
      </c>
      <c r="AD157" s="73" t="s">
        <v>9578</v>
      </c>
      <c r="AE157" s="74" t="s">
        <v>9704</v>
      </c>
    </row>
    <row r="158" spans="1:31" ht="8.65" customHeight="1" x14ac:dyDescent="0.2">
      <c r="A158" s="76">
        <v>158</v>
      </c>
      <c r="B158" s="67" t="str">
        <f>MID(C158, FIND("Ifc.", C158) + 4, 4) &amp; "_" &amp; TEXT(COUNTIF($C$2:C158, C158),"0000")</f>
        <v>Prop_0157</v>
      </c>
      <c r="C158" s="24" t="s">
        <v>872</v>
      </c>
      <c r="D158" s="69" t="s">
        <v>9453</v>
      </c>
      <c r="E158" s="70" t="s">
        <v>9454</v>
      </c>
      <c r="F158" s="17" t="s">
        <v>806</v>
      </c>
      <c r="G158" s="22" t="s">
        <v>1700</v>
      </c>
      <c r="H158" s="12" t="s">
        <v>9703</v>
      </c>
      <c r="I158" s="63" t="s">
        <v>7634</v>
      </c>
      <c r="J158" s="14" t="s">
        <v>798</v>
      </c>
      <c r="K158" s="15" t="s">
        <v>798</v>
      </c>
      <c r="L158" s="12" t="s">
        <v>5315</v>
      </c>
      <c r="M158" s="13" t="s">
        <v>5901</v>
      </c>
      <c r="N158" s="12" t="s">
        <v>803</v>
      </c>
      <c r="O158" s="13" t="s">
        <v>4999</v>
      </c>
      <c r="P158" s="17" t="s">
        <v>802</v>
      </c>
      <c r="Q158" s="21" t="s">
        <v>7775</v>
      </c>
      <c r="R158" s="17" t="s">
        <v>801</v>
      </c>
      <c r="S158" s="18" t="s">
        <v>2585</v>
      </c>
      <c r="T158" s="17" t="s">
        <v>800</v>
      </c>
      <c r="U158" s="18" t="s">
        <v>5238</v>
      </c>
      <c r="V158" s="17" t="s">
        <v>9418</v>
      </c>
      <c r="W158" s="18" t="s">
        <v>5309</v>
      </c>
      <c r="X158" s="69" t="s">
        <v>9453</v>
      </c>
      <c r="Y158" s="70" t="s">
        <v>9462</v>
      </c>
      <c r="Z158" s="73" t="s">
        <v>9486</v>
      </c>
      <c r="AA158" s="74" t="s">
        <v>9504</v>
      </c>
      <c r="AB158" s="73" t="s">
        <v>9486</v>
      </c>
      <c r="AC158" s="74" t="s">
        <v>9566</v>
      </c>
      <c r="AD158" s="73" t="s">
        <v>9578</v>
      </c>
      <c r="AE158" s="74" t="s">
        <v>9704</v>
      </c>
    </row>
    <row r="159" spans="1:31" ht="8.65" customHeight="1" x14ac:dyDescent="0.2">
      <c r="A159" s="76">
        <v>159</v>
      </c>
      <c r="B159" s="67" t="str">
        <f>MID(C159, FIND("Ifc.", C159) + 4, 4) &amp; "_" &amp; TEXT(COUNTIF($C$2:C159, C159),"0000")</f>
        <v>Prop_0158</v>
      </c>
      <c r="C159" s="24" t="s">
        <v>872</v>
      </c>
      <c r="D159" s="69" t="s">
        <v>9453</v>
      </c>
      <c r="E159" s="70" t="s">
        <v>9454</v>
      </c>
      <c r="F159" s="17" t="s">
        <v>806</v>
      </c>
      <c r="G159" s="22" t="s">
        <v>1692</v>
      </c>
      <c r="H159" s="12" t="s">
        <v>9703</v>
      </c>
      <c r="I159" s="63" t="s">
        <v>7635</v>
      </c>
      <c r="J159" s="14" t="s">
        <v>798</v>
      </c>
      <c r="K159" s="15" t="s">
        <v>798</v>
      </c>
      <c r="L159" s="12" t="s">
        <v>5315</v>
      </c>
      <c r="M159" s="13" t="s">
        <v>5901</v>
      </c>
      <c r="N159" s="12" t="s">
        <v>803</v>
      </c>
      <c r="O159" s="13" t="s">
        <v>4999</v>
      </c>
      <c r="P159" s="17" t="s">
        <v>802</v>
      </c>
      <c r="Q159" s="21" t="s">
        <v>7775</v>
      </c>
      <c r="R159" s="17" t="s">
        <v>801</v>
      </c>
      <c r="S159" s="18" t="s">
        <v>2585</v>
      </c>
      <c r="T159" s="17" t="s">
        <v>800</v>
      </c>
      <c r="U159" s="18" t="s">
        <v>5238</v>
      </c>
      <c r="V159" s="17" t="s">
        <v>9418</v>
      </c>
      <c r="W159" s="18" t="s">
        <v>5309</v>
      </c>
      <c r="X159" s="69" t="s">
        <v>9453</v>
      </c>
      <c r="Y159" s="70" t="s">
        <v>9462</v>
      </c>
      <c r="Z159" s="73" t="s">
        <v>9486</v>
      </c>
      <c r="AA159" s="74" t="s">
        <v>9504</v>
      </c>
      <c r="AB159" s="73" t="s">
        <v>9486</v>
      </c>
      <c r="AC159" s="74" t="s">
        <v>9566</v>
      </c>
      <c r="AD159" s="73" t="s">
        <v>9578</v>
      </c>
      <c r="AE159" s="74" t="s">
        <v>9704</v>
      </c>
    </row>
    <row r="160" spans="1:31" ht="8.65" customHeight="1" x14ac:dyDescent="0.2">
      <c r="A160" s="76">
        <v>160</v>
      </c>
      <c r="B160" s="67" t="str">
        <f>MID(C160, FIND("Ifc.", C160) + 4, 4) &amp; "_" &amp; TEXT(COUNTIF($C$2:C160, C160),"0000")</f>
        <v>Prop_0159</v>
      </c>
      <c r="C160" s="24" t="s">
        <v>872</v>
      </c>
      <c r="D160" s="69" t="s">
        <v>9453</v>
      </c>
      <c r="E160" s="70" t="s">
        <v>9454</v>
      </c>
      <c r="F160" s="17" t="s">
        <v>806</v>
      </c>
      <c r="G160" s="22" t="s">
        <v>1696</v>
      </c>
      <c r="H160" s="12" t="s">
        <v>9703</v>
      </c>
      <c r="I160" s="63" t="s">
        <v>7636</v>
      </c>
      <c r="J160" s="14" t="s">
        <v>798</v>
      </c>
      <c r="K160" s="15" t="s">
        <v>798</v>
      </c>
      <c r="L160" s="12" t="s">
        <v>5315</v>
      </c>
      <c r="M160" s="13" t="s">
        <v>5901</v>
      </c>
      <c r="N160" s="12" t="s">
        <v>803</v>
      </c>
      <c r="O160" s="13" t="s">
        <v>4999</v>
      </c>
      <c r="P160" s="17" t="s">
        <v>802</v>
      </c>
      <c r="Q160" s="21" t="s">
        <v>7775</v>
      </c>
      <c r="R160" s="17" t="s">
        <v>801</v>
      </c>
      <c r="S160" s="18" t="s">
        <v>2585</v>
      </c>
      <c r="T160" s="17" t="s">
        <v>800</v>
      </c>
      <c r="U160" s="18" t="s">
        <v>5238</v>
      </c>
      <c r="V160" s="17" t="s">
        <v>9418</v>
      </c>
      <c r="W160" s="18" t="s">
        <v>5309</v>
      </c>
      <c r="X160" s="69" t="s">
        <v>9453</v>
      </c>
      <c r="Y160" s="70" t="s">
        <v>9462</v>
      </c>
      <c r="Z160" s="73" t="s">
        <v>9486</v>
      </c>
      <c r="AA160" s="74" t="s">
        <v>9504</v>
      </c>
      <c r="AB160" s="73" t="s">
        <v>9486</v>
      </c>
      <c r="AC160" s="74" t="s">
        <v>9566</v>
      </c>
      <c r="AD160" s="73" t="s">
        <v>9578</v>
      </c>
      <c r="AE160" s="74" t="s">
        <v>9704</v>
      </c>
    </row>
    <row r="161" spans="1:31" ht="8.65" customHeight="1" x14ac:dyDescent="0.2">
      <c r="A161" s="76">
        <v>161</v>
      </c>
      <c r="B161" s="67" t="str">
        <f>MID(C161, FIND("Ifc.", C161) + 4, 4) &amp; "_" &amp; TEXT(COUNTIF($C$2:C161, C161),"0000")</f>
        <v>Prop_0160</v>
      </c>
      <c r="C161" s="24" t="s">
        <v>872</v>
      </c>
      <c r="D161" s="69" t="s">
        <v>9453</v>
      </c>
      <c r="E161" s="70" t="s">
        <v>9454</v>
      </c>
      <c r="F161" s="17" t="s">
        <v>806</v>
      </c>
      <c r="G161" s="22" t="s">
        <v>1694</v>
      </c>
      <c r="H161" s="12" t="s">
        <v>9703</v>
      </c>
      <c r="I161" s="63" t="s">
        <v>7637</v>
      </c>
      <c r="J161" s="14" t="s">
        <v>798</v>
      </c>
      <c r="K161" s="15" t="s">
        <v>798</v>
      </c>
      <c r="L161" s="12" t="s">
        <v>5315</v>
      </c>
      <c r="M161" s="13" t="s">
        <v>5901</v>
      </c>
      <c r="N161" s="12" t="s">
        <v>803</v>
      </c>
      <c r="O161" s="13" t="s">
        <v>4999</v>
      </c>
      <c r="P161" s="17" t="s">
        <v>802</v>
      </c>
      <c r="Q161" s="21" t="s">
        <v>7775</v>
      </c>
      <c r="R161" s="17" t="s">
        <v>801</v>
      </c>
      <c r="S161" s="18" t="s">
        <v>2585</v>
      </c>
      <c r="T161" s="17" t="s">
        <v>800</v>
      </c>
      <c r="U161" s="18" t="s">
        <v>5238</v>
      </c>
      <c r="V161" s="17" t="s">
        <v>9418</v>
      </c>
      <c r="W161" s="18" t="s">
        <v>5309</v>
      </c>
      <c r="X161" s="69" t="s">
        <v>9453</v>
      </c>
      <c r="Y161" s="70" t="s">
        <v>9462</v>
      </c>
      <c r="Z161" s="73" t="s">
        <v>9486</v>
      </c>
      <c r="AA161" s="74" t="s">
        <v>9504</v>
      </c>
      <c r="AB161" s="73" t="s">
        <v>9486</v>
      </c>
      <c r="AC161" s="74" t="s">
        <v>9566</v>
      </c>
      <c r="AD161" s="73" t="s">
        <v>9578</v>
      </c>
      <c r="AE161" s="74" t="s">
        <v>9704</v>
      </c>
    </row>
    <row r="162" spans="1:31" ht="8.65" customHeight="1" x14ac:dyDescent="0.2">
      <c r="A162" s="76">
        <v>162</v>
      </c>
      <c r="B162" s="67" t="str">
        <f>MID(C162, FIND("Ifc.", C162) + 4, 4) &amp; "_" &amp; TEXT(COUNTIF($C$2:C162, C162),"0000")</f>
        <v>Prop_0161</v>
      </c>
      <c r="C162" s="24" t="s">
        <v>872</v>
      </c>
      <c r="D162" s="69" t="s">
        <v>9453</v>
      </c>
      <c r="E162" s="70" t="s">
        <v>9454</v>
      </c>
      <c r="F162" s="17" t="s">
        <v>806</v>
      </c>
      <c r="G162" s="22" t="s">
        <v>2151</v>
      </c>
      <c r="H162" s="12" t="s">
        <v>9703</v>
      </c>
      <c r="I162" s="13" t="s">
        <v>7638</v>
      </c>
      <c r="J162" s="14" t="s">
        <v>798</v>
      </c>
      <c r="K162" s="15" t="s">
        <v>798</v>
      </c>
      <c r="L162" s="12" t="s">
        <v>5315</v>
      </c>
      <c r="M162" s="13" t="s">
        <v>5498</v>
      </c>
      <c r="N162" s="12" t="s">
        <v>803</v>
      </c>
      <c r="O162" s="13" t="s">
        <v>5112</v>
      </c>
      <c r="P162" s="17" t="s">
        <v>802</v>
      </c>
      <c r="Q162" s="21" t="s">
        <v>7680</v>
      </c>
      <c r="R162" s="17" t="s">
        <v>801</v>
      </c>
      <c r="S162" s="18" t="s">
        <v>2585</v>
      </c>
      <c r="T162" s="17" t="s">
        <v>800</v>
      </c>
      <c r="U162" s="18" t="s">
        <v>5238</v>
      </c>
      <c r="V162" s="17" t="s">
        <v>9418</v>
      </c>
      <c r="W162" s="18" t="s">
        <v>5309</v>
      </c>
      <c r="X162" s="69" t="s">
        <v>9453</v>
      </c>
      <c r="Y162" s="70" t="s">
        <v>9462</v>
      </c>
      <c r="Z162" s="73" t="s">
        <v>9486</v>
      </c>
      <c r="AA162" s="74" t="s">
        <v>9504</v>
      </c>
      <c r="AB162" s="73" t="s">
        <v>9486</v>
      </c>
      <c r="AC162" s="74" t="s">
        <v>9566</v>
      </c>
      <c r="AD162" s="73" t="s">
        <v>9578</v>
      </c>
      <c r="AE162" s="74" t="s">
        <v>9704</v>
      </c>
    </row>
    <row r="163" spans="1:31" ht="8.65" customHeight="1" x14ac:dyDescent="0.2">
      <c r="A163" s="76">
        <v>163</v>
      </c>
      <c r="B163" s="67" t="str">
        <f>MID(C163, FIND("Ifc.", C163) + 4, 4) &amp; "_" &amp; TEXT(COUNTIF($C$2:C163, C163),"0000")</f>
        <v>Prop_0162</v>
      </c>
      <c r="C163" s="24" t="s">
        <v>872</v>
      </c>
      <c r="D163" s="69" t="s">
        <v>9453</v>
      </c>
      <c r="E163" s="70" t="s">
        <v>9454</v>
      </c>
      <c r="F163" s="17" t="s">
        <v>806</v>
      </c>
      <c r="G163" s="22" t="s">
        <v>2146</v>
      </c>
      <c r="H163" s="12" t="s">
        <v>9703</v>
      </c>
      <c r="I163" s="13" t="s">
        <v>7639</v>
      </c>
      <c r="J163" s="14" t="s">
        <v>798</v>
      </c>
      <c r="K163" s="15" t="s">
        <v>798</v>
      </c>
      <c r="L163" s="12" t="s">
        <v>5315</v>
      </c>
      <c r="M163" s="13" t="s">
        <v>5498</v>
      </c>
      <c r="N163" s="12" t="s">
        <v>803</v>
      </c>
      <c r="O163" s="13" t="s">
        <v>5112</v>
      </c>
      <c r="P163" s="17" t="s">
        <v>802</v>
      </c>
      <c r="Q163" s="21" t="s">
        <v>7680</v>
      </c>
      <c r="R163" s="17" t="s">
        <v>801</v>
      </c>
      <c r="S163" s="18" t="s">
        <v>2554</v>
      </c>
      <c r="T163" s="17" t="s">
        <v>800</v>
      </c>
      <c r="U163" s="18" t="s">
        <v>5233</v>
      </c>
      <c r="V163" s="17" t="s">
        <v>9418</v>
      </c>
      <c r="W163" s="18" t="s">
        <v>5310</v>
      </c>
      <c r="X163" s="69" t="s">
        <v>9453</v>
      </c>
      <c r="Y163" s="70" t="s">
        <v>9463</v>
      </c>
      <c r="Z163" s="73" t="s">
        <v>9486</v>
      </c>
      <c r="AA163" s="74" t="s">
        <v>9504</v>
      </c>
      <c r="AB163" s="73" t="s">
        <v>9486</v>
      </c>
      <c r="AC163" s="74" t="s">
        <v>9562</v>
      </c>
      <c r="AD163" s="73" t="s">
        <v>9578</v>
      </c>
      <c r="AE163" s="74" t="s">
        <v>9704</v>
      </c>
    </row>
    <row r="164" spans="1:31" ht="8.65" customHeight="1" x14ac:dyDescent="0.2">
      <c r="A164" s="76">
        <v>164</v>
      </c>
      <c r="B164" s="67" t="str">
        <f>MID(C164, FIND("Ifc.", C164) + 4, 4) &amp; "_" &amp; TEXT(COUNTIF($C$2:C164, C164),"0000")</f>
        <v>Prop_0163</v>
      </c>
      <c r="C164" s="24" t="s">
        <v>872</v>
      </c>
      <c r="D164" s="69" t="s">
        <v>9453</v>
      </c>
      <c r="E164" s="70" t="s">
        <v>9454</v>
      </c>
      <c r="F164" s="17" t="s">
        <v>806</v>
      </c>
      <c r="G164" s="22" t="s">
        <v>1786</v>
      </c>
      <c r="H164" s="12" t="s">
        <v>9703</v>
      </c>
      <c r="I164" s="13" t="s">
        <v>7282</v>
      </c>
      <c r="J164" s="14" t="s">
        <v>798</v>
      </c>
      <c r="K164" s="15" t="s">
        <v>798</v>
      </c>
      <c r="L164" s="12" t="s">
        <v>5315</v>
      </c>
      <c r="M164" s="13" t="s">
        <v>5454</v>
      </c>
      <c r="N164" s="12" t="s">
        <v>803</v>
      </c>
      <c r="O164" s="13" t="s">
        <v>5017</v>
      </c>
      <c r="P164" s="17" t="s">
        <v>802</v>
      </c>
      <c r="Q164" s="21" t="s">
        <v>7776</v>
      </c>
      <c r="R164" s="17" t="s">
        <v>801</v>
      </c>
      <c r="S164" s="18" t="s">
        <v>2560</v>
      </c>
      <c r="T164" s="17" t="s">
        <v>800</v>
      </c>
      <c r="U164" s="18" t="s">
        <v>5236</v>
      </c>
      <c r="V164" s="17" t="s">
        <v>9418</v>
      </c>
      <c r="W164" s="18" t="s">
        <v>5309</v>
      </c>
      <c r="X164" s="69" t="s">
        <v>9453</v>
      </c>
      <c r="Y164" s="70" t="s">
        <v>9462</v>
      </c>
      <c r="Z164" s="73" t="s">
        <v>9486</v>
      </c>
      <c r="AA164" s="74" t="s">
        <v>9504</v>
      </c>
      <c r="AB164" s="73" t="s">
        <v>9486</v>
      </c>
      <c r="AC164" s="74" t="s">
        <v>9562</v>
      </c>
      <c r="AD164" s="73" t="s">
        <v>9578</v>
      </c>
      <c r="AE164" s="74" t="s">
        <v>9579</v>
      </c>
    </row>
    <row r="165" spans="1:31" ht="8.65" customHeight="1" x14ac:dyDescent="0.2">
      <c r="A165" s="76">
        <v>165</v>
      </c>
      <c r="B165" s="67" t="str">
        <f>MID(C165, FIND("Ifc.", C165) + 4, 4) &amp; "_" &amp; TEXT(COUNTIF($C$2:C165, C165),"0000")</f>
        <v>Prop_0164</v>
      </c>
      <c r="C165" s="24" t="s">
        <v>872</v>
      </c>
      <c r="D165" s="69" t="s">
        <v>9453</v>
      </c>
      <c r="E165" s="70" t="s">
        <v>9454</v>
      </c>
      <c r="F165" s="17" t="s">
        <v>806</v>
      </c>
      <c r="G165" s="22" t="s">
        <v>1786</v>
      </c>
      <c r="H165" s="12" t="s">
        <v>9703</v>
      </c>
      <c r="I165" s="13" t="s">
        <v>7282</v>
      </c>
      <c r="J165" s="14" t="s">
        <v>798</v>
      </c>
      <c r="K165" s="15" t="s">
        <v>798</v>
      </c>
      <c r="L165" s="12" t="s">
        <v>5315</v>
      </c>
      <c r="M165" s="13" t="s">
        <v>5487</v>
      </c>
      <c r="N165" s="12" t="s">
        <v>803</v>
      </c>
      <c r="O165" s="13" t="s">
        <v>5095</v>
      </c>
      <c r="P165" s="17" t="s">
        <v>802</v>
      </c>
      <c r="Q165" s="21" t="s">
        <v>7687</v>
      </c>
      <c r="R165" s="17" t="s">
        <v>801</v>
      </c>
      <c r="S165" s="18" t="s">
        <v>2560</v>
      </c>
      <c r="T165" s="17" t="s">
        <v>800</v>
      </c>
      <c r="U165" s="18" t="s">
        <v>5236</v>
      </c>
      <c r="V165" s="17" t="s">
        <v>9418</v>
      </c>
      <c r="W165" s="18" t="s">
        <v>5309</v>
      </c>
      <c r="X165" s="69" t="s">
        <v>9453</v>
      </c>
      <c r="Y165" s="70" t="s">
        <v>9462</v>
      </c>
      <c r="Z165" s="73" t="s">
        <v>9486</v>
      </c>
      <c r="AA165" s="74" t="s">
        <v>9504</v>
      </c>
      <c r="AB165" s="73" t="s">
        <v>9486</v>
      </c>
      <c r="AC165" s="74" t="s">
        <v>9562</v>
      </c>
      <c r="AD165" s="73" t="s">
        <v>9578</v>
      </c>
      <c r="AE165" s="74" t="s">
        <v>9579</v>
      </c>
    </row>
    <row r="166" spans="1:31" ht="8.65" customHeight="1" x14ac:dyDescent="0.2">
      <c r="A166" s="76">
        <v>166</v>
      </c>
      <c r="B166" s="67" t="str">
        <f>MID(C166, FIND("Ifc.", C166) + 4, 4) &amp; "_" &amp; TEXT(COUNTIF($C$2:C166, C166),"0000")</f>
        <v>Prop_0165</v>
      </c>
      <c r="C166" s="24" t="s">
        <v>872</v>
      </c>
      <c r="D166" s="69" t="s">
        <v>9453</v>
      </c>
      <c r="E166" s="70" t="s">
        <v>9454</v>
      </c>
      <c r="F166" s="17" t="s">
        <v>806</v>
      </c>
      <c r="G166" s="22" t="s">
        <v>987</v>
      </c>
      <c r="H166" s="12" t="s">
        <v>9703</v>
      </c>
      <c r="I166" s="13" t="s">
        <v>6099</v>
      </c>
      <c r="J166" s="14" t="s">
        <v>798</v>
      </c>
      <c r="K166" s="15" t="s">
        <v>798</v>
      </c>
      <c r="L166" s="12" t="s">
        <v>5315</v>
      </c>
      <c r="M166" s="13" t="s">
        <v>5990</v>
      </c>
      <c r="N166" s="12" t="s">
        <v>803</v>
      </c>
      <c r="O166" s="13" t="s">
        <v>4827</v>
      </c>
      <c r="P166" s="17" t="s">
        <v>802</v>
      </c>
      <c r="Q166" s="21" t="s">
        <v>7704</v>
      </c>
      <c r="R166" s="17" t="s">
        <v>801</v>
      </c>
      <c r="S166" s="18" t="s">
        <v>2608</v>
      </c>
      <c r="T166" s="17" t="s">
        <v>800</v>
      </c>
      <c r="U166" s="18" t="s">
        <v>5252</v>
      </c>
      <c r="V166" s="17" t="s">
        <v>9418</v>
      </c>
      <c r="W166" s="18" t="s">
        <v>5309</v>
      </c>
      <c r="X166" s="69" t="s">
        <v>9453</v>
      </c>
      <c r="Y166" s="70" t="s">
        <v>9462</v>
      </c>
      <c r="Z166" s="73" t="s">
        <v>9486</v>
      </c>
      <c r="AA166" s="74" t="s">
        <v>9504</v>
      </c>
      <c r="AB166" s="73" t="s">
        <v>9486</v>
      </c>
      <c r="AC166" s="74" t="s">
        <v>9566</v>
      </c>
      <c r="AD166" s="73" t="s">
        <v>9578</v>
      </c>
      <c r="AE166" s="74" t="s">
        <v>9579</v>
      </c>
    </row>
    <row r="167" spans="1:31" ht="8.65" customHeight="1" x14ac:dyDescent="0.2">
      <c r="A167" s="76">
        <v>167</v>
      </c>
      <c r="B167" s="67" t="str">
        <f>MID(C167, FIND("Ifc.", C167) + 4, 4) &amp; "_" &amp; TEXT(COUNTIF($C$2:C167, C167),"0000")</f>
        <v>Prop_0166</v>
      </c>
      <c r="C167" s="24" t="s">
        <v>872</v>
      </c>
      <c r="D167" s="69" t="s">
        <v>9453</v>
      </c>
      <c r="E167" s="70" t="s">
        <v>9454</v>
      </c>
      <c r="F167" s="17" t="s">
        <v>806</v>
      </c>
      <c r="G167" s="22" t="s">
        <v>1235</v>
      </c>
      <c r="H167" s="12" t="s">
        <v>9703</v>
      </c>
      <c r="I167" s="13" t="s">
        <v>7392</v>
      </c>
      <c r="J167" s="14" t="s">
        <v>798</v>
      </c>
      <c r="K167" s="15" t="s">
        <v>798</v>
      </c>
      <c r="L167" s="12" t="s">
        <v>5315</v>
      </c>
      <c r="M167" s="13" t="s">
        <v>5400</v>
      </c>
      <c r="N167" s="12" t="s">
        <v>803</v>
      </c>
      <c r="O167" s="13" t="s">
        <v>4888</v>
      </c>
      <c r="P167" s="17" t="s">
        <v>802</v>
      </c>
      <c r="Q167" s="21" t="s">
        <v>7777</v>
      </c>
      <c r="R167" s="17" t="s">
        <v>801</v>
      </c>
      <c r="S167" s="18" t="s">
        <v>2631</v>
      </c>
      <c r="T167" s="17" t="s">
        <v>800</v>
      </c>
      <c r="U167" s="18" t="s">
        <v>5253</v>
      </c>
      <c r="V167" s="17" t="s">
        <v>9418</v>
      </c>
      <c r="W167" s="18" t="s">
        <v>5309</v>
      </c>
      <c r="X167" s="69" t="s">
        <v>9453</v>
      </c>
      <c r="Y167" s="70" t="s">
        <v>9462</v>
      </c>
      <c r="Z167" s="73" t="s">
        <v>9486</v>
      </c>
      <c r="AA167" s="74" t="s">
        <v>9504</v>
      </c>
      <c r="AB167" s="73" t="s">
        <v>9486</v>
      </c>
      <c r="AC167" s="74" t="s">
        <v>9566</v>
      </c>
      <c r="AD167" s="73" t="s">
        <v>9578</v>
      </c>
      <c r="AE167" s="74" t="s">
        <v>9579</v>
      </c>
    </row>
    <row r="168" spans="1:31" ht="8.65" customHeight="1" x14ac:dyDescent="0.2">
      <c r="A168" s="76">
        <v>168</v>
      </c>
      <c r="B168" s="67" t="str">
        <f>MID(C168, FIND("Ifc.", C168) + 4, 4) &amp; "_" &amp; TEXT(COUNTIF($C$2:C168, C168),"0000")</f>
        <v>Prop_0167</v>
      </c>
      <c r="C168" s="24" t="s">
        <v>872</v>
      </c>
      <c r="D168" s="69" t="s">
        <v>9453</v>
      </c>
      <c r="E168" s="70" t="s">
        <v>9454</v>
      </c>
      <c r="F168" s="17" t="s">
        <v>806</v>
      </c>
      <c r="G168" s="22" t="s">
        <v>1235</v>
      </c>
      <c r="H168" s="12" t="s">
        <v>9703</v>
      </c>
      <c r="I168" s="13" t="s">
        <v>7392</v>
      </c>
      <c r="J168" s="14" t="s">
        <v>798</v>
      </c>
      <c r="K168" s="15" t="s">
        <v>798</v>
      </c>
      <c r="L168" s="12" t="s">
        <v>5315</v>
      </c>
      <c r="M168" s="13" t="s">
        <v>5490</v>
      </c>
      <c r="N168" s="12" t="s">
        <v>803</v>
      </c>
      <c r="O168" s="13" t="s">
        <v>5099</v>
      </c>
      <c r="P168" s="17" t="s">
        <v>802</v>
      </c>
      <c r="Q168" s="21" t="s">
        <v>7778</v>
      </c>
      <c r="R168" s="17" t="s">
        <v>801</v>
      </c>
      <c r="S168" s="18" t="s">
        <v>2631</v>
      </c>
      <c r="T168" s="17" t="s">
        <v>800</v>
      </c>
      <c r="U168" s="18" t="s">
        <v>5253</v>
      </c>
      <c r="V168" s="17" t="s">
        <v>9418</v>
      </c>
      <c r="W168" s="18" t="s">
        <v>5309</v>
      </c>
      <c r="X168" s="69" t="s">
        <v>9453</v>
      </c>
      <c r="Y168" s="70" t="s">
        <v>9462</v>
      </c>
      <c r="Z168" s="73" t="s">
        <v>9486</v>
      </c>
      <c r="AA168" s="74" t="s">
        <v>9504</v>
      </c>
      <c r="AB168" s="73" t="s">
        <v>9486</v>
      </c>
      <c r="AC168" s="74" t="s">
        <v>9566</v>
      </c>
      <c r="AD168" s="73" t="s">
        <v>9578</v>
      </c>
      <c r="AE168" s="74" t="s">
        <v>9579</v>
      </c>
    </row>
    <row r="169" spans="1:31" ht="8.65" customHeight="1" x14ac:dyDescent="0.2">
      <c r="A169" s="76">
        <v>169</v>
      </c>
      <c r="B169" s="67" t="str">
        <f>MID(C169, FIND("Ifc.", C169) + 4, 4) &amp; "_" &amp; TEXT(COUNTIF($C$2:C169, C169),"0000")</f>
        <v>Prop_0168</v>
      </c>
      <c r="C169" s="24" t="s">
        <v>872</v>
      </c>
      <c r="D169" s="69" t="s">
        <v>9453</v>
      </c>
      <c r="E169" s="70" t="s">
        <v>9454</v>
      </c>
      <c r="F169" s="17" t="s">
        <v>806</v>
      </c>
      <c r="G169" s="22" t="s">
        <v>1233</v>
      </c>
      <c r="H169" s="12" t="s">
        <v>9703</v>
      </c>
      <c r="I169" s="13" t="s">
        <v>7393</v>
      </c>
      <c r="J169" s="14" t="s">
        <v>798</v>
      </c>
      <c r="K169" s="15" t="s">
        <v>798</v>
      </c>
      <c r="L169" s="12" t="s">
        <v>5315</v>
      </c>
      <c r="M169" s="13" t="s">
        <v>5400</v>
      </c>
      <c r="N169" s="12" t="s">
        <v>803</v>
      </c>
      <c r="O169" s="13" t="s">
        <v>4888</v>
      </c>
      <c r="P169" s="17" t="s">
        <v>802</v>
      </c>
      <c r="Q169" s="21" t="s">
        <v>7777</v>
      </c>
      <c r="R169" s="17" t="s">
        <v>801</v>
      </c>
      <c r="S169" s="18" t="s">
        <v>2631</v>
      </c>
      <c r="T169" s="17" t="s">
        <v>800</v>
      </c>
      <c r="U169" s="18" t="s">
        <v>5253</v>
      </c>
      <c r="V169" s="17" t="s">
        <v>9418</v>
      </c>
      <c r="W169" s="18" t="s">
        <v>5309</v>
      </c>
      <c r="X169" s="69" t="s">
        <v>9453</v>
      </c>
      <c r="Y169" s="70" t="s">
        <v>9462</v>
      </c>
      <c r="Z169" s="73" t="s">
        <v>9486</v>
      </c>
      <c r="AA169" s="74" t="s">
        <v>9504</v>
      </c>
      <c r="AB169" s="73" t="s">
        <v>9486</v>
      </c>
      <c r="AC169" s="74" t="s">
        <v>9566</v>
      </c>
      <c r="AD169" s="73" t="s">
        <v>9578</v>
      </c>
      <c r="AE169" s="74" t="s">
        <v>9579</v>
      </c>
    </row>
    <row r="170" spans="1:31" ht="8.65" customHeight="1" x14ac:dyDescent="0.2">
      <c r="A170" s="76">
        <v>170</v>
      </c>
      <c r="B170" s="67" t="str">
        <f>MID(C170, FIND("Ifc.", C170) + 4, 4) &amp; "_" &amp; TEXT(COUNTIF($C$2:C170, C170),"0000")</f>
        <v>Prop_0169</v>
      </c>
      <c r="C170" s="24" t="s">
        <v>872</v>
      </c>
      <c r="D170" s="69" t="s">
        <v>9453</v>
      </c>
      <c r="E170" s="70" t="s">
        <v>9454</v>
      </c>
      <c r="F170" s="17" t="s">
        <v>806</v>
      </c>
      <c r="G170" s="22" t="s">
        <v>1233</v>
      </c>
      <c r="H170" s="12" t="s">
        <v>9703</v>
      </c>
      <c r="I170" s="13" t="s">
        <v>7393</v>
      </c>
      <c r="J170" s="14" t="s">
        <v>798</v>
      </c>
      <c r="K170" s="15" t="s">
        <v>798</v>
      </c>
      <c r="L170" s="12" t="s">
        <v>5315</v>
      </c>
      <c r="M170" s="13" t="s">
        <v>5490</v>
      </c>
      <c r="N170" s="12" t="s">
        <v>803</v>
      </c>
      <c r="O170" s="13" t="s">
        <v>5099</v>
      </c>
      <c r="P170" s="17" t="s">
        <v>802</v>
      </c>
      <c r="Q170" s="21" t="s">
        <v>7778</v>
      </c>
      <c r="R170" s="17" t="s">
        <v>801</v>
      </c>
      <c r="S170" s="18" t="s">
        <v>2631</v>
      </c>
      <c r="T170" s="17" t="s">
        <v>800</v>
      </c>
      <c r="U170" s="18" t="s">
        <v>5253</v>
      </c>
      <c r="V170" s="17" t="s">
        <v>9418</v>
      </c>
      <c r="W170" s="18" t="s">
        <v>5309</v>
      </c>
      <c r="X170" s="69" t="s">
        <v>9453</v>
      </c>
      <c r="Y170" s="70" t="s">
        <v>9462</v>
      </c>
      <c r="Z170" s="73" t="s">
        <v>9486</v>
      </c>
      <c r="AA170" s="74" t="s">
        <v>9504</v>
      </c>
      <c r="AB170" s="73" t="s">
        <v>9486</v>
      </c>
      <c r="AC170" s="74" t="s">
        <v>9566</v>
      </c>
      <c r="AD170" s="73" t="s">
        <v>9578</v>
      </c>
      <c r="AE170" s="74" t="s">
        <v>9579</v>
      </c>
    </row>
    <row r="171" spans="1:31" ht="8.65" customHeight="1" x14ac:dyDescent="0.2">
      <c r="A171" s="76">
        <v>171</v>
      </c>
      <c r="B171" s="67" t="str">
        <f>MID(C171, FIND("Ifc.", C171) + 4, 4) &amp; "_" &amp; TEXT(COUNTIF($C$2:C171, C171),"0000")</f>
        <v>Prop_0170</v>
      </c>
      <c r="C171" s="24" t="s">
        <v>872</v>
      </c>
      <c r="D171" s="69" t="s">
        <v>9453</v>
      </c>
      <c r="E171" s="70" t="s">
        <v>9454</v>
      </c>
      <c r="F171" s="17" t="s">
        <v>806</v>
      </c>
      <c r="G171" s="22" t="s">
        <v>1236</v>
      </c>
      <c r="H171" s="12" t="s">
        <v>9703</v>
      </c>
      <c r="I171" s="13" t="s">
        <v>7390</v>
      </c>
      <c r="J171" s="14" t="s">
        <v>798</v>
      </c>
      <c r="K171" s="15" t="s">
        <v>798</v>
      </c>
      <c r="L171" s="12" t="s">
        <v>5315</v>
      </c>
      <c r="M171" s="13" t="s">
        <v>5400</v>
      </c>
      <c r="N171" s="12" t="s">
        <v>803</v>
      </c>
      <c r="O171" s="13" t="s">
        <v>4888</v>
      </c>
      <c r="P171" s="17" t="s">
        <v>802</v>
      </c>
      <c r="Q171" s="21" t="s">
        <v>7777</v>
      </c>
      <c r="R171" s="17" t="s">
        <v>801</v>
      </c>
      <c r="S171" s="18" t="s">
        <v>2631</v>
      </c>
      <c r="T171" s="17" t="s">
        <v>800</v>
      </c>
      <c r="U171" s="18" t="s">
        <v>5253</v>
      </c>
      <c r="V171" s="17" t="s">
        <v>9418</v>
      </c>
      <c r="W171" s="18" t="s">
        <v>5309</v>
      </c>
      <c r="X171" s="69" t="s">
        <v>9453</v>
      </c>
      <c r="Y171" s="70" t="s">
        <v>9462</v>
      </c>
      <c r="Z171" s="73" t="s">
        <v>9486</v>
      </c>
      <c r="AA171" s="74" t="s">
        <v>9504</v>
      </c>
      <c r="AB171" s="73" t="s">
        <v>9486</v>
      </c>
      <c r="AC171" s="74" t="s">
        <v>9566</v>
      </c>
      <c r="AD171" s="73" t="s">
        <v>9578</v>
      </c>
      <c r="AE171" s="74" t="s">
        <v>9579</v>
      </c>
    </row>
    <row r="172" spans="1:31" ht="8.65" customHeight="1" x14ac:dyDescent="0.2">
      <c r="A172" s="76">
        <v>172</v>
      </c>
      <c r="B172" s="67" t="str">
        <f>MID(C172, FIND("Ifc.", C172) + 4, 4) &amp; "_" &amp; TEXT(COUNTIF($C$2:C172, C172),"0000")</f>
        <v>Prop_0171</v>
      </c>
      <c r="C172" s="24" t="s">
        <v>872</v>
      </c>
      <c r="D172" s="69" t="s">
        <v>9453</v>
      </c>
      <c r="E172" s="70" t="s">
        <v>9454</v>
      </c>
      <c r="F172" s="17" t="s">
        <v>806</v>
      </c>
      <c r="G172" s="22" t="s">
        <v>1234</v>
      </c>
      <c r="H172" s="12" t="s">
        <v>9703</v>
      </c>
      <c r="I172" s="13" t="s">
        <v>7391</v>
      </c>
      <c r="J172" s="14" t="s">
        <v>798</v>
      </c>
      <c r="K172" s="15" t="s">
        <v>798</v>
      </c>
      <c r="L172" s="12" t="s">
        <v>5315</v>
      </c>
      <c r="M172" s="13" t="s">
        <v>5400</v>
      </c>
      <c r="N172" s="12" t="s">
        <v>803</v>
      </c>
      <c r="O172" s="13" t="s">
        <v>4888</v>
      </c>
      <c r="P172" s="17" t="s">
        <v>802</v>
      </c>
      <c r="Q172" s="21" t="s">
        <v>7777</v>
      </c>
      <c r="R172" s="17" t="s">
        <v>801</v>
      </c>
      <c r="S172" s="18" t="s">
        <v>2631</v>
      </c>
      <c r="T172" s="17" t="s">
        <v>800</v>
      </c>
      <c r="U172" s="18" t="s">
        <v>5253</v>
      </c>
      <c r="V172" s="17" t="s">
        <v>9418</v>
      </c>
      <c r="W172" s="18" t="s">
        <v>5309</v>
      </c>
      <c r="X172" s="69" t="s">
        <v>9453</v>
      </c>
      <c r="Y172" s="70" t="s">
        <v>9462</v>
      </c>
      <c r="Z172" s="73" t="s">
        <v>9486</v>
      </c>
      <c r="AA172" s="74" t="s">
        <v>9504</v>
      </c>
      <c r="AB172" s="73" t="s">
        <v>9486</v>
      </c>
      <c r="AC172" s="74" t="s">
        <v>9566</v>
      </c>
      <c r="AD172" s="73" t="s">
        <v>9578</v>
      </c>
      <c r="AE172" s="74" t="s">
        <v>9579</v>
      </c>
    </row>
    <row r="173" spans="1:31" ht="8.65" customHeight="1" x14ac:dyDescent="0.2">
      <c r="A173" s="76">
        <v>173</v>
      </c>
      <c r="B173" s="67" t="str">
        <f>MID(C173, FIND("Ifc.", C173) + 4, 4) &amp; "_" &amp; TEXT(COUNTIF($C$2:C173, C173),"0000")</f>
        <v>Prop_0172</v>
      </c>
      <c r="C173" s="24" t="s">
        <v>872</v>
      </c>
      <c r="D173" s="69" t="s">
        <v>9453</v>
      </c>
      <c r="E173" s="70" t="s">
        <v>9454</v>
      </c>
      <c r="F173" s="17" t="s">
        <v>806</v>
      </c>
      <c r="G173" s="22" t="s">
        <v>1039</v>
      </c>
      <c r="H173" s="12" t="s">
        <v>9703</v>
      </c>
      <c r="I173" s="13" t="s">
        <v>6132</v>
      </c>
      <c r="J173" s="14" t="s">
        <v>798</v>
      </c>
      <c r="K173" s="15" t="s">
        <v>798</v>
      </c>
      <c r="L173" s="12" t="s">
        <v>5315</v>
      </c>
      <c r="M173" s="13" t="s">
        <v>5386</v>
      </c>
      <c r="N173" s="12" t="s">
        <v>803</v>
      </c>
      <c r="O173" s="13" t="s">
        <v>4843</v>
      </c>
      <c r="P173" s="17" t="s">
        <v>802</v>
      </c>
      <c r="Q173" s="21" t="s">
        <v>7779</v>
      </c>
      <c r="R173" s="17" t="s">
        <v>801</v>
      </c>
      <c r="S173" s="18" t="s">
        <v>2621</v>
      </c>
      <c r="T173" s="17" t="s">
        <v>800</v>
      </c>
      <c r="U173" s="18" t="s">
        <v>5260</v>
      </c>
      <c r="V173" s="17" t="s">
        <v>9418</v>
      </c>
      <c r="W173" s="18" t="s">
        <v>5309</v>
      </c>
      <c r="X173" s="69" t="s">
        <v>9453</v>
      </c>
      <c r="Y173" s="70" t="s">
        <v>9462</v>
      </c>
      <c r="Z173" s="73" t="s">
        <v>9486</v>
      </c>
      <c r="AA173" s="74" t="s">
        <v>9504</v>
      </c>
      <c r="AB173" s="73" t="s">
        <v>9486</v>
      </c>
      <c r="AC173" s="74" t="s">
        <v>9566</v>
      </c>
      <c r="AD173" s="73" t="s">
        <v>9578</v>
      </c>
      <c r="AE173" s="74" t="s">
        <v>9579</v>
      </c>
    </row>
    <row r="174" spans="1:31" ht="8.65" customHeight="1" x14ac:dyDescent="0.2">
      <c r="A174" s="76">
        <v>174</v>
      </c>
      <c r="B174" s="67" t="str">
        <f>MID(C174, FIND("Ifc.", C174) + 4, 4) &amp; "_" &amp; TEXT(COUNTIF($C$2:C174, C174),"0000")</f>
        <v>Prop_0173</v>
      </c>
      <c r="C174" s="24" t="s">
        <v>872</v>
      </c>
      <c r="D174" s="69" t="s">
        <v>9453</v>
      </c>
      <c r="E174" s="70" t="s">
        <v>9454</v>
      </c>
      <c r="F174" s="17" t="s">
        <v>806</v>
      </c>
      <c r="G174" s="22" t="s">
        <v>7555</v>
      </c>
      <c r="H174" s="12" t="s">
        <v>9703</v>
      </c>
      <c r="I174" s="13" t="s">
        <v>7553</v>
      </c>
      <c r="J174" s="14" t="s">
        <v>798</v>
      </c>
      <c r="K174" s="15" t="s">
        <v>798</v>
      </c>
      <c r="L174" s="12" t="s">
        <v>5315</v>
      </c>
      <c r="M174" s="13" t="s">
        <v>5514</v>
      </c>
      <c r="N174" s="12" t="s">
        <v>803</v>
      </c>
      <c r="O174" s="13" t="s">
        <v>5128</v>
      </c>
      <c r="P174" s="17" t="s">
        <v>802</v>
      </c>
      <c r="Q174" s="21" t="s">
        <v>7773</v>
      </c>
      <c r="R174" s="17" t="s">
        <v>801</v>
      </c>
      <c r="S174" s="18" t="s">
        <v>2560</v>
      </c>
      <c r="T174" s="17" t="s">
        <v>800</v>
      </c>
      <c r="U174" s="18" t="s">
        <v>5236</v>
      </c>
      <c r="V174" s="17" t="s">
        <v>9418</v>
      </c>
      <c r="W174" s="18" t="s">
        <v>5309</v>
      </c>
      <c r="X174" s="69" t="s">
        <v>9453</v>
      </c>
      <c r="Y174" s="70" t="s">
        <v>9462</v>
      </c>
      <c r="Z174" s="73" t="s">
        <v>9486</v>
      </c>
      <c r="AA174" s="74" t="s">
        <v>9504</v>
      </c>
      <c r="AB174" s="73" t="s">
        <v>9486</v>
      </c>
      <c r="AC174" s="74" t="s">
        <v>9562</v>
      </c>
      <c r="AD174" s="73" t="s">
        <v>9578</v>
      </c>
      <c r="AE174" s="74" t="s">
        <v>9579</v>
      </c>
    </row>
    <row r="175" spans="1:31" ht="8.65" customHeight="1" x14ac:dyDescent="0.2">
      <c r="A175" s="76">
        <v>175</v>
      </c>
      <c r="B175" s="67" t="str">
        <f>MID(C175, FIND("Ifc.", C175) + 4, 4) &amp; "_" &amp; TEXT(COUNTIF($C$2:C175, C175),"0000")</f>
        <v>Prop_0174</v>
      </c>
      <c r="C175" s="24" t="s">
        <v>872</v>
      </c>
      <c r="D175" s="69" t="s">
        <v>9453</v>
      </c>
      <c r="E175" s="70" t="s">
        <v>9454</v>
      </c>
      <c r="F175" s="17" t="s">
        <v>806</v>
      </c>
      <c r="G175" s="22" t="s">
        <v>7555</v>
      </c>
      <c r="H175" s="12" t="s">
        <v>9703</v>
      </c>
      <c r="I175" s="13" t="s">
        <v>7553</v>
      </c>
      <c r="J175" s="14" t="s">
        <v>798</v>
      </c>
      <c r="K175" s="15" t="s">
        <v>798</v>
      </c>
      <c r="L175" s="12" t="s">
        <v>5315</v>
      </c>
      <c r="M175" s="13" t="s">
        <v>5509</v>
      </c>
      <c r="N175" s="12" t="s">
        <v>803</v>
      </c>
      <c r="O175" s="13" t="s">
        <v>5122</v>
      </c>
      <c r="P175" s="17" t="s">
        <v>802</v>
      </c>
      <c r="Q175" s="21" t="s">
        <v>7780</v>
      </c>
      <c r="R175" s="17" t="s">
        <v>801</v>
      </c>
      <c r="S175" s="18" t="s">
        <v>2560</v>
      </c>
      <c r="T175" s="17" t="s">
        <v>800</v>
      </c>
      <c r="U175" s="18" t="s">
        <v>5236</v>
      </c>
      <c r="V175" s="17" t="s">
        <v>9418</v>
      </c>
      <c r="W175" s="18" t="s">
        <v>5309</v>
      </c>
      <c r="X175" s="69" t="s">
        <v>9453</v>
      </c>
      <c r="Y175" s="70" t="s">
        <v>9462</v>
      </c>
      <c r="Z175" s="73" t="s">
        <v>9486</v>
      </c>
      <c r="AA175" s="74" t="s">
        <v>9504</v>
      </c>
      <c r="AB175" s="73" t="s">
        <v>9486</v>
      </c>
      <c r="AC175" s="74" t="s">
        <v>9562</v>
      </c>
      <c r="AD175" s="73" t="s">
        <v>9578</v>
      </c>
      <c r="AE175" s="74" t="s">
        <v>9579</v>
      </c>
    </row>
    <row r="176" spans="1:31" ht="8.65" customHeight="1" x14ac:dyDescent="0.2">
      <c r="A176" s="76">
        <v>176</v>
      </c>
      <c r="B176" s="67" t="str">
        <f>MID(C176, FIND("Ifc.", C176) + 4, 4) &amp; "_" &amp; TEXT(COUNTIF($C$2:C176, C176),"0000")</f>
        <v>Prop_0175</v>
      </c>
      <c r="C176" s="24" t="s">
        <v>872</v>
      </c>
      <c r="D176" s="69" t="s">
        <v>9453</v>
      </c>
      <c r="E176" s="70" t="s">
        <v>9454</v>
      </c>
      <c r="F176" s="17" t="s">
        <v>806</v>
      </c>
      <c r="G176" s="22" t="s">
        <v>7556</v>
      </c>
      <c r="H176" s="12" t="s">
        <v>9703</v>
      </c>
      <c r="I176" s="13" t="s">
        <v>7554</v>
      </c>
      <c r="J176" s="14" t="s">
        <v>798</v>
      </c>
      <c r="K176" s="15" t="s">
        <v>798</v>
      </c>
      <c r="L176" s="12" t="s">
        <v>5315</v>
      </c>
      <c r="M176" s="13" t="s">
        <v>5514</v>
      </c>
      <c r="N176" s="12" t="s">
        <v>803</v>
      </c>
      <c r="O176" s="13" t="s">
        <v>5128</v>
      </c>
      <c r="P176" s="17" t="s">
        <v>802</v>
      </c>
      <c r="Q176" s="21" t="s">
        <v>7773</v>
      </c>
      <c r="R176" s="17" t="s">
        <v>801</v>
      </c>
      <c r="S176" s="18" t="s">
        <v>2560</v>
      </c>
      <c r="T176" s="17" t="s">
        <v>800</v>
      </c>
      <c r="U176" s="18" t="s">
        <v>5236</v>
      </c>
      <c r="V176" s="17" t="s">
        <v>9418</v>
      </c>
      <c r="W176" s="18" t="s">
        <v>5309</v>
      </c>
      <c r="X176" s="69" t="s">
        <v>9453</v>
      </c>
      <c r="Y176" s="70" t="s">
        <v>9462</v>
      </c>
      <c r="Z176" s="73" t="s">
        <v>9486</v>
      </c>
      <c r="AA176" s="74" t="s">
        <v>9504</v>
      </c>
      <c r="AB176" s="73" t="s">
        <v>9486</v>
      </c>
      <c r="AC176" s="74" t="s">
        <v>9562</v>
      </c>
      <c r="AD176" s="73" t="s">
        <v>9578</v>
      </c>
      <c r="AE176" s="74" t="s">
        <v>9579</v>
      </c>
    </row>
    <row r="177" spans="1:31" ht="8.65" customHeight="1" x14ac:dyDescent="0.2">
      <c r="A177" s="76">
        <v>177</v>
      </c>
      <c r="B177" s="67" t="str">
        <f>MID(C177, FIND("Ifc.", C177) + 4, 4) &amp; "_" &amp; TEXT(COUNTIF($C$2:C177, C177),"0000")</f>
        <v>Prop_0176</v>
      </c>
      <c r="C177" s="24" t="s">
        <v>872</v>
      </c>
      <c r="D177" s="69" t="s">
        <v>9453</v>
      </c>
      <c r="E177" s="70" t="s">
        <v>9454</v>
      </c>
      <c r="F177" s="17" t="s">
        <v>806</v>
      </c>
      <c r="G177" s="22" t="s">
        <v>7556</v>
      </c>
      <c r="H177" s="12" t="s">
        <v>9703</v>
      </c>
      <c r="I177" s="13" t="s">
        <v>7554</v>
      </c>
      <c r="J177" s="14" t="s">
        <v>798</v>
      </c>
      <c r="K177" s="15" t="s">
        <v>798</v>
      </c>
      <c r="L177" s="12" t="s">
        <v>5315</v>
      </c>
      <c r="M177" s="13" t="s">
        <v>5509</v>
      </c>
      <c r="N177" s="12" t="s">
        <v>803</v>
      </c>
      <c r="O177" s="13" t="s">
        <v>5122</v>
      </c>
      <c r="P177" s="17" t="s">
        <v>802</v>
      </c>
      <c r="Q177" s="21" t="s">
        <v>7780</v>
      </c>
      <c r="R177" s="17" t="s">
        <v>801</v>
      </c>
      <c r="S177" s="18" t="s">
        <v>2560</v>
      </c>
      <c r="T177" s="17" t="s">
        <v>800</v>
      </c>
      <c r="U177" s="18" t="s">
        <v>5236</v>
      </c>
      <c r="V177" s="17" t="s">
        <v>9418</v>
      </c>
      <c r="W177" s="18" t="s">
        <v>5309</v>
      </c>
      <c r="X177" s="69" t="s">
        <v>9453</v>
      </c>
      <c r="Y177" s="70" t="s">
        <v>9462</v>
      </c>
      <c r="Z177" s="73" t="s">
        <v>9486</v>
      </c>
      <c r="AA177" s="74" t="s">
        <v>9504</v>
      </c>
      <c r="AB177" s="73" t="s">
        <v>9486</v>
      </c>
      <c r="AC177" s="74" t="s">
        <v>9562</v>
      </c>
      <c r="AD177" s="73" t="s">
        <v>9578</v>
      </c>
      <c r="AE177" s="74" t="s">
        <v>9579</v>
      </c>
    </row>
    <row r="178" spans="1:31" ht="8.65" customHeight="1" x14ac:dyDescent="0.2">
      <c r="A178" s="76">
        <v>178</v>
      </c>
      <c r="B178" s="67" t="str">
        <f>MID(C178, FIND("Ifc.", C178) + 4, 4) &amp; "_" &amp; TEXT(COUNTIF($C$2:C178, C178),"0000")</f>
        <v>Prop_0177</v>
      </c>
      <c r="C178" s="24" t="s">
        <v>872</v>
      </c>
      <c r="D178" s="69" t="s">
        <v>9453</v>
      </c>
      <c r="E178" s="70" t="s">
        <v>9454</v>
      </c>
      <c r="F178" s="17" t="s">
        <v>806</v>
      </c>
      <c r="G178" s="22" t="s">
        <v>1082</v>
      </c>
      <c r="H178" s="12" t="s">
        <v>9703</v>
      </c>
      <c r="I178" s="13" t="s">
        <v>7142</v>
      </c>
      <c r="J178" s="14" t="s">
        <v>798</v>
      </c>
      <c r="K178" s="15" t="s">
        <v>798</v>
      </c>
      <c r="L178" s="12" t="s">
        <v>5315</v>
      </c>
      <c r="M178" s="13" t="s">
        <v>6035</v>
      </c>
      <c r="N178" s="12" t="s">
        <v>803</v>
      </c>
      <c r="O178" s="13" t="s">
        <v>4850</v>
      </c>
      <c r="P178" s="17" t="s">
        <v>802</v>
      </c>
      <c r="Q178" s="21" t="s">
        <v>7781</v>
      </c>
      <c r="R178" s="17" t="s">
        <v>801</v>
      </c>
      <c r="S178" s="18" t="s">
        <v>2631</v>
      </c>
      <c r="T178" s="17" t="s">
        <v>800</v>
      </c>
      <c r="U178" s="18" t="s">
        <v>5253</v>
      </c>
      <c r="V178" s="17" t="s">
        <v>9418</v>
      </c>
      <c r="W178" s="18" t="s">
        <v>5311</v>
      </c>
      <c r="X178" s="69" t="s">
        <v>9453</v>
      </c>
      <c r="Y178" s="70" t="s">
        <v>9466</v>
      </c>
      <c r="Z178" s="73" t="s">
        <v>9486</v>
      </c>
      <c r="AA178" s="74" t="s">
        <v>9504</v>
      </c>
      <c r="AB178" s="73" t="s">
        <v>9486</v>
      </c>
      <c r="AC178" s="74" t="s">
        <v>9566</v>
      </c>
      <c r="AD178" s="73" t="s">
        <v>9578</v>
      </c>
      <c r="AE178" s="74" t="s">
        <v>9579</v>
      </c>
    </row>
    <row r="179" spans="1:31" ht="8.65" customHeight="1" x14ac:dyDescent="0.2">
      <c r="A179" s="76">
        <v>179</v>
      </c>
      <c r="B179" s="67" t="str">
        <f>MID(C179, FIND("Ifc.", C179) + 4, 4) &amp; "_" &amp; TEXT(COUNTIF($C$2:C179, C179),"0000")</f>
        <v>Prop_0178</v>
      </c>
      <c r="C179" s="24" t="s">
        <v>872</v>
      </c>
      <c r="D179" s="69" t="s">
        <v>9453</v>
      </c>
      <c r="E179" s="70" t="s">
        <v>9454</v>
      </c>
      <c r="F179" s="17" t="s">
        <v>806</v>
      </c>
      <c r="G179" s="22" t="s">
        <v>1607</v>
      </c>
      <c r="H179" s="12" t="s">
        <v>9703</v>
      </c>
      <c r="I179" s="13" t="s">
        <v>6406</v>
      </c>
      <c r="J179" s="14" t="s">
        <v>798</v>
      </c>
      <c r="K179" s="15" t="s">
        <v>798</v>
      </c>
      <c r="L179" s="12" t="s">
        <v>5315</v>
      </c>
      <c r="M179" s="13" t="s">
        <v>5448</v>
      </c>
      <c r="N179" s="12" t="s">
        <v>803</v>
      </c>
      <c r="O179" s="13" t="s">
        <v>4970</v>
      </c>
      <c r="P179" s="17" t="s">
        <v>802</v>
      </c>
      <c r="Q179" s="21" t="s">
        <v>7695</v>
      </c>
      <c r="R179" s="17" t="s">
        <v>801</v>
      </c>
      <c r="S179" s="18" t="s">
        <v>3636</v>
      </c>
      <c r="T179" s="17" t="s">
        <v>800</v>
      </c>
      <c r="U179" s="18" t="s">
        <v>5257</v>
      </c>
      <c r="V179" s="17" t="s">
        <v>9418</v>
      </c>
      <c r="W179" s="18" t="s">
        <v>5314</v>
      </c>
      <c r="X179" s="69" t="s">
        <v>9453</v>
      </c>
      <c r="Y179" s="70" t="s">
        <v>9464</v>
      </c>
      <c r="Z179" s="73" t="s">
        <v>9486</v>
      </c>
      <c r="AA179" s="74" t="s">
        <v>9504</v>
      </c>
      <c r="AB179" s="73" t="s">
        <v>9486</v>
      </c>
      <c r="AC179" s="74" t="s">
        <v>9561</v>
      </c>
      <c r="AD179" s="73" t="s">
        <v>9578</v>
      </c>
      <c r="AE179" s="74" t="s">
        <v>9579</v>
      </c>
    </row>
    <row r="180" spans="1:31" ht="8.65" customHeight="1" x14ac:dyDescent="0.2">
      <c r="A180" s="76">
        <v>180</v>
      </c>
      <c r="B180" s="67" t="str">
        <f>MID(C180, FIND("Ifc.", C180) + 4, 4) &amp; "_" &amp; TEXT(COUNTIF($C$2:C180, C180),"0000")</f>
        <v>Prop_0179</v>
      </c>
      <c r="C180" s="24" t="s">
        <v>872</v>
      </c>
      <c r="D180" s="69" t="s">
        <v>9453</v>
      </c>
      <c r="E180" s="70" t="s">
        <v>9454</v>
      </c>
      <c r="F180" s="17" t="s">
        <v>806</v>
      </c>
      <c r="G180" s="22" t="s">
        <v>2515</v>
      </c>
      <c r="H180" s="12" t="s">
        <v>9703</v>
      </c>
      <c r="I180" s="13" t="s">
        <v>6830</v>
      </c>
      <c r="J180" s="14" t="s">
        <v>798</v>
      </c>
      <c r="K180" s="15" t="s">
        <v>798</v>
      </c>
      <c r="L180" s="12" t="s">
        <v>5315</v>
      </c>
      <c r="M180" s="13" t="s">
        <v>5578</v>
      </c>
      <c r="N180" s="12" t="s">
        <v>803</v>
      </c>
      <c r="O180" s="13" t="s">
        <v>5224</v>
      </c>
      <c r="P180" s="17" t="s">
        <v>802</v>
      </c>
      <c r="Q180" s="21" t="s">
        <v>7677</v>
      </c>
      <c r="R180" s="17" t="s">
        <v>801</v>
      </c>
      <c r="S180" s="18" t="s">
        <v>2589</v>
      </c>
      <c r="T180" s="17" t="s">
        <v>800</v>
      </c>
      <c r="U180" s="18" t="s">
        <v>5258</v>
      </c>
      <c r="V180" s="17" t="s">
        <v>9418</v>
      </c>
      <c r="W180" s="18" t="s">
        <v>5309</v>
      </c>
      <c r="X180" s="69" t="s">
        <v>9453</v>
      </c>
      <c r="Y180" s="70" t="s">
        <v>9462</v>
      </c>
      <c r="Z180" s="73" t="s">
        <v>9486</v>
      </c>
      <c r="AA180" s="74" t="s">
        <v>9504</v>
      </c>
      <c r="AB180" s="73" t="s">
        <v>9486</v>
      </c>
      <c r="AC180" s="74" t="s">
        <v>9566</v>
      </c>
      <c r="AD180" s="73" t="s">
        <v>9578</v>
      </c>
      <c r="AE180" s="74" t="s">
        <v>9579</v>
      </c>
    </row>
    <row r="181" spans="1:31" ht="8.65" customHeight="1" x14ac:dyDescent="0.2">
      <c r="A181" s="76">
        <v>181</v>
      </c>
      <c r="B181" s="67" t="str">
        <f>MID(C181, FIND("Ifc.", C181) + 4, 4) &amp; "_" &amp; TEXT(COUNTIF($C$2:C181, C181),"0000")</f>
        <v>Prop_0180</v>
      </c>
      <c r="C181" s="24" t="s">
        <v>872</v>
      </c>
      <c r="D181" s="69" t="s">
        <v>9453</v>
      </c>
      <c r="E181" s="70" t="s">
        <v>9454</v>
      </c>
      <c r="F181" s="17" t="s">
        <v>806</v>
      </c>
      <c r="G181" s="22" t="s">
        <v>1868</v>
      </c>
      <c r="H181" s="12" t="s">
        <v>9703</v>
      </c>
      <c r="I181" s="13" t="s">
        <v>6544</v>
      </c>
      <c r="J181" s="14" t="s">
        <v>798</v>
      </c>
      <c r="K181" s="15" t="s">
        <v>798</v>
      </c>
      <c r="L181" s="12" t="s">
        <v>5315</v>
      </c>
      <c r="M181" s="13" t="s">
        <v>5460</v>
      </c>
      <c r="N181" s="12" t="s">
        <v>803</v>
      </c>
      <c r="O181" s="13" t="s">
        <v>5037</v>
      </c>
      <c r="P181" s="17" t="s">
        <v>802</v>
      </c>
      <c r="Q181" s="21" t="s">
        <v>7782</v>
      </c>
      <c r="R181" s="17" t="s">
        <v>801</v>
      </c>
      <c r="S181" s="18" t="s">
        <v>2565</v>
      </c>
      <c r="T181" s="17" t="s">
        <v>800</v>
      </c>
      <c r="U181" s="18" t="s">
        <v>5248</v>
      </c>
      <c r="V181" s="17" t="s">
        <v>9418</v>
      </c>
      <c r="W181" s="18" t="s">
        <v>5309</v>
      </c>
      <c r="X181" s="69" t="s">
        <v>9453</v>
      </c>
      <c r="Y181" s="70" t="s">
        <v>9462</v>
      </c>
      <c r="Z181" s="73" t="s">
        <v>9486</v>
      </c>
      <c r="AA181" s="74" t="s">
        <v>9504</v>
      </c>
      <c r="AB181" s="73" t="s">
        <v>9486</v>
      </c>
      <c r="AC181" s="74" t="s">
        <v>9562</v>
      </c>
      <c r="AD181" s="73" t="s">
        <v>9578</v>
      </c>
      <c r="AE181" s="74" t="s">
        <v>9579</v>
      </c>
    </row>
    <row r="182" spans="1:31" ht="8.65" customHeight="1" x14ac:dyDescent="0.2">
      <c r="A182" s="76">
        <v>182</v>
      </c>
      <c r="B182" s="67" t="str">
        <f>MID(C182, FIND("Ifc.", C182) + 4, 4) &amp; "_" &amp; TEXT(COUNTIF($C$2:C182, C182),"0000")</f>
        <v>Prop_0181</v>
      </c>
      <c r="C182" s="24" t="s">
        <v>872</v>
      </c>
      <c r="D182" s="69" t="s">
        <v>9453</v>
      </c>
      <c r="E182" s="70" t="s">
        <v>9454</v>
      </c>
      <c r="F182" s="17" t="s">
        <v>806</v>
      </c>
      <c r="G182" s="22" t="s">
        <v>2304</v>
      </c>
      <c r="H182" s="12" t="s">
        <v>9703</v>
      </c>
      <c r="I182" s="13" t="s">
        <v>6714</v>
      </c>
      <c r="J182" s="14" t="s">
        <v>798</v>
      </c>
      <c r="K182" s="15" t="s">
        <v>798</v>
      </c>
      <c r="L182" s="12" t="s">
        <v>5315</v>
      </c>
      <c r="M182" s="13" t="s">
        <v>5859</v>
      </c>
      <c r="N182" s="12" t="s">
        <v>803</v>
      </c>
      <c r="O182" s="13" t="s">
        <v>5165</v>
      </c>
      <c r="P182" s="17" t="s">
        <v>802</v>
      </c>
      <c r="Q182" s="21" t="s">
        <v>7783</v>
      </c>
      <c r="R182" s="17" t="s">
        <v>801</v>
      </c>
      <c r="S182" s="18" t="s">
        <v>2559</v>
      </c>
      <c r="T182" s="17" t="s">
        <v>800</v>
      </c>
      <c r="U182" s="18" t="s">
        <v>5234</v>
      </c>
      <c r="V182" s="17" t="s">
        <v>9418</v>
      </c>
      <c r="W182" s="18" t="s">
        <v>5311</v>
      </c>
      <c r="X182" s="69" t="s">
        <v>9453</v>
      </c>
      <c r="Y182" s="70" t="s">
        <v>9466</v>
      </c>
      <c r="Z182" s="73" t="s">
        <v>9486</v>
      </c>
      <c r="AA182" s="74" t="s">
        <v>9504</v>
      </c>
      <c r="AB182" s="73" t="s">
        <v>9486</v>
      </c>
      <c r="AC182" s="74" t="s">
        <v>9562</v>
      </c>
      <c r="AD182" s="73" t="s">
        <v>9578</v>
      </c>
      <c r="AE182" s="74" t="s">
        <v>9579</v>
      </c>
    </row>
    <row r="183" spans="1:31" ht="8.65" customHeight="1" x14ac:dyDescent="0.2">
      <c r="A183" s="76">
        <v>183</v>
      </c>
      <c r="B183" s="67" t="str">
        <f>MID(C183, FIND("Ifc.", C183) + 4, 4) &amp; "_" &amp; TEXT(COUNTIF($C$2:C183, C183),"0000")</f>
        <v>Prop_0182</v>
      </c>
      <c r="C183" s="24" t="s">
        <v>872</v>
      </c>
      <c r="D183" s="69" t="s">
        <v>9453</v>
      </c>
      <c r="E183" s="70" t="s">
        <v>9454</v>
      </c>
      <c r="F183" s="17" t="s">
        <v>806</v>
      </c>
      <c r="G183" s="22" t="s">
        <v>2038</v>
      </c>
      <c r="H183" s="12" t="s">
        <v>9703</v>
      </c>
      <c r="I183" s="13" t="s">
        <v>6617</v>
      </c>
      <c r="J183" s="14" t="s">
        <v>798</v>
      </c>
      <c r="K183" s="15" t="s">
        <v>798</v>
      </c>
      <c r="L183" s="12" t="s">
        <v>5315</v>
      </c>
      <c r="M183" s="13" t="s">
        <v>5481</v>
      </c>
      <c r="N183" s="12" t="s">
        <v>803</v>
      </c>
      <c r="O183" s="13" t="s">
        <v>5085</v>
      </c>
      <c r="P183" s="17" t="s">
        <v>802</v>
      </c>
      <c r="Q183" s="21" t="s">
        <v>7708</v>
      </c>
      <c r="R183" s="17" t="s">
        <v>801</v>
      </c>
      <c r="S183" s="18" t="s">
        <v>2585</v>
      </c>
      <c r="T183" s="17" t="s">
        <v>800</v>
      </c>
      <c r="U183" s="18" t="s">
        <v>5238</v>
      </c>
      <c r="V183" s="17" t="s">
        <v>9418</v>
      </c>
      <c r="W183" s="18" t="s">
        <v>5309</v>
      </c>
      <c r="X183" s="69" t="s">
        <v>9453</v>
      </c>
      <c r="Y183" s="70" t="s">
        <v>9462</v>
      </c>
      <c r="Z183" s="73" t="s">
        <v>9486</v>
      </c>
      <c r="AA183" s="74" t="s">
        <v>9504</v>
      </c>
      <c r="AB183" s="73" t="s">
        <v>9486</v>
      </c>
      <c r="AC183" s="74" t="s">
        <v>9566</v>
      </c>
      <c r="AD183" s="73" t="s">
        <v>9578</v>
      </c>
      <c r="AE183" s="74" t="s">
        <v>9579</v>
      </c>
    </row>
    <row r="184" spans="1:31" ht="8.65" customHeight="1" x14ac:dyDescent="0.2">
      <c r="A184" s="76">
        <v>184</v>
      </c>
      <c r="B184" s="67" t="str">
        <f>MID(C184, FIND("Ifc.", C184) + 4, 4) &amp; "_" &amp; TEXT(COUNTIF($C$2:C184, C184),"0000")</f>
        <v>Prop_0183</v>
      </c>
      <c r="C184" s="24" t="s">
        <v>872</v>
      </c>
      <c r="D184" s="69" t="s">
        <v>9453</v>
      </c>
      <c r="E184" s="70" t="s">
        <v>9454</v>
      </c>
      <c r="F184" s="17" t="s">
        <v>806</v>
      </c>
      <c r="G184" s="22" t="s">
        <v>1836</v>
      </c>
      <c r="H184" s="12" t="s">
        <v>9703</v>
      </c>
      <c r="I184" s="13" t="s">
        <v>6526</v>
      </c>
      <c r="J184" s="14" t="s">
        <v>798</v>
      </c>
      <c r="K184" s="15" t="s">
        <v>798</v>
      </c>
      <c r="L184" s="12" t="s">
        <v>5315</v>
      </c>
      <c r="M184" s="13" t="s">
        <v>5458</v>
      </c>
      <c r="N184" s="12" t="s">
        <v>803</v>
      </c>
      <c r="O184" s="13" t="s">
        <v>5030</v>
      </c>
      <c r="P184" s="17" t="s">
        <v>802</v>
      </c>
      <c r="Q184" s="21" t="s">
        <v>7784</v>
      </c>
      <c r="R184" s="17" t="s">
        <v>801</v>
      </c>
      <c r="S184" s="18" t="s">
        <v>2652</v>
      </c>
      <c r="T184" s="17" t="s">
        <v>800</v>
      </c>
      <c r="U184" s="18" t="s">
        <v>5287</v>
      </c>
      <c r="V184" s="17" t="s">
        <v>9418</v>
      </c>
      <c r="W184" s="18" t="s">
        <v>5309</v>
      </c>
      <c r="X184" s="69" t="s">
        <v>9453</v>
      </c>
      <c r="Y184" s="70" t="s">
        <v>9462</v>
      </c>
      <c r="Z184" s="73" t="s">
        <v>9486</v>
      </c>
      <c r="AA184" s="74" t="s">
        <v>9504</v>
      </c>
      <c r="AB184" s="73" t="s">
        <v>9486</v>
      </c>
      <c r="AC184" s="74" t="s">
        <v>9566</v>
      </c>
      <c r="AD184" s="73" t="s">
        <v>9578</v>
      </c>
      <c r="AE184" s="74" t="s">
        <v>9579</v>
      </c>
    </row>
    <row r="185" spans="1:31" ht="8.65" customHeight="1" x14ac:dyDescent="0.2">
      <c r="A185" s="76">
        <v>185</v>
      </c>
      <c r="B185" s="67" t="str">
        <f>MID(C185, FIND("Ifc.", C185) + 4, 4) &amp; "_" &amp; TEXT(COUNTIF($C$2:C185, C185),"0000")</f>
        <v>Prop_0184</v>
      </c>
      <c r="C185" s="24" t="s">
        <v>872</v>
      </c>
      <c r="D185" s="69" t="s">
        <v>9453</v>
      </c>
      <c r="E185" s="70" t="s">
        <v>9454</v>
      </c>
      <c r="F185" s="17" t="s">
        <v>806</v>
      </c>
      <c r="G185" s="22" t="s">
        <v>1836</v>
      </c>
      <c r="H185" s="12" t="s">
        <v>9703</v>
      </c>
      <c r="I185" s="13" t="s">
        <v>6526</v>
      </c>
      <c r="J185" s="14" t="s">
        <v>798</v>
      </c>
      <c r="K185" s="15" t="s">
        <v>798</v>
      </c>
      <c r="L185" s="12" t="s">
        <v>5315</v>
      </c>
      <c r="M185" s="13" t="s">
        <v>5461</v>
      </c>
      <c r="N185" s="12" t="s">
        <v>803</v>
      </c>
      <c r="O185" s="13" t="s">
        <v>5038</v>
      </c>
      <c r="P185" s="17" t="s">
        <v>802</v>
      </c>
      <c r="Q185" s="21" t="s">
        <v>7785</v>
      </c>
      <c r="R185" s="17" t="s">
        <v>801</v>
      </c>
      <c r="S185" s="18" t="s">
        <v>2652</v>
      </c>
      <c r="T185" s="17" t="s">
        <v>800</v>
      </c>
      <c r="U185" s="18" t="s">
        <v>5287</v>
      </c>
      <c r="V185" s="17" t="s">
        <v>9418</v>
      </c>
      <c r="W185" s="18" t="s">
        <v>5309</v>
      </c>
      <c r="X185" s="69" t="s">
        <v>9453</v>
      </c>
      <c r="Y185" s="70" t="s">
        <v>9462</v>
      </c>
      <c r="Z185" s="73" t="s">
        <v>9486</v>
      </c>
      <c r="AA185" s="74" t="s">
        <v>9504</v>
      </c>
      <c r="AB185" s="73" t="s">
        <v>9486</v>
      </c>
      <c r="AC185" s="74" t="s">
        <v>9566</v>
      </c>
      <c r="AD185" s="73" t="s">
        <v>9578</v>
      </c>
      <c r="AE185" s="74" t="s">
        <v>9579</v>
      </c>
    </row>
    <row r="186" spans="1:31" ht="8.65" customHeight="1" x14ac:dyDescent="0.2">
      <c r="A186" s="76">
        <v>186</v>
      </c>
      <c r="B186" s="67" t="str">
        <f>MID(C186, FIND("Ifc.", C186) + 4, 4) &amp; "_" &amp; TEXT(COUNTIF($C$2:C186, C186),"0000")</f>
        <v>Prop_0185</v>
      </c>
      <c r="C186" s="24" t="s">
        <v>872</v>
      </c>
      <c r="D186" s="69" t="s">
        <v>9453</v>
      </c>
      <c r="E186" s="70" t="s">
        <v>9454</v>
      </c>
      <c r="F186" s="17" t="s">
        <v>806</v>
      </c>
      <c r="G186" s="22" t="s">
        <v>1591</v>
      </c>
      <c r="H186" s="12" t="s">
        <v>9703</v>
      </c>
      <c r="I186" s="13" t="s">
        <v>6904</v>
      </c>
      <c r="J186" s="14" t="s">
        <v>798</v>
      </c>
      <c r="K186" s="15" t="s">
        <v>798</v>
      </c>
      <c r="L186" s="12" t="s">
        <v>5315</v>
      </c>
      <c r="M186" s="13" t="s">
        <v>5899</v>
      </c>
      <c r="N186" s="12" t="s">
        <v>803</v>
      </c>
      <c r="O186" s="13" t="s">
        <v>4968</v>
      </c>
      <c r="P186" s="17" t="s">
        <v>802</v>
      </c>
      <c r="Q186" s="21" t="s">
        <v>7786</v>
      </c>
      <c r="R186" s="17" t="s">
        <v>801</v>
      </c>
      <c r="S186" s="18" t="s">
        <v>3636</v>
      </c>
      <c r="T186" s="17" t="s">
        <v>800</v>
      </c>
      <c r="U186" s="18" t="s">
        <v>5257</v>
      </c>
      <c r="V186" s="17" t="s">
        <v>9418</v>
      </c>
      <c r="W186" s="18" t="s">
        <v>5314</v>
      </c>
      <c r="X186" s="69" t="s">
        <v>9453</v>
      </c>
      <c r="Y186" s="70" t="s">
        <v>9464</v>
      </c>
      <c r="Z186" s="73" t="s">
        <v>9486</v>
      </c>
      <c r="AA186" s="74" t="s">
        <v>9504</v>
      </c>
      <c r="AB186" s="73" t="s">
        <v>9486</v>
      </c>
      <c r="AC186" s="74" t="s">
        <v>9561</v>
      </c>
      <c r="AD186" s="73" t="s">
        <v>9578</v>
      </c>
      <c r="AE186" s="74" t="s">
        <v>9579</v>
      </c>
    </row>
    <row r="187" spans="1:31" ht="8.65" customHeight="1" x14ac:dyDescent="0.2">
      <c r="A187" s="76">
        <v>187</v>
      </c>
      <c r="B187" s="67" t="str">
        <f>MID(C187, FIND("Ifc.", C187) + 4, 4) &amp; "_" &amp; TEXT(COUNTIF($C$2:C187, C187),"0000")</f>
        <v>Prop_0186</v>
      </c>
      <c r="C187" s="24" t="s">
        <v>872</v>
      </c>
      <c r="D187" s="69" t="s">
        <v>9453</v>
      </c>
      <c r="E187" s="70" t="s">
        <v>9454</v>
      </c>
      <c r="F187" s="17" t="s">
        <v>806</v>
      </c>
      <c r="G187" s="22" t="s">
        <v>989</v>
      </c>
      <c r="H187" s="12" t="s">
        <v>9703</v>
      </c>
      <c r="I187" s="13" t="s">
        <v>6105</v>
      </c>
      <c r="J187" s="14" t="s">
        <v>798</v>
      </c>
      <c r="K187" s="15" t="s">
        <v>798</v>
      </c>
      <c r="L187" s="12" t="s">
        <v>5315</v>
      </c>
      <c r="M187" s="13" t="s">
        <v>5992</v>
      </c>
      <c r="N187" s="12" t="s">
        <v>803</v>
      </c>
      <c r="O187" s="13" t="s">
        <v>4828</v>
      </c>
      <c r="P187" s="17" t="s">
        <v>802</v>
      </c>
      <c r="Q187" s="21" t="s">
        <v>7787</v>
      </c>
      <c r="R187" s="17" t="s">
        <v>801</v>
      </c>
      <c r="S187" s="18" t="s">
        <v>2619</v>
      </c>
      <c r="T187" s="17" t="s">
        <v>800</v>
      </c>
      <c r="U187" s="18" t="s">
        <v>5239</v>
      </c>
      <c r="V187" s="17" t="s">
        <v>9418</v>
      </c>
      <c r="W187" s="18" t="s">
        <v>5309</v>
      </c>
      <c r="X187" s="69" t="s">
        <v>9453</v>
      </c>
      <c r="Y187" s="70" t="s">
        <v>9462</v>
      </c>
      <c r="Z187" s="73" t="s">
        <v>9486</v>
      </c>
      <c r="AA187" s="74" t="s">
        <v>9504</v>
      </c>
      <c r="AB187" s="73" t="s">
        <v>9486</v>
      </c>
      <c r="AC187" s="74" t="s">
        <v>9566</v>
      </c>
      <c r="AD187" s="73" t="s">
        <v>9578</v>
      </c>
      <c r="AE187" s="74" t="s">
        <v>9579</v>
      </c>
    </row>
    <row r="188" spans="1:31" ht="8.65" customHeight="1" x14ac:dyDescent="0.2">
      <c r="A188" s="76">
        <v>188</v>
      </c>
      <c r="B188" s="67" t="str">
        <f>MID(C188, FIND("Ifc.", C188) + 4, 4) &amp; "_" &amp; TEXT(COUNTIF($C$2:C188, C188),"0000")</f>
        <v>Prop_0187</v>
      </c>
      <c r="C188" s="24" t="s">
        <v>872</v>
      </c>
      <c r="D188" s="69" t="s">
        <v>9453</v>
      </c>
      <c r="E188" s="70" t="s">
        <v>9454</v>
      </c>
      <c r="F188" s="17" t="s">
        <v>806</v>
      </c>
      <c r="G188" s="22" t="s">
        <v>1078</v>
      </c>
      <c r="H188" s="12" t="s">
        <v>9703</v>
      </c>
      <c r="I188" s="13" t="s">
        <v>6149</v>
      </c>
      <c r="J188" s="14" t="s">
        <v>798</v>
      </c>
      <c r="K188" s="15" t="s">
        <v>798</v>
      </c>
      <c r="L188" s="12" t="s">
        <v>5315</v>
      </c>
      <c r="M188" s="13" t="s">
        <v>6036</v>
      </c>
      <c r="N188" s="12" t="s">
        <v>803</v>
      </c>
      <c r="O188" s="13" t="s">
        <v>4848</v>
      </c>
      <c r="P188" s="17" t="s">
        <v>802</v>
      </c>
      <c r="Q188" s="21" t="s">
        <v>7757</v>
      </c>
      <c r="R188" s="17" t="s">
        <v>801</v>
      </c>
      <c r="S188" s="18" t="s">
        <v>2643</v>
      </c>
      <c r="T188" s="17" t="s">
        <v>800</v>
      </c>
      <c r="U188" s="18" t="s">
        <v>5265</v>
      </c>
      <c r="V188" s="17" t="s">
        <v>9418</v>
      </c>
      <c r="W188" s="18" t="s">
        <v>5309</v>
      </c>
      <c r="X188" s="69" t="s">
        <v>9453</v>
      </c>
      <c r="Y188" s="70" t="s">
        <v>9462</v>
      </c>
      <c r="Z188" s="73" t="s">
        <v>9486</v>
      </c>
      <c r="AA188" s="74" t="s">
        <v>9504</v>
      </c>
      <c r="AB188" s="73" t="s">
        <v>9486</v>
      </c>
      <c r="AC188" s="74" t="s">
        <v>9566</v>
      </c>
      <c r="AD188" s="73" t="s">
        <v>9578</v>
      </c>
      <c r="AE188" s="74" t="s">
        <v>9579</v>
      </c>
    </row>
    <row r="189" spans="1:31" ht="8.65" customHeight="1" x14ac:dyDescent="0.2">
      <c r="A189" s="76">
        <v>189</v>
      </c>
      <c r="B189" s="67" t="str">
        <f>MID(C189, FIND("Ifc.", C189) + 4, 4) &amp; "_" &amp; TEXT(COUNTIF($C$2:C189, C189),"0000")</f>
        <v>Prop_0188</v>
      </c>
      <c r="C189" s="24" t="s">
        <v>872</v>
      </c>
      <c r="D189" s="69" t="s">
        <v>9453</v>
      </c>
      <c r="E189" s="70" t="s">
        <v>9454</v>
      </c>
      <c r="F189" s="17" t="s">
        <v>806</v>
      </c>
      <c r="G189" s="22" t="s">
        <v>944</v>
      </c>
      <c r="H189" s="12" t="s">
        <v>9703</v>
      </c>
      <c r="I189" s="13" t="s">
        <v>6079</v>
      </c>
      <c r="J189" s="14" t="s">
        <v>798</v>
      </c>
      <c r="K189" s="15" t="s">
        <v>798</v>
      </c>
      <c r="L189" s="12" t="s">
        <v>5315</v>
      </c>
      <c r="M189" s="13" t="s">
        <v>5819</v>
      </c>
      <c r="N189" s="12" t="s">
        <v>803</v>
      </c>
      <c r="O189" s="13" t="s">
        <v>4818</v>
      </c>
      <c r="P189" s="17" t="s">
        <v>802</v>
      </c>
      <c r="Q189" s="21" t="s">
        <v>7691</v>
      </c>
      <c r="R189" s="17" t="s">
        <v>801</v>
      </c>
      <c r="S189" s="18" t="s">
        <v>2605</v>
      </c>
      <c r="T189" s="17" t="s">
        <v>800</v>
      </c>
      <c r="U189" s="18" t="s">
        <v>5245</v>
      </c>
      <c r="V189" s="17" t="s">
        <v>9418</v>
      </c>
      <c r="W189" s="18" t="s">
        <v>5309</v>
      </c>
      <c r="X189" s="69" t="s">
        <v>9453</v>
      </c>
      <c r="Y189" s="70" t="s">
        <v>9462</v>
      </c>
      <c r="Z189" s="73" t="s">
        <v>9486</v>
      </c>
      <c r="AA189" s="74" t="s">
        <v>9504</v>
      </c>
      <c r="AB189" s="73" t="s">
        <v>9486</v>
      </c>
      <c r="AC189" s="74" t="s">
        <v>9566</v>
      </c>
      <c r="AD189" s="73" t="s">
        <v>9578</v>
      </c>
      <c r="AE189" s="74" t="s">
        <v>9579</v>
      </c>
    </row>
    <row r="190" spans="1:31" ht="8.65" customHeight="1" x14ac:dyDescent="0.2">
      <c r="A190" s="76">
        <v>190</v>
      </c>
      <c r="B190" s="67" t="str">
        <f>MID(C190, FIND("Ifc.", C190) + 4, 4) &amp; "_" &amp; TEXT(COUNTIF($C$2:C190, C190),"0000")</f>
        <v>Prop_0189</v>
      </c>
      <c r="C190" s="24" t="s">
        <v>872</v>
      </c>
      <c r="D190" s="69" t="s">
        <v>9453</v>
      </c>
      <c r="E190" s="70" t="s">
        <v>9454</v>
      </c>
      <c r="F190" s="17" t="s">
        <v>806</v>
      </c>
      <c r="G190" s="22" t="s">
        <v>2405</v>
      </c>
      <c r="H190" s="12" t="s">
        <v>9703</v>
      </c>
      <c r="I190" s="13" t="s">
        <v>7087</v>
      </c>
      <c r="J190" s="14" t="s">
        <v>798</v>
      </c>
      <c r="K190" s="15" t="s">
        <v>798</v>
      </c>
      <c r="L190" s="12" t="s">
        <v>5315</v>
      </c>
      <c r="M190" s="13" t="s">
        <v>5802</v>
      </c>
      <c r="N190" s="12" t="s">
        <v>803</v>
      </c>
      <c r="O190" s="13" t="s">
        <v>5195</v>
      </c>
      <c r="P190" s="17" t="s">
        <v>802</v>
      </c>
      <c r="Q190" s="21" t="s">
        <v>7703</v>
      </c>
      <c r="R190" s="17" t="s">
        <v>801</v>
      </c>
      <c r="S190" s="18" t="s">
        <v>2643</v>
      </c>
      <c r="T190" s="17" t="s">
        <v>800</v>
      </c>
      <c r="U190" s="18" t="s">
        <v>5265</v>
      </c>
      <c r="V190" s="17" t="s">
        <v>9418</v>
      </c>
      <c r="W190" s="18" t="s">
        <v>5309</v>
      </c>
      <c r="X190" s="69" t="s">
        <v>9453</v>
      </c>
      <c r="Y190" s="70" t="s">
        <v>9462</v>
      </c>
      <c r="Z190" s="73" t="s">
        <v>9486</v>
      </c>
      <c r="AA190" s="74" t="s">
        <v>9504</v>
      </c>
      <c r="AB190" s="73" t="s">
        <v>9486</v>
      </c>
      <c r="AC190" s="74" t="s">
        <v>9566</v>
      </c>
      <c r="AD190" s="73" t="s">
        <v>9578</v>
      </c>
      <c r="AE190" s="74" t="s">
        <v>9579</v>
      </c>
    </row>
    <row r="191" spans="1:31" ht="8.65" customHeight="1" x14ac:dyDescent="0.2">
      <c r="A191" s="76">
        <v>191</v>
      </c>
      <c r="B191" s="67" t="str">
        <f>MID(C191, FIND("Ifc.", C191) + 4, 4) &amp; "_" &amp; TEXT(COUNTIF($C$2:C191, C191),"0000")</f>
        <v>Prop_0190</v>
      </c>
      <c r="C191" s="24" t="s">
        <v>872</v>
      </c>
      <c r="D191" s="69" t="s">
        <v>9453</v>
      </c>
      <c r="E191" s="70" t="s">
        <v>9454</v>
      </c>
      <c r="F191" s="17" t="s">
        <v>806</v>
      </c>
      <c r="G191" s="22" t="s">
        <v>1636</v>
      </c>
      <c r="H191" s="12" t="s">
        <v>9703</v>
      </c>
      <c r="I191" s="13" t="s">
        <v>6882</v>
      </c>
      <c r="J191" s="14" t="s">
        <v>798</v>
      </c>
      <c r="K191" s="15" t="s">
        <v>798</v>
      </c>
      <c r="L191" s="12" t="s">
        <v>5315</v>
      </c>
      <c r="M191" s="13" t="s">
        <v>5836</v>
      </c>
      <c r="N191" s="12" t="s">
        <v>803</v>
      </c>
      <c r="O191" s="13" t="s">
        <v>4979</v>
      </c>
      <c r="P191" s="17" t="s">
        <v>802</v>
      </c>
      <c r="Q191" s="21" t="s">
        <v>7788</v>
      </c>
      <c r="R191" s="17" t="s">
        <v>801</v>
      </c>
      <c r="S191" s="18" t="s">
        <v>3636</v>
      </c>
      <c r="T191" s="17" t="s">
        <v>800</v>
      </c>
      <c r="U191" s="18" t="s">
        <v>5257</v>
      </c>
      <c r="V191" s="17" t="s">
        <v>9418</v>
      </c>
      <c r="W191" s="18" t="s">
        <v>5314</v>
      </c>
      <c r="X191" s="69" t="s">
        <v>9453</v>
      </c>
      <c r="Y191" s="70" t="s">
        <v>9464</v>
      </c>
      <c r="Z191" s="73" t="s">
        <v>9486</v>
      </c>
      <c r="AA191" s="74" t="s">
        <v>9504</v>
      </c>
      <c r="AB191" s="73" t="s">
        <v>9486</v>
      </c>
      <c r="AC191" s="74" t="s">
        <v>9561</v>
      </c>
      <c r="AD191" s="73" t="s">
        <v>9578</v>
      </c>
      <c r="AE191" s="74" t="s">
        <v>9579</v>
      </c>
    </row>
    <row r="192" spans="1:31" ht="8.65" customHeight="1" x14ac:dyDescent="0.2">
      <c r="A192" s="76">
        <v>192</v>
      </c>
      <c r="B192" s="67" t="str">
        <f>MID(C192, FIND("Ifc.", C192) + 4, 4) &amp; "_" &amp; TEXT(COUNTIF($C$2:C192, C192),"0000")</f>
        <v>Prop_0191</v>
      </c>
      <c r="C192" s="24" t="s">
        <v>872</v>
      </c>
      <c r="D192" s="69" t="s">
        <v>9453</v>
      </c>
      <c r="E192" s="70" t="s">
        <v>9454</v>
      </c>
      <c r="F192" s="17" t="s">
        <v>806</v>
      </c>
      <c r="G192" s="22" t="s">
        <v>1248</v>
      </c>
      <c r="H192" s="12" t="s">
        <v>9703</v>
      </c>
      <c r="I192" s="13" t="s">
        <v>6871</v>
      </c>
      <c r="J192" s="14" t="s">
        <v>798</v>
      </c>
      <c r="K192" s="15" t="s">
        <v>798</v>
      </c>
      <c r="L192" s="12" t="s">
        <v>5315</v>
      </c>
      <c r="M192" s="13" t="s">
        <v>5403</v>
      </c>
      <c r="N192" s="12" t="s">
        <v>803</v>
      </c>
      <c r="O192" s="13" t="s">
        <v>4891</v>
      </c>
      <c r="P192" s="17" t="s">
        <v>802</v>
      </c>
      <c r="Q192" s="21" t="s">
        <v>7789</v>
      </c>
      <c r="R192" s="17" t="s">
        <v>801</v>
      </c>
      <c r="S192" s="18" t="s">
        <v>2554</v>
      </c>
      <c r="T192" s="17" t="s">
        <v>800</v>
      </c>
      <c r="U192" s="18" t="s">
        <v>5233</v>
      </c>
      <c r="V192" s="17" t="s">
        <v>9418</v>
      </c>
      <c r="W192" s="18" t="s">
        <v>5309</v>
      </c>
      <c r="X192" s="69" t="s">
        <v>9453</v>
      </c>
      <c r="Y192" s="70" t="s">
        <v>9462</v>
      </c>
      <c r="Z192" s="73" t="s">
        <v>9486</v>
      </c>
      <c r="AA192" s="74" t="s">
        <v>9504</v>
      </c>
      <c r="AB192" s="73" t="s">
        <v>9486</v>
      </c>
      <c r="AC192" s="74" t="s">
        <v>9562</v>
      </c>
      <c r="AD192" s="73" t="s">
        <v>9578</v>
      </c>
      <c r="AE192" s="74" t="s">
        <v>9579</v>
      </c>
    </row>
    <row r="193" spans="1:31" ht="8.65" customHeight="1" x14ac:dyDescent="0.2">
      <c r="A193" s="76">
        <v>193</v>
      </c>
      <c r="B193" s="67" t="str">
        <f>MID(C193, FIND("Ifc.", C193) + 4, 4) &amp; "_" &amp; TEXT(COUNTIF($C$2:C193, C193),"0000")</f>
        <v>Prop_0192</v>
      </c>
      <c r="C193" s="24" t="s">
        <v>872</v>
      </c>
      <c r="D193" s="69" t="s">
        <v>9453</v>
      </c>
      <c r="E193" s="70" t="s">
        <v>9454</v>
      </c>
      <c r="F193" s="17" t="s">
        <v>806</v>
      </c>
      <c r="G193" s="22" t="s">
        <v>1590</v>
      </c>
      <c r="H193" s="12" t="s">
        <v>9703</v>
      </c>
      <c r="I193" s="13" t="s">
        <v>6903</v>
      </c>
      <c r="J193" s="14" t="s">
        <v>798</v>
      </c>
      <c r="K193" s="15" t="s">
        <v>798</v>
      </c>
      <c r="L193" s="12" t="s">
        <v>5315</v>
      </c>
      <c r="M193" s="13" t="s">
        <v>5899</v>
      </c>
      <c r="N193" s="12" t="s">
        <v>803</v>
      </c>
      <c r="O193" s="13" t="s">
        <v>4968</v>
      </c>
      <c r="P193" s="17" t="s">
        <v>802</v>
      </c>
      <c r="Q193" s="21" t="s">
        <v>7786</v>
      </c>
      <c r="R193" s="17" t="s">
        <v>801</v>
      </c>
      <c r="S193" s="18" t="s">
        <v>3636</v>
      </c>
      <c r="T193" s="17" t="s">
        <v>800</v>
      </c>
      <c r="U193" s="18" t="s">
        <v>5257</v>
      </c>
      <c r="V193" s="17" t="s">
        <v>9418</v>
      </c>
      <c r="W193" s="18" t="s">
        <v>5314</v>
      </c>
      <c r="X193" s="69" t="s">
        <v>9453</v>
      </c>
      <c r="Y193" s="70" t="s">
        <v>9464</v>
      </c>
      <c r="Z193" s="73" t="s">
        <v>9486</v>
      </c>
      <c r="AA193" s="74" t="s">
        <v>9504</v>
      </c>
      <c r="AB193" s="73" t="s">
        <v>9486</v>
      </c>
      <c r="AC193" s="74" t="s">
        <v>9561</v>
      </c>
      <c r="AD193" s="73" t="s">
        <v>9578</v>
      </c>
      <c r="AE193" s="74" t="s">
        <v>9579</v>
      </c>
    </row>
    <row r="194" spans="1:31" ht="8.65" customHeight="1" x14ac:dyDescent="0.2">
      <c r="A194" s="76">
        <v>194</v>
      </c>
      <c r="B194" s="67" t="str">
        <f>MID(C194, FIND("Ifc.", C194) + 4, 4) &amp; "_" &amp; TEXT(COUNTIF($C$2:C194, C194),"0000")</f>
        <v>Prop_0193</v>
      </c>
      <c r="C194" s="24" t="s">
        <v>872</v>
      </c>
      <c r="D194" s="69" t="s">
        <v>9453</v>
      </c>
      <c r="E194" s="70" t="s">
        <v>9454</v>
      </c>
      <c r="F194" s="17" t="s">
        <v>806</v>
      </c>
      <c r="G194" s="22" t="s">
        <v>990</v>
      </c>
      <c r="H194" s="12" t="s">
        <v>9703</v>
      </c>
      <c r="I194" s="13" t="s">
        <v>6106</v>
      </c>
      <c r="J194" s="14" t="s">
        <v>798</v>
      </c>
      <c r="K194" s="15" t="s">
        <v>798</v>
      </c>
      <c r="L194" s="12" t="s">
        <v>5315</v>
      </c>
      <c r="M194" s="13" t="s">
        <v>5992</v>
      </c>
      <c r="N194" s="12" t="s">
        <v>803</v>
      </c>
      <c r="O194" s="13" t="s">
        <v>4828</v>
      </c>
      <c r="P194" s="17" t="s">
        <v>802</v>
      </c>
      <c r="Q194" s="21" t="s">
        <v>7787</v>
      </c>
      <c r="R194" s="17" t="s">
        <v>801</v>
      </c>
      <c r="S194" s="18" t="s">
        <v>2619</v>
      </c>
      <c r="T194" s="17" t="s">
        <v>800</v>
      </c>
      <c r="U194" s="18" t="s">
        <v>5239</v>
      </c>
      <c r="V194" s="17" t="s">
        <v>9418</v>
      </c>
      <c r="W194" s="18" t="s">
        <v>5309</v>
      </c>
      <c r="X194" s="69" t="s">
        <v>9453</v>
      </c>
      <c r="Y194" s="70" t="s">
        <v>9462</v>
      </c>
      <c r="Z194" s="73" t="s">
        <v>9486</v>
      </c>
      <c r="AA194" s="74" t="s">
        <v>9504</v>
      </c>
      <c r="AB194" s="73" t="s">
        <v>9486</v>
      </c>
      <c r="AC194" s="74" t="s">
        <v>9566</v>
      </c>
      <c r="AD194" s="73" t="s">
        <v>9578</v>
      </c>
      <c r="AE194" s="74" t="s">
        <v>9579</v>
      </c>
    </row>
    <row r="195" spans="1:31" ht="8.65" customHeight="1" x14ac:dyDescent="0.2">
      <c r="A195" s="76">
        <v>195</v>
      </c>
      <c r="B195" s="67" t="str">
        <f>MID(C195, FIND("Ifc.", C195) + 4, 4) &amp; "_" &amp; TEXT(COUNTIF($C$2:C195, C195),"0000")</f>
        <v>Prop_0194</v>
      </c>
      <c r="C195" s="24" t="s">
        <v>872</v>
      </c>
      <c r="D195" s="69" t="s">
        <v>9453</v>
      </c>
      <c r="E195" s="70" t="s">
        <v>9454</v>
      </c>
      <c r="F195" s="17" t="s">
        <v>806</v>
      </c>
      <c r="G195" s="22" t="s">
        <v>991</v>
      </c>
      <c r="H195" s="12" t="s">
        <v>9703</v>
      </c>
      <c r="I195" s="13" t="s">
        <v>7104</v>
      </c>
      <c r="J195" s="14" t="s">
        <v>798</v>
      </c>
      <c r="K195" s="15" t="s">
        <v>798</v>
      </c>
      <c r="L195" s="12" t="s">
        <v>5315</v>
      </c>
      <c r="M195" s="13" t="s">
        <v>5992</v>
      </c>
      <c r="N195" s="12" t="s">
        <v>803</v>
      </c>
      <c r="O195" s="13" t="s">
        <v>4828</v>
      </c>
      <c r="P195" s="17" t="s">
        <v>802</v>
      </c>
      <c r="Q195" s="21" t="s">
        <v>7787</v>
      </c>
      <c r="R195" s="17" t="s">
        <v>801</v>
      </c>
      <c r="S195" s="18" t="s">
        <v>2619</v>
      </c>
      <c r="T195" s="17" t="s">
        <v>800</v>
      </c>
      <c r="U195" s="18" t="s">
        <v>5239</v>
      </c>
      <c r="V195" s="17" t="s">
        <v>9418</v>
      </c>
      <c r="W195" s="18" t="s">
        <v>5309</v>
      </c>
      <c r="X195" s="69" t="s">
        <v>9453</v>
      </c>
      <c r="Y195" s="70" t="s">
        <v>9462</v>
      </c>
      <c r="Z195" s="73" t="s">
        <v>9486</v>
      </c>
      <c r="AA195" s="74" t="s">
        <v>9504</v>
      </c>
      <c r="AB195" s="73" t="s">
        <v>9486</v>
      </c>
      <c r="AC195" s="74" t="s">
        <v>9566</v>
      </c>
      <c r="AD195" s="73" t="s">
        <v>9578</v>
      </c>
      <c r="AE195" s="74" t="s">
        <v>9579</v>
      </c>
    </row>
    <row r="196" spans="1:31" ht="8.65" customHeight="1" x14ac:dyDescent="0.2">
      <c r="A196" s="76">
        <v>196</v>
      </c>
      <c r="B196" s="67" t="str">
        <f>MID(C196, FIND("Ifc.", C196) + 4, 4) &amp; "_" &amp; TEXT(COUNTIF($C$2:C196, C196),"0000")</f>
        <v>Prop_0195</v>
      </c>
      <c r="C196" s="24" t="s">
        <v>872</v>
      </c>
      <c r="D196" s="69" t="s">
        <v>9453</v>
      </c>
      <c r="E196" s="70" t="s">
        <v>9454</v>
      </c>
      <c r="F196" s="17" t="s">
        <v>806</v>
      </c>
      <c r="G196" s="22" t="s">
        <v>1455</v>
      </c>
      <c r="H196" s="12" t="s">
        <v>9703</v>
      </c>
      <c r="I196" s="13" t="s">
        <v>6328</v>
      </c>
      <c r="J196" s="14" t="s">
        <v>798</v>
      </c>
      <c r="K196" s="15" t="s">
        <v>798</v>
      </c>
      <c r="L196" s="12" t="s">
        <v>5315</v>
      </c>
      <c r="M196" s="13" t="s">
        <v>5438</v>
      </c>
      <c r="N196" s="12" t="s">
        <v>803</v>
      </c>
      <c r="O196" s="13" t="s">
        <v>4939</v>
      </c>
      <c r="P196" s="17" t="s">
        <v>802</v>
      </c>
      <c r="Q196" s="21" t="s">
        <v>7756</v>
      </c>
      <c r="R196" s="17" t="s">
        <v>801</v>
      </c>
      <c r="S196" s="18" t="s">
        <v>2611</v>
      </c>
      <c r="T196" s="17" t="s">
        <v>800</v>
      </c>
      <c r="U196" s="18" t="s">
        <v>5255</v>
      </c>
      <c r="V196" s="17" t="s">
        <v>9418</v>
      </c>
      <c r="W196" s="18" t="s">
        <v>5309</v>
      </c>
      <c r="X196" s="69" t="s">
        <v>9453</v>
      </c>
      <c r="Y196" s="70" t="s">
        <v>9462</v>
      </c>
      <c r="Z196" s="73" t="s">
        <v>9486</v>
      </c>
      <c r="AA196" s="74" t="s">
        <v>9504</v>
      </c>
      <c r="AB196" s="73" t="s">
        <v>9486</v>
      </c>
      <c r="AC196" s="74" t="s">
        <v>9566</v>
      </c>
      <c r="AD196" s="73" t="s">
        <v>9578</v>
      </c>
      <c r="AE196" s="74" t="s">
        <v>9579</v>
      </c>
    </row>
    <row r="197" spans="1:31" ht="8.65" customHeight="1" x14ac:dyDescent="0.2">
      <c r="A197" s="76">
        <v>197</v>
      </c>
      <c r="B197" s="67" t="str">
        <f>MID(C197, FIND("Ifc.", C197) + 4, 4) &amp; "_" &amp; TEXT(COUNTIF($C$2:C197, C197),"0000")</f>
        <v>Prop_0196</v>
      </c>
      <c r="C197" s="24" t="s">
        <v>872</v>
      </c>
      <c r="D197" s="69" t="s">
        <v>9453</v>
      </c>
      <c r="E197" s="70" t="s">
        <v>9454</v>
      </c>
      <c r="F197" s="17" t="s">
        <v>806</v>
      </c>
      <c r="G197" s="22" t="s">
        <v>1004</v>
      </c>
      <c r="H197" s="12" t="s">
        <v>9703</v>
      </c>
      <c r="I197" s="13" t="s">
        <v>6113</v>
      </c>
      <c r="J197" s="14" t="s">
        <v>798</v>
      </c>
      <c r="K197" s="15" t="s">
        <v>798</v>
      </c>
      <c r="L197" s="12" t="s">
        <v>5315</v>
      </c>
      <c r="M197" s="13" t="s">
        <v>6023</v>
      </c>
      <c r="N197" s="12" t="s">
        <v>803</v>
      </c>
      <c r="O197" s="13" t="s">
        <v>4831</v>
      </c>
      <c r="P197" s="17" t="s">
        <v>802</v>
      </c>
      <c r="Q197" s="21" t="s">
        <v>7790</v>
      </c>
      <c r="R197" s="17" t="s">
        <v>801</v>
      </c>
      <c r="S197" s="18" t="s">
        <v>2619</v>
      </c>
      <c r="T197" s="17" t="s">
        <v>800</v>
      </c>
      <c r="U197" s="18" t="s">
        <v>5239</v>
      </c>
      <c r="V197" s="17" t="s">
        <v>9418</v>
      </c>
      <c r="W197" s="18" t="s">
        <v>5309</v>
      </c>
      <c r="X197" s="69" t="s">
        <v>9453</v>
      </c>
      <c r="Y197" s="70" t="s">
        <v>9462</v>
      </c>
      <c r="Z197" s="73" t="s">
        <v>9486</v>
      </c>
      <c r="AA197" s="74" t="s">
        <v>9504</v>
      </c>
      <c r="AB197" s="73" t="s">
        <v>9486</v>
      </c>
      <c r="AC197" s="74" t="s">
        <v>9566</v>
      </c>
      <c r="AD197" s="73" t="s">
        <v>9578</v>
      </c>
      <c r="AE197" s="74" t="s">
        <v>9579</v>
      </c>
    </row>
    <row r="198" spans="1:31" ht="8.65" customHeight="1" x14ac:dyDescent="0.2">
      <c r="A198" s="76">
        <v>198</v>
      </c>
      <c r="B198" s="67" t="str">
        <f>MID(C198, FIND("Ifc.", C198) + 4, 4) &amp; "_" &amp; TEXT(COUNTIF($C$2:C198, C198),"0000")</f>
        <v>Prop_0197</v>
      </c>
      <c r="C198" s="24" t="s">
        <v>872</v>
      </c>
      <c r="D198" s="69" t="s">
        <v>9453</v>
      </c>
      <c r="E198" s="70" t="s">
        <v>9454</v>
      </c>
      <c r="F198" s="17" t="s">
        <v>806</v>
      </c>
      <c r="G198" s="22" t="s">
        <v>1956</v>
      </c>
      <c r="H198" s="12" t="s">
        <v>9703</v>
      </c>
      <c r="I198" s="13" t="s">
        <v>6592</v>
      </c>
      <c r="J198" s="14" t="s">
        <v>798</v>
      </c>
      <c r="K198" s="15" t="s">
        <v>798</v>
      </c>
      <c r="L198" s="12" t="s">
        <v>5315</v>
      </c>
      <c r="M198" s="13" t="s">
        <v>5472</v>
      </c>
      <c r="N198" s="12" t="s">
        <v>803</v>
      </c>
      <c r="O198" s="13" t="s">
        <v>5067</v>
      </c>
      <c r="P198" s="17" t="s">
        <v>802</v>
      </c>
      <c r="Q198" s="21" t="s">
        <v>7791</v>
      </c>
      <c r="R198" s="17" t="s">
        <v>801</v>
      </c>
      <c r="S198" s="18" t="s">
        <v>2590</v>
      </c>
      <c r="T198" s="17" t="s">
        <v>800</v>
      </c>
      <c r="U198" s="18" t="s">
        <v>5274</v>
      </c>
      <c r="V198" s="17" t="s">
        <v>9418</v>
      </c>
      <c r="W198" s="18" t="s">
        <v>5309</v>
      </c>
      <c r="X198" s="69" t="s">
        <v>9453</v>
      </c>
      <c r="Y198" s="70" t="s">
        <v>9462</v>
      </c>
      <c r="Z198" s="73" t="s">
        <v>9486</v>
      </c>
      <c r="AA198" s="74" t="s">
        <v>9504</v>
      </c>
      <c r="AB198" s="73" t="s">
        <v>9486</v>
      </c>
      <c r="AC198" s="74" t="s">
        <v>9566</v>
      </c>
      <c r="AD198" s="73" t="s">
        <v>9578</v>
      </c>
      <c r="AE198" s="74" t="s">
        <v>9579</v>
      </c>
    </row>
    <row r="199" spans="1:31" ht="8.65" customHeight="1" x14ac:dyDescent="0.2">
      <c r="A199" s="76">
        <v>199</v>
      </c>
      <c r="B199" s="67" t="str">
        <f>MID(C199, FIND("Ifc.", C199) + 4, 4) &amp; "_" &amp; TEXT(COUNTIF($C$2:C199, C199),"0000")</f>
        <v>Prop_0198</v>
      </c>
      <c r="C199" s="24" t="s">
        <v>872</v>
      </c>
      <c r="D199" s="69" t="s">
        <v>9453</v>
      </c>
      <c r="E199" s="70" t="s">
        <v>9454</v>
      </c>
      <c r="F199" s="17" t="s">
        <v>806</v>
      </c>
      <c r="G199" s="22" t="s">
        <v>1542</v>
      </c>
      <c r="H199" s="12" t="s">
        <v>9703</v>
      </c>
      <c r="I199" s="13" t="s">
        <v>6534</v>
      </c>
      <c r="J199" s="14" t="s">
        <v>798</v>
      </c>
      <c r="K199" s="15" t="s">
        <v>798</v>
      </c>
      <c r="L199" s="12" t="s">
        <v>5315</v>
      </c>
      <c r="M199" s="13" t="s">
        <v>5818</v>
      </c>
      <c r="N199" s="12" t="s">
        <v>803</v>
      </c>
      <c r="O199" s="13" t="s">
        <v>4957</v>
      </c>
      <c r="P199" s="17" t="s">
        <v>802</v>
      </c>
      <c r="Q199" s="21" t="s">
        <v>7792</v>
      </c>
      <c r="R199" s="17" t="s">
        <v>801</v>
      </c>
      <c r="S199" s="18" t="s">
        <v>2580</v>
      </c>
      <c r="T199" s="17" t="s">
        <v>800</v>
      </c>
      <c r="U199" s="18" t="s">
        <v>5281</v>
      </c>
      <c r="V199" s="17" t="s">
        <v>9418</v>
      </c>
      <c r="W199" s="18" t="s">
        <v>5309</v>
      </c>
      <c r="X199" s="69" t="s">
        <v>9453</v>
      </c>
      <c r="Y199" s="70" t="s">
        <v>9462</v>
      </c>
      <c r="Z199" s="73" t="s">
        <v>9486</v>
      </c>
      <c r="AA199" s="74" t="s">
        <v>9504</v>
      </c>
      <c r="AB199" s="73" t="s">
        <v>9486</v>
      </c>
      <c r="AC199" s="74" t="s">
        <v>9566</v>
      </c>
      <c r="AD199" s="73" t="s">
        <v>9578</v>
      </c>
      <c r="AE199" s="74" t="s">
        <v>9579</v>
      </c>
    </row>
    <row r="200" spans="1:31" ht="8.65" customHeight="1" x14ac:dyDescent="0.2">
      <c r="A200" s="76">
        <v>200</v>
      </c>
      <c r="B200" s="67" t="str">
        <f>MID(C200, FIND("Ifc.", C200) + 4, 4) &amp; "_" &amp; TEXT(COUNTIF($C$2:C200, C200),"0000")</f>
        <v>Prop_0199</v>
      </c>
      <c r="C200" s="24" t="s">
        <v>872</v>
      </c>
      <c r="D200" s="69" t="s">
        <v>9453</v>
      </c>
      <c r="E200" s="70" t="s">
        <v>9454</v>
      </c>
      <c r="F200" s="17" t="s">
        <v>806</v>
      </c>
      <c r="G200" s="22" t="s">
        <v>2353</v>
      </c>
      <c r="H200" s="12" t="s">
        <v>9703</v>
      </c>
      <c r="I200" s="13" t="s">
        <v>6745</v>
      </c>
      <c r="J200" s="14" t="s">
        <v>798</v>
      </c>
      <c r="K200" s="15" t="s">
        <v>798</v>
      </c>
      <c r="L200" s="12" t="s">
        <v>5315</v>
      </c>
      <c r="M200" s="13" t="s">
        <v>5560</v>
      </c>
      <c r="N200" s="12" t="s">
        <v>803</v>
      </c>
      <c r="O200" s="13" t="s">
        <v>5174</v>
      </c>
      <c r="P200" s="17" t="s">
        <v>802</v>
      </c>
      <c r="Q200" s="21" t="s">
        <v>7793</v>
      </c>
      <c r="R200" s="17" t="s">
        <v>801</v>
      </c>
      <c r="S200" s="18" t="s">
        <v>2643</v>
      </c>
      <c r="T200" s="17" t="s">
        <v>800</v>
      </c>
      <c r="U200" s="18" t="s">
        <v>5265</v>
      </c>
      <c r="V200" s="17" t="s">
        <v>9418</v>
      </c>
      <c r="W200" s="18" t="s">
        <v>5309</v>
      </c>
      <c r="X200" s="69" t="s">
        <v>9453</v>
      </c>
      <c r="Y200" s="70" t="s">
        <v>9462</v>
      </c>
      <c r="Z200" s="73" t="s">
        <v>9486</v>
      </c>
      <c r="AA200" s="74" t="s">
        <v>9504</v>
      </c>
      <c r="AB200" s="73" t="s">
        <v>9486</v>
      </c>
      <c r="AC200" s="74" t="s">
        <v>9566</v>
      </c>
      <c r="AD200" s="73" t="s">
        <v>9578</v>
      </c>
      <c r="AE200" s="74" t="s">
        <v>9579</v>
      </c>
    </row>
    <row r="201" spans="1:31" ht="8.65" customHeight="1" x14ac:dyDescent="0.2">
      <c r="A201" s="76">
        <v>201</v>
      </c>
      <c r="B201" s="67" t="str">
        <f>MID(C201, FIND("Ifc.", C201) + 4, 4) &amp; "_" &amp; TEXT(COUNTIF($C$2:C201, C201),"0000")</f>
        <v>Prop_0200</v>
      </c>
      <c r="C201" s="24" t="s">
        <v>872</v>
      </c>
      <c r="D201" s="69" t="s">
        <v>9453</v>
      </c>
      <c r="E201" s="70" t="s">
        <v>9454</v>
      </c>
      <c r="F201" s="17" t="s">
        <v>806</v>
      </c>
      <c r="G201" s="22" t="s">
        <v>1490</v>
      </c>
      <c r="H201" s="12" t="s">
        <v>9703</v>
      </c>
      <c r="I201" s="13" t="s">
        <v>9475</v>
      </c>
      <c r="J201" s="14" t="s">
        <v>798</v>
      </c>
      <c r="K201" s="15" t="s">
        <v>798</v>
      </c>
      <c r="L201" s="12" t="s">
        <v>5315</v>
      </c>
      <c r="M201" s="13" t="s">
        <v>5813</v>
      </c>
      <c r="N201" s="12" t="s">
        <v>803</v>
      </c>
      <c r="O201" s="13" t="s">
        <v>4947</v>
      </c>
      <c r="P201" s="17" t="s">
        <v>802</v>
      </c>
      <c r="Q201" s="21" t="s">
        <v>7794</v>
      </c>
      <c r="R201" s="17" t="s">
        <v>801</v>
      </c>
      <c r="S201" s="18" t="s">
        <v>2590</v>
      </c>
      <c r="T201" s="17" t="s">
        <v>800</v>
      </c>
      <c r="U201" s="18" t="s">
        <v>5274</v>
      </c>
      <c r="V201" s="17" t="s">
        <v>9418</v>
      </c>
      <c r="W201" s="18" t="s">
        <v>5309</v>
      </c>
      <c r="X201" s="69" t="s">
        <v>9453</v>
      </c>
      <c r="Y201" s="70" t="s">
        <v>9462</v>
      </c>
      <c r="Z201" s="73" t="s">
        <v>9486</v>
      </c>
      <c r="AA201" s="74" t="s">
        <v>9504</v>
      </c>
      <c r="AB201" s="73" t="s">
        <v>9486</v>
      </c>
      <c r="AC201" s="74" t="s">
        <v>9566</v>
      </c>
      <c r="AD201" s="73" t="s">
        <v>9578</v>
      </c>
      <c r="AE201" s="74" t="s">
        <v>9579</v>
      </c>
    </row>
    <row r="202" spans="1:31" ht="8.65" customHeight="1" x14ac:dyDescent="0.2">
      <c r="A202" s="76">
        <v>202</v>
      </c>
      <c r="B202" s="67" t="str">
        <f>MID(C202, FIND("Ifc.", C202) + 4, 4) &amp; "_" &amp; TEXT(COUNTIF($C$2:C202, C202),"0000")</f>
        <v>Prop_0201</v>
      </c>
      <c r="C202" s="24" t="s">
        <v>872</v>
      </c>
      <c r="D202" s="69" t="s">
        <v>9453</v>
      </c>
      <c r="E202" s="70" t="s">
        <v>9454</v>
      </c>
      <c r="F202" s="17" t="s">
        <v>806</v>
      </c>
      <c r="G202" s="22" t="s">
        <v>1136</v>
      </c>
      <c r="H202" s="12" t="s">
        <v>9703</v>
      </c>
      <c r="I202" s="13" t="s">
        <v>6180</v>
      </c>
      <c r="J202" s="14" t="s">
        <v>798</v>
      </c>
      <c r="K202" s="15" t="s">
        <v>798</v>
      </c>
      <c r="L202" s="12" t="s">
        <v>5315</v>
      </c>
      <c r="M202" s="13" t="s">
        <v>6041</v>
      </c>
      <c r="N202" s="12" t="s">
        <v>803</v>
      </c>
      <c r="O202" s="13" t="s">
        <v>4862</v>
      </c>
      <c r="P202" s="17" t="s">
        <v>802</v>
      </c>
      <c r="Q202" s="21" t="s">
        <v>7795</v>
      </c>
      <c r="R202" s="17" t="s">
        <v>801</v>
      </c>
      <c r="S202" s="18" t="s">
        <v>2619</v>
      </c>
      <c r="T202" s="17" t="s">
        <v>800</v>
      </c>
      <c r="U202" s="18" t="s">
        <v>5239</v>
      </c>
      <c r="V202" s="17" t="s">
        <v>9418</v>
      </c>
      <c r="W202" s="18" t="s">
        <v>5309</v>
      </c>
      <c r="X202" s="69" t="s">
        <v>9453</v>
      </c>
      <c r="Y202" s="70" t="s">
        <v>9462</v>
      </c>
      <c r="Z202" s="73" t="s">
        <v>9486</v>
      </c>
      <c r="AA202" s="74" t="s">
        <v>9504</v>
      </c>
      <c r="AB202" s="73" t="s">
        <v>9486</v>
      </c>
      <c r="AC202" s="74" t="s">
        <v>9566</v>
      </c>
      <c r="AD202" s="73" t="s">
        <v>9578</v>
      </c>
      <c r="AE202" s="74" t="s">
        <v>9579</v>
      </c>
    </row>
    <row r="203" spans="1:31" ht="8.65" customHeight="1" x14ac:dyDescent="0.2">
      <c r="A203" s="76">
        <v>203</v>
      </c>
      <c r="B203" s="67" t="str">
        <f>MID(C203, FIND("Ifc.", C203) + 4, 4) &amp; "_" &amp; TEXT(COUNTIF($C$2:C203, C203),"0000")</f>
        <v>Prop_0202</v>
      </c>
      <c r="C203" s="24" t="s">
        <v>872</v>
      </c>
      <c r="D203" s="69" t="s">
        <v>9453</v>
      </c>
      <c r="E203" s="70" t="s">
        <v>9454</v>
      </c>
      <c r="F203" s="17" t="s">
        <v>806</v>
      </c>
      <c r="G203" s="22" t="s">
        <v>2276</v>
      </c>
      <c r="H203" s="12" t="s">
        <v>9703</v>
      </c>
      <c r="I203" s="13" t="s">
        <v>6701</v>
      </c>
      <c r="J203" s="14" t="s">
        <v>798</v>
      </c>
      <c r="K203" s="15" t="s">
        <v>798</v>
      </c>
      <c r="L203" s="12" t="s">
        <v>5315</v>
      </c>
      <c r="M203" s="13" t="s">
        <v>5548</v>
      </c>
      <c r="N203" s="12" t="s">
        <v>803</v>
      </c>
      <c r="O203" s="13" t="s">
        <v>5161</v>
      </c>
      <c r="P203" s="17" t="s">
        <v>802</v>
      </c>
      <c r="Q203" s="21" t="s">
        <v>7796</v>
      </c>
      <c r="R203" s="17" t="s">
        <v>801</v>
      </c>
      <c r="S203" s="18" t="s">
        <v>2619</v>
      </c>
      <c r="T203" s="17" t="s">
        <v>800</v>
      </c>
      <c r="U203" s="18" t="s">
        <v>5239</v>
      </c>
      <c r="V203" s="17" t="s">
        <v>9418</v>
      </c>
      <c r="W203" s="18" t="s">
        <v>5309</v>
      </c>
      <c r="X203" s="69" t="s">
        <v>9453</v>
      </c>
      <c r="Y203" s="70" t="s">
        <v>9462</v>
      </c>
      <c r="Z203" s="73" t="s">
        <v>9486</v>
      </c>
      <c r="AA203" s="74" t="s">
        <v>9504</v>
      </c>
      <c r="AB203" s="73" t="s">
        <v>9486</v>
      </c>
      <c r="AC203" s="74" t="s">
        <v>9566</v>
      </c>
      <c r="AD203" s="73" t="s">
        <v>9578</v>
      </c>
      <c r="AE203" s="74" t="s">
        <v>9579</v>
      </c>
    </row>
    <row r="204" spans="1:31" ht="8.65" customHeight="1" x14ac:dyDescent="0.2">
      <c r="A204" s="76">
        <v>204</v>
      </c>
      <c r="B204" s="67" t="str">
        <f>MID(C204, FIND("Ifc.", C204) + 4, 4) &amp; "_" &amp; TEXT(COUNTIF($C$2:C204, C204),"0000")</f>
        <v>Prop_0203</v>
      </c>
      <c r="C204" s="24" t="s">
        <v>872</v>
      </c>
      <c r="D204" s="69" t="s">
        <v>9453</v>
      </c>
      <c r="E204" s="70" t="s">
        <v>9454</v>
      </c>
      <c r="F204" s="17" t="s">
        <v>806</v>
      </c>
      <c r="G204" s="22" t="s">
        <v>2531</v>
      </c>
      <c r="H204" s="12" t="s">
        <v>9703</v>
      </c>
      <c r="I204" s="13" t="s">
        <v>6837</v>
      </c>
      <c r="J204" s="14" t="s">
        <v>798</v>
      </c>
      <c r="K204" s="15" t="s">
        <v>798</v>
      </c>
      <c r="L204" s="12" t="s">
        <v>5315</v>
      </c>
      <c r="M204" s="13" t="s">
        <v>5580</v>
      </c>
      <c r="N204" s="12" t="s">
        <v>803</v>
      </c>
      <c r="O204" s="13" t="s">
        <v>5226</v>
      </c>
      <c r="P204" s="17" t="s">
        <v>802</v>
      </c>
      <c r="Q204" s="21" t="s">
        <v>7797</v>
      </c>
      <c r="R204" s="17" t="s">
        <v>801</v>
      </c>
      <c r="S204" s="18" t="s">
        <v>2619</v>
      </c>
      <c r="T204" s="17" t="s">
        <v>800</v>
      </c>
      <c r="U204" s="18" t="s">
        <v>5239</v>
      </c>
      <c r="V204" s="17" t="s">
        <v>9418</v>
      </c>
      <c r="W204" s="18" t="s">
        <v>5309</v>
      </c>
      <c r="X204" s="69" t="s">
        <v>9453</v>
      </c>
      <c r="Y204" s="70" t="s">
        <v>9462</v>
      </c>
      <c r="Z204" s="73" t="s">
        <v>9486</v>
      </c>
      <c r="AA204" s="74" t="s">
        <v>9504</v>
      </c>
      <c r="AB204" s="73" t="s">
        <v>9486</v>
      </c>
      <c r="AC204" s="74" t="s">
        <v>9566</v>
      </c>
      <c r="AD204" s="73" t="s">
        <v>9578</v>
      </c>
      <c r="AE204" s="74" t="s">
        <v>9579</v>
      </c>
    </row>
    <row r="205" spans="1:31" ht="8.65" customHeight="1" x14ac:dyDescent="0.2">
      <c r="A205" s="76">
        <v>205</v>
      </c>
      <c r="B205" s="67" t="str">
        <f>MID(C205, FIND("Ifc.", C205) + 4, 4) &amp; "_" &amp; TEXT(COUNTIF($C$2:C205, C205),"0000")</f>
        <v>Prop_0204</v>
      </c>
      <c r="C205" s="24" t="s">
        <v>872</v>
      </c>
      <c r="D205" s="69" t="s">
        <v>9453</v>
      </c>
      <c r="E205" s="70" t="s">
        <v>9454</v>
      </c>
      <c r="F205" s="17" t="s">
        <v>806</v>
      </c>
      <c r="G205" s="22" t="s">
        <v>2530</v>
      </c>
      <c r="H205" s="12" t="s">
        <v>9703</v>
      </c>
      <c r="I205" s="13" t="s">
        <v>6836</v>
      </c>
      <c r="J205" s="14" t="s">
        <v>798</v>
      </c>
      <c r="K205" s="15" t="s">
        <v>798</v>
      </c>
      <c r="L205" s="12" t="s">
        <v>5315</v>
      </c>
      <c r="M205" s="13" t="s">
        <v>5580</v>
      </c>
      <c r="N205" s="12" t="s">
        <v>803</v>
      </c>
      <c r="O205" s="13" t="s">
        <v>5226</v>
      </c>
      <c r="P205" s="17" t="s">
        <v>802</v>
      </c>
      <c r="Q205" s="21" t="s">
        <v>7797</v>
      </c>
      <c r="R205" s="17" t="s">
        <v>801</v>
      </c>
      <c r="S205" s="18" t="s">
        <v>2619</v>
      </c>
      <c r="T205" s="17" t="s">
        <v>800</v>
      </c>
      <c r="U205" s="18" t="s">
        <v>5239</v>
      </c>
      <c r="V205" s="17" t="s">
        <v>9418</v>
      </c>
      <c r="W205" s="18" t="s">
        <v>5309</v>
      </c>
      <c r="X205" s="69" t="s">
        <v>9453</v>
      </c>
      <c r="Y205" s="70" t="s">
        <v>9462</v>
      </c>
      <c r="Z205" s="73" t="s">
        <v>9486</v>
      </c>
      <c r="AA205" s="74" t="s">
        <v>9504</v>
      </c>
      <c r="AB205" s="73" t="s">
        <v>9486</v>
      </c>
      <c r="AC205" s="74" t="s">
        <v>9566</v>
      </c>
      <c r="AD205" s="73" t="s">
        <v>9578</v>
      </c>
      <c r="AE205" s="74" t="s">
        <v>9579</v>
      </c>
    </row>
    <row r="206" spans="1:31" ht="8.65" customHeight="1" x14ac:dyDescent="0.2">
      <c r="A206" s="76">
        <v>206</v>
      </c>
      <c r="B206" s="67" t="str">
        <f>MID(C206, FIND("Ifc.", C206) + 4, 4) &amp; "_" &amp; TEXT(COUNTIF($C$2:C206, C206),"0000")</f>
        <v>Prop_0205</v>
      </c>
      <c r="C206" s="24" t="s">
        <v>872</v>
      </c>
      <c r="D206" s="69" t="s">
        <v>9453</v>
      </c>
      <c r="E206" s="70" t="s">
        <v>9454</v>
      </c>
      <c r="F206" s="17" t="s">
        <v>806</v>
      </c>
      <c r="G206" s="22" t="s">
        <v>2277</v>
      </c>
      <c r="H206" s="12" t="s">
        <v>9703</v>
      </c>
      <c r="I206" s="13" t="s">
        <v>7156</v>
      </c>
      <c r="J206" s="14" t="s">
        <v>798</v>
      </c>
      <c r="K206" s="15" t="s">
        <v>798</v>
      </c>
      <c r="L206" s="12" t="s">
        <v>5315</v>
      </c>
      <c r="M206" s="13" t="s">
        <v>5548</v>
      </c>
      <c r="N206" s="12" t="s">
        <v>803</v>
      </c>
      <c r="O206" s="13" t="s">
        <v>5161</v>
      </c>
      <c r="P206" s="17" t="s">
        <v>802</v>
      </c>
      <c r="Q206" s="21" t="s">
        <v>7796</v>
      </c>
      <c r="R206" s="17" t="s">
        <v>801</v>
      </c>
      <c r="S206" s="18" t="s">
        <v>2619</v>
      </c>
      <c r="T206" s="17" t="s">
        <v>800</v>
      </c>
      <c r="U206" s="18" t="s">
        <v>5239</v>
      </c>
      <c r="V206" s="17" t="s">
        <v>9418</v>
      </c>
      <c r="W206" s="18" t="s">
        <v>5309</v>
      </c>
      <c r="X206" s="69" t="s">
        <v>9453</v>
      </c>
      <c r="Y206" s="70" t="s">
        <v>9462</v>
      </c>
      <c r="Z206" s="73" t="s">
        <v>9486</v>
      </c>
      <c r="AA206" s="74" t="s">
        <v>9504</v>
      </c>
      <c r="AB206" s="73" t="s">
        <v>9486</v>
      </c>
      <c r="AC206" s="74" t="s">
        <v>9566</v>
      </c>
      <c r="AD206" s="73" t="s">
        <v>9578</v>
      </c>
      <c r="AE206" s="74" t="s">
        <v>9579</v>
      </c>
    </row>
    <row r="207" spans="1:31" ht="8.65" customHeight="1" x14ac:dyDescent="0.2">
      <c r="A207" s="76">
        <v>207</v>
      </c>
      <c r="B207" s="67" t="str">
        <f>MID(C207, FIND("Ifc.", C207) + 4, 4) &amp; "_" &amp; TEXT(COUNTIF($C$2:C207, C207),"0000")</f>
        <v>Prop_0206</v>
      </c>
      <c r="C207" s="24" t="s">
        <v>872</v>
      </c>
      <c r="D207" s="69" t="s">
        <v>9453</v>
      </c>
      <c r="E207" s="70" t="s">
        <v>9454</v>
      </c>
      <c r="F207" s="17" t="s">
        <v>806</v>
      </c>
      <c r="G207" s="22" t="s">
        <v>1117</v>
      </c>
      <c r="H207" s="12" t="s">
        <v>9703</v>
      </c>
      <c r="I207" s="13" t="s">
        <v>6166</v>
      </c>
      <c r="J207" s="14" t="s">
        <v>798</v>
      </c>
      <c r="K207" s="15" t="s">
        <v>798</v>
      </c>
      <c r="L207" s="12" t="s">
        <v>5315</v>
      </c>
      <c r="M207" s="13" t="s">
        <v>5392</v>
      </c>
      <c r="N207" s="12" t="s">
        <v>803</v>
      </c>
      <c r="O207" s="13" t="s">
        <v>4858</v>
      </c>
      <c r="P207" s="17" t="s">
        <v>802</v>
      </c>
      <c r="Q207" s="21" t="s">
        <v>7798</v>
      </c>
      <c r="R207" s="17" t="s">
        <v>801</v>
      </c>
      <c r="S207" s="18" t="s">
        <v>2619</v>
      </c>
      <c r="T207" s="17" t="s">
        <v>800</v>
      </c>
      <c r="U207" s="18" t="s">
        <v>5239</v>
      </c>
      <c r="V207" s="17" t="s">
        <v>9418</v>
      </c>
      <c r="W207" s="18" t="s">
        <v>5309</v>
      </c>
      <c r="X207" s="69" t="s">
        <v>9453</v>
      </c>
      <c r="Y207" s="70" t="s">
        <v>9462</v>
      </c>
      <c r="Z207" s="73" t="s">
        <v>9486</v>
      </c>
      <c r="AA207" s="74" t="s">
        <v>9504</v>
      </c>
      <c r="AB207" s="73" t="s">
        <v>9486</v>
      </c>
      <c r="AC207" s="74" t="s">
        <v>9566</v>
      </c>
      <c r="AD207" s="73" t="s">
        <v>9578</v>
      </c>
      <c r="AE207" s="74" t="s">
        <v>9579</v>
      </c>
    </row>
    <row r="208" spans="1:31" ht="8.65" customHeight="1" x14ac:dyDescent="0.2">
      <c r="A208" s="76">
        <v>208</v>
      </c>
      <c r="B208" s="67" t="str">
        <f>MID(C208, FIND("Ifc.", C208) + 4, 4) &amp; "_" &amp; TEXT(COUNTIF($C$2:C208, C208),"0000")</f>
        <v>Prop_0207</v>
      </c>
      <c r="C208" s="24" t="s">
        <v>872</v>
      </c>
      <c r="D208" s="69" t="s">
        <v>9453</v>
      </c>
      <c r="E208" s="70" t="s">
        <v>9454</v>
      </c>
      <c r="F208" s="17" t="s">
        <v>806</v>
      </c>
      <c r="G208" s="22" t="s">
        <v>1117</v>
      </c>
      <c r="H208" s="12" t="s">
        <v>9703</v>
      </c>
      <c r="I208" s="13" t="s">
        <v>6166</v>
      </c>
      <c r="J208" s="14" t="s">
        <v>798</v>
      </c>
      <c r="K208" s="15" t="s">
        <v>798</v>
      </c>
      <c r="L208" s="12" t="s">
        <v>5315</v>
      </c>
      <c r="M208" s="13" t="s">
        <v>6041</v>
      </c>
      <c r="N208" s="12" t="s">
        <v>803</v>
      </c>
      <c r="O208" s="13" t="s">
        <v>4862</v>
      </c>
      <c r="P208" s="17" t="s">
        <v>802</v>
      </c>
      <c r="Q208" s="21" t="s">
        <v>7795</v>
      </c>
      <c r="R208" s="17" t="s">
        <v>801</v>
      </c>
      <c r="S208" s="18" t="s">
        <v>2619</v>
      </c>
      <c r="T208" s="17" t="s">
        <v>800</v>
      </c>
      <c r="U208" s="18" t="s">
        <v>5239</v>
      </c>
      <c r="V208" s="17" t="s">
        <v>9418</v>
      </c>
      <c r="W208" s="18" t="s">
        <v>5309</v>
      </c>
      <c r="X208" s="69" t="s">
        <v>9453</v>
      </c>
      <c r="Y208" s="70" t="s">
        <v>9462</v>
      </c>
      <c r="Z208" s="73" t="s">
        <v>9486</v>
      </c>
      <c r="AA208" s="74" t="s">
        <v>9504</v>
      </c>
      <c r="AB208" s="73" t="s">
        <v>9486</v>
      </c>
      <c r="AC208" s="74" t="s">
        <v>9566</v>
      </c>
      <c r="AD208" s="73" t="s">
        <v>9578</v>
      </c>
      <c r="AE208" s="74" t="s">
        <v>9579</v>
      </c>
    </row>
    <row r="209" spans="1:31" ht="8.65" customHeight="1" x14ac:dyDescent="0.2">
      <c r="A209" s="76">
        <v>209</v>
      </c>
      <c r="B209" s="67" t="str">
        <f>MID(C209, FIND("Ifc.", C209) + 4, 4) &amp; "_" &amp; TEXT(COUNTIF($C$2:C209, C209),"0000")</f>
        <v>Prop_0208</v>
      </c>
      <c r="C209" s="24" t="s">
        <v>872</v>
      </c>
      <c r="D209" s="69" t="s">
        <v>9453</v>
      </c>
      <c r="E209" s="70" t="s">
        <v>9454</v>
      </c>
      <c r="F209" s="17" t="s">
        <v>806</v>
      </c>
      <c r="G209" s="22" t="s">
        <v>1117</v>
      </c>
      <c r="H209" s="12" t="s">
        <v>9703</v>
      </c>
      <c r="I209" s="13" t="s">
        <v>6166</v>
      </c>
      <c r="J209" s="14" t="s">
        <v>798</v>
      </c>
      <c r="K209" s="15" t="s">
        <v>798</v>
      </c>
      <c r="L209" s="12" t="s">
        <v>5315</v>
      </c>
      <c r="M209" s="13" t="s">
        <v>5560</v>
      </c>
      <c r="N209" s="12" t="s">
        <v>803</v>
      </c>
      <c r="O209" s="13" t="s">
        <v>5174</v>
      </c>
      <c r="P209" s="17" t="s">
        <v>802</v>
      </c>
      <c r="Q209" s="21" t="s">
        <v>7793</v>
      </c>
      <c r="R209" s="17" t="s">
        <v>801</v>
      </c>
      <c r="S209" s="18" t="s">
        <v>2643</v>
      </c>
      <c r="T209" s="17" t="s">
        <v>800</v>
      </c>
      <c r="U209" s="18" t="s">
        <v>5265</v>
      </c>
      <c r="V209" s="17" t="s">
        <v>9418</v>
      </c>
      <c r="W209" s="18" t="s">
        <v>5309</v>
      </c>
      <c r="X209" s="69" t="s">
        <v>9453</v>
      </c>
      <c r="Y209" s="70" t="s">
        <v>9462</v>
      </c>
      <c r="Z209" s="73" t="s">
        <v>9486</v>
      </c>
      <c r="AA209" s="74" t="s">
        <v>9504</v>
      </c>
      <c r="AB209" s="73" t="s">
        <v>9486</v>
      </c>
      <c r="AC209" s="74" t="s">
        <v>9566</v>
      </c>
      <c r="AD209" s="73" t="s">
        <v>9578</v>
      </c>
      <c r="AE209" s="74" t="s">
        <v>9579</v>
      </c>
    </row>
    <row r="210" spans="1:31" ht="8.65" customHeight="1" x14ac:dyDescent="0.2">
      <c r="A210" s="76">
        <v>210</v>
      </c>
      <c r="B210" s="67" t="str">
        <f>MID(C210, FIND("Ifc.", C210) + 4, 4) &amp; "_" &amp; TEXT(COUNTIF($C$2:C210, C210),"0000")</f>
        <v>Prop_0209</v>
      </c>
      <c r="C210" s="24" t="s">
        <v>872</v>
      </c>
      <c r="D210" s="69" t="s">
        <v>9453</v>
      </c>
      <c r="E210" s="70" t="s">
        <v>9454</v>
      </c>
      <c r="F210" s="17" t="s">
        <v>806</v>
      </c>
      <c r="G210" s="22" t="s">
        <v>1117</v>
      </c>
      <c r="H210" s="12" t="s">
        <v>9703</v>
      </c>
      <c r="I210" s="13" t="s">
        <v>6166</v>
      </c>
      <c r="J210" s="14" t="s">
        <v>798</v>
      </c>
      <c r="K210" s="15" t="s">
        <v>798</v>
      </c>
      <c r="L210" s="12" t="s">
        <v>5315</v>
      </c>
      <c r="M210" s="13" t="s">
        <v>5569</v>
      </c>
      <c r="N210" s="12" t="s">
        <v>803</v>
      </c>
      <c r="O210" s="13" t="s">
        <v>5202</v>
      </c>
      <c r="P210" s="17" t="s">
        <v>802</v>
      </c>
      <c r="Q210" s="21" t="s">
        <v>7765</v>
      </c>
      <c r="R210" s="17" t="s">
        <v>801</v>
      </c>
      <c r="S210" s="18" t="s">
        <v>2619</v>
      </c>
      <c r="T210" s="17" t="s">
        <v>800</v>
      </c>
      <c r="U210" s="18" t="s">
        <v>5239</v>
      </c>
      <c r="V210" s="17" t="s">
        <v>9418</v>
      </c>
      <c r="W210" s="18" t="s">
        <v>5309</v>
      </c>
      <c r="X210" s="69" t="s">
        <v>9453</v>
      </c>
      <c r="Y210" s="70" t="s">
        <v>9462</v>
      </c>
      <c r="Z210" s="73" t="s">
        <v>9486</v>
      </c>
      <c r="AA210" s="74" t="s">
        <v>9504</v>
      </c>
      <c r="AB210" s="73" t="s">
        <v>9486</v>
      </c>
      <c r="AC210" s="74" t="s">
        <v>9566</v>
      </c>
      <c r="AD210" s="73" t="s">
        <v>9578</v>
      </c>
      <c r="AE210" s="74" t="s">
        <v>9579</v>
      </c>
    </row>
    <row r="211" spans="1:31" ht="8.65" customHeight="1" x14ac:dyDescent="0.2">
      <c r="A211" s="76">
        <v>211</v>
      </c>
      <c r="B211" s="67" t="str">
        <f>MID(C211, FIND("Ifc.", C211) + 4, 4) &amp; "_" &amp; TEXT(COUNTIF($C$2:C211, C211),"0000")</f>
        <v>Prop_0210</v>
      </c>
      <c r="C211" s="24" t="s">
        <v>872</v>
      </c>
      <c r="D211" s="69" t="s">
        <v>9453</v>
      </c>
      <c r="E211" s="70" t="s">
        <v>9454</v>
      </c>
      <c r="F211" s="17" t="s">
        <v>806</v>
      </c>
      <c r="G211" s="22" t="s">
        <v>1008</v>
      </c>
      <c r="H211" s="12" t="s">
        <v>9703</v>
      </c>
      <c r="I211" s="13" t="s">
        <v>6115</v>
      </c>
      <c r="J211" s="14" t="s">
        <v>798</v>
      </c>
      <c r="K211" s="15" t="s">
        <v>798</v>
      </c>
      <c r="L211" s="12" t="s">
        <v>5315</v>
      </c>
      <c r="M211" s="13" t="s">
        <v>6023</v>
      </c>
      <c r="N211" s="12" t="s">
        <v>803</v>
      </c>
      <c r="O211" s="13" t="s">
        <v>4831</v>
      </c>
      <c r="P211" s="17" t="s">
        <v>802</v>
      </c>
      <c r="Q211" s="21" t="s">
        <v>7790</v>
      </c>
      <c r="R211" s="17" t="s">
        <v>801</v>
      </c>
      <c r="S211" s="18" t="s">
        <v>2562</v>
      </c>
      <c r="T211" s="17" t="s">
        <v>800</v>
      </c>
      <c r="U211" s="18" t="s">
        <v>5256</v>
      </c>
      <c r="V211" s="17" t="s">
        <v>9418</v>
      </c>
      <c r="W211" s="18" t="s">
        <v>5309</v>
      </c>
      <c r="X211" s="69" t="s">
        <v>9453</v>
      </c>
      <c r="Y211" s="70" t="s">
        <v>9462</v>
      </c>
      <c r="Z211" s="73" t="s">
        <v>9486</v>
      </c>
      <c r="AA211" s="74" t="s">
        <v>9504</v>
      </c>
      <c r="AB211" s="73" t="s">
        <v>9486</v>
      </c>
      <c r="AC211" s="74" t="s">
        <v>9562</v>
      </c>
      <c r="AD211" s="73" t="s">
        <v>9578</v>
      </c>
      <c r="AE211" s="74" t="s">
        <v>9579</v>
      </c>
    </row>
    <row r="212" spans="1:31" ht="8.65" customHeight="1" x14ac:dyDescent="0.2">
      <c r="A212" s="76">
        <v>212</v>
      </c>
      <c r="B212" s="67" t="str">
        <f>MID(C212, FIND("Ifc.", C212) + 4, 4) &amp; "_" &amp; TEXT(COUNTIF($C$2:C212, C212),"0000")</f>
        <v>Prop_0211</v>
      </c>
      <c r="C212" s="24" t="s">
        <v>872</v>
      </c>
      <c r="D212" s="69" t="s">
        <v>9453</v>
      </c>
      <c r="E212" s="70" t="s">
        <v>9454</v>
      </c>
      <c r="F212" s="17" t="s">
        <v>806</v>
      </c>
      <c r="G212" s="22" t="s">
        <v>1601</v>
      </c>
      <c r="H212" s="12" t="s">
        <v>9703</v>
      </c>
      <c r="I212" s="13" t="s">
        <v>6435</v>
      </c>
      <c r="J212" s="14" t="s">
        <v>798</v>
      </c>
      <c r="K212" s="15" t="s">
        <v>798</v>
      </c>
      <c r="L212" s="12" t="s">
        <v>5315</v>
      </c>
      <c r="M212" s="13" t="s">
        <v>5899</v>
      </c>
      <c r="N212" s="12" t="s">
        <v>803</v>
      </c>
      <c r="O212" s="13" t="s">
        <v>4968</v>
      </c>
      <c r="P212" s="17" t="s">
        <v>802</v>
      </c>
      <c r="Q212" s="21" t="s">
        <v>7786</v>
      </c>
      <c r="R212" s="17" t="s">
        <v>801</v>
      </c>
      <c r="S212" s="18" t="s">
        <v>3636</v>
      </c>
      <c r="T212" s="17" t="s">
        <v>800</v>
      </c>
      <c r="U212" s="18" t="s">
        <v>5257</v>
      </c>
      <c r="V212" s="17" t="s">
        <v>9418</v>
      </c>
      <c r="W212" s="18" t="s">
        <v>5314</v>
      </c>
      <c r="X212" s="69" t="s">
        <v>9453</v>
      </c>
      <c r="Y212" s="70" t="s">
        <v>9464</v>
      </c>
      <c r="Z212" s="73" t="s">
        <v>9486</v>
      </c>
      <c r="AA212" s="74" t="s">
        <v>9504</v>
      </c>
      <c r="AB212" s="73" t="s">
        <v>9486</v>
      </c>
      <c r="AC212" s="74" t="s">
        <v>9561</v>
      </c>
      <c r="AD212" s="73" t="s">
        <v>9578</v>
      </c>
      <c r="AE212" s="74" t="s">
        <v>9579</v>
      </c>
    </row>
    <row r="213" spans="1:31" ht="8.65" customHeight="1" x14ac:dyDescent="0.2">
      <c r="A213" s="76">
        <v>213</v>
      </c>
      <c r="B213" s="67" t="str">
        <f>MID(C213, FIND("Ifc.", C213) + 4, 4) &amp; "_" &amp; TEXT(COUNTIF($C$2:C213, C213),"0000")</f>
        <v>Prop_0212</v>
      </c>
      <c r="C213" s="24" t="s">
        <v>872</v>
      </c>
      <c r="D213" s="69" t="s">
        <v>9453</v>
      </c>
      <c r="E213" s="70" t="s">
        <v>9454</v>
      </c>
      <c r="F213" s="17" t="s">
        <v>806</v>
      </c>
      <c r="G213" s="22" t="s">
        <v>1600</v>
      </c>
      <c r="H213" s="12" t="s">
        <v>9703</v>
      </c>
      <c r="I213" s="13" t="s">
        <v>6434</v>
      </c>
      <c r="J213" s="14" t="s">
        <v>798</v>
      </c>
      <c r="K213" s="15" t="s">
        <v>798</v>
      </c>
      <c r="L213" s="12" t="s">
        <v>5315</v>
      </c>
      <c r="M213" s="13" t="s">
        <v>5899</v>
      </c>
      <c r="N213" s="12" t="s">
        <v>803</v>
      </c>
      <c r="O213" s="13" t="s">
        <v>4968</v>
      </c>
      <c r="P213" s="17" t="s">
        <v>802</v>
      </c>
      <c r="Q213" s="21" t="s">
        <v>7786</v>
      </c>
      <c r="R213" s="17" t="s">
        <v>801</v>
      </c>
      <c r="S213" s="18" t="s">
        <v>3636</v>
      </c>
      <c r="T213" s="17" t="s">
        <v>800</v>
      </c>
      <c r="U213" s="18" t="s">
        <v>5257</v>
      </c>
      <c r="V213" s="17" t="s">
        <v>9418</v>
      </c>
      <c r="W213" s="18" t="s">
        <v>5314</v>
      </c>
      <c r="X213" s="69" t="s">
        <v>9453</v>
      </c>
      <c r="Y213" s="70" t="s">
        <v>9464</v>
      </c>
      <c r="Z213" s="73" t="s">
        <v>9486</v>
      </c>
      <c r="AA213" s="74" t="s">
        <v>9504</v>
      </c>
      <c r="AB213" s="73" t="s">
        <v>9486</v>
      </c>
      <c r="AC213" s="74" t="s">
        <v>9561</v>
      </c>
      <c r="AD213" s="73" t="s">
        <v>9578</v>
      </c>
      <c r="AE213" s="74" t="s">
        <v>9579</v>
      </c>
    </row>
    <row r="214" spans="1:31" ht="8.65" customHeight="1" x14ac:dyDescent="0.2">
      <c r="A214" s="76">
        <v>214</v>
      </c>
      <c r="B214" s="67" t="str">
        <f>MID(C214, FIND("Ifc.", C214) + 4, 4) &amp; "_" &amp; TEXT(COUNTIF($C$2:C214, C214),"0000")</f>
        <v>Prop_0213</v>
      </c>
      <c r="C214" s="24" t="s">
        <v>872</v>
      </c>
      <c r="D214" s="69" t="s">
        <v>9453</v>
      </c>
      <c r="E214" s="70" t="s">
        <v>9454</v>
      </c>
      <c r="F214" s="17" t="s">
        <v>806</v>
      </c>
      <c r="G214" s="22" t="s">
        <v>1582</v>
      </c>
      <c r="H214" s="12" t="s">
        <v>9703</v>
      </c>
      <c r="I214" s="13" t="s">
        <v>6388</v>
      </c>
      <c r="J214" s="14" t="s">
        <v>798</v>
      </c>
      <c r="K214" s="15" t="s">
        <v>798</v>
      </c>
      <c r="L214" s="12" t="s">
        <v>5315</v>
      </c>
      <c r="M214" s="13" t="s">
        <v>5835</v>
      </c>
      <c r="N214" s="12" t="s">
        <v>803</v>
      </c>
      <c r="O214" s="13" t="s">
        <v>4978</v>
      </c>
      <c r="P214" s="17" t="s">
        <v>802</v>
      </c>
      <c r="Q214" s="21" t="s">
        <v>7799</v>
      </c>
      <c r="R214" s="17" t="s">
        <v>801</v>
      </c>
      <c r="S214" s="18" t="s">
        <v>3636</v>
      </c>
      <c r="T214" s="17" t="s">
        <v>800</v>
      </c>
      <c r="U214" s="18" t="s">
        <v>5257</v>
      </c>
      <c r="V214" s="17" t="s">
        <v>9418</v>
      </c>
      <c r="W214" s="18" t="s">
        <v>5314</v>
      </c>
      <c r="X214" s="69" t="s">
        <v>9453</v>
      </c>
      <c r="Y214" s="70" t="s">
        <v>9464</v>
      </c>
      <c r="Z214" s="73" t="s">
        <v>9486</v>
      </c>
      <c r="AA214" s="74" t="s">
        <v>9504</v>
      </c>
      <c r="AB214" s="73" t="s">
        <v>9486</v>
      </c>
      <c r="AC214" s="74" t="s">
        <v>9561</v>
      </c>
      <c r="AD214" s="73" t="s">
        <v>9578</v>
      </c>
      <c r="AE214" s="74" t="s">
        <v>9579</v>
      </c>
    </row>
    <row r="215" spans="1:31" ht="8.65" customHeight="1" x14ac:dyDescent="0.2">
      <c r="A215" s="76">
        <v>215</v>
      </c>
      <c r="B215" s="67" t="str">
        <f>MID(C215, FIND("Ifc.", C215) + 4, 4) &amp; "_" &amp; TEXT(COUNTIF($C$2:C215, C215),"0000")</f>
        <v>Prop_0214</v>
      </c>
      <c r="C215" s="24" t="s">
        <v>872</v>
      </c>
      <c r="D215" s="69" t="s">
        <v>9453</v>
      </c>
      <c r="E215" s="70" t="s">
        <v>9454</v>
      </c>
      <c r="F215" s="17" t="s">
        <v>806</v>
      </c>
      <c r="G215" s="22" t="s">
        <v>1582</v>
      </c>
      <c r="H215" s="12" t="s">
        <v>9703</v>
      </c>
      <c r="I215" s="13" t="s">
        <v>6388</v>
      </c>
      <c r="J215" s="14" t="s">
        <v>798</v>
      </c>
      <c r="K215" s="15" t="s">
        <v>798</v>
      </c>
      <c r="L215" s="12" t="s">
        <v>5315</v>
      </c>
      <c r="M215" s="13" t="s">
        <v>5897</v>
      </c>
      <c r="N215" s="12" t="s">
        <v>803</v>
      </c>
      <c r="O215" s="13" t="s">
        <v>4966</v>
      </c>
      <c r="P215" s="17" t="s">
        <v>802</v>
      </c>
      <c r="Q215" s="21" t="s">
        <v>7800</v>
      </c>
      <c r="R215" s="17" t="s">
        <v>801</v>
      </c>
      <c r="S215" s="18" t="s">
        <v>3636</v>
      </c>
      <c r="T215" s="17" t="s">
        <v>800</v>
      </c>
      <c r="U215" s="18" t="s">
        <v>5257</v>
      </c>
      <c r="V215" s="17" t="s">
        <v>9418</v>
      </c>
      <c r="W215" s="18" t="s">
        <v>5314</v>
      </c>
      <c r="X215" s="69" t="s">
        <v>9453</v>
      </c>
      <c r="Y215" s="70" t="s">
        <v>9464</v>
      </c>
      <c r="Z215" s="73" t="s">
        <v>9486</v>
      </c>
      <c r="AA215" s="74" t="s">
        <v>9504</v>
      </c>
      <c r="AB215" s="73" t="s">
        <v>9486</v>
      </c>
      <c r="AC215" s="74" t="s">
        <v>9561</v>
      </c>
      <c r="AD215" s="73" t="s">
        <v>9578</v>
      </c>
      <c r="AE215" s="74" t="s">
        <v>9579</v>
      </c>
    </row>
    <row r="216" spans="1:31" ht="8.65" customHeight="1" x14ac:dyDescent="0.2">
      <c r="A216" s="76">
        <v>216</v>
      </c>
      <c r="B216" s="67" t="str">
        <f>MID(C216, FIND("Ifc.", C216) + 4, 4) &amp; "_" &amp; TEXT(COUNTIF($C$2:C216, C216),"0000")</f>
        <v>Prop_0215</v>
      </c>
      <c r="C216" s="24" t="s">
        <v>872</v>
      </c>
      <c r="D216" s="69" t="s">
        <v>9453</v>
      </c>
      <c r="E216" s="70" t="s">
        <v>9454</v>
      </c>
      <c r="F216" s="17" t="s">
        <v>806</v>
      </c>
      <c r="G216" s="22" t="s">
        <v>1240</v>
      </c>
      <c r="H216" s="12" t="s">
        <v>9703</v>
      </c>
      <c r="I216" s="13" t="s">
        <v>6226</v>
      </c>
      <c r="J216" s="14" t="s">
        <v>798</v>
      </c>
      <c r="K216" s="15" t="s">
        <v>798</v>
      </c>
      <c r="L216" s="12" t="s">
        <v>5315</v>
      </c>
      <c r="M216" s="13" t="s">
        <v>5401</v>
      </c>
      <c r="N216" s="12" t="s">
        <v>803</v>
      </c>
      <c r="O216" s="13" t="s">
        <v>4889</v>
      </c>
      <c r="P216" s="17" t="s">
        <v>802</v>
      </c>
      <c r="Q216" s="21" t="s">
        <v>7746</v>
      </c>
      <c r="R216" s="17" t="s">
        <v>801</v>
      </c>
      <c r="S216" s="18" t="s">
        <v>2625</v>
      </c>
      <c r="T216" s="17" t="s">
        <v>800</v>
      </c>
      <c r="U216" s="18" t="s">
        <v>5240</v>
      </c>
      <c r="V216" s="17" t="s">
        <v>9418</v>
      </c>
      <c r="W216" s="18" t="s">
        <v>5309</v>
      </c>
      <c r="X216" s="69" t="s">
        <v>9453</v>
      </c>
      <c r="Y216" s="70" t="s">
        <v>9462</v>
      </c>
      <c r="Z216" s="73" t="s">
        <v>9486</v>
      </c>
      <c r="AA216" s="74" t="s">
        <v>9504</v>
      </c>
      <c r="AB216" s="73" t="s">
        <v>9486</v>
      </c>
      <c r="AC216" s="74" t="s">
        <v>9566</v>
      </c>
      <c r="AD216" s="73" t="s">
        <v>9578</v>
      </c>
      <c r="AE216" s="74" t="s">
        <v>9579</v>
      </c>
    </row>
    <row r="217" spans="1:31" ht="8.65" customHeight="1" x14ac:dyDescent="0.2">
      <c r="A217" s="76">
        <v>217</v>
      </c>
      <c r="B217" s="67" t="str">
        <f>MID(C217, FIND("Ifc.", C217) + 4, 4) &amp; "_" &amp; TEXT(COUNTIF($C$2:C217, C217),"0000")</f>
        <v>Prop_0216</v>
      </c>
      <c r="C217" s="24" t="s">
        <v>872</v>
      </c>
      <c r="D217" s="69" t="s">
        <v>9453</v>
      </c>
      <c r="E217" s="70" t="s">
        <v>9454</v>
      </c>
      <c r="F217" s="17" t="s">
        <v>806</v>
      </c>
      <c r="G217" s="22" t="s">
        <v>1112</v>
      </c>
      <c r="H217" s="12" t="s">
        <v>9703</v>
      </c>
      <c r="I217" s="13" t="s">
        <v>6164</v>
      </c>
      <c r="J217" s="14" t="s">
        <v>798</v>
      </c>
      <c r="K217" s="15" t="s">
        <v>798</v>
      </c>
      <c r="L217" s="12" t="s">
        <v>5315</v>
      </c>
      <c r="M217" s="13" t="s">
        <v>6037</v>
      </c>
      <c r="N217" s="12" t="s">
        <v>803</v>
      </c>
      <c r="O217" s="13" t="s">
        <v>4857</v>
      </c>
      <c r="P217" s="17" t="s">
        <v>802</v>
      </c>
      <c r="Q217" s="21" t="s">
        <v>7744</v>
      </c>
      <c r="R217" s="17" t="s">
        <v>801</v>
      </c>
      <c r="S217" s="18" t="s">
        <v>2619</v>
      </c>
      <c r="T217" s="17" t="s">
        <v>800</v>
      </c>
      <c r="U217" s="18" t="s">
        <v>5239</v>
      </c>
      <c r="V217" s="17" t="s">
        <v>9418</v>
      </c>
      <c r="W217" s="18" t="s">
        <v>5312</v>
      </c>
      <c r="X217" s="69" t="s">
        <v>9453</v>
      </c>
      <c r="Y217" s="70" t="s">
        <v>9465</v>
      </c>
      <c r="Z217" s="73" t="s">
        <v>9486</v>
      </c>
      <c r="AA217" s="74" t="s">
        <v>9504</v>
      </c>
      <c r="AB217" s="73" t="s">
        <v>9486</v>
      </c>
      <c r="AC217" s="74" t="s">
        <v>9566</v>
      </c>
      <c r="AD217" s="73" t="s">
        <v>9578</v>
      </c>
      <c r="AE217" s="74" t="s">
        <v>9579</v>
      </c>
    </row>
    <row r="218" spans="1:31" ht="8.65" customHeight="1" x14ac:dyDescent="0.2">
      <c r="A218" s="76">
        <v>218</v>
      </c>
      <c r="B218" s="67" t="str">
        <f>MID(C218, FIND("Ifc.", C218) + 4, 4) &amp; "_" &amp; TEXT(COUNTIF($C$2:C218, C218),"0000")</f>
        <v>Prop_0217</v>
      </c>
      <c r="C218" s="24" t="s">
        <v>872</v>
      </c>
      <c r="D218" s="69" t="s">
        <v>9453</v>
      </c>
      <c r="E218" s="70" t="s">
        <v>9454</v>
      </c>
      <c r="F218" s="17" t="s">
        <v>806</v>
      </c>
      <c r="G218" s="22" t="s">
        <v>1112</v>
      </c>
      <c r="H218" s="12" t="s">
        <v>9703</v>
      </c>
      <c r="I218" s="13" t="s">
        <v>6164</v>
      </c>
      <c r="J218" s="14" t="s">
        <v>798</v>
      </c>
      <c r="K218" s="15" t="s">
        <v>798</v>
      </c>
      <c r="L218" s="12" t="s">
        <v>5315</v>
      </c>
      <c r="M218" s="13" t="s">
        <v>5892</v>
      </c>
      <c r="N218" s="12" t="s">
        <v>803</v>
      </c>
      <c r="O218" s="13" t="s">
        <v>4961</v>
      </c>
      <c r="P218" s="17" t="s">
        <v>802</v>
      </c>
      <c r="Q218" s="21" t="s">
        <v>7745</v>
      </c>
      <c r="R218" s="17" t="s">
        <v>801</v>
      </c>
      <c r="S218" s="18" t="s">
        <v>3636</v>
      </c>
      <c r="T218" s="17" t="s">
        <v>800</v>
      </c>
      <c r="U218" s="18" t="s">
        <v>5257</v>
      </c>
      <c r="V218" s="17" t="s">
        <v>9418</v>
      </c>
      <c r="W218" s="18" t="s">
        <v>5314</v>
      </c>
      <c r="X218" s="69" t="s">
        <v>9453</v>
      </c>
      <c r="Y218" s="70" t="s">
        <v>9464</v>
      </c>
      <c r="Z218" s="73" t="s">
        <v>9486</v>
      </c>
      <c r="AA218" s="74" t="s">
        <v>9504</v>
      </c>
      <c r="AB218" s="73" t="s">
        <v>9486</v>
      </c>
      <c r="AC218" s="74" t="s">
        <v>9561</v>
      </c>
      <c r="AD218" s="73" t="s">
        <v>9578</v>
      </c>
      <c r="AE218" s="74" t="s">
        <v>9579</v>
      </c>
    </row>
    <row r="219" spans="1:31" ht="8.65" customHeight="1" x14ac:dyDescent="0.2">
      <c r="A219" s="76">
        <v>219</v>
      </c>
      <c r="B219" s="67" t="str">
        <f>MID(C219, FIND("Ifc.", C219) + 4, 4) &amp; "_" &amp; TEXT(COUNTIF($C$2:C219, C219),"0000")</f>
        <v>Prop_0218</v>
      </c>
      <c r="C219" s="24" t="s">
        <v>872</v>
      </c>
      <c r="D219" s="69" t="s">
        <v>9453</v>
      </c>
      <c r="E219" s="70" t="s">
        <v>9454</v>
      </c>
      <c r="F219" s="17" t="s">
        <v>806</v>
      </c>
      <c r="G219" s="22" t="s">
        <v>1817</v>
      </c>
      <c r="H219" s="12" t="s">
        <v>9703</v>
      </c>
      <c r="I219" s="13" t="s">
        <v>7199</v>
      </c>
      <c r="J219" s="14" t="s">
        <v>798</v>
      </c>
      <c r="K219" s="15" t="s">
        <v>798</v>
      </c>
      <c r="L219" s="12" t="s">
        <v>5315</v>
      </c>
      <c r="M219" s="13" t="s">
        <v>5456</v>
      </c>
      <c r="N219" s="12" t="s">
        <v>803</v>
      </c>
      <c r="O219" s="13" t="s">
        <v>5026</v>
      </c>
      <c r="P219" s="17" t="s">
        <v>802</v>
      </c>
      <c r="Q219" s="21" t="s">
        <v>7801</v>
      </c>
      <c r="R219" s="17" t="s">
        <v>801</v>
      </c>
      <c r="S219" s="18" t="s">
        <v>2619</v>
      </c>
      <c r="T219" s="17" t="s">
        <v>800</v>
      </c>
      <c r="U219" s="18" t="s">
        <v>5239</v>
      </c>
      <c r="V219" s="17" t="s">
        <v>9418</v>
      </c>
      <c r="W219" s="18" t="s">
        <v>5309</v>
      </c>
      <c r="X219" s="69" t="s">
        <v>9453</v>
      </c>
      <c r="Y219" s="70" t="s">
        <v>9462</v>
      </c>
      <c r="Z219" s="73" t="s">
        <v>9486</v>
      </c>
      <c r="AA219" s="74" t="s">
        <v>9504</v>
      </c>
      <c r="AB219" s="73" t="s">
        <v>9486</v>
      </c>
      <c r="AC219" s="74" t="s">
        <v>9566</v>
      </c>
      <c r="AD219" s="73" t="s">
        <v>9578</v>
      </c>
      <c r="AE219" s="74" t="s">
        <v>9579</v>
      </c>
    </row>
    <row r="220" spans="1:31" ht="8.65" customHeight="1" x14ac:dyDescent="0.2">
      <c r="A220" s="76">
        <v>220</v>
      </c>
      <c r="B220" s="67" t="str">
        <f>MID(C220, FIND("Ifc.", C220) + 4, 4) &amp; "_" &amp; TEXT(COUNTIF($C$2:C220, C220),"0000")</f>
        <v>Prop_0219</v>
      </c>
      <c r="C220" s="24" t="s">
        <v>872</v>
      </c>
      <c r="D220" s="69" t="s">
        <v>9453</v>
      </c>
      <c r="E220" s="70" t="s">
        <v>9454</v>
      </c>
      <c r="F220" s="17" t="s">
        <v>806</v>
      </c>
      <c r="G220" s="22" t="s">
        <v>1816</v>
      </c>
      <c r="H220" s="12" t="s">
        <v>9703</v>
      </c>
      <c r="I220" s="13" t="s">
        <v>6512</v>
      </c>
      <c r="J220" s="14" t="s">
        <v>798</v>
      </c>
      <c r="K220" s="15" t="s">
        <v>798</v>
      </c>
      <c r="L220" s="12" t="s">
        <v>5315</v>
      </c>
      <c r="M220" s="13" t="s">
        <v>5456</v>
      </c>
      <c r="N220" s="12" t="s">
        <v>803</v>
      </c>
      <c r="O220" s="13" t="s">
        <v>5026</v>
      </c>
      <c r="P220" s="17" t="s">
        <v>802</v>
      </c>
      <c r="Q220" s="21" t="s">
        <v>7801</v>
      </c>
      <c r="R220" s="17" t="s">
        <v>801</v>
      </c>
      <c r="S220" s="18" t="s">
        <v>2619</v>
      </c>
      <c r="T220" s="17" t="s">
        <v>800</v>
      </c>
      <c r="U220" s="18" t="s">
        <v>5239</v>
      </c>
      <c r="V220" s="17" t="s">
        <v>9418</v>
      </c>
      <c r="W220" s="18" t="s">
        <v>5309</v>
      </c>
      <c r="X220" s="69" t="s">
        <v>9453</v>
      </c>
      <c r="Y220" s="70" t="s">
        <v>9462</v>
      </c>
      <c r="Z220" s="73" t="s">
        <v>9486</v>
      </c>
      <c r="AA220" s="74" t="s">
        <v>9504</v>
      </c>
      <c r="AB220" s="73" t="s">
        <v>9486</v>
      </c>
      <c r="AC220" s="74" t="s">
        <v>9566</v>
      </c>
      <c r="AD220" s="73" t="s">
        <v>9578</v>
      </c>
      <c r="AE220" s="74" t="s">
        <v>9579</v>
      </c>
    </row>
    <row r="221" spans="1:31" ht="8.65" customHeight="1" x14ac:dyDescent="0.2">
      <c r="A221" s="76">
        <v>221</v>
      </c>
      <c r="B221" s="67" t="str">
        <f>MID(C221, FIND("Ifc.", C221) + 4, 4) &amp; "_" &amp; TEXT(COUNTIF($C$2:C221, C221),"0000")</f>
        <v>Prop_0220</v>
      </c>
      <c r="C221" s="24" t="s">
        <v>872</v>
      </c>
      <c r="D221" s="69" t="s">
        <v>9453</v>
      </c>
      <c r="E221" s="70" t="s">
        <v>9454</v>
      </c>
      <c r="F221" s="17" t="s">
        <v>806</v>
      </c>
      <c r="G221" s="22" t="s">
        <v>1129</v>
      </c>
      <c r="H221" s="12" t="s">
        <v>9703</v>
      </c>
      <c r="I221" s="13" t="s">
        <v>9409</v>
      </c>
      <c r="J221" s="14" t="s">
        <v>798</v>
      </c>
      <c r="K221" s="15" t="s">
        <v>798</v>
      </c>
      <c r="L221" s="12" t="s">
        <v>5315</v>
      </c>
      <c r="M221" s="13" t="s">
        <v>6039</v>
      </c>
      <c r="N221" s="12" t="s">
        <v>803</v>
      </c>
      <c r="O221" s="13" t="s">
        <v>4860</v>
      </c>
      <c r="P221" s="17" t="s">
        <v>802</v>
      </c>
      <c r="Q221" s="21" t="s">
        <v>7802</v>
      </c>
      <c r="R221" s="17" t="s">
        <v>801</v>
      </c>
      <c r="S221" s="18" t="s">
        <v>2560</v>
      </c>
      <c r="T221" s="17" t="s">
        <v>800</v>
      </c>
      <c r="U221" s="18" t="s">
        <v>5236</v>
      </c>
      <c r="V221" s="17" t="s">
        <v>9418</v>
      </c>
      <c r="W221" s="18" t="s">
        <v>5309</v>
      </c>
      <c r="X221" s="69" t="s">
        <v>9453</v>
      </c>
      <c r="Y221" s="70" t="s">
        <v>9462</v>
      </c>
      <c r="Z221" s="73" t="s">
        <v>9486</v>
      </c>
      <c r="AA221" s="74" t="s">
        <v>9504</v>
      </c>
      <c r="AB221" s="73" t="s">
        <v>9486</v>
      </c>
      <c r="AC221" s="74" t="s">
        <v>9562</v>
      </c>
      <c r="AD221" s="73" t="s">
        <v>9578</v>
      </c>
      <c r="AE221" s="74" t="s">
        <v>9579</v>
      </c>
    </row>
    <row r="222" spans="1:31" ht="8.65" customHeight="1" x14ac:dyDescent="0.2">
      <c r="A222" s="76">
        <v>222</v>
      </c>
      <c r="B222" s="67" t="str">
        <f>MID(C222, FIND("Ifc.", C222) + 4, 4) &amp; "_" &amp; TEXT(COUNTIF($C$2:C222, C222),"0000")</f>
        <v>Prop_0221</v>
      </c>
      <c r="C222" s="24" t="s">
        <v>872</v>
      </c>
      <c r="D222" s="69" t="s">
        <v>9453</v>
      </c>
      <c r="E222" s="70" t="s">
        <v>9454</v>
      </c>
      <c r="F222" s="17" t="s">
        <v>806</v>
      </c>
      <c r="G222" s="22" t="s">
        <v>1129</v>
      </c>
      <c r="H222" s="12" t="s">
        <v>9703</v>
      </c>
      <c r="I222" s="13" t="s">
        <v>9409</v>
      </c>
      <c r="J222" s="14" t="s">
        <v>798</v>
      </c>
      <c r="K222" s="15" t="s">
        <v>798</v>
      </c>
      <c r="L222" s="12" t="s">
        <v>5315</v>
      </c>
      <c r="M222" s="13" t="s">
        <v>6040</v>
      </c>
      <c r="N222" s="12" t="s">
        <v>803</v>
      </c>
      <c r="O222" s="13" t="s">
        <v>4861</v>
      </c>
      <c r="P222" s="17" t="s">
        <v>802</v>
      </c>
      <c r="Q222" s="21" t="s">
        <v>7803</v>
      </c>
      <c r="R222" s="17" t="s">
        <v>801</v>
      </c>
      <c r="S222" s="18" t="s">
        <v>2560</v>
      </c>
      <c r="T222" s="17" t="s">
        <v>800</v>
      </c>
      <c r="U222" s="18" t="s">
        <v>5236</v>
      </c>
      <c r="V222" s="17" t="s">
        <v>9418</v>
      </c>
      <c r="W222" s="18" t="s">
        <v>5309</v>
      </c>
      <c r="X222" s="69" t="s">
        <v>9453</v>
      </c>
      <c r="Y222" s="70" t="s">
        <v>9462</v>
      </c>
      <c r="Z222" s="73" t="s">
        <v>9486</v>
      </c>
      <c r="AA222" s="74" t="s">
        <v>9504</v>
      </c>
      <c r="AB222" s="73" t="s">
        <v>9486</v>
      </c>
      <c r="AC222" s="74" t="s">
        <v>9562</v>
      </c>
      <c r="AD222" s="73" t="s">
        <v>9578</v>
      </c>
      <c r="AE222" s="74" t="s">
        <v>9579</v>
      </c>
    </row>
    <row r="223" spans="1:31" ht="8.65" customHeight="1" x14ac:dyDescent="0.2">
      <c r="A223" s="76">
        <v>223</v>
      </c>
      <c r="B223" s="67" t="str">
        <f>MID(C223, FIND("Ifc.", C223) + 4, 4) &amp; "_" &amp; TEXT(COUNTIF($C$2:C223, C223),"0000")</f>
        <v>Prop_0222</v>
      </c>
      <c r="C223" s="24" t="s">
        <v>872</v>
      </c>
      <c r="D223" s="69" t="s">
        <v>9453</v>
      </c>
      <c r="E223" s="70" t="s">
        <v>9454</v>
      </c>
      <c r="F223" s="17" t="s">
        <v>806</v>
      </c>
      <c r="G223" s="22" t="s">
        <v>1129</v>
      </c>
      <c r="H223" s="12" t="s">
        <v>9703</v>
      </c>
      <c r="I223" s="13" t="s">
        <v>9409</v>
      </c>
      <c r="J223" s="14" t="s">
        <v>798</v>
      </c>
      <c r="K223" s="15" t="s">
        <v>798</v>
      </c>
      <c r="L223" s="12" t="s">
        <v>5315</v>
      </c>
      <c r="M223" s="13" t="s">
        <v>6054</v>
      </c>
      <c r="N223" s="12" t="s">
        <v>803</v>
      </c>
      <c r="O223" s="13" t="s">
        <v>4927</v>
      </c>
      <c r="P223" s="17" t="s">
        <v>802</v>
      </c>
      <c r="Q223" s="21" t="s">
        <v>7686</v>
      </c>
      <c r="R223" s="17" t="s">
        <v>801</v>
      </c>
      <c r="S223" s="18" t="s">
        <v>2554</v>
      </c>
      <c r="T223" s="17" t="s">
        <v>800</v>
      </c>
      <c r="U223" s="18" t="s">
        <v>5233</v>
      </c>
      <c r="V223" s="17" t="s">
        <v>9418</v>
      </c>
      <c r="W223" s="18" t="s">
        <v>5309</v>
      </c>
      <c r="X223" s="69" t="s">
        <v>9453</v>
      </c>
      <c r="Y223" s="70" t="s">
        <v>9462</v>
      </c>
      <c r="Z223" s="73" t="s">
        <v>9486</v>
      </c>
      <c r="AA223" s="74" t="s">
        <v>9504</v>
      </c>
      <c r="AB223" s="73" t="s">
        <v>9486</v>
      </c>
      <c r="AC223" s="74" t="s">
        <v>9562</v>
      </c>
      <c r="AD223" s="73" t="s">
        <v>9578</v>
      </c>
      <c r="AE223" s="74" t="s">
        <v>9579</v>
      </c>
    </row>
    <row r="224" spans="1:31" ht="8.65" customHeight="1" x14ac:dyDescent="0.2">
      <c r="A224" s="76">
        <v>224</v>
      </c>
      <c r="B224" s="67" t="str">
        <f>MID(C224, FIND("Ifc.", C224) + 4, 4) &amp; "_" &amp; TEXT(COUNTIF($C$2:C224, C224),"0000")</f>
        <v>Prop_0223</v>
      </c>
      <c r="C224" s="24" t="s">
        <v>872</v>
      </c>
      <c r="D224" s="69" t="s">
        <v>9453</v>
      </c>
      <c r="E224" s="70" t="s">
        <v>9454</v>
      </c>
      <c r="F224" s="17" t="s">
        <v>806</v>
      </c>
      <c r="G224" s="22" t="s">
        <v>1129</v>
      </c>
      <c r="H224" s="12" t="s">
        <v>9703</v>
      </c>
      <c r="I224" s="13" t="s">
        <v>9409</v>
      </c>
      <c r="J224" s="14" t="s">
        <v>798</v>
      </c>
      <c r="K224" s="15" t="s">
        <v>798</v>
      </c>
      <c r="L224" s="12" t="s">
        <v>5315</v>
      </c>
      <c r="M224" s="13" t="s">
        <v>5430</v>
      </c>
      <c r="N224" s="12" t="s">
        <v>803</v>
      </c>
      <c r="O224" s="13" t="s">
        <v>4929</v>
      </c>
      <c r="P224" s="17" t="s">
        <v>802</v>
      </c>
      <c r="Q224" s="21" t="s">
        <v>7804</v>
      </c>
      <c r="R224" s="17" t="s">
        <v>801</v>
      </c>
      <c r="S224" s="18" t="s">
        <v>2560</v>
      </c>
      <c r="T224" s="17" t="s">
        <v>800</v>
      </c>
      <c r="U224" s="18" t="s">
        <v>5236</v>
      </c>
      <c r="V224" s="17" t="s">
        <v>9418</v>
      </c>
      <c r="W224" s="18" t="s">
        <v>5309</v>
      </c>
      <c r="X224" s="69" t="s">
        <v>9453</v>
      </c>
      <c r="Y224" s="70" t="s">
        <v>9462</v>
      </c>
      <c r="Z224" s="73" t="s">
        <v>9486</v>
      </c>
      <c r="AA224" s="74" t="s">
        <v>9504</v>
      </c>
      <c r="AB224" s="73" t="s">
        <v>9486</v>
      </c>
      <c r="AC224" s="74" t="s">
        <v>9562</v>
      </c>
      <c r="AD224" s="73" t="s">
        <v>9578</v>
      </c>
      <c r="AE224" s="74" t="s">
        <v>9579</v>
      </c>
    </row>
    <row r="225" spans="1:31" ht="8.65" customHeight="1" x14ac:dyDescent="0.2">
      <c r="A225" s="76">
        <v>225</v>
      </c>
      <c r="B225" s="67" t="str">
        <f>MID(C225, FIND("Ifc.", C225) + 4, 4) &amp; "_" &amp; TEXT(COUNTIF($C$2:C225, C225),"0000")</f>
        <v>Prop_0224</v>
      </c>
      <c r="C225" s="24" t="s">
        <v>872</v>
      </c>
      <c r="D225" s="69" t="s">
        <v>9453</v>
      </c>
      <c r="E225" s="70" t="s">
        <v>9454</v>
      </c>
      <c r="F225" s="17" t="s">
        <v>806</v>
      </c>
      <c r="G225" s="22" t="s">
        <v>1129</v>
      </c>
      <c r="H225" s="12" t="s">
        <v>9703</v>
      </c>
      <c r="I225" s="13" t="s">
        <v>9409</v>
      </c>
      <c r="J225" s="14" t="s">
        <v>798</v>
      </c>
      <c r="K225" s="15" t="s">
        <v>798</v>
      </c>
      <c r="L225" s="12" t="s">
        <v>5315</v>
      </c>
      <c r="M225" s="13" t="s">
        <v>5443</v>
      </c>
      <c r="N225" s="12" t="s">
        <v>803</v>
      </c>
      <c r="O225" s="13" t="s">
        <v>4951</v>
      </c>
      <c r="P225" s="17" t="s">
        <v>802</v>
      </c>
      <c r="Q225" s="21" t="s">
        <v>7805</v>
      </c>
      <c r="R225" s="17" t="s">
        <v>801</v>
      </c>
      <c r="S225" s="18" t="s">
        <v>2560</v>
      </c>
      <c r="T225" s="17" t="s">
        <v>800</v>
      </c>
      <c r="U225" s="18" t="s">
        <v>5236</v>
      </c>
      <c r="V225" s="17" t="s">
        <v>9418</v>
      </c>
      <c r="W225" s="18" t="s">
        <v>5309</v>
      </c>
      <c r="X225" s="69" t="s">
        <v>9453</v>
      </c>
      <c r="Y225" s="70" t="s">
        <v>9462</v>
      </c>
      <c r="Z225" s="73" t="s">
        <v>9486</v>
      </c>
      <c r="AA225" s="74" t="s">
        <v>9504</v>
      </c>
      <c r="AB225" s="73" t="s">
        <v>9486</v>
      </c>
      <c r="AC225" s="74" t="s">
        <v>9562</v>
      </c>
      <c r="AD225" s="73" t="s">
        <v>9578</v>
      </c>
      <c r="AE225" s="74" t="s">
        <v>9579</v>
      </c>
    </row>
    <row r="226" spans="1:31" ht="8.65" customHeight="1" x14ac:dyDescent="0.2">
      <c r="A226" s="76">
        <v>226</v>
      </c>
      <c r="B226" s="67" t="str">
        <f>MID(C226, FIND("Ifc.", C226) + 4, 4) &amp; "_" &amp; TEXT(COUNTIF($C$2:C226, C226),"0000")</f>
        <v>Prop_0225</v>
      </c>
      <c r="C226" s="24" t="s">
        <v>872</v>
      </c>
      <c r="D226" s="69" t="s">
        <v>9453</v>
      </c>
      <c r="E226" s="70" t="s">
        <v>9454</v>
      </c>
      <c r="F226" s="17" t="s">
        <v>806</v>
      </c>
      <c r="G226" s="22" t="s">
        <v>1129</v>
      </c>
      <c r="H226" s="12" t="s">
        <v>9703</v>
      </c>
      <c r="I226" s="13" t="s">
        <v>9409</v>
      </c>
      <c r="J226" s="14" t="s">
        <v>798</v>
      </c>
      <c r="K226" s="15" t="s">
        <v>798</v>
      </c>
      <c r="L226" s="12" t="s">
        <v>5315</v>
      </c>
      <c r="M226" s="13" t="s">
        <v>5462</v>
      </c>
      <c r="N226" s="12" t="s">
        <v>803</v>
      </c>
      <c r="O226" s="13" t="s">
        <v>5044</v>
      </c>
      <c r="P226" s="17" t="s">
        <v>802</v>
      </c>
      <c r="Q226" s="21" t="s">
        <v>7806</v>
      </c>
      <c r="R226" s="17" t="s">
        <v>801</v>
      </c>
      <c r="S226" s="18" t="s">
        <v>2560</v>
      </c>
      <c r="T226" s="17" t="s">
        <v>800</v>
      </c>
      <c r="U226" s="18" t="s">
        <v>5236</v>
      </c>
      <c r="V226" s="17" t="s">
        <v>9418</v>
      </c>
      <c r="W226" s="18" t="s">
        <v>5309</v>
      </c>
      <c r="X226" s="69" t="s">
        <v>9453</v>
      </c>
      <c r="Y226" s="70" t="s">
        <v>9462</v>
      </c>
      <c r="Z226" s="73" t="s">
        <v>9486</v>
      </c>
      <c r="AA226" s="74" t="s">
        <v>9504</v>
      </c>
      <c r="AB226" s="73" t="s">
        <v>9486</v>
      </c>
      <c r="AC226" s="74" t="s">
        <v>9562</v>
      </c>
      <c r="AD226" s="73" t="s">
        <v>9578</v>
      </c>
      <c r="AE226" s="74" t="s">
        <v>9579</v>
      </c>
    </row>
    <row r="227" spans="1:31" ht="8.65" customHeight="1" x14ac:dyDescent="0.2">
      <c r="A227" s="76">
        <v>227</v>
      </c>
      <c r="B227" s="67" t="str">
        <f>MID(C227, FIND("Ifc.", C227) + 4, 4) &amp; "_" &amp; TEXT(COUNTIF($C$2:C227, C227),"0000")</f>
        <v>Prop_0226</v>
      </c>
      <c r="C227" s="24" t="s">
        <v>872</v>
      </c>
      <c r="D227" s="69" t="s">
        <v>9453</v>
      </c>
      <c r="E227" s="70" t="s">
        <v>9454</v>
      </c>
      <c r="F227" s="17" t="s">
        <v>806</v>
      </c>
      <c r="G227" s="22" t="s">
        <v>1129</v>
      </c>
      <c r="H227" s="12" t="s">
        <v>9703</v>
      </c>
      <c r="I227" s="13" t="s">
        <v>9409</v>
      </c>
      <c r="J227" s="14" t="s">
        <v>798</v>
      </c>
      <c r="K227" s="15" t="s">
        <v>798</v>
      </c>
      <c r="L227" s="12" t="s">
        <v>5315</v>
      </c>
      <c r="M227" s="13" t="s">
        <v>5477</v>
      </c>
      <c r="N227" s="12" t="s">
        <v>803</v>
      </c>
      <c r="O227" s="13" t="s">
        <v>5081</v>
      </c>
      <c r="P227" s="17" t="s">
        <v>802</v>
      </c>
      <c r="Q227" s="21" t="s">
        <v>7807</v>
      </c>
      <c r="R227" s="17" t="s">
        <v>801</v>
      </c>
      <c r="S227" s="18" t="s">
        <v>2560</v>
      </c>
      <c r="T227" s="17" t="s">
        <v>800</v>
      </c>
      <c r="U227" s="18" t="s">
        <v>5236</v>
      </c>
      <c r="V227" s="17" t="s">
        <v>9418</v>
      </c>
      <c r="W227" s="18" t="s">
        <v>5309</v>
      </c>
      <c r="X227" s="69" t="s">
        <v>9453</v>
      </c>
      <c r="Y227" s="70" t="s">
        <v>9462</v>
      </c>
      <c r="Z227" s="73" t="s">
        <v>9486</v>
      </c>
      <c r="AA227" s="74" t="s">
        <v>9504</v>
      </c>
      <c r="AB227" s="73" t="s">
        <v>9486</v>
      </c>
      <c r="AC227" s="74" t="s">
        <v>9562</v>
      </c>
      <c r="AD227" s="73" t="s">
        <v>9578</v>
      </c>
      <c r="AE227" s="74" t="s">
        <v>9579</v>
      </c>
    </row>
    <row r="228" spans="1:31" ht="8.65" customHeight="1" x14ac:dyDescent="0.2">
      <c r="A228" s="76">
        <v>228</v>
      </c>
      <c r="B228" s="67" t="str">
        <f>MID(C228, FIND("Ifc.", C228) + 4, 4) &amp; "_" &amp; TEXT(COUNTIF($C$2:C228, C228),"0000")</f>
        <v>Prop_0227</v>
      </c>
      <c r="C228" s="24" t="s">
        <v>872</v>
      </c>
      <c r="D228" s="69" t="s">
        <v>9453</v>
      </c>
      <c r="E228" s="70" t="s">
        <v>9454</v>
      </c>
      <c r="F228" s="17" t="s">
        <v>806</v>
      </c>
      <c r="G228" s="22" t="s">
        <v>1129</v>
      </c>
      <c r="H228" s="12" t="s">
        <v>9703</v>
      </c>
      <c r="I228" s="13" t="s">
        <v>9409</v>
      </c>
      <c r="J228" s="14" t="s">
        <v>798</v>
      </c>
      <c r="K228" s="15" t="s">
        <v>798</v>
      </c>
      <c r="L228" s="12" t="s">
        <v>5315</v>
      </c>
      <c r="M228" s="13" t="s">
        <v>5485</v>
      </c>
      <c r="N228" s="12" t="s">
        <v>803</v>
      </c>
      <c r="O228" s="13" t="s">
        <v>5088</v>
      </c>
      <c r="P228" s="17" t="s">
        <v>802</v>
      </c>
      <c r="Q228" s="21" t="s">
        <v>7808</v>
      </c>
      <c r="R228" s="17" t="s">
        <v>801</v>
      </c>
      <c r="S228" s="18" t="s">
        <v>2560</v>
      </c>
      <c r="T228" s="17" t="s">
        <v>800</v>
      </c>
      <c r="U228" s="18" t="s">
        <v>5236</v>
      </c>
      <c r="V228" s="17" t="s">
        <v>9418</v>
      </c>
      <c r="W228" s="18" t="s">
        <v>5309</v>
      </c>
      <c r="X228" s="69" t="s">
        <v>9453</v>
      </c>
      <c r="Y228" s="70" t="s">
        <v>9462</v>
      </c>
      <c r="Z228" s="73" t="s">
        <v>9486</v>
      </c>
      <c r="AA228" s="74" t="s">
        <v>9504</v>
      </c>
      <c r="AB228" s="73" t="s">
        <v>9486</v>
      </c>
      <c r="AC228" s="74" t="s">
        <v>9562</v>
      </c>
      <c r="AD228" s="73" t="s">
        <v>9578</v>
      </c>
      <c r="AE228" s="74" t="s">
        <v>9579</v>
      </c>
    </row>
    <row r="229" spans="1:31" ht="8.65" customHeight="1" x14ac:dyDescent="0.2">
      <c r="A229" s="76">
        <v>229</v>
      </c>
      <c r="B229" s="67" t="str">
        <f>MID(C229, FIND("Ifc.", C229) + 4, 4) &amp; "_" &amp; TEXT(COUNTIF($C$2:C229, C229),"0000")</f>
        <v>Prop_0228</v>
      </c>
      <c r="C229" s="24" t="s">
        <v>872</v>
      </c>
      <c r="D229" s="69" t="s">
        <v>9453</v>
      </c>
      <c r="E229" s="70" t="s">
        <v>9454</v>
      </c>
      <c r="F229" s="17" t="s">
        <v>806</v>
      </c>
      <c r="G229" s="22" t="s">
        <v>1129</v>
      </c>
      <c r="H229" s="12" t="s">
        <v>9703</v>
      </c>
      <c r="I229" s="13" t="s">
        <v>9409</v>
      </c>
      <c r="J229" s="14" t="s">
        <v>798</v>
      </c>
      <c r="K229" s="15" t="s">
        <v>798</v>
      </c>
      <c r="L229" s="12" t="s">
        <v>5315</v>
      </c>
      <c r="M229" s="13" t="s">
        <v>5491</v>
      </c>
      <c r="N229" s="12" t="s">
        <v>803</v>
      </c>
      <c r="O229" s="13" t="s">
        <v>5102</v>
      </c>
      <c r="P229" s="17" t="s">
        <v>802</v>
      </c>
      <c r="Q229" s="21" t="s">
        <v>7809</v>
      </c>
      <c r="R229" s="17" t="s">
        <v>801</v>
      </c>
      <c r="S229" s="18" t="s">
        <v>2560</v>
      </c>
      <c r="T229" s="17" t="s">
        <v>800</v>
      </c>
      <c r="U229" s="18" t="s">
        <v>5236</v>
      </c>
      <c r="V229" s="17" t="s">
        <v>9418</v>
      </c>
      <c r="W229" s="18" t="s">
        <v>5309</v>
      </c>
      <c r="X229" s="69" t="s">
        <v>9453</v>
      </c>
      <c r="Y229" s="70" t="s">
        <v>9462</v>
      </c>
      <c r="Z229" s="73" t="s">
        <v>9486</v>
      </c>
      <c r="AA229" s="74" t="s">
        <v>9504</v>
      </c>
      <c r="AB229" s="73" t="s">
        <v>9486</v>
      </c>
      <c r="AC229" s="74" t="s">
        <v>9562</v>
      </c>
      <c r="AD229" s="73" t="s">
        <v>9578</v>
      </c>
      <c r="AE229" s="74" t="s">
        <v>9579</v>
      </c>
    </row>
    <row r="230" spans="1:31" ht="8.65" customHeight="1" x14ac:dyDescent="0.2">
      <c r="A230" s="76">
        <v>230</v>
      </c>
      <c r="B230" s="67" t="str">
        <f>MID(C230, FIND("Ifc.", C230) + 4, 4) &amp; "_" &amp; TEXT(COUNTIF($C$2:C230, C230),"0000")</f>
        <v>Prop_0229</v>
      </c>
      <c r="C230" s="24" t="s">
        <v>872</v>
      </c>
      <c r="D230" s="69" t="s">
        <v>9453</v>
      </c>
      <c r="E230" s="70" t="s">
        <v>9454</v>
      </c>
      <c r="F230" s="17" t="s">
        <v>806</v>
      </c>
      <c r="G230" s="22" t="s">
        <v>1129</v>
      </c>
      <c r="H230" s="12" t="s">
        <v>9703</v>
      </c>
      <c r="I230" s="13" t="s">
        <v>9409</v>
      </c>
      <c r="J230" s="14" t="s">
        <v>798</v>
      </c>
      <c r="K230" s="15" t="s">
        <v>798</v>
      </c>
      <c r="L230" s="12" t="s">
        <v>5315</v>
      </c>
      <c r="M230" s="13" t="s">
        <v>6055</v>
      </c>
      <c r="N230" s="12" t="s">
        <v>803</v>
      </c>
      <c r="O230" s="13" t="s">
        <v>5107</v>
      </c>
      <c r="P230" s="17" t="s">
        <v>802</v>
      </c>
      <c r="Q230" s="21" t="s">
        <v>7688</v>
      </c>
      <c r="R230" s="17" t="s">
        <v>801</v>
      </c>
      <c r="S230" s="18" t="s">
        <v>2554</v>
      </c>
      <c r="T230" s="17" t="s">
        <v>800</v>
      </c>
      <c r="U230" s="18" t="s">
        <v>5233</v>
      </c>
      <c r="V230" s="17" t="s">
        <v>9418</v>
      </c>
      <c r="W230" s="18" t="s">
        <v>5309</v>
      </c>
      <c r="X230" s="69" t="s">
        <v>9453</v>
      </c>
      <c r="Y230" s="70" t="s">
        <v>9462</v>
      </c>
      <c r="Z230" s="73" t="s">
        <v>9486</v>
      </c>
      <c r="AA230" s="74" t="s">
        <v>9504</v>
      </c>
      <c r="AB230" s="73" t="s">
        <v>9486</v>
      </c>
      <c r="AC230" s="74" t="s">
        <v>9562</v>
      </c>
      <c r="AD230" s="73" t="s">
        <v>9578</v>
      </c>
      <c r="AE230" s="74" t="s">
        <v>9579</v>
      </c>
    </row>
    <row r="231" spans="1:31" ht="8.65" customHeight="1" x14ac:dyDescent="0.2">
      <c r="A231" s="76">
        <v>231</v>
      </c>
      <c r="B231" s="67" t="str">
        <f>MID(C231, FIND("Ifc.", C231) + 4, 4) &amp; "_" &amp; TEXT(COUNTIF($C$2:C231, C231),"0000")</f>
        <v>Prop_0230</v>
      </c>
      <c r="C231" s="24" t="s">
        <v>872</v>
      </c>
      <c r="D231" s="69" t="s">
        <v>9453</v>
      </c>
      <c r="E231" s="70" t="s">
        <v>9454</v>
      </c>
      <c r="F231" s="17" t="s">
        <v>806</v>
      </c>
      <c r="G231" s="22" t="s">
        <v>1129</v>
      </c>
      <c r="H231" s="12" t="s">
        <v>9703</v>
      </c>
      <c r="I231" s="13" t="s">
        <v>9409</v>
      </c>
      <c r="J231" s="14" t="s">
        <v>798</v>
      </c>
      <c r="K231" s="15" t="s">
        <v>798</v>
      </c>
      <c r="L231" s="12" t="s">
        <v>5315</v>
      </c>
      <c r="M231" s="13" t="s">
        <v>5556</v>
      </c>
      <c r="N231" s="12" t="s">
        <v>803</v>
      </c>
      <c r="O231" s="13" t="s">
        <v>5169</v>
      </c>
      <c r="P231" s="17" t="s">
        <v>802</v>
      </c>
      <c r="Q231" s="21" t="s">
        <v>7728</v>
      </c>
      <c r="R231" s="17" t="s">
        <v>801</v>
      </c>
      <c r="S231" s="18" t="s">
        <v>2560</v>
      </c>
      <c r="T231" s="17" t="s">
        <v>800</v>
      </c>
      <c r="U231" s="18" t="s">
        <v>5236</v>
      </c>
      <c r="V231" s="17" t="s">
        <v>9418</v>
      </c>
      <c r="W231" s="18" t="s">
        <v>5309</v>
      </c>
      <c r="X231" s="69" t="s">
        <v>9453</v>
      </c>
      <c r="Y231" s="70" t="s">
        <v>9462</v>
      </c>
      <c r="Z231" s="73" t="s">
        <v>9486</v>
      </c>
      <c r="AA231" s="74" t="s">
        <v>9504</v>
      </c>
      <c r="AB231" s="73" t="s">
        <v>9486</v>
      </c>
      <c r="AC231" s="74" t="s">
        <v>9562</v>
      </c>
      <c r="AD231" s="73" t="s">
        <v>9578</v>
      </c>
      <c r="AE231" s="74" t="s">
        <v>9579</v>
      </c>
    </row>
    <row r="232" spans="1:31" ht="8.65" customHeight="1" x14ac:dyDescent="0.2">
      <c r="A232" s="76">
        <v>232</v>
      </c>
      <c r="B232" s="67" t="str">
        <f>MID(C232, FIND("Ifc.", C232) + 4, 4) &amp; "_" &amp; TEXT(COUNTIF($C$2:C232, C232),"0000")</f>
        <v>Prop_0231</v>
      </c>
      <c r="C232" s="24" t="s">
        <v>872</v>
      </c>
      <c r="D232" s="69" t="s">
        <v>9453</v>
      </c>
      <c r="E232" s="70" t="s">
        <v>9454</v>
      </c>
      <c r="F232" s="17" t="s">
        <v>806</v>
      </c>
      <c r="G232" s="22" t="s">
        <v>1129</v>
      </c>
      <c r="H232" s="12" t="s">
        <v>9703</v>
      </c>
      <c r="I232" s="13" t="s">
        <v>9409</v>
      </c>
      <c r="J232" s="14" t="s">
        <v>798</v>
      </c>
      <c r="K232" s="15" t="s">
        <v>798</v>
      </c>
      <c r="L232" s="12" t="s">
        <v>5315</v>
      </c>
      <c r="M232" s="13" t="s">
        <v>5563</v>
      </c>
      <c r="N232" s="12" t="s">
        <v>803</v>
      </c>
      <c r="O232" s="13" t="s">
        <v>5178</v>
      </c>
      <c r="P232" s="17" t="s">
        <v>802</v>
      </c>
      <c r="Q232" s="21" t="s">
        <v>7810</v>
      </c>
      <c r="R232" s="17" t="s">
        <v>801</v>
      </c>
      <c r="S232" s="18" t="s">
        <v>2554</v>
      </c>
      <c r="T232" s="17" t="s">
        <v>800</v>
      </c>
      <c r="U232" s="18" t="s">
        <v>5233</v>
      </c>
      <c r="V232" s="17" t="s">
        <v>9418</v>
      </c>
      <c r="W232" s="18" t="s">
        <v>5309</v>
      </c>
      <c r="X232" s="69" t="s">
        <v>9453</v>
      </c>
      <c r="Y232" s="70" t="s">
        <v>9462</v>
      </c>
      <c r="Z232" s="73" t="s">
        <v>9486</v>
      </c>
      <c r="AA232" s="74" t="s">
        <v>9504</v>
      </c>
      <c r="AB232" s="73" t="s">
        <v>9486</v>
      </c>
      <c r="AC232" s="74" t="s">
        <v>9562</v>
      </c>
      <c r="AD232" s="73" t="s">
        <v>9578</v>
      </c>
      <c r="AE232" s="74" t="s">
        <v>9579</v>
      </c>
    </row>
    <row r="233" spans="1:31" ht="8.65" customHeight="1" x14ac:dyDescent="0.2">
      <c r="A233" s="76">
        <v>233</v>
      </c>
      <c r="B233" s="67" t="str">
        <f>MID(C233, FIND("Ifc.", C233) + 4, 4) &amp; "_" &amp; TEXT(COUNTIF($C$2:C233, C233),"0000")</f>
        <v>Prop_0232</v>
      </c>
      <c r="C233" s="24" t="s">
        <v>872</v>
      </c>
      <c r="D233" s="69" t="s">
        <v>9453</v>
      </c>
      <c r="E233" s="70" t="s">
        <v>9454</v>
      </c>
      <c r="F233" s="17" t="s">
        <v>806</v>
      </c>
      <c r="G233" s="22" t="s">
        <v>1129</v>
      </c>
      <c r="H233" s="12" t="s">
        <v>9703</v>
      </c>
      <c r="I233" s="13" t="s">
        <v>9409</v>
      </c>
      <c r="J233" s="14" t="s">
        <v>798</v>
      </c>
      <c r="K233" s="15" t="s">
        <v>798</v>
      </c>
      <c r="L233" s="12" t="s">
        <v>5315</v>
      </c>
      <c r="M233" s="13" t="s">
        <v>5579</v>
      </c>
      <c r="N233" s="12" t="s">
        <v>803</v>
      </c>
      <c r="O233" s="13" t="s">
        <v>5225</v>
      </c>
      <c r="P233" s="17" t="s">
        <v>802</v>
      </c>
      <c r="Q233" s="21" t="s">
        <v>7811</v>
      </c>
      <c r="R233" s="17" t="s">
        <v>801</v>
      </c>
      <c r="S233" s="18" t="s">
        <v>2560</v>
      </c>
      <c r="T233" s="17" t="s">
        <v>800</v>
      </c>
      <c r="U233" s="18" t="s">
        <v>5236</v>
      </c>
      <c r="V233" s="17" t="s">
        <v>9418</v>
      </c>
      <c r="W233" s="18" t="s">
        <v>5309</v>
      </c>
      <c r="X233" s="69" t="s">
        <v>9453</v>
      </c>
      <c r="Y233" s="70" t="s">
        <v>9462</v>
      </c>
      <c r="Z233" s="73" t="s">
        <v>9486</v>
      </c>
      <c r="AA233" s="74" t="s">
        <v>9504</v>
      </c>
      <c r="AB233" s="73" t="s">
        <v>9486</v>
      </c>
      <c r="AC233" s="74" t="s">
        <v>9562</v>
      </c>
      <c r="AD233" s="73" t="s">
        <v>9578</v>
      </c>
      <c r="AE233" s="74" t="s">
        <v>9579</v>
      </c>
    </row>
    <row r="234" spans="1:31" ht="8.65" customHeight="1" x14ac:dyDescent="0.2">
      <c r="A234" s="76">
        <v>234</v>
      </c>
      <c r="B234" s="67" t="str">
        <f>MID(C234, FIND("Ifc.", C234) + 4, 4) &amp; "_" &amp; TEXT(COUNTIF($C$2:C234, C234),"0000")</f>
        <v>Prop_0233</v>
      </c>
      <c r="C234" s="24" t="s">
        <v>872</v>
      </c>
      <c r="D234" s="69" t="s">
        <v>9453</v>
      </c>
      <c r="E234" s="70" t="s">
        <v>9454</v>
      </c>
      <c r="F234" s="17" t="s">
        <v>806</v>
      </c>
      <c r="G234" s="22" t="s">
        <v>1113</v>
      </c>
      <c r="H234" s="12" t="s">
        <v>9703</v>
      </c>
      <c r="I234" s="13" t="s">
        <v>6165</v>
      </c>
      <c r="J234" s="14" t="s">
        <v>798</v>
      </c>
      <c r="K234" s="15" t="s">
        <v>798</v>
      </c>
      <c r="L234" s="12" t="s">
        <v>5315</v>
      </c>
      <c r="M234" s="13" t="s">
        <v>6037</v>
      </c>
      <c r="N234" s="12" t="s">
        <v>803</v>
      </c>
      <c r="O234" s="13" t="s">
        <v>4857</v>
      </c>
      <c r="P234" s="17" t="s">
        <v>802</v>
      </c>
      <c r="Q234" s="21" t="s">
        <v>7744</v>
      </c>
      <c r="R234" s="17" t="s">
        <v>801</v>
      </c>
      <c r="S234" s="18" t="s">
        <v>2619</v>
      </c>
      <c r="T234" s="17" t="s">
        <v>800</v>
      </c>
      <c r="U234" s="18" t="s">
        <v>5239</v>
      </c>
      <c r="V234" s="17" t="s">
        <v>9418</v>
      </c>
      <c r="W234" s="18" t="s">
        <v>5312</v>
      </c>
      <c r="X234" s="69" t="s">
        <v>9453</v>
      </c>
      <c r="Y234" s="70" t="s">
        <v>9465</v>
      </c>
      <c r="Z234" s="73" t="s">
        <v>9486</v>
      </c>
      <c r="AA234" s="74" t="s">
        <v>9504</v>
      </c>
      <c r="AB234" s="73" t="s">
        <v>9486</v>
      </c>
      <c r="AC234" s="74" t="s">
        <v>9566</v>
      </c>
      <c r="AD234" s="73" t="s">
        <v>9578</v>
      </c>
      <c r="AE234" s="74" t="s">
        <v>9579</v>
      </c>
    </row>
    <row r="235" spans="1:31" ht="8.65" customHeight="1" x14ac:dyDescent="0.2">
      <c r="A235" s="76">
        <v>235</v>
      </c>
      <c r="B235" s="67" t="str">
        <f>MID(C235, FIND("Ifc.", C235) + 4, 4) &amp; "_" &amp; TEXT(COUNTIF($C$2:C235, C235),"0000")</f>
        <v>Prop_0234</v>
      </c>
      <c r="C235" s="24" t="s">
        <v>872</v>
      </c>
      <c r="D235" s="69" t="s">
        <v>9453</v>
      </c>
      <c r="E235" s="70" t="s">
        <v>9454</v>
      </c>
      <c r="F235" s="17" t="s">
        <v>806</v>
      </c>
      <c r="G235" s="22" t="s">
        <v>1113</v>
      </c>
      <c r="H235" s="12" t="s">
        <v>9703</v>
      </c>
      <c r="I235" s="13" t="s">
        <v>6165</v>
      </c>
      <c r="J235" s="14" t="s">
        <v>798</v>
      </c>
      <c r="K235" s="15" t="s">
        <v>798</v>
      </c>
      <c r="L235" s="12" t="s">
        <v>5315</v>
      </c>
      <c r="M235" s="13" t="s">
        <v>5892</v>
      </c>
      <c r="N235" s="12" t="s">
        <v>803</v>
      </c>
      <c r="O235" s="13" t="s">
        <v>4961</v>
      </c>
      <c r="P235" s="17" t="s">
        <v>802</v>
      </c>
      <c r="Q235" s="21" t="s">
        <v>7745</v>
      </c>
      <c r="R235" s="17" t="s">
        <v>801</v>
      </c>
      <c r="S235" s="18" t="s">
        <v>3636</v>
      </c>
      <c r="T235" s="17" t="s">
        <v>800</v>
      </c>
      <c r="U235" s="18" t="s">
        <v>5257</v>
      </c>
      <c r="V235" s="17" t="s">
        <v>9418</v>
      </c>
      <c r="W235" s="18" t="s">
        <v>5314</v>
      </c>
      <c r="X235" s="69" t="s">
        <v>9453</v>
      </c>
      <c r="Y235" s="70" t="s">
        <v>9464</v>
      </c>
      <c r="Z235" s="73" t="s">
        <v>9486</v>
      </c>
      <c r="AA235" s="74" t="s">
        <v>9504</v>
      </c>
      <c r="AB235" s="73" t="s">
        <v>9486</v>
      </c>
      <c r="AC235" s="74" t="s">
        <v>9561</v>
      </c>
      <c r="AD235" s="73" t="s">
        <v>9578</v>
      </c>
      <c r="AE235" s="74" t="s">
        <v>9579</v>
      </c>
    </row>
    <row r="236" spans="1:31" ht="8.65" customHeight="1" x14ac:dyDescent="0.2">
      <c r="A236" s="76">
        <v>236</v>
      </c>
      <c r="B236" s="67" t="str">
        <f>MID(C236, FIND("Ifc.", C236) + 4, 4) &amp; "_" &amp; TEXT(COUNTIF($C$2:C236, C236),"0000")</f>
        <v>Prop_0235</v>
      </c>
      <c r="C236" s="24" t="s">
        <v>872</v>
      </c>
      <c r="D236" s="69" t="s">
        <v>9453</v>
      </c>
      <c r="E236" s="70" t="s">
        <v>9454</v>
      </c>
      <c r="F236" s="17" t="s">
        <v>806</v>
      </c>
      <c r="G236" s="22" t="s">
        <v>1819</v>
      </c>
      <c r="H236" s="12" t="s">
        <v>9703</v>
      </c>
      <c r="I236" s="13" t="s">
        <v>7155</v>
      </c>
      <c r="J236" s="14" t="s">
        <v>798</v>
      </c>
      <c r="K236" s="15" t="s">
        <v>798</v>
      </c>
      <c r="L236" s="12" t="s">
        <v>5315</v>
      </c>
      <c r="M236" s="13" t="s">
        <v>5456</v>
      </c>
      <c r="N236" s="12" t="s">
        <v>803</v>
      </c>
      <c r="O236" s="13" t="s">
        <v>5026</v>
      </c>
      <c r="P236" s="17" t="s">
        <v>802</v>
      </c>
      <c r="Q236" s="21" t="s">
        <v>7801</v>
      </c>
      <c r="R236" s="17" t="s">
        <v>801</v>
      </c>
      <c r="S236" s="18" t="s">
        <v>2625</v>
      </c>
      <c r="T236" s="17" t="s">
        <v>800</v>
      </c>
      <c r="U236" s="18" t="s">
        <v>5240</v>
      </c>
      <c r="V236" s="17" t="s">
        <v>9418</v>
      </c>
      <c r="W236" s="18" t="s">
        <v>5309</v>
      </c>
      <c r="X236" s="69" t="s">
        <v>9453</v>
      </c>
      <c r="Y236" s="70" t="s">
        <v>9462</v>
      </c>
      <c r="Z236" s="73" t="s">
        <v>9486</v>
      </c>
      <c r="AA236" s="74" t="s">
        <v>9504</v>
      </c>
      <c r="AB236" s="73" t="s">
        <v>9486</v>
      </c>
      <c r="AC236" s="74" t="s">
        <v>9566</v>
      </c>
      <c r="AD236" s="73" t="s">
        <v>9578</v>
      </c>
      <c r="AE236" s="74" t="s">
        <v>9579</v>
      </c>
    </row>
    <row r="237" spans="1:31" ht="8.65" customHeight="1" x14ac:dyDescent="0.2">
      <c r="A237" s="76">
        <v>237</v>
      </c>
      <c r="B237" s="67" t="str">
        <f>MID(C237, FIND("Ifc.", C237) + 4, 4) &amp; "_" &amp; TEXT(COUNTIF($C$2:C237, C237),"0000")</f>
        <v>Prop_0236</v>
      </c>
      <c r="C237" s="24" t="s">
        <v>872</v>
      </c>
      <c r="D237" s="69" t="s">
        <v>9453</v>
      </c>
      <c r="E237" s="70" t="s">
        <v>9454</v>
      </c>
      <c r="F237" s="17" t="s">
        <v>806</v>
      </c>
      <c r="G237" s="22" t="s">
        <v>927</v>
      </c>
      <c r="H237" s="12" t="s">
        <v>9703</v>
      </c>
      <c r="I237" s="13" t="s">
        <v>6072</v>
      </c>
      <c r="J237" s="14" t="s">
        <v>798</v>
      </c>
      <c r="K237" s="15" t="s">
        <v>798</v>
      </c>
      <c r="L237" s="12" t="s">
        <v>5315</v>
      </c>
      <c r="M237" s="13" t="s">
        <v>5372</v>
      </c>
      <c r="N237" s="12" t="s">
        <v>803</v>
      </c>
      <c r="O237" s="13" t="s">
        <v>4813</v>
      </c>
      <c r="P237" s="17" t="s">
        <v>802</v>
      </c>
      <c r="Q237" s="21" t="s">
        <v>7812</v>
      </c>
      <c r="R237" s="17" t="s">
        <v>801</v>
      </c>
      <c r="S237" s="18" t="s">
        <v>2619</v>
      </c>
      <c r="T237" s="17" t="s">
        <v>800</v>
      </c>
      <c r="U237" s="18" t="s">
        <v>5239</v>
      </c>
      <c r="V237" s="17" t="s">
        <v>9418</v>
      </c>
      <c r="W237" s="18" t="s">
        <v>5309</v>
      </c>
      <c r="X237" s="69" t="s">
        <v>9453</v>
      </c>
      <c r="Y237" s="70" t="s">
        <v>9462</v>
      </c>
      <c r="Z237" s="73" t="s">
        <v>9486</v>
      </c>
      <c r="AA237" s="74" t="s">
        <v>9504</v>
      </c>
      <c r="AB237" s="73" t="s">
        <v>9486</v>
      </c>
      <c r="AC237" s="74" t="s">
        <v>9566</v>
      </c>
      <c r="AD237" s="73" t="s">
        <v>9578</v>
      </c>
      <c r="AE237" s="74" t="s">
        <v>9579</v>
      </c>
    </row>
    <row r="238" spans="1:31" ht="8.65" customHeight="1" x14ac:dyDescent="0.2">
      <c r="A238" s="76">
        <v>238</v>
      </c>
      <c r="B238" s="67" t="str">
        <f>MID(C238, FIND("Ifc.", C238) + 4, 4) &amp; "_" &amp; TEXT(COUNTIF($C$2:C238, C238),"0000")</f>
        <v>Prop_0237</v>
      </c>
      <c r="C238" s="24" t="s">
        <v>872</v>
      </c>
      <c r="D238" s="69" t="s">
        <v>9453</v>
      </c>
      <c r="E238" s="70" t="s">
        <v>9454</v>
      </c>
      <c r="F238" s="17" t="s">
        <v>806</v>
      </c>
      <c r="G238" s="22" t="s">
        <v>926</v>
      </c>
      <c r="H238" s="12" t="s">
        <v>9703</v>
      </c>
      <c r="I238" s="13" t="s">
        <v>6071</v>
      </c>
      <c r="J238" s="14" t="s">
        <v>798</v>
      </c>
      <c r="K238" s="15" t="s">
        <v>798</v>
      </c>
      <c r="L238" s="12" t="s">
        <v>5315</v>
      </c>
      <c r="M238" s="13" t="s">
        <v>5372</v>
      </c>
      <c r="N238" s="12" t="s">
        <v>803</v>
      </c>
      <c r="O238" s="13" t="s">
        <v>4813</v>
      </c>
      <c r="P238" s="17" t="s">
        <v>802</v>
      </c>
      <c r="Q238" s="21" t="s">
        <v>7812</v>
      </c>
      <c r="R238" s="17" t="s">
        <v>801</v>
      </c>
      <c r="S238" s="18" t="s">
        <v>2619</v>
      </c>
      <c r="T238" s="17" t="s">
        <v>800</v>
      </c>
      <c r="U238" s="18" t="s">
        <v>5239</v>
      </c>
      <c r="V238" s="17" t="s">
        <v>9418</v>
      </c>
      <c r="W238" s="18" t="s">
        <v>5309</v>
      </c>
      <c r="X238" s="69" t="s">
        <v>9453</v>
      </c>
      <c r="Y238" s="70" t="s">
        <v>9462</v>
      </c>
      <c r="Z238" s="73" t="s">
        <v>9486</v>
      </c>
      <c r="AA238" s="74" t="s">
        <v>9504</v>
      </c>
      <c r="AB238" s="73" t="s">
        <v>9486</v>
      </c>
      <c r="AC238" s="74" t="s">
        <v>9566</v>
      </c>
      <c r="AD238" s="73" t="s">
        <v>9578</v>
      </c>
      <c r="AE238" s="74" t="s">
        <v>9579</v>
      </c>
    </row>
    <row r="239" spans="1:31" ht="8.65" customHeight="1" x14ac:dyDescent="0.2">
      <c r="A239" s="76">
        <v>239</v>
      </c>
      <c r="B239" s="67" t="str">
        <f>MID(C239, FIND("Ifc.", C239) + 4, 4) &amp; "_" &amp; TEXT(COUNTIF($C$2:C239, C239),"0000")</f>
        <v>Prop_0238</v>
      </c>
      <c r="C239" s="24" t="s">
        <v>872</v>
      </c>
      <c r="D239" s="69" t="s">
        <v>9453</v>
      </c>
      <c r="E239" s="70" t="s">
        <v>9454</v>
      </c>
      <c r="F239" s="17" t="s">
        <v>806</v>
      </c>
      <c r="G239" s="22" t="s">
        <v>1114</v>
      </c>
      <c r="H239" s="12" t="s">
        <v>9703</v>
      </c>
      <c r="I239" s="13" t="s">
        <v>7152</v>
      </c>
      <c r="J239" s="14" t="s">
        <v>798</v>
      </c>
      <c r="K239" s="15" t="s">
        <v>798</v>
      </c>
      <c r="L239" s="12" t="s">
        <v>5315</v>
      </c>
      <c r="M239" s="13" t="s">
        <v>6037</v>
      </c>
      <c r="N239" s="12" t="s">
        <v>803</v>
      </c>
      <c r="O239" s="13" t="s">
        <v>4857</v>
      </c>
      <c r="P239" s="17" t="s">
        <v>802</v>
      </c>
      <c r="Q239" s="21" t="s">
        <v>7744</v>
      </c>
      <c r="R239" s="17" t="s">
        <v>801</v>
      </c>
      <c r="S239" s="18" t="s">
        <v>2619</v>
      </c>
      <c r="T239" s="17" t="s">
        <v>800</v>
      </c>
      <c r="U239" s="18" t="s">
        <v>5239</v>
      </c>
      <c r="V239" s="17" t="s">
        <v>9418</v>
      </c>
      <c r="W239" s="18" t="s">
        <v>5312</v>
      </c>
      <c r="X239" s="69" t="s">
        <v>9453</v>
      </c>
      <c r="Y239" s="70" t="s">
        <v>9465</v>
      </c>
      <c r="Z239" s="73" t="s">
        <v>9486</v>
      </c>
      <c r="AA239" s="74" t="s">
        <v>9504</v>
      </c>
      <c r="AB239" s="73" t="s">
        <v>9486</v>
      </c>
      <c r="AC239" s="74" t="s">
        <v>9566</v>
      </c>
      <c r="AD239" s="73" t="s">
        <v>9578</v>
      </c>
      <c r="AE239" s="74" t="s">
        <v>9579</v>
      </c>
    </row>
    <row r="240" spans="1:31" ht="8.65" customHeight="1" x14ac:dyDescent="0.2">
      <c r="A240" s="76">
        <v>240</v>
      </c>
      <c r="B240" s="67" t="str">
        <f>MID(C240, FIND("Ifc.", C240) + 4, 4) &amp; "_" &amp; TEXT(COUNTIF($C$2:C240, C240),"0000")</f>
        <v>Prop_0239</v>
      </c>
      <c r="C240" s="24" t="s">
        <v>872</v>
      </c>
      <c r="D240" s="69" t="s">
        <v>9453</v>
      </c>
      <c r="E240" s="70" t="s">
        <v>9454</v>
      </c>
      <c r="F240" s="17" t="s">
        <v>806</v>
      </c>
      <c r="G240" s="22" t="s">
        <v>1114</v>
      </c>
      <c r="H240" s="12" t="s">
        <v>9703</v>
      </c>
      <c r="I240" s="13" t="s">
        <v>7152</v>
      </c>
      <c r="J240" s="14" t="s">
        <v>798</v>
      </c>
      <c r="K240" s="15" t="s">
        <v>798</v>
      </c>
      <c r="L240" s="12" t="s">
        <v>5315</v>
      </c>
      <c r="M240" s="13" t="s">
        <v>5892</v>
      </c>
      <c r="N240" s="12" t="s">
        <v>803</v>
      </c>
      <c r="O240" s="13" t="s">
        <v>4961</v>
      </c>
      <c r="P240" s="17" t="s">
        <v>802</v>
      </c>
      <c r="Q240" s="21" t="s">
        <v>7745</v>
      </c>
      <c r="R240" s="17" t="s">
        <v>801</v>
      </c>
      <c r="S240" s="18" t="s">
        <v>3636</v>
      </c>
      <c r="T240" s="17" t="s">
        <v>800</v>
      </c>
      <c r="U240" s="18" t="s">
        <v>5257</v>
      </c>
      <c r="V240" s="17" t="s">
        <v>9418</v>
      </c>
      <c r="W240" s="18" t="s">
        <v>5314</v>
      </c>
      <c r="X240" s="69" t="s">
        <v>9453</v>
      </c>
      <c r="Y240" s="70" t="s">
        <v>9464</v>
      </c>
      <c r="Z240" s="73" t="s">
        <v>9486</v>
      </c>
      <c r="AA240" s="74" t="s">
        <v>9504</v>
      </c>
      <c r="AB240" s="73" t="s">
        <v>9486</v>
      </c>
      <c r="AC240" s="74" t="s">
        <v>9561</v>
      </c>
      <c r="AD240" s="73" t="s">
        <v>9578</v>
      </c>
      <c r="AE240" s="74" t="s">
        <v>9579</v>
      </c>
    </row>
    <row r="241" spans="1:31" ht="8.65" customHeight="1" x14ac:dyDescent="0.2">
      <c r="A241" s="76">
        <v>241</v>
      </c>
      <c r="B241" s="67" t="str">
        <f>MID(C241, FIND("Ifc.", C241) + 4, 4) &amp; "_" &amp; TEXT(COUNTIF($C$2:C241, C241),"0000")</f>
        <v>Prop_0240</v>
      </c>
      <c r="C241" s="24" t="s">
        <v>872</v>
      </c>
      <c r="D241" s="69" t="s">
        <v>9453</v>
      </c>
      <c r="E241" s="70" t="s">
        <v>9454</v>
      </c>
      <c r="F241" s="17" t="s">
        <v>806</v>
      </c>
      <c r="G241" s="22" t="s">
        <v>1561</v>
      </c>
      <c r="H241" s="12" t="s">
        <v>9703</v>
      </c>
      <c r="I241" s="13" t="s">
        <v>7372</v>
      </c>
      <c r="J241" s="14" t="s">
        <v>798</v>
      </c>
      <c r="K241" s="15" t="s">
        <v>798</v>
      </c>
      <c r="L241" s="12" t="s">
        <v>5315</v>
      </c>
      <c r="M241" s="13" t="s">
        <v>5891</v>
      </c>
      <c r="N241" s="12" t="s">
        <v>803</v>
      </c>
      <c r="O241" s="13" t="s">
        <v>4960</v>
      </c>
      <c r="P241" s="17" t="s">
        <v>802</v>
      </c>
      <c r="Q241" s="21" t="s">
        <v>7813</v>
      </c>
      <c r="R241" s="17" t="s">
        <v>801</v>
      </c>
      <c r="S241" s="18" t="s">
        <v>3636</v>
      </c>
      <c r="T241" s="17" t="s">
        <v>800</v>
      </c>
      <c r="U241" s="18" t="s">
        <v>5257</v>
      </c>
      <c r="V241" s="17" t="s">
        <v>9418</v>
      </c>
      <c r="W241" s="18" t="s">
        <v>5314</v>
      </c>
      <c r="X241" s="69" t="s">
        <v>9453</v>
      </c>
      <c r="Y241" s="70" t="s">
        <v>9464</v>
      </c>
      <c r="Z241" s="73" t="s">
        <v>9486</v>
      </c>
      <c r="AA241" s="74" t="s">
        <v>9504</v>
      </c>
      <c r="AB241" s="73" t="s">
        <v>9486</v>
      </c>
      <c r="AC241" s="74" t="s">
        <v>9561</v>
      </c>
      <c r="AD241" s="73" t="s">
        <v>9578</v>
      </c>
      <c r="AE241" s="74" t="s">
        <v>9579</v>
      </c>
    </row>
    <row r="242" spans="1:31" ht="8.65" customHeight="1" x14ac:dyDescent="0.2">
      <c r="A242" s="76">
        <v>242</v>
      </c>
      <c r="B242" s="67" t="str">
        <f>MID(C242, FIND("Ifc.", C242) + 4, 4) &amp; "_" &amp; TEXT(COUNTIF($C$2:C242, C242),"0000")</f>
        <v>Prop_0241</v>
      </c>
      <c r="C242" s="24" t="s">
        <v>872</v>
      </c>
      <c r="D242" s="69" t="s">
        <v>9453</v>
      </c>
      <c r="E242" s="70" t="s">
        <v>9454</v>
      </c>
      <c r="F242" s="17" t="s">
        <v>806</v>
      </c>
      <c r="G242" s="22" t="s">
        <v>1500</v>
      </c>
      <c r="H242" s="12" t="s">
        <v>9703</v>
      </c>
      <c r="I242" s="13" t="s">
        <v>6345</v>
      </c>
      <c r="J242" s="14" t="s">
        <v>798</v>
      </c>
      <c r="K242" s="15" t="s">
        <v>798</v>
      </c>
      <c r="L242" s="12" t="s">
        <v>5315</v>
      </c>
      <c r="M242" s="13" t="s">
        <v>5829</v>
      </c>
      <c r="N242" s="12" t="s">
        <v>803</v>
      </c>
      <c r="O242" s="13" t="s">
        <v>4950</v>
      </c>
      <c r="P242" s="17" t="s">
        <v>802</v>
      </c>
      <c r="Q242" s="21" t="s">
        <v>7814</v>
      </c>
      <c r="R242" s="17" t="s">
        <v>801</v>
      </c>
      <c r="S242" s="18" t="s">
        <v>2554</v>
      </c>
      <c r="T242" s="17" t="s">
        <v>800</v>
      </c>
      <c r="U242" s="18" t="s">
        <v>5233</v>
      </c>
      <c r="V242" s="17" t="s">
        <v>9418</v>
      </c>
      <c r="W242" s="18" t="s">
        <v>5309</v>
      </c>
      <c r="X242" s="69" t="s">
        <v>9453</v>
      </c>
      <c r="Y242" s="70" t="s">
        <v>9462</v>
      </c>
      <c r="Z242" s="73" t="s">
        <v>9486</v>
      </c>
      <c r="AA242" s="74" t="s">
        <v>9504</v>
      </c>
      <c r="AB242" s="73" t="s">
        <v>9486</v>
      </c>
      <c r="AC242" s="74" t="s">
        <v>9562</v>
      </c>
      <c r="AD242" s="73" t="s">
        <v>9578</v>
      </c>
      <c r="AE242" s="74" t="s">
        <v>9579</v>
      </c>
    </row>
    <row r="243" spans="1:31" ht="8.65" customHeight="1" x14ac:dyDescent="0.2">
      <c r="A243" s="76">
        <v>243</v>
      </c>
      <c r="B243" s="67" t="str">
        <f>MID(C243, FIND("Ifc.", C243) + 4, 4) &amp; "_" &amp; TEXT(COUNTIF($C$2:C243, C243),"0000")</f>
        <v>Prop_0242</v>
      </c>
      <c r="C243" s="24" t="s">
        <v>872</v>
      </c>
      <c r="D243" s="69" t="s">
        <v>9453</v>
      </c>
      <c r="E243" s="70" t="s">
        <v>9454</v>
      </c>
      <c r="F243" s="17" t="s">
        <v>806</v>
      </c>
      <c r="G243" s="22" t="s">
        <v>1500</v>
      </c>
      <c r="H243" s="12" t="s">
        <v>9703</v>
      </c>
      <c r="I243" s="13" t="s">
        <v>6345</v>
      </c>
      <c r="J243" s="14" t="s">
        <v>798</v>
      </c>
      <c r="K243" s="15" t="s">
        <v>798</v>
      </c>
      <c r="L243" s="12" t="s">
        <v>5315</v>
      </c>
      <c r="M243" s="13" t="s">
        <v>5828</v>
      </c>
      <c r="N243" s="12" t="s">
        <v>803</v>
      </c>
      <c r="O243" s="13" t="s">
        <v>4949</v>
      </c>
      <c r="P243" s="17" t="s">
        <v>802</v>
      </c>
      <c r="Q243" s="21" t="s">
        <v>7815</v>
      </c>
      <c r="R243" s="17" t="s">
        <v>801</v>
      </c>
      <c r="S243" s="18" t="s">
        <v>2554</v>
      </c>
      <c r="T243" s="17" t="s">
        <v>800</v>
      </c>
      <c r="U243" s="18" t="s">
        <v>5233</v>
      </c>
      <c r="V243" s="17" t="s">
        <v>9418</v>
      </c>
      <c r="W243" s="18" t="s">
        <v>5309</v>
      </c>
      <c r="X243" s="69" t="s">
        <v>9453</v>
      </c>
      <c r="Y243" s="70" t="s">
        <v>9462</v>
      </c>
      <c r="Z243" s="73" t="s">
        <v>9486</v>
      </c>
      <c r="AA243" s="74" t="s">
        <v>9504</v>
      </c>
      <c r="AB243" s="73" t="s">
        <v>9486</v>
      </c>
      <c r="AC243" s="74" t="s">
        <v>9562</v>
      </c>
      <c r="AD243" s="73" t="s">
        <v>9578</v>
      </c>
      <c r="AE243" s="74" t="s">
        <v>9579</v>
      </c>
    </row>
    <row r="244" spans="1:31" ht="8.65" customHeight="1" x14ac:dyDescent="0.2">
      <c r="A244" s="76">
        <v>244</v>
      </c>
      <c r="B244" s="67" t="str">
        <f>MID(C244, FIND("Ifc.", C244) + 4, 4) &amp; "_" &amp; TEXT(COUNTIF($C$2:C244, C244),"0000")</f>
        <v>Prop_0243</v>
      </c>
      <c r="C244" s="24" t="s">
        <v>872</v>
      </c>
      <c r="D244" s="69" t="s">
        <v>9453</v>
      </c>
      <c r="E244" s="70" t="s">
        <v>9454</v>
      </c>
      <c r="F244" s="17" t="s">
        <v>806</v>
      </c>
      <c r="G244" s="22" t="s">
        <v>2307</v>
      </c>
      <c r="H244" s="12" t="s">
        <v>9703</v>
      </c>
      <c r="I244" s="13" t="s">
        <v>6724</v>
      </c>
      <c r="J244" s="14" t="s">
        <v>798</v>
      </c>
      <c r="K244" s="15" t="s">
        <v>798</v>
      </c>
      <c r="L244" s="12" t="s">
        <v>5315</v>
      </c>
      <c r="M244" s="13" t="s">
        <v>5554</v>
      </c>
      <c r="N244" s="12" t="s">
        <v>803</v>
      </c>
      <c r="O244" s="13" t="s">
        <v>5168</v>
      </c>
      <c r="P244" s="17" t="s">
        <v>802</v>
      </c>
      <c r="Q244" s="21" t="s">
        <v>7816</v>
      </c>
      <c r="R244" s="17" t="s">
        <v>801</v>
      </c>
      <c r="S244" s="18" t="s">
        <v>2554</v>
      </c>
      <c r="T244" s="17" t="s">
        <v>800</v>
      </c>
      <c r="U244" s="18" t="s">
        <v>5233</v>
      </c>
      <c r="V244" s="17" t="s">
        <v>9418</v>
      </c>
      <c r="W244" s="18" t="s">
        <v>5310</v>
      </c>
      <c r="X244" s="69" t="s">
        <v>9453</v>
      </c>
      <c r="Y244" s="70" t="s">
        <v>9463</v>
      </c>
      <c r="Z244" s="73" t="s">
        <v>9486</v>
      </c>
      <c r="AA244" s="74" t="s">
        <v>9504</v>
      </c>
      <c r="AB244" s="73" t="s">
        <v>9486</v>
      </c>
      <c r="AC244" s="74" t="s">
        <v>9562</v>
      </c>
      <c r="AD244" s="73" t="s">
        <v>9578</v>
      </c>
      <c r="AE244" s="74" t="s">
        <v>9579</v>
      </c>
    </row>
    <row r="245" spans="1:31" ht="8.65" customHeight="1" x14ac:dyDescent="0.2">
      <c r="A245" s="76">
        <v>245</v>
      </c>
      <c r="B245" s="67" t="str">
        <f>MID(C245, FIND("Ifc.", C245) + 4, 4) &amp; "_" &amp; TEXT(COUNTIF($C$2:C245, C245),"0000")</f>
        <v>Prop_0244</v>
      </c>
      <c r="C245" s="24" t="s">
        <v>872</v>
      </c>
      <c r="D245" s="69" t="s">
        <v>9453</v>
      </c>
      <c r="E245" s="70" t="s">
        <v>9454</v>
      </c>
      <c r="F245" s="17" t="s">
        <v>806</v>
      </c>
      <c r="G245" s="22" t="s">
        <v>1016</v>
      </c>
      <c r="H245" s="12" t="s">
        <v>9703</v>
      </c>
      <c r="I245" s="13" t="s">
        <v>6120</v>
      </c>
      <c r="J245" s="14" t="s">
        <v>798</v>
      </c>
      <c r="K245" s="15" t="s">
        <v>798</v>
      </c>
      <c r="L245" s="12" t="s">
        <v>5315</v>
      </c>
      <c r="M245" s="13" t="s">
        <v>5378</v>
      </c>
      <c r="N245" s="12" t="s">
        <v>803</v>
      </c>
      <c r="O245" s="13" t="s">
        <v>4835</v>
      </c>
      <c r="P245" s="17" t="s">
        <v>802</v>
      </c>
      <c r="Q245" s="21" t="s">
        <v>7817</v>
      </c>
      <c r="R245" s="17" t="s">
        <v>801</v>
      </c>
      <c r="S245" s="18" t="s">
        <v>2554</v>
      </c>
      <c r="T245" s="17" t="s">
        <v>800</v>
      </c>
      <c r="U245" s="18" t="s">
        <v>5233</v>
      </c>
      <c r="V245" s="17" t="s">
        <v>9418</v>
      </c>
      <c r="W245" s="18" t="s">
        <v>5309</v>
      </c>
      <c r="X245" s="69" t="s">
        <v>9453</v>
      </c>
      <c r="Y245" s="70" t="s">
        <v>9462</v>
      </c>
      <c r="Z245" s="73" t="s">
        <v>9486</v>
      </c>
      <c r="AA245" s="74" t="s">
        <v>9504</v>
      </c>
      <c r="AB245" s="73" t="s">
        <v>9486</v>
      </c>
      <c r="AC245" s="74" t="s">
        <v>9562</v>
      </c>
      <c r="AD245" s="73" t="s">
        <v>9578</v>
      </c>
      <c r="AE245" s="74" t="s">
        <v>9579</v>
      </c>
    </row>
    <row r="246" spans="1:31" ht="8.65" customHeight="1" x14ac:dyDescent="0.2">
      <c r="A246" s="76">
        <v>246</v>
      </c>
      <c r="B246" s="67" t="str">
        <f>MID(C246, FIND("Ifc.", C246) + 4, 4) &amp; "_" &amp; TEXT(COUNTIF($C$2:C246, C246),"0000")</f>
        <v>Prop_0245</v>
      </c>
      <c r="C246" s="24" t="s">
        <v>872</v>
      </c>
      <c r="D246" s="69" t="s">
        <v>9453</v>
      </c>
      <c r="E246" s="70" t="s">
        <v>9454</v>
      </c>
      <c r="F246" s="17" t="s">
        <v>806</v>
      </c>
      <c r="G246" s="22" t="s">
        <v>2211</v>
      </c>
      <c r="H246" s="12" t="s">
        <v>9703</v>
      </c>
      <c r="I246" s="13" t="s">
        <v>6679</v>
      </c>
      <c r="J246" s="14" t="s">
        <v>798</v>
      </c>
      <c r="K246" s="15" t="s">
        <v>798</v>
      </c>
      <c r="L246" s="12" t="s">
        <v>5315</v>
      </c>
      <c r="M246" s="13" t="s">
        <v>5507</v>
      </c>
      <c r="N246" s="12" t="s">
        <v>803</v>
      </c>
      <c r="O246" s="13" t="s">
        <v>5120</v>
      </c>
      <c r="P246" s="17" t="s">
        <v>802</v>
      </c>
      <c r="Q246" s="21" t="s">
        <v>7693</v>
      </c>
      <c r="R246" s="17" t="s">
        <v>801</v>
      </c>
      <c r="S246" s="18" t="s">
        <v>2669</v>
      </c>
      <c r="T246" s="17" t="s">
        <v>800</v>
      </c>
      <c r="U246" s="18" t="s">
        <v>5237</v>
      </c>
      <c r="V246" s="17" t="s">
        <v>9418</v>
      </c>
      <c r="W246" s="18" t="s">
        <v>5309</v>
      </c>
      <c r="X246" s="69" t="s">
        <v>9453</v>
      </c>
      <c r="Y246" s="70" t="s">
        <v>9462</v>
      </c>
      <c r="Z246" s="73" t="s">
        <v>9486</v>
      </c>
      <c r="AA246" s="74" t="s">
        <v>9504</v>
      </c>
      <c r="AB246" s="73" t="s">
        <v>9486</v>
      </c>
      <c r="AC246" s="74" t="s">
        <v>9562</v>
      </c>
      <c r="AD246" s="73" t="s">
        <v>9578</v>
      </c>
      <c r="AE246" s="74" t="s">
        <v>9579</v>
      </c>
    </row>
    <row r="247" spans="1:31" ht="8.65" customHeight="1" x14ac:dyDescent="0.2">
      <c r="A247" s="76">
        <v>247</v>
      </c>
      <c r="B247" s="67" t="str">
        <f>MID(C247, FIND("Ifc.", C247) + 4, 4) &amp; "_" &amp; TEXT(COUNTIF($C$2:C247, C247),"0000")</f>
        <v>Prop_0246</v>
      </c>
      <c r="C247" s="24" t="s">
        <v>872</v>
      </c>
      <c r="D247" s="69" t="s">
        <v>9453</v>
      </c>
      <c r="E247" s="70" t="s">
        <v>9454</v>
      </c>
      <c r="F247" s="17" t="s">
        <v>806</v>
      </c>
      <c r="G247" s="22" t="s">
        <v>2192</v>
      </c>
      <c r="H247" s="12" t="s">
        <v>9703</v>
      </c>
      <c r="I247" s="13" t="s">
        <v>6670</v>
      </c>
      <c r="J247" s="14" t="s">
        <v>798</v>
      </c>
      <c r="K247" s="15" t="s">
        <v>798</v>
      </c>
      <c r="L247" s="12" t="s">
        <v>5315</v>
      </c>
      <c r="M247" s="13" t="s">
        <v>5504</v>
      </c>
      <c r="N247" s="12" t="s">
        <v>803</v>
      </c>
      <c r="O247" s="13" t="s">
        <v>5117</v>
      </c>
      <c r="P247" s="17" t="s">
        <v>802</v>
      </c>
      <c r="Q247" s="21" t="s">
        <v>7743</v>
      </c>
      <c r="R247" s="17" t="s">
        <v>801</v>
      </c>
      <c r="S247" s="18" t="s">
        <v>2560</v>
      </c>
      <c r="T247" s="17" t="s">
        <v>800</v>
      </c>
      <c r="U247" s="18" t="s">
        <v>5236</v>
      </c>
      <c r="V247" s="17" t="s">
        <v>9418</v>
      </c>
      <c r="W247" s="18" t="s">
        <v>5309</v>
      </c>
      <c r="X247" s="69" t="s">
        <v>9453</v>
      </c>
      <c r="Y247" s="70" t="s">
        <v>9462</v>
      </c>
      <c r="Z247" s="73" t="s">
        <v>9486</v>
      </c>
      <c r="AA247" s="74" t="s">
        <v>9504</v>
      </c>
      <c r="AB247" s="73" t="s">
        <v>9486</v>
      </c>
      <c r="AC247" s="74" t="s">
        <v>9562</v>
      </c>
      <c r="AD247" s="73" t="s">
        <v>9578</v>
      </c>
      <c r="AE247" s="74" t="s">
        <v>9579</v>
      </c>
    </row>
    <row r="248" spans="1:31" ht="8.65" customHeight="1" x14ac:dyDescent="0.2">
      <c r="A248" s="76">
        <v>248</v>
      </c>
      <c r="B248" s="67" t="str">
        <f>MID(C248, FIND("Ifc.", C248) + 4, 4) &amp; "_" &amp; TEXT(COUNTIF($C$2:C248, C248),"0000")</f>
        <v>Prop_0247</v>
      </c>
      <c r="C248" s="24" t="s">
        <v>872</v>
      </c>
      <c r="D248" s="69" t="s">
        <v>9453</v>
      </c>
      <c r="E248" s="70" t="s">
        <v>9454</v>
      </c>
      <c r="F248" s="17" t="s">
        <v>806</v>
      </c>
      <c r="G248" s="22" t="s">
        <v>2012</v>
      </c>
      <c r="H248" s="12" t="s">
        <v>9703</v>
      </c>
      <c r="I248" s="13" t="s">
        <v>6607</v>
      </c>
      <c r="J248" s="14" t="s">
        <v>798</v>
      </c>
      <c r="K248" s="15" t="s">
        <v>798</v>
      </c>
      <c r="L248" s="12" t="s">
        <v>5315</v>
      </c>
      <c r="M248" s="13" t="s">
        <v>5480</v>
      </c>
      <c r="N248" s="12" t="s">
        <v>803</v>
      </c>
      <c r="O248" s="13" t="s">
        <v>5084</v>
      </c>
      <c r="P248" s="17" t="s">
        <v>802</v>
      </c>
      <c r="Q248" s="21" t="s">
        <v>7755</v>
      </c>
      <c r="R248" s="17" t="s">
        <v>801</v>
      </c>
      <c r="S248" s="18" t="s">
        <v>2583</v>
      </c>
      <c r="T248" s="17" t="s">
        <v>800</v>
      </c>
      <c r="U248" s="18" t="s">
        <v>5251</v>
      </c>
      <c r="V248" s="17" t="s">
        <v>9418</v>
      </c>
      <c r="W248" s="18" t="s">
        <v>5309</v>
      </c>
      <c r="X248" s="69" t="s">
        <v>9453</v>
      </c>
      <c r="Y248" s="70" t="s">
        <v>9462</v>
      </c>
      <c r="Z248" s="73" t="s">
        <v>9486</v>
      </c>
      <c r="AA248" s="74" t="s">
        <v>9504</v>
      </c>
      <c r="AB248" s="73" t="s">
        <v>9486</v>
      </c>
      <c r="AC248" s="74" t="s">
        <v>9566</v>
      </c>
      <c r="AD248" s="73" t="s">
        <v>9578</v>
      </c>
      <c r="AE248" s="74" t="s">
        <v>9579</v>
      </c>
    </row>
    <row r="249" spans="1:31" ht="8.65" customHeight="1" x14ac:dyDescent="0.2">
      <c r="A249" s="76">
        <v>249</v>
      </c>
      <c r="B249" s="67" t="str">
        <f>MID(C249, FIND("Ifc.", C249) + 4, 4) &amp; "_" &amp; TEXT(COUNTIF($C$2:C249, C249),"0000")</f>
        <v>Prop_0248</v>
      </c>
      <c r="C249" s="24" t="s">
        <v>872</v>
      </c>
      <c r="D249" s="69" t="s">
        <v>9453</v>
      </c>
      <c r="E249" s="70" t="s">
        <v>9454</v>
      </c>
      <c r="F249" s="17" t="s">
        <v>806</v>
      </c>
      <c r="G249" s="22" t="s">
        <v>2013</v>
      </c>
      <c r="H249" s="12" t="s">
        <v>9703</v>
      </c>
      <c r="I249" s="13" t="s">
        <v>6608</v>
      </c>
      <c r="J249" s="14" t="s">
        <v>798</v>
      </c>
      <c r="K249" s="15" t="s">
        <v>798</v>
      </c>
      <c r="L249" s="12" t="s">
        <v>5315</v>
      </c>
      <c r="M249" s="13" t="s">
        <v>5480</v>
      </c>
      <c r="N249" s="12" t="s">
        <v>803</v>
      </c>
      <c r="O249" s="13" t="s">
        <v>5084</v>
      </c>
      <c r="P249" s="17" t="s">
        <v>802</v>
      </c>
      <c r="Q249" s="21" t="s">
        <v>7755</v>
      </c>
      <c r="R249" s="17" t="s">
        <v>801</v>
      </c>
      <c r="S249" s="18" t="s">
        <v>2583</v>
      </c>
      <c r="T249" s="17" t="s">
        <v>800</v>
      </c>
      <c r="U249" s="18" t="s">
        <v>5251</v>
      </c>
      <c r="V249" s="17" t="s">
        <v>9418</v>
      </c>
      <c r="W249" s="18" t="s">
        <v>5309</v>
      </c>
      <c r="X249" s="69" t="s">
        <v>9453</v>
      </c>
      <c r="Y249" s="70" t="s">
        <v>9462</v>
      </c>
      <c r="Z249" s="73" t="s">
        <v>9486</v>
      </c>
      <c r="AA249" s="74" t="s">
        <v>9504</v>
      </c>
      <c r="AB249" s="73" t="s">
        <v>9486</v>
      </c>
      <c r="AC249" s="74" t="s">
        <v>9566</v>
      </c>
      <c r="AD249" s="73" t="s">
        <v>9578</v>
      </c>
      <c r="AE249" s="74" t="s">
        <v>9579</v>
      </c>
    </row>
    <row r="250" spans="1:31" ht="8.65" customHeight="1" x14ac:dyDescent="0.2">
      <c r="A250" s="76">
        <v>250</v>
      </c>
      <c r="B250" s="67" t="str">
        <f>MID(C250, FIND("Ifc.", C250) + 4, 4) &amp; "_" &amp; TEXT(COUNTIF($C$2:C250, C250),"0000")</f>
        <v>Prop_0249</v>
      </c>
      <c r="C250" s="24" t="s">
        <v>872</v>
      </c>
      <c r="D250" s="69" t="s">
        <v>9453</v>
      </c>
      <c r="E250" s="70" t="s">
        <v>9454</v>
      </c>
      <c r="F250" s="17" t="s">
        <v>806</v>
      </c>
      <c r="G250" s="22" t="s">
        <v>2031</v>
      </c>
      <c r="H250" s="12" t="s">
        <v>9703</v>
      </c>
      <c r="I250" s="13" t="s">
        <v>7671</v>
      </c>
      <c r="J250" s="14" t="s">
        <v>798</v>
      </c>
      <c r="K250" s="15" t="s">
        <v>798</v>
      </c>
      <c r="L250" s="12" t="s">
        <v>5315</v>
      </c>
      <c r="M250" s="13" t="s">
        <v>5481</v>
      </c>
      <c r="N250" s="12" t="s">
        <v>803</v>
      </c>
      <c r="O250" s="13" t="s">
        <v>5085</v>
      </c>
      <c r="P250" s="17" t="s">
        <v>802</v>
      </c>
      <c r="Q250" s="21" t="s">
        <v>7708</v>
      </c>
      <c r="R250" s="17" t="s">
        <v>801</v>
      </c>
      <c r="S250" s="18" t="s">
        <v>2584</v>
      </c>
      <c r="T250" s="17" t="s">
        <v>800</v>
      </c>
      <c r="U250" s="18" t="s">
        <v>5294</v>
      </c>
      <c r="V250" s="17" t="s">
        <v>9418</v>
      </c>
      <c r="W250" s="18" t="s">
        <v>5309</v>
      </c>
      <c r="X250" s="69" t="s">
        <v>9453</v>
      </c>
      <c r="Y250" s="70" t="s">
        <v>9462</v>
      </c>
      <c r="Z250" s="73" t="s">
        <v>9486</v>
      </c>
      <c r="AA250" s="74" t="s">
        <v>9504</v>
      </c>
      <c r="AB250" s="73" t="s">
        <v>9486</v>
      </c>
      <c r="AC250" s="74" t="s">
        <v>9566</v>
      </c>
      <c r="AD250" s="73" t="s">
        <v>9578</v>
      </c>
      <c r="AE250" s="74" t="s">
        <v>9579</v>
      </c>
    </row>
    <row r="251" spans="1:31" ht="8.65" customHeight="1" x14ac:dyDescent="0.2">
      <c r="A251" s="76">
        <v>251</v>
      </c>
      <c r="B251" s="67" t="str">
        <f>MID(C251, FIND("Ifc.", C251) + 4, 4) &amp; "_" &amp; TEXT(COUNTIF($C$2:C251, C251),"0000")</f>
        <v>Prop_0250</v>
      </c>
      <c r="C251" s="24" t="s">
        <v>872</v>
      </c>
      <c r="D251" s="69" t="s">
        <v>9453</v>
      </c>
      <c r="E251" s="70" t="s">
        <v>9454</v>
      </c>
      <c r="F251" s="17" t="s">
        <v>806</v>
      </c>
      <c r="G251" s="22" t="s">
        <v>1369</v>
      </c>
      <c r="H251" s="12" t="s">
        <v>9703</v>
      </c>
      <c r="I251" s="13" t="s">
        <v>7201</v>
      </c>
      <c r="J251" s="14" t="s">
        <v>798</v>
      </c>
      <c r="K251" s="15" t="s">
        <v>798</v>
      </c>
      <c r="L251" s="12" t="s">
        <v>5315</v>
      </c>
      <c r="M251" s="13" t="s">
        <v>6031</v>
      </c>
      <c r="N251" s="12" t="s">
        <v>803</v>
      </c>
      <c r="O251" s="13" t="s">
        <v>4919</v>
      </c>
      <c r="P251" s="17" t="s">
        <v>802</v>
      </c>
      <c r="Q251" s="21" t="s">
        <v>7818</v>
      </c>
      <c r="R251" s="17" t="s">
        <v>801</v>
      </c>
      <c r="S251" s="18" t="s">
        <v>2585</v>
      </c>
      <c r="T251" s="17" t="s">
        <v>800</v>
      </c>
      <c r="U251" s="18" t="s">
        <v>5238</v>
      </c>
      <c r="V251" s="17" t="s">
        <v>9418</v>
      </c>
      <c r="W251" s="18" t="s">
        <v>5309</v>
      </c>
      <c r="X251" s="69" t="s">
        <v>9453</v>
      </c>
      <c r="Y251" s="70" t="s">
        <v>9462</v>
      </c>
      <c r="Z251" s="73" t="s">
        <v>9486</v>
      </c>
      <c r="AA251" s="74" t="s">
        <v>9504</v>
      </c>
      <c r="AB251" s="73" t="s">
        <v>9486</v>
      </c>
      <c r="AC251" s="74" t="s">
        <v>9566</v>
      </c>
      <c r="AD251" s="73" t="s">
        <v>9578</v>
      </c>
      <c r="AE251" s="74" t="s">
        <v>9579</v>
      </c>
    </row>
    <row r="252" spans="1:31" ht="8.65" customHeight="1" x14ac:dyDescent="0.2">
      <c r="A252" s="76">
        <v>252</v>
      </c>
      <c r="B252" s="67" t="str">
        <f>MID(C252, FIND("Ifc.", C252) + 4, 4) &amp; "_" &amp; TEXT(COUNTIF($C$2:C252, C252),"0000")</f>
        <v>Prop_0251</v>
      </c>
      <c r="C252" s="24" t="s">
        <v>872</v>
      </c>
      <c r="D252" s="69" t="s">
        <v>9453</v>
      </c>
      <c r="E252" s="70" t="s">
        <v>9454</v>
      </c>
      <c r="F252" s="17" t="s">
        <v>806</v>
      </c>
      <c r="G252" s="22" t="s">
        <v>1997</v>
      </c>
      <c r="H252" s="12" t="s">
        <v>9703</v>
      </c>
      <c r="I252" s="13" t="s">
        <v>7202</v>
      </c>
      <c r="J252" s="14" t="s">
        <v>798</v>
      </c>
      <c r="K252" s="15" t="s">
        <v>798</v>
      </c>
      <c r="L252" s="12" t="s">
        <v>5315</v>
      </c>
      <c r="M252" s="13" t="s">
        <v>5479</v>
      </c>
      <c r="N252" s="12" t="s">
        <v>803</v>
      </c>
      <c r="O252" s="13" t="s">
        <v>5083</v>
      </c>
      <c r="P252" s="17" t="s">
        <v>802</v>
      </c>
      <c r="Q252" s="21" t="s">
        <v>7731</v>
      </c>
      <c r="R252" s="17" t="s">
        <v>801</v>
      </c>
      <c r="S252" s="18" t="s">
        <v>2584</v>
      </c>
      <c r="T252" s="17" t="s">
        <v>800</v>
      </c>
      <c r="U252" s="18" t="s">
        <v>5294</v>
      </c>
      <c r="V252" s="17" t="s">
        <v>9418</v>
      </c>
      <c r="W252" s="18" t="s">
        <v>5309</v>
      </c>
      <c r="X252" s="69" t="s">
        <v>9453</v>
      </c>
      <c r="Y252" s="70" t="s">
        <v>9462</v>
      </c>
      <c r="Z252" s="73" t="s">
        <v>9486</v>
      </c>
      <c r="AA252" s="74" t="s">
        <v>9504</v>
      </c>
      <c r="AB252" s="73" t="s">
        <v>9486</v>
      </c>
      <c r="AC252" s="74" t="s">
        <v>9566</v>
      </c>
      <c r="AD252" s="73" t="s">
        <v>9578</v>
      </c>
      <c r="AE252" s="74" t="s">
        <v>9579</v>
      </c>
    </row>
    <row r="253" spans="1:31" ht="8.65" customHeight="1" x14ac:dyDescent="0.2">
      <c r="A253" s="76">
        <v>253</v>
      </c>
      <c r="B253" s="67" t="str">
        <f>MID(C253, FIND("Ifc.", C253) + 4, 4) &amp; "_" &amp; TEXT(COUNTIF($C$2:C253, C253),"0000")</f>
        <v>Prop_0252</v>
      </c>
      <c r="C253" s="24" t="s">
        <v>872</v>
      </c>
      <c r="D253" s="69" t="s">
        <v>9453</v>
      </c>
      <c r="E253" s="70" t="s">
        <v>9454</v>
      </c>
      <c r="F253" s="17" t="s">
        <v>806</v>
      </c>
      <c r="G253" s="22" t="s">
        <v>2000</v>
      </c>
      <c r="H253" s="12" t="s">
        <v>9703</v>
      </c>
      <c r="I253" s="13" t="s">
        <v>7669</v>
      </c>
      <c r="J253" s="14" t="s">
        <v>798</v>
      </c>
      <c r="K253" s="15" t="s">
        <v>798</v>
      </c>
      <c r="L253" s="12" t="s">
        <v>5315</v>
      </c>
      <c r="M253" s="13" t="s">
        <v>5479</v>
      </c>
      <c r="N253" s="12" t="s">
        <v>803</v>
      </c>
      <c r="O253" s="13" t="s">
        <v>5083</v>
      </c>
      <c r="P253" s="17" t="s">
        <v>802</v>
      </c>
      <c r="Q253" s="21" t="s">
        <v>7731</v>
      </c>
      <c r="R253" s="17" t="s">
        <v>801</v>
      </c>
      <c r="S253" s="18" t="s">
        <v>2584</v>
      </c>
      <c r="T253" s="17" t="s">
        <v>800</v>
      </c>
      <c r="U253" s="18" t="s">
        <v>5294</v>
      </c>
      <c r="V253" s="17" t="s">
        <v>9418</v>
      </c>
      <c r="W253" s="18" t="s">
        <v>5309</v>
      </c>
      <c r="X253" s="69" t="s">
        <v>9453</v>
      </c>
      <c r="Y253" s="70" t="s">
        <v>9462</v>
      </c>
      <c r="Z253" s="73" t="s">
        <v>9486</v>
      </c>
      <c r="AA253" s="74" t="s">
        <v>9504</v>
      </c>
      <c r="AB253" s="73" t="s">
        <v>9486</v>
      </c>
      <c r="AC253" s="74" t="s">
        <v>9566</v>
      </c>
      <c r="AD253" s="73" t="s">
        <v>9578</v>
      </c>
      <c r="AE253" s="74" t="s">
        <v>9579</v>
      </c>
    </row>
    <row r="254" spans="1:31" ht="8.65" customHeight="1" x14ac:dyDescent="0.2">
      <c r="A254" s="76">
        <v>254</v>
      </c>
      <c r="B254" s="67" t="str">
        <f>MID(C254, FIND("Ifc.", C254) + 4, 4) &amp; "_" &amp; TEXT(COUNTIF($C$2:C254, C254),"0000")</f>
        <v>Prop_0253</v>
      </c>
      <c r="C254" s="24" t="s">
        <v>872</v>
      </c>
      <c r="D254" s="69" t="s">
        <v>9453</v>
      </c>
      <c r="E254" s="70" t="s">
        <v>9454</v>
      </c>
      <c r="F254" s="17" t="s">
        <v>806</v>
      </c>
      <c r="G254" s="22" t="s">
        <v>2002</v>
      </c>
      <c r="H254" s="12" t="s">
        <v>9703</v>
      </c>
      <c r="I254" s="13" t="s">
        <v>7670</v>
      </c>
      <c r="J254" s="14" t="s">
        <v>798</v>
      </c>
      <c r="K254" s="15" t="s">
        <v>798</v>
      </c>
      <c r="L254" s="12" t="s">
        <v>5315</v>
      </c>
      <c r="M254" s="13" t="s">
        <v>5479</v>
      </c>
      <c r="N254" s="12" t="s">
        <v>803</v>
      </c>
      <c r="O254" s="13" t="s">
        <v>5083</v>
      </c>
      <c r="P254" s="17" t="s">
        <v>802</v>
      </c>
      <c r="Q254" s="21" t="s">
        <v>7731</v>
      </c>
      <c r="R254" s="17" t="s">
        <v>801</v>
      </c>
      <c r="S254" s="18" t="s">
        <v>2584</v>
      </c>
      <c r="T254" s="17" t="s">
        <v>800</v>
      </c>
      <c r="U254" s="18" t="s">
        <v>5294</v>
      </c>
      <c r="V254" s="17" t="s">
        <v>9418</v>
      </c>
      <c r="W254" s="18" t="s">
        <v>5309</v>
      </c>
      <c r="X254" s="69" t="s">
        <v>9453</v>
      </c>
      <c r="Y254" s="70" t="s">
        <v>9462</v>
      </c>
      <c r="Z254" s="73" t="s">
        <v>9486</v>
      </c>
      <c r="AA254" s="74" t="s">
        <v>9504</v>
      </c>
      <c r="AB254" s="73" t="s">
        <v>9486</v>
      </c>
      <c r="AC254" s="74" t="s">
        <v>9566</v>
      </c>
      <c r="AD254" s="73" t="s">
        <v>9578</v>
      </c>
      <c r="AE254" s="74" t="s">
        <v>9579</v>
      </c>
    </row>
    <row r="255" spans="1:31" ht="8.65" customHeight="1" x14ac:dyDescent="0.2">
      <c r="A255" s="76">
        <v>255</v>
      </c>
      <c r="B255" s="67" t="str">
        <f>MID(C255, FIND("Ifc.", C255) + 4, 4) &amp; "_" &amp; TEXT(COUNTIF($C$2:C255, C255),"0000")</f>
        <v>Prop_0254</v>
      </c>
      <c r="C255" s="24" t="s">
        <v>872</v>
      </c>
      <c r="D255" s="69" t="s">
        <v>9453</v>
      </c>
      <c r="E255" s="70" t="s">
        <v>9454</v>
      </c>
      <c r="F255" s="17" t="s">
        <v>806</v>
      </c>
      <c r="G255" s="22" t="s">
        <v>1256</v>
      </c>
      <c r="H255" s="12" t="s">
        <v>9703</v>
      </c>
      <c r="I255" s="13" t="s">
        <v>7532</v>
      </c>
      <c r="J255" s="14" t="s">
        <v>798</v>
      </c>
      <c r="K255" s="15" t="s">
        <v>798</v>
      </c>
      <c r="L255" s="12" t="s">
        <v>5315</v>
      </c>
      <c r="M255" s="13" t="s">
        <v>5403</v>
      </c>
      <c r="N255" s="12" t="s">
        <v>803</v>
      </c>
      <c r="O255" s="13" t="s">
        <v>4891</v>
      </c>
      <c r="P255" s="17" t="s">
        <v>802</v>
      </c>
      <c r="Q255" s="21" t="s">
        <v>7789</v>
      </c>
      <c r="R255" s="17" t="s">
        <v>801</v>
      </c>
      <c r="S255" s="18" t="s">
        <v>2590</v>
      </c>
      <c r="T255" s="17" t="s">
        <v>800</v>
      </c>
      <c r="U255" s="18" t="s">
        <v>5274</v>
      </c>
      <c r="V255" s="17" t="s">
        <v>9418</v>
      </c>
      <c r="W255" s="18" t="s">
        <v>5309</v>
      </c>
      <c r="X255" s="69" t="s">
        <v>9453</v>
      </c>
      <c r="Y255" s="70" t="s">
        <v>9462</v>
      </c>
      <c r="Z255" s="73" t="s">
        <v>9486</v>
      </c>
      <c r="AA255" s="74" t="s">
        <v>9504</v>
      </c>
      <c r="AB255" s="73" t="s">
        <v>9486</v>
      </c>
      <c r="AC255" s="74" t="s">
        <v>9566</v>
      </c>
      <c r="AD255" s="73" t="s">
        <v>9578</v>
      </c>
      <c r="AE255" s="74" t="s">
        <v>9579</v>
      </c>
    </row>
    <row r="256" spans="1:31" ht="8.65" customHeight="1" x14ac:dyDescent="0.2">
      <c r="A256" s="76">
        <v>256</v>
      </c>
      <c r="B256" s="67" t="str">
        <f>MID(C256, FIND("Ifc.", C256) + 4, 4) &amp; "_" &amp; TEXT(COUNTIF($C$2:C256, C256),"0000")</f>
        <v>Prop_0255</v>
      </c>
      <c r="C256" s="24" t="s">
        <v>872</v>
      </c>
      <c r="D256" s="69" t="s">
        <v>9453</v>
      </c>
      <c r="E256" s="70" t="s">
        <v>9454</v>
      </c>
      <c r="F256" s="17" t="s">
        <v>806</v>
      </c>
      <c r="G256" s="22" t="s">
        <v>1265</v>
      </c>
      <c r="H256" s="12" t="s">
        <v>9703</v>
      </c>
      <c r="I256" s="13" t="s">
        <v>7533</v>
      </c>
      <c r="J256" s="14" t="s">
        <v>798</v>
      </c>
      <c r="K256" s="15" t="s">
        <v>798</v>
      </c>
      <c r="L256" s="12" t="s">
        <v>5315</v>
      </c>
      <c r="M256" s="13" t="s">
        <v>5403</v>
      </c>
      <c r="N256" s="12" t="s">
        <v>803</v>
      </c>
      <c r="O256" s="13" t="s">
        <v>4891</v>
      </c>
      <c r="P256" s="17" t="s">
        <v>802</v>
      </c>
      <c r="Q256" s="21" t="s">
        <v>7789</v>
      </c>
      <c r="R256" s="17" t="s">
        <v>801</v>
      </c>
      <c r="S256" s="18" t="s">
        <v>2562</v>
      </c>
      <c r="T256" s="17" t="s">
        <v>800</v>
      </c>
      <c r="U256" s="18" t="s">
        <v>5256</v>
      </c>
      <c r="V256" s="17" t="s">
        <v>9418</v>
      </c>
      <c r="W256" s="18" t="s">
        <v>5309</v>
      </c>
      <c r="X256" s="69" t="s">
        <v>9453</v>
      </c>
      <c r="Y256" s="70" t="s">
        <v>9462</v>
      </c>
      <c r="Z256" s="73" t="s">
        <v>9486</v>
      </c>
      <c r="AA256" s="74" t="s">
        <v>9504</v>
      </c>
      <c r="AB256" s="73" t="s">
        <v>9486</v>
      </c>
      <c r="AC256" s="74" t="s">
        <v>9562</v>
      </c>
      <c r="AD256" s="73" t="s">
        <v>9578</v>
      </c>
      <c r="AE256" s="74" t="s">
        <v>9579</v>
      </c>
    </row>
    <row r="257" spans="1:31" ht="8.65" customHeight="1" x14ac:dyDescent="0.2">
      <c r="A257" s="76">
        <v>257</v>
      </c>
      <c r="B257" s="67" t="str">
        <f>MID(C257, FIND("Ifc.", C257) + 4, 4) &amp; "_" &amp; TEXT(COUNTIF($C$2:C257, C257),"0000")</f>
        <v>Prop_0256</v>
      </c>
      <c r="C257" s="24" t="s">
        <v>872</v>
      </c>
      <c r="D257" s="69" t="s">
        <v>9453</v>
      </c>
      <c r="E257" s="70" t="s">
        <v>9454</v>
      </c>
      <c r="F257" s="17" t="s">
        <v>806</v>
      </c>
      <c r="G257" s="22" t="s">
        <v>1254</v>
      </c>
      <c r="H257" s="12" t="s">
        <v>9703</v>
      </c>
      <c r="I257" s="13" t="s">
        <v>7530</v>
      </c>
      <c r="J257" s="14" t="s">
        <v>798</v>
      </c>
      <c r="K257" s="15" t="s">
        <v>798</v>
      </c>
      <c r="L257" s="12" t="s">
        <v>5315</v>
      </c>
      <c r="M257" s="13" t="s">
        <v>5403</v>
      </c>
      <c r="N257" s="12" t="s">
        <v>803</v>
      </c>
      <c r="O257" s="13" t="s">
        <v>4891</v>
      </c>
      <c r="P257" s="17" t="s">
        <v>802</v>
      </c>
      <c r="Q257" s="21" t="s">
        <v>7789</v>
      </c>
      <c r="R257" s="17" t="s">
        <v>801</v>
      </c>
      <c r="S257" s="18" t="s">
        <v>2590</v>
      </c>
      <c r="T257" s="17" t="s">
        <v>800</v>
      </c>
      <c r="U257" s="18" t="s">
        <v>5274</v>
      </c>
      <c r="V257" s="17" t="s">
        <v>9418</v>
      </c>
      <c r="W257" s="18" t="s">
        <v>5309</v>
      </c>
      <c r="X257" s="69" t="s">
        <v>9453</v>
      </c>
      <c r="Y257" s="70" t="s">
        <v>9462</v>
      </c>
      <c r="Z257" s="73" t="s">
        <v>9486</v>
      </c>
      <c r="AA257" s="74" t="s">
        <v>9504</v>
      </c>
      <c r="AB257" s="73" t="s">
        <v>9486</v>
      </c>
      <c r="AC257" s="74" t="s">
        <v>9566</v>
      </c>
      <c r="AD257" s="73" t="s">
        <v>9578</v>
      </c>
      <c r="AE257" s="74" t="s">
        <v>9579</v>
      </c>
    </row>
    <row r="258" spans="1:31" ht="8.65" customHeight="1" x14ac:dyDescent="0.2">
      <c r="A258" s="76">
        <v>258</v>
      </c>
      <c r="B258" s="67" t="str">
        <f>MID(C258, FIND("Ifc.", C258) + 4, 4) &amp; "_" &amp; TEXT(COUNTIF($C$2:C258, C258),"0000")</f>
        <v>Prop_0257</v>
      </c>
      <c r="C258" s="24" t="s">
        <v>872</v>
      </c>
      <c r="D258" s="69" t="s">
        <v>9453</v>
      </c>
      <c r="E258" s="70" t="s">
        <v>9454</v>
      </c>
      <c r="F258" s="17" t="s">
        <v>806</v>
      </c>
      <c r="G258" s="22" t="s">
        <v>1255</v>
      </c>
      <c r="H258" s="12" t="s">
        <v>9703</v>
      </c>
      <c r="I258" s="13" t="s">
        <v>7531</v>
      </c>
      <c r="J258" s="14" t="s">
        <v>798</v>
      </c>
      <c r="K258" s="15" t="s">
        <v>798</v>
      </c>
      <c r="L258" s="12" t="s">
        <v>5315</v>
      </c>
      <c r="M258" s="13" t="s">
        <v>5403</v>
      </c>
      <c r="N258" s="12" t="s">
        <v>803</v>
      </c>
      <c r="O258" s="13" t="s">
        <v>4891</v>
      </c>
      <c r="P258" s="17" t="s">
        <v>802</v>
      </c>
      <c r="Q258" s="21" t="s">
        <v>7789</v>
      </c>
      <c r="R258" s="17" t="s">
        <v>801</v>
      </c>
      <c r="S258" s="18" t="s">
        <v>2590</v>
      </c>
      <c r="T258" s="17" t="s">
        <v>800</v>
      </c>
      <c r="U258" s="18" t="s">
        <v>5274</v>
      </c>
      <c r="V258" s="17" t="s">
        <v>9418</v>
      </c>
      <c r="W258" s="18" t="s">
        <v>5309</v>
      </c>
      <c r="X258" s="69" t="s">
        <v>9453</v>
      </c>
      <c r="Y258" s="70" t="s">
        <v>9462</v>
      </c>
      <c r="Z258" s="73" t="s">
        <v>9486</v>
      </c>
      <c r="AA258" s="74" t="s">
        <v>9504</v>
      </c>
      <c r="AB258" s="73" t="s">
        <v>9486</v>
      </c>
      <c r="AC258" s="74" t="s">
        <v>9566</v>
      </c>
      <c r="AD258" s="73" t="s">
        <v>9578</v>
      </c>
      <c r="AE258" s="74" t="s">
        <v>9579</v>
      </c>
    </row>
    <row r="259" spans="1:31" ht="8.65" customHeight="1" x14ac:dyDescent="0.2">
      <c r="A259" s="76">
        <v>259</v>
      </c>
      <c r="B259" s="67" t="str">
        <f>MID(C259, FIND("Ifc.", C259) + 4, 4) &amp; "_" &amp; TEXT(COUNTIF($C$2:C259, C259),"0000")</f>
        <v>Prop_0258</v>
      </c>
      <c r="C259" s="24" t="s">
        <v>872</v>
      </c>
      <c r="D259" s="69" t="s">
        <v>9453</v>
      </c>
      <c r="E259" s="70" t="s">
        <v>9454</v>
      </c>
      <c r="F259" s="17" t="s">
        <v>806</v>
      </c>
      <c r="G259" s="22" t="s">
        <v>1263</v>
      </c>
      <c r="H259" s="12" t="s">
        <v>9703</v>
      </c>
      <c r="I259" s="13" t="s">
        <v>7528</v>
      </c>
      <c r="J259" s="14" t="s">
        <v>798</v>
      </c>
      <c r="K259" s="15" t="s">
        <v>798</v>
      </c>
      <c r="L259" s="12" t="s">
        <v>5315</v>
      </c>
      <c r="M259" s="13" t="s">
        <v>5403</v>
      </c>
      <c r="N259" s="12" t="s">
        <v>803</v>
      </c>
      <c r="O259" s="13" t="s">
        <v>4891</v>
      </c>
      <c r="P259" s="17" t="s">
        <v>802</v>
      </c>
      <c r="Q259" s="21" t="s">
        <v>7789</v>
      </c>
      <c r="R259" s="17" t="s">
        <v>801</v>
      </c>
      <c r="S259" s="18" t="s">
        <v>2562</v>
      </c>
      <c r="T259" s="17" t="s">
        <v>800</v>
      </c>
      <c r="U259" s="18" t="s">
        <v>5256</v>
      </c>
      <c r="V259" s="17" t="s">
        <v>9418</v>
      </c>
      <c r="W259" s="18" t="s">
        <v>5309</v>
      </c>
      <c r="X259" s="69" t="s">
        <v>9453</v>
      </c>
      <c r="Y259" s="70" t="s">
        <v>9462</v>
      </c>
      <c r="Z259" s="73" t="s">
        <v>9486</v>
      </c>
      <c r="AA259" s="74" t="s">
        <v>9504</v>
      </c>
      <c r="AB259" s="73" t="s">
        <v>9486</v>
      </c>
      <c r="AC259" s="74" t="s">
        <v>9562</v>
      </c>
      <c r="AD259" s="73" t="s">
        <v>9578</v>
      </c>
      <c r="AE259" s="74" t="s">
        <v>9579</v>
      </c>
    </row>
    <row r="260" spans="1:31" ht="8.65" customHeight="1" x14ac:dyDescent="0.2">
      <c r="A260" s="76">
        <v>260</v>
      </c>
      <c r="B260" s="67" t="str">
        <f>MID(C260, FIND("Ifc.", C260) + 4, 4) &amp; "_" &amp; TEXT(COUNTIF($C$2:C260, C260),"0000")</f>
        <v>Prop_0259</v>
      </c>
      <c r="C260" s="24" t="s">
        <v>872</v>
      </c>
      <c r="D260" s="69" t="s">
        <v>9453</v>
      </c>
      <c r="E260" s="70" t="s">
        <v>9454</v>
      </c>
      <c r="F260" s="17" t="s">
        <v>806</v>
      </c>
      <c r="G260" s="22" t="s">
        <v>1264</v>
      </c>
      <c r="H260" s="12" t="s">
        <v>9703</v>
      </c>
      <c r="I260" s="13" t="s">
        <v>7529</v>
      </c>
      <c r="J260" s="14" t="s">
        <v>798</v>
      </c>
      <c r="K260" s="15" t="s">
        <v>798</v>
      </c>
      <c r="L260" s="12" t="s">
        <v>5315</v>
      </c>
      <c r="M260" s="13" t="s">
        <v>5403</v>
      </c>
      <c r="N260" s="12" t="s">
        <v>803</v>
      </c>
      <c r="O260" s="13" t="s">
        <v>4891</v>
      </c>
      <c r="P260" s="17" t="s">
        <v>802</v>
      </c>
      <c r="Q260" s="21" t="s">
        <v>7789</v>
      </c>
      <c r="R260" s="17" t="s">
        <v>801</v>
      </c>
      <c r="S260" s="18" t="s">
        <v>2562</v>
      </c>
      <c r="T260" s="17" t="s">
        <v>800</v>
      </c>
      <c r="U260" s="18" t="s">
        <v>5256</v>
      </c>
      <c r="V260" s="17" t="s">
        <v>9418</v>
      </c>
      <c r="W260" s="18" t="s">
        <v>5309</v>
      </c>
      <c r="X260" s="69" t="s">
        <v>9453</v>
      </c>
      <c r="Y260" s="70" t="s">
        <v>9462</v>
      </c>
      <c r="Z260" s="73" t="s">
        <v>9486</v>
      </c>
      <c r="AA260" s="74" t="s">
        <v>9504</v>
      </c>
      <c r="AB260" s="73" t="s">
        <v>9486</v>
      </c>
      <c r="AC260" s="74" t="s">
        <v>9562</v>
      </c>
      <c r="AD260" s="73" t="s">
        <v>9578</v>
      </c>
      <c r="AE260" s="74" t="s">
        <v>9579</v>
      </c>
    </row>
    <row r="261" spans="1:31" ht="8.65" customHeight="1" x14ac:dyDescent="0.2">
      <c r="A261" s="76">
        <v>261</v>
      </c>
      <c r="B261" s="67" t="str">
        <f>MID(C261, FIND("Ifc.", C261) + 4, 4) &amp; "_" &amp; TEXT(COUNTIF($C$2:C261, C261),"0000")</f>
        <v>Prop_0260</v>
      </c>
      <c r="C261" s="24" t="s">
        <v>872</v>
      </c>
      <c r="D261" s="69" t="s">
        <v>9453</v>
      </c>
      <c r="E261" s="70" t="s">
        <v>9454</v>
      </c>
      <c r="F261" s="17" t="s">
        <v>806</v>
      </c>
      <c r="G261" s="22" t="s">
        <v>1257</v>
      </c>
      <c r="H261" s="12" t="s">
        <v>9703</v>
      </c>
      <c r="I261" s="13" t="s">
        <v>7534</v>
      </c>
      <c r="J261" s="14" t="s">
        <v>798</v>
      </c>
      <c r="K261" s="15" t="s">
        <v>798</v>
      </c>
      <c r="L261" s="12" t="s">
        <v>5315</v>
      </c>
      <c r="M261" s="13" t="s">
        <v>5403</v>
      </c>
      <c r="N261" s="12" t="s">
        <v>803</v>
      </c>
      <c r="O261" s="13" t="s">
        <v>4891</v>
      </c>
      <c r="P261" s="17" t="s">
        <v>802</v>
      </c>
      <c r="Q261" s="21" t="s">
        <v>7789</v>
      </c>
      <c r="R261" s="17" t="s">
        <v>801</v>
      </c>
      <c r="S261" s="18" t="s">
        <v>2590</v>
      </c>
      <c r="T261" s="17" t="s">
        <v>800</v>
      </c>
      <c r="U261" s="18" t="s">
        <v>5274</v>
      </c>
      <c r="V261" s="17" t="s">
        <v>9418</v>
      </c>
      <c r="W261" s="18" t="s">
        <v>5309</v>
      </c>
      <c r="X261" s="69" t="s">
        <v>9453</v>
      </c>
      <c r="Y261" s="70" t="s">
        <v>9462</v>
      </c>
      <c r="Z261" s="73" t="s">
        <v>9486</v>
      </c>
      <c r="AA261" s="74" t="s">
        <v>9504</v>
      </c>
      <c r="AB261" s="73" t="s">
        <v>9486</v>
      </c>
      <c r="AC261" s="74" t="s">
        <v>9566</v>
      </c>
      <c r="AD261" s="73" t="s">
        <v>9578</v>
      </c>
      <c r="AE261" s="74" t="s">
        <v>9579</v>
      </c>
    </row>
    <row r="262" spans="1:31" ht="8.65" customHeight="1" x14ac:dyDescent="0.2">
      <c r="A262" s="76">
        <v>262</v>
      </c>
      <c r="B262" s="67" t="str">
        <f>MID(C262, FIND("Ifc.", C262) + 4, 4) &amp; "_" &amp; TEXT(COUNTIF($C$2:C262, C262),"0000")</f>
        <v>Prop_0261</v>
      </c>
      <c r="C262" s="24" t="s">
        <v>872</v>
      </c>
      <c r="D262" s="69" t="s">
        <v>9453</v>
      </c>
      <c r="E262" s="70" t="s">
        <v>9454</v>
      </c>
      <c r="F262" s="17" t="s">
        <v>806</v>
      </c>
      <c r="G262" s="22" t="s">
        <v>1266</v>
      </c>
      <c r="H262" s="12" t="s">
        <v>9703</v>
      </c>
      <c r="I262" s="13" t="s">
        <v>7535</v>
      </c>
      <c r="J262" s="14" t="s">
        <v>798</v>
      </c>
      <c r="K262" s="15" t="s">
        <v>798</v>
      </c>
      <c r="L262" s="12" t="s">
        <v>5315</v>
      </c>
      <c r="M262" s="13" t="s">
        <v>5403</v>
      </c>
      <c r="N262" s="12" t="s">
        <v>803</v>
      </c>
      <c r="O262" s="13" t="s">
        <v>4891</v>
      </c>
      <c r="P262" s="17" t="s">
        <v>802</v>
      </c>
      <c r="Q262" s="21" t="s">
        <v>7789</v>
      </c>
      <c r="R262" s="17" t="s">
        <v>801</v>
      </c>
      <c r="S262" s="18" t="s">
        <v>2562</v>
      </c>
      <c r="T262" s="17" t="s">
        <v>800</v>
      </c>
      <c r="U262" s="18" t="s">
        <v>5256</v>
      </c>
      <c r="V262" s="17" t="s">
        <v>9418</v>
      </c>
      <c r="W262" s="18" t="s">
        <v>5309</v>
      </c>
      <c r="X262" s="69" t="s">
        <v>9453</v>
      </c>
      <c r="Y262" s="70" t="s">
        <v>9462</v>
      </c>
      <c r="Z262" s="73" t="s">
        <v>9486</v>
      </c>
      <c r="AA262" s="74" t="s">
        <v>9504</v>
      </c>
      <c r="AB262" s="73" t="s">
        <v>9486</v>
      </c>
      <c r="AC262" s="74" t="s">
        <v>9562</v>
      </c>
      <c r="AD262" s="73" t="s">
        <v>9578</v>
      </c>
      <c r="AE262" s="74" t="s">
        <v>9579</v>
      </c>
    </row>
    <row r="263" spans="1:31" ht="8.65" customHeight="1" x14ac:dyDescent="0.2">
      <c r="A263" s="76">
        <v>263</v>
      </c>
      <c r="B263" s="67" t="str">
        <f>MID(C263, FIND("Ifc.", C263) + 4, 4) &amp; "_" &amp; TEXT(COUNTIF($C$2:C263, C263),"0000")</f>
        <v>Prop_0262</v>
      </c>
      <c r="C263" s="24" t="s">
        <v>872</v>
      </c>
      <c r="D263" s="69" t="s">
        <v>9453</v>
      </c>
      <c r="E263" s="70" t="s">
        <v>9454</v>
      </c>
      <c r="F263" s="17" t="s">
        <v>806</v>
      </c>
      <c r="G263" s="22" t="s">
        <v>2055</v>
      </c>
      <c r="H263" s="12" t="s">
        <v>9703</v>
      </c>
      <c r="I263" s="13" t="s">
        <v>9410</v>
      </c>
      <c r="J263" s="14" t="s">
        <v>798</v>
      </c>
      <c r="K263" s="15" t="s">
        <v>798</v>
      </c>
      <c r="L263" s="12" t="s">
        <v>5315</v>
      </c>
      <c r="M263" s="13" t="s">
        <v>5482</v>
      </c>
      <c r="N263" s="12" t="s">
        <v>803</v>
      </c>
      <c r="O263" s="13" t="s">
        <v>5084</v>
      </c>
      <c r="P263" s="17" t="s">
        <v>802</v>
      </c>
      <c r="Q263" s="21" t="s">
        <v>7755</v>
      </c>
      <c r="R263" s="17" t="s">
        <v>801</v>
      </c>
      <c r="S263" s="18" t="s">
        <v>2578</v>
      </c>
      <c r="T263" s="17" t="s">
        <v>800</v>
      </c>
      <c r="U263" s="18" t="s">
        <v>5244</v>
      </c>
      <c r="V263" s="17" t="s">
        <v>9418</v>
      </c>
      <c r="W263" s="18" t="s">
        <v>5309</v>
      </c>
      <c r="X263" s="69" t="s">
        <v>9453</v>
      </c>
      <c r="Y263" s="70" t="s">
        <v>9462</v>
      </c>
      <c r="Z263" s="73" t="s">
        <v>9486</v>
      </c>
      <c r="AA263" s="74" t="s">
        <v>9504</v>
      </c>
      <c r="AB263" s="73" t="s">
        <v>9486</v>
      </c>
      <c r="AC263" s="74" t="s">
        <v>9566</v>
      </c>
      <c r="AD263" s="73" t="s">
        <v>9578</v>
      </c>
      <c r="AE263" s="74" t="s">
        <v>9579</v>
      </c>
    </row>
    <row r="264" spans="1:31" ht="8.65" customHeight="1" x14ac:dyDescent="0.2">
      <c r="A264" s="76">
        <v>264</v>
      </c>
      <c r="B264" s="67" t="str">
        <f>MID(C264, FIND("Ifc.", C264) + 4, 4) &amp; "_" &amp; TEXT(COUNTIF($C$2:C264, C264),"0000")</f>
        <v>Prop_0263</v>
      </c>
      <c r="C264" s="24" t="s">
        <v>872</v>
      </c>
      <c r="D264" s="69" t="s">
        <v>9453</v>
      </c>
      <c r="E264" s="70" t="s">
        <v>9454</v>
      </c>
      <c r="F264" s="17" t="s">
        <v>806</v>
      </c>
      <c r="G264" s="22" t="s">
        <v>2056</v>
      </c>
      <c r="H264" s="12" t="s">
        <v>9703</v>
      </c>
      <c r="I264" s="13" t="s">
        <v>9411</v>
      </c>
      <c r="J264" s="14" t="s">
        <v>798</v>
      </c>
      <c r="K264" s="15" t="s">
        <v>798</v>
      </c>
      <c r="L264" s="12" t="s">
        <v>5315</v>
      </c>
      <c r="M264" s="13" t="s">
        <v>5482</v>
      </c>
      <c r="N264" s="12" t="s">
        <v>803</v>
      </c>
      <c r="O264" s="13" t="s">
        <v>5084</v>
      </c>
      <c r="P264" s="17" t="s">
        <v>802</v>
      </c>
      <c r="Q264" s="21" t="s">
        <v>7755</v>
      </c>
      <c r="R264" s="17" t="s">
        <v>801</v>
      </c>
      <c r="S264" s="18" t="s">
        <v>2578</v>
      </c>
      <c r="T264" s="17" t="s">
        <v>800</v>
      </c>
      <c r="U264" s="18" t="s">
        <v>5244</v>
      </c>
      <c r="V264" s="17" t="s">
        <v>9418</v>
      </c>
      <c r="W264" s="18" t="s">
        <v>5309</v>
      </c>
      <c r="X264" s="69" t="s">
        <v>9453</v>
      </c>
      <c r="Y264" s="70" t="s">
        <v>9462</v>
      </c>
      <c r="Z264" s="73" t="s">
        <v>9486</v>
      </c>
      <c r="AA264" s="74" t="s">
        <v>9504</v>
      </c>
      <c r="AB264" s="73" t="s">
        <v>9486</v>
      </c>
      <c r="AC264" s="74" t="s">
        <v>9566</v>
      </c>
      <c r="AD264" s="73" t="s">
        <v>9578</v>
      </c>
      <c r="AE264" s="74" t="s">
        <v>9579</v>
      </c>
    </row>
    <row r="265" spans="1:31" ht="8.65" customHeight="1" x14ac:dyDescent="0.2">
      <c r="A265" s="76">
        <v>265</v>
      </c>
      <c r="B265" s="67" t="str">
        <f>MID(C265, FIND("Ifc.", C265) + 4, 4) &amp; "_" &amp; TEXT(COUNTIF($C$2:C265, C265),"0000")</f>
        <v>Prop_0264</v>
      </c>
      <c r="C265" s="24" t="s">
        <v>872</v>
      </c>
      <c r="D265" s="69" t="s">
        <v>9453</v>
      </c>
      <c r="E265" s="70" t="s">
        <v>9454</v>
      </c>
      <c r="F265" s="17" t="s">
        <v>806</v>
      </c>
      <c r="G265" s="22" t="s">
        <v>2053</v>
      </c>
      <c r="H265" s="12" t="s">
        <v>9703</v>
      </c>
      <c r="I265" s="13" t="s">
        <v>9412</v>
      </c>
      <c r="J265" s="14" t="s">
        <v>798</v>
      </c>
      <c r="K265" s="15" t="s">
        <v>798</v>
      </c>
      <c r="L265" s="12" t="s">
        <v>5315</v>
      </c>
      <c r="M265" s="13" t="s">
        <v>5482</v>
      </c>
      <c r="N265" s="12" t="s">
        <v>803</v>
      </c>
      <c r="O265" s="13" t="s">
        <v>5084</v>
      </c>
      <c r="P265" s="17" t="s">
        <v>802</v>
      </c>
      <c r="Q265" s="21" t="s">
        <v>7755</v>
      </c>
      <c r="R265" s="17" t="s">
        <v>801</v>
      </c>
      <c r="S265" s="18" t="s">
        <v>2578</v>
      </c>
      <c r="T265" s="17" t="s">
        <v>800</v>
      </c>
      <c r="U265" s="18" t="s">
        <v>5244</v>
      </c>
      <c r="V265" s="17" t="s">
        <v>9418</v>
      </c>
      <c r="W265" s="18" t="s">
        <v>5309</v>
      </c>
      <c r="X265" s="69" t="s">
        <v>9453</v>
      </c>
      <c r="Y265" s="70" t="s">
        <v>9462</v>
      </c>
      <c r="Z265" s="73" t="s">
        <v>9486</v>
      </c>
      <c r="AA265" s="74" t="s">
        <v>9504</v>
      </c>
      <c r="AB265" s="73" t="s">
        <v>9486</v>
      </c>
      <c r="AC265" s="74" t="s">
        <v>9566</v>
      </c>
      <c r="AD265" s="73" t="s">
        <v>9578</v>
      </c>
      <c r="AE265" s="74" t="s">
        <v>9579</v>
      </c>
    </row>
    <row r="266" spans="1:31" ht="8.65" customHeight="1" x14ac:dyDescent="0.2">
      <c r="A266" s="76">
        <v>266</v>
      </c>
      <c r="B266" s="67" t="str">
        <f>MID(C266, FIND("Ifc.", C266) + 4, 4) &amp; "_" &amp; TEXT(COUNTIF($C$2:C266, C266),"0000")</f>
        <v>Prop_0265</v>
      </c>
      <c r="C266" s="24" t="s">
        <v>872</v>
      </c>
      <c r="D266" s="69" t="s">
        <v>9453</v>
      </c>
      <c r="E266" s="70" t="s">
        <v>9454</v>
      </c>
      <c r="F266" s="17" t="s">
        <v>806</v>
      </c>
      <c r="G266" s="22" t="s">
        <v>2054</v>
      </c>
      <c r="H266" s="12" t="s">
        <v>9703</v>
      </c>
      <c r="I266" s="13" t="s">
        <v>9413</v>
      </c>
      <c r="J266" s="14" t="s">
        <v>798</v>
      </c>
      <c r="K266" s="15" t="s">
        <v>798</v>
      </c>
      <c r="L266" s="12" t="s">
        <v>5315</v>
      </c>
      <c r="M266" s="13" t="s">
        <v>5482</v>
      </c>
      <c r="N266" s="12" t="s">
        <v>803</v>
      </c>
      <c r="O266" s="13" t="s">
        <v>5084</v>
      </c>
      <c r="P266" s="17" t="s">
        <v>802</v>
      </c>
      <c r="Q266" s="21" t="s">
        <v>7755</v>
      </c>
      <c r="R266" s="17" t="s">
        <v>801</v>
      </c>
      <c r="S266" s="18" t="s">
        <v>2578</v>
      </c>
      <c r="T266" s="17" t="s">
        <v>800</v>
      </c>
      <c r="U266" s="18" t="s">
        <v>5244</v>
      </c>
      <c r="V266" s="17" t="s">
        <v>9418</v>
      </c>
      <c r="W266" s="18" t="s">
        <v>5309</v>
      </c>
      <c r="X266" s="69" t="s">
        <v>9453</v>
      </c>
      <c r="Y266" s="70" t="s">
        <v>9462</v>
      </c>
      <c r="Z266" s="73" t="s">
        <v>9486</v>
      </c>
      <c r="AA266" s="74" t="s">
        <v>9504</v>
      </c>
      <c r="AB266" s="73" t="s">
        <v>9486</v>
      </c>
      <c r="AC266" s="74" t="s">
        <v>9566</v>
      </c>
      <c r="AD266" s="73" t="s">
        <v>9578</v>
      </c>
      <c r="AE266" s="74" t="s">
        <v>9579</v>
      </c>
    </row>
    <row r="267" spans="1:31" ht="8.65" customHeight="1" x14ac:dyDescent="0.2">
      <c r="A267" s="76">
        <v>267</v>
      </c>
      <c r="B267" s="67" t="str">
        <f>MID(C267, FIND("Ifc.", C267) + 4, 4) &amp; "_" &amp; TEXT(COUNTIF($C$2:C267, C267),"0000")</f>
        <v>Prop_0266</v>
      </c>
      <c r="C267" s="24" t="s">
        <v>872</v>
      </c>
      <c r="D267" s="69" t="s">
        <v>9453</v>
      </c>
      <c r="E267" s="70" t="s">
        <v>9454</v>
      </c>
      <c r="F267" s="17" t="s">
        <v>806</v>
      </c>
      <c r="G267" s="22" t="s">
        <v>2014</v>
      </c>
      <c r="H267" s="12" t="s">
        <v>9703</v>
      </c>
      <c r="I267" s="13" t="s">
        <v>9414</v>
      </c>
      <c r="J267" s="14" t="s">
        <v>798</v>
      </c>
      <c r="K267" s="15" t="s">
        <v>798</v>
      </c>
      <c r="L267" s="12" t="s">
        <v>5315</v>
      </c>
      <c r="M267" s="13" t="s">
        <v>5480</v>
      </c>
      <c r="N267" s="12" t="s">
        <v>803</v>
      </c>
      <c r="O267" s="13" t="s">
        <v>5084</v>
      </c>
      <c r="P267" s="17" t="s">
        <v>802</v>
      </c>
      <c r="Q267" s="21" t="s">
        <v>7755</v>
      </c>
      <c r="R267" s="17" t="s">
        <v>801</v>
      </c>
      <c r="S267" s="18" t="s">
        <v>2583</v>
      </c>
      <c r="T267" s="17" t="s">
        <v>800</v>
      </c>
      <c r="U267" s="18" t="s">
        <v>5251</v>
      </c>
      <c r="V267" s="17" t="s">
        <v>9418</v>
      </c>
      <c r="W267" s="18" t="s">
        <v>5309</v>
      </c>
      <c r="X267" s="69" t="s">
        <v>9453</v>
      </c>
      <c r="Y267" s="70" t="s">
        <v>9462</v>
      </c>
      <c r="Z267" s="73" t="s">
        <v>9486</v>
      </c>
      <c r="AA267" s="74" t="s">
        <v>9504</v>
      </c>
      <c r="AB267" s="73" t="s">
        <v>9486</v>
      </c>
      <c r="AC267" s="74" t="s">
        <v>9566</v>
      </c>
      <c r="AD267" s="73" t="s">
        <v>9578</v>
      </c>
      <c r="AE267" s="74" t="s">
        <v>9579</v>
      </c>
    </row>
    <row r="268" spans="1:31" ht="8.65" customHeight="1" x14ac:dyDescent="0.2">
      <c r="A268" s="76">
        <v>268</v>
      </c>
      <c r="B268" s="67" t="str">
        <f>MID(C268, FIND("Ifc.", C268) + 4, 4) &amp; "_" &amp; TEXT(COUNTIF($C$2:C268, C268),"0000")</f>
        <v>Prop_0267</v>
      </c>
      <c r="C268" s="24" t="s">
        <v>872</v>
      </c>
      <c r="D268" s="69" t="s">
        <v>9453</v>
      </c>
      <c r="E268" s="70" t="s">
        <v>9454</v>
      </c>
      <c r="F268" s="17" t="s">
        <v>806</v>
      </c>
      <c r="G268" s="22" t="s">
        <v>2015</v>
      </c>
      <c r="H268" s="12" t="s">
        <v>9703</v>
      </c>
      <c r="I268" s="13" t="s">
        <v>9415</v>
      </c>
      <c r="J268" s="14" t="s">
        <v>798</v>
      </c>
      <c r="K268" s="15" t="s">
        <v>798</v>
      </c>
      <c r="L268" s="12" t="s">
        <v>5315</v>
      </c>
      <c r="M268" s="13" t="s">
        <v>5480</v>
      </c>
      <c r="N268" s="12" t="s">
        <v>803</v>
      </c>
      <c r="O268" s="13" t="s">
        <v>5084</v>
      </c>
      <c r="P268" s="17" t="s">
        <v>802</v>
      </c>
      <c r="Q268" s="21" t="s">
        <v>7755</v>
      </c>
      <c r="R268" s="17" t="s">
        <v>801</v>
      </c>
      <c r="S268" s="18" t="s">
        <v>2583</v>
      </c>
      <c r="T268" s="17" t="s">
        <v>800</v>
      </c>
      <c r="U268" s="18" t="s">
        <v>5251</v>
      </c>
      <c r="V268" s="17" t="s">
        <v>9418</v>
      </c>
      <c r="W268" s="18" t="s">
        <v>5309</v>
      </c>
      <c r="X268" s="69" t="s">
        <v>9453</v>
      </c>
      <c r="Y268" s="70" t="s">
        <v>9462</v>
      </c>
      <c r="Z268" s="73" t="s">
        <v>9486</v>
      </c>
      <c r="AA268" s="74" t="s">
        <v>9504</v>
      </c>
      <c r="AB268" s="73" t="s">
        <v>9486</v>
      </c>
      <c r="AC268" s="74" t="s">
        <v>9566</v>
      </c>
      <c r="AD268" s="73" t="s">
        <v>9578</v>
      </c>
      <c r="AE268" s="74" t="s">
        <v>9579</v>
      </c>
    </row>
    <row r="269" spans="1:31" ht="8.65" customHeight="1" x14ac:dyDescent="0.2">
      <c r="A269" s="76">
        <v>269</v>
      </c>
      <c r="B269" s="67" t="str">
        <f>MID(C269, FIND("Ifc.", C269) + 4, 4) &amp; "_" &amp; TEXT(COUNTIF($C$2:C269, C269),"0000")</f>
        <v>Prop_0268</v>
      </c>
      <c r="C269" s="24" t="s">
        <v>872</v>
      </c>
      <c r="D269" s="69" t="s">
        <v>9453</v>
      </c>
      <c r="E269" s="70" t="s">
        <v>9454</v>
      </c>
      <c r="F269" s="17" t="s">
        <v>806</v>
      </c>
      <c r="G269" s="22" t="s">
        <v>2115</v>
      </c>
      <c r="H269" s="12" t="s">
        <v>9703</v>
      </c>
      <c r="I269" s="13" t="s">
        <v>9416</v>
      </c>
      <c r="J269" s="14" t="s">
        <v>798</v>
      </c>
      <c r="K269" s="15" t="s">
        <v>798</v>
      </c>
      <c r="L269" s="12" t="s">
        <v>5315</v>
      </c>
      <c r="M269" s="13" t="s">
        <v>5980</v>
      </c>
      <c r="N269" s="12" t="s">
        <v>803</v>
      </c>
      <c r="O269" s="13" t="s">
        <v>5101</v>
      </c>
      <c r="P269" s="17" t="s">
        <v>802</v>
      </c>
      <c r="Q269" s="21" t="s">
        <v>7819</v>
      </c>
      <c r="R269" s="17" t="s">
        <v>801</v>
      </c>
      <c r="S269" s="18" t="s">
        <v>2649</v>
      </c>
      <c r="T269" s="17" t="s">
        <v>800</v>
      </c>
      <c r="U269" s="18" t="s">
        <v>5289</v>
      </c>
      <c r="V269" s="17" t="s">
        <v>9418</v>
      </c>
      <c r="W269" s="18" t="s">
        <v>5309</v>
      </c>
      <c r="X269" s="69" t="s">
        <v>9453</v>
      </c>
      <c r="Y269" s="70" t="s">
        <v>9462</v>
      </c>
      <c r="Z269" s="73" t="s">
        <v>9486</v>
      </c>
      <c r="AA269" s="74" t="s">
        <v>9504</v>
      </c>
      <c r="AB269" s="73" t="s">
        <v>9486</v>
      </c>
      <c r="AC269" s="74" t="s">
        <v>9566</v>
      </c>
      <c r="AD269" s="73" t="s">
        <v>9578</v>
      </c>
      <c r="AE269" s="74" t="s">
        <v>9579</v>
      </c>
    </row>
    <row r="270" spans="1:31" ht="8.65" customHeight="1" x14ac:dyDescent="0.2">
      <c r="A270" s="76">
        <v>270</v>
      </c>
      <c r="B270" s="67" t="str">
        <f>MID(C270, FIND("Ifc.", C270) + 4, 4) &amp; "_" &amp; TEXT(COUNTIF($C$2:C270, C270),"0000")</f>
        <v>Prop_0269</v>
      </c>
      <c r="C270" s="24" t="s">
        <v>872</v>
      </c>
      <c r="D270" s="69" t="s">
        <v>9453</v>
      </c>
      <c r="E270" s="70" t="s">
        <v>9454</v>
      </c>
      <c r="F270" s="17" t="s">
        <v>806</v>
      </c>
      <c r="G270" s="22" t="s">
        <v>1351</v>
      </c>
      <c r="H270" s="12" t="s">
        <v>9703</v>
      </c>
      <c r="I270" s="13" t="s">
        <v>6303</v>
      </c>
      <c r="J270" s="14" t="s">
        <v>798</v>
      </c>
      <c r="K270" s="15" t="s">
        <v>798</v>
      </c>
      <c r="L270" s="12" t="s">
        <v>5315</v>
      </c>
      <c r="M270" s="13" t="s">
        <v>5417</v>
      </c>
      <c r="N270" s="12" t="s">
        <v>803</v>
      </c>
      <c r="O270" s="13" t="s">
        <v>4916</v>
      </c>
      <c r="P270" s="17" t="s">
        <v>802</v>
      </c>
      <c r="Q270" s="21" t="s">
        <v>7820</v>
      </c>
      <c r="R270" s="17" t="s">
        <v>801</v>
      </c>
      <c r="S270" s="18" t="s">
        <v>2554</v>
      </c>
      <c r="T270" s="17" t="s">
        <v>800</v>
      </c>
      <c r="U270" s="18" t="s">
        <v>5233</v>
      </c>
      <c r="V270" s="17" t="s">
        <v>9418</v>
      </c>
      <c r="W270" s="18" t="s">
        <v>5309</v>
      </c>
      <c r="X270" s="69" t="s">
        <v>9453</v>
      </c>
      <c r="Y270" s="70" t="s">
        <v>9462</v>
      </c>
      <c r="Z270" s="73" t="s">
        <v>9486</v>
      </c>
      <c r="AA270" s="74" t="s">
        <v>9504</v>
      </c>
      <c r="AB270" s="73" t="s">
        <v>9486</v>
      </c>
      <c r="AC270" s="74" t="s">
        <v>9562</v>
      </c>
      <c r="AD270" s="73" t="s">
        <v>9578</v>
      </c>
      <c r="AE270" s="74" t="s">
        <v>9579</v>
      </c>
    </row>
    <row r="271" spans="1:31" ht="8.65" customHeight="1" x14ac:dyDescent="0.2">
      <c r="A271" s="76">
        <v>271</v>
      </c>
      <c r="B271" s="67" t="str">
        <f>MID(C271, FIND("Ifc.", C271) + 4, 4) &amp; "_" &amp; TEXT(COUNTIF($C$2:C271, C271),"0000")</f>
        <v>Prop_0270</v>
      </c>
      <c r="C271" s="24" t="s">
        <v>872</v>
      </c>
      <c r="D271" s="69" t="s">
        <v>9453</v>
      </c>
      <c r="E271" s="70" t="s">
        <v>9454</v>
      </c>
      <c r="F271" s="17" t="s">
        <v>806</v>
      </c>
      <c r="G271" s="22" t="s">
        <v>1525</v>
      </c>
      <c r="H271" s="12" t="s">
        <v>9703</v>
      </c>
      <c r="I271" s="13" t="s">
        <v>6758</v>
      </c>
      <c r="J271" s="14" t="s">
        <v>798</v>
      </c>
      <c r="K271" s="15" t="s">
        <v>798</v>
      </c>
      <c r="L271" s="12" t="s">
        <v>5315</v>
      </c>
      <c r="M271" s="13" t="s">
        <v>5816</v>
      </c>
      <c r="N271" s="12" t="s">
        <v>803</v>
      </c>
      <c r="O271" s="13" t="s">
        <v>4955</v>
      </c>
      <c r="P271" s="17" t="s">
        <v>802</v>
      </c>
      <c r="Q271" s="21" t="s">
        <v>7694</v>
      </c>
      <c r="R271" s="17" t="s">
        <v>801</v>
      </c>
      <c r="S271" s="18" t="s">
        <v>2554</v>
      </c>
      <c r="T271" s="17" t="s">
        <v>800</v>
      </c>
      <c r="U271" s="18" t="s">
        <v>5233</v>
      </c>
      <c r="V271" s="17" t="s">
        <v>9418</v>
      </c>
      <c r="W271" s="18" t="s">
        <v>5309</v>
      </c>
      <c r="X271" s="69" t="s">
        <v>9453</v>
      </c>
      <c r="Y271" s="70" t="s">
        <v>9462</v>
      </c>
      <c r="Z271" s="73" t="s">
        <v>9486</v>
      </c>
      <c r="AA271" s="74" t="s">
        <v>9504</v>
      </c>
      <c r="AB271" s="73" t="s">
        <v>9486</v>
      </c>
      <c r="AC271" s="74" t="s">
        <v>9562</v>
      </c>
      <c r="AD271" s="73" t="s">
        <v>9578</v>
      </c>
      <c r="AE271" s="74" t="s">
        <v>9579</v>
      </c>
    </row>
    <row r="272" spans="1:31" ht="8.65" customHeight="1" x14ac:dyDescent="0.2">
      <c r="A272" s="76">
        <v>272</v>
      </c>
      <c r="B272" s="67" t="str">
        <f>MID(C272, FIND("Ifc.", C272) + 4, 4) &amp; "_" &amp; TEXT(COUNTIF($C$2:C272, C272),"0000")</f>
        <v>Prop_0271</v>
      </c>
      <c r="C272" s="24" t="s">
        <v>872</v>
      </c>
      <c r="D272" s="69" t="s">
        <v>9453</v>
      </c>
      <c r="E272" s="70" t="s">
        <v>9454</v>
      </c>
      <c r="F272" s="17" t="s">
        <v>806</v>
      </c>
      <c r="G272" s="22" t="s">
        <v>1352</v>
      </c>
      <c r="H272" s="12" t="s">
        <v>9703</v>
      </c>
      <c r="I272" s="13" t="s">
        <v>6304</v>
      </c>
      <c r="J272" s="14" t="s">
        <v>798</v>
      </c>
      <c r="K272" s="15" t="s">
        <v>798</v>
      </c>
      <c r="L272" s="12" t="s">
        <v>5315</v>
      </c>
      <c r="M272" s="13" t="s">
        <v>5417</v>
      </c>
      <c r="N272" s="12" t="s">
        <v>803</v>
      </c>
      <c r="O272" s="13" t="s">
        <v>4916</v>
      </c>
      <c r="P272" s="17" t="s">
        <v>802</v>
      </c>
      <c r="Q272" s="21" t="s">
        <v>7820</v>
      </c>
      <c r="R272" s="17" t="s">
        <v>801</v>
      </c>
      <c r="S272" s="18" t="s">
        <v>2554</v>
      </c>
      <c r="T272" s="17" t="s">
        <v>800</v>
      </c>
      <c r="U272" s="18" t="s">
        <v>5233</v>
      </c>
      <c r="V272" s="17" t="s">
        <v>9418</v>
      </c>
      <c r="W272" s="18" t="s">
        <v>5309</v>
      </c>
      <c r="X272" s="69" t="s">
        <v>9453</v>
      </c>
      <c r="Y272" s="70" t="s">
        <v>9462</v>
      </c>
      <c r="Z272" s="73" t="s">
        <v>9486</v>
      </c>
      <c r="AA272" s="74" t="s">
        <v>9504</v>
      </c>
      <c r="AB272" s="73" t="s">
        <v>9486</v>
      </c>
      <c r="AC272" s="74" t="s">
        <v>9562</v>
      </c>
      <c r="AD272" s="73" t="s">
        <v>9578</v>
      </c>
      <c r="AE272" s="74" t="s">
        <v>9579</v>
      </c>
    </row>
    <row r="273" spans="1:31" ht="8.65" customHeight="1" x14ac:dyDescent="0.2">
      <c r="A273" s="76">
        <v>273</v>
      </c>
      <c r="B273" s="67" t="str">
        <f>MID(C273, FIND("Ifc.", C273) + 4, 4) &amp; "_" &amp; TEXT(COUNTIF($C$2:C273, C273),"0000")</f>
        <v>Prop_0272</v>
      </c>
      <c r="C273" s="24" t="s">
        <v>872</v>
      </c>
      <c r="D273" s="69" t="s">
        <v>9453</v>
      </c>
      <c r="E273" s="70" t="s">
        <v>9454</v>
      </c>
      <c r="F273" s="17" t="s">
        <v>806</v>
      </c>
      <c r="G273" s="22" t="s">
        <v>1350</v>
      </c>
      <c r="H273" s="12" t="s">
        <v>9703</v>
      </c>
      <c r="I273" s="13" t="s">
        <v>6302</v>
      </c>
      <c r="J273" s="14" t="s">
        <v>798</v>
      </c>
      <c r="K273" s="15" t="s">
        <v>798</v>
      </c>
      <c r="L273" s="12" t="s">
        <v>5315</v>
      </c>
      <c r="M273" s="13" t="s">
        <v>5417</v>
      </c>
      <c r="N273" s="12" t="s">
        <v>803</v>
      </c>
      <c r="O273" s="13" t="s">
        <v>4916</v>
      </c>
      <c r="P273" s="17" t="s">
        <v>802</v>
      </c>
      <c r="Q273" s="21" t="s">
        <v>7820</v>
      </c>
      <c r="R273" s="17" t="s">
        <v>801</v>
      </c>
      <c r="S273" s="18" t="s">
        <v>2554</v>
      </c>
      <c r="T273" s="17" t="s">
        <v>800</v>
      </c>
      <c r="U273" s="18" t="s">
        <v>5233</v>
      </c>
      <c r="V273" s="17" t="s">
        <v>9418</v>
      </c>
      <c r="W273" s="18" t="s">
        <v>5309</v>
      </c>
      <c r="X273" s="69" t="s">
        <v>9453</v>
      </c>
      <c r="Y273" s="70" t="s">
        <v>9462</v>
      </c>
      <c r="Z273" s="73" t="s">
        <v>9486</v>
      </c>
      <c r="AA273" s="74" t="s">
        <v>9504</v>
      </c>
      <c r="AB273" s="73" t="s">
        <v>9486</v>
      </c>
      <c r="AC273" s="74" t="s">
        <v>9562</v>
      </c>
      <c r="AD273" s="73" t="s">
        <v>9578</v>
      </c>
      <c r="AE273" s="74" t="s">
        <v>9579</v>
      </c>
    </row>
    <row r="274" spans="1:31" ht="8.65" customHeight="1" x14ac:dyDescent="0.2">
      <c r="A274" s="76">
        <v>274</v>
      </c>
      <c r="B274" s="67" t="str">
        <f>MID(C274, FIND("Ifc.", C274) + 4, 4) &amp; "_" &amp; TEXT(COUNTIF($C$2:C274, C274),"0000")</f>
        <v>Prop_0273</v>
      </c>
      <c r="C274" s="24" t="s">
        <v>872</v>
      </c>
      <c r="D274" s="69" t="s">
        <v>9453</v>
      </c>
      <c r="E274" s="70" t="s">
        <v>9454</v>
      </c>
      <c r="F274" s="17" t="s">
        <v>806</v>
      </c>
      <c r="G274" s="22" t="s">
        <v>1150</v>
      </c>
      <c r="H274" s="12" t="s">
        <v>9703</v>
      </c>
      <c r="I274" s="13" t="s">
        <v>6198</v>
      </c>
      <c r="J274" s="14" t="s">
        <v>798</v>
      </c>
      <c r="K274" s="15" t="s">
        <v>798</v>
      </c>
      <c r="L274" s="12" t="s">
        <v>5315</v>
      </c>
      <c r="M274" s="13" t="s">
        <v>5395</v>
      </c>
      <c r="N274" s="12" t="s">
        <v>803</v>
      </c>
      <c r="O274" s="13" t="s">
        <v>4866</v>
      </c>
      <c r="P274" s="17" t="s">
        <v>802</v>
      </c>
      <c r="Q274" s="21" t="s">
        <v>7821</v>
      </c>
      <c r="R274" s="17" t="s">
        <v>801</v>
      </c>
      <c r="S274" s="18" t="s">
        <v>2621</v>
      </c>
      <c r="T274" s="17" t="s">
        <v>800</v>
      </c>
      <c r="U274" s="18" t="s">
        <v>5260</v>
      </c>
      <c r="V274" s="17" t="s">
        <v>9418</v>
      </c>
      <c r="W274" s="18" t="s">
        <v>5309</v>
      </c>
      <c r="X274" s="69" t="s">
        <v>9453</v>
      </c>
      <c r="Y274" s="70" t="s">
        <v>9462</v>
      </c>
      <c r="Z274" s="73" t="s">
        <v>9486</v>
      </c>
      <c r="AA274" s="74" t="s">
        <v>9504</v>
      </c>
      <c r="AB274" s="73" t="s">
        <v>9486</v>
      </c>
      <c r="AC274" s="74" t="s">
        <v>9566</v>
      </c>
      <c r="AD274" s="73" t="s">
        <v>9578</v>
      </c>
      <c r="AE274" s="74" t="s">
        <v>9579</v>
      </c>
    </row>
    <row r="275" spans="1:31" ht="8.65" customHeight="1" x14ac:dyDescent="0.2">
      <c r="A275" s="76">
        <v>275</v>
      </c>
      <c r="B275" s="67" t="str">
        <f>MID(C275, FIND("Ifc.", C275) + 4, 4) &amp; "_" &amp; TEXT(COUNTIF($C$2:C275, C275),"0000")</f>
        <v>Prop_0274</v>
      </c>
      <c r="C275" s="24" t="s">
        <v>872</v>
      </c>
      <c r="D275" s="69" t="s">
        <v>9453</v>
      </c>
      <c r="E275" s="70" t="s">
        <v>9454</v>
      </c>
      <c r="F275" s="17" t="s">
        <v>806</v>
      </c>
      <c r="G275" s="22" t="s">
        <v>1150</v>
      </c>
      <c r="H275" s="12" t="s">
        <v>9703</v>
      </c>
      <c r="I275" s="13" t="s">
        <v>6198</v>
      </c>
      <c r="J275" s="14" t="s">
        <v>798</v>
      </c>
      <c r="K275" s="15" t="s">
        <v>798</v>
      </c>
      <c r="L275" s="12" t="s">
        <v>5315</v>
      </c>
      <c r="M275" s="13" t="s">
        <v>6046</v>
      </c>
      <c r="N275" s="12" t="s">
        <v>803</v>
      </c>
      <c r="O275" s="13" t="s">
        <v>4870</v>
      </c>
      <c r="P275" s="17" t="s">
        <v>802</v>
      </c>
      <c r="Q275" s="21" t="s">
        <v>7822</v>
      </c>
      <c r="R275" s="17" t="s">
        <v>801</v>
      </c>
      <c r="S275" s="18" t="s">
        <v>2621</v>
      </c>
      <c r="T275" s="17" t="s">
        <v>800</v>
      </c>
      <c r="U275" s="18" t="s">
        <v>5260</v>
      </c>
      <c r="V275" s="17" t="s">
        <v>9418</v>
      </c>
      <c r="W275" s="18" t="s">
        <v>5309</v>
      </c>
      <c r="X275" s="69" t="s">
        <v>9453</v>
      </c>
      <c r="Y275" s="70" t="s">
        <v>9462</v>
      </c>
      <c r="Z275" s="73" t="s">
        <v>9486</v>
      </c>
      <c r="AA275" s="74" t="s">
        <v>9504</v>
      </c>
      <c r="AB275" s="73" t="s">
        <v>9486</v>
      </c>
      <c r="AC275" s="74" t="s">
        <v>9566</v>
      </c>
      <c r="AD275" s="73" t="s">
        <v>9578</v>
      </c>
      <c r="AE275" s="74" t="s">
        <v>9579</v>
      </c>
    </row>
    <row r="276" spans="1:31" ht="8.65" customHeight="1" x14ac:dyDescent="0.2">
      <c r="A276" s="76">
        <v>276</v>
      </c>
      <c r="B276" s="67" t="str">
        <f>MID(C276, FIND("Ifc.", C276) + 4, 4) &amp; "_" &amp; TEXT(COUNTIF($C$2:C276, C276),"0000")</f>
        <v>Prop_0275</v>
      </c>
      <c r="C276" s="24" t="s">
        <v>872</v>
      </c>
      <c r="D276" s="69" t="s">
        <v>9453</v>
      </c>
      <c r="E276" s="70" t="s">
        <v>9454</v>
      </c>
      <c r="F276" s="17" t="s">
        <v>806</v>
      </c>
      <c r="G276" s="22" t="s">
        <v>1150</v>
      </c>
      <c r="H276" s="12" t="s">
        <v>9703</v>
      </c>
      <c r="I276" s="13" t="s">
        <v>6198</v>
      </c>
      <c r="J276" s="14" t="s">
        <v>798</v>
      </c>
      <c r="K276" s="15" t="s">
        <v>798</v>
      </c>
      <c r="L276" s="12" t="s">
        <v>5315</v>
      </c>
      <c r="M276" s="13" t="s">
        <v>6005</v>
      </c>
      <c r="N276" s="12" t="s">
        <v>803</v>
      </c>
      <c r="O276" s="13" t="s">
        <v>5221</v>
      </c>
      <c r="P276" s="17" t="s">
        <v>802</v>
      </c>
      <c r="Q276" s="21" t="s">
        <v>7711</v>
      </c>
      <c r="R276" s="17" t="s">
        <v>801</v>
      </c>
      <c r="S276" s="18" t="s">
        <v>2621</v>
      </c>
      <c r="T276" s="17" t="s">
        <v>800</v>
      </c>
      <c r="U276" s="18" t="s">
        <v>5260</v>
      </c>
      <c r="V276" s="17" t="s">
        <v>9418</v>
      </c>
      <c r="W276" s="18" t="s">
        <v>5309</v>
      </c>
      <c r="X276" s="69" t="s">
        <v>9453</v>
      </c>
      <c r="Y276" s="70" t="s">
        <v>9462</v>
      </c>
      <c r="Z276" s="73" t="s">
        <v>9486</v>
      </c>
      <c r="AA276" s="74" t="s">
        <v>9504</v>
      </c>
      <c r="AB276" s="73" t="s">
        <v>9486</v>
      </c>
      <c r="AC276" s="74" t="s">
        <v>9566</v>
      </c>
      <c r="AD276" s="73" t="s">
        <v>9578</v>
      </c>
      <c r="AE276" s="74" t="s">
        <v>9579</v>
      </c>
    </row>
    <row r="277" spans="1:31" ht="8.65" customHeight="1" x14ac:dyDescent="0.2">
      <c r="A277" s="76">
        <v>277</v>
      </c>
      <c r="B277" s="67" t="str">
        <f>MID(C277, FIND("Ifc.", C277) + 4, 4) &amp; "_" &amp; TEXT(COUNTIF($C$2:C277, C277),"0000")</f>
        <v>Prop_0276</v>
      </c>
      <c r="C277" s="24" t="s">
        <v>872</v>
      </c>
      <c r="D277" s="69" t="s">
        <v>9453</v>
      </c>
      <c r="E277" s="70" t="s">
        <v>9454</v>
      </c>
      <c r="F277" s="17" t="s">
        <v>806</v>
      </c>
      <c r="G277" s="22" t="s">
        <v>1342</v>
      </c>
      <c r="H277" s="12" t="s">
        <v>9703</v>
      </c>
      <c r="I277" s="13" t="s">
        <v>6273</v>
      </c>
      <c r="J277" s="14" t="s">
        <v>798</v>
      </c>
      <c r="K277" s="15" t="s">
        <v>798</v>
      </c>
      <c r="L277" s="12" t="s">
        <v>5315</v>
      </c>
      <c r="M277" s="13" t="s">
        <v>5414</v>
      </c>
      <c r="N277" s="12" t="s">
        <v>803</v>
      </c>
      <c r="O277" s="13" t="s">
        <v>4914</v>
      </c>
      <c r="P277" s="17" t="s">
        <v>802</v>
      </c>
      <c r="Q277" s="21" t="s">
        <v>7735</v>
      </c>
      <c r="R277" s="17" t="s">
        <v>801</v>
      </c>
      <c r="S277" s="18" t="s">
        <v>2554</v>
      </c>
      <c r="T277" s="17" t="s">
        <v>800</v>
      </c>
      <c r="U277" s="18" t="s">
        <v>5233</v>
      </c>
      <c r="V277" s="17" t="s">
        <v>9418</v>
      </c>
      <c r="W277" s="18" t="s">
        <v>5309</v>
      </c>
      <c r="X277" s="69" t="s">
        <v>9453</v>
      </c>
      <c r="Y277" s="70" t="s">
        <v>9462</v>
      </c>
      <c r="Z277" s="73" t="s">
        <v>9486</v>
      </c>
      <c r="AA277" s="74" t="s">
        <v>9504</v>
      </c>
      <c r="AB277" s="73" t="s">
        <v>9486</v>
      </c>
      <c r="AC277" s="74" t="s">
        <v>9562</v>
      </c>
      <c r="AD277" s="73" t="s">
        <v>9578</v>
      </c>
      <c r="AE277" s="74" t="s">
        <v>9579</v>
      </c>
    </row>
    <row r="278" spans="1:31" ht="8.65" customHeight="1" x14ac:dyDescent="0.2">
      <c r="A278" s="76">
        <v>278</v>
      </c>
      <c r="B278" s="67" t="str">
        <f>MID(C278, FIND("Ifc.", C278) + 4, 4) &amp; "_" &amp; TEXT(COUNTIF($C$2:C278, C278),"0000")</f>
        <v>Prop_0277</v>
      </c>
      <c r="C278" s="24" t="s">
        <v>872</v>
      </c>
      <c r="D278" s="69" t="s">
        <v>9453</v>
      </c>
      <c r="E278" s="70" t="s">
        <v>9454</v>
      </c>
      <c r="F278" s="17" t="s">
        <v>806</v>
      </c>
      <c r="G278" s="22" t="s">
        <v>2386</v>
      </c>
      <c r="H278" s="12" t="s">
        <v>9703</v>
      </c>
      <c r="I278" s="13" t="s">
        <v>6767</v>
      </c>
      <c r="J278" s="14" t="s">
        <v>798</v>
      </c>
      <c r="K278" s="15" t="s">
        <v>798</v>
      </c>
      <c r="L278" s="12" t="s">
        <v>5315</v>
      </c>
      <c r="M278" s="13" t="s">
        <v>5784</v>
      </c>
      <c r="N278" s="12" t="s">
        <v>803</v>
      </c>
      <c r="O278" s="13" t="s">
        <v>5182</v>
      </c>
      <c r="P278" s="17" t="s">
        <v>802</v>
      </c>
      <c r="Q278" s="21" t="s">
        <v>7772</v>
      </c>
      <c r="R278" s="17" t="s">
        <v>801</v>
      </c>
      <c r="S278" s="18" t="s">
        <v>2554</v>
      </c>
      <c r="T278" s="17" t="s">
        <v>800</v>
      </c>
      <c r="U278" s="18" t="s">
        <v>5233</v>
      </c>
      <c r="V278" s="17" t="s">
        <v>9418</v>
      </c>
      <c r="W278" s="18" t="s">
        <v>5309</v>
      </c>
      <c r="X278" s="69" t="s">
        <v>9453</v>
      </c>
      <c r="Y278" s="70" t="s">
        <v>9462</v>
      </c>
      <c r="Z278" s="73" t="s">
        <v>9486</v>
      </c>
      <c r="AA278" s="74" t="s">
        <v>9504</v>
      </c>
      <c r="AB278" s="73" t="s">
        <v>9486</v>
      </c>
      <c r="AC278" s="74" t="s">
        <v>9562</v>
      </c>
      <c r="AD278" s="73" t="s">
        <v>9578</v>
      </c>
      <c r="AE278" s="74" t="s">
        <v>9579</v>
      </c>
    </row>
    <row r="279" spans="1:31" ht="8.65" customHeight="1" x14ac:dyDescent="0.2">
      <c r="A279" s="76">
        <v>279</v>
      </c>
      <c r="B279" s="67" t="str">
        <f>MID(C279, FIND("Ifc.", C279) + 4, 4) &amp; "_" &amp; TEXT(COUNTIF($C$2:C279, C279),"0000")</f>
        <v>Prop_0278</v>
      </c>
      <c r="C279" s="24" t="s">
        <v>872</v>
      </c>
      <c r="D279" s="69" t="s">
        <v>9453</v>
      </c>
      <c r="E279" s="70" t="s">
        <v>9454</v>
      </c>
      <c r="F279" s="17" t="s">
        <v>806</v>
      </c>
      <c r="G279" s="22" t="s">
        <v>1349</v>
      </c>
      <c r="H279" s="12" t="s">
        <v>9703</v>
      </c>
      <c r="I279" s="13" t="s">
        <v>6301</v>
      </c>
      <c r="J279" s="14" t="s">
        <v>798</v>
      </c>
      <c r="K279" s="15" t="s">
        <v>798</v>
      </c>
      <c r="L279" s="12" t="s">
        <v>5315</v>
      </c>
      <c r="M279" s="13" t="s">
        <v>5417</v>
      </c>
      <c r="N279" s="12" t="s">
        <v>803</v>
      </c>
      <c r="O279" s="13" t="s">
        <v>4916</v>
      </c>
      <c r="P279" s="17" t="s">
        <v>802</v>
      </c>
      <c r="Q279" s="21" t="s">
        <v>7820</v>
      </c>
      <c r="R279" s="17" t="s">
        <v>801</v>
      </c>
      <c r="S279" s="18" t="s">
        <v>2554</v>
      </c>
      <c r="T279" s="17" t="s">
        <v>800</v>
      </c>
      <c r="U279" s="18" t="s">
        <v>5233</v>
      </c>
      <c r="V279" s="17" t="s">
        <v>9418</v>
      </c>
      <c r="W279" s="18" t="s">
        <v>5309</v>
      </c>
      <c r="X279" s="69" t="s">
        <v>9453</v>
      </c>
      <c r="Y279" s="70" t="s">
        <v>9462</v>
      </c>
      <c r="Z279" s="73" t="s">
        <v>9486</v>
      </c>
      <c r="AA279" s="74" t="s">
        <v>9504</v>
      </c>
      <c r="AB279" s="73" t="s">
        <v>9486</v>
      </c>
      <c r="AC279" s="74" t="s">
        <v>9562</v>
      </c>
      <c r="AD279" s="73" t="s">
        <v>9578</v>
      </c>
      <c r="AE279" s="74" t="s">
        <v>9579</v>
      </c>
    </row>
    <row r="280" spans="1:31" ht="8.65" customHeight="1" x14ac:dyDescent="0.2">
      <c r="A280" s="76">
        <v>280</v>
      </c>
      <c r="B280" s="67" t="str">
        <f>MID(C280, FIND("Ifc.", C280) + 4, 4) &amp; "_" &amp; TEXT(COUNTIF($C$2:C280, C280),"0000")</f>
        <v>Prop_0279</v>
      </c>
      <c r="C280" s="24" t="s">
        <v>872</v>
      </c>
      <c r="D280" s="69" t="s">
        <v>9453</v>
      </c>
      <c r="E280" s="70" t="s">
        <v>9454</v>
      </c>
      <c r="F280" s="17" t="s">
        <v>806</v>
      </c>
      <c r="G280" s="22" t="s">
        <v>1363</v>
      </c>
      <c r="H280" s="12" t="s">
        <v>9703</v>
      </c>
      <c r="I280" s="13" t="s">
        <v>6285</v>
      </c>
      <c r="J280" s="14" t="s">
        <v>798</v>
      </c>
      <c r="K280" s="15" t="s">
        <v>798</v>
      </c>
      <c r="L280" s="12" t="s">
        <v>5315</v>
      </c>
      <c r="M280" s="13" t="s">
        <v>6031</v>
      </c>
      <c r="N280" s="12" t="s">
        <v>803</v>
      </c>
      <c r="O280" s="13" t="s">
        <v>4919</v>
      </c>
      <c r="P280" s="17" t="s">
        <v>802</v>
      </c>
      <c r="Q280" s="21" t="s">
        <v>7818</v>
      </c>
      <c r="R280" s="17" t="s">
        <v>801</v>
      </c>
      <c r="S280" s="18" t="s">
        <v>2554</v>
      </c>
      <c r="T280" s="17" t="s">
        <v>800</v>
      </c>
      <c r="U280" s="18" t="s">
        <v>5233</v>
      </c>
      <c r="V280" s="17" t="s">
        <v>9418</v>
      </c>
      <c r="W280" s="18" t="s">
        <v>5309</v>
      </c>
      <c r="X280" s="69" t="s">
        <v>9453</v>
      </c>
      <c r="Y280" s="70" t="s">
        <v>9462</v>
      </c>
      <c r="Z280" s="73" t="s">
        <v>9486</v>
      </c>
      <c r="AA280" s="74" t="s">
        <v>9504</v>
      </c>
      <c r="AB280" s="73" t="s">
        <v>9486</v>
      </c>
      <c r="AC280" s="74" t="s">
        <v>9562</v>
      </c>
      <c r="AD280" s="73" t="s">
        <v>9578</v>
      </c>
      <c r="AE280" s="74" t="s">
        <v>9579</v>
      </c>
    </row>
    <row r="281" spans="1:31" ht="8.65" customHeight="1" x14ac:dyDescent="0.2">
      <c r="A281" s="76">
        <v>281</v>
      </c>
      <c r="B281" s="67" t="str">
        <f>MID(C281, FIND("Ifc.", C281) + 4, 4) &amp; "_" &amp; TEXT(COUNTIF($C$2:C281, C281),"0000")</f>
        <v>Prop_0280</v>
      </c>
      <c r="C281" s="24" t="s">
        <v>872</v>
      </c>
      <c r="D281" s="69" t="s">
        <v>9453</v>
      </c>
      <c r="E281" s="70" t="s">
        <v>9454</v>
      </c>
      <c r="F281" s="17" t="s">
        <v>806</v>
      </c>
      <c r="G281" s="22" t="s">
        <v>2496</v>
      </c>
      <c r="H281" s="12" t="s">
        <v>9703</v>
      </c>
      <c r="I281" s="13" t="s">
        <v>6720</v>
      </c>
      <c r="J281" s="14" t="s">
        <v>798</v>
      </c>
      <c r="K281" s="15" t="s">
        <v>798</v>
      </c>
      <c r="L281" s="12" t="s">
        <v>5315</v>
      </c>
      <c r="M281" s="13" t="s">
        <v>6005</v>
      </c>
      <c r="N281" s="12" t="s">
        <v>803</v>
      </c>
      <c r="O281" s="13" t="s">
        <v>5221</v>
      </c>
      <c r="P281" s="17" t="s">
        <v>802</v>
      </c>
      <c r="Q281" s="21" t="s">
        <v>7711</v>
      </c>
      <c r="R281" s="17" t="s">
        <v>801</v>
      </c>
      <c r="S281" s="18" t="s">
        <v>2621</v>
      </c>
      <c r="T281" s="17" t="s">
        <v>800</v>
      </c>
      <c r="U281" s="18" t="s">
        <v>5260</v>
      </c>
      <c r="V281" s="17" t="s">
        <v>9418</v>
      </c>
      <c r="W281" s="18" t="s">
        <v>5309</v>
      </c>
      <c r="X281" s="69" t="s">
        <v>9453</v>
      </c>
      <c r="Y281" s="70" t="s">
        <v>9462</v>
      </c>
      <c r="Z281" s="73" t="s">
        <v>9486</v>
      </c>
      <c r="AA281" s="74" t="s">
        <v>9504</v>
      </c>
      <c r="AB281" s="73" t="s">
        <v>9486</v>
      </c>
      <c r="AC281" s="74" t="s">
        <v>9566</v>
      </c>
      <c r="AD281" s="73" t="s">
        <v>9578</v>
      </c>
      <c r="AE281" s="74" t="s">
        <v>9579</v>
      </c>
    </row>
    <row r="282" spans="1:31" ht="8.65" customHeight="1" x14ac:dyDescent="0.2">
      <c r="A282" s="76">
        <v>282</v>
      </c>
      <c r="B282" s="67" t="str">
        <f>MID(C282, FIND("Ifc.", C282) + 4, 4) &amp; "_" &amp; TEXT(COUNTIF($C$2:C282, C282),"0000")</f>
        <v>Prop_0281</v>
      </c>
      <c r="C282" s="24" t="s">
        <v>872</v>
      </c>
      <c r="D282" s="69" t="s">
        <v>9453</v>
      </c>
      <c r="E282" s="70" t="s">
        <v>9454</v>
      </c>
      <c r="F282" s="17" t="s">
        <v>806</v>
      </c>
      <c r="G282" s="22" t="s">
        <v>1354</v>
      </c>
      <c r="H282" s="12" t="s">
        <v>9703</v>
      </c>
      <c r="I282" s="13" t="s">
        <v>6305</v>
      </c>
      <c r="J282" s="14" t="s">
        <v>798</v>
      </c>
      <c r="K282" s="15" t="s">
        <v>798</v>
      </c>
      <c r="L282" s="12" t="s">
        <v>5315</v>
      </c>
      <c r="M282" s="13" t="s">
        <v>5417</v>
      </c>
      <c r="N282" s="12" t="s">
        <v>803</v>
      </c>
      <c r="O282" s="13" t="s">
        <v>4916</v>
      </c>
      <c r="P282" s="17" t="s">
        <v>802</v>
      </c>
      <c r="Q282" s="21" t="s">
        <v>7820</v>
      </c>
      <c r="R282" s="17" t="s">
        <v>801</v>
      </c>
      <c r="S282" s="18" t="s">
        <v>2554</v>
      </c>
      <c r="T282" s="17" t="s">
        <v>800</v>
      </c>
      <c r="U282" s="18" t="s">
        <v>5233</v>
      </c>
      <c r="V282" s="17" t="s">
        <v>9418</v>
      </c>
      <c r="W282" s="18" t="s">
        <v>5309</v>
      </c>
      <c r="X282" s="69" t="s">
        <v>9453</v>
      </c>
      <c r="Y282" s="70" t="s">
        <v>9462</v>
      </c>
      <c r="Z282" s="73" t="s">
        <v>9486</v>
      </c>
      <c r="AA282" s="74" t="s">
        <v>9504</v>
      </c>
      <c r="AB282" s="73" t="s">
        <v>9486</v>
      </c>
      <c r="AC282" s="74" t="s">
        <v>9562</v>
      </c>
      <c r="AD282" s="73" t="s">
        <v>9578</v>
      </c>
      <c r="AE282" s="74" t="s">
        <v>9579</v>
      </c>
    </row>
    <row r="283" spans="1:31" ht="8.65" customHeight="1" x14ac:dyDescent="0.2">
      <c r="A283" s="76">
        <v>283</v>
      </c>
      <c r="B283" s="67" t="str">
        <f>MID(C283, FIND("Ifc.", C283) + 4, 4) &amp; "_" &amp; TEXT(COUNTIF($C$2:C283, C283),"0000")</f>
        <v>Prop_0282</v>
      </c>
      <c r="C283" s="24" t="s">
        <v>872</v>
      </c>
      <c r="D283" s="69" t="s">
        <v>9453</v>
      </c>
      <c r="E283" s="70" t="s">
        <v>9454</v>
      </c>
      <c r="F283" s="17" t="s">
        <v>806</v>
      </c>
      <c r="G283" s="22" t="s">
        <v>1320</v>
      </c>
      <c r="H283" s="12" t="s">
        <v>9703</v>
      </c>
      <c r="I283" s="13" t="s">
        <v>6270</v>
      </c>
      <c r="J283" s="14" t="s">
        <v>798</v>
      </c>
      <c r="K283" s="15" t="s">
        <v>798</v>
      </c>
      <c r="L283" s="12" t="s">
        <v>5315</v>
      </c>
      <c r="M283" s="13" t="s">
        <v>5410</v>
      </c>
      <c r="N283" s="12" t="s">
        <v>803</v>
      </c>
      <c r="O283" s="13" t="s">
        <v>4908</v>
      </c>
      <c r="P283" s="17" t="s">
        <v>802</v>
      </c>
      <c r="Q283" s="21" t="s">
        <v>7823</v>
      </c>
      <c r="R283" s="17" t="s">
        <v>801</v>
      </c>
      <c r="S283" s="18" t="s">
        <v>2554</v>
      </c>
      <c r="T283" s="17" t="s">
        <v>800</v>
      </c>
      <c r="U283" s="18" t="s">
        <v>5233</v>
      </c>
      <c r="V283" s="17" t="s">
        <v>9418</v>
      </c>
      <c r="W283" s="18" t="s">
        <v>5310</v>
      </c>
      <c r="X283" s="69" t="s">
        <v>9453</v>
      </c>
      <c r="Y283" s="70" t="s">
        <v>9463</v>
      </c>
      <c r="Z283" s="73" t="s">
        <v>9486</v>
      </c>
      <c r="AA283" s="74" t="s">
        <v>9504</v>
      </c>
      <c r="AB283" s="73" t="s">
        <v>9486</v>
      </c>
      <c r="AC283" s="74" t="s">
        <v>9562</v>
      </c>
      <c r="AD283" s="73" t="s">
        <v>9578</v>
      </c>
      <c r="AE283" s="74" t="s">
        <v>9579</v>
      </c>
    </row>
    <row r="284" spans="1:31" ht="8.65" customHeight="1" x14ac:dyDescent="0.2">
      <c r="A284" s="76">
        <v>284</v>
      </c>
      <c r="B284" s="67" t="str">
        <f>MID(C284, FIND("Ifc.", C284) + 4, 4) &amp; "_" &amp; TEXT(COUNTIF($C$2:C284, C284),"0000")</f>
        <v>Prop_0283</v>
      </c>
      <c r="C284" s="24" t="s">
        <v>872</v>
      </c>
      <c r="D284" s="69" t="s">
        <v>9453</v>
      </c>
      <c r="E284" s="70" t="s">
        <v>9454</v>
      </c>
      <c r="F284" s="17" t="s">
        <v>806</v>
      </c>
      <c r="G284" s="22" t="s">
        <v>1133</v>
      </c>
      <c r="H284" s="12" t="s">
        <v>9703</v>
      </c>
      <c r="I284" s="13" t="s">
        <v>6179</v>
      </c>
      <c r="J284" s="14" t="s">
        <v>798</v>
      </c>
      <c r="K284" s="15" t="s">
        <v>798</v>
      </c>
      <c r="L284" s="12" t="s">
        <v>5315</v>
      </c>
      <c r="M284" s="13" t="s">
        <v>6041</v>
      </c>
      <c r="N284" s="12" t="s">
        <v>803</v>
      </c>
      <c r="O284" s="13" t="s">
        <v>4862</v>
      </c>
      <c r="P284" s="17" t="s">
        <v>802</v>
      </c>
      <c r="Q284" s="21" t="s">
        <v>7795</v>
      </c>
      <c r="R284" s="17" t="s">
        <v>801</v>
      </c>
      <c r="S284" s="18" t="s">
        <v>2554</v>
      </c>
      <c r="T284" s="17" t="s">
        <v>800</v>
      </c>
      <c r="U284" s="18" t="s">
        <v>5233</v>
      </c>
      <c r="V284" s="17" t="s">
        <v>9418</v>
      </c>
      <c r="W284" s="18" t="s">
        <v>5310</v>
      </c>
      <c r="X284" s="69" t="s">
        <v>9453</v>
      </c>
      <c r="Y284" s="70" t="s">
        <v>9463</v>
      </c>
      <c r="Z284" s="73" t="s">
        <v>9486</v>
      </c>
      <c r="AA284" s="74" t="s">
        <v>9504</v>
      </c>
      <c r="AB284" s="73" t="s">
        <v>9486</v>
      </c>
      <c r="AC284" s="74" t="s">
        <v>9562</v>
      </c>
      <c r="AD284" s="73" t="s">
        <v>9578</v>
      </c>
      <c r="AE284" s="74" t="s">
        <v>9579</v>
      </c>
    </row>
    <row r="285" spans="1:31" ht="8.65" customHeight="1" x14ac:dyDescent="0.2">
      <c r="A285" s="76">
        <v>285</v>
      </c>
      <c r="B285" s="67" t="str">
        <f>MID(C285, FIND("Ifc.", C285) + 4, 4) &amp; "_" &amp; TEXT(COUNTIF($C$2:C285, C285),"0000")</f>
        <v>Prop_0284</v>
      </c>
      <c r="C285" s="24" t="s">
        <v>872</v>
      </c>
      <c r="D285" s="69" t="s">
        <v>9453</v>
      </c>
      <c r="E285" s="70" t="s">
        <v>9454</v>
      </c>
      <c r="F285" s="17" t="s">
        <v>806</v>
      </c>
      <c r="G285" s="22" t="s">
        <v>1133</v>
      </c>
      <c r="H285" s="12" t="s">
        <v>9703</v>
      </c>
      <c r="I285" s="13" t="s">
        <v>6179</v>
      </c>
      <c r="J285" s="14" t="s">
        <v>798</v>
      </c>
      <c r="K285" s="15" t="s">
        <v>798</v>
      </c>
      <c r="L285" s="12" t="s">
        <v>5315</v>
      </c>
      <c r="M285" s="13" t="s">
        <v>6042</v>
      </c>
      <c r="N285" s="12" t="s">
        <v>803</v>
      </c>
      <c r="O285" s="13" t="s">
        <v>4863</v>
      </c>
      <c r="P285" s="17" t="s">
        <v>802</v>
      </c>
      <c r="Q285" s="21" t="s">
        <v>7759</v>
      </c>
      <c r="R285" s="17" t="s">
        <v>801</v>
      </c>
      <c r="S285" s="18" t="s">
        <v>2554</v>
      </c>
      <c r="T285" s="17" t="s">
        <v>800</v>
      </c>
      <c r="U285" s="18" t="s">
        <v>5233</v>
      </c>
      <c r="V285" s="17" t="s">
        <v>9418</v>
      </c>
      <c r="W285" s="18" t="s">
        <v>5310</v>
      </c>
      <c r="X285" s="69" t="s">
        <v>9453</v>
      </c>
      <c r="Y285" s="70" t="s">
        <v>9463</v>
      </c>
      <c r="Z285" s="73" t="s">
        <v>9486</v>
      </c>
      <c r="AA285" s="74" t="s">
        <v>9504</v>
      </c>
      <c r="AB285" s="73" t="s">
        <v>9486</v>
      </c>
      <c r="AC285" s="74" t="s">
        <v>9562</v>
      </c>
      <c r="AD285" s="73" t="s">
        <v>9578</v>
      </c>
      <c r="AE285" s="74" t="s">
        <v>9579</v>
      </c>
    </row>
    <row r="286" spans="1:31" ht="8.65" customHeight="1" x14ac:dyDescent="0.2">
      <c r="A286" s="76">
        <v>286</v>
      </c>
      <c r="B286" s="67" t="str">
        <f>MID(C286, FIND("Ifc.", C286) + 4, 4) &amp; "_" &amp; TEXT(COUNTIF($C$2:C286, C286),"0000")</f>
        <v>Prop_0285</v>
      </c>
      <c r="C286" s="24" t="s">
        <v>872</v>
      </c>
      <c r="D286" s="69" t="s">
        <v>9453</v>
      </c>
      <c r="E286" s="70" t="s">
        <v>9454</v>
      </c>
      <c r="F286" s="17" t="s">
        <v>806</v>
      </c>
      <c r="G286" s="22" t="s">
        <v>1133</v>
      </c>
      <c r="H286" s="12" t="s">
        <v>9703</v>
      </c>
      <c r="I286" s="13" t="s">
        <v>6179</v>
      </c>
      <c r="J286" s="14" t="s">
        <v>798</v>
      </c>
      <c r="K286" s="15" t="s">
        <v>798</v>
      </c>
      <c r="L286" s="12" t="s">
        <v>5315</v>
      </c>
      <c r="M286" s="13" t="s">
        <v>5432</v>
      </c>
      <c r="N286" s="12" t="s">
        <v>803</v>
      </c>
      <c r="O286" s="13" t="s">
        <v>4931</v>
      </c>
      <c r="P286" s="17" t="s">
        <v>802</v>
      </c>
      <c r="Q286" s="21" t="s">
        <v>7760</v>
      </c>
      <c r="R286" s="17" t="s">
        <v>801</v>
      </c>
      <c r="S286" s="18" t="s">
        <v>2554</v>
      </c>
      <c r="T286" s="17" t="s">
        <v>800</v>
      </c>
      <c r="U286" s="18" t="s">
        <v>5233</v>
      </c>
      <c r="V286" s="17" t="s">
        <v>9418</v>
      </c>
      <c r="W286" s="18" t="s">
        <v>5310</v>
      </c>
      <c r="X286" s="69" t="s">
        <v>9453</v>
      </c>
      <c r="Y286" s="70" t="s">
        <v>9463</v>
      </c>
      <c r="Z286" s="73" t="s">
        <v>9486</v>
      </c>
      <c r="AA286" s="74" t="s">
        <v>9504</v>
      </c>
      <c r="AB286" s="73" t="s">
        <v>9486</v>
      </c>
      <c r="AC286" s="74" t="s">
        <v>9562</v>
      </c>
      <c r="AD286" s="73" t="s">
        <v>9578</v>
      </c>
      <c r="AE286" s="74" t="s">
        <v>9579</v>
      </c>
    </row>
    <row r="287" spans="1:31" ht="8.65" customHeight="1" x14ac:dyDescent="0.2">
      <c r="A287" s="76">
        <v>287</v>
      </c>
      <c r="B287" s="67" t="str">
        <f>MID(C287, FIND("Ifc.", C287) + 4, 4) &amp; "_" &amp; TEXT(COUNTIF($C$2:C287, C287),"0000")</f>
        <v>Prop_0286</v>
      </c>
      <c r="C287" s="24" t="s">
        <v>872</v>
      </c>
      <c r="D287" s="69" t="s">
        <v>9453</v>
      </c>
      <c r="E287" s="70" t="s">
        <v>9454</v>
      </c>
      <c r="F287" s="17" t="s">
        <v>806</v>
      </c>
      <c r="G287" s="22" t="s">
        <v>903</v>
      </c>
      <c r="H287" s="12" t="s">
        <v>9703</v>
      </c>
      <c r="I287" s="13" t="s">
        <v>6066</v>
      </c>
      <c r="J287" s="14" t="s">
        <v>798</v>
      </c>
      <c r="K287" s="15" t="s">
        <v>798</v>
      </c>
      <c r="L287" s="12" t="s">
        <v>5315</v>
      </c>
      <c r="M287" s="13" t="s">
        <v>5369</v>
      </c>
      <c r="N287" s="12" t="s">
        <v>803</v>
      </c>
      <c r="O287" s="13" t="s">
        <v>4810</v>
      </c>
      <c r="P287" s="17" t="s">
        <v>802</v>
      </c>
      <c r="Q287" s="21" t="s">
        <v>7681</v>
      </c>
      <c r="R287" s="17" t="s">
        <v>801</v>
      </c>
      <c r="S287" s="18" t="s">
        <v>2554</v>
      </c>
      <c r="T287" s="17" t="s">
        <v>800</v>
      </c>
      <c r="U287" s="18" t="s">
        <v>5233</v>
      </c>
      <c r="V287" s="17" t="s">
        <v>9418</v>
      </c>
      <c r="W287" s="18" t="s">
        <v>5309</v>
      </c>
      <c r="X287" s="69" t="s">
        <v>9453</v>
      </c>
      <c r="Y287" s="70" t="s">
        <v>9462</v>
      </c>
      <c r="Z287" s="73" t="s">
        <v>9486</v>
      </c>
      <c r="AA287" s="74" t="s">
        <v>9504</v>
      </c>
      <c r="AB287" s="73" t="s">
        <v>9486</v>
      </c>
      <c r="AC287" s="74" t="s">
        <v>9562</v>
      </c>
      <c r="AD287" s="73" t="s">
        <v>9578</v>
      </c>
      <c r="AE287" s="74" t="s">
        <v>9579</v>
      </c>
    </row>
    <row r="288" spans="1:31" ht="8.65" customHeight="1" x14ac:dyDescent="0.2">
      <c r="A288" s="76">
        <v>288</v>
      </c>
      <c r="B288" s="67" t="str">
        <f>MID(C288, FIND("Ifc.", C288) + 4, 4) &amp; "_" &amp; TEXT(COUNTIF($C$2:C288, C288),"0000")</f>
        <v>Prop_0287</v>
      </c>
      <c r="C288" s="24" t="s">
        <v>872</v>
      </c>
      <c r="D288" s="69" t="s">
        <v>9453</v>
      </c>
      <c r="E288" s="70" t="s">
        <v>9454</v>
      </c>
      <c r="F288" s="17" t="s">
        <v>806</v>
      </c>
      <c r="G288" s="22" t="s">
        <v>903</v>
      </c>
      <c r="H288" s="12" t="s">
        <v>9703</v>
      </c>
      <c r="I288" s="13" t="s">
        <v>6066</v>
      </c>
      <c r="J288" s="14" t="s">
        <v>798</v>
      </c>
      <c r="K288" s="15" t="s">
        <v>798</v>
      </c>
      <c r="L288" s="12" t="s">
        <v>5315</v>
      </c>
      <c r="M288" s="13" t="s">
        <v>5454</v>
      </c>
      <c r="N288" s="12" t="s">
        <v>803</v>
      </c>
      <c r="O288" s="13" t="s">
        <v>5017</v>
      </c>
      <c r="P288" s="17" t="s">
        <v>802</v>
      </c>
      <c r="Q288" s="21" t="s">
        <v>7776</v>
      </c>
      <c r="R288" s="17" t="s">
        <v>801</v>
      </c>
      <c r="S288" s="18" t="s">
        <v>2554</v>
      </c>
      <c r="T288" s="17" t="s">
        <v>800</v>
      </c>
      <c r="U288" s="18" t="s">
        <v>5233</v>
      </c>
      <c r="V288" s="17" t="s">
        <v>9418</v>
      </c>
      <c r="W288" s="18" t="s">
        <v>5309</v>
      </c>
      <c r="X288" s="69" t="s">
        <v>9453</v>
      </c>
      <c r="Y288" s="70" t="s">
        <v>9462</v>
      </c>
      <c r="Z288" s="73" t="s">
        <v>9486</v>
      </c>
      <c r="AA288" s="74" t="s">
        <v>9504</v>
      </c>
      <c r="AB288" s="73" t="s">
        <v>9486</v>
      </c>
      <c r="AC288" s="74" t="s">
        <v>9562</v>
      </c>
      <c r="AD288" s="73" t="s">
        <v>9578</v>
      </c>
      <c r="AE288" s="74" t="s">
        <v>9579</v>
      </c>
    </row>
    <row r="289" spans="1:31" ht="8.65" customHeight="1" x14ac:dyDescent="0.2">
      <c r="A289" s="76">
        <v>289</v>
      </c>
      <c r="B289" s="67" t="str">
        <f>MID(C289, FIND("Ifc.", C289) + 4, 4) &amp; "_" &amp; TEXT(COUNTIF($C$2:C289, C289),"0000")</f>
        <v>Prop_0288</v>
      </c>
      <c r="C289" s="24" t="s">
        <v>872</v>
      </c>
      <c r="D289" s="69" t="s">
        <v>9453</v>
      </c>
      <c r="E289" s="70" t="s">
        <v>9454</v>
      </c>
      <c r="F289" s="17" t="s">
        <v>806</v>
      </c>
      <c r="G289" s="22" t="s">
        <v>903</v>
      </c>
      <c r="H289" s="12" t="s">
        <v>9703</v>
      </c>
      <c r="I289" s="13" t="s">
        <v>6066</v>
      </c>
      <c r="J289" s="14" t="s">
        <v>798</v>
      </c>
      <c r="K289" s="15" t="s">
        <v>798</v>
      </c>
      <c r="L289" s="12" t="s">
        <v>5315</v>
      </c>
      <c r="M289" s="13" t="s">
        <v>5477</v>
      </c>
      <c r="N289" s="12" t="s">
        <v>803</v>
      </c>
      <c r="O289" s="13" t="s">
        <v>5081</v>
      </c>
      <c r="P289" s="17" t="s">
        <v>802</v>
      </c>
      <c r="Q289" s="21" t="s">
        <v>7807</v>
      </c>
      <c r="R289" s="17" t="s">
        <v>801</v>
      </c>
      <c r="S289" s="18" t="s">
        <v>2554</v>
      </c>
      <c r="T289" s="17" t="s">
        <v>800</v>
      </c>
      <c r="U289" s="18" t="s">
        <v>5233</v>
      </c>
      <c r="V289" s="17" t="s">
        <v>9418</v>
      </c>
      <c r="W289" s="18" t="s">
        <v>5309</v>
      </c>
      <c r="X289" s="69" t="s">
        <v>9453</v>
      </c>
      <c r="Y289" s="70" t="s">
        <v>9462</v>
      </c>
      <c r="Z289" s="73" t="s">
        <v>9486</v>
      </c>
      <c r="AA289" s="74" t="s">
        <v>9504</v>
      </c>
      <c r="AB289" s="73" t="s">
        <v>9486</v>
      </c>
      <c r="AC289" s="74" t="s">
        <v>9562</v>
      </c>
      <c r="AD289" s="73" t="s">
        <v>9578</v>
      </c>
      <c r="AE289" s="74" t="s">
        <v>9579</v>
      </c>
    </row>
    <row r="290" spans="1:31" ht="8.65" customHeight="1" x14ac:dyDescent="0.2">
      <c r="A290" s="76">
        <v>290</v>
      </c>
      <c r="B290" s="67" t="str">
        <f>MID(C290, FIND("Ifc.", C290) + 4, 4) &amp; "_" &amp; TEXT(COUNTIF($C$2:C290, C290),"0000")</f>
        <v>Prop_0289</v>
      </c>
      <c r="C290" s="24" t="s">
        <v>872</v>
      </c>
      <c r="D290" s="69" t="s">
        <v>9453</v>
      </c>
      <c r="E290" s="70" t="s">
        <v>9454</v>
      </c>
      <c r="F290" s="17" t="s">
        <v>806</v>
      </c>
      <c r="G290" s="22" t="s">
        <v>903</v>
      </c>
      <c r="H290" s="12" t="s">
        <v>9703</v>
      </c>
      <c r="I290" s="13" t="s">
        <v>6066</v>
      </c>
      <c r="J290" s="14" t="s">
        <v>798</v>
      </c>
      <c r="K290" s="15" t="s">
        <v>798</v>
      </c>
      <c r="L290" s="12" t="s">
        <v>5315</v>
      </c>
      <c r="M290" s="13" t="s">
        <v>5478</v>
      </c>
      <c r="N290" s="12" t="s">
        <v>803</v>
      </c>
      <c r="O290" s="13" t="s">
        <v>5082</v>
      </c>
      <c r="P290" s="17" t="s">
        <v>802</v>
      </c>
      <c r="Q290" s="21" t="s">
        <v>7824</v>
      </c>
      <c r="R290" s="17" t="s">
        <v>801</v>
      </c>
      <c r="S290" s="18" t="s">
        <v>2554</v>
      </c>
      <c r="T290" s="17" t="s">
        <v>800</v>
      </c>
      <c r="U290" s="18" t="s">
        <v>5233</v>
      </c>
      <c r="V290" s="17" t="s">
        <v>9418</v>
      </c>
      <c r="W290" s="18" t="s">
        <v>5309</v>
      </c>
      <c r="X290" s="69" t="s">
        <v>9453</v>
      </c>
      <c r="Y290" s="70" t="s">
        <v>9462</v>
      </c>
      <c r="Z290" s="73" t="s">
        <v>9486</v>
      </c>
      <c r="AA290" s="74" t="s">
        <v>9504</v>
      </c>
      <c r="AB290" s="73" t="s">
        <v>9486</v>
      </c>
      <c r="AC290" s="74" t="s">
        <v>9562</v>
      </c>
      <c r="AD290" s="73" t="s">
        <v>9578</v>
      </c>
      <c r="AE290" s="74" t="s">
        <v>9579</v>
      </c>
    </row>
    <row r="291" spans="1:31" ht="8.65" customHeight="1" x14ac:dyDescent="0.2">
      <c r="A291" s="76">
        <v>291</v>
      </c>
      <c r="B291" s="67" t="str">
        <f>MID(C291, FIND("Ifc.", C291) + 4, 4) &amp; "_" &amp; TEXT(COUNTIF($C$2:C291, C291),"0000")</f>
        <v>Prop_0290</v>
      </c>
      <c r="C291" s="24" t="s">
        <v>872</v>
      </c>
      <c r="D291" s="69" t="s">
        <v>9453</v>
      </c>
      <c r="E291" s="70" t="s">
        <v>9454</v>
      </c>
      <c r="F291" s="17" t="s">
        <v>806</v>
      </c>
      <c r="G291" s="22" t="s">
        <v>903</v>
      </c>
      <c r="H291" s="12" t="s">
        <v>9703</v>
      </c>
      <c r="I291" s="13" t="s">
        <v>6066</v>
      </c>
      <c r="J291" s="14" t="s">
        <v>798</v>
      </c>
      <c r="K291" s="15" t="s">
        <v>798</v>
      </c>
      <c r="L291" s="12" t="s">
        <v>5315</v>
      </c>
      <c r="M291" s="13" t="s">
        <v>5485</v>
      </c>
      <c r="N291" s="12" t="s">
        <v>803</v>
      </c>
      <c r="O291" s="13" t="s">
        <v>5088</v>
      </c>
      <c r="P291" s="17" t="s">
        <v>802</v>
      </c>
      <c r="Q291" s="21" t="s">
        <v>7808</v>
      </c>
      <c r="R291" s="17" t="s">
        <v>801</v>
      </c>
      <c r="S291" s="18" t="s">
        <v>2554</v>
      </c>
      <c r="T291" s="17" t="s">
        <v>800</v>
      </c>
      <c r="U291" s="18" t="s">
        <v>5233</v>
      </c>
      <c r="V291" s="17" t="s">
        <v>9418</v>
      </c>
      <c r="W291" s="18" t="s">
        <v>5309</v>
      </c>
      <c r="X291" s="69" t="s">
        <v>9453</v>
      </c>
      <c r="Y291" s="70" t="s">
        <v>9462</v>
      </c>
      <c r="Z291" s="73" t="s">
        <v>9486</v>
      </c>
      <c r="AA291" s="74" t="s">
        <v>9504</v>
      </c>
      <c r="AB291" s="73" t="s">
        <v>9486</v>
      </c>
      <c r="AC291" s="74" t="s">
        <v>9562</v>
      </c>
      <c r="AD291" s="73" t="s">
        <v>9578</v>
      </c>
      <c r="AE291" s="74" t="s">
        <v>9579</v>
      </c>
    </row>
    <row r="292" spans="1:31" ht="8.65" customHeight="1" x14ac:dyDescent="0.2">
      <c r="A292" s="76">
        <v>292</v>
      </c>
      <c r="B292" s="67" t="str">
        <f>MID(C292, FIND("Ifc.", C292) + 4, 4) &amp; "_" &amp; TEXT(COUNTIF($C$2:C292, C292),"0000")</f>
        <v>Prop_0291</v>
      </c>
      <c r="C292" s="24" t="s">
        <v>872</v>
      </c>
      <c r="D292" s="69" t="s">
        <v>9453</v>
      </c>
      <c r="E292" s="70" t="s">
        <v>9454</v>
      </c>
      <c r="F292" s="17" t="s">
        <v>806</v>
      </c>
      <c r="G292" s="22" t="s">
        <v>903</v>
      </c>
      <c r="H292" s="12" t="s">
        <v>9703</v>
      </c>
      <c r="I292" s="13" t="s">
        <v>6066</v>
      </c>
      <c r="J292" s="14" t="s">
        <v>798</v>
      </c>
      <c r="K292" s="15" t="s">
        <v>798</v>
      </c>
      <c r="L292" s="12" t="s">
        <v>5315</v>
      </c>
      <c r="M292" s="13" t="s">
        <v>5487</v>
      </c>
      <c r="N292" s="12" t="s">
        <v>803</v>
      </c>
      <c r="O292" s="13" t="s">
        <v>5095</v>
      </c>
      <c r="P292" s="17" t="s">
        <v>802</v>
      </c>
      <c r="Q292" s="21" t="s">
        <v>7687</v>
      </c>
      <c r="R292" s="17" t="s">
        <v>801</v>
      </c>
      <c r="S292" s="18" t="s">
        <v>2554</v>
      </c>
      <c r="T292" s="17" t="s">
        <v>800</v>
      </c>
      <c r="U292" s="18" t="s">
        <v>5233</v>
      </c>
      <c r="V292" s="17" t="s">
        <v>9418</v>
      </c>
      <c r="W292" s="18" t="s">
        <v>5309</v>
      </c>
      <c r="X292" s="69" t="s">
        <v>9453</v>
      </c>
      <c r="Y292" s="70" t="s">
        <v>9462</v>
      </c>
      <c r="Z292" s="73" t="s">
        <v>9486</v>
      </c>
      <c r="AA292" s="74" t="s">
        <v>9504</v>
      </c>
      <c r="AB292" s="73" t="s">
        <v>9486</v>
      </c>
      <c r="AC292" s="74" t="s">
        <v>9562</v>
      </c>
      <c r="AD292" s="73" t="s">
        <v>9578</v>
      </c>
      <c r="AE292" s="74" t="s">
        <v>9579</v>
      </c>
    </row>
    <row r="293" spans="1:31" ht="8.65" customHeight="1" x14ac:dyDescent="0.2">
      <c r="A293" s="76">
        <v>293</v>
      </c>
      <c r="B293" s="67" t="str">
        <f>MID(C293, FIND("Ifc.", C293) + 4, 4) &amp; "_" &amp; TEXT(COUNTIF($C$2:C293, C293),"0000")</f>
        <v>Prop_0292</v>
      </c>
      <c r="C293" s="24" t="s">
        <v>872</v>
      </c>
      <c r="D293" s="69" t="s">
        <v>9453</v>
      </c>
      <c r="E293" s="70" t="s">
        <v>9454</v>
      </c>
      <c r="F293" s="17" t="s">
        <v>806</v>
      </c>
      <c r="G293" s="22" t="s">
        <v>903</v>
      </c>
      <c r="H293" s="12" t="s">
        <v>9703</v>
      </c>
      <c r="I293" s="13" t="s">
        <v>6066</v>
      </c>
      <c r="J293" s="14" t="s">
        <v>798</v>
      </c>
      <c r="K293" s="15" t="s">
        <v>798</v>
      </c>
      <c r="L293" s="12" t="s">
        <v>5315</v>
      </c>
      <c r="M293" s="13" t="s">
        <v>5556</v>
      </c>
      <c r="N293" s="12" t="s">
        <v>803</v>
      </c>
      <c r="O293" s="13" t="s">
        <v>5169</v>
      </c>
      <c r="P293" s="17" t="s">
        <v>802</v>
      </c>
      <c r="Q293" s="21" t="s">
        <v>7728</v>
      </c>
      <c r="R293" s="17" t="s">
        <v>801</v>
      </c>
      <c r="S293" s="18" t="s">
        <v>2554</v>
      </c>
      <c r="T293" s="17" t="s">
        <v>800</v>
      </c>
      <c r="U293" s="18" t="s">
        <v>5233</v>
      </c>
      <c r="V293" s="17" t="s">
        <v>9418</v>
      </c>
      <c r="W293" s="18" t="s">
        <v>5309</v>
      </c>
      <c r="X293" s="69" t="s">
        <v>9453</v>
      </c>
      <c r="Y293" s="70" t="s">
        <v>9462</v>
      </c>
      <c r="Z293" s="73" t="s">
        <v>9486</v>
      </c>
      <c r="AA293" s="74" t="s">
        <v>9504</v>
      </c>
      <c r="AB293" s="73" t="s">
        <v>9486</v>
      </c>
      <c r="AC293" s="74" t="s">
        <v>9562</v>
      </c>
      <c r="AD293" s="73" t="s">
        <v>9578</v>
      </c>
      <c r="AE293" s="74" t="s">
        <v>9579</v>
      </c>
    </row>
    <row r="294" spans="1:31" ht="8.65" customHeight="1" x14ac:dyDescent="0.2">
      <c r="A294" s="76">
        <v>294</v>
      </c>
      <c r="B294" s="67" t="str">
        <f>MID(C294, FIND("Ifc.", C294) + 4, 4) &amp; "_" &amp; TEXT(COUNTIF($C$2:C294, C294),"0000")</f>
        <v>Prop_0293</v>
      </c>
      <c r="C294" s="24" t="s">
        <v>872</v>
      </c>
      <c r="D294" s="69" t="s">
        <v>9453</v>
      </c>
      <c r="E294" s="70" t="s">
        <v>9454</v>
      </c>
      <c r="F294" s="17" t="s">
        <v>806</v>
      </c>
      <c r="G294" s="22" t="s">
        <v>903</v>
      </c>
      <c r="H294" s="12" t="s">
        <v>9703</v>
      </c>
      <c r="I294" s="13" t="s">
        <v>6066</v>
      </c>
      <c r="J294" s="14" t="s">
        <v>798</v>
      </c>
      <c r="K294" s="15" t="s">
        <v>798</v>
      </c>
      <c r="L294" s="12" t="s">
        <v>5315</v>
      </c>
      <c r="M294" s="13" t="s">
        <v>5563</v>
      </c>
      <c r="N294" s="12" t="s">
        <v>803</v>
      </c>
      <c r="O294" s="13" t="s">
        <v>5178</v>
      </c>
      <c r="P294" s="17" t="s">
        <v>802</v>
      </c>
      <c r="Q294" s="21" t="s">
        <v>7810</v>
      </c>
      <c r="R294" s="17" t="s">
        <v>801</v>
      </c>
      <c r="S294" s="18" t="s">
        <v>2554</v>
      </c>
      <c r="T294" s="17" t="s">
        <v>800</v>
      </c>
      <c r="U294" s="18" t="s">
        <v>5233</v>
      </c>
      <c r="V294" s="17" t="s">
        <v>9418</v>
      </c>
      <c r="W294" s="18" t="s">
        <v>5309</v>
      </c>
      <c r="X294" s="69" t="s">
        <v>9453</v>
      </c>
      <c r="Y294" s="70" t="s">
        <v>9462</v>
      </c>
      <c r="Z294" s="73" t="s">
        <v>9486</v>
      </c>
      <c r="AA294" s="74" t="s">
        <v>9504</v>
      </c>
      <c r="AB294" s="73" t="s">
        <v>9486</v>
      </c>
      <c r="AC294" s="74" t="s">
        <v>9562</v>
      </c>
      <c r="AD294" s="73" t="s">
        <v>9578</v>
      </c>
      <c r="AE294" s="74" t="s">
        <v>9579</v>
      </c>
    </row>
    <row r="295" spans="1:31" ht="8.65" customHeight="1" x14ac:dyDescent="0.2">
      <c r="A295" s="76">
        <v>295</v>
      </c>
      <c r="B295" s="67" t="str">
        <f>MID(C295, FIND("Ifc.", C295) + 4, 4) &amp; "_" &amp; TEXT(COUNTIF($C$2:C295, C295),"0000")</f>
        <v>Prop_0294</v>
      </c>
      <c r="C295" s="24" t="s">
        <v>872</v>
      </c>
      <c r="D295" s="69" t="s">
        <v>9453</v>
      </c>
      <c r="E295" s="70" t="s">
        <v>9454</v>
      </c>
      <c r="F295" s="17" t="s">
        <v>806</v>
      </c>
      <c r="G295" s="22" t="s">
        <v>1094</v>
      </c>
      <c r="H295" s="12" t="s">
        <v>9703</v>
      </c>
      <c r="I295" s="13" t="s">
        <v>7205</v>
      </c>
      <c r="J295" s="14" t="s">
        <v>798</v>
      </c>
      <c r="K295" s="15" t="s">
        <v>798</v>
      </c>
      <c r="L295" s="12" t="s">
        <v>5315</v>
      </c>
      <c r="M295" s="13" t="s">
        <v>5994</v>
      </c>
      <c r="N295" s="12" t="s">
        <v>803</v>
      </c>
      <c r="O295" s="13" t="s">
        <v>4854</v>
      </c>
      <c r="P295" s="17" t="s">
        <v>802</v>
      </c>
      <c r="Q295" s="21" t="s">
        <v>7825</v>
      </c>
      <c r="R295" s="17" t="s">
        <v>801</v>
      </c>
      <c r="S295" s="18" t="s">
        <v>2669</v>
      </c>
      <c r="T295" s="17" t="s">
        <v>800</v>
      </c>
      <c r="U295" s="18" t="s">
        <v>5237</v>
      </c>
      <c r="V295" s="17" t="s">
        <v>9418</v>
      </c>
      <c r="W295" s="18" t="s">
        <v>5309</v>
      </c>
      <c r="X295" s="69" t="s">
        <v>9453</v>
      </c>
      <c r="Y295" s="70" t="s">
        <v>9462</v>
      </c>
      <c r="Z295" s="73" t="s">
        <v>9486</v>
      </c>
      <c r="AA295" s="74" t="s">
        <v>9504</v>
      </c>
      <c r="AB295" s="73" t="s">
        <v>9486</v>
      </c>
      <c r="AC295" s="74" t="s">
        <v>9562</v>
      </c>
      <c r="AD295" s="73" t="s">
        <v>9578</v>
      </c>
      <c r="AE295" s="74" t="s">
        <v>9579</v>
      </c>
    </row>
    <row r="296" spans="1:31" ht="8.65" customHeight="1" x14ac:dyDescent="0.2">
      <c r="A296" s="76">
        <v>296</v>
      </c>
      <c r="B296" s="67" t="str">
        <f>MID(C296, FIND("Ifc.", C296) + 4, 4) &amp; "_" &amp; TEXT(COUNTIF($C$2:C296, C296),"0000")</f>
        <v>Prop_0295</v>
      </c>
      <c r="C296" s="24" t="s">
        <v>872</v>
      </c>
      <c r="D296" s="69" t="s">
        <v>9453</v>
      </c>
      <c r="E296" s="70" t="s">
        <v>9454</v>
      </c>
      <c r="F296" s="17" t="s">
        <v>806</v>
      </c>
      <c r="G296" s="22" t="s">
        <v>1094</v>
      </c>
      <c r="H296" s="12" t="s">
        <v>9703</v>
      </c>
      <c r="I296" s="13" t="s">
        <v>7205</v>
      </c>
      <c r="J296" s="14" t="s">
        <v>798</v>
      </c>
      <c r="K296" s="15" t="s">
        <v>798</v>
      </c>
      <c r="L296" s="12" t="s">
        <v>5315</v>
      </c>
      <c r="M296" s="13" t="s">
        <v>5389</v>
      </c>
      <c r="N296" s="12" t="s">
        <v>803</v>
      </c>
      <c r="O296" s="13" t="s">
        <v>4851</v>
      </c>
      <c r="P296" s="17" t="s">
        <v>802</v>
      </c>
      <c r="Q296" s="21" t="s">
        <v>7826</v>
      </c>
      <c r="R296" s="17" t="s">
        <v>801</v>
      </c>
      <c r="S296" s="18" t="s">
        <v>2669</v>
      </c>
      <c r="T296" s="17" t="s">
        <v>800</v>
      </c>
      <c r="U296" s="18" t="s">
        <v>5237</v>
      </c>
      <c r="V296" s="17" t="s">
        <v>9418</v>
      </c>
      <c r="W296" s="18" t="s">
        <v>5309</v>
      </c>
      <c r="X296" s="69" t="s">
        <v>9453</v>
      </c>
      <c r="Y296" s="70" t="s">
        <v>9462</v>
      </c>
      <c r="Z296" s="73" t="s">
        <v>9486</v>
      </c>
      <c r="AA296" s="74" t="s">
        <v>9504</v>
      </c>
      <c r="AB296" s="73" t="s">
        <v>9486</v>
      </c>
      <c r="AC296" s="74" t="s">
        <v>9562</v>
      </c>
      <c r="AD296" s="73" t="s">
        <v>9578</v>
      </c>
      <c r="AE296" s="74" t="s">
        <v>9579</v>
      </c>
    </row>
    <row r="297" spans="1:31" ht="8.65" customHeight="1" x14ac:dyDescent="0.2">
      <c r="A297" s="76">
        <v>297</v>
      </c>
      <c r="B297" s="67" t="str">
        <f>MID(C297, FIND("Ifc.", C297) + 4, 4) &amp; "_" &amp; TEXT(COUNTIF($C$2:C297, C297),"0000")</f>
        <v>Prop_0296</v>
      </c>
      <c r="C297" s="24" t="s">
        <v>872</v>
      </c>
      <c r="D297" s="69" t="s">
        <v>9453</v>
      </c>
      <c r="E297" s="70" t="s">
        <v>9454</v>
      </c>
      <c r="F297" s="17" t="s">
        <v>806</v>
      </c>
      <c r="G297" s="22" t="s">
        <v>1094</v>
      </c>
      <c r="H297" s="12" t="s">
        <v>9703</v>
      </c>
      <c r="I297" s="13" t="s">
        <v>7205</v>
      </c>
      <c r="J297" s="14" t="s">
        <v>798</v>
      </c>
      <c r="K297" s="15" t="s">
        <v>798</v>
      </c>
      <c r="L297" s="12" t="s">
        <v>5315</v>
      </c>
      <c r="M297" s="13" t="s">
        <v>5888</v>
      </c>
      <c r="N297" s="12" t="s">
        <v>803</v>
      </c>
      <c r="O297" s="13" t="s">
        <v>4913</v>
      </c>
      <c r="P297" s="17" t="s">
        <v>802</v>
      </c>
      <c r="Q297" s="21" t="s">
        <v>7827</v>
      </c>
      <c r="R297" s="17" t="s">
        <v>801</v>
      </c>
      <c r="S297" s="18" t="s">
        <v>2669</v>
      </c>
      <c r="T297" s="17" t="s">
        <v>800</v>
      </c>
      <c r="U297" s="18" t="s">
        <v>5237</v>
      </c>
      <c r="V297" s="17" t="s">
        <v>9418</v>
      </c>
      <c r="W297" s="18" t="s">
        <v>5309</v>
      </c>
      <c r="X297" s="69" t="s">
        <v>9453</v>
      </c>
      <c r="Y297" s="70" t="s">
        <v>9462</v>
      </c>
      <c r="Z297" s="73" t="s">
        <v>9486</v>
      </c>
      <c r="AA297" s="74" t="s">
        <v>9504</v>
      </c>
      <c r="AB297" s="73" t="s">
        <v>9486</v>
      </c>
      <c r="AC297" s="74" t="s">
        <v>9562</v>
      </c>
      <c r="AD297" s="73" t="s">
        <v>9578</v>
      </c>
      <c r="AE297" s="74" t="s">
        <v>9579</v>
      </c>
    </row>
    <row r="298" spans="1:31" ht="8.65" customHeight="1" x14ac:dyDescent="0.2">
      <c r="A298" s="76">
        <v>298</v>
      </c>
      <c r="B298" s="67" t="str">
        <f>MID(C298, FIND("Ifc.", C298) + 4, 4) &amp; "_" &amp; TEXT(COUNTIF($C$2:C298, C298),"0000")</f>
        <v>Prop_0297</v>
      </c>
      <c r="C298" s="24" t="s">
        <v>872</v>
      </c>
      <c r="D298" s="69" t="s">
        <v>9453</v>
      </c>
      <c r="E298" s="70" t="s">
        <v>9454</v>
      </c>
      <c r="F298" s="17" t="s">
        <v>806</v>
      </c>
      <c r="G298" s="22" t="s">
        <v>1780</v>
      </c>
      <c r="H298" s="12" t="s">
        <v>9703</v>
      </c>
      <c r="I298" s="13" t="s">
        <v>7204</v>
      </c>
      <c r="J298" s="14" t="s">
        <v>798</v>
      </c>
      <c r="K298" s="15" t="s">
        <v>798</v>
      </c>
      <c r="L298" s="12" t="s">
        <v>5315</v>
      </c>
      <c r="M298" s="13" t="s">
        <v>5454</v>
      </c>
      <c r="N298" s="12" t="s">
        <v>803</v>
      </c>
      <c r="O298" s="13" t="s">
        <v>5017</v>
      </c>
      <c r="P298" s="17" t="s">
        <v>802</v>
      </c>
      <c r="Q298" s="21" t="s">
        <v>7776</v>
      </c>
      <c r="R298" s="17" t="s">
        <v>801</v>
      </c>
      <c r="S298" s="18" t="s">
        <v>2554</v>
      </c>
      <c r="T298" s="17" t="s">
        <v>800</v>
      </c>
      <c r="U298" s="18" t="s">
        <v>5233</v>
      </c>
      <c r="V298" s="17" t="s">
        <v>9418</v>
      </c>
      <c r="W298" s="18" t="s">
        <v>5309</v>
      </c>
      <c r="X298" s="69" t="s">
        <v>9453</v>
      </c>
      <c r="Y298" s="70" t="s">
        <v>9462</v>
      </c>
      <c r="Z298" s="73" t="s">
        <v>9486</v>
      </c>
      <c r="AA298" s="74" t="s">
        <v>9504</v>
      </c>
      <c r="AB298" s="73" t="s">
        <v>9486</v>
      </c>
      <c r="AC298" s="74" t="s">
        <v>9562</v>
      </c>
      <c r="AD298" s="73" t="s">
        <v>9578</v>
      </c>
      <c r="AE298" s="74" t="s">
        <v>9579</v>
      </c>
    </row>
    <row r="299" spans="1:31" ht="8.65" customHeight="1" x14ac:dyDescent="0.2">
      <c r="A299" s="76">
        <v>299</v>
      </c>
      <c r="B299" s="67" t="str">
        <f>MID(C299, FIND("Ifc.", C299) + 4, 4) &amp; "_" &amp; TEXT(COUNTIF($C$2:C299, C299),"0000")</f>
        <v>Prop_0298</v>
      </c>
      <c r="C299" s="24" t="s">
        <v>872</v>
      </c>
      <c r="D299" s="69" t="s">
        <v>9453</v>
      </c>
      <c r="E299" s="70" t="s">
        <v>9454</v>
      </c>
      <c r="F299" s="17" t="s">
        <v>806</v>
      </c>
      <c r="G299" s="22" t="s">
        <v>1780</v>
      </c>
      <c r="H299" s="12" t="s">
        <v>9703</v>
      </c>
      <c r="I299" s="13" t="s">
        <v>7204</v>
      </c>
      <c r="J299" s="14" t="s">
        <v>798</v>
      </c>
      <c r="K299" s="15" t="s">
        <v>798</v>
      </c>
      <c r="L299" s="12" t="s">
        <v>5315</v>
      </c>
      <c r="M299" s="13" t="s">
        <v>5487</v>
      </c>
      <c r="N299" s="12" t="s">
        <v>803</v>
      </c>
      <c r="O299" s="13" t="s">
        <v>5095</v>
      </c>
      <c r="P299" s="17" t="s">
        <v>802</v>
      </c>
      <c r="Q299" s="21" t="s">
        <v>7687</v>
      </c>
      <c r="R299" s="17" t="s">
        <v>801</v>
      </c>
      <c r="S299" s="18" t="s">
        <v>2554</v>
      </c>
      <c r="T299" s="17" t="s">
        <v>800</v>
      </c>
      <c r="U299" s="18" t="s">
        <v>5233</v>
      </c>
      <c r="V299" s="17" t="s">
        <v>9418</v>
      </c>
      <c r="W299" s="18" t="s">
        <v>5309</v>
      </c>
      <c r="X299" s="69" t="s">
        <v>9453</v>
      </c>
      <c r="Y299" s="70" t="s">
        <v>9462</v>
      </c>
      <c r="Z299" s="73" t="s">
        <v>9486</v>
      </c>
      <c r="AA299" s="74" t="s">
        <v>9504</v>
      </c>
      <c r="AB299" s="73" t="s">
        <v>9486</v>
      </c>
      <c r="AC299" s="74" t="s">
        <v>9562</v>
      </c>
      <c r="AD299" s="73" t="s">
        <v>9578</v>
      </c>
      <c r="AE299" s="74" t="s">
        <v>9579</v>
      </c>
    </row>
    <row r="300" spans="1:31" ht="8.65" customHeight="1" x14ac:dyDescent="0.2">
      <c r="A300" s="76">
        <v>300</v>
      </c>
      <c r="B300" s="67" t="str">
        <f>MID(C300, FIND("Ifc.", C300) + 4, 4) &amp; "_" &amp; TEXT(COUNTIF($C$2:C300, C300),"0000")</f>
        <v>Prop_0299</v>
      </c>
      <c r="C300" s="24" t="s">
        <v>872</v>
      </c>
      <c r="D300" s="69" t="s">
        <v>9453</v>
      </c>
      <c r="E300" s="70" t="s">
        <v>9454</v>
      </c>
      <c r="F300" s="17" t="s">
        <v>806</v>
      </c>
      <c r="G300" s="22" t="s">
        <v>1777</v>
      </c>
      <c r="H300" s="12" t="s">
        <v>9703</v>
      </c>
      <c r="I300" s="13" t="s">
        <v>6494</v>
      </c>
      <c r="J300" s="14" t="s">
        <v>798</v>
      </c>
      <c r="K300" s="15" t="s">
        <v>798</v>
      </c>
      <c r="L300" s="12" t="s">
        <v>5315</v>
      </c>
      <c r="M300" s="13" t="s">
        <v>5454</v>
      </c>
      <c r="N300" s="12" t="s">
        <v>803</v>
      </c>
      <c r="O300" s="13" t="s">
        <v>5017</v>
      </c>
      <c r="P300" s="17" t="s">
        <v>802</v>
      </c>
      <c r="Q300" s="21" t="s">
        <v>7776</v>
      </c>
      <c r="R300" s="17" t="s">
        <v>801</v>
      </c>
      <c r="S300" s="18" t="s">
        <v>2554</v>
      </c>
      <c r="T300" s="17" t="s">
        <v>800</v>
      </c>
      <c r="U300" s="18" t="s">
        <v>5233</v>
      </c>
      <c r="V300" s="17" t="s">
        <v>9418</v>
      </c>
      <c r="W300" s="18" t="s">
        <v>5309</v>
      </c>
      <c r="X300" s="69" t="s">
        <v>9453</v>
      </c>
      <c r="Y300" s="70" t="s">
        <v>9462</v>
      </c>
      <c r="Z300" s="73" t="s">
        <v>9486</v>
      </c>
      <c r="AA300" s="74" t="s">
        <v>9504</v>
      </c>
      <c r="AB300" s="73" t="s">
        <v>9486</v>
      </c>
      <c r="AC300" s="74" t="s">
        <v>9562</v>
      </c>
      <c r="AD300" s="73" t="s">
        <v>9578</v>
      </c>
      <c r="AE300" s="74" t="s">
        <v>9579</v>
      </c>
    </row>
    <row r="301" spans="1:31" ht="8.65" customHeight="1" x14ac:dyDescent="0.2">
      <c r="A301" s="76">
        <v>301</v>
      </c>
      <c r="B301" s="67" t="str">
        <f>MID(C301, FIND("Ifc.", C301) + 4, 4) &amp; "_" &amp; TEXT(COUNTIF($C$2:C301, C301),"0000")</f>
        <v>Prop_0300</v>
      </c>
      <c r="C301" s="24" t="s">
        <v>872</v>
      </c>
      <c r="D301" s="69" t="s">
        <v>9453</v>
      </c>
      <c r="E301" s="70" t="s">
        <v>9454</v>
      </c>
      <c r="F301" s="17" t="s">
        <v>806</v>
      </c>
      <c r="G301" s="22" t="s">
        <v>1777</v>
      </c>
      <c r="H301" s="12" t="s">
        <v>9703</v>
      </c>
      <c r="I301" s="13" t="s">
        <v>6494</v>
      </c>
      <c r="J301" s="14" t="s">
        <v>798</v>
      </c>
      <c r="K301" s="15" t="s">
        <v>798</v>
      </c>
      <c r="L301" s="12" t="s">
        <v>5315</v>
      </c>
      <c r="M301" s="13" t="s">
        <v>5487</v>
      </c>
      <c r="N301" s="12" t="s">
        <v>803</v>
      </c>
      <c r="O301" s="13" t="s">
        <v>5095</v>
      </c>
      <c r="P301" s="17" t="s">
        <v>802</v>
      </c>
      <c r="Q301" s="21" t="s">
        <v>7687</v>
      </c>
      <c r="R301" s="17" t="s">
        <v>801</v>
      </c>
      <c r="S301" s="18" t="s">
        <v>2554</v>
      </c>
      <c r="T301" s="17" t="s">
        <v>800</v>
      </c>
      <c r="U301" s="18" t="s">
        <v>5233</v>
      </c>
      <c r="V301" s="17" t="s">
        <v>9418</v>
      </c>
      <c r="W301" s="18" t="s">
        <v>5309</v>
      </c>
      <c r="X301" s="69" t="s">
        <v>9453</v>
      </c>
      <c r="Y301" s="70" t="s">
        <v>9462</v>
      </c>
      <c r="Z301" s="73" t="s">
        <v>9486</v>
      </c>
      <c r="AA301" s="74" t="s">
        <v>9504</v>
      </c>
      <c r="AB301" s="73" t="s">
        <v>9486</v>
      </c>
      <c r="AC301" s="74" t="s">
        <v>9562</v>
      </c>
      <c r="AD301" s="73" t="s">
        <v>9578</v>
      </c>
      <c r="AE301" s="74" t="s">
        <v>9579</v>
      </c>
    </row>
    <row r="302" spans="1:31" ht="8.65" customHeight="1" x14ac:dyDescent="0.2">
      <c r="A302" s="76">
        <v>302</v>
      </c>
      <c r="B302" s="67" t="str">
        <f>MID(C302, FIND("Ifc.", C302) + 4, 4) &amp; "_" &amp; TEXT(COUNTIF($C$2:C302, C302),"0000")</f>
        <v>Prop_0301</v>
      </c>
      <c r="C302" s="24" t="s">
        <v>872</v>
      </c>
      <c r="D302" s="69" t="s">
        <v>9453</v>
      </c>
      <c r="E302" s="70" t="s">
        <v>9454</v>
      </c>
      <c r="F302" s="17" t="s">
        <v>806</v>
      </c>
      <c r="G302" s="22" t="s">
        <v>1287</v>
      </c>
      <c r="H302" s="12" t="s">
        <v>9703</v>
      </c>
      <c r="I302" s="13" t="s">
        <v>7675</v>
      </c>
      <c r="J302" s="14" t="s">
        <v>798</v>
      </c>
      <c r="K302" s="15" t="s">
        <v>798</v>
      </c>
      <c r="L302" s="12" t="s">
        <v>5315</v>
      </c>
      <c r="M302" s="13" t="s">
        <v>6014</v>
      </c>
      <c r="N302" s="12" t="s">
        <v>803</v>
      </c>
      <c r="O302" s="13" t="s">
        <v>4902</v>
      </c>
      <c r="P302" s="17" t="s">
        <v>802</v>
      </c>
      <c r="Q302" s="21" t="s">
        <v>7828</v>
      </c>
      <c r="R302" s="17" t="s">
        <v>801</v>
      </c>
      <c r="S302" s="18" t="s">
        <v>2554</v>
      </c>
      <c r="T302" s="17" t="s">
        <v>800</v>
      </c>
      <c r="U302" s="18" t="s">
        <v>5233</v>
      </c>
      <c r="V302" s="17" t="s">
        <v>9418</v>
      </c>
      <c r="W302" s="18" t="s">
        <v>5313</v>
      </c>
      <c r="X302" s="69" t="s">
        <v>9453</v>
      </c>
      <c r="Y302" s="70" t="s">
        <v>9467</v>
      </c>
      <c r="Z302" s="73" t="s">
        <v>9486</v>
      </c>
      <c r="AA302" s="74" t="s">
        <v>9504</v>
      </c>
      <c r="AB302" s="73" t="s">
        <v>9486</v>
      </c>
      <c r="AC302" s="74" t="s">
        <v>9562</v>
      </c>
      <c r="AD302" s="73" t="s">
        <v>9578</v>
      </c>
      <c r="AE302" s="74" t="s">
        <v>9579</v>
      </c>
    </row>
    <row r="303" spans="1:31" ht="8.65" customHeight="1" x14ac:dyDescent="0.2">
      <c r="A303" s="76">
        <v>303</v>
      </c>
      <c r="B303" s="67" t="str">
        <f>MID(C303, FIND("Ifc.", C303) + 4, 4) &amp; "_" &amp; TEXT(COUNTIF($C$2:C303, C303),"0000")</f>
        <v>Prop_0302</v>
      </c>
      <c r="C303" s="24" t="s">
        <v>872</v>
      </c>
      <c r="D303" s="69" t="s">
        <v>9453</v>
      </c>
      <c r="E303" s="70" t="s">
        <v>9454</v>
      </c>
      <c r="F303" s="17" t="s">
        <v>806</v>
      </c>
      <c r="G303" s="22" t="s">
        <v>1287</v>
      </c>
      <c r="H303" s="12" t="s">
        <v>9703</v>
      </c>
      <c r="I303" s="13" t="s">
        <v>7675</v>
      </c>
      <c r="J303" s="14" t="s">
        <v>798</v>
      </c>
      <c r="K303" s="15" t="s">
        <v>798</v>
      </c>
      <c r="L303" s="12" t="s">
        <v>5315</v>
      </c>
      <c r="M303" s="13" t="s">
        <v>6027</v>
      </c>
      <c r="N303" s="12" t="s">
        <v>803</v>
      </c>
      <c r="O303" s="13" t="s">
        <v>4901</v>
      </c>
      <c r="P303" s="17" t="s">
        <v>802</v>
      </c>
      <c r="Q303" s="21" t="s">
        <v>7829</v>
      </c>
      <c r="R303" s="17" t="s">
        <v>801</v>
      </c>
      <c r="S303" s="18" t="s">
        <v>2554</v>
      </c>
      <c r="T303" s="17" t="s">
        <v>800</v>
      </c>
      <c r="U303" s="18" t="s">
        <v>5233</v>
      </c>
      <c r="V303" s="17" t="s">
        <v>9418</v>
      </c>
      <c r="W303" s="18" t="s">
        <v>5313</v>
      </c>
      <c r="X303" s="69" t="s">
        <v>9453</v>
      </c>
      <c r="Y303" s="70" t="s">
        <v>9467</v>
      </c>
      <c r="Z303" s="73" t="s">
        <v>9486</v>
      </c>
      <c r="AA303" s="74" t="s">
        <v>9504</v>
      </c>
      <c r="AB303" s="73" t="s">
        <v>9486</v>
      </c>
      <c r="AC303" s="74" t="s">
        <v>9562</v>
      </c>
      <c r="AD303" s="73" t="s">
        <v>9578</v>
      </c>
      <c r="AE303" s="74" t="s">
        <v>9579</v>
      </c>
    </row>
    <row r="304" spans="1:31" ht="8.65" customHeight="1" x14ac:dyDescent="0.2">
      <c r="A304" s="76">
        <v>304</v>
      </c>
      <c r="B304" s="67" t="str">
        <f>MID(C304, FIND("Ifc.", C304) + 4, 4) &amp; "_" &amp; TEXT(COUNTIF($C$2:C304, C304),"0000")</f>
        <v>Prop_0303</v>
      </c>
      <c r="C304" s="24" t="s">
        <v>872</v>
      </c>
      <c r="D304" s="69" t="s">
        <v>9453</v>
      </c>
      <c r="E304" s="70" t="s">
        <v>9454</v>
      </c>
      <c r="F304" s="17" t="s">
        <v>806</v>
      </c>
      <c r="G304" s="22" t="s">
        <v>2083</v>
      </c>
      <c r="H304" s="12" t="s">
        <v>9703</v>
      </c>
      <c r="I304" s="13" t="s">
        <v>6629</v>
      </c>
      <c r="J304" s="14" t="s">
        <v>798</v>
      </c>
      <c r="K304" s="15" t="s">
        <v>798</v>
      </c>
      <c r="L304" s="12" t="s">
        <v>5315</v>
      </c>
      <c r="M304" s="13" t="s">
        <v>5487</v>
      </c>
      <c r="N304" s="12" t="s">
        <v>803</v>
      </c>
      <c r="O304" s="13" t="s">
        <v>5095</v>
      </c>
      <c r="P304" s="17" t="s">
        <v>802</v>
      </c>
      <c r="Q304" s="21" t="s">
        <v>7687</v>
      </c>
      <c r="R304" s="17" t="s">
        <v>801</v>
      </c>
      <c r="S304" s="18" t="s">
        <v>2554</v>
      </c>
      <c r="T304" s="17" t="s">
        <v>800</v>
      </c>
      <c r="U304" s="18" t="s">
        <v>5233</v>
      </c>
      <c r="V304" s="17" t="s">
        <v>9418</v>
      </c>
      <c r="W304" s="18" t="s">
        <v>5309</v>
      </c>
      <c r="X304" s="69" t="s">
        <v>9453</v>
      </c>
      <c r="Y304" s="70" t="s">
        <v>9462</v>
      </c>
      <c r="Z304" s="73" t="s">
        <v>9486</v>
      </c>
      <c r="AA304" s="74" t="s">
        <v>9504</v>
      </c>
      <c r="AB304" s="73" t="s">
        <v>9486</v>
      </c>
      <c r="AC304" s="74" t="s">
        <v>9562</v>
      </c>
      <c r="AD304" s="73" t="s">
        <v>9578</v>
      </c>
      <c r="AE304" s="74" t="s">
        <v>9579</v>
      </c>
    </row>
    <row r="305" spans="1:31" ht="8.65" customHeight="1" x14ac:dyDescent="0.2">
      <c r="A305" s="76">
        <v>305</v>
      </c>
      <c r="B305" s="67" t="str">
        <f>MID(C305, FIND("Ifc.", C305) + 4, 4) &amp; "_" &amp; TEXT(COUNTIF($C$2:C305, C305),"0000")</f>
        <v>Prop_0304</v>
      </c>
      <c r="C305" s="24" t="s">
        <v>872</v>
      </c>
      <c r="D305" s="69" t="s">
        <v>9453</v>
      </c>
      <c r="E305" s="70" t="s">
        <v>9454</v>
      </c>
      <c r="F305" s="17" t="s">
        <v>806</v>
      </c>
      <c r="G305" s="22" t="s">
        <v>1779</v>
      </c>
      <c r="H305" s="12" t="s">
        <v>9703</v>
      </c>
      <c r="I305" s="13" t="s">
        <v>6496</v>
      </c>
      <c r="J305" s="14" t="s">
        <v>798</v>
      </c>
      <c r="K305" s="15" t="s">
        <v>798</v>
      </c>
      <c r="L305" s="12" t="s">
        <v>5315</v>
      </c>
      <c r="M305" s="13" t="s">
        <v>5454</v>
      </c>
      <c r="N305" s="12" t="s">
        <v>803</v>
      </c>
      <c r="O305" s="13" t="s">
        <v>5017</v>
      </c>
      <c r="P305" s="17" t="s">
        <v>802</v>
      </c>
      <c r="Q305" s="21" t="s">
        <v>7776</v>
      </c>
      <c r="R305" s="17" t="s">
        <v>801</v>
      </c>
      <c r="S305" s="18" t="s">
        <v>2554</v>
      </c>
      <c r="T305" s="17" t="s">
        <v>800</v>
      </c>
      <c r="U305" s="18" t="s">
        <v>5233</v>
      </c>
      <c r="V305" s="17" t="s">
        <v>9418</v>
      </c>
      <c r="W305" s="18" t="s">
        <v>5309</v>
      </c>
      <c r="X305" s="69" t="s">
        <v>9453</v>
      </c>
      <c r="Y305" s="70" t="s">
        <v>9462</v>
      </c>
      <c r="Z305" s="73" t="s">
        <v>9486</v>
      </c>
      <c r="AA305" s="74" t="s">
        <v>9504</v>
      </c>
      <c r="AB305" s="73" t="s">
        <v>9486</v>
      </c>
      <c r="AC305" s="74" t="s">
        <v>9562</v>
      </c>
      <c r="AD305" s="73" t="s">
        <v>9578</v>
      </c>
      <c r="AE305" s="74" t="s">
        <v>9579</v>
      </c>
    </row>
    <row r="306" spans="1:31" ht="8.65" customHeight="1" x14ac:dyDescent="0.2">
      <c r="A306" s="76">
        <v>306</v>
      </c>
      <c r="B306" s="67" t="str">
        <f>MID(C306, FIND("Ifc.", C306) + 4, 4) &amp; "_" &amp; TEXT(COUNTIF($C$2:C306, C306),"0000")</f>
        <v>Prop_0305</v>
      </c>
      <c r="C306" s="24" t="s">
        <v>872</v>
      </c>
      <c r="D306" s="69" t="s">
        <v>9453</v>
      </c>
      <c r="E306" s="70" t="s">
        <v>9454</v>
      </c>
      <c r="F306" s="17" t="s">
        <v>806</v>
      </c>
      <c r="G306" s="22" t="s">
        <v>1779</v>
      </c>
      <c r="H306" s="12" t="s">
        <v>9703</v>
      </c>
      <c r="I306" s="13" t="s">
        <v>6496</v>
      </c>
      <c r="J306" s="14" t="s">
        <v>798</v>
      </c>
      <c r="K306" s="15" t="s">
        <v>798</v>
      </c>
      <c r="L306" s="12" t="s">
        <v>5315</v>
      </c>
      <c r="M306" s="13" t="s">
        <v>5487</v>
      </c>
      <c r="N306" s="12" t="s">
        <v>803</v>
      </c>
      <c r="O306" s="13" t="s">
        <v>5095</v>
      </c>
      <c r="P306" s="17" t="s">
        <v>802</v>
      </c>
      <c r="Q306" s="21" t="s">
        <v>7687</v>
      </c>
      <c r="R306" s="17" t="s">
        <v>801</v>
      </c>
      <c r="S306" s="18" t="s">
        <v>2554</v>
      </c>
      <c r="T306" s="17" t="s">
        <v>800</v>
      </c>
      <c r="U306" s="18" t="s">
        <v>5233</v>
      </c>
      <c r="V306" s="17" t="s">
        <v>9418</v>
      </c>
      <c r="W306" s="18" t="s">
        <v>5309</v>
      </c>
      <c r="X306" s="69" t="s">
        <v>9453</v>
      </c>
      <c r="Y306" s="70" t="s">
        <v>9462</v>
      </c>
      <c r="Z306" s="73" t="s">
        <v>9486</v>
      </c>
      <c r="AA306" s="74" t="s">
        <v>9504</v>
      </c>
      <c r="AB306" s="73" t="s">
        <v>9486</v>
      </c>
      <c r="AC306" s="74" t="s">
        <v>9562</v>
      </c>
      <c r="AD306" s="73" t="s">
        <v>9578</v>
      </c>
      <c r="AE306" s="74" t="s">
        <v>9579</v>
      </c>
    </row>
    <row r="307" spans="1:31" ht="8.65" customHeight="1" x14ac:dyDescent="0.2">
      <c r="A307" s="76">
        <v>307</v>
      </c>
      <c r="B307" s="67" t="str">
        <f>MID(C307, FIND("Ifc.", C307) + 4, 4) &amp; "_" &amp; TEXT(COUNTIF($C$2:C307, C307),"0000")</f>
        <v>Prop_0306</v>
      </c>
      <c r="C307" s="24" t="s">
        <v>872</v>
      </c>
      <c r="D307" s="69" t="s">
        <v>9453</v>
      </c>
      <c r="E307" s="70" t="s">
        <v>9454</v>
      </c>
      <c r="F307" s="17" t="s">
        <v>806</v>
      </c>
      <c r="G307" s="22" t="s">
        <v>1213</v>
      </c>
      <c r="H307" s="12" t="s">
        <v>9703</v>
      </c>
      <c r="I307" s="13" t="s">
        <v>7206</v>
      </c>
      <c r="J307" s="14" t="s">
        <v>798</v>
      </c>
      <c r="K307" s="15" t="s">
        <v>798</v>
      </c>
      <c r="L307" s="12" t="s">
        <v>5315</v>
      </c>
      <c r="M307" s="13" t="s">
        <v>5821</v>
      </c>
      <c r="N307" s="12" t="s">
        <v>803</v>
      </c>
      <c r="O307" s="13" t="s">
        <v>4883</v>
      </c>
      <c r="P307" s="17" t="s">
        <v>802</v>
      </c>
      <c r="Q307" s="21" t="s">
        <v>7683</v>
      </c>
      <c r="R307" s="17" t="s">
        <v>801</v>
      </c>
      <c r="S307" s="18" t="s">
        <v>2621</v>
      </c>
      <c r="T307" s="17" t="s">
        <v>800</v>
      </c>
      <c r="U307" s="18" t="s">
        <v>5260</v>
      </c>
      <c r="V307" s="17" t="s">
        <v>9418</v>
      </c>
      <c r="W307" s="18" t="s">
        <v>5309</v>
      </c>
      <c r="X307" s="69" t="s">
        <v>9453</v>
      </c>
      <c r="Y307" s="70" t="s">
        <v>9462</v>
      </c>
      <c r="Z307" s="73" t="s">
        <v>9486</v>
      </c>
      <c r="AA307" s="74" t="s">
        <v>9504</v>
      </c>
      <c r="AB307" s="73" t="s">
        <v>9486</v>
      </c>
      <c r="AC307" s="74" t="s">
        <v>9566</v>
      </c>
      <c r="AD307" s="73" t="s">
        <v>9578</v>
      </c>
      <c r="AE307" s="74" t="s">
        <v>9579</v>
      </c>
    </row>
    <row r="308" spans="1:31" ht="8.65" customHeight="1" x14ac:dyDescent="0.2">
      <c r="A308" s="76">
        <v>308</v>
      </c>
      <c r="B308" s="67" t="str">
        <f>MID(C308, FIND("Ifc.", C308) + 4, 4) &amp; "_" &amp; TEXT(COUNTIF($C$2:C308, C308),"0000")</f>
        <v>Prop_0307</v>
      </c>
      <c r="C308" s="24" t="s">
        <v>872</v>
      </c>
      <c r="D308" s="69" t="s">
        <v>9453</v>
      </c>
      <c r="E308" s="70" t="s">
        <v>9454</v>
      </c>
      <c r="F308" s="17" t="s">
        <v>806</v>
      </c>
      <c r="G308" s="22" t="s">
        <v>1213</v>
      </c>
      <c r="H308" s="12" t="s">
        <v>9703</v>
      </c>
      <c r="I308" s="13" t="s">
        <v>7206</v>
      </c>
      <c r="J308" s="14" t="s">
        <v>798</v>
      </c>
      <c r="K308" s="15" t="s">
        <v>798</v>
      </c>
      <c r="L308" s="12" t="s">
        <v>5315</v>
      </c>
      <c r="M308" s="13" t="s">
        <v>6003</v>
      </c>
      <c r="N308" s="12" t="s">
        <v>803</v>
      </c>
      <c r="O308" s="13" t="s">
        <v>5214</v>
      </c>
      <c r="P308" s="17" t="s">
        <v>802</v>
      </c>
      <c r="Q308" s="21" t="s">
        <v>7830</v>
      </c>
      <c r="R308" s="17" t="s">
        <v>801</v>
      </c>
      <c r="S308" s="18" t="s">
        <v>2621</v>
      </c>
      <c r="T308" s="17" t="s">
        <v>800</v>
      </c>
      <c r="U308" s="18" t="s">
        <v>5260</v>
      </c>
      <c r="V308" s="17" t="s">
        <v>9418</v>
      </c>
      <c r="W308" s="18" t="s">
        <v>5309</v>
      </c>
      <c r="X308" s="69" t="s">
        <v>9453</v>
      </c>
      <c r="Y308" s="70" t="s">
        <v>9462</v>
      </c>
      <c r="Z308" s="73" t="s">
        <v>9486</v>
      </c>
      <c r="AA308" s="74" t="s">
        <v>9504</v>
      </c>
      <c r="AB308" s="73" t="s">
        <v>9486</v>
      </c>
      <c r="AC308" s="74" t="s">
        <v>9566</v>
      </c>
      <c r="AD308" s="73" t="s">
        <v>9578</v>
      </c>
      <c r="AE308" s="74" t="s">
        <v>9579</v>
      </c>
    </row>
    <row r="309" spans="1:31" ht="8.65" customHeight="1" x14ac:dyDescent="0.2">
      <c r="A309" s="76">
        <v>309</v>
      </c>
      <c r="B309" s="67" t="str">
        <f>MID(C309, FIND("Ifc.", C309) + 4, 4) &amp; "_" &amp; TEXT(COUNTIF($C$2:C309, C309),"0000")</f>
        <v>Prop_0308</v>
      </c>
      <c r="C309" s="24" t="s">
        <v>872</v>
      </c>
      <c r="D309" s="69" t="s">
        <v>9453</v>
      </c>
      <c r="E309" s="70" t="s">
        <v>9454</v>
      </c>
      <c r="F309" s="17" t="s">
        <v>806</v>
      </c>
      <c r="G309" s="22" t="s">
        <v>1223</v>
      </c>
      <c r="H309" s="12" t="s">
        <v>9703</v>
      </c>
      <c r="I309" s="13" t="s">
        <v>7206</v>
      </c>
      <c r="J309" s="14" t="s">
        <v>798</v>
      </c>
      <c r="K309" s="15" t="s">
        <v>798</v>
      </c>
      <c r="L309" s="12" t="s">
        <v>5315</v>
      </c>
      <c r="M309" s="13" t="s">
        <v>5822</v>
      </c>
      <c r="N309" s="12" t="s">
        <v>803</v>
      </c>
      <c r="O309" s="13" t="s">
        <v>4884</v>
      </c>
      <c r="P309" s="17" t="s">
        <v>802</v>
      </c>
      <c r="Q309" s="21" t="s">
        <v>7831</v>
      </c>
      <c r="R309" s="17" t="s">
        <v>801</v>
      </c>
      <c r="S309" s="18" t="s">
        <v>2554</v>
      </c>
      <c r="T309" s="17" t="s">
        <v>800</v>
      </c>
      <c r="U309" s="18" t="s">
        <v>5233</v>
      </c>
      <c r="V309" s="17" t="s">
        <v>9418</v>
      </c>
      <c r="W309" s="18" t="s">
        <v>5310</v>
      </c>
      <c r="X309" s="69" t="s">
        <v>9453</v>
      </c>
      <c r="Y309" s="70" t="s">
        <v>9463</v>
      </c>
      <c r="Z309" s="73" t="s">
        <v>9486</v>
      </c>
      <c r="AA309" s="74" t="s">
        <v>9504</v>
      </c>
      <c r="AB309" s="73" t="s">
        <v>9486</v>
      </c>
      <c r="AC309" s="74" t="s">
        <v>9562</v>
      </c>
      <c r="AD309" s="73" t="s">
        <v>9578</v>
      </c>
      <c r="AE309" s="74" t="s">
        <v>9579</v>
      </c>
    </row>
    <row r="310" spans="1:31" ht="8.65" customHeight="1" x14ac:dyDescent="0.2">
      <c r="A310" s="76">
        <v>310</v>
      </c>
      <c r="B310" s="67" t="str">
        <f>MID(C310, FIND("Ifc.", C310) + 4, 4) &amp; "_" &amp; TEXT(COUNTIF($C$2:C310, C310),"0000")</f>
        <v>Prop_0309</v>
      </c>
      <c r="C310" s="24" t="s">
        <v>872</v>
      </c>
      <c r="D310" s="69" t="s">
        <v>9453</v>
      </c>
      <c r="E310" s="70" t="s">
        <v>9454</v>
      </c>
      <c r="F310" s="17" t="s">
        <v>806</v>
      </c>
      <c r="G310" s="22" t="s">
        <v>1223</v>
      </c>
      <c r="H310" s="12" t="s">
        <v>9703</v>
      </c>
      <c r="I310" s="13" t="s">
        <v>7206</v>
      </c>
      <c r="J310" s="14" t="s">
        <v>798</v>
      </c>
      <c r="K310" s="15" t="s">
        <v>798</v>
      </c>
      <c r="L310" s="12" t="s">
        <v>5315</v>
      </c>
      <c r="M310" s="13" t="s">
        <v>5824</v>
      </c>
      <c r="N310" s="12" t="s">
        <v>803</v>
      </c>
      <c r="O310" s="13" t="s">
        <v>4886</v>
      </c>
      <c r="P310" s="17" t="s">
        <v>802</v>
      </c>
      <c r="Q310" s="21" t="s">
        <v>7832</v>
      </c>
      <c r="R310" s="17" t="s">
        <v>801</v>
      </c>
      <c r="S310" s="18" t="s">
        <v>2554</v>
      </c>
      <c r="T310" s="17" t="s">
        <v>800</v>
      </c>
      <c r="U310" s="18" t="s">
        <v>5233</v>
      </c>
      <c r="V310" s="17" t="s">
        <v>9418</v>
      </c>
      <c r="W310" s="18" t="s">
        <v>5310</v>
      </c>
      <c r="X310" s="69" t="s">
        <v>9453</v>
      </c>
      <c r="Y310" s="70" t="s">
        <v>9463</v>
      </c>
      <c r="Z310" s="73" t="s">
        <v>9486</v>
      </c>
      <c r="AA310" s="74" t="s">
        <v>9504</v>
      </c>
      <c r="AB310" s="73" t="s">
        <v>9486</v>
      </c>
      <c r="AC310" s="74" t="s">
        <v>9562</v>
      </c>
      <c r="AD310" s="73" t="s">
        <v>9578</v>
      </c>
      <c r="AE310" s="74" t="s">
        <v>9579</v>
      </c>
    </row>
    <row r="311" spans="1:31" ht="8.65" customHeight="1" x14ac:dyDescent="0.2">
      <c r="A311" s="76">
        <v>311</v>
      </c>
      <c r="B311" s="67" t="str">
        <f>MID(C311, FIND("Ifc.", C311) + 4, 4) &amp; "_" &amp; TEXT(COUNTIF($C$2:C311, C311),"0000")</f>
        <v>Prop_0310</v>
      </c>
      <c r="C311" s="24" t="s">
        <v>872</v>
      </c>
      <c r="D311" s="69" t="s">
        <v>9453</v>
      </c>
      <c r="E311" s="70" t="s">
        <v>9454</v>
      </c>
      <c r="F311" s="17" t="s">
        <v>806</v>
      </c>
      <c r="G311" s="22" t="s">
        <v>2244</v>
      </c>
      <c r="H311" s="12" t="s">
        <v>9703</v>
      </c>
      <c r="I311" s="13" t="s">
        <v>6693</v>
      </c>
      <c r="J311" s="14" t="s">
        <v>798</v>
      </c>
      <c r="K311" s="15" t="s">
        <v>798</v>
      </c>
      <c r="L311" s="12" t="s">
        <v>5315</v>
      </c>
      <c r="M311" s="13" t="s">
        <v>5520</v>
      </c>
      <c r="N311" s="12" t="s">
        <v>803</v>
      </c>
      <c r="O311" s="13" t="s">
        <v>5135</v>
      </c>
      <c r="P311" s="17" t="s">
        <v>802</v>
      </c>
      <c r="Q311" s="21" t="s">
        <v>7833</v>
      </c>
      <c r="R311" s="17" t="s">
        <v>801</v>
      </c>
      <c r="S311" s="18" t="s">
        <v>2638</v>
      </c>
      <c r="T311" s="17" t="s">
        <v>800</v>
      </c>
      <c r="U311" s="18" t="s">
        <v>5254</v>
      </c>
      <c r="V311" s="17" t="s">
        <v>9418</v>
      </c>
      <c r="W311" s="18" t="s">
        <v>5309</v>
      </c>
      <c r="X311" s="69" t="s">
        <v>9453</v>
      </c>
      <c r="Y311" s="70" t="s">
        <v>9462</v>
      </c>
      <c r="Z311" s="73" t="s">
        <v>9486</v>
      </c>
      <c r="AA311" s="74" t="s">
        <v>9504</v>
      </c>
      <c r="AB311" s="73" t="s">
        <v>9486</v>
      </c>
      <c r="AC311" s="74" t="s">
        <v>9566</v>
      </c>
      <c r="AD311" s="73" t="s">
        <v>9578</v>
      </c>
      <c r="AE311" s="74" t="s">
        <v>9579</v>
      </c>
    </row>
    <row r="312" spans="1:31" ht="8.65" customHeight="1" x14ac:dyDescent="0.2">
      <c r="A312" s="76">
        <v>312</v>
      </c>
      <c r="B312" s="67" t="str">
        <f>MID(C312, FIND("Ifc.", C312) + 4, 4) &amp; "_" &amp; TEXT(COUNTIF($C$2:C312, C312),"0000")</f>
        <v>Prop_0311</v>
      </c>
      <c r="C312" s="24" t="s">
        <v>872</v>
      </c>
      <c r="D312" s="69" t="s">
        <v>9453</v>
      </c>
      <c r="E312" s="70" t="s">
        <v>9454</v>
      </c>
      <c r="F312" s="17" t="s">
        <v>806</v>
      </c>
      <c r="G312" s="22" t="s">
        <v>906</v>
      </c>
      <c r="H312" s="12" t="s">
        <v>9703</v>
      </c>
      <c r="I312" s="13" t="s">
        <v>6068</v>
      </c>
      <c r="J312" s="14" t="s">
        <v>798</v>
      </c>
      <c r="K312" s="15" t="s">
        <v>798</v>
      </c>
      <c r="L312" s="12" t="s">
        <v>5315</v>
      </c>
      <c r="M312" s="13" t="s">
        <v>5369</v>
      </c>
      <c r="N312" s="12" t="s">
        <v>803</v>
      </c>
      <c r="O312" s="13" t="s">
        <v>4810</v>
      </c>
      <c r="P312" s="17" t="s">
        <v>802</v>
      </c>
      <c r="Q312" s="21" t="s">
        <v>7681</v>
      </c>
      <c r="R312" s="17" t="s">
        <v>801</v>
      </c>
      <c r="S312" s="18" t="s">
        <v>2554</v>
      </c>
      <c r="T312" s="17" t="s">
        <v>800</v>
      </c>
      <c r="U312" s="18" t="s">
        <v>5233</v>
      </c>
      <c r="V312" s="17" t="s">
        <v>9418</v>
      </c>
      <c r="W312" s="18" t="s">
        <v>5309</v>
      </c>
      <c r="X312" s="69" t="s">
        <v>9453</v>
      </c>
      <c r="Y312" s="70" t="s">
        <v>9462</v>
      </c>
      <c r="Z312" s="73" t="s">
        <v>9486</v>
      </c>
      <c r="AA312" s="74" t="s">
        <v>9504</v>
      </c>
      <c r="AB312" s="73" t="s">
        <v>9486</v>
      </c>
      <c r="AC312" s="74" t="s">
        <v>9562</v>
      </c>
      <c r="AD312" s="73" t="s">
        <v>9578</v>
      </c>
      <c r="AE312" s="74" t="s">
        <v>9579</v>
      </c>
    </row>
    <row r="313" spans="1:31" ht="8.65" customHeight="1" x14ac:dyDescent="0.2">
      <c r="A313" s="76">
        <v>313</v>
      </c>
      <c r="B313" s="67" t="str">
        <f>MID(C313, FIND("Ifc.", C313) + 4, 4) &amp; "_" &amp; TEXT(COUNTIF($C$2:C313, C313),"0000")</f>
        <v>Prop_0312</v>
      </c>
      <c r="C313" s="24" t="s">
        <v>872</v>
      </c>
      <c r="D313" s="69" t="s">
        <v>9453</v>
      </c>
      <c r="E313" s="70" t="s">
        <v>9454</v>
      </c>
      <c r="F313" s="17" t="s">
        <v>806</v>
      </c>
      <c r="G313" s="22" t="s">
        <v>905</v>
      </c>
      <c r="H313" s="12" t="s">
        <v>9703</v>
      </c>
      <c r="I313" s="13" t="s">
        <v>6067</v>
      </c>
      <c r="J313" s="14" t="s">
        <v>798</v>
      </c>
      <c r="K313" s="15" t="s">
        <v>798</v>
      </c>
      <c r="L313" s="12" t="s">
        <v>5315</v>
      </c>
      <c r="M313" s="13" t="s">
        <v>5369</v>
      </c>
      <c r="N313" s="12" t="s">
        <v>803</v>
      </c>
      <c r="O313" s="13" t="s">
        <v>4810</v>
      </c>
      <c r="P313" s="17" t="s">
        <v>802</v>
      </c>
      <c r="Q313" s="21" t="s">
        <v>7681</v>
      </c>
      <c r="R313" s="17" t="s">
        <v>801</v>
      </c>
      <c r="S313" s="18" t="s">
        <v>2554</v>
      </c>
      <c r="T313" s="17" t="s">
        <v>800</v>
      </c>
      <c r="U313" s="18" t="s">
        <v>5233</v>
      </c>
      <c r="V313" s="17" t="s">
        <v>9418</v>
      </c>
      <c r="W313" s="18" t="s">
        <v>5309</v>
      </c>
      <c r="X313" s="69" t="s">
        <v>9453</v>
      </c>
      <c r="Y313" s="70" t="s">
        <v>9462</v>
      </c>
      <c r="Z313" s="73" t="s">
        <v>9486</v>
      </c>
      <c r="AA313" s="74" t="s">
        <v>9504</v>
      </c>
      <c r="AB313" s="73" t="s">
        <v>9486</v>
      </c>
      <c r="AC313" s="74" t="s">
        <v>9562</v>
      </c>
      <c r="AD313" s="73" t="s">
        <v>9578</v>
      </c>
      <c r="AE313" s="74" t="s">
        <v>9579</v>
      </c>
    </row>
    <row r="314" spans="1:31" ht="8.65" customHeight="1" x14ac:dyDescent="0.2">
      <c r="A314" s="76">
        <v>314</v>
      </c>
      <c r="B314" s="67" t="str">
        <f>MID(C314, FIND("Ifc.", C314) + 4, 4) &amp; "_" &amp; TEXT(COUNTIF($C$2:C314, C314),"0000")</f>
        <v>Prop_0313</v>
      </c>
      <c r="C314" s="24" t="s">
        <v>872</v>
      </c>
      <c r="D314" s="69" t="s">
        <v>9453</v>
      </c>
      <c r="E314" s="70" t="s">
        <v>9454</v>
      </c>
      <c r="F314" s="17" t="s">
        <v>806</v>
      </c>
      <c r="G314" s="22" t="s">
        <v>1074</v>
      </c>
      <c r="H314" s="12" t="s">
        <v>9703</v>
      </c>
      <c r="I314" s="13" t="s">
        <v>6147</v>
      </c>
      <c r="J314" s="14" t="s">
        <v>798</v>
      </c>
      <c r="K314" s="15" t="s">
        <v>798</v>
      </c>
      <c r="L314" s="12" t="s">
        <v>5315</v>
      </c>
      <c r="M314" s="13" t="s">
        <v>6036</v>
      </c>
      <c r="N314" s="12" t="s">
        <v>803</v>
      </c>
      <c r="O314" s="13" t="s">
        <v>4848</v>
      </c>
      <c r="P314" s="17" t="s">
        <v>802</v>
      </c>
      <c r="Q314" s="21" t="s">
        <v>7757</v>
      </c>
      <c r="R314" s="17" t="s">
        <v>801</v>
      </c>
      <c r="S314" s="18" t="s">
        <v>2621</v>
      </c>
      <c r="T314" s="17" t="s">
        <v>800</v>
      </c>
      <c r="U314" s="18" t="s">
        <v>5260</v>
      </c>
      <c r="V314" s="17" t="s">
        <v>9418</v>
      </c>
      <c r="W314" s="18" t="s">
        <v>5309</v>
      </c>
      <c r="X314" s="69" t="s">
        <v>9453</v>
      </c>
      <c r="Y314" s="70" t="s">
        <v>9462</v>
      </c>
      <c r="Z314" s="73" t="s">
        <v>9486</v>
      </c>
      <c r="AA314" s="74" t="s">
        <v>9504</v>
      </c>
      <c r="AB314" s="73" t="s">
        <v>9486</v>
      </c>
      <c r="AC314" s="74" t="s">
        <v>9566</v>
      </c>
      <c r="AD314" s="73" t="s">
        <v>9578</v>
      </c>
      <c r="AE314" s="74" t="s">
        <v>9579</v>
      </c>
    </row>
    <row r="315" spans="1:31" ht="8.65" customHeight="1" x14ac:dyDescent="0.2">
      <c r="A315" s="76">
        <v>315</v>
      </c>
      <c r="B315" s="67" t="str">
        <f>MID(C315, FIND("Ifc.", C315) + 4, 4) &amp; "_" &amp; TEXT(COUNTIF($C$2:C315, C315),"0000")</f>
        <v>Prop_0314</v>
      </c>
      <c r="C315" s="24" t="s">
        <v>872</v>
      </c>
      <c r="D315" s="69" t="s">
        <v>9453</v>
      </c>
      <c r="E315" s="70" t="s">
        <v>9454</v>
      </c>
      <c r="F315" s="17" t="s">
        <v>806</v>
      </c>
      <c r="G315" s="22" t="s">
        <v>1074</v>
      </c>
      <c r="H315" s="12" t="s">
        <v>9703</v>
      </c>
      <c r="I315" s="13" t="s">
        <v>6147</v>
      </c>
      <c r="J315" s="14" t="s">
        <v>798</v>
      </c>
      <c r="K315" s="15" t="s">
        <v>798</v>
      </c>
      <c r="L315" s="12" t="s">
        <v>5315</v>
      </c>
      <c r="M315" s="13" t="s">
        <v>5816</v>
      </c>
      <c r="N315" s="12" t="s">
        <v>803</v>
      </c>
      <c r="O315" s="13" t="s">
        <v>4955</v>
      </c>
      <c r="P315" s="17" t="s">
        <v>802</v>
      </c>
      <c r="Q315" s="21" t="s">
        <v>7694</v>
      </c>
      <c r="R315" s="17" t="s">
        <v>801</v>
      </c>
      <c r="S315" s="18" t="s">
        <v>2621</v>
      </c>
      <c r="T315" s="17" t="s">
        <v>800</v>
      </c>
      <c r="U315" s="18" t="s">
        <v>5260</v>
      </c>
      <c r="V315" s="17" t="s">
        <v>9418</v>
      </c>
      <c r="W315" s="18" t="s">
        <v>5309</v>
      </c>
      <c r="X315" s="69" t="s">
        <v>9453</v>
      </c>
      <c r="Y315" s="70" t="s">
        <v>9462</v>
      </c>
      <c r="Z315" s="73" t="s">
        <v>9486</v>
      </c>
      <c r="AA315" s="74" t="s">
        <v>9504</v>
      </c>
      <c r="AB315" s="73" t="s">
        <v>9486</v>
      </c>
      <c r="AC315" s="74" t="s">
        <v>9566</v>
      </c>
      <c r="AD315" s="73" t="s">
        <v>9578</v>
      </c>
      <c r="AE315" s="74" t="s">
        <v>9579</v>
      </c>
    </row>
    <row r="316" spans="1:31" ht="8.65" customHeight="1" x14ac:dyDescent="0.2">
      <c r="A316" s="76">
        <v>316</v>
      </c>
      <c r="B316" s="67" t="str">
        <f>MID(C316, FIND("Ifc.", C316) + 4, 4) &amp; "_" &amp; TEXT(COUNTIF($C$2:C316, C316),"0000")</f>
        <v>Prop_0315</v>
      </c>
      <c r="C316" s="24" t="s">
        <v>872</v>
      </c>
      <c r="D316" s="69" t="s">
        <v>9453</v>
      </c>
      <c r="E316" s="70" t="s">
        <v>9454</v>
      </c>
      <c r="F316" s="17" t="s">
        <v>806</v>
      </c>
      <c r="G316" s="22" t="s">
        <v>904</v>
      </c>
      <c r="H316" s="12" t="s">
        <v>9703</v>
      </c>
      <c r="I316" s="13" t="s">
        <v>6480</v>
      </c>
      <c r="J316" s="14" t="s">
        <v>798</v>
      </c>
      <c r="K316" s="15" t="s">
        <v>798</v>
      </c>
      <c r="L316" s="12" t="s">
        <v>5315</v>
      </c>
      <c r="M316" s="13" t="s">
        <v>5369</v>
      </c>
      <c r="N316" s="12" t="s">
        <v>803</v>
      </c>
      <c r="O316" s="13" t="s">
        <v>4810</v>
      </c>
      <c r="P316" s="17" t="s">
        <v>802</v>
      </c>
      <c r="Q316" s="21" t="s">
        <v>7681</v>
      </c>
      <c r="R316" s="17" t="s">
        <v>801</v>
      </c>
      <c r="S316" s="18" t="s">
        <v>2554</v>
      </c>
      <c r="T316" s="17" t="s">
        <v>800</v>
      </c>
      <c r="U316" s="18" t="s">
        <v>5233</v>
      </c>
      <c r="V316" s="17" t="s">
        <v>9418</v>
      </c>
      <c r="W316" s="18" t="s">
        <v>5309</v>
      </c>
      <c r="X316" s="69" t="s">
        <v>9453</v>
      </c>
      <c r="Y316" s="70" t="s">
        <v>9462</v>
      </c>
      <c r="Z316" s="73" t="s">
        <v>9486</v>
      </c>
      <c r="AA316" s="74" t="s">
        <v>9504</v>
      </c>
      <c r="AB316" s="73" t="s">
        <v>9486</v>
      </c>
      <c r="AC316" s="74" t="s">
        <v>9562</v>
      </c>
      <c r="AD316" s="73" t="s">
        <v>9578</v>
      </c>
      <c r="AE316" s="74" t="s">
        <v>9579</v>
      </c>
    </row>
    <row r="317" spans="1:31" ht="8.65" customHeight="1" x14ac:dyDescent="0.2">
      <c r="A317" s="76">
        <v>317</v>
      </c>
      <c r="B317" s="67" t="str">
        <f>MID(C317, FIND("Ifc.", C317) + 4, 4) &amp; "_" &amp; TEXT(COUNTIF($C$2:C317, C317),"0000")</f>
        <v>Prop_0316</v>
      </c>
      <c r="C317" s="24" t="s">
        <v>872</v>
      </c>
      <c r="D317" s="69" t="s">
        <v>9453</v>
      </c>
      <c r="E317" s="70" t="s">
        <v>9454</v>
      </c>
      <c r="F317" s="17" t="s">
        <v>806</v>
      </c>
      <c r="G317" s="22" t="s">
        <v>904</v>
      </c>
      <c r="H317" s="12" t="s">
        <v>9703</v>
      </c>
      <c r="I317" s="13" t="s">
        <v>6480</v>
      </c>
      <c r="J317" s="14" t="s">
        <v>798</v>
      </c>
      <c r="K317" s="15" t="s">
        <v>798</v>
      </c>
      <c r="L317" s="12" t="s">
        <v>5315</v>
      </c>
      <c r="M317" s="13" t="s">
        <v>6039</v>
      </c>
      <c r="N317" s="12" t="s">
        <v>803</v>
      </c>
      <c r="O317" s="13" t="s">
        <v>4860</v>
      </c>
      <c r="P317" s="17" t="s">
        <v>802</v>
      </c>
      <c r="Q317" s="21" t="s">
        <v>7802</v>
      </c>
      <c r="R317" s="17" t="s">
        <v>801</v>
      </c>
      <c r="S317" s="18" t="s">
        <v>2554</v>
      </c>
      <c r="T317" s="17" t="s">
        <v>800</v>
      </c>
      <c r="U317" s="18" t="s">
        <v>5233</v>
      </c>
      <c r="V317" s="17" t="s">
        <v>9418</v>
      </c>
      <c r="W317" s="18" t="s">
        <v>5309</v>
      </c>
      <c r="X317" s="69" t="s">
        <v>9453</v>
      </c>
      <c r="Y317" s="70" t="s">
        <v>9462</v>
      </c>
      <c r="Z317" s="73" t="s">
        <v>9486</v>
      </c>
      <c r="AA317" s="74" t="s">
        <v>9504</v>
      </c>
      <c r="AB317" s="73" t="s">
        <v>9486</v>
      </c>
      <c r="AC317" s="74" t="s">
        <v>9562</v>
      </c>
      <c r="AD317" s="73" t="s">
        <v>9578</v>
      </c>
      <c r="AE317" s="74" t="s">
        <v>9579</v>
      </c>
    </row>
    <row r="318" spans="1:31" ht="8.65" customHeight="1" x14ac:dyDescent="0.2">
      <c r="A318" s="76">
        <v>318</v>
      </c>
      <c r="B318" s="67" t="str">
        <f>MID(C318, FIND("Ifc.", C318) + 4, 4) &amp; "_" &amp; TEXT(COUNTIF($C$2:C318, C318),"0000")</f>
        <v>Prop_0317</v>
      </c>
      <c r="C318" s="24" t="s">
        <v>872</v>
      </c>
      <c r="D318" s="69" t="s">
        <v>9453</v>
      </c>
      <c r="E318" s="70" t="s">
        <v>9454</v>
      </c>
      <c r="F318" s="17" t="s">
        <v>806</v>
      </c>
      <c r="G318" s="22" t="s">
        <v>904</v>
      </c>
      <c r="H318" s="12" t="s">
        <v>9703</v>
      </c>
      <c r="I318" s="13" t="s">
        <v>6480</v>
      </c>
      <c r="J318" s="14" t="s">
        <v>798</v>
      </c>
      <c r="K318" s="15" t="s">
        <v>798</v>
      </c>
      <c r="L318" s="12" t="s">
        <v>5315</v>
      </c>
      <c r="M318" s="13" t="s">
        <v>6040</v>
      </c>
      <c r="N318" s="12" t="s">
        <v>803</v>
      </c>
      <c r="O318" s="13" t="s">
        <v>4861</v>
      </c>
      <c r="P318" s="17" t="s">
        <v>802</v>
      </c>
      <c r="Q318" s="21" t="s">
        <v>7803</v>
      </c>
      <c r="R318" s="17" t="s">
        <v>801</v>
      </c>
      <c r="S318" s="18" t="s">
        <v>2554</v>
      </c>
      <c r="T318" s="17" t="s">
        <v>800</v>
      </c>
      <c r="U318" s="18" t="s">
        <v>5233</v>
      </c>
      <c r="V318" s="17" t="s">
        <v>9418</v>
      </c>
      <c r="W318" s="18" t="s">
        <v>5309</v>
      </c>
      <c r="X318" s="69" t="s">
        <v>9453</v>
      </c>
      <c r="Y318" s="70" t="s">
        <v>9462</v>
      </c>
      <c r="Z318" s="73" t="s">
        <v>9486</v>
      </c>
      <c r="AA318" s="74" t="s">
        <v>9504</v>
      </c>
      <c r="AB318" s="73" t="s">
        <v>9486</v>
      </c>
      <c r="AC318" s="74" t="s">
        <v>9562</v>
      </c>
      <c r="AD318" s="73" t="s">
        <v>9578</v>
      </c>
      <c r="AE318" s="74" t="s">
        <v>9579</v>
      </c>
    </row>
    <row r="319" spans="1:31" ht="8.65" customHeight="1" x14ac:dyDescent="0.2">
      <c r="A319" s="76">
        <v>319</v>
      </c>
      <c r="B319" s="67" t="str">
        <f>MID(C319, FIND("Ifc.", C319) + 4, 4) &amp; "_" &amp; TEXT(COUNTIF($C$2:C319, C319),"0000")</f>
        <v>Prop_0318</v>
      </c>
      <c r="C319" s="24" t="s">
        <v>872</v>
      </c>
      <c r="D319" s="69" t="s">
        <v>9453</v>
      </c>
      <c r="E319" s="70" t="s">
        <v>9454</v>
      </c>
      <c r="F319" s="17" t="s">
        <v>806</v>
      </c>
      <c r="G319" s="22" t="s">
        <v>904</v>
      </c>
      <c r="H319" s="12" t="s">
        <v>9703</v>
      </c>
      <c r="I319" s="13" t="s">
        <v>6480</v>
      </c>
      <c r="J319" s="14" t="s">
        <v>798</v>
      </c>
      <c r="K319" s="15" t="s">
        <v>798</v>
      </c>
      <c r="L319" s="12" t="s">
        <v>5315</v>
      </c>
      <c r="M319" s="13" t="s">
        <v>6054</v>
      </c>
      <c r="N319" s="12" t="s">
        <v>803</v>
      </c>
      <c r="O319" s="13" t="s">
        <v>4927</v>
      </c>
      <c r="P319" s="17" t="s">
        <v>802</v>
      </c>
      <c r="Q319" s="21" t="s">
        <v>7686</v>
      </c>
      <c r="R319" s="17" t="s">
        <v>801</v>
      </c>
      <c r="S319" s="18" t="s">
        <v>2554</v>
      </c>
      <c r="T319" s="17" t="s">
        <v>800</v>
      </c>
      <c r="U319" s="18" t="s">
        <v>5233</v>
      </c>
      <c r="V319" s="17" t="s">
        <v>9418</v>
      </c>
      <c r="W319" s="18" t="s">
        <v>5309</v>
      </c>
      <c r="X319" s="69" t="s">
        <v>9453</v>
      </c>
      <c r="Y319" s="70" t="s">
        <v>9462</v>
      </c>
      <c r="Z319" s="73" t="s">
        <v>9486</v>
      </c>
      <c r="AA319" s="74" t="s">
        <v>9504</v>
      </c>
      <c r="AB319" s="73" t="s">
        <v>9486</v>
      </c>
      <c r="AC319" s="74" t="s">
        <v>9562</v>
      </c>
      <c r="AD319" s="73" t="s">
        <v>9578</v>
      </c>
      <c r="AE319" s="74" t="s">
        <v>9579</v>
      </c>
    </row>
    <row r="320" spans="1:31" ht="8.65" customHeight="1" x14ac:dyDescent="0.2">
      <c r="A320" s="76">
        <v>320</v>
      </c>
      <c r="B320" s="67" t="str">
        <f>MID(C320, FIND("Ifc.", C320) + 4, 4) &amp; "_" &amp; TEXT(COUNTIF($C$2:C320, C320),"0000")</f>
        <v>Prop_0319</v>
      </c>
      <c r="C320" s="24" t="s">
        <v>872</v>
      </c>
      <c r="D320" s="69" t="s">
        <v>9453</v>
      </c>
      <c r="E320" s="70" t="s">
        <v>9454</v>
      </c>
      <c r="F320" s="17" t="s">
        <v>806</v>
      </c>
      <c r="G320" s="22" t="s">
        <v>904</v>
      </c>
      <c r="H320" s="12" t="s">
        <v>9703</v>
      </c>
      <c r="I320" s="13" t="s">
        <v>6480</v>
      </c>
      <c r="J320" s="14" t="s">
        <v>798</v>
      </c>
      <c r="K320" s="15" t="s">
        <v>798</v>
      </c>
      <c r="L320" s="12" t="s">
        <v>5315</v>
      </c>
      <c r="M320" s="13" t="s">
        <v>5454</v>
      </c>
      <c r="N320" s="12" t="s">
        <v>803</v>
      </c>
      <c r="O320" s="13" t="s">
        <v>5017</v>
      </c>
      <c r="P320" s="17" t="s">
        <v>802</v>
      </c>
      <c r="Q320" s="21" t="s">
        <v>7776</v>
      </c>
      <c r="R320" s="17" t="s">
        <v>801</v>
      </c>
      <c r="S320" s="18" t="s">
        <v>2554</v>
      </c>
      <c r="T320" s="17" t="s">
        <v>800</v>
      </c>
      <c r="U320" s="18" t="s">
        <v>5233</v>
      </c>
      <c r="V320" s="17" t="s">
        <v>9418</v>
      </c>
      <c r="W320" s="18" t="s">
        <v>5309</v>
      </c>
      <c r="X320" s="69" t="s">
        <v>9453</v>
      </c>
      <c r="Y320" s="70" t="s">
        <v>9462</v>
      </c>
      <c r="Z320" s="73" t="s">
        <v>9486</v>
      </c>
      <c r="AA320" s="74" t="s">
        <v>9504</v>
      </c>
      <c r="AB320" s="73" t="s">
        <v>9486</v>
      </c>
      <c r="AC320" s="74" t="s">
        <v>9562</v>
      </c>
      <c r="AD320" s="73" t="s">
        <v>9578</v>
      </c>
      <c r="AE320" s="74" t="s">
        <v>9579</v>
      </c>
    </row>
    <row r="321" spans="1:31" ht="8.65" customHeight="1" x14ac:dyDescent="0.2">
      <c r="A321" s="76">
        <v>321</v>
      </c>
      <c r="B321" s="67" t="str">
        <f>MID(C321, FIND("Ifc.", C321) + 4, 4) &amp; "_" &amp; TEXT(COUNTIF($C$2:C321, C321),"0000")</f>
        <v>Prop_0320</v>
      </c>
      <c r="C321" s="24" t="s">
        <v>872</v>
      </c>
      <c r="D321" s="69" t="s">
        <v>9453</v>
      </c>
      <c r="E321" s="70" t="s">
        <v>9454</v>
      </c>
      <c r="F321" s="17" t="s">
        <v>806</v>
      </c>
      <c r="G321" s="22" t="s">
        <v>904</v>
      </c>
      <c r="H321" s="12" t="s">
        <v>9703</v>
      </c>
      <c r="I321" s="13" t="s">
        <v>6480</v>
      </c>
      <c r="J321" s="14" t="s">
        <v>798</v>
      </c>
      <c r="K321" s="15" t="s">
        <v>798</v>
      </c>
      <c r="L321" s="12" t="s">
        <v>5315</v>
      </c>
      <c r="M321" s="13" t="s">
        <v>5462</v>
      </c>
      <c r="N321" s="12" t="s">
        <v>803</v>
      </c>
      <c r="O321" s="13" t="s">
        <v>5044</v>
      </c>
      <c r="P321" s="17" t="s">
        <v>802</v>
      </c>
      <c r="Q321" s="21" t="s">
        <v>7806</v>
      </c>
      <c r="R321" s="17" t="s">
        <v>801</v>
      </c>
      <c r="S321" s="18" t="s">
        <v>2554</v>
      </c>
      <c r="T321" s="17" t="s">
        <v>800</v>
      </c>
      <c r="U321" s="18" t="s">
        <v>5233</v>
      </c>
      <c r="V321" s="17" t="s">
        <v>9418</v>
      </c>
      <c r="W321" s="18" t="s">
        <v>5309</v>
      </c>
      <c r="X321" s="69" t="s">
        <v>9453</v>
      </c>
      <c r="Y321" s="70" t="s">
        <v>9462</v>
      </c>
      <c r="Z321" s="73" t="s">
        <v>9486</v>
      </c>
      <c r="AA321" s="74" t="s">
        <v>9504</v>
      </c>
      <c r="AB321" s="73" t="s">
        <v>9486</v>
      </c>
      <c r="AC321" s="74" t="s">
        <v>9562</v>
      </c>
      <c r="AD321" s="73" t="s">
        <v>9578</v>
      </c>
      <c r="AE321" s="74" t="s">
        <v>9579</v>
      </c>
    </row>
    <row r="322" spans="1:31" ht="8.65" customHeight="1" x14ac:dyDescent="0.2">
      <c r="A322" s="76">
        <v>322</v>
      </c>
      <c r="B322" s="67" t="str">
        <f>MID(C322, FIND("Ifc.", C322) + 4, 4) &amp; "_" &amp; TEXT(COUNTIF($C$2:C322, C322),"0000")</f>
        <v>Prop_0321</v>
      </c>
      <c r="C322" s="24" t="s">
        <v>872</v>
      </c>
      <c r="D322" s="69" t="s">
        <v>9453</v>
      </c>
      <c r="E322" s="70" t="s">
        <v>9454</v>
      </c>
      <c r="F322" s="17" t="s">
        <v>806</v>
      </c>
      <c r="G322" s="22" t="s">
        <v>904</v>
      </c>
      <c r="H322" s="12" t="s">
        <v>9703</v>
      </c>
      <c r="I322" s="13" t="s">
        <v>6480</v>
      </c>
      <c r="J322" s="14" t="s">
        <v>798</v>
      </c>
      <c r="K322" s="15" t="s">
        <v>798</v>
      </c>
      <c r="L322" s="12" t="s">
        <v>5315</v>
      </c>
      <c r="M322" s="13" t="s">
        <v>5477</v>
      </c>
      <c r="N322" s="12" t="s">
        <v>803</v>
      </c>
      <c r="O322" s="13" t="s">
        <v>5081</v>
      </c>
      <c r="P322" s="17" t="s">
        <v>802</v>
      </c>
      <c r="Q322" s="21" t="s">
        <v>7807</v>
      </c>
      <c r="R322" s="17" t="s">
        <v>801</v>
      </c>
      <c r="S322" s="18" t="s">
        <v>2554</v>
      </c>
      <c r="T322" s="17" t="s">
        <v>800</v>
      </c>
      <c r="U322" s="18" t="s">
        <v>5233</v>
      </c>
      <c r="V322" s="17" t="s">
        <v>9418</v>
      </c>
      <c r="W322" s="18" t="s">
        <v>5309</v>
      </c>
      <c r="X322" s="69" t="s">
        <v>9453</v>
      </c>
      <c r="Y322" s="70" t="s">
        <v>9462</v>
      </c>
      <c r="Z322" s="73" t="s">
        <v>9486</v>
      </c>
      <c r="AA322" s="74" t="s">
        <v>9504</v>
      </c>
      <c r="AB322" s="73" t="s">
        <v>9486</v>
      </c>
      <c r="AC322" s="74" t="s">
        <v>9562</v>
      </c>
      <c r="AD322" s="73" t="s">
        <v>9578</v>
      </c>
      <c r="AE322" s="74" t="s">
        <v>9579</v>
      </c>
    </row>
    <row r="323" spans="1:31" ht="8.65" customHeight="1" x14ac:dyDescent="0.2">
      <c r="A323" s="76">
        <v>323</v>
      </c>
      <c r="B323" s="67" t="str">
        <f>MID(C323, FIND("Ifc.", C323) + 4, 4) &amp; "_" &amp; TEXT(COUNTIF($C$2:C323, C323),"0000")</f>
        <v>Prop_0322</v>
      </c>
      <c r="C323" s="24" t="s">
        <v>872</v>
      </c>
      <c r="D323" s="69" t="s">
        <v>9453</v>
      </c>
      <c r="E323" s="70" t="s">
        <v>9454</v>
      </c>
      <c r="F323" s="17" t="s">
        <v>806</v>
      </c>
      <c r="G323" s="22" t="s">
        <v>904</v>
      </c>
      <c r="H323" s="12" t="s">
        <v>9703</v>
      </c>
      <c r="I323" s="13" t="s">
        <v>6480</v>
      </c>
      <c r="J323" s="14" t="s">
        <v>798</v>
      </c>
      <c r="K323" s="15" t="s">
        <v>798</v>
      </c>
      <c r="L323" s="12" t="s">
        <v>5315</v>
      </c>
      <c r="M323" s="13" t="s">
        <v>5478</v>
      </c>
      <c r="N323" s="12" t="s">
        <v>803</v>
      </c>
      <c r="O323" s="13" t="s">
        <v>5082</v>
      </c>
      <c r="P323" s="17" t="s">
        <v>802</v>
      </c>
      <c r="Q323" s="21" t="s">
        <v>7824</v>
      </c>
      <c r="R323" s="17" t="s">
        <v>801</v>
      </c>
      <c r="S323" s="18" t="s">
        <v>2554</v>
      </c>
      <c r="T323" s="17" t="s">
        <v>800</v>
      </c>
      <c r="U323" s="18" t="s">
        <v>5233</v>
      </c>
      <c r="V323" s="17" t="s">
        <v>9418</v>
      </c>
      <c r="W323" s="18" t="s">
        <v>5309</v>
      </c>
      <c r="X323" s="69" t="s">
        <v>9453</v>
      </c>
      <c r="Y323" s="70" t="s">
        <v>9462</v>
      </c>
      <c r="Z323" s="73" t="s">
        <v>9486</v>
      </c>
      <c r="AA323" s="74" t="s">
        <v>9504</v>
      </c>
      <c r="AB323" s="73" t="s">
        <v>9486</v>
      </c>
      <c r="AC323" s="74" t="s">
        <v>9562</v>
      </c>
      <c r="AD323" s="73" t="s">
        <v>9578</v>
      </c>
      <c r="AE323" s="74" t="s">
        <v>9579</v>
      </c>
    </row>
    <row r="324" spans="1:31" ht="8.65" customHeight="1" x14ac:dyDescent="0.2">
      <c r="A324" s="76">
        <v>324</v>
      </c>
      <c r="B324" s="67" t="str">
        <f>MID(C324, FIND("Ifc.", C324) + 4, 4) &amp; "_" &amp; TEXT(COUNTIF($C$2:C324, C324),"0000")</f>
        <v>Prop_0323</v>
      </c>
      <c r="C324" s="24" t="s">
        <v>872</v>
      </c>
      <c r="D324" s="69" t="s">
        <v>9453</v>
      </c>
      <c r="E324" s="70" t="s">
        <v>9454</v>
      </c>
      <c r="F324" s="17" t="s">
        <v>806</v>
      </c>
      <c r="G324" s="22" t="s">
        <v>904</v>
      </c>
      <c r="H324" s="12" t="s">
        <v>9703</v>
      </c>
      <c r="I324" s="13" t="s">
        <v>6480</v>
      </c>
      <c r="J324" s="14" t="s">
        <v>798</v>
      </c>
      <c r="K324" s="15" t="s">
        <v>798</v>
      </c>
      <c r="L324" s="12" t="s">
        <v>5315</v>
      </c>
      <c r="M324" s="13" t="s">
        <v>5485</v>
      </c>
      <c r="N324" s="12" t="s">
        <v>803</v>
      </c>
      <c r="O324" s="13" t="s">
        <v>5088</v>
      </c>
      <c r="P324" s="17" t="s">
        <v>802</v>
      </c>
      <c r="Q324" s="21" t="s">
        <v>7808</v>
      </c>
      <c r="R324" s="17" t="s">
        <v>801</v>
      </c>
      <c r="S324" s="18" t="s">
        <v>2554</v>
      </c>
      <c r="T324" s="17" t="s">
        <v>800</v>
      </c>
      <c r="U324" s="18" t="s">
        <v>5233</v>
      </c>
      <c r="V324" s="17" t="s">
        <v>9418</v>
      </c>
      <c r="W324" s="18" t="s">
        <v>5309</v>
      </c>
      <c r="X324" s="69" t="s">
        <v>9453</v>
      </c>
      <c r="Y324" s="70" t="s">
        <v>9462</v>
      </c>
      <c r="Z324" s="73" t="s">
        <v>9486</v>
      </c>
      <c r="AA324" s="74" t="s">
        <v>9504</v>
      </c>
      <c r="AB324" s="73" t="s">
        <v>9486</v>
      </c>
      <c r="AC324" s="74" t="s">
        <v>9562</v>
      </c>
      <c r="AD324" s="73" t="s">
        <v>9578</v>
      </c>
      <c r="AE324" s="74" t="s">
        <v>9579</v>
      </c>
    </row>
    <row r="325" spans="1:31" ht="8.65" customHeight="1" x14ac:dyDescent="0.2">
      <c r="A325" s="76">
        <v>325</v>
      </c>
      <c r="B325" s="67" t="str">
        <f>MID(C325, FIND("Ifc.", C325) + 4, 4) &amp; "_" &amp; TEXT(COUNTIF($C$2:C325, C325),"0000")</f>
        <v>Prop_0324</v>
      </c>
      <c r="C325" s="24" t="s">
        <v>872</v>
      </c>
      <c r="D325" s="69" t="s">
        <v>9453</v>
      </c>
      <c r="E325" s="70" t="s">
        <v>9454</v>
      </c>
      <c r="F325" s="17" t="s">
        <v>806</v>
      </c>
      <c r="G325" s="22" t="s">
        <v>904</v>
      </c>
      <c r="H325" s="12" t="s">
        <v>9703</v>
      </c>
      <c r="I325" s="13" t="s">
        <v>6480</v>
      </c>
      <c r="J325" s="14" t="s">
        <v>798</v>
      </c>
      <c r="K325" s="15" t="s">
        <v>798</v>
      </c>
      <c r="L325" s="12" t="s">
        <v>5315</v>
      </c>
      <c r="M325" s="13" t="s">
        <v>5487</v>
      </c>
      <c r="N325" s="12" t="s">
        <v>803</v>
      </c>
      <c r="O325" s="13" t="s">
        <v>5095</v>
      </c>
      <c r="P325" s="17" t="s">
        <v>802</v>
      </c>
      <c r="Q325" s="21" t="s">
        <v>7687</v>
      </c>
      <c r="R325" s="17" t="s">
        <v>801</v>
      </c>
      <c r="S325" s="18" t="s">
        <v>2554</v>
      </c>
      <c r="T325" s="17" t="s">
        <v>800</v>
      </c>
      <c r="U325" s="18" t="s">
        <v>5233</v>
      </c>
      <c r="V325" s="17" t="s">
        <v>9418</v>
      </c>
      <c r="W325" s="18" t="s">
        <v>5309</v>
      </c>
      <c r="X325" s="69" t="s">
        <v>9453</v>
      </c>
      <c r="Y325" s="70" t="s">
        <v>9462</v>
      </c>
      <c r="Z325" s="73" t="s">
        <v>9486</v>
      </c>
      <c r="AA325" s="74" t="s">
        <v>9504</v>
      </c>
      <c r="AB325" s="73" t="s">
        <v>9486</v>
      </c>
      <c r="AC325" s="74" t="s">
        <v>9562</v>
      </c>
      <c r="AD325" s="73" t="s">
        <v>9578</v>
      </c>
      <c r="AE325" s="74" t="s">
        <v>9579</v>
      </c>
    </row>
    <row r="326" spans="1:31" ht="8.65" customHeight="1" x14ac:dyDescent="0.2">
      <c r="A326" s="76">
        <v>326</v>
      </c>
      <c r="B326" s="67" t="str">
        <f>MID(C326, FIND("Ifc.", C326) + 4, 4) &amp; "_" &amp; TEXT(COUNTIF($C$2:C326, C326),"0000")</f>
        <v>Prop_0325</v>
      </c>
      <c r="C326" s="24" t="s">
        <v>872</v>
      </c>
      <c r="D326" s="69" t="s">
        <v>9453</v>
      </c>
      <c r="E326" s="70" t="s">
        <v>9454</v>
      </c>
      <c r="F326" s="17" t="s">
        <v>806</v>
      </c>
      <c r="G326" s="22" t="s">
        <v>904</v>
      </c>
      <c r="H326" s="12" t="s">
        <v>9703</v>
      </c>
      <c r="I326" s="13" t="s">
        <v>6480</v>
      </c>
      <c r="J326" s="14" t="s">
        <v>798</v>
      </c>
      <c r="K326" s="15" t="s">
        <v>798</v>
      </c>
      <c r="L326" s="12" t="s">
        <v>5315</v>
      </c>
      <c r="M326" s="13" t="s">
        <v>5491</v>
      </c>
      <c r="N326" s="12" t="s">
        <v>803</v>
      </c>
      <c r="O326" s="13" t="s">
        <v>5102</v>
      </c>
      <c r="P326" s="17" t="s">
        <v>802</v>
      </c>
      <c r="Q326" s="21" t="s">
        <v>7809</v>
      </c>
      <c r="R326" s="17" t="s">
        <v>801</v>
      </c>
      <c r="S326" s="18" t="s">
        <v>2554</v>
      </c>
      <c r="T326" s="17" t="s">
        <v>800</v>
      </c>
      <c r="U326" s="18" t="s">
        <v>5233</v>
      </c>
      <c r="V326" s="17" t="s">
        <v>9418</v>
      </c>
      <c r="W326" s="18" t="s">
        <v>5309</v>
      </c>
      <c r="X326" s="69" t="s">
        <v>9453</v>
      </c>
      <c r="Y326" s="70" t="s">
        <v>9462</v>
      </c>
      <c r="Z326" s="73" t="s">
        <v>9486</v>
      </c>
      <c r="AA326" s="74" t="s">
        <v>9504</v>
      </c>
      <c r="AB326" s="73" t="s">
        <v>9486</v>
      </c>
      <c r="AC326" s="74" t="s">
        <v>9562</v>
      </c>
      <c r="AD326" s="73" t="s">
        <v>9578</v>
      </c>
      <c r="AE326" s="74" t="s">
        <v>9579</v>
      </c>
    </row>
    <row r="327" spans="1:31" ht="8.65" customHeight="1" x14ac:dyDescent="0.2">
      <c r="A327" s="76">
        <v>327</v>
      </c>
      <c r="B327" s="67" t="str">
        <f>MID(C327, FIND("Ifc.", C327) + 4, 4) &amp; "_" &amp; TEXT(COUNTIF($C$2:C327, C327),"0000")</f>
        <v>Prop_0326</v>
      </c>
      <c r="C327" s="24" t="s">
        <v>872</v>
      </c>
      <c r="D327" s="69" t="s">
        <v>9453</v>
      </c>
      <c r="E327" s="70" t="s">
        <v>9454</v>
      </c>
      <c r="F327" s="17" t="s">
        <v>806</v>
      </c>
      <c r="G327" s="22" t="s">
        <v>904</v>
      </c>
      <c r="H327" s="12" t="s">
        <v>9703</v>
      </c>
      <c r="I327" s="13" t="s">
        <v>6480</v>
      </c>
      <c r="J327" s="14" t="s">
        <v>798</v>
      </c>
      <c r="K327" s="15" t="s">
        <v>798</v>
      </c>
      <c r="L327" s="12" t="s">
        <v>5315</v>
      </c>
      <c r="M327" s="13" t="s">
        <v>6055</v>
      </c>
      <c r="N327" s="12" t="s">
        <v>803</v>
      </c>
      <c r="O327" s="13" t="s">
        <v>5107</v>
      </c>
      <c r="P327" s="17" t="s">
        <v>802</v>
      </c>
      <c r="Q327" s="21" t="s">
        <v>7688</v>
      </c>
      <c r="R327" s="17" t="s">
        <v>801</v>
      </c>
      <c r="S327" s="18" t="s">
        <v>2554</v>
      </c>
      <c r="T327" s="17" t="s">
        <v>800</v>
      </c>
      <c r="U327" s="18" t="s">
        <v>5233</v>
      </c>
      <c r="V327" s="17" t="s">
        <v>9418</v>
      </c>
      <c r="W327" s="18" t="s">
        <v>5309</v>
      </c>
      <c r="X327" s="69" t="s">
        <v>9453</v>
      </c>
      <c r="Y327" s="70" t="s">
        <v>9462</v>
      </c>
      <c r="Z327" s="73" t="s">
        <v>9486</v>
      </c>
      <c r="AA327" s="74" t="s">
        <v>9504</v>
      </c>
      <c r="AB327" s="73" t="s">
        <v>9486</v>
      </c>
      <c r="AC327" s="74" t="s">
        <v>9562</v>
      </c>
      <c r="AD327" s="73" t="s">
        <v>9578</v>
      </c>
      <c r="AE327" s="74" t="s">
        <v>9579</v>
      </c>
    </row>
    <row r="328" spans="1:31" ht="8.65" customHeight="1" x14ac:dyDescent="0.2">
      <c r="A328" s="76">
        <v>328</v>
      </c>
      <c r="B328" s="67" t="str">
        <f>MID(C328, FIND("Ifc.", C328) + 4, 4) &amp; "_" &amp; TEXT(COUNTIF($C$2:C328, C328),"0000")</f>
        <v>Prop_0327</v>
      </c>
      <c r="C328" s="24" t="s">
        <v>872</v>
      </c>
      <c r="D328" s="69" t="s">
        <v>9453</v>
      </c>
      <c r="E328" s="70" t="s">
        <v>9454</v>
      </c>
      <c r="F328" s="17" t="s">
        <v>806</v>
      </c>
      <c r="G328" s="22" t="s">
        <v>904</v>
      </c>
      <c r="H328" s="12" t="s">
        <v>9703</v>
      </c>
      <c r="I328" s="13" t="s">
        <v>6480</v>
      </c>
      <c r="J328" s="14" t="s">
        <v>798</v>
      </c>
      <c r="K328" s="15" t="s">
        <v>798</v>
      </c>
      <c r="L328" s="12" t="s">
        <v>5315</v>
      </c>
      <c r="M328" s="13" t="s">
        <v>5556</v>
      </c>
      <c r="N328" s="12" t="s">
        <v>803</v>
      </c>
      <c r="O328" s="13" t="s">
        <v>5169</v>
      </c>
      <c r="P328" s="17" t="s">
        <v>802</v>
      </c>
      <c r="Q328" s="21" t="s">
        <v>7728</v>
      </c>
      <c r="R328" s="17" t="s">
        <v>801</v>
      </c>
      <c r="S328" s="18" t="s">
        <v>2554</v>
      </c>
      <c r="T328" s="17" t="s">
        <v>800</v>
      </c>
      <c r="U328" s="18" t="s">
        <v>5233</v>
      </c>
      <c r="V328" s="17" t="s">
        <v>9418</v>
      </c>
      <c r="W328" s="18" t="s">
        <v>5309</v>
      </c>
      <c r="X328" s="69" t="s">
        <v>9453</v>
      </c>
      <c r="Y328" s="70" t="s">
        <v>9462</v>
      </c>
      <c r="Z328" s="73" t="s">
        <v>9486</v>
      </c>
      <c r="AA328" s="74" t="s">
        <v>9504</v>
      </c>
      <c r="AB328" s="73" t="s">
        <v>9486</v>
      </c>
      <c r="AC328" s="74" t="s">
        <v>9562</v>
      </c>
      <c r="AD328" s="73" t="s">
        <v>9578</v>
      </c>
      <c r="AE328" s="74" t="s">
        <v>9579</v>
      </c>
    </row>
    <row r="329" spans="1:31" ht="8.65" customHeight="1" x14ac:dyDescent="0.2">
      <c r="A329" s="76">
        <v>329</v>
      </c>
      <c r="B329" s="67" t="str">
        <f>MID(C329, FIND("Ifc.", C329) + 4, 4) &amp; "_" &amp; TEXT(COUNTIF($C$2:C329, C329),"0000")</f>
        <v>Prop_0328</v>
      </c>
      <c r="C329" s="24" t="s">
        <v>872</v>
      </c>
      <c r="D329" s="69" t="s">
        <v>9453</v>
      </c>
      <c r="E329" s="70" t="s">
        <v>9454</v>
      </c>
      <c r="F329" s="17" t="s">
        <v>806</v>
      </c>
      <c r="G329" s="22" t="s">
        <v>904</v>
      </c>
      <c r="H329" s="12" t="s">
        <v>9703</v>
      </c>
      <c r="I329" s="13" t="s">
        <v>6480</v>
      </c>
      <c r="J329" s="14" t="s">
        <v>798</v>
      </c>
      <c r="K329" s="15" t="s">
        <v>798</v>
      </c>
      <c r="L329" s="12" t="s">
        <v>5315</v>
      </c>
      <c r="M329" s="13" t="s">
        <v>5563</v>
      </c>
      <c r="N329" s="12" t="s">
        <v>803</v>
      </c>
      <c r="O329" s="13" t="s">
        <v>5178</v>
      </c>
      <c r="P329" s="17" t="s">
        <v>802</v>
      </c>
      <c r="Q329" s="21" t="s">
        <v>7810</v>
      </c>
      <c r="R329" s="17" t="s">
        <v>801</v>
      </c>
      <c r="S329" s="18" t="s">
        <v>2554</v>
      </c>
      <c r="T329" s="17" t="s">
        <v>800</v>
      </c>
      <c r="U329" s="18" t="s">
        <v>5233</v>
      </c>
      <c r="V329" s="17" t="s">
        <v>9418</v>
      </c>
      <c r="W329" s="18" t="s">
        <v>5309</v>
      </c>
      <c r="X329" s="69" t="s">
        <v>9453</v>
      </c>
      <c r="Y329" s="70" t="s">
        <v>9462</v>
      </c>
      <c r="Z329" s="73" t="s">
        <v>9486</v>
      </c>
      <c r="AA329" s="74" t="s">
        <v>9504</v>
      </c>
      <c r="AB329" s="73" t="s">
        <v>9486</v>
      </c>
      <c r="AC329" s="74" t="s">
        <v>9562</v>
      </c>
      <c r="AD329" s="73" t="s">
        <v>9578</v>
      </c>
      <c r="AE329" s="74" t="s">
        <v>9579</v>
      </c>
    </row>
    <row r="330" spans="1:31" ht="8.65" customHeight="1" x14ac:dyDescent="0.2">
      <c r="A330" s="76">
        <v>330</v>
      </c>
      <c r="B330" s="67" t="str">
        <f>MID(C330, FIND("Ifc.", C330) + 4, 4) &amp; "_" &amp; TEXT(COUNTIF($C$2:C330, C330),"0000")</f>
        <v>Prop_0329</v>
      </c>
      <c r="C330" s="24" t="s">
        <v>872</v>
      </c>
      <c r="D330" s="69" t="s">
        <v>9453</v>
      </c>
      <c r="E330" s="70" t="s">
        <v>9454</v>
      </c>
      <c r="F330" s="17" t="s">
        <v>806</v>
      </c>
      <c r="G330" s="22" t="s">
        <v>904</v>
      </c>
      <c r="H330" s="12" t="s">
        <v>9703</v>
      </c>
      <c r="I330" s="13" t="s">
        <v>6480</v>
      </c>
      <c r="J330" s="14" t="s">
        <v>798</v>
      </c>
      <c r="K330" s="15" t="s">
        <v>798</v>
      </c>
      <c r="L330" s="12" t="s">
        <v>5315</v>
      </c>
      <c r="M330" s="13" t="s">
        <v>5579</v>
      </c>
      <c r="N330" s="12" t="s">
        <v>803</v>
      </c>
      <c r="O330" s="13" t="s">
        <v>5225</v>
      </c>
      <c r="P330" s="17" t="s">
        <v>802</v>
      </c>
      <c r="Q330" s="21" t="s">
        <v>7811</v>
      </c>
      <c r="R330" s="17" t="s">
        <v>801</v>
      </c>
      <c r="S330" s="18" t="s">
        <v>2554</v>
      </c>
      <c r="T330" s="17" t="s">
        <v>800</v>
      </c>
      <c r="U330" s="18" t="s">
        <v>5233</v>
      </c>
      <c r="V330" s="17" t="s">
        <v>9418</v>
      </c>
      <c r="W330" s="18" t="s">
        <v>5309</v>
      </c>
      <c r="X330" s="69" t="s">
        <v>9453</v>
      </c>
      <c r="Y330" s="70" t="s">
        <v>9462</v>
      </c>
      <c r="Z330" s="73" t="s">
        <v>9486</v>
      </c>
      <c r="AA330" s="74" t="s">
        <v>9504</v>
      </c>
      <c r="AB330" s="73" t="s">
        <v>9486</v>
      </c>
      <c r="AC330" s="74" t="s">
        <v>9562</v>
      </c>
      <c r="AD330" s="73" t="s">
        <v>9578</v>
      </c>
      <c r="AE330" s="74" t="s">
        <v>9579</v>
      </c>
    </row>
    <row r="331" spans="1:31" ht="8.65" customHeight="1" x14ac:dyDescent="0.2">
      <c r="A331" s="76">
        <v>331</v>
      </c>
      <c r="B331" s="67" t="str">
        <f>MID(C331, FIND("Ifc.", C331) + 4, 4) &amp; "_" &amp; TEXT(COUNTIF($C$2:C331, C331),"0000")</f>
        <v>Prop_0330</v>
      </c>
      <c r="C331" s="24" t="s">
        <v>872</v>
      </c>
      <c r="D331" s="69" t="s">
        <v>9453</v>
      </c>
      <c r="E331" s="70" t="s">
        <v>9454</v>
      </c>
      <c r="F331" s="17" t="s">
        <v>806</v>
      </c>
      <c r="G331" s="22" t="s">
        <v>2205</v>
      </c>
      <c r="H331" s="12" t="s">
        <v>9703</v>
      </c>
      <c r="I331" s="13" t="s">
        <v>6676</v>
      </c>
      <c r="J331" s="14" t="s">
        <v>798</v>
      </c>
      <c r="K331" s="15" t="s">
        <v>798</v>
      </c>
      <c r="L331" s="12" t="s">
        <v>5315</v>
      </c>
      <c r="M331" s="13" t="s">
        <v>5507</v>
      </c>
      <c r="N331" s="12" t="s">
        <v>803</v>
      </c>
      <c r="O331" s="13" t="s">
        <v>5120</v>
      </c>
      <c r="P331" s="17" t="s">
        <v>802</v>
      </c>
      <c r="Q331" s="21" t="s">
        <v>7693</v>
      </c>
      <c r="R331" s="17" t="s">
        <v>801</v>
      </c>
      <c r="S331" s="18" t="s">
        <v>2554</v>
      </c>
      <c r="T331" s="17" t="s">
        <v>800</v>
      </c>
      <c r="U331" s="18" t="s">
        <v>5233</v>
      </c>
      <c r="V331" s="17" t="s">
        <v>9418</v>
      </c>
      <c r="W331" s="18" t="s">
        <v>5310</v>
      </c>
      <c r="X331" s="69" t="s">
        <v>9453</v>
      </c>
      <c r="Y331" s="70" t="s">
        <v>9463</v>
      </c>
      <c r="Z331" s="73" t="s">
        <v>9486</v>
      </c>
      <c r="AA331" s="74" t="s">
        <v>9504</v>
      </c>
      <c r="AB331" s="73" t="s">
        <v>9486</v>
      </c>
      <c r="AC331" s="74" t="s">
        <v>9562</v>
      </c>
      <c r="AD331" s="73" t="s">
        <v>9578</v>
      </c>
      <c r="AE331" s="74" t="s">
        <v>9579</v>
      </c>
    </row>
    <row r="332" spans="1:31" ht="8.65" customHeight="1" x14ac:dyDescent="0.2">
      <c r="A332" s="76">
        <v>332</v>
      </c>
      <c r="B332" s="67" t="str">
        <f>MID(C332, FIND("Ifc.", C332) + 4, 4) &amp; "_" &amp; TEXT(COUNTIF($C$2:C332, C332),"0000")</f>
        <v>Prop_0331</v>
      </c>
      <c r="C332" s="24" t="s">
        <v>872</v>
      </c>
      <c r="D332" s="69" t="s">
        <v>9453</v>
      </c>
      <c r="E332" s="70" t="s">
        <v>9454</v>
      </c>
      <c r="F332" s="17" t="s">
        <v>806</v>
      </c>
      <c r="G332" s="22" t="s">
        <v>1778</v>
      </c>
      <c r="H332" s="12" t="s">
        <v>9703</v>
      </c>
      <c r="I332" s="13" t="s">
        <v>6495</v>
      </c>
      <c r="J332" s="14" t="s">
        <v>798</v>
      </c>
      <c r="K332" s="15" t="s">
        <v>798</v>
      </c>
      <c r="L332" s="12" t="s">
        <v>5315</v>
      </c>
      <c r="M332" s="13" t="s">
        <v>5454</v>
      </c>
      <c r="N332" s="12" t="s">
        <v>803</v>
      </c>
      <c r="O332" s="13" t="s">
        <v>5017</v>
      </c>
      <c r="P332" s="17" t="s">
        <v>802</v>
      </c>
      <c r="Q332" s="21" t="s">
        <v>7776</v>
      </c>
      <c r="R332" s="17" t="s">
        <v>801</v>
      </c>
      <c r="S332" s="18" t="s">
        <v>2554</v>
      </c>
      <c r="T332" s="17" t="s">
        <v>800</v>
      </c>
      <c r="U332" s="18" t="s">
        <v>5233</v>
      </c>
      <c r="V332" s="17" t="s">
        <v>9418</v>
      </c>
      <c r="W332" s="18" t="s">
        <v>5309</v>
      </c>
      <c r="X332" s="69" t="s">
        <v>9453</v>
      </c>
      <c r="Y332" s="70" t="s">
        <v>9462</v>
      </c>
      <c r="Z332" s="73" t="s">
        <v>9486</v>
      </c>
      <c r="AA332" s="74" t="s">
        <v>9504</v>
      </c>
      <c r="AB332" s="73" t="s">
        <v>9486</v>
      </c>
      <c r="AC332" s="74" t="s">
        <v>9562</v>
      </c>
      <c r="AD332" s="73" t="s">
        <v>9578</v>
      </c>
      <c r="AE332" s="74" t="s">
        <v>9579</v>
      </c>
    </row>
    <row r="333" spans="1:31" ht="8.65" customHeight="1" x14ac:dyDescent="0.2">
      <c r="A333" s="76">
        <v>333</v>
      </c>
      <c r="B333" s="67" t="str">
        <f>MID(C333, FIND("Ifc.", C333) + 4, 4) &amp; "_" &amp; TEXT(COUNTIF($C$2:C333, C333),"0000")</f>
        <v>Prop_0332</v>
      </c>
      <c r="C333" s="24" t="s">
        <v>872</v>
      </c>
      <c r="D333" s="69" t="s">
        <v>9453</v>
      </c>
      <c r="E333" s="70" t="s">
        <v>9454</v>
      </c>
      <c r="F333" s="17" t="s">
        <v>806</v>
      </c>
      <c r="G333" s="22" t="s">
        <v>1778</v>
      </c>
      <c r="H333" s="12" t="s">
        <v>9703</v>
      </c>
      <c r="I333" s="13" t="s">
        <v>6495</v>
      </c>
      <c r="J333" s="14" t="s">
        <v>798</v>
      </c>
      <c r="K333" s="15" t="s">
        <v>798</v>
      </c>
      <c r="L333" s="12" t="s">
        <v>5315</v>
      </c>
      <c r="M333" s="13" t="s">
        <v>5487</v>
      </c>
      <c r="N333" s="12" t="s">
        <v>803</v>
      </c>
      <c r="O333" s="13" t="s">
        <v>5095</v>
      </c>
      <c r="P333" s="17" t="s">
        <v>802</v>
      </c>
      <c r="Q333" s="21" t="s">
        <v>7687</v>
      </c>
      <c r="R333" s="17" t="s">
        <v>801</v>
      </c>
      <c r="S333" s="18" t="s">
        <v>2554</v>
      </c>
      <c r="T333" s="17" t="s">
        <v>800</v>
      </c>
      <c r="U333" s="18" t="s">
        <v>5233</v>
      </c>
      <c r="V333" s="17" t="s">
        <v>9418</v>
      </c>
      <c r="W333" s="18" t="s">
        <v>5309</v>
      </c>
      <c r="X333" s="69" t="s">
        <v>9453</v>
      </c>
      <c r="Y333" s="70" t="s">
        <v>9462</v>
      </c>
      <c r="Z333" s="73" t="s">
        <v>9486</v>
      </c>
      <c r="AA333" s="74" t="s">
        <v>9504</v>
      </c>
      <c r="AB333" s="73" t="s">
        <v>9486</v>
      </c>
      <c r="AC333" s="74" t="s">
        <v>9562</v>
      </c>
      <c r="AD333" s="73" t="s">
        <v>9578</v>
      </c>
      <c r="AE333" s="74" t="s">
        <v>9579</v>
      </c>
    </row>
    <row r="334" spans="1:31" ht="8.65" customHeight="1" x14ac:dyDescent="0.2">
      <c r="A334" s="76">
        <v>334</v>
      </c>
      <c r="B334" s="67" t="str">
        <f>MID(C334, FIND("Ifc.", C334) + 4, 4) &amp; "_" &amp; TEXT(COUNTIF($C$2:C334, C334),"0000")</f>
        <v>Prop_0333</v>
      </c>
      <c r="C334" s="24" t="s">
        <v>872</v>
      </c>
      <c r="D334" s="69" t="s">
        <v>9453</v>
      </c>
      <c r="E334" s="70" t="s">
        <v>9454</v>
      </c>
      <c r="F334" s="17" t="s">
        <v>806</v>
      </c>
      <c r="G334" s="22" t="s">
        <v>1002</v>
      </c>
      <c r="H334" s="12" t="s">
        <v>9703</v>
      </c>
      <c r="I334" s="13" t="s">
        <v>6111</v>
      </c>
      <c r="J334" s="14" t="s">
        <v>798</v>
      </c>
      <c r="K334" s="15" t="s">
        <v>798</v>
      </c>
      <c r="L334" s="12" t="s">
        <v>5315</v>
      </c>
      <c r="M334" s="13" t="s">
        <v>6023</v>
      </c>
      <c r="N334" s="12" t="s">
        <v>803</v>
      </c>
      <c r="O334" s="13" t="s">
        <v>4831</v>
      </c>
      <c r="P334" s="17" t="s">
        <v>802</v>
      </c>
      <c r="Q334" s="21" t="s">
        <v>7790</v>
      </c>
      <c r="R334" s="17" t="s">
        <v>801</v>
      </c>
      <c r="S334" s="18" t="s">
        <v>2554</v>
      </c>
      <c r="T334" s="17" t="s">
        <v>800</v>
      </c>
      <c r="U334" s="18" t="s">
        <v>5233</v>
      </c>
      <c r="V334" s="17" t="s">
        <v>9418</v>
      </c>
      <c r="W334" s="18" t="s">
        <v>5310</v>
      </c>
      <c r="X334" s="69" t="s">
        <v>9453</v>
      </c>
      <c r="Y334" s="70" t="s">
        <v>9463</v>
      </c>
      <c r="Z334" s="73" t="s">
        <v>9486</v>
      </c>
      <c r="AA334" s="74" t="s">
        <v>9504</v>
      </c>
      <c r="AB334" s="73" t="s">
        <v>9486</v>
      </c>
      <c r="AC334" s="74" t="s">
        <v>9562</v>
      </c>
      <c r="AD334" s="73" t="s">
        <v>9578</v>
      </c>
      <c r="AE334" s="74" t="s">
        <v>9579</v>
      </c>
    </row>
    <row r="335" spans="1:31" ht="8.65" customHeight="1" x14ac:dyDescent="0.2">
      <c r="A335" s="76">
        <v>335</v>
      </c>
      <c r="B335" s="67" t="str">
        <f>MID(C335, FIND("Ifc.", C335) + 4, 4) &amp; "_" &amp; TEXT(COUNTIF($C$2:C335, C335),"0000")</f>
        <v>Prop_0334</v>
      </c>
      <c r="C335" s="24" t="s">
        <v>872</v>
      </c>
      <c r="D335" s="69" t="s">
        <v>9453</v>
      </c>
      <c r="E335" s="70" t="s">
        <v>9454</v>
      </c>
      <c r="F335" s="17" t="s">
        <v>806</v>
      </c>
      <c r="G335" s="22" t="s">
        <v>2153</v>
      </c>
      <c r="H335" s="12" t="s">
        <v>9703</v>
      </c>
      <c r="I335" s="13" t="s">
        <v>6653</v>
      </c>
      <c r="J335" s="14" t="s">
        <v>798</v>
      </c>
      <c r="K335" s="15" t="s">
        <v>798</v>
      </c>
      <c r="L335" s="12" t="s">
        <v>5315</v>
      </c>
      <c r="M335" s="13" t="s">
        <v>5499</v>
      </c>
      <c r="N335" s="12" t="s">
        <v>803</v>
      </c>
      <c r="O335" s="13" t="s">
        <v>5113</v>
      </c>
      <c r="P335" s="17" t="s">
        <v>802</v>
      </c>
      <c r="Q335" s="21" t="s">
        <v>7707</v>
      </c>
      <c r="R335" s="17" t="s">
        <v>801</v>
      </c>
      <c r="S335" s="18" t="s">
        <v>2554</v>
      </c>
      <c r="T335" s="17" t="s">
        <v>800</v>
      </c>
      <c r="U335" s="18" t="s">
        <v>5233</v>
      </c>
      <c r="V335" s="17" t="s">
        <v>9418</v>
      </c>
      <c r="W335" s="18" t="s">
        <v>5309</v>
      </c>
      <c r="X335" s="69" t="s">
        <v>9453</v>
      </c>
      <c r="Y335" s="70" t="s">
        <v>9462</v>
      </c>
      <c r="Z335" s="73" t="s">
        <v>9486</v>
      </c>
      <c r="AA335" s="74" t="s">
        <v>9504</v>
      </c>
      <c r="AB335" s="73" t="s">
        <v>9486</v>
      </c>
      <c r="AC335" s="74" t="s">
        <v>9562</v>
      </c>
      <c r="AD335" s="73" t="s">
        <v>9578</v>
      </c>
      <c r="AE335" s="74" t="s">
        <v>9579</v>
      </c>
    </row>
    <row r="336" spans="1:31" ht="8.65" customHeight="1" x14ac:dyDescent="0.2">
      <c r="A336" s="76">
        <v>336</v>
      </c>
      <c r="B336" s="67" t="str">
        <f>MID(C336, FIND("Ifc.", C336) + 4, 4) &amp; "_" &amp; TEXT(COUNTIF($C$2:C336, C336),"0000")</f>
        <v>Prop_0335</v>
      </c>
      <c r="C336" s="24" t="s">
        <v>872</v>
      </c>
      <c r="D336" s="69" t="s">
        <v>9453</v>
      </c>
      <c r="E336" s="70" t="s">
        <v>9454</v>
      </c>
      <c r="F336" s="17" t="s">
        <v>806</v>
      </c>
      <c r="G336" s="22" t="s">
        <v>1355</v>
      </c>
      <c r="H336" s="12" t="s">
        <v>9703</v>
      </c>
      <c r="I336" s="13" t="s">
        <v>7569</v>
      </c>
      <c r="J336" s="14" t="s">
        <v>798</v>
      </c>
      <c r="K336" s="15" t="s">
        <v>798</v>
      </c>
      <c r="L336" s="12" t="s">
        <v>5315</v>
      </c>
      <c r="M336" s="13" t="s">
        <v>5417</v>
      </c>
      <c r="N336" s="12" t="s">
        <v>803</v>
      </c>
      <c r="O336" s="13" t="s">
        <v>4916</v>
      </c>
      <c r="P336" s="17" t="s">
        <v>802</v>
      </c>
      <c r="Q336" s="21" t="s">
        <v>7820</v>
      </c>
      <c r="R336" s="17" t="s">
        <v>801</v>
      </c>
      <c r="S336" s="18" t="s">
        <v>2585</v>
      </c>
      <c r="T336" s="17" t="s">
        <v>800</v>
      </c>
      <c r="U336" s="18" t="s">
        <v>5238</v>
      </c>
      <c r="V336" s="17" t="s">
        <v>9418</v>
      </c>
      <c r="W336" s="18" t="s">
        <v>5309</v>
      </c>
      <c r="X336" s="69" t="s">
        <v>9453</v>
      </c>
      <c r="Y336" s="70" t="s">
        <v>9462</v>
      </c>
      <c r="Z336" s="73" t="s">
        <v>9486</v>
      </c>
      <c r="AA336" s="74" t="s">
        <v>9504</v>
      </c>
      <c r="AB336" s="73" t="s">
        <v>9486</v>
      </c>
      <c r="AC336" s="74" t="s">
        <v>9566</v>
      </c>
      <c r="AD336" s="73" t="s">
        <v>9578</v>
      </c>
      <c r="AE336" s="74" t="s">
        <v>9579</v>
      </c>
    </row>
    <row r="337" spans="1:31" ht="8.65" customHeight="1" x14ac:dyDescent="0.2">
      <c r="A337" s="76">
        <v>337</v>
      </c>
      <c r="B337" s="67" t="str">
        <f>MID(C337, FIND("Ifc.", C337) + 4, 4) &amp; "_" &amp; TEXT(COUNTIF($C$2:C337, C337),"0000")</f>
        <v>Prop_0336</v>
      </c>
      <c r="C337" s="24" t="s">
        <v>872</v>
      </c>
      <c r="D337" s="69" t="s">
        <v>9453</v>
      </c>
      <c r="E337" s="70" t="s">
        <v>9454</v>
      </c>
      <c r="F337" s="17" t="s">
        <v>806</v>
      </c>
      <c r="G337" s="22" t="s">
        <v>1357</v>
      </c>
      <c r="H337" s="12" t="s">
        <v>9703</v>
      </c>
      <c r="I337" s="13" t="s">
        <v>7567</v>
      </c>
      <c r="J337" s="14" t="s">
        <v>798</v>
      </c>
      <c r="K337" s="15" t="s">
        <v>798</v>
      </c>
      <c r="L337" s="12" t="s">
        <v>5315</v>
      </c>
      <c r="M337" s="13" t="s">
        <v>5417</v>
      </c>
      <c r="N337" s="12" t="s">
        <v>803</v>
      </c>
      <c r="O337" s="13" t="s">
        <v>4916</v>
      </c>
      <c r="P337" s="17" t="s">
        <v>802</v>
      </c>
      <c r="Q337" s="21" t="s">
        <v>7820</v>
      </c>
      <c r="R337" s="17" t="s">
        <v>801</v>
      </c>
      <c r="S337" s="18" t="s">
        <v>2585</v>
      </c>
      <c r="T337" s="17" t="s">
        <v>800</v>
      </c>
      <c r="U337" s="18" t="s">
        <v>5238</v>
      </c>
      <c r="V337" s="17" t="s">
        <v>9418</v>
      </c>
      <c r="W337" s="18" t="s">
        <v>5309</v>
      </c>
      <c r="X337" s="69" t="s">
        <v>9453</v>
      </c>
      <c r="Y337" s="70" t="s">
        <v>9462</v>
      </c>
      <c r="Z337" s="73" t="s">
        <v>9486</v>
      </c>
      <c r="AA337" s="74" t="s">
        <v>9504</v>
      </c>
      <c r="AB337" s="73" t="s">
        <v>9486</v>
      </c>
      <c r="AC337" s="74" t="s">
        <v>9566</v>
      </c>
      <c r="AD337" s="73" t="s">
        <v>9578</v>
      </c>
      <c r="AE337" s="74" t="s">
        <v>9704</v>
      </c>
    </row>
    <row r="338" spans="1:31" ht="8.65" customHeight="1" x14ac:dyDescent="0.2">
      <c r="A338" s="76">
        <v>338</v>
      </c>
      <c r="B338" s="67" t="str">
        <f>MID(C338, FIND("Ifc.", C338) + 4, 4) &amp; "_" &amp; TEXT(COUNTIF($C$2:C338, C338),"0000")</f>
        <v>Prop_0337</v>
      </c>
      <c r="C338" s="24" t="s">
        <v>872</v>
      </c>
      <c r="D338" s="69" t="s">
        <v>9453</v>
      </c>
      <c r="E338" s="70" t="s">
        <v>9454</v>
      </c>
      <c r="F338" s="17" t="s">
        <v>806</v>
      </c>
      <c r="G338" s="22" t="s">
        <v>1356</v>
      </c>
      <c r="H338" s="12" t="s">
        <v>9703</v>
      </c>
      <c r="I338" s="13" t="s">
        <v>7568</v>
      </c>
      <c r="J338" s="14" t="s">
        <v>798</v>
      </c>
      <c r="K338" s="15" t="s">
        <v>798</v>
      </c>
      <c r="L338" s="12" t="s">
        <v>5315</v>
      </c>
      <c r="M338" s="13" t="s">
        <v>5417</v>
      </c>
      <c r="N338" s="12" t="s">
        <v>803</v>
      </c>
      <c r="O338" s="13" t="s">
        <v>4916</v>
      </c>
      <c r="P338" s="17" t="s">
        <v>802</v>
      </c>
      <c r="Q338" s="21" t="s">
        <v>7820</v>
      </c>
      <c r="R338" s="17" t="s">
        <v>801</v>
      </c>
      <c r="S338" s="18" t="s">
        <v>2585</v>
      </c>
      <c r="T338" s="17" t="s">
        <v>800</v>
      </c>
      <c r="U338" s="18" t="s">
        <v>5238</v>
      </c>
      <c r="V338" s="17" t="s">
        <v>9418</v>
      </c>
      <c r="W338" s="18" t="s">
        <v>5309</v>
      </c>
      <c r="X338" s="69" t="s">
        <v>9453</v>
      </c>
      <c r="Y338" s="70" t="s">
        <v>9462</v>
      </c>
      <c r="Z338" s="73" t="s">
        <v>9486</v>
      </c>
      <c r="AA338" s="74" t="s">
        <v>9504</v>
      </c>
      <c r="AB338" s="73" t="s">
        <v>9486</v>
      </c>
      <c r="AC338" s="74" t="s">
        <v>9566</v>
      </c>
      <c r="AD338" s="73" t="s">
        <v>9578</v>
      </c>
      <c r="AE338" s="74" t="s">
        <v>9579</v>
      </c>
    </row>
    <row r="339" spans="1:31" ht="8.65" customHeight="1" x14ac:dyDescent="0.2">
      <c r="A339" s="76">
        <v>339</v>
      </c>
      <c r="B339" s="67" t="str">
        <f>MID(C339, FIND("Ifc.", C339) + 4, 4) &amp; "_" &amp; TEXT(COUNTIF($C$2:C339, C339),"0000")</f>
        <v>Prop_0338</v>
      </c>
      <c r="C339" s="24" t="s">
        <v>872</v>
      </c>
      <c r="D339" s="69" t="s">
        <v>9453</v>
      </c>
      <c r="E339" s="70" t="s">
        <v>9454</v>
      </c>
      <c r="F339" s="17" t="s">
        <v>806</v>
      </c>
      <c r="G339" s="22" t="s">
        <v>1946</v>
      </c>
      <c r="H339" s="12" t="s">
        <v>9703</v>
      </c>
      <c r="I339" s="13" t="s">
        <v>7209</v>
      </c>
      <c r="J339" s="14" t="s">
        <v>798</v>
      </c>
      <c r="K339" s="15" t="s">
        <v>798</v>
      </c>
      <c r="L339" s="12" t="s">
        <v>5315</v>
      </c>
      <c r="M339" s="13" t="s">
        <v>5853</v>
      </c>
      <c r="N339" s="12" t="s">
        <v>803</v>
      </c>
      <c r="O339" s="13" t="s">
        <v>5064</v>
      </c>
      <c r="P339" s="17" t="s">
        <v>802</v>
      </c>
      <c r="Q339" s="21" t="s">
        <v>7834</v>
      </c>
      <c r="R339" s="17" t="s">
        <v>801</v>
      </c>
      <c r="S339" s="18" t="s">
        <v>2559</v>
      </c>
      <c r="T339" s="17" t="s">
        <v>800</v>
      </c>
      <c r="U339" s="18" t="s">
        <v>5234</v>
      </c>
      <c r="V339" s="17" t="s">
        <v>9418</v>
      </c>
      <c r="W339" s="18" t="s">
        <v>5309</v>
      </c>
      <c r="X339" s="69" t="s">
        <v>9453</v>
      </c>
      <c r="Y339" s="70" t="s">
        <v>9462</v>
      </c>
      <c r="Z339" s="73" t="s">
        <v>9486</v>
      </c>
      <c r="AA339" s="74" t="s">
        <v>9504</v>
      </c>
      <c r="AB339" s="73" t="s">
        <v>9486</v>
      </c>
      <c r="AC339" s="74" t="s">
        <v>9562</v>
      </c>
      <c r="AD339" s="73" t="s">
        <v>9578</v>
      </c>
      <c r="AE339" s="74" t="s">
        <v>9579</v>
      </c>
    </row>
    <row r="340" spans="1:31" ht="8.65" customHeight="1" x14ac:dyDescent="0.2">
      <c r="A340" s="76">
        <v>340</v>
      </c>
      <c r="B340" s="67" t="str">
        <f>MID(C340, FIND("Ifc.", C340) + 4, 4) &amp; "_" &amp; TEXT(COUNTIF($C$2:C340, C340),"0000")</f>
        <v>Prop_0339</v>
      </c>
      <c r="C340" s="24" t="s">
        <v>872</v>
      </c>
      <c r="D340" s="69" t="s">
        <v>9453</v>
      </c>
      <c r="E340" s="70" t="s">
        <v>9454</v>
      </c>
      <c r="F340" s="17" t="s">
        <v>806</v>
      </c>
      <c r="G340" s="22" t="s">
        <v>2090</v>
      </c>
      <c r="H340" s="12" t="s">
        <v>9703</v>
      </c>
      <c r="I340" s="13" t="s">
        <v>6628</v>
      </c>
      <c r="J340" s="14" t="s">
        <v>798</v>
      </c>
      <c r="K340" s="15" t="s">
        <v>798</v>
      </c>
      <c r="L340" s="12" t="s">
        <v>5315</v>
      </c>
      <c r="M340" s="13" t="s">
        <v>5489</v>
      </c>
      <c r="N340" s="12" t="s">
        <v>803</v>
      </c>
      <c r="O340" s="13" t="s">
        <v>5097</v>
      </c>
      <c r="P340" s="17" t="s">
        <v>802</v>
      </c>
      <c r="Q340" s="21" t="s">
        <v>7835</v>
      </c>
      <c r="R340" s="17" t="s">
        <v>801</v>
      </c>
      <c r="S340" s="18" t="s">
        <v>2554</v>
      </c>
      <c r="T340" s="17" t="s">
        <v>800</v>
      </c>
      <c r="U340" s="18" t="s">
        <v>5233</v>
      </c>
      <c r="V340" s="17" t="s">
        <v>9418</v>
      </c>
      <c r="W340" s="18" t="s">
        <v>5309</v>
      </c>
      <c r="X340" s="69" t="s">
        <v>9453</v>
      </c>
      <c r="Y340" s="70" t="s">
        <v>9462</v>
      </c>
      <c r="Z340" s="73" t="s">
        <v>9486</v>
      </c>
      <c r="AA340" s="74" t="s">
        <v>9504</v>
      </c>
      <c r="AB340" s="73" t="s">
        <v>9486</v>
      </c>
      <c r="AC340" s="74" t="s">
        <v>9562</v>
      </c>
      <c r="AD340" s="73" t="s">
        <v>9578</v>
      </c>
      <c r="AE340" s="74" t="s">
        <v>9579</v>
      </c>
    </row>
    <row r="341" spans="1:31" ht="8.65" customHeight="1" x14ac:dyDescent="0.2">
      <c r="A341" s="76">
        <v>341</v>
      </c>
      <c r="B341" s="67" t="str">
        <f>MID(C341, FIND("Ifc.", C341) + 4, 4) &amp; "_" &amp; TEXT(COUNTIF($C$2:C341, C341),"0000")</f>
        <v>Prop_0340</v>
      </c>
      <c r="C341" s="24" t="s">
        <v>872</v>
      </c>
      <c r="D341" s="69" t="s">
        <v>9453</v>
      </c>
      <c r="E341" s="70" t="s">
        <v>9454</v>
      </c>
      <c r="F341" s="17" t="s">
        <v>806</v>
      </c>
      <c r="G341" s="22" t="s">
        <v>1383</v>
      </c>
      <c r="H341" s="12" t="s">
        <v>9703</v>
      </c>
      <c r="I341" s="13" t="s">
        <v>6308</v>
      </c>
      <c r="J341" s="14" t="s">
        <v>798</v>
      </c>
      <c r="K341" s="15" t="s">
        <v>798</v>
      </c>
      <c r="L341" s="12" t="s">
        <v>5315</v>
      </c>
      <c r="M341" s="13" t="s">
        <v>5421</v>
      </c>
      <c r="N341" s="12" t="s">
        <v>803</v>
      </c>
      <c r="O341" s="13" t="s">
        <v>4921</v>
      </c>
      <c r="P341" s="17" t="s">
        <v>802</v>
      </c>
      <c r="Q341" s="21" t="s">
        <v>7678</v>
      </c>
      <c r="R341" s="17" t="s">
        <v>801</v>
      </c>
      <c r="S341" s="18" t="s">
        <v>2559</v>
      </c>
      <c r="T341" s="17" t="s">
        <v>800</v>
      </c>
      <c r="U341" s="18" t="s">
        <v>5234</v>
      </c>
      <c r="V341" s="17" t="s">
        <v>9418</v>
      </c>
      <c r="W341" s="18" t="s">
        <v>5309</v>
      </c>
      <c r="X341" s="69" t="s">
        <v>9453</v>
      </c>
      <c r="Y341" s="70" t="s">
        <v>9462</v>
      </c>
      <c r="Z341" s="73" t="s">
        <v>9486</v>
      </c>
      <c r="AA341" s="74" t="s">
        <v>9504</v>
      </c>
      <c r="AB341" s="73" t="s">
        <v>9486</v>
      </c>
      <c r="AC341" s="74" t="s">
        <v>9562</v>
      </c>
      <c r="AD341" s="73" t="s">
        <v>9578</v>
      </c>
      <c r="AE341" s="74" t="s">
        <v>9579</v>
      </c>
    </row>
    <row r="342" spans="1:31" ht="8.65" customHeight="1" x14ac:dyDescent="0.2">
      <c r="A342" s="76">
        <v>342</v>
      </c>
      <c r="B342" s="67" t="str">
        <f>MID(C342, FIND("Ifc.", C342) + 4, 4) &amp; "_" &amp; TEXT(COUNTIF($C$2:C342, C342),"0000")</f>
        <v>Prop_0341</v>
      </c>
      <c r="C342" s="24" t="s">
        <v>872</v>
      </c>
      <c r="D342" s="69" t="s">
        <v>9453</v>
      </c>
      <c r="E342" s="70" t="s">
        <v>9454</v>
      </c>
      <c r="F342" s="17" t="s">
        <v>806</v>
      </c>
      <c r="G342" s="22" t="s">
        <v>1031</v>
      </c>
      <c r="H342" s="12" t="s">
        <v>9703</v>
      </c>
      <c r="I342" s="13" t="s">
        <v>7111</v>
      </c>
      <c r="J342" s="14" t="s">
        <v>798</v>
      </c>
      <c r="K342" s="15" t="s">
        <v>798</v>
      </c>
      <c r="L342" s="12" t="s">
        <v>5315</v>
      </c>
      <c r="M342" s="13" t="s">
        <v>5385</v>
      </c>
      <c r="N342" s="12" t="s">
        <v>803</v>
      </c>
      <c r="O342" s="13" t="s">
        <v>4842</v>
      </c>
      <c r="P342" s="17" t="s">
        <v>802</v>
      </c>
      <c r="Q342" s="21" t="s">
        <v>7679</v>
      </c>
      <c r="R342" s="17" t="s">
        <v>801</v>
      </c>
      <c r="S342" s="18" t="s">
        <v>2559</v>
      </c>
      <c r="T342" s="17" t="s">
        <v>800</v>
      </c>
      <c r="U342" s="18" t="s">
        <v>5234</v>
      </c>
      <c r="V342" s="17" t="s">
        <v>9418</v>
      </c>
      <c r="W342" s="18" t="s">
        <v>5309</v>
      </c>
      <c r="X342" s="69" t="s">
        <v>9453</v>
      </c>
      <c r="Y342" s="70" t="s">
        <v>9462</v>
      </c>
      <c r="Z342" s="73" t="s">
        <v>9486</v>
      </c>
      <c r="AA342" s="74" t="s">
        <v>9504</v>
      </c>
      <c r="AB342" s="73" t="s">
        <v>9486</v>
      </c>
      <c r="AC342" s="74" t="s">
        <v>9562</v>
      </c>
      <c r="AD342" s="73" t="s">
        <v>9578</v>
      </c>
      <c r="AE342" s="74" t="s">
        <v>9579</v>
      </c>
    </row>
    <row r="343" spans="1:31" ht="8.65" customHeight="1" x14ac:dyDescent="0.2">
      <c r="A343" s="76">
        <v>343</v>
      </c>
      <c r="B343" s="67" t="str">
        <f>MID(C343, FIND("Ifc.", C343) + 4, 4) &amp; "_" &amp; TEXT(COUNTIF($C$2:C343, C343),"0000")</f>
        <v>Prop_0342</v>
      </c>
      <c r="C343" s="24" t="s">
        <v>872</v>
      </c>
      <c r="D343" s="69" t="s">
        <v>9453</v>
      </c>
      <c r="E343" s="70" t="s">
        <v>9454</v>
      </c>
      <c r="F343" s="17" t="s">
        <v>806</v>
      </c>
      <c r="G343" s="22" t="s">
        <v>2147</v>
      </c>
      <c r="H343" s="12" t="s">
        <v>9703</v>
      </c>
      <c r="I343" s="13" t="s">
        <v>7570</v>
      </c>
      <c r="J343" s="14" t="s">
        <v>798</v>
      </c>
      <c r="K343" s="15" t="s">
        <v>798</v>
      </c>
      <c r="L343" s="12" t="s">
        <v>5315</v>
      </c>
      <c r="M343" s="13" t="s">
        <v>5498</v>
      </c>
      <c r="N343" s="12" t="s">
        <v>803</v>
      </c>
      <c r="O343" s="13" t="s">
        <v>5112</v>
      </c>
      <c r="P343" s="17" t="s">
        <v>802</v>
      </c>
      <c r="Q343" s="21" t="s">
        <v>7680</v>
      </c>
      <c r="R343" s="17" t="s">
        <v>801</v>
      </c>
      <c r="S343" s="18" t="s">
        <v>2559</v>
      </c>
      <c r="T343" s="17" t="s">
        <v>800</v>
      </c>
      <c r="U343" s="18" t="s">
        <v>5234</v>
      </c>
      <c r="V343" s="17" t="s">
        <v>9418</v>
      </c>
      <c r="W343" s="18" t="s">
        <v>5309</v>
      </c>
      <c r="X343" s="69" t="s">
        <v>9453</v>
      </c>
      <c r="Y343" s="70" t="s">
        <v>9462</v>
      </c>
      <c r="Z343" s="73" t="s">
        <v>9486</v>
      </c>
      <c r="AA343" s="74" t="s">
        <v>9504</v>
      </c>
      <c r="AB343" s="73" t="s">
        <v>9486</v>
      </c>
      <c r="AC343" s="74" t="s">
        <v>9562</v>
      </c>
      <c r="AD343" s="73" t="s">
        <v>9578</v>
      </c>
      <c r="AE343" s="74" t="s">
        <v>9704</v>
      </c>
    </row>
    <row r="344" spans="1:31" ht="8.65" customHeight="1" x14ac:dyDescent="0.2">
      <c r="A344" s="76">
        <v>344</v>
      </c>
      <c r="B344" s="67" t="str">
        <f>MID(C344, FIND("Ifc.", C344) + 4, 4) &amp; "_" &amp; TEXT(COUNTIF($C$2:C344, C344),"0000")</f>
        <v>Prop_0343</v>
      </c>
      <c r="C344" s="24" t="s">
        <v>872</v>
      </c>
      <c r="D344" s="69" t="s">
        <v>9453</v>
      </c>
      <c r="E344" s="70" t="s">
        <v>9454</v>
      </c>
      <c r="F344" s="17" t="s">
        <v>806</v>
      </c>
      <c r="G344" s="22" t="s">
        <v>1319</v>
      </c>
      <c r="H344" s="12" t="s">
        <v>9703</v>
      </c>
      <c r="I344" s="13" t="s">
        <v>7672</v>
      </c>
      <c r="J344" s="14" t="s">
        <v>798</v>
      </c>
      <c r="K344" s="15" t="s">
        <v>798</v>
      </c>
      <c r="L344" s="12" t="s">
        <v>5315</v>
      </c>
      <c r="M344" s="13" t="s">
        <v>5410</v>
      </c>
      <c r="N344" s="12" t="s">
        <v>803</v>
      </c>
      <c r="O344" s="13" t="s">
        <v>4908</v>
      </c>
      <c r="P344" s="17" t="s">
        <v>802</v>
      </c>
      <c r="Q344" s="21" t="s">
        <v>7823</v>
      </c>
      <c r="R344" s="17" t="s">
        <v>801</v>
      </c>
      <c r="S344" s="18" t="s">
        <v>2554</v>
      </c>
      <c r="T344" s="17" t="s">
        <v>800</v>
      </c>
      <c r="U344" s="18" t="s">
        <v>5233</v>
      </c>
      <c r="V344" s="17" t="s">
        <v>9418</v>
      </c>
      <c r="W344" s="18" t="s">
        <v>5309</v>
      </c>
      <c r="X344" s="69" t="s">
        <v>9453</v>
      </c>
      <c r="Y344" s="70" t="s">
        <v>9462</v>
      </c>
      <c r="Z344" s="73" t="s">
        <v>9486</v>
      </c>
      <c r="AA344" s="74" t="s">
        <v>9504</v>
      </c>
      <c r="AB344" s="73" t="s">
        <v>9486</v>
      </c>
      <c r="AC344" s="74" t="s">
        <v>9562</v>
      </c>
      <c r="AD344" s="73" t="s">
        <v>9578</v>
      </c>
      <c r="AE344" s="74" t="s">
        <v>9579</v>
      </c>
    </row>
    <row r="345" spans="1:31" ht="8.65" customHeight="1" x14ac:dyDescent="0.2">
      <c r="A345" s="76">
        <v>345</v>
      </c>
      <c r="B345" s="67" t="str">
        <f>MID(C345, FIND("Ifc.", C345) + 4, 4) &amp; "_" &amp; TEXT(COUNTIF($C$2:C345, C345),"0000")</f>
        <v>Prop_0344</v>
      </c>
      <c r="C345" s="24" t="s">
        <v>872</v>
      </c>
      <c r="D345" s="69" t="s">
        <v>9453</v>
      </c>
      <c r="E345" s="70" t="s">
        <v>9454</v>
      </c>
      <c r="F345" s="17" t="s">
        <v>806</v>
      </c>
      <c r="G345" s="22" t="s">
        <v>1063</v>
      </c>
      <c r="H345" s="12" t="s">
        <v>9703</v>
      </c>
      <c r="I345" s="13" t="s">
        <v>7673</v>
      </c>
      <c r="J345" s="14" t="s">
        <v>798</v>
      </c>
      <c r="K345" s="15" t="s">
        <v>798</v>
      </c>
      <c r="L345" s="12" t="s">
        <v>5315</v>
      </c>
      <c r="M345" s="13" t="s">
        <v>6033</v>
      </c>
      <c r="N345" s="12" t="s">
        <v>803</v>
      </c>
      <c r="O345" s="13" t="s">
        <v>4847</v>
      </c>
      <c r="P345" s="17" t="s">
        <v>802</v>
      </c>
      <c r="Q345" s="21" t="s">
        <v>7836</v>
      </c>
      <c r="R345" s="17" t="s">
        <v>801</v>
      </c>
      <c r="S345" s="18" t="s">
        <v>2554</v>
      </c>
      <c r="T345" s="17" t="s">
        <v>800</v>
      </c>
      <c r="U345" s="18" t="s">
        <v>5233</v>
      </c>
      <c r="V345" s="17" t="s">
        <v>9418</v>
      </c>
      <c r="W345" s="18" t="s">
        <v>5309</v>
      </c>
      <c r="X345" s="69" t="s">
        <v>9453</v>
      </c>
      <c r="Y345" s="70" t="s">
        <v>9462</v>
      </c>
      <c r="Z345" s="73" t="s">
        <v>9486</v>
      </c>
      <c r="AA345" s="74" t="s">
        <v>9504</v>
      </c>
      <c r="AB345" s="73" t="s">
        <v>9486</v>
      </c>
      <c r="AC345" s="74" t="s">
        <v>9562</v>
      </c>
      <c r="AD345" s="73" t="s">
        <v>9578</v>
      </c>
      <c r="AE345" s="74" t="s">
        <v>9579</v>
      </c>
    </row>
    <row r="346" spans="1:31" ht="8.65" customHeight="1" x14ac:dyDescent="0.2">
      <c r="A346" s="76">
        <v>346</v>
      </c>
      <c r="B346" s="67" t="str">
        <f>MID(C346, FIND("Ifc.", C346) + 4, 4) &amp; "_" &amp; TEXT(COUNTIF($C$2:C346, C346),"0000")</f>
        <v>Prop_0345</v>
      </c>
      <c r="C346" s="24" t="s">
        <v>872</v>
      </c>
      <c r="D346" s="69" t="s">
        <v>9453</v>
      </c>
      <c r="E346" s="70" t="s">
        <v>9454</v>
      </c>
      <c r="F346" s="17" t="s">
        <v>806</v>
      </c>
      <c r="G346" s="22" t="s">
        <v>1063</v>
      </c>
      <c r="H346" s="12" t="s">
        <v>9703</v>
      </c>
      <c r="I346" s="13" t="s">
        <v>7673</v>
      </c>
      <c r="J346" s="14" t="s">
        <v>798</v>
      </c>
      <c r="K346" s="15" t="s">
        <v>798</v>
      </c>
      <c r="L346" s="12" t="s">
        <v>5315</v>
      </c>
      <c r="M346" s="13" t="s">
        <v>5410</v>
      </c>
      <c r="N346" s="12" t="s">
        <v>803</v>
      </c>
      <c r="O346" s="13" t="s">
        <v>4908</v>
      </c>
      <c r="P346" s="17" t="s">
        <v>802</v>
      </c>
      <c r="Q346" s="21" t="s">
        <v>7823</v>
      </c>
      <c r="R346" s="17" t="s">
        <v>801</v>
      </c>
      <c r="S346" s="18" t="s">
        <v>2554</v>
      </c>
      <c r="T346" s="17" t="s">
        <v>800</v>
      </c>
      <c r="U346" s="18" t="s">
        <v>5233</v>
      </c>
      <c r="V346" s="17" t="s">
        <v>9418</v>
      </c>
      <c r="W346" s="18" t="s">
        <v>5309</v>
      </c>
      <c r="X346" s="69" t="s">
        <v>9453</v>
      </c>
      <c r="Y346" s="70" t="s">
        <v>9462</v>
      </c>
      <c r="Z346" s="73" t="s">
        <v>9486</v>
      </c>
      <c r="AA346" s="74" t="s">
        <v>9504</v>
      </c>
      <c r="AB346" s="73" t="s">
        <v>9486</v>
      </c>
      <c r="AC346" s="74" t="s">
        <v>9562</v>
      </c>
      <c r="AD346" s="73" t="s">
        <v>9578</v>
      </c>
      <c r="AE346" s="74" t="s">
        <v>9579</v>
      </c>
    </row>
    <row r="347" spans="1:31" ht="8.65" customHeight="1" x14ac:dyDescent="0.2">
      <c r="A347" s="76">
        <v>347</v>
      </c>
      <c r="B347" s="67" t="str">
        <f>MID(C347, FIND("Ifc.", C347) + 4, 4) &amp; "_" &amp; TEXT(COUNTIF($C$2:C347, C347),"0000")</f>
        <v>Prop_0346</v>
      </c>
      <c r="C347" s="24" t="s">
        <v>872</v>
      </c>
      <c r="D347" s="69" t="s">
        <v>9453</v>
      </c>
      <c r="E347" s="70" t="s">
        <v>9454</v>
      </c>
      <c r="F347" s="17" t="s">
        <v>806</v>
      </c>
      <c r="G347" s="22" t="s">
        <v>1122</v>
      </c>
      <c r="H347" s="12" t="s">
        <v>9703</v>
      </c>
      <c r="I347" s="13" t="s">
        <v>6972</v>
      </c>
      <c r="J347" s="14" t="s">
        <v>798</v>
      </c>
      <c r="K347" s="15" t="s">
        <v>798</v>
      </c>
      <c r="L347" s="12" t="s">
        <v>5315</v>
      </c>
      <c r="M347" s="13" t="s">
        <v>5392</v>
      </c>
      <c r="N347" s="12" t="s">
        <v>803</v>
      </c>
      <c r="O347" s="13" t="s">
        <v>4858</v>
      </c>
      <c r="P347" s="17" t="s">
        <v>802</v>
      </c>
      <c r="Q347" s="21" t="s">
        <v>7798</v>
      </c>
      <c r="R347" s="17" t="s">
        <v>801</v>
      </c>
      <c r="S347" s="18" t="s">
        <v>2631</v>
      </c>
      <c r="T347" s="17" t="s">
        <v>800</v>
      </c>
      <c r="U347" s="18" t="s">
        <v>5253</v>
      </c>
      <c r="V347" s="17" t="s">
        <v>9418</v>
      </c>
      <c r="W347" s="18" t="s">
        <v>5311</v>
      </c>
      <c r="X347" s="69" t="s">
        <v>9453</v>
      </c>
      <c r="Y347" s="70" t="s">
        <v>9466</v>
      </c>
      <c r="Z347" s="73" t="s">
        <v>9486</v>
      </c>
      <c r="AA347" s="74" t="s">
        <v>9504</v>
      </c>
      <c r="AB347" s="73" t="s">
        <v>9486</v>
      </c>
      <c r="AC347" s="74" t="s">
        <v>9566</v>
      </c>
      <c r="AD347" s="73" t="s">
        <v>9578</v>
      </c>
      <c r="AE347" s="74" t="s">
        <v>9579</v>
      </c>
    </row>
    <row r="348" spans="1:31" ht="8.65" customHeight="1" x14ac:dyDescent="0.2">
      <c r="A348" s="76">
        <v>348</v>
      </c>
      <c r="B348" s="67" t="str">
        <f>MID(C348, FIND("Ifc.", C348) + 4, 4) &amp; "_" &amp; TEXT(COUNTIF($C$2:C348, C348),"0000")</f>
        <v>Prop_0347</v>
      </c>
      <c r="C348" s="24" t="s">
        <v>872</v>
      </c>
      <c r="D348" s="69" t="s">
        <v>9453</v>
      </c>
      <c r="E348" s="70" t="s">
        <v>9454</v>
      </c>
      <c r="F348" s="17" t="s">
        <v>806</v>
      </c>
      <c r="G348" s="22" t="s">
        <v>2384</v>
      </c>
      <c r="H348" s="12" t="s">
        <v>9703</v>
      </c>
      <c r="I348" s="13" t="s">
        <v>6764</v>
      </c>
      <c r="J348" s="14" t="s">
        <v>798</v>
      </c>
      <c r="K348" s="15" t="s">
        <v>798</v>
      </c>
      <c r="L348" s="12" t="s">
        <v>5315</v>
      </c>
      <c r="M348" s="13" t="s">
        <v>5783</v>
      </c>
      <c r="N348" s="12" t="s">
        <v>803</v>
      </c>
      <c r="O348" s="13" t="s">
        <v>5181</v>
      </c>
      <c r="P348" s="17" t="s">
        <v>802</v>
      </c>
      <c r="Q348" s="21" t="s">
        <v>7751</v>
      </c>
      <c r="R348" s="17" t="s">
        <v>801</v>
      </c>
      <c r="S348" s="18" t="s">
        <v>2562</v>
      </c>
      <c r="T348" s="17" t="s">
        <v>800</v>
      </c>
      <c r="U348" s="18" t="s">
        <v>5256</v>
      </c>
      <c r="V348" s="17" t="s">
        <v>9418</v>
      </c>
      <c r="W348" s="18" t="s">
        <v>5309</v>
      </c>
      <c r="X348" s="69" t="s">
        <v>9453</v>
      </c>
      <c r="Y348" s="70" t="s">
        <v>9462</v>
      </c>
      <c r="Z348" s="73" t="s">
        <v>9486</v>
      </c>
      <c r="AA348" s="74" t="s">
        <v>9504</v>
      </c>
      <c r="AB348" s="73" t="s">
        <v>9486</v>
      </c>
      <c r="AC348" s="74" t="s">
        <v>9562</v>
      </c>
      <c r="AD348" s="73" t="s">
        <v>9578</v>
      </c>
      <c r="AE348" s="74" t="s">
        <v>9579</v>
      </c>
    </row>
    <row r="349" spans="1:31" ht="8.65" customHeight="1" x14ac:dyDescent="0.2">
      <c r="A349" s="76">
        <v>349</v>
      </c>
      <c r="B349" s="67" t="str">
        <f>MID(C349, FIND("Ifc.", C349) + 4, 4) &amp; "_" &amp; TEXT(COUNTIF($C$2:C349, C349),"0000")</f>
        <v>Prop_0348</v>
      </c>
      <c r="C349" s="24" t="s">
        <v>872</v>
      </c>
      <c r="D349" s="69" t="s">
        <v>9453</v>
      </c>
      <c r="E349" s="70" t="s">
        <v>9454</v>
      </c>
      <c r="F349" s="17" t="s">
        <v>806</v>
      </c>
      <c r="G349" s="22" t="s">
        <v>1633</v>
      </c>
      <c r="H349" s="12" t="s">
        <v>9703</v>
      </c>
      <c r="I349" s="13" t="s">
        <v>6389</v>
      </c>
      <c r="J349" s="14" t="s">
        <v>798</v>
      </c>
      <c r="K349" s="15" t="s">
        <v>798</v>
      </c>
      <c r="L349" s="12" t="s">
        <v>5315</v>
      </c>
      <c r="M349" s="13" t="s">
        <v>5835</v>
      </c>
      <c r="N349" s="12" t="s">
        <v>803</v>
      </c>
      <c r="O349" s="13" t="s">
        <v>4978</v>
      </c>
      <c r="P349" s="17" t="s">
        <v>802</v>
      </c>
      <c r="Q349" s="21" t="s">
        <v>7799</v>
      </c>
      <c r="R349" s="17" t="s">
        <v>801</v>
      </c>
      <c r="S349" s="18" t="s">
        <v>3636</v>
      </c>
      <c r="T349" s="17" t="s">
        <v>800</v>
      </c>
      <c r="U349" s="18" t="s">
        <v>5257</v>
      </c>
      <c r="V349" s="17" t="s">
        <v>9418</v>
      </c>
      <c r="W349" s="18" t="s">
        <v>5314</v>
      </c>
      <c r="X349" s="69" t="s">
        <v>9453</v>
      </c>
      <c r="Y349" s="70" t="s">
        <v>9464</v>
      </c>
      <c r="Z349" s="73" t="s">
        <v>9486</v>
      </c>
      <c r="AA349" s="74" t="s">
        <v>9504</v>
      </c>
      <c r="AB349" s="73" t="s">
        <v>9486</v>
      </c>
      <c r="AC349" s="74" t="s">
        <v>9561</v>
      </c>
      <c r="AD349" s="73" t="s">
        <v>9578</v>
      </c>
      <c r="AE349" s="74" t="s">
        <v>9579</v>
      </c>
    </row>
    <row r="350" spans="1:31" ht="8.65" customHeight="1" x14ac:dyDescent="0.2">
      <c r="A350" s="76">
        <v>350</v>
      </c>
      <c r="B350" s="67" t="str">
        <f>MID(C350, FIND("Ifc.", C350) + 4, 4) &amp; "_" &amp; TEXT(COUNTIF($C$2:C350, C350),"0000")</f>
        <v>Prop_0349</v>
      </c>
      <c r="C350" s="24" t="s">
        <v>872</v>
      </c>
      <c r="D350" s="69" t="s">
        <v>9453</v>
      </c>
      <c r="E350" s="70" t="s">
        <v>9454</v>
      </c>
      <c r="F350" s="17" t="s">
        <v>806</v>
      </c>
      <c r="G350" s="22" t="s">
        <v>1633</v>
      </c>
      <c r="H350" s="12" t="s">
        <v>9703</v>
      </c>
      <c r="I350" s="13" t="s">
        <v>6389</v>
      </c>
      <c r="J350" s="14" t="s">
        <v>798</v>
      </c>
      <c r="K350" s="15" t="s">
        <v>798</v>
      </c>
      <c r="L350" s="12" t="s">
        <v>5315</v>
      </c>
      <c r="M350" s="13" t="s">
        <v>5836</v>
      </c>
      <c r="N350" s="12" t="s">
        <v>803</v>
      </c>
      <c r="O350" s="13" t="s">
        <v>4979</v>
      </c>
      <c r="P350" s="17" t="s">
        <v>802</v>
      </c>
      <c r="Q350" s="21" t="s">
        <v>7788</v>
      </c>
      <c r="R350" s="17" t="s">
        <v>801</v>
      </c>
      <c r="S350" s="18" t="s">
        <v>3636</v>
      </c>
      <c r="T350" s="17" t="s">
        <v>800</v>
      </c>
      <c r="U350" s="18" t="s">
        <v>5257</v>
      </c>
      <c r="V350" s="17" t="s">
        <v>9418</v>
      </c>
      <c r="W350" s="18" t="s">
        <v>5314</v>
      </c>
      <c r="X350" s="69" t="s">
        <v>9453</v>
      </c>
      <c r="Y350" s="70" t="s">
        <v>9464</v>
      </c>
      <c r="Z350" s="73" t="s">
        <v>9486</v>
      </c>
      <c r="AA350" s="74" t="s">
        <v>9504</v>
      </c>
      <c r="AB350" s="73" t="s">
        <v>9486</v>
      </c>
      <c r="AC350" s="74" t="s">
        <v>9561</v>
      </c>
      <c r="AD350" s="73" t="s">
        <v>9578</v>
      </c>
      <c r="AE350" s="74" t="s">
        <v>9579</v>
      </c>
    </row>
    <row r="351" spans="1:31" ht="8.65" customHeight="1" x14ac:dyDescent="0.2">
      <c r="A351" s="76">
        <v>351</v>
      </c>
      <c r="B351" s="67" t="str">
        <f>MID(C351, FIND("Ifc.", C351) + 4, 4) &amp; "_" &amp; TEXT(COUNTIF($C$2:C351, C351),"0000")</f>
        <v>Prop_0350</v>
      </c>
      <c r="C351" s="24" t="s">
        <v>872</v>
      </c>
      <c r="D351" s="69" t="s">
        <v>9453</v>
      </c>
      <c r="E351" s="70" t="s">
        <v>9454</v>
      </c>
      <c r="F351" s="17" t="s">
        <v>806</v>
      </c>
      <c r="G351" s="22" t="s">
        <v>2114</v>
      </c>
      <c r="H351" s="12" t="s">
        <v>9703</v>
      </c>
      <c r="I351" s="13" t="s">
        <v>6640</v>
      </c>
      <c r="J351" s="14" t="s">
        <v>798</v>
      </c>
      <c r="K351" s="15" t="s">
        <v>798</v>
      </c>
      <c r="L351" s="12" t="s">
        <v>5315</v>
      </c>
      <c r="M351" s="13" t="s">
        <v>5980</v>
      </c>
      <c r="N351" s="12" t="s">
        <v>803</v>
      </c>
      <c r="O351" s="13" t="s">
        <v>5101</v>
      </c>
      <c r="P351" s="17" t="s">
        <v>802</v>
      </c>
      <c r="Q351" s="21" t="s">
        <v>7819</v>
      </c>
      <c r="R351" s="17" t="s">
        <v>801</v>
      </c>
      <c r="S351" s="18" t="s">
        <v>2646</v>
      </c>
      <c r="T351" s="17" t="s">
        <v>800</v>
      </c>
      <c r="U351" s="18" t="s">
        <v>5301</v>
      </c>
      <c r="V351" s="17" t="s">
        <v>9418</v>
      </c>
      <c r="W351" s="18" t="s">
        <v>5309</v>
      </c>
      <c r="X351" s="69" t="s">
        <v>9453</v>
      </c>
      <c r="Y351" s="70" t="s">
        <v>9462</v>
      </c>
      <c r="Z351" s="73" t="s">
        <v>9486</v>
      </c>
      <c r="AA351" s="74" t="s">
        <v>9504</v>
      </c>
      <c r="AB351" s="73" t="s">
        <v>9486</v>
      </c>
      <c r="AC351" s="74" t="s">
        <v>9566</v>
      </c>
      <c r="AD351" s="73" t="s">
        <v>9578</v>
      </c>
      <c r="AE351" s="74" t="s">
        <v>9579</v>
      </c>
    </row>
    <row r="352" spans="1:31" ht="8.65" customHeight="1" x14ac:dyDescent="0.2">
      <c r="A352" s="76">
        <v>352</v>
      </c>
      <c r="B352" s="67" t="str">
        <f>MID(C352, FIND("Ifc.", C352) + 4, 4) &amp; "_" &amp; TEXT(COUNTIF($C$2:C352, C352),"0000")</f>
        <v>Prop_0351</v>
      </c>
      <c r="C352" s="24" t="s">
        <v>872</v>
      </c>
      <c r="D352" s="69" t="s">
        <v>9453</v>
      </c>
      <c r="E352" s="70" t="s">
        <v>9454</v>
      </c>
      <c r="F352" s="17" t="s">
        <v>806</v>
      </c>
      <c r="G352" s="22" t="s">
        <v>2485</v>
      </c>
      <c r="H352" s="12" t="s">
        <v>9703</v>
      </c>
      <c r="I352" s="13" t="s">
        <v>6821</v>
      </c>
      <c r="J352" s="14" t="s">
        <v>798</v>
      </c>
      <c r="K352" s="15" t="s">
        <v>798</v>
      </c>
      <c r="L352" s="12" t="s">
        <v>5315</v>
      </c>
      <c r="M352" s="13" t="s">
        <v>6003</v>
      </c>
      <c r="N352" s="12" t="s">
        <v>803</v>
      </c>
      <c r="O352" s="13" t="s">
        <v>5214</v>
      </c>
      <c r="P352" s="17" t="s">
        <v>802</v>
      </c>
      <c r="Q352" s="21" t="s">
        <v>7830</v>
      </c>
      <c r="R352" s="17" t="s">
        <v>801</v>
      </c>
      <c r="S352" s="18" t="s">
        <v>2562</v>
      </c>
      <c r="T352" s="17" t="s">
        <v>800</v>
      </c>
      <c r="U352" s="18" t="s">
        <v>5256</v>
      </c>
      <c r="V352" s="17" t="s">
        <v>9418</v>
      </c>
      <c r="W352" s="18" t="s">
        <v>5309</v>
      </c>
      <c r="X352" s="69" t="s">
        <v>9453</v>
      </c>
      <c r="Y352" s="70" t="s">
        <v>9462</v>
      </c>
      <c r="Z352" s="73" t="s">
        <v>9486</v>
      </c>
      <c r="AA352" s="74" t="s">
        <v>9504</v>
      </c>
      <c r="AB352" s="73" t="s">
        <v>9486</v>
      </c>
      <c r="AC352" s="74" t="s">
        <v>9562</v>
      </c>
      <c r="AD352" s="73" t="s">
        <v>9578</v>
      </c>
      <c r="AE352" s="74" t="s">
        <v>9579</v>
      </c>
    </row>
    <row r="353" spans="1:31" ht="8.65" customHeight="1" x14ac:dyDescent="0.2">
      <c r="A353" s="76">
        <v>353</v>
      </c>
      <c r="B353" s="67" t="str">
        <f>MID(C353, FIND("Ifc.", C353) + 4, 4) &amp; "_" &amp; TEXT(COUNTIF($C$2:C353, C353),"0000")</f>
        <v>Prop_0352</v>
      </c>
      <c r="C353" s="24" t="s">
        <v>872</v>
      </c>
      <c r="D353" s="69" t="s">
        <v>9453</v>
      </c>
      <c r="E353" s="70" t="s">
        <v>9454</v>
      </c>
      <c r="F353" s="17" t="s">
        <v>806</v>
      </c>
      <c r="G353" s="22" t="s">
        <v>1865</v>
      </c>
      <c r="H353" s="12" t="s">
        <v>9703</v>
      </c>
      <c r="I353" s="13" t="s">
        <v>6541</v>
      </c>
      <c r="J353" s="14" t="s">
        <v>798</v>
      </c>
      <c r="K353" s="15" t="s">
        <v>798</v>
      </c>
      <c r="L353" s="12" t="s">
        <v>5315</v>
      </c>
      <c r="M353" s="13" t="s">
        <v>5460</v>
      </c>
      <c r="N353" s="12" t="s">
        <v>803</v>
      </c>
      <c r="O353" s="13" t="s">
        <v>5037</v>
      </c>
      <c r="P353" s="17" t="s">
        <v>802</v>
      </c>
      <c r="Q353" s="21" t="s">
        <v>7782</v>
      </c>
      <c r="R353" s="17" t="s">
        <v>801</v>
      </c>
      <c r="S353" s="18" t="s">
        <v>2625</v>
      </c>
      <c r="T353" s="17" t="s">
        <v>800</v>
      </c>
      <c r="U353" s="18" t="s">
        <v>5240</v>
      </c>
      <c r="V353" s="17" t="s">
        <v>9418</v>
      </c>
      <c r="W353" s="18" t="s">
        <v>5309</v>
      </c>
      <c r="X353" s="69" t="s">
        <v>9453</v>
      </c>
      <c r="Y353" s="70" t="s">
        <v>9462</v>
      </c>
      <c r="Z353" s="73" t="s">
        <v>9486</v>
      </c>
      <c r="AA353" s="74" t="s">
        <v>9504</v>
      </c>
      <c r="AB353" s="73" t="s">
        <v>9486</v>
      </c>
      <c r="AC353" s="74" t="s">
        <v>9566</v>
      </c>
      <c r="AD353" s="73" t="s">
        <v>9578</v>
      </c>
      <c r="AE353" s="74" t="s">
        <v>9579</v>
      </c>
    </row>
    <row r="354" spans="1:31" ht="8.65" customHeight="1" x14ac:dyDescent="0.2">
      <c r="A354" s="76">
        <v>354</v>
      </c>
      <c r="B354" s="67" t="str">
        <f>MID(C354, FIND("Ifc.", C354) + 4, 4) &amp; "_" &amp; TEXT(COUNTIF($C$2:C354, C354),"0000")</f>
        <v>Prop_0353</v>
      </c>
      <c r="C354" s="24" t="s">
        <v>872</v>
      </c>
      <c r="D354" s="69" t="s">
        <v>9453</v>
      </c>
      <c r="E354" s="70" t="s">
        <v>9454</v>
      </c>
      <c r="F354" s="17" t="s">
        <v>806</v>
      </c>
      <c r="G354" s="22" t="s">
        <v>1618</v>
      </c>
      <c r="H354" s="12" t="s">
        <v>9703</v>
      </c>
      <c r="I354" s="13" t="s">
        <v>7210</v>
      </c>
      <c r="J354" s="14" t="s">
        <v>798</v>
      </c>
      <c r="K354" s="15" t="s">
        <v>798</v>
      </c>
      <c r="L354" s="12" t="s">
        <v>5315</v>
      </c>
      <c r="M354" s="13" t="s">
        <v>5831</v>
      </c>
      <c r="N354" s="12" t="s">
        <v>803</v>
      </c>
      <c r="O354" s="13" t="s">
        <v>4973</v>
      </c>
      <c r="P354" s="17" t="s">
        <v>802</v>
      </c>
      <c r="Q354" s="21" t="s">
        <v>7730</v>
      </c>
      <c r="R354" s="17" t="s">
        <v>801</v>
      </c>
      <c r="S354" s="18" t="s">
        <v>3636</v>
      </c>
      <c r="T354" s="17" t="s">
        <v>800</v>
      </c>
      <c r="U354" s="18" t="s">
        <v>5257</v>
      </c>
      <c r="V354" s="17" t="s">
        <v>9418</v>
      </c>
      <c r="W354" s="18" t="s">
        <v>5314</v>
      </c>
      <c r="X354" s="69" t="s">
        <v>9453</v>
      </c>
      <c r="Y354" s="70" t="s">
        <v>9464</v>
      </c>
      <c r="Z354" s="73" t="s">
        <v>9486</v>
      </c>
      <c r="AA354" s="74" t="s">
        <v>9504</v>
      </c>
      <c r="AB354" s="73" t="s">
        <v>9486</v>
      </c>
      <c r="AC354" s="74" t="s">
        <v>9561</v>
      </c>
      <c r="AD354" s="73" t="s">
        <v>9578</v>
      </c>
      <c r="AE354" s="74" t="s">
        <v>9579</v>
      </c>
    </row>
    <row r="355" spans="1:31" ht="8.65" customHeight="1" x14ac:dyDescent="0.2">
      <c r="A355" s="76">
        <v>355</v>
      </c>
      <c r="B355" s="67" t="str">
        <f>MID(C355, FIND("Ifc.", C355) + 4, 4) &amp; "_" &amp; TEXT(COUNTIF($C$2:C355, C355),"0000")</f>
        <v>Prop_0354</v>
      </c>
      <c r="C355" s="24" t="s">
        <v>872</v>
      </c>
      <c r="D355" s="69" t="s">
        <v>9453</v>
      </c>
      <c r="E355" s="70" t="s">
        <v>9454</v>
      </c>
      <c r="F355" s="17" t="s">
        <v>806</v>
      </c>
      <c r="G355" s="22" t="s">
        <v>1567</v>
      </c>
      <c r="H355" s="12" t="s">
        <v>9703</v>
      </c>
      <c r="I355" s="13" t="s">
        <v>6403</v>
      </c>
      <c r="J355" s="14" t="s">
        <v>798</v>
      </c>
      <c r="K355" s="15" t="s">
        <v>798</v>
      </c>
      <c r="L355" s="12" t="s">
        <v>5315</v>
      </c>
      <c r="M355" s="13" t="s">
        <v>5893</v>
      </c>
      <c r="N355" s="12" t="s">
        <v>803</v>
      </c>
      <c r="O355" s="13" t="s">
        <v>4962</v>
      </c>
      <c r="P355" s="17" t="s">
        <v>802</v>
      </c>
      <c r="Q355" s="21" t="s">
        <v>7837</v>
      </c>
      <c r="R355" s="17" t="s">
        <v>801</v>
      </c>
      <c r="S355" s="18" t="s">
        <v>3636</v>
      </c>
      <c r="T355" s="17" t="s">
        <v>800</v>
      </c>
      <c r="U355" s="18" t="s">
        <v>5257</v>
      </c>
      <c r="V355" s="17" t="s">
        <v>9418</v>
      </c>
      <c r="W355" s="18" t="s">
        <v>5314</v>
      </c>
      <c r="X355" s="69" t="s">
        <v>9453</v>
      </c>
      <c r="Y355" s="70" t="s">
        <v>9464</v>
      </c>
      <c r="Z355" s="73" t="s">
        <v>9486</v>
      </c>
      <c r="AA355" s="74" t="s">
        <v>9504</v>
      </c>
      <c r="AB355" s="73" t="s">
        <v>9486</v>
      </c>
      <c r="AC355" s="74" t="s">
        <v>9561</v>
      </c>
      <c r="AD355" s="73" t="s">
        <v>9578</v>
      </c>
      <c r="AE355" s="74" t="s">
        <v>9579</v>
      </c>
    </row>
    <row r="356" spans="1:31" ht="8.65" customHeight="1" x14ac:dyDescent="0.2">
      <c r="A356" s="76">
        <v>356</v>
      </c>
      <c r="B356" s="67" t="str">
        <f>MID(C356, FIND("Ifc.", C356) + 4, 4) &amp; "_" &amp; TEXT(COUNTIF($C$2:C356, C356),"0000")</f>
        <v>Prop_0355</v>
      </c>
      <c r="C356" s="24" t="s">
        <v>872</v>
      </c>
      <c r="D356" s="69" t="s">
        <v>9453</v>
      </c>
      <c r="E356" s="70" t="s">
        <v>9454</v>
      </c>
      <c r="F356" s="17" t="s">
        <v>806</v>
      </c>
      <c r="G356" s="22" t="s">
        <v>1567</v>
      </c>
      <c r="H356" s="12" t="s">
        <v>9703</v>
      </c>
      <c r="I356" s="13" t="s">
        <v>6403</v>
      </c>
      <c r="J356" s="14" t="s">
        <v>798</v>
      </c>
      <c r="K356" s="15" t="s">
        <v>798</v>
      </c>
      <c r="L356" s="12" t="s">
        <v>5315</v>
      </c>
      <c r="M356" s="13" t="s">
        <v>5894</v>
      </c>
      <c r="N356" s="12" t="s">
        <v>803</v>
      </c>
      <c r="O356" s="13" t="s">
        <v>4963</v>
      </c>
      <c r="P356" s="17" t="s">
        <v>802</v>
      </c>
      <c r="Q356" s="21" t="s">
        <v>7838</v>
      </c>
      <c r="R356" s="17" t="s">
        <v>801</v>
      </c>
      <c r="S356" s="18" t="s">
        <v>3636</v>
      </c>
      <c r="T356" s="17" t="s">
        <v>800</v>
      </c>
      <c r="U356" s="18" t="s">
        <v>5257</v>
      </c>
      <c r="V356" s="17" t="s">
        <v>9418</v>
      </c>
      <c r="W356" s="18" t="s">
        <v>5314</v>
      </c>
      <c r="X356" s="69" t="s">
        <v>9453</v>
      </c>
      <c r="Y356" s="70" t="s">
        <v>9464</v>
      </c>
      <c r="Z356" s="73" t="s">
        <v>9486</v>
      </c>
      <c r="AA356" s="74" t="s">
        <v>9504</v>
      </c>
      <c r="AB356" s="73" t="s">
        <v>9486</v>
      </c>
      <c r="AC356" s="74" t="s">
        <v>9561</v>
      </c>
      <c r="AD356" s="73" t="s">
        <v>9578</v>
      </c>
      <c r="AE356" s="74" t="s">
        <v>9579</v>
      </c>
    </row>
    <row r="357" spans="1:31" ht="8.65" customHeight="1" x14ac:dyDescent="0.2">
      <c r="A357" s="76">
        <v>357</v>
      </c>
      <c r="B357" s="67" t="str">
        <f>MID(C357, FIND("Ifc.", C357) + 4, 4) &amp; "_" &amp; TEXT(COUNTIF($C$2:C357, C357),"0000")</f>
        <v>Prop_0356</v>
      </c>
      <c r="C357" s="24" t="s">
        <v>872</v>
      </c>
      <c r="D357" s="69" t="s">
        <v>9453</v>
      </c>
      <c r="E357" s="70" t="s">
        <v>9454</v>
      </c>
      <c r="F357" s="17" t="s">
        <v>806</v>
      </c>
      <c r="G357" s="22" t="s">
        <v>1567</v>
      </c>
      <c r="H357" s="12" t="s">
        <v>9703</v>
      </c>
      <c r="I357" s="13" t="s">
        <v>6403</v>
      </c>
      <c r="J357" s="14" t="s">
        <v>798</v>
      </c>
      <c r="K357" s="15" t="s">
        <v>798</v>
      </c>
      <c r="L357" s="12" t="s">
        <v>5315</v>
      </c>
      <c r="M357" s="13" t="s">
        <v>5844</v>
      </c>
      <c r="N357" s="12" t="s">
        <v>803</v>
      </c>
      <c r="O357" s="13" t="s">
        <v>4989</v>
      </c>
      <c r="P357" s="17" t="s">
        <v>802</v>
      </c>
      <c r="Q357" s="21" t="s">
        <v>7839</v>
      </c>
      <c r="R357" s="17" t="s">
        <v>801</v>
      </c>
      <c r="S357" s="18" t="s">
        <v>3636</v>
      </c>
      <c r="T357" s="17" t="s">
        <v>800</v>
      </c>
      <c r="U357" s="18" t="s">
        <v>5257</v>
      </c>
      <c r="V357" s="17" t="s">
        <v>9418</v>
      </c>
      <c r="W357" s="18" t="s">
        <v>5314</v>
      </c>
      <c r="X357" s="69" t="s">
        <v>9453</v>
      </c>
      <c r="Y357" s="70" t="s">
        <v>9464</v>
      </c>
      <c r="Z357" s="73" t="s">
        <v>9486</v>
      </c>
      <c r="AA357" s="74" t="s">
        <v>9504</v>
      </c>
      <c r="AB357" s="73" t="s">
        <v>9486</v>
      </c>
      <c r="AC357" s="74" t="s">
        <v>9561</v>
      </c>
      <c r="AD357" s="73" t="s">
        <v>9578</v>
      </c>
      <c r="AE357" s="74" t="s">
        <v>9579</v>
      </c>
    </row>
    <row r="358" spans="1:31" ht="8.65" customHeight="1" x14ac:dyDescent="0.2">
      <c r="A358" s="76">
        <v>358</v>
      </c>
      <c r="B358" s="67" t="str">
        <f>MID(C358, FIND("Ifc.", C358) + 4, 4) &amp; "_" &amp; TEXT(COUNTIF($C$2:C358, C358),"0000")</f>
        <v>Prop_0357</v>
      </c>
      <c r="C358" s="24" t="s">
        <v>872</v>
      </c>
      <c r="D358" s="69" t="s">
        <v>9453</v>
      </c>
      <c r="E358" s="70" t="s">
        <v>9454</v>
      </c>
      <c r="F358" s="17" t="s">
        <v>806</v>
      </c>
      <c r="G358" s="22" t="s">
        <v>2112</v>
      </c>
      <c r="H358" s="12" t="s">
        <v>9703</v>
      </c>
      <c r="I358" s="13" t="s">
        <v>7296</v>
      </c>
      <c r="J358" s="14" t="s">
        <v>798</v>
      </c>
      <c r="K358" s="15" t="s">
        <v>798</v>
      </c>
      <c r="L358" s="12" t="s">
        <v>5315</v>
      </c>
      <c r="M358" s="13" t="s">
        <v>5980</v>
      </c>
      <c r="N358" s="12" t="s">
        <v>803</v>
      </c>
      <c r="O358" s="13" t="s">
        <v>5101</v>
      </c>
      <c r="P358" s="17" t="s">
        <v>802</v>
      </c>
      <c r="Q358" s="21" t="s">
        <v>7819</v>
      </c>
      <c r="R358" s="17" t="s">
        <v>801</v>
      </c>
      <c r="S358" s="18" t="s">
        <v>2625</v>
      </c>
      <c r="T358" s="17" t="s">
        <v>800</v>
      </c>
      <c r="U358" s="18" t="s">
        <v>5240</v>
      </c>
      <c r="V358" s="17" t="s">
        <v>9418</v>
      </c>
      <c r="W358" s="18" t="s">
        <v>5309</v>
      </c>
      <c r="X358" s="69" t="s">
        <v>9453</v>
      </c>
      <c r="Y358" s="70" t="s">
        <v>9462</v>
      </c>
      <c r="Z358" s="73" t="s">
        <v>9486</v>
      </c>
      <c r="AA358" s="74" t="s">
        <v>9504</v>
      </c>
      <c r="AB358" s="73" t="s">
        <v>9486</v>
      </c>
      <c r="AC358" s="74" t="s">
        <v>9566</v>
      </c>
      <c r="AD358" s="73" t="s">
        <v>9578</v>
      </c>
      <c r="AE358" s="74" t="s">
        <v>9579</v>
      </c>
    </row>
    <row r="359" spans="1:31" ht="8.65" customHeight="1" x14ac:dyDescent="0.2">
      <c r="A359" s="76">
        <v>359</v>
      </c>
      <c r="B359" s="67" t="str">
        <f>MID(C359, FIND("Ifc.", C359) + 4, 4) &amp; "_" &amp; TEXT(COUNTIF($C$2:C359, C359),"0000")</f>
        <v>Prop_0358</v>
      </c>
      <c r="C359" s="24" t="s">
        <v>872</v>
      </c>
      <c r="D359" s="69" t="s">
        <v>9453</v>
      </c>
      <c r="E359" s="70" t="s">
        <v>9454</v>
      </c>
      <c r="F359" s="17" t="s">
        <v>806</v>
      </c>
      <c r="G359" s="22" t="s">
        <v>1916</v>
      </c>
      <c r="H359" s="12" t="s">
        <v>9703</v>
      </c>
      <c r="I359" s="13" t="s">
        <v>6574</v>
      </c>
      <c r="J359" s="14" t="s">
        <v>798</v>
      </c>
      <c r="K359" s="15" t="s">
        <v>798</v>
      </c>
      <c r="L359" s="12" t="s">
        <v>5315</v>
      </c>
      <c r="M359" s="13" t="s">
        <v>5468</v>
      </c>
      <c r="N359" s="12" t="s">
        <v>803</v>
      </c>
      <c r="O359" s="13" t="s">
        <v>5056</v>
      </c>
      <c r="P359" s="17" t="s">
        <v>802</v>
      </c>
      <c r="Q359" s="21" t="s">
        <v>7840</v>
      </c>
      <c r="R359" s="17" t="s">
        <v>801</v>
      </c>
      <c r="S359" s="18" t="s">
        <v>2585</v>
      </c>
      <c r="T359" s="17" t="s">
        <v>800</v>
      </c>
      <c r="U359" s="18" t="s">
        <v>5238</v>
      </c>
      <c r="V359" s="17" t="s">
        <v>9418</v>
      </c>
      <c r="W359" s="18" t="s">
        <v>5309</v>
      </c>
      <c r="X359" s="69" t="s">
        <v>9453</v>
      </c>
      <c r="Y359" s="70" t="s">
        <v>9462</v>
      </c>
      <c r="Z359" s="73" t="s">
        <v>9486</v>
      </c>
      <c r="AA359" s="74" t="s">
        <v>9504</v>
      </c>
      <c r="AB359" s="73" t="s">
        <v>9486</v>
      </c>
      <c r="AC359" s="74" t="s">
        <v>9566</v>
      </c>
      <c r="AD359" s="73" t="s">
        <v>9578</v>
      </c>
      <c r="AE359" s="74" t="s">
        <v>9579</v>
      </c>
    </row>
    <row r="360" spans="1:31" ht="8.65" customHeight="1" x14ac:dyDescent="0.2">
      <c r="A360" s="76">
        <v>360</v>
      </c>
      <c r="B360" s="67" t="str">
        <f>MID(C360, FIND("Ifc.", C360) + 4, 4) &amp; "_" &amp; TEXT(COUNTIF($C$2:C360, C360),"0000")</f>
        <v>Prop_0359</v>
      </c>
      <c r="C360" s="24" t="s">
        <v>872</v>
      </c>
      <c r="D360" s="69" t="s">
        <v>9453</v>
      </c>
      <c r="E360" s="70" t="s">
        <v>9454</v>
      </c>
      <c r="F360" s="17" t="s">
        <v>806</v>
      </c>
      <c r="G360" s="22" t="s">
        <v>1916</v>
      </c>
      <c r="H360" s="12" t="s">
        <v>9703</v>
      </c>
      <c r="I360" s="13" t="s">
        <v>6574</v>
      </c>
      <c r="J360" s="14" t="s">
        <v>798</v>
      </c>
      <c r="K360" s="15" t="s">
        <v>798</v>
      </c>
      <c r="L360" s="12" t="s">
        <v>5315</v>
      </c>
      <c r="M360" s="13" t="s">
        <v>5469</v>
      </c>
      <c r="N360" s="12" t="s">
        <v>803</v>
      </c>
      <c r="O360" s="13" t="s">
        <v>5060</v>
      </c>
      <c r="P360" s="17" t="s">
        <v>802</v>
      </c>
      <c r="Q360" s="21" t="s">
        <v>7841</v>
      </c>
      <c r="R360" s="17" t="s">
        <v>801</v>
      </c>
      <c r="S360" s="18" t="s">
        <v>2585</v>
      </c>
      <c r="T360" s="17" t="s">
        <v>800</v>
      </c>
      <c r="U360" s="18" t="s">
        <v>5238</v>
      </c>
      <c r="V360" s="17" t="s">
        <v>9418</v>
      </c>
      <c r="W360" s="18" t="s">
        <v>5309</v>
      </c>
      <c r="X360" s="69" t="s">
        <v>9453</v>
      </c>
      <c r="Y360" s="70" t="s">
        <v>9462</v>
      </c>
      <c r="Z360" s="73" t="s">
        <v>9486</v>
      </c>
      <c r="AA360" s="74" t="s">
        <v>9504</v>
      </c>
      <c r="AB360" s="73" t="s">
        <v>9486</v>
      </c>
      <c r="AC360" s="74" t="s">
        <v>9566</v>
      </c>
      <c r="AD360" s="73" t="s">
        <v>9578</v>
      </c>
      <c r="AE360" s="74" t="s">
        <v>9579</v>
      </c>
    </row>
    <row r="361" spans="1:31" ht="8.65" customHeight="1" x14ac:dyDescent="0.2">
      <c r="A361" s="76">
        <v>361</v>
      </c>
      <c r="B361" s="67" t="str">
        <f>MID(C361, FIND("Ifc.", C361) + 4, 4) &amp; "_" &amp; TEXT(COUNTIF($C$2:C361, C361),"0000")</f>
        <v>Prop_0360</v>
      </c>
      <c r="C361" s="24" t="s">
        <v>872</v>
      </c>
      <c r="D361" s="69" t="s">
        <v>9453</v>
      </c>
      <c r="E361" s="70" t="s">
        <v>9454</v>
      </c>
      <c r="F361" s="17" t="s">
        <v>806</v>
      </c>
      <c r="G361" s="22" t="s">
        <v>1916</v>
      </c>
      <c r="H361" s="12" t="s">
        <v>9703</v>
      </c>
      <c r="I361" s="13" t="s">
        <v>6574</v>
      </c>
      <c r="J361" s="14" t="s">
        <v>798</v>
      </c>
      <c r="K361" s="15" t="s">
        <v>798</v>
      </c>
      <c r="L361" s="12" t="s">
        <v>5315</v>
      </c>
      <c r="M361" s="13" t="s">
        <v>5969</v>
      </c>
      <c r="N361" s="12" t="s">
        <v>803</v>
      </c>
      <c r="O361" s="13" t="s">
        <v>5068</v>
      </c>
      <c r="P361" s="17" t="s">
        <v>802</v>
      </c>
      <c r="Q361" s="21" t="s">
        <v>7842</v>
      </c>
      <c r="R361" s="17" t="s">
        <v>801</v>
      </c>
      <c r="S361" s="18" t="s">
        <v>2585</v>
      </c>
      <c r="T361" s="17" t="s">
        <v>800</v>
      </c>
      <c r="U361" s="18" t="s">
        <v>5238</v>
      </c>
      <c r="V361" s="17" t="s">
        <v>9418</v>
      </c>
      <c r="W361" s="18" t="s">
        <v>5309</v>
      </c>
      <c r="X361" s="69" t="s">
        <v>9453</v>
      </c>
      <c r="Y361" s="70" t="s">
        <v>9462</v>
      </c>
      <c r="Z361" s="73" t="s">
        <v>9486</v>
      </c>
      <c r="AA361" s="74" t="s">
        <v>9504</v>
      </c>
      <c r="AB361" s="73" t="s">
        <v>9486</v>
      </c>
      <c r="AC361" s="74" t="s">
        <v>9566</v>
      </c>
      <c r="AD361" s="73" t="s">
        <v>9578</v>
      </c>
      <c r="AE361" s="74" t="s">
        <v>9579</v>
      </c>
    </row>
    <row r="362" spans="1:31" ht="8.65" customHeight="1" x14ac:dyDescent="0.2">
      <c r="A362" s="76">
        <v>362</v>
      </c>
      <c r="B362" s="67" t="str">
        <f>MID(C362, FIND("Ifc.", C362) + 4, 4) &amp; "_" &amp; TEXT(COUNTIF($C$2:C362, C362),"0000")</f>
        <v>Prop_0361</v>
      </c>
      <c r="C362" s="24" t="s">
        <v>872</v>
      </c>
      <c r="D362" s="69" t="s">
        <v>9453</v>
      </c>
      <c r="E362" s="70" t="s">
        <v>9454</v>
      </c>
      <c r="F362" s="17" t="s">
        <v>806</v>
      </c>
      <c r="G362" s="22" t="s">
        <v>1916</v>
      </c>
      <c r="H362" s="12" t="s">
        <v>9703</v>
      </c>
      <c r="I362" s="13" t="s">
        <v>6574</v>
      </c>
      <c r="J362" s="14" t="s">
        <v>798</v>
      </c>
      <c r="K362" s="15" t="s">
        <v>798</v>
      </c>
      <c r="L362" s="12" t="s">
        <v>5315</v>
      </c>
      <c r="M362" s="13" t="s">
        <v>5968</v>
      </c>
      <c r="N362" s="12" t="s">
        <v>803</v>
      </c>
      <c r="O362" s="13" t="s">
        <v>5069</v>
      </c>
      <c r="P362" s="17" t="s">
        <v>802</v>
      </c>
      <c r="Q362" s="21" t="s">
        <v>7843</v>
      </c>
      <c r="R362" s="17" t="s">
        <v>801</v>
      </c>
      <c r="S362" s="18" t="s">
        <v>2585</v>
      </c>
      <c r="T362" s="17" t="s">
        <v>800</v>
      </c>
      <c r="U362" s="18" t="s">
        <v>5238</v>
      </c>
      <c r="V362" s="17" t="s">
        <v>9418</v>
      </c>
      <c r="W362" s="18" t="s">
        <v>5309</v>
      </c>
      <c r="X362" s="69" t="s">
        <v>9453</v>
      </c>
      <c r="Y362" s="70" t="s">
        <v>9462</v>
      </c>
      <c r="Z362" s="73" t="s">
        <v>9486</v>
      </c>
      <c r="AA362" s="74" t="s">
        <v>9504</v>
      </c>
      <c r="AB362" s="73" t="s">
        <v>9486</v>
      </c>
      <c r="AC362" s="74" t="s">
        <v>9566</v>
      </c>
      <c r="AD362" s="73" t="s">
        <v>9578</v>
      </c>
      <c r="AE362" s="74" t="s">
        <v>9579</v>
      </c>
    </row>
    <row r="363" spans="1:31" ht="8.65" customHeight="1" x14ac:dyDescent="0.2">
      <c r="A363" s="76">
        <v>363</v>
      </c>
      <c r="B363" s="67" t="str">
        <f>MID(C363, FIND("Ifc.", C363) + 4, 4) &amp; "_" &amp; TEXT(COUNTIF($C$2:C363, C363),"0000")</f>
        <v>Prop_0362</v>
      </c>
      <c r="C363" s="24" t="s">
        <v>872</v>
      </c>
      <c r="D363" s="69" t="s">
        <v>9453</v>
      </c>
      <c r="E363" s="70" t="s">
        <v>9454</v>
      </c>
      <c r="F363" s="17" t="s">
        <v>806</v>
      </c>
      <c r="G363" s="22" t="s">
        <v>2516</v>
      </c>
      <c r="H363" s="12" t="s">
        <v>9703</v>
      </c>
      <c r="I363" s="13" t="s">
        <v>7211</v>
      </c>
      <c r="J363" s="14" t="s">
        <v>798</v>
      </c>
      <c r="K363" s="15" t="s">
        <v>798</v>
      </c>
      <c r="L363" s="12" t="s">
        <v>5315</v>
      </c>
      <c r="M363" s="13" t="s">
        <v>5578</v>
      </c>
      <c r="N363" s="12" t="s">
        <v>803</v>
      </c>
      <c r="O363" s="13" t="s">
        <v>5224</v>
      </c>
      <c r="P363" s="17" t="s">
        <v>802</v>
      </c>
      <c r="Q363" s="21" t="s">
        <v>7677</v>
      </c>
      <c r="R363" s="17" t="s">
        <v>801</v>
      </c>
      <c r="S363" s="18" t="s">
        <v>2624</v>
      </c>
      <c r="T363" s="17" t="s">
        <v>800</v>
      </c>
      <c r="U363" s="18" t="s">
        <v>5243</v>
      </c>
      <c r="V363" s="17" t="s">
        <v>9418</v>
      </c>
      <c r="W363" s="18" t="s">
        <v>5309</v>
      </c>
      <c r="X363" s="69" t="s">
        <v>9453</v>
      </c>
      <c r="Y363" s="70" t="s">
        <v>9462</v>
      </c>
      <c r="Z363" s="73" t="s">
        <v>9486</v>
      </c>
      <c r="AA363" s="74" t="s">
        <v>9504</v>
      </c>
      <c r="AB363" s="73" t="s">
        <v>9486</v>
      </c>
      <c r="AC363" s="74" t="s">
        <v>9566</v>
      </c>
      <c r="AD363" s="73" t="s">
        <v>9578</v>
      </c>
      <c r="AE363" s="74" t="s">
        <v>9579</v>
      </c>
    </row>
    <row r="364" spans="1:31" ht="8.65" customHeight="1" x14ac:dyDescent="0.2">
      <c r="A364" s="76">
        <v>364</v>
      </c>
      <c r="B364" s="67" t="str">
        <f>MID(C364, FIND("Ifc.", C364) + 4, 4) &amp; "_" &amp; TEXT(COUNTIF($C$2:C364, C364),"0000")</f>
        <v>Prop_0363</v>
      </c>
      <c r="C364" s="24" t="s">
        <v>872</v>
      </c>
      <c r="D364" s="69" t="s">
        <v>9453</v>
      </c>
      <c r="E364" s="70" t="s">
        <v>9454</v>
      </c>
      <c r="F364" s="17" t="s">
        <v>806</v>
      </c>
      <c r="G364" s="22" t="s">
        <v>1650</v>
      </c>
      <c r="H364" s="12" t="s">
        <v>9703</v>
      </c>
      <c r="I364" s="13" t="s">
        <v>6398</v>
      </c>
      <c r="J364" s="14" t="s">
        <v>798</v>
      </c>
      <c r="K364" s="15" t="s">
        <v>798</v>
      </c>
      <c r="L364" s="12" t="s">
        <v>5315</v>
      </c>
      <c r="M364" s="13" t="s">
        <v>5837</v>
      </c>
      <c r="N364" s="12" t="s">
        <v>803</v>
      </c>
      <c r="O364" s="13" t="s">
        <v>4980</v>
      </c>
      <c r="P364" s="17" t="s">
        <v>802</v>
      </c>
      <c r="Q364" s="21" t="s">
        <v>7844</v>
      </c>
      <c r="R364" s="17" t="s">
        <v>801</v>
      </c>
      <c r="S364" s="18" t="s">
        <v>3636</v>
      </c>
      <c r="T364" s="17" t="s">
        <v>800</v>
      </c>
      <c r="U364" s="18" t="s">
        <v>5257</v>
      </c>
      <c r="V364" s="17" t="s">
        <v>9418</v>
      </c>
      <c r="W364" s="18" t="s">
        <v>5314</v>
      </c>
      <c r="X364" s="69" t="s">
        <v>9453</v>
      </c>
      <c r="Y364" s="70" t="s">
        <v>9464</v>
      </c>
      <c r="Z364" s="73" t="s">
        <v>9486</v>
      </c>
      <c r="AA364" s="74" t="s">
        <v>9504</v>
      </c>
      <c r="AB364" s="73" t="s">
        <v>9486</v>
      </c>
      <c r="AC364" s="74" t="s">
        <v>9561</v>
      </c>
      <c r="AD364" s="73" t="s">
        <v>9578</v>
      </c>
      <c r="AE364" s="74" t="s">
        <v>9579</v>
      </c>
    </row>
    <row r="365" spans="1:31" ht="8.65" customHeight="1" x14ac:dyDescent="0.2">
      <c r="A365" s="76">
        <v>365</v>
      </c>
      <c r="B365" s="67" t="str">
        <f>MID(C365, FIND("Ifc.", C365) + 4, 4) &amp; "_" &amp; TEXT(COUNTIF($C$2:C365, C365),"0000")</f>
        <v>Prop_0364</v>
      </c>
      <c r="C365" s="24" t="s">
        <v>872</v>
      </c>
      <c r="D365" s="69" t="s">
        <v>9453</v>
      </c>
      <c r="E365" s="70" t="s">
        <v>9454</v>
      </c>
      <c r="F365" s="17" t="s">
        <v>806</v>
      </c>
      <c r="G365" s="22" t="s">
        <v>1650</v>
      </c>
      <c r="H365" s="12" t="s">
        <v>9703</v>
      </c>
      <c r="I365" s="13" t="s">
        <v>6398</v>
      </c>
      <c r="J365" s="14" t="s">
        <v>798</v>
      </c>
      <c r="K365" s="15" t="s">
        <v>798</v>
      </c>
      <c r="L365" s="12" t="s">
        <v>5315</v>
      </c>
      <c r="M365" s="13" t="s">
        <v>5841</v>
      </c>
      <c r="N365" s="12" t="s">
        <v>803</v>
      </c>
      <c r="O365" s="13" t="s">
        <v>4986</v>
      </c>
      <c r="P365" s="17" t="s">
        <v>802</v>
      </c>
      <c r="Q365" s="21" t="s">
        <v>7845</v>
      </c>
      <c r="R365" s="17" t="s">
        <v>801</v>
      </c>
      <c r="S365" s="18" t="s">
        <v>3636</v>
      </c>
      <c r="T365" s="17" t="s">
        <v>800</v>
      </c>
      <c r="U365" s="18" t="s">
        <v>5257</v>
      </c>
      <c r="V365" s="17" t="s">
        <v>9418</v>
      </c>
      <c r="W365" s="18" t="s">
        <v>5314</v>
      </c>
      <c r="X365" s="69" t="s">
        <v>9453</v>
      </c>
      <c r="Y365" s="70" t="s">
        <v>9464</v>
      </c>
      <c r="Z365" s="73" t="s">
        <v>9486</v>
      </c>
      <c r="AA365" s="74" t="s">
        <v>9504</v>
      </c>
      <c r="AB365" s="73" t="s">
        <v>9486</v>
      </c>
      <c r="AC365" s="74" t="s">
        <v>9561</v>
      </c>
      <c r="AD365" s="73" t="s">
        <v>9578</v>
      </c>
      <c r="AE365" s="74" t="s">
        <v>9579</v>
      </c>
    </row>
    <row r="366" spans="1:31" ht="8.65" customHeight="1" x14ac:dyDescent="0.2">
      <c r="A366" s="76">
        <v>366</v>
      </c>
      <c r="B366" s="67" t="str">
        <f>MID(C366, FIND("Ifc.", C366) + 4, 4) &amp; "_" &amp; TEXT(COUNTIF($C$2:C366, C366),"0000")</f>
        <v>Prop_0365</v>
      </c>
      <c r="C366" s="24" t="s">
        <v>872</v>
      </c>
      <c r="D366" s="69" t="s">
        <v>9453</v>
      </c>
      <c r="E366" s="70" t="s">
        <v>9454</v>
      </c>
      <c r="F366" s="17" t="s">
        <v>806</v>
      </c>
      <c r="G366" s="22" t="s">
        <v>1652</v>
      </c>
      <c r="H366" s="12" t="s">
        <v>9703</v>
      </c>
      <c r="I366" s="13" t="s">
        <v>6400</v>
      </c>
      <c r="J366" s="14" t="s">
        <v>798</v>
      </c>
      <c r="K366" s="15" t="s">
        <v>798</v>
      </c>
      <c r="L366" s="12" t="s">
        <v>5315</v>
      </c>
      <c r="M366" s="13" t="s">
        <v>5837</v>
      </c>
      <c r="N366" s="12" t="s">
        <v>803</v>
      </c>
      <c r="O366" s="13" t="s">
        <v>4980</v>
      </c>
      <c r="P366" s="17" t="s">
        <v>802</v>
      </c>
      <c r="Q366" s="21" t="s">
        <v>7844</v>
      </c>
      <c r="R366" s="17" t="s">
        <v>801</v>
      </c>
      <c r="S366" s="18" t="s">
        <v>3636</v>
      </c>
      <c r="T366" s="17" t="s">
        <v>800</v>
      </c>
      <c r="U366" s="18" t="s">
        <v>5257</v>
      </c>
      <c r="V366" s="17" t="s">
        <v>9418</v>
      </c>
      <c r="W366" s="18" t="s">
        <v>5314</v>
      </c>
      <c r="X366" s="69" t="s">
        <v>9453</v>
      </c>
      <c r="Y366" s="70" t="s">
        <v>9464</v>
      </c>
      <c r="Z366" s="73" t="s">
        <v>9486</v>
      </c>
      <c r="AA366" s="74" t="s">
        <v>9504</v>
      </c>
      <c r="AB366" s="73" t="s">
        <v>9486</v>
      </c>
      <c r="AC366" s="74" t="s">
        <v>9561</v>
      </c>
      <c r="AD366" s="73" t="s">
        <v>9578</v>
      </c>
      <c r="AE366" s="74" t="s">
        <v>9579</v>
      </c>
    </row>
    <row r="367" spans="1:31" ht="8.65" customHeight="1" x14ac:dyDescent="0.2">
      <c r="A367" s="76">
        <v>367</v>
      </c>
      <c r="B367" s="67" t="str">
        <f>MID(C367, FIND("Ifc.", C367) + 4, 4) &amp; "_" &amp; TEXT(COUNTIF($C$2:C367, C367),"0000")</f>
        <v>Prop_0366</v>
      </c>
      <c r="C367" s="24" t="s">
        <v>872</v>
      </c>
      <c r="D367" s="69" t="s">
        <v>9453</v>
      </c>
      <c r="E367" s="70" t="s">
        <v>9454</v>
      </c>
      <c r="F367" s="17" t="s">
        <v>806</v>
      </c>
      <c r="G367" s="22" t="s">
        <v>1652</v>
      </c>
      <c r="H367" s="12" t="s">
        <v>9703</v>
      </c>
      <c r="I367" s="13" t="s">
        <v>6400</v>
      </c>
      <c r="J367" s="14" t="s">
        <v>798</v>
      </c>
      <c r="K367" s="15" t="s">
        <v>798</v>
      </c>
      <c r="L367" s="12" t="s">
        <v>5315</v>
      </c>
      <c r="M367" s="13" t="s">
        <v>5841</v>
      </c>
      <c r="N367" s="12" t="s">
        <v>803</v>
      </c>
      <c r="O367" s="13" t="s">
        <v>4986</v>
      </c>
      <c r="P367" s="17" t="s">
        <v>802</v>
      </c>
      <c r="Q367" s="21" t="s">
        <v>7845</v>
      </c>
      <c r="R367" s="17" t="s">
        <v>801</v>
      </c>
      <c r="S367" s="18" t="s">
        <v>3636</v>
      </c>
      <c r="T367" s="17" t="s">
        <v>800</v>
      </c>
      <c r="U367" s="18" t="s">
        <v>5257</v>
      </c>
      <c r="V367" s="17" t="s">
        <v>9418</v>
      </c>
      <c r="W367" s="18" t="s">
        <v>5314</v>
      </c>
      <c r="X367" s="69" t="s">
        <v>9453</v>
      </c>
      <c r="Y367" s="70" t="s">
        <v>9464</v>
      </c>
      <c r="Z367" s="73" t="s">
        <v>9486</v>
      </c>
      <c r="AA367" s="74" t="s">
        <v>9504</v>
      </c>
      <c r="AB367" s="73" t="s">
        <v>9486</v>
      </c>
      <c r="AC367" s="74" t="s">
        <v>9561</v>
      </c>
      <c r="AD367" s="73" t="s">
        <v>9578</v>
      </c>
      <c r="AE367" s="74" t="s">
        <v>9579</v>
      </c>
    </row>
    <row r="368" spans="1:31" ht="8.65" customHeight="1" x14ac:dyDescent="0.2">
      <c r="A368" s="76">
        <v>368</v>
      </c>
      <c r="B368" s="67" t="str">
        <f>MID(C368, FIND("Ifc.", C368) + 4, 4) &amp; "_" &amp; TEXT(COUNTIF($C$2:C368, C368),"0000")</f>
        <v>Prop_0367</v>
      </c>
      <c r="C368" s="24" t="s">
        <v>872</v>
      </c>
      <c r="D368" s="69" t="s">
        <v>9453</v>
      </c>
      <c r="E368" s="70" t="s">
        <v>9454</v>
      </c>
      <c r="F368" s="17" t="s">
        <v>806</v>
      </c>
      <c r="G368" s="22" t="s">
        <v>1583</v>
      </c>
      <c r="H368" s="12" t="s">
        <v>9703</v>
      </c>
      <c r="I368" s="13" t="s">
        <v>6424</v>
      </c>
      <c r="J368" s="14" t="s">
        <v>798</v>
      </c>
      <c r="K368" s="15" t="s">
        <v>798</v>
      </c>
      <c r="L368" s="12" t="s">
        <v>5315</v>
      </c>
      <c r="M368" s="13" t="s">
        <v>5897</v>
      </c>
      <c r="N368" s="12" t="s">
        <v>803</v>
      </c>
      <c r="O368" s="13" t="s">
        <v>4966</v>
      </c>
      <c r="P368" s="17" t="s">
        <v>802</v>
      </c>
      <c r="Q368" s="21" t="s">
        <v>7800</v>
      </c>
      <c r="R368" s="17" t="s">
        <v>801</v>
      </c>
      <c r="S368" s="18" t="s">
        <v>3636</v>
      </c>
      <c r="T368" s="17" t="s">
        <v>800</v>
      </c>
      <c r="U368" s="18" t="s">
        <v>5257</v>
      </c>
      <c r="V368" s="17" t="s">
        <v>9418</v>
      </c>
      <c r="W368" s="18" t="s">
        <v>5314</v>
      </c>
      <c r="X368" s="69" t="s">
        <v>9453</v>
      </c>
      <c r="Y368" s="70" t="s">
        <v>9464</v>
      </c>
      <c r="Z368" s="73" t="s">
        <v>9486</v>
      </c>
      <c r="AA368" s="74" t="s">
        <v>9504</v>
      </c>
      <c r="AB368" s="73" t="s">
        <v>9486</v>
      </c>
      <c r="AC368" s="74" t="s">
        <v>9561</v>
      </c>
      <c r="AD368" s="73" t="s">
        <v>9578</v>
      </c>
      <c r="AE368" s="74" t="s">
        <v>9579</v>
      </c>
    </row>
    <row r="369" spans="1:31" ht="8.65" customHeight="1" x14ac:dyDescent="0.2">
      <c r="A369" s="76">
        <v>369</v>
      </c>
      <c r="B369" s="67" t="str">
        <f>MID(C369, FIND("Ifc.", C369) + 4, 4) &amp; "_" &amp; TEXT(COUNTIF($C$2:C369, C369),"0000")</f>
        <v>Prop_0368</v>
      </c>
      <c r="C369" s="24" t="s">
        <v>872</v>
      </c>
      <c r="D369" s="69" t="s">
        <v>9453</v>
      </c>
      <c r="E369" s="70" t="s">
        <v>9454</v>
      </c>
      <c r="F369" s="17" t="s">
        <v>806</v>
      </c>
      <c r="G369" s="22" t="s">
        <v>1144</v>
      </c>
      <c r="H369" s="12" t="s">
        <v>9703</v>
      </c>
      <c r="I369" s="13" t="s">
        <v>6185</v>
      </c>
      <c r="J369" s="14" t="s">
        <v>798</v>
      </c>
      <c r="K369" s="15" t="s">
        <v>798</v>
      </c>
      <c r="L369" s="12" t="s">
        <v>5315</v>
      </c>
      <c r="M369" s="13" t="s">
        <v>6042</v>
      </c>
      <c r="N369" s="12" t="s">
        <v>803</v>
      </c>
      <c r="O369" s="13" t="s">
        <v>4863</v>
      </c>
      <c r="P369" s="17" t="s">
        <v>802</v>
      </c>
      <c r="Q369" s="21" t="s">
        <v>7759</v>
      </c>
      <c r="R369" s="17" t="s">
        <v>801</v>
      </c>
      <c r="S369" s="18" t="s">
        <v>2635</v>
      </c>
      <c r="T369" s="17" t="s">
        <v>800</v>
      </c>
      <c r="U369" s="18" t="s">
        <v>5235</v>
      </c>
      <c r="V369" s="17" t="s">
        <v>9418</v>
      </c>
      <c r="W369" s="18" t="s">
        <v>5309</v>
      </c>
      <c r="X369" s="69" t="s">
        <v>9453</v>
      </c>
      <c r="Y369" s="70" t="s">
        <v>9462</v>
      </c>
      <c r="Z369" s="73" t="s">
        <v>9486</v>
      </c>
      <c r="AA369" s="74" t="s">
        <v>9504</v>
      </c>
      <c r="AB369" s="73" t="s">
        <v>9486</v>
      </c>
      <c r="AC369" s="74" t="s">
        <v>9566</v>
      </c>
      <c r="AD369" s="73" t="s">
        <v>9578</v>
      </c>
      <c r="AE369" s="74" t="s">
        <v>9579</v>
      </c>
    </row>
    <row r="370" spans="1:31" ht="8.65" customHeight="1" x14ac:dyDescent="0.2">
      <c r="A370" s="76">
        <v>370</v>
      </c>
      <c r="B370" s="67" t="str">
        <f>MID(C370, FIND("Ifc.", C370) + 4, 4) &amp; "_" &amp; TEXT(COUNTIF($C$2:C370, C370),"0000")</f>
        <v>Prop_0369</v>
      </c>
      <c r="C370" s="24" t="s">
        <v>872</v>
      </c>
      <c r="D370" s="69" t="s">
        <v>9453</v>
      </c>
      <c r="E370" s="70" t="s">
        <v>9454</v>
      </c>
      <c r="F370" s="17" t="s">
        <v>806</v>
      </c>
      <c r="G370" s="22" t="s">
        <v>1144</v>
      </c>
      <c r="H370" s="12" t="s">
        <v>9703</v>
      </c>
      <c r="I370" s="13" t="s">
        <v>6185</v>
      </c>
      <c r="J370" s="14" t="s">
        <v>798</v>
      </c>
      <c r="K370" s="15" t="s">
        <v>798</v>
      </c>
      <c r="L370" s="12" t="s">
        <v>5315</v>
      </c>
      <c r="M370" s="13" t="s">
        <v>5432</v>
      </c>
      <c r="N370" s="12" t="s">
        <v>803</v>
      </c>
      <c r="O370" s="13" t="s">
        <v>4931</v>
      </c>
      <c r="P370" s="17" t="s">
        <v>802</v>
      </c>
      <c r="Q370" s="21" t="s">
        <v>7760</v>
      </c>
      <c r="R370" s="17" t="s">
        <v>801</v>
      </c>
      <c r="S370" s="18" t="s">
        <v>2635</v>
      </c>
      <c r="T370" s="17" t="s">
        <v>800</v>
      </c>
      <c r="U370" s="18" t="s">
        <v>5235</v>
      </c>
      <c r="V370" s="17" t="s">
        <v>9418</v>
      </c>
      <c r="W370" s="18" t="s">
        <v>5309</v>
      </c>
      <c r="X370" s="69" t="s">
        <v>9453</v>
      </c>
      <c r="Y370" s="70" t="s">
        <v>9462</v>
      </c>
      <c r="Z370" s="73" t="s">
        <v>9486</v>
      </c>
      <c r="AA370" s="74" t="s">
        <v>9504</v>
      </c>
      <c r="AB370" s="73" t="s">
        <v>9486</v>
      </c>
      <c r="AC370" s="74" t="s">
        <v>9566</v>
      </c>
      <c r="AD370" s="73" t="s">
        <v>9578</v>
      </c>
      <c r="AE370" s="74" t="s">
        <v>9579</v>
      </c>
    </row>
    <row r="371" spans="1:31" ht="8.65" customHeight="1" x14ac:dyDescent="0.2">
      <c r="A371" s="76">
        <v>371</v>
      </c>
      <c r="B371" s="67" t="str">
        <f>MID(C371, FIND("Ifc.", C371) + 4, 4) &amp; "_" &amp; TEXT(COUNTIF($C$2:C371, C371),"0000")</f>
        <v>Prop_0370</v>
      </c>
      <c r="C371" s="24" t="s">
        <v>872</v>
      </c>
      <c r="D371" s="69" t="s">
        <v>9453</v>
      </c>
      <c r="E371" s="70" t="s">
        <v>9454</v>
      </c>
      <c r="F371" s="17" t="s">
        <v>806</v>
      </c>
      <c r="G371" s="22" t="s">
        <v>1905</v>
      </c>
      <c r="H371" s="12" t="s">
        <v>9703</v>
      </c>
      <c r="I371" s="13" t="s">
        <v>7212</v>
      </c>
      <c r="J371" s="14" t="s">
        <v>798</v>
      </c>
      <c r="K371" s="15" t="s">
        <v>798</v>
      </c>
      <c r="L371" s="12" t="s">
        <v>5315</v>
      </c>
      <c r="M371" s="13" t="s">
        <v>5465</v>
      </c>
      <c r="N371" s="12" t="s">
        <v>803</v>
      </c>
      <c r="O371" s="13" t="s">
        <v>5052</v>
      </c>
      <c r="P371" s="17" t="s">
        <v>802</v>
      </c>
      <c r="Q371" s="21" t="s">
        <v>7846</v>
      </c>
      <c r="R371" s="17" t="s">
        <v>801</v>
      </c>
      <c r="S371" s="18" t="s">
        <v>2560</v>
      </c>
      <c r="T371" s="17" t="s">
        <v>800</v>
      </c>
      <c r="U371" s="18" t="s">
        <v>5236</v>
      </c>
      <c r="V371" s="17" t="s">
        <v>9418</v>
      </c>
      <c r="W371" s="18" t="s">
        <v>5309</v>
      </c>
      <c r="X371" s="69" t="s">
        <v>9453</v>
      </c>
      <c r="Y371" s="70" t="s">
        <v>9462</v>
      </c>
      <c r="Z371" s="73" t="s">
        <v>9486</v>
      </c>
      <c r="AA371" s="74" t="s">
        <v>9504</v>
      </c>
      <c r="AB371" s="73" t="s">
        <v>9486</v>
      </c>
      <c r="AC371" s="74" t="s">
        <v>9562</v>
      </c>
      <c r="AD371" s="73" t="s">
        <v>9578</v>
      </c>
      <c r="AE371" s="74" t="s">
        <v>9579</v>
      </c>
    </row>
    <row r="372" spans="1:31" ht="8.65" customHeight="1" x14ac:dyDescent="0.2">
      <c r="A372" s="76">
        <v>372</v>
      </c>
      <c r="B372" s="67" t="str">
        <f>MID(C372, FIND("Ifc.", C372) + 4, 4) &amp; "_" &amp; TEXT(COUNTIF($C$2:C372, C372),"0000")</f>
        <v>Prop_0371</v>
      </c>
      <c r="C372" s="24" t="s">
        <v>872</v>
      </c>
      <c r="D372" s="69" t="s">
        <v>9453</v>
      </c>
      <c r="E372" s="70" t="s">
        <v>9454</v>
      </c>
      <c r="F372" s="17" t="s">
        <v>806</v>
      </c>
      <c r="G372" s="22" t="s">
        <v>1101</v>
      </c>
      <c r="H372" s="12" t="s">
        <v>9703</v>
      </c>
      <c r="I372" s="13" t="s">
        <v>6151</v>
      </c>
      <c r="J372" s="14" t="s">
        <v>798</v>
      </c>
      <c r="K372" s="15" t="s">
        <v>798</v>
      </c>
      <c r="L372" s="12" t="s">
        <v>5315</v>
      </c>
      <c r="M372" s="13" t="s">
        <v>5424</v>
      </c>
      <c r="N372" s="12" t="s">
        <v>803</v>
      </c>
      <c r="O372" s="13" t="s">
        <v>4854</v>
      </c>
      <c r="P372" s="17" t="s">
        <v>802</v>
      </c>
      <c r="Q372" s="21" t="s">
        <v>7825</v>
      </c>
      <c r="R372" s="17" t="s">
        <v>801</v>
      </c>
      <c r="S372" s="18" t="s">
        <v>2560</v>
      </c>
      <c r="T372" s="17" t="s">
        <v>800</v>
      </c>
      <c r="U372" s="18" t="s">
        <v>5236</v>
      </c>
      <c r="V372" s="17" t="s">
        <v>9418</v>
      </c>
      <c r="W372" s="18" t="s">
        <v>5309</v>
      </c>
      <c r="X372" s="69" t="s">
        <v>9453</v>
      </c>
      <c r="Y372" s="70" t="s">
        <v>9462</v>
      </c>
      <c r="Z372" s="73" t="s">
        <v>9486</v>
      </c>
      <c r="AA372" s="74" t="s">
        <v>9504</v>
      </c>
      <c r="AB372" s="73" t="s">
        <v>9486</v>
      </c>
      <c r="AC372" s="74" t="s">
        <v>9562</v>
      </c>
      <c r="AD372" s="73" t="s">
        <v>9578</v>
      </c>
      <c r="AE372" s="74" t="s">
        <v>9579</v>
      </c>
    </row>
    <row r="373" spans="1:31" ht="8.65" customHeight="1" x14ac:dyDescent="0.2">
      <c r="A373" s="76">
        <v>373</v>
      </c>
      <c r="B373" s="67" t="str">
        <f>MID(C373, FIND("Ifc.", C373) + 4, 4) &amp; "_" &amp; TEXT(COUNTIF($C$2:C373, C373),"0000")</f>
        <v>Prop_0372</v>
      </c>
      <c r="C373" s="24" t="s">
        <v>872</v>
      </c>
      <c r="D373" s="69" t="s">
        <v>9453</v>
      </c>
      <c r="E373" s="70" t="s">
        <v>9454</v>
      </c>
      <c r="F373" s="17" t="s">
        <v>806</v>
      </c>
      <c r="G373" s="22" t="s">
        <v>1606</v>
      </c>
      <c r="H373" s="12" t="s">
        <v>9703</v>
      </c>
      <c r="I373" s="13" t="s">
        <v>6070</v>
      </c>
      <c r="J373" s="14" t="s">
        <v>798</v>
      </c>
      <c r="K373" s="15" t="s">
        <v>798</v>
      </c>
      <c r="L373" s="12" t="s">
        <v>5315</v>
      </c>
      <c r="M373" s="13" t="s">
        <v>5448</v>
      </c>
      <c r="N373" s="12" t="s">
        <v>803</v>
      </c>
      <c r="O373" s="13" t="s">
        <v>4970</v>
      </c>
      <c r="P373" s="17" t="s">
        <v>802</v>
      </c>
      <c r="Q373" s="21" t="s">
        <v>7695</v>
      </c>
      <c r="R373" s="17" t="s">
        <v>801</v>
      </c>
      <c r="S373" s="18" t="s">
        <v>3636</v>
      </c>
      <c r="T373" s="17" t="s">
        <v>800</v>
      </c>
      <c r="U373" s="18" t="s">
        <v>5257</v>
      </c>
      <c r="V373" s="17" t="s">
        <v>9418</v>
      </c>
      <c r="W373" s="18" t="s">
        <v>5314</v>
      </c>
      <c r="X373" s="69" t="s">
        <v>9453</v>
      </c>
      <c r="Y373" s="70" t="s">
        <v>9464</v>
      </c>
      <c r="Z373" s="73" t="s">
        <v>9486</v>
      </c>
      <c r="AA373" s="74" t="s">
        <v>9504</v>
      </c>
      <c r="AB373" s="73" t="s">
        <v>9486</v>
      </c>
      <c r="AC373" s="74" t="s">
        <v>9561</v>
      </c>
      <c r="AD373" s="73" t="s">
        <v>9578</v>
      </c>
      <c r="AE373" s="74" t="s">
        <v>9579</v>
      </c>
    </row>
    <row r="374" spans="1:31" ht="8.65" customHeight="1" x14ac:dyDescent="0.2">
      <c r="A374" s="76">
        <v>374</v>
      </c>
      <c r="B374" s="67" t="str">
        <f>MID(C374, FIND("Ifc.", C374) + 4, 4) &amp; "_" &amp; TEXT(COUNTIF($C$2:C374, C374),"0000")</f>
        <v>Prop_0373</v>
      </c>
      <c r="C374" s="24" t="s">
        <v>872</v>
      </c>
      <c r="D374" s="69" t="s">
        <v>9453</v>
      </c>
      <c r="E374" s="70" t="s">
        <v>9454</v>
      </c>
      <c r="F374" s="17" t="s">
        <v>806</v>
      </c>
      <c r="G374" s="22" t="s">
        <v>1974</v>
      </c>
      <c r="H374" s="12" t="s">
        <v>9703</v>
      </c>
      <c r="I374" s="13" t="s">
        <v>7645</v>
      </c>
      <c r="J374" s="14" t="s">
        <v>798</v>
      </c>
      <c r="K374" s="15" t="s">
        <v>798</v>
      </c>
      <c r="L374" s="12" t="s">
        <v>5315</v>
      </c>
      <c r="M374" s="13" t="s">
        <v>5854</v>
      </c>
      <c r="N374" s="12" t="s">
        <v>803</v>
      </c>
      <c r="O374" s="13" t="s">
        <v>5072</v>
      </c>
      <c r="P374" s="17" t="s">
        <v>802</v>
      </c>
      <c r="Q374" s="21" t="s">
        <v>7847</v>
      </c>
      <c r="R374" s="17" t="s">
        <v>801</v>
      </c>
      <c r="S374" s="18" t="s">
        <v>2669</v>
      </c>
      <c r="T374" s="17" t="s">
        <v>800</v>
      </c>
      <c r="U374" s="18" t="s">
        <v>5237</v>
      </c>
      <c r="V374" s="17" t="s">
        <v>9418</v>
      </c>
      <c r="W374" s="18" t="s">
        <v>5309</v>
      </c>
      <c r="X374" s="69" t="s">
        <v>9453</v>
      </c>
      <c r="Y374" s="70" t="s">
        <v>9462</v>
      </c>
      <c r="Z374" s="73" t="s">
        <v>9486</v>
      </c>
      <c r="AA374" s="74" t="s">
        <v>9504</v>
      </c>
      <c r="AB374" s="73" t="s">
        <v>9486</v>
      </c>
      <c r="AC374" s="74" t="s">
        <v>9562</v>
      </c>
      <c r="AD374" s="73" t="s">
        <v>9578</v>
      </c>
      <c r="AE374" s="74" t="s">
        <v>9579</v>
      </c>
    </row>
    <row r="375" spans="1:31" ht="8.65" customHeight="1" x14ac:dyDescent="0.2">
      <c r="A375" s="76">
        <v>375</v>
      </c>
      <c r="B375" s="67" t="str">
        <f>MID(C375, FIND("Ifc.", C375) + 4, 4) &amp; "_" &amp; TEXT(COUNTIF($C$2:C375, C375),"0000")</f>
        <v>Prop_0374</v>
      </c>
      <c r="C375" s="24" t="s">
        <v>872</v>
      </c>
      <c r="D375" s="69" t="s">
        <v>9453</v>
      </c>
      <c r="E375" s="70" t="s">
        <v>9454</v>
      </c>
      <c r="F375" s="17" t="s">
        <v>806</v>
      </c>
      <c r="G375" s="22" t="s">
        <v>1974</v>
      </c>
      <c r="H375" s="12" t="s">
        <v>9703</v>
      </c>
      <c r="I375" s="13" t="s">
        <v>7645</v>
      </c>
      <c r="J375" s="14" t="s">
        <v>798</v>
      </c>
      <c r="K375" s="15" t="s">
        <v>798</v>
      </c>
      <c r="L375" s="12" t="s">
        <v>5315</v>
      </c>
      <c r="M375" s="13" t="s">
        <v>5475</v>
      </c>
      <c r="N375" s="12" t="s">
        <v>803</v>
      </c>
      <c r="O375" s="13" t="s">
        <v>5074</v>
      </c>
      <c r="P375" s="17" t="s">
        <v>802</v>
      </c>
      <c r="Q375" s="21" t="s">
        <v>7848</v>
      </c>
      <c r="R375" s="17" t="s">
        <v>801</v>
      </c>
      <c r="S375" s="18" t="s">
        <v>2669</v>
      </c>
      <c r="T375" s="17" t="s">
        <v>800</v>
      </c>
      <c r="U375" s="18" t="s">
        <v>5237</v>
      </c>
      <c r="V375" s="17" t="s">
        <v>9418</v>
      </c>
      <c r="W375" s="18" t="s">
        <v>5309</v>
      </c>
      <c r="X375" s="69" t="s">
        <v>9453</v>
      </c>
      <c r="Y375" s="70" t="s">
        <v>9462</v>
      </c>
      <c r="Z375" s="73" t="s">
        <v>9486</v>
      </c>
      <c r="AA375" s="74" t="s">
        <v>9504</v>
      </c>
      <c r="AB375" s="73" t="s">
        <v>9486</v>
      </c>
      <c r="AC375" s="74" t="s">
        <v>9562</v>
      </c>
      <c r="AD375" s="73" t="s">
        <v>9578</v>
      </c>
      <c r="AE375" s="74" t="s">
        <v>9579</v>
      </c>
    </row>
    <row r="376" spans="1:31" ht="8.65" customHeight="1" x14ac:dyDescent="0.2">
      <c r="A376" s="76">
        <v>376</v>
      </c>
      <c r="B376" s="67" t="str">
        <f>MID(C376, FIND("Ifc.", C376) + 4, 4) &amp; "_" &amp; TEXT(COUNTIF($C$2:C376, C376),"0000")</f>
        <v>Prop_0375</v>
      </c>
      <c r="C376" s="24" t="s">
        <v>872</v>
      </c>
      <c r="D376" s="69" t="s">
        <v>9453</v>
      </c>
      <c r="E376" s="70" t="s">
        <v>9454</v>
      </c>
      <c r="F376" s="17" t="s">
        <v>806</v>
      </c>
      <c r="G376" s="22" t="s">
        <v>1994</v>
      </c>
      <c r="H376" s="12" t="s">
        <v>9703</v>
      </c>
      <c r="I376" s="13" t="s">
        <v>6604</v>
      </c>
      <c r="J376" s="14" t="s">
        <v>798</v>
      </c>
      <c r="K376" s="15" t="s">
        <v>798</v>
      </c>
      <c r="L376" s="12" t="s">
        <v>5315</v>
      </c>
      <c r="M376" s="13" t="s">
        <v>5477</v>
      </c>
      <c r="N376" s="12" t="s">
        <v>803</v>
      </c>
      <c r="O376" s="13" t="s">
        <v>5081</v>
      </c>
      <c r="P376" s="17" t="s">
        <v>802</v>
      </c>
      <c r="Q376" s="21" t="s">
        <v>7807</v>
      </c>
      <c r="R376" s="17" t="s">
        <v>801</v>
      </c>
      <c r="S376" s="18" t="s">
        <v>2560</v>
      </c>
      <c r="T376" s="17" t="s">
        <v>800</v>
      </c>
      <c r="U376" s="18" t="s">
        <v>5236</v>
      </c>
      <c r="V376" s="17" t="s">
        <v>9418</v>
      </c>
      <c r="W376" s="18" t="s">
        <v>5309</v>
      </c>
      <c r="X376" s="69" t="s">
        <v>9453</v>
      </c>
      <c r="Y376" s="70" t="s">
        <v>9462</v>
      </c>
      <c r="Z376" s="73" t="s">
        <v>9486</v>
      </c>
      <c r="AA376" s="74" t="s">
        <v>9504</v>
      </c>
      <c r="AB376" s="73" t="s">
        <v>9486</v>
      </c>
      <c r="AC376" s="74" t="s">
        <v>9562</v>
      </c>
      <c r="AD376" s="73" t="s">
        <v>9578</v>
      </c>
      <c r="AE376" s="74" t="s">
        <v>9579</v>
      </c>
    </row>
    <row r="377" spans="1:31" ht="8.65" customHeight="1" x14ac:dyDescent="0.2">
      <c r="A377" s="76">
        <v>377</v>
      </c>
      <c r="B377" s="67" t="str">
        <f>MID(C377, FIND("Ifc.", C377) + 4, 4) &amp; "_" &amp; TEXT(COUNTIF($C$2:C377, C377),"0000")</f>
        <v>Prop_0376</v>
      </c>
      <c r="C377" s="24" t="s">
        <v>872</v>
      </c>
      <c r="D377" s="69" t="s">
        <v>9453</v>
      </c>
      <c r="E377" s="70" t="s">
        <v>9454</v>
      </c>
      <c r="F377" s="17" t="s">
        <v>806</v>
      </c>
      <c r="G377" s="22" t="s">
        <v>1994</v>
      </c>
      <c r="H377" s="12" t="s">
        <v>9703</v>
      </c>
      <c r="I377" s="13" t="s">
        <v>6604</v>
      </c>
      <c r="J377" s="14" t="s">
        <v>798</v>
      </c>
      <c r="K377" s="15" t="s">
        <v>798</v>
      </c>
      <c r="L377" s="12" t="s">
        <v>5315</v>
      </c>
      <c r="M377" s="13" t="s">
        <v>5556</v>
      </c>
      <c r="N377" s="12" t="s">
        <v>803</v>
      </c>
      <c r="O377" s="13" t="s">
        <v>5169</v>
      </c>
      <c r="P377" s="17" t="s">
        <v>802</v>
      </c>
      <c r="Q377" s="21" t="s">
        <v>7728</v>
      </c>
      <c r="R377" s="17" t="s">
        <v>801</v>
      </c>
      <c r="S377" s="18" t="s">
        <v>2560</v>
      </c>
      <c r="T377" s="17" t="s">
        <v>800</v>
      </c>
      <c r="U377" s="18" t="s">
        <v>5236</v>
      </c>
      <c r="V377" s="17" t="s">
        <v>9418</v>
      </c>
      <c r="W377" s="18" t="s">
        <v>5309</v>
      </c>
      <c r="X377" s="69" t="s">
        <v>9453</v>
      </c>
      <c r="Y377" s="70" t="s">
        <v>9462</v>
      </c>
      <c r="Z377" s="73" t="s">
        <v>9486</v>
      </c>
      <c r="AA377" s="74" t="s">
        <v>9504</v>
      </c>
      <c r="AB377" s="73" t="s">
        <v>9486</v>
      </c>
      <c r="AC377" s="74" t="s">
        <v>9562</v>
      </c>
      <c r="AD377" s="73" t="s">
        <v>9578</v>
      </c>
      <c r="AE377" s="74" t="s">
        <v>9579</v>
      </c>
    </row>
    <row r="378" spans="1:31" ht="8.65" customHeight="1" x14ac:dyDescent="0.2">
      <c r="A378" s="76">
        <v>378</v>
      </c>
      <c r="B378" s="67" t="str">
        <f>MID(C378, FIND("Ifc.", C378) + 4, 4) &amp; "_" &amp; TEXT(COUNTIF($C$2:C378, C378),"0000")</f>
        <v>Prop_0377</v>
      </c>
      <c r="C378" s="24" t="s">
        <v>872</v>
      </c>
      <c r="D378" s="69" t="s">
        <v>9453</v>
      </c>
      <c r="E378" s="70" t="s">
        <v>9454</v>
      </c>
      <c r="F378" s="17" t="s">
        <v>806</v>
      </c>
      <c r="G378" s="22" t="s">
        <v>1936</v>
      </c>
      <c r="H378" s="12" t="s">
        <v>9703</v>
      </c>
      <c r="I378" s="13" t="s">
        <v>6919</v>
      </c>
      <c r="J378" s="14" t="s">
        <v>798</v>
      </c>
      <c r="K378" s="15" t="s">
        <v>798</v>
      </c>
      <c r="L378" s="12" t="s">
        <v>5315</v>
      </c>
      <c r="M378" s="13" t="s">
        <v>5470</v>
      </c>
      <c r="N378" s="12" t="s">
        <v>803</v>
      </c>
      <c r="O378" s="13" t="s">
        <v>5062</v>
      </c>
      <c r="P378" s="17" t="s">
        <v>802</v>
      </c>
      <c r="Q378" s="21" t="s">
        <v>7849</v>
      </c>
      <c r="R378" s="17" t="s">
        <v>801</v>
      </c>
      <c r="S378" s="18" t="s">
        <v>2554</v>
      </c>
      <c r="T378" s="17" t="s">
        <v>800</v>
      </c>
      <c r="U378" s="18" t="s">
        <v>5233</v>
      </c>
      <c r="V378" s="17" t="s">
        <v>9418</v>
      </c>
      <c r="W378" s="18" t="s">
        <v>5310</v>
      </c>
      <c r="X378" s="69" t="s">
        <v>9453</v>
      </c>
      <c r="Y378" s="70" t="s">
        <v>9463</v>
      </c>
      <c r="Z378" s="73" t="s">
        <v>9486</v>
      </c>
      <c r="AA378" s="74" t="s">
        <v>9504</v>
      </c>
      <c r="AB378" s="73" t="s">
        <v>9486</v>
      </c>
      <c r="AC378" s="74" t="s">
        <v>9562</v>
      </c>
      <c r="AD378" s="73" t="s">
        <v>9578</v>
      </c>
      <c r="AE378" s="74" t="s">
        <v>9579</v>
      </c>
    </row>
    <row r="379" spans="1:31" ht="8.65" customHeight="1" x14ac:dyDescent="0.2">
      <c r="A379" s="76">
        <v>379</v>
      </c>
      <c r="B379" s="67" t="str">
        <f>MID(C379, FIND("Ifc.", C379) + 4, 4) &amp; "_" &amp; TEXT(COUNTIF($C$2:C379, C379),"0000")</f>
        <v>Prop_0378</v>
      </c>
      <c r="C379" s="24" t="s">
        <v>872</v>
      </c>
      <c r="D379" s="69" t="s">
        <v>9453</v>
      </c>
      <c r="E379" s="70" t="s">
        <v>9454</v>
      </c>
      <c r="F379" s="17" t="s">
        <v>806</v>
      </c>
      <c r="G379" s="22" t="s">
        <v>1773</v>
      </c>
      <c r="H379" s="12" t="s">
        <v>9703</v>
      </c>
      <c r="I379" s="13" t="s">
        <v>6910</v>
      </c>
      <c r="J379" s="14" t="s">
        <v>798</v>
      </c>
      <c r="K379" s="15" t="s">
        <v>798</v>
      </c>
      <c r="L379" s="12" t="s">
        <v>5315</v>
      </c>
      <c r="M379" s="13" t="s">
        <v>5453</v>
      </c>
      <c r="N379" s="12" t="s">
        <v>803</v>
      </c>
      <c r="O379" s="13" t="s">
        <v>5015</v>
      </c>
      <c r="P379" s="17" t="s">
        <v>802</v>
      </c>
      <c r="Q379" s="21" t="s">
        <v>7712</v>
      </c>
      <c r="R379" s="17" t="s">
        <v>801</v>
      </c>
      <c r="S379" s="18" t="s">
        <v>2623</v>
      </c>
      <c r="T379" s="17" t="s">
        <v>800</v>
      </c>
      <c r="U379" s="18" t="s">
        <v>5247</v>
      </c>
      <c r="V379" s="17" t="s">
        <v>9418</v>
      </c>
      <c r="W379" s="18" t="s">
        <v>5309</v>
      </c>
      <c r="X379" s="69" t="s">
        <v>9453</v>
      </c>
      <c r="Y379" s="70" t="s">
        <v>9462</v>
      </c>
      <c r="Z379" s="73" t="s">
        <v>9486</v>
      </c>
      <c r="AA379" s="74" t="s">
        <v>9504</v>
      </c>
      <c r="AB379" s="73" t="s">
        <v>9486</v>
      </c>
      <c r="AC379" s="74" t="s">
        <v>9566</v>
      </c>
      <c r="AD379" s="73" t="s">
        <v>9578</v>
      </c>
      <c r="AE379" s="74" t="s">
        <v>9579</v>
      </c>
    </row>
    <row r="380" spans="1:31" ht="8.65" customHeight="1" x14ac:dyDescent="0.2">
      <c r="A380" s="76">
        <v>380</v>
      </c>
      <c r="B380" s="67" t="str">
        <f>MID(C380, FIND("Ifc.", C380) + 4, 4) &amp; "_" &amp; TEXT(COUNTIF($C$2:C380, C380),"0000")</f>
        <v>Prop_0379</v>
      </c>
      <c r="C380" s="24" t="s">
        <v>872</v>
      </c>
      <c r="D380" s="69" t="s">
        <v>9453</v>
      </c>
      <c r="E380" s="70" t="s">
        <v>9454</v>
      </c>
      <c r="F380" s="17" t="s">
        <v>806</v>
      </c>
      <c r="G380" s="22" t="s">
        <v>1469</v>
      </c>
      <c r="H380" s="12" t="s">
        <v>9703</v>
      </c>
      <c r="I380" s="13" t="s">
        <v>6877</v>
      </c>
      <c r="J380" s="14" t="s">
        <v>798</v>
      </c>
      <c r="K380" s="15" t="s">
        <v>798</v>
      </c>
      <c r="L380" s="12" t="s">
        <v>5315</v>
      </c>
      <c r="M380" s="13" t="s">
        <v>5827</v>
      </c>
      <c r="N380" s="12" t="s">
        <v>803</v>
      </c>
      <c r="O380" s="13" t="s">
        <v>4943</v>
      </c>
      <c r="P380" s="17" t="s">
        <v>802</v>
      </c>
      <c r="Q380" s="21" t="s">
        <v>7850</v>
      </c>
      <c r="R380" s="17" t="s">
        <v>801</v>
      </c>
      <c r="S380" s="18" t="s">
        <v>2585</v>
      </c>
      <c r="T380" s="17" t="s">
        <v>800</v>
      </c>
      <c r="U380" s="18" t="s">
        <v>5238</v>
      </c>
      <c r="V380" s="17" t="s">
        <v>9418</v>
      </c>
      <c r="W380" s="18" t="s">
        <v>5309</v>
      </c>
      <c r="X380" s="69" t="s">
        <v>9453</v>
      </c>
      <c r="Y380" s="70" t="s">
        <v>9462</v>
      </c>
      <c r="Z380" s="73" t="s">
        <v>9486</v>
      </c>
      <c r="AA380" s="74" t="s">
        <v>9504</v>
      </c>
      <c r="AB380" s="73" t="s">
        <v>9486</v>
      </c>
      <c r="AC380" s="74" t="s">
        <v>9566</v>
      </c>
      <c r="AD380" s="73" t="s">
        <v>9578</v>
      </c>
      <c r="AE380" s="74" t="s">
        <v>9579</v>
      </c>
    </row>
    <row r="381" spans="1:31" ht="8.65" customHeight="1" x14ac:dyDescent="0.2">
      <c r="A381" s="76">
        <v>381</v>
      </c>
      <c r="B381" s="67" t="str">
        <f>MID(C381, FIND("Ifc.", C381) + 4, 4) &amp; "_" &amp; TEXT(COUNTIF($C$2:C381, C381),"0000")</f>
        <v>Prop_0380</v>
      </c>
      <c r="C381" s="24" t="s">
        <v>872</v>
      </c>
      <c r="D381" s="69" t="s">
        <v>9453</v>
      </c>
      <c r="E381" s="70" t="s">
        <v>9454</v>
      </c>
      <c r="F381" s="17" t="s">
        <v>806</v>
      </c>
      <c r="G381" s="22" t="s">
        <v>1032</v>
      </c>
      <c r="H381" s="12" t="s">
        <v>9703</v>
      </c>
      <c r="I381" s="13" t="s">
        <v>7112</v>
      </c>
      <c r="J381" s="14" t="s">
        <v>798</v>
      </c>
      <c r="K381" s="15" t="s">
        <v>798</v>
      </c>
      <c r="L381" s="12" t="s">
        <v>5315</v>
      </c>
      <c r="M381" s="13" t="s">
        <v>5385</v>
      </c>
      <c r="N381" s="12" t="s">
        <v>803</v>
      </c>
      <c r="O381" s="13" t="s">
        <v>4842</v>
      </c>
      <c r="P381" s="17" t="s">
        <v>802</v>
      </c>
      <c r="Q381" s="21" t="s">
        <v>7679</v>
      </c>
      <c r="R381" s="17" t="s">
        <v>801</v>
      </c>
      <c r="S381" s="18" t="s">
        <v>2585</v>
      </c>
      <c r="T381" s="17" t="s">
        <v>800</v>
      </c>
      <c r="U381" s="18" t="s">
        <v>5238</v>
      </c>
      <c r="V381" s="17" t="s">
        <v>9418</v>
      </c>
      <c r="W381" s="18" t="s">
        <v>5309</v>
      </c>
      <c r="X381" s="69" t="s">
        <v>9453</v>
      </c>
      <c r="Y381" s="70" t="s">
        <v>9462</v>
      </c>
      <c r="Z381" s="73" t="s">
        <v>9486</v>
      </c>
      <c r="AA381" s="74" t="s">
        <v>9504</v>
      </c>
      <c r="AB381" s="73" t="s">
        <v>9486</v>
      </c>
      <c r="AC381" s="74" t="s">
        <v>9566</v>
      </c>
      <c r="AD381" s="73" t="s">
        <v>9578</v>
      </c>
      <c r="AE381" s="74" t="s">
        <v>9704</v>
      </c>
    </row>
    <row r="382" spans="1:31" ht="8.65" customHeight="1" x14ac:dyDescent="0.2">
      <c r="A382" s="76">
        <v>382</v>
      </c>
      <c r="B382" s="67" t="str">
        <f>MID(C382, FIND("Ifc.", C382) + 4, 4) &amp; "_" &amp; TEXT(COUNTIF($C$2:C382, C382),"0000")</f>
        <v>Prop_0381</v>
      </c>
      <c r="C382" s="24" t="s">
        <v>872</v>
      </c>
      <c r="D382" s="69" t="s">
        <v>9453</v>
      </c>
      <c r="E382" s="70" t="s">
        <v>9454</v>
      </c>
      <c r="F382" s="17" t="s">
        <v>806</v>
      </c>
      <c r="G382" s="22" t="s">
        <v>2139</v>
      </c>
      <c r="H382" s="12" t="s">
        <v>9703</v>
      </c>
      <c r="I382" s="13" t="s">
        <v>7055</v>
      </c>
      <c r="J382" s="14" t="s">
        <v>798</v>
      </c>
      <c r="K382" s="15" t="s">
        <v>798</v>
      </c>
      <c r="L382" s="12" t="s">
        <v>5315</v>
      </c>
      <c r="M382" s="13" t="s">
        <v>5497</v>
      </c>
      <c r="N382" s="12" t="s">
        <v>803</v>
      </c>
      <c r="O382" s="13" t="s">
        <v>5111</v>
      </c>
      <c r="P382" s="17" t="s">
        <v>802</v>
      </c>
      <c r="Q382" s="21" t="s">
        <v>7851</v>
      </c>
      <c r="R382" s="17" t="s">
        <v>801</v>
      </c>
      <c r="S382" s="18" t="s">
        <v>2585</v>
      </c>
      <c r="T382" s="17" t="s">
        <v>800</v>
      </c>
      <c r="U382" s="18" t="s">
        <v>5238</v>
      </c>
      <c r="V382" s="17" t="s">
        <v>9418</v>
      </c>
      <c r="W382" s="18" t="s">
        <v>5309</v>
      </c>
      <c r="X382" s="69" t="s">
        <v>9453</v>
      </c>
      <c r="Y382" s="70" t="s">
        <v>9462</v>
      </c>
      <c r="Z382" s="73" t="s">
        <v>9486</v>
      </c>
      <c r="AA382" s="74" t="s">
        <v>9504</v>
      </c>
      <c r="AB382" s="73" t="s">
        <v>9486</v>
      </c>
      <c r="AC382" s="74" t="s">
        <v>9566</v>
      </c>
      <c r="AD382" s="73" t="s">
        <v>9578</v>
      </c>
      <c r="AE382" s="74" t="s">
        <v>9579</v>
      </c>
    </row>
    <row r="383" spans="1:31" ht="8.65" customHeight="1" x14ac:dyDescent="0.2">
      <c r="A383" s="76">
        <v>383</v>
      </c>
      <c r="B383" s="67" t="str">
        <f>MID(C383, FIND("Ifc.", C383) + 4, 4) &amp; "_" &amp; TEXT(COUNTIF($C$2:C383, C383),"0000")</f>
        <v>Prop_0382</v>
      </c>
      <c r="C383" s="24" t="s">
        <v>872</v>
      </c>
      <c r="D383" s="69" t="s">
        <v>9453</v>
      </c>
      <c r="E383" s="70" t="s">
        <v>9454</v>
      </c>
      <c r="F383" s="17" t="s">
        <v>806</v>
      </c>
      <c r="G383" s="22" t="s">
        <v>2528</v>
      </c>
      <c r="H383" s="12" t="s">
        <v>9703</v>
      </c>
      <c r="I383" s="13" t="s">
        <v>7092</v>
      </c>
      <c r="J383" s="14" t="s">
        <v>798</v>
      </c>
      <c r="K383" s="15" t="s">
        <v>798</v>
      </c>
      <c r="L383" s="12" t="s">
        <v>5315</v>
      </c>
      <c r="M383" s="13" t="s">
        <v>5580</v>
      </c>
      <c r="N383" s="12" t="s">
        <v>803</v>
      </c>
      <c r="O383" s="13" t="s">
        <v>5226</v>
      </c>
      <c r="P383" s="17" t="s">
        <v>802</v>
      </c>
      <c r="Q383" s="21" t="s">
        <v>7797</v>
      </c>
      <c r="R383" s="17" t="s">
        <v>801</v>
      </c>
      <c r="S383" s="18" t="s">
        <v>2585</v>
      </c>
      <c r="T383" s="17" t="s">
        <v>800</v>
      </c>
      <c r="U383" s="18" t="s">
        <v>5238</v>
      </c>
      <c r="V383" s="17" t="s">
        <v>9418</v>
      </c>
      <c r="W383" s="18" t="s">
        <v>5309</v>
      </c>
      <c r="X383" s="69" t="s">
        <v>9453</v>
      </c>
      <c r="Y383" s="70" t="s">
        <v>9462</v>
      </c>
      <c r="Z383" s="73" t="s">
        <v>9486</v>
      </c>
      <c r="AA383" s="74" t="s">
        <v>9504</v>
      </c>
      <c r="AB383" s="73" t="s">
        <v>9486</v>
      </c>
      <c r="AC383" s="74" t="s">
        <v>9566</v>
      </c>
      <c r="AD383" s="73" t="s">
        <v>9578</v>
      </c>
      <c r="AE383" s="74" t="s">
        <v>9579</v>
      </c>
    </row>
    <row r="384" spans="1:31" ht="8.65" customHeight="1" x14ac:dyDescent="0.2">
      <c r="A384" s="76">
        <v>384</v>
      </c>
      <c r="B384" s="67" t="str">
        <f>MID(C384, FIND("Ifc.", C384) + 4, 4) &amp; "_" &amp; TEXT(COUNTIF($C$2:C384, C384),"0000")</f>
        <v>Prop_0383</v>
      </c>
      <c r="C384" s="24" t="s">
        <v>872</v>
      </c>
      <c r="D384" s="69" t="s">
        <v>9453</v>
      </c>
      <c r="E384" s="70" t="s">
        <v>9454</v>
      </c>
      <c r="F384" s="17" t="s">
        <v>806</v>
      </c>
      <c r="G384" s="22" t="s">
        <v>2138</v>
      </c>
      <c r="H384" s="12" t="s">
        <v>9703</v>
      </c>
      <c r="I384" s="13" t="s">
        <v>6652</v>
      </c>
      <c r="J384" s="14" t="s">
        <v>798</v>
      </c>
      <c r="K384" s="15" t="s">
        <v>798</v>
      </c>
      <c r="L384" s="12" t="s">
        <v>5315</v>
      </c>
      <c r="M384" s="13" t="s">
        <v>5497</v>
      </c>
      <c r="N384" s="12" t="s">
        <v>803</v>
      </c>
      <c r="O384" s="13" t="s">
        <v>5111</v>
      </c>
      <c r="P384" s="17" t="s">
        <v>802</v>
      </c>
      <c r="Q384" s="21" t="s">
        <v>7851</v>
      </c>
      <c r="R384" s="17" t="s">
        <v>801</v>
      </c>
      <c r="S384" s="18" t="s">
        <v>2585</v>
      </c>
      <c r="T384" s="17" t="s">
        <v>800</v>
      </c>
      <c r="U384" s="18" t="s">
        <v>5238</v>
      </c>
      <c r="V384" s="17" t="s">
        <v>9418</v>
      </c>
      <c r="W384" s="18" t="s">
        <v>5309</v>
      </c>
      <c r="X384" s="69" t="s">
        <v>9453</v>
      </c>
      <c r="Y384" s="70" t="s">
        <v>9462</v>
      </c>
      <c r="Z384" s="73" t="s">
        <v>9486</v>
      </c>
      <c r="AA384" s="74" t="s">
        <v>9504</v>
      </c>
      <c r="AB384" s="73" t="s">
        <v>9486</v>
      </c>
      <c r="AC384" s="74" t="s">
        <v>9566</v>
      </c>
      <c r="AD384" s="73" t="s">
        <v>9578</v>
      </c>
      <c r="AE384" s="74" t="s">
        <v>9579</v>
      </c>
    </row>
    <row r="385" spans="1:31" ht="8.65" customHeight="1" x14ac:dyDescent="0.2">
      <c r="A385" s="76">
        <v>385</v>
      </c>
      <c r="B385" s="67" t="str">
        <f>MID(C385, FIND("Ifc.", C385) + 4, 4) &amp; "_" &amp; TEXT(COUNTIF($C$2:C385, C385),"0000")</f>
        <v>Prop_0384</v>
      </c>
      <c r="C385" s="24" t="s">
        <v>872</v>
      </c>
      <c r="D385" s="69" t="s">
        <v>9453</v>
      </c>
      <c r="E385" s="70" t="s">
        <v>9454</v>
      </c>
      <c r="F385" s="17" t="s">
        <v>806</v>
      </c>
      <c r="G385" s="22" t="s">
        <v>1987</v>
      </c>
      <c r="H385" s="12" t="s">
        <v>9703</v>
      </c>
      <c r="I385" s="13" t="s">
        <v>7040</v>
      </c>
      <c r="J385" s="14" t="s">
        <v>798</v>
      </c>
      <c r="K385" s="15" t="s">
        <v>798</v>
      </c>
      <c r="L385" s="12" t="s">
        <v>5315</v>
      </c>
      <c r="M385" s="13" t="s">
        <v>5974</v>
      </c>
      <c r="N385" s="12" t="s">
        <v>803</v>
      </c>
      <c r="O385" s="13" t="s">
        <v>5079</v>
      </c>
      <c r="P385" s="17" t="s">
        <v>802</v>
      </c>
      <c r="Q385" s="21" t="s">
        <v>7852</v>
      </c>
      <c r="R385" s="17" t="s">
        <v>801</v>
      </c>
      <c r="S385" s="18" t="s">
        <v>2585</v>
      </c>
      <c r="T385" s="17" t="s">
        <v>800</v>
      </c>
      <c r="U385" s="18" t="s">
        <v>5238</v>
      </c>
      <c r="V385" s="17" t="s">
        <v>9418</v>
      </c>
      <c r="W385" s="18" t="s">
        <v>5309</v>
      </c>
      <c r="X385" s="69" t="s">
        <v>9453</v>
      </c>
      <c r="Y385" s="70" t="s">
        <v>9462</v>
      </c>
      <c r="Z385" s="73" t="s">
        <v>9486</v>
      </c>
      <c r="AA385" s="74" t="s">
        <v>9504</v>
      </c>
      <c r="AB385" s="73" t="s">
        <v>9486</v>
      </c>
      <c r="AC385" s="74" t="s">
        <v>9566</v>
      </c>
      <c r="AD385" s="73" t="s">
        <v>9578</v>
      </c>
      <c r="AE385" s="74" t="s">
        <v>9579</v>
      </c>
    </row>
    <row r="386" spans="1:31" ht="8.65" customHeight="1" x14ac:dyDescent="0.2">
      <c r="A386" s="76">
        <v>386</v>
      </c>
      <c r="B386" s="67" t="str">
        <f>MID(C386, FIND("Ifc.", C386) + 4, 4) &amp; "_" &amp; TEXT(COUNTIF($C$2:C386, C386),"0000")</f>
        <v>Prop_0385</v>
      </c>
      <c r="C386" s="24" t="s">
        <v>872</v>
      </c>
      <c r="D386" s="69" t="s">
        <v>9453</v>
      </c>
      <c r="E386" s="70" t="s">
        <v>9454</v>
      </c>
      <c r="F386" s="17" t="s">
        <v>806</v>
      </c>
      <c r="G386" s="22" t="s">
        <v>2142</v>
      </c>
      <c r="H386" s="12" t="s">
        <v>9703</v>
      </c>
      <c r="I386" s="13" t="s">
        <v>6938</v>
      </c>
      <c r="J386" s="14" t="s">
        <v>798</v>
      </c>
      <c r="K386" s="15" t="s">
        <v>798</v>
      </c>
      <c r="L386" s="12" t="s">
        <v>5315</v>
      </c>
      <c r="M386" s="13" t="s">
        <v>5497</v>
      </c>
      <c r="N386" s="12" t="s">
        <v>803</v>
      </c>
      <c r="O386" s="13" t="s">
        <v>5111</v>
      </c>
      <c r="P386" s="17" t="s">
        <v>802</v>
      </c>
      <c r="Q386" s="21" t="s">
        <v>7851</v>
      </c>
      <c r="R386" s="17" t="s">
        <v>801</v>
      </c>
      <c r="S386" s="18" t="s">
        <v>2585</v>
      </c>
      <c r="T386" s="17" t="s">
        <v>800</v>
      </c>
      <c r="U386" s="18" t="s">
        <v>5238</v>
      </c>
      <c r="V386" s="17" t="s">
        <v>9418</v>
      </c>
      <c r="W386" s="18" t="s">
        <v>5309</v>
      </c>
      <c r="X386" s="69" t="s">
        <v>9453</v>
      </c>
      <c r="Y386" s="70" t="s">
        <v>9462</v>
      </c>
      <c r="Z386" s="73" t="s">
        <v>9486</v>
      </c>
      <c r="AA386" s="74" t="s">
        <v>9504</v>
      </c>
      <c r="AB386" s="73" t="s">
        <v>9486</v>
      </c>
      <c r="AC386" s="74" t="s">
        <v>9566</v>
      </c>
      <c r="AD386" s="73" t="s">
        <v>9578</v>
      </c>
      <c r="AE386" s="74" t="s">
        <v>9579</v>
      </c>
    </row>
    <row r="387" spans="1:31" ht="8.65" customHeight="1" x14ac:dyDescent="0.2">
      <c r="A387" s="76">
        <v>387</v>
      </c>
      <c r="B387" s="67" t="str">
        <f>MID(C387, FIND("Ifc.", C387) + 4, 4) &amp; "_" &amp; TEXT(COUNTIF($C$2:C387, C387),"0000")</f>
        <v>Prop_0386</v>
      </c>
      <c r="C387" s="24" t="s">
        <v>872</v>
      </c>
      <c r="D387" s="69" t="s">
        <v>9453</v>
      </c>
      <c r="E387" s="70" t="s">
        <v>9454</v>
      </c>
      <c r="F387" s="17" t="s">
        <v>806</v>
      </c>
      <c r="G387" s="22" t="s">
        <v>2144</v>
      </c>
      <c r="H387" s="12" t="s">
        <v>9703</v>
      </c>
      <c r="I387" s="13" t="s">
        <v>7058</v>
      </c>
      <c r="J387" s="14" t="s">
        <v>798</v>
      </c>
      <c r="K387" s="15" t="s">
        <v>798</v>
      </c>
      <c r="L387" s="12" t="s">
        <v>5315</v>
      </c>
      <c r="M387" s="13" t="s">
        <v>5498</v>
      </c>
      <c r="N387" s="12" t="s">
        <v>803</v>
      </c>
      <c r="O387" s="13" t="s">
        <v>5112</v>
      </c>
      <c r="P387" s="17" t="s">
        <v>802</v>
      </c>
      <c r="Q387" s="21" t="s">
        <v>7680</v>
      </c>
      <c r="R387" s="17" t="s">
        <v>801</v>
      </c>
      <c r="S387" s="18" t="s">
        <v>2554</v>
      </c>
      <c r="T387" s="17" t="s">
        <v>800</v>
      </c>
      <c r="U387" s="18" t="s">
        <v>5233</v>
      </c>
      <c r="V387" s="17" t="s">
        <v>9418</v>
      </c>
      <c r="W387" s="18" t="s">
        <v>5309</v>
      </c>
      <c r="X387" s="69" t="s">
        <v>9453</v>
      </c>
      <c r="Y387" s="70" t="s">
        <v>9462</v>
      </c>
      <c r="Z387" s="73" t="s">
        <v>9486</v>
      </c>
      <c r="AA387" s="74" t="s">
        <v>9504</v>
      </c>
      <c r="AB387" s="73" t="s">
        <v>9486</v>
      </c>
      <c r="AC387" s="74" t="s">
        <v>9562</v>
      </c>
      <c r="AD387" s="73" t="s">
        <v>9578</v>
      </c>
      <c r="AE387" s="74" t="s">
        <v>9579</v>
      </c>
    </row>
    <row r="388" spans="1:31" ht="8.65" customHeight="1" x14ac:dyDescent="0.2">
      <c r="A388" s="76">
        <v>388</v>
      </c>
      <c r="B388" s="67" t="str">
        <f>MID(C388, FIND("Ifc.", C388) + 4, 4) &amp; "_" &amp; TEXT(COUNTIF($C$2:C388, C388),"0000")</f>
        <v>Prop_0387</v>
      </c>
      <c r="C388" s="24" t="s">
        <v>872</v>
      </c>
      <c r="D388" s="69" t="s">
        <v>9453</v>
      </c>
      <c r="E388" s="70" t="s">
        <v>9454</v>
      </c>
      <c r="F388" s="17" t="s">
        <v>806</v>
      </c>
      <c r="G388" s="22" t="s">
        <v>2391</v>
      </c>
      <c r="H388" s="12" t="s">
        <v>9703</v>
      </c>
      <c r="I388" s="13" t="s">
        <v>7084</v>
      </c>
      <c r="J388" s="14" t="s">
        <v>798</v>
      </c>
      <c r="K388" s="15" t="s">
        <v>798</v>
      </c>
      <c r="L388" s="12" t="s">
        <v>5315</v>
      </c>
      <c r="M388" s="13" t="s">
        <v>5784</v>
      </c>
      <c r="N388" s="12" t="s">
        <v>803</v>
      </c>
      <c r="O388" s="13" t="s">
        <v>5182</v>
      </c>
      <c r="P388" s="17" t="s">
        <v>802</v>
      </c>
      <c r="Q388" s="21" t="s">
        <v>7772</v>
      </c>
      <c r="R388" s="17" t="s">
        <v>801</v>
      </c>
      <c r="S388" s="18" t="s">
        <v>2585</v>
      </c>
      <c r="T388" s="17" t="s">
        <v>800</v>
      </c>
      <c r="U388" s="18" t="s">
        <v>5238</v>
      </c>
      <c r="V388" s="17" t="s">
        <v>9418</v>
      </c>
      <c r="W388" s="18" t="s">
        <v>5309</v>
      </c>
      <c r="X388" s="69" t="s">
        <v>9453</v>
      </c>
      <c r="Y388" s="70" t="s">
        <v>9462</v>
      </c>
      <c r="Z388" s="73" t="s">
        <v>9486</v>
      </c>
      <c r="AA388" s="74" t="s">
        <v>9504</v>
      </c>
      <c r="AB388" s="73" t="s">
        <v>9486</v>
      </c>
      <c r="AC388" s="74" t="s">
        <v>9566</v>
      </c>
      <c r="AD388" s="73" t="s">
        <v>9578</v>
      </c>
      <c r="AE388" s="74" t="s">
        <v>9579</v>
      </c>
    </row>
    <row r="389" spans="1:31" ht="8.65" customHeight="1" x14ac:dyDescent="0.2">
      <c r="A389" s="76">
        <v>389</v>
      </c>
      <c r="B389" s="67" t="str">
        <f>MID(C389, FIND("Ifc.", C389) + 4, 4) &amp; "_" &amp; TEXT(COUNTIF($C$2:C389, C389),"0000")</f>
        <v>Prop_0388</v>
      </c>
      <c r="C389" s="24" t="s">
        <v>872</v>
      </c>
      <c r="D389" s="69" t="s">
        <v>9453</v>
      </c>
      <c r="E389" s="70" t="s">
        <v>9454</v>
      </c>
      <c r="F389" s="17" t="s">
        <v>806</v>
      </c>
      <c r="G389" s="22" t="s">
        <v>1403</v>
      </c>
      <c r="H389" s="12" t="s">
        <v>9703</v>
      </c>
      <c r="I389" s="13" t="s">
        <v>9417</v>
      </c>
      <c r="J389" s="14" t="s">
        <v>798</v>
      </c>
      <c r="K389" s="15" t="s">
        <v>798</v>
      </c>
      <c r="L389" s="12" t="s">
        <v>5315</v>
      </c>
      <c r="M389" s="13" t="s">
        <v>6054</v>
      </c>
      <c r="N389" s="12" t="s">
        <v>803</v>
      </c>
      <c r="O389" s="13" t="s">
        <v>4927</v>
      </c>
      <c r="P389" s="17" t="s">
        <v>802</v>
      </c>
      <c r="Q389" s="21" t="s">
        <v>7686</v>
      </c>
      <c r="R389" s="17" t="s">
        <v>801</v>
      </c>
      <c r="S389" s="18" t="s">
        <v>2583</v>
      </c>
      <c r="T389" s="17" t="s">
        <v>800</v>
      </c>
      <c r="U389" s="18" t="s">
        <v>5251</v>
      </c>
      <c r="V389" s="17" t="s">
        <v>9418</v>
      </c>
      <c r="W389" s="18" t="s">
        <v>5309</v>
      </c>
      <c r="X389" s="69" t="s">
        <v>9453</v>
      </c>
      <c r="Y389" s="70" t="s">
        <v>9462</v>
      </c>
      <c r="Z389" s="73" t="s">
        <v>9486</v>
      </c>
      <c r="AA389" s="74" t="s">
        <v>9504</v>
      </c>
      <c r="AB389" s="73" t="s">
        <v>9486</v>
      </c>
      <c r="AC389" s="74" t="s">
        <v>9566</v>
      </c>
      <c r="AD389" s="73" t="s">
        <v>9578</v>
      </c>
      <c r="AE389" s="74" t="s">
        <v>9579</v>
      </c>
    </row>
    <row r="390" spans="1:31" ht="8.65" customHeight="1" x14ac:dyDescent="0.2">
      <c r="A390" s="76">
        <v>390</v>
      </c>
      <c r="B390" s="67" t="str">
        <f>MID(C390, FIND("Ifc.", C390) + 4, 4) &amp; "_" &amp; TEXT(COUNTIF($C$2:C390, C390),"0000")</f>
        <v>Prop_0389</v>
      </c>
      <c r="C390" s="24" t="s">
        <v>872</v>
      </c>
      <c r="D390" s="69" t="s">
        <v>9453</v>
      </c>
      <c r="E390" s="70" t="s">
        <v>9454</v>
      </c>
      <c r="F390" s="17" t="s">
        <v>806</v>
      </c>
      <c r="G390" s="22" t="s">
        <v>1403</v>
      </c>
      <c r="H390" s="12" t="s">
        <v>9703</v>
      </c>
      <c r="I390" s="13" t="s">
        <v>9417</v>
      </c>
      <c r="J390" s="14" t="s">
        <v>798</v>
      </c>
      <c r="K390" s="15" t="s">
        <v>798</v>
      </c>
      <c r="L390" s="12" t="s">
        <v>5315</v>
      </c>
      <c r="M390" s="13" t="s">
        <v>6059</v>
      </c>
      <c r="N390" s="12" t="s">
        <v>803</v>
      </c>
      <c r="O390" s="13" t="s">
        <v>4928</v>
      </c>
      <c r="P390" s="17" t="s">
        <v>802</v>
      </c>
      <c r="Q390" s="21" t="s">
        <v>7706</v>
      </c>
      <c r="R390" s="17" t="s">
        <v>801</v>
      </c>
      <c r="S390" s="18" t="s">
        <v>2583</v>
      </c>
      <c r="T390" s="17" t="s">
        <v>800</v>
      </c>
      <c r="U390" s="18" t="s">
        <v>5251</v>
      </c>
      <c r="V390" s="17" t="s">
        <v>9418</v>
      </c>
      <c r="W390" s="18" t="s">
        <v>5309</v>
      </c>
      <c r="X390" s="69" t="s">
        <v>9453</v>
      </c>
      <c r="Y390" s="70" t="s">
        <v>9462</v>
      </c>
      <c r="Z390" s="73" t="s">
        <v>9486</v>
      </c>
      <c r="AA390" s="74" t="s">
        <v>9504</v>
      </c>
      <c r="AB390" s="73" t="s">
        <v>9486</v>
      </c>
      <c r="AC390" s="74" t="s">
        <v>9566</v>
      </c>
      <c r="AD390" s="73" t="s">
        <v>9578</v>
      </c>
      <c r="AE390" s="74" t="s">
        <v>9579</v>
      </c>
    </row>
    <row r="391" spans="1:31" ht="8.65" customHeight="1" x14ac:dyDescent="0.2">
      <c r="A391" s="76">
        <v>391</v>
      </c>
      <c r="B391" s="67" t="str">
        <f>MID(C391, FIND("Ifc.", C391) + 4, 4) &amp; "_" &amp; TEXT(COUNTIF($C$2:C391, C391),"0000")</f>
        <v>Prop_0390</v>
      </c>
      <c r="C391" s="24" t="s">
        <v>872</v>
      </c>
      <c r="D391" s="69" t="s">
        <v>9453</v>
      </c>
      <c r="E391" s="70" t="s">
        <v>9454</v>
      </c>
      <c r="F391" s="17" t="s">
        <v>806</v>
      </c>
      <c r="G391" s="22" t="s">
        <v>1991</v>
      </c>
      <c r="H391" s="12" t="s">
        <v>9703</v>
      </c>
      <c r="I391" s="13" t="s">
        <v>7035</v>
      </c>
      <c r="J391" s="14" t="s">
        <v>798</v>
      </c>
      <c r="K391" s="15" t="s">
        <v>798</v>
      </c>
      <c r="L391" s="12" t="s">
        <v>5315</v>
      </c>
      <c r="M391" s="13" t="s">
        <v>5973</v>
      </c>
      <c r="N391" s="12" t="s">
        <v>803</v>
      </c>
      <c r="O391" s="13" t="s">
        <v>5080</v>
      </c>
      <c r="P391" s="17" t="s">
        <v>802</v>
      </c>
      <c r="Q391" s="21" t="s">
        <v>7853</v>
      </c>
      <c r="R391" s="17" t="s">
        <v>801</v>
      </c>
      <c r="S391" s="18" t="s">
        <v>2585</v>
      </c>
      <c r="T391" s="17" t="s">
        <v>800</v>
      </c>
      <c r="U391" s="18" t="s">
        <v>5238</v>
      </c>
      <c r="V391" s="17" t="s">
        <v>9418</v>
      </c>
      <c r="W391" s="18" t="s">
        <v>5309</v>
      </c>
      <c r="X391" s="69" t="s">
        <v>9453</v>
      </c>
      <c r="Y391" s="70" t="s">
        <v>9462</v>
      </c>
      <c r="Z391" s="73" t="s">
        <v>9486</v>
      </c>
      <c r="AA391" s="74" t="s">
        <v>9504</v>
      </c>
      <c r="AB391" s="73" t="s">
        <v>9486</v>
      </c>
      <c r="AC391" s="74" t="s">
        <v>9566</v>
      </c>
      <c r="AD391" s="73" t="s">
        <v>9578</v>
      </c>
      <c r="AE391" s="74" t="s">
        <v>9579</v>
      </c>
    </row>
    <row r="392" spans="1:31" ht="8.65" customHeight="1" x14ac:dyDescent="0.2">
      <c r="A392" s="76">
        <v>392</v>
      </c>
      <c r="B392" s="67" t="str">
        <f>MID(C392, FIND("Ifc.", C392) + 4, 4) &amp; "_" &amp; TEXT(COUNTIF($C$2:C392, C392),"0000")</f>
        <v>Prop_0391</v>
      </c>
      <c r="C392" s="24" t="s">
        <v>872</v>
      </c>
      <c r="D392" s="69" t="s">
        <v>9453</v>
      </c>
      <c r="E392" s="70" t="s">
        <v>9454</v>
      </c>
      <c r="F392" s="17" t="s">
        <v>806</v>
      </c>
      <c r="G392" s="22" t="s">
        <v>2065</v>
      </c>
      <c r="H392" s="12" t="s">
        <v>9703</v>
      </c>
      <c r="I392" s="13" t="s">
        <v>7048</v>
      </c>
      <c r="J392" s="14" t="s">
        <v>798</v>
      </c>
      <c r="K392" s="15" t="s">
        <v>798</v>
      </c>
      <c r="L392" s="12" t="s">
        <v>5315</v>
      </c>
      <c r="M392" s="13" t="s">
        <v>5975</v>
      </c>
      <c r="N392" s="12" t="s">
        <v>803</v>
      </c>
      <c r="O392" s="13" t="s">
        <v>5089</v>
      </c>
      <c r="P392" s="17" t="s">
        <v>802</v>
      </c>
      <c r="Q392" s="21" t="s">
        <v>7854</v>
      </c>
      <c r="R392" s="17" t="s">
        <v>801</v>
      </c>
      <c r="S392" s="18" t="s">
        <v>2585</v>
      </c>
      <c r="T392" s="17" t="s">
        <v>800</v>
      </c>
      <c r="U392" s="18" t="s">
        <v>5238</v>
      </c>
      <c r="V392" s="17" t="s">
        <v>9418</v>
      </c>
      <c r="W392" s="18" t="s">
        <v>5309</v>
      </c>
      <c r="X392" s="69" t="s">
        <v>9453</v>
      </c>
      <c r="Y392" s="70" t="s">
        <v>9462</v>
      </c>
      <c r="Z392" s="73" t="s">
        <v>9486</v>
      </c>
      <c r="AA392" s="74" t="s">
        <v>9504</v>
      </c>
      <c r="AB392" s="73" t="s">
        <v>9486</v>
      </c>
      <c r="AC392" s="74" t="s">
        <v>9566</v>
      </c>
      <c r="AD392" s="73" t="s">
        <v>9578</v>
      </c>
      <c r="AE392" s="74" t="s">
        <v>9579</v>
      </c>
    </row>
    <row r="393" spans="1:31" ht="8.65" customHeight="1" x14ac:dyDescent="0.2">
      <c r="A393" s="76">
        <v>393</v>
      </c>
      <c r="B393" s="67" t="str">
        <f>MID(C393, FIND("Ifc.", C393) + 4, 4) &amp; "_" &amp; TEXT(COUNTIF($C$2:C393, C393),"0000")</f>
        <v>Prop_0392</v>
      </c>
      <c r="C393" s="24" t="s">
        <v>872</v>
      </c>
      <c r="D393" s="69" t="s">
        <v>9453</v>
      </c>
      <c r="E393" s="70" t="s">
        <v>9454</v>
      </c>
      <c r="F393" s="17" t="s">
        <v>806</v>
      </c>
      <c r="G393" s="22" t="s">
        <v>2069</v>
      </c>
      <c r="H393" s="12" t="s">
        <v>9703</v>
      </c>
      <c r="I393" s="13" t="s">
        <v>7050</v>
      </c>
      <c r="J393" s="14" t="s">
        <v>798</v>
      </c>
      <c r="K393" s="15" t="s">
        <v>798</v>
      </c>
      <c r="L393" s="12" t="s">
        <v>5315</v>
      </c>
      <c r="M393" s="13" t="s">
        <v>5976</v>
      </c>
      <c r="N393" s="12" t="s">
        <v>803</v>
      </c>
      <c r="O393" s="13" t="s">
        <v>5090</v>
      </c>
      <c r="P393" s="17" t="s">
        <v>802</v>
      </c>
      <c r="Q393" s="21" t="s">
        <v>7855</v>
      </c>
      <c r="R393" s="17" t="s">
        <v>801</v>
      </c>
      <c r="S393" s="18" t="s">
        <v>2585</v>
      </c>
      <c r="T393" s="17" t="s">
        <v>800</v>
      </c>
      <c r="U393" s="18" t="s">
        <v>5238</v>
      </c>
      <c r="V393" s="17" t="s">
        <v>9418</v>
      </c>
      <c r="W393" s="18" t="s">
        <v>5309</v>
      </c>
      <c r="X393" s="69" t="s">
        <v>9453</v>
      </c>
      <c r="Y393" s="70" t="s">
        <v>9462</v>
      </c>
      <c r="Z393" s="73" t="s">
        <v>9486</v>
      </c>
      <c r="AA393" s="74" t="s">
        <v>9504</v>
      </c>
      <c r="AB393" s="73" t="s">
        <v>9486</v>
      </c>
      <c r="AC393" s="74" t="s">
        <v>9566</v>
      </c>
      <c r="AD393" s="73" t="s">
        <v>9578</v>
      </c>
      <c r="AE393" s="74" t="s">
        <v>9579</v>
      </c>
    </row>
    <row r="394" spans="1:31" ht="8.65" customHeight="1" x14ac:dyDescent="0.2">
      <c r="A394" s="76">
        <v>394</v>
      </c>
      <c r="B394" s="67" t="str">
        <f>MID(C394, FIND("Ifc.", C394) + 4, 4) &amp; "_" &amp; TEXT(COUNTIF($C$2:C394, C394),"0000")</f>
        <v>Prop_0393</v>
      </c>
      <c r="C394" s="24" t="s">
        <v>872</v>
      </c>
      <c r="D394" s="69" t="s">
        <v>9453</v>
      </c>
      <c r="E394" s="70" t="s">
        <v>9454</v>
      </c>
      <c r="F394" s="17" t="s">
        <v>806</v>
      </c>
      <c r="G394" s="22" t="s">
        <v>1992</v>
      </c>
      <c r="H394" s="12" t="s">
        <v>9703</v>
      </c>
      <c r="I394" s="13" t="s">
        <v>7036</v>
      </c>
      <c r="J394" s="14" t="s">
        <v>798</v>
      </c>
      <c r="K394" s="15" t="s">
        <v>798</v>
      </c>
      <c r="L394" s="12" t="s">
        <v>5315</v>
      </c>
      <c r="M394" s="13" t="s">
        <v>5973</v>
      </c>
      <c r="N394" s="12" t="s">
        <v>803</v>
      </c>
      <c r="O394" s="13" t="s">
        <v>5080</v>
      </c>
      <c r="P394" s="17" t="s">
        <v>802</v>
      </c>
      <c r="Q394" s="21" t="s">
        <v>7853</v>
      </c>
      <c r="R394" s="17" t="s">
        <v>801</v>
      </c>
      <c r="S394" s="18" t="s">
        <v>2585</v>
      </c>
      <c r="T394" s="17" t="s">
        <v>800</v>
      </c>
      <c r="U394" s="18" t="s">
        <v>5238</v>
      </c>
      <c r="V394" s="17" t="s">
        <v>9418</v>
      </c>
      <c r="W394" s="18" t="s">
        <v>5309</v>
      </c>
      <c r="X394" s="69" t="s">
        <v>9453</v>
      </c>
      <c r="Y394" s="70" t="s">
        <v>9462</v>
      </c>
      <c r="Z394" s="73" t="s">
        <v>9486</v>
      </c>
      <c r="AA394" s="74" t="s">
        <v>9504</v>
      </c>
      <c r="AB394" s="73" t="s">
        <v>9486</v>
      </c>
      <c r="AC394" s="74" t="s">
        <v>9566</v>
      </c>
      <c r="AD394" s="73" t="s">
        <v>9578</v>
      </c>
      <c r="AE394" s="74" t="s">
        <v>9579</v>
      </c>
    </row>
    <row r="395" spans="1:31" ht="8.65" customHeight="1" x14ac:dyDescent="0.2">
      <c r="A395" s="76">
        <v>395</v>
      </c>
      <c r="B395" s="67" t="str">
        <f>MID(C395, FIND("Ifc.", C395) + 4, 4) &amp; "_" &amp; TEXT(COUNTIF($C$2:C395, C395),"0000")</f>
        <v>Prop_0394</v>
      </c>
      <c r="C395" s="24" t="s">
        <v>872</v>
      </c>
      <c r="D395" s="69" t="s">
        <v>9453</v>
      </c>
      <c r="E395" s="70" t="s">
        <v>9454</v>
      </c>
      <c r="F395" s="17" t="s">
        <v>806</v>
      </c>
      <c r="G395" s="22" t="s">
        <v>1993</v>
      </c>
      <c r="H395" s="12" t="s">
        <v>9703</v>
      </c>
      <c r="I395" s="13" t="s">
        <v>7037</v>
      </c>
      <c r="J395" s="14" t="s">
        <v>798</v>
      </c>
      <c r="K395" s="15" t="s">
        <v>798</v>
      </c>
      <c r="L395" s="12" t="s">
        <v>5315</v>
      </c>
      <c r="M395" s="13" t="s">
        <v>5973</v>
      </c>
      <c r="N395" s="12" t="s">
        <v>803</v>
      </c>
      <c r="O395" s="13" t="s">
        <v>5080</v>
      </c>
      <c r="P395" s="17" t="s">
        <v>802</v>
      </c>
      <c r="Q395" s="21" t="s">
        <v>7853</v>
      </c>
      <c r="R395" s="17" t="s">
        <v>801</v>
      </c>
      <c r="S395" s="18" t="s">
        <v>2585</v>
      </c>
      <c r="T395" s="17" t="s">
        <v>800</v>
      </c>
      <c r="U395" s="18" t="s">
        <v>5238</v>
      </c>
      <c r="V395" s="17" t="s">
        <v>9418</v>
      </c>
      <c r="W395" s="18" t="s">
        <v>5309</v>
      </c>
      <c r="X395" s="69" t="s">
        <v>9453</v>
      </c>
      <c r="Y395" s="70" t="s">
        <v>9462</v>
      </c>
      <c r="Z395" s="73" t="s">
        <v>9486</v>
      </c>
      <c r="AA395" s="74" t="s">
        <v>9504</v>
      </c>
      <c r="AB395" s="73" t="s">
        <v>9486</v>
      </c>
      <c r="AC395" s="74" t="s">
        <v>9566</v>
      </c>
      <c r="AD395" s="73" t="s">
        <v>9578</v>
      </c>
      <c r="AE395" s="74" t="s">
        <v>9579</v>
      </c>
    </row>
    <row r="396" spans="1:31" ht="8.65" customHeight="1" x14ac:dyDescent="0.2">
      <c r="A396" s="76">
        <v>396</v>
      </c>
      <c r="B396" s="67" t="str">
        <f>MID(C396, FIND("Ifc.", C396) + 4, 4) &amp; "_" &amp; TEXT(COUNTIF($C$2:C396, C396),"0000")</f>
        <v>Prop_0395</v>
      </c>
      <c r="C396" s="24" t="s">
        <v>872</v>
      </c>
      <c r="D396" s="69" t="s">
        <v>9453</v>
      </c>
      <c r="E396" s="70" t="s">
        <v>9454</v>
      </c>
      <c r="F396" s="17" t="s">
        <v>806</v>
      </c>
      <c r="G396" s="22" t="s">
        <v>2354</v>
      </c>
      <c r="H396" s="12" t="s">
        <v>9703</v>
      </c>
      <c r="I396" s="13" t="s">
        <v>7075</v>
      </c>
      <c r="J396" s="14" t="s">
        <v>798</v>
      </c>
      <c r="K396" s="15" t="s">
        <v>798</v>
      </c>
      <c r="L396" s="12" t="s">
        <v>5315</v>
      </c>
      <c r="M396" s="13" t="s">
        <v>5562</v>
      </c>
      <c r="N396" s="12" t="s">
        <v>803</v>
      </c>
      <c r="O396" s="13" t="s">
        <v>5176</v>
      </c>
      <c r="P396" s="17" t="s">
        <v>802</v>
      </c>
      <c r="Q396" s="21" t="s">
        <v>7856</v>
      </c>
      <c r="R396" s="17" t="s">
        <v>801</v>
      </c>
      <c r="S396" s="18" t="s">
        <v>2585</v>
      </c>
      <c r="T396" s="17" t="s">
        <v>800</v>
      </c>
      <c r="U396" s="18" t="s">
        <v>5238</v>
      </c>
      <c r="V396" s="17" t="s">
        <v>9418</v>
      </c>
      <c r="W396" s="18" t="s">
        <v>5309</v>
      </c>
      <c r="X396" s="69" t="s">
        <v>9453</v>
      </c>
      <c r="Y396" s="70" t="s">
        <v>9462</v>
      </c>
      <c r="Z396" s="73" t="s">
        <v>9486</v>
      </c>
      <c r="AA396" s="74" t="s">
        <v>9504</v>
      </c>
      <c r="AB396" s="73" t="s">
        <v>9486</v>
      </c>
      <c r="AC396" s="74" t="s">
        <v>9566</v>
      </c>
      <c r="AD396" s="73" t="s">
        <v>9578</v>
      </c>
      <c r="AE396" s="74" t="s">
        <v>9579</v>
      </c>
    </row>
    <row r="397" spans="1:31" ht="8.65" customHeight="1" x14ac:dyDescent="0.2">
      <c r="A397" s="76">
        <v>397</v>
      </c>
      <c r="B397" s="67" t="str">
        <f>MID(C397, FIND("Ifc.", C397) + 4, 4) &amp; "_" &amp; TEXT(COUNTIF($C$2:C397, C397),"0000")</f>
        <v>Prop_0396</v>
      </c>
      <c r="C397" s="24" t="s">
        <v>872</v>
      </c>
      <c r="D397" s="69" t="s">
        <v>9453</v>
      </c>
      <c r="E397" s="70" t="s">
        <v>9454</v>
      </c>
      <c r="F397" s="17" t="s">
        <v>806</v>
      </c>
      <c r="G397" s="22" t="s">
        <v>2368</v>
      </c>
      <c r="H397" s="12" t="s">
        <v>9703</v>
      </c>
      <c r="I397" s="13" t="s">
        <v>7077</v>
      </c>
      <c r="J397" s="14" t="s">
        <v>798</v>
      </c>
      <c r="K397" s="15" t="s">
        <v>798</v>
      </c>
      <c r="L397" s="12" t="s">
        <v>5315</v>
      </c>
      <c r="M397" s="13" t="s">
        <v>5781</v>
      </c>
      <c r="N397" s="12" t="s">
        <v>803</v>
      </c>
      <c r="O397" s="13" t="s">
        <v>5180</v>
      </c>
      <c r="P397" s="17" t="s">
        <v>802</v>
      </c>
      <c r="Q397" s="21" t="s">
        <v>7699</v>
      </c>
      <c r="R397" s="17" t="s">
        <v>801</v>
      </c>
      <c r="S397" s="18" t="s">
        <v>2585</v>
      </c>
      <c r="T397" s="17" t="s">
        <v>800</v>
      </c>
      <c r="U397" s="18" t="s">
        <v>5238</v>
      </c>
      <c r="V397" s="17" t="s">
        <v>9418</v>
      </c>
      <c r="W397" s="18" t="s">
        <v>5309</v>
      </c>
      <c r="X397" s="69" t="s">
        <v>9453</v>
      </c>
      <c r="Y397" s="70" t="s">
        <v>9462</v>
      </c>
      <c r="Z397" s="73" t="s">
        <v>9486</v>
      </c>
      <c r="AA397" s="74" t="s">
        <v>9504</v>
      </c>
      <c r="AB397" s="73" t="s">
        <v>9486</v>
      </c>
      <c r="AC397" s="74" t="s">
        <v>9566</v>
      </c>
      <c r="AD397" s="73" t="s">
        <v>9578</v>
      </c>
      <c r="AE397" s="74" t="s">
        <v>9579</v>
      </c>
    </row>
    <row r="398" spans="1:31" ht="8.65" customHeight="1" x14ac:dyDescent="0.2">
      <c r="A398" s="76">
        <v>398</v>
      </c>
      <c r="B398" s="67" t="str">
        <f>MID(C398, FIND("Ifc.", C398) + 4, 4) &amp; "_" &amp; TEXT(COUNTIF($C$2:C398, C398),"0000")</f>
        <v>Prop_0397</v>
      </c>
      <c r="C398" s="24" t="s">
        <v>872</v>
      </c>
      <c r="D398" s="69" t="s">
        <v>9453</v>
      </c>
      <c r="E398" s="70" t="s">
        <v>9454</v>
      </c>
      <c r="F398" s="17" t="s">
        <v>806</v>
      </c>
      <c r="G398" s="22" t="s">
        <v>1757</v>
      </c>
      <c r="H398" s="12" t="s">
        <v>9703</v>
      </c>
      <c r="I398" s="13" t="s">
        <v>7487</v>
      </c>
      <c r="J398" s="14" t="s">
        <v>798</v>
      </c>
      <c r="K398" s="15" t="s">
        <v>798</v>
      </c>
      <c r="L398" s="12" t="s">
        <v>5315</v>
      </c>
      <c r="M398" s="13" t="s">
        <v>5451</v>
      </c>
      <c r="N398" s="12" t="s">
        <v>803</v>
      </c>
      <c r="O398" s="13" t="s">
        <v>5009</v>
      </c>
      <c r="P398" s="17" t="s">
        <v>802</v>
      </c>
      <c r="Q398" s="21" t="s">
        <v>7857</v>
      </c>
      <c r="R398" s="17" t="s">
        <v>801</v>
      </c>
      <c r="S398" s="18" t="s">
        <v>2585</v>
      </c>
      <c r="T398" s="17" t="s">
        <v>800</v>
      </c>
      <c r="U398" s="18" t="s">
        <v>5238</v>
      </c>
      <c r="V398" s="17" t="s">
        <v>9418</v>
      </c>
      <c r="W398" s="18" t="s">
        <v>5309</v>
      </c>
      <c r="X398" s="69" t="s">
        <v>9453</v>
      </c>
      <c r="Y398" s="70" t="s">
        <v>9462</v>
      </c>
      <c r="Z398" s="73" t="s">
        <v>9486</v>
      </c>
      <c r="AA398" s="74" t="s">
        <v>9504</v>
      </c>
      <c r="AB398" s="73" t="s">
        <v>9486</v>
      </c>
      <c r="AC398" s="74" t="s">
        <v>9566</v>
      </c>
      <c r="AD398" s="73" t="s">
        <v>9578</v>
      </c>
      <c r="AE398" s="74" t="s">
        <v>9579</v>
      </c>
    </row>
    <row r="399" spans="1:31" ht="8.65" customHeight="1" x14ac:dyDescent="0.2">
      <c r="A399" s="76">
        <v>399</v>
      </c>
      <c r="B399" s="67" t="str">
        <f>MID(C399, FIND("Ifc.", C399) + 4, 4) &amp; "_" &amp; TEXT(COUNTIF($C$2:C399, C399),"0000")</f>
        <v>Prop_0398</v>
      </c>
      <c r="C399" s="24" t="s">
        <v>872</v>
      </c>
      <c r="D399" s="69" t="s">
        <v>9453</v>
      </c>
      <c r="E399" s="70" t="s">
        <v>9454</v>
      </c>
      <c r="F399" s="17" t="s">
        <v>806</v>
      </c>
      <c r="G399" s="22" t="s">
        <v>1757</v>
      </c>
      <c r="H399" s="12" t="s">
        <v>9703</v>
      </c>
      <c r="I399" s="13" t="s">
        <v>7487</v>
      </c>
      <c r="J399" s="14" t="s">
        <v>798</v>
      </c>
      <c r="K399" s="15" t="s">
        <v>798</v>
      </c>
      <c r="L399" s="12" t="s">
        <v>5315</v>
      </c>
      <c r="M399" s="13" t="s">
        <v>5858</v>
      </c>
      <c r="N399" s="12" t="s">
        <v>803</v>
      </c>
      <c r="O399" s="13" t="s">
        <v>5163</v>
      </c>
      <c r="P399" s="17" t="s">
        <v>802</v>
      </c>
      <c r="Q399" s="21" t="s">
        <v>7858</v>
      </c>
      <c r="R399" s="17" t="s">
        <v>801</v>
      </c>
      <c r="S399" s="18" t="s">
        <v>2585</v>
      </c>
      <c r="T399" s="17" t="s">
        <v>800</v>
      </c>
      <c r="U399" s="18" t="s">
        <v>5238</v>
      </c>
      <c r="V399" s="17" t="s">
        <v>9418</v>
      </c>
      <c r="W399" s="18" t="s">
        <v>5309</v>
      </c>
      <c r="X399" s="69" t="s">
        <v>9453</v>
      </c>
      <c r="Y399" s="70" t="s">
        <v>9462</v>
      </c>
      <c r="Z399" s="73" t="s">
        <v>9486</v>
      </c>
      <c r="AA399" s="74" t="s">
        <v>9504</v>
      </c>
      <c r="AB399" s="73" t="s">
        <v>9486</v>
      </c>
      <c r="AC399" s="74" t="s">
        <v>9566</v>
      </c>
      <c r="AD399" s="73" t="s">
        <v>9578</v>
      </c>
      <c r="AE399" s="74" t="s">
        <v>9579</v>
      </c>
    </row>
    <row r="400" spans="1:31" ht="8.65" customHeight="1" x14ac:dyDescent="0.2">
      <c r="A400" s="76">
        <v>400</v>
      </c>
      <c r="B400" s="67" t="str">
        <f>MID(C400, FIND("Ifc.", C400) + 4, 4) &amp; "_" &amp; TEXT(COUNTIF($C$2:C400, C400),"0000")</f>
        <v>Prop_0399</v>
      </c>
      <c r="C400" s="24" t="s">
        <v>872</v>
      </c>
      <c r="D400" s="69" t="s">
        <v>9453</v>
      </c>
      <c r="E400" s="70" t="s">
        <v>9454</v>
      </c>
      <c r="F400" s="17" t="s">
        <v>806</v>
      </c>
      <c r="G400" s="22" t="s">
        <v>1757</v>
      </c>
      <c r="H400" s="12" t="s">
        <v>9703</v>
      </c>
      <c r="I400" s="13" t="s">
        <v>7487</v>
      </c>
      <c r="J400" s="14" t="s">
        <v>798</v>
      </c>
      <c r="K400" s="15" t="s">
        <v>798</v>
      </c>
      <c r="L400" s="12" t="s">
        <v>5315</v>
      </c>
      <c r="M400" s="13" t="s">
        <v>5785</v>
      </c>
      <c r="N400" s="12" t="s">
        <v>803</v>
      </c>
      <c r="O400" s="13" t="s">
        <v>5183</v>
      </c>
      <c r="P400" s="17" t="s">
        <v>802</v>
      </c>
      <c r="Q400" s="21" t="s">
        <v>7859</v>
      </c>
      <c r="R400" s="17" t="s">
        <v>801</v>
      </c>
      <c r="S400" s="18" t="s">
        <v>2585</v>
      </c>
      <c r="T400" s="17" t="s">
        <v>800</v>
      </c>
      <c r="U400" s="18" t="s">
        <v>5238</v>
      </c>
      <c r="V400" s="17" t="s">
        <v>9418</v>
      </c>
      <c r="W400" s="18" t="s">
        <v>5309</v>
      </c>
      <c r="X400" s="69" t="s">
        <v>9453</v>
      </c>
      <c r="Y400" s="70" t="s">
        <v>9462</v>
      </c>
      <c r="Z400" s="73" t="s">
        <v>9486</v>
      </c>
      <c r="AA400" s="74" t="s">
        <v>9504</v>
      </c>
      <c r="AB400" s="73" t="s">
        <v>9486</v>
      </c>
      <c r="AC400" s="74" t="s">
        <v>9566</v>
      </c>
      <c r="AD400" s="73" t="s">
        <v>9578</v>
      </c>
      <c r="AE400" s="74" t="s">
        <v>9579</v>
      </c>
    </row>
    <row r="401" spans="1:31" ht="8.65" customHeight="1" x14ac:dyDescent="0.2">
      <c r="A401" s="76">
        <v>401</v>
      </c>
      <c r="B401" s="67" t="str">
        <f>MID(C401, FIND("Ifc.", C401) + 4, 4) &amp; "_" &amp; TEXT(COUNTIF($C$2:C401, C401),"0000")</f>
        <v>Prop_0400</v>
      </c>
      <c r="C401" s="24" t="s">
        <v>872</v>
      </c>
      <c r="D401" s="69" t="s">
        <v>9453</v>
      </c>
      <c r="E401" s="70" t="s">
        <v>9454</v>
      </c>
      <c r="F401" s="17" t="s">
        <v>806</v>
      </c>
      <c r="G401" s="22" t="s">
        <v>1757</v>
      </c>
      <c r="H401" s="12" t="s">
        <v>9703</v>
      </c>
      <c r="I401" s="13" t="s">
        <v>7487</v>
      </c>
      <c r="J401" s="14" t="s">
        <v>798</v>
      </c>
      <c r="K401" s="15" t="s">
        <v>798</v>
      </c>
      <c r="L401" s="12" t="s">
        <v>5315</v>
      </c>
      <c r="M401" s="13" t="s">
        <v>5787</v>
      </c>
      <c r="N401" s="12" t="s">
        <v>803</v>
      </c>
      <c r="O401" s="13" t="s">
        <v>5185</v>
      </c>
      <c r="P401" s="17" t="s">
        <v>802</v>
      </c>
      <c r="Q401" s="21" t="s">
        <v>7860</v>
      </c>
      <c r="R401" s="17" t="s">
        <v>801</v>
      </c>
      <c r="S401" s="18" t="s">
        <v>2585</v>
      </c>
      <c r="T401" s="17" t="s">
        <v>800</v>
      </c>
      <c r="U401" s="18" t="s">
        <v>5238</v>
      </c>
      <c r="V401" s="17" t="s">
        <v>9418</v>
      </c>
      <c r="W401" s="18" t="s">
        <v>5309</v>
      </c>
      <c r="X401" s="69" t="s">
        <v>9453</v>
      </c>
      <c r="Y401" s="70" t="s">
        <v>9462</v>
      </c>
      <c r="Z401" s="73" t="s">
        <v>9486</v>
      </c>
      <c r="AA401" s="74" t="s">
        <v>9504</v>
      </c>
      <c r="AB401" s="73" t="s">
        <v>9486</v>
      </c>
      <c r="AC401" s="74" t="s">
        <v>9566</v>
      </c>
      <c r="AD401" s="73" t="s">
        <v>9578</v>
      </c>
      <c r="AE401" s="74" t="s">
        <v>9579</v>
      </c>
    </row>
    <row r="402" spans="1:31" ht="8.65" customHeight="1" x14ac:dyDescent="0.2">
      <c r="A402" s="76">
        <v>402</v>
      </c>
      <c r="B402" s="67" t="str">
        <f>MID(C402, FIND("Ifc.", C402) + 4, 4) &amp; "_" &amp; TEXT(COUNTIF($C$2:C402, C402),"0000")</f>
        <v>Prop_0401</v>
      </c>
      <c r="C402" s="24" t="s">
        <v>872</v>
      </c>
      <c r="D402" s="69" t="s">
        <v>9453</v>
      </c>
      <c r="E402" s="70" t="s">
        <v>9454</v>
      </c>
      <c r="F402" s="17" t="s">
        <v>806</v>
      </c>
      <c r="G402" s="22" t="s">
        <v>1757</v>
      </c>
      <c r="H402" s="12" t="s">
        <v>9703</v>
      </c>
      <c r="I402" s="13" t="s">
        <v>7487</v>
      </c>
      <c r="J402" s="14" t="s">
        <v>798</v>
      </c>
      <c r="K402" s="15" t="s">
        <v>798</v>
      </c>
      <c r="L402" s="12" t="s">
        <v>5315</v>
      </c>
      <c r="M402" s="13" t="s">
        <v>5789</v>
      </c>
      <c r="N402" s="12" t="s">
        <v>803</v>
      </c>
      <c r="O402" s="13" t="s">
        <v>5187</v>
      </c>
      <c r="P402" s="17" t="s">
        <v>802</v>
      </c>
      <c r="Q402" s="21" t="s">
        <v>7861</v>
      </c>
      <c r="R402" s="17" t="s">
        <v>801</v>
      </c>
      <c r="S402" s="18" t="s">
        <v>2585</v>
      </c>
      <c r="T402" s="17" t="s">
        <v>800</v>
      </c>
      <c r="U402" s="18" t="s">
        <v>5238</v>
      </c>
      <c r="V402" s="17" t="s">
        <v>9418</v>
      </c>
      <c r="W402" s="18" t="s">
        <v>5309</v>
      </c>
      <c r="X402" s="69" t="s">
        <v>9453</v>
      </c>
      <c r="Y402" s="70" t="s">
        <v>9462</v>
      </c>
      <c r="Z402" s="73" t="s">
        <v>9486</v>
      </c>
      <c r="AA402" s="74" t="s">
        <v>9504</v>
      </c>
      <c r="AB402" s="73" t="s">
        <v>9486</v>
      </c>
      <c r="AC402" s="74" t="s">
        <v>9566</v>
      </c>
      <c r="AD402" s="73" t="s">
        <v>9578</v>
      </c>
      <c r="AE402" s="74" t="s">
        <v>9579</v>
      </c>
    </row>
    <row r="403" spans="1:31" ht="8.65" customHeight="1" x14ac:dyDescent="0.2">
      <c r="A403" s="76">
        <v>403</v>
      </c>
      <c r="B403" s="67" t="str">
        <f>MID(C403, FIND("Ifc.", C403) + 4, 4) &amp; "_" &amp; TEXT(COUNTIF($C$2:C403, C403),"0000")</f>
        <v>Prop_0402</v>
      </c>
      <c r="C403" s="24" t="s">
        <v>872</v>
      </c>
      <c r="D403" s="69" t="s">
        <v>9453</v>
      </c>
      <c r="E403" s="70" t="s">
        <v>9454</v>
      </c>
      <c r="F403" s="17" t="s">
        <v>806</v>
      </c>
      <c r="G403" s="22" t="s">
        <v>1757</v>
      </c>
      <c r="H403" s="12" t="s">
        <v>9703</v>
      </c>
      <c r="I403" s="13" t="s">
        <v>7487</v>
      </c>
      <c r="J403" s="14" t="s">
        <v>798</v>
      </c>
      <c r="K403" s="15" t="s">
        <v>798</v>
      </c>
      <c r="L403" s="12" t="s">
        <v>5315</v>
      </c>
      <c r="M403" s="13" t="s">
        <v>5790</v>
      </c>
      <c r="N403" s="12" t="s">
        <v>803</v>
      </c>
      <c r="O403" s="13" t="s">
        <v>5188</v>
      </c>
      <c r="P403" s="17" t="s">
        <v>802</v>
      </c>
      <c r="Q403" s="21" t="s">
        <v>7862</v>
      </c>
      <c r="R403" s="17" t="s">
        <v>801</v>
      </c>
      <c r="S403" s="18" t="s">
        <v>2585</v>
      </c>
      <c r="T403" s="17" t="s">
        <v>800</v>
      </c>
      <c r="U403" s="18" t="s">
        <v>5238</v>
      </c>
      <c r="V403" s="17" t="s">
        <v>9418</v>
      </c>
      <c r="W403" s="18" t="s">
        <v>5309</v>
      </c>
      <c r="X403" s="69" t="s">
        <v>9453</v>
      </c>
      <c r="Y403" s="70" t="s">
        <v>9462</v>
      </c>
      <c r="Z403" s="73" t="s">
        <v>9486</v>
      </c>
      <c r="AA403" s="74" t="s">
        <v>9504</v>
      </c>
      <c r="AB403" s="73" t="s">
        <v>9486</v>
      </c>
      <c r="AC403" s="74" t="s">
        <v>9566</v>
      </c>
      <c r="AD403" s="73" t="s">
        <v>9578</v>
      </c>
      <c r="AE403" s="74" t="s">
        <v>9579</v>
      </c>
    </row>
    <row r="404" spans="1:31" ht="8.65" customHeight="1" x14ac:dyDescent="0.2">
      <c r="A404" s="76">
        <v>404</v>
      </c>
      <c r="B404" s="67" t="str">
        <f>MID(C404, FIND("Ifc.", C404) + 4, 4) &amp; "_" &amp; TEXT(COUNTIF($C$2:C404, C404),"0000")</f>
        <v>Prop_0403</v>
      </c>
      <c r="C404" s="24" t="s">
        <v>872</v>
      </c>
      <c r="D404" s="69" t="s">
        <v>9453</v>
      </c>
      <c r="E404" s="70" t="s">
        <v>9454</v>
      </c>
      <c r="F404" s="17" t="s">
        <v>806</v>
      </c>
      <c r="G404" s="22" t="s">
        <v>2120</v>
      </c>
      <c r="H404" s="12" t="s">
        <v>9703</v>
      </c>
      <c r="I404" s="13" t="s">
        <v>6935</v>
      </c>
      <c r="J404" s="14" t="s">
        <v>798</v>
      </c>
      <c r="K404" s="15" t="s">
        <v>798</v>
      </c>
      <c r="L404" s="12" t="s">
        <v>5315</v>
      </c>
      <c r="M404" s="13" t="s">
        <v>5981</v>
      </c>
      <c r="N404" s="12" t="s">
        <v>803</v>
      </c>
      <c r="O404" s="13" t="s">
        <v>5106</v>
      </c>
      <c r="P404" s="17" t="s">
        <v>802</v>
      </c>
      <c r="Q404" s="21" t="s">
        <v>7863</v>
      </c>
      <c r="R404" s="17" t="s">
        <v>801</v>
      </c>
      <c r="S404" s="18" t="s">
        <v>2585</v>
      </c>
      <c r="T404" s="17" t="s">
        <v>800</v>
      </c>
      <c r="U404" s="18" t="s">
        <v>5238</v>
      </c>
      <c r="V404" s="17" t="s">
        <v>9418</v>
      </c>
      <c r="W404" s="18" t="s">
        <v>5309</v>
      </c>
      <c r="X404" s="69" t="s">
        <v>9453</v>
      </c>
      <c r="Y404" s="70" t="s">
        <v>9462</v>
      </c>
      <c r="Z404" s="73" t="s">
        <v>9486</v>
      </c>
      <c r="AA404" s="74" t="s">
        <v>9504</v>
      </c>
      <c r="AB404" s="73" t="s">
        <v>9486</v>
      </c>
      <c r="AC404" s="74" t="s">
        <v>9566</v>
      </c>
      <c r="AD404" s="73" t="s">
        <v>9578</v>
      </c>
      <c r="AE404" s="74" t="s">
        <v>9579</v>
      </c>
    </row>
    <row r="405" spans="1:31" ht="8.65" customHeight="1" x14ac:dyDescent="0.2">
      <c r="A405" s="76">
        <v>405</v>
      </c>
      <c r="B405" s="67" t="str">
        <f>MID(C405, FIND("Ifc.", C405) + 4, 4) &amp; "_" &amp; TEXT(COUNTIF($C$2:C405, C405),"0000")</f>
        <v>Prop_0404</v>
      </c>
      <c r="C405" s="24" t="s">
        <v>872</v>
      </c>
      <c r="D405" s="69" t="s">
        <v>9453</v>
      </c>
      <c r="E405" s="70" t="s">
        <v>9454</v>
      </c>
      <c r="F405" s="17" t="s">
        <v>806</v>
      </c>
      <c r="G405" s="22" t="s">
        <v>1954</v>
      </c>
      <c r="H405" s="12" t="s">
        <v>9703</v>
      </c>
      <c r="I405" s="13" t="s">
        <v>6921</v>
      </c>
      <c r="J405" s="14" t="s">
        <v>798</v>
      </c>
      <c r="K405" s="15" t="s">
        <v>798</v>
      </c>
      <c r="L405" s="12" t="s">
        <v>5315</v>
      </c>
      <c r="M405" s="13" t="s">
        <v>5472</v>
      </c>
      <c r="N405" s="12" t="s">
        <v>803</v>
      </c>
      <c r="O405" s="13" t="s">
        <v>5067</v>
      </c>
      <c r="P405" s="17" t="s">
        <v>802</v>
      </c>
      <c r="Q405" s="21" t="s">
        <v>7791</v>
      </c>
      <c r="R405" s="17" t="s">
        <v>801</v>
      </c>
      <c r="S405" s="18" t="s">
        <v>2583</v>
      </c>
      <c r="T405" s="17" t="s">
        <v>800</v>
      </c>
      <c r="U405" s="18" t="s">
        <v>5251</v>
      </c>
      <c r="V405" s="17" t="s">
        <v>9418</v>
      </c>
      <c r="W405" s="18" t="s">
        <v>5309</v>
      </c>
      <c r="X405" s="69" t="s">
        <v>9453</v>
      </c>
      <c r="Y405" s="70" t="s">
        <v>9462</v>
      </c>
      <c r="Z405" s="73" t="s">
        <v>9486</v>
      </c>
      <c r="AA405" s="74" t="s">
        <v>9504</v>
      </c>
      <c r="AB405" s="73" t="s">
        <v>9486</v>
      </c>
      <c r="AC405" s="74" t="s">
        <v>9566</v>
      </c>
      <c r="AD405" s="73" t="s">
        <v>9578</v>
      </c>
      <c r="AE405" s="74" t="s">
        <v>9579</v>
      </c>
    </row>
    <row r="406" spans="1:31" ht="8.65" customHeight="1" x14ac:dyDescent="0.2">
      <c r="A406" s="76">
        <v>406</v>
      </c>
      <c r="B406" s="67" t="str">
        <f>MID(C406, FIND("Ifc.", C406) + 4, 4) &amp; "_" &amp; TEXT(COUNTIF($C$2:C406, C406),"0000")</f>
        <v>Prop_0405</v>
      </c>
      <c r="C406" s="24" t="s">
        <v>872</v>
      </c>
      <c r="D406" s="69" t="s">
        <v>9453</v>
      </c>
      <c r="E406" s="70" t="s">
        <v>9454</v>
      </c>
      <c r="F406" s="17" t="s">
        <v>806</v>
      </c>
      <c r="G406" s="22" t="s">
        <v>1370</v>
      </c>
      <c r="H406" s="12" t="s">
        <v>9703</v>
      </c>
      <c r="I406" s="13" t="s">
        <v>6290</v>
      </c>
      <c r="J406" s="14" t="s">
        <v>798</v>
      </c>
      <c r="K406" s="15" t="s">
        <v>798</v>
      </c>
      <c r="L406" s="12" t="s">
        <v>5315</v>
      </c>
      <c r="M406" s="13" t="s">
        <v>6031</v>
      </c>
      <c r="N406" s="12" t="s">
        <v>803</v>
      </c>
      <c r="O406" s="13" t="s">
        <v>4919</v>
      </c>
      <c r="P406" s="17" t="s">
        <v>802</v>
      </c>
      <c r="Q406" s="21" t="s">
        <v>7818</v>
      </c>
      <c r="R406" s="17" t="s">
        <v>801</v>
      </c>
      <c r="S406" s="18" t="s">
        <v>2585</v>
      </c>
      <c r="T406" s="17" t="s">
        <v>800</v>
      </c>
      <c r="U406" s="18" t="s">
        <v>5238</v>
      </c>
      <c r="V406" s="17" t="s">
        <v>9418</v>
      </c>
      <c r="W406" s="18" t="s">
        <v>5309</v>
      </c>
      <c r="X406" s="69" t="s">
        <v>9453</v>
      </c>
      <c r="Y406" s="70" t="s">
        <v>9462</v>
      </c>
      <c r="Z406" s="73" t="s">
        <v>9486</v>
      </c>
      <c r="AA406" s="74" t="s">
        <v>9504</v>
      </c>
      <c r="AB406" s="73" t="s">
        <v>9486</v>
      </c>
      <c r="AC406" s="74" t="s">
        <v>9566</v>
      </c>
      <c r="AD406" s="73" t="s">
        <v>9578</v>
      </c>
      <c r="AE406" s="74" t="s">
        <v>9579</v>
      </c>
    </row>
    <row r="407" spans="1:31" ht="8.65" customHeight="1" x14ac:dyDescent="0.2">
      <c r="A407" s="76">
        <v>407</v>
      </c>
      <c r="B407" s="67" t="str">
        <f>MID(C407, FIND("Ifc.", C407) + 4, 4) &amp; "_" &amp; TEXT(COUNTIF($C$2:C407, C407),"0000")</f>
        <v>Prop_0406</v>
      </c>
      <c r="C407" s="24" t="s">
        <v>872</v>
      </c>
      <c r="D407" s="69" t="s">
        <v>9453</v>
      </c>
      <c r="E407" s="70" t="s">
        <v>9454</v>
      </c>
      <c r="F407" s="17" t="s">
        <v>806</v>
      </c>
      <c r="G407" s="22" t="s">
        <v>1761</v>
      </c>
      <c r="H407" s="12" t="s">
        <v>9703</v>
      </c>
      <c r="I407" s="13" t="s">
        <v>7571</v>
      </c>
      <c r="J407" s="14" t="s">
        <v>798</v>
      </c>
      <c r="K407" s="15" t="s">
        <v>798</v>
      </c>
      <c r="L407" s="12" t="s">
        <v>5315</v>
      </c>
      <c r="M407" s="13" t="s">
        <v>5451</v>
      </c>
      <c r="N407" s="12" t="s">
        <v>803</v>
      </c>
      <c r="O407" s="13" t="s">
        <v>5009</v>
      </c>
      <c r="P407" s="17" t="s">
        <v>802</v>
      </c>
      <c r="Q407" s="21" t="s">
        <v>7857</v>
      </c>
      <c r="R407" s="17" t="s">
        <v>801</v>
      </c>
      <c r="S407" s="18" t="s">
        <v>2585</v>
      </c>
      <c r="T407" s="17" t="s">
        <v>800</v>
      </c>
      <c r="U407" s="18" t="s">
        <v>5238</v>
      </c>
      <c r="V407" s="17" t="s">
        <v>9418</v>
      </c>
      <c r="W407" s="18" t="s">
        <v>5309</v>
      </c>
      <c r="X407" s="69" t="s">
        <v>9453</v>
      </c>
      <c r="Y407" s="70" t="s">
        <v>9462</v>
      </c>
      <c r="Z407" s="73" t="s">
        <v>9486</v>
      </c>
      <c r="AA407" s="74" t="s">
        <v>9504</v>
      </c>
      <c r="AB407" s="73" t="s">
        <v>9486</v>
      </c>
      <c r="AC407" s="74" t="s">
        <v>9566</v>
      </c>
      <c r="AD407" s="73" t="s">
        <v>9578</v>
      </c>
      <c r="AE407" s="74" t="s">
        <v>9579</v>
      </c>
    </row>
    <row r="408" spans="1:31" ht="8.65" customHeight="1" x14ac:dyDescent="0.2">
      <c r="A408" s="76">
        <v>408</v>
      </c>
      <c r="B408" s="67" t="str">
        <f>MID(C408, FIND("Ifc.", C408) + 4, 4) &amp; "_" &amp; TEXT(COUNTIF($C$2:C408, C408),"0000")</f>
        <v>Prop_0407</v>
      </c>
      <c r="C408" s="24" t="s">
        <v>872</v>
      </c>
      <c r="D408" s="69" t="s">
        <v>9453</v>
      </c>
      <c r="E408" s="70" t="s">
        <v>9454</v>
      </c>
      <c r="F408" s="17" t="s">
        <v>806</v>
      </c>
      <c r="G408" s="22" t="s">
        <v>1761</v>
      </c>
      <c r="H408" s="12" t="s">
        <v>9703</v>
      </c>
      <c r="I408" s="13" t="s">
        <v>7571</v>
      </c>
      <c r="J408" s="14" t="s">
        <v>798</v>
      </c>
      <c r="K408" s="15" t="s">
        <v>798</v>
      </c>
      <c r="L408" s="12" t="s">
        <v>5315</v>
      </c>
      <c r="M408" s="13" t="s">
        <v>5858</v>
      </c>
      <c r="N408" s="12" t="s">
        <v>803</v>
      </c>
      <c r="O408" s="13" t="s">
        <v>5163</v>
      </c>
      <c r="P408" s="17" t="s">
        <v>802</v>
      </c>
      <c r="Q408" s="21" t="s">
        <v>7858</v>
      </c>
      <c r="R408" s="17" t="s">
        <v>801</v>
      </c>
      <c r="S408" s="18" t="s">
        <v>2585</v>
      </c>
      <c r="T408" s="17" t="s">
        <v>800</v>
      </c>
      <c r="U408" s="18" t="s">
        <v>5238</v>
      </c>
      <c r="V408" s="17" t="s">
        <v>9418</v>
      </c>
      <c r="W408" s="18" t="s">
        <v>5309</v>
      </c>
      <c r="X408" s="69" t="s">
        <v>9453</v>
      </c>
      <c r="Y408" s="70" t="s">
        <v>9462</v>
      </c>
      <c r="Z408" s="73" t="s">
        <v>9486</v>
      </c>
      <c r="AA408" s="74" t="s">
        <v>9504</v>
      </c>
      <c r="AB408" s="73" t="s">
        <v>9486</v>
      </c>
      <c r="AC408" s="74" t="s">
        <v>9566</v>
      </c>
      <c r="AD408" s="73" t="s">
        <v>9578</v>
      </c>
      <c r="AE408" s="74" t="s">
        <v>9579</v>
      </c>
    </row>
    <row r="409" spans="1:31" ht="8.65" customHeight="1" x14ac:dyDescent="0.2">
      <c r="A409" s="76">
        <v>409</v>
      </c>
      <c r="B409" s="67" t="str">
        <f>MID(C409, FIND("Ifc.", C409) + 4, 4) &amp; "_" &amp; TEXT(COUNTIF($C$2:C409, C409),"0000")</f>
        <v>Prop_0408</v>
      </c>
      <c r="C409" s="24" t="s">
        <v>872</v>
      </c>
      <c r="D409" s="69" t="s">
        <v>9453</v>
      </c>
      <c r="E409" s="70" t="s">
        <v>9454</v>
      </c>
      <c r="F409" s="17" t="s">
        <v>806</v>
      </c>
      <c r="G409" s="22" t="s">
        <v>1761</v>
      </c>
      <c r="H409" s="12" t="s">
        <v>9703</v>
      </c>
      <c r="I409" s="13" t="s">
        <v>7571</v>
      </c>
      <c r="J409" s="14" t="s">
        <v>798</v>
      </c>
      <c r="K409" s="15" t="s">
        <v>798</v>
      </c>
      <c r="L409" s="12" t="s">
        <v>5315</v>
      </c>
      <c r="M409" s="13" t="s">
        <v>5785</v>
      </c>
      <c r="N409" s="12" t="s">
        <v>803</v>
      </c>
      <c r="O409" s="13" t="s">
        <v>5183</v>
      </c>
      <c r="P409" s="17" t="s">
        <v>802</v>
      </c>
      <c r="Q409" s="21" t="s">
        <v>7859</v>
      </c>
      <c r="R409" s="17" t="s">
        <v>801</v>
      </c>
      <c r="S409" s="18" t="s">
        <v>2585</v>
      </c>
      <c r="T409" s="17" t="s">
        <v>800</v>
      </c>
      <c r="U409" s="18" t="s">
        <v>5238</v>
      </c>
      <c r="V409" s="17" t="s">
        <v>9418</v>
      </c>
      <c r="W409" s="18" t="s">
        <v>5309</v>
      </c>
      <c r="X409" s="69" t="s">
        <v>9453</v>
      </c>
      <c r="Y409" s="70" t="s">
        <v>9462</v>
      </c>
      <c r="Z409" s="73" t="s">
        <v>9486</v>
      </c>
      <c r="AA409" s="74" t="s">
        <v>9504</v>
      </c>
      <c r="AB409" s="73" t="s">
        <v>9486</v>
      </c>
      <c r="AC409" s="74" t="s">
        <v>9566</v>
      </c>
      <c r="AD409" s="73" t="s">
        <v>9578</v>
      </c>
      <c r="AE409" s="74" t="s">
        <v>9579</v>
      </c>
    </row>
    <row r="410" spans="1:31" ht="8.65" customHeight="1" x14ac:dyDescent="0.2">
      <c r="A410" s="76">
        <v>410</v>
      </c>
      <c r="B410" s="67" t="str">
        <f>MID(C410, FIND("Ifc.", C410) + 4, 4) &amp; "_" &amp; TEXT(COUNTIF($C$2:C410, C410),"0000")</f>
        <v>Prop_0409</v>
      </c>
      <c r="C410" s="24" t="s">
        <v>872</v>
      </c>
      <c r="D410" s="69" t="s">
        <v>9453</v>
      </c>
      <c r="E410" s="70" t="s">
        <v>9454</v>
      </c>
      <c r="F410" s="17" t="s">
        <v>806</v>
      </c>
      <c r="G410" s="22" t="s">
        <v>1761</v>
      </c>
      <c r="H410" s="12" t="s">
        <v>9703</v>
      </c>
      <c r="I410" s="13" t="s">
        <v>7571</v>
      </c>
      <c r="J410" s="14" t="s">
        <v>798</v>
      </c>
      <c r="K410" s="15" t="s">
        <v>798</v>
      </c>
      <c r="L410" s="12" t="s">
        <v>5315</v>
      </c>
      <c r="M410" s="13" t="s">
        <v>5787</v>
      </c>
      <c r="N410" s="12" t="s">
        <v>803</v>
      </c>
      <c r="O410" s="13" t="s">
        <v>5185</v>
      </c>
      <c r="P410" s="17" t="s">
        <v>802</v>
      </c>
      <c r="Q410" s="21" t="s">
        <v>7860</v>
      </c>
      <c r="R410" s="17" t="s">
        <v>801</v>
      </c>
      <c r="S410" s="18" t="s">
        <v>2585</v>
      </c>
      <c r="T410" s="17" t="s">
        <v>800</v>
      </c>
      <c r="U410" s="18" t="s">
        <v>5238</v>
      </c>
      <c r="V410" s="17" t="s">
        <v>9418</v>
      </c>
      <c r="W410" s="18" t="s">
        <v>5309</v>
      </c>
      <c r="X410" s="69" t="s">
        <v>9453</v>
      </c>
      <c r="Y410" s="70" t="s">
        <v>9462</v>
      </c>
      <c r="Z410" s="73" t="s">
        <v>9486</v>
      </c>
      <c r="AA410" s="74" t="s">
        <v>9504</v>
      </c>
      <c r="AB410" s="73" t="s">
        <v>9486</v>
      </c>
      <c r="AC410" s="74" t="s">
        <v>9566</v>
      </c>
      <c r="AD410" s="73" t="s">
        <v>9578</v>
      </c>
      <c r="AE410" s="74" t="s">
        <v>9579</v>
      </c>
    </row>
    <row r="411" spans="1:31" ht="8.65" customHeight="1" x14ac:dyDescent="0.2">
      <c r="A411" s="76">
        <v>411</v>
      </c>
      <c r="B411" s="67" t="str">
        <f>MID(C411, FIND("Ifc.", C411) + 4, 4) &amp; "_" &amp; TEXT(COUNTIF($C$2:C411, C411),"0000")</f>
        <v>Prop_0410</v>
      </c>
      <c r="C411" s="24" t="s">
        <v>872</v>
      </c>
      <c r="D411" s="69" t="s">
        <v>9453</v>
      </c>
      <c r="E411" s="70" t="s">
        <v>9454</v>
      </c>
      <c r="F411" s="17" t="s">
        <v>806</v>
      </c>
      <c r="G411" s="22" t="s">
        <v>1761</v>
      </c>
      <c r="H411" s="12" t="s">
        <v>9703</v>
      </c>
      <c r="I411" s="13" t="s">
        <v>7571</v>
      </c>
      <c r="J411" s="14" t="s">
        <v>798</v>
      </c>
      <c r="K411" s="15" t="s">
        <v>798</v>
      </c>
      <c r="L411" s="12" t="s">
        <v>5315</v>
      </c>
      <c r="M411" s="13" t="s">
        <v>5790</v>
      </c>
      <c r="N411" s="12" t="s">
        <v>803</v>
      </c>
      <c r="O411" s="13" t="s">
        <v>5188</v>
      </c>
      <c r="P411" s="17" t="s">
        <v>802</v>
      </c>
      <c r="Q411" s="21" t="s">
        <v>7862</v>
      </c>
      <c r="R411" s="17" t="s">
        <v>801</v>
      </c>
      <c r="S411" s="18" t="s">
        <v>2585</v>
      </c>
      <c r="T411" s="17" t="s">
        <v>800</v>
      </c>
      <c r="U411" s="18" t="s">
        <v>5238</v>
      </c>
      <c r="V411" s="17" t="s">
        <v>9418</v>
      </c>
      <c r="W411" s="18" t="s">
        <v>5309</v>
      </c>
      <c r="X411" s="69" t="s">
        <v>9453</v>
      </c>
      <c r="Y411" s="70" t="s">
        <v>9462</v>
      </c>
      <c r="Z411" s="73" t="s">
        <v>9486</v>
      </c>
      <c r="AA411" s="74" t="s">
        <v>9504</v>
      </c>
      <c r="AB411" s="73" t="s">
        <v>9486</v>
      </c>
      <c r="AC411" s="74" t="s">
        <v>9566</v>
      </c>
      <c r="AD411" s="73" t="s">
        <v>9578</v>
      </c>
      <c r="AE411" s="74" t="s">
        <v>9579</v>
      </c>
    </row>
    <row r="412" spans="1:31" ht="8.65" customHeight="1" x14ac:dyDescent="0.2">
      <c r="A412" s="76">
        <v>412</v>
      </c>
      <c r="B412" s="67" t="str">
        <f>MID(C412, FIND("Ifc.", C412) + 4, 4) &amp; "_" &amp; TEXT(COUNTIF($C$2:C412, C412),"0000")</f>
        <v>Prop_0411</v>
      </c>
      <c r="C412" s="24" t="s">
        <v>872</v>
      </c>
      <c r="D412" s="69" t="s">
        <v>9453</v>
      </c>
      <c r="E412" s="70" t="s">
        <v>9454</v>
      </c>
      <c r="F412" s="17" t="s">
        <v>806</v>
      </c>
      <c r="G412" s="22" t="s">
        <v>2396</v>
      </c>
      <c r="H412" s="12" t="s">
        <v>9703</v>
      </c>
      <c r="I412" s="13" t="s">
        <v>7572</v>
      </c>
      <c r="J412" s="14" t="s">
        <v>798</v>
      </c>
      <c r="K412" s="15" t="s">
        <v>798</v>
      </c>
      <c r="L412" s="12" t="s">
        <v>5315</v>
      </c>
      <c r="M412" s="13" t="s">
        <v>5789</v>
      </c>
      <c r="N412" s="12" t="s">
        <v>803</v>
      </c>
      <c r="O412" s="13" t="s">
        <v>5187</v>
      </c>
      <c r="P412" s="17" t="s">
        <v>802</v>
      </c>
      <c r="Q412" s="21" t="s">
        <v>7861</v>
      </c>
      <c r="R412" s="17" t="s">
        <v>801</v>
      </c>
      <c r="S412" s="18" t="s">
        <v>2585</v>
      </c>
      <c r="T412" s="17" t="s">
        <v>800</v>
      </c>
      <c r="U412" s="18" t="s">
        <v>5238</v>
      </c>
      <c r="V412" s="17" t="s">
        <v>9418</v>
      </c>
      <c r="W412" s="18" t="s">
        <v>5309</v>
      </c>
      <c r="X412" s="69" t="s">
        <v>9453</v>
      </c>
      <c r="Y412" s="70" t="s">
        <v>9462</v>
      </c>
      <c r="Z412" s="73" t="s">
        <v>9486</v>
      </c>
      <c r="AA412" s="74" t="s">
        <v>9504</v>
      </c>
      <c r="AB412" s="73" t="s">
        <v>9486</v>
      </c>
      <c r="AC412" s="74" t="s">
        <v>9566</v>
      </c>
      <c r="AD412" s="73" t="s">
        <v>9578</v>
      </c>
      <c r="AE412" s="74" t="s">
        <v>9579</v>
      </c>
    </row>
    <row r="413" spans="1:31" ht="8.65" customHeight="1" x14ac:dyDescent="0.2">
      <c r="A413" s="76">
        <v>413</v>
      </c>
      <c r="B413" s="67" t="str">
        <f>MID(C413, FIND("Ifc.", C413) + 4, 4) &amp; "_" &amp; TEXT(COUNTIF($C$2:C413, C413),"0000")</f>
        <v>Prop_0412</v>
      </c>
      <c r="C413" s="24" t="s">
        <v>872</v>
      </c>
      <c r="D413" s="69" t="s">
        <v>9453</v>
      </c>
      <c r="E413" s="70" t="s">
        <v>9454</v>
      </c>
      <c r="F413" s="17" t="s">
        <v>806</v>
      </c>
      <c r="G413" s="22" t="s">
        <v>1464</v>
      </c>
      <c r="H413" s="12" t="s">
        <v>9703</v>
      </c>
      <c r="I413" s="13" t="s">
        <v>6343</v>
      </c>
      <c r="J413" s="14" t="s">
        <v>798</v>
      </c>
      <c r="K413" s="15" t="s">
        <v>798</v>
      </c>
      <c r="L413" s="12" t="s">
        <v>5315</v>
      </c>
      <c r="M413" s="13" t="s">
        <v>5441</v>
      </c>
      <c r="N413" s="12" t="s">
        <v>803</v>
      </c>
      <c r="O413" s="13" t="s">
        <v>4940</v>
      </c>
      <c r="P413" s="17" t="s">
        <v>802</v>
      </c>
      <c r="Q413" s="21" t="s">
        <v>7864</v>
      </c>
      <c r="R413" s="17" t="s">
        <v>801</v>
      </c>
      <c r="S413" s="18" t="s">
        <v>2585</v>
      </c>
      <c r="T413" s="17" t="s">
        <v>800</v>
      </c>
      <c r="U413" s="18" t="s">
        <v>5238</v>
      </c>
      <c r="V413" s="17" t="s">
        <v>9418</v>
      </c>
      <c r="W413" s="18" t="s">
        <v>5309</v>
      </c>
      <c r="X413" s="69" t="s">
        <v>9453</v>
      </c>
      <c r="Y413" s="70" t="s">
        <v>9462</v>
      </c>
      <c r="Z413" s="73" t="s">
        <v>9486</v>
      </c>
      <c r="AA413" s="74" t="s">
        <v>9504</v>
      </c>
      <c r="AB413" s="73" t="s">
        <v>9486</v>
      </c>
      <c r="AC413" s="74" t="s">
        <v>9566</v>
      </c>
      <c r="AD413" s="73" t="s">
        <v>9578</v>
      </c>
      <c r="AE413" s="74" t="s">
        <v>9579</v>
      </c>
    </row>
    <row r="414" spans="1:31" ht="8.65" customHeight="1" x14ac:dyDescent="0.2">
      <c r="A414" s="76">
        <v>414</v>
      </c>
      <c r="B414" s="67" t="str">
        <f>MID(C414, FIND("Ifc.", C414) + 4, 4) &amp; "_" &amp; TEXT(COUNTIF($C$2:C414, C414),"0000")</f>
        <v>Prop_0413</v>
      </c>
      <c r="C414" s="24" t="s">
        <v>872</v>
      </c>
      <c r="D414" s="69" t="s">
        <v>9453</v>
      </c>
      <c r="E414" s="70" t="s">
        <v>9454</v>
      </c>
      <c r="F414" s="17" t="s">
        <v>806</v>
      </c>
      <c r="G414" s="22" t="s">
        <v>1464</v>
      </c>
      <c r="H414" s="12" t="s">
        <v>9703</v>
      </c>
      <c r="I414" s="13" t="s">
        <v>6343</v>
      </c>
      <c r="J414" s="14" t="s">
        <v>798</v>
      </c>
      <c r="K414" s="15" t="s">
        <v>798</v>
      </c>
      <c r="L414" s="12" t="s">
        <v>5315</v>
      </c>
      <c r="M414" s="13" t="s">
        <v>5463</v>
      </c>
      <c r="N414" s="12" t="s">
        <v>803</v>
      </c>
      <c r="O414" s="13" t="s">
        <v>5048</v>
      </c>
      <c r="P414" s="17" t="s">
        <v>802</v>
      </c>
      <c r="Q414" s="21" t="s">
        <v>7713</v>
      </c>
      <c r="R414" s="17" t="s">
        <v>801</v>
      </c>
      <c r="S414" s="18" t="s">
        <v>2585</v>
      </c>
      <c r="T414" s="17" t="s">
        <v>800</v>
      </c>
      <c r="U414" s="18" t="s">
        <v>5238</v>
      </c>
      <c r="V414" s="17" t="s">
        <v>9418</v>
      </c>
      <c r="W414" s="18" t="s">
        <v>5309</v>
      </c>
      <c r="X414" s="69" t="s">
        <v>9453</v>
      </c>
      <c r="Y414" s="70" t="s">
        <v>9462</v>
      </c>
      <c r="Z414" s="73" t="s">
        <v>9486</v>
      </c>
      <c r="AA414" s="74" t="s">
        <v>9504</v>
      </c>
      <c r="AB414" s="73" t="s">
        <v>9486</v>
      </c>
      <c r="AC414" s="74" t="s">
        <v>9566</v>
      </c>
      <c r="AD414" s="73" t="s">
        <v>9578</v>
      </c>
      <c r="AE414" s="74" t="s">
        <v>9579</v>
      </c>
    </row>
    <row r="415" spans="1:31" ht="8.65" customHeight="1" x14ac:dyDescent="0.2">
      <c r="A415" s="76">
        <v>415</v>
      </c>
      <c r="B415" s="67" t="str">
        <f>MID(C415, FIND("Ifc.", C415) + 4, 4) &amp; "_" &amp; TEXT(COUNTIF($C$2:C415, C415),"0000")</f>
        <v>Prop_0414</v>
      </c>
      <c r="C415" s="24" t="s">
        <v>872</v>
      </c>
      <c r="D415" s="69" t="s">
        <v>9453</v>
      </c>
      <c r="E415" s="70" t="s">
        <v>9454</v>
      </c>
      <c r="F415" s="17" t="s">
        <v>806</v>
      </c>
      <c r="G415" s="22" t="s">
        <v>1464</v>
      </c>
      <c r="H415" s="12" t="s">
        <v>9703</v>
      </c>
      <c r="I415" s="13" t="s">
        <v>6343</v>
      </c>
      <c r="J415" s="14" t="s">
        <v>798</v>
      </c>
      <c r="K415" s="15" t="s">
        <v>798</v>
      </c>
      <c r="L415" s="12" t="s">
        <v>5315</v>
      </c>
      <c r="M415" s="13" t="s">
        <v>5797</v>
      </c>
      <c r="N415" s="12" t="s">
        <v>803</v>
      </c>
      <c r="O415" s="13" t="s">
        <v>5191</v>
      </c>
      <c r="P415" s="17" t="s">
        <v>802</v>
      </c>
      <c r="Q415" s="21" t="s">
        <v>7865</v>
      </c>
      <c r="R415" s="17" t="s">
        <v>801</v>
      </c>
      <c r="S415" s="18" t="s">
        <v>2585</v>
      </c>
      <c r="T415" s="17" t="s">
        <v>800</v>
      </c>
      <c r="U415" s="18" t="s">
        <v>5238</v>
      </c>
      <c r="V415" s="17" t="s">
        <v>9418</v>
      </c>
      <c r="W415" s="18" t="s">
        <v>5309</v>
      </c>
      <c r="X415" s="69" t="s">
        <v>9453</v>
      </c>
      <c r="Y415" s="70" t="s">
        <v>9462</v>
      </c>
      <c r="Z415" s="73" t="s">
        <v>9486</v>
      </c>
      <c r="AA415" s="74" t="s">
        <v>9504</v>
      </c>
      <c r="AB415" s="73" t="s">
        <v>9486</v>
      </c>
      <c r="AC415" s="74" t="s">
        <v>9566</v>
      </c>
      <c r="AD415" s="73" t="s">
        <v>9578</v>
      </c>
      <c r="AE415" s="74" t="s">
        <v>9579</v>
      </c>
    </row>
    <row r="416" spans="1:31" ht="8.65" customHeight="1" x14ac:dyDescent="0.2">
      <c r="A416" s="76">
        <v>416</v>
      </c>
      <c r="B416" s="67" t="str">
        <f>MID(C416, FIND("Ifc.", C416) + 4, 4) &amp; "_" &amp; TEXT(COUNTIF($C$2:C416, C416),"0000")</f>
        <v>Prop_0415</v>
      </c>
      <c r="C416" s="24" t="s">
        <v>872</v>
      </c>
      <c r="D416" s="69" t="s">
        <v>9453</v>
      </c>
      <c r="E416" s="70" t="s">
        <v>9454</v>
      </c>
      <c r="F416" s="17" t="s">
        <v>806</v>
      </c>
      <c r="G416" s="22" t="s">
        <v>2349</v>
      </c>
      <c r="H416" s="12" t="s">
        <v>9703</v>
      </c>
      <c r="I416" s="13" t="s">
        <v>6742</v>
      </c>
      <c r="J416" s="14" t="s">
        <v>798</v>
      </c>
      <c r="K416" s="15" t="s">
        <v>798</v>
      </c>
      <c r="L416" s="12" t="s">
        <v>5315</v>
      </c>
      <c r="M416" s="13" t="s">
        <v>5560</v>
      </c>
      <c r="N416" s="12" t="s">
        <v>803</v>
      </c>
      <c r="O416" s="13" t="s">
        <v>5174</v>
      </c>
      <c r="P416" s="17" t="s">
        <v>802</v>
      </c>
      <c r="Q416" s="21" t="s">
        <v>7793</v>
      </c>
      <c r="R416" s="17" t="s">
        <v>801</v>
      </c>
      <c r="S416" s="18" t="s">
        <v>2585</v>
      </c>
      <c r="T416" s="17" t="s">
        <v>800</v>
      </c>
      <c r="U416" s="18" t="s">
        <v>5238</v>
      </c>
      <c r="V416" s="17" t="s">
        <v>9418</v>
      </c>
      <c r="W416" s="18" t="s">
        <v>5309</v>
      </c>
      <c r="X416" s="69" t="s">
        <v>9453</v>
      </c>
      <c r="Y416" s="70" t="s">
        <v>9462</v>
      </c>
      <c r="Z416" s="73" t="s">
        <v>9486</v>
      </c>
      <c r="AA416" s="74" t="s">
        <v>9504</v>
      </c>
      <c r="AB416" s="73" t="s">
        <v>9486</v>
      </c>
      <c r="AC416" s="74" t="s">
        <v>9566</v>
      </c>
      <c r="AD416" s="73" t="s">
        <v>9578</v>
      </c>
      <c r="AE416" s="74" t="s">
        <v>9579</v>
      </c>
    </row>
    <row r="417" spans="1:31" ht="8.65" customHeight="1" x14ac:dyDescent="0.2">
      <c r="A417" s="76">
        <v>417</v>
      </c>
      <c r="B417" s="67" t="str">
        <f>MID(C417, FIND("Ifc.", C417) + 4, 4) &amp; "_" &amp; TEXT(COUNTIF($C$2:C417, C417),"0000")</f>
        <v>Prop_0416</v>
      </c>
      <c r="C417" s="24" t="s">
        <v>872</v>
      </c>
      <c r="D417" s="69" t="s">
        <v>9453</v>
      </c>
      <c r="E417" s="70" t="s">
        <v>9454</v>
      </c>
      <c r="F417" s="17" t="s">
        <v>806</v>
      </c>
      <c r="G417" s="22" t="s">
        <v>1090</v>
      </c>
      <c r="H417" s="12" t="s">
        <v>9703</v>
      </c>
      <c r="I417" s="13" t="s">
        <v>6154</v>
      </c>
      <c r="J417" s="14" t="s">
        <v>798</v>
      </c>
      <c r="K417" s="15" t="s">
        <v>798</v>
      </c>
      <c r="L417" s="12" t="s">
        <v>5315</v>
      </c>
      <c r="M417" s="13" t="s">
        <v>5994</v>
      </c>
      <c r="N417" s="12" t="s">
        <v>803</v>
      </c>
      <c r="O417" s="13" t="s">
        <v>4854</v>
      </c>
      <c r="P417" s="17" t="s">
        <v>802</v>
      </c>
      <c r="Q417" s="21" t="s">
        <v>7825</v>
      </c>
      <c r="R417" s="17" t="s">
        <v>801</v>
      </c>
      <c r="S417" s="18" t="s">
        <v>2585</v>
      </c>
      <c r="T417" s="17" t="s">
        <v>800</v>
      </c>
      <c r="U417" s="18" t="s">
        <v>5238</v>
      </c>
      <c r="V417" s="17" t="s">
        <v>9418</v>
      </c>
      <c r="W417" s="18" t="s">
        <v>5309</v>
      </c>
      <c r="X417" s="69" t="s">
        <v>9453</v>
      </c>
      <c r="Y417" s="70" t="s">
        <v>9462</v>
      </c>
      <c r="Z417" s="73" t="s">
        <v>9486</v>
      </c>
      <c r="AA417" s="74" t="s">
        <v>9504</v>
      </c>
      <c r="AB417" s="73" t="s">
        <v>9486</v>
      </c>
      <c r="AC417" s="74" t="s">
        <v>9566</v>
      </c>
      <c r="AD417" s="73" t="s">
        <v>9578</v>
      </c>
      <c r="AE417" s="74" t="s">
        <v>9579</v>
      </c>
    </row>
    <row r="418" spans="1:31" ht="8.65" customHeight="1" x14ac:dyDescent="0.2">
      <c r="A418" s="76">
        <v>418</v>
      </c>
      <c r="B418" s="67" t="str">
        <f>MID(C418, FIND("Ifc.", C418) + 4, 4) &amp; "_" &amp; TEXT(COUNTIF($C$2:C418, C418),"0000")</f>
        <v>Prop_0417</v>
      </c>
      <c r="C418" s="24" t="s">
        <v>872</v>
      </c>
      <c r="D418" s="69" t="s">
        <v>9453</v>
      </c>
      <c r="E418" s="70" t="s">
        <v>9454</v>
      </c>
      <c r="F418" s="17" t="s">
        <v>806</v>
      </c>
      <c r="G418" s="22" t="s">
        <v>1090</v>
      </c>
      <c r="H418" s="12" t="s">
        <v>9703</v>
      </c>
      <c r="I418" s="13" t="s">
        <v>6154</v>
      </c>
      <c r="J418" s="14" t="s">
        <v>798</v>
      </c>
      <c r="K418" s="15" t="s">
        <v>798</v>
      </c>
      <c r="L418" s="12" t="s">
        <v>5315</v>
      </c>
      <c r="M418" s="13" t="s">
        <v>5389</v>
      </c>
      <c r="N418" s="12" t="s">
        <v>803</v>
      </c>
      <c r="O418" s="13" t="s">
        <v>4851</v>
      </c>
      <c r="P418" s="17" t="s">
        <v>802</v>
      </c>
      <c r="Q418" s="21" t="s">
        <v>7826</v>
      </c>
      <c r="R418" s="17" t="s">
        <v>801</v>
      </c>
      <c r="S418" s="18" t="s">
        <v>2585</v>
      </c>
      <c r="T418" s="17" t="s">
        <v>800</v>
      </c>
      <c r="U418" s="18" t="s">
        <v>5238</v>
      </c>
      <c r="V418" s="17" t="s">
        <v>9418</v>
      </c>
      <c r="W418" s="18" t="s">
        <v>5309</v>
      </c>
      <c r="X418" s="69" t="s">
        <v>9453</v>
      </c>
      <c r="Y418" s="70" t="s">
        <v>9462</v>
      </c>
      <c r="Z418" s="73" t="s">
        <v>9486</v>
      </c>
      <c r="AA418" s="74" t="s">
        <v>9504</v>
      </c>
      <c r="AB418" s="73" t="s">
        <v>9486</v>
      </c>
      <c r="AC418" s="74" t="s">
        <v>9566</v>
      </c>
      <c r="AD418" s="73" t="s">
        <v>9578</v>
      </c>
      <c r="AE418" s="74" t="s">
        <v>9579</v>
      </c>
    </row>
    <row r="419" spans="1:31" ht="8.65" customHeight="1" x14ac:dyDescent="0.2">
      <c r="A419" s="76">
        <v>419</v>
      </c>
      <c r="B419" s="67" t="str">
        <f>MID(C419, FIND("Ifc.", C419) + 4, 4) &amp; "_" &amp; TEXT(COUNTIF($C$2:C419, C419),"0000")</f>
        <v>Prop_0418</v>
      </c>
      <c r="C419" s="24" t="s">
        <v>872</v>
      </c>
      <c r="D419" s="69" t="s">
        <v>9453</v>
      </c>
      <c r="E419" s="70" t="s">
        <v>9454</v>
      </c>
      <c r="F419" s="17" t="s">
        <v>806</v>
      </c>
      <c r="G419" s="22" t="s">
        <v>1095</v>
      </c>
      <c r="H419" s="12" t="s">
        <v>9703</v>
      </c>
      <c r="I419" s="13" t="s">
        <v>6968</v>
      </c>
      <c r="J419" s="14" t="s">
        <v>798</v>
      </c>
      <c r="K419" s="15" t="s">
        <v>798</v>
      </c>
      <c r="L419" s="12" t="s">
        <v>5315</v>
      </c>
      <c r="M419" s="13" t="s">
        <v>5994</v>
      </c>
      <c r="N419" s="12" t="s">
        <v>803</v>
      </c>
      <c r="O419" s="13" t="s">
        <v>4854</v>
      </c>
      <c r="P419" s="17" t="s">
        <v>802</v>
      </c>
      <c r="Q419" s="21" t="s">
        <v>7825</v>
      </c>
      <c r="R419" s="17" t="s">
        <v>801</v>
      </c>
      <c r="S419" s="18" t="s">
        <v>2585</v>
      </c>
      <c r="T419" s="17" t="s">
        <v>800</v>
      </c>
      <c r="U419" s="18" t="s">
        <v>5238</v>
      </c>
      <c r="V419" s="17" t="s">
        <v>9418</v>
      </c>
      <c r="W419" s="18" t="s">
        <v>5309</v>
      </c>
      <c r="X419" s="69" t="s">
        <v>9453</v>
      </c>
      <c r="Y419" s="70" t="s">
        <v>9462</v>
      </c>
      <c r="Z419" s="73" t="s">
        <v>9486</v>
      </c>
      <c r="AA419" s="74" t="s">
        <v>9504</v>
      </c>
      <c r="AB419" s="73" t="s">
        <v>9486</v>
      </c>
      <c r="AC419" s="74" t="s">
        <v>9566</v>
      </c>
      <c r="AD419" s="73" t="s">
        <v>9578</v>
      </c>
      <c r="AE419" s="74" t="s">
        <v>9579</v>
      </c>
    </row>
    <row r="420" spans="1:31" ht="8.65" customHeight="1" x14ac:dyDescent="0.2">
      <c r="A420" s="76">
        <v>420</v>
      </c>
      <c r="B420" s="67" t="str">
        <f>MID(C420, FIND("Ifc.", C420) + 4, 4) &amp; "_" &amp; TEXT(COUNTIF($C$2:C420, C420),"0000")</f>
        <v>Prop_0419</v>
      </c>
      <c r="C420" s="24" t="s">
        <v>872</v>
      </c>
      <c r="D420" s="69" t="s">
        <v>9453</v>
      </c>
      <c r="E420" s="70" t="s">
        <v>9454</v>
      </c>
      <c r="F420" s="17" t="s">
        <v>806</v>
      </c>
      <c r="G420" s="22" t="s">
        <v>1095</v>
      </c>
      <c r="H420" s="12" t="s">
        <v>9703</v>
      </c>
      <c r="I420" s="13" t="s">
        <v>6968</v>
      </c>
      <c r="J420" s="14" t="s">
        <v>798</v>
      </c>
      <c r="K420" s="15" t="s">
        <v>798</v>
      </c>
      <c r="L420" s="12" t="s">
        <v>5315</v>
      </c>
      <c r="M420" s="13" t="s">
        <v>5390</v>
      </c>
      <c r="N420" s="12" t="s">
        <v>803</v>
      </c>
      <c r="O420" s="13" t="s">
        <v>4852</v>
      </c>
      <c r="P420" s="17" t="s">
        <v>802</v>
      </c>
      <c r="Q420" s="21" t="s">
        <v>7866</v>
      </c>
      <c r="R420" s="17" t="s">
        <v>801</v>
      </c>
      <c r="S420" s="18" t="s">
        <v>2585</v>
      </c>
      <c r="T420" s="17" t="s">
        <v>800</v>
      </c>
      <c r="U420" s="18" t="s">
        <v>5238</v>
      </c>
      <c r="V420" s="17" t="s">
        <v>9418</v>
      </c>
      <c r="W420" s="18" t="s">
        <v>5309</v>
      </c>
      <c r="X420" s="69" t="s">
        <v>9453</v>
      </c>
      <c r="Y420" s="70" t="s">
        <v>9462</v>
      </c>
      <c r="Z420" s="73" t="s">
        <v>9486</v>
      </c>
      <c r="AA420" s="74" t="s">
        <v>9504</v>
      </c>
      <c r="AB420" s="73" t="s">
        <v>9486</v>
      </c>
      <c r="AC420" s="74" t="s">
        <v>9566</v>
      </c>
      <c r="AD420" s="73" t="s">
        <v>9578</v>
      </c>
      <c r="AE420" s="74" t="s">
        <v>9579</v>
      </c>
    </row>
    <row r="421" spans="1:31" ht="8.65" customHeight="1" x14ac:dyDescent="0.2">
      <c r="A421" s="76">
        <v>421</v>
      </c>
      <c r="B421" s="67" t="str">
        <f>MID(C421, FIND("Ifc.", C421) + 4, 4) &amp; "_" &amp; TEXT(COUNTIF($C$2:C421, C421),"0000")</f>
        <v>Prop_0420</v>
      </c>
      <c r="C421" s="24" t="s">
        <v>872</v>
      </c>
      <c r="D421" s="69" t="s">
        <v>9453</v>
      </c>
      <c r="E421" s="70" t="s">
        <v>9454</v>
      </c>
      <c r="F421" s="17" t="s">
        <v>806</v>
      </c>
      <c r="G421" s="22" t="s">
        <v>1095</v>
      </c>
      <c r="H421" s="12" t="s">
        <v>9703</v>
      </c>
      <c r="I421" s="13" t="s">
        <v>6968</v>
      </c>
      <c r="J421" s="14" t="s">
        <v>798</v>
      </c>
      <c r="K421" s="15" t="s">
        <v>798</v>
      </c>
      <c r="L421" s="12" t="s">
        <v>5315</v>
      </c>
      <c r="M421" s="13" t="s">
        <v>5995</v>
      </c>
      <c r="N421" s="12" t="s">
        <v>803</v>
      </c>
      <c r="O421" s="13" t="s">
        <v>4855</v>
      </c>
      <c r="P421" s="17" t="s">
        <v>802</v>
      </c>
      <c r="Q421" s="21" t="s">
        <v>7867</v>
      </c>
      <c r="R421" s="17" t="s">
        <v>801</v>
      </c>
      <c r="S421" s="18" t="s">
        <v>2585</v>
      </c>
      <c r="T421" s="17" t="s">
        <v>800</v>
      </c>
      <c r="U421" s="18" t="s">
        <v>5238</v>
      </c>
      <c r="V421" s="17" t="s">
        <v>9418</v>
      </c>
      <c r="W421" s="18" t="s">
        <v>5309</v>
      </c>
      <c r="X421" s="69" t="s">
        <v>9453</v>
      </c>
      <c r="Y421" s="70" t="s">
        <v>9462</v>
      </c>
      <c r="Z421" s="73" t="s">
        <v>9486</v>
      </c>
      <c r="AA421" s="74" t="s">
        <v>9504</v>
      </c>
      <c r="AB421" s="73" t="s">
        <v>9486</v>
      </c>
      <c r="AC421" s="74" t="s">
        <v>9566</v>
      </c>
      <c r="AD421" s="73" t="s">
        <v>9578</v>
      </c>
      <c r="AE421" s="74" t="s">
        <v>9579</v>
      </c>
    </row>
    <row r="422" spans="1:31" ht="8.65" customHeight="1" x14ac:dyDescent="0.2">
      <c r="A422" s="76">
        <v>422</v>
      </c>
      <c r="B422" s="67" t="str">
        <f>MID(C422, FIND("Ifc.", C422) + 4, 4) &amp; "_" &amp; TEXT(COUNTIF($C$2:C422, C422),"0000")</f>
        <v>Prop_0421</v>
      </c>
      <c r="C422" s="24" t="s">
        <v>872</v>
      </c>
      <c r="D422" s="69" t="s">
        <v>9453</v>
      </c>
      <c r="E422" s="70" t="s">
        <v>9454</v>
      </c>
      <c r="F422" s="17" t="s">
        <v>806</v>
      </c>
      <c r="G422" s="22" t="s">
        <v>1097</v>
      </c>
      <c r="H422" s="12" t="s">
        <v>9703</v>
      </c>
      <c r="I422" s="13" t="s">
        <v>6157</v>
      </c>
      <c r="J422" s="14" t="s">
        <v>798</v>
      </c>
      <c r="K422" s="15" t="s">
        <v>798</v>
      </c>
      <c r="L422" s="12" t="s">
        <v>5315</v>
      </c>
      <c r="M422" s="13" t="s">
        <v>5815</v>
      </c>
      <c r="N422" s="12" t="s">
        <v>803</v>
      </c>
      <c r="O422" s="13" t="s">
        <v>4944</v>
      </c>
      <c r="P422" s="17" t="s">
        <v>802</v>
      </c>
      <c r="Q422" s="21" t="s">
        <v>7868</v>
      </c>
      <c r="R422" s="17" t="s">
        <v>801</v>
      </c>
      <c r="S422" s="18" t="s">
        <v>2585</v>
      </c>
      <c r="T422" s="17" t="s">
        <v>800</v>
      </c>
      <c r="U422" s="18" t="s">
        <v>5238</v>
      </c>
      <c r="V422" s="17" t="s">
        <v>9418</v>
      </c>
      <c r="W422" s="18" t="s">
        <v>5309</v>
      </c>
      <c r="X422" s="69" t="s">
        <v>9453</v>
      </c>
      <c r="Y422" s="70" t="s">
        <v>9462</v>
      </c>
      <c r="Z422" s="73" t="s">
        <v>9486</v>
      </c>
      <c r="AA422" s="74" t="s">
        <v>9504</v>
      </c>
      <c r="AB422" s="73" t="s">
        <v>9486</v>
      </c>
      <c r="AC422" s="74" t="s">
        <v>9566</v>
      </c>
      <c r="AD422" s="73" t="s">
        <v>9578</v>
      </c>
      <c r="AE422" s="74" t="s">
        <v>9579</v>
      </c>
    </row>
    <row r="423" spans="1:31" ht="8.65" customHeight="1" x14ac:dyDescent="0.2">
      <c r="A423" s="76">
        <v>423</v>
      </c>
      <c r="B423" s="67" t="str">
        <f>MID(C423, FIND("Ifc.", C423) + 4, 4) &amp; "_" &amp; TEXT(COUNTIF($C$2:C423, C423),"0000")</f>
        <v>Prop_0422</v>
      </c>
      <c r="C423" s="24" t="s">
        <v>872</v>
      </c>
      <c r="D423" s="69" t="s">
        <v>9453</v>
      </c>
      <c r="E423" s="70" t="s">
        <v>9454</v>
      </c>
      <c r="F423" s="17" t="s">
        <v>806</v>
      </c>
      <c r="G423" s="22" t="s">
        <v>1097</v>
      </c>
      <c r="H423" s="12" t="s">
        <v>9703</v>
      </c>
      <c r="I423" s="13" t="s">
        <v>6157</v>
      </c>
      <c r="J423" s="14" t="s">
        <v>798</v>
      </c>
      <c r="K423" s="15" t="s">
        <v>798</v>
      </c>
      <c r="L423" s="12" t="s">
        <v>5315</v>
      </c>
      <c r="M423" s="13" t="s">
        <v>5391</v>
      </c>
      <c r="N423" s="12" t="s">
        <v>803</v>
      </c>
      <c r="O423" s="13" t="s">
        <v>4853</v>
      </c>
      <c r="P423" s="17" t="s">
        <v>802</v>
      </c>
      <c r="Q423" s="21" t="s">
        <v>7869</v>
      </c>
      <c r="R423" s="17" t="s">
        <v>801</v>
      </c>
      <c r="S423" s="18" t="s">
        <v>2585</v>
      </c>
      <c r="T423" s="17" t="s">
        <v>800</v>
      </c>
      <c r="U423" s="18" t="s">
        <v>5238</v>
      </c>
      <c r="V423" s="17" t="s">
        <v>9418</v>
      </c>
      <c r="W423" s="18" t="s">
        <v>5309</v>
      </c>
      <c r="X423" s="69" t="s">
        <v>9453</v>
      </c>
      <c r="Y423" s="70" t="s">
        <v>9462</v>
      </c>
      <c r="Z423" s="73" t="s">
        <v>9486</v>
      </c>
      <c r="AA423" s="74" t="s">
        <v>9504</v>
      </c>
      <c r="AB423" s="73" t="s">
        <v>9486</v>
      </c>
      <c r="AC423" s="74" t="s">
        <v>9566</v>
      </c>
      <c r="AD423" s="73" t="s">
        <v>9578</v>
      </c>
      <c r="AE423" s="74" t="s">
        <v>9579</v>
      </c>
    </row>
    <row r="424" spans="1:31" ht="8.65" customHeight="1" x14ac:dyDescent="0.2">
      <c r="A424" s="76">
        <v>424</v>
      </c>
      <c r="B424" s="67" t="str">
        <f>MID(C424, FIND("Ifc.", C424) + 4, 4) &amp; "_" &amp; TEXT(COUNTIF($C$2:C424, C424),"0000")</f>
        <v>Prop_0423</v>
      </c>
      <c r="C424" s="24" t="s">
        <v>872</v>
      </c>
      <c r="D424" s="69" t="s">
        <v>9453</v>
      </c>
      <c r="E424" s="70" t="s">
        <v>9454</v>
      </c>
      <c r="F424" s="17" t="s">
        <v>806</v>
      </c>
      <c r="G424" s="22" t="s">
        <v>1097</v>
      </c>
      <c r="H424" s="12" t="s">
        <v>9703</v>
      </c>
      <c r="I424" s="13" t="s">
        <v>6157</v>
      </c>
      <c r="J424" s="14" t="s">
        <v>798</v>
      </c>
      <c r="K424" s="15" t="s">
        <v>798</v>
      </c>
      <c r="L424" s="12" t="s">
        <v>5315</v>
      </c>
      <c r="M424" s="13" t="s">
        <v>5435</v>
      </c>
      <c r="N424" s="12" t="s">
        <v>803</v>
      </c>
      <c r="O424" s="13" t="s">
        <v>4935</v>
      </c>
      <c r="P424" s="17" t="s">
        <v>802</v>
      </c>
      <c r="Q424" s="21" t="s">
        <v>7721</v>
      </c>
      <c r="R424" s="17" t="s">
        <v>801</v>
      </c>
      <c r="S424" s="18" t="s">
        <v>2585</v>
      </c>
      <c r="T424" s="17" t="s">
        <v>800</v>
      </c>
      <c r="U424" s="18" t="s">
        <v>5238</v>
      </c>
      <c r="V424" s="17" t="s">
        <v>9418</v>
      </c>
      <c r="W424" s="18" t="s">
        <v>5309</v>
      </c>
      <c r="X424" s="69" t="s">
        <v>9453</v>
      </c>
      <c r="Y424" s="70" t="s">
        <v>9462</v>
      </c>
      <c r="Z424" s="73" t="s">
        <v>9486</v>
      </c>
      <c r="AA424" s="74" t="s">
        <v>9504</v>
      </c>
      <c r="AB424" s="73" t="s">
        <v>9486</v>
      </c>
      <c r="AC424" s="74" t="s">
        <v>9566</v>
      </c>
      <c r="AD424" s="73" t="s">
        <v>9578</v>
      </c>
      <c r="AE424" s="74" t="s">
        <v>9579</v>
      </c>
    </row>
    <row r="425" spans="1:31" ht="8.65" customHeight="1" x14ac:dyDescent="0.2">
      <c r="A425" s="76">
        <v>425</v>
      </c>
      <c r="B425" s="67" t="str">
        <f>MID(C425, FIND("Ifc.", C425) + 4, 4) &amp; "_" &amp; TEXT(COUNTIF($C$2:C425, C425),"0000")</f>
        <v>Prop_0424</v>
      </c>
      <c r="C425" s="24" t="s">
        <v>872</v>
      </c>
      <c r="D425" s="69" t="s">
        <v>9453</v>
      </c>
      <c r="E425" s="70" t="s">
        <v>9454</v>
      </c>
      <c r="F425" s="17" t="s">
        <v>806</v>
      </c>
      <c r="G425" s="22" t="s">
        <v>1097</v>
      </c>
      <c r="H425" s="12" t="s">
        <v>9703</v>
      </c>
      <c r="I425" s="13" t="s">
        <v>6157</v>
      </c>
      <c r="J425" s="14" t="s">
        <v>798</v>
      </c>
      <c r="K425" s="15" t="s">
        <v>798</v>
      </c>
      <c r="L425" s="12" t="s">
        <v>5315</v>
      </c>
      <c r="M425" s="13" t="s">
        <v>5550</v>
      </c>
      <c r="N425" s="12" t="s">
        <v>803</v>
      </c>
      <c r="O425" s="13" t="s">
        <v>5162</v>
      </c>
      <c r="P425" s="17" t="s">
        <v>802</v>
      </c>
      <c r="Q425" s="21" t="s">
        <v>7870</v>
      </c>
      <c r="R425" s="17" t="s">
        <v>801</v>
      </c>
      <c r="S425" s="18" t="s">
        <v>2585</v>
      </c>
      <c r="T425" s="17" t="s">
        <v>800</v>
      </c>
      <c r="U425" s="18" t="s">
        <v>5238</v>
      </c>
      <c r="V425" s="17" t="s">
        <v>9418</v>
      </c>
      <c r="W425" s="18" t="s">
        <v>5309</v>
      </c>
      <c r="X425" s="69" t="s">
        <v>9453</v>
      </c>
      <c r="Y425" s="70" t="s">
        <v>9462</v>
      </c>
      <c r="Z425" s="73" t="s">
        <v>9486</v>
      </c>
      <c r="AA425" s="74" t="s">
        <v>9504</v>
      </c>
      <c r="AB425" s="73" t="s">
        <v>9486</v>
      </c>
      <c r="AC425" s="74" t="s">
        <v>9566</v>
      </c>
      <c r="AD425" s="73" t="s">
        <v>9578</v>
      </c>
      <c r="AE425" s="74" t="s">
        <v>9579</v>
      </c>
    </row>
    <row r="426" spans="1:31" ht="8.65" customHeight="1" x14ac:dyDescent="0.2">
      <c r="A426" s="76">
        <v>426</v>
      </c>
      <c r="B426" s="67" t="str">
        <f>MID(C426, FIND("Ifc.", C426) + 4, 4) &amp; "_" &amp; TEXT(COUNTIF($C$2:C426, C426),"0000")</f>
        <v>Prop_0425</v>
      </c>
      <c r="C426" s="24" t="s">
        <v>872</v>
      </c>
      <c r="D426" s="69" t="s">
        <v>9453</v>
      </c>
      <c r="E426" s="70" t="s">
        <v>9454</v>
      </c>
      <c r="F426" s="17" t="s">
        <v>806</v>
      </c>
      <c r="G426" s="22" t="s">
        <v>1097</v>
      </c>
      <c r="H426" s="12" t="s">
        <v>9703</v>
      </c>
      <c r="I426" s="13" t="s">
        <v>6157</v>
      </c>
      <c r="J426" s="14" t="s">
        <v>798</v>
      </c>
      <c r="K426" s="15" t="s">
        <v>798</v>
      </c>
      <c r="L426" s="12" t="s">
        <v>5315</v>
      </c>
      <c r="M426" s="13" t="s">
        <v>5551</v>
      </c>
      <c r="N426" s="12" t="s">
        <v>803</v>
      </c>
      <c r="O426" s="13" t="s">
        <v>5164</v>
      </c>
      <c r="P426" s="17" t="s">
        <v>802</v>
      </c>
      <c r="Q426" s="21" t="s">
        <v>7871</v>
      </c>
      <c r="R426" s="17" t="s">
        <v>801</v>
      </c>
      <c r="S426" s="18" t="s">
        <v>2583</v>
      </c>
      <c r="T426" s="17" t="s">
        <v>800</v>
      </c>
      <c r="U426" s="18" t="s">
        <v>5251</v>
      </c>
      <c r="V426" s="17" t="s">
        <v>9418</v>
      </c>
      <c r="W426" s="18" t="s">
        <v>5309</v>
      </c>
      <c r="X426" s="69" t="s">
        <v>9453</v>
      </c>
      <c r="Y426" s="70" t="s">
        <v>9462</v>
      </c>
      <c r="Z426" s="73" t="s">
        <v>9486</v>
      </c>
      <c r="AA426" s="74" t="s">
        <v>9504</v>
      </c>
      <c r="AB426" s="73" t="s">
        <v>9486</v>
      </c>
      <c r="AC426" s="74" t="s">
        <v>9566</v>
      </c>
      <c r="AD426" s="73" t="s">
        <v>9578</v>
      </c>
      <c r="AE426" s="74" t="s">
        <v>9579</v>
      </c>
    </row>
    <row r="427" spans="1:31" ht="8.65" customHeight="1" x14ac:dyDescent="0.2">
      <c r="A427" s="76">
        <v>427</v>
      </c>
      <c r="B427" s="67" t="str">
        <f>MID(C427, FIND("Ifc.", C427) + 4, 4) &amp; "_" &amp; TEXT(COUNTIF($C$2:C427, C427),"0000")</f>
        <v>Prop_0426</v>
      </c>
      <c r="C427" s="24" t="s">
        <v>872</v>
      </c>
      <c r="D427" s="69" t="s">
        <v>9453</v>
      </c>
      <c r="E427" s="70" t="s">
        <v>9454</v>
      </c>
      <c r="F427" s="17" t="s">
        <v>806</v>
      </c>
      <c r="G427" s="22" t="s">
        <v>934</v>
      </c>
      <c r="H427" s="12" t="s">
        <v>9703</v>
      </c>
      <c r="I427" s="13" t="s">
        <v>6522</v>
      </c>
      <c r="J427" s="14" t="s">
        <v>798</v>
      </c>
      <c r="K427" s="15" t="s">
        <v>798</v>
      </c>
      <c r="L427" s="12" t="s">
        <v>5315</v>
      </c>
      <c r="M427" s="13" t="s">
        <v>5982</v>
      </c>
      <c r="N427" s="12" t="s">
        <v>803</v>
      </c>
      <c r="O427" s="13" t="s">
        <v>4814</v>
      </c>
      <c r="P427" s="17" t="s">
        <v>802</v>
      </c>
      <c r="Q427" s="21" t="s">
        <v>7872</v>
      </c>
      <c r="R427" s="17" t="s">
        <v>801</v>
      </c>
      <c r="S427" s="18" t="s">
        <v>2586</v>
      </c>
      <c r="T427" s="17" t="s">
        <v>800</v>
      </c>
      <c r="U427" s="18" t="s">
        <v>5242</v>
      </c>
      <c r="V427" s="17" t="s">
        <v>9418</v>
      </c>
      <c r="W427" s="18" t="s">
        <v>5309</v>
      </c>
      <c r="X427" s="69" t="s">
        <v>9453</v>
      </c>
      <c r="Y427" s="70" t="s">
        <v>9462</v>
      </c>
      <c r="Z427" s="73" t="s">
        <v>9486</v>
      </c>
      <c r="AA427" s="74" t="s">
        <v>9504</v>
      </c>
      <c r="AB427" s="73" t="s">
        <v>9486</v>
      </c>
      <c r="AC427" s="74" t="s">
        <v>9566</v>
      </c>
      <c r="AD427" s="73" t="s">
        <v>9578</v>
      </c>
      <c r="AE427" s="74" t="s">
        <v>9579</v>
      </c>
    </row>
    <row r="428" spans="1:31" ht="8.65" customHeight="1" x14ac:dyDescent="0.2">
      <c r="A428" s="76">
        <v>428</v>
      </c>
      <c r="B428" s="67" t="str">
        <f>MID(C428, FIND("Ifc.", C428) + 4, 4) &amp; "_" &amp; TEXT(COUNTIF($C$2:C428, C428),"0000")</f>
        <v>Prop_0427</v>
      </c>
      <c r="C428" s="24" t="s">
        <v>872</v>
      </c>
      <c r="D428" s="69" t="s">
        <v>9453</v>
      </c>
      <c r="E428" s="70" t="s">
        <v>9454</v>
      </c>
      <c r="F428" s="17" t="s">
        <v>806</v>
      </c>
      <c r="G428" s="22" t="s">
        <v>935</v>
      </c>
      <c r="H428" s="12" t="s">
        <v>9703</v>
      </c>
      <c r="I428" s="13" t="s">
        <v>7488</v>
      </c>
      <c r="J428" s="14" t="s">
        <v>798</v>
      </c>
      <c r="K428" s="15" t="s">
        <v>798</v>
      </c>
      <c r="L428" s="12" t="s">
        <v>5315</v>
      </c>
      <c r="M428" s="13" t="s">
        <v>5982</v>
      </c>
      <c r="N428" s="12" t="s">
        <v>803</v>
      </c>
      <c r="O428" s="13" t="s">
        <v>4814</v>
      </c>
      <c r="P428" s="17" t="s">
        <v>802</v>
      </c>
      <c r="Q428" s="21" t="s">
        <v>7872</v>
      </c>
      <c r="R428" s="17" t="s">
        <v>801</v>
      </c>
      <c r="S428" s="18" t="s">
        <v>2586</v>
      </c>
      <c r="T428" s="17" t="s">
        <v>800</v>
      </c>
      <c r="U428" s="18" t="s">
        <v>5242</v>
      </c>
      <c r="V428" s="17" t="s">
        <v>9418</v>
      </c>
      <c r="W428" s="18" t="s">
        <v>5309</v>
      </c>
      <c r="X428" s="69" t="s">
        <v>9453</v>
      </c>
      <c r="Y428" s="70" t="s">
        <v>9462</v>
      </c>
      <c r="Z428" s="73" t="s">
        <v>9486</v>
      </c>
      <c r="AA428" s="74" t="s">
        <v>9504</v>
      </c>
      <c r="AB428" s="73" t="s">
        <v>9486</v>
      </c>
      <c r="AC428" s="74" t="s">
        <v>9566</v>
      </c>
      <c r="AD428" s="73" t="s">
        <v>9578</v>
      </c>
      <c r="AE428" s="74" t="s">
        <v>9579</v>
      </c>
    </row>
    <row r="429" spans="1:31" ht="8.65" customHeight="1" x14ac:dyDescent="0.2">
      <c r="A429" s="76">
        <v>429</v>
      </c>
      <c r="B429" s="67" t="str">
        <f>MID(C429, FIND("Ifc.", C429) + 4, 4) &amp; "_" &amp; TEXT(COUNTIF($C$2:C429, C429),"0000")</f>
        <v>Prop_0428</v>
      </c>
      <c r="C429" s="24" t="s">
        <v>872</v>
      </c>
      <c r="D429" s="69" t="s">
        <v>9453</v>
      </c>
      <c r="E429" s="70" t="s">
        <v>9454</v>
      </c>
      <c r="F429" s="17" t="s">
        <v>806</v>
      </c>
      <c r="G429" s="22" t="s">
        <v>1834</v>
      </c>
      <c r="H429" s="12" t="s">
        <v>9703</v>
      </c>
      <c r="I429" s="13" t="s">
        <v>7197</v>
      </c>
      <c r="J429" s="14" t="s">
        <v>798</v>
      </c>
      <c r="K429" s="15" t="s">
        <v>798</v>
      </c>
      <c r="L429" s="12" t="s">
        <v>5315</v>
      </c>
      <c r="M429" s="13" t="s">
        <v>5458</v>
      </c>
      <c r="N429" s="12" t="s">
        <v>803</v>
      </c>
      <c r="O429" s="13" t="s">
        <v>5030</v>
      </c>
      <c r="P429" s="17" t="s">
        <v>802</v>
      </c>
      <c r="Q429" s="21" t="s">
        <v>7784</v>
      </c>
      <c r="R429" s="17" t="s">
        <v>801</v>
      </c>
      <c r="S429" s="18" t="s">
        <v>2625</v>
      </c>
      <c r="T429" s="17" t="s">
        <v>800</v>
      </c>
      <c r="U429" s="18" t="s">
        <v>5240</v>
      </c>
      <c r="V429" s="17" t="s">
        <v>9418</v>
      </c>
      <c r="W429" s="18" t="s">
        <v>5309</v>
      </c>
      <c r="X429" s="69" t="s">
        <v>9453</v>
      </c>
      <c r="Y429" s="70" t="s">
        <v>9462</v>
      </c>
      <c r="Z429" s="73" t="s">
        <v>9486</v>
      </c>
      <c r="AA429" s="74" t="s">
        <v>9504</v>
      </c>
      <c r="AB429" s="73" t="s">
        <v>9486</v>
      </c>
      <c r="AC429" s="74" t="s">
        <v>9566</v>
      </c>
      <c r="AD429" s="73" t="s">
        <v>9578</v>
      </c>
      <c r="AE429" s="74" t="s">
        <v>9579</v>
      </c>
    </row>
    <row r="430" spans="1:31" ht="8.65" customHeight="1" x14ac:dyDescent="0.2">
      <c r="A430" s="76">
        <v>430</v>
      </c>
      <c r="B430" s="67" t="str">
        <f>MID(C430, FIND("Ifc.", C430) + 4, 4) &amp; "_" &amp; TEXT(COUNTIF($C$2:C430, C430),"0000")</f>
        <v>Prop_0429</v>
      </c>
      <c r="C430" s="24" t="s">
        <v>872</v>
      </c>
      <c r="D430" s="69" t="s">
        <v>9453</v>
      </c>
      <c r="E430" s="70" t="s">
        <v>9454</v>
      </c>
      <c r="F430" s="17" t="s">
        <v>806</v>
      </c>
      <c r="G430" s="22" t="s">
        <v>2134</v>
      </c>
      <c r="H430" s="12" t="s">
        <v>9703</v>
      </c>
      <c r="I430" s="13" t="s">
        <v>7573</v>
      </c>
      <c r="J430" s="14" t="s">
        <v>798</v>
      </c>
      <c r="K430" s="15" t="s">
        <v>798</v>
      </c>
      <c r="L430" s="12" t="s">
        <v>5315</v>
      </c>
      <c r="M430" s="13" t="s">
        <v>5496</v>
      </c>
      <c r="N430" s="12" t="s">
        <v>803</v>
      </c>
      <c r="O430" s="13" t="s">
        <v>5110</v>
      </c>
      <c r="P430" s="17" t="s">
        <v>802</v>
      </c>
      <c r="Q430" s="21" t="s">
        <v>7873</v>
      </c>
      <c r="R430" s="17" t="s">
        <v>801</v>
      </c>
      <c r="S430" s="18" t="s">
        <v>3636</v>
      </c>
      <c r="T430" s="17" t="s">
        <v>800</v>
      </c>
      <c r="U430" s="18" t="s">
        <v>5257</v>
      </c>
      <c r="V430" s="17" t="s">
        <v>9418</v>
      </c>
      <c r="W430" s="18" t="s">
        <v>5314</v>
      </c>
      <c r="X430" s="69" t="s">
        <v>9453</v>
      </c>
      <c r="Y430" s="70" t="s">
        <v>9464</v>
      </c>
      <c r="Z430" s="73" t="s">
        <v>9486</v>
      </c>
      <c r="AA430" s="74" t="s">
        <v>9504</v>
      </c>
      <c r="AB430" s="73" t="s">
        <v>9486</v>
      </c>
      <c r="AC430" s="74" t="s">
        <v>9561</v>
      </c>
      <c r="AD430" s="73" t="s">
        <v>9578</v>
      </c>
      <c r="AE430" s="74" t="s">
        <v>9579</v>
      </c>
    </row>
    <row r="431" spans="1:31" ht="8.65" customHeight="1" x14ac:dyDescent="0.2">
      <c r="A431" s="76">
        <v>431</v>
      </c>
      <c r="B431" s="67" t="str">
        <f>MID(C431, FIND("Ifc.", C431) + 4, 4) &amp; "_" &amp; TEXT(COUNTIF($C$2:C431, C431),"0000")</f>
        <v>Prop_0430</v>
      </c>
      <c r="C431" s="24" t="s">
        <v>872</v>
      </c>
      <c r="D431" s="69" t="s">
        <v>9453</v>
      </c>
      <c r="E431" s="70" t="s">
        <v>9454</v>
      </c>
      <c r="F431" s="17" t="s">
        <v>806</v>
      </c>
      <c r="G431" s="22" t="s">
        <v>2129</v>
      </c>
      <c r="H431" s="12" t="s">
        <v>9703</v>
      </c>
      <c r="I431" s="13" t="s">
        <v>6649</v>
      </c>
      <c r="J431" s="14" t="s">
        <v>798</v>
      </c>
      <c r="K431" s="15" t="s">
        <v>798</v>
      </c>
      <c r="L431" s="12" t="s">
        <v>5315</v>
      </c>
      <c r="M431" s="13" t="s">
        <v>5496</v>
      </c>
      <c r="N431" s="12" t="s">
        <v>803</v>
      </c>
      <c r="O431" s="13" t="s">
        <v>5110</v>
      </c>
      <c r="P431" s="17" t="s">
        <v>802</v>
      </c>
      <c r="Q431" s="21" t="s">
        <v>7873</v>
      </c>
      <c r="R431" s="17" t="s">
        <v>801</v>
      </c>
      <c r="S431" s="18" t="s">
        <v>3636</v>
      </c>
      <c r="T431" s="17" t="s">
        <v>800</v>
      </c>
      <c r="U431" s="18" t="s">
        <v>5257</v>
      </c>
      <c r="V431" s="17" t="s">
        <v>9418</v>
      </c>
      <c r="W431" s="18" t="s">
        <v>5314</v>
      </c>
      <c r="X431" s="69" t="s">
        <v>9453</v>
      </c>
      <c r="Y431" s="70" t="s">
        <v>9464</v>
      </c>
      <c r="Z431" s="73" t="s">
        <v>9486</v>
      </c>
      <c r="AA431" s="74" t="s">
        <v>9504</v>
      </c>
      <c r="AB431" s="73" t="s">
        <v>9486</v>
      </c>
      <c r="AC431" s="74" t="s">
        <v>9561</v>
      </c>
      <c r="AD431" s="73" t="s">
        <v>9578</v>
      </c>
      <c r="AE431" s="74" t="s">
        <v>9579</v>
      </c>
    </row>
    <row r="432" spans="1:31" ht="8.65" customHeight="1" x14ac:dyDescent="0.2">
      <c r="A432" s="76">
        <v>432</v>
      </c>
      <c r="B432" s="67" t="str">
        <f>MID(C432, FIND("Ifc.", C432) + 4, 4) &amp; "_" &amp; TEXT(COUNTIF($C$2:C432, C432),"0000")</f>
        <v>Prop_0431</v>
      </c>
      <c r="C432" s="24" t="s">
        <v>872</v>
      </c>
      <c r="D432" s="69" t="s">
        <v>9453</v>
      </c>
      <c r="E432" s="70" t="s">
        <v>9454</v>
      </c>
      <c r="F432" s="17" t="s">
        <v>806</v>
      </c>
      <c r="G432" s="22" t="s">
        <v>1148</v>
      </c>
      <c r="H432" s="12" t="s">
        <v>9703</v>
      </c>
      <c r="I432" s="13" t="s">
        <v>6188</v>
      </c>
      <c r="J432" s="14" t="s">
        <v>798</v>
      </c>
      <c r="K432" s="15" t="s">
        <v>798</v>
      </c>
      <c r="L432" s="12" t="s">
        <v>5315</v>
      </c>
      <c r="M432" s="13" t="s">
        <v>5393</v>
      </c>
      <c r="N432" s="12" t="s">
        <v>803</v>
      </c>
      <c r="O432" s="13" t="s">
        <v>4864</v>
      </c>
      <c r="P432" s="17" t="s">
        <v>802</v>
      </c>
      <c r="Q432" s="21" t="s">
        <v>7874</v>
      </c>
      <c r="R432" s="17" t="s">
        <v>801</v>
      </c>
      <c r="S432" s="18" t="s">
        <v>2554</v>
      </c>
      <c r="T432" s="17" t="s">
        <v>800</v>
      </c>
      <c r="U432" s="18" t="s">
        <v>5233</v>
      </c>
      <c r="V432" s="17" t="s">
        <v>9418</v>
      </c>
      <c r="W432" s="18" t="s">
        <v>5309</v>
      </c>
      <c r="X432" s="69" t="s">
        <v>9453</v>
      </c>
      <c r="Y432" s="70" t="s">
        <v>9462</v>
      </c>
      <c r="Z432" s="73" t="s">
        <v>9486</v>
      </c>
      <c r="AA432" s="74" t="s">
        <v>9504</v>
      </c>
      <c r="AB432" s="73" t="s">
        <v>9486</v>
      </c>
      <c r="AC432" s="74" t="s">
        <v>9562</v>
      </c>
      <c r="AD432" s="73" t="s">
        <v>9578</v>
      </c>
      <c r="AE432" s="74" t="s">
        <v>9579</v>
      </c>
    </row>
    <row r="433" spans="1:31" ht="8.65" customHeight="1" x14ac:dyDescent="0.2">
      <c r="A433" s="76">
        <v>433</v>
      </c>
      <c r="B433" s="67" t="str">
        <f>MID(C433, FIND("Ifc.", C433) + 4, 4) &amp; "_" &amp; TEXT(COUNTIF($C$2:C433, C433),"0000")</f>
        <v>Prop_0432</v>
      </c>
      <c r="C433" s="24" t="s">
        <v>872</v>
      </c>
      <c r="D433" s="69" t="s">
        <v>9453</v>
      </c>
      <c r="E433" s="70" t="s">
        <v>9454</v>
      </c>
      <c r="F433" s="17" t="s">
        <v>806</v>
      </c>
      <c r="G433" s="22" t="s">
        <v>1178</v>
      </c>
      <c r="H433" s="12" t="s">
        <v>9703</v>
      </c>
      <c r="I433" s="13" t="s">
        <v>7263</v>
      </c>
      <c r="J433" s="14" t="s">
        <v>798</v>
      </c>
      <c r="K433" s="15" t="s">
        <v>798</v>
      </c>
      <c r="L433" s="12" t="s">
        <v>5315</v>
      </c>
      <c r="M433" s="13" t="s">
        <v>5399</v>
      </c>
      <c r="N433" s="12" t="s">
        <v>803</v>
      </c>
      <c r="O433" s="13" t="s">
        <v>4874</v>
      </c>
      <c r="P433" s="17" t="s">
        <v>802</v>
      </c>
      <c r="Q433" s="21" t="s">
        <v>7875</v>
      </c>
      <c r="R433" s="17" t="s">
        <v>801</v>
      </c>
      <c r="S433" s="18" t="s">
        <v>2669</v>
      </c>
      <c r="T433" s="17" t="s">
        <v>800</v>
      </c>
      <c r="U433" s="18" t="s">
        <v>5237</v>
      </c>
      <c r="V433" s="17" t="s">
        <v>9418</v>
      </c>
      <c r="W433" s="18" t="s">
        <v>5309</v>
      </c>
      <c r="X433" s="69" t="s">
        <v>9453</v>
      </c>
      <c r="Y433" s="70" t="s">
        <v>9462</v>
      </c>
      <c r="Z433" s="73" t="s">
        <v>9486</v>
      </c>
      <c r="AA433" s="74" t="s">
        <v>9504</v>
      </c>
      <c r="AB433" s="73" t="s">
        <v>9486</v>
      </c>
      <c r="AC433" s="74" t="s">
        <v>9562</v>
      </c>
      <c r="AD433" s="73" t="s">
        <v>9578</v>
      </c>
      <c r="AE433" s="74" t="s">
        <v>9579</v>
      </c>
    </row>
    <row r="434" spans="1:31" ht="8.65" customHeight="1" x14ac:dyDescent="0.2">
      <c r="A434" s="76">
        <v>434</v>
      </c>
      <c r="B434" s="67" t="str">
        <f>MID(C434, FIND("Ifc.", C434) + 4, 4) &amp; "_" &amp; TEXT(COUNTIF($C$2:C434, C434),"0000")</f>
        <v>Prop_0433</v>
      </c>
      <c r="C434" s="24" t="s">
        <v>872</v>
      </c>
      <c r="D434" s="69" t="s">
        <v>9453</v>
      </c>
      <c r="E434" s="70" t="s">
        <v>9454</v>
      </c>
      <c r="F434" s="17" t="s">
        <v>806</v>
      </c>
      <c r="G434" s="22" t="s">
        <v>1337</v>
      </c>
      <c r="H434" s="12" t="s">
        <v>9703</v>
      </c>
      <c r="I434" s="13" t="s">
        <v>6194</v>
      </c>
      <c r="J434" s="14" t="s">
        <v>798</v>
      </c>
      <c r="K434" s="15" t="s">
        <v>798</v>
      </c>
      <c r="L434" s="12" t="s">
        <v>5315</v>
      </c>
      <c r="M434" s="13" t="s">
        <v>5979</v>
      </c>
      <c r="N434" s="12" t="s">
        <v>803</v>
      </c>
      <c r="O434" s="13" t="s">
        <v>5094</v>
      </c>
      <c r="P434" s="17" t="s">
        <v>802</v>
      </c>
      <c r="Q434" s="21" t="s">
        <v>7876</v>
      </c>
      <c r="R434" s="17" t="s">
        <v>801</v>
      </c>
      <c r="S434" s="18" t="s">
        <v>2625</v>
      </c>
      <c r="T434" s="17" t="s">
        <v>800</v>
      </c>
      <c r="U434" s="18" t="s">
        <v>5240</v>
      </c>
      <c r="V434" s="17" t="s">
        <v>9418</v>
      </c>
      <c r="W434" s="18" t="s">
        <v>5312</v>
      </c>
      <c r="X434" s="69" t="s">
        <v>9453</v>
      </c>
      <c r="Y434" s="70" t="s">
        <v>9465</v>
      </c>
      <c r="Z434" s="73" t="s">
        <v>9486</v>
      </c>
      <c r="AA434" s="74" t="s">
        <v>9504</v>
      </c>
      <c r="AB434" s="73" t="s">
        <v>9486</v>
      </c>
      <c r="AC434" s="74" t="s">
        <v>9566</v>
      </c>
      <c r="AD434" s="73" t="s">
        <v>9578</v>
      </c>
      <c r="AE434" s="74" t="s">
        <v>9579</v>
      </c>
    </row>
    <row r="435" spans="1:31" ht="8.65" customHeight="1" x14ac:dyDescent="0.2">
      <c r="A435" s="76">
        <v>435</v>
      </c>
      <c r="B435" s="67" t="str">
        <f>MID(C435, FIND("Ifc.", C435) + 4, 4) &amp; "_" &amp; TEXT(COUNTIF($C$2:C435, C435),"0000")</f>
        <v>Prop_0434</v>
      </c>
      <c r="C435" s="24" t="s">
        <v>872</v>
      </c>
      <c r="D435" s="69" t="s">
        <v>9453</v>
      </c>
      <c r="E435" s="70" t="s">
        <v>9454</v>
      </c>
      <c r="F435" s="17" t="s">
        <v>806</v>
      </c>
      <c r="G435" s="22" t="s">
        <v>1337</v>
      </c>
      <c r="H435" s="12" t="s">
        <v>9703</v>
      </c>
      <c r="I435" s="13" t="s">
        <v>6194</v>
      </c>
      <c r="J435" s="14" t="s">
        <v>798</v>
      </c>
      <c r="K435" s="15" t="s">
        <v>798</v>
      </c>
      <c r="L435" s="12" t="s">
        <v>5315</v>
      </c>
      <c r="M435" s="13" t="s">
        <v>5825</v>
      </c>
      <c r="N435" s="12" t="s">
        <v>803</v>
      </c>
      <c r="O435" s="13" t="s">
        <v>4912</v>
      </c>
      <c r="P435" s="17" t="s">
        <v>802</v>
      </c>
      <c r="Q435" s="21" t="s">
        <v>7877</v>
      </c>
      <c r="R435" s="17" t="s">
        <v>801</v>
      </c>
      <c r="S435" s="18" t="s">
        <v>3636</v>
      </c>
      <c r="T435" s="17" t="s">
        <v>800</v>
      </c>
      <c r="U435" s="18" t="s">
        <v>5257</v>
      </c>
      <c r="V435" s="17" t="s">
        <v>9418</v>
      </c>
      <c r="W435" s="18" t="s">
        <v>5314</v>
      </c>
      <c r="X435" s="69" t="s">
        <v>9453</v>
      </c>
      <c r="Y435" s="70" t="s">
        <v>9464</v>
      </c>
      <c r="Z435" s="73" t="s">
        <v>9486</v>
      </c>
      <c r="AA435" s="74" t="s">
        <v>9504</v>
      </c>
      <c r="AB435" s="73" t="s">
        <v>9486</v>
      </c>
      <c r="AC435" s="74" t="s">
        <v>9561</v>
      </c>
      <c r="AD435" s="73" t="s">
        <v>9578</v>
      </c>
      <c r="AE435" s="74" t="s">
        <v>9579</v>
      </c>
    </row>
    <row r="436" spans="1:31" ht="8.65" customHeight="1" x14ac:dyDescent="0.2">
      <c r="A436" s="76">
        <v>436</v>
      </c>
      <c r="B436" s="67" t="str">
        <f>MID(C436, FIND("Ifc.", C436) + 4, 4) &amp; "_" &amp; TEXT(COUNTIF($C$2:C436, C436),"0000")</f>
        <v>Prop_0435</v>
      </c>
      <c r="C436" s="24" t="s">
        <v>872</v>
      </c>
      <c r="D436" s="69" t="s">
        <v>9453</v>
      </c>
      <c r="E436" s="70" t="s">
        <v>9454</v>
      </c>
      <c r="F436" s="17" t="s">
        <v>806</v>
      </c>
      <c r="G436" s="22" t="s">
        <v>939</v>
      </c>
      <c r="H436" s="12" t="s">
        <v>9703</v>
      </c>
      <c r="I436" s="13" t="s">
        <v>6077</v>
      </c>
      <c r="J436" s="14" t="s">
        <v>798</v>
      </c>
      <c r="K436" s="15" t="s">
        <v>798</v>
      </c>
      <c r="L436" s="12" t="s">
        <v>5315</v>
      </c>
      <c r="M436" s="13" t="s">
        <v>5373</v>
      </c>
      <c r="N436" s="12" t="s">
        <v>803</v>
      </c>
      <c r="O436" s="13" t="s">
        <v>4815</v>
      </c>
      <c r="P436" s="17" t="s">
        <v>802</v>
      </c>
      <c r="Q436" s="21" t="s">
        <v>7878</v>
      </c>
      <c r="R436" s="17" t="s">
        <v>801</v>
      </c>
      <c r="S436" s="18" t="s">
        <v>2559</v>
      </c>
      <c r="T436" s="17" t="s">
        <v>800</v>
      </c>
      <c r="U436" s="18" t="s">
        <v>5234</v>
      </c>
      <c r="V436" s="17" t="s">
        <v>9418</v>
      </c>
      <c r="W436" s="18" t="s">
        <v>5311</v>
      </c>
      <c r="X436" s="69" t="s">
        <v>9453</v>
      </c>
      <c r="Y436" s="70" t="s">
        <v>9466</v>
      </c>
      <c r="Z436" s="73" t="s">
        <v>9486</v>
      </c>
      <c r="AA436" s="74" t="s">
        <v>9504</v>
      </c>
      <c r="AB436" s="73" t="s">
        <v>9486</v>
      </c>
      <c r="AC436" s="74" t="s">
        <v>9562</v>
      </c>
      <c r="AD436" s="73" t="s">
        <v>9578</v>
      </c>
      <c r="AE436" s="74" t="s">
        <v>9579</v>
      </c>
    </row>
    <row r="437" spans="1:31" ht="8.65" customHeight="1" x14ac:dyDescent="0.2">
      <c r="A437" s="76">
        <v>437</v>
      </c>
      <c r="B437" s="67" t="str">
        <f>MID(C437, FIND("Ifc.", C437) + 4, 4) &amp; "_" &amp; TEXT(COUNTIF($C$2:C437, C437),"0000")</f>
        <v>Prop_0436</v>
      </c>
      <c r="C437" s="24" t="s">
        <v>872</v>
      </c>
      <c r="D437" s="69" t="s">
        <v>9453</v>
      </c>
      <c r="E437" s="70" t="s">
        <v>9454</v>
      </c>
      <c r="F437" s="17" t="s">
        <v>806</v>
      </c>
      <c r="G437" s="22" t="s">
        <v>939</v>
      </c>
      <c r="H437" s="12" t="s">
        <v>9703</v>
      </c>
      <c r="I437" s="13" t="s">
        <v>6077</v>
      </c>
      <c r="J437" s="14" t="s">
        <v>798</v>
      </c>
      <c r="K437" s="15" t="s">
        <v>798</v>
      </c>
      <c r="L437" s="12" t="s">
        <v>5315</v>
      </c>
      <c r="M437" s="13" t="s">
        <v>5830</v>
      </c>
      <c r="N437" s="12" t="s">
        <v>803</v>
      </c>
      <c r="O437" s="13" t="s">
        <v>4972</v>
      </c>
      <c r="P437" s="17" t="s">
        <v>802</v>
      </c>
      <c r="Q437" s="21" t="s">
        <v>7879</v>
      </c>
      <c r="R437" s="17" t="s">
        <v>801</v>
      </c>
      <c r="S437" s="18" t="s">
        <v>3636</v>
      </c>
      <c r="T437" s="17" t="s">
        <v>800</v>
      </c>
      <c r="U437" s="18" t="s">
        <v>5257</v>
      </c>
      <c r="V437" s="17" t="s">
        <v>9418</v>
      </c>
      <c r="W437" s="18" t="s">
        <v>5314</v>
      </c>
      <c r="X437" s="69" t="s">
        <v>9453</v>
      </c>
      <c r="Y437" s="70" t="s">
        <v>9464</v>
      </c>
      <c r="Z437" s="73" t="s">
        <v>9486</v>
      </c>
      <c r="AA437" s="74" t="s">
        <v>9504</v>
      </c>
      <c r="AB437" s="73" t="s">
        <v>9486</v>
      </c>
      <c r="AC437" s="74" t="s">
        <v>9561</v>
      </c>
      <c r="AD437" s="73" t="s">
        <v>9578</v>
      </c>
      <c r="AE437" s="74" t="s">
        <v>9579</v>
      </c>
    </row>
    <row r="438" spans="1:31" ht="8.65" customHeight="1" x14ac:dyDescent="0.2">
      <c r="A438" s="76">
        <v>438</v>
      </c>
      <c r="B438" s="67" t="str">
        <f>MID(C438, FIND("Ifc.", C438) + 4, 4) &amp; "_" &amp; TEXT(COUNTIF($C$2:C438, C438),"0000")</f>
        <v>Prop_0437</v>
      </c>
      <c r="C438" s="24" t="s">
        <v>872</v>
      </c>
      <c r="D438" s="69" t="s">
        <v>9453</v>
      </c>
      <c r="E438" s="70" t="s">
        <v>9454</v>
      </c>
      <c r="F438" s="17" t="s">
        <v>806</v>
      </c>
      <c r="G438" s="22" t="s">
        <v>1429</v>
      </c>
      <c r="H438" s="12" t="s">
        <v>9703</v>
      </c>
      <c r="I438" s="13" t="s">
        <v>6317</v>
      </c>
      <c r="J438" s="14" t="s">
        <v>798</v>
      </c>
      <c r="K438" s="15" t="s">
        <v>798</v>
      </c>
      <c r="L438" s="12" t="s">
        <v>5315</v>
      </c>
      <c r="M438" s="13" t="s">
        <v>5434</v>
      </c>
      <c r="N438" s="12" t="s">
        <v>803</v>
      </c>
      <c r="O438" s="13" t="s">
        <v>4934</v>
      </c>
      <c r="P438" s="17" t="s">
        <v>802</v>
      </c>
      <c r="Q438" s="21" t="s">
        <v>7723</v>
      </c>
      <c r="R438" s="17" t="s">
        <v>801</v>
      </c>
      <c r="S438" s="18" t="s">
        <v>2625</v>
      </c>
      <c r="T438" s="17" t="s">
        <v>800</v>
      </c>
      <c r="U438" s="18" t="s">
        <v>5240</v>
      </c>
      <c r="V438" s="17" t="s">
        <v>9418</v>
      </c>
      <c r="W438" s="18" t="s">
        <v>5312</v>
      </c>
      <c r="X438" s="69" t="s">
        <v>9453</v>
      </c>
      <c r="Y438" s="70" t="s">
        <v>9465</v>
      </c>
      <c r="Z438" s="73" t="s">
        <v>9486</v>
      </c>
      <c r="AA438" s="74" t="s">
        <v>9504</v>
      </c>
      <c r="AB438" s="73" t="s">
        <v>9486</v>
      </c>
      <c r="AC438" s="74" t="s">
        <v>9566</v>
      </c>
      <c r="AD438" s="73" t="s">
        <v>9578</v>
      </c>
      <c r="AE438" s="74" t="s">
        <v>9579</v>
      </c>
    </row>
    <row r="439" spans="1:31" ht="8.65" customHeight="1" x14ac:dyDescent="0.2">
      <c r="A439" s="76">
        <v>439</v>
      </c>
      <c r="B439" s="67" t="str">
        <f>MID(C439, FIND("Ifc.", C439) + 4, 4) &amp; "_" &amp; TEXT(COUNTIF($C$2:C439, C439),"0000")</f>
        <v>Prop_0438</v>
      </c>
      <c r="C439" s="24" t="s">
        <v>872</v>
      </c>
      <c r="D439" s="69" t="s">
        <v>9453</v>
      </c>
      <c r="E439" s="70" t="s">
        <v>9454</v>
      </c>
      <c r="F439" s="17" t="s">
        <v>806</v>
      </c>
      <c r="G439" s="22" t="s">
        <v>1955</v>
      </c>
      <c r="H439" s="12" t="s">
        <v>9703</v>
      </c>
      <c r="I439" s="13" t="s">
        <v>6922</v>
      </c>
      <c r="J439" s="14" t="s">
        <v>798</v>
      </c>
      <c r="K439" s="15" t="s">
        <v>798</v>
      </c>
      <c r="L439" s="12" t="s">
        <v>5315</v>
      </c>
      <c r="M439" s="13" t="s">
        <v>5472</v>
      </c>
      <c r="N439" s="12" t="s">
        <v>803</v>
      </c>
      <c r="O439" s="13" t="s">
        <v>5067</v>
      </c>
      <c r="P439" s="17" t="s">
        <v>802</v>
      </c>
      <c r="Q439" s="21" t="s">
        <v>7791</v>
      </c>
      <c r="R439" s="17" t="s">
        <v>801</v>
      </c>
      <c r="S439" s="18" t="s">
        <v>2588</v>
      </c>
      <c r="T439" s="17" t="s">
        <v>800</v>
      </c>
      <c r="U439" s="18" t="s">
        <v>5279</v>
      </c>
      <c r="V439" s="17" t="s">
        <v>9418</v>
      </c>
      <c r="W439" s="18" t="s">
        <v>5309</v>
      </c>
      <c r="X439" s="69" t="s">
        <v>9453</v>
      </c>
      <c r="Y439" s="70" t="s">
        <v>9462</v>
      </c>
      <c r="Z439" s="73" t="s">
        <v>9486</v>
      </c>
      <c r="AA439" s="74" t="s">
        <v>9504</v>
      </c>
      <c r="AB439" s="73" t="s">
        <v>9486</v>
      </c>
      <c r="AC439" s="74" t="s">
        <v>9566</v>
      </c>
      <c r="AD439" s="73" t="s">
        <v>9578</v>
      </c>
      <c r="AE439" s="74" t="s">
        <v>9579</v>
      </c>
    </row>
    <row r="440" spans="1:31" ht="8.65" customHeight="1" x14ac:dyDescent="0.2">
      <c r="A440" s="76">
        <v>440</v>
      </c>
      <c r="B440" s="67" t="str">
        <f>MID(C440, FIND("Ifc.", C440) + 4, 4) &amp; "_" &amp; TEXT(COUNTIF($C$2:C440, C440),"0000")</f>
        <v>Prop_0439</v>
      </c>
      <c r="C440" s="24" t="s">
        <v>872</v>
      </c>
      <c r="D440" s="69" t="s">
        <v>9453</v>
      </c>
      <c r="E440" s="70" t="s">
        <v>9454</v>
      </c>
      <c r="F440" s="17" t="s">
        <v>806</v>
      </c>
      <c r="G440" s="22" t="s">
        <v>1437</v>
      </c>
      <c r="H440" s="12" t="s">
        <v>9703</v>
      </c>
      <c r="I440" s="13" t="s">
        <v>6321</v>
      </c>
      <c r="J440" s="14" t="s">
        <v>798</v>
      </c>
      <c r="K440" s="15" t="s">
        <v>798</v>
      </c>
      <c r="L440" s="12" t="s">
        <v>5315</v>
      </c>
      <c r="M440" s="13" t="s">
        <v>5435</v>
      </c>
      <c r="N440" s="12" t="s">
        <v>803</v>
      </c>
      <c r="O440" s="13" t="s">
        <v>4935</v>
      </c>
      <c r="P440" s="17" t="s">
        <v>802</v>
      </c>
      <c r="Q440" s="21" t="s">
        <v>7721</v>
      </c>
      <c r="R440" s="17" t="s">
        <v>801</v>
      </c>
      <c r="S440" s="18" t="s">
        <v>2588</v>
      </c>
      <c r="T440" s="17" t="s">
        <v>800</v>
      </c>
      <c r="U440" s="18" t="s">
        <v>5279</v>
      </c>
      <c r="V440" s="17" t="s">
        <v>9418</v>
      </c>
      <c r="W440" s="18" t="s">
        <v>5309</v>
      </c>
      <c r="X440" s="69" t="s">
        <v>9453</v>
      </c>
      <c r="Y440" s="70" t="s">
        <v>9462</v>
      </c>
      <c r="Z440" s="73" t="s">
        <v>9486</v>
      </c>
      <c r="AA440" s="74" t="s">
        <v>9504</v>
      </c>
      <c r="AB440" s="73" t="s">
        <v>9486</v>
      </c>
      <c r="AC440" s="74" t="s">
        <v>9566</v>
      </c>
      <c r="AD440" s="73" t="s">
        <v>9578</v>
      </c>
      <c r="AE440" s="74" t="s">
        <v>9579</v>
      </c>
    </row>
    <row r="441" spans="1:31" ht="8.65" customHeight="1" x14ac:dyDescent="0.2">
      <c r="A441" s="76">
        <v>441</v>
      </c>
      <c r="B441" s="67" t="str">
        <f>MID(C441, FIND("Ifc.", C441) + 4, 4) &amp; "_" &amp; TEXT(COUNTIF($C$2:C441, C441),"0000")</f>
        <v>Prop_0440</v>
      </c>
      <c r="C441" s="24" t="s">
        <v>872</v>
      </c>
      <c r="D441" s="69" t="s">
        <v>9453</v>
      </c>
      <c r="E441" s="70" t="s">
        <v>9454</v>
      </c>
      <c r="F441" s="17" t="s">
        <v>806</v>
      </c>
      <c r="G441" s="22" t="s">
        <v>1437</v>
      </c>
      <c r="H441" s="12" t="s">
        <v>9703</v>
      </c>
      <c r="I441" s="13" t="s">
        <v>6321</v>
      </c>
      <c r="J441" s="14" t="s">
        <v>798</v>
      </c>
      <c r="K441" s="15" t="s">
        <v>798</v>
      </c>
      <c r="L441" s="12" t="s">
        <v>5315</v>
      </c>
      <c r="M441" s="13" t="s">
        <v>5461</v>
      </c>
      <c r="N441" s="12" t="s">
        <v>803</v>
      </c>
      <c r="O441" s="13" t="s">
        <v>5038</v>
      </c>
      <c r="P441" s="17" t="s">
        <v>802</v>
      </c>
      <c r="Q441" s="21" t="s">
        <v>7785</v>
      </c>
      <c r="R441" s="17" t="s">
        <v>801</v>
      </c>
      <c r="S441" s="18" t="s">
        <v>2588</v>
      </c>
      <c r="T441" s="17" t="s">
        <v>800</v>
      </c>
      <c r="U441" s="18" t="s">
        <v>5279</v>
      </c>
      <c r="V441" s="17" t="s">
        <v>9418</v>
      </c>
      <c r="W441" s="18" t="s">
        <v>5309</v>
      </c>
      <c r="X441" s="69" t="s">
        <v>9453</v>
      </c>
      <c r="Y441" s="70" t="s">
        <v>9462</v>
      </c>
      <c r="Z441" s="73" t="s">
        <v>9486</v>
      </c>
      <c r="AA441" s="74" t="s">
        <v>9504</v>
      </c>
      <c r="AB441" s="73" t="s">
        <v>9486</v>
      </c>
      <c r="AC441" s="74" t="s">
        <v>9566</v>
      </c>
      <c r="AD441" s="73" t="s">
        <v>9578</v>
      </c>
      <c r="AE441" s="74" t="s">
        <v>9579</v>
      </c>
    </row>
    <row r="442" spans="1:31" ht="8.65" customHeight="1" x14ac:dyDescent="0.2">
      <c r="A442" s="76">
        <v>442</v>
      </c>
      <c r="B442" s="67" t="str">
        <f>MID(C442, FIND("Ifc.", C442) + 4, 4) &amp; "_" &amp; TEXT(COUNTIF($C$2:C442, C442),"0000")</f>
        <v>Prop_0441</v>
      </c>
      <c r="C442" s="24" t="s">
        <v>872</v>
      </c>
      <c r="D442" s="69" t="s">
        <v>9453</v>
      </c>
      <c r="E442" s="70" t="s">
        <v>9454</v>
      </c>
      <c r="F442" s="17" t="s">
        <v>806</v>
      </c>
      <c r="G442" s="22" t="s">
        <v>1437</v>
      </c>
      <c r="H442" s="12" t="s">
        <v>9703</v>
      </c>
      <c r="I442" s="13" t="s">
        <v>6321</v>
      </c>
      <c r="J442" s="14" t="s">
        <v>798</v>
      </c>
      <c r="K442" s="15" t="s">
        <v>798</v>
      </c>
      <c r="L442" s="12" t="s">
        <v>5315</v>
      </c>
      <c r="M442" s="13" t="s">
        <v>5550</v>
      </c>
      <c r="N442" s="12" t="s">
        <v>803</v>
      </c>
      <c r="O442" s="13" t="s">
        <v>5162</v>
      </c>
      <c r="P442" s="17" t="s">
        <v>802</v>
      </c>
      <c r="Q442" s="21" t="s">
        <v>7870</v>
      </c>
      <c r="R442" s="17" t="s">
        <v>801</v>
      </c>
      <c r="S442" s="18" t="s">
        <v>2588</v>
      </c>
      <c r="T442" s="17" t="s">
        <v>800</v>
      </c>
      <c r="U442" s="18" t="s">
        <v>5279</v>
      </c>
      <c r="V442" s="17" t="s">
        <v>9418</v>
      </c>
      <c r="W442" s="18" t="s">
        <v>5309</v>
      </c>
      <c r="X442" s="69" t="s">
        <v>9453</v>
      </c>
      <c r="Y442" s="70" t="s">
        <v>9462</v>
      </c>
      <c r="Z442" s="73" t="s">
        <v>9486</v>
      </c>
      <c r="AA442" s="74" t="s">
        <v>9504</v>
      </c>
      <c r="AB442" s="73" t="s">
        <v>9486</v>
      </c>
      <c r="AC442" s="74" t="s">
        <v>9566</v>
      </c>
      <c r="AD442" s="73" t="s">
        <v>9578</v>
      </c>
      <c r="AE442" s="74" t="s">
        <v>9579</v>
      </c>
    </row>
    <row r="443" spans="1:31" ht="8.65" customHeight="1" x14ac:dyDescent="0.2">
      <c r="A443" s="76">
        <v>443</v>
      </c>
      <c r="B443" s="67" t="str">
        <f>MID(C443, FIND("Ifc.", C443) + 4, 4) &amp; "_" &amp; TEXT(COUNTIF($C$2:C443, C443),"0000")</f>
        <v>Prop_0442</v>
      </c>
      <c r="C443" s="24" t="s">
        <v>872</v>
      </c>
      <c r="D443" s="69" t="s">
        <v>9453</v>
      </c>
      <c r="E443" s="70" t="s">
        <v>9454</v>
      </c>
      <c r="F443" s="17" t="s">
        <v>806</v>
      </c>
      <c r="G443" s="22" t="s">
        <v>2526</v>
      </c>
      <c r="H443" s="12" t="s">
        <v>9703</v>
      </c>
      <c r="I443" s="13" t="s">
        <v>6834</v>
      </c>
      <c r="J443" s="14" t="s">
        <v>798</v>
      </c>
      <c r="K443" s="15" t="s">
        <v>798</v>
      </c>
      <c r="L443" s="12" t="s">
        <v>5315</v>
      </c>
      <c r="M443" s="13" t="s">
        <v>5580</v>
      </c>
      <c r="N443" s="12" t="s">
        <v>803</v>
      </c>
      <c r="O443" s="13" t="s">
        <v>5226</v>
      </c>
      <c r="P443" s="17" t="s">
        <v>802</v>
      </c>
      <c r="Q443" s="21" t="s">
        <v>7797</v>
      </c>
      <c r="R443" s="17" t="s">
        <v>801</v>
      </c>
      <c r="S443" s="18" t="s">
        <v>2554</v>
      </c>
      <c r="T443" s="17" t="s">
        <v>800</v>
      </c>
      <c r="U443" s="18" t="s">
        <v>5233</v>
      </c>
      <c r="V443" s="17" t="s">
        <v>9418</v>
      </c>
      <c r="W443" s="18" t="s">
        <v>5310</v>
      </c>
      <c r="X443" s="69" t="s">
        <v>9453</v>
      </c>
      <c r="Y443" s="70" t="s">
        <v>9463</v>
      </c>
      <c r="Z443" s="73" t="s">
        <v>9486</v>
      </c>
      <c r="AA443" s="74" t="s">
        <v>9504</v>
      </c>
      <c r="AB443" s="73" t="s">
        <v>9486</v>
      </c>
      <c r="AC443" s="74" t="s">
        <v>9562</v>
      </c>
      <c r="AD443" s="73" t="s">
        <v>9578</v>
      </c>
      <c r="AE443" s="74" t="s">
        <v>9579</v>
      </c>
    </row>
    <row r="444" spans="1:31" ht="8.65" customHeight="1" x14ac:dyDescent="0.2">
      <c r="A444" s="76">
        <v>444</v>
      </c>
      <c r="B444" s="67" t="str">
        <f>MID(C444, FIND("Ifc.", C444) + 4, 4) &amp; "_" &amp; TEXT(COUNTIF($C$2:C444, C444),"0000")</f>
        <v>Prop_0443</v>
      </c>
      <c r="C444" s="24" t="s">
        <v>872</v>
      </c>
      <c r="D444" s="69" t="s">
        <v>9453</v>
      </c>
      <c r="E444" s="70" t="s">
        <v>9454</v>
      </c>
      <c r="F444" s="17" t="s">
        <v>806</v>
      </c>
      <c r="G444" s="22" t="s">
        <v>2228</v>
      </c>
      <c r="H444" s="12" t="s">
        <v>9703</v>
      </c>
      <c r="I444" s="13" t="s">
        <v>7068</v>
      </c>
      <c r="J444" s="14" t="s">
        <v>798</v>
      </c>
      <c r="K444" s="15" t="s">
        <v>798</v>
      </c>
      <c r="L444" s="12" t="s">
        <v>5315</v>
      </c>
      <c r="M444" s="13" t="s">
        <v>5511</v>
      </c>
      <c r="N444" s="12" t="s">
        <v>803</v>
      </c>
      <c r="O444" s="13" t="s">
        <v>5124</v>
      </c>
      <c r="P444" s="17" t="s">
        <v>802</v>
      </c>
      <c r="Q444" s="21" t="s">
        <v>7716</v>
      </c>
      <c r="R444" s="17" t="s">
        <v>801</v>
      </c>
      <c r="S444" s="18" t="s">
        <v>2669</v>
      </c>
      <c r="T444" s="17" t="s">
        <v>800</v>
      </c>
      <c r="U444" s="18" t="s">
        <v>5237</v>
      </c>
      <c r="V444" s="17" t="s">
        <v>9418</v>
      </c>
      <c r="W444" s="18" t="s">
        <v>5309</v>
      </c>
      <c r="X444" s="69" t="s">
        <v>9453</v>
      </c>
      <c r="Y444" s="70" t="s">
        <v>9462</v>
      </c>
      <c r="Z444" s="73" t="s">
        <v>9486</v>
      </c>
      <c r="AA444" s="74" t="s">
        <v>9504</v>
      </c>
      <c r="AB444" s="73" t="s">
        <v>9486</v>
      </c>
      <c r="AC444" s="74" t="s">
        <v>9562</v>
      </c>
      <c r="AD444" s="73" t="s">
        <v>9578</v>
      </c>
      <c r="AE444" s="74" t="s">
        <v>9579</v>
      </c>
    </row>
    <row r="445" spans="1:31" ht="8.65" customHeight="1" x14ac:dyDescent="0.2">
      <c r="A445" s="76">
        <v>445</v>
      </c>
      <c r="B445" s="67" t="str">
        <f>MID(C445, FIND("Ifc.", C445) + 4, 4) &amp; "_" &amp; TEXT(COUNTIF($C$2:C445, C445),"0000")</f>
        <v>Prop_0444</v>
      </c>
      <c r="C445" s="24" t="s">
        <v>872</v>
      </c>
      <c r="D445" s="69" t="s">
        <v>9453</v>
      </c>
      <c r="E445" s="70" t="s">
        <v>9454</v>
      </c>
      <c r="F445" s="17" t="s">
        <v>806</v>
      </c>
      <c r="G445" s="22" t="s">
        <v>2543</v>
      </c>
      <c r="H445" s="12" t="s">
        <v>9703</v>
      </c>
      <c r="I445" s="13" t="s">
        <v>6964</v>
      </c>
      <c r="J445" s="14" t="s">
        <v>798</v>
      </c>
      <c r="K445" s="15" t="s">
        <v>798</v>
      </c>
      <c r="L445" s="12" t="s">
        <v>5315</v>
      </c>
      <c r="M445" s="13" t="s">
        <v>5581</v>
      </c>
      <c r="N445" s="12" t="s">
        <v>803</v>
      </c>
      <c r="O445" s="13" t="s">
        <v>5227</v>
      </c>
      <c r="P445" s="17" t="s">
        <v>802</v>
      </c>
      <c r="Q445" s="21" t="s">
        <v>7880</v>
      </c>
      <c r="R445" s="17" t="s">
        <v>801</v>
      </c>
      <c r="S445" s="18" t="s">
        <v>2554</v>
      </c>
      <c r="T445" s="17" t="s">
        <v>800</v>
      </c>
      <c r="U445" s="18" t="s">
        <v>5233</v>
      </c>
      <c r="V445" s="17" t="s">
        <v>9418</v>
      </c>
      <c r="W445" s="18" t="s">
        <v>5310</v>
      </c>
      <c r="X445" s="69" t="s">
        <v>9453</v>
      </c>
      <c r="Y445" s="70" t="s">
        <v>9463</v>
      </c>
      <c r="Z445" s="73" t="s">
        <v>9486</v>
      </c>
      <c r="AA445" s="74" t="s">
        <v>9504</v>
      </c>
      <c r="AB445" s="73" t="s">
        <v>9486</v>
      </c>
      <c r="AC445" s="74" t="s">
        <v>9562</v>
      </c>
      <c r="AD445" s="73" t="s">
        <v>9578</v>
      </c>
      <c r="AE445" s="74" t="s">
        <v>9579</v>
      </c>
    </row>
    <row r="446" spans="1:31" ht="8.65" customHeight="1" x14ac:dyDescent="0.2">
      <c r="A446" s="76">
        <v>446</v>
      </c>
      <c r="B446" s="67" t="str">
        <f>MID(C446, FIND("Ifc.", C446) + 4, 4) &amp; "_" &amp; TEXT(COUNTIF($C$2:C446, C446),"0000")</f>
        <v>Prop_0445</v>
      </c>
      <c r="C446" s="24" t="s">
        <v>872</v>
      </c>
      <c r="D446" s="69" t="s">
        <v>9453</v>
      </c>
      <c r="E446" s="70" t="s">
        <v>9454</v>
      </c>
      <c r="F446" s="17" t="s">
        <v>806</v>
      </c>
      <c r="G446" s="22" t="s">
        <v>1611</v>
      </c>
      <c r="H446" s="12" t="s">
        <v>9703</v>
      </c>
      <c r="I446" s="13" t="s">
        <v>6357</v>
      </c>
      <c r="J446" s="14" t="s">
        <v>798</v>
      </c>
      <c r="K446" s="15" t="s">
        <v>798</v>
      </c>
      <c r="L446" s="12" t="s">
        <v>5315</v>
      </c>
      <c r="M446" s="13" t="s">
        <v>5830</v>
      </c>
      <c r="N446" s="12" t="s">
        <v>803</v>
      </c>
      <c r="O446" s="13" t="s">
        <v>4972</v>
      </c>
      <c r="P446" s="17" t="s">
        <v>802</v>
      </c>
      <c r="Q446" s="21" t="s">
        <v>7879</v>
      </c>
      <c r="R446" s="17" t="s">
        <v>801</v>
      </c>
      <c r="S446" s="18" t="s">
        <v>3636</v>
      </c>
      <c r="T446" s="17" t="s">
        <v>800</v>
      </c>
      <c r="U446" s="18" t="s">
        <v>5257</v>
      </c>
      <c r="V446" s="17" t="s">
        <v>9418</v>
      </c>
      <c r="W446" s="18" t="s">
        <v>5314</v>
      </c>
      <c r="X446" s="69" t="s">
        <v>9453</v>
      </c>
      <c r="Y446" s="70" t="s">
        <v>9464</v>
      </c>
      <c r="Z446" s="73" t="s">
        <v>9486</v>
      </c>
      <c r="AA446" s="74" t="s">
        <v>9504</v>
      </c>
      <c r="AB446" s="73" t="s">
        <v>9486</v>
      </c>
      <c r="AC446" s="74" t="s">
        <v>9561</v>
      </c>
      <c r="AD446" s="73" t="s">
        <v>9578</v>
      </c>
      <c r="AE446" s="74" t="s">
        <v>9579</v>
      </c>
    </row>
    <row r="447" spans="1:31" ht="8.65" customHeight="1" x14ac:dyDescent="0.2">
      <c r="A447" s="76">
        <v>447</v>
      </c>
      <c r="B447" s="67" t="str">
        <f>MID(C447, FIND("Ifc.", C447) + 4, 4) &amp; "_" &amp; TEXT(COUNTIF($C$2:C447, C447),"0000")</f>
        <v>Prop_0446</v>
      </c>
      <c r="C447" s="24" t="s">
        <v>872</v>
      </c>
      <c r="D447" s="69" t="s">
        <v>9453</v>
      </c>
      <c r="E447" s="70" t="s">
        <v>9454</v>
      </c>
      <c r="F447" s="17" t="s">
        <v>806</v>
      </c>
      <c r="G447" s="22" t="s">
        <v>2365</v>
      </c>
      <c r="H447" s="12" t="s">
        <v>9703</v>
      </c>
      <c r="I447" s="13" t="s">
        <v>6752</v>
      </c>
      <c r="J447" s="14" t="s">
        <v>798</v>
      </c>
      <c r="K447" s="15" t="s">
        <v>798</v>
      </c>
      <c r="L447" s="12" t="s">
        <v>5315</v>
      </c>
      <c r="M447" s="13" t="s">
        <v>5781</v>
      </c>
      <c r="N447" s="12" t="s">
        <v>803</v>
      </c>
      <c r="O447" s="13" t="s">
        <v>5180</v>
      </c>
      <c r="P447" s="17" t="s">
        <v>802</v>
      </c>
      <c r="Q447" s="21" t="s">
        <v>7699</v>
      </c>
      <c r="R447" s="17" t="s">
        <v>801</v>
      </c>
      <c r="S447" s="18" t="s">
        <v>2575</v>
      </c>
      <c r="T447" s="17" t="s">
        <v>800</v>
      </c>
      <c r="U447" s="18" t="s">
        <v>5250</v>
      </c>
      <c r="V447" s="17" t="s">
        <v>9418</v>
      </c>
      <c r="W447" s="18" t="s">
        <v>5309</v>
      </c>
      <c r="X447" s="69" t="s">
        <v>9453</v>
      </c>
      <c r="Y447" s="70" t="s">
        <v>9462</v>
      </c>
      <c r="Z447" s="73" t="s">
        <v>9486</v>
      </c>
      <c r="AA447" s="74" t="s">
        <v>9504</v>
      </c>
      <c r="AB447" s="73" t="s">
        <v>9486</v>
      </c>
      <c r="AC447" s="74" t="s">
        <v>9566</v>
      </c>
      <c r="AD447" s="73" t="s">
        <v>9578</v>
      </c>
      <c r="AE447" s="74" t="s">
        <v>9579</v>
      </c>
    </row>
    <row r="448" spans="1:31" ht="8.65" customHeight="1" x14ac:dyDescent="0.2">
      <c r="A448" s="76">
        <v>448</v>
      </c>
      <c r="B448" s="67" t="str">
        <f>MID(C448, FIND("Ifc.", C448) + 4, 4) &amp; "_" &amp; TEXT(COUNTIF($C$2:C448, C448),"0000")</f>
        <v>Prop_0447</v>
      </c>
      <c r="C448" s="24" t="s">
        <v>872</v>
      </c>
      <c r="D448" s="69" t="s">
        <v>9453</v>
      </c>
      <c r="E448" s="70" t="s">
        <v>9454</v>
      </c>
      <c r="F448" s="17" t="s">
        <v>806</v>
      </c>
      <c r="G448" s="22" t="s">
        <v>2366</v>
      </c>
      <c r="H448" s="12" t="s">
        <v>9703</v>
      </c>
      <c r="I448" s="13" t="s">
        <v>6753</v>
      </c>
      <c r="J448" s="14" t="s">
        <v>798</v>
      </c>
      <c r="K448" s="15" t="s">
        <v>798</v>
      </c>
      <c r="L448" s="12" t="s">
        <v>5315</v>
      </c>
      <c r="M448" s="13" t="s">
        <v>5781</v>
      </c>
      <c r="N448" s="12" t="s">
        <v>803</v>
      </c>
      <c r="O448" s="13" t="s">
        <v>5180</v>
      </c>
      <c r="P448" s="17" t="s">
        <v>802</v>
      </c>
      <c r="Q448" s="21" t="s">
        <v>7699</v>
      </c>
      <c r="R448" s="17" t="s">
        <v>801</v>
      </c>
      <c r="S448" s="18" t="s">
        <v>2575</v>
      </c>
      <c r="T448" s="17" t="s">
        <v>800</v>
      </c>
      <c r="U448" s="18" t="s">
        <v>5250</v>
      </c>
      <c r="V448" s="17" t="s">
        <v>9418</v>
      </c>
      <c r="W448" s="18" t="s">
        <v>5309</v>
      </c>
      <c r="X448" s="69" t="s">
        <v>9453</v>
      </c>
      <c r="Y448" s="70" t="s">
        <v>9462</v>
      </c>
      <c r="Z448" s="73" t="s">
        <v>9486</v>
      </c>
      <c r="AA448" s="74" t="s">
        <v>9504</v>
      </c>
      <c r="AB448" s="73" t="s">
        <v>9486</v>
      </c>
      <c r="AC448" s="74" t="s">
        <v>9566</v>
      </c>
      <c r="AD448" s="73" t="s">
        <v>9578</v>
      </c>
      <c r="AE448" s="74" t="s">
        <v>9579</v>
      </c>
    </row>
    <row r="449" spans="1:31" ht="8.65" customHeight="1" x14ac:dyDescent="0.2">
      <c r="A449" s="76">
        <v>449</v>
      </c>
      <c r="B449" s="67" t="str">
        <f>MID(C449, FIND("Ifc.", C449) + 4, 4) &amp; "_" &amp; TEXT(COUNTIF($C$2:C449, C449),"0000")</f>
        <v>Prop_0448</v>
      </c>
      <c r="C449" s="24" t="s">
        <v>872</v>
      </c>
      <c r="D449" s="69" t="s">
        <v>9453</v>
      </c>
      <c r="E449" s="70" t="s">
        <v>9454</v>
      </c>
      <c r="F449" s="17" t="s">
        <v>806</v>
      </c>
      <c r="G449" s="22" t="s">
        <v>2203</v>
      </c>
      <c r="H449" s="12" t="s">
        <v>9703</v>
      </c>
      <c r="I449" s="13" t="s">
        <v>6944</v>
      </c>
      <c r="J449" s="14" t="s">
        <v>798</v>
      </c>
      <c r="K449" s="15" t="s">
        <v>798</v>
      </c>
      <c r="L449" s="12" t="s">
        <v>5315</v>
      </c>
      <c r="M449" s="13" t="s">
        <v>5507</v>
      </c>
      <c r="N449" s="12" t="s">
        <v>803</v>
      </c>
      <c r="O449" s="13" t="s">
        <v>5120</v>
      </c>
      <c r="P449" s="17" t="s">
        <v>802</v>
      </c>
      <c r="Q449" s="21" t="s">
        <v>7693</v>
      </c>
      <c r="R449" s="17" t="s">
        <v>801</v>
      </c>
      <c r="S449" s="18" t="s">
        <v>2554</v>
      </c>
      <c r="T449" s="17" t="s">
        <v>800</v>
      </c>
      <c r="U449" s="18" t="s">
        <v>5233</v>
      </c>
      <c r="V449" s="17" t="s">
        <v>9418</v>
      </c>
      <c r="W449" s="18" t="s">
        <v>5310</v>
      </c>
      <c r="X449" s="69" t="s">
        <v>9453</v>
      </c>
      <c r="Y449" s="70" t="s">
        <v>9463</v>
      </c>
      <c r="Z449" s="73" t="s">
        <v>9486</v>
      </c>
      <c r="AA449" s="74" t="s">
        <v>9504</v>
      </c>
      <c r="AB449" s="73" t="s">
        <v>9486</v>
      </c>
      <c r="AC449" s="74" t="s">
        <v>9562</v>
      </c>
      <c r="AD449" s="73" t="s">
        <v>9578</v>
      </c>
      <c r="AE449" s="74" t="s">
        <v>9579</v>
      </c>
    </row>
    <row r="450" spans="1:31" ht="8.65" customHeight="1" x14ac:dyDescent="0.2">
      <c r="A450" s="76">
        <v>450</v>
      </c>
      <c r="B450" s="67" t="str">
        <f>MID(C450, FIND("Ifc.", C450) + 4, 4) &amp; "_" &amp; TEXT(COUNTIF($C$2:C450, C450),"0000")</f>
        <v>Prop_0449</v>
      </c>
      <c r="C450" s="24" t="s">
        <v>872</v>
      </c>
      <c r="D450" s="69" t="s">
        <v>9453</v>
      </c>
      <c r="E450" s="70" t="s">
        <v>9454</v>
      </c>
      <c r="F450" s="17" t="s">
        <v>806</v>
      </c>
      <c r="G450" s="22" t="s">
        <v>2011</v>
      </c>
      <c r="H450" s="12" t="s">
        <v>9703</v>
      </c>
      <c r="I450" s="13" t="s">
        <v>6606</v>
      </c>
      <c r="J450" s="14" t="s">
        <v>798</v>
      </c>
      <c r="K450" s="15" t="s">
        <v>798</v>
      </c>
      <c r="L450" s="12" t="s">
        <v>5315</v>
      </c>
      <c r="M450" s="13" t="s">
        <v>5480</v>
      </c>
      <c r="N450" s="12" t="s">
        <v>803</v>
      </c>
      <c r="O450" s="13" t="s">
        <v>5084</v>
      </c>
      <c r="P450" s="17" t="s">
        <v>802</v>
      </c>
      <c r="Q450" s="21" t="s">
        <v>7755</v>
      </c>
      <c r="R450" s="17" t="s">
        <v>801</v>
      </c>
      <c r="S450" s="18" t="s">
        <v>2568</v>
      </c>
      <c r="T450" s="17" t="s">
        <v>800</v>
      </c>
      <c r="U450" s="18" t="s">
        <v>5295</v>
      </c>
      <c r="V450" s="17" t="s">
        <v>9418</v>
      </c>
      <c r="W450" s="18" t="s">
        <v>5309</v>
      </c>
      <c r="X450" s="69" t="s">
        <v>9453</v>
      </c>
      <c r="Y450" s="70" t="s">
        <v>9462</v>
      </c>
      <c r="Z450" s="73" t="s">
        <v>9486</v>
      </c>
      <c r="AA450" s="74" t="s">
        <v>9504</v>
      </c>
      <c r="AB450" s="73" t="s">
        <v>9486</v>
      </c>
      <c r="AC450" s="74" t="s">
        <v>9566</v>
      </c>
      <c r="AD450" s="73" t="s">
        <v>9578</v>
      </c>
      <c r="AE450" s="74" t="s">
        <v>9579</v>
      </c>
    </row>
    <row r="451" spans="1:31" ht="8.65" customHeight="1" x14ac:dyDescent="0.2">
      <c r="A451" s="76">
        <v>451</v>
      </c>
      <c r="B451" s="67" t="str">
        <f>MID(C451, FIND("Ifc.", C451) + 4, 4) &amp; "_" &amp; TEXT(COUNTIF($C$2:C451, C451),"0000")</f>
        <v>Prop_0450</v>
      </c>
      <c r="C451" s="24" t="s">
        <v>872</v>
      </c>
      <c r="D451" s="69" t="s">
        <v>9453</v>
      </c>
      <c r="E451" s="70" t="s">
        <v>9454</v>
      </c>
      <c r="F451" s="17" t="s">
        <v>806</v>
      </c>
      <c r="G451" s="22" t="s">
        <v>2256</v>
      </c>
      <c r="H451" s="12" t="s">
        <v>9703</v>
      </c>
      <c r="I451" s="13" t="s">
        <v>6696</v>
      </c>
      <c r="J451" s="14" t="s">
        <v>798</v>
      </c>
      <c r="K451" s="15" t="s">
        <v>798</v>
      </c>
      <c r="L451" s="12" t="s">
        <v>5315</v>
      </c>
      <c r="M451" s="13" t="s">
        <v>5532</v>
      </c>
      <c r="N451" s="12" t="s">
        <v>803</v>
      </c>
      <c r="O451" s="13" t="s">
        <v>5147</v>
      </c>
      <c r="P451" s="17" t="s">
        <v>802</v>
      </c>
      <c r="Q451" s="21" t="s">
        <v>7881</v>
      </c>
      <c r="R451" s="17" t="s">
        <v>801</v>
      </c>
      <c r="S451" s="18" t="s">
        <v>2632</v>
      </c>
      <c r="T451" s="17" t="s">
        <v>800</v>
      </c>
      <c r="U451" s="18" t="s">
        <v>5270</v>
      </c>
      <c r="V451" s="17" t="s">
        <v>9418</v>
      </c>
      <c r="W451" s="18" t="s">
        <v>5309</v>
      </c>
      <c r="X451" s="69" t="s">
        <v>9453</v>
      </c>
      <c r="Y451" s="70" t="s">
        <v>9462</v>
      </c>
      <c r="Z451" s="73" t="s">
        <v>9486</v>
      </c>
      <c r="AA451" s="74" t="s">
        <v>9504</v>
      </c>
      <c r="AB451" s="73" t="s">
        <v>9486</v>
      </c>
      <c r="AC451" s="74" t="s">
        <v>9561</v>
      </c>
      <c r="AD451" s="73" t="s">
        <v>9578</v>
      </c>
      <c r="AE451" s="74" t="s">
        <v>9579</v>
      </c>
    </row>
    <row r="452" spans="1:31" ht="8.65" customHeight="1" x14ac:dyDescent="0.2">
      <c r="A452" s="76">
        <v>452</v>
      </c>
      <c r="B452" s="67" t="str">
        <f>MID(C452, FIND("Ifc.", C452) + 4, 4) &amp; "_" &amp; TEXT(COUNTIF($C$2:C452, C452),"0000")</f>
        <v>Prop_0451</v>
      </c>
      <c r="C452" s="24" t="s">
        <v>872</v>
      </c>
      <c r="D452" s="69" t="s">
        <v>9453</v>
      </c>
      <c r="E452" s="70" t="s">
        <v>9454</v>
      </c>
      <c r="F452" s="17" t="s">
        <v>806</v>
      </c>
      <c r="G452" s="22" t="s">
        <v>1192</v>
      </c>
      <c r="H452" s="12" t="s">
        <v>9703</v>
      </c>
      <c r="I452" s="13" t="s">
        <v>6221</v>
      </c>
      <c r="J452" s="14" t="s">
        <v>798</v>
      </c>
      <c r="K452" s="15" t="s">
        <v>798</v>
      </c>
      <c r="L452" s="12" t="s">
        <v>5315</v>
      </c>
      <c r="M452" s="13" t="s">
        <v>6051</v>
      </c>
      <c r="N452" s="12" t="s">
        <v>803</v>
      </c>
      <c r="O452" s="13" t="s">
        <v>4880</v>
      </c>
      <c r="P452" s="17" t="s">
        <v>802</v>
      </c>
      <c r="Q452" s="21" t="s">
        <v>7882</v>
      </c>
      <c r="R452" s="17" t="s">
        <v>801</v>
      </c>
      <c r="S452" s="18" t="s">
        <v>2562</v>
      </c>
      <c r="T452" s="17" t="s">
        <v>800</v>
      </c>
      <c r="U452" s="18" t="s">
        <v>5256</v>
      </c>
      <c r="V452" s="17" t="s">
        <v>9418</v>
      </c>
      <c r="W452" s="18" t="s">
        <v>5309</v>
      </c>
      <c r="X452" s="69" t="s">
        <v>9453</v>
      </c>
      <c r="Y452" s="70" t="s">
        <v>9462</v>
      </c>
      <c r="Z452" s="73" t="s">
        <v>9486</v>
      </c>
      <c r="AA452" s="74" t="s">
        <v>9504</v>
      </c>
      <c r="AB452" s="73" t="s">
        <v>9486</v>
      </c>
      <c r="AC452" s="74" t="s">
        <v>9562</v>
      </c>
      <c r="AD452" s="73" t="s">
        <v>9578</v>
      </c>
      <c r="AE452" s="74" t="s">
        <v>9579</v>
      </c>
    </row>
    <row r="453" spans="1:31" ht="8.65" customHeight="1" x14ac:dyDescent="0.2">
      <c r="A453" s="76">
        <v>453</v>
      </c>
      <c r="B453" s="67" t="str">
        <f>MID(C453, FIND("Ifc.", C453) + 4, 4) &amp; "_" &amp; TEXT(COUNTIF($C$2:C453, C453),"0000")</f>
        <v>Prop_0452</v>
      </c>
      <c r="C453" s="24" t="s">
        <v>872</v>
      </c>
      <c r="D453" s="69" t="s">
        <v>9453</v>
      </c>
      <c r="E453" s="70" t="s">
        <v>9454</v>
      </c>
      <c r="F453" s="17" t="s">
        <v>806</v>
      </c>
      <c r="G453" s="22" t="s">
        <v>1193</v>
      </c>
      <c r="H453" s="12" t="s">
        <v>9703</v>
      </c>
      <c r="I453" s="13" t="s">
        <v>6222</v>
      </c>
      <c r="J453" s="14" t="s">
        <v>798</v>
      </c>
      <c r="K453" s="15" t="s">
        <v>798</v>
      </c>
      <c r="L453" s="12" t="s">
        <v>5315</v>
      </c>
      <c r="M453" s="13" t="s">
        <v>6051</v>
      </c>
      <c r="N453" s="12" t="s">
        <v>803</v>
      </c>
      <c r="O453" s="13" t="s">
        <v>4880</v>
      </c>
      <c r="P453" s="17" t="s">
        <v>802</v>
      </c>
      <c r="Q453" s="21" t="s">
        <v>7882</v>
      </c>
      <c r="R453" s="17" t="s">
        <v>801</v>
      </c>
      <c r="S453" s="18" t="s">
        <v>2562</v>
      </c>
      <c r="T453" s="17" t="s">
        <v>800</v>
      </c>
      <c r="U453" s="18" t="s">
        <v>5256</v>
      </c>
      <c r="V453" s="17" t="s">
        <v>9418</v>
      </c>
      <c r="W453" s="18" t="s">
        <v>5309</v>
      </c>
      <c r="X453" s="69" t="s">
        <v>9453</v>
      </c>
      <c r="Y453" s="70" t="s">
        <v>9462</v>
      </c>
      <c r="Z453" s="73" t="s">
        <v>9486</v>
      </c>
      <c r="AA453" s="74" t="s">
        <v>9504</v>
      </c>
      <c r="AB453" s="73" t="s">
        <v>9486</v>
      </c>
      <c r="AC453" s="74" t="s">
        <v>9562</v>
      </c>
      <c r="AD453" s="73" t="s">
        <v>9578</v>
      </c>
      <c r="AE453" s="74" t="s">
        <v>9579</v>
      </c>
    </row>
    <row r="454" spans="1:31" ht="8.65" customHeight="1" x14ac:dyDescent="0.2">
      <c r="A454" s="76">
        <v>454</v>
      </c>
      <c r="B454" s="67" t="str">
        <f>MID(C454, FIND("Ifc.", C454) + 4, 4) &amp; "_" &amp; TEXT(COUNTIF($C$2:C454, C454),"0000")</f>
        <v>Prop_0453</v>
      </c>
      <c r="C454" s="24" t="s">
        <v>872</v>
      </c>
      <c r="D454" s="69" t="s">
        <v>9453</v>
      </c>
      <c r="E454" s="70" t="s">
        <v>9454</v>
      </c>
      <c r="F454" s="17" t="s">
        <v>806</v>
      </c>
      <c r="G454" s="22" t="s">
        <v>1194</v>
      </c>
      <c r="H454" s="12" t="s">
        <v>9703</v>
      </c>
      <c r="I454" s="13" t="s">
        <v>6223</v>
      </c>
      <c r="J454" s="14" t="s">
        <v>798</v>
      </c>
      <c r="K454" s="15" t="s">
        <v>798</v>
      </c>
      <c r="L454" s="12" t="s">
        <v>5315</v>
      </c>
      <c r="M454" s="13" t="s">
        <v>6051</v>
      </c>
      <c r="N454" s="12" t="s">
        <v>803</v>
      </c>
      <c r="O454" s="13" t="s">
        <v>4880</v>
      </c>
      <c r="P454" s="17" t="s">
        <v>802</v>
      </c>
      <c r="Q454" s="21" t="s">
        <v>7882</v>
      </c>
      <c r="R454" s="17" t="s">
        <v>801</v>
      </c>
      <c r="S454" s="18" t="s">
        <v>2562</v>
      </c>
      <c r="T454" s="17" t="s">
        <v>800</v>
      </c>
      <c r="U454" s="18" t="s">
        <v>5256</v>
      </c>
      <c r="V454" s="17" t="s">
        <v>9418</v>
      </c>
      <c r="W454" s="18" t="s">
        <v>5309</v>
      </c>
      <c r="X454" s="69" t="s">
        <v>9453</v>
      </c>
      <c r="Y454" s="70" t="s">
        <v>9462</v>
      </c>
      <c r="Z454" s="73" t="s">
        <v>9486</v>
      </c>
      <c r="AA454" s="74" t="s">
        <v>9504</v>
      </c>
      <c r="AB454" s="73" t="s">
        <v>9486</v>
      </c>
      <c r="AC454" s="74" t="s">
        <v>9562</v>
      </c>
      <c r="AD454" s="73" t="s">
        <v>9578</v>
      </c>
      <c r="AE454" s="74" t="s">
        <v>9579</v>
      </c>
    </row>
    <row r="455" spans="1:31" ht="8.65" customHeight="1" x14ac:dyDescent="0.2">
      <c r="A455" s="76">
        <v>455</v>
      </c>
      <c r="B455" s="67" t="str">
        <f>MID(C455, FIND("Ifc.", C455) + 4, 4) &amp; "_" &amp; TEXT(COUNTIF($C$2:C455, C455),"0000")</f>
        <v>Prop_0454</v>
      </c>
      <c r="C455" s="24" t="s">
        <v>872</v>
      </c>
      <c r="D455" s="69" t="s">
        <v>9453</v>
      </c>
      <c r="E455" s="70" t="s">
        <v>9454</v>
      </c>
      <c r="F455" s="17" t="s">
        <v>806</v>
      </c>
      <c r="G455" s="22" t="s">
        <v>2030</v>
      </c>
      <c r="H455" s="12" t="s">
        <v>9703</v>
      </c>
      <c r="I455" s="13" t="s">
        <v>6615</v>
      </c>
      <c r="J455" s="14" t="s">
        <v>798</v>
      </c>
      <c r="K455" s="15" t="s">
        <v>798</v>
      </c>
      <c r="L455" s="12" t="s">
        <v>5315</v>
      </c>
      <c r="M455" s="13" t="s">
        <v>5480</v>
      </c>
      <c r="N455" s="12" t="s">
        <v>803</v>
      </c>
      <c r="O455" s="13" t="s">
        <v>5084</v>
      </c>
      <c r="P455" s="17" t="s">
        <v>802</v>
      </c>
      <c r="Q455" s="21" t="s">
        <v>7755</v>
      </c>
      <c r="R455" s="17" t="s">
        <v>801</v>
      </c>
      <c r="S455" s="18" t="s">
        <v>2651</v>
      </c>
      <c r="T455" s="17" t="s">
        <v>800</v>
      </c>
      <c r="U455" s="18" t="s">
        <v>5298</v>
      </c>
      <c r="V455" s="17" t="s">
        <v>9418</v>
      </c>
      <c r="W455" s="18" t="s">
        <v>5309</v>
      </c>
      <c r="X455" s="69" t="s">
        <v>9453</v>
      </c>
      <c r="Y455" s="70" t="s">
        <v>9462</v>
      </c>
      <c r="Z455" s="73" t="s">
        <v>9486</v>
      </c>
      <c r="AA455" s="74" t="s">
        <v>9504</v>
      </c>
      <c r="AB455" s="73" t="s">
        <v>9486</v>
      </c>
      <c r="AC455" s="74" t="s">
        <v>9566</v>
      </c>
      <c r="AD455" s="73" t="s">
        <v>9578</v>
      </c>
      <c r="AE455" s="74" t="s">
        <v>9579</v>
      </c>
    </row>
    <row r="456" spans="1:31" ht="8.65" customHeight="1" x14ac:dyDescent="0.2">
      <c r="A456" s="76">
        <v>456</v>
      </c>
      <c r="B456" s="67" t="str">
        <f>MID(C456, FIND("Ifc.", C456) + 4, 4) &amp; "_" &amp; TEXT(COUNTIF($C$2:C456, C456),"0000")</f>
        <v>Prop_0455</v>
      </c>
      <c r="C456" s="24" t="s">
        <v>872</v>
      </c>
      <c r="D456" s="69" t="s">
        <v>9453</v>
      </c>
      <c r="E456" s="70" t="s">
        <v>9454</v>
      </c>
      <c r="F456" s="17" t="s">
        <v>806</v>
      </c>
      <c r="G456" s="22" t="s">
        <v>1830</v>
      </c>
      <c r="H456" s="12" t="s">
        <v>9703</v>
      </c>
      <c r="I456" s="13" t="s">
        <v>6314</v>
      </c>
      <c r="J456" s="14" t="s">
        <v>798</v>
      </c>
      <c r="K456" s="15" t="s">
        <v>798</v>
      </c>
      <c r="L456" s="12" t="s">
        <v>5315</v>
      </c>
      <c r="M456" s="13" t="s">
        <v>5945</v>
      </c>
      <c r="N456" s="12" t="s">
        <v>803</v>
      </c>
      <c r="O456" s="13" t="s">
        <v>5029</v>
      </c>
      <c r="P456" s="17" t="s">
        <v>802</v>
      </c>
      <c r="Q456" s="21" t="s">
        <v>7764</v>
      </c>
      <c r="R456" s="17" t="s">
        <v>801</v>
      </c>
      <c r="S456" s="18" t="s">
        <v>2554</v>
      </c>
      <c r="T456" s="17" t="s">
        <v>800</v>
      </c>
      <c r="U456" s="18" t="s">
        <v>5233</v>
      </c>
      <c r="V456" s="17" t="s">
        <v>9418</v>
      </c>
      <c r="W456" s="18" t="s">
        <v>5310</v>
      </c>
      <c r="X456" s="69" t="s">
        <v>9453</v>
      </c>
      <c r="Y456" s="70" t="s">
        <v>9463</v>
      </c>
      <c r="Z456" s="73" t="s">
        <v>9486</v>
      </c>
      <c r="AA456" s="74" t="s">
        <v>9504</v>
      </c>
      <c r="AB456" s="73" t="s">
        <v>9486</v>
      </c>
      <c r="AC456" s="74" t="s">
        <v>9562</v>
      </c>
      <c r="AD456" s="73" t="s">
        <v>9578</v>
      </c>
      <c r="AE456" s="74" t="s">
        <v>9579</v>
      </c>
    </row>
    <row r="457" spans="1:31" ht="8.65" customHeight="1" x14ac:dyDescent="0.2">
      <c r="A457" s="76">
        <v>457</v>
      </c>
      <c r="B457" s="67" t="str">
        <f>MID(C457, FIND("Ifc.", C457) + 4, 4) &amp; "_" &amp; TEXT(COUNTIF($C$2:C457, C457),"0000")</f>
        <v>Prop_0456</v>
      </c>
      <c r="C457" s="24" t="s">
        <v>872</v>
      </c>
      <c r="D457" s="69" t="s">
        <v>9453</v>
      </c>
      <c r="E457" s="70" t="s">
        <v>9454</v>
      </c>
      <c r="F457" s="17" t="s">
        <v>806</v>
      </c>
      <c r="G457" s="22" t="s">
        <v>2218</v>
      </c>
      <c r="H457" s="12" t="s">
        <v>9703</v>
      </c>
      <c r="I457" s="13" t="s">
        <v>6686</v>
      </c>
      <c r="J457" s="14" t="s">
        <v>798</v>
      </c>
      <c r="K457" s="15" t="s">
        <v>798</v>
      </c>
      <c r="L457" s="12" t="s">
        <v>5315</v>
      </c>
      <c r="M457" s="13" t="s">
        <v>5509</v>
      </c>
      <c r="N457" s="12" t="s">
        <v>803</v>
      </c>
      <c r="O457" s="13" t="s">
        <v>5122</v>
      </c>
      <c r="P457" s="17" t="s">
        <v>802</v>
      </c>
      <c r="Q457" s="21" t="s">
        <v>7780</v>
      </c>
      <c r="R457" s="17" t="s">
        <v>801</v>
      </c>
      <c r="S457" s="18" t="s">
        <v>2554</v>
      </c>
      <c r="T457" s="17" t="s">
        <v>800</v>
      </c>
      <c r="U457" s="18" t="s">
        <v>5233</v>
      </c>
      <c r="V457" s="17" t="s">
        <v>9418</v>
      </c>
      <c r="W457" s="18" t="s">
        <v>5309</v>
      </c>
      <c r="X457" s="69" t="s">
        <v>9453</v>
      </c>
      <c r="Y457" s="70" t="s">
        <v>9462</v>
      </c>
      <c r="Z457" s="73" t="s">
        <v>9486</v>
      </c>
      <c r="AA457" s="74" t="s">
        <v>9504</v>
      </c>
      <c r="AB457" s="73" t="s">
        <v>9486</v>
      </c>
      <c r="AC457" s="74" t="s">
        <v>9562</v>
      </c>
      <c r="AD457" s="73" t="s">
        <v>9578</v>
      </c>
      <c r="AE457" s="74" t="s">
        <v>9579</v>
      </c>
    </row>
    <row r="458" spans="1:31" ht="8.65" customHeight="1" x14ac:dyDescent="0.2">
      <c r="A458" s="76">
        <v>458</v>
      </c>
      <c r="B458" s="67" t="str">
        <f>MID(C458, FIND("Ifc.", C458) + 4, 4) &amp; "_" &amp; TEXT(COUNTIF($C$2:C458, C458),"0000")</f>
        <v>Prop_0457</v>
      </c>
      <c r="C458" s="24" t="s">
        <v>872</v>
      </c>
      <c r="D458" s="69" t="s">
        <v>9453</v>
      </c>
      <c r="E458" s="70" t="s">
        <v>9454</v>
      </c>
      <c r="F458" s="17" t="s">
        <v>806</v>
      </c>
      <c r="G458" s="22" t="s">
        <v>1346</v>
      </c>
      <c r="H458" s="12" t="s">
        <v>9703</v>
      </c>
      <c r="I458" s="13" t="s">
        <v>6275</v>
      </c>
      <c r="J458" s="14" t="s">
        <v>798</v>
      </c>
      <c r="K458" s="15" t="s">
        <v>798</v>
      </c>
      <c r="L458" s="12" t="s">
        <v>5315</v>
      </c>
      <c r="M458" s="13" t="s">
        <v>5414</v>
      </c>
      <c r="N458" s="12" t="s">
        <v>803</v>
      </c>
      <c r="O458" s="13" t="s">
        <v>4914</v>
      </c>
      <c r="P458" s="17" t="s">
        <v>802</v>
      </c>
      <c r="Q458" s="21" t="s">
        <v>7735</v>
      </c>
      <c r="R458" s="17" t="s">
        <v>801</v>
      </c>
      <c r="S458" s="18" t="s">
        <v>2559</v>
      </c>
      <c r="T458" s="17" t="s">
        <v>800</v>
      </c>
      <c r="U458" s="18" t="s">
        <v>5234</v>
      </c>
      <c r="V458" s="17" t="s">
        <v>9418</v>
      </c>
      <c r="W458" s="18" t="s">
        <v>5309</v>
      </c>
      <c r="X458" s="69" t="s">
        <v>9453</v>
      </c>
      <c r="Y458" s="70" t="s">
        <v>9462</v>
      </c>
      <c r="Z458" s="73" t="s">
        <v>9486</v>
      </c>
      <c r="AA458" s="74" t="s">
        <v>9504</v>
      </c>
      <c r="AB458" s="73" t="s">
        <v>9486</v>
      </c>
      <c r="AC458" s="74" t="s">
        <v>9562</v>
      </c>
      <c r="AD458" s="73" t="s">
        <v>9578</v>
      </c>
      <c r="AE458" s="74" t="s">
        <v>9579</v>
      </c>
    </row>
    <row r="459" spans="1:31" ht="8.65" customHeight="1" x14ac:dyDescent="0.2">
      <c r="A459" s="76">
        <v>459</v>
      </c>
      <c r="B459" s="67" t="str">
        <f>MID(C459, FIND("Ifc.", C459) + 4, 4) &amp; "_" &amp; TEXT(COUNTIF($C$2:C459, C459),"0000")</f>
        <v>Prop_0458</v>
      </c>
      <c r="C459" s="24" t="s">
        <v>872</v>
      </c>
      <c r="D459" s="69" t="s">
        <v>9453</v>
      </c>
      <c r="E459" s="70" t="s">
        <v>9454</v>
      </c>
      <c r="F459" s="17" t="s">
        <v>806</v>
      </c>
      <c r="G459" s="22" t="s">
        <v>2229</v>
      </c>
      <c r="H459" s="12" t="s">
        <v>9703</v>
      </c>
      <c r="I459" s="13" t="s">
        <v>6680</v>
      </c>
      <c r="J459" s="14" t="s">
        <v>798</v>
      </c>
      <c r="K459" s="15" t="s">
        <v>798</v>
      </c>
      <c r="L459" s="12" t="s">
        <v>5315</v>
      </c>
      <c r="M459" s="13" t="s">
        <v>5512</v>
      </c>
      <c r="N459" s="12" t="s">
        <v>803</v>
      </c>
      <c r="O459" s="13" t="s">
        <v>5126</v>
      </c>
      <c r="P459" s="17" t="s">
        <v>802</v>
      </c>
      <c r="Q459" s="21" t="s">
        <v>7754</v>
      </c>
      <c r="R459" s="17" t="s">
        <v>801</v>
      </c>
      <c r="S459" s="18" t="s">
        <v>2554</v>
      </c>
      <c r="T459" s="17" t="s">
        <v>800</v>
      </c>
      <c r="U459" s="18" t="s">
        <v>5233</v>
      </c>
      <c r="V459" s="17" t="s">
        <v>9418</v>
      </c>
      <c r="W459" s="18" t="s">
        <v>5310</v>
      </c>
      <c r="X459" s="69" t="s">
        <v>9453</v>
      </c>
      <c r="Y459" s="70" t="s">
        <v>9463</v>
      </c>
      <c r="Z459" s="73" t="s">
        <v>9486</v>
      </c>
      <c r="AA459" s="74" t="s">
        <v>9504</v>
      </c>
      <c r="AB459" s="73" t="s">
        <v>9486</v>
      </c>
      <c r="AC459" s="74" t="s">
        <v>9562</v>
      </c>
      <c r="AD459" s="73" t="s">
        <v>9578</v>
      </c>
      <c r="AE459" s="74" t="s">
        <v>9579</v>
      </c>
    </row>
    <row r="460" spans="1:31" ht="8.65" customHeight="1" x14ac:dyDescent="0.2">
      <c r="A460" s="76">
        <v>460</v>
      </c>
      <c r="B460" s="67" t="str">
        <f>MID(C460, FIND("Ifc.", C460) + 4, 4) &amp; "_" &amp; TEXT(COUNTIF($C$2:C460, C460),"0000")</f>
        <v>Prop_0459</v>
      </c>
      <c r="C460" s="24" t="s">
        <v>872</v>
      </c>
      <c r="D460" s="69" t="s">
        <v>9453</v>
      </c>
      <c r="E460" s="70" t="s">
        <v>9454</v>
      </c>
      <c r="F460" s="17" t="s">
        <v>806</v>
      </c>
      <c r="G460" s="22" t="s">
        <v>1557</v>
      </c>
      <c r="H460" s="12" t="s">
        <v>9703</v>
      </c>
      <c r="I460" s="13" t="s">
        <v>6381</v>
      </c>
      <c r="J460" s="14" t="s">
        <v>798</v>
      </c>
      <c r="K460" s="15" t="s">
        <v>798</v>
      </c>
      <c r="L460" s="12" t="s">
        <v>5315</v>
      </c>
      <c r="M460" s="13" t="s">
        <v>5891</v>
      </c>
      <c r="N460" s="12" t="s">
        <v>803</v>
      </c>
      <c r="O460" s="13" t="s">
        <v>4960</v>
      </c>
      <c r="P460" s="17" t="s">
        <v>802</v>
      </c>
      <c r="Q460" s="21" t="s">
        <v>7813</v>
      </c>
      <c r="R460" s="17" t="s">
        <v>801</v>
      </c>
      <c r="S460" s="18" t="s">
        <v>3636</v>
      </c>
      <c r="T460" s="17" t="s">
        <v>800</v>
      </c>
      <c r="U460" s="18" t="s">
        <v>5257</v>
      </c>
      <c r="V460" s="17" t="s">
        <v>9418</v>
      </c>
      <c r="W460" s="18" t="s">
        <v>5314</v>
      </c>
      <c r="X460" s="69" t="s">
        <v>9453</v>
      </c>
      <c r="Y460" s="70" t="s">
        <v>9464</v>
      </c>
      <c r="Z460" s="73" t="s">
        <v>9486</v>
      </c>
      <c r="AA460" s="74" t="s">
        <v>9504</v>
      </c>
      <c r="AB460" s="73" t="s">
        <v>9486</v>
      </c>
      <c r="AC460" s="74" t="s">
        <v>9561</v>
      </c>
      <c r="AD460" s="73" t="s">
        <v>9578</v>
      </c>
      <c r="AE460" s="74" t="s">
        <v>9579</v>
      </c>
    </row>
    <row r="461" spans="1:31" ht="8.65" customHeight="1" x14ac:dyDescent="0.2">
      <c r="A461" s="76">
        <v>461</v>
      </c>
      <c r="B461" s="67" t="str">
        <f>MID(C461, FIND("Ifc.", C461) + 4, 4) &amp; "_" &amp; TEXT(COUNTIF($C$2:C461, C461),"0000")</f>
        <v>Prop_0460</v>
      </c>
      <c r="C461" s="24" t="s">
        <v>872</v>
      </c>
      <c r="D461" s="69" t="s">
        <v>9453</v>
      </c>
      <c r="E461" s="70" t="s">
        <v>9454</v>
      </c>
      <c r="F461" s="17" t="s">
        <v>806</v>
      </c>
      <c r="G461" s="22" t="s">
        <v>1732</v>
      </c>
      <c r="H461" s="12" t="s">
        <v>9703</v>
      </c>
      <c r="I461" s="13" t="s">
        <v>6457</v>
      </c>
      <c r="J461" s="14" t="s">
        <v>798</v>
      </c>
      <c r="K461" s="15" t="s">
        <v>798</v>
      </c>
      <c r="L461" s="12" t="s">
        <v>5315</v>
      </c>
      <c r="M461" s="13" t="s">
        <v>5931</v>
      </c>
      <c r="N461" s="12" t="s">
        <v>803</v>
      </c>
      <c r="O461" s="13" t="s">
        <v>5004</v>
      </c>
      <c r="P461" s="17" t="s">
        <v>802</v>
      </c>
      <c r="Q461" s="21" t="s">
        <v>7689</v>
      </c>
      <c r="R461" s="17" t="s">
        <v>801</v>
      </c>
      <c r="S461" s="18" t="s">
        <v>2643</v>
      </c>
      <c r="T461" s="17" t="s">
        <v>800</v>
      </c>
      <c r="U461" s="18" t="s">
        <v>5265</v>
      </c>
      <c r="V461" s="17" t="s">
        <v>9418</v>
      </c>
      <c r="W461" s="18" t="s">
        <v>5309</v>
      </c>
      <c r="X461" s="69" t="s">
        <v>9453</v>
      </c>
      <c r="Y461" s="70" t="s">
        <v>9462</v>
      </c>
      <c r="Z461" s="73" t="s">
        <v>9486</v>
      </c>
      <c r="AA461" s="74" t="s">
        <v>9504</v>
      </c>
      <c r="AB461" s="73" t="s">
        <v>9486</v>
      </c>
      <c r="AC461" s="74" t="s">
        <v>9566</v>
      </c>
      <c r="AD461" s="73" t="s">
        <v>9578</v>
      </c>
      <c r="AE461" s="74" t="s">
        <v>9579</v>
      </c>
    </row>
    <row r="462" spans="1:31" ht="8.65" customHeight="1" x14ac:dyDescent="0.2">
      <c r="A462" s="76">
        <v>462</v>
      </c>
      <c r="B462" s="67" t="str">
        <f>MID(C462, FIND("Ifc.", C462) + 4, 4) &amp; "_" &amp; TEXT(COUNTIF($C$2:C462, C462),"0000")</f>
        <v>Prop_0461</v>
      </c>
      <c r="C462" s="24" t="s">
        <v>872</v>
      </c>
      <c r="D462" s="69" t="s">
        <v>9453</v>
      </c>
      <c r="E462" s="70" t="s">
        <v>9454</v>
      </c>
      <c r="F462" s="17" t="s">
        <v>806</v>
      </c>
      <c r="G462" s="22" t="s">
        <v>2479</v>
      </c>
      <c r="H462" s="12" t="s">
        <v>9703</v>
      </c>
      <c r="I462" s="13" t="s">
        <v>6813</v>
      </c>
      <c r="J462" s="14" t="s">
        <v>798</v>
      </c>
      <c r="K462" s="15" t="s">
        <v>798</v>
      </c>
      <c r="L462" s="12" t="s">
        <v>5315</v>
      </c>
      <c r="M462" s="13" t="s">
        <v>5575</v>
      </c>
      <c r="N462" s="12" t="s">
        <v>803</v>
      </c>
      <c r="O462" s="13" t="s">
        <v>5213</v>
      </c>
      <c r="P462" s="17" t="s">
        <v>802</v>
      </c>
      <c r="Q462" s="21" t="s">
        <v>7690</v>
      </c>
      <c r="R462" s="17" t="s">
        <v>801</v>
      </c>
      <c r="S462" s="18" t="s">
        <v>2643</v>
      </c>
      <c r="T462" s="17" t="s">
        <v>800</v>
      </c>
      <c r="U462" s="18" t="s">
        <v>5265</v>
      </c>
      <c r="V462" s="17" t="s">
        <v>9418</v>
      </c>
      <c r="W462" s="18" t="s">
        <v>5309</v>
      </c>
      <c r="X462" s="69" t="s">
        <v>9453</v>
      </c>
      <c r="Y462" s="70" t="s">
        <v>9462</v>
      </c>
      <c r="Z462" s="73" t="s">
        <v>9486</v>
      </c>
      <c r="AA462" s="74" t="s">
        <v>9504</v>
      </c>
      <c r="AB462" s="73" t="s">
        <v>9486</v>
      </c>
      <c r="AC462" s="74" t="s">
        <v>9566</v>
      </c>
      <c r="AD462" s="73" t="s">
        <v>9578</v>
      </c>
      <c r="AE462" s="74" t="s">
        <v>9579</v>
      </c>
    </row>
    <row r="463" spans="1:31" ht="8.65" customHeight="1" x14ac:dyDescent="0.2">
      <c r="A463" s="76">
        <v>463</v>
      </c>
      <c r="B463" s="67" t="str">
        <f>MID(C463, FIND("Ifc.", C463) + 4, 4) &amp; "_" &amp; TEXT(COUNTIF($C$2:C463, C463),"0000")</f>
        <v>Prop_0462</v>
      </c>
      <c r="C463" s="24" t="s">
        <v>872</v>
      </c>
      <c r="D463" s="69" t="s">
        <v>9453</v>
      </c>
      <c r="E463" s="70" t="s">
        <v>9454</v>
      </c>
      <c r="F463" s="17" t="s">
        <v>806</v>
      </c>
      <c r="G463" s="22" t="s">
        <v>1719</v>
      </c>
      <c r="H463" s="12" t="s">
        <v>9703</v>
      </c>
      <c r="I463" s="13" t="s">
        <v>6446</v>
      </c>
      <c r="J463" s="14" t="s">
        <v>798</v>
      </c>
      <c r="K463" s="15" t="s">
        <v>798</v>
      </c>
      <c r="L463" s="12" t="s">
        <v>5315</v>
      </c>
      <c r="M463" s="13" t="s">
        <v>5931</v>
      </c>
      <c r="N463" s="12" t="s">
        <v>803</v>
      </c>
      <c r="O463" s="13" t="s">
        <v>5004</v>
      </c>
      <c r="P463" s="17" t="s">
        <v>802</v>
      </c>
      <c r="Q463" s="21" t="s">
        <v>7689</v>
      </c>
      <c r="R463" s="17" t="s">
        <v>801</v>
      </c>
      <c r="S463" s="18" t="s">
        <v>2600</v>
      </c>
      <c r="T463" s="17" t="s">
        <v>800</v>
      </c>
      <c r="U463" s="18" t="s">
        <v>5284</v>
      </c>
      <c r="V463" s="17" t="s">
        <v>9418</v>
      </c>
      <c r="W463" s="18" t="s">
        <v>5309</v>
      </c>
      <c r="X463" s="69" t="s">
        <v>9453</v>
      </c>
      <c r="Y463" s="70" t="s">
        <v>9462</v>
      </c>
      <c r="Z463" s="73" t="s">
        <v>9486</v>
      </c>
      <c r="AA463" s="74" t="s">
        <v>9504</v>
      </c>
      <c r="AB463" s="73" t="s">
        <v>9486</v>
      </c>
      <c r="AC463" s="74" t="s">
        <v>9566</v>
      </c>
      <c r="AD463" s="73" t="s">
        <v>9578</v>
      </c>
      <c r="AE463" s="74" t="s">
        <v>9579</v>
      </c>
    </row>
    <row r="464" spans="1:31" ht="8.65" customHeight="1" x14ac:dyDescent="0.2">
      <c r="A464" s="76">
        <v>464</v>
      </c>
      <c r="B464" s="67" t="str">
        <f>MID(C464, FIND("Ifc.", C464) + 4, 4) &amp; "_" &amp; TEXT(COUNTIF($C$2:C464, C464),"0000")</f>
        <v>Prop_0463</v>
      </c>
      <c r="C464" s="24" t="s">
        <v>872</v>
      </c>
      <c r="D464" s="69" t="s">
        <v>9453</v>
      </c>
      <c r="E464" s="70" t="s">
        <v>9454</v>
      </c>
      <c r="F464" s="17" t="s">
        <v>806</v>
      </c>
      <c r="G464" s="22" t="s">
        <v>2466</v>
      </c>
      <c r="H464" s="12" t="s">
        <v>9703</v>
      </c>
      <c r="I464" s="13" t="s">
        <v>6802</v>
      </c>
      <c r="J464" s="14" t="s">
        <v>798</v>
      </c>
      <c r="K464" s="15" t="s">
        <v>798</v>
      </c>
      <c r="L464" s="12" t="s">
        <v>5315</v>
      </c>
      <c r="M464" s="13" t="s">
        <v>5575</v>
      </c>
      <c r="N464" s="12" t="s">
        <v>803</v>
      </c>
      <c r="O464" s="13" t="s">
        <v>5213</v>
      </c>
      <c r="P464" s="17" t="s">
        <v>802</v>
      </c>
      <c r="Q464" s="21" t="s">
        <v>7690</v>
      </c>
      <c r="R464" s="17" t="s">
        <v>801</v>
      </c>
      <c r="S464" s="18" t="s">
        <v>2600</v>
      </c>
      <c r="T464" s="17" t="s">
        <v>800</v>
      </c>
      <c r="U464" s="18" t="s">
        <v>5284</v>
      </c>
      <c r="V464" s="17" t="s">
        <v>9418</v>
      </c>
      <c r="W464" s="18" t="s">
        <v>5309</v>
      </c>
      <c r="X464" s="69" t="s">
        <v>9453</v>
      </c>
      <c r="Y464" s="70" t="s">
        <v>9462</v>
      </c>
      <c r="Z464" s="73" t="s">
        <v>9486</v>
      </c>
      <c r="AA464" s="74" t="s">
        <v>9504</v>
      </c>
      <c r="AB464" s="73" t="s">
        <v>9486</v>
      </c>
      <c r="AC464" s="74" t="s">
        <v>9566</v>
      </c>
      <c r="AD464" s="73" t="s">
        <v>9578</v>
      </c>
      <c r="AE464" s="74" t="s">
        <v>9579</v>
      </c>
    </row>
    <row r="465" spans="1:31" ht="8.65" customHeight="1" x14ac:dyDescent="0.2">
      <c r="A465" s="76">
        <v>465</v>
      </c>
      <c r="B465" s="67" t="str">
        <f>MID(C465, FIND("Ifc.", C465) + 4, 4) &amp; "_" &amp; TEXT(COUNTIF($C$2:C465, C465),"0000")</f>
        <v>Prop_0464</v>
      </c>
      <c r="C465" s="24" t="s">
        <v>872</v>
      </c>
      <c r="D465" s="69" t="s">
        <v>9453</v>
      </c>
      <c r="E465" s="70" t="s">
        <v>9454</v>
      </c>
      <c r="F465" s="17" t="s">
        <v>806</v>
      </c>
      <c r="G465" s="22" t="s">
        <v>1564</v>
      </c>
      <c r="H465" s="12" t="s">
        <v>9703</v>
      </c>
      <c r="I465" s="13" t="s">
        <v>6387</v>
      </c>
      <c r="J465" s="14" t="s">
        <v>798</v>
      </c>
      <c r="K465" s="15" t="s">
        <v>798</v>
      </c>
      <c r="L465" s="12" t="s">
        <v>5315</v>
      </c>
      <c r="M465" s="13" t="s">
        <v>5891</v>
      </c>
      <c r="N465" s="12" t="s">
        <v>803</v>
      </c>
      <c r="O465" s="13" t="s">
        <v>4960</v>
      </c>
      <c r="P465" s="17" t="s">
        <v>802</v>
      </c>
      <c r="Q465" s="21" t="s">
        <v>7813</v>
      </c>
      <c r="R465" s="17" t="s">
        <v>801</v>
      </c>
      <c r="S465" s="18" t="s">
        <v>3636</v>
      </c>
      <c r="T465" s="17" t="s">
        <v>800</v>
      </c>
      <c r="U465" s="18" t="s">
        <v>5257</v>
      </c>
      <c r="V465" s="17" t="s">
        <v>9418</v>
      </c>
      <c r="W465" s="18" t="s">
        <v>5314</v>
      </c>
      <c r="X465" s="69" t="s">
        <v>9453</v>
      </c>
      <c r="Y465" s="70" t="s">
        <v>9464</v>
      </c>
      <c r="Z465" s="73" t="s">
        <v>9486</v>
      </c>
      <c r="AA465" s="74" t="s">
        <v>9504</v>
      </c>
      <c r="AB465" s="73" t="s">
        <v>9486</v>
      </c>
      <c r="AC465" s="74" t="s">
        <v>9561</v>
      </c>
      <c r="AD465" s="73" t="s">
        <v>9578</v>
      </c>
      <c r="AE465" s="74" t="s">
        <v>9579</v>
      </c>
    </row>
    <row r="466" spans="1:31" ht="8.65" customHeight="1" x14ac:dyDescent="0.2">
      <c r="A466" s="76">
        <v>466</v>
      </c>
      <c r="B466" s="67" t="str">
        <f>MID(C466, FIND("Ifc.", C466) + 4, 4) &amp; "_" &amp; TEXT(COUNTIF($C$2:C466, C466),"0000")</f>
        <v>Prop_0465</v>
      </c>
      <c r="C466" s="24" t="s">
        <v>872</v>
      </c>
      <c r="D466" s="69" t="s">
        <v>9453</v>
      </c>
      <c r="E466" s="70" t="s">
        <v>9454</v>
      </c>
      <c r="F466" s="17" t="s">
        <v>806</v>
      </c>
      <c r="G466" s="22" t="s">
        <v>1720</v>
      </c>
      <c r="H466" s="12" t="s">
        <v>9703</v>
      </c>
      <c r="I466" s="13" t="s">
        <v>6447</v>
      </c>
      <c r="J466" s="14" t="s">
        <v>798</v>
      </c>
      <c r="K466" s="15" t="s">
        <v>798</v>
      </c>
      <c r="L466" s="12" t="s">
        <v>5315</v>
      </c>
      <c r="M466" s="13" t="s">
        <v>5931</v>
      </c>
      <c r="N466" s="12" t="s">
        <v>803</v>
      </c>
      <c r="O466" s="13" t="s">
        <v>5004</v>
      </c>
      <c r="P466" s="17" t="s">
        <v>802</v>
      </c>
      <c r="Q466" s="21" t="s">
        <v>7689</v>
      </c>
      <c r="R466" s="17" t="s">
        <v>801</v>
      </c>
      <c r="S466" s="18" t="s">
        <v>2600</v>
      </c>
      <c r="T466" s="17" t="s">
        <v>800</v>
      </c>
      <c r="U466" s="18" t="s">
        <v>5284</v>
      </c>
      <c r="V466" s="17" t="s">
        <v>9418</v>
      </c>
      <c r="W466" s="18" t="s">
        <v>5309</v>
      </c>
      <c r="X466" s="69" t="s">
        <v>9453</v>
      </c>
      <c r="Y466" s="70" t="s">
        <v>9462</v>
      </c>
      <c r="Z466" s="73" t="s">
        <v>9486</v>
      </c>
      <c r="AA466" s="74" t="s">
        <v>9504</v>
      </c>
      <c r="AB466" s="73" t="s">
        <v>9486</v>
      </c>
      <c r="AC466" s="74" t="s">
        <v>9566</v>
      </c>
      <c r="AD466" s="73" t="s">
        <v>9578</v>
      </c>
      <c r="AE466" s="74" t="s">
        <v>9579</v>
      </c>
    </row>
    <row r="467" spans="1:31" ht="8.65" customHeight="1" x14ac:dyDescent="0.2">
      <c r="A467" s="76">
        <v>467</v>
      </c>
      <c r="B467" s="67" t="str">
        <f>MID(C467, FIND("Ifc.", C467) + 4, 4) &amp; "_" &amp; TEXT(COUNTIF($C$2:C467, C467),"0000")</f>
        <v>Prop_0466</v>
      </c>
      <c r="C467" s="24" t="s">
        <v>872</v>
      </c>
      <c r="D467" s="69" t="s">
        <v>9453</v>
      </c>
      <c r="E467" s="70" t="s">
        <v>9454</v>
      </c>
      <c r="F467" s="17" t="s">
        <v>806</v>
      </c>
      <c r="G467" s="22" t="s">
        <v>2467</v>
      </c>
      <c r="H467" s="12" t="s">
        <v>9703</v>
      </c>
      <c r="I467" s="13" t="s">
        <v>6803</v>
      </c>
      <c r="J467" s="14" t="s">
        <v>798</v>
      </c>
      <c r="K467" s="15" t="s">
        <v>798</v>
      </c>
      <c r="L467" s="12" t="s">
        <v>5315</v>
      </c>
      <c r="M467" s="13" t="s">
        <v>5575</v>
      </c>
      <c r="N467" s="12" t="s">
        <v>803</v>
      </c>
      <c r="O467" s="13" t="s">
        <v>5213</v>
      </c>
      <c r="P467" s="17" t="s">
        <v>802</v>
      </c>
      <c r="Q467" s="21" t="s">
        <v>7690</v>
      </c>
      <c r="R467" s="17" t="s">
        <v>801</v>
      </c>
      <c r="S467" s="18" t="s">
        <v>2600</v>
      </c>
      <c r="T467" s="17" t="s">
        <v>800</v>
      </c>
      <c r="U467" s="18" t="s">
        <v>5284</v>
      </c>
      <c r="V467" s="17" t="s">
        <v>9418</v>
      </c>
      <c r="W467" s="18" t="s">
        <v>5309</v>
      </c>
      <c r="X467" s="69" t="s">
        <v>9453</v>
      </c>
      <c r="Y467" s="70" t="s">
        <v>9462</v>
      </c>
      <c r="Z467" s="73" t="s">
        <v>9486</v>
      </c>
      <c r="AA467" s="74" t="s">
        <v>9504</v>
      </c>
      <c r="AB467" s="73" t="s">
        <v>9486</v>
      </c>
      <c r="AC467" s="74" t="s">
        <v>9566</v>
      </c>
      <c r="AD467" s="73" t="s">
        <v>9578</v>
      </c>
      <c r="AE467" s="74" t="s">
        <v>9579</v>
      </c>
    </row>
    <row r="468" spans="1:31" ht="8.65" customHeight="1" x14ac:dyDescent="0.2">
      <c r="A468" s="76">
        <v>468</v>
      </c>
      <c r="B468" s="67" t="str">
        <f>MID(C468, FIND("Ifc.", C468) + 4, 4) &amp; "_" &amp; TEXT(COUNTIF($C$2:C468, C468),"0000")</f>
        <v>Prop_0467</v>
      </c>
      <c r="C468" s="24" t="s">
        <v>872</v>
      </c>
      <c r="D468" s="69" t="s">
        <v>9453</v>
      </c>
      <c r="E468" s="70" t="s">
        <v>9454</v>
      </c>
      <c r="F468" s="17" t="s">
        <v>806</v>
      </c>
      <c r="G468" s="22" t="s">
        <v>1621</v>
      </c>
      <c r="H468" s="12" t="s">
        <v>9703</v>
      </c>
      <c r="I468" s="13" t="s">
        <v>6364</v>
      </c>
      <c r="J468" s="14" t="s">
        <v>798</v>
      </c>
      <c r="K468" s="15" t="s">
        <v>798</v>
      </c>
      <c r="L468" s="12" t="s">
        <v>5315</v>
      </c>
      <c r="M468" s="13" t="s">
        <v>5834</v>
      </c>
      <c r="N468" s="12" t="s">
        <v>803</v>
      </c>
      <c r="O468" s="13" t="s">
        <v>4976</v>
      </c>
      <c r="P468" s="17" t="s">
        <v>802</v>
      </c>
      <c r="Q468" s="21" t="s">
        <v>7883</v>
      </c>
      <c r="R468" s="17" t="s">
        <v>801</v>
      </c>
      <c r="S468" s="18" t="s">
        <v>3636</v>
      </c>
      <c r="T468" s="17" t="s">
        <v>800</v>
      </c>
      <c r="U468" s="18" t="s">
        <v>5257</v>
      </c>
      <c r="V468" s="17" t="s">
        <v>9418</v>
      </c>
      <c r="W468" s="18" t="s">
        <v>5314</v>
      </c>
      <c r="X468" s="69" t="s">
        <v>9453</v>
      </c>
      <c r="Y468" s="70" t="s">
        <v>9464</v>
      </c>
      <c r="Z468" s="73" t="s">
        <v>9486</v>
      </c>
      <c r="AA468" s="74" t="s">
        <v>9504</v>
      </c>
      <c r="AB468" s="73" t="s">
        <v>9486</v>
      </c>
      <c r="AC468" s="74" t="s">
        <v>9561</v>
      </c>
      <c r="AD468" s="73" t="s">
        <v>9578</v>
      </c>
      <c r="AE468" s="74" t="s">
        <v>9579</v>
      </c>
    </row>
    <row r="469" spans="1:31" ht="8.65" customHeight="1" x14ac:dyDescent="0.2">
      <c r="A469" s="76">
        <v>469</v>
      </c>
      <c r="B469" s="67" t="str">
        <f>MID(C469, FIND("Ifc.", C469) + 4, 4) &amp; "_" &amp; TEXT(COUNTIF($C$2:C469, C469),"0000")</f>
        <v>Prop_0468</v>
      </c>
      <c r="C469" s="24" t="s">
        <v>872</v>
      </c>
      <c r="D469" s="69" t="s">
        <v>9453</v>
      </c>
      <c r="E469" s="70" t="s">
        <v>9454</v>
      </c>
      <c r="F469" s="17" t="s">
        <v>806</v>
      </c>
      <c r="G469" s="22" t="s">
        <v>1560</v>
      </c>
      <c r="H469" s="12" t="s">
        <v>9703</v>
      </c>
      <c r="I469" s="13" t="s">
        <v>6384</v>
      </c>
      <c r="J469" s="14" t="s">
        <v>798</v>
      </c>
      <c r="K469" s="15" t="s">
        <v>798</v>
      </c>
      <c r="L469" s="12" t="s">
        <v>5315</v>
      </c>
      <c r="M469" s="13" t="s">
        <v>5891</v>
      </c>
      <c r="N469" s="12" t="s">
        <v>803</v>
      </c>
      <c r="O469" s="13" t="s">
        <v>4960</v>
      </c>
      <c r="P469" s="17" t="s">
        <v>802</v>
      </c>
      <c r="Q469" s="21" t="s">
        <v>7813</v>
      </c>
      <c r="R469" s="17" t="s">
        <v>801</v>
      </c>
      <c r="S469" s="18" t="s">
        <v>3636</v>
      </c>
      <c r="T469" s="17" t="s">
        <v>800</v>
      </c>
      <c r="U469" s="18" t="s">
        <v>5257</v>
      </c>
      <c r="V469" s="17" t="s">
        <v>9418</v>
      </c>
      <c r="W469" s="18" t="s">
        <v>5314</v>
      </c>
      <c r="X469" s="69" t="s">
        <v>9453</v>
      </c>
      <c r="Y469" s="70" t="s">
        <v>9464</v>
      </c>
      <c r="Z469" s="73" t="s">
        <v>9486</v>
      </c>
      <c r="AA469" s="74" t="s">
        <v>9504</v>
      </c>
      <c r="AB469" s="73" t="s">
        <v>9486</v>
      </c>
      <c r="AC469" s="74" t="s">
        <v>9561</v>
      </c>
      <c r="AD469" s="73" t="s">
        <v>9578</v>
      </c>
      <c r="AE469" s="74" t="s">
        <v>9579</v>
      </c>
    </row>
    <row r="470" spans="1:31" ht="8.65" customHeight="1" x14ac:dyDescent="0.2">
      <c r="A470" s="76">
        <v>470</v>
      </c>
      <c r="B470" s="67" t="str">
        <f>MID(C470, FIND("Ifc.", C470) + 4, 4) &amp; "_" &amp; TEXT(COUNTIF($C$2:C470, C470),"0000")</f>
        <v>Prop_0469</v>
      </c>
      <c r="C470" s="24" t="s">
        <v>872</v>
      </c>
      <c r="D470" s="69" t="s">
        <v>9453</v>
      </c>
      <c r="E470" s="70" t="s">
        <v>9454</v>
      </c>
      <c r="F470" s="17" t="s">
        <v>806</v>
      </c>
      <c r="G470" s="22" t="s">
        <v>1073</v>
      </c>
      <c r="H470" s="12" t="s">
        <v>9703</v>
      </c>
      <c r="I470" s="13" t="s">
        <v>6146</v>
      </c>
      <c r="J470" s="14" t="s">
        <v>798</v>
      </c>
      <c r="K470" s="15" t="s">
        <v>798</v>
      </c>
      <c r="L470" s="12" t="s">
        <v>5315</v>
      </c>
      <c r="M470" s="13" t="s">
        <v>6036</v>
      </c>
      <c r="N470" s="12" t="s">
        <v>803</v>
      </c>
      <c r="O470" s="13" t="s">
        <v>4848</v>
      </c>
      <c r="P470" s="17" t="s">
        <v>802</v>
      </c>
      <c r="Q470" s="21" t="s">
        <v>7757</v>
      </c>
      <c r="R470" s="17" t="s">
        <v>801</v>
      </c>
      <c r="S470" s="18" t="s">
        <v>2619</v>
      </c>
      <c r="T470" s="17" t="s">
        <v>800</v>
      </c>
      <c r="U470" s="18" t="s">
        <v>5239</v>
      </c>
      <c r="V470" s="17" t="s">
        <v>9418</v>
      </c>
      <c r="W470" s="18" t="s">
        <v>5309</v>
      </c>
      <c r="X470" s="69" t="s">
        <v>9453</v>
      </c>
      <c r="Y470" s="70" t="s">
        <v>9462</v>
      </c>
      <c r="Z470" s="73" t="s">
        <v>9486</v>
      </c>
      <c r="AA470" s="74" t="s">
        <v>9504</v>
      </c>
      <c r="AB470" s="73" t="s">
        <v>9486</v>
      </c>
      <c r="AC470" s="74" t="s">
        <v>9566</v>
      </c>
      <c r="AD470" s="73" t="s">
        <v>9578</v>
      </c>
      <c r="AE470" s="74" t="s">
        <v>9579</v>
      </c>
    </row>
    <row r="471" spans="1:31" ht="8.65" customHeight="1" x14ac:dyDescent="0.2">
      <c r="A471" s="76">
        <v>471</v>
      </c>
      <c r="B471" s="67" t="str">
        <f>MID(C471, FIND("Ifc.", C471) + 4, 4) &amp; "_" &amp; TEXT(COUNTIF($C$2:C471, C471),"0000")</f>
        <v>Prop_0470</v>
      </c>
      <c r="C471" s="24" t="s">
        <v>872</v>
      </c>
      <c r="D471" s="69" t="s">
        <v>9453</v>
      </c>
      <c r="E471" s="70" t="s">
        <v>9454</v>
      </c>
      <c r="F471" s="17" t="s">
        <v>806</v>
      </c>
      <c r="G471" s="22" t="s">
        <v>1119</v>
      </c>
      <c r="H471" s="12" t="s">
        <v>9703</v>
      </c>
      <c r="I471" s="13" t="s">
        <v>6146</v>
      </c>
      <c r="J471" s="14" t="s">
        <v>798</v>
      </c>
      <c r="K471" s="15" t="s">
        <v>798</v>
      </c>
      <c r="L471" s="12" t="s">
        <v>5315</v>
      </c>
      <c r="M471" s="13" t="s">
        <v>5392</v>
      </c>
      <c r="N471" s="12" t="s">
        <v>803</v>
      </c>
      <c r="O471" s="13" t="s">
        <v>4858</v>
      </c>
      <c r="P471" s="17" t="s">
        <v>802</v>
      </c>
      <c r="Q471" s="21" t="s">
        <v>7798</v>
      </c>
      <c r="R471" s="17" t="s">
        <v>801</v>
      </c>
      <c r="S471" s="18" t="s">
        <v>2619</v>
      </c>
      <c r="T471" s="17" t="s">
        <v>800</v>
      </c>
      <c r="U471" s="18" t="s">
        <v>5239</v>
      </c>
      <c r="V471" s="17" t="s">
        <v>9418</v>
      </c>
      <c r="W471" s="18" t="s">
        <v>5309</v>
      </c>
      <c r="X471" s="69" t="s">
        <v>9453</v>
      </c>
      <c r="Y471" s="70" t="s">
        <v>9462</v>
      </c>
      <c r="Z471" s="73" t="s">
        <v>9486</v>
      </c>
      <c r="AA471" s="74" t="s">
        <v>9504</v>
      </c>
      <c r="AB471" s="73" t="s">
        <v>9486</v>
      </c>
      <c r="AC471" s="74" t="s">
        <v>9566</v>
      </c>
      <c r="AD471" s="73" t="s">
        <v>9578</v>
      </c>
      <c r="AE471" s="74" t="s">
        <v>9579</v>
      </c>
    </row>
    <row r="472" spans="1:31" ht="8.65" customHeight="1" x14ac:dyDescent="0.2">
      <c r="A472" s="76">
        <v>472</v>
      </c>
      <c r="B472" s="67" t="str">
        <f>MID(C472, FIND("Ifc.", C472) + 4, 4) &amp; "_" &amp; TEXT(COUNTIF($C$2:C472, C472),"0000")</f>
        <v>Prop_0471</v>
      </c>
      <c r="C472" s="24" t="s">
        <v>872</v>
      </c>
      <c r="D472" s="69" t="s">
        <v>9453</v>
      </c>
      <c r="E472" s="70" t="s">
        <v>9454</v>
      </c>
      <c r="F472" s="17" t="s">
        <v>806</v>
      </c>
      <c r="G472" s="22" t="s">
        <v>1721</v>
      </c>
      <c r="H472" s="12" t="s">
        <v>9703</v>
      </c>
      <c r="I472" s="13" t="s">
        <v>6448</v>
      </c>
      <c r="J472" s="14" t="s">
        <v>798</v>
      </c>
      <c r="K472" s="15" t="s">
        <v>798</v>
      </c>
      <c r="L472" s="12" t="s">
        <v>5315</v>
      </c>
      <c r="M472" s="13" t="s">
        <v>5931</v>
      </c>
      <c r="N472" s="12" t="s">
        <v>803</v>
      </c>
      <c r="O472" s="13" t="s">
        <v>5004</v>
      </c>
      <c r="P472" s="17" t="s">
        <v>802</v>
      </c>
      <c r="Q472" s="21" t="s">
        <v>7689</v>
      </c>
      <c r="R472" s="17" t="s">
        <v>801</v>
      </c>
      <c r="S472" s="18" t="s">
        <v>2600</v>
      </c>
      <c r="T472" s="17" t="s">
        <v>800</v>
      </c>
      <c r="U472" s="18" t="s">
        <v>5284</v>
      </c>
      <c r="V472" s="17" t="s">
        <v>9418</v>
      </c>
      <c r="W472" s="18" t="s">
        <v>5309</v>
      </c>
      <c r="X472" s="69" t="s">
        <v>9453</v>
      </c>
      <c r="Y472" s="70" t="s">
        <v>9462</v>
      </c>
      <c r="Z472" s="73" t="s">
        <v>9486</v>
      </c>
      <c r="AA472" s="74" t="s">
        <v>9504</v>
      </c>
      <c r="AB472" s="73" t="s">
        <v>9486</v>
      </c>
      <c r="AC472" s="74" t="s">
        <v>9566</v>
      </c>
      <c r="AD472" s="73" t="s">
        <v>9578</v>
      </c>
      <c r="AE472" s="74" t="s">
        <v>9579</v>
      </c>
    </row>
    <row r="473" spans="1:31" ht="8.65" customHeight="1" x14ac:dyDescent="0.2">
      <c r="A473" s="76">
        <v>473</v>
      </c>
      <c r="B473" s="67" t="str">
        <f>MID(C473, FIND("Ifc.", C473) + 4, 4) &amp; "_" &amp; TEXT(COUNTIF($C$2:C473, C473),"0000")</f>
        <v>Prop_0472</v>
      </c>
      <c r="C473" s="24" t="s">
        <v>872</v>
      </c>
      <c r="D473" s="69" t="s">
        <v>9453</v>
      </c>
      <c r="E473" s="70" t="s">
        <v>9454</v>
      </c>
      <c r="F473" s="17" t="s">
        <v>806</v>
      </c>
      <c r="G473" s="22" t="s">
        <v>2468</v>
      </c>
      <c r="H473" s="12" t="s">
        <v>9703</v>
      </c>
      <c r="I473" s="13" t="s">
        <v>6804</v>
      </c>
      <c r="J473" s="14" t="s">
        <v>798</v>
      </c>
      <c r="K473" s="15" t="s">
        <v>798</v>
      </c>
      <c r="L473" s="12" t="s">
        <v>5315</v>
      </c>
      <c r="M473" s="13" t="s">
        <v>5575</v>
      </c>
      <c r="N473" s="12" t="s">
        <v>803</v>
      </c>
      <c r="O473" s="13" t="s">
        <v>5213</v>
      </c>
      <c r="P473" s="17" t="s">
        <v>802</v>
      </c>
      <c r="Q473" s="21" t="s">
        <v>7690</v>
      </c>
      <c r="R473" s="17" t="s">
        <v>801</v>
      </c>
      <c r="S473" s="18" t="s">
        <v>2600</v>
      </c>
      <c r="T473" s="17" t="s">
        <v>800</v>
      </c>
      <c r="U473" s="18" t="s">
        <v>5284</v>
      </c>
      <c r="V473" s="17" t="s">
        <v>9418</v>
      </c>
      <c r="W473" s="18" t="s">
        <v>5309</v>
      </c>
      <c r="X473" s="69" t="s">
        <v>9453</v>
      </c>
      <c r="Y473" s="70" t="s">
        <v>9462</v>
      </c>
      <c r="Z473" s="73" t="s">
        <v>9486</v>
      </c>
      <c r="AA473" s="74" t="s">
        <v>9504</v>
      </c>
      <c r="AB473" s="73" t="s">
        <v>9486</v>
      </c>
      <c r="AC473" s="74" t="s">
        <v>9566</v>
      </c>
      <c r="AD473" s="73" t="s">
        <v>9578</v>
      </c>
      <c r="AE473" s="74" t="s">
        <v>9579</v>
      </c>
    </row>
    <row r="474" spans="1:31" ht="8.65" customHeight="1" x14ac:dyDescent="0.2">
      <c r="A474" s="76">
        <v>474</v>
      </c>
      <c r="B474" s="67" t="str">
        <f>MID(C474, FIND("Ifc.", C474) + 4, 4) &amp; "_" &amp; TEXT(COUNTIF($C$2:C474, C474),"0000")</f>
        <v>Prop_0473</v>
      </c>
      <c r="C474" s="24" t="s">
        <v>872</v>
      </c>
      <c r="D474" s="69" t="s">
        <v>9453</v>
      </c>
      <c r="E474" s="70" t="s">
        <v>9454</v>
      </c>
      <c r="F474" s="17" t="s">
        <v>806</v>
      </c>
      <c r="G474" s="22" t="s">
        <v>1711</v>
      </c>
      <c r="H474" s="12" t="s">
        <v>9703</v>
      </c>
      <c r="I474" s="13" t="s">
        <v>7619</v>
      </c>
      <c r="J474" s="14" t="s">
        <v>798</v>
      </c>
      <c r="K474" s="15" t="s">
        <v>798</v>
      </c>
      <c r="L474" s="12" t="s">
        <v>5315</v>
      </c>
      <c r="M474" s="13" t="s">
        <v>5929</v>
      </c>
      <c r="N474" s="12" t="s">
        <v>803</v>
      </c>
      <c r="O474" s="13" t="s">
        <v>5002</v>
      </c>
      <c r="P474" s="17" t="s">
        <v>802</v>
      </c>
      <c r="Q474" s="21" t="s">
        <v>7884</v>
      </c>
      <c r="R474" s="17" t="s">
        <v>801</v>
      </c>
      <c r="S474" s="18" t="s">
        <v>2565</v>
      </c>
      <c r="T474" s="17" t="s">
        <v>800</v>
      </c>
      <c r="U474" s="18" t="s">
        <v>5248</v>
      </c>
      <c r="V474" s="17" t="s">
        <v>9418</v>
      </c>
      <c r="W474" s="18" t="s">
        <v>5309</v>
      </c>
      <c r="X474" s="69" t="s">
        <v>9453</v>
      </c>
      <c r="Y474" s="70" t="s">
        <v>9462</v>
      </c>
      <c r="Z474" s="73" t="s">
        <v>9486</v>
      </c>
      <c r="AA474" s="74" t="s">
        <v>9504</v>
      </c>
      <c r="AB474" s="73" t="s">
        <v>9486</v>
      </c>
      <c r="AC474" s="74" t="s">
        <v>9562</v>
      </c>
      <c r="AD474" s="73" t="s">
        <v>9578</v>
      </c>
      <c r="AE474" s="74" t="s">
        <v>9579</v>
      </c>
    </row>
    <row r="475" spans="1:31" ht="8.65" customHeight="1" x14ac:dyDescent="0.2">
      <c r="A475" s="76">
        <v>475</v>
      </c>
      <c r="B475" s="67" t="str">
        <f>MID(C475, FIND("Ifc.", C475) + 4, 4) &amp; "_" &amp; TEXT(COUNTIF($C$2:C475, C475),"0000")</f>
        <v>Prop_0474</v>
      </c>
      <c r="C475" s="24" t="s">
        <v>872</v>
      </c>
      <c r="D475" s="69" t="s">
        <v>9453</v>
      </c>
      <c r="E475" s="70" t="s">
        <v>9454</v>
      </c>
      <c r="F475" s="17" t="s">
        <v>806</v>
      </c>
      <c r="G475" s="22" t="s">
        <v>1712</v>
      </c>
      <c r="H475" s="12" t="s">
        <v>9703</v>
      </c>
      <c r="I475" s="13" t="s">
        <v>7620</v>
      </c>
      <c r="J475" s="14" t="s">
        <v>798</v>
      </c>
      <c r="K475" s="15" t="s">
        <v>798</v>
      </c>
      <c r="L475" s="12" t="s">
        <v>5315</v>
      </c>
      <c r="M475" s="13" t="s">
        <v>5929</v>
      </c>
      <c r="N475" s="12" t="s">
        <v>803</v>
      </c>
      <c r="O475" s="13" t="s">
        <v>5002</v>
      </c>
      <c r="P475" s="17" t="s">
        <v>802</v>
      </c>
      <c r="Q475" s="21" t="s">
        <v>7884</v>
      </c>
      <c r="R475" s="17" t="s">
        <v>801</v>
      </c>
      <c r="S475" s="18" t="s">
        <v>2565</v>
      </c>
      <c r="T475" s="17" t="s">
        <v>800</v>
      </c>
      <c r="U475" s="18" t="s">
        <v>5248</v>
      </c>
      <c r="V475" s="17" t="s">
        <v>9418</v>
      </c>
      <c r="W475" s="18" t="s">
        <v>5309</v>
      </c>
      <c r="X475" s="69" t="s">
        <v>9453</v>
      </c>
      <c r="Y475" s="70" t="s">
        <v>9462</v>
      </c>
      <c r="Z475" s="73" t="s">
        <v>9486</v>
      </c>
      <c r="AA475" s="74" t="s">
        <v>9504</v>
      </c>
      <c r="AB475" s="73" t="s">
        <v>9486</v>
      </c>
      <c r="AC475" s="74" t="s">
        <v>9562</v>
      </c>
      <c r="AD475" s="73" t="s">
        <v>9578</v>
      </c>
      <c r="AE475" s="74" t="s">
        <v>9579</v>
      </c>
    </row>
    <row r="476" spans="1:31" ht="8.65" customHeight="1" x14ac:dyDescent="0.2">
      <c r="A476" s="76">
        <v>476</v>
      </c>
      <c r="B476" s="67" t="str">
        <f>MID(C476, FIND("Ifc.", C476) + 4, 4) &amp; "_" &amp; TEXT(COUNTIF($C$2:C476, C476),"0000")</f>
        <v>Prop_0475</v>
      </c>
      <c r="C476" s="24" t="s">
        <v>872</v>
      </c>
      <c r="D476" s="69" t="s">
        <v>9453</v>
      </c>
      <c r="E476" s="70" t="s">
        <v>9454</v>
      </c>
      <c r="F476" s="17" t="s">
        <v>806</v>
      </c>
      <c r="G476" s="22" t="s">
        <v>1164</v>
      </c>
      <c r="H476" s="12" t="s">
        <v>9703</v>
      </c>
      <c r="I476" s="13" t="s">
        <v>7618</v>
      </c>
      <c r="J476" s="14" t="s">
        <v>798</v>
      </c>
      <c r="K476" s="15" t="s">
        <v>798</v>
      </c>
      <c r="L476" s="12" t="s">
        <v>5315</v>
      </c>
      <c r="M476" s="13" t="s">
        <v>5398</v>
      </c>
      <c r="N476" s="12" t="s">
        <v>803</v>
      </c>
      <c r="O476" s="13" t="s">
        <v>4873</v>
      </c>
      <c r="P476" s="17" t="s">
        <v>802</v>
      </c>
      <c r="Q476" s="21" t="s">
        <v>7885</v>
      </c>
      <c r="R476" s="17" t="s">
        <v>801</v>
      </c>
      <c r="S476" s="18" t="s">
        <v>2565</v>
      </c>
      <c r="T476" s="17" t="s">
        <v>800</v>
      </c>
      <c r="U476" s="18" t="s">
        <v>5248</v>
      </c>
      <c r="V476" s="17" t="s">
        <v>9418</v>
      </c>
      <c r="W476" s="18" t="s">
        <v>5309</v>
      </c>
      <c r="X476" s="69" t="s">
        <v>9453</v>
      </c>
      <c r="Y476" s="70" t="s">
        <v>9462</v>
      </c>
      <c r="Z476" s="73" t="s">
        <v>9486</v>
      </c>
      <c r="AA476" s="74" t="s">
        <v>9504</v>
      </c>
      <c r="AB476" s="73" t="s">
        <v>9486</v>
      </c>
      <c r="AC476" s="74" t="s">
        <v>9562</v>
      </c>
      <c r="AD476" s="73" t="s">
        <v>9578</v>
      </c>
      <c r="AE476" s="74" t="s">
        <v>9704</v>
      </c>
    </row>
    <row r="477" spans="1:31" ht="8.65" customHeight="1" x14ac:dyDescent="0.2">
      <c r="A477" s="76">
        <v>477</v>
      </c>
      <c r="B477" s="67" t="str">
        <f>MID(C477, FIND("Ifc.", C477) + 4, 4) &amp; "_" &amp; TEXT(COUNTIF($C$2:C477, C477),"0000")</f>
        <v>Prop_0476</v>
      </c>
      <c r="C477" s="24" t="s">
        <v>872</v>
      </c>
      <c r="D477" s="69" t="s">
        <v>9453</v>
      </c>
      <c r="E477" s="70" t="s">
        <v>9454</v>
      </c>
      <c r="F477" s="17" t="s">
        <v>806</v>
      </c>
      <c r="G477" s="22" t="s">
        <v>1166</v>
      </c>
      <c r="H477" s="12" t="s">
        <v>9703</v>
      </c>
      <c r="I477" s="13" t="s">
        <v>7617</v>
      </c>
      <c r="J477" s="14" t="s">
        <v>798</v>
      </c>
      <c r="K477" s="15" t="s">
        <v>798</v>
      </c>
      <c r="L477" s="12" t="s">
        <v>5315</v>
      </c>
      <c r="M477" s="13" t="s">
        <v>5398</v>
      </c>
      <c r="N477" s="12" t="s">
        <v>803</v>
      </c>
      <c r="O477" s="13" t="s">
        <v>4873</v>
      </c>
      <c r="P477" s="17" t="s">
        <v>802</v>
      </c>
      <c r="Q477" s="21" t="s">
        <v>7885</v>
      </c>
      <c r="R477" s="17" t="s">
        <v>801</v>
      </c>
      <c r="S477" s="18" t="s">
        <v>2565</v>
      </c>
      <c r="T477" s="17" t="s">
        <v>800</v>
      </c>
      <c r="U477" s="18" t="s">
        <v>5248</v>
      </c>
      <c r="V477" s="17" t="s">
        <v>9418</v>
      </c>
      <c r="W477" s="18" t="s">
        <v>5309</v>
      </c>
      <c r="X477" s="69" t="s">
        <v>9453</v>
      </c>
      <c r="Y477" s="70" t="s">
        <v>9462</v>
      </c>
      <c r="Z477" s="73" t="s">
        <v>9486</v>
      </c>
      <c r="AA477" s="74" t="s">
        <v>9504</v>
      </c>
      <c r="AB477" s="73" t="s">
        <v>9486</v>
      </c>
      <c r="AC477" s="74" t="s">
        <v>9562</v>
      </c>
      <c r="AD477" s="73" t="s">
        <v>9578</v>
      </c>
      <c r="AE477" s="74" t="s">
        <v>9704</v>
      </c>
    </row>
    <row r="478" spans="1:31" ht="8.65" customHeight="1" x14ac:dyDescent="0.2">
      <c r="A478" s="76">
        <v>478</v>
      </c>
      <c r="B478" s="67" t="str">
        <f>MID(C478, FIND("Ifc.", C478) + 4, 4) &amp; "_" &amp; TEXT(COUNTIF($C$2:C478, C478),"0000")</f>
        <v>Prop_0477</v>
      </c>
      <c r="C478" s="24" t="s">
        <v>872</v>
      </c>
      <c r="D478" s="69" t="s">
        <v>9453</v>
      </c>
      <c r="E478" s="70" t="s">
        <v>9454</v>
      </c>
      <c r="F478" s="17" t="s">
        <v>806</v>
      </c>
      <c r="G478" s="22" t="s">
        <v>1165</v>
      </c>
      <c r="H478" s="12" t="s">
        <v>9703</v>
      </c>
      <c r="I478" s="13" t="s">
        <v>7616</v>
      </c>
      <c r="J478" s="14" t="s">
        <v>798</v>
      </c>
      <c r="K478" s="15" t="s">
        <v>798</v>
      </c>
      <c r="L478" s="12" t="s">
        <v>5315</v>
      </c>
      <c r="M478" s="13" t="s">
        <v>5398</v>
      </c>
      <c r="N478" s="12" t="s">
        <v>803</v>
      </c>
      <c r="O478" s="13" t="s">
        <v>4873</v>
      </c>
      <c r="P478" s="17" t="s">
        <v>802</v>
      </c>
      <c r="Q478" s="21" t="s">
        <v>7885</v>
      </c>
      <c r="R478" s="17" t="s">
        <v>801</v>
      </c>
      <c r="S478" s="18" t="s">
        <v>2565</v>
      </c>
      <c r="T478" s="17" t="s">
        <v>800</v>
      </c>
      <c r="U478" s="18" t="s">
        <v>5248</v>
      </c>
      <c r="V478" s="17" t="s">
        <v>9418</v>
      </c>
      <c r="W478" s="18" t="s">
        <v>5309</v>
      </c>
      <c r="X478" s="69" t="s">
        <v>9453</v>
      </c>
      <c r="Y478" s="70" t="s">
        <v>9462</v>
      </c>
      <c r="Z478" s="73" t="s">
        <v>9486</v>
      </c>
      <c r="AA478" s="74" t="s">
        <v>9504</v>
      </c>
      <c r="AB478" s="73" t="s">
        <v>9486</v>
      </c>
      <c r="AC478" s="74" t="s">
        <v>9562</v>
      </c>
      <c r="AD478" s="73" t="s">
        <v>9578</v>
      </c>
      <c r="AE478" s="74" t="s">
        <v>9704</v>
      </c>
    </row>
    <row r="479" spans="1:31" ht="8.65" customHeight="1" x14ac:dyDescent="0.2">
      <c r="A479" s="76">
        <v>479</v>
      </c>
      <c r="B479" s="67" t="str">
        <f>MID(C479, FIND("Ifc.", C479) + 4, 4) &amp; "_" &amp; TEXT(COUNTIF($C$2:C479, C479),"0000")</f>
        <v>Prop_0478</v>
      </c>
      <c r="C479" s="24" t="s">
        <v>872</v>
      </c>
      <c r="D479" s="69" t="s">
        <v>9453</v>
      </c>
      <c r="E479" s="70" t="s">
        <v>9454</v>
      </c>
      <c r="F479" s="17" t="s">
        <v>806</v>
      </c>
      <c r="G479" s="22" t="s">
        <v>1167</v>
      </c>
      <c r="H479" s="12" t="s">
        <v>9703</v>
      </c>
      <c r="I479" s="13" t="s">
        <v>7615</v>
      </c>
      <c r="J479" s="14" t="s">
        <v>798</v>
      </c>
      <c r="K479" s="15" t="s">
        <v>798</v>
      </c>
      <c r="L479" s="12" t="s">
        <v>5315</v>
      </c>
      <c r="M479" s="13" t="s">
        <v>5398</v>
      </c>
      <c r="N479" s="12" t="s">
        <v>803</v>
      </c>
      <c r="O479" s="13" t="s">
        <v>4873</v>
      </c>
      <c r="P479" s="17" t="s">
        <v>802</v>
      </c>
      <c r="Q479" s="21" t="s">
        <v>7885</v>
      </c>
      <c r="R479" s="17" t="s">
        <v>801</v>
      </c>
      <c r="S479" s="18" t="s">
        <v>2565</v>
      </c>
      <c r="T479" s="17" t="s">
        <v>800</v>
      </c>
      <c r="U479" s="18" t="s">
        <v>5248</v>
      </c>
      <c r="V479" s="17" t="s">
        <v>9418</v>
      </c>
      <c r="W479" s="18" t="s">
        <v>5309</v>
      </c>
      <c r="X479" s="69" t="s">
        <v>9453</v>
      </c>
      <c r="Y479" s="70" t="s">
        <v>9462</v>
      </c>
      <c r="Z479" s="73" t="s">
        <v>9486</v>
      </c>
      <c r="AA479" s="74" t="s">
        <v>9504</v>
      </c>
      <c r="AB479" s="73" t="s">
        <v>9486</v>
      </c>
      <c r="AC479" s="74" t="s">
        <v>9562</v>
      </c>
      <c r="AD479" s="73" t="s">
        <v>9578</v>
      </c>
      <c r="AE479" s="74" t="s">
        <v>9704</v>
      </c>
    </row>
    <row r="480" spans="1:31" ht="8.65" customHeight="1" x14ac:dyDescent="0.2">
      <c r="A480" s="76">
        <v>480</v>
      </c>
      <c r="B480" s="67" t="str">
        <f>MID(C480, FIND("Ifc.", C480) + 4, 4) &amp; "_" &amp; TEXT(COUNTIF($C$2:C480, C480),"0000")</f>
        <v>Prop_0479</v>
      </c>
      <c r="C480" s="24" t="s">
        <v>872</v>
      </c>
      <c r="D480" s="69" t="s">
        <v>9453</v>
      </c>
      <c r="E480" s="70" t="s">
        <v>9454</v>
      </c>
      <c r="F480" s="17" t="s">
        <v>806</v>
      </c>
      <c r="G480" s="22" t="s">
        <v>1988</v>
      </c>
      <c r="H480" s="12" t="s">
        <v>9703</v>
      </c>
      <c r="I480" s="13" t="s">
        <v>7621</v>
      </c>
      <c r="J480" s="14" t="s">
        <v>798</v>
      </c>
      <c r="K480" s="15" t="s">
        <v>798</v>
      </c>
      <c r="L480" s="12" t="s">
        <v>5315</v>
      </c>
      <c r="M480" s="13" t="s">
        <v>5974</v>
      </c>
      <c r="N480" s="12" t="s">
        <v>803</v>
      </c>
      <c r="O480" s="13" t="s">
        <v>5079</v>
      </c>
      <c r="P480" s="17" t="s">
        <v>802</v>
      </c>
      <c r="Q480" s="21" t="s">
        <v>7852</v>
      </c>
      <c r="R480" s="17" t="s">
        <v>801</v>
      </c>
      <c r="S480" s="18" t="s">
        <v>2589</v>
      </c>
      <c r="T480" s="17" t="s">
        <v>800</v>
      </c>
      <c r="U480" s="18" t="s">
        <v>5258</v>
      </c>
      <c r="V480" s="17" t="s">
        <v>9418</v>
      </c>
      <c r="W480" s="18" t="s">
        <v>5309</v>
      </c>
      <c r="X480" s="69" t="s">
        <v>9453</v>
      </c>
      <c r="Y480" s="70" t="s">
        <v>9462</v>
      </c>
      <c r="Z480" s="73" t="s">
        <v>9486</v>
      </c>
      <c r="AA480" s="74" t="s">
        <v>9504</v>
      </c>
      <c r="AB480" s="73" t="s">
        <v>9486</v>
      </c>
      <c r="AC480" s="74" t="s">
        <v>9566</v>
      </c>
      <c r="AD480" s="73" t="s">
        <v>9578</v>
      </c>
      <c r="AE480" s="74" t="s">
        <v>9579</v>
      </c>
    </row>
    <row r="481" spans="1:31" ht="8.65" customHeight="1" x14ac:dyDescent="0.2">
      <c r="A481" s="76">
        <v>481</v>
      </c>
      <c r="B481" s="67" t="str">
        <f>MID(C481, FIND("Ifc.", C481) + 4, 4) &amp; "_" &amp; TEXT(COUNTIF($C$2:C481, C481),"0000")</f>
        <v>Prop_0480</v>
      </c>
      <c r="C481" s="24" t="s">
        <v>872</v>
      </c>
      <c r="D481" s="69" t="s">
        <v>9453</v>
      </c>
      <c r="E481" s="70" t="s">
        <v>9454</v>
      </c>
      <c r="F481" s="17" t="s">
        <v>806</v>
      </c>
      <c r="G481" s="22" t="s">
        <v>2089</v>
      </c>
      <c r="H481" s="12" t="s">
        <v>9703</v>
      </c>
      <c r="I481" s="13" t="s">
        <v>6627</v>
      </c>
      <c r="J481" s="14" t="s">
        <v>798</v>
      </c>
      <c r="K481" s="15" t="s">
        <v>798</v>
      </c>
      <c r="L481" s="12" t="s">
        <v>5315</v>
      </c>
      <c r="M481" s="13" t="s">
        <v>5488</v>
      </c>
      <c r="N481" s="12" t="s">
        <v>803</v>
      </c>
      <c r="O481" s="13" t="s">
        <v>5096</v>
      </c>
      <c r="P481" s="17" t="s">
        <v>802</v>
      </c>
      <c r="Q481" s="21" t="s">
        <v>7886</v>
      </c>
      <c r="R481" s="17" t="s">
        <v>801</v>
      </c>
      <c r="S481" s="18" t="s">
        <v>2625</v>
      </c>
      <c r="T481" s="17" t="s">
        <v>800</v>
      </c>
      <c r="U481" s="18" t="s">
        <v>5240</v>
      </c>
      <c r="V481" s="17" t="s">
        <v>9418</v>
      </c>
      <c r="W481" s="18" t="s">
        <v>5309</v>
      </c>
      <c r="X481" s="69" t="s">
        <v>9453</v>
      </c>
      <c r="Y481" s="70" t="s">
        <v>9462</v>
      </c>
      <c r="Z481" s="73" t="s">
        <v>9486</v>
      </c>
      <c r="AA481" s="74" t="s">
        <v>9504</v>
      </c>
      <c r="AB481" s="73" t="s">
        <v>9486</v>
      </c>
      <c r="AC481" s="74" t="s">
        <v>9566</v>
      </c>
      <c r="AD481" s="73" t="s">
        <v>9578</v>
      </c>
      <c r="AE481" s="74" t="s">
        <v>9579</v>
      </c>
    </row>
    <row r="482" spans="1:31" ht="8.65" customHeight="1" x14ac:dyDescent="0.2">
      <c r="A482" s="76">
        <v>482</v>
      </c>
      <c r="B482" s="67" t="str">
        <f>MID(C482, FIND("Ifc.", C482) + 4, 4) &amp; "_" &amp; TEXT(COUNTIF($C$2:C482, C482),"0000")</f>
        <v>Prop_0481</v>
      </c>
      <c r="C482" s="24" t="s">
        <v>872</v>
      </c>
      <c r="D482" s="69" t="s">
        <v>9453</v>
      </c>
      <c r="E482" s="70" t="s">
        <v>9454</v>
      </c>
      <c r="F482" s="17" t="s">
        <v>806</v>
      </c>
      <c r="G482" s="22" t="s">
        <v>2121</v>
      </c>
      <c r="H482" s="12" t="s">
        <v>9703</v>
      </c>
      <c r="I482" s="13" t="s">
        <v>6647</v>
      </c>
      <c r="J482" s="14" t="s">
        <v>798</v>
      </c>
      <c r="K482" s="15" t="s">
        <v>798</v>
      </c>
      <c r="L482" s="12" t="s">
        <v>5315</v>
      </c>
      <c r="M482" s="13" t="s">
        <v>5981</v>
      </c>
      <c r="N482" s="12" t="s">
        <v>803</v>
      </c>
      <c r="O482" s="13" t="s">
        <v>5106</v>
      </c>
      <c r="P482" s="17" t="s">
        <v>802</v>
      </c>
      <c r="Q482" s="21" t="s">
        <v>7863</v>
      </c>
      <c r="R482" s="17" t="s">
        <v>801</v>
      </c>
      <c r="S482" s="18" t="s">
        <v>2611</v>
      </c>
      <c r="T482" s="17" t="s">
        <v>800</v>
      </c>
      <c r="U482" s="18" t="s">
        <v>5255</v>
      </c>
      <c r="V482" s="17" t="s">
        <v>9418</v>
      </c>
      <c r="W482" s="18" t="s">
        <v>5309</v>
      </c>
      <c r="X482" s="69" t="s">
        <v>9453</v>
      </c>
      <c r="Y482" s="70" t="s">
        <v>9462</v>
      </c>
      <c r="Z482" s="73" t="s">
        <v>9486</v>
      </c>
      <c r="AA482" s="74" t="s">
        <v>9504</v>
      </c>
      <c r="AB482" s="73" t="s">
        <v>9486</v>
      </c>
      <c r="AC482" s="74" t="s">
        <v>9566</v>
      </c>
      <c r="AD482" s="73" t="s">
        <v>9578</v>
      </c>
      <c r="AE482" s="74" t="s">
        <v>9579</v>
      </c>
    </row>
    <row r="483" spans="1:31" ht="8.65" customHeight="1" x14ac:dyDescent="0.2">
      <c r="A483" s="76">
        <v>483</v>
      </c>
      <c r="B483" s="67" t="str">
        <f>MID(C483, FIND("Ifc.", C483) + 4, 4) &amp; "_" &amp; TEXT(COUNTIF($C$2:C483, C483),"0000")</f>
        <v>Prop_0482</v>
      </c>
      <c r="C483" s="24" t="s">
        <v>872</v>
      </c>
      <c r="D483" s="69" t="s">
        <v>9453</v>
      </c>
      <c r="E483" s="70" t="s">
        <v>9454</v>
      </c>
      <c r="F483" s="17" t="s">
        <v>806</v>
      </c>
      <c r="G483" s="22" t="s">
        <v>1833</v>
      </c>
      <c r="H483" s="12" t="s">
        <v>9703</v>
      </c>
      <c r="I483" s="13" t="s">
        <v>9474</v>
      </c>
      <c r="J483" s="14" t="s">
        <v>798</v>
      </c>
      <c r="K483" s="15" t="s">
        <v>798</v>
      </c>
      <c r="L483" s="12" t="s">
        <v>5315</v>
      </c>
      <c r="M483" s="13" t="s">
        <v>5458</v>
      </c>
      <c r="N483" s="12" t="s">
        <v>803</v>
      </c>
      <c r="O483" s="13" t="s">
        <v>5030</v>
      </c>
      <c r="P483" s="17" t="s">
        <v>802</v>
      </c>
      <c r="Q483" s="21" t="s">
        <v>7784</v>
      </c>
      <c r="R483" s="17" t="s">
        <v>801</v>
      </c>
      <c r="S483" s="18" t="s">
        <v>2625</v>
      </c>
      <c r="T483" s="17" t="s">
        <v>800</v>
      </c>
      <c r="U483" s="18" t="s">
        <v>5240</v>
      </c>
      <c r="V483" s="17" t="s">
        <v>9418</v>
      </c>
      <c r="W483" s="18" t="s">
        <v>5309</v>
      </c>
      <c r="X483" s="69" t="s">
        <v>9453</v>
      </c>
      <c r="Y483" s="70" t="s">
        <v>9462</v>
      </c>
      <c r="Z483" s="73" t="s">
        <v>9486</v>
      </c>
      <c r="AA483" s="74" t="s">
        <v>9504</v>
      </c>
      <c r="AB483" s="73" t="s">
        <v>9486</v>
      </c>
      <c r="AC483" s="74" t="s">
        <v>9566</v>
      </c>
      <c r="AD483" s="73" t="s">
        <v>9578</v>
      </c>
      <c r="AE483" s="74" t="s">
        <v>9579</v>
      </c>
    </row>
    <row r="484" spans="1:31" ht="8.65" customHeight="1" x14ac:dyDescent="0.2">
      <c r="A484" s="76">
        <v>484</v>
      </c>
      <c r="B484" s="67" t="str">
        <f>MID(C484, FIND("Ifc.", C484) + 4, 4) &amp; "_" &amp; TEXT(COUNTIF($C$2:C484, C484),"0000")</f>
        <v>Prop_0483</v>
      </c>
      <c r="C484" s="24" t="s">
        <v>872</v>
      </c>
      <c r="D484" s="69" t="s">
        <v>9453</v>
      </c>
      <c r="E484" s="70" t="s">
        <v>9454</v>
      </c>
      <c r="F484" s="17" t="s">
        <v>806</v>
      </c>
      <c r="G484" s="22" t="s">
        <v>1853</v>
      </c>
      <c r="H484" s="12" t="s">
        <v>9703</v>
      </c>
      <c r="I484" s="13" t="s">
        <v>6531</v>
      </c>
      <c r="J484" s="14" t="s">
        <v>798</v>
      </c>
      <c r="K484" s="15" t="s">
        <v>798</v>
      </c>
      <c r="L484" s="12" t="s">
        <v>5315</v>
      </c>
      <c r="M484" s="13" t="s">
        <v>5947</v>
      </c>
      <c r="N484" s="12" t="s">
        <v>803</v>
      </c>
      <c r="O484" s="13" t="s">
        <v>5034</v>
      </c>
      <c r="P484" s="17" t="s">
        <v>802</v>
      </c>
      <c r="Q484" s="21" t="s">
        <v>7887</v>
      </c>
      <c r="R484" s="17" t="s">
        <v>801</v>
      </c>
      <c r="S484" s="18" t="s">
        <v>2625</v>
      </c>
      <c r="T484" s="17" t="s">
        <v>800</v>
      </c>
      <c r="U484" s="18" t="s">
        <v>5240</v>
      </c>
      <c r="V484" s="17" t="s">
        <v>9418</v>
      </c>
      <c r="W484" s="18" t="s">
        <v>5309</v>
      </c>
      <c r="X484" s="69" t="s">
        <v>9453</v>
      </c>
      <c r="Y484" s="70" t="s">
        <v>9462</v>
      </c>
      <c r="Z484" s="73" t="s">
        <v>9486</v>
      </c>
      <c r="AA484" s="74" t="s">
        <v>9504</v>
      </c>
      <c r="AB484" s="73" t="s">
        <v>9486</v>
      </c>
      <c r="AC484" s="74" t="s">
        <v>9566</v>
      </c>
      <c r="AD484" s="73" t="s">
        <v>9578</v>
      </c>
      <c r="AE484" s="74" t="s">
        <v>9579</v>
      </c>
    </row>
    <row r="485" spans="1:31" ht="8.65" customHeight="1" x14ac:dyDescent="0.2">
      <c r="A485" s="76">
        <v>485</v>
      </c>
      <c r="B485" s="67" t="str">
        <f>MID(C485, FIND("Ifc.", C485) + 4, 4) &amp; "_" &amp; TEXT(COUNTIF($C$2:C485, C485),"0000")</f>
        <v>Prop_0484</v>
      </c>
      <c r="C485" s="24" t="s">
        <v>872</v>
      </c>
      <c r="D485" s="69" t="s">
        <v>9453</v>
      </c>
      <c r="E485" s="70" t="s">
        <v>9454</v>
      </c>
      <c r="F485" s="17" t="s">
        <v>806</v>
      </c>
      <c r="G485" s="22" t="s">
        <v>1518</v>
      </c>
      <c r="H485" s="12" t="s">
        <v>9703</v>
      </c>
      <c r="I485" s="13" t="s">
        <v>7005</v>
      </c>
      <c r="J485" s="14" t="s">
        <v>798</v>
      </c>
      <c r="K485" s="15" t="s">
        <v>798</v>
      </c>
      <c r="L485" s="12" t="s">
        <v>5315</v>
      </c>
      <c r="M485" s="13" t="s">
        <v>5444</v>
      </c>
      <c r="N485" s="12" t="s">
        <v>803</v>
      </c>
      <c r="O485" s="13" t="s">
        <v>4952</v>
      </c>
      <c r="P485" s="17" t="s">
        <v>802</v>
      </c>
      <c r="Q485" s="21" t="s">
        <v>7888</v>
      </c>
      <c r="R485" s="17" t="s">
        <v>801</v>
      </c>
      <c r="S485" s="18" t="s">
        <v>2669</v>
      </c>
      <c r="T485" s="17" t="s">
        <v>800</v>
      </c>
      <c r="U485" s="18" t="s">
        <v>5237</v>
      </c>
      <c r="V485" s="17" t="s">
        <v>9418</v>
      </c>
      <c r="W485" s="18" t="s">
        <v>5309</v>
      </c>
      <c r="X485" s="69" t="s">
        <v>9453</v>
      </c>
      <c r="Y485" s="70" t="s">
        <v>9462</v>
      </c>
      <c r="Z485" s="73" t="s">
        <v>9486</v>
      </c>
      <c r="AA485" s="74" t="s">
        <v>9504</v>
      </c>
      <c r="AB485" s="73" t="s">
        <v>9486</v>
      </c>
      <c r="AC485" s="74" t="s">
        <v>9562</v>
      </c>
      <c r="AD485" s="73" t="s">
        <v>9578</v>
      </c>
      <c r="AE485" s="74" t="s">
        <v>9579</v>
      </c>
    </row>
    <row r="486" spans="1:31" ht="8.65" customHeight="1" x14ac:dyDescent="0.2">
      <c r="A486" s="76">
        <v>486</v>
      </c>
      <c r="B486" s="67" t="str">
        <f>MID(C486, FIND("Ifc.", C486) + 4, 4) &amp; "_" &amp; TEXT(COUNTIF($C$2:C486, C486),"0000")</f>
        <v>Prop_0485</v>
      </c>
      <c r="C486" s="24" t="s">
        <v>872</v>
      </c>
      <c r="D486" s="69" t="s">
        <v>9453</v>
      </c>
      <c r="E486" s="70" t="s">
        <v>9454</v>
      </c>
      <c r="F486" s="17" t="s">
        <v>806</v>
      </c>
      <c r="G486" s="22" t="s">
        <v>938</v>
      </c>
      <c r="H486" s="12" t="s">
        <v>9703</v>
      </c>
      <c r="I486" s="13" t="s">
        <v>6525</v>
      </c>
      <c r="J486" s="14" t="s">
        <v>798</v>
      </c>
      <c r="K486" s="15" t="s">
        <v>798</v>
      </c>
      <c r="L486" s="12" t="s">
        <v>5315</v>
      </c>
      <c r="M486" s="13" t="s">
        <v>5982</v>
      </c>
      <c r="N486" s="12" t="s">
        <v>803</v>
      </c>
      <c r="O486" s="13" t="s">
        <v>4814</v>
      </c>
      <c r="P486" s="17" t="s">
        <v>802</v>
      </c>
      <c r="Q486" s="21" t="s">
        <v>7872</v>
      </c>
      <c r="R486" s="17" t="s">
        <v>801</v>
      </c>
      <c r="S486" s="18" t="s">
        <v>2624</v>
      </c>
      <c r="T486" s="17" t="s">
        <v>800</v>
      </c>
      <c r="U486" s="18" t="s">
        <v>5243</v>
      </c>
      <c r="V486" s="17" t="s">
        <v>9418</v>
      </c>
      <c r="W486" s="18" t="s">
        <v>5309</v>
      </c>
      <c r="X486" s="69" t="s">
        <v>9453</v>
      </c>
      <c r="Y486" s="70" t="s">
        <v>9462</v>
      </c>
      <c r="Z486" s="73" t="s">
        <v>9486</v>
      </c>
      <c r="AA486" s="74" t="s">
        <v>9504</v>
      </c>
      <c r="AB486" s="73" t="s">
        <v>9486</v>
      </c>
      <c r="AC486" s="74" t="s">
        <v>9566</v>
      </c>
      <c r="AD486" s="73" t="s">
        <v>9578</v>
      </c>
      <c r="AE486" s="74" t="s">
        <v>9579</v>
      </c>
    </row>
    <row r="487" spans="1:31" ht="8.65" customHeight="1" x14ac:dyDescent="0.2">
      <c r="A487" s="76">
        <v>487</v>
      </c>
      <c r="B487" s="67" t="str">
        <f>MID(C487, FIND("Ifc.", C487) + 4, 4) &amp; "_" &amp; TEXT(COUNTIF($C$2:C487, C487),"0000")</f>
        <v>Prop_0486</v>
      </c>
      <c r="C487" s="24" t="s">
        <v>872</v>
      </c>
      <c r="D487" s="69" t="s">
        <v>9453</v>
      </c>
      <c r="E487" s="70" t="s">
        <v>9454</v>
      </c>
      <c r="F487" s="17" t="s">
        <v>806</v>
      </c>
      <c r="G487" s="22" t="s">
        <v>1619</v>
      </c>
      <c r="H487" s="12" t="s">
        <v>9703</v>
      </c>
      <c r="I487" s="13" t="s">
        <v>6363</v>
      </c>
      <c r="J487" s="14" t="s">
        <v>798</v>
      </c>
      <c r="K487" s="15" t="s">
        <v>798</v>
      </c>
      <c r="L487" s="12" t="s">
        <v>5315</v>
      </c>
      <c r="M487" s="13" t="s">
        <v>5832</v>
      </c>
      <c r="N487" s="12" t="s">
        <v>803</v>
      </c>
      <c r="O487" s="13" t="s">
        <v>4974</v>
      </c>
      <c r="P487" s="17" t="s">
        <v>802</v>
      </c>
      <c r="Q487" s="21" t="s">
        <v>7889</v>
      </c>
      <c r="R487" s="17" t="s">
        <v>801</v>
      </c>
      <c r="S487" s="18" t="s">
        <v>3636</v>
      </c>
      <c r="T487" s="17" t="s">
        <v>800</v>
      </c>
      <c r="U487" s="18" t="s">
        <v>5257</v>
      </c>
      <c r="V487" s="17" t="s">
        <v>9418</v>
      </c>
      <c r="W487" s="18" t="s">
        <v>5314</v>
      </c>
      <c r="X487" s="69" t="s">
        <v>9453</v>
      </c>
      <c r="Y487" s="70" t="s">
        <v>9464</v>
      </c>
      <c r="Z487" s="73" t="s">
        <v>9486</v>
      </c>
      <c r="AA487" s="74" t="s">
        <v>9504</v>
      </c>
      <c r="AB487" s="73" t="s">
        <v>9486</v>
      </c>
      <c r="AC487" s="74" t="s">
        <v>9561</v>
      </c>
      <c r="AD487" s="73" t="s">
        <v>9578</v>
      </c>
      <c r="AE487" s="74" t="s">
        <v>9579</v>
      </c>
    </row>
    <row r="488" spans="1:31" ht="8.65" customHeight="1" x14ac:dyDescent="0.2">
      <c r="A488" s="76">
        <v>488</v>
      </c>
      <c r="B488" s="67" t="str">
        <f>MID(C488, FIND("Ifc.", C488) + 4, 4) &amp; "_" &amp; TEXT(COUNTIF($C$2:C488, C488),"0000")</f>
        <v>Prop_0487</v>
      </c>
      <c r="C488" s="24" t="s">
        <v>872</v>
      </c>
      <c r="D488" s="69" t="s">
        <v>9453</v>
      </c>
      <c r="E488" s="70" t="s">
        <v>9454</v>
      </c>
      <c r="F488" s="17" t="s">
        <v>806</v>
      </c>
      <c r="G488" s="22" t="s">
        <v>937</v>
      </c>
      <c r="H488" s="12" t="s">
        <v>9703</v>
      </c>
      <c r="I488" s="13" t="s">
        <v>6524</v>
      </c>
      <c r="J488" s="14" t="s">
        <v>798</v>
      </c>
      <c r="K488" s="15" t="s">
        <v>798</v>
      </c>
      <c r="L488" s="12" t="s">
        <v>5315</v>
      </c>
      <c r="M488" s="13" t="s">
        <v>5982</v>
      </c>
      <c r="N488" s="12" t="s">
        <v>803</v>
      </c>
      <c r="O488" s="13" t="s">
        <v>4814</v>
      </c>
      <c r="P488" s="17" t="s">
        <v>802</v>
      </c>
      <c r="Q488" s="21" t="s">
        <v>7872</v>
      </c>
      <c r="R488" s="17" t="s">
        <v>801</v>
      </c>
      <c r="S488" s="18" t="s">
        <v>2624</v>
      </c>
      <c r="T488" s="17" t="s">
        <v>800</v>
      </c>
      <c r="U488" s="18" t="s">
        <v>5243</v>
      </c>
      <c r="V488" s="17" t="s">
        <v>9418</v>
      </c>
      <c r="W488" s="18" t="s">
        <v>5309</v>
      </c>
      <c r="X488" s="69" t="s">
        <v>9453</v>
      </c>
      <c r="Y488" s="70" t="s">
        <v>9462</v>
      </c>
      <c r="Z488" s="73" t="s">
        <v>9486</v>
      </c>
      <c r="AA488" s="74" t="s">
        <v>9504</v>
      </c>
      <c r="AB488" s="73" t="s">
        <v>9486</v>
      </c>
      <c r="AC488" s="74" t="s">
        <v>9566</v>
      </c>
      <c r="AD488" s="73" t="s">
        <v>9578</v>
      </c>
      <c r="AE488" s="74" t="s">
        <v>9579</v>
      </c>
    </row>
    <row r="489" spans="1:31" ht="8.65" customHeight="1" x14ac:dyDescent="0.2">
      <c r="A489" s="76">
        <v>489</v>
      </c>
      <c r="B489" s="67" t="str">
        <f>MID(C489, FIND("Ifc.", C489) + 4, 4) &amp; "_" &amp; TEXT(COUNTIF($C$2:C489, C489),"0000")</f>
        <v>Prop_0488</v>
      </c>
      <c r="C489" s="24" t="s">
        <v>872</v>
      </c>
      <c r="D489" s="69" t="s">
        <v>9453</v>
      </c>
      <c r="E489" s="70" t="s">
        <v>9454</v>
      </c>
      <c r="F489" s="17" t="s">
        <v>806</v>
      </c>
      <c r="G489" s="22" t="s">
        <v>1866</v>
      </c>
      <c r="H489" s="12" t="s">
        <v>9703</v>
      </c>
      <c r="I489" s="13" t="s">
        <v>6542</v>
      </c>
      <c r="J489" s="14" t="s">
        <v>798</v>
      </c>
      <c r="K489" s="15" t="s">
        <v>798</v>
      </c>
      <c r="L489" s="12" t="s">
        <v>5315</v>
      </c>
      <c r="M489" s="13" t="s">
        <v>5460</v>
      </c>
      <c r="N489" s="12" t="s">
        <v>803</v>
      </c>
      <c r="O489" s="13" t="s">
        <v>5037</v>
      </c>
      <c r="P489" s="17" t="s">
        <v>802</v>
      </c>
      <c r="Q489" s="21" t="s">
        <v>7782</v>
      </c>
      <c r="R489" s="17" t="s">
        <v>801</v>
      </c>
      <c r="S489" s="18" t="s">
        <v>2625</v>
      </c>
      <c r="T489" s="17" t="s">
        <v>800</v>
      </c>
      <c r="U489" s="18" t="s">
        <v>5240</v>
      </c>
      <c r="V489" s="17" t="s">
        <v>9418</v>
      </c>
      <c r="W489" s="18" t="s">
        <v>5309</v>
      </c>
      <c r="X489" s="69" t="s">
        <v>9453</v>
      </c>
      <c r="Y489" s="70" t="s">
        <v>9462</v>
      </c>
      <c r="Z489" s="73" t="s">
        <v>9486</v>
      </c>
      <c r="AA489" s="74" t="s">
        <v>9504</v>
      </c>
      <c r="AB489" s="73" t="s">
        <v>9486</v>
      </c>
      <c r="AC489" s="74" t="s">
        <v>9566</v>
      </c>
      <c r="AD489" s="73" t="s">
        <v>9578</v>
      </c>
      <c r="AE489" s="74" t="s">
        <v>9579</v>
      </c>
    </row>
    <row r="490" spans="1:31" ht="8.65" customHeight="1" x14ac:dyDescent="0.2">
      <c r="A490" s="76">
        <v>490</v>
      </c>
      <c r="B490" s="67" t="str">
        <f>MID(C490, FIND("Ifc.", C490) + 4, 4) &amp; "_" &amp; TEXT(COUNTIF($C$2:C490, C490),"0000")</f>
        <v>Prop_0489</v>
      </c>
      <c r="C490" s="24" t="s">
        <v>872</v>
      </c>
      <c r="D490" s="69" t="s">
        <v>9453</v>
      </c>
      <c r="E490" s="70" t="s">
        <v>9454</v>
      </c>
      <c r="F490" s="17" t="s">
        <v>806</v>
      </c>
      <c r="G490" s="22" t="s">
        <v>1835</v>
      </c>
      <c r="H490" s="12" t="s">
        <v>9703</v>
      </c>
      <c r="I490" s="13" t="s">
        <v>9473</v>
      </c>
      <c r="J490" s="14" t="s">
        <v>798</v>
      </c>
      <c r="K490" s="15" t="s">
        <v>798</v>
      </c>
      <c r="L490" s="12" t="s">
        <v>5315</v>
      </c>
      <c r="M490" s="13" t="s">
        <v>5458</v>
      </c>
      <c r="N490" s="12" t="s">
        <v>803</v>
      </c>
      <c r="O490" s="13" t="s">
        <v>5030</v>
      </c>
      <c r="P490" s="17" t="s">
        <v>802</v>
      </c>
      <c r="Q490" s="21" t="s">
        <v>7784</v>
      </c>
      <c r="R490" s="17" t="s">
        <v>801</v>
      </c>
      <c r="S490" s="18" t="s">
        <v>2625</v>
      </c>
      <c r="T490" s="17" t="s">
        <v>800</v>
      </c>
      <c r="U490" s="18" t="s">
        <v>5240</v>
      </c>
      <c r="V490" s="17" t="s">
        <v>9418</v>
      </c>
      <c r="W490" s="18" t="s">
        <v>5309</v>
      </c>
      <c r="X490" s="69" t="s">
        <v>9453</v>
      </c>
      <c r="Y490" s="70" t="s">
        <v>9462</v>
      </c>
      <c r="Z490" s="73" t="s">
        <v>9486</v>
      </c>
      <c r="AA490" s="74" t="s">
        <v>9504</v>
      </c>
      <c r="AB490" s="73" t="s">
        <v>9486</v>
      </c>
      <c r="AC490" s="74" t="s">
        <v>9566</v>
      </c>
      <c r="AD490" s="73" t="s">
        <v>9578</v>
      </c>
      <c r="AE490" s="74" t="s">
        <v>9579</v>
      </c>
    </row>
    <row r="491" spans="1:31" ht="8.65" customHeight="1" x14ac:dyDescent="0.2">
      <c r="A491" s="76">
        <v>491</v>
      </c>
      <c r="B491" s="67" t="str">
        <f>MID(C491, FIND("Ifc.", C491) + 4, 4) &amp; "_" &amp; TEXT(COUNTIF($C$2:C491, C491),"0000")</f>
        <v>Prop_0490</v>
      </c>
      <c r="C491" s="24" t="s">
        <v>872</v>
      </c>
      <c r="D491" s="69" t="s">
        <v>9453</v>
      </c>
      <c r="E491" s="70" t="s">
        <v>9454</v>
      </c>
      <c r="F491" s="17" t="s">
        <v>806</v>
      </c>
      <c r="G491" s="22" t="s">
        <v>1376</v>
      </c>
      <c r="H491" s="12" t="s">
        <v>9703</v>
      </c>
      <c r="I491" s="13" t="s">
        <v>7198</v>
      </c>
      <c r="J491" s="14" t="s">
        <v>798</v>
      </c>
      <c r="K491" s="15" t="s">
        <v>798</v>
      </c>
      <c r="L491" s="12" t="s">
        <v>5315</v>
      </c>
      <c r="M491" s="13" t="s">
        <v>6031</v>
      </c>
      <c r="N491" s="12" t="s">
        <v>803</v>
      </c>
      <c r="O491" s="13" t="s">
        <v>4919</v>
      </c>
      <c r="P491" s="17" t="s">
        <v>802</v>
      </c>
      <c r="Q491" s="21" t="s">
        <v>7818</v>
      </c>
      <c r="R491" s="17" t="s">
        <v>801</v>
      </c>
      <c r="S491" s="18" t="s">
        <v>2623</v>
      </c>
      <c r="T491" s="17" t="s">
        <v>800</v>
      </c>
      <c r="U491" s="18" t="s">
        <v>5247</v>
      </c>
      <c r="V491" s="17" t="s">
        <v>9418</v>
      </c>
      <c r="W491" s="18" t="s">
        <v>5309</v>
      </c>
      <c r="X491" s="69" t="s">
        <v>9453</v>
      </c>
      <c r="Y491" s="70" t="s">
        <v>9462</v>
      </c>
      <c r="Z491" s="73" t="s">
        <v>9486</v>
      </c>
      <c r="AA491" s="74" t="s">
        <v>9504</v>
      </c>
      <c r="AB491" s="73" t="s">
        <v>9486</v>
      </c>
      <c r="AC491" s="74" t="s">
        <v>9566</v>
      </c>
      <c r="AD491" s="73" t="s">
        <v>9578</v>
      </c>
      <c r="AE491" s="74" t="s">
        <v>9579</v>
      </c>
    </row>
    <row r="492" spans="1:31" ht="8.65" customHeight="1" x14ac:dyDescent="0.2">
      <c r="A492" s="76">
        <v>492</v>
      </c>
      <c r="B492" s="67" t="str">
        <f>MID(C492, FIND("Ifc.", C492) + 4, 4) &amp; "_" &amp; TEXT(COUNTIF($C$2:C492, C492),"0000")</f>
        <v>Prop_0491</v>
      </c>
      <c r="C492" s="24" t="s">
        <v>872</v>
      </c>
      <c r="D492" s="69" t="s">
        <v>9453</v>
      </c>
      <c r="E492" s="70" t="s">
        <v>9454</v>
      </c>
      <c r="F492" s="17" t="s">
        <v>806</v>
      </c>
      <c r="G492" s="22" t="s">
        <v>2123</v>
      </c>
      <c r="H492" s="12" t="s">
        <v>9703</v>
      </c>
      <c r="I492" s="13" t="s">
        <v>6175</v>
      </c>
      <c r="J492" s="14" t="s">
        <v>798</v>
      </c>
      <c r="K492" s="15" t="s">
        <v>798</v>
      </c>
      <c r="L492" s="12" t="s">
        <v>5315</v>
      </c>
      <c r="M492" s="13" t="s">
        <v>6056</v>
      </c>
      <c r="N492" s="12" t="s">
        <v>803</v>
      </c>
      <c r="O492" s="13" t="s">
        <v>5108</v>
      </c>
      <c r="P492" s="17" t="s">
        <v>802</v>
      </c>
      <c r="Q492" s="21" t="s">
        <v>7890</v>
      </c>
      <c r="R492" s="17" t="s">
        <v>801</v>
      </c>
      <c r="S492" s="18" t="s">
        <v>2575</v>
      </c>
      <c r="T492" s="17" t="s">
        <v>800</v>
      </c>
      <c r="U492" s="18" t="s">
        <v>5250</v>
      </c>
      <c r="V492" s="17" t="s">
        <v>9418</v>
      </c>
      <c r="W492" s="18" t="s">
        <v>5309</v>
      </c>
      <c r="X492" s="69" t="s">
        <v>9453</v>
      </c>
      <c r="Y492" s="70" t="s">
        <v>9462</v>
      </c>
      <c r="Z492" s="73" t="s">
        <v>9486</v>
      </c>
      <c r="AA492" s="74" t="s">
        <v>9504</v>
      </c>
      <c r="AB492" s="73" t="s">
        <v>9486</v>
      </c>
      <c r="AC492" s="74" t="s">
        <v>9566</v>
      </c>
      <c r="AD492" s="73" t="s">
        <v>9578</v>
      </c>
      <c r="AE492" s="74" t="s">
        <v>9579</v>
      </c>
    </row>
    <row r="493" spans="1:31" ht="8.65" customHeight="1" x14ac:dyDescent="0.2">
      <c r="A493" s="76">
        <v>493</v>
      </c>
      <c r="B493" s="67" t="str">
        <f>MID(C493, FIND("Ifc.", C493) + 4, 4) &amp; "_" &amp; TEXT(COUNTIF($C$2:C493, C493),"0000")</f>
        <v>Prop_0492</v>
      </c>
      <c r="C493" s="24" t="s">
        <v>872</v>
      </c>
      <c r="D493" s="69" t="s">
        <v>9453</v>
      </c>
      <c r="E493" s="70" t="s">
        <v>9454</v>
      </c>
      <c r="F493" s="17" t="s">
        <v>806</v>
      </c>
      <c r="G493" s="22" t="s">
        <v>2421</v>
      </c>
      <c r="H493" s="12" t="s">
        <v>9703</v>
      </c>
      <c r="I493" s="13" t="s">
        <v>6780</v>
      </c>
      <c r="J493" s="14" t="s">
        <v>798</v>
      </c>
      <c r="K493" s="15" t="s">
        <v>798</v>
      </c>
      <c r="L493" s="12" t="s">
        <v>5315</v>
      </c>
      <c r="M493" s="13" t="s">
        <v>5569</v>
      </c>
      <c r="N493" s="12" t="s">
        <v>803</v>
      </c>
      <c r="O493" s="13" t="s">
        <v>5202</v>
      </c>
      <c r="P493" s="17" t="s">
        <v>802</v>
      </c>
      <c r="Q493" s="21" t="s">
        <v>7765</v>
      </c>
      <c r="R493" s="17" t="s">
        <v>801</v>
      </c>
      <c r="S493" s="18" t="s">
        <v>2554</v>
      </c>
      <c r="T493" s="17" t="s">
        <v>800</v>
      </c>
      <c r="U493" s="18" t="s">
        <v>5233</v>
      </c>
      <c r="V493" s="17" t="s">
        <v>9418</v>
      </c>
      <c r="W493" s="18" t="s">
        <v>5310</v>
      </c>
      <c r="X493" s="69" t="s">
        <v>9453</v>
      </c>
      <c r="Y493" s="70" t="s">
        <v>9463</v>
      </c>
      <c r="Z493" s="73" t="s">
        <v>9486</v>
      </c>
      <c r="AA493" s="74" t="s">
        <v>9504</v>
      </c>
      <c r="AB493" s="73" t="s">
        <v>9486</v>
      </c>
      <c r="AC493" s="74" t="s">
        <v>9562</v>
      </c>
      <c r="AD493" s="73" t="s">
        <v>9578</v>
      </c>
      <c r="AE493" s="74" t="s">
        <v>9579</v>
      </c>
    </row>
    <row r="494" spans="1:31" ht="8.65" customHeight="1" x14ac:dyDescent="0.2">
      <c r="A494" s="76">
        <v>494</v>
      </c>
      <c r="B494" s="67" t="str">
        <f>MID(C494, FIND("Ifc.", C494) + 4, 4) &amp; "_" &amp; TEXT(COUNTIF($C$2:C494, C494),"0000")</f>
        <v>Prop_0493</v>
      </c>
      <c r="C494" s="24" t="s">
        <v>872</v>
      </c>
      <c r="D494" s="69" t="s">
        <v>9453</v>
      </c>
      <c r="E494" s="70" t="s">
        <v>9454</v>
      </c>
      <c r="F494" s="17" t="s">
        <v>806</v>
      </c>
      <c r="G494" s="22" t="s">
        <v>1895</v>
      </c>
      <c r="H494" s="12" t="s">
        <v>9703</v>
      </c>
      <c r="I494" s="13" t="s">
        <v>6959</v>
      </c>
      <c r="J494" s="14" t="s">
        <v>798</v>
      </c>
      <c r="K494" s="15" t="s">
        <v>798</v>
      </c>
      <c r="L494" s="12" t="s">
        <v>5315</v>
      </c>
      <c r="M494" s="13" t="s">
        <v>5956</v>
      </c>
      <c r="N494" s="12" t="s">
        <v>803</v>
      </c>
      <c r="O494" s="13" t="s">
        <v>5047</v>
      </c>
      <c r="P494" s="17" t="s">
        <v>802</v>
      </c>
      <c r="Q494" s="21" t="s">
        <v>7891</v>
      </c>
      <c r="R494" s="17" t="s">
        <v>801</v>
      </c>
      <c r="S494" s="18" t="s">
        <v>2554</v>
      </c>
      <c r="T494" s="17" t="s">
        <v>800</v>
      </c>
      <c r="U494" s="18" t="s">
        <v>5233</v>
      </c>
      <c r="V494" s="17" t="s">
        <v>9418</v>
      </c>
      <c r="W494" s="18" t="s">
        <v>5310</v>
      </c>
      <c r="X494" s="69" t="s">
        <v>9453</v>
      </c>
      <c r="Y494" s="70" t="s">
        <v>9463</v>
      </c>
      <c r="Z494" s="73" t="s">
        <v>9486</v>
      </c>
      <c r="AA494" s="74" t="s">
        <v>9504</v>
      </c>
      <c r="AB494" s="73" t="s">
        <v>9486</v>
      </c>
      <c r="AC494" s="74" t="s">
        <v>9562</v>
      </c>
      <c r="AD494" s="73" t="s">
        <v>9578</v>
      </c>
      <c r="AE494" s="74" t="s">
        <v>9579</v>
      </c>
    </row>
    <row r="495" spans="1:31" ht="8.65" customHeight="1" x14ac:dyDescent="0.2">
      <c r="A495" s="76">
        <v>495</v>
      </c>
      <c r="B495" s="67" t="str">
        <f>MID(C495, FIND("Ifc.", C495) + 4, 4) &amp; "_" &amp; TEXT(COUNTIF($C$2:C495, C495),"0000")</f>
        <v>Prop_0494</v>
      </c>
      <c r="C495" s="24" t="s">
        <v>872</v>
      </c>
      <c r="D495" s="69" t="s">
        <v>9453</v>
      </c>
      <c r="E495" s="70" t="s">
        <v>9454</v>
      </c>
      <c r="F495" s="17" t="s">
        <v>806</v>
      </c>
      <c r="G495" s="22" t="s">
        <v>2448</v>
      </c>
      <c r="H495" s="12" t="s">
        <v>9703</v>
      </c>
      <c r="I495" s="13" t="s">
        <v>6798</v>
      </c>
      <c r="J495" s="14" t="s">
        <v>798</v>
      </c>
      <c r="K495" s="15" t="s">
        <v>798</v>
      </c>
      <c r="L495" s="12" t="s">
        <v>5315</v>
      </c>
      <c r="M495" s="13" t="s">
        <v>5573</v>
      </c>
      <c r="N495" s="12" t="s">
        <v>803</v>
      </c>
      <c r="O495" s="13" t="s">
        <v>5206</v>
      </c>
      <c r="P495" s="17" t="s">
        <v>802</v>
      </c>
      <c r="Q495" s="21" t="s">
        <v>7742</v>
      </c>
      <c r="R495" s="17" t="s">
        <v>801</v>
      </c>
      <c r="S495" s="18" t="s">
        <v>2554</v>
      </c>
      <c r="T495" s="17" t="s">
        <v>800</v>
      </c>
      <c r="U495" s="18" t="s">
        <v>5233</v>
      </c>
      <c r="V495" s="17" t="s">
        <v>9418</v>
      </c>
      <c r="W495" s="18" t="s">
        <v>5310</v>
      </c>
      <c r="X495" s="69" t="s">
        <v>9453</v>
      </c>
      <c r="Y495" s="70" t="s">
        <v>9463</v>
      </c>
      <c r="Z495" s="73" t="s">
        <v>9486</v>
      </c>
      <c r="AA495" s="74" t="s">
        <v>9504</v>
      </c>
      <c r="AB495" s="73" t="s">
        <v>9486</v>
      </c>
      <c r="AC495" s="74" t="s">
        <v>9562</v>
      </c>
      <c r="AD495" s="73" t="s">
        <v>9578</v>
      </c>
      <c r="AE495" s="74" t="s">
        <v>9579</v>
      </c>
    </row>
    <row r="496" spans="1:31" ht="8.65" customHeight="1" x14ac:dyDescent="0.2">
      <c r="A496" s="76">
        <v>496</v>
      </c>
      <c r="B496" s="67" t="str">
        <f>MID(C496, FIND("Ifc.", C496) + 4, 4) &amp; "_" &amp; TEXT(COUNTIF($C$2:C496, C496),"0000")</f>
        <v>Prop_0495</v>
      </c>
      <c r="C496" s="24" t="s">
        <v>872</v>
      </c>
      <c r="D496" s="69" t="s">
        <v>9453</v>
      </c>
      <c r="E496" s="70" t="s">
        <v>9454</v>
      </c>
      <c r="F496" s="17" t="s">
        <v>806</v>
      </c>
      <c r="G496" s="22" t="s">
        <v>2361</v>
      </c>
      <c r="H496" s="12" t="s">
        <v>9703</v>
      </c>
      <c r="I496" s="13" t="s">
        <v>6748</v>
      </c>
      <c r="J496" s="14" t="s">
        <v>798</v>
      </c>
      <c r="K496" s="15" t="s">
        <v>798</v>
      </c>
      <c r="L496" s="12" t="s">
        <v>5315</v>
      </c>
      <c r="M496" s="13" t="s">
        <v>5781</v>
      </c>
      <c r="N496" s="12" t="s">
        <v>803</v>
      </c>
      <c r="O496" s="13" t="s">
        <v>5180</v>
      </c>
      <c r="P496" s="17" t="s">
        <v>802</v>
      </c>
      <c r="Q496" s="21" t="s">
        <v>7699</v>
      </c>
      <c r="R496" s="17" t="s">
        <v>801</v>
      </c>
      <c r="S496" s="18" t="s">
        <v>2554</v>
      </c>
      <c r="T496" s="17" t="s">
        <v>800</v>
      </c>
      <c r="U496" s="18" t="s">
        <v>5233</v>
      </c>
      <c r="V496" s="17" t="s">
        <v>9418</v>
      </c>
      <c r="W496" s="18" t="s">
        <v>5309</v>
      </c>
      <c r="X496" s="69" t="s">
        <v>9453</v>
      </c>
      <c r="Y496" s="70" t="s">
        <v>9462</v>
      </c>
      <c r="Z496" s="73" t="s">
        <v>9486</v>
      </c>
      <c r="AA496" s="74" t="s">
        <v>9504</v>
      </c>
      <c r="AB496" s="73" t="s">
        <v>9486</v>
      </c>
      <c r="AC496" s="74" t="s">
        <v>9562</v>
      </c>
      <c r="AD496" s="73" t="s">
        <v>9578</v>
      </c>
      <c r="AE496" s="74" t="s">
        <v>9579</v>
      </c>
    </row>
    <row r="497" spans="1:31" ht="8.65" customHeight="1" x14ac:dyDescent="0.2">
      <c r="A497" s="76">
        <v>497</v>
      </c>
      <c r="B497" s="67" t="str">
        <f>MID(C497, FIND("Ifc.", C497) + 4, 4) &amp; "_" &amp; TEXT(COUNTIF($C$2:C497, C497),"0000")</f>
        <v>Prop_0496</v>
      </c>
      <c r="C497" s="24" t="s">
        <v>872</v>
      </c>
      <c r="D497" s="69" t="s">
        <v>9453</v>
      </c>
      <c r="E497" s="70" t="s">
        <v>9454</v>
      </c>
      <c r="F497" s="17" t="s">
        <v>806</v>
      </c>
      <c r="G497" s="22" t="s">
        <v>2361</v>
      </c>
      <c r="H497" s="12" t="s">
        <v>9703</v>
      </c>
      <c r="I497" s="13" t="s">
        <v>6748</v>
      </c>
      <c r="J497" s="14" t="s">
        <v>798</v>
      </c>
      <c r="K497" s="15" t="s">
        <v>798</v>
      </c>
      <c r="L497" s="12" t="s">
        <v>5315</v>
      </c>
      <c r="M497" s="13" t="s">
        <v>5580</v>
      </c>
      <c r="N497" s="12" t="s">
        <v>803</v>
      </c>
      <c r="O497" s="13" t="s">
        <v>5226</v>
      </c>
      <c r="P497" s="17" t="s">
        <v>802</v>
      </c>
      <c r="Q497" s="21" t="s">
        <v>7797</v>
      </c>
      <c r="R497" s="17" t="s">
        <v>801</v>
      </c>
      <c r="S497" s="18" t="s">
        <v>2554</v>
      </c>
      <c r="T497" s="17" t="s">
        <v>800</v>
      </c>
      <c r="U497" s="18" t="s">
        <v>5233</v>
      </c>
      <c r="V497" s="17" t="s">
        <v>9418</v>
      </c>
      <c r="W497" s="18" t="s">
        <v>5309</v>
      </c>
      <c r="X497" s="69" t="s">
        <v>9453</v>
      </c>
      <c r="Y497" s="70" t="s">
        <v>9462</v>
      </c>
      <c r="Z497" s="73" t="s">
        <v>9486</v>
      </c>
      <c r="AA497" s="74" t="s">
        <v>9504</v>
      </c>
      <c r="AB497" s="73" t="s">
        <v>9486</v>
      </c>
      <c r="AC497" s="74" t="s">
        <v>9562</v>
      </c>
      <c r="AD497" s="73" t="s">
        <v>9578</v>
      </c>
      <c r="AE497" s="74" t="s">
        <v>9579</v>
      </c>
    </row>
    <row r="498" spans="1:31" ht="8.65" customHeight="1" x14ac:dyDescent="0.2">
      <c r="A498" s="76">
        <v>498</v>
      </c>
      <c r="B498" s="67" t="str">
        <f>MID(C498, FIND("Ifc.", C498) + 4, 4) &amp; "_" &amp; TEXT(COUNTIF($C$2:C498, C498),"0000")</f>
        <v>Prop_0497</v>
      </c>
      <c r="C498" s="24" t="s">
        <v>872</v>
      </c>
      <c r="D498" s="69" t="s">
        <v>9453</v>
      </c>
      <c r="E498" s="70" t="s">
        <v>9454</v>
      </c>
      <c r="F498" s="17" t="s">
        <v>806</v>
      </c>
      <c r="G498" s="22" t="s">
        <v>1531</v>
      </c>
      <c r="H498" s="12" t="s">
        <v>9703</v>
      </c>
      <c r="I498" s="13" t="s">
        <v>7080</v>
      </c>
      <c r="J498" s="14" t="s">
        <v>798</v>
      </c>
      <c r="K498" s="15" t="s">
        <v>798</v>
      </c>
      <c r="L498" s="12" t="s">
        <v>5315</v>
      </c>
      <c r="M498" s="13" t="s">
        <v>5816</v>
      </c>
      <c r="N498" s="12" t="s">
        <v>803</v>
      </c>
      <c r="O498" s="13" t="s">
        <v>4955</v>
      </c>
      <c r="P498" s="17" t="s">
        <v>802</v>
      </c>
      <c r="Q498" s="21" t="s">
        <v>7694</v>
      </c>
      <c r="R498" s="17" t="s">
        <v>801</v>
      </c>
      <c r="S498" s="18" t="s">
        <v>2669</v>
      </c>
      <c r="T498" s="17" t="s">
        <v>800</v>
      </c>
      <c r="U498" s="18" t="s">
        <v>5237</v>
      </c>
      <c r="V498" s="17" t="s">
        <v>9418</v>
      </c>
      <c r="W498" s="18" t="s">
        <v>5309</v>
      </c>
      <c r="X498" s="69" t="s">
        <v>9453</v>
      </c>
      <c r="Y498" s="70" t="s">
        <v>9462</v>
      </c>
      <c r="Z498" s="73" t="s">
        <v>9486</v>
      </c>
      <c r="AA498" s="74" t="s">
        <v>9504</v>
      </c>
      <c r="AB498" s="73" t="s">
        <v>9486</v>
      </c>
      <c r="AC498" s="74" t="s">
        <v>9562</v>
      </c>
      <c r="AD498" s="73" t="s">
        <v>9578</v>
      </c>
      <c r="AE498" s="74" t="s">
        <v>9579</v>
      </c>
    </row>
    <row r="499" spans="1:31" ht="8.65" customHeight="1" x14ac:dyDescent="0.2">
      <c r="A499" s="76">
        <v>499</v>
      </c>
      <c r="B499" s="67" t="str">
        <f>MID(C499, FIND("Ifc.", C499) + 4, 4) &amp; "_" &amp; TEXT(COUNTIF($C$2:C499, C499),"0000")</f>
        <v>Prop_0498</v>
      </c>
      <c r="C499" s="24" t="s">
        <v>872</v>
      </c>
      <c r="D499" s="69" t="s">
        <v>9453</v>
      </c>
      <c r="E499" s="70" t="s">
        <v>9454</v>
      </c>
      <c r="F499" s="17" t="s">
        <v>806</v>
      </c>
      <c r="G499" s="22" t="s">
        <v>1312</v>
      </c>
      <c r="H499" s="12" t="s">
        <v>9703</v>
      </c>
      <c r="I499" s="13" t="s">
        <v>9472</v>
      </c>
      <c r="J499" s="14" t="s">
        <v>798</v>
      </c>
      <c r="K499" s="15" t="s">
        <v>798</v>
      </c>
      <c r="L499" s="12" t="s">
        <v>5315</v>
      </c>
      <c r="M499" s="13" t="s">
        <v>5409</v>
      </c>
      <c r="N499" s="12" t="s">
        <v>803</v>
      </c>
      <c r="O499" s="13" t="s">
        <v>4907</v>
      </c>
      <c r="P499" s="17" t="s">
        <v>802</v>
      </c>
      <c r="Q499" s="21" t="s">
        <v>7769</v>
      </c>
      <c r="R499" s="17" t="s">
        <v>801</v>
      </c>
      <c r="S499" s="18" t="s">
        <v>2554</v>
      </c>
      <c r="T499" s="17" t="s">
        <v>800</v>
      </c>
      <c r="U499" s="18" t="s">
        <v>5233</v>
      </c>
      <c r="V499" s="17" t="s">
        <v>9418</v>
      </c>
      <c r="W499" s="18" t="s">
        <v>5309</v>
      </c>
      <c r="X499" s="69" t="s">
        <v>9453</v>
      </c>
      <c r="Y499" s="70" t="s">
        <v>9462</v>
      </c>
      <c r="Z499" s="73" t="s">
        <v>9486</v>
      </c>
      <c r="AA499" s="74" t="s">
        <v>9504</v>
      </c>
      <c r="AB499" s="73" t="s">
        <v>9486</v>
      </c>
      <c r="AC499" s="74" t="s">
        <v>9562</v>
      </c>
      <c r="AD499" s="73" t="s">
        <v>9578</v>
      </c>
      <c r="AE499" s="74" t="s">
        <v>9579</v>
      </c>
    </row>
    <row r="500" spans="1:31" ht="8.65" customHeight="1" x14ac:dyDescent="0.2">
      <c r="A500" s="76">
        <v>500</v>
      </c>
      <c r="B500" s="67" t="str">
        <f>MID(C500, FIND("Ifc.", C500) + 4, 4) &amp; "_" &amp; TEXT(COUNTIF($C$2:C500, C500),"0000")</f>
        <v>Prop_0499</v>
      </c>
      <c r="C500" s="24" t="s">
        <v>872</v>
      </c>
      <c r="D500" s="69" t="s">
        <v>9453</v>
      </c>
      <c r="E500" s="70" t="s">
        <v>9454</v>
      </c>
      <c r="F500" s="17" t="s">
        <v>806</v>
      </c>
      <c r="G500" s="22" t="s">
        <v>1532</v>
      </c>
      <c r="H500" s="12" t="s">
        <v>9703</v>
      </c>
      <c r="I500" s="13" t="s">
        <v>9471</v>
      </c>
      <c r="J500" s="14" t="s">
        <v>798</v>
      </c>
      <c r="K500" s="15" t="s">
        <v>798</v>
      </c>
      <c r="L500" s="12" t="s">
        <v>5315</v>
      </c>
      <c r="M500" s="13" t="s">
        <v>5816</v>
      </c>
      <c r="N500" s="12" t="s">
        <v>803</v>
      </c>
      <c r="O500" s="13" t="s">
        <v>4955</v>
      </c>
      <c r="P500" s="17" t="s">
        <v>802</v>
      </c>
      <c r="Q500" s="21" t="s">
        <v>7694</v>
      </c>
      <c r="R500" s="17" t="s">
        <v>801</v>
      </c>
      <c r="S500" s="18" t="s">
        <v>2669</v>
      </c>
      <c r="T500" s="17" t="s">
        <v>800</v>
      </c>
      <c r="U500" s="18" t="s">
        <v>5237</v>
      </c>
      <c r="V500" s="17" t="s">
        <v>9418</v>
      </c>
      <c r="W500" s="18" t="s">
        <v>5309</v>
      </c>
      <c r="X500" s="69" t="s">
        <v>9453</v>
      </c>
      <c r="Y500" s="70" t="s">
        <v>9462</v>
      </c>
      <c r="Z500" s="73" t="s">
        <v>9486</v>
      </c>
      <c r="AA500" s="74" t="s">
        <v>9504</v>
      </c>
      <c r="AB500" s="73" t="s">
        <v>9486</v>
      </c>
      <c r="AC500" s="74" t="s">
        <v>9562</v>
      </c>
      <c r="AD500" s="73" t="s">
        <v>9578</v>
      </c>
      <c r="AE500" s="74" t="s">
        <v>9579</v>
      </c>
    </row>
    <row r="501" spans="1:31" ht="8.65" customHeight="1" x14ac:dyDescent="0.2">
      <c r="A501" s="76">
        <v>501</v>
      </c>
      <c r="B501" s="67" t="str">
        <f>MID(C501, FIND("Ifc.", C501) + 4, 4) &amp; "_" &amp; TEXT(COUNTIF($C$2:C501, C501),"0000")</f>
        <v>Prop_0500</v>
      </c>
      <c r="C501" s="24" t="s">
        <v>872</v>
      </c>
      <c r="D501" s="69" t="s">
        <v>9453</v>
      </c>
      <c r="E501" s="70" t="s">
        <v>9454</v>
      </c>
      <c r="F501" s="17" t="s">
        <v>806</v>
      </c>
      <c r="G501" s="22" t="s">
        <v>2511</v>
      </c>
      <c r="H501" s="12" t="s">
        <v>9703</v>
      </c>
      <c r="I501" s="13" t="s">
        <v>6960</v>
      </c>
      <c r="J501" s="14" t="s">
        <v>798</v>
      </c>
      <c r="K501" s="15" t="s">
        <v>798</v>
      </c>
      <c r="L501" s="12" t="s">
        <v>5315</v>
      </c>
      <c r="M501" s="13" t="s">
        <v>5578</v>
      </c>
      <c r="N501" s="12" t="s">
        <v>803</v>
      </c>
      <c r="O501" s="13" t="s">
        <v>5224</v>
      </c>
      <c r="P501" s="17" t="s">
        <v>802</v>
      </c>
      <c r="Q501" s="21" t="s">
        <v>7677</v>
      </c>
      <c r="R501" s="17" t="s">
        <v>801</v>
      </c>
      <c r="S501" s="18" t="s">
        <v>2554</v>
      </c>
      <c r="T501" s="17" t="s">
        <v>800</v>
      </c>
      <c r="U501" s="18" t="s">
        <v>5233</v>
      </c>
      <c r="V501" s="17" t="s">
        <v>9418</v>
      </c>
      <c r="W501" s="18" t="s">
        <v>5309</v>
      </c>
      <c r="X501" s="69" t="s">
        <v>9453</v>
      </c>
      <c r="Y501" s="70" t="s">
        <v>9462</v>
      </c>
      <c r="Z501" s="73" t="s">
        <v>9486</v>
      </c>
      <c r="AA501" s="74" t="s">
        <v>9504</v>
      </c>
      <c r="AB501" s="73" t="s">
        <v>9486</v>
      </c>
      <c r="AC501" s="74" t="s">
        <v>9562</v>
      </c>
      <c r="AD501" s="73" t="s">
        <v>9578</v>
      </c>
      <c r="AE501" s="74" t="s">
        <v>9579</v>
      </c>
    </row>
    <row r="502" spans="1:31" ht="8.65" customHeight="1" x14ac:dyDescent="0.2">
      <c r="A502" s="76">
        <v>502</v>
      </c>
      <c r="B502" s="67" t="str">
        <f>MID(C502, FIND("Ifc.", C502) + 4, 4) &amp; "_" &amp; TEXT(COUNTIF($C$2:C502, C502),"0000")</f>
        <v>Prop_0501</v>
      </c>
      <c r="C502" s="24" t="s">
        <v>872</v>
      </c>
      <c r="D502" s="69" t="s">
        <v>9453</v>
      </c>
      <c r="E502" s="70" t="s">
        <v>9454</v>
      </c>
      <c r="F502" s="17" t="s">
        <v>806</v>
      </c>
      <c r="G502" s="22" t="s">
        <v>2378</v>
      </c>
      <c r="H502" s="12" t="s">
        <v>9703</v>
      </c>
      <c r="I502" s="13" t="s">
        <v>9470</v>
      </c>
      <c r="J502" s="14" t="s">
        <v>798</v>
      </c>
      <c r="K502" s="15" t="s">
        <v>798</v>
      </c>
      <c r="L502" s="12" t="s">
        <v>5315</v>
      </c>
      <c r="M502" s="13" t="s">
        <v>5783</v>
      </c>
      <c r="N502" s="12" t="s">
        <v>803</v>
      </c>
      <c r="O502" s="13" t="s">
        <v>5181</v>
      </c>
      <c r="P502" s="17" t="s">
        <v>802</v>
      </c>
      <c r="Q502" s="21" t="s">
        <v>7751</v>
      </c>
      <c r="R502" s="17" t="s">
        <v>801</v>
      </c>
      <c r="S502" s="18" t="s">
        <v>2554</v>
      </c>
      <c r="T502" s="17" t="s">
        <v>800</v>
      </c>
      <c r="U502" s="18" t="s">
        <v>5233</v>
      </c>
      <c r="V502" s="17" t="s">
        <v>9418</v>
      </c>
      <c r="W502" s="18" t="s">
        <v>5310</v>
      </c>
      <c r="X502" s="69" t="s">
        <v>9453</v>
      </c>
      <c r="Y502" s="70" t="s">
        <v>9463</v>
      </c>
      <c r="Z502" s="73" t="s">
        <v>9486</v>
      </c>
      <c r="AA502" s="74" t="s">
        <v>9504</v>
      </c>
      <c r="AB502" s="73" t="s">
        <v>9486</v>
      </c>
      <c r="AC502" s="74" t="s">
        <v>9562</v>
      </c>
      <c r="AD502" s="73" t="s">
        <v>9578</v>
      </c>
      <c r="AE502" s="74" t="s">
        <v>9579</v>
      </c>
    </row>
    <row r="503" spans="1:31" ht="8.65" customHeight="1" x14ac:dyDescent="0.2">
      <c r="A503" s="76">
        <v>503</v>
      </c>
      <c r="B503" s="67" t="str">
        <f>MID(C503, FIND("Ifc.", C503) + 4, 4) &amp; "_" &amp; TEXT(COUNTIF($C$2:C503, C503),"0000")</f>
        <v>Prop_0502</v>
      </c>
      <c r="C503" s="24" t="s">
        <v>872</v>
      </c>
      <c r="D503" s="69" t="s">
        <v>9453</v>
      </c>
      <c r="E503" s="70" t="s">
        <v>9454</v>
      </c>
      <c r="F503" s="17" t="s">
        <v>806</v>
      </c>
      <c r="G503" s="22" t="s">
        <v>1896</v>
      </c>
      <c r="H503" s="12" t="s">
        <v>9703</v>
      </c>
      <c r="I503" s="13" t="s">
        <v>6565</v>
      </c>
      <c r="J503" s="14" t="s">
        <v>798</v>
      </c>
      <c r="K503" s="15" t="s">
        <v>798</v>
      </c>
      <c r="L503" s="12" t="s">
        <v>5315</v>
      </c>
      <c r="M503" s="13" t="s">
        <v>5463</v>
      </c>
      <c r="N503" s="12" t="s">
        <v>803</v>
      </c>
      <c r="O503" s="13" t="s">
        <v>5048</v>
      </c>
      <c r="P503" s="17" t="s">
        <v>802</v>
      </c>
      <c r="Q503" s="21" t="s">
        <v>7713</v>
      </c>
      <c r="R503" s="17" t="s">
        <v>801</v>
      </c>
      <c r="S503" s="18" t="s">
        <v>2554</v>
      </c>
      <c r="T503" s="17" t="s">
        <v>800</v>
      </c>
      <c r="U503" s="18" t="s">
        <v>5233</v>
      </c>
      <c r="V503" s="17" t="s">
        <v>9418</v>
      </c>
      <c r="W503" s="18" t="s">
        <v>5309</v>
      </c>
      <c r="X503" s="69" t="s">
        <v>9453</v>
      </c>
      <c r="Y503" s="70" t="s">
        <v>9462</v>
      </c>
      <c r="Z503" s="73" t="s">
        <v>9486</v>
      </c>
      <c r="AA503" s="74" t="s">
        <v>9504</v>
      </c>
      <c r="AB503" s="73" t="s">
        <v>9486</v>
      </c>
      <c r="AC503" s="74" t="s">
        <v>9562</v>
      </c>
      <c r="AD503" s="73" t="s">
        <v>9578</v>
      </c>
      <c r="AE503" s="74" t="s">
        <v>9579</v>
      </c>
    </row>
    <row r="504" spans="1:31" ht="8.65" customHeight="1" x14ac:dyDescent="0.2">
      <c r="A504" s="76">
        <v>504</v>
      </c>
      <c r="B504" s="67" t="str">
        <f>MID(C504, FIND("Ifc.", C504) + 4, 4) &amp; "_" &amp; TEXT(COUNTIF($C$2:C504, C504),"0000")</f>
        <v>Prop_0503</v>
      </c>
      <c r="C504" s="24" t="s">
        <v>872</v>
      </c>
      <c r="D504" s="69" t="s">
        <v>9453</v>
      </c>
      <c r="E504" s="70" t="s">
        <v>9454</v>
      </c>
      <c r="F504" s="17" t="s">
        <v>806</v>
      </c>
      <c r="G504" s="22" t="s">
        <v>1915</v>
      </c>
      <c r="H504" s="12" t="s">
        <v>9703</v>
      </c>
      <c r="I504" s="13" t="s">
        <v>6573</v>
      </c>
      <c r="J504" s="14" t="s">
        <v>798</v>
      </c>
      <c r="K504" s="15" t="s">
        <v>798</v>
      </c>
      <c r="L504" s="12" t="s">
        <v>5315</v>
      </c>
      <c r="M504" s="13" t="s">
        <v>5468</v>
      </c>
      <c r="N504" s="12" t="s">
        <v>803</v>
      </c>
      <c r="O504" s="13" t="s">
        <v>5056</v>
      </c>
      <c r="P504" s="17" t="s">
        <v>802</v>
      </c>
      <c r="Q504" s="21" t="s">
        <v>7840</v>
      </c>
      <c r="R504" s="17" t="s">
        <v>801</v>
      </c>
      <c r="S504" s="18" t="s">
        <v>2554</v>
      </c>
      <c r="T504" s="17" t="s">
        <v>800</v>
      </c>
      <c r="U504" s="18" t="s">
        <v>5233</v>
      </c>
      <c r="V504" s="17" t="s">
        <v>9418</v>
      </c>
      <c r="W504" s="18" t="s">
        <v>5309</v>
      </c>
      <c r="X504" s="69" t="s">
        <v>9453</v>
      </c>
      <c r="Y504" s="70" t="s">
        <v>9462</v>
      </c>
      <c r="Z504" s="73" t="s">
        <v>9486</v>
      </c>
      <c r="AA504" s="74" t="s">
        <v>9504</v>
      </c>
      <c r="AB504" s="73" t="s">
        <v>9486</v>
      </c>
      <c r="AC504" s="74" t="s">
        <v>9562</v>
      </c>
      <c r="AD504" s="73" t="s">
        <v>9578</v>
      </c>
      <c r="AE504" s="74" t="s">
        <v>9579</v>
      </c>
    </row>
    <row r="505" spans="1:31" ht="8.65" customHeight="1" x14ac:dyDescent="0.2">
      <c r="A505" s="76">
        <v>505</v>
      </c>
      <c r="B505" s="67" t="str">
        <f>MID(C505, FIND("Ifc.", C505) + 4, 4) &amp; "_" &amp; TEXT(COUNTIF($C$2:C505, C505),"0000")</f>
        <v>Prop_0504</v>
      </c>
      <c r="C505" s="24" t="s">
        <v>872</v>
      </c>
      <c r="D505" s="69" t="s">
        <v>9453</v>
      </c>
      <c r="E505" s="70" t="s">
        <v>9454</v>
      </c>
      <c r="F505" s="17" t="s">
        <v>806</v>
      </c>
      <c r="G505" s="22" t="s">
        <v>1915</v>
      </c>
      <c r="H505" s="12" t="s">
        <v>9703</v>
      </c>
      <c r="I505" s="13" t="s">
        <v>6573</v>
      </c>
      <c r="J505" s="14" t="s">
        <v>798</v>
      </c>
      <c r="K505" s="15" t="s">
        <v>798</v>
      </c>
      <c r="L505" s="12" t="s">
        <v>5315</v>
      </c>
      <c r="M505" s="13" t="s">
        <v>5469</v>
      </c>
      <c r="N505" s="12" t="s">
        <v>803</v>
      </c>
      <c r="O505" s="13" t="s">
        <v>5060</v>
      </c>
      <c r="P505" s="17" t="s">
        <v>802</v>
      </c>
      <c r="Q505" s="21" t="s">
        <v>7841</v>
      </c>
      <c r="R505" s="17" t="s">
        <v>801</v>
      </c>
      <c r="S505" s="18" t="s">
        <v>2554</v>
      </c>
      <c r="T505" s="17" t="s">
        <v>800</v>
      </c>
      <c r="U505" s="18" t="s">
        <v>5233</v>
      </c>
      <c r="V505" s="17" t="s">
        <v>9418</v>
      </c>
      <c r="W505" s="18" t="s">
        <v>5309</v>
      </c>
      <c r="X505" s="69" t="s">
        <v>9453</v>
      </c>
      <c r="Y505" s="70" t="s">
        <v>9462</v>
      </c>
      <c r="Z505" s="73" t="s">
        <v>9486</v>
      </c>
      <c r="AA505" s="74" t="s">
        <v>9504</v>
      </c>
      <c r="AB505" s="73" t="s">
        <v>9486</v>
      </c>
      <c r="AC505" s="74" t="s">
        <v>9562</v>
      </c>
      <c r="AD505" s="73" t="s">
        <v>9578</v>
      </c>
      <c r="AE505" s="74" t="s">
        <v>9579</v>
      </c>
    </row>
    <row r="506" spans="1:31" ht="8.65" customHeight="1" x14ac:dyDescent="0.2">
      <c r="A506" s="76">
        <v>506</v>
      </c>
      <c r="B506" s="67" t="str">
        <f>MID(C506, FIND("Ifc.", C506) + 4, 4) &amp; "_" &amp; TEXT(COUNTIF($C$2:C506, C506),"0000")</f>
        <v>Prop_0505</v>
      </c>
      <c r="C506" s="24" t="s">
        <v>872</v>
      </c>
      <c r="D506" s="69" t="s">
        <v>9453</v>
      </c>
      <c r="E506" s="70" t="s">
        <v>9454</v>
      </c>
      <c r="F506" s="17" t="s">
        <v>806</v>
      </c>
      <c r="G506" s="22" t="s">
        <v>1915</v>
      </c>
      <c r="H506" s="12" t="s">
        <v>9703</v>
      </c>
      <c r="I506" s="13" t="s">
        <v>6573</v>
      </c>
      <c r="J506" s="14" t="s">
        <v>798</v>
      </c>
      <c r="K506" s="15" t="s">
        <v>798</v>
      </c>
      <c r="L506" s="12" t="s">
        <v>5315</v>
      </c>
      <c r="M506" s="13" t="s">
        <v>5969</v>
      </c>
      <c r="N506" s="12" t="s">
        <v>803</v>
      </c>
      <c r="O506" s="13" t="s">
        <v>5068</v>
      </c>
      <c r="P506" s="17" t="s">
        <v>802</v>
      </c>
      <c r="Q506" s="21" t="s">
        <v>7842</v>
      </c>
      <c r="R506" s="17" t="s">
        <v>801</v>
      </c>
      <c r="S506" s="18" t="s">
        <v>2554</v>
      </c>
      <c r="T506" s="17" t="s">
        <v>800</v>
      </c>
      <c r="U506" s="18" t="s">
        <v>5233</v>
      </c>
      <c r="V506" s="17" t="s">
        <v>9418</v>
      </c>
      <c r="W506" s="18" t="s">
        <v>5309</v>
      </c>
      <c r="X506" s="69" t="s">
        <v>9453</v>
      </c>
      <c r="Y506" s="70" t="s">
        <v>9462</v>
      </c>
      <c r="Z506" s="73" t="s">
        <v>9486</v>
      </c>
      <c r="AA506" s="74" t="s">
        <v>9504</v>
      </c>
      <c r="AB506" s="73" t="s">
        <v>9486</v>
      </c>
      <c r="AC506" s="74" t="s">
        <v>9562</v>
      </c>
      <c r="AD506" s="73" t="s">
        <v>9578</v>
      </c>
      <c r="AE506" s="74" t="s">
        <v>9579</v>
      </c>
    </row>
    <row r="507" spans="1:31" ht="8.65" customHeight="1" x14ac:dyDescent="0.2">
      <c r="A507" s="76">
        <v>507</v>
      </c>
      <c r="B507" s="67" t="str">
        <f>MID(C507, FIND("Ifc.", C507) + 4, 4) &amp; "_" &amp; TEXT(COUNTIF($C$2:C507, C507),"0000")</f>
        <v>Prop_0506</v>
      </c>
      <c r="C507" s="24" t="s">
        <v>872</v>
      </c>
      <c r="D507" s="69" t="s">
        <v>9453</v>
      </c>
      <c r="E507" s="70" t="s">
        <v>9454</v>
      </c>
      <c r="F507" s="17" t="s">
        <v>806</v>
      </c>
      <c r="G507" s="22" t="s">
        <v>1915</v>
      </c>
      <c r="H507" s="12" t="s">
        <v>9703</v>
      </c>
      <c r="I507" s="13" t="s">
        <v>6573</v>
      </c>
      <c r="J507" s="14" t="s">
        <v>798</v>
      </c>
      <c r="K507" s="15" t="s">
        <v>798</v>
      </c>
      <c r="L507" s="12" t="s">
        <v>5315</v>
      </c>
      <c r="M507" s="13" t="s">
        <v>5968</v>
      </c>
      <c r="N507" s="12" t="s">
        <v>803</v>
      </c>
      <c r="O507" s="13" t="s">
        <v>5069</v>
      </c>
      <c r="P507" s="17" t="s">
        <v>802</v>
      </c>
      <c r="Q507" s="21" t="s">
        <v>7843</v>
      </c>
      <c r="R507" s="17" t="s">
        <v>801</v>
      </c>
      <c r="S507" s="18" t="s">
        <v>2554</v>
      </c>
      <c r="T507" s="17" t="s">
        <v>800</v>
      </c>
      <c r="U507" s="18" t="s">
        <v>5233</v>
      </c>
      <c r="V507" s="17" t="s">
        <v>9418</v>
      </c>
      <c r="W507" s="18" t="s">
        <v>5309</v>
      </c>
      <c r="X507" s="69" t="s">
        <v>9453</v>
      </c>
      <c r="Y507" s="70" t="s">
        <v>9462</v>
      </c>
      <c r="Z507" s="73" t="s">
        <v>9486</v>
      </c>
      <c r="AA507" s="74" t="s">
        <v>9504</v>
      </c>
      <c r="AB507" s="73" t="s">
        <v>9486</v>
      </c>
      <c r="AC507" s="74" t="s">
        <v>9562</v>
      </c>
      <c r="AD507" s="73" t="s">
        <v>9578</v>
      </c>
      <c r="AE507" s="74" t="s">
        <v>9579</v>
      </c>
    </row>
    <row r="508" spans="1:31" ht="8.65" customHeight="1" x14ac:dyDescent="0.2">
      <c r="A508" s="76">
        <v>508</v>
      </c>
      <c r="B508" s="67" t="str">
        <f>MID(C508, FIND("Ifc.", C508) + 4, 4) &amp; "_" &amp; TEXT(COUNTIF($C$2:C508, C508),"0000")</f>
        <v>Prop_0507</v>
      </c>
      <c r="C508" s="24" t="s">
        <v>872</v>
      </c>
      <c r="D508" s="69" t="s">
        <v>9453</v>
      </c>
      <c r="E508" s="70" t="s">
        <v>9454</v>
      </c>
      <c r="F508" s="17" t="s">
        <v>806</v>
      </c>
      <c r="G508" s="22" t="s">
        <v>1915</v>
      </c>
      <c r="H508" s="12" t="s">
        <v>9703</v>
      </c>
      <c r="I508" s="13" t="s">
        <v>6573</v>
      </c>
      <c r="J508" s="14" t="s">
        <v>798</v>
      </c>
      <c r="K508" s="15" t="s">
        <v>798</v>
      </c>
      <c r="L508" s="12" t="s">
        <v>5315</v>
      </c>
      <c r="M508" s="13" t="s">
        <v>5484</v>
      </c>
      <c r="N508" s="12" t="s">
        <v>803</v>
      </c>
      <c r="O508" s="13" t="s">
        <v>5087</v>
      </c>
      <c r="P508" s="17" t="s">
        <v>802</v>
      </c>
      <c r="Q508" s="21" t="s">
        <v>7892</v>
      </c>
      <c r="R508" s="17" t="s">
        <v>801</v>
      </c>
      <c r="S508" s="18" t="s">
        <v>2554</v>
      </c>
      <c r="T508" s="17" t="s">
        <v>800</v>
      </c>
      <c r="U508" s="18" t="s">
        <v>5233</v>
      </c>
      <c r="V508" s="17" t="s">
        <v>9418</v>
      </c>
      <c r="W508" s="18" t="s">
        <v>5309</v>
      </c>
      <c r="X508" s="69" t="s">
        <v>9453</v>
      </c>
      <c r="Y508" s="70" t="s">
        <v>9462</v>
      </c>
      <c r="Z508" s="73" t="s">
        <v>9486</v>
      </c>
      <c r="AA508" s="74" t="s">
        <v>9504</v>
      </c>
      <c r="AB508" s="73" t="s">
        <v>9486</v>
      </c>
      <c r="AC508" s="74" t="s">
        <v>9562</v>
      </c>
      <c r="AD508" s="73" t="s">
        <v>9578</v>
      </c>
      <c r="AE508" s="74" t="s">
        <v>9579</v>
      </c>
    </row>
    <row r="509" spans="1:31" ht="8.65" customHeight="1" x14ac:dyDescent="0.2">
      <c r="A509" s="76">
        <v>509</v>
      </c>
      <c r="B509" s="67" t="str">
        <f>MID(C509, FIND("Ifc.", C509) + 4, 4) &amp; "_" &amp; TEXT(COUNTIF($C$2:C509, C509),"0000")</f>
        <v>Prop_0508</v>
      </c>
      <c r="C509" s="24" t="s">
        <v>872</v>
      </c>
      <c r="D509" s="69" t="s">
        <v>9453</v>
      </c>
      <c r="E509" s="70" t="s">
        <v>9454</v>
      </c>
      <c r="F509" s="17" t="s">
        <v>806</v>
      </c>
      <c r="G509" s="22" t="s">
        <v>1915</v>
      </c>
      <c r="H509" s="12" t="s">
        <v>9703</v>
      </c>
      <c r="I509" s="13" t="s">
        <v>6573</v>
      </c>
      <c r="J509" s="14" t="s">
        <v>798</v>
      </c>
      <c r="K509" s="15" t="s">
        <v>798</v>
      </c>
      <c r="L509" s="12" t="s">
        <v>5315</v>
      </c>
      <c r="M509" s="13" t="s">
        <v>5797</v>
      </c>
      <c r="N509" s="12" t="s">
        <v>803</v>
      </c>
      <c r="O509" s="13" t="s">
        <v>5191</v>
      </c>
      <c r="P509" s="17" t="s">
        <v>802</v>
      </c>
      <c r="Q509" s="21" t="s">
        <v>7865</v>
      </c>
      <c r="R509" s="17" t="s">
        <v>801</v>
      </c>
      <c r="S509" s="18" t="s">
        <v>2554</v>
      </c>
      <c r="T509" s="17" t="s">
        <v>800</v>
      </c>
      <c r="U509" s="18" t="s">
        <v>5233</v>
      </c>
      <c r="V509" s="17" t="s">
        <v>9418</v>
      </c>
      <c r="W509" s="18" t="s">
        <v>5309</v>
      </c>
      <c r="X509" s="69" t="s">
        <v>9453</v>
      </c>
      <c r="Y509" s="70" t="s">
        <v>9462</v>
      </c>
      <c r="Z509" s="73" t="s">
        <v>9486</v>
      </c>
      <c r="AA509" s="74" t="s">
        <v>9504</v>
      </c>
      <c r="AB509" s="73" t="s">
        <v>9486</v>
      </c>
      <c r="AC509" s="74" t="s">
        <v>9562</v>
      </c>
      <c r="AD509" s="73" t="s">
        <v>9578</v>
      </c>
      <c r="AE509" s="74" t="s">
        <v>9579</v>
      </c>
    </row>
    <row r="510" spans="1:31" ht="8.65" customHeight="1" x14ac:dyDescent="0.2">
      <c r="A510" s="76">
        <v>510</v>
      </c>
      <c r="B510" s="67" t="str">
        <f>MID(C510, FIND("Ifc.", C510) + 4, 4) &amp; "_" &amp; TEXT(COUNTIF($C$2:C510, C510),"0000")</f>
        <v>Prop_0509</v>
      </c>
      <c r="C510" s="24" t="s">
        <v>872</v>
      </c>
      <c r="D510" s="69" t="s">
        <v>9453</v>
      </c>
      <c r="E510" s="70" t="s">
        <v>9454</v>
      </c>
      <c r="F510" s="17" t="s">
        <v>806</v>
      </c>
      <c r="G510" s="22" t="s">
        <v>2320</v>
      </c>
      <c r="H510" s="12" t="s">
        <v>9703</v>
      </c>
      <c r="I510" s="13" t="s">
        <v>7614</v>
      </c>
      <c r="J510" s="14" t="s">
        <v>798</v>
      </c>
      <c r="K510" s="15" t="s">
        <v>798</v>
      </c>
      <c r="L510" s="12" t="s">
        <v>5315</v>
      </c>
      <c r="M510" s="13" t="s">
        <v>5557</v>
      </c>
      <c r="N510" s="12" t="s">
        <v>803</v>
      </c>
      <c r="O510" s="13" t="s">
        <v>5170</v>
      </c>
      <c r="P510" s="17" t="s">
        <v>802</v>
      </c>
      <c r="Q510" s="21" t="s">
        <v>7768</v>
      </c>
      <c r="R510" s="17" t="s">
        <v>801</v>
      </c>
      <c r="S510" s="18" t="s">
        <v>2554</v>
      </c>
      <c r="T510" s="17" t="s">
        <v>800</v>
      </c>
      <c r="U510" s="18" t="s">
        <v>5233</v>
      </c>
      <c r="V510" s="17" t="s">
        <v>9418</v>
      </c>
      <c r="W510" s="18" t="s">
        <v>5309</v>
      </c>
      <c r="X510" s="69" t="s">
        <v>9453</v>
      </c>
      <c r="Y510" s="70" t="s">
        <v>9462</v>
      </c>
      <c r="Z510" s="73" t="s">
        <v>9486</v>
      </c>
      <c r="AA510" s="74" t="s">
        <v>9504</v>
      </c>
      <c r="AB510" s="73" t="s">
        <v>9486</v>
      </c>
      <c r="AC510" s="74" t="s">
        <v>9562</v>
      </c>
      <c r="AD510" s="73" t="s">
        <v>9578</v>
      </c>
      <c r="AE510" s="74" t="s">
        <v>9579</v>
      </c>
    </row>
    <row r="511" spans="1:31" ht="8.65" customHeight="1" x14ac:dyDescent="0.2">
      <c r="A511" s="76">
        <v>511</v>
      </c>
      <c r="B511" s="67" t="str">
        <f>MID(C511, FIND("Ifc.", C511) + 4, 4) &amp; "_" &amp; TEXT(COUNTIF($C$2:C511, C511),"0000")</f>
        <v>Prop_0510</v>
      </c>
      <c r="C511" s="24" t="s">
        <v>872</v>
      </c>
      <c r="D511" s="69" t="s">
        <v>9453</v>
      </c>
      <c r="E511" s="70" t="s">
        <v>9454</v>
      </c>
      <c r="F511" s="17" t="s">
        <v>806</v>
      </c>
      <c r="G511" s="22" t="s">
        <v>2321</v>
      </c>
      <c r="H511" s="12" t="s">
        <v>9703</v>
      </c>
      <c r="I511" s="13" t="s">
        <v>7612</v>
      </c>
      <c r="J511" s="14" t="s">
        <v>798</v>
      </c>
      <c r="K511" s="15" t="s">
        <v>798</v>
      </c>
      <c r="L511" s="12" t="s">
        <v>5315</v>
      </c>
      <c r="M511" s="13" t="s">
        <v>5557</v>
      </c>
      <c r="N511" s="12" t="s">
        <v>803</v>
      </c>
      <c r="O511" s="13" t="s">
        <v>5170</v>
      </c>
      <c r="P511" s="17" t="s">
        <v>802</v>
      </c>
      <c r="Q511" s="21" t="s">
        <v>7768</v>
      </c>
      <c r="R511" s="17" t="s">
        <v>801</v>
      </c>
      <c r="S511" s="18" t="s">
        <v>2554</v>
      </c>
      <c r="T511" s="17" t="s">
        <v>800</v>
      </c>
      <c r="U511" s="18" t="s">
        <v>5233</v>
      </c>
      <c r="V511" s="17" t="s">
        <v>9418</v>
      </c>
      <c r="W511" s="18" t="s">
        <v>5309</v>
      </c>
      <c r="X511" s="69" t="s">
        <v>9453</v>
      </c>
      <c r="Y511" s="70" t="s">
        <v>9462</v>
      </c>
      <c r="Z511" s="73" t="s">
        <v>9486</v>
      </c>
      <c r="AA511" s="74" t="s">
        <v>9504</v>
      </c>
      <c r="AB511" s="73" t="s">
        <v>9486</v>
      </c>
      <c r="AC511" s="74" t="s">
        <v>9562</v>
      </c>
      <c r="AD511" s="73" t="s">
        <v>9578</v>
      </c>
      <c r="AE511" s="74" t="s">
        <v>9579</v>
      </c>
    </row>
    <row r="512" spans="1:31" ht="8.65" customHeight="1" x14ac:dyDescent="0.2">
      <c r="A512" s="76">
        <v>512</v>
      </c>
      <c r="B512" s="67" t="str">
        <f>MID(C512, FIND("Ifc.", C512) + 4, 4) &amp; "_" &amp; TEXT(COUNTIF($C$2:C512, C512),"0000")</f>
        <v>Prop_0511</v>
      </c>
      <c r="C512" s="24" t="s">
        <v>872</v>
      </c>
      <c r="D512" s="69" t="s">
        <v>9453</v>
      </c>
      <c r="E512" s="70" t="s">
        <v>9454</v>
      </c>
      <c r="F512" s="17" t="s">
        <v>806</v>
      </c>
      <c r="G512" s="22" t="s">
        <v>1292</v>
      </c>
      <c r="H512" s="12" t="s">
        <v>9703</v>
      </c>
      <c r="I512" s="13" t="s">
        <v>7214</v>
      </c>
      <c r="J512" s="14" t="s">
        <v>798</v>
      </c>
      <c r="K512" s="15" t="s">
        <v>798</v>
      </c>
      <c r="L512" s="12" t="s">
        <v>5315</v>
      </c>
      <c r="M512" s="13" t="s">
        <v>6015</v>
      </c>
      <c r="N512" s="12" t="s">
        <v>803</v>
      </c>
      <c r="O512" s="13" t="s">
        <v>4903</v>
      </c>
      <c r="P512" s="17" t="s">
        <v>802</v>
      </c>
      <c r="Q512" s="21" t="s">
        <v>7893</v>
      </c>
      <c r="R512" s="17" t="s">
        <v>801</v>
      </c>
      <c r="S512" s="18" t="s">
        <v>2554</v>
      </c>
      <c r="T512" s="17" t="s">
        <v>800</v>
      </c>
      <c r="U512" s="18" t="s">
        <v>5233</v>
      </c>
      <c r="V512" s="17" t="s">
        <v>9418</v>
      </c>
      <c r="W512" s="18" t="s">
        <v>5310</v>
      </c>
      <c r="X512" s="69" t="s">
        <v>9453</v>
      </c>
      <c r="Y512" s="70" t="s">
        <v>9463</v>
      </c>
      <c r="Z512" s="73" t="s">
        <v>9486</v>
      </c>
      <c r="AA512" s="74" t="s">
        <v>9504</v>
      </c>
      <c r="AB512" s="73" t="s">
        <v>9486</v>
      </c>
      <c r="AC512" s="74" t="s">
        <v>9562</v>
      </c>
      <c r="AD512" s="73" t="s">
        <v>9578</v>
      </c>
      <c r="AE512" s="74" t="s">
        <v>9579</v>
      </c>
    </row>
    <row r="513" spans="1:31" ht="8.65" customHeight="1" x14ac:dyDescent="0.2">
      <c r="A513" s="76">
        <v>513</v>
      </c>
      <c r="B513" s="67" t="str">
        <f>MID(C513, FIND("Ifc.", C513) + 4, 4) &amp; "_" &amp; TEXT(COUNTIF($C$2:C513, C513),"0000")</f>
        <v>Prop_0512</v>
      </c>
      <c r="C513" s="24" t="s">
        <v>872</v>
      </c>
      <c r="D513" s="69" t="s">
        <v>9453</v>
      </c>
      <c r="E513" s="70" t="s">
        <v>9454</v>
      </c>
      <c r="F513" s="17" t="s">
        <v>806</v>
      </c>
      <c r="G513" s="22" t="s">
        <v>1911</v>
      </c>
      <c r="H513" s="12" t="s">
        <v>9703</v>
      </c>
      <c r="I513" s="13" t="s">
        <v>6571</v>
      </c>
      <c r="J513" s="14" t="s">
        <v>798</v>
      </c>
      <c r="K513" s="15" t="s">
        <v>798</v>
      </c>
      <c r="L513" s="12" t="s">
        <v>5315</v>
      </c>
      <c r="M513" s="13" t="s">
        <v>5467</v>
      </c>
      <c r="N513" s="12" t="s">
        <v>803</v>
      </c>
      <c r="O513" s="13" t="s">
        <v>5055</v>
      </c>
      <c r="P513" s="17" t="s">
        <v>802</v>
      </c>
      <c r="Q513" s="21" t="s">
        <v>7894</v>
      </c>
      <c r="R513" s="17" t="s">
        <v>801</v>
      </c>
      <c r="S513" s="18" t="s">
        <v>2590</v>
      </c>
      <c r="T513" s="17" t="s">
        <v>800</v>
      </c>
      <c r="U513" s="18" t="s">
        <v>5274</v>
      </c>
      <c r="V513" s="17" t="s">
        <v>9418</v>
      </c>
      <c r="W513" s="18" t="s">
        <v>5309</v>
      </c>
      <c r="X513" s="69" t="s">
        <v>9453</v>
      </c>
      <c r="Y513" s="70" t="s">
        <v>9462</v>
      </c>
      <c r="Z513" s="73" t="s">
        <v>9486</v>
      </c>
      <c r="AA513" s="74" t="s">
        <v>9504</v>
      </c>
      <c r="AB513" s="73" t="s">
        <v>9486</v>
      </c>
      <c r="AC513" s="74" t="s">
        <v>9566</v>
      </c>
      <c r="AD513" s="73" t="s">
        <v>9578</v>
      </c>
      <c r="AE513" s="74" t="s">
        <v>9579</v>
      </c>
    </row>
    <row r="514" spans="1:31" ht="8.65" customHeight="1" x14ac:dyDescent="0.2">
      <c r="A514" s="76">
        <v>514</v>
      </c>
      <c r="B514" s="67" t="str">
        <f>MID(C514, FIND("Ifc.", C514) + 4, 4) &amp; "_" &amp; TEXT(COUNTIF($C$2:C514, C514),"0000")</f>
        <v>Prop_0513</v>
      </c>
      <c r="C514" s="24" t="s">
        <v>872</v>
      </c>
      <c r="D514" s="69" t="s">
        <v>9453</v>
      </c>
      <c r="E514" s="70" t="s">
        <v>9454</v>
      </c>
      <c r="F514" s="17" t="s">
        <v>806</v>
      </c>
      <c r="G514" s="22" t="s">
        <v>1478</v>
      </c>
      <c r="H514" s="12" t="s">
        <v>9703</v>
      </c>
      <c r="I514" s="13" t="s">
        <v>7389</v>
      </c>
      <c r="J514" s="14" t="s">
        <v>798</v>
      </c>
      <c r="K514" s="15" t="s">
        <v>798</v>
      </c>
      <c r="L514" s="12" t="s">
        <v>5315</v>
      </c>
      <c r="M514" s="13" t="s">
        <v>5811</v>
      </c>
      <c r="N514" s="12" t="s">
        <v>803</v>
      </c>
      <c r="O514" s="13" t="s">
        <v>4945</v>
      </c>
      <c r="P514" s="17" t="s">
        <v>802</v>
      </c>
      <c r="Q514" s="21" t="s">
        <v>7698</v>
      </c>
      <c r="R514" s="17" t="s">
        <v>801</v>
      </c>
      <c r="S514" s="18" t="s">
        <v>2590</v>
      </c>
      <c r="T514" s="17" t="s">
        <v>800</v>
      </c>
      <c r="U514" s="18" t="s">
        <v>5274</v>
      </c>
      <c r="V514" s="17" t="s">
        <v>9418</v>
      </c>
      <c r="W514" s="18" t="s">
        <v>5309</v>
      </c>
      <c r="X514" s="69" t="s">
        <v>9453</v>
      </c>
      <c r="Y514" s="70" t="s">
        <v>9462</v>
      </c>
      <c r="Z514" s="73" t="s">
        <v>9486</v>
      </c>
      <c r="AA514" s="74" t="s">
        <v>9504</v>
      </c>
      <c r="AB514" s="73" t="s">
        <v>9486</v>
      </c>
      <c r="AC514" s="74" t="s">
        <v>9566</v>
      </c>
      <c r="AD514" s="73" t="s">
        <v>9578</v>
      </c>
      <c r="AE514" s="74" t="s">
        <v>9579</v>
      </c>
    </row>
    <row r="515" spans="1:31" ht="8.65" customHeight="1" x14ac:dyDescent="0.2">
      <c r="A515" s="76">
        <v>515</v>
      </c>
      <c r="B515" s="67" t="str">
        <f>MID(C515, FIND("Ifc.", C515) + 4, 4) &amp; "_" &amp; TEXT(COUNTIF($C$2:C515, C515),"0000")</f>
        <v>Prop_0514</v>
      </c>
      <c r="C515" s="24" t="s">
        <v>872</v>
      </c>
      <c r="D515" s="69" t="s">
        <v>9453</v>
      </c>
      <c r="E515" s="70" t="s">
        <v>9454</v>
      </c>
      <c r="F515" s="17" t="s">
        <v>806</v>
      </c>
      <c r="G515" s="22" t="s">
        <v>1478</v>
      </c>
      <c r="H515" s="12" t="s">
        <v>9703</v>
      </c>
      <c r="I515" s="13" t="s">
        <v>7389</v>
      </c>
      <c r="J515" s="14" t="s">
        <v>798</v>
      </c>
      <c r="K515" s="15" t="s">
        <v>798</v>
      </c>
      <c r="L515" s="12" t="s">
        <v>5315</v>
      </c>
      <c r="M515" s="13" t="s">
        <v>5812</v>
      </c>
      <c r="N515" s="12" t="s">
        <v>803</v>
      </c>
      <c r="O515" s="13" t="s">
        <v>4946</v>
      </c>
      <c r="P515" s="17" t="s">
        <v>802</v>
      </c>
      <c r="Q515" s="21" t="s">
        <v>7895</v>
      </c>
      <c r="R515" s="17" t="s">
        <v>801</v>
      </c>
      <c r="S515" s="18" t="s">
        <v>2590</v>
      </c>
      <c r="T515" s="17" t="s">
        <v>800</v>
      </c>
      <c r="U515" s="18" t="s">
        <v>5274</v>
      </c>
      <c r="V515" s="17" t="s">
        <v>9418</v>
      </c>
      <c r="W515" s="18" t="s">
        <v>5309</v>
      </c>
      <c r="X515" s="69" t="s">
        <v>9453</v>
      </c>
      <c r="Y515" s="70" t="s">
        <v>9462</v>
      </c>
      <c r="Z515" s="73" t="s">
        <v>9486</v>
      </c>
      <c r="AA515" s="74" t="s">
        <v>9504</v>
      </c>
      <c r="AB515" s="73" t="s">
        <v>9486</v>
      </c>
      <c r="AC515" s="74" t="s">
        <v>9566</v>
      </c>
      <c r="AD515" s="73" t="s">
        <v>9578</v>
      </c>
      <c r="AE515" s="74" t="s">
        <v>9579</v>
      </c>
    </row>
    <row r="516" spans="1:31" ht="8.65" customHeight="1" x14ac:dyDescent="0.2">
      <c r="A516" s="76">
        <v>516</v>
      </c>
      <c r="B516" s="67" t="str">
        <f>MID(C516, FIND("Ifc.", C516) + 4, 4) &amp; "_" &amp; TEXT(COUNTIF($C$2:C516, C516),"0000")</f>
        <v>Prop_0515</v>
      </c>
      <c r="C516" s="24" t="s">
        <v>872</v>
      </c>
      <c r="D516" s="69" t="s">
        <v>9453</v>
      </c>
      <c r="E516" s="70" t="s">
        <v>9454</v>
      </c>
      <c r="F516" s="17" t="s">
        <v>806</v>
      </c>
      <c r="G516" s="22" t="s">
        <v>1476</v>
      </c>
      <c r="H516" s="12" t="s">
        <v>9703</v>
      </c>
      <c r="I516" s="13" t="s">
        <v>7388</v>
      </c>
      <c r="J516" s="14" t="s">
        <v>798</v>
      </c>
      <c r="K516" s="15" t="s">
        <v>798</v>
      </c>
      <c r="L516" s="12" t="s">
        <v>5315</v>
      </c>
      <c r="M516" s="13" t="s">
        <v>5813</v>
      </c>
      <c r="N516" s="12" t="s">
        <v>803</v>
      </c>
      <c r="O516" s="13" t="s">
        <v>4947</v>
      </c>
      <c r="P516" s="17" t="s">
        <v>802</v>
      </c>
      <c r="Q516" s="21" t="s">
        <v>7794</v>
      </c>
      <c r="R516" s="17" t="s">
        <v>801</v>
      </c>
      <c r="S516" s="18" t="s">
        <v>2590</v>
      </c>
      <c r="T516" s="17" t="s">
        <v>800</v>
      </c>
      <c r="U516" s="18" t="s">
        <v>5274</v>
      </c>
      <c r="V516" s="17" t="s">
        <v>9418</v>
      </c>
      <c r="W516" s="18" t="s">
        <v>5309</v>
      </c>
      <c r="X516" s="69" t="s">
        <v>9453</v>
      </c>
      <c r="Y516" s="70" t="s">
        <v>9462</v>
      </c>
      <c r="Z516" s="73" t="s">
        <v>9486</v>
      </c>
      <c r="AA516" s="74" t="s">
        <v>9504</v>
      </c>
      <c r="AB516" s="73" t="s">
        <v>9486</v>
      </c>
      <c r="AC516" s="74" t="s">
        <v>9566</v>
      </c>
      <c r="AD516" s="73" t="s">
        <v>9578</v>
      </c>
      <c r="AE516" s="74" t="s">
        <v>9579</v>
      </c>
    </row>
    <row r="517" spans="1:31" ht="8.65" customHeight="1" x14ac:dyDescent="0.2">
      <c r="A517" s="76">
        <v>517</v>
      </c>
      <c r="B517" s="67" t="str">
        <f>MID(C517, FIND("Ifc.", C517) + 4, 4) &amp; "_" &amp; TEXT(COUNTIF($C$2:C517, C517),"0000")</f>
        <v>Prop_0516</v>
      </c>
      <c r="C517" s="24" t="s">
        <v>872</v>
      </c>
      <c r="D517" s="69" t="s">
        <v>9453</v>
      </c>
      <c r="E517" s="70" t="s">
        <v>9454</v>
      </c>
      <c r="F517" s="17" t="s">
        <v>806</v>
      </c>
      <c r="G517" s="22" t="s">
        <v>1476</v>
      </c>
      <c r="H517" s="12" t="s">
        <v>9703</v>
      </c>
      <c r="I517" s="13" t="s">
        <v>7388</v>
      </c>
      <c r="J517" s="14" t="s">
        <v>798</v>
      </c>
      <c r="K517" s="15" t="s">
        <v>798</v>
      </c>
      <c r="L517" s="12" t="s">
        <v>5315</v>
      </c>
      <c r="M517" s="13" t="s">
        <v>5811</v>
      </c>
      <c r="N517" s="12" t="s">
        <v>803</v>
      </c>
      <c r="O517" s="13" t="s">
        <v>4945</v>
      </c>
      <c r="P517" s="17" t="s">
        <v>802</v>
      </c>
      <c r="Q517" s="21" t="s">
        <v>7698</v>
      </c>
      <c r="R517" s="17" t="s">
        <v>801</v>
      </c>
      <c r="S517" s="18" t="s">
        <v>2590</v>
      </c>
      <c r="T517" s="17" t="s">
        <v>800</v>
      </c>
      <c r="U517" s="18" t="s">
        <v>5274</v>
      </c>
      <c r="V517" s="17" t="s">
        <v>9418</v>
      </c>
      <c r="W517" s="18" t="s">
        <v>5309</v>
      </c>
      <c r="X517" s="69" t="s">
        <v>9453</v>
      </c>
      <c r="Y517" s="70" t="s">
        <v>9462</v>
      </c>
      <c r="Z517" s="73" t="s">
        <v>9486</v>
      </c>
      <c r="AA517" s="74" t="s">
        <v>9504</v>
      </c>
      <c r="AB517" s="73" t="s">
        <v>9486</v>
      </c>
      <c r="AC517" s="74" t="s">
        <v>9566</v>
      </c>
      <c r="AD517" s="73" t="s">
        <v>9578</v>
      </c>
      <c r="AE517" s="74" t="s">
        <v>9579</v>
      </c>
    </row>
    <row r="518" spans="1:31" ht="8.65" customHeight="1" x14ac:dyDescent="0.2">
      <c r="A518" s="76">
        <v>518</v>
      </c>
      <c r="B518" s="67" t="str">
        <f>MID(C518, FIND("Ifc.", C518) + 4, 4) &amp; "_" &amp; TEXT(COUNTIF($C$2:C518, C518),"0000")</f>
        <v>Prop_0517</v>
      </c>
      <c r="C518" s="24" t="s">
        <v>872</v>
      </c>
      <c r="D518" s="69" t="s">
        <v>9453</v>
      </c>
      <c r="E518" s="70" t="s">
        <v>9454</v>
      </c>
      <c r="F518" s="17" t="s">
        <v>806</v>
      </c>
      <c r="G518" s="22" t="s">
        <v>1476</v>
      </c>
      <c r="H518" s="12" t="s">
        <v>9703</v>
      </c>
      <c r="I518" s="13" t="s">
        <v>7388</v>
      </c>
      <c r="J518" s="14" t="s">
        <v>798</v>
      </c>
      <c r="K518" s="15" t="s">
        <v>798</v>
      </c>
      <c r="L518" s="12" t="s">
        <v>5315</v>
      </c>
      <c r="M518" s="13" t="s">
        <v>5812</v>
      </c>
      <c r="N518" s="12" t="s">
        <v>803</v>
      </c>
      <c r="O518" s="13" t="s">
        <v>4946</v>
      </c>
      <c r="P518" s="17" t="s">
        <v>802</v>
      </c>
      <c r="Q518" s="21" t="s">
        <v>7895</v>
      </c>
      <c r="R518" s="17" t="s">
        <v>801</v>
      </c>
      <c r="S518" s="18" t="s">
        <v>2590</v>
      </c>
      <c r="T518" s="17" t="s">
        <v>800</v>
      </c>
      <c r="U518" s="18" t="s">
        <v>5274</v>
      </c>
      <c r="V518" s="17" t="s">
        <v>9418</v>
      </c>
      <c r="W518" s="18" t="s">
        <v>5309</v>
      </c>
      <c r="X518" s="69" t="s">
        <v>9453</v>
      </c>
      <c r="Y518" s="70" t="s">
        <v>9462</v>
      </c>
      <c r="Z518" s="73" t="s">
        <v>9486</v>
      </c>
      <c r="AA518" s="74" t="s">
        <v>9504</v>
      </c>
      <c r="AB518" s="73" t="s">
        <v>9486</v>
      </c>
      <c r="AC518" s="74" t="s">
        <v>9566</v>
      </c>
      <c r="AD518" s="73" t="s">
        <v>9578</v>
      </c>
      <c r="AE518" s="74" t="s">
        <v>9579</v>
      </c>
    </row>
    <row r="519" spans="1:31" ht="8.65" customHeight="1" x14ac:dyDescent="0.2">
      <c r="A519" s="76">
        <v>519</v>
      </c>
      <c r="B519" s="67" t="str">
        <f>MID(C519, FIND("Ifc.", C519) + 4, 4) &amp; "_" &amp; TEXT(COUNTIF($C$2:C519, C519),"0000")</f>
        <v>Prop_0518</v>
      </c>
      <c r="C519" s="24" t="s">
        <v>872</v>
      </c>
      <c r="D519" s="69" t="s">
        <v>9453</v>
      </c>
      <c r="E519" s="70" t="s">
        <v>9454</v>
      </c>
      <c r="F519" s="17" t="s">
        <v>806</v>
      </c>
      <c r="G519" s="22" t="s">
        <v>1496</v>
      </c>
      <c r="H519" s="12" t="s">
        <v>9703</v>
      </c>
      <c r="I519" s="13" t="s">
        <v>6263</v>
      </c>
      <c r="J519" s="14" t="s">
        <v>798</v>
      </c>
      <c r="K519" s="15" t="s">
        <v>798</v>
      </c>
      <c r="L519" s="12" t="s">
        <v>5315</v>
      </c>
      <c r="M519" s="13" t="s">
        <v>5814</v>
      </c>
      <c r="N519" s="12" t="s">
        <v>803</v>
      </c>
      <c r="O519" s="13" t="s">
        <v>4948</v>
      </c>
      <c r="P519" s="17" t="s">
        <v>802</v>
      </c>
      <c r="Q519" s="21" t="s">
        <v>7896</v>
      </c>
      <c r="R519" s="17" t="s">
        <v>801</v>
      </c>
      <c r="S519" s="18" t="s">
        <v>2590</v>
      </c>
      <c r="T519" s="17" t="s">
        <v>800</v>
      </c>
      <c r="U519" s="18" t="s">
        <v>5274</v>
      </c>
      <c r="V519" s="17" t="s">
        <v>9418</v>
      </c>
      <c r="W519" s="18" t="s">
        <v>5309</v>
      </c>
      <c r="X519" s="69" t="s">
        <v>9453</v>
      </c>
      <c r="Y519" s="70" t="s">
        <v>9462</v>
      </c>
      <c r="Z519" s="73" t="s">
        <v>9486</v>
      </c>
      <c r="AA519" s="74" t="s">
        <v>9504</v>
      </c>
      <c r="AB519" s="73" t="s">
        <v>9486</v>
      </c>
      <c r="AC519" s="74" t="s">
        <v>9566</v>
      </c>
      <c r="AD519" s="73" t="s">
        <v>9578</v>
      </c>
      <c r="AE519" s="74" t="s">
        <v>9579</v>
      </c>
    </row>
    <row r="520" spans="1:31" ht="8.65" customHeight="1" x14ac:dyDescent="0.2">
      <c r="A520" s="76">
        <v>520</v>
      </c>
      <c r="B520" s="67" t="str">
        <f>MID(C520, FIND("Ifc.", C520) + 4, 4) &amp; "_" &amp; TEXT(COUNTIF($C$2:C520, C520),"0000")</f>
        <v>Prop_0519</v>
      </c>
      <c r="C520" s="24" t="s">
        <v>872</v>
      </c>
      <c r="D520" s="69" t="s">
        <v>9453</v>
      </c>
      <c r="E520" s="70" t="s">
        <v>9454</v>
      </c>
      <c r="F520" s="17" t="s">
        <v>806</v>
      </c>
      <c r="G520" s="22" t="s">
        <v>1497</v>
      </c>
      <c r="H520" s="12" t="s">
        <v>9703</v>
      </c>
      <c r="I520" s="13" t="s">
        <v>6264</v>
      </c>
      <c r="J520" s="14" t="s">
        <v>798</v>
      </c>
      <c r="K520" s="15" t="s">
        <v>798</v>
      </c>
      <c r="L520" s="12" t="s">
        <v>5315</v>
      </c>
      <c r="M520" s="13" t="s">
        <v>5814</v>
      </c>
      <c r="N520" s="12" t="s">
        <v>803</v>
      </c>
      <c r="O520" s="13" t="s">
        <v>4948</v>
      </c>
      <c r="P520" s="17" t="s">
        <v>802</v>
      </c>
      <c r="Q520" s="21" t="s">
        <v>7896</v>
      </c>
      <c r="R520" s="17" t="s">
        <v>801</v>
      </c>
      <c r="S520" s="18" t="s">
        <v>2590</v>
      </c>
      <c r="T520" s="17" t="s">
        <v>800</v>
      </c>
      <c r="U520" s="18" t="s">
        <v>5274</v>
      </c>
      <c r="V520" s="17" t="s">
        <v>9418</v>
      </c>
      <c r="W520" s="18" t="s">
        <v>5309</v>
      </c>
      <c r="X520" s="69" t="s">
        <v>9453</v>
      </c>
      <c r="Y520" s="70" t="s">
        <v>9462</v>
      </c>
      <c r="Z520" s="73" t="s">
        <v>9486</v>
      </c>
      <c r="AA520" s="74" t="s">
        <v>9504</v>
      </c>
      <c r="AB520" s="73" t="s">
        <v>9486</v>
      </c>
      <c r="AC520" s="74" t="s">
        <v>9566</v>
      </c>
      <c r="AD520" s="73" t="s">
        <v>9578</v>
      </c>
      <c r="AE520" s="74" t="s">
        <v>9579</v>
      </c>
    </row>
    <row r="521" spans="1:31" ht="8.65" customHeight="1" x14ac:dyDescent="0.2">
      <c r="A521" s="76">
        <v>521</v>
      </c>
      <c r="B521" s="67" t="str">
        <f>MID(C521, FIND("Ifc.", C521) + 4, 4) &amp; "_" &amp; TEXT(COUNTIF($C$2:C521, C521),"0000")</f>
        <v>Prop_0520</v>
      </c>
      <c r="C521" s="24" t="s">
        <v>872</v>
      </c>
      <c r="D521" s="69" t="s">
        <v>9453</v>
      </c>
      <c r="E521" s="70" t="s">
        <v>9454</v>
      </c>
      <c r="F521" s="17" t="s">
        <v>806</v>
      </c>
      <c r="G521" s="22" t="s">
        <v>1877</v>
      </c>
      <c r="H521" s="12" t="s">
        <v>9703</v>
      </c>
      <c r="I521" s="13" t="s">
        <v>6554</v>
      </c>
      <c r="J521" s="14" t="s">
        <v>798</v>
      </c>
      <c r="K521" s="15" t="s">
        <v>798</v>
      </c>
      <c r="L521" s="12" t="s">
        <v>5315</v>
      </c>
      <c r="M521" s="13" t="s">
        <v>5951</v>
      </c>
      <c r="N521" s="12" t="s">
        <v>803</v>
      </c>
      <c r="O521" s="13" t="s">
        <v>5040</v>
      </c>
      <c r="P521" s="17" t="s">
        <v>802</v>
      </c>
      <c r="Q521" s="21" t="s">
        <v>7897</v>
      </c>
      <c r="R521" s="17" t="s">
        <v>801</v>
      </c>
      <c r="S521" s="18" t="s">
        <v>2590</v>
      </c>
      <c r="T521" s="17" t="s">
        <v>800</v>
      </c>
      <c r="U521" s="18" t="s">
        <v>5274</v>
      </c>
      <c r="V521" s="17" t="s">
        <v>9418</v>
      </c>
      <c r="W521" s="18" t="s">
        <v>5309</v>
      </c>
      <c r="X521" s="69" t="s">
        <v>9453</v>
      </c>
      <c r="Y521" s="70" t="s">
        <v>9462</v>
      </c>
      <c r="Z521" s="73" t="s">
        <v>9486</v>
      </c>
      <c r="AA521" s="74" t="s">
        <v>9504</v>
      </c>
      <c r="AB521" s="73" t="s">
        <v>9486</v>
      </c>
      <c r="AC521" s="74" t="s">
        <v>9566</v>
      </c>
      <c r="AD521" s="73" t="s">
        <v>9578</v>
      </c>
      <c r="AE521" s="74" t="s">
        <v>9579</v>
      </c>
    </row>
    <row r="522" spans="1:31" ht="8.65" customHeight="1" x14ac:dyDescent="0.2">
      <c r="A522" s="76">
        <v>522</v>
      </c>
      <c r="B522" s="67" t="str">
        <f>MID(C522, FIND("Ifc.", C522) + 4, 4) &amp; "_" &amp; TEXT(COUNTIF($C$2:C522, C522),"0000")</f>
        <v>Prop_0521</v>
      </c>
      <c r="C522" s="24" t="s">
        <v>872</v>
      </c>
      <c r="D522" s="69" t="s">
        <v>9453</v>
      </c>
      <c r="E522" s="70" t="s">
        <v>9454</v>
      </c>
      <c r="F522" s="17" t="s">
        <v>806</v>
      </c>
      <c r="G522" s="22" t="s">
        <v>1488</v>
      </c>
      <c r="H522" s="12" t="s">
        <v>9703</v>
      </c>
      <c r="I522" s="13" t="s">
        <v>6262</v>
      </c>
      <c r="J522" s="14" t="s">
        <v>798</v>
      </c>
      <c r="K522" s="15" t="s">
        <v>798</v>
      </c>
      <c r="L522" s="12" t="s">
        <v>5315</v>
      </c>
      <c r="M522" s="13" t="s">
        <v>5813</v>
      </c>
      <c r="N522" s="12" t="s">
        <v>803</v>
      </c>
      <c r="O522" s="13" t="s">
        <v>4947</v>
      </c>
      <c r="P522" s="17" t="s">
        <v>802</v>
      </c>
      <c r="Q522" s="21" t="s">
        <v>7794</v>
      </c>
      <c r="R522" s="17" t="s">
        <v>801</v>
      </c>
      <c r="S522" s="18" t="s">
        <v>2560</v>
      </c>
      <c r="T522" s="17" t="s">
        <v>800</v>
      </c>
      <c r="U522" s="18" t="s">
        <v>5236</v>
      </c>
      <c r="V522" s="17" t="s">
        <v>9418</v>
      </c>
      <c r="W522" s="18" t="s">
        <v>5309</v>
      </c>
      <c r="X522" s="69" t="s">
        <v>9453</v>
      </c>
      <c r="Y522" s="70" t="s">
        <v>9462</v>
      </c>
      <c r="Z522" s="73" t="s">
        <v>9486</v>
      </c>
      <c r="AA522" s="74" t="s">
        <v>9504</v>
      </c>
      <c r="AB522" s="73" t="s">
        <v>9486</v>
      </c>
      <c r="AC522" s="74" t="s">
        <v>9562</v>
      </c>
      <c r="AD522" s="73" t="s">
        <v>9578</v>
      </c>
      <c r="AE522" s="74" t="s">
        <v>9579</v>
      </c>
    </row>
    <row r="523" spans="1:31" ht="8.65" customHeight="1" x14ac:dyDescent="0.2">
      <c r="A523" s="76">
        <v>523</v>
      </c>
      <c r="B523" s="67" t="str">
        <f>MID(C523, FIND("Ifc.", C523) + 4, 4) &amp; "_" &amp; TEXT(COUNTIF($C$2:C523, C523),"0000")</f>
        <v>Prop_0522</v>
      </c>
      <c r="C523" s="24" t="s">
        <v>872</v>
      </c>
      <c r="D523" s="69" t="s">
        <v>9453</v>
      </c>
      <c r="E523" s="70" t="s">
        <v>9454</v>
      </c>
      <c r="F523" s="17" t="s">
        <v>806</v>
      </c>
      <c r="G523" s="22" t="s">
        <v>1488</v>
      </c>
      <c r="H523" s="12" t="s">
        <v>9703</v>
      </c>
      <c r="I523" s="13" t="s">
        <v>6262</v>
      </c>
      <c r="J523" s="14" t="s">
        <v>798</v>
      </c>
      <c r="K523" s="15" t="s">
        <v>798</v>
      </c>
      <c r="L523" s="12" t="s">
        <v>5315</v>
      </c>
      <c r="M523" s="13" t="s">
        <v>5811</v>
      </c>
      <c r="N523" s="12" t="s">
        <v>803</v>
      </c>
      <c r="O523" s="13" t="s">
        <v>4945</v>
      </c>
      <c r="P523" s="17" t="s">
        <v>802</v>
      </c>
      <c r="Q523" s="21" t="s">
        <v>7698</v>
      </c>
      <c r="R523" s="17" t="s">
        <v>801</v>
      </c>
      <c r="S523" s="18" t="s">
        <v>2560</v>
      </c>
      <c r="T523" s="17" t="s">
        <v>800</v>
      </c>
      <c r="U523" s="18" t="s">
        <v>5236</v>
      </c>
      <c r="V523" s="17" t="s">
        <v>9418</v>
      </c>
      <c r="W523" s="18" t="s">
        <v>5309</v>
      </c>
      <c r="X523" s="69" t="s">
        <v>9453</v>
      </c>
      <c r="Y523" s="70" t="s">
        <v>9462</v>
      </c>
      <c r="Z523" s="73" t="s">
        <v>9486</v>
      </c>
      <c r="AA523" s="74" t="s">
        <v>9504</v>
      </c>
      <c r="AB523" s="73" t="s">
        <v>9486</v>
      </c>
      <c r="AC523" s="74" t="s">
        <v>9562</v>
      </c>
      <c r="AD523" s="73" t="s">
        <v>9578</v>
      </c>
      <c r="AE523" s="74" t="s">
        <v>9579</v>
      </c>
    </row>
    <row r="524" spans="1:31" ht="8.65" customHeight="1" x14ac:dyDescent="0.2">
      <c r="A524" s="76">
        <v>524</v>
      </c>
      <c r="B524" s="67" t="str">
        <f>MID(C524, FIND("Ifc.", C524) + 4, 4) &amp; "_" &amp; TEXT(COUNTIF($C$2:C524, C524),"0000")</f>
        <v>Prop_0523</v>
      </c>
      <c r="C524" s="24" t="s">
        <v>872</v>
      </c>
      <c r="D524" s="69" t="s">
        <v>9453</v>
      </c>
      <c r="E524" s="70" t="s">
        <v>9454</v>
      </c>
      <c r="F524" s="17" t="s">
        <v>806</v>
      </c>
      <c r="G524" s="22" t="s">
        <v>1488</v>
      </c>
      <c r="H524" s="12" t="s">
        <v>9703</v>
      </c>
      <c r="I524" s="13" t="s">
        <v>6262</v>
      </c>
      <c r="J524" s="14" t="s">
        <v>798</v>
      </c>
      <c r="K524" s="15" t="s">
        <v>798</v>
      </c>
      <c r="L524" s="12" t="s">
        <v>5315</v>
      </c>
      <c r="M524" s="13" t="s">
        <v>5812</v>
      </c>
      <c r="N524" s="12" t="s">
        <v>803</v>
      </c>
      <c r="O524" s="13" t="s">
        <v>4946</v>
      </c>
      <c r="P524" s="17" t="s">
        <v>802</v>
      </c>
      <c r="Q524" s="21" t="s">
        <v>7895</v>
      </c>
      <c r="R524" s="17" t="s">
        <v>801</v>
      </c>
      <c r="S524" s="18" t="s">
        <v>2560</v>
      </c>
      <c r="T524" s="17" t="s">
        <v>800</v>
      </c>
      <c r="U524" s="18" t="s">
        <v>5236</v>
      </c>
      <c r="V524" s="17" t="s">
        <v>9418</v>
      </c>
      <c r="W524" s="18" t="s">
        <v>5309</v>
      </c>
      <c r="X524" s="69" t="s">
        <v>9453</v>
      </c>
      <c r="Y524" s="70" t="s">
        <v>9462</v>
      </c>
      <c r="Z524" s="73" t="s">
        <v>9486</v>
      </c>
      <c r="AA524" s="74" t="s">
        <v>9504</v>
      </c>
      <c r="AB524" s="73" t="s">
        <v>9486</v>
      </c>
      <c r="AC524" s="74" t="s">
        <v>9562</v>
      </c>
      <c r="AD524" s="73" t="s">
        <v>9578</v>
      </c>
      <c r="AE524" s="74" t="s">
        <v>9579</v>
      </c>
    </row>
    <row r="525" spans="1:31" ht="8.65" customHeight="1" x14ac:dyDescent="0.2">
      <c r="A525" s="76">
        <v>525</v>
      </c>
      <c r="B525" s="67" t="str">
        <f>MID(C525, FIND("Ifc.", C525) + 4, 4) &amp; "_" &amp; TEXT(COUNTIF($C$2:C525, C525),"0000")</f>
        <v>Prop_0524</v>
      </c>
      <c r="C525" s="24" t="s">
        <v>872</v>
      </c>
      <c r="D525" s="69" t="s">
        <v>9453</v>
      </c>
      <c r="E525" s="70" t="s">
        <v>9454</v>
      </c>
      <c r="F525" s="17" t="s">
        <v>806</v>
      </c>
      <c r="G525" s="22" t="s">
        <v>1878</v>
      </c>
      <c r="H525" s="12" t="s">
        <v>9703</v>
      </c>
      <c r="I525" s="13" t="s">
        <v>6239</v>
      </c>
      <c r="J525" s="14" t="s">
        <v>798</v>
      </c>
      <c r="K525" s="15" t="s">
        <v>798</v>
      </c>
      <c r="L525" s="12" t="s">
        <v>5315</v>
      </c>
      <c r="M525" s="13" t="s">
        <v>6007</v>
      </c>
      <c r="N525" s="12" t="s">
        <v>803</v>
      </c>
      <c r="O525" s="13" t="s">
        <v>5209</v>
      </c>
      <c r="P525" s="17" t="s">
        <v>802</v>
      </c>
      <c r="Q525" s="21" t="s">
        <v>7898</v>
      </c>
      <c r="R525" s="17" t="s">
        <v>801</v>
      </c>
      <c r="S525" s="18" t="s">
        <v>2590</v>
      </c>
      <c r="T525" s="17" t="s">
        <v>800</v>
      </c>
      <c r="U525" s="18" t="s">
        <v>5274</v>
      </c>
      <c r="V525" s="17" t="s">
        <v>9418</v>
      </c>
      <c r="W525" s="18" t="s">
        <v>5309</v>
      </c>
      <c r="X525" s="69" t="s">
        <v>9453</v>
      </c>
      <c r="Y525" s="70" t="s">
        <v>9462</v>
      </c>
      <c r="Z525" s="73" t="s">
        <v>9486</v>
      </c>
      <c r="AA525" s="74" t="s">
        <v>9504</v>
      </c>
      <c r="AB525" s="73" t="s">
        <v>9486</v>
      </c>
      <c r="AC525" s="74" t="s">
        <v>9566</v>
      </c>
      <c r="AD525" s="73" t="s">
        <v>9578</v>
      </c>
      <c r="AE525" s="74" t="s">
        <v>9579</v>
      </c>
    </row>
    <row r="526" spans="1:31" ht="8.65" customHeight="1" x14ac:dyDescent="0.2">
      <c r="A526" s="76">
        <v>526</v>
      </c>
      <c r="B526" s="67" t="str">
        <f>MID(C526, FIND("Ifc.", C526) + 4, 4) &amp; "_" &amp; TEXT(COUNTIF($C$2:C526, C526),"0000")</f>
        <v>Prop_0525</v>
      </c>
      <c r="C526" s="24" t="s">
        <v>872</v>
      </c>
      <c r="D526" s="69" t="s">
        <v>9453</v>
      </c>
      <c r="E526" s="70" t="s">
        <v>9454</v>
      </c>
      <c r="F526" s="17" t="s">
        <v>806</v>
      </c>
      <c r="G526" s="22" t="s">
        <v>1878</v>
      </c>
      <c r="H526" s="12" t="s">
        <v>9703</v>
      </c>
      <c r="I526" s="13" t="s">
        <v>6239</v>
      </c>
      <c r="J526" s="14" t="s">
        <v>798</v>
      </c>
      <c r="K526" s="15" t="s">
        <v>798</v>
      </c>
      <c r="L526" s="12" t="s">
        <v>5315</v>
      </c>
      <c r="M526" s="13" t="s">
        <v>6026</v>
      </c>
      <c r="N526" s="12" t="s">
        <v>803</v>
      </c>
      <c r="O526" s="13" t="s">
        <v>5212</v>
      </c>
      <c r="P526" s="17" t="s">
        <v>802</v>
      </c>
      <c r="Q526" s="21" t="s">
        <v>7899</v>
      </c>
      <c r="R526" s="17" t="s">
        <v>801</v>
      </c>
      <c r="S526" s="18" t="s">
        <v>2590</v>
      </c>
      <c r="T526" s="17" t="s">
        <v>800</v>
      </c>
      <c r="U526" s="18" t="s">
        <v>5274</v>
      </c>
      <c r="V526" s="17" t="s">
        <v>9418</v>
      </c>
      <c r="W526" s="18" t="s">
        <v>5309</v>
      </c>
      <c r="X526" s="69" t="s">
        <v>9453</v>
      </c>
      <c r="Y526" s="70" t="s">
        <v>9462</v>
      </c>
      <c r="Z526" s="73" t="s">
        <v>9486</v>
      </c>
      <c r="AA526" s="74" t="s">
        <v>9504</v>
      </c>
      <c r="AB526" s="73" t="s">
        <v>9486</v>
      </c>
      <c r="AC526" s="74" t="s">
        <v>9566</v>
      </c>
      <c r="AD526" s="73" t="s">
        <v>9578</v>
      </c>
      <c r="AE526" s="74" t="s">
        <v>9579</v>
      </c>
    </row>
    <row r="527" spans="1:31" ht="8.65" customHeight="1" x14ac:dyDescent="0.2">
      <c r="A527" s="76">
        <v>527</v>
      </c>
      <c r="B527" s="67" t="str">
        <f>MID(C527, FIND("Ifc.", C527) + 4, 4) &amp; "_" &amp; TEXT(COUNTIF($C$2:C527, C527),"0000")</f>
        <v>Prop_0526</v>
      </c>
      <c r="C527" s="24" t="s">
        <v>872</v>
      </c>
      <c r="D527" s="69" t="s">
        <v>9453</v>
      </c>
      <c r="E527" s="70" t="s">
        <v>9454</v>
      </c>
      <c r="F527" s="17" t="s">
        <v>806</v>
      </c>
      <c r="G527" s="22" t="s">
        <v>1878</v>
      </c>
      <c r="H527" s="12" t="s">
        <v>9703</v>
      </c>
      <c r="I527" s="13" t="s">
        <v>6239</v>
      </c>
      <c r="J527" s="14" t="s">
        <v>798</v>
      </c>
      <c r="K527" s="15" t="s">
        <v>798</v>
      </c>
      <c r="L527" s="12" t="s">
        <v>5315</v>
      </c>
      <c r="M527" s="13" t="s">
        <v>5951</v>
      </c>
      <c r="N527" s="12" t="s">
        <v>803</v>
      </c>
      <c r="O527" s="13" t="s">
        <v>5040</v>
      </c>
      <c r="P527" s="17" t="s">
        <v>802</v>
      </c>
      <c r="Q527" s="21" t="s">
        <v>7897</v>
      </c>
      <c r="R527" s="17" t="s">
        <v>801</v>
      </c>
      <c r="S527" s="18" t="s">
        <v>2590</v>
      </c>
      <c r="T527" s="17" t="s">
        <v>800</v>
      </c>
      <c r="U527" s="18" t="s">
        <v>5274</v>
      </c>
      <c r="V527" s="17" t="s">
        <v>9418</v>
      </c>
      <c r="W527" s="18" t="s">
        <v>5309</v>
      </c>
      <c r="X527" s="69" t="s">
        <v>9453</v>
      </c>
      <c r="Y527" s="70" t="s">
        <v>9462</v>
      </c>
      <c r="Z527" s="73" t="s">
        <v>9486</v>
      </c>
      <c r="AA527" s="74" t="s">
        <v>9504</v>
      </c>
      <c r="AB527" s="73" t="s">
        <v>9486</v>
      </c>
      <c r="AC527" s="74" t="s">
        <v>9566</v>
      </c>
      <c r="AD527" s="73" t="s">
        <v>9578</v>
      </c>
      <c r="AE527" s="74" t="s">
        <v>9579</v>
      </c>
    </row>
    <row r="528" spans="1:31" ht="8.65" customHeight="1" x14ac:dyDescent="0.2">
      <c r="A528" s="76">
        <v>528</v>
      </c>
      <c r="B528" s="67" t="str">
        <f>MID(C528, FIND("Ifc.", C528) + 4, 4) &amp; "_" &amp; TEXT(COUNTIF($C$2:C528, C528),"0000")</f>
        <v>Prop_0527</v>
      </c>
      <c r="C528" s="24" t="s">
        <v>872</v>
      </c>
      <c r="D528" s="69" t="s">
        <v>9453</v>
      </c>
      <c r="E528" s="70" t="s">
        <v>9454</v>
      </c>
      <c r="F528" s="17" t="s">
        <v>806</v>
      </c>
      <c r="G528" s="22" t="s">
        <v>1321</v>
      </c>
      <c r="H528" s="12" t="s">
        <v>9703</v>
      </c>
      <c r="I528" s="13" t="s">
        <v>6239</v>
      </c>
      <c r="J528" s="14" t="s">
        <v>798</v>
      </c>
      <c r="K528" s="15" t="s">
        <v>798</v>
      </c>
      <c r="L528" s="12" t="s">
        <v>5315</v>
      </c>
      <c r="M528" s="13" t="s">
        <v>5410</v>
      </c>
      <c r="N528" s="12" t="s">
        <v>803</v>
      </c>
      <c r="O528" s="13" t="s">
        <v>4908</v>
      </c>
      <c r="P528" s="17" t="s">
        <v>802</v>
      </c>
      <c r="Q528" s="21" t="s">
        <v>7823</v>
      </c>
      <c r="R528" s="17" t="s">
        <v>801</v>
      </c>
      <c r="S528" s="18" t="s">
        <v>2590</v>
      </c>
      <c r="T528" s="17" t="s">
        <v>800</v>
      </c>
      <c r="U528" s="18" t="s">
        <v>5274</v>
      </c>
      <c r="V528" s="17" t="s">
        <v>9418</v>
      </c>
      <c r="W528" s="18" t="s">
        <v>5312</v>
      </c>
      <c r="X528" s="69" t="s">
        <v>9453</v>
      </c>
      <c r="Y528" s="70" t="s">
        <v>9465</v>
      </c>
      <c r="Z528" s="73" t="s">
        <v>9486</v>
      </c>
      <c r="AA528" s="74" t="s">
        <v>9504</v>
      </c>
      <c r="AB528" s="73" t="s">
        <v>9486</v>
      </c>
      <c r="AC528" s="74" t="s">
        <v>9566</v>
      </c>
      <c r="AD528" s="73" t="s">
        <v>9578</v>
      </c>
      <c r="AE528" s="74" t="s">
        <v>9579</v>
      </c>
    </row>
    <row r="529" spans="1:31" ht="8.65" customHeight="1" x14ac:dyDescent="0.2">
      <c r="A529" s="76">
        <v>529</v>
      </c>
      <c r="B529" s="67" t="str">
        <f>MID(C529, FIND("Ifc.", C529) + 4, 4) &amp; "_" &amp; TEXT(COUNTIF($C$2:C529, C529),"0000")</f>
        <v>Prop_0528</v>
      </c>
      <c r="C529" s="24" t="s">
        <v>872</v>
      </c>
      <c r="D529" s="69" t="s">
        <v>9453</v>
      </c>
      <c r="E529" s="70" t="s">
        <v>9454</v>
      </c>
      <c r="F529" s="17" t="s">
        <v>806</v>
      </c>
      <c r="G529" s="22" t="s">
        <v>1281</v>
      </c>
      <c r="H529" s="12" t="s">
        <v>9703</v>
      </c>
      <c r="I529" s="13" t="s">
        <v>6257</v>
      </c>
      <c r="J529" s="14" t="s">
        <v>798</v>
      </c>
      <c r="K529" s="15" t="s">
        <v>798</v>
      </c>
      <c r="L529" s="12" t="s">
        <v>5315</v>
      </c>
      <c r="M529" s="13" t="s">
        <v>5408</v>
      </c>
      <c r="N529" s="12" t="s">
        <v>803</v>
      </c>
      <c r="O529" s="13" t="s">
        <v>4896</v>
      </c>
      <c r="P529" s="17" t="s">
        <v>802</v>
      </c>
      <c r="Q529" s="21" t="s">
        <v>7737</v>
      </c>
      <c r="R529" s="17" t="s">
        <v>801</v>
      </c>
      <c r="S529" s="18" t="s">
        <v>2632</v>
      </c>
      <c r="T529" s="17" t="s">
        <v>800</v>
      </c>
      <c r="U529" s="18" t="s">
        <v>5270</v>
      </c>
      <c r="V529" s="17" t="s">
        <v>9418</v>
      </c>
      <c r="W529" s="18" t="s">
        <v>5309</v>
      </c>
      <c r="X529" s="69" t="s">
        <v>9453</v>
      </c>
      <c r="Y529" s="70" t="s">
        <v>9462</v>
      </c>
      <c r="Z529" s="73" t="s">
        <v>9486</v>
      </c>
      <c r="AA529" s="74" t="s">
        <v>9504</v>
      </c>
      <c r="AB529" s="73" t="s">
        <v>9486</v>
      </c>
      <c r="AC529" s="74" t="s">
        <v>9561</v>
      </c>
      <c r="AD529" s="73" t="s">
        <v>9578</v>
      </c>
      <c r="AE529" s="74" t="s">
        <v>9579</v>
      </c>
    </row>
    <row r="530" spans="1:31" ht="8.65" customHeight="1" x14ac:dyDescent="0.2">
      <c r="A530" s="76">
        <v>530</v>
      </c>
      <c r="B530" s="67" t="str">
        <f>MID(C530, FIND("Ifc.", C530) + 4, 4) &amp; "_" &amp; TEXT(COUNTIF($C$2:C530, C530),"0000")</f>
        <v>Prop_0529</v>
      </c>
      <c r="C530" s="24" t="s">
        <v>872</v>
      </c>
      <c r="D530" s="69" t="s">
        <v>9453</v>
      </c>
      <c r="E530" s="70" t="s">
        <v>9454</v>
      </c>
      <c r="F530" s="17" t="s">
        <v>806</v>
      </c>
      <c r="G530" s="22" t="s">
        <v>2432</v>
      </c>
      <c r="H530" s="12" t="s">
        <v>9703</v>
      </c>
      <c r="I530" s="13" t="s">
        <v>6786</v>
      </c>
      <c r="J530" s="14" t="s">
        <v>798</v>
      </c>
      <c r="K530" s="15" t="s">
        <v>798</v>
      </c>
      <c r="L530" s="12" t="s">
        <v>5315</v>
      </c>
      <c r="M530" s="13" t="s">
        <v>5570</v>
      </c>
      <c r="N530" s="12" t="s">
        <v>803</v>
      </c>
      <c r="O530" s="13" t="s">
        <v>5203</v>
      </c>
      <c r="P530" s="17" t="s">
        <v>802</v>
      </c>
      <c r="Q530" s="21" t="s">
        <v>7900</v>
      </c>
      <c r="R530" s="17" t="s">
        <v>801</v>
      </c>
      <c r="S530" s="18" t="s">
        <v>2590</v>
      </c>
      <c r="T530" s="17" t="s">
        <v>800</v>
      </c>
      <c r="U530" s="18" t="s">
        <v>5274</v>
      </c>
      <c r="V530" s="17" t="s">
        <v>9418</v>
      </c>
      <c r="W530" s="18" t="s">
        <v>5309</v>
      </c>
      <c r="X530" s="69" t="s">
        <v>9453</v>
      </c>
      <c r="Y530" s="70" t="s">
        <v>9462</v>
      </c>
      <c r="Z530" s="73" t="s">
        <v>9486</v>
      </c>
      <c r="AA530" s="74" t="s">
        <v>9504</v>
      </c>
      <c r="AB530" s="73" t="s">
        <v>9486</v>
      </c>
      <c r="AC530" s="74" t="s">
        <v>9566</v>
      </c>
      <c r="AD530" s="73" t="s">
        <v>9578</v>
      </c>
      <c r="AE530" s="74" t="s">
        <v>9579</v>
      </c>
    </row>
    <row r="531" spans="1:31" ht="8.65" customHeight="1" x14ac:dyDescent="0.2">
      <c r="A531" s="76">
        <v>531</v>
      </c>
      <c r="B531" s="67" t="str">
        <f>MID(C531, FIND("Ifc.", C531) + 4, 4) &amp; "_" &amp; TEXT(COUNTIF($C$2:C531, C531),"0000")</f>
        <v>Prop_0530</v>
      </c>
      <c r="C531" s="24" t="s">
        <v>872</v>
      </c>
      <c r="D531" s="69" t="s">
        <v>9453</v>
      </c>
      <c r="E531" s="70" t="s">
        <v>9454</v>
      </c>
      <c r="F531" s="17" t="s">
        <v>806</v>
      </c>
      <c r="G531" s="22" t="s">
        <v>2433</v>
      </c>
      <c r="H531" s="12" t="s">
        <v>9703</v>
      </c>
      <c r="I531" s="13" t="s">
        <v>6787</v>
      </c>
      <c r="J531" s="14" t="s">
        <v>798</v>
      </c>
      <c r="K531" s="15" t="s">
        <v>798</v>
      </c>
      <c r="L531" s="12" t="s">
        <v>5315</v>
      </c>
      <c r="M531" s="13" t="s">
        <v>5570</v>
      </c>
      <c r="N531" s="12" t="s">
        <v>803</v>
      </c>
      <c r="O531" s="13" t="s">
        <v>5203</v>
      </c>
      <c r="P531" s="17" t="s">
        <v>802</v>
      </c>
      <c r="Q531" s="21" t="s">
        <v>7900</v>
      </c>
      <c r="R531" s="17" t="s">
        <v>801</v>
      </c>
      <c r="S531" s="18" t="s">
        <v>2590</v>
      </c>
      <c r="T531" s="17" t="s">
        <v>800</v>
      </c>
      <c r="U531" s="18" t="s">
        <v>5274</v>
      </c>
      <c r="V531" s="17" t="s">
        <v>9418</v>
      </c>
      <c r="W531" s="18" t="s">
        <v>5309</v>
      </c>
      <c r="X531" s="69" t="s">
        <v>9453</v>
      </c>
      <c r="Y531" s="70" t="s">
        <v>9462</v>
      </c>
      <c r="Z531" s="73" t="s">
        <v>9486</v>
      </c>
      <c r="AA531" s="74" t="s">
        <v>9504</v>
      </c>
      <c r="AB531" s="73" t="s">
        <v>9486</v>
      </c>
      <c r="AC531" s="74" t="s">
        <v>9566</v>
      </c>
      <c r="AD531" s="73" t="s">
        <v>9578</v>
      </c>
      <c r="AE531" s="74" t="s">
        <v>9579</v>
      </c>
    </row>
    <row r="532" spans="1:31" ht="8.65" customHeight="1" x14ac:dyDescent="0.2">
      <c r="A532" s="76">
        <v>532</v>
      </c>
      <c r="B532" s="67" t="str">
        <f>MID(C532, FIND("Ifc.", C532) + 4, 4) &amp; "_" &amp; TEXT(COUNTIF($C$2:C532, C532),"0000")</f>
        <v>Prop_0531</v>
      </c>
      <c r="C532" s="24" t="s">
        <v>872</v>
      </c>
      <c r="D532" s="69" t="s">
        <v>9453</v>
      </c>
      <c r="E532" s="70" t="s">
        <v>9454</v>
      </c>
      <c r="F532" s="17" t="s">
        <v>806</v>
      </c>
      <c r="G532" s="22" t="s">
        <v>1498</v>
      </c>
      <c r="H532" s="12" t="s">
        <v>9703</v>
      </c>
      <c r="I532" s="13" t="s">
        <v>7218</v>
      </c>
      <c r="J532" s="14" t="s">
        <v>798</v>
      </c>
      <c r="K532" s="15" t="s">
        <v>798</v>
      </c>
      <c r="L532" s="12" t="s">
        <v>5315</v>
      </c>
      <c r="M532" s="13" t="s">
        <v>5814</v>
      </c>
      <c r="N532" s="12" t="s">
        <v>803</v>
      </c>
      <c r="O532" s="13" t="s">
        <v>4948</v>
      </c>
      <c r="P532" s="17" t="s">
        <v>802</v>
      </c>
      <c r="Q532" s="21" t="s">
        <v>7896</v>
      </c>
      <c r="R532" s="17" t="s">
        <v>801</v>
      </c>
      <c r="S532" s="18" t="s">
        <v>2590</v>
      </c>
      <c r="T532" s="17" t="s">
        <v>800</v>
      </c>
      <c r="U532" s="18" t="s">
        <v>5274</v>
      </c>
      <c r="V532" s="17" t="s">
        <v>9418</v>
      </c>
      <c r="W532" s="18" t="s">
        <v>5309</v>
      </c>
      <c r="X532" s="69" t="s">
        <v>9453</v>
      </c>
      <c r="Y532" s="70" t="s">
        <v>9462</v>
      </c>
      <c r="Z532" s="73" t="s">
        <v>9486</v>
      </c>
      <c r="AA532" s="74" t="s">
        <v>9504</v>
      </c>
      <c r="AB532" s="73" t="s">
        <v>9486</v>
      </c>
      <c r="AC532" s="74" t="s">
        <v>9566</v>
      </c>
      <c r="AD532" s="73" t="s">
        <v>9578</v>
      </c>
      <c r="AE532" s="74" t="s">
        <v>9579</v>
      </c>
    </row>
    <row r="533" spans="1:31" ht="8.65" customHeight="1" x14ac:dyDescent="0.2">
      <c r="A533" s="76">
        <v>533</v>
      </c>
      <c r="B533" s="67" t="str">
        <f>MID(C533, FIND("Ifc.", C533) + 4, 4) &amp; "_" &amp; TEXT(COUNTIF($C$2:C533, C533),"0000")</f>
        <v>Prop_0532</v>
      </c>
      <c r="C533" s="24" t="s">
        <v>872</v>
      </c>
      <c r="D533" s="69" t="s">
        <v>9453</v>
      </c>
      <c r="E533" s="70" t="s">
        <v>9454</v>
      </c>
      <c r="F533" s="17" t="s">
        <v>806</v>
      </c>
      <c r="G533" s="22" t="s">
        <v>1499</v>
      </c>
      <c r="H533" s="12" t="s">
        <v>9703</v>
      </c>
      <c r="I533" s="13" t="s">
        <v>7219</v>
      </c>
      <c r="J533" s="14" t="s">
        <v>798</v>
      </c>
      <c r="K533" s="15" t="s">
        <v>798</v>
      </c>
      <c r="L533" s="12" t="s">
        <v>5315</v>
      </c>
      <c r="M533" s="13" t="s">
        <v>5814</v>
      </c>
      <c r="N533" s="12" t="s">
        <v>803</v>
      </c>
      <c r="O533" s="13" t="s">
        <v>4948</v>
      </c>
      <c r="P533" s="17" t="s">
        <v>802</v>
      </c>
      <c r="Q533" s="21" t="s">
        <v>7896</v>
      </c>
      <c r="R533" s="17" t="s">
        <v>801</v>
      </c>
      <c r="S533" s="18" t="s">
        <v>2590</v>
      </c>
      <c r="T533" s="17" t="s">
        <v>800</v>
      </c>
      <c r="U533" s="18" t="s">
        <v>5274</v>
      </c>
      <c r="V533" s="17" t="s">
        <v>9418</v>
      </c>
      <c r="W533" s="18" t="s">
        <v>5309</v>
      </c>
      <c r="X533" s="69" t="s">
        <v>9453</v>
      </c>
      <c r="Y533" s="70" t="s">
        <v>9462</v>
      </c>
      <c r="Z533" s="73" t="s">
        <v>9486</v>
      </c>
      <c r="AA533" s="74" t="s">
        <v>9504</v>
      </c>
      <c r="AB533" s="73" t="s">
        <v>9486</v>
      </c>
      <c r="AC533" s="74" t="s">
        <v>9566</v>
      </c>
      <c r="AD533" s="73" t="s">
        <v>9578</v>
      </c>
      <c r="AE533" s="74" t="s">
        <v>9579</v>
      </c>
    </row>
    <row r="534" spans="1:31" ht="8.65" customHeight="1" x14ac:dyDescent="0.2">
      <c r="A534" s="76">
        <v>534</v>
      </c>
      <c r="B534" s="67" t="str">
        <f>MID(C534, FIND("Ifc.", C534) + 4, 4) &amp; "_" &amp; TEXT(COUNTIF($C$2:C534, C534),"0000")</f>
        <v>Prop_0533</v>
      </c>
      <c r="C534" s="24" t="s">
        <v>872</v>
      </c>
      <c r="D534" s="69" t="s">
        <v>9453</v>
      </c>
      <c r="E534" s="70" t="s">
        <v>9454</v>
      </c>
      <c r="F534" s="17" t="s">
        <v>806</v>
      </c>
      <c r="G534" s="22" t="s">
        <v>1043</v>
      </c>
      <c r="H534" s="12" t="s">
        <v>9703</v>
      </c>
      <c r="I534" s="13" t="s">
        <v>6133</v>
      </c>
      <c r="J534" s="14" t="s">
        <v>798</v>
      </c>
      <c r="K534" s="15" t="s">
        <v>798</v>
      </c>
      <c r="L534" s="12" t="s">
        <v>5315</v>
      </c>
      <c r="M534" s="13" t="s">
        <v>5820</v>
      </c>
      <c r="N534" s="12" t="s">
        <v>803</v>
      </c>
      <c r="O534" s="13" t="s">
        <v>4844</v>
      </c>
      <c r="P534" s="17" t="s">
        <v>802</v>
      </c>
      <c r="Q534" s="21" t="s">
        <v>7901</v>
      </c>
      <c r="R534" s="17" t="s">
        <v>801</v>
      </c>
      <c r="S534" s="18" t="s">
        <v>3636</v>
      </c>
      <c r="T534" s="17" t="s">
        <v>800</v>
      </c>
      <c r="U534" s="18" t="s">
        <v>5257</v>
      </c>
      <c r="V534" s="17" t="s">
        <v>9418</v>
      </c>
      <c r="W534" s="18" t="s">
        <v>5314</v>
      </c>
      <c r="X534" s="69" t="s">
        <v>9453</v>
      </c>
      <c r="Y534" s="70" t="s">
        <v>9464</v>
      </c>
      <c r="Z534" s="73" t="s">
        <v>9486</v>
      </c>
      <c r="AA534" s="74" t="s">
        <v>9504</v>
      </c>
      <c r="AB534" s="73" t="s">
        <v>9486</v>
      </c>
      <c r="AC534" s="74" t="s">
        <v>9561</v>
      </c>
      <c r="AD534" s="73" t="s">
        <v>9578</v>
      </c>
      <c r="AE534" s="74" t="s">
        <v>9579</v>
      </c>
    </row>
    <row r="535" spans="1:31" ht="8.65" customHeight="1" x14ac:dyDescent="0.2">
      <c r="A535" s="76">
        <v>535</v>
      </c>
      <c r="B535" s="67" t="str">
        <f>MID(C535, FIND("Ifc.", C535) + 4, 4) &amp; "_" &amp; TEXT(COUNTIF($C$2:C535, C535),"0000")</f>
        <v>Prop_0534</v>
      </c>
      <c r="C535" s="24" t="s">
        <v>872</v>
      </c>
      <c r="D535" s="69" t="s">
        <v>9453</v>
      </c>
      <c r="E535" s="70" t="s">
        <v>9454</v>
      </c>
      <c r="F535" s="17" t="s">
        <v>806</v>
      </c>
      <c r="G535" s="22" t="s">
        <v>1043</v>
      </c>
      <c r="H535" s="12" t="s">
        <v>9703</v>
      </c>
      <c r="I535" s="13" t="s">
        <v>6133</v>
      </c>
      <c r="J535" s="14" t="s">
        <v>798</v>
      </c>
      <c r="K535" s="15" t="s">
        <v>798</v>
      </c>
      <c r="L535" s="12" t="s">
        <v>5315</v>
      </c>
      <c r="M535" s="13" t="s">
        <v>5488</v>
      </c>
      <c r="N535" s="12" t="s">
        <v>803</v>
      </c>
      <c r="O535" s="13" t="s">
        <v>5096</v>
      </c>
      <c r="P535" s="17" t="s">
        <v>802</v>
      </c>
      <c r="Q535" s="21" t="s">
        <v>7886</v>
      </c>
      <c r="R535" s="17" t="s">
        <v>801</v>
      </c>
      <c r="S535" s="18" t="s">
        <v>2590</v>
      </c>
      <c r="T535" s="17" t="s">
        <v>800</v>
      </c>
      <c r="U535" s="18" t="s">
        <v>5274</v>
      </c>
      <c r="V535" s="17" t="s">
        <v>9418</v>
      </c>
      <c r="W535" s="18" t="s">
        <v>5312</v>
      </c>
      <c r="X535" s="69" t="s">
        <v>9453</v>
      </c>
      <c r="Y535" s="70" t="s">
        <v>9465</v>
      </c>
      <c r="Z535" s="73" t="s">
        <v>9486</v>
      </c>
      <c r="AA535" s="74" t="s">
        <v>9504</v>
      </c>
      <c r="AB535" s="73" t="s">
        <v>9486</v>
      </c>
      <c r="AC535" s="74" t="s">
        <v>9566</v>
      </c>
      <c r="AD535" s="73" t="s">
        <v>9578</v>
      </c>
      <c r="AE535" s="74" t="s">
        <v>9579</v>
      </c>
    </row>
    <row r="536" spans="1:31" ht="8.65" customHeight="1" x14ac:dyDescent="0.2">
      <c r="A536" s="76">
        <v>536</v>
      </c>
      <c r="B536" s="67" t="str">
        <f>MID(C536, FIND("Ifc.", C536) + 4, 4) &amp; "_" &amp; TEXT(COUNTIF($C$2:C536, C536),"0000")</f>
        <v>Prop_0535</v>
      </c>
      <c r="C536" s="24" t="s">
        <v>872</v>
      </c>
      <c r="D536" s="69" t="s">
        <v>9453</v>
      </c>
      <c r="E536" s="70" t="s">
        <v>9454</v>
      </c>
      <c r="F536" s="17" t="s">
        <v>806</v>
      </c>
      <c r="G536" s="22" t="s">
        <v>1304</v>
      </c>
      <c r="H536" s="12" t="s">
        <v>9703</v>
      </c>
      <c r="I536" s="13" t="s">
        <v>6240</v>
      </c>
      <c r="J536" s="14" t="s">
        <v>798</v>
      </c>
      <c r="K536" s="15" t="s">
        <v>798</v>
      </c>
      <c r="L536" s="12" t="s">
        <v>5315</v>
      </c>
      <c r="M536" s="13" t="s">
        <v>6006</v>
      </c>
      <c r="N536" s="12" t="s">
        <v>803</v>
      </c>
      <c r="O536" s="13" t="s">
        <v>5210</v>
      </c>
      <c r="P536" s="17" t="s">
        <v>802</v>
      </c>
      <c r="Q536" s="21" t="s">
        <v>7902</v>
      </c>
      <c r="R536" s="17" t="s">
        <v>801</v>
      </c>
      <c r="S536" s="18" t="s">
        <v>2590</v>
      </c>
      <c r="T536" s="17" t="s">
        <v>800</v>
      </c>
      <c r="U536" s="18" t="s">
        <v>5274</v>
      </c>
      <c r="V536" s="17" t="s">
        <v>9418</v>
      </c>
      <c r="W536" s="18" t="s">
        <v>5313</v>
      </c>
      <c r="X536" s="69" t="s">
        <v>9453</v>
      </c>
      <c r="Y536" s="70" t="s">
        <v>9467</v>
      </c>
      <c r="Z536" s="73" t="s">
        <v>9486</v>
      </c>
      <c r="AA536" s="74" t="s">
        <v>9504</v>
      </c>
      <c r="AB536" s="73" t="s">
        <v>9486</v>
      </c>
      <c r="AC536" s="74" t="s">
        <v>9566</v>
      </c>
      <c r="AD536" s="73" t="s">
        <v>9578</v>
      </c>
      <c r="AE536" s="74" t="s">
        <v>9579</v>
      </c>
    </row>
    <row r="537" spans="1:31" ht="8.65" customHeight="1" x14ac:dyDescent="0.2">
      <c r="A537" s="76">
        <v>537</v>
      </c>
      <c r="B537" s="67" t="str">
        <f>MID(C537, FIND("Ifc.", C537) + 4, 4) &amp; "_" &amp; TEXT(COUNTIF($C$2:C537, C537),"0000")</f>
        <v>Prop_0536</v>
      </c>
      <c r="C537" s="24" t="s">
        <v>872</v>
      </c>
      <c r="D537" s="69" t="s">
        <v>9453</v>
      </c>
      <c r="E537" s="70" t="s">
        <v>9454</v>
      </c>
      <c r="F537" s="17" t="s">
        <v>806</v>
      </c>
      <c r="G537" s="22" t="s">
        <v>1304</v>
      </c>
      <c r="H537" s="12" t="s">
        <v>9703</v>
      </c>
      <c r="I537" s="13" t="s">
        <v>6240</v>
      </c>
      <c r="J537" s="14" t="s">
        <v>798</v>
      </c>
      <c r="K537" s="15" t="s">
        <v>798</v>
      </c>
      <c r="L537" s="12" t="s">
        <v>5315</v>
      </c>
      <c r="M537" s="13" t="s">
        <v>6017</v>
      </c>
      <c r="N537" s="12" t="s">
        <v>803</v>
      </c>
      <c r="O537" s="13" t="s">
        <v>4905</v>
      </c>
      <c r="P537" s="17" t="s">
        <v>802</v>
      </c>
      <c r="Q537" s="21" t="s">
        <v>7903</v>
      </c>
      <c r="R537" s="17" t="s">
        <v>801</v>
      </c>
      <c r="S537" s="18" t="s">
        <v>2590</v>
      </c>
      <c r="T537" s="17" t="s">
        <v>800</v>
      </c>
      <c r="U537" s="18" t="s">
        <v>5274</v>
      </c>
      <c r="V537" s="17" t="s">
        <v>9418</v>
      </c>
      <c r="W537" s="18" t="s">
        <v>5313</v>
      </c>
      <c r="X537" s="69" t="s">
        <v>9453</v>
      </c>
      <c r="Y537" s="70" t="s">
        <v>9467</v>
      </c>
      <c r="Z537" s="73" t="s">
        <v>9486</v>
      </c>
      <c r="AA537" s="74" t="s">
        <v>9504</v>
      </c>
      <c r="AB537" s="73" t="s">
        <v>9486</v>
      </c>
      <c r="AC537" s="74" t="s">
        <v>9566</v>
      </c>
      <c r="AD537" s="73" t="s">
        <v>9578</v>
      </c>
      <c r="AE537" s="74" t="s">
        <v>9579</v>
      </c>
    </row>
    <row r="538" spans="1:31" ht="8.65" customHeight="1" x14ac:dyDescent="0.2">
      <c r="A538" s="76">
        <v>538</v>
      </c>
      <c r="B538" s="67" t="str">
        <f>MID(C538, FIND("Ifc.", C538) + 4, 4) &amp; "_" &amp; TEXT(COUNTIF($C$2:C538, C538),"0000")</f>
        <v>Prop_0537</v>
      </c>
      <c r="C538" s="24" t="s">
        <v>872</v>
      </c>
      <c r="D538" s="69" t="s">
        <v>9453</v>
      </c>
      <c r="E538" s="70" t="s">
        <v>9454</v>
      </c>
      <c r="F538" s="17" t="s">
        <v>806</v>
      </c>
      <c r="G538" s="22" t="s">
        <v>2336</v>
      </c>
      <c r="H538" s="12" t="s">
        <v>9703</v>
      </c>
      <c r="I538" s="13" t="s">
        <v>6952</v>
      </c>
      <c r="J538" s="14" t="s">
        <v>798</v>
      </c>
      <c r="K538" s="15" t="s">
        <v>798</v>
      </c>
      <c r="L538" s="12" t="s">
        <v>5315</v>
      </c>
      <c r="M538" s="13" t="s">
        <v>5559</v>
      </c>
      <c r="N538" s="12" t="s">
        <v>803</v>
      </c>
      <c r="O538" s="13" t="s">
        <v>5172</v>
      </c>
      <c r="P538" s="17" t="s">
        <v>802</v>
      </c>
      <c r="Q538" s="21" t="s">
        <v>7904</v>
      </c>
      <c r="R538" s="17" t="s">
        <v>801</v>
      </c>
      <c r="S538" s="18" t="s">
        <v>2585</v>
      </c>
      <c r="T538" s="17" t="s">
        <v>800</v>
      </c>
      <c r="U538" s="18" t="s">
        <v>5238</v>
      </c>
      <c r="V538" s="17" t="s">
        <v>9418</v>
      </c>
      <c r="W538" s="18" t="s">
        <v>5309</v>
      </c>
      <c r="X538" s="69" t="s">
        <v>9453</v>
      </c>
      <c r="Y538" s="70" t="s">
        <v>9462</v>
      </c>
      <c r="Z538" s="73" t="s">
        <v>9486</v>
      </c>
      <c r="AA538" s="74" t="s">
        <v>9504</v>
      </c>
      <c r="AB538" s="73" t="s">
        <v>9486</v>
      </c>
      <c r="AC538" s="74" t="s">
        <v>9566</v>
      </c>
      <c r="AD538" s="73" t="s">
        <v>9578</v>
      </c>
      <c r="AE538" s="74" t="s">
        <v>9579</v>
      </c>
    </row>
    <row r="539" spans="1:31" ht="8.65" customHeight="1" x14ac:dyDescent="0.2">
      <c r="A539" s="76">
        <v>539</v>
      </c>
      <c r="B539" s="67" t="str">
        <f>MID(C539, FIND("Ifc.", C539) + 4, 4) &amp; "_" &amp; TEXT(COUNTIF($C$2:C539, C539),"0000")</f>
        <v>Prop_0538</v>
      </c>
      <c r="C539" s="24" t="s">
        <v>872</v>
      </c>
      <c r="D539" s="69" t="s">
        <v>9453</v>
      </c>
      <c r="E539" s="70" t="s">
        <v>9454</v>
      </c>
      <c r="F539" s="17" t="s">
        <v>806</v>
      </c>
      <c r="G539" s="22" t="s">
        <v>2338</v>
      </c>
      <c r="H539" s="12" t="s">
        <v>9703</v>
      </c>
      <c r="I539" s="13" t="s">
        <v>7072</v>
      </c>
      <c r="J539" s="14" t="s">
        <v>798</v>
      </c>
      <c r="K539" s="15" t="s">
        <v>798</v>
      </c>
      <c r="L539" s="12" t="s">
        <v>5315</v>
      </c>
      <c r="M539" s="13" t="s">
        <v>5559</v>
      </c>
      <c r="N539" s="12" t="s">
        <v>803</v>
      </c>
      <c r="O539" s="13" t="s">
        <v>5172</v>
      </c>
      <c r="P539" s="17" t="s">
        <v>802</v>
      </c>
      <c r="Q539" s="21" t="s">
        <v>7904</v>
      </c>
      <c r="R539" s="17" t="s">
        <v>801</v>
      </c>
      <c r="S539" s="18" t="s">
        <v>2585</v>
      </c>
      <c r="T539" s="17" t="s">
        <v>800</v>
      </c>
      <c r="U539" s="18" t="s">
        <v>5238</v>
      </c>
      <c r="V539" s="17" t="s">
        <v>9418</v>
      </c>
      <c r="W539" s="18" t="s">
        <v>5309</v>
      </c>
      <c r="X539" s="69" t="s">
        <v>9453</v>
      </c>
      <c r="Y539" s="70" t="s">
        <v>9462</v>
      </c>
      <c r="Z539" s="73" t="s">
        <v>9486</v>
      </c>
      <c r="AA539" s="74" t="s">
        <v>9504</v>
      </c>
      <c r="AB539" s="73" t="s">
        <v>9486</v>
      </c>
      <c r="AC539" s="74" t="s">
        <v>9566</v>
      </c>
      <c r="AD539" s="73" t="s">
        <v>9578</v>
      </c>
      <c r="AE539" s="74" t="s">
        <v>9579</v>
      </c>
    </row>
    <row r="540" spans="1:31" ht="8.65" customHeight="1" x14ac:dyDescent="0.2">
      <c r="A540" s="76">
        <v>540</v>
      </c>
      <c r="B540" s="67" t="str">
        <f>MID(C540, FIND("Ifc.", C540) + 4, 4) &amp; "_" &amp; TEXT(COUNTIF($C$2:C540, C540),"0000")</f>
        <v>Prop_0539</v>
      </c>
      <c r="C540" s="24" t="s">
        <v>872</v>
      </c>
      <c r="D540" s="69" t="s">
        <v>9453</v>
      </c>
      <c r="E540" s="70" t="s">
        <v>9454</v>
      </c>
      <c r="F540" s="17" t="s">
        <v>806</v>
      </c>
      <c r="G540" s="22" t="s">
        <v>2337</v>
      </c>
      <c r="H540" s="12" t="s">
        <v>9703</v>
      </c>
      <c r="I540" s="13" t="s">
        <v>7071</v>
      </c>
      <c r="J540" s="14" t="s">
        <v>798</v>
      </c>
      <c r="K540" s="15" t="s">
        <v>798</v>
      </c>
      <c r="L540" s="12" t="s">
        <v>5315</v>
      </c>
      <c r="M540" s="13" t="s">
        <v>5559</v>
      </c>
      <c r="N540" s="12" t="s">
        <v>803</v>
      </c>
      <c r="O540" s="13" t="s">
        <v>5172</v>
      </c>
      <c r="P540" s="17" t="s">
        <v>802</v>
      </c>
      <c r="Q540" s="21" t="s">
        <v>7904</v>
      </c>
      <c r="R540" s="17" t="s">
        <v>801</v>
      </c>
      <c r="S540" s="18" t="s">
        <v>2585</v>
      </c>
      <c r="T540" s="17" t="s">
        <v>800</v>
      </c>
      <c r="U540" s="18" t="s">
        <v>5238</v>
      </c>
      <c r="V540" s="17" t="s">
        <v>9418</v>
      </c>
      <c r="W540" s="18" t="s">
        <v>5309</v>
      </c>
      <c r="X540" s="69" t="s">
        <v>9453</v>
      </c>
      <c r="Y540" s="70" t="s">
        <v>9462</v>
      </c>
      <c r="Z540" s="73" t="s">
        <v>9486</v>
      </c>
      <c r="AA540" s="74" t="s">
        <v>9504</v>
      </c>
      <c r="AB540" s="73" t="s">
        <v>9486</v>
      </c>
      <c r="AC540" s="74" t="s">
        <v>9566</v>
      </c>
      <c r="AD540" s="73" t="s">
        <v>9578</v>
      </c>
      <c r="AE540" s="74" t="s">
        <v>9579</v>
      </c>
    </row>
    <row r="541" spans="1:31" ht="8.65" customHeight="1" x14ac:dyDescent="0.2">
      <c r="A541" s="76">
        <v>541</v>
      </c>
      <c r="B541" s="67" t="str">
        <f>MID(C541, FIND("Ifc.", C541) + 4, 4) &amp; "_" &amp; TEXT(COUNTIF($C$2:C541, C541),"0000")</f>
        <v>Prop_0540</v>
      </c>
      <c r="C541" s="24" t="s">
        <v>872</v>
      </c>
      <c r="D541" s="69" t="s">
        <v>9453</v>
      </c>
      <c r="E541" s="70" t="s">
        <v>9454</v>
      </c>
      <c r="F541" s="17" t="s">
        <v>806</v>
      </c>
      <c r="G541" s="22" t="s">
        <v>1434</v>
      </c>
      <c r="H541" s="12" t="s">
        <v>9703</v>
      </c>
      <c r="I541" s="13" t="s">
        <v>7261</v>
      </c>
      <c r="J541" s="14" t="s">
        <v>798</v>
      </c>
      <c r="K541" s="15" t="s">
        <v>798</v>
      </c>
      <c r="L541" s="12" t="s">
        <v>5315</v>
      </c>
      <c r="M541" s="13" t="s">
        <v>5435</v>
      </c>
      <c r="N541" s="12" t="s">
        <v>803</v>
      </c>
      <c r="O541" s="13" t="s">
        <v>4935</v>
      </c>
      <c r="P541" s="17" t="s">
        <v>802</v>
      </c>
      <c r="Q541" s="21" t="s">
        <v>7721</v>
      </c>
      <c r="R541" s="17" t="s">
        <v>801</v>
      </c>
      <c r="S541" s="18" t="s">
        <v>2554</v>
      </c>
      <c r="T541" s="17" t="s">
        <v>800</v>
      </c>
      <c r="U541" s="18" t="s">
        <v>5233</v>
      </c>
      <c r="V541" s="17" t="s">
        <v>9418</v>
      </c>
      <c r="W541" s="18" t="s">
        <v>5309</v>
      </c>
      <c r="X541" s="69" t="s">
        <v>9453</v>
      </c>
      <c r="Y541" s="70" t="s">
        <v>9462</v>
      </c>
      <c r="Z541" s="73" t="s">
        <v>9486</v>
      </c>
      <c r="AA541" s="74" t="s">
        <v>9504</v>
      </c>
      <c r="AB541" s="73" t="s">
        <v>9486</v>
      </c>
      <c r="AC541" s="74" t="s">
        <v>9562</v>
      </c>
      <c r="AD541" s="73" t="s">
        <v>9578</v>
      </c>
      <c r="AE541" s="74" t="s">
        <v>9579</v>
      </c>
    </row>
    <row r="542" spans="1:31" ht="8.65" customHeight="1" x14ac:dyDescent="0.2">
      <c r="A542" s="76">
        <v>542</v>
      </c>
      <c r="B542" s="67" t="str">
        <f>MID(C542, FIND("Ifc.", C542) + 4, 4) &amp; "_" &amp; TEXT(COUNTIF($C$2:C542, C542),"0000")</f>
        <v>Prop_0541</v>
      </c>
      <c r="C542" s="24" t="s">
        <v>872</v>
      </c>
      <c r="D542" s="69" t="s">
        <v>9453</v>
      </c>
      <c r="E542" s="70" t="s">
        <v>9454</v>
      </c>
      <c r="F542" s="17" t="s">
        <v>806</v>
      </c>
      <c r="G542" s="22" t="s">
        <v>2243</v>
      </c>
      <c r="H542" s="12" t="s">
        <v>9703</v>
      </c>
      <c r="I542" s="13" t="s">
        <v>6692</v>
      </c>
      <c r="J542" s="14" t="s">
        <v>798</v>
      </c>
      <c r="K542" s="15" t="s">
        <v>798</v>
      </c>
      <c r="L542" s="12" t="s">
        <v>5315</v>
      </c>
      <c r="M542" s="13" t="s">
        <v>5518</v>
      </c>
      <c r="N542" s="12" t="s">
        <v>803</v>
      </c>
      <c r="O542" s="13" t="s">
        <v>5133</v>
      </c>
      <c r="P542" s="17" t="s">
        <v>802</v>
      </c>
      <c r="Q542" s="21" t="s">
        <v>7719</v>
      </c>
      <c r="R542" s="17" t="s">
        <v>801</v>
      </c>
      <c r="S542" s="18" t="s">
        <v>2669</v>
      </c>
      <c r="T542" s="17" t="s">
        <v>800</v>
      </c>
      <c r="U542" s="18" t="s">
        <v>5237</v>
      </c>
      <c r="V542" s="17" t="s">
        <v>9418</v>
      </c>
      <c r="W542" s="18" t="s">
        <v>5309</v>
      </c>
      <c r="X542" s="69" t="s">
        <v>9453</v>
      </c>
      <c r="Y542" s="70" t="s">
        <v>9462</v>
      </c>
      <c r="Z542" s="73" t="s">
        <v>9486</v>
      </c>
      <c r="AA542" s="74" t="s">
        <v>9504</v>
      </c>
      <c r="AB542" s="73" t="s">
        <v>9486</v>
      </c>
      <c r="AC542" s="74" t="s">
        <v>9562</v>
      </c>
      <c r="AD542" s="73" t="s">
        <v>9578</v>
      </c>
      <c r="AE542" s="74" t="s">
        <v>9579</v>
      </c>
    </row>
    <row r="543" spans="1:31" ht="8.65" customHeight="1" x14ac:dyDescent="0.2">
      <c r="A543" s="76">
        <v>543</v>
      </c>
      <c r="B543" s="67" t="str">
        <f>MID(C543, FIND("Ifc.", C543) + 4, 4) &amp; "_" &amp; TEXT(COUNTIF($C$2:C543, C543),"0000")</f>
        <v>Prop_0542</v>
      </c>
      <c r="C543" s="24" t="s">
        <v>872</v>
      </c>
      <c r="D543" s="69" t="s">
        <v>9453</v>
      </c>
      <c r="E543" s="70" t="s">
        <v>9454</v>
      </c>
      <c r="F543" s="17" t="s">
        <v>806</v>
      </c>
      <c r="G543" s="22" t="s">
        <v>2503</v>
      </c>
      <c r="H543" s="12" t="s">
        <v>9703</v>
      </c>
      <c r="I543" s="13" t="s">
        <v>6824</v>
      </c>
      <c r="J543" s="14" t="s">
        <v>798</v>
      </c>
      <c r="K543" s="15" t="s">
        <v>798</v>
      </c>
      <c r="L543" s="12" t="s">
        <v>5315</v>
      </c>
      <c r="M543" s="13" t="s">
        <v>5577</v>
      </c>
      <c r="N543" s="12" t="s">
        <v>803</v>
      </c>
      <c r="O543" s="13" t="s">
        <v>5222</v>
      </c>
      <c r="P543" s="17" t="s">
        <v>802</v>
      </c>
      <c r="Q543" s="21" t="s">
        <v>7905</v>
      </c>
      <c r="R543" s="17" t="s">
        <v>801</v>
      </c>
      <c r="S543" s="18" t="s">
        <v>2632</v>
      </c>
      <c r="T543" s="17" t="s">
        <v>800</v>
      </c>
      <c r="U543" s="18" t="s">
        <v>5270</v>
      </c>
      <c r="V543" s="17" t="s">
        <v>9418</v>
      </c>
      <c r="W543" s="18" t="s">
        <v>5309</v>
      </c>
      <c r="X543" s="69" t="s">
        <v>9453</v>
      </c>
      <c r="Y543" s="70" t="s">
        <v>9462</v>
      </c>
      <c r="Z543" s="73" t="s">
        <v>9486</v>
      </c>
      <c r="AA543" s="74" t="s">
        <v>9504</v>
      </c>
      <c r="AB543" s="73" t="s">
        <v>9486</v>
      </c>
      <c r="AC543" s="74" t="s">
        <v>9561</v>
      </c>
      <c r="AD543" s="73" t="s">
        <v>9578</v>
      </c>
      <c r="AE543" s="74" t="s">
        <v>9579</v>
      </c>
    </row>
    <row r="544" spans="1:31" ht="8.65" customHeight="1" x14ac:dyDescent="0.2">
      <c r="A544" s="76">
        <v>544</v>
      </c>
      <c r="B544" s="67" t="str">
        <f>MID(C544, FIND("Ifc.", C544) + 4, 4) &amp; "_" &amp; TEXT(COUNTIF($C$2:C544, C544),"0000")</f>
        <v>Prop_0543</v>
      </c>
      <c r="C544" s="24" t="s">
        <v>872</v>
      </c>
      <c r="D544" s="69" t="s">
        <v>9453</v>
      </c>
      <c r="E544" s="70" t="s">
        <v>9454</v>
      </c>
      <c r="F544" s="17" t="s">
        <v>806</v>
      </c>
      <c r="G544" s="22" t="s">
        <v>1703</v>
      </c>
      <c r="H544" s="12" t="s">
        <v>9703</v>
      </c>
      <c r="I544" s="13" t="s">
        <v>7017</v>
      </c>
      <c r="J544" s="14" t="s">
        <v>798</v>
      </c>
      <c r="K544" s="15" t="s">
        <v>798</v>
      </c>
      <c r="L544" s="12" t="s">
        <v>5315</v>
      </c>
      <c r="M544" s="13" t="s">
        <v>5928</v>
      </c>
      <c r="N544" s="12" t="s">
        <v>803</v>
      </c>
      <c r="O544" s="13" t="s">
        <v>5000</v>
      </c>
      <c r="P544" s="17" t="s">
        <v>802</v>
      </c>
      <c r="Q544" s="21" t="s">
        <v>7906</v>
      </c>
      <c r="R544" s="17" t="s">
        <v>801</v>
      </c>
      <c r="S544" s="18" t="s">
        <v>2585</v>
      </c>
      <c r="T544" s="17" t="s">
        <v>800</v>
      </c>
      <c r="U544" s="18" t="s">
        <v>5238</v>
      </c>
      <c r="V544" s="17" t="s">
        <v>9418</v>
      </c>
      <c r="W544" s="18" t="s">
        <v>5309</v>
      </c>
      <c r="X544" s="69" t="s">
        <v>9453</v>
      </c>
      <c r="Y544" s="70" t="s">
        <v>9462</v>
      </c>
      <c r="Z544" s="73" t="s">
        <v>9486</v>
      </c>
      <c r="AA544" s="74" t="s">
        <v>9504</v>
      </c>
      <c r="AB544" s="73" t="s">
        <v>9486</v>
      </c>
      <c r="AC544" s="74" t="s">
        <v>9566</v>
      </c>
      <c r="AD544" s="73" t="s">
        <v>9578</v>
      </c>
      <c r="AE544" s="74" t="s">
        <v>9704</v>
      </c>
    </row>
    <row r="545" spans="1:31" ht="8.65" customHeight="1" x14ac:dyDescent="0.2">
      <c r="A545" s="76">
        <v>545</v>
      </c>
      <c r="B545" s="67" t="str">
        <f>MID(C545, FIND("Ifc.", C545) + 4, 4) &amp; "_" &amp; TEXT(COUNTIF($C$2:C545, C545),"0000")</f>
        <v>Prop_0544</v>
      </c>
      <c r="C545" s="24" t="s">
        <v>872</v>
      </c>
      <c r="D545" s="69" t="s">
        <v>9453</v>
      </c>
      <c r="E545" s="70" t="s">
        <v>9454</v>
      </c>
      <c r="F545" s="17" t="s">
        <v>806</v>
      </c>
      <c r="G545" s="22" t="s">
        <v>1704</v>
      </c>
      <c r="H545" s="12" t="s">
        <v>9703</v>
      </c>
      <c r="I545" s="13" t="s">
        <v>7018</v>
      </c>
      <c r="J545" s="14" t="s">
        <v>798</v>
      </c>
      <c r="K545" s="15" t="s">
        <v>798</v>
      </c>
      <c r="L545" s="12" t="s">
        <v>5315</v>
      </c>
      <c r="M545" s="13" t="s">
        <v>5928</v>
      </c>
      <c r="N545" s="12" t="s">
        <v>803</v>
      </c>
      <c r="O545" s="13" t="s">
        <v>5000</v>
      </c>
      <c r="P545" s="17" t="s">
        <v>802</v>
      </c>
      <c r="Q545" s="21" t="s">
        <v>7906</v>
      </c>
      <c r="R545" s="17" t="s">
        <v>801</v>
      </c>
      <c r="S545" s="18" t="s">
        <v>2585</v>
      </c>
      <c r="T545" s="17" t="s">
        <v>800</v>
      </c>
      <c r="U545" s="18" t="s">
        <v>5238</v>
      </c>
      <c r="V545" s="17" t="s">
        <v>9418</v>
      </c>
      <c r="W545" s="18" t="s">
        <v>5309</v>
      </c>
      <c r="X545" s="69" t="s">
        <v>9453</v>
      </c>
      <c r="Y545" s="70" t="s">
        <v>9462</v>
      </c>
      <c r="Z545" s="73" t="s">
        <v>9486</v>
      </c>
      <c r="AA545" s="74" t="s">
        <v>9504</v>
      </c>
      <c r="AB545" s="73" t="s">
        <v>9486</v>
      </c>
      <c r="AC545" s="74" t="s">
        <v>9566</v>
      </c>
      <c r="AD545" s="73" t="s">
        <v>9578</v>
      </c>
      <c r="AE545" s="74" t="s">
        <v>9704</v>
      </c>
    </row>
    <row r="546" spans="1:31" ht="8.65" customHeight="1" x14ac:dyDescent="0.2">
      <c r="A546" s="76">
        <v>546</v>
      </c>
      <c r="B546" s="67" t="str">
        <f>MID(C546, FIND("Ifc.", C546) + 4, 4) &amp; "_" &amp; TEXT(COUNTIF($C$2:C546, C546),"0000")</f>
        <v>Prop_0545</v>
      </c>
      <c r="C546" s="24" t="s">
        <v>872</v>
      </c>
      <c r="D546" s="69" t="s">
        <v>9453</v>
      </c>
      <c r="E546" s="70" t="s">
        <v>9454</v>
      </c>
      <c r="F546" s="17" t="s">
        <v>806</v>
      </c>
      <c r="G546" s="22" t="s">
        <v>1028</v>
      </c>
      <c r="H546" s="12" t="s">
        <v>9703</v>
      </c>
      <c r="I546" s="13" t="s">
        <v>7110</v>
      </c>
      <c r="J546" s="14" t="s">
        <v>798</v>
      </c>
      <c r="K546" s="15" t="s">
        <v>798</v>
      </c>
      <c r="L546" s="12" t="s">
        <v>5315</v>
      </c>
      <c r="M546" s="13" t="s">
        <v>5383</v>
      </c>
      <c r="N546" s="12" t="s">
        <v>803</v>
      </c>
      <c r="O546" s="13" t="s">
        <v>4840</v>
      </c>
      <c r="P546" s="17" t="s">
        <v>802</v>
      </c>
      <c r="Q546" s="21" t="s">
        <v>7907</v>
      </c>
      <c r="R546" s="17" t="s">
        <v>801</v>
      </c>
      <c r="S546" s="18" t="s">
        <v>2583</v>
      </c>
      <c r="T546" s="17" t="s">
        <v>800</v>
      </c>
      <c r="U546" s="18" t="s">
        <v>5251</v>
      </c>
      <c r="V546" s="17" t="s">
        <v>9418</v>
      </c>
      <c r="W546" s="18" t="s">
        <v>5309</v>
      </c>
      <c r="X546" s="69" t="s">
        <v>9453</v>
      </c>
      <c r="Y546" s="70" t="s">
        <v>9462</v>
      </c>
      <c r="Z546" s="73" t="s">
        <v>9486</v>
      </c>
      <c r="AA546" s="74" t="s">
        <v>9504</v>
      </c>
      <c r="AB546" s="73" t="s">
        <v>9486</v>
      </c>
      <c r="AC546" s="74" t="s">
        <v>9566</v>
      </c>
      <c r="AD546" s="73" t="s">
        <v>9578</v>
      </c>
      <c r="AE546" s="74" t="s">
        <v>9579</v>
      </c>
    </row>
    <row r="547" spans="1:31" ht="8.65" customHeight="1" x14ac:dyDescent="0.2">
      <c r="A547" s="76">
        <v>547</v>
      </c>
      <c r="B547" s="67" t="str">
        <f>MID(C547, FIND("Ifc.", C547) + 4, 4) &amp; "_" &amp; TEXT(COUNTIF($C$2:C547, C547),"0000")</f>
        <v>Prop_0546</v>
      </c>
      <c r="C547" s="24" t="s">
        <v>872</v>
      </c>
      <c r="D547" s="69" t="s">
        <v>9453</v>
      </c>
      <c r="E547" s="70" t="s">
        <v>9454</v>
      </c>
      <c r="F547" s="17" t="s">
        <v>806</v>
      </c>
      <c r="G547" s="22" t="s">
        <v>1208</v>
      </c>
      <c r="H547" s="12" t="s">
        <v>9703</v>
      </c>
      <c r="I547" s="13" t="s">
        <v>6487</v>
      </c>
      <c r="J547" s="14" t="s">
        <v>798</v>
      </c>
      <c r="K547" s="15" t="s">
        <v>798</v>
      </c>
      <c r="L547" s="12" t="s">
        <v>5315</v>
      </c>
      <c r="M547" s="13" t="s">
        <v>5821</v>
      </c>
      <c r="N547" s="12" t="s">
        <v>803</v>
      </c>
      <c r="O547" s="13" t="s">
        <v>4883</v>
      </c>
      <c r="P547" s="17" t="s">
        <v>802</v>
      </c>
      <c r="Q547" s="21" t="s">
        <v>7683</v>
      </c>
      <c r="R547" s="17" t="s">
        <v>801</v>
      </c>
      <c r="S547" s="18" t="s">
        <v>2576</v>
      </c>
      <c r="T547" s="17" t="s">
        <v>800</v>
      </c>
      <c r="U547" s="18" t="s">
        <v>5268</v>
      </c>
      <c r="V547" s="17" t="s">
        <v>9418</v>
      </c>
      <c r="W547" s="18" t="s">
        <v>5311</v>
      </c>
      <c r="X547" s="69" t="s">
        <v>9453</v>
      </c>
      <c r="Y547" s="70" t="s">
        <v>9466</v>
      </c>
      <c r="Z547" s="73" t="s">
        <v>9486</v>
      </c>
      <c r="AA547" s="74" t="s">
        <v>9504</v>
      </c>
      <c r="AB547" s="73" t="s">
        <v>9486</v>
      </c>
      <c r="AC547" s="74" t="s">
        <v>9566</v>
      </c>
      <c r="AD547" s="73" t="s">
        <v>9578</v>
      </c>
      <c r="AE547" s="74" t="s">
        <v>9579</v>
      </c>
    </row>
    <row r="548" spans="1:31" ht="8.65" customHeight="1" x14ac:dyDescent="0.2">
      <c r="A548" s="76">
        <v>548</v>
      </c>
      <c r="B548" s="67" t="str">
        <f>MID(C548, FIND("Ifc.", C548) + 4, 4) &amp; "_" &amp; TEXT(COUNTIF($C$2:C548, C548),"0000")</f>
        <v>Prop_0547</v>
      </c>
      <c r="C548" s="24" t="s">
        <v>872</v>
      </c>
      <c r="D548" s="69" t="s">
        <v>9453</v>
      </c>
      <c r="E548" s="70" t="s">
        <v>9454</v>
      </c>
      <c r="F548" s="17" t="s">
        <v>806</v>
      </c>
      <c r="G548" s="22" t="s">
        <v>1448</v>
      </c>
      <c r="H548" s="12" t="s">
        <v>9703</v>
      </c>
      <c r="I548" s="13" t="s">
        <v>6322</v>
      </c>
      <c r="J548" s="14" t="s">
        <v>798</v>
      </c>
      <c r="K548" s="15" t="s">
        <v>798</v>
      </c>
      <c r="L548" s="12" t="s">
        <v>5315</v>
      </c>
      <c r="M548" s="13" t="s">
        <v>5826</v>
      </c>
      <c r="N548" s="12" t="s">
        <v>803</v>
      </c>
      <c r="O548" s="13" t="s">
        <v>4937</v>
      </c>
      <c r="P548" s="17" t="s">
        <v>802</v>
      </c>
      <c r="Q548" s="21" t="s">
        <v>7908</v>
      </c>
      <c r="R548" s="17" t="s">
        <v>801</v>
      </c>
      <c r="S548" s="18" t="s">
        <v>2585</v>
      </c>
      <c r="T548" s="17" t="s">
        <v>800</v>
      </c>
      <c r="U548" s="18" t="s">
        <v>5238</v>
      </c>
      <c r="V548" s="17" t="s">
        <v>9418</v>
      </c>
      <c r="W548" s="18" t="s">
        <v>5311</v>
      </c>
      <c r="X548" s="69" t="s">
        <v>9453</v>
      </c>
      <c r="Y548" s="70" t="s">
        <v>9466</v>
      </c>
      <c r="Z548" s="73" t="s">
        <v>9486</v>
      </c>
      <c r="AA548" s="74" t="s">
        <v>9504</v>
      </c>
      <c r="AB548" s="73" t="s">
        <v>9486</v>
      </c>
      <c r="AC548" s="74" t="s">
        <v>9566</v>
      </c>
      <c r="AD548" s="73" t="s">
        <v>9578</v>
      </c>
      <c r="AE548" s="74" t="s">
        <v>9579</v>
      </c>
    </row>
    <row r="549" spans="1:31" ht="8.65" customHeight="1" x14ac:dyDescent="0.2">
      <c r="A549" s="76">
        <v>549</v>
      </c>
      <c r="B549" s="67" t="str">
        <f>MID(C549, FIND("Ifc.", C549) + 4, 4) &amp; "_" &amp; TEXT(COUNTIF($C$2:C549, C549),"0000")</f>
        <v>Prop_0548</v>
      </c>
      <c r="C549" s="24" t="s">
        <v>872</v>
      </c>
      <c r="D549" s="69" t="s">
        <v>9453</v>
      </c>
      <c r="E549" s="70" t="s">
        <v>9454</v>
      </c>
      <c r="F549" s="17" t="s">
        <v>806</v>
      </c>
      <c r="G549" s="22" t="s">
        <v>1627</v>
      </c>
      <c r="H549" s="12" t="s">
        <v>9703</v>
      </c>
      <c r="I549" s="13" t="s">
        <v>6370</v>
      </c>
      <c r="J549" s="14" t="s">
        <v>798</v>
      </c>
      <c r="K549" s="15" t="s">
        <v>798</v>
      </c>
      <c r="L549" s="12" t="s">
        <v>5315</v>
      </c>
      <c r="M549" s="13" t="s">
        <v>5834</v>
      </c>
      <c r="N549" s="12" t="s">
        <v>803</v>
      </c>
      <c r="O549" s="13" t="s">
        <v>4976</v>
      </c>
      <c r="P549" s="17" t="s">
        <v>802</v>
      </c>
      <c r="Q549" s="21" t="s">
        <v>7883</v>
      </c>
      <c r="R549" s="17" t="s">
        <v>801</v>
      </c>
      <c r="S549" s="18" t="s">
        <v>3636</v>
      </c>
      <c r="T549" s="17" t="s">
        <v>800</v>
      </c>
      <c r="U549" s="18" t="s">
        <v>5257</v>
      </c>
      <c r="V549" s="17" t="s">
        <v>9418</v>
      </c>
      <c r="W549" s="18" t="s">
        <v>5314</v>
      </c>
      <c r="X549" s="69" t="s">
        <v>9453</v>
      </c>
      <c r="Y549" s="70" t="s">
        <v>9464</v>
      </c>
      <c r="Z549" s="73" t="s">
        <v>9486</v>
      </c>
      <c r="AA549" s="74" t="s">
        <v>9504</v>
      </c>
      <c r="AB549" s="73" t="s">
        <v>9486</v>
      </c>
      <c r="AC549" s="74" t="s">
        <v>9561</v>
      </c>
      <c r="AD549" s="73" t="s">
        <v>9578</v>
      </c>
      <c r="AE549" s="74" t="s">
        <v>9579</v>
      </c>
    </row>
    <row r="550" spans="1:31" ht="8.65" customHeight="1" x14ac:dyDescent="0.2">
      <c r="A550" s="76">
        <v>550</v>
      </c>
      <c r="B550" s="67" t="str">
        <f>MID(C550, FIND("Ifc.", C550) + 4, 4) &amp; "_" &amp; TEXT(COUNTIF($C$2:C550, C550),"0000")</f>
        <v>Prop_0549</v>
      </c>
      <c r="C550" s="24" t="s">
        <v>872</v>
      </c>
      <c r="D550" s="69" t="s">
        <v>9453</v>
      </c>
      <c r="E550" s="70" t="s">
        <v>9454</v>
      </c>
      <c r="F550" s="17" t="s">
        <v>806</v>
      </c>
      <c r="G550" s="22" t="s">
        <v>1121</v>
      </c>
      <c r="H550" s="12" t="s">
        <v>9703</v>
      </c>
      <c r="I550" s="13" t="s">
        <v>6167</v>
      </c>
      <c r="J550" s="14" t="s">
        <v>798</v>
      </c>
      <c r="K550" s="15" t="s">
        <v>798</v>
      </c>
      <c r="L550" s="12" t="s">
        <v>5315</v>
      </c>
      <c r="M550" s="13" t="s">
        <v>5392</v>
      </c>
      <c r="N550" s="12" t="s">
        <v>803</v>
      </c>
      <c r="O550" s="13" t="s">
        <v>4858</v>
      </c>
      <c r="P550" s="17" t="s">
        <v>802</v>
      </c>
      <c r="Q550" s="21" t="s">
        <v>7798</v>
      </c>
      <c r="R550" s="17" t="s">
        <v>801</v>
      </c>
      <c r="S550" s="18" t="s">
        <v>2631</v>
      </c>
      <c r="T550" s="17" t="s">
        <v>800</v>
      </c>
      <c r="U550" s="18" t="s">
        <v>5253</v>
      </c>
      <c r="V550" s="17" t="s">
        <v>9418</v>
      </c>
      <c r="W550" s="18" t="s">
        <v>5311</v>
      </c>
      <c r="X550" s="69" t="s">
        <v>9453</v>
      </c>
      <c r="Y550" s="70" t="s">
        <v>9466</v>
      </c>
      <c r="Z550" s="73" t="s">
        <v>9486</v>
      </c>
      <c r="AA550" s="74" t="s">
        <v>9504</v>
      </c>
      <c r="AB550" s="73" t="s">
        <v>9486</v>
      </c>
      <c r="AC550" s="74" t="s">
        <v>9566</v>
      </c>
      <c r="AD550" s="73" t="s">
        <v>9578</v>
      </c>
      <c r="AE550" s="74" t="s">
        <v>9579</v>
      </c>
    </row>
    <row r="551" spans="1:31" ht="8.65" customHeight="1" x14ac:dyDescent="0.2">
      <c r="A551" s="76">
        <v>551</v>
      </c>
      <c r="B551" s="67" t="str">
        <f>MID(C551, FIND("Ifc.", C551) + 4, 4) &amp; "_" &amp; TEXT(COUNTIF($C$2:C551, C551),"0000")</f>
        <v>Prop_0550</v>
      </c>
      <c r="C551" s="24" t="s">
        <v>872</v>
      </c>
      <c r="D551" s="69" t="s">
        <v>9453</v>
      </c>
      <c r="E551" s="70" t="s">
        <v>9454</v>
      </c>
      <c r="F551" s="17" t="s">
        <v>806</v>
      </c>
      <c r="G551" s="22" t="s">
        <v>1246</v>
      </c>
      <c r="H551" s="12" t="s">
        <v>9703</v>
      </c>
      <c r="I551" s="13" t="s">
        <v>7213</v>
      </c>
      <c r="J551" s="14" t="s">
        <v>798</v>
      </c>
      <c r="K551" s="15" t="s">
        <v>798</v>
      </c>
      <c r="L551" s="12" t="s">
        <v>5315</v>
      </c>
      <c r="M551" s="13" t="s">
        <v>5402</v>
      </c>
      <c r="N551" s="12" t="s">
        <v>803</v>
      </c>
      <c r="O551" s="13" t="s">
        <v>4890</v>
      </c>
      <c r="P551" s="17" t="s">
        <v>802</v>
      </c>
      <c r="Q551" s="21" t="s">
        <v>7909</v>
      </c>
      <c r="R551" s="17" t="s">
        <v>801</v>
      </c>
      <c r="S551" s="18" t="s">
        <v>2590</v>
      </c>
      <c r="T551" s="17" t="s">
        <v>800</v>
      </c>
      <c r="U551" s="18" t="s">
        <v>5274</v>
      </c>
      <c r="V551" s="17" t="s">
        <v>9418</v>
      </c>
      <c r="W551" s="18" t="s">
        <v>5311</v>
      </c>
      <c r="X551" s="69" t="s">
        <v>9453</v>
      </c>
      <c r="Y551" s="70" t="s">
        <v>9466</v>
      </c>
      <c r="Z551" s="73" t="s">
        <v>9486</v>
      </c>
      <c r="AA551" s="74" t="s">
        <v>9504</v>
      </c>
      <c r="AB551" s="73" t="s">
        <v>9486</v>
      </c>
      <c r="AC551" s="74" t="s">
        <v>9566</v>
      </c>
      <c r="AD551" s="73" t="s">
        <v>9578</v>
      </c>
      <c r="AE551" s="74" t="s">
        <v>9579</v>
      </c>
    </row>
    <row r="552" spans="1:31" ht="8.65" customHeight="1" x14ac:dyDescent="0.2">
      <c r="A552" s="76">
        <v>552</v>
      </c>
      <c r="B552" s="67" t="str">
        <f>MID(C552, FIND("Ifc.", C552) + 4, 4) &amp; "_" &amp; TEXT(COUNTIF($C$2:C552, C552),"0000")</f>
        <v>Prop_0551</v>
      </c>
      <c r="C552" s="24" t="s">
        <v>872</v>
      </c>
      <c r="D552" s="69" t="s">
        <v>9453</v>
      </c>
      <c r="E552" s="70" t="s">
        <v>9454</v>
      </c>
      <c r="F552" s="17" t="s">
        <v>806</v>
      </c>
      <c r="G552" s="22" t="s">
        <v>1454</v>
      </c>
      <c r="H552" s="12" t="s">
        <v>9703</v>
      </c>
      <c r="I552" s="13" t="s">
        <v>6327</v>
      </c>
      <c r="J552" s="14" t="s">
        <v>798</v>
      </c>
      <c r="K552" s="15" t="s">
        <v>798</v>
      </c>
      <c r="L552" s="12" t="s">
        <v>5315</v>
      </c>
      <c r="M552" s="13" t="s">
        <v>5438</v>
      </c>
      <c r="N552" s="12" t="s">
        <v>803</v>
      </c>
      <c r="O552" s="13" t="s">
        <v>4939</v>
      </c>
      <c r="P552" s="17" t="s">
        <v>802</v>
      </c>
      <c r="Q552" s="21" t="s">
        <v>7756</v>
      </c>
      <c r="R552" s="17" t="s">
        <v>801</v>
      </c>
      <c r="S552" s="18" t="s">
        <v>2611</v>
      </c>
      <c r="T552" s="17" t="s">
        <v>800</v>
      </c>
      <c r="U552" s="18" t="s">
        <v>5255</v>
      </c>
      <c r="V552" s="17" t="s">
        <v>9418</v>
      </c>
      <c r="W552" s="18" t="s">
        <v>5311</v>
      </c>
      <c r="X552" s="69" t="s">
        <v>9453</v>
      </c>
      <c r="Y552" s="70" t="s">
        <v>9466</v>
      </c>
      <c r="Z552" s="73" t="s">
        <v>9486</v>
      </c>
      <c r="AA552" s="74" t="s">
        <v>9504</v>
      </c>
      <c r="AB552" s="73" t="s">
        <v>9486</v>
      </c>
      <c r="AC552" s="74" t="s">
        <v>9566</v>
      </c>
      <c r="AD552" s="73" t="s">
        <v>9578</v>
      </c>
      <c r="AE552" s="74" t="s">
        <v>9579</v>
      </c>
    </row>
    <row r="553" spans="1:31" ht="8.65" customHeight="1" x14ac:dyDescent="0.2">
      <c r="A553" s="76">
        <v>553</v>
      </c>
      <c r="B553" s="67" t="str">
        <f>MID(C553, FIND("Ifc.", C553) + 4, 4) &amp; "_" &amp; TEXT(COUNTIF($C$2:C553, C553),"0000")</f>
        <v>Prop_0552</v>
      </c>
      <c r="C553" s="24" t="s">
        <v>872</v>
      </c>
      <c r="D553" s="69" t="s">
        <v>9453</v>
      </c>
      <c r="E553" s="70" t="s">
        <v>9454</v>
      </c>
      <c r="F553" s="17" t="s">
        <v>806</v>
      </c>
      <c r="G553" s="22" t="s">
        <v>2450</v>
      </c>
      <c r="H553" s="12" t="s">
        <v>9703</v>
      </c>
      <c r="I553" s="13" t="s">
        <v>6800</v>
      </c>
      <c r="J553" s="14" t="s">
        <v>798</v>
      </c>
      <c r="K553" s="15" t="s">
        <v>798</v>
      </c>
      <c r="L553" s="12" t="s">
        <v>5315</v>
      </c>
      <c r="M553" s="13" t="s">
        <v>5573</v>
      </c>
      <c r="N553" s="12" t="s">
        <v>803</v>
      </c>
      <c r="O553" s="13" t="s">
        <v>5206</v>
      </c>
      <c r="P553" s="17" t="s">
        <v>802</v>
      </c>
      <c r="Q553" s="21" t="s">
        <v>7742</v>
      </c>
      <c r="R553" s="17" t="s">
        <v>801</v>
      </c>
      <c r="S553" s="18" t="s">
        <v>2638</v>
      </c>
      <c r="T553" s="17" t="s">
        <v>800</v>
      </c>
      <c r="U553" s="18" t="s">
        <v>5254</v>
      </c>
      <c r="V553" s="17" t="s">
        <v>9418</v>
      </c>
      <c r="W553" s="18" t="s">
        <v>5311</v>
      </c>
      <c r="X553" s="69" t="s">
        <v>9453</v>
      </c>
      <c r="Y553" s="70" t="s">
        <v>9466</v>
      </c>
      <c r="Z553" s="73" t="s">
        <v>9486</v>
      </c>
      <c r="AA553" s="74" t="s">
        <v>9504</v>
      </c>
      <c r="AB553" s="73" t="s">
        <v>9486</v>
      </c>
      <c r="AC553" s="74" t="s">
        <v>9566</v>
      </c>
      <c r="AD553" s="73" t="s">
        <v>9578</v>
      </c>
      <c r="AE553" s="74" t="s">
        <v>9579</v>
      </c>
    </row>
    <row r="554" spans="1:31" ht="8.65" customHeight="1" x14ac:dyDescent="0.2">
      <c r="A554" s="76">
        <v>554</v>
      </c>
      <c r="B554" s="67" t="str">
        <f>MID(C554, FIND("Ifc.", C554) + 4, 4) &amp; "_" &amp; TEXT(COUNTIF($C$2:C554, C554),"0000")</f>
        <v>Prop_0553</v>
      </c>
      <c r="C554" s="24" t="s">
        <v>872</v>
      </c>
      <c r="D554" s="69" t="s">
        <v>9453</v>
      </c>
      <c r="E554" s="70" t="s">
        <v>9454</v>
      </c>
      <c r="F554" s="17" t="s">
        <v>806</v>
      </c>
      <c r="G554" s="22" t="s">
        <v>1456</v>
      </c>
      <c r="H554" s="12" t="s">
        <v>9703</v>
      </c>
      <c r="I554" s="13" t="s">
        <v>6329</v>
      </c>
      <c r="J554" s="14" t="s">
        <v>798</v>
      </c>
      <c r="K554" s="15" t="s">
        <v>798</v>
      </c>
      <c r="L554" s="12" t="s">
        <v>5315</v>
      </c>
      <c r="M554" s="13" t="s">
        <v>5438</v>
      </c>
      <c r="N554" s="12" t="s">
        <v>803</v>
      </c>
      <c r="O554" s="13" t="s">
        <v>4939</v>
      </c>
      <c r="P554" s="17" t="s">
        <v>802</v>
      </c>
      <c r="Q554" s="21" t="s">
        <v>7756</v>
      </c>
      <c r="R554" s="17" t="s">
        <v>801</v>
      </c>
      <c r="S554" s="18" t="s">
        <v>2611</v>
      </c>
      <c r="T554" s="17" t="s">
        <v>800</v>
      </c>
      <c r="U554" s="18" t="s">
        <v>5255</v>
      </c>
      <c r="V554" s="17" t="s">
        <v>9418</v>
      </c>
      <c r="W554" s="18" t="s">
        <v>5311</v>
      </c>
      <c r="X554" s="69" t="s">
        <v>9453</v>
      </c>
      <c r="Y554" s="70" t="s">
        <v>9466</v>
      </c>
      <c r="Z554" s="73" t="s">
        <v>9486</v>
      </c>
      <c r="AA554" s="74" t="s">
        <v>9504</v>
      </c>
      <c r="AB554" s="73" t="s">
        <v>9486</v>
      </c>
      <c r="AC554" s="74" t="s">
        <v>9566</v>
      </c>
      <c r="AD554" s="73" t="s">
        <v>9578</v>
      </c>
      <c r="AE554" s="74" t="s">
        <v>9579</v>
      </c>
    </row>
    <row r="555" spans="1:31" ht="8.65" customHeight="1" x14ac:dyDescent="0.2">
      <c r="A555" s="76">
        <v>555</v>
      </c>
      <c r="B555" s="67" t="str">
        <f>MID(C555, FIND("Ifc.", C555) + 4, 4) &amp; "_" &amp; TEXT(COUNTIF($C$2:C555, C555),"0000")</f>
        <v>Prop_0554</v>
      </c>
      <c r="C555" s="24" t="s">
        <v>872</v>
      </c>
      <c r="D555" s="69" t="s">
        <v>9453</v>
      </c>
      <c r="E555" s="70" t="s">
        <v>9454</v>
      </c>
      <c r="F555" s="17" t="s">
        <v>806</v>
      </c>
      <c r="G555" s="22" t="s">
        <v>2441</v>
      </c>
      <c r="H555" s="12" t="s">
        <v>9703</v>
      </c>
      <c r="I555" s="13" t="s">
        <v>6792</v>
      </c>
      <c r="J555" s="14" t="s">
        <v>798</v>
      </c>
      <c r="K555" s="15" t="s">
        <v>798</v>
      </c>
      <c r="L555" s="12" t="s">
        <v>5315</v>
      </c>
      <c r="M555" s="13" t="s">
        <v>5570</v>
      </c>
      <c r="N555" s="12" t="s">
        <v>803</v>
      </c>
      <c r="O555" s="13" t="s">
        <v>5203</v>
      </c>
      <c r="P555" s="17" t="s">
        <v>802</v>
      </c>
      <c r="Q555" s="21" t="s">
        <v>7900</v>
      </c>
      <c r="R555" s="17" t="s">
        <v>801</v>
      </c>
      <c r="S555" s="18" t="s">
        <v>2624</v>
      </c>
      <c r="T555" s="17" t="s">
        <v>800</v>
      </c>
      <c r="U555" s="18" t="s">
        <v>5243</v>
      </c>
      <c r="V555" s="17" t="s">
        <v>9418</v>
      </c>
      <c r="W555" s="18" t="s">
        <v>5311</v>
      </c>
      <c r="X555" s="69" t="s">
        <v>9453</v>
      </c>
      <c r="Y555" s="70" t="s">
        <v>9466</v>
      </c>
      <c r="Z555" s="73" t="s">
        <v>9486</v>
      </c>
      <c r="AA555" s="74" t="s">
        <v>9504</v>
      </c>
      <c r="AB555" s="73" t="s">
        <v>9486</v>
      </c>
      <c r="AC555" s="74" t="s">
        <v>9566</v>
      </c>
      <c r="AD555" s="73" t="s">
        <v>9578</v>
      </c>
      <c r="AE555" s="74" t="s">
        <v>9579</v>
      </c>
    </row>
    <row r="556" spans="1:31" ht="8.65" customHeight="1" x14ac:dyDescent="0.2">
      <c r="A556" s="76">
        <v>556</v>
      </c>
      <c r="B556" s="67" t="str">
        <f>MID(C556, FIND("Ifc.", C556) + 4, 4) &amp; "_" &amp; TEXT(COUNTIF($C$2:C556, C556),"0000")</f>
        <v>Prop_0555</v>
      </c>
      <c r="C556" s="24" t="s">
        <v>872</v>
      </c>
      <c r="D556" s="69" t="s">
        <v>9453</v>
      </c>
      <c r="E556" s="70" t="s">
        <v>9454</v>
      </c>
      <c r="F556" s="17" t="s">
        <v>806</v>
      </c>
      <c r="G556" s="22" t="s">
        <v>2441</v>
      </c>
      <c r="H556" s="12" t="s">
        <v>9703</v>
      </c>
      <c r="I556" s="13" t="s">
        <v>6792</v>
      </c>
      <c r="J556" s="14" t="s">
        <v>798</v>
      </c>
      <c r="K556" s="15" t="s">
        <v>798</v>
      </c>
      <c r="L556" s="12" t="s">
        <v>5315</v>
      </c>
      <c r="M556" s="13" t="s">
        <v>5577</v>
      </c>
      <c r="N556" s="12" t="s">
        <v>803</v>
      </c>
      <c r="O556" s="13" t="s">
        <v>5222</v>
      </c>
      <c r="P556" s="17" t="s">
        <v>802</v>
      </c>
      <c r="Q556" s="21" t="s">
        <v>7905</v>
      </c>
      <c r="R556" s="17" t="s">
        <v>801</v>
      </c>
      <c r="S556" s="18" t="s">
        <v>2638</v>
      </c>
      <c r="T556" s="17" t="s">
        <v>800</v>
      </c>
      <c r="U556" s="18" t="s">
        <v>5254</v>
      </c>
      <c r="V556" s="17" t="s">
        <v>9418</v>
      </c>
      <c r="W556" s="18" t="s">
        <v>5311</v>
      </c>
      <c r="X556" s="69" t="s">
        <v>9453</v>
      </c>
      <c r="Y556" s="70" t="s">
        <v>9466</v>
      </c>
      <c r="Z556" s="73" t="s">
        <v>9486</v>
      </c>
      <c r="AA556" s="74" t="s">
        <v>9504</v>
      </c>
      <c r="AB556" s="73" t="s">
        <v>9486</v>
      </c>
      <c r="AC556" s="74" t="s">
        <v>9566</v>
      </c>
      <c r="AD556" s="73" t="s">
        <v>9578</v>
      </c>
      <c r="AE556" s="74" t="s">
        <v>9579</v>
      </c>
    </row>
    <row r="557" spans="1:31" ht="8.65" customHeight="1" x14ac:dyDescent="0.2">
      <c r="A557" s="76">
        <v>557</v>
      </c>
      <c r="B557" s="67" t="str">
        <f>MID(C557, FIND("Ifc.", C557) + 4, 4) &amp; "_" &amp; TEXT(COUNTIF($C$2:C557, C557),"0000")</f>
        <v>Prop_0556</v>
      </c>
      <c r="C557" s="24" t="s">
        <v>872</v>
      </c>
      <c r="D557" s="69" t="s">
        <v>9453</v>
      </c>
      <c r="E557" s="70" t="s">
        <v>9454</v>
      </c>
      <c r="F557" s="17" t="s">
        <v>806</v>
      </c>
      <c r="G557" s="22" t="s">
        <v>1553</v>
      </c>
      <c r="H557" s="12" t="s">
        <v>9703</v>
      </c>
      <c r="I557" s="13" t="s">
        <v>6378</v>
      </c>
      <c r="J557" s="14" t="s">
        <v>798</v>
      </c>
      <c r="K557" s="15" t="s">
        <v>798</v>
      </c>
      <c r="L557" s="12" t="s">
        <v>5315</v>
      </c>
      <c r="M557" s="13" t="s">
        <v>5890</v>
      </c>
      <c r="N557" s="12" t="s">
        <v>803</v>
      </c>
      <c r="O557" s="13" t="s">
        <v>4959</v>
      </c>
      <c r="P557" s="17" t="s">
        <v>802</v>
      </c>
      <c r="Q557" s="21" t="s">
        <v>7910</v>
      </c>
      <c r="R557" s="17" t="s">
        <v>801</v>
      </c>
      <c r="S557" s="18" t="s">
        <v>3636</v>
      </c>
      <c r="T557" s="17" t="s">
        <v>800</v>
      </c>
      <c r="U557" s="18" t="s">
        <v>5257</v>
      </c>
      <c r="V557" s="17" t="s">
        <v>9418</v>
      </c>
      <c r="W557" s="18" t="s">
        <v>5314</v>
      </c>
      <c r="X557" s="69" t="s">
        <v>9453</v>
      </c>
      <c r="Y557" s="70" t="s">
        <v>9464</v>
      </c>
      <c r="Z557" s="73" t="s">
        <v>9486</v>
      </c>
      <c r="AA557" s="74" t="s">
        <v>9504</v>
      </c>
      <c r="AB557" s="73" t="s">
        <v>9486</v>
      </c>
      <c r="AC557" s="74" t="s">
        <v>9561</v>
      </c>
      <c r="AD557" s="73" t="s">
        <v>9578</v>
      </c>
      <c r="AE557" s="74" t="s">
        <v>9579</v>
      </c>
    </row>
    <row r="558" spans="1:31" ht="8.65" customHeight="1" x14ac:dyDescent="0.2">
      <c r="A558" s="76">
        <v>558</v>
      </c>
      <c r="B558" s="67" t="str">
        <f>MID(C558, FIND("Ifc.", C558) + 4, 4) &amp; "_" &amp; TEXT(COUNTIF($C$2:C558, C558),"0000")</f>
        <v>Prop_0557</v>
      </c>
      <c r="C558" s="24" t="s">
        <v>872</v>
      </c>
      <c r="D558" s="69" t="s">
        <v>9453</v>
      </c>
      <c r="E558" s="70" t="s">
        <v>9454</v>
      </c>
      <c r="F558" s="17" t="s">
        <v>806</v>
      </c>
      <c r="G558" s="22" t="s">
        <v>2453</v>
      </c>
      <c r="H558" s="12" t="s">
        <v>9703</v>
      </c>
      <c r="I558" s="13" t="s">
        <v>6992</v>
      </c>
      <c r="J558" s="14" t="s">
        <v>798</v>
      </c>
      <c r="K558" s="15" t="s">
        <v>798</v>
      </c>
      <c r="L558" s="12" t="s">
        <v>5315</v>
      </c>
      <c r="M558" s="13" t="s">
        <v>6008</v>
      </c>
      <c r="N558" s="12" t="s">
        <v>803</v>
      </c>
      <c r="O558" s="13" t="s">
        <v>5208</v>
      </c>
      <c r="P558" s="17" t="s">
        <v>802</v>
      </c>
      <c r="Q558" s="21" t="s">
        <v>7911</v>
      </c>
      <c r="R558" s="17" t="s">
        <v>801</v>
      </c>
      <c r="S558" s="18" t="s">
        <v>2590</v>
      </c>
      <c r="T558" s="17" t="s">
        <v>800</v>
      </c>
      <c r="U558" s="18" t="s">
        <v>5274</v>
      </c>
      <c r="V558" s="17" t="s">
        <v>9418</v>
      </c>
      <c r="W558" s="18" t="s">
        <v>5311</v>
      </c>
      <c r="X558" s="69" t="s">
        <v>9453</v>
      </c>
      <c r="Y558" s="70" t="s">
        <v>9466</v>
      </c>
      <c r="Z558" s="73" t="s">
        <v>9486</v>
      </c>
      <c r="AA558" s="74" t="s">
        <v>9504</v>
      </c>
      <c r="AB558" s="73" t="s">
        <v>9486</v>
      </c>
      <c r="AC558" s="74" t="s">
        <v>9566</v>
      </c>
      <c r="AD558" s="73" t="s">
        <v>9578</v>
      </c>
      <c r="AE558" s="74" t="s">
        <v>9579</v>
      </c>
    </row>
    <row r="559" spans="1:31" ht="8.65" customHeight="1" x14ac:dyDescent="0.2">
      <c r="A559" s="76">
        <v>559</v>
      </c>
      <c r="B559" s="67" t="str">
        <f>MID(C559, FIND("Ifc.", C559) + 4, 4) &amp; "_" &amp; TEXT(COUNTIF($C$2:C559, C559),"0000")</f>
        <v>Prop_0558</v>
      </c>
      <c r="C559" s="24" t="s">
        <v>872</v>
      </c>
      <c r="D559" s="69" t="s">
        <v>9453</v>
      </c>
      <c r="E559" s="70" t="s">
        <v>9454</v>
      </c>
      <c r="F559" s="17" t="s">
        <v>806</v>
      </c>
      <c r="G559" s="22" t="s">
        <v>2507</v>
      </c>
      <c r="H559" s="12" t="s">
        <v>9703</v>
      </c>
      <c r="I559" s="13" t="s">
        <v>6828</v>
      </c>
      <c r="J559" s="14" t="s">
        <v>798</v>
      </c>
      <c r="K559" s="15" t="s">
        <v>798</v>
      </c>
      <c r="L559" s="12" t="s">
        <v>5315</v>
      </c>
      <c r="M559" s="13" t="s">
        <v>5577</v>
      </c>
      <c r="N559" s="12" t="s">
        <v>803</v>
      </c>
      <c r="O559" s="13" t="s">
        <v>5222</v>
      </c>
      <c r="P559" s="17" t="s">
        <v>802</v>
      </c>
      <c r="Q559" s="21" t="s">
        <v>7905</v>
      </c>
      <c r="R559" s="17" t="s">
        <v>801</v>
      </c>
      <c r="S559" s="18" t="s">
        <v>2638</v>
      </c>
      <c r="T559" s="17" t="s">
        <v>800</v>
      </c>
      <c r="U559" s="18" t="s">
        <v>5254</v>
      </c>
      <c r="V559" s="17" t="s">
        <v>9418</v>
      </c>
      <c r="W559" s="18" t="s">
        <v>5311</v>
      </c>
      <c r="X559" s="69" t="s">
        <v>9453</v>
      </c>
      <c r="Y559" s="70" t="s">
        <v>9466</v>
      </c>
      <c r="Z559" s="73" t="s">
        <v>9486</v>
      </c>
      <c r="AA559" s="74" t="s">
        <v>9504</v>
      </c>
      <c r="AB559" s="73" t="s">
        <v>9486</v>
      </c>
      <c r="AC559" s="74" t="s">
        <v>9566</v>
      </c>
      <c r="AD559" s="73" t="s">
        <v>9578</v>
      </c>
      <c r="AE559" s="74" t="s">
        <v>9579</v>
      </c>
    </row>
    <row r="560" spans="1:31" ht="8.65" customHeight="1" x14ac:dyDescent="0.2">
      <c r="A560" s="76">
        <v>560</v>
      </c>
      <c r="B560" s="67" t="str">
        <f>MID(C560, FIND("Ifc.", C560) + 4, 4) &amp; "_" &amp; TEXT(COUNTIF($C$2:C560, C560),"0000")</f>
        <v>Prop_0559</v>
      </c>
      <c r="C560" s="24" t="s">
        <v>872</v>
      </c>
      <c r="D560" s="69" t="s">
        <v>9453</v>
      </c>
      <c r="E560" s="70" t="s">
        <v>9454</v>
      </c>
      <c r="F560" s="17" t="s">
        <v>806</v>
      </c>
      <c r="G560" s="22" t="s">
        <v>2452</v>
      </c>
      <c r="H560" s="12" t="s">
        <v>9703</v>
      </c>
      <c r="I560" s="13" t="s">
        <v>6991</v>
      </c>
      <c r="J560" s="14" t="s">
        <v>798</v>
      </c>
      <c r="K560" s="15" t="s">
        <v>798</v>
      </c>
      <c r="L560" s="12" t="s">
        <v>5315</v>
      </c>
      <c r="M560" s="13" t="s">
        <v>6008</v>
      </c>
      <c r="N560" s="12" t="s">
        <v>803</v>
      </c>
      <c r="O560" s="13" t="s">
        <v>5208</v>
      </c>
      <c r="P560" s="17" t="s">
        <v>802</v>
      </c>
      <c r="Q560" s="21" t="s">
        <v>7911</v>
      </c>
      <c r="R560" s="17" t="s">
        <v>801</v>
      </c>
      <c r="S560" s="18" t="s">
        <v>2590</v>
      </c>
      <c r="T560" s="17" t="s">
        <v>800</v>
      </c>
      <c r="U560" s="18" t="s">
        <v>5274</v>
      </c>
      <c r="V560" s="17" t="s">
        <v>9418</v>
      </c>
      <c r="W560" s="18" t="s">
        <v>5311</v>
      </c>
      <c r="X560" s="69" t="s">
        <v>9453</v>
      </c>
      <c r="Y560" s="70" t="s">
        <v>9466</v>
      </c>
      <c r="Z560" s="73" t="s">
        <v>9486</v>
      </c>
      <c r="AA560" s="74" t="s">
        <v>9504</v>
      </c>
      <c r="AB560" s="73" t="s">
        <v>9486</v>
      </c>
      <c r="AC560" s="74" t="s">
        <v>9566</v>
      </c>
      <c r="AD560" s="73" t="s">
        <v>9578</v>
      </c>
      <c r="AE560" s="74" t="s">
        <v>9579</v>
      </c>
    </row>
    <row r="561" spans="1:31" ht="8.65" customHeight="1" x14ac:dyDescent="0.2">
      <c r="A561" s="76">
        <v>561</v>
      </c>
      <c r="B561" s="67" t="str">
        <f>MID(C561, FIND("Ifc.", C561) + 4, 4) &amp; "_" &amp; TEXT(COUNTIF($C$2:C561, C561),"0000")</f>
        <v>Prop_0560</v>
      </c>
      <c r="C561" s="24" t="s">
        <v>872</v>
      </c>
      <c r="D561" s="69" t="s">
        <v>9453</v>
      </c>
      <c r="E561" s="70" t="s">
        <v>9454</v>
      </c>
      <c r="F561" s="17" t="s">
        <v>806</v>
      </c>
      <c r="G561" s="22" t="s">
        <v>2197</v>
      </c>
      <c r="H561" s="12" t="s">
        <v>9703</v>
      </c>
      <c r="I561" s="13" t="s">
        <v>7066</v>
      </c>
      <c r="J561" s="14" t="s">
        <v>798</v>
      </c>
      <c r="K561" s="15" t="s">
        <v>798</v>
      </c>
      <c r="L561" s="12" t="s">
        <v>5315</v>
      </c>
      <c r="M561" s="13" t="s">
        <v>5505</v>
      </c>
      <c r="N561" s="12" t="s">
        <v>803</v>
      </c>
      <c r="O561" s="13" t="s">
        <v>5118</v>
      </c>
      <c r="P561" s="17" t="s">
        <v>802</v>
      </c>
      <c r="Q561" s="21" t="s">
        <v>7761</v>
      </c>
      <c r="R561" s="17" t="s">
        <v>801</v>
      </c>
      <c r="S561" s="18" t="s">
        <v>2638</v>
      </c>
      <c r="T561" s="17" t="s">
        <v>800</v>
      </c>
      <c r="U561" s="18" t="s">
        <v>5254</v>
      </c>
      <c r="V561" s="17" t="s">
        <v>9418</v>
      </c>
      <c r="W561" s="18" t="s">
        <v>5311</v>
      </c>
      <c r="X561" s="69" t="s">
        <v>9453</v>
      </c>
      <c r="Y561" s="70" t="s">
        <v>9466</v>
      </c>
      <c r="Z561" s="73" t="s">
        <v>9486</v>
      </c>
      <c r="AA561" s="74" t="s">
        <v>9504</v>
      </c>
      <c r="AB561" s="73" t="s">
        <v>9486</v>
      </c>
      <c r="AC561" s="74" t="s">
        <v>9566</v>
      </c>
      <c r="AD561" s="73" t="s">
        <v>9578</v>
      </c>
      <c r="AE561" s="74" t="s">
        <v>9579</v>
      </c>
    </row>
    <row r="562" spans="1:31" ht="8.65" customHeight="1" x14ac:dyDescent="0.2">
      <c r="A562" s="76">
        <v>562</v>
      </c>
      <c r="B562" s="67" t="str">
        <f>MID(C562, FIND("Ifc.", C562) + 4, 4) &amp; "_" &amp; TEXT(COUNTIF($C$2:C562, C562),"0000")</f>
        <v>Prop_0561</v>
      </c>
      <c r="C562" s="24" t="s">
        <v>872</v>
      </c>
      <c r="D562" s="69" t="s">
        <v>9453</v>
      </c>
      <c r="E562" s="70" t="s">
        <v>9454</v>
      </c>
      <c r="F562" s="17" t="s">
        <v>806</v>
      </c>
      <c r="G562" s="22" t="s">
        <v>1540</v>
      </c>
      <c r="H562" s="12" t="s">
        <v>9703</v>
      </c>
      <c r="I562" s="13" t="s">
        <v>6999</v>
      </c>
      <c r="J562" s="14" t="s">
        <v>798</v>
      </c>
      <c r="K562" s="15" t="s">
        <v>798</v>
      </c>
      <c r="L562" s="12" t="s">
        <v>5315</v>
      </c>
      <c r="M562" s="13" t="s">
        <v>5817</v>
      </c>
      <c r="N562" s="12" t="s">
        <v>803</v>
      </c>
      <c r="O562" s="13" t="s">
        <v>4956</v>
      </c>
      <c r="P562" s="17" t="s">
        <v>802</v>
      </c>
      <c r="Q562" s="21" t="s">
        <v>7758</v>
      </c>
      <c r="R562" s="17" t="s">
        <v>801</v>
      </c>
      <c r="S562" s="18" t="s">
        <v>2638</v>
      </c>
      <c r="T562" s="17" t="s">
        <v>800</v>
      </c>
      <c r="U562" s="18" t="s">
        <v>5254</v>
      </c>
      <c r="V562" s="17" t="s">
        <v>9418</v>
      </c>
      <c r="W562" s="18" t="s">
        <v>5311</v>
      </c>
      <c r="X562" s="69" t="s">
        <v>9453</v>
      </c>
      <c r="Y562" s="70" t="s">
        <v>9466</v>
      </c>
      <c r="Z562" s="73" t="s">
        <v>9486</v>
      </c>
      <c r="AA562" s="74" t="s">
        <v>9504</v>
      </c>
      <c r="AB562" s="73" t="s">
        <v>9486</v>
      </c>
      <c r="AC562" s="74" t="s">
        <v>9566</v>
      </c>
      <c r="AD562" s="73" t="s">
        <v>9578</v>
      </c>
      <c r="AE562" s="74" t="s">
        <v>9579</v>
      </c>
    </row>
    <row r="563" spans="1:31" ht="8.65" customHeight="1" x14ac:dyDescent="0.2">
      <c r="A563" s="76">
        <v>563</v>
      </c>
      <c r="B563" s="67" t="str">
        <f>MID(C563, FIND("Ifc.", C563) + 4, 4) &amp; "_" &amp; TEXT(COUNTIF($C$2:C563, C563),"0000")</f>
        <v>Prop_0562</v>
      </c>
      <c r="C563" s="24" t="s">
        <v>872</v>
      </c>
      <c r="D563" s="69" t="s">
        <v>9453</v>
      </c>
      <c r="E563" s="70" t="s">
        <v>9454</v>
      </c>
      <c r="F563" s="17" t="s">
        <v>806</v>
      </c>
      <c r="G563" s="22" t="s">
        <v>1580</v>
      </c>
      <c r="H563" s="12" t="s">
        <v>9703</v>
      </c>
      <c r="I563" s="13" t="s">
        <v>6894</v>
      </c>
      <c r="J563" s="14" t="s">
        <v>798</v>
      </c>
      <c r="K563" s="15" t="s">
        <v>798</v>
      </c>
      <c r="L563" s="12" t="s">
        <v>5315</v>
      </c>
      <c r="M563" s="13" t="s">
        <v>5896</v>
      </c>
      <c r="N563" s="12" t="s">
        <v>803</v>
      </c>
      <c r="O563" s="13" t="s">
        <v>4965</v>
      </c>
      <c r="P563" s="17" t="s">
        <v>802</v>
      </c>
      <c r="Q563" s="21" t="s">
        <v>7912</v>
      </c>
      <c r="R563" s="17" t="s">
        <v>801</v>
      </c>
      <c r="S563" s="18" t="s">
        <v>3636</v>
      </c>
      <c r="T563" s="17" t="s">
        <v>800</v>
      </c>
      <c r="U563" s="18" t="s">
        <v>5257</v>
      </c>
      <c r="V563" s="17" t="s">
        <v>9418</v>
      </c>
      <c r="W563" s="18" t="s">
        <v>5314</v>
      </c>
      <c r="X563" s="69" t="s">
        <v>9453</v>
      </c>
      <c r="Y563" s="70" t="s">
        <v>9464</v>
      </c>
      <c r="Z563" s="73" t="s">
        <v>9486</v>
      </c>
      <c r="AA563" s="74" t="s">
        <v>9504</v>
      </c>
      <c r="AB563" s="73" t="s">
        <v>9486</v>
      </c>
      <c r="AC563" s="74" t="s">
        <v>9561</v>
      </c>
      <c r="AD563" s="73" t="s">
        <v>9578</v>
      </c>
      <c r="AE563" s="74" t="s">
        <v>9579</v>
      </c>
    </row>
    <row r="564" spans="1:31" ht="8.65" customHeight="1" x14ac:dyDescent="0.2">
      <c r="A564" s="76">
        <v>564</v>
      </c>
      <c r="B564" s="67" t="str">
        <f>MID(C564, FIND("Ifc.", C564) + 4, 4) &amp; "_" &amp; TEXT(COUNTIF($C$2:C564, C564),"0000")</f>
        <v>Prop_0563</v>
      </c>
      <c r="C564" s="24" t="s">
        <v>872</v>
      </c>
      <c r="D564" s="69" t="s">
        <v>9453</v>
      </c>
      <c r="E564" s="70" t="s">
        <v>9454</v>
      </c>
      <c r="F564" s="17" t="s">
        <v>806</v>
      </c>
      <c r="G564" s="22" t="s">
        <v>1580</v>
      </c>
      <c r="H564" s="12" t="s">
        <v>9703</v>
      </c>
      <c r="I564" s="13" t="s">
        <v>6894</v>
      </c>
      <c r="J564" s="14" t="s">
        <v>798</v>
      </c>
      <c r="K564" s="15" t="s">
        <v>798</v>
      </c>
      <c r="L564" s="12" t="s">
        <v>5315</v>
      </c>
      <c r="M564" s="13" t="s">
        <v>5846</v>
      </c>
      <c r="N564" s="12" t="s">
        <v>803</v>
      </c>
      <c r="O564" s="13" t="s">
        <v>4992</v>
      </c>
      <c r="P564" s="17" t="s">
        <v>802</v>
      </c>
      <c r="Q564" s="21" t="s">
        <v>7913</v>
      </c>
      <c r="R564" s="17" t="s">
        <v>801</v>
      </c>
      <c r="S564" s="18" t="s">
        <v>3636</v>
      </c>
      <c r="T564" s="17" t="s">
        <v>800</v>
      </c>
      <c r="U564" s="18" t="s">
        <v>5257</v>
      </c>
      <c r="V564" s="17" t="s">
        <v>9418</v>
      </c>
      <c r="W564" s="18" t="s">
        <v>5314</v>
      </c>
      <c r="X564" s="69" t="s">
        <v>9453</v>
      </c>
      <c r="Y564" s="70" t="s">
        <v>9464</v>
      </c>
      <c r="Z564" s="73" t="s">
        <v>9486</v>
      </c>
      <c r="AA564" s="74" t="s">
        <v>9504</v>
      </c>
      <c r="AB564" s="73" t="s">
        <v>9486</v>
      </c>
      <c r="AC564" s="74" t="s">
        <v>9561</v>
      </c>
      <c r="AD564" s="73" t="s">
        <v>9578</v>
      </c>
      <c r="AE564" s="74" t="s">
        <v>9579</v>
      </c>
    </row>
    <row r="565" spans="1:31" ht="8.65" customHeight="1" x14ac:dyDescent="0.2">
      <c r="A565" s="76">
        <v>565</v>
      </c>
      <c r="B565" s="67" t="str">
        <f>MID(C565, FIND("Ifc.", C565) + 4, 4) &amp; "_" &amp; TEXT(COUNTIF($C$2:C565, C565),"0000")</f>
        <v>Prop_0564</v>
      </c>
      <c r="C565" s="24" t="s">
        <v>872</v>
      </c>
      <c r="D565" s="69" t="s">
        <v>9453</v>
      </c>
      <c r="E565" s="70" t="s">
        <v>9454</v>
      </c>
      <c r="F565" s="17" t="s">
        <v>806</v>
      </c>
      <c r="G565" s="22" t="s">
        <v>1580</v>
      </c>
      <c r="H565" s="12" t="s">
        <v>9703</v>
      </c>
      <c r="I565" s="13" t="s">
        <v>6894</v>
      </c>
      <c r="J565" s="14" t="s">
        <v>798</v>
      </c>
      <c r="K565" s="15" t="s">
        <v>798</v>
      </c>
      <c r="L565" s="12" t="s">
        <v>5315</v>
      </c>
      <c r="M565" s="13" t="s">
        <v>5505</v>
      </c>
      <c r="N565" s="12" t="s">
        <v>803</v>
      </c>
      <c r="O565" s="13" t="s">
        <v>5118</v>
      </c>
      <c r="P565" s="17" t="s">
        <v>802</v>
      </c>
      <c r="Q565" s="21" t="s">
        <v>7761</v>
      </c>
      <c r="R565" s="17" t="s">
        <v>801</v>
      </c>
      <c r="S565" s="18" t="s">
        <v>2638</v>
      </c>
      <c r="T565" s="17" t="s">
        <v>800</v>
      </c>
      <c r="U565" s="18" t="s">
        <v>5254</v>
      </c>
      <c r="V565" s="17" t="s">
        <v>9418</v>
      </c>
      <c r="W565" s="18" t="s">
        <v>5311</v>
      </c>
      <c r="X565" s="69" t="s">
        <v>9453</v>
      </c>
      <c r="Y565" s="70" t="s">
        <v>9466</v>
      </c>
      <c r="Z565" s="73" t="s">
        <v>9486</v>
      </c>
      <c r="AA565" s="74" t="s">
        <v>9504</v>
      </c>
      <c r="AB565" s="73" t="s">
        <v>9486</v>
      </c>
      <c r="AC565" s="74" t="s">
        <v>9566</v>
      </c>
      <c r="AD565" s="73" t="s">
        <v>9578</v>
      </c>
      <c r="AE565" s="74" t="s">
        <v>9579</v>
      </c>
    </row>
    <row r="566" spans="1:31" ht="8.65" customHeight="1" x14ac:dyDescent="0.2">
      <c r="A566" s="76">
        <v>566</v>
      </c>
      <c r="B566" s="67" t="str">
        <f>MID(C566, FIND("Ifc.", C566) + 4, 4) &amp; "_" &amp; TEXT(COUNTIF($C$2:C566, C566),"0000")</f>
        <v>Prop_0565</v>
      </c>
      <c r="C566" s="24" t="s">
        <v>872</v>
      </c>
      <c r="D566" s="69" t="s">
        <v>9453</v>
      </c>
      <c r="E566" s="70" t="s">
        <v>9454</v>
      </c>
      <c r="F566" s="17" t="s">
        <v>806</v>
      </c>
      <c r="G566" s="22" t="s">
        <v>1580</v>
      </c>
      <c r="H566" s="12" t="s">
        <v>9703</v>
      </c>
      <c r="I566" s="13" t="s">
        <v>6894</v>
      </c>
      <c r="J566" s="14" t="s">
        <v>798</v>
      </c>
      <c r="K566" s="15" t="s">
        <v>798</v>
      </c>
      <c r="L566" s="12" t="s">
        <v>5315</v>
      </c>
      <c r="M566" s="13" t="s">
        <v>5573</v>
      </c>
      <c r="N566" s="12" t="s">
        <v>803</v>
      </c>
      <c r="O566" s="13" t="s">
        <v>5206</v>
      </c>
      <c r="P566" s="17" t="s">
        <v>802</v>
      </c>
      <c r="Q566" s="21" t="s">
        <v>7742</v>
      </c>
      <c r="R566" s="17" t="s">
        <v>801</v>
      </c>
      <c r="S566" s="18" t="s">
        <v>2638</v>
      </c>
      <c r="T566" s="17" t="s">
        <v>800</v>
      </c>
      <c r="U566" s="18" t="s">
        <v>5254</v>
      </c>
      <c r="V566" s="17" t="s">
        <v>9418</v>
      </c>
      <c r="W566" s="18" t="s">
        <v>5311</v>
      </c>
      <c r="X566" s="69" t="s">
        <v>9453</v>
      </c>
      <c r="Y566" s="70" t="s">
        <v>9466</v>
      </c>
      <c r="Z566" s="73" t="s">
        <v>9486</v>
      </c>
      <c r="AA566" s="74" t="s">
        <v>9504</v>
      </c>
      <c r="AB566" s="73" t="s">
        <v>9486</v>
      </c>
      <c r="AC566" s="74" t="s">
        <v>9566</v>
      </c>
      <c r="AD566" s="73" t="s">
        <v>9578</v>
      </c>
      <c r="AE566" s="74" t="s">
        <v>9579</v>
      </c>
    </row>
    <row r="567" spans="1:31" ht="8.65" customHeight="1" x14ac:dyDescent="0.2">
      <c r="A567" s="76">
        <v>567</v>
      </c>
      <c r="B567" s="67" t="str">
        <f>MID(C567, FIND("Ifc.", C567) + 4, 4) &amp; "_" &amp; TEXT(COUNTIF($C$2:C567, C567),"0000")</f>
        <v>Prop_0566</v>
      </c>
      <c r="C567" s="24" t="s">
        <v>872</v>
      </c>
      <c r="D567" s="69" t="s">
        <v>9453</v>
      </c>
      <c r="E567" s="70" t="s">
        <v>9454</v>
      </c>
      <c r="F567" s="17" t="s">
        <v>806</v>
      </c>
      <c r="G567" s="22" t="s">
        <v>1457</v>
      </c>
      <c r="H567" s="12" t="s">
        <v>9703</v>
      </c>
      <c r="I567" s="13" t="s">
        <v>6330</v>
      </c>
      <c r="J567" s="14" t="s">
        <v>798</v>
      </c>
      <c r="K567" s="15" t="s">
        <v>798</v>
      </c>
      <c r="L567" s="12" t="s">
        <v>5315</v>
      </c>
      <c r="M567" s="13" t="s">
        <v>5438</v>
      </c>
      <c r="N567" s="12" t="s">
        <v>803</v>
      </c>
      <c r="O567" s="13" t="s">
        <v>4939</v>
      </c>
      <c r="P567" s="17" t="s">
        <v>802</v>
      </c>
      <c r="Q567" s="21" t="s">
        <v>7756</v>
      </c>
      <c r="R567" s="17" t="s">
        <v>801</v>
      </c>
      <c r="S567" s="18" t="s">
        <v>2638</v>
      </c>
      <c r="T567" s="17" t="s">
        <v>800</v>
      </c>
      <c r="U567" s="18" t="s">
        <v>5254</v>
      </c>
      <c r="V567" s="17" t="s">
        <v>9418</v>
      </c>
      <c r="W567" s="18" t="s">
        <v>5311</v>
      </c>
      <c r="X567" s="69" t="s">
        <v>9453</v>
      </c>
      <c r="Y567" s="70" t="s">
        <v>9466</v>
      </c>
      <c r="Z567" s="73" t="s">
        <v>9486</v>
      </c>
      <c r="AA567" s="74" t="s">
        <v>9504</v>
      </c>
      <c r="AB567" s="73" t="s">
        <v>9486</v>
      </c>
      <c r="AC567" s="74" t="s">
        <v>9566</v>
      </c>
      <c r="AD567" s="73" t="s">
        <v>9578</v>
      </c>
      <c r="AE567" s="74" t="s">
        <v>9579</v>
      </c>
    </row>
    <row r="568" spans="1:31" ht="8.65" customHeight="1" x14ac:dyDescent="0.2">
      <c r="A568" s="76">
        <v>568</v>
      </c>
      <c r="B568" s="67" t="str">
        <f>MID(C568, FIND("Ifc.", C568) + 4, 4) &amp; "_" &amp; TEXT(COUNTIF($C$2:C568, C568),"0000")</f>
        <v>Prop_0567</v>
      </c>
      <c r="C568" s="24" t="s">
        <v>872</v>
      </c>
      <c r="D568" s="69" t="s">
        <v>9453</v>
      </c>
      <c r="E568" s="70" t="s">
        <v>9454</v>
      </c>
      <c r="F568" s="17" t="s">
        <v>806</v>
      </c>
      <c r="G568" s="22" t="s">
        <v>1120</v>
      </c>
      <c r="H568" s="12" t="s">
        <v>9703</v>
      </c>
      <c r="I568" s="13" t="s">
        <v>6971</v>
      </c>
      <c r="J568" s="14" t="s">
        <v>798</v>
      </c>
      <c r="K568" s="15" t="s">
        <v>798</v>
      </c>
      <c r="L568" s="12" t="s">
        <v>5315</v>
      </c>
      <c r="M568" s="13" t="s">
        <v>5392</v>
      </c>
      <c r="N568" s="12" t="s">
        <v>803</v>
      </c>
      <c r="O568" s="13" t="s">
        <v>4858</v>
      </c>
      <c r="P568" s="17" t="s">
        <v>802</v>
      </c>
      <c r="Q568" s="21" t="s">
        <v>7798</v>
      </c>
      <c r="R568" s="17" t="s">
        <v>801</v>
      </c>
      <c r="S568" s="18" t="s">
        <v>2625</v>
      </c>
      <c r="T568" s="17" t="s">
        <v>800</v>
      </c>
      <c r="U568" s="18" t="s">
        <v>5240</v>
      </c>
      <c r="V568" s="17" t="s">
        <v>9418</v>
      </c>
      <c r="W568" s="18" t="s">
        <v>5311</v>
      </c>
      <c r="X568" s="69" t="s">
        <v>9453</v>
      </c>
      <c r="Y568" s="70" t="s">
        <v>9466</v>
      </c>
      <c r="Z568" s="73" t="s">
        <v>9486</v>
      </c>
      <c r="AA568" s="74" t="s">
        <v>9504</v>
      </c>
      <c r="AB568" s="73" t="s">
        <v>9486</v>
      </c>
      <c r="AC568" s="74" t="s">
        <v>9566</v>
      </c>
      <c r="AD568" s="73" t="s">
        <v>9578</v>
      </c>
      <c r="AE568" s="74" t="s">
        <v>9579</v>
      </c>
    </row>
    <row r="569" spans="1:31" ht="8.65" customHeight="1" x14ac:dyDescent="0.2">
      <c r="A569" s="76">
        <v>569</v>
      </c>
      <c r="B569" s="67" t="str">
        <f>MID(C569, FIND("Ifc.", C569) + 4, 4) &amp; "_" &amp; TEXT(COUNTIF($C$2:C569, C569),"0000")</f>
        <v>Prop_0568</v>
      </c>
      <c r="C569" s="24" t="s">
        <v>872</v>
      </c>
      <c r="D569" s="69" t="s">
        <v>9453</v>
      </c>
      <c r="E569" s="70" t="s">
        <v>9454</v>
      </c>
      <c r="F569" s="17" t="s">
        <v>806</v>
      </c>
      <c r="G569" s="22" t="s">
        <v>1620</v>
      </c>
      <c r="H569" s="12" t="s">
        <v>9703</v>
      </c>
      <c r="I569" s="13" t="s">
        <v>6880</v>
      </c>
      <c r="J569" s="14" t="s">
        <v>798</v>
      </c>
      <c r="K569" s="15" t="s">
        <v>798</v>
      </c>
      <c r="L569" s="12" t="s">
        <v>5315</v>
      </c>
      <c r="M569" s="13" t="s">
        <v>5834</v>
      </c>
      <c r="N569" s="12" t="s">
        <v>803</v>
      </c>
      <c r="O569" s="13" t="s">
        <v>4976</v>
      </c>
      <c r="P569" s="17" t="s">
        <v>802</v>
      </c>
      <c r="Q569" s="21" t="s">
        <v>7883</v>
      </c>
      <c r="R569" s="17" t="s">
        <v>801</v>
      </c>
      <c r="S569" s="18" t="s">
        <v>3636</v>
      </c>
      <c r="T569" s="17" t="s">
        <v>800</v>
      </c>
      <c r="U569" s="18" t="s">
        <v>5257</v>
      </c>
      <c r="V569" s="17" t="s">
        <v>9418</v>
      </c>
      <c r="W569" s="18" t="s">
        <v>5314</v>
      </c>
      <c r="X569" s="69" t="s">
        <v>9453</v>
      </c>
      <c r="Y569" s="70" t="s">
        <v>9464</v>
      </c>
      <c r="Z569" s="73" t="s">
        <v>9486</v>
      </c>
      <c r="AA569" s="74" t="s">
        <v>9504</v>
      </c>
      <c r="AB569" s="73" t="s">
        <v>9486</v>
      </c>
      <c r="AC569" s="74" t="s">
        <v>9561</v>
      </c>
      <c r="AD569" s="73" t="s">
        <v>9578</v>
      </c>
      <c r="AE569" s="74" t="s">
        <v>9579</v>
      </c>
    </row>
    <row r="570" spans="1:31" ht="8.65" customHeight="1" x14ac:dyDescent="0.2">
      <c r="A570" s="76">
        <v>570</v>
      </c>
      <c r="B570" s="67" t="str">
        <f>MID(C570, FIND("Ifc.", C570) + 4, 4) &amp; "_" &amp; TEXT(COUNTIF($C$2:C570, C570),"0000")</f>
        <v>Prop_0569</v>
      </c>
      <c r="C570" s="24" t="s">
        <v>872</v>
      </c>
      <c r="D570" s="69" t="s">
        <v>9453</v>
      </c>
      <c r="E570" s="70" t="s">
        <v>9454</v>
      </c>
      <c r="F570" s="17" t="s">
        <v>806</v>
      </c>
      <c r="G570" s="22" t="s">
        <v>2454</v>
      </c>
      <c r="H570" s="12" t="s">
        <v>9703</v>
      </c>
      <c r="I570" s="13" t="s">
        <v>6990</v>
      </c>
      <c r="J570" s="14" t="s">
        <v>798</v>
      </c>
      <c r="K570" s="15" t="s">
        <v>798</v>
      </c>
      <c r="L570" s="12" t="s">
        <v>5315</v>
      </c>
      <c r="M570" s="13" t="s">
        <v>6007</v>
      </c>
      <c r="N570" s="12" t="s">
        <v>803</v>
      </c>
      <c r="O570" s="13" t="s">
        <v>5209</v>
      </c>
      <c r="P570" s="17" t="s">
        <v>802</v>
      </c>
      <c r="Q570" s="21" t="s">
        <v>7898</v>
      </c>
      <c r="R570" s="17" t="s">
        <v>801</v>
      </c>
      <c r="S570" s="18" t="s">
        <v>2590</v>
      </c>
      <c r="T570" s="17" t="s">
        <v>800</v>
      </c>
      <c r="U570" s="18" t="s">
        <v>5274</v>
      </c>
      <c r="V570" s="17" t="s">
        <v>9418</v>
      </c>
      <c r="W570" s="18" t="s">
        <v>5311</v>
      </c>
      <c r="X570" s="69" t="s">
        <v>9453</v>
      </c>
      <c r="Y570" s="70" t="s">
        <v>9466</v>
      </c>
      <c r="Z570" s="73" t="s">
        <v>9486</v>
      </c>
      <c r="AA570" s="74" t="s">
        <v>9504</v>
      </c>
      <c r="AB570" s="73" t="s">
        <v>9486</v>
      </c>
      <c r="AC570" s="74" t="s">
        <v>9566</v>
      </c>
      <c r="AD570" s="73" t="s">
        <v>9578</v>
      </c>
      <c r="AE570" s="74" t="s">
        <v>9579</v>
      </c>
    </row>
    <row r="571" spans="1:31" ht="8.65" customHeight="1" x14ac:dyDescent="0.2">
      <c r="A571" s="76">
        <v>571</v>
      </c>
      <c r="B571" s="67" t="str">
        <f>MID(C571, FIND("Ifc.", C571) + 4, 4) &amp; "_" &amp; TEXT(COUNTIF($C$2:C571, C571),"0000")</f>
        <v>Prop_0570</v>
      </c>
      <c r="C571" s="24" t="s">
        <v>872</v>
      </c>
      <c r="D571" s="69" t="s">
        <v>9453</v>
      </c>
      <c r="E571" s="70" t="s">
        <v>9454</v>
      </c>
      <c r="F571" s="17" t="s">
        <v>806</v>
      </c>
      <c r="G571" s="22" t="s">
        <v>1217</v>
      </c>
      <c r="H571" s="12" t="s">
        <v>9703</v>
      </c>
      <c r="I571" s="13" t="s">
        <v>6420</v>
      </c>
      <c r="J571" s="14" t="s">
        <v>798</v>
      </c>
      <c r="K571" s="15" t="s">
        <v>798</v>
      </c>
      <c r="L571" s="12" t="s">
        <v>5315</v>
      </c>
      <c r="M571" s="13" t="s">
        <v>5844</v>
      </c>
      <c r="N571" s="12" t="s">
        <v>803</v>
      </c>
      <c r="O571" s="13" t="s">
        <v>4989</v>
      </c>
      <c r="P571" s="17" t="s">
        <v>802</v>
      </c>
      <c r="Q571" s="21" t="s">
        <v>7839</v>
      </c>
      <c r="R571" s="17" t="s">
        <v>801</v>
      </c>
      <c r="S571" s="18" t="s">
        <v>3636</v>
      </c>
      <c r="T571" s="17" t="s">
        <v>800</v>
      </c>
      <c r="U571" s="18" t="s">
        <v>5257</v>
      </c>
      <c r="V571" s="17" t="s">
        <v>9418</v>
      </c>
      <c r="W571" s="18" t="s">
        <v>5314</v>
      </c>
      <c r="X571" s="69" t="s">
        <v>9453</v>
      </c>
      <c r="Y571" s="70" t="s">
        <v>9464</v>
      </c>
      <c r="Z571" s="73" t="s">
        <v>9486</v>
      </c>
      <c r="AA571" s="74" t="s">
        <v>9504</v>
      </c>
      <c r="AB571" s="73" t="s">
        <v>9486</v>
      </c>
      <c r="AC571" s="74" t="s">
        <v>9561</v>
      </c>
      <c r="AD571" s="73" t="s">
        <v>9578</v>
      </c>
      <c r="AE571" s="74" t="s">
        <v>9579</v>
      </c>
    </row>
    <row r="572" spans="1:31" ht="8.65" customHeight="1" x14ac:dyDescent="0.2">
      <c r="A572" s="76">
        <v>572</v>
      </c>
      <c r="B572" s="67" t="str">
        <f>MID(C572, FIND("Ifc.", C572) + 4, 4) &amp; "_" &amp; TEXT(COUNTIF($C$2:C572, C572),"0000")</f>
        <v>Prop_0571</v>
      </c>
      <c r="C572" s="24" t="s">
        <v>872</v>
      </c>
      <c r="D572" s="69" t="s">
        <v>9453</v>
      </c>
      <c r="E572" s="70" t="s">
        <v>9454</v>
      </c>
      <c r="F572" s="17" t="s">
        <v>806</v>
      </c>
      <c r="G572" s="22" t="s">
        <v>1217</v>
      </c>
      <c r="H572" s="12" t="s">
        <v>9703</v>
      </c>
      <c r="I572" s="13" t="s">
        <v>6420</v>
      </c>
      <c r="J572" s="14" t="s">
        <v>798</v>
      </c>
      <c r="K572" s="15" t="s">
        <v>798</v>
      </c>
      <c r="L572" s="12" t="s">
        <v>5315</v>
      </c>
      <c r="M572" s="13" t="s">
        <v>5926</v>
      </c>
      <c r="N572" s="12" t="s">
        <v>803</v>
      </c>
      <c r="O572" s="13" t="s">
        <v>4990</v>
      </c>
      <c r="P572" s="17" t="s">
        <v>802</v>
      </c>
      <c r="Q572" s="21" t="s">
        <v>7914</v>
      </c>
      <c r="R572" s="17" t="s">
        <v>801</v>
      </c>
      <c r="S572" s="18" t="s">
        <v>3636</v>
      </c>
      <c r="T572" s="17" t="s">
        <v>800</v>
      </c>
      <c r="U572" s="18" t="s">
        <v>5257</v>
      </c>
      <c r="V572" s="17" t="s">
        <v>9418</v>
      </c>
      <c r="W572" s="18" t="s">
        <v>5314</v>
      </c>
      <c r="X572" s="69" t="s">
        <v>9453</v>
      </c>
      <c r="Y572" s="70" t="s">
        <v>9464</v>
      </c>
      <c r="Z572" s="73" t="s">
        <v>9486</v>
      </c>
      <c r="AA572" s="74" t="s">
        <v>9504</v>
      </c>
      <c r="AB572" s="73" t="s">
        <v>9486</v>
      </c>
      <c r="AC572" s="74" t="s">
        <v>9561</v>
      </c>
      <c r="AD572" s="73" t="s">
        <v>9578</v>
      </c>
      <c r="AE572" s="74" t="s">
        <v>9579</v>
      </c>
    </row>
    <row r="573" spans="1:31" ht="8.65" customHeight="1" x14ac:dyDescent="0.2">
      <c r="A573" s="76">
        <v>573</v>
      </c>
      <c r="B573" s="67" t="str">
        <f>MID(C573, FIND("Ifc.", C573) + 4, 4) &amp; "_" &amp; TEXT(COUNTIF($C$2:C573, C573),"0000")</f>
        <v>Prop_0572</v>
      </c>
      <c r="C573" s="24" t="s">
        <v>872</v>
      </c>
      <c r="D573" s="69" t="s">
        <v>9453</v>
      </c>
      <c r="E573" s="70" t="s">
        <v>9454</v>
      </c>
      <c r="F573" s="17" t="s">
        <v>806</v>
      </c>
      <c r="G573" s="22" t="s">
        <v>1217</v>
      </c>
      <c r="H573" s="12" t="s">
        <v>9703</v>
      </c>
      <c r="I573" s="13" t="s">
        <v>6420</v>
      </c>
      <c r="J573" s="14" t="s">
        <v>798</v>
      </c>
      <c r="K573" s="15" t="s">
        <v>798</v>
      </c>
      <c r="L573" s="12" t="s">
        <v>5315</v>
      </c>
      <c r="M573" s="13" t="s">
        <v>5821</v>
      </c>
      <c r="N573" s="12" t="s">
        <v>803</v>
      </c>
      <c r="O573" s="13" t="s">
        <v>4883</v>
      </c>
      <c r="P573" s="17" t="s">
        <v>802</v>
      </c>
      <c r="Q573" s="21" t="s">
        <v>7683</v>
      </c>
      <c r="R573" s="17" t="s">
        <v>801</v>
      </c>
      <c r="S573" s="18" t="s">
        <v>2638</v>
      </c>
      <c r="T573" s="17" t="s">
        <v>800</v>
      </c>
      <c r="U573" s="18" t="s">
        <v>5254</v>
      </c>
      <c r="V573" s="17" t="s">
        <v>9418</v>
      </c>
      <c r="W573" s="18" t="s">
        <v>5311</v>
      </c>
      <c r="X573" s="69" t="s">
        <v>9453</v>
      </c>
      <c r="Y573" s="70" t="s">
        <v>9466</v>
      </c>
      <c r="Z573" s="73" t="s">
        <v>9486</v>
      </c>
      <c r="AA573" s="74" t="s">
        <v>9504</v>
      </c>
      <c r="AB573" s="73" t="s">
        <v>9486</v>
      </c>
      <c r="AC573" s="74" t="s">
        <v>9566</v>
      </c>
      <c r="AD573" s="73" t="s">
        <v>9578</v>
      </c>
      <c r="AE573" s="74" t="s">
        <v>9579</v>
      </c>
    </row>
    <row r="574" spans="1:31" ht="8.65" customHeight="1" x14ac:dyDescent="0.2">
      <c r="A574" s="76">
        <v>574</v>
      </c>
      <c r="B574" s="67" t="str">
        <f>MID(C574, FIND("Ifc.", C574) + 4, 4) &amp; "_" &amp; TEXT(COUNTIF($C$2:C574, C574),"0000")</f>
        <v>Prop_0573</v>
      </c>
      <c r="C574" s="24" t="s">
        <v>872</v>
      </c>
      <c r="D574" s="69" t="s">
        <v>9453</v>
      </c>
      <c r="E574" s="70" t="s">
        <v>9454</v>
      </c>
      <c r="F574" s="17" t="s">
        <v>806</v>
      </c>
      <c r="G574" s="22" t="s">
        <v>1220</v>
      </c>
      <c r="H574" s="12" t="s">
        <v>9703</v>
      </c>
      <c r="I574" s="13" t="s">
        <v>6493</v>
      </c>
      <c r="J574" s="14" t="s">
        <v>798</v>
      </c>
      <c r="K574" s="15" t="s">
        <v>798</v>
      </c>
      <c r="L574" s="12" t="s">
        <v>5315</v>
      </c>
      <c r="M574" s="13" t="s">
        <v>5821</v>
      </c>
      <c r="N574" s="12" t="s">
        <v>803</v>
      </c>
      <c r="O574" s="13" t="s">
        <v>4883</v>
      </c>
      <c r="P574" s="17" t="s">
        <v>802</v>
      </c>
      <c r="Q574" s="21" t="s">
        <v>7683</v>
      </c>
      <c r="R574" s="17" t="s">
        <v>801</v>
      </c>
      <c r="S574" s="18" t="s">
        <v>2638</v>
      </c>
      <c r="T574" s="17" t="s">
        <v>800</v>
      </c>
      <c r="U574" s="18" t="s">
        <v>5254</v>
      </c>
      <c r="V574" s="17" t="s">
        <v>9418</v>
      </c>
      <c r="W574" s="18" t="s">
        <v>5311</v>
      </c>
      <c r="X574" s="69" t="s">
        <v>9453</v>
      </c>
      <c r="Y574" s="70" t="s">
        <v>9466</v>
      </c>
      <c r="Z574" s="73" t="s">
        <v>9486</v>
      </c>
      <c r="AA574" s="74" t="s">
        <v>9504</v>
      </c>
      <c r="AB574" s="73" t="s">
        <v>9486</v>
      </c>
      <c r="AC574" s="74" t="s">
        <v>9566</v>
      </c>
      <c r="AD574" s="73" t="s">
        <v>9578</v>
      </c>
      <c r="AE574" s="74" t="s">
        <v>9579</v>
      </c>
    </row>
    <row r="575" spans="1:31" ht="8.65" customHeight="1" x14ac:dyDescent="0.2">
      <c r="A575" s="76">
        <v>575</v>
      </c>
      <c r="B575" s="67" t="str">
        <f>MID(C575, FIND("Ifc.", C575) + 4, 4) &amp; "_" &amp; TEXT(COUNTIF($C$2:C575, C575),"0000")</f>
        <v>Prop_0574</v>
      </c>
      <c r="C575" s="24" t="s">
        <v>872</v>
      </c>
      <c r="D575" s="69" t="s">
        <v>9453</v>
      </c>
      <c r="E575" s="70" t="s">
        <v>9454</v>
      </c>
      <c r="F575" s="17" t="s">
        <v>806</v>
      </c>
      <c r="G575" s="22" t="s">
        <v>1520</v>
      </c>
      <c r="H575" s="12" t="s">
        <v>9703</v>
      </c>
      <c r="I575" s="13" t="s">
        <v>6354</v>
      </c>
      <c r="J575" s="14" t="s">
        <v>798</v>
      </c>
      <c r="K575" s="15" t="s">
        <v>798</v>
      </c>
      <c r="L575" s="12" t="s">
        <v>5315</v>
      </c>
      <c r="M575" s="13" t="s">
        <v>5446</v>
      </c>
      <c r="N575" s="12" t="s">
        <v>803</v>
      </c>
      <c r="O575" s="13" t="s">
        <v>4953</v>
      </c>
      <c r="P575" s="17" t="s">
        <v>802</v>
      </c>
      <c r="Q575" s="21" t="s">
        <v>7915</v>
      </c>
      <c r="R575" s="17" t="s">
        <v>801</v>
      </c>
      <c r="S575" s="18" t="s">
        <v>2606</v>
      </c>
      <c r="T575" s="17" t="s">
        <v>800</v>
      </c>
      <c r="U575" s="18" t="s">
        <v>5249</v>
      </c>
      <c r="V575" s="17" t="s">
        <v>9418</v>
      </c>
      <c r="W575" s="18" t="s">
        <v>5311</v>
      </c>
      <c r="X575" s="69" t="s">
        <v>9453</v>
      </c>
      <c r="Y575" s="70" t="s">
        <v>9466</v>
      </c>
      <c r="Z575" s="73" t="s">
        <v>9486</v>
      </c>
      <c r="AA575" s="74" t="s">
        <v>9504</v>
      </c>
      <c r="AB575" s="73" t="s">
        <v>9486</v>
      </c>
      <c r="AC575" s="74" t="s">
        <v>9566</v>
      </c>
      <c r="AD575" s="73" t="s">
        <v>9578</v>
      </c>
      <c r="AE575" s="74" t="s">
        <v>9579</v>
      </c>
    </row>
    <row r="576" spans="1:31" ht="8.65" customHeight="1" x14ac:dyDescent="0.2">
      <c r="A576" s="76">
        <v>576</v>
      </c>
      <c r="B576" s="67" t="str">
        <f>MID(C576, FIND("Ifc.", C576) + 4, 4) &amp; "_" &amp; TEXT(COUNTIF($C$2:C576, C576),"0000")</f>
        <v>Prop_0575</v>
      </c>
      <c r="C576" s="24" t="s">
        <v>872</v>
      </c>
      <c r="D576" s="69" t="s">
        <v>9453</v>
      </c>
      <c r="E576" s="70" t="s">
        <v>9454</v>
      </c>
      <c r="F576" s="17" t="s">
        <v>806</v>
      </c>
      <c r="G576" s="22" t="s">
        <v>1520</v>
      </c>
      <c r="H576" s="12" t="s">
        <v>9703</v>
      </c>
      <c r="I576" s="13" t="s">
        <v>6354</v>
      </c>
      <c r="J576" s="14" t="s">
        <v>798</v>
      </c>
      <c r="K576" s="15" t="s">
        <v>798</v>
      </c>
      <c r="L576" s="12" t="s">
        <v>5315</v>
      </c>
      <c r="M576" s="13" t="s">
        <v>5896</v>
      </c>
      <c r="N576" s="12" t="s">
        <v>803</v>
      </c>
      <c r="O576" s="13" t="s">
        <v>4965</v>
      </c>
      <c r="P576" s="17" t="s">
        <v>802</v>
      </c>
      <c r="Q576" s="21" t="s">
        <v>7912</v>
      </c>
      <c r="R576" s="17" t="s">
        <v>801</v>
      </c>
      <c r="S576" s="18" t="s">
        <v>3636</v>
      </c>
      <c r="T576" s="17" t="s">
        <v>800</v>
      </c>
      <c r="U576" s="18" t="s">
        <v>5257</v>
      </c>
      <c r="V576" s="17" t="s">
        <v>9418</v>
      </c>
      <c r="W576" s="18" t="s">
        <v>5314</v>
      </c>
      <c r="X576" s="69" t="s">
        <v>9453</v>
      </c>
      <c r="Y576" s="70" t="s">
        <v>9464</v>
      </c>
      <c r="Z576" s="73" t="s">
        <v>9486</v>
      </c>
      <c r="AA576" s="74" t="s">
        <v>9504</v>
      </c>
      <c r="AB576" s="73" t="s">
        <v>9486</v>
      </c>
      <c r="AC576" s="74" t="s">
        <v>9561</v>
      </c>
      <c r="AD576" s="73" t="s">
        <v>9578</v>
      </c>
      <c r="AE576" s="74" t="s">
        <v>9579</v>
      </c>
    </row>
    <row r="577" spans="1:31" ht="8.65" customHeight="1" x14ac:dyDescent="0.2">
      <c r="A577" s="76">
        <v>577</v>
      </c>
      <c r="B577" s="67" t="str">
        <f>MID(C577, FIND("Ifc.", C577) + 4, 4) &amp; "_" &amp; TEXT(COUNTIF($C$2:C577, C577),"0000")</f>
        <v>Prop_0576</v>
      </c>
      <c r="C577" s="24" t="s">
        <v>872</v>
      </c>
      <c r="D577" s="69" t="s">
        <v>9453</v>
      </c>
      <c r="E577" s="70" t="s">
        <v>9454</v>
      </c>
      <c r="F577" s="17" t="s">
        <v>806</v>
      </c>
      <c r="G577" s="22" t="s">
        <v>1586</v>
      </c>
      <c r="H577" s="12" t="s">
        <v>9703</v>
      </c>
      <c r="I577" s="13" t="s">
        <v>7216</v>
      </c>
      <c r="J577" s="14" t="s">
        <v>798</v>
      </c>
      <c r="K577" s="15" t="s">
        <v>798</v>
      </c>
      <c r="L577" s="12" t="s">
        <v>5315</v>
      </c>
      <c r="M577" s="13" t="s">
        <v>5834</v>
      </c>
      <c r="N577" s="12" t="s">
        <v>803</v>
      </c>
      <c r="O577" s="13" t="s">
        <v>4976</v>
      </c>
      <c r="P577" s="17" t="s">
        <v>802</v>
      </c>
      <c r="Q577" s="21" t="s">
        <v>7883</v>
      </c>
      <c r="R577" s="17" t="s">
        <v>801</v>
      </c>
      <c r="S577" s="18" t="s">
        <v>3636</v>
      </c>
      <c r="T577" s="17" t="s">
        <v>800</v>
      </c>
      <c r="U577" s="18" t="s">
        <v>5257</v>
      </c>
      <c r="V577" s="17" t="s">
        <v>9418</v>
      </c>
      <c r="W577" s="18" t="s">
        <v>5314</v>
      </c>
      <c r="X577" s="69" t="s">
        <v>9453</v>
      </c>
      <c r="Y577" s="70" t="s">
        <v>9464</v>
      </c>
      <c r="Z577" s="73" t="s">
        <v>9486</v>
      </c>
      <c r="AA577" s="74" t="s">
        <v>9504</v>
      </c>
      <c r="AB577" s="73" t="s">
        <v>9486</v>
      </c>
      <c r="AC577" s="74" t="s">
        <v>9561</v>
      </c>
      <c r="AD577" s="73" t="s">
        <v>9578</v>
      </c>
      <c r="AE577" s="74" t="s">
        <v>9579</v>
      </c>
    </row>
    <row r="578" spans="1:31" ht="8.65" customHeight="1" x14ac:dyDescent="0.2">
      <c r="A578" s="76">
        <v>578</v>
      </c>
      <c r="B578" s="67" t="str">
        <f>MID(C578, FIND("Ifc.", C578) + 4, 4) &amp; "_" &amp; TEXT(COUNTIF($C$2:C578, C578),"0000")</f>
        <v>Prop_0577</v>
      </c>
      <c r="C578" s="24" t="s">
        <v>872</v>
      </c>
      <c r="D578" s="69" t="s">
        <v>9453</v>
      </c>
      <c r="E578" s="70" t="s">
        <v>9454</v>
      </c>
      <c r="F578" s="17" t="s">
        <v>806</v>
      </c>
      <c r="G578" s="22" t="s">
        <v>1586</v>
      </c>
      <c r="H578" s="12" t="s">
        <v>9703</v>
      </c>
      <c r="I578" s="13" t="s">
        <v>7216</v>
      </c>
      <c r="J578" s="14" t="s">
        <v>798</v>
      </c>
      <c r="K578" s="15" t="s">
        <v>798</v>
      </c>
      <c r="L578" s="12" t="s">
        <v>5315</v>
      </c>
      <c r="M578" s="13" t="s">
        <v>5897</v>
      </c>
      <c r="N578" s="12" t="s">
        <v>803</v>
      </c>
      <c r="O578" s="13" t="s">
        <v>4966</v>
      </c>
      <c r="P578" s="17" t="s">
        <v>802</v>
      </c>
      <c r="Q578" s="21" t="s">
        <v>7800</v>
      </c>
      <c r="R578" s="17" t="s">
        <v>801</v>
      </c>
      <c r="S578" s="18" t="s">
        <v>3636</v>
      </c>
      <c r="T578" s="17" t="s">
        <v>800</v>
      </c>
      <c r="U578" s="18" t="s">
        <v>5257</v>
      </c>
      <c r="V578" s="17" t="s">
        <v>9418</v>
      </c>
      <c r="W578" s="18" t="s">
        <v>5314</v>
      </c>
      <c r="X578" s="69" t="s">
        <v>9453</v>
      </c>
      <c r="Y578" s="70" t="s">
        <v>9464</v>
      </c>
      <c r="Z578" s="73" t="s">
        <v>9486</v>
      </c>
      <c r="AA578" s="74" t="s">
        <v>9504</v>
      </c>
      <c r="AB578" s="73" t="s">
        <v>9486</v>
      </c>
      <c r="AC578" s="74" t="s">
        <v>9561</v>
      </c>
      <c r="AD578" s="73" t="s">
        <v>9578</v>
      </c>
      <c r="AE578" s="74" t="s">
        <v>9579</v>
      </c>
    </row>
    <row r="579" spans="1:31" ht="8.65" customHeight="1" x14ac:dyDescent="0.2">
      <c r="A579" s="76">
        <v>579</v>
      </c>
      <c r="B579" s="67" t="str">
        <f>MID(C579, FIND("Ifc.", C579) + 4, 4) &amp; "_" &amp; TEXT(COUNTIF($C$2:C579, C579),"0000")</f>
        <v>Prop_0578</v>
      </c>
      <c r="C579" s="24" t="s">
        <v>872</v>
      </c>
      <c r="D579" s="69" t="s">
        <v>9453</v>
      </c>
      <c r="E579" s="70" t="s">
        <v>9454</v>
      </c>
      <c r="F579" s="17" t="s">
        <v>806</v>
      </c>
      <c r="G579" s="22" t="s">
        <v>1655</v>
      </c>
      <c r="H579" s="12" t="s">
        <v>9703</v>
      </c>
      <c r="I579" s="13" t="s">
        <v>7216</v>
      </c>
      <c r="J579" s="14" t="s">
        <v>798</v>
      </c>
      <c r="K579" s="15" t="s">
        <v>798</v>
      </c>
      <c r="L579" s="12" t="s">
        <v>5315</v>
      </c>
      <c r="M579" s="13" t="s">
        <v>5837</v>
      </c>
      <c r="N579" s="12" t="s">
        <v>803</v>
      </c>
      <c r="O579" s="13" t="s">
        <v>4980</v>
      </c>
      <c r="P579" s="17" t="s">
        <v>802</v>
      </c>
      <c r="Q579" s="21" t="s">
        <v>7844</v>
      </c>
      <c r="R579" s="17" t="s">
        <v>801</v>
      </c>
      <c r="S579" s="18" t="s">
        <v>3636</v>
      </c>
      <c r="T579" s="17" t="s">
        <v>800</v>
      </c>
      <c r="U579" s="18" t="s">
        <v>5257</v>
      </c>
      <c r="V579" s="17" t="s">
        <v>9418</v>
      </c>
      <c r="W579" s="18" t="s">
        <v>5314</v>
      </c>
      <c r="X579" s="69" t="s">
        <v>9453</v>
      </c>
      <c r="Y579" s="70" t="s">
        <v>9464</v>
      </c>
      <c r="Z579" s="73" t="s">
        <v>9486</v>
      </c>
      <c r="AA579" s="74" t="s">
        <v>9504</v>
      </c>
      <c r="AB579" s="73" t="s">
        <v>9486</v>
      </c>
      <c r="AC579" s="74" t="s">
        <v>9561</v>
      </c>
      <c r="AD579" s="73" t="s">
        <v>9578</v>
      </c>
      <c r="AE579" s="74" t="s">
        <v>9579</v>
      </c>
    </row>
    <row r="580" spans="1:31" ht="8.65" customHeight="1" x14ac:dyDescent="0.2">
      <c r="A580" s="76">
        <v>580</v>
      </c>
      <c r="B580" s="67" t="str">
        <f>MID(C580, FIND("Ifc.", C580) + 4, 4) &amp; "_" &amp; TEXT(COUNTIF($C$2:C580, C580),"0000")</f>
        <v>Prop_0579</v>
      </c>
      <c r="C580" s="24" t="s">
        <v>872</v>
      </c>
      <c r="D580" s="69" t="s">
        <v>9453</v>
      </c>
      <c r="E580" s="70" t="s">
        <v>9454</v>
      </c>
      <c r="F580" s="17" t="s">
        <v>806</v>
      </c>
      <c r="G580" s="22" t="s">
        <v>1655</v>
      </c>
      <c r="H580" s="12" t="s">
        <v>9703</v>
      </c>
      <c r="I580" s="13" t="s">
        <v>7216</v>
      </c>
      <c r="J580" s="14" t="s">
        <v>798</v>
      </c>
      <c r="K580" s="15" t="s">
        <v>798</v>
      </c>
      <c r="L580" s="12" t="s">
        <v>5315</v>
      </c>
      <c r="M580" s="13" t="s">
        <v>5841</v>
      </c>
      <c r="N580" s="12" t="s">
        <v>803</v>
      </c>
      <c r="O580" s="13" t="s">
        <v>4986</v>
      </c>
      <c r="P580" s="17" t="s">
        <v>802</v>
      </c>
      <c r="Q580" s="21" t="s">
        <v>7845</v>
      </c>
      <c r="R580" s="17" t="s">
        <v>801</v>
      </c>
      <c r="S580" s="18" t="s">
        <v>3636</v>
      </c>
      <c r="T580" s="17" t="s">
        <v>800</v>
      </c>
      <c r="U580" s="18" t="s">
        <v>5257</v>
      </c>
      <c r="V580" s="17" t="s">
        <v>9418</v>
      </c>
      <c r="W580" s="18" t="s">
        <v>5314</v>
      </c>
      <c r="X580" s="69" t="s">
        <v>9453</v>
      </c>
      <c r="Y580" s="70" t="s">
        <v>9464</v>
      </c>
      <c r="Z580" s="73" t="s">
        <v>9486</v>
      </c>
      <c r="AA580" s="74" t="s">
        <v>9504</v>
      </c>
      <c r="AB580" s="73" t="s">
        <v>9486</v>
      </c>
      <c r="AC580" s="74" t="s">
        <v>9561</v>
      </c>
      <c r="AD580" s="73" t="s">
        <v>9578</v>
      </c>
      <c r="AE580" s="74" t="s">
        <v>9579</v>
      </c>
    </row>
    <row r="581" spans="1:31" ht="8.65" customHeight="1" x14ac:dyDescent="0.2">
      <c r="A581" s="76">
        <v>581</v>
      </c>
      <c r="B581" s="67" t="str">
        <f>MID(C581, FIND("Ifc.", C581) + 4, 4) &amp; "_" &amp; TEXT(COUNTIF($C$2:C581, C581),"0000")</f>
        <v>Prop_0580</v>
      </c>
      <c r="C581" s="24" t="s">
        <v>872</v>
      </c>
      <c r="D581" s="69" t="s">
        <v>9453</v>
      </c>
      <c r="E581" s="70" t="s">
        <v>9454</v>
      </c>
      <c r="F581" s="17" t="s">
        <v>806</v>
      </c>
      <c r="G581" s="22" t="s">
        <v>1075</v>
      </c>
      <c r="H581" s="12" t="s">
        <v>9703</v>
      </c>
      <c r="I581" s="13" t="s">
        <v>6148</v>
      </c>
      <c r="J581" s="14" t="s">
        <v>798</v>
      </c>
      <c r="K581" s="15" t="s">
        <v>798</v>
      </c>
      <c r="L581" s="12" t="s">
        <v>5315</v>
      </c>
      <c r="M581" s="13" t="s">
        <v>6036</v>
      </c>
      <c r="N581" s="12" t="s">
        <v>803</v>
      </c>
      <c r="O581" s="13" t="s">
        <v>4848</v>
      </c>
      <c r="P581" s="17" t="s">
        <v>802</v>
      </c>
      <c r="Q581" s="21" t="s">
        <v>7757</v>
      </c>
      <c r="R581" s="17" t="s">
        <v>801</v>
      </c>
      <c r="S581" s="18" t="s">
        <v>2625</v>
      </c>
      <c r="T581" s="17" t="s">
        <v>800</v>
      </c>
      <c r="U581" s="18" t="s">
        <v>5240</v>
      </c>
      <c r="V581" s="17" t="s">
        <v>9418</v>
      </c>
      <c r="W581" s="18" t="s">
        <v>5311</v>
      </c>
      <c r="X581" s="69" t="s">
        <v>9453</v>
      </c>
      <c r="Y581" s="70" t="s">
        <v>9466</v>
      </c>
      <c r="Z581" s="73" t="s">
        <v>9486</v>
      </c>
      <c r="AA581" s="74" t="s">
        <v>9504</v>
      </c>
      <c r="AB581" s="73" t="s">
        <v>9486</v>
      </c>
      <c r="AC581" s="74" t="s">
        <v>9566</v>
      </c>
      <c r="AD581" s="73" t="s">
        <v>9578</v>
      </c>
      <c r="AE581" s="74" t="s">
        <v>9579</v>
      </c>
    </row>
    <row r="582" spans="1:31" ht="8.65" customHeight="1" x14ac:dyDescent="0.2">
      <c r="A582" s="76">
        <v>582</v>
      </c>
      <c r="B582" s="67" t="str">
        <f>MID(C582, FIND("Ifc.", C582) + 4, 4) &amp; "_" &amp; TEXT(COUNTIF($C$2:C582, C582),"0000")</f>
        <v>Prop_0581</v>
      </c>
      <c r="C582" s="24" t="s">
        <v>872</v>
      </c>
      <c r="D582" s="69" t="s">
        <v>9453</v>
      </c>
      <c r="E582" s="70" t="s">
        <v>9454</v>
      </c>
      <c r="F582" s="17" t="s">
        <v>806</v>
      </c>
      <c r="G582" s="22" t="s">
        <v>1602</v>
      </c>
      <c r="H582" s="12" t="s">
        <v>9703</v>
      </c>
      <c r="I582" s="13" t="s">
        <v>7013</v>
      </c>
      <c r="J582" s="14" t="s">
        <v>798</v>
      </c>
      <c r="K582" s="15" t="s">
        <v>798</v>
      </c>
      <c r="L582" s="12" t="s">
        <v>5315</v>
      </c>
      <c r="M582" s="13" t="s">
        <v>5899</v>
      </c>
      <c r="N582" s="12" t="s">
        <v>803</v>
      </c>
      <c r="O582" s="13" t="s">
        <v>4968</v>
      </c>
      <c r="P582" s="17" t="s">
        <v>802</v>
      </c>
      <c r="Q582" s="21" t="s">
        <v>7786</v>
      </c>
      <c r="R582" s="17" t="s">
        <v>801</v>
      </c>
      <c r="S582" s="18" t="s">
        <v>3636</v>
      </c>
      <c r="T582" s="17" t="s">
        <v>800</v>
      </c>
      <c r="U582" s="18" t="s">
        <v>5257</v>
      </c>
      <c r="V582" s="17" t="s">
        <v>9418</v>
      </c>
      <c r="W582" s="18" t="s">
        <v>5314</v>
      </c>
      <c r="X582" s="69" t="s">
        <v>9453</v>
      </c>
      <c r="Y582" s="70" t="s">
        <v>9464</v>
      </c>
      <c r="Z582" s="73" t="s">
        <v>9486</v>
      </c>
      <c r="AA582" s="74" t="s">
        <v>9504</v>
      </c>
      <c r="AB582" s="73" t="s">
        <v>9486</v>
      </c>
      <c r="AC582" s="74" t="s">
        <v>9561</v>
      </c>
      <c r="AD582" s="73" t="s">
        <v>9578</v>
      </c>
      <c r="AE582" s="74" t="s">
        <v>9579</v>
      </c>
    </row>
    <row r="583" spans="1:31" ht="8.65" customHeight="1" x14ac:dyDescent="0.2">
      <c r="A583" s="76">
        <v>583</v>
      </c>
      <c r="B583" s="67" t="str">
        <f>MID(C583, FIND("Ifc.", C583) + 4, 4) &amp; "_" &amp; TEXT(COUNTIF($C$2:C583, C583),"0000")</f>
        <v>Prop_0582</v>
      </c>
      <c r="C583" s="24" t="s">
        <v>872</v>
      </c>
      <c r="D583" s="69" t="s">
        <v>9453</v>
      </c>
      <c r="E583" s="70" t="s">
        <v>9454</v>
      </c>
      <c r="F583" s="17" t="s">
        <v>806</v>
      </c>
      <c r="G583" s="22" t="s">
        <v>1569</v>
      </c>
      <c r="H583" s="12" t="s">
        <v>9703</v>
      </c>
      <c r="I583" s="13" t="s">
        <v>6893</v>
      </c>
      <c r="J583" s="14" t="s">
        <v>798</v>
      </c>
      <c r="K583" s="15" t="s">
        <v>798</v>
      </c>
      <c r="L583" s="12" t="s">
        <v>5315</v>
      </c>
      <c r="M583" s="13" t="s">
        <v>5895</v>
      </c>
      <c r="N583" s="12" t="s">
        <v>803</v>
      </c>
      <c r="O583" s="13" t="s">
        <v>4964</v>
      </c>
      <c r="P583" s="17" t="s">
        <v>802</v>
      </c>
      <c r="Q583" s="21" t="s">
        <v>7916</v>
      </c>
      <c r="R583" s="17" t="s">
        <v>801</v>
      </c>
      <c r="S583" s="18" t="s">
        <v>3636</v>
      </c>
      <c r="T583" s="17" t="s">
        <v>800</v>
      </c>
      <c r="U583" s="18" t="s">
        <v>5257</v>
      </c>
      <c r="V583" s="17" t="s">
        <v>9418</v>
      </c>
      <c r="W583" s="18" t="s">
        <v>5314</v>
      </c>
      <c r="X583" s="69" t="s">
        <v>9453</v>
      </c>
      <c r="Y583" s="70" t="s">
        <v>9464</v>
      </c>
      <c r="Z583" s="73" t="s">
        <v>9486</v>
      </c>
      <c r="AA583" s="74" t="s">
        <v>9504</v>
      </c>
      <c r="AB583" s="73" t="s">
        <v>9486</v>
      </c>
      <c r="AC583" s="74" t="s">
        <v>9561</v>
      </c>
      <c r="AD583" s="73" t="s">
        <v>9578</v>
      </c>
      <c r="AE583" s="74" t="s">
        <v>9579</v>
      </c>
    </row>
    <row r="584" spans="1:31" ht="8.65" customHeight="1" x14ac:dyDescent="0.2">
      <c r="A584" s="76">
        <v>584</v>
      </c>
      <c r="B584" s="67" t="str">
        <f>MID(C584, FIND("Ifc.", C584) + 4, 4) &amp; "_" &amp; TEXT(COUNTIF($C$2:C584, C584),"0000")</f>
        <v>Prop_0583</v>
      </c>
      <c r="C584" s="24" t="s">
        <v>872</v>
      </c>
      <c r="D584" s="69" t="s">
        <v>9453</v>
      </c>
      <c r="E584" s="70" t="s">
        <v>9454</v>
      </c>
      <c r="F584" s="17" t="s">
        <v>806</v>
      </c>
      <c r="G584" s="22" t="s">
        <v>1569</v>
      </c>
      <c r="H584" s="12" t="s">
        <v>9703</v>
      </c>
      <c r="I584" s="13" t="s">
        <v>6893</v>
      </c>
      <c r="J584" s="14" t="s">
        <v>798</v>
      </c>
      <c r="K584" s="15" t="s">
        <v>798</v>
      </c>
      <c r="L584" s="12" t="s">
        <v>5315</v>
      </c>
      <c r="M584" s="13" t="s">
        <v>5900</v>
      </c>
      <c r="N584" s="12" t="s">
        <v>803</v>
      </c>
      <c r="O584" s="13" t="s">
        <v>4969</v>
      </c>
      <c r="P584" s="17" t="s">
        <v>802</v>
      </c>
      <c r="Q584" s="21" t="s">
        <v>7700</v>
      </c>
      <c r="R584" s="17" t="s">
        <v>801</v>
      </c>
      <c r="S584" s="18" t="s">
        <v>3636</v>
      </c>
      <c r="T584" s="17" t="s">
        <v>800</v>
      </c>
      <c r="U584" s="18" t="s">
        <v>5257</v>
      </c>
      <c r="V584" s="17" t="s">
        <v>9418</v>
      </c>
      <c r="W584" s="18" t="s">
        <v>5314</v>
      </c>
      <c r="X584" s="69" t="s">
        <v>9453</v>
      </c>
      <c r="Y584" s="70" t="s">
        <v>9464</v>
      </c>
      <c r="Z584" s="73" t="s">
        <v>9486</v>
      </c>
      <c r="AA584" s="74" t="s">
        <v>9504</v>
      </c>
      <c r="AB584" s="73" t="s">
        <v>9486</v>
      </c>
      <c r="AC584" s="74" t="s">
        <v>9561</v>
      </c>
      <c r="AD584" s="73" t="s">
        <v>9578</v>
      </c>
      <c r="AE584" s="74" t="s">
        <v>9579</v>
      </c>
    </row>
    <row r="585" spans="1:31" ht="8.65" customHeight="1" x14ac:dyDescent="0.2">
      <c r="A585" s="76">
        <v>585</v>
      </c>
      <c r="B585" s="67" t="str">
        <f>MID(C585, FIND("Ifc.", C585) + 4, 4) &amp; "_" &amp; TEXT(COUNTIF($C$2:C585, C585),"0000")</f>
        <v>Prop_0584</v>
      </c>
      <c r="C585" s="24" t="s">
        <v>872</v>
      </c>
      <c r="D585" s="69" t="s">
        <v>9453</v>
      </c>
      <c r="E585" s="70" t="s">
        <v>9454</v>
      </c>
      <c r="F585" s="17" t="s">
        <v>806</v>
      </c>
      <c r="G585" s="22" t="s">
        <v>1541</v>
      </c>
      <c r="H585" s="12" t="s">
        <v>9703</v>
      </c>
      <c r="I585" s="13" t="s">
        <v>6277</v>
      </c>
      <c r="J585" s="14" t="s">
        <v>798</v>
      </c>
      <c r="K585" s="15" t="s">
        <v>798</v>
      </c>
      <c r="L585" s="12" t="s">
        <v>5315</v>
      </c>
      <c r="M585" s="13" t="s">
        <v>5817</v>
      </c>
      <c r="N585" s="12" t="s">
        <v>803</v>
      </c>
      <c r="O585" s="13" t="s">
        <v>4956</v>
      </c>
      <c r="P585" s="17" t="s">
        <v>802</v>
      </c>
      <c r="Q585" s="21" t="s">
        <v>7758</v>
      </c>
      <c r="R585" s="17" t="s">
        <v>801</v>
      </c>
      <c r="S585" s="18" t="s">
        <v>2562</v>
      </c>
      <c r="T585" s="17" t="s">
        <v>800</v>
      </c>
      <c r="U585" s="18" t="s">
        <v>5256</v>
      </c>
      <c r="V585" s="17" t="s">
        <v>9418</v>
      </c>
      <c r="W585" s="18" t="s">
        <v>5311</v>
      </c>
      <c r="X585" s="69" t="s">
        <v>9453</v>
      </c>
      <c r="Y585" s="70" t="s">
        <v>9466</v>
      </c>
      <c r="Z585" s="73" t="s">
        <v>9486</v>
      </c>
      <c r="AA585" s="74" t="s">
        <v>9504</v>
      </c>
      <c r="AB585" s="73" t="s">
        <v>9486</v>
      </c>
      <c r="AC585" s="74" t="s">
        <v>9562</v>
      </c>
      <c r="AD585" s="73" t="s">
        <v>9578</v>
      </c>
      <c r="AE585" s="74" t="s">
        <v>9579</v>
      </c>
    </row>
    <row r="586" spans="1:31" ht="8.65" customHeight="1" x14ac:dyDescent="0.2">
      <c r="A586" s="76">
        <v>586</v>
      </c>
      <c r="B586" s="67" t="str">
        <f>MID(C586, FIND("Ifc.", C586) + 4, 4) &amp; "_" &amp; TEXT(COUNTIF($C$2:C586, C586),"0000")</f>
        <v>Prop_0585</v>
      </c>
      <c r="C586" s="24" t="s">
        <v>872</v>
      </c>
      <c r="D586" s="69" t="s">
        <v>9453</v>
      </c>
      <c r="E586" s="70" t="s">
        <v>9454</v>
      </c>
      <c r="F586" s="17" t="s">
        <v>806</v>
      </c>
      <c r="G586" s="22" t="s">
        <v>2135</v>
      </c>
      <c r="H586" s="12" t="s">
        <v>9703</v>
      </c>
      <c r="I586" s="13" t="s">
        <v>6936</v>
      </c>
      <c r="J586" s="14" t="s">
        <v>798</v>
      </c>
      <c r="K586" s="15" t="s">
        <v>798</v>
      </c>
      <c r="L586" s="12" t="s">
        <v>5315</v>
      </c>
      <c r="M586" s="13" t="s">
        <v>5496</v>
      </c>
      <c r="N586" s="12" t="s">
        <v>803</v>
      </c>
      <c r="O586" s="13" t="s">
        <v>5110</v>
      </c>
      <c r="P586" s="17" t="s">
        <v>802</v>
      </c>
      <c r="Q586" s="21" t="s">
        <v>7873</v>
      </c>
      <c r="R586" s="17" t="s">
        <v>801</v>
      </c>
      <c r="S586" s="18" t="s">
        <v>3636</v>
      </c>
      <c r="T586" s="17" t="s">
        <v>800</v>
      </c>
      <c r="U586" s="18" t="s">
        <v>5257</v>
      </c>
      <c r="V586" s="17" t="s">
        <v>9418</v>
      </c>
      <c r="W586" s="18" t="s">
        <v>5314</v>
      </c>
      <c r="X586" s="69" t="s">
        <v>9453</v>
      </c>
      <c r="Y586" s="70" t="s">
        <v>9464</v>
      </c>
      <c r="Z586" s="73" t="s">
        <v>9486</v>
      </c>
      <c r="AA586" s="74" t="s">
        <v>9504</v>
      </c>
      <c r="AB586" s="73" t="s">
        <v>9486</v>
      </c>
      <c r="AC586" s="74" t="s">
        <v>9561</v>
      </c>
      <c r="AD586" s="73" t="s">
        <v>9578</v>
      </c>
      <c r="AE586" s="74" t="s">
        <v>9579</v>
      </c>
    </row>
    <row r="587" spans="1:31" ht="8.65" customHeight="1" x14ac:dyDescent="0.2">
      <c r="A587" s="76">
        <v>587</v>
      </c>
      <c r="B587" s="67" t="str">
        <f>MID(C587, FIND("Ifc.", C587) + 4, 4) &amp; "_" &amp; TEXT(COUNTIF($C$2:C587, C587),"0000")</f>
        <v>Prop_0586</v>
      </c>
      <c r="C587" s="24" t="s">
        <v>872</v>
      </c>
      <c r="D587" s="69" t="s">
        <v>9453</v>
      </c>
      <c r="E587" s="70" t="s">
        <v>9454</v>
      </c>
      <c r="F587" s="17" t="s">
        <v>806</v>
      </c>
      <c r="G587" s="22" t="s">
        <v>2130</v>
      </c>
      <c r="H587" s="12" t="s">
        <v>9703</v>
      </c>
      <c r="I587" s="13" t="s">
        <v>6650</v>
      </c>
      <c r="J587" s="14" t="s">
        <v>798</v>
      </c>
      <c r="K587" s="15" t="s">
        <v>798</v>
      </c>
      <c r="L587" s="12" t="s">
        <v>5315</v>
      </c>
      <c r="M587" s="13" t="s">
        <v>5496</v>
      </c>
      <c r="N587" s="12" t="s">
        <v>803</v>
      </c>
      <c r="O587" s="13" t="s">
        <v>5110</v>
      </c>
      <c r="P587" s="17" t="s">
        <v>802</v>
      </c>
      <c r="Q587" s="21" t="s">
        <v>7873</v>
      </c>
      <c r="R587" s="17" t="s">
        <v>801</v>
      </c>
      <c r="S587" s="18" t="s">
        <v>3636</v>
      </c>
      <c r="T587" s="17" t="s">
        <v>800</v>
      </c>
      <c r="U587" s="18" t="s">
        <v>5257</v>
      </c>
      <c r="V587" s="17" t="s">
        <v>9418</v>
      </c>
      <c r="W587" s="18" t="s">
        <v>5314</v>
      </c>
      <c r="X587" s="69" t="s">
        <v>9453</v>
      </c>
      <c r="Y587" s="70" t="s">
        <v>9464</v>
      </c>
      <c r="Z587" s="73" t="s">
        <v>9486</v>
      </c>
      <c r="AA587" s="74" t="s">
        <v>9504</v>
      </c>
      <c r="AB587" s="73" t="s">
        <v>9486</v>
      </c>
      <c r="AC587" s="74" t="s">
        <v>9561</v>
      </c>
      <c r="AD587" s="73" t="s">
        <v>9578</v>
      </c>
      <c r="AE587" s="74" t="s">
        <v>9579</v>
      </c>
    </row>
    <row r="588" spans="1:31" ht="8.65" customHeight="1" x14ac:dyDescent="0.2">
      <c r="A588" s="76">
        <v>588</v>
      </c>
      <c r="B588" s="67" t="str">
        <f>MID(C588, FIND("Ifc.", C588) + 4, 4) &amp; "_" &amp; TEXT(COUNTIF($C$2:C588, C588),"0000")</f>
        <v>Prop_0587</v>
      </c>
      <c r="C588" s="24" t="s">
        <v>872</v>
      </c>
      <c r="D588" s="69" t="s">
        <v>9453</v>
      </c>
      <c r="E588" s="70" t="s">
        <v>9454</v>
      </c>
      <c r="F588" s="17" t="s">
        <v>806</v>
      </c>
      <c r="G588" s="22" t="s">
        <v>2132</v>
      </c>
      <c r="H588" s="12" t="s">
        <v>9703</v>
      </c>
      <c r="I588" s="13" t="s">
        <v>6651</v>
      </c>
      <c r="J588" s="14" t="s">
        <v>798</v>
      </c>
      <c r="K588" s="15" t="s">
        <v>798</v>
      </c>
      <c r="L588" s="12" t="s">
        <v>5315</v>
      </c>
      <c r="M588" s="13" t="s">
        <v>5496</v>
      </c>
      <c r="N588" s="12" t="s">
        <v>803</v>
      </c>
      <c r="O588" s="13" t="s">
        <v>5110</v>
      </c>
      <c r="P588" s="17" t="s">
        <v>802</v>
      </c>
      <c r="Q588" s="21" t="s">
        <v>7873</v>
      </c>
      <c r="R588" s="17" t="s">
        <v>801</v>
      </c>
      <c r="S588" s="18" t="s">
        <v>3636</v>
      </c>
      <c r="T588" s="17" t="s">
        <v>800</v>
      </c>
      <c r="U588" s="18" t="s">
        <v>5257</v>
      </c>
      <c r="V588" s="17" t="s">
        <v>9418</v>
      </c>
      <c r="W588" s="18" t="s">
        <v>5314</v>
      </c>
      <c r="X588" s="69" t="s">
        <v>9453</v>
      </c>
      <c r="Y588" s="70" t="s">
        <v>9464</v>
      </c>
      <c r="Z588" s="73" t="s">
        <v>9486</v>
      </c>
      <c r="AA588" s="74" t="s">
        <v>9504</v>
      </c>
      <c r="AB588" s="73" t="s">
        <v>9486</v>
      </c>
      <c r="AC588" s="74" t="s">
        <v>9561</v>
      </c>
      <c r="AD588" s="73" t="s">
        <v>9578</v>
      </c>
      <c r="AE588" s="74" t="s">
        <v>9579</v>
      </c>
    </row>
    <row r="589" spans="1:31" ht="8.65" customHeight="1" x14ac:dyDescent="0.2">
      <c r="A589" s="76">
        <v>589</v>
      </c>
      <c r="B589" s="67" t="str">
        <f>MID(C589, FIND("Ifc.", C589) + 4, 4) &amp; "_" &amp; TEXT(COUNTIF($C$2:C589, C589),"0000")</f>
        <v>Prop_0588</v>
      </c>
      <c r="C589" s="24" t="s">
        <v>872</v>
      </c>
      <c r="D589" s="69" t="s">
        <v>9453</v>
      </c>
      <c r="E589" s="70" t="s">
        <v>9454</v>
      </c>
      <c r="F589" s="17" t="s">
        <v>806</v>
      </c>
      <c r="G589" s="22" t="s">
        <v>1044</v>
      </c>
      <c r="H589" s="12" t="s">
        <v>9703</v>
      </c>
      <c r="I589" s="13" t="s">
        <v>6134</v>
      </c>
      <c r="J589" s="14" t="s">
        <v>798</v>
      </c>
      <c r="K589" s="15" t="s">
        <v>798</v>
      </c>
      <c r="L589" s="12" t="s">
        <v>5315</v>
      </c>
      <c r="M589" s="13" t="s">
        <v>5820</v>
      </c>
      <c r="N589" s="12" t="s">
        <v>803</v>
      </c>
      <c r="O589" s="13" t="s">
        <v>4844</v>
      </c>
      <c r="P589" s="17" t="s">
        <v>802</v>
      </c>
      <c r="Q589" s="21" t="s">
        <v>7901</v>
      </c>
      <c r="R589" s="17" t="s">
        <v>801</v>
      </c>
      <c r="S589" s="18" t="s">
        <v>3636</v>
      </c>
      <c r="T589" s="17" t="s">
        <v>800</v>
      </c>
      <c r="U589" s="18" t="s">
        <v>5257</v>
      </c>
      <c r="V589" s="17" t="s">
        <v>9418</v>
      </c>
      <c r="W589" s="18" t="s">
        <v>5314</v>
      </c>
      <c r="X589" s="69" t="s">
        <v>9453</v>
      </c>
      <c r="Y589" s="70" t="s">
        <v>9464</v>
      </c>
      <c r="Z589" s="73" t="s">
        <v>9486</v>
      </c>
      <c r="AA589" s="74" t="s">
        <v>9504</v>
      </c>
      <c r="AB589" s="73" t="s">
        <v>9486</v>
      </c>
      <c r="AC589" s="74" t="s">
        <v>9561</v>
      </c>
      <c r="AD589" s="73" t="s">
        <v>9578</v>
      </c>
      <c r="AE589" s="74" t="s">
        <v>9579</v>
      </c>
    </row>
    <row r="590" spans="1:31" ht="8.65" customHeight="1" x14ac:dyDescent="0.2">
      <c r="A590" s="76">
        <v>590</v>
      </c>
      <c r="B590" s="67" t="str">
        <f>MID(C590, FIND("Ifc.", C590) + 4, 4) &amp; "_" &amp; TEXT(COUNTIF($C$2:C590, C590),"0000")</f>
        <v>Prop_0589</v>
      </c>
      <c r="C590" s="24" t="s">
        <v>872</v>
      </c>
      <c r="D590" s="69" t="s">
        <v>9453</v>
      </c>
      <c r="E590" s="70" t="s">
        <v>9454</v>
      </c>
      <c r="F590" s="17" t="s">
        <v>806</v>
      </c>
      <c r="G590" s="22" t="s">
        <v>1045</v>
      </c>
      <c r="H590" s="12" t="s">
        <v>9703</v>
      </c>
      <c r="I590" s="13" t="s">
        <v>6135</v>
      </c>
      <c r="J590" s="14" t="s">
        <v>798</v>
      </c>
      <c r="K590" s="15" t="s">
        <v>798</v>
      </c>
      <c r="L590" s="12" t="s">
        <v>5315</v>
      </c>
      <c r="M590" s="13" t="s">
        <v>5820</v>
      </c>
      <c r="N590" s="12" t="s">
        <v>803</v>
      </c>
      <c r="O590" s="13" t="s">
        <v>4844</v>
      </c>
      <c r="P590" s="17" t="s">
        <v>802</v>
      </c>
      <c r="Q590" s="21" t="s">
        <v>7901</v>
      </c>
      <c r="R590" s="17" t="s">
        <v>801</v>
      </c>
      <c r="S590" s="18" t="s">
        <v>3636</v>
      </c>
      <c r="T590" s="17" t="s">
        <v>800</v>
      </c>
      <c r="U590" s="18" t="s">
        <v>5257</v>
      </c>
      <c r="V590" s="17" t="s">
        <v>9418</v>
      </c>
      <c r="W590" s="18" t="s">
        <v>5314</v>
      </c>
      <c r="X590" s="69" t="s">
        <v>9453</v>
      </c>
      <c r="Y590" s="70" t="s">
        <v>9464</v>
      </c>
      <c r="Z590" s="73" t="s">
        <v>9486</v>
      </c>
      <c r="AA590" s="74" t="s">
        <v>9504</v>
      </c>
      <c r="AB590" s="73" t="s">
        <v>9486</v>
      </c>
      <c r="AC590" s="74" t="s">
        <v>9561</v>
      </c>
      <c r="AD590" s="73" t="s">
        <v>9578</v>
      </c>
      <c r="AE590" s="74" t="s">
        <v>9579</v>
      </c>
    </row>
    <row r="591" spans="1:31" ht="8.65" customHeight="1" x14ac:dyDescent="0.2">
      <c r="A591" s="76">
        <v>591</v>
      </c>
      <c r="B591" s="67" t="str">
        <f>MID(C591, FIND("Ifc.", C591) + 4, 4) &amp; "_" &amp; TEXT(COUNTIF($C$2:C591, C591),"0000")</f>
        <v>Prop_0590</v>
      </c>
      <c r="C591" s="24" t="s">
        <v>872</v>
      </c>
      <c r="D591" s="69" t="s">
        <v>9453</v>
      </c>
      <c r="E591" s="70" t="s">
        <v>9454</v>
      </c>
      <c r="F591" s="17" t="s">
        <v>806</v>
      </c>
      <c r="G591" s="22" t="s">
        <v>1423</v>
      </c>
      <c r="H591" s="12" t="s">
        <v>9703</v>
      </c>
      <c r="I591" s="13" t="s">
        <v>6299</v>
      </c>
      <c r="J591" s="14" t="s">
        <v>798</v>
      </c>
      <c r="K591" s="15" t="s">
        <v>798</v>
      </c>
      <c r="L591" s="12" t="s">
        <v>5315</v>
      </c>
      <c r="M591" s="13" t="s">
        <v>6032</v>
      </c>
      <c r="N591" s="12" t="s">
        <v>803</v>
      </c>
      <c r="O591" s="13" t="s">
        <v>4933</v>
      </c>
      <c r="P591" s="17" t="s">
        <v>802</v>
      </c>
      <c r="Q591" s="21" t="s">
        <v>7917</v>
      </c>
      <c r="R591" s="17" t="s">
        <v>801</v>
      </c>
      <c r="S591" s="18" t="s">
        <v>2551</v>
      </c>
      <c r="T591" s="17" t="s">
        <v>800</v>
      </c>
      <c r="U591" s="18" t="s">
        <v>5272</v>
      </c>
      <c r="V591" s="17" t="s">
        <v>9418</v>
      </c>
      <c r="W591" s="18" t="s">
        <v>5309</v>
      </c>
      <c r="X591" s="69" t="s">
        <v>9453</v>
      </c>
      <c r="Y591" s="70" t="s">
        <v>9462</v>
      </c>
      <c r="Z591" s="73" t="s">
        <v>9486</v>
      </c>
      <c r="AA591" s="74" t="s">
        <v>9504</v>
      </c>
      <c r="AB591" s="73" t="s">
        <v>9486</v>
      </c>
      <c r="AC591" s="74" t="s">
        <v>9561</v>
      </c>
      <c r="AD591" s="73" t="s">
        <v>9578</v>
      </c>
      <c r="AE591" s="74" t="s">
        <v>9579</v>
      </c>
    </row>
    <row r="592" spans="1:31" ht="8.65" customHeight="1" x14ac:dyDescent="0.2">
      <c r="A592" s="76">
        <v>592</v>
      </c>
      <c r="B592" s="67" t="str">
        <f>MID(C592, FIND("Ifc.", C592) + 4, 4) &amp; "_" &amp; TEXT(COUNTIF($C$2:C592, C592),"0000")</f>
        <v>Prop_0591</v>
      </c>
      <c r="C592" s="24" t="s">
        <v>872</v>
      </c>
      <c r="D592" s="69" t="s">
        <v>9453</v>
      </c>
      <c r="E592" s="70" t="s">
        <v>9454</v>
      </c>
      <c r="F592" s="17" t="s">
        <v>806</v>
      </c>
      <c r="G592" s="22" t="s">
        <v>1945</v>
      </c>
      <c r="H592" s="12" t="s">
        <v>9703</v>
      </c>
      <c r="I592" s="13" t="s">
        <v>6584</v>
      </c>
      <c r="J592" s="14" t="s">
        <v>798</v>
      </c>
      <c r="K592" s="15" t="s">
        <v>798</v>
      </c>
      <c r="L592" s="12" t="s">
        <v>5315</v>
      </c>
      <c r="M592" s="13" t="s">
        <v>5853</v>
      </c>
      <c r="N592" s="12" t="s">
        <v>803</v>
      </c>
      <c r="O592" s="13" t="s">
        <v>5064</v>
      </c>
      <c r="P592" s="17" t="s">
        <v>802</v>
      </c>
      <c r="Q592" s="21" t="s">
        <v>7834</v>
      </c>
      <c r="R592" s="17" t="s">
        <v>801</v>
      </c>
      <c r="S592" s="18" t="s">
        <v>2550</v>
      </c>
      <c r="T592" s="17" t="s">
        <v>800</v>
      </c>
      <c r="U592" s="18" t="s">
        <v>5267</v>
      </c>
      <c r="V592" s="17" t="s">
        <v>9418</v>
      </c>
      <c r="W592" s="18" t="s">
        <v>5309</v>
      </c>
      <c r="X592" s="69" t="s">
        <v>9453</v>
      </c>
      <c r="Y592" s="70" t="s">
        <v>9462</v>
      </c>
      <c r="Z592" s="73" t="s">
        <v>9486</v>
      </c>
      <c r="AA592" s="74" t="s">
        <v>9504</v>
      </c>
      <c r="AB592" s="73" t="s">
        <v>9486</v>
      </c>
      <c r="AC592" s="74" t="s">
        <v>9561</v>
      </c>
      <c r="AD592" s="73" t="s">
        <v>9578</v>
      </c>
      <c r="AE592" s="74" t="s">
        <v>9579</v>
      </c>
    </row>
    <row r="593" spans="1:31" ht="8.65" customHeight="1" x14ac:dyDescent="0.2">
      <c r="A593" s="76">
        <v>593</v>
      </c>
      <c r="B593" s="67" t="str">
        <f>MID(C593, FIND("Ifc.", C593) + 4, 4) &amp; "_" &amp; TEXT(COUNTIF($C$2:C593, C593),"0000")</f>
        <v>Prop_0592</v>
      </c>
      <c r="C593" s="24" t="s">
        <v>872</v>
      </c>
      <c r="D593" s="69" t="s">
        <v>9453</v>
      </c>
      <c r="E593" s="70" t="s">
        <v>9454</v>
      </c>
      <c r="F593" s="17" t="s">
        <v>806</v>
      </c>
      <c r="G593" s="22" t="s">
        <v>1147</v>
      </c>
      <c r="H593" s="12" t="s">
        <v>9703</v>
      </c>
      <c r="I593" s="13" t="s">
        <v>6974</v>
      </c>
      <c r="J593" s="14" t="s">
        <v>798</v>
      </c>
      <c r="K593" s="15" t="s">
        <v>798</v>
      </c>
      <c r="L593" s="12" t="s">
        <v>5315</v>
      </c>
      <c r="M593" s="13" t="s">
        <v>5393</v>
      </c>
      <c r="N593" s="12" t="s">
        <v>803</v>
      </c>
      <c r="O593" s="13" t="s">
        <v>4864</v>
      </c>
      <c r="P593" s="17" t="s">
        <v>802</v>
      </c>
      <c r="Q593" s="21" t="s">
        <v>7874</v>
      </c>
      <c r="R593" s="17" t="s">
        <v>801</v>
      </c>
      <c r="S593" s="18" t="s">
        <v>2550</v>
      </c>
      <c r="T593" s="17" t="s">
        <v>800</v>
      </c>
      <c r="U593" s="18" t="s">
        <v>5267</v>
      </c>
      <c r="V593" s="17" t="s">
        <v>9418</v>
      </c>
      <c r="W593" s="18" t="s">
        <v>5309</v>
      </c>
      <c r="X593" s="69" t="s">
        <v>9453</v>
      </c>
      <c r="Y593" s="70" t="s">
        <v>9462</v>
      </c>
      <c r="Z593" s="73" t="s">
        <v>9486</v>
      </c>
      <c r="AA593" s="74" t="s">
        <v>9504</v>
      </c>
      <c r="AB593" s="73" t="s">
        <v>9486</v>
      </c>
      <c r="AC593" s="74" t="s">
        <v>9561</v>
      </c>
      <c r="AD593" s="73" t="s">
        <v>9578</v>
      </c>
      <c r="AE593" s="74" t="s">
        <v>9579</v>
      </c>
    </row>
    <row r="594" spans="1:31" ht="8.65" customHeight="1" x14ac:dyDescent="0.2">
      <c r="A594" s="76">
        <v>594</v>
      </c>
      <c r="B594" s="67" t="str">
        <f>MID(C594, FIND("Ifc.", C594) + 4, 4) &amp; "_" &amp; TEXT(COUNTIF($C$2:C594, C594),"0000")</f>
        <v>Prop_0593</v>
      </c>
      <c r="C594" s="24" t="s">
        <v>872</v>
      </c>
      <c r="D594" s="69" t="s">
        <v>9453</v>
      </c>
      <c r="E594" s="70" t="s">
        <v>9454</v>
      </c>
      <c r="F594" s="17" t="s">
        <v>806</v>
      </c>
      <c r="G594" s="22" t="s">
        <v>1230</v>
      </c>
      <c r="H594" s="12" t="s">
        <v>9703</v>
      </c>
      <c r="I594" s="13" t="s">
        <v>7096</v>
      </c>
      <c r="J594" s="14" t="s">
        <v>798</v>
      </c>
      <c r="K594" s="15" t="s">
        <v>798</v>
      </c>
      <c r="L594" s="12" t="s">
        <v>5315</v>
      </c>
      <c r="M594" s="13" t="s">
        <v>5400</v>
      </c>
      <c r="N594" s="12" t="s">
        <v>803</v>
      </c>
      <c r="O594" s="13" t="s">
        <v>4888</v>
      </c>
      <c r="P594" s="17" t="s">
        <v>802</v>
      </c>
      <c r="Q594" s="21" t="s">
        <v>7777</v>
      </c>
      <c r="R594" s="17" t="s">
        <v>801</v>
      </c>
      <c r="S594" s="18" t="s">
        <v>2551</v>
      </c>
      <c r="T594" s="17" t="s">
        <v>800</v>
      </c>
      <c r="U594" s="18" t="s">
        <v>5272</v>
      </c>
      <c r="V594" s="17" t="s">
        <v>9418</v>
      </c>
      <c r="W594" s="18" t="s">
        <v>5309</v>
      </c>
      <c r="X594" s="69" t="s">
        <v>9453</v>
      </c>
      <c r="Y594" s="70" t="s">
        <v>9462</v>
      </c>
      <c r="Z594" s="73" t="s">
        <v>9486</v>
      </c>
      <c r="AA594" s="74" t="s">
        <v>9504</v>
      </c>
      <c r="AB594" s="73" t="s">
        <v>9486</v>
      </c>
      <c r="AC594" s="74" t="s">
        <v>9561</v>
      </c>
      <c r="AD594" s="73" t="s">
        <v>9578</v>
      </c>
      <c r="AE594" s="74" t="s">
        <v>9579</v>
      </c>
    </row>
    <row r="595" spans="1:31" ht="8.65" customHeight="1" x14ac:dyDescent="0.2">
      <c r="A595" s="76">
        <v>595</v>
      </c>
      <c r="B595" s="67" t="str">
        <f>MID(C595, FIND("Ifc.", C595) + 4, 4) &amp; "_" &amp; TEXT(COUNTIF($C$2:C595, C595),"0000")</f>
        <v>Prop_0594</v>
      </c>
      <c r="C595" s="24" t="s">
        <v>872</v>
      </c>
      <c r="D595" s="69" t="s">
        <v>9453</v>
      </c>
      <c r="E595" s="70" t="s">
        <v>9454</v>
      </c>
      <c r="F595" s="17" t="s">
        <v>806</v>
      </c>
      <c r="G595" s="22" t="s">
        <v>1169</v>
      </c>
      <c r="H595" s="12" t="s">
        <v>9703</v>
      </c>
      <c r="I595" s="13" t="s">
        <v>6206</v>
      </c>
      <c r="J595" s="14" t="s">
        <v>798</v>
      </c>
      <c r="K595" s="15" t="s">
        <v>798</v>
      </c>
      <c r="L595" s="12" t="s">
        <v>5315</v>
      </c>
      <c r="M595" s="13" t="s">
        <v>5399</v>
      </c>
      <c r="N595" s="12" t="s">
        <v>803</v>
      </c>
      <c r="O595" s="13" t="s">
        <v>4874</v>
      </c>
      <c r="P595" s="17" t="s">
        <v>802</v>
      </c>
      <c r="Q595" s="21" t="s">
        <v>7875</v>
      </c>
      <c r="R595" s="17" t="s">
        <v>801</v>
      </c>
      <c r="S595" s="18" t="s">
        <v>2550</v>
      </c>
      <c r="T595" s="17" t="s">
        <v>800</v>
      </c>
      <c r="U595" s="18" t="s">
        <v>5267</v>
      </c>
      <c r="V595" s="17" t="s">
        <v>9418</v>
      </c>
      <c r="W595" s="18" t="s">
        <v>5309</v>
      </c>
      <c r="X595" s="69" t="s">
        <v>9453</v>
      </c>
      <c r="Y595" s="70" t="s">
        <v>9462</v>
      </c>
      <c r="Z595" s="73" t="s">
        <v>9486</v>
      </c>
      <c r="AA595" s="74" t="s">
        <v>9504</v>
      </c>
      <c r="AB595" s="73" t="s">
        <v>9486</v>
      </c>
      <c r="AC595" s="74" t="s">
        <v>9561</v>
      </c>
      <c r="AD595" s="73" t="s">
        <v>9578</v>
      </c>
      <c r="AE595" s="74" t="s">
        <v>9579</v>
      </c>
    </row>
    <row r="596" spans="1:31" ht="8.65" customHeight="1" x14ac:dyDescent="0.2">
      <c r="A596" s="76">
        <v>596</v>
      </c>
      <c r="B596" s="67" t="str">
        <f>MID(C596, FIND("Ifc.", C596) + 4, 4) &amp; "_" &amp; TEXT(COUNTIF($C$2:C596, C596),"0000")</f>
        <v>Prop_0595</v>
      </c>
      <c r="C596" s="24" t="s">
        <v>872</v>
      </c>
      <c r="D596" s="69" t="s">
        <v>9453</v>
      </c>
      <c r="E596" s="70" t="s">
        <v>9454</v>
      </c>
      <c r="F596" s="17" t="s">
        <v>806</v>
      </c>
      <c r="G596" s="22" t="s">
        <v>1513</v>
      </c>
      <c r="H596" s="12" t="s">
        <v>9703</v>
      </c>
      <c r="I596" s="13" t="s">
        <v>7004</v>
      </c>
      <c r="J596" s="14" t="s">
        <v>798</v>
      </c>
      <c r="K596" s="15" t="s">
        <v>798</v>
      </c>
      <c r="L596" s="12" t="s">
        <v>5315</v>
      </c>
      <c r="M596" s="13" t="s">
        <v>5444</v>
      </c>
      <c r="N596" s="12" t="s">
        <v>803</v>
      </c>
      <c r="O596" s="13" t="s">
        <v>4952</v>
      </c>
      <c r="P596" s="17" t="s">
        <v>802</v>
      </c>
      <c r="Q596" s="21" t="s">
        <v>7888</v>
      </c>
      <c r="R596" s="17" t="s">
        <v>801</v>
      </c>
      <c r="S596" s="18" t="s">
        <v>2550</v>
      </c>
      <c r="T596" s="17" t="s">
        <v>800</v>
      </c>
      <c r="U596" s="18" t="s">
        <v>5267</v>
      </c>
      <c r="V596" s="17" t="s">
        <v>9418</v>
      </c>
      <c r="W596" s="18" t="s">
        <v>5309</v>
      </c>
      <c r="X596" s="69" t="s">
        <v>9453</v>
      </c>
      <c r="Y596" s="70" t="s">
        <v>9462</v>
      </c>
      <c r="Z596" s="73" t="s">
        <v>9486</v>
      </c>
      <c r="AA596" s="74" t="s">
        <v>9504</v>
      </c>
      <c r="AB596" s="73" t="s">
        <v>9486</v>
      </c>
      <c r="AC596" s="74" t="s">
        <v>9561</v>
      </c>
      <c r="AD596" s="73" t="s">
        <v>9578</v>
      </c>
      <c r="AE596" s="74" t="s">
        <v>9579</v>
      </c>
    </row>
    <row r="597" spans="1:31" ht="8.65" customHeight="1" x14ac:dyDescent="0.2">
      <c r="A597" s="76">
        <v>597</v>
      </c>
      <c r="B597" s="67" t="str">
        <f>MID(C597, FIND("Ifc.", C597) + 4, 4) &amp; "_" &amp; TEXT(COUNTIF($C$2:C597, C597),"0000")</f>
        <v>Prop_0596</v>
      </c>
      <c r="C597" s="24" t="s">
        <v>872</v>
      </c>
      <c r="D597" s="69" t="s">
        <v>9453</v>
      </c>
      <c r="E597" s="70" t="s">
        <v>9454</v>
      </c>
      <c r="F597" s="17" t="s">
        <v>806</v>
      </c>
      <c r="G597" s="22" t="s">
        <v>2058</v>
      </c>
      <c r="H597" s="12" t="s">
        <v>9703</v>
      </c>
      <c r="I597" s="13" t="s">
        <v>6620</v>
      </c>
      <c r="J597" s="14" t="s">
        <v>798</v>
      </c>
      <c r="K597" s="15" t="s">
        <v>798</v>
      </c>
      <c r="L597" s="12" t="s">
        <v>5315</v>
      </c>
      <c r="M597" s="13" t="s">
        <v>5483</v>
      </c>
      <c r="N597" s="12" t="s">
        <v>803</v>
      </c>
      <c r="O597" s="13" t="s">
        <v>5086</v>
      </c>
      <c r="P597" s="17" t="s">
        <v>802</v>
      </c>
      <c r="Q597" s="21" t="s">
        <v>7918</v>
      </c>
      <c r="R597" s="17" t="s">
        <v>801</v>
      </c>
      <c r="S597" s="18" t="s">
        <v>2551</v>
      </c>
      <c r="T597" s="17" t="s">
        <v>800</v>
      </c>
      <c r="U597" s="18" t="s">
        <v>5272</v>
      </c>
      <c r="V597" s="17" t="s">
        <v>9418</v>
      </c>
      <c r="W597" s="18" t="s">
        <v>5309</v>
      </c>
      <c r="X597" s="69" t="s">
        <v>9453</v>
      </c>
      <c r="Y597" s="70" t="s">
        <v>9462</v>
      </c>
      <c r="Z597" s="73" t="s">
        <v>9486</v>
      </c>
      <c r="AA597" s="74" t="s">
        <v>9504</v>
      </c>
      <c r="AB597" s="73" t="s">
        <v>9486</v>
      </c>
      <c r="AC597" s="74" t="s">
        <v>9561</v>
      </c>
      <c r="AD597" s="73" t="s">
        <v>9578</v>
      </c>
      <c r="AE597" s="74" t="s">
        <v>9579</v>
      </c>
    </row>
    <row r="598" spans="1:31" ht="8.65" customHeight="1" x14ac:dyDescent="0.2">
      <c r="A598" s="76">
        <v>598</v>
      </c>
      <c r="B598" s="67" t="str">
        <f>MID(C598, FIND("Ifc.", C598) + 4, 4) &amp; "_" &amp; TEXT(COUNTIF($C$2:C598, C598),"0000")</f>
        <v>Prop_0597</v>
      </c>
      <c r="C598" s="24" t="s">
        <v>872</v>
      </c>
      <c r="D598" s="69" t="s">
        <v>9453</v>
      </c>
      <c r="E598" s="70" t="s">
        <v>9454</v>
      </c>
      <c r="F598" s="17" t="s">
        <v>806</v>
      </c>
      <c r="G598" s="22" t="s">
        <v>1512</v>
      </c>
      <c r="H598" s="12" t="s">
        <v>9703</v>
      </c>
      <c r="I598" s="13" t="s">
        <v>7003</v>
      </c>
      <c r="J598" s="14" t="s">
        <v>798</v>
      </c>
      <c r="K598" s="15" t="s">
        <v>798</v>
      </c>
      <c r="L598" s="12" t="s">
        <v>5315</v>
      </c>
      <c r="M598" s="13" t="s">
        <v>5444</v>
      </c>
      <c r="N598" s="12" t="s">
        <v>803</v>
      </c>
      <c r="O598" s="13" t="s">
        <v>4952</v>
      </c>
      <c r="P598" s="17" t="s">
        <v>802</v>
      </c>
      <c r="Q598" s="21" t="s">
        <v>7888</v>
      </c>
      <c r="R598" s="17" t="s">
        <v>801</v>
      </c>
      <c r="S598" s="18" t="s">
        <v>2550</v>
      </c>
      <c r="T598" s="17" t="s">
        <v>800</v>
      </c>
      <c r="U598" s="18" t="s">
        <v>5267</v>
      </c>
      <c r="V598" s="17" t="s">
        <v>9418</v>
      </c>
      <c r="W598" s="18" t="s">
        <v>5309</v>
      </c>
      <c r="X598" s="69" t="s">
        <v>9453</v>
      </c>
      <c r="Y598" s="70" t="s">
        <v>9462</v>
      </c>
      <c r="Z598" s="73" t="s">
        <v>9486</v>
      </c>
      <c r="AA598" s="74" t="s">
        <v>9504</v>
      </c>
      <c r="AB598" s="73" t="s">
        <v>9486</v>
      </c>
      <c r="AC598" s="74" t="s">
        <v>9561</v>
      </c>
      <c r="AD598" s="73" t="s">
        <v>9578</v>
      </c>
      <c r="AE598" s="74" t="s">
        <v>9579</v>
      </c>
    </row>
    <row r="599" spans="1:31" ht="8.65" customHeight="1" x14ac:dyDescent="0.2">
      <c r="A599" s="76">
        <v>599</v>
      </c>
      <c r="B599" s="67" t="str">
        <f>MID(C599, FIND("Ifc.", C599) + 4, 4) &amp; "_" &amp; TEXT(COUNTIF($C$2:C599, C599),"0000")</f>
        <v>Prop_0598</v>
      </c>
      <c r="C599" s="24" t="s">
        <v>872</v>
      </c>
      <c r="D599" s="69" t="s">
        <v>9453</v>
      </c>
      <c r="E599" s="70" t="s">
        <v>9454</v>
      </c>
      <c r="F599" s="17" t="s">
        <v>806</v>
      </c>
      <c r="G599" s="22" t="s">
        <v>2057</v>
      </c>
      <c r="H599" s="12" t="s">
        <v>9703</v>
      </c>
      <c r="I599" s="13" t="s">
        <v>6207</v>
      </c>
      <c r="J599" s="14" t="s">
        <v>798</v>
      </c>
      <c r="K599" s="15" t="s">
        <v>798</v>
      </c>
      <c r="L599" s="12" t="s">
        <v>5315</v>
      </c>
      <c r="M599" s="13" t="s">
        <v>5483</v>
      </c>
      <c r="N599" s="12" t="s">
        <v>803</v>
      </c>
      <c r="O599" s="13" t="s">
        <v>5086</v>
      </c>
      <c r="P599" s="17" t="s">
        <v>802</v>
      </c>
      <c r="Q599" s="21" t="s">
        <v>7918</v>
      </c>
      <c r="R599" s="17" t="s">
        <v>801</v>
      </c>
      <c r="S599" s="18" t="s">
        <v>2551</v>
      </c>
      <c r="T599" s="17" t="s">
        <v>800</v>
      </c>
      <c r="U599" s="18" t="s">
        <v>5272</v>
      </c>
      <c r="V599" s="17" t="s">
        <v>9418</v>
      </c>
      <c r="W599" s="18" t="s">
        <v>5309</v>
      </c>
      <c r="X599" s="69" t="s">
        <v>9453</v>
      </c>
      <c r="Y599" s="70" t="s">
        <v>9462</v>
      </c>
      <c r="Z599" s="73" t="s">
        <v>9486</v>
      </c>
      <c r="AA599" s="74" t="s">
        <v>9504</v>
      </c>
      <c r="AB599" s="73" t="s">
        <v>9486</v>
      </c>
      <c r="AC599" s="74" t="s">
        <v>9561</v>
      </c>
      <c r="AD599" s="73" t="s">
        <v>9578</v>
      </c>
      <c r="AE599" s="74" t="s">
        <v>9579</v>
      </c>
    </row>
    <row r="600" spans="1:31" ht="8.65" customHeight="1" x14ac:dyDescent="0.2">
      <c r="A600" s="76">
        <v>600</v>
      </c>
      <c r="B600" s="67" t="str">
        <f>MID(C600, FIND("Ifc.", C600) + 4, 4) &amp; "_" &amp; TEXT(COUNTIF($C$2:C600, C600),"0000")</f>
        <v>Prop_0599</v>
      </c>
      <c r="C600" s="24" t="s">
        <v>872</v>
      </c>
      <c r="D600" s="69" t="s">
        <v>9453</v>
      </c>
      <c r="E600" s="70" t="s">
        <v>9454</v>
      </c>
      <c r="F600" s="17" t="s">
        <v>806</v>
      </c>
      <c r="G600" s="22" t="s">
        <v>1170</v>
      </c>
      <c r="H600" s="12" t="s">
        <v>9703</v>
      </c>
      <c r="I600" s="13" t="s">
        <v>6207</v>
      </c>
      <c r="J600" s="14" t="s">
        <v>798</v>
      </c>
      <c r="K600" s="15" t="s">
        <v>798</v>
      </c>
      <c r="L600" s="12" t="s">
        <v>5315</v>
      </c>
      <c r="M600" s="13" t="s">
        <v>5399</v>
      </c>
      <c r="N600" s="12" t="s">
        <v>803</v>
      </c>
      <c r="O600" s="13" t="s">
        <v>4874</v>
      </c>
      <c r="P600" s="17" t="s">
        <v>802</v>
      </c>
      <c r="Q600" s="21" t="s">
        <v>7875</v>
      </c>
      <c r="R600" s="17" t="s">
        <v>801</v>
      </c>
      <c r="S600" s="18" t="s">
        <v>2550</v>
      </c>
      <c r="T600" s="17" t="s">
        <v>800</v>
      </c>
      <c r="U600" s="18" t="s">
        <v>5267</v>
      </c>
      <c r="V600" s="17" t="s">
        <v>9418</v>
      </c>
      <c r="W600" s="18" t="s">
        <v>5309</v>
      </c>
      <c r="X600" s="69" t="s">
        <v>9453</v>
      </c>
      <c r="Y600" s="70" t="s">
        <v>9462</v>
      </c>
      <c r="Z600" s="73" t="s">
        <v>9486</v>
      </c>
      <c r="AA600" s="74" t="s">
        <v>9504</v>
      </c>
      <c r="AB600" s="73" t="s">
        <v>9486</v>
      </c>
      <c r="AC600" s="74" t="s">
        <v>9561</v>
      </c>
      <c r="AD600" s="73" t="s">
        <v>9578</v>
      </c>
      <c r="AE600" s="74" t="s">
        <v>9579</v>
      </c>
    </row>
    <row r="601" spans="1:31" ht="8.65" customHeight="1" x14ac:dyDescent="0.2">
      <c r="A601" s="76">
        <v>601</v>
      </c>
      <c r="B601" s="67" t="str">
        <f>MID(C601, FIND("Ifc.", C601) + 4, 4) &amp; "_" &amp; TEXT(COUNTIF($C$2:C601, C601),"0000")</f>
        <v>Prop_0600</v>
      </c>
      <c r="C601" s="24" t="s">
        <v>872</v>
      </c>
      <c r="D601" s="69" t="s">
        <v>9453</v>
      </c>
      <c r="E601" s="70" t="s">
        <v>9454</v>
      </c>
      <c r="F601" s="17" t="s">
        <v>806</v>
      </c>
      <c r="G601" s="22" t="s">
        <v>1171</v>
      </c>
      <c r="H601" s="12" t="s">
        <v>9703</v>
      </c>
      <c r="I601" s="13" t="s">
        <v>6208</v>
      </c>
      <c r="J601" s="14" t="s">
        <v>798</v>
      </c>
      <c r="K601" s="15" t="s">
        <v>798</v>
      </c>
      <c r="L601" s="12" t="s">
        <v>5315</v>
      </c>
      <c r="M601" s="13" t="s">
        <v>5399</v>
      </c>
      <c r="N601" s="12" t="s">
        <v>803</v>
      </c>
      <c r="O601" s="13" t="s">
        <v>4874</v>
      </c>
      <c r="P601" s="17" t="s">
        <v>802</v>
      </c>
      <c r="Q601" s="21" t="s">
        <v>7875</v>
      </c>
      <c r="R601" s="17" t="s">
        <v>801</v>
      </c>
      <c r="S601" s="18" t="s">
        <v>2550</v>
      </c>
      <c r="T601" s="17" t="s">
        <v>800</v>
      </c>
      <c r="U601" s="18" t="s">
        <v>5267</v>
      </c>
      <c r="V601" s="17" t="s">
        <v>9418</v>
      </c>
      <c r="W601" s="18" t="s">
        <v>5309</v>
      </c>
      <c r="X601" s="69" t="s">
        <v>9453</v>
      </c>
      <c r="Y601" s="70" t="s">
        <v>9462</v>
      </c>
      <c r="Z601" s="73" t="s">
        <v>9486</v>
      </c>
      <c r="AA601" s="74" t="s">
        <v>9504</v>
      </c>
      <c r="AB601" s="73" t="s">
        <v>9486</v>
      </c>
      <c r="AC601" s="74" t="s">
        <v>9561</v>
      </c>
      <c r="AD601" s="73" t="s">
        <v>9578</v>
      </c>
      <c r="AE601" s="74" t="s">
        <v>9579</v>
      </c>
    </row>
    <row r="602" spans="1:31" ht="8.65" customHeight="1" x14ac:dyDescent="0.2">
      <c r="A602" s="76">
        <v>602</v>
      </c>
      <c r="B602" s="67" t="str">
        <f>MID(C602, FIND("Ifc.", C602) + 4, 4) &amp; "_" &amp; TEXT(COUNTIF($C$2:C602, C602),"0000")</f>
        <v>Prop_0601</v>
      </c>
      <c r="C602" s="24" t="s">
        <v>872</v>
      </c>
      <c r="D602" s="69" t="s">
        <v>9453</v>
      </c>
      <c r="E602" s="70" t="s">
        <v>9454</v>
      </c>
      <c r="F602" s="17" t="s">
        <v>806</v>
      </c>
      <c r="G602" s="22" t="s">
        <v>1422</v>
      </c>
      <c r="H602" s="12" t="s">
        <v>9703</v>
      </c>
      <c r="I602" s="13" t="s">
        <v>6298</v>
      </c>
      <c r="J602" s="14" t="s">
        <v>798</v>
      </c>
      <c r="K602" s="15" t="s">
        <v>798</v>
      </c>
      <c r="L602" s="12" t="s">
        <v>5315</v>
      </c>
      <c r="M602" s="13" t="s">
        <v>6032</v>
      </c>
      <c r="N602" s="12" t="s">
        <v>803</v>
      </c>
      <c r="O602" s="13" t="s">
        <v>4933</v>
      </c>
      <c r="P602" s="17" t="s">
        <v>802</v>
      </c>
      <c r="Q602" s="21" t="s">
        <v>7917</v>
      </c>
      <c r="R602" s="17" t="s">
        <v>801</v>
      </c>
      <c r="S602" s="18" t="s">
        <v>2551</v>
      </c>
      <c r="T602" s="17" t="s">
        <v>800</v>
      </c>
      <c r="U602" s="18" t="s">
        <v>5272</v>
      </c>
      <c r="V602" s="17" t="s">
        <v>9418</v>
      </c>
      <c r="W602" s="18" t="s">
        <v>5309</v>
      </c>
      <c r="X602" s="69" t="s">
        <v>9453</v>
      </c>
      <c r="Y602" s="70" t="s">
        <v>9462</v>
      </c>
      <c r="Z602" s="73" t="s">
        <v>9486</v>
      </c>
      <c r="AA602" s="74" t="s">
        <v>9504</v>
      </c>
      <c r="AB602" s="73" t="s">
        <v>9486</v>
      </c>
      <c r="AC602" s="74" t="s">
        <v>9561</v>
      </c>
      <c r="AD602" s="73" t="s">
        <v>9578</v>
      </c>
      <c r="AE602" s="74" t="s">
        <v>9579</v>
      </c>
    </row>
    <row r="603" spans="1:31" ht="8.65" customHeight="1" x14ac:dyDescent="0.2">
      <c r="A603" s="76">
        <v>603</v>
      </c>
      <c r="B603" s="67" t="str">
        <f>MID(C603, FIND("Ifc.", C603) + 4, 4) &amp; "_" &amp; TEXT(COUNTIF($C$2:C603, C603),"0000")</f>
        <v>Prop_0602</v>
      </c>
      <c r="C603" s="24" t="s">
        <v>872</v>
      </c>
      <c r="D603" s="69" t="s">
        <v>9453</v>
      </c>
      <c r="E603" s="70" t="s">
        <v>9454</v>
      </c>
      <c r="F603" s="17" t="s">
        <v>806</v>
      </c>
      <c r="G603" s="22" t="s">
        <v>1771</v>
      </c>
      <c r="H603" s="12" t="s">
        <v>9703</v>
      </c>
      <c r="I603" s="13" t="s">
        <v>6909</v>
      </c>
      <c r="J603" s="14" t="s">
        <v>798</v>
      </c>
      <c r="K603" s="15" t="s">
        <v>798</v>
      </c>
      <c r="L603" s="12" t="s">
        <v>5315</v>
      </c>
      <c r="M603" s="13" t="s">
        <v>5453</v>
      </c>
      <c r="N603" s="12" t="s">
        <v>803</v>
      </c>
      <c r="O603" s="13" t="s">
        <v>5015</v>
      </c>
      <c r="P603" s="17" t="s">
        <v>802</v>
      </c>
      <c r="Q603" s="21" t="s">
        <v>7712</v>
      </c>
      <c r="R603" s="17" t="s">
        <v>801</v>
      </c>
      <c r="S603" s="18" t="s">
        <v>2583</v>
      </c>
      <c r="T603" s="17" t="s">
        <v>800</v>
      </c>
      <c r="U603" s="18" t="s">
        <v>5251</v>
      </c>
      <c r="V603" s="17" t="s">
        <v>9418</v>
      </c>
      <c r="W603" s="18" t="s">
        <v>5309</v>
      </c>
      <c r="X603" s="69" t="s">
        <v>9453</v>
      </c>
      <c r="Y603" s="70" t="s">
        <v>9462</v>
      </c>
      <c r="Z603" s="73" t="s">
        <v>9486</v>
      </c>
      <c r="AA603" s="74" t="s">
        <v>9504</v>
      </c>
      <c r="AB603" s="73" t="s">
        <v>9486</v>
      </c>
      <c r="AC603" s="74" t="s">
        <v>9566</v>
      </c>
      <c r="AD603" s="73" t="s">
        <v>9578</v>
      </c>
      <c r="AE603" s="74" t="s">
        <v>9579</v>
      </c>
    </row>
    <row r="604" spans="1:31" ht="8.65" customHeight="1" x14ac:dyDescent="0.2">
      <c r="A604" s="76">
        <v>604</v>
      </c>
      <c r="B604" s="67" t="str">
        <f>MID(C604, FIND("Ifc.", C604) + 4, 4) &amp; "_" &amp; TEXT(COUNTIF($C$2:C604, C604),"0000")</f>
        <v>Prop_0603</v>
      </c>
      <c r="C604" s="24" t="s">
        <v>872</v>
      </c>
      <c r="D604" s="69" t="s">
        <v>9453</v>
      </c>
      <c r="E604" s="70" t="s">
        <v>9454</v>
      </c>
      <c r="F604" s="17" t="s">
        <v>806</v>
      </c>
      <c r="G604" s="22" t="s">
        <v>1851</v>
      </c>
      <c r="H604" s="12" t="s">
        <v>9703</v>
      </c>
      <c r="I604" s="13" t="s">
        <v>7217</v>
      </c>
      <c r="J604" s="14" t="s">
        <v>798</v>
      </c>
      <c r="K604" s="15" t="s">
        <v>798</v>
      </c>
      <c r="L604" s="12" t="s">
        <v>5315</v>
      </c>
      <c r="M604" s="13" t="s">
        <v>5457</v>
      </c>
      <c r="N604" s="12" t="s">
        <v>803</v>
      </c>
      <c r="O604" s="13" t="s">
        <v>5033</v>
      </c>
      <c r="P604" s="17" t="s">
        <v>802</v>
      </c>
      <c r="Q604" s="21" t="s">
        <v>7919</v>
      </c>
      <c r="R604" s="17" t="s">
        <v>801</v>
      </c>
      <c r="S604" s="18" t="s">
        <v>2625</v>
      </c>
      <c r="T604" s="17" t="s">
        <v>800</v>
      </c>
      <c r="U604" s="18" t="s">
        <v>5240</v>
      </c>
      <c r="V604" s="17" t="s">
        <v>9418</v>
      </c>
      <c r="W604" s="18" t="s">
        <v>5309</v>
      </c>
      <c r="X604" s="69" t="s">
        <v>9453</v>
      </c>
      <c r="Y604" s="70" t="s">
        <v>9462</v>
      </c>
      <c r="Z604" s="73" t="s">
        <v>9486</v>
      </c>
      <c r="AA604" s="74" t="s">
        <v>9504</v>
      </c>
      <c r="AB604" s="73" t="s">
        <v>9486</v>
      </c>
      <c r="AC604" s="74" t="s">
        <v>9566</v>
      </c>
      <c r="AD604" s="73" t="s">
        <v>9578</v>
      </c>
      <c r="AE604" s="74" t="s">
        <v>9579</v>
      </c>
    </row>
    <row r="605" spans="1:31" ht="8.65" customHeight="1" x14ac:dyDescent="0.2">
      <c r="A605" s="76">
        <v>605</v>
      </c>
      <c r="B605" s="67" t="str">
        <f>MID(C605, FIND("Ifc.", C605) + 4, 4) &amp; "_" &amp; TEXT(COUNTIF($C$2:C605, C605),"0000")</f>
        <v>Prop_0604</v>
      </c>
      <c r="C605" s="24" t="s">
        <v>872</v>
      </c>
      <c r="D605" s="69" t="s">
        <v>9453</v>
      </c>
      <c r="E605" s="70" t="s">
        <v>9454</v>
      </c>
      <c r="F605" s="17" t="s">
        <v>806</v>
      </c>
      <c r="G605" s="22" t="s">
        <v>1847</v>
      </c>
      <c r="H605" s="12" t="s">
        <v>9703</v>
      </c>
      <c r="I605" s="13" t="s">
        <v>7217</v>
      </c>
      <c r="J605" s="14" t="s">
        <v>798</v>
      </c>
      <c r="K605" s="15" t="s">
        <v>798</v>
      </c>
      <c r="L605" s="12" t="s">
        <v>5315</v>
      </c>
      <c r="M605" s="13" t="s">
        <v>5457</v>
      </c>
      <c r="N605" s="12" t="s">
        <v>803</v>
      </c>
      <c r="O605" s="13" t="s">
        <v>5033</v>
      </c>
      <c r="P605" s="17" t="s">
        <v>802</v>
      </c>
      <c r="Q605" s="21" t="s">
        <v>7919</v>
      </c>
      <c r="R605" s="17" t="s">
        <v>801</v>
      </c>
      <c r="S605" s="18" t="s">
        <v>2621</v>
      </c>
      <c r="T605" s="17" t="s">
        <v>800</v>
      </c>
      <c r="U605" s="18" t="s">
        <v>5260</v>
      </c>
      <c r="V605" s="17" t="s">
        <v>9418</v>
      </c>
      <c r="W605" s="18" t="s">
        <v>5309</v>
      </c>
      <c r="X605" s="69" t="s">
        <v>9453</v>
      </c>
      <c r="Y605" s="70" t="s">
        <v>9462</v>
      </c>
      <c r="Z605" s="73" t="s">
        <v>9486</v>
      </c>
      <c r="AA605" s="74" t="s">
        <v>9504</v>
      </c>
      <c r="AB605" s="73" t="s">
        <v>9486</v>
      </c>
      <c r="AC605" s="74" t="s">
        <v>9566</v>
      </c>
      <c r="AD605" s="73" t="s">
        <v>9578</v>
      </c>
      <c r="AE605" s="74" t="s">
        <v>9579</v>
      </c>
    </row>
    <row r="606" spans="1:31" ht="8.65" customHeight="1" x14ac:dyDescent="0.2">
      <c r="A606" s="76">
        <v>606</v>
      </c>
      <c r="B606" s="67" t="str">
        <f>MID(C606, FIND("Ifc.", C606) + 4, 4) &amp; "_" &amp; TEXT(COUNTIF($C$2:C606, C606),"0000")</f>
        <v>Prop_0605</v>
      </c>
      <c r="C606" s="24" t="s">
        <v>872</v>
      </c>
      <c r="D606" s="69" t="s">
        <v>9453</v>
      </c>
      <c r="E606" s="70" t="s">
        <v>9454</v>
      </c>
      <c r="F606" s="17" t="s">
        <v>806</v>
      </c>
      <c r="G606" s="22" t="s">
        <v>1850</v>
      </c>
      <c r="H606" s="12" t="s">
        <v>9703</v>
      </c>
      <c r="I606" s="13" t="s">
        <v>7200</v>
      </c>
      <c r="J606" s="14" t="s">
        <v>798</v>
      </c>
      <c r="K606" s="15" t="s">
        <v>798</v>
      </c>
      <c r="L606" s="12" t="s">
        <v>5315</v>
      </c>
      <c r="M606" s="13" t="s">
        <v>5457</v>
      </c>
      <c r="N606" s="12" t="s">
        <v>803</v>
      </c>
      <c r="O606" s="13" t="s">
        <v>5033</v>
      </c>
      <c r="P606" s="17" t="s">
        <v>802</v>
      </c>
      <c r="Q606" s="21" t="s">
        <v>7919</v>
      </c>
      <c r="R606" s="17" t="s">
        <v>801</v>
      </c>
      <c r="S606" s="18" t="s">
        <v>2625</v>
      </c>
      <c r="T606" s="17" t="s">
        <v>800</v>
      </c>
      <c r="U606" s="18" t="s">
        <v>5240</v>
      </c>
      <c r="V606" s="17" t="s">
        <v>9418</v>
      </c>
      <c r="W606" s="18" t="s">
        <v>5309</v>
      </c>
      <c r="X606" s="69" t="s">
        <v>9453</v>
      </c>
      <c r="Y606" s="70" t="s">
        <v>9462</v>
      </c>
      <c r="Z606" s="73" t="s">
        <v>9486</v>
      </c>
      <c r="AA606" s="74" t="s">
        <v>9504</v>
      </c>
      <c r="AB606" s="73" t="s">
        <v>9486</v>
      </c>
      <c r="AC606" s="74" t="s">
        <v>9566</v>
      </c>
      <c r="AD606" s="73" t="s">
        <v>9578</v>
      </c>
      <c r="AE606" s="74" t="s">
        <v>9579</v>
      </c>
    </row>
    <row r="607" spans="1:31" ht="8.65" customHeight="1" x14ac:dyDescent="0.2">
      <c r="A607" s="76">
        <v>607</v>
      </c>
      <c r="B607" s="67" t="str">
        <f>MID(C607, FIND("Ifc.", C607) + 4, 4) &amp; "_" &amp; TEXT(COUNTIF($C$2:C607, C607),"0000")</f>
        <v>Prop_0606</v>
      </c>
      <c r="C607" s="24" t="s">
        <v>872</v>
      </c>
      <c r="D607" s="69" t="s">
        <v>9453</v>
      </c>
      <c r="E607" s="70" t="s">
        <v>9454</v>
      </c>
      <c r="F607" s="17" t="s">
        <v>806</v>
      </c>
      <c r="G607" s="22" t="s">
        <v>1742</v>
      </c>
      <c r="H607" s="12" t="s">
        <v>9703</v>
      </c>
      <c r="I607" s="13" t="s">
        <v>6463</v>
      </c>
      <c r="J607" s="14" t="s">
        <v>798</v>
      </c>
      <c r="K607" s="15" t="s">
        <v>798</v>
      </c>
      <c r="L607" s="12" t="s">
        <v>5315</v>
      </c>
      <c r="M607" s="13" t="s">
        <v>5852</v>
      </c>
      <c r="N607" s="12" t="s">
        <v>803</v>
      </c>
      <c r="O607" s="13" t="s">
        <v>5005</v>
      </c>
      <c r="P607" s="17" t="s">
        <v>802</v>
      </c>
      <c r="Q607" s="21" t="s">
        <v>7920</v>
      </c>
      <c r="R607" s="17" t="s">
        <v>801</v>
      </c>
      <c r="S607" s="18" t="s">
        <v>2631</v>
      </c>
      <c r="T607" s="17" t="s">
        <v>800</v>
      </c>
      <c r="U607" s="18" t="s">
        <v>5253</v>
      </c>
      <c r="V607" s="17" t="s">
        <v>9418</v>
      </c>
      <c r="W607" s="18" t="s">
        <v>5309</v>
      </c>
      <c r="X607" s="69" t="s">
        <v>9453</v>
      </c>
      <c r="Y607" s="70" t="s">
        <v>9462</v>
      </c>
      <c r="Z607" s="73" t="s">
        <v>9486</v>
      </c>
      <c r="AA607" s="74" t="s">
        <v>9504</v>
      </c>
      <c r="AB607" s="73" t="s">
        <v>9486</v>
      </c>
      <c r="AC607" s="74" t="s">
        <v>9566</v>
      </c>
      <c r="AD607" s="73" t="s">
        <v>9578</v>
      </c>
      <c r="AE607" s="74" t="s">
        <v>9579</v>
      </c>
    </row>
    <row r="608" spans="1:31" ht="8.65" customHeight="1" x14ac:dyDescent="0.2">
      <c r="A608" s="76">
        <v>608</v>
      </c>
      <c r="B608" s="67" t="str">
        <f>MID(C608, FIND("Ifc.", C608) + 4, 4) &amp; "_" &amp; TEXT(COUNTIF($C$2:C608, C608),"0000")</f>
        <v>Prop_0607</v>
      </c>
      <c r="C608" s="24" t="s">
        <v>872</v>
      </c>
      <c r="D608" s="69" t="s">
        <v>9453</v>
      </c>
      <c r="E608" s="70" t="s">
        <v>9454</v>
      </c>
      <c r="F608" s="17" t="s">
        <v>806</v>
      </c>
      <c r="G608" s="22" t="s">
        <v>1741</v>
      </c>
      <c r="H608" s="12" t="s">
        <v>9703</v>
      </c>
      <c r="I608" s="13" t="s">
        <v>6462</v>
      </c>
      <c r="J608" s="14" t="s">
        <v>798</v>
      </c>
      <c r="K608" s="15" t="s">
        <v>798</v>
      </c>
      <c r="L608" s="12" t="s">
        <v>5315</v>
      </c>
      <c r="M608" s="13" t="s">
        <v>5852</v>
      </c>
      <c r="N608" s="12" t="s">
        <v>803</v>
      </c>
      <c r="O608" s="13" t="s">
        <v>5005</v>
      </c>
      <c r="P608" s="17" t="s">
        <v>802</v>
      </c>
      <c r="Q608" s="21" t="s">
        <v>7920</v>
      </c>
      <c r="R608" s="17" t="s">
        <v>801</v>
      </c>
      <c r="S608" s="18" t="s">
        <v>2631</v>
      </c>
      <c r="T608" s="17" t="s">
        <v>800</v>
      </c>
      <c r="U608" s="18" t="s">
        <v>5253</v>
      </c>
      <c r="V608" s="17" t="s">
        <v>9418</v>
      </c>
      <c r="W608" s="18" t="s">
        <v>5309</v>
      </c>
      <c r="X608" s="69" t="s">
        <v>9453</v>
      </c>
      <c r="Y608" s="70" t="s">
        <v>9462</v>
      </c>
      <c r="Z608" s="73" t="s">
        <v>9486</v>
      </c>
      <c r="AA608" s="74" t="s">
        <v>9504</v>
      </c>
      <c r="AB608" s="73" t="s">
        <v>9486</v>
      </c>
      <c r="AC608" s="74" t="s">
        <v>9566</v>
      </c>
      <c r="AD608" s="73" t="s">
        <v>9578</v>
      </c>
      <c r="AE608" s="74" t="s">
        <v>9579</v>
      </c>
    </row>
    <row r="609" spans="1:31" ht="8.65" customHeight="1" x14ac:dyDescent="0.2">
      <c r="A609" s="76">
        <v>609</v>
      </c>
      <c r="B609" s="67" t="str">
        <f>MID(C609, FIND("Ifc.", C609) + 4, 4) &amp; "_" &amp; TEXT(COUNTIF($C$2:C609, C609),"0000")</f>
        <v>Prop_0608</v>
      </c>
      <c r="C609" s="24" t="s">
        <v>872</v>
      </c>
      <c r="D609" s="69" t="s">
        <v>9453</v>
      </c>
      <c r="E609" s="70" t="s">
        <v>9454</v>
      </c>
      <c r="F609" s="17" t="s">
        <v>806</v>
      </c>
      <c r="G609" s="22" t="s">
        <v>1843</v>
      </c>
      <c r="H609" s="12" t="s">
        <v>9703</v>
      </c>
      <c r="I609" s="13" t="s">
        <v>6549</v>
      </c>
      <c r="J609" s="14" t="s">
        <v>798</v>
      </c>
      <c r="K609" s="15" t="s">
        <v>798</v>
      </c>
      <c r="L609" s="12" t="s">
        <v>5315</v>
      </c>
      <c r="M609" s="13" t="s">
        <v>2231</v>
      </c>
      <c r="N609" s="12" t="s">
        <v>803</v>
      </c>
      <c r="O609" s="13" t="s">
        <v>5032</v>
      </c>
      <c r="P609" s="17" t="s">
        <v>802</v>
      </c>
      <c r="Q609" s="21" t="s">
        <v>7921</v>
      </c>
      <c r="R609" s="17" t="s">
        <v>801</v>
      </c>
      <c r="S609" s="18" t="s">
        <v>2595</v>
      </c>
      <c r="T609" s="17" t="s">
        <v>800</v>
      </c>
      <c r="U609" s="18" t="s">
        <v>5276</v>
      </c>
      <c r="V609" s="17" t="s">
        <v>9418</v>
      </c>
      <c r="W609" s="18" t="s">
        <v>5309</v>
      </c>
      <c r="X609" s="69" t="s">
        <v>9453</v>
      </c>
      <c r="Y609" s="70" t="s">
        <v>9462</v>
      </c>
      <c r="Z609" s="73" t="s">
        <v>9486</v>
      </c>
      <c r="AA609" s="74" t="s">
        <v>9504</v>
      </c>
      <c r="AB609" s="73" t="s">
        <v>9486</v>
      </c>
      <c r="AC609" s="74" t="s">
        <v>9566</v>
      </c>
      <c r="AD609" s="73" t="s">
        <v>9578</v>
      </c>
      <c r="AE609" s="74" t="s">
        <v>9579</v>
      </c>
    </row>
    <row r="610" spans="1:31" ht="8.65" customHeight="1" x14ac:dyDescent="0.2">
      <c r="A610" s="76">
        <v>610</v>
      </c>
      <c r="B610" s="67" t="str">
        <f>MID(C610, FIND("Ifc.", C610) + 4, 4) &amp; "_" &amp; TEXT(COUNTIF($C$2:C610, C610),"0000")</f>
        <v>Prop_0609</v>
      </c>
      <c r="C610" s="24" t="s">
        <v>872</v>
      </c>
      <c r="D610" s="69" t="s">
        <v>9453</v>
      </c>
      <c r="E610" s="70" t="s">
        <v>9454</v>
      </c>
      <c r="F610" s="17" t="s">
        <v>806</v>
      </c>
      <c r="G610" s="22" t="s">
        <v>1396</v>
      </c>
      <c r="H610" s="12" t="s">
        <v>9703</v>
      </c>
      <c r="I610" s="13" t="s">
        <v>7030</v>
      </c>
      <c r="J610" s="14" t="s">
        <v>798</v>
      </c>
      <c r="K610" s="15" t="s">
        <v>798</v>
      </c>
      <c r="L610" s="12" t="s">
        <v>5315</v>
      </c>
      <c r="M610" s="13" t="s">
        <v>5427</v>
      </c>
      <c r="N610" s="12" t="s">
        <v>803</v>
      </c>
      <c r="O610" s="13" t="s">
        <v>4925</v>
      </c>
      <c r="P610" s="17" t="s">
        <v>802</v>
      </c>
      <c r="Q610" s="21" t="s">
        <v>7922</v>
      </c>
      <c r="R610" s="17" t="s">
        <v>801</v>
      </c>
      <c r="S610" s="18" t="s">
        <v>2562</v>
      </c>
      <c r="T610" s="17" t="s">
        <v>800</v>
      </c>
      <c r="U610" s="18" t="s">
        <v>5256</v>
      </c>
      <c r="V610" s="17" t="s">
        <v>9418</v>
      </c>
      <c r="W610" s="18" t="s">
        <v>5309</v>
      </c>
      <c r="X610" s="69" t="s">
        <v>9453</v>
      </c>
      <c r="Y610" s="70" t="s">
        <v>9462</v>
      </c>
      <c r="Z610" s="73" t="s">
        <v>9486</v>
      </c>
      <c r="AA610" s="74" t="s">
        <v>9504</v>
      </c>
      <c r="AB610" s="73" t="s">
        <v>9486</v>
      </c>
      <c r="AC610" s="74" t="s">
        <v>9562</v>
      </c>
      <c r="AD610" s="73" t="s">
        <v>9578</v>
      </c>
      <c r="AE610" s="74" t="s">
        <v>9579</v>
      </c>
    </row>
    <row r="611" spans="1:31" ht="8.65" customHeight="1" x14ac:dyDescent="0.2">
      <c r="A611" s="76">
        <v>611</v>
      </c>
      <c r="B611" s="67" t="str">
        <f>MID(C611, FIND("Ifc.", C611) + 4, 4) &amp; "_" &amp; TEXT(COUNTIF($C$2:C611, C611),"0000")</f>
        <v>Prop_0610</v>
      </c>
      <c r="C611" s="24" t="s">
        <v>872</v>
      </c>
      <c r="D611" s="69" t="s">
        <v>9453</v>
      </c>
      <c r="E611" s="70" t="s">
        <v>9454</v>
      </c>
      <c r="F611" s="17" t="s">
        <v>806</v>
      </c>
      <c r="G611" s="22" t="s">
        <v>1397</v>
      </c>
      <c r="H611" s="12" t="s">
        <v>9703</v>
      </c>
      <c r="I611" s="13" t="s">
        <v>7031</v>
      </c>
      <c r="J611" s="14" t="s">
        <v>798</v>
      </c>
      <c r="K611" s="15" t="s">
        <v>798</v>
      </c>
      <c r="L611" s="12" t="s">
        <v>5315</v>
      </c>
      <c r="M611" s="13" t="s">
        <v>5427</v>
      </c>
      <c r="N611" s="12" t="s">
        <v>803</v>
      </c>
      <c r="O611" s="13" t="s">
        <v>4925</v>
      </c>
      <c r="P611" s="17" t="s">
        <v>802</v>
      </c>
      <c r="Q611" s="21" t="s">
        <v>7922</v>
      </c>
      <c r="R611" s="17" t="s">
        <v>801</v>
      </c>
      <c r="S611" s="18" t="s">
        <v>2562</v>
      </c>
      <c r="T611" s="17" t="s">
        <v>800</v>
      </c>
      <c r="U611" s="18" t="s">
        <v>5256</v>
      </c>
      <c r="V611" s="17" t="s">
        <v>9418</v>
      </c>
      <c r="W611" s="18" t="s">
        <v>5309</v>
      </c>
      <c r="X611" s="69" t="s">
        <v>9453</v>
      </c>
      <c r="Y611" s="70" t="s">
        <v>9462</v>
      </c>
      <c r="Z611" s="73" t="s">
        <v>9486</v>
      </c>
      <c r="AA611" s="74" t="s">
        <v>9504</v>
      </c>
      <c r="AB611" s="73" t="s">
        <v>9486</v>
      </c>
      <c r="AC611" s="74" t="s">
        <v>9562</v>
      </c>
      <c r="AD611" s="73" t="s">
        <v>9578</v>
      </c>
      <c r="AE611" s="74" t="s">
        <v>9579</v>
      </c>
    </row>
    <row r="612" spans="1:31" ht="8.65" customHeight="1" x14ac:dyDescent="0.2">
      <c r="A612" s="76">
        <v>612</v>
      </c>
      <c r="B612" s="67" t="str">
        <f>MID(C612, FIND("Ifc.", C612) + 4, 4) &amp; "_" &amp; TEXT(COUNTIF($C$2:C612, C612),"0000")</f>
        <v>Prop_0611</v>
      </c>
      <c r="C612" s="24" t="s">
        <v>872</v>
      </c>
      <c r="D612" s="69" t="s">
        <v>9453</v>
      </c>
      <c r="E612" s="70" t="s">
        <v>9454</v>
      </c>
      <c r="F612" s="17" t="s">
        <v>806</v>
      </c>
      <c r="G612" s="22" t="s">
        <v>1395</v>
      </c>
      <c r="H612" s="12" t="s">
        <v>9703</v>
      </c>
      <c r="I612" s="13" t="s">
        <v>7029</v>
      </c>
      <c r="J612" s="14" t="s">
        <v>798</v>
      </c>
      <c r="K612" s="15" t="s">
        <v>798</v>
      </c>
      <c r="L612" s="12" t="s">
        <v>5315</v>
      </c>
      <c r="M612" s="13" t="s">
        <v>5427</v>
      </c>
      <c r="N612" s="12" t="s">
        <v>803</v>
      </c>
      <c r="O612" s="13" t="s">
        <v>4925</v>
      </c>
      <c r="P612" s="17" t="s">
        <v>802</v>
      </c>
      <c r="Q612" s="21" t="s">
        <v>7922</v>
      </c>
      <c r="R612" s="17" t="s">
        <v>801</v>
      </c>
      <c r="S612" s="18" t="s">
        <v>2562</v>
      </c>
      <c r="T612" s="17" t="s">
        <v>800</v>
      </c>
      <c r="U612" s="18" t="s">
        <v>5256</v>
      </c>
      <c r="V612" s="17" t="s">
        <v>9418</v>
      </c>
      <c r="W612" s="18" t="s">
        <v>5309</v>
      </c>
      <c r="X612" s="69" t="s">
        <v>9453</v>
      </c>
      <c r="Y612" s="70" t="s">
        <v>9462</v>
      </c>
      <c r="Z612" s="73" t="s">
        <v>9486</v>
      </c>
      <c r="AA612" s="74" t="s">
        <v>9504</v>
      </c>
      <c r="AB612" s="73" t="s">
        <v>9486</v>
      </c>
      <c r="AC612" s="74" t="s">
        <v>9562</v>
      </c>
      <c r="AD612" s="73" t="s">
        <v>9578</v>
      </c>
      <c r="AE612" s="74" t="s">
        <v>9579</v>
      </c>
    </row>
    <row r="613" spans="1:31" ht="8.65" customHeight="1" x14ac:dyDescent="0.2">
      <c r="A613" s="76">
        <v>613</v>
      </c>
      <c r="B613" s="67" t="str">
        <f>MID(C613, FIND("Ifc.", C613) + 4, 4) &amp; "_" &amp; TEXT(COUNTIF($C$2:C613, C613),"0000")</f>
        <v>Prop_0612</v>
      </c>
      <c r="C613" s="24" t="s">
        <v>872</v>
      </c>
      <c r="D613" s="69" t="s">
        <v>9453</v>
      </c>
      <c r="E613" s="70" t="s">
        <v>9454</v>
      </c>
      <c r="F613" s="17" t="s">
        <v>806</v>
      </c>
      <c r="G613" s="22" t="s">
        <v>1460</v>
      </c>
      <c r="H613" s="12" t="s">
        <v>9703</v>
      </c>
      <c r="I613" s="13" t="s">
        <v>6340</v>
      </c>
      <c r="J613" s="14" t="s">
        <v>798</v>
      </c>
      <c r="K613" s="15" t="s">
        <v>798</v>
      </c>
      <c r="L613" s="12" t="s">
        <v>5315</v>
      </c>
      <c r="M613" s="13" t="s">
        <v>5439</v>
      </c>
      <c r="N613" s="12" t="s">
        <v>803</v>
      </c>
      <c r="O613" s="13" t="s">
        <v>4937</v>
      </c>
      <c r="P613" s="17" t="s">
        <v>802</v>
      </c>
      <c r="Q613" s="21" t="s">
        <v>7908</v>
      </c>
      <c r="R613" s="17" t="s">
        <v>801</v>
      </c>
      <c r="S613" s="18" t="s">
        <v>2560</v>
      </c>
      <c r="T613" s="17" t="s">
        <v>800</v>
      </c>
      <c r="U613" s="18" t="s">
        <v>5236</v>
      </c>
      <c r="V613" s="17" t="s">
        <v>9418</v>
      </c>
      <c r="W613" s="18" t="s">
        <v>5309</v>
      </c>
      <c r="X613" s="69" t="s">
        <v>9453</v>
      </c>
      <c r="Y613" s="70" t="s">
        <v>9462</v>
      </c>
      <c r="Z613" s="73" t="s">
        <v>9486</v>
      </c>
      <c r="AA613" s="74" t="s">
        <v>9504</v>
      </c>
      <c r="AB613" s="73" t="s">
        <v>9486</v>
      </c>
      <c r="AC613" s="74" t="s">
        <v>9562</v>
      </c>
      <c r="AD613" s="73" t="s">
        <v>9578</v>
      </c>
      <c r="AE613" s="74" t="s">
        <v>9579</v>
      </c>
    </row>
    <row r="614" spans="1:31" ht="8.65" customHeight="1" x14ac:dyDescent="0.2">
      <c r="A614" s="76">
        <v>614</v>
      </c>
      <c r="B614" s="67" t="str">
        <f>MID(C614, FIND("Ifc.", C614) + 4, 4) &amp; "_" &amp; TEXT(COUNTIF($C$2:C614, C614),"0000")</f>
        <v>Prop_0613</v>
      </c>
      <c r="C614" s="24" t="s">
        <v>872</v>
      </c>
      <c r="D614" s="69" t="s">
        <v>9453</v>
      </c>
      <c r="E614" s="70" t="s">
        <v>9454</v>
      </c>
      <c r="F614" s="17" t="s">
        <v>806</v>
      </c>
      <c r="G614" s="22" t="s">
        <v>1380</v>
      </c>
      <c r="H614" s="12" t="s">
        <v>9703</v>
      </c>
      <c r="I614" s="13" t="s">
        <v>6874</v>
      </c>
      <c r="J614" s="14" t="s">
        <v>798</v>
      </c>
      <c r="K614" s="15" t="s">
        <v>798</v>
      </c>
      <c r="L614" s="12" t="s">
        <v>5315</v>
      </c>
      <c r="M614" s="13" t="s">
        <v>6031</v>
      </c>
      <c r="N614" s="12" t="s">
        <v>803</v>
      </c>
      <c r="O614" s="13" t="s">
        <v>4919</v>
      </c>
      <c r="P614" s="17" t="s">
        <v>802</v>
      </c>
      <c r="Q614" s="21" t="s">
        <v>7818</v>
      </c>
      <c r="R614" s="17" t="s">
        <v>801</v>
      </c>
      <c r="S614" s="18" t="s">
        <v>2669</v>
      </c>
      <c r="T614" s="17" t="s">
        <v>800</v>
      </c>
      <c r="U614" s="18" t="s">
        <v>5237</v>
      </c>
      <c r="V614" s="17" t="s">
        <v>9418</v>
      </c>
      <c r="W614" s="18" t="s">
        <v>5309</v>
      </c>
      <c r="X614" s="69" t="s">
        <v>9453</v>
      </c>
      <c r="Y614" s="70" t="s">
        <v>9462</v>
      </c>
      <c r="Z614" s="73" t="s">
        <v>9486</v>
      </c>
      <c r="AA614" s="74" t="s">
        <v>9504</v>
      </c>
      <c r="AB614" s="73" t="s">
        <v>9486</v>
      </c>
      <c r="AC614" s="74" t="s">
        <v>9562</v>
      </c>
      <c r="AD614" s="73" t="s">
        <v>9578</v>
      </c>
      <c r="AE614" s="74" t="s">
        <v>9579</v>
      </c>
    </row>
    <row r="615" spans="1:31" ht="8.65" customHeight="1" x14ac:dyDescent="0.2">
      <c r="A615" s="76">
        <v>615</v>
      </c>
      <c r="B615" s="67" t="str">
        <f>MID(C615, FIND("Ifc.", C615) + 4, 4) &amp; "_" &amp; TEXT(COUNTIF($C$2:C615, C615),"0000")</f>
        <v>Prop_0614</v>
      </c>
      <c r="C615" s="24" t="s">
        <v>872</v>
      </c>
      <c r="D615" s="69" t="s">
        <v>9453</v>
      </c>
      <c r="E615" s="70" t="s">
        <v>9454</v>
      </c>
      <c r="F615" s="17" t="s">
        <v>806</v>
      </c>
      <c r="G615" s="22" t="s">
        <v>1149</v>
      </c>
      <c r="H615" s="12" t="s">
        <v>9703</v>
      </c>
      <c r="I615" s="13" t="s">
        <v>6975</v>
      </c>
      <c r="J615" s="14" t="s">
        <v>798</v>
      </c>
      <c r="K615" s="15" t="s">
        <v>798</v>
      </c>
      <c r="L615" s="12" t="s">
        <v>5315</v>
      </c>
      <c r="M615" s="13" t="s">
        <v>5393</v>
      </c>
      <c r="N615" s="12" t="s">
        <v>803</v>
      </c>
      <c r="O615" s="13" t="s">
        <v>4864</v>
      </c>
      <c r="P615" s="17" t="s">
        <v>802</v>
      </c>
      <c r="Q615" s="21" t="s">
        <v>7874</v>
      </c>
      <c r="R615" s="17" t="s">
        <v>801</v>
      </c>
      <c r="S615" s="18" t="s">
        <v>2669</v>
      </c>
      <c r="T615" s="17" t="s">
        <v>800</v>
      </c>
      <c r="U615" s="18" t="s">
        <v>5237</v>
      </c>
      <c r="V615" s="17" t="s">
        <v>9418</v>
      </c>
      <c r="W615" s="18" t="s">
        <v>5309</v>
      </c>
      <c r="X615" s="69" t="s">
        <v>9453</v>
      </c>
      <c r="Y615" s="70" t="s">
        <v>9462</v>
      </c>
      <c r="Z615" s="73" t="s">
        <v>9486</v>
      </c>
      <c r="AA615" s="74" t="s">
        <v>9504</v>
      </c>
      <c r="AB615" s="73" t="s">
        <v>9486</v>
      </c>
      <c r="AC615" s="74" t="s">
        <v>9562</v>
      </c>
      <c r="AD615" s="73" t="s">
        <v>9578</v>
      </c>
      <c r="AE615" s="74" t="s">
        <v>9579</v>
      </c>
    </row>
    <row r="616" spans="1:31" ht="8.65" customHeight="1" x14ac:dyDescent="0.2">
      <c r="A616" s="76">
        <v>616</v>
      </c>
      <c r="B616" s="67" t="str">
        <f>MID(C616, FIND("Ifc.", C616) + 4, 4) &amp; "_" &amp; TEXT(COUNTIF($C$2:C616, C616),"0000")</f>
        <v>Prop_0615</v>
      </c>
      <c r="C616" s="24" t="s">
        <v>872</v>
      </c>
      <c r="D616" s="69" t="s">
        <v>9453</v>
      </c>
      <c r="E616" s="70" t="s">
        <v>9454</v>
      </c>
      <c r="F616" s="17" t="s">
        <v>806</v>
      </c>
      <c r="G616" s="22" t="s">
        <v>2402</v>
      </c>
      <c r="H616" s="12" t="s">
        <v>9703</v>
      </c>
      <c r="I616" s="13" t="s">
        <v>6957</v>
      </c>
      <c r="J616" s="14" t="s">
        <v>798</v>
      </c>
      <c r="K616" s="15" t="s">
        <v>798</v>
      </c>
      <c r="L616" s="12" t="s">
        <v>5315</v>
      </c>
      <c r="M616" s="13" t="s">
        <v>5801</v>
      </c>
      <c r="N616" s="12" t="s">
        <v>803</v>
      </c>
      <c r="O616" s="13" t="s">
        <v>5194</v>
      </c>
      <c r="P616" s="17" t="s">
        <v>802</v>
      </c>
      <c r="Q616" s="21" t="s">
        <v>7923</v>
      </c>
      <c r="R616" s="17" t="s">
        <v>801</v>
      </c>
      <c r="S616" s="18" t="s">
        <v>2669</v>
      </c>
      <c r="T616" s="17" t="s">
        <v>800</v>
      </c>
      <c r="U616" s="18" t="s">
        <v>5237</v>
      </c>
      <c r="V616" s="17" t="s">
        <v>9418</v>
      </c>
      <c r="W616" s="18" t="s">
        <v>5309</v>
      </c>
      <c r="X616" s="69" t="s">
        <v>9453</v>
      </c>
      <c r="Y616" s="70" t="s">
        <v>9462</v>
      </c>
      <c r="Z616" s="73" t="s">
        <v>9486</v>
      </c>
      <c r="AA616" s="74" t="s">
        <v>9504</v>
      </c>
      <c r="AB616" s="73" t="s">
        <v>9486</v>
      </c>
      <c r="AC616" s="74" t="s">
        <v>9562</v>
      </c>
      <c r="AD616" s="73" t="s">
        <v>9578</v>
      </c>
      <c r="AE616" s="74" t="s">
        <v>9579</v>
      </c>
    </row>
    <row r="617" spans="1:31" ht="8.65" customHeight="1" x14ac:dyDescent="0.2">
      <c r="A617" s="76">
        <v>617</v>
      </c>
      <c r="B617" s="67" t="str">
        <f>MID(C617, FIND("Ifc.", C617) + 4, 4) &amp; "_" &amp; TEXT(COUNTIF($C$2:C617, C617),"0000")</f>
        <v>Prop_0616</v>
      </c>
      <c r="C617" s="24" t="s">
        <v>872</v>
      </c>
      <c r="D617" s="69" t="s">
        <v>9453</v>
      </c>
      <c r="E617" s="70" t="s">
        <v>9454</v>
      </c>
      <c r="F617" s="17" t="s">
        <v>806</v>
      </c>
      <c r="G617" s="22" t="s">
        <v>2340</v>
      </c>
      <c r="H617" s="12" t="s">
        <v>9703</v>
      </c>
      <c r="I617" s="13" t="s">
        <v>7073</v>
      </c>
      <c r="J617" s="14" t="s">
        <v>798</v>
      </c>
      <c r="K617" s="15" t="s">
        <v>798</v>
      </c>
      <c r="L617" s="12" t="s">
        <v>5315</v>
      </c>
      <c r="M617" s="13" t="s">
        <v>5860</v>
      </c>
      <c r="N617" s="12" t="s">
        <v>803</v>
      </c>
      <c r="O617" s="13" t="s">
        <v>5173</v>
      </c>
      <c r="P617" s="17" t="s">
        <v>802</v>
      </c>
      <c r="Q617" s="21" t="s">
        <v>7709</v>
      </c>
      <c r="R617" s="17" t="s">
        <v>801</v>
      </c>
      <c r="S617" s="18" t="s">
        <v>2554</v>
      </c>
      <c r="T617" s="17" t="s">
        <v>800</v>
      </c>
      <c r="U617" s="18" t="s">
        <v>5233</v>
      </c>
      <c r="V617" s="17" t="s">
        <v>9418</v>
      </c>
      <c r="W617" s="18" t="s">
        <v>5309</v>
      </c>
      <c r="X617" s="69" t="s">
        <v>9453</v>
      </c>
      <c r="Y617" s="70" t="s">
        <v>9462</v>
      </c>
      <c r="Z617" s="73" t="s">
        <v>9486</v>
      </c>
      <c r="AA617" s="74" t="s">
        <v>9504</v>
      </c>
      <c r="AB617" s="73" t="s">
        <v>9486</v>
      </c>
      <c r="AC617" s="74" t="s">
        <v>9562</v>
      </c>
      <c r="AD617" s="73" t="s">
        <v>9578</v>
      </c>
      <c r="AE617" s="74" t="s">
        <v>9579</v>
      </c>
    </row>
    <row r="618" spans="1:31" ht="8.65" customHeight="1" x14ac:dyDescent="0.2">
      <c r="A618" s="76">
        <v>618</v>
      </c>
      <c r="B618" s="67" t="str">
        <f>MID(C618, FIND("Ifc.", C618) + 4, 4) &amp; "_" &amp; TEXT(COUNTIF($C$2:C618, C618),"0000")</f>
        <v>Prop_0617</v>
      </c>
      <c r="C618" s="24" t="s">
        <v>872</v>
      </c>
      <c r="D618" s="69" t="s">
        <v>9453</v>
      </c>
      <c r="E618" s="70" t="s">
        <v>9454</v>
      </c>
      <c r="F618" s="17" t="s">
        <v>806</v>
      </c>
      <c r="G618" s="22" t="s">
        <v>1840</v>
      </c>
      <c r="H618" s="12" t="s">
        <v>9703</v>
      </c>
      <c r="I618" s="13" t="s">
        <v>7094</v>
      </c>
      <c r="J618" s="14" t="s">
        <v>798</v>
      </c>
      <c r="K618" s="15" t="s">
        <v>798</v>
      </c>
      <c r="L618" s="12" t="s">
        <v>5315</v>
      </c>
      <c r="M618" s="13" t="s">
        <v>5946</v>
      </c>
      <c r="N618" s="12" t="s">
        <v>803</v>
      </c>
      <c r="O618" s="13" t="s">
        <v>5031</v>
      </c>
      <c r="P618" s="17" t="s">
        <v>802</v>
      </c>
      <c r="Q618" s="21" t="s">
        <v>7924</v>
      </c>
      <c r="R618" s="17" t="s">
        <v>801</v>
      </c>
      <c r="S618" s="18" t="s">
        <v>2669</v>
      </c>
      <c r="T618" s="17" t="s">
        <v>800</v>
      </c>
      <c r="U618" s="18" t="s">
        <v>5237</v>
      </c>
      <c r="V618" s="17" t="s">
        <v>9418</v>
      </c>
      <c r="W618" s="18" t="s">
        <v>5309</v>
      </c>
      <c r="X618" s="69" t="s">
        <v>9453</v>
      </c>
      <c r="Y618" s="70" t="s">
        <v>9462</v>
      </c>
      <c r="Z618" s="73" t="s">
        <v>9486</v>
      </c>
      <c r="AA618" s="74" t="s">
        <v>9504</v>
      </c>
      <c r="AB618" s="73" t="s">
        <v>9486</v>
      </c>
      <c r="AC618" s="74" t="s">
        <v>9562</v>
      </c>
      <c r="AD618" s="73" t="s">
        <v>9578</v>
      </c>
      <c r="AE618" s="74" t="s">
        <v>9579</v>
      </c>
    </row>
    <row r="619" spans="1:31" ht="8.65" customHeight="1" x14ac:dyDescent="0.2">
      <c r="A619" s="76">
        <v>619</v>
      </c>
      <c r="B619" s="67" t="str">
        <f>MID(C619, FIND("Ifc.", C619) + 4, 4) &amp; "_" &amp; TEXT(COUNTIF($C$2:C619, C619),"0000")</f>
        <v>Prop_0618</v>
      </c>
      <c r="C619" s="24" t="s">
        <v>872</v>
      </c>
      <c r="D619" s="69" t="s">
        <v>9453</v>
      </c>
      <c r="E619" s="70" t="s">
        <v>9454</v>
      </c>
      <c r="F619" s="17" t="s">
        <v>806</v>
      </c>
      <c r="G619" s="22" t="s">
        <v>2420</v>
      </c>
      <c r="H619" s="12" t="s">
        <v>9703</v>
      </c>
      <c r="I619" s="13" t="s">
        <v>7089</v>
      </c>
      <c r="J619" s="14" t="s">
        <v>798</v>
      </c>
      <c r="K619" s="15" t="s">
        <v>798</v>
      </c>
      <c r="L619" s="12" t="s">
        <v>5315</v>
      </c>
      <c r="M619" s="13" t="s">
        <v>5568</v>
      </c>
      <c r="N619" s="12" t="s">
        <v>803</v>
      </c>
      <c r="O619" s="13" t="s">
        <v>5201</v>
      </c>
      <c r="P619" s="17" t="s">
        <v>802</v>
      </c>
      <c r="Q619" s="21" t="s">
        <v>7682</v>
      </c>
      <c r="R619" s="17" t="s">
        <v>801</v>
      </c>
      <c r="S619" s="18" t="s">
        <v>2669</v>
      </c>
      <c r="T619" s="17" t="s">
        <v>800</v>
      </c>
      <c r="U619" s="18" t="s">
        <v>5237</v>
      </c>
      <c r="V619" s="17" t="s">
        <v>9418</v>
      </c>
      <c r="W619" s="18" t="s">
        <v>5309</v>
      </c>
      <c r="X619" s="69" t="s">
        <v>9453</v>
      </c>
      <c r="Y619" s="70" t="s">
        <v>9462</v>
      </c>
      <c r="Z619" s="73" t="s">
        <v>9486</v>
      </c>
      <c r="AA619" s="74" t="s">
        <v>9504</v>
      </c>
      <c r="AB619" s="73" t="s">
        <v>9486</v>
      </c>
      <c r="AC619" s="74" t="s">
        <v>9562</v>
      </c>
      <c r="AD619" s="73" t="s">
        <v>9578</v>
      </c>
      <c r="AE619" s="74" t="s">
        <v>9579</v>
      </c>
    </row>
    <row r="620" spans="1:31" ht="8.65" customHeight="1" x14ac:dyDescent="0.2">
      <c r="A620" s="76">
        <v>620</v>
      </c>
      <c r="B620" s="67" t="str">
        <f>MID(C620, FIND("Ifc.", C620) + 4, 4) &amp; "_" &amp; TEXT(COUNTIF($C$2:C620, C620),"0000")</f>
        <v>Prop_0619</v>
      </c>
      <c r="C620" s="24" t="s">
        <v>872</v>
      </c>
      <c r="D620" s="69" t="s">
        <v>9453</v>
      </c>
      <c r="E620" s="70" t="s">
        <v>9454</v>
      </c>
      <c r="F620" s="17" t="s">
        <v>806</v>
      </c>
      <c r="G620" s="22" t="s">
        <v>1168</v>
      </c>
      <c r="H620" s="12" t="s">
        <v>9703</v>
      </c>
      <c r="I620" s="13" t="s">
        <v>6205</v>
      </c>
      <c r="J620" s="14" t="s">
        <v>798</v>
      </c>
      <c r="K620" s="15" t="s">
        <v>798</v>
      </c>
      <c r="L620" s="12" t="s">
        <v>5315</v>
      </c>
      <c r="M620" s="13" t="s">
        <v>5398</v>
      </c>
      <c r="N620" s="12" t="s">
        <v>803</v>
      </c>
      <c r="O620" s="13" t="s">
        <v>4873</v>
      </c>
      <c r="P620" s="17" t="s">
        <v>802</v>
      </c>
      <c r="Q620" s="21" t="s">
        <v>7885</v>
      </c>
      <c r="R620" s="17" t="s">
        <v>801</v>
      </c>
      <c r="S620" s="18" t="s">
        <v>2669</v>
      </c>
      <c r="T620" s="17" t="s">
        <v>800</v>
      </c>
      <c r="U620" s="18" t="s">
        <v>5237</v>
      </c>
      <c r="V620" s="17" t="s">
        <v>9418</v>
      </c>
      <c r="W620" s="18" t="s">
        <v>5309</v>
      </c>
      <c r="X620" s="69" t="s">
        <v>9453</v>
      </c>
      <c r="Y620" s="70" t="s">
        <v>9462</v>
      </c>
      <c r="Z620" s="73" t="s">
        <v>9486</v>
      </c>
      <c r="AA620" s="74" t="s">
        <v>9504</v>
      </c>
      <c r="AB620" s="73" t="s">
        <v>9486</v>
      </c>
      <c r="AC620" s="74" t="s">
        <v>9562</v>
      </c>
      <c r="AD620" s="73" t="s">
        <v>9578</v>
      </c>
      <c r="AE620" s="74" t="s">
        <v>9579</v>
      </c>
    </row>
    <row r="621" spans="1:31" ht="8.65" customHeight="1" x14ac:dyDescent="0.2">
      <c r="A621" s="76">
        <v>621</v>
      </c>
      <c r="B621" s="67" t="str">
        <f>MID(C621, FIND("Ifc.", C621) + 4, 4) &amp; "_" &amp; TEXT(COUNTIF($C$2:C621, C621),"0000")</f>
        <v>Prop_0620</v>
      </c>
      <c r="C621" s="24" t="s">
        <v>872</v>
      </c>
      <c r="D621" s="69" t="s">
        <v>9453</v>
      </c>
      <c r="E621" s="70" t="s">
        <v>9454</v>
      </c>
      <c r="F621" s="17" t="s">
        <v>806</v>
      </c>
      <c r="G621" s="22" t="s">
        <v>1168</v>
      </c>
      <c r="H621" s="12" t="s">
        <v>9703</v>
      </c>
      <c r="I621" s="13" t="s">
        <v>6205</v>
      </c>
      <c r="J621" s="14" t="s">
        <v>798</v>
      </c>
      <c r="K621" s="15" t="s">
        <v>798</v>
      </c>
      <c r="L621" s="12" t="s">
        <v>5315</v>
      </c>
      <c r="M621" s="13" t="s">
        <v>5929</v>
      </c>
      <c r="N621" s="12" t="s">
        <v>803</v>
      </c>
      <c r="O621" s="13" t="s">
        <v>5002</v>
      </c>
      <c r="P621" s="17" t="s">
        <v>802</v>
      </c>
      <c r="Q621" s="21" t="s">
        <v>7884</v>
      </c>
      <c r="R621" s="17" t="s">
        <v>801</v>
      </c>
      <c r="S621" s="18" t="s">
        <v>2669</v>
      </c>
      <c r="T621" s="17" t="s">
        <v>800</v>
      </c>
      <c r="U621" s="18" t="s">
        <v>5237</v>
      </c>
      <c r="V621" s="17" t="s">
        <v>9418</v>
      </c>
      <c r="W621" s="18" t="s">
        <v>5309</v>
      </c>
      <c r="X621" s="69" t="s">
        <v>9453</v>
      </c>
      <c r="Y621" s="70" t="s">
        <v>9462</v>
      </c>
      <c r="Z621" s="73" t="s">
        <v>9486</v>
      </c>
      <c r="AA621" s="74" t="s">
        <v>9504</v>
      </c>
      <c r="AB621" s="73" t="s">
        <v>9486</v>
      </c>
      <c r="AC621" s="74" t="s">
        <v>9562</v>
      </c>
      <c r="AD621" s="73" t="s">
        <v>9578</v>
      </c>
      <c r="AE621" s="74" t="s">
        <v>9579</v>
      </c>
    </row>
    <row r="622" spans="1:31" ht="8.65" customHeight="1" x14ac:dyDescent="0.2">
      <c r="A622" s="76">
        <v>622</v>
      </c>
      <c r="B622" s="67" t="str">
        <f>MID(C622, FIND("Ifc.", C622) + 4, 4) &amp; "_" &amp; TEXT(COUNTIF($C$2:C622, C622),"0000")</f>
        <v>Prop_0621</v>
      </c>
      <c r="C622" s="24" t="s">
        <v>872</v>
      </c>
      <c r="D622" s="69" t="s">
        <v>9453</v>
      </c>
      <c r="E622" s="70" t="s">
        <v>9454</v>
      </c>
      <c r="F622" s="17" t="s">
        <v>806</v>
      </c>
      <c r="G622" s="22" t="s">
        <v>1168</v>
      </c>
      <c r="H622" s="12" t="s">
        <v>9703</v>
      </c>
      <c r="I622" s="13" t="s">
        <v>6205</v>
      </c>
      <c r="J622" s="14" t="s">
        <v>798</v>
      </c>
      <c r="K622" s="15" t="s">
        <v>798</v>
      </c>
      <c r="L622" s="12" t="s">
        <v>5315</v>
      </c>
      <c r="M622" s="13" t="s">
        <v>5901</v>
      </c>
      <c r="N622" s="12" t="s">
        <v>803</v>
      </c>
      <c r="O622" s="13" t="s">
        <v>4999</v>
      </c>
      <c r="P622" s="17" t="s">
        <v>802</v>
      </c>
      <c r="Q622" s="21" t="s">
        <v>7775</v>
      </c>
      <c r="R622" s="17" t="s">
        <v>801</v>
      </c>
      <c r="S622" s="18" t="s">
        <v>2669</v>
      </c>
      <c r="T622" s="17" t="s">
        <v>800</v>
      </c>
      <c r="U622" s="18" t="s">
        <v>5237</v>
      </c>
      <c r="V622" s="17" t="s">
        <v>9418</v>
      </c>
      <c r="W622" s="18" t="s">
        <v>5309</v>
      </c>
      <c r="X622" s="69" t="s">
        <v>9453</v>
      </c>
      <c r="Y622" s="70" t="s">
        <v>9462</v>
      </c>
      <c r="Z622" s="73" t="s">
        <v>9486</v>
      </c>
      <c r="AA622" s="74" t="s">
        <v>9504</v>
      </c>
      <c r="AB622" s="73" t="s">
        <v>9486</v>
      </c>
      <c r="AC622" s="74" t="s">
        <v>9562</v>
      </c>
      <c r="AD622" s="73" t="s">
        <v>9578</v>
      </c>
      <c r="AE622" s="74" t="s">
        <v>9579</v>
      </c>
    </row>
    <row r="623" spans="1:31" ht="8.65" customHeight="1" x14ac:dyDescent="0.2">
      <c r="A623" s="76">
        <v>623</v>
      </c>
      <c r="B623" s="67" t="str">
        <f>MID(C623, FIND("Ifc.", C623) + 4, 4) &amp; "_" &amp; TEXT(COUNTIF($C$2:C623, C623),"0000")</f>
        <v>Prop_0622</v>
      </c>
      <c r="C623" s="24" t="s">
        <v>872</v>
      </c>
      <c r="D623" s="69" t="s">
        <v>9453</v>
      </c>
      <c r="E623" s="70" t="s">
        <v>9454</v>
      </c>
      <c r="F623" s="17" t="s">
        <v>806</v>
      </c>
      <c r="G623" s="22" t="s">
        <v>1168</v>
      </c>
      <c r="H623" s="12" t="s">
        <v>9703</v>
      </c>
      <c r="I623" s="13" t="s">
        <v>6205</v>
      </c>
      <c r="J623" s="14" t="s">
        <v>798</v>
      </c>
      <c r="K623" s="15" t="s">
        <v>798</v>
      </c>
      <c r="L623" s="12" t="s">
        <v>5315</v>
      </c>
      <c r="M623" s="13" t="s">
        <v>5930</v>
      </c>
      <c r="N623" s="12" t="s">
        <v>803</v>
      </c>
      <c r="O623" s="13" t="s">
        <v>5003</v>
      </c>
      <c r="P623" s="17" t="s">
        <v>802</v>
      </c>
      <c r="Q623" s="21" t="s">
        <v>7925</v>
      </c>
      <c r="R623" s="17" t="s">
        <v>801</v>
      </c>
      <c r="S623" s="18" t="s">
        <v>2669</v>
      </c>
      <c r="T623" s="17" t="s">
        <v>800</v>
      </c>
      <c r="U623" s="18" t="s">
        <v>5237</v>
      </c>
      <c r="V623" s="17" t="s">
        <v>9418</v>
      </c>
      <c r="W623" s="18" t="s">
        <v>5309</v>
      </c>
      <c r="X623" s="69" t="s">
        <v>9453</v>
      </c>
      <c r="Y623" s="70" t="s">
        <v>9462</v>
      </c>
      <c r="Z623" s="73" t="s">
        <v>9486</v>
      </c>
      <c r="AA623" s="74" t="s">
        <v>9504</v>
      </c>
      <c r="AB623" s="73" t="s">
        <v>9486</v>
      </c>
      <c r="AC623" s="74" t="s">
        <v>9562</v>
      </c>
      <c r="AD623" s="73" t="s">
        <v>9578</v>
      </c>
      <c r="AE623" s="74" t="s">
        <v>9579</v>
      </c>
    </row>
    <row r="624" spans="1:31" ht="8.65" customHeight="1" x14ac:dyDescent="0.2">
      <c r="A624" s="76">
        <v>624</v>
      </c>
      <c r="B624" s="67" t="str">
        <f>MID(C624, FIND("Ifc.", C624) + 4, 4) &amp; "_" &amp; TEXT(COUNTIF($C$2:C624, C624),"0000")</f>
        <v>Prop_0623</v>
      </c>
      <c r="C624" s="24" t="s">
        <v>872</v>
      </c>
      <c r="D624" s="69" t="s">
        <v>9453</v>
      </c>
      <c r="E624" s="70" t="s">
        <v>9454</v>
      </c>
      <c r="F624" s="17" t="s">
        <v>806</v>
      </c>
      <c r="G624" s="22" t="s">
        <v>1168</v>
      </c>
      <c r="H624" s="12" t="s">
        <v>9703</v>
      </c>
      <c r="I624" s="13" t="s">
        <v>6205</v>
      </c>
      <c r="J624" s="14" t="s">
        <v>798</v>
      </c>
      <c r="K624" s="15" t="s">
        <v>798</v>
      </c>
      <c r="L624" s="12" t="s">
        <v>5315</v>
      </c>
      <c r="M624" s="13" t="s">
        <v>5928</v>
      </c>
      <c r="N624" s="12" t="s">
        <v>803</v>
      </c>
      <c r="O624" s="13" t="s">
        <v>5000</v>
      </c>
      <c r="P624" s="17" t="s">
        <v>802</v>
      </c>
      <c r="Q624" s="21" t="s">
        <v>7906</v>
      </c>
      <c r="R624" s="17" t="s">
        <v>801</v>
      </c>
      <c r="S624" s="18" t="s">
        <v>2669</v>
      </c>
      <c r="T624" s="17" t="s">
        <v>800</v>
      </c>
      <c r="U624" s="18" t="s">
        <v>5237</v>
      </c>
      <c r="V624" s="17" t="s">
        <v>9418</v>
      </c>
      <c r="W624" s="18" t="s">
        <v>5309</v>
      </c>
      <c r="X624" s="69" t="s">
        <v>9453</v>
      </c>
      <c r="Y624" s="70" t="s">
        <v>9462</v>
      </c>
      <c r="Z624" s="73" t="s">
        <v>9486</v>
      </c>
      <c r="AA624" s="74" t="s">
        <v>9504</v>
      </c>
      <c r="AB624" s="73" t="s">
        <v>9486</v>
      </c>
      <c r="AC624" s="74" t="s">
        <v>9562</v>
      </c>
      <c r="AD624" s="73" t="s">
        <v>9578</v>
      </c>
      <c r="AE624" s="74" t="s">
        <v>9579</v>
      </c>
    </row>
    <row r="625" spans="1:31" ht="8.65" customHeight="1" x14ac:dyDescent="0.2">
      <c r="A625" s="76">
        <v>625</v>
      </c>
      <c r="B625" s="67" t="str">
        <f>MID(C625, FIND("Ifc.", C625) + 4, 4) &amp; "_" &amp; TEXT(COUNTIF($C$2:C625, C625),"0000")</f>
        <v>Prop_0624</v>
      </c>
      <c r="C625" s="24" t="s">
        <v>872</v>
      </c>
      <c r="D625" s="69" t="s">
        <v>9453</v>
      </c>
      <c r="E625" s="70" t="s">
        <v>9454</v>
      </c>
      <c r="F625" s="17" t="s">
        <v>806</v>
      </c>
      <c r="G625" s="22" t="s">
        <v>1168</v>
      </c>
      <c r="H625" s="12" t="s">
        <v>9703</v>
      </c>
      <c r="I625" s="13" t="s">
        <v>6205</v>
      </c>
      <c r="J625" s="14" t="s">
        <v>798</v>
      </c>
      <c r="K625" s="15" t="s">
        <v>798</v>
      </c>
      <c r="L625" s="12" t="s">
        <v>5315</v>
      </c>
      <c r="M625" s="13" t="s">
        <v>5902</v>
      </c>
      <c r="N625" s="12" t="s">
        <v>803</v>
      </c>
      <c r="O625" s="13" t="s">
        <v>5001</v>
      </c>
      <c r="P625" s="17" t="s">
        <v>802</v>
      </c>
      <c r="Q625" s="21" t="s">
        <v>7926</v>
      </c>
      <c r="R625" s="17" t="s">
        <v>801</v>
      </c>
      <c r="S625" s="18" t="s">
        <v>2669</v>
      </c>
      <c r="T625" s="17" t="s">
        <v>800</v>
      </c>
      <c r="U625" s="18" t="s">
        <v>5237</v>
      </c>
      <c r="V625" s="17" t="s">
        <v>9418</v>
      </c>
      <c r="W625" s="18" t="s">
        <v>5309</v>
      </c>
      <c r="X625" s="69" t="s">
        <v>9453</v>
      </c>
      <c r="Y625" s="70" t="s">
        <v>9462</v>
      </c>
      <c r="Z625" s="73" t="s">
        <v>9486</v>
      </c>
      <c r="AA625" s="74" t="s">
        <v>9504</v>
      </c>
      <c r="AB625" s="73" t="s">
        <v>9486</v>
      </c>
      <c r="AC625" s="74" t="s">
        <v>9562</v>
      </c>
      <c r="AD625" s="73" t="s">
        <v>9578</v>
      </c>
      <c r="AE625" s="74" t="s">
        <v>9579</v>
      </c>
    </row>
    <row r="626" spans="1:31" ht="8.65" customHeight="1" x14ac:dyDescent="0.2">
      <c r="A626" s="76">
        <v>626</v>
      </c>
      <c r="B626" s="67" t="str">
        <f>MID(C626, FIND("Ifc.", C626) + 4, 4) &amp; "_" &amp; TEXT(COUNTIF($C$2:C626, C626),"0000")</f>
        <v>Prop_0625</v>
      </c>
      <c r="C626" s="24" t="s">
        <v>872</v>
      </c>
      <c r="D626" s="69" t="s">
        <v>9453</v>
      </c>
      <c r="E626" s="70" t="s">
        <v>9454</v>
      </c>
      <c r="F626" s="17" t="s">
        <v>806</v>
      </c>
      <c r="G626" s="22" t="s">
        <v>1168</v>
      </c>
      <c r="H626" s="12" t="s">
        <v>9703</v>
      </c>
      <c r="I626" s="13" t="s">
        <v>6205</v>
      </c>
      <c r="J626" s="14" t="s">
        <v>798</v>
      </c>
      <c r="K626" s="15" t="s">
        <v>798</v>
      </c>
      <c r="L626" s="12" t="s">
        <v>5315</v>
      </c>
      <c r="M626" s="13" t="s">
        <v>5852</v>
      </c>
      <c r="N626" s="12" t="s">
        <v>803</v>
      </c>
      <c r="O626" s="13" t="s">
        <v>5005</v>
      </c>
      <c r="P626" s="17" t="s">
        <v>802</v>
      </c>
      <c r="Q626" s="21" t="s">
        <v>7920</v>
      </c>
      <c r="R626" s="17" t="s">
        <v>801</v>
      </c>
      <c r="S626" s="18" t="s">
        <v>2554</v>
      </c>
      <c r="T626" s="17" t="s">
        <v>800</v>
      </c>
      <c r="U626" s="18" t="s">
        <v>5233</v>
      </c>
      <c r="V626" s="17" t="s">
        <v>9418</v>
      </c>
      <c r="W626" s="18" t="s">
        <v>5309</v>
      </c>
      <c r="X626" s="69" t="s">
        <v>9453</v>
      </c>
      <c r="Y626" s="70" t="s">
        <v>9462</v>
      </c>
      <c r="Z626" s="73" t="s">
        <v>9486</v>
      </c>
      <c r="AA626" s="74" t="s">
        <v>9504</v>
      </c>
      <c r="AB626" s="73" t="s">
        <v>9486</v>
      </c>
      <c r="AC626" s="74" t="s">
        <v>9562</v>
      </c>
      <c r="AD626" s="73" t="s">
        <v>9578</v>
      </c>
      <c r="AE626" s="74" t="s">
        <v>9579</v>
      </c>
    </row>
    <row r="627" spans="1:31" ht="8.65" customHeight="1" x14ac:dyDescent="0.2">
      <c r="A627" s="76">
        <v>627</v>
      </c>
      <c r="B627" s="67" t="str">
        <f>MID(C627, FIND("Ifc.", C627) + 4, 4) &amp; "_" &amp; TEXT(COUNTIF($C$2:C627, C627),"0000")</f>
        <v>Prop_0626</v>
      </c>
      <c r="C627" s="24" t="s">
        <v>872</v>
      </c>
      <c r="D627" s="69" t="s">
        <v>9453</v>
      </c>
      <c r="E627" s="70" t="s">
        <v>9454</v>
      </c>
      <c r="F627" s="17" t="s">
        <v>806</v>
      </c>
      <c r="G627" s="22" t="s">
        <v>1275</v>
      </c>
      <c r="H627" s="12" t="s">
        <v>9703</v>
      </c>
      <c r="I627" s="13" t="s">
        <v>6255</v>
      </c>
      <c r="J627" s="14" t="s">
        <v>798</v>
      </c>
      <c r="K627" s="15" t="s">
        <v>798</v>
      </c>
      <c r="L627" s="12" t="s">
        <v>5315</v>
      </c>
      <c r="M627" s="13" t="s">
        <v>5408</v>
      </c>
      <c r="N627" s="12" t="s">
        <v>803</v>
      </c>
      <c r="O627" s="13" t="s">
        <v>4896</v>
      </c>
      <c r="P627" s="17" t="s">
        <v>802</v>
      </c>
      <c r="Q627" s="21" t="s">
        <v>7737</v>
      </c>
      <c r="R627" s="17" t="s">
        <v>801</v>
      </c>
      <c r="S627" s="18" t="s">
        <v>2554</v>
      </c>
      <c r="T627" s="17" t="s">
        <v>800</v>
      </c>
      <c r="U627" s="18" t="s">
        <v>5233</v>
      </c>
      <c r="V627" s="17" t="s">
        <v>9418</v>
      </c>
      <c r="W627" s="18" t="s">
        <v>5309</v>
      </c>
      <c r="X627" s="69" t="s">
        <v>9453</v>
      </c>
      <c r="Y627" s="70" t="s">
        <v>9462</v>
      </c>
      <c r="Z627" s="73" t="s">
        <v>9486</v>
      </c>
      <c r="AA627" s="74" t="s">
        <v>9504</v>
      </c>
      <c r="AB627" s="73" t="s">
        <v>9486</v>
      </c>
      <c r="AC627" s="74" t="s">
        <v>9562</v>
      </c>
      <c r="AD627" s="73" t="s">
        <v>9578</v>
      </c>
      <c r="AE627" s="74" t="s">
        <v>9579</v>
      </c>
    </row>
    <row r="628" spans="1:31" ht="8.65" customHeight="1" x14ac:dyDescent="0.2">
      <c r="A628" s="76">
        <v>628</v>
      </c>
      <c r="B628" s="67" t="str">
        <f>MID(C628, FIND("Ifc.", C628) + 4, 4) &amp; "_" &amp; TEXT(COUNTIF($C$2:C628, C628),"0000")</f>
        <v>Prop_0627</v>
      </c>
      <c r="C628" s="24" t="s">
        <v>872</v>
      </c>
      <c r="D628" s="69" t="s">
        <v>9453</v>
      </c>
      <c r="E628" s="70" t="s">
        <v>9454</v>
      </c>
      <c r="F628" s="17" t="s">
        <v>806</v>
      </c>
      <c r="G628" s="22" t="s">
        <v>1275</v>
      </c>
      <c r="H628" s="12" t="s">
        <v>9703</v>
      </c>
      <c r="I628" s="13" t="s">
        <v>6255</v>
      </c>
      <c r="J628" s="14" t="s">
        <v>798</v>
      </c>
      <c r="K628" s="15" t="s">
        <v>798</v>
      </c>
      <c r="L628" s="12" t="s">
        <v>5315</v>
      </c>
      <c r="M628" s="13" t="s">
        <v>6028</v>
      </c>
      <c r="N628" s="12" t="s">
        <v>803</v>
      </c>
      <c r="O628" s="13" t="s">
        <v>4897</v>
      </c>
      <c r="P628" s="17" t="s">
        <v>802</v>
      </c>
      <c r="Q628" s="21" t="s">
        <v>7927</v>
      </c>
      <c r="R628" s="17" t="s">
        <v>801</v>
      </c>
      <c r="S628" s="18" t="s">
        <v>2554</v>
      </c>
      <c r="T628" s="17" t="s">
        <v>800</v>
      </c>
      <c r="U628" s="18" t="s">
        <v>5233</v>
      </c>
      <c r="V628" s="17" t="s">
        <v>9418</v>
      </c>
      <c r="W628" s="18" t="s">
        <v>5309</v>
      </c>
      <c r="X628" s="69" t="s">
        <v>9453</v>
      </c>
      <c r="Y628" s="70" t="s">
        <v>9462</v>
      </c>
      <c r="Z628" s="73" t="s">
        <v>9486</v>
      </c>
      <c r="AA628" s="74" t="s">
        <v>9504</v>
      </c>
      <c r="AB628" s="73" t="s">
        <v>9486</v>
      </c>
      <c r="AC628" s="74" t="s">
        <v>9562</v>
      </c>
      <c r="AD628" s="73" t="s">
        <v>9578</v>
      </c>
      <c r="AE628" s="74" t="s">
        <v>9579</v>
      </c>
    </row>
    <row r="629" spans="1:31" ht="8.65" customHeight="1" x14ac:dyDescent="0.2">
      <c r="A629" s="76">
        <v>629</v>
      </c>
      <c r="B629" s="67" t="str">
        <f>MID(C629, FIND("Ifc.", C629) + 4, 4) &amp; "_" &amp; TEXT(COUNTIF($C$2:C629, C629),"0000")</f>
        <v>Prop_0628</v>
      </c>
      <c r="C629" s="24" t="s">
        <v>872</v>
      </c>
      <c r="D629" s="69" t="s">
        <v>9453</v>
      </c>
      <c r="E629" s="70" t="s">
        <v>9454</v>
      </c>
      <c r="F629" s="17" t="s">
        <v>806</v>
      </c>
      <c r="G629" s="22" t="s">
        <v>1293</v>
      </c>
      <c r="H629" s="12" t="s">
        <v>9703</v>
      </c>
      <c r="I629" s="13" t="s">
        <v>6242</v>
      </c>
      <c r="J629" s="14" t="s">
        <v>798</v>
      </c>
      <c r="K629" s="15" t="s">
        <v>798</v>
      </c>
      <c r="L629" s="12" t="s">
        <v>5315</v>
      </c>
      <c r="M629" s="13" t="s">
        <v>6016</v>
      </c>
      <c r="N629" s="12" t="s">
        <v>803</v>
      </c>
      <c r="O629" s="13" t="s">
        <v>4904</v>
      </c>
      <c r="P629" s="17" t="s">
        <v>802</v>
      </c>
      <c r="Q629" s="21" t="s">
        <v>7928</v>
      </c>
      <c r="R629" s="17" t="s">
        <v>801</v>
      </c>
      <c r="S629" s="18" t="s">
        <v>2554</v>
      </c>
      <c r="T629" s="17" t="s">
        <v>800</v>
      </c>
      <c r="U629" s="18" t="s">
        <v>5233</v>
      </c>
      <c r="V629" s="17" t="s">
        <v>9418</v>
      </c>
      <c r="W629" s="18" t="s">
        <v>5309</v>
      </c>
      <c r="X629" s="69" t="s">
        <v>9453</v>
      </c>
      <c r="Y629" s="70" t="s">
        <v>9462</v>
      </c>
      <c r="Z629" s="73" t="s">
        <v>9486</v>
      </c>
      <c r="AA629" s="74" t="s">
        <v>9504</v>
      </c>
      <c r="AB629" s="73" t="s">
        <v>9486</v>
      </c>
      <c r="AC629" s="74" t="s">
        <v>9562</v>
      </c>
      <c r="AD629" s="73" t="s">
        <v>9578</v>
      </c>
      <c r="AE629" s="74" t="s">
        <v>9579</v>
      </c>
    </row>
    <row r="630" spans="1:31" ht="8.65" customHeight="1" x14ac:dyDescent="0.2">
      <c r="A630" s="76">
        <v>630</v>
      </c>
      <c r="B630" s="67" t="str">
        <f>MID(C630, FIND("Ifc.", C630) + 4, 4) &amp; "_" &amp; TEXT(COUNTIF($C$2:C630, C630),"0000")</f>
        <v>Prop_0629</v>
      </c>
      <c r="C630" s="24" t="s">
        <v>872</v>
      </c>
      <c r="D630" s="69" t="s">
        <v>9453</v>
      </c>
      <c r="E630" s="70" t="s">
        <v>9454</v>
      </c>
      <c r="F630" s="17" t="s">
        <v>806</v>
      </c>
      <c r="G630" s="22" t="s">
        <v>1293</v>
      </c>
      <c r="H630" s="12" t="s">
        <v>9703</v>
      </c>
      <c r="I630" s="13" t="s">
        <v>6242</v>
      </c>
      <c r="J630" s="14" t="s">
        <v>798</v>
      </c>
      <c r="K630" s="15" t="s">
        <v>798</v>
      </c>
      <c r="L630" s="12" t="s">
        <v>5315</v>
      </c>
      <c r="M630" s="13" t="s">
        <v>6018</v>
      </c>
      <c r="N630" s="12" t="s">
        <v>803</v>
      </c>
      <c r="O630" s="13" t="s">
        <v>4906</v>
      </c>
      <c r="P630" s="17" t="s">
        <v>802</v>
      </c>
      <c r="Q630" s="21" t="s">
        <v>7929</v>
      </c>
      <c r="R630" s="17" t="s">
        <v>801</v>
      </c>
      <c r="S630" s="18" t="s">
        <v>2554</v>
      </c>
      <c r="T630" s="17" t="s">
        <v>800</v>
      </c>
      <c r="U630" s="18" t="s">
        <v>5233</v>
      </c>
      <c r="V630" s="17" t="s">
        <v>9418</v>
      </c>
      <c r="W630" s="18" t="s">
        <v>5309</v>
      </c>
      <c r="X630" s="69" t="s">
        <v>9453</v>
      </c>
      <c r="Y630" s="70" t="s">
        <v>9462</v>
      </c>
      <c r="Z630" s="73" t="s">
        <v>9486</v>
      </c>
      <c r="AA630" s="74" t="s">
        <v>9504</v>
      </c>
      <c r="AB630" s="73" t="s">
        <v>9486</v>
      </c>
      <c r="AC630" s="74" t="s">
        <v>9562</v>
      </c>
      <c r="AD630" s="73" t="s">
        <v>9578</v>
      </c>
      <c r="AE630" s="74" t="s">
        <v>9579</v>
      </c>
    </row>
    <row r="631" spans="1:31" ht="8.65" customHeight="1" x14ac:dyDescent="0.2">
      <c r="A631" s="76">
        <v>631</v>
      </c>
      <c r="B631" s="67" t="str">
        <f>MID(C631, FIND("Ifc.", C631) + 4, 4) &amp; "_" &amp; TEXT(COUNTIF($C$2:C631, C631),"0000")</f>
        <v>Prop_0630</v>
      </c>
      <c r="C631" s="24" t="s">
        <v>872</v>
      </c>
      <c r="D631" s="69" t="s">
        <v>9453</v>
      </c>
      <c r="E631" s="70" t="s">
        <v>9454</v>
      </c>
      <c r="F631" s="17" t="s">
        <v>806</v>
      </c>
      <c r="G631" s="22" t="s">
        <v>1365</v>
      </c>
      <c r="H631" s="12" t="s">
        <v>9703</v>
      </c>
      <c r="I631" s="13" t="s">
        <v>6287</v>
      </c>
      <c r="J631" s="14" t="s">
        <v>798</v>
      </c>
      <c r="K631" s="15" t="s">
        <v>798</v>
      </c>
      <c r="L631" s="12" t="s">
        <v>5315</v>
      </c>
      <c r="M631" s="13" t="s">
        <v>6031</v>
      </c>
      <c r="N631" s="12" t="s">
        <v>803</v>
      </c>
      <c r="O631" s="13" t="s">
        <v>4919</v>
      </c>
      <c r="P631" s="17" t="s">
        <v>802</v>
      </c>
      <c r="Q631" s="21" t="s">
        <v>7818</v>
      </c>
      <c r="R631" s="17" t="s">
        <v>801</v>
      </c>
      <c r="S631" s="18" t="s">
        <v>2554</v>
      </c>
      <c r="T631" s="17" t="s">
        <v>800</v>
      </c>
      <c r="U631" s="18" t="s">
        <v>5233</v>
      </c>
      <c r="V631" s="17" t="s">
        <v>9418</v>
      </c>
      <c r="W631" s="18" t="s">
        <v>5309</v>
      </c>
      <c r="X631" s="69" t="s">
        <v>9453</v>
      </c>
      <c r="Y631" s="70" t="s">
        <v>9462</v>
      </c>
      <c r="Z631" s="73" t="s">
        <v>9486</v>
      </c>
      <c r="AA631" s="74" t="s">
        <v>9504</v>
      </c>
      <c r="AB631" s="73" t="s">
        <v>9486</v>
      </c>
      <c r="AC631" s="74" t="s">
        <v>9562</v>
      </c>
      <c r="AD631" s="73" t="s">
        <v>9578</v>
      </c>
      <c r="AE631" s="74" t="s">
        <v>9579</v>
      </c>
    </row>
    <row r="632" spans="1:31" ht="8.65" customHeight="1" x14ac:dyDescent="0.2">
      <c r="A632" s="76">
        <v>632</v>
      </c>
      <c r="B632" s="67" t="str">
        <f>MID(C632, FIND("Ifc.", C632) + 4, 4) &amp; "_" &amp; TEXT(COUNTIF($C$2:C632, C632),"0000")</f>
        <v>Prop_0631</v>
      </c>
      <c r="C632" s="24" t="s">
        <v>872</v>
      </c>
      <c r="D632" s="69" t="s">
        <v>9453</v>
      </c>
      <c r="E632" s="70" t="s">
        <v>9454</v>
      </c>
      <c r="F632" s="17" t="s">
        <v>806</v>
      </c>
      <c r="G632" s="22" t="s">
        <v>1365</v>
      </c>
      <c r="H632" s="12" t="s">
        <v>9703</v>
      </c>
      <c r="I632" s="13" t="s">
        <v>6287</v>
      </c>
      <c r="J632" s="14" t="s">
        <v>798</v>
      </c>
      <c r="K632" s="15" t="s">
        <v>798</v>
      </c>
      <c r="L632" s="12" t="s">
        <v>5315</v>
      </c>
      <c r="M632" s="13" t="s">
        <v>6032</v>
      </c>
      <c r="N632" s="12" t="s">
        <v>803</v>
      </c>
      <c r="O632" s="13" t="s">
        <v>4933</v>
      </c>
      <c r="P632" s="17" t="s">
        <v>802</v>
      </c>
      <c r="Q632" s="21" t="s">
        <v>7917</v>
      </c>
      <c r="R632" s="17" t="s">
        <v>801</v>
      </c>
      <c r="S632" s="18" t="s">
        <v>2554</v>
      </c>
      <c r="T632" s="17" t="s">
        <v>800</v>
      </c>
      <c r="U632" s="18" t="s">
        <v>5233</v>
      </c>
      <c r="V632" s="17" t="s">
        <v>9418</v>
      </c>
      <c r="W632" s="18" t="s">
        <v>5309</v>
      </c>
      <c r="X632" s="69" t="s">
        <v>9453</v>
      </c>
      <c r="Y632" s="70" t="s">
        <v>9462</v>
      </c>
      <c r="Z632" s="73" t="s">
        <v>9486</v>
      </c>
      <c r="AA632" s="74" t="s">
        <v>9504</v>
      </c>
      <c r="AB632" s="73" t="s">
        <v>9486</v>
      </c>
      <c r="AC632" s="74" t="s">
        <v>9562</v>
      </c>
      <c r="AD632" s="73" t="s">
        <v>9578</v>
      </c>
      <c r="AE632" s="74" t="s">
        <v>9579</v>
      </c>
    </row>
    <row r="633" spans="1:31" ht="8.65" customHeight="1" x14ac:dyDescent="0.2">
      <c r="A633" s="76">
        <v>633</v>
      </c>
      <c r="B633" s="67" t="str">
        <f>MID(C633, FIND("Ifc.", C633) + 4, 4) &amp; "_" &amp; TEXT(COUNTIF($C$2:C633, C633),"0000")</f>
        <v>Prop_0632</v>
      </c>
      <c r="C633" s="24" t="s">
        <v>872</v>
      </c>
      <c r="D633" s="69" t="s">
        <v>9453</v>
      </c>
      <c r="E633" s="70" t="s">
        <v>9454</v>
      </c>
      <c r="F633" s="17" t="s">
        <v>806</v>
      </c>
      <c r="G633" s="22" t="s">
        <v>1365</v>
      </c>
      <c r="H633" s="12" t="s">
        <v>9703</v>
      </c>
      <c r="I633" s="13" t="s">
        <v>6287</v>
      </c>
      <c r="J633" s="14" t="s">
        <v>798</v>
      </c>
      <c r="K633" s="15" t="s">
        <v>798</v>
      </c>
      <c r="L633" s="12" t="s">
        <v>5315</v>
      </c>
      <c r="M633" s="13" t="s">
        <v>5978</v>
      </c>
      <c r="N633" s="12" t="s">
        <v>803</v>
      </c>
      <c r="O633" s="13" t="s">
        <v>5093</v>
      </c>
      <c r="P633" s="17" t="s">
        <v>802</v>
      </c>
      <c r="Q633" s="21" t="s">
        <v>7732</v>
      </c>
      <c r="R633" s="17" t="s">
        <v>801</v>
      </c>
      <c r="S633" s="18" t="s">
        <v>2554</v>
      </c>
      <c r="T633" s="17" t="s">
        <v>800</v>
      </c>
      <c r="U633" s="18" t="s">
        <v>5233</v>
      </c>
      <c r="V633" s="17" t="s">
        <v>9418</v>
      </c>
      <c r="W633" s="18" t="s">
        <v>5309</v>
      </c>
      <c r="X633" s="69" t="s">
        <v>9453</v>
      </c>
      <c r="Y633" s="70" t="s">
        <v>9462</v>
      </c>
      <c r="Z633" s="73" t="s">
        <v>9486</v>
      </c>
      <c r="AA633" s="74" t="s">
        <v>9504</v>
      </c>
      <c r="AB633" s="73" t="s">
        <v>9486</v>
      </c>
      <c r="AC633" s="74" t="s">
        <v>9562</v>
      </c>
      <c r="AD633" s="73" t="s">
        <v>9578</v>
      </c>
      <c r="AE633" s="74" t="s">
        <v>9579</v>
      </c>
    </row>
    <row r="634" spans="1:31" ht="8.65" customHeight="1" x14ac:dyDescent="0.2">
      <c r="A634" s="76">
        <v>634</v>
      </c>
      <c r="B634" s="67" t="str">
        <f>MID(C634, FIND("Ifc.", C634) + 4, 4) &amp; "_" &amp; TEXT(COUNTIF($C$2:C634, C634),"0000")</f>
        <v>Prop_0633</v>
      </c>
      <c r="C634" s="24" t="s">
        <v>872</v>
      </c>
      <c r="D634" s="69" t="s">
        <v>9453</v>
      </c>
      <c r="E634" s="70" t="s">
        <v>9454</v>
      </c>
      <c r="F634" s="17" t="s">
        <v>806</v>
      </c>
      <c r="G634" s="22" t="s">
        <v>1489</v>
      </c>
      <c r="H634" s="12" t="s">
        <v>9703</v>
      </c>
      <c r="I634" s="13" t="s">
        <v>7558</v>
      </c>
      <c r="J634" s="14" t="s">
        <v>798</v>
      </c>
      <c r="K634" s="15" t="s">
        <v>798</v>
      </c>
      <c r="L634" s="12" t="s">
        <v>5315</v>
      </c>
      <c r="M634" s="13" t="s">
        <v>5812</v>
      </c>
      <c r="N634" s="12" t="s">
        <v>803</v>
      </c>
      <c r="O634" s="13" t="s">
        <v>4946</v>
      </c>
      <c r="P634" s="17" t="s">
        <v>802</v>
      </c>
      <c r="Q634" s="21" t="s">
        <v>7895</v>
      </c>
      <c r="R634" s="17" t="s">
        <v>801</v>
      </c>
      <c r="S634" s="18" t="s">
        <v>2560</v>
      </c>
      <c r="T634" s="17" t="s">
        <v>800</v>
      </c>
      <c r="U634" s="18" t="s">
        <v>5236</v>
      </c>
      <c r="V634" s="17" t="s">
        <v>9418</v>
      </c>
      <c r="W634" s="18" t="s">
        <v>5309</v>
      </c>
      <c r="X634" s="69" t="s">
        <v>9453</v>
      </c>
      <c r="Y634" s="70" t="s">
        <v>9462</v>
      </c>
      <c r="Z634" s="73" t="s">
        <v>9486</v>
      </c>
      <c r="AA634" s="74" t="s">
        <v>9504</v>
      </c>
      <c r="AB634" s="73" t="s">
        <v>9486</v>
      </c>
      <c r="AC634" s="74" t="s">
        <v>9562</v>
      </c>
      <c r="AD634" s="73" t="s">
        <v>9578</v>
      </c>
      <c r="AE634" s="74" t="s">
        <v>9579</v>
      </c>
    </row>
    <row r="635" spans="1:31" ht="8.65" customHeight="1" x14ac:dyDescent="0.2">
      <c r="A635" s="76">
        <v>635</v>
      </c>
      <c r="B635" s="67" t="str">
        <f>MID(C635, FIND("Ifc.", C635) + 4, 4) &amp; "_" &amp; TEXT(COUNTIF($C$2:C635, C635),"0000")</f>
        <v>Prop_0634</v>
      </c>
      <c r="C635" s="24" t="s">
        <v>872</v>
      </c>
      <c r="D635" s="69" t="s">
        <v>9453</v>
      </c>
      <c r="E635" s="70" t="s">
        <v>9454</v>
      </c>
      <c r="F635" s="17" t="s">
        <v>806</v>
      </c>
      <c r="G635" s="22" t="s">
        <v>1491</v>
      </c>
      <c r="H635" s="12" t="s">
        <v>9703</v>
      </c>
      <c r="I635" s="13" t="s">
        <v>7551</v>
      </c>
      <c r="J635" s="14" t="s">
        <v>798</v>
      </c>
      <c r="K635" s="15" t="s">
        <v>798</v>
      </c>
      <c r="L635" s="12" t="s">
        <v>5315</v>
      </c>
      <c r="M635" s="13" t="s">
        <v>5813</v>
      </c>
      <c r="N635" s="12" t="s">
        <v>803</v>
      </c>
      <c r="O635" s="13" t="s">
        <v>4947</v>
      </c>
      <c r="P635" s="17" t="s">
        <v>802</v>
      </c>
      <c r="Q635" s="21" t="s">
        <v>7794</v>
      </c>
      <c r="R635" s="17" t="s">
        <v>801</v>
      </c>
      <c r="S635" s="18" t="s">
        <v>2560</v>
      </c>
      <c r="T635" s="17" t="s">
        <v>800</v>
      </c>
      <c r="U635" s="18" t="s">
        <v>5236</v>
      </c>
      <c r="V635" s="17" t="s">
        <v>9418</v>
      </c>
      <c r="W635" s="18" t="s">
        <v>5309</v>
      </c>
      <c r="X635" s="69" t="s">
        <v>9453</v>
      </c>
      <c r="Y635" s="70" t="s">
        <v>9462</v>
      </c>
      <c r="Z635" s="73" t="s">
        <v>9486</v>
      </c>
      <c r="AA635" s="74" t="s">
        <v>9504</v>
      </c>
      <c r="AB635" s="73" t="s">
        <v>9486</v>
      </c>
      <c r="AC635" s="74" t="s">
        <v>9562</v>
      </c>
      <c r="AD635" s="73" t="s">
        <v>9578</v>
      </c>
      <c r="AE635" s="74" t="s">
        <v>9579</v>
      </c>
    </row>
    <row r="636" spans="1:31" ht="8.65" customHeight="1" x14ac:dyDescent="0.2">
      <c r="A636" s="76">
        <v>636</v>
      </c>
      <c r="B636" s="67" t="str">
        <f>MID(C636, FIND("Ifc.", C636) + 4, 4) &amp; "_" &amp; TEXT(COUNTIF($C$2:C636, C636),"0000")</f>
        <v>Prop_0635</v>
      </c>
      <c r="C636" s="24" t="s">
        <v>872</v>
      </c>
      <c r="D636" s="69" t="s">
        <v>9453</v>
      </c>
      <c r="E636" s="70" t="s">
        <v>9454</v>
      </c>
      <c r="F636" s="17" t="s">
        <v>806</v>
      </c>
      <c r="G636" s="22" t="s">
        <v>2033</v>
      </c>
      <c r="H636" s="12" t="s">
        <v>9703</v>
      </c>
      <c r="I636" s="13" t="s">
        <v>6926</v>
      </c>
      <c r="J636" s="14" t="s">
        <v>798</v>
      </c>
      <c r="K636" s="15" t="s">
        <v>798</v>
      </c>
      <c r="L636" s="12" t="s">
        <v>5315</v>
      </c>
      <c r="M636" s="13" t="s">
        <v>5481</v>
      </c>
      <c r="N636" s="12" t="s">
        <v>803</v>
      </c>
      <c r="O636" s="13" t="s">
        <v>5085</v>
      </c>
      <c r="P636" s="17" t="s">
        <v>802</v>
      </c>
      <c r="Q636" s="21" t="s">
        <v>7708</v>
      </c>
      <c r="R636" s="17" t="s">
        <v>801</v>
      </c>
      <c r="S636" s="18" t="s">
        <v>2584</v>
      </c>
      <c r="T636" s="17" t="s">
        <v>800</v>
      </c>
      <c r="U636" s="18" t="s">
        <v>5294</v>
      </c>
      <c r="V636" s="17" t="s">
        <v>9418</v>
      </c>
      <c r="W636" s="18" t="s">
        <v>5309</v>
      </c>
      <c r="X636" s="69" t="s">
        <v>9453</v>
      </c>
      <c r="Y636" s="70" t="s">
        <v>9462</v>
      </c>
      <c r="Z636" s="73" t="s">
        <v>9486</v>
      </c>
      <c r="AA636" s="74" t="s">
        <v>9504</v>
      </c>
      <c r="AB636" s="73" t="s">
        <v>9486</v>
      </c>
      <c r="AC636" s="74" t="s">
        <v>9566</v>
      </c>
      <c r="AD636" s="73" t="s">
        <v>9578</v>
      </c>
      <c r="AE636" s="74" t="s">
        <v>9579</v>
      </c>
    </row>
    <row r="637" spans="1:31" ht="8.65" customHeight="1" x14ac:dyDescent="0.2">
      <c r="A637" s="76">
        <v>637</v>
      </c>
      <c r="B637" s="67" t="str">
        <f>MID(C637, FIND("Ifc.", C637) + 4, 4) &amp; "_" &amp; TEXT(COUNTIF($C$2:C637, C637),"0000")</f>
        <v>Prop_0636</v>
      </c>
      <c r="C637" s="24" t="s">
        <v>872</v>
      </c>
      <c r="D637" s="69" t="s">
        <v>9453</v>
      </c>
      <c r="E637" s="70" t="s">
        <v>9454</v>
      </c>
      <c r="F637" s="17" t="s">
        <v>806</v>
      </c>
      <c r="G637" s="22" t="s">
        <v>1410</v>
      </c>
      <c r="H637" s="12" t="s">
        <v>9703</v>
      </c>
      <c r="I637" s="13" t="s">
        <v>6973</v>
      </c>
      <c r="J637" s="14" t="s">
        <v>798</v>
      </c>
      <c r="K637" s="15" t="s">
        <v>798</v>
      </c>
      <c r="L637" s="12" t="s">
        <v>5315</v>
      </c>
      <c r="M637" s="13" t="s">
        <v>6054</v>
      </c>
      <c r="N637" s="12" t="s">
        <v>803</v>
      </c>
      <c r="O637" s="13" t="s">
        <v>4927</v>
      </c>
      <c r="P637" s="17" t="s">
        <v>802</v>
      </c>
      <c r="Q637" s="21" t="s">
        <v>7686</v>
      </c>
      <c r="R637" s="17" t="s">
        <v>801</v>
      </c>
      <c r="S637" s="18" t="s">
        <v>2585</v>
      </c>
      <c r="T637" s="17" t="s">
        <v>800</v>
      </c>
      <c r="U637" s="18" t="s">
        <v>5238</v>
      </c>
      <c r="V637" s="17" t="s">
        <v>9418</v>
      </c>
      <c r="W637" s="18" t="s">
        <v>5309</v>
      </c>
      <c r="X637" s="69" t="s">
        <v>9453</v>
      </c>
      <c r="Y637" s="70" t="s">
        <v>9462</v>
      </c>
      <c r="Z637" s="73" t="s">
        <v>9486</v>
      </c>
      <c r="AA637" s="74" t="s">
        <v>9504</v>
      </c>
      <c r="AB637" s="73" t="s">
        <v>9486</v>
      </c>
      <c r="AC637" s="74" t="s">
        <v>9566</v>
      </c>
      <c r="AD637" s="73" t="s">
        <v>9578</v>
      </c>
      <c r="AE637" s="74" t="s">
        <v>9579</v>
      </c>
    </row>
    <row r="638" spans="1:31" ht="8.65" customHeight="1" x14ac:dyDescent="0.2">
      <c r="A638" s="76">
        <v>638</v>
      </c>
      <c r="B638" s="67" t="str">
        <f>MID(C638, FIND("Ifc.", C638) + 4, 4) &amp; "_" &amp; TEXT(COUNTIF($C$2:C638, C638),"0000")</f>
        <v>Prop_0637</v>
      </c>
      <c r="C638" s="24" t="s">
        <v>872</v>
      </c>
      <c r="D638" s="69" t="s">
        <v>9453</v>
      </c>
      <c r="E638" s="70" t="s">
        <v>9454</v>
      </c>
      <c r="F638" s="17" t="s">
        <v>806</v>
      </c>
      <c r="G638" s="22" t="s">
        <v>1410</v>
      </c>
      <c r="H638" s="12" t="s">
        <v>9703</v>
      </c>
      <c r="I638" s="13" t="s">
        <v>6973</v>
      </c>
      <c r="J638" s="14" t="s">
        <v>798</v>
      </c>
      <c r="K638" s="15" t="s">
        <v>798</v>
      </c>
      <c r="L638" s="12" t="s">
        <v>5315</v>
      </c>
      <c r="M638" s="13" t="s">
        <v>6059</v>
      </c>
      <c r="N638" s="12" t="s">
        <v>803</v>
      </c>
      <c r="O638" s="13" t="s">
        <v>4928</v>
      </c>
      <c r="P638" s="17" t="s">
        <v>802</v>
      </c>
      <c r="Q638" s="21" t="s">
        <v>7706</v>
      </c>
      <c r="R638" s="17" t="s">
        <v>801</v>
      </c>
      <c r="S638" s="18" t="s">
        <v>2585</v>
      </c>
      <c r="T638" s="17" t="s">
        <v>800</v>
      </c>
      <c r="U638" s="18" t="s">
        <v>5238</v>
      </c>
      <c r="V638" s="17" t="s">
        <v>9418</v>
      </c>
      <c r="W638" s="18" t="s">
        <v>5309</v>
      </c>
      <c r="X638" s="69" t="s">
        <v>9453</v>
      </c>
      <c r="Y638" s="70" t="s">
        <v>9462</v>
      </c>
      <c r="Z638" s="73" t="s">
        <v>9486</v>
      </c>
      <c r="AA638" s="74" t="s">
        <v>9504</v>
      </c>
      <c r="AB638" s="73" t="s">
        <v>9486</v>
      </c>
      <c r="AC638" s="74" t="s">
        <v>9566</v>
      </c>
      <c r="AD638" s="73" t="s">
        <v>9578</v>
      </c>
      <c r="AE638" s="74" t="s">
        <v>9579</v>
      </c>
    </row>
    <row r="639" spans="1:31" ht="8.65" customHeight="1" x14ac:dyDescent="0.2">
      <c r="A639" s="76">
        <v>639</v>
      </c>
      <c r="B639" s="67" t="str">
        <f>MID(C639, FIND("Ifc.", C639) + 4, 4) &amp; "_" &amp; TEXT(COUNTIF($C$2:C639, C639),"0000")</f>
        <v>Prop_0638</v>
      </c>
      <c r="C639" s="24" t="s">
        <v>872</v>
      </c>
      <c r="D639" s="69" t="s">
        <v>9453</v>
      </c>
      <c r="E639" s="70" t="s">
        <v>9454</v>
      </c>
      <c r="F639" s="17" t="s">
        <v>806</v>
      </c>
      <c r="G639" s="22" t="s">
        <v>2062</v>
      </c>
      <c r="H639" s="12" t="s">
        <v>9703</v>
      </c>
      <c r="I639" s="13" t="s">
        <v>6625</v>
      </c>
      <c r="J639" s="14" t="s">
        <v>798</v>
      </c>
      <c r="K639" s="15" t="s">
        <v>798</v>
      </c>
      <c r="L639" s="12" t="s">
        <v>5315</v>
      </c>
      <c r="M639" s="13" t="s">
        <v>5484</v>
      </c>
      <c r="N639" s="12" t="s">
        <v>803</v>
      </c>
      <c r="O639" s="13" t="s">
        <v>5087</v>
      </c>
      <c r="P639" s="17" t="s">
        <v>802</v>
      </c>
      <c r="Q639" s="21" t="s">
        <v>7892</v>
      </c>
      <c r="R639" s="17" t="s">
        <v>801</v>
      </c>
      <c r="S639" s="18" t="s">
        <v>2583</v>
      </c>
      <c r="T639" s="17" t="s">
        <v>800</v>
      </c>
      <c r="U639" s="18" t="s">
        <v>5251</v>
      </c>
      <c r="V639" s="17" t="s">
        <v>9418</v>
      </c>
      <c r="W639" s="18" t="s">
        <v>5309</v>
      </c>
      <c r="X639" s="69" t="s">
        <v>9453</v>
      </c>
      <c r="Y639" s="70" t="s">
        <v>9462</v>
      </c>
      <c r="Z639" s="73" t="s">
        <v>9486</v>
      </c>
      <c r="AA639" s="74" t="s">
        <v>9504</v>
      </c>
      <c r="AB639" s="73" t="s">
        <v>9486</v>
      </c>
      <c r="AC639" s="74" t="s">
        <v>9566</v>
      </c>
      <c r="AD639" s="73" t="s">
        <v>9578</v>
      </c>
      <c r="AE639" s="74" t="s">
        <v>9579</v>
      </c>
    </row>
    <row r="640" spans="1:31" ht="8.65" customHeight="1" x14ac:dyDescent="0.2">
      <c r="A640" s="76">
        <v>640</v>
      </c>
      <c r="B640" s="67" t="str">
        <f>MID(C640, FIND("Ifc.", C640) + 4, 4) &amp; "_" &amp; TEXT(COUNTIF($C$2:C640, C640),"0000")</f>
        <v>Prop_0639</v>
      </c>
      <c r="C640" s="24" t="s">
        <v>872</v>
      </c>
      <c r="D640" s="69" t="s">
        <v>9453</v>
      </c>
      <c r="E640" s="70" t="s">
        <v>9454</v>
      </c>
      <c r="F640" s="17" t="s">
        <v>806</v>
      </c>
      <c r="G640" s="22" t="s">
        <v>2062</v>
      </c>
      <c r="H640" s="12" t="s">
        <v>9703</v>
      </c>
      <c r="I640" s="13" t="s">
        <v>6625</v>
      </c>
      <c r="J640" s="14" t="s">
        <v>798</v>
      </c>
      <c r="K640" s="15" t="s">
        <v>798</v>
      </c>
      <c r="L640" s="12" t="s">
        <v>5315</v>
      </c>
      <c r="M640" s="13" t="s">
        <v>5803</v>
      </c>
      <c r="N640" s="12" t="s">
        <v>803</v>
      </c>
      <c r="O640" s="13" t="s">
        <v>5196</v>
      </c>
      <c r="P640" s="17" t="s">
        <v>802</v>
      </c>
      <c r="Q640" s="21" t="s">
        <v>7930</v>
      </c>
      <c r="R640" s="17" t="s">
        <v>801</v>
      </c>
      <c r="S640" s="18" t="s">
        <v>2583</v>
      </c>
      <c r="T640" s="17" t="s">
        <v>800</v>
      </c>
      <c r="U640" s="18" t="s">
        <v>5251</v>
      </c>
      <c r="V640" s="17" t="s">
        <v>9418</v>
      </c>
      <c r="W640" s="18" t="s">
        <v>5309</v>
      </c>
      <c r="X640" s="69" t="s">
        <v>9453</v>
      </c>
      <c r="Y640" s="70" t="s">
        <v>9462</v>
      </c>
      <c r="Z640" s="73" t="s">
        <v>9486</v>
      </c>
      <c r="AA640" s="74" t="s">
        <v>9504</v>
      </c>
      <c r="AB640" s="73" t="s">
        <v>9486</v>
      </c>
      <c r="AC640" s="74" t="s">
        <v>9566</v>
      </c>
      <c r="AD640" s="73" t="s">
        <v>9578</v>
      </c>
      <c r="AE640" s="74" t="s">
        <v>9579</v>
      </c>
    </row>
    <row r="641" spans="1:31" ht="8.65" customHeight="1" x14ac:dyDescent="0.2">
      <c r="A641" s="76">
        <v>641</v>
      </c>
      <c r="B641" s="67" t="str">
        <f>MID(C641, FIND("Ifc.", C641) + 4, 4) &amp; "_" &amp; TEXT(COUNTIF($C$2:C641, C641),"0000")</f>
        <v>Prop_0640</v>
      </c>
      <c r="C641" s="24" t="s">
        <v>872</v>
      </c>
      <c r="D641" s="69" t="s">
        <v>9453</v>
      </c>
      <c r="E641" s="70" t="s">
        <v>9454</v>
      </c>
      <c r="F641" s="17" t="s">
        <v>806</v>
      </c>
      <c r="G641" s="22" t="s">
        <v>2032</v>
      </c>
      <c r="H641" s="12" t="s">
        <v>9703</v>
      </c>
      <c r="I641" s="13" t="s">
        <v>7348</v>
      </c>
      <c r="J641" s="14" t="s">
        <v>798</v>
      </c>
      <c r="K641" s="15" t="s">
        <v>798</v>
      </c>
      <c r="L641" s="12" t="s">
        <v>5315</v>
      </c>
      <c r="M641" s="13" t="s">
        <v>5481</v>
      </c>
      <c r="N641" s="12" t="s">
        <v>803</v>
      </c>
      <c r="O641" s="13" t="s">
        <v>5085</v>
      </c>
      <c r="P641" s="17" t="s">
        <v>802</v>
      </c>
      <c r="Q641" s="21" t="s">
        <v>7708</v>
      </c>
      <c r="R641" s="17" t="s">
        <v>801</v>
      </c>
      <c r="S641" s="18" t="s">
        <v>2584</v>
      </c>
      <c r="T641" s="17" t="s">
        <v>800</v>
      </c>
      <c r="U641" s="18" t="s">
        <v>5294</v>
      </c>
      <c r="V641" s="17" t="s">
        <v>9418</v>
      </c>
      <c r="W641" s="18" t="s">
        <v>5309</v>
      </c>
      <c r="X641" s="69" t="s">
        <v>9453</v>
      </c>
      <c r="Y641" s="70" t="s">
        <v>9462</v>
      </c>
      <c r="Z641" s="73" t="s">
        <v>9486</v>
      </c>
      <c r="AA641" s="74" t="s">
        <v>9504</v>
      </c>
      <c r="AB641" s="73" t="s">
        <v>9486</v>
      </c>
      <c r="AC641" s="74" t="s">
        <v>9566</v>
      </c>
      <c r="AD641" s="73" t="s">
        <v>9578</v>
      </c>
      <c r="AE641" s="74" t="s">
        <v>9579</v>
      </c>
    </row>
    <row r="642" spans="1:31" ht="8.65" customHeight="1" x14ac:dyDescent="0.2">
      <c r="A642" s="76">
        <v>642</v>
      </c>
      <c r="B642" s="67" t="str">
        <f>MID(C642, FIND("Ifc.", C642) + 4, 4) &amp; "_" &amp; TEXT(COUNTIF($C$2:C642, C642),"0000")</f>
        <v>Prop_0641</v>
      </c>
      <c r="C642" s="24" t="s">
        <v>872</v>
      </c>
      <c r="D642" s="69" t="s">
        <v>9453</v>
      </c>
      <c r="E642" s="70" t="s">
        <v>9454</v>
      </c>
      <c r="F642" s="17" t="s">
        <v>806</v>
      </c>
      <c r="G642" s="22" t="s">
        <v>1260</v>
      </c>
      <c r="H642" s="12" t="s">
        <v>9703</v>
      </c>
      <c r="I642" s="13" t="s">
        <v>6234</v>
      </c>
      <c r="J642" s="14" t="s">
        <v>798</v>
      </c>
      <c r="K642" s="15" t="s">
        <v>798</v>
      </c>
      <c r="L642" s="12" t="s">
        <v>5315</v>
      </c>
      <c r="M642" s="13" t="s">
        <v>5403</v>
      </c>
      <c r="N642" s="12" t="s">
        <v>803</v>
      </c>
      <c r="O642" s="13" t="s">
        <v>4891</v>
      </c>
      <c r="P642" s="17" t="s">
        <v>802</v>
      </c>
      <c r="Q642" s="21" t="s">
        <v>7789</v>
      </c>
      <c r="R642" s="17" t="s">
        <v>801</v>
      </c>
      <c r="S642" s="18" t="s">
        <v>2633</v>
      </c>
      <c r="T642" s="17" t="s">
        <v>800</v>
      </c>
      <c r="U642" s="18" t="s">
        <v>5275</v>
      </c>
      <c r="V642" s="17" t="s">
        <v>9418</v>
      </c>
      <c r="W642" s="18" t="s">
        <v>5312</v>
      </c>
      <c r="X642" s="69" t="s">
        <v>9453</v>
      </c>
      <c r="Y642" s="70" t="s">
        <v>9465</v>
      </c>
      <c r="Z642" s="73" t="s">
        <v>9486</v>
      </c>
      <c r="AA642" s="74" t="s">
        <v>9504</v>
      </c>
      <c r="AB642" s="73" t="s">
        <v>9486</v>
      </c>
      <c r="AC642" s="74" t="s">
        <v>9566</v>
      </c>
      <c r="AD642" s="73" t="s">
        <v>9578</v>
      </c>
      <c r="AE642" s="74" t="s">
        <v>9579</v>
      </c>
    </row>
    <row r="643" spans="1:31" ht="8.65" customHeight="1" x14ac:dyDescent="0.2">
      <c r="A643" s="76">
        <v>643</v>
      </c>
      <c r="B643" s="67" t="str">
        <f>MID(C643, FIND("Ifc.", C643) + 4, 4) &amp; "_" &amp; TEXT(COUNTIF($C$2:C643, C643),"0000")</f>
        <v>Prop_0642</v>
      </c>
      <c r="C643" s="24" t="s">
        <v>872</v>
      </c>
      <c r="D643" s="69" t="s">
        <v>9453</v>
      </c>
      <c r="E643" s="70" t="s">
        <v>9454</v>
      </c>
      <c r="F643" s="17" t="s">
        <v>806</v>
      </c>
      <c r="G643" s="22" t="s">
        <v>1731</v>
      </c>
      <c r="H643" s="12" t="s">
        <v>9703</v>
      </c>
      <c r="I643" s="13" t="s">
        <v>7019</v>
      </c>
      <c r="J643" s="14" t="s">
        <v>798</v>
      </c>
      <c r="K643" s="15" t="s">
        <v>798</v>
      </c>
      <c r="L643" s="12" t="s">
        <v>5315</v>
      </c>
      <c r="M643" s="13" t="s">
        <v>5931</v>
      </c>
      <c r="N643" s="12" t="s">
        <v>803</v>
      </c>
      <c r="O643" s="13" t="s">
        <v>5004</v>
      </c>
      <c r="P643" s="17" t="s">
        <v>802</v>
      </c>
      <c r="Q643" s="21" t="s">
        <v>7689</v>
      </c>
      <c r="R643" s="17" t="s">
        <v>801</v>
      </c>
      <c r="S643" s="18" t="s">
        <v>2611</v>
      </c>
      <c r="T643" s="17" t="s">
        <v>800</v>
      </c>
      <c r="U643" s="18" t="s">
        <v>5255</v>
      </c>
      <c r="V643" s="17" t="s">
        <v>9418</v>
      </c>
      <c r="W643" s="18" t="s">
        <v>5309</v>
      </c>
      <c r="X643" s="69" t="s">
        <v>9453</v>
      </c>
      <c r="Y643" s="70" t="s">
        <v>9462</v>
      </c>
      <c r="Z643" s="73" t="s">
        <v>9486</v>
      </c>
      <c r="AA643" s="74" t="s">
        <v>9504</v>
      </c>
      <c r="AB643" s="73" t="s">
        <v>9486</v>
      </c>
      <c r="AC643" s="74" t="s">
        <v>9566</v>
      </c>
      <c r="AD643" s="73" t="s">
        <v>9578</v>
      </c>
      <c r="AE643" s="74" t="s">
        <v>9579</v>
      </c>
    </row>
    <row r="644" spans="1:31" ht="8.65" customHeight="1" x14ac:dyDescent="0.2">
      <c r="A644" s="76">
        <v>644</v>
      </c>
      <c r="B644" s="67" t="str">
        <f>MID(C644, FIND("Ifc.", C644) + 4, 4) &amp; "_" &amp; TEXT(COUNTIF($C$2:C644, C644),"0000")</f>
        <v>Prop_0643</v>
      </c>
      <c r="C644" s="24" t="s">
        <v>872</v>
      </c>
      <c r="D644" s="69" t="s">
        <v>9453</v>
      </c>
      <c r="E644" s="70" t="s">
        <v>9454</v>
      </c>
      <c r="F644" s="17" t="s">
        <v>806</v>
      </c>
      <c r="G644" s="22" t="s">
        <v>2478</v>
      </c>
      <c r="H644" s="12" t="s">
        <v>9703</v>
      </c>
      <c r="I644" s="13" t="s">
        <v>7090</v>
      </c>
      <c r="J644" s="14" t="s">
        <v>798</v>
      </c>
      <c r="K644" s="15" t="s">
        <v>798</v>
      </c>
      <c r="L644" s="12" t="s">
        <v>5315</v>
      </c>
      <c r="M644" s="13" t="s">
        <v>5575</v>
      </c>
      <c r="N644" s="12" t="s">
        <v>803</v>
      </c>
      <c r="O644" s="13" t="s">
        <v>5213</v>
      </c>
      <c r="P644" s="17" t="s">
        <v>802</v>
      </c>
      <c r="Q644" s="21" t="s">
        <v>7690</v>
      </c>
      <c r="R644" s="17" t="s">
        <v>801</v>
      </c>
      <c r="S644" s="18" t="s">
        <v>2611</v>
      </c>
      <c r="T644" s="17" t="s">
        <v>800</v>
      </c>
      <c r="U644" s="18" t="s">
        <v>5255</v>
      </c>
      <c r="V644" s="17" t="s">
        <v>9418</v>
      </c>
      <c r="W644" s="18" t="s">
        <v>5309</v>
      </c>
      <c r="X644" s="69" t="s">
        <v>9453</v>
      </c>
      <c r="Y644" s="70" t="s">
        <v>9462</v>
      </c>
      <c r="Z644" s="73" t="s">
        <v>9486</v>
      </c>
      <c r="AA644" s="74" t="s">
        <v>9504</v>
      </c>
      <c r="AB644" s="73" t="s">
        <v>9486</v>
      </c>
      <c r="AC644" s="74" t="s">
        <v>9566</v>
      </c>
      <c r="AD644" s="73" t="s">
        <v>9578</v>
      </c>
      <c r="AE644" s="74" t="s">
        <v>9579</v>
      </c>
    </row>
    <row r="645" spans="1:31" ht="8.65" customHeight="1" x14ac:dyDescent="0.2">
      <c r="A645" s="76">
        <v>645</v>
      </c>
      <c r="B645" s="67" t="str">
        <f>MID(C645, FIND("Ifc.", C645) + 4, 4) &amp; "_" &amp; TEXT(COUNTIF($C$2:C645, C645),"0000")</f>
        <v>Prop_0644</v>
      </c>
      <c r="C645" s="24" t="s">
        <v>872</v>
      </c>
      <c r="D645" s="69" t="s">
        <v>9453</v>
      </c>
      <c r="E645" s="70" t="s">
        <v>9454</v>
      </c>
      <c r="F645" s="17" t="s">
        <v>806</v>
      </c>
      <c r="G645" s="22" t="s">
        <v>1446</v>
      </c>
      <c r="H645" s="12" t="s">
        <v>9703</v>
      </c>
      <c r="I645" s="13" t="s">
        <v>6339</v>
      </c>
      <c r="J645" s="14" t="s">
        <v>798</v>
      </c>
      <c r="K645" s="15" t="s">
        <v>798</v>
      </c>
      <c r="L645" s="12" t="s">
        <v>5315</v>
      </c>
      <c r="M645" s="13" t="s">
        <v>5436</v>
      </c>
      <c r="N645" s="12" t="s">
        <v>803</v>
      </c>
      <c r="O645" s="13" t="s">
        <v>4936</v>
      </c>
      <c r="P645" s="17" t="s">
        <v>802</v>
      </c>
      <c r="Q645" s="21" t="s">
        <v>7931</v>
      </c>
      <c r="R645" s="17" t="s">
        <v>801</v>
      </c>
      <c r="S645" s="18" t="s">
        <v>2562</v>
      </c>
      <c r="T645" s="17" t="s">
        <v>800</v>
      </c>
      <c r="U645" s="18" t="s">
        <v>5256</v>
      </c>
      <c r="V645" s="17" t="s">
        <v>9418</v>
      </c>
      <c r="W645" s="18" t="s">
        <v>5309</v>
      </c>
      <c r="X645" s="69" t="s">
        <v>9453</v>
      </c>
      <c r="Y645" s="70" t="s">
        <v>9462</v>
      </c>
      <c r="Z645" s="73" t="s">
        <v>9486</v>
      </c>
      <c r="AA645" s="74" t="s">
        <v>9504</v>
      </c>
      <c r="AB645" s="73" t="s">
        <v>9486</v>
      </c>
      <c r="AC645" s="74" t="s">
        <v>9562</v>
      </c>
      <c r="AD645" s="73" t="s">
        <v>9578</v>
      </c>
      <c r="AE645" s="74" t="s">
        <v>9579</v>
      </c>
    </row>
    <row r="646" spans="1:31" ht="8.65" customHeight="1" x14ac:dyDescent="0.2">
      <c r="A646" s="76">
        <v>646</v>
      </c>
      <c r="B646" s="67" t="str">
        <f>MID(C646, FIND("Ifc.", C646) + 4, 4) &amp; "_" &amp; TEXT(COUNTIF($C$2:C646, C646),"0000")</f>
        <v>Prop_0645</v>
      </c>
      <c r="C646" s="24" t="s">
        <v>872</v>
      </c>
      <c r="D646" s="69" t="s">
        <v>9453</v>
      </c>
      <c r="E646" s="70" t="s">
        <v>9454</v>
      </c>
      <c r="F646" s="17" t="s">
        <v>806</v>
      </c>
      <c r="G646" s="22" t="s">
        <v>1229</v>
      </c>
      <c r="H646" s="12" t="s">
        <v>9703</v>
      </c>
      <c r="I646" s="13" t="s">
        <v>6868</v>
      </c>
      <c r="J646" s="14" t="s">
        <v>798</v>
      </c>
      <c r="K646" s="15" t="s">
        <v>798</v>
      </c>
      <c r="L646" s="12" t="s">
        <v>5315</v>
      </c>
      <c r="M646" s="13" t="s">
        <v>5400</v>
      </c>
      <c r="N646" s="12" t="s">
        <v>803</v>
      </c>
      <c r="O646" s="13" t="s">
        <v>4888</v>
      </c>
      <c r="P646" s="17" t="s">
        <v>802</v>
      </c>
      <c r="Q646" s="21" t="s">
        <v>7777</v>
      </c>
      <c r="R646" s="17" t="s">
        <v>801</v>
      </c>
      <c r="S646" s="18" t="s">
        <v>2551</v>
      </c>
      <c r="T646" s="17" t="s">
        <v>800</v>
      </c>
      <c r="U646" s="18" t="s">
        <v>5272</v>
      </c>
      <c r="V646" s="17" t="s">
        <v>9418</v>
      </c>
      <c r="W646" s="18" t="s">
        <v>5309</v>
      </c>
      <c r="X646" s="69" t="s">
        <v>9453</v>
      </c>
      <c r="Y646" s="70" t="s">
        <v>9462</v>
      </c>
      <c r="Z646" s="73" t="s">
        <v>9486</v>
      </c>
      <c r="AA646" s="74" t="s">
        <v>9504</v>
      </c>
      <c r="AB646" s="73" t="s">
        <v>9486</v>
      </c>
      <c r="AC646" s="74" t="s">
        <v>9561</v>
      </c>
      <c r="AD646" s="73" t="s">
        <v>9578</v>
      </c>
      <c r="AE646" s="74" t="s">
        <v>9579</v>
      </c>
    </row>
    <row r="647" spans="1:31" ht="8.65" customHeight="1" x14ac:dyDescent="0.2">
      <c r="A647" s="76">
        <v>647</v>
      </c>
      <c r="B647" s="67" t="str">
        <f>MID(C647, FIND("Ifc.", C647) + 4, 4) &amp; "_" &amp; TEXT(COUNTIF($C$2:C647, C647),"0000")</f>
        <v>Prop_0646</v>
      </c>
      <c r="C647" s="24" t="s">
        <v>872</v>
      </c>
      <c r="D647" s="69" t="s">
        <v>9453</v>
      </c>
      <c r="E647" s="70" t="s">
        <v>9454</v>
      </c>
      <c r="F647" s="17" t="s">
        <v>806</v>
      </c>
      <c r="G647" s="22" t="s">
        <v>1228</v>
      </c>
      <c r="H647" s="12" t="s">
        <v>9703</v>
      </c>
      <c r="I647" s="13" t="s">
        <v>6867</v>
      </c>
      <c r="J647" s="14" t="s">
        <v>798</v>
      </c>
      <c r="K647" s="15" t="s">
        <v>798</v>
      </c>
      <c r="L647" s="12" t="s">
        <v>5315</v>
      </c>
      <c r="M647" s="13" t="s">
        <v>5400</v>
      </c>
      <c r="N647" s="12" t="s">
        <v>803</v>
      </c>
      <c r="O647" s="13" t="s">
        <v>4888</v>
      </c>
      <c r="P647" s="17" t="s">
        <v>802</v>
      </c>
      <c r="Q647" s="21" t="s">
        <v>7777</v>
      </c>
      <c r="R647" s="17" t="s">
        <v>801</v>
      </c>
      <c r="S647" s="18" t="s">
        <v>2551</v>
      </c>
      <c r="T647" s="17" t="s">
        <v>800</v>
      </c>
      <c r="U647" s="18" t="s">
        <v>5272</v>
      </c>
      <c r="V647" s="17" t="s">
        <v>9418</v>
      </c>
      <c r="W647" s="18" t="s">
        <v>5309</v>
      </c>
      <c r="X647" s="69" t="s">
        <v>9453</v>
      </c>
      <c r="Y647" s="70" t="s">
        <v>9462</v>
      </c>
      <c r="Z647" s="73" t="s">
        <v>9486</v>
      </c>
      <c r="AA647" s="74" t="s">
        <v>9504</v>
      </c>
      <c r="AB647" s="73" t="s">
        <v>9486</v>
      </c>
      <c r="AC647" s="74" t="s">
        <v>9561</v>
      </c>
      <c r="AD647" s="73" t="s">
        <v>9578</v>
      </c>
      <c r="AE647" s="74" t="s">
        <v>9579</v>
      </c>
    </row>
    <row r="648" spans="1:31" ht="8.65" customHeight="1" x14ac:dyDescent="0.2">
      <c r="A648" s="76">
        <v>648</v>
      </c>
      <c r="B648" s="67" t="str">
        <f>MID(C648, FIND("Ifc.", C648) + 4, 4) &amp; "_" &amp; TEXT(COUNTIF($C$2:C648, C648),"0000")</f>
        <v>Prop_0647</v>
      </c>
      <c r="C648" s="24" t="s">
        <v>872</v>
      </c>
      <c r="D648" s="69" t="s">
        <v>9453</v>
      </c>
      <c r="E648" s="70" t="s">
        <v>9454</v>
      </c>
      <c r="F648" s="17" t="s">
        <v>806</v>
      </c>
      <c r="G648" s="22" t="s">
        <v>1401</v>
      </c>
      <c r="H648" s="12" t="s">
        <v>9703</v>
      </c>
      <c r="I648" s="13" t="s">
        <v>7081</v>
      </c>
      <c r="J648" s="14" t="s">
        <v>798</v>
      </c>
      <c r="K648" s="15" t="s">
        <v>798</v>
      </c>
      <c r="L648" s="12" t="s">
        <v>5315</v>
      </c>
      <c r="M648" s="13" t="s">
        <v>6029</v>
      </c>
      <c r="N648" s="12" t="s">
        <v>803</v>
      </c>
      <c r="O648" s="13" t="s">
        <v>4867</v>
      </c>
      <c r="P648" s="17" t="s">
        <v>802</v>
      </c>
      <c r="Q648" s="21" t="s">
        <v>7932</v>
      </c>
      <c r="R648" s="17" t="s">
        <v>801</v>
      </c>
      <c r="S648" s="18" t="s">
        <v>2585</v>
      </c>
      <c r="T648" s="17" t="s">
        <v>800</v>
      </c>
      <c r="U648" s="18" t="s">
        <v>5238</v>
      </c>
      <c r="V648" s="17" t="s">
        <v>9418</v>
      </c>
      <c r="W648" s="18" t="s">
        <v>5309</v>
      </c>
      <c r="X648" s="69" t="s">
        <v>9453</v>
      </c>
      <c r="Y648" s="70" t="s">
        <v>9462</v>
      </c>
      <c r="Z648" s="73" t="s">
        <v>9486</v>
      </c>
      <c r="AA648" s="74" t="s">
        <v>9504</v>
      </c>
      <c r="AB648" s="73" t="s">
        <v>9486</v>
      </c>
      <c r="AC648" s="74" t="s">
        <v>9566</v>
      </c>
      <c r="AD648" s="73" t="s">
        <v>9578</v>
      </c>
      <c r="AE648" s="74" t="s">
        <v>9579</v>
      </c>
    </row>
    <row r="649" spans="1:31" ht="8.65" customHeight="1" x14ac:dyDescent="0.2">
      <c r="A649" s="76">
        <v>649</v>
      </c>
      <c r="B649" s="67" t="str">
        <f>MID(C649, FIND("Ifc.", C649) + 4, 4) &amp; "_" &amp; TEXT(COUNTIF($C$2:C649, C649),"0000")</f>
        <v>Prop_0648</v>
      </c>
      <c r="C649" s="24" t="s">
        <v>872</v>
      </c>
      <c r="D649" s="69" t="s">
        <v>9453</v>
      </c>
      <c r="E649" s="70" t="s">
        <v>9454</v>
      </c>
      <c r="F649" s="17" t="s">
        <v>806</v>
      </c>
      <c r="G649" s="22" t="s">
        <v>1986</v>
      </c>
      <c r="H649" s="12" t="s">
        <v>9703</v>
      </c>
      <c r="I649" s="13" t="s">
        <v>7039</v>
      </c>
      <c r="J649" s="14" t="s">
        <v>798</v>
      </c>
      <c r="K649" s="15" t="s">
        <v>798</v>
      </c>
      <c r="L649" s="12" t="s">
        <v>5315</v>
      </c>
      <c r="M649" s="13" t="s">
        <v>5974</v>
      </c>
      <c r="N649" s="12" t="s">
        <v>803</v>
      </c>
      <c r="O649" s="13" t="s">
        <v>5079</v>
      </c>
      <c r="P649" s="17" t="s">
        <v>802</v>
      </c>
      <c r="Q649" s="21" t="s">
        <v>7852</v>
      </c>
      <c r="R649" s="17" t="s">
        <v>801</v>
      </c>
      <c r="S649" s="18" t="s">
        <v>2585</v>
      </c>
      <c r="T649" s="17" t="s">
        <v>800</v>
      </c>
      <c r="U649" s="18" t="s">
        <v>5238</v>
      </c>
      <c r="V649" s="17" t="s">
        <v>9418</v>
      </c>
      <c r="W649" s="18" t="s">
        <v>5309</v>
      </c>
      <c r="X649" s="69" t="s">
        <v>9453</v>
      </c>
      <c r="Y649" s="70" t="s">
        <v>9462</v>
      </c>
      <c r="Z649" s="73" t="s">
        <v>9486</v>
      </c>
      <c r="AA649" s="74" t="s">
        <v>9504</v>
      </c>
      <c r="AB649" s="73" t="s">
        <v>9486</v>
      </c>
      <c r="AC649" s="74" t="s">
        <v>9566</v>
      </c>
      <c r="AD649" s="73" t="s">
        <v>9578</v>
      </c>
      <c r="AE649" s="74" t="s">
        <v>9579</v>
      </c>
    </row>
    <row r="650" spans="1:31" ht="8.65" customHeight="1" x14ac:dyDescent="0.2">
      <c r="A650" s="76">
        <v>650</v>
      </c>
      <c r="B650" s="67" t="str">
        <f>MID(C650, FIND("Ifc.", C650) + 4, 4) &amp; "_" &amp; TEXT(COUNTIF($C$2:C650, C650),"0000")</f>
        <v>Prop_0649</v>
      </c>
      <c r="C650" s="24" t="s">
        <v>872</v>
      </c>
      <c r="D650" s="69" t="s">
        <v>9453</v>
      </c>
      <c r="E650" s="70" t="s">
        <v>9454</v>
      </c>
      <c r="F650" s="17" t="s">
        <v>806</v>
      </c>
      <c r="G650" s="22" t="s">
        <v>2137</v>
      </c>
      <c r="H650" s="12" t="s">
        <v>9703</v>
      </c>
      <c r="I650" s="13" t="s">
        <v>6937</v>
      </c>
      <c r="J650" s="14" t="s">
        <v>798</v>
      </c>
      <c r="K650" s="15" t="s">
        <v>798</v>
      </c>
      <c r="L650" s="12" t="s">
        <v>5315</v>
      </c>
      <c r="M650" s="13" t="s">
        <v>5497</v>
      </c>
      <c r="N650" s="12" t="s">
        <v>803</v>
      </c>
      <c r="O650" s="13" t="s">
        <v>5111</v>
      </c>
      <c r="P650" s="17" t="s">
        <v>802</v>
      </c>
      <c r="Q650" s="21" t="s">
        <v>7851</v>
      </c>
      <c r="R650" s="17" t="s">
        <v>801</v>
      </c>
      <c r="S650" s="18" t="s">
        <v>2585</v>
      </c>
      <c r="T650" s="17" t="s">
        <v>800</v>
      </c>
      <c r="U650" s="18" t="s">
        <v>5238</v>
      </c>
      <c r="V650" s="17" t="s">
        <v>9418</v>
      </c>
      <c r="W650" s="18" t="s">
        <v>5309</v>
      </c>
      <c r="X650" s="69" t="s">
        <v>9453</v>
      </c>
      <c r="Y650" s="70" t="s">
        <v>9462</v>
      </c>
      <c r="Z650" s="73" t="s">
        <v>9486</v>
      </c>
      <c r="AA650" s="74" t="s">
        <v>9504</v>
      </c>
      <c r="AB650" s="73" t="s">
        <v>9486</v>
      </c>
      <c r="AC650" s="74" t="s">
        <v>9566</v>
      </c>
      <c r="AD650" s="73" t="s">
        <v>9578</v>
      </c>
      <c r="AE650" s="74" t="s">
        <v>9579</v>
      </c>
    </row>
    <row r="651" spans="1:31" ht="8.65" customHeight="1" x14ac:dyDescent="0.2">
      <c r="A651" s="76">
        <v>651</v>
      </c>
      <c r="B651" s="67" t="str">
        <f>MID(C651, FIND("Ifc.", C651) + 4, 4) &amp; "_" &amp; TEXT(COUNTIF($C$2:C651, C651),"0000")</f>
        <v>Prop_0650</v>
      </c>
      <c r="C651" s="24" t="s">
        <v>872</v>
      </c>
      <c r="D651" s="69" t="s">
        <v>9453</v>
      </c>
      <c r="E651" s="70" t="s">
        <v>9454</v>
      </c>
      <c r="F651" s="17" t="s">
        <v>806</v>
      </c>
      <c r="G651" s="22" t="s">
        <v>1159</v>
      </c>
      <c r="H651" s="12" t="s">
        <v>9703</v>
      </c>
      <c r="I651" s="13" t="s">
        <v>6979</v>
      </c>
      <c r="J651" s="14" t="s">
        <v>798</v>
      </c>
      <c r="K651" s="15" t="s">
        <v>798</v>
      </c>
      <c r="L651" s="12" t="s">
        <v>5315</v>
      </c>
      <c r="M651" s="13" t="s">
        <v>6044</v>
      </c>
      <c r="N651" s="12" t="s">
        <v>803</v>
      </c>
      <c r="O651" s="13" t="s">
        <v>4871</v>
      </c>
      <c r="P651" s="17" t="s">
        <v>802</v>
      </c>
      <c r="Q651" s="21" t="s">
        <v>7933</v>
      </c>
      <c r="R651" s="17" t="s">
        <v>801</v>
      </c>
      <c r="S651" s="18" t="s">
        <v>2585</v>
      </c>
      <c r="T651" s="17" t="s">
        <v>800</v>
      </c>
      <c r="U651" s="18" t="s">
        <v>5238</v>
      </c>
      <c r="V651" s="17" t="s">
        <v>9418</v>
      </c>
      <c r="W651" s="18" t="s">
        <v>5309</v>
      </c>
      <c r="X651" s="69" t="s">
        <v>9453</v>
      </c>
      <c r="Y651" s="70" t="s">
        <v>9462</v>
      </c>
      <c r="Z651" s="73" t="s">
        <v>9486</v>
      </c>
      <c r="AA651" s="74" t="s">
        <v>9504</v>
      </c>
      <c r="AB651" s="73" t="s">
        <v>9486</v>
      </c>
      <c r="AC651" s="74" t="s">
        <v>9566</v>
      </c>
      <c r="AD651" s="73" t="s">
        <v>9578</v>
      </c>
      <c r="AE651" s="74" t="s">
        <v>9579</v>
      </c>
    </row>
    <row r="652" spans="1:31" ht="8.65" customHeight="1" x14ac:dyDescent="0.2">
      <c r="A652" s="76">
        <v>652</v>
      </c>
      <c r="B652" s="67" t="str">
        <f>MID(C652, FIND("Ifc.", C652) + 4, 4) &amp; "_" &amp; TEXT(COUNTIF($C$2:C652, C652),"0000")</f>
        <v>Prop_0651</v>
      </c>
      <c r="C652" s="24" t="s">
        <v>872</v>
      </c>
      <c r="D652" s="69" t="s">
        <v>9453</v>
      </c>
      <c r="E652" s="70" t="s">
        <v>9454</v>
      </c>
      <c r="F652" s="17" t="s">
        <v>806</v>
      </c>
      <c r="G652" s="22" t="s">
        <v>1134</v>
      </c>
      <c r="H652" s="12" t="s">
        <v>9703</v>
      </c>
      <c r="I652" s="13" t="s">
        <v>6858</v>
      </c>
      <c r="J652" s="14" t="s">
        <v>798</v>
      </c>
      <c r="K652" s="15" t="s">
        <v>798</v>
      </c>
      <c r="L652" s="12" t="s">
        <v>5315</v>
      </c>
      <c r="M652" s="13" t="s">
        <v>6041</v>
      </c>
      <c r="N652" s="12" t="s">
        <v>803</v>
      </c>
      <c r="O652" s="13" t="s">
        <v>4862</v>
      </c>
      <c r="P652" s="17" t="s">
        <v>802</v>
      </c>
      <c r="Q652" s="21" t="s">
        <v>7795</v>
      </c>
      <c r="R652" s="17" t="s">
        <v>801</v>
      </c>
      <c r="S652" s="18" t="s">
        <v>2585</v>
      </c>
      <c r="T652" s="17" t="s">
        <v>800</v>
      </c>
      <c r="U652" s="18" t="s">
        <v>5238</v>
      </c>
      <c r="V652" s="17" t="s">
        <v>9418</v>
      </c>
      <c r="W652" s="18" t="s">
        <v>5309</v>
      </c>
      <c r="X652" s="69" t="s">
        <v>9453</v>
      </c>
      <c r="Y652" s="70" t="s">
        <v>9462</v>
      </c>
      <c r="Z652" s="73" t="s">
        <v>9486</v>
      </c>
      <c r="AA652" s="74" t="s">
        <v>9504</v>
      </c>
      <c r="AB652" s="73" t="s">
        <v>9486</v>
      </c>
      <c r="AC652" s="74" t="s">
        <v>9566</v>
      </c>
      <c r="AD652" s="73" t="s">
        <v>9578</v>
      </c>
      <c r="AE652" s="74" t="s">
        <v>9579</v>
      </c>
    </row>
    <row r="653" spans="1:31" ht="8.65" customHeight="1" x14ac:dyDescent="0.2">
      <c r="A653" s="76">
        <v>653</v>
      </c>
      <c r="B653" s="67" t="str">
        <f>MID(C653, FIND("Ifc.", C653) + 4, 4) &amp; "_" &amp; TEXT(COUNTIF($C$2:C653, C653),"0000")</f>
        <v>Prop_0652</v>
      </c>
      <c r="C653" s="24" t="s">
        <v>872</v>
      </c>
      <c r="D653" s="69" t="s">
        <v>9453</v>
      </c>
      <c r="E653" s="70" t="s">
        <v>9454</v>
      </c>
      <c r="F653" s="17" t="s">
        <v>806</v>
      </c>
      <c r="G653" s="22" t="s">
        <v>1134</v>
      </c>
      <c r="H653" s="12" t="s">
        <v>9703</v>
      </c>
      <c r="I653" s="13" t="s">
        <v>6858</v>
      </c>
      <c r="J653" s="14" t="s">
        <v>798</v>
      </c>
      <c r="K653" s="15" t="s">
        <v>798</v>
      </c>
      <c r="L653" s="12" t="s">
        <v>5315</v>
      </c>
      <c r="M653" s="13" t="s">
        <v>5962</v>
      </c>
      <c r="N653" s="12" t="s">
        <v>803</v>
      </c>
      <c r="O653" s="13" t="s">
        <v>5059</v>
      </c>
      <c r="P653" s="17" t="s">
        <v>802</v>
      </c>
      <c r="Q653" s="21" t="s">
        <v>7934</v>
      </c>
      <c r="R653" s="17" t="s">
        <v>801</v>
      </c>
      <c r="S653" s="18" t="s">
        <v>2585</v>
      </c>
      <c r="T653" s="17" t="s">
        <v>800</v>
      </c>
      <c r="U653" s="18" t="s">
        <v>5238</v>
      </c>
      <c r="V653" s="17" t="s">
        <v>9418</v>
      </c>
      <c r="W653" s="18" t="s">
        <v>5309</v>
      </c>
      <c r="X653" s="69" t="s">
        <v>9453</v>
      </c>
      <c r="Y653" s="70" t="s">
        <v>9462</v>
      </c>
      <c r="Z653" s="73" t="s">
        <v>9486</v>
      </c>
      <c r="AA653" s="74" t="s">
        <v>9504</v>
      </c>
      <c r="AB653" s="73" t="s">
        <v>9486</v>
      </c>
      <c r="AC653" s="74" t="s">
        <v>9566</v>
      </c>
      <c r="AD653" s="73" t="s">
        <v>9578</v>
      </c>
      <c r="AE653" s="74" t="s">
        <v>9579</v>
      </c>
    </row>
    <row r="654" spans="1:31" ht="8.65" customHeight="1" x14ac:dyDescent="0.2">
      <c r="A654" s="76">
        <v>654</v>
      </c>
      <c r="B654" s="67" t="str">
        <f>MID(C654, FIND("Ifc.", C654) + 4, 4) &amp; "_" &amp; TEXT(COUNTIF($C$2:C654, C654),"0000")</f>
        <v>Prop_0653</v>
      </c>
      <c r="C654" s="24" t="s">
        <v>872</v>
      </c>
      <c r="D654" s="69" t="s">
        <v>9453</v>
      </c>
      <c r="E654" s="70" t="s">
        <v>9454</v>
      </c>
      <c r="F654" s="17" t="s">
        <v>806</v>
      </c>
      <c r="G654" s="22" t="s">
        <v>1134</v>
      </c>
      <c r="H654" s="12" t="s">
        <v>9703</v>
      </c>
      <c r="I654" s="13" t="s">
        <v>6858</v>
      </c>
      <c r="J654" s="14" t="s">
        <v>798</v>
      </c>
      <c r="K654" s="15" t="s">
        <v>798</v>
      </c>
      <c r="L654" s="12" t="s">
        <v>5315</v>
      </c>
      <c r="M654" s="13" t="s">
        <v>5471</v>
      </c>
      <c r="N654" s="12" t="s">
        <v>803</v>
      </c>
      <c r="O654" s="13" t="s">
        <v>5063</v>
      </c>
      <c r="P654" s="17" t="s">
        <v>802</v>
      </c>
      <c r="Q654" s="21" t="s">
        <v>7738</v>
      </c>
      <c r="R654" s="17" t="s">
        <v>801</v>
      </c>
      <c r="S654" s="18" t="s">
        <v>2585</v>
      </c>
      <c r="T654" s="17" t="s">
        <v>800</v>
      </c>
      <c r="U654" s="18" t="s">
        <v>5238</v>
      </c>
      <c r="V654" s="17" t="s">
        <v>9418</v>
      </c>
      <c r="W654" s="18" t="s">
        <v>5309</v>
      </c>
      <c r="X654" s="69" t="s">
        <v>9453</v>
      </c>
      <c r="Y654" s="70" t="s">
        <v>9462</v>
      </c>
      <c r="Z654" s="73" t="s">
        <v>9486</v>
      </c>
      <c r="AA654" s="74" t="s">
        <v>9504</v>
      </c>
      <c r="AB654" s="73" t="s">
        <v>9486</v>
      </c>
      <c r="AC654" s="74" t="s">
        <v>9566</v>
      </c>
      <c r="AD654" s="73" t="s">
        <v>9578</v>
      </c>
      <c r="AE654" s="74" t="s">
        <v>9579</v>
      </c>
    </row>
    <row r="655" spans="1:31" ht="8.65" customHeight="1" x14ac:dyDescent="0.2">
      <c r="A655" s="76">
        <v>655</v>
      </c>
      <c r="B655" s="67" t="str">
        <f>MID(C655, FIND("Ifc.", C655) + 4, 4) &amp; "_" &amp; TEXT(COUNTIF($C$2:C655, C655),"0000")</f>
        <v>Prop_0654</v>
      </c>
      <c r="C655" s="24" t="s">
        <v>872</v>
      </c>
      <c r="D655" s="69" t="s">
        <v>9453</v>
      </c>
      <c r="E655" s="70" t="s">
        <v>9454</v>
      </c>
      <c r="F655" s="17" t="s">
        <v>806</v>
      </c>
      <c r="G655" s="22" t="s">
        <v>2390</v>
      </c>
      <c r="H655" s="12" t="s">
        <v>9703</v>
      </c>
      <c r="I655" s="13" t="s">
        <v>7083</v>
      </c>
      <c r="J655" s="14" t="s">
        <v>798</v>
      </c>
      <c r="K655" s="15" t="s">
        <v>798</v>
      </c>
      <c r="L655" s="12" t="s">
        <v>5315</v>
      </c>
      <c r="M655" s="13" t="s">
        <v>5784</v>
      </c>
      <c r="N655" s="12" t="s">
        <v>803</v>
      </c>
      <c r="O655" s="13" t="s">
        <v>5182</v>
      </c>
      <c r="P655" s="17" t="s">
        <v>802</v>
      </c>
      <c r="Q655" s="21" t="s">
        <v>7772</v>
      </c>
      <c r="R655" s="17" t="s">
        <v>801</v>
      </c>
      <c r="S655" s="18" t="s">
        <v>2585</v>
      </c>
      <c r="T655" s="17" t="s">
        <v>800</v>
      </c>
      <c r="U655" s="18" t="s">
        <v>5238</v>
      </c>
      <c r="V655" s="17" t="s">
        <v>9418</v>
      </c>
      <c r="W655" s="18" t="s">
        <v>5309</v>
      </c>
      <c r="X655" s="69" t="s">
        <v>9453</v>
      </c>
      <c r="Y655" s="70" t="s">
        <v>9462</v>
      </c>
      <c r="Z655" s="73" t="s">
        <v>9486</v>
      </c>
      <c r="AA655" s="74" t="s">
        <v>9504</v>
      </c>
      <c r="AB655" s="73" t="s">
        <v>9486</v>
      </c>
      <c r="AC655" s="74" t="s">
        <v>9566</v>
      </c>
      <c r="AD655" s="73" t="s">
        <v>9578</v>
      </c>
      <c r="AE655" s="74" t="s">
        <v>9579</v>
      </c>
    </row>
    <row r="656" spans="1:31" ht="8.65" customHeight="1" x14ac:dyDescent="0.2">
      <c r="A656" s="76">
        <v>656</v>
      </c>
      <c r="B656" s="67" t="str">
        <f>MID(C656, FIND("Ifc.", C656) + 4, 4) &amp; "_" &amp; TEXT(COUNTIF($C$2:C656, C656),"0000")</f>
        <v>Prop_0655</v>
      </c>
      <c r="C656" s="24" t="s">
        <v>872</v>
      </c>
      <c r="D656" s="69" t="s">
        <v>9453</v>
      </c>
      <c r="E656" s="70" t="s">
        <v>9454</v>
      </c>
      <c r="F656" s="17" t="s">
        <v>806</v>
      </c>
      <c r="G656" s="22" t="s">
        <v>1990</v>
      </c>
      <c r="H656" s="12" t="s">
        <v>9703</v>
      </c>
      <c r="I656" s="13" t="s">
        <v>7034</v>
      </c>
      <c r="J656" s="14" t="s">
        <v>798</v>
      </c>
      <c r="K656" s="15" t="s">
        <v>798</v>
      </c>
      <c r="L656" s="12" t="s">
        <v>5315</v>
      </c>
      <c r="M656" s="13" t="s">
        <v>5973</v>
      </c>
      <c r="N656" s="12" t="s">
        <v>803</v>
      </c>
      <c r="O656" s="13" t="s">
        <v>5080</v>
      </c>
      <c r="P656" s="17" t="s">
        <v>802</v>
      </c>
      <c r="Q656" s="21" t="s">
        <v>7853</v>
      </c>
      <c r="R656" s="17" t="s">
        <v>801</v>
      </c>
      <c r="S656" s="18" t="s">
        <v>2585</v>
      </c>
      <c r="T656" s="17" t="s">
        <v>800</v>
      </c>
      <c r="U656" s="18" t="s">
        <v>5238</v>
      </c>
      <c r="V656" s="17" t="s">
        <v>9418</v>
      </c>
      <c r="W656" s="18" t="s">
        <v>5309</v>
      </c>
      <c r="X656" s="69" t="s">
        <v>9453</v>
      </c>
      <c r="Y656" s="70" t="s">
        <v>9462</v>
      </c>
      <c r="Z656" s="73" t="s">
        <v>9486</v>
      </c>
      <c r="AA656" s="74" t="s">
        <v>9504</v>
      </c>
      <c r="AB656" s="73" t="s">
        <v>9486</v>
      </c>
      <c r="AC656" s="74" t="s">
        <v>9566</v>
      </c>
      <c r="AD656" s="73" t="s">
        <v>9578</v>
      </c>
      <c r="AE656" s="74" t="s">
        <v>9579</v>
      </c>
    </row>
    <row r="657" spans="1:31" ht="8.65" customHeight="1" x14ac:dyDescent="0.2">
      <c r="A657" s="76">
        <v>657</v>
      </c>
      <c r="B657" s="67" t="str">
        <f>MID(C657, FIND("Ifc.", C657) + 4, 4) &amp; "_" &amp; TEXT(COUNTIF($C$2:C657, C657),"0000")</f>
        <v>Prop_0656</v>
      </c>
      <c r="C657" s="24" t="s">
        <v>872</v>
      </c>
      <c r="D657" s="69" t="s">
        <v>9453</v>
      </c>
      <c r="E657" s="70" t="s">
        <v>9454</v>
      </c>
      <c r="F657" s="17" t="s">
        <v>806</v>
      </c>
      <c r="G657" s="22" t="s">
        <v>1402</v>
      </c>
      <c r="H657" s="12" t="s">
        <v>9703</v>
      </c>
      <c r="I657" s="13" t="s">
        <v>7082</v>
      </c>
      <c r="J657" s="14" t="s">
        <v>798</v>
      </c>
      <c r="K657" s="15" t="s">
        <v>798</v>
      </c>
      <c r="L657" s="12" t="s">
        <v>5315</v>
      </c>
      <c r="M657" s="13" t="s">
        <v>6029</v>
      </c>
      <c r="N657" s="12" t="s">
        <v>803</v>
      </c>
      <c r="O657" s="13" t="s">
        <v>4867</v>
      </c>
      <c r="P657" s="17" t="s">
        <v>802</v>
      </c>
      <c r="Q657" s="21" t="s">
        <v>7932</v>
      </c>
      <c r="R657" s="17" t="s">
        <v>801</v>
      </c>
      <c r="S657" s="18" t="s">
        <v>2585</v>
      </c>
      <c r="T657" s="17" t="s">
        <v>800</v>
      </c>
      <c r="U657" s="18" t="s">
        <v>5238</v>
      </c>
      <c r="V657" s="17" t="s">
        <v>9418</v>
      </c>
      <c r="W657" s="18" t="s">
        <v>5309</v>
      </c>
      <c r="X657" s="69" t="s">
        <v>9453</v>
      </c>
      <c r="Y657" s="70" t="s">
        <v>9462</v>
      </c>
      <c r="Z657" s="73" t="s">
        <v>9486</v>
      </c>
      <c r="AA657" s="74" t="s">
        <v>9504</v>
      </c>
      <c r="AB657" s="73" t="s">
        <v>9486</v>
      </c>
      <c r="AC657" s="74" t="s">
        <v>9566</v>
      </c>
      <c r="AD657" s="73" t="s">
        <v>9578</v>
      </c>
      <c r="AE657" s="74" t="s">
        <v>9579</v>
      </c>
    </row>
    <row r="658" spans="1:31" ht="8.65" customHeight="1" x14ac:dyDescent="0.2">
      <c r="A658" s="76">
        <v>658</v>
      </c>
      <c r="B658" s="67" t="str">
        <f>MID(C658, FIND("Ifc.", C658) + 4, 4) &amp; "_" &amp; TEXT(COUNTIF($C$2:C658, C658),"0000")</f>
        <v>Prop_0657</v>
      </c>
      <c r="C658" s="24" t="s">
        <v>872</v>
      </c>
      <c r="D658" s="69" t="s">
        <v>9453</v>
      </c>
      <c r="E658" s="70" t="s">
        <v>9454</v>
      </c>
      <c r="F658" s="17" t="s">
        <v>806</v>
      </c>
      <c r="G658" s="22" t="s">
        <v>2221</v>
      </c>
      <c r="H658" s="12" t="s">
        <v>9703</v>
      </c>
      <c r="I658" s="13" t="s">
        <v>7069</v>
      </c>
      <c r="J658" s="14" t="s">
        <v>798</v>
      </c>
      <c r="K658" s="15" t="s">
        <v>798</v>
      </c>
      <c r="L658" s="12" t="s">
        <v>5315</v>
      </c>
      <c r="M658" s="13" t="s">
        <v>5514</v>
      </c>
      <c r="N658" s="12" t="s">
        <v>803</v>
      </c>
      <c r="O658" s="13" t="s">
        <v>5128</v>
      </c>
      <c r="P658" s="17" t="s">
        <v>802</v>
      </c>
      <c r="Q658" s="21" t="s">
        <v>7773</v>
      </c>
      <c r="R658" s="17" t="s">
        <v>801</v>
      </c>
      <c r="S658" s="18" t="s">
        <v>2585</v>
      </c>
      <c r="T658" s="17" t="s">
        <v>800</v>
      </c>
      <c r="U658" s="18" t="s">
        <v>5238</v>
      </c>
      <c r="V658" s="17" t="s">
        <v>9418</v>
      </c>
      <c r="W658" s="18" t="s">
        <v>5309</v>
      </c>
      <c r="X658" s="69" t="s">
        <v>9453</v>
      </c>
      <c r="Y658" s="70" t="s">
        <v>9462</v>
      </c>
      <c r="Z658" s="73" t="s">
        <v>9486</v>
      </c>
      <c r="AA658" s="74" t="s">
        <v>9504</v>
      </c>
      <c r="AB658" s="73" t="s">
        <v>9486</v>
      </c>
      <c r="AC658" s="74" t="s">
        <v>9566</v>
      </c>
      <c r="AD658" s="73" t="s">
        <v>9578</v>
      </c>
      <c r="AE658" s="74" t="s">
        <v>9579</v>
      </c>
    </row>
    <row r="659" spans="1:31" ht="8.65" customHeight="1" x14ac:dyDescent="0.2">
      <c r="A659" s="76">
        <v>659</v>
      </c>
      <c r="B659" s="67" t="str">
        <f>MID(C659, FIND("Ifc.", C659) + 4, 4) &amp; "_" &amp; TEXT(COUNTIF($C$2:C659, C659),"0000")</f>
        <v>Prop_0658</v>
      </c>
      <c r="C659" s="24" t="s">
        <v>872</v>
      </c>
      <c r="D659" s="69" t="s">
        <v>9453</v>
      </c>
      <c r="E659" s="70" t="s">
        <v>9454</v>
      </c>
      <c r="F659" s="17" t="s">
        <v>806</v>
      </c>
      <c r="G659" s="22" t="s">
        <v>2221</v>
      </c>
      <c r="H659" s="12" t="s">
        <v>9703</v>
      </c>
      <c r="I659" s="13" t="s">
        <v>7069</v>
      </c>
      <c r="J659" s="14" t="s">
        <v>798</v>
      </c>
      <c r="K659" s="15" t="s">
        <v>798</v>
      </c>
      <c r="L659" s="12" t="s">
        <v>5315</v>
      </c>
      <c r="M659" s="13" t="s">
        <v>5509</v>
      </c>
      <c r="N659" s="12" t="s">
        <v>803</v>
      </c>
      <c r="O659" s="13" t="s">
        <v>5122</v>
      </c>
      <c r="P659" s="17" t="s">
        <v>802</v>
      </c>
      <c r="Q659" s="21" t="s">
        <v>7780</v>
      </c>
      <c r="R659" s="17" t="s">
        <v>801</v>
      </c>
      <c r="S659" s="18" t="s">
        <v>2585</v>
      </c>
      <c r="T659" s="17" t="s">
        <v>800</v>
      </c>
      <c r="U659" s="18" t="s">
        <v>5238</v>
      </c>
      <c r="V659" s="17" t="s">
        <v>9418</v>
      </c>
      <c r="W659" s="18" t="s">
        <v>5309</v>
      </c>
      <c r="X659" s="69" t="s">
        <v>9453</v>
      </c>
      <c r="Y659" s="70" t="s">
        <v>9462</v>
      </c>
      <c r="Z659" s="73" t="s">
        <v>9486</v>
      </c>
      <c r="AA659" s="74" t="s">
        <v>9504</v>
      </c>
      <c r="AB659" s="73" t="s">
        <v>9486</v>
      </c>
      <c r="AC659" s="74" t="s">
        <v>9566</v>
      </c>
      <c r="AD659" s="73" t="s">
        <v>9578</v>
      </c>
      <c r="AE659" s="74" t="s">
        <v>9579</v>
      </c>
    </row>
    <row r="660" spans="1:31" ht="8.65" customHeight="1" x14ac:dyDescent="0.2">
      <c r="A660" s="76">
        <v>660</v>
      </c>
      <c r="B660" s="67" t="str">
        <f>MID(C660, FIND("Ifc.", C660) + 4, 4) &amp; "_" &amp; TEXT(COUNTIF($C$2:C660, C660),"0000")</f>
        <v>Prop_0659</v>
      </c>
      <c r="C660" s="24" t="s">
        <v>872</v>
      </c>
      <c r="D660" s="69" t="s">
        <v>9453</v>
      </c>
      <c r="E660" s="70" t="s">
        <v>9454</v>
      </c>
      <c r="F660" s="17" t="s">
        <v>806</v>
      </c>
      <c r="G660" s="22" t="s">
        <v>2082</v>
      </c>
      <c r="H660" s="12" t="s">
        <v>9703</v>
      </c>
      <c r="I660" s="13" t="s">
        <v>6192</v>
      </c>
      <c r="J660" s="14" t="s">
        <v>798</v>
      </c>
      <c r="K660" s="15" t="s">
        <v>798</v>
      </c>
      <c r="L660" s="12" t="s">
        <v>5315</v>
      </c>
      <c r="M660" s="13" t="s">
        <v>5979</v>
      </c>
      <c r="N660" s="12" t="s">
        <v>803</v>
      </c>
      <c r="O660" s="13" t="s">
        <v>5094</v>
      </c>
      <c r="P660" s="17" t="s">
        <v>802</v>
      </c>
      <c r="Q660" s="21" t="s">
        <v>7876</v>
      </c>
      <c r="R660" s="17" t="s">
        <v>801</v>
      </c>
      <c r="S660" s="18" t="s">
        <v>2585</v>
      </c>
      <c r="T660" s="17" t="s">
        <v>800</v>
      </c>
      <c r="U660" s="18" t="s">
        <v>5238</v>
      </c>
      <c r="V660" s="17" t="s">
        <v>9418</v>
      </c>
      <c r="W660" s="18" t="s">
        <v>5309</v>
      </c>
      <c r="X660" s="69" t="s">
        <v>9453</v>
      </c>
      <c r="Y660" s="70" t="s">
        <v>9462</v>
      </c>
      <c r="Z660" s="73" t="s">
        <v>9486</v>
      </c>
      <c r="AA660" s="74" t="s">
        <v>9504</v>
      </c>
      <c r="AB660" s="73" t="s">
        <v>9486</v>
      </c>
      <c r="AC660" s="74" t="s">
        <v>9566</v>
      </c>
      <c r="AD660" s="73" t="s">
        <v>9578</v>
      </c>
      <c r="AE660" s="74" t="s">
        <v>9579</v>
      </c>
    </row>
    <row r="661" spans="1:31" ht="8.65" customHeight="1" x14ac:dyDescent="0.2">
      <c r="A661" s="76">
        <v>661</v>
      </c>
      <c r="B661" s="67" t="str">
        <f>MID(C661, FIND("Ifc.", C661) + 4, 4) &amp; "_" &amp; TEXT(COUNTIF($C$2:C661, C661),"0000")</f>
        <v>Prop_0660</v>
      </c>
      <c r="C661" s="24" t="s">
        <v>872</v>
      </c>
      <c r="D661" s="69" t="s">
        <v>9453</v>
      </c>
      <c r="E661" s="70" t="s">
        <v>9454</v>
      </c>
      <c r="F661" s="17" t="s">
        <v>806</v>
      </c>
      <c r="G661" s="22" t="s">
        <v>2082</v>
      </c>
      <c r="H661" s="12" t="s">
        <v>9703</v>
      </c>
      <c r="I661" s="13" t="s">
        <v>6192</v>
      </c>
      <c r="J661" s="14" t="s">
        <v>798</v>
      </c>
      <c r="K661" s="15" t="s">
        <v>798</v>
      </c>
      <c r="L661" s="12" t="s">
        <v>5315</v>
      </c>
      <c r="M661" s="13" t="s">
        <v>5519</v>
      </c>
      <c r="N661" s="12" t="s">
        <v>803</v>
      </c>
      <c r="O661" s="13" t="s">
        <v>5134</v>
      </c>
      <c r="P661" s="17" t="s">
        <v>802</v>
      </c>
      <c r="Q661" s="21" t="s">
        <v>7935</v>
      </c>
      <c r="R661" s="17" t="s">
        <v>801</v>
      </c>
      <c r="S661" s="18" t="s">
        <v>2585</v>
      </c>
      <c r="T661" s="17" t="s">
        <v>800</v>
      </c>
      <c r="U661" s="18" t="s">
        <v>5238</v>
      </c>
      <c r="V661" s="17" t="s">
        <v>9418</v>
      </c>
      <c r="W661" s="18" t="s">
        <v>5309</v>
      </c>
      <c r="X661" s="69" t="s">
        <v>9453</v>
      </c>
      <c r="Y661" s="70" t="s">
        <v>9462</v>
      </c>
      <c r="Z661" s="73" t="s">
        <v>9486</v>
      </c>
      <c r="AA661" s="74" t="s">
        <v>9504</v>
      </c>
      <c r="AB661" s="73" t="s">
        <v>9486</v>
      </c>
      <c r="AC661" s="74" t="s">
        <v>9566</v>
      </c>
      <c r="AD661" s="73" t="s">
        <v>9578</v>
      </c>
      <c r="AE661" s="74" t="s">
        <v>9579</v>
      </c>
    </row>
    <row r="662" spans="1:31" ht="8.65" customHeight="1" x14ac:dyDescent="0.2">
      <c r="A662" s="76">
        <v>662</v>
      </c>
      <c r="B662" s="67" t="str">
        <f>MID(C662, FIND("Ifc.", C662) + 4, 4) &amp; "_" &amp; TEXT(COUNTIF($C$2:C662, C662),"0000")</f>
        <v>Prop_0661</v>
      </c>
      <c r="C662" s="24" t="s">
        <v>872</v>
      </c>
      <c r="D662" s="69" t="s">
        <v>9453</v>
      </c>
      <c r="E662" s="70" t="s">
        <v>9454</v>
      </c>
      <c r="F662" s="17" t="s">
        <v>806</v>
      </c>
      <c r="G662" s="22" t="s">
        <v>2286</v>
      </c>
      <c r="H662" s="12" t="s">
        <v>9703</v>
      </c>
      <c r="I662" s="13" t="s">
        <v>6192</v>
      </c>
      <c r="J662" s="14" t="s">
        <v>798</v>
      </c>
      <c r="K662" s="15" t="s">
        <v>798</v>
      </c>
      <c r="L662" s="12" t="s">
        <v>5315</v>
      </c>
      <c r="M662" s="13" t="s">
        <v>5550</v>
      </c>
      <c r="N662" s="12" t="s">
        <v>803</v>
      </c>
      <c r="O662" s="13" t="s">
        <v>5162</v>
      </c>
      <c r="P662" s="17" t="s">
        <v>802</v>
      </c>
      <c r="Q662" s="21" t="s">
        <v>7870</v>
      </c>
      <c r="R662" s="17" t="s">
        <v>801</v>
      </c>
      <c r="S662" s="18" t="s">
        <v>2585</v>
      </c>
      <c r="T662" s="17" t="s">
        <v>800</v>
      </c>
      <c r="U662" s="18" t="s">
        <v>5238</v>
      </c>
      <c r="V662" s="17" t="s">
        <v>9418</v>
      </c>
      <c r="W662" s="18" t="s">
        <v>5309</v>
      </c>
      <c r="X662" s="69" t="s">
        <v>9453</v>
      </c>
      <c r="Y662" s="70" t="s">
        <v>9462</v>
      </c>
      <c r="Z662" s="73" t="s">
        <v>9486</v>
      </c>
      <c r="AA662" s="74" t="s">
        <v>9504</v>
      </c>
      <c r="AB662" s="73" t="s">
        <v>9486</v>
      </c>
      <c r="AC662" s="74" t="s">
        <v>9566</v>
      </c>
      <c r="AD662" s="73" t="s">
        <v>9578</v>
      </c>
      <c r="AE662" s="74" t="s">
        <v>9579</v>
      </c>
    </row>
    <row r="663" spans="1:31" ht="8.65" customHeight="1" x14ac:dyDescent="0.2">
      <c r="A663" s="76">
        <v>663</v>
      </c>
      <c r="B663" s="67" t="str">
        <f>MID(C663, FIND("Ifc.", C663) + 4, 4) &amp; "_" &amp; TEXT(COUNTIF($C$2:C663, C663),"0000")</f>
        <v>Prop_0662</v>
      </c>
      <c r="C663" s="24" t="s">
        <v>872</v>
      </c>
      <c r="D663" s="69" t="s">
        <v>9453</v>
      </c>
      <c r="E663" s="70" t="s">
        <v>9454</v>
      </c>
      <c r="F663" s="17" t="s">
        <v>806</v>
      </c>
      <c r="G663" s="22" t="s">
        <v>2299</v>
      </c>
      <c r="H663" s="12" t="s">
        <v>9703</v>
      </c>
      <c r="I663" s="13" t="s">
        <v>6712</v>
      </c>
      <c r="J663" s="14" t="s">
        <v>798</v>
      </c>
      <c r="K663" s="15" t="s">
        <v>798</v>
      </c>
      <c r="L663" s="12" t="s">
        <v>5315</v>
      </c>
      <c r="M663" s="13" t="s">
        <v>5551</v>
      </c>
      <c r="N663" s="12" t="s">
        <v>803</v>
      </c>
      <c r="O663" s="13" t="s">
        <v>5164</v>
      </c>
      <c r="P663" s="17" t="s">
        <v>802</v>
      </c>
      <c r="Q663" s="21" t="s">
        <v>7871</v>
      </c>
      <c r="R663" s="17" t="s">
        <v>801</v>
      </c>
      <c r="S663" s="18" t="s">
        <v>2583</v>
      </c>
      <c r="T663" s="17" t="s">
        <v>800</v>
      </c>
      <c r="U663" s="18" t="s">
        <v>5251</v>
      </c>
      <c r="V663" s="17" t="s">
        <v>9418</v>
      </c>
      <c r="W663" s="18" t="s">
        <v>5309</v>
      </c>
      <c r="X663" s="69" t="s">
        <v>9453</v>
      </c>
      <c r="Y663" s="70" t="s">
        <v>9462</v>
      </c>
      <c r="Z663" s="73" t="s">
        <v>9486</v>
      </c>
      <c r="AA663" s="74" t="s">
        <v>9504</v>
      </c>
      <c r="AB663" s="73" t="s">
        <v>9486</v>
      </c>
      <c r="AC663" s="74" t="s">
        <v>9566</v>
      </c>
      <c r="AD663" s="73" t="s">
        <v>9578</v>
      </c>
      <c r="AE663" s="74" t="s">
        <v>9579</v>
      </c>
    </row>
    <row r="664" spans="1:31" ht="8.65" customHeight="1" x14ac:dyDescent="0.2">
      <c r="A664" s="76">
        <v>664</v>
      </c>
      <c r="B664" s="67" t="str">
        <f>MID(C664, FIND("Ifc.", C664) + 4, 4) &amp; "_" &amp; TEXT(COUNTIF($C$2:C664, C664),"0000")</f>
        <v>Prop_0663</v>
      </c>
      <c r="C664" s="24" t="s">
        <v>872</v>
      </c>
      <c r="D664" s="69" t="s">
        <v>9453</v>
      </c>
      <c r="E664" s="70" t="s">
        <v>9454</v>
      </c>
      <c r="F664" s="17" t="s">
        <v>806</v>
      </c>
      <c r="G664" s="22" t="s">
        <v>2081</v>
      </c>
      <c r="H664" s="12" t="s">
        <v>9703</v>
      </c>
      <c r="I664" s="13" t="s">
        <v>6191</v>
      </c>
      <c r="J664" s="14" t="s">
        <v>798</v>
      </c>
      <c r="K664" s="15" t="s">
        <v>798</v>
      </c>
      <c r="L664" s="12" t="s">
        <v>5315</v>
      </c>
      <c r="M664" s="13" t="s">
        <v>5979</v>
      </c>
      <c r="N664" s="12" t="s">
        <v>803</v>
      </c>
      <c r="O664" s="13" t="s">
        <v>5094</v>
      </c>
      <c r="P664" s="17" t="s">
        <v>802</v>
      </c>
      <c r="Q664" s="21" t="s">
        <v>7876</v>
      </c>
      <c r="R664" s="17" t="s">
        <v>801</v>
      </c>
      <c r="S664" s="18" t="s">
        <v>2585</v>
      </c>
      <c r="T664" s="17" t="s">
        <v>800</v>
      </c>
      <c r="U664" s="18" t="s">
        <v>5238</v>
      </c>
      <c r="V664" s="17" t="s">
        <v>9418</v>
      </c>
      <c r="W664" s="18" t="s">
        <v>5309</v>
      </c>
      <c r="X664" s="69" t="s">
        <v>9453</v>
      </c>
      <c r="Y664" s="70" t="s">
        <v>9462</v>
      </c>
      <c r="Z664" s="73" t="s">
        <v>9486</v>
      </c>
      <c r="AA664" s="74" t="s">
        <v>9504</v>
      </c>
      <c r="AB664" s="73" t="s">
        <v>9486</v>
      </c>
      <c r="AC664" s="74" t="s">
        <v>9566</v>
      </c>
      <c r="AD664" s="73" t="s">
        <v>9578</v>
      </c>
      <c r="AE664" s="74" t="s">
        <v>9579</v>
      </c>
    </row>
    <row r="665" spans="1:31" ht="8.65" customHeight="1" x14ac:dyDescent="0.2">
      <c r="A665" s="76">
        <v>665</v>
      </c>
      <c r="B665" s="67" t="str">
        <f>MID(C665, FIND("Ifc.", C665) + 4, 4) &amp; "_" &amp; TEXT(COUNTIF($C$2:C665, C665),"0000")</f>
        <v>Prop_0664</v>
      </c>
      <c r="C665" s="24" t="s">
        <v>872</v>
      </c>
      <c r="D665" s="69" t="s">
        <v>9453</v>
      </c>
      <c r="E665" s="70" t="s">
        <v>9454</v>
      </c>
      <c r="F665" s="17" t="s">
        <v>806</v>
      </c>
      <c r="G665" s="22" t="s">
        <v>2081</v>
      </c>
      <c r="H665" s="12" t="s">
        <v>9703</v>
      </c>
      <c r="I665" s="13" t="s">
        <v>6191</v>
      </c>
      <c r="J665" s="14" t="s">
        <v>798</v>
      </c>
      <c r="K665" s="15" t="s">
        <v>798</v>
      </c>
      <c r="L665" s="12" t="s">
        <v>5315</v>
      </c>
      <c r="M665" s="13" t="s">
        <v>5519</v>
      </c>
      <c r="N665" s="12" t="s">
        <v>803</v>
      </c>
      <c r="O665" s="13" t="s">
        <v>5134</v>
      </c>
      <c r="P665" s="17" t="s">
        <v>802</v>
      </c>
      <c r="Q665" s="21" t="s">
        <v>7935</v>
      </c>
      <c r="R665" s="17" t="s">
        <v>801</v>
      </c>
      <c r="S665" s="18" t="s">
        <v>2585</v>
      </c>
      <c r="T665" s="17" t="s">
        <v>800</v>
      </c>
      <c r="U665" s="18" t="s">
        <v>5238</v>
      </c>
      <c r="V665" s="17" t="s">
        <v>9418</v>
      </c>
      <c r="W665" s="18" t="s">
        <v>5309</v>
      </c>
      <c r="X665" s="69" t="s">
        <v>9453</v>
      </c>
      <c r="Y665" s="70" t="s">
        <v>9462</v>
      </c>
      <c r="Z665" s="73" t="s">
        <v>9486</v>
      </c>
      <c r="AA665" s="74" t="s">
        <v>9504</v>
      </c>
      <c r="AB665" s="73" t="s">
        <v>9486</v>
      </c>
      <c r="AC665" s="74" t="s">
        <v>9566</v>
      </c>
      <c r="AD665" s="73" t="s">
        <v>9578</v>
      </c>
      <c r="AE665" s="74" t="s">
        <v>9579</v>
      </c>
    </row>
    <row r="666" spans="1:31" ht="8.65" customHeight="1" x14ac:dyDescent="0.2">
      <c r="A666" s="76">
        <v>666</v>
      </c>
      <c r="B666" s="67" t="str">
        <f>MID(C666, FIND("Ifc.", C666) + 4, 4) &amp; "_" &amp; TEXT(COUNTIF($C$2:C666, C666),"0000")</f>
        <v>Prop_0665</v>
      </c>
      <c r="C666" s="24" t="s">
        <v>872</v>
      </c>
      <c r="D666" s="69" t="s">
        <v>9453</v>
      </c>
      <c r="E666" s="70" t="s">
        <v>9454</v>
      </c>
      <c r="F666" s="17" t="s">
        <v>806</v>
      </c>
      <c r="G666" s="22" t="s">
        <v>2285</v>
      </c>
      <c r="H666" s="12" t="s">
        <v>9703</v>
      </c>
      <c r="I666" s="13" t="s">
        <v>6191</v>
      </c>
      <c r="J666" s="14" t="s">
        <v>798</v>
      </c>
      <c r="K666" s="15" t="s">
        <v>798</v>
      </c>
      <c r="L666" s="12" t="s">
        <v>5315</v>
      </c>
      <c r="M666" s="13" t="s">
        <v>5550</v>
      </c>
      <c r="N666" s="12" t="s">
        <v>803</v>
      </c>
      <c r="O666" s="13" t="s">
        <v>5162</v>
      </c>
      <c r="P666" s="17" t="s">
        <v>802</v>
      </c>
      <c r="Q666" s="21" t="s">
        <v>7870</v>
      </c>
      <c r="R666" s="17" t="s">
        <v>801</v>
      </c>
      <c r="S666" s="18" t="s">
        <v>2585</v>
      </c>
      <c r="T666" s="17" t="s">
        <v>800</v>
      </c>
      <c r="U666" s="18" t="s">
        <v>5238</v>
      </c>
      <c r="V666" s="17" t="s">
        <v>9418</v>
      </c>
      <c r="W666" s="18" t="s">
        <v>5309</v>
      </c>
      <c r="X666" s="69" t="s">
        <v>9453</v>
      </c>
      <c r="Y666" s="70" t="s">
        <v>9462</v>
      </c>
      <c r="Z666" s="73" t="s">
        <v>9486</v>
      </c>
      <c r="AA666" s="74" t="s">
        <v>9504</v>
      </c>
      <c r="AB666" s="73" t="s">
        <v>9486</v>
      </c>
      <c r="AC666" s="74" t="s">
        <v>9566</v>
      </c>
      <c r="AD666" s="73" t="s">
        <v>9578</v>
      </c>
      <c r="AE666" s="74" t="s">
        <v>9579</v>
      </c>
    </row>
    <row r="667" spans="1:31" ht="8.65" customHeight="1" x14ac:dyDescent="0.2">
      <c r="A667" s="76">
        <v>667</v>
      </c>
      <c r="B667" s="67" t="str">
        <f>MID(C667, FIND("Ifc.", C667) + 4, 4) &amp; "_" &amp; TEXT(COUNTIF($C$2:C667, C667),"0000")</f>
        <v>Prop_0666</v>
      </c>
      <c r="C667" s="24" t="s">
        <v>872</v>
      </c>
      <c r="D667" s="69" t="s">
        <v>9453</v>
      </c>
      <c r="E667" s="70" t="s">
        <v>9454</v>
      </c>
      <c r="F667" s="17" t="s">
        <v>806</v>
      </c>
      <c r="G667" s="22" t="s">
        <v>1438</v>
      </c>
      <c r="H667" s="12" t="s">
        <v>9703</v>
      </c>
      <c r="I667" s="13" t="s">
        <v>6333</v>
      </c>
      <c r="J667" s="14" t="s">
        <v>798</v>
      </c>
      <c r="K667" s="15" t="s">
        <v>798</v>
      </c>
      <c r="L667" s="12" t="s">
        <v>5315</v>
      </c>
      <c r="M667" s="13" t="s">
        <v>5436</v>
      </c>
      <c r="N667" s="12" t="s">
        <v>803</v>
      </c>
      <c r="O667" s="13" t="s">
        <v>4936</v>
      </c>
      <c r="P667" s="17" t="s">
        <v>802</v>
      </c>
      <c r="Q667" s="21" t="s">
        <v>7931</v>
      </c>
      <c r="R667" s="17" t="s">
        <v>801</v>
      </c>
      <c r="S667" s="18" t="s">
        <v>2585</v>
      </c>
      <c r="T667" s="17" t="s">
        <v>800</v>
      </c>
      <c r="U667" s="18" t="s">
        <v>5238</v>
      </c>
      <c r="V667" s="17" t="s">
        <v>9418</v>
      </c>
      <c r="W667" s="18" t="s">
        <v>5309</v>
      </c>
      <c r="X667" s="69" t="s">
        <v>9453</v>
      </c>
      <c r="Y667" s="70" t="s">
        <v>9462</v>
      </c>
      <c r="Z667" s="73" t="s">
        <v>9486</v>
      </c>
      <c r="AA667" s="74" t="s">
        <v>9504</v>
      </c>
      <c r="AB667" s="73" t="s">
        <v>9486</v>
      </c>
      <c r="AC667" s="74" t="s">
        <v>9566</v>
      </c>
      <c r="AD667" s="73" t="s">
        <v>9578</v>
      </c>
      <c r="AE667" s="74" t="s">
        <v>9579</v>
      </c>
    </row>
    <row r="668" spans="1:31" ht="8.65" customHeight="1" x14ac:dyDescent="0.2">
      <c r="A668" s="76">
        <v>668</v>
      </c>
      <c r="B668" s="67" t="str">
        <f>MID(C668, FIND("Ifc.", C668) + 4, 4) &amp; "_" &amp; TEXT(COUNTIF($C$2:C668, C668),"0000")</f>
        <v>Prop_0667</v>
      </c>
      <c r="C668" s="24" t="s">
        <v>872</v>
      </c>
      <c r="D668" s="69" t="s">
        <v>9453</v>
      </c>
      <c r="E668" s="70" t="s">
        <v>9454</v>
      </c>
      <c r="F668" s="17" t="s">
        <v>806</v>
      </c>
      <c r="G668" s="22" t="s">
        <v>2148</v>
      </c>
      <c r="H668" s="12" t="s">
        <v>9703</v>
      </c>
      <c r="I668" s="13" t="s">
        <v>7060</v>
      </c>
      <c r="J668" s="14" t="s">
        <v>798</v>
      </c>
      <c r="K668" s="15" t="s">
        <v>798</v>
      </c>
      <c r="L668" s="12" t="s">
        <v>5315</v>
      </c>
      <c r="M668" s="13" t="s">
        <v>5498</v>
      </c>
      <c r="N668" s="12" t="s">
        <v>803</v>
      </c>
      <c r="O668" s="13" t="s">
        <v>5112</v>
      </c>
      <c r="P668" s="17" t="s">
        <v>802</v>
      </c>
      <c r="Q668" s="21" t="s">
        <v>7680</v>
      </c>
      <c r="R668" s="17" t="s">
        <v>801</v>
      </c>
      <c r="S668" s="18" t="s">
        <v>2585</v>
      </c>
      <c r="T668" s="17" t="s">
        <v>800</v>
      </c>
      <c r="U668" s="18" t="s">
        <v>5238</v>
      </c>
      <c r="V668" s="17" t="s">
        <v>9418</v>
      </c>
      <c r="W668" s="18" t="s">
        <v>5309</v>
      </c>
      <c r="X668" s="69" t="s">
        <v>9453</v>
      </c>
      <c r="Y668" s="70" t="s">
        <v>9462</v>
      </c>
      <c r="Z668" s="73" t="s">
        <v>9486</v>
      </c>
      <c r="AA668" s="74" t="s">
        <v>9504</v>
      </c>
      <c r="AB668" s="73" t="s">
        <v>9486</v>
      </c>
      <c r="AC668" s="74" t="s">
        <v>9566</v>
      </c>
      <c r="AD668" s="73" t="s">
        <v>9578</v>
      </c>
      <c r="AE668" s="74" t="s">
        <v>9704</v>
      </c>
    </row>
    <row r="669" spans="1:31" ht="8.65" customHeight="1" x14ac:dyDescent="0.2">
      <c r="A669" s="76">
        <v>669</v>
      </c>
      <c r="B669" s="67" t="str">
        <f>MID(C669, FIND("Ifc.", C669) + 4, 4) &amp; "_" &amp; TEXT(COUNTIF($C$2:C669, C669),"0000")</f>
        <v>Prop_0668</v>
      </c>
      <c r="C669" s="24" t="s">
        <v>872</v>
      </c>
      <c r="D669" s="69" t="s">
        <v>9453</v>
      </c>
      <c r="E669" s="70" t="s">
        <v>9454</v>
      </c>
      <c r="F669" s="17" t="s">
        <v>806</v>
      </c>
      <c r="G669" s="22" t="s">
        <v>2150</v>
      </c>
      <c r="H669" s="12" t="s">
        <v>9703</v>
      </c>
      <c r="I669" s="13" t="s">
        <v>7061</v>
      </c>
      <c r="J669" s="14" t="s">
        <v>798</v>
      </c>
      <c r="K669" s="15" t="s">
        <v>798</v>
      </c>
      <c r="L669" s="12" t="s">
        <v>5315</v>
      </c>
      <c r="M669" s="13" t="s">
        <v>5498</v>
      </c>
      <c r="N669" s="12" t="s">
        <v>803</v>
      </c>
      <c r="O669" s="13" t="s">
        <v>5112</v>
      </c>
      <c r="P669" s="17" t="s">
        <v>802</v>
      </c>
      <c r="Q669" s="21" t="s">
        <v>7680</v>
      </c>
      <c r="R669" s="17" t="s">
        <v>801</v>
      </c>
      <c r="S669" s="18" t="s">
        <v>2585</v>
      </c>
      <c r="T669" s="17" t="s">
        <v>800</v>
      </c>
      <c r="U669" s="18" t="s">
        <v>5238</v>
      </c>
      <c r="V669" s="17" t="s">
        <v>9418</v>
      </c>
      <c r="W669" s="18" t="s">
        <v>5309</v>
      </c>
      <c r="X669" s="69" t="s">
        <v>9453</v>
      </c>
      <c r="Y669" s="70" t="s">
        <v>9462</v>
      </c>
      <c r="Z669" s="73" t="s">
        <v>9486</v>
      </c>
      <c r="AA669" s="74" t="s">
        <v>9504</v>
      </c>
      <c r="AB669" s="73" t="s">
        <v>9486</v>
      </c>
      <c r="AC669" s="74" t="s">
        <v>9566</v>
      </c>
      <c r="AD669" s="73" t="s">
        <v>9578</v>
      </c>
      <c r="AE669" s="74" t="s">
        <v>9704</v>
      </c>
    </row>
    <row r="670" spans="1:31" ht="8.65" customHeight="1" x14ac:dyDescent="0.2">
      <c r="A670" s="76">
        <v>670</v>
      </c>
      <c r="B670" s="67" t="str">
        <f>MID(C670, FIND("Ifc.", C670) + 4, 4) &amp; "_" &amp; TEXT(COUNTIF($C$2:C670, C670),"0000")</f>
        <v>Prop_0669</v>
      </c>
      <c r="C670" s="24" t="s">
        <v>872</v>
      </c>
      <c r="D670" s="69" t="s">
        <v>9453</v>
      </c>
      <c r="E670" s="70" t="s">
        <v>9454</v>
      </c>
      <c r="F670" s="17" t="s">
        <v>806</v>
      </c>
      <c r="G670" s="22" t="s">
        <v>1056</v>
      </c>
      <c r="H670" s="12" t="s">
        <v>9703</v>
      </c>
      <c r="I670" s="13" t="s">
        <v>7121</v>
      </c>
      <c r="J670" s="14" t="s">
        <v>798</v>
      </c>
      <c r="K670" s="15" t="s">
        <v>798</v>
      </c>
      <c r="L670" s="12" t="s">
        <v>5315</v>
      </c>
      <c r="M670" s="13" t="s">
        <v>5779</v>
      </c>
      <c r="N670" s="12" t="s">
        <v>803</v>
      </c>
      <c r="O670" s="13" t="s">
        <v>4846</v>
      </c>
      <c r="P670" s="17" t="s">
        <v>802</v>
      </c>
      <c r="Q670" s="21" t="s">
        <v>7936</v>
      </c>
      <c r="R670" s="17" t="s">
        <v>801</v>
      </c>
      <c r="S670" s="18" t="s">
        <v>2585</v>
      </c>
      <c r="T670" s="17" t="s">
        <v>800</v>
      </c>
      <c r="U670" s="18" t="s">
        <v>5238</v>
      </c>
      <c r="V670" s="17" t="s">
        <v>9418</v>
      </c>
      <c r="W670" s="18" t="s">
        <v>5309</v>
      </c>
      <c r="X670" s="69" t="s">
        <v>9453</v>
      </c>
      <c r="Y670" s="70" t="s">
        <v>9462</v>
      </c>
      <c r="Z670" s="73" t="s">
        <v>9486</v>
      </c>
      <c r="AA670" s="74" t="s">
        <v>9504</v>
      </c>
      <c r="AB670" s="73" t="s">
        <v>9486</v>
      </c>
      <c r="AC670" s="74" t="s">
        <v>9566</v>
      </c>
      <c r="AD670" s="73" t="s">
        <v>9578</v>
      </c>
      <c r="AE670" s="74" t="s">
        <v>9579</v>
      </c>
    </row>
    <row r="671" spans="1:31" ht="8.65" customHeight="1" x14ac:dyDescent="0.2">
      <c r="A671" s="76">
        <v>671</v>
      </c>
      <c r="B671" s="67" t="str">
        <f>MID(C671, FIND("Ifc.", C671) + 4, 4) &amp; "_" &amp; TEXT(COUNTIF($C$2:C671, C671),"0000")</f>
        <v>Prop_0670</v>
      </c>
      <c r="C671" s="24" t="s">
        <v>872</v>
      </c>
      <c r="D671" s="69" t="s">
        <v>9453</v>
      </c>
      <c r="E671" s="70" t="s">
        <v>9454</v>
      </c>
      <c r="F671" s="17" t="s">
        <v>806</v>
      </c>
      <c r="G671" s="22" t="s">
        <v>1034</v>
      </c>
      <c r="H671" s="12" t="s">
        <v>9703</v>
      </c>
      <c r="I671" s="13" t="s">
        <v>6129</v>
      </c>
      <c r="J671" s="14" t="s">
        <v>798</v>
      </c>
      <c r="K671" s="15" t="s">
        <v>798</v>
      </c>
      <c r="L671" s="12" t="s">
        <v>5315</v>
      </c>
      <c r="M671" s="13" t="s">
        <v>5385</v>
      </c>
      <c r="N671" s="12" t="s">
        <v>803</v>
      </c>
      <c r="O671" s="13" t="s">
        <v>4842</v>
      </c>
      <c r="P671" s="17" t="s">
        <v>802</v>
      </c>
      <c r="Q671" s="21" t="s">
        <v>7679</v>
      </c>
      <c r="R671" s="17" t="s">
        <v>801</v>
      </c>
      <c r="S671" s="18" t="s">
        <v>2585</v>
      </c>
      <c r="T671" s="17" t="s">
        <v>800</v>
      </c>
      <c r="U671" s="18" t="s">
        <v>5238</v>
      </c>
      <c r="V671" s="17" t="s">
        <v>9418</v>
      </c>
      <c r="W671" s="18" t="s">
        <v>5309</v>
      </c>
      <c r="X671" s="69" t="s">
        <v>9453</v>
      </c>
      <c r="Y671" s="70" t="s">
        <v>9462</v>
      </c>
      <c r="Z671" s="73" t="s">
        <v>9486</v>
      </c>
      <c r="AA671" s="74" t="s">
        <v>9504</v>
      </c>
      <c r="AB671" s="73" t="s">
        <v>9486</v>
      </c>
      <c r="AC671" s="74" t="s">
        <v>9566</v>
      </c>
      <c r="AD671" s="73" t="s">
        <v>9578</v>
      </c>
      <c r="AE671" s="74" t="s">
        <v>9579</v>
      </c>
    </row>
    <row r="672" spans="1:31" ht="8.65" customHeight="1" x14ac:dyDescent="0.2">
      <c r="A672" s="76">
        <v>672</v>
      </c>
      <c r="B672" s="67" t="str">
        <f>MID(C672, FIND("Ifc.", C672) + 4, 4) &amp; "_" &amp; TEXT(COUNTIF($C$2:C672, C672),"0000")</f>
        <v>Prop_0671</v>
      </c>
      <c r="C672" s="24" t="s">
        <v>872</v>
      </c>
      <c r="D672" s="69" t="s">
        <v>9453</v>
      </c>
      <c r="E672" s="70" t="s">
        <v>9454</v>
      </c>
      <c r="F672" s="17" t="s">
        <v>806</v>
      </c>
      <c r="G672" s="22" t="s">
        <v>1034</v>
      </c>
      <c r="H672" s="12" t="s">
        <v>9703</v>
      </c>
      <c r="I672" s="13" t="s">
        <v>6129</v>
      </c>
      <c r="J672" s="14" t="s">
        <v>798</v>
      </c>
      <c r="K672" s="15" t="s">
        <v>798</v>
      </c>
      <c r="L672" s="12" t="s">
        <v>5315</v>
      </c>
      <c r="M672" s="13" t="s">
        <v>5979</v>
      </c>
      <c r="N672" s="12" t="s">
        <v>803</v>
      </c>
      <c r="O672" s="13" t="s">
        <v>5094</v>
      </c>
      <c r="P672" s="17" t="s">
        <v>802</v>
      </c>
      <c r="Q672" s="21" t="s">
        <v>7876</v>
      </c>
      <c r="R672" s="17" t="s">
        <v>801</v>
      </c>
      <c r="S672" s="18" t="s">
        <v>2585</v>
      </c>
      <c r="T672" s="17" t="s">
        <v>800</v>
      </c>
      <c r="U672" s="18" t="s">
        <v>5238</v>
      </c>
      <c r="V672" s="17" t="s">
        <v>9418</v>
      </c>
      <c r="W672" s="18" t="s">
        <v>5309</v>
      </c>
      <c r="X672" s="69" t="s">
        <v>9453</v>
      </c>
      <c r="Y672" s="70" t="s">
        <v>9462</v>
      </c>
      <c r="Z672" s="73" t="s">
        <v>9486</v>
      </c>
      <c r="AA672" s="74" t="s">
        <v>9504</v>
      </c>
      <c r="AB672" s="73" t="s">
        <v>9486</v>
      </c>
      <c r="AC672" s="74" t="s">
        <v>9566</v>
      </c>
      <c r="AD672" s="73" t="s">
        <v>9578</v>
      </c>
      <c r="AE672" s="74" t="s">
        <v>9579</v>
      </c>
    </row>
    <row r="673" spans="1:31" ht="8.65" customHeight="1" x14ac:dyDescent="0.2">
      <c r="A673" s="76">
        <v>673</v>
      </c>
      <c r="B673" s="67" t="str">
        <f>MID(C673, FIND("Ifc.", C673) + 4, 4) &amp; "_" &amp; TEXT(COUNTIF($C$2:C673, C673),"0000")</f>
        <v>Prop_0672</v>
      </c>
      <c r="C673" s="24" t="s">
        <v>872</v>
      </c>
      <c r="D673" s="69" t="s">
        <v>9453</v>
      </c>
      <c r="E673" s="70" t="s">
        <v>9454</v>
      </c>
      <c r="F673" s="17" t="s">
        <v>806</v>
      </c>
      <c r="G673" s="22" t="s">
        <v>1034</v>
      </c>
      <c r="H673" s="12" t="s">
        <v>9703</v>
      </c>
      <c r="I673" s="13" t="s">
        <v>6129</v>
      </c>
      <c r="J673" s="14" t="s">
        <v>798</v>
      </c>
      <c r="K673" s="15" t="s">
        <v>798</v>
      </c>
      <c r="L673" s="12" t="s">
        <v>5315</v>
      </c>
      <c r="M673" s="13" t="s">
        <v>5441</v>
      </c>
      <c r="N673" s="12" t="s">
        <v>803</v>
      </c>
      <c r="O673" s="13" t="s">
        <v>4940</v>
      </c>
      <c r="P673" s="17" t="s">
        <v>802</v>
      </c>
      <c r="Q673" s="21" t="s">
        <v>7864</v>
      </c>
      <c r="R673" s="17" t="s">
        <v>801</v>
      </c>
      <c r="S673" s="18" t="s">
        <v>2585</v>
      </c>
      <c r="T673" s="17" t="s">
        <v>800</v>
      </c>
      <c r="U673" s="18" t="s">
        <v>5238</v>
      </c>
      <c r="V673" s="17" t="s">
        <v>9418</v>
      </c>
      <c r="W673" s="18" t="s">
        <v>5309</v>
      </c>
      <c r="X673" s="69" t="s">
        <v>9453</v>
      </c>
      <c r="Y673" s="70" t="s">
        <v>9462</v>
      </c>
      <c r="Z673" s="73" t="s">
        <v>9486</v>
      </c>
      <c r="AA673" s="74" t="s">
        <v>9504</v>
      </c>
      <c r="AB673" s="73" t="s">
        <v>9486</v>
      </c>
      <c r="AC673" s="74" t="s">
        <v>9566</v>
      </c>
      <c r="AD673" s="73" t="s">
        <v>9578</v>
      </c>
      <c r="AE673" s="74" t="s">
        <v>9579</v>
      </c>
    </row>
    <row r="674" spans="1:31" ht="8.65" customHeight="1" x14ac:dyDescent="0.2">
      <c r="A674" s="76">
        <v>674</v>
      </c>
      <c r="B674" s="67" t="str">
        <f>MID(C674, FIND("Ifc.", C674) + 4, 4) &amp; "_" &amp; TEXT(COUNTIF($C$2:C674, C674),"0000")</f>
        <v>Prop_0673</v>
      </c>
      <c r="C674" s="24" t="s">
        <v>872</v>
      </c>
      <c r="D674" s="69" t="s">
        <v>9453</v>
      </c>
      <c r="E674" s="70" t="s">
        <v>9454</v>
      </c>
      <c r="F674" s="17" t="s">
        <v>806</v>
      </c>
      <c r="G674" s="22" t="s">
        <v>1034</v>
      </c>
      <c r="H674" s="12" t="s">
        <v>9703</v>
      </c>
      <c r="I674" s="13" t="s">
        <v>6129</v>
      </c>
      <c r="J674" s="14" t="s">
        <v>798</v>
      </c>
      <c r="K674" s="15" t="s">
        <v>798</v>
      </c>
      <c r="L674" s="12" t="s">
        <v>5315</v>
      </c>
      <c r="M674" s="13" t="s">
        <v>5519</v>
      </c>
      <c r="N674" s="12" t="s">
        <v>803</v>
      </c>
      <c r="O674" s="13" t="s">
        <v>5134</v>
      </c>
      <c r="P674" s="17" t="s">
        <v>802</v>
      </c>
      <c r="Q674" s="21" t="s">
        <v>7935</v>
      </c>
      <c r="R674" s="17" t="s">
        <v>801</v>
      </c>
      <c r="S674" s="18" t="s">
        <v>2585</v>
      </c>
      <c r="T674" s="17" t="s">
        <v>800</v>
      </c>
      <c r="U674" s="18" t="s">
        <v>5238</v>
      </c>
      <c r="V674" s="17" t="s">
        <v>9418</v>
      </c>
      <c r="W674" s="18" t="s">
        <v>5309</v>
      </c>
      <c r="X674" s="69" t="s">
        <v>9453</v>
      </c>
      <c r="Y674" s="70" t="s">
        <v>9462</v>
      </c>
      <c r="Z674" s="73" t="s">
        <v>9486</v>
      </c>
      <c r="AA674" s="74" t="s">
        <v>9504</v>
      </c>
      <c r="AB674" s="73" t="s">
        <v>9486</v>
      </c>
      <c r="AC674" s="74" t="s">
        <v>9566</v>
      </c>
      <c r="AD674" s="73" t="s">
        <v>9578</v>
      </c>
      <c r="AE674" s="74" t="s">
        <v>9579</v>
      </c>
    </row>
    <row r="675" spans="1:31" ht="8.65" customHeight="1" x14ac:dyDescent="0.2">
      <c r="A675" s="76">
        <v>675</v>
      </c>
      <c r="B675" s="67" t="str">
        <f>MID(C675, FIND("Ifc.", C675) + 4, 4) &amp; "_" &amp; TEXT(COUNTIF($C$2:C675, C675),"0000")</f>
        <v>Prop_0674</v>
      </c>
      <c r="C675" s="24" t="s">
        <v>872</v>
      </c>
      <c r="D675" s="69" t="s">
        <v>9453</v>
      </c>
      <c r="E675" s="70" t="s">
        <v>9454</v>
      </c>
      <c r="F675" s="17" t="s">
        <v>806</v>
      </c>
      <c r="G675" s="22" t="s">
        <v>1034</v>
      </c>
      <c r="H675" s="12" t="s">
        <v>9703</v>
      </c>
      <c r="I675" s="13" t="s">
        <v>6129</v>
      </c>
      <c r="J675" s="14" t="s">
        <v>798</v>
      </c>
      <c r="K675" s="15" t="s">
        <v>798</v>
      </c>
      <c r="L675" s="12" t="s">
        <v>5315</v>
      </c>
      <c r="M675" s="13" t="s">
        <v>5550</v>
      </c>
      <c r="N675" s="12" t="s">
        <v>803</v>
      </c>
      <c r="O675" s="13" t="s">
        <v>5162</v>
      </c>
      <c r="P675" s="17" t="s">
        <v>802</v>
      </c>
      <c r="Q675" s="21" t="s">
        <v>7870</v>
      </c>
      <c r="R675" s="17" t="s">
        <v>801</v>
      </c>
      <c r="S675" s="18" t="s">
        <v>2585</v>
      </c>
      <c r="T675" s="17" t="s">
        <v>800</v>
      </c>
      <c r="U675" s="18" t="s">
        <v>5238</v>
      </c>
      <c r="V675" s="17" t="s">
        <v>9418</v>
      </c>
      <c r="W675" s="18" t="s">
        <v>5309</v>
      </c>
      <c r="X675" s="69" t="s">
        <v>9453</v>
      </c>
      <c r="Y675" s="70" t="s">
        <v>9462</v>
      </c>
      <c r="Z675" s="73" t="s">
        <v>9486</v>
      </c>
      <c r="AA675" s="74" t="s">
        <v>9504</v>
      </c>
      <c r="AB675" s="73" t="s">
        <v>9486</v>
      </c>
      <c r="AC675" s="74" t="s">
        <v>9566</v>
      </c>
      <c r="AD675" s="73" t="s">
        <v>9578</v>
      </c>
      <c r="AE675" s="74" t="s">
        <v>9579</v>
      </c>
    </row>
    <row r="676" spans="1:31" ht="8.65" customHeight="1" x14ac:dyDescent="0.2">
      <c r="A676" s="76">
        <v>676</v>
      </c>
      <c r="B676" s="67" t="str">
        <f>MID(C676, FIND("Ifc.", C676) + 4, 4) &amp; "_" &amp; TEXT(COUNTIF($C$2:C676, C676),"0000")</f>
        <v>Prop_0675</v>
      </c>
      <c r="C676" s="24" t="s">
        <v>872</v>
      </c>
      <c r="D676" s="69" t="s">
        <v>9453</v>
      </c>
      <c r="E676" s="70" t="s">
        <v>9454</v>
      </c>
      <c r="F676" s="17" t="s">
        <v>806</v>
      </c>
      <c r="G676" s="22" t="s">
        <v>1034</v>
      </c>
      <c r="H676" s="12" t="s">
        <v>9703</v>
      </c>
      <c r="I676" s="13" t="s">
        <v>6129</v>
      </c>
      <c r="J676" s="14" t="s">
        <v>798</v>
      </c>
      <c r="K676" s="15" t="s">
        <v>798</v>
      </c>
      <c r="L676" s="12" t="s">
        <v>5315</v>
      </c>
      <c r="M676" s="13" t="s">
        <v>5564</v>
      </c>
      <c r="N676" s="12" t="s">
        <v>803</v>
      </c>
      <c r="O676" s="13" t="s">
        <v>5179</v>
      </c>
      <c r="P676" s="17" t="s">
        <v>802</v>
      </c>
      <c r="Q676" s="21" t="s">
        <v>7774</v>
      </c>
      <c r="R676" s="17" t="s">
        <v>801</v>
      </c>
      <c r="S676" s="18" t="s">
        <v>2585</v>
      </c>
      <c r="T676" s="17" t="s">
        <v>800</v>
      </c>
      <c r="U676" s="18" t="s">
        <v>5238</v>
      </c>
      <c r="V676" s="17" t="s">
        <v>9418</v>
      </c>
      <c r="W676" s="18" t="s">
        <v>5309</v>
      </c>
      <c r="X676" s="69" t="s">
        <v>9453</v>
      </c>
      <c r="Y676" s="70" t="s">
        <v>9462</v>
      </c>
      <c r="Z676" s="73" t="s">
        <v>9486</v>
      </c>
      <c r="AA676" s="74" t="s">
        <v>9504</v>
      </c>
      <c r="AB676" s="73" t="s">
        <v>9486</v>
      </c>
      <c r="AC676" s="74" t="s">
        <v>9566</v>
      </c>
      <c r="AD676" s="73" t="s">
        <v>9578</v>
      </c>
      <c r="AE676" s="74" t="s">
        <v>9579</v>
      </c>
    </row>
    <row r="677" spans="1:31" ht="8.65" customHeight="1" x14ac:dyDescent="0.2">
      <c r="A677" s="76">
        <v>677</v>
      </c>
      <c r="B677" s="67" t="str">
        <f>MID(C677, FIND("Ifc.", C677) + 4, 4) &amp; "_" &amp; TEXT(COUNTIF($C$2:C677, C677),"0000")</f>
        <v>Prop_0676</v>
      </c>
      <c r="C677" s="24" t="s">
        <v>872</v>
      </c>
      <c r="D677" s="69" t="s">
        <v>9453</v>
      </c>
      <c r="E677" s="70" t="s">
        <v>9454</v>
      </c>
      <c r="F677" s="17" t="s">
        <v>806</v>
      </c>
      <c r="G677" s="22" t="s">
        <v>2241</v>
      </c>
      <c r="H677" s="12" t="s">
        <v>9703</v>
      </c>
      <c r="I677" s="13" t="s">
        <v>6690</v>
      </c>
      <c r="J677" s="14" t="s">
        <v>798</v>
      </c>
      <c r="K677" s="15" t="s">
        <v>798</v>
      </c>
      <c r="L677" s="12" t="s">
        <v>5315</v>
      </c>
      <c r="M677" s="13" t="s">
        <v>5518</v>
      </c>
      <c r="N677" s="12" t="s">
        <v>803</v>
      </c>
      <c r="O677" s="13" t="s">
        <v>5133</v>
      </c>
      <c r="P677" s="17" t="s">
        <v>802</v>
      </c>
      <c r="Q677" s="21" t="s">
        <v>7719</v>
      </c>
      <c r="R677" s="17" t="s">
        <v>801</v>
      </c>
      <c r="S677" s="18" t="s">
        <v>2585</v>
      </c>
      <c r="T677" s="17" t="s">
        <v>800</v>
      </c>
      <c r="U677" s="18" t="s">
        <v>5238</v>
      </c>
      <c r="V677" s="17" t="s">
        <v>9418</v>
      </c>
      <c r="W677" s="18" t="s">
        <v>5309</v>
      </c>
      <c r="X677" s="69" t="s">
        <v>9453</v>
      </c>
      <c r="Y677" s="70" t="s">
        <v>9462</v>
      </c>
      <c r="Z677" s="73" t="s">
        <v>9486</v>
      </c>
      <c r="AA677" s="74" t="s">
        <v>9504</v>
      </c>
      <c r="AB677" s="73" t="s">
        <v>9486</v>
      </c>
      <c r="AC677" s="74" t="s">
        <v>9566</v>
      </c>
      <c r="AD677" s="73" t="s">
        <v>9578</v>
      </c>
      <c r="AE677" s="74" t="s">
        <v>9579</v>
      </c>
    </row>
    <row r="678" spans="1:31" ht="8.65" customHeight="1" x14ac:dyDescent="0.2">
      <c r="A678" s="76">
        <v>678</v>
      </c>
      <c r="B678" s="67" t="str">
        <f>MID(C678, FIND("Ifc.", C678) + 4, 4) &amp; "_" &amp; TEXT(COUNTIF($C$2:C678, C678),"0000")</f>
        <v>Prop_0677</v>
      </c>
      <c r="C678" s="24" t="s">
        <v>872</v>
      </c>
      <c r="D678" s="69" t="s">
        <v>9453</v>
      </c>
      <c r="E678" s="70" t="s">
        <v>9454</v>
      </c>
      <c r="F678" s="17" t="s">
        <v>806</v>
      </c>
      <c r="G678" s="22" t="s">
        <v>2220</v>
      </c>
      <c r="H678" s="12" t="s">
        <v>9703</v>
      </c>
      <c r="I678" s="13" t="s">
        <v>6683</v>
      </c>
      <c r="J678" s="14" t="s">
        <v>798</v>
      </c>
      <c r="K678" s="15" t="s">
        <v>798</v>
      </c>
      <c r="L678" s="12" t="s">
        <v>5315</v>
      </c>
      <c r="M678" s="13" t="s">
        <v>5514</v>
      </c>
      <c r="N678" s="12" t="s">
        <v>803</v>
      </c>
      <c r="O678" s="13" t="s">
        <v>5128</v>
      </c>
      <c r="P678" s="17" t="s">
        <v>802</v>
      </c>
      <c r="Q678" s="21" t="s">
        <v>7773</v>
      </c>
      <c r="R678" s="17" t="s">
        <v>801</v>
      </c>
      <c r="S678" s="18" t="s">
        <v>2585</v>
      </c>
      <c r="T678" s="17" t="s">
        <v>800</v>
      </c>
      <c r="U678" s="18" t="s">
        <v>5238</v>
      </c>
      <c r="V678" s="17" t="s">
        <v>9418</v>
      </c>
      <c r="W678" s="18" t="s">
        <v>5309</v>
      </c>
      <c r="X678" s="69" t="s">
        <v>9453</v>
      </c>
      <c r="Y678" s="70" t="s">
        <v>9462</v>
      </c>
      <c r="Z678" s="73" t="s">
        <v>9486</v>
      </c>
      <c r="AA678" s="74" t="s">
        <v>9504</v>
      </c>
      <c r="AB678" s="73" t="s">
        <v>9486</v>
      </c>
      <c r="AC678" s="74" t="s">
        <v>9566</v>
      </c>
      <c r="AD678" s="73" t="s">
        <v>9578</v>
      </c>
      <c r="AE678" s="74" t="s">
        <v>9579</v>
      </c>
    </row>
    <row r="679" spans="1:31" ht="8.65" customHeight="1" x14ac:dyDescent="0.2">
      <c r="A679" s="76">
        <v>679</v>
      </c>
      <c r="B679" s="67" t="str">
        <f>MID(C679, FIND("Ifc.", C679) + 4, 4) &amp; "_" &amp; TEXT(COUNTIF($C$2:C679, C679),"0000")</f>
        <v>Prop_0678</v>
      </c>
      <c r="C679" s="24" t="s">
        <v>872</v>
      </c>
      <c r="D679" s="69" t="s">
        <v>9453</v>
      </c>
      <c r="E679" s="70" t="s">
        <v>9454</v>
      </c>
      <c r="F679" s="17" t="s">
        <v>806</v>
      </c>
      <c r="G679" s="22" t="s">
        <v>2220</v>
      </c>
      <c r="H679" s="12" t="s">
        <v>9703</v>
      </c>
      <c r="I679" s="13" t="s">
        <v>6683</v>
      </c>
      <c r="J679" s="14" t="s">
        <v>798</v>
      </c>
      <c r="K679" s="15" t="s">
        <v>798</v>
      </c>
      <c r="L679" s="12" t="s">
        <v>5315</v>
      </c>
      <c r="M679" s="13" t="s">
        <v>5509</v>
      </c>
      <c r="N679" s="12" t="s">
        <v>803</v>
      </c>
      <c r="O679" s="13" t="s">
        <v>5122</v>
      </c>
      <c r="P679" s="17" t="s">
        <v>802</v>
      </c>
      <c r="Q679" s="21" t="s">
        <v>7780</v>
      </c>
      <c r="R679" s="17" t="s">
        <v>801</v>
      </c>
      <c r="S679" s="18" t="s">
        <v>2585</v>
      </c>
      <c r="T679" s="17" t="s">
        <v>800</v>
      </c>
      <c r="U679" s="18" t="s">
        <v>5238</v>
      </c>
      <c r="V679" s="17" t="s">
        <v>9418</v>
      </c>
      <c r="W679" s="18" t="s">
        <v>5309</v>
      </c>
      <c r="X679" s="69" t="s">
        <v>9453</v>
      </c>
      <c r="Y679" s="70" t="s">
        <v>9462</v>
      </c>
      <c r="Z679" s="73" t="s">
        <v>9486</v>
      </c>
      <c r="AA679" s="74" t="s">
        <v>9504</v>
      </c>
      <c r="AB679" s="73" t="s">
        <v>9486</v>
      </c>
      <c r="AC679" s="74" t="s">
        <v>9566</v>
      </c>
      <c r="AD679" s="73" t="s">
        <v>9578</v>
      </c>
      <c r="AE679" s="74" t="s">
        <v>9579</v>
      </c>
    </row>
    <row r="680" spans="1:31" ht="8.65" customHeight="1" x14ac:dyDescent="0.2">
      <c r="A680" s="76">
        <v>680</v>
      </c>
      <c r="B680" s="67" t="str">
        <f>MID(C680, FIND("Ifc.", C680) + 4, 4) &amp; "_" &amp; TEXT(COUNTIF($C$2:C680, C680),"0000")</f>
        <v>Prop_0679</v>
      </c>
      <c r="C680" s="24" t="s">
        <v>872</v>
      </c>
      <c r="D680" s="69" t="s">
        <v>9453</v>
      </c>
      <c r="E680" s="70" t="s">
        <v>9454</v>
      </c>
      <c r="F680" s="17" t="s">
        <v>806</v>
      </c>
      <c r="G680" s="22" t="s">
        <v>1226</v>
      </c>
      <c r="H680" s="12" t="s">
        <v>9703</v>
      </c>
      <c r="I680" s="13" t="s">
        <v>6173</v>
      </c>
      <c r="J680" s="14" t="s">
        <v>798</v>
      </c>
      <c r="K680" s="15" t="s">
        <v>798</v>
      </c>
      <c r="L680" s="12" t="s">
        <v>5315</v>
      </c>
      <c r="M680" s="13" t="s">
        <v>6057</v>
      </c>
      <c r="N680" s="12" t="s">
        <v>803</v>
      </c>
      <c r="O680" s="13" t="s">
        <v>4887</v>
      </c>
      <c r="P680" s="17" t="s">
        <v>802</v>
      </c>
      <c r="Q680" s="21" t="s">
        <v>7720</v>
      </c>
      <c r="R680" s="17" t="s">
        <v>801</v>
      </c>
      <c r="S680" s="18" t="s">
        <v>2585</v>
      </c>
      <c r="T680" s="17" t="s">
        <v>800</v>
      </c>
      <c r="U680" s="18" t="s">
        <v>5238</v>
      </c>
      <c r="V680" s="17" t="s">
        <v>9418</v>
      </c>
      <c r="W680" s="18" t="s">
        <v>5309</v>
      </c>
      <c r="X680" s="69" t="s">
        <v>9453</v>
      </c>
      <c r="Y680" s="70" t="s">
        <v>9462</v>
      </c>
      <c r="Z680" s="73" t="s">
        <v>9486</v>
      </c>
      <c r="AA680" s="74" t="s">
        <v>9504</v>
      </c>
      <c r="AB680" s="73" t="s">
        <v>9486</v>
      </c>
      <c r="AC680" s="74" t="s">
        <v>9566</v>
      </c>
      <c r="AD680" s="73" t="s">
        <v>9578</v>
      </c>
      <c r="AE680" s="74" t="s">
        <v>9579</v>
      </c>
    </row>
    <row r="681" spans="1:31" ht="8.65" customHeight="1" x14ac:dyDescent="0.2">
      <c r="A681" s="76">
        <v>681</v>
      </c>
      <c r="B681" s="67" t="str">
        <f>MID(C681, FIND("Ifc.", C681) + 4, 4) &amp; "_" &amp; TEXT(COUNTIF($C$2:C681, C681),"0000")</f>
        <v>Prop_0680</v>
      </c>
      <c r="C681" s="24" t="s">
        <v>872</v>
      </c>
      <c r="D681" s="69" t="s">
        <v>9453</v>
      </c>
      <c r="E681" s="70" t="s">
        <v>9454</v>
      </c>
      <c r="F681" s="17" t="s">
        <v>806</v>
      </c>
      <c r="G681" s="22" t="s">
        <v>1226</v>
      </c>
      <c r="H681" s="12" t="s">
        <v>9703</v>
      </c>
      <c r="I681" s="13" t="s">
        <v>6173</v>
      </c>
      <c r="J681" s="14" t="s">
        <v>798</v>
      </c>
      <c r="K681" s="15" t="s">
        <v>798</v>
      </c>
      <c r="L681" s="12" t="s">
        <v>5315</v>
      </c>
      <c r="M681" s="13" t="s">
        <v>5435</v>
      </c>
      <c r="N681" s="12" t="s">
        <v>803</v>
      </c>
      <c r="O681" s="13" t="s">
        <v>4935</v>
      </c>
      <c r="P681" s="17" t="s">
        <v>802</v>
      </c>
      <c r="Q681" s="21" t="s">
        <v>7721</v>
      </c>
      <c r="R681" s="17" t="s">
        <v>801</v>
      </c>
      <c r="S681" s="18" t="s">
        <v>2585</v>
      </c>
      <c r="T681" s="17" t="s">
        <v>800</v>
      </c>
      <c r="U681" s="18" t="s">
        <v>5238</v>
      </c>
      <c r="V681" s="17" t="s">
        <v>9418</v>
      </c>
      <c r="W681" s="18" t="s">
        <v>5309</v>
      </c>
      <c r="X681" s="69" t="s">
        <v>9453</v>
      </c>
      <c r="Y681" s="70" t="s">
        <v>9462</v>
      </c>
      <c r="Z681" s="73" t="s">
        <v>9486</v>
      </c>
      <c r="AA681" s="74" t="s">
        <v>9504</v>
      </c>
      <c r="AB681" s="73" t="s">
        <v>9486</v>
      </c>
      <c r="AC681" s="74" t="s">
        <v>9566</v>
      </c>
      <c r="AD681" s="73" t="s">
        <v>9578</v>
      </c>
      <c r="AE681" s="74" t="s">
        <v>9579</v>
      </c>
    </row>
    <row r="682" spans="1:31" ht="8.65" customHeight="1" x14ac:dyDescent="0.2">
      <c r="A682" s="76">
        <v>682</v>
      </c>
      <c r="B682" s="67" t="str">
        <f>MID(C682, FIND("Ifc.", C682) + 4, 4) &amp; "_" &amp; TEXT(COUNTIF($C$2:C682, C682),"0000")</f>
        <v>Prop_0681</v>
      </c>
      <c r="C682" s="24" t="s">
        <v>872</v>
      </c>
      <c r="D682" s="69" t="s">
        <v>9453</v>
      </c>
      <c r="E682" s="70" t="s">
        <v>9454</v>
      </c>
      <c r="F682" s="17" t="s">
        <v>806</v>
      </c>
      <c r="G682" s="22" t="s">
        <v>1226</v>
      </c>
      <c r="H682" s="12" t="s">
        <v>9703</v>
      </c>
      <c r="I682" s="13" t="s">
        <v>6173</v>
      </c>
      <c r="J682" s="14" t="s">
        <v>798</v>
      </c>
      <c r="K682" s="15" t="s">
        <v>798</v>
      </c>
      <c r="L682" s="12" t="s">
        <v>5315</v>
      </c>
      <c r="M682" s="13" t="s">
        <v>5492</v>
      </c>
      <c r="N682" s="12" t="s">
        <v>803</v>
      </c>
      <c r="O682" s="13" t="s">
        <v>5103</v>
      </c>
      <c r="P682" s="17" t="s">
        <v>802</v>
      </c>
      <c r="Q682" s="21" t="s">
        <v>7722</v>
      </c>
      <c r="R682" s="17" t="s">
        <v>801</v>
      </c>
      <c r="S682" s="18" t="s">
        <v>2585</v>
      </c>
      <c r="T682" s="17" t="s">
        <v>800</v>
      </c>
      <c r="U682" s="18" t="s">
        <v>5238</v>
      </c>
      <c r="V682" s="17" t="s">
        <v>9418</v>
      </c>
      <c r="W682" s="18" t="s">
        <v>5309</v>
      </c>
      <c r="X682" s="69" t="s">
        <v>9453</v>
      </c>
      <c r="Y682" s="70" t="s">
        <v>9462</v>
      </c>
      <c r="Z682" s="73" t="s">
        <v>9486</v>
      </c>
      <c r="AA682" s="74" t="s">
        <v>9504</v>
      </c>
      <c r="AB682" s="73" t="s">
        <v>9486</v>
      </c>
      <c r="AC682" s="74" t="s">
        <v>9566</v>
      </c>
      <c r="AD682" s="73" t="s">
        <v>9578</v>
      </c>
      <c r="AE682" s="74" t="s">
        <v>9579</v>
      </c>
    </row>
    <row r="683" spans="1:31" ht="8.65" customHeight="1" x14ac:dyDescent="0.2">
      <c r="A683" s="76">
        <v>683</v>
      </c>
      <c r="B683" s="67" t="str">
        <f>MID(C683, FIND("Ifc.", C683) + 4, 4) &amp; "_" &amp; TEXT(COUNTIF($C$2:C683, C683),"0000")</f>
        <v>Prop_0682</v>
      </c>
      <c r="C683" s="24" t="s">
        <v>872</v>
      </c>
      <c r="D683" s="69" t="s">
        <v>9453</v>
      </c>
      <c r="E683" s="70" t="s">
        <v>9454</v>
      </c>
      <c r="F683" s="17" t="s">
        <v>806</v>
      </c>
      <c r="G683" s="22" t="s">
        <v>2425</v>
      </c>
      <c r="H683" s="12" t="s">
        <v>9703</v>
      </c>
      <c r="I683" s="13" t="s">
        <v>6958</v>
      </c>
      <c r="J683" s="14" t="s">
        <v>798</v>
      </c>
      <c r="K683" s="15" t="s">
        <v>798</v>
      </c>
      <c r="L683" s="12" t="s">
        <v>5315</v>
      </c>
      <c r="M683" s="13" t="s">
        <v>5569</v>
      </c>
      <c r="N683" s="12" t="s">
        <v>803</v>
      </c>
      <c r="O683" s="13" t="s">
        <v>5202</v>
      </c>
      <c r="P683" s="17" t="s">
        <v>802</v>
      </c>
      <c r="Q683" s="21" t="s">
        <v>7765</v>
      </c>
      <c r="R683" s="17" t="s">
        <v>801</v>
      </c>
      <c r="S683" s="18" t="s">
        <v>2585</v>
      </c>
      <c r="T683" s="17" t="s">
        <v>800</v>
      </c>
      <c r="U683" s="18" t="s">
        <v>5238</v>
      </c>
      <c r="V683" s="17" t="s">
        <v>9418</v>
      </c>
      <c r="W683" s="18" t="s">
        <v>5309</v>
      </c>
      <c r="X683" s="69" t="s">
        <v>9453</v>
      </c>
      <c r="Y683" s="70" t="s">
        <v>9462</v>
      </c>
      <c r="Z683" s="73" t="s">
        <v>9486</v>
      </c>
      <c r="AA683" s="74" t="s">
        <v>9504</v>
      </c>
      <c r="AB683" s="73" t="s">
        <v>9486</v>
      </c>
      <c r="AC683" s="74" t="s">
        <v>9566</v>
      </c>
      <c r="AD683" s="73" t="s">
        <v>9578</v>
      </c>
      <c r="AE683" s="74" t="s">
        <v>9579</v>
      </c>
    </row>
    <row r="684" spans="1:31" ht="8.65" customHeight="1" x14ac:dyDescent="0.2">
      <c r="A684" s="76">
        <v>684</v>
      </c>
      <c r="B684" s="67" t="str">
        <f>MID(C684, FIND("Ifc.", C684) + 4, 4) &amp; "_" &amp; TEXT(COUNTIF($C$2:C684, C684),"0000")</f>
        <v>Prop_0683</v>
      </c>
      <c r="C684" s="24" t="s">
        <v>872</v>
      </c>
      <c r="D684" s="69" t="s">
        <v>9453</v>
      </c>
      <c r="E684" s="70" t="s">
        <v>9454</v>
      </c>
      <c r="F684" s="17" t="s">
        <v>806</v>
      </c>
      <c r="G684" s="22" t="s">
        <v>1653</v>
      </c>
      <c r="H684" s="12" t="s">
        <v>9703</v>
      </c>
      <c r="I684" s="13" t="s">
        <v>6401</v>
      </c>
      <c r="J684" s="14" t="s">
        <v>798</v>
      </c>
      <c r="K684" s="15" t="s">
        <v>798</v>
      </c>
      <c r="L684" s="12" t="s">
        <v>5315</v>
      </c>
      <c r="M684" s="13" t="s">
        <v>5837</v>
      </c>
      <c r="N684" s="12" t="s">
        <v>803</v>
      </c>
      <c r="O684" s="13" t="s">
        <v>4980</v>
      </c>
      <c r="P684" s="17" t="s">
        <v>802</v>
      </c>
      <c r="Q684" s="21" t="s">
        <v>7844</v>
      </c>
      <c r="R684" s="17" t="s">
        <v>801</v>
      </c>
      <c r="S684" s="18" t="s">
        <v>3636</v>
      </c>
      <c r="T684" s="17" t="s">
        <v>800</v>
      </c>
      <c r="U684" s="18" t="s">
        <v>5257</v>
      </c>
      <c r="V684" s="17" t="s">
        <v>9418</v>
      </c>
      <c r="W684" s="18" t="s">
        <v>5314</v>
      </c>
      <c r="X684" s="69" t="s">
        <v>9453</v>
      </c>
      <c r="Y684" s="70" t="s">
        <v>9464</v>
      </c>
      <c r="Z684" s="73" t="s">
        <v>9486</v>
      </c>
      <c r="AA684" s="74" t="s">
        <v>9504</v>
      </c>
      <c r="AB684" s="73" t="s">
        <v>9486</v>
      </c>
      <c r="AC684" s="74" t="s">
        <v>9561</v>
      </c>
      <c r="AD684" s="73" t="s">
        <v>9578</v>
      </c>
      <c r="AE684" s="74" t="s">
        <v>9579</v>
      </c>
    </row>
    <row r="685" spans="1:31" ht="8.65" customHeight="1" x14ac:dyDescent="0.2">
      <c r="A685" s="76">
        <v>685</v>
      </c>
      <c r="B685" s="67" t="str">
        <f>MID(C685, FIND("Ifc.", C685) + 4, 4) &amp; "_" &amp; TEXT(COUNTIF($C$2:C685, C685),"0000")</f>
        <v>Prop_0684</v>
      </c>
      <c r="C685" s="24" t="s">
        <v>872</v>
      </c>
      <c r="D685" s="69" t="s">
        <v>9453</v>
      </c>
      <c r="E685" s="70" t="s">
        <v>9454</v>
      </c>
      <c r="F685" s="17" t="s">
        <v>806</v>
      </c>
      <c r="G685" s="22" t="s">
        <v>1653</v>
      </c>
      <c r="H685" s="12" t="s">
        <v>9703</v>
      </c>
      <c r="I685" s="13" t="s">
        <v>6401</v>
      </c>
      <c r="J685" s="14" t="s">
        <v>798</v>
      </c>
      <c r="K685" s="15" t="s">
        <v>798</v>
      </c>
      <c r="L685" s="12" t="s">
        <v>5315</v>
      </c>
      <c r="M685" s="13" t="s">
        <v>5841</v>
      </c>
      <c r="N685" s="12" t="s">
        <v>803</v>
      </c>
      <c r="O685" s="13" t="s">
        <v>4986</v>
      </c>
      <c r="P685" s="17" t="s">
        <v>802</v>
      </c>
      <c r="Q685" s="21" t="s">
        <v>7845</v>
      </c>
      <c r="R685" s="17" t="s">
        <v>801</v>
      </c>
      <c r="S685" s="18" t="s">
        <v>3636</v>
      </c>
      <c r="T685" s="17" t="s">
        <v>800</v>
      </c>
      <c r="U685" s="18" t="s">
        <v>5257</v>
      </c>
      <c r="V685" s="17" t="s">
        <v>9418</v>
      </c>
      <c r="W685" s="18" t="s">
        <v>5314</v>
      </c>
      <c r="X685" s="69" t="s">
        <v>9453</v>
      </c>
      <c r="Y685" s="70" t="s">
        <v>9464</v>
      </c>
      <c r="Z685" s="73" t="s">
        <v>9486</v>
      </c>
      <c r="AA685" s="74" t="s">
        <v>9504</v>
      </c>
      <c r="AB685" s="73" t="s">
        <v>9486</v>
      </c>
      <c r="AC685" s="74" t="s">
        <v>9561</v>
      </c>
      <c r="AD685" s="73" t="s">
        <v>9578</v>
      </c>
      <c r="AE685" s="74" t="s">
        <v>9579</v>
      </c>
    </row>
    <row r="686" spans="1:31" ht="8.65" customHeight="1" x14ac:dyDescent="0.2">
      <c r="A686" s="76">
        <v>686</v>
      </c>
      <c r="B686" s="67" t="str">
        <f>MID(C686, FIND("Ifc.", C686) + 4, 4) &amp; "_" &amp; TEXT(COUNTIF($C$2:C686, C686),"0000")</f>
        <v>Prop_0685</v>
      </c>
      <c r="C686" s="24" t="s">
        <v>872</v>
      </c>
      <c r="D686" s="69" t="s">
        <v>9453</v>
      </c>
      <c r="E686" s="70" t="s">
        <v>9454</v>
      </c>
      <c r="F686" s="17" t="s">
        <v>806</v>
      </c>
      <c r="G686" s="22" t="s">
        <v>1543</v>
      </c>
      <c r="H686" s="12" t="s">
        <v>9703</v>
      </c>
      <c r="I686" s="13" t="s">
        <v>6535</v>
      </c>
      <c r="J686" s="14" t="s">
        <v>798</v>
      </c>
      <c r="K686" s="15" t="s">
        <v>798</v>
      </c>
      <c r="L686" s="12" t="s">
        <v>5315</v>
      </c>
      <c r="M686" s="13" t="s">
        <v>5818</v>
      </c>
      <c r="N686" s="12" t="s">
        <v>803</v>
      </c>
      <c r="O686" s="13" t="s">
        <v>4957</v>
      </c>
      <c r="P686" s="17" t="s">
        <v>802</v>
      </c>
      <c r="Q686" s="21" t="s">
        <v>7792</v>
      </c>
      <c r="R686" s="17" t="s">
        <v>801</v>
      </c>
      <c r="S686" s="18" t="s">
        <v>2596</v>
      </c>
      <c r="T686" s="17" t="s">
        <v>800</v>
      </c>
      <c r="U686" s="18" t="s">
        <v>5282</v>
      </c>
      <c r="V686" s="17" t="s">
        <v>9418</v>
      </c>
      <c r="W686" s="18" t="s">
        <v>5309</v>
      </c>
      <c r="X686" s="69" t="s">
        <v>9453</v>
      </c>
      <c r="Y686" s="70" t="s">
        <v>9462</v>
      </c>
      <c r="Z686" s="73" t="s">
        <v>9486</v>
      </c>
      <c r="AA686" s="74" t="s">
        <v>9504</v>
      </c>
      <c r="AB686" s="73" t="s">
        <v>9486</v>
      </c>
      <c r="AC686" s="74" t="s">
        <v>9566</v>
      </c>
      <c r="AD686" s="73" t="s">
        <v>9578</v>
      </c>
      <c r="AE686" s="74" t="s">
        <v>9579</v>
      </c>
    </row>
    <row r="687" spans="1:31" ht="8.65" customHeight="1" x14ac:dyDescent="0.2">
      <c r="A687" s="76">
        <v>687</v>
      </c>
      <c r="B687" s="67" t="str">
        <f>MID(C687, FIND("Ifc.", C687) + 4, 4) &amp; "_" &amp; TEXT(COUNTIF($C$2:C687, C687),"0000")</f>
        <v>Prop_0686</v>
      </c>
      <c r="C687" s="24" t="s">
        <v>872</v>
      </c>
      <c r="D687" s="69" t="s">
        <v>9453</v>
      </c>
      <c r="E687" s="70" t="s">
        <v>9454</v>
      </c>
      <c r="F687" s="17" t="s">
        <v>806</v>
      </c>
      <c r="G687" s="22" t="s">
        <v>999</v>
      </c>
      <c r="H687" s="12" t="s">
        <v>9703</v>
      </c>
      <c r="I687" s="13" t="s">
        <v>6109</v>
      </c>
      <c r="J687" s="14" t="s">
        <v>798</v>
      </c>
      <c r="K687" s="15" t="s">
        <v>798</v>
      </c>
      <c r="L687" s="12" t="s">
        <v>5315</v>
      </c>
      <c r="M687" s="13" t="s">
        <v>6023</v>
      </c>
      <c r="N687" s="12" t="s">
        <v>803</v>
      </c>
      <c r="O687" s="13" t="s">
        <v>4831</v>
      </c>
      <c r="P687" s="17" t="s">
        <v>802</v>
      </c>
      <c r="Q687" s="21" t="s">
        <v>7790</v>
      </c>
      <c r="R687" s="17" t="s">
        <v>801</v>
      </c>
      <c r="S687" s="18" t="s">
        <v>2554</v>
      </c>
      <c r="T687" s="17" t="s">
        <v>800</v>
      </c>
      <c r="U687" s="18" t="s">
        <v>5233</v>
      </c>
      <c r="V687" s="17" t="s">
        <v>9418</v>
      </c>
      <c r="W687" s="18" t="s">
        <v>5310</v>
      </c>
      <c r="X687" s="69" t="s">
        <v>9453</v>
      </c>
      <c r="Y687" s="70" t="s">
        <v>9463</v>
      </c>
      <c r="Z687" s="73" t="s">
        <v>9486</v>
      </c>
      <c r="AA687" s="74" t="s">
        <v>9504</v>
      </c>
      <c r="AB687" s="73" t="s">
        <v>9486</v>
      </c>
      <c r="AC687" s="74" t="s">
        <v>9562</v>
      </c>
      <c r="AD687" s="73" t="s">
        <v>9578</v>
      </c>
      <c r="AE687" s="74" t="s">
        <v>9579</v>
      </c>
    </row>
    <row r="688" spans="1:31" ht="8.65" customHeight="1" x14ac:dyDescent="0.2">
      <c r="A688" s="76">
        <v>688</v>
      </c>
      <c r="B688" s="67" t="str">
        <f>MID(C688, FIND("Ifc.", C688) + 4, 4) &amp; "_" &amp; TEXT(COUNTIF($C$2:C688, C688),"0000")</f>
        <v>Prop_0687</v>
      </c>
      <c r="C688" s="24" t="s">
        <v>872</v>
      </c>
      <c r="D688" s="69" t="s">
        <v>9453</v>
      </c>
      <c r="E688" s="70" t="s">
        <v>9454</v>
      </c>
      <c r="F688" s="17" t="s">
        <v>806</v>
      </c>
      <c r="G688" s="22" t="s">
        <v>1533</v>
      </c>
      <c r="H688" s="12" t="s">
        <v>9703</v>
      </c>
      <c r="I688" s="13" t="s">
        <v>6998</v>
      </c>
      <c r="J688" s="14" t="s">
        <v>798</v>
      </c>
      <c r="K688" s="15" t="s">
        <v>798</v>
      </c>
      <c r="L688" s="12" t="s">
        <v>5315</v>
      </c>
      <c r="M688" s="13" t="s">
        <v>5817</v>
      </c>
      <c r="N688" s="12" t="s">
        <v>803</v>
      </c>
      <c r="O688" s="13" t="s">
        <v>4956</v>
      </c>
      <c r="P688" s="17" t="s">
        <v>802</v>
      </c>
      <c r="Q688" s="21" t="s">
        <v>7758</v>
      </c>
      <c r="R688" s="17" t="s">
        <v>801</v>
      </c>
      <c r="S688" s="18" t="s">
        <v>2554</v>
      </c>
      <c r="T688" s="17" t="s">
        <v>800</v>
      </c>
      <c r="U688" s="18" t="s">
        <v>5233</v>
      </c>
      <c r="V688" s="17" t="s">
        <v>9418</v>
      </c>
      <c r="W688" s="18" t="s">
        <v>5310</v>
      </c>
      <c r="X688" s="69" t="s">
        <v>9453</v>
      </c>
      <c r="Y688" s="70" t="s">
        <v>9463</v>
      </c>
      <c r="Z688" s="73" t="s">
        <v>9486</v>
      </c>
      <c r="AA688" s="74" t="s">
        <v>9504</v>
      </c>
      <c r="AB688" s="73" t="s">
        <v>9486</v>
      </c>
      <c r="AC688" s="74" t="s">
        <v>9562</v>
      </c>
      <c r="AD688" s="73" t="s">
        <v>9578</v>
      </c>
      <c r="AE688" s="74" t="s">
        <v>9579</v>
      </c>
    </row>
    <row r="689" spans="1:31" ht="8.65" customHeight="1" x14ac:dyDescent="0.2">
      <c r="A689" s="76">
        <v>689</v>
      </c>
      <c r="B689" s="67" t="str">
        <f>MID(C689, FIND("Ifc.", C689) + 4, 4) &amp; "_" &amp; TEXT(COUNTIF($C$2:C689, C689),"0000")</f>
        <v>Prop_0688</v>
      </c>
      <c r="C689" s="24" t="s">
        <v>872</v>
      </c>
      <c r="D689" s="69" t="s">
        <v>9453</v>
      </c>
      <c r="E689" s="70" t="s">
        <v>9454</v>
      </c>
      <c r="F689" s="17" t="s">
        <v>806</v>
      </c>
      <c r="G689" s="22" t="s">
        <v>2359</v>
      </c>
      <c r="H689" s="12" t="s">
        <v>9703</v>
      </c>
      <c r="I689" s="13" t="s">
        <v>6747</v>
      </c>
      <c r="J689" s="14" t="s">
        <v>798</v>
      </c>
      <c r="K689" s="15" t="s">
        <v>798</v>
      </c>
      <c r="L689" s="12" t="s">
        <v>5315</v>
      </c>
      <c r="M689" s="13" t="s">
        <v>5781</v>
      </c>
      <c r="N689" s="12" t="s">
        <v>803</v>
      </c>
      <c r="O689" s="13" t="s">
        <v>5180</v>
      </c>
      <c r="P689" s="17" t="s">
        <v>802</v>
      </c>
      <c r="Q689" s="21" t="s">
        <v>7699</v>
      </c>
      <c r="R689" s="17" t="s">
        <v>801</v>
      </c>
      <c r="S689" s="18" t="s">
        <v>2554</v>
      </c>
      <c r="T689" s="17" t="s">
        <v>800</v>
      </c>
      <c r="U689" s="18" t="s">
        <v>5233</v>
      </c>
      <c r="V689" s="17" t="s">
        <v>9418</v>
      </c>
      <c r="W689" s="18" t="s">
        <v>5310</v>
      </c>
      <c r="X689" s="69" t="s">
        <v>9453</v>
      </c>
      <c r="Y689" s="70" t="s">
        <v>9463</v>
      </c>
      <c r="Z689" s="73" t="s">
        <v>9486</v>
      </c>
      <c r="AA689" s="74" t="s">
        <v>9504</v>
      </c>
      <c r="AB689" s="73" t="s">
        <v>9486</v>
      </c>
      <c r="AC689" s="74" t="s">
        <v>9562</v>
      </c>
      <c r="AD689" s="73" t="s">
        <v>9578</v>
      </c>
      <c r="AE689" s="74" t="s">
        <v>9579</v>
      </c>
    </row>
    <row r="690" spans="1:31" ht="8.65" customHeight="1" x14ac:dyDescent="0.2">
      <c r="A690" s="76">
        <v>690</v>
      </c>
      <c r="B690" s="67" t="str">
        <f>MID(C690, FIND("Ifc.", C690) + 4, 4) &amp; "_" &amp; TEXT(COUNTIF($C$2:C690, C690),"0000")</f>
        <v>Prop_0689</v>
      </c>
      <c r="C690" s="24" t="s">
        <v>872</v>
      </c>
      <c r="D690" s="69" t="s">
        <v>9453</v>
      </c>
      <c r="E690" s="70" t="s">
        <v>9454</v>
      </c>
      <c r="F690" s="17" t="s">
        <v>806</v>
      </c>
      <c r="G690" s="22" t="s">
        <v>1824</v>
      </c>
      <c r="H690" s="12" t="s">
        <v>9703</v>
      </c>
      <c r="I690" s="13" t="s">
        <v>6508</v>
      </c>
      <c r="J690" s="14" t="s">
        <v>798</v>
      </c>
      <c r="K690" s="15" t="s">
        <v>798</v>
      </c>
      <c r="L690" s="12" t="s">
        <v>5315</v>
      </c>
      <c r="M690" s="13" t="s">
        <v>6011</v>
      </c>
      <c r="N690" s="12" t="s">
        <v>803</v>
      </c>
      <c r="O690" s="13" t="s">
        <v>5027</v>
      </c>
      <c r="P690" s="17" t="s">
        <v>802</v>
      </c>
      <c r="Q690" s="21" t="s">
        <v>7705</v>
      </c>
      <c r="R690" s="17" t="s">
        <v>801</v>
      </c>
      <c r="S690" s="18" t="s">
        <v>2554</v>
      </c>
      <c r="T690" s="17" t="s">
        <v>800</v>
      </c>
      <c r="U690" s="18" t="s">
        <v>5233</v>
      </c>
      <c r="V690" s="17" t="s">
        <v>9418</v>
      </c>
      <c r="W690" s="18" t="s">
        <v>5310</v>
      </c>
      <c r="X690" s="69" t="s">
        <v>9453</v>
      </c>
      <c r="Y690" s="70" t="s">
        <v>9463</v>
      </c>
      <c r="Z690" s="73" t="s">
        <v>9486</v>
      </c>
      <c r="AA690" s="74" t="s">
        <v>9504</v>
      </c>
      <c r="AB690" s="73" t="s">
        <v>9486</v>
      </c>
      <c r="AC690" s="74" t="s">
        <v>9562</v>
      </c>
      <c r="AD690" s="73" t="s">
        <v>9578</v>
      </c>
      <c r="AE690" s="74" t="s">
        <v>9579</v>
      </c>
    </row>
    <row r="691" spans="1:31" ht="8.65" customHeight="1" x14ac:dyDescent="0.2">
      <c r="A691" s="76">
        <v>691</v>
      </c>
      <c r="B691" s="67" t="str">
        <f>MID(C691, FIND("Ifc.", C691) + 4, 4) &amp; "_" &amp; TEXT(COUNTIF($C$2:C691, C691),"0000")</f>
        <v>Prop_0690</v>
      </c>
      <c r="C691" s="24" t="s">
        <v>872</v>
      </c>
      <c r="D691" s="69" t="s">
        <v>9453</v>
      </c>
      <c r="E691" s="70" t="s">
        <v>9454</v>
      </c>
      <c r="F691" s="17" t="s">
        <v>806</v>
      </c>
      <c r="G691" s="22" t="s">
        <v>1126</v>
      </c>
      <c r="H691" s="12" t="s">
        <v>9703</v>
      </c>
      <c r="I691" s="13" t="s">
        <v>6171</v>
      </c>
      <c r="J691" s="14" t="s">
        <v>798</v>
      </c>
      <c r="K691" s="15" t="s">
        <v>798</v>
      </c>
      <c r="L691" s="12" t="s">
        <v>5315</v>
      </c>
      <c r="M691" s="13" t="s">
        <v>6038</v>
      </c>
      <c r="N691" s="12" t="s">
        <v>803</v>
      </c>
      <c r="O691" s="13" t="s">
        <v>4859</v>
      </c>
      <c r="P691" s="17" t="s">
        <v>802</v>
      </c>
      <c r="Q691" s="21" t="s">
        <v>7766</v>
      </c>
      <c r="R691" s="17" t="s">
        <v>801</v>
      </c>
      <c r="S691" s="18" t="s">
        <v>2554</v>
      </c>
      <c r="T691" s="17" t="s">
        <v>800</v>
      </c>
      <c r="U691" s="18" t="s">
        <v>5233</v>
      </c>
      <c r="V691" s="17" t="s">
        <v>9418</v>
      </c>
      <c r="W691" s="18" t="s">
        <v>5310</v>
      </c>
      <c r="X691" s="69" t="s">
        <v>9453</v>
      </c>
      <c r="Y691" s="70" t="s">
        <v>9463</v>
      </c>
      <c r="Z691" s="73" t="s">
        <v>9486</v>
      </c>
      <c r="AA691" s="74" t="s">
        <v>9504</v>
      </c>
      <c r="AB691" s="73" t="s">
        <v>9486</v>
      </c>
      <c r="AC691" s="74" t="s">
        <v>9562</v>
      </c>
      <c r="AD691" s="73" t="s">
        <v>9578</v>
      </c>
      <c r="AE691" s="74" t="s">
        <v>9579</v>
      </c>
    </row>
    <row r="692" spans="1:31" ht="8.65" customHeight="1" x14ac:dyDescent="0.2">
      <c r="A692" s="76">
        <v>692</v>
      </c>
      <c r="B692" s="67" t="str">
        <f>MID(C692, FIND("Ifc.", C692) + 4, 4) &amp; "_" &amp; TEXT(COUNTIF($C$2:C692, C692),"0000")</f>
        <v>Prop_0691</v>
      </c>
      <c r="C692" s="24" t="s">
        <v>872</v>
      </c>
      <c r="D692" s="69" t="s">
        <v>9453</v>
      </c>
      <c r="E692" s="70" t="s">
        <v>9454</v>
      </c>
      <c r="F692" s="17" t="s">
        <v>806</v>
      </c>
      <c r="G692" s="22" t="s">
        <v>1670</v>
      </c>
      <c r="H692" s="12" t="s">
        <v>9703</v>
      </c>
      <c r="I692" s="13" t="s">
        <v>6421</v>
      </c>
      <c r="J692" s="14" t="s">
        <v>798</v>
      </c>
      <c r="K692" s="15" t="s">
        <v>798</v>
      </c>
      <c r="L692" s="12" t="s">
        <v>5315</v>
      </c>
      <c r="M692" s="13" t="s">
        <v>5845</v>
      </c>
      <c r="N692" s="12" t="s">
        <v>803</v>
      </c>
      <c r="O692" s="13" t="s">
        <v>4991</v>
      </c>
      <c r="P692" s="17" t="s">
        <v>802</v>
      </c>
      <c r="Q692" s="21" t="s">
        <v>7937</v>
      </c>
      <c r="R692" s="17" t="s">
        <v>801</v>
      </c>
      <c r="S692" s="18" t="s">
        <v>3636</v>
      </c>
      <c r="T692" s="17" t="s">
        <v>800</v>
      </c>
      <c r="U692" s="18" t="s">
        <v>5257</v>
      </c>
      <c r="V692" s="17" t="s">
        <v>9418</v>
      </c>
      <c r="W692" s="18" t="s">
        <v>5314</v>
      </c>
      <c r="X692" s="69" t="s">
        <v>9453</v>
      </c>
      <c r="Y692" s="70" t="s">
        <v>9464</v>
      </c>
      <c r="Z692" s="73" t="s">
        <v>9486</v>
      </c>
      <c r="AA692" s="74" t="s">
        <v>9504</v>
      </c>
      <c r="AB692" s="73" t="s">
        <v>9486</v>
      </c>
      <c r="AC692" s="74" t="s">
        <v>9561</v>
      </c>
      <c r="AD692" s="73" t="s">
        <v>9578</v>
      </c>
      <c r="AE692" s="74" t="s">
        <v>9579</v>
      </c>
    </row>
    <row r="693" spans="1:31" ht="8.65" customHeight="1" x14ac:dyDescent="0.2">
      <c r="A693" s="76">
        <v>693</v>
      </c>
      <c r="B693" s="67" t="str">
        <f>MID(C693, FIND("Ifc.", C693) + 4, 4) &amp; "_" &amp; TEXT(COUNTIF($C$2:C693, C693),"0000")</f>
        <v>Prop_0692</v>
      </c>
      <c r="C693" s="24" t="s">
        <v>872</v>
      </c>
      <c r="D693" s="69" t="s">
        <v>9453</v>
      </c>
      <c r="E693" s="70" t="s">
        <v>9454</v>
      </c>
      <c r="F693" s="17" t="s">
        <v>806</v>
      </c>
      <c r="G693" s="22" t="s">
        <v>1612</v>
      </c>
      <c r="H693" s="12" t="s">
        <v>9703</v>
      </c>
      <c r="I693" s="13" t="s">
        <v>7196</v>
      </c>
      <c r="J693" s="14" t="s">
        <v>798</v>
      </c>
      <c r="K693" s="15" t="s">
        <v>798</v>
      </c>
      <c r="L693" s="12" t="s">
        <v>5315</v>
      </c>
      <c r="M693" s="13" t="s">
        <v>5830</v>
      </c>
      <c r="N693" s="12" t="s">
        <v>803</v>
      </c>
      <c r="O693" s="13" t="s">
        <v>4972</v>
      </c>
      <c r="P693" s="17" t="s">
        <v>802</v>
      </c>
      <c r="Q693" s="21" t="s">
        <v>7879</v>
      </c>
      <c r="R693" s="17" t="s">
        <v>801</v>
      </c>
      <c r="S693" s="18" t="s">
        <v>3636</v>
      </c>
      <c r="T693" s="17" t="s">
        <v>800</v>
      </c>
      <c r="U693" s="18" t="s">
        <v>5257</v>
      </c>
      <c r="V693" s="17" t="s">
        <v>9418</v>
      </c>
      <c r="W693" s="18" t="s">
        <v>5314</v>
      </c>
      <c r="X693" s="69" t="s">
        <v>9453</v>
      </c>
      <c r="Y693" s="70" t="s">
        <v>9464</v>
      </c>
      <c r="Z693" s="73" t="s">
        <v>9486</v>
      </c>
      <c r="AA693" s="74" t="s">
        <v>9504</v>
      </c>
      <c r="AB693" s="73" t="s">
        <v>9486</v>
      </c>
      <c r="AC693" s="74" t="s">
        <v>9561</v>
      </c>
      <c r="AD693" s="73" t="s">
        <v>9578</v>
      </c>
      <c r="AE693" s="74" t="s">
        <v>9579</v>
      </c>
    </row>
    <row r="694" spans="1:31" ht="8.65" customHeight="1" x14ac:dyDescent="0.2">
      <c r="A694" s="76">
        <v>694</v>
      </c>
      <c r="B694" s="67" t="str">
        <f>MID(C694, FIND("Ifc.", C694) + 4, 4) &amp; "_" &amp; TEXT(COUNTIF($C$2:C694, C694),"0000")</f>
        <v>Prop_0693</v>
      </c>
      <c r="C694" s="24" t="s">
        <v>872</v>
      </c>
      <c r="D694" s="69" t="s">
        <v>9453</v>
      </c>
      <c r="E694" s="70" t="s">
        <v>9454</v>
      </c>
      <c r="F694" s="17" t="s">
        <v>806</v>
      </c>
      <c r="G694" s="22" t="s">
        <v>2458</v>
      </c>
      <c r="H694" s="12" t="s">
        <v>9703</v>
      </c>
      <c r="I694" s="13" t="s">
        <v>6253</v>
      </c>
      <c r="J694" s="14" t="s">
        <v>798</v>
      </c>
      <c r="K694" s="15" t="s">
        <v>798</v>
      </c>
      <c r="L694" s="12" t="s">
        <v>5315</v>
      </c>
      <c r="M694" s="13" t="s">
        <v>6025</v>
      </c>
      <c r="N694" s="12" t="s">
        <v>803</v>
      </c>
      <c r="O694" s="13" t="s">
        <v>5211</v>
      </c>
      <c r="P694" s="17" t="s">
        <v>802</v>
      </c>
      <c r="Q694" s="21" t="s">
        <v>7938</v>
      </c>
      <c r="R694" s="17" t="s">
        <v>801</v>
      </c>
      <c r="S694" s="18" t="s">
        <v>2560</v>
      </c>
      <c r="T694" s="17" t="s">
        <v>800</v>
      </c>
      <c r="U694" s="18" t="s">
        <v>5236</v>
      </c>
      <c r="V694" s="17" t="s">
        <v>9418</v>
      </c>
      <c r="W694" s="18" t="s">
        <v>5309</v>
      </c>
      <c r="X694" s="69" t="s">
        <v>9453</v>
      </c>
      <c r="Y694" s="70" t="s">
        <v>9462</v>
      </c>
      <c r="Z694" s="73" t="s">
        <v>9486</v>
      </c>
      <c r="AA694" s="74" t="s">
        <v>9504</v>
      </c>
      <c r="AB694" s="73" t="s">
        <v>9486</v>
      </c>
      <c r="AC694" s="74" t="s">
        <v>9562</v>
      </c>
      <c r="AD694" s="73" t="s">
        <v>9578</v>
      </c>
      <c r="AE694" s="74" t="s">
        <v>9579</v>
      </c>
    </row>
    <row r="695" spans="1:31" ht="8.65" customHeight="1" x14ac:dyDescent="0.2">
      <c r="A695" s="76">
        <v>695</v>
      </c>
      <c r="B695" s="67" t="str">
        <f>MID(C695, FIND("Ifc.", C695) + 4, 4) &amp; "_" &amp; TEXT(COUNTIF($C$2:C695, C695),"0000")</f>
        <v>Prop_0694</v>
      </c>
      <c r="C695" s="24" t="s">
        <v>872</v>
      </c>
      <c r="D695" s="69" t="s">
        <v>9453</v>
      </c>
      <c r="E695" s="70" t="s">
        <v>9454</v>
      </c>
      <c r="F695" s="17" t="s">
        <v>806</v>
      </c>
      <c r="G695" s="22" t="s">
        <v>2079</v>
      </c>
      <c r="H695" s="12" t="s">
        <v>9703</v>
      </c>
      <c r="I695" s="13" t="s">
        <v>7026</v>
      </c>
      <c r="J695" s="14" t="s">
        <v>798</v>
      </c>
      <c r="K695" s="15" t="s">
        <v>798</v>
      </c>
      <c r="L695" s="12" t="s">
        <v>5315</v>
      </c>
      <c r="M695" s="13" t="s">
        <v>5978</v>
      </c>
      <c r="N695" s="12" t="s">
        <v>803</v>
      </c>
      <c r="O695" s="13" t="s">
        <v>5093</v>
      </c>
      <c r="P695" s="17" t="s">
        <v>802</v>
      </c>
      <c r="Q695" s="21" t="s">
        <v>7732</v>
      </c>
      <c r="R695" s="17" t="s">
        <v>801</v>
      </c>
      <c r="S695" s="18" t="s">
        <v>2585</v>
      </c>
      <c r="T695" s="17" t="s">
        <v>800</v>
      </c>
      <c r="U695" s="18" t="s">
        <v>5238</v>
      </c>
      <c r="V695" s="17" t="s">
        <v>9418</v>
      </c>
      <c r="W695" s="18" t="s">
        <v>5309</v>
      </c>
      <c r="X695" s="69" t="s">
        <v>9453</v>
      </c>
      <c r="Y695" s="70" t="s">
        <v>9462</v>
      </c>
      <c r="Z695" s="73" t="s">
        <v>9486</v>
      </c>
      <c r="AA695" s="74" t="s">
        <v>9504</v>
      </c>
      <c r="AB695" s="73" t="s">
        <v>9486</v>
      </c>
      <c r="AC695" s="74" t="s">
        <v>9566</v>
      </c>
      <c r="AD695" s="73" t="s">
        <v>9578</v>
      </c>
      <c r="AE695" s="74" t="s">
        <v>9579</v>
      </c>
    </row>
    <row r="696" spans="1:31" ht="8.65" customHeight="1" x14ac:dyDescent="0.2">
      <c r="A696" s="76">
        <v>696</v>
      </c>
      <c r="B696" s="67" t="str">
        <f>MID(C696, FIND("Ifc.", C696) + 4, 4) &amp; "_" &amp; TEXT(COUNTIF($C$2:C696, C696),"0000")</f>
        <v>Prop_0695</v>
      </c>
      <c r="C696" s="24" t="s">
        <v>872</v>
      </c>
      <c r="D696" s="69" t="s">
        <v>9453</v>
      </c>
      <c r="E696" s="70" t="s">
        <v>9454</v>
      </c>
      <c r="F696" s="17" t="s">
        <v>806</v>
      </c>
      <c r="G696" s="22" t="s">
        <v>1811</v>
      </c>
      <c r="H696" s="12" t="s">
        <v>9703</v>
      </c>
      <c r="I696" s="13" t="s">
        <v>6085</v>
      </c>
      <c r="J696" s="14" t="s">
        <v>798</v>
      </c>
      <c r="K696" s="15" t="s">
        <v>798</v>
      </c>
      <c r="L696" s="12" t="s">
        <v>5315</v>
      </c>
      <c r="M696" s="13" t="s">
        <v>5942</v>
      </c>
      <c r="N696" s="12" t="s">
        <v>803</v>
      </c>
      <c r="O696" s="13" t="s">
        <v>5024</v>
      </c>
      <c r="P696" s="17" t="s">
        <v>802</v>
      </c>
      <c r="Q696" s="21" t="s">
        <v>7734</v>
      </c>
      <c r="R696" s="17" t="s">
        <v>801</v>
      </c>
      <c r="S696" s="18" t="s">
        <v>2585</v>
      </c>
      <c r="T696" s="17" t="s">
        <v>800</v>
      </c>
      <c r="U696" s="18" t="s">
        <v>5238</v>
      </c>
      <c r="V696" s="17" t="s">
        <v>9418</v>
      </c>
      <c r="W696" s="18" t="s">
        <v>5309</v>
      </c>
      <c r="X696" s="69" t="s">
        <v>9453</v>
      </c>
      <c r="Y696" s="70" t="s">
        <v>9462</v>
      </c>
      <c r="Z696" s="73" t="s">
        <v>9486</v>
      </c>
      <c r="AA696" s="74" t="s">
        <v>9504</v>
      </c>
      <c r="AB696" s="73" t="s">
        <v>9486</v>
      </c>
      <c r="AC696" s="74" t="s">
        <v>9566</v>
      </c>
      <c r="AD696" s="73" t="s">
        <v>9578</v>
      </c>
      <c r="AE696" s="74" t="s">
        <v>9579</v>
      </c>
    </row>
    <row r="697" spans="1:31" ht="8.65" customHeight="1" x14ac:dyDescent="0.2">
      <c r="A697" s="76">
        <v>697</v>
      </c>
      <c r="B697" s="67" t="str">
        <f>MID(C697, FIND("Ifc.", C697) + 4, 4) &amp; "_" &amp; TEXT(COUNTIF($C$2:C697, C697),"0000")</f>
        <v>Prop_0696</v>
      </c>
      <c r="C697" s="24" t="s">
        <v>872</v>
      </c>
      <c r="D697" s="69" t="s">
        <v>9453</v>
      </c>
      <c r="E697" s="70" t="s">
        <v>9454</v>
      </c>
      <c r="F697" s="17" t="s">
        <v>806</v>
      </c>
      <c r="G697" s="22" t="s">
        <v>1953</v>
      </c>
      <c r="H697" s="12" t="s">
        <v>9703</v>
      </c>
      <c r="I697" s="13" t="s">
        <v>6591</v>
      </c>
      <c r="J697" s="14" t="s">
        <v>798</v>
      </c>
      <c r="K697" s="15" t="s">
        <v>798</v>
      </c>
      <c r="L697" s="12" t="s">
        <v>5315</v>
      </c>
      <c r="M697" s="13" t="s">
        <v>5472</v>
      </c>
      <c r="N697" s="12" t="s">
        <v>803</v>
      </c>
      <c r="O697" s="13" t="s">
        <v>5067</v>
      </c>
      <c r="P697" s="17" t="s">
        <v>802</v>
      </c>
      <c r="Q697" s="21" t="s">
        <v>7791</v>
      </c>
      <c r="R697" s="17" t="s">
        <v>801</v>
      </c>
      <c r="S697" s="18" t="s">
        <v>2583</v>
      </c>
      <c r="T697" s="17" t="s">
        <v>800</v>
      </c>
      <c r="U697" s="18" t="s">
        <v>5251</v>
      </c>
      <c r="V697" s="17" t="s">
        <v>9418</v>
      </c>
      <c r="W697" s="18" t="s">
        <v>5309</v>
      </c>
      <c r="X697" s="69" t="s">
        <v>9453</v>
      </c>
      <c r="Y697" s="70" t="s">
        <v>9462</v>
      </c>
      <c r="Z697" s="73" t="s">
        <v>9486</v>
      </c>
      <c r="AA697" s="74" t="s">
        <v>9504</v>
      </c>
      <c r="AB697" s="73" t="s">
        <v>9486</v>
      </c>
      <c r="AC697" s="74" t="s">
        <v>9566</v>
      </c>
      <c r="AD697" s="73" t="s">
        <v>9578</v>
      </c>
      <c r="AE697" s="74" t="s">
        <v>9579</v>
      </c>
    </row>
    <row r="698" spans="1:31" ht="8.65" customHeight="1" x14ac:dyDescent="0.2">
      <c r="A698" s="76">
        <v>698</v>
      </c>
      <c r="B698" s="67" t="str">
        <f>MID(C698, FIND("Ifc.", C698) + 4, 4) &amp; "_" &amp; TEXT(COUNTIF($C$2:C698, C698),"0000")</f>
        <v>Prop_0697</v>
      </c>
      <c r="C698" s="24" t="s">
        <v>872</v>
      </c>
      <c r="D698" s="69" t="s">
        <v>9453</v>
      </c>
      <c r="E698" s="70" t="s">
        <v>9454</v>
      </c>
      <c r="F698" s="17" t="s">
        <v>806</v>
      </c>
      <c r="G698" s="22" t="s">
        <v>2078</v>
      </c>
      <c r="H698" s="12" t="s">
        <v>9703</v>
      </c>
      <c r="I698" s="13" t="s">
        <v>6499</v>
      </c>
      <c r="J698" s="14" t="s">
        <v>798</v>
      </c>
      <c r="K698" s="15" t="s">
        <v>798</v>
      </c>
      <c r="L698" s="12" t="s">
        <v>5315</v>
      </c>
      <c r="M698" s="13" t="s">
        <v>5978</v>
      </c>
      <c r="N698" s="12" t="s">
        <v>803</v>
      </c>
      <c r="O698" s="13" t="s">
        <v>5093</v>
      </c>
      <c r="P698" s="17" t="s">
        <v>802</v>
      </c>
      <c r="Q698" s="21" t="s">
        <v>7732</v>
      </c>
      <c r="R698" s="17" t="s">
        <v>801</v>
      </c>
      <c r="S698" s="18" t="s">
        <v>2585</v>
      </c>
      <c r="T698" s="17" t="s">
        <v>800</v>
      </c>
      <c r="U698" s="18" t="s">
        <v>5238</v>
      </c>
      <c r="V698" s="17" t="s">
        <v>9418</v>
      </c>
      <c r="W698" s="18" t="s">
        <v>5309</v>
      </c>
      <c r="X698" s="69" t="s">
        <v>9453</v>
      </c>
      <c r="Y698" s="70" t="s">
        <v>9462</v>
      </c>
      <c r="Z698" s="73" t="s">
        <v>9486</v>
      </c>
      <c r="AA698" s="74" t="s">
        <v>9504</v>
      </c>
      <c r="AB698" s="73" t="s">
        <v>9486</v>
      </c>
      <c r="AC698" s="74" t="s">
        <v>9566</v>
      </c>
      <c r="AD698" s="73" t="s">
        <v>9578</v>
      </c>
      <c r="AE698" s="74" t="s">
        <v>9579</v>
      </c>
    </row>
    <row r="699" spans="1:31" ht="8.65" customHeight="1" x14ac:dyDescent="0.2">
      <c r="A699" s="76">
        <v>699</v>
      </c>
      <c r="B699" s="67" t="str">
        <f>MID(C699, FIND("Ifc.", C699) + 4, 4) &amp; "_" &amp; TEXT(COUNTIF($C$2:C699, C699),"0000")</f>
        <v>Prop_0698</v>
      </c>
      <c r="C699" s="24" t="s">
        <v>872</v>
      </c>
      <c r="D699" s="69" t="s">
        <v>9453</v>
      </c>
      <c r="E699" s="70" t="s">
        <v>9454</v>
      </c>
      <c r="F699" s="17" t="s">
        <v>806</v>
      </c>
      <c r="G699" s="22" t="s">
        <v>1810</v>
      </c>
      <c r="H699" s="12" t="s">
        <v>9703</v>
      </c>
      <c r="I699" s="13" t="s">
        <v>6084</v>
      </c>
      <c r="J699" s="14" t="s">
        <v>798</v>
      </c>
      <c r="K699" s="15" t="s">
        <v>798</v>
      </c>
      <c r="L699" s="12" t="s">
        <v>5315</v>
      </c>
      <c r="M699" s="13" t="s">
        <v>5942</v>
      </c>
      <c r="N699" s="12" t="s">
        <v>803</v>
      </c>
      <c r="O699" s="13" t="s">
        <v>5024</v>
      </c>
      <c r="P699" s="17" t="s">
        <v>802</v>
      </c>
      <c r="Q699" s="21" t="s">
        <v>7734</v>
      </c>
      <c r="R699" s="17" t="s">
        <v>801</v>
      </c>
      <c r="S699" s="18" t="s">
        <v>2585</v>
      </c>
      <c r="T699" s="17" t="s">
        <v>800</v>
      </c>
      <c r="U699" s="18" t="s">
        <v>5238</v>
      </c>
      <c r="V699" s="17" t="s">
        <v>9418</v>
      </c>
      <c r="W699" s="18" t="s">
        <v>5309</v>
      </c>
      <c r="X699" s="69" t="s">
        <v>9453</v>
      </c>
      <c r="Y699" s="70" t="s">
        <v>9462</v>
      </c>
      <c r="Z699" s="73" t="s">
        <v>9486</v>
      </c>
      <c r="AA699" s="74" t="s">
        <v>9504</v>
      </c>
      <c r="AB699" s="73" t="s">
        <v>9486</v>
      </c>
      <c r="AC699" s="74" t="s">
        <v>9566</v>
      </c>
      <c r="AD699" s="73" t="s">
        <v>9578</v>
      </c>
      <c r="AE699" s="74" t="s">
        <v>9579</v>
      </c>
    </row>
    <row r="700" spans="1:31" ht="8.65" customHeight="1" x14ac:dyDescent="0.2">
      <c r="A700" s="76">
        <v>700</v>
      </c>
      <c r="B700" s="67" t="str">
        <f>MID(C700, FIND("Ifc.", C700) + 4, 4) &amp; "_" &amp; TEXT(COUNTIF($C$2:C700, C700),"0000")</f>
        <v>Prop_0699</v>
      </c>
      <c r="C700" s="24" t="s">
        <v>872</v>
      </c>
      <c r="D700" s="69" t="s">
        <v>9453</v>
      </c>
      <c r="E700" s="70" t="s">
        <v>9454</v>
      </c>
      <c r="F700" s="17" t="s">
        <v>806</v>
      </c>
      <c r="G700" s="22" t="s">
        <v>1809</v>
      </c>
      <c r="H700" s="12" t="s">
        <v>9703</v>
      </c>
      <c r="I700" s="13" t="s">
        <v>7400</v>
      </c>
      <c r="J700" s="14" t="s">
        <v>798</v>
      </c>
      <c r="K700" s="15" t="s">
        <v>798</v>
      </c>
      <c r="L700" s="12" t="s">
        <v>5315</v>
      </c>
      <c r="M700" s="13" t="s">
        <v>5942</v>
      </c>
      <c r="N700" s="12" t="s">
        <v>803</v>
      </c>
      <c r="O700" s="13" t="s">
        <v>5024</v>
      </c>
      <c r="P700" s="17" t="s">
        <v>802</v>
      </c>
      <c r="Q700" s="21" t="s">
        <v>7734</v>
      </c>
      <c r="R700" s="17" t="s">
        <v>801</v>
      </c>
      <c r="S700" s="18" t="s">
        <v>2585</v>
      </c>
      <c r="T700" s="17" t="s">
        <v>800</v>
      </c>
      <c r="U700" s="18" t="s">
        <v>5238</v>
      </c>
      <c r="V700" s="17" t="s">
        <v>9418</v>
      </c>
      <c r="W700" s="18" t="s">
        <v>5309</v>
      </c>
      <c r="X700" s="69" t="s">
        <v>9453</v>
      </c>
      <c r="Y700" s="70" t="s">
        <v>9462</v>
      </c>
      <c r="Z700" s="73" t="s">
        <v>9486</v>
      </c>
      <c r="AA700" s="74" t="s">
        <v>9504</v>
      </c>
      <c r="AB700" s="73" t="s">
        <v>9486</v>
      </c>
      <c r="AC700" s="74" t="s">
        <v>9566</v>
      </c>
      <c r="AD700" s="73" t="s">
        <v>9578</v>
      </c>
      <c r="AE700" s="74" t="s">
        <v>9579</v>
      </c>
    </row>
    <row r="701" spans="1:31" ht="8.65" customHeight="1" x14ac:dyDescent="0.2">
      <c r="A701" s="76">
        <v>701</v>
      </c>
      <c r="B701" s="67" t="str">
        <f>MID(C701, FIND("Ifc.", C701) + 4, 4) &amp; "_" &amp; TEXT(COUNTIF($C$2:C701, C701),"0000")</f>
        <v>Prop_0700</v>
      </c>
      <c r="C701" s="24" t="s">
        <v>872</v>
      </c>
      <c r="D701" s="69" t="s">
        <v>9453</v>
      </c>
      <c r="E701" s="70" t="s">
        <v>9454</v>
      </c>
      <c r="F701" s="17" t="s">
        <v>806</v>
      </c>
      <c r="G701" s="22" t="s">
        <v>928</v>
      </c>
      <c r="H701" s="12" t="s">
        <v>9703</v>
      </c>
      <c r="I701" s="13" t="s">
        <v>6842</v>
      </c>
      <c r="J701" s="14" t="s">
        <v>798</v>
      </c>
      <c r="K701" s="15" t="s">
        <v>798</v>
      </c>
      <c r="L701" s="12" t="s">
        <v>5315</v>
      </c>
      <c r="M701" s="13" t="s">
        <v>5372</v>
      </c>
      <c r="N701" s="12" t="s">
        <v>803</v>
      </c>
      <c r="O701" s="13" t="s">
        <v>4813</v>
      </c>
      <c r="P701" s="17" t="s">
        <v>802</v>
      </c>
      <c r="Q701" s="21" t="s">
        <v>7812</v>
      </c>
      <c r="R701" s="17" t="s">
        <v>801</v>
      </c>
      <c r="S701" s="18" t="s">
        <v>2625</v>
      </c>
      <c r="T701" s="17" t="s">
        <v>800</v>
      </c>
      <c r="U701" s="18" t="s">
        <v>5240</v>
      </c>
      <c r="V701" s="17" t="s">
        <v>9418</v>
      </c>
      <c r="W701" s="18" t="s">
        <v>5309</v>
      </c>
      <c r="X701" s="69" t="s">
        <v>9453</v>
      </c>
      <c r="Y701" s="70" t="s">
        <v>9462</v>
      </c>
      <c r="Z701" s="73" t="s">
        <v>9486</v>
      </c>
      <c r="AA701" s="74" t="s">
        <v>9504</v>
      </c>
      <c r="AB701" s="73" t="s">
        <v>9486</v>
      </c>
      <c r="AC701" s="74" t="s">
        <v>9566</v>
      </c>
      <c r="AD701" s="73" t="s">
        <v>9578</v>
      </c>
      <c r="AE701" s="74" t="s">
        <v>9579</v>
      </c>
    </row>
    <row r="702" spans="1:31" ht="8.65" customHeight="1" x14ac:dyDescent="0.2">
      <c r="A702" s="76">
        <v>702</v>
      </c>
      <c r="B702" s="67" t="str">
        <f>MID(C702, FIND("Ifc.", C702) + 4, 4) &amp; "_" &amp; TEXT(COUNTIF($C$2:C702, C702),"0000")</f>
        <v>Prop_0701</v>
      </c>
      <c r="C702" s="24" t="s">
        <v>872</v>
      </c>
      <c r="D702" s="69" t="s">
        <v>9453</v>
      </c>
      <c r="E702" s="70" t="s">
        <v>9454</v>
      </c>
      <c r="F702" s="17" t="s">
        <v>806</v>
      </c>
      <c r="G702" s="22" t="s">
        <v>931</v>
      </c>
      <c r="H702" s="12" t="s">
        <v>9703</v>
      </c>
      <c r="I702" s="13" t="s">
        <v>6843</v>
      </c>
      <c r="J702" s="14" t="s">
        <v>798</v>
      </c>
      <c r="K702" s="15" t="s">
        <v>798</v>
      </c>
      <c r="L702" s="12" t="s">
        <v>5315</v>
      </c>
      <c r="M702" s="13" t="s">
        <v>5372</v>
      </c>
      <c r="N702" s="12" t="s">
        <v>803</v>
      </c>
      <c r="O702" s="13" t="s">
        <v>4813</v>
      </c>
      <c r="P702" s="17" t="s">
        <v>802</v>
      </c>
      <c r="Q702" s="21" t="s">
        <v>7812</v>
      </c>
      <c r="R702" s="17" t="s">
        <v>801</v>
      </c>
      <c r="S702" s="18" t="s">
        <v>2625</v>
      </c>
      <c r="T702" s="17" t="s">
        <v>800</v>
      </c>
      <c r="U702" s="18" t="s">
        <v>5240</v>
      </c>
      <c r="V702" s="17" t="s">
        <v>9418</v>
      </c>
      <c r="W702" s="18" t="s">
        <v>5309</v>
      </c>
      <c r="X702" s="69" t="s">
        <v>9453</v>
      </c>
      <c r="Y702" s="70" t="s">
        <v>9462</v>
      </c>
      <c r="Z702" s="73" t="s">
        <v>9486</v>
      </c>
      <c r="AA702" s="74" t="s">
        <v>9504</v>
      </c>
      <c r="AB702" s="73" t="s">
        <v>9486</v>
      </c>
      <c r="AC702" s="74" t="s">
        <v>9566</v>
      </c>
      <c r="AD702" s="73" t="s">
        <v>9578</v>
      </c>
      <c r="AE702" s="74" t="s">
        <v>9579</v>
      </c>
    </row>
    <row r="703" spans="1:31" ht="8.65" customHeight="1" x14ac:dyDescent="0.2">
      <c r="A703" s="76">
        <v>703</v>
      </c>
      <c r="B703" s="67" t="str">
        <f>MID(C703, FIND("Ifc.", C703) + 4, 4) &amp; "_" &amp; TEXT(COUNTIF($C$2:C703, C703),"0000")</f>
        <v>Prop_0702</v>
      </c>
      <c r="C703" s="24" t="s">
        <v>872</v>
      </c>
      <c r="D703" s="69" t="s">
        <v>9453</v>
      </c>
      <c r="E703" s="70" t="s">
        <v>9454</v>
      </c>
      <c r="F703" s="17" t="s">
        <v>806</v>
      </c>
      <c r="G703" s="22" t="s">
        <v>928</v>
      </c>
      <c r="H703" s="12" t="s">
        <v>9703</v>
      </c>
      <c r="I703" s="13" t="s">
        <v>6073</v>
      </c>
      <c r="J703" s="14" t="s">
        <v>798</v>
      </c>
      <c r="K703" s="15" t="s">
        <v>798</v>
      </c>
      <c r="L703" s="12" t="s">
        <v>5315</v>
      </c>
      <c r="M703" s="13" t="s">
        <v>5852</v>
      </c>
      <c r="N703" s="12" t="s">
        <v>803</v>
      </c>
      <c r="O703" s="13" t="s">
        <v>5005</v>
      </c>
      <c r="P703" s="17" t="s">
        <v>802</v>
      </c>
      <c r="Q703" s="21" t="s">
        <v>7920</v>
      </c>
      <c r="R703" s="17" t="s">
        <v>801</v>
      </c>
      <c r="S703" s="18" t="s">
        <v>2625</v>
      </c>
      <c r="T703" s="17" t="s">
        <v>800</v>
      </c>
      <c r="U703" s="18" t="s">
        <v>5240</v>
      </c>
      <c r="V703" s="17" t="s">
        <v>9418</v>
      </c>
      <c r="W703" s="18" t="s">
        <v>5309</v>
      </c>
      <c r="X703" s="69" t="s">
        <v>9453</v>
      </c>
      <c r="Y703" s="70" t="s">
        <v>9462</v>
      </c>
      <c r="Z703" s="73" t="s">
        <v>9486</v>
      </c>
      <c r="AA703" s="74" t="s">
        <v>9504</v>
      </c>
      <c r="AB703" s="73" t="s">
        <v>9486</v>
      </c>
      <c r="AC703" s="74" t="s">
        <v>9566</v>
      </c>
      <c r="AD703" s="73" t="s">
        <v>9578</v>
      </c>
      <c r="AE703" s="74" t="s">
        <v>9579</v>
      </c>
    </row>
    <row r="704" spans="1:31" ht="8.65" customHeight="1" x14ac:dyDescent="0.2">
      <c r="A704" s="76">
        <v>704</v>
      </c>
      <c r="B704" s="67" t="str">
        <f>MID(C704, FIND("Ifc.", C704) + 4, 4) &amp; "_" &amp; TEXT(COUNTIF($C$2:C704, C704),"0000")</f>
        <v>Prop_0703</v>
      </c>
      <c r="C704" s="24" t="s">
        <v>872</v>
      </c>
      <c r="D704" s="69" t="s">
        <v>9453</v>
      </c>
      <c r="E704" s="70" t="s">
        <v>9454</v>
      </c>
      <c r="F704" s="17" t="s">
        <v>806</v>
      </c>
      <c r="G704" s="22" t="s">
        <v>931</v>
      </c>
      <c r="H704" s="12" t="s">
        <v>9703</v>
      </c>
      <c r="I704" s="13" t="s">
        <v>6075</v>
      </c>
      <c r="J704" s="14" t="s">
        <v>798</v>
      </c>
      <c r="K704" s="15" t="s">
        <v>798</v>
      </c>
      <c r="L704" s="12" t="s">
        <v>5315</v>
      </c>
      <c r="M704" s="13" t="s">
        <v>5852</v>
      </c>
      <c r="N704" s="12" t="s">
        <v>803</v>
      </c>
      <c r="O704" s="13" t="s">
        <v>5005</v>
      </c>
      <c r="P704" s="17" t="s">
        <v>802</v>
      </c>
      <c r="Q704" s="21" t="s">
        <v>7920</v>
      </c>
      <c r="R704" s="17" t="s">
        <v>801</v>
      </c>
      <c r="S704" s="18" t="s">
        <v>2625</v>
      </c>
      <c r="T704" s="17" t="s">
        <v>800</v>
      </c>
      <c r="U704" s="18" t="s">
        <v>5240</v>
      </c>
      <c r="V704" s="17" t="s">
        <v>9418</v>
      </c>
      <c r="W704" s="18" t="s">
        <v>5309</v>
      </c>
      <c r="X704" s="69" t="s">
        <v>9453</v>
      </c>
      <c r="Y704" s="70" t="s">
        <v>9462</v>
      </c>
      <c r="Z704" s="73" t="s">
        <v>9486</v>
      </c>
      <c r="AA704" s="74" t="s">
        <v>9504</v>
      </c>
      <c r="AB704" s="73" t="s">
        <v>9486</v>
      </c>
      <c r="AC704" s="74" t="s">
        <v>9566</v>
      </c>
      <c r="AD704" s="73" t="s">
        <v>9578</v>
      </c>
      <c r="AE704" s="74" t="s">
        <v>9579</v>
      </c>
    </row>
    <row r="705" spans="1:31" ht="8.65" customHeight="1" x14ac:dyDescent="0.2">
      <c r="A705" s="76">
        <v>705</v>
      </c>
      <c r="B705" s="67" t="str">
        <f>MID(C705, FIND("Ifc.", C705) + 4, 4) &amp; "_" &amp; TEXT(COUNTIF($C$2:C705, C705),"0000")</f>
        <v>Prop_0704</v>
      </c>
      <c r="C705" s="24" t="s">
        <v>872</v>
      </c>
      <c r="D705" s="69" t="s">
        <v>9453</v>
      </c>
      <c r="E705" s="70" t="s">
        <v>9454</v>
      </c>
      <c r="F705" s="17" t="s">
        <v>806</v>
      </c>
      <c r="G705" s="22" t="s">
        <v>1241</v>
      </c>
      <c r="H705" s="12" t="s">
        <v>9703</v>
      </c>
      <c r="I705" s="13" t="s">
        <v>6227</v>
      </c>
      <c r="J705" s="14" t="s">
        <v>798</v>
      </c>
      <c r="K705" s="15" t="s">
        <v>798</v>
      </c>
      <c r="L705" s="12" t="s">
        <v>5315</v>
      </c>
      <c r="M705" s="13" t="s">
        <v>5401</v>
      </c>
      <c r="N705" s="12" t="s">
        <v>803</v>
      </c>
      <c r="O705" s="13" t="s">
        <v>4889</v>
      </c>
      <c r="P705" s="17" t="s">
        <v>802</v>
      </c>
      <c r="Q705" s="21" t="s">
        <v>7746</v>
      </c>
      <c r="R705" s="17" t="s">
        <v>801</v>
      </c>
      <c r="S705" s="18" t="s">
        <v>2625</v>
      </c>
      <c r="T705" s="17" t="s">
        <v>800</v>
      </c>
      <c r="U705" s="18" t="s">
        <v>5240</v>
      </c>
      <c r="V705" s="17" t="s">
        <v>9418</v>
      </c>
      <c r="W705" s="18" t="s">
        <v>5309</v>
      </c>
      <c r="X705" s="69" t="s">
        <v>9453</v>
      </c>
      <c r="Y705" s="70" t="s">
        <v>9462</v>
      </c>
      <c r="Z705" s="73" t="s">
        <v>9486</v>
      </c>
      <c r="AA705" s="74" t="s">
        <v>9504</v>
      </c>
      <c r="AB705" s="73" t="s">
        <v>9486</v>
      </c>
      <c r="AC705" s="74" t="s">
        <v>9566</v>
      </c>
      <c r="AD705" s="73" t="s">
        <v>9578</v>
      </c>
      <c r="AE705" s="74" t="s">
        <v>9579</v>
      </c>
    </row>
    <row r="706" spans="1:31" ht="8.65" customHeight="1" x14ac:dyDescent="0.2">
      <c r="A706" s="76">
        <v>706</v>
      </c>
      <c r="B706" s="67" t="str">
        <f>MID(C706, FIND("Ifc.", C706) + 4, 4) &amp; "_" &amp; TEXT(COUNTIF($C$2:C706, C706),"0000")</f>
        <v>Prop_0705</v>
      </c>
      <c r="C706" s="24" t="s">
        <v>872</v>
      </c>
      <c r="D706" s="69" t="s">
        <v>9453</v>
      </c>
      <c r="E706" s="70" t="s">
        <v>9454</v>
      </c>
      <c r="F706" s="17" t="s">
        <v>806</v>
      </c>
      <c r="G706" s="22" t="s">
        <v>2309</v>
      </c>
      <c r="H706" s="12" t="s">
        <v>9703</v>
      </c>
      <c r="I706" s="13" t="s">
        <v>6726</v>
      </c>
      <c r="J706" s="14" t="s">
        <v>798</v>
      </c>
      <c r="K706" s="15" t="s">
        <v>798</v>
      </c>
      <c r="L706" s="12" t="s">
        <v>5315</v>
      </c>
      <c r="M706" s="13" t="s">
        <v>5554</v>
      </c>
      <c r="N706" s="12" t="s">
        <v>803</v>
      </c>
      <c r="O706" s="13" t="s">
        <v>5168</v>
      </c>
      <c r="P706" s="17" t="s">
        <v>802</v>
      </c>
      <c r="Q706" s="21" t="s">
        <v>7816</v>
      </c>
      <c r="R706" s="17" t="s">
        <v>801</v>
      </c>
      <c r="S706" s="18" t="s">
        <v>2625</v>
      </c>
      <c r="T706" s="17" t="s">
        <v>800</v>
      </c>
      <c r="U706" s="18" t="s">
        <v>5240</v>
      </c>
      <c r="V706" s="17" t="s">
        <v>9418</v>
      </c>
      <c r="W706" s="18" t="s">
        <v>5309</v>
      </c>
      <c r="X706" s="69" t="s">
        <v>9453</v>
      </c>
      <c r="Y706" s="70" t="s">
        <v>9462</v>
      </c>
      <c r="Z706" s="73" t="s">
        <v>9486</v>
      </c>
      <c r="AA706" s="74" t="s">
        <v>9504</v>
      </c>
      <c r="AB706" s="73" t="s">
        <v>9486</v>
      </c>
      <c r="AC706" s="74" t="s">
        <v>9566</v>
      </c>
      <c r="AD706" s="73" t="s">
        <v>9578</v>
      </c>
      <c r="AE706" s="74" t="s">
        <v>9579</v>
      </c>
    </row>
    <row r="707" spans="1:31" ht="8.65" customHeight="1" x14ac:dyDescent="0.2">
      <c r="A707" s="76">
        <v>707</v>
      </c>
      <c r="B707" s="67" t="str">
        <f>MID(C707, FIND("Ifc.", C707) + 4, 4) &amp; "_" &amp; TEXT(COUNTIF($C$2:C707, C707),"0000")</f>
        <v>Prop_0706</v>
      </c>
      <c r="C707" s="24" t="s">
        <v>872</v>
      </c>
      <c r="D707" s="69" t="s">
        <v>9453</v>
      </c>
      <c r="E707" s="70" t="s">
        <v>9454</v>
      </c>
      <c r="F707" s="17" t="s">
        <v>806</v>
      </c>
      <c r="G707" s="22" t="s">
        <v>1832</v>
      </c>
      <c r="H707" s="12" t="s">
        <v>9703</v>
      </c>
      <c r="I707" s="13" t="s">
        <v>6064</v>
      </c>
      <c r="J707" s="14" t="s">
        <v>798</v>
      </c>
      <c r="K707" s="15" t="s">
        <v>798</v>
      </c>
      <c r="L707" s="12" t="s">
        <v>5315</v>
      </c>
      <c r="M707" s="13" t="s">
        <v>5945</v>
      </c>
      <c r="N707" s="12" t="s">
        <v>803</v>
      </c>
      <c r="O707" s="13" t="s">
        <v>5029</v>
      </c>
      <c r="P707" s="17" t="s">
        <v>802</v>
      </c>
      <c r="Q707" s="21" t="s">
        <v>7764</v>
      </c>
      <c r="R707" s="17" t="s">
        <v>801</v>
      </c>
      <c r="S707" s="18" t="s">
        <v>2560</v>
      </c>
      <c r="T707" s="17" t="s">
        <v>800</v>
      </c>
      <c r="U707" s="18" t="s">
        <v>5236</v>
      </c>
      <c r="V707" s="17" t="s">
        <v>9418</v>
      </c>
      <c r="W707" s="18" t="s">
        <v>5309</v>
      </c>
      <c r="X707" s="69" t="s">
        <v>9453</v>
      </c>
      <c r="Y707" s="70" t="s">
        <v>9462</v>
      </c>
      <c r="Z707" s="73" t="s">
        <v>9486</v>
      </c>
      <c r="AA707" s="74" t="s">
        <v>9504</v>
      </c>
      <c r="AB707" s="73" t="s">
        <v>9486</v>
      </c>
      <c r="AC707" s="74" t="s">
        <v>9562</v>
      </c>
      <c r="AD707" s="73" t="s">
        <v>9578</v>
      </c>
      <c r="AE707" s="74" t="s">
        <v>9579</v>
      </c>
    </row>
    <row r="708" spans="1:31" ht="8.65" customHeight="1" x14ac:dyDescent="0.2">
      <c r="A708" s="76">
        <v>708</v>
      </c>
      <c r="B708" s="67" t="str">
        <f>MID(C708, FIND("Ifc.", C708) + 4, 4) &amp; "_" &amp; TEXT(COUNTIF($C$2:C708, C708),"0000")</f>
        <v>Prop_0707</v>
      </c>
      <c r="C708" s="24" t="s">
        <v>872</v>
      </c>
      <c r="D708" s="69" t="s">
        <v>9453</v>
      </c>
      <c r="E708" s="70" t="s">
        <v>9454</v>
      </c>
      <c r="F708" s="17" t="s">
        <v>806</v>
      </c>
      <c r="G708" s="22" t="s">
        <v>1195</v>
      </c>
      <c r="H708" s="12" t="s">
        <v>9703</v>
      </c>
      <c r="I708" s="13" t="s">
        <v>6863</v>
      </c>
      <c r="J708" s="14" t="s">
        <v>798</v>
      </c>
      <c r="K708" s="15" t="s">
        <v>798</v>
      </c>
      <c r="L708" s="12" t="s">
        <v>5315</v>
      </c>
      <c r="M708" s="13" t="s">
        <v>6053</v>
      </c>
      <c r="N708" s="12" t="s">
        <v>803</v>
      </c>
      <c r="O708" s="13" t="s">
        <v>4881</v>
      </c>
      <c r="P708" s="17" t="s">
        <v>802</v>
      </c>
      <c r="Q708" s="21" t="s">
        <v>7939</v>
      </c>
      <c r="R708" s="17" t="s">
        <v>801</v>
      </c>
      <c r="S708" s="18" t="s">
        <v>2553</v>
      </c>
      <c r="T708" s="17" t="s">
        <v>800</v>
      </c>
      <c r="U708" s="18" t="s">
        <v>5269</v>
      </c>
      <c r="V708" s="17" t="s">
        <v>9418</v>
      </c>
      <c r="W708" s="18" t="s">
        <v>5309</v>
      </c>
      <c r="X708" s="69" t="s">
        <v>9453</v>
      </c>
      <c r="Y708" s="70" t="s">
        <v>9462</v>
      </c>
      <c r="Z708" s="73" t="s">
        <v>9486</v>
      </c>
      <c r="AA708" s="74" t="s">
        <v>9504</v>
      </c>
      <c r="AB708" s="73" t="s">
        <v>9486</v>
      </c>
      <c r="AC708" s="74" t="s">
        <v>9561</v>
      </c>
      <c r="AD708" s="73" t="s">
        <v>9578</v>
      </c>
      <c r="AE708" s="74" t="s">
        <v>9579</v>
      </c>
    </row>
    <row r="709" spans="1:31" ht="8.65" customHeight="1" x14ac:dyDescent="0.2">
      <c r="A709" s="76">
        <v>709</v>
      </c>
      <c r="B709" s="67" t="str">
        <f>MID(C709, FIND("Ifc.", C709) + 4, 4) &amp; "_" &amp; TEXT(COUNTIF($C$2:C709, C709),"0000")</f>
        <v>Prop_0708</v>
      </c>
      <c r="C709" s="24" t="s">
        <v>872</v>
      </c>
      <c r="D709" s="69" t="s">
        <v>9453</v>
      </c>
      <c r="E709" s="70" t="s">
        <v>9454</v>
      </c>
      <c r="F709" s="17" t="s">
        <v>806</v>
      </c>
      <c r="G709" s="22" t="s">
        <v>1196</v>
      </c>
      <c r="H709" s="12" t="s">
        <v>9703</v>
      </c>
      <c r="I709" s="13" t="s">
        <v>6864</v>
      </c>
      <c r="J709" s="14" t="s">
        <v>798</v>
      </c>
      <c r="K709" s="15" t="s">
        <v>798</v>
      </c>
      <c r="L709" s="12" t="s">
        <v>5315</v>
      </c>
      <c r="M709" s="13" t="s">
        <v>6053</v>
      </c>
      <c r="N709" s="12" t="s">
        <v>803</v>
      </c>
      <c r="O709" s="13" t="s">
        <v>4881</v>
      </c>
      <c r="P709" s="17" t="s">
        <v>802</v>
      </c>
      <c r="Q709" s="21" t="s">
        <v>7939</v>
      </c>
      <c r="R709" s="17" t="s">
        <v>801</v>
      </c>
      <c r="S709" s="18" t="s">
        <v>2553</v>
      </c>
      <c r="T709" s="17" t="s">
        <v>800</v>
      </c>
      <c r="U709" s="18" t="s">
        <v>5269</v>
      </c>
      <c r="V709" s="17" t="s">
        <v>9418</v>
      </c>
      <c r="W709" s="18" t="s">
        <v>5309</v>
      </c>
      <c r="X709" s="69" t="s">
        <v>9453</v>
      </c>
      <c r="Y709" s="70" t="s">
        <v>9462</v>
      </c>
      <c r="Z709" s="73" t="s">
        <v>9486</v>
      </c>
      <c r="AA709" s="74" t="s">
        <v>9504</v>
      </c>
      <c r="AB709" s="73" t="s">
        <v>9486</v>
      </c>
      <c r="AC709" s="74" t="s">
        <v>9561</v>
      </c>
      <c r="AD709" s="73" t="s">
        <v>9578</v>
      </c>
      <c r="AE709" s="74" t="s">
        <v>9579</v>
      </c>
    </row>
    <row r="710" spans="1:31" ht="8.65" customHeight="1" x14ac:dyDescent="0.2">
      <c r="A710" s="76">
        <v>710</v>
      </c>
      <c r="B710" s="67" t="str">
        <f>MID(C710, FIND("Ifc.", C710) + 4, 4) &amp; "_" &amp; TEXT(COUNTIF($C$2:C710, C710),"0000")</f>
        <v>Prop_0709</v>
      </c>
      <c r="C710" s="24" t="s">
        <v>872</v>
      </c>
      <c r="D710" s="69" t="s">
        <v>9453</v>
      </c>
      <c r="E710" s="70" t="s">
        <v>9454</v>
      </c>
      <c r="F710" s="17" t="s">
        <v>806</v>
      </c>
      <c r="G710" s="22" t="s">
        <v>1197</v>
      </c>
      <c r="H710" s="12" t="s">
        <v>9703</v>
      </c>
      <c r="I710" s="13" t="s">
        <v>6983</v>
      </c>
      <c r="J710" s="14" t="s">
        <v>798</v>
      </c>
      <c r="K710" s="15" t="s">
        <v>798</v>
      </c>
      <c r="L710" s="12" t="s">
        <v>5315</v>
      </c>
      <c r="M710" s="13" t="s">
        <v>6053</v>
      </c>
      <c r="N710" s="12" t="s">
        <v>803</v>
      </c>
      <c r="O710" s="13" t="s">
        <v>4881</v>
      </c>
      <c r="P710" s="17" t="s">
        <v>802</v>
      </c>
      <c r="Q710" s="21" t="s">
        <v>7939</v>
      </c>
      <c r="R710" s="17" t="s">
        <v>801</v>
      </c>
      <c r="S710" s="18" t="s">
        <v>2553</v>
      </c>
      <c r="T710" s="17" t="s">
        <v>800</v>
      </c>
      <c r="U710" s="18" t="s">
        <v>5269</v>
      </c>
      <c r="V710" s="17" t="s">
        <v>9418</v>
      </c>
      <c r="W710" s="18" t="s">
        <v>5309</v>
      </c>
      <c r="X710" s="69" t="s">
        <v>9453</v>
      </c>
      <c r="Y710" s="70" t="s">
        <v>9462</v>
      </c>
      <c r="Z710" s="73" t="s">
        <v>9486</v>
      </c>
      <c r="AA710" s="74" t="s">
        <v>9504</v>
      </c>
      <c r="AB710" s="73" t="s">
        <v>9486</v>
      </c>
      <c r="AC710" s="74" t="s">
        <v>9561</v>
      </c>
      <c r="AD710" s="73" t="s">
        <v>9578</v>
      </c>
      <c r="AE710" s="74" t="s">
        <v>9579</v>
      </c>
    </row>
    <row r="711" spans="1:31" ht="8.65" customHeight="1" x14ac:dyDescent="0.2">
      <c r="A711" s="76">
        <v>711</v>
      </c>
      <c r="B711" s="67" t="str">
        <f>MID(C711, FIND("Ifc.", C711) + 4, 4) &amp; "_" &amp; TEXT(COUNTIF($C$2:C711, C711),"0000")</f>
        <v>Prop_0710</v>
      </c>
      <c r="C711" s="24" t="s">
        <v>872</v>
      </c>
      <c r="D711" s="69" t="s">
        <v>9453</v>
      </c>
      <c r="E711" s="70" t="s">
        <v>9454</v>
      </c>
      <c r="F711" s="17" t="s">
        <v>806</v>
      </c>
      <c r="G711" s="22" t="s">
        <v>2509</v>
      </c>
      <c r="H711" s="12" t="s">
        <v>9703</v>
      </c>
      <c r="I711" s="13" t="s">
        <v>7091</v>
      </c>
      <c r="J711" s="14" t="s">
        <v>798</v>
      </c>
      <c r="K711" s="15" t="s">
        <v>798</v>
      </c>
      <c r="L711" s="12" t="s">
        <v>5315</v>
      </c>
      <c r="M711" s="13" t="s">
        <v>5904</v>
      </c>
      <c r="N711" s="12" t="s">
        <v>803</v>
      </c>
      <c r="O711" s="13" t="s">
        <v>5223</v>
      </c>
      <c r="P711" s="17" t="s">
        <v>802</v>
      </c>
      <c r="Q711" s="21" t="s">
        <v>7940</v>
      </c>
      <c r="R711" s="17" t="s">
        <v>801</v>
      </c>
      <c r="S711" s="18" t="s">
        <v>2553</v>
      </c>
      <c r="T711" s="17" t="s">
        <v>800</v>
      </c>
      <c r="U711" s="18" t="s">
        <v>5269</v>
      </c>
      <c r="V711" s="17" t="s">
        <v>9418</v>
      </c>
      <c r="W711" s="18" t="s">
        <v>5312</v>
      </c>
      <c r="X711" s="69" t="s">
        <v>9453</v>
      </c>
      <c r="Y711" s="70" t="s">
        <v>9465</v>
      </c>
      <c r="Z711" s="73" t="s">
        <v>9486</v>
      </c>
      <c r="AA711" s="74" t="s">
        <v>9504</v>
      </c>
      <c r="AB711" s="73" t="s">
        <v>9486</v>
      </c>
      <c r="AC711" s="74" t="s">
        <v>9561</v>
      </c>
      <c r="AD711" s="73" t="s">
        <v>9578</v>
      </c>
      <c r="AE711" s="74" t="s">
        <v>9579</v>
      </c>
    </row>
    <row r="712" spans="1:31" ht="8.65" customHeight="1" x14ac:dyDescent="0.2">
      <c r="A712" s="76">
        <v>712</v>
      </c>
      <c r="B712" s="67" t="str">
        <f>MID(C712, FIND("Ifc.", C712) + 4, 4) &amp; "_" &amp; TEXT(COUNTIF($C$2:C712, C712),"0000")</f>
        <v>Prop_0711</v>
      </c>
      <c r="C712" s="24" t="s">
        <v>872</v>
      </c>
      <c r="D712" s="69" t="s">
        <v>9453</v>
      </c>
      <c r="E712" s="70" t="s">
        <v>9454</v>
      </c>
      <c r="F712" s="17" t="s">
        <v>806</v>
      </c>
      <c r="G712" s="22" t="s">
        <v>1172</v>
      </c>
      <c r="H712" s="12" t="s">
        <v>9703</v>
      </c>
      <c r="I712" s="13" t="s">
        <v>6209</v>
      </c>
      <c r="J712" s="14" t="s">
        <v>798</v>
      </c>
      <c r="K712" s="15" t="s">
        <v>798</v>
      </c>
      <c r="L712" s="12" t="s">
        <v>5315</v>
      </c>
      <c r="M712" s="13" t="s">
        <v>5399</v>
      </c>
      <c r="N712" s="12" t="s">
        <v>803</v>
      </c>
      <c r="O712" s="13" t="s">
        <v>4874</v>
      </c>
      <c r="P712" s="17" t="s">
        <v>802</v>
      </c>
      <c r="Q712" s="21" t="s">
        <v>7875</v>
      </c>
      <c r="R712" s="17" t="s">
        <v>801</v>
      </c>
      <c r="S712" s="18" t="s">
        <v>2553</v>
      </c>
      <c r="T712" s="17" t="s">
        <v>800</v>
      </c>
      <c r="U712" s="18" t="s">
        <v>5269</v>
      </c>
      <c r="V712" s="17" t="s">
        <v>9418</v>
      </c>
      <c r="W712" s="18" t="s">
        <v>5309</v>
      </c>
      <c r="X712" s="69" t="s">
        <v>9453</v>
      </c>
      <c r="Y712" s="70" t="s">
        <v>9462</v>
      </c>
      <c r="Z712" s="73" t="s">
        <v>9486</v>
      </c>
      <c r="AA712" s="74" t="s">
        <v>9504</v>
      </c>
      <c r="AB712" s="73" t="s">
        <v>9486</v>
      </c>
      <c r="AC712" s="74" t="s">
        <v>9561</v>
      </c>
      <c r="AD712" s="73" t="s">
        <v>9578</v>
      </c>
      <c r="AE712" s="74" t="s">
        <v>9579</v>
      </c>
    </row>
    <row r="713" spans="1:31" ht="8.65" customHeight="1" x14ac:dyDescent="0.2">
      <c r="A713" s="76">
        <v>713</v>
      </c>
      <c r="B713" s="67" t="str">
        <f>MID(C713, FIND("Ifc.", C713) + 4, 4) &amp; "_" &amp; TEXT(COUNTIF($C$2:C713, C713),"0000")</f>
        <v>Prop_0712</v>
      </c>
      <c r="C713" s="24" t="s">
        <v>872</v>
      </c>
      <c r="D713" s="69" t="s">
        <v>9453</v>
      </c>
      <c r="E713" s="70" t="s">
        <v>9454</v>
      </c>
      <c r="F713" s="17" t="s">
        <v>806</v>
      </c>
      <c r="G713" s="22" t="s">
        <v>1172</v>
      </c>
      <c r="H713" s="12" t="s">
        <v>9703</v>
      </c>
      <c r="I713" s="13" t="s">
        <v>6209</v>
      </c>
      <c r="J713" s="14" t="s">
        <v>798</v>
      </c>
      <c r="K713" s="15" t="s">
        <v>798</v>
      </c>
      <c r="L713" s="12" t="s">
        <v>5315</v>
      </c>
      <c r="M713" s="13" t="s">
        <v>5575</v>
      </c>
      <c r="N713" s="12" t="s">
        <v>803</v>
      </c>
      <c r="O713" s="13" t="s">
        <v>5213</v>
      </c>
      <c r="P713" s="17" t="s">
        <v>802</v>
      </c>
      <c r="Q713" s="21" t="s">
        <v>7690</v>
      </c>
      <c r="R713" s="17" t="s">
        <v>801</v>
      </c>
      <c r="S713" s="18" t="s">
        <v>2553</v>
      </c>
      <c r="T713" s="17" t="s">
        <v>800</v>
      </c>
      <c r="U713" s="18" t="s">
        <v>5269</v>
      </c>
      <c r="V713" s="17" t="s">
        <v>9418</v>
      </c>
      <c r="W713" s="18" t="s">
        <v>5309</v>
      </c>
      <c r="X713" s="69" t="s">
        <v>9453</v>
      </c>
      <c r="Y713" s="70" t="s">
        <v>9462</v>
      </c>
      <c r="Z713" s="73" t="s">
        <v>9486</v>
      </c>
      <c r="AA713" s="74" t="s">
        <v>9504</v>
      </c>
      <c r="AB713" s="73" t="s">
        <v>9486</v>
      </c>
      <c r="AC713" s="74" t="s">
        <v>9561</v>
      </c>
      <c r="AD713" s="73" t="s">
        <v>9578</v>
      </c>
      <c r="AE713" s="74" t="s">
        <v>9579</v>
      </c>
    </row>
    <row r="714" spans="1:31" ht="8.65" customHeight="1" x14ac:dyDescent="0.2">
      <c r="A714" s="76">
        <v>714</v>
      </c>
      <c r="B714" s="67" t="str">
        <f>MID(C714, FIND("Ifc.", C714) + 4, 4) &amp; "_" &amp; TEXT(COUNTIF($C$2:C714, C714),"0000")</f>
        <v>Prop_0713</v>
      </c>
      <c r="C714" s="24" t="s">
        <v>872</v>
      </c>
      <c r="D714" s="69" t="s">
        <v>9453</v>
      </c>
      <c r="E714" s="70" t="s">
        <v>9454</v>
      </c>
      <c r="F714" s="17" t="s">
        <v>806</v>
      </c>
      <c r="G714" s="22" t="s">
        <v>936</v>
      </c>
      <c r="H714" s="12" t="s">
        <v>9703</v>
      </c>
      <c r="I714" s="13" t="s">
        <v>6523</v>
      </c>
      <c r="J714" s="14" t="s">
        <v>798</v>
      </c>
      <c r="K714" s="15" t="s">
        <v>798</v>
      </c>
      <c r="L714" s="12" t="s">
        <v>5315</v>
      </c>
      <c r="M714" s="13" t="s">
        <v>5982</v>
      </c>
      <c r="N714" s="12" t="s">
        <v>803</v>
      </c>
      <c r="O714" s="13" t="s">
        <v>4814</v>
      </c>
      <c r="P714" s="17" t="s">
        <v>802</v>
      </c>
      <c r="Q714" s="21" t="s">
        <v>7872</v>
      </c>
      <c r="R714" s="17" t="s">
        <v>801</v>
      </c>
      <c r="S714" s="18" t="s">
        <v>2586</v>
      </c>
      <c r="T714" s="17" t="s">
        <v>800</v>
      </c>
      <c r="U714" s="18" t="s">
        <v>5242</v>
      </c>
      <c r="V714" s="17" t="s">
        <v>9418</v>
      </c>
      <c r="W714" s="18" t="s">
        <v>5309</v>
      </c>
      <c r="X714" s="69" t="s">
        <v>9453</v>
      </c>
      <c r="Y714" s="70" t="s">
        <v>9462</v>
      </c>
      <c r="Z714" s="73" t="s">
        <v>9486</v>
      </c>
      <c r="AA714" s="74" t="s">
        <v>9504</v>
      </c>
      <c r="AB714" s="73" t="s">
        <v>9486</v>
      </c>
      <c r="AC714" s="74" t="s">
        <v>9566</v>
      </c>
      <c r="AD714" s="73" t="s">
        <v>9578</v>
      </c>
      <c r="AE714" s="74" t="s">
        <v>9579</v>
      </c>
    </row>
    <row r="715" spans="1:31" ht="8.65" customHeight="1" x14ac:dyDescent="0.2">
      <c r="A715" s="76">
        <v>715</v>
      </c>
      <c r="B715" s="67" t="str">
        <f>MID(C715, FIND("Ifc.", C715) + 4, 4) &amp; "_" &amp; TEXT(COUNTIF($C$2:C715, C715),"0000")</f>
        <v>Prop_0714</v>
      </c>
      <c r="C715" s="24" t="s">
        <v>872</v>
      </c>
      <c r="D715" s="69" t="s">
        <v>9453</v>
      </c>
      <c r="E715" s="70" t="s">
        <v>9454</v>
      </c>
      <c r="F715" s="17" t="s">
        <v>806</v>
      </c>
      <c r="G715" s="22" t="s">
        <v>2298</v>
      </c>
      <c r="H715" s="12" t="s">
        <v>9703</v>
      </c>
      <c r="I715" s="13" t="s">
        <v>7484</v>
      </c>
      <c r="J715" s="14" t="s">
        <v>798</v>
      </c>
      <c r="K715" s="15" t="s">
        <v>798</v>
      </c>
      <c r="L715" s="12" t="s">
        <v>5315</v>
      </c>
      <c r="M715" s="13" t="s">
        <v>5858</v>
      </c>
      <c r="N715" s="12" t="s">
        <v>803</v>
      </c>
      <c r="O715" s="13" t="s">
        <v>5163</v>
      </c>
      <c r="P715" s="17" t="s">
        <v>802</v>
      </c>
      <c r="Q715" s="21" t="s">
        <v>7858</v>
      </c>
      <c r="R715" s="17" t="s">
        <v>801</v>
      </c>
      <c r="S715" s="18" t="s">
        <v>2560</v>
      </c>
      <c r="T715" s="17" t="s">
        <v>800</v>
      </c>
      <c r="U715" s="18" t="s">
        <v>5236</v>
      </c>
      <c r="V715" s="17" t="s">
        <v>9418</v>
      </c>
      <c r="W715" s="18" t="s">
        <v>5309</v>
      </c>
      <c r="X715" s="69" t="s">
        <v>9453</v>
      </c>
      <c r="Y715" s="70" t="s">
        <v>9462</v>
      </c>
      <c r="Z715" s="73" t="s">
        <v>9486</v>
      </c>
      <c r="AA715" s="74" t="s">
        <v>9504</v>
      </c>
      <c r="AB715" s="73" t="s">
        <v>9486</v>
      </c>
      <c r="AC715" s="74" t="s">
        <v>9562</v>
      </c>
      <c r="AD715" s="73" t="s">
        <v>9578</v>
      </c>
      <c r="AE715" s="74" t="s">
        <v>9579</v>
      </c>
    </row>
    <row r="716" spans="1:31" ht="8.65" customHeight="1" x14ac:dyDescent="0.2">
      <c r="A716" s="76">
        <v>716</v>
      </c>
      <c r="B716" s="67" t="str">
        <f>MID(C716, FIND("Ifc.", C716) + 4, 4) &amp; "_" &amp; TEXT(COUNTIF($C$2:C716, C716),"0000")</f>
        <v>Prop_0715</v>
      </c>
      <c r="C716" s="24" t="s">
        <v>872</v>
      </c>
      <c r="D716" s="69" t="s">
        <v>9453</v>
      </c>
      <c r="E716" s="70" t="s">
        <v>9454</v>
      </c>
      <c r="F716" s="17" t="s">
        <v>806</v>
      </c>
      <c r="G716" s="22" t="s">
        <v>1803</v>
      </c>
      <c r="H716" s="12" t="s">
        <v>9703</v>
      </c>
      <c r="I716" s="13" t="s">
        <v>7456</v>
      </c>
      <c r="J716" s="14" t="s">
        <v>798</v>
      </c>
      <c r="K716" s="15" t="s">
        <v>798</v>
      </c>
      <c r="L716" s="12" t="s">
        <v>5315</v>
      </c>
      <c r="M716" s="13" t="s">
        <v>5938</v>
      </c>
      <c r="N716" s="12" t="s">
        <v>803</v>
      </c>
      <c r="O716" s="13" t="s">
        <v>5020</v>
      </c>
      <c r="P716" s="17" t="s">
        <v>802</v>
      </c>
      <c r="Q716" s="21" t="s">
        <v>7941</v>
      </c>
      <c r="R716" s="17" t="s">
        <v>801</v>
      </c>
      <c r="S716" s="18" t="s">
        <v>2560</v>
      </c>
      <c r="T716" s="17" t="s">
        <v>800</v>
      </c>
      <c r="U716" s="18" t="s">
        <v>5236</v>
      </c>
      <c r="V716" s="17" t="s">
        <v>9418</v>
      </c>
      <c r="W716" s="18" t="s">
        <v>5309</v>
      </c>
      <c r="X716" s="69" t="s">
        <v>9453</v>
      </c>
      <c r="Y716" s="70" t="s">
        <v>9462</v>
      </c>
      <c r="Z716" s="73" t="s">
        <v>9486</v>
      </c>
      <c r="AA716" s="74" t="s">
        <v>9504</v>
      </c>
      <c r="AB716" s="73" t="s">
        <v>9486</v>
      </c>
      <c r="AC716" s="74" t="s">
        <v>9562</v>
      </c>
      <c r="AD716" s="73" t="s">
        <v>9578</v>
      </c>
      <c r="AE716" s="74" t="s">
        <v>9579</v>
      </c>
    </row>
    <row r="717" spans="1:31" ht="8.65" customHeight="1" x14ac:dyDescent="0.2">
      <c r="A717" s="76">
        <v>717</v>
      </c>
      <c r="B717" s="67" t="str">
        <f>MID(C717, FIND("Ifc.", C717) + 4, 4) &amp; "_" &amp; TEXT(COUNTIF($C$2:C717, C717),"0000")</f>
        <v>Prop_0716</v>
      </c>
      <c r="C717" s="24" t="s">
        <v>872</v>
      </c>
      <c r="D717" s="69" t="s">
        <v>9453</v>
      </c>
      <c r="E717" s="70" t="s">
        <v>9454</v>
      </c>
      <c r="F717" s="17" t="s">
        <v>806</v>
      </c>
      <c r="G717" s="22" t="s">
        <v>1081</v>
      </c>
      <c r="H717" s="12" t="s">
        <v>9703</v>
      </c>
      <c r="I717" s="13" t="s">
        <v>7471</v>
      </c>
      <c r="J717" s="14" t="s">
        <v>798</v>
      </c>
      <c r="K717" s="15" t="s">
        <v>798</v>
      </c>
      <c r="L717" s="12" t="s">
        <v>5315</v>
      </c>
      <c r="M717" s="13" t="s">
        <v>6036</v>
      </c>
      <c r="N717" s="12" t="s">
        <v>803</v>
      </c>
      <c r="O717" s="13" t="s">
        <v>4848</v>
      </c>
      <c r="P717" s="17" t="s">
        <v>802</v>
      </c>
      <c r="Q717" s="21" t="s">
        <v>7757</v>
      </c>
      <c r="R717" s="17" t="s">
        <v>801</v>
      </c>
      <c r="S717" s="18" t="s">
        <v>2560</v>
      </c>
      <c r="T717" s="17" t="s">
        <v>800</v>
      </c>
      <c r="U717" s="18" t="s">
        <v>5236</v>
      </c>
      <c r="V717" s="17" t="s">
        <v>9418</v>
      </c>
      <c r="W717" s="18" t="s">
        <v>5309</v>
      </c>
      <c r="X717" s="69" t="s">
        <v>9453</v>
      </c>
      <c r="Y717" s="70" t="s">
        <v>9462</v>
      </c>
      <c r="Z717" s="73" t="s">
        <v>9486</v>
      </c>
      <c r="AA717" s="74" t="s">
        <v>9504</v>
      </c>
      <c r="AB717" s="73" t="s">
        <v>9486</v>
      </c>
      <c r="AC717" s="74" t="s">
        <v>9562</v>
      </c>
      <c r="AD717" s="73" t="s">
        <v>9578</v>
      </c>
      <c r="AE717" s="74" t="s">
        <v>9579</v>
      </c>
    </row>
    <row r="718" spans="1:31" ht="8.65" customHeight="1" x14ac:dyDescent="0.2">
      <c r="A718" s="76">
        <v>718</v>
      </c>
      <c r="B718" s="67" t="str">
        <f>MID(C718, FIND("Ifc.", C718) + 4, 4) &amp; "_" &amp; TEXT(COUNTIF($C$2:C718, C718),"0000")</f>
        <v>Prop_0717</v>
      </c>
      <c r="C718" s="24" t="s">
        <v>872</v>
      </c>
      <c r="D718" s="69" t="s">
        <v>9453</v>
      </c>
      <c r="E718" s="70" t="s">
        <v>9454</v>
      </c>
      <c r="F718" s="17" t="s">
        <v>806</v>
      </c>
      <c r="G718" s="22" t="s">
        <v>1805</v>
      </c>
      <c r="H718" s="12" t="s">
        <v>9703</v>
      </c>
      <c r="I718" s="13" t="s">
        <v>7479</v>
      </c>
      <c r="J718" s="14" t="s">
        <v>798</v>
      </c>
      <c r="K718" s="15" t="s">
        <v>798</v>
      </c>
      <c r="L718" s="12" t="s">
        <v>5315</v>
      </c>
      <c r="M718" s="13" t="s">
        <v>5940</v>
      </c>
      <c r="N718" s="12" t="s">
        <v>803</v>
      </c>
      <c r="O718" s="13" t="s">
        <v>5022</v>
      </c>
      <c r="P718" s="17" t="s">
        <v>802</v>
      </c>
      <c r="Q718" s="21" t="s">
        <v>7942</v>
      </c>
      <c r="R718" s="17" t="s">
        <v>801</v>
      </c>
      <c r="S718" s="18" t="s">
        <v>2560</v>
      </c>
      <c r="T718" s="17" t="s">
        <v>800</v>
      </c>
      <c r="U718" s="18" t="s">
        <v>5236</v>
      </c>
      <c r="V718" s="17" t="s">
        <v>9418</v>
      </c>
      <c r="W718" s="18" t="s">
        <v>5309</v>
      </c>
      <c r="X718" s="69" t="s">
        <v>9453</v>
      </c>
      <c r="Y718" s="70" t="s">
        <v>9462</v>
      </c>
      <c r="Z718" s="73" t="s">
        <v>9486</v>
      </c>
      <c r="AA718" s="74" t="s">
        <v>9504</v>
      </c>
      <c r="AB718" s="73" t="s">
        <v>9486</v>
      </c>
      <c r="AC718" s="74" t="s">
        <v>9562</v>
      </c>
      <c r="AD718" s="73" t="s">
        <v>9578</v>
      </c>
      <c r="AE718" s="74" t="s">
        <v>9579</v>
      </c>
    </row>
    <row r="719" spans="1:31" ht="8.65" customHeight="1" x14ac:dyDescent="0.2">
      <c r="A719" s="76">
        <v>719</v>
      </c>
      <c r="B719" s="67" t="str">
        <f>MID(C719, FIND("Ifc.", C719) + 4, 4) &amp; "_" &amp; TEXT(COUNTIF($C$2:C719, C719),"0000")</f>
        <v>Prop_0718</v>
      </c>
      <c r="C719" s="24" t="s">
        <v>872</v>
      </c>
      <c r="D719" s="69" t="s">
        <v>9453</v>
      </c>
      <c r="E719" s="70" t="s">
        <v>9454</v>
      </c>
      <c r="F719" s="17" t="s">
        <v>806</v>
      </c>
      <c r="G719" s="22" t="s">
        <v>2233</v>
      </c>
      <c r="H719" s="12" t="s">
        <v>9703</v>
      </c>
      <c r="I719" s="13" t="s">
        <v>7457</v>
      </c>
      <c r="J719" s="14" t="s">
        <v>798</v>
      </c>
      <c r="K719" s="15" t="s">
        <v>798</v>
      </c>
      <c r="L719" s="12" t="s">
        <v>5315</v>
      </c>
      <c r="M719" s="13" t="s">
        <v>5513</v>
      </c>
      <c r="N719" s="12" t="s">
        <v>803</v>
      </c>
      <c r="O719" s="13" t="s">
        <v>5127</v>
      </c>
      <c r="P719" s="17" t="s">
        <v>802</v>
      </c>
      <c r="Q719" s="21" t="s">
        <v>7943</v>
      </c>
      <c r="R719" s="17" t="s">
        <v>801</v>
      </c>
      <c r="S719" s="18" t="s">
        <v>2560</v>
      </c>
      <c r="T719" s="17" t="s">
        <v>800</v>
      </c>
      <c r="U719" s="18" t="s">
        <v>5236</v>
      </c>
      <c r="V719" s="17" t="s">
        <v>9418</v>
      </c>
      <c r="W719" s="18" t="s">
        <v>5309</v>
      </c>
      <c r="X719" s="69" t="s">
        <v>9453</v>
      </c>
      <c r="Y719" s="70" t="s">
        <v>9462</v>
      </c>
      <c r="Z719" s="73" t="s">
        <v>9486</v>
      </c>
      <c r="AA719" s="74" t="s">
        <v>9504</v>
      </c>
      <c r="AB719" s="73" t="s">
        <v>9486</v>
      </c>
      <c r="AC719" s="74" t="s">
        <v>9562</v>
      </c>
      <c r="AD719" s="73" t="s">
        <v>9578</v>
      </c>
      <c r="AE719" s="74" t="s">
        <v>9704</v>
      </c>
    </row>
    <row r="720" spans="1:31" ht="8.65" customHeight="1" x14ac:dyDescent="0.2">
      <c r="A720" s="76">
        <v>720</v>
      </c>
      <c r="B720" s="67" t="str">
        <f>MID(C720, FIND("Ifc.", C720) + 4, 4) &amp; "_" &amp; TEXT(COUNTIF($C$2:C720, C720),"0000")</f>
        <v>Prop_0719</v>
      </c>
      <c r="C720" s="24" t="s">
        <v>872</v>
      </c>
      <c r="D720" s="69" t="s">
        <v>9453</v>
      </c>
      <c r="E720" s="70" t="s">
        <v>9454</v>
      </c>
      <c r="F720" s="17" t="s">
        <v>806</v>
      </c>
      <c r="G720" s="22" t="s">
        <v>1958</v>
      </c>
      <c r="H720" s="12" t="s">
        <v>9703</v>
      </c>
      <c r="I720" s="13" t="s">
        <v>7478</v>
      </c>
      <c r="J720" s="14" t="s">
        <v>798</v>
      </c>
      <c r="K720" s="15" t="s">
        <v>798</v>
      </c>
      <c r="L720" s="12" t="s">
        <v>5315</v>
      </c>
      <c r="M720" s="13" t="s">
        <v>5472</v>
      </c>
      <c r="N720" s="12" t="s">
        <v>803</v>
      </c>
      <c r="O720" s="13" t="s">
        <v>5067</v>
      </c>
      <c r="P720" s="17" t="s">
        <v>802</v>
      </c>
      <c r="Q720" s="21" t="s">
        <v>7791</v>
      </c>
      <c r="R720" s="17" t="s">
        <v>801</v>
      </c>
      <c r="S720" s="18" t="s">
        <v>2560</v>
      </c>
      <c r="T720" s="17" t="s">
        <v>800</v>
      </c>
      <c r="U720" s="18" t="s">
        <v>5236</v>
      </c>
      <c r="V720" s="17" t="s">
        <v>9418</v>
      </c>
      <c r="W720" s="18" t="s">
        <v>5309</v>
      </c>
      <c r="X720" s="69" t="s">
        <v>9453</v>
      </c>
      <c r="Y720" s="70" t="s">
        <v>9462</v>
      </c>
      <c r="Z720" s="73" t="s">
        <v>9486</v>
      </c>
      <c r="AA720" s="74" t="s">
        <v>9504</v>
      </c>
      <c r="AB720" s="73" t="s">
        <v>9486</v>
      </c>
      <c r="AC720" s="74" t="s">
        <v>9562</v>
      </c>
      <c r="AD720" s="73" t="s">
        <v>9578</v>
      </c>
      <c r="AE720" s="74" t="s">
        <v>9579</v>
      </c>
    </row>
    <row r="721" spans="1:31" ht="8.65" customHeight="1" x14ac:dyDescent="0.2">
      <c r="A721" s="76">
        <v>721</v>
      </c>
      <c r="B721" s="67" t="str">
        <f>MID(C721, FIND("Ifc.", C721) + 4, 4) &amp; "_" &amp; TEXT(COUNTIF($C$2:C721, C721),"0000")</f>
        <v>Prop_0720</v>
      </c>
      <c r="C721" s="24" t="s">
        <v>872</v>
      </c>
      <c r="D721" s="69" t="s">
        <v>9453</v>
      </c>
      <c r="E721" s="70" t="s">
        <v>9454</v>
      </c>
      <c r="F721" s="17" t="s">
        <v>806</v>
      </c>
      <c r="G721" s="22" t="s">
        <v>1959</v>
      </c>
      <c r="H721" s="12" t="s">
        <v>9703</v>
      </c>
      <c r="I721" s="13" t="s">
        <v>7472</v>
      </c>
      <c r="J721" s="14" t="s">
        <v>798</v>
      </c>
      <c r="K721" s="15" t="s">
        <v>798</v>
      </c>
      <c r="L721" s="12" t="s">
        <v>5315</v>
      </c>
      <c r="M721" s="13" t="s">
        <v>5472</v>
      </c>
      <c r="N721" s="12" t="s">
        <v>803</v>
      </c>
      <c r="O721" s="13" t="s">
        <v>5067</v>
      </c>
      <c r="P721" s="17" t="s">
        <v>802</v>
      </c>
      <c r="Q721" s="21" t="s">
        <v>7791</v>
      </c>
      <c r="R721" s="17" t="s">
        <v>801</v>
      </c>
      <c r="S721" s="18" t="s">
        <v>2560</v>
      </c>
      <c r="T721" s="17" t="s">
        <v>800</v>
      </c>
      <c r="U721" s="18" t="s">
        <v>5236</v>
      </c>
      <c r="V721" s="17" t="s">
        <v>9418</v>
      </c>
      <c r="W721" s="18" t="s">
        <v>5309</v>
      </c>
      <c r="X721" s="69" t="s">
        <v>9453</v>
      </c>
      <c r="Y721" s="70" t="s">
        <v>9462</v>
      </c>
      <c r="Z721" s="73" t="s">
        <v>9486</v>
      </c>
      <c r="AA721" s="74" t="s">
        <v>9504</v>
      </c>
      <c r="AB721" s="73" t="s">
        <v>9486</v>
      </c>
      <c r="AC721" s="74" t="s">
        <v>9562</v>
      </c>
      <c r="AD721" s="73" t="s">
        <v>9578</v>
      </c>
      <c r="AE721" s="74" t="s">
        <v>9579</v>
      </c>
    </row>
    <row r="722" spans="1:31" ht="8.65" customHeight="1" x14ac:dyDescent="0.2">
      <c r="A722" s="76">
        <v>722</v>
      </c>
      <c r="B722" s="67" t="str">
        <f>MID(C722, FIND("Ifc.", C722) + 4, 4) &amp; "_" &amp; TEXT(COUNTIF($C$2:C722, C722),"0000")</f>
        <v>Prop_0721</v>
      </c>
      <c r="C722" s="24" t="s">
        <v>872</v>
      </c>
      <c r="D722" s="69" t="s">
        <v>9453</v>
      </c>
      <c r="E722" s="70" t="s">
        <v>9454</v>
      </c>
      <c r="F722" s="17" t="s">
        <v>806</v>
      </c>
      <c r="G722" s="22" t="s">
        <v>911</v>
      </c>
      <c r="H722" s="12" t="s">
        <v>9703</v>
      </c>
      <c r="I722" s="13" t="s">
        <v>7454</v>
      </c>
      <c r="J722" s="14" t="s">
        <v>798</v>
      </c>
      <c r="K722" s="15" t="s">
        <v>798</v>
      </c>
      <c r="L722" s="12" t="s">
        <v>5315</v>
      </c>
      <c r="M722" s="13" t="s">
        <v>5369</v>
      </c>
      <c r="N722" s="12" t="s">
        <v>803</v>
      </c>
      <c r="O722" s="13" t="s">
        <v>4810</v>
      </c>
      <c r="P722" s="17" t="s">
        <v>802</v>
      </c>
      <c r="Q722" s="21" t="s">
        <v>7681</v>
      </c>
      <c r="R722" s="17" t="s">
        <v>801</v>
      </c>
      <c r="S722" s="18" t="s">
        <v>2560</v>
      </c>
      <c r="T722" s="17" t="s">
        <v>800</v>
      </c>
      <c r="U722" s="18" t="s">
        <v>5236</v>
      </c>
      <c r="V722" s="17" t="s">
        <v>9418</v>
      </c>
      <c r="W722" s="18" t="s">
        <v>5309</v>
      </c>
      <c r="X722" s="69" t="s">
        <v>9453</v>
      </c>
      <c r="Y722" s="70" t="s">
        <v>9462</v>
      </c>
      <c r="Z722" s="73" t="s">
        <v>9486</v>
      </c>
      <c r="AA722" s="74" t="s">
        <v>9504</v>
      </c>
      <c r="AB722" s="73" t="s">
        <v>9486</v>
      </c>
      <c r="AC722" s="74" t="s">
        <v>9562</v>
      </c>
      <c r="AD722" s="73" t="s">
        <v>9578</v>
      </c>
      <c r="AE722" s="74" t="s">
        <v>9579</v>
      </c>
    </row>
    <row r="723" spans="1:31" ht="8.65" customHeight="1" x14ac:dyDescent="0.2">
      <c r="A723" s="76">
        <v>723</v>
      </c>
      <c r="B723" s="67" t="str">
        <f>MID(C723, FIND("Ifc.", C723) + 4, 4) &amp; "_" &amp; TEXT(COUNTIF($C$2:C723, C723),"0000")</f>
        <v>Prop_0722</v>
      </c>
      <c r="C723" s="24" t="s">
        <v>872</v>
      </c>
      <c r="D723" s="69" t="s">
        <v>9453</v>
      </c>
      <c r="E723" s="70" t="s">
        <v>9454</v>
      </c>
      <c r="F723" s="17" t="s">
        <v>806</v>
      </c>
      <c r="G723" s="22" t="s">
        <v>911</v>
      </c>
      <c r="H723" s="12" t="s">
        <v>9703</v>
      </c>
      <c r="I723" s="13" t="s">
        <v>7454</v>
      </c>
      <c r="J723" s="14" t="s">
        <v>798</v>
      </c>
      <c r="K723" s="15" t="s">
        <v>798</v>
      </c>
      <c r="L723" s="12" t="s">
        <v>5315</v>
      </c>
      <c r="M723" s="13" t="s">
        <v>5477</v>
      </c>
      <c r="N723" s="12" t="s">
        <v>803</v>
      </c>
      <c r="O723" s="13" t="s">
        <v>5081</v>
      </c>
      <c r="P723" s="17" t="s">
        <v>802</v>
      </c>
      <c r="Q723" s="21" t="s">
        <v>7807</v>
      </c>
      <c r="R723" s="17" t="s">
        <v>801</v>
      </c>
      <c r="S723" s="18" t="s">
        <v>2560</v>
      </c>
      <c r="T723" s="17" t="s">
        <v>800</v>
      </c>
      <c r="U723" s="18" t="s">
        <v>5236</v>
      </c>
      <c r="V723" s="17" t="s">
        <v>9418</v>
      </c>
      <c r="W723" s="18" t="s">
        <v>5309</v>
      </c>
      <c r="X723" s="69" t="s">
        <v>9453</v>
      </c>
      <c r="Y723" s="70" t="s">
        <v>9462</v>
      </c>
      <c r="Z723" s="73" t="s">
        <v>9486</v>
      </c>
      <c r="AA723" s="74" t="s">
        <v>9504</v>
      </c>
      <c r="AB723" s="73" t="s">
        <v>9486</v>
      </c>
      <c r="AC723" s="74" t="s">
        <v>9562</v>
      </c>
      <c r="AD723" s="73" t="s">
        <v>9578</v>
      </c>
      <c r="AE723" s="74" t="s">
        <v>9579</v>
      </c>
    </row>
    <row r="724" spans="1:31" ht="8.65" customHeight="1" x14ac:dyDescent="0.2">
      <c r="A724" s="76">
        <v>724</v>
      </c>
      <c r="B724" s="67" t="str">
        <f>MID(C724, FIND("Ifc.", C724) + 4, 4) &amp; "_" &amp; TEXT(COUNTIF($C$2:C724, C724),"0000")</f>
        <v>Prop_0723</v>
      </c>
      <c r="C724" s="24" t="s">
        <v>872</v>
      </c>
      <c r="D724" s="69" t="s">
        <v>9453</v>
      </c>
      <c r="E724" s="70" t="s">
        <v>9454</v>
      </c>
      <c r="F724" s="17" t="s">
        <v>806</v>
      </c>
      <c r="G724" s="22" t="s">
        <v>911</v>
      </c>
      <c r="H724" s="12" t="s">
        <v>9703</v>
      </c>
      <c r="I724" s="13" t="s">
        <v>7454</v>
      </c>
      <c r="J724" s="14" t="s">
        <v>798</v>
      </c>
      <c r="K724" s="15" t="s">
        <v>798</v>
      </c>
      <c r="L724" s="12" t="s">
        <v>5315</v>
      </c>
      <c r="M724" s="13" t="s">
        <v>5478</v>
      </c>
      <c r="N724" s="12" t="s">
        <v>803</v>
      </c>
      <c r="O724" s="13" t="s">
        <v>5082</v>
      </c>
      <c r="P724" s="17" t="s">
        <v>802</v>
      </c>
      <c r="Q724" s="21" t="s">
        <v>7824</v>
      </c>
      <c r="R724" s="17" t="s">
        <v>801</v>
      </c>
      <c r="S724" s="18" t="s">
        <v>2560</v>
      </c>
      <c r="T724" s="17" t="s">
        <v>800</v>
      </c>
      <c r="U724" s="18" t="s">
        <v>5236</v>
      </c>
      <c r="V724" s="17" t="s">
        <v>9418</v>
      </c>
      <c r="W724" s="18" t="s">
        <v>5309</v>
      </c>
      <c r="X724" s="69" t="s">
        <v>9453</v>
      </c>
      <c r="Y724" s="70" t="s">
        <v>9462</v>
      </c>
      <c r="Z724" s="73" t="s">
        <v>9486</v>
      </c>
      <c r="AA724" s="74" t="s">
        <v>9504</v>
      </c>
      <c r="AB724" s="73" t="s">
        <v>9486</v>
      </c>
      <c r="AC724" s="74" t="s">
        <v>9562</v>
      </c>
      <c r="AD724" s="73" t="s">
        <v>9578</v>
      </c>
      <c r="AE724" s="74" t="s">
        <v>9579</v>
      </c>
    </row>
    <row r="725" spans="1:31" ht="8.65" customHeight="1" x14ac:dyDescent="0.2">
      <c r="A725" s="76">
        <v>725</v>
      </c>
      <c r="B725" s="67" t="str">
        <f>MID(C725, FIND("Ifc.", C725) + 4, 4) &amp; "_" &amp; TEXT(COUNTIF($C$2:C725, C725),"0000")</f>
        <v>Prop_0724</v>
      </c>
      <c r="C725" s="24" t="s">
        <v>872</v>
      </c>
      <c r="D725" s="69" t="s">
        <v>9453</v>
      </c>
      <c r="E725" s="70" t="s">
        <v>9454</v>
      </c>
      <c r="F725" s="17" t="s">
        <v>806</v>
      </c>
      <c r="G725" s="22" t="s">
        <v>911</v>
      </c>
      <c r="H725" s="12" t="s">
        <v>9703</v>
      </c>
      <c r="I725" s="13" t="s">
        <v>7454</v>
      </c>
      <c r="J725" s="14" t="s">
        <v>798</v>
      </c>
      <c r="K725" s="15" t="s">
        <v>798</v>
      </c>
      <c r="L725" s="12" t="s">
        <v>5315</v>
      </c>
      <c r="M725" s="13" t="s">
        <v>5556</v>
      </c>
      <c r="N725" s="12" t="s">
        <v>803</v>
      </c>
      <c r="O725" s="13" t="s">
        <v>5169</v>
      </c>
      <c r="P725" s="17" t="s">
        <v>802</v>
      </c>
      <c r="Q725" s="21" t="s">
        <v>7728</v>
      </c>
      <c r="R725" s="17" t="s">
        <v>801</v>
      </c>
      <c r="S725" s="18" t="s">
        <v>2560</v>
      </c>
      <c r="T725" s="17" t="s">
        <v>800</v>
      </c>
      <c r="U725" s="18" t="s">
        <v>5236</v>
      </c>
      <c r="V725" s="17" t="s">
        <v>9418</v>
      </c>
      <c r="W725" s="18" t="s">
        <v>5309</v>
      </c>
      <c r="X725" s="69" t="s">
        <v>9453</v>
      </c>
      <c r="Y725" s="70" t="s">
        <v>9462</v>
      </c>
      <c r="Z725" s="73" t="s">
        <v>9486</v>
      </c>
      <c r="AA725" s="74" t="s">
        <v>9504</v>
      </c>
      <c r="AB725" s="73" t="s">
        <v>9486</v>
      </c>
      <c r="AC725" s="74" t="s">
        <v>9562</v>
      </c>
      <c r="AD725" s="73" t="s">
        <v>9578</v>
      </c>
      <c r="AE725" s="74" t="s">
        <v>9579</v>
      </c>
    </row>
    <row r="726" spans="1:31" ht="8.65" customHeight="1" x14ac:dyDescent="0.2">
      <c r="A726" s="76">
        <v>726</v>
      </c>
      <c r="B726" s="67" t="str">
        <f>MID(C726, FIND("Ifc.", C726) + 4, 4) &amp; "_" &amp; TEXT(COUNTIF($C$2:C726, C726),"0000")</f>
        <v>Prop_0725</v>
      </c>
      <c r="C726" s="24" t="s">
        <v>872</v>
      </c>
      <c r="D726" s="69" t="s">
        <v>9453</v>
      </c>
      <c r="E726" s="70" t="s">
        <v>9454</v>
      </c>
      <c r="F726" s="17" t="s">
        <v>806</v>
      </c>
      <c r="G726" s="22" t="s">
        <v>2407</v>
      </c>
      <c r="H726" s="12" t="s">
        <v>9703</v>
      </c>
      <c r="I726" s="13" t="s">
        <v>7459</v>
      </c>
      <c r="J726" s="14" t="s">
        <v>798</v>
      </c>
      <c r="K726" s="15" t="s">
        <v>798</v>
      </c>
      <c r="L726" s="12" t="s">
        <v>5315</v>
      </c>
      <c r="M726" s="13" t="s">
        <v>5802</v>
      </c>
      <c r="N726" s="12" t="s">
        <v>803</v>
      </c>
      <c r="O726" s="13" t="s">
        <v>5195</v>
      </c>
      <c r="P726" s="17" t="s">
        <v>802</v>
      </c>
      <c r="Q726" s="21" t="s">
        <v>7703</v>
      </c>
      <c r="R726" s="17" t="s">
        <v>801</v>
      </c>
      <c r="S726" s="18" t="s">
        <v>2560</v>
      </c>
      <c r="T726" s="17" t="s">
        <v>800</v>
      </c>
      <c r="U726" s="18" t="s">
        <v>5236</v>
      </c>
      <c r="V726" s="17" t="s">
        <v>9418</v>
      </c>
      <c r="W726" s="18" t="s">
        <v>5309</v>
      </c>
      <c r="X726" s="69" t="s">
        <v>9453</v>
      </c>
      <c r="Y726" s="70" t="s">
        <v>9462</v>
      </c>
      <c r="Z726" s="73" t="s">
        <v>9486</v>
      </c>
      <c r="AA726" s="74" t="s">
        <v>9504</v>
      </c>
      <c r="AB726" s="73" t="s">
        <v>9486</v>
      </c>
      <c r="AC726" s="74" t="s">
        <v>9562</v>
      </c>
      <c r="AD726" s="73" t="s">
        <v>9578</v>
      </c>
      <c r="AE726" s="74" t="s">
        <v>9579</v>
      </c>
    </row>
    <row r="727" spans="1:31" ht="8.65" customHeight="1" x14ac:dyDescent="0.2">
      <c r="A727" s="76">
        <v>727</v>
      </c>
      <c r="B727" s="67" t="str">
        <f>MID(C727, FIND("Ifc.", C727) + 4, 4) &amp; "_" &amp; TEXT(COUNTIF($C$2:C727, C727),"0000")</f>
        <v>Prop_0726</v>
      </c>
      <c r="C727" s="24" t="s">
        <v>872</v>
      </c>
      <c r="D727" s="69" t="s">
        <v>9453</v>
      </c>
      <c r="E727" s="70" t="s">
        <v>9454</v>
      </c>
      <c r="F727" s="17" t="s">
        <v>806</v>
      </c>
      <c r="G727" s="22" t="s">
        <v>2408</v>
      </c>
      <c r="H727" s="12" t="s">
        <v>9703</v>
      </c>
      <c r="I727" s="13" t="s">
        <v>7460</v>
      </c>
      <c r="J727" s="14" t="s">
        <v>798</v>
      </c>
      <c r="K727" s="15" t="s">
        <v>798</v>
      </c>
      <c r="L727" s="12" t="s">
        <v>5315</v>
      </c>
      <c r="M727" s="13" t="s">
        <v>5802</v>
      </c>
      <c r="N727" s="12" t="s">
        <v>803</v>
      </c>
      <c r="O727" s="13" t="s">
        <v>5195</v>
      </c>
      <c r="P727" s="17" t="s">
        <v>802</v>
      </c>
      <c r="Q727" s="21" t="s">
        <v>7703</v>
      </c>
      <c r="R727" s="17" t="s">
        <v>801</v>
      </c>
      <c r="S727" s="18" t="s">
        <v>2560</v>
      </c>
      <c r="T727" s="17" t="s">
        <v>800</v>
      </c>
      <c r="U727" s="18" t="s">
        <v>5236</v>
      </c>
      <c r="V727" s="17" t="s">
        <v>9418</v>
      </c>
      <c r="W727" s="18" t="s">
        <v>5309</v>
      </c>
      <c r="X727" s="69" t="s">
        <v>9453</v>
      </c>
      <c r="Y727" s="70" t="s">
        <v>9462</v>
      </c>
      <c r="Z727" s="73" t="s">
        <v>9486</v>
      </c>
      <c r="AA727" s="74" t="s">
        <v>9504</v>
      </c>
      <c r="AB727" s="73" t="s">
        <v>9486</v>
      </c>
      <c r="AC727" s="74" t="s">
        <v>9562</v>
      </c>
      <c r="AD727" s="73" t="s">
        <v>9578</v>
      </c>
      <c r="AE727" s="74" t="s">
        <v>9579</v>
      </c>
    </row>
    <row r="728" spans="1:31" ht="8.65" customHeight="1" x14ac:dyDescent="0.2">
      <c r="A728" s="76">
        <v>728</v>
      </c>
      <c r="B728" s="67" t="str">
        <f>MID(C728, FIND("Ifc.", C728) + 4, 4) &amp; "_" &amp; TEXT(COUNTIF($C$2:C728, C728),"0000")</f>
        <v>Prop_0727</v>
      </c>
      <c r="C728" s="24" t="s">
        <v>872</v>
      </c>
      <c r="D728" s="69" t="s">
        <v>9453</v>
      </c>
      <c r="E728" s="70" t="s">
        <v>9454</v>
      </c>
      <c r="F728" s="17" t="s">
        <v>806</v>
      </c>
      <c r="G728" s="22" t="s">
        <v>912</v>
      </c>
      <c r="H728" s="12" t="s">
        <v>9703</v>
      </c>
      <c r="I728" s="13" t="s">
        <v>7458</v>
      </c>
      <c r="J728" s="14" t="s">
        <v>798</v>
      </c>
      <c r="K728" s="15" t="s">
        <v>798</v>
      </c>
      <c r="L728" s="12" t="s">
        <v>5315</v>
      </c>
      <c r="M728" s="13" t="s">
        <v>5369</v>
      </c>
      <c r="N728" s="12" t="s">
        <v>803</v>
      </c>
      <c r="O728" s="13" t="s">
        <v>4810</v>
      </c>
      <c r="P728" s="17" t="s">
        <v>802</v>
      </c>
      <c r="Q728" s="21" t="s">
        <v>7681</v>
      </c>
      <c r="R728" s="17" t="s">
        <v>801</v>
      </c>
      <c r="S728" s="18" t="s">
        <v>2560</v>
      </c>
      <c r="T728" s="17" t="s">
        <v>800</v>
      </c>
      <c r="U728" s="18" t="s">
        <v>5236</v>
      </c>
      <c r="V728" s="17" t="s">
        <v>9418</v>
      </c>
      <c r="W728" s="18" t="s">
        <v>5309</v>
      </c>
      <c r="X728" s="69" t="s">
        <v>9453</v>
      </c>
      <c r="Y728" s="70" t="s">
        <v>9462</v>
      </c>
      <c r="Z728" s="73" t="s">
        <v>9486</v>
      </c>
      <c r="AA728" s="74" t="s">
        <v>9504</v>
      </c>
      <c r="AB728" s="73" t="s">
        <v>9486</v>
      </c>
      <c r="AC728" s="74" t="s">
        <v>9562</v>
      </c>
      <c r="AD728" s="73" t="s">
        <v>9578</v>
      </c>
      <c r="AE728" s="74" t="s">
        <v>9579</v>
      </c>
    </row>
    <row r="729" spans="1:31" ht="8.65" customHeight="1" x14ac:dyDescent="0.2">
      <c r="A729" s="76">
        <v>729</v>
      </c>
      <c r="B729" s="67" t="str">
        <f>MID(C729, FIND("Ifc.", C729) + 4, 4) &amp; "_" &amp; TEXT(COUNTIF($C$2:C729, C729),"0000")</f>
        <v>Prop_0728</v>
      </c>
      <c r="C729" s="24" t="s">
        <v>872</v>
      </c>
      <c r="D729" s="69" t="s">
        <v>9453</v>
      </c>
      <c r="E729" s="70" t="s">
        <v>9454</v>
      </c>
      <c r="F729" s="17" t="s">
        <v>806</v>
      </c>
      <c r="G729" s="22" t="s">
        <v>912</v>
      </c>
      <c r="H729" s="12" t="s">
        <v>9703</v>
      </c>
      <c r="I729" s="13" t="s">
        <v>7458</v>
      </c>
      <c r="J729" s="14" t="s">
        <v>798</v>
      </c>
      <c r="K729" s="15" t="s">
        <v>798</v>
      </c>
      <c r="L729" s="12" t="s">
        <v>5315</v>
      </c>
      <c r="M729" s="13" t="s">
        <v>5374</v>
      </c>
      <c r="N729" s="12" t="s">
        <v>803</v>
      </c>
      <c r="O729" s="13" t="s">
        <v>4816</v>
      </c>
      <c r="P729" s="17" t="s">
        <v>802</v>
      </c>
      <c r="Q729" s="21" t="s">
        <v>7684</v>
      </c>
      <c r="R729" s="17" t="s">
        <v>801</v>
      </c>
      <c r="S729" s="18" t="s">
        <v>2560</v>
      </c>
      <c r="T729" s="17" t="s">
        <v>800</v>
      </c>
      <c r="U729" s="18" t="s">
        <v>5236</v>
      </c>
      <c r="V729" s="17" t="s">
        <v>9418</v>
      </c>
      <c r="W729" s="18" t="s">
        <v>5309</v>
      </c>
      <c r="X729" s="69" t="s">
        <v>9453</v>
      </c>
      <c r="Y729" s="70" t="s">
        <v>9462</v>
      </c>
      <c r="Z729" s="73" t="s">
        <v>9486</v>
      </c>
      <c r="AA729" s="74" t="s">
        <v>9504</v>
      </c>
      <c r="AB729" s="73" t="s">
        <v>9486</v>
      </c>
      <c r="AC729" s="74" t="s">
        <v>9562</v>
      </c>
      <c r="AD729" s="73" t="s">
        <v>9578</v>
      </c>
      <c r="AE729" s="74" t="s">
        <v>9579</v>
      </c>
    </row>
    <row r="730" spans="1:31" ht="8.65" customHeight="1" x14ac:dyDescent="0.2">
      <c r="A730" s="76">
        <v>730</v>
      </c>
      <c r="B730" s="67" t="str">
        <f>MID(C730, FIND("Ifc.", C730) + 4, 4) &amp; "_" &amp; TEXT(COUNTIF($C$2:C730, C730),"0000")</f>
        <v>Prop_0729</v>
      </c>
      <c r="C730" s="24" t="s">
        <v>872</v>
      </c>
      <c r="D730" s="69" t="s">
        <v>9453</v>
      </c>
      <c r="E730" s="70" t="s">
        <v>9454</v>
      </c>
      <c r="F730" s="17" t="s">
        <v>806</v>
      </c>
      <c r="G730" s="22" t="s">
        <v>912</v>
      </c>
      <c r="H730" s="12" t="s">
        <v>9703</v>
      </c>
      <c r="I730" s="13" t="s">
        <v>7458</v>
      </c>
      <c r="J730" s="14" t="s">
        <v>798</v>
      </c>
      <c r="K730" s="15" t="s">
        <v>798</v>
      </c>
      <c r="L730" s="12" t="s">
        <v>5315</v>
      </c>
      <c r="M730" s="13" t="s">
        <v>6033</v>
      </c>
      <c r="N730" s="12" t="s">
        <v>803</v>
      </c>
      <c r="O730" s="13" t="s">
        <v>4847</v>
      </c>
      <c r="P730" s="17" t="s">
        <v>802</v>
      </c>
      <c r="Q730" s="21" t="s">
        <v>7836</v>
      </c>
      <c r="R730" s="17" t="s">
        <v>801</v>
      </c>
      <c r="S730" s="18" t="s">
        <v>2560</v>
      </c>
      <c r="T730" s="17" t="s">
        <v>800</v>
      </c>
      <c r="U730" s="18" t="s">
        <v>5236</v>
      </c>
      <c r="V730" s="17" t="s">
        <v>9418</v>
      </c>
      <c r="W730" s="18" t="s">
        <v>5309</v>
      </c>
      <c r="X730" s="69" t="s">
        <v>9453</v>
      </c>
      <c r="Y730" s="70" t="s">
        <v>9462</v>
      </c>
      <c r="Z730" s="73" t="s">
        <v>9486</v>
      </c>
      <c r="AA730" s="74" t="s">
        <v>9504</v>
      </c>
      <c r="AB730" s="73" t="s">
        <v>9486</v>
      </c>
      <c r="AC730" s="74" t="s">
        <v>9562</v>
      </c>
      <c r="AD730" s="73" t="s">
        <v>9578</v>
      </c>
      <c r="AE730" s="74" t="s">
        <v>9579</v>
      </c>
    </row>
    <row r="731" spans="1:31" ht="8.65" customHeight="1" x14ac:dyDescent="0.2">
      <c r="A731" s="76">
        <v>731</v>
      </c>
      <c r="B731" s="67" t="str">
        <f>MID(C731, FIND("Ifc.", C731) + 4, 4) &amp; "_" &amp; TEXT(COUNTIF($C$2:C731, C731),"0000")</f>
        <v>Prop_0730</v>
      </c>
      <c r="C731" s="24" t="s">
        <v>872</v>
      </c>
      <c r="D731" s="69" t="s">
        <v>9453</v>
      </c>
      <c r="E731" s="70" t="s">
        <v>9454</v>
      </c>
      <c r="F731" s="17" t="s">
        <v>806</v>
      </c>
      <c r="G731" s="22" t="s">
        <v>912</v>
      </c>
      <c r="H731" s="12" t="s">
        <v>9703</v>
      </c>
      <c r="I731" s="13" t="s">
        <v>7458</v>
      </c>
      <c r="J731" s="14" t="s">
        <v>798</v>
      </c>
      <c r="K731" s="15" t="s">
        <v>798</v>
      </c>
      <c r="L731" s="12" t="s">
        <v>5315</v>
      </c>
      <c r="M731" s="13" t="s">
        <v>6039</v>
      </c>
      <c r="N731" s="12" t="s">
        <v>803</v>
      </c>
      <c r="O731" s="13" t="s">
        <v>4860</v>
      </c>
      <c r="P731" s="17" t="s">
        <v>802</v>
      </c>
      <c r="Q731" s="21" t="s">
        <v>7802</v>
      </c>
      <c r="R731" s="17" t="s">
        <v>801</v>
      </c>
      <c r="S731" s="18" t="s">
        <v>2560</v>
      </c>
      <c r="T731" s="17" t="s">
        <v>800</v>
      </c>
      <c r="U731" s="18" t="s">
        <v>5236</v>
      </c>
      <c r="V731" s="17" t="s">
        <v>9418</v>
      </c>
      <c r="W731" s="18" t="s">
        <v>5309</v>
      </c>
      <c r="X731" s="69" t="s">
        <v>9453</v>
      </c>
      <c r="Y731" s="70" t="s">
        <v>9462</v>
      </c>
      <c r="Z731" s="73" t="s">
        <v>9486</v>
      </c>
      <c r="AA731" s="74" t="s">
        <v>9504</v>
      </c>
      <c r="AB731" s="73" t="s">
        <v>9486</v>
      </c>
      <c r="AC731" s="74" t="s">
        <v>9562</v>
      </c>
      <c r="AD731" s="73" t="s">
        <v>9578</v>
      </c>
      <c r="AE731" s="74" t="s">
        <v>9579</v>
      </c>
    </row>
    <row r="732" spans="1:31" ht="8.65" customHeight="1" x14ac:dyDescent="0.2">
      <c r="A732" s="76">
        <v>732</v>
      </c>
      <c r="B732" s="67" t="str">
        <f>MID(C732, FIND("Ifc.", C732) + 4, 4) &amp; "_" &amp; TEXT(COUNTIF($C$2:C732, C732),"0000")</f>
        <v>Prop_0731</v>
      </c>
      <c r="C732" s="24" t="s">
        <v>872</v>
      </c>
      <c r="D732" s="69" t="s">
        <v>9453</v>
      </c>
      <c r="E732" s="70" t="s">
        <v>9454</v>
      </c>
      <c r="F732" s="17" t="s">
        <v>806</v>
      </c>
      <c r="G732" s="22" t="s">
        <v>912</v>
      </c>
      <c r="H732" s="12" t="s">
        <v>9703</v>
      </c>
      <c r="I732" s="13" t="s">
        <v>7458</v>
      </c>
      <c r="J732" s="14" t="s">
        <v>798</v>
      </c>
      <c r="K732" s="15" t="s">
        <v>798</v>
      </c>
      <c r="L732" s="12" t="s">
        <v>5315</v>
      </c>
      <c r="M732" s="13" t="s">
        <v>6040</v>
      </c>
      <c r="N732" s="12" t="s">
        <v>803</v>
      </c>
      <c r="O732" s="13" t="s">
        <v>4861</v>
      </c>
      <c r="P732" s="17" t="s">
        <v>802</v>
      </c>
      <c r="Q732" s="21" t="s">
        <v>7803</v>
      </c>
      <c r="R732" s="17" t="s">
        <v>801</v>
      </c>
      <c r="S732" s="18" t="s">
        <v>2560</v>
      </c>
      <c r="T732" s="17" t="s">
        <v>800</v>
      </c>
      <c r="U732" s="18" t="s">
        <v>5236</v>
      </c>
      <c r="V732" s="17" t="s">
        <v>9418</v>
      </c>
      <c r="W732" s="18" t="s">
        <v>5309</v>
      </c>
      <c r="X732" s="69" t="s">
        <v>9453</v>
      </c>
      <c r="Y732" s="70" t="s">
        <v>9462</v>
      </c>
      <c r="Z732" s="73" t="s">
        <v>9486</v>
      </c>
      <c r="AA732" s="74" t="s">
        <v>9504</v>
      </c>
      <c r="AB732" s="73" t="s">
        <v>9486</v>
      </c>
      <c r="AC732" s="74" t="s">
        <v>9562</v>
      </c>
      <c r="AD732" s="73" t="s">
        <v>9578</v>
      </c>
      <c r="AE732" s="74" t="s">
        <v>9579</v>
      </c>
    </row>
    <row r="733" spans="1:31" ht="8.65" customHeight="1" x14ac:dyDescent="0.2">
      <c r="A733" s="76">
        <v>733</v>
      </c>
      <c r="B733" s="67" t="str">
        <f>MID(C733, FIND("Ifc.", C733) + 4, 4) &amp; "_" &amp; TEXT(COUNTIF($C$2:C733, C733),"0000")</f>
        <v>Prop_0732</v>
      </c>
      <c r="C733" s="24" t="s">
        <v>872</v>
      </c>
      <c r="D733" s="69" t="s">
        <v>9453</v>
      </c>
      <c r="E733" s="70" t="s">
        <v>9454</v>
      </c>
      <c r="F733" s="17" t="s">
        <v>806</v>
      </c>
      <c r="G733" s="22" t="s">
        <v>912</v>
      </c>
      <c r="H733" s="12" t="s">
        <v>9703</v>
      </c>
      <c r="I733" s="13" t="s">
        <v>7458</v>
      </c>
      <c r="J733" s="14" t="s">
        <v>798</v>
      </c>
      <c r="K733" s="15" t="s">
        <v>798</v>
      </c>
      <c r="L733" s="12" t="s">
        <v>5315</v>
      </c>
      <c r="M733" s="13" t="s">
        <v>6057</v>
      </c>
      <c r="N733" s="12" t="s">
        <v>803</v>
      </c>
      <c r="O733" s="13" t="s">
        <v>4887</v>
      </c>
      <c r="P733" s="17" t="s">
        <v>802</v>
      </c>
      <c r="Q733" s="21" t="s">
        <v>7720</v>
      </c>
      <c r="R733" s="17" t="s">
        <v>801</v>
      </c>
      <c r="S733" s="18" t="s">
        <v>2560</v>
      </c>
      <c r="T733" s="17" t="s">
        <v>800</v>
      </c>
      <c r="U733" s="18" t="s">
        <v>5236</v>
      </c>
      <c r="V733" s="17" t="s">
        <v>9418</v>
      </c>
      <c r="W733" s="18" t="s">
        <v>5309</v>
      </c>
      <c r="X733" s="69" t="s">
        <v>9453</v>
      </c>
      <c r="Y733" s="70" t="s">
        <v>9462</v>
      </c>
      <c r="Z733" s="73" t="s">
        <v>9486</v>
      </c>
      <c r="AA733" s="74" t="s">
        <v>9504</v>
      </c>
      <c r="AB733" s="73" t="s">
        <v>9486</v>
      </c>
      <c r="AC733" s="74" t="s">
        <v>9562</v>
      </c>
      <c r="AD733" s="73" t="s">
        <v>9578</v>
      </c>
      <c r="AE733" s="74" t="s">
        <v>9579</v>
      </c>
    </row>
    <row r="734" spans="1:31" ht="8.65" customHeight="1" x14ac:dyDescent="0.2">
      <c r="A734" s="76">
        <v>734</v>
      </c>
      <c r="B734" s="67" t="str">
        <f>MID(C734, FIND("Ifc.", C734) + 4, 4) &amp; "_" &amp; TEXT(COUNTIF($C$2:C734, C734),"0000")</f>
        <v>Prop_0733</v>
      </c>
      <c r="C734" s="24" t="s">
        <v>872</v>
      </c>
      <c r="D734" s="69" t="s">
        <v>9453</v>
      </c>
      <c r="E734" s="70" t="s">
        <v>9454</v>
      </c>
      <c r="F734" s="17" t="s">
        <v>806</v>
      </c>
      <c r="G734" s="22" t="s">
        <v>912</v>
      </c>
      <c r="H734" s="12" t="s">
        <v>9703</v>
      </c>
      <c r="I734" s="13" t="s">
        <v>7458</v>
      </c>
      <c r="J734" s="14" t="s">
        <v>798</v>
      </c>
      <c r="K734" s="15" t="s">
        <v>798</v>
      </c>
      <c r="L734" s="12" t="s">
        <v>5315</v>
      </c>
      <c r="M734" s="13" t="s">
        <v>5409</v>
      </c>
      <c r="N734" s="12" t="s">
        <v>803</v>
      </c>
      <c r="O734" s="13" t="s">
        <v>4907</v>
      </c>
      <c r="P734" s="17" t="s">
        <v>802</v>
      </c>
      <c r="Q734" s="21" t="s">
        <v>7769</v>
      </c>
      <c r="R734" s="17" t="s">
        <v>801</v>
      </c>
      <c r="S734" s="18" t="s">
        <v>2560</v>
      </c>
      <c r="T734" s="17" t="s">
        <v>800</v>
      </c>
      <c r="U734" s="18" t="s">
        <v>5236</v>
      </c>
      <c r="V734" s="17" t="s">
        <v>9418</v>
      </c>
      <c r="W734" s="18" t="s">
        <v>5309</v>
      </c>
      <c r="X734" s="69" t="s">
        <v>9453</v>
      </c>
      <c r="Y734" s="70" t="s">
        <v>9462</v>
      </c>
      <c r="Z734" s="73" t="s">
        <v>9486</v>
      </c>
      <c r="AA734" s="74" t="s">
        <v>9504</v>
      </c>
      <c r="AB734" s="73" t="s">
        <v>9486</v>
      </c>
      <c r="AC734" s="74" t="s">
        <v>9562</v>
      </c>
      <c r="AD734" s="73" t="s">
        <v>9578</v>
      </c>
      <c r="AE734" s="74" t="s">
        <v>9579</v>
      </c>
    </row>
    <row r="735" spans="1:31" ht="8.65" customHeight="1" x14ac:dyDescent="0.2">
      <c r="A735" s="76">
        <v>735</v>
      </c>
      <c r="B735" s="67" t="str">
        <f>MID(C735, FIND("Ifc.", C735) + 4, 4) &amp; "_" &amp; TEXT(COUNTIF($C$2:C735, C735),"0000")</f>
        <v>Prop_0734</v>
      </c>
      <c r="C735" s="24" t="s">
        <v>872</v>
      </c>
      <c r="D735" s="69" t="s">
        <v>9453</v>
      </c>
      <c r="E735" s="70" t="s">
        <v>9454</v>
      </c>
      <c r="F735" s="17" t="s">
        <v>806</v>
      </c>
      <c r="G735" s="22" t="s">
        <v>912</v>
      </c>
      <c r="H735" s="12" t="s">
        <v>9703</v>
      </c>
      <c r="I735" s="13" t="s">
        <v>7458</v>
      </c>
      <c r="J735" s="14" t="s">
        <v>798</v>
      </c>
      <c r="K735" s="15" t="s">
        <v>798</v>
      </c>
      <c r="L735" s="12" t="s">
        <v>5315</v>
      </c>
      <c r="M735" s="13" t="s">
        <v>6054</v>
      </c>
      <c r="N735" s="12" t="s">
        <v>803</v>
      </c>
      <c r="O735" s="13" t="s">
        <v>4927</v>
      </c>
      <c r="P735" s="17" t="s">
        <v>802</v>
      </c>
      <c r="Q735" s="21" t="s">
        <v>7686</v>
      </c>
      <c r="R735" s="17" t="s">
        <v>801</v>
      </c>
      <c r="S735" s="18" t="s">
        <v>2560</v>
      </c>
      <c r="T735" s="17" t="s">
        <v>800</v>
      </c>
      <c r="U735" s="18" t="s">
        <v>5236</v>
      </c>
      <c r="V735" s="17" t="s">
        <v>9418</v>
      </c>
      <c r="W735" s="18" t="s">
        <v>5309</v>
      </c>
      <c r="X735" s="69" t="s">
        <v>9453</v>
      </c>
      <c r="Y735" s="70" t="s">
        <v>9462</v>
      </c>
      <c r="Z735" s="73" t="s">
        <v>9486</v>
      </c>
      <c r="AA735" s="74" t="s">
        <v>9504</v>
      </c>
      <c r="AB735" s="73" t="s">
        <v>9486</v>
      </c>
      <c r="AC735" s="74" t="s">
        <v>9562</v>
      </c>
      <c r="AD735" s="73" t="s">
        <v>9578</v>
      </c>
      <c r="AE735" s="74" t="s">
        <v>9579</v>
      </c>
    </row>
    <row r="736" spans="1:31" ht="8.65" customHeight="1" x14ac:dyDescent="0.2">
      <c r="A736" s="76">
        <v>736</v>
      </c>
      <c r="B736" s="67" t="str">
        <f>MID(C736, FIND("Ifc.", C736) + 4, 4) &amp; "_" &amp; TEXT(COUNTIF($C$2:C736, C736),"0000")</f>
        <v>Prop_0735</v>
      </c>
      <c r="C736" s="24" t="s">
        <v>872</v>
      </c>
      <c r="D736" s="69" t="s">
        <v>9453</v>
      </c>
      <c r="E736" s="70" t="s">
        <v>9454</v>
      </c>
      <c r="F736" s="17" t="s">
        <v>806</v>
      </c>
      <c r="G736" s="22" t="s">
        <v>912</v>
      </c>
      <c r="H736" s="12" t="s">
        <v>9703</v>
      </c>
      <c r="I736" s="13" t="s">
        <v>7458</v>
      </c>
      <c r="J736" s="14" t="s">
        <v>798</v>
      </c>
      <c r="K736" s="15" t="s">
        <v>798</v>
      </c>
      <c r="L736" s="12" t="s">
        <v>5315</v>
      </c>
      <c r="M736" s="13" t="s">
        <v>5454</v>
      </c>
      <c r="N736" s="12" t="s">
        <v>803</v>
      </c>
      <c r="O736" s="13" t="s">
        <v>5017</v>
      </c>
      <c r="P736" s="17" t="s">
        <v>802</v>
      </c>
      <c r="Q736" s="21" t="s">
        <v>7776</v>
      </c>
      <c r="R736" s="17" t="s">
        <v>801</v>
      </c>
      <c r="S736" s="18" t="s">
        <v>2560</v>
      </c>
      <c r="T736" s="17" t="s">
        <v>800</v>
      </c>
      <c r="U736" s="18" t="s">
        <v>5236</v>
      </c>
      <c r="V736" s="17" t="s">
        <v>9418</v>
      </c>
      <c r="W736" s="18" t="s">
        <v>5309</v>
      </c>
      <c r="X736" s="69" t="s">
        <v>9453</v>
      </c>
      <c r="Y736" s="70" t="s">
        <v>9462</v>
      </c>
      <c r="Z736" s="73" t="s">
        <v>9486</v>
      </c>
      <c r="AA736" s="74" t="s">
        <v>9504</v>
      </c>
      <c r="AB736" s="73" t="s">
        <v>9486</v>
      </c>
      <c r="AC736" s="74" t="s">
        <v>9562</v>
      </c>
      <c r="AD736" s="73" t="s">
        <v>9578</v>
      </c>
      <c r="AE736" s="74" t="s">
        <v>9579</v>
      </c>
    </row>
    <row r="737" spans="1:31" ht="8.65" customHeight="1" x14ac:dyDescent="0.2">
      <c r="A737" s="76">
        <v>737</v>
      </c>
      <c r="B737" s="67" t="str">
        <f>MID(C737, FIND("Ifc.", C737) + 4, 4) &amp; "_" &amp; TEXT(COUNTIF($C$2:C737, C737),"0000")</f>
        <v>Prop_0736</v>
      </c>
      <c r="C737" s="24" t="s">
        <v>872</v>
      </c>
      <c r="D737" s="69" t="s">
        <v>9453</v>
      </c>
      <c r="E737" s="70" t="s">
        <v>9454</v>
      </c>
      <c r="F737" s="17" t="s">
        <v>806</v>
      </c>
      <c r="G737" s="22" t="s">
        <v>912</v>
      </c>
      <c r="H737" s="12" t="s">
        <v>9703</v>
      </c>
      <c r="I737" s="13" t="s">
        <v>7458</v>
      </c>
      <c r="J737" s="14" t="s">
        <v>798</v>
      </c>
      <c r="K737" s="15" t="s">
        <v>798</v>
      </c>
      <c r="L737" s="12" t="s">
        <v>5315</v>
      </c>
      <c r="M737" s="13" t="s">
        <v>5462</v>
      </c>
      <c r="N737" s="12" t="s">
        <v>803</v>
      </c>
      <c r="O737" s="13" t="s">
        <v>5044</v>
      </c>
      <c r="P737" s="17" t="s">
        <v>802</v>
      </c>
      <c r="Q737" s="21" t="s">
        <v>7806</v>
      </c>
      <c r="R737" s="17" t="s">
        <v>801</v>
      </c>
      <c r="S737" s="18" t="s">
        <v>2560</v>
      </c>
      <c r="T737" s="17" t="s">
        <v>800</v>
      </c>
      <c r="U737" s="18" t="s">
        <v>5236</v>
      </c>
      <c r="V737" s="17" t="s">
        <v>9418</v>
      </c>
      <c r="W737" s="18" t="s">
        <v>5309</v>
      </c>
      <c r="X737" s="69" t="s">
        <v>9453</v>
      </c>
      <c r="Y737" s="70" t="s">
        <v>9462</v>
      </c>
      <c r="Z737" s="73" t="s">
        <v>9486</v>
      </c>
      <c r="AA737" s="74" t="s">
        <v>9504</v>
      </c>
      <c r="AB737" s="73" t="s">
        <v>9486</v>
      </c>
      <c r="AC737" s="74" t="s">
        <v>9562</v>
      </c>
      <c r="AD737" s="73" t="s">
        <v>9578</v>
      </c>
      <c r="AE737" s="74" t="s">
        <v>9579</v>
      </c>
    </row>
    <row r="738" spans="1:31" ht="8.65" customHeight="1" x14ac:dyDescent="0.2">
      <c r="A738" s="76">
        <v>738</v>
      </c>
      <c r="B738" s="67" t="str">
        <f>MID(C738, FIND("Ifc.", C738) + 4, 4) &amp; "_" &amp; TEXT(COUNTIF($C$2:C738, C738),"0000")</f>
        <v>Prop_0737</v>
      </c>
      <c r="C738" s="24" t="s">
        <v>872</v>
      </c>
      <c r="D738" s="69" t="s">
        <v>9453</v>
      </c>
      <c r="E738" s="70" t="s">
        <v>9454</v>
      </c>
      <c r="F738" s="17" t="s">
        <v>806</v>
      </c>
      <c r="G738" s="22" t="s">
        <v>912</v>
      </c>
      <c r="H738" s="12" t="s">
        <v>9703</v>
      </c>
      <c r="I738" s="13" t="s">
        <v>7458</v>
      </c>
      <c r="J738" s="14" t="s">
        <v>798</v>
      </c>
      <c r="K738" s="15" t="s">
        <v>798</v>
      </c>
      <c r="L738" s="12" t="s">
        <v>5315</v>
      </c>
      <c r="M738" s="13" t="s">
        <v>5477</v>
      </c>
      <c r="N738" s="12" t="s">
        <v>803</v>
      </c>
      <c r="O738" s="13" t="s">
        <v>5081</v>
      </c>
      <c r="P738" s="17" t="s">
        <v>802</v>
      </c>
      <c r="Q738" s="21" t="s">
        <v>7807</v>
      </c>
      <c r="R738" s="17" t="s">
        <v>801</v>
      </c>
      <c r="S738" s="18" t="s">
        <v>2560</v>
      </c>
      <c r="T738" s="17" t="s">
        <v>800</v>
      </c>
      <c r="U738" s="18" t="s">
        <v>5236</v>
      </c>
      <c r="V738" s="17" t="s">
        <v>9418</v>
      </c>
      <c r="W738" s="18" t="s">
        <v>5309</v>
      </c>
      <c r="X738" s="69" t="s">
        <v>9453</v>
      </c>
      <c r="Y738" s="70" t="s">
        <v>9462</v>
      </c>
      <c r="Z738" s="73" t="s">
        <v>9486</v>
      </c>
      <c r="AA738" s="74" t="s">
        <v>9504</v>
      </c>
      <c r="AB738" s="73" t="s">
        <v>9486</v>
      </c>
      <c r="AC738" s="74" t="s">
        <v>9562</v>
      </c>
      <c r="AD738" s="73" t="s">
        <v>9578</v>
      </c>
      <c r="AE738" s="74" t="s">
        <v>9579</v>
      </c>
    </row>
    <row r="739" spans="1:31" ht="8.65" customHeight="1" x14ac:dyDescent="0.2">
      <c r="A739" s="76">
        <v>739</v>
      </c>
      <c r="B739" s="67" t="str">
        <f>MID(C739, FIND("Ifc.", C739) + 4, 4) &amp; "_" &amp; TEXT(COUNTIF($C$2:C739, C739),"0000")</f>
        <v>Prop_0738</v>
      </c>
      <c r="C739" s="24" t="s">
        <v>872</v>
      </c>
      <c r="D739" s="69" t="s">
        <v>9453</v>
      </c>
      <c r="E739" s="70" t="s">
        <v>9454</v>
      </c>
      <c r="F739" s="17" t="s">
        <v>806</v>
      </c>
      <c r="G739" s="22" t="s">
        <v>912</v>
      </c>
      <c r="H739" s="12" t="s">
        <v>9703</v>
      </c>
      <c r="I739" s="13" t="s">
        <v>7458</v>
      </c>
      <c r="J739" s="14" t="s">
        <v>798</v>
      </c>
      <c r="K739" s="15" t="s">
        <v>798</v>
      </c>
      <c r="L739" s="12" t="s">
        <v>5315</v>
      </c>
      <c r="M739" s="13" t="s">
        <v>5478</v>
      </c>
      <c r="N739" s="12" t="s">
        <v>803</v>
      </c>
      <c r="O739" s="13" t="s">
        <v>5082</v>
      </c>
      <c r="P739" s="17" t="s">
        <v>802</v>
      </c>
      <c r="Q739" s="21" t="s">
        <v>7824</v>
      </c>
      <c r="R739" s="17" t="s">
        <v>801</v>
      </c>
      <c r="S739" s="18" t="s">
        <v>2560</v>
      </c>
      <c r="T739" s="17" t="s">
        <v>800</v>
      </c>
      <c r="U739" s="18" t="s">
        <v>5236</v>
      </c>
      <c r="V739" s="17" t="s">
        <v>9418</v>
      </c>
      <c r="W739" s="18" t="s">
        <v>5309</v>
      </c>
      <c r="X739" s="69" t="s">
        <v>9453</v>
      </c>
      <c r="Y739" s="70" t="s">
        <v>9462</v>
      </c>
      <c r="Z739" s="73" t="s">
        <v>9486</v>
      </c>
      <c r="AA739" s="74" t="s">
        <v>9504</v>
      </c>
      <c r="AB739" s="73" t="s">
        <v>9486</v>
      </c>
      <c r="AC739" s="74" t="s">
        <v>9562</v>
      </c>
      <c r="AD739" s="73" t="s">
        <v>9578</v>
      </c>
      <c r="AE739" s="74" t="s">
        <v>9579</v>
      </c>
    </row>
    <row r="740" spans="1:31" ht="8.65" customHeight="1" x14ac:dyDescent="0.2">
      <c r="A740" s="76">
        <v>740</v>
      </c>
      <c r="B740" s="67" t="str">
        <f>MID(C740, FIND("Ifc.", C740) + 4, 4) &amp; "_" &amp; TEXT(COUNTIF($C$2:C740, C740),"0000")</f>
        <v>Prop_0739</v>
      </c>
      <c r="C740" s="24" t="s">
        <v>872</v>
      </c>
      <c r="D740" s="69" t="s">
        <v>9453</v>
      </c>
      <c r="E740" s="70" t="s">
        <v>9454</v>
      </c>
      <c r="F740" s="17" t="s">
        <v>806</v>
      </c>
      <c r="G740" s="22" t="s">
        <v>912</v>
      </c>
      <c r="H740" s="12" t="s">
        <v>9703</v>
      </c>
      <c r="I740" s="13" t="s">
        <v>7458</v>
      </c>
      <c r="J740" s="14" t="s">
        <v>798</v>
      </c>
      <c r="K740" s="15" t="s">
        <v>798</v>
      </c>
      <c r="L740" s="12" t="s">
        <v>5315</v>
      </c>
      <c r="M740" s="13" t="s">
        <v>5485</v>
      </c>
      <c r="N740" s="12" t="s">
        <v>803</v>
      </c>
      <c r="O740" s="13" t="s">
        <v>5088</v>
      </c>
      <c r="P740" s="17" t="s">
        <v>802</v>
      </c>
      <c r="Q740" s="21" t="s">
        <v>7808</v>
      </c>
      <c r="R740" s="17" t="s">
        <v>801</v>
      </c>
      <c r="S740" s="18" t="s">
        <v>2560</v>
      </c>
      <c r="T740" s="17" t="s">
        <v>800</v>
      </c>
      <c r="U740" s="18" t="s">
        <v>5236</v>
      </c>
      <c r="V740" s="17" t="s">
        <v>9418</v>
      </c>
      <c r="W740" s="18" t="s">
        <v>5309</v>
      </c>
      <c r="X740" s="69" t="s">
        <v>9453</v>
      </c>
      <c r="Y740" s="70" t="s">
        <v>9462</v>
      </c>
      <c r="Z740" s="73" t="s">
        <v>9486</v>
      </c>
      <c r="AA740" s="74" t="s">
        <v>9504</v>
      </c>
      <c r="AB740" s="73" t="s">
        <v>9486</v>
      </c>
      <c r="AC740" s="74" t="s">
        <v>9562</v>
      </c>
      <c r="AD740" s="73" t="s">
        <v>9578</v>
      </c>
      <c r="AE740" s="74" t="s">
        <v>9579</v>
      </c>
    </row>
    <row r="741" spans="1:31" ht="8.65" customHeight="1" x14ac:dyDescent="0.2">
      <c r="A741" s="76">
        <v>741</v>
      </c>
      <c r="B741" s="67" t="str">
        <f>MID(C741, FIND("Ifc.", C741) + 4, 4) &amp; "_" &amp; TEXT(COUNTIF($C$2:C741, C741),"0000")</f>
        <v>Prop_0740</v>
      </c>
      <c r="C741" s="24" t="s">
        <v>872</v>
      </c>
      <c r="D741" s="69" t="s">
        <v>9453</v>
      </c>
      <c r="E741" s="70" t="s">
        <v>9454</v>
      </c>
      <c r="F741" s="17" t="s">
        <v>806</v>
      </c>
      <c r="G741" s="22" t="s">
        <v>912</v>
      </c>
      <c r="H741" s="12" t="s">
        <v>9703</v>
      </c>
      <c r="I741" s="13" t="s">
        <v>7458</v>
      </c>
      <c r="J741" s="14" t="s">
        <v>798</v>
      </c>
      <c r="K741" s="15" t="s">
        <v>798</v>
      </c>
      <c r="L741" s="12" t="s">
        <v>5315</v>
      </c>
      <c r="M741" s="13" t="s">
        <v>5487</v>
      </c>
      <c r="N741" s="12" t="s">
        <v>803</v>
      </c>
      <c r="O741" s="13" t="s">
        <v>5095</v>
      </c>
      <c r="P741" s="17" t="s">
        <v>802</v>
      </c>
      <c r="Q741" s="21" t="s">
        <v>7687</v>
      </c>
      <c r="R741" s="17" t="s">
        <v>801</v>
      </c>
      <c r="S741" s="18" t="s">
        <v>2560</v>
      </c>
      <c r="T741" s="17" t="s">
        <v>800</v>
      </c>
      <c r="U741" s="18" t="s">
        <v>5236</v>
      </c>
      <c r="V741" s="17" t="s">
        <v>9418</v>
      </c>
      <c r="W741" s="18" t="s">
        <v>5309</v>
      </c>
      <c r="X741" s="69" t="s">
        <v>9453</v>
      </c>
      <c r="Y741" s="70" t="s">
        <v>9462</v>
      </c>
      <c r="Z741" s="73" t="s">
        <v>9486</v>
      </c>
      <c r="AA741" s="74" t="s">
        <v>9504</v>
      </c>
      <c r="AB741" s="73" t="s">
        <v>9486</v>
      </c>
      <c r="AC741" s="74" t="s">
        <v>9562</v>
      </c>
      <c r="AD741" s="73" t="s">
        <v>9578</v>
      </c>
      <c r="AE741" s="74" t="s">
        <v>9579</v>
      </c>
    </row>
    <row r="742" spans="1:31" ht="8.65" customHeight="1" x14ac:dyDescent="0.2">
      <c r="A742" s="76">
        <v>742</v>
      </c>
      <c r="B742" s="67" t="str">
        <f>MID(C742, FIND("Ifc.", C742) + 4, 4) &amp; "_" &amp; TEXT(COUNTIF($C$2:C742, C742),"0000")</f>
        <v>Prop_0741</v>
      </c>
      <c r="C742" s="24" t="s">
        <v>872</v>
      </c>
      <c r="D742" s="69" t="s">
        <v>9453</v>
      </c>
      <c r="E742" s="70" t="s">
        <v>9454</v>
      </c>
      <c r="F742" s="17" t="s">
        <v>806</v>
      </c>
      <c r="G742" s="22" t="s">
        <v>912</v>
      </c>
      <c r="H742" s="12" t="s">
        <v>9703</v>
      </c>
      <c r="I742" s="13" t="s">
        <v>7458</v>
      </c>
      <c r="J742" s="14" t="s">
        <v>798</v>
      </c>
      <c r="K742" s="15" t="s">
        <v>798</v>
      </c>
      <c r="L742" s="12" t="s">
        <v>5315</v>
      </c>
      <c r="M742" s="13" t="s">
        <v>5491</v>
      </c>
      <c r="N742" s="12" t="s">
        <v>803</v>
      </c>
      <c r="O742" s="13" t="s">
        <v>5102</v>
      </c>
      <c r="P742" s="17" t="s">
        <v>802</v>
      </c>
      <c r="Q742" s="21" t="s">
        <v>7809</v>
      </c>
      <c r="R742" s="17" t="s">
        <v>801</v>
      </c>
      <c r="S742" s="18" t="s">
        <v>2560</v>
      </c>
      <c r="T742" s="17" t="s">
        <v>800</v>
      </c>
      <c r="U742" s="18" t="s">
        <v>5236</v>
      </c>
      <c r="V742" s="17" t="s">
        <v>9418</v>
      </c>
      <c r="W742" s="18" t="s">
        <v>5309</v>
      </c>
      <c r="X742" s="69" t="s">
        <v>9453</v>
      </c>
      <c r="Y742" s="70" t="s">
        <v>9462</v>
      </c>
      <c r="Z742" s="73" t="s">
        <v>9486</v>
      </c>
      <c r="AA742" s="74" t="s">
        <v>9504</v>
      </c>
      <c r="AB742" s="73" t="s">
        <v>9486</v>
      </c>
      <c r="AC742" s="74" t="s">
        <v>9562</v>
      </c>
      <c r="AD742" s="73" t="s">
        <v>9578</v>
      </c>
      <c r="AE742" s="74" t="s">
        <v>9579</v>
      </c>
    </row>
    <row r="743" spans="1:31" ht="8.65" customHeight="1" x14ac:dyDescent="0.2">
      <c r="A743" s="76">
        <v>743</v>
      </c>
      <c r="B743" s="67" t="str">
        <f>MID(C743, FIND("Ifc.", C743) + 4, 4) &amp; "_" &amp; TEXT(COUNTIF($C$2:C743, C743),"0000")</f>
        <v>Prop_0742</v>
      </c>
      <c r="C743" s="24" t="s">
        <v>872</v>
      </c>
      <c r="D743" s="69" t="s">
        <v>9453</v>
      </c>
      <c r="E743" s="70" t="s">
        <v>9454</v>
      </c>
      <c r="F743" s="17" t="s">
        <v>806</v>
      </c>
      <c r="G743" s="22" t="s">
        <v>912</v>
      </c>
      <c r="H743" s="12" t="s">
        <v>9703</v>
      </c>
      <c r="I743" s="13" t="s">
        <v>7458</v>
      </c>
      <c r="J743" s="14" t="s">
        <v>798</v>
      </c>
      <c r="K743" s="15" t="s">
        <v>798</v>
      </c>
      <c r="L743" s="12" t="s">
        <v>5315</v>
      </c>
      <c r="M743" s="13" t="s">
        <v>6055</v>
      </c>
      <c r="N743" s="12" t="s">
        <v>803</v>
      </c>
      <c r="O743" s="13" t="s">
        <v>5107</v>
      </c>
      <c r="P743" s="17" t="s">
        <v>802</v>
      </c>
      <c r="Q743" s="21" t="s">
        <v>7688</v>
      </c>
      <c r="R743" s="17" t="s">
        <v>801</v>
      </c>
      <c r="S743" s="18" t="s">
        <v>2560</v>
      </c>
      <c r="T743" s="17" t="s">
        <v>800</v>
      </c>
      <c r="U743" s="18" t="s">
        <v>5236</v>
      </c>
      <c r="V743" s="17" t="s">
        <v>9418</v>
      </c>
      <c r="W743" s="18" t="s">
        <v>5309</v>
      </c>
      <c r="X743" s="69" t="s">
        <v>9453</v>
      </c>
      <c r="Y743" s="70" t="s">
        <v>9462</v>
      </c>
      <c r="Z743" s="73" t="s">
        <v>9486</v>
      </c>
      <c r="AA743" s="74" t="s">
        <v>9504</v>
      </c>
      <c r="AB743" s="73" t="s">
        <v>9486</v>
      </c>
      <c r="AC743" s="74" t="s">
        <v>9562</v>
      </c>
      <c r="AD743" s="73" t="s">
        <v>9578</v>
      </c>
      <c r="AE743" s="74" t="s">
        <v>9579</v>
      </c>
    </row>
    <row r="744" spans="1:31" ht="8.65" customHeight="1" x14ac:dyDescent="0.2">
      <c r="A744" s="76">
        <v>744</v>
      </c>
      <c r="B744" s="67" t="str">
        <f>MID(C744, FIND("Ifc.", C744) + 4, 4) &amp; "_" &amp; TEXT(COUNTIF($C$2:C744, C744),"0000")</f>
        <v>Prop_0743</v>
      </c>
      <c r="C744" s="24" t="s">
        <v>872</v>
      </c>
      <c r="D744" s="69" t="s">
        <v>9453</v>
      </c>
      <c r="E744" s="70" t="s">
        <v>9454</v>
      </c>
      <c r="F744" s="17" t="s">
        <v>806</v>
      </c>
      <c r="G744" s="22" t="s">
        <v>912</v>
      </c>
      <c r="H744" s="12" t="s">
        <v>9703</v>
      </c>
      <c r="I744" s="13" t="s">
        <v>7458</v>
      </c>
      <c r="J744" s="14" t="s">
        <v>798</v>
      </c>
      <c r="K744" s="15" t="s">
        <v>798</v>
      </c>
      <c r="L744" s="12" t="s">
        <v>5315</v>
      </c>
      <c r="M744" s="13" t="s">
        <v>5556</v>
      </c>
      <c r="N744" s="12" t="s">
        <v>803</v>
      </c>
      <c r="O744" s="13" t="s">
        <v>5169</v>
      </c>
      <c r="P744" s="17" t="s">
        <v>802</v>
      </c>
      <c r="Q744" s="21" t="s">
        <v>7728</v>
      </c>
      <c r="R744" s="17" t="s">
        <v>801</v>
      </c>
      <c r="S744" s="18" t="s">
        <v>2560</v>
      </c>
      <c r="T744" s="17" t="s">
        <v>800</v>
      </c>
      <c r="U744" s="18" t="s">
        <v>5236</v>
      </c>
      <c r="V744" s="17" t="s">
        <v>9418</v>
      </c>
      <c r="W744" s="18" t="s">
        <v>5309</v>
      </c>
      <c r="X744" s="69" t="s">
        <v>9453</v>
      </c>
      <c r="Y744" s="70" t="s">
        <v>9462</v>
      </c>
      <c r="Z744" s="73" t="s">
        <v>9486</v>
      </c>
      <c r="AA744" s="74" t="s">
        <v>9504</v>
      </c>
      <c r="AB744" s="73" t="s">
        <v>9486</v>
      </c>
      <c r="AC744" s="74" t="s">
        <v>9562</v>
      </c>
      <c r="AD744" s="73" t="s">
        <v>9578</v>
      </c>
      <c r="AE744" s="74" t="s">
        <v>9579</v>
      </c>
    </row>
    <row r="745" spans="1:31" ht="8.65" customHeight="1" x14ac:dyDescent="0.2">
      <c r="A745" s="76">
        <v>745</v>
      </c>
      <c r="B745" s="67" t="str">
        <f>MID(C745, FIND("Ifc.", C745) + 4, 4) &amp; "_" &amp; TEXT(COUNTIF($C$2:C745, C745),"0000")</f>
        <v>Prop_0744</v>
      </c>
      <c r="C745" s="24" t="s">
        <v>872</v>
      </c>
      <c r="D745" s="69" t="s">
        <v>9453</v>
      </c>
      <c r="E745" s="70" t="s">
        <v>9454</v>
      </c>
      <c r="F745" s="17" t="s">
        <v>806</v>
      </c>
      <c r="G745" s="22" t="s">
        <v>912</v>
      </c>
      <c r="H745" s="12" t="s">
        <v>9703</v>
      </c>
      <c r="I745" s="13" t="s">
        <v>7458</v>
      </c>
      <c r="J745" s="14" t="s">
        <v>798</v>
      </c>
      <c r="K745" s="15" t="s">
        <v>798</v>
      </c>
      <c r="L745" s="12" t="s">
        <v>5315</v>
      </c>
      <c r="M745" s="13" t="s">
        <v>5563</v>
      </c>
      <c r="N745" s="12" t="s">
        <v>803</v>
      </c>
      <c r="O745" s="13" t="s">
        <v>5178</v>
      </c>
      <c r="P745" s="17" t="s">
        <v>802</v>
      </c>
      <c r="Q745" s="21" t="s">
        <v>7810</v>
      </c>
      <c r="R745" s="17" t="s">
        <v>801</v>
      </c>
      <c r="S745" s="18" t="s">
        <v>2560</v>
      </c>
      <c r="T745" s="17" t="s">
        <v>800</v>
      </c>
      <c r="U745" s="18" t="s">
        <v>5236</v>
      </c>
      <c r="V745" s="17" t="s">
        <v>9418</v>
      </c>
      <c r="W745" s="18" t="s">
        <v>5309</v>
      </c>
      <c r="X745" s="69" t="s">
        <v>9453</v>
      </c>
      <c r="Y745" s="70" t="s">
        <v>9462</v>
      </c>
      <c r="Z745" s="73" t="s">
        <v>9486</v>
      </c>
      <c r="AA745" s="74" t="s">
        <v>9504</v>
      </c>
      <c r="AB745" s="73" t="s">
        <v>9486</v>
      </c>
      <c r="AC745" s="74" t="s">
        <v>9562</v>
      </c>
      <c r="AD745" s="73" t="s">
        <v>9578</v>
      </c>
      <c r="AE745" s="74" t="s">
        <v>9579</v>
      </c>
    </row>
    <row r="746" spans="1:31" ht="8.65" customHeight="1" x14ac:dyDescent="0.2">
      <c r="A746" s="76">
        <v>746</v>
      </c>
      <c r="B746" s="67" t="str">
        <f>MID(C746, FIND("Ifc.", C746) + 4, 4) &amp; "_" &amp; TEXT(COUNTIF($C$2:C746, C746),"0000")</f>
        <v>Prop_0745</v>
      </c>
      <c r="C746" s="24" t="s">
        <v>872</v>
      </c>
      <c r="D746" s="69" t="s">
        <v>9453</v>
      </c>
      <c r="E746" s="70" t="s">
        <v>9454</v>
      </c>
      <c r="F746" s="17" t="s">
        <v>806</v>
      </c>
      <c r="G746" s="22" t="s">
        <v>912</v>
      </c>
      <c r="H746" s="12" t="s">
        <v>9703</v>
      </c>
      <c r="I746" s="13" t="s">
        <v>7458</v>
      </c>
      <c r="J746" s="14" t="s">
        <v>798</v>
      </c>
      <c r="K746" s="15" t="s">
        <v>798</v>
      </c>
      <c r="L746" s="12" t="s">
        <v>5315</v>
      </c>
      <c r="M746" s="13" t="s">
        <v>5579</v>
      </c>
      <c r="N746" s="12" t="s">
        <v>803</v>
      </c>
      <c r="O746" s="13" t="s">
        <v>5225</v>
      </c>
      <c r="P746" s="17" t="s">
        <v>802</v>
      </c>
      <c r="Q746" s="21" t="s">
        <v>7811</v>
      </c>
      <c r="R746" s="17" t="s">
        <v>801</v>
      </c>
      <c r="S746" s="18" t="s">
        <v>2560</v>
      </c>
      <c r="T746" s="17" t="s">
        <v>800</v>
      </c>
      <c r="U746" s="18" t="s">
        <v>5236</v>
      </c>
      <c r="V746" s="17" t="s">
        <v>9418</v>
      </c>
      <c r="W746" s="18" t="s">
        <v>5309</v>
      </c>
      <c r="X746" s="69" t="s">
        <v>9453</v>
      </c>
      <c r="Y746" s="70" t="s">
        <v>9462</v>
      </c>
      <c r="Z746" s="73" t="s">
        <v>9486</v>
      </c>
      <c r="AA746" s="74" t="s">
        <v>9504</v>
      </c>
      <c r="AB746" s="73" t="s">
        <v>9486</v>
      </c>
      <c r="AC746" s="74" t="s">
        <v>9562</v>
      </c>
      <c r="AD746" s="73" t="s">
        <v>9578</v>
      </c>
      <c r="AE746" s="74" t="s">
        <v>9579</v>
      </c>
    </row>
    <row r="747" spans="1:31" ht="8.65" customHeight="1" x14ac:dyDescent="0.2">
      <c r="A747" s="76">
        <v>747</v>
      </c>
      <c r="B747" s="67" t="str">
        <f>MID(C747, FIND("Ifc.", C747) + 4, 4) &amp; "_" &amp; TEXT(COUNTIF($C$2:C747, C747),"0000")</f>
        <v>Prop_0746</v>
      </c>
      <c r="C747" s="24" t="s">
        <v>872</v>
      </c>
      <c r="D747" s="69" t="s">
        <v>9453</v>
      </c>
      <c r="E747" s="70" t="s">
        <v>9454</v>
      </c>
      <c r="F747" s="17" t="s">
        <v>806</v>
      </c>
      <c r="G747" s="22" t="s">
        <v>912</v>
      </c>
      <c r="H747" s="12" t="s">
        <v>9703</v>
      </c>
      <c r="I747" s="13" t="s">
        <v>7458</v>
      </c>
      <c r="J747" s="14" t="s">
        <v>798</v>
      </c>
      <c r="K747" s="15" t="s">
        <v>798</v>
      </c>
      <c r="L747" s="12" t="s">
        <v>5315</v>
      </c>
      <c r="M747" s="13" t="s">
        <v>5582</v>
      </c>
      <c r="N747" s="12" t="s">
        <v>803</v>
      </c>
      <c r="O747" s="13" t="s">
        <v>5229</v>
      </c>
      <c r="P747" s="17" t="s">
        <v>802</v>
      </c>
      <c r="Q747" s="21" t="s">
        <v>7685</v>
      </c>
      <c r="R747" s="17" t="s">
        <v>801</v>
      </c>
      <c r="S747" s="18" t="s">
        <v>2560</v>
      </c>
      <c r="T747" s="17" t="s">
        <v>800</v>
      </c>
      <c r="U747" s="18" t="s">
        <v>5236</v>
      </c>
      <c r="V747" s="17" t="s">
        <v>9418</v>
      </c>
      <c r="W747" s="18" t="s">
        <v>5309</v>
      </c>
      <c r="X747" s="69" t="s">
        <v>9453</v>
      </c>
      <c r="Y747" s="70" t="s">
        <v>9462</v>
      </c>
      <c r="Z747" s="73" t="s">
        <v>9486</v>
      </c>
      <c r="AA747" s="74" t="s">
        <v>9504</v>
      </c>
      <c r="AB747" s="73" t="s">
        <v>9486</v>
      </c>
      <c r="AC747" s="74" t="s">
        <v>9562</v>
      </c>
      <c r="AD747" s="73" t="s">
        <v>9578</v>
      </c>
      <c r="AE747" s="74" t="s">
        <v>9579</v>
      </c>
    </row>
    <row r="748" spans="1:31" ht="8.65" customHeight="1" x14ac:dyDescent="0.2">
      <c r="A748" s="76">
        <v>748</v>
      </c>
      <c r="B748" s="67" t="str">
        <f>MID(C748, FIND("Ifc.", C748) + 4, 4) &amp; "_" &amp; TEXT(COUNTIF($C$2:C748, C748),"0000")</f>
        <v>Prop_0747</v>
      </c>
      <c r="C748" s="24" t="s">
        <v>872</v>
      </c>
      <c r="D748" s="69" t="s">
        <v>9453</v>
      </c>
      <c r="E748" s="70" t="s">
        <v>9454</v>
      </c>
      <c r="F748" s="17" t="s">
        <v>806</v>
      </c>
      <c r="G748" s="22" t="s">
        <v>912</v>
      </c>
      <c r="H748" s="12" t="s">
        <v>9703</v>
      </c>
      <c r="I748" s="13" t="s">
        <v>7458</v>
      </c>
      <c r="J748" s="14" t="s">
        <v>798</v>
      </c>
      <c r="K748" s="15" t="s">
        <v>798</v>
      </c>
      <c r="L748" s="12" t="s">
        <v>5315</v>
      </c>
      <c r="M748" s="13" t="s">
        <v>5582</v>
      </c>
      <c r="N748" s="12" t="s">
        <v>803</v>
      </c>
      <c r="O748" s="13" t="s">
        <v>5228</v>
      </c>
      <c r="P748" s="17" t="s">
        <v>802</v>
      </c>
      <c r="Q748" s="21" t="s">
        <v>7944</v>
      </c>
      <c r="R748" s="17" t="s">
        <v>801</v>
      </c>
      <c r="S748" s="18" t="s">
        <v>2560</v>
      </c>
      <c r="T748" s="17" t="s">
        <v>800</v>
      </c>
      <c r="U748" s="18" t="s">
        <v>5236</v>
      </c>
      <c r="V748" s="17" t="s">
        <v>9418</v>
      </c>
      <c r="W748" s="18" t="s">
        <v>5309</v>
      </c>
      <c r="X748" s="69" t="s">
        <v>9453</v>
      </c>
      <c r="Y748" s="70" t="s">
        <v>9462</v>
      </c>
      <c r="Z748" s="73" t="s">
        <v>9486</v>
      </c>
      <c r="AA748" s="74" t="s">
        <v>9504</v>
      </c>
      <c r="AB748" s="73" t="s">
        <v>9486</v>
      </c>
      <c r="AC748" s="74" t="s">
        <v>9562</v>
      </c>
      <c r="AD748" s="73" t="s">
        <v>9578</v>
      </c>
      <c r="AE748" s="74" t="s">
        <v>9579</v>
      </c>
    </row>
    <row r="749" spans="1:31" ht="8.65" customHeight="1" x14ac:dyDescent="0.2">
      <c r="A749" s="76">
        <v>749</v>
      </c>
      <c r="B749" s="67" t="str">
        <f>MID(C749, FIND("Ifc.", C749) + 4, 4) &amp; "_" &amp; TEXT(COUNTIF($C$2:C749, C749),"0000")</f>
        <v>Prop_0748</v>
      </c>
      <c r="C749" s="24" t="s">
        <v>872</v>
      </c>
      <c r="D749" s="69" t="s">
        <v>9453</v>
      </c>
      <c r="E749" s="70" t="s">
        <v>9454</v>
      </c>
      <c r="F749" s="17" t="s">
        <v>806</v>
      </c>
      <c r="G749" s="22" t="s">
        <v>2462</v>
      </c>
      <c r="H749" s="12" t="s">
        <v>9703</v>
      </c>
      <c r="I749" s="13" t="s">
        <v>7455</v>
      </c>
      <c r="J749" s="14" t="s">
        <v>798</v>
      </c>
      <c r="K749" s="15" t="s">
        <v>798</v>
      </c>
      <c r="L749" s="12" t="s">
        <v>5315</v>
      </c>
      <c r="M749" s="13" t="s">
        <v>5574</v>
      </c>
      <c r="N749" s="12" t="s">
        <v>803</v>
      </c>
      <c r="O749" s="13" t="s">
        <v>4930</v>
      </c>
      <c r="P749" s="17" t="s">
        <v>802</v>
      </c>
      <c r="Q749" s="21" t="s">
        <v>7945</v>
      </c>
      <c r="R749" s="17" t="s">
        <v>801</v>
      </c>
      <c r="S749" s="18" t="s">
        <v>2560</v>
      </c>
      <c r="T749" s="17" t="s">
        <v>800</v>
      </c>
      <c r="U749" s="18" t="s">
        <v>5236</v>
      </c>
      <c r="V749" s="17" t="s">
        <v>9418</v>
      </c>
      <c r="W749" s="18" t="s">
        <v>5309</v>
      </c>
      <c r="X749" s="69" t="s">
        <v>9453</v>
      </c>
      <c r="Y749" s="70" t="s">
        <v>9462</v>
      </c>
      <c r="Z749" s="73" t="s">
        <v>9486</v>
      </c>
      <c r="AA749" s="74" t="s">
        <v>9504</v>
      </c>
      <c r="AB749" s="73" t="s">
        <v>9486</v>
      </c>
      <c r="AC749" s="74" t="s">
        <v>9562</v>
      </c>
      <c r="AD749" s="73" t="s">
        <v>9578</v>
      </c>
      <c r="AE749" s="74" t="s">
        <v>9579</v>
      </c>
    </row>
    <row r="750" spans="1:31" ht="8.65" customHeight="1" x14ac:dyDescent="0.2">
      <c r="A750" s="76">
        <v>750</v>
      </c>
      <c r="B750" s="67" t="str">
        <f>MID(C750, FIND("Ifc.", C750) + 4, 4) &amp; "_" &amp; TEXT(COUNTIF($C$2:C750, C750),"0000")</f>
        <v>Prop_0749</v>
      </c>
      <c r="C750" s="24" t="s">
        <v>872</v>
      </c>
      <c r="D750" s="69" t="s">
        <v>9453</v>
      </c>
      <c r="E750" s="70" t="s">
        <v>9454</v>
      </c>
      <c r="F750" s="17" t="s">
        <v>806</v>
      </c>
      <c r="G750" s="22" t="s">
        <v>1967</v>
      </c>
      <c r="H750" s="12" t="s">
        <v>9703</v>
      </c>
      <c r="I750" s="13" t="s">
        <v>7476</v>
      </c>
      <c r="J750" s="14" t="s">
        <v>798</v>
      </c>
      <c r="K750" s="15" t="s">
        <v>798</v>
      </c>
      <c r="L750" s="12" t="s">
        <v>5315</v>
      </c>
      <c r="M750" s="13" t="s">
        <v>5473</v>
      </c>
      <c r="N750" s="12" t="s">
        <v>803</v>
      </c>
      <c r="O750" s="13" t="s">
        <v>5071</v>
      </c>
      <c r="P750" s="17" t="s">
        <v>802</v>
      </c>
      <c r="Q750" s="21" t="s">
        <v>7946</v>
      </c>
      <c r="R750" s="17" t="s">
        <v>801</v>
      </c>
      <c r="S750" s="18" t="s">
        <v>2560</v>
      </c>
      <c r="T750" s="17" t="s">
        <v>800</v>
      </c>
      <c r="U750" s="18" t="s">
        <v>5236</v>
      </c>
      <c r="V750" s="17" t="s">
        <v>9418</v>
      </c>
      <c r="W750" s="18" t="s">
        <v>5309</v>
      </c>
      <c r="X750" s="69" t="s">
        <v>9453</v>
      </c>
      <c r="Y750" s="70" t="s">
        <v>9462</v>
      </c>
      <c r="Z750" s="73" t="s">
        <v>9486</v>
      </c>
      <c r="AA750" s="74" t="s">
        <v>9504</v>
      </c>
      <c r="AB750" s="73" t="s">
        <v>9486</v>
      </c>
      <c r="AC750" s="74" t="s">
        <v>9562</v>
      </c>
      <c r="AD750" s="73" t="s">
        <v>9578</v>
      </c>
      <c r="AE750" s="74" t="s">
        <v>9579</v>
      </c>
    </row>
    <row r="751" spans="1:31" ht="8.65" customHeight="1" x14ac:dyDescent="0.2">
      <c r="A751" s="76">
        <v>751</v>
      </c>
      <c r="B751" s="67" t="str">
        <f>MID(C751, FIND("Ifc.", C751) + 4, 4) &amp; "_" &amp; TEXT(COUNTIF($C$2:C751, C751),"0000")</f>
        <v>Prop_0750</v>
      </c>
      <c r="C751" s="24" t="s">
        <v>872</v>
      </c>
      <c r="D751" s="69" t="s">
        <v>9453</v>
      </c>
      <c r="E751" s="70" t="s">
        <v>9454</v>
      </c>
      <c r="F751" s="17" t="s">
        <v>806</v>
      </c>
      <c r="G751" s="22" t="s">
        <v>1519</v>
      </c>
      <c r="H751" s="12" t="s">
        <v>9703</v>
      </c>
      <c r="I751" s="13" t="s">
        <v>7461</v>
      </c>
      <c r="J751" s="14" t="s">
        <v>798</v>
      </c>
      <c r="K751" s="15" t="s">
        <v>798</v>
      </c>
      <c r="L751" s="12" t="s">
        <v>5315</v>
      </c>
      <c r="M751" s="13" t="s">
        <v>5445</v>
      </c>
      <c r="N751" s="12" t="s">
        <v>803</v>
      </c>
      <c r="O751" s="13" t="s">
        <v>4952</v>
      </c>
      <c r="P751" s="17" t="s">
        <v>802</v>
      </c>
      <c r="Q751" s="21" t="s">
        <v>7888</v>
      </c>
      <c r="R751" s="17" t="s">
        <v>801</v>
      </c>
      <c r="S751" s="18" t="s">
        <v>2560</v>
      </c>
      <c r="T751" s="17" t="s">
        <v>800</v>
      </c>
      <c r="U751" s="18" t="s">
        <v>5236</v>
      </c>
      <c r="V751" s="17" t="s">
        <v>9418</v>
      </c>
      <c r="W751" s="18" t="s">
        <v>5309</v>
      </c>
      <c r="X751" s="69" t="s">
        <v>9453</v>
      </c>
      <c r="Y751" s="70" t="s">
        <v>9462</v>
      </c>
      <c r="Z751" s="73" t="s">
        <v>9486</v>
      </c>
      <c r="AA751" s="74" t="s">
        <v>9504</v>
      </c>
      <c r="AB751" s="73" t="s">
        <v>9486</v>
      </c>
      <c r="AC751" s="74" t="s">
        <v>9562</v>
      </c>
      <c r="AD751" s="73" t="s">
        <v>9578</v>
      </c>
      <c r="AE751" s="74" t="s">
        <v>9579</v>
      </c>
    </row>
    <row r="752" spans="1:31" ht="8.65" customHeight="1" x14ac:dyDescent="0.2">
      <c r="A752" s="76">
        <v>752</v>
      </c>
      <c r="B752" s="67" t="str">
        <f>MID(C752, FIND("Ifc.", C752) + 4, 4) &amp; "_" &amp; TEXT(COUNTIF($C$2:C752, C752),"0000")</f>
        <v>Prop_0751</v>
      </c>
      <c r="C752" s="24" t="s">
        <v>872</v>
      </c>
      <c r="D752" s="69" t="s">
        <v>9453</v>
      </c>
      <c r="E752" s="70" t="s">
        <v>9454</v>
      </c>
      <c r="F752" s="17" t="s">
        <v>806</v>
      </c>
      <c r="G752" s="22" t="s">
        <v>1050</v>
      </c>
      <c r="H752" s="12" t="s">
        <v>9703</v>
      </c>
      <c r="I752" s="13" t="s">
        <v>7462</v>
      </c>
      <c r="J752" s="14" t="s">
        <v>798</v>
      </c>
      <c r="K752" s="15" t="s">
        <v>798</v>
      </c>
      <c r="L752" s="12" t="s">
        <v>5315</v>
      </c>
      <c r="M752" s="13" t="s">
        <v>5387</v>
      </c>
      <c r="N752" s="12" t="s">
        <v>803</v>
      </c>
      <c r="O752" s="13" t="s">
        <v>4845</v>
      </c>
      <c r="P752" s="17" t="s">
        <v>802</v>
      </c>
      <c r="Q752" s="21" t="s">
        <v>7947</v>
      </c>
      <c r="R752" s="17" t="s">
        <v>801</v>
      </c>
      <c r="S752" s="18" t="s">
        <v>2560</v>
      </c>
      <c r="T752" s="17" t="s">
        <v>800</v>
      </c>
      <c r="U752" s="18" t="s">
        <v>5236</v>
      </c>
      <c r="V752" s="17" t="s">
        <v>9418</v>
      </c>
      <c r="W752" s="18" t="s">
        <v>5309</v>
      </c>
      <c r="X752" s="69" t="s">
        <v>9453</v>
      </c>
      <c r="Y752" s="70" t="s">
        <v>9462</v>
      </c>
      <c r="Z752" s="73" t="s">
        <v>9486</v>
      </c>
      <c r="AA752" s="74" t="s">
        <v>9504</v>
      </c>
      <c r="AB752" s="73" t="s">
        <v>9486</v>
      </c>
      <c r="AC752" s="74" t="s">
        <v>9562</v>
      </c>
      <c r="AD752" s="73" t="s">
        <v>9578</v>
      </c>
      <c r="AE752" s="74" t="s">
        <v>9579</v>
      </c>
    </row>
    <row r="753" spans="1:31" ht="8.65" customHeight="1" x14ac:dyDescent="0.2">
      <c r="A753" s="76">
        <v>753</v>
      </c>
      <c r="B753" s="67" t="str">
        <f>MID(C753, FIND("Ifc.", C753) + 4, 4) &amp; "_" &amp; TEXT(COUNTIF($C$2:C753, C753),"0000")</f>
        <v>Prop_0752</v>
      </c>
      <c r="C753" s="24" t="s">
        <v>872</v>
      </c>
      <c r="D753" s="69" t="s">
        <v>9453</v>
      </c>
      <c r="E753" s="70" t="s">
        <v>9454</v>
      </c>
      <c r="F753" s="17" t="s">
        <v>806</v>
      </c>
      <c r="G753" s="22" t="s">
        <v>1050</v>
      </c>
      <c r="H753" s="12" t="s">
        <v>9703</v>
      </c>
      <c r="I753" s="13" t="s">
        <v>7462</v>
      </c>
      <c r="J753" s="14" t="s">
        <v>798</v>
      </c>
      <c r="K753" s="15" t="s">
        <v>798</v>
      </c>
      <c r="L753" s="12" t="s">
        <v>5315</v>
      </c>
      <c r="M753" s="13" t="s">
        <v>5415</v>
      </c>
      <c r="N753" s="12" t="s">
        <v>803</v>
      </c>
      <c r="O753" s="13" t="s">
        <v>4914</v>
      </c>
      <c r="P753" s="17" t="s">
        <v>802</v>
      </c>
      <c r="Q753" s="21" t="s">
        <v>7735</v>
      </c>
      <c r="R753" s="17" t="s">
        <v>801</v>
      </c>
      <c r="S753" s="18" t="s">
        <v>2560</v>
      </c>
      <c r="T753" s="17" t="s">
        <v>800</v>
      </c>
      <c r="U753" s="18" t="s">
        <v>5236</v>
      </c>
      <c r="V753" s="17" t="s">
        <v>9418</v>
      </c>
      <c r="W753" s="18" t="s">
        <v>5309</v>
      </c>
      <c r="X753" s="69" t="s">
        <v>9453</v>
      </c>
      <c r="Y753" s="70" t="s">
        <v>9462</v>
      </c>
      <c r="Z753" s="73" t="s">
        <v>9486</v>
      </c>
      <c r="AA753" s="74" t="s">
        <v>9504</v>
      </c>
      <c r="AB753" s="73" t="s">
        <v>9486</v>
      </c>
      <c r="AC753" s="74" t="s">
        <v>9562</v>
      </c>
      <c r="AD753" s="73" t="s">
        <v>9578</v>
      </c>
      <c r="AE753" s="74" t="s">
        <v>9579</v>
      </c>
    </row>
    <row r="754" spans="1:31" ht="8.65" customHeight="1" x14ac:dyDescent="0.2">
      <c r="A754" s="76">
        <v>754</v>
      </c>
      <c r="B754" s="67" t="str">
        <f>MID(C754, FIND("Ifc.", C754) + 4, 4) &amp; "_" &amp; TEXT(COUNTIF($C$2:C754, C754),"0000")</f>
        <v>Prop_0753</v>
      </c>
      <c r="C754" s="24" t="s">
        <v>872</v>
      </c>
      <c r="D754" s="69" t="s">
        <v>9453</v>
      </c>
      <c r="E754" s="70" t="s">
        <v>9454</v>
      </c>
      <c r="F754" s="17" t="s">
        <v>806</v>
      </c>
      <c r="G754" s="22" t="s">
        <v>2265</v>
      </c>
      <c r="H754" s="12" t="s">
        <v>9703</v>
      </c>
      <c r="I754" s="13" t="s">
        <v>7468</v>
      </c>
      <c r="J754" s="14" t="s">
        <v>798</v>
      </c>
      <c r="K754" s="15" t="s">
        <v>798</v>
      </c>
      <c r="L754" s="12" t="s">
        <v>5315</v>
      </c>
      <c r="M754" s="13" t="s">
        <v>5537</v>
      </c>
      <c r="N754" s="12" t="s">
        <v>803</v>
      </c>
      <c r="O754" s="13" t="s">
        <v>5152</v>
      </c>
      <c r="P754" s="17" t="s">
        <v>802</v>
      </c>
      <c r="Q754" s="21" t="s">
        <v>7948</v>
      </c>
      <c r="R754" s="17" t="s">
        <v>801</v>
      </c>
      <c r="S754" s="18" t="s">
        <v>2560</v>
      </c>
      <c r="T754" s="17" t="s">
        <v>800</v>
      </c>
      <c r="U754" s="18" t="s">
        <v>5236</v>
      </c>
      <c r="V754" s="17" t="s">
        <v>9418</v>
      </c>
      <c r="W754" s="18" t="s">
        <v>5309</v>
      </c>
      <c r="X754" s="69" t="s">
        <v>9453</v>
      </c>
      <c r="Y754" s="70" t="s">
        <v>9462</v>
      </c>
      <c r="Z754" s="73" t="s">
        <v>9486</v>
      </c>
      <c r="AA754" s="74" t="s">
        <v>9504</v>
      </c>
      <c r="AB754" s="73" t="s">
        <v>9486</v>
      </c>
      <c r="AC754" s="74" t="s">
        <v>9562</v>
      </c>
      <c r="AD754" s="73" t="s">
        <v>9578</v>
      </c>
      <c r="AE754" s="74" t="s">
        <v>9579</v>
      </c>
    </row>
    <row r="755" spans="1:31" ht="8.65" customHeight="1" x14ac:dyDescent="0.2">
      <c r="A755" s="76">
        <v>755</v>
      </c>
      <c r="B755" s="67" t="str">
        <f>MID(C755, FIND("Ifc.", C755) + 4, 4) &amp; "_" &amp; TEXT(COUNTIF($C$2:C755, C755),"0000")</f>
        <v>Prop_0754</v>
      </c>
      <c r="C755" s="24" t="s">
        <v>872</v>
      </c>
      <c r="D755" s="69" t="s">
        <v>9453</v>
      </c>
      <c r="E755" s="70" t="s">
        <v>9454</v>
      </c>
      <c r="F755" s="17" t="s">
        <v>806</v>
      </c>
      <c r="G755" s="22" t="s">
        <v>2522</v>
      </c>
      <c r="H755" s="12" t="s">
        <v>9703</v>
      </c>
      <c r="I755" s="13" t="s">
        <v>7463</v>
      </c>
      <c r="J755" s="14" t="s">
        <v>798</v>
      </c>
      <c r="K755" s="15" t="s">
        <v>798</v>
      </c>
      <c r="L755" s="12" t="s">
        <v>5315</v>
      </c>
      <c r="M755" s="13" t="s">
        <v>5578</v>
      </c>
      <c r="N755" s="12" t="s">
        <v>803</v>
      </c>
      <c r="O755" s="13" t="s">
        <v>5224</v>
      </c>
      <c r="P755" s="17" t="s">
        <v>802</v>
      </c>
      <c r="Q755" s="21" t="s">
        <v>7677</v>
      </c>
      <c r="R755" s="17" t="s">
        <v>801</v>
      </c>
      <c r="S755" s="18" t="s">
        <v>2560</v>
      </c>
      <c r="T755" s="17" t="s">
        <v>800</v>
      </c>
      <c r="U755" s="18" t="s">
        <v>5236</v>
      </c>
      <c r="V755" s="17" t="s">
        <v>9418</v>
      </c>
      <c r="W755" s="18" t="s">
        <v>5309</v>
      </c>
      <c r="X755" s="69" t="s">
        <v>9453</v>
      </c>
      <c r="Y755" s="70" t="s">
        <v>9462</v>
      </c>
      <c r="Z755" s="73" t="s">
        <v>9486</v>
      </c>
      <c r="AA755" s="74" t="s">
        <v>9504</v>
      </c>
      <c r="AB755" s="73" t="s">
        <v>9486</v>
      </c>
      <c r="AC755" s="74" t="s">
        <v>9562</v>
      </c>
      <c r="AD755" s="73" t="s">
        <v>9578</v>
      </c>
      <c r="AE755" s="74" t="s">
        <v>9579</v>
      </c>
    </row>
    <row r="756" spans="1:31" ht="8.65" customHeight="1" x14ac:dyDescent="0.2">
      <c r="A756" s="76">
        <v>756</v>
      </c>
      <c r="B756" s="67" t="str">
        <f>MID(C756, FIND("Ifc.", C756) + 4, 4) &amp; "_" &amp; TEXT(COUNTIF($C$2:C756, C756),"0000")</f>
        <v>Prop_0755</v>
      </c>
      <c r="C756" s="24" t="s">
        <v>872</v>
      </c>
      <c r="D756" s="69" t="s">
        <v>9453</v>
      </c>
      <c r="E756" s="70" t="s">
        <v>9454</v>
      </c>
      <c r="F756" s="17" t="s">
        <v>806</v>
      </c>
      <c r="G756" s="22" t="s">
        <v>1348</v>
      </c>
      <c r="H756" s="12" t="s">
        <v>9703</v>
      </c>
      <c r="I756" s="13" t="s">
        <v>7483</v>
      </c>
      <c r="J756" s="14" t="s">
        <v>798</v>
      </c>
      <c r="K756" s="15" t="s">
        <v>798</v>
      </c>
      <c r="L756" s="12" t="s">
        <v>5315</v>
      </c>
      <c r="M756" s="13" t="s">
        <v>5414</v>
      </c>
      <c r="N756" s="12" t="s">
        <v>803</v>
      </c>
      <c r="O756" s="13" t="s">
        <v>4914</v>
      </c>
      <c r="P756" s="17" t="s">
        <v>802</v>
      </c>
      <c r="Q756" s="21" t="s">
        <v>7735</v>
      </c>
      <c r="R756" s="17" t="s">
        <v>801</v>
      </c>
      <c r="S756" s="18" t="s">
        <v>2561</v>
      </c>
      <c r="T756" s="17" t="s">
        <v>800</v>
      </c>
      <c r="U756" s="18" t="s">
        <v>5246</v>
      </c>
      <c r="V756" s="17" t="s">
        <v>9418</v>
      </c>
      <c r="W756" s="18" t="s">
        <v>5309</v>
      </c>
      <c r="X756" s="69" t="s">
        <v>9453</v>
      </c>
      <c r="Y756" s="70" t="s">
        <v>9462</v>
      </c>
      <c r="Z756" s="73" t="s">
        <v>9486</v>
      </c>
      <c r="AA756" s="74" t="s">
        <v>9504</v>
      </c>
      <c r="AB756" s="73" t="s">
        <v>9486</v>
      </c>
      <c r="AC756" s="74" t="s">
        <v>9562</v>
      </c>
      <c r="AD756" s="73" t="s">
        <v>9578</v>
      </c>
      <c r="AE756" s="74" t="s">
        <v>9579</v>
      </c>
    </row>
    <row r="757" spans="1:31" ht="8.65" customHeight="1" x14ac:dyDescent="0.2">
      <c r="A757" s="76">
        <v>757</v>
      </c>
      <c r="B757" s="67" t="str">
        <f>MID(C757, FIND("Ifc.", C757) + 4, 4) &amp; "_" &amp; TEXT(COUNTIF($C$2:C757, C757),"0000")</f>
        <v>Prop_0756</v>
      </c>
      <c r="C757" s="24" t="s">
        <v>872</v>
      </c>
      <c r="D757" s="69" t="s">
        <v>9453</v>
      </c>
      <c r="E757" s="70" t="s">
        <v>9454</v>
      </c>
      <c r="F757" s="17" t="s">
        <v>806</v>
      </c>
      <c r="G757" s="22" t="s">
        <v>1949</v>
      </c>
      <c r="H757" s="12" t="s">
        <v>9703</v>
      </c>
      <c r="I757" s="13" t="s">
        <v>7542</v>
      </c>
      <c r="J757" s="14" t="s">
        <v>798</v>
      </c>
      <c r="K757" s="15" t="s">
        <v>798</v>
      </c>
      <c r="L757" s="12" t="s">
        <v>5315</v>
      </c>
      <c r="M757" s="13" t="s">
        <v>5967</v>
      </c>
      <c r="N757" s="12" t="s">
        <v>803</v>
      </c>
      <c r="O757" s="13" t="s">
        <v>5066</v>
      </c>
      <c r="P757" s="17" t="s">
        <v>802</v>
      </c>
      <c r="Q757" s="21" t="s">
        <v>7949</v>
      </c>
      <c r="R757" s="17" t="s">
        <v>801</v>
      </c>
      <c r="S757" s="18" t="s">
        <v>2560</v>
      </c>
      <c r="T757" s="17" t="s">
        <v>800</v>
      </c>
      <c r="U757" s="18" t="s">
        <v>5236</v>
      </c>
      <c r="V757" s="17" t="s">
        <v>9418</v>
      </c>
      <c r="W757" s="18" t="s">
        <v>5309</v>
      </c>
      <c r="X757" s="69" t="s">
        <v>9453</v>
      </c>
      <c r="Y757" s="70" t="s">
        <v>9462</v>
      </c>
      <c r="Z757" s="73" t="s">
        <v>9486</v>
      </c>
      <c r="AA757" s="74" t="s">
        <v>9504</v>
      </c>
      <c r="AB757" s="73" t="s">
        <v>9486</v>
      </c>
      <c r="AC757" s="74" t="s">
        <v>9562</v>
      </c>
      <c r="AD757" s="73" t="s">
        <v>9578</v>
      </c>
      <c r="AE757" s="74" t="s">
        <v>9579</v>
      </c>
    </row>
    <row r="758" spans="1:31" ht="8.65" customHeight="1" x14ac:dyDescent="0.2">
      <c r="A758" s="76">
        <v>758</v>
      </c>
      <c r="B758" s="67" t="str">
        <f>MID(C758, FIND("Ifc.", C758) + 4, 4) &amp; "_" &amp; TEXT(COUNTIF($C$2:C758, C758),"0000")</f>
        <v>Prop_0757</v>
      </c>
      <c r="C758" s="24" t="s">
        <v>872</v>
      </c>
      <c r="D758" s="69" t="s">
        <v>9453</v>
      </c>
      <c r="E758" s="70" t="s">
        <v>9454</v>
      </c>
      <c r="F758" s="17" t="s">
        <v>806</v>
      </c>
      <c r="G758" s="22" t="s">
        <v>977</v>
      </c>
      <c r="H758" s="12" t="s">
        <v>9703</v>
      </c>
      <c r="I758" s="13" t="s">
        <v>7477</v>
      </c>
      <c r="J758" s="14" t="s">
        <v>798</v>
      </c>
      <c r="K758" s="15" t="s">
        <v>798</v>
      </c>
      <c r="L758" s="12" t="s">
        <v>5315</v>
      </c>
      <c r="M758" s="13" t="s">
        <v>5988</v>
      </c>
      <c r="N758" s="12" t="s">
        <v>803</v>
      </c>
      <c r="O758" s="13" t="s">
        <v>4825</v>
      </c>
      <c r="P758" s="17" t="s">
        <v>802</v>
      </c>
      <c r="Q758" s="21" t="s">
        <v>7950</v>
      </c>
      <c r="R758" s="17" t="s">
        <v>801</v>
      </c>
      <c r="S758" s="18" t="s">
        <v>2560</v>
      </c>
      <c r="T758" s="17" t="s">
        <v>800</v>
      </c>
      <c r="U758" s="18" t="s">
        <v>5236</v>
      </c>
      <c r="V758" s="17" t="s">
        <v>9418</v>
      </c>
      <c r="W758" s="18" t="s">
        <v>5309</v>
      </c>
      <c r="X758" s="69" t="s">
        <v>9453</v>
      </c>
      <c r="Y758" s="70" t="s">
        <v>9462</v>
      </c>
      <c r="Z758" s="73" t="s">
        <v>9486</v>
      </c>
      <c r="AA758" s="74" t="s">
        <v>9504</v>
      </c>
      <c r="AB758" s="73" t="s">
        <v>9486</v>
      </c>
      <c r="AC758" s="74" t="s">
        <v>9562</v>
      </c>
      <c r="AD758" s="73" t="s">
        <v>9578</v>
      </c>
      <c r="AE758" s="74" t="s">
        <v>9579</v>
      </c>
    </row>
    <row r="759" spans="1:31" ht="8.65" customHeight="1" x14ac:dyDescent="0.2">
      <c r="A759" s="76">
        <v>759</v>
      </c>
      <c r="B759" s="67" t="str">
        <f>MID(C759, FIND("Ifc.", C759) + 4, 4) &amp; "_" &amp; TEXT(COUNTIF($C$2:C759, C759),"0000")</f>
        <v>Prop_0758</v>
      </c>
      <c r="C759" s="24" t="s">
        <v>872</v>
      </c>
      <c r="D759" s="69" t="s">
        <v>9453</v>
      </c>
      <c r="E759" s="70" t="s">
        <v>9454</v>
      </c>
      <c r="F759" s="17" t="s">
        <v>806</v>
      </c>
      <c r="G759" s="22" t="s">
        <v>2542</v>
      </c>
      <c r="H759" s="12" t="s">
        <v>9703</v>
      </c>
      <c r="I759" s="13" t="s">
        <v>7482</v>
      </c>
      <c r="J759" s="14" t="s">
        <v>798</v>
      </c>
      <c r="K759" s="15" t="s">
        <v>798</v>
      </c>
      <c r="L759" s="12" t="s">
        <v>5315</v>
      </c>
      <c r="M759" s="13" t="s">
        <v>5580</v>
      </c>
      <c r="N759" s="12" t="s">
        <v>803</v>
      </c>
      <c r="O759" s="13" t="s">
        <v>5226</v>
      </c>
      <c r="P759" s="17" t="s">
        <v>802</v>
      </c>
      <c r="Q759" s="21" t="s">
        <v>7797</v>
      </c>
      <c r="R759" s="17" t="s">
        <v>801</v>
      </c>
      <c r="S759" s="18" t="s">
        <v>2560</v>
      </c>
      <c r="T759" s="17" t="s">
        <v>800</v>
      </c>
      <c r="U759" s="18" t="s">
        <v>5236</v>
      </c>
      <c r="V759" s="17" t="s">
        <v>9418</v>
      </c>
      <c r="W759" s="18" t="s">
        <v>5309</v>
      </c>
      <c r="X759" s="69" t="s">
        <v>9453</v>
      </c>
      <c r="Y759" s="70" t="s">
        <v>9462</v>
      </c>
      <c r="Z759" s="73" t="s">
        <v>9486</v>
      </c>
      <c r="AA759" s="74" t="s">
        <v>9504</v>
      </c>
      <c r="AB759" s="73" t="s">
        <v>9486</v>
      </c>
      <c r="AC759" s="74" t="s">
        <v>9562</v>
      </c>
      <c r="AD759" s="73" t="s">
        <v>9578</v>
      </c>
      <c r="AE759" s="74" t="s">
        <v>9579</v>
      </c>
    </row>
    <row r="760" spans="1:31" ht="8.65" customHeight="1" x14ac:dyDescent="0.2">
      <c r="A760" s="76">
        <v>760</v>
      </c>
      <c r="B760" s="67" t="str">
        <f>MID(C760, FIND("Ifc.", C760) + 4, 4) &amp; "_" &amp; TEXT(COUNTIF($C$2:C760, C760),"0000")</f>
        <v>Prop_0759</v>
      </c>
      <c r="C760" s="24" t="s">
        <v>872</v>
      </c>
      <c r="D760" s="69" t="s">
        <v>9453</v>
      </c>
      <c r="E760" s="70" t="s">
        <v>9454</v>
      </c>
      <c r="F760" s="17" t="s">
        <v>806</v>
      </c>
      <c r="G760" s="22" t="s">
        <v>2173</v>
      </c>
      <c r="H760" s="12" t="s">
        <v>9703</v>
      </c>
      <c r="I760" s="13" t="s">
        <v>7480</v>
      </c>
      <c r="J760" s="14" t="s">
        <v>798</v>
      </c>
      <c r="K760" s="15" t="s">
        <v>798</v>
      </c>
      <c r="L760" s="12" t="s">
        <v>5315</v>
      </c>
      <c r="M760" s="13" t="s">
        <v>5501</v>
      </c>
      <c r="N760" s="12" t="s">
        <v>803</v>
      </c>
      <c r="O760" s="13" t="s">
        <v>5115</v>
      </c>
      <c r="P760" s="17" t="s">
        <v>802</v>
      </c>
      <c r="Q760" s="21" t="s">
        <v>7762</v>
      </c>
      <c r="R760" s="17" t="s">
        <v>801</v>
      </c>
      <c r="S760" s="18" t="s">
        <v>2560</v>
      </c>
      <c r="T760" s="17" t="s">
        <v>800</v>
      </c>
      <c r="U760" s="18" t="s">
        <v>5236</v>
      </c>
      <c r="V760" s="17" t="s">
        <v>9418</v>
      </c>
      <c r="W760" s="18" t="s">
        <v>5309</v>
      </c>
      <c r="X760" s="69" t="s">
        <v>9453</v>
      </c>
      <c r="Y760" s="70" t="s">
        <v>9462</v>
      </c>
      <c r="Z760" s="73" t="s">
        <v>9486</v>
      </c>
      <c r="AA760" s="74" t="s">
        <v>9504</v>
      </c>
      <c r="AB760" s="73" t="s">
        <v>9486</v>
      </c>
      <c r="AC760" s="74" t="s">
        <v>9562</v>
      </c>
      <c r="AD760" s="73" t="s">
        <v>9578</v>
      </c>
      <c r="AE760" s="74" t="s">
        <v>9579</v>
      </c>
    </row>
    <row r="761" spans="1:31" ht="8.65" customHeight="1" x14ac:dyDescent="0.2">
      <c r="A761" s="76">
        <v>761</v>
      </c>
      <c r="B761" s="67" t="str">
        <f>MID(C761, FIND("Ifc.", C761) + 4, 4) &amp; "_" &amp; TEXT(COUNTIF($C$2:C761, C761),"0000")</f>
        <v>Prop_0760</v>
      </c>
      <c r="C761" s="24" t="s">
        <v>872</v>
      </c>
      <c r="D761" s="69" t="s">
        <v>9453</v>
      </c>
      <c r="E761" s="70" t="s">
        <v>9454</v>
      </c>
      <c r="F761" s="17" t="s">
        <v>806</v>
      </c>
      <c r="G761" s="22" t="s">
        <v>1859</v>
      </c>
      <c r="H761" s="12" t="s">
        <v>9703</v>
      </c>
      <c r="I761" s="13" t="s">
        <v>7464</v>
      </c>
      <c r="J761" s="14" t="s">
        <v>798</v>
      </c>
      <c r="K761" s="15" t="s">
        <v>798</v>
      </c>
      <c r="L761" s="12" t="s">
        <v>5315</v>
      </c>
      <c r="M761" s="13" t="s">
        <v>5459</v>
      </c>
      <c r="N761" s="12" t="s">
        <v>803</v>
      </c>
      <c r="O761" s="13" t="s">
        <v>4814</v>
      </c>
      <c r="P761" s="17" t="s">
        <v>802</v>
      </c>
      <c r="Q761" s="21" t="s">
        <v>7872</v>
      </c>
      <c r="R761" s="17" t="s">
        <v>801</v>
      </c>
      <c r="S761" s="18" t="s">
        <v>2560</v>
      </c>
      <c r="T761" s="17" t="s">
        <v>800</v>
      </c>
      <c r="U761" s="18" t="s">
        <v>5236</v>
      </c>
      <c r="V761" s="17" t="s">
        <v>9418</v>
      </c>
      <c r="W761" s="18" t="s">
        <v>5309</v>
      </c>
      <c r="X761" s="69" t="s">
        <v>9453</v>
      </c>
      <c r="Y761" s="70" t="s">
        <v>9462</v>
      </c>
      <c r="Z761" s="73" t="s">
        <v>9486</v>
      </c>
      <c r="AA761" s="74" t="s">
        <v>9504</v>
      </c>
      <c r="AB761" s="73" t="s">
        <v>9486</v>
      </c>
      <c r="AC761" s="74" t="s">
        <v>9562</v>
      </c>
      <c r="AD761" s="73" t="s">
        <v>9578</v>
      </c>
      <c r="AE761" s="74" t="s">
        <v>9579</v>
      </c>
    </row>
    <row r="762" spans="1:31" ht="8.65" customHeight="1" x14ac:dyDescent="0.2">
      <c r="A762" s="76">
        <v>762</v>
      </c>
      <c r="B762" s="67" t="str">
        <f>MID(C762, FIND("Ifc.", C762) + 4, 4) &amp; "_" &amp; TEXT(COUNTIF($C$2:C762, C762),"0000")</f>
        <v>Prop_0761</v>
      </c>
      <c r="C762" s="24" t="s">
        <v>872</v>
      </c>
      <c r="D762" s="69" t="s">
        <v>9453</v>
      </c>
      <c r="E762" s="70" t="s">
        <v>9454</v>
      </c>
      <c r="F762" s="17" t="s">
        <v>806</v>
      </c>
      <c r="G762" s="22" t="s">
        <v>1948</v>
      </c>
      <c r="H762" s="12" t="s">
        <v>9703</v>
      </c>
      <c r="I762" s="13" t="s">
        <v>7485</v>
      </c>
      <c r="J762" s="14" t="s">
        <v>798</v>
      </c>
      <c r="K762" s="15" t="s">
        <v>798</v>
      </c>
      <c r="L762" s="12" t="s">
        <v>5315</v>
      </c>
      <c r="M762" s="13" t="s">
        <v>5967</v>
      </c>
      <c r="N762" s="12" t="s">
        <v>803</v>
      </c>
      <c r="O762" s="13" t="s">
        <v>5066</v>
      </c>
      <c r="P762" s="17" t="s">
        <v>802</v>
      </c>
      <c r="Q762" s="21" t="s">
        <v>7949</v>
      </c>
      <c r="R762" s="17" t="s">
        <v>801</v>
      </c>
      <c r="S762" s="18" t="s">
        <v>2560</v>
      </c>
      <c r="T762" s="17" t="s">
        <v>800</v>
      </c>
      <c r="U762" s="18" t="s">
        <v>5236</v>
      </c>
      <c r="V762" s="17" t="s">
        <v>9418</v>
      </c>
      <c r="W762" s="18" t="s">
        <v>5309</v>
      </c>
      <c r="X762" s="69" t="s">
        <v>9453</v>
      </c>
      <c r="Y762" s="70" t="s">
        <v>9462</v>
      </c>
      <c r="Z762" s="73" t="s">
        <v>9486</v>
      </c>
      <c r="AA762" s="74" t="s">
        <v>9504</v>
      </c>
      <c r="AB762" s="73" t="s">
        <v>9486</v>
      </c>
      <c r="AC762" s="74" t="s">
        <v>9562</v>
      </c>
      <c r="AD762" s="73" t="s">
        <v>9578</v>
      </c>
      <c r="AE762" s="74" t="s">
        <v>9579</v>
      </c>
    </row>
    <row r="763" spans="1:31" ht="8.65" customHeight="1" x14ac:dyDescent="0.2">
      <c r="A763" s="76">
        <v>763</v>
      </c>
      <c r="B763" s="67" t="str">
        <f>MID(C763, FIND("Ifc.", C763) + 4, 4) &amp; "_" &amp; TEXT(COUNTIF($C$2:C763, C763),"0000")</f>
        <v>Prop_0762</v>
      </c>
      <c r="C763" s="24" t="s">
        <v>872</v>
      </c>
      <c r="D763" s="69" t="s">
        <v>9453</v>
      </c>
      <c r="E763" s="70" t="s">
        <v>9454</v>
      </c>
      <c r="F763" s="17" t="s">
        <v>806</v>
      </c>
      <c r="G763" s="22" t="s">
        <v>1100</v>
      </c>
      <c r="H763" s="12" t="s">
        <v>9703</v>
      </c>
      <c r="I763" s="13" t="s">
        <v>7465</v>
      </c>
      <c r="J763" s="14" t="s">
        <v>798</v>
      </c>
      <c r="K763" s="15" t="s">
        <v>798</v>
      </c>
      <c r="L763" s="12" t="s">
        <v>5315</v>
      </c>
      <c r="M763" s="13" t="s">
        <v>5996</v>
      </c>
      <c r="N763" s="12" t="s">
        <v>803</v>
      </c>
      <c r="O763" s="13" t="s">
        <v>4851</v>
      </c>
      <c r="P763" s="17" t="s">
        <v>802</v>
      </c>
      <c r="Q763" s="21" t="s">
        <v>7826</v>
      </c>
      <c r="R763" s="17" t="s">
        <v>801</v>
      </c>
      <c r="S763" s="18" t="s">
        <v>2560</v>
      </c>
      <c r="T763" s="17" t="s">
        <v>800</v>
      </c>
      <c r="U763" s="18" t="s">
        <v>5236</v>
      </c>
      <c r="V763" s="17" t="s">
        <v>9418</v>
      </c>
      <c r="W763" s="18" t="s">
        <v>5309</v>
      </c>
      <c r="X763" s="69" t="s">
        <v>9453</v>
      </c>
      <c r="Y763" s="70" t="s">
        <v>9462</v>
      </c>
      <c r="Z763" s="73" t="s">
        <v>9486</v>
      </c>
      <c r="AA763" s="74" t="s">
        <v>9504</v>
      </c>
      <c r="AB763" s="73" t="s">
        <v>9486</v>
      </c>
      <c r="AC763" s="74" t="s">
        <v>9562</v>
      </c>
      <c r="AD763" s="73" t="s">
        <v>9578</v>
      </c>
      <c r="AE763" s="74" t="s">
        <v>9579</v>
      </c>
    </row>
    <row r="764" spans="1:31" ht="8.65" customHeight="1" x14ac:dyDescent="0.2">
      <c r="A764" s="76">
        <v>764</v>
      </c>
      <c r="B764" s="67" t="str">
        <f>MID(C764, FIND("Ifc.", C764) + 4, 4) &amp; "_" &amp; TEXT(COUNTIF($C$2:C764, C764),"0000")</f>
        <v>Prop_0763</v>
      </c>
      <c r="C764" s="24" t="s">
        <v>872</v>
      </c>
      <c r="D764" s="69" t="s">
        <v>9453</v>
      </c>
      <c r="E764" s="70" t="s">
        <v>9454</v>
      </c>
      <c r="F764" s="17" t="s">
        <v>806</v>
      </c>
      <c r="G764" s="22" t="s">
        <v>2237</v>
      </c>
      <c r="H764" s="12" t="s">
        <v>9703</v>
      </c>
      <c r="I764" s="13" t="s">
        <v>7466</v>
      </c>
      <c r="J764" s="14" t="s">
        <v>798</v>
      </c>
      <c r="K764" s="15" t="s">
        <v>798</v>
      </c>
      <c r="L764" s="12" t="s">
        <v>5315</v>
      </c>
      <c r="M764" s="13" t="s">
        <v>5515</v>
      </c>
      <c r="N764" s="12" t="s">
        <v>803</v>
      </c>
      <c r="O764" s="13" t="s">
        <v>5129</v>
      </c>
      <c r="P764" s="17" t="s">
        <v>802</v>
      </c>
      <c r="Q764" s="21" t="s">
        <v>7718</v>
      </c>
      <c r="R764" s="17" t="s">
        <v>801</v>
      </c>
      <c r="S764" s="18" t="s">
        <v>2560</v>
      </c>
      <c r="T764" s="17" t="s">
        <v>800</v>
      </c>
      <c r="U764" s="18" t="s">
        <v>5236</v>
      </c>
      <c r="V764" s="17" t="s">
        <v>9418</v>
      </c>
      <c r="W764" s="18" t="s">
        <v>5309</v>
      </c>
      <c r="X764" s="69" t="s">
        <v>9453</v>
      </c>
      <c r="Y764" s="70" t="s">
        <v>9462</v>
      </c>
      <c r="Z764" s="73" t="s">
        <v>9486</v>
      </c>
      <c r="AA764" s="74" t="s">
        <v>9504</v>
      </c>
      <c r="AB764" s="73" t="s">
        <v>9486</v>
      </c>
      <c r="AC764" s="74" t="s">
        <v>9562</v>
      </c>
      <c r="AD764" s="73" t="s">
        <v>9578</v>
      </c>
      <c r="AE764" s="74" t="s">
        <v>9579</v>
      </c>
    </row>
    <row r="765" spans="1:31" ht="8.65" customHeight="1" x14ac:dyDescent="0.2">
      <c r="A765" s="76">
        <v>765</v>
      </c>
      <c r="B765" s="67" t="str">
        <f>MID(C765, FIND("Ifc.", C765) + 4, 4) &amp; "_" &amp; TEXT(COUNTIF($C$2:C765, C765),"0000")</f>
        <v>Prop_0764</v>
      </c>
      <c r="C765" s="24" t="s">
        <v>872</v>
      </c>
      <c r="D765" s="69" t="s">
        <v>9453</v>
      </c>
      <c r="E765" s="70" t="s">
        <v>9454</v>
      </c>
      <c r="F765" s="17" t="s">
        <v>806</v>
      </c>
      <c r="G765" s="22" t="s">
        <v>1486</v>
      </c>
      <c r="H765" s="12" t="s">
        <v>9703</v>
      </c>
      <c r="I765" s="13" t="s">
        <v>7467</v>
      </c>
      <c r="J765" s="14" t="s">
        <v>798</v>
      </c>
      <c r="K765" s="15" t="s">
        <v>798</v>
      </c>
      <c r="L765" s="12" t="s">
        <v>5315</v>
      </c>
      <c r="M765" s="13" t="s">
        <v>5813</v>
      </c>
      <c r="N765" s="12" t="s">
        <v>803</v>
      </c>
      <c r="O765" s="13" t="s">
        <v>4947</v>
      </c>
      <c r="P765" s="17" t="s">
        <v>802</v>
      </c>
      <c r="Q765" s="21" t="s">
        <v>7794</v>
      </c>
      <c r="R765" s="17" t="s">
        <v>801</v>
      </c>
      <c r="S765" s="18" t="s">
        <v>2560</v>
      </c>
      <c r="T765" s="17" t="s">
        <v>800</v>
      </c>
      <c r="U765" s="18" t="s">
        <v>5236</v>
      </c>
      <c r="V765" s="17" t="s">
        <v>9418</v>
      </c>
      <c r="W765" s="18" t="s">
        <v>5309</v>
      </c>
      <c r="X765" s="69" t="s">
        <v>9453</v>
      </c>
      <c r="Y765" s="70" t="s">
        <v>9462</v>
      </c>
      <c r="Z765" s="73" t="s">
        <v>9486</v>
      </c>
      <c r="AA765" s="74" t="s">
        <v>9504</v>
      </c>
      <c r="AB765" s="73" t="s">
        <v>9486</v>
      </c>
      <c r="AC765" s="74" t="s">
        <v>9562</v>
      </c>
      <c r="AD765" s="73" t="s">
        <v>9578</v>
      </c>
      <c r="AE765" s="74" t="s">
        <v>9579</v>
      </c>
    </row>
    <row r="766" spans="1:31" ht="8.65" customHeight="1" x14ac:dyDescent="0.2">
      <c r="A766" s="76">
        <v>766</v>
      </c>
      <c r="B766" s="67" t="str">
        <f>MID(C766, FIND("Ifc.", C766) + 4, 4) &amp; "_" &amp; TEXT(COUNTIF($C$2:C766, C766),"0000")</f>
        <v>Prop_0765</v>
      </c>
      <c r="C766" s="24" t="s">
        <v>872</v>
      </c>
      <c r="D766" s="69" t="s">
        <v>9453</v>
      </c>
      <c r="E766" s="70" t="s">
        <v>9454</v>
      </c>
      <c r="F766" s="17" t="s">
        <v>806</v>
      </c>
      <c r="G766" s="22" t="s">
        <v>1486</v>
      </c>
      <c r="H766" s="12" t="s">
        <v>9703</v>
      </c>
      <c r="I766" s="13" t="s">
        <v>7467</v>
      </c>
      <c r="J766" s="14" t="s">
        <v>798</v>
      </c>
      <c r="K766" s="15" t="s">
        <v>798</v>
      </c>
      <c r="L766" s="12" t="s">
        <v>5315</v>
      </c>
      <c r="M766" s="13" t="s">
        <v>5814</v>
      </c>
      <c r="N766" s="12" t="s">
        <v>803</v>
      </c>
      <c r="O766" s="13" t="s">
        <v>4948</v>
      </c>
      <c r="P766" s="17" t="s">
        <v>802</v>
      </c>
      <c r="Q766" s="21" t="s">
        <v>7896</v>
      </c>
      <c r="R766" s="17" t="s">
        <v>801</v>
      </c>
      <c r="S766" s="18" t="s">
        <v>2560</v>
      </c>
      <c r="T766" s="17" t="s">
        <v>800</v>
      </c>
      <c r="U766" s="18" t="s">
        <v>5236</v>
      </c>
      <c r="V766" s="17" t="s">
        <v>9418</v>
      </c>
      <c r="W766" s="18" t="s">
        <v>5309</v>
      </c>
      <c r="X766" s="69" t="s">
        <v>9453</v>
      </c>
      <c r="Y766" s="70" t="s">
        <v>9462</v>
      </c>
      <c r="Z766" s="73" t="s">
        <v>9486</v>
      </c>
      <c r="AA766" s="74" t="s">
        <v>9504</v>
      </c>
      <c r="AB766" s="73" t="s">
        <v>9486</v>
      </c>
      <c r="AC766" s="74" t="s">
        <v>9562</v>
      </c>
      <c r="AD766" s="73" t="s">
        <v>9578</v>
      </c>
      <c r="AE766" s="74" t="s">
        <v>9579</v>
      </c>
    </row>
    <row r="767" spans="1:31" ht="8.65" customHeight="1" x14ac:dyDescent="0.2">
      <c r="A767" s="76">
        <v>767</v>
      </c>
      <c r="B767" s="67" t="str">
        <f>MID(C767, FIND("Ifc.", C767) + 4, 4) &amp; "_" &amp; TEXT(COUNTIF($C$2:C767, C767),"0000")</f>
        <v>Prop_0766</v>
      </c>
      <c r="C767" s="24" t="s">
        <v>872</v>
      </c>
      <c r="D767" s="69" t="s">
        <v>9453</v>
      </c>
      <c r="E767" s="70" t="s">
        <v>9454</v>
      </c>
      <c r="F767" s="17" t="s">
        <v>806</v>
      </c>
      <c r="G767" s="22" t="s">
        <v>1486</v>
      </c>
      <c r="H767" s="12" t="s">
        <v>9703</v>
      </c>
      <c r="I767" s="13" t="s">
        <v>7467</v>
      </c>
      <c r="J767" s="14" t="s">
        <v>798</v>
      </c>
      <c r="K767" s="15" t="s">
        <v>798</v>
      </c>
      <c r="L767" s="12" t="s">
        <v>5315</v>
      </c>
      <c r="M767" s="13" t="s">
        <v>5811</v>
      </c>
      <c r="N767" s="12" t="s">
        <v>803</v>
      </c>
      <c r="O767" s="13" t="s">
        <v>4945</v>
      </c>
      <c r="P767" s="17" t="s">
        <v>802</v>
      </c>
      <c r="Q767" s="21" t="s">
        <v>7698</v>
      </c>
      <c r="R767" s="17" t="s">
        <v>801</v>
      </c>
      <c r="S767" s="18" t="s">
        <v>2560</v>
      </c>
      <c r="T767" s="17" t="s">
        <v>800</v>
      </c>
      <c r="U767" s="18" t="s">
        <v>5236</v>
      </c>
      <c r="V767" s="17" t="s">
        <v>9418</v>
      </c>
      <c r="W767" s="18" t="s">
        <v>5309</v>
      </c>
      <c r="X767" s="69" t="s">
        <v>9453</v>
      </c>
      <c r="Y767" s="70" t="s">
        <v>9462</v>
      </c>
      <c r="Z767" s="73" t="s">
        <v>9486</v>
      </c>
      <c r="AA767" s="74" t="s">
        <v>9504</v>
      </c>
      <c r="AB767" s="73" t="s">
        <v>9486</v>
      </c>
      <c r="AC767" s="74" t="s">
        <v>9562</v>
      </c>
      <c r="AD767" s="73" t="s">
        <v>9578</v>
      </c>
      <c r="AE767" s="74" t="s">
        <v>9579</v>
      </c>
    </row>
    <row r="768" spans="1:31" ht="8.65" customHeight="1" x14ac:dyDescent="0.2">
      <c r="A768" s="76">
        <v>768</v>
      </c>
      <c r="B768" s="67" t="str">
        <f>MID(C768, FIND("Ifc.", C768) + 4, 4) &amp; "_" &amp; TEXT(COUNTIF($C$2:C768, C768),"0000")</f>
        <v>Prop_0767</v>
      </c>
      <c r="C768" s="24" t="s">
        <v>872</v>
      </c>
      <c r="D768" s="69" t="s">
        <v>9453</v>
      </c>
      <c r="E768" s="70" t="s">
        <v>9454</v>
      </c>
      <c r="F768" s="17" t="s">
        <v>806</v>
      </c>
      <c r="G768" s="22" t="s">
        <v>1486</v>
      </c>
      <c r="H768" s="12" t="s">
        <v>9703</v>
      </c>
      <c r="I768" s="13" t="s">
        <v>7467</v>
      </c>
      <c r="J768" s="14" t="s">
        <v>798</v>
      </c>
      <c r="K768" s="15" t="s">
        <v>798</v>
      </c>
      <c r="L768" s="12" t="s">
        <v>5315</v>
      </c>
      <c r="M768" s="13" t="s">
        <v>5812</v>
      </c>
      <c r="N768" s="12" t="s">
        <v>803</v>
      </c>
      <c r="O768" s="13" t="s">
        <v>4946</v>
      </c>
      <c r="P768" s="17" t="s">
        <v>802</v>
      </c>
      <c r="Q768" s="21" t="s">
        <v>7895</v>
      </c>
      <c r="R768" s="17" t="s">
        <v>801</v>
      </c>
      <c r="S768" s="18" t="s">
        <v>2560</v>
      </c>
      <c r="T768" s="17" t="s">
        <v>800</v>
      </c>
      <c r="U768" s="18" t="s">
        <v>5236</v>
      </c>
      <c r="V768" s="17" t="s">
        <v>9418</v>
      </c>
      <c r="W768" s="18" t="s">
        <v>5309</v>
      </c>
      <c r="X768" s="69" t="s">
        <v>9453</v>
      </c>
      <c r="Y768" s="70" t="s">
        <v>9462</v>
      </c>
      <c r="Z768" s="73" t="s">
        <v>9486</v>
      </c>
      <c r="AA768" s="74" t="s">
        <v>9504</v>
      </c>
      <c r="AB768" s="73" t="s">
        <v>9486</v>
      </c>
      <c r="AC768" s="74" t="s">
        <v>9562</v>
      </c>
      <c r="AD768" s="73" t="s">
        <v>9578</v>
      </c>
      <c r="AE768" s="74" t="s">
        <v>9579</v>
      </c>
    </row>
    <row r="769" spans="1:31" ht="8.65" customHeight="1" x14ac:dyDescent="0.2">
      <c r="A769" s="76">
        <v>769</v>
      </c>
      <c r="B769" s="67" t="str">
        <f>MID(C769, FIND("Ifc.", C769) + 4, 4) &amp; "_" &amp; TEXT(COUNTIF($C$2:C769, C769),"0000")</f>
        <v>Prop_0768</v>
      </c>
      <c r="C769" s="24" t="s">
        <v>872</v>
      </c>
      <c r="D769" s="69" t="s">
        <v>9453</v>
      </c>
      <c r="E769" s="70" t="s">
        <v>9454</v>
      </c>
      <c r="F769" s="17" t="s">
        <v>806</v>
      </c>
      <c r="G769" s="22" t="s">
        <v>2463</v>
      </c>
      <c r="H769" s="12" t="s">
        <v>9703</v>
      </c>
      <c r="I769" s="13" t="s">
        <v>7486</v>
      </c>
      <c r="J769" s="14" t="s">
        <v>798</v>
      </c>
      <c r="K769" s="15" t="s">
        <v>798</v>
      </c>
      <c r="L769" s="12" t="s">
        <v>5315</v>
      </c>
      <c r="M769" s="13" t="s">
        <v>5574</v>
      </c>
      <c r="N769" s="12" t="s">
        <v>803</v>
      </c>
      <c r="O769" s="13" t="s">
        <v>4930</v>
      </c>
      <c r="P769" s="17" t="s">
        <v>802</v>
      </c>
      <c r="Q769" s="21" t="s">
        <v>7945</v>
      </c>
      <c r="R769" s="17" t="s">
        <v>801</v>
      </c>
      <c r="S769" s="18" t="s">
        <v>2560</v>
      </c>
      <c r="T769" s="17" t="s">
        <v>800</v>
      </c>
      <c r="U769" s="18" t="s">
        <v>5236</v>
      </c>
      <c r="V769" s="17" t="s">
        <v>9418</v>
      </c>
      <c r="W769" s="18" t="s">
        <v>5309</v>
      </c>
      <c r="X769" s="69" t="s">
        <v>9453</v>
      </c>
      <c r="Y769" s="70" t="s">
        <v>9462</v>
      </c>
      <c r="Z769" s="73" t="s">
        <v>9486</v>
      </c>
      <c r="AA769" s="74" t="s">
        <v>9504</v>
      </c>
      <c r="AB769" s="73" t="s">
        <v>9486</v>
      </c>
      <c r="AC769" s="74" t="s">
        <v>9562</v>
      </c>
      <c r="AD769" s="73" t="s">
        <v>9578</v>
      </c>
      <c r="AE769" s="74" t="s">
        <v>9579</v>
      </c>
    </row>
    <row r="770" spans="1:31" ht="8.65" customHeight="1" x14ac:dyDescent="0.2">
      <c r="A770" s="76">
        <v>770</v>
      </c>
      <c r="B770" s="67" t="str">
        <f>MID(C770, FIND("Ifc.", C770) + 4, 4) &amp; "_" &amp; TEXT(COUNTIF($C$2:C770, C770),"0000")</f>
        <v>Prop_0769</v>
      </c>
      <c r="C770" s="24" t="s">
        <v>872</v>
      </c>
      <c r="D770" s="69" t="s">
        <v>9453</v>
      </c>
      <c r="E770" s="70" t="s">
        <v>9454</v>
      </c>
      <c r="F770" s="17" t="s">
        <v>806</v>
      </c>
      <c r="G770" s="22" t="s">
        <v>982</v>
      </c>
      <c r="H770" s="12" t="s">
        <v>9703</v>
      </c>
      <c r="I770" s="13" t="s">
        <v>7524</v>
      </c>
      <c r="J770" s="14" t="s">
        <v>798</v>
      </c>
      <c r="K770" s="15" t="s">
        <v>798</v>
      </c>
      <c r="L770" s="12" t="s">
        <v>5315</v>
      </c>
      <c r="M770" s="13" t="s">
        <v>5990</v>
      </c>
      <c r="N770" s="12" t="s">
        <v>803</v>
      </c>
      <c r="O770" s="13" t="s">
        <v>4827</v>
      </c>
      <c r="P770" s="17" t="s">
        <v>802</v>
      </c>
      <c r="Q770" s="21" t="s">
        <v>7704</v>
      </c>
      <c r="R770" s="17" t="s">
        <v>801</v>
      </c>
      <c r="S770" s="18" t="s">
        <v>2554</v>
      </c>
      <c r="T770" s="17" t="s">
        <v>800</v>
      </c>
      <c r="U770" s="18" t="s">
        <v>5233</v>
      </c>
      <c r="V770" s="17" t="s">
        <v>9418</v>
      </c>
      <c r="W770" s="18" t="s">
        <v>5310</v>
      </c>
      <c r="X770" s="69" t="s">
        <v>9453</v>
      </c>
      <c r="Y770" s="70" t="s">
        <v>9463</v>
      </c>
      <c r="Z770" s="73" t="s">
        <v>9486</v>
      </c>
      <c r="AA770" s="74" t="s">
        <v>9504</v>
      </c>
      <c r="AB770" s="73" t="s">
        <v>9486</v>
      </c>
      <c r="AC770" s="74" t="s">
        <v>9562</v>
      </c>
      <c r="AD770" s="73" t="s">
        <v>9578</v>
      </c>
      <c r="AE770" s="74" t="s">
        <v>9579</v>
      </c>
    </row>
    <row r="771" spans="1:31" ht="8.65" customHeight="1" x14ac:dyDescent="0.2">
      <c r="A771" s="76">
        <v>771</v>
      </c>
      <c r="B771" s="67" t="str">
        <f>MID(C771, FIND("Ifc.", C771) + 4, 4) &amp; "_" &amp; TEXT(COUNTIF($C$2:C771, C771),"0000")</f>
        <v>Prop_0770</v>
      </c>
      <c r="C771" s="24" t="s">
        <v>872</v>
      </c>
      <c r="D771" s="69" t="s">
        <v>9453</v>
      </c>
      <c r="E771" s="70" t="s">
        <v>9454</v>
      </c>
      <c r="F771" s="17" t="s">
        <v>806</v>
      </c>
      <c r="G771" s="22" t="s">
        <v>2523</v>
      </c>
      <c r="H771" s="12" t="s">
        <v>9703</v>
      </c>
      <c r="I771" s="13" t="s">
        <v>7469</v>
      </c>
      <c r="J771" s="14" t="s">
        <v>798</v>
      </c>
      <c r="K771" s="15" t="s">
        <v>798</v>
      </c>
      <c r="L771" s="12" t="s">
        <v>5315</v>
      </c>
      <c r="M771" s="13" t="s">
        <v>5578</v>
      </c>
      <c r="N771" s="12" t="s">
        <v>803</v>
      </c>
      <c r="O771" s="13" t="s">
        <v>5224</v>
      </c>
      <c r="P771" s="17" t="s">
        <v>802</v>
      </c>
      <c r="Q771" s="21" t="s">
        <v>7677</v>
      </c>
      <c r="R771" s="17" t="s">
        <v>801</v>
      </c>
      <c r="S771" s="18" t="s">
        <v>2560</v>
      </c>
      <c r="T771" s="17" t="s">
        <v>800</v>
      </c>
      <c r="U771" s="18" t="s">
        <v>5236</v>
      </c>
      <c r="V771" s="17" t="s">
        <v>9418</v>
      </c>
      <c r="W771" s="18" t="s">
        <v>5309</v>
      </c>
      <c r="X771" s="69" t="s">
        <v>9453</v>
      </c>
      <c r="Y771" s="70" t="s">
        <v>9462</v>
      </c>
      <c r="Z771" s="73" t="s">
        <v>9486</v>
      </c>
      <c r="AA771" s="74" t="s">
        <v>9504</v>
      </c>
      <c r="AB771" s="73" t="s">
        <v>9486</v>
      </c>
      <c r="AC771" s="74" t="s">
        <v>9562</v>
      </c>
      <c r="AD771" s="73" t="s">
        <v>9578</v>
      </c>
      <c r="AE771" s="74" t="s">
        <v>9579</v>
      </c>
    </row>
    <row r="772" spans="1:31" ht="8.65" customHeight="1" x14ac:dyDescent="0.2">
      <c r="A772" s="76">
        <v>772</v>
      </c>
      <c r="B772" s="67" t="str">
        <f>MID(C772, FIND("Ifc.", C772) + 4, 4) &amp; "_" &amp; TEXT(COUNTIF($C$2:C772, C772),"0000")</f>
        <v>Prop_0771</v>
      </c>
      <c r="C772" s="24" t="s">
        <v>872</v>
      </c>
      <c r="D772" s="69" t="s">
        <v>9453</v>
      </c>
      <c r="E772" s="70" t="s">
        <v>9454</v>
      </c>
      <c r="F772" s="17" t="s">
        <v>806</v>
      </c>
      <c r="G772" s="22" t="s">
        <v>1487</v>
      </c>
      <c r="H772" s="12" t="s">
        <v>9703</v>
      </c>
      <c r="I772" s="13" t="s">
        <v>7473</v>
      </c>
      <c r="J772" s="14" t="s">
        <v>798</v>
      </c>
      <c r="K772" s="15" t="s">
        <v>798</v>
      </c>
      <c r="L772" s="12" t="s">
        <v>5315</v>
      </c>
      <c r="M772" s="13" t="s">
        <v>5813</v>
      </c>
      <c r="N772" s="12" t="s">
        <v>803</v>
      </c>
      <c r="O772" s="13" t="s">
        <v>4947</v>
      </c>
      <c r="P772" s="17" t="s">
        <v>802</v>
      </c>
      <c r="Q772" s="21" t="s">
        <v>7794</v>
      </c>
      <c r="R772" s="17" t="s">
        <v>801</v>
      </c>
      <c r="S772" s="18" t="s">
        <v>2560</v>
      </c>
      <c r="T772" s="17" t="s">
        <v>800</v>
      </c>
      <c r="U772" s="18" t="s">
        <v>5236</v>
      </c>
      <c r="V772" s="17" t="s">
        <v>9418</v>
      </c>
      <c r="W772" s="18" t="s">
        <v>5309</v>
      </c>
      <c r="X772" s="69" t="s">
        <v>9453</v>
      </c>
      <c r="Y772" s="70" t="s">
        <v>9462</v>
      </c>
      <c r="Z772" s="73" t="s">
        <v>9486</v>
      </c>
      <c r="AA772" s="74" t="s">
        <v>9504</v>
      </c>
      <c r="AB772" s="73" t="s">
        <v>9486</v>
      </c>
      <c r="AC772" s="74" t="s">
        <v>9562</v>
      </c>
      <c r="AD772" s="73" t="s">
        <v>9578</v>
      </c>
      <c r="AE772" s="74" t="s">
        <v>9579</v>
      </c>
    </row>
    <row r="773" spans="1:31" ht="8.65" customHeight="1" x14ac:dyDescent="0.2">
      <c r="A773" s="76">
        <v>773</v>
      </c>
      <c r="B773" s="67" t="str">
        <f>MID(C773, FIND("Ifc.", C773) + 4, 4) &amp; "_" &amp; TEXT(COUNTIF($C$2:C773, C773),"0000")</f>
        <v>Prop_0772</v>
      </c>
      <c r="C773" s="24" t="s">
        <v>872</v>
      </c>
      <c r="D773" s="69" t="s">
        <v>9453</v>
      </c>
      <c r="E773" s="70" t="s">
        <v>9454</v>
      </c>
      <c r="F773" s="17" t="s">
        <v>806</v>
      </c>
      <c r="G773" s="22" t="s">
        <v>1487</v>
      </c>
      <c r="H773" s="12" t="s">
        <v>9703</v>
      </c>
      <c r="I773" s="13" t="s">
        <v>7473</v>
      </c>
      <c r="J773" s="14" t="s">
        <v>798</v>
      </c>
      <c r="K773" s="15" t="s">
        <v>798</v>
      </c>
      <c r="L773" s="12" t="s">
        <v>5315</v>
      </c>
      <c r="M773" s="13" t="s">
        <v>5811</v>
      </c>
      <c r="N773" s="12" t="s">
        <v>803</v>
      </c>
      <c r="O773" s="13" t="s">
        <v>4945</v>
      </c>
      <c r="P773" s="17" t="s">
        <v>802</v>
      </c>
      <c r="Q773" s="21" t="s">
        <v>7698</v>
      </c>
      <c r="R773" s="17" t="s">
        <v>801</v>
      </c>
      <c r="S773" s="18" t="s">
        <v>2560</v>
      </c>
      <c r="T773" s="17" t="s">
        <v>800</v>
      </c>
      <c r="U773" s="18" t="s">
        <v>5236</v>
      </c>
      <c r="V773" s="17" t="s">
        <v>9418</v>
      </c>
      <c r="W773" s="18" t="s">
        <v>5309</v>
      </c>
      <c r="X773" s="69" t="s">
        <v>9453</v>
      </c>
      <c r="Y773" s="70" t="s">
        <v>9462</v>
      </c>
      <c r="Z773" s="73" t="s">
        <v>9486</v>
      </c>
      <c r="AA773" s="74" t="s">
        <v>9504</v>
      </c>
      <c r="AB773" s="73" t="s">
        <v>9486</v>
      </c>
      <c r="AC773" s="74" t="s">
        <v>9562</v>
      </c>
      <c r="AD773" s="73" t="s">
        <v>9578</v>
      </c>
      <c r="AE773" s="74" t="s">
        <v>9579</v>
      </c>
    </row>
    <row r="774" spans="1:31" ht="8.65" customHeight="1" x14ac:dyDescent="0.2">
      <c r="A774" s="76">
        <v>774</v>
      </c>
      <c r="B774" s="67" t="str">
        <f>MID(C774, FIND("Ifc.", C774) + 4, 4) &amp; "_" &amp; TEXT(COUNTIF($C$2:C774, C774),"0000")</f>
        <v>Prop_0773</v>
      </c>
      <c r="C774" s="24" t="s">
        <v>872</v>
      </c>
      <c r="D774" s="69" t="s">
        <v>9453</v>
      </c>
      <c r="E774" s="70" t="s">
        <v>9454</v>
      </c>
      <c r="F774" s="17" t="s">
        <v>806</v>
      </c>
      <c r="G774" s="22" t="s">
        <v>1487</v>
      </c>
      <c r="H774" s="12" t="s">
        <v>9703</v>
      </c>
      <c r="I774" s="13" t="s">
        <v>7473</v>
      </c>
      <c r="J774" s="14" t="s">
        <v>798</v>
      </c>
      <c r="K774" s="15" t="s">
        <v>798</v>
      </c>
      <c r="L774" s="12" t="s">
        <v>5315</v>
      </c>
      <c r="M774" s="13" t="s">
        <v>5812</v>
      </c>
      <c r="N774" s="12" t="s">
        <v>803</v>
      </c>
      <c r="O774" s="13" t="s">
        <v>4946</v>
      </c>
      <c r="P774" s="17" t="s">
        <v>802</v>
      </c>
      <c r="Q774" s="21" t="s">
        <v>7895</v>
      </c>
      <c r="R774" s="17" t="s">
        <v>801</v>
      </c>
      <c r="S774" s="18" t="s">
        <v>2560</v>
      </c>
      <c r="T774" s="17" t="s">
        <v>800</v>
      </c>
      <c r="U774" s="18" t="s">
        <v>5236</v>
      </c>
      <c r="V774" s="17" t="s">
        <v>9418</v>
      </c>
      <c r="W774" s="18" t="s">
        <v>5309</v>
      </c>
      <c r="X774" s="69" t="s">
        <v>9453</v>
      </c>
      <c r="Y774" s="70" t="s">
        <v>9462</v>
      </c>
      <c r="Z774" s="73" t="s">
        <v>9486</v>
      </c>
      <c r="AA774" s="74" t="s">
        <v>9504</v>
      </c>
      <c r="AB774" s="73" t="s">
        <v>9486</v>
      </c>
      <c r="AC774" s="74" t="s">
        <v>9562</v>
      </c>
      <c r="AD774" s="73" t="s">
        <v>9578</v>
      </c>
      <c r="AE774" s="74" t="s">
        <v>9579</v>
      </c>
    </row>
    <row r="775" spans="1:31" ht="8.65" customHeight="1" x14ac:dyDescent="0.2">
      <c r="A775" s="76">
        <v>775</v>
      </c>
      <c r="B775" s="67" t="str">
        <f>MID(C775, FIND("Ifc.", C775) + 4, 4) &amp; "_" &amp; TEXT(COUNTIF($C$2:C775, C775),"0000")</f>
        <v>Prop_0774</v>
      </c>
      <c r="C775" s="24" t="s">
        <v>872</v>
      </c>
      <c r="D775" s="69" t="s">
        <v>9453</v>
      </c>
      <c r="E775" s="70" t="s">
        <v>9454</v>
      </c>
      <c r="F775" s="17" t="s">
        <v>806</v>
      </c>
      <c r="G775" s="22" t="s">
        <v>1485</v>
      </c>
      <c r="H775" s="12" t="s">
        <v>9703</v>
      </c>
      <c r="I775" s="13" t="s">
        <v>7481</v>
      </c>
      <c r="J775" s="14" t="s">
        <v>798</v>
      </c>
      <c r="K775" s="15" t="s">
        <v>798</v>
      </c>
      <c r="L775" s="12" t="s">
        <v>5315</v>
      </c>
      <c r="M775" s="13" t="s">
        <v>5813</v>
      </c>
      <c r="N775" s="12" t="s">
        <v>803</v>
      </c>
      <c r="O775" s="13" t="s">
        <v>4947</v>
      </c>
      <c r="P775" s="17" t="s">
        <v>802</v>
      </c>
      <c r="Q775" s="21" t="s">
        <v>7794</v>
      </c>
      <c r="R775" s="17" t="s">
        <v>801</v>
      </c>
      <c r="S775" s="18" t="s">
        <v>2560</v>
      </c>
      <c r="T775" s="17" t="s">
        <v>800</v>
      </c>
      <c r="U775" s="18" t="s">
        <v>5236</v>
      </c>
      <c r="V775" s="17" t="s">
        <v>9418</v>
      </c>
      <c r="W775" s="18" t="s">
        <v>5309</v>
      </c>
      <c r="X775" s="69" t="s">
        <v>9453</v>
      </c>
      <c r="Y775" s="70" t="s">
        <v>9462</v>
      </c>
      <c r="Z775" s="73" t="s">
        <v>9486</v>
      </c>
      <c r="AA775" s="74" t="s">
        <v>9504</v>
      </c>
      <c r="AB775" s="73" t="s">
        <v>9486</v>
      </c>
      <c r="AC775" s="74" t="s">
        <v>9562</v>
      </c>
      <c r="AD775" s="73" t="s">
        <v>9578</v>
      </c>
      <c r="AE775" s="74" t="s">
        <v>9579</v>
      </c>
    </row>
    <row r="776" spans="1:31" ht="8.65" customHeight="1" x14ac:dyDescent="0.2">
      <c r="A776" s="76">
        <v>776</v>
      </c>
      <c r="B776" s="67" t="str">
        <f>MID(C776, FIND("Ifc.", C776) + 4, 4) &amp; "_" &amp; TEXT(COUNTIF($C$2:C776, C776),"0000")</f>
        <v>Prop_0775</v>
      </c>
      <c r="C776" s="24" t="s">
        <v>872</v>
      </c>
      <c r="D776" s="69" t="s">
        <v>9453</v>
      </c>
      <c r="E776" s="70" t="s">
        <v>9454</v>
      </c>
      <c r="F776" s="17" t="s">
        <v>806</v>
      </c>
      <c r="G776" s="22" t="s">
        <v>1485</v>
      </c>
      <c r="H776" s="12" t="s">
        <v>9703</v>
      </c>
      <c r="I776" s="13" t="s">
        <v>7481</v>
      </c>
      <c r="J776" s="14" t="s">
        <v>798</v>
      </c>
      <c r="K776" s="15" t="s">
        <v>798</v>
      </c>
      <c r="L776" s="12" t="s">
        <v>5315</v>
      </c>
      <c r="M776" s="13" t="s">
        <v>5811</v>
      </c>
      <c r="N776" s="12" t="s">
        <v>803</v>
      </c>
      <c r="O776" s="13" t="s">
        <v>4945</v>
      </c>
      <c r="P776" s="17" t="s">
        <v>802</v>
      </c>
      <c r="Q776" s="21" t="s">
        <v>7698</v>
      </c>
      <c r="R776" s="17" t="s">
        <v>801</v>
      </c>
      <c r="S776" s="18" t="s">
        <v>2560</v>
      </c>
      <c r="T776" s="17" t="s">
        <v>800</v>
      </c>
      <c r="U776" s="18" t="s">
        <v>5236</v>
      </c>
      <c r="V776" s="17" t="s">
        <v>9418</v>
      </c>
      <c r="W776" s="18" t="s">
        <v>5309</v>
      </c>
      <c r="X776" s="69" t="s">
        <v>9453</v>
      </c>
      <c r="Y776" s="70" t="s">
        <v>9462</v>
      </c>
      <c r="Z776" s="73" t="s">
        <v>9486</v>
      </c>
      <c r="AA776" s="74" t="s">
        <v>9504</v>
      </c>
      <c r="AB776" s="73" t="s">
        <v>9486</v>
      </c>
      <c r="AC776" s="74" t="s">
        <v>9562</v>
      </c>
      <c r="AD776" s="73" t="s">
        <v>9578</v>
      </c>
      <c r="AE776" s="74" t="s">
        <v>9579</v>
      </c>
    </row>
    <row r="777" spans="1:31" ht="8.65" customHeight="1" x14ac:dyDescent="0.2">
      <c r="A777" s="76">
        <v>777</v>
      </c>
      <c r="B777" s="67" t="str">
        <f>MID(C777, FIND("Ifc.", C777) + 4, 4) &amp; "_" &amp; TEXT(COUNTIF($C$2:C777, C777),"0000")</f>
        <v>Prop_0776</v>
      </c>
      <c r="C777" s="24" t="s">
        <v>872</v>
      </c>
      <c r="D777" s="69" t="s">
        <v>9453</v>
      </c>
      <c r="E777" s="70" t="s">
        <v>9454</v>
      </c>
      <c r="F777" s="17" t="s">
        <v>806</v>
      </c>
      <c r="G777" s="22" t="s">
        <v>1485</v>
      </c>
      <c r="H777" s="12" t="s">
        <v>9703</v>
      </c>
      <c r="I777" s="13" t="s">
        <v>7481</v>
      </c>
      <c r="J777" s="14" t="s">
        <v>798</v>
      </c>
      <c r="K777" s="15" t="s">
        <v>798</v>
      </c>
      <c r="L777" s="12" t="s">
        <v>5315</v>
      </c>
      <c r="M777" s="13" t="s">
        <v>5812</v>
      </c>
      <c r="N777" s="12" t="s">
        <v>803</v>
      </c>
      <c r="O777" s="13" t="s">
        <v>4946</v>
      </c>
      <c r="P777" s="17" t="s">
        <v>802</v>
      </c>
      <c r="Q777" s="21" t="s">
        <v>7895</v>
      </c>
      <c r="R777" s="17" t="s">
        <v>801</v>
      </c>
      <c r="S777" s="18" t="s">
        <v>2560</v>
      </c>
      <c r="T777" s="17" t="s">
        <v>800</v>
      </c>
      <c r="U777" s="18" t="s">
        <v>5236</v>
      </c>
      <c r="V777" s="17" t="s">
        <v>9418</v>
      </c>
      <c r="W777" s="18" t="s">
        <v>5309</v>
      </c>
      <c r="X777" s="69" t="s">
        <v>9453</v>
      </c>
      <c r="Y777" s="70" t="s">
        <v>9462</v>
      </c>
      <c r="Z777" s="73" t="s">
        <v>9486</v>
      </c>
      <c r="AA777" s="74" t="s">
        <v>9504</v>
      </c>
      <c r="AB777" s="73" t="s">
        <v>9486</v>
      </c>
      <c r="AC777" s="74" t="s">
        <v>9562</v>
      </c>
      <c r="AD777" s="73" t="s">
        <v>9578</v>
      </c>
      <c r="AE777" s="74" t="s">
        <v>9579</v>
      </c>
    </row>
    <row r="778" spans="1:31" ht="8.65" customHeight="1" x14ac:dyDescent="0.2">
      <c r="A778" s="76">
        <v>778</v>
      </c>
      <c r="B778" s="67" t="str">
        <f>MID(C778, FIND("Ifc.", C778) + 4, 4) &amp; "_" &amp; TEXT(COUNTIF($C$2:C778, C778),"0000")</f>
        <v>Prop_0777</v>
      </c>
      <c r="C778" s="24" t="s">
        <v>872</v>
      </c>
      <c r="D778" s="69" t="s">
        <v>9453</v>
      </c>
      <c r="E778" s="70" t="s">
        <v>9454</v>
      </c>
      <c r="F778" s="17" t="s">
        <v>806</v>
      </c>
      <c r="G778" s="22" t="s">
        <v>2416</v>
      </c>
      <c r="H778" s="12" t="s">
        <v>9703</v>
      </c>
      <c r="I778" s="13" t="s">
        <v>7470</v>
      </c>
      <c r="J778" s="14" t="s">
        <v>798</v>
      </c>
      <c r="K778" s="15" t="s">
        <v>798</v>
      </c>
      <c r="L778" s="12" t="s">
        <v>5315</v>
      </c>
      <c r="M778" s="13" t="s">
        <v>5567</v>
      </c>
      <c r="N778" s="12" t="s">
        <v>803</v>
      </c>
      <c r="O778" s="13" t="s">
        <v>5200</v>
      </c>
      <c r="P778" s="17" t="s">
        <v>802</v>
      </c>
      <c r="Q778" s="21" t="s">
        <v>7951</v>
      </c>
      <c r="R778" s="17" t="s">
        <v>801</v>
      </c>
      <c r="S778" s="18" t="s">
        <v>2561</v>
      </c>
      <c r="T778" s="17" t="s">
        <v>800</v>
      </c>
      <c r="U778" s="18" t="s">
        <v>5246</v>
      </c>
      <c r="V778" s="17" t="s">
        <v>9418</v>
      </c>
      <c r="W778" s="18" t="s">
        <v>5309</v>
      </c>
      <c r="X778" s="69" t="s">
        <v>9453</v>
      </c>
      <c r="Y778" s="70" t="s">
        <v>9462</v>
      </c>
      <c r="Z778" s="73" t="s">
        <v>9486</v>
      </c>
      <c r="AA778" s="74" t="s">
        <v>9504</v>
      </c>
      <c r="AB778" s="73" t="s">
        <v>9486</v>
      </c>
      <c r="AC778" s="74" t="s">
        <v>9562</v>
      </c>
      <c r="AD778" s="73" t="s">
        <v>9578</v>
      </c>
      <c r="AE778" s="74" t="s">
        <v>9579</v>
      </c>
    </row>
    <row r="779" spans="1:31" ht="8.65" customHeight="1" x14ac:dyDescent="0.2">
      <c r="A779" s="76">
        <v>779</v>
      </c>
      <c r="B779" s="67" t="str">
        <f>MID(C779, FIND("Ifc.", C779) + 4, 4) &amp; "_" &amp; TEXT(COUNTIF($C$2:C779, C779),"0000")</f>
        <v>Prop_0778</v>
      </c>
      <c r="C779" s="24" t="s">
        <v>872</v>
      </c>
      <c r="D779" s="69" t="s">
        <v>9453</v>
      </c>
      <c r="E779" s="70" t="s">
        <v>9454</v>
      </c>
      <c r="F779" s="17" t="s">
        <v>806</v>
      </c>
      <c r="G779" s="22" t="s">
        <v>1906</v>
      </c>
      <c r="H779" s="12" t="s">
        <v>9703</v>
      </c>
      <c r="I779" s="13" t="s">
        <v>6568</v>
      </c>
      <c r="J779" s="14" t="s">
        <v>798</v>
      </c>
      <c r="K779" s="15" t="s">
        <v>798</v>
      </c>
      <c r="L779" s="12" t="s">
        <v>5315</v>
      </c>
      <c r="M779" s="13" t="s">
        <v>5960</v>
      </c>
      <c r="N779" s="12" t="s">
        <v>803</v>
      </c>
      <c r="O779" s="13" t="s">
        <v>4921</v>
      </c>
      <c r="P779" s="17" t="s">
        <v>802</v>
      </c>
      <c r="Q779" s="21" t="s">
        <v>7678</v>
      </c>
      <c r="R779" s="17" t="s">
        <v>801</v>
      </c>
      <c r="S779" s="18" t="s">
        <v>2560</v>
      </c>
      <c r="T779" s="17" t="s">
        <v>800</v>
      </c>
      <c r="U779" s="18" t="s">
        <v>5236</v>
      </c>
      <c r="V779" s="17" t="s">
        <v>9418</v>
      </c>
      <c r="W779" s="18" t="s">
        <v>5309</v>
      </c>
      <c r="X779" s="69" t="s">
        <v>9453</v>
      </c>
      <c r="Y779" s="70" t="s">
        <v>9462</v>
      </c>
      <c r="Z779" s="73" t="s">
        <v>9486</v>
      </c>
      <c r="AA779" s="74" t="s">
        <v>9504</v>
      </c>
      <c r="AB779" s="73" t="s">
        <v>9486</v>
      </c>
      <c r="AC779" s="74" t="s">
        <v>9562</v>
      </c>
      <c r="AD779" s="73" t="s">
        <v>9578</v>
      </c>
      <c r="AE779" s="74" t="s">
        <v>9579</v>
      </c>
    </row>
    <row r="780" spans="1:31" ht="8.65" customHeight="1" x14ac:dyDescent="0.2">
      <c r="A780" s="76">
        <v>780</v>
      </c>
      <c r="B780" s="67" t="str">
        <f>MID(C780, FIND("Ifc.", C780) + 4, 4) &amp; "_" &amp; TEXT(COUNTIF($C$2:C780, C780),"0000")</f>
        <v>Prop_0779</v>
      </c>
      <c r="C780" s="24" t="s">
        <v>872</v>
      </c>
      <c r="D780" s="69" t="s">
        <v>9453</v>
      </c>
      <c r="E780" s="70" t="s">
        <v>9454</v>
      </c>
      <c r="F780" s="17" t="s">
        <v>806</v>
      </c>
      <c r="G780" s="22" t="s">
        <v>1570</v>
      </c>
      <c r="H780" s="12" t="s">
        <v>9703</v>
      </c>
      <c r="I780" s="13" t="s">
        <v>7009</v>
      </c>
      <c r="J780" s="14" t="s">
        <v>798</v>
      </c>
      <c r="K780" s="15" t="s">
        <v>798</v>
      </c>
      <c r="L780" s="12" t="s">
        <v>5315</v>
      </c>
      <c r="M780" s="13" t="s">
        <v>5895</v>
      </c>
      <c r="N780" s="12" t="s">
        <v>803</v>
      </c>
      <c r="O780" s="13" t="s">
        <v>4964</v>
      </c>
      <c r="P780" s="17" t="s">
        <v>802</v>
      </c>
      <c r="Q780" s="21" t="s">
        <v>7916</v>
      </c>
      <c r="R780" s="17" t="s">
        <v>801</v>
      </c>
      <c r="S780" s="18" t="s">
        <v>3636</v>
      </c>
      <c r="T780" s="17" t="s">
        <v>800</v>
      </c>
      <c r="U780" s="18" t="s">
        <v>5257</v>
      </c>
      <c r="V780" s="17" t="s">
        <v>9418</v>
      </c>
      <c r="W780" s="18" t="s">
        <v>5314</v>
      </c>
      <c r="X780" s="69" t="s">
        <v>9453</v>
      </c>
      <c r="Y780" s="70" t="s">
        <v>9464</v>
      </c>
      <c r="Z780" s="73" t="s">
        <v>9486</v>
      </c>
      <c r="AA780" s="74" t="s">
        <v>9504</v>
      </c>
      <c r="AB780" s="73" t="s">
        <v>9486</v>
      </c>
      <c r="AC780" s="74" t="s">
        <v>9561</v>
      </c>
      <c r="AD780" s="73" t="s">
        <v>9578</v>
      </c>
      <c r="AE780" s="74" t="s">
        <v>9579</v>
      </c>
    </row>
    <row r="781" spans="1:31" ht="8.65" customHeight="1" x14ac:dyDescent="0.2">
      <c r="A781" s="76">
        <v>781</v>
      </c>
      <c r="B781" s="67" t="str">
        <f>MID(C781, FIND("Ifc.", C781) + 4, 4) &amp; "_" &amp; TEXT(COUNTIF($C$2:C781, C781),"0000")</f>
        <v>Prop_0780</v>
      </c>
      <c r="C781" s="24" t="s">
        <v>872</v>
      </c>
      <c r="D781" s="69" t="s">
        <v>9453</v>
      </c>
      <c r="E781" s="70" t="s">
        <v>9454</v>
      </c>
      <c r="F781" s="17" t="s">
        <v>806</v>
      </c>
      <c r="G781" s="22" t="s">
        <v>1576</v>
      </c>
      <c r="H781" s="12" t="s">
        <v>9703</v>
      </c>
      <c r="I781" s="13" t="s">
        <v>7011</v>
      </c>
      <c r="J781" s="14" t="s">
        <v>798</v>
      </c>
      <c r="K781" s="15" t="s">
        <v>798</v>
      </c>
      <c r="L781" s="12" t="s">
        <v>5315</v>
      </c>
      <c r="M781" s="13" t="s">
        <v>5895</v>
      </c>
      <c r="N781" s="12" t="s">
        <v>803</v>
      </c>
      <c r="O781" s="13" t="s">
        <v>4964</v>
      </c>
      <c r="P781" s="17" t="s">
        <v>802</v>
      </c>
      <c r="Q781" s="21" t="s">
        <v>7916</v>
      </c>
      <c r="R781" s="17" t="s">
        <v>801</v>
      </c>
      <c r="S781" s="18" t="s">
        <v>3636</v>
      </c>
      <c r="T781" s="17" t="s">
        <v>800</v>
      </c>
      <c r="U781" s="18" t="s">
        <v>5257</v>
      </c>
      <c r="V781" s="17" t="s">
        <v>9418</v>
      </c>
      <c r="W781" s="18" t="s">
        <v>5314</v>
      </c>
      <c r="X781" s="69" t="s">
        <v>9453</v>
      </c>
      <c r="Y781" s="70" t="s">
        <v>9464</v>
      </c>
      <c r="Z781" s="73" t="s">
        <v>9486</v>
      </c>
      <c r="AA781" s="74" t="s">
        <v>9504</v>
      </c>
      <c r="AB781" s="73" t="s">
        <v>9486</v>
      </c>
      <c r="AC781" s="74" t="s">
        <v>9561</v>
      </c>
      <c r="AD781" s="73" t="s">
        <v>9578</v>
      </c>
      <c r="AE781" s="74" t="s">
        <v>9579</v>
      </c>
    </row>
    <row r="782" spans="1:31" ht="8.65" customHeight="1" x14ac:dyDescent="0.2">
      <c r="A782" s="76">
        <v>782</v>
      </c>
      <c r="B782" s="67" t="str">
        <f>MID(C782, FIND("Ifc.", C782) + 4, 4) &amp; "_" &amp; TEXT(COUNTIF($C$2:C782, C782),"0000")</f>
        <v>Prop_0781</v>
      </c>
      <c r="C782" s="24" t="s">
        <v>872</v>
      </c>
      <c r="D782" s="69" t="s">
        <v>9453</v>
      </c>
      <c r="E782" s="70" t="s">
        <v>9454</v>
      </c>
      <c r="F782" s="17" t="s">
        <v>806</v>
      </c>
      <c r="G782" s="22" t="s">
        <v>1571</v>
      </c>
      <c r="H782" s="12" t="s">
        <v>9703</v>
      </c>
      <c r="I782" s="13" t="s">
        <v>7010</v>
      </c>
      <c r="J782" s="14" t="s">
        <v>798</v>
      </c>
      <c r="K782" s="15" t="s">
        <v>798</v>
      </c>
      <c r="L782" s="12" t="s">
        <v>5315</v>
      </c>
      <c r="M782" s="13" t="s">
        <v>5895</v>
      </c>
      <c r="N782" s="12" t="s">
        <v>803</v>
      </c>
      <c r="O782" s="13" t="s">
        <v>4964</v>
      </c>
      <c r="P782" s="17" t="s">
        <v>802</v>
      </c>
      <c r="Q782" s="21" t="s">
        <v>7916</v>
      </c>
      <c r="R782" s="17" t="s">
        <v>801</v>
      </c>
      <c r="S782" s="18" t="s">
        <v>3636</v>
      </c>
      <c r="T782" s="17" t="s">
        <v>800</v>
      </c>
      <c r="U782" s="18" t="s">
        <v>5257</v>
      </c>
      <c r="V782" s="17" t="s">
        <v>9418</v>
      </c>
      <c r="W782" s="18" t="s">
        <v>5314</v>
      </c>
      <c r="X782" s="69" t="s">
        <v>9453</v>
      </c>
      <c r="Y782" s="70" t="s">
        <v>9464</v>
      </c>
      <c r="Z782" s="73" t="s">
        <v>9486</v>
      </c>
      <c r="AA782" s="74" t="s">
        <v>9504</v>
      </c>
      <c r="AB782" s="73" t="s">
        <v>9486</v>
      </c>
      <c r="AC782" s="74" t="s">
        <v>9561</v>
      </c>
      <c r="AD782" s="73" t="s">
        <v>9578</v>
      </c>
      <c r="AE782" s="74" t="s">
        <v>9579</v>
      </c>
    </row>
    <row r="783" spans="1:31" ht="8.65" customHeight="1" x14ac:dyDescent="0.2">
      <c r="A783" s="76">
        <v>783</v>
      </c>
      <c r="B783" s="67" t="str">
        <f>MID(C783, FIND("Ifc.", C783) + 4, 4) &amp; "_" &amp; TEXT(COUNTIF($C$2:C783, C783),"0000")</f>
        <v>Prop_0782</v>
      </c>
      <c r="C783" s="24" t="s">
        <v>872</v>
      </c>
      <c r="D783" s="69" t="s">
        <v>9453</v>
      </c>
      <c r="E783" s="70" t="s">
        <v>9454</v>
      </c>
      <c r="F783" s="17" t="s">
        <v>806</v>
      </c>
      <c r="G783" s="22" t="s">
        <v>1573</v>
      </c>
      <c r="H783" s="12" t="s">
        <v>9703</v>
      </c>
      <c r="I783" s="13" t="s">
        <v>7153</v>
      </c>
      <c r="J783" s="14" t="s">
        <v>798</v>
      </c>
      <c r="K783" s="15" t="s">
        <v>798</v>
      </c>
      <c r="L783" s="12" t="s">
        <v>5315</v>
      </c>
      <c r="M783" s="13" t="s">
        <v>5895</v>
      </c>
      <c r="N783" s="12" t="s">
        <v>803</v>
      </c>
      <c r="O783" s="13" t="s">
        <v>4964</v>
      </c>
      <c r="P783" s="17" t="s">
        <v>802</v>
      </c>
      <c r="Q783" s="21" t="s">
        <v>7916</v>
      </c>
      <c r="R783" s="17" t="s">
        <v>801</v>
      </c>
      <c r="S783" s="18" t="s">
        <v>3636</v>
      </c>
      <c r="T783" s="17" t="s">
        <v>800</v>
      </c>
      <c r="U783" s="18" t="s">
        <v>5257</v>
      </c>
      <c r="V783" s="17" t="s">
        <v>9418</v>
      </c>
      <c r="W783" s="18" t="s">
        <v>5314</v>
      </c>
      <c r="X783" s="69" t="s">
        <v>9453</v>
      </c>
      <c r="Y783" s="70" t="s">
        <v>9464</v>
      </c>
      <c r="Z783" s="73" t="s">
        <v>9486</v>
      </c>
      <c r="AA783" s="74" t="s">
        <v>9504</v>
      </c>
      <c r="AB783" s="73" t="s">
        <v>9486</v>
      </c>
      <c r="AC783" s="74" t="s">
        <v>9561</v>
      </c>
      <c r="AD783" s="73" t="s">
        <v>9578</v>
      </c>
      <c r="AE783" s="74" t="s">
        <v>9579</v>
      </c>
    </row>
    <row r="784" spans="1:31" ht="8.65" customHeight="1" x14ac:dyDescent="0.2">
      <c r="A784" s="76">
        <v>784</v>
      </c>
      <c r="B784" s="67" t="str">
        <f>MID(C784, FIND("Ifc.", C784) + 4, 4) &amp; "_" &amp; TEXT(COUNTIF($C$2:C784, C784),"0000")</f>
        <v>Prop_0783</v>
      </c>
      <c r="C784" s="24" t="s">
        <v>872</v>
      </c>
      <c r="D784" s="69" t="s">
        <v>9453</v>
      </c>
      <c r="E784" s="70" t="s">
        <v>9454</v>
      </c>
      <c r="F784" s="17" t="s">
        <v>806</v>
      </c>
      <c r="G784" s="22" t="s">
        <v>1577</v>
      </c>
      <c r="H784" s="12" t="s">
        <v>9703</v>
      </c>
      <c r="I784" s="13" t="s">
        <v>6417</v>
      </c>
      <c r="J784" s="14" t="s">
        <v>798</v>
      </c>
      <c r="K784" s="15" t="s">
        <v>798</v>
      </c>
      <c r="L784" s="12" t="s">
        <v>5315</v>
      </c>
      <c r="M784" s="13" t="s">
        <v>5895</v>
      </c>
      <c r="N784" s="12" t="s">
        <v>803</v>
      </c>
      <c r="O784" s="13" t="s">
        <v>4964</v>
      </c>
      <c r="P784" s="17" t="s">
        <v>802</v>
      </c>
      <c r="Q784" s="21" t="s">
        <v>7916</v>
      </c>
      <c r="R784" s="17" t="s">
        <v>801</v>
      </c>
      <c r="S784" s="18" t="s">
        <v>3636</v>
      </c>
      <c r="T784" s="17" t="s">
        <v>800</v>
      </c>
      <c r="U784" s="18" t="s">
        <v>5257</v>
      </c>
      <c r="V784" s="17" t="s">
        <v>9418</v>
      </c>
      <c r="W784" s="18" t="s">
        <v>5314</v>
      </c>
      <c r="X784" s="69" t="s">
        <v>9453</v>
      </c>
      <c r="Y784" s="70" t="s">
        <v>9464</v>
      </c>
      <c r="Z784" s="73" t="s">
        <v>9486</v>
      </c>
      <c r="AA784" s="74" t="s">
        <v>9504</v>
      </c>
      <c r="AB784" s="73" t="s">
        <v>9486</v>
      </c>
      <c r="AC784" s="74" t="s">
        <v>9561</v>
      </c>
      <c r="AD784" s="73" t="s">
        <v>9578</v>
      </c>
      <c r="AE784" s="74" t="s">
        <v>9579</v>
      </c>
    </row>
    <row r="785" spans="1:31" ht="8.65" customHeight="1" x14ac:dyDescent="0.2">
      <c r="A785" s="76">
        <v>785</v>
      </c>
      <c r="B785" s="67" t="str">
        <f>MID(C785, FIND("Ifc.", C785) + 4, 4) &amp; "_" &amp; TEXT(COUNTIF($C$2:C785, C785),"0000")</f>
        <v>Prop_0784</v>
      </c>
      <c r="C785" s="24" t="s">
        <v>872</v>
      </c>
      <c r="D785" s="69" t="s">
        <v>9453</v>
      </c>
      <c r="E785" s="70" t="s">
        <v>9454</v>
      </c>
      <c r="F785" s="17" t="s">
        <v>806</v>
      </c>
      <c r="G785" s="22" t="s">
        <v>1622</v>
      </c>
      <c r="H785" s="12" t="s">
        <v>9703</v>
      </c>
      <c r="I785" s="13" t="s">
        <v>6365</v>
      </c>
      <c r="J785" s="14" t="s">
        <v>798</v>
      </c>
      <c r="K785" s="15" t="s">
        <v>798</v>
      </c>
      <c r="L785" s="12" t="s">
        <v>5315</v>
      </c>
      <c r="M785" s="13" t="s">
        <v>5834</v>
      </c>
      <c r="N785" s="12" t="s">
        <v>803</v>
      </c>
      <c r="O785" s="13" t="s">
        <v>4976</v>
      </c>
      <c r="P785" s="17" t="s">
        <v>802</v>
      </c>
      <c r="Q785" s="21" t="s">
        <v>7883</v>
      </c>
      <c r="R785" s="17" t="s">
        <v>801</v>
      </c>
      <c r="S785" s="18" t="s">
        <v>3636</v>
      </c>
      <c r="T785" s="17" t="s">
        <v>800</v>
      </c>
      <c r="U785" s="18" t="s">
        <v>5257</v>
      </c>
      <c r="V785" s="17" t="s">
        <v>9418</v>
      </c>
      <c r="W785" s="18" t="s">
        <v>5314</v>
      </c>
      <c r="X785" s="69" t="s">
        <v>9453</v>
      </c>
      <c r="Y785" s="70" t="s">
        <v>9464</v>
      </c>
      <c r="Z785" s="73" t="s">
        <v>9486</v>
      </c>
      <c r="AA785" s="74" t="s">
        <v>9504</v>
      </c>
      <c r="AB785" s="73" t="s">
        <v>9486</v>
      </c>
      <c r="AC785" s="74" t="s">
        <v>9561</v>
      </c>
      <c r="AD785" s="73" t="s">
        <v>9578</v>
      </c>
      <c r="AE785" s="74" t="s">
        <v>9579</v>
      </c>
    </row>
    <row r="786" spans="1:31" ht="8.65" customHeight="1" x14ac:dyDescent="0.2">
      <c r="A786" s="76">
        <v>786</v>
      </c>
      <c r="B786" s="67" t="str">
        <f>MID(C786, FIND("Ifc.", C786) + 4, 4) &amp; "_" &amp; TEXT(COUNTIF($C$2:C786, C786),"0000")</f>
        <v>Prop_0785</v>
      </c>
      <c r="C786" s="24" t="s">
        <v>872</v>
      </c>
      <c r="D786" s="69" t="s">
        <v>9453</v>
      </c>
      <c r="E786" s="70" t="s">
        <v>9454</v>
      </c>
      <c r="F786" s="17" t="s">
        <v>806</v>
      </c>
      <c r="G786" s="22" t="s">
        <v>1622</v>
      </c>
      <c r="H786" s="12" t="s">
        <v>9703</v>
      </c>
      <c r="I786" s="13" t="s">
        <v>6365</v>
      </c>
      <c r="J786" s="14" t="s">
        <v>798</v>
      </c>
      <c r="K786" s="15" t="s">
        <v>798</v>
      </c>
      <c r="L786" s="12" t="s">
        <v>5315</v>
      </c>
      <c r="M786" s="13" t="s">
        <v>5839</v>
      </c>
      <c r="N786" s="12" t="s">
        <v>803</v>
      </c>
      <c r="O786" s="13" t="s">
        <v>4982</v>
      </c>
      <c r="P786" s="17" t="s">
        <v>802</v>
      </c>
      <c r="Q786" s="21" t="s">
        <v>7952</v>
      </c>
      <c r="R786" s="17" t="s">
        <v>801</v>
      </c>
      <c r="S786" s="18" t="s">
        <v>3636</v>
      </c>
      <c r="T786" s="17" t="s">
        <v>800</v>
      </c>
      <c r="U786" s="18" t="s">
        <v>5257</v>
      </c>
      <c r="V786" s="17" t="s">
        <v>9418</v>
      </c>
      <c r="W786" s="18" t="s">
        <v>5314</v>
      </c>
      <c r="X786" s="69" t="s">
        <v>9453</v>
      </c>
      <c r="Y786" s="70" t="s">
        <v>9464</v>
      </c>
      <c r="Z786" s="73" t="s">
        <v>9486</v>
      </c>
      <c r="AA786" s="74" t="s">
        <v>9504</v>
      </c>
      <c r="AB786" s="73" t="s">
        <v>9486</v>
      </c>
      <c r="AC786" s="74" t="s">
        <v>9561</v>
      </c>
      <c r="AD786" s="73" t="s">
        <v>9578</v>
      </c>
      <c r="AE786" s="74" t="s">
        <v>9579</v>
      </c>
    </row>
    <row r="787" spans="1:31" ht="8.65" customHeight="1" x14ac:dyDescent="0.2">
      <c r="A787" s="76">
        <v>787</v>
      </c>
      <c r="B787" s="67" t="str">
        <f>MID(C787, FIND("Ifc.", C787) + 4, 4) &amp; "_" &amp; TEXT(COUNTIF($C$2:C787, C787),"0000")</f>
        <v>Prop_0786</v>
      </c>
      <c r="C787" s="24" t="s">
        <v>872</v>
      </c>
      <c r="D787" s="69" t="s">
        <v>9453</v>
      </c>
      <c r="E787" s="70" t="s">
        <v>9454</v>
      </c>
      <c r="F787" s="17" t="s">
        <v>806</v>
      </c>
      <c r="G787" s="22" t="s">
        <v>1666</v>
      </c>
      <c r="H787" s="12" t="s">
        <v>9703</v>
      </c>
      <c r="I787" s="13" t="s">
        <v>6414</v>
      </c>
      <c r="J787" s="14" t="s">
        <v>798</v>
      </c>
      <c r="K787" s="15" t="s">
        <v>798</v>
      </c>
      <c r="L787" s="12" t="s">
        <v>5315</v>
      </c>
      <c r="M787" s="13" t="s">
        <v>5842</v>
      </c>
      <c r="N787" s="12" t="s">
        <v>803</v>
      </c>
      <c r="O787" s="13" t="s">
        <v>4987</v>
      </c>
      <c r="P787" s="17" t="s">
        <v>802</v>
      </c>
      <c r="Q787" s="21" t="s">
        <v>7953</v>
      </c>
      <c r="R787" s="17" t="s">
        <v>801</v>
      </c>
      <c r="S787" s="18" t="s">
        <v>3636</v>
      </c>
      <c r="T787" s="17" t="s">
        <v>800</v>
      </c>
      <c r="U787" s="18" t="s">
        <v>5257</v>
      </c>
      <c r="V787" s="17" t="s">
        <v>9418</v>
      </c>
      <c r="W787" s="18" t="s">
        <v>5314</v>
      </c>
      <c r="X787" s="69" t="s">
        <v>9453</v>
      </c>
      <c r="Y787" s="70" t="s">
        <v>9464</v>
      </c>
      <c r="Z787" s="73" t="s">
        <v>9486</v>
      </c>
      <c r="AA787" s="74" t="s">
        <v>9504</v>
      </c>
      <c r="AB787" s="73" t="s">
        <v>9486</v>
      </c>
      <c r="AC787" s="74" t="s">
        <v>9561</v>
      </c>
      <c r="AD787" s="73" t="s">
        <v>9578</v>
      </c>
      <c r="AE787" s="74" t="s">
        <v>9579</v>
      </c>
    </row>
    <row r="788" spans="1:31" ht="8.65" customHeight="1" x14ac:dyDescent="0.2">
      <c r="A788" s="76">
        <v>788</v>
      </c>
      <c r="B788" s="67" t="str">
        <f>MID(C788, FIND("Ifc.", C788) + 4, 4) &amp; "_" &amp; TEXT(COUNTIF($C$2:C788, C788),"0000")</f>
        <v>Prop_0787</v>
      </c>
      <c r="C788" s="24" t="s">
        <v>872</v>
      </c>
      <c r="D788" s="69" t="s">
        <v>9453</v>
      </c>
      <c r="E788" s="70" t="s">
        <v>9454</v>
      </c>
      <c r="F788" s="17" t="s">
        <v>806</v>
      </c>
      <c r="G788" s="22" t="s">
        <v>993</v>
      </c>
      <c r="H788" s="12" t="s">
        <v>9703</v>
      </c>
      <c r="I788" s="13" t="s">
        <v>6851</v>
      </c>
      <c r="J788" s="14" t="s">
        <v>798</v>
      </c>
      <c r="K788" s="15" t="s">
        <v>798</v>
      </c>
      <c r="L788" s="12" t="s">
        <v>5315</v>
      </c>
      <c r="M788" s="13" t="s">
        <v>5992</v>
      </c>
      <c r="N788" s="12" t="s">
        <v>803</v>
      </c>
      <c r="O788" s="13" t="s">
        <v>4828</v>
      </c>
      <c r="P788" s="17" t="s">
        <v>802</v>
      </c>
      <c r="Q788" s="21" t="s">
        <v>7787</v>
      </c>
      <c r="R788" s="17" t="s">
        <v>801</v>
      </c>
      <c r="S788" s="18" t="s">
        <v>2625</v>
      </c>
      <c r="T788" s="17" t="s">
        <v>800</v>
      </c>
      <c r="U788" s="18" t="s">
        <v>5240</v>
      </c>
      <c r="V788" s="17" t="s">
        <v>9418</v>
      </c>
      <c r="W788" s="18" t="s">
        <v>5309</v>
      </c>
      <c r="X788" s="69" t="s">
        <v>9453</v>
      </c>
      <c r="Y788" s="70" t="s">
        <v>9462</v>
      </c>
      <c r="Z788" s="73" t="s">
        <v>9486</v>
      </c>
      <c r="AA788" s="74" t="s">
        <v>9504</v>
      </c>
      <c r="AB788" s="73" t="s">
        <v>9486</v>
      </c>
      <c r="AC788" s="74" t="s">
        <v>9566</v>
      </c>
      <c r="AD788" s="73" t="s">
        <v>9578</v>
      </c>
      <c r="AE788" s="74" t="s">
        <v>9579</v>
      </c>
    </row>
    <row r="789" spans="1:31" ht="8.65" customHeight="1" x14ac:dyDescent="0.2">
      <c r="A789" s="76">
        <v>789</v>
      </c>
      <c r="B789" s="67" t="str">
        <f>MID(C789, FIND("Ifc.", C789) + 4, 4) &amp; "_" &amp; TEXT(COUNTIF($C$2:C789, C789),"0000")</f>
        <v>Prop_0788</v>
      </c>
      <c r="C789" s="24" t="s">
        <v>872</v>
      </c>
      <c r="D789" s="69" t="s">
        <v>9453</v>
      </c>
      <c r="E789" s="70" t="s">
        <v>9454</v>
      </c>
      <c r="F789" s="17" t="s">
        <v>806</v>
      </c>
      <c r="G789" s="22" t="s">
        <v>1327</v>
      </c>
      <c r="H789" s="12" t="s">
        <v>9703</v>
      </c>
      <c r="I789" s="13" t="s">
        <v>6995</v>
      </c>
      <c r="J789" s="14" t="s">
        <v>798</v>
      </c>
      <c r="K789" s="15" t="s">
        <v>798</v>
      </c>
      <c r="L789" s="12" t="s">
        <v>5315</v>
      </c>
      <c r="M789" s="13" t="s">
        <v>5412</v>
      </c>
      <c r="N789" s="12" t="s">
        <v>803</v>
      </c>
      <c r="O789" s="13" t="s">
        <v>4910</v>
      </c>
      <c r="P789" s="17" t="s">
        <v>802</v>
      </c>
      <c r="Q789" s="21" t="s">
        <v>7954</v>
      </c>
      <c r="R789" s="17" t="s">
        <v>801</v>
      </c>
      <c r="S789" s="18" t="s">
        <v>2624</v>
      </c>
      <c r="T789" s="17" t="s">
        <v>800</v>
      </c>
      <c r="U789" s="18" t="s">
        <v>5243</v>
      </c>
      <c r="V789" s="17" t="s">
        <v>9418</v>
      </c>
      <c r="W789" s="18" t="s">
        <v>5309</v>
      </c>
      <c r="X789" s="69" t="s">
        <v>9453</v>
      </c>
      <c r="Y789" s="70" t="s">
        <v>9462</v>
      </c>
      <c r="Z789" s="73" t="s">
        <v>9486</v>
      </c>
      <c r="AA789" s="74" t="s">
        <v>9504</v>
      </c>
      <c r="AB789" s="73" t="s">
        <v>9486</v>
      </c>
      <c r="AC789" s="74" t="s">
        <v>9566</v>
      </c>
      <c r="AD789" s="73" t="s">
        <v>9578</v>
      </c>
      <c r="AE789" s="74" t="s">
        <v>9579</v>
      </c>
    </row>
    <row r="790" spans="1:31" ht="8.65" customHeight="1" x14ac:dyDescent="0.2">
      <c r="A790" s="76">
        <v>790</v>
      </c>
      <c r="B790" s="67" t="str">
        <f>MID(C790, FIND("Ifc.", C790) + 4, 4) &amp; "_" &amp; TEXT(COUNTIF($C$2:C790, C790),"0000")</f>
        <v>Prop_0789</v>
      </c>
      <c r="C790" s="24" t="s">
        <v>872</v>
      </c>
      <c r="D790" s="69" t="s">
        <v>9453</v>
      </c>
      <c r="E790" s="70" t="s">
        <v>9454</v>
      </c>
      <c r="F790" s="17" t="s">
        <v>806</v>
      </c>
      <c r="G790" s="22" t="s">
        <v>1558</v>
      </c>
      <c r="H790" s="12" t="s">
        <v>9703</v>
      </c>
      <c r="I790" s="13" t="s">
        <v>6382</v>
      </c>
      <c r="J790" s="14" t="s">
        <v>798</v>
      </c>
      <c r="K790" s="15" t="s">
        <v>798</v>
      </c>
      <c r="L790" s="12" t="s">
        <v>5315</v>
      </c>
      <c r="M790" s="13" t="s">
        <v>5891</v>
      </c>
      <c r="N790" s="12" t="s">
        <v>803</v>
      </c>
      <c r="O790" s="13" t="s">
        <v>4960</v>
      </c>
      <c r="P790" s="17" t="s">
        <v>802</v>
      </c>
      <c r="Q790" s="21" t="s">
        <v>7813</v>
      </c>
      <c r="R790" s="17" t="s">
        <v>801</v>
      </c>
      <c r="S790" s="18" t="s">
        <v>3636</v>
      </c>
      <c r="T790" s="17" t="s">
        <v>800</v>
      </c>
      <c r="U790" s="18" t="s">
        <v>5257</v>
      </c>
      <c r="V790" s="17" t="s">
        <v>9418</v>
      </c>
      <c r="W790" s="18" t="s">
        <v>5314</v>
      </c>
      <c r="X790" s="69" t="s">
        <v>9453</v>
      </c>
      <c r="Y790" s="70" t="s">
        <v>9464</v>
      </c>
      <c r="Z790" s="73" t="s">
        <v>9486</v>
      </c>
      <c r="AA790" s="74" t="s">
        <v>9504</v>
      </c>
      <c r="AB790" s="73" t="s">
        <v>9486</v>
      </c>
      <c r="AC790" s="74" t="s">
        <v>9561</v>
      </c>
      <c r="AD790" s="73" t="s">
        <v>9578</v>
      </c>
      <c r="AE790" s="74" t="s">
        <v>9579</v>
      </c>
    </row>
    <row r="791" spans="1:31" ht="8.65" customHeight="1" x14ac:dyDescent="0.2">
      <c r="A791" s="76">
        <v>791</v>
      </c>
      <c r="B791" s="67" t="str">
        <f>MID(C791, FIND("Ifc.", C791) + 4, 4) &amp; "_" &amp; TEXT(COUNTIF($C$2:C791, C791),"0000")</f>
        <v>Prop_0790</v>
      </c>
      <c r="C791" s="24" t="s">
        <v>872</v>
      </c>
      <c r="D791" s="69" t="s">
        <v>9453</v>
      </c>
      <c r="E791" s="70" t="s">
        <v>9454</v>
      </c>
      <c r="F791" s="17" t="s">
        <v>806</v>
      </c>
      <c r="G791" s="22" t="s">
        <v>1635</v>
      </c>
      <c r="H791" s="12" t="s">
        <v>9703</v>
      </c>
      <c r="I791" s="13" t="s">
        <v>6391</v>
      </c>
      <c r="J791" s="14" t="s">
        <v>798</v>
      </c>
      <c r="K791" s="15" t="s">
        <v>798</v>
      </c>
      <c r="L791" s="12" t="s">
        <v>5315</v>
      </c>
      <c r="M791" s="13" t="s">
        <v>5836</v>
      </c>
      <c r="N791" s="12" t="s">
        <v>803</v>
      </c>
      <c r="O791" s="13" t="s">
        <v>4979</v>
      </c>
      <c r="P791" s="17" t="s">
        <v>802</v>
      </c>
      <c r="Q791" s="21" t="s">
        <v>7788</v>
      </c>
      <c r="R791" s="17" t="s">
        <v>801</v>
      </c>
      <c r="S791" s="18" t="s">
        <v>3636</v>
      </c>
      <c r="T791" s="17" t="s">
        <v>800</v>
      </c>
      <c r="U791" s="18" t="s">
        <v>5257</v>
      </c>
      <c r="V791" s="17" t="s">
        <v>9418</v>
      </c>
      <c r="W791" s="18" t="s">
        <v>5314</v>
      </c>
      <c r="X791" s="69" t="s">
        <v>9453</v>
      </c>
      <c r="Y791" s="70" t="s">
        <v>9464</v>
      </c>
      <c r="Z791" s="73" t="s">
        <v>9486</v>
      </c>
      <c r="AA791" s="74" t="s">
        <v>9504</v>
      </c>
      <c r="AB791" s="73" t="s">
        <v>9486</v>
      </c>
      <c r="AC791" s="74" t="s">
        <v>9561</v>
      </c>
      <c r="AD791" s="73" t="s">
        <v>9578</v>
      </c>
      <c r="AE791" s="74" t="s">
        <v>9579</v>
      </c>
    </row>
    <row r="792" spans="1:31" ht="8.65" customHeight="1" x14ac:dyDescent="0.2">
      <c r="A792" s="76">
        <v>792</v>
      </c>
      <c r="B792" s="67" t="str">
        <f>MID(C792, FIND("Ifc.", C792) + 4, 4) &amp; "_" &amp; TEXT(COUNTIF($C$2:C792, C792),"0000")</f>
        <v>Prop_0791</v>
      </c>
      <c r="C792" s="24" t="s">
        <v>872</v>
      </c>
      <c r="D792" s="69" t="s">
        <v>9453</v>
      </c>
      <c r="E792" s="70" t="s">
        <v>9454</v>
      </c>
      <c r="F792" s="17" t="s">
        <v>806</v>
      </c>
      <c r="G792" s="22" t="s">
        <v>1522</v>
      </c>
      <c r="H792" s="12" t="s">
        <v>9703</v>
      </c>
      <c r="I792" s="13" t="s">
        <v>6879</v>
      </c>
      <c r="J792" s="14" t="s">
        <v>798</v>
      </c>
      <c r="K792" s="15" t="s">
        <v>798</v>
      </c>
      <c r="L792" s="12" t="s">
        <v>5315</v>
      </c>
      <c r="M792" s="13" t="s">
        <v>5447</v>
      </c>
      <c r="N792" s="12" t="s">
        <v>803</v>
      </c>
      <c r="O792" s="13" t="s">
        <v>4954</v>
      </c>
      <c r="P792" s="17" t="s">
        <v>802</v>
      </c>
      <c r="Q792" s="21" t="s">
        <v>7955</v>
      </c>
      <c r="R792" s="17" t="s">
        <v>801</v>
      </c>
      <c r="S792" s="18" t="s">
        <v>2625</v>
      </c>
      <c r="T792" s="17" t="s">
        <v>800</v>
      </c>
      <c r="U792" s="18" t="s">
        <v>5240</v>
      </c>
      <c r="V792" s="17" t="s">
        <v>9418</v>
      </c>
      <c r="W792" s="18" t="s">
        <v>5309</v>
      </c>
      <c r="X792" s="69" t="s">
        <v>9453</v>
      </c>
      <c r="Y792" s="70" t="s">
        <v>9462</v>
      </c>
      <c r="Z792" s="73" t="s">
        <v>9486</v>
      </c>
      <c r="AA792" s="74" t="s">
        <v>9504</v>
      </c>
      <c r="AB792" s="73" t="s">
        <v>9486</v>
      </c>
      <c r="AC792" s="74" t="s">
        <v>9566</v>
      </c>
      <c r="AD792" s="73" t="s">
        <v>9578</v>
      </c>
      <c r="AE792" s="74" t="s">
        <v>9579</v>
      </c>
    </row>
    <row r="793" spans="1:31" ht="8.65" customHeight="1" x14ac:dyDescent="0.2">
      <c r="A793" s="76">
        <v>793</v>
      </c>
      <c r="B793" s="67" t="str">
        <f>MID(C793, FIND("Ifc.", C793) + 4, 4) &amp; "_" &amp; TEXT(COUNTIF($C$2:C793, C793),"0000")</f>
        <v>Prop_0792</v>
      </c>
      <c r="C793" s="24" t="s">
        <v>872</v>
      </c>
      <c r="D793" s="69" t="s">
        <v>9453</v>
      </c>
      <c r="E793" s="70" t="s">
        <v>9454</v>
      </c>
      <c r="F793" s="17" t="s">
        <v>806</v>
      </c>
      <c r="G793" s="22" t="s">
        <v>1912</v>
      </c>
      <c r="H793" s="12" t="s">
        <v>9703</v>
      </c>
      <c r="I793" s="13" t="s">
        <v>6572</v>
      </c>
      <c r="J793" s="14" t="s">
        <v>798</v>
      </c>
      <c r="K793" s="15" t="s">
        <v>798</v>
      </c>
      <c r="L793" s="12" t="s">
        <v>5315</v>
      </c>
      <c r="M793" s="13" t="s">
        <v>5467</v>
      </c>
      <c r="N793" s="12" t="s">
        <v>803</v>
      </c>
      <c r="O793" s="13" t="s">
        <v>5055</v>
      </c>
      <c r="P793" s="17" t="s">
        <v>802</v>
      </c>
      <c r="Q793" s="21" t="s">
        <v>7894</v>
      </c>
      <c r="R793" s="17" t="s">
        <v>801</v>
      </c>
      <c r="S793" s="18" t="s">
        <v>2625</v>
      </c>
      <c r="T793" s="17" t="s">
        <v>800</v>
      </c>
      <c r="U793" s="18" t="s">
        <v>5240</v>
      </c>
      <c r="V793" s="17" t="s">
        <v>9418</v>
      </c>
      <c r="W793" s="18" t="s">
        <v>5309</v>
      </c>
      <c r="X793" s="69" t="s">
        <v>9453</v>
      </c>
      <c r="Y793" s="70" t="s">
        <v>9462</v>
      </c>
      <c r="Z793" s="73" t="s">
        <v>9486</v>
      </c>
      <c r="AA793" s="74" t="s">
        <v>9504</v>
      </c>
      <c r="AB793" s="73" t="s">
        <v>9486</v>
      </c>
      <c r="AC793" s="74" t="s">
        <v>9566</v>
      </c>
      <c r="AD793" s="73" t="s">
        <v>9578</v>
      </c>
      <c r="AE793" s="74" t="s">
        <v>9579</v>
      </c>
    </row>
    <row r="794" spans="1:31" ht="8.65" customHeight="1" x14ac:dyDescent="0.2">
      <c r="A794" s="76">
        <v>794</v>
      </c>
      <c r="B794" s="67" t="str">
        <f>MID(C794, FIND("Ifc.", C794) + 4, 4) &amp; "_" &amp; TEXT(COUNTIF($C$2:C794, C794),"0000")</f>
        <v>Prop_0793</v>
      </c>
      <c r="C794" s="24" t="s">
        <v>872</v>
      </c>
      <c r="D794" s="69" t="s">
        <v>9453</v>
      </c>
      <c r="E794" s="70" t="s">
        <v>9454</v>
      </c>
      <c r="F794" s="17" t="s">
        <v>806</v>
      </c>
      <c r="G794" s="22" t="s">
        <v>992</v>
      </c>
      <c r="H794" s="12" t="s">
        <v>9703</v>
      </c>
      <c r="I794" s="13" t="s">
        <v>6850</v>
      </c>
      <c r="J794" s="14" t="s">
        <v>798</v>
      </c>
      <c r="K794" s="15" t="s">
        <v>798</v>
      </c>
      <c r="L794" s="12" t="s">
        <v>5315</v>
      </c>
      <c r="M794" s="13" t="s">
        <v>5992</v>
      </c>
      <c r="N794" s="12" t="s">
        <v>803</v>
      </c>
      <c r="O794" s="13" t="s">
        <v>4828</v>
      </c>
      <c r="P794" s="17" t="s">
        <v>802</v>
      </c>
      <c r="Q794" s="21" t="s">
        <v>7787</v>
      </c>
      <c r="R794" s="17" t="s">
        <v>801</v>
      </c>
      <c r="S794" s="18" t="s">
        <v>2625</v>
      </c>
      <c r="T794" s="17" t="s">
        <v>800</v>
      </c>
      <c r="U794" s="18" t="s">
        <v>5240</v>
      </c>
      <c r="V794" s="17" t="s">
        <v>9418</v>
      </c>
      <c r="W794" s="18" t="s">
        <v>5309</v>
      </c>
      <c r="X794" s="69" t="s">
        <v>9453</v>
      </c>
      <c r="Y794" s="70" t="s">
        <v>9462</v>
      </c>
      <c r="Z794" s="73" t="s">
        <v>9486</v>
      </c>
      <c r="AA794" s="74" t="s">
        <v>9504</v>
      </c>
      <c r="AB794" s="73" t="s">
        <v>9486</v>
      </c>
      <c r="AC794" s="74" t="s">
        <v>9566</v>
      </c>
      <c r="AD794" s="73" t="s">
        <v>9578</v>
      </c>
      <c r="AE794" s="74" t="s">
        <v>9579</v>
      </c>
    </row>
    <row r="795" spans="1:31" ht="8.65" customHeight="1" x14ac:dyDescent="0.2">
      <c r="A795" s="76">
        <v>795</v>
      </c>
      <c r="B795" s="67" t="str">
        <f>MID(C795, FIND("Ifc.", C795) + 4, 4) &amp; "_" &amp; TEXT(COUNTIF($C$2:C795, C795),"0000")</f>
        <v>Prop_0794</v>
      </c>
      <c r="C795" s="24" t="s">
        <v>872</v>
      </c>
      <c r="D795" s="69" t="s">
        <v>9453</v>
      </c>
      <c r="E795" s="70" t="s">
        <v>9454</v>
      </c>
      <c r="F795" s="17" t="s">
        <v>806</v>
      </c>
      <c r="G795" s="22" t="s">
        <v>1676</v>
      </c>
      <c r="H795" s="12" t="s">
        <v>9703</v>
      </c>
      <c r="I795" s="13" t="s">
        <v>6425</v>
      </c>
      <c r="J795" s="14" t="s">
        <v>798</v>
      </c>
      <c r="K795" s="15" t="s">
        <v>798</v>
      </c>
      <c r="L795" s="12" t="s">
        <v>5315</v>
      </c>
      <c r="M795" s="13" t="s">
        <v>5849</v>
      </c>
      <c r="N795" s="12" t="s">
        <v>803</v>
      </c>
      <c r="O795" s="13" t="s">
        <v>4996</v>
      </c>
      <c r="P795" s="17" t="s">
        <v>802</v>
      </c>
      <c r="Q795" s="21" t="s">
        <v>7956</v>
      </c>
      <c r="R795" s="17" t="s">
        <v>801</v>
      </c>
      <c r="S795" s="18" t="s">
        <v>3636</v>
      </c>
      <c r="T795" s="17" t="s">
        <v>800</v>
      </c>
      <c r="U795" s="18" t="s">
        <v>5257</v>
      </c>
      <c r="V795" s="17" t="s">
        <v>9418</v>
      </c>
      <c r="W795" s="18" t="s">
        <v>5314</v>
      </c>
      <c r="X795" s="69" t="s">
        <v>9453</v>
      </c>
      <c r="Y795" s="70" t="s">
        <v>9464</v>
      </c>
      <c r="Z795" s="73" t="s">
        <v>9486</v>
      </c>
      <c r="AA795" s="74" t="s">
        <v>9504</v>
      </c>
      <c r="AB795" s="73" t="s">
        <v>9486</v>
      </c>
      <c r="AC795" s="74" t="s">
        <v>9561</v>
      </c>
      <c r="AD795" s="73" t="s">
        <v>9578</v>
      </c>
      <c r="AE795" s="74" t="s">
        <v>9579</v>
      </c>
    </row>
    <row r="796" spans="1:31" ht="8.65" customHeight="1" x14ac:dyDescent="0.2">
      <c r="A796" s="76">
        <v>796</v>
      </c>
      <c r="B796" s="67" t="str">
        <f>MID(C796, FIND("Ifc.", C796) + 4, 4) &amp; "_" &amp; TEXT(COUNTIF($C$2:C796, C796),"0000")</f>
        <v>Prop_0795</v>
      </c>
      <c r="C796" s="24" t="s">
        <v>872</v>
      </c>
      <c r="D796" s="69" t="s">
        <v>9453</v>
      </c>
      <c r="E796" s="70" t="s">
        <v>9454</v>
      </c>
      <c r="F796" s="17" t="s">
        <v>806</v>
      </c>
      <c r="G796" s="22" t="s">
        <v>1680</v>
      </c>
      <c r="H796" s="12" t="s">
        <v>9703</v>
      </c>
      <c r="I796" s="13" t="s">
        <v>6899</v>
      </c>
      <c r="J796" s="14" t="s">
        <v>798</v>
      </c>
      <c r="K796" s="15" t="s">
        <v>798</v>
      </c>
      <c r="L796" s="12" t="s">
        <v>5315</v>
      </c>
      <c r="M796" s="13" t="s">
        <v>5850</v>
      </c>
      <c r="N796" s="12" t="s">
        <v>803</v>
      </c>
      <c r="O796" s="13" t="s">
        <v>4997</v>
      </c>
      <c r="P796" s="17" t="s">
        <v>802</v>
      </c>
      <c r="Q796" s="21" t="s">
        <v>7957</v>
      </c>
      <c r="R796" s="17" t="s">
        <v>801</v>
      </c>
      <c r="S796" s="18" t="s">
        <v>3636</v>
      </c>
      <c r="T796" s="17" t="s">
        <v>800</v>
      </c>
      <c r="U796" s="18" t="s">
        <v>5257</v>
      </c>
      <c r="V796" s="17" t="s">
        <v>9418</v>
      </c>
      <c r="W796" s="18" t="s">
        <v>5314</v>
      </c>
      <c r="X796" s="69" t="s">
        <v>9453</v>
      </c>
      <c r="Y796" s="70" t="s">
        <v>9464</v>
      </c>
      <c r="Z796" s="73" t="s">
        <v>9486</v>
      </c>
      <c r="AA796" s="74" t="s">
        <v>9504</v>
      </c>
      <c r="AB796" s="73" t="s">
        <v>9486</v>
      </c>
      <c r="AC796" s="74" t="s">
        <v>9561</v>
      </c>
      <c r="AD796" s="73" t="s">
        <v>9578</v>
      </c>
      <c r="AE796" s="74" t="s">
        <v>9579</v>
      </c>
    </row>
    <row r="797" spans="1:31" ht="8.65" customHeight="1" x14ac:dyDescent="0.2">
      <c r="A797" s="76">
        <v>797</v>
      </c>
      <c r="B797" s="67" t="str">
        <f>MID(C797, FIND("Ifc.", C797) + 4, 4) &amp; "_" &amp; TEXT(COUNTIF($C$2:C797, C797),"0000")</f>
        <v>Prop_0796</v>
      </c>
      <c r="C797" s="24" t="s">
        <v>872</v>
      </c>
      <c r="D797" s="69" t="s">
        <v>9453</v>
      </c>
      <c r="E797" s="70" t="s">
        <v>9454</v>
      </c>
      <c r="F797" s="17" t="s">
        <v>806</v>
      </c>
      <c r="G797" s="22" t="s">
        <v>1549</v>
      </c>
      <c r="H797" s="12" t="s">
        <v>9703</v>
      </c>
      <c r="I797" s="13" t="s">
        <v>6375</v>
      </c>
      <c r="J797" s="14" t="s">
        <v>798</v>
      </c>
      <c r="K797" s="15" t="s">
        <v>798</v>
      </c>
      <c r="L797" s="12" t="s">
        <v>5315</v>
      </c>
      <c r="M797" s="13" t="s">
        <v>5889</v>
      </c>
      <c r="N797" s="12" t="s">
        <v>803</v>
      </c>
      <c r="O797" s="13" t="s">
        <v>4958</v>
      </c>
      <c r="P797" s="17" t="s">
        <v>802</v>
      </c>
      <c r="Q797" s="21" t="s">
        <v>7771</v>
      </c>
      <c r="R797" s="17" t="s">
        <v>801</v>
      </c>
      <c r="S797" s="18" t="s">
        <v>3636</v>
      </c>
      <c r="T797" s="17" t="s">
        <v>800</v>
      </c>
      <c r="U797" s="18" t="s">
        <v>5257</v>
      </c>
      <c r="V797" s="17" t="s">
        <v>9418</v>
      </c>
      <c r="W797" s="18" t="s">
        <v>5314</v>
      </c>
      <c r="X797" s="69" t="s">
        <v>9453</v>
      </c>
      <c r="Y797" s="70" t="s">
        <v>9464</v>
      </c>
      <c r="Z797" s="73" t="s">
        <v>9486</v>
      </c>
      <c r="AA797" s="74" t="s">
        <v>9504</v>
      </c>
      <c r="AB797" s="73" t="s">
        <v>9486</v>
      </c>
      <c r="AC797" s="74" t="s">
        <v>9561</v>
      </c>
      <c r="AD797" s="73" t="s">
        <v>9578</v>
      </c>
      <c r="AE797" s="74" t="s">
        <v>9579</v>
      </c>
    </row>
    <row r="798" spans="1:31" ht="8.65" customHeight="1" x14ac:dyDescent="0.2">
      <c r="A798" s="76">
        <v>798</v>
      </c>
      <c r="B798" s="67" t="str">
        <f>MID(C798, FIND("Ifc.", C798) + 4, 4) &amp; "_" &amp; TEXT(COUNTIF($C$2:C798, C798),"0000")</f>
        <v>Prop_0797</v>
      </c>
      <c r="C798" s="24" t="s">
        <v>872</v>
      </c>
      <c r="D798" s="69" t="s">
        <v>9453</v>
      </c>
      <c r="E798" s="70" t="s">
        <v>9454</v>
      </c>
      <c r="F798" s="17" t="s">
        <v>806</v>
      </c>
      <c r="G798" s="22" t="s">
        <v>1549</v>
      </c>
      <c r="H798" s="12" t="s">
        <v>9703</v>
      </c>
      <c r="I798" s="13" t="s">
        <v>6375</v>
      </c>
      <c r="J798" s="14" t="s">
        <v>798</v>
      </c>
      <c r="K798" s="15" t="s">
        <v>798</v>
      </c>
      <c r="L798" s="12" t="s">
        <v>5315</v>
      </c>
      <c r="M798" s="13" t="s">
        <v>5850</v>
      </c>
      <c r="N798" s="12" t="s">
        <v>803</v>
      </c>
      <c r="O798" s="13" t="s">
        <v>4997</v>
      </c>
      <c r="P798" s="17" t="s">
        <v>802</v>
      </c>
      <c r="Q798" s="21" t="s">
        <v>7957</v>
      </c>
      <c r="R798" s="17" t="s">
        <v>801</v>
      </c>
      <c r="S798" s="18" t="s">
        <v>3636</v>
      </c>
      <c r="T798" s="17" t="s">
        <v>800</v>
      </c>
      <c r="U798" s="18" t="s">
        <v>5257</v>
      </c>
      <c r="V798" s="17" t="s">
        <v>9418</v>
      </c>
      <c r="W798" s="18" t="s">
        <v>5314</v>
      </c>
      <c r="X798" s="69" t="s">
        <v>9453</v>
      </c>
      <c r="Y798" s="70" t="s">
        <v>9464</v>
      </c>
      <c r="Z798" s="73" t="s">
        <v>9486</v>
      </c>
      <c r="AA798" s="74" t="s">
        <v>9504</v>
      </c>
      <c r="AB798" s="73" t="s">
        <v>9486</v>
      </c>
      <c r="AC798" s="74" t="s">
        <v>9561</v>
      </c>
      <c r="AD798" s="73" t="s">
        <v>9578</v>
      </c>
      <c r="AE798" s="74" t="s">
        <v>9579</v>
      </c>
    </row>
    <row r="799" spans="1:31" ht="8.65" customHeight="1" x14ac:dyDescent="0.2">
      <c r="A799" s="76">
        <v>799</v>
      </c>
      <c r="B799" s="67" t="str">
        <f>MID(C799, FIND("Ifc.", C799) + 4, 4) &amp; "_" &amp; TEXT(COUNTIF($C$2:C799, C799),"0000")</f>
        <v>Prop_0798</v>
      </c>
      <c r="C799" s="24" t="s">
        <v>872</v>
      </c>
      <c r="D799" s="69" t="s">
        <v>9453</v>
      </c>
      <c r="E799" s="70" t="s">
        <v>9454</v>
      </c>
      <c r="F799" s="17" t="s">
        <v>806</v>
      </c>
      <c r="G799" s="22" t="s">
        <v>1642</v>
      </c>
      <c r="H799" s="12" t="s">
        <v>9703</v>
      </c>
      <c r="I799" s="13" t="s">
        <v>6395</v>
      </c>
      <c r="J799" s="14" t="s">
        <v>798</v>
      </c>
      <c r="K799" s="15" t="s">
        <v>798</v>
      </c>
      <c r="L799" s="12" t="s">
        <v>5315</v>
      </c>
      <c r="M799" s="13" t="s">
        <v>5836</v>
      </c>
      <c r="N799" s="12" t="s">
        <v>803</v>
      </c>
      <c r="O799" s="13" t="s">
        <v>4979</v>
      </c>
      <c r="P799" s="17" t="s">
        <v>802</v>
      </c>
      <c r="Q799" s="21" t="s">
        <v>7788</v>
      </c>
      <c r="R799" s="17" t="s">
        <v>801</v>
      </c>
      <c r="S799" s="18" t="s">
        <v>3636</v>
      </c>
      <c r="T799" s="17" t="s">
        <v>800</v>
      </c>
      <c r="U799" s="18" t="s">
        <v>5257</v>
      </c>
      <c r="V799" s="17" t="s">
        <v>9418</v>
      </c>
      <c r="W799" s="18" t="s">
        <v>5314</v>
      </c>
      <c r="X799" s="69" t="s">
        <v>9453</v>
      </c>
      <c r="Y799" s="70" t="s">
        <v>9464</v>
      </c>
      <c r="Z799" s="73" t="s">
        <v>9486</v>
      </c>
      <c r="AA799" s="74" t="s">
        <v>9504</v>
      </c>
      <c r="AB799" s="73" t="s">
        <v>9486</v>
      </c>
      <c r="AC799" s="74" t="s">
        <v>9561</v>
      </c>
      <c r="AD799" s="73" t="s">
        <v>9578</v>
      </c>
      <c r="AE799" s="74" t="s">
        <v>9579</v>
      </c>
    </row>
    <row r="800" spans="1:31" ht="8.65" customHeight="1" x14ac:dyDescent="0.2">
      <c r="A800" s="76">
        <v>800</v>
      </c>
      <c r="B800" s="67" t="str">
        <f>MID(C800, FIND("Ifc.", C800) + 4, 4) &amp; "_" &amp; TEXT(COUNTIF($C$2:C800, C800),"0000")</f>
        <v>Prop_0799</v>
      </c>
      <c r="C800" s="24" t="s">
        <v>872</v>
      </c>
      <c r="D800" s="69" t="s">
        <v>9453</v>
      </c>
      <c r="E800" s="70" t="s">
        <v>9454</v>
      </c>
      <c r="F800" s="17" t="s">
        <v>806</v>
      </c>
      <c r="G800" s="22" t="s">
        <v>1548</v>
      </c>
      <c r="H800" s="12" t="s">
        <v>9703</v>
      </c>
      <c r="I800" s="13" t="s">
        <v>6374</v>
      </c>
      <c r="J800" s="14" t="s">
        <v>798</v>
      </c>
      <c r="K800" s="15" t="s">
        <v>798</v>
      </c>
      <c r="L800" s="12" t="s">
        <v>5315</v>
      </c>
      <c r="M800" s="13" t="s">
        <v>5889</v>
      </c>
      <c r="N800" s="12" t="s">
        <v>803</v>
      </c>
      <c r="O800" s="13" t="s">
        <v>4958</v>
      </c>
      <c r="P800" s="17" t="s">
        <v>802</v>
      </c>
      <c r="Q800" s="21" t="s">
        <v>7771</v>
      </c>
      <c r="R800" s="17" t="s">
        <v>801</v>
      </c>
      <c r="S800" s="18" t="s">
        <v>3636</v>
      </c>
      <c r="T800" s="17" t="s">
        <v>800</v>
      </c>
      <c r="U800" s="18" t="s">
        <v>5257</v>
      </c>
      <c r="V800" s="17" t="s">
        <v>9418</v>
      </c>
      <c r="W800" s="18" t="s">
        <v>5314</v>
      </c>
      <c r="X800" s="69" t="s">
        <v>9453</v>
      </c>
      <c r="Y800" s="70" t="s">
        <v>9464</v>
      </c>
      <c r="Z800" s="73" t="s">
        <v>9486</v>
      </c>
      <c r="AA800" s="74" t="s">
        <v>9504</v>
      </c>
      <c r="AB800" s="73" t="s">
        <v>9486</v>
      </c>
      <c r="AC800" s="74" t="s">
        <v>9561</v>
      </c>
      <c r="AD800" s="73" t="s">
        <v>9578</v>
      </c>
      <c r="AE800" s="74" t="s">
        <v>9579</v>
      </c>
    </row>
    <row r="801" spans="1:31" ht="8.65" customHeight="1" x14ac:dyDescent="0.2">
      <c r="A801" s="76">
        <v>801</v>
      </c>
      <c r="B801" s="67" t="str">
        <f>MID(C801, FIND("Ifc.", C801) + 4, 4) &amp; "_" &amp; TEXT(COUNTIF($C$2:C801, C801),"0000")</f>
        <v>Prop_0800</v>
      </c>
      <c r="C801" s="24" t="s">
        <v>872</v>
      </c>
      <c r="D801" s="69" t="s">
        <v>9453</v>
      </c>
      <c r="E801" s="70" t="s">
        <v>9454</v>
      </c>
      <c r="F801" s="17" t="s">
        <v>806</v>
      </c>
      <c r="G801" s="22" t="s">
        <v>1548</v>
      </c>
      <c r="H801" s="12" t="s">
        <v>9703</v>
      </c>
      <c r="I801" s="13" t="s">
        <v>6374</v>
      </c>
      <c r="J801" s="14" t="s">
        <v>798</v>
      </c>
      <c r="K801" s="15" t="s">
        <v>798</v>
      </c>
      <c r="L801" s="12" t="s">
        <v>5315</v>
      </c>
      <c r="M801" s="13" t="s">
        <v>5836</v>
      </c>
      <c r="N801" s="12" t="s">
        <v>803</v>
      </c>
      <c r="O801" s="13" t="s">
        <v>4979</v>
      </c>
      <c r="P801" s="17" t="s">
        <v>802</v>
      </c>
      <c r="Q801" s="21" t="s">
        <v>7788</v>
      </c>
      <c r="R801" s="17" t="s">
        <v>801</v>
      </c>
      <c r="S801" s="18" t="s">
        <v>3636</v>
      </c>
      <c r="T801" s="17" t="s">
        <v>800</v>
      </c>
      <c r="U801" s="18" t="s">
        <v>5257</v>
      </c>
      <c r="V801" s="17" t="s">
        <v>9418</v>
      </c>
      <c r="W801" s="18" t="s">
        <v>5314</v>
      </c>
      <c r="X801" s="69" t="s">
        <v>9453</v>
      </c>
      <c r="Y801" s="70" t="s">
        <v>9464</v>
      </c>
      <c r="Z801" s="73" t="s">
        <v>9486</v>
      </c>
      <c r="AA801" s="74" t="s">
        <v>9504</v>
      </c>
      <c r="AB801" s="73" t="s">
        <v>9486</v>
      </c>
      <c r="AC801" s="74" t="s">
        <v>9561</v>
      </c>
      <c r="AD801" s="73" t="s">
        <v>9578</v>
      </c>
      <c r="AE801" s="74" t="s">
        <v>9579</v>
      </c>
    </row>
    <row r="802" spans="1:31" ht="8.65" customHeight="1" x14ac:dyDescent="0.2">
      <c r="A802" s="76">
        <v>802</v>
      </c>
      <c r="B802" s="67" t="str">
        <f>MID(C802, FIND("Ifc.", C802) + 4, 4) &amp; "_" &amp; TEXT(COUNTIF($C$2:C802, C802),"0000")</f>
        <v>Prop_0801</v>
      </c>
      <c r="C802" s="24" t="s">
        <v>872</v>
      </c>
      <c r="D802" s="69" t="s">
        <v>9453</v>
      </c>
      <c r="E802" s="70" t="s">
        <v>9454</v>
      </c>
      <c r="F802" s="17" t="s">
        <v>806</v>
      </c>
      <c r="G802" s="22" t="s">
        <v>1458</v>
      </c>
      <c r="H802" s="12" t="s">
        <v>9703</v>
      </c>
      <c r="I802" s="13" t="s">
        <v>6331</v>
      </c>
      <c r="J802" s="14" t="s">
        <v>798</v>
      </c>
      <c r="K802" s="15" t="s">
        <v>798</v>
      </c>
      <c r="L802" s="12" t="s">
        <v>5315</v>
      </c>
      <c r="M802" s="13" t="s">
        <v>5438</v>
      </c>
      <c r="N802" s="12" t="s">
        <v>803</v>
      </c>
      <c r="O802" s="13" t="s">
        <v>4939</v>
      </c>
      <c r="P802" s="17" t="s">
        <v>802</v>
      </c>
      <c r="Q802" s="21" t="s">
        <v>7756</v>
      </c>
      <c r="R802" s="17" t="s">
        <v>801</v>
      </c>
      <c r="S802" s="18" t="s">
        <v>2562</v>
      </c>
      <c r="T802" s="17" t="s">
        <v>800</v>
      </c>
      <c r="U802" s="18" t="s">
        <v>5256</v>
      </c>
      <c r="V802" s="17" t="s">
        <v>9418</v>
      </c>
      <c r="W802" s="18" t="s">
        <v>5309</v>
      </c>
      <c r="X802" s="69" t="s">
        <v>9453</v>
      </c>
      <c r="Y802" s="70" t="s">
        <v>9462</v>
      </c>
      <c r="Z802" s="73" t="s">
        <v>9486</v>
      </c>
      <c r="AA802" s="74" t="s">
        <v>9504</v>
      </c>
      <c r="AB802" s="73" t="s">
        <v>9486</v>
      </c>
      <c r="AC802" s="74" t="s">
        <v>9562</v>
      </c>
      <c r="AD802" s="73" t="s">
        <v>9578</v>
      </c>
      <c r="AE802" s="74" t="s">
        <v>9579</v>
      </c>
    </row>
    <row r="803" spans="1:31" ht="8.65" customHeight="1" x14ac:dyDescent="0.2">
      <c r="A803" s="76">
        <v>803</v>
      </c>
      <c r="B803" s="67" t="str">
        <f>MID(C803, FIND("Ifc.", C803) + 4, 4) &amp; "_" &amp; TEXT(COUNTIF($C$2:C803, C803),"0000")</f>
        <v>Prop_0802</v>
      </c>
      <c r="C803" s="24" t="s">
        <v>872</v>
      </c>
      <c r="D803" s="69" t="s">
        <v>9453</v>
      </c>
      <c r="E803" s="70" t="s">
        <v>9454</v>
      </c>
      <c r="F803" s="17" t="s">
        <v>806</v>
      </c>
      <c r="G803" s="22" t="s">
        <v>1459</v>
      </c>
      <c r="H803" s="12" t="s">
        <v>9703</v>
      </c>
      <c r="I803" s="13" t="s">
        <v>6332</v>
      </c>
      <c r="J803" s="14" t="s">
        <v>798</v>
      </c>
      <c r="K803" s="15" t="s">
        <v>798</v>
      </c>
      <c r="L803" s="12" t="s">
        <v>5315</v>
      </c>
      <c r="M803" s="13" t="s">
        <v>5438</v>
      </c>
      <c r="N803" s="12" t="s">
        <v>803</v>
      </c>
      <c r="O803" s="13" t="s">
        <v>4939</v>
      </c>
      <c r="P803" s="17" t="s">
        <v>802</v>
      </c>
      <c r="Q803" s="21" t="s">
        <v>7756</v>
      </c>
      <c r="R803" s="17" t="s">
        <v>801</v>
      </c>
      <c r="S803" s="18" t="s">
        <v>2562</v>
      </c>
      <c r="T803" s="17" t="s">
        <v>800</v>
      </c>
      <c r="U803" s="18" t="s">
        <v>5256</v>
      </c>
      <c r="V803" s="17" t="s">
        <v>9418</v>
      </c>
      <c r="W803" s="18" t="s">
        <v>5309</v>
      </c>
      <c r="X803" s="69" t="s">
        <v>9453</v>
      </c>
      <c r="Y803" s="70" t="s">
        <v>9462</v>
      </c>
      <c r="Z803" s="73" t="s">
        <v>9486</v>
      </c>
      <c r="AA803" s="74" t="s">
        <v>9504</v>
      </c>
      <c r="AB803" s="73" t="s">
        <v>9486</v>
      </c>
      <c r="AC803" s="74" t="s">
        <v>9562</v>
      </c>
      <c r="AD803" s="73" t="s">
        <v>9578</v>
      </c>
      <c r="AE803" s="74" t="s">
        <v>9579</v>
      </c>
    </row>
    <row r="804" spans="1:31" ht="8.65" customHeight="1" x14ac:dyDescent="0.2">
      <c r="A804" s="76">
        <v>804</v>
      </c>
      <c r="B804" s="67" t="str">
        <f>MID(C804, FIND("Ifc.", C804) + 4, 4) &amp; "_" &amp; TEXT(COUNTIF($C$2:C804, C804),"0000")</f>
        <v>Prop_0803</v>
      </c>
      <c r="C804" s="24" t="s">
        <v>872</v>
      </c>
      <c r="D804" s="69" t="s">
        <v>9453</v>
      </c>
      <c r="E804" s="70" t="s">
        <v>9454</v>
      </c>
      <c r="F804" s="17" t="s">
        <v>806</v>
      </c>
      <c r="G804" s="22" t="s">
        <v>1083</v>
      </c>
      <c r="H804" s="12" t="s">
        <v>9703</v>
      </c>
      <c r="I804" s="13" t="s">
        <v>6143</v>
      </c>
      <c r="J804" s="14" t="s">
        <v>798</v>
      </c>
      <c r="K804" s="15" t="s">
        <v>798</v>
      </c>
      <c r="L804" s="12" t="s">
        <v>5315</v>
      </c>
      <c r="M804" s="13" t="s">
        <v>6034</v>
      </c>
      <c r="N804" s="12" t="s">
        <v>803</v>
      </c>
      <c r="O804" s="13" t="s">
        <v>4849</v>
      </c>
      <c r="P804" s="17" t="s">
        <v>802</v>
      </c>
      <c r="Q804" s="21" t="s">
        <v>7958</v>
      </c>
      <c r="R804" s="17" t="s">
        <v>801</v>
      </c>
      <c r="S804" s="18" t="s">
        <v>2631</v>
      </c>
      <c r="T804" s="17" t="s">
        <v>800</v>
      </c>
      <c r="U804" s="18" t="s">
        <v>5253</v>
      </c>
      <c r="V804" s="17" t="s">
        <v>9418</v>
      </c>
      <c r="W804" s="18" t="s">
        <v>5311</v>
      </c>
      <c r="X804" s="69" t="s">
        <v>9453</v>
      </c>
      <c r="Y804" s="70" t="s">
        <v>9466</v>
      </c>
      <c r="Z804" s="73" t="s">
        <v>9486</v>
      </c>
      <c r="AA804" s="74" t="s">
        <v>9504</v>
      </c>
      <c r="AB804" s="73" t="s">
        <v>9486</v>
      </c>
      <c r="AC804" s="74" t="s">
        <v>9566</v>
      </c>
      <c r="AD804" s="73" t="s">
        <v>9578</v>
      </c>
      <c r="AE804" s="74" t="s">
        <v>9579</v>
      </c>
    </row>
    <row r="805" spans="1:31" ht="8.65" customHeight="1" x14ac:dyDescent="0.2">
      <c r="A805" s="76">
        <v>805</v>
      </c>
      <c r="B805" s="67" t="str">
        <f>MID(C805, FIND("Ifc.", C805) + 4, 4) &amp; "_" &amp; TEXT(COUNTIF($C$2:C805, C805),"0000")</f>
        <v>Prop_0804</v>
      </c>
      <c r="C805" s="24" t="s">
        <v>872</v>
      </c>
      <c r="D805" s="69" t="s">
        <v>9453</v>
      </c>
      <c r="E805" s="70" t="s">
        <v>9454</v>
      </c>
      <c r="F805" s="17" t="s">
        <v>806</v>
      </c>
      <c r="G805" s="22" t="s">
        <v>1083</v>
      </c>
      <c r="H805" s="12" t="s">
        <v>9703</v>
      </c>
      <c r="I805" s="13" t="s">
        <v>6143</v>
      </c>
      <c r="J805" s="14" t="s">
        <v>798</v>
      </c>
      <c r="K805" s="15" t="s">
        <v>798</v>
      </c>
      <c r="L805" s="12" t="s">
        <v>5315</v>
      </c>
      <c r="M805" s="13" t="s">
        <v>6035</v>
      </c>
      <c r="N805" s="12" t="s">
        <v>803</v>
      </c>
      <c r="O805" s="13" t="s">
        <v>4850</v>
      </c>
      <c r="P805" s="17" t="s">
        <v>802</v>
      </c>
      <c r="Q805" s="21" t="s">
        <v>7781</v>
      </c>
      <c r="R805" s="17" t="s">
        <v>801</v>
      </c>
      <c r="S805" s="18" t="s">
        <v>2631</v>
      </c>
      <c r="T805" s="17" t="s">
        <v>800</v>
      </c>
      <c r="U805" s="18" t="s">
        <v>5253</v>
      </c>
      <c r="V805" s="17" t="s">
        <v>9418</v>
      </c>
      <c r="W805" s="18" t="s">
        <v>5311</v>
      </c>
      <c r="X805" s="69" t="s">
        <v>9453</v>
      </c>
      <c r="Y805" s="70" t="s">
        <v>9466</v>
      </c>
      <c r="Z805" s="73" t="s">
        <v>9486</v>
      </c>
      <c r="AA805" s="74" t="s">
        <v>9504</v>
      </c>
      <c r="AB805" s="73" t="s">
        <v>9486</v>
      </c>
      <c r="AC805" s="74" t="s">
        <v>9566</v>
      </c>
      <c r="AD805" s="73" t="s">
        <v>9578</v>
      </c>
      <c r="AE805" s="74" t="s">
        <v>9579</v>
      </c>
    </row>
    <row r="806" spans="1:31" ht="8.65" customHeight="1" x14ac:dyDescent="0.2">
      <c r="A806" s="76">
        <v>806</v>
      </c>
      <c r="B806" s="67" t="str">
        <f>MID(C806, FIND("Ifc.", C806) + 4, 4) &amp; "_" &amp; TEXT(COUNTIF($C$2:C806, C806),"0000")</f>
        <v>Prop_0805</v>
      </c>
      <c r="C806" s="24" t="s">
        <v>872</v>
      </c>
      <c r="D806" s="69" t="s">
        <v>9453</v>
      </c>
      <c r="E806" s="70" t="s">
        <v>9454</v>
      </c>
      <c r="F806" s="17" t="s">
        <v>806</v>
      </c>
      <c r="G806" s="22" t="s">
        <v>1083</v>
      </c>
      <c r="H806" s="12" t="s">
        <v>9703</v>
      </c>
      <c r="I806" s="13" t="s">
        <v>6143</v>
      </c>
      <c r="J806" s="14" t="s">
        <v>798</v>
      </c>
      <c r="K806" s="15" t="s">
        <v>798</v>
      </c>
      <c r="L806" s="12" t="s">
        <v>5315</v>
      </c>
      <c r="M806" s="13" t="s">
        <v>5392</v>
      </c>
      <c r="N806" s="12" t="s">
        <v>803</v>
      </c>
      <c r="O806" s="13" t="s">
        <v>4858</v>
      </c>
      <c r="P806" s="17" t="s">
        <v>802</v>
      </c>
      <c r="Q806" s="21" t="s">
        <v>7798</v>
      </c>
      <c r="R806" s="17" t="s">
        <v>801</v>
      </c>
      <c r="S806" s="18" t="s">
        <v>2625</v>
      </c>
      <c r="T806" s="17" t="s">
        <v>800</v>
      </c>
      <c r="U806" s="18" t="s">
        <v>5240</v>
      </c>
      <c r="V806" s="17" t="s">
        <v>9418</v>
      </c>
      <c r="W806" s="18" t="s">
        <v>5309</v>
      </c>
      <c r="X806" s="69" t="s">
        <v>9453</v>
      </c>
      <c r="Y806" s="70" t="s">
        <v>9462</v>
      </c>
      <c r="Z806" s="73" t="s">
        <v>9486</v>
      </c>
      <c r="AA806" s="74" t="s">
        <v>9504</v>
      </c>
      <c r="AB806" s="73" t="s">
        <v>9486</v>
      </c>
      <c r="AC806" s="74" t="s">
        <v>9566</v>
      </c>
      <c r="AD806" s="73" t="s">
        <v>9578</v>
      </c>
      <c r="AE806" s="74" t="s">
        <v>9579</v>
      </c>
    </row>
    <row r="807" spans="1:31" ht="8.65" customHeight="1" x14ac:dyDescent="0.2">
      <c r="A807" s="76">
        <v>807</v>
      </c>
      <c r="B807" s="67" t="str">
        <f>MID(C807, FIND("Ifc.", C807) + 4, 4) &amp; "_" &amp; TEXT(COUNTIF($C$2:C807, C807),"0000")</f>
        <v>Prop_0806</v>
      </c>
      <c r="C807" s="24" t="s">
        <v>872</v>
      </c>
      <c r="D807" s="69" t="s">
        <v>9453</v>
      </c>
      <c r="E807" s="70" t="s">
        <v>9454</v>
      </c>
      <c r="F807" s="17" t="s">
        <v>806</v>
      </c>
      <c r="G807" s="22" t="s">
        <v>1562</v>
      </c>
      <c r="H807" s="12" t="s">
        <v>9703</v>
      </c>
      <c r="I807" s="13" t="s">
        <v>6385</v>
      </c>
      <c r="J807" s="14" t="s">
        <v>798</v>
      </c>
      <c r="K807" s="15" t="s">
        <v>798</v>
      </c>
      <c r="L807" s="12" t="s">
        <v>5315</v>
      </c>
      <c r="M807" s="13" t="s">
        <v>5891</v>
      </c>
      <c r="N807" s="12" t="s">
        <v>803</v>
      </c>
      <c r="O807" s="13" t="s">
        <v>4960</v>
      </c>
      <c r="P807" s="17" t="s">
        <v>802</v>
      </c>
      <c r="Q807" s="21" t="s">
        <v>7813</v>
      </c>
      <c r="R807" s="17" t="s">
        <v>801</v>
      </c>
      <c r="S807" s="18" t="s">
        <v>3636</v>
      </c>
      <c r="T807" s="17" t="s">
        <v>800</v>
      </c>
      <c r="U807" s="18" t="s">
        <v>5257</v>
      </c>
      <c r="V807" s="17" t="s">
        <v>9418</v>
      </c>
      <c r="W807" s="18" t="s">
        <v>5314</v>
      </c>
      <c r="X807" s="69" t="s">
        <v>9453</v>
      </c>
      <c r="Y807" s="70" t="s">
        <v>9464</v>
      </c>
      <c r="Z807" s="73" t="s">
        <v>9486</v>
      </c>
      <c r="AA807" s="74" t="s">
        <v>9504</v>
      </c>
      <c r="AB807" s="73" t="s">
        <v>9486</v>
      </c>
      <c r="AC807" s="74" t="s">
        <v>9561</v>
      </c>
      <c r="AD807" s="73" t="s">
        <v>9578</v>
      </c>
      <c r="AE807" s="74" t="s">
        <v>9579</v>
      </c>
    </row>
    <row r="808" spans="1:31" ht="8.65" customHeight="1" x14ac:dyDescent="0.2">
      <c r="A808" s="76">
        <v>808</v>
      </c>
      <c r="B808" s="67" t="str">
        <f>MID(C808, FIND("Ifc.", C808) + 4, 4) &amp; "_" &amp; TEXT(COUNTIF($C$2:C808, C808),"0000")</f>
        <v>Prop_0807</v>
      </c>
      <c r="C808" s="24" t="s">
        <v>872</v>
      </c>
      <c r="D808" s="69" t="s">
        <v>9453</v>
      </c>
      <c r="E808" s="70" t="s">
        <v>9454</v>
      </c>
      <c r="F808" s="17" t="s">
        <v>806</v>
      </c>
      <c r="G808" s="22" t="s">
        <v>1668</v>
      </c>
      <c r="H808" s="12" t="s">
        <v>9703</v>
      </c>
      <c r="I808" s="13" t="s">
        <v>6416</v>
      </c>
      <c r="J808" s="14" t="s">
        <v>798</v>
      </c>
      <c r="K808" s="15" t="s">
        <v>798</v>
      </c>
      <c r="L808" s="12" t="s">
        <v>5315</v>
      </c>
      <c r="M808" s="13" t="s">
        <v>5842</v>
      </c>
      <c r="N808" s="12" t="s">
        <v>803</v>
      </c>
      <c r="O808" s="13" t="s">
        <v>4987</v>
      </c>
      <c r="P808" s="17" t="s">
        <v>802</v>
      </c>
      <c r="Q808" s="21" t="s">
        <v>7953</v>
      </c>
      <c r="R808" s="17" t="s">
        <v>801</v>
      </c>
      <c r="S808" s="18" t="s">
        <v>3636</v>
      </c>
      <c r="T808" s="17" t="s">
        <v>800</v>
      </c>
      <c r="U808" s="18" t="s">
        <v>5257</v>
      </c>
      <c r="V808" s="17" t="s">
        <v>9418</v>
      </c>
      <c r="W808" s="18" t="s">
        <v>5314</v>
      </c>
      <c r="X808" s="69" t="s">
        <v>9453</v>
      </c>
      <c r="Y808" s="70" t="s">
        <v>9464</v>
      </c>
      <c r="Z808" s="73" t="s">
        <v>9486</v>
      </c>
      <c r="AA808" s="74" t="s">
        <v>9504</v>
      </c>
      <c r="AB808" s="73" t="s">
        <v>9486</v>
      </c>
      <c r="AC808" s="74" t="s">
        <v>9561</v>
      </c>
      <c r="AD808" s="73" t="s">
        <v>9578</v>
      </c>
      <c r="AE808" s="74" t="s">
        <v>9579</v>
      </c>
    </row>
    <row r="809" spans="1:31" ht="8.65" customHeight="1" x14ac:dyDescent="0.2">
      <c r="A809" s="76">
        <v>809</v>
      </c>
      <c r="B809" s="67" t="str">
        <f>MID(C809, FIND("Ifc.", C809) + 4, 4) &amp; "_" &amp; TEXT(COUNTIF($C$2:C809, C809),"0000")</f>
        <v>Prop_0808</v>
      </c>
      <c r="C809" s="24" t="s">
        <v>872</v>
      </c>
      <c r="D809" s="69" t="s">
        <v>9453</v>
      </c>
      <c r="E809" s="70" t="s">
        <v>9454</v>
      </c>
      <c r="F809" s="17" t="s">
        <v>806</v>
      </c>
      <c r="G809" s="22" t="s">
        <v>1005</v>
      </c>
      <c r="H809" s="12" t="s">
        <v>9703</v>
      </c>
      <c r="I809" s="13" t="s">
        <v>6114</v>
      </c>
      <c r="J809" s="14" t="s">
        <v>798</v>
      </c>
      <c r="K809" s="15" t="s">
        <v>798</v>
      </c>
      <c r="L809" s="12" t="s">
        <v>5315</v>
      </c>
      <c r="M809" s="13" t="s">
        <v>6023</v>
      </c>
      <c r="N809" s="12" t="s">
        <v>803</v>
      </c>
      <c r="O809" s="13" t="s">
        <v>4831</v>
      </c>
      <c r="P809" s="17" t="s">
        <v>802</v>
      </c>
      <c r="Q809" s="21" t="s">
        <v>7790</v>
      </c>
      <c r="R809" s="17" t="s">
        <v>801</v>
      </c>
      <c r="S809" s="18" t="s">
        <v>2624</v>
      </c>
      <c r="T809" s="17" t="s">
        <v>800</v>
      </c>
      <c r="U809" s="18" t="s">
        <v>5243</v>
      </c>
      <c r="V809" s="17" t="s">
        <v>9418</v>
      </c>
      <c r="W809" s="18" t="s">
        <v>5309</v>
      </c>
      <c r="X809" s="69" t="s">
        <v>9453</v>
      </c>
      <c r="Y809" s="70" t="s">
        <v>9462</v>
      </c>
      <c r="Z809" s="73" t="s">
        <v>9486</v>
      </c>
      <c r="AA809" s="74" t="s">
        <v>9504</v>
      </c>
      <c r="AB809" s="73" t="s">
        <v>9486</v>
      </c>
      <c r="AC809" s="74" t="s">
        <v>9566</v>
      </c>
      <c r="AD809" s="73" t="s">
        <v>9578</v>
      </c>
      <c r="AE809" s="74" t="s">
        <v>9579</v>
      </c>
    </row>
    <row r="810" spans="1:31" ht="8.65" customHeight="1" x14ac:dyDescent="0.2">
      <c r="A810" s="76">
        <v>810</v>
      </c>
      <c r="B810" s="67" t="str">
        <f>MID(C810, FIND("Ifc.", C810) + 4, 4) &amp; "_" &amp; TEXT(COUNTIF($C$2:C810, C810),"0000")</f>
        <v>Prop_0809</v>
      </c>
      <c r="C810" s="24" t="s">
        <v>872</v>
      </c>
      <c r="D810" s="69" t="s">
        <v>9453</v>
      </c>
      <c r="E810" s="70" t="s">
        <v>9454</v>
      </c>
      <c r="F810" s="17" t="s">
        <v>806</v>
      </c>
      <c r="G810" s="22" t="s">
        <v>1637</v>
      </c>
      <c r="H810" s="12" t="s">
        <v>9703</v>
      </c>
      <c r="I810" s="13" t="s">
        <v>6883</v>
      </c>
      <c r="J810" s="14" t="s">
        <v>798</v>
      </c>
      <c r="K810" s="15" t="s">
        <v>798</v>
      </c>
      <c r="L810" s="12" t="s">
        <v>5315</v>
      </c>
      <c r="M810" s="13" t="s">
        <v>5836</v>
      </c>
      <c r="N810" s="12" t="s">
        <v>803</v>
      </c>
      <c r="O810" s="13" t="s">
        <v>4979</v>
      </c>
      <c r="P810" s="17" t="s">
        <v>802</v>
      </c>
      <c r="Q810" s="21" t="s">
        <v>7788</v>
      </c>
      <c r="R810" s="17" t="s">
        <v>801</v>
      </c>
      <c r="S810" s="18" t="s">
        <v>3636</v>
      </c>
      <c r="T810" s="17" t="s">
        <v>800</v>
      </c>
      <c r="U810" s="18" t="s">
        <v>5257</v>
      </c>
      <c r="V810" s="17" t="s">
        <v>9418</v>
      </c>
      <c r="W810" s="18" t="s">
        <v>5314</v>
      </c>
      <c r="X810" s="69" t="s">
        <v>9453</v>
      </c>
      <c r="Y810" s="70" t="s">
        <v>9464</v>
      </c>
      <c r="Z810" s="73" t="s">
        <v>9486</v>
      </c>
      <c r="AA810" s="74" t="s">
        <v>9504</v>
      </c>
      <c r="AB810" s="73" t="s">
        <v>9486</v>
      </c>
      <c r="AC810" s="74" t="s">
        <v>9561</v>
      </c>
      <c r="AD810" s="73" t="s">
        <v>9578</v>
      </c>
      <c r="AE810" s="74" t="s">
        <v>9579</v>
      </c>
    </row>
    <row r="811" spans="1:31" ht="8.65" customHeight="1" x14ac:dyDescent="0.2">
      <c r="A811" s="76">
        <v>811</v>
      </c>
      <c r="B811" s="67" t="str">
        <f>MID(C811, FIND("Ifc.", C811) + 4, 4) &amp; "_" &amp; TEXT(COUNTIF($C$2:C811, C811),"0000")</f>
        <v>Prop_0810</v>
      </c>
      <c r="C811" s="24" t="s">
        <v>872</v>
      </c>
      <c r="D811" s="69" t="s">
        <v>9453</v>
      </c>
      <c r="E811" s="70" t="s">
        <v>9454</v>
      </c>
      <c r="F811" s="17" t="s">
        <v>806</v>
      </c>
      <c r="G811" s="22" t="s">
        <v>1645</v>
      </c>
      <c r="H811" s="12" t="s">
        <v>9703</v>
      </c>
      <c r="I811" s="13" t="s">
        <v>6396</v>
      </c>
      <c r="J811" s="14" t="s">
        <v>798</v>
      </c>
      <c r="K811" s="15" t="s">
        <v>798</v>
      </c>
      <c r="L811" s="12" t="s">
        <v>5315</v>
      </c>
      <c r="M811" s="13" t="s">
        <v>5836</v>
      </c>
      <c r="N811" s="12" t="s">
        <v>803</v>
      </c>
      <c r="O811" s="13" t="s">
        <v>4979</v>
      </c>
      <c r="P811" s="17" t="s">
        <v>802</v>
      </c>
      <c r="Q811" s="21" t="s">
        <v>7788</v>
      </c>
      <c r="R811" s="17" t="s">
        <v>801</v>
      </c>
      <c r="S811" s="18" t="s">
        <v>3636</v>
      </c>
      <c r="T811" s="17" t="s">
        <v>800</v>
      </c>
      <c r="U811" s="18" t="s">
        <v>5257</v>
      </c>
      <c r="V811" s="17" t="s">
        <v>9418</v>
      </c>
      <c r="W811" s="18" t="s">
        <v>5314</v>
      </c>
      <c r="X811" s="69" t="s">
        <v>9453</v>
      </c>
      <c r="Y811" s="70" t="s">
        <v>9464</v>
      </c>
      <c r="Z811" s="73" t="s">
        <v>9486</v>
      </c>
      <c r="AA811" s="74" t="s">
        <v>9504</v>
      </c>
      <c r="AB811" s="73" t="s">
        <v>9486</v>
      </c>
      <c r="AC811" s="74" t="s">
        <v>9561</v>
      </c>
      <c r="AD811" s="73" t="s">
        <v>9578</v>
      </c>
      <c r="AE811" s="74" t="s">
        <v>9579</v>
      </c>
    </row>
    <row r="812" spans="1:31" ht="8.65" customHeight="1" x14ac:dyDescent="0.2">
      <c r="A812" s="76">
        <v>812</v>
      </c>
      <c r="B812" s="67" t="str">
        <f>MID(C812, FIND("Ifc.", C812) + 4, 4) &amp; "_" &amp; TEXT(COUNTIF($C$2:C812, C812),"0000")</f>
        <v>Prop_0811</v>
      </c>
      <c r="C812" s="24" t="s">
        <v>872</v>
      </c>
      <c r="D812" s="69" t="s">
        <v>9453</v>
      </c>
      <c r="E812" s="70" t="s">
        <v>9454</v>
      </c>
      <c r="F812" s="17" t="s">
        <v>806</v>
      </c>
      <c r="G812" s="22" t="s">
        <v>980</v>
      </c>
      <c r="H812" s="12" t="s">
        <v>9703</v>
      </c>
      <c r="I812" s="13" t="s">
        <v>6848</v>
      </c>
      <c r="J812" s="14" t="s">
        <v>798</v>
      </c>
      <c r="K812" s="15" t="s">
        <v>798</v>
      </c>
      <c r="L812" s="12" t="s">
        <v>5315</v>
      </c>
      <c r="M812" s="13" t="s">
        <v>5989</v>
      </c>
      <c r="N812" s="12" t="s">
        <v>803</v>
      </c>
      <c r="O812" s="13" t="s">
        <v>4826</v>
      </c>
      <c r="P812" s="17" t="s">
        <v>802</v>
      </c>
      <c r="Q812" s="21" t="s">
        <v>7959</v>
      </c>
      <c r="R812" s="17" t="s">
        <v>801</v>
      </c>
      <c r="S812" s="18" t="s">
        <v>2560</v>
      </c>
      <c r="T812" s="17" t="s">
        <v>800</v>
      </c>
      <c r="U812" s="18" t="s">
        <v>5236</v>
      </c>
      <c r="V812" s="17" t="s">
        <v>9418</v>
      </c>
      <c r="W812" s="18" t="s">
        <v>5309</v>
      </c>
      <c r="X812" s="69" t="s">
        <v>9453</v>
      </c>
      <c r="Y812" s="70" t="s">
        <v>9462</v>
      </c>
      <c r="Z812" s="73" t="s">
        <v>9486</v>
      </c>
      <c r="AA812" s="74" t="s">
        <v>9504</v>
      </c>
      <c r="AB812" s="73" t="s">
        <v>9486</v>
      </c>
      <c r="AC812" s="74" t="s">
        <v>9562</v>
      </c>
      <c r="AD812" s="73" t="s">
        <v>9578</v>
      </c>
      <c r="AE812" s="74" t="s">
        <v>9579</v>
      </c>
    </row>
    <row r="813" spans="1:31" ht="8.65" customHeight="1" x14ac:dyDescent="0.2">
      <c r="A813" s="76">
        <v>813</v>
      </c>
      <c r="B813" s="67" t="str">
        <f>MID(C813, FIND("Ifc.", C813) + 4, 4) &amp; "_" &amp; TEXT(COUNTIF($C$2:C813, C813),"0000")</f>
        <v>Prop_0812</v>
      </c>
      <c r="C813" s="24" t="s">
        <v>872</v>
      </c>
      <c r="D813" s="69" t="s">
        <v>9453</v>
      </c>
      <c r="E813" s="70" t="s">
        <v>9454</v>
      </c>
      <c r="F813" s="17" t="s">
        <v>806</v>
      </c>
      <c r="G813" s="22" t="s">
        <v>1605</v>
      </c>
      <c r="H813" s="12" t="s">
        <v>9703</v>
      </c>
      <c r="I813" s="13" t="s">
        <v>6405</v>
      </c>
      <c r="J813" s="14" t="s">
        <v>798</v>
      </c>
      <c r="K813" s="15" t="s">
        <v>798</v>
      </c>
      <c r="L813" s="12" t="s">
        <v>5315</v>
      </c>
      <c r="M813" s="13" t="s">
        <v>5448</v>
      </c>
      <c r="N813" s="12" t="s">
        <v>803</v>
      </c>
      <c r="O813" s="13" t="s">
        <v>4970</v>
      </c>
      <c r="P813" s="17" t="s">
        <v>802</v>
      </c>
      <c r="Q813" s="21" t="s">
        <v>7695</v>
      </c>
      <c r="R813" s="17" t="s">
        <v>801</v>
      </c>
      <c r="S813" s="18" t="s">
        <v>3636</v>
      </c>
      <c r="T813" s="17" t="s">
        <v>800</v>
      </c>
      <c r="U813" s="18" t="s">
        <v>5257</v>
      </c>
      <c r="V813" s="17" t="s">
        <v>9418</v>
      </c>
      <c r="W813" s="18" t="s">
        <v>5314</v>
      </c>
      <c r="X813" s="69" t="s">
        <v>9453</v>
      </c>
      <c r="Y813" s="70" t="s">
        <v>9464</v>
      </c>
      <c r="Z813" s="73" t="s">
        <v>9486</v>
      </c>
      <c r="AA813" s="74" t="s">
        <v>9504</v>
      </c>
      <c r="AB813" s="73" t="s">
        <v>9486</v>
      </c>
      <c r="AC813" s="74" t="s">
        <v>9561</v>
      </c>
      <c r="AD813" s="73" t="s">
        <v>9578</v>
      </c>
      <c r="AE813" s="74" t="s">
        <v>9579</v>
      </c>
    </row>
    <row r="814" spans="1:31" ht="8.65" customHeight="1" x14ac:dyDescent="0.2">
      <c r="A814" s="76">
        <v>814</v>
      </c>
      <c r="B814" s="67" t="str">
        <f>MID(C814, FIND("Ifc.", C814) + 4, 4) &amp; "_" &amp; TEXT(COUNTIF($C$2:C814, C814),"0000")</f>
        <v>Prop_0813</v>
      </c>
      <c r="C814" s="24" t="s">
        <v>872</v>
      </c>
      <c r="D814" s="69" t="s">
        <v>9453</v>
      </c>
      <c r="E814" s="70" t="s">
        <v>9454</v>
      </c>
      <c r="F814" s="17" t="s">
        <v>806</v>
      </c>
      <c r="G814" s="22" t="s">
        <v>1390</v>
      </c>
      <c r="H814" s="12" t="s">
        <v>9703</v>
      </c>
      <c r="I814" s="13" t="s">
        <v>6310</v>
      </c>
      <c r="J814" s="14" t="s">
        <v>798</v>
      </c>
      <c r="K814" s="15" t="s">
        <v>798</v>
      </c>
      <c r="L814" s="12" t="s">
        <v>5315</v>
      </c>
      <c r="M814" s="13" t="s">
        <v>5426</v>
      </c>
      <c r="N814" s="12" t="s">
        <v>803</v>
      </c>
      <c r="O814" s="13" t="s">
        <v>4924</v>
      </c>
      <c r="P814" s="17" t="s">
        <v>802</v>
      </c>
      <c r="Q814" s="21" t="s">
        <v>7710</v>
      </c>
      <c r="R814" s="17" t="s">
        <v>801</v>
      </c>
      <c r="S814" s="18" t="s">
        <v>2560</v>
      </c>
      <c r="T814" s="17" t="s">
        <v>800</v>
      </c>
      <c r="U814" s="18" t="s">
        <v>5236</v>
      </c>
      <c r="V814" s="17" t="s">
        <v>9418</v>
      </c>
      <c r="W814" s="18" t="s">
        <v>5309</v>
      </c>
      <c r="X814" s="69" t="s">
        <v>9453</v>
      </c>
      <c r="Y814" s="70" t="s">
        <v>9462</v>
      </c>
      <c r="Z814" s="73" t="s">
        <v>9486</v>
      </c>
      <c r="AA814" s="74" t="s">
        <v>9504</v>
      </c>
      <c r="AB814" s="73" t="s">
        <v>9486</v>
      </c>
      <c r="AC814" s="74" t="s">
        <v>9562</v>
      </c>
      <c r="AD814" s="73" t="s">
        <v>9578</v>
      </c>
      <c r="AE814" s="74" t="s">
        <v>9579</v>
      </c>
    </row>
    <row r="815" spans="1:31" ht="8.65" customHeight="1" x14ac:dyDescent="0.2">
      <c r="A815" s="76">
        <v>815</v>
      </c>
      <c r="B815" s="67" t="str">
        <f>MID(C815, FIND("Ifc.", C815) + 4, 4) &amp; "_" &amp; TEXT(COUNTIF($C$2:C815, C815),"0000")</f>
        <v>Prop_0814</v>
      </c>
      <c r="C815" s="24" t="s">
        <v>872</v>
      </c>
      <c r="D815" s="69" t="s">
        <v>9453</v>
      </c>
      <c r="E815" s="70" t="s">
        <v>9454</v>
      </c>
      <c r="F815" s="17" t="s">
        <v>806</v>
      </c>
      <c r="G815" s="22" t="s">
        <v>2106</v>
      </c>
      <c r="H815" s="12" t="s">
        <v>9703</v>
      </c>
      <c r="I815" s="13" t="s">
        <v>6642</v>
      </c>
      <c r="J815" s="14" t="s">
        <v>798</v>
      </c>
      <c r="K815" s="15" t="s">
        <v>798</v>
      </c>
      <c r="L815" s="12" t="s">
        <v>5315</v>
      </c>
      <c r="M815" s="13" t="s">
        <v>5856</v>
      </c>
      <c r="N815" s="12" t="s">
        <v>803</v>
      </c>
      <c r="O815" s="13" t="s">
        <v>5100</v>
      </c>
      <c r="P815" s="17" t="s">
        <v>802</v>
      </c>
      <c r="Q815" s="21" t="s">
        <v>7960</v>
      </c>
      <c r="R815" s="17" t="s">
        <v>801</v>
      </c>
      <c r="S815" s="18" t="s">
        <v>2625</v>
      </c>
      <c r="T815" s="17" t="s">
        <v>800</v>
      </c>
      <c r="U815" s="18" t="s">
        <v>5240</v>
      </c>
      <c r="V815" s="17" t="s">
        <v>9418</v>
      </c>
      <c r="W815" s="18" t="s">
        <v>5309</v>
      </c>
      <c r="X815" s="69" t="s">
        <v>9453</v>
      </c>
      <c r="Y815" s="70" t="s">
        <v>9462</v>
      </c>
      <c r="Z815" s="73" t="s">
        <v>9486</v>
      </c>
      <c r="AA815" s="74" t="s">
        <v>9504</v>
      </c>
      <c r="AB815" s="73" t="s">
        <v>9486</v>
      </c>
      <c r="AC815" s="74" t="s">
        <v>9566</v>
      </c>
      <c r="AD815" s="73" t="s">
        <v>9578</v>
      </c>
      <c r="AE815" s="74" t="s">
        <v>9579</v>
      </c>
    </row>
    <row r="816" spans="1:31" ht="8.65" customHeight="1" x14ac:dyDescent="0.2">
      <c r="A816" s="76">
        <v>816</v>
      </c>
      <c r="B816" s="67" t="str">
        <f>MID(C816, FIND("Ifc.", C816) + 4, 4) &amp; "_" &amp; TEXT(COUNTIF($C$2:C816, C816),"0000")</f>
        <v>Prop_0815</v>
      </c>
      <c r="C816" s="24" t="s">
        <v>872</v>
      </c>
      <c r="D816" s="69" t="s">
        <v>9453</v>
      </c>
      <c r="E816" s="70" t="s">
        <v>9454</v>
      </c>
      <c r="F816" s="17" t="s">
        <v>806</v>
      </c>
      <c r="G816" s="22" t="s">
        <v>1377</v>
      </c>
      <c r="H816" s="12" t="s">
        <v>9703</v>
      </c>
      <c r="I816" s="13" t="s">
        <v>6296</v>
      </c>
      <c r="J816" s="14" t="s">
        <v>798</v>
      </c>
      <c r="K816" s="15" t="s">
        <v>798</v>
      </c>
      <c r="L816" s="12" t="s">
        <v>5315</v>
      </c>
      <c r="M816" s="13" t="s">
        <v>6031</v>
      </c>
      <c r="N816" s="12" t="s">
        <v>803</v>
      </c>
      <c r="O816" s="13" t="s">
        <v>4919</v>
      </c>
      <c r="P816" s="17" t="s">
        <v>802</v>
      </c>
      <c r="Q816" s="21" t="s">
        <v>7818</v>
      </c>
      <c r="R816" s="17" t="s">
        <v>801</v>
      </c>
      <c r="S816" s="18" t="s">
        <v>2623</v>
      </c>
      <c r="T816" s="17" t="s">
        <v>800</v>
      </c>
      <c r="U816" s="18" t="s">
        <v>5247</v>
      </c>
      <c r="V816" s="17" t="s">
        <v>9418</v>
      </c>
      <c r="W816" s="18" t="s">
        <v>5309</v>
      </c>
      <c r="X816" s="69" t="s">
        <v>9453</v>
      </c>
      <c r="Y816" s="70" t="s">
        <v>9462</v>
      </c>
      <c r="Z816" s="73" t="s">
        <v>9486</v>
      </c>
      <c r="AA816" s="74" t="s">
        <v>9504</v>
      </c>
      <c r="AB816" s="73" t="s">
        <v>9486</v>
      </c>
      <c r="AC816" s="74" t="s">
        <v>9566</v>
      </c>
      <c r="AD816" s="73" t="s">
        <v>9578</v>
      </c>
      <c r="AE816" s="74" t="s">
        <v>9579</v>
      </c>
    </row>
    <row r="817" spans="1:31" ht="8.65" customHeight="1" x14ac:dyDescent="0.2">
      <c r="A817" s="76">
        <v>817</v>
      </c>
      <c r="B817" s="67" t="str">
        <f>MID(C817, FIND("Ifc.", C817) + 4, 4) &amp; "_" &amp; TEXT(COUNTIF($C$2:C817, C817),"0000")</f>
        <v>Prop_0816</v>
      </c>
      <c r="C817" s="24" t="s">
        <v>872</v>
      </c>
      <c r="D817" s="69" t="s">
        <v>9453</v>
      </c>
      <c r="E817" s="70" t="s">
        <v>9454</v>
      </c>
      <c r="F817" s="17" t="s">
        <v>806</v>
      </c>
      <c r="G817" s="22" t="s">
        <v>1822</v>
      </c>
      <c r="H817" s="12" t="s">
        <v>9703</v>
      </c>
      <c r="I817" s="13" t="s">
        <v>7417</v>
      </c>
      <c r="J817" s="14" t="s">
        <v>798</v>
      </c>
      <c r="K817" s="15" t="s">
        <v>798</v>
      </c>
      <c r="L817" s="12" t="s">
        <v>5315</v>
      </c>
      <c r="M817" s="13" t="s">
        <v>6011</v>
      </c>
      <c r="N817" s="12" t="s">
        <v>803</v>
      </c>
      <c r="O817" s="13" t="s">
        <v>5027</v>
      </c>
      <c r="P817" s="17" t="s">
        <v>802</v>
      </c>
      <c r="Q817" s="21" t="s">
        <v>7705</v>
      </c>
      <c r="R817" s="17" t="s">
        <v>801</v>
      </c>
      <c r="S817" s="18" t="s">
        <v>2554</v>
      </c>
      <c r="T817" s="17" t="s">
        <v>800</v>
      </c>
      <c r="U817" s="18" t="s">
        <v>5233</v>
      </c>
      <c r="V817" s="17" t="s">
        <v>9418</v>
      </c>
      <c r="W817" s="18" t="s">
        <v>5310</v>
      </c>
      <c r="X817" s="69" t="s">
        <v>9453</v>
      </c>
      <c r="Y817" s="70" t="s">
        <v>9463</v>
      </c>
      <c r="Z817" s="73" t="s">
        <v>9486</v>
      </c>
      <c r="AA817" s="74" t="s">
        <v>9504</v>
      </c>
      <c r="AB817" s="73" t="s">
        <v>9486</v>
      </c>
      <c r="AC817" s="74" t="s">
        <v>9562</v>
      </c>
      <c r="AD817" s="73" t="s">
        <v>9578</v>
      </c>
      <c r="AE817" s="74" t="s">
        <v>9579</v>
      </c>
    </row>
    <row r="818" spans="1:31" ht="8.65" customHeight="1" x14ac:dyDescent="0.2">
      <c r="A818" s="76">
        <v>818</v>
      </c>
      <c r="B818" s="67" t="str">
        <f>MID(C818, FIND("Ifc.", C818) + 4, 4) &amp; "_" &amp; TEXT(COUNTIF($C$2:C818, C818),"0000")</f>
        <v>Prop_0817</v>
      </c>
      <c r="C818" s="24" t="s">
        <v>872</v>
      </c>
      <c r="D818" s="69" t="s">
        <v>9453</v>
      </c>
      <c r="E818" s="70" t="s">
        <v>9454</v>
      </c>
      <c r="F818" s="17" t="s">
        <v>806</v>
      </c>
      <c r="G818" s="22" t="s">
        <v>1585</v>
      </c>
      <c r="H818" s="12" t="s">
        <v>9703</v>
      </c>
      <c r="I818" s="13" t="s">
        <v>6897</v>
      </c>
      <c r="J818" s="14" t="s">
        <v>798</v>
      </c>
      <c r="K818" s="15" t="s">
        <v>798</v>
      </c>
      <c r="L818" s="12" t="s">
        <v>5315</v>
      </c>
      <c r="M818" s="13" t="s">
        <v>5897</v>
      </c>
      <c r="N818" s="12" t="s">
        <v>803</v>
      </c>
      <c r="O818" s="13" t="s">
        <v>4966</v>
      </c>
      <c r="P818" s="17" t="s">
        <v>802</v>
      </c>
      <c r="Q818" s="21" t="s">
        <v>7800</v>
      </c>
      <c r="R818" s="17" t="s">
        <v>801</v>
      </c>
      <c r="S818" s="18" t="s">
        <v>3636</v>
      </c>
      <c r="T818" s="17" t="s">
        <v>800</v>
      </c>
      <c r="U818" s="18" t="s">
        <v>5257</v>
      </c>
      <c r="V818" s="17" t="s">
        <v>9418</v>
      </c>
      <c r="W818" s="18" t="s">
        <v>5314</v>
      </c>
      <c r="X818" s="69" t="s">
        <v>9453</v>
      </c>
      <c r="Y818" s="70" t="s">
        <v>9464</v>
      </c>
      <c r="Z818" s="73" t="s">
        <v>9486</v>
      </c>
      <c r="AA818" s="74" t="s">
        <v>9504</v>
      </c>
      <c r="AB818" s="73" t="s">
        <v>9486</v>
      </c>
      <c r="AC818" s="74" t="s">
        <v>9561</v>
      </c>
      <c r="AD818" s="73" t="s">
        <v>9578</v>
      </c>
      <c r="AE818" s="74" t="s">
        <v>9579</v>
      </c>
    </row>
    <row r="819" spans="1:31" ht="8.65" customHeight="1" x14ac:dyDescent="0.2">
      <c r="A819" s="76">
        <v>819</v>
      </c>
      <c r="B819" s="67" t="str">
        <f>MID(C819, FIND("Ifc.", C819) + 4, 4) &amp; "_" &amp; TEXT(COUNTIF($C$2:C819, C819),"0000")</f>
        <v>Prop_0818</v>
      </c>
      <c r="C819" s="24" t="s">
        <v>872</v>
      </c>
      <c r="D819" s="69" t="s">
        <v>9453</v>
      </c>
      <c r="E819" s="70" t="s">
        <v>9454</v>
      </c>
      <c r="F819" s="17" t="s">
        <v>806</v>
      </c>
      <c r="G819" s="22" t="s">
        <v>1641</v>
      </c>
      <c r="H819" s="12" t="s">
        <v>9703</v>
      </c>
      <c r="I819" s="13" t="s">
        <v>6394</v>
      </c>
      <c r="J819" s="14" t="s">
        <v>798</v>
      </c>
      <c r="K819" s="15" t="s">
        <v>798</v>
      </c>
      <c r="L819" s="12" t="s">
        <v>5315</v>
      </c>
      <c r="M819" s="13" t="s">
        <v>5836</v>
      </c>
      <c r="N819" s="12" t="s">
        <v>803</v>
      </c>
      <c r="O819" s="13" t="s">
        <v>4979</v>
      </c>
      <c r="P819" s="17" t="s">
        <v>802</v>
      </c>
      <c r="Q819" s="21" t="s">
        <v>7788</v>
      </c>
      <c r="R819" s="17" t="s">
        <v>801</v>
      </c>
      <c r="S819" s="18" t="s">
        <v>3636</v>
      </c>
      <c r="T819" s="17" t="s">
        <v>800</v>
      </c>
      <c r="U819" s="18" t="s">
        <v>5257</v>
      </c>
      <c r="V819" s="17" t="s">
        <v>9418</v>
      </c>
      <c r="W819" s="18" t="s">
        <v>5314</v>
      </c>
      <c r="X819" s="69" t="s">
        <v>9453</v>
      </c>
      <c r="Y819" s="70" t="s">
        <v>9464</v>
      </c>
      <c r="Z819" s="73" t="s">
        <v>9486</v>
      </c>
      <c r="AA819" s="74" t="s">
        <v>9504</v>
      </c>
      <c r="AB819" s="73" t="s">
        <v>9486</v>
      </c>
      <c r="AC819" s="74" t="s">
        <v>9561</v>
      </c>
      <c r="AD819" s="73" t="s">
        <v>9578</v>
      </c>
      <c r="AE819" s="74" t="s">
        <v>9579</v>
      </c>
    </row>
    <row r="820" spans="1:31" ht="8.65" customHeight="1" x14ac:dyDescent="0.2">
      <c r="A820" s="76">
        <v>820</v>
      </c>
      <c r="B820" s="67" t="str">
        <f>MID(C820, FIND("Ifc.", C820) + 4, 4) &amp; "_" &amp; TEXT(COUNTIF($C$2:C820, C820),"0000")</f>
        <v>Prop_0819</v>
      </c>
      <c r="C820" s="24" t="s">
        <v>872</v>
      </c>
      <c r="D820" s="69" t="s">
        <v>9453</v>
      </c>
      <c r="E820" s="70" t="s">
        <v>9454</v>
      </c>
      <c r="F820" s="17" t="s">
        <v>806</v>
      </c>
      <c r="G820" s="22" t="s">
        <v>2035</v>
      </c>
      <c r="H820" s="12" t="s">
        <v>9703</v>
      </c>
      <c r="I820" s="13" t="s">
        <v>7424</v>
      </c>
      <c r="J820" s="14" t="s">
        <v>798</v>
      </c>
      <c r="K820" s="15" t="s">
        <v>798</v>
      </c>
      <c r="L820" s="12" t="s">
        <v>5315</v>
      </c>
      <c r="M820" s="13" t="s">
        <v>5481</v>
      </c>
      <c r="N820" s="12" t="s">
        <v>803</v>
      </c>
      <c r="O820" s="13" t="s">
        <v>5085</v>
      </c>
      <c r="P820" s="17" t="s">
        <v>802</v>
      </c>
      <c r="Q820" s="21" t="s">
        <v>7708</v>
      </c>
      <c r="R820" s="17" t="s">
        <v>801</v>
      </c>
      <c r="S820" s="18" t="s">
        <v>2584</v>
      </c>
      <c r="T820" s="17" t="s">
        <v>800</v>
      </c>
      <c r="U820" s="18" t="s">
        <v>5294</v>
      </c>
      <c r="V820" s="17" t="s">
        <v>9418</v>
      </c>
      <c r="W820" s="18" t="s">
        <v>5309</v>
      </c>
      <c r="X820" s="69" t="s">
        <v>9453</v>
      </c>
      <c r="Y820" s="70" t="s">
        <v>9462</v>
      </c>
      <c r="Z820" s="73" t="s">
        <v>9486</v>
      </c>
      <c r="AA820" s="74" t="s">
        <v>9504</v>
      </c>
      <c r="AB820" s="73" t="s">
        <v>9486</v>
      </c>
      <c r="AC820" s="74" t="s">
        <v>9566</v>
      </c>
      <c r="AD820" s="73" t="s">
        <v>9578</v>
      </c>
      <c r="AE820" s="74" t="s">
        <v>9579</v>
      </c>
    </row>
    <row r="821" spans="1:31" ht="8.65" customHeight="1" x14ac:dyDescent="0.2">
      <c r="A821" s="76">
        <v>821</v>
      </c>
      <c r="B821" s="67" t="str">
        <f>MID(C821, FIND("Ifc.", C821) + 4, 4) &amp; "_" &amp; TEXT(COUNTIF($C$2:C821, C821),"0000")</f>
        <v>Prop_0820</v>
      </c>
      <c r="C821" s="24" t="s">
        <v>872</v>
      </c>
      <c r="D821" s="69" t="s">
        <v>9453</v>
      </c>
      <c r="E821" s="70" t="s">
        <v>9454</v>
      </c>
      <c r="F821" s="17" t="s">
        <v>806</v>
      </c>
      <c r="G821" s="22" t="s">
        <v>1362</v>
      </c>
      <c r="H821" s="12" t="s">
        <v>9703</v>
      </c>
      <c r="I821" s="13" t="s">
        <v>6284</v>
      </c>
      <c r="J821" s="14" t="s">
        <v>798</v>
      </c>
      <c r="K821" s="15" t="s">
        <v>798</v>
      </c>
      <c r="L821" s="12" t="s">
        <v>5315</v>
      </c>
      <c r="M821" s="13" t="s">
        <v>6031</v>
      </c>
      <c r="N821" s="12" t="s">
        <v>803</v>
      </c>
      <c r="O821" s="13" t="s">
        <v>4919</v>
      </c>
      <c r="P821" s="17" t="s">
        <v>802</v>
      </c>
      <c r="Q821" s="21" t="s">
        <v>7818</v>
      </c>
      <c r="R821" s="17" t="s">
        <v>801</v>
      </c>
      <c r="S821" s="18" t="s">
        <v>2554</v>
      </c>
      <c r="T821" s="17" t="s">
        <v>800</v>
      </c>
      <c r="U821" s="18" t="s">
        <v>5233</v>
      </c>
      <c r="V821" s="17" t="s">
        <v>9418</v>
      </c>
      <c r="W821" s="18" t="s">
        <v>5309</v>
      </c>
      <c r="X821" s="69" t="s">
        <v>9453</v>
      </c>
      <c r="Y821" s="70" t="s">
        <v>9462</v>
      </c>
      <c r="Z821" s="73" t="s">
        <v>9486</v>
      </c>
      <c r="AA821" s="74" t="s">
        <v>9504</v>
      </c>
      <c r="AB821" s="73" t="s">
        <v>9486</v>
      </c>
      <c r="AC821" s="74" t="s">
        <v>9562</v>
      </c>
      <c r="AD821" s="73" t="s">
        <v>9578</v>
      </c>
      <c r="AE821" s="74" t="s">
        <v>9579</v>
      </c>
    </row>
    <row r="822" spans="1:31" ht="8.65" customHeight="1" x14ac:dyDescent="0.2">
      <c r="A822" s="76">
        <v>822</v>
      </c>
      <c r="B822" s="67" t="str">
        <f>MID(C822, FIND("Ifc.", C822) + 4, 4) &amp; "_" &amp; TEXT(COUNTIF($C$2:C822, C822),"0000")</f>
        <v>Prop_0821</v>
      </c>
      <c r="C822" s="24" t="s">
        <v>872</v>
      </c>
      <c r="D822" s="69" t="s">
        <v>9453</v>
      </c>
      <c r="E822" s="70" t="s">
        <v>9454</v>
      </c>
      <c r="F822" s="17" t="s">
        <v>806</v>
      </c>
      <c r="G822" s="22" t="s">
        <v>1105</v>
      </c>
      <c r="H822" s="12" t="s">
        <v>9703</v>
      </c>
      <c r="I822" s="13" t="s">
        <v>7149</v>
      </c>
      <c r="J822" s="14" t="s">
        <v>798</v>
      </c>
      <c r="K822" s="15" t="s">
        <v>798</v>
      </c>
      <c r="L822" s="12" t="s">
        <v>5315</v>
      </c>
      <c r="M822" s="13" t="s">
        <v>6037</v>
      </c>
      <c r="N822" s="12" t="s">
        <v>803</v>
      </c>
      <c r="O822" s="13" t="s">
        <v>4857</v>
      </c>
      <c r="P822" s="17" t="s">
        <v>802</v>
      </c>
      <c r="Q822" s="21" t="s">
        <v>7744</v>
      </c>
      <c r="R822" s="17" t="s">
        <v>801</v>
      </c>
      <c r="S822" s="18" t="s">
        <v>2619</v>
      </c>
      <c r="T822" s="17" t="s">
        <v>800</v>
      </c>
      <c r="U822" s="18" t="s">
        <v>5239</v>
      </c>
      <c r="V822" s="17" t="s">
        <v>9418</v>
      </c>
      <c r="W822" s="18" t="s">
        <v>5312</v>
      </c>
      <c r="X822" s="69" t="s">
        <v>9453</v>
      </c>
      <c r="Y822" s="70" t="s">
        <v>9465</v>
      </c>
      <c r="Z822" s="73" t="s">
        <v>9486</v>
      </c>
      <c r="AA822" s="74" t="s">
        <v>9504</v>
      </c>
      <c r="AB822" s="73" t="s">
        <v>9486</v>
      </c>
      <c r="AC822" s="74" t="s">
        <v>9566</v>
      </c>
      <c r="AD822" s="73" t="s">
        <v>9578</v>
      </c>
      <c r="AE822" s="74" t="s">
        <v>9579</v>
      </c>
    </row>
    <row r="823" spans="1:31" ht="8.65" customHeight="1" x14ac:dyDescent="0.2">
      <c r="A823" s="76">
        <v>823</v>
      </c>
      <c r="B823" s="67" t="str">
        <f>MID(C823, FIND("Ifc.", C823) + 4, 4) &amp; "_" &amp; TEXT(COUNTIF($C$2:C823, C823),"0000")</f>
        <v>Prop_0822</v>
      </c>
      <c r="C823" s="24" t="s">
        <v>872</v>
      </c>
      <c r="D823" s="69" t="s">
        <v>9453</v>
      </c>
      <c r="E823" s="70" t="s">
        <v>9454</v>
      </c>
      <c r="F823" s="17" t="s">
        <v>806</v>
      </c>
      <c r="G823" s="22" t="s">
        <v>1105</v>
      </c>
      <c r="H823" s="12" t="s">
        <v>9703</v>
      </c>
      <c r="I823" s="13" t="s">
        <v>6159</v>
      </c>
      <c r="J823" s="14" t="s">
        <v>798</v>
      </c>
      <c r="K823" s="15" t="s">
        <v>798</v>
      </c>
      <c r="L823" s="12" t="s">
        <v>5315</v>
      </c>
      <c r="M823" s="13" t="s">
        <v>5892</v>
      </c>
      <c r="N823" s="12" t="s">
        <v>803</v>
      </c>
      <c r="O823" s="13" t="s">
        <v>4961</v>
      </c>
      <c r="P823" s="17" t="s">
        <v>802</v>
      </c>
      <c r="Q823" s="21" t="s">
        <v>7745</v>
      </c>
      <c r="R823" s="17" t="s">
        <v>801</v>
      </c>
      <c r="S823" s="18" t="s">
        <v>3636</v>
      </c>
      <c r="T823" s="17" t="s">
        <v>800</v>
      </c>
      <c r="U823" s="18" t="s">
        <v>5257</v>
      </c>
      <c r="V823" s="17" t="s">
        <v>9418</v>
      </c>
      <c r="W823" s="18" t="s">
        <v>5314</v>
      </c>
      <c r="X823" s="69" t="s">
        <v>9453</v>
      </c>
      <c r="Y823" s="70" t="s">
        <v>9464</v>
      </c>
      <c r="Z823" s="73" t="s">
        <v>9486</v>
      </c>
      <c r="AA823" s="74" t="s">
        <v>9504</v>
      </c>
      <c r="AB823" s="73" t="s">
        <v>9486</v>
      </c>
      <c r="AC823" s="74" t="s">
        <v>9561</v>
      </c>
      <c r="AD823" s="73" t="s">
        <v>9578</v>
      </c>
      <c r="AE823" s="74" t="s">
        <v>9579</v>
      </c>
    </row>
    <row r="824" spans="1:31" ht="8.65" customHeight="1" x14ac:dyDescent="0.2">
      <c r="A824" s="76">
        <v>824</v>
      </c>
      <c r="B824" s="67" t="str">
        <f>MID(C824, FIND("Ifc.", C824) + 4, 4) &amp; "_" &amp; TEXT(COUNTIF($C$2:C824, C824),"0000")</f>
        <v>Prop_0823</v>
      </c>
      <c r="C824" s="24" t="s">
        <v>872</v>
      </c>
      <c r="D824" s="69" t="s">
        <v>9453</v>
      </c>
      <c r="E824" s="70" t="s">
        <v>9454</v>
      </c>
      <c r="F824" s="17" t="s">
        <v>806</v>
      </c>
      <c r="G824" s="22" t="s">
        <v>1010</v>
      </c>
      <c r="H824" s="12" t="s">
        <v>9703</v>
      </c>
      <c r="I824" s="13" t="s">
        <v>6116</v>
      </c>
      <c r="J824" s="14" t="s">
        <v>798</v>
      </c>
      <c r="K824" s="15" t="s">
        <v>798</v>
      </c>
      <c r="L824" s="12" t="s">
        <v>5315</v>
      </c>
      <c r="M824" s="13" t="s">
        <v>5376</v>
      </c>
      <c r="N824" s="12" t="s">
        <v>803</v>
      </c>
      <c r="O824" s="13" t="s">
        <v>4833</v>
      </c>
      <c r="P824" s="17" t="s">
        <v>802</v>
      </c>
      <c r="Q824" s="21" t="s">
        <v>7961</v>
      </c>
      <c r="R824" s="17" t="s">
        <v>801</v>
      </c>
      <c r="S824" s="18" t="s">
        <v>2554</v>
      </c>
      <c r="T824" s="17" t="s">
        <v>800</v>
      </c>
      <c r="U824" s="18" t="s">
        <v>5233</v>
      </c>
      <c r="V824" s="17" t="s">
        <v>9418</v>
      </c>
      <c r="W824" s="18" t="s">
        <v>5310</v>
      </c>
      <c r="X824" s="69" t="s">
        <v>9453</v>
      </c>
      <c r="Y824" s="70" t="s">
        <v>9463</v>
      </c>
      <c r="Z824" s="73" t="s">
        <v>9486</v>
      </c>
      <c r="AA824" s="74" t="s">
        <v>9504</v>
      </c>
      <c r="AB824" s="73" t="s">
        <v>9486</v>
      </c>
      <c r="AC824" s="74" t="s">
        <v>9562</v>
      </c>
      <c r="AD824" s="73" t="s">
        <v>9578</v>
      </c>
      <c r="AE824" s="74" t="s">
        <v>9579</v>
      </c>
    </row>
    <row r="825" spans="1:31" ht="8.65" customHeight="1" x14ac:dyDescent="0.2">
      <c r="A825" s="76">
        <v>825</v>
      </c>
      <c r="B825" s="67" t="str">
        <f>MID(C825, FIND("Ifc.", C825) + 4, 4) &amp; "_" &amp; TEXT(COUNTIF($C$2:C825, C825),"0000")</f>
        <v>Prop_0824</v>
      </c>
      <c r="C825" s="24" t="s">
        <v>872</v>
      </c>
      <c r="D825" s="69" t="s">
        <v>9453</v>
      </c>
      <c r="E825" s="70" t="s">
        <v>9454</v>
      </c>
      <c r="F825" s="17" t="s">
        <v>806</v>
      </c>
      <c r="G825" s="22" t="s">
        <v>2331</v>
      </c>
      <c r="H825" s="12" t="s">
        <v>9703</v>
      </c>
      <c r="I825" s="13" t="s">
        <v>6730</v>
      </c>
      <c r="J825" s="14" t="s">
        <v>798</v>
      </c>
      <c r="K825" s="15" t="s">
        <v>798</v>
      </c>
      <c r="L825" s="12" t="s">
        <v>5315</v>
      </c>
      <c r="M825" s="13" t="s">
        <v>5557</v>
      </c>
      <c r="N825" s="12" t="s">
        <v>803</v>
      </c>
      <c r="O825" s="13" t="s">
        <v>5170</v>
      </c>
      <c r="P825" s="17" t="s">
        <v>802</v>
      </c>
      <c r="Q825" s="21" t="s">
        <v>7768</v>
      </c>
      <c r="R825" s="17" t="s">
        <v>801</v>
      </c>
      <c r="S825" s="18" t="s">
        <v>2560</v>
      </c>
      <c r="T825" s="17" t="s">
        <v>800</v>
      </c>
      <c r="U825" s="18" t="s">
        <v>5236</v>
      </c>
      <c r="V825" s="17" t="s">
        <v>9418</v>
      </c>
      <c r="W825" s="18" t="s">
        <v>5309</v>
      </c>
      <c r="X825" s="69" t="s">
        <v>9453</v>
      </c>
      <c r="Y825" s="70" t="s">
        <v>9462</v>
      </c>
      <c r="Z825" s="73" t="s">
        <v>9486</v>
      </c>
      <c r="AA825" s="74" t="s">
        <v>9504</v>
      </c>
      <c r="AB825" s="73" t="s">
        <v>9486</v>
      </c>
      <c r="AC825" s="74" t="s">
        <v>9562</v>
      </c>
      <c r="AD825" s="73" t="s">
        <v>9578</v>
      </c>
      <c r="AE825" s="74" t="s">
        <v>9579</v>
      </c>
    </row>
    <row r="826" spans="1:31" ht="8.65" customHeight="1" x14ac:dyDescent="0.2">
      <c r="A826" s="76">
        <v>826</v>
      </c>
      <c r="B826" s="67" t="str">
        <f>MID(C826, FIND("Ifc.", C826) + 4, 4) &amp; "_" &amp; TEXT(COUNTIF($C$2:C826, C826),"0000")</f>
        <v>Prop_0825</v>
      </c>
      <c r="C826" s="24" t="s">
        <v>872</v>
      </c>
      <c r="D826" s="69" t="s">
        <v>9453</v>
      </c>
      <c r="E826" s="70" t="s">
        <v>9454</v>
      </c>
      <c r="F826" s="17" t="s">
        <v>806</v>
      </c>
      <c r="G826" s="22" t="s">
        <v>1730</v>
      </c>
      <c r="H826" s="12" t="s">
        <v>9703</v>
      </c>
      <c r="I826" s="13" t="s">
        <v>6456</v>
      </c>
      <c r="J826" s="14" t="s">
        <v>798</v>
      </c>
      <c r="K826" s="15" t="s">
        <v>798</v>
      </c>
      <c r="L826" s="12" t="s">
        <v>5315</v>
      </c>
      <c r="M826" s="13" t="s">
        <v>5931</v>
      </c>
      <c r="N826" s="12" t="s">
        <v>803</v>
      </c>
      <c r="O826" s="13" t="s">
        <v>5004</v>
      </c>
      <c r="P826" s="17" t="s">
        <v>802</v>
      </c>
      <c r="Q826" s="21" t="s">
        <v>7689</v>
      </c>
      <c r="R826" s="17" t="s">
        <v>801</v>
      </c>
      <c r="S826" s="18" t="s">
        <v>2611</v>
      </c>
      <c r="T826" s="17" t="s">
        <v>800</v>
      </c>
      <c r="U826" s="18" t="s">
        <v>5255</v>
      </c>
      <c r="V826" s="17" t="s">
        <v>9418</v>
      </c>
      <c r="W826" s="18" t="s">
        <v>5309</v>
      </c>
      <c r="X826" s="69" t="s">
        <v>9453</v>
      </c>
      <c r="Y826" s="70" t="s">
        <v>9462</v>
      </c>
      <c r="Z826" s="73" t="s">
        <v>9486</v>
      </c>
      <c r="AA826" s="74" t="s">
        <v>9504</v>
      </c>
      <c r="AB826" s="73" t="s">
        <v>9486</v>
      </c>
      <c r="AC826" s="74" t="s">
        <v>9566</v>
      </c>
      <c r="AD826" s="73" t="s">
        <v>9578</v>
      </c>
      <c r="AE826" s="74" t="s">
        <v>9579</v>
      </c>
    </row>
    <row r="827" spans="1:31" ht="8.65" customHeight="1" x14ac:dyDescent="0.2">
      <c r="A827" s="76">
        <v>827</v>
      </c>
      <c r="B827" s="67" t="str">
        <f>MID(C827, FIND("Ifc.", C827) + 4, 4) &amp; "_" &amp; TEXT(COUNTIF($C$2:C827, C827),"0000")</f>
        <v>Prop_0826</v>
      </c>
      <c r="C827" s="24" t="s">
        <v>872</v>
      </c>
      <c r="D827" s="69" t="s">
        <v>9453</v>
      </c>
      <c r="E827" s="70" t="s">
        <v>9454</v>
      </c>
      <c r="F827" s="17" t="s">
        <v>806</v>
      </c>
      <c r="G827" s="22" t="s">
        <v>2477</v>
      </c>
      <c r="H827" s="12" t="s">
        <v>9703</v>
      </c>
      <c r="I827" s="13" t="s">
        <v>6812</v>
      </c>
      <c r="J827" s="14" t="s">
        <v>798</v>
      </c>
      <c r="K827" s="15" t="s">
        <v>798</v>
      </c>
      <c r="L827" s="12" t="s">
        <v>5315</v>
      </c>
      <c r="M827" s="13" t="s">
        <v>5575</v>
      </c>
      <c r="N827" s="12" t="s">
        <v>803</v>
      </c>
      <c r="O827" s="13" t="s">
        <v>5213</v>
      </c>
      <c r="P827" s="17" t="s">
        <v>802</v>
      </c>
      <c r="Q827" s="21" t="s">
        <v>7690</v>
      </c>
      <c r="R827" s="17" t="s">
        <v>801</v>
      </c>
      <c r="S827" s="18" t="s">
        <v>2611</v>
      </c>
      <c r="T827" s="17" t="s">
        <v>800</v>
      </c>
      <c r="U827" s="18" t="s">
        <v>5255</v>
      </c>
      <c r="V827" s="17" t="s">
        <v>9418</v>
      </c>
      <c r="W827" s="18" t="s">
        <v>5309</v>
      </c>
      <c r="X827" s="69" t="s">
        <v>9453</v>
      </c>
      <c r="Y827" s="70" t="s">
        <v>9462</v>
      </c>
      <c r="Z827" s="73" t="s">
        <v>9486</v>
      </c>
      <c r="AA827" s="74" t="s">
        <v>9504</v>
      </c>
      <c r="AB827" s="73" t="s">
        <v>9486</v>
      </c>
      <c r="AC827" s="74" t="s">
        <v>9566</v>
      </c>
      <c r="AD827" s="73" t="s">
        <v>9578</v>
      </c>
      <c r="AE827" s="74" t="s">
        <v>9579</v>
      </c>
    </row>
    <row r="828" spans="1:31" ht="8.65" customHeight="1" x14ac:dyDescent="0.2">
      <c r="A828" s="76">
        <v>828</v>
      </c>
      <c r="B828" s="67" t="str">
        <f>MID(C828, FIND("Ifc.", C828) + 4, 4) &amp; "_" &amp; TEXT(COUNTIF($C$2:C828, C828),"0000")</f>
        <v>Prop_0827</v>
      </c>
      <c r="C828" s="24" t="s">
        <v>872</v>
      </c>
      <c r="D828" s="69" t="s">
        <v>9453</v>
      </c>
      <c r="E828" s="70" t="s">
        <v>9454</v>
      </c>
      <c r="F828" s="17" t="s">
        <v>806</v>
      </c>
      <c r="G828" s="22" t="s">
        <v>1033</v>
      </c>
      <c r="H828" s="12" t="s">
        <v>9703</v>
      </c>
      <c r="I828" s="13" t="s">
        <v>7113</v>
      </c>
      <c r="J828" s="14" t="s">
        <v>798</v>
      </c>
      <c r="K828" s="15" t="s">
        <v>798</v>
      </c>
      <c r="L828" s="12" t="s">
        <v>5315</v>
      </c>
      <c r="M828" s="13" t="s">
        <v>5385</v>
      </c>
      <c r="N828" s="12" t="s">
        <v>803</v>
      </c>
      <c r="O828" s="13" t="s">
        <v>4842</v>
      </c>
      <c r="P828" s="17" t="s">
        <v>802</v>
      </c>
      <c r="Q828" s="21" t="s">
        <v>7679</v>
      </c>
      <c r="R828" s="17" t="s">
        <v>801</v>
      </c>
      <c r="S828" s="18" t="s">
        <v>2585</v>
      </c>
      <c r="T828" s="17" t="s">
        <v>800</v>
      </c>
      <c r="U828" s="18" t="s">
        <v>5238</v>
      </c>
      <c r="V828" s="17" t="s">
        <v>9418</v>
      </c>
      <c r="W828" s="18" t="s">
        <v>5309</v>
      </c>
      <c r="X828" s="69" t="s">
        <v>9453</v>
      </c>
      <c r="Y828" s="70" t="s">
        <v>9462</v>
      </c>
      <c r="Z828" s="73" t="s">
        <v>9486</v>
      </c>
      <c r="AA828" s="74" t="s">
        <v>9504</v>
      </c>
      <c r="AB828" s="73" t="s">
        <v>9486</v>
      </c>
      <c r="AC828" s="74" t="s">
        <v>9566</v>
      </c>
      <c r="AD828" s="73" t="s">
        <v>9578</v>
      </c>
      <c r="AE828" s="74" t="s">
        <v>9704</v>
      </c>
    </row>
    <row r="829" spans="1:31" ht="8.65" customHeight="1" x14ac:dyDescent="0.2">
      <c r="A829" s="76">
        <v>829</v>
      </c>
      <c r="B829" s="67" t="str">
        <f>MID(C829, FIND("Ifc.", C829) + 4, 4) &amp; "_" &amp; TEXT(COUNTIF($C$2:C829, C829),"0000")</f>
        <v>Prop_0828</v>
      </c>
      <c r="C829" s="24" t="s">
        <v>872</v>
      </c>
      <c r="D829" s="69" t="s">
        <v>9453</v>
      </c>
      <c r="E829" s="70" t="s">
        <v>9454</v>
      </c>
      <c r="F829" s="17" t="s">
        <v>806</v>
      </c>
      <c r="G829" s="22" t="s">
        <v>2042</v>
      </c>
      <c r="H829" s="12" t="s">
        <v>9703</v>
      </c>
      <c r="I829" s="13" t="s">
        <v>6927</v>
      </c>
      <c r="J829" s="14" t="s">
        <v>798</v>
      </c>
      <c r="K829" s="15" t="s">
        <v>798</v>
      </c>
      <c r="L829" s="12" t="s">
        <v>5315</v>
      </c>
      <c r="M829" s="13" t="s">
        <v>5481</v>
      </c>
      <c r="N829" s="12" t="s">
        <v>803</v>
      </c>
      <c r="O829" s="13" t="s">
        <v>5085</v>
      </c>
      <c r="P829" s="17" t="s">
        <v>802</v>
      </c>
      <c r="Q829" s="21" t="s">
        <v>7708</v>
      </c>
      <c r="R829" s="17" t="s">
        <v>801</v>
      </c>
      <c r="S829" s="18" t="s">
        <v>2585</v>
      </c>
      <c r="T829" s="17" t="s">
        <v>800</v>
      </c>
      <c r="U829" s="18" t="s">
        <v>5238</v>
      </c>
      <c r="V829" s="17" t="s">
        <v>9418</v>
      </c>
      <c r="W829" s="18" t="s">
        <v>5309</v>
      </c>
      <c r="X829" s="69" t="s">
        <v>9453</v>
      </c>
      <c r="Y829" s="70" t="s">
        <v>9462</v>
      </c>
      <c r="Z829" s="73" t="s">
        <v>9486</v>
      </c>
      <c r="AA829" s="74" t="s">
        <v>9504</v>
      </c>
      <c r="AB829" s="73" t="s">
        <v>9486</v>
      </c>
      <c r="AC829" s="74" t="s">
        <v>9566</v>
      </c>
      <c r="AD829" s="73" t="s">
        <v>9578</v>
      </c>
      <c r="AE829" s="74" t="s">
        <v>9579</v>
      </c>
    </row>
    <row r="830" spans="1:31" ht="8.65" customHeight="1" x14ac:dyDescent="0.2">
      <c r="A830" s="76">
        <v>830</v>
      </c>
      <c r="B830" s="67" t="str">
        <f>MID(C830, FIND("Ifc.", C830) + 4, 4) &amp; "_" &amp; TEXT(COUNTIF($C$2:C830, C830),"0000")</f>
        <v>Prop_0829</v>
      </c>
      <c r="C830" s="24" t="s">
        <v>872</v>
      </c>
      <c r="D830" s="69" t="s">
        <v>9453</v>
      </c>
      <c r="E830" s="70" t="s">
        <v>9454</v>
      </c>
      <c r="F830" s="17" t="s">
        <v>806</v>
      </c>
      <c r="G830" s="22" t="s">
        <v>2287</v>
      </c>
      <c r="H830" s="12" t="s">
        <v>9703</v>
      </c>
      <c r="I830" s="13" t="s">
        <v>6705</v>
      </c>
      <c r="J830" s="14" t="s">
        <v>798</v>
      </c>
      <c r="K830" s="15" t="s">
        <v>798</v>
      </c>
      <c r="L830" s="12" t="s">
        <v>5315</v>
      </c>
      <c r="M830" s="13" t="s">
        <v>5550</v>
      </c>
      <c r="N830" s="12" t="s">
        <v>803</v>
      </c>
      <c r="O830" s="13" t="s">
        <v>5162</v>
      </c>
      <c r="P830" s="17" t="s">
        <v>802</v>
      </c>
      <c r="Q830" s="21" t="s">
        <v>7870</v>
      </c>
      <c r="R830" s="17" t="s">
        <v>801</v>
      </c>
      <c r="S830" s="18" t="s">
        <v>2585</v>
      </c>
      <c r="T830" s="17" t="s">
        <v>800</v>
      </c>
      <c r="U830" s="18" t="s">
        <v>5238</v>
      </c>
      <c r="V830" s="17" t="s">
        <v>9418</v>
      </c>
      <c r="W830" s="18" t="s">
        <v>5309</v>
      </c>
      <c r="X830" s="69" t="s">
        <v>9453</v>
      </c>
      <c r="Y830" s="70" t="s">
        <v>9462</v>
      </c>
      <c r="Z830" s="73" t="s">
        <v>9486</v>
      </c>
      <c r="AA830" s="74" t="s">
        <v>9504</v>
      </c>
      <c r="AB830" s="73" t="s">
        <v>9486</v>
      </c>
      <c r="AC830" s="74" t="s">
        <v>9566</v>
      </c>
      <c r="AD830" s="73" t="s">
        <v>9578</v>
      </c>
      <c r="AE830" s="74" t="s">
        <v>9579</v>
      </c>
    </row>
    <row r="831" spans="1:31" ht="8.65" customHeight="1" x14ac:dyDescent="0.2">
      <c r="A831" s="76">
        <v>831</v>
      </c>
      <c r="B831" s="67" t="str">
        <f>MID(C831, FIND("Ifc.", C831) + 4, 4) &amp; "_" &amp; TEXT(COUNTIF($C$2:C831, C831),"0000")</f>
        <v>Prop_0830</v>
      </c>
      <c r="C831" s="24" t="s">
        <v>872</v>
      </c>
      <c r="D831" s="69" t="s">
        <v>9453</v>
      </c>
      <c r="E831" s="70" t="s">
        <v>9454</v>
      </c>
      <c r="F831" s="17" t="s">
        <v>806</v>
      </c>
      <c r="G831" s="22" t="s">
        <v>1705</v>
      </c>
      <c r="H831" s="12" t="s">
        <v>9703</v>
      </c>
      <c r="I831" s="13" t="s">
        <v>7016</v>
      </c>
      <c r="J831" s="14" t="s">
        <v>798</v>
      </c>
      <c r="K831" s="15" t="s">
        <v>798</v>
      </c>
      <c r="L831" s="12" t="s">
        <v>5315</v>
      </c>
      <c r="M831" s="13" t="s">
        <v>5930</v>
      </c>
      <c r="N831" s="12" t="s">
        <v>803</v>
      </c>
      <c r="O831" s="13" t="s">
        <v>5003</v>
      </c>
      <c r="P831" s="17" t="s">
        <v>802</v>
      </c>
      <c r="Q831" s="21" t="s">
        <v>7925</v>
      </c>
      <c r="R831" s="17" t="s">
        <v>801</v>
      </c>
      <c r="S831" s="18" t="s">
        <v>2585</v>
      </c>
      <c r="T831" s="17" t="s">
        <v>800</v>
      </c>
      <c r="U831" s="18" t="s">
        <v>5238</v>
      </c>
      <c r="V831" s="17" t="s">
        <v>9418</v>
      </c>
      <c r="W831" s="18" t="s">
        <v>5309</v>
      </c>
      <c r="X831" s="69" t="s">
        <v>9453</v>
      </c>
      <c r="Y831" s="70" t="s">
        <v>9462</v>
      </c>
      <c r="Z831" s="73" t="s">
        <v>9486</v>
      </c>
      <c r="AA831" s="74" t="s">
        <v>9504</v>
      </c>
      <c r="AB831" s="73" t="s">
        <v>9486</v>
      </c>
      <c r="AC831" s="74" t="s">
        <v>9566</v>
      </c>
      <c r="AD831" s="73" t="s">
        <v>9578</v>
      </c>
      <c r="AE831" s="74" t="s">
        <v>9704</v>
      </c>
    </row>
    <row r="832" spans="1:31" ht="8.65" customHeight="1" x14ac:dyDescent="0.2">
      <c r="A832" s="76">
        <v>832</v>
      </c>
      <c r="B832" s="67" t="str">
        <f>MID(C832, FIND("Ifc.", C832) + 4, 4) &amp; "_" &amp; TEXT(COUNTIF($C$2:C832, C832),"0000")</f>
        <v>Prop_0831</v>
      </c>
      <c r="C832" s="24" t="s">
        <v>872</v>
      </c>
      <c r="D832" s="69" t="s">
        <v>9453</v>
      </c>
      <c r="E832" s="70" t="s">
        <v>9454</v>
      </c>
      <c r="F832" s="17" t="s">
        <v>806</v>
      </c>
      <c r="G832" s="22" t="s">
        <v>1705</v>
      </c>
      <c r="H832" s="12" t="s">
        <v>9703</v>
      </c>
      <c r="I832" s="13" t="s">
        <v>7016</v>
      </c>
      <c r="J832" s="14" t="s">
        <v>798</v>
      </c>
      <c r="K832" s="15" t="s">
        <v>798</v>
      </c>
      <c r="L832" s="12" t="s">
        <v>5315</v>
      </c>
      <c r="M832" s="13" t="s">
        <v>5902</v>
      </c>
      <c r="N832" s="12" t="s">
        <v>803</v>
      </c>
      <c r="O832" s="13" t="s">
        <v>5001</v>
      </c>
      <c r="P832" s="17" t="s">
        <v>802</v>
      </c>
      <c r="Q832" s="21" t="s">
        <v>7926</v>
      </c>
      <c r="R832" s="17" t="s">
        <v>801</v>
      </c>
      <c r="S832" s="18" t="s">
        <v>2585</v>
      </c>
      <c r="T832" s="17" t="s">
        <v>800</v>
      </c>
      <c r="U832" s="18" t="s">
        <v>5238</v>
      </c>
      <c r="V832" s="17" t="s">
        <v>9418</v>
      </c>
      <c r="W832" s="18" t="s">
        <v>5309</v>
      </c>
      <c r="X832" s="69" t="s">
        <v>9453</v>
      </c>
      <c r="Y832" s="70" t="s">
        <v>9462</v>
      </c>
      <c r="Z832" s="73" t="s">
        <v>9486</v>
      </c>
      <c r="AA832" s="74" t="s">
        <v>9504</v>
      </c>
      <c r="AB832" s="73" t="s">
        <v>9486</v>
      </c>
      <c r="AC832" s="74" t="s">
        <v>9566</v>
      </c>
      <c r="AD832" s="73" t="s">
        <v>9578</v>
      </c>
      <c r="AE832" s="74" t="s">
        <v>9704</v>
      </c>
    </row>
    <row r="833" spans="1:31" ht="8.65" customHeight="1" x14ac:dyDescent="0.2">
      <c r="A833" s="76">
        <v>833</v>
      </c>
      <c r="B833" s="67" t="str">
        <f>MID(C833, FIND("Ifc.", C833) + 4, 4) &amp; "_" &amp; TEXT(COUNTIF($C$2:C833, C833),"0000")</f>
        <v>Prop_0832</v>
      </c>
      <c r="C833" s="24" t="s">
        <v>872</v>
      </c>
      <c r="D833" s="69" t="s">
        <v>9453</v>
      </c>
      <c r="E833" s="70" t="s">
        <v>9454</v>
      </c>
      <c r="F833" s="17" t="s">
        <v>806</v>
      </c>
      <c r="G833" s="22" t="s">
        <v>2048</v>
      </c>
      <c r="H833" s="12" t="s">
        <v>9703</v>
      </c>
      <c r="I833" s="13" t="s">
        <v>7099</v>
      </c>
      <c r="J833" s="14" t="s">
        <v>798</v>
      </c>
      <c r="K833" s="15" t="s">
        <v>798</v>
      </c>
      <c r="L833" s="12" t="s">
        <v>5315</v>
      </c>
      <c r="M833" s="13" t="s">
        <v>5481</v>
      </c>
      <c r="N833" s="12" t="s">
        <v>803</v>
      </c>
      <c r="O833" s="13" t="s">
        <v>5085</v>
      </c>
      <c r="P833" s="17" t="s">
        <v>802</v>
      </c>
      <c r="Q833" s="21" t="s">
        <v>7708</v>
      </c>
      <c r="R833" s="17" t="s">
        <v>801</v>
      </c>
      <c r="S833" s="18" t="s">
        <v>2585</v>
      </c>
      <c r="T833" s="17" t="s">
        <v>800</v>
      </c>
      <c r="U833" s="18" t="s">
        <v>5238</v>
      </c>
      <c r="V833" s="17" t="s">
        <v>9418</v>
      </c>
      <c r="W833" s="18" t="s">
        <v>5309</v>
      </c>
      <c r="X833" s="69" t="s">
        <v>9453</v>
      </c>
      <c r="Y833" s="70" t="s">
        <v>9462</v>
      </c>
      <c r="Z833" s="73" t="s">
        <v>9486</v>
      </c>
      <c r="AA833" s="74" t="s">
        <v>9504</v>
      </c>
      <c r="AB833" s="73" t="s">
        <v>9486</v>
      </c>
      <c r="AC833" s="74" t="s">
        <v>9566</v>
      </c>
      <c r="AD833" s="73" t="s">
        <v>9578</v>
      </c>
      <c r="AE833" s="74" t="s">
        <v>9579</v>
      </c>
    </row>
    <row r="834" spans="1:31" ht="8.65" customHeight="1" x14ac:dyDescent="0.2">
      <c r="A834" s="76">
        <v>834</v>
      </c>
      <c r="B834" s="67" t="str">
        <f>MID(C834, FIND("Ifc.", C834) + 4, 4) &amp; "_" &amp; TEXT(COUNTIF($C$2:C834, C834),"0000")</f>
        <v>Prop_0833</v>
      </c>
      <c r="C834" s="24" t="s">
        <v>872</v>
      </c>
      <c r="D834" s="69" t="s">
        <v>9453</v>
      </c>
      <c r="E834" s="70" t="s">
        <v>9454</v>
      </c>
      <c r="F834" s="17" t="s">
        <v>806</v>
      </c>
      <c r="G834" s="22" t="s">
        <v>2242</v>
      </c>
      <c r="H834" s="12" t="s">
        <v>9703</v>
      </c>
      <c r="I834" s="13" t="s">
        <v>6691</v>
      </c>
      <c r="J834" s="14" t="s">
        <v>798</v>
      </c>
      <c r="K834" s="15" t="s">
        <v>798</v>
      </c>
      <c r="L834" s="12" t="s">
        <v>5315</v>
      </c>
      <c r="M834" s="13" t="s">
        <v>5518</v>
      </c>
      <c r="N834" s="12" t="s">
        <v>803</v>
      </c>
      <c r="O834" s="13" t="s">
        <v>5133</v>
      </c>
      <c r="P834" s="17" t="s">
        <v>802</v>
      </c>
      <c r="Q834" s="21" t="s">
        <v>7719</v>
      </c>
      <c r="R834" s="17" t="s">
        <v>801</v>
      </c>
      <c r="S834" s="18" t="s">
        <v>2585</v>
      </c>
      <c r="T834" s="17" t="s">
        <v>800</v>
      </c>
      <c r="U834" s="18" t="s">
        <v>5238</v>
      </c>
      <c r="V834" s="17" t="s">
        <v>9418</v>
      </c>
      <c r="W834" s="18" t="s">
        <v>5309</v>
      </c>
      <c r="X834" s="69" t="s">
        <v>9453</v>
      </c>
      <c r="Y834" s="70" t="s">
        <v>9462</v>
      </c>
      <c r="Z834" s="73" t="s">
        <v>9486</v>
      </c>
      <c r="AA834" s="74" t="s">
        <v>9504</v>
      </c>
      <c r="AB834" s="73" t="s">
        <v>9486</v>
      </c>
      <c r="AC834" s="74" t="s">
        <v>9566</v>
      </c>
      <c r="AD834" s="73" t="s">
        <v>9578</v>
      </c>
      <c r="AE834" s="74" t="s">
        <v>9579</v>
      </c>
    </row>
    <row r="835" spans="1:31" ht="8.65" customHeight="1" x14ac:dyDescent="0.2">
      <c r="A835" s="76">
        <v>835</v>
      </c>
      <c r="B835" s="67" t="str">
        <f>MID(C835, FIND("Ifc.", C835) + 4, 4) &amp; "_" &amp; TEXT(COUNTIF($C$2:C835, C835),"0000")</f>
        <v>Prop_0834</v>
      </c>
      <c r="C835" s="24" t="s">
        <v>872</v>
      </c>
      <c r="D835" s="69" t="s">
        <v>9453</v>
      </c>
      <c r="E835" s="70" t="s">
        <v>9454</v>
      </c>
      <c r="F835" s="17" t="s">
        <v>806</v>
      </c>
      <c r="G835" s="22" t="s">
        <v>2284</v>
      </c>
      <c r="H835" s="12" t="s">
        <v>9703</v>
      </c>
      <c r="I835" s="13" t="s">
        <v>6704</v>
      </c>
      <c r="J835" s="14" t="s">
        <v>798</v>
      </c>
      <c r="K835" s="15" t="s">
        <v>798</v>
      </c>
      <c r="L835" s="12" t="s">
        <v>5315</v>
      </c>
      <c r="M835" s="13" t="s">
        <v>5550</v>
      </c>
      <c r="N835" s="12" t="s">
        <v>803</v>
      </c>
      <c r="O835" s="13" t="s">
        <v>5162</v>
      </c>
      <c r="P835" s="17" t="s">
        <v>802</v>
      </c>
      <c r="Q835" s="21" t="s">
        <v>7870</v>
      </c>
      <c r="R835" s="17" t="s">
        <v>801</v>
      </c>
      <c r="S835" s="18" t="s">
        <v>2585</v>
      </c>
      <c r="T835" s="17" t="s">
        <v>800</v>
      </c>
      <c r="U835" s="18" t="s">
        <v>5238</v>
      </c>
      <c r="V835" s="17" t="s">
        <v>9418</v>
      </c>
      <c r="W835" s="18" t="s">
        <v>5309</v>
      </c>
      <c r="X835" s="69" t="s">
        <v>9453</v>
      </c>
      <c r="Y835" s="70" t="s">
        <v>9462</v>
      </c>
      <c r="Z835" s="73" t="s">
        <v>9486</v>
      </c>
      <c r="AA835" s="74" t="s">
        <v>9504</v>
      </c>
      <c r="AB835" s="73" t="s">
        <v>9486</v>
      </c>
      <c r="AC835" s="74" t="s">
        <v>9566</v>
      </c>
      <c r="AD835" s="73" t="s">
        <v>9578</v>
      </c>
      <c r="AE835" s="74" t="s">
        <v>9579</v>
      </c>
    </row>
    <row r="836" spans="1:31" ht="8.65" customHeight="1" x14ac:dyDescent="0.2">
      <c r="A836" s="76">
        <v>836</v>
      </c>
      <c r="B836" s="67" t="str">
        <f>MID(C836, FIND("Ifc.", C836) + 4, 4) &amp; "_" &amp; TEXT(COUNTIF($C$2:C836, C836),"0000")</f>
        <v>Prop_0835</v>
      </c>
      <c r="C836" s="24" t="s">
        <v>872</v>
      </c>
      <c r="D836" s="69" t="s">
        <v>9453</v>
      </c>
      <c r="E836" s="70" t="s">
        <v>9454</v>
      </c>
      <c r="F836" s="17" t="s">
        <v>806</v>
      </c>
      <c r="G836" s="22" t="s">
        <v>2283</v>
      </c>
      <c r="H836" s="12" t="s">
        <v>9703</v>
      </c>
      <c r="I836" s="13" t="s">
        <v>6703</v>
      </c>
      <c r="J836" s="14" t="s">
        <v>798</v>
      </c>
      <c r="K836" s="15" t="s">
        <v>798</v>
      </c>
      <c r="L836" s="12" t="s">
        <v>5315</v>
      </c>
      <c r="M836" s="13" t="s">
        <v>5550</v>
      </c>
      <c r="N836" s="12" t="s">
        <v>803</v>
      </c>
      <c r="O836" s="13" t="s">
        <v>5162</v>
      </c>
      <c r="P836" s="17" t="s">
        <v>802</v>
      </c>
      <c r="Q836" s="21" t="s">
        <v>7870</v>
      </c>
      <c r="R836" s="17" t="s">
        <v>801</v>
      </c>
      <c r="S836" s="18" t="s">
        <v>2585</v>
      </c>
      <c r="T836" s="17" t="s">
        <v>800</v>
      </c>
      <c r="U836" s="18" t="s">
        <v>5238</v>
      </c>
      <c r="V836" s="17" t="s">
        <v>9418</v>
      </c>
      <c r="W836" s="18" t="s">
        <v>5309</v>
      </c>
      <c r="X836" s="69" t="s">
        <v>9453</v>
      </c>
      <c r="Y836" s="70" t="s">
        <v>9462</v>
      </c>
      <c r="Z836" s="73" t="s">
        <v>9486</v>
      </c>
      <c r="AA836" s="74" t="s">
        <v>9504</v>
      </c>
      <c r="AB836" s="73" t="s">
        <v>9486</v>
      </c>
      <c r="AC836" s="74" t="s">
        <v>9566</v>
      </c>
      <c r="AD836" s="73" t="s">
        <v>9578</v>
      </c>
      <c r="AE836" s="74" t="s">
        <v>9579</v>
      </c>
    </row>
    <row r="837" spans="1:31" ht="8.65" customHeight="1" x14ac:dyDescent="0.2">
      <c r="A837" s="76">
        <v>837</v>
      </c>
      <c r="B837" s="67" t="str">
        <f>MID(C837, FIND("Ifc.", C837) + 4, 4) &amp; "_" &amp; TEXT(COUNTIF($C$2:C837, C837),"0000")</f>
        <v>Prop_0836</v>
      </c>
      <c r="C837" s="24" t="s">
        <v>872</v>
      </c>
      <c r="D837" s="69" t="s">
        <v>9453</v>
      </c>
      <c r="E837" s="70" t="s">
        <v>9454</v>
      </c>
      <c r="F837" s="17" t="s">
        <v>806</v>
      </c>
      <c r="G837" s="22" t="s">
        <v>2149</v>
      </c>
      <c r="H837" s="12" t="s">
        <v>9703</v>
      </c>
      <c r="I837" s="13" t="s">
        <v>7095</v>
      </c>
      <c r="J837" s="14" t="s">
        <v>798</v>
      </c>
      <c r="K837" s="15" t="s">
        <v>798</v>
      </c>
      <c r="L837" s="12" t="s">
        <v>5315</v>
      </c>
      <c r="M837" s="13" t="s">
        <v>5498</v>
      </c>
      <c r="N837" s="12" t="s">
        <v>803</v>
      </c>
      <c r="O837" s="13" t="s">
        <v>5112</v>
      </c>
      <c r="P837" s="17" t="s">
        <v>802</v>
      </c>
      <c r="Q837" s="21" t="s">
        <v>7680</v>
      </c>
      <c r="R837" s="17" t="s">
        <v>801</v>
      </c>
      <c r="S837" s="18" t="s">
        <v>2585</v>
      </c>
      <c r="T837" s="17" t="s">
        <v>800</v>
      </c>
      <c r="U837" s="18" t="s">
        <v>5238</v>
      </c>
      <c r="V837" s="17" t="s">
        <v>9418</v>
      </c>
      <c r="W837" s="18" t="s">
        <v>5309</v>
      </c>
      <c r="X837" s="69" t="s">
        <v>9453</v>
      </c>
      <c r="Y837" s="70" t="s">
        <v>9462</v>
      </c>
      <c r="Z837" s="73" t="s">
        <v>9486</v>
      </c>
      <c r="AA837" s="74" t="s">
        <v>9504</v>
      </c>
      <c r="AB837" s="73" t="s">
        <v>9486</v>
      </c>
      <c r="AC837" s="74" t="s">
        <v>9566</v>
      </c>
      <c r="AD837" s="73" t="s">
        <v>9578</v>
      </c>
      <c r="AE837" s="74" t="s">
        <v>9704</v>
      </c>
    </row>
    <row r="838" spans="1:31" ht="8.65" customHeight="1" x14ac:dyDescent="0.2">
      <c r="A838" s="76">
        <v>838</v>
      </c>
      <c r="B838" s="67" t="str">
        <f>MID(C838, FIND("Ifc.", C838) + 4, 4) &amp; "_" &amp; TEXT(COUNTIF($C$2:C838, C838),"0000")</f>
        <v>Prop_0837</v>
      </c>
      <c r="C838" s="24" t="s">
        <v>872</v>
      </c>
      <c r="D838" s="69" t="s">
        <v>9453</v>
      </c>
      <c r="E838" s="70" t="s">
        <v>9454</v>
      </c>
      <c r="F838" s="17" t="s">
        <v>806</v>
      </c>
      <c r="G838" s="22" t="s">
        <v>2288</v>
      </c>
      <c r="H838" s="12" t="s">
        <v>9703</v>
      </c>
      <c r="I838" s="13" t="s">
        <v>6706</v>
      </c>
      <c r="J838" s="14" t="s">
        <v>798</v>
      </c>
      <c r="K838" s="15" t="s">
        <v>798</v>
      </c>
      <c r="L838" s="12" t="s">
        <v>5315</v>
      </c>
      <c r="M838" s="13" t="s">
        <v>5550</v>
      </c>
      <c r="N838" s="12" t="s">
        <v>803</v>
      </c>
      <c r="O838" s="13" t="s">
        <v>5162</v>
      </c>
      <c r="P838" s="17" t="s">
        <v>802</v>
      </c>
      <c r="Q838" s="21" t="s">
        <v>7870</v>
      </c>
      <c r="R838" s="17" t="s">
        <v>801</v>
      </c>
      <c r="S838" s="18" t="s">
        <v>2585</v>
      </c>
      <c r="T838" s="17" t="s">
        <v>800</v>
      </c>
      <c r="U838" s="18" t="s">
        <v>5238</v>
      </c>
      <c r="V838" s="17" t="s">
        <v>9418</v>
      </c>
      <c r="W838" s="18" t="s">
        <v>5309</v>
      </c>
      <c r="X838" s="69" t="s">
        <v>9453</v>
      </c>
      <c r="Y838" s="70" t="s">
        <v>9462</v>
      </c>
      <c r="Z838" s="73" t="s">
        <v>9486</v>
      </c>
      <c r="AA838" s="74" t="s">
        <v>9504</v>
      </c>
      <c r="AB838" s="73" t="s">
        <v>9486</v>
      </c>
      <c r="AC838" s="74" t="s">
        <v>9566</v>
      </c>
      <c r="AD838" s="73" t="s">
        <v>9578</v>
      </c>
      <c r="AE838" s="74" t="s">
        <v>9579</v>
      </c>
    </row>
    <row r="839" spans="1:31" ht="8.65" customHeight="1" x14ac:dyDescent="0.2">
      <c r="A839" s="76">
        <v>839</v>
      </c>
      <c r="B839" s="67" t="str">
        <f>MID(C839, FIND("Ifc.", C839) + 4, 4) &amp; "_" &amp; TEXT(COUNTIF($C$2:C839, C839),"0000")</f>
        <v>Prop_0838</v>
      </c>
      <c r="C839" s="24" t="s">
        <v>872</v>
      </c>
      <c r="D839" s="69" t="s">
        <v>9453</v>
      </c>
      <c r="E839" s="70" t="s">
        <v>9454</v>
      </c>
      <c r="F839" s="17" t="s">
        <v>806</v>
      </c>
      <c r="G839" s="22" t="s">
        <v>1435</v>
      </c>
      <c r="H839" s="12" t="s">
        <v>9703</v>
      </c>
      <c r="I839" s="13" t="s">
        <v>6319</v>
      </c>
      <c r="J839" s="14" t="s">
        <v>798</v>
      </c>
      <c r="K839" s="15" t="s">
        <v>798</v>
      </c>
      <c r="L839" s="12" t="s">
        <v>5315</v>
      </c>
      <c r="M839" s="13" t="s">
        <v>5435</v>
      </c>
      <c r="N839" s="12" t="s">
        <v>803</v>
      </c>
      <c r="O839" s="13" t="s">
        <v>4935</v>
      </c>
      <c r="P839" s="17" t="s">
        <v>802</v>
      </c>
      <c r="Q839" s="21" t="s">
        <v>7721</v>
      </c>
      <c r="R839" s="17" t="s">
        <v>801</v>
      </c>
      <c r="S839" s="18" t="s">
        <v>2585</v>
      </c>
      <c r="T839" s="17" t="s">
        <v>800</v>
      </c>
      <c r="U839" s="18" t="s">
        <v>5238</v>
      </c>
      <c r="V839" s="17" t="s">
        <v>9418</v>
      </c>
      <c r="W839" s="18" t="s">
        <v>5309</v>
      </c>
      <c r="X839" s="69" t="s">
        <v>9453</v>
      </c>
      <c r="Y839" s="70" t="s">
        <v>9462</v>
      </c>
      <c r="Z839" s="73" t="s">
        <v>9486</v>
      </c>
      <c r="AA839" s="74" t="s">
        <v>9504</v>
      </c>
      <c r="AB839" s="73" t="s">
        <v>9486</v>
      </c>
      <c r="AC839" s="74" t="s">
        <v>9566</v>
      </c>
      <c r="AD839" s="73" t="s">
        <v>9578</v>
      </c>
      <c r="AE839" s="74" t="s">
        <v>9579</v>
      </c>
    </row>
    <row r="840" spans="1:31" ht="8.65" customHeight="1" x14ac:dyDescent="0.2">
      <c r="A840" s="76">
        <v>840</v>
      </c>
      <c r="B840" s="67" t="str">
        <f>MID(C840, FIND("Ifc.", C840) + 4, 4) &amp; "_" &amp; TEXT(COUNTIF($C$2:C840, C840),"0000")</f>
        <v>Prop_0839</v>
      </c>
      <c r="C840" s="24" t="s">
        <v>872</v>
      </c>
      <c r="D840" s="69" t="s">
        <v>9453</v>
      </c>
      <c r="E840" s="70" t="s">
        <v>9454</v>
      </c>
      <c r="F840" s="17" t="s">
        <v>806</v>
      </c>
      <c r="G840" s="22" t="s">
        <v>1863</v>
      </c>
      <c r="H840" s="12" t="s">
        <v>9703</v>
      </c>
      <c r="I840" s="13" t="s">
        <v>6540</v>
      </c>
      <c r="J840" s="14" t="s">
        <v>798</v>
      </c>
      <c r="K840" s="15" t="s">
        <v>798</v>
      </c>
      <c r="L840" s="12" t="s">
        <v>5315</v>
      </c>
      <c r="M840" s="13" t="s">
        <v>5460</v>
      </c>
      <c r="N840" s="12" t="s">
        <v>803</v>
      </c>
      <c r="O840" s="13" t="s">
        <v>5037</v>
      </c>
      <c r="P840" s="17" t="s">
        <v>802</v>
      </c>
      <c r="Q840" s="21" t="s">
        <v>7782</v>
      </c>
      <c r="R840" s="17" t="s">
        <v>801</v>
      </c>
      <c r="S840" s="18" t="s">
        <v>2554</v>
      </c>
      <c r="T840" s="17" t="s">
        <v>800</v>
      </c>
      <c r="U840" s="18" t="s">
        <v>5233</v>
      </c>
      <c r="V840" s="17" t="s">
        <v>9418</v>
      </c>
      <c r="W840" s="18" t="s">
        <v>5309</v>
      </c>
      <c r="X840" s="69" t="s">
        <v>9453</v>
      </c>
      <c r="Y840" s="70" t="s">
        <v>9462</v>
      </c>
      <c r="Z840" s="73" t="s">
        <v>9486</v>
      </c>
      <c r="AA840" s="74" t="s">
        <v>9504</v>
      </c>
      <c r="AB840" s="73" t="s">
        <v>9486</v>
      </c>
      <c r="AC840" s="74" t="s">
        <v>9562</v>
      </c>
      <c r="AD840" s="73" t="s">
        <v>9578</v>
      </c>
      <c r="AE840" s="74" t="s">
        <v>9579</v>
      </c>
    </row>
    <row r="841" spans="1:31" ht="8.65" customHeight="1" x14ac:dyDescent="0.2">
      <c r="A841" s="76">
        <v>841</v>
      </c>
      <c r="B841" s="67" t="str">
        <f>MID(C841, FIND("Ifc.", C841) + 4, 4) &amp; "_" &amp; TEXT(COUNTIF($C$2:C841, C841),"0000")</f>
        <v>Prop_0840</v>
      </c>
      <c r="C841" s="24" t="s">
        <v>872</v>
      </c>
      <c r="D841" s="69" t="s">
        <v>9453</v>
      </c>
      <c r="E841" s="70" t="s">
        <v>9454</v>
      </c>
      <c r="F841" s="17" t="s">
        <v>806</v>
      </c>
      <c r="G841" s="22" t="s">
        <v>1798</v>
      </c>
      <c r="H841" s="12" t="s">
        <v>9703</v>
      </c>
      <c r="I841" s="13" t="s">
        <v>7442</v>
      </c>
      <c r="J841" s="14" t="s">
        <v>798</v>
      </c>
      <c r="K841" s="15" t="s">
        <v>798</v>
      </c>
      <c r="L841" s="12" t="s">
        <v>5315</v>
      </c>
      <c r="M841" s="13" t="s">
        <v>5455</v>
      </c>
      <c r="N841" s="12" t="s">
        <v>803</v>
      </c>
      <c r="O841" s="13" t="s">
        <v>5019</v>
      </c>
      <c r="P841" s="17" t="s">
        <v>802</v>
      </c>
      <c r="Q841" s="21" t="s">
        <v>7736</v>
      </c>
      <c r="R841" s="17" t="s">
        <v>801</v>
      </c>
      <c r="S841" s="18" t="s">
        <v>2655</v>
      </c>
      <c r="T841" s="17" t="s">
        <v>800</v>
      </c>
      <c r="U841" s="18" t="s">
        <v>5286</v>
      </c>
      <c r="V841" s="17" t="s">
        <v>9418</v>
      </c>
      <c r="W841" s="18" t="s">
        <v>5311</v>
      </c>
      <c r="X841" s="69" t="s">
        <v>9453</v>
      </c>
      <c r="Y841" s="70" t="s">
        <v>9466</v>
      </c>
      <c r="Z841" s="73" t="s">
        <v>9486</v>
      </c>
      <c r="AA841" s="74" t="s">
        <v>9504</v>
      </c>
      <c r="AB841" s="73" t="s">
        <v>9486</v>
      </c>
      <c r="AC841" s="74" t="s">
        <v>9566</v>
      </c>
      <c r="AD841" s="73" t="s">
        <v>9578</v>
      </c>
      <c r="AE841" s="74" t="s">
        <v>9579</v>
      </c>
    </row>
    <row r="842" spans="1:31" ht="8.65" customHeight="1" x14ac:dyDescent="0.2">
      <c r="A842" s="76">
        <v>842</v>
      </c>
      <c r="B842" s="67" t="str">
        <f>MID(C842, FIND("Ifc.", C842) + 4, 4) &amp; "_" &amp; TEXT(COUNTIF($C$2:C842, C842),"0000")</f>
        <v>Prop_0841</v>
      </c>
      <c r="C842" s="24" t="s">
        <v>872</v>
      </c>
      <c r="D842" s="69" t="s">
        <v>9453</v>
      </c>
      <c r="E842" s="70" t="s">
        <v>9454</v>
      </c>
      <c r="F842" s="17" t="s">
        <v>806</v>
      </c>
      <c r="G842" s="22" t="s">
        <v>2140</v>
      </c>
      <c r="H842" s="12" t="s">
        <v>9703</v>
      </c>
      <c r="I842" s="13" t="s">
        <v>7056</v>
      </c>
      <c r="J842" s="14" t="s">
        <v>798</v>
      </c>
      <c r="K842" s="15" t="s">
        <v>798</v>
      </c>
      <c r="L842" s="12" t="s">
        <v>5315</v>
      </c>
      <c r="M842" s="13" t="s">
        <v>5497</v>
      </c>
      <c r="N842" s="12" t="s">
        <v>803</v>
      </c>
      <c r="O842" s="13" t="s">
        <v>5111</v>
      </c>
      <c r="P842" s="17" t="s">
        <v>802</v>
      </c>
      <c r="Q842" s="21" t="s">
        <v>7851</v>
      </c>
      <c r="R842" s="17" t="s">
        <v>801</v>
      </c>
      <c r="S842" s="18" t="s">
        <v>2585</v>
      </c>
      <c r="T842" s="17" t="s">
        <v>800</v>
      </c>
      <c r="U842" s="18" t="s">
        <v>5238</v>
      </c>
      <c r="V842" s="17" t="s">
        <v>9418</v>
      </c>
      <c r="W842" s="18" t="s">
        <v>5309</v>
      </c>
      <c r="X842" s="69" t="s">
        <v>9453</v>
      </c>
      <c r="Y842" s="70" t="s">
        <v>9462</v>
      </c>
      <c r="Z842" s="73" t="s">
        <v>9486</v>
      </c>
      <c r="AA842" s="74" t="s">
        <v>9504</v>
      </c>
      <c r="AB842" s="73" t="s">
        <v>9486</v>
      </c>
      <c r="AC842" s="74" t="s">
        <v>9566</v>
      </c>
      <c r="AD842" s="73" t="s">
        <v>9578</v>
      </c>
      <c r="AE842" s="74" t="s">
        <v>9579</v>
      </c>
    </row>
    <row r="843" spans="1:31" ht="8.65" customHeight="1" x14ac:dyDescent="0.2">
      <c r="A843" s="76">
        <v>843</v>
      </c>
      <c r="B843" s="67" t="str">
        <f>MID(C843, FIND("Ifc.", C843) + 4, 4) &amp; "_" &amp; TEXT(COUNTIF($C$2:C843, C843),"0000")</f>
        <v>Prop_0842</v>
      </c>
      <c r="C843" s="24" t="s">
        <v>872</v>
      </c>
      <c r="D843" s="69" t="s">
        <v>9453</v>
      </c>
      <c r="E843" s="70" t="s">
        <v>9454</v>
      </c>
      <c r="F843" s="17" t="s">
        <v>806</v>
      </c>
      <c r="G843" s="22" t="s">
        <v>2213</v>
      </c>
      <c r="H843" s="12" t="s">
        <v>9703</v>
      </c>
      <c r="I843" s="13" t="s">
        <v>7067</v>
      </c>
      <c r="J843" s="14" t="s">
        <v>798</v>
      </c>
      <c r="K843" s="15" t="s">
        <v>798</v>
      </c>
      <c r="L843" s="12" t="s">
        <v>5315</v>
      </c>
      <c r="M843" s="13" t="s">
        <v>5508</v>
      </c>
      <c r="N843" s="12" t="s">
        <v>803</v>
      </c>
      <c r="O843" s="13" t="s">
        <v>5121</v>
      </c>
      <c r="P843" s="17" t="s">
        <v>802</v>
      </c>
      <c r="Q843" s="21" t="s">
        <v>7702</v>
      </c>
      <c r="R843" s="17" t="s">
        <v>801</v>
      </c>
      <c r="S843" s="18" t="s">
        <v>2585</v>
      </c>
      <c r="T843" s="17" t="s">
        <v>800</v>
      </c>
      <c r="U843" s="18" t="s">
        <v>5238</v>
      </c>
      <c r="V843" s="17" t="s">
        <v>9418</v>
      </c>
      <c r="W843" s="18" t="s">
        <v>5309</v>
      </c>
      <c r="X843" s="69" t="s">
        <v>9453</v>
      </c>
      <c r="Y843" s="70" t="s">
        <v>9462</v>
      </c>
      <c r="Z843" s="73" t="s">
        <v>9486</v>
      </c>
      <c r="AA843" s="74" t="s">
        <v>9504</v>
      </c>
      <c r="AB843" s="73" t="s">
        <v>9486</v>
      </c>
      <c r="AC843" s="74" t="s">
        <v>9566</v>
      </c>
      <c r="AD843" s="73" t="s">
        <v>9578</v>
      </c>
      <c r="AE843" s="74" t="s">
        <v>9579</v>
      </c>
    </row>
    <row r="844" spans="1:31" ht="8.65" customHeight="1" x14ac:dyDescent="0.2">
      <c r="A844" s="76">
        <v>844</v>
      </c>
      <c r="B844" s="67" t="str">
        <f>MID(C844, FIND("Ifc.", C844) + 4, 4) &amp; "_" &amp; TEXT(COUNTIF($C$2:C844, C844),"0000")</f>
        <v>Prop_0843</v>
      </c>
      <c r="C844" s="24" t="s">
        <v>872</v>
      </c>
      <c r="D844" s="69" t="s">
        <v>9453</v>
      </c>
      <c r="E844" s="70" t="s">
        <v>9454</v>
      </c>
      <c r="F844" s="17" t="s">
        <v>806</v>
      </c>
      <c r="G844" s="22" t="s">
        <v>1092</v>
      </c>
      <c r="H844" s="12" t="s">
        <v>9703</v>
      </c>
      <c r="I844" s="13" t="s">
        <v>6967</v>
      </c>
      <c r="J844" s="14" t="s">
        <v>798</v>
      </c>
      <c r="K844" s="15" t="s">
        <v>798</v>
      </c>
      <c r="L844" s="12" t="s">
        <v>5315</v>
      </c>
      <c r="M844" s="13" t="s">
        <v>5994</v>
      </c>
      <c r="N844" s="12" t="s">
        <v>803</v>
      </c>
      <c r="O844" s="13" t="s">
        <v>4854</v>
      </c>
      <c r="P844" s="17" t="s">
        <v>802</v>
      </c>
      <c r="Q844" s="21" t="s">
        <v>7825</v>
      </c>
      <c r="R844" s="17" t="s">
        <v>801</v>
      </c>
      <c r="S844" s="18" t="s">
        <v>2585</v>
      </c>
      <c r="T844" s="17" t="s">
        <v>800</v>
      </c>
      <c r="U844" s="18" t="s">
        <v>5238</v>
      </c>
      <c r="V844" s="17" t="s">
        <v>9418</v>
      </c>
      <c r="W844" s="18" t="s">
        <v>5309</v>
      </c>
      <c r="X844" s="69" t="s">
        <v>9453</v>
      </c>
      <c r="Y844" s="70" t="s">
        <v>9462</v>
      </c>
      <c r="Z844" s="73" t="s">
        <v>9486</v>
      </c>
      <c r="AA844" s="74" t="s">
        <v>9504</v>
      </c>
      <c r="AB844" s="73" t="s">
        <v>9486</v>
      </c>
      <c r="AC844" s="74" t="s">
        <v>9566</v>
      </c>
      <c r="AD844" s="73" t="s">
        <v>9578</v>
      </c>
      <c r="AE844" s="74" t="s">
        <v>9579</v>
      </c>
    </row>
    <row r="845" spans="1:31" ht="8.65" customHeight="1" x14ac:dyDescent="0.2">
      <c r="A845" s="76">
        <v>845</v>
      </c>
      <c r="B845" s="67" t="str">
        <f>MID(C845, FIND("Ifc.", C845) + 4, 4) &amp; "_" &amp; TEXT(COUNTIF($C$2:C845, C845),"0000")</f>
        <v>Prop_0844</v>
      </c>
      <c r="C845" s="24" t="s">
        <v>872</v>
      </c>
      <c r="D845" s="69" t="s">
        <v>9453</v>
      </c>
      <c r="E845" s="70" t="s">
        <v>9454</v>
      </c>
      <c r="F845" s="17" t="s">
        <v>806</v>
      </c>
      <c r="G845" s="22" t="s">
        <v>1092</v>
      </c>
      <c r="H845" s="12" t="s">
        <v>9703</v>
      </c>
      <c r="I845" s="13" t="s">
        <v>6967</v>
      </c>
      <c r="J845" s="14" t="s">
        <v>798</v>
      </c>
      <c r="K845" s="15" t="s">
        <v>798</v>
      </c>
      <c r="L845" s="12" t="s">
        <v>5315</v>
      </c>
      <c r="M845" s="13" t="s">
        <v>5389</v>
      </c>
      <c r="N845" s="12" t="s">
        <v>803</v>
      </c>
      <c r="O845" s="13" t="s">
        <v>4851</v>
      </c>
      <c r="P845" s="17" t="s">
        <v>802</v>
      </c>
      <c r="Q845" s="21" t="s">
        <v>7826</v>
      </c>
      <c r="R845" s="17" t="s">
        <v>801</v>
      </c>
      <c r="S845" s="18" t="s">
        <v>2585</v>
      </c>
      <c r="T845" s="17" t="s">
        <v>800</v>
      </c>
      <c r="U845" s="18" t="s">
        <v>5238</v>
      </c>
      <c r="V845" s="17" t="s">
        <v>9418</v>
      </c>
      <c r="W845" s="18" t="s">
        <v>5309</v>
      </c>
      <c r="X845" s="69" t="s">
        <v>9453</v>
      </c>
      <c r="Y845" s="70" t="s">
        <v>9462</v>
      </c>
      <c r="Z845" s="73" t="s">
        <v>9486</v>
      </c>
      <c r="AA845" s="74" t="s">
        <v>9504</v>
      </c>
      <c r="AB845" s="73" t="s">
        <v>9486</v>
      </c>
      <c r="AC845" s="74" t="s">
        <v>9566</v>
      </c>
      <c r="AD845" s="73" t="s">
        <v>9578</v>
      </c>
      <c r="AE845" s="74" t="s">
        <v>9579</v>
      </c>
    </row>
    <row r="846" spans="1:31" ht="8.65" customHeight="1" x14ac:dyDescent="0.2">
      <c r="A846" s="76">
        <v>846</v>
      </c>
      <c r="B846" s="67" t="str">
        <f>MID(C846, FIND("Ifc.", C846) + 4, 4) &amp; "_" &amp; TEXT(COUNTIF($C$2:C846, C846),"0000")</f>
        <v>Prop_0845</v>
      </c>
      <c r="C846" s="24" t="s">
        <v>872</v>
      </c>
      <c r="D846" s="69" t="s">
        <v>9453</v>
      </c>
      <c r="E846" s="70" t="s">
        <v>9454</v>
      </c>
      <c r="F846" s="17" t="s">
        <v>806</v>
      </c>
      <c r="G846" s="22" t="s">
        <v>1092</v>
      </c>
      <c r="H846" s="12" t="s">
        <v>9703</v>
      </c>
      <c r="I846" s="13" t="s">
        <v>6967</v>
      </c>
      <c r="J846" s="14" t="s">
        <v>798</v>
      </c>
      <c r="K846" s="15" t="s">
        <v>798</v>
      </c>
      <c r="L846" s="12" t="s">
        <v>5315</v>
      </c>
      <c r="M846" s="13" t="s">
        <v>5390</v>
      </c>
      <c r="N846" s="12" t="s">
        <v>803</v>
      </c>
      <c r="O846" s="13" t="s">
        <v>4852</v>
      </c>
      <c r="P846" s="17" t="s">
        <v>802</v>
      </c>
      <c r="Q846" s="21" t="s">
        <v>7866</v>
      </c>
      <c r="R846" s="17" t="s">
        <v>801</v>
      </c>
      <c r="S846" s="18" t="s">
        <v>2585</v>
      </c>
      <c r="T846" s="17" t="s">
        <v>800</v>
      </c>
      <c r="U846" s="18" t="s">
        <v>5238</v>
      </c>
      <c r="V846" s="17" t="s">
        <v>9418</v>
      </c>
      <c r="W846" s="18" t="s">
        <v>5309</v>
      </c>
      <c r="X846" s="69" t="s">
        <v>9453</v>
      </c>
      <c r="Y846" s="70" t="s">
        <v>9462</v>
      </c>
      <c r="Z846" s="73" t="s">
        <v>9486</v>
      </c>
      <c r="AA846" s="74" t="s">
        <v>9504</v>
      </c>
      <c r="AB846" s="73" t="s">
        <v>9486</v>
      </c>
      <c r="AC846" s="74" t="s">
        <v>9566</v>
      </c>
      <c r="AD846" s="73" t="s">
        <v>9578</v>
      </c>
      <c r="AE846" s="74" t="s">
        <v>9579</v>
      </c>
    </row>
    <row r="847" spans="1:31" ht="8.65" customHeight="1" x14ac:dyDescent="0.2">
      <c r="A847" s="76">
        <v>847</v>
      </c>
      <c r="B847" s="67" t="str">
        <f>MID(C847, FIND("Ifc.", C847) + 4, 4) &amp; "_" &amp; TEXT(COUNTIF($C$2:C847, C847),"0000")</f>
        <v>Prop_0846</v>
      </c>
      <c r="C847" s="24" t="s">
        <v>872</v>
      </c>
      <c r="D847" s="69" t="s">
        <v>9453</v>
      </c>
      <c r="E847" s="70" t="s">
        <v>9454</v>
      </c>
      <c r="F847" s="17" t="s">
        <v>806</v>
      </c>
      <c r="G847" s="22" t="s">
        <v>1092</v>
      </c>
      <c r="H847" s="12" t="s">
        <v>9703</v>
      </c>
      <c r="I847" s="13" t="s">
        <v>6967</v>
      </c>
      <c r="J847" s="14" t="s">
        <v>798</v>
      </c>
      <c r="K847" s="15" t="s">
        <v>798</v>
      </c>
      <c r="L847" s="12" t="s">
        <v>5315</v>
      </c>
      <c r="M847" s="13" t="s">
        <v>5995</v>
      </c>
      <c r="N847" s="12" t="s">
        <v>803</v>
      </c>
      <c r="O847" s="13" t="s">
        <v>4855</v>
      </c>
      <c r="P847" s="17" t="s">
        <v>802</v>
      </c>
      <c r="Q847" s="21" t="s">
        <v>7867</v>
      </c>
      <c r="R847" s="17" t="s">
        <v>801</v>
      </c>
      <c r="S847" s="18" t="s">
        <v>2585</v>
      </c>
      <c r="T847" s="17" t="s">
        <v>800</v>
      </c>
      <c r="U847" s="18" t="s">
        <v>5238</v>
      </c>
      <c r="V847" s="17" t="s">
        <v>9418</v>
      </c>
      <c r="W847" s="18" t="s">
        <v>5309</v>
      </c>
      <c r="X847" s="69" t="s">
        <v>9453</v>
      </c>
      <c r="Y847" s="70" t="s">
        <v>9462</v>
      </c>
      <c r="Z847" s="73" t="s">
        <v>9486</v>
      </c>
      <c r="AA847" s="74" t="s">
        <v>9504</v>
      </c>
      <c r="AB847" s="73" t="s">
        <v>9486</v>
      </c>
      <c r="AC847" s="74" t="s">
        <v>9566</v>
      </c>
      <c r="AD847" s="73" t="s">
        <v>9578</v>
      </c>
      <c r="AE847" s="74" t="s">
        <v>9579</v>
      </c>
    </row>
    <row r="848" spans="1:31" ht="8.65" customHeight="1" x14ac:dyDescent="0.2">
      <c r="A848" s="76">
        <v>848</v>
      </c>
      <c r="B848" s="67" t="str">
        <f>MID(C848, FIND("Ifc.", C848) + 4, 4) &amp; "_" &amp; TEXT(COUNTIF($C$2:C848, C848),"0000")</f>
        <v>Prop_0847</v>
      </c>
      <c r="C848" s="24" t="s">
        <v>872</v>
      </c>
      <c r="D848" s="69" t="s">
        <v>9453</v>
      </c>
      <c r="E848" s="70" t="s">
        <v>9454</v>
      </c>
      <c r="F848" s="17" t="s">
        <v>806</v>
      </c>
      <c r="G848" s="22" t="s">
        <v>1092</v>
      </c>
      <c r="H848" s="12" t="s">
        <v>9703</v>
      </c>
      <c r="I848" s="13" t="s">
        <v>6967</v>
      </c>
      <c r="J848" s="14" t="s">
        <v>798</v>
      </c>
      <c r="K848" s="15" t="s">
        <v>798</v>
      </c>
      <c r="L848" s="12" t="s">
        <v>5315</v>
      </c>
      <c r="M848" s="13" t="s">
        <v>5888</v>
      </c>
      <c r="N848" s="12" t="s">
        <v>803</v>
      </c>
      <c r="O848" s="13" t="s">
        <v>4913</v>
      </c>
      <c r="P848" s="17" t="s">
        <v>802</v>
      </c>
      <c r="Q848" s="21" t="s">
        <v>7827</v>
      </c>
      <c r="R848" s="17" t="s">
        <v>801</v>
      </c>
      <c r="S848" s="18" t="s">
        <v>2585</v>
      </c>
      <c r="T848" s="17" t="s">
        <v>800</v>
      </c>
      <c r="U848" s="18" t="s">
        <v>5238</v>
      </c>
      <c r="V848" s="17" t="s">
        <v>9418</v>
      </c>
      <c r="W848" s="18" t="s">
        <v>5309</v>
      </c>
      <c r="X848" s="69" t="s">
        <v>9453</v>
      </c>
      <c r="Y848" s="70" t="s">
        <v>9462</v>
      </c>
      <c r="Z848" s="73" t="s">
        <v>9486</v>
      </c>
      <c r="AA848" s="74" t="s">
        <v>9504</v>
      </c>
      <c r="AB848" s="73" t="s">
        <v>9486</v>
      </c>
      <c r="AC848" s="74" t="s">
        <v>9566</v>
      </c>
      <c r="AD848" s="73" t="s">
        <v>9578</v>
      </c>
      <c r="AE848" s="74" t="s">
        <v>9579</v>
      </c>
    </row>
    <row r="849" spans="1:31" ht="8.65" customHeight="1" x14ac:dyDescent="0.2">
      <c r="A849" s="76">
        <v>849</v>
      </c>
      <c r="B849" s="67" t="str">
        <f>MID(C849, FIND("Ifc.", C849) + 4, 4) &amp; "_" &amp; TEXT(COUNTIF($C$2:C849, C849),"0000")</f>
        <v>Prop_0848</v>
      </c>
      <c r="C849" s="24" t="s">
        <v>872</v>
      </c>
      <c r="D849" s="69" t="s">
        <v>9453</v>
      </c>
      <c r="E849" s="70" t="s">
        <v>9454</v>
      </c>
      <c r="F849" s="17" t="s">
        <v>806</v>
      </c>
      <c r="G849" s="22" t="s">
        <v>1055</v>
      </c>
      <c r="H849" s="12" t="s">
        <v>9703</v>
      </c>
      <c r="I849" s="13" t="s">
        <v>6966</v>
      </c>
      <c r="J849" s="14" t="s">
        <v>798</v>
      </c>
      <c r="K849" s="15" t="s">
        <v>798</v>
      </c>
      <c r="L849" s="12" t="s">
        <v>5315</v>
      </c>
      <c r="M849" s="13" t="s">
        <v>5779</v>
      </c>
      <c r="N849" s="12" t="s">
        <v>803</v>
      </c>
      <c r="O849" s="13" t="s">
        <v>4846</v>
      </c>
      <c r="P849" s="17" t="s">
        <v>802</v>
      </c>
      <c r="Q849" s="21" t="s">
        <v>7936</v>
      </c>
      <c r="R849" s="17" t="s">
        <v>801</v>
      </c>
      <c r="S849" s="18" t="s">
        <v>2583</v>
      </c>
      <c r="T849" s="17" t="s">
        <v>800</v>
      </c>
      <c r="U849" s="18" t="s">
        <v>5251</v>
      </c>
      <c r="V849" s="17" t="s">
        <v>9418</v>
      </c>
      <c r="W849" s="18" t="s">
        <v>5309</v>
      </c>
      <c r="X849" s="69" t="s">
        <v>9453</v>
      </c>
      <c r="Y849" s="70" t="s">
        <v>9462</v>
      </c>
      <c r="Z849" s="73" t="s">
        <v>9486</v>
      </c>
      <c r="AA849" s="74" t="s">
        <v>9504</v>
      </c>
      <c r="AB849" s="73" t="s">
        <v>9486</v>
      </c>
      <c r="AC849" s="74" t="s">
        <v>9566</v>
      </c>
      <c r="AD849" s="73" t="s">
        <v>9578</v>
      </c>
      <c r="AE849" s="74" t="s">
        <v>9579</v>
      </c>
    </row>
    <row r="850" spans="1:31" ht="8.65" customHeight="1" x14ac:dyDescent="0.2">
      <c r="A850" s="76">
        <v>850</v>
      </c>
      <c r="B850" s="67" t="str">
        <f>MID(C850, FIND("Ifc.", C850) + 4, 4) &amp; "_" &amp; TEXT(COUNTIF($C$2:C850, C850),"0000")</f>
        <v>Prop_0849</v>
      </c>
      <c r="C850" s="24" t="s">
        <v>872</v>
      </c>
      <c r="D850" s="69" t="s">
        <v>9453</v>
      </c>
      <c r="E850" s="70" t="s">
        <v>9454</v>
      </c>
      <c r="F850" s="17" t="s">
        <v>806</v>
      </c>
      <c r="G850" s="22" t="s">
        <v>2164</v>
      </c>
      <c r="H850" s="12" t="s">
        <v>9703</v>
      </c>
      <c r="I850" s="13" t="s">
        <v>7064</v>
      </c>
      <c r="J850" s="14" t="s">
        <v>798</v>
      </c>
      <c r="K850" s="15" t="s">
        <v>798</v>
      </c>
      <c r="L850" s="12" t="s">
        <v>5315</v>
      </c>
      <c r="M850" s="13" t="s">
        <v>5499</v>
      </c>
      <c r="N850" s="12" t="s">
        <v>803</v>
      </c>
      <c r="O850" s="13" t="s">
        <v>5113</v>
      </c>
      <c r="P850" s="17" t="s">
        <v>802</v>
      </c>
      <c r="Q850" s="21" t="s">
        <v>7707</v>
      </c>
      <c r="R850" s="17" t="s">
        <v>801</v>
      </c>
      <c r="S850" s="18" t="s">
        <v>2585</v>
      </c>
      <c r="T850" s="17" t="s">
        <v>800</v>
      </c>
      <c r="U850" s="18" t="s">
        <v>5238</v>
      </c>
      <c r="V850" s="17" t="s">
        <v>9418</v>
      </c>
      <c r="W850" s="18" t="s">
        <v>5309</v>
      </c>
      <c r="X850" s="69" t="s">
        <v>9453</v>
      </c>
      <c r="Y850" s="70" t="s">
        <v>9462</v>
      </c>
      <c r="Z850" s="73" t="s">
        <v>9486</v>
      </c>
      <c r="AA850" s="74" t="s">
        <v>9504</v>
      </c>
      <c r="AB850" s="73" t="s">
        <v>9486</v>
      </c>
      <c r="AC850" s="74" t="s">
        <v>9566</v>
      </c>
      <c r="AD850" s="73" t="s">
        <v>9578</v>
      </c>
      <c r="AE850" s="74" t="s">
        <v>9579</v>
      </c>
    </row>
    <row r="851" spans="1:31" ht="8.65" customHeight="1" x14ac:dyDescent="0.2">
      <c r="A851" s="76">
        <v>851</v>
      </c>
      <c r="B851" s="67" t="str">
        <f>MID(C851, FIND("Ifc.", C851) + 4, 4) &amp; "_" &amp; TEXT(COUNTIF($C$2:C851, C851),"0000")</f>
        <v>Prop_0850</v>
      </c>
      <c r="C851" s="24" t="s">
        <v>872</v>
      </c>
      <c r="D851" s="69" t="s">
        <v>9453</v>
      </c>
      <c r="E851" s="70" t="s">
        <v>9454</v>
      </c>
      <c r="F851" s="17" t="s">
        <v>806</v>
      </c>
      <c r="G851" s="22" t="s">
        <v>2161</v>
      </c>
      <c r="H851" s="12" t="s">
        <v>9703</v>
      </c>
      <c r="I851" s="13" t="s">
        <v>7063</v>
      </c>
      <c r="J851" s="14" t="s">
        <v>798</v>
      </c>
      <c r="K851" s="15" t="s">
        <v>798</v>
      </c>
      <c r="L851" s="12" t="s">
        <v>5315</v>
      </c>
      <c r="M851" s="13" t="s">
        <v>5499</v>
      </c>
      <c r="N851" s="12" t="s">
        <v>803</v>
      </c>
      <c r="O851" s="13" t="s">
        <v>5113</v>
      </c>
      <c r="P851" s="17" t="s">
        <v>802</v>
      </c>
      <c r="Q851" s="21" t="s">
        <v>7707</v>
      </c>
      <c r="R851" s="17" t="s">
        <v>801</v>
      </c>
      <c r="S851" s="18" t="s">
        <v>2585</v>
      </c>
      <c r="T851" s="17" t="s">
        <v>800</v>
      </c>
      <c r="U851" s="18" t="s">
        <v>5238</v>
      </c>
      <c r="V851" s="17" t="s">
        <v>9418</v>
      </c>
      <c r="W851" s="18" t="s">
        <v>5309</v>
      </c>
      <c r="X851" s="69" t="s">
        <v>9453</v>
      </c>
      <c r="Y851" s="70" t="s">
        <v>9462</v>
      </c>
      <c r="Z851" s="73" t="s">
        <v>9486</v>
      </c>
      <c r="AA851" s="74" t="s">
        <v>9504</v>
      </c>
      <c r="AB851" s="73" t="s">
        <v>9486</v>
      </c>
      <c r="AC851" s="74" t="s">
        <v>9566</v>
      </c>
      <c r="AD851" s="73" t="s">
        <v>9578</v>
      </c>
      <c r="AE851" s="74" t="s">
        <v>9579</v>
      </c>
    </row>
    <row r="852" spans="1:31" ht="8.65" customHeight="1" x14ac:dyDescent="0.2">
      <c r="A852" s="76">
        <v>852</v>
      </c>
      <c r="B852" s="67" t="str">
        <f>MID(C852, FIND("Ifc.", C852) + 4, 4) &amp; "_" &amp; TEXT(COUNTIF($C$2:C852, C852),"0000")</f>
        <v>Prop_0851</v>
      </c>
      <c r="C852" s="24" t="s">
        <v>872</v>
      </c>
      <c r="D852" s="69" t="s">
        <v>9453</v>
      </c>
      <c r="E852" s="70" t="s">
        <v>9454</v>
      </c>
      <c r="F852" s="17" t="s">
        <v>806</v>
      </c>
      <c r="G852" s="22" t="s">
        <v>1160</v>
      </c>
      <c r="H852" s="12" t="s">
        <v>9703</v>
      </c>
      <c r="I852" s="13" t="s">
        <v>6980</v>
      </c>
      <c r="J852" s="14" t="s">
        <v>798</v>
      </c>
      <c r="K852" s="15" t="s">
        <v>798</v>
      </c>
      <c r="L852" s="12" t="s">
        <v>5315</v>
      </c>
      <c r="M852" s="13" t="s">
        <v>6044</v>
      </c>
      <c r="N852" s="12" t="s">
        <v>803</v>
      </c>
      <c r="O852" s="13" t="s">
        <v>4871</v>
      </c>
      <c r="P852" s="17" t="s">
        <v>802</v>
      </c>
      <c r="Q852" s="21" t="s">
        <v>7933</v>
      </c>
      <c r="R852" s="17" t="s">
        <v>801</v>
      </c>
      <c r="S852" s="18" t="s">
        <v>2585</v>
      </c>
      <c r="T852" s="17" t="s">
        <v>800</v>
      </c>
      <c r="U852" s="18" t="s">
        <v>5238</v>
      </c>
      <c r="V852" s="17" t="s">
        <v>9418</v>
      </c>
      <c r="W852" s="18" t="s">
        <v>5309</v>
      </c>
      <c r="X852" s="69" t="s">
        <v>9453</v>
      </c>
      <c r="Y852" s="70" t="s">
        <v>9462</v>
      </c>
      <c r="Z852" s="73" t="s">
        <v>9486</v>
      </c>
      <c r="AA852" s="74" t="s">
        <v>9504</v>
      </c>
      <c r="AB852" s="73" t="s">
        <v>9486</v>
      </c>
      <c r="AC852" s="74" t="s">
        <v>9566</v>
      </c>
      <c r="AD852" s="73" t="s">
        <v>9578</v>
      </c>
      <c r="AE852" s="74" t="s">
        <v>9579</v>
      </c>
    </row>
    <row r="853" spans="1:31" ht="8.65" customHeight="1" x14ac:dyDescent="0.2">
      <c r="A853" s="76">
        <v>853</v>
      </c>
      <c r="B853" s="67" t="str">
        <f>MID(C853, FIND("Ifc.", C853) + 4, 4) &amp; "_" &amp; TEXT(COUNTIF($C$2:C853, C853),"0000")</f>
        <v>Prop_0852</v>
      </c>
      <c r="C853" s="24" t="s">
        <v>872</v>
      </c>
      <c r="D853" s="69" t="s">
        <v>9453</v>
      </c>
      <c r="E853" s="70" t="s">
        <v>9454</v>
      </c>
      <c r="F853" s="17" t="s">
        <v>806</v>
      </c>
      <c r="G853" s="22" t="s">
        <v>1210</v>
      </c>
      <c r="H853" s="12" t="s">
        <v>9703</v>
      </c>
      <c r="I853" s="13" t="s">
        <v>7024</v>
      </c>
      <c r="J853" s="14" t="s">
        <v>798</v>
      </c>
      <c r="K853" s="15" t="s">
        <v>798</v>
      </c>
      <c r="L853" s="12" t="s">
        <v>5315</v>
      </c>
      <c r="M853" s="13" t="s">
        <v>5821</v>
      </c>
      <c r="N853" s="12" t="s">
        <v>803</v>
      </c>
      <c r="O853" s="13" t="s">
        <v>4883</v>
      </c>
      <c r="P853" s="17" t="s">
        <v>802</v>
      </c>
      <c r="Q853" s="21" t="s">
        <v>7683</v>
      </c>
      <c r="R853" s="17" t="s">
        <v>801</v>
      </c>
      <c r="S853" s="18" t="s">
        <v>2585</v>
      </c>
      <c r="T853" s="17" t="s">
        <v>800</v>
      </c>
      <c r="U853" s="18" t="s">
        <v>5238</v>
      </c>
      <c r="V853" s="17" t="s">
        <v>9418</v>
      </c>
      <c r="W853" s="18" t="s">
        <v>5309</v>
      </c>
      <c r="X853" s="69" t="s">
        <v>9453</v>
      </c>
      <c r="Y853" s="70" t="s">
        <v>9462</v>
      </c>
      <c r="Z853" s="73" t="s">
        <v>9486</v>
      </c>
      <c r="AA853" s="74" t="s">
        <v>9504</v>
      </c>
      <c r="AB853" s="73" t="s">
        <v>9486</v>
      </c>
      <c r="AC853" s="74" t="s">
        <v>9566</v>
      </c>
      <c r="AD853" s="73" t="s">
        <v>9578</v>
      </c>
      <c r="AE853" s="74" t="s">
        <v>9579</v>
      </c>
    </row>
    <row r="854" spans="1:31" ht="8.65" customHeight="1" x14ac:dyDescent="0.2">
      <c r="A854" s="76">
        <v>854</v>
      </c>
      <c r="B854" s="67" t="str">
        <f>MID(C854, FIND("Ifc.", C854) + 4, 4) &amp; "_" &amp; TEXT(COUNTIF($C$2:C854, C854),"0000")</f>
        <v>Prop_0853</v>
      </c>
      <c r="C854" s="24" t="s">
        <v>872</v>
      </c>
      <c r="D854" s="69" t="s">
        <v>9453</v>
      </c>
      <c r="E854" s="70" t="s">
        <v>9454</v>
      </c>
      <c r="F854" s="17" t="s">
        <v>806</v>
      </c>
      <c r="G854" s="22" t="s">
        <v>1093</v>
      </c>
      <c r="H854" s="12" t="s">
        <v>9703</v>
      </c>
      <c r="I854" s="13" t="s">
        <v>6970</v>
      </c>
      <c r="J854" s="14" t="s">
        <v>798</v>
      </c>
      <c r="K854" s="15" t="s">
        <v>798</v>
      </c>
      <c r="L854" s="12" t="s">
        <v>5315</v>
      </c>
      <c r="M854" s="13" t="s">
        <v>5994</v>
      </c>
      <c r="N854" s="12" t="s">
        <v>803</v>
      </c>
      <c r="O854" s="13" t="s">
        <v>4854</v>
      </c>
      <c r="P854" s="17" t="s">
        <v>802</v>
      </c>
      <c r="Q854" s="21" t="s">
        <v>7825</v>
      </c>
      <c r="R854" s="17" t="s">
        <v>801</v>
      </c>
      <c r="S854" s="18" t="s">
        <v>2585</v>
      </c>
      <c r="T854" s="17" t="s">
        <v>800</v>
      </c>
      <c r="U854" s="18" t="s">
        <v>5238</v>
      </c>
      <c r="V854" s="17" t="s">
        <v>9418</v>
      </c>
      <c r="W854" s="18" t="s">
        <v>5309</v>
      </c>
      <c r="X854" s="69" t="s">
        <v>9453</v>
      </c>
      <c r="Y854" s="70" t="s">
        <v>9462</v>
      </c>
      <c r="Z854" s="73" t="s">
        <v>9486</v>
      </c>
      <c r="AA854" s="74" t="s">
        <v>9504</v>
      </c>
      <c r="AB854" s="73" t="s">
        <v>9486</v>
      </c>
      <c r="AC854" s="74" t="s">
        <v>9566</v>
      </c>
      <c r="AD854" s="73" t="s">
        <v>9578</v>
      </c>
      <c r="AE854" s="74" t="s">
        <v>9579</v>
      </c>
    </row>
    <row r="855" spans="1:31" ht="8.65" customHeight="1" x14ac:dyDescent="0.2">
      <c r="A855" s="76">
        <v>855</v>
      </c>
      <c r="B855" s="67" t="str">
        <f>MID(C855, FIND("Ifc.", C855) + 4, 4) &amp; "_" &amp; TEXT(COUNTIF($C$2:C855, C855),"0000")</f>
        <v>Prop_0854</v>
      </c>
      <c r="C855" s="24" t="s">
        <v>872</v>
      </c>
      <c r="D855" s="69" t="s">
        <v>9453</v>
      </c>
      <c r="E855" s="70" t="s">
        <v>9454</v>
      </c>
      <c r="F855" s="17" t="s">
        <v>806</v>
      </c>
      <c r="G855" s="22" t="s">
        <v>1093</v>
      </c>
      <c r="H855" s="12" t="s">
        <v>9703</v>
      </c>
      <c r="I855" s="13" t="s">
        <v>6970</v>
      </c>
      <c r="J855" s="14" t="s">
        <v>798</v>
      </c>
      <c r="K855" s="15" t="s">
        <v>798</v>
      </c>
      <c r="L855" s="12" t="s">
        <v>5315</v>
      </c>
      <c r="M855" s="13" t="s">
        <v>5389</v>
      </c>
      <c r="N855" s="12" t="s">
        <v>803</v>
      </c>
      <c r="O855" s="13" t="s">
        <v>4851</v>
      </c>
      <c r="P855" s="17" t="s">
        <v>802</v>
      </c>
      <c r="Q855" s="21" t="s">
        <v>7826</v>
      </c>
      <c r="R855" s="17" t="s">
        <v>801</v>
      </c>
      <c r="S855" s="18" t="s">
        <v>2585</v>
      </c>
      <c r="T855" s="17" t="s">
        <v>800</v>
      </c>
      <c r="U855" s="18" t="s">
        <v>5238</v>
      </c>
      <c r="V855" s="17" t="s">
        <v>9418</v>
      </c>
      <c r="W855" s="18" t="s">
        <v>5309</v>
      </c>
      <c r="X855" s="69" t="s">
        <v>9453</v>
      </c>
      <c r="Y855" s="70" t="s">
        <v>9462</v>
      </c>
      <c r="Z855" s="73" t="s">
        <v>9486</v>
      </c>
      <c r="AA855" s="74" t="s">
        <v>9504</v>
      </c>
      <c r="AB855" s="73" t="s">
        <v>9486</v>
      </c>
      <c r="AC855" s="74" t="s">
        <v>9566</v>
      </c>
      <c r="AD855" s="73" t="s">
        <v>9578</v>
      </c>
      <c r="AE855" s="74" t="s">
        <v>9579</v>
      </c>
    </row>
    <row r="856" spans="1:31" ht="8.65" customHeight="1" x14ac:dyDescent="0.2">
      <c r="A856" s="76">
        <v>856</v>
      </c>
      <c r="B856" s="67" t="str">
        <f>MID(C856, FIND("Ifc.", C856) + 4, 4) &amp; "_" &amp; TEXT(COUNTIF($C$2:C856, C856),"0000")</f>
        <v>Prop_0855</v>
      </c>
      <c r="C856" s="24" t="s">
        <v>872</v>
      </c>
      <c r="D856" s="69" t="s">
        <v>9453</v>
      </c>
      <c r="E856" s="70" t="s">
        <v>9454</v>
      </c>
      <c r="F856" s="17" t="s">
        <v>806</v>
      </c>
      <c r="G856" s="22" t="s">
        <v>1093</v>
      </c>
      <c r="H856" s="12" t="s">
        <v>9703</v>
      </c>
      <c r="I856" s="13" t="s">
        <v>6970</v>
      </c>
      <c r="J856" s="14" t="s">
        <v>798</v>
      </c>
      <c r="K856" s="15" t="s">
        <v>798</v>
      </c>
      <c r="L856" s="12" t="s">
        <v>5315</v>
      </c>
      <c r="M856" s="13" t="s">
        <v>5390</v>
      </c>
      <c r="N856" s="12" t="s">
        <v>803</v>
      </c>
      <c r="O856" s="13" t="s">
        <v>4852</v>
      </c>
      <c r="P856" s="17" t="s">
        <v>802</v>
      </c>
      <c r="Q856" s="21" t="s">
        <v>7866</v>
      </c>
      <c r="R856" s="17" t="s">
        <v>801</v>
      </c>
      <c r="S856" s="18" t="s">
        <v>2585</v>
      </c>
      <c r="T856" s="17" t="s">
        <v>800</v>
      </c>
      <c r="U856" s="18" t="s">
        <v>5238</v>
      </c>
      <c r="V856" s="17" t="s">
        <v>9418</v>
      </c>
      <c r="W856" s="18" t="s">
        <v>5309</v>
      </c>
      <c r="X856" s="69" t="s">
        <v>9453</v>
      </c>
      <c r="Y856" s="70" t="s">
        <v>9462</v>
      </c>
      <c r="Z856" s="73" t="s">
        <v>9486</v>
      </c>
      <c r="AA856" s="74" t="s">
        <v>9504</v>
      </c>
      <c r="AB856" s="73" t="s">
        <v>9486</v>
      </c>
      <c r="AC856" s="74" t="s">
        <v>9566</v>
      </c>
      <c r="AD856" s="73" t="s">
        <v>9578</v>
      </c>
      <c r="AE856" s="74" t="s">
        <v>9579</v>
      </c>
    </row>
    <row r="857" spans="1:31" ht="8.65" customHeight="1" x14ac:dyDescent="0.2">
      <c r="A857" s="76">
        <v>857</v>
      </c>
      <c r="B857" s="67" t="str">
        <f>MID(C857, FIND("Ifc.", C857) + 4, 4) &amp; "_" &amp; TEXT(COUNTIF($C$2:C857, C857),"0000")</f>
        <v>Prop_0856</v>
      </c>
      <c r="C857" s="24" t="s">
        <v>872</v>
      </c>
      <c r="D857" s="69" t="s">
        <v>9453</v>
      </c>
      <c r="E857" s="70" t="s">
        <v>9454</v>
      </c>
      <c r="F857" s="17" t="s">
        <v>806</v>
      </c>
      <c r="G857" s="22" t="s">
        <v>1093</v>
      </c>
      <c r="H857" s="12" t="s">
        <v>9703</v>
      </c>
      <c r="I857" s="13" t="s">
        <v>6970</v>
      </c>
      <c r="J857" s="14" t="s">
        <v>798</v>
      </c>
      <c r="K857" s="15" t="s">
        <v>798</v>
      </c>
      <c r="L857" s="12" t="s">
        <v>5315</v>
      </c>
      <c r="M857" s="13" t="s">
        <v>5995</v>
      </c>
      <c r="N857" s="12" t="s">
        <v>803</v>
      </c>
      <c r="O857" s="13" t="s">
        <v>4855</v>
      </c>
      <c r="P857" s="17" t="s">
        <v>802</v>
      </c>
      <c r="Q857" s="21" t="s">
        <v>7867</v>
      </c>
      <c r="R857" s="17" t="s">
        <v>801</v>
      </c>
      <c r="S857" s="18" t="s">
        <v>2585</v>
      </c>
      <c r="T857" s="17" t="s">
        <v>800</v>
      </c>
      <c r="U857" s="18" t="s">
        <v>5238</v>
      </c>
      <c r="V857" s="17" t="s">
        <v>9418</v>
      </c>
      <c r="W857" s="18" t="s">
        <v>5309</v>
      </c>
      <c r="X857" s="69" t="s">
        <v>9453</v>
      </c>
      <c r="Y857" s="70" t="s">
        <v>9462</v>
      </c>
      <c r="Z857" s="73" t="s">
        <v>9486</v>
      </c>
      <c r="AA857" s="74" t="s">
        <v>9504</v>
      </c>
      <c r="AB857" s="73" t="s">
        <v>9486</v>
      </c>
      <c r="AC857" s="74" t="s">
        <v>9566</v>
      </c>
      <c r="AD857" s="73" t="s">
        <v>9578</v>
      </c>
      <c r="AE857" s="74" t="s">
        <v>9579</v>
      </c>
    </row>
    <row r="858" spans="1:31" ht="8.65" customHeight="1" x14ac:dyDescent="0.2">
      <c r="A858" s="76">
        <v>858</v>
      </c>
      <c r="B858" s="67" t="str">
        <f>MID(C858, FIND("Ifc.", C858) + 4, 4) &amp; "_" &amp; TEXT(COUNTIF($C$2:C858, C858),"0000")</f>
        <v>Prop_0857</v>
      </c>
      <c r="C858" s="24" t="s">
        <v>872</v>
      </c>
      <c r="D858" s="69" t="s">
        <v>9453</v>
      </c>
      <c r="E858" s="70" t="s">
        <v>9454</v>
      </c>
      <c r="F858" s="17" t="s">
        <v>806</v>
      </c>
      <c r="G858" s="22" t="s">
        <v>1093</v>
      </c>
      <c r="H858" s="12" t="s">
        <v>9703</v>
      </c>
      <c r="I858" s="13" t="s">
        <v>6970</v>
      </c>
      <c r="J858" s="14" t="s">
        <v>798</v>
      </c>
      <c r="K858" s="15" t="s">
        <v>798</v>
      </c>
      <c r="L858" s="12" t="s">
        <v>5315</v>
      </c>
      <c r="M858" s="13" t="s">
        <v>5888</v>
      </c>
      <c r="N858" s="12" t="s">
        <v>803</v>
      </c>
      <c r="O858" s="13" t="s">
        <v>4913</v>
      </c>
      <c r="P858" s="17" t="s">
        <v>802</v>
      </c>
      <c r="Q858" s="21" t="s">
        <v>7827</v>
      </c>
      <c r="R858" s="17" t="s">
        <v>801</v>
      </c>
      <c r="S858" s="18" t="s">
        <v>2585</v>
      </c>
      <c r="T858" s="17" t="s">
        <v>800</v>
      </c>
      <c r="U858" s="18" t="s">
        <v>5238</v>
      </c>
      <c r="V858" s="17" t="s">
        <v>9418</v>
      </c>
      <c r="W858" s="18" t="s">
        <v>5309</v>
      </c>
      <c r="X858" s="69" t="s">
        <v>9453</v>
      </c>
      <c r="Y858" s="70" t="s">
        <v>9462</v>
      </c>
      <c r="Z858" s="73" t="s">
        <v>9486</v>
      </c>
      <c r="AA858" s="74" t="s">
        <v>9504</v>
      </c>
      <c r="AB858" s="73" t="s">
        <v>9486</v>
      </c>
      <c r="AC858" s="74" t="s">
        <v>9566</v>
      </c>
      <c r="AD858" s="73" t="s">
        <v>9578</v>
      </c>
      <c r="AE858" s="74" t="s">
        <v>9579</v>
      </c>
    </row>
    <row r="859" spans="1:31" ht="8.65" customHeight="1" x14ac:dyDescent="0.2">
      <c r="A859" s="76">
        <v>859</v>
      </c>
      <c r="B859" s="67" t="str">
        <f>MID(C859, FIND("Ifc.", C859) + 4, 4) &amp; "_" &amp; TEXT(COUNTIF($C$2:C859, C859),"0000")</f>
        <v>Prop_0858</v>
      </c>
      <c r="C859" s="24" t="s">
        <v>872</v>
      </c>
      <c r="D859" s="69" t="s">
        <v>9453</v>
      </c>
      <c r="E859" s="70" t="s">
        <v>9454</v>
      </c>
      <c r="F859" s="17" t="s">
        <v>806</v>
      </c>
      <c r="G859" s="22" t="s">
        <v>2066</v>
      </c>
      <c r="H859" s="12" t="s">
        <v>9703</v>
      </c>
      <c r="I859" s="13" t="s">
        <v>7049</v>
      </c>
      <c r="J859" s="14" t="s">
        <v>798</v>
      </c>
      <c r="K859" s="15" t="s">
        <v>798</v>
      </c>
      <c r="L859" s="12" t="s">
        <v>5315</v>
      </c>
      <c r="M859" s="13" t="s">
        <v>5975</v>
      </c>
      <c r="N859" s="12" t="s">
        <v>803</v>
      </c>
      <c r="O859" s="13" t="s">
        <v>5089</v>
      </c>
      <c r="P859" s="17" t="s">
        <v>802</v>
      </c>
      <c r="Q859" s="21" t="s">
        <v>7854</v>
      </c>
      <c r="R859" s="17" t="s">
        <v>801</v>
      </c>
      <c r="S859" s="18" t="s">
        <v>2585</v>
      </c>
      <c r="T859" s="17" t="s">
        <v>800</v>
      </c>
      <c r="U859" s="18" t="s">
        <v>5238</v>
      </c>
      <c r="V859" s="17" t="s">
        <v>9418</v>
      </c>
      <c r="W859" s="18" t="s">
        <v>5309</v>
      </c>
      <c r="X859" s="69" t="s">
        <v>9453</v>
      </c>
      <c r="Y859" s="70" t="s">
        <v>9462</v>
      </c>
      <c r="Z859" s="73" t="s">
        <v>9486</v>
      </c>
      <c r="AA859" s="74" t="s">
        <v>9504</v>
      </c>
      <c r="AB859" s="73" t="s">
        <v>9486</v>
      </c>
      <c r="AC859" s="74" t="s">
        <v>9566</v>
      </c>
      <c r="AD859" s="73" t="s">
        <v>9578</v>
      </c>
      <c r="AE859" s="74" t="s">
        <v>9579</v>
      </c>
    </row>
    <row r="860" spans="1:31" ht="8.65" customHeight="1" x14ac:dyDescent="0.2">
      <c r="A860" s="76">
        <v>860</v>
      </c>
      <c r="B860" s="67" t="str">
        <f>MID(C860, FIND("Ifc.", C860) + 4, 4) &amp; "_" &amp; TEXT(COUNTIF($C$2:C860, C860),"0000")</f>
        <v>Prop_0859</v>
      </c>
      <c r="C860" s="24" t="s">
        <v>872</v>
      </c>
      <c r="D860" s="69" t="s">
        <v>9453</v>
      </c>
      <c r="E860" s="70" t="s">
        <v>9454</v>
      </c>
      <c r="F860" s="17" t="s">
        <v>806</v>
      </c>
      <c r="G860" s="22" t="s">
        <v>2070</v>
      </c>
      <c r="H860" s="12" t="s">
        <v>9703</v>
      </c>
      <c r="I860" s="13" t="s">
        <v>7051</v>
      </c>
      <c r="J860" s="14" t="s">
        <v>798</v>
      </c>
      <c r="K860" s="15" t="s">
        <v>798</v>
      </c>
      <c r="L860" s="12" t="s">
        <v>5315</v>
      </c>
      <c r="M860" s="13" t="s">
        <v>5976</v>
      </c>
      <c r="N860" s="12" t="s">
        <v>803</v>
      </c>
      <c r="O860" s="13" t="s">
        <v>5090</v>
      </c>
      <c r="P860" s="17" t="s">
        <v>802</v>
      </c>
      <c r="Q860" s="21" t="s">
        <v>7855</v>
      </c>
      <c r="R860" s="17" t="s">
        <v>801</v>
      </c>
      <c r="S860" s="18" t="s">
        <v>2585</v>
      </c>
      <c r="T860" s="17" t="s">
        <v>800</v>
      </c>
      <c r="U860" s="18" t="s">
        <v>5238</v>
      </c>
      <c r="V860" s="17" t="s">
        <v>9418</v>
      </c>
      <c r="W860" s="18" t="s">
        <v>5309</v>
      </c>
      <c r="X860" s="69" t="s">
        <v>9453</v>
      </c>
      <c r="Y860" s="70" t="s">
        <v>9462</v>
      </c>
      <c r="Z860" s="73" t="s">
        <v>9486</v>
      </c>
      <c r="AA860" s="74" t="s">
        <v>9504</v>
      </c>
      <c r="AB860" s="73" t="s">
        <v>9486</v>
      </c>
      <c r="AC860" s="74" t="s">
        <v>9566</v>
      </c>
      <c r="AD860" s="73" t="s">
        <v>9578</v>
      </c>
      <c r="AE860" s="74" t="s">
        <v>9579</v>
      </c>
    </row>
    <row r="861" spans="1:31" ht="8.65" customHeight="1" x14ac:dyDescent="0.2">
      <c r="A861" s="76">
        <v>861</v>
      </c>
      <c r="B861" s="67" t="str">
        <f>MID(C861, FIND("Ifc.", C861) + 4, 4) &amp; "_" &amp; TEXT(COUNTIF($C$2:C861, C861),"0000")</f>
        <v>Prop_0860</v>
      </c>
      <c r="C861" s="24" t="s">
        <v>872</v>
      </c>
      <c r="D861" s="69" t="s">
        <v>9453</v>
      </c>
      <c r="E861" s="70" t="s">
        <v>9454</v>
      </c>
      <c r="F861" s="17" t="s">
        <v>806</v>
      </c>
      <c r="G861" s="22" t="s">
        <v>1212</v>
      </c>
      <c r="H861" s="12" t="s">
        <v>9703</v>
      </c>
      <c r="I861" s="13" t="s">
        <v>6912</v>
      </c>
      <c r="J861" s="14" t="s">
        <v>798</v>
      </c>
      <c r="K861" s="15" t="s">
        <v>798</v>
      </c>
      <c r="L861" s="12" t="s">
        <v>5315</v>
      </c>
      <c r="M861" s="13" t="s">
        <v>5821</v>
      </c>
      <c r="N861" s="12" t="s">
        <v>803</v>
      </c>
      <c r="O861" s="13" t="s">
        <v>4883</v>
      </c>
      <c r="P861" s="17" t="s">
        <v>802</v>
      </c>
      <c r="Q861" s="21" t="s">
        <v>7683</v>
      </c>
      <c r="R861" s="17" t="s">
        <v>801</v>
      </c>
      <c r="S861" s="18" t="s">
        <v>2585</v>
      </c>
      <c r="T861" s="17" t="s">
        <v>800</v>
      </c>
      <c r="U861" s="18" t="s">
        <v>5238</v>
      </c>
      <c r="V861" s="17" t="s">
        <v>9418</v>
      </c>
      <c r="W861" s="18" t="s">
        <v>5309</v>
      </c>
      <c r="X861" s="69" t="s">
        <v>9453</v>
      </c>
      <c r="Y861" s="70" t="s">
        <v>9462</v>
      </c>
      <c r="Z861" s="73" t="s">
        <v>9486</v>
      </c>
      <c r="AA861" s="74" t="s">
        <v>9504</v>
      </c>
      <c r="AB861" s="73" t="s">
        <v>9486</v>
      </c>
      <c r="AC861" s="74" t="s">
        <v>9566</v>
      </c>
      <c r="AD861" s="73" t="s">
        <v>9578</v>
      </c>
      <c r="AE861" s="74" t="s">
        <v>9579</v>
      </c>
    </row>
    <row r="862" spans="1:31" ht="8.65" customHeight="1" x14ac:dyDescent="0.2">
      <c r="A862" s="76">
        <v>862</v>
      </c>
      <c r="B862" s="67" t="str">
        <f>MID(C862, FIND("Ifc.", C862) + 4, 4) &amp; "_" &amp; TEXT(COUNTIF($C$2:C862, C862),"0000")</f>
        <v>Prop_0861</v>
      </c>
      <c r="C862" s="24" t="s">
        <v>872</v>
      </c>
      <c r="D862" s="69" t="s">
        <v>9453</v>
      </c>
      <c r="E862" s="70" t="s">
        <v>9454</v>
      </c>
      <c r="F862" s="17" t="s">
        <v>806</v>
      </c>
      <c r="G862" s="22" t="s">
        <v>2160</v>
      </c>
      <c r="H862" s="12" t="s">
        <v>9703</v>
      </c>
      <c r="I862" s="13" t="s">
        <v>6939</v>
      </c>
      <c r="J862" s="14" t="s">
        <v>798</v>
      </c>
      <c r="K862" s="15" t="s">
        <v>798</v>
      </c>
      <c r="L862" s="12" t="s">
        <v>5315</v>
      </c>
      <c r="M862" s="13" t="s">
        <v>5499</v>
      </c>
      <c r="N862" s="12" t="s">
        <v>803</v>
      </c>
      <c r="O862" s="13" t="s">
        <v>5113</v>
      </c>
      <c r="P862" s="17" t="s">
        <v>802</v>
      </c>
      <c r="Q862" s="21" t="s">
        <v>7707</v>
      </c>
      <c r="R862" s="17" t="s">
        <v>801</v>
      </c>
      <c r="S862" s="18" t="s">
        <v>2585</v>
      </c>
      <c r="T862" s="17" t="s">
        <v>800</v>
      </c>
      <c r="U862" s="18" t="s">
        <v>5238</v>
      </c>
      <c r="V862" s="17" t="s">
        <v>9418</v>
      </c>
      <c r="W862" s="18" t="s">
        <v>5309</v>
      </c>
      <c r="X862" s="69" t="s">
        <v>9453</v>
      </c>
      <c r="Y862" s="70" t="s">
        <v>9462</v>
      </c>
      <c r="Z862" s="73" t="s">
        <v>9486</v>
      </c>
      <c r="AA862" s="74" t="s">
        <v>9504</v>
      </c>
      <c r="AB862" s="73" t="s">
        <v>9486</v>
      </c>
      <c r="AC862" s="74" t="s">
        <v>9566</v>
      </c>
      <c r="AD862" s="73" t="s">
        <v>9578</v>
      </c>
      <c r="AE862" s="74" t="s">
        <v>9579</v>
      </c>
    </row>
    <row r="863" spans="1:31" ht="8.65" customHeight="1" x14ac:dyDescent="0.2">
      <c r="A863" s="76">
        <v>863</v>
      </c>
      <c r="B863" s="67" t="str">
        <f>MID(C863, FIND("Ifc.", C863) + 4, 4) &amp; "_" &amp; TEXT(COUNTIF($C$2:C863, C863),"0000")</f>
        <v>Prop_0862</v>
      </c>
      <c r="C863" s="24" t="s">
        <v>872</v>
      </c>
      <c r="D863" s="69" t="s">
        <v>9453</v>
      </c>
      <c r="E863" s="70" t="s">
        <v>9454</v>
      </c>
      <c r="F863" s="17" t="s">
        <v>806</v>
      </c>
      <c r="G863" s="22" t="s">
        <v>2512</v>
      </c>
      <c r="H863" s="12" t="s">
        <v>9703</v>
      </c>
      <c r="I863" s="13" t="s">
        <v>6961</v>
      </c>
      <c r="J863" s="14" t="s">
        <v>798</v>
      </c>
      <c r="K863" s="15" t="s">
        <v>798</v>
      </c>
      <c r="L863" s="12" t="s">
        <v>5315</v>
      </c>
      <c r="M863" s="13" t="s">
        <v>5578</v>
      </c>
      <c r="N863" s="12" t="s">
        <v>803</v>
      </c>
      <c r="O863" s="13" t="s">
        <v>5224</v>
      </c>
      <c r="P863" s="17" t="s">
        <v>802</v>
      </c>
      <c r="Q863" s="21" t="s">
        <v>7677</v>
      </c>
      <c r="R863" s="17" t="s">
        <v>801</v>
      </c>
      <c r="S863" s="18" t="s">
        <v>2585</v>
      </c>
      <c r="T863" s="17" t="s">
        <v>800</v>
      </c>
      <c r="U863" s="18" t="s">
        <v>5238</v>
      </c>
      <c r="V863" s="17" t="s">
        <v>9418</v>
      </c>
      <c r="W863" s="18" t="s">
        <v>5309</v>
      </c>
      <c r="X863" s="69" t="s">
        <v>9453</v>
      </c>
      <c r="Y863" s="70" t="s">
        <v>9462</v>
      </c>
      <c r="Z863" s="73" t="s">
        <v>9486</v>
      </c>
      <c r="AA863" s="74" t="s">
        <v>9504</v>
      </c>
      <c r="AB863" s="73" t="s">
        <v>9486</v>
      </c>
      <c r="AC863" s="74" t="s">
        <v>9566</v>
      </c>
      <c r="AD863" s="73" t="s">
        <v>9578</v>
      </c>
      <c r="AE863" s="74" t="s">
        <v>9579</v>
      </c>
    </row>
    <row r="864" spans="1:31" ht="8.65" customHeight="1" x14ac:dyDescent="0.2">
      <c r="A864" s="76">
        <v>864</v>
      </c>
      <c r="B864" s="67" t="str">
        <f>MID(C864, FIND("Ifc.", C864) + 4, 4) &amp; "_" &amp; TEXT(COUNTIF($C$2:C864, C864),"0000")</f>
        <v>Prop_0863</v>
      </c>
      <c r="C864" s="24" t="s">
        <v>872</v>
      </c>
      <c r="D864" s="69" t="s">
        <v>9453</v>
      </c>
      <c r="E864" s="70" t="s">
        <v>9454</v>
      </c>
      <c r="F864" s="17" t="s">
        <v>806</v>
      </c>
      <c r="G864" s="22" t="s">
        <v>2513</v>
      </c>
      <c r="H864" s="12" t="s">
        <v>9703</v>
      </c>
      <c r="I864" s="13" t="s">
        <v>6962</v>
      </c>
      <c r="J864" s="14" t="s">
        <v>798</v>
      </c>
      <c r="K864" s="15" t="s">
        <v>798</v>
      </c>
      <c r="L864" s="12" t="s">
        <v>5315</v>
      </c>
      <c r="M864" s="13" t="s">
        <v>5578</v>
      </c>
      <c r="N864" s="12" t="s">
        <v>803</v>
      </c>
      <c r="O864" s="13" t="s">
        <v>5224</v>
      </c>
      <c r="P864" s="17" t="s">
        <v>802</v>
      </c>
      <c r="Q864" s="21" t="s">
        <v>7677</v>
      </c>
      <c r="R864" s="17" t="s">
        <v>801</v>
      </c>
      <c r="S864" s="18" t="s">
        <v>2585</v>
      </c>
      <c r="T864" s="17" t="s">
        <v>800</v>
      </c>
      <c r="U864" s="18" t="s">
        <v>5238</v>
      </c>
      <c r="V864" s="17" t="s">
        <v>9418</v>
      </c>
      <c r="W864" s="18" t="s">
        <v>5309</v>
      </c>
      <c r="X864" s="69" t="s">
        <v>9453</v>
      </c>
      <c r="Y864" s="70" t="s">
        <v>9462</v>
      </c>
      <c r="Z864" s="73" t="s">
        <v>9486</v>
      </c>
      <c r="AA864" s="74" t="s">
        <v>9504</v>
      </c>
      <c r="AB864" s="73" t="s">
        <v>9486</v>
      </c>
      <c r="AC864" s="74" t="s">
        <v>9566</v>
      </c>
      <c r="AD864" s="73" t="s">
        <v>9578</v>
      </c>
      <c r="AE864" s="74" t="s">
        <v>9579</v>
      </c>
    </row>
    <row r="865" spans="1:31" ht="8.65" customHeight="1" x14ac:dyDescent="0.2">
      <c r="A865" s="76">
        <v>865</v>
      </c>
      <c r="B865" s="67" t="str">
        <f>MID(C865, FIND("Ifc.", C865) + 4, 4) &amp; "_" &amp; TEXT(COUNTIF($C$2:C865, C865),"0000")</f>
        <v>Prop_0864</v>
      </c>
      <c r="C865" s="24" t="s">
        <v>872</v>
      </c>
      <c r="D865" s="69" t="s">
        <v>9453</v>
      </c>
      <c r="E865" s="70" t="s">
        <v>9454</v>
      </c>
      <c r="F865" s="17" t="s">
        <v>806</v>
      </c>
      <c r="G865" s="22" t="s">
        <v>2514</v>
      </c>
      <c r="H865" s="12" t="s">
        <v>9703</v>
      </c>
      <c r="I865" s="13" t="s">
        <v>6963</v>
      </c>
      <c r="J865" s="14" t="s">
        <v>798</v>
      </c>
      <c r="K865" s="15" t="s">
        <v>798</v>
      </c>
      <c r="L865" s="12" t="s">
        <v>5315</v>
      </c>
      <c r="M865" s="13" t="s">
        <v>5578</v>
      </c>
      <c r="N865" s="12" t="s">
        <v>803</v>
      </c>
      <c r="O865" s="13" t="s">
        <v>5224</v>
      </c>
      <c r="P865" s="17" t="s">
        <v>802</v>
      </c>
      <c r="Q865" s="21" t="s">
        <v>7677</v>
      </c>
      <c r="R865" s="17" t="s">
        <v>801</v>
      </c>
      <c r="S865" s="18" t="s">
        <v>2585</v>
      </c>
      <c r="T865" s="17" t="s">
        <v>800</v>
      </c>
      <c r="U865" s="18" t="s">
        <v>5238</v>
      </c>
      <c r="V865" s="17" t="s">
        <v>9418</v>
      </c>
      <c r="W865" s="18" t="s">
        <v>5309</v>
      </c>
      <c r="X865" s="69" t="s">
        <v>9453</v>
      </c>
      <c r="Y865" s="70" t="s">
        <v>9462</v>
      </c>
      <c r="Z865" s="73" t="s">
        <v>9486</v>
      </c>
      <c r="AA865" s="74" t="s">
        <v>9504</v>
      </c>
      <c r="AB865" s="73" t="s">
        <v>9486</v>
      </c>
      <c r="AC865" s="74" t="s">
        <v>9566</v>
      </c>
      <c r="AD865" s="73" t="s">
        <v>9578</v>
      </c>
      <c r="AE865" s="74" t="s">
        <v>9579</v>
      </c>
    </row>
    <row r="866" spans="1:31" ht="8.65" customHeight="1" x14ac:dyDescent="0.2">
      <c r="A866" s="76">
        <v>866</v>
      </c>
      <c r="B866" s="67" t="str">
        <f>MID(C866, FIND("Ifc.", C866) + 4, 4) &amp; "_" &amp; TEXT(COUNTIF($C$2:C866, C866),"0000")</f>
        <v>Prop_0865</v>
      </c>
      <c r="C866" s="24" t="s">
        <v>872</v>
      </c>
      <c r="D866" s="69" t="s">
        <v>9453</v>
      </c>
      <c r="E866" s="70" t="s">
        <v>9454</v>
      </c>
      <c r="F866" s="17" t="s">
        <v>806</v>
      </c>
      <c r="G866" s="22" t="s">
        <v>1409</v>
      </c>
      <c r="H866" s="12" t="s">
        <v>9703</v>
      </c>
      <c r="I866" s="13" t="s">
        <v>7164</v>
      </c>
      <c r="J866" s="14" t="s">
        <v>798</v>
      </c>
      <c r="K866" s="15" t="s">
        <v>798</v>
      </c>
      <c r="L866" s="12" t="s">
        <v>5315</v>
      </c>
      <c r="M866" s="13" t="s">
        <v>6054</v>
      </c>
      <c r="N866" s="12" t="s">
        <v>803</v>
      </c>
      <c r="O866" s="13" t="s">
        <v>4927</v>
      </c>
      <c r="P866" s="17" t="s">
        <v>802</v>
      </c>
      <c r="Q866" s="21" t="s">
        <v>7686</v>
      </c>
      <c r="R866" s="17" t="s">
        <v>801</v>
      </c>
      <c r="S866" s="18" t="s">
        <v>2585</v>
      </c>
      <c r="T866" s="17" t="s">
        <v>800</v>
      </c>
      <c r="U866" s="18" t="s">
        <v>5238</v>
      </c>
      <c r="V866" s="17" t="s">
        <v>9418</v>
      </c>
      <c r="W866" s="18" t="s">
        <v>5309</v>
      </c>
      <c r="X866" s="69" t="s">
        <v>9453</v>
      </c>
      <c r="Y866" s="70" t="s">
        <v>9462</v>
      </c>
      <c r="Z866" s="73" t="s">
        <v>9486</v>
      </c>
      <c r="AA866" s="74" t="s">
        <v>9504</v>
      </c>
      <c r="AB866" s="73" t="s">
        <v>9486</v>
      </c>
      <c r="AC866" s="74" t="s">
        <v>9566</v>
      </c>
      <c r="AD866" s="73" t="s">
        <v>9578</v>
      </c>
      <c r="AE866" s="74" t="s">
        <v>9579</v>
      </c>
    </row>
    <row r="867" spans="1:31" ht="8.65" customHeight="1" x14ac:dyDescent="0.2">
      <c r="A867" s="76">
        <v>867</v>
      </c>
      <c r="B867" s="67" t="str">
        <f>MID(C867, FIND("Ifc.", C867) + 4, 4) &amp; "_" &amp; TEXT(COUNTIF($C$2:C867, C867),"0000")</f>
        <v>Prop_0866</v>
      </c>
      <c r="C867" s="24" t="s">
        <v>872</v>
      </c>
      <c r="D867" s="69" t="s">
        <v>9453</v>
      </c>
      <c r="E867" s="70" t="s">
        <v>9454</v>
      </c>
      <c r="F867" s="17" t="s">
        <v>806</v>
      </c>
      <c r="G867" s="22" t="s">
        <v>1409</v>
      </c>
      <c r="H867" s="12" t="s">
        <v>9703</v>
      </c>
      <c r="I867" s="13" t="s">
        <v>7164</v>
      </c>
      <c r="J867" s="14" t="s">
        <v>798</v>
      </c>
      <c r="K867" s="15" t="s">
        <v>798</v>
      </c>
      <c r="L867" s="12" t="s">
        <v>5315</v>
      </c>
      <c r="M867" s="13" t="s">
        <v>6059</v>
      </c>
      <c r="N867" s="12" t="s">
        <v>803</v>
      </c>
      <c r="O867" s="13" t="s">
        <v>4928</v>
      </c>
      <c r="P867" s="17" t="s">
        <v>802</v>
      </c>
      <c r="Q867" s="21" t="s">
        <v>7706</v>
      </c>
      <c r="R867" s="17" t="s">
        <v>801</v>
      </c>
      <c r="S867" s="18" t="s">
        <v>2585</v>
      </c>
      <c r="T867" s="17" t="s">
        <v>800</v>
      </c>
      <c r="U867" s="18" t="s">
        <v>5238</v>
      </c>
      <c r="V867" s="17" t="s">
        <v>9418</v>
      </c>
      <c r="W867" s="18" t="s">
        <v>5309</v>
      </c>
      <c r="X867" s="69" t="s">
        <v>9453</v>
      </c>
      <c r="Y867" s="70" t="s">
        <v>9462</v>
      </c>
      <c r="Z867" s="73" t="s">
        <v>9486</v>
      </c>
      <c r="AA867" s="74" t="s">
        <v>9504</v>
      </c>
      <c r="AB867" s="73" t="s">
        <v>9486</v>
      </c>
      <c r="AC867" s="74" t="s">
        <v>9566</v>
      </c>
      <c r="AD867" s="73" t="s">
        <v>9578</v>
      </c>
      <c r="AE867" s="74" t="s">
        <v>9579</v>
      </c>
    </row>
    <row r="868" spans="1:31" ht="8.65" customHeight="1" x14ac:dyDescent="0.2">
      <c r="A868" s="76">
        <v>868</v>
      </c>
      <c r="B868" s="67" t="str">
        <f>MID(C868, FIND("Ifc.", C868) + 4, 4) &amp; "_" &amp; TEXT(COUNTIF($C$2:C868, C868),"0000")</f>
        <v>Prop_0867</v>
      </c>
      <c r="C868" s="24" t="s">
        <v>872</v>
      </c>
      <c r="D868" s="69" t="s">
        <v>9453</v>
      </c>
      <c r="E868" s="70" t="s">
        <v>9454</v>
      </c>
      <c r="F868" s="17" t="s">
        <v>806</v>
      </c>
      <c r="G868" s="22" t="s">
        <v>2016</v>
      </c>
      <c r="H868" s="12" t="s">
        <v>9703</v>
      </c>
      <c r="I868" s="13" t="s">
        <v>7044</v>
      </c>
      <c r="J868" s="14" t="s">
        <v>798</v>
      </c>
      <c r="K868" s="15" t="s">
        <v>798</v>
      </c>
      <c r="L868" s="12" t="s">
        <v>5315</v>
      </c>
      <c r="M868" s="13" t="s">
        <v>5480</v>
      </c>
      <c r="N868" s="12" t="s">
        <v>803</v>
      </c>
      <c r="O868" s="13" t="s">
        <v>5084</v>
      </c>
      <c r="P868" s="17" t="s">
        <v>802</v>
      </c>
      <c r="Q868" s="21" t="s">
        <v>7755</v>
      </c>
      <c r="R868" s="17" t="s">
        <v>801</v>
      </c>
      <c r="S868" s="18" t="s">
        <v>2585</v>
      </c>
      <c r="T868" s="17" t="s">
        <v>800</v>
      </c>
      <c r="U868" s="18" t="s">
        <v>5238</v>
      </c>
      <c r="V868" s="17" t="s">
        <v>9418</v>
      </c>
      <c r="W868" s="18" t="s">
        <v>5309</v>
      </c>
      <c r="X868" s="69" t="s">
        <v>9453</v>
      </c>
      <c r="Y868" s="70" t="s">
        <v>9462</v>
      </c>
      <c r="Z868" s="73" t="s">
        <v>9486</v>
      </c>
      <c r="AA868" s="74" t="s">
        <v>9504</v>
      </c>
      <c r="AB868" s="73" t="s">
        <v>9486</v>
      </c>
      <c r="AC868" s="74" t="s">
        <v>9566</v>
      </c>
      <c r="AD868" s="73" t="s">
        <v>9578</v>
      </c>
      <c r="AE868" s="74" t="s">
        <v>9579</v>
      </c>
    </row>
    <row r="869" spans="1:31" ht="8.65" customHeight="1" x14ac:dyDescent="0.2">
      <c r="A869" s="76">
        <v>869</v>
      </c>
      <c r="B869" s="67" t="str">
        <f>MID(C869, FIND("Ifc.", C869) + 4, 4) &amp; "_" &amp; TEXT(COUNTIF($C$2:C869, C869),"0000")</f>
        <v>Prop_0868</v>
      </c>
      <c r="C869" s="24" t="s">
        <v>872</v>
      </c>
      <c r="D869" s="69" t="s">
        <v>9453</v>
      </c>
      <c r="E869" s="70" t="s">
        <v>9454</v>
      </c>
      <c r="F869" s="17" t="s">
        <v>806</v>
      </c>
      <c r="G869" s="22" t="s">
        <v>2017</v>
      </c>
      <c r="H869" s="12" t="s">
        <v>9703</v>
      </c>
      <c r="I869" s="13" t="s">
        <v>7045</v>
      </c>
      <c r="J869" s="14" t="s">
        <v>798</v>
      </c>
      <c r="K869" s="15" t="s">
        <v>798</v>
      </c>
      <c r="L869" s="12" t="s">
        <v>5315</v>
      </c>
      <c r="M869" s="13" t="s">
        <v>5480</v>
      </c>
      <c r="N869" s="12" t="s">
        <v>803</v>
      </c>
      <c r="O869" s="13" t="s">
        <v>5084</v>
      </c>
      <c r="P869" s="17" t="s">
        <v>802</v>
      </c>
      <c r="Q869" s="21" t="s">
        <v>7755</v>
      </c>
      <c r="R869" s="17" t="s">
        <v>801</v>
      </c>
      <c r="S869" s="18" t="s">
        <v>2585</v>
      </c>
      <c r="T869" s="17" t="s">
        <v>800</v>
      </c>
      <c r="U869" s="18" t="s">
        <v>5238</v>
      </c>
      <c r="V869" s="17" t="s">
        <v>9418</v>
      </c>
      <c r="W869" s="18" t="s">
        <v>5309</v>
      </c>
      <c r="X869" s="69" t="s">
        <v>9453</v>
      </c>
      <c r="Y869" s="70" t="s">
        <v>9462</v>
      </c>
      <c r="Z869" s="73" t="s">
        <v>9486</v>
      </c>
      <c r="AA869" s="74" t="s">
        <v>9504</v>
      </c>
      <c r="AB869" s="73" t="s">
        <v>9486</v>
      </c>
      <c r="AC869" s="74" t="s">
        <v>9566</v>
      </c>
      <c r="AD869" s="73" t="s">
        <v>9578</v>
      </c>
      <c r="AE869" s="74" t="s">
        <v>9579</v>
      </c>
    </row>
    <row r="870" spans="1:31" ht="8.65" customHeight="1" x14ac:dyDescent="0.2">
      <c r="A870" s="76">
        <v>870</v>
      </c>
      <c r="B870" s="67" t="str">
        <f>MID(C870, FIND("Ifc.", C870) + 4, 4) &amp; "_" &amp; TEXT(COUNTIF($C$2:C870, C870),"0000")</f>
        <v>Prop_0869</v>
      </c>
      <c r="C870" s="24" t="s">
        <v>872</v>
      </c>
      <c r="D870" s="69" t="s">
        <v>9453</v>
      </c>
      <c r="E870" s="70" t="s">
        <v>9454</v>
      </c>
      <c r="F870" s="17" t="s">
        <v>806</v>
      </c>
      <c r="G870" s="22" t="s">
        <v>2080</v>
      </c>
      <c r="H870" s="12" t="s">
        <v>9703</v>
      </c>
      <c r="I870" s="13" t="s">
        <v>6913</v>
      </c>
      <c r="J870" s="14" t="s">
        <v>798</v>
      </c>
      <c r="K870" s="15" t="s">
        <v>798</v>
      </c>
      <c r="L870" s="12" t="s">
        <v>5315</v>
      </c>
      <c r="M870" s="13" t="s">
        <v>5978</v>
      </c>
      <c r="N870" s="12" t="s">
        <v>803</v>
      </c>
      <c r="O870" s="13" t="s">
        <v>5093</v>
      </c>
      <c r="P870" s="17" t="s">
        <v>802</v>
      </c>
      <c r="Q870" s="21" t="s">
        <v>7732</v>
      </c>
      <c r="R870" s="17" t="s">
        <v>801</v>
      </c>
      <c r="S870" s="18" t="s">
        <v>2585</v>
      </c>
      <c r="T870" s="17" t="s">
        <v>800</v>
      </c>
      <c r="U870" s="18" t="s">
        <v>5238</v>
      </c>
      <c r="V870" s="17" t="s">
        <v>9418</v>
      </c>
      <c r="W870" s="18" t="s">
        <v>5309</v>
      </c>
      <c r="X870" s="69" t="s">
        <v>9453</v>
      </c>
      <c r="Y870" s="70" t="s">
        <v>9462</v>
      </c>
      <c r="Z870" s="73" t="s">
        <v>9486</v>
      </c>
      <c r="AA870" s="74" t="s">
        <v>9504</v>
      </c>
      <c r="AB870" s="73" t="s">
        <v>9486</v>
      </c>
      <c r="AC870" s="74" t="s">
        <v>9566</v>
      </c>
      <c r="AD870" s="73" t="s">
        <v>9578</v>
      </c>
      <c r="AE870" s="74" t="s">
        <v>9579</v>
      </c>
    </row>
    <row r="871" spans="1:31" ht="8.65" customHeight="1" x14ac:dyDescent="0.2">
      <c r="A871" s="76">
        <v>871</v>
      </c>
      <c r="B871" s="67" t="str">
        <f>MID(C871, FIND("Ifc.", C871) + 4, 4) &amp; "_" &amp; TEXT(COUNTIF($C$2:C871, C871),"0000")</f>
        <v>Prop_0870</v>
      </c>
      <c r="C871" s="24" t="s">
        <v>872</v>
      </c>
      <c r="D871" s="69" t="s">
        <v>9453</v>
      </c>
      <c r="E871" s="70" t="s">
        <v>9454</v>
      </c>
      <c r="F871" s="17" t="s">
        <v>806</v>
      </c>
      <c r="G871" s="22" t="s">
        <v>1331</v>
      </c>
      <c r="H871" s="12" t="s">
        <v>9703</v>
      </c>
      <c r="I871" s="13" t="s">
        <v>6500</v>
      </c>
      <c r="J871" s="14" t="s">
        <v>798</v>
      </c>
      <c r="K871" s="15" t="s">
        <v>798</v>
      </c>
      <c r="L871" s="12" t="s">
        <v>5315</v>
      </c>
      <c r="M871" s="13" t="s">
        <v>5978</v>
      </c>
      <c r="N871" s="12" t="s">
        <v>803</v>
      </c>
      <c r="O871" s="13" t="s">
        <v>5093</v>
      </c>
      <c r="P871" s="17" t="s">
        <v>802</v>
      </c>
      <c r="Q871" s="21" t="s">
        <v>7732</v>
      </c>
      <c r="R871" s="17" t="s">
        <v>801</v>
      </c>
      <c r="S871" s="18" t="s">
        <v>2585</v>
      </c>
      <c r="T871" s="17" t="s">
        <v>800</v>
      </c>
      <c r="U871" s="18" t="s">
        <v>5238</v>
      </c>
      <c r="V871" s="17" t="s">
        <v>9418</v>
      </c>
      <c r="W871" s="18" t="s">
        <v>5309</v>
      </c>
      <c r="X871" s="69" t="s">
        <v>9453</v>
      </c>
      <c r="Y871" s="70" t="s">
        <v>9462</v>
      </c>
      <c r="Z871" s="73" t="s">
        <v>9486</v>
      </c>
      <c r="AA871" s="74" t="s">
        <v>9504</v>
      </c>
      <c r="AB871" s="73" t="s">
        <v>9486</v>
      </c>
      <c r="AC871" s="74" t="s">
        <v>9566</v>
      </c>
      <c r="AD871" s="73" t="s">
        <v>9578</v>
      </c>
      <c r="AE871" s="74" t="s">
        <v>9579</v>
      </c>
    </row>
    <row r="872" spans="1:31" ht="8.65" customHeight="1" x14ac:dyDescent="0.2">
      <c r="A872" s="76">
        <v>872</v>
      </c>
      <c r="B872" s="67" t="str">
        <f>MID(C872, FIND("Ifc.", C872) + 4, 4) &amp; "_" &amp; TEXT(COUNTIF($C$2:C872, C872),"0000")</f>
        <v>Prop_0871</v>
      </c>
      <c r="C872" s="24" t="s">
        <v>872</v>
      </c>
      <c r="D872" s="69" t="s">
        <v>9453</v>
      </c>
      <c r="E872" s="70" t="s">
        <v>9454</v>
      </c>
      <c r="F872" s="17" t="s">
        <v>806</v>
      </c>
      <c r="G872" s="22" t="s">
        <v>1331</v>
      </c>
      <c r="H872" s="12" t="s">
        <v>9703</v>
      </c>
      <c r="I872" s="13" t="s">
        <v>6500</v>
      </c>
      <c r="J872" s="14" t="s">
        <v>798</v>
      </c>
      <c r="K872" s="15" t="s">
        <v>798</v>
      </c>
      <c r="L872" s="12" t="s">
        <v>5315</v>
      </c>
      <c r="M872" s="13" t="s">
        <v>5970</v>
      </c>
      <c r="N872" s="12" t="s">
        <v>803</v>
      </c>
      <c r="O872" s="13" t="s">
        <v>5076</v>
      </c>
      <c r="P872" s="17" t="s">
        <v>802</v>
      </c>
      <c r="Q872" s="21" t="s">
        <v>7962</v>
      </c>
      <c r="R872" s="17" t="s">
        <v>801</v>
      </c>
      <c r="S872" s="18" t="s">
        <v>2585</v>
      </c>
      <c r="T872" s="17" t="s">
        <v>800</v>
      </c>
      <c r="U872" s="18" t="s">
        <v>5238</v>
      </c>
      <c r="V872" s="17" t="s">
        <v>9418</v>
      </c>
      <c r="W872" s="18" t="s">
        <v>5309</v>
      </c>
      <c r="X872" s="69" t="s">
        <v>9453</v>
      </c>
      <c r="Y872" s="70" t="s">
        <v>9462</v>
      </c>
      <c r="Z872" s="73" t="s">
        <v>9486</v>
      </c>
      <c r="AA872" s="74" t="s">
        <v>9504</v>
      </c>
      <c r="AB872" s="73" t="s">
        <v>9486</v>
      </c>
      <c r="AC872" s="74" t="s">
        <v>9566</v>
      </c>
      <c r="AD872" s="73" t="s">
        <v>9578</v>
      </c>
      <c r="AE872" s="74" t="s">
        <v>9579</v>
      </c>
    </row>
    <row r="873" spans="1:31" ht="8.65" customHeight="1" x14ac:dyDescent="0.2">
      <c r="A873" s="76">
        <v>873</v>
      </c>
      <c r="B873" s="67" t="str">
        <f>MID(C873, FIND("Ifc.", C873) + 4, 4) &amp; "_" &amp; TEXT(COUNTIF($C$2:C873, C873),"0000")</f>
        <v>Prop_0872</v>
      </c>
      <c r="C873" s="24" t="s">
        <v>872</v>
      </c>
      <c r="D873" s="69" t="s">
        <v>9453</v>
      </c>
      <c r="E873" s="70" t="s">
        <v>9454</v>
      </c>
      <c r="F873" s="17" t="s">
        <v>806</v>
      </c>
      <c r="G873" s="22" t="s">
        <v>1331</v>
      </c>
      <c r="H873" s="12" t="s">
        <v>9703</v>
      </c>
      <c r="I873" s="13" t="s">
        <v>6500</v>
      </c>
      <c r="J873" s="14" t="s">
        <v>798</v>
      </c>
      <c r="K873" s="15" t="s">
        <v>798</v>
      </c>
      <c r="L873" s="12" t="s">
        <v>5315</v>
      </c>
      <c r="M873" s="13" t="s">
        <v>5413</v>
      </c>
      <c r="N873" s="12" t="s">
        <v>803</v>
      </c>
      <c r="O873" s="13" t="s">
        <v>4911</v>
      </c>
      <c r="P873" s="17" t="s">
        <v>802</v>
      </c>
      <c r="Q873" s="21" t="s">
        <v>7714</v>
      </c>
      <c r="R873" s="17" t="s">
        <v>801</v>
      </c>
      <c r="S873" s="18" t="s">
        <v>2585</v>
      </c>
      <c r="T873" s="17" t="s">
        <v>800</v>
      </c>
      <c r="U873" s="18" t="s">
        <v>5238</v>
      </c>
      <c r="V873" s="17" t="s">
        <v>9418</v>
      </c>
      <c r="W873" s="18" t="s">
        <v>5309</v>
      </c>
      <c r="X873" s="69" t="s">
        <v>9453</v>
      </c>
      <c r="Y873" s="70" t="s">
        <v>9462</v>
      </c>
      <c r="Z873" s="73" t="s">
        <v>9486</v>
      </c>
      <c r="AA873" s="74" t="s">
        <v>9504</v>
      </c>
      <c r="AB873" s="73" t="s">
        <v>9486</v>
      </c>
      <c r="AC873" s="74" t="s">
        <v>9566</v>
      </c>
      <c r="AD873" s="73" t="s">
        <v>9578</v>
      </c>
      <c r="AE873" s="74" t="s">
        <v>9579</v>
      </c>
    </row>
    <row r="874" spans="1:31" ht="8.65" customHeight="1" x14ac:dyDescent="0.2">
      <c r="A874" s="76">
        <v>874</v>
      </c>
      <c r="B874" s="67" t="str">
        <f>MID(C874, FIND("Ifc.", C874) + 4, 4) &amp; "_" &amp; TEXT(COUNTIF($C$2:C874, C874),"0000")</f>
        <v>Prop_0873</v>
      </c>
      <c r="C874" s="24" t="s">
        <v>872</v>
      </c>
      <c r="D874" s="69" t="s">
        <v>9453</v>
      </c>
      <c r="E874" s="70" t="s">
        <v>9454</v>
      </c>
      <c r="F874" s="17" t="s">
        <v>806</v>
      </c>
      <c r="G874" s="22" t="s">
        <v>1331</v>
      </c>
      <c r="H874" s="12" t="s">
        <v>9703</v>
      </c>
      <c r="I874" s="13" t="s">
        <v>6500</v>
      </c>
      <c r="J874" s="14" t="s">
        <v>798</v>
      </c>
      <c r="K874" s="15" t="s">
        <v>798</v>
      </c>
      <c r="L874" s="12" t="s">
        <v>5315</v>
      </c>
      <c r="M874" s="13" t="s">
        <v>5860</v>
      </c>
      <c r="N874" s="12" t="s">
        <v>803</v>
      </c>
      <c r="O874" s="13" t="s">
        <v>5173</v>
      </c>
      <c r="P874" s="17" t="s">
        <v>802</v>
      </c>
      <c r="Q874" s="21" t="s">
        <v>7709</v>
      </c>
      <c r="R874" s="17" t="s">
        <v>801</v>
      </c>
      <c r="S874" s="18" t="s">
        <v>2585</v>
      </c>
      <c r="T874" s="17" t="s">
        <v>800</v>
      </c>
      <c r="U874" s="18" t="s">
        <v>5238</v>
      </c>
      <c r="V874" s="17" t="s">
        <v>9418</v>
      </c>
      <c r="W874" s="18" t="s">
        <v>5309</v>
      </c>
      <c r="X874" s="69" t="s">
        <v>9453</v>
      </c>
      <c r="Y874" s="70" t="s">
        <v>9462</v>
      </c>
      <c r="Z874" s="73" t="s">
        <v>9486</v>
      </c>
      <c r="AA874" s="74" t="s">
        <v>9504</v>
      </c>
      <c r="AB874" s="73" t="s">
        <v>9486</v>
      </c>
      <c r="AC874" s="74" t="s">
        <v>9566</v>
      </c>
      <c r="AD874" s="73" t="s">
        <v>9578</v>
      </c>
      <c r="AE874" s="74" t="s">
        <v>9579</v>
      </c>
    </row>
    <row r="875" spans="1:31" ht="8.65" customHeight="1" x14ac:dyDescent="0.2">
      <c r="A875" s="76">
        <v>875</v>
      </c>
      <c r="B875" s="67" t="str">
        <f>MID(C875, FIND("Ifc.", C875) + 4, 4) &amp; "_" &amp; TEXT(COUNTIF($C$2:C875, C875),"0000")</f>
        <v>Prop_0874</v>
      </c>
      <c r="C875" s="24" t="s">
        <v>872</v>
      </c>
      <c r="D875" s="69" t="s">
        <v>9453</v>
      </c>
      <c r="E875" s="70" t="s">
        <v>9454</v>
      </c>
      <c r="F875" s="17" t="s">
        <v>806</v>
      </c>
      <c r="G875" s="22" t="s">
        <v>2072</v>
      </c>
      <c r="H875" s="12" t="s">
        <v>9703</v>
      </c>
      <c r="I875" s="13" t="s">
        <v>7052</v>
      </c>
      <c r="J875" s="14" t="s">
        <v>798</v>
      </c>
      <c r="K875" s="15" t="s">
        <v>798</v>
      </c>
      <c r="L875" s="12" t="s">
        <v>5315</v>
      </c>
      <c r="M875" s="13" t="s">
        <v>5977</v>
      </c>
      <c r="N875" s="12" t="s">
        <v>803</v>
      </c>
      <c r="O875" s="13" t="s">
        <v>5091</v>
      </c>
      <c r="P875" s="17" t="s">
        <v>802</v>
      </c>
      <c r="Q875" s="21" t="s">
        <v>7963</v>
      </c>
      <c r="R875" s="17" t="s">
        <v>801</v>
      </c>
      <c r="S875" s="18" t="s">
        <v>2585</v>
      </c>
      <c r="T875" s="17" t="s">
        <v>800</v>
      </c>
      <c r="U875" s="18" t="s">
        <v>5238</v>
      </c>
      <c r="V875" s="17" t="s">
        <v>9418</v>
      </c>
      <c r="W875" s="18" t="s">
        <v>5309</v>
      </c>
      <c r="X875" s="69" t="s">
        <v>9453</v>
      </c>
      <c r="Y875" s="70" t="s">
        <v>9462</v>
      </c>
      <c r="Z875" s="73" t="s">
        <v>9486</v>
      </c>
      <c r="AA875" s="74" t="s">
        <v>9504</v>
      </c>
      <c r="AB875" s="73" t="s">
        <v>9486</v>
      </c>
      <c r="AC875" s="74" t="s">
        <v>9566</v>
      </c>
      <c r="AD875" s="73" t="s">
        <v>9578</v>
      </c>
      <c r="AE875" s="74" t="s">
        <v>9579</v>
      </c>
    </row>
    <row r="876" spans="1:31" ht="8.65" customHeight="1" x14ac:dyDescent="0.2">
      <c r="A876" s="76">
        <v>876</v>
      </c>
      <c r="B876" s="67" t="str">
        <f>MID(C876, FIND("Ifc.", C876) + 4, 4) &amp; "_" &amp; TEXT(COUNTIF($C$2:C876, C876),"0000")</f>
        <v>Prop_0875</v>
      </c>
      <c r="C876" s="24" t="s">
        <v>872</v>
      </c>
      <c r="D876" s="69" t="s">
        <v>9453</v>
      </c>
      <c r="E876" s="70" t="s">
        <v>9454</v>
      </c>
      <c r="F876" s="17" t="s">
        <v>806</v>
      </c>
      <c r="G876" s="22" t="s">
        <v>1436</v>
      </c>
      <c r="H876" s="12" t="s">
        <v>9703</v>
      </c>
      <c r="I876" s="13" t="s">
        <v>6320</v>
      </c>
      <c r="J876" s="14" t="s">
        <v>798</v>
      </c>
      <c r="K876" s="15" t="s">
        <v>798</v>
      </c>
      <c r="L876" s="12" t="s">
        <v>5315</v>
      </c>
      <c r="M876" s="13" t="s">
        <v>5435</v>
      </c>
      <c r="N876" s="12" t="s">
        <v>803</v>
      </c>
      <c r="O876" s="13" t="s">
        <v>4935</v>
      </c>
      <c r="P876" s="17" t="s">
        <v>802</v>
      </c>
      <c r="Q876" s="21" t="s">
        <v>7721</v>
      </c>
      <c r="R876" s="17" t="s">
        <v>801</v>
      </c>
      <c r="S876" s="18" t="s">
        <v>2585</v>
      </c>
      <c r="T876" s="17" t="s">
        <v>800</v>
      </c>
      <c r="U876" s="18" t="s">
        <v>5238</v>
      </c>
      <c r="V876" s="17" t="s">
        <v>9418</v>
      </c>
      <c r="W876" s="18" t="s">
        <v>5309</v>
      </c>
      <c r="X876" s="69" t="s">
        <v>9453</v>
      </c>
      <c r="Y876" s="70" t="s">
        <v>9462</v>
      </c>
      <c r="Z876" s="73" t="s">
        <v>9486</v>
      </c>
      <c r="AA876" s="74" t="s">
        <v>9504</v>
      </c>
      <c r="AB876" s="73" t="s">
        <v>9486</v>
      </c>
      <c r="AC876" s="74" t="s">
        <v>9566</v>
      </c>
      <c r="AD876" s="73" t="s">
        <v>9578</v>
      </c>
      <c r="AE876" s="74" t="s">
        <v>9579</v>
      </c>
    </row>
    <row r="877" spans="1:31" ht="8.65" customHeight="1" x14ac:dyDescent="0.2">
      <c r="A877" s="76">
        <v>877</v>
      </c>
      <c r="B877" s="67" t="str">
        <f>MID(C877, FIND("Ifc.", C877) + 4, 4) &amp; "_" &amp; TEXT(COUNTIF($C$2:C877, C877),"0000")</f>
        <v>Prop_0876</v>
      </c>
      <c r="C877" s="24" t="s">
        <v>872</v>
      </c>
      <c r="D877" s="69" t="s">
        <v>9453</v>
      </c>
      <c r="E877" s="70" t="s">
        <v>9454</v>
      </c>
      <c r="F877" s="17" t="s">
        <v>806</v>
      </c>
      <c r="G877" s="22" t="s">
        <v>1890</v>
      </c>
      <c r="H877" s="12" t="s">
        <v>9703</v>
      </c>
      <c r="I877" s="13" t="s">
        <v>6558</v>
      </c>
      <c r="J877" s="14" t="s">
        <v>798</v>
      </c>
      <c r="K877" s="15" t="s">
        <v>798</v>
      </c>
      <c r="L877" s="12" t="s">
        <v>5315</v>
      </c>
      <c r="M877" s="13" t="s">
        <v>5903</v>
      </c>
      <c r="N877" s="12" t="s">
        <v>803</v>
      </c>
      <c r="O877" s="13" t="s">
        <v>5045</v>
      </c>
      <c r="P877" s="17" t="s">
        <v>802</v>
      </c>
      <c r="Q877" s="21" t="s">
        <v>7964</v>
      </c>
      <c r="R877" s="17" t="s">
        <v>801</v>
      </c>
      <c r="S877" s="18" t="s">
        <v>2585</v>
      </c>
      <c r="T877" s="17" t="s">
        <v>800</v>
      </c>
      <c r="U877" s="18" t="s">
        <v>5238</v>
      </c>
      <c r="V877" s="17" t="s">
        <v>9418</v>
      </c>
      <c r="W877" s="18" t="s">
        <v>5309</v>
      </c>
      <c r="X877" s="69" t="s">
        <v>9453</v>
      </c>
      <c r="Y877" s="70" t="s">
        <v>9462</v>
      </c>
      <c r="Z877" s="73" t="s">
        <v>9486</v>
      </c>
      <c r="AA877" s="74" t="s">
        <v>9504</v>
      </c>
      <c r="AB877" s="73" t="s">
        <v>9486</v>
      </c>
      <c r="AC877" s="74" t="s">
        <v>9566</v>
      </c>
      <c r="AD877" s="73" t="s">
        <v>9578</v>
      </c>
      <c r="AE877" s="74" t="s">
        <v>9579</v>
      </c>
    </row>
    <row r="878" spans="1:31" ht="8.65" customHeight="1" x14ac:dyDescent="0.2">
      <c r="A878" s="76">
        <v>878</v>
      </c>
      <c r="B878" s="67" t="str">
        <f>MID(C878, FIND("Ifc.", C878) + 4, 4) &amp; "_" &amp; TEXT(COUNTIF($C$2:C878, C878),"0000")</f>
        <v>Prop_0877</v>
      </c>
      <c r="C878" s="24" t="s">
        <v>872</v>
      </c>
      <c r="D878" s="69" t="s">
        <v>9453</v>
      </c>
      <c r="E878" s="70" t="s">
        <v>9454</v>
      </c>
      <c r="F878" s="17" t="s">
        <v>806</v>
      </c>
      <c r="G878" s="22" t="s">
        <v>1891</v>
      </c>
      <c r="H878" s="12" t="s">
        <v>9703</v>
      </c>
      <c r="I878" s="13" t="s">
        <v>6559</v>
      </c>
      <c r="J878" s="14" t="s">
        <v>798</v>
      </c>
      <c r="K878" s="15" t="s">
        <v>798</v>
      </c>
      <c r="L878" s="12" t="s">
        <v>5315</v>
      </c>
      <c r="M878" s="13" t="s">
        <v>5903</v>
      </c>
      <c r="N878" s="12" t="s">
        <v>803</v>
      </c>
      <c r="O878" s="13" t="s">
        <v>5045</v>
      </c>
      <c r="P878" s="17" t="s">
        <v>802</v>
      </c>
      <c r="Q878" s="21" t="s">
        <v>7964</v>
      </c>
      <c r="R878" s="17" t="s">
        <v>801</v>
      </c>
      <c r="S878" s="18" t="s">
        <v>2585</v>
      </c>
      <c r="T878" s="17" t="s">
        <v>800</v>
      </c>
      <c r="U878" s="18" t="s">
        <v>5238</v>
      </c>
      <c r="V878" s="17" t="s">
        <v>9418</v>
      </c>
      <c r="W878" s="18" t="s">
        <v>5309</v>
      </c>
      <c r="X878" s="69" t="s">
        <v>9453</v>
      </c>
      <c r="Y878" s="70" t="s">
        <v>9462</v>
      </c>
      <c r="Z878" s="73" t="s">
        <v>9486</v>
      </c>
      <c r="AA878" s="74" t="s">
        <v>9504</v>
      </c>
      <c r="AB878" s="73" t="s">
        <v>9486</v>
      </c>
      <c r="AC878" s="74" t="s">
        <v>9566</v>
      </c>
      <c r="AD878" s="73" t="s">
        <v>9578</v>
      </c>
      <c r="AE878" s="74" t="s">
        <v>9579</v>
      </c>
    </row>
    <row r="879" spans="1:31" ht="8.65" customHeight="1" x14ac:dyDescent="0.2">
      <c r="A879" s="76">
        <v>879</v>
      </c>
      <c r="B879" s="67" t="str">
        <f>MID(C879, FIND("Ifc.", C879) + 4, 4) &amp; "_" &amp; TEXT(COUNTIF($C$2:C879, C879),"0000")</f>
        <v>Prop_0878</v>
      </c>
      <c r="C879" s="24" t="s">
        <v>872</v>
      </c>
      <c r="D879" s="69" t="s">
        <v>9453</v>
      </c>
      <c r="E879" s="70" t="s">
        <v>9454</v>
      </c>
      <c r="F879" s="17" t="s">
        <v>806</v>
      </c>
      <c r="G879" s="22" t="s">
        <v>1892</v>
      </c>
      <c r="H879" s="12" t="s">
        <v>9703</v>
      </c>
      <c r="I879" s="13" t="s">
        <v>6560</v>
      </c>
      <c r="J879" s="14" t="s">
        <v>798</v>
      </c>
      <c r="K879" s="15" t="s">
        <v>798</v>
      </c>
      <c r="L879" s="12" t="s">
        <v>5315</v>
      </c>
      <c r="M879" s="13" t="s">
        <v>5903</v>
      </c>
      <c r="N879" s="12" t="s">
        <v>803</v>
      </c>
      <c r="O879" s="13" t="s">
        <v>5045</v>
      </c>
      <c r="P879" s="17" t="s">
        <v>802</v>
      </c>
      <c r="Q879" s="21" t="s">
        <v>7964</v>
      </c>
      <c r="R879" s="17" t="s">
        <v>801</v>
      </c>
      <c r="S879" s="18" t="s">
        <v>2585</v>
      </c>
      <c r="T879" s="17" t="s">
        <v>800</v>
      </c>
      <c r="U879" s="18" t="s">
        <v>5238</v>
      </c>
      <c r="V879" s="17" t="s">
        <v>9418</v>
      </c>
      <c r="W879" s="18" t="s">
        <v>5309</v>
      </c>
      <c r="X879" s="69" t="s">
        <v>9453</v>
      </c>
      <c r="Y879" s="70" t="s">
        <v>9462</v>
      </c>
      <c r="Z879" s="73" t="s">
        <v>9486</v>
      </c>
      <c r="AA879" s="74" t="s">
        <v>9504</v>
      </c>
      <c r="AB879" s="73" t="s">
        <v>9486</v>
      </c>
      <c r="AC879" s="74" t="s">
        <v>9566</v>
      </c>
      <c r="AD879" s="73" t="s">
        <v>9578</v>
      </c>
      <c r="AE879" s="74" t="s">
        <v>9579</v>
      </c>
    </row>
    <row r="880" spans="1:31" ht="8.65" customHeight="1" x14ac:dyDescent="0.2">
      <c r="A880" s="76">
        <v>880</v>
      </c>
      <c r="B880" s="67" t="str">
        <f>MID(C880, FIND("Ifc.", C880) + 4, 4) &amp; "_" &amp; TEXT(COUNTIF($C$2:C880, C880),"0000")</f>
        <v>Prop_0879</v>
      </c>
      <c r="C880" s="24" t="s">
        <v>872</v>
      </c>
      <c r="D880" s="69" t="s">
        <v>9453</v>
      </c>
      <c r="E880" s="70" t="s">
        <v>9454</v>
      </c>
      <c r="F880" s="17" t="s">
        <v>806</v>
      </c>
      <c r="G880" s="22" t="s">
        <v>1914</v>
      </c>
      <c r="H880" s="12" t="s">
        <v>9703</v>
      </c>
      <c r="I880" s="13" t="s">
        <v>7489</v>
      </c>
      <c r="J880" s="14" t="s">
        <v>798</v>
      </c>
      <c r="K880" s="15" t="s">
        <v>798</v>
      </c>
      <c r="L880" s="12" t="s">
        <v>5315</v>
      </c>
      <c r="M880" s="13" t="s">
        <v>5467</v>
      </c>
      <c r="N880" s="12" t="s">
        <v>803</v>
      </c>
      <c r="O880" s="13" t="s">
        <v>5055</v>
      </c>
      <c r="P880" s="17" t="s">
        <v>802</v>
      </c>
      <c r="Q880" s="21" t="s">
        <v>7894</v>
      </c>
      <c r="R880" s="17" t="s">
        <v>801</v>
      </c>
      <c r="S880" s="18" t="s">
        <v>2560</v>
      </c>
      <c r="T880" s="17" t="s">
        <v>800</v>
      </c>
      <c r="U880" s="18" t="s">
        <v>5236</v>
      </c>
      <c r="V880" s="17" t="s">
        <v>9418</v>
      </c>
      <c r="W880" s="18" t="s">
        <v>5309</v>
      </c>
      <c r="X880" s="69" t="s">
        <v>9453</v>
      </c>
      <c r="Y880" s="70" t="s">
        <v>9462</v>
      </c>
      <c r="Z880" s="73" t="s">
        <v>9486</v>
      </c>
      <c r="AA880" s="74" t="s">
        <v>9504</v>
      </c>
      <c r="AB880" s="73" t="s">
        <v>9486</v>
      </c>
      <c r="AC880" s="74" t="s">
        <v>9562</v>
      </c>
      <c r="AD880" s="73" t="s">
        <v>9578</v>
      </c>
      <c r="AE880" s="74" t="s">
        <v>9579</v>
      </c>
    </row>
    <row r="881" spans="1:31" ht="8.65" customHeight="1" x14ac:dyDescent="0.2">
      <c r="A881" s="76">
        <v>881</v>
      </c>
      <c r="B881" s="67" t="str">
        <f>MID(C881, FIND("Ifc.", C881) + 4, 4) &amp; "_" &amp; TEXT(COUNTIF($C$2:C881, C881),"0000")</f>
        <v>Prop_0880</v>
      </c>
      <c r="C881" s="24" t="s">
        <v>872</v>
      </c>
      <c r="D881" s="69" t="s">
        <v>9453</v>
      </c>
      <c r="E881" s="70" t="s">
        <v>9454</v>
      </c>
      <c r="F881" s="17" t="s">
        <v>806</v>
      </c>
      <c r="G881" s="22" t="s">
        <v>1270</v>
      </c>
      <c r="H881" s="12" t="s">
        <v>9703</v>
      </c>
      <c r="I881" s="13" t="s">
        <v>7490</v>
      </c>
      <c r="J881" s="14" t="s">
        <v>798</v>
      </c>
      <c r="K881" s="15" t="s">
        <v>798</v>
      </c>
      <c r="L881" s="12" t="s">
        <v>5315</v>
      </c>
      <c r="M881" s="13" t="s">
        <v>5404</v>
      </c>
      <c r="N881" s="12" t="s">
        <v>803</v>
      </c>
      <c r="O881" s="13" t="s">
        <v>4892</v>
      </c>
      <c r="P881" s="17" t="s">
        <v>802</v>
      </c>
      <c r="Q881" s="21" t="s">
        <v>7965</v>
      </c>
      <c r="R881" s="17" t="s">
        <v>801</v>
      </c>
      <c r="S881" s="18" t="s">
        <v>2560</v>
      </c>
      <c r="T881" s="17" t="s">
        <v>800</v>
      </c>
      <c r="U881" s="18" t="s">
        <v>5236</v>
      </c>
      <c r="V881" s="17" t="s">
        <v>9418</v>
      </c>
      <c r="W881" s="18" t="s">
        <v>5309</v>
      </c>
      <c r="X881" s="69" t="s">
        <v>9453</v>
      </c>
      <c r="Y881" s="70" t="s">
        <v>9462</v>
      </c>
      <c r="Z881" s="73" t="s">
        <v>9486</v>
      </c>
      <c r="AA881" s="74" t="s">
        <v>9504</v>
      </c>
      <c r="AB881" s="73" t="s">
        <v>9486</v>
      </c>
      <c r="AC881" s="74" t="s">
        <v>9562</v>
      </c>
      <c r="AD881" s="73" t="s">
        <v>9578</v>
      </c>
      <c r="AE881" s="74" t="s">
        <v>9579</v>
      </c>
    </row>
    <row r="882" spans="1:31" ht="8.65" customHeight="1" x14ac:dyDescent="0.2">
      <c r="A882" s="76">
        <v>882</v>
      </c>
      <c r="B882" s="67" t="str">
        <f>MID(C882, FIND("Ifc.", C882) + 4, 4) &amp; "_" &amp; TEXT(COUNTIF($C$2:C882, C882),"0000")</f>
        <v>Prop_0881</v>
      </c>
      <c r="C882" s="24" t="s">
        <v>872</v>
      </c>
      <c r="D882" s="69" t="s">
        <v>9453</v>
      </c>
      <c r="E882" s="70" t="s">
        <v>9454</v>
      </c>
      <c r="F882" s="17" t="s">
        <v>806</v>
      </c>
      <c r="G882" s="22" t="s">
        <v>1899</v>
      </c>
      <c r="H882" s="12" t="s">
        <v>9703</v>
      </c>
      <c r="I882" s="13" t="s">
        <v>7491</v>
      </c>
      <c r="J882" s="14" t="s">
        <v>798</v>
      </c>
      <c r="K882" s="15" t="s">
        <v>798</v>
      </c>
      <c r="L882" s="12" t="s">
        <v>5315</v>
      </c>
      <c r="M882" s="13" t="s">
        <v>5463</v>
      </c>
      <c r="N882" s="12" t="s">
        <v>803</v>
      </c>
      <c r="O882" s="13" t="s">
        <v>5048</v>
      </c>
      <c r="P882" s="17" t="s">
        <v>802</v>
      </c>
      <c r="Q882" s="21" t="s">
        <v>7713</v>
      </c>
      <c r="R882" s="17" t="s">
        <v>801</v>
      </c>
      <c r="S882" s="18" t="s">
        <v>2560</v>
      </c>
      <c r="T882" s="17" t="s">
        <v>800</v>
      </c>
      <c r="U882" s="18" t="s">
        <v>5236</v>
      </c>
      <c r="V882" s="17" t="s">
        <v>9418</v>
      </c>
      <c r="W882" s="18" t="s">
        <v>5309</v>
      </c>
      <c r="X882" s="69" t="s">
        <v>9453</v>
      </c>
      <c r="Y882" s="70" t="s">
        <v>9462</v>
      </c>
      <c r="Z882" s="73" t="s">
        <v>9486</v>
      </c>
      <c r="AA882" s="74" t="s">
        <v>9504</v>
      </c>
      <c r="AB882" s="73" t="s">
        <v>9486</v>
      </c>
      <c r="AC882" s="74" t="s">
        <v>9562</v>
      </c>
      <c r="AD882" s="73" t="s">
        <v>9578</v>
      </c>
      <c r="AE882" s="74" t="s">
        <v>9579</v>
      </c>
    </row>
    <row r="883" spans="1:31" ht="8.65" customHeight="1" x14ac:dyDescent="0.2">
      <c r="A883" s="76">
        <v>883</v>
      </c>
      <c r="B883" s="67" t="str">
        <f>MID(C883, FIND("Ifc.", C883) + 4, 4) &amp; "_" &amp; TEXT(COUNTIF($C$2:C883, C883),"0000")</f>
        <v>Prop_0882</v>
      </c>
      <c r="C883" s="24" t="s">
        <v>872</v>
      </c>
      <c r="D883" s="69" t="s">
        <v>9453</v>
      </c>
      <c r="E883" s="70" t="s">
        <v>9454</v>
      </c>
      <c r="F883" s="17" t="s">
        <v>806</v>
      </c>
      <c r="G883" s="22" t="s">
        <v>2524</v>
      </c>
      <c r="H883" s="12" t="s">
        <v>9703</v>
      </c>
      <c r="I883" s="13" t="s">
        <v>7492</v>
      </c>
      <c r="J883" s="14" t="s">
        <v>798</v>
      </c>
      <c r="K883" s="15" t="s">
        <v>798</v>
      </c>
      <c r="L883" s="12" t="s">
        <v>5315</v>
      </c>
      <c r="M883" s="13" t="s">
        <v>5578</v>
      </c>
      <c r="N883" s="12" t="s">
        <v>803</v>
      </c>
      <c r="O883" s="13" t="s">
        <v>5224</v>
      </c>
      <c r="P883" s="17" t="s">
        <v>802</v>
      </c>
      <c r="Q883" s="21" t="s">
        <v>7677</v>
      </c>
      <c r="R883" s="17" t="s">
        <v>801</v>
      </c>
      <c r="S883" s="18" t="s">
        <v>2560</v>
      </c>
      <c r="T883" s="17" t="s">
        <v>800</v>
      </c>
      <c r="U883" s="18" t="s">
        <v>5236</v>
      </c>
      <c r="V883" s="17" t="s">
        <v>9418</v>
      </c>
      <c r="W883" s="18" t="s">
        <v>5309</v>
      </c>
      <c r="X883" s="69" t="s">
        <v>9453</v>
      </c>
      <c r="Y883" s="70" t="s">
        <v>9462</v>
      </c>
      <c r="Z883" s="73" t="s">
        <v>9486</v>
      </c>
      <c r="AA883" s="74" t="s">
        <v>9504</v>
      </c>
      <c r="AB883" s="73" t="s">
        <v>9486</v>
      </c>
      <c r="AC883" s="74" t="s">
        <v>9562</v>
      </c>
      <c r="AD883" s="73" t="s">
        <v>9578</v>
      </c>
      <c r="AE883" s="74" t="s">
        <v>9579</v>
      </c>
    </row>
    <row r="884" spans="1:31" ht="8.65" customHeight="1" x14ac:dyDescent="0.2">
      <c r="A884" s="76">
        <v>884</v>
      </c>
      <c r="B884" s="67" t="str">
        <f>MID(C884, FIND("Ifc.", C884) + 4, 4) &amp; "_" &amp; TEXT(COUNTIF($C$2:C884, C884),"0000")</f>
        <v>Prop_0883</v>
      </c>
      <c r="C884" s="24" t="s">
        <v>872</v>
      </c>
      <c r="D884" s="69" t="s">
        <v>9453</v>
      </c>
      <c r="E884" s="70" t="s">
        <v>9454</v>
      </c>
      <c r="F884" s="17" t="s">
        <v>806</v>
      </c>
      <c r="G884" s="22" t="s">
        <v>1238</v>
      </c>
      <c r="H884" s="12" t="s">
        <v>9703</v>
      </c>
      <c r="I884" s="13" t="s">
        <v>6225</v>
      </c>
      <c r="J884" s="14" t="s">
        <v>798</v>
      </c>
      <c r="K884" s="15" t="s">
        <v>798</v>
      </c>
      <c r="L884" s="12" t="s">
        <v>5315</v>
      </c>
      <c r="M884" s="13" t="s">
        <v>5400</v>
      </c>
      <c r="N884" s="12" t="s">
        <v>803</v>
      </c>
      <c r="O884" s="13" t="s">
        <v>4888</v>
      </c>
      <c r="P884" s="17" t="s">
        <v>802</v>
      </c>
      <c r="Q884" s="21" t="s">
        <v>7777</v>
      </c>
      <c r="R884" s="17" t="s">
        <v>801</v>
      </c>
      <c r="S884" s="18" t="s">
        <v>2669</v>
      </c>
      <c r="T884" s="17" t="s">
        <v>800</v>
      </c>
      <c r="U884" s="18" t="s">
        <v>5237</v>
      </c>
      <c r="V884" s="17" t="s">
        <v>9418</v>
      </c>
      <c r="W884" s="18" t="s">
        <v>5309</v>
      </c>
      <c r="X884" s="69" t="s">
        <v>9453</v>
      </c>
      <c r="Y884" s="70" t="s">
        <v>9462</v>
      </c>
      <c r="Z884" s="73" t="s">
        <v>9486</v>
      </c>
      <c r="AA884" s="74" t="s">
        <v>9504</v>
      </c>
      <c r="AB884" s="73" t="s">
        <v>9486</v>
      </c>
      <c r="AC884" s="74" t="s">
        <v>9562</v>
      </c>
      <c r="AD884" s="73" t="s">
        <v>9578</v>
      </c>
      <c r="AE884" s="74" t="s">
        <v>9579</v>
      </c>
    </row>
    <row r="885" spans="1:31" ht="8.65" customHeight="1" x14ac:dyDescent="0.2">
      <c r="A885" s="76">
        <v>885</v>
      </c>
      <c r="B885" s="67" t="str">
        <f>MID(C885, FIND("Ifc.", C885) + 4, 4) &amp; "_" &amp; TEXT(COUNTIF($C$2:C885, C885),"0000")</f>
        <v>Prop_0884</v>
      </c>
      <c r="C885" s="24" t="s">
        <v>872</v>
      </c>
      <c r="D885" s="69" t="s">
        <v>9453</v>
      </c>
      <c r="E885" s="70" t="s">
        <v>9454</v>
      </c>
      <c r="F885" s="17" t="s">
        <v>806</v>
      </c>
      <c r="G885" s="22" t="s">
        <v>1504</v>
      </c>
      <c r="H885" s="12" t="s">
        <v>9703</v>
      </c>
      <c r="I885" s="13" t="s">
        <v>7443</v>
      </c>
      <c r="J885" s="14" t="s">
        <v>798</v>
      </c>
      <c r="K885" s="15" t="s">
        <v>798</v>
      </c>
      <c r="L885" s="12" t="s">
        <v>5315</v>
      </c>
      <c r="M885" s="13" t="s">
        <v>5829</v>
      </c>
      <c r="N885" s="12" t="s">
        <v>803</v>
      </c>
      <c r="O885" s="13" t="s">
        <v>4950</v>
      </c>
      <c r="P885" s="17" t="s">
        <v>802</v>
      </c>
      <c r="Q885" s="21" t="s">
        <v>7814</v>
      </c>
      <c r="R885" s="17" t="s">
        <v>801</v>
      </c>
      <c r="S885" s="18" t="s">
        <v>2554</v>
      </c>
      <c r="T885" s="17" t="s">
        <v>800</v>
      </c>
      <c r="U885" s="18" t="s">
        <v>5233</v>
      </c>
      <c r="V885" s="17" t="s">
        <v>9418</v>
      </c>
      <c r="W885" s="18" t="s">
        <v>5309</v>
      </c>
      <c r="X885" s="69" t="s">
        <v>9453</v>
      </c>
      <c r="Y885" s="70" t="s">
        <v>9462</v>
      </c>
      <c r="Z885" s="73" t="s">
        <v>9486</v>
      </c>
      <c r="AA885" s="74" t="s">
        <v>9504</v>
      </c>
      <c r="AB885" s="73" t="s">
        <v>9486</v>
      </c>
      <c r="AC885" s="74" t="s">
        <v>9562</v>
      </c>
      <c r="AD885" s="73" t="s">
        <v>9578</v>
      </c>
      <c r="AE885" s="74" t="s">
        <v>9579</v>
      </c>
    </row>
    <row r="886" spans="1:31" ht="8.65" customHeight="1" x14ac:dyDescent="0.2">
      <c r="A886" s="76">
        <v>886</v>
      </c>
      <c r="B886" s="67" t="str">
        <f>MID(C886, FIND("Ifc.", C886) + 4, 4) &amp; "_" &amp; TEXT(COUNTIF($C$2:C886, C886),"0000")</f>
        <v>Prop_0885</v>
      </c>
      <c r="C886" s="24" t="s">
        <v>872</v>
      </c>
      <c r="D886" s="69" t="s">
        <v>9453</v>
      </c>
      <c r="E886" s="70" t="s">
        <v>9454</v>
      </c>
      <c r="F886" s="17" t="s">
        <v>806</v>
      </c>
      <c r="G886" s="22" t="s">
        <v>1504</v>
      </c>
      <c r="H886" s="12" t="s">
        <v>9703</v>
      </c>
      <c r="I886" s="13" t="s">
        <v>7443</v>
      </c>
      <c r="J886" s="14" t="s">
        <v>798</v>
      </c>
      <c r="K886" s="15" t="s">
        <v>798</v>
      </c>
      <c r="L886" s="12" t="s">
        <v>5315</v>
      </c>
      <c r="M886" s="13" t="s">
        <v>5828</v>
      </c>
      <c r="N886" s="12" t="s">
        <v>803</v>
      </c>
      <c r="O886" s="13" t="s">
        <v>4949</v>
      </c>
      <c r="P886" s="17" t="s">
        <v>802</v>
      </c>
      <c r="Q886" s="21" t="s">
        <v>7815</v>
      </c>
      <c r="R886" s="17" t="s">
        <v>801</v>
      </c>
      <c r="S886" s="18" t="s">
        <v>2554</v>
      </c>
      <c r="T886" s="17" t="s">
        <v>800</v>
      </c>
      <c r="U886" s="18" t="s">
        <v>5233</v>
      </c>
      <c r="V886" s="17" t="s">
        <v>9418</v>
      </c>
      <c r="W886" s="18" t="s">
        <v>5309</v>
      </c>
      <c r="X886" s="69" t="s">
        <v>9453</v>
      </c>
      <c r="Y886" s="70" t="s">
        <v>9462</v>
      </c>
      <c r="Z886" s="73" t="s">
        <v>9486</v>
      </c>
      <c r="AA886" s="74" t="s">
        <v>9504</v>
      </c>
      <c r="AB886" s="73" t="s">
        <v>9486</v>
      </c>
      <c r="AC886" s="74" t="s">
        <v>9562</v>
      </c>
      <c r="AD886" s="73" t="s">
        <v>9578</v>
      </c>
      <c r="AE886" s="74" t="s">
        <v>9579</v>
      </c>
    </row>
    <row r="887" spans="1:31" ht="8.65" customHeight="1" x14ac:dyDescent="0.2">
      <c r="A887" s="76">
        <v>887</v>
      </c>
      <c r="B887" s="67" t="str">
        <f>MID(C887, FIND("Ifc.", C887) + 4, 4) &amp; "_" &amp; TEXT(COUNTIF($C$2:C887, C887),"0000")</f>
        <v>Prop_0886</v>
      </c>
      <c r="C887" s="24" t="s">
        <v>872</v>
      </c>
      <c r="D887" s="69" t="s">
        <v>9453</v>
      </c>
      <c r="E887" s="70" t="s">
        <v>9454</v>
      </c>
      <c r="F887" s="17" t="s">
        <v>806</v>
      </c>
      <c r="G887" s="22" t="s">
        <v>1610</v>
      </c>
      <c r="H887" s="12" t="s">
        <v>9703</v>
      </c>
      <c r="I887" s="13" t="s">
        <v>7557</v>
      </c>
      <c r="J887" s="14" t="s">
        <v>798</v>
      </c>
      <c r="K887" s="15" t="s">
        <v>798</v>
      </c>
      <c r="L887" s="12" t="s">
        <v>5315</v>
      </c>
      <c r="M887" s="13" t="s">
        <v>5832</v>
      </c>
      <c r="N887" s="12" t="s">
        <v>803</v>
      </c>
      <c r="O887" s="13" t="s">
        <v>4974</v>
      </c>
      <c r="P887" s="17" t="s">
        <v>802</v>
      </c>
      <c r="Q887" s="21" t="s">
        <v>7889</v>
      </c>
      <c r="R887" s="17" t="s">
        <v>801</v>
      </c>
      <c r="S887" s="18" t="s">
        <v>3636</v>
      </c>
      <c r="T887" s="17" t="s">
        <v>800</v>
      </c>
      <c r="U887" s="18" t="s">
        <v>5257</v>
      </c>
      <c r="V887" s="17" t="s">
        <v>9418</v>
      </c>
      <c r="W887" s="18" t="s">
        <v>5314</v>
      </c>
      <c r="X887" s="69" t="s">
        <v>9453</v>
      </c>
      <c r="Y887" s="70" t="s">
        <v>9464</v>
      </c>
      <c r="Z887" s="73" t="s">
        <v>9486</v>
      </c>
      <c r="AA887" s="74" t="s">
        <v>9504</v>
      </c>
      <c r="AB887" s="73" t="s">
        <v>9486</v>
      </c>
      <c r="AC887" s="74" t="s">
        <v>9561</v>
      </c>
      <c r="AD887" s="73" t="s">
        <v>9578</v>
      </c>
      <c r="AE887" s="74" t="s">
        <v>9579</v>
      </c>
    </row>
    <row r="888" spans="1:31" ht="8.65" customHeight="1" x14ac:dyDescent="0.2">
      <c r="A888" s="76">
        <v>888</v>
      </c>
      <c r="B888" s="67" t="str">
        <f>MID(C888, FIND("Ifc.", C888) + 4, 4) &amp; "_" &amp; TEXT(COUNTIF($C$2:C888, C888),"0000")</f>
        <v>Prop_0887</v>
      </c>
      <c r="C888" s="24" t="s">
        <v>872</v>
      </c>
      <c r="D888" s="69" t="s">
        <v>9453</v>
      </c>
      <c r="E888" s="70" t="s">
        <v>9454</v>
      </c>
      <c r="F888" s="17" t="s">
        <v>806</v>
      </c>
      <c r="G888" s="22" t="s">
        <v>1610</v>
      </c>
      <c r="H888" s="12" t="s">
        <v>9703</v>
      </c>
      <c r="I888" s="13" t="s">
        <v>7557</v>
      </c>
      <c r="J888" s="14" t="s">
        <v>798</v>
      </c>
      <c r="K888" s="15" t="s">
        <v>798</v>
      </c>
      <c r="L888" s="12" t="s">
        <v>5315</v>
      </c>
      <c r="M888" s="13" t="s">
        <v>5833</v>
      </c>
      <c r="N888" s="12" t="s">
        <v>803</v>
      </c>
      <c r="O888" s="13" t="s">
        <v>4975</v>
      </c>
      <c r="P888" s="17" t="s">
        <v>802</v>
      </c>
      <c r="Q888" s="21" t="s">
        <v>7966</v>
      </c>
      <c r="R888" s="17" t="s">
        <v>801</v>
      </c>
      <c r="S888" s="18" t="s">
        <v>3636</v>
      </c>
      <c r="T888" s="17" t="s">
        <v>800</v>
      </c>
      <c r="U888" s="18" t="s">
        <v>5257</v>
      </c>
      <c r="V888" s="17" t="s">
        <v>9418</v>
      </c>
      <c r="W888" s="18" t="s">
        <v>5314</v>
      </c>
      <c r="X888" s="69" t="s">
        <v>9453</v>
      </c>
      <c r="Y888" s="70" t="s">
        <v>9464</v>
      </c>
      <c r="Z888" s="73" t="s">
        <v>9486</v>
      </c>
      <c r="AA888" s="74" t="s">
        <v>9504</v>
      </c>
      <c r="AB888" s="73" t="s">
        <v>9486</v>
      </c>
      <c r="AC888" s="74" t="s">
        <v>9561</v>
      </c>
      <c r="AD888" s="73" t="s">
        <v>9578</v>
      </c>
      <c r="AE888" s="74" t="s">
        <v>9579</v>
      </c>
    </row>
    <row r="889" spans="1:31" ht="8.65" customHeight="1" x14ac:dyDescent="0.2">
      <c r="A889" s="76">
        <v>889</v>
      </c>
      <c r="B889" s="67" t="str">
        <f>MID(C889, FIND("Ifc.", C889) + 4, 4) &amp; "_" &amp; TEXT(COUNTIF($C$2:C889, C889),"0000")</f>
        <v>Prop_0888</v>
      </c>
      <c r="C889" s="24" t="s">
        <v>872</v>
      </c>
      <c r="D889" s="69" t="s">
        <v>9453</v>
      </c>
      <c r="E889" s="70" t="s">
        <v>9454</v>
      </c>
      <c r="F889" s="17" t="s">
        <v>806</v>
      </c>
      <c r="G889" s="22" t="s">
        <v>1610</v>
      </c>
      <c r="H889" s="12" t="s">
        <v>9703</v>
      </c>
      <c r="I889" s="13" t="s">
        <v>7557</v>
      </c>
      <c r="J889" s="14" t="s">
        <v>798</v>
      </c>
      <c r="K889" s="15" t="s">
        <v>798</v>
      </c>
      <c r="L889" s="12" t="s">
        <v>5315</v>
      </c>
      <c r="M889" s="13" t="s">
        <v>5449</v>
      </c>
      <c r="N889" s="12" t="s">
        <v>803</v>
      </c>
      <c r="O889" s="13" t="s">
        <v>4971</v>
      </c>
      <c r="P889" s="17" t="s">
        <v>802</v>
      </c>
      <c r="Q889" s="21" t="s">
        <v>7967</v>
      </c>
      <c r="R889" s="17" t="s">
        <v>801</v>
      </c>
      <c r="S889" s="18" t="s">
        <v>3636</v>
      </c>
      <c r="T889" s="17" t="s">
        <v>800</v>
      </c>
      <c r="U889" s="18" t="s">
        <v>5257</v>
      </c>
      <c r="V889" s="17" t="s">
        <v>9418</v>
      </c>
      <c r="W889" s="18" t="s">
        <v>5314</v>
      </c>
      <c r="X889" s="69" t="s">
        <v>9453</v>
      </c>
      <c r="Y889" s="70" t="s">
        <v>9464</v>
      </c>
      <c r="Z889" s="73" t="s">
        <v>9486</v>
      </c>
      <c r="AA889" s="74" t="s">
        <v>9504</v>
      </c>
      <c r="AB889" s="73" t="s">
        <v>9486</v>
      </c>
      <c r="AC889" s="74" t="s">
        <v>9561</v>
      </c>
      <c r="AD889" s="73" t="s">
        <v>9578</v>
      </c>
      <c r="AE889" s="74" t="s">
        <v>9579</v>
      </c>
    </row>
    <row r="890" spans="1:31" ht="8.65" customHeight="1" x14ac:dyDescent="0.2">
      <c r="A890" s="76">
        <v>890</v>
      </c>
      <c r="B890" s="67" t="str">
        <f>MID(C890, FIND("Ifc.", C890) + 4, 4) &amp; "_" &amp; TEXT(COUNTIF($C$2:C890, C890),"0000")</f>
        <v>Prop_0889</v>
      </c>
      <c r="C890" s="24" t="s">
        <v>872</v>
      </c>
      <c r="D890" s="69" t="s">
        <v>9453</v>
      </c>
      <c r="E890" s="70" t="s">
        <v>9454</v>
      </c>
      <c r="F890" s="17" t="s">
        <v>806</v>
      </c>
      <c r="G890" s="22" t="s">
        <v>1261</v>
      </c>
      <c r="H890" s="12" t="s">
        <v>9703</v>
      </c>
      <c r="I890" s="13" t="s">
        <v>6988</v>
      </c>
      <c r="J890" s="14" t="s">
        <v>798</v>
      </c>
      <c r="K890" s="15" t="s">
        <v>798</v>
      </c>
      <c r="L890" s="12" t="s">
        <v>5315</v>
      </c>
      <c r="M890" s="13" t="s">
        <v>5403</v>
      </c>
      <c r="N890" s="12" t="s">
        <v>803</v>
      </c>
      <c r="O890" s="13" t="s">
        <v>4891</v>
      </c>
      <c r="P890" s="17" t="s">
        <v>802</v>
      </c>
      <c r="Q890" s="21" t="s">
        <v>7789</v>
      </c>
      <c r="R890" s="17" t="s">
        <v>801</v>
      </c>
      <c r="S890" s="18" t="s">
        <v>2562</v>
      </c>
      <c r="T890" s="17" t="s">
        <v>800</v>
      </c>
      <c r="U890" s="18" t="s">
        <v>5256</v>
      </c>
      <c r="V890" s="17" t="s">
        <v>9418</v>
      </c>
      <c r="W890" s="18" t="s">
        <v>5309</v>
      </c>
      <c r="X890" s="69" t="s">
        <v>9453</v>
      </c>
      <c r="Y890" s="70" t="s">
        <v>9462</v>
      </c>
      <c r="Z890" s="73" t="s">
        <v>9486</v>
      </c>
      <c r="AA890" s="74" t="s">
        <v>9504</v>
      </c>
      <c r="AB890" s="73" t="s">
        <v>9486</v>
      </c>
      <c r="AC890" s="74" t="s">
        <v>9562</v>
      </c>
      <c r="AD890" s="73" t="s">
        <v>9578</v>
      </c>
      <c r="AE890" s="74" t="s">
        <v>9579</v>
      </c>
    </row>
    <row r="891" spans="1:31" ht="8.65" customHeight="1" x14ac:dyDescent="0.2">
      <c r="A891" s="76">
        <v>891</v>
      </c>
      <c r="B891" s="67" t="str">
        <f>MID(C891, FIND("Ifc.", C891) + 4, 4) &amp; "_" &amp; TEXT(COUNTIF($C$2:C891, C891),"0000")</f>
        <v>Prop_0890</v>
      </c>
      <c r="C891" s="24" t="s">
        <v>872</v>
      </c>
      <c r="D891" s="69" t="s">
        <v>9453</v>
      </c>
      <c r="E891" s="70" t="s">
        <v>9454</v>
      </c>
      <c r="F891" s="17" t="s">
        <v>806</v>
      </c>
      <c r="G891" s="22" t="s">
        <v>1252</v>
      </c>
      <c r="H891" s="12" t="s">
        <v>9703</v>
      </c>
      <c r="I891" s="13" t="s">
        <v>6986</v>
      </c>
      <c r="J891" s="14" t="s">
        <v>798</v>
      </c>
      <c r="K891" s="15" t="s">
        <v>798</v>
      </c>
      <c r="L891" s="12" t="s">
        <v>5315</v>
      </c>
      <c r="M891" s="13" t="s">
        <v>5403</v>
      </c>
      <c r="N891" s="12" t="s">
        <v>803</v>
      </c>
      <c r="O891" s="13" t="s">
        <v>4891</v>
      </c>
      <c r="P891" s="17" t="s">
        <v>802</v>
      </c>
      <c r="Q891" s="21" t="s">
        <v>7789</v>
      </c>
      <c r="R891" s="17" t="s">
        <v>801</v>
      </c>
      <c r="S891" s="18" t="s">
        <v>2590</v>
      </c>
      <c r="T891" s="17" t="s">
        <v>800</v>
      </c>
      <c r="U891" s="18" t="s">
        <v>5274</v>
      </c>
      <c r="V891" s="17" t="s">
        <v>9418</v>
      </c>
      <c r="W891" s="18" t="s">
        <v>5309</v>
      </c>
      <c r="X891" s="69" t="s">
        <v>9453</v>
      </c>
      <c r="Y891" s="70" t="s">
        <v>9462</v>
      </c>
      <c r="Z891" s="73" t="s">
        <v>9486</v>
      </c>
      <c r="AA891" s="74" t="s">
        <v>9504</v>
      </c>
      <c r="AB891" s="73" t="s">
        <v>9486</v>
      </c>
      <c r="AC891" s="74" t="s">
        <v>9566</v>
      </c>
      <c r="AD891" s="73" t="s">
        <v>9578</v>
      </c>
      <c r="AE891" s="74" t="s">
        <v>9579</v>
      </c>
    </row>
    <row r="892" spans="1:31" ht="8.65" customHeight="1" x14ac:dyDescent="0.2">
      <c r="A892" s="76">
        <v>892</v>
      </c>
      <c r="B892" s="67" t="str">
        <f>MID(C892, FIND("Ifc.", C892) + 4, 4) &amp; "_" &amp; TEXT(COUNTIF($C$2:C892, C892),"0000")</f>
        <v>Prop_0891</v>
      </c>
      <c r="C892" s="24" t="s">
        <v>872</v>
      </c>
      <c r="D892" s="69" t="s">
        <v>9453</v>
      </c>
      <c r="E892" s="70" t="s">
        <v>9454</v>
      </c>
      <c r="F892" s="17" t="s">
        <v>806</v>
      </c>
      <c r="G892" s="22" t="s">
        <v>1262</v>
      </c>
      <c r="H892" s="12" t="s">
        <v>9703</v>
      </c>
      <c r="I892" s="13" t="s">
        <v>6989</v>
      </c>
      <c r="J892" s="14" t="s">
        <v>798</v>
      </c>
      <c r="K892" s="15" t="s">
        <v>798</v>
      </c>
      <c r="L892" s="12" t="s">
        <v>5315</v>
      </c>
      <c r="M892" s="13" t="s">
        <v>5403</v>
      </c>
      <c r="N892" s="12" t="s">
        <v>803</v>
      </c>
      <c r="O892" s="13" t="s">
        <v>4891</v>
      </c>
      <c r="P892" s="17" t="s">
        <v>802</v>
      </c>
      <c r="Q892" s="21" t="s">
        <v>7789</v>
      </c>
      <c r="R892" s="17" t="s">
        <v>801</v>
      </c>
      <c r="S892" s="18" t="s">
        <v>2562</v>
      </c>
      <c r="T892" s="17" t="s">
        <v>800</v>
      </c>
      <c r="U892" s="18" t="s">
        <v>5256</v>
      </c>
      <c r="V892" s="17" t="s">
        <v>9418</v>
      </c>
      <c r="W892" s="18" t="s">
        <v>5309</v>
      </c>
      <c r="X892" s="69" t="s">
        <v>9453</v>
      </c>
      <c r="Y892" s="70" t="s">
        <v>9462</v>
      </c>
      <c r="Z892" s="73" t="s">
        <v>9486</v>
      </c>
      <c r="AA892" s="74" t="s">
        <v>9504</v>
      </c>
      <c r="AB892" s="73" t="s">
        <v>9486</v>
      </c>
      <c r="AC892" s="74" t="s">
        <v>9562</v>
      </c>
      <c r="AD892" s="73" t="s">
        <v>9578</v>
      </c>
      <c r="AE892" s="74" t="s">
        <v>9579</v>
      </c>
    </row>
    <row r="893" spans="1:31" ht="8.65" customHeight="1" x14ac:dyDescent="0.2">
      <c r="A893" s="76">
        <v>893</v>
      </c>
      <c r="B893" s="67" t="str">
        <f>MID(C893, FIND("Ifc.", C893) + 4, 4) &amp; "_" &amp; TEXT(COUNTIF($C$2:C893, C893),"0000")</f>
        <v>Prop_0892</v>
      </c>
      <c r="C893" s="24" t="s">
        <v>872</v>
      </c>
      <c r="D893" s="69" t="s">
        <v>9453</v>
      </c>
      <c r="E893" s="70" t="s">
        <v>9454</v>
      </c>
      <c r="F893" s="17" t="s">
        <v>806</v>
      </c>
      <c r="G893" s="22" t="s">
        <v>1253</v>
      </c>
      <c r="H893" s="12" t="s">
        <v>9703</v>
      </c>
      <c r="I893" s="13" t="s">
        <v>6987</v>
      </c>
      <c r="J893" s="14" t="s">
        <v>798</v>
      </c>
      <c r="K893" s="15" t="s">
        <v>798</v>
      </c>
      <c r="L893" s="12" t="s">
        <v>5315</v>
      </c>
      <c r="M893" s="13" t="s">
        <v>5403</v>
      </c>
      <c r="N893" s="12" t="s">
        <v>803</v>
      </c>
      <c r="O893" s="13" t="s">
        <v>4891</v>
      </c>
      <c r="P893" s="17" t="s">
        <v>802</v>
      </c>
      <c r="Q893" s="21" t="s">
        <v>7789</v>
      </c>
      <c r="R893" s="17" t="s">
        <v>801</v>
      </c>
      <c r="S893" s="18" t="s">
        <v>2590</v>
      </c>
      <c r="T893" s="17" t="s">
        <v>800</v>
      </c>
      <c r="U893" s="18" t="s">
        <v>5274</v>
      </c>
      <c r="V893" s="17" t="s">
        <v>9418</v>
      </c>
      <c r="W893" s="18" t="s">
        <v>5309</v>
      </c>
      <c r="X893" s="69" t="s">
        <v>9453</v>
      </c>
      <c r="Y893" s="70" t="s">
        <v>9462</v>
      </c>
      <c r="Z893" s="73" t="s">
        <v>9486</v>
      </c>
      <c r="AA893" s="74" t="s">
        <v>9504</v>
      </c>
      <c r="AB893" s="73" t="s">
        <v>9486</v>
      </c>
      <c r="AC893" s="74" t="s">
        <v>9566</v>
      </c>
      <c r="AD893" s="73" t="s">
        <v>9578</v>
      </c>
      <c r="AE893" s="74" t="s">
        <v>9579</v>
      </c>
    </row>
    <row r="894" spans="1:31" ht="8.65" customHeight="1" x14ac:dyDescent="0.2">
      <c r="A894" s="76">
        <v>894</v>
      </c>
      <c r="B894" s="67" t="str">
        <f>MID(C894, FIND("Ifc.", C894) + 4, 4) &amp; "_" &amp; TEXT(COUNTIF($C$2:C894, C894),"0000")</f>
        <v>Prop_0893</v>
      </c>
      <c r="C894" s="24" t="s">
        <v>872</v>
      </c>
      <c r="D894" s="69" t="s">
        <v>9453</v>
      </c>
      <c r="E894" s="70" t="s">
        <v>9454</v>
      </c>
      <c r="F894" s="17" t="s">
        <v>806</v>
      </c>
      <c r="G894" s="22" t="s">
        <v>1995</v>
      </c>
      <c r="H894" s="12" t="s">
        <v>9703</v>
      </c>
      <c r="I894" s="13" t="s">
        <v>7475</v>
      </c>
      <c r="J894" s="14" t="s">
        <v>798</v>
      </c>
      <c r="K894" s="15" t="s">
        <v>798</v>
      </c>
      <c r="L894" s="12" t="s">
        <v>5315</v>
      </c>
      <c r="M894" s="13" t="s">
        <v>5477</v>
      </c>
      <c r="N894" s="12" t="s">
        <v>803</v>
      </c>
      <c r="O894" s="13" t="s">
        <v>5081</v>
      </c>
      <c r="P894" s="17" t="s">
        <v>802</v>
      </c>
      <c r="Q894" s="21" t="s">
        <v>7807</v>
      </c>
      <c r="R894" s="17" t="s">
        <v>801</v>
      </c>
      <c r="S894" s="18" t="s">
        <v>2560</v>
      </c>
      <c r="T894" s="17" t="s">
        <v>800</v>
      </c>
      <c r="U894" s="18" t="s">
        <v>5236</v>
      </c>
      <c r="V894" s="17" t="s">
        <v>9418</v>
      </c>
      <c r="W894" s="18" t="s">
        <v>5309</v>
      </c>
      <c r="X894" s="69" t="s">
        <v>9453</v>
      </c>
      <c r="Y894" s="70" t="s">
        <v>9462</v>
      </c>
      <c r="Z894" s="73" t="s">
        <v>9486</v>
      </c>
      <c r="AA894" s="74" t="s">
        <v>9504</v>
      </c>
      <c r="AB894" s="73" t="s">
        <v>9486</v>
      </c>
      <c r="AC894" s="74" t="s">
        <v>9562</v>
      </c>
      <c r="AD894" s="73" t="s">
        <v>9578</v>
      </c>
      <c r="AE894" s="74" t="s">
        <v>9579</v>
      </c>
    </row>
    <row r="895" spans="1:31" ht="8.65" customHeight="1" x14ac:dyDescent="0.2">
      <c r="A895" s="76">
        <v>895</v>
      </c>
      <c r="B895" s="67" t="str">
        <f>MID(C895, FIND("Ifc.", C895) + 4, 4) &amp; "_" &amp; TEXT(COUNTIF($C$2:C895, C895),"0000")</f>
        <v>Prop_0894</v>
      </c>
      <c r="C895" s="24" t="s">
        <v>872</v>
      </c>
      <c r="D895" s="69" t="s">
        <v>9453</v>
      </c>
      <c r="E895" s="70" t="s">
        <v>9454</v>
      </c>
      <c r="F895" s="17" t="s">
        <v>806</v>
      </c>
      <c r="G895" s="22" t="s">
        <v>1897</v>
      </c>
      <c r="H895" s="12" t="s">
        <v>9703</v>
      </c>
      <c r="I895" s="13" t="s">
        <v>6566</v>
      </c>
      <c r="J895" s="14" t="s">
        <v>798</v>
      </c>
      <c r="K895" s="15" t="s">
        <v>798</v>
      </c>
      <c r="L895" s="12" t="s">
        <v>5315</v>
      </c>
      <c r="M895" s="13" t="s">
        <v>5463</v>
      </c>
      <c r="N895" s="12" t="s">
        <v>803</v>
      </c>
      <c r="O895" s="13" t="s">
        <v>5048</v>
      </c>
      <c r="P895" s="17" t="s">
        <v>802</v>
      </c>
      <c r="Q895" s="21" t="s">
        <v>7713</v>
      </c>
      <c r="R895" s="17" t="s">
        <v>801</v>
      </c>
      <c r="S895" s="18" t="s">
        <v>2554</v>
      </c>
      <c r="T895" s="17" t="s">
        <v>800</v>
      </c>
      <c r="U895" s="18" t="s">
        <v>5233</v>
      </c>
      <c r="V895" s="17" t="s">
        <v>9418</v>
      </c>
      <c r="W895" s="18" t="s">
        <v>5309</v>
      </c>
      <c r="X895" s="69" t="s">
        <v>9453</v>
      </c>
      <c r="Y895" s="70" t="s">
        <v>9462</v>
      </c>
      <c r="Z895" s="73" t="s">
        <v>9486</v>
      </c>
      <c r="AA895" s="74" t="s">
        <v>9504</v>
      </c>
      <c r="AB895" s="73" t="s">
        <v>9486</v>
      </c>
      <c r="AC895" s="74" t="s">
        <v>9562</v>
      </c>
      <c r="AD895" s="73" t="s">
        <v>9578</v>
      </c>
      <c r="AE895" s="74" t="s">
        <v>9579</v>
      </c>
    </row>
    <row r="896" spans="1:31" ht="8.65" customHeight="1" x14ac:dyDescent="0.2">
      <c r="A896" s="76">
        <v>896</v>
      </c>
      <c r="B896" s="67" t="str">
        <f>MID(C896, FIND("Ifc.", C896) + 4, 4) &amp; "_" &amp; TEXT(COUNTIF($C$2:C896, C896),"0000")</f>
        <v>Prop_0895</v>
      </c>
      <c r="C896" s="24" t="s">
        <v>872</v>
      </c>
      <c r="D896" s="69" t="s">
        <v>9453</v>
      </c>
      <c r="E896" s="70" t="s">
        <v>9454</v>
      </c>
      <c r="F896" s="17" t="s">
        <v>806</v>
      </c>
      <c r="G896" s="22" t="s">
        <v>2423</v>
      </c>
      <c r="H896" s="12" t="s">
        <v>9703</v>
      </c>
      <c r="I896" s="13" t="s">
        <v>6782</v>
      </c>
      <c r="J896" s="14" t="s">
        <v>798</v>
      </c>
      <c r="K896" s="15" t="s">
        <v>798</v>
      </c>
      <c r="L896" s="12" t="s">
        <v>5315</v>
      </c>
      <c r="M896" s="13" t="s">
        <v>5569</v>
      </c>
      <c r="N896" s="12" t="s">
        <v>803</v>
      </c>
      <c r="O896" s="13" t="s">
        <v>5202</v>
      </c>
      <c r="P896" s="17" t="s">
        <v>802</v>
      </c>
      <c r="Q896" s="21" t="s">
        <v>7765</v>
      </c>
      <c r="R896" s="17" t="s">
        <v>801</v>
      </c>
      <c r="S896" s="18" t="s">
        <v>2554</v>
      </c>
      <c r="T896" s="17" t="s">
        <v>800</v>
      </c>
      <c r="U896" s="18" t="s">
        <v>5233</v>
      </c>
      <c r="V896" s="17" t="s">
        <v>9418</v>
      </c>
      <c r="W896" s="18" t="s">
        <v>5310</v>
      </c>
      <c r="X896" s="69" t="s">
        <v>9453</v>
      </c>
      <c r="Y896" s="70" t="s">
        <v>9463</v>
      </c>
      <c r="Z896" s="73" t="s">
        <v>9486</v>
      </c>
      <c r="AA896" s="74" t="s">
        <v>9504</v>
      </c>
      <c r="AB896" s="73" t="s">
        <v>9486</v>
      </c>
      <c r="AC896" s="74" t="s">
        <v>9562</v>
      </c>
      <c r="AD896" s="73" t="s">
        <v>9578</v>
      </c>
      <c r="AE896" s="74" t="s">
        <v>9579</v>
      </c>
    </row>
    <row r="897" spans="1:31" ht="8.65" customHeight="1" x14ac:dyDescent="0.2">
      <c r="A897" s="76">
        <v>897</v>
      </c>
      <c r="B897" s="67" t="str">
        <f>MID(C897, FIND("Ifc.", C897) + 4, 4) &amp; "_" &amp; TEXT(COUNTIF($C$2:C897, C897),"0000")</f>
        <v>Prop_0896</v>
      </c>
      <c r="C897" s="24" t="s">
        <v>872</v>
      </c>
      <c r="D897" s="69" t="s">
        <v>9453</v>
      </c>
      <c r="E897" s="70" t="s">
        <v>9454</v>
      </c>
      <c r="F897" s="17" t="s">
        <v>806</v>
      </c>
      <c r="G897" s="22" t="s">
        <v>1846</v>
      </c>
      <c r="H897" s="12" t="s">
        <v>9703</v>
      </c>
      <c r="I897" s="13" t="s">
        <v>6518</v>
      </c>
      <c r="J897" s="14" t="s">
        <v>798</v>
      </c>
      <c r="K897" s="15" t="s">
        <v>798</v>
      </c>
      <c r="L897" s="12" t="s">
        <v>5315</v>
      </c>
      <c r="M897" s="13" t="s">
        <v>5457</v>
      </c>
      <c r="N897" s="12" t="s">
        <v>803</v>
      </c>
      <c r="O897" s="13" t="s">
        <v>5033</v>
      </c>
      <c r="P897" s="17" t="s">
        <v>802</v>
      </c>
      <c r="Q897" s="21" t="s">
        <v>7919</v>
      </c>
      <c r="R897" s="17" t="s">
        <v>801</v>
      </c>
      <c r="S897" s="18" t="s">
        <v>2621</v>
      </c>
      <c r="T897" s="17" t="s">
        <v>800</v>
      </c>
      <c r="U897" s="18" t="s">
        <v>5260</v>
      </c>
      <c r="V897" s="17" t="s">
        <v>9418</v>
      </c>
      <c r="W897" s="18" t="s">
        <v>5309</v>
      </c>
      <c r="X897" s="69" t="s">
        <v>9453</v>
      </c>
      <c r="Y897" s="70" t="s">
        <v>9462</v>
      </c>
      <c r="Z897" s="73" t="s">
        <v>9486</v>
      </c>
      <c r="AA897" s="74" t="s">
        <v>9504</v>
      </c>
      <c r="AB897" s="73" t="s">
        <v>9486</v>
      </c>
      <c r="AC897" s="74" t="s">
        <v>9566</v>
      </c>
      <c r="AD897" s="73" t="s">
        <v>9578</v>
      </c>
      <c r="AE897" s="74" t="s">
        <v>9579</v>
      </c>
    </row>
    <row r="898" spans="1:31" ht="8.65" customHeight="1" x14ac:dyDescent="0.2">
      <c r="A898" s="76">
        <v>898</v>
      </c>
      <c r="B898" s="67" t="str">
        <f>MID(C898, FIND("Ifc.", C898) + 4, 4) &amp; "_" &amp; TEXT(COUNTIF($C$2:C898, C898),"0000")</f>
        <v>Prop_0897</v>
      </c>
      <c r="C898" s="24" t="s">
        <v>872</v>
      </c>
      <c r="D898" s="69" t="s">
        <v>9453</v>
      </c>
      <c r="E898" s="70" t="s">
        <v>9454</v>
      </c>
      <c r="F898" s="17" t="s">
        <v>806</v>
      </c>
      <c r="G898" s="22" t="s">
        <v>1748</v>
      </c>
      <c r="H898" s="12" t="s">
        <v>9703</v>
      </c>
      <c r="I898" s="13" t="s">
        <v>6469</v>
      </c>
      <c r="J898" s="14" t="s">
        <v>798</v>
      </c>
      <c r="K898" s="15" t="s">
        <v>798</v>
      </c>
      <c r="L898" s="12" t="s">
        <v>5315</v>
      </c>
      <c r="M898" s="13" t="s">
        <v>5932</v>
      </c>
      <c r="N898" s="12" t="s">
        <v>803</v>
      </c>
      <c r="O898" s="13" t="s">
        <v>5006</v>
      </c>
      <c r="P898" s="17" t="s">
        <v>802</v>
      </c>
      <c r="Q898" s="21" t="s">
        <v>7968</v>
      </c>
      <c r="R898" s="17" t="s">
        <v>801</v>
      </c>
      <c r="S898" s="18" t="s">
        <v>2554</v>
      </c>
      <c r="T898" s="17" t="s">
        <v>800</v>
      </c>
      <c r="U898" s="18" t="s">
        <v>5233</v>
      </c>
      <c r="V898" s="17" t="s">
        <v>9418</v>
      </c>
      <c r="W898" s="18" t="s">
        <v>5309</v>
      </c>
      <c r="X898" s="69" t="s">
        <v>9453</v>
      </c>
      <c r="Y898" s="70" t="s">
        <v>9462</v>
      </c>
      <c r="Z898" s="73" t="s">
        <v>9486</v>
      </c>
      <c r="AA898" s="74" t="s">
        <v>9504</v>
      </c>
      <c r="AB898" s="73" t="s">
        <v>9486</v>
      </c>
      <c r="AC898" s="74" t="s">
        <v>9562</v>
      </c>
      <c r="AD898" s="73" t="s">
        <v>9578</v>
      </c>
      <c r="AE898" s="74" t="s">
        <v>9579</v>
      </c>
    </row>
    <row r="899" spans="1:31" ht="8.65" customHeight="1" x14ac:dyDescent="0.2">
      <c r="A899" s="76">
        <v>899</v>
      </c>
      <c r="B899" s="67" t="str">
        <f>MID(C899, FIND("Ifc.", C899) + 4, 4) &amp; "_" &amp; TEXT(COUNTIF($C$2:C899, C899),"0000")</f>
        <v>Prop_0898</v>
      </c>
      <c r="C899" s="24" t="s">
        <v>872</v>
      </c>
      <c r="D899" s="69" t="s">
        <v>9453</v>
      </c>
      <c r="E899" s="70" t="s">
        <v>9454</v>
      </c>
      <c r="F899" s="17" t="s">
        <v>806</v>
      </c>
      <c r="G899" s="22" t="s">
        <v>1724</v>
      </c>
      <c r="H899" s="12" t="s">
        <v>9703</v>
      </c>
      <c r="I899" s="13" t="s">
        <v>6451</v>
      </c>
      <c r="J899" s="14" t="s">
        <v>798</v>
      </c>
      <c r="K899" s="15" t="s">
        <v>798</v>
      </c>
      <c r="L899" s="12" t="s">
        <v>5315</v>
      </c>
      <c r="M899" s="13" t="s">
        <v>5931</v>
      </c>
      <c r="N899" s="12" t="s">
        <v>803</v>
      </c>
      <c r="O899" s="13" t="s">
        <v>5004</v>
      </c>
      <c r="P899" s="17" t="s">
        <v>802</v>
      </c>
      <c r="Q899" s="21" t="s">
        <v>7689</v>
      </c>
      <c r="R899" s="17" t="s">
        <v>801</v>
      </c>
      <c r="S899" s="18" t="s">
        <v>2611</v>
      </c>
      <c r="T899" s="17" t="s">
        <v>800</v>
      </c>
      <c r="U899" s="18" t="s">
        <v>5255</v>
      </c>
      <c r="V899" s="17" t="s">
        <v>9418</v>
      </c>
      <c r="W899" s="18" t="s">
        <v>5309</v>
      </c>
      <c r="X899" s="69" t="s">
        <v>9453</v>
      </c>
      <c r="Y899" s="70" t="s">
        <v>9462</v>
      </c>
      <c r="Z899" s="73" t="s">
        <v>9486</v>
      </c>
      <c r="AA899" s="74" t="s">
        <v>9504</v>
      </c>
      <c r="AB899" s="73" t="s">
        <v>9486</v>
      </c>
      <c r="AC899" s="74" t="s">
        <v>9566</v>
      </c>
      <c r="AD899" s="73" t="s">
        <v>9578</v>
      </c>
      <c r="AE899" s="74" t="s">
        <v>9579</v>
      </c>
    </row>
    <row r="900" spans="1:31" ht="8.65" customHeight="1" x14ac:dyDescent="0.2">
      <c r="A900" s="76">
        <v>900</v>
      </c>
      <c r="B900" s="67" t="str">
        <f>MID(C900, FIND("Ifc.", C900) + 4, 4) &amp; "_" &amp; TEXT(COUNTIF($C$2:C900, C900),"0000")</f>
        <v>Prop_0899</v>
      </c>
      <c r="C900" s="24" t="s">
        <v>872</v>
      </c>
      <c r="D900" s="69" t="s">
        <v>9453</v>
      </c>
      <c r="E900" s="70" t="s">
        <v>9454</v>
      </c>
      <c r="F900" s="17" t="s">
        <v>806</v>
      </c>
      <c r="G900" s="22" t="s">
        <v>2471</v>
      </c>
      <c r="H900" s="12" t="s">
        <v>9703</v>
      </c>
      <c r="I900" s="13" t="s">
        <v>6807</v>
      </c>
      <c r="J900" s="14" t="s">
        <v>798</v>
      </c>
      <c r="K900" s="15" t="s">
        <v>798</v>
      </c>
      <c r="L900" s="12" t="s">
        <v>5315</v>
      </c>
      <c r="M900" s="13" t="s">
        <v>5575</v>
      </c>
      <c r="N900" s="12" t="s">
        <v>803</v>
      </c>
      <c r="O900" s="13" t="s">
        <v>5213</v>
      </c>
      <c r="P900" s="17" t="s">
        <v>802</v>
      </c>
      <c r="Q900" s="21" t="s">
        <v>7690</v>
      </c>
      <c r="R900" s="17" t="s">
        <v>801</v>
      </c>
      <c r="S900" s="18" t="s">
        <v>2611</v>
      </c>
      <c r="T900" s="17" t="s">
        <v>800</v>
      </c>
      <c r="U900" s="18" t="s">
        <v>5255</v>
      </c>
      <c r="V900" s="17" t="s">
        <v>9418</v>
      </c>
      <c r="W900" s="18" t="s">
        <v>5309</v>
      </c>
      <c r="X900" s="69" t="s">
        <v>9453</v>
      </c>
      <c r="Y900" s="70" t="s">
        <v>9462</v>
      </c>
      <c r="Z900" s="73" t="s">
        <v>9486</v>
      </c>
      <c r="AA900" s="74" t="s">
        <v>9504</v>
      </c>
      <c r="AB900" s="73" t="s">
        <v>9486</v>
      </c>
      <c r="AC900" s="74" t="s">
        <v>9566</v>
      </c>
      <c r="AD900" s="73" t="s">
        <v>9578</v>
      </c>
      <c r="AE900" s="74" t="s">
        <v>9579</v>
      </c>
    </row>
    <row r="901" spans="1:31" ht="8.65" customHeight="1" x14ac:dyDescent="0.2">
      <c r="A901" s="76">
        <v>901</v>
      </c>
      <c r="B901" s="67" t="str">
        <f>MID(C901, FIND("Ifc.", C901) + 4, 4) &amp; "_" &amp; TEXT(COUNTIF($C$2:C901, C901),"0000")</f>
        <v>Prop_0900</v>
      </c>
      <c r="C901" s="24" t="s">
        <v>872</v>
      </c>
      <c r="D901" s="69" t="s">
        <v>9453</v>
      </c>
      <c r="E901" s="70" t="s">
        <v>9454</v>
      </c>
      <c r="F901" s="17" t="s">
        <v>806</v>
      </c>
      <c r="G901" s="22" t="s">
        <v>1517</v>
      </c>
      <c r="H901" s="12" t="s">
        <v>9703</v>
      </c>
      <c r="I901" s="13" t="s">
        <v>6353</v>
      </c>
      <c r="J901" s="14" t="s">
        <v>798</v>
      </c>
      <c r="K901" s="15" t="s">
        <v>798</v>
      </c>
      <c r="L901" s="12" t="s">
        <v>5315</v>
      </c>
      <c r="M901" s="13" t="s">
        <v>5444</v>
      </c>
      <c r="N901" s="12" t="s">
        <v>803</v>
      </c>
      <c r="O901" s="13" t="s">
        <v>4952</v>
      </c>
      <c r="P901" s="17" t="s">
        <v>802</v>
      </c>
      <c r="Q901" s="21" t="s">
        <v>7888</v>
      </c>
      <c r="R901" s="17" t="s">
        <v>801</v>
      </c>
      <c r="S901" s="18" t="s">
        <v>2669</v>
      </c>
      <c r="T901" s="17" t="s">
        <v>800</v>
      </c>
      <c r="U901" s="18" t="s">
        <v>5237</v>
      </c>
      <c r="V901" s="17" t="s">
        <v>9418</v>
      </c>
      <c r="W901" s="18" t="s">
        <v>5309</v>
      </c>
      <c r="X901" s="69" t="s">
        <v>9453</v>
      </c>
      <c r="Y901" s="70" t="s">
        <v>9462</v>
      </c>
      <c r="Z901" s="73" t="s">
        <v>9486</v>
      </c>
      <c r="AA901" s="74" t="s">
        <v>9504</v>
      </c>
      <c r="AB901" s="73" t="s">
        <v>9486</v>
      </c>
      <c r="AC901" s="74" t="s">
        <v>9562</v>
      </c>
      <c r="AD901" s="73" t="s">
        <v>9578</v>
      </c>
      <c r="AE901" s="74" t="s">
        <v>9579</v>
      </c>
    </row>
    <row r="902" spans="1:31" ht="8.65" customHeight="1" x14ac:dyDescent="0.2">
      <c r="A902" s="76">
        <v>902</v>
      </c>
      <c r="B902" s="67" t="str">
        <f>MID(C902, FIND("Ifc.", C902) + 4, 4) &amp; "_" &amp; TEXT(COUNTIF($C$2:C902, C902),"0000")</f>
        <v>Prop_0901</v>
      </c>
      <c r="C902" s="24" t="s">
        <v>872</v>
      </c>
      <c r="D902" s="69" t="s">
        <v>9453</v>
      </c>
      <c r="E902" s="70" t="s">
        <v>9454</v>
      </c>
      <c r="F902" s="17" t="s">
        <v>806</v>
      </c>
      <c r="G902" s="22" t="s">
        <v>1623</v>
      </c>
      <c r="H902" s="12" t="s">
        <v>9703</v>
      </c>
      <c r="I902" s="13" t="s">
        <v>6366</v>
      </c>
      <c r="J902" s="14" t="s">
        <v>798</v>
      </c>
      <c r="K902" s="15" t="s">
        <v>798</v>
      </c>
      <c r="L902" s="12" t="s">
        <v>5315</v>
      </c>
      <c r="M902" s="13" t="s">
        <v>5834</v>
      </c>
      <c r="N902" s="12" t="s">
        <v>803</v>
      </c>
      <c r="O902" s="13" t="s">
        <v>4976</v>
      </c>
      <c r="P902" s="17" t="s">
        <v>802</v>
      </c>
      <c r="Q902" s="21" t="s">
        <v>7883</v>
      </c>
      <c r="R902" s="17" t="s">
        <v>801</v>
      </c>
      <c r="S902" s="18" t="s">
        <v>3636</v>
      </c>
      <c r="T902" s="17" t="s">
        <v>800</v>
      </c>
      <c r="U902" s="18" t="s">
        <v>5257</v>
      </c>
      <c r="V902" s="17" t="s">
        <v>9418</v>
      </c>
      <c r="W902" s="18" t="s">
        <v>5314</v>
      </c>
      <c r="X902" s="69" t="s">
        <v>9453</v>
      </c>
      <c r="Y902" s="70" t="s">
        <v>9464</v>
      </c>
      <c r="Z902" s="73" t="s">
        <v>9486</v>
      </c>
      <c r="AA902" s="74" t="s">
        <v>9504</v>
      </c>
      <c r="AB902" s="73" t="s">
        <v>9486</v>
      </c>
      <c r="AC902" s="74" t="s">
        <v>9561</v>
      </c>
      <c r="AD902" s="73" t="s">
        <v>9578</v>
      </c>
      <c r="AE902" s="74" t="s">
        <v>9579</v>
      </c>
    </row>
    <row r="903" spans="1:31" ht="8.65" customHeight="1" x14ac:dyDescent="0.2">
      <c r="A903" s="76">
        <v>903</v>
      </c>
      <c r="B903" s="67" t="str">
        <f>MID(C903, FIND("Ifc.", C903) + 4, 4) &amp; "_" &amp; TEXT(COUNTIF($C$2:C903, C903),"0000")</f>
        <v>Prop_0902</v>
      </c>
      <c r="C903" s="24" t="s">
        <v>872</v>
      </c>
      <c r="D903" s="69" t="s">
        <v>9453</v>
      </c>
      <c r="E903" s="70" t="s">
        <v>9454</v>
      </c>
      <c r="F903" s="17" t="s">
        <v>806</v>
      </c>
      <c r="G903" s="22" t="s">
        <v>1231</v>
      </c>
      <c r="H903" s="12" t="s">
        <v>9703</v>
      </c>
      <c r="I903" s="13" t="s">
        <v>6224</v>
      </c>
      <c r="J903" s="14" t="s">
        <v>798</v>
      </c>
      <c r="K903" s="15" t="s">
        <v>798</v>
      </c>
      <c r="L903" s="12" t="s">
        <v>5315</v>
      </c>
      <c r="M903" s="13" t="s">
        <v>5400</v>
      </c>
      <c r="N903" s="12" t="s">
        <v>803</v>
      </c>
      <c r="O903" s="13" t="s">
        <v>4888</v>
      </c>
      <c r="P903" s="17" t="s">
        <v>802</v>
      </c>
      <c r="Q903" s="21" t="s">
        <v>7777</v>
      </c>
      <c r="R903" s="17" t="s">
        <v>801</v>
      </c>
      <c r="S903" s="18" t="s">
        <v>2554</v>
      </c>
      <c r="T903" s="17" t="s">
        <v>800</v>
      </c>
      <c r="U903" s="18" t="s">
        <v>5233</v>
      </c>
      <c r="V903" s="17" t="s">
        <v>9418</v>
      </c>
      <c r="W903" s="18" t="s">
        <v>5310</v>
      </c>
      <c r="X903" s="69" t="s">
        <v>9453</v>
      </c>
      <c r="Y903" s="70" t="s">
        <v>9463</v>
      </c>
      <c r="Z903" s="73" t="s">
        <v>9486</v>
      </c>
      <c r="AA903" s="74" t="s">
        <v>9504</v>
      </c>
      <c r="AB903" s="73" t="s">
        <v>9486</v>
      </c>
      <c r="AC903" s="74" t="s">
        <v>9562</v>
      </c>
      <c r="AD903" s="73" t="s">
        <v>9578</v>
      </c>
      <c r="AE903" s="74" t="s">
        <v>9579</v>
      </c>
    </row>
    <row r="904" spans="1:31" ht="8.65" customHeight="1" x14ac:dyDescent="0.2">
      <c r="A904" s="76">
        <v>904</v>
      </c>
      <c r="B904" s="67" t="str">
        <f>MID(C904, FIND("Ifc.", C904) + 4, 4) &amp; "_" &amp; TEXT(COUNTIF($C$2:C904, C904),"0000")</f>
        <v>Prop_0903</v>
      </c>
      <c r="C904" s="24" t="s">
        <v>872</v>
      </c>
      <c r="D904" s="69" t="s">
        <v>9453</v>
      </c>
      <c r="E904" s="70" t="s">
        <v>9454</v>
      </c>
      <c r="F904" s="17" t="s">
        <v>806</v>
      </c>
      <c r="G904" s="22" t="s">
        <v>1747</v>
      </c>
      <c r="H904" s="12" t="s">
        <v>9703</v>
      </c>
      <c r="I904" s="13" t="s">
        <v>6468</v>
      </c>
      <c r="J904" s="14" t="s">
        <v>798</v>
      </c>
      <c r="K904" s="15" t="s">
        <v>798</v>
      </c>
      <c r="L904" s="12" t="s">
        <v>5315</v>
      </c>
      <c r="M904" s="13" t="s">
        <v>5932</v>
      </c>
      <c r="N904" s="12" t="s">
        <v>803</v>
      </c>
      <c r="O904" s="13" t="s">
        <v>5006</v>
      </c>
      <c r="P904" s="17" t="s">
        <v>802</v>
      </c>
      <c r="Q904" s="21" t="s">
        <v>7968</v>
      </c>
      <c r="R904" s="17" t="s">
        <v>801</v>
      </c>
      <c r="S904" s="18" t="s">
        <v>2554</v>
      </c>
      <c r="T904" s="17" t="s">
        <v>800</v>
      </c>
      <c r="U904" s="18" t="s">
        <v>5233</v>
      </c>
      <c r="V904" s="17" t="s">
        <v>9418</v>
      </c>
      <c r="W904" s="18" t="s">
        <v>5309</v>
      </c>
      <c r="X904" s="69" t="s">
        <v>9453</v>
      </c>
      <c r="Y904" s="70" t="s">
        <v>9462</v>
      </c>
      <c r="Z904" s="73" t="s">
        <v>9486</v>
      </c>
      <c r="AA904" s="74" t="s">
        <v>9504</v>
      </c>
      <c r="AB904" s="73" t="s">
        <v>9486</v>
      </c>
      <c r="AC904" s="74" t="s">
        <v>9562</v>
      </c>
      <c r="AD904" s="73" t="s">
        <v>9578</v>
      </c>
      <c r="AE904" s="74" t="s">
        <v>9579</v>
      </c>
    </row>
    <row r="905" spans="1:31" ht="8.65" customHeight="1" x14ac:dyDescent="0.2">
      <c r="A905" s="76">
        <v>905</v>
      </c>
      <c r="B905" s="67" t="str">
        <f>MID(C905, FIND("Ifc.", C905) + 4, 4) &amp; "_" &amp; TEXT(COUNTIF($C$2:C905, C905),"0000")</f>
        <v>Prop_0904</v>
      </c>
      <c r="C905" s="24" t="s">
        <v>872</v>
      </c>
      <c r="D905" s="69" t="s">
        <v>9453</v>
      </c>
      <c r="E905" s="70" t="s">
        <v>9454</v>
      </c>
      <c r="F905" s="17" t="s">
        <v>806</v>
      </c>
      <c r="G905" s="22" t="s">
        <v>1717</v>
      </c>
      <c r="H905" s="12" t="s">
        <v>9703</v>
      </c>
      <c r="I905" s="13" t="s">
        <v>6905</v>
      </c>
      <c r="J905" s="14" t="s">
        <v>798</v>
      </c>
      <c r="K905" s="15" t="s">
        <v>798</v>
      </c>
      <c r="L905" s="12" t="s">
        <v>5315</v>
      </c>
      <c r="M905" s="13" t="s">
        <v>5931</v>
      </c>
      <c r="N905" s="12" t="s">
        <v>803</v>
      </c>
      <c r="O905" s="13" t="s">
        <v>5004</v>
      </c>
      <c r="P905" s="17" t="s">
        <v>802</v>
      </c>
      <c r="Q905" s="21" t="s">
        <v>7689</v>
      </c>
      <c r="R905" s="17" t="s">
        <v>801</v>
      </c>
      <c r="S905" s="18" t="s">
        <v>2554</v>
      </c>
      <c r="T905" s="17" t="s">
        <v>800</v>
      </c>
      <c r="U905" s="18" t="s">
        <v>5233</v>
      </c>
      <c r="V905" s="17" t="s">
        <v>9418</v>
      </c>
      <c r="W905" s="18" t="s">
        <v>5310</v>
      </c>
      <c r="X905" s="69" t="s">
        <v>9453</v>
      </c>
      <c r="Y905" s="70" t="s">
        <v>9463</v>
      </c>
      <c r="Z905" s="73" t="s">
        <v>9486</v>
      </c>
      <c r="AA905" s="74" t="s">
        <v>9504</v>
      </c>
      <c r="AB905" s="73" t="s">
        <v>9486</v>
      </c>
      <c r="AC905" s="74" t="s">
        <v>9562</v>
      </c>
      <c r="AD905" s="73" t="s">
        <v>9578</v>
      </c>
      <c r="AE905" s="74" t="s">
        <v>9579</v>
      </c>
    </row>
    <row r="906" spans="1:31" ht="8.65" customHeight="1" x14ac:dyDescent="0.2">
      <c r="A906" s="76">
        <v>906</v>
      </c>
      <c r="B906" s="67" t="str">
        <f>MID(C906, FIND("Ifc.", C906) + 4, 4) &amp; "_" &amp; TEXT(COUNTIF($C$2:C906, C906),"0000")</f>
        <v>Prop_0905</v>
      </c>
      <c r="C906" s="24" t="s">
        <v>872</v>
      </c>
      <c r="D906" s="69" t="s">
        <v>9453</v>
      </c>
      <c r="E906" s="70" t="s">
        <v>9454</v>
      </c>
      <c r="F906" s="17" t="s">
        <v>806</v>
      </c>
      <c r="G906" s="22" t="s">
        <v>1962</v>
      </c>
      <c r="H906" s="12" t="s">
        <v>9703</v>
      </c>
      <c r="I906" s="13" t="s">
        <v>6923</v>
      </c>
      <c r="J906" s="14" t="s">
        <v>798</v>
      </c>
      <c r="K906" s="15" t="s">
        <v>798</v>
      </c>
      <c r="L906" s="12" t="s">
        <v>5315</v>
      </c>
      <c r="M906" s="13" t="s">
        <v>5472</v>
      </c>
      <c r="N906" s="12" t="s">
        <v>803</v>
      </c>
      <c r="O906" s="13" t="s">
        <v>5067</v>
      </c>
      <c r="P906" s="17" t="s">
        <v>802</v>
      </c>
      <c r="Q906" s="21" t="s">
        <v>7791</v>
      </c>
      <c r="R906" s="17" t="s">
        <v>801</v>
      </c>
      <c r="S906" s="18" t="s">
        <v>2562</v>
      </c>
      <c r="T906" s="17" t="s">
        <v>800</v>
      </c>
      <c r="U906" s="18" t="s">
        <v>5256</v>
      </c>
      <c r="V906" s="17" t="s">
        <v>9418</v>
      </c>
      <c r="W906" s="18" t="s">
        <v>5309</v>
      </c>
      <c r="X906" s="69" t="s">
        <v>9453</v>
      </c>
      <c r="Y906" s="70" t="s">
        <v>9462</v>
      </c>
      <c r="Z906" s="73" t="s">
        <v>9486</v>
      </c>
      <c r="AA906" s="74" t="s">
        <v>9504</v>
      </c>
      <c r="AB906" s="73" t="s">
        <v>9486</v>
      </c>
      <c r="AC906" s="74" t="s">
        <v>9562</v>
      </c>
      <c r="AD906" s="73" t="s">
        <v>9578</v>
      </c>
      <c r="AE906" s="74" t="s">
        <v>9579</v>
      </c>
    </row>
    <row r="907" spans="1:31" ht="8.65" customHeight="1" x14ac:dyDescent="0.2">
      <c r="A907" s="76">
        <v>907</v>
      </c>
      <c r="B907" s="67" t="str">
        <f>MID(C907, FIND("Ifc.", C907) + 4, 4) &amp; "_" &amp; TEXT(COUNTIF($C$2:C907, C907),"0000")</f>
        <v>Prop_0906</v>
      </c>
      <c r="C907" s="24" t="s">
        <v>872</v>
      </c>
      <c r="D907" s="69" t="s">
        <v>9453</v>
      </c>
      <c r="E907" s="70" t="s">
        <v>9454</v>
      </c>
      <c r="F907" s="17" t="s">
        <v>806</v>
      </c>
      <c r="G907" s="22" t="s">
        <v>1594</v>
      </c>
      <c r="H907" s="12" t="s">
        <v>9703</v>
      </c>
      <c r="I907" s="13" t="s">
        <v>6433</v>
      </c>
      <c r="J907" s="14" t="s">
        <v>798</v>
      </c>
      <c r="K907" s="15" t="s">
        <v>798</v>
      </c>
      <c r="L907" s="12" t="s">
        <v>5315</v>
      </c>
      <c r="M907" s="13" t="s">
        <v>5899</v>
      </c>
      <c r="N907" s="12" t="s">
        <v>803</v>
      </c>
      <c r="O907" s="13" t="s">
        <v>4968</v>
      </c>
      <c r="P907" s="17" t="s">
        <v>802</v>
      </c>
      <c r="Q907" s="21" t="s">
        <v>7786</v>
      </c>
      <c r="R907" s="17" t="s">
        <v>801</v>
      </c>
      <c r="S907" s="18" t="s">
        <v>3636</v>
      </c>
      <c r="T907" s="17" t="s">
        <v>800</v>
      </c>
      <c r="U907" s="18" t="s">
        <v>5257</v>
      </c>
      <c r="V907" s="17" t="s">
        <v>9418</v>
      </c>
      <c r="W907" s="18" t="s">
        <v>5314</v>
      </c>
      <c r="X907" s="69" t="s">
        <v>9453</v>
      </c>
      <c r="Y907" s="70" t="s">
        <v>9464</v>
      </c>
      <c r="Z907" s="73" t="s">
        <v>9486</v>
      </c>
      <c r="AA907" s="74" t="s">
        <v>9504</v>
      </c>
      <c r="AB907" s="73" t="s">
        <v>9486</v>
      </c>
      <c r="AC907" s="74" t="s">
        <v>9561</v>
      </c>
      <c r="AD907" s="73" t="s">
        <v>9578</v>
      </c>
      <c r="AE907" s="74" t="s">
        <v>9579</v>
      </c>
    </row>
    <row r="908" spans="1:31" ht="8.65" customHeight="1" x14ac:dyDescent="0.2">
      <c r="A908" s="76">
        <v>908</v>
      </c>
      <c r="B908" s="67" t="str">
        <f>MID(C908, FIND("Ifc.", C908) + 4, 4) &amp; "_" &amp; TEXT(COUNTIF($C$2:C908, C908),"0000")</f>
        <v>Prop_0907</v>
      </c>
      <c r="C908" s="24" t="s">
        <v>872</v>
      </c>
      <c r="D908" s="69" t="s">
        <v>9453</v>
      </c>
      <c r="E908" s="70" t="s">
        <v>9454</v>
      </c>
      <c r="F908" s="17" t="s">
        <v>806</v>
      </c>
      <c r="G908" s="22" t="s">
        <v>1593</v>
      </c>
      <c r="H908" s="12" t="s">
        <v>9703</v>
      </c>
      <c r="I908" s="13" t="s">
        <v>6432</v>
      </c>
      <c r="J908" s="14" t="s">
        <v>798</v>
      </c>
      <c r="K908" s="15" t="s">
        <v>798</v>
      </c>
      <c r="L908" s="12" t="s">
        <v>5315</v>
      </c>
      <c r="M908" s="13" t="s">
        <v>5899</v>
      </c>
      <c r="N908" s="12" t="s">
        <v>803</v>
      </c>
      <c r="O908" s="13" t="s">
        <v>4968</v>
      </c>
      <c r="P908" s="17" t="s">
        <v>802</v>
      </c>
      <c r="Q908" s="21" t="s">
        <v>7786</v>
      </c>
      <c r="R908" s="17" t="s">
        <v>801</v>
      </c>
      <c r="S908" s="18" t="s">
        <v>3636</v>
      </c>
      <c r="T908" s="17" t="s">
        <v>800</v>
      </c>
      <c r="U908" s="18" t="s">
        <v>5257</v>
      </c>
      <c r="V908" s="17" t="s">
        <v>9418</v>
      </c>
      <c r="W908" s="18" t="s">
        <v>5314</v>
      </c>
      <c r="X908" s="69" t="s">
        <v>9453</v>
      </c>
      <c r="Y908" s="70" t="s">
        <v>9464</v>
      </c>
      <c r="Z908" s="73" t="s">
        <v>9486</v>
      </c>
      <c r="AA908" s="74" t="s">
        <v>9504</v>
      </c>
      <c r="AB908" s="73" t="s">
        <v>9486</v>
      </c>
      <c r="AC908" s="74" t="s">
        <v>9561</v>
      </c>
      <c r="AD908" s="73" t="s">
        <v>9578</v>
      </c>
      <c r="AE908" s="74" t="s">
        <v>9579</v>
      </c>
    </row>
    <row r="909" spans="1:31" ht="8.65" customHeight="1" x14ac:dyDescent="0.2">
      <c r="A909" s="76">
        <v>909</v>
      </c>
      <c r="B909" s="67" t="str">
        <f>MID(C909, FIND("Ifc.", C909) + 4, 4) &amp; "_" &amp; TEXT(COUNTIF($C$2:C909, C909),"0000")</f>
        <v>Prop_0908</v>
      </c>
      <c r="C909" s="24" t="s">
        <v>872</v>
      </c>
      <c r="D909" s="69" t="s">
        <v>9453</v>
      </c>
      <c r="E909" s="70" t="s">
        <v>9454</v>
      </c>
      <c r="F909" s="17" t="s">
        <v>806</v>
      </c>
      <c r="G909" s="22" t="s">
        <v>1523</v>
      </c>
      <c r="H909" s="12" t="s">
        <v>9703</v>
      </c>
      <c r="I909" s="13" t="s">
        <v>6356</v>
      </c>
      <c r="J909" s="14" t="s">
        <v>798</v>
      </c>
      <c r="K909" s="15" t="s">
        <v>798</v>
      </c>
      <c r="L909" s="12" t="s">
        <v>5315</v>
      </c>
      <c r="M909" s="13" t="s">
        <v>5447</v>
      </c>
      <c r="N909" s="12" t="s">
        <v>803</v>
      </c>
      <c r="O909" s="13" t="s">
        <v>4954</v>
      </c>
      <c r="P909" s="17" t="s">
        <v>802</v>
      </c>
      <c r="Q909" s="21" t="s">
        <v>7955</v>
      </c>
      <c r="R909" s="17" t="s">
        <v>801</v>
      </c>
      <c r="S909" s="18" t="s">
        <v>2562</v>
      </c>
      <c r="T909" s="17" t="s">
        <v>800</v>
      </c>
      <c r="U909" s="18" t="s">
        <v>5256</v>
      </c>
      <c r="V909" s="17" t="s">
        <v>9418</v>
      </c>
      <c r="W909" s="18" t="s">
        <v>5309</v>
      </c>
      <c r="X909" s="69" t="s">
        <v>9453</v>
      </c>
      <c r="Y909" s="70" t="s">
        <v>9462</v>
      </c>
      <c r="Z909" s="73" t="s">
        <v>9486</v>
      </c>
      <c r="AA909" s="74" t="s">
        <v>9504</v>
      </c>
      <c r="AB909" s="73" t="s">
        <v>9486</v>
      </c>
      <c r="AC909" s="74" t="s">
        <v>9562</v>
      </c>
      <c r="AD909" s="73" t="s">
        <v>9578</v>
      </c>
      <c r="AE909" s="74" t="s">
        <v>9579</v>
      </c>
    </row>
    <row r="910" spans="1:31" ht="8.65" customHeight="1" x14ac:dyDescent="0.2">
      <c r="A910" s="76">
        <v>910</v>
      </c>
      <c r="B910" s="67" t="str">
        <f>MID(C910, FIND("Ifc.", C910) + 4, 4) &amp; "_" &amp; TEXT(COUNTIF($C$2:C910, C910),"0000")</f>
        <v>Prop_0909</v>
      </c>
      <c r="C910" s="24" t="s">
        <v>872</v>
      </c>
      <c r="D910" s="69" t="s">
        <v>9453</v>
      </c>
      <c r="E910" s="70" t="s">
        <v>9454</v>
      </c>
      <c r="F910" s="17" t="s">
        <v>806</v>
      </c>
      <c r="G910" s="22" t="s">
        <v>1523</v>
      </c>
      <c r="H910" s="12" t="s">
        <v>9703</v>
      </c>
      <c r="I910" s="13" t="s">
        <v>6356</v>
      </c>
      <c r="J910" s="14" t="s">
        <v>798</v>
      </c>
      <c r="K910" s="15" t="s">
        <v>798</v>
      </c>
      <c r="L910" s="12" t="s">
        <v>5315</v>
      </c>
      <c r="M910" s="13" t="s">
        <v>5467</v>
      </c>
      <c r="N910" s="12" t="s">
        <v>803</v>
      </c>
      <c r="O910" s="13" t="s">
        <v>5055</v>
      </c>
      <c r="P910" s="17" t="s">
        <v>802</v>
      </c>
      <c r="Q910" s="21" t="s">
        <v>7894</v>
      </c>
      <c r="R910" s="17" t="s">
        <v>801</v>
      </c>
      <c r="S910" s="18" t="s">
        <v>2562</v>
      </c>
      <c r="T910" s="17" t="s">
        <v>800</v>
      </c>
      <c r="U910" s="18" t="s">
        <v>5256</v>
      </c>
      <c r="V910" s="17" t="s">
        <v>9418</v>
      </c>
      <c r="W910" s="18" t="s">
        <v>5309</v>
      </c>
      <c r="X910" s="69" t="s">
        <v>9453</v>
      </c>
      <c r="Y910" s="70" t="s">
        <v>9462</v>
      </c>
      <c r="Z910" s="73" t="s">
        <v>9486</v>
      </c>
      <c r="AA910" s="74" t="s">
        <v>9504</v>
      </c>
      <c r="AB910" s="73" t="s">
        <v>9486</v>
      </c>
      <c r="AC910" s="74" t="s">
        <v>9562</v>
      </c>
      <c r="AD910" s="73" t="s">
        <v>9578</v>
      </c>
      <c r="AE910" s="74" t="s">
        <v>9579</v>
      </c>
    </row>
    <row r="911" spans="1:31" ht="8.65" customHeight="1" x14ac:dyDescent="0.2">
      <c r="A911" s="76">
        <v>911</v>
      </c>
      <c r="B911" s="67" t="str">
        <f>MID(C911, FIND("Ifc.", C911) + 4, 4) &amp; "_" &amp; TEXT(COUNTIF($C$2:C911, C911),"0000")</f>
        <v>Prop_0910</v>
      </c>
      <c r="C911" s="24" t="s">
        <v>872</v>
      </c>
      <c r="D911" s="69" t="s">
        <v>9453</v>
      </c>
      <c r="E911" s="70" t="s">
        <v>9454</v>
      </c>
      <c r="F911" s="17" t="s">
        <v>806</v>
      </c>
      <c r="G911" s="22" t="s">
        <v>1537</v>
      </c>
      <c r="H911" s="12" t="s">
        <v>9703</v>
      </c>
      <c r="I911" s="13" t="s">
        <v>6276</v>
      </c>
      <c r="J911" s="14" t="s">
        <v>798</v>
      </c>
      <c r="K911" s="15" t="s">
        <v>798</v>
      </c>
      <c r="L911" s="12" t="s">
        <v>5315</v>
      </c>
      <c r="M911" s="13" t="s">
        <v>5817</v>
      </c>
      <c r="N911" s="12" t="s">
        <v>803</v>
      </c>
      <c r="O911" s="13" t="s">
        <v>4956</v>
      </c>
      <c r="P911" s="17" t="s">
        <v>802</v>
      </c>
      <c r="Q911" s="21" t="s">
        <v>7758</v>
      </c>
      <c r="R911" s="17" t="s">
        <v>801</v>
      </c>
      <c r="S911" s="18" t="s">
        <v>2624</v>
      </c>
      <c r="T911" s="17" t="s">
        <v>800</v>
      </c>
      <c r="U911" s="18" t="s">
        <v>5243</v>
      </c>
      <c r="V911" s="17" t="s">
        <v>9418</v>
      </c>
      <c r="W911" s="18" t="s">
        <v>5309</v>
      </c>
      <c r="X911" s="69" t="s">
        <v>9453</v>
      </c>
      <c r="Y911" s="70" t="s">
        <v>9462</v>
      </c>
      <c r="Z911" s="73" t="s">
        <v>9486</v>
      </c>
      <c r="AA911" s="74" t="s">
        <v>9504</v>
      </c>
      <c r="AB911" s="73" t="s">
        <v>9486</v>
      </c>
      <c r="AC911" s="74" t="s">
        <v>9566</v>
      </c>
      <c r="AD911" s="73" t="s">
        <v>9578</v>
      </c>
      <c r="AE911" s="74" t="s">
        <v>9579</v>
      </c>
    </row>
    <row r="912" spans="1:31" ht="8.65" customHeight="1" x14ac:dyDescent="0.2">
      <c r="A912" s="76">
        <v>912</v>
      </c>
      <c r="B912" s="67" t="str">
        <f>MID(C912, FIND("Ifc.", C912) + 4, 4) &amp; "_" &amp; TEXT(COUNTIF($C$2:C912, C912),"0000")</f>
        <v>Prop_0911</v>
      </c>
      <c r="C912" s="24" t="s">
        <v>872</v>
      </c>
      <c r="D912" s="69" t="s">
        <v>9453</v>
      </c>
      <c r="E912" s="70" t="s">
        <v>9454</v>
      </c>
      <c r="F912" s="17" t="s">
        <v>806</v>
      </c>
      <c r="G912" s="22" t="s">
        <v>2020</v>
      </c>
      <c r="H912" s="12" t="s">
        <v>9703</v>
      </c>
      <c r="I912" s="13" t="s">
        <v>6611</v>
      </c>
      <c r="J912" s="14" t="s">
        <v>798</v>
      </c>
      <c r="K912" s="15" t="s">
        <v>798</v>
      </c>
      <c r="L912" s="12" t="s">
        <v>5315</v>
      </c>
      <c r="M912" s="13" t="s">
        <v>5480</v>
      </c>
      <c r="N912" s="12" t="s">
        <v>803</v>
      </c>
      <c r="O912" s="13" t="s">
        <v>5084</v>
      </c>
      <c r="P912" s="17" t="s">
        <v>802</v>
      </c>
      <c r="Q912" s="21" t="s">
        <v>7755</v>
      </c>
      <c r="R912" s="17" t="s">
        <v>801</v>
      </c>
      <c r="S912" s="18" t="s">
        <v>2625</v>
      </c>
      <c r="T912" s="17" t="s">
        <v>800</v>
      </c>
      <c r="U912" s="18" t="s">
        <v>5240</v>
      </c>
      <c r="V912" s="17" t="s">
        <v>9418</v>
      </c>
      <c r="W912" s="18" t="s">
        <v>5309</v>
      </c>
      <c r="X912" s="69" t="s">
        <v>9453</v>
      </c>
      <c r="Y912" s="70" t="s">
        <v>9462</v>
      </c>
      <c r="Z912" s="73" t="s">
        <v>9486</v>
      </c>
      <c r="AA912" s="74" t="s">
        <v>9504</v>
      </c>
      <c r="AB912" s="73" t="s">
        <v>9486</v>
      </c>
      <c r="AC912" s="74" t="s">
        <v>9566</v>
      </c>
      <c r="AD912" s="73" t="s">
        <v>9578</v>
      </c>
      <c r="AE912" s="74" t="s">
        <v>9579</v>
      </c>
    </row>
    <row r="913" spans="1:31" ht="8.65" customHeight="1" x14ac:dyDescent="0.2">
      <c r="A913" s="76">
        <v>913</v>
      </c>
      <c r="B913" s="67" t="str">
        <f>MID(C913, FIND("Ifc.", C913) + 4, 4) &amp; "_" &amp; TEXT(COUNTIF($C$2:C913, C913),"0000")</f>
        <v>Prop_0912</v>
      </c>
      <c r="C913" s="24" t="s">
        <v>872</v>
      </c>
      <c r="D913" s="69" t="s">
        <v>9453</v>
      </c>
      <c r="E913" s="70" t="s">
        <v>9454</v>
      </c>
      <c r="F913" s="17" t="s">
        <v>806</v>
      </c>
      <c r="G913" s="22" t="s">
        <v>2021</v>
      </c>
      <c r="H913" s="12" t="s">
        <v>9703</v>
      </c>
      <c r="I913" s="13" t="s">
        <v>6612</v>
      </c>
      <c r="J913" s="14" t="s">
        <v>798</v>
      </c>
      <c r="K913" s="15" t="s">
        <v>798</v>
      </c>
      <c r="L913" s="12" t="s">
        <v>5315</v>
      </c>
      <c r="M913" s="13" t="s">
        <v>5480</v>
      </c>
      <c r="N913" s="12" t="s">
        <v>803</v>
      </c>
      <c r="O913" s="13" t="s">
        <v>5084</v>
      </c>
      <c r="P913" s="17" t="s">
        <v>802</v>
      </c>
      <c r="Q913" s="21" t="s">
        <v>7755</v>
      </c>
      <c r="R913" s="17" t="s">
        <v>801</v>
      </c>
      <c r="S913" s="18" t="s">
        <v>2625</v>
      </c>
      <c r="T913" s="17" t="s">
        <v>800</v>
      </c>
      <c r="U913" s="18" t="s">
        <v>5240</v>
      </c>
      <c r="V913" s="17" t="s">
        <v>9418</v>
      </c>
      <c r="W913" s="18" t="s">
        <v>5309</v>
      </c>
      <c r="X913" s="69" t="s">
        <v>9453</v>
      </c>
      <c r="Y913" s="70" t="s">
        <v>9462</v>
      </c>
      <c r="Z913" s="73" t="s">
        <v>9486</v>
      </c>
      <c r="AA913" s="74" t="s">
        <v>9504</v>
      </c>
      <c r="AB913" s="73" t="s">
        <v>9486</v>
      </c>
      <c r="AC913" s="74" t="s">
        <v>9566</v>
      </c>
      <c r="AD913" s="73" t="s">
        <v>9578</v>
      </c>
      <c r="AE913" s="74" t="s">
        <v>9579</v>
      </c>
    </row>
    <row r="914" spans="1:31" ht="8.65" customHeight="1" x14ac:dyDescent="0.2">
      <c r="A914" s="76">
        <v>914</v>
      </c>
      <c r="B914" s="67" t="str">
        <f>MID(C914, FIND("Ifc.", C914) + 4, 4) &amp; "_" &amp; TEXT(COUNTIF($C$2:C914, C914),"0000")</f>
        <v>Prop_0913</v>
      </c>
      <c r="C914" s="24" t="s">
        <v>872</v>
      </c>
      <c r="D914" s="69" t="s">
        <v>9453</v>
      </c>
      <c r="E914" s="70" t="s">
        <v>9454</v>
      </c>
      <c r="F914" s="17" t="s">
        <v>806</v>
      </c>
      <c r="G914" s="22" t="s">
        <v>2289</v>
      </c>
      <c r="H914" s="12" t="s">
        <v>9703</v>
      </c>
      <c r="I914" s="13" t="s">
        <v>6707</v>
      </c>
      <c r="J914" s="14" t="s">
        <v>798</v>
      </c>
      <c r="K914" s="15" t="s">
        <v>798</v>
      </c>
      <c r="L914" s="12" t="s">
        <v>5315</v>
      </c>
      <c r="M914" s="13" t="s">
        <v>5550</v>
      </c>
      <c r="N914" s="12" t="s">
        <v>803</v>
      </c>
      <c r="O914" s="13" t="s">
        <v>5162</v>
      </c>
      <c r="P914" s="17" t="s">
        <v>802</v>
      </c>
      <c r="Q914" s="21" t="s">
        <v>7870</v>
      </c>
      <c r="R914" s="17" t="s">
        <v>801</v>
      </c>
      <c r="S914" s="18" t="s">
        <v>2628</v>
      </c>
      <c r="T914" s="17" t="s">
        <v>800</v>
      </c>
      <c r="U914" s="18" t="s">
        <v>5306</v>
      </c>
      <c r="V914" s="17" t="s">
        <v>9418</v>
      </c>
      <c r="W914" s="18" t="s">
        <v>5309</v>
      </c>
      <c r="X914" s="69" t="s">
        <v>9453</v>
      </c>
      <c r="Y914" s="70" t="s">
        <v>9462</v>
      </c>
      <c r="Z914" s="73" t="s">
        <v>9486</v>
      </c>
      <c r="AA914" s="74" t="s">
        <v>9504</v>
      </c>
      <c r="AB914" s="73" t="s">
        <v>9486</v>
      </c>
      <c r="AC914" s="74" t="s">
        <v>9566</v>
      </c>
      <c r="AD914" s="73" t="s">
        <v>9578</v>
      </c>
      <c r="AE914" s="74" t="s">
        <v>9579</v>
      </c>
    </row>
    <row r="915" spans="1:31" ht="8.65" customHeight="1" x14ac:dyDescent="0.2">
      <c r="A915" s="76">
        <v>915</v>
      </c>
      <c r="B915" s="67" t="str">
        <f>MID(C915, FIND("Ifc.", C915) + 4, 4) &amp; "_" &amp; TEXT(COUNTIF($C$2:C915, C915),"0000")</f>
        <v>Prop_0914</v>
      </c>
      <c r="C915" s="24" t="s">
        <v>872</v>
      </c>
      <c r="D915" s="69" t="s">
        <v>9453</v>
      </c>
      <c r="E915" s="70" t="s">
        <v>9454</v>
      </c>
      <c r="F915" s="17" t="s">
        <v>806</v>
      </c>
      <c r="G915" s="22" t="s">
        <v>1800</v>
      </c>
      <c r="H915" s="12" t="s">
        <v>9703</v>
      </c>
      <c r="I915" s="13" t="s">
        <v>7027</v>
      </c>
      <c r="J915" s="14" t="s">
        <v>798</v>
      </c>
      <c r="K915" s="15" t="s">
        <v>798</v>
      </c>
      <c r="L915" s="12" t="s">
        <v>5315</v>
      </c>
      <c r="M915" s="13" t="s">
        <v>5455</v>
      </c>
      <c r="N915" s="12" t="s">
        <v>803</v>
      </c>
      <c r="O915" s="13" t="s">
        <v>5019</v>
      </c>
      <c r="P915" s="17" t="s">
        <v>802</v>
      </c>
      <c r="Q915" s="21" t="s">
        <v>7736</v>
      </c>
      <c r="R915" s="17" t="s">
        <v>801</v>
      </c>
      <c r="S915" s="18" t="s">
        <v>2562</v>
      </c>
      <c r="T915" s="17" t="s">
        <v>800</v>
      </c>
      <c r="U915" s="18" t="s">
        <v>5256</v>
      </c>
      <c r="V915" s="17" t="s">
        <v>9418</v>
      </c>
      <c r="W915" s="18" t="s">
        <v>5309</v>
      </c>
      <c r="X915" s="69" t="s">
        <v>9453</v>
      </c>
      <c r="Y915" s="70" t="s">
        <v>9462</v>
      </c>
      <c r="Z915" s="73" t="s">
        <v>9486</v>
      </c>
      <c r="AA915" s="74" t="s">
        <v>9504</v>
      </c>
      <c r="AB915" s="73" t="s">
        <v>9486</v>
      </c>
      <c r="AC915" s="74" t="s">
        <v>9562</v>
      </c>
      <c r="AD915" s="73" t="s">
        <v>9578</v>
      </c>
      <c r="AE915" s="74" t="s">
        <v>9579</v>
      </c>
    </row>
    <row r="916" spans="1:31" ht="8.65" customHeight="1" x14ac:dyDescent="0.2">
      <c r="A916" s="76">
        <v>916</v>
      </c>
      <c r="B916" s="67" t="str">
        <f>MID(C916, FIND("Ifc.", C916) + 4, 4) &amp; "_" &amp; TEXT(COUNTIF($C$2:C916, C916),"0000")</f>
        <v>Prop_0915</v>
      </c>
      <c r="C916" s="24" t="s">
        <v>872</v>
      </c>
      <c r="D916" s="69" t="s">
        <v>9453</v>
      </c>
      <c r="E916" s="70" t="s">
        <v>9454</v>
      </c>
      <c r="F916" s="17" t="s">
        <v>806</v>
      </c>
      <c r="G916" s="22" t="s">
        <v>1821</v>
      </c>
      <c r="H916" s="12" t="s">
        <v>9703</v>
      </c>
      <c r="I916" s="13" t="s">
        <v>6514</v>
      </c>
      <c r="J916" s="14" t="s">
        <v>798</v>
      </c>
      <c r="K916" s="15" t="s">
        <v>798</v>
      </c>
      <c r="L916" s="12" t="s">
        <v>5315</v>
      </c>
      <c r="M916" s="13" t="s">
        <v>5456</v>
      </c>
      <c r="N916" s="12" t="s">
        <v>803</v>
      </c>
      <c r="O916" s="13" t="s">
        <v>5026</v>
      </c>
      <c r="P916" s="17" t="s">
        <v>802</v>
      </c>
      <c r="Q916" s="21" t="s">
        <v>7801</v>
      </c>
      <c r="R916" s="17" t="s">
        <v>801</v>
      </c>
      <c r="S916" s="18" t="s">
        <v>2562</v>
      </c>
      <c r="T916" s="17" t="s">
        <v>800</v>
      </c>
      <c r="U916" s="18" t="s">
        <v>5256</v>
      </c>
      <c r="V916" s="17" t="s">
        <v>9418</v>
      </c>
      <c r="W916" s="18" t="s">
        <v>5309</v>
      </c>
      <c r="X916" s="69" t="s">
        <v>9453</v>
      </c>
      <c r="Y916" s="70" t="s">
        <v>9462</v>
      </c>
      <c r="Z916" s="73" t="s">
        <v>9486</v>
      </c>
      <c r="AA916" s="74" t="s">
        <v>9504</v>
      </c>
      <c r="AB916" s="73" t="s">
        <v>9486</v>
      </c>
      <c r="AC916" s="74" t="s">
        <v>9562</v>
      </c>
      <c r="AD916" s="73" t="s">
        <v>9578</v>
      </c>
      <c r="AE916" s="74" t="s">
        <v>9579</v>
      </c>
    </row>
    <row r="917" spans="1:31" ht="8.65" customHeight="1" x14ac:dyDescent="0.2">
      <c r="A917" s="76">
        <v>917</v>
      </c>
      <c r="B917" s="67" t="str">
        <f>MID(C917, FIND("Ifc.", C917) + 4, 4) &amp; "_" &amp; TEXT(COUNTIF($C$2:C917, C917),"0000")</f>
        <v>Prop_0916</v>
      </c>
      <c r="C917" s="24" t="s">
        <v>872</v>
      </c>
      <c r="D917" s="69" t="s">
        <v>9453</v>
      </c>
      <c r="E917" s="70" t="s">
        <v>9454</v>
      </c>
      <c r="F917" s="17" t="s">
        <v>806</v>
      </c>
      <c r="G917" s="22" t="s">
        <v>1153</v>
      </c>
      <c r="H917" s="12" t="s">
        <v>9703</v>
      </c>
      <c r="I917" s="13" t="s">
        <v>6204</v>
      </c>
      <c r="J917" s="14" t="s">
        <v>798</v>
      </c>
      <c r="K917" s="15" t="s">
        <v>798</v>
      </c>
      <c r="L917" s="12" t="s">
        <v>5315</v>
      </c>
      <c r="M917" s="13" t="s">
        <v>6046</v>
      </c>
      <c r="N917" s="12" t="s">
        <v>803</v>
      </c>
      <c r="O917" s="13" t="s">
        <v>4870</v>
      </c>
      <c r="P917" s="17" t="s">
        <v>802</v>
      </c>
      <c r="Q917" s="21" t="s">
        <v>7822</v>
      </c>
      <c r="R917" s="17" t="s">
        <v>801</v>
      </c>
      <c r="S917" s="18" t="s">
        <v>2562</v>
      </c>
      <c r="T917" s="17" t="s">
        <v>800</v>
      </c>
      <c r="U917" s="18" t="s">
        <v>5256</v>
      </c>
      <c r="V917" s="17" t="s">
        <v>9418</v>
      </c>
      <c r="W917" s="18" t="s">
        <v>5309</v>
      </c>
      <c r="X917" s="69" t="s">
        <v>9453</v>
      </c>
      <c r="Y917" s="70" t="s">
        <v>9462</v>
      </c>
      <c r="Z917" s="73" t="s">
        <v>9486</v>
      </c>
      <c r="AA917" s="74" t="s">
        <v>9504</v>
      </c>
      <c r="AB917" s="73" t="s">
        <v>9486</v>
      </c>
      <c r="AC917" s="74" t="s">
        <v>9562</v>
      </c>
      <c r="AD917" s="73" t="s">
        <v>9578</v>
      </c>
      <c r="AE917" s="74" t="s">
        <v>9579</v>
      </c>
    </row>
    <row r="918" spans="1:31" ht="8.65" customHeight="1" x14ac:dyDescent="0.2">
      <c r="A918" s="76">
        <v>918</v>
      </c>
      <c r="B918" s="67" t="str">
        <f>MID(C918, FIND("Ifc.", C918) + 4, 4) &amp; "_" &amp; TEXT(COUNTIF($C$2:C918, C918),"0000")</f>
        <v>Prop_0917</v>
      </c>
      <c r="C918" s="24" t="s">
        <v>872</v>
      </c>
      <c r="D918" s="69" t="s">
        <v>9453</v>
      </c>
      <c r="E918" s="70" t="s">
        <v>9454</v>
      </c>
      <c r="F918" s="17" t="s">
        <v>806</v>
      </c>
      <c r="G918" s="22" t="s">
        <v>2500</v>
      </c>
      <c r="H918" s="12" t="s">
        <v>9703</v>
      </c>
      <c r="I918" s="13" t="s">
        <v>7552</v>
      </c>
      <c r="J918" s="14" t="s">
        <v>798</v>
      </c>
      <c r="K918" s="15" t="s">
        <v>798</v>
      </c>
      <c r="L918" s="12" t="s">
        <v>5315</v>
      </c>
      <c r="M918" s="13" t="s">
        <v>6005</v>
      </c>
      <c r="N918" s="12" t="s">
        <v>803</v>
      </c>
      <c r="O918" s="13" t="s">
        <v>5221</v>
      </c>
      <c r="P918" s="17" t="s">
        <v>802</v>
      </c>
      <c r="Q918" s="21" t="s">
        <v>7711</v>
      </c>
      <c r="R918" s="17" t="s">
        <v>801</v>
      </c>
      <c r="S918" s="18" t="s">
        <v>2562</v>
      </c>
      <c r="T918" s="17" t="s">
        <v>800</v>
      </c>
      <c r="U918" s="18" t="s">
        <v>5256</v>
      </c>
      <c r="V918" s="17" t="s">
        <v>9418</v>
      </c>
      <c r="W918" s="18" t="s">
        <v>5309</v>
      </c>
      <c r="X918" s="69" t="s">
        <v>9453</v>
      </c>
      <c r="Y918" s="70" t="s">
        <v>9462</v>
      </c>
      <c r="Z918" s="73" t="s">
        <v>9486</v>
      </c>
      <c r="AA918" s="74" t="s">
        <v>9504</v>
      </c>
      <c r="AB918" s="73" t="s">
        <v>9486</v>
      </c>
      <c r="AC918" s="74" t="s">
        <v>9562</v>
      </c>
      <c r="AD918" s="73" t="s">
        <v>9578</v>
      </c>
      <c r="AE918" s="74" t="s">
        <v>9579</v>
      </c>
    </row>
    <row r="919" spans="1:31" ht="8.65" customHeight="1" x14ac:dyDescent="0.2">
      <c r="A919" s="76">
        <v>919</v>
      </c>
      <c r="B919" s="67" t="str">
        <f>MID(C919, FIND("Ifc.", C919) + 4, 4) &amp; "_" &amp; TEXT(COUNTIF($C$2:C919, C919),"0000")</f>
        <v>Prop_0918</v>
      </c>
      <c r="C919" s="24" t="s">
        <v>872</v>
      </c>
      <c r="D919" s="69" t="s">
        <v>9453</v>
      </c>
      <c r="E919" s="70" t="s">
        <v>9454</v>
      </c>
      <c r="F919" s="17" t="s">
        <v>806</v>
      </c>
      <c r="G919" s="22" t="s">
        <v>1046</v>
      </c>
      <c r="H919" s="12" t="s">
        <v>9703</v>
      </c>
      <c r="I919" s="13" t="s">
        <v>6136</v>
      </c>
      <c r="J919" s="14" t="s">
        <v>798</v>
      </c>
      <c r="K919" s="15" t="s">
        <v>798</v>
      </c>
      <c r="L919" s="12" t="s">
        <v>5315</v>
      </c>
      <c r="M919" s="13" t="s">
        <v>5820</v>
      </c>
      <c r="N919" s="12" t="s">
        <v>803</v>
      </c>
      <c r="O919" s="13" t="s">
        <v>4844</v>
      </c>
      <c r="P919" s="17" t="s">
        <v>802</v>
      </c>
      <c r="Q919" s="21" t="s">
        <v>7901</v>
      </c>
      <c r="R919" s="17" t="s">
        <v>801</v>
      </c>
      <c r="S919" s="18" t="s">
        <v>3636</v>
      </c>
      <c r="T919" s="17" t="s">
        <v>800</v>
      </c>
      <c r="U919" s="18" t="s">
        <v>5257</v>
      </c>
      <c r="V919" s="17" t="s">
        <v>9418</v>
      </c>
      <c r="W919" s="18" t="s">
        <v>5314</v>
      </c>
      <c r="X919" s="69" t="s">
        <v>9453</v>
      </c>
      <c r="Y919" s="70" t="s">
        <v>9464</v>
      </c>
      <c r="Z919" s="73" t="s">
        <v>9486</v>
      </c>
      <c r="AA919" s="74" t="s">
        <v>9504</v>
      </c>
      <c r="AB919" s="73" t="s">
        <v>9486</v>
      </c>
      <c r="AC919" s="74" t="s">
        <v>9561</v>
      </c>
      <c r="AD919" s="73" t="s">
        <v>9578</v>
      </c>
      <c r="AE919" s="74" t="s">
        <v>9579</v>
      </c>
    </row>
    <row r="920" spans="1:31" ht="8.65" customHeight="1" x14ac:dyDescent="0.2">
      <c r="A920" s="76">
        <v>920</v>
      </c>
      <c r="B920" s="67" t="str">
        <f>MID(C920, FIND("Ifc.", C920) + 4, 4) &amp; "_" &amp; TEXT(COUNTIF($C$2:C920, C920),"0000")</f>
        <v>Prop_0919</v>
      </c>
      <c r="C920" s="24" t="s">
        <v>872</v>
      </c>
      <c r="D920" s="69" t="s">
        <v>9453</v>
      </c>
      <c r="E920" s="70" t="s">
        <v>9454</v>
      </c>
      <c r="F920" s="17" t="s">
        <v>806</v>
      </c>
      <c r="G920" s="22" t="s">
        <v>1046</v>
      </c>
      <c r="H920" s="12" t="s">
        <v>9703</v>
      </c>
      <c r="I920" s="13" t="s">
        <v>6136</v>
      </c>
      <c r="J920" s="14" t="s">
        <v>798</v>
      </c>
      <c r="K920" s="15" t="s">
        <v>798</v>
      </c>
      <c r="L920" s="12" t="s">
        <v>5315</v>
      </c>
      <c r="M920" s="13" t="s">
        <v>5410</v>
      </c>
      <c r="N920" s="12" t="s">
        <v>803</v>
      </c>
      <c r="O920" s="13" t="s">
        <v>4908</v>
      </c>
      <c r="P920" s="17" t="s">
        <v>802</v>
      </c>
      <c r="Q920" s="21" t="s">
        <v>7823</v>
      </c>
      <c r="R920" s="17" t="s">
        <v>801</v>
      </c>
      <c r="S920" s="18" t="s">
        <v>2624</v>
      </c>
      <c r="T920" s="17" t="s">
        <v>800</v>
      </c>
      <c r="U920" s="18" t="s">
        <v>5243</v>
      </c>
      <c r="V920" s="17" t="s">
        <v>9418</v>
      </c>
      <c r="W920" s="18" t="s">
        <v>5309</v>
      </c>
      <c r="X920" s="69" t="s">
        <v>9453</v>
      </c>
      <c r="Y920" s="70" t="s">
        <v>9462</v>
      </c>
      <c r="Z920" s="73" t="s">
        <v>9486</v>
      </c>
      <c r="AA920" s="74" t="s">
        <v>9504</v>
      </c>
      <c r="AB920" s="73" t="s">
        <v>9486</v>
      </c>
      <c r="AC920" s="74" t="s">
        <v>9566</v>
      </c>
      <c r="AD920" s="73" t="s">
        <v>9578</v>
      </c>
      <c r="AE920" s="74" t="s">
        <v>9579</v>
      </c>
    </row>
    <row r="921" spans="1:31" ht="8.65" customHeight="1" x14ac:dyDescent="0.2">
      <c r="A921" s="76">
        <v>921</v>
      </c>
      <c r="B921" s="67" t="str">
        <f>MID(C921, FIND("Ifc.", C921) + 4, 4) &amp; "_" &amp; TEXT(COUNTIF($C$2:C921, C921),"0000")</f>
        <v>Prop_0920</v>
      </c>
      <c r="C921" s="24" t="s">
        <v>872</v>
      </c>
      <c r="D921" s="69" t="s">
        <v>9453</v>
      </c>
      <c r="E921" s="70" t="s">
        <v>9454</v>
      </c>
      <c r="F921" s="17" t="s">
        <v>806</v>
      </c>
      <c r="G921" s="22" t="s">
        <v>1545</v>
      </c>
      <c r="H921" s="12" t="s">
        <v>9703</v>
      </c>
      <c r="I921" s="13" t="s">
        <v>6537</v>
      </c>
      <c r="J921" s="14" t="s">
        <v>798</v>
      </c>
      <c r="K921" s="15" t="s">
        <v>798</v>
      </c>
      <c r="L921" s="12" t="s">
        <v>5315</v>
      </c>
      <c r="M921" s="13" t="s">
        <v>5818</v>
      </c>
      <c r="N921" s="12" t="s">
        <v>803</v>
      </c>
      <c r="O921" s="13" t="s">
        <v>4957</v>
      </c>
      <c r="P921" s="17" t="s">
        <v>802</v>
      </c>
      <c r="Q921" s="21" t="s">
        <v>7792</v>
      </c>
      <c r="R921" s="17" t="s">
        <v>801</v>
      </c>
      <c r="S921" s="18" t="s">
        <v>2625</v>
      </c>
      <c r="T921" s="17" t="s">
        <v>800</v>
      </c>
      <c r="U921" s="18" t="s">
        <v>5240</v>
      </c>
      <c r="V921" s="17" t="s">
        <v>9418</v>
      </c>
      <c r="W921" s="18" t="s">
        <v>5309</v>
      </c>
      <c r="X921" s="69" t="s">
        <v>9453</v>
      </c>
      <c r="Y921" s="70" t="s">
        <v>9462</v>
      </c>
      <c r="Z921" s="73" t="s">
        <v>9486</v>
      </c>
      <c r="AA921" s="74" t="s">
        <v>9504</v>
      </c>
      <c r="AB921" s="73" t="s">
        <v>9486</v>
      </c>
      <c r="AC921" s="74" t="s">
        <v>9566</v>
      </c>
      <c r="AD921" s="73" t="s">
        <v>9578</v>
      </c>
      <c r="AE921" s="74" t="s">
        <v>9579</v>
      </c>
    </row>
    <row r="922" spans="1:31" ht="8.65" customHeight="1" x14ac:dyDescent="0.2">
      <c r="A922" s="76">
        <v>922</v>
      </c>
      <c r="B922" s="67" t="str">
        <f>MID(C922, FIND("Ifc.", C922) + 4, 4) &amp; "_" &amp; TEXT(COUNTIF($C$2:C922, C922),"0000")</f>
        <v>Prop_0921</v>
      </c>
      <c r="C922" s="24" t="s">
        <v>872</v>
      </c>
      <c r="D922" s="69" t="s">
        <v>9453</v>
      </c>
      <c r="E922" s="70" t="s">
        <v>9454</v>
      </c>
      <c r="F922" s="17" t="s">
        <v>806</v>
      </c>
      <c r="G922" s="22" t="s">
        <v>2175</v>
      </c>
      <c r="H922" s="12" t="s">
        <v>9703</v>
      </c>
      <c r="I922" s="13" t="s">
        <v>6661</v>
      </c>
      <c r="J922" s="14" t="s">
        <v>798</v>
      </c>
      <c r="K922" s="15" t="s">
        <v>798</v>
      </c>
      <c r="L922" s="12" t="s">
        <v>5315</v>
      </c>
      <c r="M922" s="13" t="s">
        <v>5503</v>
      </c>
      <c r="N922" s="12" t="s">
        <v>803</v>
      </c>
      <c r="O922" s="13" t="s">
        <v>5116</v>
      </c>
      <c r="P922" s="17" t="s">
        <v>802</v>
      </c>
      <c r="Q922" s="21" t="s">
        <v>7763</v>
      </c>
      <c r="R922" s="17" t="s">
        <v>801</v>
      </c>
      <c r="S922" s="18" t="s">
        <v>2554</v>
      </c>
      <c r="T922" s="17" t="s">
        <v>800</v>
      </c>
      <c r="U922" s="18" t="s">
        <v>5233</v>
      </c>
      <c r="V922" s="17" t="s">
        <v>9418</v>
      </c>
      <c r="W922" s="18" t="s">
        <v>5309</v>
      </c>
      <c r="X922" s="69" t="s">
        <v>9453</v>
      </c>
      <c r="Y922" s="70" t="s">
        <v>9462</v>
      </c>
      <c r="Z922" s="73" t="s">
        <v>9486</v>
      </c>
      <c r="AA922" s="74" t="s">
        <v>9504</v>
      </c>
      <c r="AB922" s="73" t="s">
        <v>9486</v>
      </c>
      <c r="AC922" s="74" t="s">
        <v>9562</v>
      </c>
      <c r="AD922" s="73" t="s">
        <v>9578</v>
      </c>
      <c r="AE922" s="74" t="s">
        <v>9579</v>
      </c>
    </row>
    <row r="923" spans="1:31" ht="8.65" customHeight="1" x14ac:dyDescent="0.2">
      <c r="A923" s="76">
        <v>923</v>
      </c>
      <c r="B923" s="67" t="str">
        <f>MID(C923, FIND("Ifc.", C923) + 4, 4) &amp; "_" &amp; TEXT(COUNTIF($C$2:C923, C923),"0000")</f>
        <v>Prop_0922</v>
      </c>
      <c r="C923" s="24" t="s">
        <v>872</v>
      </c>
      <c r="D923" s="69" t="s">
        <v>9453</v>
      </c>
      <c r="E923" s="70" t="s">
        <v>9454</v>
      </c>
      <c r="F923" s="17" t="s">
        <v>806</v>
      </c>
      <c r="G923" s="22" t="s">
        <v>932</v>
      </c>
      <c r="H923" s="12" t="s">
        <v>9703</v>
      </c>
      <c r="I923" s="13" t="s">
        <v>6076</v>
      </c>
      <c r="J923" s="14" t="s">
        <v>798</v>
      </c>
      <c r="K923" s="15" t="s">
        <v>798</v>
      </c>
      <c r="L923" s="12" t="s">
        <v>5315</v>
      </c>
      <c r="M923" s="13" t="s">
        <v>5372</v>
      </c>
      <c r="N923" s="12" t="s">
        <v>803</v>
      </c>
      <c r="O923" s="13" t="s">
        <v>4813</v>
      </c>
      <c r="P923" s="17" t="s">
        <v>802</v>
      </c>
      <c r="Q923" s="21" t="s">
        <v>7812</v>
      </c>
      <c r="R923" s="17" t="s">
        <v>801</v>
      </c>
      <c r="S923" s="18" t="s">
        <v>2625</v>
      </c>
      <c r="T923" s="17" t="s">
        <v>800</v>
      </c>
      <c r="U923" s="18" t="s">
        <v>5240</v>
      </c>
      <c r="V923" s="17" t="s">
        <v>9418</v>
      </c>
      <c r="W923" s="18" t="s">
        <v>5309</v>
      </c>
      <c r="X923" s="69" t="s">
        <v>9453</v>
      </c>
      <c r="Y923" s="70" t="s">
        <v>9462</v>
      </c>
      <c r="Z923" s="73" t="s">
        <v>9486</v>
      </c>
      <c r="AA923" s="74" t="s">
        <v>9504</v>
      </c>
      <c r="AB923" s="73" t="s">
        <v>9486</v>
      </c>
      <c r="AC923" s="74" t="s">
        <v>9566</v>
      </c>
      <c r="AD923" s="73" t="s">
        <v>9578</v>
      </c>
      <c r="AE923" s="74" t="s">
        <v>9579</v>
      </c>
    </row>
    <row r="924" spans="1:31" ht="8.65" customHeight="1" x14ac:dyDescent="0.2">
      <c r="A924" s="76">
        <v>924</v>
      </c>
      <c r="B924" s="67" t="str">
        <f>MID(C924, FIND("Ifc.", C924) + 4, 4) &amp; "_" &amp; TEXT(COUNTIF($C$2:C924, C924),"0000")</f>
        <v>Prop_0923</v>
      </c>
      <c r="C924" s="24" t="s">
        <v>872</v>
      </c>
      <c r="D924" s="69" t="s">
        <v>9453</v>
      </c>
      <c r="E924" s="70" t="s">
        <v>9454</v>
      </c>
      <c r="F924" s="17" t="s">
        <v>806</v>
      </c>
      <c r="G924" s="22" t="s">
        <v>932</v>
      </c>
      <c r="H924" s="12" t="s">
        <v>9703</v>
      </c>
      <c r="I924" s="13" t="s">
        <v>6076</v>
      </c>
      <c r="J924" s="14" t="s">
        <v>798</v>
      </c>
      <c r="K924" s="15" t="s">
        <v>798</v>
      </c>
      <c r="L924" s="12" t="s">
        <v>5315</v>
      </c>
      <c r="M924" s="13" t="s">
        <v>5852</v>
      </c>
      <c r="N924" s="12" t="s">
        <v>803</v>
      </c>
      <c r="O924" s="13" t="s">
        <v>5005</v>
      </c>
      <c r="P924" s="17" t="s">
        <v>802</v>
      </c>
      <c r="Q924" s="21" t="s">
        <v>7920</v>
      </c>
      <c r="R924" s="17" t="s">
        <v>801</v>
      </c>
      <c r="S924" s="18" t="s">
        <v>2625</v>
      </c>
      <c r="T924" s="17" t="s">
        <v>800</v>
      </c>
      <c r="U924" s="18" t="s">
        <v>5240</v>
      </c>
      <c r="V924" s="17" t="s">
        <v>9418</v>
      </c>
      <c r="W924" s="18" t="s">
        <v>5309</v>
      </c>
      <c r="X924" s="69" t="s">
        <v>9453</v>
      </c>
      <c r="Y924" s="70" t="s">
        <v>9462</v>
      </c>
      <c r="Z924" s="73" t="s">
        <v>9486</v>
      </c>
      <c r="AA924" s="74" t="s">
        <v>9504</v>
      </c>
      <c r="AB924" s="73" t="s">
        <v>9486</v>
      </c>
      <c r="AC924" s="74" t="s">
        <v>9566</v>
      </c>
      <c r="AD924" s="73" t="s">
        <v>9578</v>
      </c>
      <c r="AE924" s="74" t="s">
        <v>9579</v>
      </c>
    </row>
    <row r="925" spans="1:31" ht="8.65" customHeight="1" x14ac:dyDescent="0.2">
      <c r="A925" s="76">
        <v>925</v>
      </c>
      <c r="B925" s="67" t="str">
        <f>MID(C925, FIND("Ifc.", C925) + 4, 4) &amp; "_" &amp; TEXT(COUNTIF($C$2:C925, C925),"0000")</f>
        <v>Prop_0924</v>
      </c>
      <c r="C925" s="24" t="s">
        <v>872</v>
      </c>
      <c r="D925" s="69" t="s">
        <v>9453</v>
      </c>
      <c r="E925" s="70" t="s">
        <v>9454</v>
      </c>
      <c r="F925" s="17" t="s">
        <v>806</v>
      </c>
      <c r="G925" s="22" t="s">
        <v>1297</v>
      </c>
      <c r="H925" s="12" t="s">
        <v>9703</v>
      </c>
      <c r="I925" s="13" t="s">
        <v>6244</v>
      </c>
      <c r="J925" s="14" t="s">
        <v>798</v>
      </c>
      <c r="K925" s="15" t="s">
        <v>798</v>
      </c>
      <c r="L925" s="12" t="s">
        <v>5315</v>
      </c>
      <c r="M925" s="13" t="s">
        <v>6016</v>
      </c>
      <c r="N925" s="12" t="s">
        <v>803</v>
      </c>
      <c r="O925" s="13" t="s">
        <v>4904</v>
      </c>
      <c r="P925" s="17" t="s">
        <v>802</v>
      </c>
      <c r="Q925" s="21" t="s">
        <v>7928</v>
      </c>
      <c r="R925" s="17" t="s">
        <v>801</v>
      </c>
      <c r="S925" s="18" t="s">
        <v>2623</v>
      </c>
      <c r="T925" s="17" t="s">
        <v>800</v>
      </c>
      <c r="U925" s="18" t="s">
        <v>5247</v>
      </c>
      <c r="V925" s="17" t="s">
        <v>9418</v>
      </c>
      <c r="W925" s="18" t="s">
        <v>5309</v>
      </c>
      <c r="X925" s="69" t="s">
        <v>9453</v>
      </c>
      <c r="Y925" s="70" t="s">
        <v>9462</v>
      </c>
      <c r="Z925" s="73" t="s">
        <v>9486</v>
      </c>
      <c r="AA925" s="74" t="s">
        <v>9504</v>
      </c>
      <c r="AB925" s="73" t="s">
        <v>9486</v>
      </c>
      <c r="AC925" s="74" t="s">
        <v>9566</v>
      </c>
      <c r="AD925" s="73" t="s">
        <v>9578</v>
      </c>
      <c r="AE925" s="74" t="s">
        <v>9579</v>
      </c>
    </row>
    <row r="926" spans="1:31" ht="8.65" customHeight="1" x14ac:dyDescent="0.2">
      <c r="A926" s="76">
        <v>926</v>
      </c>
      <c r="B926" s="67" t="str">
        <f>MID(C926, FIND("Ifc.", C926) + 4, 4) &amp; "_" &amp; TEXT(COUNTIF($C$2:C926, C926),"0000")</f>
        <v>Prop_0925</v>
      </c>
      <c r="C926" s="24" t="s">
        <v>872</v>
      </c>
      <c r="D926" s="69" t="s">
        <v>9453</v>
      </c>
      <c r="E926" s="70" t="s">
        <v>9454</v>
      </c>
      <c r="F926" s="17" t="s">
        <v>806</v>
      </c>
      <c r="G926" s="22" t="s">
        <v>1297</v>
      </c>
      <c r="H926" s="12" t="s">
        <v>9703</v>
      </c>
      <c r="I926" s="13" t="s">
        <v>6244</v>
      </c>
      <c r="J926" s="14" t="s">
        <v>798</v>
      </c>
      <c r="K926" s="15" t="s">
        <v>798</v>
      </c>
      <c r="L926" s="12" t="s">
        <v>5315</v>
      </c>
      <c r="M926" s="13" t="s">
        <v>6018</v>
      </c>
      <c r="N926" s="12" t="s">
        <v>803</v>
      </c>
      <c r="O926" s="13" t="s">
        <v>4906</v>
      </c>
      <c r="P926" s="17" t="s">
        <v>802</v>
      </c>
      <c r="Q926" s="21" t="s">
        <v>7929</v>
      </c>
      <c r="R926" s="17" t="s">
        <v>801</v>
      </c>
      <c r="S926" s="18" t="s">
        <v>2623</v>
      </c>
      <c r="T926" s="17" t="s">
        <v>800</v>
      </c>
      <c r="U926" s="18" t="s">
        <v>5247</v>
      </c>
      <c r="V926" s="17" t="s">
        <v>9418</v>
      </c>
      <c r="W926" s="18" t="s">
        <v>5309</v>
      </c>
      <c r="X926" s="69" t="s">
        <v>9453</v>
      </c>
      <c r="Y926" s="70" t="s">
        <v>9462</v>
      </c>
      <c r="Z926" s="73" t="s">
        <v>9486</v>
      </c>
      <c r="AA926" s="74" t="s">
        <v>9504</v>
      </c>
      <c r="AB926" s="73" t="s">
        <v>9486</v>
      </c>
      <c r="AC926" s="74" t="s">
        <v>9566</v>
      </c>
      <c r="AD926" s="73" t="s">
        <v>9578</v>
      </c>
      <c r="AE926" s="74" t="s">
        <v>9579</v>
      </c>
    </row>
    <row r="927" spans="1:31" ht="8.65" customHeight="1" x14ac:dyDescent="0.2">
      <c r="A927" s="76">
        <v>927</v>
      </c>
      <c r="B927" s="67" t="str">
        <f>MID(C927, FIND("Ifc.", C927) + 4, 4) &amp; "_" &amp; TEXT(COUNTIF($C$2:C927, C927),"0000")</f>
        <v>Prop_0926</v>
      </c>
      <c r="C927" s="24" t="s">
        <v>872</v>
      </c>
      <c r="D927" s="69" t="s">
        <v>9453</v>
      </c>
      <c r="E927" s="70" t="s">
        <v>9454</v>
      </c>
      <c r="F927" s="17" t="s">
        <v>806</v>
      </c>
      <c r="G927" s="22" t="s">
        <v>1546</v>
      </c>
      <c r="H927" s="12" t="s">
        <v>9703</v>
      </c>
      <c r="I927" s="13" t="s">
        <v>6538</v>
      </c>
      <c r="J927" s="14" t="s">
        <v>798</v>
      </c>
      <c r="K927" s="15" t="s">
        <v>798</v>
      </c>
      <c r="L927" s="12" t="s">
        <v>5315</v>
      </c>
      <c r="M927" s="13" t="s">
        <v>5818</v>
      </c>
      <c r="N927" s="12" t="s">
        <v>803</v>
      </c>
      <c r="O927" s="13" t="s">
        <v>4957</v>
      </c>
      <c r="P927" s="17" t="s">
        <v>802</v>
      </c>
      <c r="Q927" s="21" t="s">
        <v>7792</v>
      </c>
      <c r="R927" s="17" t="s">
        <v>801</v>
      </c>
      <c r="S927" s="18" t="s">
        <v>2625</v>
      </c>
      <c r="T927" s="17" t="s">
        <v>800</v>
      </c>
      <c r="U927" s="18" t="s">
        <v>5240</v>
      </c>
      <c r="V927" s="17" t="s">
        <v>9418</v>
      </c>
      <c r="W927" s="18" t="s">
        <v>5309</v>
      </c>
      <c r="X927" s="69" t="s">
        <v>9453</v>
      </c>
      <c r="Y927" s="70" t="s">
        <v>9462</v>
      </c>
      <c r="Z927" s="73" t="s">
        <v>9486</v>
      </c>
      <c r="AA927" s="74" t="s">
        <v>9504</v>
      </c>
      <c r="AB927" s="73" t="s">
        <v>9486</v>
      </c>
      <c r="AC927" s="74" t="s">
        <v>9566</v>
      </c>
      <c r="AD927" s="73" t="s">
        <v>9578</v>
      </c>
      <c r="AE927" s="74" t="s">
        <v>9579</v>
      </c>
    </row>
    <row r="928" spans="1:31" ht="8.65" customHeight="1" x14ac:dyDescent="0.2">
      <c r="A928" s="76">
        <v>928</v>
      </c>
      <c r="B928" s="67" t="str">
        <f>MID(C928, FIND("Ifc.", C928) + 4, 4) &amp; "_" &amp; TEXT(COUNTIF($C$2:C928, C928),"0000")</f>
        <v>Prop_0927</v>
      </c>
      <c r="C928" s="24" t="s">
        <v>872</v>
      </c>
      <c r="D928" s="69" t="s">
        <v>9453</v>
      </c>
      <c r="E928" s="70" t="s">
        <v>9454</v>
      </c>
      <c r="F928" s="17" t="s">
        <v>806</v>
      </c>
      <c r="G928" s="22" t="s">
        <v>2339</v>
      </c>
      <c r="H928" s="12" t="s">
        <v>9703</v>
      </c>
      <c r="I928" s="13" t="s">
        <v>6953</v>
      </c>
      <c r="J928" s="14" t="s">
        <v>798</v>
      </c>
      <c r="K928" s="15" t="s">
        <v>798</v>
      </c>
      <c r="L928" s="12" t="s">
        <v>5315</v>
      </c>
      <c r="M928" s="13" t="s">
        <v>5559</v>
      </c>
      <c r="N928" s="12" t="s">
        <v>803</v>
      </c>
      <c r="O928" s="13" t="s">
        <v>5172</v>
      </c>
      <c r="P928" s="17" t="s">
        <v>802</v>
      </c>
      <c r="Q928" s="21" t="s">
        <v>7904</v>
      </c>
      <c r="R928" s="17" t="s">
        <v>801</v>
      </c>
      <c r="S928" s="18" t="s">
        <v>3515</v>
      </c>
      <c r="T928" s="17" t="s">
        <v>800</v>
      </c>
      <c r="U928" s="18" t="s">
        <v>5278</v>
      </c>
      <c r="V928" s="17" t="s">
        <v>9418</v>
      </c>
      <c r="W928" s="18" t="s">
        <v>5314</v>
      </c>
      <c r="X928" s="69" t="s">
        <v>9453</v>
      </c>
      <c r="Y928" s="70" t="s">
        <v>9464</v>
      </c>
      <c r="Z928" s="73" t="s">
        <v>9486</v>
      </c>
      <c r="AA928" s="74" t="s">
        <v>9504</v>
      </c>
      <c r="AB928" s="73" t="s">
        <v>9486</v>
      </c>
      <c r="AC928" s="74" t="s">
        <v>9566</v>
      </c>
      <c r="AD928" s="73" t="s">
        <v>9578</v>
      </c>
      <c r="AE928" s="74" t="s">
        <v>9579</v>
      </c>
    </row>
    <row r="929" spans="1:31" ht="8.65" customHeight="1" x14ac:dyDescent="0.2">
      <c r="A929" s="76">
        <v>929</v>
      </c>
      <c r="B929" s="67" t="str">
        <f>MID(C929, FIND("Ifc.", C929) + 4, 4) &amp; "_" &amp; TEXT(COUNTIF($C$2:C929, C929),"0000")</f>
        <v>Prop_0928</v>
      </c>
      <c r="C929" s="24" t="s">
        <v>872</v>
      </c>
      <c r="D929" s="69" t="s">
        <v>9453</v>
      </c>
      <c r="E929" s="70" t="s">
        <v>9454</v>
      </c>
      <c r="F929" s="17" t="s">
        <v>806</v>
      </c>
      <c r="G929" s="22" t="s">
        <v>2101</v>
      </c>
      <c r="H929" s="12" t="s">
        <v>9703</v>
      </c>
      <c r="I929" s="13" t="s">
        <v>6638</v>
      </c>
      <c r="J929" s="14" t="s">
        <v>798</v>
      </c>
      <c r="K929" s="15" t="s">
        <v>798</v>
      </c>
      <c r="L929" s="12" t="s">
        <v>5315</v>
      </c>
      <c r="M929" s="13" t="s">
        <v>5490</v>
      </c>
      <c r="N929" s="12" t="s">
        <v>803</v>
      </c>
      <c r="O929" s="13" t="s">
        <v>5099</v>
      </c>
      <c r="P929" s="17" t="s">
        <v>802</v>
      </c>
      <c r="Q929" s="21" t="s">
        <v>7778</v>
      </c>
      <c r="R929" s="17" t="s">
        <v>801</v>
      </c>
      <c r="S929" s="18" t="s">
        <v>2638</v>
      </c>
      <c r="T929" s="17" t="s">
        <v>800</v>
      </c>
      <c r="U929" s="18" t="s">
        <v>5254</v>
      </c>
      <c r="V929" s="17" t="s">
        <v>9418</v>
      </c>
      <c r="W929" s="18" t="s">
        <v>5309</v>
      </c>
      <c r="X929" s="69" t="s">
        <v>9453</v>
      </c>
      <c r="Y929" s="70" t="s">
        <v>9462</v>
      </c>
      <c r="Z929" s="73" t="s">
        <v>9486</v>
      </c>
      <c r="AA929" s="74" t="s">
        <v>9504</v>
      </c>
      <c r="AB929" s="73" t="s">
        <v>9486</v>
      </c>
      <c r="AC929" s="74" t="s">
        <v>9566</v>
      </c>
      <c r="AD929" s="73" t="s">
        <v>9578</v>
      </c>
      <c r="AE929" s="74" t="s">
        <v>9579</v>
      </c>
    </row>
    <row r="930" spans="1:31" ht="8.65" customHeight="1" x14ac:dyDescent="0.2">
      <c r="A930" s="76">
        <v>930</v>
      </c>
      <c r="B930" s="67" t="str">
        <f>MID(C930, FIND("Ifc.", C930) + 4, 4) &amp; "_" &amp; TEXT(COUNTIF($C$2:C930, C930),"0000")</f>
        <v>Prop_0929</v>
      </c>
      <c r="C930" s="24" t="s">
        <v>872</v>
      </c>
      <c r="D930" s="69" t="s">
        <v>9453</v>
      </c>
      <c r="E930" s="70" t="s">
        <v>9454</v>
      </c>
      <c r="F930" s="17" t="s">
        <v>806</v>
      </c>
      <c r="G930" s="22" t="s">
        <v>2099</v>
      </c>
      <c r="H930" s="12" t="s">
        <v>9703</v>
      </c>
      <c r="I930" s="13" t="s">
        <v>6637</v>
      </c>
      <c r="J930" s="14" t="s">
        <v>798</v>
      </c>
      <c r="K930" s="15" t="s">
        <v>798</v>
      </c>
      <c r="L930" s="12" t="s">
        <v>5315</v>
      </c>
      <c r="M930" s="13" t="s">
        <v>5490</v>
      </c>
      <c r="N930" s="12" t="s">
        <v>803</v>
      </c>
      <c r="O930" s="13" t="s">
        <v>5099</v>
      </c>
      <c r="P930" s="17" t="s">
        <v>802</v>
      </c>
      <c r="Q930" s="21" t="s">
        <v>7778</v>
      </c>
      <c r="R930" s="17" t="s">
        <v>801</v>
      </c>
      <c r="S930" s="18" t="s">
        <v>2638</v>
      </c>
      <c r="T930" s="17" t="s">
        <v>800</v>
      </c>
      <c r="U930" s="18" t="s">
        <v>5254</v>
      </c>
      <c r="V930" s="17" t="s">
        <v>9418</v>
      </c>
      <c r="W930" s="18" t="s">
        <v>5309</v>
      </c>
      <c r="X930" s="69" t="s">
        <v>9453</v>
      </c>
      <c r="Y930" s="70" t="s">
        <v>9462</v>
      </c>
      <c r="Z930" s="73" t="s">
        <v>9486</v>
      </c>
      <c r="AA930" s="74" t="s">
        <v>9504</v>
      </c>
      <c r="AB930" s="73" t="s">
        <v>9486</v>
      </c>
      <c r="AC930" s="74" t="s">
        <v>9566</v>
      </c>
      <c r="AD930" s="73" t="s">
        <v>9578</v>
      </c>
      <c r="AE930" s="74" t="s">
        <v>9579</v>
      </c>
    </row>
    <row r="931" spans="1:31" ht="8.65" customHeight="1" x14ac:dyDescent="0.2">
      <c r="A931" s="76">
        <v>931</v>
      </c>
      <c r="B931" s="67" t="str">
        <f>MID(C931, FIND("Ifc.", C931) + 4, 4) &amp; "_" &amp; TEXT(COUNTIF($C$2:C931, C931),"0000")</f>
        <v>Prop_0930</v>
      </c>
      <c r="C931" s="24" t="s">
        <v>872</v>
      </c>
      <c r="D931" s="69" t="s">
        <v>9453</v>
      </c>
      <c r="E931" s="70" t="s">
        <v>9454</v>
      </c>
      <c r="F931" s="17" t="s">
        <v>806</v>
      </c>
      <c r="G931" s="22" t="s">
        <v>1743</v>
      </c>
      <c r="H931" s="12" t="s">
        <v>9703</v>
      </c>
      <c r="I931" s="13" t="s">
        <v>6464</v>
      </c>
      <c r="J931" s="14" t="s">
        <v>798</v>
      </c>
      <c r="K931" s="15" t="s">
        <v>798</v>
      </c>
      <c r="L931" s="12" t="s">
        <v>5315</v>
      </c>
      <c r="M931" s="13" t="s">
        <v>5852</v>
      </c>
      <c r="N931" s="12" t="s">
        <v>803</v>
      </c>
      <c r="O931" s="13" t="s">
        <v>5005</v>
      </c>
      <c r="P931" s="17" t="s">
        <v>802</v>
      </c>
      <c r="Q931" s="21" t="s">
        <v>7920</v>
      </c>
      <c r="R931" s="17" t="s">
        <v>801</v>
      </c>
      <c r="S931" s="18" t="s">
        <v>2638</v>
      </c>
      <c r="T931" s="17" t="s">
        <v>800</v>
      </c>
      <c r="U931" s="18" t="s">
        <v>5254</v>
      </c>
      <c r="V931" s="17" t="s">
        <v>9418</v>
      </c>
      <c r="W931" s="18" t="s">
        <v>5309</v>
      </c>
      <c r="X931" s="69" t="s">
        <v>9453</v>
      </c>
      <c r="Y931" s="70" t="s">
        <v>9462</v>
      </c>
      <c r="Z931" s="73" t="s">
        <v>9486</v>
      </c>
      <c r="AA931" s="74" t="s">
        <v>9504</v>
      </c>
      <c r="AB931" s="73" t="s">
        <v>9486</v>
      </c>
      <c r="AC931" s="74" t="s">
        <v>9566</v>
      </c>
      <c r="AD931" s="73" t="s">
        <v>9578</v>
      </c>
      <c r="AE931" s="74" t="s">
        <v>9579</v>
      </c>
    </row>
    <row r="932" spans="1:31" ht="8.65" customHeight="1" x14ac:dyDescent="0.2">
      <c r="A932" s="76">
        <v>932</v>
      </c>
      <c r="B932" s="67" t="str">
        <f>MID(C932, FIND("Ifc.", C932) + 4, 4) &amp; "_" &amp; TEXT(COUNTIF($C$2:C932, C932),"0000")</f>
        <v>Prop_0931</v>
      </c>
      <c r="C932" s="24" t="s">
        <v>872</v>
      </c>
      <c r="D932" s="69" t="s">
        <v>9453</v>
      </c>
      <c r="E932" s="70" t="s">
        <v>9454</v>
      </c>
      <c r="F932" s="17" t="s">
        <v>806</v>
      </c>
      <c r="G932" s="22" t="s">
        <v>1744</v>
      </c>
      <c r="H932" s="12" t="s">
        <v>9703</v>
      </c>
      <c r="I932" s="13" t="s">
        <v>6465</v>
      </c>
      <c r="J932" s="14" t="s">
        <v>798</v>
      </c>
      <c r="K932" s="15" t="s">
        <v>798</v>
      </c>
      <c r="L932" s="12" t="s">
        <v>5315</v>
      </c>
      <c r="M932" s="13" t="s">
        <v>5852</v>
      </c>
      <c r="N932" s="12" t="s">
        <v>803</v>
      </c>
      <c r="O932" s="13" t="s">
        <v>5005</v>
      </c>
      <c r="P932" s="17" t="s">
        <v>802</v>
      </c>
      <c r="Q932" s="21" t="s">
        <v>7920</v>
      </c>
      <c r="R932" s="17" t="s">
        <v>801</v>
      </c>
      <c r="S932" s="18" t="s">
        <v>2638</v>
      </c>
      <c r="T932" s="17" t="s">
        <v>800</v>
      </c>
      <c r="U932" s="18" t="s">
        <v>5254</v>
      </c>
      <c r="V932" s="17" t="s">
        <v>9418</v>
      </c>
      <c r="W932" s="18" t="s">
        <v>5309</v>
      </c>
      <c r="X932" s="69" t="s">
        <v>9453</v>
      </c>
      <c r="Y932" s="70" t="s">
        <v>9462</v>
      </c>
      <c r="Z932" s="73" t="s">
        <v>9486</v>
      </c>
      <c r="AA932" s="74" t="s">
        <v>9504</v>
      </c>
      <c r="AB932" s="73" t="s">
        <v>9486</v>
      </c>
      <c r="AC932" s="74" t="s">
        <v>9566</v>
      </c>
      <c r="AD932" s="73" t="s">
        <v>9578</v>
      </c>
      <c r="AE932" s="74" t="s">
        <v>9579</v>
      </c>
    </row>
    <row r="933" spans="1:31" ht="8.65" customHeight="1" x14ac:dyDescent="0.2">
      <c r="A933" s="76">
        <v>933</v>
      </c>
      <c r="B933" s="67" t="str">
        <f>MID(C933, FIND("Ifc.", C933) + 4, 4) &amp; "_" &amp; TEXT(COUNTIF($C$2:C933, C933),"0000")</f>
        <v>Prop_0932</v>
      </c>
      <c r="C933" s="24" t="s">
        <v>872</v>
      </c>
      <c r="D933" s="69" t="s">
        <v>9453</v>
      </c>
      <c r="E933" s="70" t="s">
        <v>9454</v>
      </c>
      <c r="F933" s="17" t="s">
        <v>806</v>
      </c>
      <c r="G933" s="22" t="s">
        <v>1795</v>
      </c>
      <c r="H933" s="12" t="s">
        <v>9703</v>
      </c>
      <c r="I933" s="13" t="s">
        <v>6504</v>
      </c>
      <c r="J933" s="14" t="s">
        <v>798</v>
      </c>
      <c r="K933" s="15" t="s">
        <v>798</v>
      </c>
      <c r="L933" s="12" t="s">
        <v>5315</v>
      </c>
      <c r="M933" s="13" t="s">
        <v>5455</v>
      </c>
      <c r="N933" s="12" t="s">
        <v>803</v>
      </c>
      <c r="O933" s="13" t="s">
        <v>5019</v>
      </c>
      <c r="P933" s="17" t="s">
        <v>802</v>
      </c>
      <c r="Q933" s="21" t="s">
        <v>7736</v>
      </c>
      <c r="R933" s="17" t="s">
        <v>801</v>
      </c>
      <c r="S933" s="18" t="s">
        <v>2601</v>
      </c>
      <c r="T933" s="17" t="s">
        <v>800</v>
      </c>
      <c r="U933" s="18" t="s">
        <v>5285</v>
      </c>
      <c r="V933" s="17" t="s">
        <v>9418</v>
      </c>
      <c r="W933" s="18" t="s">
        <v>5309</v>
      </c>
      <c r="X933" s="69" t="s">
        <v>9453</v>
      </c>
      <c r="Y933" s="70" t="s">
        <v>9462</v>
      </c>
      <c r="Z933" s="73" t="s">
        <v>9486</v>
      </c>
      <c r="AA933" s="74" t="s">
        <v>9504</v>
      </c>
      <c r="AB933" s="73" t="s">
        <v>9486</v>
      </c>
      <c r="AC933" s="74" t="s">
        <v>9566</v>
      </c>
      <c r="AD933" s="73" t="s">
        <v>9578</v>
      </c>
      <c r="AE933" s="74" t="s">
        <v>9579</v>
      </c>
    </row>
    <row r="934" spans="1:31" ht="8.65" customHeight="1" x14ac:dyDescent="0.2">
      <c r="A934" s="76">
        <v>934</v>
      </c>
      <c r="B934" s="67" t="str">
        <f>MID(C934, FIND("Ifc.", C934) + 4, 4) &amp; "_" &amp; TEXT(COUNTIF($C$2:C934, C934),"0000")</f>
        <v>Prop_0933</v>
      </c>
      <c r="C934" s="24" t="s">
        <v>872</v>
      </c>
      <c r="D934" s="69" t="s">
        <v>9453</v>
      </c>
      <c r="E934" s="70" t="s">
        <v>9454</v>
      </c>
      <c r="F934" s="17" t="s">
        <v>806</v>
      </c>
      <c r="G934" s="22" t="s">
        <v>2541</v>
      </c>
      <c r="H934" s="12" t="s">
        <v>9703</v>
      </c>
      <c r="I934" s="13" t="s">
        <v>7185</v>
      </c>
      <c r="J934" s="14" t="s">
        <v>798</v>
      </c>
      <c r="K934" s="15" t="s">
        <v>798</v>
      </c>
      <c r="L934" s="12" t="s">
        <v>5315</v>
      </c>
      <c r="M934" s="13" t="s">
        <v>5580</v>
      </c>
      <c r="N934" s="12" t="s">
        <v>803</v>
      </c>
      <c r="O934" s="13" t="s">
        <v>5226</v>
      </c>
      <c r="P934" s="17" t="s">
        <v>802</v>
      </c>
      <c r="Q934" s="21" t="s">
        <v>7797</v>
      </c>
      <c r="R934" s="17" t="s">
        <v>801</v>
      </c>
      <c r="S934" s="18" t="s">
        <v>2638</v>
      </c>
      <c r="T934" s="17" t="s">
        <v>800</v>
      </c>
      <c r="U934" s="18" t="s">
        <v>5254</v>
      </c>
      <c r="V934" s="17" t="s">
        <v>9418</v>
      </c>
      <c r="W934" s="18" t="s">
        <v>5309</v>
      </c>
      <c r="X934" s="69" t="s">
        <v>9453</v>
      </c>
      <c r="Y934" s="70" t="s">
        <v>9462</v>
      </c>
      <c r="Z934" s="73" t="s">
        <v>9486</v>
      </c>
      <c r="AA934" s="74" t="s">
        <v>9504</v>
      </c>
      <c r="AB934" s="73" t="s">
        <v>9486</v>
      </c>
      <c r="AC934" s="74" t="s">
        <v>9566</v>
      </c>
      <c r="AD934" s="73" t="s">
        <v>9578</v>
      </c>
      <c r="AE934" s="74" t="s">
        <v>9579</v>
      </c>
    </row>
    <row r="935" spans="1:31" ht="8.65" customHeight="1" x14ac:dyDescent="0.2">
      <c r="A935" s="76">
        <v>935</v>
      </c>
      <c r="B935" s="67" t="str">
        <f>MID(C935, FIND("Ifc.", C935) + 4, 4) &amp; "_" &amp; TEXT(COUNTIF($C$2:C935, C935),"0000")</f>
        <v>Prop_0934</v>
      </c>
      <c r="C935" s="24" t="s">
        <v>872</v>
      </c>
      <c r="D935" s="69" t="s">
        <v>9453</v>
      </c>
      <c r="E935" s="70" t="s">
        <v>9454</v>
      </c>
      <c r="F935" s="17" t="s">
        <v>806</v>
      </c>
      <c r="G935" s="22" t="s">
        <v>998</v>
      </c>
      <c r="H935" s="12" t="s">
        <v>9703</v>
      </c>
      <c r="I935" s="13" t="s">
        <v>6108</v>
      </c>
      <c r="J935" s="14" t="s">
        <v>798</v>
      </c>
      <c r="K935" s="15" t="s">
        <v>798</v>
      </c>
      <c r="L935" s="12" t="s">
        <v>5315</v>
      </c>
      <c r="M935" s="13" t="s">
        <v>6036</v>
      </c>
      <c r="N935" s="12" t="s">
        <v>803</v>
      </c>
      <c r="O935" s="13" t="s">
        <v>4848</v>
      </c>
      <c r="P935" s="17" t="s">
        <v>802</v>
      </c>
      <c r="Q935" s="21" t="s">
        <v>7757</v>
      </c>
      <c r="R935" s="17" t="s">
        <v>801</v>
      </c>
      <c r="S935" s="18" t="s">
        <v>2554</v>
      </c>
      <c r="T935" s="17" t="s">
        <v>800</v>
      </c>
      <c r="U935" s="18" t="s">
        <v>5233</v>
      </c>
      <c r="V935" s="17" t="s">
        <v>9418</v>
      </c>
      <c r="W935" s="18" t="s">
        <v>5310</v>
      </c>
      <c r="X935" s="69" t="s">
        <v>9453</v>
      </c>
      <c r="Y935" s="70" t="s">
        <v>9463</v>
      </c>
      <c r="Z935" s="73" t="s">
        <v>9486</v>
      </c>
      <c r="AA935" s="74" t="s">
        <v>9504</v>
      </c>
      <c r="AB935" s="73" t="s">
        <v>9486</v>
      </c>
      <c r="AC935" s="74" t="s">
        <v>9562</v>
      </c>
      <c r="AD935" s="73" t="s">
        <v>9578</v>
      </c>
      <c r="AE935" s="74" t="s">
        <v>9579</v>
      </c>
    </row>
    <row r="936" spans="1:31" ht="8.65" customHeight="1" x14ac:dyDescent="0.2">
      <c r="A936" s="76">
        <v>936</v>
      </c>
      <c r="B936" s="67" t="str">
        <f>MID(C936, FIND("Ifc.", C936) + 4, 4) &amp; "_" &amp; TEXT(COUNTIF($C$2:C936, C936),"0000")</f>
        <v>Prop_0935</v>
      </c>
      <c r="C936" s="24" t="s">
        <v>872</v>
      </c>
      <c r="D936" s="69" t="s">
        <v>9453</v>
      </c>
      <c r="E936" s="70" t="s">
        <v>9454</v>
      </c>
      <c r="F936" s="17" t="s">
        <v>806</v>
      </c>
      <c r="G936" s="22" t="s">
        <v>998</v>
      </c>
      <c r="H936" s="12" t="s">
        <v>9703</v>
      </c>
      <c r="I936" s="13" t="s">
        <v>6108</v>
      </c>
      <c r="J936" s="14" t="s">
        <v>798</v>
      </c>
      <c r="K936" s="15" t="s">
        <v>798</v>
      </c>
      <c r="L936" s="12" t="s">
        <v>5315</v>
      </c>
      <c r="M936" s="13" t="s">
        <v>5961</v>
      </c>
      <c r="N936" s="12" t="s">
        <v>803</v>
      </c>
      <c r="O936" s="13" t="s">
        <v>5054</v>
      </c>
      <c r="P936" s="17" t="s">
        <v>802</v>
      </c>
      <c r="Q936" s="21" t="s">
        <v>7969</v>
      </c>
      <c r="R936" s="17" t="s">
        <v>801</v>
      </c>
      <c r="S936" s="18" t="s">
        <v>2554</v>
      </c>
      <c r="T936" s="17" t="s">
        <v>800</v>
      </c>
      <c r="U936" s="18" t="s">
        <v>5233</v>
      </c>
      <c r="V936" s="17" t="s">
        <v>9418</v>
      </c>
      <c r="W936" s="18" t="s">
        <v>5310</v>
      </c>
      <c r="X936" s="69" t="s">
        <v>9453</v>
      </c>
      <c r="Y936" s="70" t="s">
        <v>9463</v>
      </c>
      <c r="Z936" s="73" t="s">
        <v>9486</v>
      </c>
      <c r="AA936" s="74" t="s">
        <v>9504</v>
      </c>
      <c r="AB936" s="73" t="s">
        <v>9486</v>
      </c>
      <c r="AC936" s="74" t="s">
        <v>9562</v>
      </c>
      <c r="AD936" s="73" t="s">
        <v>9578</v>
      </c>
      <c r="AE936" s="74" t="s">
        <v>9579</v>
      </c>
    </row>
    <row r="937" spans="1:31" ht="8.65" customHeight="1" x14ac:dyDescent="0.2">
      <c r="A937" s="76">
        <v>937</v>
      </c>
      <c r="B937" s="67" t="str">
        <f>MID(C937, FIND("Ifc.", C937) + 4, 4) &amp; "_" &amp; TEXT(COUNTIF($C$2:C937, C937),"0000")</f>
        <v>Prop_0936</v>
      </c>
      <c r="C937" s="24" t="s">
        <v>872</v>
      </c>
      <c r="D937" s="69" t="s">
        <v>9453</v>
      </c>
      <c r="E937" s="70" t="s">
        <v>9454</v>
      </c>
      <c r="F937" s="17" t="s">
        <v>806</v>
      </c>
      <c r="G937" s="22" t="s">
        <v>998</v>
      </c>
      <c r="H937" s="12" t="s">
        <v>9703</v>
      </c>
      <c r="I937" s="13" t="s">
        <v>6108</v>
      </c>
      <c r="J937" s="14" t="s">
        <v>798</v>
      </c>
      <c r="K937" s="15" t="s">
        <v>798</v>
      </c>
      <c r="L937" s="12" t="s">
        <v>5315</v>
      </c>
      <c r="M937" s="13" t="s">
        <v>5494</v>
      </c>
      <c r="N937" s="12" t="s">
        <v>803</v>
      </c>
      <c r="O937" s="13" t="s">
        <v>5105</v>
      </c>
      <c r="P937" s="17" t="s">
        <v>802</v>
      </c>
      <c r="Q937" s="21" t="s">
        <v>7970</v>
      </c>
      <c r="R937" s="17" t="s">
        <v>801</v>
      </c>
      <c r="S937" s="18" t="s">
        <v>2554</v>
      </c>
      <c r="T937" s="17" t="s">
        <v>800</v>
      </c>
      <c r="U937" s="18" t="s">
        <v>5233</v>
      </c>
      <c r="V937" s="17" t="s">
        <v>9418</v>
      </c>
      <c r="W937" s="18" t="s">
        <v>5310</v>
      </c>
      <c r="X937" s="69" t="s">
        <v>9453</v>
      </c>
      <c r="Y937" s="70" t="s">
        <v>9463</v>
      </c>
      <c r="Z937" s="73" t="s">
        <v>9486</v>
      </c>
      <c r="AA937" s="74" t="s">
        <v>9504</v>
      </c>
      <c r="AB937" s="73" t="s">
        <v>9486</v>
      </c>
      <c r="AC937" s="74" t="s">
        <v>9562</v>
      </c>
      <c r="AD937" s="73" t="s">
        <v>9578</v>
      </c>
      <c r="AE937" s="74" t="s">
        <v>9579</v>
      </c>
    </row>
    <row r="938" spans="1:31" ht="8.65" customHeight="1" x14ac:dyDescent="0.2">
      <c r="A938" s="76">
        <v>938</v>
      </c>
      <c r="B938" s="67" t="str">
        <f>MID(C938, FIND("Ifc.", C938) + 4, 4) &amp; "_" &amp; TEXT(COUNTIF($C$2:C938, C938),"0000")</f>
        <v>Prop_0937</v>
      </c>
      <c r="C938" s="24" t="s">
        <v>872</v>
      </c>
      <c r="D938" s="69" t="s">
        <v>9453</v>
      </c>
      <c r="E938" s="70" t="s">
        <v>9454</v>
      </c>
      <c r="F938" s="17" t="s">
        <v>806</v>
      </c>
      <c r="G938" s="22" t="s">
        <v>1132</v>
      </c>
      <c r="H938" s="12" t="s">
        <v>9703</v>
      </c>
      <c r="I938" s="13" t="s">
        <v>6108</v>
      </c>
      <c r="J938" s="14" t="s">
        <v>798</v>
      </c>
      <c r="K938" s="15" t="s">
        <v>798</v>
      </c>
      <c r="L938" s="12" t="s">
        <v>5315</v>
      </c>
      <c r="M938" s="13" t="s">
        <v>6041</v>
      </c>
      <c r="N938" s="12" t="s">
        <v>803</v>
      </c>
      <c r="O938" s="13" t="s">
        <v>4862</v>
      </c>
      <c r="P938" s="17" t="s">
        <v>802</v>
      </c>
      <c r="Q938" s="21" t="s">
        <v>7795</v>
      </c>
      <c r="R938" s="17" t="s">
        <v>801</v>
      </c>
      <c r="S938" s="18" t="s">
        <v>2554</v>
      </c>
      <c r="T938" s="17" t="s">
        <v>800</v>
      </c>
      <c r="U938" s="18" t="s">
        <v>5233</v>
      </c>
      <c r="V938" s="17" t="s">
        <v>9418</v>
      </c>
      <c r="W938" s="18" t="s">
        <v>5310</v>
      </c>
      <c r="X938" s="69" t="s">
        <v>9453</v>
      </c>
      <c r="Y938" s="70" t="s">
        <v>9463</v>
      </c>
      <c r="Z938" s="73" t="s">
        <v>9486</v>
      </c>
      <c r="AA938" s="74" t="s">
        <v>9504</v>
      </c>
      <c r="AB938" s="73" t="s">
        <v>9486</v>
      </c>
      <c r="AC938" s="74" t="s">
        <v>9562</v>
      </c>
      <c r="AD938" s="73" t="s">
        <v>9578</v>
      </c>
      <c r="AE938" s="74" t="s">
        <v>9579</v>
      </c>
    </row>
    <row r="939" spans="1:31" ht="8.65" customHeight="1" x14ac:dyDescent="0.2">
      <c r="A939" s="76">
        <v>939</v>
      </c>
      <c r="B939" s="67" t="str">
        <f>MID(C939, FIND("Ifc.", C939) + 4, 4) &amp; "_" &amp; TEXT(COUNTIF($C$2:C939, C939),"0000")</f>
        <v>Prop_0938</v>
      </c>
      <c r="C939" s="24" t="s">
        <v>872</v>
      </c>
      <c r="D939" s="69" t="s">
        <v>9453</v>
      </c>
      <c r="E939" s="70" t="s">
        <v>9454</v>
      </c>
      <c r="F939" s="17" t="s">
        <v>806</v>
      </c>
      <c r="G939" s="22" t="s">
        <v>952</v>
      </c>
      <c r="H939" s="12" t="s">
        <v>9703</v>
      </c>
      <c r="I939" s="13" t="s">
        <v>6103</v>
      </c>
      <c r="J939" s="14" t="s">
        <v>798</v>
      </c>
      <c r="K939" s="15" t="s">
        <v>798</v>
      </c>
      <c r="L939" s="12" t="s">
        <v>5315</v>
      </c>
      <c r="M939" s="13" t="s">
        <v>5832</v>
      </c>
      <c r="N939" s="12" t="s">
        <v>803</v>
      </c>
      <c r="O939" s="13" t="s">
        <v>4974</v>
      </c>
      <c r="P939" s="17" t="s">
        <v>802</v>
      </c>
      <c r="Q939" s="21" t="s">
        <v>7889</v>
      </c>
      <c r="R939" s="17" t="s">
        <v>801</v>
      </c>
      <c r="S939" s="18" t="s">
        <v>3636</v>
      </c>
      <c r="T939" s="17" t="s">
        <v>800</v>
      </c>
      <c r="U939" s="18" t="s">
        <v>5257</v>
      </c>
      <c r="V939" s="17" t="s">
        <v>9418</v>
      </c>
      <c r="W939" s="18" t="s">
        <v>5314</v>
      </c>
      <c r="X939" s="69" t="s">
        <v>9453</v>
      </c>
      <c r="Y939" s="70" t="s">
        <v>9464</v>
      </c>
      <c r="Z939" s="73" t="s">
        <v>9486</v>
      </c>
      <c r="AA939" s="74" t="s">
        <v>9504</v>
      </c>
      <c r="AB939" s="73" t="s">
        <v>9486</v>
      </c>
      <c r="AC939" s="74" t="s">
        <v>9561</v>
      </c>
      <c r="AD939" s="73" t="s">
        <v>9578</v>
      </c>
      <c r="AE939" s="74" t="s">
        <v>9579</v>
      </c>
    </row>
    <row r="940" spans="1:31" ht="8.65" customHeight="1" x14ac:dyDescent="0.2">
      <c r="A940" s="76">
        <v>940</v>
      </c>
      <c r="B940" s="67" t="str">
        <f>MID(C940, FIND("Ifc.", C940) + 4, 4) &amp; "_" &amp; TEXT(COUNTIF($C$2:C940, C940),"0000")</f>
        <v>Prop_0939</v>
      </c>
      <c r="C940" s="24" t="s">
        <v>872</v>
      </c>
      <c r="D940" s="69" t="s">
        <v>9453</v>
      </c>
      <c r="E940" s="70" t="s">
        <v>9454</v>
      </c>
      <c r="F940" s="17" t="s">
        <v>806</v>
      </c>
      <c r="G940" s="22" t="s">
        <v>1977</v>
      </c>
      <c r="H940" s="12" t="s">
        <v>9703</v>
      </c>
      <c r="I940" s="13" t="s">
        <v>6924</v>
      </c>
      <c r="J940" s="14" t="s">
        <v>798</v>
      </c>
      <c r="K940" s="15" t="s">
        <v>798</v>
      </c>
      <c r="L940" s="12" t="s">
        <v>5315</v>
      </c>
      <c r="M940" s="13" t="s">
        <v>5476</v>
      </c>
      <c r="N940" s="12" t="s">
        <v>803</v>
      </c>
      <c r="O940" s="13" t="s">
        <v>5075</v>
      </c>
      <c r="P940" s="17" t="s">
        <v>802</v>
      </c>
      <c r="Q940" s="21" t="s">
        <v>7971</v>
      </c>
      <c r="R940" s="17" t="s">
        <v>801</v>
      </c>
      <c r="S940" s="18" t="s">
        <v>2669</v>
      </c>
      <c r="T940" s="17" t="s">
        <v>800</v>
      </c>
      <c r="U940" s="18" t="s">
        <v>5237</v>
      </c>
      <c r="V940" s="17" t="s">
        <v>9418</v>
      </c>
      <c r="W940" s="18" t="s">
        <v>5309</v>
      </c>
      <c r="X940" s="69" t="s">
        <v>9453</v>
      </c>
      <c r="Y940" s="70" t="s">
        <v>9462</v>
      </c>
      <c r="Z940" s="73" t="s">
        <v>9486</v>
      </c>
      <c r="AA940" s="74" t="s">
        <v>9504</v>
      </c>
      <c r="AB940" s="73" t="s">
        <v>9486</v>
      </c>
      <c r="AC940" s="74" t="s">
        <v>9562</v>
      </c>
      <c r="AD940" s="73" t="s">
        <v>9578</v>
      </c>
      <c r="AE940" s="74" t="s">
        <v>9579</v>
      </c>
    </row>
    <row r="941" spans="1:31" ht="8.65" customHeight="1" x14ac:dyDescent="0.2">
      <c r="A941" s="76">
        <v>941</v>
      </c>
      <c r="B941" s="67" t="str">
        <f>MID(C941, FIND("Ifc.", C941) + 4, 4) &amp; "_" &amp; TEXT(COUNTIF($C$2:C941, C941),"0000")</f>
        <v>Prop_0940</v>
      </c>
      <c r="C941" s="24" t="s">
        <v>872</v>
      </c>
      <c r="D941" s="69" t="s">
        <v>9453</v>
      </c>
      <c r="E941" s="70" t="s">
        <v>9454</v>
      </c>
      <c r="F941" s="17" t="s">
        <v>806</v>
      </c>
      <c r="G941" s="22" t="s">
        <v>1858</v>
      </c>
      <c r="H941" s="12" t="s">
        <v>9703</v>
      </c>
      <c r="I941" s="13" t="s">
        <v>6916</v>
      </c>
      <c r="J941" s="14" t="s">
        <v>798</v>
      </c>
      <c r="K941" s="15" t="s">
        <v>798</v>
      </c>
      <c r="L941" s="12" t="s">
        <v>5315</v>
      </c>
      <c r="M941" s="13" t="s">
        <v>5949</v>
      </c>
      <c r="N941" s="12" t="s">
        <v>803</v>
      </c>
      <c r="O941" s="13" t="s">
        <v>5036</v>
      </c>
      <c r="P941" s="17" t="s">
        <v>802</v>
      </c>
      <c r="Q941" s="21" t="s">
        <v>7972</v>
      </c>
      <c r="R941" s="17" t="s">
        <v>801</v>
      </c>
      <c r="S941" s="18" t="s">
        <v>5231</v>
      </c>
      <c r="T941" s="17" t="s">
        <v>800</v>
      </c>
      <c r="U941" s="18" t="s">
        <v>5292</v>
      </c>
      <c r="V941" s="17" t="s">
        <v>9418</v>
      </c>
      <c r="W941" s="18" t="s">
        <v>9419</v>
      </c>
      <c r="X941" s="69" t="s">
        <v>9453</v>
      </c>
      <c r="Y941" s="70" t="s">
        <v>9468</v>
      </c>
      <c r="Z941" s="73" t="s">
        <v>9486</v>
      </c>
      <c r="AA941" s="74" t="s">
        <v>9504</v>
      </c>
      <c r="AB941" s="73" t="s">
        <v>9486</v>
      </c>
      <c r="AC941" s="74" t="s">
        <v>9566</v>
      </c>
      <c r="AD941" s="73" t="s">
        <v>9578</v>
      </c>
      <c r="AE941" s="74" t="s">
        <v>9579</v>
      </c>
    </row>
    <row r="942" spans="1:31" ht="8.65" customHeight="1" x14ac:dyDescent="0.2">
      <c r="A942" s="76">
        <v>942</v>
      </c>
      <c r="B942" s="67" t="str">
        <f>MID(C942, FIND("Ifc.", C942) + 4, 4) &amp; "_" &amp; TEXT(COUNTIF($C$2:C942, C942),"0000")</f>
        <v>Prop_0941</v>
      </c>
      <c r="C942" s="24" t="s">
        <v>872</v>
      </c>
      <c r="D942" s="69" t="s">
        <v>9453</v>
      </c>
      <c r="E942" s="70" t="s">
        <v>9454</v>
      </c>
      <c r="F942" s="17" t="s">
        <v>806</v>
      </c>
      <c r="G942" s="22" t="s">
        <v>1858</v>
      </c>
      <c r="H942" s="12" t="s">
        <v>9703</v>
      </c>
      <c r="I942" s="13" t="s">
        <v>6916</v>
      </c>
      <c r="J942" s="14" t="s">
        <v>798</v>
      </c>
      <c r="K942" s="15" t="s">
        <v>798</v>
      </c>
      <c r="L942" s="12" t="s">
        <v>5315</v>
      </c>
      <c r="M942" s="13" t="s">
        <v>5948</v>
      </c>
      <c r="N942" s="12" t="s">
        <v>803</v>
      </c>
      <c r="O942" s="13" t="s">
        <v>5035</v>
      </c>
      <c r="P942" s="17" t="s">
        <v>802</v>
      </c>
      <c r="Q942" s="21" t="s">
        <v>7973</v>
      </c>
      <c r="R942" s="17" t="s">
        <v>801</v>
      </c>
      <c r="S942" s="18" t="s">
        <v>5230</v>
      </c>
      <c r="T942" s="17" t="s">
        <v>800</v>
      </c>
      <c r="U942" s="18" t="s">
        <v>5291</v>
      </c>
      <c r="V942" s="17" t="s">
        <v>9418</v>
      </c>
      <c r="W942" s="18" t="s">
        <v>9419</v>
      </c>
      <c r="X942" s="69" t="s">
        <v>9453</v>
      </c>
      <c r="Y942" s="70" t="s">
        <v>9468</v>
      </c>
      <c r="Z942" s="73" t="s">
        <v>9486</v>
      </c>
      <c r="AA942" s="74" t="s">
        <v>9504</v>
      </c>
      <c r="AB942" s="73" t="s">
        <v>9486</v>
      </c>
      <c r="AC942" s="74" t="s">
        <v>9566</v>
      </c>
      <c r="AD942" s="73" t="s">
        <v>9578</v>
      </c>
      <c r="AE942" s="74" t="s">
        <v>9579</v>
      </c>
    </row>
    <row r="943" spans="1:31" ht="8.65" customHeight="1" x14ac:dyDescent="0.2">
      <c r="A943" s="76">
        <v>943</v>
      </c>
      <c r="B943" s="67" t="str">
        <f>MID(C943, FIND("Ifc.", C943) + 4, 4) &amp; "_" &amp; TEXT(COUNTIF($C$2:C943, C943),"0000")</f>
        <v>Prop_0942</v>
      </c>
      <c r="C943" s="24" t="s">
        <v>872</v>
      </c>
      <c r="D943" s="69" t="s">
        <v>9453</v>
      </c>
      <c r="E943" s="70" t="s">
        <v>9454</v>
      </c>
      <c r="F943" s="17" t="s">
        <v>806</v>
      </c>
      <c r="G943" s="22" t="s">
        <v>1353</v>
      </c>
      <c r="H943" s="12" t="s">
        <v>9703</v>
      </c>
      <c r="I943" s="13" t="s">
        <v>7452</v>
      </c>
      <c r="J943" s="14" t="s">
        <v>798</v>
      </c>
      <c r="K943" s="15" t="s">
        <v>798</v>
      </c>
      <c r="L943" s="12" t="s">
        <v>5315</v>
      </c>
      <c r="M943" s="13" t="s">
        <v>5417</v>
      </c>
      <c r="N943" s="12" t="s">
        <v>803</v>
      </c>
      <c r="O943" s="13" t="s">
        <v>4916</v>
      </c>
      <c r="P943" s="17" t="s">
        <v>802</v>
      </c>
      <c r="Q943" s="21" t="s">
        <v>7820</v>
      </c>
      <c r="R943" s="17" t="s">
        <v>801</v>
      </c>
      <c r="S943" s="18" t="s">
        <v>2554</v>
      </c>
      <c r="T943" s="17" t="s">
        <v>800</v>
      </c>
      <c r="U943" s="18" t="s">
        <v>5233</v>
      </c>
      <c r="V943" s="17" t="s">
        <v>9418</v>
      </c>
      <c r="W943" s="18" t="s">
        <v>5309</v>
      </c>
      <c r="X943" s="69" t="s">
        <v>9453</v>
      </c>
      <c r="Y943" s="70" t="s">
        <v>9462</v>
      </c>
      <c r="Z943" s="73" t="s">
        <v>9486</v>
      </c>
      <c r="AA943" s="74" t="s">
        <v>9504</v>
      </c>
      <c r="AB943" s="73" t="s">
        <v>9486</v>
      </c>
      <c r="AC943" s="74" t="s">
        <v>9562</v>
      </c>
      <c r="AD943" s="73" t="s">
        <v>9578</v>
      </c>
      <c r="AE943" s="74" t="s">
        <v>9579</v>
      </c>
    </row>
    <row r="944" spans="1:31" ht="8.65" customHeight="1" x14ac:dyDescent="0.2">
      <c r="A944" s="76">
        <v>944</v>
      </c>
      <c r="B944" s="67" t="str">
        <f>MID(C944, FIND("Ifc.", C944) + 4, 4) &amp; "_" &amp; TEXT(COUNTIF($C$2:C944, C944),"0000")</f>
        <v>Prop_0943</v>
      </c>
      <c r="C944" s="24" t="s">
        <v>872</v>
      </c>
      <c r="D944" s="69" t="s">
        <v>9453</v>
      </c>
      <c r="E944" s="70" t="s">
        <v>9454</v>
      </c>
      <c r="F944" s="17" t="s">
        <v>806</v>
      </c>
      <c r="G944" s="22" t="s">
        <v>1864</v>
      </c>
      <c r="H944" s="12" t="s">
        <v>9703</v>
      </c>
      <c r="I944" s="13" t="s">
        <v>7453</v>
      </c>
      <c r="J944" s="14" t="s">
        <v>798</v>
      </c>
      <c r="K944" s="15" t="s">
        <v>798</v>
      </c>
      <c r="L944" s="12" t="s">
        <v>5315</v>
      </c>
      <c r="M944" s="13" t="s">
        <v>5460</v>
      </c>
      <c r="N944" s="12" t="s">
        <v>803</v>
      </c>
      <c r="O944" s="13" t="s">
        <v>5037</v>
      </c>
      <c r="P944" s="17" t="s">
        <v>802</v>
      </c>
      <c r="Q944" s="21" t="s">
        <v>7782</v>
      </c>
      <c r="R944" s="17" t="s">
        <v>801</v>
      </c>
      <c r="S944" s="18" t="s">
        <v>2554</v>
      </c>
      <c r="T944" s="17" t="s">
        <v>800</v>
      </c>
      <c r="U944" s="18" t="s">
        <v>5233</v>
      </c>
      <c r="V944" s="17" t="s">
        <v>9418</v>
      </c>
      <c r="W944" s="18" t="s">
        <v>5309</v>
      </c>
      <c r="X944" s="69" t="s">
        <v>9453</v>
      </c>
      <c r="Y944" s="70" t="s">
        <v>9462</v>
      </c>
      <c r="Z944" s="73" t="s">
        <v>9486</v>
      </c>
      <c r="AA944" s="74" t="s">
        <v>9504</v>
      </c>
      <c r="AB944" s="73" t="s">
        <v>9486</v>
      </c>
      <c r="AC944" s="74" t="s">
        <v>9562</v>
      </c>
      <c r="AD944" s="73" t="s">
        <v>9578</v>
      </c>
      <c r="AE944" s="74" t="s">
        <v>9579</v>
      </c>
    </row>
    <row r="945" spans="1:31" ht="8.65" customHeight="1" x14ac:dyDescent="0.2">
      <c r="A945" s="76">
        <v>945</v>
      </c>
      <c r="B945" s="67" t="str">
        <f>MID(C945, FIND("Ifc.", C945) + 4, 4) &amp; "_" &amp; TEXT(COUNTIF($C$2:C945, C945),"0000")</f>
        <v>Prop_0944</v>
      </c>
      <c r="C945" s="24" t="s">
        <v>872</v>
      </c>
      <c r="D945" s="69" t="s">
        <v>9453</v>
      </c>
      <c r="E945" s="70" t="s">
        <v>9454</v>
      </c>
      <c r="F945" s="17" t="s">
        <v>806</v>
      </c>
      <c r="G945" s="22" t="s">
        <v>1371</v>
      </c>
      <c r="H945" s="12" t="s">
        <v>9703</v>
      </c>
      <c r="I945" s="13" t="s">
        <v>6291</v>
      </c>
      <c r="J945" s="14" t="s">
        <v>798</v>
      </c>
      <c r="K945" s="15" t="s">
        <v>798</v>
      </c>
      <c r="L945" s="12" t="s">
        <v>5315</v>
      </c>
      <c r="M945" s="13" t="s">
        <v>6031</v>
      </c>
      <c r="N945" s="12" t="s">
        <v>803</v>
      </c>
      <c r="O945" s="13" t="s">
        <v>4919</v>
      </c>
      <c r="P945" s="17" t="s">
        <v>802</v>
      </c>
      <c r="Q945" s="21" t="s">
        <v>7818</v>
      </c>
      <c r="R945" s="17" t="s">
        <v>801</v>
      </c>
      <c r="S945" s="18" t="s">
        <v>2621</v>
      </c>
      <c r="T945" s="17" t="s">
        <v>800</v>
      </c>
      <c r="U945" s="18" t="s">
        <v>5260</v>
      </c>
      <c r="V945" s="17" t="s">
        <v>9418</v>
      </c>
      <c r="W945" s="18" t="s">
        <v>5309</v>
      </c>
      <c r="X945" s="69" t="s">
        <v>9453</v>
      </c>
      <c r="Y945" s="70" t="s">
        <v>9462</v>
      </c>
      <c r="Z945" s="73" t="s">
        <v>9486</v>
      </c>
      <c r="AA945" s="74" t="s">
        <v>9504</v>
      </c>
      <c r="AB945" s="73" t="s">
        <v>9486</v>
      </c>
      <c r="AC945" s="74" t="s">
        <v>9566</v>
      </c>
      <c r="AD945" s="73" t="s">
        <v>9578</v>
      </c>
      <c r="AE945" s="74" t="s">
        <v>9579</v>
      </c>
    </row>
    <row r="946" spans="1:31" ht="8.65" customHeight="1" x14ac:dyDescent="0.2">
      <c r="A946" s="76">
        <v>946</v>
      </c>
      <c r="B946" s="67" t="str">
        <f>MID(C946, FIND("Ifc.", C946) + 4, 4) &amp; "_" &amp; TEXT(COUNTIF($C$2:C946, C946),"0000")</f>
        <v>Prop_0945</v>
      </c>
      <c r="C946" s="24" t="s">
        <v>872</v>
      </c>
      <c r="D946" s="69" t="s">
        <v>9453</v>
      </c>
      <c r="E946" s="70" t="s">
        <v>9454</v>
      </c>
      <c r="F946" s="17" t="s">
        <v>806</v>
      </c>
      <c r="G946" s="22" t="s">
        <v>1373</v>
      </c>
      <c r="H946" s="12" t="s">
        <v>9703</v>
      </c>
      <c r="I946" s="13" t="s">
        <v>6293</v>
      </c>
      <c r="J946" s="14" t="s">
        <v>798</v>
      </c>
      <c r="K946" s="15" t="s">
        <v>798</v>
      </c>
      <c r="L946" s="12" t="s">
        <v>5315</v>
      </c>
      <c r="M946" s="13" t="s">
        <v>6031</v>
      </c>
      <c r="N946" s="12" t="s">
        <v>803</v>
      </c>
      <c r="O946" s="13" t="s">
        <v>4919</v>
      </c>
      <c r="P946" s="17" t="s">
        <v>802</v>
      </c>
      <c r="Q946" s="21" t="s">
        <v>7818</v>
      </c>
      <c r="R946" s="17" t="s">
        <v>801</v>
      </c>
      <c r="S946" s="18" t="s">
        <v>2621</v>
      </c>
      <c r="T946" s="17" t="s">
        <v>800</v>
      </c>
      <c r="U946" s="18" t="s">
        <v>5260</v>
      </c>
      <c r="V946" s="17" t="s">
        <v>9418</v>
      </c>
      <c r="W946" s="18" t="s">
        <v>5309</v>
      </c>
      <c r="X946" s="69" t="s">
        <v>9453</v>
      </c>
      <c r="Y946" s="70" t="s">
        <v>9462</v>
      </c>
      <c r="Z946" s="73" t="s">
        <v>9486</v>
      </c>
      <c r="AA946" s="74" t="s">
        <v>9504</v>
      </c>
      <c r="AB946" s="73" t="s">
        <v>9486</v>
      </c>
      <c r="AC946" s="74" t="s">
        <v>9566</v>
      </c>
      <c r="AD946" s="73" t="s">
        <v>9578</v>
      </c>
      <c r="AE946" s="74" t="s">
        <v>9579</v>
      </c>
    </row>
    <row r="947" spans="1:31" ht="8.65" customHeight="1" x14ac:dyDescent="0.2">
      <c r="A947" s="76">
        <v>947</v>
      </c>
      <c r="B947" s="67" t="str">
        <f>MID(C947, FIND("Ifc.", C947) + 4, 4) &amp; "_" &amp; TEXT(COUNTIF($C$2:C947, C947),"0000")</f>
        <v>Prop_0946</v>
      </c>
      <c r="C947" s="24" t="s">
        <v>872</v>
      </c>
      <c r="D947" s="69" t="s">
        <v>9453</v>
      </c>
      <c r="E947" s="70" t="s">
        <v>9454</v>
      </c>
      <c r="F947" s="17" t="s">
        <v>806</v>
      </c>
      <c r="G947" s="22" t="s">
        <v>1374</v>
      </c>
      <c r="H947" s="12" t="s">
        <v>9703</v>
      </c>
      <c r="I947" s="13" t="s">
        <v>6294</v>
      </c>
      <c r="J947" s="14" t="s">
        <v>798</v>
      </c>
      <c r="K947" s="15" t="s">
        <v>798</v>
      </c>
      <c r="L947" s="12" t="s">
        <v>5315</v>
      </c>
      <c r="M947" s="13" t="s">
        <v>6031</v>
      </c>
      <c r="N947" s="12" t="s">
        <v>803</v>
      </c>
      <c r="O947" s="13" t="s">
        <v>4919</v>
      </c>
      <c r="P947" s="17" t="s">
        <v>802</v>
      </c>
      <c r="Q947" s="21" t="s">
        <v>7818</v>
      </c>
      <c r="R947" s="17" t="s">
        <v>801</v>
      </c>
      <c r="S947" s="18" t="s">
        <v>2621</v>
      </c>
      <c r="T947" s="17" t="s">
        <v>800</v>
      </c>
      <c r="U947" s="18" t="s">
        <v>5260</v>
      </c>
      <c r="V947" s="17" t="s">
        <v>9418</v>
      </c>
      <c r="W947" s="18" t="s">
        <v>5309</v>
      </c>
      <c r="X947" s="69" t="s">
        <v>9453</v>
      </c>
      <c r="Y947" s="70" t="s">
        <v>9462</v>
      </c>
      <c r="Z947" s="73" t="s">
        <v>9486</v>
      </c>
      <c r="AA947" s="74" t="s">
        <v>9504</v>
      </c>
      <c r="AB947" s="73" t="s">
        <v>9486</v>
      </c>
      <c r="AC947" s="74" t="s">
        <v>9566</v>
      </c>
      <c r="AD947" s="73" t="s">
        <v>9578</v>
      </c>
      <c r="AE947" s="74" t="s">
        <v>9579</v>
      </c>
    </row>
    <row r="948" spans="1:31" ht="8.65" customHeight="1" x14ac:dyDescent="0.2">
      <c r="A948" s="76">
        <v>948</v>
      </c>
      <c r="B948" s="67" t="str">
        <f>MID(C948, FIND("Ifc.", C948) + 4, 4) &amp; "_" &amp; TEXT(COUNTIF($C$2:C948, C948),"0000")</f>
        <v>Prop_0947</v>
      </c>
      <c r="C948" s="24" t="s">
        <v>872</v>
      </c>
      <c r="D948" s="69" t="s">
        <v>9453</v>
      </c>
      <c r="E948" s="70" t="s">
        <v>9454</v>
      </c>
      <c r="F948" s="17" t="s">
        <v>806</v>
      </c>
      <c r="G948" s="22" t="s">
        <v>1375</v>
      </c>
      <c r="H948" s="12" t="s">
        <v>9703</v>
      </c>
      <c r="I948" s="13" t="s">
        <v>6295</v>
      </c>
      <c r="J948" s="14" t="s">
        <v>798</v>
      </c>
      <c r="K948" s="15" t="s">
        <v>798</v>
      </c>
      <c r="L948" s="12" t="s">
        <v>5315</v>
      </c>
      <c r="M948" s="13" t="s">
        <v>6031</v>
      </c>
      <c r="N948" s="12" t="s">
        <v>803</v>
      </c>
      <c r="O948" s="13" t="s">
        <v>4919</v>
      </c>
      <c r="P948" s="17" t="s">
        <v>802</v>
      </c>
      <c r="Q948" s="21" t="s">
        <v>7818</v>
      </c>
      <c r="R948" s="17" t="s">
        <v>801</v>
      </c>
      <c r="S948" s="18" t="s">
        <v>2621</v>
      </c>
      <c r="T948" s="17" t="s">
        <v>800</v>
      </c>
      <c r="U948" s="18" t="s">
        <v>5260</v>
      </c>
      <c r="V948" s="17" t="s">
        <v>9418</v>
      </c>
      <c r="W948" s="18" t="s">
        <v>5309</v>
      </c>
      <c r="X948" s="69" t="s">
        <v>9453</v>
      </c>
      <c r="Y948" s="70" t="s">
        <v>9462</v>
      </c>
      <c r="Z948" s="73" t="s">
        <v>9486</v>
      </c>
      <c r="AA948" s="74" t="s">
        <v>9504</v>
      </c>
      <c r="AB948" s="73" t="s">
        <v>9486</v>
      </c>
      <c r="AC948" s="74" t="s">
        <v>9566</v>
      </c>
      <c r="AD948" s="73" t="s">
        <v>9578</v>
      </c>
      <c r="AE948" s="74" t="s">
        <v>9579</v>
      </c>
    </row>
    <row r="949" spans="1:31" ht="8.65" customHeight="1" x14ac:dyDescent="0.2">
      <c r="A949" s="76">
        <v>949</v>
      </c>
      <c r="B949" s="67" t="str">
        <f>MID(C949, FIND("Ifc.", C949) + 4, 4) &amp; "_" &amp; TEXT(COUNTIF($C$2:C949, C949),"0000")</f>
        <v>Prop_0948</v>
      </c>
      <c r="C949" s="24" t="s">
        <v>872</v>
      </c>
      <c r="D949" s="69" t="s">
        <v>9453</v>
      </c>
      <c r="E949" s="70" t="s">
        <v>9454</v>
      </c>
      <c r="F949" s="17" t="s">
        <v>806</v>
      </c>
      <c r="G949" s="22" t="s">
        <v>1029</v>
      </c>
      <c r="H949" s="12" t="s">
        <v>9703</v>
      </c>
      <c r="I949" s="13" t="s">
        <v>6125</v>
      </c>
      <c r="J949" s="14" t="s">
        <v>798</v>
      </c>
      <c r="K949" s="15" t="s">
        <v>798</v>
      </c>
      <c r="L949" s="12" t="s">
        <v>5315</v>
      </c>
      <c r="M949" s="13" t="s">
        <v>5383</v>
      </c>
      <c r="N949" s="12" t="s">
        <v>803</v>
      </c>
      <c r="O949" s="13" t="s">
        <v>4840</v>
      </c>
      <c r="P949" s="17" t="s">
        <v>802</v>
      </c>
      <c r="Q949" s="21" t="s">
        <v>7907</v>
      </c>
      <c r="R949" s="17" t="s">
        <v>801</v>
      </c>
      <c r="S949" s="18" t="s">
        <v>2603</v>
      </c>
      <c r="T949" s="17" t="s">
        <v>800</v>
      </c>
      <c r="U949" s="18" t="s">
        <v>5261</v>
      </c>
      <c r="V949" s="17" t="s">
        <v>9418</v>
      </c>
      <c r="W949" s="18" t="s">
        <v>5309</v>
      </c>
      <c r="X949" s="69" t="s">
        <v>9453</v>
      </c>
      <c r="Y949" s="70" t="s">
        <v>9462</v>
      </c>
      <c r="Z949" s="73" t="s">
        <v>9486</v>
      </c>
      <c r="AA949" s="74" t="s">
        <v>9504</v>
      </c>
      <c r="AB949" s="73" t="s">
        <v>9486</v>
      </c>
      <c r="AC949" s="74" t="s">
        <v>9566</v>
      </c>
      <c r="AD949" s="73" t="s">
        <v>9578</v>
      </c>
      <c r="AE949" s="74" t="s">
        <v>9579</v>
      </c>
    </row>
    <row r="950" spans="1:31" ht="8.65" customHeight="1" x14ac:dyDescent="0.2">
      <c r="A950" s="76">
        <v>950</v>
      </c>
      <c r="B950" s="67" t="str">
        <f>MID(C950, FIND("Ifc.", C950) + 4, 4) &amp; "_" &amp; TEXT(COUNTIF($C$2:C950, C950),"0000")</f>
        <v>Prop_0949</v>
      </c>
      <c r="C950" s="24" t="s">
        <v>872</v>
      </c>
      <c r="D950" s="69" t="s">
        <v>9453</v>
      </c>
      <c r="E950" s="70" t="s">
        <v>9454</v>
      </c>
      <c r="F950" s="17" t="s">
        <v>806</v>
      </c>
      <c r="G950" s="22" t="s">
        <v>1728</v>
      </c>
      <c r="H950" s="12" t="s">
        <v>9703</v>
      </c>
      <c r="I950" s="13" t="s">
        <v>7546</v>
      </c>
      <c r="J950" s="14" t="s">
        <v>798</v>
      </c>
      <c r="K950" s="15" t="s">
        <v>798</v>
      </c>
      <c r="L950" s="12" t="s">
        <v>5315</v>
      </c>
      <c r="M950" s="13" t="s">
        <v>5931</v>
      </c>
      <c r="N950" s="12" t="s">
        <v>803</v>
      </c>
      <c r="O950" s="13" t="s">
        <v>5004</v>
      </c>
      <c r="P950" s="17" t="s">
        <v>802</v>
      </c>
      <c r="Q950" s="21" t="s">
        <v>7689</v>
      </c>
      <c r="R950" s="17" t="s">
        <v>801</v>
      </c>
      <c r="S950" s="18" t="s">
        <v>2611</v>
      </c>
      <c r="T950" s="17" t="s">
        <v>800</v>
      </c>
      <c r="U950" s="18" t="s">
        <v>5255</v>
      </c>
      <c r="V950" s="17" t="s">
        <v>9418</v>
      </c>
      <c r="W950" s="18" t="s">
        <v>5309</v>
      </c>
      <c r="X950" s="69" t="s">
        <v>9453</v>
      </c>
      <c r="Y950" s="70" t="s">
        <v>9462</v>
      </c>
      <c r="Z950" s="73" t="s">
        <v>9486</v>
      </c>
      <c r="AA950" s="74" t="s">
        <v>9504</v>
      </c>
      <c r="AB950" s="73" t="s">
        <v>9486</v>
      </c>
      <c r="AC950" s="74" t="s">
        <v>9566</v>
      </c>
      <c r="AD950" s="73" t="s">
        <v>9578</v>
      </c>
      <c r="AE950" s="74" t="s">
        <v>9579</v>
      </c>
    </row>
    <row r="951" spans="1:31" ht="8.65" customHeight="1" x14ac:dyDescent="0.2">
      <c r="A951" s="76">
        <v>951</v>
      </c>
      <c r="B951" s="67" t="str">
        <f>MID(C951, FIND("Ifc.", C951) + 4, 4) &amp; "_" &amp; TEXT(COUNTIF($C$2:C951, C951),"0000")</f>
        <v>Prop_0950</v>
      </c>
      <c r="C951" s="24" t="s">
        <v>872</v>
      </c>
      <c r="D951" s="69" t="s">
        <v>9453</v>
      </c>
      <c r="E951" s="70" t="s">
        <v>9454</v>
      </c>
      <c r="F951" s="17" t="s">
        <v>806</v>
      </c>
      <c r="G951" s="22" t="s">
        <v>2475</v>
      </c>
      <c r="H951" s="12" t="s">
        <v>9703</v>
      </c>
      <c r="I951" s="13" t="s">
        <v>7545</v>
      </c>
      <c r="J951" s="14" t="s">
        <v>798</v>
      </c>
      <c r="K951" s="15" t="s">
        <v>798</v>
      </c>
      <c r="L951" s="12" t="s">
        <v>5315</v>
      </c>
      <c r="M951" s="13" t="s">
        <v>5575</v>
      </c>
      <c r="N951" s="12" t="s">
        <v>803</v>
      </c>
      <c r="O951" s="13" t="s">
        <v>5213</v>
      </c>
      <c r="P951" s="17" t="s">
        <v>802</v>
      </c>
      <c r="Q951" s="21" t="s">
        <v>7690</v>
      </c>
      <c r="R951" s="17" t="s">
        <v>801</v>
      </c>
      <c r="S951" s="18" t="s">
        <v>2611</v>
      </c>
      <c r="T951" s="17" t="s">
        <v>800</v>
      </c>
      <c r="U951" s="18" t="s">
        <v>5255</v>
      </c>
      <c r="V951" s="17" t="s">
        <v>9418</v>
      </c>
      <c r="W951" s="18" t="s">
        <v>5309</v>
      </c>
      <c r="X951" s="69" t="s">
        <v>9453</v>
      </c>
      <c r="Y951" s="70" t="s">
        <v>9462</v>
      </c>
      <c r="Z951" s="73" t="s">
        <v>9486</v>
      </c>
      <c r="AA951" s="74" t="s">
        <v>9504</v>
      </c>
      <c r="AB951" s="73" t="s">
        <v>9486</v>
      </c>
      <c r="AC951" s="74" t="s">
        <v>9566</v>
      </c>
      <c r="AD951" s="73" t="s">
        <v>9578</v>
      </c>
      <c r="AE951" s="74" t="s">
        <v>9579</v>
      </c>
    </row>
    <row r="952" spans="1:31" ht="8.65" customHeight="1" x14ac:dyDescent="0.2">
      <c r="A952" s="76">
        <v>952</v>
      </c>
      <c r="B952" s="67" t="str">
        <f>MID(C952, FIND("Ifc.", C952) + 4, 4) &amp; "_" &amp; TEXT(COUNTIF($C$2:C952, C952),"0000")</f>
        <v>Prop_0951</v>
      </c>
      <c r="C952" s="24" t="s">
        <v>872</v>
      </c>
      <c r="D952" s="69" t="s">
        <v>9453</v>
      </c>
      <c r="E952" s="70" t="s">
        <v>9454</v>
      </c>
      <c r="F952" s="17" t="s">
        <v>806</v>
      </c>
      <c r="G952" s="22" t="s">
        <v>1985</v>
      </c>
      <c r="H952" s="12" t="s">
        <v>9703</v>
      </c>
      <c r="I952" s="13" t="s">
        <v>6603</v>
      </c>
      <c r="J952" s="14" t="s">
        <v>798</v>
      </c>
      <c r="K952" s="15" t="s">
        <v>798</v>
      </c>
      <c r="L952" s="12" t="s">
        <v>5315</v>
      </c>
      <c r="M952" s="13" t="s">
        <v>5974</v>
      </c>
      <c r="N952" s="12" t="s">
        <v>803</v>
      </c>
      <c r="O952" s="13" t="s">
        <v>5079</v>
      </c>
      <c r="P952" s="17" t="s">
        <v>802</v>
      </c>
      <c r="Q952" s="21" t="s">
        <v>7852</v>
      </c>
      <c r="R952" s="17" t="s">
        <v>801</v>
      </c>
      <c r="S952" s="18" t="s">
        <v>2554</v>
      </c>
      <c r="T952" s="17" t="s">
        <v>800</v>
      </c>
      <c r="U952" s="18" t="s">
        <v>5233</v>
      </c>
      <c r="V952" s="17" t="s">
        <v>9418</v>
      </c>
      <c r="W952" s="18" t="s">
        <v>5309</v>
      </c>
      <c r="X952" s="69" t="s">
        <v>9453</v>
      </c>
      <c r="Y952" s="70" t="s">
        <v>9462</v>
      </c>
      <c r="Z952" s="73" t="s">
        <v>9486</v>
      </c>
      <c r="AA952" s="74" t="s">
        <v>9504</v>
      </c>
      <c r="AB952" s="73" t="s">
        <v>9486</v>
      </c>
      <c r="AC952" s="74" t="s">
        <v>9562</v>
      </c>
      <c r="AD952" s="73" t="s">
        <v>9578</v>
      </c>
      <c r="AE952" s="74" t="s">
        <v>9579</v>
      </c>
    </row>
    <row r="953" spans="1:31" ht="8.65" customHeight="1" x14ac:dyDescent="0.2">
      <c r="A953" s="76">
        <v>953</v>
      </c>
      <c r="B953" s="67" t="str">
        <f>MID(C953, FIND("Ifc.", C953) + 4, 4) &amp; "_" &amp; TEXT(COUNTIF($C$2:C953, C953),"0000")</f>
        <v>Prop_0952</v>
      </c>
      <c r="C953" s="24" t="s">
        <v>872</v>
      </c>
      <c r="D953" s="69" t="s">
        <v>9453</v>
      </c>
      <c r="E953" s="70" t="s">
        <v>9454</v>
      </c>
      <c r="F953" s="17" t="s">
        <v>806</v>
      </c>
      <c r="G953" s="22" t="s">
        <v>1982</v>
      </c>
      <c r="H953" s="12" t="s">
        <v>9703</v>
      </c>
      <c r="I953" s="13" t="s">
        <v>7038</v>
      </c>
      <c r="J953" s="14" t="s">
        <v>798</v>
      </c>
      <c r="K953" s="15" t="s">
        <v>798</v>
      </c>
      <c r="L953" s="12" t="s">
        <v>5315</v>
      </c>
      <c r="M953" s="13" t="s">
        <v>5974</v>
      </c>
      <c r="N953" s="12" t="s">
        <v>803</v>
      </c>
      <c r="O953" s="13" t="s">
        <v>5079</v>
      </c>
      <c r="P953" s="17" t="s">
        <v>802</v>
      </c>
      <c r="Q953" s="21" t="s">
        <v>7852</v>
      </c>
      <c r="R953" s="17" t="s">
        <v>801</v>
      </c>
      <c r="S953" s="18" t="s">
        <v>2554</v>
      </c>
      <c r="T953" s="17" t="s">
        <v>800</v>
      </c>
      <c r="U953" s="18" t="s">
        <v>5233</v>
      </c>
      <c r="V953" s="17" t="s">
        <v>9418</v>
      </c>
      <c r="W953" s="18" t="s">
        <v>5309</v>
      </c>
      <c r="X953" s="69" t="s">
        <v>9453</v>
      </c>
      <c r="Y953" s="70" t="s">
        <v>9462</v>
      </c>
      <c r="Z953" s="73" t="s">
        <v>9486</v>
      </c>
      <c r="AA953" s="74" t="s">
        <v>9504</v>
      </c>
      <c r="AB953" s="73" t="s">
        <v>9486</v>
      </c>
      <c r="AC953" s="74" t="s">
        <v>9562</v>
      </c>
      <c r="AD953" s="73" t="s">
        <v>9578</v>
      </c>
      <c r="AE953" s="74" t="s">
        <v>9579</v>
      </c>
    </row>
    <row r="954" spans="1:31" ht="8.65" customHeight="1" x14ac:dyDescent="0.2">
      <c r="A954" s="76">
        <v>954</v>
      </c>
      <c r="B954" s="67" t="str">
        <f>MID(C954, FIND("Ifc.", C954) + 4, 4) &amp; "_" &amp; TEXT(COUNTIF($C$2:C954, C954),"0000")</f>
        <v>Prop_0953</v>
      </c>
      <c r="C954" s="24" t="s">
        <v>872</v>
      </c>
      <c r="D954" s="69" t="s">
        <v>9453</v>
      </c>
      <c r="E954" s="70" t="s">
        <v>9454</v>
      </c>
      <c r="F954" s="17" t="s">
        <v>806</v>
      </c>
      <c r="G954" s="22" t="s">
        <v>1204</v>
      </c>
      <c r="H954" s="12" t="s">
        <v>9703</v>
      </c>
      <c r="I954" s="13" t="s">
        <v>6484</v>
      </c>
      <c r="J954" s="14" t="s">
        <v>798</v>
      </c>
      <c r="K954" s="15" t="s">
        <v>798</v>
      </c>
      <c r="L954" s="12" t="s">
        <v>5315</v>
      </c>
      <c r="M954" s="13" t="s">
        <v>5821</v>
      </c>
      <c r="N954" s="12" t="s">
        <v>803</v>
      </c>
      <c r="O954" s="13" t="s">
        <v>4883</v>
      </c>
      <c r="P954" s="17" t="s">
        <v>802</v>
      </c>
      <c r="Q954" s="21" t="s">
        <v>7683</v>
      </c>
      <c r="R954" s="17" t="s">
        <v>801</v>
      </c>
      <c r="S954" s="18" t="s">
        <v>2554</v>
      </c>
      <c r="T954" s="17" t="s">
        <v>800</v>
      </c>
      <c r="U954" s="18" t="s">
        <v>5233</v>
      </c>
      <c r="V954" s="17" t="s">
        <v>9418</v>
      </c>
      <c r="W954" s="18" t="s">
        <v>5310</v>
      </c>
      <c r="X954" s="69" t="s">
        <v>9453</v>
      </c>
      <c r="Y954" s="70" t="s">
        <v>9463</v>
      </c>
      <c r="Z954" s="73" t="s">
        <v>9486</v>
      </c>
      <c r="AA954" s="74" t="s">
        <v>9504</v>
      </c>
      <c r="AB954" s="73" t="s">
        <v>9486</v>
      </c>
      <c r="AC954" s="74" t="s">
        <v>9562</v>
      </c>
      <c r="AD954" s="73" t="s">
        <v>9578</v>
      </c>
      <c r="AE954" s="74" t="s">
        <v>9579</v>
      </c>
    </row>
    <row r="955" spans="1:31" ht="8.65" customHeight="1" x14ac:dyDescent="0.2">
      <c r="A955" s="76">
        <v>955</v>
      </c>
      <c r="B955" s="67" t="str">
        <f>MID(C955, FIND("Ifc.", C955) + 4, 4) &amp; "_" &amp; TEXT(COUNTIF($C$2:C955, C955),"0000")</f>
        <v>Prop_0954</v>
      </c>
      <c r="C955" s="24" t="s">
        <v>872</v>
      </c>
      <c r="D955" s="69" t="s">
        <v>9453</v>
      </c>
      <c r="E955" s="70" t="s">
        <v>9454</v>
      </c>
      <c r="F955" s="17" t="s">
        <v>806</v>
      </c>
      <c r="G955" s="22" t="s">
        <v>979</v>
      </c>
      <c r="H955" s="12" t="s">
        <v>9703</v>
      </c>
      <c r="I955" s="13" t="s">
        <v>7102</v>
      </c>
      <c r="J955" s="14" t="s">
        <v>798</v>
      </c>
      <c r="K955" s="15" t="s">
        <v>798</v>
      </c>
      <c r="L955" s="12" t="s">
        <v>5315</v>
      </c>
      <c r="M955" s="13" t="s">
        <v>5989</v>
      </c>
      <c r="N955" s="12" t="s">
        <v>803</v>
      </c>
      <c r="O955" s="13" t="s">
        <v>4826</v>
      </c>
      <c r="P955" s="17" t="s">
        <v>802</v>
      </c>
      <c r="Q955" s="21" t="s">
        <v>7959</v>
      </c>
      <c r="R955" s="17" t="s">
        <v>801</v>
      </c>
      <c r="S955" s="18" t="s">
        <v>2559</v>
      </c>
      <c r="T955" s="17" t="s">
        <v>800</v>
      </c>
      <c r="U955" s="18" t="s">
        <v>5234</v>
      </c>
      <c r="V955" s="17" t="s">
        <v>9418</v>
      </c>
      <c r="W955" s="18" t="s">
        <v>5311</v>
      </c>
      <c r="X955" s="69" t="s">
        <v>9453</v>
      </c>
      <c r="Y955" s="70" t="s">
        <v>9466</v>
      </c>
      <c r="Z955" s="73" t="s">
        <v>9486</v>
      </c>
      <c r="AA955" s="74" t="s">
        <v>9504</v>
      </c>
      <c r="AB955" s="73" t="s">
        <v>9486</v>
      </c>
      <c r="AC955" s="74" t="s">
        <v>9562</v>
      </c>
      <c r="AD955" s="73" t="s">
        <v>9578</v>
      </c>
      <c r="AE955" s="74" t="s">
        <v>9579</v>
      </c>
    </row>
    <row r="956" spans="1:31" ht="8.65" customHeight="1" x14ac:dyDescent="0.2">
      <c r="A956" s="76">
        <v>956</v>
      </c>
      <c r="B956" s="67" t="str">
        <f>MID(C956, FIND("Ifc.", C956) + 4, 4) &amp; "_" &amp; TEXT(COUNTIF($C$2:C956, C956),"0000")</f>
        <v>Prop_0955</v>
      </c>
      <c r="C956" s="24" t="s">
        <v>872</v>
      </c>
      <c r="D956" s="69" t="s">
        <v>9453</v>
      </c>
      <c r="E956" s="70" t="s">
        <v>9454</v>
      </c>
      <c r="F956" s="17" t="s">
        <v>806</v>
      </c>
      <c r="G956" s="22" t="s">
        <v>1984</v>
      </c>
      <c r="H956" s="12" t="s">
        <v>9703</v>
      </c>
      <c r="I956" s="13" t="s">
        <v>7622</v>
      </c>
      <c r="J956" s="14" t="s">
        <v>798</v>
      </c>
      <c r="K956" s="15" t="s">
        <v>798</v>
      </c>
      <c r="L956" s="12" t="s">
        <v>5315</v>
      </c>
      <c r="M956" s="13" t="s">
        <v>5974</v>
      </c>
      <c r="N956" s="12" t="s">
        <v>803</v>
      </c>
      <c r="O956" s="13" t="s">
        <v>5079</v>
      </c>
      <c r="P956" s="17" t="s">
        <v>802</v>
      </c>
      <c r="Q956" s="21" t="s">
        <v>7852</v>
      </c>
      <c r="R956" s="17" t="s">
        <v>801</v>
      </c>
      <c r="S956" s="18" t="s">
        <v>2554</v>
      </c>
      <c r="T956" s="17" t="s">
        <v>800</v>
      </c>
      <c r="U956" s="18" t="s">
        <v>5233</v>
      </c>
      <c r="V956" s="17" t="s">
        <v>9418</v>
      </c>
      <c r="W956" s="18" t="s">
        <v>5309</v>
      </c>
      <c r="X956" s="69" t="s">
        <v>9453</v>
      </c>
      <c r="Y956" s="70" t="s">
        <v>9462</v>
      </c>
      <c r="Z956" s="73" t="s">
        <v>9486</v>
      </c>
      <c r="AA956" s="74" t="s">
        <v>9504</v>
      </c>
      <c r="AB956" s="73" t="s">
        <v>9486</v>
      </c>
      <c r="AC956" s="74" t="s">
        <v>9562</v>
      </c>
      <c r="AD956" s="73" t="s">
        <v>9578</v>
      </c>
      <c r="AE956" s="74" t="s">
        <v>9579</v>
      </c>
    </row>
    <row r="957" spans="1:31" ht="8.65" customHeight="1" x14ac:dyDescent="0.2">
      <c r="A957" s="76">
        <v>957</v>
      </c>
      <c r="B957" s="67" t="str">
        <f>MID(C957, FIND("Ifc.", C957) + 4, 4) &amp; "_" &amp; TEXT(COUNTIF($C$2:C957, C957),"0000")</f>
        <v>Prop_0956</v>
      </c>
      <c r="C957" s="24" t="s">
        <v>872</v>
      </c>
      <c r="D957" s="69" t="s">
        <v>9453</v>
      </c>
      <c r="E957" s="70" t="s">
        <v>9454</v>
      </c>
      <c r="F957" s="17" t="s">
        <v>806</v>
      </c>
      <c r="G957" s="22" t="s">
        <v>2117</v>
      </c>
      <c r="H957" s="12" t="s">
        <v>9703</v>
      </c>
      <c r="I957" s="13" t="s">
        <v>7547</v>
      </c>
      <c r="J957" s="14" t="s">
        <v>798</v>
      </c>
      <c r="K957" s="15" t="s">
        <v>798</v>
      </c>
      <c r="L957" s="12" t="s">
        <v>5315</v>
      </c>
      <c r="M957" s="13" t="s">
        <v>5492</v>
      </c>
      <c r="N957" s="12" t="s">
        <v>803</v>
      </c>
      <c r="O957" s="13" t="s">
        <v>5103</v>
      </c>
      <c r="P957" s="17" t="s">
        <v>802</v>
      </c>
      <c r="Q957" s="21" t="s">
        <v>7722</v>
      </c>
      <c r="R957" s="17" t="s">
        <v>801</v>
      </c>
      <c r="S957" s="18" t="s">
        <v>2554</v>
      </c>
      <c r="T957" s="17" t="s">
        <v>800</v>
      </c>
      <c r="U957" s="18" t="s">
        <v>5233</v>
      </c>
      <c r="V957" s="17" t="s">
        <v>9418</v>
      </c>
      <c r="W957" s="18" t="s">
        <v>5309</v>
      </c>
      <c r="X957" s="69" t="s">
        <v>9453</v>
      </c>
      <c r="Y957" s="70" t="s">
        <v>9462</v>
      </c>
      <c r="Z957" s="73" t="s">
        <v>9486</v>
      </c>
      <c r="AA957" s="74" t="s">
        <v>9504</v>
      </c>
      <c r="AB957" s="73" t="s">
        <v>9486</v>
      </c>
      <c r="AC957" s="74" t="s">
        <v>9562</v>
      </c>
      <c r="AD957" s="73" t="s">
        <v>9578</v>
      </c>
      <c r="AE957" s="74" t="s">
        <v>9579</v>
      </c>
    </row>
    <row r="958" spans="1:31" ht="8.65" customHeight="1" x14ac:dyDescent="0.2">
      <c r="A958" s="76">
        <v>958</v>
      </c>
      <c r="B958" s="67" t="str">
        <f>MID(C958, FIND("Ifc.", C958) + 4, 4) &amp; "_" &amp; TEXT(COUNTIF($C$2:C958, C958),"0000")</f>
        <v>Prop_0957</v>
      </c>
      <c r="C958" s="24" t="s">
        <v>872</v>
      </c>
      <c r="D958" s="69" t="s">
        <v>9453</v>
      </c>
      <c r="E958" s="70" t="s">
        <v>9454</v>
      </c>
      <c r="F958" s="17" t="s">
        <v>806</v>
      </c>
      <c r="G958" s="22" t="s">
        <v>2117</v>
      </c>
      <c r="H958" s="12" t="s">
        <v>9703</v>
      </c>
      <c r="I958" s="13" t="s">
        <v>7547</v>
      </c>
      <c r="J958" s="14" t="s">
        <v>798</v>
      </c>
      <c r="K958" s="15" t="s">
        <v>798</v>
      </c>
      <c r="L958" s="12" t="s">
        <v>5315</v>
      </c>
      <c r="M958" s="13" t="s">
        <v>5512</v>
      </c>
      <c r="N958" s="12" t="s">
        <v>803</v>
      </c>
      <c r="O958" s="13" t="s">
        <v>5126</v>
      </c>
      <c r="P958" s="17" t="s">
        <v>802</v>
      </c>
      <c r="Q958" s="21" t="s">
        <v>7754</v>
      </c>
      <c r="R958" s="17" t="s">
        <v>801</v>
      </c>
      <c r="S958" s="18" t="s">
        <v>2554</v>
      </c>
      <c r="T958" s="17" t="s">
        <v>800</v>
      </c>
      <c r="U958" s="18" t="s">
        <v>5233</v>
      </c>
      <c r="V958" s="17" t="s">
        <v>9418</v>
      </c>
      <c r="W958" s="18" t="s">
        <v>5310</v>
      </c>
      <c r="X958" s="69" t="s">
        <v>9453</v>
      </c>
      <c r="Y958" s="70" t="s">
        <v>9463</v>
      </c>
      <c r="Z958" s="73" t="s">
        <v>9486</v>
      </c>
      <c r="AA958" s="74" t="s">
        <v>9504</v>
      </c>
      <c r="AB958" s="73" t="s">
        <v>9486</v>
      </c>
      <c r="AC958" s="74" t="s">
        <v>9562</v>
      </c>
      <c r="AD958" s="73" t="s">
        <v>9578</v>
      </c>
      <c r="AE958" s="74" t="s">
        <v>9579</v>
      </c>
    </row>
    <row r="959" spans="1:31" ht="8.65" customHeight="1" x14ac:dyDescent="0.2">
      <c r="A959" s="76">
        <v>959</v>
      </c>
      <c r="B959" s="67" t="str">
        <f>MID(C959, FIND("Ifc.", C959) + 4, 4) &amp; "_" &amp; TEXT(COUNTIF($C$2:C959, C959),"0000")</f>
        <v>Prop_0958</v>
      </c>
      <c r="C959" s="24" t="s">
        <v>872</v>
      </c>
      <c r="D959" s="69" t="s">
        <v>9453</v>
      </c>
      <c r="E959" s="70" t="s">
        <v>9454</v>
      </c>
      <c r="F959" s="17" t="s">
        <v>806</v>
      </c>
      <c r="G959" s="22" t="s">
        <v>2117</v>
      </c>
      <c r="H959" s="12" t="s">
        <v>9703</v>
      </c>
      <c r="I959" s="13" t="s">
        <v>7547</v>
      </c>
      <c r="J959" s="14" t="s">
        <v>798</v>
      </c>
      <c r="K959" s="15" t="s">
        <v>798</v>
      </c>
      <c r="L959" s="12" t="s">
        <v>5315</v>
      </c>
      <c r="M959" s="13" t="s">
        <v>5518</v>
      </c>
      <c r="N959" s="12" t="s">
        <v>803</v>
      </c>
      <c r="O959" s="13" t="s">
        <v>5133</v>
      </c>
      <c r="P959" s="17" t="s">
        <v>802</v>
      </c>
      <c r="Q959" s="21" t="s">
        <v>7719</v>
      </c>
      <c r="R959" s="17" t="s">
        <v>801</v>
      </c>
      <c r="S959" s="18" t="s">
        <v>2554</v>
      </c>
      <c r="T959" s="17" t="s">
        <v>800</v>
      </c>
      <c r="U959" s="18" t="s">
        <v>5233</v>
      </c>
      <c r="V959" s="17" t="s">
        <v>9418</v>
      </c>
      <c r="W959" s="18" t="s">
        <v>5310</v>
      </c>
      <c r="X959" s="69" t="s">
        <v>9453</v>
      </c>
      <c r="Y959" s="70" t="s">
        <v>9463</v>
      </c>
      <c r="Z959" s="73" t="s">
        <v>9486</v>
      </c>
      <c r="AA959" s="74" t="s">
        <v>9504</v>
      </c>
      <c r="AB959" s="73" t="s">
        <v>9486</v>
      </c>
      <c r="AC959" s="74" t="s">
        <v>9562</v>
      </c>
      <c r="AD959" s="73" t="s">
        <v>9578</v>
      </c>
      <c r="AE959" s="74" t="s">
        <v>9579</v>
      </c>
    </row>
    <row r="960" spans="1:31" ht="8.65" customHeight="1" x14ac:dyDescent="0.2">
      <c r="A960" s="76">
        <v>960</v>
      </c>
      <c r="B960" s="67" t="str">
        <f>MID(C960, FIND("Ifc.", C960) + 4, 4) &amp; "_" &amp; TEXT(COUNTIF($C$2:C960, C960),"0000")</f>
        <v>Prop_0959</v>
      </c>
      <c r="C960" s="24" t="s">
        <v>872</v>
      </c>
      <c r="D960" s="69" t="s">
        <v>9453</v>
      </c>
      <c r="E960" s="70" t="s">
        <v>9454</v>
      </c>
      <c r="F960" s="17" t="s">
        <v>806</v>
      </c>
      <c r="G960" s="22" t="s">
        <v>2117</v>
      </c>
      <c r="H960" s="12" t="s">
        <v>9703</v>
      </c>
      <c r="I960" s="13" t="s">
        <v>7547</v>
      </c>
      <c r="J960" s="14" t="s">
        <v>798</v>
      </c>
      <c r="K960" s="15" t="s">
        <v>798</v>
      </c>
      <c r="L960" s="12" t="s">
        <v>5315</v>
      </c>
      <c r="M960" s="13" t="s">
        <v>5781</v>
      </c>
      <c r="N960" s="12" t="s">
        <v>803</v>
      </c>
      <c r="O960" s="13" t="s">
        <v>5180</v>
      </c>
      <c r="P960" s="17" t="s">
        <v>802</v>
      </c>
      <c r="Q960" s="21" t="s">
        <v>7699</v>
      </c>
      <c r="R960" s="17" t="s">
        <v>801</v>
      </c>
      <c r="S960" s="18" t="s">
        <v>2554</v>
      </c>
      <c r="T960" s="17" t="s">
        <v>800</v>
      </c>
      <c r="U960" s="18" t="s">
        <v>5233</v>
      </c>
      <c r="V960" s="17" t="s">
        <v>9418</v>
      </c>
      <c r="W960" s="18" t="s">
        <v>5310</v>
      </c>
      <c r="X960" s="69" t="s">
        <v>9453</v>
      </c>
      <c r="Y960" s="70" t="s">
        <v>9463</v>
      </c>
      <c r="Z960" s="73" t="s">
        <v>9486</v>
      </c>
      <c r="AA960" s="74" t="s">
        <v>9504</v>
      </c>
      <c r="AB960" s="73" t="s">
        <v>9486</v>
      </c>
      <c r="AC960" s="74" t="s">
        <v>9562</v>
      </c>
      <c r="AD960" s="73" t="s">
        <v>9578</v>
      </c>
      <c r="AE960" s="74" t="s">
        <v>9579</v>
      </c>
    </row>
    <row r="961" spans="1:31" ht="8.65" customHeight="1" x14ac:dyDescent="0.2">
      <c r="A961" s="76">
        <v>961</v>
      </c>
      <c r="B961" s="67" t="str">
        <f>MID(C961, FIND("Ifc.", C961) + 4, 4) &amp; "_" &amp; TEXT(COUNTIF($C$2:C961, C961),"0000")</f>
        <v>Prop_0960</v>
      </c>
      <c r="C961" s="24" t="s">
        <v>872</v>
      </c>
      <c r="D961" s="69" t="s">
        <v>9453</v>
      </c>
      <c r="E961" s="70" t="s">
        <v>9454</v>
      </c>
      <c r="F961" s="17" t="s">
        <v>806</v>
      </c>
      <c r="G961" s="22" t="s">
        <v>2165</v>
      </c>
      <c r="H961" s="12" t="s">
        <v>9703</v>
      </c>
      <c r="I961" s="13" t="s">
        <v>7564</v>
      </c>
      <c r="J961" s="14" t="s">
        <v>798</v>
      </c>
      <c r="K961" s="15" t="s">
        <v>798</v>
      </c>
      <c r="L961" s="12" t="s">
        <v>5315</v>
      </c>
      <c r="M961" s="13" t="s">
        <v>5499</v>
      </c>
      <c r="N961" s="12" t="s">
        <v>803</v>
      </c>
      <c r="O961" s="13" t="s">
        <v>5113</v>
      </c>
      <c r="P961" s="17" t="s">
        <v>802</v>
      </c>
      <c r="Q961" s="21" t="s">
        <v>7707</v>
      </c>
      <c r="R961" s="17" t="s">
        <v>801</v>
      </c>
      <c r="S961" s="18" t="s">
        <v>2560</v>
      </c>
      <c r="T961" s="17" t="s">
        <v>800</v>
      </c>
      <c r="U961" s="18" t="s">
        <v>5236</v>
      </c>
      <c r="V961" s="17" t="s">
        <v>9418</v>
      </c>
      <c r="W961" s="18" t="s">
        <v>5309</v>
      </c>
      <c r="X961" s="69" t="s">
        <v>9453</v>
      </c>
      <c r="Y961" s="70" t="s">
        <v>9462</v>
      </c>
      <c r="Z961" s="73" t="s">
        <v>9486</v>
      </c>
      <c r="AA961" s="74" t="s">
        <v>9504</v>
      </c>
      <c r="AB961" s="73" t="s">
        <v>9486</v>
      </c>
      <c r="AC961" s="74" t="s">
        <v>9562</v>
      </c>
      <c r="AD961" s="73" t="s">
        <v>9578</v>
      </c>
      <c r="AE961" s="74" t="s">
        <v>9579</v>
      </c>
    </row>
    <row r="962" spans="1:31" ht="8.65" customHeight="1" x14ac:dyDescent="0.2">
      <c r="A962" s="76">
        <v>962</v>
      </c>
      <c r="B962" s="67" t="str">
        <f>MID(C962, FIND("Ifc.", C962) + 4, 4) &amp; "_" &amp; TEXT(COUNTIF($C$2:C962, C962),"0000")</f>
        <v>Prop_0961</v>
      </c>
      <c r="C962" s="24" t="s">
        <v>872</v>
      </c>
      <c r="D962" s="69" t="s">
        <v>9453</v>
      </c>
      <c r="E962" s="70" t="s">
        <v>9454</v>
      </c>
      <c r="F962" s="17" t="s">
        <v>806</v>
      </c>
      <c r="G962" s="22" t="s">
        <v>1059</v>
      </c>
      <c r="H962" s="12" t="s">
        <v>9703</v>
      </c>
      <c r="I962" s="13" t="s">
        <v>7123</v>
      </c>
      <c r="J962" s="14" t="s">
        <v>798</v>
      </c>
      <c r="K962" s="15" t="s">
        <v>798</v>
      </c>
      <c r="L962" s="12" t="s">
        <v>5315</v>
      </c>
      <c r="M962" s="13" t="s">
        <v>5779</v>
      </c>
      <c r="N962" s="12" t="s">
        <v>803</v>
      </c>
      <c r="O962" s="13" t="s">
        <v>4846</v>
      </c>
      <c r="P962" s="17" t="s">
        <v>802</v>
      </c>
      <c r="Q962" s="21" t="s">
        <v>7936</v>
      </c>
      <c r="R962" s="17" t="s">
        <v>801</v>
      </c>
      <c r="S962" s="18" t="s">
        <v>2625</v>
      </c>
      <c r="T962" s="17" t="s">
        <v>800</v>
      </c>
      <c r="U962" s="18" t="s">
        <v>5240</v>
      </c>
      <c r="V962" s="17" t="s">
        <v>9418</v>
      </c>
      <c r="W962" s="18" t="s">
        <v>5312</v>
      </c>
      <c r="X962" s="69" t="s">
        <v>9453</v>
      </c>
      <c r="Y962" s="70" t="s">
        <v>9465</v>
      </c>
      <c r="Z962" s="73" t="s">
        <v>9486</v>
      </c>
      <c r="AA962" s="74" t="s">
        <v>9504</v>
      </c>
      <c r="AB962" s="73" t="s">
        <v>9486</v>
      </c>
      <c r="AC962" s="74" t="s">
        <v>9566</v>
      </c>
      <c r="AD962" s="73" t="s">
        <v>9578</v>
      </c>
      <c r="AE962" s="74" t="s">
        <v>9579</v>
      </c>
    </row>
    <row r="963" spans="1:31" ht="8.65" customHeight="1" x14ac:dyDescent="0.2">
      <c r="A963" s="76">
        <v>963</v>
      </c>
      <c r="B963" s="67" t="str">
        <f>MID(C963, FIND("Ifc.", C963) + 4, 4) &amp; "_" &amp; TEXT(COUNTIF($C$2:C963, C963),"0000")</f>
        <v>Prop_0962</v>
      </c>
      <c r="C963" s="24" t="s">
        <v>872</v>
      </c>
      <c r="D963" s="69" t="s">
        <v>9453</v>
      </c>
      <c r="E963" s="70" t="s">
        <v>9454</v>
      </c>
      <c r="F963" s="17" t="s">
        <v>806</v>
      </c>
      <c r="G963" s="22" t="s">
        <v>1326</v>
      </c>
      <c r="H963" s="12" t="s">
        <v>9703</v>
      </c>
      <c r="I963" s="13" t="s">
        <v>6994</v>
      </c>
      <c r="J963" s="14" t="s">
        <v>798</v>
      </c>
      <c r="K963" s="15" t="s">
        <v>798</v>
      </c>
      <c r="L963" s="12" t="s">
        <v>5315</v>
      </c>
      <c r="M963" s="13" t="s">
        <v>5412</v>
      </c>
      <c r="N963" s="12" t="s">
        <v>803</v>
      </c>
      <c r="O963" s="13" t="s">
        <v>4910</v>
      </c>
      <c r="P963" s="17" t="s">
        <v>802</v>
      </c>
      <c r="Q963" s="21" t="s">
        <v>7954</v>
      </c>
      <c r="R963" s="17" t="s">
        <v>801</v>
      </c>
      <c r="S963" s="18" t="s">
        <v>2624</v>
      </c>
      <c r="T963" s="17" t="s">
        <v>800</v>
      </c>
      <c r="U963" s="18" t="s">
        <v>5243</v>
      </c>
      <c r="V963" s="17" t="s">
        <v>9418</v>
      </c>
      <c r="W963" s="18" t="s">
        <v>5309</v>
      </c>
      <c r="X963" s="69" t="s">
        <v>9453</v>
      </c>
      <c r="Y963" s="70" t="s">
        <v>9462</v>
      </c>
      <c r="Z963" s="73" t="s">
        <v>9486</v>
      </c>
      <c r="AA963" s="74" t="s">
        <v>9504</v>
      </c>
      <c r="AB963" s="73" t="s">
        <v>9486</v>
      </c>
      <c r="AC963" s="74" t="s">
        <v>9566</v>
      </c>
      <c r="AD963" s="73" t="s">
        <v>9578</v>
      </c>
      <c r="AE963" s="74" t="s">
        <v>9579</v>
      </c>
    </row>
    <row r="964" spans="1:31" ht="8.65" customHeight="1" x14ac:dyDescent="0.2">
      <c r="A964" s="76">
        <v>964</v>
      </c>
      <c r="B964" s="67" t="str">
        <f>MID(C964, FIND("Ifc.", C964) + 4, 4) &amp; "_" &amp; TEXT(COUNTIF($C$2:C964, C964),"0000")</f>
        <v>Prop_0963</v>
      </c>
      <c r="C964" s="24" t="s">
        <v>872</v>
      </c>
      <c r="D964" s="69" t="s">
        <v>9453</v>
      </c>
      <c r="E964" s="70" t="s">
        <v>9454</v>
      </c>
      <c r="F964" s="17" t="s">
        <v>806</v>
      </c>
      <c r="G964" s="22" t="s">
        <v>1781</v>
      </c>
      <c r="H964" s="12" t="s">
        <v>9703</v>
      </c>
      <c r="I964" s="13" t="s">
        <v>7025</v>
      </c>
      <c r="J964" s="14" t="s">
        <v>798</v>
      </c>
      <c r="K964" s="15" t="s">
        <v>798</v>
      </c>
      <c r="L964" s="12" t="s">
        <v>5315</v>
      </c>
      <c r="M964" s="13" t="s">
        <v>5454</v>
      </c>
      <c r="N964" s="12" t="s">
        <v>803</v>
      </c>
      <c r="O964" s="13" t="s">
        <v>5017</v>
      </c>
      <c r="P964" s="17" t="s">
        <v>802</v>
      </c>
      <c r="Q964" s="21" t="s">
        <v>7776</v>
      </c>
      <c r="R964" s="17" t="s">
        <v>801</v>
      </c>
      <c r="S964" s="18" t="s">
        <v>2625</v>
      </c>
      <c r="T964" s="17" t="s">
        <v>800</v>
      </c>
      <c r="U964" s="18" t="s">
        <v>5240</v>
      </c>
      <c r="V964" s="17" t="s">
        <v>9418</v>
      </c>
      <c r="W964" s="18" t="s">
        <v>5309</v>
      </c>
      <c r="X964" s="69" t="s">
        <v>9453</v>
      </c>
      <c r="Y964" s="70" t="s">
        <v>9462</v>
      </c>
      <c r="Z964" s="73" t="s">
        <v>9486</v>
      </c>
      <c r="AA964" s="74" t="s">
        <v>9504</v>
      </c>
      <c r="AB964" s="73" t="s">
        <v>9486</v>
      </c>
      <c r="AC964" s="74" t="s">
        <v>9566</v>
      </c>
      <c r="AD964" s="73" t="s">
        <v>9578</v>
      </c>
      <c r="AE964" s="74" t="s">
        <v>9579</v>
      </c>
    </row>
    <row r="965" spans="1:31" ht="8.65" customHeight="1" x14ac:dyDescent="0.2">
      <c r="A965" s="76">
        <v>965</v>
      </c>
      <c r="B965" s="67" t="str">
        <f>MID(C965, FIND("Ifc.", C965) + 4, 4) &amp; "_" &amp; TEXT(COUNTIF($C$2:C965, C965),"0000")</f>
        <v>Prop_0964</v>
      </c>
      <c r="C965" s="24" t="s">
        <v>872</v>
      </c>
      <c r="D965" s="69" t="s">
        <v>9453</v>
      </c>
      <c r="E965" s="70" t="s">
        <v>9454</v>
      </c>
      <c r="F965" s="17" t="s">
        <v>806</v>
      </c>
      <c r="G965" s="22" t="s">
        <v>1781</v>
      </c>
      <c r="H965" s="12" t="s">
        <v>9703</v>
      </c>
      <c r="I965" s="13" t="s">
        <v>7025</v>
      </c>
      <c r="J965" s="14" t="s">
        <v>798</v>
      </c>
      <c r="K965" s="15" t="s">
        <v>798</v>
      </c>
      <c r="L965" s="12" t="s">
        <v>5315</v>
      </c>
      <c r="M965" s="13" t="s">
        <v>5487</v>
      </c>
      <c r="N965" s="12" t="s">
        <v>803</v>
      </c>
      <c r="O965" s="13" t="s">
        <v>5095</v>
      </c>
      <c r="P965" s="17" t="s">
        <v>802</v>
      </c>
      <c r="Q965" s="21" t="s">
        <v>7687</v>
      </c>
      <c r="R965" s="17" t="s">
        <v>801</v>
      </c>
      <c r="S965" s="18" t="s">
        <v>2625</v>
      </c>
      <c r="T965" s="17" t="s">
        <v>800</v>
      </c>
      <c r="U965" s="18" t="s">
        <v>5240</v>
      </c>
      <c r="V965" s="17" t="s">
        <v>9418</v>
      </c>
      <c r="W965" s="18" t="s">
        <v>5309</v>
      </c>
      <c r="X965" s="69" t="s">
        <v>9453</v>
      </c>
      <c r="Y965" s="70" t="s">
        <v>9462</v>
      </c>
      <c r="Z965" s="73" t="s">
        <v>9486</v>
      </c>
      <c r="AA965" s="74" t="s">
        <v>9504</v>
      </c>
      <c r="AB965" s="73" t="s">
        <v>9486</v>
      </c>
      <c r="AC965" s="74" t="s">
        <v>9566</v>
      </c>
      <c r="AD965" s="73" t="s">
        <v>9578</v>
      </c>
      <c r="AE965" s="74" t="s">
        <v>9579</v>
      </c>
    </row>
    <row r="966" spans="1:31" ht="8.65" customHeight="1" x14ac:dyDescent="0.2">
      <c r="A966" s="76">
        <v>966</v>
      </c>
      <c r="B966" s="67" t="str">
        <f>MID(C966, FIND("Ifc.", C966) + 4, 4) &amp; "_" &amp; TEXT(COUNTIF($C$2:C966, C966),"0000")</f>
        <v>Prop_0965</v>
      </c>
      <c r="C966" s="24" t="s">
        <v>872</v>
      </c>
      <c r="D966" s="69" t="s">
        <v>9453</v>
      </c>
      <c r="E966" s="70" t="s">
        <v>9454</v>
      </c>
      <c r="F966" s="17" t="s">
        <v>806</v>
      </c>
      <c r="G966" s="22" t="s">
        <v>1944</v>
      </c>
      <c r="H966" s="12" t="s">
        <v>9703</v>
      </c>
      <c r="I966" s="13" t="s">
        <v>6920</v>
      </c>
      <c r="J966" s="14" t="s">
        <v>798</v>
      </c>
      <c r="K966" s="15" t="s">
        <v>798</v>
      </c>
      <c r="L966" s="12" t="s">
        <v>5315</v>
      </c>
      <c r="M966" s="13" t="s">
        <v>5471</v>
      </c>
      <c r="N966" s="12" t="s">
        <v>803</v>
      </c>
      <c r="O966" s="13" t="s">
        <v>5063</v>
      </c>
      <c r="P966" s="17" t="s">
        <v>802</v>
      </c>
      <c r="Q966" s="21" t="s">
        <v>7738</v>
      </c>
      <c r="R966" s="17" t="s">
        <v>801</v>
      </c>
      <c r="S966" s="18" t="s">
        <v>2624</v>
      </c>
      <c r="T966" s="17" t="s">
        <v>800</v>
      </c>
      <c r="U966" s="18" t="s">
        <v>5243</v>
      </c>
      <c r="V966" s="17" t="s">
        <v>9418</v>
      </c>
      <c r="W966" s="18" t="s">
        <v>5309</v>
      </c>
      <c r="X966" s="69" t="s">
        <v>9453</v>
      </c>
      <c r="Y966" s="70" t="s">
        <v>9462</v>
      </c>
      <c r="Z966" s="73" t="s">
        <v>9486</v>
      </c>
      <c r="AA966" s="74" t="s">
        <v>9504</v>
      </c>
      <c r="AB966" s="73" t="s">
        <v>9486</v>
      </c>
      <c r="AC966" s="74" t="s">
        <v>9566</v>
      </c>
      <c r="AD966" s="73" t="s">
        <v>9578</v>
      </c>
      <c r="AE966" s="74" t="s">
        <v>9579</v>
      </c>
    </row>
    <row r="967" spans="1:31" ht="8.65" customHeight="1" x14ac:dyDescent="0.2">
      <c r="A967" s="76">
        <v>967</v>
      </c>
      <c r="B967" s="67" t="str">
        <f>MID(C967, FIND("Ifc.", C967) + 4, 4) &amp; "_" &amp; TEXT(COUNTIF($C$2:C967, C967),"0000")</f>
        <v>Prop_0966</v>
      </c>
      <c r="C967" s="24" t="s">
        <v>872</v>
      </c>
      <c r="D967" s="69" t="s">
        <v>9453</v>
      </c>
      <c r="E967" s="70" t="s">
        <v>9454</v>
      </c>
      <c r="F967" s="17" t="s">
        <v>806</v>
      </c>
      <c r="G967" s="22" t="s">
        <v>1539</v>
      </c>
      <c r="H967" s="12" t="s">
        <v>9703</v>
      </c>
      <c r="I967" s="13" t="s">
        <v>7397</v>
      </c>
      <c r="J967" s="14" t="s">
        <v>798</v>
      </c>
      <c r="K967" s="15" t="s">
        <v>798</v>
      </c>
      <c r="L967" s="12" t="s">
        <v>5315</v>
      </c>
      <c r="M967" s="13" t="s">
        <v>5817</v>
      </c>
      <c r="N967" s="12" t="s">
        <v>803</v>
      </c>
      <c r="O967" s="13" t="s">
        <v>4956</v>
      </c>
      <c r="P967" s="17" t="s">
        <v>802</v>
      </c>
      <c r="Q967" s="21" t="s">
        <v>7758</v>
      </c>
      <c r="R967" s="17" t="s">
        <v>801</v>
      </c>
      <c r="S967" s="18" t="s">
        <v>2624</v>
      </c>
      <c r="T967" s="17" t="s">
        <v>800</v>
      </c>
      <c r="U967" s="18" t="s">
        <v>5243</v>
      </c>
      <c r="V967" s="17" t="s">
        <v>9418</v>
      </c>
      <c r="W967" s="18" t="s">
        <v>5309</v>
      </c>
      <c r="X967" s="69" t="s">
        <v>9453</v>
      </c>
      <c r="Y967" s="70" t="s">
        <v>9462</v>
      </c>
      <c r="Z967" s="73" t="s">
        <v>9486</v>
      </c>
      <c r="AA967" s="74" t="s">
        <v>9504</v>
      </c>
      <c r="AB967" s="73" t="s">
        <v>9486</v>
      </c>
      <c r="AC967" s="74" t="s">
        <v>9566</v>
      </c>
      <c r="AD967" s="73" t="s">
        <v>9578</v>
      </c>
      <c r="AE967" s="74" t="s">
        <v>9579</v>
      </c>
    </row>
    <row r="968" spans="1:31" ht="8.65" customHeight="1" x14ac:dyDescent="0.2">
      <c r="A968" s="76">
        <v>968</v>
      </c>
      <c r="B968" s="67" t="str">
        <f>MID(C968, FIND("Ifc.", C968) + 4, 4) &amp; "_" &amp; TEXT(COUNTIF($C$2:C968, C968),"0000")</f>
        <v>Prop_0967</v>
      </c>
      <c r="C968" s="24" t="s">
        <v>872</v>
      </c>
      <c r="D968" s="69" t="s">
        <v>9453</v>
      </c>
      <c r="E968" s="70" t="s">
        <v>9454</v>
      </c>
      <c r="F968" s="17" t="s">
        <v>806</v>
      </c>
      <c r="G968" s="22" t="s">
        <v>1648</v>
      </c>
      <c r="H968" s="12" t="s">
        <v>9703</v>
      </c>
      <c r="I968" s="13" t="s">
        <v>6888</v>
      </c>
      <c r="J968" s="14" t="s">
        <v>798</v>
      </c>
      <c r="K968" s="15" t="s">
        <v>798</v>
      </c>
      <c r="L968" s="12" t="s">
        <v>5315</v>
      </c>
      <c r="M968" s="13" t="s">
        <v>5837</v>
      </c>
      <c r="N968" s="12" t="s">
        <v>803</v>
      </c>
      <c r="O968" s="13" t="s">
        <v>4980</v>
      </c>
      <c r="P968" s="17" t="s">
        <v>802</v>
      </c>
      <c r="Q968" s="21" t="s">
        <v>7844</v>
      </c>
      <c r="R968" s="17" t="s">
        <v>801</v>
      </c>
      <c r="S968" s="18" t="s">
        <v>3636</v>
      </c>
      <c r="T968" s="17" t="s">
        <v>800</v>
      </c>
      <c r="U968" s="18" t="s">
        <v>5257</v>
      </c>
      <c r="V968" s="17" t="s">
        <v>9418</v>
      </c>
      <c r="W968" s="18" t="s">
        <v>5314</v>
      </c>
      <c r="X968" s="69" t="s">
        <v>9453</v>
      </c>
      <c r="Y968" s="70" t="s">
        <v>9464</v>
      </c>
      <c r="Z968" s="73" t="s">
        <v>9486</v>
      </c>
      <c r="AA968" s="74" t="s">
        <v>9504</v>
      </c>
      <c r="AB968" s="73" t="s">
        <v>9486</v>
      </c>
      <c r="AC968" s="74" t="s">
        <v>9561</v>
      </c>
      <c r="AD968" s="73" t="s">
        <v>9578</v>
      </c>
      <c r="AE968" s="74" t="s">
        <v>9579</v>
      </c>
    </row>
    <row r="969" spans="1:31" ht="8.65" customHeight="1" x14ac:dyDescent="0.2">
      <c r="A969" s="76">
        <v>969</v>
      </c>
      <c r="B969" s="67" t="str">
        <f>MID(C969, FIND("Ifc.", C969) + 4, 4) &amp; "_" &amp; TEXT(COUNTIF($C$2:C969, C969),"0000")</f>
        <v>Prop_0968</v>
      </c>
      <c r="C969" s="24" t="s">
        <v>872</v>
      </c>
      <c r="D969" s="69" t="s">
        <v>9453</v>
      </c>
      <c r="E969" s="70" t="s">
        <v>9454</v>
      </c>
      <c r="F969" s="17" t="s">
        <v>806</v>
      </c>
      <c r="G969" s="22" t="s">
        <v>1665</v>
      </c>
      <c r="H969" s="12" t="s">
        <v>9703</v>
      </c>
      <c r="I969" s="13" t="s">
        <v>6892</v>
      </c>
      <c r="J969" s="14" t="s">
        <v>798</v>
      </c>
      <c r="K969" s="15" t="s">
        <v>798</v>
      </c>
      <c r="L969" s="12" t="s">
        <v>5315</v>
      </c>
      <c r="M969" s="13" t="s">
        <v>5841</v>
      </c>
      <c r="N969" s="12" t="s">
        <v>803</v>
      </c>
      <c r="O969" s="13" t="s">
        <v>4986</v>
      </c>
      <c r="P969" s="17" t="s">
        <v>802</v>
      </c>
      <c r="Q969" s="21" t="s">
        <v>7845</v>
      </c>
      <c r="R969" s="17" t="s">
        <v>801</v>
      </c>
      <c r="S969" s="18" t="s">
        <v>3636</v>
      </c>
      <c r="T969" s="17" t="s">
        <v>800</v>
      </c>
      <c r="U969" s="18" t="s">
        <v>5257</v>
      </c>
      <c r="V969" s="17" t="s">
        <v>9418</v>
      </c>
      <c r="W969" s="18" t="s">
        <v>5314</v>
      </c>
      <c r="X969" s="69" t="s">
        <v>9453</v>
      </c>
      <c r="Y969" s="70" t="s">
        <v>9464</v>
      </c>
      <c r="Z969" s="73" t="s">
        <v>9486</v>
      </c>
      <c r="AA969" s="74" t="s">
        <v>9504</v>
      </c>
      <c r="AB969" s="73" t="s">
        <v>9486</v>
      </c>
      <c r="AC969" s="74" t="s">
        <v>9561</v>
      </c>
      <c r="AD969" s="73" t="s">
        <v>9578</v>
      </c>
      <c r="AE969" s="74" t="s">
        <v>9579</v>
      </c>
    </row>
    <row r="970" spans="1:31" ht="8.65" customHeight="1" x14ac:dyDescent="0.2">
      <c r="A970" s="76">
        <v>970</v>
      </c>
      <c r="B970" s="67" t="str">
        <f>MID(C970, FIND("Ifc.", C970) + 4, 4) &amp; "_" &amp; TEXT(COUNTIF($C$2:C970, C970),"0000")</f>
        <v>Prop_0969</v>
      </c>
      <c r="C970" s="24" t="s">
        <v>872</v>
      </c>
      <c r="D970" s="69" t="s">
        <v>9453</v>
      </c>
      <c r="E970" s="70" t="s">
        <v>9454</v>
      </c>
      <c r="F970" s="17" t="s">
        <v>806</v>
      </c>
      <c r="G970" s="22" t="s">
        <v>1251</v>
      </c>
      <c r="H970" s="12" t="s">
        <v>9703</v>
      </c>
      <c r="I970" s="13" t="s">
        <v>6232</v>
      </c>
      <c r="J970" s="14" t="s">
        <v>798</v>
      </c>
      <c r="K970" s="15" t="s">
        <v>798</v>
      </c>
      <c r="L970" s="12" t="s">
        <v>5315</v>
      </c>
      <c r="M970" s="13" t="s">
        <v>5403</v>
      </c>
      <c r="N970" s="12" t="s">
        <v>803</v>
      </c>
      <c r="O970" s="13" t="s">
        <v>4891</v>
      </c>
      <c r="P970" s="17" t="s">
        <v>802</v>
      </c>
      <c r="Q970" s="21" t="s">
        <v>7789</v>
      </c>
      <c r="R970" s="17" t="s">
        <v>801</v>
      </c>
      <c r="S970" s="18" t="s">
        <v>2554</v>
      </c>
      <c r="T970" s="17" t="s">
        <v>800</v>
      </c>
      <c r="U970" s="18" t="s">
        <v>5233</v>
      </c>
      <c r="V970" s="17" t="s">
        <v>9418</v>
      </c>
      <c r="W970" s="18" t="s">
        <v>5309</v>
      </c>
      <c r="X970" s="69" t="s">
        <v>9453</v>
      </c>
      <c r="Y970" s="70" t="s">
        <v>9462</v>
      </c>
      <c r="Z970" s="73" t="s">
        <v>9486</v>
      </c>
      <c r="AA970" s="74" t="s">
        <v>9504</v>
      </c>
      <c r="AB970" s="73" t="s">
        <v>9486</v>
      </c>
      <c r="AC970" s="74" t="s">
        <v>9562</v>
      </c>
      <c r="AD970" s="73" t="s">
        <v>9578</v>
      </c>
      <c r="AE970" s="74" t="s">
        <v>9579</v>
      </c>
    </row>
    <row r="971" spans="1:31" ht="8.65" customHeight="1" x14ac:dyDescent="0.2">
      <c r="A971" s="76">
        <v>971</v>
      </c>
      <c r="B971" s="67" t="str">
        <f>MID(C971, FIND("Ifc.", C971) + 4, 4) &amp; "_" &amp; TEXT(COUNTIF($C$2:C971, C971),"0000")</f>
        <v>Prop_0970</v>
      </c>
      <c r="C971" s="24" t="s">
        <v>872</v>
      </c>
      <c r="D971" s="69" t="s">
        <v>9453</v>
      </c>
      <c r="E971" s="70" t="s">
        <v>9454</v>
      </c>
      <c r="F971" s="17" t="s">
        <v>806</v>
      </c>
      <c r="G971" s="22" t="s">
        <v>1251</v>
      </c>
      <c r="H971" s="12" t="s">
        <v>9703</v>
      </c>
      <c r="I971" s="13" t="s">
        <v>6232</v>
      </c>
      <c r="J971" s="14" t="s">
        <v>798</v>
      </c>
      <c r="K971" s="15" t="s">
        <v>798</v>
      </c>
      <c r="L971" s="12" t="s">
        <v>5315</v>
      </c>
      <c r="M971" s="13" t="s">
        <v>5570</v>
      </c>
      <c r="N971" s="12" t="s">
        <v>803</v>
      </c>
      <c r="O971" s="13" t="s">
        <v>5203</v>
      </c>
      <c r="P971" s="17" t="s">
        <v>802</v>
      </c>
      <c r="Q971" s="21" t="s">
        <v>7900</v>
      </c>
      <c r="R971" s="17" t="s">
        <v>801</v>
      </c>
      <c r="S971" s="18" t="s">
        <v>2624</v>
      </c>
      <c r="T971" s="17" t="s">
        <v>800</v>
      </c>
      <c r="U971" s="18" t="s">
        <v>5243</v>
      </c>
      <c r="V971" s="17" t="s">
        <v>9418</v>
      </c>
      <c r="W971" s="18" t="s">
        <v>5309</v>
      </c>
      <c r="X971" s="69" t="s">
        <v>9453</v>
      </c>
      <c r="Y971" s="70" t="s">
        <v>9462</v>
      </c>
      <c r="Z971" s="73" t="s">
        <v>9486</v>
      </c>
      <c r="AA971" s="74" t="s">
        <v>9504</v>
      </c>
      <c r="AB971" s="73" t="s">
        <v>9486</v>
      </c>
      <c r="AC971" s="74" t="s">
        <v>9566</v>
      </c>
      <c r="AD971" s="73" t="s">
        <v>9578</v>
      </c>
      <c r="AE971" s="74" t="s">
        <v>9579</v>
      </c>
    </row>
    <row r="972" spans="1:31" ht="8.65" customHeight="1" x14ac:dyDescent="0.2">
      <c r="A972" s="76">
        <v>972</v>
      </c>
      <c r="B972" s="67" t="str">
        <f>MID(C972, FIND("Ifc.", C972) + 4, 4) &amp; "_" &amp; TEXT(COUNTIF($C$2:C972, C972),"0000")</f>
        <v>Prop_0971</v>
      </c>
      <c r="C972" s="24" t="s">
        <v>872</v>
      </c>
      <c r="D972" s="69" t="s">
        <v>9453</v>
      </c>
      <c r="E972" s="70" t="s">
        <v>9454</v>
      </c>
      <c r="F972" s="17" t="s">
        <v>806</v>
      </c>
      <c r="G972" s="22" t="s">
        <v>2107</v>
      </c>
      <c r="H972" s="12" t="s">
        <v>9703</v>
      </c>
      <c r="I972" s="13" t="s">
        <v>6643</v>
      </c>
      <c r="J972" s="14" t="s">
        <v>798</v>
      </c>
      <c r="K972" s="15" t="s">
        <v>798</v>
      </c>
      <c r="L972" s="12" t="s">
        <v>5315</v>
      </c>
      <c r="M972" s="13" t="s">
        <v>5856</v>
      </c>
      <c r="N972" s="12" t="s">
        <v>803</v>
      </c>
      <c r="O972" s="13" t="s">
        <v>5100</v>
      </c>
      <c r="P972" s="17" t="s">
        <v>802</v>
      </c>
      <c r="Q972" s="21" t="s">
        <v>7960</v>
      </c>
      <c r="R972" s="17" t="s">
        <v>801</v>
      </c>
      <c r="S972" s="18" t="s">
        <v>2625</v>
      </c>
      <c r="T972" s="17" t="s">
        <v>800</v>
      </c>
      <c r="U972" s="18" t="s">
        <v>5240</v>
      </c>
      <c r="V972" s="17" t="s">
        <v>9418</v>
      </c>
      <c r="W972" s="18" t="s">
        <v>5309</v>
      </c>
      <c r="X972" s="69" t="s">
        <v>9453</v>
      </c>
      <c r="Y972" s="70" t="s">
        <v>9462</v>
      </c>
      <c r="Z972" s="73" t="s">
        <v>9486</v>
      </c>
      <c r="AA972" s="74" t="s">
        <v>9504</v>
      </c>
      <c r="AB972" s="73" t="s">
        <v>9486</v>
      </c>
      <c r="AC972" s="74" t="s">
        <v>9566</v>
      </c>
      <c r="AD972" s="73" t="s">
        <v>9578</v>
      </c>
      <c r="AE972" s="74" t="s">
        <v>9579</v>
      </c>
    </row>
    <row r="973" spans="1:31" ht="8.65" customHeight="1" x14ac:dyDescent="0.2">
      <c r="A973" s="76">
        <v>973</v>
      </c>
      <c r="B973" s="67" t="str">
        <f>MID(C973, FIND("Ifc.", C973) + 4, 4) &amp; "_" &amp; TEXT(COUNTIF($C$2:C973, C973),"0000")</f>
        <v>Prop_0972</v>
      </c>
      <c r="C973" s="24" t="s">
        <v>872</v>
      </c>
      <c r="D973" s="69" t="s">
        <v>9453</v>
      </c>
      <c r="E973" s="70" t="s">
        <v>9454</v>
      </c>
      <c r="F973" s="17" t="s">
        <v>806</v>
      </c>
      <c r="G973" s="22" t="s">
        <v>2105</v>
      </c>
      <c r="H973" s="12" t="s">
        <v>9703</v>
      </c>
      <c r="I973" s="13" t="s">
        <v>6641</v>
      </c>
      <c r="J973" s="14" t="s">
        <v>798</v>
      </c>
      <c r="K973" s="15" t="s">
        <v>798</v>
      </c>
      <c r="L973" s="12" t="s">
        <v>5315</v>
      </c>
      <c r="M973" s="13" t="s">
        <v>5856</v>
      </c>
      <c r="N973" s="12" t="s">
        <v>803</v>
      </c>
      <c r="O973" s="13" t="s">
        <v>5100</v>
      </c>
      <c r="P973" s="17" t="s">
        <v>802</v>
      </c>
      <c r="Q973" s="21" t="s">
        <v>7960</v>
      </c>
      <c r="R973" s="17" t="s">
        <v>801</v>
      </c>
      <c r="S973" s="18" t="s">
        <v>2625</v>
      </c>
      <c r="T973" s="17" t="s">
        <v>800</v>
      </c>
      <c r="U973" s="18" t="s">
        <v>5240</v>
      </c>
      <c r="V973" s="17" t="s">
        <v>9418</v>
      </c>
      <c r="W973" s="18" t="s">
        <v>5309</v>
      </c>
      <c r="X973" s="69" t="s">
        <v>9453</v>
      </c>
      <c r="Y973" s="70" t="s">
        <v>9462</v>
      </c>
      <c r="Z973" s="73" t="s">
        <v>9486</v>
      </c>
      <c r="AA973" s="74" t="s">
        <v>9504</v>
      </c>
      <c r="AB973" s="73" t="s">
        <v>9486</v>
      </c>
      <c r="AC973" s="74" t="s">
        <v>9566</v>
      </c>
      <c r="AD973" s="73" t="s">
        <v>9578</v>
      </c>
      <c r="AE973" s="74" t="s">
        <v>9579</v>
      </c>
    </row>
    <row r="974" spans="1:31" ht="8.65" customHeight="1" x14ac:dyDescent="0.2">
      <c r="A974" s="76">
        <v>974</v>
      </c>
      <c r="B974" s="67" t="str">
        <f>MID(C974, FIND("Ifc.", C974) + 4, 4) &amp; "_" &amp; TEXT(COUNTIF($C$2:C974, C974),"0000")</f>
        <v>Prop_0973</v>
      </c>
      <c r="C974" s="24" t="s">
        <v>872</v>
      </c>
      <c r="D974" s="69" t="s">
        <v>9453</v>
      </c>
      <c r="E974" s="70" t="s">
        <v>9454</v>
      </c>
      <c r="F974" s="17" t="s">
        <v>806</v>
      </c>
      <c r="G974" s="22" t="s">
        <v>2110</v>
      </c>
      <c r="H974" s="12" t="s">
        <v>9703</v>
      </c>
      <c r="I974" s="13" t="s">
        <v>6644</v>
      </c>
      <c r="J974" s="14" t="s">
        <v>798</v>
      </c>
      <c r="K974" s="15" t="s">
        <v>798</v>
      </c>
      <c r="L974" s="12" t="s">
        <v>5315</v>
      </c>
      <c r="M974" s="13" t="s">
        <v>5856</v>
      </c>
      <c r="N974" s="12" t="s">
        <v>803</v>
      </c>
      <c r="O974" s="13" t="s">
        <v>5100</v>
      </c>
      <c r="P974" s="17" t="s">
        <v>802</v>
      </c>
      <c r="Q974" s="21" t="s">
        <v>7960</v>
      </c>
      <c r="R974" s="17" t="s">
        <v>801</v>
      </c>
      <c r="S974" s="18" t="s">
        <v>2625</v>
      </c>
      <c r="T974" s="17" t="s">
        <v>800</v>
      </c>
      <c r="U974" s="18" t="s">
        <v>5240</v>
      </c>
      <c r="V974" s="17" t="s">
        <v>9418</v>
      </c>
      <c r="W974" s="18" t="s">
        <v>5309</v>
      </c>
      <c r="X974" s="69" t="s">
        <v>9453</v>
      </c>
      <c r="Y974" s="70" t="s">
        <v>9462</v>
      </c>
      <c r="Z974" s="73" t="s">
        <v>9486</v>
      </c>
      <c r="AA974" s="74" t="s">
        <v>9504</v>
      </c>
      <c r="AB974" s="73" t="s">
        <v>9486</v>
      </c>
      <c r="AC974" s="74" t="s">
        <v>9566</v>
      </c>
      <c r="AD974" s="73" t="s">
        <v>9578</v>
      </c>
      <c r="AE974" s="74" t="s">
        <v>9579</v>
      </c>
    </row>
    <row r="975" spans="1:31" ht="8.65" customHeight="1" x14ac:dyDescent="0.2">
      <c r="A975" s="76">
        <v>975</v>
      </c>
      <c r="B975" s="67" t="str">
        <f>MID(C975, FIND("Ifc.", C975) + 4, 4) &amp; "_" &amp; TEXT(COUNTIF($C$2:C975, C975),"0000")</f>
        <v>Prop_0974</v>
      </c>
      <c r="C975" s="24" t="s">
        <v>872</v>
      </c>
      <c r="D975" s="69" t="s">
        <v>9453</v>
      </c>
      <c r="E975" s="70" t="s">
        <v>9454</v>
      </c>
      <c r="F975" s="17" t="s">
        <v>806</v>
      </c>
      <c r="G975" s="22" t="s">
        <v>966</v>
      </c>
      <c r="H975" s="12" t="s">
        <v>9703</v>
      </c>
      <c r="I975" s="13" t="s">
        <v>7284</v>
      </c>
      <c r="J975" s="14" t="s">
        <v>798</v>
      </c>
      <c r="K975" s="15" t="s">
        <v>798</v>
      </c>
      <c r="L975" s="12" t="s">
        <v>5315</v>
      </c>
      <c r="M975" s="13" t="s">
        <v>5985</v>
      </c>
      <c r="N975" s="12" t="s">
        <v>803</v>
      </c>
      <c r="O975" s="13" t="s">
        <v>4823</v>
      </c>
      <c r="P975" s="17" t="s">
        <v>802</v>
      </c>
      <c r="Q975" s="21" t="s">
        <v>7974</v>
      </c>
      <c r="R975" s="17" t="s">
        <v>801</v>
      </c>
      <c r="S975" s="18" t="s">
        <v>2606</v>
      </c>
      <c r="T975" s="17" t="s">
        <v>800</v>
      </c>
      <c r="U975" s="18" t="s">
        <v>5249</v>
      </c>
      <c r="V975" s="17" t="s">
        <v>9418</v>
      </c>
      <c r="W975" s="18" t="s">
        <v>5311</v>
      </c>
      <c r="X975" s="69" t="s">
        <v>9453</v>
      </c>
      <c r="Y975" s="70" t="s">
        <v>9466</v>
      </c>
      <c r="Z975" s="73" t="s">
        <v>9486</v>
      </c>
      <c r="AA975" s="74" t="s">
        <v>9504</v>
      </c>
      <c r="AB975" s="73" t="s">
        <v>9486</v>
      </c>
      <c r="AC975" s="74" t="s">
        <v>9566</v>
      </c>
      <c r="AD975" s="73" t="s">
        <v>9578</v>
      </c>
      <c r="AE975" s="74" t="s">
        <v>9579</v>
      </c>
    </row>
    <row r="976" spans="1:31" ht="8.65" customHeight="1" x14ac:dyDescent="0.2">
      <c r="A976" s="76">
        <v>976</v>
      </c>
      <c r="B976" s="67" t="str">
        <f>MID(C976, FIND("Ifc.", C976) + 4, 4) &amp; "_" &amp; TEXT(COUNTIF($C$2:C976, C976),"0000")</f>
        <v>Prop_0975</v>
      </c>
      <c r="C976" s="24" t="s">
        <v>872</v>
      </c>
      <c r="D976" s="69" t="s">
        <v>9453</v>
      </c>
      <c r="E976" s="70" t="s">
        <v>9454</v>
      </c>
      <c r="F976" s="17" t="s">
        <v>806</v>
      </c>
      <c r="G976" s="22" t="s">
        <v>2306</v>
      </c>
      <c r="H976" s="12" t="s">
        <v>9703</v>
      </c>
      <c r="I976" s="13" t="s">
        <v>7215</v>
      </c>
      <c r="J976" s="14" t="s">
        <v>798</v>
      </c>
      <c r="K976" s="15" t="s">
        <v>798</v>
      </c>
      <c r="L976" s="12" t="s">
        <v>5315</v>
      </c>
      <c r="M976" s="13" t="s">
        <v>5859</v>
      </c>
      <c r="N976" s="12" t="s">
        <v>803</v>
      </c>
      <c r="O976" s="13" t="s">
        <v>5165</v>
      </c>
      <c r="P976" s="17" t="s">
        <v>802</v>
      </c>
      <c r="Q976" s="21" t="s">
        <v>7783</v>
      </c>
      <c r="R976" s="17" t="s">
        <v>801</v>
      </c>
      <c r="S976" s="18" t="s">
        <v>2606</v>
      </c>
      <c r="T976" s="17" t="s">
        <v>800</v>
      </c>
      <c r="U976" s="18" t="s">
        <v>5249</v>
      </c>
      <c r="V976" s="17" t="s">
        <v>9418</v>
      </c>
      <c r="W976" s="18" t="s">
        <v>5312</v>
      </c>
      <c r="X976" s="69" t="s">
        <v>9453</v>
      </c>
      <c r="Y976" s="70" t="s">
        <v>9465</v>
      </c>
      <c r="Z976" s="73" t="s">
        <v>9486</v>
      </c>
      <c r="AA976" s="74" t="s">
        <v>9504</v>
      </c>
      <c r="AB976" s="73" t="s">
        <v>9486</v>
      </c>
      <c r="AC976" s="74" t="s">
        <v>9566</v>
      </c>
      <c r="AD976" s="73" t="s">
        <v>9578</v>
      </c>
      <c r="AE976" s="74" t="s">
        <v>9579</v>
      </c>
    </row>
    <row r="977" spans="1:31" ht="8.65" customHeight="1" x14ac:dyDescent="0.2">
      <c r="A977" s="76">
        <v>977</v>
      </c>
      <c r="B977" s="67" t="str">
        <f>MID(C977, FIND("Ifc.", C977) + 4, 4) &amp; "_" &amp; TEXT(COUNTIF($C$2:C977, C977),"0000")</f>
        <v>Prop_0976</v>
      </c>
      <c r="C977" s="24" t="s">
        <v>872</v>
      </c>
      <c r="D977" s="69" t="s">
        <v>9453</v>
      </c>
      <c r="E977" s="70" t="s">
        <v>9454</v>
      </c>
      <c r="F977" s="17" t="s">
        <v>806</v>
      </c>
      <c r="G977" s="22" t="s">
        <v>1011</v>
      </c>
      <c r="H977" s="12" t="s">
        <v>9703</v>
      </c>
      <c r="I977" s="13" t="s">
        <v>6853</v>
      </c>
      <c r="J977" s="14" t="s">
        <v>798</v>
      </c>
      <c r="K977" s="15" t="s">
        <v>798</v>
      </c>
      <c r="L977" s="12" t="s">
        <v>5315</v>
      </c>
      <c r="M977" s="13" t="s">
        <v>5376</v>
      </c>
      <c r="N977" s="12" t="s">
        <v>803</v>
      </c>
      <c r="O977" s="13" t="s">
        <v>4833</v>
      </c>
      <c r="P977" s="17" t="s">
        <v>802</v>
      </c>
      <c r="Q977" s="21" t="s">
        <v>7961</v>
      </c>
      <c r="R977" s="17" t="s">
        <v>801</v>
      </c>
      <c r="S977" s="18" t="s">
        <v>2606</v>
      </c>
      <c r="T977" s="17" t="s">
        <v>800</v>
      </c>
      <c r="U977" s="18" t="s">
        <v>5249</v>
      </c>
      <c r="V977" s="17" t="s">
        <v>9418</v>
      </c>
      <c r="W977" s="18" t="s">
        <v>5313</v>
      </c>
      <c r="X977" s="69" t="s">
        <v>9453</v>
      </c>
      <c r="Y977" s="70" t="s">
        <v>9467</v>
      </c>
      <c r="Z977" s="73" t="s">
        <v>9486</v>
      </c>
      <c r="AA977" s="74" t="s">
        <v>9504</v>
      </c>
      <c r="AB977" s="73" t="s">
        <v>9486</v>
      </c>
      <c r="AC977" s="74" t="s">
        <v>9566</v>
      </c>
      <c r="AD977" s="73" t="s">
        <v>9578</v>
      </c>
      <c r="AE977" s="74" t="s">
        <v>9579</v>
      </c>
    </row>
    <row r="978" spans="1:31" ht="8.65" customHeight="1" x14ac:dyDescent="0.2">
      <c r="A978" s="76">
        <v>978</v>
      </c>
      <c r="B978" s="67" t="str">
        <f>MID(C978, FIND("Ifc.", C978) + 4, 4) &amp; "_" &amp; TEXT(COUNTIF($C$2:C978, C978),"0000")</f>
        <v>Prop_0977</v>
      </c>
      <c r="C978" s="24" t="s">
        <v>872</v>
      </c>
      <c r="D978" s="69" t="s">
        <v>9453</v>
      </c>
      <c r="E978" s="70" t="s">
        <v>9454</v>
      </c>
      <c r="F978" s="17" t="s">
        <v>806</v>
      </c>
      <c r="G978" s="22" t="s">
        <v>1258</v>
      </c>
      <c r="H978" s="12" t="s">
        <v>9703</v>
      </c>
      <c r="I978" s="13" t="s">
        <v>6233</v>
      </c>
      <c r="J978" s="14" t="s">
        <v>798</v>
      </c>
      <c r="K978" s="15" t="s">
        <v>798</v>
      </c>
      <c r="L978" s="12" t="s">
        <v>5315</v>
      </c>
      <c r="M978" s="13" t="s">
        <v>5403</v>
      </c>
      <c r="N978" s="12" t="s">
        <v>803</v>
      </c>
      <c r="O978" s="13" t="s">
        <v>4891</v>
      </c>
      <c r="P978" s="17" t="s">
        <v>802</v>
      </c>
      <c r="Q978" s="21" t="s">
        <v>7789</v>
      </c>
      <c r="R978" s="17" t="s">
        <v>801</v>
      </c>
      <c r="S978" s="18" t="s">
        <v>2606</v>
      </c>
      <c r="T978" s="17" t="s">
        <v>800</v>
      </c>
      <c r="U978" s="18" t="s">
        <v>5249</v>
      </c>
      <c r="V978" s="17" t="s">
        <v>9418</v>
      </c>
      <c r="W978" s="18" t="s">
        <v>5309</v>
      </c>
      <c r="X978" s="69" t="s">
        <v>9453</v>
      </c>
      <c r="Y978" s="70" t="s">
        <v>9462</v>
      </c>
      <c r="Z978" s="73" t="s">
        <v>9486</v>
      </c>
      <c r="AA978" s="74" t="s">
        <v>9504</v>
      </c>
      <c r="AB978" s="73" t="s">
        <v>9486</v>
      </c>
      <c r="AC978" s="74" t="s">
        <v>9566</v>
      </c>
      <c r="AD978" s="73" t="s">
        <v>9578</v>
      </c>
      <c r="AE978" s="74" t="s">
        <v>9579</v>
      </c>
    </row>
    <row r="979" spans="1:31" ht="8.65" customHeight="1" x14ac:dyDescent="0.2">
      <c r="A979" s="76">
        <v>979</v>
      </c>
      <c r="B979" s="67" t="str">
        <f>MID(C979, FIND("Ifc.", C979) + 4, 4) &amp; "_" &amp; TEXT(COUNTIF($C$2:C979, C979),"0000")</f>
        <v>Prop_0978</v>
      </c>
      <c r="C979" s="24" t="s">
        <v>872</v>
      </c>
      <c r="D979" s="69" t="s">
        <v>9453</v>
      </c>
      <c r="E979" s="70" t="s">
        <v>9454</v>
      </c>
      <c r="F979" s="17" t="s">
        <v>806</v>
      </c>
      <c r="G979" s="22" t="s">
        <v>2434</v>
      </c>
      <c r="H979" s="12" t="s">
        <v>9703</v>
      </c>
      <c r="I979" s="13" t="s">
        <v>6788</v>
      </c>
      <c r="J979" s="14" t="s">
        <v>798</v>
      </c>
      <c r="K979" s="15" t="s">
        <v>798</v>
      </c>
      <c r="L979" s="12" t="s">
        <v>5315</v>
      </c>
      <c r="M979" s="13" t="s">
        <v>5570</v>
      </c>
      <c r="N979" s="12" t="s">
        <v>803</v>
      </c>
      <c r="O979" s="13" t="s">
        <v>5203</v>
      </c>
      <c r="P979" s="17" t="s">
        <v>802</v>
      </c>
      <c r="Q979" s="21" t="s">
        <v>7900</v>
      </c>
      <c r="R979" s="17" t="s">
        <v>801</v>
      </c>
      <c r="S979" s="18" t="s">
        <v>2606</v>
      </c>
      <c r="T979" s="17" t="s">
        <v>800</v>
      </c>
      <c r="U979" s="18" t="s">
        <v>5249</v>
      </c>
      <c r="V979" s="17" t="s">
        <v>9418</v>
      </c>
      <c r="W979" s="18" t="s">
        <v>5309</v>
      </c>
      <c r="X979" s="69" t="s">
        <v>9453</v>
      </c>
      <c r="Y979" s="70" t="s">
        <v>9462</v>
      </c>
      <c r="Z979" s="73" t="s">
        <v>9486</v>
      </c>
      <c r="AA979" s="74" t="s">
        <v>9504</v>
      </c>
      <c r="AB979" s="73" t="s">
        <v>9486</v>
      </c>
      <c r="AC979" s="74" t="s">
        <v>9566</v>
      </c>
      <c r="AD979" s="73" t="s">
        <v>9578</v>
      </c>
      <c r="AE979" s="74" t="s">
        <v>9579</v>
      </c>
    </row>
    <row r="980" spans="1:31" ht="8.65" customHeight="1" x14ac:dyDescent="0.2">
      <c r="A980" s="76">
        <v>980</v>
      </c>
      <c r="B980" s="67" t="str">
        <f>MID(C980, FIND("Ifc.", C980) + 4, 4) &amp; "_" &amp; TEXT(COUNTIF($C$2:C980, C980),"0000")</f>
        <v>Prop_0979</v>
      </c>
      <c r="C980" s="24" t="s">
        <v>872</v>
      </c>
      <c r="D980" s="69" t="s">
        <v>9453</v>
      </c>
      <c r="E980" s="70" t="s">
        <v>9454</v>
      </c>
      <c r="F980" s="17" t="s">
        <v>806</v>
      </c>
      <c r="G980" s="22" t="s">
        <v>1972</v>
      </c>
      <c r="H980" s="12" t="s">
        <v>9703</v>
      </c>
      <c r="I980" s="13" t="s">
        <v>6600</v>
      </c>
      <c r="J980" s="14" t="s">
        <v>798</v>
      </c>
      <c r="K980" s="15" t="s">
        <v>798</v>
      </c>
      <c r="L980" s="12" t="s">
        <v>5315</v>
      </c>
      <c r="M980" s="13" t="s">
        <v>5854</v>
      </c>
      <c r="N980" s="12" t="s">
        <v>803</v>
      </c>
      <c r="O980" s="13" t="s">
        <v>5072</v>
      </c>
      <c r="P980" s="17" t="s">
        <v>802</v>
      </c>
      <c r="Q980" s="21" t="s">
        <v>7847</v>
      </c>
      <c r="R980" s="17" t="s">
        <v>801</v>
      </c>
      <c r="S980" s="18" t="s">
        <v>2632</v>
      </c>
      <c r="T980" s="17" t="s">
        <v>800</v>
      </c>
      <c r="U980" s="18" t="s">
        <v>5270</v>
      </c>
      <c r="V980" s="17" t="s">
        <v>9418</v>
      </c>
      <c r="W980" s="18" t="s">
        <v>5309</v>
      </c>
      <c r="X980" s="69" t="s">
        <v>9453</v>
      </c>
      <c r="Y980" s="70" t="s">
        <v>9462</v>
      </c>
      <c r="Z980" s="73" t="s">
        <v>9486</v>
      </c>
      <c r="AA980" s="74" t="s">
        <v>9504</v>
      </c>
      <c r="AB980" s="73" t="s">
        <v>9486</v>
      </c>
      <c r="AC980" s="74" t="s">
        <v>9561</v>
      </c>
      <c r="AD980" s="73" t="s">
        <v>9578</v>
      </c>
      <c r="AE980" s="74" t="s">
        <v>9579</v>
      </c>
    </row>
    <row r="981" spans="1:31" ht="8.65" customHeight="1" x14ac:dyDescent="0.2">
      <c r="A981" s="76">
        <v>981</v>
      </c>
      <c r="B981" s="67" t="str">
        <f>MID(C981, FIND("Ifc.", C981) + 4, 4) &amp; "_" &amp; TEXT(COUNTIF($C$2:C981, C981),"0000")</f>
        <v>Prop_0980</v>
      </c>
      <c r="C981" s="24" t="s">
        <v>872</v>
      </c>
      <c r="D981" s="69" t="s">
        <v>9453</v>
      </c>
      <c r="E981" s="70" t="s">
        <v>9454</v>
      </c>
      <c r="F981" s="17" t="s">
        <v>806</v>
      </c>
      <c r="G981" s="22" t="s">
        <v>2435</v>
      </c>
      <c r="H981" s="12" t="s">
        <v>9703</v>
      </c>
      <c r="I981" s="13" t="s">
        <v>6789</v>
      </c>
      <c r="J981" s="14" t="s">
        <v>798</v>
      </c>
      <c r="K981" s="15" t="s">
        <v>798</v>
      </c>
      <c r="L981" s="12" t="s">
        <v>5315</v>
      </c>
      <c r="M981" s="13" t="s">
        <v>5570</v>
      </c>
      <c r="N981" s="12" t="s">
        <v>803</v>
      </c>
      <c r="O981" s="13" t="s">
        <v>5203</v>
      </c>
      <c r="P981" s="17" t="s">
        <v>802</v>
      </c>
      <c r="Q981" s="21" t="s">
        <v>7900</v>
      </c>
      <c r="R981" s="17" t="s">
        <v>801</v>
      </c>
      <c r="S981" s="18" t="s">
        <v>2606</v>
      </c>
      <c r="T981" s="17" t="s">
        <v>800</v>
      </c>
      <c r="U981" s="18" t="s">
        <v>5249</v>
      </c>
      <c r="V981" s="17" t="s">
        <v>9418</v>
      </c>
      <c r="W981" s="18" t="s">
        <v>5309</v>
      </c>
      <c r="X981" s="69" t="s">
        <v>9453</v>
      </c>
      <c r="Y981" s="70" t="s">
        <v>9462</v>
      </c>
      <c r="Z981" s="73" t="s">
        <v>9486</v>
      </c>
      <c r="AA981" s="74" t="s">
        <v>9504</v>
      </c>
      <c r="AB981" s="73" t="s">
        <v>9486</v>
      </c>
      <c r="AC981" s="74" t="s">
        <v>9566</v>
      </c>
      <c r="AD981" s="73" t="s">
        <v>9578</v>
      </c>
      <c r="AE981" s="74" t="s">
        <v>9579</v>
      </c>
    </row>
    <row r="982" spans="1:31" ht="8.65" customHeight="1" x14ac:dyDescent="0.2">
      <c r="A982" s="76">
        <v>982</v>
      </c>
      <c r="B982" s="67" t="str">
        <f>MID(C982, FIND("Ifc.", C982) + 4, 4) &amp; "_" &amp; TEXT(COUNTIF($C$2:C982, C982),"0000")</f>
        <v>Prop_0981</v>
      </c>
      <c r="C982" s="24" t="s">
        <v>872</v>
      </c>
      <c r="D982" s="69" t="s">
        <v>9453</v>
      </c>
      <c r="E982" s="70" t="s">
        <v>9454</v>
      </c>
      <c r="F982" s="17" t="s">
        <v>806</v>
      </c>
      <c r="G982" s="22" t="s">
        <v>1932</v>
      </c>
      <c r="H982" s="12" t="s">
        <v>9703</v>
      </c>
      <c r="I982" s="13" t="s">
        <v>7544</v>
      </c>
      <c r="J982" s="14" t="s">
        <v>798</v>
      </c>
      <c r="K982" s="15" t="s">
        <v>798</v>
      </c>
      <c r="L982" s="12" t="s">
        <v>5315</v>
      </c>
      <c r="M982" s="13" t="s">
        <v>5965</v>
      </c>
      <c r="N982" s="12" t="s">
        <v>803</v>
      </c>
      <c r="O982" s="13" t="s">
        <v>5061</v>
      </c>
      <c r="P982" s="17" t="s">
        <v>802</v>
      </c>
      <c r="Q982" s="21" t="s">
        <v>7770</v>
      </c>
      <c r="R982" s="17" t="s">
        <v>801</v>
      </c>
      <c r="S982" s="18" t="s">
        <v>2560</v>
      </c>
      <c r="T982" s="17" t="s">
        <v>800</v>
      </c>
      <c r="U982" s="18" t="s">
        <v>5236</v>
      </c>
      <c r="V982" s="17" t="s">
        <v>9418</v>
      </c>
      <c r="W982" s="18" t="s">
        <v>5309</v>
      </c>
      <c r="X982" s="69" t="s">
        <v>9453</v>
      </c>
      <c r="Y982" s="70" t="s">
        <v>9462</v>
      </c>
      <c r="Z982" s="73" t="s">
        <v>9486</v>
      </c>
      <c r="AA982" s="74" t="s">
        <v>9504</v>
      </c>
      <c r="AB982" s="73" t="s">
        <v>9486</v>
      </c>
      <c r="AC982" s="74" t="s">
        <v>9562</v>
      </c>
      <c r="AD982" s="73" t="s">
        <v>9578</v>
      </c>
      <c r="AE982" s="74" t="s">
        <v>9618</v>
      </c>
    </row>
    <row r="983" spans="1:31" ht="8.65" customHeight="1" x14ac:dyDescent="0.2">
      <c r="A983" s="76">
        <v>983</v>
      </c>
      <c r="B983" s="67" t="str">
        <f>MID(C983, FIND("Ifc.", C983) + 4, 4) &amp; "_" &amp; TEXT(COUNTIF($C$2:C983, C983),"0000")</f>
        <v>Prop_0982</v>
      </c>
      <c r="C983" s="24" t="s">
        <v>872</v>
      </c>
      <c r="D983" s="69" t="s">
        <v>9453</v>
      </c>
      <c r="E983" s="70" t="s">
        <v>9454</v>
      </c>
      <c r="F983" s="17" t="s">
        <v>806</v>
      </c>
      <c r="G983" s="22" t="s">
        <v>2225</v>
      </c>
      <c r="H983" s="12" t="s">
        <v>9703</v>
      </c>
      <c r="I983" s="13" t="s">
        <v>6685</v>
      </c>
      <c r="J983" s="14" t="s">
        <v>798</v>
      </c>
      <c r="K983" s="15" t="s">
        <v>798</v>
      </c>
      <c r="L983" s="12" t="s">
        <v>5315</v>
      </c>
      <c r="M983" s="13" t="s">
        <v>5514</v>
      </c>
      <c r="N983" s="12" t="s">
        <v>803</v>
      </c>
      <c r="O983" s="13" t="s">
        <v>5128</v>
      </c>
      <c r="P983" s="17" t="s">
        <v>802</v>
      </c>
      <c r="Q983" s="21" t="s">
        <v>7773</v>
      </c>
      <c r="R983" s="17" t="s">
        <v>801</v>
      </c>
      <c r="S983" s="18" t="s">
        <v>2560</v>
      </c>
      <c r="T983" s="17" t="s">
        <v>800</v>
      </c>
      <c r="U983" s="18" t="s">
        <v>5236</v>
      </c>
      <c r="V983" s="17" t="s">
        <v>9418</v>
      </c>
      <c r="W983" s="18" t="s">
        <v>5309</v>
      </c>
      <c r="X983" s="69" t="s">
        <v>9453</v>
      </c>
      <c r="Y983" s="70" t="s">
        <v>9462</v>
      </c>
      <c r="Z983" s="73" t="s">
        <v>9486</v>
      </c>
      <c r="AA983" s="74" t="s">
        <v>9504</v>
      </c>
      <c r="AB983" s="73" t="s">
        <v>9486</v>
      </c>
      <c r="AC983" s="74" t="s">
        <v>9562</v>
      </c>
      <c r="AD983" s="73" t="s">
        <v>9578</v>
      </c>
      <c r="AE983" s="74" t="s">
        <v>9579</v>
      </c>
    </row>
    <row r="984" spans="1:31" ht="8.65" customHeight="1" x14ac:dyDescent="0.2">
      <c r="A984" s="76">
        <v>984</v>
      </c>
      <c r="B984" s="67" t="str">
        <f>MID(C984, FIND("Ifc.", C984) + 4, 4) &amp; "_" &amp; TEXT(COUNTIF($C$2:C984, C984),"0000")</f>
        <v>Prop_0983</v>
      </c>
      <c r="C984" s="24" t="s">
        <v>872</v>
      </c>
      <c r="D984" s="69" t="s">
        <v>9453</v>
      </c>
      <c r="E984" s="70" t="s">
        <v>9454</v>
      </c>
      <c r="F984" s="17" t="s">
        <v>806</v>
      </c>
      <c r="G984" s="22" t="s">
        <v>2225</v>
      </c>
      <c r="H984" s="12" t="s">
        <v>9703</v>
      </c>
      <c r="I984" s="13" t="s">
        <v>6685</v>
      </c>
      <c r="J984" s="14" t="s">
        <v>798</v>
      </c>
      <c r="K984" s="15" t="s">
        <v>798</v>
      </c>
      <c r="L984" s="12" t="s">
        <v>5315</v>
      </c>
      <c r="M984" s="13" t="s">
        <v>5509</v>
      </c>
      <c r="N984" s="12" t="s">
        <v>803</v>
      </c>
      <c r="O984" s="13" t="s">
        <v>5122</v>
      </c>
      <c r="P984" s="17" t="s">
        <v>802</v>
      </c>
      <c r="Q984" s="21" t="s">
        <v>7780</v>
      </c>
      <c r="R984" s="17" t="s">
        <v>801</v>
      </c>
      <c r="S984" s="18" t="s">
        <v>2560</v>
      </c>
      <c r="T984" s="17" t="s">
        <v>800</v>
      </c>
      <c r="U984" s="18" t="s">
        <v>5236</v>
      </c>
      <c r="V984" s="17" t="s">
        <v>9418</v>
      </c>
      <c r="W984" s="18" t="s">
        <v>5309</v>
      </c>
      <c r="X984" s="69" t="s">
        <v>9453</v>
      </c>
      <c r="Y984" s="70" t="s">
        <v>9462</v>
      </c>
      <c r="Z984" s="73" t="s">
        <v>9486</v>
      </c>
      <c r="AA984" s="74" t="s">
        <v>9504</v>
      </c>
      <c r="AB984" s="73" t="s">
        <v>9486</v>
      </c>
      <c r="AC984" s="74" t="s">
        <v>9562</v>
      </c>
      <c r="AD984" s="73" t="s">
        <v>9578</v>
      </c>
      <c r="AE984" s="74" t="s">
        <v>9579</v>
      </c>
    </row>
    <row r="985" spans="1:31" ht="8.65" customHeight="1" x14ac:dyDescent="0.2">
      <c r="A985" s="76">
        <v>985</v>
      </c>
      <c r="B985" s="67" t="str">
        <f>MID(C985, FIND("Ifc.", C985) + 4, 4) &amp; "_" &amp; TEXT(COUNTIF($C$2:C985, C985),"0000")</f>
        <v>Prop_0984</v>
      </c>
      <c r="C985" s="24" t="s">
        <v>872</v>
      </c>
      <c r="D985" s="69" t="s">
        <v>9453</v>
      </c>
      <c r="E985" s="70" t="s">
        <v>9454</v>
      </c>
      <c r="F985" s="17" t="s">
        <v>806</v>
      </c>
      <c r="G985" s="22" t="s">
        <v>1935</v>
      </c>
      <c r="H985" s="12" t="s">
        <v>9703</v>
      </c>
      <c r="I985" s="13" t="s">
        <v>7543</v>
      </c>
      <c r="J985" s="14" t="s">
        <v>798</v>
      </c>
      <c r="K985" s="15" t="s">
        <v>798</v>
      </c>
      <c r="L985" s="12" t="s">
        <v>5315</v>
      </c>
      <c r="M985" s="13" t="s">
        <v>5965</v>
      </c>
      <c r="N985" s="12" t="s">
        <v>803</v>
      </c>
      <c r="O985" s="13" t="s">
        <v>5061</v>
      </c>
      <c r="P985" s="17" t="s">
        <v>802</v>
      </c>
      <c r="Q985" s="21" t="s">
        <v>7770</v>
      </c>
      <c r="R985" s="17" t="s">
        <v>801</v>
      </c>
      <c r="S985" s="18" t="s">
        <v>2560</v>
      </c>
      <c r="T985" s="17" t="s">
        <v>800</v>
      </c>
      <c r="U985" s="18" t="s">
        <v>5236</v>
      </c>
      <c r="V985" s="17" t="s">
        <v>9418</v>
      </c>
      <c r="W985" s="18" t="s">
        <v>5309</v>
      </c>
      <c r="X985" s="69" t="s">
        <v>9453</v>
      </c>
      <c r="Y985" s="70" t="s">
        <v>9462</v>
      </c>
      <c r="Z985" s="73" t="s">
        <v>9486</v>
      </c>
      <c r="AA985" s="74" t="s">
        <v>9504</v>
      </c>
      <c r="AB985" s="73" t="s">
        <v>9486</v>
      </c>
      <c r="AC985" s="74" t="s">
        <v>9562</v>
      </c>
      <c r="AD985" s="73" t="s">
        <v>9578</v>
      </c>
      <c r="AE985" s="74" t="s">
        <v>9618</v>
      </c>
    </row>
    <row r="986" spans="1:31" ht="8.65" customHeight="1" x14ac:dyDescent="0.2">
      <c r="A986" s="76">
        <v>986</v>
      </c>
      <c r="B986" s="67" t="str">
        <f>MID(C986, FIND("Ifc.", C986) + 4, 4) &amp; "_" &amp; TEXT(COUNTIF($C$2:C986, C986),"0000")</f>
        <v>Prop_0985</v>
      </c>
      <c r="C986" s="24" t="s">
        <v>872</v>
      </c>
      <c r="D986" s="69" t="s">
        <v>9453</v>
      </c>
      <c r="E986" s="70" t="s">
        <v>9454</v>
      </c>
      <c r="F986" s="17" t="s">
        <v>806</v>
      </c>
      <c r="G986" s="22" t="s">
        <v>1931</v>
      </c>
      <c r="H986" s="12" t="s">
        <v>9703</v>
      </c>
      <c r="I986" s="13" t="s">
        <v>7396</v>
      </c>
      <c r="J986" s="14" t="s">
        <v>798</v>
      </c>
      <c r="K986" s="15" t="s">
        <v>798</v>
      </c>
      <c r="L986" s="12" t="s">
        <v>5315</v>
      </c>
      <c r="M986" s="13" t="s">
        <v>5965</v>
      </c>
      <c r="N986" s="12" t="s">
        <v>803</v>
      </c>
      <c r="O986" s="13" t="s">
        <v>5061</v>
      </c>
      <c r="P986" s="17" t="s">
        <v>802</v>
      </c>
      <c r="Q986" s="21" t="s">
        <v>7770</v>
      </c>
      <c r="R986" s="17" t="s">
        <v>801</v>
      </c>
      <c r="S986" s="18" t="s">
        <v>2560</v>
      </c>
      <c r="T986" s="17" t="s">
        <v>800</v>
      </c>
      <c r="U986" s="18" t="s">
        <v>5236</v>
      </c>
      <c r="V986" s="17" t="s">
        <v>9418</v>
      </c>
      <c r="W986" s="18" t="s">
        <v>5309</v>
      </c>
      <c r="X986" s="69" t="s">
        <v>9453</v>
      </c>
      <c r="Y986" s="70" t="s">
        <v>9462</v>
      </c>
      <c r="Z986" s="73" t="s">
        <v>9486</v>
      </c>
      <c r="AA986" s="74" t="s">
        <v>9504</v>
      </c>
      <c r="AB986" s="73" t="s">
        <v>9486</v>
      </c>
      <c r="AC986" s="74" t="s">
        <v>9562</v>
      </c>
      <c r="AD986" s="73" t="s">
        <v>9578</v>
      </c>
      <c r="AE986" s="74" t="s">
        <v>9579</v>
      </c>
    </row>
    <row r="987" spans="1:31" ht="8.65" customHeight="1" x14ac:dyDescent="0.2">
      <c r="A987" s="76">
        <v>987</v>
      </c>
      <c r="B987" s="67" t="str">
        <f>MID(C987, FIND("Ifc.", C987) + 4, 4) &amp; "_" &amp; TEXT(COUNTIF($C$2:C987, C987),"0000")</f>
        <v>Prop_0986</v>
      </c>
      <c r="C987" s="24" t="s">
        <v>872</v>
      </c>
      <c r="D987" s="69" t="s">
        <v>9453</v>
      </c>
      <c r="E987" s="70" t="s">
        <v>9454</v>
      </c>
      <c r="F987" s="17" t="s">
        <v>806</v>
      </c>
      <c r="G987" s="22" t="s">
        <v>1826</v>
      </c>
      <c r="H987" s="12" t="s">
        <v>9703</v>
      </c>
      <c r="I987" s="13" t="s">
        <v>6510</v>
      </c>
      <c r="J987" s="14" t="s">
        <v>798</v>
      </c>
      <c r="K987" s="15" t="s">
        <v>798</v>
      </c>
      <c r="L987" s="12" t="s">
        <v>5315</v>
      </c>
      <c r="M987" s="13" t="s">
        <v>6011</v>
      </c>
      <c r="N987" s="12" t="s">
        <v>803</v>
      </c>
      <c r="O987" s="13" t="s">
        <v>5027</v>
      </c>
      <c r="P987" s="17" t="s">
        <v>802</v>
      </c>
      <c r="Q987" s="21" t="s">
        <v>7705</v>
      </c>
      <c r="R987" s="17" t="s">
        <v>801</v>
      </c>
      <c r="S987" s="18" t="s">
        <v>2554</v>
      </c>
      <c r="T987" s="17" t="s">
        <v>800</v>
      </c>
      <c r="U987" s="18" t="s">
        <v>5233</v>
      </c>
      <c r="V987" s="17" t="s">
        <v>9418</v>
      </c>
      <c r="W987" s="18" t="s">
        <v>5310</v>
      </c>
      <c r="X987" s="69" t="s">
        <v>9453</v>
      </c>
      <c r="Y987" s="70" t="s">
        <v>9463</v>
      </c>
      <c r="Z987" s="73" t="s">
        <v>9486</v>
      </c>
      <c r="AA987" s="74" t="s">
        <v>9504</v>
      </c>
      <c r="AB987" s="73" t="s">
        <v>9486</v>
      </c>
      <c r="AC987" s="74" t="s">
        <v>9562</v>
      </c>
      <c r="AD987" s="73" t="s">
        <v>9578</v>
      </c>
      <c r="AE987" s="74" t="s">
        <v>9579</v>
      </c>
    </row>
    <row r="988" spans="1:31" ht="8.65" customHeight="1" x14ac:dyDescent="0.2">
      <c r="A988" s="76">
        <v>988</v>
      </c>
      <c r="B988" s="67" t="str">
        <f>MID(C988, FIND("Ifc.", C988) + 4, 4) &amp; "_" &amp; TEXT(COUNTIF($C$2:C988, C988),"0000")</f>
        <v>Prop_0987</v>
      </c>
      <c r="C988" s="24" t="s">
        <v>872</v>
      </c>
      <c r="D988" s="69" t="s">
        <v>9453</v>
      </c>
      <c r="E988" s="70" t="s">
        <v>9454</v>
      </c>
      <c r="F988" s="17" t="s">
        <v>806</v>
      </c>
      <c r="G988" s="22" t="s">
        <v>1247</v>
      </c>
      <c r="H988" s="12" t="s">
        <v>9703</v>
      </c>
      <c r="I988" s="13" t="s">
        <v>6870</v>
      </c>
      <c r="J988" s="14" t="s">
        <v>798</v>
      </c>
      <c r="K988" s="15" t="s">
        <v>798</v>
      </c>
      <c r="L988" s="12" t="s">
        <v>5315</v>
      </c>
      <c r="M988" s="13" t="s">
        <v>5403</v>
      </c>
      <c r="N988" s="12" t="s">
        <v>803</v>
      </c>
      <c r="O988" s="13" t="s">
        <v>4891</v>
      </c>
      <c r="P988" s="17" t="s">
        <v>802</v>
      </c>
      <c r="Q988" s="21" t="s">
        <v>7789</v>
      </c>
      <c r="R988" s="17" t="s">
        <v>801</v>
      </c>
      <c r="S988" s="18" t="s">
        <v>2554</v>
      </c>
      <c r="T988" s="17" t="s">
        <v>800</v>
      </c>
      <c r="U988" s="18" t="s">
        <v>5233</v>
      </c>
      <c r="V988" s="17" t="s">
        <v>9418</v>
      </c>
      <c r="W988" s="18" t="s">
        <v>5310</v>
      </c>
      <c r="X988" s="69" t="s">
        <v>9453</v>
      </c>
      <c r="Y988" s="70" t="s">
        <v>9463</v>
      </c>
      <c r="Z988" s="73" t="s">
        <v>9486</v>
      </c>
      <c r="AA988" s="74" t="s">
        <v>9504</v>
      </c>
      <c r="AB988" s="73" t="s">
        <v>9486</v>
      </c>
      <c r="AC988" s="74" t="s">
        <v>9562</v>
      </c>
      <c r="AD988" s="73" t="s">
        <v>9578</v>
      </c>
      <c r="AE988" s="74" t="s">
        <v>9579</v>
      </c>
    </row>
    <row r="989" spans="1:31" ht="8.65" customHeight="1" x14ac:dyDescent="0.2">
      <c r="A989" s="76">
        <v>989</v>
      </c>
      <c r="B989" s="67" t="str">
        <f>MID(C989, FIND("Ifc.", C989) + 4, 4) &amp; "_" &amp; TEXT(COUNTIF($C$2:C989, C989),"0000")</f>
        <v>Prop_0988</v>
      </c>
      <c r="C989" s="24" t="s">
        <v>872</v>
      </c>
      <c r="D989" s="69" t="s">
        <v>9453</v>
      </c>
      <c r="E989" s="70" t="s">
        <v>9454</v>
      </c>
      <c r="F989" s="17" t="s">
        <v>806</v>
      </c>
      <c r="G989" s="22" t="s">
        <v>1318</v>
      </c>
      <c r="H989" s="12" t="s">
        <v>9703</v>
      </c>
      <c r="I989" s="13" t="s">
        <v>7395</v>
      </c>
      <c r="J989" s="14" t="s">
        <v>798</v>
      </c>
      <c r="K989" s="15" t="s">
        <v>798</v>
      </c>
      <c r="L989" s="12" t="s">
        <v>5315</v>
      </c>
      <c r="M989" s="13" t="s">
        <v>5410</v>
      </c>
      <c r="N989" s="12" t="s">
        <v>803</v>
      </c>
      <c r="O989" s="13" t="s">
        <v>4908</v>
      </c>
      <c r="P989" s="17" t="s">
        <v>802</v>
      </c>
      <c r="Q989" s="21" t="s">
        <v>7823</v>
      </c>
      <c r="R989" s="17" t="s">
        <v>801</v>
      </c>
      <c r="S989" s="18" t="s">
        <v>2554</v>
      </c>
      <c r="T989" s="17" t="s">
        <v>800</v>
      </c>
      <c r="U989" s="18" t="s">
        <v>5233</v>
      </c>
      <c r="V989" s="17" t="s">
        <v>9418</v>
      </c>
      <c r="W989" s="18" t="s">
        <v>5310</v>
      </c>
      <c r="X989" s="69" t="s">
        <v>9453</v>
      </c>
      <c r="Y989" s="70" t="s">
        <v>9463</v>
      </c>
      <c r="Z989" s="73" t="s">
        <v>9486</v>
      </c>
      <c r="AA989" s="74" t="s">
        <v>9504</v>
      </c>
      <c r="AB989" s="73" t="s">
        <v>9486</v>
      </c>
      <c r="AC989" s="74" t="s">
        <v>9562</v>
      </c>
      <c r="AD989" s="73" t="s">
        <v>9578</v>
      </c>
      <c r="AE989" s="74" t="s">
        <v>9579</v>
      </c>
    </row>
    <row r="990" spans="1:31" ht="8.65" customHeight="1" x14ac:dyDescent="0.2">
      <c r="A990" s="76">
        <v>990</v>
      </c>
      <c r="B990" s="67" t="str">
        <f>MID(C990, FIND("Ifc.", C990) + 4, 4) &amp; "_" &amp; TEXT(COUNTIF($C$2:C990, C990),"0000")</f>
        <v>Prop_0989</v>
      </c>
      <c r="C990" s="24" t="s">
        <v>872</v>
      </c>
      <c r="D990" s="69" t="s">
        <v>9453</v>
      </c>
      <c r="E990" s="70" t="s">
        <v>9454</v>
      </c>
      <c r="F990" s="17" t="s">
        <v>806</v>
      </c>
      <c r="G990" s="22" t="s">
        <v>1318</v>
      </c>
      <c r="H990" s="12" t="s">
        <v>9703</v>
      </c>
      <c r="I990" s="13" t="s">
        <v>7395</v>
      </c>
      <c r="J990" s="14" t="s">
        <v>798</v>
      </c>
      <c r="K990" s="15" t="s">
        <v>798</v>
      </c>
      <c r="L990" s="12" t="s">
        <v>5315</v>
      </c>
      <c r="M990" s="13" t="s">
        <v>5488</v>
      </c>
      <c r="N990" s="12" t="s">
        <v>803</v>
      </c>
      <c r="O990" s="13" t="s">
        <v>5096</v>
      </c>
      <c r="P990" s="17" t="s">
        <v>802</v>
      </c>
      <c r="Q990" s="21" t="s">
        <v>7886</v>
      </c>
      <c r="R990" s="17" t="s">
        <v>801</v>
      </c>
      <c r="S990" s="18" t="s">
        <v>2554</v>
      </c>
      <c r="T990" s="17" t="s">
        <v>800</v>
      </c>
      <c r="U990" s="18" t="s">
        <v>5233</v>
      </c>
      <c r="V990" s="17" t="s">
        <v>9418</v>
      </c>
      <c r="W990" s="18" t="s">
        <v>5310</v>
      </c>
      <c r="X990" s="69" t="s">
        <v>9453</v>
      </c>
      <c r="Y990" s="70" t="s">
        <v>9463</v>
      </c>
      <c r="Z990" s="73" t="s">
        <v>9486</v>
      </c>
      <c r="AA990" s="74" t="s">
        <v>9504</v>
      </c>
      <c r="AB990" s="73" t="s">
        <v>9486</v>
      </c>
      <c r="AC990" s="74" t="s">
        <v>9562</v>
      </c>
      <c r="AD990" s="73" t="s">
        <v>9578</v>
      </c>
      <c r="AE990" s="74" t="s">
        <v>9579</v>
      </c>
    </row>
    <row r="991" spans="1:31" ht="8.65" customHeight="1" x14ac:dyDescent="0.2">
      <c r="A991" s="76">
        <v>991</v>
      </c>
      <c r="B991" s="67" t="str">
        <f>MID(C991, FIND("Ifc.", C991) + 4, 4) &amp; "_" &amp; TEXT(COUNTIF($C$2:C991, C991),"0000")</f>
        <v>Prop_0990</v>
      </c>
      <c r="C991" s="24" t="s">
        <v>872</v>
      </c>
      <c r="D991" s="69" t="s">
        <v>9453</v>
      </c>
      <c r="E991" s="70" t="s">
        <v>9454</v>
      </c>
      <c r="F991" s="17" t="s">
        <v>806</v>
      </c>
      <c r="G991" s="22" t="s">
        <v>1934</v>
      </c>
      <c r="H991" s="12" t="s">
        <v>9703</v>
      </c>
      <c r="I991" s="13" t="s">
        <v>6583</v>
      </c>
      <c r="J991" s="14" t="s">
        <v>798</v>
      </c>
      <c r="K991" s="15" t="s">
        <v>798</v>
      </c>
      <c r="L991" s="12" t="s">
        <v>5315</v>
      </c>
      <c r="M991" s="13" t="s">
        <v>5965</v>
      </c>
      <c r="N991" s="12" t="s">
        <v>803</v>
      </c>
      <c r="O991" s="13" t="s">
        <v>5061</v>
      </c>
      <c r="P991" s="17" t="s">
        <v>802</v>
      </c>
      <c r="Q991" s="21" t="s">
        <v>7770</v>
      </c>
      <c r="R991" s="17" t="s">
        <v>801</v>
      </c>
      <c r="S991" s="18" t="s">
        <v>2560</v>
      </c>
      <c r="T991" s="17" t="s">
        <v>800</v>
      </c>
      <c r="U991" s="18" t="s">
        <v>5236</v>
      </c>
      <c r="V991" s="17" t="s">
        <v>9418</v>
      </c>
      <c r="W991" s="18" t="s">
        <v>5309</v>
      </c>
      <c r="X991" s="69" t="s">
        <v>9453</v>
      </c>
      <c r="Y991" s="70" t="s">
        <v>9462</v>
      </c>
      <c r="Z991" s="73" t="s">
        <v>9486</v>
      </c>
      <c r="AA991" s="74" t="s">
        <v>9504</v>
      </c>
      <c r="AB991" s="73" t="s">
        <v>9486</v>
      </c>
      <c r="AC991" s="74" t="s">
        <v>9562</v>
      </c>
      <c r="AD991" s="73" t="s">
        <v>9578</v>
      </c>
      <c r="AE991" s="74" t="s">
        <v>9579</v>
      </c>
    </row>
    <row r="992" spans="1:31" ht="8.65" customHeight="1" x14ac:dyDescent="0.2">
      <c r="A992" s="76">
        <v>992</v>
      </c>
      <c r="B992" s="67" t="str">
        <f>MID(C992, FIND("Ifc.", C992) + 4, 4) &amp; "_" &amp; TEXT(COUNTIF($C$2:C992, C992),"0000")</f>
        <v>Prop_0991</v>
      </c>
      <c r="C992" s="24" t="s">
        <v>872</v>
      </c>
      <c r="D992" s="69" t="s">
        <v>9453</v>
      </c>
      <c r="E992" s="70" t="s">
        <v>9454</v>
      </c>
      <c r="F992" s="17" t="s">
        <v>806</v>
      </c>
      <c r="G992" s="22" t="s">
        <v>1933</v>
      </c>
      <c r="H992" s="12" t="s">
        <v>9703</v>
      </c>
      <c r="I992" s="13" t="s">
        <v>6582</v>
      </c>
      <c r="J992" s="14" t="s">
        <v>798</v>
      </c>
      <c r="K992" s="15" t="s">
        <v>798</v>
      </c>
      <c r="L992" s="12" t="s">
        <v>5315</v>
      </c>
      <c r="M992" s="13" t="s">
        <v>5965</v>
      </c>
      <c r="N992" s="12" t="s">
        <v>803</v>
      </c>
      <c r="O992" s="13" t="s">
        <v>5061</v>
      </c>
      <c r="P992" s="17" t="s">
        <v>802</v>
      </c>
      <c r="Q992" s="21" t="s">
        <v>7770</v>
      </c>
      <c r="R992" s="17" t="s">
        <v>801</v>
      </c>
      <c r="S992" s="18" t="s">
        <v>2560</v>
      </c>
      <c r="T992" s="17" t="s">
        <v>800</v>
      </c>
      <c r="U992" s="18" t="s">
        <v>5236</v>
      </c>
      <c r="V992" s="17" t="s">
        <v>9418</v>
      </c>
      <c r="W992" s="18" t="s">
        <v>5309</v>
      </c>
      <c r="X992" s="69" t="s">
        <v>9453</v>
      </c>
      <c r="Y992" s="70" t="s">
        <v>9462</v>
      </c>
      <c r="Z992" s="73" t="s">
        <v>9486</v>
      </c>
      <c r="AA992" s="74" t="s">
        <v>9504</v>
      </c>
      <c r="AB992" s="73" t="s">
        <v>9486</v>
      </c>
      <c r="AC992" s="74" t="s">
        <v>9562</v>
      </c>
      <c r="AD992" s="73" t="s">
        <v>9578</v>
      </c>
      <c r="AE992" s="74" t="s">
        <v>9579</v>
      </c>
    </row>
    <row r="993" spans="1:31" ht="8.65" customHeight="1" x14ac:dyDescent="0.2">
      <c r="A993" s="76">
        <v>993</v>
      </c>
      <c r="B993" s="67" t="str">
        <f>MID(C993, FIND("Ifc.", C993) + 4, 4) &amp; "_" &amp; TEXT(COUNTIF($C$2:C993, C993),"0000")</f>
        <v>Prop_0992</v>
      </c>
      <c r="C993" s="24" t="s">
        <v>872</v>
      </c>
      <c r="D993" s="69" t="s">
        <v>9453</v>
      </c>
      <c r="E993" s="70" t="s">
        <v>9454</v>
      </c>
      <c r="F993" s="17" t="s">
        <v>806</v>
      </c>
      <c r="G993" s="22" t="s">
        <v>2417</v>
      </c>
      <c r="H993" s="12" t="s">
        <v>9703</v>
      </c>
      <c r="I993" s="13" t="s">
        <v>7088</v>
      </c>
      <c r="J993" s="14" t="s">
        <v>798</v>
      </c>
      <c r="K993" s="15" t="s">
        <v>798</v>
      </c>
      <c r="L993" s="12" t="s">
        <v>5315</v>
      </c>
      <c r="M993" s="13" t="s">
        <v>5568</v>
      </c>
      <c r="N993" s="12" t="s">
        <v>803</v>
      </c>
      <c r="O993" s="13" t="s">
        <v>5201</v>
      </c>
      <c r="P993" s="17" t="s">
        <v>802</v>
      </c>
      <c r="Q993" s="21" t="s">
        <v>7682</v>
      </c>
      <c r="R993" s="17" t="s">
        <v>801</v>
      </c>
      <c r="S993" s="18" t="s">
        <v>2554</v>
      </c>
      <c r="T993" s="17" t="s">
        <v>800</v>
      </c>
      <c r="U993" s="18" t="s">
        <v>5233</v>
      </c>
      <c r="V993" s="17" t="s">
        <v>9418</v>
      </c>
      <c r="W993" s="18" t="s">
        <v>5310</v>
      </c>
      <c r="X993" s="69" t="s">
        <v>9453</v>
      </c>
      <c r="Y993" s="70" t="s">
        <v>9463</v>
      </c>
      <c r="Z993" s="73" t="s">
        <v>9486</v>
      </c>
      <c r="AA993" s="74" t="s">
        <v>9504</v>
      </c>
      <c r="AB993" s="73" t="s">
        <v>9486</v>
      </c>
      <c r="AC993" s="74" t="s">
        <v>9562</v>
      </c>
      <c r="AD993" s="73" t="s">
        <v>9578</v>
      </c>
      <c r="AE993" s="74" t="s">
        <v>9579</v>
      </c>
    </row>
    <row r="994" spans="1:31" ht="8.65" customHeight="1" x14ac:dyDescent="0.2">
      <c r="A994" s="76">
        <v>994</v>
      </c>
      <c r="B994" s="67" t="str">
        <f>MID(C994, FIND("Ifc.", C994) + 4, 4) &amp; "_" &amp; TEXT(COUNTIF($C$2:C994, C994),"0000")</f>
        <v>Prop_0993</v>
      </c>
      <c r="C994" s="24" t="s">
        <v>872</v>
      </c>
      <c r="D994" s="69" t="s">
        <v>9453</v>
      </c>
      <c r="E994" s="70" t="s">
        <v>9454</v>
      </c>
      <c r="F994" s="17" t="s">
        <v>806</v>
      </c>
      <c r="G994" s="22" t="s">
        <v>2230</v>
      </c>
      <c r="H994" s="12" t="s">
        <v>9703</v>
      </c>
      <c r="I994" s="13" t="s">
        <v>6681</v>
      </c>
      <c r="J994" s="14" t="s">
        <v>798</v>
      </c>
      <c r="K994" s="15" t="s">
        <v>798</v>
      </c>
      <c r="L994" s="12" t="s">
        <v>5315</v>
      </c>
      <c r="M994" s="13" t="s">
        <v>5512</v>
      </c>
      <c r="N994" s="12" t="s">
        <v>803</v>
      </c>
      <c r="O994" s="13" t="s">
        <v>5126</v>
      </c>
      <c r="P994" s="17" t="s">
        <v>802</v>
      </c>
      <c r="Q994" s="21" t="s">
        <v>7754</v>
      </c>
      <c r="R994" s="17" t="s">
        <v>801</v>
      </c>
      <c r="S994" s="18" t="s">
        <v>2554</v>
      </c>
      <c r="T994" s="17" t="s">
        <v>800</v>
      </c>
      <c r="U994" s="18" t="s">
        <v>5233</v>
      </c>
      <c r="V994" s="17" t="s">
        <v>9418</v>
      </c>
      <c r="W994" s="18" t="s">
        <v>5310</v>
      </c>
      <c r="X994" s="69" t="s">
        <v>9453</v>
      </c>
      <c r="Y994" s="70" t="s">
        <v>9463</v>
      </c>
      <c r="Z994" s="73" t="s">
        <v>9486</v>
      </c>
      <c r="AA994" s="74" t="s">
        <v>9504</v>
      </c>
      <c r="AB994" s="73" t="s">
        <v>9486</v>
      </c>
      <c r="AC994" s="74" t="s">
        <v>9562</v>
      </c>
      <c r="AD994" s="73" t="s">
        <v>9578</v>
      </c>
      <c r="AE994" s="74" t="s">
        <v>9579</v>
      </c>
    </row>
    <row r="995" spans="1:31" ht="8.65" customHeight="1" x14ac:dyDescent="0.2">
      <c r="A995" s="76">
        <v>995</v>
      </c>
      <c r="B995" s="67" t="str">
        <f>MID(C995, FIND("Ifc.", C995) + 4, 4) &amp; "_" &amp; TEXT(COUNTIF($C$2:C995, C995),"0000")</f>
        <v>Prop_0994</v>
      </c>
      <c r="C995" s="24" t="s">
        <v>872</v>
      </c>
      <c r="D995" s="69" t="s">
        <v>9453</v>
      </c>
      <c r="E995" s="70" t="s">
        <v>9454</v>
      </c>
      <c r="F995" s="17" t="s">
        <v>806</v>
      </c>
      <c r="G995" s="22" t="s">
        <v>1842</v>
      </c>
      <c r="H995" s="12" t="s">
        <v>9703</v>
      </c>
      <c r="I995" s="13" t="s">
        <v>6530</v>
      </c>
      <c r="J995" s="14" t="s">
        <v>798</v>
      </c>
      <c r="K995" s="15" t="s">
        <v>798</v>
      </c>
      <c r="L995" s="12" t="s">
        <v>5315</v>
      </c>
      <c r="M995" s="13" t="s">
        <v>5946</v>
      </c>
      <c r="N995" s="12" t="s">
        <v>803</v>
      </c>
      <c r="O995" s="13" t="s">
        <v>5031</v>
      </c>
      <c r="P995" s="17" t="s">
        <v>802</v>
      </c>
      <c r="Q995" s="21" t="s">
        <v>7924</v>
      </c>
      <c r="R995" s="17" t="s">
        <v>801</v>
      </c>
      <c r="S995" s="18" t="s">
        <v>2669</v>
      </c>
      <c r="T995" s="17" t="s">
        <v>800</v>
      </c>
      <c r="U995" s="18" t="s">
        <v>5237</v>
      </c>
      <c r="V995" s="17" t="s">
        <v>9418</v>
      </c>
      <c r="W995" s="18" t="s">
        <v>5309</v>
      </c>
      <c r="X995" s="69" t="s">
        <v>9453</v>
      </c>
      <c r="Y995" s="70" t="s">
        <v>9462</v>
      </c>
      <c r="Z995" s="73" t="s">
        <v>9486</v>
      </c>
      <c r="AA995" s="74" t="s">
        <v>9504</v>
      </c>
      <c r="AB995" s="73" t="s">
        <v>9486</v>
      </c>
      <c r="AC995" s="74" t="s">
        <v>9562</v>
      </c>
      <c r="AD995" s="73" t="s">
        <v>9578</v>
      </c>
      <c r="AE995" s="74" t="s">
        <v>9579</v>
      </c>
    </row>
    <row r="996" spans="1:31" ht="8.65" customHeight="1" x14ac:dyDescent="0.2">
      <c r="A996" s="76">
        <v>996</v>
      </c>
      <c r="B996" s="67" t="str">
        <f>MID(C996, FIND("Ifc.", C996) + 4, 4) &amp; "_" &amp; TEXT(COUNTIF($C$2:C996, C996),"0000")</f>
        <v>Prop_0995</v>
      </c>
      <c r="C996" s="24" t="s">
        <v>872</v>
      </c>
      <c r="D996" s="69" t="s">
        <v>9453</v>
      </c>
      <c r="E996" s="70" t="s">
        <v>9454</v>
      </c>
      <c r="F996" s="17" t="s">
        <v>806</v>
      </c>
      <c r="G996" s="22" t="s">
        <v>1643</v>
      </c>
      <c r="H996" s="12" t="s">
        <v>9703</v>
      </c>
      <c r="I996" s="13" t="s">
        <v>7007</v>
      </c>
      <c r="J996" s="14" t="s">
        <v>798</v>
      </c>
      <c r="K996" s="15" t="s">
        <v>798</v>
      </c>
      <c r="L996" s="12" t="s">
        <v>5315</v>
      </c>
      <c r="M996" s="13" t="s">
        <v>5836</v>
      </c>
      <c r="N996" s="12" t="s">
        <v>803</v>
      </c>
      <c r="O996" s="13" t="s">
        <v>4979</v>
      </c>
      <c r="P996" s="17" t="s">
        <v>802</v>
      </c>
      <c r="Q996" s="21" t="s">
        <v>7788</v>
      </c>
      <c r="R996" s="17" t="s">
        <v>801</v>
      </c>
      <c r="S996" s="18" t="s">
        <v>3636</v>
      </c>
      <c r="T996" s="17" t="s">
        <v>800</v>
      </c>
      <c r="U996" s="18" t="s">
        <v>5257</v>
      </c>
      <c r="V996" s="17" t="s">
        <v>9418</v>
      </c>
      <c r="W996" s="18" t="s">
        <v>5314</v>
      </c>
      <c r="X996" s="69" t="s">
        <v>9453</v>
      </c>
      <c r="Y996" s="70" t="s">
        <v>9464</v>
      </c>
      <c r="Z996" s="73" t="s">
        <v>9486</v>
      </c>
      <c r="AA996" s="74" t="s">
        <v>9504</v>
      </c>
      <c r="AB996" s="73" t="s">
        <v>9486</v>
      </c>
      <c r="AC996" s="74" t="s">
        <v>9561</v>
      </c>
      <c r="AD996" s="73" t="s">
        <v>9578</v>
      </c>
      <c r="AE996" s="74" t="s">
        <v>9579</v>
      </c>
    </row>
    <row r="997" spans="1:31" ht="8.65" customHeight="1" x14ac:dyDescent="0.2">
      <c r="A997" s="76">
        <v>997</v>
      </c>
      <c r="B997" s="67" t="str">
        <f>MID(C997, FIND("Ifc.", C997) + 4, 4) &amp; "_" &amp; TEXT(COUNTIF($C$2:C997, C997),"0000")</f>
        <v>Prop_0996</v>
      </c>
      <c r="C997" s="24" t="s">
        <v>872</v>
      </c>
      <c r="D997" s="69" t="s">
        <v>9453</v>
      </c>
      <c r="E997" s="70" t="s">
        <v>9454</v>
      </c>
      <c r="F997" s="17" t="s">
        <v>806</v>
      </c>
      <c r="G997" s="22" t="s">
        <v>1646</v>
      </c>
      <c r="H997" s="12" t="s">
        <v>9703</v>
      </c>
      <c r="I997" s="13" t="s">
        <v>6886</v>
      </c>
      <c r="J997" s="14" t="s">
        <v>798</v>
      </c>
      <c r="K997" s="15" t="s">
        <v>798</v>
      </c>
      <c r="L997" s="12" t="s">
        <v>5315</v>
      </c>
      <c r="M997" s="13" t="s">
        <v>5837</v>
      </c>
      <c r="N997" s="12" t="s">
        <v>803</v>
      </c>
      <c r="O997" s="13" t="s">
        <v>4980</v>
      </c>
      <c r="P997" s="17" t="s">
        <v>802</v>
      </c>
      <c r="Q997" s="21" t="s">
        <v>7844</v>
      </c>
      <c r="R997" s="17" t="s">
        <v>801</v>
      </c>
      <c r="S997" s="18" t="s">
        <v>3636</v>
      </c>
      <c r="T997" s="17" t="s">
        <v>800</v>
      </c>
      <c r="U997" s="18" t="s">
        <v>5257</v>
      </c>
      <c r="V997" s="17" t="s">
        <v>9418</v>
      </c>
      <c r="W997" s="18" t="s">
        <v>5314</v>
      </c>
      <c r="X997" s="69" t="s">
        <v>9453</v>
      </c>
      <c r="Y997" s="70" t="s">
        <v>9464</v>
      </c>
      <c r="Z997" s="73" t="s">
        <v>9486</v>
      </c>
      <c r="AA997" s="74" t="s">
        <v>9504</v>
      </c>
      <c r="AB997" s="73" t="s">
        <v>9486</v>
      </c>
      <c r="AC997" s="74" t="s">
        <v>9561</v>
      </c>
      <c r="AD997" s="73" t="s">
        <v>9578</v>
      </c>
      <c r="AE997" s="74" t="s">
        <v>9579</v>
      </c>
    </row>
    <row r="998" spans="1:31" ht="8.65" customHeight="1" x14ac:dyDescent="0.2">
      <c r="A998" s="76">
        <v>998</v>
      </c>
      <c r="B998" s="67" t="str">
        <f>MID(C998, FIND("Ifc.", C998) + 4, 4) &amp; "_" &amp; TEXT(COUNTIF($C$2:C998, C998),"0000")</f>
        <v>Prop_0997</v>
      </c>
      <c r="C998" s="24" t="s">
        <v>872</v>
      </c>
      <c r="D998" s="69" t="s">
        <v>9453</v>
      </c>
      <c r="E998" s="70" t="s">
        <v>9454</v>
      </c>
      <c r="F998" s="17" t="s">
        <v>806</v>
      </c>
      <c r="G998" s="22" t="s">
        <v>1662</v>
      </c>
      <c r="H998" s="12" t="s">
        <v>9703</v>
      </c>
      <c r="I998" s="13" t="s">
        <v>6890</v>
      </c>
      <c r="J998" s="14" t="s">
        <v>798</v>
      </c>
      <c r="K998" s="15" t="s">
        <v>798</v>
      </c>
      <c r="L998" s="12" t="s">
        <v>5315</v>
      </c>
      <c r="M998" s="13" t="s">
        <v>5841</v>
      </c>
      <c r="N998" s="12" t="s">
        <v>803</v>
      </c>
      <c r="O998" s="13" t="s">
        <v>4986</v>
      </c>
      <c r="P998" s="17" t="s">
        <v>802</v>
      </c>
      <c r="Q998" s="21" t="s">
        <v>7845</v>
      </c>
      <c r="R998" s="17" t="s">
        <v>801</v>
      </c>
      <c r="S998" s="18" t="s">
        <v>3636</v>
      </c>
      <c r="T998" s="17" t="s">
        <v>800</v>
      </c>
      <c r="U998" s="18" t="s">
        <v>5257</v>
      </c>
      <c r="V998" s="17" t="s">
        <v>9418</v>
      </c>
      <c r="W998" s="18" t="s">
        <v>5314</v>
      </c>
      <c r="X998" s="69" t="s">
        <v>9453</v>
      </c>
      <c r="Y998" s="70" t="s">
        <v>9464</v>
      </c>
      <c r="Z998" s="73" t="s">
        <v>9486</v>
      </c>
      <c r="AA998" s="74" t="s">
        <v>9504</v>
      </c>
      <c r="AB998" s="73" t="s">
        <v>9486</v>
      </c>
      <c r="AC998" s="74" t="s">
        <v>9561</v>
      </c>
      <c r="AD998" s="73" t="s">
        <v>9578</v>
      </c>
      <c r="AE998" s="74" t="s">
        <v>9579</v>
      </c>
    </row>
    <row r="999" spans="1:31" ht="8.65" customHeight="1" x14ac:dyDescent="0.2">
      <c r="A999" s="76">
        <v>999</v>
      </c>
      <c r="B999" s="67" t="str">
        <f>MID(C999, FIND("Ifc.", C999) + 4, 4) &amp; "_" &amp; TEXT(COUNTIF($C$2:C999, C999),"0000")</f>
        <v>Prop_0998</v>
      </c>
      <c r="C999" s="24" t="s">
        <v>872</v>
      </c>
      <c r="D999" s="69" t="s">
        <v>9453</v>
      </c>
      <c r="E999" s="70" t="s">
        <v>9454</v>
      </c>
      <c r="F999" s="17" t="s">
        <v>806</v>
      </c>
      <c r="G999" s="22" t="s">
        <v>1639</v>
      </c>
      <c r="H999" s="12" t="s">
        <v>9703</v>
      </c>
      <c r="I999" s="13" t="s">
        <v>6392</v>
      </c>
      <c r="J999" s="14" t="s">
        <v>798</v>
      </c>
      <c r="K999" s="15" t="s">
        <v>798</v>
      </c>
      <c r="L999" s="12" t="s">
        <v>5315</v>
      </c>
      <c r="M999" s="13" t="s">
        <v>5836</v>
      </c>
      <c r="N999" s="12" t="s">
        <v>803</v>
      </c>
      <c r="O999" s="13" t="s">
        <v>4979</v>
      </c>
      <c r="P999" s="17" t="s">
        <v>802</v>
      </c>
      <c r="Q999" s="21" t="s">
        <v>7788</v>
      </c>
      <c r="R999" s="17" t="s">
        <v>801</v>
      </c>
      <c r="S999" s="18" t="s">
        <v>3636</v>
      </c>
      <c r="T999" s="17" t="s">
        <v>800</v>
      </c>
      <c r="U999" s="18" t="s">
        <v>5257</v>
      </c>
      <c r="V999" s="17" t="s">
        <v>9418</v>
      </c>
      <c r="W999" s="18" t="s">
        <v>5314</v>
      </c>
      <c r="X999" s="69" t="s">
        <v>9453</v>
      </c>
      <c r="Y999" s="70" t="s">
        <v>9464</v>
      </c>
      <c r="Z999" s="73" t="s">
        <v>9486</v>
      </c>
      <c r="AA999" s="74" t="s">
        <v>9504</v>
      </c>
      <c r="AB999" s="73" t="s">
        <v>9486</v>
      </c>
      <c r="AC999" s="74" t="s">
        <v>9561</v>
      </c>
      <c r="AD999" s="73" t="s">
        <v>9578</v>
      </c>
      <c r="AE999" s="74" t="s">
        <v>9579</v>
      </c>
    </row>
    <row r="1000" spans="1:31" ht="8.65" customHeight="1" x14ac:dyDescent="0.2">
      <c r="A1000" s="76">
        <v>1000</v>
      </c>
      <c r="B1000" s="67" t="str">
        <f>MID(C1000, FIND("Ifc.", C1000) + 4, 4) &amp; "_" &amp; TEXT(COUNTIF($C$2:C1000, C1000),"0000")</f>
        <v>Prop_0999</v>
      </c>
      <c r="C1000" s="24" t="s">
        <v>872</v>
      </c>
      <c r="D1000" s="69" t="s">
        <v>9453</v>
      </c>
      <c r="E1000" s="70" t="s">
        <v>9454</v>
      </c>
      <c r="F1000" s="17" t="s">
        <v>806</v>
      </c>
      <c r="G1000" s="22" t="s">
        <v>1737</v>
      </c>
      <c r="H1000" s="12" t="s">
        <v>9703</v>
      </c>
      <c r="I1000" s="13" t="s">
        <v>6460</v>
      </c>
      <c r="J1000" s="14" t="s">
        <v>798</v>
      </c>
      <c r="K1000" s="15" t="s">
        <v>798</v>
      </c>
      <c r="L1000" s="12" t="s">
        <v>5315</v>
      </c>
      <c r="M1000" s="13" t="s">
        <v>5852</v>
      </c>
      <c r="N1000" s="12" t="s">
        <v>803</v>
      </c>
      <c r="O1000" s="13" t="s">
        <v>5005</v>
      </c>
      <c r="P1000" s="17" t="s">
        <v>802</v>
      </c>
      <c r="Q1000" s="21" t="s">
        <v>7920</v>
      </c>
      <c r="R1000" s="17" t="s">
        <v>801</v>
      </c>
      <c r="S1000" s="18" t="s">
        <v>2619</v>
      </c>
      <c r="T1000" s="17" t="s">
        <v>800</v>
      </c>
      <c r="U1000" s="18" t="s">
        <v>5239</v>
      </c>
      <c r="V1000" s="17" t="s">
        <v>9418</v>
      </c>
      <c r="W1000" s="18" t="s">
        <v>5309</v>
      </c>
      <c r="X1000" s="69" t="s">
        <v>9453</v>
      </c>
      <c r="Y1000" s="70" t="s">
        <v>9462</v>
      </c>
      <c r="Z1000" s="73" t="s">
        <v>9486</v>
      </c>
      <c r="AA1000" s="74" t="s">
        <v>9504</v>
      </c>
      <c r="AB1000" s="73" t="s">
        <v>9486</v>
      </c>
      <c r="AC1000" s="74" t="s">
        <v>9566</v>
      </c>
      <c r="AD1000" s="73" t="s">
        <v>9578</v>
      </c>
      <c r="AE1000" s="74" t="s">
        <v>9579</v>
      </c>
    </row>
    <row r="1001" spans="1:31" ht="8.65" customHeight="1" x14ac:dyDescent="0.2">
      <c r="A1001" s="76">
        <v>1001</v>
      </c>
      <c r="B1001" s="67" t="str">
        <f>MID(C1001, FIND("Ifc.", C1001) + 4, 4) &amp; "_" &amp; TEXT(COUNTIF($C$2:C1001, C1001),"0000")</f>
        <v>Prop_1000</v>
      </c>
      <c r="C1001" s="24" t="s">
        <v>872</v>
      </c>
      <c r="D1001" s="69" t="s">
        <v>9453</v>
      </c>
      <c r="E1001" s="70" t="s">
        <v>9454</v>
      </c>
      <c r="F1001" s="17" t="s">
        <v>806</v>
      </c>
      <c r="G1001" s="22" t="s">
        <v>2449</v>
      </c>
      <c r="H1001" s="12" t="s">
        <v>9703</v>
      </c>
      <c r="I1001" s="13" t="s">
        <v>6799</v>
      </c>
      <c r="J1001" s="14" t="s">
        <v>798</v>
      </c>
      <c r="K1001" s="15" t="s">
        <v>798</v>
      </c>
      <c r="L1001" s="12" t="s">
        <v>5315</v>
      </c>
      <c r="M1001" s="13" t="s">
        <v>5573</v>
      </c>
      <c r="N1001" s="12" t="s">
        <v>803</v>
      </c>
      <c r="O1001" s="13" t="s">
        <v>5206</v>
      </c>
      <c r="P1001" s="17" t="s">
        <v>802</v>
      </c>
      <c r="Q1001" s="21" t="s">
        <v>7742</v>
      </c>
      <c r="R1001" s="17" t="s">
        <v>801</v>
      </c>
      <c r="S1001" s="18" t="s">
        <v>2637</v>
      </c>
      <c r="T1001" s="17" t="s">
        <v>800</v>
      </c>
      <c r="U1001" s="18" t="s">
        <v>5264</v>
      </c>
      <c r="V1001" s="17" t="s">
        <v>9418</v>
      </c>
      <c r="W1001" s="18" t="s">
        <v>5309</v>
      </c>
      <c r="X1001" s="69" t="s">
        <v>9453</v>
      </c>
      <c r="Y1001" s="70" t="s">
        <v>9462</v>
      </c>
      <c r="Z1001" s="73" t="s">
        <v>9486</v>
      </c>
      <c r="AA1001" s="74" t="s">
        <v>9504</v>
      </c>
      <c r="AB1001" s="73" t="s">
        <v>9486</v>
      </c>
      <c r="AC1001" s="74" t="s">
        <v>9566</v>
      </c>
      <c r="AD1001" s="73" t="s">
        <v>9578</v>
      </c>
      <c r="AE1001" s="74" t="s">
        <v>9579</v>
      </c>
    </row>
    <row r="1002" spans="1:31" ht="8.65" customHeight="1" x14ac:dyDescent="0.2">
      <c r="A1002" s="76">
        <v>1002</v>
      </c>
      <c r="B1002" s="67" t="str">
        <f>MID(C1002, FIND("Ifc.", C1002) + 4, 4) &amp; "_" &amp; TEXT(COUNTIF($C$2:C1002, C1002),"0000")</f>
        <v>Prop_1001</v>
      </c>
      <c r="C1002" s="24" t="s">
        <v>872</v>
      </c>
      <c r="D1002" s="69" t="s">
        <v>9453</v>
      </c>
      <c r="E1002" s="70" t="s">
        <v>9454</v>
      </c>
      <c r="F1002" s="17" t="s">
        <v>806</v>
      </c>
      <c r="G1002" s="22" t="s">
        <v>1638</v>
      </c>
      <c r="H1002" s="12" t="s">
        <v>9703</v>
      </c>
      <c r="I1002" s="13" t="s">
        <v>6884</v>
      </c>
      <c r="J1002" s="14" t="s">
        <v>798</v>
      </c>
      <c r="K1002" s="15" t="s">
        <v>798</v>
      </c>
      <c r="L1002" s="12" t="s">
        <v>5315</v>
      </c>
      <c r="M1002" s="13" t="s">
        <v>5836</v>
      </c>
      <c r="N1002" s="12" t="s">
        <v>803</v>
      </c>
      <c r="O1002" s="13" t="s">
        <v>4979</v>
      </c>
      <c r="P1002" s="17" t="s">
        <v>802</v>
      </c>
      <c r="Q1002" s="21" t="s">
        <v>7788</v>
      </c>
      <c r="R1002" s="17" t="s">
        <v>801</v>
      </c>
      <c r="S1002" s="18" t="s">
        <v>3636</v>
      </c>
      <c r="T1002" s="17" t="s">
        <v>800</v>
      </c>
      <c r="U1002" s="18" t="s">
        <v>5257</v>
      </c>
      <c r="V1002" s="17" t="s">
        <v>9418</v>
      </c>
      <c r="W1002" s="18" t="s">
        <v>5314</v>
      </c>
      <c r="X1002" s="69" t="s">
        <v>9453</v>
      </c>
      <c r="Y1002" s="70" t="s">
        <v>9464</v>
      </c>
      <c r="Z1002" s="73" t="s">
        <v>9486</v>
      </c>
      <c r="AA1002" s="74" t="s">
        <v>9504</v>
      </c>
      <c r="AB1002" s="73" t="s">
        <v>9486</v>
      </c>
      <c r="AC1002" s="74" t="s">
        <v>9561</v>
      </c>
      <c r="AD1002" s="73" t="s">
        <v>9578</v>
      </c>
      <c r="AE1002" s="74" t="s">
        <v>9579</v>
      </c>
    </row>
    <row r="1003" spans="1:31" ht="8.65" customHeight="1" x14ac:dyDescent="0.2">
      <c r="A1003" s="76">
        <v>1003</v>
      </c>
      <c r="B1003" s="67" t="str">
        <f>MID(C1003, FIND("Ifc.", C1003) + 4, 4) &amp; "_" &amp; TEXT(COUNTIF($C$2:C1003, C1003),"0000")</f>
        <v>Prop_1002</v>
      </c>
      <c r="C1003" s="24" t="s">
        <v>872</v>
      </c>
      <c r="D1003" s="69" t="s">
        <v>9453</v>
      </c>
      <c r="E1003" s="70" t="s">
        <v>9454</v>
      </c>
      <c r="F1003" s="17" t="s">
        <v>806</v>
      </c>
      <c r="G1003" s="22" t="s">
        <v>2096</v>
      </c>
      <c r="H1003" s="12" t="s">
        <v>9703</v>
      </c>
      <c r="I1003" s="13" t="s">
        <v>6635</v>
      </c>
      <c r="J1003" s="14" t="s">
        <v>798</v>
      </c>
      <c r="K1003" s="15" t="s">
        <v>798</v>
      </c>
      <c r="L1003" s="12" t="s">
        <v>5315</v>
      </c>
      <c r="M1003" s="13" t="s">
        <v>5490</v>
      </c>
      <c r="N1003" s="12" t="s">
        <v>803</v>
      </c>
      <c r="O1003" s="13" t="s">
        <v>5099</v>
      </c>
      <c r="P1003" s="17" t="s">
        <v>802</v>
      </c>
      <c r="Q1003" s="21" t="s">
        <v>7778</v>
      </c>
      <c r="R1003" s="17" t="s">
        <v>801</v>
      </c>
      <c r="S1003" s="18" t="s">
        <v>2619</v>
      </c>
      <c r="T1003" s="17" t="s">
        <v>800</v>
      </c>
      <c r="U1003" s="18" t="s">
        <v>5239</v>
      </c>
      <c r="V1003" s="17" t="s">
        <v>9418</v>
      </c>
      <c r="W1003" s="18" t="s">
        <v>5309</v>
      </c>
      <c r="X1003" s="69" t="s">
        <v>9453</v>
      </c>
      <c r="Y1003" s="70" t="s">
        <v>9462</v>
      </c>
      <c r="Z1003" s="73" t="s">
        <v>9486</v>
      </c>
      <c r="AA1003" s="74" t="s">
        <v>9504</v>
      </c>
      <c r="AB1003" s="73" t="s">
        <v>9486</v>
      </c>
      <c r="AC1003" s="74" t="s">
        <v>9566</v>
      </c>
      <c r="AD1003" s="73" t="s">
        <v>9578</v>
      </c>
      <c r="AE1003" s="74" t="s">
        <v>9579</v>
      </c>
    </row>
    <row r="1004" spans="1:31" ht="8.65" customHeight="1" x14ac:dyDescent="0.2">
      <c r="A1004" s="76">
        <v>1004</v>
      </c>
      <c r="B1004" s="67" t="str">
        <f>MID(C1004, FIND("Ifc.", C1004) + 4, 4) &amp; "_" &amp; TEXT(COUNTIF($C$2:C1004, C1004),"0000")</f>
        <v>Prop_1003</v>
      </c>
      <c r="C1004" s="24" t="s">
        <v>872</v>
      </c>
      <c r="D1004" s="69" t="s">
        <v>9453</v>
      </c>
      <c r="E1004" s="70" t="s">
        <v>9454</v>
      </c>
      <c r="F1004" s="17" t="s">
        <v>806</v>
      </c>
      <c r="G1004" s="22" t="s">
        <v>2094</v>
      </c>
      <c r="H1004" s="12" t="s">
        <v>9703</v>
      </c>
      <c r="I1004" s="13" t="s">
        <v>6633</v>
      </c>
      <c r="J1004" s="14" t="s">
        <v>798</v>
      </c>
      <c r="K1004" s="15" t="s">
        <v>798</v>
      </c>
      <c r="L1004" s="12" t="s">
        <v>5315</v>
      </c>
      <c r="M1004" s="13" t="s">
        <v>5490</v>
      </c>
      <c r="N1004" s="12" t="s">
        <v>803</v>
      </c>
      <c r="O1004" s="13" t="s">
        <v>5099</v>
      </c>
      <c r="P1004" s="17" t="s">
        <v>802</v>
      </c>
      <c r="Q1004" s="21" t="s">
        <v>7778</v>
      </c>
      <c r="R1004" s="17" t="s">
        <v>801</v>
      </c>
      <c r="S1004" s="18" t="s">
        <v>2619</v>
      </c>
      <c r="T1004" s="17" t="s">
        <v>800</v>
      </c>
      <c r="U1004" s="18" t="s">
        <v>5239</v>
      </c>
      <c r="V1004" s="17" t="s">
        <v>9418</v>
      </c>
      <c r="W1004" s="18" t="s">
        <v>5309</v>
      </c>
      <c r="X1004" s="69" t="s">
        <v>9453</v>
      </c>
      <c r="Y1004" s="70" t="s">
        <v>9462</v>
      </c>
      <c r="Z1004" s="73" t="s">
        <v>9486</v>
      </c>
      <c r="AA1004" s="74" t="s">
        <v>9504</v>
      </c>
      <c r="AB1004" s="73" t="s">
        <v>9486</v>
      </c>
      <c r="AC1004" s="74" t="s">
        <v>9566</v>
      </c>
      <c r="AD1004" s="73" t="s">
        <v>9578</v>
      </c>
      <c r="AE1004" s="74" t="s">
        <v>9579</v>
      </c>
    </row>
    <row r="1005" spans="1:31" ht="8.65" customHeight="1" x14ac:dyDescent="0.2">
      <c r="A1005" s="76">
        <v>1005</v>
      </c>
      <c r="B1005" s="67" t="str">
        <f>MID(C1005, FIND("Ifc.", C1005) + 4, 4) &amp; "_" &amp; TEXT(COUNTIF($C$2:C1005, C1005),"0000")</f>
        <v>Prop_1004</v>
      </c>
      <c r="C1005" s="24" t="s">
        <v>872</v>
      </c>
      <c r="D1005" s="69" t="s">
        <v>9453</v>
      </c>
      <c r="E1005" s="70" t="s">
        <v>9454</v>
      </c>
      <c r="F1005" s="17" t="s">
        <v>806</v>
      </c>
      <c r="G1005" s="22" t="s">
        <v>2510</v>
      </c>
      <c r="H1005" s="12" t="s">
        <v>9703</v>
      </c>
      <c r="I1005" s="13" t="s">
        <v>7566</v>
      </c>
      <c r="J1005" s="14" t="s">
        <v>798</v>
      </c>
      <c r="K1005" s="15" t="s">
        <v>798</v>
      </c>
      <c r="L1005" s="12" t="s">
        <v>5315</v>
      </c>
      <c r="M1005" s="13" t="s">
        <v>5578</v>
      </c>
      <c r="N1005" s="12" t="s">
        <v>803</v>
      </c>
      <c r="O1005" s="13" t="s">
        <v>5224</v>
      </c>
      <c r="P1005" s="17" t="s">
        <v>802</v>
      </c>
      <c r="Q1005" s="21" t="s">
        <v>7677</v>
      </c>
      <c r="R1005" s="17" t="s">
        <v>801</v>
      </c>
      <c r="S1005" s="18" t="s">
        <v>2554</v>
      </c>
      <c r="T1005" s="17" t="s">
        <v>800</v>
      </c>
      <c r="U1005" s="18" t="s">
        <v>5233</v>
      </c>
      <c r="V1005" s="17" t="s">
        <v>9418</v>
      </c>
      <c r="W1005" s="18" t="s">
        <v>5309</v>
      </c>
      <c r="X1005" s="69" t="s">
        <v>9453</v>
      </c>
      <c r="Y1005" s="70" t="s">
        <v>9462</v>
      </c>
      <c r="Z1005" s="73" t="s">
        <v>9486</v>
      </c>
      <c r="AA1005" s="74" t="s">
        <v>9504</v>
      </c>
      <c r="AB1005" s="73" t="s">
        <v>9486</v>
      </c>
      <c r="AC1005" s="74" t="s">
        <v>9562</v>
      </c>
      <c r="AD1005" s="73" t="s">
        <v>9578</v>
      </c>
      <c r="AE1005" s="74" t="s">
        <v>9579</v>
      </c>
    </row>
    <row r="1006" spans="1:31" ht="8.65" customHeight="1" x14ac:dyDescent="0.2">
      <c r="A1006" s="76">
        <v>1006</v>
      </c>
      <c r="B1006" s="67" t="str">
        <f>MID(C1006, FIND("Ifc.", C1006) + 4, 4) &amp; "_" &amp; TEXT(COUNTIF($C$2:C1006, C1006),"0000")</f>
        <v>Prop_1005</v>
      </c>
      <c r="C1006" s="24" t="s">
        <v>872</v>
      </c>
      <c r="D1006" s="69" t="s">
        <v>9453</v>
      </c>
      <c r="E1006" s="70" t="s">
        <v>9454</v>
      </c>
      <c r="F1006" s="17" t="s">
        <v>806</v>
      </c>
      <c r="G1006" s="22" t="s">
        <v>2254</v>
      </c>
      <c r="H1006" s="12" t="s">
        <v>9703</v>
      </c>
      <c r="I1006" s="13" t="s">
        <v>7394</v>
      </c>
      <c r="J1006" s="14" t="s">
        <v>798</v>
      </c>
      <c r="K1006" s="15" t="s">
        <v>798</v>
      </c>
      <c r="L1006" s="12" t="s">
        <v>5315</v>
      </c>
      <c r="M1006" s="13" t="s">
        <v>5530</v>
      </c>
      <c r="N1006" s="12" t="s">
        <v>803</v>
      </c>
      <c r="O1006" s="13" t="s">
        <v>5145</v>
      </c>
      <c r="P1006" s="17" t="s">
        <v>802</v>
      </c>
      <c r="Q1006" s="21" t="s">
        <v>7750</v>
      </c>
      <c r="R1006" s="17" t="s">
        <v>801</v>
      </c>
      <c r="S1006" s="18" t="s">
        <v>2554</v>
      </c>
      <c r="T1006" s="17" t="s">
        <v>800</v>
      </c>
      <c r="U1006" s="18" t="s">
        <v>5233</v>
      </c>
      <c r="V1006" s="17" t="s">
        <v>9418</v>
      </c>
      <c r="W1006" s="18" t="s">
        <v>5309</v>
      </c>
      <c r="X1006" s="69" t="s">
        <v>9453</v>
      </c>
      <c r="Y1006" s="70" t="s">
        <v>9462</v>
      </c>
      <c r="Z1006" s="73" t="s">
        <v>9486</v>
      </c>
      <c r="AA1006" s="74" t="s">
        <v>9504</v>
      </c>
      <c r="AB1006" s="73" t="s">
        <v>9486</v>
      </c>
      <c r="AC1006" s="74" t="s">
        <v>9562</v>
      </c>
      <c r="AD1006" s="73" t="s">
        <v>9578</v>
      </c>
      <c r="AE1006" s="74" t="s">
        <v>9579</v>
      </c>
    </row>
    <row r="1007" spans="1:31" ht="8.65" customHeight="1" x14ac:dyDescent="0.2">
      <c r="A1007" s="76">
        <v>1007</v>
      </c>
      <c r="B1007" s="67" t="str">
        <f>MID(C1007, FIND("Ifc.", C1007) + 4, 4) &amp; "_" &amp; TEXT(COUNTIF($C$2:C1007, C1007),"0000")</f>
        <v>Prop_1006</v>
      </c>
      <c r="C1007" s="24" t="s">
        <v>872</v>
      </c>
      <c r="D1007" s="69" t="s">
        <v>9453</v>
      </c>
      <c r="E1007" s="70" t="s">
        <v>9454</v>
      </c>
      <c r="F1007" s="17" t="s">
        <v>806</v>
      </c>
      <c r="G1007" s="22" t="s">
        <v>2086</v>
      </c>
      <c r="H1007" s="12" t="s">
        <v>9703</v>
      </c>
      <c r="I1007" s="13" t="s">
        <v>7054</v>
      </c>
      <c r="J1007" s="14" t="s">
        <v>798</v>
      </c>
      <c r="K1007" s="15" t="s">
        <v>798</v>
      </c>
      <c r="L1007" s="12" t="s">
        <v>5315</v>
      </c>
      <c r="M1007" s="13" t="s">
        <v>5488</v>
      </c>
      <c r="N1007" s="12" t="s">
        <v>803</v>
      </c>
      <c r="O1007" s="13" t="s">
        <v>5096</v>
      </c>
      <c r="P1007" s="17" t="s">
        <v>802</v>
      </c>
      <c r="Q1007" s="21" t="s">
        <v>7886</v>
      </c>
      <c r="R1007" s="17" t="s">
        <v>801</v>
      </c>
      <c r="S1007" s="18" t="s">
        <v>2554</v>
      </c>
      <c r="T1007" s="17" t="s">
        <v>800</v>
      </c>
      <c r="U1007" s="18" t="s">
        <v>5233</v>
      </c>
      <c r="V1007" s="17" t="s">
        <v>9418</v>
      </c>
      <c r="W1007" s="18" t="s">
        <v>5310</v>
      </c>
      <c r="X1007" s="69" t="s">
        <v>9453</v>
      </c>
      <c r="Y1007" s="70" t="s">
        <v>9463</v>
      </c>
      <c r="Z1007" s="73" t="s">
        <v>9486</v>
      </c>
      <c r="AA1007" s="74" t="s">
        <v>9504</v>
      </c>
      <c r="AB1007" s="73" t="s">
        <v>9486</v>
      </c>
      <c r="AC1007" s="74" t="s">
        <v>9562</v>
      </c>
      <c r="AD1007" s="73" t="s">
        <v>9578</v>
      </c>
      <c r="AE1007" s="74" t="s">
        <v>9579</v>
      </c>
    </row>
    <row r="1008" spans="1:31" ht="8.65" customHeight="1" x14ac:dyDescent="0.2">
      <c r="A1008" s="76">
        <v>1008</v>
      </c>
      <c r="B1008" s="67" t="str">
        <f>MID(C1008, FIND("Ifc.", C1008) + 4, 4) &amp; "_" &amp; TEXT(COUNTIF($C$2:C1008, C1008),"0000")</f>
        <v>Prop_1007</v>
      </c>
      <c r="C1008" s="24" t="s">
        <v>872</v>
      </c>
      <c r="D1008" s="69" t="s">
        <v>9453</v>
      </c>
      <c r="E1008" s="70" t="s">
        <v>9454</v>
      </c>
      <c r="F1008" s="17" t="s">
        <v>806</v>
      </c>
      <c r="G1008" s="22" t="s">
        <v>1393</v>
      </c>
      <c r="H1008" s="12" t="s">
        <v>9703</v>
      </c>
      <c r="I1008" s="13" t="s">
        <v>7028</v>
      </c>
      <c r="J1008" s="14" t="s">
        <v>798</v>
      </c>
      <c r="K1008" s="15" t="s">
        <v>798</v>
      </c>
      <c r="L1008" s="12" t="s">
        <v>5315</v>
      </c>
      <c r="M1008" s="13" t="s">
        <v>5427</v>
      </c>
      <c r="N1008" s="12" t="s">
        <v>803</v>
      </c>
      <c r="O1008" s="13" t="s">
        <v>4925</v>
      </c>
      <c r="P1008" s="17" t="s">
        <v>802</v>
      </c>
      <c r="Q1008" s="21" t="s">
        <v>7922</v>
      </c>
      <c r="R1008" s="17" t="s">
        <v>801</v>
      </c>
      <c r="S1008" s="18" t="s">
        <v>2562</v>
      </c>
      <c r="T1008" s="17" t="s">
        <v>800</v>
      </c>
      <c r="U1008" s="18" t="s">
        <v>5256</v>
      </c>
      <c r="V1008" s="17" t="s">
        <v>9418</v>
      </c>
      <c r="W1008" s="18" t="s">
        <v>5309</v>
      </c>
      <c r="X1008" s="69" t="s">
        <v>9453</v>
      </c>
      <c r="Y1008" s="70" t="s">
        <v>9462</v>
      </c>
      <c r="Z1008" s="73" t="s">
        <v>9486</v>
      </c>
      <c r="AA1008" s="74" t="s">
        <v>9504</v>
      </c>
      <c r="AB1008" s="73" t="s">
        <v>9486</v>
      </c>
      <c r="AC1008" s="74" t="s">
        <v>9562</v>
      </c>
      <c r="AD1008" s="73" t="s">
        <v>9578</v>
      </c>
      <c r="AE1008" s="74" t="s">
        <v>9579</v>
      </c>
    </row>
    <row r="1009" spans="1:31" ht="8.65" customHeight="1" x14ac:dyDescent="0.2">
      <c r="A1009" s="76">
        <v>1009</v>
      </c>
      <c r="B1009" s="67" t="str">
        <f>MID(C1009, FIND("Ifc.", C1009) + 4, 4) &amp; "_" &amp; TEXT(COUNTIF($C$2:C1009, C1009),"0000")</f>
        <v>Prop_1008</v>
      </c>
      <c r="C1009" s="24" t="s">
        <v>872</v>
      </c>
      <c r="D1009" s="69" t="s">
        <v>9453</v>
      </c>
      <c r="E1009" s="70" t="s">
        <v>9454</v>
      </c>
      <c r="F1009" s="17" t="s">
        <v>806</v>
      </c>
      <c r="G1009" s="22" t="s">
        <v>1964</v>
      </c>
      <c r="H1009" s="12" t="s">
        <v>9703</v>
      </c>
      <c r="I1009" s="13" t="s">
        <v>6594</v>
      </c>
      <c r="J1009" s="14" t="s">
        <v>798</v>
      </c>
      <c r="K1009" s="15" t="s">
        <v>798</v>
      </c>
      <c r="L1009" s="12" t="s">
        <v>5315</v>
      </c>
      <c r="M1009" s="13" t="s">
        <v>5968</v>
      </c>
      <c r="N1009" s="12" t="s">
        <v>803</v>
      </c>
      <c r="O1009" s="13" t="s">
        <v>5069</v>
      </c>
      <c r="P1009" s="17" t="s">
        <v>802</v>
      </c>
      <c r="Q1009" s="21" t="s">
        <v>7843</v>
      </c>
      <c r="R1009" s="17" t="s">
        <v>801</v>
      </c>
      <c r="S1009" s="18" t="s">
        <v>2625</v>
      </c>
      <c r="T1009" s="17" t="s">
        <v>800</v>
      </c>
      <c r="U1009" s="18" t="s">
        <v>5240</v>
      </c>
      <c r="V1009" s="17" t="s">
        <v>9418</v>
      </c>
      <c r="W1009" s="18" t="s">
        <v>5309</v>
      </c>
      <c r="X1009" s="69" t="s">
        <v>9453</v>
      </c>
      <c r="Y1009" s="70" t="s">
        <v>9462</v>
      </c>
      <c r="Z1009" s="73" t="s">
        <v>9486</v>
      </c>
      <c r="AA1009" s="74" t="s">
        <v>9504</v>
      </c>
      <c r="AB1009" s="73" t="s">
        <v>9486</v>
      </c>
      <c r="AC1009" s="74" t="s">
        <v>9566</v>
      </c>
      <c r="AD1009" s="73" t="s">
        <v>9578</v>
      </c>
      <c r="AE1009" s="74" t="s">
        <v>9579</v>
      </c>
    </row>
    <row r="1010" spans="1:31" ht="8.65" customHeight="1" x14ac:dyDescent="0.2">
      <c r="A1010" s="76">
        <v>1010</v>
      </c>
      <c r="B1010" s="67" t="str">
        <f>MID(C1010, FIND("Ifc.", C1010) + 4, 4) &amp; "_" &amp; TEXT(COUNTIF($C$2:C1010, C1010),"0000")</f>
        <v>Prop_1009</v>
      </c>
      <c r="C1010" s="24" t="s">
        <v>872</v>
      </c>
      <c r="D1010" s="69" t="s">
        <v>9453</v>
      </c>
      <c r="E1010" s="70" t="s">
        <v>9454</v>
      </c>
      <c r="F1010" s="17" t="s">
        <v>806</v>
      </c>
      <c r="G1010" s="22" t="s">
        <v>1861</v>
      </c>
      <c r="H1010" s="12" t="s">
        <v>9703</v>
      </c>
      <c r="I1010" s="13" t="s">
        <v>6539</v>
      </c>
      <c r="J1010" s="14" t="s">
        <v>798</v>
      </c>
      <c r="K1010" s="15" t="s">
        <v>798</v>
      </c>
      <c r="L1010" s="12" t="s">
        <v>5315</v>
      </c>
      <c r="M1010" s="13" t="s">
        <v>5460</v>
      </c>
      <c r="N1010" s="12" t="s">
        <v>803</v>
      </c>
      <c r="O1010" s="13" t="s">
        <v>5037</v>
      </c>
      <c r="P1010" s="17" t="s">
        <v>802</v>
      </c>
      <c r="Q1010" s="21" t="s">
        <v>7782</v>
      </c>
      <c r="R1010" s="17" t="s">
        <v>801</v>
      </c>
      <c r="S1010" s="18" t="s">
        <v>2554</v>
      </c>
      <c r="T1010" s="17" t="s">
        <v>800</v>
      </c>
      <c r="U1010" s="18" t="s">
        <v>5233</v>
      </c>
      <c r="V1010" s="17" t="s">
        <v>9418</v>
      </c>
      <c r="W1010" s="18" t="s">
        <v>5309</v>
      </c>
      <c r="X1010" s="69" t="s">
        <v>9453</v>
      </c>
      <c r="Y1010" s="70" t="s">
        <v>9462</v>
      </c>
      <c r="Z1010" s="73" t="s">
        <v>9486</v>
      </c>
      <c r="AA1010" s="74" t="s">
        <v>9504</v>
      </c>
      <c r="AB1010" s="73" t="s">
        <v>9486</v>
      </c>
      <c r="AC1010" s="74" t="s">
        <v>9562</v>
      </c>
      <c r="AD1010" s="73" t="s">
        <v>9578</v>
      </c>
      <c r="AE1010" s="74" t="s">
        <v>9579</v>
      </c>
    </row>
    <row r="1011" spans="1:31" ht="8.65" customHeight="1" x14ac:dyDescent="0.2">
      <c r="A1011" s="76">
        <v>1011</v>
      </c>
      <c r="B1011" s="67" t="str">
        <f>MID(C1011, FIND("Ifc.", C1011) + 4, 4) &amp; "_" &amp; TEXT(COUNTIF($C$2:C1011, C1011),"0000")</f>
        <v>Prop_1010</v>
      </c>
      <c r="C1011" s="24" t="s">
        <v>872</v>
      </c>
      <c r="D1011" s="69" t="s">
        <v>9453</v>
      </c>
      <c r="E1011" s="70" t="s">
        <v>9454</v>
      </c>
      <c r="F1011" s="17" t="s">
        <v>806</v>
      </c>
      <c r="G1011" s="22" t="s">
        <v>1613</v>
      </c>
      <c r="H1011" s="12" t="s">
        <v>9703</v>
      </c>
      <c r="I1011" s="13" t="s">
        <v>6358</v>
      </c>
      <c r="J1011" s="14" t="s">
        <v>798</v>
      </c>
      <c r="K1011" s="15" t="s">
        <v>798</v>
      </c>
      <c r="L1011" s="12" t="s">
        <v>5315</v>
      </c>
      <c r="M1011" s="13" t="s">
        <v>5830</v>
      </c>
      <c r="N1011" s="12" t="s">
        <v>803</v>
      </c>
      <c r="O1011" s="13" t="s">
        <v>4972</v>
      </c>
      <c r="P1011" s="17" t="s">
        <v>802</v>
      </c>
      <c r="Q1011" s="21" t="s">
        <v>7879</v>
      </c>
      <c r="R1011" s="17" t="s">
        <v>801</v>
      </c>
      <c r="S1011" s="18" t="s">
        <v>3636</v>
      </c>
      <c r="T1011" s="17" t="s">
        <v>800</v>
      </c>
      <c r="U1011" s="18" t="s">
        <v>5257</v>
      </c>
      <c r="V1011" s="17" t="s">
        <v>9418</v>
      </c>
      <c r="W1011" s="18" t="s">
        <v>5314</v>
      </c>
      <c r="X1011" s="69" t="s">
        <v>9453</v>
      </c>
      <c r="Y1011" s="70" t="s">
        <v>9464</v>
      </c>
      <c r="Z1011" s="73" t="s">
        <v>9486</v>
      </c>
      <c r="AA1011" s="74" t="s">
        <v>9504</v>
      </c>
      <c r="AB1011" s="73" t="s">
        <v>9486</v>
      </c>
      <c r="AC1011" s="74" t="s">
        <v>9561</v>
      </c>
      <c r="AD1011" s="73" t="s">
        <v>9578</v>
      </c>
      <c r="AE1011" s="74" t="s">
        <v>9579</v>
      </c>
    </row>
    <row r="1012" spans="1:31" ht="8.65" customHeight="1" x14ac:dyDescent="0.2">
      <c r="A1012" s="76">
        <v>1012</v>
      </c>
      <c r="B1012" s="67" t="str">
        <f>MID(C1012, FIND("Ifc.", C1012) + 4, 4) &amp; "_" &amp; TEXT(COUNTIF($C$2:C1012, C1012),"0000")</f>
        <v>Prop_1011</v>
      </c>
      <c r="C1012" s="24" t="s">
        <v>872</v>
      </c>
      <c r="D1012" s="69" t="s">
        <v>9453</v>
      </c>
      <c r="E1012" s="70" t="s">
        <v>9454</v>
      </c>
      <c r="F1012" s="17" t="s">
        <v>806</v>
      </c>
      <c r="G1012" s="22" t="s">
        <v>2431</v>
      </c>
      <c r="H1012" s="12" t="s">
        <v>9703</v>
      </c>
      <c r="I1012" s="13" t="s">
        <v>6785</v>
      </c>
      <c r="J1012" s="14" t="s">
        <v>798</v>
      </c>
      <c r="K1012" s="15" t="s">
        <v>798</v>
      </c>
      <c r="L1012" s="12" t="s">
        <v>5315</v>
      </c>
      <c r="M1012" s="13" t="s">
        <v>5570</v>
      </c>
      <c r="N1012" s="12" t="s">
        <v>803</v>
      </c>
      <c r="O1012" s="13" t="s">
        <v>5203</v>
      </c>
      <c r="P1012" s="17" t="s">
        <v>802</v>
      </c>
      <c r="Q1012" s="21" t="s">
        <v>7900</v>
      </c>
      <c r="R1012" s="17" t="s">
        <v>801</v>
      </c>
      <c r="S1012" s="18" t="s">
        <v>2554</v>
      </c>
      <c r="T1012" s="17" t="s">
        <v>800</v>
      </c>
      <c r="U1012" s="18" t="s">
        <v>5233</v>
      </c>
      <c r="V1012" s="17" t="s">
        <v>9418</v>
      </c>
      <c r="W1012" s="18" t="s">
        <v>5310</v>
      </c>
      <c r="X1012" s="69" t="s">
        <v>9453</v>
      </c>
      <c r="Y1012" s="70" t="s">
        <v>9463</v>
      </c>
      <c r="Z1012" s="73" t="s">
        <v>9486</v>
      </c>
      <c r="AA1012" s="74" t="s">
        <v>9504</v>
      </c>
      <c r="AB1012" s="73" t="s">
        <v>9486</v>
      </c>
      <c r="AC1012" s="74" t="s">
        <v>9562</v>
      </c>
      <c r="AD1012" s="73" t="s">
        <v>9578</v>
      </c>
      <c r="AE1012" s="74" t="s">
        <v>9579</v>
      </c>
    </row>
    <row r="1013" spans="1:31" ht="8.65" customHeight="1" x14ac:dyDescent="0.2">
      <c r="A1013" s="76">
        <v>1013</v>
      </c>
      <c r="B1013" s="67" t="str">
        <f>MID(C1013, FIND("Ifc.", C1013) + 4, 4) &amp; "_" &amp; TEXT(COUNTIF($C$2:C1013, C1013),"0000")</f>
        <v>Prop_1012</v>
      </c>
      <c r="C1013" s="24" t="s">
        <v>872</v>
      </c>
      <c r="D1013" s="69" t="s">
        <v>9453</v>
      </c>
      <c r="E1013" s="70" t="s">
        <v>9454</v>
      </c>
      <c r="F1013" s="17" t="s">
        <v>806</v>
      </c>
      <c r="G1013" s="22" t="s">
        <v>1475</v>
      </c>
      <c r="H1013" s="12" t="s">
        <v>9703</v>
      </c>
      <c r="I1013" s="13" t="s">
        <v>6265</v>
      </c>
      <c r="J1013" s="14" t="s">
        <v>798</v>
      </c>
      <c r="K1013" s="15" t="s">
        <v>798</v>
      </c>
      <c r="L1013" s="12" t="s">
        <v>5315</v>
      </c>
      <c r="M1013" s="13" t="s">
        <v>5811</v>
      </c>
      <c r="N1013" s="12" t="s">
        <v>803</v>
      </c>
      <c r="O1013" s="13" t="s">
        <v>4945</v>
      </c>
      <c r="P1013" s="17" t="s">
        <v>802</v>
      </c>
      <c r="Q1013" s="21" t="s">
        <v>7698</v>
      </c>
      <c r="R1013" s="17" t="s">
        <v>801</v>
      </c>
      <c r="S1013" s="18" t="s">
        <v>2632</v>
      </c>
      <c r="T1013" s="17" t="s">
        <v>800</v>
      </c>
      <c r="U1013" s="18" t="s">
        <v>5270</v>
      </c>
      <c r="V1013" s="17" t="s">
        <v>9418</v>
      </c>
      <c r="W1013" s="18" t="s">
        <v>5309</v>
      </c>
      <c r="X1013" s="69" t="s">
        <v>9453</v>
      </c>
      <c r="Y1013" s="70" t="s">
        <v>9462</v>
      </c>
      <c r="Z1013" s="73" t="s">
        <v>9486</v>
      </c>
      <c r="AA1013" s="74" t="s">
        <v>9504</v>
      </c>
      <c r="AB1013" s="73" t="s">
        <v>9486</v>
      </c>
      <c r="AC1013" s="74" t="s">
        <v>9561</v>
      </c>
      <c r="AD1013" s="73" t="s">
        <v>9578</v>
      </c>
      <c r="AE1013" s="74" t="s">
        <v>9618</v>
      </c>
    </row>
    <row r="1014" spans="1:31" ht="8.65" customHeight="1" x14ac:dyDescent="0.2">
      <c r="A1014" s="76">
        <v>1014</v>
      </c>
      <c r="B1014" s="67" t="str">
        <f>MID(C1014, FIND("Ifc.", C1014) + 4, 4) &amp; "_" &amp; TEXT(COUNTIF($C$2:C1014, C1014),"0000")</f>
        <v>Prop_1013</v>
      </c>
      <c r="C1014" s="24" t="s">
        <v>872</v>
      </c>
      <c r="D1014" s="69" t="s">
        <v>9453</v>
      </c>
      <c r="E1014" s="70" t="s">
        <v>9454</v>
      </c>
      <c r="F1014" s="17" t="s">
        <v>806</v>
      </c>
      <c r="G1014" s="22" t="s">
        <v>1475</v>
      </c>
      <c r="H1014" s="12" t="s">
        <v>9703</v>
      </c>
      <c r="I1014" s="13" t="s">
        <v>6265</v>
      </c>
      <c r="J1014" s="14" t="s">
        <v>798</v>
      </c>
      <c r="K1014" s="15" t="s">
        <v>798</v>
      </c>
      <c r="L1014" s="12" t="s">
        <v>5315</v>
      </c>
      <c r="M1014" s="13" t="s">
        <v>5812</v>
      </c>
      <c r="N1014" s="12" t="s">
        <v>803</v>
      </c>
      <c r="O1014" s="13" t="s">
        <v>4946</v>
      </c>
      <c r="P1014" s="17" t="s">
        <v>802</v>
      </c>
      <c r="Q1014" s="21" t="s">
        <v>7895</v>
      </c>
      <c r="R1014" s="17" t="s">
        <v>801</v>
      </c>
      <c r="S1014" s="18" t="s">
        <v>2632</v>
      </c>
      <c r="T1014" s="17" t="s">
        <v>800</v>
      </c>
      <c r="U1014" s="18" t="s">
        <v>5270</v>
      </c>
      <c r="V1014" s="17" t="s">
        <v>9418</v>
      </c>
      <c r="W1014" s="18" t="s">
        <v>5309</v>
      </c>
      <c r="X1014" s="69" t="s">
        <v>9453</v>
      </c>
      <c r="Y1014" s="70" t="s">
        <v>9462</v>
      </c>
      <c r="Z1014" s="73" t="s">
        <v>9486</v>
      </c>
      <c r="AA1014" s="74" t="s">
        <v>9504</v>
      </c>
      <c r="AB1014" s="73" t="s">
        <v>9486</v>
      </c>
      <c r="AC1014" s="74" t="s">
        <v>9561</v>
      </c>
      <c r="AD1014" s="73" t="s">
        <v>9578</v>
      </c>
      <c r="AE1014" s="74" t="s">
        <v>9618</v>
      </c>
    </row>
    <row r="1015" spans="1:31" ht="8.65" customHeight="1" x14ac:dyDescent="0.2">
      <c r="A1015" s="76">
        <v>1015</v>
      </c>
      <c r="B1015" s="67" t="str">
        <f>MID(C1015, FIND("Ifc.", C1015) + 4, 4) &amp; "_" &amp; TEXT(COUNTIF($C$2:C1015, C1015),"0000")</f>
        <v>Prop_1014</v>
      </c>
      <c r="C1015" s="24" t="s">
        <v>872</v>
      </c>
      <c r="D1015" s="69" t="s">
        <v>9453</v>
      </c>
      <c r="E1015" s="70" t="s">
        <v>9454</v>
      </c>
      <c r="F1015" s="17" t="s">
        <v>806</v>
      </c>
      <c r="G1015" s="22" t="s">
        <v>1473</v>
      </c>
      <c r="H1015" s="12" t="s">
        <v>9703</v>
      </c>
      <c r="I1015" s="13" t="s">
        <v>6873</v>
      </c>
      <c r="J1015" s="14" t="s">
        <v>798</v>
      </c>
      <c r="K1015" s="15" t="s">
        <v>798</v>
      </c>
      <c r="L1015" s="12" t="s">
        <v>5315</v>
      </c>
      <c r="M1015" s="13" t="s">
        <v>5813</v>
      </c>
      <c r="N1015" s="12" t="s">
        <v>803</v>
      </c>
      <c r="O1015" s="13" t="s">
        <v>4947</v>
      </c>
      <c r="P1015" s="17" t="s">
        <v>802</v>
      </c>
      <c r="Q1015" s="21" t="s">
        <v>7794</v>
      </c>
      <c r="R1015" s="17" t="s">
        <v>801</v>
      </c>
      <c r="S1015" s="18" t="s">
        <v>2632</v>
      </c>
      <c r="T1015" s="17" t="s">
        <v>800</v>
      </c>
      <c r="U1015" s="18" t="s">
        <v>5270</v>
      </c>
      <c r="V1015" s="17" t="s">
        <v>9418</v>
      </c>
      <c r="W1015" s="18" t="s">
        <v>5309</v>
      </c>
      <c r="X1015" s="69" t="s">
        <v>9453</v>
      </c>
      <c r="Y1015" s="70" t="s">
        <v>9462</v>
      </c>
      <c r="Z1015" s="73" t="s">
        <v>9486</v>
      </c>
      <c r="AA1015" s="74" t="s">
        <v>9504</v>
      </c>
      <c r="AB1015" s="73" t="s">
        <v>9486</v>
      </c>
      <c r="AC1015" s="74" t="s">
        <v>9561</v>
      </c>
      <c r="AD1015" s="73" t="s">
        <v>9578</v>
      </c>
      <c r="AE1015" s="74" t="s">
        <v>9579</v>
      </c>
    </row>
    <row r="1016" spans="1:31" ht="8.65" customHeight="1" x14ac:dyDescent="0.2">
      <c r="A1016" s="76">
        <v>1016</v>
      </c>
      <c r="B1016" s="67" t="str">
        <f>MID(C1016, FIND("Ifc.", C1016) + 4, 4) &amp; "_" &amp; TEXT(COUNTIF($C$2:C1016, C1016),"0000")</f>
        <v>Prop_1015</v>
      </c>
      <c r="C1016" s="24" t="s">
        <v>872</v>
      </c>
      <c r="D1016" s="69" t="s">
        <v>9453</v>
      </c>
      <c r="E1016" s="70" t="s">
        <v>9454</v>
      </c>
      <c r="F1016" s="17" t="s">
        <v>806</v>
      </c>
      <c r="G1016" s="22" t="s">
        <v>1473</v>
      </c>
      <c r="H1016" s="12" t="s">
        <v>9703</v>
      </c>
      <c r="I1016" s="13" t="s">
        <v>6873</v>
      </c>
      <c r="J1016" s="14" t="s">
        <v>798</v>
      </c>
      <c r="K1016" s="15" t="s">
        <v>798</v>
      </c>
      <c r="L1016" s="12" t="s">
        <v>5315</v>
      </c>
      <c r="M1016" s="13" t="s">
        <v>5811</v>
      </c>
      <c r="N1016" s="12" t="s">
        <v>803</v>
      </c>
      <c r="O1016" s="13" t="s">
        <v>4945</v>
      </c>
      <c r="P1016" s="17" t="s">
        <v>802</v>
      </c>
      <c r="Q1016" s="21" t="s">
        <v>7698</v>
      </c>
      <c r="R1016" s="17" t="s">
        <v>801</v>
      </c>
      <c r="S1016" s="18" t="s">
        <v>2632</v>
      </c>
      <c r="T1016" s="17" t="s">
        <v>800</v>
      </c>
      <c r="U1016" s="18" t="s">
        <v>5270</v>
      </c>
      <c r="V1016" s="17" t="s">
        <v>9418</v>
      </c>
      <c r="W1016" s="18" t="s">
        <v>5309</v>
      </c>
      <c r="X1016" s="69" t="s">
        <v>9453</v>
      </c>
      <c r="Y1016" s="70" t="s">
        <v>9462</v>
      </c>
      <c r="Z1016" s="73" t="s">
        <v>9486</v>
      </c>
      <c r="AA1016" s="74" t="s">
        <v>9504</v>
      </c>
      <c r="AB1016" s="73" t="s">
        <v>9486</v>
      </c>
      <c r="AC1016" s="74" t="s">
        <v>9561</v>
      </c>
      <c r="AD1016" s="73" t="s">
        <v>9578</v>
      </c>
      <c r="AE1016" s="74" t="s">
        <v>9579</v>
      </c>
    </row>
    <row r="1017" spans="1:31" ht="8.65" customHeight="1" x14ac:dyDescent="0.2">
      <c r="A1017" s="76">
        <v>1017</v>
      </c>
      <c r="B1017" s="67" t="str">
        <f>MID(C1017, FIND("Ifc.", C1017) + 4, 4) &amp; "_" &amp; TEXT(COUNTIF($C$2:C1017, C1017),"0000")</f>
        <v>Prop_1016</v>
      </c>
      <c r="C1017" s="24" t="s">
        <v>872</v>
      </c>
      <c r="D1017" s="69" t="s">
        <v>9453</v>
      </c>
      <c r="E1017" s="70" t="s">
        <v>9454</v>
      </c>
      <c r="F1017" s="17" t="s">
        <v>806</v>
      </c>
      <c r="G1017" s="22" t="s">
        <v>1473</v>
      </c>
      <c r="H1017" s="12" t="s">
        <v>9703</v>
      </c>
      <c r="I1017" s="13" t="s">
        <v>6873</v>
      </c>
      <c r="J1017" s="14" t="s">
        <v>798</v>
      </c>
      <c r="K1017" s="15" t="s">
        <v>798</v>
      </c>
      <c r="L1017" s="12" t="s">
        <v>5315</v>
      </c>
      <c r="M1017" s="13" t="s">
        <v>5812</v>
      </c>
      <c r="N1017" s="12" t="s">
        <v>803</v>
      </c>
      <c r="O1017" s="13" t="s">
        <v>4946</v>
      </c>
      <c r="P1017" s="17" t="s">
        <v>802</v>
      </c>
      <c r="Q1017" s="21" t="s">
        <v>7895</v>
      </c>
      <c r="R1017" s="17" t="s">
        <v>801</v>
      </c>
      <c r="S1017" s="18" t="s">
        <v>2632</v>
      </c>
      <c r="T1017" s="17" t="s">
        <v>800</v>
      </c>
      <c r="U1017" s="18" t="s">
        <v>5270</v>
      </c>
      <c r="V1017" s="17" t="s">
        <v>9418</v>
      </c>
      <c r="W1017" s="18" t="s">
        <v>5309</v>
      </c>
      <c r="X1017" s="69" t="s">
        <v>9453</v>
      </c>
      <c r="Y1017" s="70" t="s">
        <v>9462</v>
      </c>
      <c r="Z1017" s="73" t="s">
        <v>9486</v>
      </c>
      <c r="AA1017" s="74" t="s">
        <v>9504</v>
      </c>
      <c r="AB1017" s="73" t="s">
        <v>9486</v>
      </c>
      <c r="AC1017" s="74" t="s">
        <v>9561</v>
      </c>
      <c r="AD1017" s="73" t="s">
        <v>9578</v>
      </c>
      <c r="AE1017" s="74" t="s">
        <v>9579</v>
      </c>
    </row>
    <row r="1018" spans="1:31" ht="8.65" customHeight="1" x14ac:dyDescent="0.2">
      <c r="A1018" s="76">
        <v>1018</v>
      </c>
      <c r="B1018" s="67" t="str">
        <f>MID(C1018, FIND("Ifc.", C1018) + 4, 4) &amp; "_" &amp; TEXT(COUNTIF($C$2:C1018, C1018),"0000")</f>
        <v>Prop_1017</v>
      </c>
      <c r="C1018" s="24" t="s">
        <v>872</v>
      </c>
      <c r="D1018" s="69" t="s">
        <v>9453</v>
      </c>
      <c r="E1018" s="70" t="s">
        <v>9454</v>
      </c>
      <c r="F1018" s="17" t="s">
        <v>806</v>
      </c>
      <c r="G1018" s="22" t="s">
        <v>2465</v>
      </c>
      <c r="H1018" s="12" t="s">
        <v>9703</v>
      </c>
      <c r="I1018" s="13" t="s">
        <v>6801</v>
      </c>
      <c r="J1018" s="14" t="s">
        <v>798</v>
      </c>
      <c r="K1018" s="15" t="s">
        <v>798</v>
      </c>
      <c r="L1018" s="12" t="s">
        <v>5315</v>
      </c>
      <c r="M1018" s="13" t="s">
        <v>5575</v>
      </c>
      <c r="N1018" s="12" t="s">
        <v>803</v>
      </c>
      <c r="O1018" s="13" t="s">
        <v>5213</v>
      </c>
      <c r="P1018" s="17" t="s">
        <v>802</v>
      </c>
      <c r="Q1018" s="21" t="s">
        <v>7690</v>
      </c>
      <c r="R1018" s="17" t="s">
        <v>801</v>
      </c>
      <c r="S1018" s="18" t="s">
        <v>2553</v>
      </c>
      <c r="T1018" s="17" t="s">
        <v>800</v>
      </c>
      <c r="U1018" s="18" t="s">
        <v>5269</v>
      </c>
      <c r="V1018" s="17" t="s">
        <v>9418</v>
      </c>
      <c r="W1018" s="18" t="s">
        <v>5309</v>
      </c>
      <c r="X1018" s="69" t="s">
        <v>9453</v>
      </c>
      <c r="Y1018" s="70" t="s">
        <v>9462</v>
      </c>
      <c r="Z1018" s="73" t="s">
        <v>9486</v>
      </c>
      <c r="AA1018" s="74" t="s">
        <v>9504</v>
      </c>
      <c r="AB1018" s="73" t="s">
        <v>9486</v>
      </c>
      <c r="AC1018" s="74" t="s">
        <v>9561</v>
      </c>
      <c r="AD1018" s="73" t="s">
        <v>9578</v>
      </c>
      <c r="AE1018" s="74" t="s">
        <v>9579</v>
      </c>
    </row>
    <row r="1019" spans="1:31" ht="8.65" customHeight="1" x14ac:dyDescent="0.2">
      <c r="A1019" s="76">
        <v>1019</v>
      </c>
      <c r="B1019" s="67" t="str">
        <f>MID(C1019, FIND("Ifc.", C1019) + 4, 4) &amp; "_" &amp; TEXT(COUNTIF($C$2:C1019, C1019),"0000")</f>
        <v>Prop_1018</v>
      </c>
      <c r="C1019" s="24" t="s">
        <v>872</v>
      </c>
      <c r="D1019" s="69" t="s">
        <v>9453</v>
      </c>
      <c r="E1019" s="70" t="s">
        <v>9454</v>
      </c>
      <c r="F1019" s="17" t="s">
        <v>806</v>
      </c>
      <c r="G1019" s="22" t="s">
        <v>1198</v>
      </c>
      <c r="H1019" s="12" t="s">
        <v>9703</v>
      </c>
      <c r="I1019" s="13" t="s">
        <v>6865</v>
      </c>
      <c r="J1019" s="14" t="s">
        <v>798</v>
      </c>
      <c r="K1019" s="15" t="s">
        <v>798</v>
      </c>
      <c r="L1019" s="12" t="s">
        <v>5315</v>
      </c>
      <c r="M1019" s="13" t="s">
        <v>6053</v>
      </c>
      <c r="N1019" s="12" t="s">
        <v>803</v>
      </c>
      <c r="O1019" s="13" t="s">
        <v>4881</v>
      </c>
      <c r="P1019" s="17" t="s">
        <v>802</v>
      </c>
      <c r="Q1019" s="21" t="s">
        <v>7939</v>
      </c>
      <c r="R1019" s="17" t="s">
        <v>801</v>
      </c>
      <c r="S1019" s="18" t="s">
        <v>2667</v>
      </c>
      <c r="T1019" s="17" t="s">
        <v>800</v>
      </c>
      <c r="U1019" s="18" t="s">
        <v>5271</v>
      </c>
      <c r="V1019" s="17" t="s">
        <v>9418</v>
      </c>
      <c r="W1019" s="18" t="s">
        <v>5309</v>
      </c>
      <c r="X1019" s="69" t="s">
        <v>9453</v>
      </c>
      <c r="Y1019" s="70" t="s">
        <v>9462</v>
      </c>
      <c r="Z1019" s="73" t="s">
        <v>9486</v>
      </c>
      <c r="AA1019" s="74" t="s">
        <v>9504</v>
      </c>
      <c r="AB1019" s="73" t="s">
        <v>9486</v>
      </c>
      <c r="AC1019" s="74" t="s">
        <v>9561</v>
      </c>
      <c r="AD1019" s="73" t="s">
        <v>9578</v>
      </c>
      <c r="AE1019" s="74" t="s">
        <v>9579</v>
      </c>
    </row>
    <row r="1020" spans="1:31" ht="8.65" customHeight="1" x14ac:dyDescent="0.2">
      <c r="A1020" s="76">
        <v>1020</v>
      </c>
      <c r="B1020" s="67" t="str">
        <f>MID(C1020, FIND("Ifc.", C1020) + 4, 4) &amp; "_" &amp; TEXT(COUNTIF($C$2:C1020, C1020),"0000")</f>
        <v>Prop_1019</v>
      </c>
      <c r="C1020" s="24" t="s">
        <v>872</v>
      </c>
      <c r="D1020" s="69" t="s">
        <v>9453</v>
      </c>
      <c r="E1020" s="70" t="s">
        <v>9454</v>
      </c>
      <c r="F1020" s="17" t="s">
        <v>806</v>
      </c>
      <c r="G1020" s="22" t="s">
        <v>1199</v>
      </c>
      <c r="H1020" s="12" t="s">
        <v>9703</v>
      </c>
      <c r="I1020" s="13" t="s">
        <v>6866</v>
      </c>
      <c r="J1020" s="14" t="s">
        <v>798</v>
      </c>
      <c r="K1020" s="15" t="s">
        <v>798</v>
      </c>
      <c r="L1020" s="12" t="s">
        <v>5315</v>
      </c>
      <c r="M1020" s="13" t="s">
        <v>6053</v>
      </c>
      <c r="N1020" s="12" t="s">
        <v>803</v>
      </c>
      <c r="O1020" s="13" t="s">
        <v>4881</v>
      </c>
      <c r="P1020" s="17" t="s">
        <v>802</v>
      </c>
      <c r="Q1020" s="21" t="s">
        <v>7939</v>
      </c>
      <c r="R1020" s="17" t="s">
        <v>801</v>
      </c>
      <c r="S1020" s="18" t="s">
        <v>2667</v>
      </c>
      <c r="T1020" s="17" t="s">
        <v>800</v>
      </c>
      <c r="U1020" s="18" t="s">
        <v>5271</v>
      </c>
      <c r="V1020" s="17" t="s">
        <v>9418</v>
      </c>
      <c r="W1020" s="18" t="s">
        <v>5309</v>
      </c>
      <c r="X1020" s="69" t="s">
        <v>9453</v>
      </c>
      <c r="Y1020" s="70" t="s">
        <v>9462</v>
      </c>
      <c r="Z1020" s="73" t="s">
        <v>9486</v>
      </c>
      <c r="AA1020" s="74" t="s">
        <v>9504</v>
      </c>
      <c r="AB1020" s="73" t="s">
        <v>9486</v>
      </c>
      <c r="AC1020" s="74" t="s">
        <v>9561</v>
      </c>
      <c r="AD1020" s="73" t="s">
        <v>9578</v>
      </c>
      <c r="AE1020" s="74" t="s">
        <v>9579</v>
      </c>
    </row>
    <row r="1021" spans="1:31" ht="8.65" customHeight="1" x14ac:dyDescent="0.2">
      <c r="A1021" s="76">
        <v>1021</v>
      </c>
      <c r="B1021" s="67" t="str">
        <f>MID(C1021, FIND("Ifc.", C1021) + 4, 4) &amp; "_" &amp; TEXT(COUNTIF($C$2:C1021, C1021),"0000")</f>
        <v>Prop_1020</v>
      </c>
      <c r="C1021" s="24" t="s">
        <v>872</v>
      </c>
      <c r="D1021" s="69" t="s">
        <v>9453</v>
      </c>
      <c r="E1021" s="70" t="s">
        <v>9454</v>
      </c>
      <c r="F1021" s="17" t="s">
        <v>806</v>
      </c>
      <c r="G1021" s="22" t="s">
        <v>1909</v>
      </c>
      <c r="H1021" s="12" t="s">
        <v>9703</v>
      </c>
      <c r="I1021" s="13" t="s">
        <v>6570</v>
      </c>
      <c r="J1021" s="14" t="s">
        <v>798</v>
      </c>
      <c r="K1021" s="15" t="s">
        <v>798</v>
      </c>
      <c r="L1021" s="12" t="s">
        <v>5315</v>
      </c>
      <c r="M1021" s="13" t="s">
        <v>5467</v>
      </c>
      <c r="N1021" s="12" t="s">
        <v>803</v>
      </c>
      <c r="O1021" s="13" t="s">
        <v>5055</v>
      </c>
      <c r="P1021" s="17" t="s">
        <v>802</v>
      </c>
      <c r="Q1021" s="21" t="s">
        <v>7894</v>
      </c>
      <c r="R1021" s="17" t="s">
        <v>801</v>
      </c>
      <c r="S1021" s="18" t="s">
        <v>2632</v>
      </c>
      <c r="T1021" s="17" t="s">
        <v>800</v>
      </c>
      <c r="U1021" s="18" t="s">
        <v>5270</v>
      </c>
      <c r="V1021" s="17" t="s">
        <v>9418</v>
      </c>
      <c r="W1021" s="18" t="s">
        <v>5309</v>
      </c>
      <c r="X1021" s="69" t="s">
        <v>9453</v>
      </c>
      <c r="Y1021" s="70" t="s">
        <v>9462</v>
      </c>
      <c r="Z1021" s="73" t="s">
        <v>9486</v>
      </c>
      <c r="AA1021" s="74" t="s">
        <v>9504</v>
      </c>
      <c r="AB1021" s="73" t="s">
        <v>9486</v>
      </c>
      <c r="AC1021" s="74" t="s">
        <v>9561</v>
      </c>
      <c r="AD1021" s="73" t="s">
        <v>9578</v>
      </c>
      <c r="AE1021" s="74" t="s">
        <v>9579</v>
      </c>
    </row>
    <row r="1022" spans="1:31" ht="8.65" customHeight="1" x14ac:dyDescent="0.2">
      <c r="A1022" s="76">
        <v>1022</v>
      </c>
      <c r="B1022" s="67" t="str">
        <f>MID(C1022, FIND("Ifc.", C1022) + 4, 4) &amp; "_" &amp; TEXT(COUNTIF($C$2:C1022, C1022),"0000")</f>
        <v>Prop_1021</v>
      </c>
      <c r="C1022" s="24" t="s">
        <v>872</v>
      </c>
      <c r="D1022" s="69" t="s">
        <v>9453</v>
      </c>
      <c r="E1022" s="70" t="s">
        <v>9454</v>
      </c>
      <c r="F1022" s="17" t="s">
        <v>806</v>
      </c>
      <c r="G1022" s="22" t="s">
        <v>1051</v>
      </c>
      <c r="H1022" s="12" t="s">
        <v>9703</v>
      </c>
      <c r="I1022" s="13" t="s">
        <v>7118</v>
      </c>
      <c r="J1022" s="14" t="s">
        <v>798</v>
      </c>
      <c r="K1022" s="15" t="s">
        <v>798</v>
      </c>
      <c r="L1022" s="12" t="s">
        <v>5315</v>
      </c>
      <c r="M1022" s="13" t="s">
        <v>5388</v>
      </c>
      <c r="N1022" s="12" t="s">
        <v>803</v>
      </c>
      <c r="O1022" s="13" t="s">
        <v>4845</v>
      </c>
      <c r="P1022" s="17" t="s">
        <v>802</v>
      </c>
      <c r="Q1022" s="21" t="s">
        <v>7947</v>
      </c>
      <c r="R1022" s="17" t="s">
        <v>801</v>
      </c>
      <c r="S1022" s="18" t="s">
        <v>2559</v>
      </c>
      <c r="T1022" s="17" t="s">
        <v>800</v>
      </c>
      <c r="U1022" s="18" t="s">
        <v>5234</v>
      </c>
      <c r="V1022" s="17" t="s">
        <v>9418</v>
      </c>
      <c r="W1022" s="18" t="s">
        <v>5309</v>
      </c>
      <c r="X1022" s="69" t="s">
        <v>9453</v>
      </c>
      <c r="Y1022" s="70" t="s">
        <v>9462</v>
      </c>
      <c r="Z1022" s="73" t="s">
        <v>9486</v>
      </c>
      <c r="AA1022" s="74" t="s">
        <v>9504</v>
      </c>
      <c r="AB1022" s="73" t="s">
        <v>9486</v>
      </c>
      <c r="AC1022" s="74" t="s">
        <v>9562</v>
      </c>
      <c r="AD1022" s="73" t="s">
        <v>9578</v>
      </c>
      <c r="AE1022" s="74" t="s">
        <v>9579</v>
      </c>
    </row>
    <row r="1023" spans="1:31" ht="8.65" customHeight="1" x14ac:dyDescent="0.2">
      <c r="A1023" s="76">
        <v>1023</v>
      </c>
      <c r="B1023" s="67" t="str">
        <f>MID(C1023, FIND("Ifc.", C1023) + 4, 4) &amp; "_" &amp; TEXT(COUNTIF($C$2:C1023, C1023),"0000")</f>
        <v>Prop_1022</v>
      </c>
      <c r="C1023" s="24" t="s">
        <v>872</v>
      </c>
      <c r="D1023" s="69" t="s">
        <v>9453</v>
      </c>
      <c r="E1023" s="70" t="s">
        <v>9454</v>
      </c>
      <c r="F1023" s="17" t="s">
        <v>806</v>
      </c>
      <c r="G1023" s="22" t="s">
        <v>1052</v>
      </c>
      <c r="H1023" s="12" t="s">
        <v>9703</v>
      </c>
      <c r="I1023" s="13" t="s">
        <v>7117</v>
      </c>
      <c r="J1023" s="14" t="s">
        <v>798</v>
      </c>
      <c r="K1023" s="15" t="s">
        <v>798</v>
      </c>
      <c r="L1023" s="12" t="s">
        <v>5315</v>
      </c>
      <c r="M1023" s="13" t="s">
        <v>5388</v>
      </c>
      <c r="N1023" s="12" t="s">
        <v>803</v>
      </c>
      <c r="O1023" s="13" t="s">
        <v>4845</v>
      </c>
      <c r="P1023" s="17" t="s">
        <v>802</v>
      </c>
      <c r="Q1023" s="21" t="s">
        <v>7947</v>
      </c>
      <c r="R1023" s="17" t="s">
        <v>801</v>
      </c>
      <c r="S1023" s="18" t="s">
        <v>2559</v>
      </c>
      <c r="T1023" s="17" t="s">
        <v>800</v>
      </c>
      <c r="U1023" s="18" t="s">
        <v>5234</v>
      </c>
      <c r="V1023" s="17" t="s">
        <v>9418</v>
      </c>
      <c r="W1023" s="18" t="s">
        <v>5309</v>
      </c>
      <c r="X1023" s="69" t="s">
        <v>9453</v>
      </c>
      <c r="Y1023" s="70" t="s">
        <v>9462</v>
      </c>
      <c r="Z1023" s="73" t="s">
        <v>9486</v>
      </c>
      <c r="AA1023" s="74" t="s">
        <v>9504</v>
      </c>
      <c r="AB1023" s="73" t="s">
        <v>9486</v>
      </c>
      <c r="AC1023" s="74" t="s">
        <v>9562</v>
      </c>
      <c r="AD1023" s="73" t="s">
        <v>9578</v>
      </c>
      <c r="AE1023" s="74" t="s">
        <v>9579</v>
      </c>
    </row>
    <row r="1024" spans="1:31" ht="8.65" customHeight="1" x14ac:dyDescent="0.2">
      <c r="A1024" s="76">
        <v>1024</v>
      </c>
      <c r="B1024" s="67" t="str">
        <f>MID(C1024, FIND("Ifc.", C1024) + 4, 4) &amp; "_" &amp; TEXT(COUNTIF($C$2:C1024, C1024),"0000")</f>
        <v>Prop_1023</v>
      </c>
      <c r="C1024" s="24" t="s">
        <v>872</v>
      </c>
      <c r="D1024" s="69" t="s">
        <v>9453</v>
      </c>
      <c r="E1024" s="70" t="s">
        <v>9454</v>
      </c>
      <c r="F1024" s="17" t="s">
        <v>806</v>
      </c>
      <c r="G1024" s="22" t="s">
        <v>1516</v>
      </c>
      <c r="H1024" s="12" t="s">
        <v>9703</v>
      </c>
      <c r="I1024" s="13" t="s">
        <v>6352</v>
      </c>
      <c r="J1024" s="14" t="s">
        <v>798</v>
      </c>
      <c r="K1024" s="15" t="s">
        <v>798</v>
      </c>
      <c r="L1024" s="12" t="s">
        <v>5315</v>
      </c>
      <c r="M1024" s="13" t="s">
        <v>5444</v>
      </c>
      <c r="N1024" s="12" t="s">
        <v>803</v>
      </c>
      <c r="O1024" s="13" t="s">
        <v>4952</v>
      </c>
      <c r="P1024" s="17" t="s">
        <v>802</v>
      </c>
      <c r="Q1024" s="21" t="s">
        <v>7888</v>
      </c>
      <c r="R1024" s="17" t="s">
        <v>801</v>
      </c>
      <c r="S1024" s="18" t="s">
        <v>2559</v>
      </c>
      <c r="T1024" s="17" t="s">
        <v>800</v>
      </c>
      <c r="U1024" s="18" t="s">
        <v>5234</v>
      </c>
      <c r="V1024" s="17" t="s">
        <v>9418</v>
      </c>
      <c r="W1024" s="18" t="s">
        <v>5309</v>
      </c>
      <c r="X1024" s="69" t="s">
        <v>9453</v>
      </c>
      <c r="Y1024" s="70" t="s">
        <v>9462</v>
      </c>
      <c r="Z1024" s="73" t="s">
        <v>9486</v>
      </c>
      <c r="AA1024" s="74" t="s">
        <v>9504</v>
      </c>
      <c r="AB1024" s="73" t="s">
        <v>9486</v>
      </c>
      <c r="AC1024" s="74" t="s">
        <v>9562</v>
      </c>
      <c r="AD1024" s="73" t="s">
        <v>9578</v>
      </c>
      <c r="AE1024" s="74" t="s">
        <v>9579</v>
      </c>
    </row>
    <row r="1025" spans="1:31" ht="8.65" customHeight="1" x14ac:dyDescent="0.2">
      <c r="A1025" s="76">
        <v>1025</v>
      </c>
      <c r="B1025" s="67" t="str">
        <f>MID(C1025, FIND("Ifc.", C1025) + 4, 4) &amp; "_" &amp; TEXT(COUNTIF($C$2:C1025, C1025),"0000")</f>
        <v>Prop_1024</v>
      </c>
      <c r="C1025" s="24" t="s">
        <v>872</v>
      </c>
      <c r="D1025" s="69" t="s">
        <v>9453</v>
      </c>
      <c r="E1025" s="70" t="s">
        <v>9454</v>
      </c>
      <c r="F1025" s="17" t="s">
        <v>806</v>
      </c>
      <c r="G1025" s="22" t="s">
        <v>2235</v>
      </c>
      <c r="H1025" s="12" t="s">
        <v>9703</v>
      </c>
      <c r="I1025" s="13" t="s">
        <v>6682</v>
      </c>
      <c r="J1025" s="14" t="s">
        <v>798</v>
      </c>
      <c r="K1025" s="15" t="s">
        <v>798</v>
      </c>
      <c r="L1025" s="12" t="s">
        <v>5315</v>
      </c>
      <c r="M1025" s="13" t="s">
        <v>5514</v>
      </c>
      <c r="N1025" s="12" t="s">
        <v>803</v>
      </c>
      <c r="O1025" s="13" t="s">
        <v>5128</v>
      </c>
      <c r="P1025" s="17" t="s">
        <v>802</v>
      </c>
      <c r="Q1025" s="21" t="s">
        <v>7773</v>
      </c>
      <c r="R1025" s="17" t="s">
        <v>801</v>
      </c>
      <c r="S1025" s="18" t="s">
        <v>2559</v>
      </c>
      <c r="T1025" s="17" t="s">
        <v>800</v>
      </c>
      <c r="U1025" s="18" t="s">
        <v>5234</v>
      </c>
      <c r="V1025" s="17" t="s">
        <v>9418</v>
      </c>
      <c r="W1025" s="18" t="s">
        <v>5309</v>
      </c>
      <c r="X1025" s="69" t="s">
        <v>9453</v>
      </c>
      <c r="Y1025" s="70" t="s">
        <v>9462</v>
      </c>
      <c r="Z1025" s="73" t="s">
        <v>9486</v>
      </c>
      <c r="AA1025" s="74" t="s">
        <v>9504</v>
      </c>
      <c r="AB1025" s="73" t="s">
        <v>9486</v>
      </c>
      <c r="AC1025" s="74" t="s">
        <v>9562</v>
      </c>
      <c r="AD1025" s="73" t="s">
        <v>9578</v>
      </c>
      <c r="AE1025" s="74" t="s">
        <v>9579</v>
      </c>
    </row>
    <row r="1026" spans="1:31" ht="8.65" customHeight="1" x14ac:dyDescent="0.2">
      <c r="A1026" s="76">
        <v>1026</v>
      </c>
      <c r="B1026" s="67" t="str">
        <f>MID(C1026, FIND("Ifc.", C1026) + 4, 4) &amp; "_" &amp; TEXT(COUNTIF($C$2:C1026, C1026),"0000")</f>
        <v>Prop_1025</v>
      </c>
      <c r="C1026" s="24" t="s">
        <v>872</v>
      </c>
      <c r="D1026" s="69" t="s">
        <v>9453</v>
      </c>
      <c r="E1026" s="70" t="s">
        <v>9454</v>
      </c>
      <c r="F1026" s="17" t="s">
        <v>806</v>
      </c>
      <c r="G1026" s="22" t="s">
        <v>1176</v>
      </c>
      <c r="H1026" s="12" t="s">
        <v>9703</v>
      </c>
      <c r="I1026" s="13" t="s">
        <v>6212</v>
      </c>
      <c r="J1026" s="14" t="s">
        <v>798</v>
      </c>
      <c r="K1026" s="15" t="s">
        <v>798</v>
      </c>
      <c r="L1026" s="12" t="s">
        <v>5315</v>
      </c>
      <c r="M1026" s="13" t="s">
        <v>5399</v>
      </c>
      <c r="N1026" s="12" t="s">
        <v>803</v>
      </c>
      <c r="O1026" s="13" t="s">
        <v>4874</v>
      </c>
      <c r="P1026" s="17" t="s">
        <v>802</v>
      </c>
      <c r="Q1026" s="21" t="s">
        <v>7875</v>
      </c>
      <c r="R1026" s="17" t="s">
        <v>801</v>
      </c>
      <c r="S1026" s="18" t="s">
        <v>2559</v>
      </c>
      <c r="T1026" s="17" t="s">
        <v>800</v>
      </c>
      <c r="U1026" s="18" t="s">
        <v>5234</v>
      </c>
      <c r="V1026" s="17" t="s">
        <v>9418</v>
      </c>
      <c r="W1026" s="18" t="s">
        <v>5309</v>
      </c>
      <c r="X1026" s="69" t="s">
        <v>9453</v>
      </c>
      <c r="Y1026" s="70" t="s">
        <v>9462</v>
      </c>
      <c r="Z1026" s="73" t="s">
        <v>9486</v>
      </c>
      <c r="AA1026" s="74" t="s">
        <v>9504</v>
      </c>
      <c r="AB1026" s="73" t="s">
        <v>9486</v>
      </c>
      <c r="AC1026" s="74" t="s">
        <v>9562</v>
      </c>
      <c r="AD1026" s="73" t="s">
        <v>9578</v>
      </c>
      <c r="AE1026" s="74" t="s">
        <v>9579</v>
      </c>
    </row>
    <row r="1027" spans="1:31" ht="8.65" customHeight="1" x14ac:dyDescent="0.2">
      <c r="A1027" s="76">
        <v>1027</v>
      </c>
      <c r="B1027" s="67" t="str">
        <f>MID(C1027, FIND("Ifc.", C1027) + 4, 4) &amp; "_" &amp; TEXT(COUNTIF($C$2:C1027, C1027),"0000")</f>
        <v>Prop_1026</v>
      </c>
      <c r="C1027" s="24" t="s">
        <v>872</v>
      </c>
      <c r="D1027" s="69" t="s">
        <v>9453</v>
      </c>
      <c r="E1027" s="70" t="s">
        <v>9454</v>
      </c>
      <c r="F1027" s="17" t="s">
        <v>806</v>
      </c>
      <c r="G1027" s="22" t="s">
        <v>2168</v>
      </c>
      <c r="H1027" s="12" t="s">
        <v>9703</v>
      </c>
      <c r="I1027" s="13" t="s">
        <v>6659</v>
      </c>
      <c r="J1027" s="14" t="s">
        <v>798</v>
      </c>
      <c r="K1027" s="15" t="s">
        <v>798</v>
      </c>
      <c r="L1027" s="12" t="s">
        <v>5315</v>
      </c>
      <c r="M1027" s="13" t="s">
        <v>5500</v>
      </c>
      <c r="N1027" s="12" t="s">
        <v>803</v>
      </c>
      <c r="O1027" s="13" t="s">
        <v>5114</v>
      </c>
      <c r="P1027" s="17" t="s">
        <v>802</v>
      </c>
      <c r="Q1027" s="21" t="s">
        <v>7975</v>
      </c>
      <c r="R1027" s="17" t="s">
        <v>801</v>
      </c>
      <c r="S1027" s="18" t="s">
        <v>2560</v>
      </c>
      <c r="T1027" s="17" t="s">
        <v>800</v>
      </c>
      <c r="U1027" s="18" t="s">
        <v>5236</v>
      </c>
      <c r="V1027" s="17" t="s">
        <v>9418</v>
      </c>
      <c r="W1027" s="18" t="s">
        <v>5309</v>
      </c>
      <c r="X1027" s="69" t="s">
        <v>9453</v>
      </c>
      <c r="Y1027" s="70" t="s">
        <v>9462</v>
      </c>
      <c r="Z1027" s="73" t="s">
        <v>9486</v>
      </c>
      <c r="AA1027" s="74" t="s">
        <v>9504</v>
      </c>
      <c r="AB1027" s="73" t="s">
        <v>9486</v>
      </c>
      <c r="AC1027" s="74" t="s">
        <v>9562</v>
      </c>
      <c r="AD1027" s="73" t="s">
        <v>9578</v>
      </c>
      <c r="AE1027" s="74" t="s">
        <v>9579</v>
      </c>
    </row>
    <row r="1028" spans="1:31" ht="8.65" customHeight="1" x14ac:dyDescent="0.2">
      <c r="A1028" s="76">
        <v>1028</v>
      </c>
      <c r="B1028" s="67" t="str">
        <f>MID(C1028, FIND("Ifc.", C1028) + 4, 4) &amp; "_" &amp; TEXT(COUNTIF($C$2:C1028, C1028),"0000")</f>
        <v>Prop_1027</v>
      </c>
      <c r="C1028" s="24" t="s">
        <v>872</v>
      </c>
      <c r="D1028" s="69" t="s">
        <v>9453</v>
      </c>
      <c r="E1028" s="70" t="s">
        <v>9454</v>
      </c>
      <c r="F1028" s="17" t="s">
        <v>806</v>
      </c>
      <c r="G1028" s="22" t="s">
        <v>1108</v>
      </c>
      <c r="H1028" s="12" t="s">
        <v>9703</v>
      </c>
      <c r="I1028" s="13" t="s">
        <v>6161</v>
      </c>
      <c r="J1028" s="14" t="s">
        <v>798</v>
      </c>
      <c r="K1028" s="15" t="s">
        <v>798</v>
      </c>
      <c r="L1028" s="12" t="s">
        <v>5315</v>
      </c>
      <c r="M1028" s="13" t="s">
        <v>6037</v>
      </c>
      <c r="N1028" s="12" t="s">
        <v>803</v>
      </c>
      <c r="O1028" s="13" t="s">
        <v>4857</v>
      </c>
      <c r="P1028" s="17" t="s">
        <v>802</v>
      </c>
      <c r="Q1028" s="21" t="s">
        <v>7744</v>
      </c>
      <c r="R1028" s="17" t="s">
        <v>801</v>
      </c>
      <c r="S1028" s="18" t="s">
        <v>2619</v>
      </c>
      <c r="T1028" s="17" t="s">
        <v>800</v>
      </c>
      <c r="U1028" s="18" t="s">
        <v>5239</v>
      </c>
      <c r="V1028" s="17" t="s">
        <v>9418</v>
      </c>
      <c r="W1028" s="18" t="s">
        <v>5312</v>
      </c>
      <c r="X1028" s="69" t="s">
        <v>9453</v>
      </c>
      <c r="Y1028" s="70" t="s">
        <v>9465</v>
      </c>
      <c r="Z1028" s="73" t="s">
        <v>9486</v>
      </c>
      <c r="AA1028" s="74" t="s">
        <v>9504</v>
      </c>
      <c r="AB1028" s="73" t="s">
        <v>9486</v>
      </c>
      <c r="AC1028" s="74" t="s">
        <v>9566</v>
      </c>
      <c r="AD1028" s="73" t="s">
        <v>9578</v>
      </c>
      <c r="AE1028" s="74" t="s">
        <v>9579</v>
      </c>
    </row>
    <row r="1029" spans="1:31" ht="8.65" customHeight="1" x14ac:dyDescent="0.2">
      <c r="A1029" s="76">
        <v>1029</v>
      </c>
      <c r="B1029" s="67" t="str">
        <f>MID(C1029, FIND("Ifc.", C1029) + 4, 4) &amp; "_" &amp; TEXT(COUNTIF($C$2:C1029, C1029),"0000")</f>
        <v>Prop_1028</v>
      </c>
      <c r="C1029" s="24" t="s">
        <v>872</v>
      </c>
      <c r="D1029" s="69" t="s">
        <v>9453</v>
      </c>
      <c r="E1029" s="70" t="s">
        <v>9454</v>
      </c>
      <c r="F1029" s="17" t="s">
        <v>806</v>
      </c>
      <c r="G1029" s="22" t="s">
        <v>1108</v>
      </c>
      <c r="H1029" s="12" t="s">
        <v>9703</v>
      </c>
      <c r="I1029" s="13" t="s">
        <v>6161</v>
      </c>
      <c r="J1029" s="14" t="s">
        <v>798</v>
      </c>
      <c r="K1029" s="15" t="s">
        <v>798</v>
      </c>
      <c r="L1029" s="12" t="s">
        <v>5315</v>
      </c>
      <c r="M1029" s="13" t="s">
        <v>5892</v>
      </c>
      <c r="N1029" s="12" t="s">
        <v>803</v>
      </c>
      <c r="O1029" s="13" t="s">
        <v>4961</v>
      </c>
      <c r="P1029" s="17" t="s">
        <v>802</v>
      </c>
      <c r="Q1029" s="21" t="s">
        <v>7745</v>
      </c>
      <c r="R1029" s="17" t="s">
        <v>801</v>
      </c>
      <c r="S1029" s="18" t="s">
        <v>3636</v>
      </c>
      <c r="T1029" s="17" t="s">
        <v>800</v>
      </c>
      <c r="U1029" s="18" t="s">
        <v>5257</v>
      </c>
      <c r="V1029" s="17" t="s">
        <v>9418</v>
      </c>
      <c r="W1029" s="18" t="s">
        <v>5314</v>
      </c>
      <c r="X1029" s="69" t="s">
        <v>9453</v>
      </c>
      <c r="Y1029" s="70" t="s">
        <v>9464</v>
      </c>
      <c r="Z1029" s="73" t="s">
        <v>9486</v>
      </c>
      <c r="AA1029" s="74" t="s">
        <v>9504</v>
      </c>
      <c r="AB1029" s="73" t="s">
        <v>9486</v>
      </c>
      <c r="AC1029" s="74" t="s">
        <v>9561</v>
      </c>
      <c r="AD1029" s="73" t="s">
        <v>9578</v>
      </c>
      <c r="AE1029" s="74" t="s">
        <v>9579</v>
      </c>
    </row>
    <row r="1030" spans="1:31" ht="8.65" customHeight="1" x14ac:dyDescent="0.2">
      <c r="A1030" s="76">
        <v>1030</v>
      </c>
      <c r="B1030" s="67" t="str">
        <f>MID(C1030, FIND("Ifc.", C1030) + 4, 4) &amp; "_" &amp; TEXT(COUNTIF($C$2:C1030, C1030),"0000")</f>
        <v>Prop_1029</v>
      </c>
      <c r="C1030" s="24" t="s">
        <v>872</v>
      </c>
      <c r="D1030" s="69" t="s">
        <v>9453</v>
      </c>
      <c r="E1030" s="70" t="s">
        <v>9454</v>
      </c>
      <c r="F1030" s="17" t="s">
        <v>806</v>
      </c>
      <c r="G1030" s="22" t="s">
        <v>2167</v>
      </c>
      <c r="H1030" s="12" t="s">
        <v>9703</v>
      </c>
      <c r="I1030" s="13" t="s">
        <v>6658</v>
      </c>
      <c r="J1030" s="14" t="s">
        <v>798</v>
      </c>
      <c r="K1030" s="15" t="s">
        <v>798</v>
      </c>
      <c r="L1030" s="12" t="s">
        <v>5315</v>
      </c>
      <c r="M1030" s="13" t="s">
        <v>5500</v>
      </c>
      <c r="N1030" s="12" t="s">
        <v>803</v>
      </c>
      <c r="O1030" s="13" t="s">
        <v>5114</v>
      </c>
      <c r="P1030" s="17" t="s">
        <v>802</v>
      </c>
      <c r="Q1030" s="21" t="s">
        <v>7975</v>
      </c>
      <c r="R1030" s="17" t="s">
        <v>801</v>
      </c>
      <c r="S1030" s="18" t="s">
        <v>2608</v>
      </c>
      <c r="T1030" s="17" t="s">
        <v>800</v>
      </c>
      <c r="U1030" s="18" t="s">
        <v>5252</v>
      </c>
      <c r="V1030" s="17" t="s">
        <v>9418</v>
      </c>
      <c r="W1030" s="18" t="s">
        <v>5309</v>
      </c>
      <c r="X1030" s="69" t="s">
        <v>9453</v>
      </c>
      <c r="Y1030" s="70" t="s">
        <v>9462</v>
      </c>
      <c r="Z1030" s="73" t="s">
        <v>9486</v>
      </c>
      <c r="AA1030" s="74" t="s">
        <v>9504</v>
      </c>
      <c r="AB1030" s="73" t="s">
        <v>9486</v>
      </c>
      <c r="AC1030" s="74" t="s">
        <v>9566</v>
      </c>
      <c r="AD1030" s="73" t="s">
        <v>9578</v>
      </c>
      <c r="AE1030" s="74" t="s">
        <v>9579</v>
      </c>
    </row>
    <row r="1031" spans="1:31" ht="8.65" customHeight="1" x14ac:dyDescent="0.2">
      <c r="A1031" s="76">
        <v>1031</v>
      </c>
      <c r="B1031" s="67" t="str">
        <f>MID(C1031, FIND("Ifc.", C1031) + 4, 4) &amp; "_" &amp; TEXT(COUNTIF($C$2:C1031, C1031),"0000")</f>
        <v>Prop_1030</v>
      </c>
      <c r="C1031" s="24" t="s">
        <v>872</v>
      </c>
      <c r="D1031" s="69" t="s">
        <v>9453</v>
      </c>
      <c r="E1031" s="70" t="s">
        <v>9454</v>
      </c>
      <c r="F1031" s="17" t="s">
        <v>806</v>
      </c>
      <c r="G1031" s="22" t="s">
        <v>2310</v>
      </c>
      <c r="H1031" s="12" t="s">
        <v>9703</v>
      </c>
      <c r="I1031" s="13" t="s">
        <v>6727</v>
      </c>
      <c r="J1031" s="14" t="s">
        <v>798</v>
      </c>
      <c r="K1031" s="15" t="s">
        <v>798</v>
      </c>
      <c r="L1031" s="12" t="s">
        <v>5315</v>
      </c>
      <c r="M1031" s="13" t="s">
        <v>5554</v>
      </c>
      <c r="N1031" s="12" t="s">
        <v>803</v>
      </c>
      <c r="O1031" s="13" t="s">
        <v>5168</v>
      </c>
      <c r="P1031" s="17" t="s">
        <v>802</v>
      </c>
      <c r="Q1031" s="21" t="s">
        <v>7816</v>
      </c>
      <c r="R1031" s="17" t="s">
        <v>801</v>
      </c>
      <c r="S1031" s="18" t="s">
        <v>2627</v>
      </c>
      <c r="T1031" s="17" t="s">
        <v>800</v>
      </c>
      <c r="U1031" s="18" t="s">
        <v>5307</v>
      </c>
      <c r="V1031" s="17" t="s">
        <v>9418</v>
      </c>
      <c r="W1031" s="18" t="s">
        <v>5309</v>
      </c>
      <c r="X1031" s="69" t="s">
        <v>9453</v>
      </c>
      <c r="Y1031" s="70" t="s">
        <v>9462</v>
      </c>
      <c r="Z1031" s="73" t="s">
        <v>9486</v>
      </c>
      <c r="AA1031" s="74" t="s">
        <v>9504</v>
      </c>
      <c r="AB1031" s="73" t="s">
        <v>9486</v>
      </c>
      <c r="AC1031" s="74" t="s">
        <v>9566</v>
      </c>
      <c r="AD1031" s="73" t="s">
        <v>9578</v>
      </c>
      <c r="AE1031" s="74" t="s">
        <v>9579</v>
      </c>
    </row>
    <row r="1032" spans="1:31" ht="8.65" customHeight="1" x14ac:dyDescent="0.2">
      <c r="A1032" s="76">
        <v>1032</v>
      </c>
      <c r="B1032" s="67" t="str">
        <f>MID(C1032, FIND("Ifc.", C1032) + 4, 4) &amp; "_" &amp; TEXT(COUNTIF($C$2:C1032, C1032),"0000")</f>
        <v>Prop_1031</v>
      </c>
      <c r="C1032" s="24" t="s">
        <v>872</v>
      </c>
      <c r="D1032" s="69" t="s">
        <v>9453</v>
      </c>
      <c r="E1032" s="70" t="s">
        <v>9454</v>
      </c>
      <c r="F1032" s="17" t="s">
        <v>806</v>
      </c>
      <c r="G1032" s="22" t="s">
        <v>967</v>
      </c>
      <c r="H1032" s="12" t="s">
        <v>9703</v>
      </c>
      <c r="I1032" s="13" t="s">
        <v>6088</v>
      </c>
      <c r="J1032" s="14" t="s">
        <v>798</v>
      </c>
      <c r="K1032" s="15" t="s">
        <v>798</v>
      </c>
      <c r="L1032" s="12" t="s">
        <v>5315</v>
      </c>
      <c r="M1032" s="13" t="s">
        <v>5985</v>
      </c>
      <c r="N1032" s="12" t="s">
        <v>803</v>
      </c>
      <c r="O1032" s="13" t="s">
        <v>4823</v>
      </c>
      <c r="P1032" s="17" t="s">
        <v>802</v>
      </c>
      <c r="Q1032" s="21" t="s">
        <v>7974</v>
      </c>
      <c r="R1032" s="17" t="s">
        <v>801</v>
      </c>
      <c r="S1032" s="18" t="s">
        <v>2606</v>
      </c>
      <c r="T1032" s="17" t="s">
        <v>800</v>
      </c>
      <c r="U1032" s="18" t="s">
        <v>5249</v>
      </c>
      <c r="V1032" s="17" t="s">
        <v>9418</v>
      </c>
      <c r="W1032" s="18" t="s">
        <v>5309</v>
      </c>
      <c r="X1032" s="69" t="s">
        <v>9453</v>
      </c>
      <c r="Y1032" s="70" t="s">
        <v>9462</v>
      </c>
      <c r="Z1032" s="73" t="s">
        <v>9486</v>
      </c>
      <c r="AA1032" s="74" t="s">
        <v>9504</v>
      </c>
      <c r="AB1032" s="73" t="s">
        <v>9486</v>
      </c>
      <c r="AC1032" s="74" t="s">
        <v>9566</v>
      </c>
      <c r="AD1032" s="73" t="s">
        <v>9578</v>
      </c>
      <c r="AE1032" s="74" t="s">
        <v>9579</v>
      </c>
    </row>
    <row r="1033" spans="1:31" ht="8.65" customHeight="1" x14ac:dyDescent="0.2">
      <c r="A1033" s="76">
        <v>1033</v>
      </c>
      <c r="B1033" s="67" t="str">
        <f>MID(C1033, FIND("Ifc.", C1033) + 4, 4) &amp; "_" &amp; TEXT(COUNTIF($C$2:C1033, C1033),"0000")</f>
        <v>Prop_1032</v>
      </c>
      <c r="C1033" s="24" t="s">
        <v>872</v>
      </c>
      <c r="D1033" s="69" t="s">
        <v>9453</v>
      </c>
      <c r="E1033" s="70" t="s">
        <v>9454</v>
      </c>
      <c r="F1033" s="17" t="s">
        <v>806</v>
      </c>
      <c r="G1033" s="22" t="s">
        <v>1841</v>
      </c>
      <c r="H1033" s="12" t="s">
        <v>9703</v>
      </c>
      <c r="I1033" s="13" t="s">
        <v>7032</v>
      </c>
      <c r="J1033" s="14" t="s">
        <v>798</v>
      </c>
      <c r="K1033" s="15" t="s">
        <v>798</v>
      </c>
      <c r="L1033" s="12" t="s">
        <v>5315</v>
      </c>
      <c r="M1033" s="13" t="s">
        <v>5946</v>
      </c>
      <c r="N1033" s="12" t="s">
        <v>803</v>
      </c>
      <c r="O1033" s="13" t="s">
        <v>5031</v>
      </c>
      <c r="P1033" s="17" t="s">
        <v>802</v>
      </c>
      <c r="Q1033" s="21" t="s">
        <v>7924</v>
      </c>
      <c r="R1033" s="17" t="s">
        <v>801</v>
      </c>
      <c r="S1033" s="18" t="s">
        <v>2669</v>
      </c>
      <c r="T1033" s="17" t="s">
        <v>800</v>
      </c>
      <c r="U1033" s="18" t="s">
        <v>5237</v>
      </c>
      <c r="V1033" s="17" t="s">
        <v>9418</v>
      </c>
      <c r="W1033" s="18" t="s">
        <v>5309</v>
      </c>
      <c r="X1033" s="69" t="s">
        <v>9453</v>
      </c>
      <c r="Y1033" s="70" t="s">
        <v>9462</v>
      </c>
      <c r="Z1033" s="73" t="s">
        <v>9486</v>
      </c>
      <c r="AA1033" s="74" t="s">
        <v>9504</v>
      </c>
      <c r="AB1033" s="73" t="s">
        <v>9486</v>
      </c>
      <c r="AC1033" s="74" t="s">
        <v>9562</v>
      </c>
      <c r="AD1033" s="73" t="s">
        <v>9578</v>
      </c>
      <c r="AE1033" s="74" t="s">
        <v>9579</v>
      </c>
    </row>
    <row r="1034" spans="1:31" ht="8.65" customHeight="1" x14ac:dyDescent="0.2">
      <c r="A1034" s="76">
        <v>1034</v>
      </c>
      <c r="B1034" s="67" t="str">
        <f>MID(C1034, FIND("Ifc.", C1034) + 4, 4) &amp; "_" &amp; TEXT(COUNTIF($C$2:C1034, C1034),"0000")</f>
        <v>Prop_1033</v>
      </c>
      <c r="C1034" s="24" t="s">
        <v>872</v>
      </c>
      <c r="D1034" s="69" t="s">
        <v>9453</v>
      </c>
      <c r="E1034" s="70" t="s">
        <v>9454</v>
      </c>
      <c r="F1034" s="17" t="s">
        <v>806</v>
      </c>
      <c r="G1034" s="22" t="s">
        <v>1857</v>
      </c>
      <c r="H1034" s="12" t="s">
        <v>9703</v>
      </c>
      <c r="I1034" s="13" t="s">
        <v>6065</v>
      </c>
      <c r="J1034" s="14" t="s">
        <v>798</v>
      </c>
      <c r="K1034" s="15" t="s">
        <v>798</v>
      </c>
      <c r="L1034" s="12" t="s">
        <v>5315</v>
      </c>
      <c r="M1034" s="13" t="s">
        <v>5948</v>
      </c>
      <c r="N1034" s="12" t="s">
        <v>803</v>
      </c>
      <c r="O1034" s="13" t="s">
        <v>5035</v>
      </c>
      <c r="P1034" s="17" t="s">
        <v>802</v>
      </c>
      <c r="Q1034" s="21" t="s">
        <v>7973</v>
      </c>
      <c r="R1034" s="17" t="s">
        <v>801</v>
      </c>
      <c r="S1034" s="18" t="s">
        <v>5230</v>
      </c>
      <c r="T1034" s="17" t="s">
        <v>800</v>
      </c>
      <c r="U1034" s="18" t="s">
        <v>5291</v>
      </c>
      <c r="V1034" s="17" t="s">
        <v>9418</v>
      </c>
      <c r="W1034" s="18" t="s">
        <v>9419</v>
      </c>
      <c r="X1034" s="69" t="s">
        <v>9453</v>
      </c>
      <c r="Y1034" s="70" t="s">
        <v>9468</v>
      </c>
      <c r="Z1034" s="73" t="s">
        <v>9486</v>
      </c>
      <c r="AA1034" s="74" t="s">
        <v>9504</v>
      </c>
      <c r="AB1034" s="73" t="s">
        <v>9486</v>
      </c>
      <c r="AC1034" s="74" t="s">
        <v>9566</v>
      </c>
      <c r="AD1034" s="73" t="s">
        <v>9578</v>
      </c>
      <c r="AE1034" s="74" t="s">
        <v>9579</v>
      </c>
    </row>
    <row r="1035" spans="1:31" ht="8.65" customHeight="1" x14ac:dyDescent="0.2">
      <c r="A1035" s="76">
        <v>1035</v>
      </c>
      <c r="B1035" s="67" t="str">
        <f>MID(C1035, FIND("Ifc.", C1035) + 4, 4) &amp; "_" &amp; TEXT(COUNTIF($C$2:C1035, C1035),"0000")</f>
        <v>Prop_1034</v>
      </c>
      <c r="C1035" s="24" t="s">
        <v>872</v>
      </c>
      <c r="D1035" s="69" t="s">
        <v>9453</v>
      </c>
      <c r="E1035" s="70" t="s">
        <v>9454</v>
      </c>
      <c r="F1035" s="17" t="s">
        <v>806</v>
      </c>
      <c r="G1035" s="22" t="s">
        <v>1867</v>
      </c>
      <c r="H1035" s="12" t="s">
        <v>9703</v>
      </c>
      <c r="I1035" s="13" t="s">
        <v>6543</v>
      </c>
      <c r="J1035" s="14" t="s">
        <v>798</v>
      </c>
      <c r="K1035" s="15" t="s">
        <v>798</v>
      </c>
      <c r="L1035" s="12" t="s">
        <v>5315</v>
      </c>
      <c r="M1035" s="13" t="s">
        <v>5460</v>
      </c>
      <c r="N1035" s="12" t="s">
        <v>803</v>
      </c>
      <c r="O1035" s="13" t="s">
        <v>5037</v>
      </c>
      <c r="P1035" s="17" t="s">
        <v>802</v>
      </c>
      <c r="Q1035" s="21" t="s">
        <v>7782</v>
      </c>
      <c r="R1035" s="17" t="s">
        <v>801</v>
      </c>
      <c r="S1035" s="18" t="s">
        <v>2625</v>
      </c>
      <c r="T1035" s="17" t="s">
        <v>800</v>
      </c>
      <c r="U1035" s="18" t="s">
        <v>5240</v>
      </c>
      <c r="V1035" s="17" t="s">
        <v>9418</v>
      </c>
      <c r="W1035" s="18" t="s">
        <v>5309</v>
      </c>
      <c r="X1035" s="69" t="s">
        <v>9453</v>
      </c>
      <c r="Y1035" s="70" t="s">
        <v>9462</v>
      </c>
      <c r="Z1035" s="73" t="s">
        <v>9486</v>
      </c>
      <c r="AA1035" s="74" t="s">
        <v>9504</v>
      </c>
      <c r="AB1035" s="73" t="s">
        <v>9486</v>
      </c>
      <c r="AC1035" s="74" t="s">
        <v>9566</v>
      </c>
      <c r="AD1035" s="73" t="s">
        <v>9578</v>
      </c>
      <c r="AE1035" s="74" t="s">
        <v>9579</v>
      </c>
    </row>
    <row r="1036" spans="1:31" ht="8.65" customHeight="1" x14ac:dyDescent="0.2">
      <c r="A1036" s="76">
        <v>1036</v>
      </c>
      <c r="B1036" s="67" t="str">
        <f>MID(C1036, FIND("Ifc.", C1036) + 4, 4) &amp; "_" &amp; TEXT(COUNTIF($C$2:C1036, C1036),"0000")</f>
        <v>Prop_1035</v>
      </c>
      <c r="C1036" s="24" t="s">
        <v>872</v>
      </c>
      <c r="D1036" s="69" t="s">
        <v>9453</v>
      </c>
      <c r="E1036" s="70" t="s">
        <v>9454</v>
      </c>
      <c r="F1036" s="17" t="s">
        <v>806</v>
      </c>
      <c r="G1036" s="22" t="s">
        <v>1715</v>
      </c>
      <c r="H1036" s="12" t="s">
        <v>9703</v>
      </c>
      <c r="I1036" s="13" t="s">
        <v>7226</v>
      </c>
      <c r="J1036" s="14" t="s">
        <v>798</v>
      </c>
      <c r="K1036" s="15" t="s">
        <v>798</v>
      </c>
      <c r="L1036" s="12" t="s">
        <v>5315</v>
      </c>
      <c r="M1036" s="13" t="s">
        <v>5930</v>
      </c>
      <c r="N1036" s="12" t="s">
        <v>803</v>
      </c>
      <c r="O1036" s="13" t="s">
        <v>5003</v>
      </c>
      <c r="P1036" s="17" t="s">
        <v>802</v>
      </c>
      <c r="Q1036" s="21" t="s">
        <v>7925</v>
      </c>
      <c r="R1036" s="17" t="s">
        <v>801</v>
      </c>
      <c r="S1036" s="18" t="s">
        <v>2585</v>
      </c>
      <c r="T1036" s="17" t="s">
        <v>800</v>
      </c>
      <c r="U1036" s="18" t="s">
        <v>5238</v>
      </c>
      <c r="V1036" s="17" t="s">
        <v>9418</v>
      </c>
      <c r="W1036" s="18" t="s">
        <v>5309</v>
      </c>
      <c r="X1036" s="69" t="s">
        <v>9453</v>
      </c>
      <c r="Y1036" s="70" t="s">
        <v>9462</v>
      </c>
      <c r="Z1036" s="73" t="s">
        <v>9486</v>
      </c>
      <c r="AA1036" s="74" t="s">
        <v>9504</v>
      </c>
      <c r="AB1036" s="73" t="s">
        <v>9486</v>
      </c>
      <c r="AC1036" s="74" t="s">
        <v>9566</v>
      </c>
      <c r="AD1036" s="73" t="s">
        <v>9578</v>
      </c>
      <c r="AE1036" s="74" t="s">
        <v>9704</v>
      </c>
    </row>
    <row r="1037" spans="1:31" ht="8.65" customHeight="1" x14ac:dyDescent="0.2">
      <c r="A1037" s="76">
        <v>1037</v>
      </c>
      <c r="B1037" s="67" t="str">
        <f>MID(C1037, FIND("Ifc.", C1037) + 4, 4) &amp; "_" &amp; TEXT(COUNTIF($C$2:C1037, C1037),"0000")</f>
        <v>Prop_1036</v>
      </c>
      <c r="C1037" s="24" t="s">
        <v>872</v>
      </c>
      <c r="D1037" s="69" t="s">
        <v>9453</v>
      </c>
      <c r="E1037" s="70" t="s">
        <v>9454</v>
      </c>
      <c r="F1037" s="17" t="s">
        <v>806</v>
      </c>
      <c r="G1037" s="22" t="s">
        <v>1710</v>
      </c>
      <c r="H1037" s="12" t="s">
        <v>9703</v>
      </c>
      <c r="I1037" s="13" t="s">
        <v>7015</v>
      </c>
      <c r="J1037" s="14" t="s">
        <v>798</v>
      </c>
      <c r="K1037" s="15" t="s">
        <v>798</v>
      </c>
      <c r="L1037" s="12" t="s">
        <v>5315</v>
      </c>
      <c r="M1037" s="13" t="s">
        <v>5929</v>
      </c>
      <c r="N1037" s="12" t="s">
        <v>803</v>
      </c>
      <c r="O1037" s="13" t="s">
        <v>5002</v>
      </c>
      <c r="P1037" s="17" t="s">
        <v>802</v>
      </c>
      <c r="Q1037" s="21" t="s">
        <v>7884</v>
      </c>
      <c r="R1037" s="17" t="s">
        <v>801</v>
      </c>
      <c r="S1037" s="18" t="s">
        <v>2585</v>
      </c>
      <c r="T1037" s="17" t="s">
        <v>800</v>
      </c>
      <c r="U1037" s="18" t="s">
        <v>5238</v>
      </c>
      <c r="V1037" s="17" t="s">
        <v>9418</v>
      </c>
      <c r="W1037" s="18" t="s">
        <v>5309</v>
      </c>
      <c r="X1037" s="69" t="s">
        <v>9453</v>
      </c>
      <c r="Y1037" s="70" t="s">
        <v>9462</v>
      </c>
      <c r="Z1037" s="73" t="s">
        <v>9486</v>
      </c>
      <c r="AA1037" s="74" t="s">
        <v>9504</v>
      </c>
      <c r="AB1037" s="73" t="s">
        <v>9486</v>
      </c>
      <c r="AC1037" s="74" t="s">
        <v>9566</v>
      </c>
      <c r="AD1037" s="73" t="s">
        <v>9578</v>
      </c>
      <c r="AE1037" s="74" t="s">
        <v>9704</v>
      </c>
    </row>
    <row r="1038" spans="1:31" ht="8.65" customHeight="1" x14ac:dyDescent="0.2">
      <c r="A1038" s="76">
        <v>1038</v>
      </c>
      <c r="B1038" s="67" t="str">
        <f>MID(C1038, FIND("Ifc.", C1038) + 4, 4) &amp; "_" &amp; TEXT(COUNTIF($C$2:C1038, C1038),"0000")</f>
        <v>Prop_1037</v>
      </c>
      <c r="C1038" s="24" t="s">
        <v>872</v>
      </c>
      <c r="D1038" s="69" t="s">
        <v>9453</v>
      </c>
      <c r="E1038" s="70" t="s">
        <v>9454</v>
      </c>
      <c r="F1038" s="17" t="s">
        <v>806</v>
      </c>
      <c r="G1038" s="22" t="s">
        <v>1709</v>
      </c>
      <c r="H1038" s="12" t="s">
        <v>9703</v>
      </c>
      <c r="I1038" s="13" t="s">
        <v>7014</v>
      </c>
      <c r="J1038" s="14" t="s">
        <v>798</v>
      </c>
      <c r="K1038" s="15" t="s">
        <v>798</v>
      </c>
      <c r="L1038" s="12" t="s">
        <v>5315</v>
      </c>
      <c r="M1038" s="13" t="s">
        <v>5929</v>
      </c>
      <c r="N1038" s="12" t="s">
        <v>803</v>
      </c>
      <c r="O1038" s="13" t="s">
        <v>5002</v>
      </c>
      <c r="P1038" s="17" t="s">
        <v>802</v>
      </c>
      <c r="Q1038" s="21" t="s">
        <v>7884</v>
      </c>
      <c r="R1038" s="17" t="s">
        <v>801</v>
      </c>
      <c r="S1038" s="18" t="s">
        <v>2585</v>
      </c>
      <c r="T1038" s="17" t="s">
        <v>800</v>
      </c>
      <c r="U1038" s="18" t="s">
        <v>5238</v>
      </c>
      <c r="V1038" s="17" t="s">
        <v>9418</v>
      </c>
      <c r="W1038" s="18" t="s">
        <v>5309</v>
      </c>
      <c r="X1038" s="69" t="s">
        <v>9453</v>
      </c>
      <c r="Y1038" s="70" t="s">
        <v>9462</v>
      </c>
      <c r="Z1038" s="73" t="s">
        <v>9486</v>
      </c>
      <c r="AA1038" s="74" t="s">
        <v>9504</v>
      </c>
      <c r="AB1038" s="73" t="s">
        <v>9486</v>
      </c>
      <c r="AC1038" s="74" t="s">
        <v>9566</v>
      </c>
      <c r="AD1038" s="73" t="s">
        <v>9578</v>
      </c>
      <c r="AE1038" s="74" t="s">
        <v>9704</v>
      </c>
    </row>
    <row r="1039" spans="1:31" ht="8.65" customHeight="1" x14ac:dyDescent="0.2">
      <c r="A1039" s="76">
        <v>1039</v>
      </c>
      <c r="B1039" s="67" t="str">
        <f>MID(C1039, FIND("Ifc.", C1039) + 4, 4) &amp; "_" &amp; TEXT(COUNTIF($C$2:C1039, C1039),"0000")</f>
        <v>Prop_1038</v>
      </c>
      <c r="C1039" s="24" t="s">
        <v>872</v>
      </c>
      <c r="D1039" s="69" t="s">
        <v>9453</v>
      </c>
      <c r="E1039" s="70" t="s">
        <v>9454</v>
      </c>
      <c r="F1039" s="17" t="s">
        <v>806</v>
      </c>
      <c r="G1039" s="22" t="s">
        <v>1706</v>
      </c>
      <c r="H1039" s="12" t="s">
        <v>9703</v>
      </c>
      <c r="I1039" s="13" t="s">
        <v>7449</v>
      </c>
      <c r="J1039" s="14" t="s">
        <v>798</v>
      </c>
      <c r="K1039" s="15" t="s">
        <v>798</v>
      </c>
      <c r="L1039" s="12" t="s">
        <v>5315</v>
      </c>
      <c r="M1039" s="13" t="s">
        <v>5902</v>
      </c>
      <c r="N1039" s="12" t="s">
        <v>803</v>
      </c>
      <c r="O1039" s="13" t="s">
        <v>5001</v>
      </c>
      <c r="P1039" s="17" t="s">
        <v>802</v>
      </c>
      <c r="Q1039" s="21" t="s">
        <v>7926</v>
      </c>
      <c r="R1039" s="17" t="s">
        <v>801</v>
      </c>
      <c r="S1039" s="18" t="s">
        <v>2585</v>
      </c>
      <c r="T1039" s="17" t="s">
        <v>800</v>
      </c>
      <c r="U1039" s="18" t="s">
        <v>5238</v>
      </c>
      <c r="V1039" s="17" t="s">
        <v>9418</v>
      </c>
      <c r="W1039" s="18" t="s">
        <v>5309</v>
      </c>
      <c r="X1039" s="69" t="s">
        <v>9453</v>
      </c>
      <c r="Y1039" s="70" t="s">
        <v>9462</v>
      </c>
      <c r="Z1039" s="73" t="s">
        <v>9486</v>
      </c>
      <c r="AA1039" s="74" t="s">
        <v>9504</v>
      </c>
      <c r="AB1039" s="73" t="s">
        <v>9486</v>
      </c>
      <c r="AC1039" s="74" t="s">
        <v>9566</v>
      </c>
      <c r="AD1039" s="73" t="s">
        <v>9578</v>
      </c>
      <c r="AE1039" s="74" t="s">
        <v>9704</v>
      </c>
    </row>
    <row r="1040" spans="1:31" ht="8.65" customHeight="1" x14ac:dyDescent="0.2">
      <c r="A1040" s="76">
        <v>1040</v>
      </c>
      <c r="B1040" s="67" t="str">
        <f>MID(C1040, FIND("Ifc.", C1040) + 4, 4) &amp; "_" &amp; TEXT(COUNTIF($C$2:C1040, C1040),"0000")</f>
        <v>Prop_1039</v>
      </c>
      <c r="C1040" s="24" t="s">
        <v>872</v>
      </c>
      <c r="D1040" s="69" t="s">
        <v>9453</v>
      </c>
      <c r="E1040" s="70" t="s">
        <v>9454</v>
      </c>
      <c r="F1040" s="17" t="s">
        <v>806</v>
      </c>
      <c r="G1040" s="22" t="s">
        <v>2122</v>
      </c>
      <c r="H1040" s="12" t="s">
        <v>9703</v>
      </c>
      <c r="I1040" s="13" t="s">
        <v>6178</v>
      </c>
      <c r="J1040" s="14" t="s">
        <v>798</v>
      </c>
      <c r="K1040" s="15" t="s">
        <v>798</v>
      </c>
      <c r="L1040" s="12" t="s">
        <v>5315</v>
      </c>
      <c r="M1040" s="13" t="s">
        <v>6055</v>
      </c>
      <c r="N1040" s="12" t="s">
        <v>803</v>
      </c>
      <c r="O1040" s="13" t="s">
        <v>5107</v>
      </c>
      <c r="P1040" s="17" t="s">
        <v>802</v>
      </c>
      <c r="Q1040" s="21" t="s">
        <v>7688</v>
      </c>
      <c r="R1040" s="17" t="s">
        <v>801</v>
      </c>
      <c r="S1040" s="18" t="s">
        <v>2575</v>
      </c>
      <c r="T1040" s="17" t="s">
        <v>800</v>
      </c>
      <c r="U1040" s="18" t="s">
        <v>5250</v>
      </c>
      <c r="V1040" s="17" t="s">
        <v>9418</v>
      </c>
      <c r="W1040" s="18" t="s">
        <v>5309</v>
      </c>
      <c r="X1040" s="69" t="s">
        <v>9453</v>
      </c>
      <c r="Y1040" s="70" t="s">
        <v>9462</v>
      </c>
      <c r="Z1040" s="73" t="s">
        <v>9486</v>
      </c>
      <c r="AA1040" s="74" t="s">
        <v>9504</v>
      </c>
      <c r="AB1040" s="73" t="s">
        <v>9486</v>
      </c>
      <c r="AC1040" s="74" t="s">
        <v>9566</v>
      </c>
      <c r="AD1040" s="73" t="s">
        <v>9578</v>
      </c>
      <c r="AE1040" s="74" t="s">
        <v>9579</v>
      </c>
    </row>
    <row r="1041" spans="1:31" ht="8.65" customHeight="1" x14ac:dyDescent="0.2">
      <c r="A1041" s="76">
        <v>1041</v>
      </c>
      <c r="B1041" s="67" t="str">
        <f>MID(C1041, FIND("Ifc.", C1041) + 4, 4) &amp; "_" &amp; TEXT(COUNTIF($C$2:C1041, C1041),"0000")</f>
        <v>Prop_1040</v>
      </c>
      <c r="C1041" s="24" t="s">
        <v>872</v>
      </c>
      <c r="D1041" s="69" t="s">
        <v>9453</v>
      </c>
      <c r="E1041" s="70" t="s">
        <v>9454</v>
      </c>
      <c r="F1041" s="17" t="s">
        <v>806</v>
      </c>
      <c r="G1041" s="22" t="s">
        <v>1131</v>
      </c>
      <c r="H1041" s="12" t="s">
        <v>9703</v>
      </c>
      <c r="I1041" s="13" t="s">
        <v>6176</v>
      </c>
      <c r="J1041" s="14" t="s">
        <v>798</v>
      </c>
      <c r="K1041" s="15" t="s">
        <v>798</v>
      </c>
      <c r="L1041" s="12" t="s">
        <v>5315</v>
      </c>
      <c r="M1041" s="13" t="s">
        <v>6040</v>
      </c>
      <c r="N1041" s="12" t="s">
        <v>803</v>
      </c>
      <c r="O1041" s="13" t="s">
        <v>4861</v>
      </c>
      <c r="P1041" s="17" t="s">
        <v>802</v>
      </c>
      <c r="Q1041" s="21" t="s">
        <v>7803</v>
      </c>
      <c r="R1041" s="17" t="s">
        <v>801</v>
      </c>
      <c r="S1041" s="18" t="s">
        <v>2575</v>
      </c>
      <c r="T1041" s="17" t="s">
        <v>800</v>
      </c>
      <c r="U1041" s="18" t="s">
        <v>5250</v>
      </c>
      <c r="V1041" s="17" t="s">
        <v>9418</v>
      </c>
      <c r="W1041" s="18" t="s">
        <v>5309</v>
      </c>
      <c r="X1041" s="69" t="s">
        <v>9453</v>
      </c>
      <c r="Y1041" s="70" t="s">
        <v>9462</v>
      </c>
      <c r="Z1041" s="73" t="s">
        <v>9486</v>
      </c>
      <c r="AA1041" s="74" t="s">
        <v>9504</v>
      </c>
      <c r="AB1041" s="73" t="s">
        <v>9486</v>
      </c>
      <c r="AC1041" s="74" t="s">
        <v>9566</v>
      </c>
      <c r="AD1041" s="73" t="s">
        <v>9578</v>
      </c>
      <c r="AE1041" s="74" t="s">
        <v>9579</v>
      </c>
    </row>
    <row r="1042" spans="1:31" ht="8.65" customHeight="1" x14ac:dyDescent="0.2">
      <c r="A1042" s="76">
        <v>1042</v>
      </c>
      <c r="B1042" s="67" t="str">
        <f>MID(C1042, FIND("Ifc.", C1042) + 4, 4) &amp; "_" &amp; TEXT(COUNTIF($C$2:C1042, C1042),"0000")</f>
        <v>Prop_1041</v>
      </c>
      <c r="C1042" s="24" t="s">
        <v>872</v>
      </c>
      <c r="D1042" s="69" t="s">
        <v>9453</v>
      </c>
      <c r="E1042" s="70" t="s">
        <v>9454</v>
      </c>
      <c r="F1042" s="17" t="s">
        <v>806</v>
      </c>
      <c r="G1042" s="22" t="s">
        <v>1131</v>
      </c>
      <c r="H1042" s="12" t="s">
        <v>9703</v>
      </c>
      <c r="I1042" s="13" t="s">
        <v>6176</v>
      </c>
      <c r="J1042" s="14" t="s">
        <v>798</v>
      </c>
      <c r="K1042" s="15" t="s">
        <v>798</v>
      </c>
      <c r="L1042" s="12" t="s">
        <v>5315</v>
      </c>
      <c r="M1042" s="13" t="s">
        <v>5462</v>
      </c>
      <c r="N1042" s="12" t="s">
        <v>803</v>
      </c>
      <c r="O1042" s="13" t="s">
        <v>5044</v>
      </c>
      <c r="P1042" s="17" t="s">
        <v>802</v>
      </c>
      <c r="Q1042" s="21" t="s">
        <v>7806</v>
      </c>
      <c r="R1042" s="17" t="s">
        <v>801</v>
      </c>
      <c r="S1042" s="18" t="s">
        <v>2575</v>
      </c>
      <c r="T1042" s="17" t="s">
        <v>800</v>
      </c>
      <c r="U1042" s="18" t="s">
        <v>5250</v>
      </c>
      <c r="V1042" s="17" t="s">
        <v>9418</v>
      </c>
      <c r="W1042" s="18" t="s">
        <v>5309</v>
      </c>
      <c r="X1042" s="69" t="s">
        <v>9453</v>
      </c>
      <c r="Y1042" s="70" t="s">
        <v>9462</v>
      </c>
      <c r="Z1042" s="73" t="s">
        <v>9486</v>
      </c>
      <c r="AA1042" s="74" t="s">
        <v>9504</v>
      </c>
      <c r="AB1042" s="73" t="s">
        <v>9486</v>
      </c>
      <c r="AC1042" s="74" t="s">
        <v>9566</v>
      </c>
      <c r="AD1042" s="73" t="s">
        <v>9578</v>
      </c>
      <c r="AE1042" s="74" t="s">
        <v>9579</v>
      </c>
    </row>
    <row r="1043" spans="1:31" ht="8.65" customHeight="1" x14ac:dyDescent="0.2">
      <c r="A1043" s="76">
        <v>1043</v>
      </c>
      <c r="B1043" s="67" t="str">
        <f>MID(C1043, FIND("Ifc.", C1043) + 4, 4) &amp; "_" &amp; TEXT(COUNTIF($C$2:C1043, C1043),"0000")</f>
        <v>Prop_1042</v>
      </c>
      <c r="C1043" s="24" t="s">
        <v>872</v>
      </c>
      <c r="D1043" s="69" t="s">
        <v>9453</v>
      </c>
      <c r="E1043" s="70" t="s">
        <v>9454</v>
      </c>
      <c r="F1043" s="17" t="s">
        <v>806</v>
      </c>
      <c r="G1043" s="22" t="s">
        <v>1131</v>
      </c>
      <c r="H1043" s="12" t="s">
        <v>9703</v>
      </c>
      <c r="I1043" s="13" t="s">
        <v>6176</v>
      </c>
      <c r="J1043" s="14" t="s">
        <v>798</v>
      </c>
      <c r="K1043" s="15" t="s">
        <v>798</v>
      </c>
      <c r="L1043" s="12" t="s">
        <v>5315</v>
      </c>
      <c r="M1043" s="13" t="s">
        <v>6056</v>
      </c>
      <c r="N1043" s="12" t="s">
        <v>803</v>
      </c>
      <c r="O1043" s="13" t="s">
        <v>5108</v>
      </c>
      <c r="P1043" s="17" t="s">
        <v>802</v>
      </c>
      <c r="Q1043" s="21" t="s">
        <v>7890</v>
      </c>
      <c r="R1043" s="17" t="s">
        <v>801</v>
      </c>
      <c r="S1043" s="18" t="s">
        <v>2575</v>
      </c>
      <c r="T1043" s="17" t="s">
        <v>800</v>
      </c>
      <c r="U1043" s="18" t="s">
        <v>5250</v>
      </c>
      <c r="V1043" s="17" t="s">
        <v>9418</v>
      </c>
      <c r="W1043" s="18" t="s">
        <v>5309</v>
      </c>
      <c r="X1043" s="69" t="s">
        <v>9453</v>
      </c>
      <c r="Y1043" s="70" t="s">
        <v>9462</v>
      </c>
      <c r="Z1043" s="73" t="s">
        <v>9486</v>
      </c>
      <c r="AA1043" s="74" t="s">
        <v>9504</v>
      </c>
      <c r="AB1043" s="73" t="s">
        <v>9486</v>
      </c>
      <c r="AC1043" s="74" t="s">
        <v>9566</v>
      </c>
      <c r="AD1043" s="73" t="s">
        <v>9578</v>
      </c>
      <c r="AE1043" s="74" t="s">
        <v>9579</v>
      </c>
    </row>
    <row r="1044" spans="1:31" ht="8.65" customHeight="1" x14ac:dyDescent="0.2">
      <c r="A1044" s="76">
        <v>1044</v>
      </c>
      <c r="B1044" s="67" t="str">
        <f>MID(C1044, FIND("Ifc.", C1044) + 4, 4) &amp; "_" &amp; TEXT(COUNTIF($C$2:C1044, C1044),"0000")</f>
        <v>Prop_1043</v>
      </c>
      <c r="C1044" s="24" t="s">
        <v>872</v>
      </c>
      <c r="D1044" s="69" t="s">
        <v>9453</v>
      </c>
      <c r="E1044" s="70" t="s">
        <v>9454</v>
      </c>
      <c r="F1044" s="17" t="s">
        <v>806</v>
      </c>
      <c r="G1044" s="22" t="s">
        <v>1131</v>
      </c>
      <c r="H1044" s="12" t="s">
        <v>9703</v>
      </c>
      <c r="I1044" s="13" t="s">
        <v>6176</v>
      </c>
      <c r="J1044" s="14" t="s">
        <v>798</v>
      </c>
      <c r="K1044" s="15" t="s">
        <v>798</v>
      </c>
      <c r="L1044" s="12" t="s">
        <v>5315</v>
      </c>
      <c r="M1044" s="13" t="s">
        <v>5520</v>
      </c>
      <c r="N1044" s="12" t="s">
        <v>803</v>
      </c>
      <c r="O1044" s="13" t="s">
        <v>5135</v>
      </c>
      <c r="P1044" s="17" t="s">
        <v>802</v>
      </c>
      <c r="Q1044" s="21" t="s">
        <v>7833</v>
      </c>
      <c r="R1044" s="17" t="s">
        <v>801</v>
      </c>
      <c r="S1044" s="18" t="s">
        <v>2575</v>
      </c>
      <c r="T1044" s="17" t="s">
        <v>800</v>
      </c>
      <c r="U1044" s="18" t="s">
        <v>5250</v>
      </c>
      <c r="V1044" s="17" t="s">
        <v>9418</v>
      </c>
      <c r="W1044" s="18" t="s">
        <v>5309</v>
      </c>
      <c r="X1044" s="69" t="s">
        <v>9453</v>
      </c>
      <c r="Y1044" s="70" t="s">
        <v>9462</v>
      </c>
      <c r="Z1044" s="73" t="s">
        <v>9486</v>
      </c>
      <c r="AA1044" s="74" t="s">
        <v>9504</v>
      </c>
      <c r="AB1044" s="73" t="s">
        <v>9486</v>
      </c>
      <c r="AC1044" s="74" t="s">
        <v>9566</v>
      </c>
      <c r="AD1044" s="73" t="s">
        <v>9578</v>
      </c>
      <c r="AE1044" s="74" t="s">
        <v>9579</v>
      </c>
    </row>
    <row r="1045" spans="1:31" ht="8.65" customHeight="1" x14ac:dyDescent="0.2">
      <c r="A1045" s="76">
        <v>1045</v>
      </c>
      <c r="B1045" s="67" t="str">
        <f>MID(C1045, FIND("Ifc.", C1045) + 4, 4) &amp; "_" &amp; TEXT(COUNTIF($C$2:C1045, C1045),"0000")</f>
        <v>Prop_1044</v>
      </c>
      <c r="C1045" s="24" t="s">
        <v>872</v>
      </c>
      <c r="D1045" s="69" t="s">
        <v>9453</v>
      </c>
      <c r="E1045" s="70" t="s">
        <v>9454</v>
      </c>
      <c r="F1045" s="17" t="s">
        <v>806</v>
      </c>
      <c r="G1045" s="22" t="s">
        <v>1131</v>
      </c>
      <c r="H1045" s="12" t="s">
        <v>9703</v>
      </c>
      <c r="I1045" s="13" t="s">
        <v>6176</v>
      </c>
      <c r="J1045" s="14" t="s">
        <v>798</v>
      </c>
      <c r="K1045" s="15" t="s">
        <v>798</v>
      </c>
      <c r="L1045" s="12" t="s">
        <v>5315</v>
      </c>
      <c r="M1045" s="13" t="s">
        <v>5579</v>
      </c>
      <c r="N1045" s="12" t="s">
        <v>803</v>
      </c>
      <c r="O1045" s="13" t="s">
        <v>5225</v>
      </c>
      <c r="P1045" s="17" t="s">
        <v>802</v>
      </c>
      <c r="Q1045" s="21" t="s">
        <v>7811</v>
      </c>
      <c r="R1045" s="17" t="s">
        <v>801</v>
      </c>
      <c r="S1045" s="18" t="s">
        <v>2575</v>
      </c>
      <c r="T1045" s="17" t="s">
        <v>800</v>
      </c>
      <c r="U1045" s="18" t="s">
        <v>5250</v>
      </c>
      <c r="V1045" s="17" t="s">
        <v>9418</v>
      </c>
      <c r="W1045" s="18" t="s">
        <v>5309</v>
      </c>
      <c r="X1045" s="69" t="s">
        <v>9453</v>
      </c>
      <c r="Y1045" s="70" t="s">
        <v>9462</v>
      </c>
      <c r="Z1045" s="73" t="s">
        <v>9486</v>
      </c>
      <c r="AA1045" s="74" t="s">
        <v>9504</v>
      </c>
      <c r="AB1045" s="73" t="s">
        <v>9486</v>
      </c>
      <c r="AC1045" s="74" t="s">
        <v>9566</v>
      </c>
      <c r="AD1045" s="73" t="s">
        <v>9578</v>
      </c>
      <c r="AE1045" s="74" t="s">
        <v>9579</v>
      </c>
    </row>
    <row r="1046" spans="1:31" ht="8.65" customHeight="1" x14ac:dyDescent="0.2">
      <c r="A1046" s="76">
        <v>1046</v>
      </c>
      <c r="B1046" s="67" t="str">
        <f>MID(C1046, FIND("Ifc.", C1046) + 4, 4) &amp; "_" &amp; TEXT(COUNTIF($C$2:C1046, C1046),"0000")</f>
        <v>Prop_1045</v>
      </c>
      <c r="C1046" s="24" t="s">
        <v>872</v>
      </c>
      <c r="D1046" s="69" t="s">
        <v>9453</v>
      </c>
      <c r="E1046" s="70" t="s">
        <v>9454</v>
      </c>
      <c r="F1046" s="17" t="s">
        <v>806</v>
      </c>
      <c r="G1046" s="22" t="s">
        <v>972</v>
      </c>
      <c r="H1046" s="12" t="s">
        <v>9703</v>
      </c>
      <c r="I1046" s="13" t="s">
        <v>6094</v>
      </c>
      <c r="J1046" s="14" t="s">
        <v>798</v>
      </c>
      <c r="K1046" s="15" t="s">
        <v>798</v>
      </c>
      <c r="L1046" s="12" t="s">
        <v>5315</v>
      </c>
      <c r="M1046" s="13" t="s">
        <v>5987</v>
      </c>
      <c r="N1046" s="12" t="s">
        <v>803</v>
      </c>
      <c r="O1046" s="13" t="s">
        <v>4825</v>
      </c>
      <c r="P1046" s="17" t="s">
        <v>802</v>
      </c>
      <c r="Q1046" s="21" t="s">
        <v>7950</v>
      </c>
      <c r="R1046" s="17" t="s">
        <v>801</v>
      </c>
      <c r="S1046" s="18" t="s">
        <v>2575</v>
      </c>
      <c r="T1046" s="17" t="s">
        <v>800</v>
      </c>
      <c r="U1046" s="18" t="s">
        <v>5250</v>
      </c>
      <c r="V1046" s="17" t="s">
        <v>9418</v>
      </c>
      <c r="W1046" s="18" t="s">
        <v>5312</v>
      </c>
      <c r="X1046" s="69" t="s">
        <v>9453</v>
      </c>
      <c r="Y1046" s="70" t="s">
        <v>9465</v>
      </c>
      <c r="Z1046" s="73" t="s">
        <v>9486</v>
      </c>
      <c r="AA1046" s="74" t="s">
        <v>9504</v>
      </c>
      <c r="AB1046" s="73" t="s">
        <v>9486</v>
      </c>
      <c r="AC1046" s="74" t="s">
        <v>9566</v>
      </c>
      <c r="AD1046" s="73" t="s">
        <v>9578</v>
      </c>
      <c r="AE1046" s="74" t="s">
        <v>9579</v>
      </c>
    </row>
    <row r="1047" spans="1:31" ht="8.65" customHeight="1" x14ac:dyDescent="0.2">
      <c r="A1047" s="76">
        <v>1047</v>
      </c>
      <c r="B1047" s="67" t="str">
        <f>MID(C1047, FIND("Ifc.", C1047) + 4, 4) &amp; "_" &amp; TEXT(COUNTIF($C$2:C1047, C1047),"0000")</f>
        <v>Prop_1046</v>
      </c>
      <c r="C1047" s="24" t="s">
        <v>872</v>
      </c>
      <c r="D1047" s="69" t="s">
        <v>9453</v>
      </c>
      <c r="E1047" s="70" t="s">
        <v>9454</v>
      </c>
      <c r="F1047" s="17" t="s">
        <v>806</v>
      </c>
      <c r="G1047" s="22" t="s">
        <v>973</v>
      </c>
      <c r="H1047" s="12" t="s">
        <v>9703</v>
      </c>
      <c r="I1047" s="13" t="s">
        <v>6095</v>
      </c>
      <c r="J1047" s="14" t="s">
        <v>798</v>
      </c>
      <c r="K1047" s="15" t="s">
        <v>798</v>
      </c>
      <c r="L1047" s="12" t="s">
        <v>5315</v>
      </c>
      <c r="M1047" s="13" t="s">
        <v>5987</v>
      </c>
      <c r="N1047" s="12" t="s">
        <v>803</v>
      </c>
      <c r="O1047" s="13" t="s">
        <v>4825</v>
      </c>
      <c r="P1047" s="17" t="s">
        <v>802</v>
      </c>
      <c r="Q1047" s="21" t="s">
        <v>7950</v>
      </c>
      <c r="R1047" s="17" t="s">
        <v>801</v>
      </c>
      <c r="S1047" s="18" t="s">
        <v>2575</v>
      </c>
      <c r="T1047" s="17" t="s">
        <v>800</v>
      </c>
      <c r="U1047" s="18" t="s">
        <v>5250</v>
      </c>
      <c r="V1047" s="17" t="s">
        <v>9418</v>
      </c>
      <c r="W1047" s="18" t="s">
        <v>5312</v>
      </c>
      <c r="X1047" s="69" t="s">
        <v>9453</v>
      </c>
      <c r="Y1047" s="70" t="s">
        <v>9465</v>
      </c>
      <c r="Z1047" s="73" t="s">
        <v>9486</v>
      </c>
      <c r="AA1047" s="74" t="s">
        <v>9504</v>
      </c>
      <c r="AB1047" s="73" t="s">
        <v>9486</v>
      </c>
      <c r="AC1047" s="74" t="s">
        <v>9566</v>
      </c>
      <c r="AD1047" s="73" t="s">
        <v>9578</v>
      </c>
      <c r="AE1047" s="74" t="s">
        <v>9579</v>
      </c>
    </row>
    <row r="1048" spans="1:31" ht="8.65" customHeight="1" x14ac:dyDescent="0.2">
      <c r="A1048" s="76">
        <v>1048</v>
      </c>
      <c r="B1048" s="67" t="str">
        <f>MID(C1048, FIND("Ifc.", C1048) + 4, 4) &amp; "_" &amp; TEXT(COUNTIF($C$2:C1048, C1048),"0000")</f>
        <v>Prop_1047</v>
      </c>
      <c r="C1048" s="24" t="s">
        <v>872</v>
      </c>
      <c r="D1048" s="69" t="s">
        <v>9453</v>
      </c>
      <c r="E1048" s="70" t="s">
        <v>9454</v>
      </c>
      <c r="F1048" s="17" t="s">
        <v>806</v>
      </c>
      <c r="G1048" s="22" t="s">
        <v>1461</v>
      </c>
      <c r="H1048" s="12" t="s">
        <v>9703</v>
      </c>
      <c r="I1048" s="13" t="s">
        <v>6341</v>
      </c>
      <c r="J1048" s="14" t="s">
        <v>798</v>
      </c>
      <c r="K1048" s="15" t="s">
        <v>798</v>
      </c>
      <c r="L1048" s="12" t="s">
        <v>5315</v>
      </c>
      <c r="M1048" s="13" t="s">
        <v>5439</v>
      </c>
      <c r="N1048" s="12" t="s">
        <v>803</v>
      </c>
      <c r="O1048" s="13" t="s">
        <v>4937</v>
      </c>
      <c r="P1048" s="17" t="s">
        <v>802</v>
      </c>
      <c r="Q1048" s="21" t="s">
        <v>7908</v>
      </c>
      <c r="R1048" s="17" t="s">
        <v>801</v>
      </c>
      <c r="S1048" s="18" t="s">
        <v>2560</v>
      </c>
      <c r="T1048" s="17" t="s">
        <v>800</v>
      </c>
      <c r="U1048" s="18" t="s">
        <v>5236</v>
      </c>
      <c r="V1048" s="17" t="s">
        <v>9418</v>
      </c>
      <c r="W1048" s="18" t="s">
        <v>5309</v>
      </c>
      <c r="X1048" s="69" t="s">
        <v>9453</v>
      </c>
      <c r="Y1048" s="70" t="s">
        <v>9462</v>
      </c>
      <c r="Z1048" s="73" t="s">
        <v>9486</v>
      </c>
      <c r="AA1048" s="74" t="s">
        <v>9504</v>
      </c>
      <c r="AB1048" s="73" t="s">
        <v>9486</v>
      </c>
      <c r="AC1048" s="74" t="s">
        <v>9562</v>
      </c>
      <c r="AD1048" s="73" t="s">
        <v>9578</v>
      </c>
      <c r="AE1048" s="74" t="s">
        <v>9579</v>
      </c>
    </row>
    <row r="1049" spans="1:31" ht="8.65" customHeight="1" x14ac:dyDescent="0.2">
      <c r="A1049" s="76">
        <v>1049</v>
      </c>
      <c r="B1049" s="67" t="str">
        <f>MID(C1049, FIND("Ifc.", C1049) + 4, 4) &amp; "_" &amp; TEXT(COUNTIF($C$2:C1049, C1049),"0000")</f>
        <v>Prop_1048</v>
      </c>
      <c r="C1049" s="24" t="s">
        <v>872</v>
      </c>
      <c r="D1049" s="69" t="s">
        <v>9453</v>
      </c>
      <c r="E1049" s="70" t="s">
        <v>9454</v>
      </c>
      <c r="F1049" s="17" t="s">
        <v>806</v>
      </c>
      <c r="G1049" s="22" t="s">
        <v>2315</v>
      </c>
      <c r="H1049" s="12" t="s">
        <v>9703</v>
      </c>
      <c r="I1049" s="13" t="s">
        <v>6951</v>
      </c>
      <c r="J1049" s="14" t="s">
        <v>798</v>
      </c>
      <c r="K1049" s="15" t="s">
        <v>798</v>
      </c>
      <c r="L1049" s="12" t="s">
        <v>5315</v>
      </c>
      <c r="M1049" s="13" t="s">
        <v>5555</v>
      </c>
      <c r="N1049" s="12" t="s">
        <v>803</v>
      </c>
      <c r="O1049" s="13" t="s">
        <v>5025</v>
      </c>
      <c r="P1049" s="17" t="s">
        <v>802</v>
      </c>
      <c r="Q1049" s="21" t="s">
        <v>7747</v>
      </c>
      <c r="R1049" s="17" t="s">
        <v>801</v>
      </c>
      <c r="S1049" s="18" t="s">
        <v>2625</v>
      </c>
      <c r="T1049" s="17" t="s">
        <v>800</v>
      </c>
      <c r="U1049" s="18" t="s">
        <v>5240</v>
      </c>
      <c r="V1049" s="17" t="s">
        <v>9418</v>
      </c>
      <c r="W1049" s="18" t="s">
        <v>5309</v>
      </c>
      <c r="X1049" s="69" t="s">
        <v>9453</v>
      </c>
      <c r="Y1049" s="70" t="s">
        <v>9462</v>
      </c>
      <c r="Z1049" s="73" t="s">
        <v>9486</v>
      </c>
      <c r="AA1049" s="74" t="s">
        <v>9504</v>
      </c>
      <c r="AB1049" s="73" t="s">
        <v>9486</v>
      </c>
      <c r="AC1049" s="74" t="s">
        <v>9566</v>
      </c>
      <c r="AD1049" s="73" t="s">
        <v>9578</v>
      </c>
      <c r="AE1049" s="74" t="s">
        <v>9579</v>
      </c>
    </row>
    <row r="1050" spans="1:31" ht="8.65" customHeight="1" x14ac:dyDescent="0.2">
      <c r="A1050" s="76">
        <v>1050</v>
      </c>
      <c r="B1050" s="67" t="str">
        <f>MID(C1050, FIND("Ifc.", C1050) + 4, 4) &amp; "_" &amp; TEXT(COUNTIF($C$2:C1050, C1050),"0000")</f>
        <v>Prop_1049</v>
      </c>
      <c r="C1050" s="24" t="s">
        <v>872</v>
      </c>
      <c r="D1050" s="69" t="s">
        <v>9453</v>
      </c>
      <c r="E1050" s="70" t="s">
        <v>9454</v>
      </c>
      <c r="F1050" s="17" t="s">
        <v>806</v>
      </c>
      <c r="G1050" s="22" t="s">
        <v>2374</v>
      </c>
      <c r="H1050" s="12" t="s">
        <v>9703</v>
      </c>
      <c r="I1050" s="13" t="s">
        <v>6755</v>
      </c>
      <c r="J1050" s="14" t="s">
        <v>798</v>
      </c>
      <c r="K1050" s="15" t="s">
        <v>798</v>
      </c>
      <c r="L1050" s="12" t="s">
        <v>5315</v>
      </c>
      <c r="M1050" s="13" t="s">
        <v>5781</v>
      </c>
      <c r="N1050" s="12" t="s">
        <v>803</v>
      </c>
      <c r="O1050" s="13" t="s">
        <v>5180</v>
      </c>
      <c r="P1050" s="17" t="s">
        <v>802</v>
      </c>
      <c r="Q1050" s="21" t="s">
        <v>7699</v>
      </c>
      <c r="R1050" s="17" t="s">
        <v>801</v>
      </c>
      <c r="S1050" s="18" t="s">
        <v>2562</v>
      </c>
      <c r="T1050" s="17" t="s">
        <v>800</v>
      </c>
      <c r="U1050" s="18" t="s">
        <v>5256</v>
      </c>
      <c r="V1050" s="17" t="s">
        <v>9418</v>
      </c>
      <c r="W1050" s="18" t="s">
        <v>5309</v>
      </c>
      <c r="X1050" s="69" t="s">
        <v>9453</v>
      </c>
      <c r="Y1050" s="70" t="s">
        <v>9462</v>
      </c>
      <c r="Z1050" s="73" t="s">
        <v>9486</v>
      </c>
      <c r="AA1050" s="74" t="s">
        <v>9504</v>
      </c>
      <c r="AB1050" s="73" t="s">
        <v>9486</v>
      </c>
      <c r="AC1050" s="74" t="s">
        <v>9562</v>
      </c>
      <c r="AD1050" s="73" t="s">
        <v>9578</v>
      </c>
      <c r="AE1050" s="74" t="s">
        <v>9579</v>
      </c>
    </row>
    <row r="1051" spans="1:31" ht="8.65" customHeight="1" x14ac:dyDescent="0.2">
      <c r="A1051" s="76">
        <v>1051</v>
      </c>
      <c r="B1051" s="67" t="str">
        <f>MID(C1051, FIND("Ifc.", C1051) + 4, 4) &amp; "_" &amp; TEXT(COUNTIF($C$2:C1051, C1051),"0000")</f>
        <v>Prop_1050</v>
      </c>
      <c r="C1051" s="24" t="s">
        <v>872</v>
      </c>
      <c r="D1051" s="69" t="s">
        <v>9453</v>
      </c>
      <c r="E1051" s="70" t="s">
        <v>9454</v>
      </c>
      <c r="F1051" s="17" t="s">
        <v>806</v>
      </c>
      <c r="G1051" s="22" t="s">
        <v>1634</v>
      </c>
      <c r="H1051" s="12" t="s">
        <v>9703</v>
      </c>
      <c r="I1051" s="13" t="s">
        <v>6390</v>
      </c>
      <c r="J1051" s="14" t="s">
        <v>798</v>
      </c>
      <c r="K1051" s="15" t="s">
        <v>798</v>
      </c>
      <c r="L1051" s="12" t="s">
        <v>5315</v>
      </c>
      <c r="M1051" s="13" t="s">
        <v>5835</v>
      </c>
      <c r="N1051" s="12" t="s">
        <v>803</v>
      </c>
      <c r="O1051" s="13" t="s">
        <v>4978</v>
      </c>
      <c r="P1051" s="17" t="s">
        <v>802</v>
      </c>
      <c r="Q1051" s="21" t="s">
        <v>7799</v>
      </c>
      <c r="R1051" s="17" t="s">
        <v>801</v>
      </c>
      <c r="S1051" s="18" t="s">
        <v>3636</v>
      </c>
      <c r="T1051" s="17" t="s">
        <v>800</v>
      </c>
      <c r="U1051" s="18" t="s">
        <v>5257</v>
      </c>
      <c r="V1051" s="17" t="s">
        <v>9418</v>
      </c>
      <c r="W1051" s="18" t="s">
        <v>5314</v>
      </c>
      <c r="X1051" s="69" t="s">
        <v>9453</v>
      </c>
      <c r="Y1051" s="70" t="s">
        <v>9464</v>
      </c>
      <c r="Z1051" s="73" t="s">
        <v>9486</v>
      </c>
      <c r="AA1051" s="74" t="s">
        <v>9504</v>
      </c>
      <c r="AB1051" s="73" t="s">
        <v>9486</v>
      </c>
      <c r="AC1051" s="74" t="s">
        <v>9561</v>
      </c>
      <c r="AD1051" s="73" t="s">
        <v>9578</v>
      </c>
      <c r="AE1051" s="74" t="s">
        <v>9579</v>
      </c>
    </row>
    <row r="1052" spans="1:31" ht="8.65" customHeight="1" x14ac:dyDescent="0.2">
      <c r="A1052" s="76">
        <v>1052</v>
      </c>
      <c r="B1052" s="67" t="str">
        <f>MID(C1052, FIND("Ifc.", C1052) + 4, 4) &amp; "_" &amp; TEXT(COUNTIF($C$2:C1052, C1052),"0000")</f>
        <v>Prop_1051</v>
      </c>
      <c r="C1052" s="24" t="s">
        <v>872</v>
      </c>
      <c r="D1052" s="69" t="s">
        <v>9453</v>
      </c>
      <c r="E1052" s="70" t="s">
        <v>9454</v>
      </c>
      <c r="F1052" s="17" t="s">
        <v>806</v>
      </c>
      <c r="G1052" s="22" t="s">
        <v>1634</v>
      </c>
      <c r="H1052" s="12" t="s">
        <v>9703</v>
      </c>
      <c r="I1052" s="13" t="s">
        <v>6390</v>
      </c>
      <c r="J1052" s="14" t="s">
        <v>798</v>
      </c>
      <c r="K1052" s="15" t="s">
        <v>798</v>
      </c>
      <c r="L1052" s="12" t="s">
        <v>5315</v>
      </c>
      <c r="M1052" s="13" t="s">
        <v>5836</v>
      </c>
      <c r="N1052" s="12" t="s">
        <v>803</v>
      </c>
      <c r="O1052" s="13" t="s">
        <v>4979</v>
      </c>
      <c r="P1052" s="17" t="s">
        <v>802</v>
      </c>
      <c r="Q1052" s="21" t="s">
        <v>7788</v>
      </c>
      <c r="R1052" s="17" t="s">
        <v>801</v>
      </c>
      <c r="S1052" s="18" t="s">
        <v>3636</v>
      </c>
      <c r="T1052" s="17" t="s">
        <v>800</v>
      </c>
      <c r="U1052" s="18" t="s">
        <v>5257</v>
      </c>
      <c r="V1052" s="17" t="s">
        <v>9418</v>
      </c>
      <c r="W1052" s="18" t="s">
        <v>5314</v>
      </c>
      <c r="X1052" s="69" t="s">
        <v>9453</v>
      </c>
      <c r="Y1052" s="70" t="s">
        <v>9464</v>
      </c>
      <c r="Z1052" s="73" t="s">
        <v>9486</v>
      </c>
      <c r="AA1052" s="74" t="s">
        <v>9504</v>
      </c>
      <c r="AB1052" s="73" t="s">
        <v>9486</v>
      </c>
      <c r="AC1052" s="74" t="s">
        <v>9561</v>
      </c>
      <c r="AD1052" s="73" t="s">
        <v>9578</v>
      </c>
      <c r="AE1052" s="74" t="s">
        <v>9579</v>
      </c>
    </row>
    <row r="1053" spans="1:31" ht="8.65" customHeight="1" x14ac:dyDescent="0.2">
      <c r="A1053" s="76">
        <v>1053</v>
      </c>
      <c r="B1053" s="67" t="str">
        <f>MID(C1053, FIND("Ifc.", C1053) + 4, 4) &amp; "_" &amp; TEXT(COUNTIF($C$2:C1053, C1053),"0000")</f>
        <v>Prop_1052</v>
      </c>
      <c r="C1053" s="24" t="s">
        <v>872</v>
      </c>
      <c r="D1053" s="69" t="s">
        <v>9453</v>
      </c>
      <c r="E1053" s="70" t="s">
        <v>9454</v>
      </c>
      <c r="F1053" s="17" t="s">
        <v>806</v>
      </c>
      <c r="G1053" s="22" t="s">
        <v>908</v>
      </c>
      <c r="H1053" s="12" t="s">
        <v>9703</v>
      </c>
      <c r="I1053" s="13" t="s">
        <v>7667</v>
      </c>
      <c r="J1053" s="14" t="s">
        <v>798</v>
      </c>
      <c r="K1053" s="15" t="s">
        <v>798</v>
      </c>
      <c r="L1053" s="12" t="s">
        <v>5315</v>
      </c>
      <c r="M1053" s="13" t="s">
        <v>5369</v>
      </c>
      <c r="N1053" s="12" t="s">
        <v>803</v>
      </c>
      <c r="O1053" s="13" t="s">
        <v>4810</v>
      </c>
      <c r="P1053" s="17" t="s">
        <v>802</v>
      </c>
      <c r="Q1053" s="21" t="s">
        <v>7681</v>
      </c>
      <c r="R1053" s="17" t="s">
        <v>801</v>
      </c>
      <c r="S1053" s="18" t="s">
        <v>2554</v>
      </c>
      <c r="T1053" s="17" t="s">
        <v>800</v>
      </c>
      <c r="U1053" s="18" t="s">
        <v>5233</v>
      </c>
      <c r="V1053" s="17" t="s">
        <v>9418</v>
      </c>
      <c r="W1053" s="18" t="s">
        <v>5309</v>
      </c>
      <c r="X1053" s="69" t="s">
        <v>9453</v>
      </c>
      <c r="Y1053" s="70" t="s">
        <v>9462</v>
      </c>
      <c r="Z1053" s="73" t="s">
        <v>9486</v>
      </c>
      <c r="AA1053" s="74" t="s">
        <v>9504</v>
      </c>
      <c r="AB1053" s="73" t="s">
        <v>9486</v>
      </c>
      <c r="AC1053" s="74" t="s">
        <v>9562</v>
      </c>
      <c r="AD1053" s="73" t="s">
        <v>9578</v>
      </c>
      <c r="AE1053" s="74" t="s">
        <v>9579</v>
      </c>
    </row>
    <row r="1054" spans="1:31" ht="8.65" customHeight="1" x14ac:dyDescent="0.2">
      <c r="A1054" s="76">
        <v>1054</v>
      </c>
      <c r="B1054" s="67" t="str">
        <f>MID(C1054, FIND("Ifc.", C1054) + 4, 4) &amp; "_" &amp; TEXT(COUNTIF($C$2:C1054, C1054),"0000")</f>
        <v>Prop_1053</v>
      </c>
      <c r="C1054" s="24" t="s">
        <v>872</v>
      </c>
      <c r="D1054" s="69" t="s">
        <v>9453</v>
      </c>
      <c r="E1054" s="70" t="s">
        <v>9454</v>
      </c>
      <c r="F1054" s="17" t="s">
        <v>806</v>
      </c>
      <c r="G1054" s="22" t="s">
        <v>908</v>
      </c>
      <c r="H1054" s="12" t="s">
        <v>9703</v>
      </c>
      <c r="I1054" s="13" t="s">
        <v>7667</v>
      </c>
      <c r="J1054" s="14" t="s">
        <v>798</v>
      </c>
      <c r="K1054" s="15" t="s">
        <v>798</v>
      </c>
      <c r="L1054" s="12" t="s">
        <v>5315</v>
      </c>
      <c r="M1054" s="13" t="s">
        <v>5477</v>
      </c>
      <c r="N1054" s="12" t="s">
        <v>803</v>
      </c>
      <c r="O1054" s="13" t="s">
        <v>5081</v>
      </c>
      <c r="P1054" s="17" t="s">
        <v>802</v>
      </c>
      <c r="Q1054" s="21" t="s">
        <v>7807</v>
      </c>
      <c r="R1054" s="17" t="s">
        <v>801</v>
      </c>
      <c r="S1054" s="18" t="s">
        <v>2554</v>
      </c>
      <c r="T1054" s="17" t="s">
        <v>800</v>
      </c>
      <c r="U1054" s="18" t="s">
        <v>5233</v>
      </c>
      <c r="V1054" s="17" t="s">
        <v>9418</v>
      </c>
      <c r="W1054" s="18" t="s">
        <v>5309</v>
      </c>
      <c r="X1054" s="69" t="s">
        <v>9453</v>
      </c>
      <c r="Y1054" s="70" t="s">
        <v>9462</v>
      </c>
      <c r="Z1054" s="73" t="s">
        <v>9486</v>
      </c>
      <c r="AA1054" s="74" t="s">
        <v>9504</v>
      </c>
      <c r="AB1054" s="73" t="s">
        <v>9486</v>
      </c>
      <c r="AC1054" s="74" t="s">
        <v>9562</v>
      </c>
      <c r="AD1054" s="73" t="s">
        <v>9578</v>
      </c>
      <c r="AE1054" s="74" t="s">
        <v>9579</v>
      </c>
    </row>
    <row r="1055" spans="1:31" ht="8.65" customHeight="1" x14ac:dyDescent="0.2">
      <c r="A1055" s="76">
        <v>1055</v>
      </c>
      <c r="B1055" s="67" t="str">
        <f>MID(C1055, FIND("Ifc.", C1055) + 4, 4) &amp; "_" &amp; TEXT(COUNTIF($C$2:C1055, C1055),"0000")</f>
        <v>Prop_1054</v>
      </c>
      <c r="C1055" s="24" t="s">
        <v>872</v>
      </c>
      <c r="D1055" s="69" t="s">
        <v>9453</v>
      </c>
      <c r="E1055" s="70" t="s">
        <v>9454</v>
      </c>
      <c r="F1055" s="17" t="s">
        <v>806</v>
      </c>
      <c r="G1055" s="22" t="s">
        <v>908</v>
      </c>
      <c r="H1055" s="12" t="s">
        <v>9703</v>
      </c>
      <c r="I1055" s="13" t="s">
        <v>7667</v>
      </c>
      <c r="J1055" s="14" t="s">
        <v>798</v>
      </c>
      <c r="K1055" s="15" t="s">
        <v>798</v>
      </c>
      <c r="L1055" s="12" t="s">
        <v>5315</v>
      </c>
      <c r="M1055" s="13" t="s">
        <v>5478</v>
      </c>
      <c r="N1055" s="12" t="s">
        <v>803</v>
      </c>
      <c r="O1055" s="13" t="s">
        <v>5082</v>
      </c>
      <c r="P1055" s="17" t="s">
        <v>802</v>
      </c>
      <c r="Q1055" s="21" t="s">
        <v>7824</v>
      </c>
      <c r="R1055" s="17" t="s">
        <v>801</v>
      </c>
      <c r="S1055" s="18" t="s">
        <v>2554</v>
      </c>
      <c r="T1055" s="17" t="s">
        <v>800</v>
      </c>
      <c r="U1055" s="18" t="s">
        <v>5233</v>
      </c>
      <c r="V1055" s="17" t="s">
        <v>9418</v>
      </c>
      <c r="W1055" s="18" t="s">
        <v>5309</v>
      </c>
      <c r="X1055" s="69" t="s">
        <v>9453</v>
      </c>
      <c r="Y1055" s="70" t="s">
        <v>9462</v>
      </c>
      <c r="Z1055" s="73" t="s">
        <v>9486</v>
      </c>
      <c r="AA1055" s="74" t="s">
        <v>9504</v>
      </c>
      <c r="AB1055" s="73" t="s">
        <v>9486</v>
      </c>
      <c r="AC1055" s="74" t="s">
        <v>9562</v>
      </c>
      <c r="AD1055" s="73" t="s">
        <v>9578</v>
      </c>
      <c r="AE1055" s="74" t="s">
        <v>9579</v>
      </c>
    </row>
    <row r="1056" spans="1:31" ht="8.65" customHeight="1" x14ac:dyDescent="0.2">
      <c r="A1056" s="76">
        <v>1056</v>
      </c>
      <c r="B1056" s="67" t="str">
        <f>MID(C1056, FIND("Ifc.", C1056) + 4, 4) &amp; "_" &amp; TEXT(COUNTIF($C$2:C1056, C1056),"0000")</f>
        <v>Prop_1055</v>
      </c>
      <c r="C1056" s="24" t="s">
        <v>872</v>
      </c>
      <c r="D1056" s="69" t="s">
        <v>9453</v>
      </c>
      <c r="E1056" s="70" t="s">
        <v>9454</v>
      </c>
      <c r="F1056" s="17" t="s">
        <v>806</v>
      </c>
      <c r="G1056" s="22" t="s">
        <v>908</v>
      </c>
      <c r="H1056" s="12" t="s">
        <v>9703</v>
      </c>
      <c r="I1056" s="13" t="s">
        <v>7667</v>
      </c>
      <c r="J1056" s="14" t="s">
        <v>798</v>
      </c>
      <c r="K1056" s="15" t="s">
        <v>798</v>
      </c>
      <c r="L1056" s="12" t="s">
        <v>5315</v>
      </c>
      <c r="M1056" s="13" t="s">
        <v>5556</v>
      </c>
      <c r="N1056" s="12" t="s">
        <v>803</v>
      </c>
      <c r="O1056" s="13" t="s">
        <v>5169</v>
      </c>
      <c r="P1056" s="17" t="s">
        <v>802</v>
      </c>
      <c r="Q1056" s="21" t="s">
        <v>7728</v>
      </c>
      <c r="R1056" s="17" t="s">
        <v>801</v>
      </c>
      <c r="S1056" s="18" t="s">
        <v>2554</v>
      </c>
      <c r="T1056" s="17" t="s">
        <v>800</v>
      </c>
      <c r="U1056" s="18" t="s">
        <v>5233</v>
      </c>
      <c r="V1056" s="17" t="s">
        <v>9418</v>
      </c>
      <c r="W1056" s="18" t="s">
        <v>5309</v>
      </c>
      <c r="X1056" s="69" t="s">
        <v>9453</v>
      </c>
      <c r="Y1056" s="70" t="s">
        <v>9462</v>
      </c>
      <c r="Z1056" s="73" t="s">
        <v>9486</v>
      </c>
      <c r="AA1056" s="74" t="s">
        <v>9504</v>
      </c>
      <c r="AB1056" s="73" t="s">
        <v>9486</v>
      </c>
      <c r="AC1056" s="74" t="s">
        <v>9562</v>
      </c>
      <c r="AD1056" s="73" t="s">
        <v>9578</v>
      </c>
      <c r="AE1056" s="74" t="s">
        <v>9579</v>
      </c>
    </row>
    <row r="1057" spans="1:31" ht="8.65" customHeight="1" x14ac:dyDescent="0.2">
      <c r="A1057" s="76">
        <v>1057</v>
      </c>
      <c r="B1057" s="67" t="str">
        <f>MID(C1057, FIND("Ifc.", C1057) + 4, 4) &amp; "_" &amp; TEXT(COUNTIF($C$2:C1057, C1057),"0000")</f>
        <v>Prop_1056</v>
      </c>
      <c r="C1057" s="24" t="s">
        <v>872</v>
      </c>
      <c r="D1057" s="69" t="s">
        <v>9453</v>
      </c>
      <c r="E1057" s="70" t="s">
        <v>9454</v>
      </c>
      <c r="F1057" s="17" t="s">
        <v>806</v>
      </c>
      <c r="G1057" s="22" t="s">
        <v>1394</v>
      </c>
      <c r="H1057" s="12" t="s">
        <v>9703</v>
      </c>
      <c r="I1057" s="13" t="s">
        <v>6516</v>
      </c>
      <c r="J1057" s="14" t="s">
        <v>798</v>
      </c>
      <c r="K1057" s="15" t="s">
        <v>798</v>
      </c>
      <c r="L1057" s="12" t="s">
        <v>5315</v>
      </c>
      <c r="M1057" s="13" t="s">
        <v>5427</v>
      </c>
      <c r="N1057" s="12" t="s">
        <v>803</v>
      </c>
      <c r="O1057" s="13" t="s">
        <v>4925</v>
      </c>
      <c r="P1057" s="17" t="s">
        <v>802</v>
      </c>
      <c r="Q1057" s="21" t="s">
        <v>7922</v>
      </c>
      <c r="R1057" s="17" t="s">
        <v>801</v>
      </c>
      <c r="S1057" s="18" t="s">
        <v>2562</v>
      </c>
      <c r="T1057" s="17" t="s">
        <v>800</v>
      </c>
      <c r="U1057" s="18" t="s">
        <v>5256</v>
      </c>
      <c r="V1057" s="17" t="s">
        <v>9418</v>
      </c>
      <c r="W1057" s="18" t="s">
        <v>5309</v>
      </c>
      <c r="X1057" s="69" t="s">
        <v>9453</v>
      </c>
      <c r="Y1057" s="70" t="s">
        <v>9462</v>
      </c>
      <c r="Z1057" s="73" t="s">
        <v>9486</v>
      </c>
      <c r="AA1057" s="74" t="s">
        <v>9504</v>
      </c>
      <c r="AB1057" s="73" t="s">
        <v>9486</v>
      </c>
      <c r="AC1057" s="74" t="s">
        <v>9562</v>
      </c>
      <c r="AD1057" s="73" t="s">
        <v>9578</v>
      </c>
      <c r="AE1057" s="74" t="s">
        <v>9579</v>
      </c>
    </row>
    <row r="1058" spans="1:31" ht="8.65" customHeight="1" x14ac:dyDescent="0.2">
      <c r="A1058" s="76">
        <v>1058</v>
      </c>
      <c r="B1058" s="67" t="str">
        <f>MID(C1058, FIND("Ifc.", C1058) + 4, 4) &amp; "_" &amp; TEXT(COUNTIF($C$2:C1058, C1058),"0000")</f>
        <v>Prop_1057</v>
      </c>
      <c r="C1058" s="24" t="s">
        <v>872</v>
      </c>
      <c r="D1058" s="69" t="s">
        <v>9453</v>
      </c>
      <c r="E1058" s="70" t="s">
        <v>9454</v>
      </c>
      <c r="F1058" s="17" t="s">
        <v>806</v>
      </c>
      <c r="G1058" s="22" t="s">
        <v>1398</v>
      </c>
      <c r="H1058" s="12" t="s">
        <v>9703</v>
      </c>
      <c r="I1058" s="13" t="s">
        <v>6517</v>
      </c>
      <c r="J1058" s="14" t="s">
        <v>798</v>
      </c>
      <c r="K1058" s="15" t="s">
        <v>798</v>
      </c>
      <c r="L1058" s="12" t="s">
        <v>5315</v>
      </c>
      <c r="M1058" s="13" t="s">
        <v>5427</v>
      </c>
      <c r="N1058" s="12" t="s">
        <v>803</v>
      </c>
      <c r="O1058" s="13" t="s">
        <v>4925</v>
      </c>
      <c r="P1058" s="17" t="s">
        <v>802</v>
      </c>
      <c r="Q1058" s="21" t="s">
        <v>7922</v>
      </c>
      <c r="R1058" s="17" t="s">
        <v>801</v>
      </c>
      <c r="S1058" s="18" t="s">
        <v>2562</v>
      </c>
      <c r="T1058" s="17" t="s">
        <v>800</v>
      </c>
      <c r="U1058" s="18" t="s">
        <v>5256</v>
      </c>
      <c r="V1058" s="17" t="s">
        <v>9418</v>
      </c>
      <c r="W1058" s="18" t="s">
        <v>5309</v>
      </c>
      <c r="X1058" s="69" t="s">
        <v>9453</v>
      </c>
      <c r="Y1058" s="70" t="s">
        <v>9462</v>
      </c>
      <c r="Z1058" s="73" t="s">
        <v>9486</v>
      </c>
      <c r="AA1058" s="74" t="s">
        <v>9504</v>
      </c>
      <c r="AB1058" s="73" t="s">
        <v>9486</v>
      </c>
      <c r="AC1058" s="74" t="s">
        <v>9562</v>
      </c>
      <c r="AD1058" s="73" t="s">
        <v>9578</v>
      </c>
      <c r="AE1058" s="74" t="s">
        <v>9579</v>
      </c>
    </row>
    <row r="1059" spans="1:31" ht="8.65" customHeight="1" x14ac:dyDescent="0.2">
      <c r="A1059" s="76">
        <v>1059</v>
      </c>
      <c r="B1059" s="67" t="str">
        <f>MID(C1059, FIND("Ifc.", C1059) + 4, 4) &amp; "_" &amp; TEXT(COUNTIF($C$2:C1059, C1059),"0000")</f>
        <v>Prop_1058</v>
      </c>
      <c r="C1059" s="24" t="s">
        <v>872</v>
      </c>
      <c r="D1059" s="69" t="s">
        <v>9453</v>
      </c>
      <c r="E1059" s="70" t="s">
        <v>9454</v>
      </c>
      <c r="F1059" s="17" t="s">
        <v>806</v>
      </c>
      <c r="G1059" s="22" t="s">
        <v>1799</v>
      </c>
      <c r="H1059" s="12" t="s">
        <v>9703</v>
      </c>
      <c r="I1059" s="13" t="s">
        <v>6506</v>
      </c>
      <c r="J1059" s="14" t="s">
        <v>798</v>
      </c>
      <c r="K1059" s="15" t="s">
        <v>798</v>
      </c>
      <c r="L1059" s="12" t="s">
        <v>5315</v>
      </c>
      <c r="M1059" s="13" t="s">
        <v>5455</v>
      </c>
      <c r="N1059" s="12" t="s">
        <v>803</v>
      </c>
      <c r="O1059" s="13" t="s">
        <v>5019</v>
      </c>
      <c r="P1059" s="17" t="s">
        <v>802</v>
      </c>
      <c r="Q1059" s="21" t="s">
        <v>7736</v>
      </c>
      <c r="R1059" s="17" t="s">
        <v>801</v>
      </c>
      <c r="S1059" s="18" t="s">
        <v>2565</v>
      </c>
      <c r="T1059" s="17" t="s">
        <v>800</v>
      </c>
      <c r="U1059" s="18" t="s">
        <v>5248</v>
      </c>
      <c r="V1059" s="17" t="s">
        <v>9418</v>
      </c>
      <c r="W1059" s="18" t="s">
        <v>5309</v>
      </c>
      <c r="X1059" s="69" t="s">
        <v>9453</v>
      </c>
      <c r="Y1059" s="70" t="s">
        <v>9462</v>
      </c>
      <c r="Z1059" s="73" t="s">
        <v>9486</v>
      </c>
      <c r="AA1059" s="74" t="s">
        <v>9504</v>
      </c>
      <c r="AB1059" s="73" t="s">
        <v>9486</v>
      </c>
      <c r="AC1059" s="74" t="s">
        <v>9562</v>
      </c>
      <c r="AD1059" s="73" t="s">
        <v>9578</v>
      </c>
      <c r="AE1059" s="74" t="s">
        <v>9579</v>
      </c>
    </row>
    <row r="1060" spans="1:31" ht="8.65" customHeight="1" x14ac:dyDescent="0.2">
      <c r="A1060" s="76">
        <v>1060</v>
      </c>
      <c r="B1060" s="67" t="str">
        <f>MID(C1060, FIND("Ifc.", C1060) + 4, 4) &amp; "_" &amp; TEXT(COUNTIF($C$2:C1060, C1060),"0000")</f>
        <v>Prop_1059</v>
      </c>
      <c r="C1060" s="24" t="s">
        <v>872</v>
      </c>
      <c r="D1060" s="69" t="s">
        <v>9453</v>
      </c>
      <c r="E1060" s="70" t="s">
        <v>9454</v>
      </c>
      <c r="F1060" s="17" t="s">
        <v>806</v>
      </c>
      <c r="G1060" s="22" t="s">
        <v>930</v>
      </c>
      <c r="H1060" s="12" t="s">
        <v>9703</v>
      </c>
      <c r="I1060" s="13" t="s">
        <v>6840</v>
      </c>
      <c r="J1060" s="14" t="s">
        <v>798</v>
      </c>
      <c r="K1060" s="15" t="s">
        <v>798</v>
      </c>
      <c r="L1060" s="12" t="s">
        <v>5315</v>
      </c>
      <c r="M1060" s="13" t="s">
        <v>5372</v>
      </c>
      <c r="N1060" s="12" t="s">
        <v>803</v>
      </c>
      <c r="O1060" s="13" t="s">
        <v>4813</v>
      </c>
      <c r="P1060" s="17" t="s">
        <v>802</v>
      </c>
      <c r="Q1060" s="21" t="s">
        <v>7812</v>
      </c>
      <c r="R1060" s="17" t="s">
        <v>801</v>
      </c>
      <c r="S1060" s="18" t="s">
        <v>2625</v>
      </c>
      <c r="T1060" s="17" t="s">
        <v>800</v>
      </c>
      <c r="U1060" s="18" t="s">
        <v>5240</v>
      </c>
      <c r="V1060" s="17" t="s">
        <v>9418</v>
      </c>
      <c r="W1060" s="18" t="s">
        <v>5309</v>
      </c>
      <c r="X1060" s="69" t="s">
        <v>9453</v>
      </c>
      <c r="Y1060" s="70" t="s">
        <v>9462</v>
      </c>
      <c r="Z1060" s="73" t="s">
        <v>9486</v>
      </c>
      <c r="AA1060" s="74" t="s">
        <v>9504</v>
      </c>
      <c r="AB1060" s="73" t="s">
        <v>9486</v>
      </c>
      <c r="AC1060" s="74" t="s">
        <v>9566</v>
      </c>
      <c r="AD1060" s="73" t="s">
        <v>9578</v>
      </c>
      <c r="AE1060" s="74" t="s">
        <v>9579</v>
      </c>
    </row>
    <row r="1061" spans="1:31" ht="8.65" customHeight="1" x14ac:dyDescent="0.2">
      <c r="A1061" s="76">
        <v>1061</v>
      </c>
      <c r="B1061" s="67" t="str">
        <f>MID(C1061, FIND("Ifc.", C1061) + 4, 4) &amp; "_" &amp; TEXT(COUNTIF($C$2:C1061, C1061),"0000")</f>
        <v>Prop_1060</v>
      </c>
      <c r="C1061" s="24" t="s">
        <v>872</v>
      </c>
      <c r="D1061" s="69" t="s">
        <v>9453</v>
      </c>
      <c r="E1061" s="70" t="s">
        <v>9454</v>
      </c>
      <c r="F1061" s="17" t="s">
        <v>806</v>
      </c>
      <c r="G1061" s="22" t="s">
        <v>929</v>
      </c>
      <c r="H1061" s="12" t="s">
        <v>9703</v>
      </c>
      <c r="I1061" s="13" t="s">
        <v>6841</v>
      </c>
      <c r="J1061" s="14" t="s">
        <v>798</v>
      </c>
      <c r="K1061" s="15" t="s">
        <v>798</v>
      </c>
      <c r="L1061" s="12" t="s">
        <v>5315</v>
      </c>
      <c r="M1061" s="13" t="s">
        <v>5372</v>
      </c>
      <c r="N1061" s="12" t="s">
        <v>803</v>
      </c>
      <c r="O1061" s="13" t="s">
        <v>4813</v>
      </c>
      <c r="P1061" s="17" t="s">
        <v>802</v>
      </c>
      <c r="Q1061" s="21" t="s">
        <v>7812</v>
      </c>
      <c r="R1061" s="17" t="s">
        <v>801</v>
      </c>
      <c r="S1061" s="18" t="s">
        <v>2625</v>
      </c>
      <c r="T1061" s="17" t="s">
        <v>800</v>
      </c>
      <c r="U1061" s="18" t="s">
        <v>5240</v>
      </c>
      <c r="V1061" s="17" t="s">
        <v>9418</v>
      </c>
      <c r="W1061" s="18" t="s">
        <v>5309</v>
      </c>
      <c r="X1061" s="69" t="s">
        <v>9453</v>
      </c>
      <c r="Y1061" s="70" t="s">
        <v>9462</v>
      </c>
      <c r="Z1061" s="73" t="s">
        <v>9486</v>
      </c>
      <c r="AA1061" s="74" t="s">
        <v>9504</v>
      </c>
      <c r="AB1061" s="73" t="s">
        <v>9486</v>
      </c>
      <c r="AC1061" s="74" t="s">
        <v>9566</v>
      </c>
      <c r="AD1061" s="73" t="s">
        <v>9578</v>
      </c>
      <c r="AE1061" s="74" t="s">
        <v>9579</v>
      </c>
    </row>
    <row r="1062" spans="1:31" ht="8.65" customHeight="1" x14ac:dyDescent="0.2">
      <c r="A1062" s="76">
        <v>1062</v>
      </c>
      <c r="B1062" s="67" t="str">
        <f>MID(C1062, FIND("Ifc.", C1062) + 4, 4) &amp; "_" &amp; TEXT(COUNTIF($C$2:C1062, C1062),"0000")</f>
        <v>Prop_1061</v>
      </c>
      <c r="C1062" s="24" t="s">
        <v>872</v>
      </c>
      <c r="D1062" s="69" t="s">
        <v>9453</v>
      </c>
      <c r="E1062" s="70" t="s">
        <v>9454</v>
      </c>
      <c r="F1062" s="17" t="s">
        <v>806</v>
      </c>
      <c r="G1062" s="22" t="s">
        <v>930</v>
      </c>
      <c r="H1062" s="12" t="s">
        <v>9703</v>
      </c>
      <c r="I1062" s="13" t="s">
        <v>6074</v>
      </c>
      <c r="J1062" s="14" t="s">
        <v>798</v>
      </c>
      <c r="K1062" s="15" t="s">
        <v>798</v>
      </c>
      <c r="L1062" s="12" t="s">
        <v>5315</v>
      </c>
      <c r="M1062" s="13" t="s">
        <v>5852</v>
      </c>
      <c r="N1062" s="12" t="s">
        <v>803</v>
      </c>
      <c r="O1062" s="13" t="s">
        <v>5005</v>
      </c>
      <c r="P1062" s="17" t="s">
        <v>802</v>
      </c>
      <c r="Q1062" s="21" t="s">
        <v>7920</v>
      </c>
      <c r="R1062" s="17" t="s">
        <v>801</v>
      </c>
      <c r="S1062" s="18" t="s">
        <v>2625</v>
      </c>
      <c r="T1062" s="17" t="s">
        <v>800</v>
      </c>
      <c r="U1062" s="18" t="s">
        <v>5240</v>
      </c>
      <c r="V1062" s="17" t="s">
        <v>9418</v>
      </c>
      <c r="W1062" s="18" t="s">
        <v>5309</v>
      </c>
      <c r="X1062" s="69" t="s">
        <v>9453</v>
      </c>
      <c r="Y1062" s="70" t="s">
        <v>9462</v>
      </c>
      <c r="Z1062" s="73" t="s">
        <v>9486</v>
      </c>
      <c r="AA1062" s="74" t="s">
        <v>9504</v>
      </c>
      <c r="AB1062" s="73" t="s">
        <v>9486</v>
      </c>
      <c r="AC1062" s="74" t="s">
        <v>9566</v>
      </c>
      <c r="AD1062" s="73" t="s">
        <v>9578</v>
      </c>
      <c r="AE1062" s="74" t="s">
        <v>9579</v>
      </c>
    </row>
    <row r="1063" spans="1:31" ht="8.65" customHeight="1" x14ac:dyDescent="0.2">
      <c r="A1063" s="76">
        <v>1063</v>
      </c>
      <c r="B1063" s="67" t="str">
        <f>MID(C1063, FIND("Ifc.", C1063) + 4, 4) &amp; "_" &amp; TEXT(COUNTIF($C$2:C1063, C1063),"0000")</f>
        <v>Prop_1062</v>
      </c>
      <c r="C1063" s="24" t="s">
        <v>872</v>
      </c>
      <c r="D1063" s="69" t="s">
        <v>9453</v>
      </c>
      <c r="E1063" s="70" t="s">
        <v>9454</v>
      </c>
      <c r="F1063" s="17" t="s">
        <v>806</v>
      </c>
      <c r="G1063" s="22" t="s">
        <v>1107</v>
      </c>
      <c r="H1063" s="12" t="s">
        <v>9703</v>
      </c>
      <c r="I1063" s="13" t="s">
        <v>7150</v>
      </c>
      <c r="J1063" s="14" t="s">
        <v>798</v>
      </c>
      <c r="K1063" s="15" t="s">
        <v>798</v>
      </c>
      <c r="L1063" s="12" t="s">
        <v>5315</v>
      </c>
      <c r="M1063" s="13" t="s">
        <v>6037</v>
      </c>
      <c r="N1063" s="12" t="s">
        <v>803</v>
      </c>
      <c r="O1063" s="13" t="s">
        <v>4857</v>
      </c>
      <c r="P1063" s="17" t="s">
        <v>802</v>
      </c>
      <c r="Q1063" s="21" t="s">
        <v>7744</v>
      </c>
      <c r="R1063" s="17" t="s">
        <v>801</v>
      </c>
      <c r="S1063" s="18" t="s">
        <v>2619</v>
      </c>
      <c r="T1063" s="17" t="s">
        <v>800</v>
      </c>
      <c r="U1063" s="18" t="s">
        <v>5239</v>
      </c>
      <c r="V1063" s="17" t="s">
        <v>9418</v>
      </c>
      <c r="W1063" s="18" t="s">
        <v>5312</v>
      </c>
      <c r="X1063" s="69" t="s">
        <v>9453</v>
      </c>
      <c r="Y1063" s="70" t="s">
        <v>9465</v>
      </c>
      <c r="Z1063" s="73" t="s">
        <v>9486</v>
      </c>
      <c r="AA1063" s="74" t="s">
        <v>9504</v>
      </c>
      <c r="AB1063" s="73" t="s">
        <v>9486</v>
      </c>
      <c r="AC1063" s="74" t="s">
        <v>9566</v>
      </c>
      <c r="AD1063" s="73" t="s">
        <v>9578</v>
      </c>
      <c r="AE1063" s="74" t="s">
        <v>9579</v>
      </c>
    </row>
    <row r="1064" spans="1:31" ht="8.65" customHeight="1" x14ac:dyDescent="0.2">
      <c r="A1064" s="76">
        <v>1064</v>
      </c>
      <c r="B1064" s="67" t="str">
        <f>MID(C1064, FIND("Ifc.", C1064) + 4, 4) &amp; "_" &amp; TEXT(COUNTIF($C$2:C1064, C1064),"0000")</f>
        <v>Prop_1063</v>
      </c>
      <c r="C1064" s="24" t="s">
        <v>872</v>
      </c>
      <c r="D1064" s="69" t="s">
        <v>9453</v>
      </c>
      <c r="E1064" s="70" t="s">
        <v>9454</v>
      </c>
      <c r="F1064" s="17" t="s">
        <v>806</v>
      </c>
      <c r="G1064" s="22" t="s">
        <v>1107</v>
      </c>
      <c r="H1064" s="12" t="s">
        <v>9703</v>
      </c>
      <c r="I1064" s="13" t="s">
        <v>7150</v>
      </c>
      <c r="J1064" s="14" t="s">
        <v>798</v>
      </c>
      <c r="K1064" s="15" t="s">
        <v>798</v>
      </c>
      <c r="L1064" s="12" t="s">
        <v>5315</v>
      </c>
      <c r="M1064" s="13" t="s">
        <v>5892</v>
      </c>
      <c r="N1064" s="12" t="s">
        <v>803</v>
      </c>
      <c r="O1064" s="13" t="s">
        <v>4961</v>
      </c>
      <c r="P1064" s="17" t="s">
        <v>802</v>
      </c>
      <c r="Q1064" s="21" t="s">
        <v>7745</v>
      </c>
      <c r="R1064" s="17" t="s">
        <v>801</v>
      </c>
      <c r="S1064" s="18" t="s">
        <v>3636</v>
      </c>
      <c r="T1064" s="17" t="s">
        <v>800</v>
      </c>
      <c r="U1064" s="18" t="s">
        <v>5257</v>
      </c>
      <c r="V1064" s="17" t="s">
        <v>9418</v>
      </c>
      <c r="W1064" s="18" t="s">
        <v>5314</v>
      </c>
      <c r="X1064" s="69" t="s">
        <v>9453</v>
      </c>
      <c r="Y1064" s="70" t="s">
        <v>9464</v>
      </c>
      <c r="Z1064" s="73" t="s">
        <v>9486</v>
      </c>
      <c r="AA1064" s="74" t="s">
        <v>9504</v>
      </c>
      <c r="AB1064" s="73" t="s">
        <v>9486</v>
      </c>
      <c r="AC1064" s="74" t="s">
        <v>9561</v>
      </c>
      <c r="AD1064" s="73" t="s">
        <v>9578</v>
      </c>
      <c r="AE1064" s="74" t="s">
        <v>9579</v>
      </c>
    </row>
    <row r="1065" spans="1:31" ht="8.65" customHeight="1" x14ac:dyDescent="0.2">
      <c r="A1065" s="76">
        <v>1065</v>
      </c>
      <c r="B1065" s="67" t="str">
        <f>MID(C1065, FIND("Ifc.", C1065) + 4, 4) &amp; "_" &amp; TEXT(COUNTIF($C$2:C1065, C1065),"0000")</f>
        <v>Prop_1064</v>
      </c>
      <c r="C1065" s="24" t="s">
        <v>872</v>
      </c>
      <c r="D1065" s="69" t="s">
        <v>9453</v>
      </c>
      <c r="E1065" s="70" t="s">
        <v>9454</v>
      </c>
      <c r="F1065" s="17" t="s">
        <v>806</v>
      </c>
      <c r="G1065" s="22" t="s">
        <v>1782</v>
      </c>
      <c r="H1065" s="12" t="s">
        <v>9703</v>
      </c>
      <c r="I1065" s="13" t="s">
        <v>6497</v>
      </c>
      <c r="J1065" s="14" t="s">
        <v>798</v>
      </c>
      <c r="K1065" s="15" t="s">
        <v>798</v>
      </c>
      <c r="L1065" s="12" t="s">
        <v>5315</v>
      </c>
      <c r="M1065" s="13" t="s">
        <v>5454</v>
      </c>
      <c r="N1065" s="12" t="s">
        <v>803</v>
      </c>
      <c r="O1065" s="13" t="s">
        <v>5017</v>
      </c>
      <c r="P1065" s="17" t="s">
        <v>802</v>
      </c>
      <c r="Q1065" s="21" t="s">
        <v>7776</v>
      </c>
      <c r="R1065" s="17" t="s">
        <v>801</v>
      </c>
      <c r="S1065" s="18" t="s">
        <v>2638</v>
      </c>
      <c r="T1065" s="17" t="s">
        <v>800</v>
      </c>
      <c r="U1065" s="18" t="s">
        <v>5254</v>
      </c>
      <c r="V1065" s="17" t="s">
        <v>9418</v>
      </c>
      <c r="W1065" s="18" t="s">
        <v>5309</v>
      </c>
      <c r="X1065" s="69" t="s">
        <v>9453</v>
      </c>
      <c r="Y1065" s="70" t="s">
        <v>9462</v>
      </c>
      <c r="Z1065" s="73" t="s">
        <v>9486</v>
      </c>
      <c r="AA1065" s="74" t="s">
        <v>9504</v>
      </c>
      <c r="AB1065" s="73" t="s">
        <v>9486</v>
      </c>
      <c r="AC1065" s="74" t="s">
        <v>9566</v>
      </c>
      <c r="AD1065" s="73" t="s">
        <v>9578</v>
      </c>
      <c r="AE1065" s="74" t="s">
        <v>9579</v>
      </c>
    </row>
    <row r="1066" spans="1:31" ht="8.65" customHeight="1" x14ac:dyDescent="0.2">
      <c r="A1066" s="76">
        <v>1066</v>
      </c>
      <c r="B1066" s="67" t="str">
        <f>MID(C1066, FIND("Ifc.", C1066) + 4, 4) &amp; "_" &amp; TEXT(COUNTIF($C$2:C1066, C1066),"0000")</f>
        <v>Prop_1065</v>
      </c>
      <c r="C1066" s="24" t="s">
        <v>872</v>
      </c>
      <c r="D1066" s="69" t="s">
        <v>9453</v>
      </c>
      <c r="E1066" s="70" t="s">
        <v>9454</v>
      </c>
      <c r="F1066" s="17" t="s">
        <v>806</v>
      </c>
      <c r="G1066" s="22" t="s">
        <v>1782</v>
      </c>
      <c r="H1066" s="12" t="s">
        <v>9703</v>
      </c>
      <c r="I1066" s="13" t="s">
        <v>6497</v>
      </c>
      <c r="J1066" s="14" t="s">
        <v>798</v>
      </c>
      <c r="K1066" s="15" t="s">
        <v>798</v>
      </c>
      <c r="L1066" s="12" t="s">
        <v>5315</v>
      </c>
      <c r="M1066" s="13" t="s">
        <v>5487</v>
      </c>
      <c r="N1066" s="12" t="s">
        <v>803</v>
      </c>
      <c r="O1066" s="13" t="s">
        <v>5095</v>
      </c>
      <c r="P1066" s="17" t="s">
        <v>802</v>
      </c>
      <c r="Q1066" s="21" t="s">
        <v>7687</v>
      </c>
      <c r="R1066" s="17" t="s">
        <v>801</v>
      </c>
      <c r="S1066" s="18" t="s">
        <v>2638</v>
      </c>
      <c r="T1066" s="17" t="s">
        <v>800</v>
      </c>
      <c r="U1066" s="18" t="s">
        <v>5254</v>
      </c>
      <c r="V1066" s="17" t="s">
        <v>9418</v>
      </c>
      <c r="W1066" s="18" t="s">
        <v>5309</v>
      </c>
      <c r="X1066" s="69" t="s">
        <v>9453</v>
      </c>
      <c r="Y1066" s="70" t="s">
        <v>9462</v>
      </c>
      <c r="Z1066" s="73" t="s">
        <v>9486</v>
      </c>
      <c r="AA1066" s="74" t="s">
        <v>9504</v>
      </c>
      <c r="AB1066" s="73" t="s">
        <v>9486</v>
      </c>
      <c r="AC1066" s="74" t="s">
        <v>9566</v>
      </c>
      <c r="AD1066" s="73" t="s">
        <v>9578</v>
      </c>
      <c r="AE1066" s="74" t="s">
        <v>9579</v>
      </c>
    </row>
    <row r="1067" spans="1:31" ht="8.65" customHeight="1" x14ac:dyDescent="0.2">
      <c r="A1067" s="76">
        <v>1067</v>
      </c>
      <c r="B1067" s="67" t="str">
        <f>MID(C1067, FIND("Ifc.", C1067) + 4, 4) &amp; "_" &amp; TEXT(COUNTIF($C$2:C1067, C1067),"0000")</f>
        <v>Prop_1066</v>
      </c>
      <c r="C1067" s="24" t="s">
        <v>872</v>
      </c>
      <c r="D1067" s="69" t="s">
        <v>9453</v>
      </c>
      <c r="E1067" s="70" t="s">
        <v>9454</v>
      </c>
      <c r="F1067" s="17" t="s">
        <v>806</v>
      </c>
      <c r="G1067" s="22" t="s">
        <v>1177</v>
      </c>
      <c r="H1067" s="12" t="s">
        <v>9703</v>
      </c>
      <c r="I1067" s="13" t="s">
        <v>6982</v>
      </c>
      <c r="J1067" s="14" t="s">
        <v>798</v>
      </c>
      <c r="K1067" s="15" t="s">
        <v>798</v>
      </c>
      <c r="L1067" s="12" t="s">
        <v>5315</v>
      </c>
      <c r="M1067" s="13" t="s">
        <v>5399</v>
      </c>
      <c r="N1067" s="12" t="s">
        <v>803</v>
      </c>
      <c r="O1067" s="13" t="s">
        <v>4874</v>
      </c>
      <c r="P1067" s="17" t="s">
        <v>802</v>
      </c>
      <c r="Q1067" s="21" t="s">
        <v>7875</v>
      </c>
      <c r="R1067" s="17" t="s">
        <v>801</v>
      </c>
      <c r="S1067" s="18" t="s">
        <v>2669</v>
      </c>
      <c r="T1067" s="17" t="s">
        <v>800</v>
      </c>
      <c r="U1067" s="18" t="s">
        <v>5237</v>
      </c>
      <c r="V1067" s="17" t="s">
        <v>9418</v>
      </c>
      <c r="W1067" s="18" t="s">
        <v>5309</v>
      </c>
      <c r="X1067" s="69" t="s">
        <v>9453</v>
      </c>
      <c r="Y1067" s="70" t="s">
        <v>9462</v>
      </c>
      <c r="Z1067" s="73" t="s">
        <v>9486</v>
      </c>
      <c r="AA1067" s="74" t="s">
        <v>9504</v>
      </c>
      <c r="AB1067" s="73" t="s">
        <v>9486</v>
      </c>
      <c r="AC1067" s="74" t="s">
        <v>9562</v>
      </c>
      <c r="AD1067" s="73" t="s">
        <v>9578</v>
      </c>
      <c r="AE1067" s="74" t="s">
        <v>9579</v>
      </c>
    </row>
    <row r="1068" spans="1:31" ht="8.65" customHeight="1" x14ac:dyDescent="0.2">
      <c r="A1068" s="76">
        <v>1068</v>
      </c>
      <c r="B1068" s="67" t="str">
        <f>MID(C1068, FIND("Ifc.", C1068) + 4, 4) &amp; "_" &amp; TEXT(COUNTIF($C$2:C1068, C1068),"0000")</f>
        <v>Prop_1067</v>
      </c>
      <c r="C1068" s="24" t="s">
        <v>872</v>
      </c>
      <c r="D1068" s="69" t="s">
        <v>9453</v>
      </c>
      <c r="E1068" s="70" t="s">
        <v>9454</v>
      </c>
      <c r="F1068" s="17" t="s">
        <v>806</v>
      </c>
      <c r="G1068" s="22" t="s">
        <v>1756</v>
      </c>
      <c r="H1068" s="12" t="s">
        <v>9703</v>
      </c>
      <c r="I1068" s="13" t="s">
        <v>6471</v>
      </c>
      <c r="J1068" s="14" t="s">
        <v>798</v>
      </c>
      <c r="K1068" s="15" t="s">
        <v>798</v>
      </c>
      <c r="L1068" s="12" t="s">
        <v>5315</v>
      </c>
      <c r="M1068" s="13" t="s">
        <v>5450</v>
      </c>
      <c r="N1068" s="12" t="s">
        <v>803</v>
      </c>
      <c r="O1068" s="13" t="s">
        <v>5007</v>
      </c>
      <c r="P1068" s="17" t="s">
        <v>802</v>
      </c>
      <c r="Q1068" s="21" t="s">
        <v>7976</v>
      </c>
      <c r="R1068" s="17" t="s">
        <v>801</v>
      </c>
      <c r="S1068" s="18" t="s">
        <v>2669</v>
      </c>
      <c r="T1068" s="17" t="s">
        <v>800</v>
      </c>
      <c r="U1068" s="18" t="s">
        <v>5237</v>
      </c>
      <c r="V1068" s="17" t="s">
        <v>9418</v>
      </c>
      <c r="W1068" s="18" t="s">
        <v>5309</v>
      </c>
      <c r="X1068" s="69" t="s">
        <v>9453</v>
      </c>
      <c r="Y1068" s="70" t="s">
        <v>9462</v>
      </c>
      <c r="Z1068" s="73" t="s">
        <v>9486</v>
      </c>
      <c r="AA1068" s="74" t="s">
        <v>9504</v>
      </c>
      <c r="AB1068" s="73" t="s">
        <v>9486</v>
      </c>
      <c r="AC1068" s="74" t="s">
        <v>9562</v>
      </c>
      <c r="AD1068" s="73" t="s">
        <v>9578</v>
      </c>
      <c r="AE1068" s="74" t="s">
        <v>9579</v>
      </c>
    </row>
    <row r="1069" spans="1:31" ht="8.65" customHeight="1" x14ac:dyDescent="0.2">
      <c r="A1069" s="76">
        <v>1069</v>
      </c>
      <c r="B1069" s="67" t="str">
        <f>MID(C1069, FIND("Ifc.", C1069) + 4, 4) &amp; "_" &amp; TEXT(COUNTIF($C$2:C1069, C1069),"0000")</f>
        <v>Prop_1068</v>
      </c>
      <c r="C1069" s="24" t="s">
        <v>872</v>
      </c>
      <c r="D1069" s="69" t="s">
        <v>9453</v>
      </c>
      <c r="E1069" s="70" t="s">
        <v>9454</v>
      </c>
      <c r="F1069" s="17" t="s">
        <v>806</v>
      </c>
      <c r="G1069" s="22" t="s">
        <v>1756</v>
      </c>
      <c r="H1069" s="12" t="s">
        <v>9703</v>
      </c>
      <c r="I1069" s="13" t="s">
        <v>6471</v>
      </c>
      <c r="J1069" s="14" t="s">
        <v>798</v>
      </c>
      <c r="K1069" s="15" t="s">
        <v>798</v>
      </c>
      <c r="L1069" s="12" t="s">
        <v>5315</v>
      </c>
      <c r="M1069" s="13" t="s">
        <v>5474</v>
      </c>
      <c r="N1069" s="12" t="s">
        <v>803</v>
      </c>
      <c r="O1069" s="13" t="s">
        <v>5073</v>
      </c>
      <c r="P1069" s="17" t="s">
        <v>802</v>
      </c>
      <c r="Q1069" s="21" t="s">
        <v>7977</v>
      </c>
      <c r="R1069" s="17" t="s">
        <v>801</v>
      </c>
      <c r="S1069" s="18" t="s">
        <v>2669</v>
      </c>
      <c r="T1069" s="17" t="s">
        <v>800</v>
      </c>
      <c r="U1069" s="18" t="s">
        <v>5237</v>
      </c>
      <c r="V1069" s="17" t="s">
        <v>9418</v>
      </c>
      <c r="W1069" s="18" t="s">
        <v>5309</v>
      </c>
      <c r="X1069" s="69" t="s">
        <v>9453</v>
      </c>
      <c r="Y1069" s="70" t="s">
        <v>9462</v>
      </c>
      <c r="Z1069" s="73" t="s">
        <v>9486</v>
      </c>
      <c r="AA1069" s="74" t="s">
        <v>9504</v>
      </c>
      <c r="AB1069" s="73" t="s">
        <v>9486</v>
      </c>
      <c r="AC1069" s="74" t="s">
        <v>9562</v>
      </c>
      <c r="AD1069" s="73" t="s">
        <v>9578</v>
      </c>
      <c r="AE1069" s="74" t="s">
        <v>9579</v>
      </c>
    </row>
    <row r="1070" spans="1:31" ht="8.65" customHeight="1" x14ac:dyDescent="0.2">
      <c r="A1070" s="76">
        <v>1070</v>
      </c>
      <c r="B1070" s="67" t="str">
        <f>MID(C1070, FIND("Ifc.", C1070) + 4, 4) &amp; "_" &amp; TEXT(COUNTIF($C$2:C1070, C1070),"0000")</f>
        <v>Prop_1069</v>
      </c>
      <c r="C1070" s="24" t="s">
        <v>872</v>
      </c>
      <c r="D1070" s="69" t="s">
        <v>9453</v>
      </c>
      <c r="E1070" s="70" t="s">
        <v>9454</v>
      </c>
      <c r="F1070" s="17" t="s">
        <v>806</v>
      </c>
      <c r="G1070" s="22" t="s">
        <v>1243</v>
      </c>
      <c r="H1070" s="12" t="s">
        <v>9703</v>
      </c>
      <c r="I1070" s="13" t="s">
        <v>6984</v>
      </c>
      <c r="J1070" s="14" t="s">
        <v>798</v>
      </c>
      <c r="K1070" s="15" t="s">
        <v>798</v>
      </c>
      <c r="L1070" s="12" t="s">
        <v>5315</v>
      </c>
      <c r="M1070" s="13" t="s">
        <v>5401</v>
      </c>
      <c r="N1070" s="12" t="s">
        <v>803</v>
      </c>
      <c r="O1070" s="13" t="s">
        <v>4889</v>
      </c>
      <c r="P1070" s="17" t="s">
        <v>802</v>
      </c>
      <c r="Q1070" s="21" t="s">
        <v>7746</v>
      </c>
      <c r="R1070" s="17" t="s">
        <v>801</v>
      </c>
      <c r="S1070" s="18" t="s">
        <v>2562</v>
      </c>
      <c r="T1070" s="17" t="s">
        <v>800</v>
      </c>
      <c r="U1070" s="18" t="s">
        <v>5256</v>
      </c>
      <c r="V1070" s="17" t="s">
        <v>9418</v>
      </c>
      <c r="W1070" s="18" t="s">
        <v>5309</v>
      </c>
      <c r="X1070" s="69" t="s">
        <v>9453</v>
      </c>
      <c r="Y1070" s="70" t="s">
        <v>9462</v>
      </c>
      <c r="Z1070" s="73" t="s">
        <v>9486</v>
      </c>
      <c r="AA1070" s="74" t="s">
        <v>9504</v>
      </c>
      <c r="AB1070" s="73" t="s">
        <v>9486</v>
      </c>
      <c r="AC1070" s="74" t="s">
        <v>9562</v>
      </c>
      <c r="AD1070" s="73" t="s">
        <v>9578</v>
      </c>
      <c r="AE1070" s="74" t="s">
        <v>9579</v>
      </c>
    </row>
    <row r="1071" spans="1:31" ht="8.65" customHeight="1" x14ac:dyDescent="0.2">
      <c r="A1071" s="76">
        <v>1071</v>
      </c>
      <c r="B1071" s="67" t="str">
        <f>MID(C1071, FIND("Ifc.", C1071) + 4, 4) &amp; "_" &amp; TEXT(COUNTIF($C$2:C1071, C1071),"0000")</f>
        <v>Prop_1070</v>
      </c>
      <c r="C1071" s="24" t="s">
        <v>872</v>
      </c>
      <c r="D1071" s="69" t="s">
        <v>9453</v>
      </c>
      <c r="E1071" s="70" t="s">
        <v>9454</v>
      </c>
      <c r="F1071" s="17" t="s">
        <v>806</v>
      </c>
      <c r="G1071" s="22" t="s">
        <v>1244</v>
      </c>
      <c r="H1071" s="12" t="s">
        <v>9703</v>
      </c>
      <c r="I1071" s="13" t="s">
        <v>6985</v>
      </c>
      <c r="J1071" s="14" t="s">
        <v>798</v>
      </c>
      <c r="K1071" s="15" t="s">
        <v>798</v>
      </c>
      <c r="L1071" s="12" t="s">
        <v>5315</v>
      </c>
      <c r="M1071" s="13" t="s">
        <v>5401</v>
      </c>
      <c r="N1071" s="12" t="s">
        <v>803</v>
      </c>
      <c r="O1071" s="13" t="s">
        <v>4889</v>
      </c>
      <c r="P1071" s="17" t="s">
        <v>802</v>
      </c>
      <c r="Q1071" s="21" t="s">
        <v>7746</v>
      </c>
      <c r="R1071" s="17" t="s">
        <v>801</v>
      </c>
      <c r="S1071" s="18" t="s">
        <v>2562</v>
      </c>
      <c r="T1071" s="17" t="s">
        <v>800</v>
      </c>
      <c r="U1071" s="18" t="s">
        <v>5256</v>
      </c>
      <c r="V1071" s="17" t="s">
        <v>9418</v>
      </c>
      <c r="W1071" s="18" t="s">
        <v>5309</v>
      </c>
      <c r="X1071" s="69" t="s">
        <v>9453</v>
      </c>
      <c r="Y1071" s="70" t="s">
        <v>9462</v>
      </c>
      <c r="Z1071" s="73" t="s">
        <v>9486</v>
      </c>
      <c r="AA1071" s="74" t="s">
        <v>9504</v>
      </c>
      <c r="AB1071" s="73" t="s">
        <v>9486</v>
      </c>
      <c r="AC1071" s="74" t="s">
        <v>9562</v>
      </c>
      <c r="AD1071" s="73" t="s">
        <v>9578</v>
      </c>
      <c r="AE1071" s="74" t="s">
        <v>9579</v>
      </c>
    </row>
    <row r="1072" spans="1:31" ht="8.65" customHeight="1" x14ac:dyDescent="0.2">
      <c r="A1072" s="76">
        <v>1072</v>
      </c>
      <c r="B1072" s="67" t="str">
        <f>MID(C1072, FIND("Ifc.", C1072) + 4, 4) &amp; "_" &amp; TEXT(COUNTIF($C$2:C1072, C1072),"0000")</f>
        <v>Prop_1071</v>
      </c>
      <c r="C1072" s="24" t="s">
        <v>872</v>
      </c>
      <c r="D1072" s="69" t="s">
        <v>9453</v>
      </c>
      <c r="E1072" s="70" t="s">
        <v>9454</v>
      </c>
      <c r="F1072" s="17" t="s">
        <v>806</v>
      </c>
      <c r="G1072" s="22" t="s">
        <v>2330</v>
      </c>
      <c r="H1072" s="12" t="s">
        <v>9703</v>
      </c>
      <c r="I1072" s="13" t="s">
        <v>6729</v>
      </c>
      <c r="J1072" s="14" t="s">
        <v>798</v>
      </c>
      <c r="K1072" s="15" t="s">
        <v>798</v>
      </c>
      <c r="L1072" s="12" t="s">
        <v>5315</v>
      </c>
      <c r="M1072" s="13" t="s">
        <v>5557</v>
      </c>
      <c r="N1072" s="12" t="s">
        <v>803</v>
      </c>
      <c r="O1072" s="13" t="s">
        <v>5170</v>
      </c>
      <c r="P1072" s="17" t="s">
        <v>802</v>
      </c>
      <c r="Q1072" s="21" t="s">
        <v>7768</v>
      </c>
      <c r="R1072" s="17" t="s">
        <v>801</v>
      </c>
      <c r="S1072" s="18" t="s">
        <v>2560</v>
      </c>
      <c r="T1072" s="17" t="s">
        <v>800</v>
      </c>
      <c r="U1072" s="18" t="s">
        <v>5236</v>
      </c>
      <c r="V1072" s="17" t="s">
        <v>9418</v>
      </c>
      <c r="W1072" s="18" t="s">
        <v>5309</v>
      </c>
      <c r="X1072" s="69" t="s">
        <v>9453</v>
      </c>
      <c r="Y1072" s="70" t="s">
        <v>9462</v>
      </c>
      <c r="Z1072" s="73" t="s">
        <v>9486</v>
      </c>
      <c r="AA1072" s="74" t="s">
        <v>9504</v>
      </c>
      <c r="AB1072" s="73" t="s">
        <v>9486</v>
      </c>
      <c r="AC1072" s="74" t="s">
        <v>9562</v>
      </c>
      <c r="AD1072" s="73" t="s">
        <v>9578</v>
      </c>
      <c r="AE1072" s="74" t="s">
        <v>9579</v>
      </c>
    </row>
    <row r="1073" spans="1:31" ht="8.65" customHeight="1" x14ac:dyDescent="0.2">
      <c r="A1073" s="76">
        <v>1073</v>
      </c>
      <c r="B1073" s="67" t="str">
        <f>MID(C1073, FIND("Ifc.", C1073) + 4, 4) &amp; "_" &amp; TEXT(COUNTIF($C$2:C1073, C1073),"0000")</f>
        <v>Prop_1072</v>
      </c>
      <c r="C1073" s="24" t="s">
        <v>872</v>
      </c>
      <c r="D1073" s="69" t="s">
        <v>9453</v>
      </c>
      <c r="E1073" s="70" t="s">
        <v>9454</v>
      </c>
      <c r="F1073" s="17" t="s">
        <v>806</v>
      </c>
      <c r="G1073" s="22" t="s">
        <v>1765</v>
      </c>
      <c r="H1073" s="12" t="s">
        <v>9703</v>
      </c>
      <c r="I1073" s="13" t="s">
        <v>7662</v>
      </c>
      <c r="J1073" s="14" t="s">
        <v>798</v>
      </c>
      <c r="K1073" s="15" t="s">
        <v>798</v>
      </c>
      <c r="L1073" s="12" t="s">
        <v>5315</v>
      </c>
      <c r="M1073" s="13" t="s">
        <v>5452</v>
      </c>
      <c r="N1073" s="12" t="s">
        <v>803</v>
      </c>
      <c r="O1073" s="13" t="s">
        <v>5010</v>
      </c>
      <c r="P1073" s="17" t="s">
        <v>802</v>
      </c>
      <c r="Q1073" s="21" t="s">
        <v>7978</v>
      </c>
      <c r="R1073" s="17" t="s">
        <v>801</v>
      </c>
      <c r="S1073" s="18" t="s">
        <v>2554</v>
      </c>
      <c r="T1073" s="17" t="s">
        <v>800</v>
      </c>
      <c r="U1073" s="18" t="s">
        <v>5233</v>
      </c>
      <c r="V1073" s="17" t="s">
        <v>9418</v>
      </c>
      <c r="W1073" s="18" t="s">
        <v>5310</v>
      </c>
      <c r="X1073" s="69" t="s">
        <v>9453</v>
      </c>
      <c r="Y1073" s="70" t="s">
        <v>9463</v>
      </c>
      <c r="Z1073" s="73" t="s">
        <v>9486</v>
      </c>
      <c r="AA1073" s="74" t="s">
        <v>9504</v>
      </c>
      <c r="AB1073" s="73" t="s">
        <v>9486</v>
      </c>
      <c r="AC1073" s="74" t="s">
        <v>9562</v>
      </c>
      <c r="AD1073" s="73" t="s">
        <v>9578</v>
      </c>
      <c r="AE1073" s="74" t="s">
        <v>9579</v>
      </c>
    </row>
    <row r="1074" spans="1:31" ht="8.65" customHeight="1" x14ac:dyDescent="0.2">
      <c r="A1074" s="76">
        <v>1074</v>
      </c>
      <c r="B1074" s="67" t="str">
        <f>MID(C1074, FIND("Ifc.", C1074) + 4, 4) &amp; "_" &amp; TEXT(COUNTIF($C$2:C1074, C1074),"0000")</f>
        <v>Prop_1073</v>
      </c>
      <c r="C1074" s="24" t="s">
        <v>872</v>
      </c>
      <c r="D1074" s="69" t="s">
        <v>9453</v>
      </c>
      <c r="E1074" s="70" t="s">
        <v>9454</v>
      </c>
      <c r="F1074" s="17" t="s">
        <v>806</v>
      </c>
      <c r="G1074" s="22" t="s">
        <v>1765</v>
      </c>
      <c r="H1074" s="12" t="s">
        <v>9703</v>
      </c>
      <c r="I1074" s="13" t="s">
        <v>7662</v>
      </c>
      <c r="J1074" s="14" t="s">
        <v>798</v>
      </c>
      <c r="K1074" s="15" t="s">
        <v>798</v>
      </c>
      <c r="L1074" s="12" t="s">
        <v>5315</v>
      </c>
      <c r="M1074" s="13" t="s">
        <v>5521</v>
      </c>
      <c r="N1074" s="12" t="s">
        <v>803</v>
      </c>
      <c r="O1074" s="13" t="s">
        <v>5136</v>
      </c>
      <c r="P1074" s="17" t="s">
        <v>802</v>
      </c>
      <c r="Q1074" s="21" t="s">
        <v>7979</v>
      </c>
      <c r="R1074" s="17" t="s">
        <v>801</v>
      </c>
      <c r="S1074" s="18" t="s">
        <v>2554</v>
      </c>
      <c r="T1074" s="17" t="s">
        <v>800</v>
      </c>
      <c r="U1074" s="18" t="s">
        <v>5233</v>
      </c>
      <c r="V1074" s="17" t="s">
        <v>9418</v>
      </c>
      <c r="W1074" s="18" t="s">
        <v>5310</v>
      </c>
      <c r="X1074" s="69" t="s">
        <v>9453</v>
      </c>
      <c r="Y1074" s="70" t="s">
        <v>9463</v>
      </c>
      <c r="Z1074" s="73" t="s">
        <v>9486</v>
      </c>
      <c r="AA1074" s="74" t="s">
        <v>9504</v>
      </c>
      <c r="AB1074" s="73" t="s">
        <v>9486</v>
      </c>
      <c r="AC1074" s="74" t="s">
        <v>9562</v>
      </c>
      <c r="AD1074" s="73" t="s">
        <v>9578</v>
      </c>
      <c r="AE1074" s="74" t="s">
        <v>9579</v>
      </c>
    </row>
    <row r="1075" spans="1:31" ht="8.65" customHeight="1" x14ac:dyDescent="0.2">
      <c r="A1075" s="76">
        <v>1075</v>
      </c>
      <c r="B1075" s="67" t="str">
        <f>MID(C1075, FIND("Ifc.", C1075) + 4, 4) &amp; "_" &amp; TEXT(COUNTIF($C$2:C1075, C1075),"0000")</f>
        <v>Prop_1074</v>
      </c>
      <c r="C1075" s="24" t="s">
        <v>872</v>
      </c>
      <c r="D1075" s="69" t="s">
        <v>9453</v>
      </c>
      <c r="E1075" s="70" t="s">
        <v>9454</v>
      </c>
      <c r="F1075" s="17" t="s">
        <v>806</v>
      </c>
      <c r="G1075" s="22" t="s">
        <v>1268</v>
      </c>
      <c r="H1075" s="12" t="s">
        <v>9703</v>
      </c>
      <c r="I1075" s="13" t="s">
        <v>7663</v>
      </c>
      <c r="J1075" s="14" t="s">
        <v>798</v>
      </c>
      <c r="K1075" s="15" t="s">
        <v>798</v>
      </c>
      <c r="L1075" s="12" t="s">
        <v>5315</v>
      </c>
      <c r="M1075" s="13" t="s">
        <v>5404</v>
      </c>
      <c r="N1075" s="12" t="s">
        <v>803</v>
      </c>
      <c r="O1075" s="13" t="s">
        <v>4892</v>
      </c>
      <c r="P1075" s="17" t="s">
        <v>802</v>
      </c>
      <c r="Q1075" s="21" t="s">
        <v>7965</v>
      </c>
      <c r="R1075" s="17" t="s">
        <v>801</v>
      </c>
      <c r="S1075" s="18" t="s">
        <v>2554</v>
      </c>
      <c r="T1075" s="17" t="s">
        <v>800</v>
      </c>
      <c r="U1075" s="18" t="s">
        <v>5233</v>
      </c>
      <c r="V1075" s="17" t="s">
        <v>9418</v>
      </c>
      <c r="W1075" s="18" t="s">
        <v>5310</v>
      </c>
      <c r="X1075" s="69" t="s">
        <v>9453</v>
      </c>
      <c r="Y1075" s="70" t="s">
        <v>9463</v>
      </c>
      <c r="Z1075" s="73" t="s">
        <v>9486</v>
      </c>
      <c r="AA1075" s="74" t="s">
        <v>9504</v>
      </c>
      <c r="AB1075" s="73" t="s">
        <v>9486</v>
      </c>
      <c r="AC1075" s="74" t="s">
        <v>9562</v>
      </c>
      <c r="AD1075" s="73" t="s">
        <v>9578</v>
      </c>
      <c r="AE1075" s="74" t="s">
        <v>9579</v>
      </c>
    </row>
    <row r="1076" spans="1:31" ht="8.65" customHeight="1" x14ac:dyDescent="0.2">
      <c r="A1076" s="76">
        <v>1076</v>
      </c>
      <c r="B1076" s="67" t="str">
        <f>MID(C1076, FIND("Ifc.", C1076) + 4, 4) &amp; "_" &amp; TEXT(COUNTIF($C$2:C1076, C1076),"0000")</f>
        <v>Prop_1075</v>
      </c>
      <c r="C1076" s="24" t="s">
        <v>872</v>
      </c>
      <c r="D1076" s="69" t="s">
        <v>9453</v>
      </c>
      <c r="E1076" s="70" t="s">
        <v>9454</v>
      </c>
      <c r="F1076" s="17" t="s">
        <v>806</v>
      </c>
      <c r="G1076" s="22" t="s">
        <v>1981</v>
      </c>
      <c r="H1076" s="12" t="s">
        <v>9703</v>
      </c>
      <c r="I1076" s="13" t="s">
        <v>7665</v>
      </c>
      <c r="J1076" s="14" t="s">
        <v>798</v>
      </c>
      <c r="K1076" s="15" t="s">
        <v>798</v>
      </c>
      <c r="L1076" s="12" t="s">
        <v>5315</v>
      </c>
      <c r="M1076" s="13" t="s">
        <v>5972</v>
      </c>
      <c r="N1076" s="12" t="s">
        <v>803</v>
      </c>
      <c r="O1076" s="13" t="s">
        <v>5078</v>
      </c>
      <c r="P1076" s="17" t="s">
        <v>802</v>
      </c>
      <c r="Q1076" s="21" t="s">
        <v>7980</v>
      </c>
      <c r="R1076" s="17" t="s">
        <v>801</v>
      </c>
      <c r="S1076" s="18" t="s">
        <v>2554</v>
      </c>
      <c r="T1076" s="17" t="s">
        <v>800</v>
      </c>
      <c r="U1076" s="18" t="s">
        <v>5233</v>
      </c>
      <c r="V1076" s="17" t="s">
        <v>9418</v>
      </c>
      <c r="W1076" s="18" t="s">
        <v>5310</v>
      </c>
      <c r="X1076" s="69" t="s">
        <v>9453</v>
      </c>
      <c r="Y1076" s="70" t="s">
        <v>9463</v>
      </c>
      <c r="Z1076" s="73" t="s">
        <v>9486</v>
      </c>
      <c r="AA1076" s="74" t="s">
        <v>9504</v>
      </c>
      <c r="AB1076" s="73" t="s">
        <v>9486</v>
      </c>
      <c r="AC1076" s="74" t="s">
        <v>9562</v>
      </c>
      <c r="AD1076" s="73" t="s">
        <v>9578</v>
      </c>
      <c r="AE1076" s="74" t="s">
        <v>9579</v>
      </c>
    </row>
    <row r="1077" spans="1:31" ht="8.65" customHeight="1" x14ac:dyDescent="0.2">
      <c r="A1077" s="76">
        <v>1077</v>
      </c>
      <c r="B1077" s="67" t="str">
        <f>MID(C1077, FIND("Ifc.", C1077) + 4, 4) &amp; "_" &amp; TEXT(COUNTIF($C$2:C1077, C1077),"0000")</f>
        <v>Prop_1076</v>
      </c>
      <c r="C1077" s="24" t="s">
        <v>872</v>
      </c>
      <c r="D1077" s="69" t="s">
        <v>9453</v>
      </c>
      <c r="E1077" s="70" t="s">
        <v>9454</v>
      </c>
      <c r="F1077" s="17" t="s">
        <v>806</v>
      </c>
      <c r="G1077" s="22" t="s">
        <v>1274</v>
      </c>
      <c r="H1077" s="12" t="s">
        <v>9703</v>
      </c>
      <c r="I1077" s="13" t="s">
        <v>7664</v>
      </c>
      <c r="J1077" s="14" t="s">
        <v>798</v>
      </c>
      <c r="K1077" s="15" t="s">
        <v>798</v>
      </c>
      <c r="L1077" s="12" t="s">
        <v>5315</v>
      </c>
      <c r="M1077" s="13" t="s">
        <v>5406</v>
      </c>
      <c r="N1077" s="12" t="s">
        <v>803</v>
      </c>
      <c r="O1077" s="13" t="s">
        <v>4894</v>
      </c>
      <c r="P1077" s="17" t="s">
        <v>802</v>
      </c>
      <c r="Q1077" s="21" t="s">
        <v>7981</v>
      </c>
      <c r="R1077" s="17" t="s">
        <v>801</v>
      </c>
      <c r="S1077" s="18" t="s">
        <v>2554</v>
      </c>
      <c r="T1077" s="17" t="s">
        <v>800</v>
      </c>
      <c r="U1077" s="18" t="s">
        <v>5233</v>
      </c>
      <c r="V1077" s="17" t="s">
        <v>9418</v>
      </c>
      <c r="W1077" s="18" t="s">
        <v>5310</v>
      </c>
      <c r="X1077" s="69" t="s">
        <v>9453</v>
      </c>
      <c r="Y1077" s="70" t="s">
        <v>9463</v>
      </c>
      <c r="Z1077" s="73" t="s">
        <v>9486</v>
      </c>
      <c r="AA1077" s="74" t="s">
        <v>9504</v>
      </c>
      <c r="AB1077" s="73" t="s">
        <v>9486</v>
      </c>
      <c r="AC1077" s="74" t="s">
        <v>9562</v>
      </c>
      <c r="AD1077" s="73" t="s">
        <v>9578</v>
      </c>
      <c r="AE1077" s="74" t="s">
        <v>9579</v>
      </c>
    </row>
    <row r="1078" spans="1:31" ht="8.65" customHeight="1" x14ac:dyDescent="0.2">
      <c r="A1078" s="76">
        <v>1078</v>
      </c>
      <c r="B1078" s="67" t="str">
        <f>MID(C1078, FIND("Ifc.", C1078) + 4, 4) &amp; "_" &amp; TEXT(COUNTIF($C$2:C1078, C1078),"0000")</f>
        <v>Prop_1077</v>
      </c>
      <c r="C1078" s="24" t="s">
        <v>872</v>
      </c>
      <c r="D1078" s="69" t="s">
        <v>9453</v>
      </c>
      <c r="E1078" s="70" t="s">
        <v>9454</v>
      </c>
      <c r="F1078" s="17" t="s">
        <v>806</v>
      </c>
      <c r="G1078" s="22" t="s">
        <v>1766</v>
      </c>
      <c r="H1078" s="12" t="s">
        <v>9703</v>
      </c>
      <c r="I1078" s="13" t="s">
        <v>7666</v>
      </c>
      <c r="J1078" s="14" t="s">
        <v>798</v>
      </c>
      <c r="K1078" s="15" t="s">
        <v>798</v>
      </c>
      <c r="L1078" s="12" t="s">
        <v>5315</v>
      </c>
      <c r="M1078" s="13" t="s">
        <v>5452</v>
      </c>
      <c r="N1078" s="12" t="s">
        <v>803</v>
      </c>
      <c r="O1078" s="13" t="s">
        <v>5010</v>
      </c>
      <c r="P1078" s="17" t="s">
        <v>802</v>
      </c>
      <c r="Q1078" s="21" t="s">
        <v>7978</v>
      </c>
      <c r="R1078" s="17" t="s">
        <v>801</v>
      </c>
      <c r="S1078" s="18" t="s">
        <v>2554</v>
      </c>
      <c r="T1078" s="17" t="s">
        <v>800</v>
      </c>
      <c r="U1078" s="18" t="s">
        <v>5233</v>
      </c>
      <c r="V1078" s="17" t="s">
        <v>9418</v>
      </c>
      <c r="W1078" s="18" t="s">
        <v>5310</v>
      </c>
      <c r="X1078" s="69" t="s">
        <v>9453</v>
      </c>
      <c r="Y1078" s="70" t="s">
        <v>9463</v>
      </c>
      <c r="Z1078" s="73" t="s">
        <v>9486</v>
      </c>
      <c r="AA1078" s="74" t="s">
        <v>9504</v>
      </c>
      <c r="AB1078" s="73" t="s">
        <v>9486</v>
      </c>
      <c r="AC1078" s="74" t="s">
        <v>9562</v>
      </c>
      <c r="AD1078" s="73" t="s">
        <v>9578</v>
      </c>
      <c r="AE1078" s="74" t="s">
        <v>9579</v>
      </c>
    </row>
    <row r="1079" spans="1:31" ht="8.65" customHeight="1" x14ac:dyDescent="0.2">
      <c r="A1079" s="76">
        <v>1079</v>
      </c>
      <c r="B1079" s="67" t="str">
        <f>MID(C1079, FIND("Ifc.", C1079) + 4, 4) &amp; "_" &amp; TEXT(COUNTIF($C$2:C1079, C1079),"0000")</f>
        <v>Prop_1078</v>
      </c>
      <c r="C1079" s="24" t="s">
        <v>872</v>
      </c>
      <c r="D1079" s="69" t="s">
        <v>9453</v>
      </c>
      <c r="E1079" s="70" t="s">
        <v>9454</v>
      </c>
      <c r="F1079" s="17" t="s">
        <v>806</v>
      </c>
      <c r="G1079" s="22" t="s">
        <v>1766</v>
      </c>
      <c r="H1079" s="12" t="s">
        <v>9703</v>
      </c>
      <c r="I1079" s="13" t="s">
        <v>7666</v>
      </c>
      <c r="J1079" s="14" t="s">
        <v>798</v>
      </c>
      <c r="K1079" s="15" t="s">
        <v>798</v>
      </c>
      <c r="L1079" s="12" t="s">
        <v>5315</v>
      </c>
      <c r="M1079" s="13" t="s">
        <v>5521</v>
      </c>
      <c r="N1079" s="12" t="s">
        <v>803</v>
      </c>
      <c r="O1079" s="13" t="s">
        <v>5136</v>
      </c>
      <c r="P1079" s="17" t="s">
        <v>802</v>
      </c>
      <c r="Q1079" s="21" t="s">
        <v>7979</v>
      </c>
      <c r="R1079" s="17" t="s">
        <v>801</v>
      </c>
      <c r="S1079" s="18" t="s">
        <v>2554</v>
      </c>
      <c r="T1079" s="17" t="s">
        <v>800</v>
      </c>
      <c r="U1079" s="18" t="s">
        <v>5233</v>
      </c>
      <c r="V1079" s="17" t="s">
        <v>9418</v>
      </c>
      <c r="W1079" s="18" t="s">
        <v>5310</v>
      </c>
      <c r="X1079" s="69" t="s">
        <v>9453</v>
      </c>
      <c r="Y1079" s="70" t="s">
        <v>9463</v>
      </c>
      <c r="Z1079" s="73" t="s">
        <v>9486</v>
      </c>
      <c r="AA1079" s="74" t="s">
        <v>9504</v>
      </c>
      <c r="AB1079" s="73" t="s">
        <v>9486</v>
      </c>
      <c r="AC1079" s="74" t="s">
        <v>9562</v>
      </c>
      <c r="AD1079" s="73" t="s">
        <v>9578</v>
      </c>
      <c r="AE1079" s="74" t="s">
        <v>9579</v>
      </c>
    </row>
    <row r="1080" spans="1:31" ht="8.65" customHeight="1" x14ac:dyDescent="0.2">
      <c r="A1080" s="76">
        <v>1080</v>
      </c>
      <c r="B1080" s="67" t="str">
        <f>MID(C1080, FIND("Ifc.", C1080) + 4, 4) &amp; "_" &amp; TEXT(COUNTIF($C$2:C1080, C1080),"0000")</f>
        <v>Prop_1079</v>
      </c>
      <c r="C1080" s="24" t="s">
        <v>872</v>
      </c>
      <c r="D1080" s="69" t="s">
        <v>9453</v>
      </c>
      <c r="E1080" s="70" t="s">
        <v>9454</v>
      </c>
      <c r="F1080" s="17" t="s">
        <v>806</v>
      </c>
      <c r="G1080" s="22" t="s">
        <v>971</v>
      </c>
      <c r="H1080" s="12" t="s">
        <v>9703</v>
      </c>
      <c r="I1080" s="13" t="s">
        <v>6093</v>
      </c>
      <c r="J1080" s="14" t="s">
        <v>798</v>
      </c>
      <c r="K1080" s="15" t="s">
        <v>798</v>
      </c>
      <c r="L1080" s="12" t="s">
        <v>5315</v>
      </c>
      <c r="M1080" s="13" t="s">
        <v>5987</v>
      </c>
      <c r="N1080" s="12" t="s">
        <v>803</v>
      </c>
      <c r="O1080" s="13" t="s">
        <v>4825</v>
      </c>
      <c r="P1080" s="17" t="s">
        <v>802</v>
      </c>
      <c r="Q1080" s="21" t="s">
        <v>7950</v>
      </c>
      <c r="R1080" s="17" t="s">
        <v>801</v>
      </c>
      <c r="S1080" s="18" t="s">
        <v>2559</v>
      </c>
      <c r="T1080" s="17" t="s">
        <v>800</v>
      </c>
      <c r="U1080" s="18" t="s">
        <v>5234</v>
      </c>
      <c r="V1080" s="17" t="s">
        <v>9418</v>
      </c>
      <c r="W1080" s="18" t="s">
        <v>5311</v>
      </c>
      <c r="X1080" s="69" t="s">
        <v>9453</v>
      </c>
      <c r="Y1080" s="70" t="s">
        <v>9466</v>
      </c>
      <c r="Z1080" s="73" t="s">
        <v>9486</v>
      </c>
      <c r="AA1080" s="74" t="s">
        <v>9504</v>
      </c>
      <c r="AB1080" s="73" t="s">
        <v>9486</v>
      </c>
      <c r="AC1080" s="74" t="s">
        <v>9562</v>
      </c>
      <c r="AD1080" s="73" t="s">
        <v>9578</v>
      </c>
      <c r="AE1080" s="74" t="s">
        <v>9579</v>
      </c>
    </row>
    <row r="1081" spans="1:31" ht="8.65" customHeight="1" x14ac:dyDescent="0.2">
      <c r="A1081" s="76">
        <v>1081</v>
      </c>
      <c r="B1081" s="67" t="str">
        <f>MID(C1081, FIND("Ifc.", C1081) + 4, 4) &amp; "_" &amp; TEXT(COUNTIF($C$2:C1081, C1081),"0000")</f>
        <v>Prop_1080</v>
      </c>
      <c r="C1081" s="24" t="s">
        <v>872</v>
      </c>
      <c r="D1081" s="69" t="s">
        <v>9453</v>
      </c>
      <c r="E1081" s="70" t="s">
        <v>9454</v>
      </c>
      <c r="F1081" s="17" t="s">
        <v>806</v>
      </c>
      <c r="G1081" s="22" t="s">
        <v>1184</v>
      </c>
      <c r="H1081" s="12" t="s">
        <v>9703</v>
      </c>
      <c r="I1081" s="13" t="s">
        <v>6217</v>
      </c>
      <c r="J1081" s="14" t="s">
        <v>798</v>
      </c>
      <c r="K1081" s="15" t="s">
        <v>798</v>
      </c>
      <c r="L1081" s="12" t="s">
        <v>5315</v>
      </c>
      <c r="M1081" s="13" t="s">
        <v>6048</v>
      </c>
      <c r="N1081" s="12" t="s">
        <v>803</v>
      </c>
      <c r="O1081" s="13" t="s">
        <v>4877</v>
      </c>
      <c r="P1081" s="17" t="s">
        <v>802</v>
      </c>
      <c r="Q1081" s="21" t="s">
        <v>7982</v>
      </c>
      <c r="R1081" s="17" t="s">
        <v>801</v>
      </c>
      <c r="S1081" s="18" t="s">
        <v>2562</v>
      </c>
      <c r="T1081" s="17" t="s">
        <v>800</v>
      </c>
      <c r="U1081" s="18" t="s">
        <v>5256</v>
      </c>
      <c r="V1081" s="17" t="s">
        <v>9418</v>
      </c>
      <c r="W1081" s="18" t="s">
        <v>5312</v>
      </c>
      <c r="X1081" s="69" t="s">
        <v>9453</v>
      </c>
      <c r="Y1081" s="70" t="s">
        <v>9465</v>
      </c>
      <c r="Z1081" s="73" t="s">
        <v>9486</v>
      </c>
      <c r="AA1081" s="74" t="s">
        <v>9504</v>
      </c>
      <c r="AB1081" s="73" t="s">
        <v>9486</v>
      </c>
      <c r="AC1081" s="74" t="s">
        <v>9562</v>
      </c>
      <c r="AD1081" s="73" t="s">
        <v>9578</v>
      </c>
      <c r="AE1081" s="74" t="s">
        <v>9579</v>
      </c>
    </row>
    <row r="1082" spans="1:31" ht="8.65" customHeight="1" x14ac:dyDescent="0.2">
      <c r="A1082" s="76">
        <v>1082</v>
      </c>
      <c r="B1082" s="67" t="str">
        <f>MID(C1082, FIND("Ifc.", C1082) + 4, 4) &amp; "_" &amp; TEXT(COUNTIF($C$2:C1082, C1082),"0000")</f>
        <v>Prop_1081</v>
      </c>
      <c r="C1082" s="24" t="s">
        <v>872</v>
      </c>
      <c r="D1082" s="69" t="s">
        <v>9453</v>
      </c>
      <c r="E1082" s="70" t="s">
        <v>9454</v>
      </c>
      <c r="F1082" s="17" t="s">
        <v>806</v>
      </c>
      <c r="G1082" s="22" t="s">
        <v>1184</v>
      </c>
      <c r="H1082" s="12" t="s">
        <v>9703</v>
      </c>
      <c r="I1082" s="13" t="s">
        <v>6217</v>
      </c>
      <c r="J1082" s="14" t="s">
        <v>798</v>
      </c>
      <c r="K1082" s="15" t="s">
        <v>798</v>
      </c>
      <c r="L1082" s="12" t="s">
        <v>5315</v>
      </c>
      <c r="M1082" s="13" t="s">
        <v>6049</v>
      </c>
      <c r="N1082" s="12" t="s">
        <v>803</v>
      </c>
      <c r="O1082" s="13" t="s">
        <v>4878</v>
      </c>
      <c r="P1082" s="17" t="s">
        <v>802</v>
      </c>
      <c r="Q1082" s="21" t="s">
        <v>7983</v>
      </c>
      <c r="R1082" s="17" t="s">
        <v>801</v>
      </c>
      <c r="S1082" s="18" t="s">
        <v>2565</v>
      </c>
      <c r="T1082" s="17" t="s">
        <v>800</v>
      </c>
      <c r="U1082" s="18" t="s">
        <v>5248</v>
      </c>
      <c r="V1082" s="17" t="s">
        <v>9418</v>
      </c>
      <c r="W1082" s="18" t="s">
        <v>5312</v>
      </c>
      <c r="X1082" s="69" t="s">
        <v>9453</v>
      </c>
      <c r="Y1082" s="70" t="s">
        <v>9465</v>
      </c>
      <c r="Z1082" s="73" t="s">
        <v>9486</v>
      </c>
      <c r="AA1082" s="74" t="s">
        <v>9504</v>
      </c>
      <c r="AB1082" s="73" t="s">
        <v>9486</v>
      </c>
      <c r="AC1082" s="74" t="s">
        <v>9562</v>
      </c>
      <c r="AD1082" s="73" t="s">
        <v>9578</v>
      </c>
      <c r="AE1082" s="74" t="s">
        <v>9579</v>
      </c>
    </row>
    <row r="1083" spans="1:31" ht="8.65" customHeight="1" x14ac:dyDescent="0.2">
      <c r="A1083" s="76">
        <v>1083</v>
      </c>
      <c r="B1083" s="67" t="str">
        <f>MID(C1083, FIND("Ifc.", C1083) + 4, 4) &amp; "_" &amp; TEXT(COUNTIF($C$2:C1083, C1083),"0000")</f>
        <v>Prop_1082</v>
      </c>
      <c r="C1083" s="24" t="s">
        <v>872</v>
      </c>
      <c r="D1083" s="69" t="s">
        <v>9453</v>
      </c>
      <c r="E1083" s="70" t="s">
        <v>9454</v>
      </c>
      <c r="F1083" s="17" t="s">
        <v>806</v>
      </c>
      <c r="G1083" s="22" t="s">
        <v>1184</v>
      </c>
      <c r="H1083" s="12" t="s">
        <v>9703</v>
      </c>
      <c r="I1083" s="13" t="s">
        <v>6217</v>
      </c>
      <c r="J1083" s="14" t="s">
        <v>798</v>
      </c>
      <c r="K1083" s="15" t="s">
        <v>798</v>
      </c>
      <c r="L1083" s="12" t="s">
        <v>5315</v>
      </c>
      <c r="M1083" s="13" t="s">
        <v>6051</v>
      </c>
      <c r="N1083" s="12" t="s">
        <v>803</v>
      </c>
      <c r="O1083" s="13" t="s">
        <v>4880</v>
      </c>
      <c r="P1083" s="17" t="s">
        <v>802</v>
      </c>
      <c r="Q1083" s="21" t="s">
        <v>7882</v>
      </c>
      <c r="R1083" s="17" t="s">
        <v>801</v>
      </c>
      <c r="S1083" s="18" t="s">
        <v>2562</v>
      </c>
      <c r="T1083" s="17" t="s">
        <v>800</v>
      </c>
      <c r="U1083" s="18" t="s">
        <v>5256</v>
      </c>
      <c r="V1083" s="17" t="s">
        <v>9418</v>
      </c>
      <c r="W1083" s="18" t="s">
        <v>5312</v>
      </c>
      <c r="X1083" s="69" t="s">
        <v>9453</v>
      </c>
      <c r="Y1083" s="70" t="s">
        <v>9465</v>
      </c>
      <c r="Z1083" s="73" t="s">
        <v>9486</v>
      </c>
      <c r="AA1083" s="74" t="s">
        <v>9504</v>
      </c>
      <c r="AB1083" s="73" t="s">
        <v>9486</v>
      </c>
      <c r="AC1083" s="74" t="s">
        <v>9562</v>
      </c>
      <c r="AD1083" s="73" t="s">
        <v>9578</v>
      </c>
      <c r="AE1083" s="74" t="s">
        <v>9579</v>
      </c>
    </row>
    <row r="1084" spans="1:31" ht="8.65" customHeight="1" x14ac:dyDescent="0.2">
      <c r="A1084" s="76">
        <v>1084</v>
      </c>
      <c r="B1084" s="67" t="str">
        <f>MID(C1084, FIND("Ifc.", C1084) + 4, 4) &amp; "_" &amp; TEXT(COUNTIF($C$2:C1084, C1084),"0000")</f>
        <v>Prop_1083</v>
      </c>
      <c r="C1084" s="24" t="s">
        <v>872</v>
      </c>
      <c r="D1084" s="69" t="s">
        <v>9453</v>
      </c>
      <c r="E1084" s="70" t="s">
        <v>9454</v>
      </c>
      <c r="F1084" s="17" t="s">
        <v>806</v>
      </c>
      <c r="G1084" s="22" t="s">
        <v>1963</v>
      </c>
      <c r="H1084" s="12" t="s">
        <v>9703</v>
      </c>
      <c r="I1084" s="13" t="s">
        <v>7559</v>
      </c>
      <c r="J1084" s="14" t="s">
        <v>798</v>
      </c>
      <c r="K1084" s="15" t="s">
        <v>798</v>
      </c>
      <c r="L1084" s="12" t="s">
        <v>5315</v>
      </c>
      <c r="M1084" s="13" t="s">
        <v>5968</v>
      </c>
      <c r="N1084" s="12" t="s">
        <v>803</v>
      </c>
      <c r="O1084" s="13" t="s">
        <v>5069</v>
      </c>
      <c r="P1084" s="17" t="s">
        <v>802</v>
      </c>
      <c r="Q1084" s="21" t="s">
        <v>7843</v>
      </c>
      <c r="R1084" s="17" t="s">
        <v>801</v>
      </c>
      <c r="S1084" s="18" t="s">
        <v>2583</v>
      </c>
      <c r="T1084" s="17" t="s">
        <v>800</v>
      </c>
      <c r="U1084" s="18" t="s">
        <v>5251</v>
      </c>
      <c r="V1084" s="17" t="s">
        <v>9418</v>
      </c>
      <c r="W1084" s="18" t="s">
        <v>5309</v>
      </c>
      <c r="X1084" s="69" t="s">
        <v>9453</v>
      </c>
      <c r="Y1084" s="70" t="s">
        <v>9462</v>
      </c>
      <c r="Z1084" s="73" t="s">
        <v>9486</v>
      </c>
      <c r="AA1084" s="74" t="s">
        <v>9504</v>
      </c>
      <c r="AB1084" s="73" t="s">
        <v>9486</v>
      </c>
      <c r="AC1084" s="74" t="s">
        <v>9566</v>
      </c>
      <c r="AD1084" s="73" t="s">
        <v>9578</v>
      </c>
      <c r="AE1084" s="74" t="s">
        <v>9579</v>
      </c>
    </row>
    <row r="1085" spans="1:31" ht="8.65" customHeight="1" x14ac:dyDescent="0.2">
      <c r="A1085" s="76">
        <v>1085</v>
      </c>
      <c r="B1085" s="67" t="str">
        <f>MID(C1085, FIND("Ifc.", C1085) + 4, 4) &amp; "_" &amp; TEXT(COUNTIF($C$2:C1085, C1085),"0000")</f>
        <v>Prop_1084</v>
      </c>
      <c r="C1085" s="24" t="s">
        <v>872</v>
      </c>
      <c r="D1085" s="69" t="s">
        <v>9453</v>
      </c>
      <c r="E1085" s="70" t="s">
        <v>9454</v>
      </c>
      <c r="F1085" s="17" t="s">
        <v>806</v>
      </c>
      <c r="G1085" s="22" t="s">
        <v>1790</v>
      </c>
      <c r="H1085" s="12" t="s">
        <v>9703</v>
      </c>
      <c r="I1085" s="13" t="s">
        <v>6201</v>
      </c>
      <c r="J1085" s="14" t="s">
        <v>798</v>
      </c>
      <c r="K1085" s="15" t="s">
        <v>798</v>
      </c>
      <c r="L1085" s="12" t="s">
        <v>5315</v>
      </c>
      <c r="M1085" s="13" t="s">
        <v>5937</v>
      </c>
      <c r="N1085" s="12" t="s">
        <v>803</v>
      </c>
      <c r="O1085" s="13" t="s">
        <v>5018</v>
      </c>
      <c r="P1085" s="17" t="s">
        <v>802</v>
      </c>
      <c r="Q1085" s="21" t="s">
        <v>7733</v>
      </c>
      <c r="R1085" s="17" t="s">
        <v>801</v>
      </c>
      <c r="S1085" s="18" t="s">
        <v>2585</v>
      </c>
      <c r="T1085" s="17" t="s">
        <v>800</v>
      </c>
      <c r="U1085" s="18" t="s">
        <v>5238</v>
      </c>
      <c r="V1085" s="17" t="s">
        <v>9418</v>
      </c>
      <c r="W1085" s="18" t="s">
        <v>5309</v>
      </c>
      <c r="X1085" s="69" t="s">
        <v>9453</v>
      </c>
      <c r="Y1085" s="70" t="s">
        <v>9462</v>
      </c>
      <c r="Z1085" s="73" t="s">
        <v>9486</v>
      </c>
      <c r="AA1085" s="74" t="s">
        <v>9504</v>
      </c>
      <c r="AB1085" s="73" t="s">
        <v>9486</v>
      </c>
      <c r="AC1085" s="74" t="s">
        <v>9566</v>
      </c>
      <c r="AD1085" s="73" t="s">
        <v>9578</v>
      </c>
      <c r="AE1085" s="74" t="s">
        <v>9579</v>
      </c>
    </row>
    <row r="1086" spans="1:31" ht="8.65" customHeight="1" x14ac:dyDescent="0.2">
      <c r="A1086" s="76">
        <v>1086</v>
      </c>
      <c r="B1086" s="67" t="str">
        <f>MID(C1086, FIND("Ifc.", C1086) + 4, 4) &amp; "_" &amp; TEXT(COUNTIF($C$2:C1086, C1086),"0000")</f>
        <v>Prop_1085</v>
      </c>
      <c r="C1086" s="24" t="s">
        <v>872</v>
      </c>
      <c r="D1086" s="69" t="s">
        <v>9453</v>
      </c>
      <c r="E1086" s="70" t="s">
        <v>9454</v>
      </c>
      <c r="F1086" s="17" t="s">
        <v>806</v>
      </c>
      <c r="G1086" s="22" t="s">
        <v>1203</v>
      </c>
      <c r="H1086" s="12" t="s">
        <v>9703</v>
      </c>
      <c r="I1086" s="13" t="s">
        <v>6483</v>
      </c>
      <c r="J1086" s="14" t="s">
        <v>798</v>
      </c>
      <c r="K1086" s="15" t="s">
        <v>798</v>
      </c>
      <c r="L1086" s="12" t="s">
        <v>5315</v>
      </c>
      <c r="M1086" s="13" t="s">
        <v>5821</v>
      </c>
      <c r="N1086" s="12" t="s">
        <v>803</v>
      </c>
      <c r="O1086" s="13" t="s">
        <v>4883</v>
      </c>
      <c r="P1086" s="17" t="s">
        <v>802</v>
      </c>
      <c r="Q1086" s="21" t="s">
        <v>7683</v>
      </c>
      <c r="R1086" s="17" t="s">
        <v>801</v>
      </c>
      <c r="S1086" s="18" t="s">
        <v>2554</v>
      </c>
      <c r="T1086" s="17" t="s">
        <v>800</v>
      </c>
      <c r="U1086" s="18" t="s">
        <v>5233</v>
      </c>
      <c r="V1086" s="17" t="s">
        <v>9418</v>
      </c>
      <c r="W1086" s="18" t="s">
        <v>5310</v>
      </c>
      <c r="X1086" s="69" t="s">
        <v>9453</v>
      </c>
      <c r="Y1086" s="70" t="s">
        <v>9463</v>
      </c>
      <c r="Z1086" s="73" t="s">
        <v>9486</v>
      </c>
      <c r="AA1086" s="74" t="s">
        <v>9504</v>
      </c>
      <c r="AB1086" s="73" t="s">
        <v>9486</v>
      </c>
      <c r="AC1086" s="74" t="s">
        <v>9562</v>
      </c>
      <c r="AD1086" s="73" t="s">
        <v>9578</v>
      </c>
      <c r="AE1086" s="74" t="s">
        <v>9579</v>
      </c>
    </row>
    <row r="1087" spans="1:31" ht="8.65" customHeight="1" x14ac:dyDescent="0.2">
      <c r="A1087" s="76">
        <v>1087</v>
      </c>
      <c r="B1087" s="67" t="str">
        <f>MID(C1087, FIND("Ifc.", C1087) + 4, 4) &amp; "_" &amp; TEXT(COUNTIF($C$2:C1087, C1087),"0000")</f>
        <v>Prop_1086</v>
      </c>
      <c r="C1087" s="24" t="s">
        <v>872</v>
      </c>
      <c r="D1087" s="69" t="s">
        <v>9453</v>
      </c>
      <c r="E1087" s="70" t="s">
        <v>9454</v>
      </c>
      <c r="F1087" s="17" t="s">
        <v>806</v>
      </c>
      <c r="G1087" s="22" t="s">
        <v>1869</v>
      </c>
      <c r="H1087" s="12" t="s">
        <v>9703</v>
      </c>
      <c r="I1087" s="13" t="s">
        <v>7434</v>
      </c>
      <c r="J1087" s="14" t="s">
        <v>798</v>
      </c>
      <c r="K1087" s="15" t="s">
        <v>798</v>
      </c>
      <c r="L1087" s="12" t="s">
        <v>5315</v>
      </c>
      <c r="M1087" s="13" t="s">
        <v>5460</v>
      </c>
      <c r="N1087" s="12" t="s">
        <v>803</v>
      </c>
      <c r="O1087" s="13" t="s">
        <v>5037</v>
      </c>
      <c r="P1087" s="17" t="s">
        <v>802</v>
      </c>
      <c r="Q1087" s="21" t="s">
        <v>7782</v>
      </c>
      <c r="R1087" s="17" t="s">
        <v>801</v>
      </c>
      <c r="S1087" s="18" t="s">
        <v>2565</v>
      </c>
      <c r="T1087" s="17" t="s">
        <v>800</v>
      </c>
      <c r="U1087" s="18" t="s">
        <v>5248</v>
      </c>
      <c r="V1087" s="17" t="s">
        <v>9418</v>
      </c>
      <c r="W1087" s="18" t="s">
        <v>5309</v>
      </c>
      <c r="X1087" s="69" t="s">
        <v>9453</v>
      </c>
      <c r="Y1087" s="70" t="s">
        <v>9462</v>
      </c>
      <c r="Z1087" s="73" t="s">
        <v>9486</v>
      </c>
      <c r="AA1087" s="74" t="s">
        <v>9504</v>
      </c>
      <c r="AB1087" s="73" t="s">
        <v>9486</v>
      </c>
      <c r="AC1087" s="74" t="s">
        <v>9562</v>
      </c>
      <c r="AD1087" s="73" t="s">
        <v>9578</v>
      </c>
      <c r="AE1087" s="74" t="s">
        <v>9579</v>
      </c>
    </row>
    <row r="1088" spans="1:31" ht="8.65" customHeight="1" x14ac:dyDescent="0.2">
      <c r="A1088" s="76">
        <v>1088</v>
      </c>
      <c r="B1088" s="67" t="str">
        <f>MID(C1088, FIND("Ifc.", C1088) + 4, 4) &amp; "_" &amp; TEXT(COUNTIF($C$2:C1088, C1088),"0000")</f>
        <v>Prop_1087</v>
      </c>
      <c r="C1088" s="24" t="s">
        <v>872</v>
      </c>
      <c r="D1088" s="69" t="s">
        <v>9453</v>
      </c>
      <c r="E1088" s="70" t="s">
        <v>9454</v>
      </c>
      <c r="F1088" s="17" t="s">
        <v>806</v>
      </c>
      <c r="G1088" s="22" t="s">
        <v>1862</v>
      </c>
      <c r="H1088" s="12" t="s">
        <v>9703</v>
      </c>
      <c r="I1088" s="13" t="s">
        <v>7435</v>
      </c>
      <c r="J1088" s="14" t="s">
        <v>798</v>
      </c>
      <c r="K1088" s="15" t="s">
        <v>798</v>
      </c>
      <c r="L1088" s="12" t="s">
        <v>5315</v>
      </c>
      <c r="M1088" s="13" t="s">
        <v>5460</v>
      </c>
      <c r="N1088" s="12" t="s">
        <v>803</v>
      </c>
      <c r="O1088" s="13" t="s">
        <v>5037</v>
      </c>
      <c r="P1088" s="17" t="s">
        <v>802</v>
      </c>
      <c r="Q1088" s="21" t="s">
        <v>7782</v>
      </c>
      <c r="R1088" s="17" t="s">
        <v>801</v>
      </c>
      <c r="S1088" s="18" t="s">
        <v>2554</v>
      </c>
      <c r="T1088" s="17" t="s">
        <v>800</v>
      </c>
      <c r="U1088" s="18" t="s">
        <v>5233</v>
      </c>
      <c r="V1088" s="17" t="s">
        <v>9418</v>
      </c>
      <c r="W1088" s="18" t="s">
        <v>5309</v>
      </c>
      <c r="X1088" s="69" t="s">
        <v>9453</v>
      </c>
      <c r="Y1088" s="70" t="s">
        <v>9462</v>
      </c>
      <c r="Z1088" s="73" t="s">
        <v>9486</v>
      </c>
      <c r="AA1088" s="74" t="s">
        <v>9504</v>
      </c>
      <c r="AB1088" s="73" t="s">
        <v>9486</v>
      </c>
      <c r="AC1088" s="74" t="s">
        <v>9562</v>
      </c>
      <c r="AD1088" s="73" t="s">
        <v>9578</v>
      </c>
      <c r="AE1088" s="74" t="s">
        <v>9579</v>
      </c>
    </row>
    <row r="1089" spans="1:31" ht="8.65" customHeight="1" x14ac:dyDescent="0.2">
      <c r="A1089" s="76">
        <v>1089</v>
      </c>
      <c r="B1089" s="67" t="str">
        <f>MID(C1089, FIND("Ifc.", C1089) + 4, 4) &amp; "_" &amp; TEXT(COUNTIF($C$2:C1089, C1089),"0000")</f>
        <v>Prop_1088</v>
      </c>
      <c r="C1089" s="24" t="s">
        <v>872</v>
      </c>
      <c r="D1089" s="69" t="s">
        <v>9453</v>
      </c>
      <c r="E1089" s="70" t="s">
        <v>9454</v>
      </c>
      <c r="F1089" s="17" t="s">
        <v>806</v>
      </c>
      <c r="G1089" s="22" t="s">
        <v>1091</v>
      </c>
      <c r="H1089" s="12" t="s">
        <v>9703</v>
      </c>
      <c r="I1089" s="13" t="s">
        <v>6155</v>
      </c>
      <c r="J1089" s="14" t="s">
        <v>798</v>
      </c>
      <c r="K1089" s="15" t="s">
        <v>798</v>
      </c>
      <c r="L1089" s="12" t="s">
        <v>5315</v>
      </c>
      <c r="M1089" s="13" t="s">
        <v>5994</v>
      </c>
      <c r="N1089" s="12" t="s">
        <v>803</v>
      </c>
      <c r="O1089" s="13" t="s">
        <v>4854</v>
      </c>
      <c r="P1089" s="17" t="s">
        <v>802</v>
      </c>
      <c r="Q1089" s="21" t="s">
        <v>7825</v>
      </c>
      <c r="R1089" s="17" t="s">
        <v>801</v>
      </c>
      <c r="S1089" s="18" t="s">
        <v>2585</v>
      </c>
      <c r="T1089" s="17" t="s">
        <v>800</v>
      </c>
      <c r="U1089" s="18" t="s">
        <v>5238</v>
      </c>
      <c r="V1089" s="17" t="s">
        <v>9418</v>
      </c>
      <c r="W1089" s="18" t="s">
        <v>5309</v>
      </c>
      <c r="X1089" s="69" t="s">
        <v>9453</v>
      </c>
      <c r="Y1089" s="70" t="s">
        <v>9462</v>
      </c>
      <c r="Z1089" s="73" t="s">
        <v>9486</v>
      </c>
      <c r="AA1089" s="74" t="s">
        <v>9504</v>
      </c>
      <c r="AB1089" s="73" t="s">
        <v>9486</v>
      </c>
      <c r="AC1089" s="74" t="s">
        <v>9566</v>
      </c>
      <c r="AD1089" s="73" t="s">
        <v>9578</v>
      </c>
      <c r="AE1089" s="74" t="s">
        <v>9579</v>
      </c>
    </row>
    <row r="1090" spans="1:31" ht="8.65" customHeight="1" x14ac:dyDescent="0.2">
      <c r="A1090" s="76">
        <v>1090</v>
      </c>
      <c r="B1090" s="67" t="str">
        <f>MID(C1090, FIND("Ifc.", C1090) + 4, 4) &amp; "_" &amp; TEXT(COUNTIF($C$2:C1090, C1090),"0000")</f>
        <v>Prop_1089</v>
      </c>
      <c r="C1090" s="24" t="s">
        <v>872</v>
      </c>
      <c r="D1090" s="69" t="s">
        <v>9453</v>
      </c>
      <c r="E1090" s="70" t="s">
        <v>9454</v>
      </c>
      <c r="F1090" s="17" t="s">
        <v>806</v>
      </c>
      <c r="G1090" s="22" t="s">
        <v>1091</v>
      </c>
      <c r="H1090" s="12" t="s">
        <v>9703</v>
      </c>
      <c r="I1090" s="13" t="s">
        <v>6155</v>
      </c>
      <c r="J1090" s="14" t="s">
        <v>798</v>
      </c>
      <c r="K1090" s="15" t="s">
        <v>798</v>
      </c>
      <c r="L1090" s="12" t="s">
        <v>5315</v>
      </c>
      <c r="M1090" s="13" t="s">
        <v>5389</v>
      </c>
      <c r="N1090" s="12" t="s">
        <v>803</v>
      </c>
      <c r="O1090" s="13" t="s">
        <v>4851</v>
      </c>
      <c r="P1090" s="17" t="s">
        <v>802</v>
      </c>
      <c r="Q1090" s="21" t="s">
        <v>7826</v>
      </c>
      <c r="R1090" s="17" t="s">
        <v>801</v>
      </c>
      <c r="S1090" s="18" t="s">
        <v>2585</v>
      </c>
      <c r="T1090" s="17" t="s">
        <v>800</v>
      </c>
      <c r="U1090" s="18" t="s">
        <v>5238</v>
      </c>
      <c r="V1090" s="17" t="s">
        <v>9418</v>
      </c>
      <c r="W1090" s="18" t="s">
        <v>5309</v>
      </c>
      <c r="X1090" s="69" t="s">
        <v>9453</v>
      </c>
      <c r="Y1090" s="70" t="s">
        <v>9462</v>
      </c>
      <c r="Z1090" s="73" t="s">
        <v>9486</v>
      </c>
      <c r="AA1090" s="74" t="s">
        <v>9504</v>
      </c>
      <c r="AB1090" s="73" t="s">
        <v>9486</v>
      </c>
      <c r="AC1090" s="74" t="s">
        <v>9566</v>
      </c>
      <c r="AD1090" s="73" t="s">
        <v>9578</v>
      </c>
      <c r="AE1090" s="74" t="s">
        <v>9579</v>
      </c>
    </row>
    <row r="1091" spans="1:31" ht="8.65" customHeight="1" x14ac:dyDescent="0.2">
      <c r="A1091" s="76">
        <v>1091</v>
      </c>
      <c r="B1091" s="67" t="str">
        <f>MID(C1091, FIND("Ifc.", C1091) + 4, 4) &amp; "_" &amp; TEXT(COUNTIF($C$2:C1091, C1091),"0000")</f>
        <v>Prop_1090</v>
      </c>
      <c r="C1091" s="24" t="s">
        <v>872</v>
      </c>
      <c r="D1091" s="69" t="s">
        <v>9453</v>
      </c>
      <c r="E1091" s="70" t="s">
        <v>9454</v>
      </c>
      <c r="F1091" s="17" t="s">
        <v>806</v>
      </c>
      <c r="G1091" s="22" t="s">
        <v>1470</v>
      </c>
      <c r="H1091" s="12" t="s">
        <v>9703</v>
      </c>
      <c r="I1091" s="13" t="s">
        <v>6878</v>
      </c>
      <c r="J1091" s="14" t="s">
        <v>798</v>
      </c>
      <c r="K1091" s="15" t="s">
        <v>798</v>
      </c>
      <c r="L1091" s="12" t="s">
        <v>5315</v>
      </c>
      <c r="M1091" s="13" t="s">
        <v>5827</v>
      </c>
      <c r="N1091" s="12" t="s">
        <v>803</v>
      </c>
      <c r="O1091" s="13" t="s">
        <v>4943</v>
      </c>
      <c r="P1091" s="17" t="s">
        <v>802</v>
      </c>
      <c r="Q1091" s="21" t="s">
        <v>7850</v>
      </c>
      <c r="R1091" s="17" t="s">
        <v>801</v>
      </c>
      <c r="S1091" s="18" t="s">
        <v>2585</v>
      </c>
      <c r="T1091" s="17" t="s">
        <v>800</v>
      </c>
      <c r="U1091" s="18" t="s">
        <v>5238</v>
      </c>
      <c r="V1091" s="17" t="s">
        <v>9418</v>
      </c>
      <c r="W1091" s="18" t="s">
        <v>5309</v>
      </c>
      <c r="X1091" s="69" t="s">
        <v>9453</v>
      </c>
      <c r="Y1091" s="70" t="s">
        <v>9462</v>
      </c>
      <c r="Z1091" s="73" t="s">
        <v>9486</v>
      </c>
      <c r="AA1091" s="74" t="s">
        <v>9504</v>
      </c>
      <c r="AB1091" s="73" t="s">
        <v>9486</v>
      </c>
      <c r="AC1091" s="74" t="s">
        <v>9566</v>
      </c>
      <c r="AD1091" s="73" t="s">
        <v>9578</v>
      </c>
      <c r="AE1091" s="74" t="s">
        <v>9579</v>
      </c>
    </row>
    <row r="1092" spans="1:31" ht="8.65" customHeight="1" x14ac:dyDescent="0.2">
      <c r="A1092" s="76">
        <v>1092</v>
      </c>
      <c r="B1092" s="67" t="str">
        <f>MID(C1092, FIND("Ifc.", C1092) + 4, 4) &amp; "_" &amp; TEXT(COUNTIF($C$2:C1092, C1092),"0000")</f>
        <v>Prop_1091</v>
      </c>
      <c r="C1092" s="24" t="s">
        <v>872</v>
      </c>
      <c r="D1092" s="69" t="s">
        <v>9453</v>
      </c>
      <c r="E1092" s="70" t="s">
        <v>9454</v>
      </c>
      <c r="F1092" s="17" t="s">
        <v>806</v>
      </c>
      <c r="G1092" s="22" t="s">
        <v>2009</v>
      </c>
      <c r="H1092" s="12" t="s">
        <v>9703</v>
      </c>
      <c r="I1092" s="13" t="s">
        <v>7043</v>
      </c>
      <c r="J1092" s="14" t="s">
        <v>798</v>
      </c>
      <c r="K1092" s="15" t="s">
        <v>798</v>
      </c>
      <c r="L1092" s="12" t="s">
        <v>5315</v>
      </c>
      <c r="M1092" s="13" t="s">
        <v>5479</v>
      </c>
      <c r="N1092" s="12" t="s">
        <v>803</v>
      </c>
      <c r="O1092" s="13" t="s">
        <v>5083</v>
      </c>
      <c r="P1092" s="17" t="s">
        <v>802</v>
      </c>
      <c r="Q1092" s="21" t="s">
        <v>7731</v>
      </c>
      <c r="R1092" s="17" t="s">
        <v>801</v>
      </c>
      <c r="S1092" s="18" t="s">
        <v>2585</v>
      </c>
      <c r="T1092" s="17" t="s">
        <v>800</v>
      </c>
      <c r="U1092" s="18" t="s">
        <v>5238</v>
      </c>
      <c r="V1092" s="17" t="s">
        <v>9418</v>
      </c>
      <c r="W1092" s="18" t="s">
        <v>5309</v>
      </c>
      <c r="X1092" s="69" t="s">
        <v>9453</v>
      </c>
      <c r="Y1092" s="70" t="s">
        <v>9462</v>
      </c>
      <c r="Z1092" s="73" t="s">
        <v>9486</v>
      </c>
      <c r="AA1092" s="74" t="s">
        <v>9504</v>
      </c>
      <c r="AB1092" s="73" t="s">
        <v>9486</v>
      </c>
      <c r="AC1092" s="74" t="s">
        <v>9566</v>
      </c>
      <c r="AD1092" s="73" t="s">
        <v>9578</v>
      </c>
      <c r="AE1092" s="74" t="s">
        <v>9579</v>
      </c>
    </row>
    <row r="1093" spans="1:31" ht="8.65" customHeight="1" x14ac:dyDescent="0.2">
      <c r="A1093" s="76">
        <v>1093</v>
      </c>
      <c r="B1093" s="67" t="str">
        <f>MID(C1093, FIND("Ifc.", C1093) + 4, 4) &amp; "_" &amp; TEXT(COUNTIF($C$2:C1093, C1093),"0000")</f>
        <v>Prop_1092</v>
      </c>
      <c r="C1093" s="24" t="s">
        <v>872</v>
      </c>
      <c r="D1093" s="69" t="s">
        <v>9453</v>
      </c>
      <c r="E1093" s="70" t="s">
        <v>9454</v>
      </c>
      <c r="F1093" s="17" t="s">
        <v>806</v>
      </c>
      <c r="G1093" s="22" t="s">
        <v>2141</v>
      </c>
      <c r="H1093" s="12" t="s">
        <v>9703</v>
      </c>
      <c r="I1093" s="13" t="s">
        <v>7057</v>
      </c>
      <c r="J1093" s="14" t="s">
        <v>798</v>
      </c>
      <c r="K1093" s="15" t="s">
        <v>798</v>
      </c>
      <c r="L1093" s="12" t="s">
        <v>5315</v>
      </c>
      <c r="M1093" s="13" t="s">
        <v>5497</v>
      </c>
      <c r="N1093" s="12" t="s">
        <v>803</v>
      </c>
      <c r="O1093" s="13" t="s">
        <v>5111</v>
      </c>
      <c r="P1093" s="17" t="s">
        <v>802</v>
      </c>
      <c r="Q1093" s="21" t="s">
        <v>7851</v>
      </c>
      <c r="R1093" s="17" t="s">
        <v>801</v>
      </c>
      <c r="S1093" s="18" t="s">
        <v>2585</v>
      </c>
      <c r="T1093" s="17" t="s">
        <v>800</v>
      </c>
      <c r="U1093" s="18" t="s">
        <v>5238</v>
      </c>
      <c r="V1093" s="17" t="s">
        <v>9418</v>
      </c>
      <c r="W1093" s="18" t="s">
        <v>5309</v>
      </c>
      <c r="X1093" s="69" t="s">
        <v>9453</v>
      </c>
      <c r="Y1093" s="70" t="s">
        <v>9462</v>
      </c>
      <c r="Z1093" s="73" t="s">
        <v>9486</v>
      </c>
      <c r="AA1093" s="74" t="s">
        <v>9504</v>
      </c>
      <c r="AB1093" s="73" t="s">
        <v>9486</v>
      </c>
      <c r="AC1093" s="74" t="s">
        <v>9566</v>
      </c>
      <c r="AD1093" s="73" t="s">
        <v>9578</v>
      </c>
      <c r="AE1093" s="74" t="s">
        <v>9579</v>
      </c>
    </row>
    <row r="1094" spans="1:31" ht="8.65" customHeight="1" x14ac:dyDescent="0.2">
      <c r="A1094" s="76">
        <v>1094</v>
      </c>
      <c r="B1094" s="67" t="str">
        <f>MID(C1094, FIND("Ifc.", C1094) + 4, 4) &amp; "_" &amp; TEXT(COUNTIF($C$2:C1094, C1094),"0000")</f>
        <v>Prop_1093</v>
      </c>
      <c r="C1094" s="24" t="s">
        <v>872</v>
      </c>
      <c r="D1094" s="69" t="s">
        <v>9453</v>
      </c>
      <c r="E1094" s="70" t="s">
        <v>9454</v>
      </c>
      <c r="F1094" s="17" t="s">
        <v>806</v>
      </c>
      <c r="G1094" s="22" t="s">
        <v>2040</v>
      </c>
      <c r="H1094" s="12" t="s">
        <v>9703</v>
      </c>
      <c r="I1094" s="13" t="s">
        <v>7046</v>
      </c>
      <c r="J1094" s="14" t="s">
        <v>798</v>
      </c>
      <c r="K1094" s="15" t="s">
        <v>798</v>
      </c>
      <c r="L1094" s="12" t="s">
        <v>5315</v>
      </c>
      <c r="M1094" s="13" t="s">
        <v>5481</v>
      </c>
      <c r="N1094" s="12" t="s">
        <v>803</v>
      </c>
      <c r="O1094" s="13" t="s">
        <v>5085</v>
      </c>
      <c r="P1094" s="17" t="s">
        <v>802</v>
      </c>
      <c r="Q1094" s="21" t="s">
        <v>7708</v>
      </c>
      <c r="R1094" s="17" t="s">
        <v>801</v>
      </c>
      <c r="S1094" s="18" t="s">
        <v>2585</v>
      </c>
      <c r="T1094" s="17" t="s">
        <v>800</v>
      </c>
      <c r="U1094" s="18" t="s">
        <v>5238</v>
      </c>
      <c r="V1094" s="17" t="s">
        <v>9418</v>
      </c>
      <c r="W1094" s="18" t="s">
        <v>5309</v>
      </c>
      <c r="X1094" s="69" t="s">
        <v>9453</v>
      </c>
      <c r="Y1094" s="70" t="s">
        <v>9462</v>
      </c>
      <c r="Z1094" s="73" t="s">
        <v>9486</v>
      </c>
      <c r="AA1094" s="74" t="s">
        <v>9504</v>
      </c>
      <c r="AB1094" s="73" t="s">
        <v>9486</v>
      </c>
      <c r="AC1094" s="74" t="s">
        <v>9566</v>
      </c>
      <c r="AD1094" s="73" t="s">
        <v>9578</v>
      </c>
      <c r="AE1094" s="74" t="s">
        <v>9579</v>
      </c>
    </row>
    <row r="1095" spans="1:31" ht="8.65" customHeight="1" x14ac:dyDescent="0.2">
      <c r="A1095" s="76">
        <v>1095</v>
      </c>
      <c r="B1095" s="67" t="str">
        <f>MID(C1095, FIND("Ifc.", C1095) + 4, 4) &amp; "_" &amp; TEXT(COUNTIF($C$2:C1095, C1095),"0000")</f>
        <v>Prop_1094</v>
      </c>
      <c r="C1095" s="24" t="s">
        <v>872</v>
      </c>
      <c r="D1095" s="69" t="s">
        <v>9453</v>
      </c>
      <c r="E1095" s="70" t="s">
        <v>9454</v>
      </c>
      <c r="F1095" s="17" t="s">
        <v>806</v>
      </c>
      <c r="G1095" s="22" t="s">
        <v>2046</v>
      </c>
      <c r="H1095" s="12" t="s">
        <v>9703</v>
      </c>
      <c r="I1095" s="13" t="s">
        <v>7047</v>
      </c>
      <c r="J1095" s="14" t="s">
        <v>798</v>
      </c>
      <c r="K1095" s="15" t="s">
        <v>798</v>
      </c>
      <c r="L1095" s="12" t="s">
        <v>5315</v>
      </c>
      <c r="M1095" s="13" t="s">
        <v>5481</v>
      </c>
      <c r="N1095" s="12" t="s">
        <v>803</v>
      </c>
      <c r="O1095" s="13" t="s">
        <v>5085</v>
      </c>
      <c r="P1095" s="17" t="s">
        <v>802</v>
      </c>
      <c r="Q1095" s="21" t="s">
        <v>7708</v>
      </c>
      <c r="R1095" s="17" t="s">
        <v>801</v>
      </c>
      <c r="S1095" s="18" t="s">
        <v>2585</v>
      </c>
      <c r="T1095" s="17" t="s">
        <v>800</v>
      </c>
      <c r="U1095" s="18" t="s">
        <v>5238</v>
      </c>
      <c r="V1095" s="17" t="s">
        <v>9418</v>
      </c>
      <c r="W1095" s="18" t="s">
        <v>5309</v>
      </c>
      <c r="X1095" s="69" t="s">
        <v>9453</v>
      </c>
      <c r="Y1095" s="70" t="s">
        <v>9462</v>
      </c>
      <c r="Z1095" s="73" t="s">
        <v>9486</v>
      </c>
      <c r="AA1095" s="74" t="s">
        <v>9504</v>
      </c>
      <c r="AB1095" s="73" t="s">
        <v>9486</v>
      </c>
      <c r="AC1095" s="74" t="s">
        <v>9566</v>
      </c>
      <c r="AD1095" s="73" t="s">
        <v>9578</v>
      </c>
      <c r="AE1095" s="74" t="s">
        <v>9579</v>
      </c>
    </row>
    <row r="1096" spans="1:31" ht="8.65" customHeight="1" x14ac:dyDescent="0.2">
      <c r="A1096" s="76">
        <v>1096</v>
      </c>
      <c r="B1096" s="67" t="str">
        <f>MID(C1096, FIND("Ifc.", C1096) + 4, 4) &amp; "_" &amp; TEXT(COUNTIF($C$2:C1096, C1096),"0000")</f>
        <v>Prop_1095</v>
      </c>
      <c r="C1096" s="24" t="s">
        <v>872</v>
      </c>
      <c r="D1096" s="69" t="s">
        <v>9453</v>
      </c>
      <c r="E1096" s="70" t="s">
        <v>9454</v>
      </c>
      <c r="F1096" s="17" t="s">
        <v>806</v>
      </c>
      <c r="G1096" s="22" t="s">
        <v>2217</v>
      </c>
      <c r="H1096" s="12" t="s">
        <v>9703</v>
      </c>
      <c r="I1096" s="13" t="s">
        <v>7386</v>
      </c>
      <c r="J1096" s="14" t="s">
        <v>798</v>
      </c>
      <c r="K1096" s="15" t="s">
        <v>798</v>
      </c>
      <c r="L1096" s="12" t="s">
        <v>5315</v>
      </c>
      <c r="M1096" s="13" t="s">
        <v>5508</v>
      </c>
      <c r="N1096" s="12" t="s">
        <v>803</v>
      </c>
      <c r="O1096" s="13" t="s">
        <v>5121</v>
      </c>
      <c r="P1096" s="17" t="s">
        <v>802</v>
      </c>
      <c r="Q1096" s="21" t="s">
        <v>7702</v>
      </c>
      <c r="R1096" s="17" t="s">
        <v>801</v>
      </c>
      <c r="S1096" s="18" t="s">
        <v>2585</v>
      </c>
      <c r="T1096" s="17" t="s">
        <v>800</v>
      </c>
      <c r="U1096" s="18" t="s">
        <v>5238</v>
      </c>
      <c r="V1096" s="17" t="s">
        <v>9418</v>
      </c>
      <c r="W1096" s="18" t="s">
        <v>5309</v>
      </c>
      <c r="X1096" s="69" t="s">
        <v>9453</v>
      </c>
      <c r="Y1096" s="70" t="s">
        <v>9462</v>
      </c>
      <c r="Z1096" s="73" t="s">
        <v>9486</v>
      </c>
      <c r="AA1096" s="74" t="s">
        <v>9504</v>
      </c>
      <c r="AB1096" s="73" t="s">
        <v>9486</v>
      </c>
      <c r="AC1096" s="74" t="s">
        <v>9566</v>
      </c>
      <c r="AD1096" s="73" t="s">
        <v>9578</v>
      </c>
      <c r="AE1096" s="74" t="s">
        <v>9579</v>
      </c>
    </row>
    <row r="1097" spans="1:31" ht="8.65" customHeight="1" x14ac:dyDescent="0.2">
      <c r="A1097" s="76">
        <v>1097</v>
      </c>
      <c r="B1097" s="67" t="str">
        <f>MID(C1097, FIND("Ifc.", C1097) + 4, 4) &amp; "_" &amp; TEXT(COUNTIF($C$2:C1097, C1097),"0000")</f>
        <v>Prop_1096</v>
      </c>
      <c r="C1097" s="24" t="s">
        <v>872</v>
      </c>
      <c r="D1097" s="69" t="s">
        <v>9453</v>
      </c>
      <c r="E1097" s="70" t="s">
        <v>9454</v>
      </c>
      <c r="F1097" s="17" t="s">
        <v>806</v>
      </c>
      <c r="G1097" s="22" t="s">
        <v>1096</v>
      </c>
      <c r="H1097" s="12" t="s">
        <v>9703</v>
      </c>
      <c r="I1097" s="13" t="s">
        <v>6969</v>
      </c>
      <c r="J1097" s="14" t="s">
        <v>798</v>
      </c>
      <c r="K1097" s="15" t="s">
        <v>798</v>
      </c>
      <c r="L1097" s="12" t="s">
        <v>5315</v>
      </c>
      <c r="M1097" s="13" t="s">
        <v>5994</v>
      </c>
      <c r="N1097" s="12" t="s">
        <v>803</v>
      </c>
      <c r="O1097" s="13" t="s">
        <v>4854</v>
      </c>
      <c r="P1097" s="17" t="s">
        <v>802</v>
      </c>
      <c r="Q1097" s="21" t="s">
        <v>7825</v>
      </c>
      <c r="R1097" s="17" t="s">
        <v>801</v>
      </c>
      <c r="S1097" s="18" t="s">
        <v>2585</v>
      </c>
      <c r="T1097" s="17" t="s">
        <v>800</v>
      </c>
      <c r="U1097" s="18" t="s">
        <v>5238</v>
      </c>
      <c r="V1097" s="17" t="s">
        <v>9418</v>
      </c>
      <c r="W1097" s="18" t="s">
        <v>5309</v>
      </c>
      <c r="X1097" s="69" t="s">
        <v>9453</v>
      </c>
      <c r="Y1097" s="70" t="s">
        <v>9462</v>
      </c>
      <c r="Z1097" s="73" t="s">
        <v>9486</v>
      </c>
      <c r="AA1097" s="74" t="s">
        <v>9504</v>
      </c>
      <c r="AB1097" s="73" t="s">
        <v>9486</v>
      </c>
      <c r="AC1097" s="74" t="s">
        <v>9566</v>
      </c>
      <c r="AD1097" s="73" t="s">
        <v>9578</v>
      </c>
      <c r="AE1097" s="74" t="s">
        <v>9579</v>
      </c>
    </row>
    <row r="1098" spans="1:31" ht="8.65" customHeight="1" x14ac:dyDescent="0.2">
      <c r="A1098" s="76">
        <v>1098</v>
      </c>
      <c r="B1098" s="67" t="str">
        <f>MID(C1098, FIND("Ifc.", C1098) + 4, 4) &amp; "_" &amp; TEXT(COUNTIF($C$2:C1098, C1098),"0000")</f>
        <v>Prop_1097</v>
      </c>
      <c r="C1098" s="24" t="s">
        <v>872</v>
      </c>
      <c r="D1098" s="69" t="s">
        <v>9453</v>
      </c>
      <c r="E1098" s="70" t="s">
        <v>9454</v>
      </c>
      <c r="F1098" s="17" t="s">
        <v>806</v>
      </c>
      <c r="G1098" s="22" t="s">
        <v>1096</v>
      </c>
      <c r="H1098" s="12" t="s">
        <v>9703</v>
      </c>
      <c r="I1098" s="13" t="s">
        <v>6969</v>
      </c>
      <c r="J1098" s="14" t="s">
        <v>798</v>
      </c>
      <c r="K1098" s="15" t="s">
        <v>798</v>
      </c>
      <c r="L1098" s="12" t="s">
        <v>5315</v>
      </c>
      <c r="M1098" s="13" t="s">
        <v>5390</v>
      </c>
      <c r="N1098" s="12" t="s">
        <v>803</v>
      </c>
      <c r="O1098" s="13" t="s">
        <v>4852</v>
      </c>
      <c r="P1098" s="17" t="s">
        <v>802</v>
      </c>
      <c r="Q1098" s="21" t="s">
        <v>7866</v>
      </c>
      <c r="R1098" s="17" t="s">
        <v>801</v>
      </c>
      <c r="S1098" s="18" t="s">
        <v>2585</v>
      </c>
      <c r="T1098" s="17" t="s">
        <v>800</v>
      </c>
      <c r="U1098" s="18" t="s">
        <v>5238</v>
      </c>
      <c r="V1098" s="17" t="s">
        <v>9418</v>
      </c>
      <c r="W1098" s="18" t="s">
        <v>5309</v>
      </c>
      <c r="X1098" s="69" t="s">
        <v>9453</v>
      </c>
      <c r="Y1098" s="70" t="s">
        <v>9462</v>
      </c>
      <c r="Z1098" s="73" t="s">
        <v>9486</v>
      </c>
      <c r="AA1098" s="74" t="s">
        <v>9504</v>
      </c>
      <c r="AB1098" s="73" t="s">
        <v>9486</v>
      </c>
      <c r="AC1098" s="74" t="s">
        <v>9566</v>
      </c>
      <c r="AD1098" s="73" t="s">
        <v>9578</v>
      </c>
      <c r="AE1098" s="74" t="s">
        <v>9579</v>
      </c>
    </row>
    <row r="1099" spans="1:31" ht="8.65" customHeight="1" x14ac:dyDescent="0.2">
      <c r="A1099" s="76">
        <v>1099</v>
      </c>
      <c r="B1099" s="67" t="str">
        <f>MID(C1099, FIND("Ifc.", C1099) + 4, 4) &amp; "_" &amp; TEXT(COUNTIF($C$2:C1099, C1099),"0000")</f>
        <v>Prop_1098</v>
      </c>
      <c r="C1099" s="24" t="s">
        <v>872</v>
      </c>
      <c r="D1099" s="69" t="s">
        <v>9453</v>
      </c>
      <c r="E1099" s="70" t="s">
        <v>9454</v>
      </c>
      <c r="F1099" s="17" t="s">
        <v>806</v>
      </c>
      <c r="G1099" s="22" t="s">
        <v>1096</v>
      </c>
      <c r="H1099" s="12" t="s">
        <v>9703</v>
      </c>
      <c r="I1099" s="13" t="s">
        <v>6969</v>
      </c>
      <c r="J1099" s="14" t="s">
        <v>798</v>
      </c>
      <c r="K1099" s="15" t="s">
        <v>798</v>
      </c>
      <c r="L1099" s="12" t="s">
        <v>5315</v>
      </c>
      <c r="M1099" s="13" t="s">
        <v>5995</v>
      </c>
      <c r="N1099" s="12" t="s">
        <v>803</v>
      </c>
      <c r="O1099" s="13" t="s">
        <v>4855</v>
      </c>
      <c r="P1099" s="17" t="s">
        <v>802</v>
      </c>
      <c r="Q1099" s="21" t="s">
        <v>7867</v>
      </c>
      <c r="R1099" s="17" t="s">
        <v>801</v>
      </c>
      <c r="S1099" s="18" t="s">
        <v>2585</v>
      </c>
      <c r="T1099" s="17" t="s">
        <v>800</v>
      </c>
      <c r="U1099" s="18" t="s">
        <v>5238</v>
      </c>
      <c r="V1099" s="17" t="s">
        <v>9418</v>
      </c>
      <c r="W1099" s="18" t="s">
        <v>5309</v>
      </c>
      <c r="X1099" s="69" t="s">
        <v>9453</v>
      </c>
      <c r="Y1099" s="70" t="s">
        <v>9462</v>
      </c>
      <c r="Z1099" s="73" t="s">
        <v>9486</v>
      </c>
      <c r="AA1099" s="74" t="s">
        <v>9504</v>
      </c>
      <c r="AB1099" s="73" t="s">
        <v>9486</v>
      </c>
      <c r="AC1099" s="74" t="s">
        <v>9566</v>
      </c>
      <c r="AD1099" s="73" t="s">
        <v>9578</v>
      </c>
      <c r="AE1099" s="74" t="s">
        <v>9579</v>
      </c>
    </row>
    <row r="1100" spans="1:31" ht="8.65" customHeight="1" x14ac:dyDescent="0.2">
      <c r="A1100" s="76">
        <v>1100</v>
      </c>
      <c r="B1100" s="67" t="str">
        <f>MID(C1100, FIND("Ifc.", C1100) + 4, 4) &amp; "_" &amp; TEXT(COUNTIF($C$2:C1100, C1100),"0000")</f>
        <v>Prop_1099</v>
      </c>
      <c r="C1100" s="24" t="s">
        <v>872</v>
      </c>
      <c r="D1100" s="69" t="s">
        <v>9453</v>
      </c>
      <c r="E1100" s="70" t="s">
        <v>9454</v>
      </c>
      <c r="F1100" s="17" t="s">
        <v>806</v>
      </c>
      <c r="G1100" s="22" t="s">
        <v>984</v>
      </c>
      <c r="H1100" s="12" t="s">
        <v>9703</v>
      </c>
      <c r="I1100" s="13" t="s">
        <v>6096</v>
      </c>
      <c r="J1100" s="14" t="s">
        <v>798</v>
      </c>
      <c r="K1100" s="15" t="s">
        <v>798</v>
      </c>
      <c r="L1100" s="12" t="s">
        <v>5315</v>
      </c>
      <c r="M1100" s="13" t="s">
        <v>5990</v>
      </c>
      <c r="N1100" s="12" t="s">
        <v>803</v>
      </c>
      <c r="O1100" s="13" t="s">
        <v>4827</v>
      </c>
      <c r="P1100" s="17" t="s">
        <v>802</v>
      </c>
      <c r="Q1100" s="21" t="s">
        <v>7704</v>
      </c>
      <c r="R1100" s="17" t="s">
        <v>801</v>
      </c>
      <c r="S1100" s="18" t="s">
        <v>2585</v>
      </c>
      <c r="T1100" s="17" t="s">
        <v>800</v>
      </c>
      <c r="U1100" s="18" t="s">
        <v>5238</v>
      </c>
      <c r="V1100" s="17" t="s">
        <v>9418</v>
      </c>
      <c r="W1100" s="18" t="s">
        <v>5309</v>
      </c>
      <c r="X1100" s="69" t="s">
        <v>9453</v>
      </c>
      <c r="Y1100" s="70" t="s">
        <v>9462</v>
      </c>
      <c r="Z1100" s="73" t="s">
        <v>9486</v>
      </c>
      <c r="AA1100" s="74" t="s">
        <v>9504</v>
      </c>
      <c r="AB1100" s="73" t="s">
        <v>9486</v>
      </c>
      <c r="AC1100" s="74" t="s">
        <v>9566</v>
      </c>
      <c r="AD1100" s="73" t="s">
        <v>9578</v>
      </c>
      <c r="AE1100" s="74" t="s">
        <v>9579</v>
      </c>
    </row>
    <row r="1101" spans="1:31" ht="8.65" customHeight="1" x14ac:dyDescent="0.2">
      <c r="A1101" s="76">
        <v>1101</v>
      </c>
      <c r="B1101" s="67" t="str">
        <f>MID(C1101, FIND("Ifc.", C1101) + 4, 4) &amp; "_" &amp; TEXT(COUNTIF($C$2:C1101, C1101),"0000")</f>
        <v>Prop_1100</v>
      </c>
      <c r="C1101" s="24" t="s">
        <v>872</v>
      </c>
      <c r="D1101" s="69" t="s">
        <v>9453</v>
      </c>
      <c r="E1101" s="70" t="s">
        <v>9454</v>
      </c>
      <c r="F1101" s="17" t="s">
        <v>806</v>
      </c>
      <c r="G1101" s="22" t="s">
        <v>2063</v>
      </c>
      <c r="H1101" s="12" t="s">
        <v>9703</v>
      </c>
      <c r="I1101" s="13" t="s">
        <v>7379</v>
      </c>
      <c r="J1101" s="14" t="s">
        <v>798</v>
      </c>
      <c r="K1101" s="15" t="s">
        <v>798</v>
      </c>
      <c r="L1101" s="12" t="s">
        <v>5315</v>
      </c>
      <c r="M1101" s="13" t="s">
        <v>5975</v>
      </c>
      <c r="N1101" s="12" t="s">
        <v>803</v>
      </c>
      <c r="O1101" s="13" t="s">
        <v>5089</v>
      </c>
      <c r="P1101" s="17" t="s">
        <v>802</v>
      </c>
      <c r="Q1101" s="21" t="s">
        <v>7854</v>
      </c>
      <c r="R1101" s="17" t="s">
        <v>801</v>
      </c>
      <c r="S1101" s="18" t="s">
        <v>2585</v>
      </c>
      <c r="T1101" s="17" t="s">
        <v>800</v>
      </c>
      <c r="U1101" s="18" t="s">
        <v>5238</v>
      </c>
      <c r="V1101" s="17" t="s">
        <v>9418</v>
      </c>
      <c r="W1101" s="18" t="s">
        <v>5309</v>
      </c>
      <c r="X1101" s="69" t="s">
        <v>9453</v>
      </c>
      <c r="Y1101" s="70" t="s">
        <v>9462</v>
      </c>
      <c r="Z1101" s="73" t="s">
        <v>9486</v>
      </c>
      <c r="AA1101" s="74" t="s">
        <v>9504</v>
      </c>
      <c r="AB1101" s="73" t="s">
        <v>9486</v>
      </c>
      <c r="AC1101" s="74" t="s">
        <v>9566</v>
      </c>
      <c r="AD1101" s="73" t="s">
        <v>9578</v>
      </c>
      <c r="AE1101" s="74" t="s">
        <v>9579</v>
      </c>
    </row>
    <row r="1102" spans="1:31" ht="8.65" customHeight="1" x14ac:dyDescent="0.2">
      <c r="A1102" s="76">
        <v>1102</v>
      </c>
      <c r="B1102" s="67" t="str">
        <f>MID(C1102, FIND("Ifc.", C1102) + 4, 4) &amp; "_" &amp; TEXT(COUNTIF($C$2:C1102, C1102),"0000")</f>
        <v>Prop_1101</v>
      </c>
      <c r="C1102" s="24" t="s">
        <v>872</v>
      </c>
      <c r="D1102" s="69" t="s">
        <v>9453</v>
      </c>
      <c r="E1102" s="70" t="s">
        <v>9454</v>
      </c>
      <c r="F1102" s="17" t="s">
        <v>806</v>
      </c>
      <c r="G1102" s="22" t="s">
        <v>2064</v>
      </c>
      <c r="H1102" s="12" t="s">
        <v>9703</v>
      </c>
      <c r="I1102" s="13" t="s">
        <v>7380</v>
      </c>
      <c r="J1102" s="14" t="s">
        <v>798</v>
      </c>
      <c r="K1102" s="15" t="s">
        <v>798</v>
      </c>
      <c r="L1102" s="12" t="s">
        <v>5315</v>
      </c>
      <c r="M1102" s="13" t="s">
        <v>5975</v>
      </c>
      <c r="N1102" s="12" t="s">
        <v>803</v>
      </c>
      <c r="O1102" s="13" t="s">
        <v>5089</v>
      </c>
      <c r="P1102" s="17" t="s">
        <v>802</v>
      </c>
      <c r="Q1102" s="21" t="s">
        <v>7854</v>
      </c>
      <c r="R1102" s="17" t="s">
        <v>801</v>
      </c>
      <c r="S1102" s="18" t="s">
        <v>2585</v>
      </c>
      <c r="T1102" s="17" t="s">
        <v>800</v>
      </c>
      <c r="U1102" s="18" t="s">
        <v>5238</v>
      </c>
      <c r="V1102" s="17" t="s">
        <v>9418</v>
      </c>
      <c r="W1102" s="18" t="s">
        <v>5309</v>
      </c>
      <c r="X1102" s="69" t="s">
        <v>9453</v>
      </c>
      <c r="Y1102" s="70" t="s">
        <v>9462</v>
      </c>
      <c r="Z1102" s="73" t="s">
        <v>9486</v>
      </c>
      <c r="AA1102" s="74" t="s">
        <v>9504</v>
      </c>
      <c r="AB1102" s="73" t="s">
        <v>9486</v>
      </c>
      <c r="AC1102" s="74" t="s">
        <v>9566</v>
      </c>
      <c r="AD1102" s="73" t="s">
        <v>9578</v>
      </c>
      <c r="AE1102" s="74" t="s">
        <v>9579</v>
      </c>
    </row>
    <row r="1103" spans="1:31" ht="8.65" customHeight="1" x14ac:dyDescent="0.2">
      <c r="A1103" s="76">
        <v>1103</v>
      </c>
      <c r="B1103" s="67" t="str">
        <f>MID(C1103, FIND("Ifc.", C1103) + 4, 4) &amp; "_" &amp; TEXT(COUNTIF($C$2:C1103, C1103),"0000")</f>
        <v>Prop_1102</v>
      </c>
      <c r="C1103" s="24" t="s">
        <v>872</v>
      </c>
      <c r="D1103" s="69" t="s">
        <v>9453</v>
      </c>
      <c r="E1103" s="70" t="s">
        <v>9454</v>
      </c>
      <c r="F1103" s="17" t="s">
        <v>806</v>
      </c>
      <c r="G1103" s="22" t="s">
        <v>2067</v>
      </c>
      <c r="H1103" s="12" t="s">
        <v>9703</v>
      </c>
      <c r="I1103" s="13" t="s">
        <v>7381</v>
      </c>
      <c r="J1103" s="14" t="s">
        <v>798</v>
      </c>
      <c r="K1103" s="15" t="s">
        <v>798</v>
      </c>
      <c r="L1103" s="12" t="s">
        <v>5315</v>
      </c>
      <c r="M1103" s="13" t="s">
        <v>5976</v>
      </c>
      <c r="N1103" s="12" t="s">
        <v>803</v>
      </c>
      <c r="O1103" s="13" t="s">
        <v>5090</v>
      </c>
      <c r="P1103" s="17" t="s">
        <v>802</v>
      </c>
      <c r="Q1103" s="21" t="s">
        <v>7855</v>
      </c>
      <c r="R1103" s="17" t="s">
        <v>801</v>
      </c>
      <c r="S1103" s="18" t="s">
        <v>2585</v>
      </c>
      <c r="T1103" s="17" t="s">
        <v>800</v>
      </c>
      <c r="U1103" s="18" t="s">
        <v>5238</v>
      </c>
      <c r="V1103" s="17" t="s">
        <v>9418</v>
      </c>
      <c r="W1103" s="18" t="s">
        <v>5309</v>
      </c>
      <c r="X1103" s="69" t="s">
        <v>9453</v>
      </c>
      <c r="Y1103" s="70" t="s">
        <v>9462</v>
      </c>
      <c r="Z1103" s="73" t="s">
        <v>9486</v>
      </c>
      <c r="AA1103" s="74" t="s">
        <v>9504</v>
      </c>
      <c r="AB1103" s="73" t="s">
        <v>9486</v>
      </c>
      <c r="AC1103" s="74" t="s">
        <v>9566</v>
      </c>
      <c r="AD1103" s="73" t="s">
        <v>9578</v>
      </c>
      <c r="AE1103" s="74" t="s">
        <v>9579</v>
      </c>
    </row>
    <row r="1104" spans="1:31" ht="8.65" customHeight="1" x14ac:dyDescent="0.2">
      <c r="A1104" s="76">
        <v>1104</v>
      </c>
      <c r="B1104" s="67" t="str">
        <f>MID(C1104, FIND("Ifc.", C1104) + 4, 4) &amp; "_" &amp; TEXT(COUNTIF($C$2:C1104, C1104),"0000")</f>
        <v>Prop_1103</v>
      </c>
      <c r="C1104" s="24" t="s">
        <v>872</v>
      </c>
      <c r="D1104" s="69" t="s">
        <v>9453</v>
      </c>
      <c r="E1104" s="70" t="s">
        <v>9454</v>
      </c>
      <c r="F1104" s="17" t="s">
        <v>806</v>
      </c>
      <c r="G1104" s="22" t="s">
        <v>2068</v>
      </c>
      <c r="H1104" s="12" t="s">
        <v>9703</v>
      </c>
      <c r="I1104" s="13" t="s">
        <v>7382</v>
      </c>
      <c r="J1104" s="14" t="s">
        <v>798</v>
      </c>
      <c r="K1104" s="15" t="s">
        <v>798</v>
      </c>
      <c r="L1104" s="12" t="s">
        <v>5315</v>
      </c>
      <c r="M1104" s="13" t="s">
        <v>5976</v>
      </c>
      <c r="N1104" s="12" t="s">
        <v>803</v>
      </c>
      <c r="O1104" s="13" t="s">
        <v>5090</v>
      </c>
      <c r="P1104" s="17" t="s">
        <v>802</v>
      </c>
      <c r="Q1104" s="21" t="s">
        <v>7855</v>
      </c>
      <c r="R1104" s="17" t="s">
        <v>801</v>
      </c>
      <c r="S1104" s="18" t="s">
        <v>2585</v>
      </c>
      <c r="T1104" s="17" t="s">
        <v>800</v>
      </c>
      <c r="U1104" s="18" t="s">
        <v>5238</v>
      </c>
      <c r="V1104" s="17" t="s">
        <v>9418</v>
      </c>
      <c r="W1104" s="18" t="s">
        <v>5309</v>
      </c>
      <c r="X1104" s="69" t="s">
        <v>9453</v>
      </c>
      <c r="Y1104" s="70" t="s">
        <v>9462</v>
      </c>
      <c r="Z1104" s="73" t="s">
        <v>9486</v>
      </c>
      <c r="AA1104" s="74" t="s">
        <v>9504</v>
      </c>
      <c r="AB1104" s="73" t="s">
        <v>9486</v>
      </c>
      <c r="AC1104" s="74" t="s">
        <v>9566</v>
      </c>
      <c r="AD1104" s="73" t="s">
        <v>9578</v>
      </c>
      <c r="AE1104" s="74" t="s">
        <v>9579</v>
      </c>
    </row>
    <row r="1105" spans="1:31" ht="8.65" customHeight="1" x14ac:dyDescent="0.2">
      <c r="A1105" s="76">
        <v>1105</v>
      </c>
      <c r="B1105" s="67" t="str">
        <f>MID(C1105, FIND("Ifc.", C1105) + 4, 4) &amp; "_" &amp; TEXT(COUNTIF($C$2:C1105, C1105),"0000")</f>
        <v>Prop_1104</v>
      </c>
      <c r="C1105" s="24" t="s">
        <v>872</v>
      </c>
      <c r="D1105" s="69" t="s">
        <v>9453</v>
      </c>
      <c r="E1105" s="70" t="s">
        <v>9454</v>
      </c>
      <c r="F1105" s="17" t="s">
        <v>806</v>
      </c>
      <c r="G1105" s="22" t="s">
        <v>2008</v>
      </c>
      <c r="H1105" s="12" t="s">
        <v>9703</v>
      </c>
      <c r="I1105" s="13" t="s">
        <v>7042</v>
      </c>
      <c r="J1105" s="14" t="s">
        <v>798</v>
      </c>
      <c r="K1105" s="15" t="s">
        <v>798</v>
      </c>
      <c r="L1105" s="12" t="s">
        <v>5315</v>
      </c>
      <c r="M1105" s="13" t="s">
        <v>5479</v>
      </c>
      <c r="N1105" s="12" t="s">
        <v>803</v>
      </c>
      <c r="O1105" s="13" t="s">
        <v>5083</v>
      </c>
      <c r="P1105" s="17" t="s">
        <v>802</v>
      </c>
      <c r="Q1105" s="21" t="s">
        <v>7731</v>
      </c>
      <c r="R1105" s="17" t="s">
        <v>801</v>
      </c>
      <c r="S1105" s="18" t="s">
        <v>2585</v>
      </c>
      <c r="T1105" s="17" t="s">
        <v>800</v>
      </c>
      <c r="U1105" s="18" t="s">
        <v>5238</v>
      </c>
      <c r="V1105" s="17" t="s">
        <v>9418</v>
      </c>
      <c r="W1105" s="18" t="s">
        <v>5309</v>
      </c>
      <c r="X1105" s="69" t="s">
        <v>9453</v>
      </c>
      <c r="Y1105" s="70" t="s">
        <v>9462</v>
      </c>
      <c r="Z1105" s="73" t="s">
        <v>9486</v>
      </c>
      <c r="AA1105" s="74" t="s">
        <v>9504</v>
      </c>
      <c r="AB1105" s="73" t="s">
        <v>9486</v>
      </c>
      <c r="AC1105" s="74" t="s">
        <v>9566</v>
      </c>
      <c r="AD1105" s="73" t="s">
        <v>9578</v>
      </c>
      <c r="AE1105" s="74" t="s">
        <v>9579</v>
      </c>
    </row>
    <row r="1106" spans="1:31" ht="8.65" customHeight="1" x14ac:dyDescent="0.2">
      <c r="A1106" s="76">
        <v>1106</v>
      </c>
      <c r="B1106" s="67" t="str">
        <f>MID(C1106, FIND("Ifc.", C1106) + 4, 4) &amp; "_" &amp; TEXT(COUNTIF($C$2:C1106, C1106),"0000")</f>
        <v>Prop_1105</v>
      </c>
      <c r="C1106" s="24" t="s">
        <v>872</v>
      </c>
      <c r="D1106" s="69" t="s">
        <v>9453</v>
      </c>
      <c r="E1106" s="70" t="s">
        <v>9454</v>
      </c>
      <c r="F1106" s="17" t="s">
        <v>806</v>
      </c>
      <c r="G1106" s="22" t="s">
        <v>2005</v>
      </c>
      <c r="H1106" s="12" t="s">
        <v>9703</v>
      </c>
      <c r="I1106" s="13" t="s">
        <v>7041</v>
      </c>
      <c r="J1106" s="14" t="s">
        <v>798</v>
      </c>
      <c r="K1106" s="15" t="s">
        <v>798</v>
      </c>
      <c r="L1106" s="12" t="s">
        <v>5315</v>
      </c>
      <c r="M1106" s="13" t="s">
        <v>5479</v>
      </c>
      <c r="N1106" s="12" t="s">
        <v>803</v>
      </c>
      <c r="O1106" s="13" t="s">
        <v>5083</v>
      </c>
      <c r="P1106" s="17" t="s">
        <v>802</v>
      </c>
      <c r="Q1106" s="21" t="s">
        <v>7731</v>
      </c>
      <c r="R1106" s="17" t="s">
        <v>801</v>
      </c>
      <c r="S1106" s="18" t="s">
        <v>2585</v>
      </c>
      <c r="T1106" s="17" t="s">
        <v>800</v>
      </c>
      <c r="U1106" s="18" t="s">
        <v>5238</v>
      </c>
      <c r="V1106" s="17" t="s">
        <v>9418</v>
      </c>
      <c r="W1106" s="18" t="s">
        <v>5309</v>
      </c>
      <c r="X1106" s="69" t="s">
        <v>9453</v>
      </c>
      <c r="Y1106" s="70" t="s">
        <v>9462</v>
      </c>
      <c r="Z1106" s="73" t="s">
        <v>9486</v>
      </c>
      <c r="AA1106" s="74" t="s">
        <v>9504</v>
      </c>
      <c r="AB1106" s="73" t="s">
        <v>9486</v>
      </c>
      <c r="AC1106" s="74" t="s">
        <v>9566</v>
      </c>
      <c r="AD1106" s="73" t="s">
        <v>9578</v>
      </c>
      <c r="AE1106" s="74" t="s">
        <v>9579</v>
      </c>
    </row>
    <row r="1107" spans="1:31" ht="8.65" customHeight="1" x14ac:dyDescent="0.2">
      <c r="A1107" s="76">
        <v>1107</v>
      </c>
      <c r="B1107" s="67" t="str">
        <f>MID(C1107, FIND("Ifc.", C1107) + 4, 4) &amp; "_" &amp; TEXT(COUNTIF($C$2:C1107, C1107),"0000")</f>
        <v>Prop_1106</v>
      </c>
      <c r="C1107" s="24" t="s">
        <v>872</v>
      </c>
      <c r="D1107" s="69" t="s">
        <v>9453</v>
      </c>
      <c r="E1107" s="70" t="s">
        <v>9454</v>
      </c>
      <c r="F1107" s="17" t="s">
        <v>806</v>
      </c>
      <c r="G1107" s="22" t="s">
        <v>2145</v>
      </c>
      <c r="H1107" s="12" t="s">
        <v>9703</v>
      </c>
      <c r="I1107" s="13" t="s">
        <v>7059</v>
      </c>
      <c r="J1107" s="14" t="s">
        <v>798</v>
      </c>
      <c r="K1107" s="15" t="s">
        <v>798</v>
      </c>
      <c r="L1107" s="12" t="s">
        <v>5315</v>
      </c>
      <c r="M1107" s="13" t="s">
        <v>5498</v>
      </c>
      <c r="N1107" s="12" t="s">
        <v>803</v>
      </c>
      <c r="O1107" s="13" t="s">
        <v>5112</v>
      </c>
      <c r="P1107" s="17" t="s">
        <v>802</v>
      </c>
      <c r="Q1107" s="21" t="s">
        <v>7680</v>
      </c>
      <c r="R1107" s="17" t="s">
        <v>801</v>
      </c>
      <c r="S1107" s="18" t="s">
        <v>2554</v>
      </c>
      <c r="T1107" s="17" t="s">
        <v>800</v>
      </c>
      <c r="U1107" s="18" t="s">
        <v>5233</v>
      </c>
      <c r="V1107" s="17" t="s">
        <v>9418</v>
      </c>
      <c r="W1107" s="18" t="s">
        <v>5309</v>
      </c>
      <c r="X1107" s="69" t="s">
        <v>9453</v>
      </c>
      <c r="Y1107" s="70" t="s">
        <v>9462</v>
      </c>
      <c r="Z1107" s="73" t="s">
        <v>9486</v>
      </c>
      <c r="AA1107" s="74" t="s">
        <v>9504</v>
      </c>
      <c r="AB1107" s="73" t="s">
        <v>9486</v>
      </c>
      <c r="AC1107" s="74" t="s">
        <v>9562</v>
      </c>
      <c r="AD1107" s="73" t="s">
        <v>9578</v>
      </c>
      <c r="AE1107" s="74" t="s">
        <v>9579</v>
      </c>
    </row>
    <row r="1108" spans="1:31" ht="8.65" customHeight="1" x14ac:dyDescent="0.2">
      <c r="A1108" s="76">
        <v>1108</v>
      </c>
      <c r="B1108" s="67" t="str">
        <f>MID(C1108, FIND("Ifc.", C1108) + 4, 4) &amp; "_" &amp; TEXT(COUNTIF($C$2:C1108, C1108),"0000")</f>
        <v>Prop_1107</v>
      </c>
      <c r="C1108" s="24" t="s">
        <v>872</v>
      </c>
      <c r="D1108" s="69" t="s">
        <v>9453</v>
      </c>
      <c r="E1108" s="70" t="s">
        <v>9454</v>
      </c>
      <c r="F1108" s="17" t="s">
        <v>806</v>
      </c>
      <c r="G1108" s="22" t="s">
        <v>2050</v>
      </c>
      <c r="H1108" s="12" t="s">
        <v>9703</v>
      </c>
      <c r="I1108" s="13" t="s">
        <v>6931</v>
      </c>
      <c r="J1108" s="14" t="s">
        <v>798</v>
      </c>
      <c r="K1108" s="15" t="s">
        <v>798</v>
      </c>
      <c r="L1108" s="12" t="s">
        <v>5315</v>
      </c>
      <c r="M1108" s="13" t="s">
        <v>5481</v>
      </c>
      <c r="N1108" s="12" t="s">
        <v>803</v>
      </c>
      <c r="O1108" s="13" t="s">
        <v>5085</v>
      </c>
      <c r="P1108" s="17" t="s">
        <v>802</v>
      </c>
      <c r="Q1108" s="21" t="s">
        <v>7708</v>
      </c>
      <c r="R1108" s="17" t="s">
        <v>801</v>
      </c>
      <c r="S1108" s="18" t="s">
        <v>2585</v>
      </c>
      <c r="T1108" s="17" t="s">
        <v>800</v>
      </c>
      <c r="U1108" s="18" t="s">
        <v>5238</v>
      </c>
      <c r="V1108" s="17" t="s">
        <v>9418</v>
      </c>
      <c r="W1108" s="18" t="s">
        <v>5309</v>
      </c>
      <c r="X1108" s="69" t="s">
        <v>9453</v>
      </c>
      <c r="Y1108" s="70" t="s">
        <v>9462</v>
      </c>
      <c r="Z1108" s="73" t="s">
        <v>9486</v>
      </c>
      <c r="AA1108" s="74" t="s">
        <v>9504</v>
      </c>
      <c r="AB1108" s="73" t="s">
        <v>9486</v>
      </c>
      <c r="AC1108" s="74" t="s">
        <v>9566</v>
      </c>
      <c r="AD1108" s="73" t="s">
        <v>9578</v>
      </c>
      <c r="AE1108" s="74" t="s">
        <v>9579</v>
      </c>
    </row>
    <row r="1109" spans="1:31" ht="8.65" customHeight="1" x14ac:dyDescent="0.2">
      <c r="A1109" s="76">
        <v>1109</v>
      </c>
      <c r="B1109" s="67" t="str">
        <f>MID(C1109, FIND("Ifc.", C1109) + 4, 4) &amp; "_" &amp; TEXT(COUNTIF($C$2:C1109, C1109),"0000")</f>
        <v>Prop_1108</v>
      </c>
      <c r="C1109" s="24" t="s">
        <v>872</v>
      </c>
      <c r="D1109" s="69" t="s">
        <v>9453</v>
      </c>
      <c r="E1109" s="70" t="s">
        <v>9454</v>
      </c>
      <c r="F1109" s="17" t="s">
        <v>806</v>
      </c>
      <c r="G1109" s="22" t="s">
        <v>2214</v>
      </c>
      <c r="H1109" s="12" t="s">
        <v>9703</v>
      </c>
      <c r="I1109" s="13" t="s">
        <v>7385</v>
      </c>
      <c r="J1109" s="14" t="s">
        <v>798</v>
      </c>
      <c r="K1109" s="15" t="s">
        <v>798</v>
      </c>
      <c r="L1109" s="12" t="s">
        <v>5315</v>
      </c>
      <c r="M1109" s="13" t="s">
        <v>5508</v>
      </c>
      <c r="N1109" s="12" t="s">
        <v>803</v>
      </c>
      <c r="O1109" s="13" t="s">
        <v>5121</v>
      </c>
      <c r="P1109" s="17" t="s">
        <v>802</v>
      </c>
      <c r="Q1109" s="21" t="s">
        <v>7702</v>
      </c>
      <c r="R1109" s="17" t="s">
        <v>801</v>
      </c>
      <c r="S1109" s="18" t="s">
        <v>2585</v>
      </c>
      <c r="T1109" s="17" t="s">
        <v>800</v>
      </c>
      <c r="U1109" s="18" t="s">
        <v>5238</v>
      </c>
      <c r="V1109" s="17" t="s">
        <v>9418</v>
      </c>
      <c r="W1109" s="18" t="s">
        <v>5309</v>
      </c>
      <c r="X1109" s="69" t="s">
        <v>9453</v>
      </c>
      <c r="Y1109" s="70" t="s">
        <v>9462</v>
      </c>
      <c r="Z1109" s="73" t="s">
        <v>9486</v>
      </c>
      <c r="AA1109" s="74" t="s">
        <v>9504</v>
      </c>
      <c r="AB1109" s="73" t="s">
        <v>9486</v>
      </c>
      <c r="AC1109" s="74" t="s">
        <v>9566</v>
      </c>
      <c r="AD1109" s="73" t="s">
        <v>9578</v>
      </c>
      <c r="AE1109" s="74" t="s">
        <v>9579</v>
      </c>
    </row>
    <row r="1110" spans="1:31" ht="8.65" customHeight="1" x14ac:dyDescent="0.2">
      <c r="A1110" s="76">
        <v>1110</v>
      </c>
      <c r="B1110" s="67" t="str">
        <f>MID(C1110, FIND("Ifc.", C1110) + 4, 4) &amp; "_" &amp; TEXT(COUNTIF($C$2:C1110, C1110),"0000")</f>
        <v>Prop_1109</v>
      </c>
      <c r="C1110" s="24" t="s">
        <v>872</v>
      </c>
      <c r="D1110" s="69" t="s">
        <v>9453</v>
      </c>
      <c r="E1110" s="70" t="s">
        <v>9454</v>
      </c>
      <c r="F1110" s="17" t="s">
        <v>806</v>
      </c>
      <c r="G1110" s="22" t="s">
        <v>2355</v>
      </c>
      <c r="H1110" s="12" t="s">
        <v>9703</v>
      </c>
      <c r="I1110" s="13" t="s">
        <v>7076</v>
      </c>
      <c r="J1110" s="14" t="s">
        <v>798</v>
      </c>
      <c r="K1110" s="15" t="s">
        <v>798</v>
      </c>
      <c r="L1110" s="12" t="s">
        <v>5315</v>
      </c>
      <c r="M1110" s="13" t="s">
        <v>5562</v>
      </c>
      <c r="N1110" s="12" t="s">
        <v>803</v>
      </c>
      <c r="O1110" s="13" t="s">
        <v>5176</v>
      </c>
      <c r="P1110" s="17" t="s">
        <v>802</v>
      </c>
      <c r="Q1110" s="21" t="s">
        <v>7856</v>
      </c>
      <c r="R1110" s="17" t="s">
        <v>801</v>
      </c>
      <c r="S1110" s="18" t="s">
        <v>2585</v>
      </c>
      <c r="T1110" s="17" t="s">
        <v>800</v>
      </c>
      <c r="U1110" s="18" t="s">
        <v>5238</v>
      </c>
      <c r="V1110" s="17" t="s">
        <v>9418</v>
      </c>
      <c r="W1110" s="18" t="s">
        <v>5309</v>
      </c>
      <c r="X1110" s="69" t="s">
        <v>9453</v>
      </c>
      <c r="Y1110" s="70" t="s">
        <v>9462</v>
      </c>
      <c r="Z1110" s="73" t="s">
        <v>9486</v>
      </c>
      <c r="AA1110" s="74" t="s">
        <v>9504</v>
      </c>
      <c r="AB1110" s="73" t="s">
        <v>9486</v>
      </c>
      <c r="AC1110" s="74" t="s">
        <v>9566</v>
      </c>
      <c r="AD1110" s="73" t="s">
        <v>9578</v>
      </c>
      <c r="AE1110" s="74" t="s">
        <v>9579</v>
      </c>
    </row>
    <row r="1111" spans="1:31" ht="8.65" customHeight="1" x14ac:dyDescent="0.2">
      <c r="A1111" s="76">
        <v>1111</v>
      </c>
      <c r="B1111" s="67" t="str">
        <f>MID(C1111, FIND("Ifc.", C1111) + 4, 4) &amp; "_" &amp; TEXT(COUNTIF($C$2:C1111, C1111),"0000")</f>
        <v>Prop_1110</v>
      </c>
      <c r="C1111" s="24" t="s">
        <v>872</v>
      </c>
      <c r="D1111" s="69" t="s">
        <v>9453</v>
      </c>
      <c r="E1111" s="70" t="s">
        <v>9454</v>
      </c>
      <c r="F1111" s="17" t="s">
        <v>806</v>
      </c>
      <c r="G1111" s="22" t="s">
        <v>2529</v>
      </c>
      <c r="H1111" s="12" t="s">
        <v>9703</v>
      </c>
      <c r="I1111" s="13" t="s">
        <v>7384</v>
      </c>
      <c r="J1111" s="14" t="s">
        <v>798</v>
      </c>
      <c r="K1111" s="15" t="s">
        <v>798</v>
      </c>
      <c r="L1111" s="12" t="s">
        <v>5315</v>
      </c>
      <c r="M1111" s="13" t="s">
        <v>5580</v>
      </c>
      <c r="N1111" s="12" t="s">
        <v>803</v>
      </c>
      <c r="O1111" s="13" t="s">
        <v>5226</v>
      </c>
      <c r="P1111" s="17" t="s">
        <v>802</v>
      </c>
      <c r="Q1111" s="21" t="s">
        <v>7797</v>
      </c>
      <c r="R1111" s="17" t="s">
        <v>801</v>
      </c>
      <c r="S1111" s="18" t="s">
        <v>2585</v>
      </c>
      <c r="T1111" s="17" t="s">
        <v>800</v>
      </c>
      <c r="U1111" s="18" t="s">
        <v>5238</v>
      </c>
      <c r="V1111" s="17" t="s">
        <v>9418</v>
      </c>
      <c r="W1111" s="18" t="s">
        <v>5309</v>
      </c>
      <c r="X1111" s="69" t="s">
        <v>9453</v>
      </c>
      <c r="Y1111" s="70" t="s">
        <v>9462</v>
      </c>
      <c r="Z1111" s="73" t="s">
        <v>9486</v>
      </c>
      <c r="AA1111" s="74" t="s">
        <v>9504</v>
      </c>
      <c r="AB1111" s="73" t="s">
        <v>9486</v>
      </c>
      <c r="AC1111" s="74" t="s">
        <v>9566</v>
      </c>
      <c r="AD1111" s="73" t="s">
        <v>9578</v>
      </c>
      <c r="AE1111" s="74" t="s">
        <v>9579</v>
      </c>
    </row>
    <row r="1112" spans="1:31" ht="8.65" customHeight="1" x14ac:dyDescent="0.2">
      <c r="A1112" s="76">
        <v>1112</v>
      </c>
      <c r="B1112" s="67" t="str">
        <f>MID(C1112, FIND("Ifc.", C1112) + 4, 4) &amp; "_" &amp; TEXT(COUNTIF($C$2:C1112, C1112),"0000")</f>
        <v>Prop_1111</v>
      </c>
      <c r="C1112" s="24" t="s">
        <v>872</v>
      </c>
      <c r="D1112" s="69" t="s">
        <v>9453</v>
      </c>
      <c r="E1112" s="70" t="s">
        <v>9454</v>
      </c>
      <c r="F1112" s="17" t="s">
        <v>806</v>
      </c>
      <c r="G1112" s="22" t="s">
        <v>2369</v>
      </c>
      <c r="H1112" s="12" t="s">
        <v>9703</v>
      </c>
      <c r="I1112" s="13" t="s">
        <v>6955</v>
      </c>
      <c r="J1112" s="14" t="s">
        <v>798</v>
      </c>
      <c r="K1112" s="15" t="s">
        <v>798</v>
      </c>
      <c r="L1112" s="12" t="s">
        <v>5315</v>
      </c>
      <c r="M1112" s="13" t="s">
        <v>5781</v>
      </c>
      <c r="N1112" s="12" t="s">
        <v>803</v>
      </c>
      <c r="O1112" s="13" t="s">
        <v>5180</v>
      </c>
      <c r="P1112" s="17" t="s">
        <v>802</v>
      </c>
      <c r="Q1112" s="21" t="s">
        <v>7699</v>
      </c>
      <c r="R1112" s="17" t="s">
        <v>801</v>
      </c>
      <c r="S1112" s="18" t="s">
        <v>2585</v>
      </c>
      <c r="T1112" s="17" t="s">
        <v>800</v>
      </c>
      <c r="U1112" s="18" t="s">
        <v>5238</v>
      </c>
      <c r="V1112" s="17" t="s">
        <v>9418</v>
      </c>
      <c r="W1112" s="18" t="s">
        <v>5309</v>
      </c>
      <c r="X1112" s="69" t="s">
        <v>9453</v>
      </c>
      <c r="Y1112" s="70" t="s">
        <v>9462</v>
      </c>
      <c r="Z1112" s="73" t="s">
        <v>9486</v>
      </c>
      <c r="AA1112" s="74" t="s">
        <v>9504</v>
      </c>
      <c r="AB1112" s="73" t="s">
        <v>9486</v>
      </c>
      <c r="AC1112" s="74" t="s">
        <v>9566</v>
      </c>
      <c r="AD1112" s="73" t="s">
        <v>9578</v>
      </c>
      <c r="AE1112" s="74" t="s">
        <v>9579</v>
      </c>
    </row>
    <row r="1113" spans="1:31" ht="8.65" customHeight="1" x14ac:dyDescent="0.2">
      <c r="A1113" s="76">
        <v>1113</v>
      </c>
      <c r="B1113" s="67" t="str">
        <f>MID(C1113, FIND("Ifc.", C1113) + 4, 4) &amp; "_" &amp; TEXT(COUNTIF($C$2:C1113, C1113),"0000")</f>
        <v>Prop_1112</v>
      </c>
      <c r="C1113" s="24" t="s">
        <v>872</v>
      </c>
      <c r="D1113" s="69" t="s">
        <v>9453</v>
      </c>
      <c r="E1113" s="70" t="s">
        <v>9454</v>
      </c>
      <c r="F1113" s="17" t="s">
        <v>806</v>
      </c>
      <c r="G1113" s="22" t="s">
        <v>1758</v>
      </c>
      <c r="H1113" s="12" t="s">
        <v>9703</v>
      </c>
      <c r="I1113" s="13" t="s">
        <v>7383</v>
      </c>
      <c r="J1113" s="14" t="s">
        <v>798</v>
      </c>
      <c r="K1113" s="15" t="s">
        <v>798</v>
      </c>
      <c r="L1113" s="12" t="s">
        <v>5315</v>
      </c>
      <c r="M1113" s="13" t="s">
        <v>5451</v>
      </c>
      <c r="N1113" s="12" t="s">
        <v>803</v>
      </c>
      <c r="O1113" s="13" t="s">
        <v>5009</v>
      </c>
      <c r="P1113" s="17" t="s">
        <v>802</v>
      </c>
      <c r="Q1113" s="21" t="s">
        <v>7857</v>
      </c>
      <c r="R1113" s="17" t="s">
        <v>801</v>
      </c>
      <c r="S1113" s="18" t="s">
        <v>2585</v>
      </c>
      <c r="T1113" s="17" t="s">
        <v>800</v>
      </c>
      <c r="U1113" s="18" t="s">
        <v>5238</v>
      </c>
      <c r="V1113" s="17" t="s">
        <v>9418</v>
      </c>
      <c r="W1113" s="18" t="s">
        <v>5309</v>
      </c>
      <c r="X1113" s="69" t="s">
        <v>9453</v>
      </c>
      <c r="Y1113" s="70" t="s">
        <v>9462</v>
      </c>
      <c r="Z1113" s="73" t="s">
        <v>9486</v>
      </c>
      <c r="AA1113" s="74" t="s">
        <v>9504</v>
      </c>
      <c r="AB1113" s="73" t="s">
        <v>9486</v>
      </c>
      <c r="AC1113" s="74" t="s">
        <v>9566</v>
      </c>
      <c r="AD1113" s="73" t="s">
        <v>9578</v>
      </c>
      <c r="AE1113" s="74" t="s">
        <v>9579</v>
      </c>
    </row>
    <row r="1114" spans="1:31" ht="8.65" customHeight="1" x14ac:dyDescent="0.2">
      <c r="A1114" s="76">
        <v>1114</v>
      </c>
      <c r="B1114" s="67" t="str">
        <f>MID(C1114, FIND("Ifc.", C1114) + 4, 4) &amp; "_" &amp; TEXT(COUNTIF($C$2:C1114, C1114),"0000")</f>
        <v>Prop_1113</v>
      </c>
      <c r="C1114" s="24" t="s">
        <v>872</v>
      </c>
      <c r="D1114" s="69" t="s">
        <v>9453</v>
      </c>
      <c r="E1114" s="70" t="s">
        <v>9454</v>
      </c>
      <c r="F1114" s="17" t="s">
        <v>806</v>
      </c>
      <c r="G1114" s="22" t="s">
        <v>1758</v>
      </c>
      <c r="H1114" s="12" t="s">
        <v>9703</v>
      </c>
      <c r="I1114" s="13" t="s">
        <v>7383</v>
      </c>
      <c r="J1114" s="14" t="s">
        <v>798</v>
      </c>
      <c r="K1114" s="15" t="s">
        <v>798</v>
      </c>
      <c r="L1114" s="12" t="s">
        <v>5315</v>
      </c>
      <c r="M1114" s="13" t="s">
        <v>5858</v>
      </c>
      <c r="N1114" s="12" t="s">
        <v>803</v>
      </c>
      <c r="O1114" s="13" t="s">
        <v>5163</v>
      </c>
      <c r="P1114" s="17" t="s">
        <v>802</v>
      </c>
      <c r="Q1114" s="21" t="s">
        <v>7858</v>
      </c>
      <c r="R1114" s="17" t="s">
        <v>801</v>
      </c>
      <c r="S1114" s="18" t="s">
        <v>2585</v>
      </c>
      <c r="T1114" s="17" t="s">
        <v>800</v>
      </c>
      <c r="U1114" s="18" t="s">
        <v>5238</v>
      </c>
      <c r="V1114" s="17" t="s">
        <v>9418</v>
      </c>
      <c r="W1114" s="18" t="s">
        <v>5309</v>
      </c>
      <c r="X1114" s="69" t="s">
        <v>9453</v>
      </c>
      <c r="Y1114" s="70" t="s">
        <v>9462</v>
      </c>
      <c r="Z1114" s="73" t="s">
        <v>9486</v>
      </c>
      <c r="AA1114" s="74" t="s">
        <v>9504</v>
      </c>
      <c r="AB1114" s="73" t="s">
        <v>9486</v>
      </c>
      <c r="AC1114" s="74" t="s">
        <v>9566</v>
      </c>
      <c r="AD1114" s="73" t="s">
        <v>9578</v>
      </c>
      <c r="AE1114" s="74" t="s">
        <v>9579</v>
      </c>
    </row>
    <row r="1115" spans="1:31" ht="8.65" customHeight="1" x14ac:dyDescent="0.2">
      <c r="A1115" s="76">
        <v>1115</v>
      </c>
      <c r="B1115" s="67" t="str">
        <f>MID(C1115, FIND("Ifc.", C1115) + 4, 4) &amp; "_" &amp; TEXT(COUNTIF($C$2:C1115, C1115),"0000")</f>
        <v>Prop_1114</v>
      </c>
      <c r="C1115" s="24" t="s">
        <v>872</v>
      </c>
      <c r="D1115" s="69" t="s">
        <v>9453</v>
      </c>
      <c r="E1115" s="70" t="s">
        <v>9454</v>
      </c>
      <c r="F1115" s="17" t="s">
        <v>806</v>
      </c>
      <c r="G1115" s="22" t="s">
        <v>1758</v>
      </c>
      <c r="H1115" s="12" t="s">
        <v>9703</v>
      </c>
      <c r="I1115" s="13" t="s">
        <v>7383</v>
      </c>
      <c r="J1115" s="14" t="s">
        <v>798</v>
      </c>
      <c r="K1115" s="15" t="s">
        <v>798</v>
      </c>
      <c r="L1115" s="12" t="s">
        <v>5315</v>
      </c>
      <c r="M1115" s="13" t="s">
        <v>5785</v>
      </c>
      <c r="N1115" s="12" t="s">
        <v>803</v>
      </c>
      <c r="O1115" s="13" t="s">
        <v>5183</v>
      </c>
      <c r="P1115" s="17" t="s">
        <v>802</v>
      </c>
      <c r="Q1115" s="21" t="s">
        <v>7859</v>
      </c>
      <c r="R1115" s="17" t="s">
        <v>801</v>
      </c>
      <c r="S1115" s="18" t="s">
        <v>2585</v>
      </c>
      <c r="T1115" s="17" t="s">
        <v>800</v>
      </c>
      <c r="U1115" s="18" t="s">
        <v>5238</v>
      </c>
      <c r="V1115" s="17" t="s">
        <v>9418</v>
      </c>
      <c r="W1115" s="18" t="s">
        <v>5309</v>
      </c>
      <c r="X1115" s="69" t="s">
        <v>9453</v>
      </c>
      <c r="Y1115" s="70" t="s">
        <v>9462</v>
      </c>
      <c r="Z1115" s="73" t="s">
        <v>9486</v>
      </c>
      <c r="AA1115" s="74" t="s">
        <v>9504</v>
      </c>
      <c r="AB1115" s="73" t="s">
        <v>9486</v>
      </c>
      <c r="AC1115" s="74" t="s">
        <v>9566</v>
      </c>
      <c r="AD1115" s="73" t="s">
        <v>9578</v>
      </c>
      <c r="AE1115" s="74" t="s">
        <v>9579</v>
      </c>
    </row>
    <row r="1116" spans="1:31" ht="8.65" customHeight="1" x14ac:dyDescent="0.2">
      <c r="A1116" s="76">
        <v>1116</v>
      </c>
      <c r="B1116" s="67" t="str">
        <f>MID(C1116, FIND("Ifc.", C1116) + 4, 4) &amp; "_" &amp; TEXT(COUNTIF($C$2:C1116, C1116),"0000")</f>
        <v>Prop_1115</v>
      </c>
      <c r="C1116" s="24" t="s">
        <v>872</v>
      </c>
      <c r="D1116" s="69" t="s">
        <v>9453</v>
      </c>
      <c r="E1116" s="70" t="s">
        <v>9454</v>
      </c>
      <c r="F1116" s="17" t="s">
        <v>806</v>
      </c>
      <c r="G1116" s="22" t="s">
        <v>1758</v>
      </c>
      <c r="H1116" s="12" t="s">
        <v>9703</v>
      </c>
      <c r="I1116" s="13" t="s">
        <v>7383</v>
      </c>
      <c r="J1116" s="14" t="s">
        <v>798</v>
      </c>
      <c r="K1116" s="15" t="s">
        <v>798</v>
      </c>
      <c r="L1116" s="12" t="s">
        <v>5315</v>
      </c>
      <c r="M1116" s="13" t="s">
        <v>5787</v>
      </c>
      <c r="N1116" s="12" t="s">
        <v>803</v>
      </c>
      <c r="O1116" s="13" t="s">
        <v>5185</v>
      </c>
      <c r="P1116" s="17" t="s">
        <v>802</v>
      </c>
      <c r="Q1116" s="21" t="s">
        <v>7860</v>
      </c>
      <c r="R1116" s="17" t="s">
        <v>801</v>
      </c>
      <c r="S1116" s="18" t="s">
        <v>2585</v>
      </c>
      <c r="T1116" s="17" t="s">
        <v>800</v>
      </c>
      <c r="U1116" s="18" t="s">
        <v>5238</v>
      </c>
      <c r="V1116" s="17" t="s">
        <v>9418</v>
      </c>
      <c r="W1116" s="18" t="s">
        <v>5309</v>
      </c>
      <c r="X1116" s="69" t="s">
        <v>9453</v>
      </c>
      <c r="Y1116" s="70" t="s">
        <v>9462</v>
      </c>
      <c r="Z1116" s="73" t="s">
        <v>9486</v>
      </c>
      <c r="AA1116" s="74" t="s">
        <v>9504</v>
      </c>
      <c r="AB1116" s="73" t="s">
        <v>9486</v>
      </c>
      <c r="AC1116" s="74" t="s">
        <v>9566</v>
      </c>
      <c r="AD1116" s="73" t="s">
        <v>9578</v>
      </c>
      <c r="AE1116" s="74" t="s">
        <v>9579</v>
      </c>
    </row>
    <row r="1117" spans="1:31" ht="8.65" customHeight="1" x14ac:dyDescent="0.2">
      <c r="A1117" s="76">
        <v>1117</v>
      </c>
      <c r="B1117" s="67" t="str">
        <f>MID(C1117, FIND("Ifc.", C1117) + 4, 4) &amp; "_" &amp; TEXT(COUNTIF($C$2:C1117, C1117),"0000")</f>
        <v>Prop_1116</v>
      </c>
      <c r="C1117" s="24" t="s">
        <v>872</v>
      </c>
      <c r="D1117" s="69" t="s">
        <v>9453</v>
      </c>
      <c r="E1117" s="70" t="s">
        <v>9454</v>
      </c>
      <c r="F1117" s="17" t="s">
        <v>806</v>
      </c>
      <c r="G1117" s="22" t="s">
        <v>1758</v>
      </c>
      <c r="H1117" s="12" t="s">
        <v>9703</v>
      </c>
      <c r="I1117" s="13" t="s">
        <v>7383</v>
      </c>
      <c r="J1117" s="14" t="s">
        <v>798</v>
      </c>
      <c r="K1117" s="15" t="s">
        <v>798</v>
      </c>
      <c r="L1117" s="12" t="s">
        <v>5315</v>
      </c>
      <c r="M1117" s="13" t="s">
        <v>5789</v>
      </c>
      <c r="N1117" s="12" t="s">
        <v>803</v>
      </c>
      <c r="O1117" s="13" t="s">
        <v>5187</v>
      </c>
      <c r="P1117" s="17" t="s">
        <v>802</v>
      </c>
      <c r="Q1117" s="21" t="s">
        <v>7861</v>
      </c>
      <c r="R1117" s="17" t="s">
        <v>801</v>
      </c>
      <c r="S1117" s="18" t="s">
        <v>2585</v>
      </c>
      <c r="T1117" s="17" t="s">
        <v>800</v>
      </c>
      <c r="U1117" s="18" t="s">
        <v>5238</v>
      </c>
      <c r="V1117" s="17" t="s">
        <v>9418</v>
      </c>
      <c r="W1117" s="18" t="s">
        <v>5309</v>
      </c>
      <c r="X1117" s="69" t="s">
        <v>9453</v>
      </c>
      <c r="Y1117" s="70" t="s">
        <v>9462</v>
      </c>
      <c r="Z1117" s="73" t="s">
        <v>9486</v>
      </c>
      <c r="AA1117" s="74" t="s">
        <v>9504</v>
      </c>
      <c r="AB1117" s="73" t="s">
        <v>9486</v>
      </c>
      <c r="AC1117" s="74" t="s">
        <v>9566</v>
      </c>
      <c r="AD1117" s="73" t="s">
        <v>9578</v>
      </c>
      <c r="AE1117" s="74" t="s">
        <v>9579</v>
      </c>
    </row>
    <row r="1118" spans="1:31" ht="8.65" customHeight="1" x14ac:dyDescent="0.2">
      <c r="A1118" s="76">
        <v>1118</v>
      </c>
      <c r="B1118" s="67" t="str">
        <f>MID(C1118, FIND("Ifc.", C1118) + 4, 4) &amp; "_" &amp; TEXT(COUNTIF($C$2:C1118, C1118),"0000")</f>
        <v>Prop_1117</v>
      </c>
      <c r="C1118" s="24" t="s">
        <v>872</v>
      </c>
      <c r="D1118" s="69" t="s">
        <v>9453</v>
      </c>
      <c r="E1118" s="70" t="s">
        <v>9454</v>
      </c>
      <c r="F1118" s="17" t="s">
        <v>806</v>
      </c>
      <c r="G1118" s="22" t="s">
        <v>1758</v>
      </c>
      <c r="H1118" s="12" t="s">
        <v>9703</v>
      </c>
      <c r="I1118" s="13" t="s">
        <v>7383</v>
      </c>
      <c r="J1118" s="14" t="s">
        <v>798</v>
      </c>
      <c r="K1118" s="15" t="s">
        <v>798</v>
      </c>
      <c r="L1118" s="12" t="s">
        <v>5315</v>
      </c>
      <c r="M1118" s="13" t="s">
        <v>5790</v>
      </c>
      <c r="N1118" s="12" t="s">
        <v>803</v>
      </c>
      <c r="O1118" s="13" t="s">
        <v>5188</v>
      </c>
      <c r="P1118" s="17" t="s">
        <v>802</v>
      </c>
      <c r="Q1118" s="21" t="s">
        <v>7862</v>
      </c>
      <c r="R1118" s="17" t="s">
        <v>801</v>
      </c>
      <c r="S1118" s="18" t="s">
        <v>2585</v>
      </c>
      <c r="T1118" s="17" t="s">
        <v>800</v>
      </c>
      <c r="U1118" s="18" t="s">
        <v>5238</v>
      </c>
      <c r="V1118" s="17" t="s">
        <v>9418</v>
      </c>
      <c r="W1118" s="18" t="s">
        <v>5309</v>
      </c>
      <c r="X1118" s="69" t="s">
        <v>9453</v>
      </c>
      <c r="Y1118" s="70" t="s">
        <v>9462</v>
      </c>
      <c r="Z1118" s="73" t="s">
        <v>9486</v>
      </c>
      <c r="AA1118" s="74" t="s">
        <v>9504</v>
      </c>
      <c r="AB1118" s="73" t="s">
        <v>9486</v>
      </c>
      <c r="AC1118" s="74" t="s">
        <v>9566</v>
      </c>
      <c r="AD1118" s="73" t="s">
        <v>9578</v>
      </c>
      <c r="AE1118" s="74" t="s">
        <v>9579</v>
      </c>
    </row>
    <row r="1119" spans="1:31" ht="8.65" customHeight="1" x14ac:dyDescent="0.2">
      <c r="A1119" s="76">
        <v>1119</v>
      </c>
      <c r="B1119" s="67" t="str">
        <f>MID(C1119, FIND("Ifc.", C1119) + 4, 4) &amp; "_" &amp; TEXT(COUNTIF($C$2:C1119, C1119),"0000")</f>
        <v>Prop_1118</v>
      </c>
      <c r="C1119" s="24" t="s">
        <v>872</v>
      </c>
      <c r="D1119" s="69" t="s">
        <v>9453</v>
      </c>
      <c r="E1119" s="70" t="s">
        <v>9454</v>
      </c>
      <c r="F1119" s="17" t="s">
        <v>806</v>
      </c>
      <c r="G1119" s="22" t="s">
        <v>2010</v>
      </c>
      <c r="H1119" s="12" t="s">
        <v>9703</v>
      </c>
      <c r="I1119" s="13" t="s">
        <v>6925</v>
      </c>
      <c r="J1119" s="14" t="s">
        <v>798</v>
      </c>
      <c r="K1119" s="15" t="s">
        <v>798</v>
      </c>
      <c r="L1119" s="12" t="s">
        <v>5315</v>
      </c>
      <c r="M1119" s="13" t="s">
        <v>5479</v>
      </c>
      <c r="N1119" s="12" t="s">
        <v>803</v>
      </c>
      <c r="O1119" s="13" t="s">
        <v>5083</v>
      </c>
      <c r="P1119" s="17" t="s">
        <v>802</v>
      </c>
      <c r="Q1119" s="21" t="s">
        <v>7731</v>
      </c>
      <c r="R1119" s="17" t="s">
        <v>801</v>
      </c>
      <c r="S1119" s="18" t="s">
        <v>2585</v>
      </c>
      <c r="T1119" s="17" t="s">
        <v>800</v>
      </c>
      <c r="U1119" s="18" t="s">
        <v>5238</v>
      </c>
      <c r="V1119" s="17" t="s">
        <v>9418</v>
      </c>
      <c r="W1119" s="18" t="s">
        <v>5309</v>
      </c>
      <c r="X1119" s="69" t="s">
        <v>9453</v>
      </c>
      <c r="Y1119" s="70" t="s">
        <v>9462</v>
      </c>
      <c r="Z1119" s="73" t="s">
        <v>9486</v>
      </c>
      <c r="AA1119" s="74" t="s">
        <v>9504</v>
      </c>
      <c r="AB1119" s="73" t="s">
        <v>9486</v>
      </c>
      <c r="AC1119" s="74" t="s">
        <v>9566</v>
      </c>
      <c r="AD1119" s="73" t="s">
        <v>9578</v>
      </c>
      <c r="AE1119" s="74" t="s">
        <v>9579</v>
      </c>
    </row>
    <row r="1120" spans="1:31" ht="8.65" customHeight="1" x14ac:dyDescent="0.2">
      <c r="A1120" s="76">
        <v>1120</v>
      </c>
      <c r="B1120" s="67" t="str">
        <f>MID(C1120, FIND("Ifc.", C1120) + 4, 4) &amp; "_" &amp; TEXT(COUNTIF($C$2:C1120, C1120),"0000")</f>
        <v>Prop_1119</v>
      </c>
      <c r="C1120" s="24" t="s">
        <v>872</v>
      </c>
      <c r="D1120" s="69" t="s">
        <v>9453</v>
      </c>
      <c r="E1120" s="70" t="s">
        <v>9454</v>
      </c>
      <c r="F1120" s="17" t="s">
        <v>806</v>
      </c>
      <c r="G1120" s="22" t="s">
        <v>2239</v>
      </c>
      <c r="H1120" s="12" t="s">
        <v>9703</v>
      </c>
      <c r="I1120" s="13" t="s">
        <v>6689</v>
      </c>
      <c r="J1120" s="14" t="s">
        <v>798</v>
      </c>
      <c r="K1120" s="15" t="s">
        <v>798</v>
      </c>
      <c r="L1120" s="12" t="s">
        <v>5315</v>
      </c>
      <c r="M1120" s="13" t="s">
        <v>5517</v>
      </c>
      <c r="N1120" s="12" t="s">
        <v>803</v>
      </c>
      <c r="O1120" s="13" t="s">
        <v>5132</v>
      </c>
      <c r="P1120" s="17" t="s">
        <v>802</v>
      </c>
      <c r="Q1120" s="21" t="s">
        <v>7984</v>
      </c>
      <c r="R1120" s="17" t="s">
        <v>801</v>
      </c>
      <c r="S1120" s="18" t="s">
        <v>2583</v>
      </c>
      <c r="T1120" s="17" t="s">
        <v>800</v>
      </c>
      <c r="U1120" s="18" t="s">
        <v>5251</v>
      </c>
      <c r="V1120" s="17" t="s">
        <v>9418</v>
      </c>
      <c r="W1120" s="18" t="s">
        <v>5309</v>
      </c>
      <c r="X1120" s="69" t="s">
        <v>9453</v>
      </c>
      <c r="Y1120" s="70" t="s">
        <v>9462</v>
      </c>
      <c r="Z1120" s="73" t="s">
        <v>9486</v>
      </c>
      <c r="AA1120" s="74" t="s">
        <v>9504</v>
      </c>
      <c r="AB1120" s="73" t="s">
        <v>9486</v>
      </c>
      <c r="AC1120" s="74" t="s">
        <v>9566</v>
      </c>
      <c r="AD1120" s="73" t="s">
        <v>9578</v>
      </c>
      <c r="AE1120" s="74" t="s">
        <v>9579</v>
      </c>
    </row>
    <row r="1121" spans="1:31" ht="8.65" customHeight="1" x14ac:dyDescent="0.2">
      <c r="A1121" s="76">
        <v>1121</v>
      </c>
      <c r="B1121" s="67" t="str">
        <f>MID(C1121, FIND("Ifc.", C1121) + 4, 4) &amp; "_" &amp; TEXT(COUNTIF($C$2:C1121, C1121),"0000")</f>
        <v>Prop_1120</v>
      </c>
      <c r="C1121" s="24" t="s">
        <v>872</v>
      </c>
      <c r="D1121" s="69" t="s">
        <v>9453</v>
      </c>
      <c r="E1121" s="70" t="s">
        <v>9454</v>
      </c>
      <c r="F1121" s="17" t="s">
        <v>806</v>
      </c>
      <c r="G1121" s="22" t="s">
        <v>1340</v>
      </c>
      <c r="H1121" s="12" t="s">
        <v>9703</v>
      </c>
      <c r="I1121" s="13" t="s">
        <v>6177</v>
      </c>
      <c r="J1121" s="14" t="s">
        <v>798</v>
      </c>
      <c r="K1121" s="15" t="s">
        <v>798</v>
      </c>
      <c r="L1121" s="12" t="s">
        <v>5315</v>
      </c>
      <c r="M1121" s="13" t="s">
        <v>5888</v>
      </c>
      <c r="N1121" s="12" t="s">
        <v>803</v>
      </c>
      <c r="O1121" s="13" t="s">
        <v>4913</v>
      </c>
      <c r="P1121" s="17" t="s">
        <v>802</v>
      </c>
      <c r="Q1121" s="21" t="s">
        <v>7827</v>
      </c>
      <c r="R1121" s="17" t="s">
        <v>801</v>
      </c>
      <c r="S1121" s="18" t="s">
        <v>2585</v>
      </c>
      <c r="T1121" s="17" t="s">
        <v>800</v>
      </c>
      <c r="U1121" s="18" t="s">
        <v>5238</v>
      </c>
      <c r="V1121" s="17" t="s">
        <v>9418</v>
      </c>
      <c r="W1121" s="18" t="s">
        <v>5309</v>
      </c>
      <c r="X1121" s="69" t="s">
        <v>9453</v>
      </c>
      <c r="Y1121" s="70" t="s">
        <v>9462</v>
      </c>
      <c r="Z1121" s="73" t="s">
        <v>9486</v>
      </c>
      <c r="AA1121" s="74" t="s">
        <v>9504</v>
      </c>
      <c r="AB1121" s="73" t="s">
        <v>9486</v>
      </c>
      <c r="AC1121" s="74" t="s">
        <v>9566</v>
      </c>
      <c r="AD1121" s="73" t="s">
        <v>9578</v>
      </c>
      <c r="AE1121" s="74" t="s">
        <v>9579</v>
      </c>
    </row>
    <row r="1122" spans="1:31" ht="8.65" customHeight="1" x14ac:dyDescent="0.2">
      <c r="A1122" s="76">
        <v>1122</v>
      </c>
      <c r="B1122" s="67" t="str">
        <f>MID(C1122, FIND("Ifc.", C1122) + 4, 4) &amp; "_" &amp; TEXT(COUNTIF($C$2:C1122, C1122),"0000")</f>
        <v>Prop_1121</v>
      </c>
      <c r="C1122" s="24" t="s">
        <v>872</v>
      </c>
      <c r="D1122" s="69" t="s">
        <v>9453</v>
      </c>
      <c r="E1122" s="70" t="s">
        <v>9454</v>
      </c>
      <c r="F1122" s="17" t="s">
        <v>806</v>
      </c>
      <c r="G1122" s="22" t="s">
        <v>1340</v>
      </c>
      <c r="H1122" s="12" t="s">
        <v>9703</v>
      </c>
      <c r="I1122" s="13" t="s">
        <v>6177</v>
      </c>
      <c r="J1122" s="14" t="s">
        <v>798</v>
      </c>
      <c r="K1122" s="15" t="s">
        <v>798</v>
      </c>
      <c r="L1122" s="12" t="s">
        <v>5315</v>
      </c>
      <c r="M1122" s="13" t="s">
        <v>5426</v>
      </c>
      <c r="N1122" s="12" t="s">
        <v>803</v>
      </c>
      <c r="O1122" s="13" t="s">
        <v>4924</v>
      </c>
      <c r="P1122" s="17" t="s">
        <v>802</v>
      </c>
      <c r="Q1122" s="21" t="s">
        <v>7710</v>
      </c>
      <c r="R1122" s="17" t="s">
        <v>801</v>
      </c>
      <c r="S1122" s="18" t="s">
        <v>2585</v>
      </c>
      <c r="T1122" s="17" t="s">
        <v>800</v>
      </c>
      <c r="U1122" s="18" t="s">
        <v>5238</v>
      </c>
      <c r="V1122" s="17" t="s">
        <v>9418</v>
      </c>
      <c r="W1122" s="18" t="s">
        <v>5309</v>
      </c>
      <c r="X1122" s="69" t="s">
        <v>9453</v>
      </c>
      <c r="Y1122" s="70" t="s">
        <v>9462</v>
      </c>
      <c r="Z1122" s="73" t="s">
        <v>9486</v>
      </c>
      <c r="AA1122" s="74" t="s">
        <v>9504</v>
      </c>
      <c r="AB1122" s="73" t="s">
        <v>9486</v>
      </c>
      <c r="AC1122" s="74" t="s">
        <v>9566</v>
      </c>
      <c r="AD1122" s="73" t="s">
        <v>9578</v>
      </c>
      <c r="AE1122" s="74" t="s">
        <v>9579</v>
      </c>
    </row>
    <row r="1123" spans="1:31" ht="8.65" customHeight="1" x14ac:dyDescent="0.2">
      <c r="A1123" s="76">
        <v>1123</v>
      </c>
      <c r="B1123" s="67" t="str">
        <f>MID(C1123, FIND("Ifc.", C1123) + 4, 4) &amp; "_" &amp; TEXT(COUNTIF($C$2:C1123, C1123),"0000")</f>
        <v>Prop_1122</v>
      </c>
      <c r="C1123" s="24" t="s">
        <v>872</v>
      </c>
      <c r="D1123" s="69" t="s">
        <v>9453</v>
      </c>
      <c r="E1123" s="70" t="s">
        <v>9454</v>
      </c>
      <c r="F1123" s="17" t="s">
        <v>806</v>
      </c>
      <c r="G1123" s="22" t="s">
        <v>1340</v>
      </c>
      <c r="H1123" s="12" t="s">
        <v>9703</v>
      </c>
      <c r="I1123" s="13" t="s">
        <v>6177</v>
      </c>
      <c r="J1123" s="14" t="s">
        <v>798</v>
      </c>
      <c r="K1123" s="15" t="s">
        <v>798</v>
      </c>
      <c r="L1123" s="12" t="s">
        <v>5315</v>
      </c>
      <c r="M1123" s="13" t="s">
        <v>6056</v>
      </c>
      <c r="N1123" s="12" t="s">
        <v>803</v>
      </c>
      <c r="O1123" s="13" t="s">
        <v>5108</v>
      </c>
      <c r="P1123" s="17" t="s">
        <v>802</v>
      </c>
      <c r="Q1123" s="21" t="s">
        <v>7890</v>
      </c>
      <c r="R1123" s="17" t="s">
        <v>801</v>
      </c>
      <c r="S1123" s="18" t="s">
        <v>2585</v>
      </c>
      <c r="T1123" s="17" t="s">
        <v>800</v>
      </c>
      <c r="U1123" s="18" t="s">
        <v>5238</v>
      </c>
      <c r="V1123" s="17" t="s">
        <v>9418</v>
      </c>
      <c r="W1123" s="18" t="s">
        <v>5309</v>
      </c>
      <c r="X1123" s="69" t="s">
        <v>9453</v>
      </c>
      <c r="Y1123" s="70" t="s">
        <v>9462</v>
      </c>
      <c r="Z1123" s="73" t="s">
        <v>9486</v>
      </c>
      <c r="AA1123" s="74" t="s">
        <v>9504</v>
      </c>
      <c r="AB1123" s="73" t="s">
        <v>9486</v>
      </c>
      <c r="AC1123" s="74" t="s">
        <v>9566</v>
      </c>
      <c r="AD1123" s="73" t="s">
        <v>9578</v>
      </c>
      <c r="AE1123" s="74" t="s">
        <v>9579</v>
      </c>
    </row>
    <row r="1124" spans="1:31" ht="8.65" customHeight="1" x14ac:dyDescent="0.2">
      <c r="A1124" s="76">
        <v>1124</v>
      </c>
      <c r="B1124" s="67" t="str">
        <f>MID(C1124, FIND("Ifc.", C1124) + 4, 4) &amp; "_" &amp; TEXT(COUNTIF($C$2:C1124, C1124),"0000")</f>
        <v>Prop_1123</v>
      </c>
      <c r="C1124" s="24" t="s">
        <v>872</v>
      </c>
      <c r="D1124" s="69" t="s">
        <v>9453</v>
      </c>
      <c r="E1124" s="70" t="s">
        <v>9454</v>
      </c>
      <c r="F1124" s="17" t="s">
        <v>806</v>
      </c>
      <c r="G1124" s="22" t="s">
        <v>2495</v>
      </c>
      <c r="H1124" s="12" t="s">
        <v>9703</v>
      </c>
      <c r="I1124" s="13" t="s">
        <v>6719</v>
      </c>
      <c r="J1124" s="14" t="s">
        <v>798</v>
      </c>
      <c r="K1124" s="15" t="s">
        <v>798</v>
      </c>
      <c r="L1124" s="12" t="s">
        <v>5315</v>
      </c>
      <c r="M1124" s="13" t="s">
        <v>6005</v>
      </c>
      <c r="N1124" s="12" t="s">
        <v>803</v>
      </c>
      <c r="O1124" s="13" t="s">
        <v>5221</v>
      </c>
      <c r="P1124" s="17" t="s">
        <v>802</v>
      </c>
      <c r="Q1124" s="21" t="s">
        <v>7711</v>
      </c>
      <c r="R1124" s="17" t="s">
        <v>801</v>
      </c>
      <c r="S1124" s="18" t="s">
        <v>2585</v>
      </c>
      <c r="T1124" s="17" t="s">
        <v>800</v>
      </c>
      <c r="U1124" s="18" t="s">
        <v>5238</v>
      </c>
      <c r="V1124" s="17" t="s">
        <v>9418</v>
      </c>
      <c r="W1124" s="18" t="s">
        <v>5309</v>
      </c>
      <c r="X1124" s="69" t="s">
        <v>9453</v>
      </c>
      <c r="Y1124" s="70" t="s">
        <v>9462</v>
      </c>
      <c r="Z1124" s="73" t="s">
        <v>9486</v>
      </c>
      <c r="AA1124" s="74" t="s">
        <v>9504</v>
      </c>
      <c r="AB1124" s="73" t="s">
        <v>9486</v>
      </c>
      <c r="AC1124" s="74" t="s">
        <v>9566</v>
      </c>
      <c r="AD1124" s="73" t="s">
        <v>9578</v>
      </c>
      <c r="AE1124" s="74" t="s">
        <v>9579</v>
      </c>
    </row>
    <row r="1125" spans="1:31" ht="8.65" customHeight="1" x14ac:dyDescent="0.2">
      <c r="A1125" s="76">
        <v>1125</v>
      </c>
      <c r="B1125" s="67" t="str">
        <f>MID(C1125, FIND("Ifc.", C1125) + 4, 4) &amp; "_" &amp; TEXT(COUNTIF($C$2:C1125, C1125),"0000")</f>
        <v>Prop_1124</v>
      </c>
      <c r="C1125" s="24" t="s">
        <v>872</v>
      </c>
      <c r="D1125" s="69" t="s">
        <v>9453</v>
      </c>
      <c r="E1125" s="70" t="s">
        <v>9454</v>
      </c>
      <c r="F1125" s="17" t="s">
        <v>806</v>
      </c>
      <c r="G1125" s="22" t="s">
        <v>2397</v>
      </c>
      <c r="H1125" s="12" t="s">
        <v>9703</v>
      </c>
      <c r="I1125" s="13" t="s">
        <v>7378</v>
      </c>
      <c r="J1125" s="14" t="s">
        <v>798</v>
      </c>
      <c r="K1125" s="15" t="s">
        <v>798</v>
      </c>
      <c r="L1125" s="12" t="s">
        <v>5315</v>
      </c>
      <c r="M1125" s="13" t="s">
        <v>5789</v>
      </c>
      <c r="N1125" s="12" t="s">
        <v>803</v>
      </c>
      <c r="O1125" s="13" t="s">
        <v>5187</v>
      </c>
      <c r="P1125" s="17" t="s">
        <v>802</v>
      </c>
      <c r="Q1125" s="21" t="s">
        <v>7861</v>
      </c>
      <c r="R1125" s="17" t="s">
        <v>801</v>
      </c>
      <c r="S1125" s="18" t="s">
        <v>2585</v>
      </c>
      <c r="T1125" s="17" t="s">
        <v>800</v>
      </c>
      <c r="U1125" s="18" t="s">
        <v>5238</v>
      </c>
      <c r="V1125" s="17" t="s">
        <v>9418</v>
      </c>
      <c r="W1125" s="18" t="s">
        <v>5309</v>
      </c>
      <c r="X1125" s="69" t="s">
        <v>9453</v>
      </c>
      <c r="Y1125" s="70" t="s">
        <v>9462</v>
      </c>
      <c r="Z1125" s="73" t="s">
        <v>9486</v>
      </c>
      <c r="AA1125" s="74" t="s">
        <v>9504</v>
      </c>
      <c r="AB1125" s="73" t="s">
        <v>9486</v>
      </c>
      <c r="AC1125" s="74" t="s">
        <v>9566</v>
      </c>
      <c r="AD1125" s="73" t="s">
        <v>9578</v>
      </c>
      <c r="AE1125" s="74" t="s">
        <v>9579</v>
      </c>
    </row>
    <row r="1126" spans="1:31" ht="8.65" customHeight="1" x14ac:dyDescent="0.2">
      <c r="A1126" s="76">
        <v>1126</v>
      </c>
      <c r="B1126" s="67" t="str">
        <f>MID(C1126, FIND("Ifc.", C1126) + 4, 4) &amp; "_" &amp; TEXT(COUNTIF($C$2:C1126, C1126),"0000")</f>
        <v>Prop_1125</v>
      </c>
      <c r="C1126" s="24" t="s">
        <v>872</v>
      </c>
      <c r="D1126" s="69" t="s">
        <v>9453</v>
      </c>
      <c r="E1126" s="70" t="s">
        <v>9454</v>
      </c>
      <c r="F1126" s="17" t="s">
        <v>806</v>
      </c>
      <c r="G1126" s="22" t="s">
        <v>1762</v>
      </c>
      <c r="H1126" s="12" t="s">
        <v>9703</v>
      </c>
      <c r="I1126" s="13" t="s">
        <v>7387</v>
      </c>
      <c r="J1126" s="14" t="s">
        <v>798</v>
      </c>
      <c r="K1126" s="15" t="s">
        <v>798</v>
      </c>
      <c r="L1126" s="12" t="s">
        <v>5315</v>
      </c>
      <c r="M1126" s="13" t="s">
        <v>5451</v>
      </c>
      <c r="N1126" s="12" t="s">
        <v>803</v>
      </c>
      <c r="O1126" s="13" t="s">
        <v>5009</v>
      </c>
      <c r="P1126" s="17" t="s">
        <v>802</v>
      </c>
      <c r="Q1126" s="21" t="s">
        <v>7857</v>
      </c>
      <c r="R1126" s="17" t="s">
        <v>801</v>
      </c>
      <c r="S1126" s="18" t="s">
        <v>2585</v>
      </c>
      <c r="T1126" s="17" t="s">
        <v>800</v>
      </c>
      <c r="U1126" s="18" t="s">
        <v>5238</v>
      </c>
      <c r="V1126" s="17" t="s">
        <v>9418</v>
      </c>
      <c r="W1126" s="18" t="s">
        <v>5309</v>
      </c>
      <c r="X1126" s="69" t="s">
        <v>9453</v>
      </c>
      <c r="Y1126" s="70" t="s">
        <v>9462</v>
      </c>
      <c r="Z1126" s="73" t="s">
        <v>9486</v>
      </c>
      <c r="AA1126" s="74" t="s">
        <v>9504</v>
      </c>
      <c r="AB1126" s="73" t="s">
        <v>9486</v>
      </c>
      <c r="AC1126" s="74" t="s">
        <v>9566</v>
      </c>
      <c r="AD1126" s="73" t="s">
        <v>9578</v>
      </c>
      <c r="AE1126" s="74" t="s">
        <v>9579</v>
      </c>
    </row>
    <row r="1127" spans="1:31" ht="8.65" customHeight="1" x14ac:dyDescent="0.2">
      <c r="A1127" s="76">
        <v>1127</v>
      </c>
      <c r="B1127" s="67" t="str">
        <f>MID(C1127, FIND("Ifc.", C1127) + 4, 4) &amp; "_" &amp; TEXT(COUNTIF($C$2:C1127, C1127),"0000")</f>
        <v>Prop_1126</v>
      </c>
      <c r="C1127" s="24" t="s">
        <v>872</v>
      </c>
      <c r="D1127" s="69" t="s">
        <v>9453</v>
      </c>
      <c r="E1127" s="70" t="s">
        <v>9454</v>
      </c>
      <c r="F1127" s="17" t="s">
        <v>806</v>
      </c>
      <c r="G1127" s="22" t="s">
        <v>1762</v>
      </c>
      <c r="H1127" s="12" t="s">
        <v>9703</v>
      </c>
      <c r="I1127" s="13" t="s">
        <v>7387</v>
      </c>
      <c r="J1127" s="14" t="s">
        <v>798</v>
      </c>
      <c r="K1127" s="15" t="s">
        <v>798</v>
      </c>
      <c r="L1127" s="12" t="s">
        <v>5315</v>
      </c>
      <c r="M1127" s="13" t="s">
        <v>5858</v>
      </c>
      <c r="N1127" s="12" t="s">
        <v>803</v>
      </c>
      <c r="O1127" s="13" t="s">
        <v>5163</v>
      </c>
      <c r="P1127" s="17" t="s">
        <v>802</v>
      </c>
      <c r="Q1127" s="21" t="s">
        <v>7858</v>
      </c>
      <c r="R1127" s="17" t="s">
        <v>801</v>
      </c>
      <c r="S1127" s="18" t="s">
        <v>2585</v>
      </c>
      <c r="T1127" s="17" t="s">
        <v>800</v>
      </c>
      <c r="U1127" s="18" t="s">
        <v>5238</v>
      </c>
      <c r="V1127" s="17" t="s">
        <v>9418</v>
      </c>
      <c r="W1127" s="18" t="s">
        <v>5309</v>
      </c>
      <c r="X1127" s="69" t="s">
        <v>9453</v>
      </c>
      <c r="Y1127" s="70" t="s">
        <v>9462</v>
      </c>
      <c r="Z1127" s="73" t="s">
        <v>9486</v>
      </c>
      <c r="AA1127" s="74" t="s">
        <v>9504</v>
      </c>
      <c r="AB1127" s="73" t="s">
        <v>9486</v>
      </c>
      <c r="AC1127" s="74" t="s">
        <v>9566</v>
      </c>
      <c r="AD1127" s="73" t="s">
        <v>9578</v>
      </c>
      <c r="AE1127" s="74" t="s">
        <v>9579</v>
      </c>
    </row>
    <row r="1128" spans="1:31" ht="8.65" customHeight="1" x14ac:dyDescent="0.2">
      <c r="A1128" s="76">
        <v>1128</v>
      </c>
      <c r="B1128" s="67" t="str">
        <f>MID(C1128, FIND("Ifc.", C1128) + 4, 4) &amp; "_" &amp; TEXT(COUNTIF($C$2:C1128, C1128),"0000")</f>
        <v>Prop_1127</v>
      </c>
      <c r="C1128" s="24" t="s">
        <v>872</v>
      </c>
      <c r="D1128" s="69" t="s">
        <v>9453</v>
      </c>
      <c r="E1128" s="70" t="s">
        <v>9454</v>
      </c>
      <c r="F1128" s="17" t="s">
        <v>806</v>
      </c>
      <c r="G1128" s="22" t="s">
        <v>1762</v>
      </c>
      <c r="H1128" s="12" t="s">
        <v>9703</v>
      </c>
      <c r="I1128" s="13" t="s">
        <v>7387</v>
      </c>
      <c r="J1128" s="14" t="s">
        <v>798</v>
      </c>
      <c r="K1128" s="15" t="s">
        <v>798</v>
      </c>
      <c r="L1128" s="12" t="s">
        <v>5315</v>
      </c>
      <c r="M1128" s="13" t="s">
        <v>5785</v>
      </c>
      <c r="N1128" s="12" t="s">
        <v>803</v>
      </c>
      <c r="O1128" s="13" t="s">
        <v>5183</v>
      </c>
      <c r="P1128" s="17" t="s">
        <v>802</v>
      </c>
      <c r="Q1128" s="21" t="s">
        <v>7859</v>
      </c>
      <c r="R1128" s="17" t="s">
        <v>801</v>
      </c>
      <c r="S1128" s="18" t="s">
        <v>2585</v>
      </c>
      <c r="T1128" s="17" t="s">
        <v>800</v>
      </c>
      <c r="U1128" s="18" t="s">
        <v>5238</v>
      </c>
      <c r="V1128" s="17" t="s">
        <v>9418</v>
      </c>
      <c r="W1128" s="18" t="s">
        <v>5309</v>
      </c>
      <c r="X1128" s="69" t="s">
        <v>9453</v>
      </c>
      <c r="Y1128" s="70" t="s">
        <v>9462</v>
      </c>
      <c r="Z1128" s="73" t="s">
        <v>9486</v>
      </c>
      <c r="AA1128" s="74" t="s">
        <v>9504</v>
      </c>
      <c r="AB1128" s="73" t="s">
        <v>9486</v>
      </c>
      <c r="AC1128" s="74" t="s">
        <v>9566</v>
      </c>
      <c r="AD1128" s="73" t="s">
        <v>9578</v>
      </c>
      <c r="AE1128" s="74" t="s">
        <v>9579</v>
      </c>
    </row>
    <row r="1129" spans="1:31" ht="8.65" customHeight="1" x14ac:dyDescent="0.2">
      <c r="A1129" s="76">
        <v>1129</v>
      </c>
      <c r="B1129" s="67" t="str">
        <f>MID(C1129, FIND("Ifc.", C1129) + 4, 4) &amp; "_" &amp; TEXT(COUNTIF($C$2:C1129, C1129),"0000")</f>
        <v>Prop_1128</v>
      </c>
      <c r="C1129" s="24" t="s">
        <v>872</v>
      </c>
      <c r="D1129" s="69" t="s">
        <v>9453</v>
      </c>
      <c r="E1129" s="70" t="s">
        <v>9454</v>
      </c>
      <c r="F1129" s="17" t="s">
        <v>806</v>
      </c>
      <c r="G1129" s="22" t="s">
        <v>1762</v>
      </c>
      <c r="H1129" s="12" t="s">
        <v>9703</v>
      </c>
      <c r="I1129" s="13" t="s">
        <v>7387</v>
      </c>
      <c r="J1129" s="14" t="s">
        <v>798</v>
      </c>
      <c r="K1129" s="15" t="s">
        <v>798</v>
      </c>
      <c r="L1129" s="12" t="s">
        <v>5315</v>
      </c>
      <c r="M1129" s="13" t="s">
        <v>5787</v>
      </c>
      <c r="N1129" s="12" t="s">
        <v>803</v>
      </c>
      <c r="O1129" s="13" t="s">
        <v>5185</v>
      </c>
      <c r="P1129" s="17" t="s">
        <v>802</v>
      </c>
      <c r="Q1129" s="21" t="s">
        <v>7860</v>
      </c>
      <c r="R1129" s="17" t="s">
        <v>801</v>
      </c>
      <c r="S1129" s="18" t="s">
        <v>2585</v>
      </c>
      <c r="T1129" s="17" t="s">
        <v>800</v>
      </c>
      <c r="U1129" s="18" t="s">
        <v>5238</v>
      </c>
      <c r="V1129" s="17" t="s">
        <v>9418</v>
      </c>
      <c r="W1129" s="18" t="s">
        <v>5309</v>
      </c>
      <c r="X1129" s="69" t="s">
        <v>9453</v>
      </c>
      <c r="Y1129" s="70" t="s">
        <v>9462</v>
      </c>
      <c r="Z1129" s="73" t="s">
        <v>9486</v>
      </c>
      <c r="AA1129" s="74" t="s">
        <v>9504</v>
      </c>
      <c r="AB1129" s="73" t="s">
        <v>9486</v>
      </c>
      <c r="AC1129" s="74" t="s">
        <v>9566</v>
      </c>
      <c r="AD1129" s="73" t="s">
        <v>9578</v>
      </c>
      <c r="AE1129" s="74" t="s">
        <v>9579</v>
      </c>
    </row>
    <row r="1130" spans="1:31" ht="8.65" customHeight="1" x14ac:dyDescent="0.2">
      <c r="A1130" s="76">
        <v>1130</v>
      </c>
      <c r="B1130" s="67" t="str">
        <f>MID(C1130, FIND("Ifc.", C1130) + 4, 4) &amp; "_" &amp; TEXT(COUNTIF($C$2:C1130, C1130),"0000")</f>
        <v>Prop_1129</v>
      </c>
      <c r="C1130" s="24" t="s">
        <v>872</v>
      </c>
      <c r="D1130" s="69" t="s">
        <v>9453</v>
      </c>
      <c r="E1130" s="70" t="s">
        <v>9454</v>
      </c>
      <c r="F1130" s="17" t="s">
        <v>806</v>
      </c>
      <c r="G1130" s="22" t="s">
        <v>1762</v>
      </c>
      <c r="H1130" s="12" t="s">
        <v>9703</v>
      </c>
      <c r="I1130" s="13" t="s">
        <v>7387</v>
      </c>
      <c r="J1130" s="14" t="s">
        <v>798</v>
      </c>
      <c r="K1130" s="15" t="s">
        <v>798</v>
      </c>
      <c r="L1130" s="12" t="s">
        <v>5315</v>
      </c>
      <c r="M1130" s="13" t="s">
        <v>5790</v>
      </c>
      <c r="N1130" s="12" t="s">
        <v>803</v>
      </c>
      <c r="O1130" s="13" t="s">
        <v>5188</v>
      </c>
      <c r="P1130" s="17" t="s">
        <v>802</v>
      </c>
      <c r="Q1130" s="21" t="s">
        <v>7862</v>
      </c>
      <c r="R1130" s="17" t="s">
        <v>801</v>
      </c>
      <c r="S1130" s="18" t="s">
        <v>2585</v>
      </c>
      <c r="T1130" s="17" t="s">
        <v>800</v>
      </c>
      <c r="U1130" s="18" t="s">
        <v>5238</v>
      </c>
      <c r="V1130" s="17" t="s">
        <v>9418</v>
      </c>
      <c r="W1130" s="18" t="s">
        <v>5309</v>
      </c>
      <c r="X1130" s="69" t="s">
        <v>9453</v>
      </c>
      <c r="Y1130" s="70" t="s">
        <v>9462</v>
      </c>
      <c r="Z1130" s="73" t="s">
        <v>9486</v>
      </c>
      <c r="AA1130" s="74" t="s">
        <v>9504</v>
      </c>
      <c r="AB1130" s="73" t="s">
        <v>9486</v>
      </c>
      <c r="AC1130" s="74" t="s">
        <v>9566</v>
      </c>
      <c r="AD1130" s="73" t="s">
        <v>9578</v>
      </c>
      <c r="AE1130" s="74" t="s">
        <v>9579</v>
      </c>
    </row>
    <row r="1131" spans="1:31" ht="8.65" customHeight="1" x14ac:dyDescent="0.2">
      <c r="A1131" s="76">
        <v>1131</v>
      </c>
      <c r="B1131" s="67" t="str">
        <f>MID(C1131, FIND("Ifc.", C1131) + 4, 4) &amp; "_" &amp; TEXT(COUNTIF($C$2:C1131, C1131),"0000")</f>
        <v>Prop_1130</v>
      </c>
      <c r="C1131" s="24" t="s">
        <v>872</v>
      </c>
      <c r="D1131" s="69" t="s">
        <v>9453</v>
      </c>
      <c r="E1131" s="70" t="s">
        <v>9454</v>
      </c>
      <c r="F1131" s="17" t="s">
        <v>806</v>
      </c>
      <c r="G1131" s="22" t="s">
        <v>1332</v>
      </c>
      <c r="H1131" s="12" t="s">
        <v>9703</v>
      </c>
      <c r="I1131" s="13" t="s">
        <v>7377</v>
      </c>
      <c r="J1131" s="14" t="s">
        <v>798</v>
      </c>
      <c r="K1131" s="15" t="s">
        <v>798</v>
      </c>
      <c r="L1131" s="12" t="s">
        <v>5315</v>
      </c>
      <c r="M1131" s="13" t="s">
        <v>5421</v>
      </c>
      <c r="N1131" s="12" t="s">
        <v>803</v>
      </c>
      <c r="O1131" s="13" t="s">
        <v>4921</v>
      </c>
      <c r="P1131" s="17" t="s">
        <v>802</v>
      </c>
      <c r="Q1131" s="21" t="s">
        <v>7678</v>
      </c>
      <c r="R1131" s="17" t="s">
        <v>801</v>
      </c>
      <c r="S1131" s="18" t="s">
        <v>2585</v>
      </c>
      <c r="T1131" s="17" t="s">
        <v>800</v>
      </c>
      <c r="U1131" s="18" t="s">
        <v>5238</v>
      </c>
      <c r="V1131" s="17" t="s">
        <v>9418</v>
      </c>
      <c r="W1131" s="18" t="s">
        <v>5309</v>
      </c>
      <c r="X1131" s="69" t="s">
        <v>9453</v>
      </c>
      <c r="Y1131" s="70" t="s">
        <v>9462</v>
      </c>
      <c r="Z1131" s="73" t="s">
        <v>9486</v>
      </c>
      <c r="AA1131" s="74" t="s">
        <v>9504</v>
      </c>
      <c r="AB1131" s="73" t="s">
        <v>9486</v>
      </c>
      <c r="AC1131" s="74" t="s">
        <v>9566</v>
      </c>
      <c r="AD1131" s="73" t="s">
        <v>9578</v>
      </c>
      <c r="AE1131" s="74" t="s">
        <v>9579</v>
      </c>
    </row>
    <row r="1132" spans="1:31" ht="8.65" customHeight="1" x14ac:dyDescent="0.2">
      <c r="A1132" s="76">
        <v>1132</v>
      </c>
      <c r="B1132" s="67" t="str">
        <f>MID(C1132, FIND("Ifc.", C1132) + 4, 4) &amp; "_" &amp; TEXT(COUNTIF($C$2:C1132, C1132),"0000")</f>
        <v>Prop_1131</v>
      </c>
      <c r="C1132" s="24" t="s">
        <v>872</v>
      </c>
      <c r="D1132" s="69" t="s">
        <v>9453</v>
      </c>
      <c r="E1132" s="70" t="s">
        <v>9454</v>
      </c>
      <c r="F1132" s="17" t="s">
        <v>806</v>
      </c>
      <c r="G1132" s="22" t="s">
        <v>1332</v>
      </c>
      <c r="H1132" s="12" t="s">
        <v>9703</v>
      </c>
      <c r="I1132" s="13" t="s">
        <v>7377</v>
      </c>
      <c r="J1132" s="14" t="s">
        <v>798</v>
      </c>
      <c r="K1132" s="15" t="s">
        <v>798</v>
      </c>
      <c r="L1132" s="12" t="s">
        <v>5315</v>
      </c>
      <c r="M1132" s="13" t="s">
        <v>5413</v>
      </c>
      <c r="N1132" s="12" t="s">
        <v>803</v>
      </c>
      <c r="O1132" s="13" t="s">
        <v>4911</v>
      </c>
      <c r="P1132" s="17" t="s">
        <v>802</v>
      </c>
      <c r="Q1132" s="21" t="s">
        <v>7714</v>
      </c>
      <c r="R1132" s="17" t="s">
        <v>801</v>
      </c>
      <c r="S1132" s="18" t="s">
        <v>2585</v>
      </c>
      <c r="T1132" s="17" t="s">
        <v>800</v>
      </c>
      <c r="U1132" s="18" t="s">
        <v>5238</v>
      </c>
      <c r="V1132" s="17" t="s">
        <v>9418</v>
      </c>
      <c r="W1132" s="18" t="s">
        <v>5309</v>
      </c>
      <c r="X1132" s="69" t="s">
        <v>9453</v>
      </c>
      <c r="Y1132" s="70" t="s">
        <v>9462</v>
      </c>
      <c r="Z1132" s="73" t="s">
        <v>9486</v>
      </c>
      <c r="AA1132" s="74" t="s">
        <v>9504</v>
      </c>
      <c r="AB1132" s="73" t="s">
        <v>9486</v>
      </c>
      <c r="AC1132" s="74" t="s">
        <v>9566</v>
      </c>
      <c r="AD1132" s="73" t="s">
        <v>9578</v>
      </c>
      <c r="AE1132" s="74" t="s">
        <v>9579</v>
      </c>
    </row>
    <row r="1133" spans="1:31" ht="8.65" customHeight="1" x14ac:dyDescent="0.2">
      <c r="A1133" s="76">
        <v>1133</v>
      </c>
      <c r="B1133" s="67" t="str">
        <f>MID(C1133, FIND("Ifc.", C1133) + 4, 4) &amp; "_" &amp; TEXT(COUNTIF($C$2:C1133, C1133),"0000")</f>
        <v>Prop_1132</v>
      </c>
      <c r="C1133" s="24" t="s">
        <v>872</v>
      </c>
      <c r="D1133" s="69" t="s">
        <v>9453</v>
      </c>
      <c r="E1133" s="70" t="s">
        <v>9454</v>
      </c>
      <c r="F1133" s="17" t="s">
        <v>806</v>
      </c>
      <c r="G1133" s="22" t="s">
        <v>1332</v>
      </c>
      <c r="H1133" s="12" t="s">
        <v>9703</v>
      </c>
      <c r="I1133" s="13" t="s">
        <v>7377</v>
      </c>
      <c r="J1133" s="14" t="s">
        <v>798</v>
      </c>
      <c r="K1133" s="15" t="s">
        <v>798</v>
      </c>
      <c r="L1133" s="12" t="s">
        <v>5315</v>
      </c>
      <c r="M1133" s="13" t="s">
        <v>5510</v>
      </c>
      <c r="N1133" s="12" t="s">
        <v>803</v>
      </c>
      <c r="O1133" s="13" t="s">
        <v>5123</v>
      </c>
      <c r="P1133" s="17" t="s">
        <v>802</v>
      </c>
      <c r="Q1133" s="21" t="s">
        <v>7715</v>
      </c>
      <c r="R1133" s="17" t="s">
        <v>801</v>
      </c>
      <c r="S1133" s="18" t="s">
        <v>2585</v>
      </c>
      <c r="T1133" s="17" t="s">
        <v>800</v>
      </c>
      <c r="U1133" s="18" t="s">
        <v>5238</v>
      </c>
      <c r="V1133" s="17" t="s">
        <v>9418</v>
      </c>
      <c r="W1133" s="18" t="s">
        <v>5309</v>
      </c>
      <c r="X1133" s="69" t="s">
        <v>9453</v>
      </c>
      <c r="Y1133" s="70" t="s">
        <v>9462</v>
      </c>
      <c r="Z1133" s="73" t="s">
        <v>9486</v>
      </c>
      <c r="AA1133" s="74" t="s">
        <v>9504</v>
      </c>
      <c r="AB1133" s="73" t="s">
        <v>9486</v>
      </c>
      <c r="AC1133" s="74" t="s">
        <v>9566</v>
      </c>
      <c r="AD1133" s="73" t="s">
        <v>9578</v>
      </c>
      <c r="AE1133" s="74" t="s">
        <v>9579</v>
      </c>
    </row>
    <row r="1134" spans="1:31" ht="8.65" customHeight="1" x14ac:dyDescent="0.2">
      <c r="A1134" s="76">
        <v>1134</v>
      </c>
      <c r="B1134" s="67" t="str">
        <f>MID(C1134, FIND("Ifc.", C1134) + 4, 4) &amp; "_" &amp; TEXT(COUNTIF($C$2:C1134, C1134),"0000")</f>
        <v>Prop_1133</v>
      </c>
      <c r="C1134" s="24" t="s">
        <v>872</v>
      </c>
      <c r="D1134" s="69" t="s">
        <v>9453</v>
      </c>
      <c r="E1134" s="70" t="s">
        <v>9454</v>
      </c>
      <c r="F1134" s="17" t="s">
        <v>806</v>
      </c>
      <c r="G1134" s="22" t="s">
        <v>1332</v>
      </c>
      <c r="H1134" s="12" t="s">
        <v>9703</v>
      </c>
      <c r="I1134" s="13" t="s">
        <v>7377</v>
      </c>
      <c r="J1134" s="14" t="s">
        <v>798</v>
      </c>
      <c r="K1134" s="15" t="s">
        <v>798</v>
      </c>
      <c r="L1134" s="12" t="s">
        <v>5315</v>
      </c>
      <c r="M1134" s="13" t="s">
        <v>5511</v>
      </c>
      <c r="N1134" s="12" t="s">
        <v>803</v>
      </c>
      <c r="O1134" s="13" t="s">
        <v>5124</v>
      </c>
      <c r="P1134" s="17" t="s">
        <v>802</v>
      </c>
      <c r="Q1134" s="21" t="s">
        <v>7716</v>
      </c>
      <c r="R1134" s="17" t="s">
        <v>801</v>
      </c>
      <c r="S1134" s="18" t="s">
        <v>2585</v>
      </c>
      <c r="T1134" s="17" t="s">
        <v>800</v>
      </c>
      <c r="U1134" s="18" t="s">
        <v>5238</v>
      </c>
      <c r="V1134" s="17" t="s">
        <v>9418</v>
      </c>
      <c r="W1134" s="18" t="s">
        <v>5309</v>
      </c>
      <c r="X1134" s="69" t="s">
        <v>9453</v>
      </c>
      <c r="Y1134" s="70" t="s">
        <v>9462</v>
      </c>
      <c r="Z1134" s="73" t="s">
        <v>9486</v>
      </c>
      <c r="AA1134" s="74" t="s">
        <v>9504</v>
      </c>
      <c r="AB1134" s="73" t="s">
        <v>9486</v>
      </c>
      <c r="AC1134" s="74" t="s">
        <v>9566</v>
      </c>
      <c r="AD1134" s="73" t="s">
        <v>9578</v>
      </c>
      <c r="AE1134" s="74" t="s">
        <v>9579</v>
      </c>
    </row>
    <row r="1135" spans="1:31" ht="8.65" customHeight="1" x14ac:dyDescent="0.2">
      <c r="A1135" s="76">
        <v>1135</v>
      </c>
      <c r="B1135" s="67" t="str">
        <f>MID(C1135, FIND("Ifc.", C1135) + 4, 4) &amp; "_" &amp; TEXT(COUNTIF($C$2:C1135, C1135),"0000")</f>
        <v>Prop_1134</v>
      </c>
      <c r="C1135" s="24" t="s">
        <v>872</v>
      </c>
      <c r="D1135" s="69" t="s">
        <v>9453</v>
      </c>
      <c r="E1135" s="70" t="s">
        <v>9454</v>
      </c>
      <c r="F1135" s="17" t="s">
        <v>806</v>
      </c>
      <c r="G1135" s="22" t="s">
        <v>1332</v>
      </c>
      <c r="H1135" s="12" t="s">
        <v>9703</v>
      </c>
      <c r="I1135" s="13" t="s">
        <v>7377</v>
      </c>
      <c r="J1135" s="14" t="s">
        <v>798</v>
      </c>
      <c r="K1135" s="15" t="s">
        <v>798</v>
      </c>
      <c r="L1135" s="12" t="s">
        <v>5315</v>
      </c>
      <c r="M1135" s="13" t="s">
        <v>5516</v>
      </c>
      <c r="N1135" s="12" t="s">
        <v>803</v>
      </c>
      <c r="O1135" s="13" t="s">
        <v>5131</v>
      </c>
      <c r="P1135" s="17" t="s">
        <v>802</v>
      </c>
      <c r="Q1135" s="21" t="s">
        <v>7717</v>
      </c>
      <c r="R1135" s="17" t="s">
        <v>801</v>
      </c>
      <c r="S1135" s="18" t="s">
        <v>2585</v>
      </c>
      <c r="T1135" s="17" t="s">
        <v>800</v>
      </c>
      <c r="U1135" s="18" t="s">
        <v>5238</v>
      </c>
      <c r="V1135" s="17" t="s">
        <v>9418</v>
      </c>
      <c r="W1135" s="18" t="s">
        <v>5309</v>
      </c>
      <c r="X1135" s="69" t="s">
        <v>9453</v>
      </c>
      <c r="Y1135" s="70" t="s">
        <v>9462</v>
      </c>
      <c r="Z1135" s="73" t="s">
        <v>9486</v>
      </c>
      <c r="AA1135" s="74" t="s">
        <v>9504</v>
      </c>
      <c r="AB1135" s="73" t="s">
        <v>9486</v>
      </c>
      <c r="AC1135" s="74" t="s">
        <v>9566</v>
      </c>
      <c r="AD1135" s="73" t="s">
        <v>9578</v>
      </c>
      <c r="AE1135" s="74" t="s">
        <v>9579</v>
      </c>
    </row>
    <row r="1136" spans="1:31" ht="8.65" customHeight="1" x14ac:dyDescent="0.2">
      <c r="A1136" s="76">
        <v>1136</v>
      </c>
      <c r="B1136" s="67" t="str">
        <f>MID(C1136, FIND("Ifc.", C1136) + 4, 4) &amp; "_" &amp; TEXT(COUNTIF($C$2:C1136, C1136),"0000")</f>
        <v>Prop_1135</v>
      </c>
      <c r="C1136" s="24" t="s">
        <v>872</v>
      </c>
      <c r="D1136" s="69" t="s">
        <v>9453</v>
      </c>
      <c r="E1136" s="70" t="s">
        <v>9454</v>
      </c>
      <c r="F1136" s="17" t="s">
        <v>806</v>
      </c>
      <c r="G1136" s="22" t="s">
        <v>1332</v>
      </c>
      <c r="H1136" s="12" t="s">
        <v>9703</v>
      </c>
      <c r="I1136" s="13" t="s">
        <v>7377</v>
      </c>
      <c r="J1136" s="14" t="s">
        <v>798</v>
      </c>
      <c r="K1136" s="15" t="s">
        <v>798</v>
      </c>
      <c r="L1136" s="12" t="s">
        <v>5315</v>
      </c>
      <c r="M1136" s="13" t="s">
        <v>5515</v>
      </c>
      <c r="N1136" s="12" t="s">
        <v>803</v>
      </c>
      <c r="O1136" s="13" t="s">
        <v>5129</v>
      </c>
      <c r="P1136" s="17" t="s">
        <v>802</v>
      </c>
      <c r="Q1136" s="21" t="s">
        <v>7718</v>
      </c>
      <c r="R1136" s="17" t="s">
        <v>801</v>
      </c>
      <c r="S1136" s="18" t="s">
        <v>2585</v>
      </c>
      <c r="T1136" s="17" t="s">
        <v>800</v>
      </c>
      <c r="U1136" s="18" t="s">
        <v>5238</v>
      </c>
      <c r="V1136" s="17" t="s">
        <v>9418</v>
      </c>
      <c r="W1136" s="18" t="s">
        <v>5309</v>
      </c>
      <c r="X1136" s="69" t="s">
        <v>9453</v>
      </c>
      <c r="Y1136" s="70" t="s">
        <v>9462</v>
      </c>
      <c r="Z1136" s="73" t="s">
        <v>9486</v>
      </c>
      <c r="AA1136" s="74" t="s">
        <v>9504</v>
      </c>
      <c r="AB1136" s="73" t="s">
        <v>9486</v>
      </c>
      <c r="AC1136" s="74" t="s">
        <v>9566</v>
      </c>
      <c r="AD1136" s="73" t="s">
        <v>9578</v>
      </c>
      <c r="AE1136" s="74" t="s">
        <v>9579</v>
      </c>
    </row>
    <row r="1137" spans="1:31" ht="8.65" customHeight="1" x14ac:dyDescent="0.2">
      <c r="A1137" s="76">
        <v>1137</v>
      </c>
      <c r="B1137" s="67" t="str">
        <f>MID(C1137, FIND("Ifc.", C1137) + 4, 4) &amp; "_" &amp; TEXT(COUNTIF($C$2:C1137, C1137),"0000")</f>
        <v>Prop_1136</v>
      </c>
      <c r="C1137" s="24" t="s">
        <v>872</v>
      </c>
      <c r="D1137" s="69" t="s">
        <v>9453</v>
      </c>
      <c r="E1137" s="70" t="s">
        <v>9454</v>
      </c>
      <c r="F1137" s="17" t="s">
        <v>806</v>
      </c>
      <c r="G1137" s="22" t="s">
        <v>1332</v>
      </c>
      <c r="H1137" s="12" t="s">
        <v>9703</v>
      </c>
      <c r="I1137" s="13" t="s">
        <v>7377</v>
      </c>
      <c r="J1137" s="14" t="s">
        <v>798</v>
      </c>
      <c r="K1137" s="15" t="s">
        <v>798</v>
      </c>
      <c r="L1137" s="12" t="s">
        <v>5315</v>
      </c>
      <c r="M1137" s="13" t="s">
        <v>5797</v>
      </c>
      <c r="N1137" s="12" t="s">
        <v>803</v>
      </c>
      <c r="O1137" s="13" t="s">
        <v>5191</v>
      </c>
      <c r="P1137" s="17" t="s">
        <v>802</v>
      </c>
      <c r="Q1137" s="21" t="s">
        <v>7865</v>
      </c>
      <c r="R1137" s="17" t="s">
        <v>801</v>
      </c>
      <c r="S1137" s="18" t="s">
        <v>2585</v>
      </c>
      <c r="T1137" s="17" t="s">
        <v>800</v>
      </c>
      <c r="U1137" s="18" t="s">
        <v>5238</v>
      </c>
      <c r="V1137" s="17" t="s">
        <v>9418</v>
      </c>
      <c r="W1137" s="18" t="s">
        <v>5309</v>
      </c>
      <c r="X1137" s="69" t="s">
        <v>9453</v>
      </c>
      <c r="Y1137" s="70" t="s">
        <v>9462</v>
      </c>
      <c r="Z1137" s="73" t="s">
        <v>9486</v>
      </c>
      <c r="AA1137" s="74" t="s">
        <v>9504</v>
      </c>
      <c r="AB1137" s="73" t="s">
        <v>9486</v>
      </c>
      <c r="AC1137" s="74" t="s">
        <v>9566</v>
      </c>
      <c r="AD1137" s="73" t="s">
        <v>9578</v>
      </c>
      <c r="AE1137" s="74" t="s">
        <v>9579</v>
      </c>
    </row>
    <row r="1138" spans="1:31" ht="8.65" customHeight="1" x14ac:dyDescent="0.2">
      <c r="A1138" s="76">
        <v>1138</v>
      </c>
      <c r="B1138" s="67" t="str">
        <f>MID(C1138, FIND("Ifc.", C1138) + 4, 4) &amp; "_" &amp; TEXT(COUNTIF($C$2:C1138, C1138),"0000")</f>
        <v>Prop_1137</v>
      </c>
      <c r="C1138" s="24" t="s">
        <v>872</v>
      </c>
      <c r="D1138" s="69" t="s">
        <v>9453</v>
      </c>
      <c r="E1138" s="70" t="s">
        <v>9454</v>
      </c>
      <c r="F1138" s="17" t="s">
        <v>806</v>
      </c>
      <c r="G1138" s="22" t="s">
        <v>2350</v>
      </c>
      <c r="H1138" s="12" t="s">
        <v>9703</v>
      </c>
      <c r="I1138" s="13" t="s">
        <v>6743</v>
      </c>
      <c r="J1138" s="14" t="s">
        <v>798</v>
      </c>
      <c r="K1138" s="15" t="s">
        <v>798</v>
      </c>
      <c r="L1138" s="12" t="s">
        <v>5315</v>
      </c>
      <c r="M1138" s="13" t="s">
        <v>5560</v>
      </c>
      <c r="N1138" s="12" t="s">
        <v>803</v>
      </c>
      <c r="O1138" s="13" t="s">
        <v>5174</v>
      </c>
      <c r="P1138" s="17" t="s">
        <v>802</v>
      </c>
      <c r="Q1138" s="21" t="s">
        <v>7793</v>
      </c>
      <c r="R1138" s="17" t="s">
        <v>801</v>
      </c>
      <c r="S1138" s="18" t="s">
        <v>2585</v>
      </c>
      <c r="T1138" s="17" t="s">
        <v>800</v>
      </c>
      <c r="U1138" s="18" t="s">
        <v>5238</v>
      </c>
      <c r="V1138" s="17" t="s">
        <v>9418</v>
      </c>
      <c r="W1138" s="18" t="s">
        <v>5309</v>
      </c>
      <c r="X1138" s="69" t="s">
        <v>9453</v>
      </c>
      <c r="Y1138" s="70" t="s">
        <v>9462</v>
      </c>
      <c r="Z1138" s="73" t="s">
        <v>9486</v>
      </c>
      <c r="AA1138" s="74" t="s">
        <v>9504</v>
      </c>
      <c r="AB1138" s="73" t="s">
        <v>9486</v>
      </c>
      <c r="AC1138" s="74" t="s">
        <v>9566</v>
      </c>
      <c r="AD1138" s="73" t="s">
        <v>9578</v>
      </c>
      <c r="AE1138" s="74" t="s">
        <v>9579</v>
      </c>
    </row>
    <row r="1139" spans="1:31" ht="8.65" customHeight="1" x14ac:dyDescent="0.2">
      <c r="A1139" s="76">
        <v>1139</v>
      </c>
      <c r="B1139" s="67" t="str">
        <f>MID(C1139, FIND("Ifc.", C1139) + 4, 4) &amp; "_" &amp; TEXT(COUNTIF($C$2:C1139, C1139),"0000")</f>
        <v>Prop_1138</v>
      </c>
      <c r="C1139" s="24" t="s">
        <v>872</v>
      </c>
      <c r="D1139" s="69" t="s">
        <v>9453</v>
      </c>
      <c r="E1139" s="70" t="s">
        <v>9454</v>
      </c>
      <c r="F1139" s="17" t="s">
        <v>806</v>
      </c>
      <c r="G1139" s="22" t="s">
        <v>2073</v>
      </c>
      <c r="H1139" s="12" t="s">
        <v>9703</v>
      </c>
      <c r="I1139" s="13" t="s">
        <v>7053</v>
      </c>
      <c r="J1139" s="14" t="s">
        <v>798</v>
      </c>
      <c r="K1139" s="15" t="s">
        <v>798</v>
      </c>
      <c r="L1139" s="12" t="s">
        <v>5315</v>
      </c>
      <c r="M1139" s="13" t="s">
        <v>5977</v>
      </c>
      <c r="N1139" s="12" t="s">
        <v>803</v>
      </c>
      <c r="O1139" s="13" t="s">
        <v>5091</v>
      </c>
      <c r="P1139" s="17" t="s">
        <v>802</v>
      </c>
      <c r="Q1139" s="21" t="s">
        <v>7963</v>
      </c>
      <c r="R1139" s="17" t="s">
        <v>801</v>
      </c>
      <c r="S1139" s="18" t="s">
        <v>2585</v>
      </c>
      <c r="T1139" s="17" t="s">
        <v>800</v>
      </c>
      <c r="U1139" s="18" t="s">
        <v>5238</v>
      </c>
      <c r="V1139" s="17" t="s">
        <v>9418</v>
      </c>
      <c r="W1139" s="18" t="s">
        <v>5309</v>
      </c>
      <c r="X1139" s="69" t="s">
        <v>9453</v>
      </c>
      <c r="Y1139" s="70" t="s">
        <v>9462</v>
      </c>
      <c r="Z1139" s="73" t="s">
        <v>9486</v>
      </c>
      <c r="AA1139" s="74" t="s">
        <v>9504</v>
      </c>
      <c r="AB1139" s="73" t="s">
        <v>9486</v>
      </c>
      <c r="AC1139" s="74" t="s">
        <v>9566</v>
      </c>
      <c r="AD1139" s="73" t="s">
        <v>9578</v>
      </c>
      <c r="AE1139" s="74" t="s">
        <v>9579</v>
      </c>
    </row>
    <row r="1140" spans="1:31" ht="8.65" customHeight="1" x14ac:dyDescent="0.2">
      <c r="A1140" s="76">
        <v>1140</v>
      </c>
      <c r="B1140" s="67" t="str">
        <f>MID(C1140, FIND("Ifc.", C1140) + 4, 4) &amp; "_" &amp; TEXT(COUNTIF($C$2:C1140, C1140),"0000")</f>
        <v>Prop_1139</v>
      </c>
      <c r="C1140" s="24" t="s">
        <v>872</v>
      </c>
      <c r="D1140" s="69" t="s">
        <v>9453</v>
      </c>
      <c r="E1140" s="70" t="s">
        <v>9454</v>
      </c>
      <c r="F1140" s="17" t="s">
        <v>806</v>
      </c>
      <c r="G1140" s="22" t="s">
        <v>2044</v>
      </c>
      <c r="H1140" s="12" t="s">
        <v>9703</v>
      </c>
      <c r="I1140" s="13" t="s">
        <v>6929</v>
      </c>
      <c r="J1140" s="14" t="s">
        <v>798</v>
      </c>
      <c r="K1140" s="15" t="s">
        <v>798</v>
      </c>
      <c r="L1140" s="12" t="s">
        <v>5315</v>
      </c>
      <c r="M1140" s="13" t="s">
        <v>5481</v>
      </c>
      <c r="N1140" s="12" t="s">
        <v>803</v>
      </c>
      <c r="O1140" s="13" t="s">
        <v>5085</v>
      </c>
      <c r="P1140" s="17" t="s">
        <v>802</v>
      </c>
      <c r="Q1140" s="21" t="s">
        <v>7708</v>
      </c>
      <c r="R1140" s="17" t="s">
        <v>801</v>
      </c>
      <c r="S1140" s="18" t="s">
        <v>2585</v>
      </c>
      <c r="T1140" s="17" t="s">
        <v>800</v>
      </c>
      <c r="U1140" s="18" t="s">
        <v>5238</v>
      </c>
      <c r="V1140" s="17" t="s">
        <v>9418</v>
      </c>
      <c r="W1140" s="18" t="s">
        <v>5309</v>
      </c>
      <c r="X1140" s="69" t="s">
        <v>9453</v>
      </c>
      <c r="Y1140" s="70" t="s">
        <v>9462</v>
      </c>
      <c r="Z1140" s="73" t="s">
        <v>9486</v>
      </c>
      <c r="AA1140" s="74" t="s">
        <v>9504</v>
      </c>
      <c r="AB1140" s="73" t="s">
        <v>9486</v>
      </c>
      <c r="AC1140" s="74" t="s">
        <v>9566</v>
      </c>
      <c r="AD1140" s="73" t="s">
        <v>9578</v>
      </c>
      <c r="AE1140" s="74" t="s">
        <v>9579</v>
      </c>
    </row>
    <row r="1141" spans="1:31" ht="8.65" customHeight="1" x14ac:dyDescent="0.2">
      <c r="A1141" s="76">
        <v>1141</v>
      </c>
      <c r="B1141" s="67" t="str">
        <f>MID(C1141, FIND("Ifc.", C1141) + 4, 4) &amp; "_" &amp; TEXT(COUNTIF($C$2:C1141, C1141),"0000")</f>
        <v>Prop_1140</v>
      </c>
      <c r="C1141" s="24" t="s">
        <v>872</v>
      </c>
      <c r="D1141" s="69" t="s">
        <v>9453</v>
      </c>
      <c r="E1141" s="70" t="s">
        <v>9454</v>
      </c>
      <c r="F1141" s="17" t="s">
        <v>806</v>
      </c>
      <c r="G1141" s="22" t="s">
        <v>2007</v>
      </c>
      <c r="H1141" s="12" t="s">
        <v>9703</v>
      </c>
      <c r="I1141" s="13" t="s">
        <v>7376</v>
      </c>
      <c r="J1141" s="14" t="s">
        <v>798</v>
      </c>
      <c r="K1141" s="15" t="s">
        <v>798</v>
      </c>
      <c r="L1141" s="12" t="s">
        <v>5315</v>
      </c>
      <c r="M1141" s="13" t="s">
        <v>5479</v>
      </c>
      <c r="N1141" s="12" t="s">
        <v>803</v>
      </c>
      <c r="O1141" s="13" t="s">
        <v>5083</v>
      </c>
      <c r="P1141" s="17" t="s">
        <v>802</v>
      </c>
      <c r="Q1141" s="21" t="s">
        <v>7731</v>
      </c>
      <c r="R1141" s="17" t="s">
        <v>801</v>
      </c>
      <c r="S1141" s="18" t="s">
        <v>2585</v>
      </c>
      <c r="T1141" s="17" t="s">
        <v>800</v>
      </c>
      <c r="U1141" s="18" t="s">
        <v>5238</v>
      </c>
      <c r="V1141" s="17" t="s">
        <v>9418</v>
      </c>
      <c r="W1141" s="18" t="s">
        <v>5309</v>
      </c>
      <c r="X1141" s="69" t="s">
        <v>9453</v>
      </c>
      <c r="Y1141" s="70" t="s">
        <v>9462</v>
      </c>
      <c r="Z1141" s="73" t="s">
        <v>9486</v>
      </c>
      <c r="AA1141" s="74" t="s">
        <v>9504</v>
      </c>
      <c r="AB1141" s="73" t="s">
        <v>9486</v>
      </c>
      <c r="AC1141" s="74" t="s">
        <v>9566</v>
      </c>
      <c r="AD1141" s="73" t="s">
        <v>9578</v>
      </c>
      <c r="AE1141" s="74" t="s">
        <v>9579</v>
      </c>
    </row>
    <row r="1142" spans="1:31" ht="8.65" customHeight="1" x14ac:dyDescent="0.2">
      <c r="A1142" s="76">
        <v>1142</v>
      </c>
      <c r="B1142" s="67" t="str">
        <f>MID(C1142, FIND("Ifc.", C1142) + 4, 4) &amp; "_" &amp; TEXT(COUNTIF($C$2:C1142, C1142),"0000")</f>
        <v>Prop_1141</v>
      </c>
      <c r="C1142" s="24" t="s">
        <v>872</v>
      </c>
      <c r="D1142" s="69" t="s">
        <v>9453</v>
      </c>
      <c r="E1142" s="70" t="s">
        <v>9454</v>
      </c>
      <c r="F1142" s="17" t="s">
        <v>806</v>
      </c>
      <c r="G1142" s="22" t="s">
        <v>2007</v>
      </c>
      <c r="H1142" s="12" t="s">
        <v>9703</v>
      </c>
      <c r="I1142" s="13" t="s">
        <v>7376</v>
      </c>
      <c r="J1142" s="14" t="s">
        <v>798</v>
      </c>
      <c r="K1142" s="15" t="s">
        <v>798</v>
      </c>
      <c r="L1142" s="12" t="s">
        <v>5315</v>
      </c>
      <c r="M1142" s="13" t="s">
        <v>5481</v>
      </c>
      <c r="N1142" s="12" t="s">
        <v>803</v>
      </c>
      <c r="O1142" s="13" t="s">
        <v>5085</v>
      </c>
      <c r="P1142" s="17" t="s">
        <v>802</v>
      </c>
      <c r="Q1142" s="21" t="s">
        <v>7708</v>
      </c>
      <c r="R1142" s="17" t="s">
        <v>801</v>
      </c>
      <c r="S1142" s="18" t="s">
        <v>2585</v>
      </c>
      <c r="T1142" s="17" t="s">
        <v>800</v>
      </c>
      <c r="U1142" s="18" t="s">
        <v>5238</v>
      </c>
      <c r="V1142" s="17" t="s">
        <v>9418</v>
      </c>
      <c r="W1142" s="18" t="s">
        <v>5309</v>
      </c>
      <c r="X1142" s="69" t="s">
        <v>9453</v>
      </c>
      <c r="Y1142" s="70" t="s">
        <v>9462</v>
      </c>
      <c r="Z1142" s="73" t="s">
        <v>9486</v>
      </c>
      <c r="AA1142" s="74" t="s">
        <v>9504</v>
      </c>
      <c r="AB1142" s="73" t="s">
        <v>9486</v>
      </c>
      <c r="AC1142" s="74" t="s">
        <v>9566</v>
      </c>
      <c r="AD1142" s="73" t="s">
        <v>9578</v>
      </c>
      <c r="AE1142" s="74" t="s">
        <v>9579</v>
      </c>
    </row>
    <row r="1143" spans="1:31" ht="8.65" customHeight="1" x14ac:dyDescent="0.2">
      <c r="A1143" s="76">
        <v>1143</v>
      </c>
      <c r="B1143" s="67" t="str">
        <f>MID(C1143, FIND("Ifc.", C1143) + 4, 4) &amp; "_" &amp; TEXT(COUNTIF($C$2:C1143, C1143),"0000")</f>
        <v>Prop_1142</v>
      </c>
      <c r="C1143" s="24" t="s">
        <v>872</v>
      </c>
      <c r="D1143" s="69" t="s">
        <v>9453</v>
      </c>
      <c r="E1143" s="70" t="s">
        <v>9454</v>
      </c>
      <c r="F1143" s="17" t="s">
        <v>806</v>
      </c>
      <c r="G1143" s="22" t="s">
        <v>1098</v>
      </c>
      <c r="H1143" s="12" t="s">
        <v>9703</v>
      </c>
      <c r="I1143" s="13" t="s">
        <v>6158</v>
      </c>
      <c r="J1143" s="14" t="s">
        <v>798</v>
      </c>
      <c r="K1143" s="15" t="s">
        <v>798</v>
      </c>
      <c r="L1143" s="12" t="s">
        <v>5315</v>
      </c>
      <c r="M1143" s="13" t="s">
        <v>5815</v>
      </c>
      <c r="N1143" s="12" t="s">
        <v>803</v>
      </c>
      <c r="O1143" s="13" t="s">
        <v>4944</v>
      </c>
      <c r="P1143" s="17" t="s">
        <v>802</v>
      </c>
      <c r="Q1143" s="21" t="s">
        <v>7868</v>
      </c>
      <c r="R1143" s="17" t="s">
        <v>801</v>
      </c>
      <c r="S1143" s="18" t="s">
        <v>2585</v>
      </c>
      <c r="T1143" s="17" t="s">
        <v>800</v>
      </c>
      <c r="U1143" s="18" t="s">
        <v>5238</v>
      </c>
      <c r="V1143" s="17" t="s">
        <v>9418</v>
      </c>
      <c r="W1143" s="18" t="s">
        <v>5309</v>
      </c>
      <c r="X1143" s="69" t="s">
        <v>9453</v>
      </c>
      <c r="Y1143" s="70" t="s">
        <v>9462</v>
      </c>
      <c r="Z1143" s="73" t="s">
        <v>9486</v>
      </c>
      <c r="AA1143" s="74" t="s">
        <v>9504</v>
      </c>
      <c r="AB1143" s="73" t="s">
        <v>9486</v>
      </c>
      <c r="AC1143" s="74" t="s">
        <v>9566</v>
      </c>
      <c r="AD1143" s="73" t="s">
        <v>9578</v>
      </c>
      <c r="AE1143" s="74" t="s">
        <v>9579</v>
      </c>
    </row>
    <row r="1144" spans="1:31" ht="8.65" customHeight="1" x14ac:dyDescent="0.2">
      <c r="A1144" s="76">
        <v>1144</v>
      </c>
      <c r="B1144" s="67" t="str">
        <f>MID(C1144, FIND("Ifc.", C1144) + 4, 4) &amp; "_" &amp; TEXT(COUNTIF($C$2:C1144, C1144),"0000")</f>
        <v>Prop_1143</v>
      </c>
      <c r="C1144" s="24" t="s">
        <v>872</v>
      </c>
      <c r="D1144" s="69" t="s">
        <v>9453</v>
      </c>
      <c r="E1144" s="70" t="s">
        <v>9454</v>
      </c>
      <c r="F1144" s="17" t="s">
        <v>806</v>
      </c>
      <c r="G1144" s="22" t="s">
        <v>1098</v>
      </c>
      <c r="H1144" s="12" t="s">
        <v>9703</v>
      </c>
      <c r="I1144" s="13" t="s">
        <v>6158</v>
      </c>
      <c r="J1144" s="14" t="s">
        <v>798</v>
      </c>
      <c r="K1144" s="15" t="s">
        <v>798</v>
      </c>
      <c r="L1144" s="12" t="s">
        <v>5315</v>
      </c>
      <c r="M1144" s="13" t="s">
        <v>5997</v>
      </c>
      <c r="N1144" s="12" t="s">
        <v>803</v>
      </c>
      <c r="O1144" s="13" t="s">
        <v>4856</v>
      </c>
      <c r="P1144" s="17" t="s">
        <v>802</v>
      </c>
      <c r="Q1144" s="21" t="s">
        <v>7985</v>
      </c>
      <c r="R1144" s="17" t="s">
        <v>801</v>
      </c>
      <c r="S1144" s="18" t="s">
        <v>2585</v>
      </c>
      <c r="T1144" s="17" t="s">
        <v>800</v>
      </c>
      <c r="U1144" s="18" t="s">
        <v>5238</v>
      </c>
      <c r="V1144" s="17" t="s">
        <v>9418</v>
      </c>
      <c r="W1144" s="18" t="s">
        <v>5309</v>
      </c>
      <c r="X1144" s="69" t="s">
        <v>9453</v>
      </c>
      <c r="Y1144" s="70" t="s">
        <v>9462</v>
      </c>
      <c r="Z1144" s="73" t="s">
        <v>9486</v>
      </c>
      <c r="AA1144" s="74" t="s">
        <v>9504</v>
      </c>
      <c r="AB1144" s="73" t="s">
        <v>9486</v>
      </c>
      <c r="AC1144" s="74" t="s">
        <v>9566</v>
      </c>
      <c r="AD1144" s="73" t="s">
        <v>9578</v>
      </c>
      <c r="AE1144" s="74" t="s">
        <v>9579</v>
      </c>
    </row>
    <row r="1145" spans="1:31" ht="8.65" customHeight="1" x14ac:dyDescent="0.2">
      <c r="A1145" s="76">
        <v>1145</v>
      </c>
      <c r="B1145" s="67" t="str">
        <f>MID(C1145, FIND("Ifc.", C1145) + 4, 4) &amp; "_" &amp; TEXT(COUNTIF($C$2:C1145, C1145),"0000")</f>
        <v>Prop_1144</v>
      </c>
      <c r="C1145" s="24" t="s">
        <v>872</v>
      </c>
      <c r="D1145" s="69" t="s">
        <v>9453</v>
      </c>
      <c r="E1145" s="70" t="s">
        <v>9454</v>
      </c>
      <c r="F1145" s="17" t="s">
        <v>806</v>
      </c>
      <c r="G1145" s="22" t="s">
        <v>1098</v>
      </c>
      <c r="H1145" s="12" t="s">
        <v>9703</v>
      </c>
      <c r="I1145" s="13" t="s">
        <v>6158</v>
      </c>
      <c r="J1145" s="14" t="s">
        <v>798</v>
      </c>
      <c r="K1145" s="15" t="s">
        <v>798</v>
      </c>
      <c r="L1145" s="12" t="s">
        <v>5315</v>
      </c>
      <c r="M1145" s="13" t="s">
        <v>5391</v>
      </c>
      <c r="N1145" s="12" t="s">
        <v>803</v>
      </c>
      <c r="O1145" s="13" t="s">
        <v>4853</v>
      </c>
      <c r="P1145" s="17" t="s">
        <v>802</v>
      </c>
      <c r="Q1145" s="21" t="s">
        <v>7869</v>
      </c>
      <c r="R1145" s="17" t="s">
        <v>801</v>
      </c>
      <c r="S1145" s="18" t="s">
        <v>2585</v>
      </c>
      <c r="T1145" s="17" t="s">
        <v>800</v>
      </c>
      <c r="U1145" s="18" t="s">
        <v>5238</v>
      </c>
      <c r="V1145" s="17" t="s">
        <v>9418</v>
      </c>
      <c r="W1145" s="18" t="s">
        <v>5309</v>
      </c>
      <c r="X1145" s="69" t="s">
        <v>9453</v>
      </c>
      <c r="Y1145" s="70" t="s">
        <v>9462</v>
      </c>
      <c r="Z1145" s="73" t="s">
        <v>9486</v>
      </c>
      <c r="AA1145" s="74" t="s">
        <v>9504</v>
      </c>
      <c r="AB1145" s="73" t="s">
        <v>9486</v>
      </c>
      <c r="AC1145" s="74" t="s">
        <v>9566</v>
      </c>
      <c r="AD1145" s="73" t="s">
        <v>9578</v>
      </c>
      <c r="AE1145" s="74" t="s">
        <v>9579</v>
      </c>
    </row>
    <row r="1146" spans="1:31" ht="8.65" customHeight="1" x14ac:dyDescent="0.2">
      <c r="A1146" s="76">
        <v>1146</v>
      </c>
      <c r="B1146" s="67" t="str">
        <f>MID(C1146, FIND("Ifc.", C1146) + 4, 4) &amp; "_" &amp; TEXT(COUNTIF($C$2:C1146, C1146),"0000")</f>
        <v>Prop_1145</v>
      </c>
      <c r="C1146" s="24" t="s">
        <v>872</v>
      </c>
      <c r="D1146" s="69" t="s">
        <v>9453</v>
      </c>
      <c r="E1146" s="70" t="s">
        <v>9454</v>
      </c>
      <c r="F1146" s="17" t="s">
        <v>806</v>
      </c>
      <c r="G1146" s="22" t="s">
        <v>1098</v>
      </c>
      <c r="H1146" s="12" t="s">
        <v>9703</v>
      </c>
      <c r="I1146" s="13" t="s">
        <v>6158</v>
      </c>
      <c r="J1146" s="14" t="s">
        <v>798</v>
      </c>
      <c r="K1146" s="15" t="s">
        <v>798</v>
      </c>
      <c r="L1146" s="12" t="s">
        <v>5315</v>
      </c>
      <c r="M1146" s="13" t="s">
        <v>5492</v>
      </c>
      <c r="N1146" s="12" t="s">
        <v>803</v>
      </c>
      <c r="O1146" s="13" t="s">
        <v>5103</v>
      </c>
      <c r="P1146" s="17" t="s">
        <v>802</v>
      </c>
      <c r="Q1146" s="21" t="s">
        <v>7722</v>
      </c>
      <c r="R1146" s="17" t="s">
        <v>801</v>
      </c>
      <c r="S1146" s="18" t="s">
        <v>2585</v>
      </c>
      <c r="T1146" s="17" t="s">
        <v>800</v>
      </c>
      <c r="U1146" s="18" t="s">
        <v>5238</v>
      </c>
      <c r="V1146" s="17" t="s">
        <v>9418</v>
      </c>
      <c r="W1146" s="18" t="s">
        <v>5309</v>
      </c>
      <c r="X1146" s="69" t="s">
        <v>9453</v>
      </c>
      <c r="Y1146" s="70" t="s">
        <v>9462</v>
      </c>
      <c r="Z1146" s="73" t="s">
        <v>9486</v>
      </c>
      <c r="AA1146" s="74" t="s">
        <v>9504</v>
      </c>
      <c r="AB1146" s="73" t="s">
        <v>9486</v>
      </c>
      <c r="AC1146" s="74" t="s">
        <v>9566</v>
      </c>
      <c r="AD1146" s="73" t="s">
        <v>9578</v>
      </c>
      <c r="AE1146" s="74" t="s">
        <v>9579</v>
      </c>
    </row>
    <row r="1147" spans="1:31" ht="8.65" customHeight="1" x14ac:dyDescent="0.2">
      <c r="A1147" s="76">
        <v>1147</v>
      </c>
      <c r="B1147" s="67" t="str">
        <f>MID(C1147, FIND("Ifc.", C1147) + 4, 4) &amp; "_" &amp; TEXT(COUNTIF($C$2:C1147, C1147),"0000")</f>
        <v>Prop_1146</v>
      </c>
      <c r="C1147" s="24" t="s">
        <v>872</v>
      </c>
      <c r="D1147" s="69" t="s">
        <v>9453</v>
      </c>
      <c r="E1147" s="70" t="s">
        <v>9454</v>
      </c>
      <c r="F1147" s="17" t="s">
        <v>806</v>
      </c>
      <c r="G1147" s="22" t="s">
        <v>1881</v>
      </c>
      <c r="H1147" s="12" t="s">
        <v>9703</v>
      </c>
      <c r="I1147" s="13" t="s">
        <v>6557</v>
      </c>
      <c r="J1147" s="14" t="s">
        <v>798</v>
      </c>
      <c r="K1147" s="15" t="s">
        <v>798</v>
      </c>
      <c r="L1147" s="12" t="s">
        <v>5315</v>
      </c>
      <c r="M1147" s="13" t="s">
        <v>5952</v>
      </c>
      <c r="N1147" s="12" t="s">
        <v>803</v>
      </c>
      <c r="O1147" s="13" t="s">
        <v>5041</v>
      </c>
      <c r="P1147" s="17" t="s">
        <v>802</v>
      </c>
      <c r="Q1147" s="21" t="s">
        <v>7986</v>
      </c>
      <c r="R1147" s="17" t="s">
        <v>801</v>
      </c>
      <c r="S1147" s="18" t="s">
        <v>2560</v>
      </c>
      <c r="T1147" s="17" t="s">
        <v>800</v>
      </c>
      <c r="U1147" s="18" t="s">
        <v>5236</v>
      </c>
      <c r="V1147" s="17" t="s">
        <v>9418</v>
      </c>
      <c r="W1147" s="18" t="s">
        <v>5309</v>
      </c>
      <c r="X1147" s="69" t="s">
        <v>9453</v>
      </c>
      <c r="Y1147" s="70" t="s">
        <v>9462</v>
      </c>
      <c r="Z1147" s="73" t="s">
        <v>9486</v>
      </c>
      <c r="AA1147" s="74" t="s">
        <v>9504</v>
      </c>
      <c r="AB1147" s="73" t="s">
        <v>9486</v>
      </c>
      <c r="AC1147" s="74" t="s">
        <v>9562</v>
      </c>
      <c r="AD1147" s="73" t="s">
        <v>9578</v>
      </c>
      <c r="AE1147" s="74" t="s">
        <v>9579</v>
      </c>
    </row>
    <row r="1148" spans="1:31" ht="8.65" customHeight="1" x14ac:dyDescent="0.2">
      <c r="A1148" s="76">
        <v>1148</v>
      </c>
      <c r="B1148" s="67" t="str">
        <f>MID(C1148, FIND("Ifc.", C1148) + 4, 4) &amp; "_" &amp; TEXT(COUNTIF($C$2:C1148, C1148),"0000")</f>
        <v>Prop_1147</v>
      </c>
      <c r="C1148" s="24" t="s">
        <v>872</v>
      </c>
      <c r="D1148" s="69" t="s">
        <v>9453</v>
      </c>
      <c r="E1148" s="70" t="s">
        <v>9454</v>
      </c>
      <c r="F1148" s="17" t="s">
        <v>806</v>
      </c>
      <c r="G1148" s="22" t="s">
        <v>1267</v>
      </c>
      <c r="H1148" s="12" t="s">
        <v>9703</v>
      </c>
      <c r="I1148" s="13" t="s">
        <v>7375</v>
      </c>
      <c r="J1148" s="14" t="s">
        <v>798</v>
      </c>
      <c r="K1148" s="15" t="s">
        <v>798</v>
      </c>
      <c r="L1148" s="12" t="s">
        <v>5315</v>
      </c>
      <c r="M1148" s="13" t="s">
        <v>5404</v>
      </c>
      <c r="N1148" s="12" t="s">
        <v>803</v>
      </c>
      <c r="O1148" s="13" t="s">
        <v>4892</v>
      </c>
      <c r="P1148" s="17" t="s">
        <v>802</v>
      </c>
      <c r="Q1148" s="21" t="s">
        <v>7965</v>
      </c>
      <c r="R1148" s="17" t="s">
        <v>801</v>
      </c>
      <c r="S1148" s="18" t="s">
        <v>2554</v>
      </c>
      <c r="T1148" s="17" t="s">
        <v>800</v>
      </c>
      <c r="U1148" s="18" t="s">
        <v>5233</v>
      </c>
      <c r="V1148" s="17" t="s">
        <v>9418</v>
      </c>
      <c r="W1148" s="18" t="s">
        <v>5309</v>
      </c>
      <c r="X1148" s="69" t="s">
        <v>9453</v>
      </c>
      <c r="Y1148" s="70" t="s">
        <v>9462</v>
      </c>
      <c r="Z1148" s="73" t="s">
        <v>9486</v>
      </c>
      <c r="AA1148" s="74" t="s">
        <v>9504</v>
      </c>
      <c r="AB1148" s="73" t="s">
        <v>9486</v>
      </c>
      <c r="AC1148" s="74" t="s">
        <v>9562</v>
      </c>
      <c r="AD1148" s="73" t="s">
        <v>9578</v>
      </c>
      <c r="AE1148" s="74" t="s">
        <v>9579</v>
      </c>
    </row>
    <row r="1149" spans="1:31" ht="8.65" customHeight="1" x14ac:dyDescent="0.2">
      <c r="A1149" s="76">
        <v>1149</v>
      </c>
      <c r="B1149" s="67" t="str">
        <f>MID(C1149, FIND("Ifc.", C1149) + 4, 4) &amp; "_" &amp; TEXT(COUNTIF($C$2:C1149, C1149),"0000")</f>
        <v>Prop_1148</v>
      </c>
      <c r="C1149" s="24" t="s">
        <v>872</v>
      </c>
      <c r="D1149" s="69" t="s">
        <v>9453</v>
      </c>
      <c r="E1149" s="70" t="s">
        <v>9454</v>
      </c>
      <c r="F1149" s="17" t="s">
        <v>806</v>
      </c>
      <c r="G1149" s="22" t="s">
        <v>1477</v>
      </c>
      <c r="H1149" s="12" t="s">
        <v>9703</v>
      </c>
      <c r="I1149" s="13" t="s">
        <v>6266</v>
      </c>
      <c r="J1149" s="14" t="s">
        <v>798</v>
      </c>
      <c r="K1149" s="15" t="s">
        <v>798</v>
      </c>
      <c r="L1149" s="12" t="s">
        <v>5315</v>
      </c>
      <c r="M1149" s="13" t="s">
        <v>5811</v>
      </c>
      <c r="N1149" s="12" t="s">
        <v>803</v>
      </c>
      <c r="O1149" s="13" t="s">
        <v>4945</v>
      </c>
      <c r="P1149" s="17" t="s">
        <v>802</v>
      </c>
      <c r="Q1149" s="21" t="s">
        <v>7698</v>
      </c>
      <c r="R1149" s="17" t="s">
        <v>801</v>
      </c>
      <c r="S1149" s="18" t="s">
        <v>2590</v>
      </c>
      <c r="T1149" s="17" t="s">
        <v>800</v>
      </c>
      <c r="U1149" s="18" t="s">
        <v>5274</v>
      </c>
      <c r="V1149" s="17" t="s">
        <v>9418</v>
      </c>
      <c r="W1149" s="18" t="s">
        <v>5309</v>
      </c>
      <c r="X1149" s="69" t="s">
        <v>9453</v>
      </c>
      <c r="Y1149" s="70" t="s">
        <v>9462</v>
      </c>
      <c r="Z1149" s="73" t="s">
        <v>9486</v>
      </c>
      <c r="AA1149" s="74" t="s">
        <v>9504</v>
      </c>
      <c r="AB1149" s="73" t="s">
        <v>9486</v>
      </c>
      <c r="AC1149" s="74" t="s">
        <v>9566</v>
      </c>
      <c r="AD1149" s="73" t="s">
        <v>9578</v>
      </c>
      <c r="AE1149" s="74" t="s">
        <v>9618</v>
      </c>
    </row>
    <row r="1150" spans="1:31" ht="8.65" customHeight="1" x14ac:dyDescent="0.2">
      <c r="A1150" s="76">
        <v>1150</v>
      </c>
      <c r="B1150" s="67" t="str">
        <f>MID(C1150, FIND("Ifc.", C1150) + 4, 4) &amp; "_" &amp; TEXT(COUNTIF($C$2:C1150, C1150),"0000")</f>
        <v>Prop_1149</v>
      </c>
      <c r="C1150" s="24" t="s">
        <v>872</v>
      </c>
      <c r="D1150" s="69" t="s">
        <v>9453</v>
      </c>
      <c r="E1150" s="70" t="s">
        <v>9454</v>
      </c>
      <c r="F1150" s="17" t="s">
        <v>806</v>
      </c>
      <c r="G1150" s="22" t="s">
        <v>1477</v>
      </c>
      <c r="H1150" s="12" t="s">
        <v>9703</v>
      </c>
      <c r="I1150" s="13" t="s">
        <v>6266</v>
      </c>
      <c r="J1150" s="14" t="s">
        <v>798</v>
      </c>
      <c r="K1150" s="15" t="s">
        <v>798</v>
      </c>
      <c r="L1150" s="12" t="s">
        <v>5315</v>
      </c>
      <c r="M1150" s="13" t="s">
        <v>5812</v>
      </c>
      <c r="N1150" s="12" t="s">
        <v>803</v>
      </c>
      <c r="O1150" s="13" t="s">
        <v>4946</v>
      </c>
      <c r="P1150" s="17" t="s">
        <v>802</v>
      </c>
      <c r="Q1150" s="21" t="s">
        <v>7895</v>
      </c>
      <c r="R1150" s="17" t="s">
        <v>801</v>
      </c>
      <c r="S1150" s="18" t="s">
        <v>2590</v>
      </c>
      <c r="T1150" s="17" t="s">
        <v>800</v>
      </c>
      <c r="U1150" s="18" t="s">
        <v>5274</v>
      </c>
      <c r="V1150" s="17" t="s">
        <v>9418</v>
      </c>
      <c r="W1150" s="18" t="s">
        <v>5309</v>
      </c>
      <c r="X1150" s="69" t="s">
        <v>9453</v>
      </c>
      <c r="Y1150" s="70" t="s">
        <v>9462</v>
      </c>
      <c r="Z1150" s="73" t="s">
        <v>9486</v>
      </c>
      <c r="AA1150" s="74" t="s">
        <v>9504</v>
      </c>
      <c r="AB1150" s="73" t="s">
        <v>9486</v>
      </c>
      <c r="AC1150" s="74" t="s">
        <v>9566</v>
      </c>
      <c r="AD1150" s="73" t="s">
        <v>9578</v>
      </c>
      <c r="AE1150" s="74" t="s">
        <v>9618</v>
      </c>
    </row>
    <row r="1151" spans="1:31" ht="8.65" customHeight="1" x14ac:dyDescent="0.2">
      <c r="A1151" s="76">
        <v>1151</v>
      </c>
      <c r="B1151" s="67" t="str">
        <f>MID(C1151, FIND("Ifc.", C1151) + 4, 4) &amp; "_" &amp; TEXT(COUNTIF($C$2:C1151, C1151),"0000")</f>
        <v>Prop_1150</v>
      </c>
      <c r="C1151" s="24" t="s">
        <v>872</v>
      </c>
      <c r="D1151" s="69" t="s">
        <v>9453</v>
      </c>
      <c r="E1151" s="70" t="s">
        <v>9454</v>
      </c>
      <c r="F1151" s="17" t="s">
        <v>806</v>
      </c>
      <c r="G1151" s="22" t="s">
        <v>2460</v>
      </c>
      <c r="H1151" s="12" t="s">
        <v>9703</v>
      </c>
      <c r="I1151" s="13" t="s">
        <v>6872</v>
      </c>
      <c r="J1151" s="14" t="s">
        <v>798</v>
      </c>
      <c r="K1151" s="15" t="s">
        <v>798</v>
      </c>
      <c r="L1151" s="12" t="s">
        <v>5315</v>
      </c>
      <c r="M1151" s="13" t="s">
        <v>6025</v>
      </c>
      <c r="N1151" s="12" t="s">
        <v>803</v>
      </c>
      <c r="O1151" s="13" t="s">
        <v>5211</v>
      </c>
      <c r="P1151" s="17" t="s">
        <v>802</v>
      </c>
      <c r="Q1151" s="21" t="s">
        <v>7938</v>
      </c>
      <c r="R1151" s="17" t="s">
        <v>801</v>
      </c>
      <c r="S1151" s="18" t="s">
        <v>2578</v>
      </c>
      <c r="T1151" s="17" t="s">
        <v>800</v>
      </c>
      <c r="U1151" s="18" t="s">
        <v>5244</v>
      </c>
      <c r="V1151" s="17" t="s">
        <v>9418</v>
      </c>
      <c r="W1151" s="18" t="s">
        <v>5309</v>
      </c>
      <c r="X1151" s="69" t="s">
        <v>9453</v>
      </c>
      <c r="Y1151" s="70" t="s">
        <v>9462</v>
      </c>
      <c r="Z1151" s="73" t="s">
        <v>9486</v>
      </c>
      <c r="AA1151" s="74" t="s">
        <v>9504</v>
      </c>
      <c r="AB1151" s="73" t="s">
        <v>9486</v>
      </c>
      <c r="AC1151" s="74" t="s">
        <v>9566</v>
      </c>
      <c r="AD1151" s="73" t="s">
        <v>9578</v>
      </c>
      <c r="AE1151" s="74" t="s">
        <v>9579</v>
      </c>
    </row>
    <row r="1152" spans="1:31" ht="8.65" customHeight="1" x14ac:dyDescent="0.2">
      <c r="A1152" s="76">
        <v>1152</v>
      </c>
      <c r="B1152" s="67" t="str">
        <f>MID(C1152, FIND("Ifc.", C1152) + 4, 4) &amp; "_" &amp; TEXT(COUNTIF($C$2:C1152, C1152),"0000")</f>
        <v>Prop_1151</v>
      </c>
      <c r="C1152" s="24" t="s">
        <v>872</v>
      </c>
      <c r="D1152" s="69" t="s">
        <v>9453</v>
      </c>
      <c r="E1152" s="70" t="s">
        <v>9454</v>
      </c>
      <c r="F1152" s="17" t="s">
        <v>806</v>
      </c>
      <c r="G1152" s="22" t="s">
        <v>2313</v>
      </c>
      <c r="H1152" s="12" t="s">
        <v>9703</v>
      </c>
      <c r="I1152" s="13" t="s">
        <v>6950</v>
      </c>
      <c r="J1152" s="14" t="s">
        <v>798</v>
      </c>
      <c r="K1152" s="15" t="s">
        <v>798</v>
      </c>
      <c r="L1152" s="12" t="s">
        <v>5315</v>
      </c>
      <c r="M1152" s="13" t="s">
        <v>5555</v>
      </c>
      <c r="N1152" s="12" t="s">
        <v>803</v>
      </c>
      <c r="O1152" s="13" t="s">
        <v>5025</v>
      </c>
      <c r="P1152" s="17" t="s">
        <v>802</v>
      </c>
      <c r="Q1152" s="21" t="s">
        <v>7747</v>
      </c>
      <c r="R1152" s="17" t="s">
        <v>801</v>
      </c>
      <c r="S1152" s="18" t="s">
        <v>2585</v>
      </c>
      <c r="T1152" s="17" t="s">
        <v>800</v>
      </c>
      <c r="U1152" s="18" t="s">
        <v>5238</v>
      </c>
      <c r="V1152" s="17" t="s">
        <v>9418</v>
      </c>
      <c r="W1152" s="18" t="s">
        <v>5309</v>
      </c>
      <c r="X1152" s="69" t="s">
        <v>9453</v>
      </c>
      <c r="Y1152" s="70" t="s">
        <v>9462</v>
      </c>
      <c r="Z1152" s="73" t="s">
        <v>9486</v>
      </c>
      <c r="AA1152" s="74" t="s">
        <v>9504</v>
      </c>
      <c r="AB1152" s="73" t="s">
        <v>9486</v>
      </c>
      <c r="AC1152" s="74" t="s">
        <v>9566</v>
      </c>
      <c r="AD1152" s="73" t="s">
        <v>9578</v>
      </c>
      <c r="AE1152" s="74" t="s">
        <v>9579</v>
      </c>
    </row>
    <row r="1153" spans="1:31" ht="8.65" customHeight="1" x14ac:dyDescent="0.2">
      <c r="A1153" s="76">
        <v>1153</v>
      </c>
      <c r="B1153" s="67" t="str">
        <f>MID(C1153, FIND("Ifc.", C1153) + 4, 4) &amp; "_" &amp; TEXT(COUNTIF($C$2:C1153, C1153),"0000")</f>
        <v>Prop_1152</v>
      </c>
      <c r="C1153" s="24" t="s">
        <v>872</v>
      </c>
      <c r="D1153" s="69" t="s">
        <v>9453</v>
      </c>
      <c r="E1153" s="70" t="s">
        <v>9454</v>
      </c>
      <c r="F1153" s="17" t="s">
        <v>806</v>
      </c>
      <c r="G1153" s="22" t="s">
        <v>1472</v>
      </c>
      <c r="H1153" s="12" t="s">
        <v>9703</v>
      </c>
      <c r="I1153" s="13" t="s">
        <v>7373</v>
      </c>
      <c r="J1153" s="14" t="s">
        <v>798</v>
      </c>
      <c r="K1153" s="15" t="s">
        <v>798</v>
      </c>
      <c r="L1153" s="12" t="s">
        <v>5315</v>
      </c>
      <c r="M1153" s="13" t="s">
        <v>5813</v>
      </c>
      <c r="N1153" s="12" t="s">
        <v>803</v>
      </c>
      <c r="O1153" s="13" t="s">
        <v>4947</v>
      </c>
      <c r="P1153" s="17" t="s">
        <v>802</v>
      </c>
      <c r="Q1153" s="21" t="s">
        <v>7794</v>
      </c>
      <c r="R1153" s="17" t="s">
        <v>801</v>
      </c>
      <c r="S1153" s="18" t="s">
        <v>2632</v>
      </c>
      <c r="T1153" s="17" t="s">
        <v>800</v>
      </c>
      <c r="U1153" s="18" t="s">
        <v>5270</v>
      </c>
      <c r="V1153" s="17" t="s">
        <v>9418</v>
      </c>
      <c r="W1153" s="18" t="s">
        <v>5309</v>
      </c>
      <c r="X1153" s="69" t="s">
        <v>9453</v>
      </c>
      <c r="Y1153" s="70" t="s">
        <v>9462</v>
      </c>
      <c r="Z1153" s="73" t="s">
        <v>9486</v>
      </c>
      <c r="AA1153" s="74" t="s">
        <v>9504</v>
      </c>
      <c r="AB1153" s="73" t="s">
        <v>9486</v>
      </c>
      <c r="AC1153" s="74" t="s">
        <v>9561</v>
      </c>
      <c r="AD1153" s="73" t="s">
        <v>9578</v>
      </c>
      <c r="AE1153" s="74" t="s">
        <v>9579</v>
      </c>
    </row>
    <row r="1154" spans="1:31" ht="8.65" customHeight="1" x14ac:dyDescent="0.2">
      <c r="A1154" s="76">
        <v>1154</v>
      </c>
      <c r="B1154" s="67" t="str">
        <f>MID(C1154, FIND("Ifc.", C1154) + 4, 4) &amp; "_" &amp; TEXT(COUNTIF($C$2:C1154, C1154),"0000")</f>
        <v>Prop_1153</v>
      </c>
      <c r="C1154" s="24" t="s">
        <v>872</v>
      </c>
      <c r="D1154" s="69" t="s">
        <v>9453</v>
      </c>
      <c r="E1154" s="70" t="s">
        <v>9454</v>
      </c>
      <c r="F1154" s="17" t="s">
        <v>806</v>
      </c>
      <c r="G1154" s="22" t="s">
        <v>1472</v>
      </c>
      <c r="H1154" s="12" t="s">
        <v>9703</v>
      </c>
      <c r="I1154" s="13" t="s">
        <v>7373</v>
      </c>
      <c r="J1154" s="14" t="s">
        <v>798</v>
      </c>
      <c r="K1154" s="15" t="s">
        <v>798</v>
      </c>
      <c r="L1154" s="12" t="s">
        <v>5315</v>
      </c>
      <c r="M1154" s="13" t="s">
        <v>5811</v>
      </c>
      <c r="N1154" s="12" t="s">
        <v>803</v>
      </c>
      <c r="O1154" s="13" t="s">
        <v>4945</v>
      </c>
      <c r="P1154" s="17" t="s">
        <v>802</v>
      </c>
      <c r="Q1154" s="21" t="s">
        <v>7698</v>
      </c>
      <c r="R1154" s="17" t="s">
        <v>801</v>
      </c>
      <c r="S1154" s="18" t="s">
        <v>2632</v>
      </c>
      <c r="T1154" s="17" t="s">
        <v>800</v>
      </c>
      <c r="U1154" s="18" t="s">
        <v>5270</v>
      </c>
      <c r="V1154" s="17" t="s">
        <v>9418</v>
      </c>
      <c r="W1154" s="18" t="s">
        <v>5309</v>
      </c>
      <c r="X1154" s="69" t="s">
        <v>9453</v>
      </c>
      <c r="Y1154" s="70" t="s">
        <v>9462</v>
      </c>
      <c r="Z1154" s="73" t="s">
        <v>9486</v>
      </c>
      <c r="AA1154" s="74" t="s">
        <v>9504</v>
      </c>
      <c r="AB1154" s="73" t="s">
        <v>9486</v>
      </c>
      <c r="AC1154" s="74" t="s">
        <v>9561</v>
      </c>
      <c r="AD1154" s="73" t="s">
        <v>9578</v>
      </c>
      <c r="AE1154" s="74" t="s">
        <v>9579</v>
      </c>
    </row>
    <row r="1155" spans="1:31" ht="8.65" customHeight="1" x14ac:dyDescent="0.2">
      <c r="A1155" s="76">
        <v>1155</v>
      </c>
      <c r="B1155" s="67" t="str">
        <f>MID(C1155, FIND("Ifc.", C1155) + 4, 4) &amp; "_" &amp; TEXT(COUNTIF($C$2:C1155, C1155),"0000")</f>
        <v>Prop_1154</v>
      </c>
      <c r="C1155" s="24" t="s">
        <v>872</v>
      </c>
      <c r="D1155" s="69" t="s">
        <v>9453</v>
      </c>
      <c r="E1155" s="70" t="s">
        <v>9454</v>
      </c>
      <c r="F1155" s="17" t="s">
        <v>806</v>
      </c>
      <c r="G1155" s="22" t="s">
        <v>1472</v>
      </c>
      <c r="H1155" s="12" t="s">
        <v>9703</v>
      </c>
      <c r="I1155" s="13" t="s">
        <v>7373</v>
      </c>
      <c r="J1155" s="14" t="s">
        <v>798</v>
      </c>
      <c r="K1155" s="15" t="s">
        <v>798</v>
      </c>
      <c r="L1155" s="12" t="s">
        <v>5315</v>
      </c>
      <c r="M1155" s="13" t="s">
        <v>5812</v>
      </c>
      <c r="N1155" s="12" t="s">
        <v>803</v>
      </c>
      <c r="O1155" s="13" t="s">
        <v>4946</v>
      </c>
      <c r="P1155" s="17" t="s">
        <v>802</v>
      </c>
      <c r="Q1155" s="21" t="s">
        <v>7895</v>
      </c>
      <c r="R1155" s="17" t="s">
        <v>801</v>
      </c>
      <c r="S1155" s="18" t="s">
        <v>2632</v>
      </c>
      <c r="T1155" s="17" t="s">
        <v>800</v>
      </c>
      <c r="U1155" s="18" t="s">
        <v>5270</v>
      </c>
      <c r="V1155" s="17" t="s">
        <v>9418</v>
      </c>
      <c r="W1155" s="18" t="s">
        <v>5309</v>
      </c>
      <c r="X1155" s="69" t="s">
        <v>9453</v>
      </c>
      <c r="Y1155" s="70" t="s">
        <v>9462</v>
      </c>
      <c r="Z1155" s="73" t="s">
        <v>9486</v>
      </c>
      <c r="AA1155" s="74" t="s">
        <v>9504</v>
      </c>
      <c r="AB1155" s="73" t="s">
        <v>9486</v>
      </c>
      <c r="AC1155" s="74" t="s">
        <v>9561</v>
      </c>
      <c r="AD1155" s="73" t="s">
        <v>9578</v>
      </c>
      <c r="AE1155" s="74" t="s">
        <v>9579</v>
      </c>
    </row>
    <row r="1156" spans="1:31" ht="8.65" customHeight="1" x14ac:dyDescent="0.2">
      <c r="A1156" s="76">
        <v>1156</v>
      </c>
      <c r="B1156" s="67" t="str">
        <f>MID(C1156, FIND("Ifc.", C1156) + 4, 4) &amp; "_" &amp; TEXT(COUNTIF($C$2:C1156, C1156),"0000")</f>
        <v>Prop_1155</v>
      </c>
      <c r="C1156" s="24" t="s">
        <v>872</v>
      </c>
      <c r="D1156" s="69" t="s">
        <v>9453</v>
      </c>
      <c r="E1156" s="70" t="s">
        <v>9454</v>
      </c>
      <c r="F1156" s="17" t="s">
        <v>806</v>
      </c>
      <c r="G1156" s="22" t="s">
        <v>1479</v>
      </c>
      <c r="H1156" s="12" t="s">
        <v>9703</v>
      </c>
      <c r="I1156" s="13" t="s">
        <v>7374</v>
      </c>
      <c r="J1156" s="14" t="s">
        <v>798</v>
      </c>
      <c r="K1156" s="15" t="s">
        <v>798</v>
      </c>
      <c r="L1156" s="12" t="s">
        <v>5315</v>
      </c>
      <c r="M1156" s="13" t="s">
        <v>5813</v>
      </c>
      <c r="N1156" s="12" t="s">
        <v>803</v>
      </c>
      <c r="O1156" s="13" t="s">
        <v>4947</v>
      </c>
      <c r="P1156" s="17" t="s">
        <v>802</v>
      </c>
      <c r="Q1156" s="21" t="s">
        <v>7794</v>
      </c>
      <c r="R1156" s="17" t="s">
        <v>801</v>
      </c>
      <c r="S1156" s="18" t="s">
        <v>2590</v>
      </c>
      <c r="T1156" s="17" t="s">
        <v>800</v>
      </c>
      <c r="U1156" s="18" t="s">
        <v>5274</v>
      </c>
      <c r="V1156" s="17" t="s">
        <v>9418</v>
      </c>
      <c r="W1156" s="18" t="s">
        <v>5309</v>
      </c>
      <c r="X1156" s="69" t="s">
        <v>9453</v>
      </c>
      <c r="Y1156" s="70" t="s">
        <v>9462</v>
      </c>
      <c r="Z1156" s="73" t="s">
        <v>9486</v>
      </c>
      <c r="AA1156" s="74" t="s">
        <v>9504</v>
      </c>
      <c r="AB1156" s="73" t="s">
        <v>9486</v>
      </c>
      <c r="AC1156" s="74" t="s">
        <v>9566</v>
      </c>
      <c r="AD1156" s="73" t="s">
        <v>9578</v>
      </c>
      <c r="AE1156" s="74" t="s">
        <v>9579</v>
      </c>
    </row>
    <row r="1157" spans="1:31" ht="8.65" customHeight="1" x14ac:dyDescent="0.2">
      <c r="A1157" s="76">
        <v>1157</v>
      </c>
      <c r="B1157" s="67" t="str">
        <f>MID(C1157, FIND("Ifc.", C1157) + 4, 4) &amp; "_" &amp; TEXT(COUNTIF($C$2:C1157, C1157),"0000")</f>
        <v>Prop_1156</v>
      </c>
      <c r="C1157" s="24" t="s">
        <v>872</v>
      </c>
      <c r="D1157" s="69" t="s">
        <v>9453</v>
      </c>
      <c r="E1157" s="70" t="s">
        <v>9454</v>
      </c>
      <c r="F1157" s="17" t="s">
        <v>806</v>
      </c>
      <c r="G1157" s="22" t="s">
        <v>1479</v>
      </c>
      <c r="H1157" s="12" t="s">
        <v>9703</v>
      </c>
      <c r="I1157" s="13" t="s">
        <v>7374</v>
      </c>
      <c r="J1157" s="14" t="s">
        <v>798</v>
      </c>
      <c r="K1157" s="15" t="s">
        <v>798</v>
      </c>
      <c r="L1157" s="12" t="s">
        <v>5315</v>
      </c>
      <c r="M1157" s="13" t="s">
        <v>5811</v>
      </c>
      <c r="N1157" s="12" t="s">
        <v>803</v>
      </c>
      <c r="O1157" s="13" t="s">
        <v>4945</v>
      </c>
      <c r="P1157" s="17" t="s">
        <v>802</v>
      </c>
      <c r="Q1157" s="21" t="s">
        <v>7698</v>
      </c>
      <c r="R1157" s="17" t="s">
        <v>801</v>
      </c>
      <c r="S1157" s="18" t="s">
        <v>2590</v>
      </c>
      <c r="T1157" s="17" t="s">
        <v>800</v>
      </c>
      <c r="U1157" s="18" t="s">
        <v>5274</v>
      </c>
      <c r="V1157" s="17" t="s">
        <v>9418</v>
      </c>
      <c r="W1157" s="18" t="s">
        <v>5309</v>
      </c>
      <c r="X1157" s="69" t="s">
        <v>9453</v>
      </c>
      <c r="Y1157" s="70" t="s">
        <v>9462</v>
      </c>
      <c r="Z1157" s="73" t="s">
        <v>9486</v>
      </c>
      <c r="AA1157" s="74" t="s">
        <v>9504</v>
      </c>
      <c r="AB1157" s="73" t="s">
        <v>9486</v>
      </c>
      <c r="AC1157" s="74" t="s">
        <v>9566</v>
      </c>
      <c r="AD1157" s="73" t="s">
        <v>9578</v>
      </c>
      <c r="AE1157" s="74" t="s">
        <v>9579</v>
      </c>
    </row>
    <row r="1158" spans="1:31" ht="8.65" customHeight="1" x14ac:dyDescent="0.2">
      <c r="A1158" s="76">
        <v>1158</v>
      </c>
      <c r="B1158" s="67" t="str">
        <f>MID(C1158, FIND("Ifc.", C1158) + 4, 4) &amp; "_" &amp; TEXT(COUNTIF($C$2:C1158, C1158),"0000")</f>
        <v>Prop_1157</v>
      </c>
      <c r="C1158" s="24" t="s">
        <v>872</v>
      </c>
      <c r="D1158" s="69" t="s">
        <v>9453</v>
      </c>
      <c r="E1158" s="70" t="s">
        <v>9454</v>
      </c>
      <c r="F1158" s="17" t="s">
        <v>806</v>
      </c>
      <c r="G1158" s="22" t="s">
        <v>1479</v>
      </c>
      <c r="H1158" s="12" t="s">
        <v>9703</v>
      </c>
      <c r="I1158" s="13" t="s">
        <v>7374</v>
      </c>
      <c r="J1158" s="14" t="s">
        <v>798</v>
      </c>
      <c r="K1158" s="15" t="s">
        <v>798</v>
      </c>
      <c r="L1158" s="12" t="s">
        <v>5315</v>
      </c>
      <c r="M1158" s="13" t="s">
        <v>5812</v>
      </c>
      <c r="N1158" s="12" t="s">
        <v>803</v>
      </c>
      <c r="O1158" s="13" t="s">
        <v>4946</v>
      </c>
      <c r="P1158" s="17" t="s">
        <v>802</v>
      </c>
      <c r="Q1158" s="21" t="s">
        <v>7895</v>
      </c>
      <c r="R1158" s="17" t="s">
        <v>801</v>
      </c>
      <c r="S1158" s="18" t="s">
        <v>2590</v>
      </c>
      <c r="T1158" s="17" t="s">
        <v>800</v>
      </c>
      <c r="U1158" s="18" t="s">
        <v>5274</v>
      </c>
      <c r="V1158" s="17" t="s">
        <v>9418</v>
      </c>
      <c r="W1158" s="18" t="s">
        <v>5309</v>
      </c>
      <c r="X1158" s="69" t="s">
        <v>9453</v>
      </c>
      <c r="Y1158" s="70" t="s">
        <v>9462</v>
      </c>
      <c r="Z1158" s="73" t="s">
        <v>9486</v>
      </c>
      <c r="AA1158" s="74" t="s">
        <v>9504</v>
      </c>
      <c r="AB1158" s="73" t="s">
        <v>9486</v>
      </c>
      <c r="AC1158" s="74" t="s">
        <v>9566</v>
      </c>
      <c r="AD1158" s="73" t="s">
        <v>9578</v>
      </c>
      <c r="AE1158" s="74" t="s">
        <v>9579</v>
      </c>
    </row>
    <row r="1159" spans="1:31" ht="8.65" customHeight="1" x14ac:dyDescent="0.2">
      <c r="A1159" s="76">
        <v>1159</v>
      </c>
      <c r="B1159" s="67" t="str">
        <f>MID(C1159, FIND("Ifc.", C1159) + 4, 4) &amp; "_" &amp; TEXT(COUNTIF($C$2:C1159, C1159),"0000")</f>
        <v>Prop_1158</v>
      </c>
      <c r="C1159" s="24" t="s">
        <v>872</v>
      </c>
      <c r="D1159" s="69" t="s">
        <v>9453</v>
      </c>
      <c r="E1159" s="70" t="s">
        <v>9454</v>
      </c>
      <c r="F1159" s="17" t="s">
        <v>806</v>
      </c>
      <c r="G1159" s="22" t="s">
        <v>1417</v>
      </c>
      <c r="H1159" s="12" t="s">
        <v>9703</v>
      </c>
      <c r="I1159" s="13" t="s">
        <v>6875</v>
      </c>
      <c r="J1159" s="14" t="s">
        <v>798</v>
      </c>
      <c r="K1159" s="15" t="s">
        <v>798</v>
      </c>
      <c r="L1159" s="12" t="s">
        <v>5315</v>
      </c>
      <c r="M1159" s="13" t="s">
        <v>5432</v>
      </c>
      <c r="N1159" s="12" t="s">
        <v>803</v>
      </c>
      <c r="O1159" s="13" t="s">
        <v>4931</v>
      </c>
      <c r="P1159" s="17" t="s">
        <v>802</v>
      </c>
      <c r="Q1159" s="21" t="s">
        <v>7760</v>
      </c>
      <c r="R1159" s="17" t="s">
        <v>801</v>
      </c>
      <c r="S1159" s="18" t="s">
        <v>2554</v>
      </c>
      <c r="T1159" s="17" t="s">
        <v>800</v>
      </c>
      <c r="U1159" s="18" t="s">
        <v>5233</v>
      </c>
      <c r="V1159" s="17" t="s">
        <v>9418</v>
      </c>
      <c r="W1159" s="18" t="s">
        <v>5310</v>
      </c>
      <c r="X1159" s="69" t="s">
        <v>9453</v>
      </c>
      <c r="Y1159" s="70" t="s">
        <v>9463</v>
      </c>
      <c r="Z1159" s="73" t="s">
        <v>9486</v>
      </c>
      <c r="AA1159" s="74" t="s">
        <v>9504</v>
      </c>
      <c r="AB1159" s="73" t="s">
        <v>9486</v>
      </c>
      <c r="AC1159" s="74" t="s">
        <v>9562</v>
      </c>
      <c r="AD1159" s="73" t="s">
        <v>9578</v>
      </c>
      <c r="AE1159" s="74" t="s">
        <v>9579</v>
      </c>
    </row>
    <row r="1160" spans="1:31" ht="8.65" customHeight="1" x14ac:dyDescent="0.2">
      <c r="A1160" s="76">
        <v>1160</v>
      </c>
      <c r="B1160" s="67" t="str">
        <f>MID(C1160, FIND("Ifc.", C1160) + 4, 4) &amp; "_" &amp; TEXT(COUNTIF($C$2:C1160, C1160),"0000")</f>
        <v>Prop_1159</v>
      </c>
      <c r="C1160" s="24" t="s">
        <v>872</v>
      </c>
      <c r="D1160" s="69" t="s">
        <v>9453</v>
      </c>
      <c r="E1160" s="70" t="s">
        <v>9454</v>
      </c>
      <c r="F1160" s="17" t="s">
        <v>806</v>
      </c>
      <c r="G1160" s="22" t="s">
        <v>2226</v>
      </c>
      <c r="H1160" s="12" t="s">
        <v>9703</v>
      </c>
      <c r="I1160" s="13" t="s">
        <v>7656</v>
      </c>
      <c r="J1160" s="14" t="s">
        <v>798</v>
      </c>
      <c r="K1160" s="15" t="s">
        <v>798</v>
      </c>
      <c r="L1160" s="12" t="s">
        <v>5315</v>
      </c>
      <c r="M1160" s="13" t="s">
        <v>5514</v>
      </c>
      <c r="N1160" s="12" t="s">
        <v>803</v>
      </c>
      <c r="O1160" s="13" t="s">
        <v>5128</v>
      </c>
      <c r="P1160" s="17" t="s">
        <v>802</v>
      </c>
      <c r="Q1160" s="21" t="s">
        <v>7773</v>
      </c>
      <c r="R1160" s="17" t="s">
        <v>801</v>
      </c>
      <c r="S1160" s="18" t="s">
        <v>2560</v>
      </c>
      <c r="T1160" s="17" t="s">
        <v>800</v>
      </c>
      <c r="U1160" s="18" t="s">
        <v>5236</v>
      </c>
      <c r="V1160" s="17" t="s">
        <v>9418</v>
      </c>
      <c r="W1160" s="18" t="s">
        <v>5309</v>
      </c>
      <c r="X1160" s="69" t="s">
        <v>9453</v>
      </c>
      <c r="Y1160" s="70" t="s">
        <v>9462</v>
      </c>
      <c r="Z1160" s="73" t="s">
        <v>9486</v>
      </c>
      <c r="AA1160" s="74" t="s">
        <v>9504</v>
      </c>
      <c r="AB1160" s="73" t="s">
        <v>9486</v>
      </c>
      <c r="AC1160" s="74" t="s">
        <v>9562</v>
      </c>
      <c r="AD1160" s="73" t="s">
        <v>9578</v>
      </c>
      <c r="AE1160" s="74" t="s">
        <v>9579</v>
      </c>
    </row>
    <row r="1161" spans="1:31" ht="8.65" customHeight="1" x14ac:dyDescent="0.2">
      <c r="A1161" s="76">
        <v>1161</v>
      </c>
      <c r="B1161" s="67" t="str">
        <f>MID(C1161, FIND("Ifc.", C1161) + 4, 4) &amp; "_" &amp; TEXT(COUNTIF($C$2:C1161, C1161),"0000")</f>
        <v>Prop_1160</v>
      </c>
      <c r="C1161" s="24" t="s">
        <v>872</v>
      </c>
      <c r="D1161" s="69" t="s">
        <v>9453</v>
      </c>
      <c r="E1161" s="70" t="s">
        <v>9454</v>
      </c>
      <c r="F1161" s="17" t="s">
        <v>806</v>
      </c>
      <c r="G1161" s="22" t="s">
        <v>2226</v>
      </c>
      <c r="H1161" s="12" t="s">
        <v>9703</v>
      </c>
      <c r="I1161" s="13" t="s">
        <v>7656</v>
      </c>
      <c r="J1161" s="14" t="s">
        <v>798</v>
      </c>
      <c r="K1161" s="15" t="s">
        <v>798</v>
      </c>
      <c r="L1161" s="12" t="s">
        <v>5315</v>
      </c>
      <c r="M1161" s="13" t="s">
        <v>5509</v>
      </c>
      <c r="N1161" s="12" t="s">
        <v>803</v>
      </c>
      <c r="O1161" s="13" t="s">
        <v>5122</v>
      </c>
      <c r="P1161" s="17" t="s">
        <v>802</v>
      </c>
      <c r="Q1161" s="21" t="s">
        <v>7780</v>
      </c>
      <c r="R1161" s="17" t="s">
        <v>801</v>
      </c>
      <c r="S1161" s="18" t="s">
        <v>2560</v>
      </c>
      <c r="T1161" s="17" t="s">
        <v>800</v>
      </c>
      <c r="U1161" s="18" t="s">
        <v>5236</v>
      </c>
      <c r="V1161" s="17" t="s">
        <v>9418</v>
      </c>
      <c r="W1161" s="18" t="s">
        <v>5309</v>
      </c>
      <c r="X1161" s="69" t="s">
        <v>9453</v>
      </c>
      <c r="Y1161" s="70" t="s">
        <v>9462</v>
      </c>
      <c r="Z1161" s="73" t="s">
        <v>9486</v>
      </c>
      <c r="AA1161" s="74" t="s">
        <v>9504</v>
      </c>
      <c r="AB1161" s="73" t="s">
        <v>9486</v>
      </c>
      <c r="AC1161" s="74" t="s">
        <v>9562</v>
      </c>
      <c r="AD1161" s="73" t="s">
        <v>9578</v>
      </c>
      <c r="AE1161" s="74" t="s">
        <v>9579</v>
      </c>
    </row>
    <row r="1162" spans="1:31" ht="8.65" customHeight="1" x14ac:dyDescent="0.2">
      <c r="A1162" s="76">
        <v>1162</v>
      </c>
      <c r="B1162" s="67" t="str">
        <f>MID(C1162, FIND("Ifc.", C1162) + 4, 4) &amp; "_" &amp; TEXT(COUNTIF($C$2:C1162, C1162),"0000")</f>
        <v>Prop_1161</v>
      </c>
      <c r="C1162" s="24" t="s">
        <v>872</v>
      </c>
      <c r="D1162" s="69" t="s">
        <v>9453</v>
      </c>
      <c r="E1162" s="70" t="s">
        <v>9454</v>
      </c>
      <c r="F1162" s="17" t="s">
        <v>806</v>
      </c>
      <c r="G1162" s="22" t="s">
        <v>1746</v>
      </c>
      <c r="H1162" s="12" t="s">
        <v>9703</v>
      </c>
      <c r="I1162" s="13" t="s">
        <v>6467</v>
      </c>
      <c r="J1162" s="14" t="s">
        <v>798</v>
      </c>
      <c r="K1162" s="15" t="s">
        <v>798</v>
      </c>
      <c r="L1162" s="12" t="s">
        <v>5315</v>
      </c>
      <c r="M1162" s="13" t="s">
        <v>5932</v>
      </c>
      <c r="N1162" s="12" t="s">
        <v>803</v>
      </c>
      <c r="O1162" s="13" t="s">
        <v>5006</v>
      </c>
      <c r="P1162" s="17" t="s">
        <v>802</v>
      </c>
      <c r="Q1162" s="21" t="s">
        <v>7968</v>
      </c>
      <c r="R1162" s="17" t="s">
        <v>801</v>
      </c>
      <c r="S1162" s="18" t="s">
        <v>2554</v>
      </c>
      <c r="T1162" s="17" t="s">
        <v>800</v>
      </c>
      <c r="U1162" s="18" t="s">
        <v>5233</v>
      </c>
      <c r="V1162" s="17" t="s">
        <v>9418</v>
      </c>
      <c r="W1162" s="18" t="s">
        <v>5310</v>
      </c>
      <c r="X1162" s="69" t="s">
        <v>9453</v>
      </c>
      <c r="Y1162" s="70" t="s">
        <v>9463</v>
      </c>
      <c r="Z1162" s="73" t="s">
        <v>9486</v>
      </c>
      <c r="AA1162" s="74" t="s">
        <v>9504</v>
      </c>
      <c r="AB1162" s="73" t="s">
        <v>9486</v>
      </c>
      <c r="AC1162" s="74" t="s">
        <v>9562</v>
      </c>
      <c r="AD1162" s="73" t="s">
        <v>9578</v>
      </c>
      <c r="AE1162" s="74" t="s">
        <v>9579</v>
      </c>
    </row>
    <row r="1163" spans="1:31" ht="8.65" customHeight="1" x14ac:dyDescent="0.2">
      <c r="A1163" s="76">
        <v>1163</v>
      </c>
      <c r="B1163" s="67" t="str">
        <f>MID(C1163, FIND("Ifc.", C1163) + 4, 4) &amp; "_" &amp; TEXT(COUNTIF($C$2:C1163, C1163),"0000")</f>
        <v>Prop_1162</v>
      </c>
      <c r="C1163" s="24" t="s">
        <v>872</v>
      </c>
      <c r="D1163" s="69" t="s">
        <v>9453</v>
      </c>
      <c r="E1163" s="70" t="s">
        <v>9454</v>
      </c>
      <c r="F1163" s="17" t="s">
        <v>806</v>
      </c>
      <c r="G1163" s="22" t="s">
        <v>1746</v>
      </c>
      <c r="H1163" s="12" t="s">
        <v>9703</v>
      </c>
      <c r="I1163" s="13" t="s">
        <v>6467</v>
      </c>
      <c r="J1163" s="14" t="s">
        <v>798</v>
      </c>
      <c r="K1163" s="15" t="s">
        <v>798</v>
      </c>
      <c r="L1163" s="12" t="s">
        <v>5315</v>
      </c>
      <c r="M1163" s="13" t="s">
        <v>5853</v>
      </c>
      <c r="N1163" s="12" t="s">
        <v>803</v>
      </c>
      <c r="O1163" s="13" t="s">
        <v>5064</v>
      </c>
      <c r="P1163" s="17" t="s">
        <v>802</v>
      </c>
      <c r="Q1163" s="21" t="s">
        <v>7834</v>
      </c>
      <c r="R1163" s="17" t="s">
        <v>801</v>
      </c>
      <c r="S1163" s="18" t="s">
        <v>2554</v>
      </c>
      <c r="T1163" s="17" t="s">
        <v>800</v>
      </c>
      <c r="U1163" s="18" t="s">
        <v>5233</v>
      </c>
      <c r="V1163" s="17" t="s">
        <v>9418</v>
      </c>
      <c r="W1163" s="18" t="s">
        <v>5310</v>
      </c>
      <c r="X1163" s="69" t="s">
        <v>9453</v>
      </c>
      <c r="Y1163" s="70" t="s">
        <v>9463</v>
      </c>
      <c r="Z1163" s="73" t="s">
        <v>9486</v>
      </c>
      <c r="AA1163" s="74" t="s">
        <v>9504</v>
      </c>
      <c r="AB1163" s="73" t="s">
        <v>9486</v>
      </c>
      <c r="AC1163" s="74" t="s">
        <v>9562</v>
      </c>
      <c r="AD1163" s="73" t="s">
        <v>9578</v>
      </c>
      <c r="AE1163" s="74" t="s">
        <v>9579</v>
      </c>
    </row>
    <row r="1164" spans="1:31" ht="8.65" customHeight="1" x14ac:dyDescent="0.2">
      <c r="A1164" s="76">
        <v>1164</v>
      </c>
      <c r="B1164" s="67" t="str">
        <f>MID(C1164, FIND("Ifc.", C1164) + 4, 4) &amp; "_" &amp; TEXT(COUNTIF($C$2:C1164, C1164),"0000")</f>
        <v>Prop_1163</v>
      </c>
      <c r="C1164" s="24" t="s">
        <v>872</v>
      </c>
      <c r="D1164" s="69" t="s">
        <v>9453</v>
      </c>
      <c r="E1164" s="70" t="s">
        <v>9454</v>
      </c>
      <c r="F1164" s="17" t="s">
        <v>806</v>
      </c>
      <c r="G1164" s="22" t="s">
        <v>1884</v>
      </c>
      <c r="H1164" s="12" t="s">
        <v>9703</v>
      </c>
      <c r="I1164" s="13" t="s">
        <v>7369</v>
      </c>
      <c r="J1164" s="14" t="s">
        <v>798</v>
      </c>
      <c r="K1164" s="15" t="s">
        <v>798</v>
      </c>
      <c r="L1164" s="12" t="s">
        <v>5315</v>
      </c>
      <c r="M1164" s="13" t="s">
        <v>5903</v>
      </c>
      <c r="N1164" s="12" t="s">
        <v>803</v>
      </c>
      <c r="O1164" s="13" t="s">
        <v>5045</v>
      </c>
      <c r="P1164" s="17" t="s">
        <v>802</v>
      </c>
      <c r="Q1164" s="21" t="s">
        <v>7964</v>
      </c>
      <c r="R1164" s="17" t="s">
        <v>801</v>
      </c>
      <c r="S1164" s="18" t="s">
        <v>2583</v>
      </c>
      <c r="T1164" s="17" t="s">
        <v>800</v>
      </c>
      <c r="U1164" s="18" t="s">
        <v>5251</v>
      </c>
      <c r="V1164" s="17" t="s">
        <v>9418</v>
      </c>
      <c r="W1164" s="18" t="s">
        <v>5313</v>
      </c>
      <c r="X1164" s="69" t="s">
        <v>9453</v>
      </c>
      <c r="Y1164" s="70" t="s">
        <v>9467</v>
      </c>
      <c r="Z1164" s="73" t="s">
        <v>9486</v>
      </c>
      <c r="AA1164" s="74" t="s">
        <v>9504</v>
      </c>
      <c r="AB1164" s="73" t="s">
        <v>9486</v>
      </c>
      <c r="AC1164" s="74" t="s">
        <v>9566</v>
      </c>
      <c r="AD1164" s="73" t="s">
        <v>9578</v>
      </c>
      <c r="AE1164" s="74" t="s">
        <v>9579</v>
      </c>
    </row>
    <row r="1165" spans="1:31" ht="8.65" customHeight="1" x14ac:dyDescent="0.2">
      <c r="A1165" s="76">
        <v>1165</v>
      </c>
      <c r="B1165" s="67" t="str">
        <f>MID(C1165, FIND("Ifc.", C1165) + 4, 4) &amp; "_" &amp; TEXT(COUNTIF($C$2:C1165, C1165),"0000")</f>
        <v>Prop_1164</v>
      </c>
      <c r="C1165" s="24" t="s">
        <v>872</v>
      </c>
      <c r="D1165" s="69" t="s">
        <v>9453</v>
      </c>
      <c r="E1165" s="70" t="s">
        <v>9454</v>
      </c>
      <c r="F1165" s="17" t="s">
        <v>806</v>
      </c>
      <c r="G1165" s="22" t="s">
        <v>1886</v>
      </c>
      <c r="H1165" s="12" t="s">
        <v>9703</v>
      </c>
      <c r="I1165" s="13" t="s">
        <v>7370</v>
      </c>
      <c r="J1165" s="14" t="s">
        <v>798</v>
      </c>
      <c r="K1165" s="15" t="s">
        <v>798</v>
      </c>
      <c r="L1165" s="12" t="s">
        <v>5315</v>
      </c>
      <c r="M1165" s="13" t="s">
        <v>5903</v>
      </c>
      <c r="N1165" s="12" t="s">
        <v>803</v>
      </c>
      <c r="O1165" s="13" t="s">
        <v>5045</v>
      </c>
      <c r="P1165" s="17" t="s">
        <v>802</v>
      </c>
      <c r="Q1165" s="21" t="s">
        <v>7964</v>
      </c>
      <c r="R1165" s="17" t="s">
        <v>801</v>
      </c>
      <c r="S1165" s="18" t="s">
        <v>2583</v>
      </c>
      <c r="T1165" s="17" t="s">
        <v>800</v>
      </c>
      <c r="U1165" s="18" t="s">
        <v>5251</v>
      </c>
      <c r="V1165" s="17" t="s">
        <v>9418</v>
      </c>
      <c r="W1165" s="18" t="s">
        <v>5313</v>
      </c>
      <c r="X1165" s="69" t="s">
        <v>9453</v>
      </c>
      <c r="Y1165" s="70" t="s">
        <v>9467</v>
      </c>
      <c r="Z1165" s="73" t="s">
        <v>9486</v>
      </c>
      <c r="AA1165" s="74" t="s">
        <v>9504</v>
      </c>
      <c r="AB1165" s="73" t="s">
        <v>9486</v>
      </c>
      <c r="AC1165" s="74" t="s">
        <v>9566</v>
      </c>
      <c r="AD1165" s="73" t="s">
        <v>9578</v>
      </c>
      <c r="AE1165" s="74" t="s">
        <v>9579</v>
      </c>
    </row>
    <row r="1166" spans="1:31" ht="8.65" customHeight="1" x14ac:dyDescent="0.2">
      <c r="A1166" s="76">
        <v>1166</v>
      </c>
      <c r="B1166" s="67" t="str">
        <f>MID(C1166, FIND("Ifc.", C1166) + 4, 4) &amp; "_" &amp; TEXT(COUNTIF($C$2:C1166, C1166),"0000")</f>
        <v>Prop_1165</v>
      </c>
      <c r="C1166" s="24" t="s">
        <v>872</v>
      </c>
      <c r="D1166" s="69" t="s">
        <v>9453</v>
      </c>
      <c r="E1166" s="70" t="s">
        <v>9454</v>
      </c>
      <c r="F1166" s="17" t="s">
        <v>806</v>
      </c>
      <c r="G1166" s="22" t="s">
        <v>1888</v>
      </c>
      <c r="H1166" s="12" t="s">
        <v>9703</v>
      </c>
      <c r="I1166" s="13" t="s">
        <v>7371</v>
      </c>
      <c r="J1166" s="14" t="s">
        <v>798</v>
      </c>
      <c r="K1166" s="15" t="s">
        <v>798</v>
      </c>
      <c r="L1166" s="12" t="s">
        <v>5315</v>
      </c>
      <c r="M1166" s="13" t="s">
        <v>5903</v>
      </c>
      <c r="N1166" s="12" t="s">
        <v>803</v>
      </c>
      <c r="O1166" s="13" t="s">
        <v>5045</v>
      </c>
      <c r="P1166" s="17" t="s">
        <v>802</v>
      </c>
      <c r="Q1166" s="21" t="s">
        <v>7964</v>
      </c>
      <c r="R1166" s="17" t="s">
        <v>801</v>
      </c>
      <c r="S1166" s="18" t="s">
        <v>2583</v>
      </c>
      <c r="T1166" s="17" t="s">
        <v>800</v>
      </c>
      <c r="U1166" s="18" t="s">
        <v>5251</v>
      </c>
      <c r="V1166" s="17" t="s">
        <v>9418</v>
      </c>
      <c r="W1166" s="18" t="s">
        <v>5313</v>
      </c>
      <c r="X1166" s="69" t="s">
        <v>9453</v>
      </c>
      <c r="Y1166" s="70" t="s">
        <v>9467</v>
      </c>
      <c r="Z1166" s="73" t="s">
        <v>9486</v>
      </c>
      <c r="AA1166" s="74" t="s">
        <v>9504</v>
      </c>
      <c r="AB1166" s="73" t="s">
        <v>9486</v>
      </c>
      <c r="AC1166" s="74" t="s">
        <v>9566</v>
      </c>
      <c r="AD1166" s="73" t="s">
        <v>9578</v>
      </c>
      <c r="AE1166" s="74" t="s">
        <v>9579</v>
      </c>
    </row>
    <row r="1167" spans="1:31" ht="8.65" customHeight="1" x14ac:dyDescent="0.2">
      <c r="A1167" s="76">
        <v>1167</v>
      </c>
      <c r="B1167" s="67" t="str">
        <f>MID(C1167, FIND("Ifc.", C1167) + 4, 4) &amp; "_" &amp; TEXT(COUNTIF($C$2:C1167, C1167),"0000")</f>
        <v>Prop_1166</v>
      </c>
      <c r="C1167" s="24" t="s">
        <v>872</v>
      </c>
      <c r="D1167" s="69" t="s">
        <v>9453</v>
      </c>
      <c r="E1167" s="70" t="s">
        <v>9454</v>
      </c>
      <c r="F1167" s="17" t="s">
        <v>806</v>
      </c>
      <c r="G1167" s="22" t="s">
        <v>1885</v>
      </c>
      <c r="H1167" s="12" t="s">
        <v>9703</v>
      </c>
      <c r="I1167" s="13" t="s">
        <v>7365</v>
      </c>
      <c r="J1167" s="14" t="s">
        <v>798</v>
      </c>
      <c r="K1167" s="15" t="s">
        <v>798</v>
      </c>
      <c r="L1167" s="12" t="s">
        <v>5315</v>
      </c>
      <c r="M1167" s="13" t="s">
        <v>5903</v>
      </c>
      <c r="N1167" s="12" t="s">
        <v>803</v>
      </c>
      <c r="O1167" s="13" t="s">
        <v>5045</v>
      </c>
      <c r="P1167" s="17" t="s">
        <v>802</v>
      </c>
      <c r="Q1167" s="21" t="s">
        <v>7964</v>
      </c>
      <c r="R1167" s="17" t="s">
        <v>801</v>
      </c>
      <c r="S1167" s="18" t="s">
        <v>2583</v>
      </c>
      <c r="T1167" s="17" t="s">
        <v>800</v>
      </c>
      <c r="U1167" s="18" t="s">
        <v>5251</v>
      </c>
      <c r="V1167" s="17" t="s">
        <v>9418</v>
      </c>
      <c r="W1167" s="18" t="s">
        <v>5313</v>
      </c>
      <c r="X1167" s="69" t="s">
        <v>9453</v>
      </c>
      <c r="Y1167" s="70" t="s">
        <v>9467</v>
      </c>
      <c r="Z1167" s="73" t="s">
        <v>9486</v>
      </c>
      <c r="AA1167" s="74" t="s">
        <v>9504</v>
      </c>
      <c r="AB1167" s="73" t="s">
        <v>9486</v>
      </c>
      <c r="AC1167" s="74" t="s">
        <v>9566</v>
      </c>
      <c r="AD1167" s="73" t="s">
        <v>9578</v>
      </c>
      <c r="AE1167" s="74" t="s">
        <v>9579</v>
      </c>
    </row>
    <row r="1168" spans="1:31" ht="8.65" customHeight="1" x14ac:dyDescent="0.2">
      <c r="A1168" s="76">
        <v>1168</v>
      </c>
      <c r="B1168" s="67" t="str">
        <f>MID(C1168, FIND("Ifc.", C1168) + 4, 4) &amp; "_" &amp; TEXT(COUNTIF($C$2:C1168, C1168),"0000")</f>
        <v>Prop_1167</v>
      </c>
      <c r="C1168" s="24" t="s">
        <v>872</v>
      </c>
      <c r="D1168" s="69" t="s">
        <v>9453</v>
      </c>
      <c r="E1168" s="70" t="s">
        <v>9454</v>
      </c>
      <c r="F1168" s="17" t="s">
        <v>806</v>
      </c>
      <c r="G1168" s="22" t="s">
        <v>1887</v>
      </c>
      <c r="H1168" s="12" t="s">
        <v>9703</v>
      </c>
      <c r="I1168" s="13" t="s">
        <v>7368</v>
      </c>
      <c r="J1168" s="14" t="s">
        <v>798</v>
      </c>
      <c r="K1168" s="15" t="s">
        <v>798</v>
      </c>
      <c r="L1168" s="12" t="s">
        <v>5315</v>
      </c>
      <c r="M1168" s="13" t="s">
        <v>5903</v>
      </c>
      <c r="N1168" s="12" t="s">
        <v>803</v>
      </c>
      <c r="O1168" s="13" t="s">
        <v>5045</v>
      </c>
      <c r="P1168" s="17" t="s">
        <v>802</v>
      </c>
      <c r="Q1168" s="21" t="s">
        <v>7964</v>
      </c>
      <c r="R1168" s="17" t="s">
        <v>801</v>
      </c>
      <c r="S1168" s="18" t="s">
        <v>2583</v>
      </c>
      <c r="T1168" s="17" t="s">
        <v>800</v>
      </c>
      <c r="U1168" s="18" t="s">
        <v>5251</v>
      </c>
      <c r="V1168" s="17" t="s">
        <v>9418</v>
      </c>
      <c r="W1168" s="18" t="s">
        <v>5313</v>
      </c>
      <c r="X1168" s="69" t="s">
        <v>9453</v>
      </c>
      <c r="Y1168" s="70" t="s">
        <v>9467</v>
      </c>
      <c r="Z1168" s="73" t="s">
        <v>9486</v>
      </c>
      <c r="AA1168" s="74" t="s">
        <v>9504</v>
      </c>
      <c r="AB1168" s="73" t="s">
        <v>9486</v>
      </c>
      <c r="AC1168" s="74" t="s">
        <v>9566</v>
      </c>
      <c r="AD1168" s="73" t="s">
        <v>9578</v>
      </c>
      <c r="AE1168" s="74" t="s">
        <v>9579</v>
      </c>
    </row>
    <row r="1169" spans="1:31" ht="8.65" customHeight="1" x14ac:dyDescent="0.2">
      <c r="A1169" s="76">
        <v>1169</v>
      </c>
      <c r="B1169" s="67" t="str">
        <f>MID(C1169, FIND("Ifc.", C1169) + 4, 4) &amp; "_" &amp; TEXT(COUNTIF($C$2:C1169, C1169),"0000")</f>
        <v>Prop_1168</v>
      </c>
      <c r="C1169" s="24" t="s">
        <v>872</v>
      </c>
      <c r="D1169" s="69" t="s">
        <v>9453</v>
      </c>
      <c r="E1169" s="70" t="s">
        <v>9454</v>
      </c>
      <c r="F1169" s="17" t="s">
        <v>806</v>
      </c>
      <c r="G1169" s="22" t="s">
        <v>1889</v>
      </c>
      <c r="H1169" s="12" t="s">
        <v>9703</v>
      </c>
      <c r="I1169" s="13" t="s">
        <v>7366</v>
      </c>
      <c r="J1169" s="14" t="s">
        <v>798</v>
      </c>
      <c r="K1169" s="15" t="s">
        <v>798</v>
      </c>
      <c r="L1169" s="12" t="s">
        <v>5315</v>
      </c>
      <c r="M1169" s="13" t="s">
        <v>5903</v>
      </c>
      <c r="N1169" s="12" t="s">
        <v>803</v>
      </c>
      <c r="O1169" s="13" t="s">
        <v>5045</v>
      </c>
      <c r="P1169" s="17" t="s">
        <v>802</v>
      </c>
      <c r="Q1169" s="21" t="s">
        <v>7964</v>
      </c>
      <c r="R1169" s="17" t="s">
        <v>801</v>
      </c>
      <c r="S1169" s="18" t="s">
        <v>2583</v>
      </c>
      <c r="T1169" s="17" t="s">
        <v>800</v>
      </c>
      <c r="U1169" s="18" t="s">
        <v>5251</v>
      </c>
      <c r="V1169" s="17" t="s">
        <v>9418</v>
      </c>
      <c r="W1169" s="18" t="s">
        <v>5313</v>
      </c>
      <c r="X1169" s="69" t="s">
        <v>9453</v>
      </c>
      <c r="Y1169" s="70" t="s">
        <v>9467</v>
      </c>
      <c r="Z1169" s="73" t="s">
        <v>9486</v>
      </c>
      <c r="AA1169" s="74" t="s">
        <v>9504</v>
      </c>
      <c r="AB1169" s="73" t="s">
        <v>9486</v>
      </c>
      <c r="AC1169" s="74" t="s">
        <v>9566</v>
      </c>
      <c r="AD1169" s="73" t="s">
        <v>9578</v>
      </c>
      <c r="AE1169" s="74" t="s">
        <v>9579</v>
      </c>
    </row>
    <row r="1170" spans="1:31" ht="8.65" customHeight="1" x14ac:dyDescent="0.2">
      <c r="A1170" s="76">
        <v>1170</v>
      </c>
      <c r="B1170" s="67" t="str">
        <f>MID(C1170, FIND("Ifc.", C1170) + 4, 4) &amp; "_" &amp; TEXT(COUNTIF($C$2:C1170, C1170),"0000")</f>
        <v>Prop_1169</v>
      </c>
      <c r="C1170" s="24" t="s">
        <v>872</v>
      </c>
      <c r="D1170" s="69" t="s">
        <v>9453</v>
      </c>
      <c r="E1170" s="70" t="s">
        <v>9454</v>
      </c>
      <c r="F1170" s="17" t="s">
        <v>806</v>
      </c>
      <c r="G1170" s="22" t="s">
        <v>1965</v>
      </c>
      <c r="H1170" s="12" t="s">
        <v>9703</v>
      </c>
      <c r="I1170" s="13" t="s">
        <v>6595</v>
      </c>
      <c r="J1170" s="14" t="s">
        <v>798</v>
      </c>
      <c r="K1170" s="15" t="s">
        <v>798</v>
      </c>
      <c r="L1170" s="12" t="s">
        <v>5315</v>
      </c>
      <c r="M1170" s="13" t="s">
        <v>5780</v>
      </c>
      <c r="N1170" s="12" t="s">
        <v>803</v>
      </c>
      <c r="O1170" s="13" t="s">
        <v>5070</v>
      </c>
      <c r="P1170" s="17" t="s">
        <v>802</v>
      </c>
      <c r="Q1170" s="21" t="s">
        <v>7987</v>
      </c>
      <c r="R1170" s="17" t="s">
        <v>801</v>
      </c>
      <c r="S1170" s="18" t="s">
        <v>2554</v>
      </c>
      <c r="T1170" s="17" t="s">
        <v>800</v>
      </c>
      <c r="U1170" s="18" t="s">
        <v>5233</v>
      </c>
      <c r="V1170" s="17" t="s">
        <v>9418</v>
      </c>
      <c r="W1170" s="18" t="s">
        <v>5310</v>
      </c>
      <c r="X1170" s="69" t="s">
        <v>9453</v>
      </c>
      <c r="Y1170" s="70" t="s">
        <v>9463</v>
      </c>
      <c r="Z1170" s="73" t="s">
        <v>9486</v>
      </c>
      <c r="AA1170" s="74" t="s">
        <v>9504</v>
      </c>
      <c r="AB1170" s="73" t="s">
        <v>9486</v>
      </c>
      <c r="AC1170" s="74" t="s">
        <v>9562</v>
      </c>
      <c r="AD1170" s="73" t="s">
        <v>9578</v>
      </c>
      <c r="AE1170" s="74" t="s">
        <v>9579</v>
      </c>
    </row>
    <row r="1171" spans="1:31" ht="8.65" customHeight="1" x14ac:dyDescent="0.2">
      <c r="A1171" s="76">
        <v>1171</v>
      </c>
      <c r="B1171" s="67" t="str">
        <f>MID(C1171, FIND("Ifc.", C1171) + 4, 4) &amp; "_" &amp; TEXT(COUNTIF($C$2:C1171, C1171),"0000")</f>
        <v>Prop_1170</v>
      </c>
      <c r="C1171" s="24" t="s">
        <v>872</v>
      </c>
      <c r="D1171" s="69" t="s">
        <v>9453</v>
      </c>
      <c r="E1171" s="70" t="s">
        <v>9454</v>
      </c>
      <c r="F1171" s="17" t="s">
        <v>806</v>
      </c>
      <c r="G1171" s="22" t="s">
        <v>1384</v>
      </c>
      <c r="H1171" s="12" t="s">
        <v>9703</v>
      </c>
      <c r="I1171" s="13" t="s">
        <v>7324</v>
      </c>
      <c r="J1171" s="14" t="s">
        <v>798</v>
      </c>
      <c r="K1171" s="15" t="s">
        <v>798</v>
      </c>
      <c r="L1171" s="12" t="s">
        <v>5315</v>
      </c>
      <c r="M1171" s="13" t="s">
        <v>5422</v>
      </c>
      <c r="N1171" s="12" t="s">
        <v>803</v>
      </c>
      <c r="O1171" s="13" t="s">
        <v>4922</v>
      </c>
      <c r="P1171" s="17" t="s">
        <v>802</v>
      </c>
      <c r="Q1171" s="21" t="s">
        <v>7988</v>
      </c>
      <c r="R1171" s="17" t="s">
        <v>801</v>
      </c>
      <c r="S1171" s="18" t="s">
        <v>2589</v>
      </c>
      <c r="T1171" s="17" t="s">
        <v>800</v>
      </c>
      <c r="U1171" s="18" t="s">
        <v>5258</v>
      </c>
      <c r="V1171" s="17" t="s">
        <v>9418</v>
      </c>
      <c r="W1171" s="18" t="s">
        <v>5309</v>
      </c>
      <c r="X1171" s="69" t="s">
        <v>9453</v>
      </c>
      <c r="Y1171" s="70" t="s">
        <v>9462</v>
      </c>
      <c r="Z1171" s="73" t="s">
        <v>9486</v>
      </c>
      <c r="AA1171" s="74" t="s">
        <v>9504</v>
      </c>
      <c r="AB1171" s="73" t="s">
        <v>9486</v>
      </c>
      <c r="AC1171" s="74" t="s">
        <v>9566</v>
      </c>
      <c r="AD1171" s="73" t="s">
        <v>9578</v>
      </c>
      <c r="AE1171" s="74" t="s">
        <v>9579</v>
      </c>
    </row>
    <row r="1172" spans="1:31" ht="8.65" customHeight="1" x14ac:dyDescent="0.2">
      <c r="A1172" s="76">
        <v>1172</v>
      </c>
      <c r="B1172" s="67" t="str">
        <f>MID(C1172, FIND("Ifc.", C1172) + 4, 4) &amp; "_" &amp; TEXT(COUNTIF($C$2:C1172, C1172),"0000")</f>
        <v>Prop_1171</v>
      </c>
      <c r="C1172" s="24" t="s">
        <v>872</v>
      </c>
      <c r="D1172" s="69" t="s">
        <v>9453</v>
      </c>
      <c r="E1172" s="70" t="s">
        <v>9454</v>
      </c>
      <c r="F1172" s="17" t="s">
        <v>806</v>
      </c>
      <c r="G1172" s="22" t="s">
        <v>1901</v>
      </c>
      <c r="H1172" s="12" t="s">
        <v>9703</v>
      </c>
      <c r="I1172" s="13" t="s">
        <v>6561</v>
      </c>
      <c r="J1172" s="14" t="s">
        <v>798</v>
      </c>
      <c r="K1172" s="15" t="s">
        <v>798</v>
      </c>
      <c r="L1172" s="12" t="s">
        <v>5315</v>
      </c>
      <c r="M1172" s="13" t="s">
        <v>5957</v>
      </c>
      <c r="N1172" s="12" t="s">
        <v>803</v>
      </c>
      <c r="O1172" s="13" t="s">
        <v>5050</v>
      </c>
      <c r="P1172" s="17" t="s">
        <v>802</v>
      </c>
      <c r="Q1172" s="21" t="s">
        <v>7701</v>
      </c>
      <c r="R1172" s="17" t="s">
        <v>801</v>
      </c>
      <c r="S1172" s="18" t="s">
        <v>2585</v>
      </c>
      <c r="T1172" s="17" t="s">
        <v>800</v>
      </c>
      <c r="U1172" s="18" t="s">
        <v>5238</v>
      </c>
      <c r="V1172" s="17" t="s">
        <v>9418</v>
      </c>
      <c r="W1172" s="18" t="s">
        <v>5309</v>
      </c>
      <c r="X1172" s="69" t="s">
        <v>9453</v>
      </c>
      <c r="Y1172" s="70" t="s">
        <v>9462</v>
      </c>
      <c r="Z1172" s="73" t="s">
        <v>9486</v>
      </c>
      <c r="AA1172" s="74" t="s">
        <v>9504</v>
      </c>
      <c r="AB1172" s="73" t="s">
        <v>9486</v>
      </c>
      <c r="AC1172" s="74" t="s">
        <v>9566</v>
      </c>
      <c r="AD1172" s="73" t="s">
        <v>9578</v>
      </c>
      <c r="AE1172" s="74" t="s">
        <v>9579</v>
      </c>
    </row>
    <row r="1173" spans="1:31" ht="8.65" customHeight="1" x14ac:dyDescent="0.2">
      <c r="A1173" s="76">
        <v>1173</v>
      </c>
      <c r="B1173" s="67" t="str">
        <f>MID(C1173, FIND("Ifc.", C1173) + 4, 4) &amp; "_" &amp; TEXT(COUNTIF($C$2:C1173, C1173),"0000")</f>
        <v>Prop_1172</v>
      </c>
      <c r="C1173" s="24" t="s">
        <v>872</v>
      </c>
      <c r="D1173" s="69" t="s">
        <v>9453</v>
      </c>
      <c r="E1173" s="70" t="s">
        <v>9454</v>
      </c>
      <c r="F1173" s="17" t="s">
        <v>806</v>
      </c>
      <c r="G1173" s="22" t="s">
        <v>1854</v>
      </c>
      <c r="H1173" s="12" t="s">
        <v>9703</v>
      </c>
      <c r="I1173" s="13" t="s">
        <v>6532</v>
      </c>
      <c r="J1173" s="14" t="s">
        <v>798</v>
      </c>
      <c r="K1173" s="15" t="s">
        <v>798</v>
      </c>
      <c r="L1173" s="12" t="s">
        <v>5315</v>
      </c>
      <c r="M1173" s="13" t="s">
        <v>5947</v>
      </c>
      <c r="N1173" s="12" t="s">
        <v>803</v>
      </c>
      <c r="O1173" s="13" t="s">
        <v>5034</v>
      </c>
      <c r="P1173" s="17" t="s">
        <v>802</v>
      </c>
      <c r="Q1173" s="21" t="s">
        <v>7887</v>
      </c>
      <c r="R1173" s="17" t="s">
        <v>801</v>
      </c>
      <c r="S1173" s="18" t="s">
        <v>2636</v>
      </c>
      <c r="T1173" s="17" t="s">
        <v>800</v>
      </c>
      <c r="U1173" s="18" t="s">
        <v>5290</v>
      </c>
      <c r="V1173" s="17" t="s">
        <v>9418</v>
      </c>
      <c r="W1173" s="18" t="s">
        <v>5309</v>
      </c>
      <c r="X1173" s="69" t="s">
        <v>9453</v>
      </c>
      <c r="Y1173" s="70" t="s">
        <v>9462</v>
      </c>
      <c r="Z1173" s="73" t="s">
        <v>9486</v>
      </c>
      <c r="AA1173" s="74" t="s">
        <v>9504</v>
      </c>
      <c r="AB1173" s="73" t="s">
        <v>9486</v>
      </c>
      <c r="AC1173" s="74" t="s">
        <v>9566</v>
      </c>
      <c r="AD1173" s="73" t="s">
        <v>9578</v>
      </c>
      <c r="AE1173" s="74" t="s">
        <v>9579</v>
      </c>
    </row>
    <row r="1174" spans="1:31" ht="8.65" customHeight="1" x14ac:dyDescent="0.2">
      <c r="A1174" s="76">
        <v>1174</v>
      </c>
      <c r="B1174" s="67" t="str">
        <f>MID(C1174, FIND("Ifc.", C1174) + 4, 4) &amp; "_" &amp; TEXT(COUNTIF($C$2:C1174, C1174),"0000")</f>
        <v>Prop_1173</v>
      </c>
      <c r="C1174" s="24" t="s">
        <v>872</v>
      </c>
      <c r="D1174" s="69" t="s">
        <v>9453</v>
      </c>
      <c r="E1174" s="70" t="s">
        <v>9454</v>
      </c>
      <c r="F1174" s="17" t="s">
        <v>806</v>
      </c>
      <c r="G1174" s="22" t="s">
        <v>1364</v>
      </c>
      <c r="H1174" s="12" t="s">
        <v>9703</v>
      </c>
      <c r="I1174" s="13" t="s">
        <v>6286</v>
      </c>
      <c r="J1174" s="14" t="s">
        <v>798</v>
      </c>
      <c r="K1174" s="15" t="s">
        <v>798</v>
      </c>
      <c r="L1174" s="12" t="s">
        <v>5315</v>
      </c>
      <c r="M1174" s="13" t="s">
        <v>6031</v>
      </c>
      <c r="N1174" s="12" t="s">
        <v>803</v>
      </c>
      <c r="O1174" s="13" t="s">
        <v>4919</v>
      </c>
      <c r="P1174" s="17" t="s">
        <v>802</v>
      </c>
      <c r="Q1174" s="21" t="s">
        <v>7818</v>
      </c>
      <c r="R1174" s="17" t="s">
        <v>801</v>
      </c>
      <c r="S1174" s="18" t="s">
        <v>2554</v>
      </c>
      <c r="T1174" s="17" t="s">
        <v>800</v>
      </c>
      <c r="U1174" s="18" t="s">
        <v>5233</v>
      </c>
      <c r="V1174" s="17" t="s">
        <v>9418</v>
      </c>
      <c r="W1174" s="18" t="s">
        <v>5309</v>
      </c>
      <c r="X1174" s="69" t="s">
        <v>9453</v>
      </c>
      <c r="Y1174" s="70" t="s">
        <v>9462</v>
      </c>
      <c r="Z1174" s="73" t="s">
        <v>9486</v>
      </c>
      <c r="AA1174" s="74" t="s">
        <v>9504</v>
      </c>
      <c r="AB1174" s="73" t="s">
        <v>9486</v>
      </c>
      <c r="AC1174" s="74" t="s">
        <v>9562</v>
      </c>
      <c r="AD1174" s="73" t="s">
        <v>9578</v>
      </c>
      <c r="AE1174" s="74" t="s">
        <v>9579</v>
      </c>
    </row>
    <row r="1175" spans="1:31" ht="8.65" customHeight="1" x14ac:dyDescent="0.2">
      <c r="A1175" s="76">
        <v>1175</v>
      </c>
      <c r="B1175" s="67" t="str">
        <f>MID(C1175, FIND("Ifc.", C1175) + 4, 4) &amp; "_" &amp; TEXT(COUNTIF($C$2:C1175, C1175),"0000")</f>
        <v>Prop_1174</v>
      </c>
      <c r="C1175" s="24" t="s">
        <v>872</v>
      </c>
      <c r="D1175" s="69" t="s">
        <v>9453</v>
      </c>
      <c r="E1175" s="70" t="s">
        <v>9454</v>
      </c>
      <c r="F1175" s="17" t="s">
        <v>806</v>
      </c>
      <c r="G1175" s="22" t="s">
        <v>1364</v>
      </c>
      <c r="H1175" s="12" t="s">
        <v>9703</v>
      </c>
      <c r="I1175" s="13" t="s">
        <v>6286</v>
      </c>
      <c r="J1175" s="14" t="s">
        <v>798</v>
      </c>
      <c r="K1175" s="15" t="s">
        <v>798</v>
      </c>
      <c r="L1175" s="12" t="s">
        <v>5315</v>
      </c>
      <c r="M1175" s="13" t="s">
        <v>6032</v>
      </c>
      <c r="N1175" s="12" t="s">
        <v>803</v>
      </c>
      <c r="O1175" s="13" t="s">
        <v>4933</v>
      </c>
      <c r="P1175" s="17" t="s">
        <v>802</v>
      </c>
      <c r="Q1175" s="21" t="s">
        <v>7917</v>
      </c>
      <c r="R1175" s="17" t="s">
        <v>801</v>
      </c>
      <c r="S1175" s="18" t="s">
        <v>2554</v>
      </c>
      <c r="T1175" s="17" t="s">
        <v>800</v>
      </c>
      <c r="U1175" s="18" t="s">
        <v>5233</v>
      </c>
      <c r="V1175" s="17" t="s">
        <v>9418</v>
      </c>
      <c r="W1175" s="18" t="s">
        <v>5309</v>
      </c>
      <c r="X1175" s="69" t="s">
        <v>9453</v>
      </c>
      <c r="Y1175" s="70" t="s">
        <v>9462</v>
      </c>
      <c r="Z1175" s="73" t="s">
        <v>9486</v>
      </c>
      <c r="AA1175" s="74" t="s">
        <v>9504</v>
      </c>
      <c r="AB1175" s="73" t="s">
        <v>9486</v>
      </c>
      <c r="AC1175" s="74" t="s">
        <v>9562</v>
      </c>
      <c r="AD1175" s="73" t="s">
        <v>9578</v>
      </c>
      <c r="AE1175" s="74" t="s">
        <v>9579</v>
      </c>
    </row>
    <row r="1176" spans="1:31" ht="8.65" customHeight="1" x14ac:dyDescent="0.2">
      <c r="A1176" s="76">
        <v>1176</v>
      </c>
      <c r="B1176" s="67" t="str">
        <f>MID(C1176, FIND("Ifc.", C1176) + 4, 4) &amp; "_" &amp; TEXT(COUNTIF($C$2:C1176, C1176),"0000")</f>
        <v>Prop_1175</v>
      </c>
      <c r="C1176" s="24" t="s">
        <v>872</v>
      </c>
      <c r="D1176" s="69" t="s">
        <v>9453</v>
      </c>
      <c r="E1176" s="70" t="s">
        <v>9454</v>
      </c>
      <c r="F1176" s="17" t="s">
        <v>806</v>
      </c>
      <c r="G1176" s="22" t="s">
        <v>1003</v>
      </c>
      <c r="H1176" s="12" t="s">
        <v>9703</v>
      </c>
      <c r="I1176" s="13" t="s">
        <v>6112</v>
      </c>
      <c r="J1176" s="14" t="s">
        <v>798</v>
      </c>
      <c r="K1176" s="15" t="s">
        <v>798</v>
      </c>
      <c r="L1176" s="12" t="s">
        <v>5315</v>
      </c>
      <c r="M1176" s="13" t="s">
        <v>6023</v>
      </c>
      <c r="N1176" s="12" t="s">
        <v>803</v>
      </c>
      <c r="O1176" s="13" t="s">
        <v>4831</v>
      </c>
      <c r="P1176" s="17" t="s">
        <v>802</v>
      </c>
      <c r="Q1176" s="21" t="s">
        <v>7790</v>
      </c>
      <c r="R1176" s="17" t="s">
        <v>801</v>
      </c>
      <c r="S1176" s="18" t="s">
        <v>2611</v>
      </c>
      <c r="T1176" s="17" t="s">
        <v>800</v>
      </c>
      <c r="U1176" s="18" t="s">
        <v>5255</v>
      </c>
      <c r="V1176" s="17" t="s">
        <v>9418</v>
      </c>
      <c r="W1176" s="18" t="s">
        <v>5309</v>
      </c>
      <c r="X1176" s="69" t="s">
        <v>9453</v>
      </c>
      <c r="Y1176" s="70" t="s">
        <v>9462</v>
      </c>
      <c r="Z1176" s="73" t="s">
        <v>9486</v>
      </c>
      <c r="AA1176" s="74" t="s">
        <v>9504</v>
      </c>
      <c r="AB1176" s="73" t="s">
        <v>9486</v>
      </c>
      <c r="AC1176" s="74" t="s">
        <v>9566</v>
      </c>
      <c r="AD1176" s="73" t="s">
        <v>9578</v>
      </c>
      <c r="AE1176" s="74" t="s">
        <v>9579</v>
      </c>
    </row>
    <row r="1177" spans="1:31" ht="8.65" customHeight="1" x14ac:dyDescent="0.2">
      <c r="A1177" s="76">
        <v>1177</v>
      </c>
      <c r="B1177" s="67" t="str">
        <f>MID(C1177, FIND("Ifc.", C1177) + 4, 4) &amp; "_" &amp; TEXT(COUNTIF($C$2:C1177, C1177),"0000")</f>
        <v>Prop_1176</v>
      </c>
      <c r="C1177" s="24" t="s">
        <v>872</v>
      </c>
      <c r="D1177" s="69" t="s">
        <v>9453</v>
      </c>
      <c r="E1177" s="70" t="s">
        <v>9454</v>
      </c>
      <c r="F1177" s="17" t="s">
        <v>806</v>
      </c>
      <c r="G1177" s="22" t="s">
        <v>2019</v>
      </c>
      <c r="H1177" s="12" t="s">
        <v>9703</v>
      </c>
      <c r="I1177" s="13" t="s">
        <v>6610</v>
      </c>
      <c r="J1177" s="14" t="s">
        <v>798</v>
      </c>
      <c r="K1177" s="15" t="s">
        <v>798</v>
      </c>
      <c r="L1177" s="12" t="s">
        <v>5315</v>
      </c>
      <c r="M1177" s="13" t="s">
        <v>5480</v>
      </c>
      <c r="N1177" s="12" t="s">
        <v>803</v>
      </c>
      <c r="O1177" s="13" t="s">
        <v>5084</v>
      </c>
      <c r="P1177" s="17" t="s">
        <v>802</v>
      </c>
      <c r="Q1177" s="21" t="s">
        <v>7755</v>
      </c>
      <c r="R1177" s="17" t="s">
        <v>801</v>
      </c>
      <c r="S1177" s="18" t="s">
        <v>2612</v>
      </c>
      <c r="T1177" s="17" t="s">
        <v>800</v>
      </c>
      <c r="U1177" s="18" t="s">
        <v>5296</v>
      </c>
      <c r="V1177" s="17" t="s">
        <v>9418</v>
      </c>
      <c r="W1177" s="18" t="s">
        <v>5309</v>
      </c>
      <c r="X1177" s="69" t="s">
        <v>9453</v>
      </c>
      <c r="Y1177" s="70" t="s">
        <v>9462</v>
      </c>
      <c r="Z1177" s="73" t="s">
        <v>9486</v>
      </c>
      <c r="AA1177" s="74" t="s">
        <v>9504</v>
      </c>
      <c r="AB1177" s="73" t="s">
        <v>9486</v>
      </c>
      <c r="AC1177" s="74" t="s">
        <v>9566</v>
      </c>
      <c r="AD1177" s="73" t="s">
        <v>9578</v>
      </c>
      <c r="AE1177" s="74" t="s">
        <v>9579</v>
      </c>
    </row>
    <row r="1178" spans="1:31" ht="8.65" customHeight="1" x14ac:dyDescent="0.2">
      <c r="A1178" s="76">
        <v>1178</v>
      </c>
      <c r="B1178" s="67" t="str">
        <f>MID(C1178, FIND("Ifc.", C1178) + 4, 4) &amp; "_" &amp; TEXT(COUNTIF($C$2:C1178, C1178),"0000")</f>
        <v>Prop_1177</v>
      </c>
      <c r="C1178" s="24" t="s">
        <v>872</v>
      </c>
      <c r="D1178" s="69" t="s">
        <v>9453</v>
      </c>
      <c r="E1178" s="70" t="s">
        <v>9454</v>
      </c>
      <c r="F1178" s="17" t="s">
        <v>806</v>
      </c>
      <c r="G1178" s="22" t="s">
        <v>1086</v>
      </c>
      <c r="H1178" s="12" t="s">
        <v>9703</v>
      </c>
      <c r="I1178" s="13" t="s">
        <v>6152</v>
      </c>
      <c r="J1178" s="14" t="s">
        <v>798</v>
      </c>
      <c r="K1178" s="15" t="s">
        <v>798</v>
      </c>
      <c r="L1178" s="12" t="s">
        <v>5315</v>
      </c>
      <c r="M1178" s="13" t="s">
        <v>5389</v>
      </c>
      <c r="N1178" s="12" t="s">
        <v>803</v>
      </c>
      <c r="O1178" s="13" t="s">
        <v>4851</v>
      </c>
      <c r="P1178" s="17" t="s">
        <v>802</v>
      </c>
      <c r="Q1178" s="21" t="s">
        <v>7826</v>
      </c>
      <c r="R1178" s="17" t="s">
        <v>801</v>
      </c>
      <c r="S1178" s="18" t="s">
        <v>3407</v>
      </c>
      <c r="T1178" s="17" t="s">
        <v>800</v>
      </c>
      <c r="U1178" s="18" t="s">
        <v>5266</v>
      </c>
      <c r="V1178" s="17" t="s">
        <v>9418</v>
      </c>
      <c r="W1178" s="18" t="s">
        <v>5314</v>
      </c>
      <c r="X1178" s="69" t="s">
        <v>9453</v>
      </c>
      <c r="Y1178" s="70" t="s">
        <v>9464</v>
      </c>
      <c r="Z1178" s="73" t="s">
        <v>9486</v>
      </c>
      <c r="AA1178" s="74" t="s">
        <v>9504</v>
      </c>
      <c r="AB1178" s="73" t="s">
        <v>9486</v>
      </c>
      <c r="AC1178" s="74" t="s">
        <v>9566</v>
      </c>
      <c r="AD1178" s="73" t="s">
        <v>9578</v>
      </c>
      <c r="AE1178" s="74" t="s">
        <v>9579</v>
      </c>
    </row>
    <row r="1179" spans="1:31" ht="8.65" customHeight="1" x14ac:dyDescent="0.2">
      <c r="A1179" s="76">
        <v>1179</v>
      </c>
      <c r="B1179" s="67" t="str">
        <f>MID(C1179, FIND("Ifc.", C1179) + 4, 4) &amp; "_" &amp; TEXT(COUNTIF($C$2:C1179, C1179),"0000")</f>
        <v>Prop_1178</v>
      </c>
      <c r="C1179" s="24" t="s">
        <v>872</v>
      </c>
      <c r="D1179" s="69" t="s">
        <v>9453</v>
      </c>
      <c r="E1179" s="70" t="s">
        <v>9454</v>
      </c>
      <c r="F1179" s="17" t="s">
        <v>806</v>
      </c>
      <c r="G1179" s="22" t="s">
        <v>1086</v>
      </c>
      <c r="H1179" s="12" t="s">
        <v>9703</v>
      </c>
      <c r="I1179" s="13" t="s">
        <v>6152</v>
      </c>
      <c r="J1179" s="14" t="s">
        <v>798</v>
      </c>
      <c r="K1179" s="15" t="s">
        <v>798</v>
      </c>
      <c r="L1179" s="12" t="s">
        <v>5315</v>
      </c>
      <c r="M1179" s="13" t="s">
        <v>5390</v>
      </c>
      <c r="N1179" s="12" t="s">
        <v>803</v>
      </c>
      <c r="O1179" s="13" t="s">
        <v>4852</v>
      </c>
      <c r="P1179" s="17" t="s">
        <v>802</v>
      </c>
      <c r="Q1179" s="21" t="s">
        <v>7866</v>
      </c>
      <c r="R1179" s="17" t="s">
        <v>801</v>
      </c>
      <c r="S1179" s="18" t="s">
        <v>3407</v>
      </c>
      <c r="T1179" s="17" t="s">
        <v>800</v>
      </c>
      <c r="U1179" s="18" t="s">
        <v>5266</v>
      </c>
      <c r="V1179" s="17" t="s">
        <v>9418</v>
      </c>
      <c r="W1179" s="18" t="s">
        <v>5314</v>
      </c>
      <c r="X1179" s="69" t="s">
        <v>9453</v>
      </c>
      <c r="Y1179" s="70" t="s">
        <v>9464</v>
      </c>
      <c r="Z1179" s="73" t="s">
        <v>9486</v>
      </c>
      <c r="AA1179" s="74" t="s">
        <v>9504</v>
      </c>
      <c r="AB1179" s="73" t="s">
        <v>9486</v>
      </c>
      <c r="AC1179" s="74" t="s">
        <v>9566</v>
      </c>
      <c r="AD1179" s="73" t="s">
        <v>9578</v>
      </c>
      <c r="AE1179" s="74" t="s">
        <v>9579</v>
      </c>
    </row>
    <row r="1180" spans="1:31" ht="8.65" customHeight="1" x14ac:dyDescent="0.2">
      <c r="A1180" s="76">
        <v>1180</v>
      </c>
      <c r="B1180" s="67" t="str">
        <f>MID(C1180, FIND("Ifc.", C1180) + 4, 4) &amp; "_" &amp; TEXT(COUNTIF($C$2:C1180, C1180),"0000")</f>
        <v>Prop_1179</v>
      </c>
      <c r="C1180" s="24" t="s">
        <v>872</v>
      </c>
      <c r="D1180" s="69" t="s">
        <v>9453</v>
      </c>
      <c r="E1180" s="70" t="s">
        <v>9454</v>
      </c>
      <c r="F1180" s="17" t="s">
        <v>806</v>
      </c>
      <c r="G1180" s="22" t="s">
        <v>1086</v>
      </c>
      <c r="H1180" s="12" t="s">
        <v>9703</v>
      </c>
      <c r="I1180" s="13" t="s">
        <v>6152</v>
      </c>
      <c r="J1180" s="14" t="s">
        <v>798</v>
      </c>
      <c r="K1180" s="15" t="s">
        <v>798</v>
      </c>
      <c r="L1180" s="12" t="s">
        <v>5315</v>
      </c>
      <c r="M1180" s="13" t="s">
        <v>5995</v>
      </c>
      <c r="N1180" s="12" t="s">
        <v>803</v>
      </c>
      <c r="O1180" s="13" t="s">
        <v>4855</v>
      </c>
      <c r="P1180" s="17" t="s">
        <v>802</v>
      </c>
      <c r="Q1180" s="21" t="s">
        <v>7867</v>
      </c>
      <c r="R1180" s="17" t="s">
        <v>801</v>
      </c>
      <c r="S1180" s="18" t="s">
        <v>3407</v>
      </c>
      <c r="T1180" s="17" t="s">
        <v>800</v>
      </c>
      <c r="U1180" s="18" t="s">
        <v>5266</v>
      </c>
      <c r="V1180" s="17" t="s">
        <v>9418</v>
      </c>
      <c r="W1180" s="18" t="s">
        <v>5314</v>
      </c>
      <c r="X1180" s="69" t="s">
        <v>9453</v>
      </c>
      <c r="Y1180" s="70" t="s">
        <v>9464</v>
      </c>
      <c r="Z1180" s="73" t="s">
        <v>9486</v>
      </c>
      <c r="AA1180" s="74" t="s">
        <v>9504</v>
      </c>
      <c r="AB1180" s="73" t="s">
        <v>9486</v>
      </c>
      <c r="AC1180" s="74" t="s">
        <v>9566</v>
      </c>
      <c r="AD1180" s="73" t="s">
        <v>9578</v>
      </c>
      <c r="AE1180" s="74" t="s">
        <v>9579</v>
      </c>
    </row>
    <row r="1181" spans="1:31" ht="8.65" customHeight="1" x14ac:dyDescent="0.2">
      <c r="A1181" s="76">
        <v>1181</v>
      </c>
      <c r="B1181" s="67" t="str">
        <f>MID(C1181, FIND("Ifc.", C1181) + 4, 4) &amp; "_" &amp; TEXT(COUNTIF($C$2:C1181, C1181),"0000")</f>
        <v>Prop_1180</v>
      </c>
      <c r="C1181" s="24" t="s">
        <v>872</v>
      </c>
      <c r="D1181" s="69" t="s">
        <v>9453</v>
      </c>
      <c r="E1181" s="70" t="s">
        <v>9454</v>
      </c>
      <c r="F1181" s="17" t="s">
        <v>806</v>
      </c>
      <c r="G1181" s="22" t="s">
        <v>1086</v>
      </c>
      <c r="H1181" s="12" t="s">
        <v>9703</v>
      </c>
      <c r="I1181" s="13" t="s">
        <v>7144</v>
      </c>
      <c r="J1181" s="14" t="s">
        <v>798</v>
      </c>
      <c r="K1181" s="15" t="s">
        <v>798</v>
      </c>
      <c r="L1181" s="12" t="s">
        <v>5315</v>
      </c>
      <c r="M1181" s="13" t="s">
        <v>5994</v>
      </c>
      <c r="N1181" s="12" t="s">
        <v>803</v>
      </c>
      <c r="O1181" s="13" t="s">
        <v>4854</v>
      </c>
      <c r="P1181" s="17" t="s">
        <v>802</v>
      </c>
      <c r="Q1181" s="21" t="s">
        <v>7825</v>
      </c>
      <c r="R1181" s="17" t="s">
        <v>801</v>
      </c>
      <c r="S1181" s="18" t="s">
        <v>3407</v>
      </c>
      <c r="T1181" s="17" t="s">
        <v>800</v>
      </c>
      <c r="U1181" s="18" t="s">
        <v>5266</v>
      </c>
      <c r="V1181" s="17" t="s">
        <v>9418</v>
      </c>
      <c r="W1181" s="18" t="s">
        <v>5314</v>
      </c>
      <c r="X1181" s="69" t="s">
        <v>9453</v>
      </c>
      <c r="Y1181" s="70" t="s">
        <v>9464</v>
      </c>
      <c r="Z1181" s="73" t="s">
        <v>9486</v>
      </c>
      <c r="AA1181" s="74" t="s">
        <v>9504</v>
      </c>
      <c r="AB1181" s="73" t="s">
        <v>9486</v>
      </c>
      <c r="AC1181" s="74" t="s">
        <v>9566</v>
      </c>
      <c r="AD1181" s="73" t="s">
        <v>9578</v>
      </c>
      <c r="AE1181" s="74" t="s">
        <v>9579</v>
      </c>
    </row>
    <row r="1182" spans="1:31" ht="8.65" customHeight="1" x14ac:dyDescent="0.2">
      <c r="A1182" s="76">
        <v>1182</v>
      </c>
      <c r="B1182" s="67" t="str">
        <f>MID(C1182, FIND("Ifc.", C1182) + 4, 4) &amp; "_" &amp; TEXT(COUNTIF($C$2:C1182, C1182),"0000")</f>
        <v>Prop_1181</v>
      </c>
      <c r="C1182" s="24" t="s">
        <v>872</v>
      </c>
      <c r="D1182" s="69" t="s">
        <v>9453</v>
      </c>
      <c r="E1182" s="70" t="s">
        <v>9454</v>
      </c>
      <c r="F1182" s="17" t="s">
        <v>806</v>
      </c>
      <c r="G1182" s="22" t="s">
        <v>2294</v>
      </c>
      <c r="H1182" s="12" t="s">
        <v>9703</v>
      </c>
      <c r="I1182" s="13" t="s">
        <v>6708</v>
      </c>
      <c r="J1182" s="14" t="s">
        <v>798</v>
      </c>
      <c r="K1182" s="15" t="s">
        <v>798</v>
      </c>
      <c r="L1182" s="12" t="s">
        <v>5315</v>
      </c>
      <c r="M1182" s="13" t="s">
        <v>5858</v>
      </c>
      <c r="N1182" s="12" t="s">
        <v>803</v>
      </c>
      <c r="O1182" s="13" t="s">
        <v>5163</v>
      </c>
      <c r="P1182" s="17" t="s">
        <v>802</v>
      </c>
      <c r="Q1182" s="21" t="s">
        <v>7858</v>
      </c>
      <c r="R1182" s="17" t="s">
        <v>801</v>
      </c>
      <c r="S1182" s="18" t="s">
        <v>3407</v>
      </c>
      <c r="T1182" s="17" t="s">
        <v>800</v>
      </c>
      <c r="U1182" s="18" t="s">
        <v>5266</v>
      </c>
      <c r="V1182" s="17" t="s">
        <v>9418</v>
      </c>
      <c r="W1182" s="18" t="s">
        <v>5314</v>
      </c>
      <c r="X1182" s="69" t="s">
        <v>9453</v>
      </c>
      <c r="Y1182" s="70" t="s">
        <v>9464</v>
      </c>
      <c r="Z1182" s="73" t="s">
        <v>9486</v>
      </c>
      <c r="AA1182" s="74" t="s">
        <v>9504</v>
      </c>
      <c r="AB1182" s="73" t="s">
        <v>9486</v>
      </c>
      <c r="AC1182" s="74" t="s">
        <v>9566</v>
      </c>
      <c r="AD1182" s="73" t="s">
        <v>9578</v>
      </c>
      <c r="AE1182" s="74" t="s">
        <v>9579</v>
      </c>
    </row>
    <row r="1183" spans="1:31" ht="8.65" customHeight="1" x14ac:dyDescent="0.2">
      <c r="A1183" s="76">
        <v>1183</v>
      </c>
      <c r="B1183" s="67" t="str">
        <f>MID(C1183, FIND("Ifc.", C1183) + 4, 4) &amp; "_" &amp; TEXT(COUNTIF($C$2:C1183, C1183),"0000")</f>
        <v>Prop_1182</v>
      </c>
      <c r="C1183" s="24" t="s">
        <v>872</v>
      </c>
      <c r="D1183" s="69" t="s">
        <v>9453</v>
      </c>
      <c r="E1183" s="70" t="s">
        <v>9454</v>
      </c>
      <c r="F1183" s="17" t="s">
        <v>806</v>
      </c>
      <c r="G1183" s="22" t="s">
        <v>1753</v>
      </c>
      <c r="H1183" s="12" t="s">
        <v>9703</v>
      </c>
      <c r="I1183" s="13" t="s">
        <v>6907</v>
      </c>
      <c r="J1183" s="14" t="s">
        <v>798</v>
      </c>
      <c r="K1183" s="15" t="s">
        <v>798</v>
      </c>
      <c r="L1183" s="12" t="s">
        <v>5315</v>
      </c>
      <c r="M1183" s="13" t="s">
        <v>5450</v>
      </c>
      <c r="N1183" s="12" t="s">
        <v>803</v>
      </c>
      <c r="O1183" s="13" t="s">
        <v>5007</v>
      </c>
      <c r="P1183" s="17" t="s">
        <v>802</v>
      </c>
      <c r="Q1183" s="21" t="s">
        <v>7976</v>
      </c>
      <c r="R1183" s="17" t="s">
        <v>801</v>
      </c>
      <c r="S1183" s="18" t="s">
        <v>3407</v>
      </c>
      <c r="T1183" s="17" t="s">
        <v>800</v>
      </c>
      <c r="U1183" s="18" t="s">
        <v>5266</v>
      </c>
      <c r="V1183" s="17" t="s">
        <v>9418</v>
      </c>
      <c r="W1183" s="18" t="s">
        <v>5314</v>
      </c>
      <c r="X1183" s="69" t="s">
        <v>9453</v>
      </c>
      <c r="Y1183" s="70" t="s">
        <v>9464</v>
      </c>
      <c r="Z1183" s="73" t="s">
        <v>9486</v>
      </c>
      <c r="AA1183" s="74" t="s">
        <v>9504</v>
      </c>
      <c r="AB1183" s="73" t="s">
        <v>9486</v>
      </c>
      <c r="AC1183" s="74" t="s">
        <v>9566</v>
      </c>
      <c r="AD1183" s="73" t="s">
        <v>9578</v>
      </c>
      <c r="AE1183" s="74" t="s">
        <v>9579</v>
      </c>
    </row>
    <row r="1184" spans="1:31" ht="8.65" customHeight="1" x14ac:dyDescent="0.2">
      <c r="A1184" s="76">
        <v>1184</v>
      </c>
      <c r="B1184" s="67" t="str">
        <f>MID(C1184, FIND("Ifc.", C1184) + 4, 4) &amp; "_" &amp; TEXT(COUNTIF($C$2:C1184, C1184),"0000")</f>
        <v>Prop_1183</v>
      </c>
      <c r="C1184" s="24" t="s">
        <v>872</v>
      </c>
      <c r="D1184" s="69" t="s">
        <v>9453</v>
      </c>
      <c r="E1184" s="70" t="s">
        <v>9454</v>
      </c>
      <c r="F1184" s="17" t="s">
        <v>806</v>
      </c>
      <c r="G1184" s="22" t="s">
        <v>1754</v>
      </c>
      <c r="H1184" s="12" t="s">
        <v>9703</v>
      </c>
      <c r="I1184" s="13" t="s">
        <v>6470</v>
      </c>
      <c r="J1184" s="14" t="s">
        <v>798</v>
      </c>
      <c r="K1184" s="15" t="s">
        <v>798</v>
      </c>
      <c r="L1184" s="12" t="s">
        <v>5315</v>
      </c>
      <c r="M1184" s="13" t="s">
        <v>5450</v>
      </c>
      <c r="N1184" s="12" t="s">
        <v>803</v>
      </c>
      <c r="O1184" s="13" t="s">
        <v>5007</v>
      </c>
      <c r="P1184" s="17" t="s">
        <v>802</v>
      </c>
      <c r="Q1184" s="21" t="s">
        <v>7976</v>
      </c>
      <c r="R1184" s="17" t="s">
        <v>801</v>
      </c>
      <c r="S1184" s="18" t="s">
        <v>3407</v>
      </c>
      <c r="T1184" s="17" t="s">
        <v>800</v>
      </c>
      <c r="U1184" s="18" t="s">
        <v>5266</v>
      </c>
      <c r="V1184" s="17" t="s">
        <v>9418</v>
      </c>
      <c r="W1184" s="18" t="s">
        <v>5314</v>
      </c>
      <c r="X1184" s="69" t="s">
        <v>9453</v>
      </c>
      <c r="Y1184" s="70" t="s">
        <v>9464</v>
      </c>
      <c r="Z1184" s="73" t="s">
        <v>9486</v>
      </c>
      <c r="AA1184" s="74" t="s">
        <v>9504</v>
      </c>
      <c r="AB1184" s="73" t="s">
        <v>9486</v>
      </c>
      <c r="AC1184" s="74" t="s">
        <v>9566</v>
      </c>
      <c r="AD1184" s="73" t="s">
        <v>9578</v>
      </c>
      <c r="AE1184" s="74" t="s">
        <v>9579</v>
      </c>
    </row>
    <row r="1185" spans="1:31" ht="8.65" customHeight="1" x14ac:dyDescent="0.2">
      <c r="A1185" s="76">
        <v>1185</v>
      </c>
      <c r="B1185" s="67" t="str">
        <f>MID(C1185, FIND("Ifc.", C1185) + 4, 4) &amp; "_" &amp; TEXT(COUNTIF($C$2:C1185, C1185),"0000")</f>
        <v>Prop_1184</v>
      </c>
      <c r="C1185" s="24" t="s">
        <v>872</v>
      </c>
      <c r="D1185" s="69" t="s">
        <v>9453</v>
      </c>
      <c r="E1185" s="70" t="s">
        <v>9454</v>
      </c>
      <c r="F1185" s="17" t="s">
        <v>806</v>
      </c>
      <c r="G1185" s="22" t="s">
        <v>1451</v>
      </c>
      <c r="H1185" s="12" t="s">
        <v>9703</v>
      </c>
      <c r="I1185" s="13" t="s">
        <v>7000</v>
      </c>
      <c r="J1185" s="14" t="s">
        <v>798</v>
      </c>
      <c r="K1185" s="15" t="s">
        <v>798</v>
      </c>
      <c r="L1185" s="12" t="s">
        <v>5315</v>
      </c>
      <c r="M1185" s="13" t="s">
        <v>5438</v>
      </c>
      <c r="N1185" s="12" t="s">
        <v>803</v>
      </c>
      <c r="O1185" s="13" t="s">
        <v>4939</v>
      </c>
      <c r="P1185" s="17" t="s">
        <v>802</v>
      </c>
      <c r="Q1185" s="21" t="s">
        <v>7756</v>
      </c>
      <c r="R1185" s="17" t="s">
        <v>801</v>
      </c>
      <c r="S1185" s="18" t="s">
        <v>3407</v>
      </c>
      <c r="T1185" s="17" t="s">
        <v>800</v>
      </c>
      <c r="U1185" s="18" t="s">
        <v>5266</v>
      </c>
      <c r="V1185" s="17" t="s">
        <v>9418</v>
      </c>
      <c r="W1185" s="18" t="s">
        <v>5314</v>
      </c>
      <c r="X1185" s="69" t="s">
        <v>9453</v>
      </c>
      <c r="Y1185" s="70" t="s">
        <v>9464</v>
      </c>
      <c r="Z1185" s="73" t="s">
        <v>9486</v>
      </c>
      <c r="AA1185" s="74" t="s">
        <v>9504</v>
      </c>
      <c r="AB1185" s="73" t="s">
        <v>9486</v>
      </c>
      <c r="AC1185" s="74" t="s">
        <v>9566</v>
      </c>
      <c r="AD1185" s="73" t="s">
        <v>9578</v>
      </c>
      <c r="AE1185" s="74" t="s">
        <v>9579</v>
      </c>
    </row>
    <row r="1186" spans="1:31" ht="8.65" customHeight="1" x14ac:dyDescent="0.2">
      <c r="A1186" s="76">
        <v>1186</v>
      </c>
      <c r="B1186" s="67" t="str">
        <f>MID(C1186, FIND("Ifc.", C1186) + 4, 4) &amp; "_" &amp; TEXT(COUNTIF($C$2:C1186, C1186),"0000")</f>
        <v>Prop_1185</v>
      </c>
      <c r="C1186" s="24" t="s">
        <v>872</v>
      </c>
      <c r="D1186" s="69" t="s">
        <v>9453</v>
      </c>
      <c r="E1186" s="70" t="s">
        <v>9454</v>
      </c>
      <c r="F1186" s="17" t="s">
        <v>806</v>
      </c>
      <c r="G1186" s="22" t="s">
        <v>1087</v>
      </c>
      <c r="H1186" s="12" t="s">
        <v>9703</v>
      </c>
      <c r="I1186" s="13" t="s">
        <v>6153</v>
      </c>
      <c r="J1186" s="14" t="s">
        <v>798</v>
      </c>
      <c r="K1186" s="15" t="s">
        <v>798</v>
      </c>
      <c r="L1186" s="12" t="s">
        <v>5315</v>
      </c>
      <c r="M1186" s="13" t="s">
        <v>5994</v>
      </c>
      <c r="N1186" s="12" t="s">
        <v>803</v>
      </c>
      <c r="O1186" s="13" t="s">
        <v>4854</v>
      </c>
      <c r="P1186" s="17" t="s">
        <v>802</v>
      </c>
      <c r="Q1186" s="21" t="s">
        <v>7825</v>
      </c>
      <c r="R1186" s="17" t="s">
        <v>801</v>
      </c>
      <c r="S1186" s="18" t="s">
        <v>3407</v>
      </c>
      <c r="T1186" s="17" t="s">
        <v>800</v>
      </c>
      <c r="U1186" s="18" t="s">
        <v>5266</v>
      </c>
      <c r="V1186" s="17" t="s">
        <v>9418</v>
      </c>
      <c r="W1186" s="18" t="s">
        <v>5314</v>
      </c>
      <c r="X1186" s="69" t="s">
        <v>9453</v>
      </c>
      <c r="Y1186" s="70" t="s">
        <v>9464</v>
      </c>
      <c r="Z1186" s="73" t="s">
        <v>9486</v>
      </c>
      <c r="AA1186" s="74" t="s">
        <v>9504</v>
      </c>
      <c r="AB1186" s="73" t="s">
        <v>9486</v>
      </c>
      <c r="AC1186" s="74" t="s">
        <v>9566</v>
      </c>
      <c r="AD1186" s="73" t="s">
        <v>9578</v>
      </c>
      <c r="AE1186" s="74" t="s">
        <v>9579</v>
      </c>
    </row>
    <row r="1187" spans="1:31" ht="8.65" customHeight="1" x14ac:dyDescent="0.2">
      <c r="A1187" s="76">
        <v>1187</v>
      </c>
      <c r="B1187" s="67" t="str">
        <f>MID(C1187, FIND("Ifc.", C1187) + 4, 4) &amp; "_" &amp; TEXT(COUNTIF($C$2:C1187, C1187),"0000")</f>
        <v>Prop_1186</v>
      </c>
      <c r="C1187" s="24" t="s">
        <v>872</v>
      </c>
      <c r="D1187" s="69" t="s">
        <v>9453</v>
      </c>
      <c r="E1187" s="70" t="s">
        <v>9454</v>
      </c>
      <c r="F1187" s="17" t="s">
        <v>806</v>
      </c>
      <c r="G1187" s="22" t="s">
        <v>1087</v>
      </c>
      <c r="H1187" s="12" t="s">
        <v>9703</v>
      </c>
      <c r="I1187" s="13" t="s">
        <v>6153</v>
      </c>
      <c r="J1187" s="14" t="s">
        <v>798</v>
      </c>
      <c r="K1187" s="15" t="s">
        <v>798</v>
      </c>
      <c r="L1187" s="12" t="s">
        <v>5315</v>
      </c>
      <c r="M1187" s="13" t="s">
        <v>5389</v>
      </c>
      <c r="N1187" s="12" t="s">
        <v>803</v>
      </c>
      <c r="O1187" s="13" t="s">
        <v>4851</v>
      </c>
      <c r="P1187" s="17" t="s">
        <v>802</v>
      </c>
      <c r="Q1187" s="21" t="s">
        <v>7826</v>
      </c>
      <c r="R1187" s="17" t="s">
        <v>801</v>
      </c>
      <c r="S1187" s="18" t="s">
        <v>3407</v>
      </c>
      <c r="T1187" s="17" t="s">
        <v>800</v>
      </c>
      <c r="U1187" s="18" t="s">
        <v>5266</v>
      </c>
      <c r="V1187" s="17" t="s">
        <v>9418</v>
      </c>
      <c r="W1187" s="18" t="s">
        <v>5314</v>
      </c>
      <c r="X1187" s="69" t="s">
        <v>9453</v>
      </c>
      <c r="Y1187" s="70" t="s">
        <v>9464</v>
      </c>
      <c r="Z1187" s="73" t="s">
        <v>9486</v>
      </c>
      <c r="AA1187" s="74" t="s">
        <v>9504</v>
      </c>
      <c r="AB1187" s="73" t="s">
        <v>9486</v>
      </c>
      <c r="AC1187" s="74" t="s">
        <v>9566</v>
      </c>
      <c r="AD1187" s="73" t="s">
        <v>9578</v>
      </c>
      <c r="AE1187" s="74" t="s">
        <v>9579</v>
      </c>
    </row>
    <row r="1188" spans="1:31" ht="8.65" customHeight="1" x14ac:dyDescent="0.2">
      <c r="A1188" s="76">
        <v>1188</v>
      </c>
      <c r="B1188" s="67" t="str">
        <f>MID(C1188, FIND("Ifc.", C1188) + 4, 4) &amp; "_" &amp; TEXT(COUNTIF($C$2:C1188, C1188),"0000")</f>
        <v>Prop_1187</v>
      </c>
      <c r="C1188" s="24" t="s">
        <v>872</v>
      </c>
      <c r="D1188" s="69" t="s">
        <v>9453</v>
      </c>
      <c r="E1188" s="70" t="s">
        <v>9454</v>
      </c>
      <c r="F1188" s="17" t="s">
        <v>806</v>
      </c>
      <c r="G1188" s="22" t="s">
        <v>1087</v>
      </c>
      <c r="H1188" s="12" t="s">
        <v>9703</v>
      </c>
      <c r="I1188" s="13" t="s">
        <v>6153</v>
      </c>
      <c r="J1188" s="14" t="s">
        <v>798</v>
      </c>
      <c r="K1188" s="15" t="s">
        <v>798</v>
      </c>
      <c r="L1188" s="12" t="s">
        <v>5315</v>
      </c>
      <c r="M1188" s="13" t="s">
        <v>5390</v>
      </c>
      <c r="N1188" s="12" t="s">
        <v>803</v>
      </c>
      <c r="O1188" s="13" t="s">
        <v>4852</v>
      </c>
      <c r="P1188" s="17" t="s">
        <v>802</v>
      </c>
      <c r="Q1188" s="21" t="s">
        <v>7866</v>
      </c>
      <c r="R1188" s="17" t="s">
        <v>801</v>
      </c>
      <c r="S1188" s="18" t="s">
        <v>3407</v>
      </c>
      <c r="T1188" s="17" t="s">
        <v>800</v>
      </c>
      <c r="U1188" s="18" t="s">
        <v>5266</v>
      </c>
      <c r="V1188" s="17" t="s">
        <v>9418</v>
      </c>
      <c r="W1188" s="18" t="s">
        <v>5314</v>
      </c>
      <c r="X1188" s="69" t="s">
        <v>9453</v>
      </c>
      <c r="Y1188" s="70" t="s">
        <v>9464</v>
      </c>
      <c r="Z1188" s="73" t="s">
        <v>9486</v>
      </c>
      <c r="AA1188" s="74" t="s">
        <v>9504</v>
      </c>
      <c r="AB1188" s="73" t="s">
        <v>9486</v>
      </c>
      <c r="AC1188" s="74" t="s">
        <v>9566</v>
      </c>
      <c r="AD1188" s="73" t="s">
        <v>9578</v>
      </c>
      <c r="AE1188" s="74" t="s">
        <v>9579</v>
      </c>
    </row>
    <row r="1189" spans="1:31" ht="8.65" customHeight="1" x14ac:dyDescent="0.2">
      <c r="A1189" s="76">
        <v>1189</v>
      </c>
      <c r="B1189" s="67" t="str">
        <f>MID(C1189, FIND("Ifc.", C1189) + 4, 4) &amp; "_" &amp; TEXT(COUNTIF($C$2:C1189, C1189),"0000")</f>
        <v>Prop_1188</v>
      </c>
      <c r="C1189" s="24" t="s">
        <v>872</v>
      </c>
      <c r="D1189" s="69" t="s">
        <v>9453</v>
      </c>
      <c r="E1189" s="70" t="s">
        <v>9454</v>
      </c>
      <c r="F1189" s="17" t="s">
        <v>806</v>
      </c>
      <c r="G1189" s="22" t="s">
        <v>1087</v>
      </c>
      <c r="H1189" s="12" t="s">
        <v>9703</v>
      </c>
      <c r="I1189" s="13" t="s">
        <v>6153</v>
      </c>
      <c r="J1189" s="14" t="s">
        <v>798</v>
      </c>
      <c r="K1189" s="15" t="s">
        <v>798</v>
      </c>
      <c r="L1189" s="12" t="s">
        <v>5315</v>
      </c>
      <c r="M1189" s="13" t="s">
        <v>5995</v>
      </c>
      <c r="N1189" s="12" t="s">
        <v>803</v>
      </c>
      <c r="O1189" s="13" t="s">
        <v>4855</v>
      </c>
      <c r="P1189" s="17" t="s">
        <v>802</v>
      </c>
      <c r="Q1189" s="21" t="s">
        <v>7867</v>
      </c>
      <c r="R1189" s="17" t="s">
        <v>801</v>
      </c>
      <c r="S1189" s="18" t="s">
        <v>3407</v>
      </c>
      <c r="T1189" s="17" t="s">
        <v>800</v>
      </c>
      <c r="U1189" s="18" t="s">
        <v>5266</v>
      </c>
      <c r="V1189" s="17" t="s">
        <v>9418</v>
      </c>
      <c r="W1189" s="18" t="s">
        <v>5314</v>
      </c>
      <c r="X1189" s="69" t="s">
        <v>9453</v>
      </c>
      <c r="Y1189" s="70" t="s">
        <v>9464</v>
      </c>
      <c r="Z1189" s="73" t="s">
        <v>9486</v>
      </c>
      <c r="AA1189" s="74" t="s">
        <v>9504</v>
      </c>
      <c r="AB1189" s="73" t="s">
        <v>9486</v>
      </c>
      <c r="AC1189" s="74" t="s">
        <v>9566</v>
      </c>
      <c r="AD1189" s="73" t="s">
        <v>9578</v>
      </c>
      <c r="AE1189" s="74" t="s">
        <v>9579</v>
      </c>
    </row>
    <row r="1190" spans="1:31" ht="8.65" customHeight="1" x14ac:dyDescent="0.2">
      <c r="A1190" s="76">
        <v>1190</v>
      </c>
      <c r="B1190" s="67" t="str">
        <f>MID(C1190, FIND("Ifc.", C1190) + 4, 4) &amp; "_" &amp; TEXT(COUNTIF($C$2:C1190, C1190),"0000")</f>
        <v>Prop_1189</v>
      </c>
      <c r="C1190" s="24" t="s">
        <v>872</v>
      </c>
      <c r="D1190" s="69" t="s">
        <v>9453</v>
      </c>
      <c r="E1190" s="70" t="s">
        <v>9454</v>
      </c>
      <c r="F1190" s="17" t="s">
        <v>806</v>
      </c>
      <c r="G1190" s="22" t="s">
        <v>1085</v>
      </c>
      <c r="H1190" s="12" t="s">
        <v>9703</v>
      </c>
      <c r="I1190" s="13" t="s">
        <v>7364</v>
      </c>
      <c r="J1190" s="14" t="s">
        <v>798</v>
      </c>
      <c r="K1190" s="15" t="s">
        <v>798</v>
      </c>
      <c r="L1190" s="12" t="s">
        <v>5315</v>
      </c>
      <c r="M1190" s="13" t="s">
        <v>5994</v>
      </c>
      <c r="N1190" s="12" t="s">
        <v>803</v>
      </c>
      <c r="O1190" s="13" t="s">
        <v>4854</v>
      </c>
      <c r="P1190" s="17" t="s">
        <v>802</v>
      </c>
      <c r="Q1190" s="21" t="s">
        <v>7825</v>
      </c>
      <c r="R1190" s="17" t="s">
        <v>801</v>
      </c>
      <c r="S1190" s="18" t="s">
        <v>3407</v>
      </c>
      <c r="T1190" s="17" t="s">
        <v>800</v>
      </c>
      <c r="U1190" s="18" t="s">
        <v>5266</v>
      </c>
      <c r="V1190" s="17" t="s">
        <v>9418</v>
      </c>
      <c r="W1190" s="18" t="s">
        <v>5314</v>
      </c>
      <c r="X1190" s="69" t="s">
        <v>9453</v>
      </c>
      <c r="Y1190" s="70" t="s">
        <v>9464</v>
      </c>
      <c r="Z1190" s="73" t="s">
        <v>9486</v>
      </c>
      <c r="AA1190" s="74" t="s">
        <v>9504</v>
      </c>
      <c r="AB1190" s="73" t="s">
        <v>9486</v>
      </c>
      <c r="AC1190" s="74" t="s">
        <v>9566</v>
      </c>
      <c r="AD1190" s="73" t="s">
        <v>9578</v>
      </c>
      <c r="AE1190" s="74" t="s">
        <v>9579</v>
      </c>
    </row>
    <row r="1191" spans="1:31" ht="8.65" customHeight="1" x14ac:dyDescent="0.2">
      <c r="A1191" s="76">
        <v>1191</v>
      </c>
      <c r="B1191" s="67" t="str">
        <f>MID(C1191, FIND("Ifc.", C1191) + 4, 4) &amp; "_" &amp; TEXT(COUNTIF($C$2:C1191, C1191),"0000")</f>
        <v>Prop_1190</v>
      </c>
      <c r="C1191" s="24" t="s">
        <v>872</v>
      </c>
      <c r="D1191" s="69" t="s">
        <v>9453</v>
      </c>
      <c r="E1191" s="70" t="s">
        <v>9454</v>
      </c>
      <c r="F1191" s="17" t="s">
        <v>806</v>
      </c>
      <c r="G1191" s="22" t="s">
        <v>1085</v>
      </c>
      <c r="H1191" s="12" t="s">
        <v>9703</v>
      </c>
      <c r="I1191" s="13" t="s">
        <v>7364</v>
      </c>
      <c r="J1191" s="14" t="s">
        <v>798</v>
      </c>
      <c r="K1191" s="15" t="s">
        <v>798</v>
      </c>
      <c r="L1191" s="12" t="s">
        <v>5315</v>
      </c>
      <c r="M1191" s="13" t="s">
        <v>5389</v>
      </c>
      <c r="N1191" s="12" t="s">
        <v>803</v>
      </c>
      <c r="O1191" s="13" t="s">
        <v>4851</v>
      </c>
      <c r="P1191" s="17" t="s">
        <v>802</v>
      </c>
      <c r="Q1191" s="21" t="s">
        <v>7826</v>
      </c>
      <c r="R1191" s="17" t="s">
        <v>801</v>
      </c>
      <c r="S1191" s="18" t="s">
        <v>3407</v>
      </c>
      <c r="T1191" s="17" t="s">
        <v>800</v>
      </c>
      <c r="U1191" s="18" t="s">
        <v>5266</v>
      </c>
      <c r="V1191" s="17" t="s">
        <v>9418</v>
      </c>
      <c r="W1191" s="18" t="s">
        <v>5314</v>
      </c>
      <c r="X1191" s="69" t="s">
        <v>9453</v>
      </c>
      <c r="Y1191" s="70" t="s">
        <v>9464</v>
      </c>
      <c r="Z1191" s="73" t="s">
        <v>9486</v>
      </c>
      <c r="AA1191" s="74" t="s">
        <v>9504</v>
      </c>
      <c r="AB1191" s="73" t="s">
        <v>9486</v>
      </c>
      <c r="AC1191" s="74" t="s">
        <v>9566</v>
      </c>
      <c r="AD1191" s="73" t="s">
        <v>9578</v>
      </c>
      <c r="AE1191" s="74" t="s">
        <v>9579</v>
      </c>
    </row>
    <row r="1192" spans="1:31" ht="8.65" customHeight="1" x14ac:dyDescent="0.2">
      <c r="A1192" s="76">
        <v>1192</v>
      </c>
      <c r="B1192" s="67" t="str">
        <f>MID(C1192, FIND("Ifc.", C1192) + 4, 4) &amp; "_" &amp; TEXT(COUNTIF($C$2:C1192, C1192),"0000")</f>
        <v>Prop_1191</v>
      </c>
      <c r="C1192" s="24" t="s">
        <v>872</v>
      </c>
      <c r="D1192" s="69" t="s">
        <v>9453</v>
      </c>
      <c r="E1192" s="70" t="s">
        <v>9454</v>
      </c>
      <c r="F1192" s="17" t="s">
        <v>806</v>
      </c>
      <c r="G1192" s="22" t="s">
        <v>1085</v>
      </c>
      <c r="H1192" s="12" t="s">
        <v>9703</v>
      </c>
      <c r="I1192" s="13" t="s">
        <v>7364</v>
      </c>
      <c r="J1192" s="14" t="s">
        <v>798</v>
      </c>
      <c r="K1192" s="15" t="s">
        <v>798</v>
      </c>
      <c r="L1192" s="12" t="s">
        <v>5315</v>
      </c>
      <c r="M1192" s="13" t="s">
        <v>5390</v>
      </c>
      <c r="N1192" s="12" t="s">
        <v>803</v>
      </c>
      <c r="O1192" s="13" t="s">
        <v>4852</v>
      </c>
      <c r="P1192" s="17" t="s">
        <v>802</v>
      </c>
      <c r="Q1192" s="21" t="s">
        <v>7866</v>
      </c>
      <c r="R1192" s="17" t="s">
        <v>801</v>
      </c>
      <c r="S1192" s="18" t="s">
        <v>3407</v>
      </c>
      <c r="T1192" s="17" t="s">
        <v>800</v>
      </c>
      <c r="U1192" s="18" t="s">
        <v>5266</v>
      </c>
      <c r="V1192" s="17" t="s">
        <v>9418</v>
      </c>
      <c r="W1192" s="18" t="s">
        <v>5314</v>
      </c>
      <c r="X1192" s="69" t="s">
        <v>9453</v>
      </c>
      <c r="Y1192" s="70" t="s">
        <v>9464</v>
      </c>
      <c r="Z1192" s="73" t="s">
        <v>9486</v>
      </c>
      <c r="AA1192" s="74" t="s">
        <v>9504</v>
      </c>
      <c r="AB1192" s="73" t="s">
        <v>9486</v>
      </c>
      <c r="AC1192" s="74" t="s">
        <v>9566</v>
      </c>
      <c r="AD1192" s="73" t="s">
        <v>9578</v>
      </c>
      <c r="AE1192" s="74" t="s">
        <v>9579</v>
      </c>
    </row>
    <row r="1193" spans="1:31" ht="8.65" customHeight="1" x14ac:dyDescent="0.2">
      <c r="A1193" s="76">
        <v>1193</v>
      </c>
      <c r="B1193" s="67" t="str">
        <f>MID(C1193, FIND("Ifc.", C1193) + 4, 4) &amp; "_" &amp; TEXT(COUNTIF($C$2:C1193, C1193),"0000")</f>
        <v>Prop_1192</v>
      </c>
      <c r="C1193" s="24" t="s">
        <v>872</v>
      </c>
      <c r="D1193" s="69" t="s">
        <v>9453</v>
      </c>
      <c r="E1193" s="70" t="s">
        <v>9454</v>
      </c>
      <c r="F1193" s="17" t="s">
        <v>806</v>
      </c>
      <c r="G1193" s="22" t="s">
        <v>1085</v>
      </c>
      <c r="H1193" s="12" t="s">
        <v>9703</v>
      </c>
      <c r="I1193" s="13" t="s">
        <v>7364</v>
      </c>
      <c r="J1193" s="14" t="s">
        <v>798</v>
      </c>
      <c r="K1193" s="15" t="s">
        <v>798</v>
      </c>
      <c r="L1193" s="12" t="s">
        <v>5315</v>
      </c>
      <c r="M1193" s="13" t="s">
        <v>5995</v>
      </c>
      <c r="N1193" s="12" t="s">
        <v>803</v>
      </c>
      <c r="O1193" s="13" t="s">
        <v>4855</v>
      </c>
      <c r="P1193" s="17" t="s">
        <v>802</v>
      </c>
      <c r="Q1193" s="21" t="s">
        <v>7867</v>
      </c>
      <c r="R1193" s="17" t="s">
        <v>801</v>
      </c>
      <c r="S1193" s="18" t="s">
        <v>3407</v>
      </c>
      <c r="T1193" s="17" t="s">
        <v>800</v>
      </c>
      <c r="U1193" s="18" t="s">
        <v>5266</v>
      </c>
      <c r="V1193" s="17" t="s">
        <v>9418</v>
      </c>
      <c r="W1193" s="18" t="s">
        <v>5314</v>
      </c>
      <c r="X1193" s="69" t="s">
        <v>9453</v>
      </c>
      <c r="Y1193" s="70" t="s">
        <v>9464</v>
      </c>
      <c r="Z1193" s="73" t="s">
        <v>9486</v>
      </c>
      <c r="AA1193" s="74" t="s">
        <v>9504</v>
      </c>
      <c r="AB1193" s="73" t="s">
        <v>9486</v>
      </c>
      <c r="AC1193" s="74" t="s">
        <v>9566</v>
      </c>
      <c r="AD1193" s="73" t="s">
        <v>9578</v>
      </c>
      <c r="AE1193" s="74" t="s">
        <v>9579</v>
      </c>
    </row>
    <row r="1194" spans="1:31" ht="8.65" customHeight="1" x14ac:dyDescent="0.2">
      <c r="A1194" s="76">
        <v>1194</v>
      </c>
      <c r="B1194" s="67" t="str">
        <f>MID(C1194, FIND("Ifc.", C1194) + 4, 4) &amp; "_" &amp; TEXT(COUNTIF($C$2:C1194, C1194),"0000")</f>
        <v>Prop_1193</v>
      </c>
      <c r="C1194" s="24" t="s">
        <v>872</v>
      </c>
      <c r="D1194" s="69" t="s">
        <v>9453</v>
      </c>
      <c r="E1194" s="70" t="s">
        <v>9454</v>
      </c>
      <c r="F1194" s="17" t="s">
        <v>806</v>
      </c>
      <c r="G1194" s="22" t="s">
        <v>2231</v>
      </c>
      <c r="H1194" s="12" t="s">
        <v>9703</v>
      </c>
      <c r="I1194" s="13" t="s">
        <v>2231</v>
      </c>
      <c r="J1194" s="14" t="s">
        <v>798</v>
      </c>
      <c r="K1194" s="15" t="s">
        <v>798</v>
      </c>
      <c r="L1194" s="12" t="s">
        <v>5315</v>
      </c>
      <c r="M1194" s="13" t="s">
        <v>5512</v>
      </c>
      <c r="N1194" s="12" t="s">
        <v>803</v>
      </c>
      <c r="O1194" s="13" t="s">
        <v>5126</v>
      </c>
      <c r="P1194" s="17" t="s">
        <v>802</v>
      </c>
      <c r="Q1194" s="21" t="s">
        <v>7754</v>
      </c>
      <c r="R1194" s="17" t="s">
        <v>801</v>
      </c>
      <c r="S1194" s="18" t="s">
        <v>2554</v>
      </c>
      <c r="T1194" s="17" t="s">
        <v>800</v>
      </c>
      <c r="U1194" s="18" t="s">
        <v>5233</v>
      </c>
      <c r="V1194" s="17" t="s">
        <v>9418</v>
      </c>
      <c r="W1194" s="18" t="s">
        <v>5310</v>
      </c>
      <c r="X1194" s="69" t="s">
        <v>9453</v>
      </c>
      <c r="Y1194" s="70" t="s">
        <v>9463</v>
      </c>
      <c r="Z1194" s="73" t="s">
        <v>9486</v>
      </c>
      <c r="AA1194" s="74" t="s">
        <v>9504</v>
      </c>
      <c r="AB1194" s="73" t="s">
        <v>9486</v>
      </c>
      <c r="AC1194" s="74" t="s">
        <v>9562</v>
      </c>
      <c r="AD1194" s="73" t="s">
        <v>9578</v>
      </c>
      <c r="AE1194" s="74" t="s">
        <v>9579</v>
      </c>
    </row>
    <row r="1195" spans="1:31" ht="8.65" customHeight="1" x14ac:dyDescent="0.2">
      <c r="A1195" s="76">
        <v>1195</v>
      </c>
      <c r="B1195" s="67" t="str">
        <f>MID(C1195, FIND("Ifc.", C1195) + 4, 4) &amp; "_" &amp; TEXT(COUNTIF($C$2:C1195, C1195),"0000")</f>
        <v>Prop_1194</v>
      </c>
      <c r="C1195" s="24" t="s">
        <v>872</v>
      </c>
      <c r="D1195" s="69" t="s">
        <v>9453</v>
      </c>
      <c r="E1195" s="70" t="s">
        <v>9454</v>
      </c>
      <c r="F1195" s="17" t="s">
        <v>806</v>
      </c>
      <c r="G1195" s="22" t="s">
        <v>2480</v>
      </c>
      <c r="H1195" s="12" t="s">
        <v>9703</v>
      </c>
      <c r="I1195" s="13" t="s">
        <v>6817</v>
      </c>
      <c r="J1195" s="14" t="s">
        <v>798</v>
      </c>
      <c r="K1195" s="15" t="s">
        <v>798</v>
      </c>
      <c r="L1195" s="12" t="s">
        <v>5315</v>
      </c>
      <c r="M1195" s="13" t="s">
        <v>6003</v>
      </c>
      <c r="N1195" s="12" t="s">
        <v>803</v>
      </c>
      <c r="O1195" s="13" t="s">
        <v>5214</v>
      </c>
      <c r="P1195" s="17" t="s">
        <v>802</v>
      </c>
      <c r="Q1195" s="21" t="s">
        <v>7830</v>
      </c>
      <c r="R1195" s="17" t="s">
        <v>801</v>
      </c>
      <c r="S1195" s="18" t="s">
        <v>2554</v>
      </c>
      <c r="T1195" s="17" t="s">
        <v>800</v>
      </c>
      <c r="U1195" s="18" t="s">
        <v>5233</v>
      </c>
      <c r="V1195" s="17" t="s">
        <v>9418</v>
      </c>
      <c r="W1195" s="18" t="s">
        <v>5310</v>
      </c>
      <c r="X1195" s="69" t="s">
        <v>9453</v>
      </c>
      <c r="Y1195" s="70" t="s">
        <v>9463</v>
      </c>
      <c r="Z1195" s="73" t="s">
        <v>9486</v>
      </c>
      <c r="AA1195" s="74" t="s">
        <v>9504</v>
      </c>
      <c r="AB1195" s="73" t="s">
        <v>9486</v>
      </c>
      <c r="AC1195" s="74" t="s">
        <v>9562</v>
      </c>
      <c r="AD1195" s="73" t="s">
        <v>9578</v>
      </c>
      <c r="AE1195" s="74" t="s">
        <v>9579</v>
      </c>
    </row>
    <row r="1196" spans="1:31" ht="8.65" customHeight="1" x14ac:dyDescent="0.2">
      <c r="A1196" s="76">
        <v>1196</v>
      </c>
      <c r="B1196" s="67" t="str">
        <f>MID(C1196, FIND("Ifc.", C1196) + 4, 4) &amp; "_" &amp; TEXT(COUNTIF($C$2:C1196, C1196),"0000")</f>
        <v>Prop_1195</v>
      </c>
      <c r="C1196" s="24" t="s">
        <v>872</v>
      </c>
      <c r="D1196" s="69" t="s">
        <v>9453</v>
      </c>
      <c r="E1196" s="70" t="s">
        <v>9454</v>
      </c>
      <c r="F1196" s="17" t="s">
        <v>806</v>
      </c>
      <c r="G1196" s="22" t="s">
        <v>2322</v>
      </c>
      <c r="H1196" s="12" t="s">
        <v>9703</v>
      </c>
      <c r="I1196" s="13" t="s">
        <v>7401</v>
      </c>
      <c r="J1196" s="14" t="s">
        <v>798</v>
      </c>
      <c r="K1196" s="15" t="s">
        <v>798</v>
      </c>
      <c r="L1196" s="12" t="s">
        <v>5315</v>
      </c>
      <c r="M1196" s="13" t="s">
        <v>7402</v>
      </c>
      <c r="N1196" s="12" t="s">
        <v>803</v>
      </c>
      <c r="O1196" s="13" t="s">
        <v>5170</v>
      </c>
      <c r="P1196" s="17" t="s">
        <v>802</v>
      </c>
      <c r="Q1196" s="21" t="s">
        <v>7768</v>
      </c>
      <c r="R1196" s="17" t="s">
        <v>801</v>
      </c>
      <c r="S1196" s="18" t="s">
        <v>2585</v>
      </c>
      <c r="T1196" s="17" t="s">
        <v>800</v>
      </c>
      <c r="U1196" s="18" t="s">
        <v>5238</v>
      </c>
      <c r="V1196" s="17" t="s">
        <v>9418</v>
      </c>
      <c r="W1196" s="18" t="s">
        <v>5309</v>
      </c>
      <c r="X1196" s="69" t="s">
        <v>9453</v>
      </c>
      <c r="Y1196" s="70" t="s">
        <v>9462</v>
      </c>
      <c r="Z1196" s="73" t="s">
        <v>9486</v>
      </c>
      <c r="AA1196" s="74" t="s">
        <v>9504</v>
      </c>
      <c r="AB1196" s="73" t="s">
        <v>9486</v>
      </c>
      <c r="AC1196" s="74" t="s">
        <v>9566</v>
      </c>
      <c r="AD1196" s="73" t="s">
        <v>9578</v>
      </c>
      <c r="AE1196" s="74" t="s">
        <v>9579</v>
      </c>
    </row>
    <row r="1197" spans="1:31" ht="8.65" customHeight="1" x14ac:dyDescent="0.2">
      <c r="A1197" s="76">
        <v>1197</v>
      </c>
      <c r="B1197" s="67" t="str">
        <f>MID(C1197, FIND("Ifc.", C1197) + 4, 4) &amp; "_" &amp; TEXT(COUNTIF($C$2:C1197, C1197),"0000")</f>
        <v>Prop_1196</v>
      </c>
      <c r="C1197" s="24" t="s">
        <v>872</v>
      </c>
      <c r="D1197" s="69" t="s">
        <v>9453</v>
      </c>
      <c r="E1197" s="70" t="s">
        <v>9454</v>
      </c>
      <c r="F1197" s="17" t="s">
        <v>806</v>
      </c>
      <c r="G1197" s="22" t="s">
        <v>2323</v>
      </c>
      <c r="H1197" s="12" t="s">
        <v>9703</v>
      </c>
      <c r="I1197" s="13" t="s">
        <v>7401</v>
      </c>
      <c r="J1197" s="14" t="s">
        <v>798</v>
      </c>
      <c r="K1197" s="15" t="s">
        <v>798</v>
      </c>
      <c r="L1197" s="12" t="s">
        <v>5315</v>
      </c>
      <c r="M1197" s="13" t="s">
        <v>7402</v>
      </c>
      <c r="N1197" s="12" t="s">
        <v>803</v>
      </c>
      <c r="O1197" s="13" t="s">
        <v>5170</v>
      </c>
      <c r="P1197" s="17" t="s">
        <v>802</v>
      </c>
      <c r="Q1197" s="21" t="s">
        <v>7768</v>
      </c>
      <c r="R1197" s="17" t="s">
        <v>801</v>
      </c>
      <c r="S1197" s="18" t="s">
        <v>2585</v>
      </c>
      <c r="T1197" s="17" t="s">
        <v>800</v>
      </c>
      <c r="U1197" s="18" t="s">
        <v>5238</v>
      </c>
      <c r="V1197" s="17" t="s">
        <v>9418</v>
      </c>
      <c r="W1197" s="18" t="s">
        <v>5309</v>
      </c>
      <c r="X1197" s="69" t="s">
        <v>9453</v>
      </c>
      <c r="Y1197" s="70" t="s">
        <v>9462</v>
      </c>
      <c r="Z1197" s="73" t="s">
        <v>9486</v>
      </c>
      <c r="AA1197" s="74" t="s">
        <v>9504</v>
      </c>
      <c r="AB1197" s="73" t="s">
        <v>9486</v>
      </c>
      <c r="AC1197" s="74" t="s">
        <v>9566</v>
      </c>
      <c r="AD1197" s="73" t="s">
        <v>9578</v>
      </c>
      <c r="AE1197" s="74" t="s">
        <v>9579</v>
      </c>
    </row>
    <row r="1198" spans="1:31" ht="8.65" customHeight="1" x14ac:dyDescent="0.2">
      <c r="A1198" s="76">
        <v>1198</v>
      </c>
      <c r="B1198" s="67" t="str">
        <f>MID(C1198, FIND("Ifc.", C1198) + 4, 4) &amp; "_" &amp; TEXT(COUNTIF($C$2:C1198, C1198),"0000")</f>
        <v>Prop_1197</v>
      </c>
      <c r="C1198" s="24" t="s">
        <v>872</v>
      </c>
      <c r="D1198" s="69" t="s">
        <v>9453</v>
      </c>
      <c r="E1198" s="70" t="s">
        <v>9454</v>
      </c>
      <c r="F1198" s="17" t="s">
        <v>806</v>
      </c>
      <c r="G1198" s="22" t="s">
        <v>2324</v>
      </c>
      <c r="H1198" s="12" t="s">
        <v>9703</v>
      </c>
      <c r="I1198" s="13" t="s">
        <v>7401</v>
      </c>
      <c r="J1198" s="14" t="s">
        <v>798</v>
      </c>
      <c r="K1198" s="15" t="s">
        <v>798</v>
      </c>
      <c r="L1198" s="12" t="s">
        <v>5315</v>
      </c>
      <c r="M1198" s="13" t="s">
        <v>7402</v>
      </c>
      <c r="N1198" s="12" t="s">
        <v>803</v>
      </c>
      <c r="O1198" s="13" t="s">
        <v>5170</v>
      </c>
      <c r="P1198" s="17" t="s">
        <v>802</v>
      </c>
      <c r="Q1198" s="21" t="s">
        <v>7768</v>
      </c>
      <c r="R1198" s="17" t="s">
        <v>801</v>
      </c>
      <c r="S1198" s="18" t="s">
        <v>2585</v>
      </c>
      <c r="T1198" s="17" t="s">
        <v>800</v>
      </c>
      <c r="U1198" s="18" t="s">
        <v>5238</v>
      </c>
      <c r="V1198" s="17" t="s">
        <v>9418</v>
      </c>
      <c r="W1198" s="18" t="s">
        <v>5309</v>
      </c>
      <c r="X1198" s="69" t="s">
        <v>9453</v>
      </c>
      <c r="Y1198" s="70" t="s">
        <v>9462</v>
      </c>
      <c r="Z1198" s="73" t="s">
        <v>9486</v>
      </c>
      <c r="AA1198" s="74" t="s">
        <v>9504</v>
      </c>
      <c r="AB1198" s="73" t="s">
        <v>9486</v>
      </c>
      <c r="AC1198" s="74" t="s">
        <v>9566</v>
      </c>
      <c r="AD1198" s="73" t="s">
        <v>9578</v>
      </c>
      <c r="AE1198" s="74" t="s">
        <v>9579</v>
      </c>
    </row>
    <row r="1199" spans="1:31" ht="8.65" customHeight="1" x14ac:dyDescent="0.2">
      <c r="A1199" s="76">
        <v>1199</v>
      </c>
      <c r="B1199" s="67" t="str">
        <f>MID(C1199, FIND("Ifc.", C1199) + 4, 4) &amp; "_" &amp; TEXT(COUNTIF($C$2:C1199, C1199),"0000")</f>
        <v>Prop_1198</v>
      </c>
      <c r="C1199" s="24" t="s">
        <v>872</v>
      </c>
      <c r="D1199" s="69" t="s">
        <v>9453</v>
      </c>
      <c r="E1199" s="70" t="s">
        <v>9454</v>
      </c>
      <c r="F1199" s="17" t="s">
        <v>806</v>
      </c>
      <c r="G1199" s="22" t="s">
        <v>2325</v>
      </c>
      <c r="H1199" s="12" t="s">
        <v>9703</v>
      </c>
      <c r="I1199" s="13" t="s">
        <v>7401</v>
      </c>
      <c r="J1199" s="14" t="s">
        <v>798</v>
      </c>
      <c r="K1199" s="15" t="s">
        <v>798</v>
      </c>
      <c r="L1199" s="12" t="s">
        <v>5315</v>
      </c>
      <c r="M1199" s="13" t="s">
        <v>7402</v>
      </c>
      <c r="N1199" s="12" t="s">
        <v>803</v>
      </c>
      <c r="O1199" s="13" t="s">
        <v>5170</v>
      </c>
      <c r="P1199" s="17" t="s">
        <v>802</v>
      </c>
      <c r="Q1199" s="21" t="s">
        <v>7768</v>
      </c>
      <c r="R1199" s="17" t="s">
        <v>801</v>
      </c>
      <c r="S1199" s="18" t="s">
        <v>2585</v>
      </c>
      <c r="T1199" s="17" t="s">
        <v>800</v>
      </c>
      <c r="U1199" s="18" t="s">
        <v>5238</v>
      </c>
      <c r="V1199" s="17" t="s">
        <v>9418</v>
      </c>
      <c r="W1199" s="18" t="s">
        <v>5309</v>
      </c>
      <c r="X1199" s="69" t="s">
        <v>9453</v>
      </c>
      <c r="Y1199" s="70" t="s">
        <v>9462</v>
      </c>
      <c r="Z1199" s="73" t="s">
        <v>9486</v>
      </c>
      <c r="AA1199" s="74" t="s">
        <v>9504</v>
      </c>
      <c r="AB1199" s="73" t="s">
        <v>9486</v>
      </c>
      <c r="AC1199" s="74" t="s">
        <v>9566</v>
      </c>
      <c r="AD1199" s="73" t="s">
        <v>9578</v>
      </c>
      <c r="AE1199" s="74" t="s">
        <v>9579</v>
      </c>
    </row>
    <row r="1200" spans="1:31" ht="8.65" customHeight="1" x14ac:dyDescent="0.2">
      <c r="A1200" s="76">
        <v>1200</v>
      </c>
      <c r="B1200" s="67" t="str">
        <f>MID(C1200, FIND("Ifc.", C1200) + 4, 4) &amp; "_" &amp; TEXT(COUNTIF($C$2:C1200, C1200),"0000")</f>
        <v>Prop_1199</v>
      </c>
      <c r="C1200" s="24" t="s">
        <v>872</v>
      </c>
      <c r="D1200" s="69" t="s">
        <v>9453</v>
      </c>
      <c r="E1200" s="70" t="s">
        <v>9454</v>
      </c>
      <c r="F1200" s="17" t="s">
        <v>806</v>
      </c>
      <c r="G1200" s="22" t="s">
        <v>2326</v>
      </c>
      <c r="H1200" s="12" t="s">
        <v>9703</v>
      </c>
      <c r="I1200" s="13" t="s">
        <v>7401</v>
      </c>
      <c r="J1200" s="14" t="s">
        <v>798</v>
      </c>
      <c r="K1200" s="15" t="s">
        <v>798</v>
      </c>
      <c r="L1200" s="12" t="s">
        <v>5315</v>
      </c>
      <c r="M1200" s="13" t="s">
        <v>7402</v>
      </c>
      <c r="N1200" s="12" t="s">
        <v>803</v>
      </c>
      <c r="O1200" s="13" t="s">
        <v>5170</v>
      </c>
      <c r="P1200" s="17" t="s">
        <v>802</v>
      </c>
      <c r="Q1200" s="21" t="s">
        <v>7768</v>
      </c>
      <c r="R1200" s="17" t="s">
        <v>801</v>
      </c>
      <c r="S1200" s="18" t="s">
        <v>2585</v>
      </c>
      <c r="T1200" s="17" t="s">
        <v>800</v>
      </c>
      <c r="U1200" s="18" t="s">
        <v>5238</v>
      </c>
      <c r="V1200" s="17" t="s">
        <v>9418</v>
      </c>
      <c r="W1200" s="18" t="s">
        <v>5309</v>
      </c>
      <c r="X1200" s="69" t="s">
        <v>9453</v>
      </c>
      <c r="Y1200" s="70" t="s">
        <v>9462</v>
      </c>
      <c r="Z1200" s="73" t="s">
        <v>9486</v>
      </c>
      <c r="AA1200" s="74" t="s">
        <v>9504</v>
      </c>
      <c r="AB1200" s="73" t="s">
        <v>9486</v>
      </c>
      <c r="AC1200" s="74" t="s">
        <v>9566</v>
      </c>
      <c r="AD1200" s="73" t="s">
        <v>9578</v>
      </c>
      <c r="AE1200" s="74" t="s">
        <v>9579</v>
      </c>
    </row>
    <row r="1201" spans="1:31" ht="8.65" customHeight="1" x14ac:dyDescent="0.2">
      <c r="A1201" s="76">
        <v>1201</v>
      </c>
      <c r="B1201" s="67" t="str">
        <f>MID(C1201, FIND("Ifc.", C1201) + 4, 4) &amp; "_" &amp; TEXT(COUNTIF($C$2:C1201, C1201),"0000")</f>
        <v>Prop_1200</v>
      </c>
      <c r="C1201" s="24" t="s">
        <v>872</v>
      </c>
      <c r="D1201" s="69" t="s">
        <v>9453</v>
      </c>
      <c r="E1201" s="70" t="s">
        <v>9454</v>
      </c>
      <c r="F1201" s="17" t="s">
        <v>806</v>
      </c>
      <c r="G1201" s="22" t="s">
        <v>2329</v>
      </c>
      <c r="H1201" s="12" t="s">
        <v>9703</v>
      </c>
      <c r="I1201" s="13" t="s">
        <v>7401</v>
      </c>
      <c r="J1201" s="14" t="s">
        <v>798</v>
      </c>
      <c r="K1201" s="15" t="s">
        <v>798</v>
      </c>
      <c r="L1201" s="12" t="s">
        <v>5315</v>
      </c>
      <c r="M1201" s="13" t="s">
        <v>7402</v>
      </c>
      <c r="N1201" s="12" t="s">
        <v>803</v>
      </c>
      <c r="O1201" s="13" t="s">
        <v>5170</v>
      </c>
      <c r="P1201" s="17" t="s">
        <v>802</v>
      </c>
      <c r="Q1201" s="21" t="s">
        <v>7768</v>
      </c>
      <c r="R1201" s="17" t="s">
        <v>801</v>
      </c>
      <c r="S1201" s="18" t="s">
        <v>2589</v>
      </c>
      <c r="T1201" s="17" t="s">
        <v>800</v>
      </c>
      <c r="U1201" s="18" t="s">
        <v>5258</v>
      </c>
      <c r="V1201" s="17" t="s">
        <v>9418</v>
      </c>
      <c r="W1201" s="18" t="s">
        <v>5309</v>
      </c>
      <c r="X1201" s="69" t="s">
        <v>9453</v>
      </c>
      <c r="Y1201" s="70" t="s">
        <v>9462</v>
      </c>
      <c r="Z1201" s="73" t="s">
        <v>9486</v>
      </c>
      <c r="AA1201" s="74" t="s">
        <v>9504</v>
      </c>
      <c r="AB1201" s="73" t="s">
        <v>9486</v>
      </c>
      <c r="AC1201" s="74" t="s">
        <v>9566</v>
      </c>
      <c r="AD1201" s="73" t="s">
        <v>9578</v>
      </c>
      <c r="AE1201" s="74" t="s">
        <v>9579</v>
      </c>
    </row>
    <row r="1202" spans="1:31" ht="8.65" customHeight="1" x14ac:dyDescent="0.2">
      <c r="A1202" s="76">
        <v>1202</v>
      </c>
      <c r="B1202" s="67" t="str">
        <f>MID(C1202, FIND("Ifc.", C1202) + 4, 4) &amp; "_" &amp; TEXT(COUNTIF($C$2:C1202, C1202),"0000")</f>
        <v>Prop_1201</v>
      </c>
      <c r="C1202" s="24" t="s">
        <v>872</v>
      </c>
      <c r="D1202" s="69" t="s">
        <v>9453</v>
      </c>
      <c r="E1202" s="70" t="s">
        <v>9454</v>
      </c>
      <c r="F1202" s="17" t="s">
        <v>806</v>
      </c>
      <c r="G1202" s="22" t="s">
        <v>2327</v>
      </c>
      <c r="H1202" s="12" t="s">
        <v>9703</v>
      </c>
      <c r="I1202" s="13" t="s">
        <v>7401</v>
      </c>
      <c r="J1202" s="14" t="s">
        <v>798</v>
      </c>
      <c r="K1202" s="15" t="s">
        <v>798</v>
      </c>
      <c r="L1202" s="12" t="s">
        <v>5315</v>
      </c>
      <c r="M1202" s="13" t="s">
        <v>7402</v>
      </c>
      <c r="N1202" s="12" t="s">
        <v>803</v>
      </c>
      <c r="O1202" s="13" t="s">
        <v>5170</v>
      </c>
      <c r="P1202" s="17" t="s">
        <v>802</v>
      </c>
      <c r="Q1202" s="21" t="s">
        <v>7768</v>
      </c>
      <c r="R1202" s="17" t="s">
        <v>801</v>
      </c>
      <c r="S1202" s="18" t="s">
        <v>2585</v>
      </c>
      <c r="T1202" s="17" t="s">
        <v>800</v>
      </c>
      <c r="U1202" s="18" t="s">
        <v>5238</v>
      </c>
      <c r="V1202" s="17" t="s">
        <v>9418</v>
      </c>
      <c r="W1202" s="18" t="s">
        <v>5309</v>
      </c>
      <c r="X1202" s="69" t="s">
        <v>9453</v>
      </c>
      <c r="Y1202" s="70" t="s">
        <v>9462</v>
      </c>
      <c r="Z1202" s="73" t="s">
        <v>9486</v>
      </c>
      <c r="AA1202" s="74" t="s">
        <v>9504</v>
      </c>
      <c r="AB1202" s="73" t="s">
        <v>9486</v>
      </c>
      <c r="AC1202" s="74" t="s">
        <v>9566</v>
      </c>
      <c r="AD1202" s="73" t="s">
        <v>9578</v>
      </c>
      <c r="AE1202" s="74" t="s">
        <v>9579</v>
      </c>
    </row>
    <row r="1203" spans="1:31" ht="8.65" customHeight="1" x14ac:dyDescent="0.2">
      <c r="A1203" s="76">
        <v>1203</v>
      </c>
      <c r="B1203" s="67" t="str">
        <f>MID(C1203, FIND("Ifc.", C1203) + 4, 4) &amp; "_" &amp; TEXT(COUNTIF($C$2:C1203, C1203),"0000")</f>
        <v>Prop_1202</v>
      </c>
      <c r="C1203" s="24" t="s">
        <v>872</v>
      </c>
      <c r="D1203" s="69" t="s">
        <v>9453</v>
      </c>
      <c r="E1203" s="70" t="s">
        <v>9454</v>
      </c>
      <c r="F1203" s="17" t="s">
        <v>806</v>
      </c>
      <c r="G1203" s="22" t="s">
        <v>2328</v>
      </c>
      <c r="H1203" s="12" t="s">
        <v>9703</v>
      </c>
      <c r="I1203" s="13" t="s">
        <v>7401</v>
      </c>
      <c r="J1203" s="14" t="s">
        <v>798</v>
      </c>
      <c r="K1203" s="15" t="s">
        <v>798</v>
      </c>
      <c r="L1203" s="12" t="s">
        <v>5315</v>
      </c>
      <c r="M1203" s="13" t="s">
        <v>7402</v>
      </c>
      <c r="N1203" s="12" t="s">
        <v>803</v>
      </c>
      <c r="O1203" s="13" t="s">
        <v>5170</v>
      </c>
      <c r="P1203" s="17" t="s">
        <v>802</v>
      </c>
      <c r="Q1203" s="21" t="s">
        <v>7768</v>
      </c>
      <c r="R1203" s="17" t="s">
        <v>801</v>
      </c>
      <c r="S1203" s="18" t="s">
        <v>2585</v>
      </c>
      <c r="T1203" s="17" t="s">
        <v>800</v>
      </c>
      <c r="U1203" s="18" t="s">
        <v>5238</v>
      </c>
      <c r="V1203" s="17" t="s">
        <v>9418</v>
      </c>
      <c r="W1203" s="18" t="s">
        <v>5309</v>
      </c>
      <c r="X1203" s="69" t="s">
        <v>9453</v>
      </c>
      <c r="Y1203" s="70" t="s">
        <v>9462</v>
      </c>
      <c r="Z1203" s="73" t="s">
        <v>9486</v>
      </c>
      <c r="AA1203" s="74" t="s">
        <v>9504</v>
      </c>
      <c r="AB1203" s="73" t="s">
        <v>9486</v>
      </c>
      <c r="AC1203" s="74" t="s">
        <v>9566</v>
      </c>
      <c r="AD1203" s="73" t="s">
        <v>9578</v>
      </c>
      <c r="AE1203" s="74" t="s">
        <v>9579</v>
      </c>
    </row>
    <row r="1204" spans="1:31" ht="8.65" customHeight="1" x14ac:dyDescent="0.2">
      <c r="A1204" s="76">
        <v>1204</v>
      </c>
      <c r="B1204" s="67" t="str">
        <f>MID(C1204, FIND("Ifc.", C1204) + 4, 4) &amp; "_" &amp; TEXT(COUNTIF($C$2:C1204, C1204),"0000")</f>
        <v>Prop_1203</v>
      </c>
      <c r="C1204" s="24" t="s">
        <v>872</v>
      </c>
      <c r="D1204" s="69" t="s">
        <v>9453</v>
      </c>
      <c r="E1204" s="70" t="s">
        <v>9454</v>
      </c>
      <c r="F1204" s="17" t="s">
        <v>806</v>
      </c>
      <c r="G1204" s="22" t="s">
        <v>2210</v>
      </c>
      <c r="H1204" s="12" t="s">
        <v>9703</v>
      </c>
      <c r="I1204" s="13" t="s">
        <v>6678</v>
      </c>
      <c r="J1204" s="14" t="s">
        <v>798</v>
      </c>
      <c r="K1204" s="15" t="s">
        <v>798</v>
      </c>
      <c r="L1204" s="12" t="s">
        <v>5315</v>
      </c>
      <c r="M1204" s="13" t="s">
        <v>5507</v>
      </c>
      <c r="N1204" s="12" t="s">
        <v>803</v>
      </c>
      <c r="O1204" s="13" t="s">
        <v>5120</v>
      </c>
      <c r="P1204" s="17" t="s">
        <v>802</v>
      </c>
      <c r="Q1204" s="21" t="s">
        <v>7693</v>
      </c>
      <c r="R1204" s="17" t="s">
        <v>801</v>
      </c>
      <c r="S1204" s="18" t="s">
        <v>2669</v>
      </c>
      <c r="T1204" s="17" t="s">
        <v>800</v>
      </c>
      <c r="U1204" s="18" t="s">
        <v>5237</v>
      </c>
      <c r="V1204" s="17" t="s">
        <v>9418</v>
      </c>
      <c r="W1204" s="18" t="s">
        <v>5313</v>
      </c>
      <c r="X1204" s="69" t="s">
        <v>9453</v>
      </c>
      <c r="Y1204" s="70" t="s">
        <v>9467</v>
      </c>
      <c r="Z1204" s="73" t="s">
        <v>9486</v>
      </c>
      <c r="AA1204" s="74" t="s">
        <v>9504</v>
      </c>
      <c r="AB1204" s="73" t="s">
        <v>9486</v>
      </c>
      <c r="AC1204" s="74" t="s">
        <v>9562</v>
      </c>
      <c r="AD1204" s="73" t="s">
        <v>9578</v>
      </c>
      <c r="AE1204" s="74" t="s">
        <v>9579</v>
      </c>
    </row>
    <row r="1205" spans="1:31" ht="8.65" customHeight="1" x14ac:dyDescent="0.2">
      <c r="A1205" s="76">
        <v>1205</v>
      </c>
      <c r="B1205" s="67" t="str">
        <f>MID(C1205, FIND("Ifc.", C1205) + 4, 4) &amp; "_" &amp; TEXT(COUNTIF($C$2:C1205, C1205),"0000")</f>
        <v>Prop_1204</v>
      </c>
      <c r="C1205" s="24" t="s">
        <v>872</v>
      </c>
      <c r="D1205" s="69" t="s">
        <v>9453</v>
      </c>
      <c r="E1205" s="70" t="s">
        <v>9454</v>
      </c>
      <c r="F1205" s="17" t="s">
        <v>806</v>
      </c>
      <c r="G1205" s="22" t="s">
        <v>1000</v>
      </c>
      <c r="H1205" s="12" t="s">
        <v>9703</v>
      </c>
      <c r="I1205" s="13" t="s">
        <v>6110</v>
      </c>
      <c r="J1205" s="14" t="s">
        <v>798</v>
      </c>
      <c r="K1205" s="15" t="s">
        <v>798</v>
      </c>
      <c r="L1205" s="12" t="s">
        <v>5315</v>
      </c>
      <c r="M1205" s="13" t="s">
        <v>6023</v>
      </c>
      <c r="N1205" s="12" t="s">
        <v>803</v>
      </c>
      <c r="O1205" s="13" t="s">
        <v>4831</v>
      </c>
      <c r="P1205" s="17" t="s">
        <v>802</v>
      </c>
      <c r="Q1205" s="21" t="s">
        <v>7790</v>
      </c>
      <c r="R1205" s="17" t="s">
        <v>801</v>
      </c>
      <c r="S1205" s="18" t="s">
        <v>2554</v>
      </c>
      <c r="T1205" s="17" t="s">
        <v>800</v>
      </c>
      <c r="U1205" s="18" t="s">
        <v>5233</v>
      </c>
      <c r="V1205" s="17" t="s">
        <v>9418</v>
      </c>
      <c r="W1205" s="18" t="s">
        <v>5310</v>
      </c>
      <c r="X1205" s="69" t="s">
        <v>9453</v>
      </c>
      <c r="Y1205" s="70" t="s">
        <v>9463</v>
      </c>
      <c r="Z1205" s="73" t="s">
        <v>9486</v>
      </c>
      <c r="AA1205" s="74" t="s">
        <v>9504</v>
      </c>
      <c r="AB1205" s="73" t="s">
        <v>9486</v>
      </c>
      <c r="AC1205" s="74" t="s">
        <v>9562</v>
      </c>
      <c r="AD1205" s="73" t="s">
        <v>9578</v>
      </c>
      <c r="AE1205" s="74" t="s">
        <v>9579</v>
      </c>
    </row>
    <row r="1206" spans="1:31" ht="8.65" customHeight="1" x14ac:dyDescent="0.2">
      <c r="A1206" s="76">
        <v>1206</v>
      </c>
      <c r="B1206" s="67" t="str">
        <f>MID(C1206, FIND("Ifc.", C1206) + 4, 4) &amp; "_" &amp; TEXT(COUNTIF($C$2:C1206, C1206),"0000")</f>
        <v>Prop_1205</v>
      </c>
      <c r="C1206" s="24" t="s">
        <v>872</v>
      </c>
      <c r="D1206" s="69" t="s">
        <v>9453</v>
      </c>
      <c r="E1206" s="70" t="s">
        <v>9454</v>
      </c>
      <c r="F1206" s="17" t="s">
        <v>806</v>
      </c>
      <c r="G1206" s="22" t="s">
        <v>1902</v>
      </c>
      <c r="H1206" s="12" t="s">
        <v>9703</v>
      </c>
      <c r="I1206" s="13" t="s">
        <v>6562</v>
      </c>
      <c r="J1206" s="14" t="s">
        <v>798</v>
      </c>
      <c r="K1206" s="15" t="s">
        <v>798</v>
      </c>
      <c r="L1206" s="12" t="s">
        <v>5315</v>
      </c>
      <c r="M1206" s="13" t="s">
        <v>5957</v>
      </c>
      <c r="N1206" s="12" t="s">
        <v>803</v>
      </c>
      <c r="O1206" s="13" t="s">
        <v>5050</v>
      </c>
      <c r="P1206" s="17" t="s">
        <v>802</v>
      </c>
      <c r="Q1206" s="21" t="s">
        <v>7701</v>
      </c>
      <c r="R1206" s="17" t="s">
        <v>801</v>
      </c>
      <c r="S1206" s="18" t="s">
        <v>2585</v>
      </c>
      <c r="T1206" s="17" t="s">
        <v>800</v>
      </c>
      <c r="U1206" s="18" t="s">
        <v>5238</v>
      </c>
      <c r="V1206" s="17" t="s">
        <v>9418</v>
      </c>
      <c r="W1206" s="18" t="s">
        <v>5309</v>
      </c>
      <c r="X1206" s="69" t="s">
        <v>9453</v>
      </c>
      <c r="Y1206" s="70" t="s">
        <v>9462</v>
      </c>
      <c r="Z1206" s="73" t="s">
        <v>9486</v>
      </c>
      <c r="AA1206" s="74" t="s">
        <v>9504</v>
      </c>
      <c r="AB1206" s="73" t="s">
        <v>9486</v>
      </c>
      <c r="AC1206" s="74" t="s">
        <v>9566</v>
      </c>
      <c r="AD1206" s="73" t="s">
        <v>9578</v>
      </c>
      <c r="AE1206" s="74" t="s">
        <v>9579</v>
      </c>
    </row>
    <row r="1207" spans="1:31" ht="8.65" customHeight="1" x14ac:dyDescent="0.2">
      <c r="A1207" s="76">
        <v>1207</v>
      </c>
      <c r="B1207" s="67" t="str">
        <f>MID(C1207, FIND("Ifc.", C1207) + 4, 4) &amp; "_" &amp; TEXT(COUNTIF($C$2:C1207, C1207),"0000")</f>
        <v>Prop_1206</v>
      </c>
      <c r="C1207" s="24" t="s">
        <v>872</v>
      </c>
      <c r="D1207" s="69" t="s">
        <v>9453</v>
      </c>
      <c r="E1207" s="70" t="s">
        <v>9454</v>
      </c>
      <c r="F1207" s="17" t="s">
        <v>806</v>
      </c>
      <c r="G1207" s="22" t="s">
        <v>1855</v>
      </c>
      <c r="H1207" s="12" t="s">
        <v>9703</v>
      </c>
      <c r="I1207" s="13" t="s">
        <v>6533</v>
      </c>
      <c r="J1207" s="14" t="s">
        <v>798</v>
      </c>
      <c r="K1207" s="15" t="s">
        <v>798</v>
      </c>
      <c r="L1207" s="12" t="s">
        <v>5315</v>
      </c>
      <c r="M1207" s="13" t="s">
        <v>5947</v>
      </c>
      <c r="N1207" s="12" t="s">
        <v>803</v>
      </c>
      <c r="O1207" s="13" t="s">
        <v>5034</v>
      </c>
      <c r="P1207" s="17" t="s">
        <v>802</v>
      </c>
      <c r="Q1207" s="21" t="s">
        <v>7887</v>
      </c>
      <c r="R1207" s="17" t="s">
        <v>801</v>
      </c>
      <c r="S1207" s="18" t="s">
        <v>2636</v>
      </c>
      <c r="T1207" s="17" t="s">
        <v>800</v>
      </c>
      <c r="U1207" s="18" t="s">
        <v>5290</v>
      </c>
      <c r="V1207" s="17" t="s">
        <v>9418</v>
      </c>
      <c r="W1207" s="18" t="s">
        <v>5309</v>
      </c>
      <c r="X1207" s="69" t="s">
        <v>9453</v>
      </c>
      <c r="Y1207" s="70" t="s">
        <v>9462</v>
      </c>
      <c r="Z1207" s="73" t="s">
        <v>9486</v>
      </c>
      <c r="AA1207" s="74" t="s">
        <v>9504</v>
      </c>
      <c r="AB1207" s="73" t="s">
        <v>9486</v>
      </c>
      <c r="AC1207" s="74" t="s">
        <v>9566</v>
      </c>
      <c r="AD1207" s="73" t="s">
        <v>9578</v>
      </c>
      <c r="AE1207" s="74" t="s">
        <v>9579</v>
      </c>
    </row>
    <row r="1208" spans="1:31" ht="8.65" customHeight="1" x14ac:dyDescent="0.2">
      <c r="A1208" s="76">
        <v>1208</v>
      </c>
      <c r="B1208" s="67" t="str">
        <f>MID(C1208, FIND("Ifc.", C1208) + 4, 4) &amp; "_" &amp; TEXT(COUNTIF($C$2:C1208, C1208),"0000")</f>
        <v>Prop_1207</v>
      </c>
      <c r="C1208" s="24" t="s">
        <v>872</v>
      </c>
      <c r="D1208" s="69" t="s">
        <v>9453</v>
      </c>
      <c r="E1208" s="70" t="s">
        <v>9454</v>
      </c>
      <c r="F1208" s="17" t="s">
        <v>806</v>
      </c>
      <c r="G1208" s="22" t="s">
        <v>1155</v>
      </c>
      <c r="H1208" s="12" t="s">
        <v>9703</v>
      </c>
      <c r="I1208" s="13" t="s">
        <v>6203</v>
      </c>
      <c r="J1208" s="14" t="s">
        <v>798</v>
      </c>
      <c r="K1208" s="15" t="s">
        <v>798</v>
      </c>
      <c r="L1208" s="12" t="s">
        <v>5315</v>
      </c>
      <c r="M1208" s="13" t="s">
        <v>6044</v>
      </c>
      <c r="N1208" s="12" t="s">
        <v>803</v>
      </c>
      <c r="O1208" s="13" t="s">
        <v>4871</v>
      </c>
      <c r="P1208" s="17" t="s">
        <v>802</v>
      </c>
      <c r="Q1208" s="21" t="s">
        <v>7933</v>
      </c>
      <c r="R1208" s="17" t="s">
        <v>801</v>
      </c>
      <c r="S1208" s="18" t="s">
        <v>2554</v>
      </c>
      <c r="T1208" s="17" t="s">
        <v>800</v>
      </c>
      <c r="U1208" s="18" t="s">
        <v>5233</v>
      </c>
      <c r="V1208" s="17" t="s">
        <v>9418</v>
      </c>
      <c r="W1208" s="18" t="s">
        <v>5309</v>
      </c>
      <c r="X1208" s="69" t="s">
        <v>9453</v>
      </c>
      <c r="Y1208" s="70" t="s">
        <v>9462</v>
      </c>
      <c r="Z1208" s="73" t="s">
        <v>9486</v>
      </c>
      <c r="AA1208" s="74" t="s">
        <v>9504</v>
      </c>
      <c r="AB1208" s="73" t="s">
        <v>9486</v>
      </c>
      <c r="AC1208" s="74" t="s">
        <v>9562</v>
      </c>
      <c r="AD1208" s="73" t="s">
        <v>9578</v>
      </c>
      <c r="AE1208" s="74" t="s">
        <v>9579</v>
      </c>
    </row>
    <row r="1209" spans="1:31" ht="8.65" customHeight="1" x14ac:dyDescent="0.2">
      <c r="A1209" s="76">
        <v>1209</v>
      </c>
      <c r="B1209" s="67" t="str">
        <f>MID(C1209, FIND("Ifc.", C1209) + 4, 4) &amp; "_" &amp; TEXT(COUNTIF($C$2:C1209, C1209),"0000")</f>
        <v>Prop_1208</v>
      </c>
      <c r="C1209" s="24" t="s">
        <v>872</v>
      </c>
      <c r="D1209" s="69" t="s">
        <v>9453</v>
      </c>
      <c r="E1209" s="70" t="s">
        <v>9454</v>
      </c>
      <c r="F1209" s="17" t="s">
        <v>806</v>
      </c>
      <c r="G1209" s="22" t="s">
        <v>949</v>
      </c>
      <c r="H1209" s="12" t="s">
        <v>9703</v>
      </c>
      <c r="I1209" s="13" t="s">
        <v>6086</v>
      </c>
      <c r="J1209" s="14" t="s">
        <v>798</v>
      </c>
      <c r="K1209" s="15" t="s">
        <v>798</v>
      </c>
      <c r="L1209" s="12" t="s">
        <v>5315</v>
      </c>
      <c r="M1209" s="13" t="s">
        <v>5375</v>
      </c>
      <c r="N1209" s="12" t="s">
        <v>803</v>
      </c>
      <c r="O1209" s="13" t="s">
        <v>4819</v>
      </c>
      <c r="P1209" s="17" t="s">
        <v>802</v>
      </c>
      <c r="Q1209" s="21" t="s">
        <v>7692</v>
      </c>
      <c r="R1209" s="17" t="s">
        <v>801</v>
      </c>
      <c r="S1209" s="18" t="s">
        <v>2554</v>
      </c>
      <c r="T1209" s="17" t="s">
        <v>800</v>
      </c>
      <c r="U1209" s="18" t="s">
        <v>5233</v>
      </c>
      <c r="V1209" s="17" t="s">
        <v>9418</v>
      </c>
      <c r="W1209" s="18" t="s">
        <v>5310</v>
      </c>
      <c r="X1209" s="69" t="s">
        <v>9453</v>
      </c>
      <c r="Y1209" s="70" t="s">
        <v>9463</v>
      </c>
      <c r="Z1209" s="73" t="s">
        <v>9486</v>
      </c>
      <c r="AA1209" s="74" t="s">
        <v>9504</v>
      </c>
      <c r="AB1209" s="73" t="s">
        <v>9486</v>
      </c>
      <c r="AC1209" s="74" t="s">
        <v>9562</v>
      </c>
      <c r="AD1209" s="73" t="s">
        <v>9578</v>
      </c>
      <c r="AE1209" s="74" t="s">
        <v>9579</v>
      </c>
    </row>
    <row r="1210" spans="1:31" ht="8.65" customHeight="1" x14ac:dyDescent="0.2">
      <c r="A1210" s="76">
        <v>1210</v>
      </c>
      <c r="B1210" s="67" t="str">
        <f>MID(C1210, FIND("Ifc.", C1210) + 4, 4) &amp; "_" &amp; TEXT(COUNTIF($C$2:C1210, C1210),"0000")</f>
        <v>Prop_1209</v>
      </c>
      <c r="C1210" s="24" t="s">
        <v>872</v>
      </c>
      <c r="D1210" s="69" t="s">
        <v>9453</v>
      </c>
      <c r="E1210" s="70" t="s">
        <v>9454</v>
      </c>
      <c r="F1210" s="17" t="s">
        <v>806</v>
      </c>
      <c r="G1210" s="22" t="s">
        <v>1341</v>
      </c>
      <c r="H1210" s="12" t="s">
        <v>9703</v>
      </c>
      <c r="I1210" s="13" t="s">
        <v>6272</v>
      </c>
      <c r="J1210" s="14" t="s">
        <v>798</v>
      </c>
      <c r="K1210" s="15" t="s">
        <v>798</v>
      </c>
      <c r="L1210" s="12" t="s">
        <v>5315</v>
      </c>
      <c r="M1210" s="13" t="s">
        <v>5414</v>
      </c>
      <c r="N1210" s="12" t="s">
        <v>803</v>
      </c>
      <c r="O1210" s="13" t="s">
        <v>4914</v>
      </c>
      <c r="P1210" s="17" t="s">
        <v>802</v>
      </c>
      <c r="Q1210" s="21" t="s">
        <v>7735</v>
      </c>
      <c r="R1210" s="17" t="s">
        <v>801</v>
      </c>
      <c r="S1210" s="18" t="s">
        <v>2554</v>
      </c>
      <c r="T1210" s="17" t="s">
        <v>800</v>
      </c>
      <c r="U1210" s="18" t="s">
        <v>5233</v>
      </c>
      <c r="V1210" s="17" t="s">
        <v>9418</v>
      </c>
      <c r="W1210" s="18" t="s">
        <v>5309</v>
      </c>
      <c r="X1210" s="69" t="s">
        <v>9453</v>
      </c>
      <c r="Y1210" s="70" t="s">
        <v>9462</v>
      </c>
      <c r="Z1210" s="73" t="s">
        <v>9486</v>
      </c>
      <c r="AA1210" s="74" t="s">
        <v>9504</v>
      </c>
      <c r="AB1210" s="73" t="s">
        <v>9486</v>
      </c>
      <c r="AC1210" s="74" t="s">
        <v>9562</v>
      </c>
      <c r="AD1210" s="73" t="s">
        <v>9578</v>
      </c>
      <c r="AE1210" s="74" t="s">
        <v>9579</v>
      </c>
    </row>
    <row r="1211" spans="1:31" ht="8.65" customHeight="1" x14ac:dyDescent="0.2">
      <c r="A1211" s="76">
        <v>1211</v>
      </c>
      <c r="B1211" s="67" t="str">
        <f>MID(C1211, FIND("Ifc.", C1211) + 4, 4) &amp; "_" &amp; TEXT(COUNTIF($C$2:C1211, C1211),"0000")</f>
        <v>Prop_1210</v>
      </c>
      <c r="C1211" s="24" t="s">
        <v>872</v>
      </c>
      <c r="D1211" s="69" t="s">
        <v>9453</v>
      </c>
      <c r="E1211" s="70" t="s">
        <v>9454</v>
      </c>
      <c r="F1211" s="17" t="s">
        <v>806</v>
      </c>
      <c r="G1211" s="22" t="s">
        <v>1341</v>
      </c>
      <c r="H1211" s="12" t="s">
        <v>9703</v>
      </c>
      <c r="I1211" s="13" t="s">
        <v>6272</v>
      </c>
      <c r="J1211" s="14" t="s">
        <v>798</v>
      </c>
      <c r="K1211" s="15" t="s">
        <v>798</v>
      </c>
      <c r="L1211" s="12" t="s">
        <v>5315</v>
      </c>
      <c r="M1211" s="13" t="s">
        <v>5417</v>
      </c>
      <c r="N1211" s="12" t="s">
        <v>803</v>
      </c>
      <c r="O1211" s="13" t="s">
        <v>4916</v>
      </c>
      <c r="P1211" s="17" t="s">
        <v>802</v>
      </c>
      <c r="Q1211" s="21" t="s">
        <v>7820</v>
      </c>
      <c r="R1211" s="17" t="s">
        <v>801</v>
      </c>
      <c r="S1211" s="18" t="s">
        <v>2554</v>
      </c>
      <c r="T1211" s="17" t="s">
        <v>800</v>
      </c>
      <c r="U1211" s="18" t="s">
        <v>5233</v>
      </c>
      <c r="V1211" s="17" t="s">
        <v>9418</v>
      </c>
      <c r="W1211" s="18" t="s">
        <v>5309</v>
      </c>
      <c r="X1211" s="69" t="s">
        <v>9453</v>
      </c>
      <c r="Y1211" s="70" t="s">
        <v>9462</v>
      </c>
      <c r="Z1211" s="73" t="s">
        <v>9486</v>
      </c>
      <c r="AA1211" s="74" t="s">
        <v>9504</v>
      </c>
      <c r="AB1211" s="73" t="s">
        <v>9486</v>
      </c>
      <c r="AC1211" s="74" t="s">
        <v>9562</v>
      </c>
      <c r="AD1211" s="73" t="s">
        <v>9578</v>
      </c>
      <c r="AE1211" s="74" t="s">
        <v>9579</v>
      </c>
    </row>
    <row r="1212" spans="1:31" ht="8.65" customHeight="1" x14ac:dyDescent="0.2">
      <c r="A1212" s="76">
        <v>1212</v>
      </c>
      <c r="B1212" s="67" t="str">
        <f>MID(C1212, FIND("Ifc.", C1212) + 4, 4) &amp; "_" &amp; TEXT(COUNTIF($C$2:C1212, C1212),"0000")</f>
        <v>Prop_1211</v>
      </c>
      <c r="C1212" s="24" t="s">
        <v>872</v>
      </c>
      <c r="D1212" s="69" t="s">
        <v>9453</v>
      </c>
      <c r="E1212" s="70" t="s">
        <v>9454</v>
      </c>
      <c r="F1212" s="17" t="s">
        <v>806</v>
      </c>
      <c r="G1212" s="22" t="s">
        <v>2493</v>
      </c>
      <c r="H1212" s="12" t="s">
        <v>9703</v>
      </c>
      <c r="I1212" s="13" t="s">
        <v>6717</v>
      </c>
      <c r="J1212" s="14" t="s">
        <v>798</v>
      </c>
      <c r="K1212" s="15" t="s">
        <v>798</v>
      </c>
      <c r="L1212" s="12" t="s">
        <v>5315</v>
      </c>
      <c r="M1212" s="13" t="s">
        <v>6005</v>
      </c>
      <c r="N1212" s="12" t="s">
        <v>803</v>
      </c>
      <c r="O1212" s="13" t="s">
        <v>5221</v>
      </c>
      <c r="P1212" s="17" t="s">
        <v>802</v>
      </c>
      <c r="Q1212" s="21" t="s">
        <v>7711</v>
      </c>
      <c r="R1212" s="17" t="s">
        <v>801</v>
      </c>
      <c r="S1212" s="18" t="s">
        <v>2554</v>
      </c>
      <c r="T1212" s="17" t="s">
        <v>800</v>
      </c>
      <c r="U1212" s="18" t="s">
        <v>5233</v>
      </c>
      <c r="V1212" s="17" t="s">
        <v>9418</v>
      </c>
      <c r="W1212" s="18" t="s">
        <v>5310</v>
      </c>
      <c r="X1212" s="69" t="s">
        <v>9453</v>
      </c>
      <c r="Y1212" s="70" t="s">
        <v>9463</v>
      </c>
      <c r="Z1212" s="73" t="s">
        <v>9486</v>
      </c>
      <c r="AA1212" s="74" t="s">
        <v>9504</v>
      </c>
      <c r="AB1212" s="73" t="s">
        <v>9486</v>
      </c>
      <c r="AC1212" s="74" t="s">
        <v>9562</v>
      </c>
      <c r="AD1212" s="73" t="s">
        <v>9578</v>
      </c>
      <c r="AE1212" s="74" t="s">
        <v>9579</v>
      </c>
    </row>
    <row r="1213" spans="1:31" ht="8.65" customHeight="1" x14ac:dyDescent="0.2">
      <c r="A1213" s="76">
        <v>1213</v>
      </c>
      <c r="B1213" s="67" t="str">
        <f>MID(C1213, FIND("Ifc.", C1213) + 4, 4) &amp; "_" &amp; TEXT(COUNTIF($C$2:C1213, C1213),"0000")</f>
        <v>Prop_1212</v>
      </c>
      <c r="C1213" s="24" t="s">
        <v>872</v>
      </c>
      <c r="D1213" s="69" t="s">
        <v>9453</v>
      </c>
      <c r="E1213" s="70" t="s">
        <v>9454</v>
      </c>
      <c r="F1213" s="17" t="s">
        <v>806</v>
      </c>
      <c r="G1213" s="22" t="s">
        <v>1918</v>
      </c>
      <c r="H1213" s="12" t="s">
        <v>9703</v>
      </c>
      <c r="I1213" s="13" t="s">
        <v>6575</v>
      </c>
      <c r="J1213" s="14" t="s">
        <v>798</v>
      </c>
      <c r="K1213" s="15" t="s">
        <v>798</v>
      </c>
      <c r="L1213" s="12" t="s">
        <v>5315</v>
      </c>
      <c r="M1213" s="13" t="s">
        <v>5964</v>
      </c>
      <c r="N1213" s="12" t="s">
        <v>803</v>
      </c>
      <c r="O1213" s="13" t="s">
        <v>5057</v>
      </c>
      <c r="P1213" s="17" t="s">
        <v>802</v>
      </c>
      <c r="Q1213" s="21" t="s">
        <v>7989</v>
      </c>
      <c r="R1213" s="17" t="s">
        <v>801</v>
      </c>
      <c r="S1213" s="18" t="s">
        <v>2554</v>
      </c>
      <c r="T1213" s="17" t="s">
        <v>800</v>
      </c>
      <c r="U1213" s="18" t="s">
        <v>5233</v>
      </c>
      <c r="V1213" s="17" t="s">
        <v>9418</v>
      </c>
      <c r="W1213" s="18" t="s">
        <v>5310</v>
      </c>
      <c r="X1213" s="69" t="s">
        <v>9453</v>
      </c>
      <c r="Y1213" s="70" t="s">
        <v>9463</v>
      </c>
      <c r="Z1213" s="73" t="s">
        <v>9486</v>
      </c>
      <c r="AA1213" s="74" t="s">
        <v>9504</v>
      </c>
      <c r="AB1213" s="73" t="s">
        <v>9486</v>
      </c>
      <c r="AC1213" s="74" t="s">
        <v>9562</v>
      </c>
      <c r="AD1213" s="73" t="s">
        <v>9578</v>
      </c>
      <c r="AE1213" s="74" t="s">
        <v>9579</v>
      </c>
    </row>
    <row r="1214" spans="1:31" ht="8.65" customHeight="1" x14ac:dyDescent="0.2">
      <c r="A1214" s="76">
        <v>1214</v>
      </c>
      <c r="B1214" s="67" t="str">
        <f>MID(C1214, FIND("Ifc.", C1214) + 4, 4) &amp; "_" &amp; TEXT(COUNTIF($C$2:C1214, C1214),"0000")</f>
        <v>Prop_1213</v>
      </c>
      <c r="C1214" s="24" t="s">
        <v>872</v>
      </c>
      <c r="D1214" s="69" t="s">
        <v>9453</v>
      </c>
      <c r="E1214" s="70" t="s">
        <v>9454</v>
      </c>
      <c r="F1214" s="17" t="s">
        <v>806</v>
      </c>
      <c r="G1214" s="22" t="s">
        <v>1968</v>
      </c>
      <c r="H1214" s="12" t="s">
        <v>9703</v>
      </c>
      <c r="I1214" s="13" t="s">
        <v>7527</v>
      </c>
      <c r="J1214" s="14" t="s">
        <v>798</v>
      </c>
      <c r="K1214" s="15" t="s">
        <v>798</v>
      </c>
      <c r="L1214" s="12" t="s">
        <v>5315</v>
      </c>
      <c r="M1214" s="13" t="s">
        <v>5473</v>
      </c>
      <c r="N1214" s="12" t="s">
        <v>803</v>
      </c>
      <c r="O1214" s="13" t="s">
        <v>5071</v>
      </c>
      <c r="P1214" s="17" t="s">
        <v>802</v>
      </c>
      <c r="Q1214" s="21" t="s">
        <v>7946</v>
      </c>
      <c r="R1214" s="17" t="s">
        <v>801</v>
      </c>
      <c r="S1214" s="18" t="s">
        <v>2669</v>
      </c>
      <c r="T1214" s="17" t="s">
        <v>800</v>
      </c>
      <c r="U1214" s="18" t="s">
        <v>5237</v>
      </c>
      <c r="V1214" s="17" t="s">
        <v>9418</v>
      </c>
      <c r="W1214" s="18" t="s">
        <v>5309</v>
      </c>
      <c r="X1214" s="69" t="s">
        <v>9453</v>
      </c>
      <c r="Y1214" s="70" t="s">
        <v>9462</v>
      </c>
      <c r="Z1214" s="73" t="s">
        <v>9486</v>
      </c>
      <c r="AA1214" s="74" t="s">
        <v>9504</v>
      </c>
      <c r="AB1214" s="73" t="s">
        <v>9486</v>
      </c>
      <c r="AC1214" s="74" t="s">
        <v>9562</v>
      </c>
      <c r="AD1214" s="73" t="s">
        <v>9578</v>
      </c>
      <c r="AE1214" s="74" t="s">
        <v>9579</v>
      </c>
    </row>
    <row r="1215" spans="1:31" ht="8.65" customHeight="1" x14ac:dyDescent="0.2">
      <c r="A1215" s="76">
        <v>1215</v>
      </c>
      <c r="B1215" s="67" t="str">
        <f>MID(C1215, FIND("Ifc.", C1215) + 4, 4) &amp; "_" &amp; TEXT(COUNTIF($C$2:C1215, C1215),"0000")</f>
        <v>Prop_1214</v>
      </c>
      <c r="C1215" s="24" t="s">
        <v>872</v>
      </c>
      <c r="D1215" s="69" t="s">
        <v>9453</v>
      </c>
      <c r="E1215" s="70" t="s">
        <v>9454</v>
      </c>
      <c r="F1215" s="17" t="s">
        <v>806</v>
      </c>
      <c r="G1215" s="22" t="s">
        <v>1951</v>
      </c>
      <c r="H1215" s="12" t="s">
        <v>9703</v>
      </c>
      <c r="I1215" s="13" t="s">
        <v>6589</v>
      </c>
      <c r="J1215" s="14" t="s">
        <v>798</v>
      </c>
      <c r="K1215" s="15" t="s">
        <v>798</v>
      </c>
      <c r="L1215" s="12" t="s">
        <v>5315</v>
      </c>
      <c r="M1215" s="13" t="s">
        <v>5472</v>
      </c>
      <c r="N1215" s="12" t="s">
        <v>803</v>
      </c>
      <c r="O1215" s="13" t="s">
        <v>5067</v>
      </c>
      <c r="P1215" s="17" t="s">
        <v>802</v>
      </c>
      <c r="Q1215" s="21" t="s">
        <v>7791</v>
      </c>
      <c r="R1215" s="17" t="s">
        <v>801</v>
      </c>
      <c r="S1215" s="18" t="s">
        <v>2554</v>
      </c>
      <c r="T1215" s="17" t="s">
        <v>800</v>
      </c>
      <c r="U1215" s="18" t="s">
        <v>5233</v>
      </c>
      <c r="V1215" s="17" t="s">
        <v>9418</v>
      </c>
      <c r="W1215" s="18" t="s">
        <v>5310</v>
      </c>
      <c r="X1215" s="69" t="s">
        <v>9453</v>
      </c>
      <c r="Y1215" s="70" t="s">
        <v>9463</v>
      </c>
      <c r="Z1215" s="73" t="s">
        <v>9486</v>
      </c>
      <c r="AA1215" s="74" t="s">
        <v>9504</v>
      </c>
      <c r="AB1215" s="73" t="s">
        <v>9486</v>
      </c>
      <c r="AC1215" s="74" t="s">
        <v>9562</v>
      </c>
      <c r="AD1215" s="73" t="s">
        <v>9578</v>
      </c>
      <c r="AE1215" s="74" t="s">
        <v>9579</v>
      </c>
    </row>
    <row r="1216" spans="1:31" ht="8.65" customHeight="1" x14ac:dyDescent="0.2">
      <c r="A1216" s="76">
        <v>1216</v>
      </c>
      <c r="B1216" s="67" t="str">
        <f>MID(C1216, FIND("Ifc.", C1216) + 4, 4) &amp; "_" &amp; TEXT(COUNTIF($C$2:C1216, C1216),"0000")</f>
        <v>Prop_1215</v>
      </c>
      <c r="C1216" s="24" t="s">
        <v>872</v>
      </c>
      <c r="D1216" s="69" t="s">
        <v>9453</v>
      </c>
      <c r="E1216" s="70" t="s">
        <v>9454</v>
      </c>
      <c r="F1216" s="17" t="s">
        <v>806</v>
      </c>
      <c r="G1216" s="22" t="s">
        <v>1950</v>
      </c>
      <c r="H1216" s="12" t="s">
        <v>9703</v>
      </c>
      <c r="I1216" s="13" t="s">
        <v>6588</v>
      </c>
      <c r="J1216" s="14" t="s">
        <v>798</v>
      </c>
      <c r="K1216" s="15" t="s">
        <v>798</v>
      </c>
      <c r="L1216" s="12" t="s">
        <v>5315</v>
      </c>
      <c r="M1216" s="13" t="s">
        <v>5472</v>
      </c>
      <c r="N1216" s="12" t="s">
        <v>803</v>
      </c>
      <c r="O1216" s="13" t="s">
        <v>5067</v>
      </c>
      <c r="P1216" s="17" t="s">
        <v>802</v>
      </c>
      <c r="Q1216" s="21" t="s">
        <v>7791</v>
      </c>
      <c r="R1216" s="17" t="s">
        <v>801</v>
      </c>
      <c r="S1216" s="18" t="s">
        <v>2554</v>
      </c>
      <c r="T1216" s="17" t="s">
        <v>800</v>
      </c>
      <c r="U1216" s="18" t="s">
        <v>5233</v>
      </c>
      <c r="V1216" s="17" t="s">
        <v>9418</v>
      </c>
      <c r="W1216" s="18" t="s">
        <v>5309</v>
      </c>
      <c r="X1216" s="69" t="s">
        <v>9453</v>
      </c>
      <c r="Y1216" s="70" t="s">
        <v>9462</v>
      </c>
      <c r="Z1216" s="73" t="s">
        <v>9486</v>
      </c>
      <c r="AA1216" s="74" t="s">
        <v>9504</v>
      </c>
      <c r="AB1216" s="73" t="s">
        <v>9486</v>
      </c>
      <c r="AC1216" s="74" t="s">
        <v>9562</v>
      </c>
      <c r="AD1216" s="73" t="s">
        <v>9578</v>
      </c>
      <c r="AE1216" s="74" t="s">
        <v>9579</v>
      </c>
    </row>
    <row r="1217" spans="1:31" ht="8.65" customHeight="1" x14ac:dyDescent="0.2">
      <c r="A1217" s="76">
        <v>1217</v>
      </c>
      <c r="B1217" s="67" t="str">
        <f>MID(C1217, FIND("Ifc.", C1217) + 4, 4) &amp; "_" &amp; TEXT(COUNTIF($C$2:C1217, C1217),"0000")</f>
        <v>Prop_1216</v>
      </c>
      <c r="C1217" s="24" t="s">
        <v>872</v>
      </c>
      <c r="D1217" s="69" t="s">
        <v>9453</v>
      </c>
      <c r="E1217" s="70" t="s">
        <v>9454</v>
      </c>
      <c r="F1217" s="17" t="s">
        <v>806</v>
      </c>
      <c r="G1217" s="22" t="s">
        <v>1952</v>
      </c>
      <c r="H1217" s="12" t="s">
        <v>9703</v>
      </c>
      <c r="I1217" s="13" t="s">
        <v>6590</v>
      </c>
      <c r="J1217" s="14" t="s">
        <v>798</v>
      </c>
      <c r="K1217" s="15" t="s">
        <v>798</v>
      </c>
      <c r="L1217" s="12" t="s">
        <v>5315</v>
      </c>
      <c r="M1217" s="13" t="s">
        <v>5472</v>
      </c>
      <c r="N1217" s="12" t="s">
        <v>803</v>
      </c>
      <c r="O1217" s="13" t="s">
        <v>5067</v>
      </c>
      <c r="P1217" s="17" t="s">
        <v>802</v>
      </c>
      <c r="Q1217" s="21" t="s">
        <v>7791</v>
      </c>
      <c r="R1217" s="17" t="s">
        <v>801</v>
      </c>
      <c r="S1217" s="18" t="s">
        <v>2554</v>
      </c>
      <c r="T1217" s="17" t="s">
        <v>800</v>
      </c>
      <c r="U1217" s="18" t="s">
        <v>5233</v>
      </c>
      <c r="V1217" s="17" t="s">
        <v>9418</v>
      </c>
      <c r="W1217" s="18" t="s">
        <v>5310</v>
      </c>
      <c r="X1217" s="69" t="s">
        <v>9453</v>
      </c>
      <c r="Y1217" s="70" t="s">
        <v>9463</v>
      </c>
      <c r="Z1217" s="73" t="s">
        <v>9486</v>
      </c>
      <c r="AA1217" s="74" t="s">
        <v>9504</v>
      </c>
      <c r="AB1217" s="73" t="s">
        <v>9486</v>
      </c>
      <c r="AC1217" s="74" t="s">
        <v>9562</v>
      </c>
      <c r="AD1217" s="73" t="s">
        <v>9578</v>
      </c>
      <c r="AE1217" s="74" t="s">
        <v>9579</v>
      </c>
    </row>
    <row r="1218" spans="1:31" ht="8.65" customHeight="1" x14ac:dyDescent="0.2">
      <c r="A1218" s="76">
        <v>1218</v>
      </c>
      <c r="B1218" s="67" t="str">
        <f>MID(C1218, FIND("Ifc.", C1218) + 4, 4) &amp; "_" &amp; TEXT(COUNTIF($C$2:C1218, C1218),"0000")</f>
        <v>Prop_1217</v>
      </c>
      <c r="C1218" s="24" t="s">
        <v>872</v>
      </c>
      <c r="D1218" s="69" t="s">
        <v>9453</v>
      </c>
      <c r="E1218" s="70" t="s">
        <v>9454</v>
      </c>
      <c r="F1218" s="17" t="s">
        <v>806</v>
      </c>
      <c r="G1218" s="22" t="s">
        <v>1870</v>
      </c>
      <c r="H1218" s="12" t="s">
        <v>9703</v>
      </c>
      <c r="I1218" s="13" t="s">
        <v>6546</v>
      </c>
      <c r="J1218" s="14" t="s">
        <v>798</v>
      </c>
      <c r="K1218" s="15" t="s">
        <v>798</v>
      </c>
      <c r="L1218" s="12" t="s">
        <v>5315</v>
      </c>
      <c r="M1218" s="13" t="s">
        <v>5949</v>
      </c>
      <c r="N1218" s="12" t="s">
        <v>803</v>
      </c>
      <c r="O1218" s="13" t="s">
        <v>5036</v>
      </c>
      <c r="P1218" s="17" t="s">
        <v>802</v>
      </c>
      <c r="Q1218" s="21" t="s">
        <v>7972</v>
      </c>
      <c r="R1218" s="17" t="s">
        <v>801</v>
      </c>
      <c r="S1218" s="18" t="s">
        <v>2554</v>
      </c>
      <c r="T1218" s="17" t="s">
        <v>800</v>
      </c>
      <c r="U1218" s="18" t="s">
        <v>5233</v>
      </c>
      <c r="V1218" s="17" t="s">
        <v>9418</v>
      </c>
      <c r="W1218" s="18" t="s">
        <v>5309</v>
      </c>
      <c r="X1218" s="69" t="s">
        <v>9453</v>
      </c>
      <c r="Y1218" s="70" t="s">
        <v>9462</v>
      </c>
      <c r="Z1218" s="73" t="s">
        <v>9486</v>
      </c>
      <c r="AA1218" s="74" t="s">
        <v>9504</v>
      </c>
      <c r="AB1218" s="73" t="s">
        <v>9486</v>
      </c>
      <c r="AC1218" s="74" t="s">
        <v>9562</v>
      </c>
      <c r="AD1218" s="73" t="s">
        <v>9578</v>
      </c>
      <c r="AE1218" s="74" t="s">
        <v>9579</v>
      </c>
    </row>
    <row r="1219" spans="1:31" ht="8.65" customHeight="1" x14ac:dyDescent="0.2">
      <c r="A1219" s="76">
        <v>1219</v>
      </c>
      <c r="B1219" s="67" t="str">
        <f>MID(C1219, FIND("Ifc.", C1219) + 4, 4) &amp; "_" &amp; TEXT(COUNTIF($C$2:C1219, C1219),"0000")</f>
        <v>Prop_1218</v>
      </c>
      <c r="C1219" s="24" t="s">
        <v>872</v>
      </c>
      <c r="D1219" s="69" t="s">
        <v>9453</v>
      </c>
      <c r="E1219" s="70" t="s">
        <v>9454</v>
      </c>
      <c r="F1219" s="17" t="s">
        <v>806</v>
      </c>
      <c r="G1219" s="22" t="s">
        <v>1870</v>
      </c>
      <c r="H1219" s="12" t="s">
        <v>9703</v>
      </c>
      <c r="I1219" s="13" t="s">
        <v>6546</v>
      </c>
      <c r="J1219" s="14" t="s">
        <v>798</v>
      </c>
      <c r="K1219" s="15" t="s">
        <v>798</v>
      </c>
      <c r="L1219" s="12" t="s">
        <v>5315</v>
      </c>
      <c r="M1219" s="13" t="s">
        <v>5948</v>
      </c>
      <c r="N1219" s="12" t="s">
        <v>803</v>
      </c>
      <c r="O1219" s="13" t="s">
        <v>5035</v>
      </c>
      <c r="P1219" s="17" t="s">
        <v>802</v>
      </c>
      <c r="Q1219" s="21" t="s">
        <v>7973</v>
      </c>
      <c r="R1219" s="17" t="s">
        <v>801</v>
      </c>
      <c r="S1219" s="18" t="s">
        <v>2554</v>
      </c>
      <c r="T1219" s="17" t="s">
        <v>800</v>
      </c>
      <c r="U1219" s="18" t="s">
        <v>5233</v>
      </c>
      <c r="V1219" s="17" t="s">
        <v>9418</v>
      </c>
      <c r="W1219" s="18" t="s">
        <v>5309</v>
      </c>
      <c r="X1219" s="69" t="s">
        <v>9453</v>
      </c>
      <c r="Y1219" s="70" t="s">
        <v>9462</v>
      </c>
      <c r="Z1219" s="73" t="s">
        <v>9486</v>
      </c>
      <c r="AA1219" s="74" t="s">
        <v>9504</v>
      </c>
      <c r="AB1219" s="73" t="s">
        <v>9486</v>
      </c>
      <c r="AC1219" s="74" t="s">
        <v>9562</v>
      </c>
      <c r="AD1219" s="73" t="s">
        <v>9578</v>
      </c>
      <c r="AE1219" s="74" t="s">
        <v>9579</v>
      </c>
    </row>
    <row r="1220" spans="1:31" ht="8.65" customHeight="1" x14ac:dyDescent="0.2">
      <c r="A1220" s="76">
        <v>1220</v>
      </c>
      <c r="B1220" s="67" t="str">
        <f>MID(C1220, FIND("Ifc.", C1220) + 4, 4) &amp; "_" &amp; TEXT(COUNTIF($C$2:C1220, C1220),"0000")</f>
        <v>Prop_1219</v>
      </c>
      <c r="C1220" s="24" t="s">
        <v>872</v>
      </c>
      <c r="D1220" s="69" t="s">
        <v>9453</v>
      </c>
      <c r="E1220" s="70" t="s">
        <v>9454</v>
      </c>
      <c r="F1220" s="17" t="s">
        <v>806</v>
      </c>
      <c r="G1220" s="22" t="s">
        <v>2182</v>
      </c>
      <c r="H1220" s="12" t="s">
        <v>9703</v>
      </c>
      <c r="I1220" s="13" t="s">
        <v>6664</v>
      </c>
      <c r="J1220" s="14" t="s">
        <v>798</v>
      </c>
      <c r="K1220" s="15" t="s">
        <v>798</v>
      </c>
      <c r="L1220" s="12" t="s">
        <v>5315</v>
      </c>
      <c r="M1220" s="13" t="s">
        <v>5504</v>
      </c>
      <c r="N1220" s="12" t="s">
        <v>803</v>
      </c>
      <c r="O1220" s="13" t="s">
        <v>5117</v>
      </c>
      <c r="P1220" s="17" t="s">
        <v>802</v>
      </c>
      <c r="Q1220" s="21" t="s">
        <v>7743</v>
      </c>
      <c r="R1220" s="17" t="s">
        <v>801</v>
      </c>
      <c r="S1220" s="18" t="s">
        <v>2623</v>
      </c>
      <c r="T1220" s="17" t="s">
        <v>800</v>
      </c>
      <c r="U1220" s="18" t="s">
        <v>5247</v>
      </c>
      <c r="V1220" s="17" t="s">
        <v>9418</v>
      </c>
      <c r="W1220" s="18" t="s">
        <v>5309</v>
      </c>
      <c r="X1220" s="69" t="s">
        <v>9453</v>
      </c>
      <c r="Y1220" s="70" t="s">
        <v>9462</v>
      </c>
      <c r="Z1220" s="73" t="s">
        <v>9486</v>
      </c>
      <c r="AA1220" s="74" t="s">
        <v>9504</v>
      </c>
      <c r="AB1220" s="73" t="s">
        <v>9486</v>
      </c>
      <c r="AC1220" s="74" t="s">
        <v>9566</v>
      </c>
      <c r="AD1220" s="73" t="s">
        <v>9578</v>
      </c>
      <c r="AE1220" s="74" t="s">
        <v>9579</v>
      </c>
    </row>
    <row r="1221" spans="1:31" ht="8.65" customHeight="1" x14ac:dyDescent="0.2">
      <c r="A1221" s="76">
        <v>1221</v>
      </c>
      <c r="B1221" s="67" t="str">
        <f>MID(C1221, FIND("Ifc.", C1221) + 4, 4) &amp; "_" &amp; TEXT(COUNTIF($C$2:C1221, C1221),"0000")</f>
        <v>Prop_1220</v>
      </c>
      <c r="C1221" s="24" t="s">
        <v>872</v>
      </c>
      <c r="D1221" s="69" t="s">
        <v>9453</v>
      </c>
      <c r="E1221" s="70" t="s">
        <v>9454</v>
      </c>
      <c r="F1221" s="17" t="s">
        <v>806</v>
      </c>
      <c r="G1221" s="22" t="s">
        <v>961</v>
      </c>
      <c r="H1221" s="12" t="s">
        <v>9703</v>
      </c>
      <c r="I1221" s="13" t="s">
        <v>6090</v>
      </c>
      <c r="J1221" s="14" t="s">
        <v>798</v>
      </c>
      <c r="K1221" s="15" t="s">
        <v>798</v>
      </c>
      <c r="L1221" s="12" t="s">
        <v>5315</v>
      </c>
      <c r="M1221" s="13" t="s">
        <v>5986</v>
      </c>
      <c r="N1221" s="12" t="s">
        <v>803</v>
      </c>
      <c r="O1221" s="13" t="s">
        <v>4824</v>
      </c>
      <c r="P1221" s="17" t="s">
        <v>802</v>
      </c>
      <c r="Q1221" s="21" t="s">
        <v>7724</v>
      </c>
      <c r="R1221" s="17" t="s">
        <v>801</v>
      </c>
      <c r="S1221" s="18" t="s">
        <v>2559</v>
      </c>
      <c r="T1221" s="17" t="s">
        <v>800</v>
      </c>
      <c r="U1221" s="18" t="s">
        <v>5234</v>
      </c>
      <c r="V1221" s="17" t="s">
        <v>9418</v>
      </c>
      <c r="W1221" s="18" t="s">
        <v>5311</v>
      </c>
      <c r="X1221" s="69" t="s">
        <v>9453</v>
      </c>
      <c r="Y1221" s="70" t="s">
        <v>9466</v>
      </c>
      <c r="Z1221" s="73" t="s">
        <v>9486</v>
      </c>
      <c r="AA1221" s="74" t="s">
        <v>9504</v>
      </c>
      <c r="AB1221" s="73" t="s">
        <v>9486</v>
      </c>
      <c r="AC1221" s="74" t="s">
        <v>9562</v>
      </c>
      <c r="AD1221" s="73" t="s">
        <v>9578</v>
      </c>
      <c r="AE1221" s="74" t="s">
        <v>9579</v>
      </c>
    </row>
    <row r="1222" spans="1:31" ht="8.65" customHeight="1" x14ac:dyDescent="0.2">
      <c r="A1222" s="76">
        <v>1222</v>
      </c>
      <c r="B1222" s="67" t="str">
        <f>MID(C1222, FIND("Ifc.", C1222) + 4, 4) &amp; "_" &amp; TEXT(COUNTIF($C$2:C1222, C1222),"0000")</f>
        <v>Prop_1221</v>
      </c>
      <c r="C1222" s="24" t="s">
        <v>872</v>
      </c>
      <c r="D1222" s="69" t="s">
        <v>9453</v>
      </c>
      <c r="E1222" s="70" t="s">
        <v>9454</v>
      </c>
      <c r="F1222" s="17" t="s">
        <v>806</v>
      </c>
      <c r="G1222" s="22" t="s">
        <v>961</v>
      </c>
      <c r="H1222" s="12" t="s">
        <v>9703</v>
      </c>
      <c r="I1222" s="13" t="s">
        <v>6090</v>
      </c>
      <c r="J1222" s="14" t="s">
        <v>798</v>
      </c>
      <c r="K1222" s="15" t="s">
        <v>798</v>
      </c>
      <c r="L1222" s="12" t="s">
        <v>5315</v>
      </c>
      <c r="M1222" s="13" t="s">
        <v>5990</v>
      </c>
      <c r="N1222" s="12" t="s">
        <v>803</v>
      </c>
      <c r="O1222" s="13" t="s">
        <v>4827</v>
      </c>
      <c r="P1222" s="17" t="s">
        <v>802</v>
      </c>
      <c r="Q1222" s="21" t="s">
        <v>7704</v>
      </c>
      <c r="R1222" s="17" t="s">
        <v>801</v>
      </c>
      <c r="S1222" s="18" t="s">
        <v>2559</v>
      </c>
      <c r="T1222" s="17" t="s">
        <v>800</v>
      </c>
      <c r="U1222" s="18" t="s">
        <v>5234</v>
      </c>
      <c r="V1222" s="17" t="s">
        <v>9418</v>
      </c>
      <c r="W1222" s="18" t="s">
        <v>5311</v>
      </c>
      <c r="X1222" s="69" t="s">
        <v>9453</v>
      </c>
      <c r="Y1222" s="70" t="s">
        <v>9466</v>
      </c>
      <c r="Z1222" s="73" t="s">
        <v>9486</v>
      </c>
      <c r="AA1222" s="74" t="s">
        <v>9504</v>
      </c>
      <c r="AB1222" s="73" t="s">
        <v>9486</v>
      </c>
      <c r="AC1222" s="74" t="s">
        <v>9562</v>
      </c>
      <c r="AD1222" s="73" t="s">
        <v>9578</v>
      </c>
      <c r="AE1222" s="74" t="s">
        <v>9579</v>
      </c>
    </row>
    <row r="1223" spans="1:31" ht="8.65" customHeight="1" x14ac:dyDescent="0.2">
      <c r="A1223" s="76">
        <v>1223</v>
      </c>
      <c r="B1223" s="67" t="str">
        <f>MID(C1223, FIND("Ifc.", C1223) + 4, 4) &amp; "_" &amp; TEXT(COUNTIF($C$2:C1223, C1223),"0000")</f>
        <v>Prop_1222</v>
      </c>
      <c r="C1223" s="24" t="s">
        <v>872</v>
      </c>
      <c r="D1223" s="69" t="s">
        <v>9453</v>
      </c>
      <c r="E1223" s="70" t="s">
        <v>9454</v>
      </c>
      <c r="F1223" s="17" t="s">
        <v>806</v>
      </c>
      <c r="G1223" s="22" t="s">
        <v>961</v>
      </c>
      <c r="H1223" s="12" t="s">
        <v>9703</v>
      </c>
      <c r="I1223" s="13" t="s">
        <v>6090</v>
      </c>
      <c r="J1223" s="14" t="s">
        <v>798</v>
      </c>
      <c r="K1223" s="15" t="s">
        <v>798</v>
      </c>
      <c r="L1223" s="12" t="s">
        <v>5315</v>
      </c>
      <c r="M1223" s="13" t="s">
        <v>5984</v>
      </c>
      <c r="N1223" s="12" t="s">
        <v>803</v>
      </c>
      <c r="O1223" s="13" t="s">
        <v>4822</v>
      </c>
      <c r="P1223" s="17" t="s">
        <v>802</v>
      </c>
      <c r="Q1223" s="21" t="s">
        <v>7725</v>
      </c>
      <c r="R1223" s="17" t="s">
        <v>801</v>
      </c>
      <c r="S1223" s="18" t="s">
        <v>2559</v>
      </c>
      <c r="T1223" s="17" t="s">
        <v>800</v>
      </c>
      <c r="U1223" s="18" t="s">
        <v>5234</v>
      </c>
      <c r="V1223" s="17" t="s">
        <v>9418</v>
      </c>
      <c r="W1223" s="18" t="s">
        <v>5311</v>
      </c>
      <c r="X1223" s="69" t="s">
        <v>9453</v>
      </c>
      <c r="Y1223" s="70" t="s">
        <v>9466</v>
      </c>
      <c r="Z1223" s="73" t="s">
        <v>9486</v>
      </c>
      <c r="AA1223" s="74" t="s">
        <v>9504</v>
      </c>
      <c r="AB1223" s="73" t="s">
        <v>9486</v>
      </c>
      <c r="AC1223" s="74" t="s">
        <v>9562</v>
      </c>
      <c r="AD1223" s="73" t="s">
        <v>9578</v>
      </c>
      <c r="AE1223" s="74" t="s">
        <v>9579</v>
      </c>
    </row>
    <row r="1224" spans="1:31" ht="8.65" customHeight="1" x14ac:dyDescent="0.2">
      <c r="A1224" s="76">
        <v>1224</v>
      </c>
      <c r="B1224" s="67" t="str">
        <f>MID(C1224, FIND("Ifc.", C1224) + 4, 4) &amp; "_" &amp; TEXT(COUNTIF($C$2:C1224, C1224),"0000")</f>
        <v>Prop_1223</v>
      </c>
      <c r="C1224" s="24" t="s">
        <v>872</v>
      </c>
      <c r="D1224" s="69" t="s">
        <v>9453</v>
      </c>
      <c r="E1224" s="70" t="s">
        <v>9454</v>
      </c>
      <c r="F1224" s="17" t="s">
        <v>806</v>
      </c>
      <c r="G1224" s="22" t="s">
        <v>1072</v>
      </c>
      <c r="H1224" s="12" t="s">
        <v>9703</v>
      </c>
      <c r="I1224" s="13" t="s">
        <v>6145</v>
      </c>
      <c r="J1224" s="14" t="s">
        <v>798</v>
      </c>
      <c r="K1224" s="15" t="s">
        <v>798</v>
      </c>
      <c r="L1224" s="12" t="s">
        <v>5315</v>
      </c>
      <c r="M1224" s="13" t="s">
        <v>6036</v>
      </c>
      <c r="N1224" s="12" t="s">
        <v>803</v>
      </c>
      <c r="O1224" s="13" t="s">
        <v>4848</v>
      </c>
      <c r="P1224" s="17" t="s">
        <v>802</v>
      </c>
      <c r="Q1224" s="21" t="s">
        <v>7757</v>
      </c>
      <c r="R1224" s="17" t="s">
        <v>801</v>
      </c>
      <c r="S1224" s="18" t="s">
        <v>2554</v>
      </c>
      <c r="T1224" s="17" t="s">
        <v>800</v>
      </c>
      <c r="U1224" s="18" t="s">
        <v>5233</v>
      </c>
      <c r="V1224" s="17" t="s">
        <v>9418</v>
      </c>
      <c r="W1224" s="18" t="s">
        <v>5310</v>
      </c>
      <c r="X1224" s="69" t="s">
        <v>9453</v>
      </c>
      <c r="Y1224" s="70" t="s">
        <v>9463</v>
      </c>
      <c r="Z1224" s="73" t="s">
        <v>9486</v>
      </c>
      <c r="AA1224" s="74" t="s">
        <v>9504</v>
      </c>
      <c r="AB1224" s="73" t="s">
        <v>9486</v>
      </c>
      <c r="AC1224" s="74" t="s">
        <v>9562</v>
      </c>
      <c r="AD1224" s="73" t="s">
        <v>9578</v>
      </c>
      <c r="AE1224" s="74" t="s">
        <v>9579</v>
      </c>
    </row>
    <row r="1225" spans="1:31" ht="8.65" customHeight="1" x14ac:dyDescent="0.2">
      <c r="A1225" s="76">
        <v>1225</v>
      </c>
      <c r="B1225" s="67" t="str">
        <f>MID(C1225, FIND("Ifc.", C1225) + 4, 4) &amp; "_" &amp; TEXT(COUNTIF($C$2:C1225, C1225),"0000")</f>
        <v>Prop_1224</v>
      </c>
      <c r="C1225" s="24" t="s">
        <v>872</v>
      </c>
      <c r="D1225" s="69" t="s">
        <v>9453</v>
      </c>
      <c r="E1225" s="70" t="s">
        <v>9454</v>
      </c>
      <c r="F1225" s="17" t="s">
        <v>806</v>
      </c>
      <c r="G1225" s="22" t="s">
        <v>2305</v>
      </c>
      <c r="H1225" s="12" t="s">
        <v>9703</v>
      </c>
      <c r="I1225" s="13" t="s">
        <v>6715</v>
      </c>
      <c r="J1225" s="14" t="s">
        <v>798</v>
      </c>
      <c r="K1225" s="15" t="s">
        <v>798</v>
      </c>
      <c r="L1225" s="12" t="s">
        <v>5315</v>
      </c>
      <c r="M1225" s="13" t="s">
        <v>5859</v>
      </c>
      <c r="N1225" s="12" t="s">
        <v>803</v>
      </c>
      <c r="O1225" s="13" t="s">
        <v>5165</v>
      </c>
      <c r="P1225" s="17" t="s">
        <v>802</v>
      </c>
      <c r="Q1225" s="21" t="s">
        <v>7783</v>
      </c>
      <c r="R1225" s="17" t="s">
        <v>801</v>
      </c>
      <c r="S1225" s="18" t="s">
        <v>2559</v>
      </c>
      <c r="T1225" s="17" t="s">
        <v>800</v>
      </c>
      <c r="U1225" s="18" t="s">
        <v>5234</v>
      </c>
      <c r="V1225" s="17" t="s">
        <v>9418</v>
      </c>
      <c r="W1225" s="18" t="s">
        <v>5311</v>
      </c>
      <c r="X1225" s="69" t="s">
        <v>9453</v>
      </c>
      <c r="Y1225" s="70" t="s">
        <v>9466</v>
      </c>
      <c r="Z1225" s="73" t="s">
        <v>9486</v>
      </c>
      <c r="AA1225" s="74" t="s">
        <v>9504</v>
      </c>
      <c r="AB1225" s="73" t="s">
        <v>9486</v>
      </c>
      <c r="AC1225" s="74" t="s">
        <v>9562</v>
      </c>
      <c r="AD1225" s="73" t="s">
        <v>9578</v>
      </c>
      <c r="AE1225" s="74" t="s">
        <v>9579</v>
      </c>
    </row>
    <row r="1226" spans="1:31" ht="8.65" customHeight="1" x14ac:dyDescent="0.2">
      <c r="A1226" s="76">
        <v>1226</v>
      </c>
      <c r="B1226" s="67" t="str">
        <f>MID(C1226, FIND("Ifc.", C1226) + 4, 4) &amp; "_" &amp; TEXT(COUNTIF($C$2:C1226, C1226),"0000")</f>
        <v>Prop_1225</v>
      </c>
      <c r="C1226" s="24" t="s">
        <v>872</v>
      </c>
      <c r="D1226" s="69" t="s">
        <v>9453</v>
      </c>
      <c r="E1226" s="70" t="s">
        <v>9454</v>
      </c>
      <c r="F1226" s="17" t="s">
        <v>806</v>
      </c>
      <c r="G1226" s="22" t="s">
        <v>1381</v>
      </c>
      <c r="H1226" s="12" t="s">
        <v>9703</v>
      </c>
      <c r="I1226" s="13" t="s">
        <v>6307</v>
      </c>
      <c r="J1226" s="14" t="s">
        <v>798</v>
      </c>
      <c r="K1226" s="15" t="s">
        <v>798</v>
      </c>
      <c r="L1226" s="12" t="s">
        <v>5315</v>
      </c>
      <c r="M1226" s="13" t="s">
        <v>5420</v>
      </c>
      <c r="N1226" s="12" t="s">
        <v>803</v>
      </c>
      <c r="O1226" s="13" t="s">
        <v>4920</v>
      </c>
      <c r="P1226" s="17" t="s">
        <v>802</v>
      </c>
      <c r="Q1226" s="21" t="s">
        <v>7990</v>
      </c>
      <c r="R1226" s="17" t="s">
        <v>801</v>
      </c>
      <c r="S1226" s="18" t="s">
        <v>2559</v>
      </c>
      <c r="T1226" s="17" t="s">
        <v>800</v>
      </c>
      <c r="U1226" s="18" t="s">
        <v>5234</v>
      </c>
      <c r="V1226" s="17" t="s">
        <v>9418</v>
      </c>
      <c r="W1226" s="18" t="s">
        <v>5311</v>
      </c>
      <c r="X1226" s="69" t="s">
        <v>9453</v>
      </c>
      <c r="Y1226" s="70" t="s">
        <v>9466</v>
      </c>
      <c r="Z1226" s="73" t="s">
        <v>9486</v>
      </c>
      <c r="AA1226" s="74" t="s">
        <v>9504</v>
      </c>
      <c r="AB1226" s="73" t="s">
        <v>9486</v>
      </c>
      <c r="AC1226" s="74" t="s">
        <v>9562</v>
      </c>
      <c r="AD1226" s="73" t="s">
        <v>9578</v>
      </c>
      <c r="AE1226" s="74" t="s">
        <v>9579</v>
      </c>
    </row>
    <row r="1227" spans="1:31" ht="8.65" customHeight="1" x14ac:dyDescent="0.2">
      <c r="A1227" s="76">
        <v>1227</v>
      </c>
      <c r="B1227" s="67" t="str">
        <f>MID(C1227, FIND("Ifc.", C1227) + 4, 4) &amp; "_" &amp; TEXT(COUNTIF($C$2:C1227, C1227),"0000")</f>
        <v>Prop_1226</v>
      </c>
      <c r="C1227" s="24" t="s">
        <v>872</v>
      </c>
      <c r="D1227" s="69" t="s">
        <v>9453</v>
      </c>
      <c r="E1227" s="70" t="s">
        <v>9454</v>
      </c>
      <c r="F1227" s="17" t="s">
        <v>806</v>
      </c>
      <c r="G1227" s="22" t="s">
        <v>1381</v>
      </c>
      <c r="H1227" s="12" t="s">
        <v>9703</v>
      </c>
      <c r="I1227" s="13" t="s">
        <v>6307</v>
      </c>
      <c r="J1227" s="14" t="s">
        <v>798</v>
      </c>
      <c r="K1227" s="15" t="s">
        <v>798</v>
      </c>
      <c r="L1227" s="12" t="s">
        <v>5315</v>
      </c>
      <c r="M1227" s="13" t="s">
        <v>5925</v>
      </c>
      <c r="N1227" s="12" t="s">
        <v>803</v>
      </c>
      <c r="O1227" s="13" t="s">
        <v>4985</v>
      </c>
      <c r="P1227" s="17" t="s">
        <v>802</v>
      </c>
      <c r="Q1227" s="21" t="s">
        <v>7991</v>
      </c>
      <c r="R1227" s="17" t="s">
        <v>801</v>
      </c>
      <c r="S1227" s="18" t="s">
        <v>3636</v>
      </c>
      <c r="T1227" s="17" t="s">
        <v>800</v>
      </c>
      <c r="U1227" s="18" t="s">
        <v>5257</v>
      </c>
      <c r="V1227" s="17" t="s">
        <v>9418</v>
      </c>
      <c r="W1227" s="18" t="s">
        <v>5314</v>
      </c>
      <c r="X1227" s="69" t="s">
        <v>9453</v>
      </c>
      <c r="Y1227" s="70" t="s">
        <v>9464</v>
      </c>
      <c r="Z1227" s="73" t="s">
        <v>9486</v>
      </c>
      <c r="AA1227" s="74" t="s">
        <v>9504</v>
      </c>
      <c r="AB1227" s="73" t="s">
        <v>9486</v>
      </c>
      <c r="AC1227" s="74" t="s">
        <v>9561</v>
      </c>
      <c r="AD1227" s="73" t="s">
        <v>9578</v>
      </c>
      <c r="AE1227" s="74" t="s">
        <v>9579</v>
      </c>
    </row>
    <row r="1228" spans="1:31" ht="8.65" customHeight="1" x14ac:dyDescent="0.2">
      <c r="A1228" s="76">
        <v>1228</v>
      </c>
      <c r="B1228" s="67" t="str">
        <f>MID(C1228, FIND("Ifc.", C1228) + 4, 4) &amp; "_" &amp; TEXT(COUNTIF($C$2:C1228, C1228),"0000")</f>
        <v>Prop_1227</v>
      </c>
      <c r="C1228" s="24" t="s">
        <v>872</v>
      </c>
      <c r="D1228" s="69" t="s">
        <v>9453</v>
      </c>
      <c r="E1228" s="70" t="s">
        <v>9454</v>
      </c>
      <c r="F1228" s="17" t="s">
        <v>806</v>
      </c>
      <c r="G1228" s="22" t="s">
        <v>1506</v>
      </c>
      <c r="H1228" s="12" t="s">
        <v>9703</v>
      </c>
      <c r="I1228" s="13" t="s">
        <v>6349</v>
      </c>
      <c r="J1228" s="14" t="s">
        <v>798</v>
      </c>
      <c r="K1228" s="15" t="s">
        <v>798</v>
      </c>
      <c r="L1228" s="12" t="s">
        <v>5315</v>
      </c>
      <c r="M1228" s="13" t="s">
        <v>5828</v>
      </c>
      <c r="N1228" s="12" t="s">
        <v>803</v>
      </c>
      <c r="O1228" s="13" t="s">
        <v>4949</v>
      </c>
      <c r="P1228" s="17" t="s">
        <v>802</v>
      </c>
      <c r="Q1228" s="21" t="s">
        <v>7815</v>
      </c>
      <c r="R1228" s="17" t="s">
        <v>801</v>
      </c>
      <c r="S1228" s="18" t="s">
        <v>2554</v>
      </c>
      <c r="T1228" s="17" t="s">
        <v>800</v>
      </c>
      <c r="U1228" s="18" t="s">
        <v>5233</v>
      </c>
      <c r="V1228" s="17" t="s">
        <v>9418</v>
      </c>
      <c r="W1228" s="18" t="s">
        <v>5313</v>
      </c>
      <c r="X1228" s="69" t="s">
        <v>9453</v>
      </c>
      <c r="Y1228" s="70" t="s">
        <v>9467</v>
      </c>
      <c r="Z1228" s="73" t="s">
        <v>9486</v>
      </c>
      <c r="AA1228" s="74" t="s">
        <v>9504</v>
      </c>
      <c r="AB1228" s="73" t="s">
        <v>9486</v>
      </c>
      <c r="AC1228" s="74" t="s">
        <v>9562</v>
      </c>
      <c r="AD1228" s="73" t="s">
        <v>9578</v>
      </c>
      <c r="AE1228" s="74" t="s">
        <v>9579</v>
      </c>
    </row>
    <row r="1229" spans="1:31" ht="8.65" customHeight="1" x14ac:dyDescent="0.2">
      <c r="A1229" s="76">
        <v>1229</v>
      </c>
      <c r="B1229" s="67" t="str">
        <f>MID(C1229, FIND("Ifc.", C1229) + 4, 4) &amp; "_" &amp; TEXT(COUNTIF($C$2:C1229, C1229),"0000")</f>
        <v>Prop_1228</v>
      </c>
      <c r="C1229" s="24" t="s">
        <v>872</v>
      </c>
      <c r="D1229" s="69" t="s">
        <v>9453</v>
      </c>
      <c r="E1229" s="70" t="s">
        <v>9454</v>
      </c>
      <c r="F1229" s="17" t="s">
        <v>806</v>
      </c>
      <c r="G1229" s="22" t="s">
        <v>1505</v>
      </c>
      <c r="H1229" s="12" t="s">
        <v>9703</v>
      </c>
      <c r="I1229" s="13" t="s">
        <v>6348</v>
      </c>
      <c r="J1229" s="14" t="s">
        <v>798</v>
      </c>
      <c r="K1229" s="15" t="s">
        <v>798</v>
      </c>
      <c r="L1229" s="12" t="s">
        <v>5315</v>
      </c>
      <c r="M1229" s="13" t="s">
        <v>5828</v>
      </c>
      <c r="N1229" s="12" t="s">
        <v>803</v>
      </c>
      <c r="O1229" s="13" t="s">
        <v>4949</v>
      </c>
      <c r="P1229" s="17" t="s">
        <v>802</v>
      </c>
      <c r="Q1229" s="21" t="s">
        <v>7815</v>
      </c>
      <c r="R1229" s="17" t="s">
        <v>801</v>
      </c>
      <c r="S1229" s="18" t="s">
        <v>2554</v>
      </c>
      <c r="T1229" s="17" t="s">
        <v>800</v>
      </c>
      <c r="U1229" s="18" t="s">
        <v>5233</v>
      </c>
      <c r="V1229" s="17" t="s">
        <v>9418</v>
      </c>
      <c r="W1229" s="18" t="s">
        <v>5313</v>
      </c>
      <c r="X1229" s="69" t="s">
        <v>9453</v>
      </c>
      <c r="Y1229" s="70" t="s">
        <v>9467</v>
      </c>
      <c r="Z1229" s="73" t="s">
        <v>9486</v>
      </c>
      <c r="AA1229" s="74" t="s">
        <v>9504</v>
      </c>
      <c r="AB1229" s="73" t="s">
        <v>9486</v>
      </c>
      <c r="AC1229" s="74" t="s">
        <v>9562</v>
      </c>
      <c r="AD1229" s="73" t="s">
        <v>9578</v>
      </c>
      <c r="AE1229" s="74" t="s">
        <v>9579</v>
      </c>
    </row>
    <row r="1230" spans="1:31" ht="8.65" customHeight="1" x14ac:dyDescent="0.2">
      <c r="A1230" s="76">
        <v>1230</v>
      </c>
      <c r="B1230" s="67" t="str">
        <f>MID(C1230, FIND("Ifc.", C1230) + 4, 4) &amp; "_" &amp; TEXT(COUNTIF($C$2:C1230, C1230),"0000")</f>
        <v>Prop_1229</v>
      </c>
      <c r="C1230" s="24" t="s">
        <v>872</v>
      </c>
      <c r="D1230" s="69" t="s">
        <v>9453</v>
      </c>
      <c r="E1230" s="70" t="s">
        <v>9454</v>
      </c>
      <c r="F1230" s="17" t="s">
        <v>806</v>
      </c>
      <c r="G1230" s="22" t="s">
        <v>1852</v>
      </c>
      <c r="H1230" s="12" t="s">
        <v>9703</v>
      </c>
      <c r="I1230" s="13" t="s">
        <v>6521</v>
      </c>
      <c r="J1230" s="14" t="s">
        <v>798</v>
      </c>
      <c r="K1230" s="15" t="s">
        <v>798</v>
      </c>
      <c r="L1230" s="12" t="s">
        <v>5315</v>
      </c>
      <c r="M1230" s="13" t="s">
        <v>5457</v>
      </c>
      <c r="N1230" s="12" t="s">
        <v>803</v>
      </c>
      <c r="O1230" s="13" t="s">
        <v>5033</v>
      </c>
      <c r="P1230" s="17" t="s">
        <v>802</v>
      </c>
      <c r="Q1230" s="21" t="s">
        <v>7919</v>
      </c>
      <c r="R1230" s="17" t="s">
        <v>801</v>
      </c>
      <c r="S1230" s="18" t="s">
        <v>2649</v>
      </c>
      <c r="T1230" s="17" t="s">
        <v>800</v>
      </c>
      <c r="U1230" s="18" t="s">
        <v>5289</v>
      </c>
      <c r="V1230" s="17" t="s">
        <v>9418</v>
      </c>
      <c r="W1230" s="18" t="s">
        <v>5309</v>
      </c>
      <c r="X1230" s="69" t="s">
        <v>9453</v>
      </c>
      <c r="Y1230" s="70" t="s">
        <v>9462</v>
      </c>
      <c r="Z1230" s="73" t="s">
        <v>9486</v>
      </c>
      <c r="AA1230" s="74" t="s">
        <v>9504</v>
      </c>
      <c r="AB1230" s="73" t="s">
        <v>9486</v>
      </c>
      <c r="AC1230" s="74" t="s">
        <v>9566</v>
      </c>
      <c r="AD1230" s="73" t="s">
        <v>9578</v>
      </c>
      <c r="AE1230" s="74" t="s">
        <v>9579</v>
      </c>
    </row>
    <row r="1231" spans="1:31" ht="8.65" customHeight="1" x14ac:dyDescent="0.2">
      <c r="A1231" s="76">
        <v>1231</v>
      </c>
      <c r="B1231" s="67" t="str">
        <f>MID(C1231, FIND("Ifc.", C1231) + 4, 4) &amp; "_" &amp; TEXT(COUNTIF($C$2:C1231, C1231),"0000")</f>
        <v>Prop_1230</v>
      </c>
      <c r="C1231" s="24" t="s">
        <v>872</v>
      </c>
      <c r="D1231" s="69" t="s">
        <v>9453</v>
      </c>
      <c r="E1231" s="70" t="s">
        <v>9454</v>
      </c>
      <c r="F1231" s="17" t="s">
        <v>806</v>
      </c>
      <c r="G1231" s="22" t="s">
        <v>2022</v>
      </c>
      <c r="H1231" s="12" t="s">
        <v>9703</v>
      </c>
      <c r="I1231" s="13" t="s">
        <v>7356</v>
      </c>
      <c r="J1231" s="14" t="s">
        <v>798</v>
      </c>
      <c r="K1231" s="15" t="s">
        <v>798</v>
      </c>
      <c r="L1231" s="12" t="s">
        <v>5315</v>
      </c>
      <c r="M1231" s="13" t="s">
        <v>5480</v>
      </c>
      <c r="N1231" s="12" t="s">
        <v>803</v>
      </c>
      <c r="O1231" s="13" t="s">
        <v>5084</v>
      </c>
      <c r="P1231" s="17" t="s">
        <v>802</v>
      </c>
      <c r="Q1231" s="21" t="s">
        <v>7755</v>
      </c>
      <c r="R1231" s="17" t="s">
        <v>801</v>
      </c>
      <c r="S1231" s="18" t="s">
        <v>2650</v>
      </c>
      <c r="T1231" s="17" t="s">
        <v>800</v>
      </c>
      <c r="U1231" s="18" t="s">
        <v>5297</v>
      </c>
      <c r="V1231" s="17" t="s">
        <v>9418</v>
      </c>
      <c r="W1231" s="18" t="s">
        <v>5309</v>
      </c>
      <c r="X1231" s="69" t="s">
        <v>9453</v>
      </c>
      <c r="Y1231" s="70" t="s">
        <v>9462</v>
      </c>
      <c r="Z1231" s="73" t="s">
        <v>9486</v>
      </c>
      <c r="AA1231" s="74" t="s">
        <v>9504</v>
      </c>
      <c r="AB1231" s="73" t="s">
        <v>9486</v>
      </c>
      <c r="AC1231" s="74" t="s">
        <v>9566</v>
      </c>
      <c r="AD1231" s="73" t="s">
        <v>9578</v>
      </c>
      <c r="AE1231" s="74" t="s">
        <v>9579</v>
      </c>
    </row>
    <row r="1232" spans="1:31" ht="8.65" customHeight="1" x14ac:dyDescent="0.2">
      <c r="A1232" s="76">
        <v>1232</v>
      </c>
      <c r="B1232" s="67" t="str">
        <f>MID(C1232, FIND("Ifc.", C1232) + 4, 4) &amp; "_" &amp; TEXT(COUNTIF($C$2:C1232, C1232),"0000")</f>
        <v>Prop_1231</v>
      </c>
      <c r="C1232" s="24" t="s">
        <v>872</v>
      </c>
      <c r="D1232" s="69" t="s">
        <v>9453</v>
      </c>
      <c r="E1232" s="70" t="s">
        <v>9454</v>
      </c>
      <c r="F1232" s="17" t="s">
        <v>806</v>
      </c>
      <c r="G1232" s="22" t="s">
        <v>2023</v>
      </c>
      <c r="H1232" s="12" t="s">
        <v>9703</v>
      </c>
      <c r="I1232" s="13" t="s">
        <v>7357</v>
      </c>
      <c r="J1232" s="14" t="s">
        <v>798</v>
      </c>
      <c r="K1232" s="15" t="s">
        <v>798</v>
      </c>
      <c r="L1232" s="12" t="s">
        <v>5315</v>
      </c>
      <c r="M1232" s="13" t="s">
        <v>5480</v>
      </c>
      <c r="N1232" s="12" t="s">
        <v>803</v>
      </c>
      <c r="O1232" s="13" t="s">
        <v>5084</v>
      </c>
      <c r="P1232" s="17" t="s">
        <v>802</v>
      </c>
      <c r="Q1232" s="21" t="s">
        <v>7755</v>
      </c>
      <c r="R1232" s="17" t="s">
        <v>801</v>
      </c>
      <c r="S1232" s="18" t="s">
        <v>2650</v>
      </c>
      <c r="T1232" s="17" t="s">
        <v>800</v>
      </c>
      <c r="U1232" s="18" t="s">
        <v>5297</v>
      </c>
      <c r="V1232" s="17" t="s">
        <v>9418</v>
      </c>
      <c r="W1232" s="18" t="s">
        <v>5309</v>
      </c>
      <c r="X1232" s="69" t="s">
        <v>9453</v>
      </c>
      <c r="Y1232" s="70" t="s">
        <v>9462</v>
      </c>
      <c r="Z1232" s="73" t="s">
        <v>9486</v>
      </c>
      <c r="AA1232" s="74" t="s">
        <v>9504</v>
      </c>
      <c r="AB1232" s="73" t="s">
        <v>9486</v>
      </c>
      <c r="AC1232" s="74" t="s">
        <v>9566</v>
      </c>
      <c r="AD1232" s="73" t="s">
        <v>9578</v>
      </c>
      <c r="AE1232" s="74" t="s">
        <v>9579</v>
      </c>
    </row>
    <row r="1233" spans="1:31" ht="8.65" customHeight="1" x14ac:dyDescent="0.2">
      <c r="A1233" s="76">
        <v>1233</v>
      </c>
      <c r="B1233" s="67" t="str">
        <f>MID(C1233, FIND("Ifc.", C1233) + 4, 4) &amp; "_" &amp; TEXT(COUNTIF($C$2:C1233, C1233),"0000")</f>
        <v>Prop_1232</v>
      </c>
      <c r="C1233" s="24" t="s">
        <v>872</v>
      </c>
      <c r="D1233" s="69" t="s">
        <v>9453</v>
      </c>
      <c r="E1233" s="70" t="s">
        <v>9454</v>
      </c>
      <c r="F1233" s="17" t="s">
        <v>806</v>
      </c>
      <c r="G1233" s="22" t="s">
        <v>2024</v>
      </c>
      <c r="H1233" s="12" t="s">
        <v>9703</v>
      </c>
      <c r="I1233" s="13" t="s">
        <v>7358</v>
      </c>
      <c r="J1233" s="14" t="s">
        <v>798</v>
      </c>
      <c r="K1233" s="15" t="s">
        <v>798</v>
      </c>
      <c r="L1233" s="12" t="s">
        <v>5315</v>
      </c>
      <c r="M1233" s="13" t="s">
        <v>5480</v>
      </c>
      <c r="N1233" s="12" t="s">
        <v>803</v>
      </c>
      <c r="O1233" s="13" t="s">
        <v>5084</v>
      </c>
      <c r="P1233" s="17" t="s">
        <v>802</v>
      </c>
      <c r="Q1233" s="21" t="s">
        <v>7755</v>
      </c>
      <c r="R1233" s="17" t="s">
        <v>801</v>
      </c>
      <c r="S1233" s="18" t="s">
        <v>2650</v>
      </c>
      <c r="T1233" s="17" t="s">
        <v>800</v>
      </c>
      <c r="U1233" s="18" t="s">
        <v>5297</v>
      </c>
      <c r="V1233" s="17" t="s">
        <v>9418</v>
      </c>
      <c r="W1233" s="18" t="s">
        <v>5309</v>
      </c>
      <c r="X1233" s="69" t="s">
        <v>9453</v>
      </c>
      <c r="Y1233" s="70" t="s">
        <v>9462</v>
      </c>
      <c r="Z1233" s="73" t="s">
        <v>9486</v>
      </c>
      <c r="AA1233" s="74" t="s">
        <v>9504</v>
      </c>
      <c r="AB1233" s="73" t="s">
        <v>9486</v>
      </c>
      <c r="AC1233" s="74" t="s">
        <v>9566</v>
      </c>
      <c r="AD1233" s="73" t="s">
        <v>9578</v>
      </c>
      <c r="AE1233" s="74" t="s">
        <v>9579</v>
      </c>
    </row>
    <row r="1234" spans="1:31" ht="8.65" customHeight="1" x14ac:dyDescent="0.2">
      <c r="A1234" s="76">
        <v>1234</v>
      </c>
      <c r="B1234" s="67" t="str">
        <f>MID(C1234, FIND("Ifc.", C1234) + 4, 4) &amp; "_" &amp; TEXT(COUNTIF($C$2:C1234, C1234),"0000")</f>
        <v>Prop_1233</v>
      </c>
      <c r="C1234" s="24" t="s">
        <v>872</v>
      </c>
      <c r="D1234" s="69" t="s">
        <v>9453</v>
      </c>
      <c r="E1234" s="70" t="s">
        <v>9454</v>
      </c>
      <c r="F1234" s="17" t="s">
        <v>806</v>
      </c>
      <c r="G1234" s="22" t="s">
        <v>2025</v>
      </c>
      <c r="H1234" s="12" t="s">
        <v>9703</v>
      </c>
      <c r="I1234" s="13" t="s">
        <v>7360</v>
      </c>
      <c r="J1234" s="14" t="s">
        <v>798</v>
      </c>
      <c r="K1234" s="15" t="s">
        <v>798</v>
      </c>
      <c r="L1234" s="12" t="s">
        <v>5315</v>
      </c>
      <c r="M1234" s="13" t="s">
        <v>5480</v>
      </c>
      <c r="N1234" s="12" t="s">
        <v>803</v>
      </c>
      <c r="O1234" s="13" t="s">
        <v>5084</v>
      </c>
      <c r="P1234" s="17" t="s">
        <v>802</v>
      </c>
      <c r="Q1234" s="21" t="s">
        <v>7755</v>
      </c>
      <c r="R1234" s="17" t="s">
        <v>801</v>
      </c>
      <c r="S1234" s="18" t="s">
        <v>2650</v>
      </c>
      <c r="T1234" s="17" t="s">
        <v>800</v>
      </c>
      <c r="U1234" s="18" t="s">
        <v>5297</v>
      </c>
      <c r="V1234" s="17" t="s">
        <v>9418</v>
      </c>
      <c r="W1234" s="18" t="s">
        <v>5309</v>
      </c>
      <c r="X1234" s="69" t="s">
        <v>9453</v>
      </c>
      <c r="Y1234" s="70" t="s">
        <v>9462</v>
      </c>
      <c r="Z1234" s="73" t="s">
        <v>9486</v>
      </c>
      <c r="AA1234" s="74" t="s">
        <v>9504</v>
      </c>
      <c r="AB1234" s="73" t="s">
        <v>9486</v>
      </c>
      <c r="AC1234" s="74" t="s">
        <v>9566</v>
      </c>
      <c r="AD1234" s="73" t="s">
        <v>9578</v>
      </c>
      <c r="AE1234" s="74" t="s">
        <v>9579</v>
      </c>
    </row>
    <row r="1235" spans="1:31" ht="8.65" customHeight="1" x14ac:dyDescent="0.2">
      <c r="A1235" s="76">
        <v>1235</v>
      </c>
      <c r="B1235" s="67" t="str">
        <f>MID(C1235, FIND("Ifc.", C1235) + 4, 4) &amp; "_" &amp; TEXT(COUNTIF($C$2:C1235, C1235),"0000")</f>
        <v>Prop_1234</v>
      </c>
      <c r="C1235" s="24" t="s">
        <v>872</v>
      </c>
      <c r="D1235" s="69" t="s">
        <v>9453</v>
      </c>
      <c r="E1235" s="70" t="s">
        <v>9454</v>
      </c>
      <c r="F1235" s="17" t="s">
        <v>806</v>
      </c>
      <c r="G1235" s="22" t="s">
        <v>2026</v>
      </c>
      <c r="H1235" s="12" t="s">
        <v>9703</v>
      </c>
      <c r="I1235" s="13" t="s">
        <v>7359</v>
      </c>
      <c r="J1235" s="14" t="s">
        <v>798</v>
      </c>
      <c r="K1235" s="15" t="s">
        <v>798</v>
      </c>
      <c r="L1235" s="12" t="s">
        <v>5315</v>
      </c>
      <c r="M1235" s="13" t="s">
        <v>5480</v>
      </c>
      <c r="N1235" s="12" t="s">
        <v>803</v>
      </c>
      <c r="O1235" s="13" t="s">
        <v>5084</v>
      </c>
      <c r="P1235" s="17" t="s">
        <v>802</v>
      </c>
      <c r="Q1235" s="21" t="s">
        <v>7755</v>
      </c>
      <c r="R1235" s="17" t="s">
        <v>801</v>
      </c>
      <c r="S1235" s="18" t="s">
        <v>2650</v>
      </c>
      <c r="T1235" s="17" t="s">
        <v>800</v>
      </c>
      <c r="U1235" s="18" t="s">
        <v>5297</v>
      </c>
      <c r="V1235" s="17" t="s">
        <v>9418</v>
      </c>
      <c r="W1235" s="18" t="s">
        <v>5309</v>
      </c>
      <c r="X1235" s="69" t="s">
        <v>9453</v>
      </c>
      <c r="Y1235" s="70" t="s">
        <v>9462</v>
      </c>
      <c r="Z1235" s="73" t="s">
        <v>9486</v>
      </c>
      <c r="AA1235" s="74" t="s">
        <v>9504</v>
      </c>
      <c r="AB1235" s="73" t="s">
        <v>9486</v>
      </c>
      <c r="AC1235" s="74" t="s">
        <v>9566</v>
      </c>
      <c r="AD1235" s="73" t="s">
        <v>9578</v>
      </c>
      <c r="AE1235" s="74" t="s">
        <v>9579</v>
      </c>
    </row>
    <row r="1236" spans="1:31" ht="8.65" customHeight="1" x14ac:dyDescent="0.2">
      <c r="A1236" s="76">
        <v>1236</v>
      </c>
      <c r="B1236" s="67" t="str">
        <f>MID(C1236, FIND("Ifc.", C1236) + 4, 4) &amp; "_" &amp; TEXT(COUNTIF($C$2:C1236, C1236),"0000")</f>
        <v>Prop_1235</v>
      </c>
      <c r="C1236" s="24" t="s">
        <v>872</v>
      </c>
      <c r="D1236" s="69" t="s">
        <v>9453</v>
      </c>
      <c r="E1236" s="70" t="s">
        <v>9454</v>
      </c>
      <c r="F1236" s="17" t="s">
        <v>806</v>
      </c>
      <c r="G1236" s="22" t="s">
        <v>2116</v>
      </c>
      <c r="H1236" s="12" t="s">
        <v>9703</v>
      </c>
      <c r="I1236" s="13" t="s">
        <v>7355</v>
      </c>
      <c r="J1236" s="14" t="s">
        <v>798</v>
      </c>
      <c r="K1236" s="15" t="s">
        <v>798</v>
      </c>
      <c r="L1236" s="12" t="s">
        <v>5315</v>
      </c>
      <c r="M1236" s="13" t="s">
        <v>5980</v>
      </c>
      <c r="N1236" s="12" t="s">
        <v>803</v>
      </c>
      <c r="O1236" s="13" t="s">
        <v>5101</v>
      </c>
      <c r="P1236" s="17" t="s">
        <v>802</v>
      </c>
      <c r="Q1236" s="21" t="s">
        <v>7819</v>
      </c>
      <c r="R1236" s="17" t="s">
        <v>801</v>
      </c>
      <c r="S1236" s="18" t="s">
        <v>2649</v>
      </c>
      <c r="T1236" s="17" t="s">
        <v>800</v>
      </c>
      <c r="U1236" s="18" t="s">
        <v>5289</v>
      </c>
      <c r="V1236" s="17" t="s">
        <v>9418</v>
      </c>
      <c r="W1236" s="18" t="s">
        <v>5309</v>
      </c>
      <c r="X1236" s="69" t="s">
        <v>9453</v>
      </c>
      <c r="Y1236" s="70" t="s">
        <v>9462</v>
      </c>
      <c r="Z1236" s="73" t="s">
        <v>9486</v>
      </c>
      <c r="AA1236" s="74" t="s">
        <v>9504</v>
      </c>
      <c r="AB1236" s="73" t="s">
        <v>9486</v>
      </c>
      <c r="AC1236" s="74" t="s">
        <v>9566</v>
      </c>
      <c r="AD1236" s="73" t="s">
        <v>9578</v>
      </c>
      <c r="AE1236" s="74" t="s">
        <v>9579</v>
      </c>
    </row>
    <row r="1237" spans="1:31" ht="8.65" customHeight="1" x14ac:dyDescent="0.2">
      <c r="A1237" s="76">
        <v>1237</v>
      </c>
      <c r="B1237" s="67" t="str">
        <f>MID(C1237, FIND("Ifc.", C1237) + 4, 4) &amp; "_" &amp; TEXT(COUNTIF($C$2:C1237, C1237),"0000")</f>
        <v>Prop_1236</v>
      </c>
      <c r="C1237" s="24" t="s">
        <v>872</v>
      </c>
      <c r="D1237" s="69" t="s">
        <v>9453</v>
      </c>
      <c r="E1237" s="70" t="s">
        <v>9454</v>
      </c>
      <c r="F1237" s="17" t="s">
        <v>806</v>
      </c>
      <c r="G1237" s="22" t="s">
        <v>1249</v>
      </c>
      <c r="H1237" s="12" t="s">
        <v>9703</v>
      </c>
      <c r="I1237" s="13" t="s">
        <v>6230</v>
      </c>
      <c r="J1237" s="14" t="s">
        <v>798</v>
      </c>
      <c r="K1237" s="15" t="s">
        <v>798</v>
      </c>
      <c r="L1237" s="12" t="s">
        <v>5315</v>
      </c>
      <c r="M1237" s="13" t="s">
        <v>5403</v>
      </c>
      <c r="N1237" s="12" t="s">
        <v>803</v>
      </c>
      <c r="O1237" s="13" t="s">
        <v>4891</v>
      </c>
      <c r="P1237" s="17" t="s">
        <v>802</v>
      </c>
      <c r="Q1237" s="21" t="s">
        <v>7789</v>
      </c>
      <c r="R1237" s="17" t="s">
        <v>801</v>
      </c>
      <c r="S1237" s="18" t="s">
        <v>2554</v>
      </c>
      <c r="T1237" s="17" t="s">
        <v>800</v>
      </c>
      <c r="U1237" s="18" t="s">
        <v>5233</v>
      </c>
      <c r="V1237" s="17" t="s">
        <v>9418</v>
      </c>
      <c r="W1237" s="18" t="s">
        <v>5309</v>
      </c>
      <c r="X1237" s="69" t="s">
        <v>9453</v>
      </c>
      <c r="Y1237" s="70" t="s">
        <v>9462</v>
      </c>
      <c r="Z1237" s="73" t="s">
        <v>9486</v>
      </c>
      <c r="AA1237" s="74" t="s">
        <v>9504</v>
      </c>
      <c r="AB1237" s="73" t="s">
        <v>9486</v>
      </c>
      <c r="AC1237" s="74" t="s">
        <v>9562</v>
      </c>
      <c r="AD1237" s="73" t="s">
        <v>9578</v>
      </c>
      <c r="AE1237" s="74" t="s">
        <v>9579</v>
      </c>
    </row>
    <row r="1238" spans="1:31" ht="8.65" customHeight="1" x14ac:dyDescent="0.2">
      <c r="A1238" s="76">
        <v>1238</v>
      </c>
      <c r="B1238" s="67" t="str">
        <f>MID(C1238, FIND("Ifc.", C1238) + 4, 4) &amp; "_" &amp; TEXT(COUNTIF($C$2:C1238, C1238),"0000")</f>
        <v>Prop_1237</v>
      </c>
      <c r="C1238" s="24" t="s">
        <v>872</v>
      </c>
      <c r="D1238" s="69" t="s">
        <v>9453</v>
      </c>
      <c r="E1238" s="70" t="s">
        <v>9454</v>
      </c>
      <c r="F1238" s="17" t="s">
        <v>806</v>
      </c>
      <c r="G1238" s="22" t="s">
        <v>1250</v>
      </c>
      <c r="H1238" s="12" t="s">
        <v>9703</v>
      </c>
      <c r="I1238" s="13" t="s">
        <v>6231</v>
      </c>
      <c r="J1238" s="14" t="s">
        <v>798</v>
      </c>
      <c r="K1238" s="15" t="s">
        <v>798</v>
      </c>
      <c r="L1238" s="12" t="s">
        <v>5315</v>
      </c>
      <c r="M1238" s="13" t="s">
        <v>5403</v>
      </c>
      <c r="N1238" s="12" t="s">
        <v>803</v>
      </c>
      <c r="O1238" s="13" t="s">
        <v>4891</v>
      </c>
      <c r="P1238" s="17" t="s">
        <v>802</v>
      </c>
      <c r="Q1238" s="21" t="s">
        <v>7789</v>
      </c>
      <c r="R1238" s="17" t="s">
        <v>801</v>
      </c>
      <c r="S1238" s="18" t="s">
        <v>2554</v>
      </c>
      <c r="T1238" s="17" t="s">
        <v>800</v>
      </c>
      <c r="U1238" s="18" t="s">
        <v>5233</v>
      </c>
      <c r="V1238" s="17" t="s">
        <v>9418</v>
      </c>
      <c r="W1238" s="18" t="s">
        <v>5309</v>
      </c>
      <c r="X1238" s="69" t="s">
        <v>9453</v>
      </c>
      <c r="Y1238" s="70" t="s">
        <v>9462</v>
      </c>
      <c r="Z1238" s="73" t="s">
        <v>9486</v>
      </c>
      <c r="AA1238" s="74" t="s">
        <v>9504</v>
      </c>
      <c r="AB1238" s="73" t="s">
        <v>9486</v>
      </c>
      <c r="AC1238" s="74" t="s">
        <v>9562</v>
      </c>
      <c r="AD1238" s="73" t="s">
        <v>9578</v>
      </c>
      <c r="AE1238" s="74" t="s">
        <v>9579</v>
      </c>
    </row>
    <row r="1239" spans="1:31" ht="8.65" customHeight="1" x14ac:dyDescent="0.2">
      <c r="A1239" s="76">
        <v>1239</v>
      </c>
      <c r="B1239" s="67" t="str">
        <f>MID(C1239, FIND("Ifc.", C1239) + 4, 4) &amp; "_" &amp; TEXT(COUNTIF($C$2:C1239, C1239),"0000")</f>
        <v>Prop_1238</v>
      </c>
      <c r="C1239" s="24" t="s">
        <v>872</v>
      </c>
      <c r="D1239" s="69" t="s">
        <v>9453</v>
      </c>
      <c r="E1239" s="70" t="s">
        <v>9454</v>
      </c>
      <c r="F1239" s="17" t="s">
        <v>806</v>
      </c>
      <c r="G1239" s="22" t="s">
        <v>2155</v>
      </c>
      <c r="H1239" s="12" t="s">
        <v>9703</v>
      </c>
      <c r="I1239" s="13" t="s">
        <v>6654</v>
      </c>
      <c r="J1239" s="14" t="s">
        <v>798</v>
      </c>
      <c r="K1239" s="15" t="s">
        <v>798</v>
      </c>
      <c r="L1239" s="12" t="s">
        <v>5315</v>
      </c>
      <c r="M1239" s="13" t="s">
        <v>5499</v>
      </c>
      <c r="N1239" s="12" t="s">
        <v>803</v>
      </c>
      <c r="O1239" s="13" t="s">
        <v>5113</v>
      </c>
      <c r="P1239" s="17" t="s">
        <v>802</v>
      </c>
      <c r="Q1239" s="21" t="s">
        <v>7707</v>
      </c>
      <c r="R1239" s="17" t="s">
        <v>801</v>
      </c>
      <c r="S1239" s="18" t="s">
        <v>2554</v>
      </c>
      <c r="T1239" s="17" t="s">
        <v>800</v>
      </c>
      <c r="U1239" s="18" t="s">
        <v>5233</v>
      </c>
      <c r="V1239" s="17" t="s">
        <v>9418</v>
      </c>
      <c r="W1239" s="18" t="s">
        <v>5309</v>
      </c>
      <c r="X1239" s="69" t="s">
        <v>9453</v>
      </c>
      <c r="Y1239" s="70" t="s">
        <v>9462</v>
      </c>
      <c r="Z1239" s="73" t="s">
        <v>9486</v>
      </c>
      <c r="AA1239" s="74" t="s">
        <v>9504</v>
      </c>
      <c r="AB1239" s="73" t="s">
        <v>9486</v>
      </c>
      <c r="AC1239" s="74" t="s">
        <v>9562</v>
      </c>
      <c r="AD1239" s="73" t="s">
        <v>9578</v>
      </c>
      <c r="AE1239" s="74" t="s">
        <v>9579</v>
      </c>
    </row>
    <row r="1240" spans="1:31" ht="8.65" customHeight="1" x14ac:dyDescent="0.2">
      <c r="A1240" s="76">
        <v>1240</v>
      </c>
      <c r="B1240" s="67" t="str">
        <f>MID(C1240, FIND("Ifc.", C1240) + 4, 4) &amp; "_" &amp; TEXT(COUNTIF($C$2:C1240, C1240),"0000")</f>
        <v>Prop_1239</v>
      </c>
      <c r="C1240" s="24" t="s">
        <v>872</v>
      </c>
      <c r="D1240" s="69" t="s">
        <v>9453</v>
      </c>
      <c r="E1240" s="70" t="s">
        <v>9454</v>
      </c>
      <c r="F1240" s="17" t="s">
        <v>806</v>
      </c>
      <c r="G1240" s="22" t="s">
        <v>2027</v>
      </c>
      <c r="H1240" s="12" t="s">
        <v>9703</v>
      </c>
      <c r="I1240" s="13" t="s">
        <v>6613</v>
      </c>
      <c r="J1240" s="14" t="s">
        <v>798</v>
      </c>
      <c r="K1240" s="15" t="s">
        <v>798</v>
      </c>
      <c r="L1240" s="12" t="s">
        <v>5315</v>
      </c>
      <c r="M1240" s="13" t="s">
        <v>5480</v>
      </c>
      <c r="N1240" s="12" t="s">
        <v>803</v>
      </c>
      <c r="O1240" s="13" t="s">
        <v>5084</v>
      </c>
      <c r="P1240" s="17" t="s">
        <v>802</v>
      </c>
      <c r="Q1240" s="21" t="s">
        <v>7755</v>
      </c>
      <c r="R1240" s="17" t="s">
        <v>801</v>
      </c>
      <c r="S1240" s="18" t="s">
        <v>2651</v>
      </c>
      <c r="T1240" s="17" t="s">
        <v>800</v>
      </c>
      <c r="U1240" s="18" t="s">
        <v>5298</v>
      </c>
      <c r="V1240" s="17" t="s">
        <v>9418</v>
      </c>
      <c r="W1240" s="18" t="s">
        <v>5309</v>
      </c>
      <c r="X1240" s="69" t="s">
        <v>9453</v>
      </c>
      <c r="Y1240" s="70" t="s">
        <v>9462</v>
      </c>
      <c r="Z1240" s="73" t="s">
        <v>9486</v>
      </c>
      <c r="AA1240" s="74" t="s">
        <v>9504</v>
      </c>
      <c r="AB1240" s="73" t="s">
        <v>9486</v>
      </c>
      <c r="AC1240" s="74" t="s">
        <v>9566</v>
      </c>
      <c r="AD1240" s="73" t="s">
        <v>9578</v>
      </c>
      <c r="AE1240" s="74" t="s">
        <v>9579</v>
      </c>
    </row>
    <row r="1241" spans="1:31" ht="8.65" customHeight="1" x14ac:dyDescent="0.2">
      <c r="A1241" s="76">
        <v>1241</v>
      </c>
      <c r="B1241" s="67" t="str">
        <f>MID(C1241, FIND("Ifc.", C1241) + 4, 4) &amp; "_" &amp; TEXT(COUNTIF($C$2:C1241, C1241),"0000")</f>
        <v>Prop_1240</v>
      </c>
      <c r="C1241" s="24" t="s">
        <v>872</v>
      </c>
      <c r="D1241" s="69" t="s">
        <v>9453</v>
      </c>
      <c r="E1241" s="70" t="s">
        <v>9454</v>
      </c>
      <c r="F1241" s="17" t="s">
        <v>806</v>
      </c>
      <c r="G1241" s="22" t="s">
        <v>2028</v>
      </c>
      <c r="H1241" s="12" t="s">
        <v>9703</v>
      </c>
      <c r="I1241" s="13" t="s">
        <v>7354</v>
      </c>
      <c r="J1241" s="14" t="s">
        <v>798</v>
      </c>
      <c r="K1241" s="15" t="s">
        <v>798</v>
      </c>
      <c r="L1241" s="12" t="s">
        <v>5315</v>
      </c>
      <c r="M1241" s="13" t="s">
        <v>5480</v>
      </c>
      <c r="N1241" s="12" t="s">
        <v>803</v>
      </c>
      <c r="O1241" s="13" t="s">
        <v>5084</v>
      </c>
      <c r="P1241" s="17" t="s">
        <v>802</v>
      </c>
      <c r="Q1241" s="21" t="s">
        <v>7755</v>
      </c>
      <c r="R1241" s="17" t="s">
        <v>801</v>
      </c>
      <c r="S1241" s="18" t="s">
        <v>2651</v>
      </c>
      <c r="T1241" s="17" t="s">
        <v>800</v>
      </c>
      <c r="U1241" s="18" t="s">
        <v>5298</v>
      </c>
      <c r="V1241" s="17" t="s">
        <v>9418</v>
      </c>
      <c r="W1241" s="18" t="s">
        <v>5309</v>
      </c>
      <c r="X1241" s="69" t="s">
        <v>9453</v>
      </c>
      <c r="Y1241" s="70" t="s">
        <v>9462</v>
      </c>
      <c r="Z1241" s="73" t="s">
        <v>9486</v>
      </c>
      <c r="AA1241" s="74" t="s">
        <v>9504</v>
      </c>
      <c r="AB1241" s="73" t="s">
        <v>9486</v>
      </c>
      <c r="AC1241" s="74" t="s">
        <v>9566</v>
      </c>
      <c r="AD1241" s="73" t="s">
        <v>9578</v>
      </c>
      <c r="AE1241" s="74" t="s">
        <v>9579</v>
      </c>
    </row>
    <row r="1242" spans="1:31" ht="8.65" customHeight="1" x14ac:dyDescent="0.2">
      <c r="A1242" s="76">
        <v>1242</v>
      </c>
      <c r="B1242" s="67" t="str">
        <f>MID(C1242, FIND("Ifc.", C1242) + 4, 4) &amp; "_" &amp; TEXT(COUNTIF($C$2:C1242, C1242),"0000")</f>
        <v>Prop_1241</v>
      </c>
      <c r="C1242" s="24" t="s">
        <v>872</v>
      </c>
      <c r="D1242" s="69" t="s">
        <v>9453</v>
      </c>
      <c r="E1242" s="70" t="s">
        <v>9454</v>
      </c>
      <c r="F1242" s="17" t="s">
        <v>806</v>
      </c>
      <c r="G1242" s="22" t="s">
        <v>2029</v>
      </c>
      <c r="H1242" s="12" t="s">
        <v>9703</v>
      </c>
      <c r="I1242" s="13" t="s">
        <v>6614</v>
      </c>
      <c r="J1242" s="14" t="s">
        <v>798</v>
      </c>
      <c r="K1242" s="15" t="s">
        <v>798</v>
      </c>
      <c r="L1242" s="12" t="s">
        <v>5315</v>
      </c>
      <c r="M1242" s="13" t="s">
        <v>5480</v>
      </c>
      <c r="N1242" s="12" t="s">
        <v>803</v>
      </c>
      <c r="O1242" s="13" t="s">
        <v>5084</v>
      </c>
      <c r="P1242" s="17" t="s">
        <v>802</v>
      </c>
      <c r="Q1242" s="21" t="s">
        <v>7755</v>
      </c>
      <c r="R1242" s="17" t="s">
        <v>801</v>
      </c>
      <c r="S1242" s="18" t="s">
        <v>2651</v>
      </c>
      <c r="T1242" s="17" t="s">
        <v>800</v>
      </c>
      <c r="U1242" s="18" t="s">
        <v>5298</v>
      </c>
      <c r="V1242" s="17" t="s">
        <v>9418</v>
      </c>
      <c r="W1242" s="18" t="s">
        <v>5309</v>
      </c>
      <c r="X1242" s="69" t="s">
        <v>9453</v>
      </c>
      <c r="Y1242" s="70" t="s">
        <v>9462</v>
      </c>
      <c r="Z1242" s="73" t="s">
        <v>9486</v>
      </c>
      <c r="AA1242" s="74" t="s">
        <v>9504</v>
      </c>
      <c r="AB1242" s="73" t="s">
        <v>9486</v>
      </c>
      <c r="AC1242" s="74" t="s">
        <v>9566</v>
      </c>
      <c r="AD1242" s="73" t="s">
        <v>9578</v>
      </c>
      <c r="AE1242" s="74" t="s">
        <v>9579</v>
      </c>
    </row>
    <row r="1243" spans="1:31" ht="8.65" customHeight="1" x14ac:dyDescent="0.2">
      <c r="A1243" s="76">
        <v>1243</v>
      </c>
      <c r="B1243" s="67" t="str">
        <f>MID(C1243, FIND("Ifc.", C1243) + 4, 4) &amp; "_" &amp; TEXT(COUNTIF($C$2:C1243, C1243),"0000")</f>
        <v>Prop_1242</v>
      </c>
      <c r="C1243" s="24" t="s">
        <v>872</v>
      </c>
      <c r="D1243" s="69" t="s">
        <v>9453</v>
      </c>
      <c r="E1243" s="70" t="s">
        <v>9454</v>
      </c>
      <c r="F1243" s="17" t="s">
        <v>806</v>
      </c>
      <c r="G1243" s="22" t="s">
        <v>963</v>
      </c>
      <c r="H1243" s="12" t="s">
        <v>9703</v>
      </c>
      <c r="I1243" s="13" t="s">
        <v>6845</v>
      </c>
      <c r="J1243" s="14" t="s">
        <v>798</v>
      </c>
      <c r="K1243" s="15" t="s">
        <v>798</v>
      </c>
      <c r="L1243" s="12" t="s">
        <v>5315</v>
      </c>
      <c r="M1243" s="13" t="s">
        <v>5985</v>
      </c>
      <c r="N1243" s="12" t="s">
        <v>803</v>
      </c>
      <c r="O1243" s="13" t="s">
        <v>4823</v>
      </c>
      <c r="P1243" s="17" t="s">
        <v>802</v>
      </c>
      <c r="Q1243" s="21" t="s">
        <v>7974</v>
      </c>
      <c r="R1243" s="17" t="s">
        <v>801</v>
      </c>
      <c r="S1243" s="18" t="s">
        <v>2554</v>
      </c>
      <c r="T1243" s="17" t="s">
        <v>800</v>
      </c>
      <c r="U1243" s="18" t="s">
        <v>5233</v>
      </c>
      <c r="V1243" s="17" t="s">
        <v>9418</v>
      </c>
      <c r="W1243" s="18" t="s">
        <v>5310</v>
      </c>
      <c r="X1243" s="69" t="s">
        <v>9453</v>
      </c>
      <c r="Y1243" s="70" t="s">
        <v>9463</v>
      </c>
      <c r="Z1243" s="73" t="s">
        <v>9486</v>
      </c>
      <c r="AA1243" s="74" t="s">
        <v>9504</v>
      </c>
      <c r="AB1243" s="73" t="s">
        <v>9486</v>
      </c>
      <c r="AC1243" s="74" t="s">
        <v>9562</v>
      </c>
      <c r="AD1243" s="73" t="s">
        <v>9578</v>
      </c>
      <c r="AE1243" s="74" t="s">
        <v>9579</v>
      </c>
    </row>
    <row r="1244" spans="1:31" ht="8.65" customHeight="1" x14ac:dyDescent="0.2">
      <c r="A1244" s="76">
        <v>1244</v>
      </c>
      <c r="B1244" s="67" t="str">
        <f>MID(C1244, FIND("Ifc.", C1244) + 4, 4) &amp; "_" &amp; TEXT(COUNTIF($C$2:C1244, C1244),"0000")</f>
        <v>Prop_1243</v>
      </c>
      <c r="C1244" s="24" t="s">
        <v>872</v>
      </c>
      <c r="D1244" s="69" t="s">
        <v>9453</v>
      </c>
      <c r="E1244" s="70" t="s">
        <v>9454</v>
      </c>
      <c r="F1244" s="17" t="s">
        <v>806</v>
      </c>
      <c r="G1244" s="22" t="s">
        <v>2410</v>
      </c>
      <c r="H1244" s="12" t="s">
        <v>9703</v>
      </c>
      <c r="I1244" s="13" t="s">
        <v>6775</v>
      </c>
      <c r="J1244" s="14" t="s">
        <v>798</v>
      </c>
      <c r="K1244" s="15" t="s">
        <v>798</v>
      </c>
      <c r="L1244" s="12" t="s">
        <v>5315</v>
      </c>
      <c r="M1244" s="13" t="s">
        <v>5804</v>
      </c>
      <c r="N1244" s="12" t="s">
        <v>803</v>
      </c>
      <c r="O1244" s="13" t="s">
        <v>5197</v>
      </c>
      <c r="P1244" s="17" t="s">
        <v>802</v>
      </c>
      <c r="Q1244" s="21" t="s">
        <v>7992</v>
      </c>
      <c r="R1244" s="17" t="s">
        <v>801</v>
      </c>
      <c r="S1244" s="18" t="s">
        <v>2554</v>
      </c>
      <c r="T1244" s="17" t="s">
        <v>800</v>
      </c>
      <c r="U1244" s="18" t="s">
        <v>5233</v>
      </c>
      <c r="V1244" s="17" t="s">
        <v>9418</v>
      </c>
      <c r="W1244" s="18" t="s">
        <v>5310</v>
      </c>
      <c r="X1244" s="69" t="s">
        <v>9453</v>
      </c>
      <c r="Y1244" s="70" t="s">
        <v>9463</v>
      </c>
      <c r="Z1244" s="73" t="s">
        <v>9486</v>
      </c>
      <c r="AA1244" s="74" t="s">
        <v>9504</v>
      </c>
      <c r="AB1244" s="73" t="s">
        <v>9486</v>
      </c>
      <c r="AC1244" s="74" t="s">
        <v>9562</v>
      </c>
      <c r="AD1244" s="73" t="s">
        <v>9578</v>
      </c>
      <c r="AE1244" s="74" t="s">
        <v>9579</v>
      </c>
    </row>
    <row r="1245" spans="1:31" ht="8.65" customHeight="1" x14ac:dyDescent="0.2">
      <c r="A1245" s="76">
        <v>1245</v>
      </c>
      <c r="B1245" s="67" t="str">
        <f>MID(C1245, FIND("Ifc.", C1245) + 4, 4) &amp; "_" &amp; TEXT(COUNTIF($C$2:C1245, C1245),"0000")</f>
        <v>Prop_1244</v>
      </c>
      <c r="C1245" s="24" t="s">
        <v>872</v>
      </c>
      <c r="D1245" s="69" t="s">
        <v>9453</v>
      </c>
      <c r="E1245" s="70" t="s">
        <v>9454</v>
      </c>
      <c r="F1245" s="17" t="s">
        <v>806</v>
      </c>
      <c r="G1245" s="22" t="s">
        <v>1467</v>
      </c>
      <c r="H1245" s="12" t="s">
        <v>9703</v>
      </c>
      <c r="I1245" s="13" t="s">
        <v>6623</v>
      </c>
      <c r="J1245" s="14" t="s">
        <v>798</v>
      </c>
      <c r="K1245" s="15" t="s">
        <v>798</v>
      </c>
      <c r="L1245" s="12" t="s">
        <v>5315</v>
      </c>
      <c r="M1245" s="13" t="s">
        <v>5484</v>
      </c>
      <c r="N1245" s="12" t="s">
        <v>803</v>
      </c>
      <c r="O1245" s="13" t="s">
        <v>5087</v>
      </c>
      <c r="P1245" s="17" t="s">
        <v>802</v>
      </c>
      <c r="Q1245" s="21" t="s">
        <v>7892</v>
      </c>
      <c r="R1245" s="17" t="s">
        <v>801</v>
      </c>
      <c r="S1245" s="18" t="s">
        <v>2554</v>
      </c>
      <c r="T1245" s="17" t="s">
        <v>800</v>
      </c>
      <c r="U1245" s="18" t="s">
        <v>5233</v>
      </c>
      <c r="V1245" s="17" t="s">
        <v>9418</v>
      </c>
      <c r="W1245" s="18" t="s">
        <v>5310</v>
      </c>
      <c r="X1245" s="69" t="s">
        <v>9453</v>
      </c>
      <c r="Y1245" s="70" t="s">
        <v>9463</v>
      </c>
      <c r="Z1245" s="73" t="s">
        <v>9486</v>
      </c>
      <c r="AA1245" s="74" t="s">
        <v>9504</v>
      </c>
      <c r="AB1245" s="73" t="s">
        <v>9486</v>
      </c>
      <c r="AC1245" s="74" t="s">
        <v>9562</v>
      </c>
      <c r="AD1245" s="73" t="s">
        <v>9578</v>
      </c>
      <c r="AE1245" s="74" t="s">
        <v>9579</v>
      </c>
    </row>
    <row r="1246" spans="1:31" ht="8.65" customHeight="1" x14ac:dyDescent="0.2">
      <c r="A1246" s="76">
        <v>1246</v>
      </c>
      <c r="B1246" s="67" t="str">
        <f>MID(C1246, FIND("Ifc.", C1246) + 4, 4) &amp; "_" &amp; TEXT(COUNTIF($C$2:C1246, C1246),"0000")</f>
        <v>Prop_1245</v>
      </c>
      <c r="C1246" s="24" t="s">
        <v>872</v>
      </c>
      <c r="D1246" s="69" t="s">
        <v>9453</v>
      </c>
      <c r="E1246" s="70" t="s">
        <v>9454</v>
      </c>
      <c r="F1246" s="17" t="s">
        <v>806</v>
      </c>
      <c r="G1246" s="22" t="s">
        <v>1467</v>
      </c>
      <c r="H1246" s="12" t="s">
        <v>9703</v>
      </c>
      <c r="I1246" s="13" t="s">
        <v>6623</v>
      </c>
      <c r="J1246" s="14" t="s">
        <v>798</v>
      </c>
      <c r="K1246" s="15" t="s">
        <v>798</v>
      </c>
      <c r="L1246" s="12" t="s">
        <v>5315</v>
      </c>
      <c r="M1246" s="13" t="s">
        <v>5800</v>
      </c>
      <c r="N1246" s="12" t="s">
        <v>803</v>
      </c>
      <c r="O1246" s="13" t="s">
        <v>5193</v>
      </c>
      <c r="P1246" s="17" t="s">
        <v>802</v>
      </c>
      <c r="Q1246" s="21" t="s">
        <v>7993</v>
      </c>
      <c r="R1246" s="17" t="s">
        <v>801</v>
      </c>
      <c r="S1246" s="18" t="s">
        <v>2554</v>
      </c>
      <c r="T1246" s="17" t="s">
        <v>800</v>
      </c>
      <c r="U1246" s="18" t="s">
        <v>5233</v>
      </c>
      <c r="V1246" s="17" t="s">
        <v>9418</v>
      </c>
      <c r="W1246" s="18" t="s">
        <v>5310</v>
      </c>
      <c r="X1246" s="69" t="s">
        <v>9453</v>
      </c>
      <c r="Y1246" s="70" t="s">
        <v>9463</v>
      </c>
      <c r="Z1246" s="73" t="s">
        <v>9486</v>
      </c>
      <c r="AA1246" s="74" t="s">
        <v>9504</v>
      </c>
      <c r="AB1246" s="73" t="s">
        <v>9486</v>
      </c>
      <c r="AC1246" s="74" t="s">
        <v>9562</v>
      </c>
      <c r="AD1246" s="73" t="s">
        <v>9578</v>
      </c>
      <c r="AE1246" s="74" t="s">
        <v>9579</v>
      </c>
    </row>
    <row r="1247" spans="1:31" ht="8.65" customHeight="1" x14ac:dyDescent="0.2">
      <c r="A1247" s="76">
        <v>1247</v>
      </c>
      <c r="B1247" s="67" t="str">
        <f>MID(C1247, FIND("Ifc.", C1247) + 4, 4) &amp; "_" &amp; TEXT(COUNTIF($C$2:C1247, C1247),"0000")</f>
        <v>Prop_1246</v>
      </c>
      <c r="C1247" s="24" t="s">
        <v>872</v>
      </c>
      <c r="D1247" s="69" t="s">
        <v>9453</v>
      </c>
      <c r="E1247" s="70" t="s">
        <v>9454</v>
      </c>
      <c r="F1247" s="17" t="s">
        <v>806</v>
      </c>
      <c r="G1247" s="22" t="s">
        <v>1467</v>
      </c>
      <c r="H1247" s="12" t="s">
        <v>9703</v>
      </c>
      <c r="I1247" s="13" t="s">
        <v>6623</v>
      </c>
      <c r="J1247" s="14" t="s">
        <v>798</v>
      </c>
      <c r="K1247" s="15" t="s">
        <v>798</v>
      </c>
      <c r="L1247" s="12" t="s">
        <v>5315</v>
      </c>
      <c r="M1247" s="13" t="s">
        <v>5810</v>
      </c>
      <c r="N1247" s="12" t="s">
        <v>803</v>
      </c>
      <c r="O1247" s="13" t="s">
        <v>4942</v>
      </c>
      <c r="P1247" s="17" t="s">
        <v>802</v>
      </c>
      <c r="Q1247" s="21" t="s">
        <v>7994</v>
      </c>
      <c r="R1247" s="17" t="s">
        <v>801</v>
      </c>
      <c r="S1247" s="18" t="s">
        <v>2554</v>
      </c>
      <c r="T1247" s="17" t="s">
        <v>800</v>
      </c>
      <c r="U1247" s="18" t="s">
        <v>5233</v>
      </c>
      <c r="V1247" s="17" t="s">
        <v>9418</v>
      </c>
      <c r="W1247" s="18" t="s">
        <v>5310</v>
      </c>
      <c r="X1247" s="69" t="s">
        <v>9453</v>
      </c>
      <c r="Y1247" s="70" t="s">
        <v>9463</v>
      </c>
      <c r="Z1247" s="73" t="s">
        <v>9486</v>
      </c>
      <c r="AA1247" s="74" t="s">
        <v>9504</v>
      </c>
      <c r="AB1247" s="73" t="s">
        <v>9486</v>
      </c>
      <c r="AC1247" s="74" t="s">
        <v>9562</v>
      </c>
      <c r="AD1247" s="73" t="s">
        <v>9578</v>
      </c>
      <c r="AE1247" s="74" t="s">
        <v>9579</v>
      </c>
    </row>
    <row r="1248" spans="1:31" ht="8.65" customHeight="1" x14ac:dyDescent="0.2">
      <c r="A1248" s="76">
        <v>1248</v>
      </c>
      <c r="B1248" s="67" t="str">
        <f>MID(C1248, FIND("Ifc.", C1248) + 4, 4) &amp; "_" &amp; TEXT(COUNTIF($C$2:C1248, C1248),"0000")</f>
        <v>Prop_1247</v>
      </c>
      <c r="C1248" s="24" t="s">
        <v>872</v>
      </c>
      <c r="D1248" s="69" t="s">
        <v>9453</v>
      </c>
      <c r="E1248" s="70" t="s">
        <v>9454</v>
      </c>
      <c r="F1248" s="17" t="s">
        <v>806</v>
      </c>
      <c r="G1248" s="22" t="s">
        <v>1467</v>
      </c>
      <c r="H1248" s="12" t="s">
        <v>9703</v>
      </c>
      <c r="I1248" s="13" t="s">
        <v>6623</v>
      </c>
      <c r="J1248" s="14" t="s">
        <v>798</v>
      </c>
      <c r="K1248" s="15" t="s">
        <v>798</v>
      </c>
      <c r="L1248" s="12" t="s">
        <v>5315</v>
      </c>
      <c r="M1248" s="13" t="s">
        <v>5803</v>
      </c>
      <c r="N1248" s="12" t="s">
        <v>803</v>
      </c>
      <c r="O1248" s="13" t="s">
        <v>5196</v>
      </c>
      <c r="P1248" s="17" t="s">
        <v>802</v>
      </c>
      <c r="Q1248" s="21" t="s">
        <v>7930</v>
      </c>
      <c r="R1248" s="17" t="s">
        <v>801</v>
      </c>
      <c r="S1248" s="18" t="s">
        <v>2554</v>
      </c>
      <c r="T1248" s="17" t="s">
        <v>800</v>
      </c>
      <c r="U1248" s="18" t="s">
        <v>5233</v>
      </c>
      <c r="V1248" s="17" t="s">
        <v>9418</v>
      </c>
      <c r="W1248" s="18" t="s">
        <v>5310</v>
      </c>
      <c r="X1248" s="69" t="s">
        <v>9453</v>
      </c>
      <c r="Y1248" s="70" t="s">
        <v>9463</v>
      </c>
      <c r="Z1248" s="73" t="s">
        <v>9486</v>
      </c>
      <c r="AA1248" s="74" t="s">
        <v>9504</v>
      </c>
      <c r="AB1248" s="73" t="s">
        <v>9486</v>
      </c>
      <c r="AC1248" s="74" t="s">
        <v>9562</v>
      </c>
      <c r="AD1248" s="73" t="s">
        <v>9578</v>
      </c>
      <c r="AE1248" s="74" t="s">
        <v>9579</v>
      </c>
    </row>
    <row r="1249" spans="1:31" ht="8.65" customHeight="1" x14ac:dyDescent="0.2">
      <c r="A1249" s="76">
        <v>1249</v>
      </c>
      <c r="B1249" s="67" t="str">
        <f>MID(C1249, FIND("Ifc.", C1249) + 4, 4) &amp; "_" &amp; TEXT(COUNTIF($C$2:C1249, C1249),"0000")</f>
        <v>Prop_1248</v>
      </c>
      <c r="C1249" s="24" t="s">
        <v>872</v>
      </c>
      <c r="D1249" s="69" t="s">
        <v>9453</v>
      </c>
      <c r="E1249" s="70" t="s">
        <v>9454</v>
      </c>
      <c r="F1249" s="17" t="s">
        <v>806</v>
      </c>
      <c r="G1249" s="22" t="s">
        <v>1467</v>
      </c>
      <c r="H1249" s="12" t="s">
        <v>9703</v>
      </c>
      <c r="I1249" s="13" t="s">
        <v>6623</v>
      </c>
      <c r="J1249" s="14" t="s">
        <v>798</v>
      </c>
      <c r="K1249" s="15" t="s">
        <v>798</v>
      </c>
      <c r="L1249" s="12" t="s">
        <v>5315</v>
      </c>
      <c r="M1249" s="13" t="s">
        <v>5955</v>
      </c>
      <c r="N1249" s="12" t="s">
        <v>803</v>
      </c>
      <c r="O1249" s="13" t="s">
        <v>5046</v>
      </c>
      <c r="P1249" s="17" t="s">
        <v>802</v>
      </c>
      <c r="Q1249" s="21" t="s">
        <v>7995</v>
      </c>
      <c r="R1249" s="17" t="s">
        <v>801</v>
      </c>
      <c r="S1249" s="18" t="s">
        <v>2554</v>
      </c>
      <c r="T1249" s="17" t="s">
        <v>800</v>
      </c>
      <c r="U1249" s="18" t="s">
        <v>5233</v>
      </c>
      <c r="V1249" s="17" t="s">
        <v>9418</v>
      </c>
      <c r="W1249" s="18" t="s">
        <v>5310</v>
      </c>
      <c r="X1249" s="69" t="s">
        <v>9453</v>
      </c>
      <c r="Y1249" s="70" t="s">
        <v>9463</v>
      </c>
      <c r="Z1249" s="73" t="s">
        <v>9486</v>
      </c>
      <c r="AA1249" s="74" t="s">
        <v>9504</v>
      </c>
      <c r="AB1249" s="73" t="s">
        <v>9486</v>
      </c>
      <c r="AC1249" s="74" t="s">
        <v>9562</v>
      </c>
      <c r="AD1249" s="73" t="s">
        <v>9578</v>
      </c>
      <c r="AE1249" s="74" t="s">
        <v>9579</v>
      </c>
    </row>
    <row r="1250" spans="1:31" ht="8.65" customHeight="1" x14ac:dyDescent="0.2">
      <c r="A1250" s="76">
        <v>1250</v>
      </c>
      <c r="B1250" s="67" t="str">
        <f>MID(C1250, FIND("Ifc.", C1250) + 4, 4) &amp; "_" &amp; TEXT(COUNTIF($C$2:C1250, C1250),"0000")</f>
        <v>Prop_1249</v>
      </c>
      <c r="C1250" s="24" t="s">
        <v>872</v>
      </c>
      <c r="D1250" s="69" t="s">
        <v>9453</v>
      </c>
      <c r="E1250" s="70" t="s">
        <v>9454</v>
      </c>
      <c r="F1250" s="17" t="s">
        <v>806</v>
      </c>
      <c r="G1250" s="22" t="s">
        <v>1723</v>
      </c>
      <c r="H1250" s="12" t="s">
        <v>9703</v>
      </c>
      <c r="I1250" s="13" t="s">
        <v>6450</v>
      </c>
      <c r="J1250" s="14" t="s">
        <v>798</v>
      </c>
      <c r="K1250" s="15" t="s">
        <v>798</v>
      </c>
      <c r="L1250" s="12" t="s">
        <v>5315</v>
      </c>
      <c r="M1250" s="13" t="s">
        <v>5931</v>
      </c>
      <c r="N1250" s="12" t="s">
        <v>803</v>
      </c>
      <c r="O1250" s="13" t="s">
        <v>5004</v>
      </c>
      <c r="P1250" s="17" t="s">
        <v>802</v>
      </c>
      <c r="Q1250" s="21" t="s">
        <v>7689</v>
      </c>
      <c r="R1250" s="17" t="s">
        <v>801</v>
      </c>
      <c r="S1250" s="18" t="s">
        <v>2611</v>
      </c>
      <c r="T1250" s="17" t="s">
        <v>800</v>
      </c>
      <c r="U1250" s="18" t="s">
        <v>5255</v>
      </c>
      <c r="V1250" s="17" t="s">
        <v>9418</v>
      </c>
      <c r="W1250" s="18" t="s">
        <v>5309</v>
      </c>
      <c r="X1250" s="69" t="s">
        <v>9453</v>
      </c>
      <c r="Y1250" s="70" t="s">
        <v>9462</v>
      </c>
      <c r="Z1250" s="73" t="s">
        <v>9486</v>
      </c>
      <c r="AA1250" s="74" t="s">
        <v>9504</v>
      </c>
      <c r="AB1250" s="73" t="s">
        <v>9486</v>
      </c>
      <c r="AC1250" s="74" t="s">
        <v>9566</v>
      </c>
      <c r="AD1250" s="73" t="s">
        <v>9578</v>
      </c>
      <c r="AE1250" s="74" t="s">
        <v>9579</v>
      </c>
    </row>
    <row r="1251" spans="1:31" ht="8.65" customHeight="1" x14ac:dyDescent="0.2">
      <c r="A1251" s="76">
        <v>1251</v>
      </c>
      <c r="B1251" s="67" t="str">
        <f>MID(C1251, FIND("Ifc.", C1251) + 4, 4) &amp; "_" &amp; TEXT(COUNTIF($C$2:C1251, C1251),"0000")</f>
        <v>Prop_1250</v>
      </c>
      <c r="C1251" s="24" t="s">
        <v>872</v>
      </c>
      <c r="D1251" s="69" t="s">
        <v>9453</v>
      </c>
      <c r="E1251" s="70" t="s">
        <v>9454</v>
      </c>
      <c r="F1251" s="17" t="s">
        <v>806</v>
      </c>
      <c r="G1251" s="22" t="s">
        <v>2470</v>
      </c>
      <c r="H1251" s="12" t="s">
        <v>9703</v>
      </c>
      <c r="I1251" s="13" t="s">
        <v>6806</v>
      </c>
      <c r="J1251" s="14" t="s">
        <v>798</v>
      </c>
      <c r="K1251" s="15" t="s">
        <v>798</v>
      </c>
      <c r="L1251" s="12" t="s">
        <v>5315</v>
      </c>
      <c r="M1251" s="13" t="s">
        <v>5575</v>
      </c>
      <c r="N1251" s="12" t="s">
        <v>803</v>
      </c>
      <c r="O1251" s="13" t="s">
        <v>5213</v>
      </c>
      <c r="P1251" s="17" t="s">
        <v>802</v>
      </c>
      <c r="Q1251" s="21" t="s">
        <v>7690</v>
      </c>
      <c r="R1251" s="17" t="s">
        <v>801</v>
      </c>
      <c r="S1251" s="18" t="s">
        <v>2611</v>
      </c>
      <c r="T1251" s="17" t="s">
        <v>800</v>
      </c>
      <c r="U1251" s="18" t="s">
        <v>5255</v>
      </c>
      <c r="V1251" s="17" t="s">
        <v>9418</v>
      </c>
      <c r="W1251" s="18" t="s">
        <v>5309</v>
      </c>
      <c r="X1251" s="69" t="s">
        <v>9453</v>
      </c>
      <c r="Y1251" s="70" t="s">
        <v>9462</v>
      </c>
      <c r="Z1251" s="73" t="s">
        <v>9486</v>
      </c>
      <c r="AA1251" s="74" t="s">
        <v>9504</v>
      </c>
      <c r="AB1251" s="73" t="s">
        <v>9486</v>
      </c>
      <c r="AC1251" s="74" t="s">
        <v>9566</v>
      </c>
      <c r="AD1251" s="73" t="s">
        <v>9578</v>
      </c>
      <c r="AE1251" s="74" t="s">
        <v>9579</v>
      </c>
    </row>
    <row r="1252" spans="1:31" ht="8.65" customHeight="1" x14ac:dyDescent="0.2">
      <c r="A1252" s="76">
        <v>1252</v>
      </c>
      <c r="B1252" s="67" t="str">
        <f>MID(C1252, FIND("Ifc.", C1252) + 4, 4) &amp; "_" &amp; TEXT(COUNTIF($C$2:C1252, C1252),"0000")</f>
        <v>Prop_1251</v>
      </c>
      <c r="C1252" s="24" t="s">
        <v>872</v>
      </c>
      <c r="D1252" s="69" t="s">
        <v>9453</v>
      </c>
      <c r="E1252" s="70" t="s">
        <v>9454</v>
      </c>
      <c r="F1252" s="17" t="s">
        <v>806</v>
      </c>
      <c r="G1252" s="22" t="s">
        <v>1305</v>
      </c>
      <c r="H1252" s="12" t="s">
        <v>9703</v>
      </c>
      <c r="I1252" s="13" t="s">
        <v>6247</v>
      </c>
      <c r="J1252" s="14" t="s">
        <v>798</v>
      </c>
      <c r="K1252" s="15" t="s">
        <v>798</v>
      </c>
      <c r="L1252" s="12" t="s">
        <v>5315</v>
      </c>
      <c r="M1252" s="13" t="s">
        <v>6017</v>
      </c>
      <c r="N1252" s="12" t="s">
        <v>803</v>
      </c>
      <c r="O1252" s="13" t="s">
        <v>4905</v>
      </c>
      <c r="P1252" s="17" t="s">
        <v>802</v>
      </c>
      <c r="Q1252" s="21" t="s">
        <v>7903</v>
      </c>
      <c r="R1252" s="17" t="s">
        <v>801</v>
      </c>
      <c r="S1252" s="18" t="s">
        <v>2560</v>
      </c>
      <c r="T1252" s="17" t="s">
        <v>800</v>
      </c>
      <c r="U1252" s="18" t="s">
        <v>5236</v>
      </c>
      <c r="V1252" s="17" t="s">
        <v>9418</v>
      </c>
      <c r="W1252" s="18" t="s">
        <v>5309</v>
      </c>
      <c r="X1252" s="69" t="s">
        <v>9453</v>
      </c>
      <c r="Y1252" s="70" t="s">
        <v>9462</v>
      </c>
      <c r="Z1252" s="73" t="s">
        <v>9486</v>
      </c>
      <c r="AA1252" s="74" t="s">
        <v>9504</v>
      </c>
      <c r="AB1252" s="73" t="s">
        <v>9486</v>
      </c>
      <c r="AC1252" s="74" t="s">
        <v>9562</v>
      </c>
      <c r="AD1252" s="73" t="s">
        <v>9578</v>
      </c>
      <c r="AE1252" s="74" t="s">
        <v>9579</v>
      </c>
    </row>
    <row r="1253" spans="1:31" ht="8.65" customHeight="1" x14ac:dyDescent="0.2">
      <c r="A1253" s="76">
        <v>1253</v>
      </c>
      <c r="B1253" s="67" t="str">
        <f>MID(C1253, FIND("Ifc.", C1253) + 4, 4) &amp; "_" &amp; TEXT(COUNTIF($C$2:C1253, C1253),"0000")</f>
        <v>Prop_1252</v>
      </c>
      <c r="C1253" s="24" t="s">
        <v>872</v>
      </c>
      <c r="D1253" s="69" t="s">
        <v>9453</v>
      </c>
      <c r="E1253" s="70" t="s">
        <v>9454</v>
      </c>
      <c r="F1253" s="17" t="s">
        <v>806</v>
      </c>
      <c r="G1253" s="22" t="s">
        <v>1308</v>
      </c>
      <c r="H1253" s="12" t="s">
        <v>9703</v>
      </c>
      <c r="I1253" s="13" t="s">
        <v>6248</v>
      </c>
      <c r="J1253" s="14" t="s">
        <v>798</v>
      </c>
      <c r="K1253" s="15" t="s">
        <v>798</v>
      </c>
      <c r="L1253" s="12" t="s">
        <v>5315</v>
      </c>
      <c r="M1253" s="13" t="s">
        <v>6017</v>
      </c>
      <c r="N1253" s="12" t="s">
        <v>803</v>
      </c>
      <c r="O1253" s="13" t="s">
        <v>4905</v>
      </c>
      <c r="P1253" s="17" t="s">
        <v>802</v>
      </c>
      <c r="Q1253" s="21" t="s">
        <v>7903</v>
      </c>
      <c r="R1253" s="17" t="s">
        <v>801</v>
      </c>
      <c r="S1253" s="18" t="s">
        <v>2560</v>
      </c>
      <c r="T1253" s="17" t="s">
        <v>800</v>
      </c>
      <c r="U1253" s="18" t="s">
        <v>5236</v>
      </c>
      <c r="V1253" s="17" t="s">
        <v>9418</v>
      </c>
      <c r="W1253" s="18" t="s">
        <v>5309</v>
      </c>
      <c r="X1253" s="69" t="s">
        <v>9453</v>
      </c>
      <c r="Y1253" s="70" t="s">
        <v>9462</v>
      </c>
      <c r="Z1253" s="73" t="s">
        <v>9486</v>
      </c>
      <c r="AA1253" s="74" t="s">
        <v>9504</v>
      </c>
      <c r="AB1253" s="73" t="s">
        <v>9486</v>
      </c>
      <c r="AC1253" s="74" t="s">
        <v>9562</v>
      </c>
      <c r="AD1253" s="73" t="s">
        <v>9578</v>
      </c>
      <c r="AE1253" s="74" t="s">
        <v>9579</v>
      </c>
    </row>
    <row r="1254" spans="1:31" ht="8.65" customHeight="1" x14ac:dyDescent="0.2">
      <c r="A1254" s="76">
        <v>1254</v>
      </c>
      <c r="B1254" s="67" t="str">
        <f>MID(C1254, FIND("Ifc.", C1254) + 4, 4) &amp; "_" &amp; TEXT(COUNTIF($C$2:C1254, C1254),"0000")</f>
        <v>Prop_1253</v>
      </c>
      <c r="C1254" s="24" t="s">
        <v>872</v>
      </c>
      <c r="D1254" s="69" t="s">
        <v>9453</v>
      </c>
      <c r="E1254" s="70" t="s">
        <v>9454</v>
      </c>
      <c r="F1254" s="17" t="s">
        <v>806</v>
      </c>
      <c r="G1254" s="22" t="s">
        <v>1306</v>
      </c>
      <c r="H1254" s="12" t="s">
        <v>9703</v>
      </c>
      <c r="I1254" s="13" t="s">
        <v>6062</v>
      </c>
      <c r="J1254" s="14" t="s">
        <v>798</v>
      </c>
      <c r="K1254" s="15" t="s">
        <v>798</v>
      </c>
      <c r="L1254" s="12" t="s">
        <v>5315</v>
      </c>
      <c r="M1254" s="13" t="s">
        <v>6017</v>
      </c>
      <c r="N1254" s="12" t="s">
        <v>803</v>
      </c>
      <c r="O1254" s="13" t="s">
        <v>4905</v>
      </c>
      <c r="P1254" s="17" t="s">
        <v>802</v>
      </c>
      <c r="Q1254" s="21" t="s">
        <v>7903</v>
      </c>
      <c r="R1254" s="17" t="s">
        <v>801</v>
      </c>
      <c r="S1254" s="18" t="s">
        <v>2560</v>
      </c>
      <c r="T1254" s="17" t="s">
        <v>800</v>
      </c>
      <c r="U1254" s="18" t="s">
        <v>5236</v>
      </c>
      <c r="V1254" s="17" t="s">
        <v>9418</v>
      </c>
      <c r="W1254" s="18" t="s">
        <v>5309</v>
      </c>
      <c r="X1254" s="69" t="s">
        <v>9453</v>
      </c>
      <c r="Y1254" s="70" t="s">
        <v>9462</v>
      </c>
      <c r="Z1254" s="73" t="s">
        <v>9486</v>
      </c>
      <c r="AA1254" s="74" t="s">
        <v>9504</v>
      </c>
      <c r="AB1254" s="73" t="s">
        <v>9486</v>
      </c>
      <c r="AC1254" s="74" t="s">
        <v>9562</v>
      </c>
      <c r="AD1254" s="73" t="s">
        <v>9578</v>
      </c>
      <c r="AE1254" s="74" t="s">
        <v>9579</v>
      </c>
    </row>
    <row r="1255" spans="1:31" ht="8.65" customHeight="1" x14ac:dyDescent="0.2">
      <c r="A1255" s="76">
        <v>1255</v>
      </c>
      <c r="B1255" s="67" t="str">
        <f>MID(C1255, FIND("Ifc.", C1255) + 4, 4) &amp; "_" &amp; TEXT(COUNTIF($C$2:C1255, C1255),"0000")</f>
        <v>Prop_1254</v>
      </c>
      <c r="C1255" s="24" t="s">
        <v>872</v>
      </c>
      <c r="D1255" s="69" t="s">
        <v>9453</v>
      </c>
      <c r="E1255" s="70" t="s">
        <v>9454</v>
      </c>
      <c r="F1255" s="17" t="s">
        <v>806</v>
      </c>
      <c r="G1255" s="22" t="s">
        <v>1307</v>
      </c>
      <c r="H1255" s="12" t="s">
        <v>9703</v>
      </c>
      <c r="I1255" s="13" t="s">
        <v>6063</v>
      </c>
      <c r="J1255" s="14" t="s">
        <v>798</v>
      </c>
      <c r="K1255" s="15" t="s">
        <v>798</v>
      </c>
      <c r="L1255" s="12" t="s">
        <v>5315</v>
      </c>
      <c r="M1255" s="13" t="s">
        <v>6017</v>
      </c>
      <c r="N1255" s="12" t="s">
        <v>803</v>
      </c>
      <c r="O1255" s="13" t="s">
        <v>4905</v>
      </c>
      <c r="P1255" s="17" t="s">
        <v>802</v>
      </c>
      <c r="Q1255" s="21" t="s">
        <v>7903</v>
      </c>
      <c r="R1255" s="17" t="s">
        <v>801</v>
      </c>
      <c r="S1255" s="18" t="s">
        <v>2560</v>
      </c>
      <c r="T1255" s="17" t="s">
        <v>800</v>
      </c>
      <c r="U1255" s="18" t="s">
        <v>5236</v>
      </c>
      <c r="V1255" s="17" t="s">
        <v>9418</v>
      </c>
      <c r="W1255" s="18" t="s">
        <v>5309</v>
      </c>
      <c r="X1255" s="69" t="s">
        <v>9453</v>
      </c>
      <c r="Y1255" s="70" t="s">
        <v>9462</v>
      </c>
      <c r="Z1255" s="73" t="s">
        <v>9486</v>
      </c>
      <c r="AA1255" s="74" t="s">
        <v>9504</v>
      </c>
      <c r="AB1255" s="73" t="s">
        <v>9486</v>
      </c>
      <c r="AC1255" s="74" t="s">
        <v>9562</v>
      </c>
      <c r="AD1255" s="73" t="s">
        <v>9578</v>
      </c>
      <c r="AE1255" s="74" t="s">
        <v>9579</v>
      </c>
    </row>
    <row r="1256" spans="1:31" ht="8.65" customHeight="1" x14ac:dyDescent="0.2">
      <c r="A1256" s="76">
        <v>1256</v>
      </c>
      <c r="B1256" s="67" t="str">
        <f>MID(C1256, FIND("Ifc.", C1256) + 4, 4) &amp; "_" &amp; TEXT(COUNTIF($C$2:C1256, C1256),"0000")</f>
        <v>Prop_1255</v>
      </c>
      <c r="C1256" s="24" t="s">
        <v>872</v>
      </c>
      <c r="D1256" s="69" t="s">
        <v>9453</v>
      </c>
      <c r="E1256" s="70" t="s">
        <v>9454</v>
      </c>
      <c r="F1256" s="17" t="s">
        <v>806</v>
      </c>
      <c r="G1256" s="22" t="s">
        <v>2202</v>
      </c>
      <c r="H1256" s="12" t="s">
        <v>9703</v>
      </c>
      <c r="I1256" s="13" t="s">
        <v>6943</v>
      </c>
      <c r="J1256" s="14" t="s">
        <v>798</v>
      </c>
      <c r="K1256" s="15" t="s">
        <v>798</v>
      </c>
      <c r="L1256" s="12" t="s">
        <v>5315</v>
      </c>
      <c r="M1256" s="13" t="s">
        <v>5507</v>
      </c>
      <c r="N1256" s="12" t="s">
        <v>803</v>
      </c>
      <c r="O1256" s="13" t="s">
        <v>5120</v>
      </c>
      <c r="P1256" s="17" t="s">
        <v>802</v>
      </c>
      <c r="Q1256" s="21" t="s">
        <v>7693</v>
      </c>
      <c r="R1256" s="17" t="s">
        <v>801</v>
      </c>
      <c r="S1256" s="18" t="s">
        <v>2554</v>
      </c>
      <c r="T1256" s="17" t="s">
        <v>800</v>
      </c>
      <c r="U1256" s="18" t="s">
        <v>5233</v>
      </c>
      <c r="V1256" s="17" t="s">
        <v>9418</v>
      </c>
      <c r="W1256" s="18" t="s">
        <v>5309</v>
      </c>
      <c r="X1256" s="69" t="s">
        <v>9453</v>
      </c>
      <c r="Y1256" s="70" t="s">
        <v>9462</v>
      </c>
      <c r="Z1256" s="73" t="s">
        <v>9486</v>
      </c>
      <c r="AA1256" s="74" t="s">
        <v>9504</v>
      </c>
      <c r="AB1256" s="73" t="s">
        <v>9486</v>
      </c>
      <c r="AC1256" s="74" t="s">
        <v>9562</v>
      </c>
      <c r="AD1256" s="73" t="s">
        <v>9578</v>
      </c>
      <c r="AE1256" s="74" t="s">
        <v>9579</v>
      </c>
    </row>
    <row r="1257" spans="1:31" ht="8.65" customHeight="1" x14ac:dyDescent="0.2">
      <c r="A1257" s="76">
        <v>1257</v>
      </c>
      <c r="B1257" s="67" t="str">
        <f>MID(C1257, FIND("Ifc.", C1257) + 4, 4) &amp; "_" &amp; TEXT(COUNTIF($C$2:C1257, C1257),"0000")</f>
        <v>Prop_1256</v>
      </c>
      <c r="C1257" s="24" t="s">
        <v>872</v>
      </c>
      <c r="D1257" s="69" t="s">
        <v>9453</v>
      </c>
      <c r="E1257" s="70" t="s">
        <v>9454</v>
      </c>
      <c r="F1257" s="17" t="s">
        <v>806</v>
      </c>
      <c r="G1257" s="22" t="s">
        <v>2198</v>
      </c>
      <c r="H1257" s="12" t="s">
        <v>9703</v>
      </c>
      <c r="I1257" s="13" t="s">
        <v>6674</v>
      </c>
      <c r="J1257" s="14" t="s">
        <v>798</v>
      </c>
      <c r="K1257" s="15" t="s">
        <v>798</v>
      </c>
      <c r="L1257" s="12" t="s">
        <v>5315</v>
      </c>
      <c r="M1257" s="13" t="s">
        <v>5505</v>
      </c>
      <c r="N1257" s="12" t="s">
        <v>803</v>
      </c>
      <c r="O1257" s="13" t="s">
        <v>5118</v>
      </c>
      <c r="P1257" s="17" t="s">
        <v>802</v>
      </c>
      <c r="Q1257" s="21" t="s">
        <v>7761</v>
      </c>
      <c r="R1257" s="17" t="s">
        <v>801</v>
      </c>
      <c r="S1257" s="18" t="s">
        <v>2638</v>
      </c>
      <c r="T1257" s="17" t="s">
        <v>800</v>
      </c>
      <c r="U1257" s="18" t="s">
        <v>5254</v>
      </c>
      <c r="V1257" s="17" t="s">
        <v>9418</v>
      </c>
      <c r="W1257" s="18" t="s">
        <v>5309</v>
      </c>
      <c r="X1257" s="69" t="s">
        <v>9453</v>
      </c>
      <c r="Y1257" s="70" t="s">
        <v>9462</v>
      </c>
      <c r="Z1257" s="73" t="s">
        <v>9486</v>
      </c>
      <c r="AA1257" s="74" t="s">
        <v>9504</v>
      </c>
      <c r="AB1257" s="73" t="s">
        <v>9486</v>
      </c>
      <c r="AC1257" s="74" t="s">
        <v>9566</v>
      </c>
      <c r="AD1257" s="73" t="s">
        <v>9578</v>
      </c>
      <c r="AE1257" s="74" t="s">
        <v>9579</v>
      </c>
    </row>
    <row r="1258" spans="1:31" ht="8.65" customHeight="1" x14ac:dyDescent="0.2">
      <c r="A1258" s="76">
        <v>1258</v>
      </c>
      <c r="B1258" s="67" t="str">
        <f>MID(C1258, FIND("Ifc.", C1258) + 4, 4) &amp; "_" &amp; TEXT(COUNTIF($C$2:C1258, C1258),"0000")</f>
        <v>Prop_1257</v>
      </c>
      <c r="C1258" s="24" t="s">
        <v>872</v>
      </c>
      <c r="D1258" s="69" t="s">
        <v>9453</v>
      </c>
      <c r="E1258" s="70" t="s">
        <v>9454</v>
      </c>
      <c r="F1258" s="17" t="s">
        <v>806</v>
      </c>
      <c r="G1258" s="22" t="s">
        <v>2198</v>
      </c>
      <c r="H1258" s="12" t="s">
        <v>9703</v>
      </c>
      <c r="I1258" s="13" t="s">
        <v>6674</v>
      </c>
      <c r="J1258" s="14" t="s">
        <v>798</v>
      </c>
      <c r="K1258" s="15" t="s">
        <v>798</v>
      </c>
      <c r="L1258" s="12" t="s">
        <v>5315</v>
      </c>
      <c r="M1258" s="13" t="s">
        <v>5569</v>
      </c>
      <c r="N1258" s="12" t="s">
        <v>803</v>
      </c>
      <c r="O1258" s="13" t="s">
        <v>5202</v>
      </c>
      <c r="P1258" s="17" t="s">
        <v>802</v>
      </c>
      <c r="Q1258" s="21" t="s">
        <v>7765</v>
      </c>
      <c r="R1258" s="17" t="s">
        <v>801</v>
      </c>
      <c r="S1258" s="18" t="s">
        <v>2638</v>
      </c>
      <c r="T1258" s="17" t="s">
        <v>800</v>
      </c>
      <c r="U1258" s="18" t="s">
        <v>5254</v>
      </c>
      <c r="V1258" s="17" t="s">
        <v>9418</v>
      </c>
      <c r="W1258" s="18" t="s">
        <v>5309</v>
      </c>
      <c r="X1258" s="69" t="s">
        <v>9453</v>
      </c>
      <c r="Y1258" s="70" t="s">
        <v>9462</v>
      </c>
      <c r="Z1258" s="73" t="s">
        <v>9486</v>
      </c>
      <c r="AA1258" s="74" t="s">
        <v>9504</v>
      </c>
      <c r="AB1258" s="73" t="s">
        <v>9486</v>
      </c>
      <c r="AC1258" s="74" t="s">
        <v>9566</v>
      </c>
      <c r="AD1258" s="73" t="s">
        <v>9578</v>
      </c>
      <c r="AE1258" s="74" t="s">
        <v>9579</v>
      </c>
    </row>
    <row r="1259" spans="1:31" ht="8.65" customHeight="1" x14ac:dyDescent="0.2">
      <c r="A1259" s="76">
        <v>1259</v>
      </c>
      <c r="B1259" s="67" t="str">
        <f>MID(C1259, FIND("Ifc.", C1259) + 4, 4) &amp; "_" &amp; TEXT(COUNTIF($C$2:C1259, C1259),"0000")</f>
        <v>Prop_1258</v>
      </c>
      <c r="C1259" s="24" t="s">
        <v>872</v>
      </c>
      <c r="D1259" s="69" t="s">
        <v>9453</v>
      </c>
      <c r="E1259" s="70" t="s">
        <v>9454</v>
      </c>
      <c r="F1259" s="17" t="s">
        <v>806</v>
      </c>
      <c r="G1259" s="22" t="s">
        <v>2198</v>
      </c>
      <c r="H1259" s="12" t="s">
        <v>9703</v>
      </c>
      <c r="I1259" s="13" t="s">
        <v>6674</v>
      </c>
      <c r="J1259" s="14" t="s">
        <v>798</v>
      </c>
      <c r="K1259" s="15" t="s">
        <v>798</v>
      </c>
      <c r="L1259" s="12" t="s">
        <v>5315</v>
      </c>
      <c r="M1259" s="13" t="s">
        <v>5573</v>
      </c>
      <c r="N1259" s="12" t="s">
        <v>803</v>
      </c>
      <c r="O1259" s="13" t="s">
        <v>5206</v>
      </c>
      <c r="P1259" s="17" t="s">
        <v>802</v>
      </c>
      <c r="Q1259" s="21" t="s">
        <v>7742</v>
      </c>
      <c r="R1259" s="17" t="s">
        <v>801</v>
      </c>
      <c r="S1259" s="18" t="s">
        <v>2638</v>
      </c>
      <c r="T1259" s="17" t="s">
        <v>800</v>
      </c>
      <c r="U1259" s="18" t="s">
        <v>5254</v>
      </c>
      <c r="V1259" s="17" t="s">
        <v>9418</v>
      </c>
      <c r="W1259" s="18" t="s">
        <v>5309</v>
      </c>
      <c r="X1259" s="69" t="s">
        <v>9453</v>
      </c>
      <c r="Y1259" s="70" t="s">
        <v>9462</v>
      </c>
      <c r="Z1259" s="73" t="s">
        <v>9486</v>
      </c>
      <c r="AA1259" s="74" t="s">
        <v>9504</v>
      </c>
      <c r="AB1259" s="73" t="s">
        <v>9486</v>
      </c>
      <c r="AC1259" s="74" t="s">
        <v>9566</v>
      </c>
      <c r="AD1259" s="73" t="s">
        <v>9578</v>
      </c>
      <c r="AE1259" s="74" t="s">
        <v>9579</v>
      </c>
    </row>
    <row r="1260" spans="1:31" ht="8.65" customHeight="1" x14ac:dyDescent="0.2">
      <c r="A1260" s="76">
        <v>1260</v>
      </c>
      <c r="B1260" s="67" t="str">
        <f>MID(C1260, FIND("Ifc.", C1260) + 4, 4) &amp; "_" &amp; TEXT(COUNTIF($C$2:C1260, C1260),"0000")</f>
        <v>Prop_1259</v>
      </c>
      <c r="C1260" s="24" t="s">
        <v>872</v>
      </c>
      <c r="D1260" s="69" t="s">
        <v>9453</v>
      </c>
      <c r="E1260" s="70" t="s">
        <v>9454</v>
      </c>
      <c r="F1260" s="17" t="s">
        <v>806</v>
      </c>
      <c r="G1260" s="22" t="s">
        <v>1860</v>
      </c>
      <c r="H1260" s="12" t="s">
        <v>9703</v>
      </c>
      <c r="I1260" s="13" t="s">
        <v>6917</v>
      </c>
      <c r="J1260" s="14" t="s">
        <v>798</v>
      </c>
      <c r="K1260" s="15" t="s">
        <v>798</v>
      </c>
      <c r="L1260" s="12" t="s">
        <v>5315</v>
      </c>
      <c r="M1260" s="13" t="s">
        <v>5949</v>
      </c>
      <c r="N1260" s="12" t="s">
        <v>803</v>
      </c>
      <c r="O1260" s="13" t="s">
        <v>5036</v>
      </c>
      <c r="P1260" s="17" t="s">
        <v>802</v>
      </c>
      <c r="Q1260" s="21" t="s">
        <v>7972</v>
      </c>
      <c r="R1260" s="17" t="s">
        <v>801</v>
      </c>
      <c r="S1260" s="18" t="s">
        <v>5231</v>
      </c>
      <c r="T1260" s="17" t="s">
        <v>800</v>
      </c>
      <c r="U1260" s="18" t="s">
        <v>5292</v>
      </c>
      <c r="V1260" s="17" t="s">
        <v>9418</v>
      </c>
      <c r="W1260" s="18" t="s">
        <v>9419</v>
      </c>
      <c r="X1260" s="69" t="s">
        <v>9453</v>
      </c>
      <c r="Y1260" s="70" t="s">
        <v>9468</v>
      </c>
      <c r="Z1260" s="73" t="s">
        <v>9486</v>
      </c>
      <c r="AA1260" s="74" t="s">
        <v>9504</v>
      </c>
      <c r="AB1260" s="73" t="s">
        <v>9486</v>
      </c>
      <c r="AC1260" s="74" t="s">
        <v>9566</v>
      </c>
      <c r="AD1260" s="73" t="s">
        <v>9578</v>
      </c>
      <c r="AE1260" s="74" t="s">
        <v>9579</v>
      </c>
    </row>
    <row r="1261" spans="1:31" ht="8.65" customHeight="1" x14ac:dyDescent="0.2">
      <c r="A1261" s="76">
        <v>1261</v>
      </c>
      <c r="B1261" s="67" t="str">
        <f>MID(C1261, FIND("Ifc.", C1261) + 4, 4) &amp; "_" &amp; TEXT(COUNTIF($C$2:C1261, C1261),"0000")</f>
        <v>Prop_1260</v>
      </c>
      <c r="C1261" s="24" t="s">
        <v>872</v>
      </c>
      <c r="D1261" s="69" t="s">
        <v>9453</v>
      </c>
      <c r="E1261" s="70" t="s">
        <v>9454</v>
      </c>
      <c r="F1261" s="17" t="s">
        <v>806</v>
      </c>
      <c r="G1261" s="22" t="s">
        <v>1427</v>
      </c>
      <c r="H1261" s="12" t="s">
        <v>9703</v>
      </c>
      <c r="I1261" s="13" t="s">
        <v>6316</v>
      </c>
      <c r="J1261" s="14" t="s">
        <v>798</v>
      </c>
      <c r="K1261" s="15" t="s">
        <v>798</v>
      </c>
      <c r="L1261" s="12" t="s">
        <v>5315</v>
      </c>
      <c r="M1261" s="13" t="s">
        <v>5434</v>
      </c>
      <c r="N1261" s="12" t="s">
        <v>803</v>
      </c>
      <c r="O1261" s="13" t="s">
        <v>4934</v>
      </c>
      <c r="P1261" s="17" t="s">
        <v>802</v>
      </c>
      <c r="Q1261" s="21" t="s">
        <v>7723</v>
      </c>
      <c r="R1261" s="17" t="s">
        <v>801</v>
      </c>
      <c r="S1261" s="18" t="s">
        <v>2625</v>
      </c>
      <c r="T1261" s="17" t="s">
        <v>800</v>
      </c>
      <c r="U1261" s="18" t="s">
        <v>5240</v>
      </c>
      <c r="V1261" s="17" t="s">
        <v>9418</v>
      </c>
      <c r="W1261" s="18" t="s">
        <v>5312</v>
      </c>
      <c r="X1261" s="69" t="s">
        <v>9453</v>
      </c>
      <c r="Y1261" s="70" t="s">
        <v>9465</v>
      </c>
      <c r="Z1261" s="73" t="s">
        <v>9486</v>
      </c>
      <c r="AA1261" s="74" t="s">
        <v>9504</v>
      </c>
      <c r="AB1261" s="73" t="s">
        <v>9486</v>
      </c>
      <c r="AC1261" s="74" t="s">
        <v>9566</v>
      </c>
      <c r="AD1261" s="73" t="s">
        <v>9578</v>
      </c>
      <c r="AE1261" s="74" t="s">
        <v>9579</v>
      </c>
    </row>
    <row r="1262" spans="1:31" ht="8.65" customHeight="1" x14ac:dyDescent="0.2">
      <c r="A1262" s="76">
        <v>1262</v>
      </c>
      <c r="B1262" s="67" t="str">
        <f>MID(C1262, FIND("Ifc.", C1262) + 4, 4) &amp; "_" &amp; TEXT(COUNTIF($C$2:C1262, C1262),"0000")</f>
        <v>Prop_1261</v>
      </c>
      <c r="C1262" s="24" t="s">
        <v>872</v>
      </c>
      <c r="D1262" s="69" t="s">
        <v>9453</v>
      </c>
      <c r="E1262" s="70" t="s">
        <v>9454</v>
      </c>
      <c r="F1262" s="17" t="s">
        <v>806</v>
      </c>
      <c r="G1262" s="22" t="s">
        <v>946</v>
      </c>
      <c r="H1262" s="12" t="s">
        <v>9703</v>
      </c>
      <c r="I1262" s="13" t="s">
        <v>6080</v>
      </c>
      <c r="J1262" s="14" t="s">
        <v>798</v>
      </c>
      <c r="K1262" s="15" t="s">
        <v>798</v>
      </c>
      <c r="L1262" s="12" t="s">
        <v>5315</v>
      </c>
      <c r="M1262" s="13" t="s">
        <v>5819</v>
      </c>
      <c r="N1262" s="12" t="s">
        <v>803</v>
      </c>
      <c r="O1262" s="13" t="s">
        <v>4818</v>
      </c>
      <c r="P1262" s="17" t="s">
        <v>802</v>
      </c>
      <c r="Q1262" s="21" t="s">
        <v>7691</v>
      </c>
      <c r="R1262" s="17" t="s">
        <v>801</v>
      </c>
      <c r="S1262" s="18" t="s">
        <v>2560</v>
      </c>
      <c r="T1262" s="17" t="s">
        <v>800</v>
      </c>
      <c r="U1262" s="18" t="s">
        <v>5236</v>
      </c>
      <c r="V1262" s="17" t="s">
        <v>9418</v>
      </c>
      <c r="W1262" s="18" t="s">
        <v>5309</v>
      </c>
      <c r="X1262" s="69" t="s">
        <v>9453</v>
      </c>
      <c r="Y1262" s="70" t="s">
        <v>9462</v>
      </c>
      <c r="Z1262" s="73" t="s">
        <v>9486</v>
      </c>
      <c r="AA1262" s="74" t="s">
        <v>9504</v>
      </c>
      <c r="AB1262" s="73" t="s">
        <v>9486</v>
      </c>
      <c r="AC1262" s="74" t="s">
        <v>9562</v>
      </c>
      <c r="AD1262" s="73" t="s">
        <v>9578</v>
      </c>
      <c r="AE1262" s="74" t="s">
        <v>9579</v>
      </c>
    </row>
    <row r="1263" spans="1:31" ht="8.65" customHeight="1" x14ac:dyDescent="0.2">
      <c r="A1263" s="76">
        <v>1263</v>
      </c>
      <c r="B1263" s="67" t="str">
        <f>MID(C1263, FIND("Ifc.", C1263) + 4, 4) &amp; "_" &amp; TEXT(COUNTIF($C$2:C1263, C1263),"0000")</f>
        <v>Prop_1262</v>
      </c>
      <c r="C1263" s="24" t="s">
        <v>872</v>
      </c>
      <c r="D1263" s="69" t="s">
        <v>9453</v>
      </c>
      <c r="E1263" s="70" t="s">
        <v>9454</v>
      </c>
      <c r="F1263" s="17" t="s">
        <v>806</v>
      </c>
      <c r="G1263" s="22" t="s">
        <v>1433</v>
      </c>
      <c r="H1263" s="12" t="s">
        <v>9703</v>
      </c>
      <c r="I1263" s="13" t="s">
        <v>6876</v>
      </c>
      <c r="J1263" s="14" t="s">
        <v>798</v>
      </c>
      <c r="K1263" s="15" t="s">
        <v>798</v>
      </c>
      <c r="L1263" s="12" t="s">
        <v>5315</v>
      </c>
      <c r="M1263" s="13" t="s">
        <v>5434</v>
      </c>
      <c r="N1263" s="12" t="s">
        <v>803</v>
      </c>
      <c r="O1263" s="13" t="s">
        <v>4934</v>
      </c>
      <c r="P1263" s="17" t="s">
        <v>802</v>
      </c>
      <c r="Q1263" s="21" t="s">
        <v>7723</v>
      </c>
      <c r="R1263" s="17" t="s">
        <v>801</v>
      </c>
      <c r="S1263" s="18" t="s">
        <v>2625</v>
      </c>
      <c r="T1263" s="17" t="s">
        <v>800</v>
      </c>
      <c r="U1263" s="18" t="s">
        <v>5240</v>
      </c>
      <c r="V1263" s="17" t="s">
        <v>9418</v>
      </c>
      <c r="W1263" s="18" t="s">
        <v>5312</v>
      </c>
      <c r="X1263" s="69" t="s">
        <v>9453</v>
      </c>
      <c r="Y1263" s="70" t="s">
        <v>9465</v>
      </c>
      <c r="Z1263" s="73" t="s">
        <v>9486</v>
      </c>
      <c r="AA1263" s="74" t="s">
        <v>9504</v>
      </c>
      <c r="AB1263" s="73" t="s">
        <v>9486</v>
      </c>
      <c r="AC1263" s="74" t="s">
        <v>9566</v>
      </c>
      <c r="AD1263" s="73" t="s">
        <v>9578</v>
      </c>
      <c r="AE1263" s="74" t="s">
        <v>9579</v>
      </c>
    </row>
    <row r="1264" spans="1:31" ht="8.65" customHeight="1" x14ac:dyDescent="0.2">
      <c r="A1264" s="76">
        <v>1264</v>
      </c>
      <c r="B1264" s="67" t="str">
        <f>MID(C1264, FIND("Ifc.", C1264) + 4, 4) &amp; "_" &amp; TEXT(COUNTIF($C$2:C1264, C1264),"0000")</f>
        <v>Prop_1263</v>
      </c>
      <c r="C1264" s="24" t="s">
        <v>872</v>
      </c>
      <c r="D1264" s="69" t="s">
        <v>9453</v>
      </c>
      <c r="E1264" s="70" t="s">
        <v>9454</v>
      </c>
      <c r="F1264" s="17" t="s">
        <v>806</v>
      </c>
      <c r="G1264" s="22" t="s">
        <v>1017</v>
      </c>
      <c r="H1264" s="12" t="s">
        <v>9703</v>
      </c>
      <c r="I1264" s="13" t="s">
        <v>6121</v>
      </c>
      <c r="J1264" s="14" t="s">
        <v>798</v>
      </c>
      <c r="K1264" s="15" t="s">
        <v>798</v>
      </c>
      <c r="L1264" s="12" t="s">
        <v>5315</v>
      </c>
      <c r="M1264" s="13" t="s">
        <v>5378</v>
      </c>
      <c r="N1264" s="12" t="s">
        <v>803</v>
      </c>
      <c r="O1264" s="13" t="s">
        <v>4835</v>
      </c>
      <c r="P1264" s="17" t="s">
        <v>802</v>
      </c>
      <c r="Q1264" s="21" t="s">
        <v>7817</v>
      </c>
      <c r="R1264" s="17" t="s">
        <v>801</v>
      </c>
      <c r="S1264" s="18" t="s">
        <v>2554</v>
      </c>
      <c r="T1264" s="17" t="s">
        <v>800</v>
      </c>
      <c r="U1264" s="18" t="s">
        <v>5233</v>
      </c>
      <c r="V1264" s="17" t="s">
        <v>9418</v>
      </c>
      <c r="W1264" s="18" t="s">
        <v>5309</v>
      </c>
      <c r="X1264" s="69" t="s">
        <v>9453</v>
      </c>
      <c r="Y1264" s="70" t="s">
        <v>9462</v>
      </c>
      <c r="Z1264" s="73" t="s">
        <v>9486</v>
      </c>
      <c r="AA1264" s="74" t="s">
        <v>9504</v>
      </c>
      <c r="AB1264" s="73" t="s">
        <v>9486</v>
      </c>
      <c r="AC1264" s="74" t="s">
        <v>9562</v>
      </c>
      <c r="AD1264" s="73" t="s">
        <v>9578</v>
      </c>
      <c r="AE1264" s="74" t="s">
        <v>9579</v>
      </c>
    </row>
    <row r="1265" spans="1:31" ht="8.65" customHeight="1" x14ac:dyDescent="0.2">
      <c r="A1265" s="76">
        <v>1265</v>
      </c>
      <c r="B1265" s="67" t="str">
        <f>MID(C1265, FIND("Ifc.", C1265) + 4, 4) &amp; "_" &amp; TEXT(COUNTIF($C$2:C1265, C1265),"0000")</f>
        <v>Prop_1264</v>
      </c>
      <c r="C1265" s="24" t="s">
        <v>872</v>
      </c>
      <c r="D1265" s="69" t="s">
        <v>9453</v>
      </c>
      <c r="E1265" s="70" t="s">
        <v>9454</v>
      </c>
      <c r="F1265" s="17" t="s">
        <v>806</v>
      </c>
      <c r="G1265" s="22" t="s">
        <v>1430</v>
      </c>
      <c r="H1265" s="12" t="s">
        <v>9703</v>
      </c>
      <c r="I1265" s="13" t="s">
        <v>6318</v>
      </c>
      <c r="J1265" s="14" t="s">
        <v>798</v>
      </c>
      <c r="K1265" s="15" t="s">
        <v>798</v>
      </c>
      <c r="L1265" s="12" t="s">
        <v>5315</v>
      </c>
      <c r="M1265" s="13" t="s">
        <v>5434</v>
      </c>
      <c r="N1265" s="12" t="s">
        <v>803</v>
      </c>
      <c r="O1265" s="13" t="s">
        <v>4934</v>
      </c>
      <c r="P1265" s="17" t="s">
        <v>802</v>
      </c>
      <c r="Q1265" s="21" t="s">
        <v>7723</v>
      </c>
      <c r="R1265" s="17" t="s">
        <v>801</v>
      </c>
      <c r="S1265" s="18" t="s">
        <v>2625</v>
      </c>
      <c r="T1265" s="17" t="s">
        <v>800</v>
      </c>
      <c r="U1265" s="18" t="s">
        <v>5240</v>
      </c>
      <c r="V1265" s="17" t="s">
        <v>9418</v>
      </c>
      <c r="W1265" s="18" t="s">
        <v>5312</v>
      </c>
      <c r="X1265" s="69" t="s">
        <v>9453</v>
      </c>
      <c r="Y1265" s="70" t="s">
        <v>9465</v>
      </c>
      <c r="Z1265" s="73" t="s">
        <v>9486</v>
      </c>
      <c r="AA1265" s="74" t="s">
        <v>9504</v>
      </c>
      <c r="AB1265" s="73" t="s">
        <v>9486</v>
      </c>
      <c r="AC1265" s="74" t="s">
        <v>9566</v>
      </c>
      <c r="AD1265" s="73" t="s">
        <v>9578</v>
      </c>
      <c r="AE1265" s="74" t="s">
        <v>9579</v>
      </c>
    </row>
    <row r="1266" spans="1:31" ht="8.65" customHeight="1" x14ac:dyDescent="0.2">
      <c r="A1266" s="76">
        <v>1266</v>
      </c>
      <c r="B1266" s="67" t="str">
        <f>MID(C1266, FIND("Ifc.", C1266) + 4, 4) &amp; "_" &amp; TEXT(COUNTIF($C$2:C1266, C1266),"0000")</f>
        <v>Prop_1265</v>
      </c>
      <c r="C1266" s="24" t="s">
        <v>872</v>
      </c>
      <c r="D1266" s="69" t="s">
        <v>9453</v>
      </c>
      <c r="E1266" s="70" t="s">
        <v>9454</v>
      </c>
      <c r="F1266" s="17" t="s">
        <v>806</v>
      </c>
      <c r="G1266" s="22" t="s">
        <v>933</v>
      </c>
      <c r="H1266" s="12" t="s">
        <v>9703</v>
      </c>
      <c r="I1266" s="13" t="s">
        <v>7351</v>
      </c>
      <c r="J1266" s="14" t="s">
        <v>798</v>
      </c>
      <c r="K1266" s="15" t="s">
        <v>798</v>
      </c>
      <c r="L1266" s="12" t="s">
        <v>5315</v>
      </c>
      <c r="M1266" s="13" t="s">
        <v>5982</v>
      </c>
      <c r="N1266" s="12" t="s">
        <v>803</v>
      </c>
      <c r="O1266" s="13" t="s">
        <v>4814</v>
      </c>
      <c r="P1266" s="17" t="s">
        <v>802</v>
      </c>
      <c r="Q1266" s="21" t="s">
        <v>7872</v>
      </c>
      <c r="R1266" s="17" t="s">
        <v>801</v>
      </c>
      <c r="S1266" s="18" t="s">
        <v>2656</v>
      </c>
      <c r="T1266" s="17" t="s">
        <v>800</v>
      </c>
      <c r="U1266" s="18" t="s">
        <v>5241</v>
      </c>
      <c r="V1266" s="17" t="s">
        <v>9418</v>
      </c>
      <c r="W1266" s="18" t="s">
        <v>5309</v>
      </c>
      <c r="X1266" s="69" t="s">
        <v>9453</v>
      </c>
      <c r="Y1266" s="70" t="s">
        <v>9462</v>
      </c>
      <c r="Z1266" s="73" t="s">
        <v>9486</v>
      </c>
      <c r="AA1266" s="74" t="s">
        <v>9504</v>
      </c>
      <c r="AB1266" s="73" t="s">
        <v>9486</v>
      </c>
      <c r="AC1266" s="74" t="s">
        <v>9566</v>
      </c>
      <c r="AD1266" s="73" t="s">
        <v>9578</v>
      </c>
      <c r="AE1266" s="74" t="s">
        <v>9579</v>
      </c>
    </row>
    <row r="1267" spans="1:31" ht="8.65" customHeight="1" x14ac:dyDescent="0.2">
      <c r="A1267" s="76">
        <v>1267</v>
      </c>
      <c r="B1267" s="67" t="str">
        <f>MID(C1267, FIND("Ifc.", C1267) + 4, 4) &amp; "_" &amp; TEXT(COUNTIF($C$2:C1267, C1267),"0000")</f>
        <v>Prop_1266</v>
      </c>
      <c r="C1267" s="24" t="s">
        <v>872</v>
      </c>
      <c r="D1267" s="69" t="s">
        <v>9453</v>
      </c>
      <c r="E1267" s="70" t="s">
        <v>9454</v>
      </c>
      <c r="F1267" s="17" t="s">
        <v>806</v>
      </c>
      <c r="G1267" s="22" t="s">
        <v>1285</v>
      </c>
      <c r="H1267" s="12" t="s">
        <v>9703</v>
      </c>
      <c r="I1267" s="13" t="s">
        <v>6238</v>
      </c>
      <c r="J1267" s="14" t="s">
        <v>798</v>
      </c>
      <c r="K1267" s="15" t="s">
        <v>798</v>
      </c>
      <c r="L1267" s="12" t="s">
        <v>5315</v>
      </c>
      <c r="M1267" s="13" t="s">
        <v>6007</v>
      </c>
      <c r="N1267" s="12" t="s">
        <v>803</v>
      </c>
      <c r="O1267" s="13" t="s">
        <v>5209</v>
      </c>
      <c r="P1267" s="17" t="s">
        <v>802</v>
      </c>
      <c r="Q1267" s="21" t="s">
        <v>7898</v>
      </c>
      <c r="R1267" s="17" t="s">
        <v>801</v>
      </c>
      <c r="S1267" s="18" t="s">
        <v>2554</v>
      </c>
      <c r="T1267" s="17" t="s">
        <v>800</v>
      </c>
      <c r="U1267" s="18" t="s">
        <v>5233</v>
      </c>
      <c r="V1267" s="17" t="s">
        <v>9418</v>
      </c>
      <c r="W1267" s="18" t="s">
        <v>5310</v>
      </c>
      <c r="X1267" s="69" t="s">
        <v>9453</v>
      </c>
      <c r="Y1267" s="70" t="s">
        <v>9463</v>
      </c>
      <c r="Z1267" s="73" t="s">
        <v>9486</v>
      </c>
      <c r="AA1267" s="74" t="s">
        <v>9504</v>
      </c>
      <c r="AB1267" s="73" t="s">
        <v>9486</v>
      </c>
      <c r="AC1267" s="74" t="s">
        <v>9562</v>
      </c>
      <c r="AD1267" s="73" t="s">
        <v>9578</v>
      </c>
      <c r="AE1267" s="74" t="s">
        <v>9579</v>
      </c>
    </row>
    <row r="1268" spans="1:31" ht="8.65" customHeight="1" x14ac:dyDescent="0.2">
      <c r="A1268" s="76">
        <v>1268</v>
      </c>
      <c r="B1268" s="67" t="str">
        <f>MID(C1268, FIND("Ifc.", C1268) + 4, 4) &amp; "_" &amp; TEXT(COUNTIF($C$2:C1268, C1268),"0000")</f>
        <v>Prop_1267</v>
      </c>
      <c r="C1268" s="24" t="s">
        <v>872</v>
      </c>
      <c r="D1268" s="69" t="s">
        <v>9453</v>
      </c>
      <c r="E1268" s="70" t="s">
        <v>9454</v>
      </c>
      <c r="F1268" s="17" t="s">
        <v>806</v>
      </c>
      <c r="G1268" s="22" t="s">
        <v>1285</v>
      </c>
      <c r="H1268" s="12" t="s">
        <v>9703</v>
      </c>
      <c r="I1268" s="13" t="s">
        <v>6238</v>
      </c>
      <c r="J1268" s="14" t="s">
        <v>798</v>
      </c>
      <c r="K1268" s="15" t="s">
        <v>798</v>
      </c>
      <c r="L1268" s="12" t="s">
        <v>5315</v>
      </c>
      <c r="M1268" s="13" t="s">
        <v>6026</v>
      </c>
      <c r="N1268" s="12" t="s">
        <v>803</v>
      </c>
      <c r="O1268" s="13" t="s">
        <v>5212</v>
      </c>
      <c r="P1268" s="17" t="s">
        <v>802</v>
      </c>
      <c r="Q1268" s="21" t="s">
        <v>7899</v>
      </c>
      <c r="R1268" s="17" t="s">
        <v>801</v>
      </c>
      <c r="S1268" s="18" t="s">
        <v>2554</v>
      </c>
      <c r="T1268" s="17" t="s">
        <v>800</v>
      </c>
      <c r="U1268" s="18" t="s">
        <v>5233</v>
      </c>
      <c r="V1268" s="17" t="s">
        <v>9418</v>
      </c>
      <c r="W1268" s="18" t="s">
        <v>5310</v>
      </c>
      <c r="X1268" s="69" t="s">
        <v>9453</v>
      </c>
      <c r="Y1268" s="70" t="s">
        <v>9463</v>
      </c>
      <c r="Z1268" s="73" t="s">
        <v>9486</v>
      </c>
      <c r="AA1268" s="74" t="s">
        <v>9504</v>
      </c>
      <c r="AB1268" s="73" t="s">
        <v>9486</v>
      </c>
      <c r="AC1268" s="74" t="s">
        <v>9562</v>
      </c>
      <c r="AD1268" s="73" t="s">
        <v>9578</v>
      </c>
      <c r="AE1268" s="74" t="s">
        <v>9579</v>
      </c>
    </row>
    <row r="1269" spans="1:31" ht="8.65" customHeight="1" x14ac:dyDescent="0.2">
      <c r="A1269" s="76">
        <v>1269</v>
      </c>
      <c r="B1269" s="67" t="str">
        <f>MID(C1269, FIND("Ifc.", C1269) + 4, 4) &amp; "_" &amp; TEXT(COUNTIF($C$2:C1269, C1269),"0000")</f>
        <v>Prop_1268</v>
      </c>
      <c r="C1269" s="24" t="s">
        <v>872</v>
      </c>
      <c r="D1269" s="69" t="s">
        <v>9453</v>
      </c>
      <c r="E1269" s="70" t="s">
        <v>9454</v>
      </c>
      <c r="F1269" s="17" t="s">
        <v>806</v>
      </c>
      <c r="G1269" s="22" t="s">
        <v>1285</v>
      </c>
      <c r="H1269" s="12" t="s">
        <v>9703</v>
      </c>
      <c r="I1269" s="13" t="s">
        <v>6238</v>
      </c>
      <c r="J1269" s="14" t="s">
        <v>798</v>
      </c>
      <c r="K1269" s="15" t="s">
        <v>798</v>
      </c>
      <c r="L1269" s="12" t="s">
        <v>5315</v>
      </c>
      <c r="M1269" s="13" t="s">
        <v>6014</v>
      </c>
      <c r="N1269" s="12" t="s">
        <v>803</v>
      </c>
      <c r="O1269" s="13" t="s">
        <v>4902</v>
      </c>
      <c r="P1269" s="17" t="s">
        <v>802</v>
      </c>
      <c r="Q1269" s="21" t="s">
        <v>7828</v>
      </c>
      <c r="R1269" s="17" t="s">
        <v>801</v>
      </c>
      <c r="S1269" s="18" t="s">
        <v>2554</v>
      </c>
      <c r="T1269" s="17" t="s">
        <v>800</v>
      </c>
      <c r="U1269" s="18" t="s">
        <v>5233</v>
      </c>
      <c r="V1269" s="17" t="s">
        <v>9418</v>
      </c>
      <c r="W1269" s="18" t="s">
        <v>5310</v>
      </c>
      <c r="X1269" s="69" t="s">
        <v>9453</v>
      </c>
      <c r="Y1269" s="70" t="s">
        <v>9463</v>
      </c>
      <c r="Z1269" s="73" t="s">
        <v>9486</v>
      </c>
      <c r="AA1269" s="74" t="s">
        <v>9504</v>
      </c>
      <c r="AB1269" s="73" t="s">
        <v>9486</v>
      </c>
      <c r="AC1269" s="74" t="s">
        <v>9562</v>
      </c>
      <c r="AD1269" s="73" t="s">
        <v>9578</v>
      </c>
      <c r="AE1269" s="74" t="s">
        <v>9579</v>
      </c>
    </row>
    <row r="1270" spans="1:31" ht="8.65" customHeight="1" x14ac:dyDescent="0.2">
      <c r="A1270" s="76">
        <v>1270</v>
      </c>
      <c r="B1270" s="67" t="str">
        <f>MID(C1270, FIND("Ifc.", C1270) + 4, 4) &amp; "_" &amp; TEXT(COUNTIF($C$2:C1270, C1270),"0000")</f>
        <v>Prop_1269</v>
      </c>
      <c r="C1270" s="24" t="s">
        <v>872</v>
      </c>
      <c r="D1270" s="69" t="s">
        <v>9453</v>
      </c>
      <c r="E1270" s="70" t="s">
        <v>9454</v>
      </c>
      <c r="F1270" s="17" t="s">
        <v>806</v>
      </c>
      <c r="G1270" s="22" t="s">
        <v>1285</v>
      </c>
      <c r="H1270" s="12" t="s">
        <v>9703</v>
      </c>
      <c r="I1270" s="13" t="s">
        <v>6238</v>
      </c>
      <c r="J1270" s="14" t="s">
        <v>798</v>
      </c>
      <c r="K1270" s="15" t="s">
        <v>798</v>
      </c>
      <c r="L1270" s="12" t="s">
        <v>5315</v>
      </c>
      <c r="M1270" s="13" t="s">
        <v>6006</v>
      </c>
      <c r="N1270" s="12" t="s">
        <v>803</v>
      </c>
      <c r="O1270" s="13" t="s">
        <v>5210</v>
      </c>
      <c r="P1270" s="17" t="s">
        <v>802</v>
      </c>
      <c r="Q1270" s="21" t="s">
        <v>7902</v>
      </c>
      <c r="R1270" s="17" t="s">
        <v>801</v>
      </c>
      <c r="S1270" s="18" t="s">
        <v>2554</v>
      </c>
      <c r="T1270" s="17" t="s">
        <v>800</v>
      </c>
      <c r="U1270" s="18" t="s">
        <v>5233</v>
      </c>
      <c r="V1270" s="17" t="s">
        <v>9418</v>
      </c>
      <c r="W1270" s="18" t="s">
        <v>5310</v>
      </c>
      <c r="X1270" s="69" t="s">
        <v>9453</v>
      </c>
      <c r="Y1270" s="70" t="s">
        <v>9463</v>
      </c>
      <c r="Z1270" s="73" t="s">
        <v>9486</v>
      </c>
      <c r="AA1270" s="74" t="s">
        <v>9504</v>
      </c>
      <c r="AB1270" s="73" t="s">
        <v>9486</v>
      </c>
      <c r="AC1270" s="74" t="s">
        <v>9562</v>
      </c>
      <c r="AD1270" s="73" t="s">
        <v>9578</v>
      </c>
      <c r="AE1270" s="74" t="s">
        <v>9579</v>
      </c>
    </row>
    <row r="1271" spans="1:31" ht="8.65" customHeight="1" x14ac:dyDescent="0.2">
      <c r="A1271" s="76">
        <v>1271</v>
      </c>
      <c r="B1271" s="67" t="str">
        <f>MID(C1271, FIND("Ifc.", C1271) + 4, 4) &amp; "_" &amp; TEXT(COUNTIF($C$2:C1271, C1271),"0000")</f>
        <v>Prop_1270</v>
      </c>
      <c r="C1271" s="24" t="s">
        <v>872</v>
      </c>
      <c r="D1271" s="69" t="s">
        <v>9453</v>
      </c>
      <c r="E1271" s="70" t="s">
        <v>9454</v>
      </c>
      <c r="F1271" s="17" t="s">
        <v>806</v>
      </c>
      <c r="G1271" s="22" t="s">
        <v>1285</v>
      </c>
      <c r="H1271" s="12" t="s">
        <v>9703</v>
      </c>
      <c r="I1271" s="13" t="s">
        <v>6238</v>
      </c>
      <c r="J1271" s="14" t="s">
        <v>798</v>
      </c>
      <c r="K1271" s="15" t="s">
        <v>798</v>
      </c>
      <c r="L1271" s="12" t="s">
        <v>5315</v>
      </c>
      <c r="M1271" s="13" t="s">
        <v>6008</v>
      </c>
      <c r="N1271" s="12" t="s">
        <v>803</v>
      </c>
      <c r="O1271" s="13" t="s">
        <v>5208</v>
      </c>
      <c r="P1271" s="17" t="s">
        <v>802</v>
      </c>
      <c r="Q1271" s="21" t="s">
        <v>7911</v>
      </c>
      <c r="R1271" s="17" t="s">
        <v>801</v>
      </c>
      <c r="S1271" s="18" t="s">
        <v>2554</v>
      </c>
      <c r="T1271" s="17" t="s">
        <v>800</v>
      </c>
      <c r="U1271" s="18" t="s">
        <v>5233</v>
      </c>
      <c r="V1271" s="17" t="s">
        <v>9418</v>
      </c>
      <c r="W1271" s="18" t="s">
        <v>5310</v>
      </c>
      <c r="X1271" s="69" t="s">
        <v>9453</v>
      </c>
      <c r="Y1271" s="70" t="s">
        <v>9463</v>
      </c>
      <c r="Z1271" s="73" t="s">
        <v>9486</v>
      </c>
      <c r="AA1271" s="74" t="s">
        <v>9504</v>
      </c>
      <c r="AB1271" s="73" t="s">
        <v>9486</v>
      </c>
      <c r="AC1271" s="74" t="s">
        <v>9562</v>
      </c>
      <c r="AD1271" s="73" t="s">
        <v>9578</v>
      </c>
      <c r="AE1271" s="74" t="s">
        <v>9579</v>
      </c>
    </row>
    <row r="1272" spans="1:31" ht="8.65" customHeight="1" x14ac:dyDescent="0.2">
      <c r="A1272" s="76">
        <v>1272</v>
      </c>
      <c r="B1272" s="67" t="str">
        <f>MID(C1272, FIND("Ifc.", C1272) + 4, 4) &amp; "_" &amp; TEXT(COUNTIF($C$2:C1272, C1272),"0000")</f>
        <v>Prop_1271</v>
      </c>
      <c r="C1272" s="24" t="s">
        <v>872</v>
      </c>
      <c r="D1272" s="69" t="s">
        <v>9453</v>
      </c>
      <c r="E1272" s="70" t="s">
        <v>9454</v>
      </c>
      <c r="F1272" s="17" t="s">
        <v>806</v>
      </c>
      <c r="G1272" s="22" t="s">
        <v>1285</v>
      </c>
      <c r="H1272" s="12" t="s">
        <v>9703</v>
      </c>
      <c r="I1272" s="13" t="s">
        <v>6238</v>
      </c>
      <c r="J1272" s="14" t="s">
        <v>798</v>
      </c>
      <c r="K1272" s="15" t="s">
        <v>798</v>
      </c>
      <c r="L1272" s="12" t="s">
        <v>5315</v>
      </c>
      <c r="M1272" s="13" t="s">
        <v>6019</v>
      </c>
      <c r="N1272" s="12" t="s">
        <v>803</v>
      </c>
      <c r="O1272" s="13" t="s">
        <v>4900</v>
      </c>
      <c r="P1272" s="17" t="s">
        <v>802</v>
      </c>
      <c r="Q1272" s="21" t="s">
        <v>7996</v>
      </c>
      <c r="R1272" s="17" t="s">
        <v>801</v>
      </c>
      <c r="S1272" s="18" t="s">
        <v>2554</v>
      </c>
      <c r="T1272" s="17" t="s">
        <v>800</v>
      </c>
      <c r="U1272" s="18" t="s">
        <v>5233</v>
      </c>
      <c r="V1272" s="17" t="s">
        <v>9418</v>
      </c>
      <c r="W1272" s="18" t="s">
        <v>5310</v>
      </c>
      <c r="X1272" s="69" t="s">
        <v>9453</v>
      </c>
      <c r="Y1272" s="70" t="s">
        <v>9463</v>
      </c>
      <c r="Z1272" s="73" t="s">
        <v>9486</v>
      </c>
      <c r="AA1272" s="74" t="s">
        <v>9504</v>
      </c>
      <c r="AB1272" s="73" t="s">
        <v>9486</v>
      </c>
      <c r="AC1272" s="74" t="s">
        <v>9562</v>
      </c>
      <c r="AD1272" s="73" t="s">
        <v>9578</v>
      </c>
      <c r="AE1272" s="74" t="s">
        <v>9579</v>
      </c>
    </row>
    <row r="1273" spans="1:31" ht="8.65" customHeight="1" x14ac:dyDescent="0.2">
      <c r="A1273" s="76">
        <v>1273</v>
      </c>
      <c r="B1273" s="67" t="str">
        <f>MID(C1273, FIND("Ifc.", C1273) + 4, 4) &amp; "_" &amp; TEXT(COUNTIF($C$2:C1273, C1273),"0000")</f>
        <v>Prop_1272</v>
      </c>
      <c r="C1273" s="24" t="s">
        <v>872</v>
      </c>
      <c r="D1273" s="69" t="s">
        <v>9453</v>
      </c>
      <c r="E1273" s="70" t="s">
        <v>9454</v>
      </c>
      <c r="F1273" s="17" t="s">
        <v>806</v>
      </c>
      <c r="G1273" s="22" t="s">
        <v>1285</v>
      </c>
      <c r="H1273" s="12" t="s">
        <v>9703</v>
      </c>
      <c r="I1273" s="13" t="s">
        <v>6238</v>
      </c>
      <c r="J1273" s="14" t="s">
        <v>798</v>
      </c>
      <c r="K1273" s="15" t="s">
        <v>798</v>
      </c>
      <c r="L1273" s="12" t="s">
        <v>5315</v>
      </c>
      <c r="M1273" s="13" t="s">
        <v>6027</v>
      </c>
      <c r="N1273" s="12" t="s">
        <v>803</v>
      </c>
      <c r="O1273" s="13" t="s">
        <v>4901</v>
      </c>
      <c r="P1273" s="17" t="s">
        <v>802</v>
      </c>
      <c r="Q1273" s="21" t="s">
        <v>7829</v>
      </c>
      <c r="R1273" s="17" t="s">
        <v>801</v>
      </c>
      <c r="S1273" s="18" t="s">
        <v>2554</v>
      </c>
      <c r="T1273" s="17" t="s">
        <v>800</v>
      </c>
      <c r="U1273" s="18" t="s">
        <v>5233</v>
      </c>
      <c r="V1273" s="17" t="s">
        <v>9418</v>
      </c>
      <c r="W1273" s="18" t="s">
        <v>5310</v>
      </c>
      <c r="X1273" s="69" t="s">
        <v>9453</v>
      </c>
      <c r="Y1273" s="70" t="s">
        <v>9463</v>
      </c>
      <c r="Z1273" s="73" t="s">
        <v>9486</v>
      </c>
      <c r="AA1273" s="74" t="s">
        <v>9504</v>
      </c>
      <c r="AB1273" s="73" t="s">
        <v>9486</v>
      </c>
      <c r="AC1273" s="74" t="s">
        <v>9562</v>
      </c>
      <c r="AD1273" s="73" t="s">
        <v>9578</v>
      </c>
      <c r="AE1273" s="74" t="s">
        <v>9579</v>
      </c>
    </row>
    <row r="1274" spans="1:31" ht="8.65" customHeight="1" x14ac:dyDescent="0.2">
      <c r="A1274" s="76">
        <v>1274</v>
      </c>
      <c r="B1274" s="67" t="str">
        <f>MID(C1274, FIND("Ifc.", C1274) + 4, 4) &amp; "_" &amp; TEXT(COUNTIF($C$2:C1274, C1274),"0000")</f>
        <v>Prop_1273</v>
      </c>
      <c r="C1274" s="24" t="s">
        <v>872</v>
      </c>
      <c r="D1274" s="69" t="s">
        <v>9453</v>
      </c>
      <c r="E1274" s="70" t="s">
        <v>9454</v>
      </c>
      <c r="F1274" s="17" t="s">
        <v>806</v>
      </c>
      <c r="G1274" s="22" t="s">
        <v>1894</v>
      </c>
      <c r="H1274" s="12" t="s">
        <v>9703</v>
      </c>
      <c r="I1274" s="13" t="s">
        <v>6711</v>
      </c>
      <c r="J1274" s="14" t="s">
        <v>798</v>
      </c>
      <c r="K1274" s="15" t="s">
        <v>798</v>
      </c>
      <c r="L1274" s="12" t="s">
        <v>5315</v>
      </c>
      <c r="M1274" s="13" t="s">
        <v>5858</v>
      </c>
      <c r="N1274" s="12" t="s">
        <v>803</v>
      </c>
      <c r="O1274" s="13" t="s">
        <v>5163</v>
      </c>
      <c r="P1274" s="17" t="s">
        <v>802</v>
      </c>
      <c r="Q1274" s="21" t="s">
        <v>7858</v>
      </c>
      <c r="R1274" s="17" t="s">
        <v>801</v>
      </c>
      <c r="S1274" s="18" t="s">
        <v>2585</v>
      </c>
      <c r="T1274" s="17" t="s">
        <v>800</v>
      </c>
      <c r="U1274" s="18" t="s">
        <v>5238</v>
      </c>
      <c r="V1274" s="17" t="s">
        <v>9418</v>
      </c>
      <c r="W1274" s="18" t="s">
        <v>5309</v>
      </c>
      <c r="X1274" s="69" t="s">
        <v>9453</v>
      </c>
      <c r="Y1274" s="70" t="s">
        <v>9462</v>
      </c>
      <c r="Z1274" s="73" t="s">
        <v>9486</v>
      </c>
      <c r="AA1274" s="74" t="s">
        <v>9504</v>
      </c>
      <c r="AB1274" s="73" t="s">
        <v>9486</v>
      </c>
      <c r="AC1274" s="74" t="s">
        <v>9566</v>
      </c>
      <c r="AD1274" s="73" t="s">
        <v>9578</v>
      </c>
      <c r="AE1274" s="74" t="s">
        <v>9579</v>
      </c>
    </row>
    <row r="1275" spans="1:31" ht="8.65" customHeight="1" x14ac:dyDescent="0.2">
      <c r="A1275" s="76">
        <v>1275</v>
      </c>
      <c r="B1275" s="67" t="str">
        <f>MID(C1275, FIND("Ifc.", C1275) + 4, 4) &amp; "_" &amp; TEXT(COUNTIF($C$2:C1275, C1275),"0000")</f>
        <v>Prop_1274</v>
      </c>
      <c r="C1275" s="24" t="s">
        <v>872</v>
      </c>
      <c r="D1275" s="69" t="s">
        <v>9453</v>
      </c>
      <c r="E1275" s="70" t="s">
        <v>9454</v>
      </c>
      <c r="F1275" s="17" t="s">
        <v>806</v>
      </c>
      <c r="G1275" s="22" t="s">
        <v>1894</v>
      </c>
      <c r="H1275" s="12" t="s">
        <v>9703</v>
      </c>
      <c r="I1275" s="13" t="s">
        <v>6711</v>
      </c>
      <c r="J1275" s="14" t="s">
        <v>798</v>
      </c>
      <c r="K1275" s="15" t="s">
        <v>798</v>
      </c>
      <c r="L1275" s="12" t="s">
        <v>5315</v>
      </c>
      <c r="M1275" s="13" t="s">
        <v>5800</v>
      </c>
      <c r="N1275" s="12" t="s">
        <v>803</v>
      </c>
      <c r="O1275" s="13" t="s">
        <v>5193</v>
      </c>
      <c r="P1275" s="17" t="s">
        <v>802</v>
      </c>
      <c r="Q1275" s="21" t="s">
        <v>7993</v>
      </c>
      <c r="R1275" s="17" t="s">
        <v>801</v>
      </c>
      <c r="S1275" s="18" t="s">
        <v>2585</v>
      </c>
      <c r="T1275" s="17" t="s">
        <v>800</v>
      </c>
      <c r="U1275" s="18" t="s">
        <v>5238</v>
      </c>
      <c r="V1275" s="17" t="s">
        <v>9418</v>
      </c>
      <c r="W1275" s="18" t="s">
        <v>5309</v>
      </c>
      <c r="X1275" s="69" t="s">
        <v>9453</v>
      </c>
      <c r="Y1275" s="70" t="s">
        <v>9462</v>
      </c>
      <c r="Z1275" s="73" t="s">
        <v>9486</v>
      </c>
      <c r="AA1275" s="74" t="s">
        <v>9504</v>
      </c>
      <c r="AB1275" s="73" t="s">
        <v>9486</v>
      </c>
      <c r="AC1275" s="74" t="s">
        <v>9566</v>
      </c>
      <c r="AD1275" s="73" t="s">
        <v>9578</v>
      </c>
      <c r="AE1275" s="74" t="s">
        <v>9579</v>
      </c>
    </row>
    <row r="1276" spans="1:31" ht="8.65" customHeight="1" x14ac:dyDescent="0.2">
      <c r="A1276" s="76">
        <v>1276</v>
      </c>
      <c r="B1276" s="67" t="str">
        <f>MID(C1276, FIND("Ifc.", C1276) + 4, 4) &amp; "_" &amp; TEXT(COUNTIF($C$2:C1276, C1276),"0000")</f>
        <v>Prop_1275</v>
      </c>
      <c r="C1276" s="24" t="s">
        <v>872</v>
      </c>
      <c r="D1276" s="69" t="s">
        <v>9453</v>
      </c>
      <c r="E1276" s="70" t="s">
        <v>9454</v>
      </c>
      <c r="F1276" s="17" t="s">
        <v>806</v>
      </c>
      <c r="G1276" s="22" t="s">
        <v>1894</v>
      </c>
      <c r="H1276" s="12" t="s">
        <v>9703</v>
      </c>
      <c r="I1276" s="13" t="s">
        <v>6711</v>
      </c>
      <c r="J1276" s="14" t="s">
        <v>798</v>
      </c>
      <c r="K1276" s="15" t="s">
        <v>798</v>
      </c>
      <c r="L1276" s="12" t="s">
        <v>5315</v>
      </c>
      <c r="M1276" s="13" t="s">
        <v>5955</v>
      </c>
      <c r="N1276" s="12" t="s">
        <v>803</v>
      </c>
      <c r="O1276" s="13" t="s">
        <v>5046</v>
      </c>
      <c r="P1276" s="17" t="s">
        <v>802</v>
      </c>
      <c r="Q1276" s="21" t="s">
        <v>7995</v>
      </c>
      <c r="R1276" s="17" t="s">
        <v>801</v>
      </c>
      <c r="S1276" s="18" t="s">
        <v>2585</v>
      </c>
      <c r="T1276" s="17" t="s">
        <v>800</v>
      </c>
      <c r="U1276" s="18" t="s">
        <v>5238</v>
      </c>
      <c r="V1276" s="17" t="s">
        <v>9418</v>
      </c>
      <c r="W1276" s="18" t="s">
        <v>5309</v>
      </c>
      <c r="X1276" s="69" t="s">
        <v>9453</v>
      </c>
      <c r="Y1276" s="70" t="s">
        <v>9462</v>
      </c>
      <c r="Z1276" s="73" t="s">
        <v>9486</v>
      </c>
      <c r="AA1276" s="74" t="s">
        <v>9504</v>
      </c>
      <c r="AB1276" s="73" t="s">
        <v>9486</v>
      </c>
      <c r="AC1276" s="74" t="s">
        <v>9566</v>
      </c>
      <c r="AD1276" s="73" t="s">
        <v>9578</v>
      </c>
      <c r="AE1276" s="74" t="s">
        <v>9579</v>
      </c>
    </row>
    <row r="1277" spans="1:31" ht="8.65" customHeight="1" x14ac:dyDescent="0.2">
      <c r="A1277" s="76">
        <v>1277</v>
      </c>
      <c r="B1277" s="67" t="str">
        <f>MID(C1277, FIND("Ifc.", C1277) + 4, 4) &amp; "_" &amp; TEXT(COUNTIF($C$2:C1277, C1277),"0000")</f>
        <v>Prop_1276</v>
      </c>
      <c r="C1277" s="24" t="s">
        <v>872</v>
      </c>
      <c r="D1277" s="69" t="s">
        <v>9453</v>
      </c>
      <c r="E1277" s="70" t="s">
        <v>9454</v>
      </c>
      <c r="F1277" s="17" t="s">
        <v>806</v>
      </c>
      <c r="G1277" s="22" t="s">
        <v>1894</v>
      </c>
      <c r="H1277" s="12" t="s">
        <v>9703</v>
      </c>
      <c r="I1277" s="13" t="s">
        <v>6711</v>
      </c>
      <c r="J1277" s="14" t="s">
        <v>798</v>
      </c>
      <c r="K1277" s="15" t="s">
        <v>798</v>
      </c>
      <c r="L1277" s="12" t="s">
        <v>5315</v>
      </c>
      <c r="M1277" s="13" t="s">
        <v>5804</v>
      </c>
      <c r="N1277" s="12" t="s">
        <v>803</v>
      </c>
      <c r="O1277" s="13" t="s">
        <v>5197</v>
      </c>
      <c r="P1277" s="17" t="s">
        <v>802</v>
      </c>
      <c r="Q1277" s="21" t="s">
        <v>7992</v>
      </c>
      <c r="R1277" s="17" t="s">
        <v>801</v>
      </c>
      <c r="S1277" s="18" t="s">
        <v>2585</v>
      </c>
      <c r="T1277" s="17" t="s">
        <v>800</v>
      </c>
      <c r="U1277" s="18" t="s">
        <v>5238</v>
      </c>
      <c r="V1277" s="17" t="s">
        <v>9418</v>
      </c>
      <c r="W1277" s="18" t="s">
        <v>5309</v>
      </c>
      <c r="X1277" s="69" t="s">
        <v>9453</v>
      </c>
      <c r="Y1277" s="70" t="s">
        <v>9462</v>
      </c>
      <c r="Z1277" s="73" t="s">
        <v>9486</v>
      </c>
      <c r="AA1277" s="74" t="s">
        <v>9504</v>
      </c>
      <c r="AB1277" s="73" t="s">
        <v>9486</v>
      </c>
      <c r="AC1277" s="74" t="s">
        <v>9566</v>
      </c>
      <c r="AD1277" s="73" t="s">
        <v>9578</v>
      </c>
      <c r="AE1277" s="74" t="s">
        <v>9579</v>
      </c>
    </row>
    <row r="1278" spans="1:31" ht="8.65" customHeight="1" x14ac:dyDescent="0.2">
      <c r="A1278" s="76">
        <v>1278</v>
      </c>
      <c r="B1278" s="67" t="str">
        <f>MID(C1278, FIND("Ifc.", C1278) + 4, 4) &amp; "_" &amp; TEXT(COUNTIF($C$2:C1278, C1278),"0000")</f>
        <v>Prop_1277</v>
      </c>
      <c r="C1278" s="24" t="s">
        <v>872</v>
      </c>
      <c r="D1278" s="69" t="s">
        <v>9453</v>
      </c>
      <c r="E1278" s="70" t="s">
        <v>9454</v>
      </c>
      <c r="F1278" s="17" t="s">
        <v>806</v>
      </c>
      <c r="G1278" s="22" t="s">
        <v>1089</v>
      </c>
      <c r="H1278" s="12" t="s">
        <v>9703</v>
      </c>
      <c r="I1278" s="13" t="s">
        <v>7145</v>
      </c>
      <c r="J1278" s="14" t="s">
        <v>798</v>
      </c>
      <c r="K1278" s="15" t="s">
        <v>798</v>
      </c>
      <c r="L1278" s="12" t="s">
        <v>5315</v>
      </c>
      <c r="M1278" s="13" t="s">
        <v>5994</v>
      </c>
      <c r="N1278" s="12" t="s">
        <v>803</v>
      </c>
      <c r="O1278" s="13" t="s">
        <v>4854</v>
      </c>
      <c r="P1278" s="17" t="s">
        <v>802</v>
      </c>
      <c r="Q1278" s="21" t="s">
        <v>7825</v>
      </c>
      <c r="R1278" s="17" t="s">
        <v>801</v>
      </c>
      <c r="S1278" s="18" t="s">
        <v>2583</v>
      </c>
      <c r="T1278" s="17" t="s">
        <v>800</v>
      </c>
      <c r="U1278" s="18" t="s">
        <v>5251</v>
      </c>
      <c r="V1278" s="17" t="s">
        <v>9418</v>
      </c>
      <c r="W1278" s="18" t="s">
        <v>5309</v>
      </c>
      <c r="X1278" s="69" t="s">
        <v>9453</v>
      </c>
      <c r="Y1278" s="70" t="s">
        <v>9462</v>
      </c>
      <c r="Z1278" s="73" t="s">
        <v>9486</v>
      </c>
      <c r="AA1278" s="74" t="s">
        <v>9504</v>
      </c>
      <c r="AB1278" s="73" t="s">
        <v>9486</v>
      </c>
      <c r="AC1278" s="74" t="s">
        <v>9566</v>
      </c>
      <c r="AD1278" s="73" t="s">
        <v>9578</v>
      </c>
      <c r="AE1278" s="74" t="s">
        <v>9579</v>
      </c>
    </row>
    <row r="1279" spans="1:31" ht="8.65" customHeight="1" x14ac:dyDescent="0.2">
      <c r="A1279" s="76">
        <v>1279</v>
      </c>
      <c r="B1279" s="67" t="str">
        <f>MID(C1279, FIND("Ifc.", C1279) + 4, 4) &amp; "_" &amp; TEXT(COUNTIF($C$2:C1279, C1279),"0000")</f>
        <v>Prop_1278</v>
      </c>
      <c r="C1279" s="24" t="s">
        <v>872</v>
      </c>
      <c r="D1279" s="69" t="s">
        <v>9453</v>
      </c>
      <c r="E1279" s="70" t="s">
        <v>9454</v>
      </c>
      <c r="F1279" s="17" t="s">
        <v>806</v>
      </c>
      <c r="G1279" s="22" t="s">
        <v>1089</v>
      </c>
      <c r="H1279" s="12" t="s">
        <v>9703</v>
      </c>
      <c r="I1279" s="13" t="s">
        <v>7145</v>
      </c>
      <c r="J1279" s="14" t="s">
        <v>798</v>
      </c>
      <c r="K1279" s="15" t="s">
        <v>798</v>
      </c>
      <c r="L1279" s="12" t="s">
        <v>5315</v>
      </c>
      <c r="M1279" s="13" t="s">
        <v>5389</v>
      </c>
      <c r="N1279" s="12" t="s">
        <v>803</v>
      </c>
      <c r="O1279" s="13" t="s">
        <v>4851</v>
      </c>
      <c r="P1279" s="17" t="s">
        <v>802</v>
      </c>
      <c r="Q1279" s="21" t="s">
        <v>7826</v>
      </c>
      <c r="R1279" s="17" t="s">
        <v>801</v>
      </c>
      <c r="S1279" s="18" t="s">
        <v>2583</v>
      </c>
      <c r="T1279" s="17" t="s">
        <v>800</v>
      </c>
      <c r="U1279" s="18" t="s">
        <v>5251</v>
      </c>
      <c r="V1279" s="17" t="s">
        <v>9418</v>
      </c>
      <c r="W1279" s="18" t="s">
        <v>5309</v>
      </c>
      <c r="X1279" s="69" t="s">
        <v>9453</v>
      </c>
      <c r="Y1279" s="70" t="s">
        <v>9462</v>
      </c>
      <c r="Z1279" s="73" t="s">
        <v>9486</v>
      </c>
      <c r="AA1279" s="74" t="s">
        <v>9504</v>
      </c>
      <c r="AB1279" s="73" t="s">
        <v>9486</v>
      </c>
      <c r="AC1279" s="74" t="s">
        <v>9566</v>
      </c>
      <c r="AD1279" s="73" t="s">
        <v>9578</v>
      </c>
      <c r="AE1279" s="74" t="s">
        <v>9579</v>
      </c>
    </row>
    <row r="1280" spans="1:31" ht="8.65" customHeight="1" x14ac:dyDescent="0.2">
      <c r="A1280" s="76">
        <v>1280</v>
      </c>
      <c r="B1280" s="67" t="str">
        <f>MID(C1280, FIND("Ifc.", C1280) + 4, 4) &amp; "_" &amp; TEXT(COUNTIF($C$2:C1280, C1280),"0000")</f>
        <v>Prop_1279</v>
      </c>
      <c r="C1280" s="24" t="s">
        <v>872</v>
      </c>
      <c r="D1280" s="69" t="s">
        <v>9453</v>
      </c>
      <c r="E1280" s="70" t="s">
        <v>9454</v>
      </c>
      <c r="F1280" s="17" t="s">
        <v>806</v>
      </c>
      <c r="G1280" s="22" t="s">
        <v>1088</v>
      </c>
      <c r="H1280" s="12" t="s">
        <v>9703</v>
      </c>
      <c r="I1280" s="13" t="s">
        <v>7146</v>
      </c>
      <c r="J1280" s="14" t="s">
        <v>798</v>
      </c>
      <c r="K1280" s="15" t="s">
        <v>798</v>
      </c>
      <c r="L1280" s="12" t="s">
        <v>5315</v>
      </c>
      <c r="M1280" s="13" t="s">
        <v>5994</v>
      </c>
      <c r="N1280" s="12" t="s">
        <v>803</v>
      </c>
      <c r="O1280" s="13" t="s">
        <v>4854</v>
      </c>
      <c r="P1280" s="17" t="s">
        <v>802</v>
      </c>
      <c r="Q1280" s="21" t="s">
        <v>7825</v>
      </c>
      <c r="R1280" s="17" t="s">
        <v>801</v>
      </c>
      <c r="S1280" s="18" t="s">
        <v>2583</v>
      </c>
      <c r="T1280" s="17" t="s">
        <v>800</v>
      </c>
      <c r="U1280" s="18" t="s">
        <v>5251</v>
      </c>
      <c r="V1280" s="17" t="s">
        <v>9418</v>
      </c>
      <c r="W1280" s="18" t="s">
        <v>5309</v>
      </c>
      <c r="X1280" s="69" t="s">
        <v>9453</v>
      </c>
      <c r="Y1280" s="70" t="s">
        <v>9462</v>
      </c>
      <c r="Z1280" s="73" t="s">
        <v>9486</v>
      </c>
      <c r="AA1280" s="74" t="s">
        <v>9504</v>
      </c>
      <c r="AB1280" s="73" t="s">
        <v>9486</v>
      </c>
      <c r="AC1280" s="74" t="s">
        <v>9566</v>
      </c>
      <c r="AD1280" s="73" t="s">
        <v>9578</v>
      </c>
      <c r="AE1280" s="74" t="s">
        <v>9579</v>
      </c>
    </row>
    <row r="1281" spans="1:31" ht="8.65" customHeight="1" x14ac:dyDescent="0.2">
      <c r="A1281" s="76">
        <v>1281</v>
      </c>
      <c r="B1281" s="67" t="str">
        <f>MID(C1281, FIND("Ifc.", C1281) + 4, 4) &amp; "_" &amp; TEXT(COUNTIF($C$2:C1281, C1281),"0000")</f>
        <v>Prop_1280</v>
      </c>
      <c r="C1281" s="24" t="s">
        <v>872</v>
      </c>
      <c r="D1281" s="69" t="s">
        <v>9453</v>
      </c>
      <c r="E1281" s="70" t="s">
        <v>9454</v>
      </c>
      <c r="F1281" s="17" t="s">
        <v>806</v>
      </c>
      <c r="G1281" s="22" t="s">
        <v>1088</v>
      </c>
      <c r="H1281" s="12" t="s">
        <v>9703</v>
      </c>
      <c r="I1281" s="13" t="s">
        <v>7146</v>
      </c>
      <c r="J1281" s="14" t="s">
        <v>798</v>
      </c>
      <c r="K1281" s="15" t="s">
        <v>798</v>
      </c>
      <c r="L1281" s="12" t="s">
        <v>5315</v>
      </c>
      <c r="M1281" s="13" t="s">
        <v>5997</v>
      </c>
      <c r="N1281" s="12" t="s">
        <v>803</v>
      </c>
      <c r="O1281" s="13" t="s">
        <v>4856</v>
      </c>
      <c r="P1281" s="17" t="s">
        <v>802</v>
      </c>
      <c r="Q1281" s="21" t="s">
        <v>7985</v>
      </c>
      <c r="R1281" s="17" t="s">
        <v>801</v>
      </c>
      <c r="S1281" s="18" t="s">
        <v>2583</v>
      </c>
      <c r="T1281" s="17" t="s">
        <v>800</v>
      </c>
      <c r="U1281" s="18" t="s">
        <v>5251</v>
      </c>
      <c r="V1281" s="17" t="s">
        <v>9418</v>
      </c>
      <c r="W1281" s="18" t="s">
        <v>5309</v>
      </c>
      <c r="X1281" s="69" t="s">
        <v>9453</v>
      </c>
      <c r="Y1281" s="70" t="s">
        <v>9462</v>
      </c>
      <c r="Z1281" s="73" t="s">
        <v>9486</v>
      </c>
      <c r="AA1281" s="74" t="s">
        <v>9504</v>
      </c>
      <c r="AB1281" s="73" t="s">
        <v>9486</v>
      </c>
      <c r="AC1281" s="74" t="s">
        <v>9566</v>
      </c>
      <c r="AD1281" s="73" t="s">
        <v>9578</v>
      </c>
      <c r="AE1281" s="74" t="s">
        <v>9579</v>
      </c>
    </row>
    <row r="1282" spans="1:31" ht="8.65" customHeight="1" x14ac:dyDescent="0.2">
      <c r="A1282" s="76">
        <v>1282</v>
      </c>
      <c r="B1282" s="67" t="str">
        <f>MID(C1282, FIND("Ifc.", C1282) + 4, 4) &amp; "_" &amp; TEXT(COUNTIF($C$2:C1282, C1282),"0000")</f>
        <v>Prop_1281</v>
      </c>
      <c r="C1282" s="24" t="s">
        <v>872</v>
      </c>
      <c r="D1282" s="69" t="s">
        <v>9453</v>
      </c>
      <c r="E1282" s="70" t="s">
        <v>9454</v>
      </c>
      <c r="F1282" s="17" t="s">
        <v>806</v>
      </c>
      <c r="G1282" s="22" t="s">
        <v>1088</v>
      </c>
      <c r="H1282" s="12" t="s">
        <v>9703</v>
      </c>
      <c r="I1282" s="13" t="s">
        <v>7146</v>
      </c>
      <c r="J1282" s="14" t="s">
        <v>798</v>
      </c>
      <c r="K1282" s="15" t="s">
        <v>798</v>
      </c>
      <c r="L1282" s="12" t="s">
        <v>5315</v>
      </c>
      <c r="M1282" s="13" t="s">
        <v>5389</v>
      </c>
      <c r="N1282" s="12" t="s">
        <v>803</v>
      </c>
      <c r="O1282" s="13" t="s">
        <v>4851</v>
      </c>
      <c r="P1282" s="17" t="s">
        <v>802</v>
      </c>
      <c r="Q1282" s="21" t="s">
        <v>7826</v>
      </c>
      <c r="R1282" s="17" t="s">
        <v>801</v>
      </c>
      <c r="S1282" s="18" t="s">
        <v>2583</v>
      </c>
      <c r="T1282" s="17" t="s">
        <v>800</v>
      </c>
      <c r="U1282" s="18" t="s">
        <v>5251</v>
      </c>
      <c r="V1282" s="17" t="s">
        <v>9418</v>
      </c>
      <c r="W1282" s="18" t="s">
        <v>5309</v>
      </c>
      <c r="X1282" s="69" t="s">
        <v>9453</v>
      </c>
      <c r="Y1282" s="70" t="s">
        <v>9462</v>
      </c>
      <c r="Z1282" s="73" t="s">
        <v>9486</v>
      </c>
      <c r="AA1282" s="74" t="s">
        <v>9504</v>
      </c>
      <c r="AB1282" s="73" t="s">
        <v>9486</v>
      </c>
      <c r="AC1282" s="74" t="s">
        <v>9566</v>
      </c>
      <c r="AD1282" s="73" t="s">
        <v>9578</v>
      </c>
      <c r="AE1282" s="74" t="s">
        <v>9579</v>
      </c>
    </row>
    <row r="1283" spans="1:31" ht="8.65" customHeight="1" x14ac:dyDescent="0.2">
      <c r="A1283" s="76">
        <v>1283</v>
      </c>
      <c r="B1283" s="67" t="str">
        <f>MID(C1283, FIND("Ifc.", C1283) + 4, 4) &amp; "_" &amp; TEXT(COUNTIF($C$2:C1283, C1283),"0000")</f>
        <v>Prop_1282</v>
      </c>
      <c r="C1283" s="24" t="s">
        <v>872</v>
      </c>
      <c r="D1283" s="69" t="s">
        <v>9453</v>
      </c>
      <c r="E1283" s="70" t="s">
        <v>9454</v>
      </c>
      <c r="F1283" s="17" t="s">
        <v>806</v>
      </c>
      <c r="G1283" s="22" t="s">
        <v>1088</v>
      </c>
      <c r="H1283" s="12" t="s">
        <v>9703</v>
      </c>
      <c r="I1283" s="13" t="s">
        <v>7146</v>
      </c>
      <c r="J1283" s="14" t="s">
        <v>798</v>
      </c>
      <c r="K1283" s="15" t="s">
        <v>798</v>
      </c>
      <c r="L1283" s="12" t="s">
        <v>5315</v>
      </c>
      <c r="M1283" s="13" t="s">
        <v>5391</v>
      </c>
      <c r="N1283" s="12" t="s">
        <v>803</v>
      </c>
      <c r="O1283" s="13" t="s">
        <v>4853</v>
      </c>
      <c r="P1283" s="17" t="s">
        <v>802</v>
      </c>
      <c r="Q1283" s="21" t="s">
        <v>7869</v>
      </c>
      <c r="R1283" s="17" t="s">
        <v>801</v>
      </c>
      <c r="S1283" s="18" t="s">
        <v>2585</v>
      </c>
      <c r="T1283" s="17" t="s">
        <v>800</v>
      </c>
      <c r="U1283" s="18" t="s">
        <v>5238</v>
      </c>
      <c r="V1283" s="17" t="s">
        <v>9418</v>
      </c>
      <c r="W1283" s="18" t="s">
        <v>5309</v>
      </c>
      <c r="X1283" s="69" t="s">
        <v>9453</v>
      </c>
      <c r="Y1283" s="70" t="s">
        <v>9462</v>
      </c>
      <c r="Z1283" s="73" t="s">
        <v>9486</v>
      </c>
      <c r="AA1283" s="74" t="s">
        <v>9504</v>
      </c>
      <c r="AB1283" s="73" t="s">
        <v>9486</v>
      </c>
      <c r="AC1283" s="74" t="s">
        <v>9566</v>
      </c>
      <c r="AD1283" s="73" t="s">
        <v>9578</v>
      </c>
      <c r="AE1283" s="74" t="s">
        <v>9579</v>
      </c>
    </row>
    <row r="1284" spans="1:31" ht="8.65" customHeight="1" x14ac:dyDescent="0.2">
      <c r="A1284" s="76">
        <v>1284</v>
      </c>
      <c r="B1284" s="67" t="str">
        <f>MID(C1284, FIND("Ifc.", C1284) + 4, 4) &amp; "_" &amp; TEXT(COUNTIF($C$2:C1284, C1284),"0000")</f>
        <v>Prop_1283</v>
      </c>
      <c r="C1284" s="24" t="s">
        <v>872</v>
      </c>
      <c r="D1284" s="69" t="s">
        <v>9453</v>
      </c>
      <c r="E1284" s="70" t="s">
        <v>9454</v>
      </c>
      <c r="F1284" s="17" t="s">
        <v>806</v>
      </c>
      <c r="G1284" s="22" t="s">
        <v>1658</v>
      </c>
      <c r="H1284" s="12" t="s">
        <v>9703</v>
      </c>
      <c r="I1284" s="13" t="s">
        <v>6410</v>
      </c>
      <c r="J1284" s="14" t="s">
        <v>798</v>
      </c>
      <c r="K1284" s="15" t="s">
        <v>798</v>
      </c>
      <c r="L1284" s="12" t="s">
        <v>5315</v>
      </c>
      <c r="M1284" s="13" t="s">
        <v>5840</v>
      </c>
      <c r="N1284" s="12" t="s">
        <v>803</v>
      </c>
      <c r="O1284" s="13" t="s">
        <v>4983</v>
      </c>
      <c r="P1284" s="17" t="s">
        <v>802</v>
      </c>
      <c r="Q1284" s="21" t="s">
        <v>7997</v>
      </c>
      <c r="R1284" s="17" t="s">
        <v>801</v>
      </c>
      <c r="S1284" s="18" t="s">
        <v>2624</v>
      </c>
      <c r="T1284" s="17" t="s">
        <v>800</v>
      </c>
      <c r="U1284" s="18" t="s">
        <v>5243</v>
      </c>
      <c r="V1284" s="17" t="s">
        <v>9418</v>
      </c>
      <c r="W1284" s="18" t="s">
        <v>5309</v>
      </c>
      <c r="X1284" s="69" t="s">
        <v>9453</v>
      </c>
      <c r="Y1284" s="70" t="s">
        <v>9462</v>
      </c>
      <c r="Z1284" s="73" t="s">
        <v>9486</v>
      </c>
      <c r="AA1284" s="74" t="s">
        <v>9504</v>
      </c>
      <c r="AB1284" s="73" t="s">
        <v>9486</v>
      </c>
      <c r="AC1284" s="74" t="s">
        <v>9566</v>
      </c>
      <c r="AD1284" s="73" t="s">
        <v>9578</v>
      </c>
      <c r="AE1284" s="74" t="s">
        <v>9579</v>
      </c>
    </row>
    <row r="1285" spans="1:31" ht="8.65" customHeight="1" x14ac:dyDescent="0.2">
      <c r="A1285" s="76">
        <v>1285</v>
      </c>
      <c r="B1285" s="67" t="str">
        <f>MID(C1285, FIND("Ifc.", C1285) + 4, 4) &amp; "_" &amp; TEXT(COUNTIF($C$2:C1285, C1285),"0000")</f>
        <v>Prop_1284</v>
      </c>
      <c r="C1285" s="24" t="s">
        <v>872</v>
      </c>
      <c r="D1285" s="69" t="s">
        <v>9453</v>
      </c>
      <c r="E1285" s="70" t="s">
        <v>9454</v>
      </c>
      <c r="F1285" s="17" t="s">
        <v>806</v>
      </c>
      <c r="G1285" s="22" t="s">
        <v>1658</v>
      </c>
      <c r="H1285" s="12" t="s">
        <v>9703</v>
      </c>
      <c r="I1285" s="13" t="s">
        <v>6410</v>
      </c>
      <c r="J1285" s="14" t="s">
        <v>798</v>
      </c>
      <c r="K1285" s="15" t="s">
        <v>798</v>
      </c>
      <c r="L1285" s="12" t="s">
        <v>5315</v>
      </c>
      <c r="M1285" s="13" t="s">
        <v>5847</v>
      </c>
      <c r="N1285" s="12" t="s">
        <v>803</v>
      </c>
      <c r="O1285" s="13" t="s">
        <v>4993</v>
      </c>
      <c r="P1285" s="17" t="s">
        <v>802</v>
      </c>
      <c r="Q1285" s="21" t="s">
        <v>7998</v>
      </c>
      <c r="R1285" s="17" t="s">
        <v>801</v>
      </c>
      <c r="S1285" s="18" t="s">
        <v>3636</v>
      </c>
      <c r="T1285" s="17" t="s">
        <v>800</v>
      </c>
      <c r="U1285" s="18" t="s">
        <v>5257</v>
      </c>
      <c r="V1285" s="17" t="s">
        <v>9418</v>
      </c>
      <c r="W1285" s="18" t="s">
        <v>5314</v>
      </c>
      <c r="X1285" s="69" t="s">
        <v>9453</v>
      </c>
      <c r="Y1285" s="70" t="s">
        <v>9464</v>
      </c>
      <c r="Z1285" s="73" t="s">
        <v>9486</v>
      </c>
      <c r="AA1285" s="74" t="s">
        <v>9504</v>
      </c>
      <c r="AB1285" s="73" t="s">
        <v>9486</v>
      </c>
      <c r="AC1285" s="74" t="s">
        <v>9561</v>
      </c>
      <c r="AD1285" s="73" t="s">
        <v>9578</v>
      </c>
      <c r="AE1285" s="74" t="s">
        <v>9579</v>
      </c>
    </row>
    <row r="1286" spans="1:31" ht="8.65" customHeight="1" x14ac:dyDescent="0.2">
      <c r="A1286" s="76">
        <v>1286</v>
      </c>
      <c r="B1286" s="67" t="str">
        <f>MID(C1286, FIND("Ifc.", C1286) + 4, 4) &amp; "_" &amp; TEXT(COUNTIF($C$2:C1286, C1286),"0000")</f>
        <v>Prop_1285</v>
      </c>
      <c r="C1286" s="24" t="s">
        <v>872</v>
      </c>
      <c r="D1286" s="69" t="s">
        <v>9453</v>
      </c>
      <c r="E1286" s="70" t="s">
        <v>9454</v>
      </c>
      <c r="F1286" s="17" t="s">
        <v>806</v>
      </c>
      <c r="G1286" s="22" t="s">
        <v>1856</v>
      </c>
      <c r="H1286" s="12" t="s">
        <v>9703</v>
      </c>
      <c r="I1286" s="13" t="s">
        <v>6545</v>
      </c>
      <c r="J1286" s="14" t="s">
        <v>798</v>
      </c>
      <c r="K1286" s="15" t="s">
        <v>798</v>
      </c>
      <c r="L1286" s="12" t="s">
        <v>5315</v>
      </c>
      <c r="M1286" s="13" t="s">
        <v>5949</v>
      </c>
      <c r="N1286" s="12" t="s">
        <v>803</v>
      </c>
      <c r="O1286" s="13" t="s">
        <v>5036</v>
      </c>
      <c r="P1286" s="17" t="s">
        <v>802</v>
      </c>
      <c r="Q1286" s="21" t="s">
        <v>7972</v>
      </c>
      <c r="R1286" s="17" t="s">
        <v>801</v>
      </c>
      <c r="S1286" s="18" t="s">
        <v>5231</v>
      </c>
      <c r="T1286" s="17" t="s">
        <v>800</v>
      </c>
      <c r="U1286" s="18" t="s">
        <v>5292</v>
      </c>
      <c r="V1286" s="17" t="s">
        <v>9418</v>
      </c>
      <c r="W1286" s="18" t="s">
        <v>9419</v>
      </c>
      <c r="X1286" s="69" t="s">
        <v>9453</v>
      </c>
      <c r="Y1286" s="70" t="s">
        <v>9468</v>
      </c>
      <c r="Z1286" s="73" t="s">
        <v>9486</v>
      </c>
      <c r="AA1286" s="74" t="s">
        <v>9504</v>
      </c>
      <c r="AB1286" s="73" t="s">
        <v>9486</v>
      </c>
      <c r="AC1286" s="74" t="s">
        <v>9566</v>
      </c>
      <c r="AD1286" s="73" t="s">
        <v>9578</v>
      </c>
      <c r="AE1286" s="74" t="s">
        <v>9579</v>
      </c>
    </row>
    <row r="1287" spans="1:31" ht="8.65" customHeight="1" x14ac:dyDescent="0.2">
      <c r="A1287" s="76">
        <v>1287</v>
      </c>
      <c r="B1287" s="67" t="str">
        <f>MID(C1287, FIND("Ifc.", C1287) + 4, 4) &amp; "_" &amp; TEXT(COUNTIF($C$2:C1287, C1287),"0000")</f>
        <v>Prop_1286</v>
      </c>
      <c r="C1287" s="24" t="s">
        <v>872</v>
      </c>
      <c r="D1287" s="69" t="s">
        <v>9453</v>
      </c>
      <c r="E1287" s="70" t="s">
        <v>9454</v>
      </c>
      <c r="F1287" s="17" t="s">
        <v>806</v>
      </c>
      <c r="G1287" s="22" t="s">
        <v>1856</v>
      </c>
      <c r="H1287" s="12" t="s">
        <v>9703</v>
      </c>
      <c r="I1287" s="13" t="s">
        <v>6545</v>
      </c>
      <c r="J1287" s="14" t="s">
        <v>798</v>
      </c>
      <c r="K1287" s="15" t="s">
        <v>798</v>
      </c>
      <c r="L1287" s="12" t="s">
        <v>5315</v>
      </c>
      <c r="M1287" s="13" t="s">
        <v>5948</v>
      </c>
      <c r="N1287" s="12" t="s">
        <v>803</v>
      </c>
      <c r="O1287" s="13" t="s">
        <v>5035</v>
      </c>
      <c r="P1287" s="17" t="s">
        <v>802</v>
      </c>
      <c r="Q1287" s="21" t="s">
        <v>7973</v>
      </c>
      <c r="R1287" s="17" t="s">
        <v>801</v>
      </c>
      <c r="S1287" s="18" t="s">
        <v>5230</v>
      </c>
      <c r="T1287" s="17" t="s">
        <v>800</v>
      </c>
      <c r="U1287" s="18" t="s">
        <v>5291</v>
      </c>
      <c r="V1287" s="17" t="s">
        <v>9418</v>
      </c>
      <c r="W1287" s="18" t="s">
        <v>9419</v>
      </c>
      <c r="X1287" s="69" t="s">
        <v>9453</v>
      </c>
      <c r="Y1287" s="70" t="s">
        <v>9468</v>
      </c>
      <c r="Z1287" s="73" t="s">
        <v>9486</v>
      </c>
      <c r="AA1287" s="74" t="s">
        <v>9504</v>
      </c>
      <c r="AB1287" s="73" t="s">
        <v>9486</v>
      </c>
      <c r="AC1287" s="74" t="s">
        <v>9566</v>
      </c>
      <c r="AD1287" s="73" t="s">
        <v>9578</v>
      </c>
      <c r="AE1287" s="74" t="s">
        <v>9579</v>
      </c>
    </row>
    <row r="1288" spans="1:31" ht="8.65" customHeight="1" x14ac:dyDescent="0.2">
      <c r="A1288" s="76">
        <v>1288</v>
      </c>
      <c r="B1288" s="67" t="str">
        <f>MID(C1288, FIND("Ifc.", C1288) + 4, 4) &amp; "_" &amp; TEXT(COUNTIF($C$2:C1288, C1288),"0000")</f>
        <v>Prop_1287</v>
      </c>
      <c r="C1288" s="24" t="s">
        <v>872</v>
      </c>
      <c r="D1288" s="69" t="s">
        <v>9453</v>
      </c>
      <c r="E1288" s="70" t="s">
        <v>9454</v>
      </c>
      <c r="F1288" s="17" t="s">
        <v>806</v>
      </c>
      <c r="G1288" s="22" t="s">
        <v>2492</v>
      </c>
      <c r="H1288" s="12" t="s">
        <v>9703</v>
      </c>
      <c r="I1288" s="13" t="s">
        <v>6949</v>
      </c>
      <c r="J1288" s="14" t="s">
        <v>798</v>
      </c>
      <c r="K1288" s="15" t="s">
        <v>798</v>
      </c>
      <c r="L1288" s="12" t="s">
        <v>5315</v>
      </c>
      <c r="M1288" s="13" t="s">
        <v>6005</v>
      </c>
      <c r="N1288" s="12" t="s">
        <v>803</v>
      </c>
      <c r="O1288" s="13" t="s">
        <v>5221</v>
      </c>
      <c r="P1288" s="17" t="s">
        <v>802</v>
      </c>
      <c r="Q1288" s="21" t="s">
        <v>7711</v>
      </c>
      <c r="R1288" s="17" t="s">
        <v>801</v>
      </c>
      <c r="S1288" s="18" t="s">
        <v>2554</v>
      </c>
      <c r="T1288" s="17" t="s">
        <v>800</v>
      </c>
      <c r="U1288" s="18" t="s">
        <v>5233</v>
      </c>
      <c r="V1288" s="17" t="s">
        <v>9418</v>
      </c>
      <c r="W1288" s="18" t="s">
        <v>5309</v>
      </c>
      <c r="X1288" s="69" t="s">
        <v>9453</v>
      </c>
      <c r="Y1288" s="70" t="s">
        <v>9462</v>
      </c>
      <c r="Z1288" s="73" t="s">
        <v>9486</v>
      </c>
      <c r="AA1288" s="74" t="s">
        <v>9504</v>
      </c>
      <c r="AB1288" s="73" t="s">
        <v>9486</v>
      </c>
      <c r="AC1288" s="74" t="s">
        <v>9562</v>
      </c>
      <c r="AD1288" s="73" t="s">
        <v>9578</v>
      </c>
      <c r="AE1288" s="74" t="s">
        <v>9579</v>
      </c>
    </row>
    <row r="1289" spans="1:31" ht="8.65" customHeight="1" x14ac:dyDescent="0.2">
      <c r="A1289" s="76">
        <v>1289</v>
      </c>
      <c r="B1289" s="67" t="str">
        <f>MID(C1289, FIND("Ifc.", C1289) + 4, 4) &amp; "_" &amp; TEXT(COUNTIF($C$2:C1289, C1289),"0000")</f>
        <v>Prop_1288</v>
      </c>
      <c r="C1289" s="24" t="s">
        <v>872</v>
      </c>
      <c r="D1289" s="69" t="s">
        <v>9453</v>
      </c>
      <c r="E1289" s="70" t="s">
        <v>9454</v>
      </c>
      <c r="F1289" s="17" t="s">
        <v>806</v>
      </c>
      <c r="G1289" s="22" t="s">
        <v>1174</v>
      </c>
      <c r="H1289" s="12" t="s">
        <v>9703</v>
      </c>
      <c r="I1289" s="13" t="s">
        <v>6981</v>
      </c>
      <c r="J1289" s="14" t="s">
        <v>798</v>
      </c>
      <c r="K1289" s="15" t="s">
        <v>798</v>
      </c>
      <c r="L1289" s="12" t="s">
        <v>5315</v>
      </c>
      <c r="M1289" s="13" t="s">
        <v>5399</v>
      </c>
      <c r="N1289" s="12" t="s">
        <v>803</v>
      </c>
      <c r="O1289" s="13" t="s">
        <v>4874</v>
      </c>
      <c r="P1289" s="17" t="s">
        <v>802</v>
      </c>
      <c r="Q1289" s="21" t="s">
        <v>7875</v>
      </c>
      <c r="R1289" s="17" t="s">
        <v>801</v>
      </c>
      <c r="S1289" s="18" t="s">
        <v>2554</v>
      </c>
      <c r="T1289" s="17" t="s">
        <v>800</v>
      </c>
      <c r="U1289" s="18" t="s">
        <v>5233</v>
      </c>
      <c r="V1289" s="17" t="s">
        <v>9418</v>
      </c>
      <c r="W1289" s="18" t="s">
        <v>5309</v>
      </c>
      <c r="X1289" s="69" t="s">
        <v>9453</v>
      </c>
      <c r="Y1289" s="70" t="s">
        <v>9462</v>
      </c>
      <c r="Z1289" s="73" t="s">
        <v>9486</v>
      </c>
      <c r="AA1289" s="74" t="s">
        <v>9504</v>
      </c>
      <c r="AB1289" s="73" t="s">
        <v>9486</v>
      </c>
      <c r="AC1289" s="74" t="s">
        <v>9562</v>
      </c>
      <c r="AD1289" s="73" t="s">
        <v>9578</v>
      </c>
      <c r="AE1289" s="74" t="s">
        <v>9579</v>
      </c>
    </row>
    <row r="1290" spans="1:31" ht="8.65" customHeight="1" x14ac:dyDescent="0.2">
      <c r="A1290" s="76">
        <v>1290</v>
      </c>
      <c r="B1290" s="67" t="str">
        <f>MID(C1290, FIND("Ifc.", C1290) + 4, 4) &amp; "_" &amp; TEXT(COUNTIF($C$2:C1290, C1290),"0000")</f>
        <v>Prop_1289</v>
      </c>
      <c r="C1290" s="24" t="s">
        <v>872</v>
      </c>
      <c r="D1290" s="69" t="s">
        <v>9453</v>
      </c>
      <c r="E1290" s="70" t="s">
        <v>9454</v>
      </c>
      <c r="F1290" s="17" t="s">
        <v>806</v>
      </c>
      <c r="G1290" s="22" t="s">
        <v>1736</v>
      </c>
      <c r="H1290" s="12" t="s">
        <v>9703</v>
      </c>
      <c r="I1290" s="13" t="s">
        <v>6459</v>
      </c>
      <c r="J1290" s="14" t="s">
        <v>798</v>
      </c>
      <c r="K1290" s="15" t="s">
        <v>798</v>
      </c>
      <c r="L1290" s="12" t="s">
        <v>5315</v>
      </c>
      <c r="M1290" s="13" t="s">
        <v>5852</v>
      </c>
      <c r="N1290" s="12" t="s">
        <v>803</v>
      </c>
      <c r="O1290" s="13" t="s">
        <v>5005</v>
      </c>
      <c r="P1290" s="17" t="s">
        <v>802</v>
      </c>
      <c r="Q1290" s="21" t="s">
        <v>7920</v>
      </c>
      <c r="R1290" s="17" t="s">
        <v>801</v>
      </c>
      <c r="S1290" s="18" t="s">
        <v>2554</v>
      </c>
      <c r="T1290" s="17" t="s">
        <v>800</v>
      </c>
      <c r="U1290" s="18" t="s">
        <v>5233</v>
      </c>
      <c r="V1290" s="17" t="s">
        <v>9418</v>
      </c>
      <c r="W1290" s="18" t="s">
        <v>5309</v>
      </c>
      <c r="X1290" s="69" t="s">
        <v>9453</v>
      </c>
      <c r="Y1290" s="70" t="s">
        <v>9462</v>
      </c>
      <c r="Z1290" s="73" t="s">
        <v>9486</v>
      </c>
      <c r="AA1290" s="74" t="s">
        <v>9504</v>
      </c>
      <c r="AB1290" s="73" t="s">
        <v>9486</v>
      </c>
      <c r="AC1290" s="74" t="s">
        <v>9562</v>
      </c>
      <c r="AD1290" s="73" t="s">
        <v>9578</v>
      </c>
      <c r="AE1290" s="74" t="s">
        <v>9579</v>
      </c>
    </row>
    <row r="1291" spans="1:31" ht="8.65" customHeight="1" x14ac:dyDescent="0.2">
      <c r="A1291" s="76">
        <v>1291</v>
      </c>
      <c r="B1291" s="67" t="str">
        <f>MID(C1291, FIND("Ifc.", C1291) + 4, 4) &amp; "_" &amp; TEXT(COUNTIF($C$2:C1291, C1291),"0000")</f>
        <v>Prop_1290</v>
      </c>
      <c r="C1291" s="24" t="s">
        <v>872</v>
      </c>
      <c r="D1291" s="69" t="s">
        <v>9453</v>
      </c>
      <c r="E1291" s="70" t="s">
        <v>9454</v>
      </c>
      <c r="F1291" s="17" t="s">
        <v>806</v>
      </c>
      <c r="G1291" s="22" t="s">
        <v>2278</v>
      </c>
      <c r="H1291" s="12" t="s">
        <v>9703</v>
      </c>
      <c r="I1291" s="13" t="s">
        <v>7352</v>
      </c>
      <c r="J1291" s="14" t="s">
        <v>798</v>
      </c>
      <c r="K1291" s="15" t="s">
        <v>798</v>
      </c>
      <c r="L1291" s="12" t="s">
        <v>5315</v>
      </c>
      <c r="M1291" s="13" t="s">
        <v>5548</v>
      </c>
      <c r="N1291" s="12" t="s">
        <v>803</v>
      </c>
      <c r="O1291" s="13" t="s">
        <v>5161</v>
      </c>
      <c r="P1291" s="17" t="s">
        <v>802</v>
      </c>
      <c r="Q1291" s="21" t="s">
        <v>7796</v>
      </c>
      <c r="R1291" s="17" t="s">
        <v>801</v>
      </c>
      <c r="S1291" s="18" t="s">
        <v>2562</v>
      </c>
      <c r="T1291" s="17" t="s">
        <v>800</v>
      </c>
      <c r="U1291" s="18" t="s">
        <v>5256</v>
      </c>
      <c r="V1291" s="17" t="s">
        <v>9418</v>
      </c>
      <c r="W1291" s="18" t="s">
        <v>5309</v>
      </c>
      <c r="X1291" s="69" t="s">
        <v>9453</v>
      </c>
      <c r="Y1291" s="70" t="s">
        <v>9462</v>
      </c>
      <c r="Z1291" s="73" t="s">
        <v>9486</v>
      </c>
      <c r="AA1291" s="74" t="s">
        <v>9504</v>
      </c>
      <c r="AB1291" s="73" t="s">
        <v>9486</v>
      </c>
      <c r="AC1291" s="74" t="s">
        <v>9562</v>
      </c>
      <c r="AD1291" s="73" t="s">
        <v>9578</v>
      </c>
      <c r="AE1291" s="74" t="s">
        <v>9579</v>
      </c>
    </row>
    <row r="1292" spans="1:31" ht="8.65" customHeight="1" x14ac:dyDescent="0.2">
      <c r="A1292" s="76">
        <v>1292</v>
      </c>
      <c r="B1292" s="67" t="str">
        <f>MID(C1292, FIND("Ifc.", C1292) + 4, 4) &amp; "_" &amp; TEXT(COUNTIF($C$2:C1292, C1292),"0000")</f>
        <v>Prop_1291</v>
      </c>
      <c r="C1292" s="24" t="s">
        <v>872</v>
      </c>
      <c r="D1292" s="69" t="s">
        <v>9453</v>
      </c>
      <c r="E1292" s="70" t="s">
        <v>9454</v>
      </c>
      <c r="F1292" s="17" t="s">
        <v>806</v>
      </c>
      <c r="G1292" s="22" t="s">
        <v>1776</v>
      </c>
      <c r="H1292" s="12" t="s">
        <v>9703</v>
      </c>
      <c r="I1292" s="13" t="s">
        <v>7353</v>
      </c>
      <c r="J1292" s="14" t="s">
        <v>798</v>
      </c>
      <c r="K1292" s="15" t="s">
        <v>798</v>
      </c>
      <c r="L1292" s="12" t="s">
        <v>5315</v>
      </c>
      <c r="M1292" s="13" t="s">
        <v>5936</v>
      </c>
      <c r="N1292" s="12" t="s">
        <v>803</v>
      </c>
      <c r="O1292" s="13" t="s">
        <v>5016</v>
      </c>
      <c r="P1292" s="17" t="s">
        <v>802</v>
      </c>
      <c r="Q1292" s="21" t="s">
        <v>7999</v>
      </c>
      <c r="R1292" s="17" t="s">
        <v>801</v>
      </c>
      <c r="S1292" s="18" t="s">
        <v>2560</v>
      </c>
      <c r="T1292" s="17" t="s">
        <v>800</v>
      </c>
      <c r="U1292" s="18" t="s">
        <v>5236</v>
      </c>
      <c r="V1292" s="17" t="s">
        <v>9418</v>
      </c>
      <c r="W1292" s="18" t="s">
        <v>5309</v>
      </c>
      <c r="X1292" s="69" t="s">
        <v>9453</v>
      </c>
      <c r="Y1292" s="70" t="s">
        <v>9462</v>
      </c>
      <c r="Z1292" s="73" t="s">
        <v>9486</v>
      </c>
      <c r="AA1292" s="74" t="s">
        <v>9504</v>
      </c>
      <c r="AB1292" s="73" t="s">
        <v>9486</v>
      </c>
      <c r="AC1292" s="74" t="s">
        <v>9562</v>
      </c>
      <c r="AD1292" s="73" t="s">
        <v>9578</v>
      </c>
      <c r="AE1292" s="74" t="s">
        <v>9579</v>
      </c>
    </row>
    <row r="1293" spans="1:31" ht="8.65" customHeight="1" x14ac:dyDescent="0.2">
      <c r="A1293" s="76">
        <v>1293</v>
      </c>
      <c r="B1293" s="67" t="str">
        <f>MID(C1293, FIND("Ifc.", C1293) + 4, 4) &amp; "_" &amp; TEXT(COUNTIF($C$2:C1293, C1293),"0000")</f>
        <v>Prop_1292</v>
      </c>
      <c r="C1293" s="24" t="s">
        <v>872</v>
      </c>
      <c r="D1293" s="69" t="s">
        <v>9453</v>
      </c>
      <c r="E1293" s="70" t="s">
        <v>9454</v>
      </c>
      <c r="F1293" s="17" t="s">
        <v>806</v>
      </c>
      <c r="G1293" s="22" t="s">
        <v>2041</v>
      </c>
      <c r="H1293" s="12" t="s">
        <v>9703</v>
      </c>
      <c r="I1293" s="13" t="s">
        <v>6618</v>
      </c>
      <c r="J1293" s="14" t="s">
        <v>798</v>
      </c>
      <c r="K1293" s="15" t="s">
        <v>798</v>
      </c>
      <c r="L1293" s="12" t="s">
        <v>5315</v>
      </c>
      <c r="M1293" s="13" t="s">
        <v>5481</v>
      </c>
      <c r="N1293" s="12" t="s">
        <v>803</v>
      </c>
      <c r="O1293" s="13" t="s">
        <v>5085</v>
      </c>
      <c r="P1293" s="17" t="s">
        <v>802</v>
      </c>
      <c r="Q1293" s="21" t="s">
        <v>7708</v>
      </c>
      <c r="R1293" s="17" t="s">
        <v>801</v>
      </c>
      <c r="S1293" s="18" t="s">
        <v>2585</v>
      </c>
      <c r="T1293" s="17" t="s">
        <v>800</v>
      </c>
      <c r="U1293" s="18" t="s">
        <v>5238</v>
      </c>
      <c r="V1293" s="17" t="s">
        <v>9418</v>
      </c>
      <c r="W1293" s="18" t="s">
        <v>5309</v>
      </c>
      <c r="X1293" s="69" t="s">
        <v>9453</v>
      </c>
      <c r="Y1293" s="70" t="s">
        <v>9462</v>
      </c>
      <c r="Z1293" s="73" t="s">
        <v>9486</v>
      </c>
      <c r="AA1293" s="74" t="s">
        <v>9504</v>
      </c>
      <c r="AB1293" s="73" t="s">
        <v>9486</v>
      </c>
      <c r="AC1293" s="74" t="s">
        <v>9566</v>
      </c>
      <c r="AD1293" s="73" t="s">
        <v>9578</v>
      </c>
      <c r="AE1293" s="74" t="s">
        <v>9579</v>
      </c>
    </row>
    <row r="1294" spans="1:31" ht="8.65" customHeight="1" x14ac:dyDescent="0.2">
      <c r="A1294" s="76">
        <v>1294</v>
      </c>
      <c r="B1294" s="67" t="str">
        <f>MID(C1294, FIND("Ifc.", C1294) + 4, 4) &amp; "_" &amp; TEXT(COUNTIF($C$2:C1294, C1294),"0000")</f>
        <v>Prop_1293</v>
      </c>
      <c r="C1294" s="24" t="s">
        <v>872</v>
      </c>
      <c r="D1294" s="69" t="s">
        <v>9453</v>
      </c>
      <c r="E1294" s="70" t="s">
        <v>9454</v>
      </c>
      <c r="F1294" s="17" t="s">
        <v>806</v>
      </c>
      <c r="G1294" s="22" t="s">
        <v>1751</v>
      </c>
      <c r="H1294" s="12" t="s">
        <v>9703</v>
      </c>
      <c r="I1294" s="13" t="s">
        <v>7650</v>
      </c>
      <c r="J1294" s="14" t="s">
        <v>798</v>
      </c>
      <c r="K1294" s="15" t="s">
        <v>798</v>
      </c>
      <c r="L1294" s="12" t="s">
        <v>5315</v>
      </c>
      <c r="M1294" s="13" t="s">
        <v>5932</v>
      </c>
      <c r="N1294" s="12" t="s">
        <v>803</v>
      </c>
      <c r="O1294" s="13" t="s">
        <v>5006</v>
      </c>
      <c r="P1294" s="17" t="s">
        <v>802</v>
      </c>
      <c r="Q1294" s="21" t="s">
        <v>7968</v>
      </c>
      <c r="R1294" s="17" t="s">
        <v>801</v>
      </c>
      <c r="S1294" s="18" t="s">
        <v>2559</v>
      </c>
      <c r="T1294" s="17" t="s">
        <v>800</v>
      </c>
      <c r="U1294" s="18" t="s">
        <v>5234</v>
      </c>
      <c r="V1294" s="17" t="s">
        <v>9418</v>
      </c>
      <c r="W1294" s="18" t="s">
        <v>5309</v>
      </c>
      <c r="X1294" s="69" t="s">
        <v>9453</v>
      </c>
      <c r="Y1294" s="70" t="s">
        <v>9462</v>
      </c>
      <c r="Z1294" s="73" t="s">
        <v>9486</v>
      </c>
      <c r="AA1294" s="74" t="s">
        <v>9504</v>
      </c>
      <c r="AB1294" s="73" t="s">
        <v>9486</v>
      </c>
      <c r="AC1294" s="74" t="s">
        <v>9562</v>
      </c>
      <c r="AD1294" s="73" t="s">
        <v>9578</v>
      </c>
      <c r="AE1294" s="74" t="s">
        <v>9579</v>
      </c>
    </row>
    <row r="1295" spans="1:31" ht="8.65" customHeight="1" x14ac:dyDescent="0.2">
      <c r="A1295" s="76">
        <v>1295</v>
      </c>
      <c r="B1295" s="67" t="str">
        <f>MID(C1295, FIND("Ifc.", C1295) + 4, 4) &amp; "_" &amp; TEXT(COUNTIF($C$2:C1295, C1295),"0000")</f>
        <v>Prop_1294</v>
      </c>
      <c r="C1295" s="24" t="s">
        <v>872</v>
      </c>
      <c r="D1295" s="69" t="s">
        <v>9453</v>
      </c>
      <c r="E1295" s="70" t="s">
        <v>9454</v>
      </c>
      <c r="F1295" s="17" t="s">
        <v>806</v>
      </c>
      <c r="G1295" s="22" t="s">
        <v>2091</v>
      </c>
      <c r="H1295" s="12" t="s">
        <v>9703</v>
      </c>
      <c r="I1295" s="13" t="s">
        <v>7345</v>
      </c>
      <c r="J1295" s="14" t="s">
        <v>798</v>
      </c>
      <c r="K1295" s="15" t="s">
        <v>798</v>
      </c>
      <c r="L1295" s="12" t="s">
        <v>5315</v>
      </c>
      <c r="M1295" s="13" t="s">
        <v>5489</v>
      </c>
      <c r="N1295" s="12" t="s">
        <v>803</v>
      </c>
      <c r="O1295" s="13" t="s">
        <v>5097</v>
      </c>
      <c r="P1295" s="17" t="s">
        <v>802</v>
      </c>
      <c r="Q1295" s="21" t="s">
        <v>7835</v>
      </c>
      <c r="R1295" s="17" t="s">
        <v>801</v>
      </c>
      <c r="S1295" s="18" t="s">
        <v>2565</v>
      </c>
      <c r="T1295" s="17" t="s">
        <v>800</v>
      </c>
      <c r="U1295" s="18" t="s">
        <v>5248</v>
      </c>
      <c r="V1295" s="17" t="s">
        <v>9418</v>
      </c>
      <c r="W1295" s="18" t="s">
        <v>5309</v>
      </c>
      <c r="X1295" s="69" t="s">
        <v>9453</v>
      </c>
      <c r="Y1295" s="70" t="s">
        <v>9462</v>
      </c>
      <c r="Z1295" s="73" t="s">
        <v>9486</v>
      </c>
      <c r="AA1295" s="74" t="s">
        <v>9504</v>
      </c>
      <c r="AB1295" s="73" t="s">
        <v>9486</v>
      </c>
      <c r="AC1295" s="74" t="s">
        <v>9562</v>
      </c>
      <c r="AD1295" s="73" t="s">
        <v>9578</v>
      </c>
      <c r="AE1295" s="74" t="s">
        <v>9579</v>
      </c>
    </row>
    <row r="1296" spans="1:31" ht="8.65" customHeight="1" x14ac:dyDescent="0.2">
      <c r="A1296" s="76">
        <v>1296</v>
      </c>
      <c r="B1296" s="67" t="str">
        <f>MID(C1296, FIND("Ifc.", C1296) + 4, 4) &amp; "_" &amp; TEXT(COUNTIF($C$2:C1296, C1296),"0000")</f>
        <v>Prop_1295</v>
      </c>
      <c r="C1296" s="24" t="s">
        <v>872</v>
      </c>
      <c r="D1296" s="69" t="s">
        <v>9453</v>
      </c>
      <c r="E1296" s="70" t="s">
        <v>9454</v>
      </c>
      <c r="F1296" s="17" t="s">
        <v>806</v>
      </c>
      <c r="G1296" s="22" t="s">
        <v>1424</v>
      </c>
      <c r="H1296" s="12" t="s">
        <v>9703</v>
      </c>
      <c r="I1296" s="13" t="s">
        <v>6300</v>
      </c>
      <c r="J1296" s="14" t="s">
        <v>798</v>
      </c>
      <c r="K1296" s="15" t="s">
        <v>798</v>
      </c>
      <c r="L1296" s="12" t="s">
        <v>5315</v>
      </c>
      <c r="M1296" s="13" t="s">
        <v>6032</v>
      </c>
      <c r="N1296" s="12" t="s">
        <v>803</v>
      </c>
      <c r="O1296" s="13" t="s">
        <v>4933</v>
      </c>
      <c r="P1296" s="17" t="s">
        <v>802</v>
      </c>
      <c r="Q1296" s="21" t="s">
        <v>7917</v>
      </c>
      <c r="R1296" s="17" t="s">
        <v>801</v>
      </c>
      <c r="S1296" s="18" t="s">
        <v>2554</v>
      </c>
      <c r="T1296" s="17" t="s">
        <v>800</v>
      </c>
      <c r="U1296" s="18" t="s">
        <v>5233</v>
      </c>
      <c r="V1296" s="17" t="s">
        <v>9418</v>
      </c>
      <c r="W1296" s="18" t="s">
        <v>5309</v>
      </c>
      <c r="X1296" s="69" t="s">
        <v>9453</v>
      </c>
      <c r="Y1296" s="70" t="s">
        <v>9462</v>
      </c>
      <c r="Z1296" s="73" t="s">
        <v>9486</v>
      </c>
      <c r="AA1296" s="74" t="s">
        <v>9504</v>
      </c>
      <c r="AB1296" s="73" t="s">
        <v>9486</v>
      </c>
      <c r="AC1296" s="74" t="s">
        <v>9562</v>
      </c>
      <c r="AD1296" s="73" t="s">
        <v>9578</v>
      </c>
      <c r="AE1296" s="74" t="s">
        <v>9579</v>
      </c>
    </row>
    <row r="1297" spans="1:31" ht="8.65" customHeight="1" x14ac:dyDescent="0.2">
      <c r="A1297" s="76">
        <v>1297</v>
      </c>
      <c r="B1297" s="67" t="str">
        <f>MID(C1297, FIND("Ifc.", C1297) + 4, 4) &amp; "_" &amp; TEXT(COUNTIF($C$2:C1297, C1297),"0000")</f>
        <v>Prop_1296</v>
      </c>
      <c r="C1297" s="24" t="s">
        <v>872</v>
      </c>
      <c r="D1297" s="69" t="s">
        <v>9453</v>
      </c>
      <c r="E1297" s="70" t="s">
        <v>9454</v>
      </c>
      <c r="F1297" s="17" t="s">
        <v>806</v>
      </c>
      <c r="G1297" s="22" t="s">
        <v>1361</v>
      </c>
      <c r="H1297" s="12" t="s">
        <v>9703</v>
      </c>
      <c r="I1297" s="13" t="s">
        <v>6283</v>
      </c>
      <c r="J1297" s="14" t="s">
        <v>798</v>
      </c>
      <c r="K1297" s="15" t="s">
        <v>798</v>
      </c>
      <c r="L1297" s="12" t="s">
        <v>5315</v>
      </c>
      <c r="M1297" s="13" t="s">
        <v>6031</v>
      </c>
      <c r="N1297" s="12" t="s">
        <v>803</v>
      </c>
      <c r="O1297" s="13" t="s">
        <v>4919</v>
      </c>
      <c r="P1297" s="17" t="s">
        <v>802</v>
      </c>
      <c r="Q1297" s="21" t="s">
        <v>7818</v>
      </c>
      <c r="R1297" s="17" t="s">
        <v>801</v>
      </c>
      <c r="S1297" s="18" t="s">
        <v>2554</v>
      </c>
      <c r="T1297" s="17" t="s">
        <v>800</v>
      </c>
      <c r="U1297" s="18" t="s">
        <v>5233</v>
      </c>
      <c r="V1297" s="17" t="s">
        <v>9418</v>
      </c>
      <c r="W1297" s="18" t="s">
        <v>5309</v>
      </c>
      <c r="X1297" s="69" t="s">
        <v>9453</v>
      </c>
      <c r="Y1297" s="70" t="s">
        <v>9462</v>
      </c>
      <c r="Z1297" s="73" t="s">
        <v>9486</v>
      </c>
      <c r="AA1297" s="74" t="s">
        <v>9504</v>
      </c>
      <c r="AB1297" s="73" t="s">
        <v>9486</v>
      </c>
      <c r="AC1297" s="74" t="s">
        <v>9562</v>
      </c>
      <c r="AD1297" s="73" t="s">
        <v>9578</v>
      </c>
      <c r="AE1297" s="74" t="s">
        <v>9579</v>
      </c>
    </row>
    <row r="1298" spans="1:31" ht="8.65" customHeight="1" x14ac:dyDescent="0.2">
      <c r="A1298" s="76">
        <v>1298</v>
      </c>
      <c r="B1298" s="67" t="str">
        <f>MID(C1298, FIND("Ifc.", C1298) + 4, 4) &amp; "_" &amp; TEXT(COUNTIF($C$2:C1298, C1298),"0000")</f>
        <v>Prop_1297</v>
      </c>
      <c r="C1298" s="24" t="s">
        <v>872</v>
      </c>
      <c r="D1298" s="69" t="s">
        <v>9453</v>
      </c>
      <c r="E1298" s="70" t="s">
        <v>9454</v>
      </c>
      <c r="F1298" s="17" t="s">
        <v>806</v>
      </c>
      <c r="G1298" s="22" t="s">
        <v>1960</v>
      </c>
      <c r="H1298" s="12" t="s">
        <v>9703</v>
      </c>
      <c r="I1298" s="13" t="s">
        <v>7343</v>
      </c>
      <c r="J1298" s="14" t="s">
        <v>798</v>
      </c>
      <c r="K1298" s="15" t="s">
        <v>798</v>
      </c>
      <c r="L1298" s="12" t="s">
        <v>5315</v>
      </c>
      <c r="M1298" s="13" t="s">
        <v>5472</v>
      </c>
      <c r="N1298" s="12" t="s">
        <v>803</v>
      </c>
      <c r="O1298" s="13" t="s">
        <v>5067</v>
      </c>
      <c r="P1298" s="17" t="s">
        <v>802</v>
      </c>
      <c r="Q1298" s="21" t="s">
        <v>7791</v>
      </c>
      <c r="R1298" s="17" t="s">
        <v>801</v>
      </c>
      <c r="S1298" s="18" t="s">
        <v>2565</v>
      </c>
      <c r="T1298" s="17" t="s">
        <v>800</v>
      </c>
      <c r="U1298" s="18" t="s">
        <v>5248</v>
      </c>
      <c r="V1298" s="17" t="s">
        <v>9418</v>
      </c>
      <c r="W1298" s="18" t="s">
        <v>5309</v>
      </c>
      <c r="X1298" s="69" t="s">
        <v>9453</v>
      </c>
      <c r="Y1298" s="70" t="s">
        <v>9462</v>
      </c>
      <c r="Z1298" s="73" t="s">
        <v>9486</v>
      </c>
      <c r="AA1298" s="74" t="s">
        <v>9504</v>
      </c>
      <c r="AB1298" s="73" t="s">
        <v>9486</v>
      </c>
      <c r="AC1298" s="74" t="s">
        <v>9562</v>
      </c>
      <c r="AD1298" s="73" t="s">
        <v>9578</v>
      </c>
      <c r="AE1298" s="74" t="s">
        <v>9579</v>
      </c>
    </row>
    <row r="1299" spans="1:31" ht="8.65" customHeight="1" x14ac:dyDescent="0.2">
      <c r="A1299" s="76">
        <v>1299</v>
      </c>
      <c r="B1299" s="67" t="str">
        <f>MID(C1299, FIND("Ifc.", C1299) + 4, 4) &amp; "_" &amp; TEXT(COUNTIF($C$2:C1299, C1299),"0000")</f>
        <v>Prop_1298</v>
      </c>
      <c r="C1299" s="24" t="s">
        <v>872</v>
      </c>
      <c r="D1299" s="69" t="s">
        <v>9453</v>
      </c>
      <c r="E1299" s="70" t="s">
        <v>9454</v>
      </c>
      <c r="F1299" s="17" t="s">
        <v>806</v>
      </c>
      <c r="G1299" s="22" t="s">
        <v>1426</v>
      </c>
      <c r="H1299" s="12" t="s">
        <v>9703</v>
      </c>
      <c r="I1299" s="13" t="s">
        <v>7346</v>
      </c>
      <c r="J1299" s="14" t="s">
        <v>798</v>
      </c>
      <c r="K1299" s="15" t="s">
        <v>798</v>
      </c>
      <c r="L1299" s="12" t="s">
        <v>5315</v>
      </c>
      <c r="M1299" s="13" t="s">
        <v>6032</v>
      </c>
      <c r="N1299" s="12" t="s">
        <v>803</v>
      </c>
      <c r="O1299" s="13" t="s">
        <v>4933</v>
      </c>
      <c r="P1299" s="17" t="s">
        <v>802</v>
      </c>
      <c r="Q1299" s="21" t="s">
        <v>7917</v>
      </c>
      <c r="R1299" s="17" t="s">
        <v>801</v>
      </c>
      <c r="S1299" s="18" t="s">
        <v>2559</v>
      </c>
      <c r="T1299" s="17" t="s">
        <v>800</v>
      </c>
      <c r="U1299" s="18" t="s">
        <v>5234</v>
      </c>
      <c r="V1299" s="17" t="s">
        <v>9418</v>
      </c>
      <c r="W1299" s="18" t="s">
        <v>5309</v>
      </c>
      <c r="X1299" s="69" t="s">
        <v>9453</v>
      </c>
      <c r="Y1299" s="70" t="s">
        <v>9462</v>
      </c>
      <c r="Z1299" s="73" t="s">
        <v>9486</v>
      </c>
      <c r="AA1299" s="74" t="s">
        <v>9504</v>
      </c>
      <c r="AB1299" s="73" t="s">
        <v>9486</v>
      </c>
      <c r="AC1299" s="74" t="s">
        <v>9562</v>
      </c>
      <c r="AD1299" s="73" t="s">
        <v>9578</v>
      </c>
      <c r="AE1299" s="74" t="s">
        <v>9579</v>
      </c>
    </row>
    <row r="1300" spans="1:31" ht="8.65" customHeight="1" x14ac:dyDescent="0.2">
      <c r="A1300" s="76">
        <v>1300</v>
      </c>
      <c r="B1300" s="67" t="str">
        <f>MID(C1300, FIND("Ifc.", C1300) + 4, 4) &amp; "_" &amp; TEXT(COUNTIF($C$2:C1300, C1300),"0000")</f>
        <v>Prop_1299</v>
      </c>
      <c r="C1300" s="24" t="s">
        <v>872</v>
      </c>
      <c r="D1300" s="69" t="s">
        <v>9453</v>
      </c>
      <c r="E1300" s="70" t="s">
        <v>9454</v>
      </c>
      <c r="F1300" s="17" t="s">
        <v>806</v>
      </c>
      <c r="G1300" s="22" t="s">
        <v>1426</v>
      </c>
      <c r="H1300" s="12" t="s">
        <v>9703</v>
      </c>
      <c r="I1300" s="13" t="s">
        <v>7346</v>
      </c>
      <c r="J1300" s="14" t="s">
        <v>798</v>
      </c>
      <c r="K1300" s="15" t="s">
        <v>798</v>
      </c>
      <c r="L1300" s="12" t="s">
        <v>5315</v>
      </c>
      <c r="M1300" s="13" t="s">
        <v>5853</v>
      </c>
      <c r="N1300" s="12" t="s">
        <v>803</v>
      </c>
      <c r="O1300" s="13" t="s">
        <v>5064</v>
      </c>
      <c r="P1300" s="17" t="s">
        <v>802</v>
      </c>
      <c r="Q1300" s="21" t="s">
        <v>7834</v>
      </c>
      <c r="R1300" s="17" t="s">
        <v>801</v>
      </c>
      <c r="S1300" s="18" t="s">
        <v>2559</v>
      </c>
      <c r="T1300" s="17" t="s">
        <v>800</v>
      </c>
      <c r="U1300" s="18" t="s">
        <v>5234</v>
      </c>
      <c r="V1300" s="17" t="s">
        <v>9418</v>
      </c>
      <c r="W1300" s="18" t="s">
        <v>5309</v>
      </c>
      <c r="X1300" s="69" t="s">
        <v>9453</v>
      </c>
      <c r="Y1300" s="70" t="s">
        <v>9462</v>
      </c>
      <c r="Z1300" s="73" t="s">
        <v>9486</v>
      </c>
      <c r="AA1300" s="74" t="s">
        <v>9504</v>
      </c>
      <c r="AB1300" s="73" t="s">
        <v>9486</v>
      </c>
      <c r="AC1300" s="74" t="s">
        <v>9562</v>
      </c>
      <c r="AD1300" s="73" t="s">
        <v>9578</v>
      </c>
      <c r="AE1300" s="74" t="s">
        <v>9579</v>
      </c>
    </row>
    <row r="1301" spans="1:31" ht="8.65" customHeight="1" x14ac:dyDescent="0.2">
      <c r="A1301" s="76">
        <v>1301</v>
      </c>
      <c r="B1301" s="67" t="str">
        <f>MID(C1301, FIND("Ifc.", C1301) + 4, 4) &amp; "_" &amp; TEXT(COUNTIF($C$2:C1301, C1301),"0000")</f>
        <v>Prop_1300</v>
      </c>
      <c r="C1301" s="24" t="s">
        <v>872</v>
      </c>
      <c r="D1301" s="69" t="s">
        <v>9453</v>
      </c>
      <c r="E1301" s="70" t="s">
        <v>9454</v>
      </c>
      <c r="F1301" s="17" t="s">
        <v>806</v>
      </c>
      <c r="G1301" s="22" t="s">
        <v>2172</v>
      </c>
      <c r="H1301" s="12" t="s">
        <v>9703</v>
      </c>
      <c r="I1301" s="13" t="s">
        <v>7323</v>
      </c>
      <c r="J1301" s="14" t="s">
        <v>798</v>
      </c>
      <c r="K1301" s="15" t="s">
        <v>798</v>
      </c>
      <c r="L1301" s="12" t="s">
        <v>5315</v>
      </c>
      <c r="M1301" s="13" t="s">
        <v>5501</v>
      </c>
      <c r="N1301" s="12" t="s">
        <v>803</v>
      </c>
      <c r="O1301" s="13" t="s">
        <v>5115</v>
      </c>
      <c r="P1301" s="17" t="s">
        <v>802</v>
      </c>
      <c r="Q1301" s="21" t="s">
        <v>7762</v>
      </c>
      <c r="R1301" s="17" t="s">
        <v>801</v>
      </c>
      <c r="S1301" s="18" t="s">
        <v>2589</v>
      </c>
      <c r="T1301" s="17" t="s">
        <v>800</v>
      </c>
      <c r="U1301" s="18" t="s">
        <v>5258</v>
      </c>
      <c r="V1301" s="17" t="s">
        <v>9418</v>
      </c>
      <c r="W1301" s="18" t="s">
        <v>5309</v>
      </c>
      <c r="X1301" s="69" t="s">
        <v>9453</v>
      </c>
      <c r="Y1301" s="70" t="s">
        <v>9462</v>
      </c>
      <c r="Z1301" s="73" t="s">
        <v>9486</v>
      </c>
      <c r="AA1301" s="74" t="s">
        <v>9504</v>
      </c>
      <c r="AB1301" s="73" t="s">
        <v>9486</v>
      </c>
      <c r="AC1301" s="74" t="s">
        <v>9566</v>
      </c>
      <c r="AD1301" s="73" t="s">
        <v>9578</v>
      </c>
      <c r="AE1301" s="74" t="s">
        <v>9579</v>
      </c>
    </row>
    <row r="1302" spans="1:31" ht="8.65" customHeight="1" x14ac:dyDescent="0.2">
      <c r="A1302" s="76">
        <v>1302</v>
      </c>
      <c r="B1302" s="67" t="str">
        <f>MID(C1302, FIND("Ifc.", C1302) + 4, 4) &amp; "_" &amp; TEXT(COUNTIF($C$2:C1302, C1302),"0000")</f>
        <v>Prop_1301</v>
      </c>
      <c r="C1302" s="24" t="s">
        <v>872</v>
      </c>
      <c r="D1302" s="69" t="s">
        <v>9453</v>
      </c>
      <c r="E1302" s="70" t="s">
        <v>9454</v>
      </c>
      <c r="F1302" s="17" t="s">
        <v>806</v>
      </c>
      <c r="G1302" s="22" t="s">
        <v>1179</v>
      </c>
      <c r="H1302" s="12" t="s">
        <v>9703</v>
      </c>
      <c r="I1302" s="13" t="s">
        <v>6213</v>
      </c>
      <c r="J1302" s="14" t="s">
        <v>798</v>
      </c>
      <c r="K1302" s="15" t="s">
        <v>798</v>
      </c>
      <c r="L1302" s="12" t="s">
        <v>5315</v>
      </c>
      <c r="M1302" s="13" t="s">
        <v>5399</v>
      </c>
      <c r="N1302" s="12" t="s">
        <v>803</v>
      </c>
      <c r="O1302" s="13" t="s">
        <v>4874</v>
      </c>
      <c r="P1302" s="17" t="s">
        <v>802</v>
      </c>
      <c r="Q1302" s="21" t="s">
        <v>7875</v>
      </c>
      <c r="R1302" s="17" t="s">
        <v>801</v>
      </c>
      <c r="S1302" s="18" t="s">
        <v>2669</v>
      </c>
      <c r="T1302" s="17" t="s">
        <v>800</v>
      </c>
      <c r="U1302" s="18" t="s">
        <v>5237</v>
      </c>
      <c r="V1302" s="17" t="s">
        <v>9418</v>
      </c>
      <c r="W1302" s="18" t="s">
        <v>5309</v>
      </c>
      <c r="X1302" s="69" t="s">
        <v>9453</v>
      </c>
      <c r="Y1302" s="70" t="s">
        <v>9462</v>
      </c>
      <c r="Z1302" s="73" t="s">
        <v>9486</v>
      </c>
      <c r="AA1302" s="74" t="s">
        <v>9504</v>
      </c>
      <c r="AB1302" s="73" t="s">
        <v>9486</v>
      </c>
      <c r="AC1302" s="74" t="s">
        <v>9562</v>
      </c>
      <c r="AD1302" s="73" t="s">
        <v>9578</v>
      </c>
      <c r="AE1302" s="74" t="s">
        <v>9579</v>
      </c>
    </row>
    <row r="1303" spans="1:31" ht="8.65" customHeight="1" x14ac:dyDescent="0.2">
      <c r="A1303" s="76">
        <v>1303</v>
      </c>
      <c r="B1303" s="67" t="str">
        <f>MID(C1303, FIND("Ifc.", C1303) + 4, 4) &amp; "_" &amp; TEXT(COUNTIF($C$2:C1303, C1303),"0000")</f>
        <v>Prop_1302</v>
      </c>
      <c r="C1303" s="24" t="s">
        <v>872</v>
      </c>
      <c r="D1303" s="69" t="s">
        <v>9453</v>
      </c>
      <c r="E1303" s="70" t="s">
        <v>9454</v>
      </c>
      <c r="F1303" s="17" t="s">
        <v>806</v>
      </c>
      <c r="G1303" s="22" t="s">
        <v>1200</v>
      </c>
      <c r="H1303" s="12" t="s">
        <v>9703</v>
      </c>
      <c r="I1303" s="13" t="s">
        <v>6911</v>
      </c>
      <c r="J1303" s="14" t="s">
        <v>798</v>
      </c>
      <c r="K1303" s="15" t="s">
        <v>798</v>
      </c>
      <c r="L1303" s="12" t="s">
        <v>5315</v>
      </c>
      <c r="M1303" s="13" t="s">
        <v>5821</v>
      </c>
      <c r="N1303" s="12" t="s">
        <v>803</v>
      </c>
      <c r="O1303" s="13" t="s">
        <v>4882</v>
      </c>
      <c r="P1303" s="17" t="s">
        <v>802</v>
      </c>
      <c r="Q1303" s="21" t="s">
        <v>8000</v>
      </c>
      <c r="R1303" s="17" t="s">
        <v>801</v>
      </c>
      <c r="S1303" s="18" t="s">
        <v>2554</v>
      </c>
      <c r="T1303" s="17" t="s">
        <v>800</v>
      </c>
      <c r="U1303" s="18" t="s">
        <v>5233</v>
      </c>
      <c r="V1303" s="17" t="s">
        <v>9418</v>
      </c>
      <c r="W1303" s="18" t="s">
        <v>5310</v>
      </c>
      <c r="X1303" s="69" t="s">
        <v>9453</v>
      </c>
      <c r="Y1303" s="70" t="s">
        <v>9463</v>
      </c>
      <c r="Z1303" s="73" t="s">
        <v>9486</v>
      </c>
      <c r="AA1303" s="74" t="s">
        <v>9504</v>
      </c>
      <c r="AB1303" s="73" t="s">
        <v>9486</v>
      </c>
      <c r="AC1303" s="74" t="s">
        <v>9562</v>
      </c>
      <c r="AD1303" s="73" t="s">
        <v>9578</v>
      </c>
      <c r="AE1303" s="74" t="s">
        <v>9579</v>
      </c>
    </row>
    <row r="1304" spans="1:31" ht="8.65" customHeight="1" x14ac:dyDescent="0.2">
      <c r="A1304" s="76">
        <v>1304</v>
      </c>
      <c r="B1304" s="67" t="str">
        <f>MID(C1304, FIND("Ifc.", C1304) + 4, 4) &amp; "_" &amp; TEXT(COUNTIF($C$2:C1304, C1304),"0000")</f>
        <v>Prop_1303</v>
      </c>
      <c r="C1304" s="24" t="s">
        <v>872</v>
      </c>
      <c r="D1304" s="69" t="s">
        <v>9453</v>
      </c>
      <c r="E1304" s="70" t="s">
        <v>9454</v>
      </c>
      <c r="F1304" s="17" t="s">
        <v>806</v>
      </c>
      <c r="G1304" s="22" t="s">
        <v>1449</v>
      </c>
      <c r="H1304" s="12" t="s">
        <v>9703</v>
      </c>
      <c r="I1304" s="13" t="s">
        <v>6323</v>
      </c>
      <c r="J1304" s="14" t="s">
        <v>798</v>
      </c>
      <c r="K1304" s="15" t="s">
        <v>798</v>
      </c>
      <c r="L1304" s="12" t="s">
        <v>5315</v>
      </c>
      <c r="M1304" s="13" t="s">
        <v>5826</v>
      </c>
      <c r="N1304" s="12" t="s">
        <v>803</v>
      </c>
      <c r="O1304" s="13" t="s">
        <v>4937</v>
      </c>
      <c r="P1304" s="17" t="s">
        <v>802</v>
      </c>
      <c r="Q1304" s="21" t="s">
        <v>7908</v>
      </c>
      <c r="R1304" s="17" t="s">
        <v>801</v>
      </c>
      <c r="S1304" s="18" t="s">
        <v>2621</v>
      </c>
      <c r="T1304" s="17" t="s">
        <v>800</v>
      </c>
      <c r="U1304" s="18" t="s">
        <v>5260</v>
      </c>
      <c r="V1304" s="17" t="s">
        <v>9418</v>
      </c>
      <c r="W1304" s="18" t="s">
        <v>5309</v>
      </c>
      <c r="X1304" s="69" t="s">
        <v>9453</v>
      </c>
      <c r="Y1304" s="70" t="s">
        <v>9462</v>
      </c>
      <c r="Z1304" s="73" t="s">
        <v>9486</v>
      </c>
      <c r="AA1304" s="74" t="s">
        <v>9504</v>
      </c>
      <c r="AB1304" s="73" t="s">
        <v>9486</v>
      </c>
      <c r="AC1304" s="74" t="s">
        <v>9566</v>
      </c>
      <c r="AD1304" s="73" t="s">
        <v>9578</v>
      </c>
      <c r="AE1304" s="74" t="s">
        <v>9579</v>
      </c>
    </row>
    <row r="1305" spans="1:31" ht="8.65" customHeight="1" x14ac:dyDescent="0.2">
      <c r="A1305" s="76">
        <v>1305</v>
      </c>
      <c r="B1305" s="67" t="str">
        <f>MID(C1305, FIND("Ifc.", C1305) + 4, 4) &amp; "_" &amp; TEXT(COUNTIF($C$2:C1305, C1305),"0000")</f>
        <v>Prop_1304</v>
      </c>
      <c r="C1305" s="24" t="s">
        <v>872</v>
      </c>
      <c r="D1305" s="69" t="s">
        <v>9453</v>
      </c>
      <c r="E1305" s="70" t="s">
        <v>9454</v>
      </c>
      <c r="F1305" s="17" t="s">
        <v>806</v>
      </c>
      <c r="G1305" s="22" t="s">
        <v>1206</v>
      </c>
      <c r="H1305" s="12" t="s">
        <v>9703</v>
      </c>
      <c r="I1305" s="13" t="s">
        <v>6486</v>
      </c>
      <c r="J1305" s="14" t="s">
        <v>798</v>
      </c>
      <c r="K1305" s="15" t="s">
        <v>798</v>
      </c>
      <c r="L1305" s="12" t="s">
        <v>5315</v>
      </c>
      <c r="M1305" s="13" t="s">
        <v>5821</v>
      </c>
      <c r="N1305" s="12" t="s">
        <v>803</v>
      </c>
      <c r="O1305" s="13" t="s">
        <v>4883</v>
      </c>
      <c r="P1305" s="17" t="s">
        <v>802</v>
      </c>
      <c r="Q1305" s="21" t="s">
        <v>7683</v>
      </c>
      <c r="R1305" s="17" t="s">
        <v>801</v>
      </c>
      <c r="S1305" s="18" t="s">
        <v>2554</v>
      </c>
      <c r="T1305" s="17" t="s">
        <v>800</v>
      </c>
      <c r="U1305" s="18" t="s">
        <v>5233</v>
      </c>
      <c r="V1305" s="17" t="s">
        <v>9418</v>
      </c>
      <c r="W1305" s="18" t="s">
        <v>5310</v>
      </c>
      <c r="X1305" s="69" t="s">
        <v>9453</v>
      </c>
      <c r="Y1305" s="70" t="s">
        <v>9463</v>
      </c>
      <c r="Z1305" s="73" t="s">
        <v>9486</v>
      </c>
      <c r="AA1305" s="74" t="s">
        <v>9504</v>
      </c>
      <c r="AB1305" s="73" t="s">
        <v>9486</v>
      </c>
      <c r="AC1305" s="74" t="s">
        <v>9562</v>
      </c>
      <c r="AD1305" s="73" t="s">
        <v>9578</v>
      </c>
      <c r="AE1305" s="74" t="s">
        <v>9579</v>
      </c>
    </row>
    <row r="1306" spans="1:31" ht="8.65" customHeight="1" x14ac:dyDescent="0.2">
      <c r="A1306" s="76">
        <v>1306</v>
      </c>
      <c r="B1306" s="67" t="str">
        <f>MID(C1306, FIND("Ifc.", C1306) + 4, 4) &amp; "_" &amp; TEXT(COUNTIF($C$2:C1306, C1306),"0000")</f>
        <v>Prop_1305</v>
      </c>
      <c r="C1306" s="24" t="s">
        <v>872</v>
      </c>
      <c r="D1306" s="69" t="s">
        <v>9453</v>
      </c>
      <c r="E1306" s="70" t="s">
        <v>9454</v>
      </c>
      <c r="F1306" s="17" t="s">
        <v>806</v>
      </c>
      <c r="G1306" s="22" t="s">
        <v>1317</v>
      </c>
      <c r="H1306" s="12" t="s">
        <v>9703</v>
      </c>
      <c r="I1306" s="13" t="s">
        <v>7651</v>
      </c>
      <c r="J1306" s="14" t="s">
        <v>798</v>
      </c>
      <c r="K1306" s="15" t="s">
        <v>798</v>
      </c>
      <c r="L1306" s="12" t="s">
        <v>5315</v>
      </c>
      <c r="M1306" s="13" t="s">
        <v>5409</v>
      </c>
      <c r="N1306" s="12" t="s">
        <v>803</v>
      </c>
      <c r="O1306" s="13" t="s">
        <v>4907</v>
      </c>
      <c r="P1306" s="17" t="s">
        <v>802</v>
      </c>
      <c r="Q1306" s="21" t="s">
        <v>7769</v>
      </c>
      <c r="R1306" s="17" t="s">
        <v>801</v>
      </c>
      <c r="S1306" s="18" t="s">
        <v>2560</v>
      </c>
      <c r="T1306" s="17" t="s">
        <v>800</v>
      </c>
      <c r="U1306" s="18" t="s">
        <v>5236</v>
      </c>
      <c r="V1306" s="17" t="s">
        <v>9418</v>
      </c>
      <c r="W1306" s="18" t="s">
        <v>5309</v>
      </c>
      <c r="X1306" s="69" t="s">
        <v>9453</v>
      </c>
      <c r="Y1306" s="70" t="s">
        <v>9462</v>
      </c>
      <c r="Z1306" s="73" t="s">
        <v>9486</v>
      </c>
      <c r="AA1306" s="74" t="s">
        <v>9504</v>
      </c>
      <c r="AB1306" s="73" t="s">
        <v>9486</v>
      </c>
      <c r="AC1306" s="74" t="s">
        <v>9562</v>
      </c>
      <c r="AD1306" s="73" t="s">
        <v>9578</v>
      </c>
      <c r="AE1306" s="74" t="s">
        <v>9579</v>
      </c>
    </row>
    <row r="1307" spans="1:31" ht="8.65" customHeight="1" x14ac:dyDescent="0.2">
      <c r="A1307" s="76">
        <v>1307</v>
      </c>
      <c r="B1307" s="67" t="str">
        <f>MID(C1307, FIND("Ifc.", C1307) + 4, 4) &amp; "_" &amp; TEXT(COUNTIF($C$2:C1307, C1307),"0000")</f>
        <v>Prop_1306</v>
      </c>
      <c r="C1307" s="24" t="s">
        <v>872</v>
      </c>
      <c r="D1307" s="69" t="s">
        <v>9453</v>
      </c>
      <c r="E1307" s="70" t="s">
        <v>9454</v>
      </c>
      <c r="F1307" s="17" t="s">
        <v>806</v>
      </c>
      <c r="G1307" s="22" t="s">
        <v>2418</v>
      </c>
      <c r="H1307" s="12" t="s">
        <v>9703</v>
      </c>
      <c r="I1307" s="13" t="s">
        <v>7349</v>
      </c>
      <c r="J1307" s="14" t="s">
        <v>798</v>
      </c>
      <c r="K1307" s="15" t="s">
        <v>798</v>
      </c>
      <c r="L1307" s="12" t="s">
        <v>5315</v>
      </c>
      <c r="M1307" s="13" t="s">
        <v>5568</v>
      </c>
      <c r="N1307" s="12" t="s">
        <v>803</v>
      </c>
      <c r="O1307" s="13" t="s">
        <v>5201</v>
      </c>
      <c r="P1307" s="17" t="s">
        <v>802</v>
      </c>
      <c r="Q1307" s="21" t="s">
        <v>7682</v>
      </c>
      <c r="R1307" s="17" t="s">
        <v>801</v>
      </c>
      <c r="S1307" s="18" t="s">
        <v>2554</v>
      </c>
      <c r="T1307" s="17" t="s">
        <v>800</v>
      </c>
      <c r="U1307" s="18" t="s">
        <v>5233</v>
      </c>
      <c r="V1307" s="17" t="s">
        <v>9418</v>
      </c>
      <c r="W1307" s="18" t="s">
        <v>5310</v>
      </c>
      <c r="X1307" s="69" t="s">
        <v>9453</v>
      </c>
      <c r="Y1307" s="70" t="s">
        <v>9463</v>
      </c>
      <c r="Z1307" s="73" t="s">
        <v>9486</v>
      </c>
      <c r="AA1307" s="74" t="s">
        <v>9504</v>
      </c>
      <c r="AB1307" s="73" t="s">
        <v>9486</v>
      </c>
      <c r="AC1307" s="74" t="s">
        <v>9562</v>
      </c>
      <c r="AD1307" s="73" t="s">
        <v>9578</v>
      </c>
      <c r="AE1307" s="74" t="s">
        <v>9579</v>
      </c>
    </row>
    <row r="1308" spans="1:31" ht="8.65" customHeight="1" x14ac:dyDescent="0.2">
      <c r="A1308" s="76">
        <v>1308</v>
      </c>
      <c r="B1308" s="67" t="str">
        <f>MID(C1308, FIND("Ifc.", C1308) + 4, 4) &amp; "_" &amp; TEXT(COUNTIF($C$2:C1308, C1308),"0000")</f>
        <v>Prop_1307</v>
      </c>
      <c r="C1308" s="24" t="s">
        <v>872</v>
      </c>
      <c r="D1308" s="69" t="s">
        <v>9453</v>
      </c>
      <c r="E1308" s="70" t="s">
        <v>9454</v>
      </c>
      <c r="F1308" s="17" t="s">
        <v>806</v>
      </c>
      <c r="G1308" s="22" t="s">
        <v>2481</v>
      </c>
      <c r="H1308" s="12" t="s">
        <v>9703</v>
      </c>
      <c r="I1308" s="13" t="s">
        <v>7350</v>
      </c>
      <c r="J1308" s="14" t="s">
        <v>798</v>
      </c>
      <c r="K1308" s="15" t="s">
        <v>798</v>
      </c>
      <c r="L1308" s="12" t="s">
        <v>5315</v>
      </c>
      <c r="M1308" s="13" t="s">
        <v>6003</v>
      </c>
      <c r="N1308" s="12" t="s">
        <v>803</v>
      </c>
      <c r="O1308" s="13" t="s">
        <v>5214</v>
      </c>
      <c r="P1308" s="17" t="s">
        <v>802</v>
      </c>
      <c r="Q1308" s="21" t="s">
        <v>7830</v>
      </c>
      <c r="R1308" s="17" t="s">
        <v>801</v>
      </c>
      <c r="S1308" s="18" t="s">
        <v>2554</v>
      </c>
      <c r="T1308" s="17" t="s">
        <v>800</v>
      </c>
      <c r="U1308" s="18" t="s">
        <v>5233</v>
      </c>
      <c r="V1308" s="17" t="s">
        <v>9418</v>
      </c>
      <c r="W1308" s="18" t="s">
        <v>5310</v>
      </c>
      <c r="X1308" s="69" t="s">
        <v>9453</v>
      </c>
      <c r="Y1308" s="70" t="s">
        <v>9463</v>
      </c>
      <c r="Z1308" s="73" t="s">
        <v>9486</v>
      </c>
      <c r="AA1308" s="74" t="s">
        <v>9504</v>
      </c>
      <c r="AB1308" s="73" t="s">
        <v>9486</v>
      </c>
      <c r="AC1308" s="74" t="s">
        <v>9562</v>
      </c>
      <c r="AD1308" s="73" t="s">
        <v>9578</v>
      </c>
      <c r="AE1308" s="74" t="s">
        <v>9579</v>
      </c>
    </row>
    <row r="1309" spans="1:31" ht="8.65" customHeight="1" x14ac:dyDescent="0.2">
      <c r="A1309" s="76">
        <v>1309</v>
      </c>
      <c r="B1309" s="67" t="str">
        <f>MID(C1309, FIND("Ifc.", C1309) + 4, 4) &amp; "_" &amp; TEXT(COUNTIF($C$2:C1309, C1309),"0000")</f>
        <v>Prop_1308</v>
      </c>
      <c r="C1309" s="24" t="s">
        <v>872</v>
      </c>
      <c r="D1309" s="69" t="s">
        <v>9453</v>
      </c>
      <c r="E1309" s="70" t="s">
        <v>9454</v>
      </c>
      <c r="F1309" s="17" t="s">
        <v>806</v>
      </c>
      <c r="G1309" s="22" t="s">
        <v>1207</v>
      </c>
      <c r="H1309" s="12" t="s">
        <v>9703</v>
      </c>
      <c r="I1309" s="13" t="s">
        <v>7652</v>
      </c>
      <c r="J1309" s="14" t="s">
        <v>798</v>
      </c>
      <c r="K1309" s="15" t="s">
        <v>798</v>
      </c>
      <c r="L1309" s="12" t="s">
        <v>5315</v>
      </c>
      <c r="M1309" s="13" t="s">
        <v>5821</v>
      </c>
      <c r="N1309" s="12" t="s">
        <v>803</v>
      </c>
      <c r="O1309" s="13" t="s">
        <v>4883</v>
      </c>
      <c r="P1309" s="17" t="s">
        <v>802</v>
      </c>
      <c r="Q1309" s="21" t="s">
        <v>7683</v>
      </c>
      <c r="R1309" s="17" t="s">
        <v>801</v>
      </c>
      <c r="S1309" s="18" t="s">
        <v>2554</v>
      </c>
      <c r="T1309" s="17" t="s">
        <v>800</v>
      </c>
      <c r="U1309" s="18" t="s">
        <v>5233</v>
      </c>
      <c r="V1309" s="17" t="s">
        <v>9418</v>
      </c>
      <c r="W1309" s="18" t="s">
        <v>5310</v>
      </c>
      <c r="X1309" s="69" t="s">
        <v>9453</v>
      </c>
      <c r="Y1309" s="70" t="s">
        <v>9463</v>
      </c>
      <c r="Z1309" s="73" t="s">
        <v>9486</v>
      </c>
      <c r="AA1309" s="74" t="s">
        <v>9504</v>
      </c>
      <c r="AB1309" s="73" t="s">
        <v>9486</v>
      </c>
      <c r="AC1309" s="74" t="s">
        <v>9562</v>
      </c>
      <c r="AD1309" s="73" t="s">
        <v>9578</v>
      </c>
      <c r="AE1309" s="74" t="s">
        <v>9579</v>
      </c>
    </row>
    <row r="1310" spans="1:31" ht="8.65" customHeight="1" x14ac:dyDescent="0.2">
      <c r="A1310" s="76">
        <v>1310</v>
      </c>
      <c r="B1310" s="67" t="str">
        <f>MID(C1310, FIND("Ifc.", C1310) + 4, 4) &amp; "_" &amp; TEXT(COUNTIF($C$2:C1310, C1310),"0000")</f>
        <v>Prop_1309</v>
      </c>
      <c r="C1310" s="24" t="s">
        <v>872</v>
      </c>
      <c r="D1310" s="69" t="s">
        <v>9453</v>
      </c>
      <c r="E1310" s="70" t="s">
        <v>9454</v>
      </c>
      <c r="F1310" s="17" t="s">
        <v>806</v>
      </c>
      <c r="G1310" s="22" t="s">
        <v>998</v>
      </c>
      <c r="H1310" s="12" t="s">
        <v>9703</v>
      </c>
      <c r="I1310" s="13" t="s">
        <v>7108</v>
      </c>
      <c r="J1310" s="14" t="s">
        <v>798</v>
      </c>
      <c r="K1310" s="15" t="s">
        <v>798</v>
      </c>
      <c r="L1310" s="12" t="s">
        <v>5315</v>
      </c>
      <c r="M1310" s="13" t="s">
        <v>6023</v>
      </c>
      <c r="N1310" s="12" t="s">
        <v>803</v>
      </c>
      <c r="O1310" s="13" t="s">
        <v>4831</v>
      </c>
      <c r="P1310" s="17" t="s">
        <v>802</v>
      </c>
      <c r="Q1310" s="21" t="s">
        <v>7790</v>
      </c>
      <c r="R1310" s="17" t="s">
        <v>801</v>
      </c>
      <c r="S1310" s="18" t="s">
        <v>2554</v>
      </c>
      <c r="T1310" s="17" t="s">
        <v>800</v>
      </c>
      <c r="U1310" s="18" t="s">
        <v>5233</v>
      </c>
      <c r="V1310" s="17" t="s">
        <v>9418</v>
      </c>
      <c r="W1310" s="18" t="s">
        <v>5310</v>
      </c>
      <c r="X1310" s="69" t="s">
        <v>9453</v>
      </c>
      <c r="Y1310" s="70" t="s">
        <v>9463</v>
      </c>
      <c r="Z1310" s="73" t="s">
        <v>9486</v>
      </c>
      <c r="AA1310" s="74" t="s">
        <v>9504</v>
      </c>
      <c r="AB1310" s="73" t="s">
        <v>9486</v>
      </c>
      <c r="AC1310" s="74" t="s">
        <v>9562</v>
      </c>
      <c r="AD1310" s="73" t="s">
        <v>9578</v>
      </c>
      <c r="AE1310" s="74" t="s">
        <v>9579</v>
      </c>
    </row>
    <row r="1311" spans="1:31" ht="8.65" customHeight="1" x14ac:dyDescent="0.2">
      <c r="A1311" s="76">
        <v>1311</v>
      </c>
      <c r="B1311" s="67" t="str">
        <f>MID(C1311, FIND("Ifc.", C1311) + 4, 4) &amp; "_" &amp; TEXT(COUNTIF($C$2:C1311, C1311),"0000")</f>
        <v>Prop_1310</v>
      </c>
      <c r="C1311" s="24" t="s">
        <v>872</v>
      </c>
      <c r="D1311" s="69" t="s">
        <v>9453</v>
      </c>
      <c r="E1311" s="70" t="s">
        <v>9454</v>
      </c>
      <c r="F1311" s="17" t="s">
        <v>806</v>
      </c>
      <c r="G1311" s="22" t="s">
        <v>952</v>
      </c>
      <c r="H1311" s="12" t="s">
        <v>9703</v>
      </c>
      <c r="I1311" s="13" t="s">
        <v>7103</v>
      </c>
      <c r="J1311" s="14" t="s">
        <v>798</v>
      </c>
      <c r="K1311" s="15" t="s">
        <v>798</v>
      </c>
      <c r="L1311" s="12" t="s">
        <v>5315</v>
      </c>
      <c r="M1311" s="13" t="s">
        <v>5991</v>
      </c>
      <c r="N1311" s="12" t="s">
        <v>803</v>
      </c>
      <c r="O1311" s="13" t="s">
        <v>4820</v>
      </c>
      <c r="P1311" s="17" t="s">
        <v>802</v>
      </c>
      <c r="Q1311" s="21" t="s">
        <v>8001</v>
      </c>
      <c r="R1311" s="17" t="s">
        <v>801</v>
      </c>
      <c r="S1311" s="18" t="s">
        <v>2559</v>
      </c>
      <c r="T1311" s="17" t="s">
        <v>800</v>
      </c>
      <c r="U1311" s="18" t="s">
        <v>5234</v>
      </c>
      <c r="V1311" s="17" t="s">
        <v>9418</v>
      </c>
      <c r="W1311" s="18" t="s">
        <v>5311</v>
      </c>
      <c r="X1311" s="69" t="s">
        <v>9453</v>
      </c>
      <c r="Y1311" s="70" t="s">
        <v>9466</v>
      </c>
      <c r="Z1311" s="73" t="s">
        <v>9486</v>
      </c>
      <c r="AA1311" s="74" t="s">
        <v>9504</v>
      </c>
      <c r="AB1311" s="73" t="s">
        <v>9486</v>
      </c>
      <c r="AC1311" s="74" t="s">
        <v>9562</v>
      </c>
      <c r="AD1311" s="73" t="s">
        <v>9578</v>
      </c>
      <c r="AE1311" s="74" t="s">
        <v>9579</v>
      </c>
    </row>
    <row r="1312" spans="1:31" ht="8.65" customHeight="1" x14ac:dyDescent="0.2">
      <c r="A1312" s="76">
        <v>1312</v>
      </c>
      <c r="B1312" s="67" t="str">
        <f>MID(C1312, FIND("Ifc.", C1312) + 4, 4) &amp; "_" &amp; TEXT(COUNTIF($C$2:C1312, C1312),"0000")</f>
        <v>Prop_1311</v>
      </c>
      <c r="C1312" s="24" t="s">
        <v>872</v>
      </c>
      <c r="D1312" s="69" t="s">
        <v>9453</v>
      </c>
      <c r="E1312" s="70" t="s">
        <v>9454</v>
      </c>
      <c r="F1312" s="17" t="s">
        <v>806</v>
      </c>
      <c r="G1312" s="22" t="s">
        <v>1154</v>
      </c>
      <c r="H1312" s="12" t="s">
        <v>9703</v>
      </c>
      <c r="I1312" s="13" t="s">
        <v>6202</v>
      </c>
      <c r="J1312" s="14" t="s">
        <v>798</v>
      </c>
      <c r="K1312" s="15" t="s">
        <v>798</v>
      </c>
      <c r="L1312" s="12" t="s">
        <v>5315</v>
      </c>
      <c r="M1312" s="13" t="s">
        <v>6044</v>
      </c>
      <c r="N1312" s="12" t="s">
        <v>803</v>
      </c>
      <c r="O1312" s="13" t="s">
        <v>4871</v>
      </c>
      <c r="P1312" s="17" t="s">
        <v>802</v>
      </c>
      <c r="Q1312" s="21" t="s">
        <v>7933</v>
      </c>
      <c r="R1312" s="17" t="s">
        <v>801</v>
      </c>
      <c r="S1312" s="18" t="s">
        <v>2554</v>
      </c>
      <c r="T1312" s="17" t="s">
        <v>800</v>
      </c>
      <c r="U1312" s="18" t="s">
        <v>5233</v>
      </c>
      <c r="V1312" s="17" t="s">
        <v>9418</v>
      </c>
      <c r="W1312" s="18" t="s">
        <v>5309</v>
      </c>
      <c r="X1312" s="69" t="s">
        <v>9453</v>
      </c>
      <c r="Y1312" s="70" t="s">
        <v>9462</v>
      </c>
      <c r="Z1312" s="73" t="s">
        <v>9486</v>
      </c>
      <c r="AA1312" s="74" t="s">
        <v>9504</v>
      </c>
      <c r="AB1312" s="73" t="s">
        <v>9486</v>
      </c>
      <c r="AC1312" s="74" t="s">
        <v>9562</v>
      </c>
      <c r="AD1312" s="73" t="s">
        <v>9578</v>
      </c>
      <c r="AE1312" s="74" t="s">
        <v>9579</v>
      </c>
    </row>
    <row r="1313" spans="1:31" ht="8.65" customHeight="1" x14ac:dyDescent="0.2">
      <c r="A1313" s="76">
        <v>1313</v>
      </c>
      <c r="B1313" s="67" t="str">
        <f>MID(C1313, FIND("Ifc.", C1313) + 4, 4) &amp; "_" &amp; TEXT(COUNTIF($C$2:C1313, C1313),"0000")</f>
        <v>Prop_1312</v>
      </c>
      <c r="C1313" s="24" t="s">
        <v>872</v>
      </c>
      <c r="D1313" s="69" t="s">
        <v>9453</v>
      </c>
      <c r="E1313" s="70" t="s">
        <v>9454</v>
      </c>
      <c r="F1313" s="17" t="s">
        <v>806</v>
      </c>
      <c r="G1313" s="22" t="s">
        <v>2364</v>
      </c>
      <c r="H1313" s="12" t="s">
        <v>9703</v>
      </c>
      <c r="I1313" s="13" t="s">
        <v>6751</v>
      </c>
      <c r="J1313" s="14" t="s">
        <v>798</v>
      </c>
      <c r="K1313" s="15" t="s">
        <v>798</v>
      </c>
      <c r="L1313" s="12" t="s">
        <v>5315</v>
      </c>
      <c r="M1313" s="13" t="s">
        <v>5781</v>
      </c>
      <c r="N1313" s="12" t="s">
        <v>803</v>
      </c>
      <c r="O1313" s="13" t="s">
        <v>5180</v>
      </c>
      <c r="P1313" s="17" t="s">
        <v>802</v>
      </c>
      <c r="Q1313" s="21" t="s">
        <v>7699</v>
      </c>
      <c r="R1313" s="17" t="s">
        <v>801</v>
      </c>
      <c r="S1313" s="18" t="s">
        <v>2554</v>
      </c>
      <c r="T1313" s="17" t="s">
        <v>800</v>
      </c>
      <c r="U1313" s="18" t="s">
        <v>5233</v>
      </c>
      <c r="V1313" s="17" t="s">
        <v>9418</v>
      </c>
      <c r="W1313" s="18" t="s">
        <v>5310</v>
      </c>
      <c r="X1313" s="69" t="s">
        <v>9453</v>
      </c>
      <c r="Y1313" s="70" t="s">
        <v>9463</v>
      </c>
      <c r="Z1313" s="73" t="s">
        <v>9486</v>
      </c>
      <c r="AA1313" s="74" t="s">
        <v>9504</v>
      </c>
      <c r="AB1313" s="73" t="s">
        <v>9486</v>
      </c>
      <c r="AC1313" s="74" t="s">
        <v>9562</v>
      </c>
      <c r="AD1313" s="73" t="s">
        <v>9578</v>
      </c>
      <c r="AE1313" s="74" t="s">
        <v>9579</v>
      </c>
    </row>
    <row r="1314" spans="1:31" ht="8.65" customHeight="1" x14ac:dyDescent="0.2">
      <c r="A1314" s="76">
        <v>1314</v>
      </c>
      <c r="B1314" s="67" t="str">
        <f>MID(C1314, FIND("Ifc.", C1314) + 4, 4) &amp; "_" &amp; TEXT(COUNTIF($C$2:C1314, C1314),"0000")</f>
        <v>Prop_1313</v>
      </c>
      <c r="C1314" s="24" t="s">
        <v>872</v>
      </c>
      <c r="D1314" s="69" t="s">
        <v>9453</v>
      </c>
      <c r="E1314" s="70" t="s">
        <v>9454</v>
      </c>
      <c r="F1314" s="17" t="s">
        <v>806</v>
      </c>
      <c r="G1314" s="22" t="s">
        <v>2482</v>
      </c>
      <c r="H1314" s="12" t="s">
        <v>9703</v>
      </c>
      <c r="I1314" s="13" t="s">
        <v>6818</v>
      </c>
      <c r="J1314" s="14" t="s">
        <v>798</v>
      </c>
      <c r="K1314" s="15" t="s">
        <v>798</v>
      </c>
      <c r="L1314" s="12" t="s">
        <v>5315</v>
      </c>
      <c r="M1314" s="13" t="s">
        <v>6003</v>
      </c>
      <c r="N1314" s="12" t="s">
        <v>803</v>
      </c>
      <c r="O1314" s="13" t="s">
        <v>5214</v>
      </c>
      <c r="P1314" s="17" t="s">
        <v>802</v>
      </c>
      <c r="Q1314" s="21" t="s">
        <v>7830</v>
      </c>
      <c r="R1314" s="17" t="s">
        <v>801</v>
      </c>
      <c r="S1314" s="18" t="s">
        <v>2554</v>
      </c>
      <c r="T1314" s="17" t="s">
        <v>800</v>
      </c>
      <c r="U1314" s="18" t="s">
        <v>5233</v>
      </c>
      <c r="V1314" s="17" t="s">
        <v>9418</v>
      </c>
      <c r="W1314" s="18" t="s">
        <v>5310</v>
      </c>
      <c r="X1314" s="69" t="s">
        <v>9453</v>
      </c>
      <c r="Y1314" s="70" t="s">
        <v>9463</v>
      </c>
      <c r="Z1314" s="73" t="s">
        <v>9486</v>
      </c>
      <c r="AA1314" s="74" t="s">
        <v>9504</v>
      </c>
      <c r="AB1314" s="73" t="s">
        <v>9486</v>
      </c>
      <c r="AC1314" s="74" t="s">
        <v>9562</v>
      </c>
      <c r="AD1314" s="73" t="s">
        <v>9578</v>
      </c>
      <c r="AE1314" s="74" t="s">
        <v>9579</v>
      </c>
    </row>
    <row r="1315" spans="1:31" ht="8.65" customHeight="1" x14ac:dyDescent="0.2">
      <c r="A1315" s="76">
        <v>1315</v>
      </c>
      <c r="B1315" s="67" t="str">
        <f>MID(C1315, FIND("Ifc.", C1315) + 4, 4) &amp; "_" &amp; TEXT(COUNTIF($C$2:C1315, C1315),"0000")</f>
        <v>Prop_1314</v>
      </c>
      <c r="C1315" s="24" t="s">
        <v>872</v>
      </c>
      <c r="D1315" s="69" t="s">
        <v>9453</v>
      </c>
      <c r="E1315" s="70" t="s">
        <v>9454</v>
      </c>
      <c r="F1315" s="17" t="s">
        <v>806</v>
      </c>
      <c r="G1315" s="22" t="s">
        <v>2219</v>
      </c>
      <c r="H1315" s="12" t="s">
        <v>9703</v>
      </c>
      <c r="I1315" s="13" t="s">
        <v>6251</v>
      </c>
      <c r="J1315" s="14" t="s">
        <v>798</v>
      </c>
      <c r="K1315" s="15" t="s">
        <v>798</v>
      </c>
      <c r="L1315" s="12" t="s">
        <v>5315</v>
      </c>
      <c r="M1315" s="13" t="s">
        <v>6025</v>
      </c>
      <c r="N1315" s="12" t="s">
        <v>803</v>
      </c>
      <c r="O1315" s="13" t="s">
        <v>5211</v>
      </c>
      <c r="P1315" s="17" t="s">
        <v>802</v>
      </c>
      <c r="Q1315" s="21" t="s">
        <v>7938</v>
      </c>
      <c r="R1315" s="17" t="s">
        <v>801</v>
      </c>
      <c r="S1315" s="18" t="s">
        <v>2554</v>
      </c>
      <c r="T1315" s="17" t="s">
        <v>800</v>
      </c>
      <c r="U1315" s="18" t="s">
        <v>5233</v>
      </c>
      <c r="V1315" s="17" t="s">
        <v>9418</v>
      </c>
      <c r="W1315" s="18" t="s">
        <v>5309</v>
      </c>
      <c r="X1315" s="69" t="s">
        <v>9453</v>
      </c>
      <c r="Y1315" s="70" t="s">
        <v>9462</v>
      </c>
      <c r="Z1315" s="73" t="s">
        <v>9486</v>
      </c>
      <c r="AA1315" s="74" t="s">
        <v>9504</v>
      </c>
      <c r="AB1315" s="73" t="s">
        <v>9486</v>
      </c>
      <c r="AC1315" s="74" t="s">
        <v>9562</v>
      </c>
      <c r="AD1315" s="73" t="s">
        <v>9578</v>
      </c>
      <c r="AE1315" s="74" t="s">
        <v>9579</v>
      </c>
    </row>
    <row r="1316" spans="1:31" ht="8.65" customHeight="1" x14ac:dyDescent="0.2">
      <c r="A1316" s="76">
        <v>1316</v>
      </c>
      <c r="B1316" s="67" t="str">
        <f>MID(C1316, FIND("Ifc.", C1316) + 4, 4) &amp; "_" &amp; TEXT(COUNTIF($C$2:C1316, C1316),"0000")</f>
        <v>Prop_1315</v>
      </c>
      <c r="C1316" s="24" t="s">
        <v>872</v>
      </c>
      <c r="D1316" s="69" t="s">
        <v>9453</v>
      </c>
      <c r="E1316" s="70" t="s">
        <v>9454</v>
      </c>
      <c r="F1316" s="17" t="s">
        <v>806</v>
      </c>
      <c r="G1316" s="22" t="s">
        <v>2219</v>
      </c>
      <c r="H1316" s="12" t="s">
        <v>9703</v>
      </c>
      <c r="I1316" s="13" t="s">
        <v>6251</v>
      </c>
      <c r="J1316" s="14" t="s">
        <v>798</v>
      </c>
      <c r="K1316" s="15" t="s">
        <v>798</v>
      </c>
      <c r="L1316" s="12" t="s">
        <v>5315</v>
      </c>
      <c r="M1316" s="13" t="s">
        <v>5514</v>
      </c>
      <c r="N1316" s="12" t="s">
        <v>803</v>
      </c>
      <c r="O1316" s="13" t="s">
        <v>5128</v>
      </c>
      <c r="P1316" s="17" t="s">
        <v>802</v>
      </c>
      <c r="Q1316" s="21" t="s">
        <v>7773</v>
      </c>
      <c r="R1316" s="17" t="s">
        <v>801</v>
      </c>
      <c r="S1316" s="18" t="s">
        <v>2554</v>
      </c>
      <c r="T1316" s="17" t="s">
        <v>800</v>
      </c>
      <c r="U1316" s="18" t="s">
        <v>5233</v>
      </c>
      <c r="V1316" s="17" t="s">
        <v>9418</v>
      </c>
      <c r="W1316" s="18" t="s">
        <v>5309</v>
      </c>
      <c r="X1316" s="69" t="s">
        <v>9453</v>
      </c>
      <c r="Y1316" s="70" t="s">
        <v>9462</v>
      </c>
      <c r="Z1316" s="73" t="s">
        <v>9486</v>
      </c>
      <c r="AA1316" s="74" t="s">
        <v>9504</v>
      </c>
      <c r="AB1316" s="73" t="s">
        <v>9486</v>
      </c>
      <c r="AC1316" s="74" t="s">
        <v>9562</v>
      </c>
      <c r="AD1316" s="73" t="s">
        <v>9578</v>
      </c>
      <c r="AE1316" s="74" t="s">
        <v>9579</v>
      </c>
    </row>
    <row r="1317" spans="1:31" ht="8.65" customHeight="1" x14ac:dyDescent="0.2">
      <c r="A1317" s="76">
        <v>1317</v>
      </c>
      <c r="B1317" s="67" t="str">
        <f>MID(C1317, FIND("Ifc.", C1317) + 4, 4) &amp; "_" &amp; TEXT(COUNTIF($C$2:C1317, C1317),"0000")</f>
        <v>Prop_1316</v>
      </c>
      <c r="C1317" s="24" t="s">
        <v>872</v>
      </c>
      <c r="D1317" s="69" t="s">
        <v>9453</v>
      </c>
      <c r="E1317" s="70" t="s">
        <v>9454</v>
      </c>
      <c r="F1317" s="17" t="s">
        <v>806</v>
      </c>
      <c r="G1317" s="22" t="s">
        <v>2219</v>
      </c>
      <c r="H1317" s="12" t="s">
        <v>9703</v>
      </c>
      <c r="I1317" s="13" t="s">
        <v>6251</v>
      </c>
      <c r="J1317" s="14" t="s">
        <v>798</v>
      </c>
      <c r="K1317" s="15" t="s">
        <v>798</v>
      </c>
      <c r="L1317" s="12" t="s">
        <v>5315</v>
      </c>
      <c r="M1317" s="13" t="s">
        <v>5509</v>
      </c>
      <c r="N1317" s="12" t="s">
        <v>803</v>
      </c>
      <c r="O1317" s="13" t="s">
        <v>5122</v>
      </c>
      <c r="P1317" s="17" t="s">
        <v>802</v>
      </c>
      <c r="Q1317" s="21" t="s">
        <v>7780</v>
      </c>
      <c r="R1317" s="17" t="s">
        <v>801</v>
      </c>
      <c r="S1317" s="18" t="s">
        <v>2554</v>
      </c>
      <c r="T1317" s="17" t="s">
        <v>800</v>
      </c>
      <c r="U1317" s="18" t="s">
        <v>5233</v>
      </c>
      <c r="V1317" s="17" t="s">
        <v>9418</v>
      </c>
      <c r="W1317" s="18" t="s">
        <v>5309</v>
      </c>
      <c r="X1317" s="69" t="s">
        <v>9453</v>
      </c>
      <c r="Y1317" s="70" t="s">
        <v>9462</v>
      </c>
      <c r="Z1317" s="73" t="s">
        <v>9486</v>
      </c>
      <c r="AA1317" s="74" t="s">
        <v>9504</v>
      </c>
      <c r="AB1317" s="73" t="s">
        <v>9486</v>
      </c>
      <c r="AC1317" s="74" t="s">
        <v>9562</v>
      </c>
      <c r="AD1317" s="73" t="s">
        <v>9578</v>
      </c>
      <c r="AE1317" s="74" t="s">
        <v>9579</v>
      </c>
    </row>
    <row r="1318" spans="1:31" ht="8.65" customHeight="1" x14ac:dyDescent="0.2">
      <c r="A1318" s="76">
        <v>1318</v>
      </c>
      <c r="B1318" s="67" t="str">
        <f>MID(C1318, FIND("Ifc.", C1318) + 4, 4) &amp; "_" &amp; TEXT(COUNTIF($C$2:C1318, C1318),"0000")</f>
        <v>Prop_1317</v>
      </c>
      <c r="C1318" s="24" t="s">
        <v>872</v>
      </c>
      <c r="D1318" s="69" t="s">
        <v>9453</v>
      </c>
      <c r="E1318" s="70" t="s">
        <v>9454</v>
      </c>
      <c r="F1318" s="17" t="s">
        <v>806</v>
      </c>
      <c r="G1318" s="22" t="s">
        <v>974</v>
      </c>
      <c r="H1318" s="12" t="s">
        <v>9703</v>
      </c>
      <c r="I1318" s="13" t="s">
        <v>6060</v>
      </c>
      <c r="J1318" s="14" t="s">
        <v>798</v>
      </c>
      <c r="K1318" s="15" t="s">
        <v>798</v>
      </c>
      <c r="L1318" s="12" t="s">
        <v>5315</v>
      </c>
      <c r="M1318" s="13" t="s">
        <v>5987</v>
      </c>
      <c r="N1318" s="12" t="s">
        <v>803</v>
      </c>
      <c r="O1318" s="13" t="s">
        <v>4825</v>
      </c>
      <c r="P1318" s="17" t="s">
        <v>802</v>
      </c>
      <c r="Q1318" s="21" t="s">
        <v>7950</v>
      </c>
      <c r="R1318" s="17" t="s">
        <v>801</v>
      </c>
      <c r="S1318" s="18" t="s">
        <v>2583</v>
      </c>
      <c r="T1318" s="17" t="s">
        <v>800</v>
      </c>
      <c r="U1318" s="18" t="s">
        <v>5251</v>
      </c>
      <c r="V1318" s="17" t="s">
        <v>9418</v>
      </c>
      <c r="W1318" s="18" t="s">
        <v>5312</v>
      </c>
      <c r="X1318" s="69" t="s">
        <v>9453</v>
      </c>
      <c r="Y1318" s="70" t="s">
        <v>9465</v>
      </c>
      <c r="Z1318" s="73" t="s">
        <v>9486</v>
      </c>
      <c r="AA1318" s="74" t="s">
        <v>9504</v>
      </c>
      <c r="AB1318" s="73" t="s">
        <v>9486</v>
      </c>
      <c r="AC1318" s="74" t="s">
        <v>9566</v>
      </c>
      <c r="AD1318" s="73" t="s">
        <v>9578</v>
      </c>
      <c r="AE1318" s="74" t="s">
        <v>9579</v>
      </c>
    </row>
    <row r="1319" spans="1:31" ht="8.65" customHeight="1" x14ac:dyDescent="0.2">
      <c r="A1319" s="76">
        <v>1319</v>
      </c>
      <c r="B1319" s="67" t="str">
        <f>MID(C1319, FIND("Ifc.", C1319) + 4, 4) &amp; "_" &amp; TEXT(COUNTIF($C$2:C1319, C1319),"0000")</f>
        <v>Prop_1318</v>
      </c>
      <c r="C1319" s="24" t="s">
        <v>872</v>
      </c>
      <c r="D1319" s="69" t="s">
        <v>9453</v>
      </c>
      <c r="E1319" s="70" t="s">
        <v>9454</v>
      </c>
      <c r="F1319" s="17" t="s">
        <v>806</v>
      </c>
      <c r="G1319" s="22" t="s">
        <v>975</v>
      </c>
      <c r="H1319" s="12" t="s">
        <v>9703</v>
      </c>
      <c r="I1319" s="13" t="s">
        <v>6061</v>
      </c>
      <c r="J1319" s="14" t="s">
        <v>798</v>
      </c>
      <c r="K1319" s="15" t="s">
        <v>798</v>
      </c>
      <c r="L1319" s="12" t="s">
        <v>5315</v>
      </c>
      <c r="M1319" s="13" t="s">
        <v>5987</v>
      </c>
      <c r="N1319" s="12" t="s">
        <v>803</v>
      </c>
      <c r="O1319" s="13" t="s">
        <v>4825</v>
      </c>
      <c r="P1319" s="17" t="s">
        <v>802</v>
      </c>
      <c r="Q1319" s="21" t="s">
        <v>7950</v>
      </c>
      <c r="R1319" s="17" t="s">
        <v>801</v>
      </c>
      <c r="S1319" s="18" t="s">
        <v>2583</v>
      </c>
      <c r="T1319" s="17" t="s">
        <v>800</v>
      </c>
      <c r="U1319" s="18" t="s">
        <v>5251</v>
      </c>
      <c r="V1319" s="17" t="s">
        <v>9418</v>
      </c>
      <c r="W1319" s="18" t="s">
        <v>5312</v>
      </c>
      <c r="X1319" s="69" t="s">
        <v>9453</v>
      </c>
      <c r="Y1319" s="70" t="s">
        <v>9465</v>
      </c>
      <c r="Z1319" s="73" t="s">
        <v>9486</v>
      </c>
      <c r="AA1319" s="74" t="s">
        <v>9504</v>
      </c>
      <c r="AB1319" s="73" t="s">
        <v>9486</v>
      </c>
      <c r="AC1319" s="74" t="s">
        <v>9566</v>
      </c>
      <c r="AD1319" s="73" t="s">
        <v>9578</v>
      </c>
      <c r="AE1319" s="74" t="s">
        <v>9579</v>
      </c>
    </row>
    <row r="1320" spans="1:31" ht="8.65" customHeight="1" x14ac:dyDescent="0.2">
      <c r="A1320" s="76">
        <v>1320</v>
      </c>
      <c r="B1320" s="67" t="str">
        <f>MID(C1320, FIND("Ifc.", C1320) + 4, 4) &amp; "_" &amp; TEXT(COUNTIF($C$2:C1320, C1320),"0000")</f>
        <v>Prop_1319</v>
      </c>
      <c r="C1320" s="24" t="s">
        <v>872</v>
      </c>
      <c r="D1320" s="69" t="s">
        <v>9453</v>
      </c>
      <c r="E1320" s="70" t="s">
        <v>9454</v>
      </c>
      <c r="F1320" s="17" t="s">
        <v>806</v>
      </c>
      <c r="G1320" s="22" t="s">
        <v>2152</v>
      </c>
      <c r="H1320" s="12" t="s">
        <v>9703</v>
      </c>
      <c r="I1320" s="13" t="s">
        <v>7062</v>
      </c>
      <c r="J1320" s="14" t="s">
        <v>798</v>
      </c>
      <c r="K1320" s="15" t="s">
        <v>798</v>
      </c>
      <c r="L1320" s="12" t="s">
        <v>5315</v>
      </c>
      <c r="M1320" s="13" t="s">
        <v>5498</v>
      </c>
      <c r="N1320" s="12" t="s">
        <v>803</v>
      </c>
      <c r="O1320" s="13" t="s">
        <v>5112</v>
      </c>
      <c r="P1320" s="17" t="s">
        <v>802</v>
      </c>
      <c r="Q1320" s="21" t="s">
        <v>7680</v>
      </c>
      <c r="R1320" s="17" t="s">
        <v>801</v>
      </c>
      <c r="S1320" s="18" t="s">
        <v>2933</v>
      </c>
      <c r="T1320" s="17" t="s">
        <v>800</v>
      </c>
      <c r="U1320" s="18" t="s">
        <v>5262</v>
      </c>
      <c r="V1320" s="17" t="s">
        <v>9418</v>
      </c>
      <c r="W1320" s="18" t="s">
        <v>5313</v>
      </c>
      <c r="X1320" s="69" t="s">
        <v>9453</v>
      </c>
      <c r="Y1320" s="70" t="s">
        <v>9467</v>
      </c>
      <c r="Z1320" s="73" t="s">
        <v>9486</v>
      </c>
      <c r="AA1320" s="74" t="s">
        <v>9504</v>
      </c>
      <c r="AB1320" s="73" t="s">
        <v>9486</v>
      </c>
      <c r="AC1320" s="74" t="s">
        <v>9562</v>
      </c>
      <c r="AD1320" s="73" t="s">
        <v>9578</v>
      </c>
      <c r="AE1320" s="74" t="s">
        <v>9704</v>
      </c>
    </row>
    <row r="1321" spans="1:31" ht="8.65" customHeight="1" x14ac:dyDescent="0.2">
      <c r="A1321" s="76">
        <v>1321</v>
      </c>
      <c r="B1321" s="67" t="str">
        <f>MID(C1321, FIND("Ifc.", C1321) + 4, 4) &amp; "_" &amp; TEXT(COUNTIF($C$2:C1321, C1321),"0000")</f>
        <v>Prop_1320</v>
      </c>
      <c r="C1321" s="24" t="s">
        <v>872</v>
      </c>
      <c r="D1321" s="69" t="s">
        <v>9453</v>
      </c>
      <c r="E1321" s="70" t="s">
        <v>9454</v>
      </c>
      <c r="F1321" s="17" t="s">
        <v>806</v>
      </c>
      <c r="G1321" s="22" t="s">
        <v>1035</v>
      </c>
      <c r="H1321" s="12" t="s">
        <v>9703</v>
      </c>
      <c r="I1321" s="13" t="s">
        <v>6130</v>
      </c>
      <c r="J1321" s="14" t="s">
        <v>798</v>
      </c>
      <c r="K1321" s="15" t="s">
        <v>798</v>
      </c>
      <c r="L1321" s="12" t="s">
        <v>5315</v>
      </c>
      <c r="M1321" s="13" t="s">
        <v>5385</v>
      </c>
      <c r="N1321" s="12" t="s">
        <v>803</v>
      </c>
      <c r="O1321" s="13" t="s">
        <v>4842</v>
      </c>
      <c r="P1321" s="17" t="s">
        <v>802</v>
      </c>
      <c r="Q1321" s="21" t="s">
        <v>7679</v>
      </c>
      <c r="R1321" s="17" t="s">
        <v>801</v>
      </c>
      <c r="S1321" s="18" t="s">
        <v>2933</v>
      </c>
      <c r="T1321" s="17" t="s">
        <v>800</v>
      </c>
      <c r="U1321" s="18" t="s">
        <v>5262</v>
      </c>
      <c r="V1321" s="17" t="s">
        <v>9418</v>
      </c>
      <c r="W1321" s="18" t="s">
        <v>5313</v>
      </c>
      <c r="X1321" s="69" t="s">
        <v>9453</v>
      </c>
      <c r="Y1321" s="70" t="s">
        <v>9467</v>
      </c>
      <c r="Z1321" s="73" t="s">
        <v>9486</v>
      </c>
      <c r="AA1321" s="74" t="s">
        <v>9504</v>
      </c>
      <c r="AB1321" s="73" t="s">
        <v>9486</v>
      </c>
      <c r="AC1321" s="74" t="s">
        <v>9562</v>
      </c>
      <c r="AD1321" s="73" t="s">
        <v>9578</v>
      </c>
      <c r="AE1321" s="74" t="s">
        <v>9579</v>
      </c>
    </row>
    <row r="1322" spans="1:31" ht="8.65" customHeight="1" x14ac:dyDescent="0.2">
      <c r="A1322" s="76">
        <v>1322</v>
      </c>
      <c r="B1322" s="67" t="str">
        <f>MID(C1322, FIND("Ifc.", C1322) + 4, 4) &amp; "_" &amp; TEXT(COUNTIF($C$2:C1322, C1322),"0000")</f>
        <v>Prop_1321</v>
      </c>
      <c r="C1322" s="24" t="s">
        <v>872</v>
      </c>
      <c r="D1322" s="69" t="s">
        <v>9453</v>
      </c>
      <c r="E1322" s="70" t="s">
        <v>9454</v>
      </c>
      <c r="F1322" s="17" t="s">
        <v>806</v>
      </c>
      <c r="G1322" s="22" t="s">
        <v>1714</v>
      </c>
      <c r="H1322" s="12" t="s">
        <v>9703</v>
      </c>
      <c r="I1322" s="13" t="s">
        <v>6443</v>
      </c>
      <c r="J1322" s="14" t="s">
        <v>798</v>
      </c>
      <c r="K1322" s="15" t="s">
        <v>798</v>
      </c>
      <c r="L1322" s="12" t="s">
        <v>5315</v>
      </c>
      <c r="M1322" s="13" t="s">
        <v>5930</v>
      </c>
      <c r="N1322" s="12" t="s">
        <v>803</v>
      </c>
      <c r="O1322" s="13" t="s">
        <v>5003</v>
      </c>
      <c r="P1322" s="17" t="s">
        <v>802</v>
      </c>
      <c r="Q1322" s="21" t="s">
        <v>7925</v>
      </c>
      <c r="R1322" s="17" t="s">
        <v>801</v>
      </c>
      <c r="S1322" s="18" t="s">
        <v>2585</v>
      </c>
      <c r="T1322" s="17" t="s">
        <v>800</v>
      </c>
      <c r="U1322" s="18" t="s">
        <v>5238</v>
      </c>
      <c r="V1322" s="17" t="s">
        <v>9418</v>
      </c>
      <c r="W1322" s="18" t="s">
        <v>5309</v>
      </c>
      <c r="X1322" s="69" t="s">
        <v>9453</v>
      </c>
      <c r="Y1322" s="70" t="s">
        <v>9462</v>
      </c>
      <c r="Z1322" s="73" t="s">
        <v>9486</v>
      </c>
      <c r="AA1322" s="74" t="s">
        <v>9504</v>
      </c>
      <c r="AB1322" s="73" t="s">
        <v>9486</v>
      </c>
      <c r="AC1322" s="74" t="s">
        <v>9566</v>
      </c>
      <c r="AD1322" s="73" t="s">
        <v>9578</v>
      </c>
      <c r="AE1322" s="74" t="s">
        <v>9704</v>
      </c>
    </row>
    <row r="1323" spans="1:31" ht="8.65" customHeight="1" x14ac:dyDescent="0.2">
      <c r="A1323" s="76">
        <v>1323</v>
      </c>
      <c r="B1323" s="67" t="str">
        <f>MID(C1323, FIND("Ifc.", C1323) + 4, 4) &amp; "_" &amp; TEXT(COUNTIF($C$2:C1323, C1323),"0000")</f>
        <v>Prop_1322</v>
      </c>
      <c r="C1323" s="24" t="s">
        <v>872</v>
      </c>
      <c r="D1323" s="69" t="s">
        <v>9453</v>
      </c>
      <c r="E1323" s="70" t="s">
        <v>9454</v>
      </c>
      <c r="F1323" s="17" t="s">
        <v>806</v>
      </c>
      <c r="G1323" s="22" t="s">
        <v>1156</v>
      </c>
      <c r="H1323" s="12" t="s">
        <v>9703</v>
      </c>
      <c r="I1323" s="13" t="s">
        <v>7194</v>
      </c>
      <c r="J1323" s="14" t="s">
        <v>798</v>
      </c>
      <c r="K1323" s="15" t="s">
        <v>798</v>
      </c>
      <c r="L1323" s="12" t="s">
        <v>5315</v>
      </c>
      <c r="M1323" s="13" t="s">
        <v>6044</v>
      </c>
      <c r="N1323" s="12" t="s">
        <v>803</v>
      </c>
      <c r="O1323" s="13" t="s">
        <v>4871</v>
      </c>
      <c r="P1323" s="17" t="s">
        <v>802</v>
      </c>
      <c r="Q1323" s="21" t="s">
        <v>7933</v>
      </c>
      <c r="R1323" s="17" t="s">
        <v>801</v>
      </c>
      <c r="S1323" s="18" t="s">
        <v>2585</v>
      </c>
      <c r="T1323" s="17" t="s">
        <v>800</v>
      </c>
      <c r="U1323" s="18" t="s">
        <v>5238</v>
      </c>
      <c r="V1323" s="17" t="s">
        <v>9418</v>
      </c>
      <c r="W1323" s="18" t="s">
        <v>5309</v>
      </c>
      <c r="X1323" s="69" t="s">
        <v>9453</v>
      </c>
      <c r="Y1323" s="70" t="s">
        <v>9462</v>
      </c>
      <c r="Z1323" s="73" t="s">
        <v>9486</v>
      </c>
      <c r="AA1323" s="74" t="s">
        <v>9504</v>
      </c>
      <c r="AB1323" s="73" t="s">
        <v>9486</v>
      </c>
      <c r="AC1323" s="74" t="s">
        <v>9566</v>
      </c>
      <c r="AD1323" s="73" t="s">
        <v>9578</v>
      </c>
      <c r="AE1323" s="74" t="s">
        <v>9579</v>
      </c>
    </row>
    <row r="1324" spans="1:31" ht="8.65" customHeight="1" x14ac:dyDescent="0.2">
      <c r="A1324" s="76">
        <v>1324</v>
      </c>
      <c r="B1324" s="67" t="str">
        <f>MID(C1324, FIND("Ifc.", C1324) + 4, 4) &amp; "_" &amp; TEXT(COUNTIF($C$2:C1324, C1324),"0000")</f>
        <v>Prop_1323</v>
      </c>
      <c r="C1324" s="24" t="s">
        <v>872</v>
      </c>
      <c r="D1324" s="69" t="s">
        <v>9453</v>
      </c>
      <c r="E1324" s="70" t="s">
        <v>9454</v>
      </c>
      <c r="F1324" s="17" t="s">
        <v>806</v>
      </c>
      <c r="G1324" s="22" t="s">
        <v>2170</v>
      </c>
      <c r="H1324" s="12" t="s">
        <v>9703</v>
      </c>
      <c r="I1324" s="13" t="s">
        <v>7623</v>
      </c>
      <c r="J1324" s="14" t="s">
        <v>798</v>
      </c>
      <c r="K1324" s="15" t="s">
        <v>798</v>
      </c>
      <c r="L1324" s="12" t="s">
        <v>5315</v>
      </c>
      <c r="M1324" s="13" t="s">
        <v>5501</v>
      </c>
      <c r="N1324" s="12" t="s">
        <v>803</v>
      </c>
      <c r="O1324" s="13" t="s">
        <v>5115</v>
      </c>
      <c r="P1324" s="17" t="s">
        <v>802</v>
      </c>
      <c r="Q1324" s="21" t="s">
        <v>7762</v>
      </c>
      <c r="R1324" s="17" t="s">
        <v>801</v>
      </c>
      <c r="S1324" s="18" t="s">
        <v>2583</v>
      </c>
      <c r="T1324" s="17" t="s">
        <v>800</v>
      </c>
      <c r="U1324" s="18" t="s">
        <v>5251</v>
      </c>
      <c r="V1324" s="17" t="s">
        <v>9418</v>
      </c>
      <c r="W1324" s="18" t="s">
        <v>5309</v>
      </c>
      <c r="X1324" s="69" t="s">
        <v>9453</v>
      </c>
      <c r="Y1324" s="70" t="s">
        <v>9462</v>
      </c>
      <c r="Z1324" s="73" t="s">
        <v>9486</v>
      </c>
      <c r="AA1324" s="74" t="s">
        <v>9504</v>
      </c>
      <c r="AB1324" s="73" t="s">
        <v>9486</v>
      </c>
      <c r="AC1324" s="74" t="s">
        <v>9566</v>
      </c>
      <c r="AD1324" s="73" t="s">
        <v>9578</v>
      </c>
      <c r="AE1324" s="74" t="s">
        <v>9579</v>
      </c>
    </row>
    <row r="1325" spans="1:31" ht="8.65" customHeight="1" x14ac:dyDescent="0.2">
      <c r="A1325" s="76">
        <v>1325</v>
      </c>
      <c r="B1325" s="67" t="str">
        <f>MID(C1325, FIND("Ifc.", C1325) + 4, 4) &amp; "_" &amp; TEXT(COUNTIF($C$2:C1325, C1325),"0000")</f>
        <v>Prop_1324</v>
      </c>
      <c r="C1325" s="24" t="s">
        <v>872</v>
      </c>
      <c r="D1325" s="69" t="s">
        <v>9453</v>
      </c>
      <c r="E1325" s="70" t="s">
        <v>9454</v>
      </c>
      <c r="F1325" s="17" t="s">
        <v>806</v>
      </c>
      <c r="G1325" s="22" t="s">
        <v>1404</v>
      </c>
      <c r="H1325" s="12" t="s">
        <v>9703</v>
      </c>
      <c r="I1325" s="13" t="s">
        <v>7624</v>
      </c>
      <c r="J1325" s="14" t="s">
        <v>798</v>
      </c>
      <c r="K1325" s="15" t="s">
        <v>798</v>
      </c>
      <c r="L1325" s="12" t="s">
        <v>5315</v>
      </c>
      <c r="M1325" s="13" t="s">
        <v>6054</v>
      </c>
      <c r="N1325" s="12" t="s">
        <v>803</v>
      </c>
      <c r="O1325" s="13" t="s">
        <v>4927</v>
      </c>
      <c r="P1325" s="17" t="s">
        <v>802</v>
      </c>
      <c r="Q1325" s="21" t="s">
        <v>7686</v>
      </c>
      <c r="R1325" s="17" t="s">
        <v>801</v>
      </c>
      <c r="S1325" s="18" t="s">
        <v>2585</v>
      </c>
      <c r="T1325" s="17" t="s">
        <v>800</v>
      </c>
      <c r="U1325" s="18" t="s">
        <v>5238</v>
      </c>
      <c r="V1325" s="17" t="s">
        <v>9418</v>
      </c>
      <c r="W1325" s="18" t="s">
        <v>5309</v>
      </c>
      <c r="X1325" s="69" t="s">
        <v>9453</v>
      </c>
      <c r="Y1325" s="70" t="s">
        <v>9462</v>
      </c>
      <c r="Z1325" s="73" t="s">
        <v>9486</v>
      </c>
      <c r="AA1325" s="74" t="s">
        <v>9504</v>
      </c>
      <c r="AB1325" s="73" t="s">
        <v>9486</v>
      </c>
      <c r="AC1325" s="74" t="s">
        <v>9566</v>
      </c>
      <c r="AD1325" s="73" t="s">
        <v>9578</v>
      </c>
      <c r="AE1325" s="74" t="s">
        <v>9579</v>
      </c>
    </row>
    <row r="1326" spans="1:31" ht="8.65" customHeight="1" x14ac:dyDescent="0.2">
      <c r="A1326" s="76">
        <v>1326</v>
      </c>
      <c r="B1326" s="67" t="str">
        <f>MID(C1326, FIND("Ifc.", C1326) + 4, 4) &amp; "_" &amp; TEXT(COUNTIF($C$2:C1326, C1326),"0000")</f>
        <v>Prop_1325</v>
      </c>
      <c r="C1326" s="24" t="s">
        <v>872</v>
      </c>
      <c r="D1326" s="69" t="s">
        <v>9453</v>
      </c>
      <c r="E1326" s="70" t="s">
        <v>9454</v>
      </c>
      <c r="F1326" s="17" t="s">
        <v>806</v>
      </c>
      <c r="G1326" s="22" t="s">
        <v>1404</v>
      </c>
      <c r="H1326" s="12" t="s">
        <v>9703</v>
      </c>
      <c r="I1326" s="13" t="s">
        <v>7624</v>
      </c>
      <c r="J1326" s="14" t="s">
        <v>798</v>
      </c>
      <c r="K1326" s="15" t="s">
        <v>798</v>
      </c>
      <c r="L1326" s="12" t="s">
        <v>5315</v>
      </c>
      <c r="M1326" s="13" t="s">
        <v>6055</v>
      </c>
      <c r="N1326" s="12" t="s">
        <v>803</v>
      </c>
      <c r="O1326" s="13" t="s">
        <v>5107</v>
      </c>
      <c r="P1326" s="17" t="s">
        <v>802</v>
      </c>
      <c r="Q1326" s="21" t="s">
        <v>7688</v>
      </c>
      <c r="R1326" s="17" t="s">
        <v>801</v>
      </c>
      <c r="S1326" s="18" t="s">
        <v>2585</v>
      </c>
      <c r="T1326" s="17" t="s">
        <v>800</v>
      </c>
      <c r="U1326" s="18" t="s">
        <v>5238</v>
      </c>
      <c r="V1326" s="17" t="s">
        <v>9418</v>
      </c>
      <c r="W1326" s="18" t="s">
        <v>5309</v>
      </c>
      <c r="X1326" s="69" t="s">
        <v>9453</v>
      </c>
      <c r="Y1326" s="70" t="s">
        <v>9462</v>
      </c>
      <c r="Z1326" s="73" t="s">
        <v>9486</v>
      </c>
      <c r="AA1326" s="74" t="s">
        <v>9504</v>
      </c>
      <c r="AB1326" s="73" t="s">
        <v>9486</v>
      </c>
      <c r="AC1326" s="74" t="s">
        <v>9566</v>
      </c>
      <c r="AD1326" s="73" t="s">
        <v>9578</v>
      </c>
      <c r="AE1326" s="74" t="s">
        <v>9579</v>
      </c>
    </row>
    <row r="1327" spans="1:31" ht="8.65" customHeight="1" x14ac:dyDescent="0.2">
      <c r="A1327" s="76">
        <v>1327</v>
      </c>
      <c r="B1327" s="67" t="str">
        <f>MID(C1327, FIND("Ifc.", C1327) + 4, 4) &amp; "_" &amp; TEXT(COUNTIF($C$2:C1327, C1327),"0000")</f>
        <v>Prop_1326</v>
      </c>
      <c r="C1327" s="24" t="s">
        <v>872</v>
      </c>
      <c r="D1327" s="69" t="s">
        <v>9453</v>
      </c>
      <c r="E1327" s="70" t="s">
        <v>9454</v>
      </c>
      <c r="F1327" s="17" t="s">
        <v>806</v>
      </c>
      <c r="G1327" s="22" t="s">
        <v>1413</v>
      </c>
      <c r="H1327" s="12" t="s">
        <v>9703</v>
      </c>
      <c r="I1327" s="13" t="s">
        <v>7625</v>
      </c>
      <c r="J1327" s="14" t="s">
        <v>798</v>
      </c>
      <c r="K1327" s="15" t="s">
        <v>798</v>
      </c>
      <c r="L1327" s="12" t="s">
        <v>5315</v>
      </c>
      <c r="M1327" s="13" t="s">
        <v>6059</v>
      </c>
      <c r="N1327" s="12" t="s">
        <v>803</v>
      </c>
      <c r="O1327" s="13" t="s">
        <v>4928</v>
      </c>
      <c r="P1327" s="17" t="s">
        <v>802</v>
      </c>
      <c r="Q1327" s="21" t="s">
        <v>7706</v>
      </c>
      <c r="R1327" s="17" t="s">
        <v>801</v>
      </c>
      <c r="S1327" s="18" t="s">
        <v>2585</v>
      </c>
      <c r="T1327" s="17" t="s">
        <v>800</v>
      </c>
      <c r="U1327" s="18" t="s">
        <v>5238</v>
      </c>
      <c r="V1327" s="17" t="s">
        <v>9418</v>
      </c>
      <c r="W1327" s="18" t="s">
        <v>5309</v>
      </c>
      <c r="X1327" s="69" t="s">
        <v>9453</v>
      </c>
      <c r="Y1327" s="70" t="s">
        <v>9462</v>
      </c>
      <c r="Z1327" s="73" t="s">
        <v>9486</v>
      </c>
      <c r="AA1327" s="74" t="s">
        <v>9504</v>
      </c>
      <c r="AB1327" s="73" t="s">
        <v>9486</v>
      </c>
      <c r="AC1327" s="74" t="s">
        <v>9566</v>
      </c>
      <c r="AD1327" s="73" t="s">
        <v>9578</v>
      </c>
      <c r="AE1327" s="74" t="s">
        <v>9579</v>
      </c>
    </row>
    <row r="1328" spans="1:31" ht="8.65" customHeight="1" x14ac:dyDescent="0.2">
      <c r="A1328" s="76">
        <v>1328</v>
      </c>
      <c r="B1328" s="67" t="str">
        <f>MID(C1328, FIND("Ifc.", C1328) + 4, 4) &amp; "_" &amp; TEXT(COUNTIF($C$2:C1328, C1328),"0000")</f>
        <v>Prop_1327</v>
      </c>
      <c r="C1328" s="24" t="s">
        <v>872</v>
      </c>
      <c r="D1328" s="69" t="s">
        <v>9453</v>
      </c>
      <c r="E1328" s="70" t="s">
        <v>9454</v>
      </c>
      <c r="F1328" s="17" t="s">
        <v>806</v>
      </c>
      <c r="G1328" s="22" t="s">
        <v>1413</v>
      </c>
      <c r="H1328" s="12" t="s">
        <v>9703</v>
      </c>
      <c r="I1328" s="13" t="s">
        <v>7625</v>
      </c>
      <c r="J1328" s="14" t="s">
        <v>798</v>
      </c>
      <c r="K1328" s="15" t="s">
        <v>798</v>
      </c>
      <c r="L1328" s="12" t="s">
        <v>5315</v>
      </c>
      <c r="M1328" s="13" t="s">
        <v>6056</v>
      </c>
      <c r="N1328" s="12" t="s">
        <v>803</v>
      </c>
      <c r="O1328" s="13" t="s">
        <v>5108</v>
      </c>
      <c r="P1328" s="17" t="s">
        <v>802</v>
      </c>
      <c r="Q1328" s="21" t="s">
        <v>7890</v>
      </c>
      <c r="R1328" s="17" t="s">
        <v>801</v>
      </c>
      <c r="S1328" s="18" t="s">
        <v>2585</v>
      </c>
      <c r="T1328" s="17" t="s">
        <v>800</v>
      </c>
      <c r="U1328" s="18" t="s">
        <v>5238</v>
      </c>
      <c r="V1328" s="17" t="s">
        <v>9418</v>
      </c>
      <c r="W1328" s="18" t="s">
        <v>5309</v>
      </c>
      <c r="X1328" s="69" t="s">
        <v>9453</v>
      </c>
      <c r="Y1328" s="70" t="s">
        <v>9462</v>
      </c>
      <c r="Z1328" s="73" t="s">
        <v>9486</v>
      </c>
      <c r="AA1328" s="74" t="s">
        <v>9504</v>
      </c>
      <c r="AB1328" s="73" t="s">
        <v>9486</v>
      </c>
      <c r="AC1328" s="74" t="s">
        <v>9566</v>
      </c>
      <c r="AD1328" s="73" t="s">
        <v>9578</v>
      </c>
      <c r="AE1328" s="74" t="s">
        <v>9579</v>
      </c>
    </row>
    <row r="1329" spans="1:31" ht="8.65" customHeight="1" x14ac:dyDescent="0.2">
      <c r="A1329" s="76">
        <v>1329</v>
      </c>
      <c r="B1329" s="67" t="str">
        <f>MID(C1329, FIND("Ifc.", C1329) + 4, 4) &amp; "_" &amp; TEXT(COUNTIF($C$2:C1329, C1329),"0000")</f>
        <v>Prop_1328</v>
      </c>
      <c r="C1329" s="24" t="s">
        <v>872</v>
      </c>
      <c r="D1329" s="69" t="s">
        <v>9453</v>
      </c>
      <c r="E1329" s="70" t="s">
        <v>9454</v>
      </c>
      <c r="F1329" s="17" t="s">
        <v>806</v>
      </c>
      <c r="G1329" s="22" t="s">
        <v>1589</v>
      </c>
      <c r="H1329" s="12" t="s">
        <v>9703</v>
      </c>
      <c r="I1329" s="13" t="s">
        <v>6428</v>
      </c>
      <c r="J1329" s="14" t="s">
        <v>798</v>
      </c>
      <c r="K1329" s="15" t="s">
        <v>798</v>
      </c>
      <c r="L1329" s="12" t="s">
        <v>5315</v>
      </c>
      <c r="M1329" s="13" t="s">
        <v>5898</v>
      </c>
      <c r="N1329" s="12" t="s">
        <v>803</v>
      </c>
      <c r="O1329" s="13" t="s">
        <v>4967</v>
      </c>
      <c r="P1329" s="17" t="s">
        <v>802</v>
      </c>
      <c r="Q1329" s="21" t="s">
        <v>8002</v>
      </c>
      <c r="R1329" s="17" t="s">
        <v>801</v>
      </c>
      <c r="S1329" s="18" t="s">
        <v>3636</v>
      </c>
      <c r="T1329" s="17" t="s">
        <v>800</v>
      </c>
      <c r="U1329" s="18" t="s">
        <v>5257</v>
      </c>
      <c r="V1329" s="17" t="s">
        <v>9418</v>
      </c>
      <c r="W1329" s="18" t="s">
        <v>5314</v>
      </c>
      <c r="X1329" s="69" t="s">
        <v>9453</v>
      </c>
      <c r="Y1329" s="70" t="s">
        <v>9464</v>
      </c>
      <c r="Z1329" s="73" t="s">
        <v>9486</v>
      </c>
      <c r="AA1329" s="74" t="s">
        <v>9504</v>
      </c>
      <c r="AB1329" s="73" t="s">
        <v>9486</v>
      </c>
      <c r="AC1329" s="74" t="s">
        <v>9561</v>
      </c>
      <c r="AD1329" s="73" t="s">
        <v>9578</v>
      </c>
      <c r="AE1329" s="74" t="s">
        <v>9579</v>
      </c>
    </row>
    <row r="1330" spans="1:31" ht="8.65" customHeight="1" x14ac:dyDescent="0.2">
      <c r="A1330" s="76">
        <v>1330</v>
      </c>
      <c r="B1330" s="67" t="str">
        <f>MID(C1330, FIND("Ifc.", C1330) + 4, 4) &amp; "_" &amp; TEXT(COUNTIF($C$2:C1330, C1330),"0000")</f>
        <v>Prop_1329</v>
      </c>
      <c r="C1330" s="24" t="s">
        <v>872</v>
      </c>
      <c r="D1330" s="69" t="s">
        <v>9453</v>
      </c>
      <c r="E1330" s="70" t="s">
        <v>9454</v>
      </c>
      <c r="F1330" s="17" t="s">
        <v>806</v>
      </c>
      <c r="G1330" s="22" t="s">
        <v>2093</v>
      </c>
      <c r="H1330" s="12" t="s">
        <v>9703</v>
      </c>
      <c r="I1330" s="13" t="s">
        <v>6632</v>
      </c>
      <c r="J1330" s="14" t="s">
        <v>798</v>
      </c>
      <c r="K1330" s="15" t="s">
        <v>798</v>
      </c>
      <c r="L1330" s="12" t="s">
        <v>5315</v>
      </c>
      <c r="M1330" s="13" t="s">
        <v>5490</v>
      </c>
      <c r="N1330" s="12" t="s">
        <v>803</v>
      </c>
      <c r="O1330" s="13" t="s">
        <v>5099</v>
      </c>
      <c r="P1330" s="17" t="s">
        <v>802</v>
      </c>
      <c r="Q1330" s="21" t="s">
        <v>7778</v>
      </c>
      <c r="R1330" s="17" t="s">
        <v>801</v>
      </c>
      <c r="S1330" s="18" t="s">
        <v>2593</v>
      </c>
      <c r="T1330" s="17" t="s">
        <v>800</v>
      </c>
      <c r="U1330" s="18" t="s">
        <v>5299</v>
      </c>
      <c r="V1330" s="17" t="s">
        <v>9418</v>
      </c>
      <c r="W1330" s="18" t="s">
        <v>5309</v>
      </c>
      <c r="X1330" s="69" t="s">
        <v>9453</v>
      </c>
      <c r="Y1330" s="70" t="s">
        <v>9462</v>
      </c>
      <c r="Z1330" s="73" t="s">
        <v>9486</v>
      </c>
      <c r="AA1330" s="74" t="s">
        <v>9504</v>
      </c>
      <c r="AB1330" s="73" t="s">
        <v>9486</v>
      </c>
      <c r="AC1330" s="74" t="s">
        <v>9566</v>
      </c>
      <c r="AD1330" s="73" t="s">
        <v>9578</v>
      </c>
      <c r="AE1330" s="74" t="s">
        <v>9579</v>
      </c>
    </row>
    <row r="1331" spans="1:31" ht="8.65" customHeight="1" x14ac:dyDescent="0.2">
      <c r="A1331" s="76">
        <v>1331</v>
      </c>
      <c r="B1331" s="67" t="str">
        <f>MID(C1331, FIND("Ifc.", C1331) + 4, 4) &amp; "_" &amp; TEXT(COUNTIF($C$2:C1331, C1331),"0000")</f>
        <v>Prop_1330</v>
      </c>
      <c r="C1331" s="24" t="s">
        <v>872</v>
      </c>
      <c r="D1331" s="69" t="s">
        <v>9453</v>
      </c>
      <c r="E1331" s="70" t="s">
        <v>9454</v>
      </c>
      <c r="F1331" s="17" t="s">
        <v>806</v>
      </c>
      <c r="G1331" s="22" t="s">
        <v>1739</v>
      </c>
      <c r="H1331" s="12" t="s">
        <v>9703</v>
      </c>
      <c r="I1331" s="13" t="s">
        <v>6241</v>
      </c>
      <c r="J1331" s="14" t="s">
        <v>798</v>
      </c>
      <c r="K1331" s="15" t="s">
        <v>798</v>
      </c>
      <c r="L1331" s="12" t="s">
        <v>5315</v>
      </c>
      <c r="M1331" s="13" t="s">
        <v>5852</v>
      </c>
      <c r="N1331" s="12" t="s">
        <v>803</v>
      </c>
      <c r="O1331" s="13" t="s">
        <v>5005</v>
      </c>
      <c r="P1331" s="17" t="s">
        <v>802</v>
      </c>
      <c r="Q1331" s="21" t="s">
        <v>7920</v>
      </c>
      <c r="R1331" s="17" t="s">
        <v>801</v>
      </c>
      <c r="S1331" s="18" t="s">
        <v>2619</v>
      </c>
      <c r="T1331" s="17" t="s">
        <v>800</v>
      </c>
      <c r="U1331" s="18" t="s">
        <v>5239</v>
      </c>
      <c r="V1331" s="17" t="s">
        <v>9418</v>
      </c>
      <c r="W1331" s="18" t="s">
        <v>5309</v>
      </c>
      <c r="X1331" s="69" t="s">
        <v>9453</v>
      </c>
      <c r="Y1331" s="70" t="s">
        <v>9462</v>
      </c>
      <c r="Z1331" s="73" t="s">
        <v>9486</v>
      </c>
      <c r="AA1331" s="74" t="s">
        <v>9504</v>
      </c>
      <c r="AB1331" s="73" t="s">
        <v>9486</v>
      </c>
      <c r="AC1331" s="74" t="s">
        <v>9566</v>
      </c>
      <c r="AD1331" s="73" t="s">
        <v>9578</v>
      </c>
      <c r="AE1331" s="74" t="s">
        <v>9579</v>
      </c>
    </row>
    <row r="1332" spans="1:31" ht="8.65" customHeight="1" x14ac:dyDescent="0.2">
      <c r="A1332" s="76">
        <v>1332</v>
      </c>
      <c r="B1332" s="67" t="str">
        <f>MID(C1332, FIND("Ifc.", C1332) + 4, 4) &amp; "_" &amp; TEXT(COUNTIF($C$2:C1332, C1332),"0000")</f>
        <v>Prop_1331</v>
      </c>
      <c r="C1332" s="24" t="s">
        <v>872</v>
      </c>
      <c r="D1332" s="69" t="s">
        <v>9453</v>
      </c>
      <c r="E1332" s="70" t="s">
        <v>9454</v>
      </c>
      <c r="F1332" s="17" t="s">
        <v>806</v>
      </c>
      <c r="G1332" s="22" t="s">
        <v>1286</v>
      </c>
      <c r="H1332" s="12" t="s">
        <v>9703</v>
      </c>
      <c r="I1332" s="13" t="s">
        <v>6241</v>
      </c>
      <c r="J1332" s="14" t="s">
        <v>798</v>
      </c>
      <c r="K1332" s="15" t="s">
        <v>798</v>
      </c>
      <c r="L1332" s="12" t="s">
        <v>5315</v>
      </c>
      <c r="M1332" s="13" t="s">
        <v>6006</v>
      </c>
      <c r="N1332" s="12" t="s">
        <v>803</v>
      </c>
      <c r="O1332" s="13" t="s">
        <v>5210</v>
      </c>
      <c r="P1332" s="17" t="s">
        <v>802</v>
      </c>
      <c r="Q1332" s="21" t="s">
        <v>7902</v>
      </c>
      <c r="R1332" s="17" t="s">
        <v>801</v>
      </c>
      <c r="S1332" s="18" t="s">
        <v>2619</v>
      </c>
      <c r="T1332" s="17" t="s">
        <v>800</v>
      </c>
      <c r="U1332" s="18" t="s">
        <v>5239</v>
      </c>
      <c r="V1332" s="17" t="s">
        <v>9418</v>
      </c>
      <c r="W1332" s="18" t="s">
        <v>5309</v>
      </c>
      <c r="X1332" s="69" t="s">
        <v>9453</v>
      </c>
      <c r="Y1332" s="70" t="s">
        <v>9462</v>
      </c>
      <c r="Z1332" s="73" t="s">
        <v>9486</v>
      </c>
      <c r="AA1332" s="74" t="s">
        <v>9504</v>
      </c>
      <c r="AB1332" s="73" t="s">
        <v>9486</v>
      </c>
      <c r="AC1332" s="74" t="s">
        <v>9566</v>
      </c>
      <c r="AD1332" s="73" t="s">
        <v>9578</v>
      </c>
      <c r="AE1332" s="74" t="s">
        <v>9579</v>
      </c>
    </row>
    <row r="1333" spans="1:31" ht="8.65" customHeight="1" x14ac:dyDescent="0.2">
      <c r="A1333" s="76">
        <v>1333</v>
      </c>
      <c r="B1333" s="67" t="str">
        <f>MID(C1333, FIND("Ifc.", C1333) + 4, 4) &amp; "_" &amp; TEXT(COUNTIF($C$2:C1333, C1333),"0000")</f>
        <v>Prop_1332</v>
      </c>
      <c r="C1333" s="24" t="s">
        <v>872</v>
      </c>
      <c r="D1333" s="69" t="s">
        <v>9453</v>
      </c>
      <c r="E1333" s="70" t="s">
        <v>9454</v>
      </c>
      <c r="F1333" s="17" t="s">
        <v>806</v>
      </c>
      <c r="G1333" s="22" t="s">
        <v>1286</v>
      </c>
      <c r="H1333" s="12" t="s">
        <v>9703</v>
      </c>
      <c r="I1333" s="13" t="s">
        <v>6241</v>
      </c>
      <c r="J1333" s="14" t="s">
        <v>798</v>
      </c>
      <c r="K1333" s="15" t="s">
        <v>798</v>
      </c>
      <c r="L1333" s="12" t="s">
        <v>5315</v>
      </c>
      <c r="M1333" s="13" t="s">
        <v>6019</v>
      </c>
      <c r="N1333" s="12" t="s">
        <v>803</v>
      </c>
      <c r="O1333" s="13" t="s">
        <v>4900</v>
      </c>
      <c r="P1333" s="17" t="s">
        <v>802</v>
      </c>
      <c r="Q1333" s="21" t="s">
        <v>7996</v>
      </c>
      <c r="R1333" s="17" t="s">
        <v>801</v>
      </c>
      <c r="S1333" s="18" t="s">
        <v>2619</v>
      </c>
      <c r="T1333" s="17" t="s">
        <v>800</v>
      </c>
      <c r="U1333" s="18" t="s">
        <v>5239</v>
      </c>
      <c r="V1333" s="17" t="s">
        <v>9418</v>
      </c>
      <c r="W1333" s="18" t="s">
        <v>5309</v>
      </c>
      <c r="X1333" s="69" t="s">
        <v>9453</v>
      </c>
      <c r="Y1333" s="70" t="s">
        <v>9462</v>
      </c>
      <c r="Z1333" s="73" t="s">
        <v>9486</v>
      </c>
      <c r="AA1333" s="74" t="s">
        <v>9504</v>
      </c>
      <c r="AB1333" s="73" t="s">
        <v>9486</v>
      </c>
      <c r="AC1333" s="74" t="s">
        <v>9566</v>
      </c>
      <c r="AD1333" s="73" t="s">
        <v>9578</v>
      </c>
      <c r="AE1333" s="74" t="s">
        <v>9579</v>
      </c>
    </row>
    <row r="1334" spans="1:31" ht="8.65" customHeight="1" x14ac:dyDescent="0.2">
      <c r="A1334" s="76">
        <v>1334</v>
      </c>
      <c r="B1334" s="67" t="str">
        <f>MID(C1334, FIND("Ifc.", C1334) + 4, 4) &amp; "_" &amp; TEXT(COUNTIF($C$2:C1334, C1334),"0000")</f>
        <v>Prop_1333</v>
      </c>
      <c r="C1334" s="24" t="s">
        <v>872</v>
      </c>
      <c r="D1334" s="69" t="s">
        <v>9453</v>
      </c>
      <c r="E1334" s="70" t="s">
        <v>9454</v>
      </c>
      <c r="F1334" s="17" t="s">
        <v>806</v>
      </c>
      <c r="G1334" s="22" t="s">
        <v>1286</v>
      </c>
      <c r="H1334" s="12" t="s">
        <v>9703</v>
      </c>
      <c r="I1334" s="13" t="s">
        <v>6241</v>
      </c>
      <c r="J1334" s="14" t="s">
        <v>798</v>
      </c>
      <c r="K1334" s="15" t="s">
        <v>798</v>
      </c>
      <c r="L1334" s="12" t="s">
        <v>5315</v>
      </c>
      <c r="M1334" s="13" t="s">
        <v>5472</v>
      </c>
      <c r="N1334" s="12" t="s">
        <v>803</v>
      </c>
      <c r="O1334" s="13" t="s">
        <v>5067</v>
      </c>
      <c r="P1334" s="17" t="s">
        <v>802</v>
      </c>
      <c r="Q1334" s="21" t="s">
        <v>7791</v>
      </c>
      <c r="R1334" s="17" t="s">
        <v>801</v>
      </c>
      <c r="S1334" s="18" t="s">
        <v>2590</v>
      </c>
      <c r="T1334" s="17" t="s">
        <v>800</v>
      </c>
      <c r="U1334" s="18" t="s">
        <v>5274</v>
      </c>
      <c r="V1334" s="17" t="s">
        <v>9418</v>
      </c>
      <c r="W1334" s="18" t="s">
        <v>5309</v>
      </c>
      <c r="X1334" s="69" t="s">
        <v>9453</v>
      </c>
      <c r="Y1334" s="70" t="s">
        <v>9462</v>
      </c>
      <c r="Z1334" s="73" t="s">
        <v>9486</v>
      </c>
      <c r="AA1334" s="74" t="s">
        <v>9504</v>
      </c>
      <c r="AB1334" s="73" t="s">
        <v>9486</v>
      </c>
      <c r="AC1334" s="74" t="s">
        <v>9566</v>
      </c>
      <c r="AD1334" s="73" t="s">
        <v>9578</v>
      </c>
      <c r="AE1334" s="74" t="s">
        <v>9579</v>
      </c>
    </row>
    <row r="1335" spans="1:31" ht="8.65" customHeight="1" x14ac:dyDescent="0.2">
      <c r="A1335" s="76">
        <v>1335</v>
      </c>
      <c r="B1335" s="67" t="str">
        <f>MID(C1335, FIND("Ifc.", C1335) + 4, 4) &amp; "_" &amp; TEXT(COUNTIF($C$2:C1335, C1335),"0000")</f>
        <v>Prop_1334</v>
      </c>
      <c r="C1335" s="24" t="s">
        <v>872</v>
      </c>
      <c r="D1335" s="69" t="s">
        <v>9453</v>
      </c>
      <c r="E1335" s="70" t="s">
        <v>9454</v>
      </c>
      <c r="F1335" s="17" t="s">
        <v>806</v>
      </c>
      <c r="G1335" s="22" t="s">
        <v>1679</v>
      </c>
      <c r="H1335" s="12" t="s">
        <v>9703</v>
      </c>
      <c r="I1335" s="13" t="s">
        <v>6898</v>
      </c>
      <c r="J1335" s="14" t="s">
        <v>798</v>
      </c>
      <c r="K1335" s="15" t="s">
        <v>798</v>
      </c>
      <c r="L1335" s="12" t="s">
        <v>5315</v>
      </c>
      <c r="M1335" s="13" t="s">
        <v>5850</v>
      </c>
      <c r="N1335" s="12" t="s">
        <v>803</v>
      </c>
      <c r="O1335" s="13" t="s">
        <v>4997</v>
      </c>
      <c r="P1335" s="17" t="s">
        <v>802</v>
      </c>
      <c r="Q1335" s="21" t="s">
        <v>7957</v>
      </c>
      <c r="R1335" s="17" t="s">
        <v>801</v>
      </c>
      <c r="S1335" s="18" t="s">
        <v>3636</v>
      </c>
      <c r="T1335" s="17" t="s">
        <v>800</v>
      </c>
      <c r="U1335" s="18" t="s">
        <v>5257</v>
      </c>
      <c r="V1335" s="17" t="s">
        <v>9418</v>
      </c>
      <c r="W1335" s="18" t="s">
        <v>5314</v>
      </c>
      <c r="X1335" s="69" t="s">
        <v>9453</v>
      </c>
      <c r="Y1335" s="70" t="s">
        <v>9464</v>
      </c>
      <c r="Z1335" s="73" t="s">
        <v>9486</v>
      </c>
      <c r="AA1335" s="74" t="s">
        <v>9504</v>
      </c>
      <c r="AB1335" s="73" t="s">
        <v>9486</v>
      </c>
      <c r="AC1335" s="74" t="s">
        <v>9561</v>
      </c>
      <c r="AD1335" s="73" t="s">
        <v>9578</v>
      </c>
      <c r="AE1335" s="74" t="s">
        <v>9579</v>
      </c>
    </row>
    <row r="1336" spans="1:31" ht="8.65" customHeight="1" x14ac:dyDescent="0.2">
      <c r="A1336" s="76">
        <v>1336</v>
      </c>
      <c r="B1336" s="67" t="str">
        <f>MID(C1336, FIND("Ifc.", C1336) + 4, 4) &amp; "_" &amp; TEXT(COUNTIF($C$2:C1336, C1336),"0000")</f>
        <v>Prop_1335</v>
      </c>
      <c r="C1336" s="24" t="s">
        <v>872</v>
      </c>
      <c r="D1336" s="69" t="s">
        <v>9453</v>
      </c>
      <c r="E1336" s="70" t="s">
        <v>9454</v>
      </c>
      <c r="F1336" s="17" t="s">
        <v>806</v>
      </c>
      <c r="G1336" s="22" t="s">
        <v>1677</v>
      </c>
      <c r="H1336" s="12" t="s">
        <v>9703</v>
      </c>
      <c r="I1336" s="13" t="s">
        <v>6429</v>
      </c>
      <c r="J1336" s="14" t="s">
        <v>798</v>
      </c>
      <c r="K1336" s="15" t="s">
        <v>798</v>
      </c>
      <c r="L1336" s="12" t="s">
        <v>5315</v>
      </c>
      <c r="M1336" s="13" t="s">
        <v>5850</v>
      </c>
      <c r="N1336" s="12" t="s">
        <v>803</v>
      </c>
      <c r="O1336" s="13" t="s">
        <v>4997</v>
      </c>
      <c r="P1336" s="17" t="s">
        <v>802</v>
      </c>
      <c r="Q1336" s="21" t="s">
        <v>7957</v>
      </c>
      <c r="R1336" s="17" t="s">
        <v>801</v>
      </c>
      <c r="S1336" s="18" t="s">
        <v>3636</v>
      </c>
      <c r="T1336" s="17" t="s">
        <v>800</v>
      </c>
      <c r="U1336" s="18" t="s">
        <v>5257</v>
      </c>
      <c r="V1336" s="17" t="s">
        <v>9418</v>
      </c>
      <c r="W1336" s="18" t="s">
        <v>5314</v>
      </c>
      <c r="X1336" s="69" t="s">
        <v>9453</v>
      </c>
      <c r="Y1336" s="70" t="s">
        <v>9464</v>
      </c>
      <c r="Z1336" s="73" t="s">
        <v>9486</v>
      </c>
      <c r="AA1336" s="74" t="s">
        <v>9504</v>
      </c>
      <c r="AB1336" s="73" t="s">
        <v>9486</v>
      </c>
      <c r="AC1336" s="74" t="s">
        <v>9561</v>
      </c>
      <c r="AD1336" s="73" t="s">
        <v>9578</v>
      </c>
      <c r="AE1336" s="74" t="s">
        <v>9579</v>
      </c>
    </row>
    <row r="1337" spans="1:31" ht="8.65" customHeight="1" x14ac:dyDescent="0.2">
      <c r="A1337" s="76">
        <v>1337</v>
      </c>
      <c r="B1337" s="67" t="str">
        <f>MID(C1337, FIND("Ifc.", C1337) + 4, 4) &amp; "_" &amp; TEXT(COUNTIF($C$2:C1337, C1337),"0000")</f>
        <v>Prop_1336</v>
      </c>
      <c r="C1337" s="24" t="s">
        <v>872</v>
      </c>
      <c r="D1337" s="69" t="s">
        <v>9453</v>
      </c>
      <c r="E1337" s="70" t="s">
        <v>9454</v>
      </c>
      <c r="F1337" s="17" t="s">
        <v>806</v>
      </c>
      <c r="G1337" s="22" t="s">
        <v>1875</v>
      </c>
      <c r="H1337" s="12" t="s">
        <v>9703</v>
      </c>
      <c r="I1337" s="13" t="s">
        <v>7653</v>
      </c>
      <c r="J1337" s="14" t="s">
        <v>798</v>
      </c>
      <c r="K1337" s="15" t="s">
        <v>798</v>
      </c>
      <c r="L1337" s="12" t="s">
        <v>5315</v>
      </c>
      <c r="M1337" s="13" t="s">
        <v>5950</v>
      </c>
      <c r="N1337" s="12" t="s">
        <v>803</v>
      </c>
      <c r="O1337" s="13" t="s">
        <v>5039</v>
      </c>
      <c r="P1337" s="17" t="s">
        <v>802</v>
      </c>
      <c r="Q1337" s="21" t="s">
        <v>8003</v>
      </c>
      <c r="R1337" s="17" t="s">
        <v>801</v>
      </c>
      <c r="S1337" s="18" t="s">
        <v>2621</v>
      </c>
      <c r="T1337" s="17" t="s">
        <v>800</v>
      </c>
      <c r="U1337" s="18" t="s">
        <v>5260</v>
      </c>
      <c r="V1337" s="17" t="s">
        <v>9418</v>
      </c>
      <c r="W1337" s="18" t="s">
        <v>5309</v>
      </c>
      <c r="X1337" s="69" t="s">
        <v>9453</v>
      </c>
      <c r="Y1337" s="70" t="s">
        <v>9462</v>
      </c>
      <c r="Z1337" s="73" t="s">
        <v>9486</v>
      </c>
      <c r="AA1337" s="74" t="s">
        <v>9504</v>
      </c>
      <c r="AB1337" s="73" t="s">
        <v>9486</v>
      </c>
      <c r="AC1337" s="74" t="s">
        <v>9566</v>
      </c>
      <c r="AD1337" s="73" t="s">
        <v>9578</v>
      </c>
      <c r="AE1337" s="74" t="s">
        <v>9579</v>
      </c>
    </row>
    <row r="1338" spans="1:31" ht="8.65" customHeight="1" x14ac:dyDescent="0.2">
      <c r="A1338" s="76">
        <v>1338</v>
      </c>
      <c r="B1338" s="67" t="str">
        <f>MID(C1338, FIND("Ifc.", C1338) + 4, 4) &amp; "_" &amp; TEXT(COUNTIF($C$2:C1338, C1338),"0000")</f>
        <v>Prop_1337</v>
      </c>
      <c r="C1338" s="24" t="s">
        <v>872</v>
      </c>
      <c r="D1338" s="69" t="s">
        <v>9453</v>
      </c>
      <c r="E1338" s="70" t="s">
        <v>9454</v>
      </c>
      <c r="F1338" s="17" t="s">
        <v>806</v>
      </c>
      <c r="G1338" s="22" t="s">
        <v>1875</v>
      </c>
      <c r="H1338" s="12" t="s">
        <v>9703</v>
      </c>
      <c r="I1338" s="13" t="s">
        <v>7653</v>
      </c>
      <c r="J1338" s="14" t="s">
        <v>798</v>
      </c>
      <c r="K1338" s="15" t="s">
        <v>798</v>
      </c>
      <c r="L1338" s="12" t="s">
        <v>5315</v>
      </c>
      <c r="M1338" s="13" t="s">
        <v>5953</v>
      </c>
      <c r="N1338" s="12" t="s">
        <v>803</v>
      </c>
      <c r="O1338" s="13" t="s">
        <v>5042</v>
      </c>
      <c r="P1338" s="17" t="s">
        <v>802</v>
      </c>
      <c r="Q1338" s="21" t="s">
        <v>8004</v>
      </c>
      <c r="R1338" s="17" t="s">
        <v>801</v>
      </c>
      <c r="S1338" s="18" t="s">
        <v>2621</v>
      </c>
      <c r="T1338" s="17" t="s">
        <v>800</v>
      </c>
      <c r="U1338" s="18" t="s">
        <v>5260</v>
      </c>
      <c r="V1338" s="17" t="s">
        <v>9418</v>
      </c>
      <c r="W1338" s="18" t="s">
        <v>5309</v>
      </c>
      <c r="X1338" s="69" t="s">
        <v>9453</v>
      </c>
      <c r="Y1338" s="70" t="s">
        <v>9462</v>
      </c>
      <c r="Z1338" s="73" t="s">
        <v>9486</v>
      </c>
      <c r="AA1338" s="74" t="s">
        <v>9504</v>
      </c>
      <c r="AB1338" s="73" t="s">
        <v>9486</v>
      </c>
      <c r="AC1338" s="74" t="s">
        <v>9566</v>
      </c>
      <c r="AD1338" s="73" t="s">
        <v>9578</v>
      </c>
      <c r="AE1338" s="74" t="s">
        <v>9579</v>
      </c>
    </row>
    <row r="1339" spans="1:31" ht="8.65" customHeight="1" x14ac:dyDescent="0.2">
      <c r="A1339" s="76">
        <v>1339</v>
      </c>
      <c r="B1339" s="67" t="str">
        <f>MID(C1339, FIND("Ifc.", C1339) + 4, 4) &amp; "_" &amp; TEXT(COUNTIF($C$2:C1339, C1339),"0000")</f>
        <v>Prop_1338</v>
      </c>
      <c r="C1339" s="24" t="s">
        <v>872</v>
      </c>
      <c r="D1339" s="69" t="s">
        <v>9453</v>
      </c>
      <c r="E1339" s="70" t="s">
        <v>9454</v>
      </c>
      <c r="F1339" s="17" t="s">
        <v>806</v>
      </c>
      <c r="G1339" s="22" t="s">
        <v>2499</v>
      </c>
      <c r="H1339" s="12" t="s">
        <v>9703</v>
      </c>
      <c r="I1339" s="13" t="s">
        <v>6723</v>
      </c>
      <c r="J1339" s="14" t="s">
        <v>798</v>
      </c>
      <c r="K1339" s="15" t="s">
        <v>798</v>
      </c>
      <c r="L1339" s="12" t="s">
        <v>5315</v>
      </c>
      <c r="M1339" s="13" t="s">
        <v>6005</v>
      </c>
      <c r="N1339" s="12" t="s">
        <v>803</v>
      </c>
      <c r="O1339" s="13" t="s">
        <v>5221</v>
      </c>
      <c r="P1339" s="17" t="s">
        <v>802</v>
      </c>
      <c r="Q1339" s="21" t="s">
        <v>7711</v>
      </c>
      <c r="R1339" s="17" t="s">
        <v>801</v>
      </c>
      <c r="S1339" s="18" t="s">
        <v>2562</v>
      </c>
      <c r="T1339" s="17" t="s">
        <v>800</v>
      </c>
      <c r="U1339" s="18" t="s">
        <v>5256</v>
      </c>
      <c r="V1339" s="17" t="s">
        <v>9418</v>
      </c>
      <c r="W1339" s="18" t="s">
        <v>5309</v>
      </c>
      <c r="X1339" s="69" t="s">
        <v>9453</v>
      </c>
      <c r="Y1339" s="70" t="s">
        <v>9462</v>
      </c>
      <c r="Z1339" s="73" t="s">
        <v>9486</v>
      </c>
      <c r="AA1339" s="74" t="s">
        <v>9504</v>
      </c>
      <c r="AB1339" s="73" t="s">
        <v>9486</v>
      </c>
      <c r="AC1339" s="74" t="s">
        <v>9562</v>
      </c>
      <c r="AD1339" s="73" t="s">
        <v>9578</v>
      </c>
      <c r="AE1339" s="74" t="s">
        <v>9579</v>
      </c>
    </row>
    <row r="1340" spans="1:31" ht="8.65" customHeight="1" x14ac:dyDescent="0.2">
      <c r="A1340" s="76">
        <v>1340</v>
      </c>
      <c r="B1340" s="67" t="str">
        <f>MID(C1340, FIND("Ifc.", C1340) + 4, 4) &amp; "_" &amp; TEXT(COUNTIF($C$2:C1340, C1340),"0000")</f>
        <v>Prop_1339</v>
      </c>
      <c r="C1340" s="24" t="s">
        <v>872</v>
      </c>
      <c r="D1340" s="69" t="s">
        <v>9453</v>
      </c>
      <c r="E1340" s="70" t="s">
        <v>9454</v>
      </c>
      <c r="F1340" s="17" t="s">
        <v>806</v>
      </c>
      <c r="G1340" s="22" t="s">
        <v>2095</v>
      </c>
      <c r="H1340" s="12" t="s">
        <v>9703</v>
      </c>
      <c r="I1340" s="13" t="s">
        <v>6634</v>
      </c>
      <c r="J1340" s="14" t="s">
        <v>798</v>
      </c>
      <c r="K1340" s="15" t="s">
        <v>798</v>
      </c>
      <c r="L1340" s="12" t="s">
        <v>5315</v>
      </c>
      <c r="M1340" s="13" t="s">
        <v>5490</v>
      </c>
      <c r="N1340" s="12" t="s">
        <v>803</v>
      </c>
      <c r="O1340" s="13" t="s">
        <v>5099</v>
      </c>
      <c r="P1340" s="17" t="s">
        <v>802</v>
      </c>
      <c r="Q1340" s="21" t="s">
        <v>7778</v>
      </c>
      <c r="R1340" s="17" t="s">
        <v>801</v>
      </c>
      <c r="S1340" s="18" t="s">
        <v>2619</v>
      </c>
      <c r="T1340" s="17" t="s">
        <v>800</v>
      </c>
      <c r="U1340" s="18" t="s">
        <v>5239</v>
      </c>
      <c r="V1340" s="17" t="s">
        <v>9418</v>
      </c>
      <c r="W1340" s="18" t="s">
        <v>5309</v>
      </c>
      <c r="X1340" s="69" t="s">
        <v>9453</v>
      </c>
      <c r="Y1340" s="70" t="s">
        <v>9462</v>
      </c>
      <c r="Z1340" s="73" t="s">
        <v>9486</v>
      </c>
      <c r="AA1340" s="74" t="s">
        <v>9504</v>
      </c>
      <c r="AB1340" s="73" t="s">
        <v>9486</v>
      </c>
      <c r="AC1340" s="74" t="s">
        <v>9566</v>
      </c>
      <c r="AD1340" s="73" t="s">
        <v>9578</v>
      </c>
      <c r="AE1340" s="74" t="s">
        <v>9579</v>
      </c>
    </row>
    <row r="1341" spans="1:31" ht="8.65" customHeight="1" x14ac:dyDescent="0.2">
      <c r="A1341" s="76">
        <v>1341</v>
      </c>
      <c r="B1341" s="67" t="str">
        <f>MID(C1341, FIND("Ifc.", C1341) + 4, 4) &amp; "_" &amp; TEXT(COUNTIF($C$2:C1341, C1341),"0000")</f>
        <v>Prop_1340</v>
      </c>
      <c r="C1341" s="24" t="s">
        <v>872</v>
      </c>
      <c r="D1341" s="69" t="s">
        <v>9453</v>
      </c>
      <c r="E1341" s="70" t="s">
        <v>9454</v>
      </c>
      <c r="F1341" s="17" t="s">
        <v>806</v>
      </c>
      <c r="G1341" s="22" t="s">
        <v>2036</v>
      </c>
      <c r="H1341" s="12" t="s">
        <v>9703</v>
      </c>
      <c r="I1341" s="13" t="s">
        <v>7420</v>
      </c>
      <c r="J1341" s="14" t="s">
        <v>798</v>
      </c>
      <c r="K1341" s="15" t="s">
        <v>798</v>
      </c>
      <c r="L1341" s="12" t="s">
        <v>5315</v>
      </c>
      <c r="M1341" s="13" t="s">
        <v>5481</v>
      </c>
      <c r="N1341" s="12" t="s">
        <v>803</v>
      </c>
      <c r="O1341" s="13" t="s">
        <v>5085</v>
      </c>
      <c r="P1341" s="17" t="s">
        <v>802</v>
      </c>
      <c r="Q1341" s="21" t="s">
        <v>7708</v>
      </c>
      <c r="R1341" s="17" t="s">
        <v>801</v>
      </c>
      <c r="S1341" s="18" t="s">
        <v>2584</v>
      </c>
      <c r="T1341" s="17" t="s">
        <v>800</v>
      </c>
      <c r="U1341" s="18" t="s">
        <v>5294</v>
      </c>
      <c r="V1341" s="17" t="s">
        <v>9418</v>
      </c>
      <c r="W1341" s="18" t="s">
        <v>5309</v>
      </c>
      <c r="X1341" s="69" t="s">
        <v>9453</v>
      </c>
      <c r="Y1341" s="70" t="s">
        <v>9462</v>
      </c>
      <c r="Z1341" s="73" t="s">
        <v>9486</v>
      </c>
      <c r="AA1341" s="74" t="s">
        <v>9504</v>
      </c>
      <c r="AB1341" s="73" t="s">
        <v>9486</v>
      </c>
      <c r="AC1341" s="74" t="s">
        <v>9566</v>
      </c>
      <c r="AD1341" s="73" t="s">
        <v>9578</v>
      </c>
      <c r="AE1341" s="74" t="s">
        <v>9579</v>
      </c>
    </row>
    <row r="1342" spans="1:31" ht="8.65" customHeight="1" x14ac:dyDescent="0.2">
      <c r="A1342" s="76">
        <v>1342</v>
      </c>
      <c r="B1342" s="67" t="str">
        <f>MID(C1342, FIND("Ifc.", C1342) + 4, 4) &amp; "_" &amp; TEXT(COUNTIF($C$2:C1342, C1342),"0000")</f>
        <v>Prop_1341</v>
      </c>
      <c r="C1342" s="24" t="s">
        <v>872</v>
      </c>
      <c r="D1342" s="69" t="s">
        <v>9453</v>
      </c>
      <c r="E1342" s="70" t="s">
        <v>9454</v>
      </c>
      <c r="F1342" s="17" t="s">
        <v>806</v>
      </c>
      <c r="G1342" s="22" t="s">
        <v>2037</v>
      </c>
      <c r="H1342" s="12" t="s">
        <v>9703</v>
      </c>
      <c r="I1342" s="13" t="s">
        <v>7421</v>
      </c>
      <c r="J1342" s="14" t="s">
        <v>798</v>
      </c>
      <c r="K1342" s="15" t="s">
        <v>798</v>
      </c>
      <c r="L1342" s="12" t="s">
        <v>5315</v>
      </c>
      <c r="M1342" s="13" t="s">
        <v>5481</v>
      </c>
      <c r="N1342" s="12" t="s">
        <v>803</v>
      </c>
      <c r="O1342" s="13" t="s">
        <v>5085</v>
      </c>
      <c r="P1342" s="17" t="s">
        <v>802</v>
      </c>
      <c r="Q1342" s="21" t="s">
        <v>7708</v>
      </c>
      <c r="R1342" s="17" t="s">
        <v>801</v>
      </c>
      <c r="S1342" s="18" t="s">
        <v>2584</v>
      </c>
      <c r="T1342" s="17" t="s">
        <v>800</v>
      </c>
      <c r="U1342" s="18" t="s">
        <v>5294</v>
      </c>
      <c r="V1342" s="17" t="s">
        <v>9418</v>
      </c>
      <c r="W1342" s="18" t="s">
        <v>5309</v>
      </c>
      <c r="X1342" s="69" t="s">
        <v>9453</v>
      </c>
      <c r="Y1342" s="70" t="s">
        <v>9462</v>
      </c>
      <c r="Z1342" s="73" t="s">
        <v>9486</v>
      </c>
      <c r="AA1342" s="74" t="s">
        <v>9504</v>
      </c>
      <c r="AB1342" s="73" t="s">
        <v>9486</v>
      </c>
      <c r="AC1342" s="74" t="s">
        <v>9566</v>
      </c>
      <c r="AD1342" s="73" t="s">
        <v>9578</v>
      </c>
      <c r="AE1342" s="74" t="s">
        <v>9579</v>
      </c>
    </row>
    <row r="1343" spans="1:31" ht="8.65" customHeight="1" x14ac:dyDescent="0.2">
      <c r="A1343" s="76">
        <v>1343</v>
      </c>
      <c r="B1343" s="67" t="str">
        <f>MID(C1343, FIND("Ifc.", C1343) + 4, 4) &amp; "_" &amp; TEXT(COUNTIF($C$2:C1343, C1343),"0000")</f>
        <v>Prop_1342</v>
      </c>
      <c r="C1343" s="24" t="s">
        <v>872</v>
      </c>
      <c r="D1343" s="69" t="s">
        <v>9453</v>
      </c>
      <c r="E1343" s="70" t="s">
        <v>9454</v>
      </c>
      <c r="F1343" s="17" t="s">
        <v>806</v>
      </c>
      <c r="G1343" s="22" t="s">
        <v>2035</v>
      </c>
      <c r="H1343" s="12" t="s">
        <v>9703</v>
      </c>
      <c r="I1343" s="13" t="s">
        <v>7423</v>
      </c>
      <c r="J1343" s="14" t="s">
        <v>798</v>
      </c>
      <c r="K1343" s="15" t="s">
        <v>798</v>
      </c>
      <c r="L1343" s="12" t="s">
        <v>5315</v>
      </c>
      <c r="M1343" s="13" t="s">
        <v>5481</v>
      </c>
      <c r="N1343" s="12" t="s">
        <v>803</v>
      </c>
      <c r="O1343" s="13" t="s">
        <v>5085</v>
      </c>
      <c r="P1343" s="17" t="s">
        <v>802</v>
      </c>
      <c r="Q1343" s="21" t="s">
        <v>7708</v>
      </c>
      <c r="R1343" s="17" t="s">
        <v>801</v>
      </c>
      <c r="S1343" s="18" t="s">
        <v>2584</v>
      </c>
      <c r="T1343" s="17" t="s">
        <v>800</v>
      </c>
      <c r="U1343" s="18" t="s">
        <v>5294</v>
      </c>
      <c r="V1343" s="17" t="s">
        <v>9418</v>
      </c>
      <c r="W1343" s="18" t="s">
        <v>5309</v>
      </c>
      <c r="X1343" s="69" t="s">
        <v>9453</v>
      </c>
      <c r="Y1343" s="70" t="s">
        <v>9462</v>
      </c>
      <c r="Z1343" s="73" t="s">
        <v>9486</v>
      </c>
      <c r="AA1343" s="74" t="s">
        <v>9504</v>
      </c>
      <c r="AB1343" s="73" t="s">
        <v>9486</v>
      </c>
      <c r="AC1343" s="74" t="s">
        <v>9566</v>
      </c>
      <c r="AD1343" s="73" t="s">
        <v>9578</v>
      </c>
      <c r="AE1343" s="74" t="s">
        <v>9579</v>
      </c>
    </row>
    <row r="1344" spans="1:31" ht="8.65" customHeight="1" x14ac:dyDescent="0.2">
      <c r="A1344" s="76">
        <v>1344</v>
      </c>
      <c r="B1344" s="67" t="str">
        <f>MID(C1344, FIND("Ifc.", C1344) + 4, 4) &amp; "_" &amp; TEXT(COUNTIF($C$2:C1344, C1344),"0000")</f>
        <v>Prop_1343</v>
      </c>
      <c r="C1344" s="24" t="s">
        <v>872</v>
      </c>
      <c r="D1344" s="69" t="s">
        <v>9453</v>
      </c>
      <c r="E1344" s="70" t="s">
        <v>9454</v>
      </c>
      <c r="F1344" s="17" t="s">
        <v>806</v>
      </c>
      <c r="G1344" s="22" t="s">
        <v>1983</v>
      </c>
      <c r="H1344" s="12" t="s">
        <v>9703</v>
      </c>
      <c r="I1344" s="13" t="s">
        <v>7422</v>
      </c>
      <c r="J1344" s="14" t="s">
        <v>798</v>
      </c>
      <c r="K1344" s="15" t="s">
        <v>798</v>
      </c>
      <c r="L1344" s="12" t="s">
        <v>5315</v>
      </c>
      <c r="M1344" s="13" t="s">
        <v>5974</v>
      </c>
      <c r="N1344" s="12" t="s">
        <v>803</v>
      </c>
      <c r="O1344" s="13" t="s">
        <v>5079</v>
      </c>
      <c r="P1344" s="17" t="s">
        <v>802</v>
      </c>
      <c r="Q1344" s="21" t="s">
        <v>7852</v>
      </c>
      <c r="R1344" s="17" t="s">
        <v>801</v>
      </c>
      <c r="S1344" s="18" t="s">
        <v>2554</v>
      </c>
      <c r="T1344" s="17" t="s">
        <v>800</v>
      </c>
      <c r="U1344" s="18" t="s">
        <v>5233</v>
      </c>
      <c r="V1344" s="17" t="s">
        <v>9418</v>
      </c>
      <c r="W1344" s="18" t="s">
        <v>5309</v>
      </c>
      <c r="X1344" s="69" t="s">
        <v>9453</v>
      </c>
      <c r="Y1344" s="70" t="s">
        <v>9462</v>
      </c>
      <c r="Z1344" s="73" t="s">
        <v>9486</v>
      </c>
      <c r="AA1344" s="74" t="s">
        <v>9504</v>
      </c>
      <c r="AB1344" s="73" t="s">
        <v>9486</v>
      </c>
      <c r="AC1344" s="74" t="s">
        <v>9562</v>
      </c>
      <c r="AD1344" s="73" t="s">
        <v>9578</v>
      </c>
      <c r="AE1344" s="74" t="s">
        <v>9579</v>
      </c>
    </row>
    <row r="1345" spans="1:31" ht="8.65" customHeight="1" x14ac:dyDescent="0.2">
      <c r="A1345" s="76">
        <v>1345</v>
      </c>
      <c r="B1345" s="67" t="str">
        <f>MID(C1345, FIND("Ifc.", C1345) + 4, 4) &amp; "_" &amp; TEXT(COUNTIF($C$2:C1345, C1345),"0000")</f>
        <v>Prop_1344</v>
      </c>
      <c r="C1345" s="24" t="s">
        <v>872</v>
      </c>
      <c r="D1345" s="69" t="s">
        <v>9453</v>
      </c>
      <c r="E1345" s="70" t="s">
        <v>9454</v>
      </c>
      <c r="F1345" s="17" t="s">
        <v>806</v>
      </c>
      <c r="G1345" s="22" t="s">
        <v>1584</v>
      </c>
      <c r="H1345" s="12" t="s">
        <v>9703</v>
      </c>
      <c r="I1345" s="13" t="s">
        <v>1584</v>
      </c>
      <c r="J1345" s="14" t="s">
        <v>798</v>
      </c>
      <c r="K1345" s="15" t="s">
        <v>798</v>
      </c>
      <c r="L1345" s="12" t="s">
        <v>5315</v>
      </c>
      <c r="M1345" s="13" t="s">
        <v>5897</v>
      </c>
      <c r="N1345" s="12" t="s">
        <v>803</v>
      </c>
      <c r="O1345" s="13" t="s">
        <v>4966</v>
      </c>
      <c r="P1345" s="17" t="s">
        <v>802</v>
      </c>
      <c r="Q1345" s="21" t="s">
        <v>7800</v>
      </c>
      <c r="R1345" s="17" t="s">
        <v>801</v>
      </c>
      <c r="S1345" s="18" t="s">
        <v>3636</v>
      </c>
      <c r="T1345" s="17" t="s">
        <v>800</v>
      </c>
      <c r="U1345" s="18" t="s">
        <v>5257</v>
      </c>
      <c r="V1345" s="17" t="s">
        <v>9418</v>
      </c>
      <c r="W1345" s="18" t="s">
        <v>5314</v>
      </c>
      <c r="X1345" s="69" t="s">
        <v>9453</v>
      </c>
      <c r="Y1345" s="70" t="s">
        <v>9464</v>
      </c>
      <c r="Z1345" s="73" t="s">
        <v>9486</v>
      </c>
      <c r="AA1345" s="74" t="s">
        <v>9504</v>
      </c>
      <c r="AB1345" s="73" t="s">
        <v>9486</v>
      </c>
      <c r="AC1345" s="74" t="s">
        <v>9561</v>
      </c>
      <c r="AD1345" s="73" t="s">
        <v>9578</v>
      </c>
      <c r="AE1345" s="74" t="s">
        <v>9579</v>
      </c>
    </row>
    <row r="1346" spans="1:31" ht="8.65" customHeight="1" x14ac:dyDescent="0.2">
      <c r="A1346" s="76">
        <v>1346</v>
      </c>
      <c r="B1346" s="67" t="str">
        <f>MID(C1346, FIND("Ifc.", C1346) + 4, 4) &amp; "_" &amp; TEXT(COUNTIF($C$2:C1346, C1346),"0000")</f>
        <v>Prop_1345</v>
      </c>
      <c r="C1346" s="24" t="s">
        <v>872</v>
      </c>
      <c r="D1346" s="69" t="s">
        <v>9453</v>
      </c>
      <c r="E1346" s="70" t="s">
        <v>9454</v>
      </c>
      <c r="F1346" s="17" t="s">
        <v>806</v>
      </c>
      <c r="G1346" s="22" t="s">
        <v>2018</v>
      </c>
      <c r="H1346" s="12" t="s">
        <v>9703</v>
      </c>
      <c r="I1346" s="13" t="s">
        <v>6609</v>
      </c>
      <c r="J1346" s="14" t="s">
        <v>798</v>
      </c>
      <c r="K1346" s="15" t="s">
        <v>798</v>
      </c>
      <c r="L1346" s="12" t="s">
        <v>5315</v>
      </c>
      <c r="M1346" s="13" t="s">
        <v>5480</v>
      </c>
      <c r="N1346" s="12" t="s">
        <v>803</v>
      </c>
      <c r="O1346" s="13" t="s">
        <v>5084</v>
      </c>
      <c r="P1346" s="17" t="s">
        <v>802</v>
      </c>
      <c r="Q1346" s="21" t="s">
        <v>7755</v>
      </c>
      <c r="R1346" s="17" t="s">
        <v>801</v>
      </c>
      <c r="S1346" s="18" t="s">
        <v>2585</v>
      </c>
      <c r="T1346" s="17" t="s">
        <v>800</v>
      </c>
      <c r="U1346" s="18" t="s">
        <v>5238</v>
      </c>
      <c r="V1346" s="17" t="s">
        <v>9418</v>
      </c>
      <c r="W1346" s="18" t="s">
        <v>5309</v>
      </c>
      <c r="X1346" s="69" t="s">
        <v>9453</v>
      </c>
      <c r="Y1346" s="70" t="s">
        <v>9462</v>
      </c>
      <c r="Z1346" s="73" t="s">
        <v>9486</v>
      </c>
      <c r="AA1346" s="74" t="s">
        <v>9504</v>
      </c>
      <c r="AB1346" s="73" t="s">
        <v>9486</v>
      </c>
      <c r="AC1346" s="74" t="s">
        <v>9566</v>
      </c>
      <c r="AD1346" s="73" t="s">
        <v>9578</v>
      </c>
      <c r="AE1346" s="74" t="s">
        <v>9579</v>
      </c>
    </row>
    <row r="1347" spans="1:31" ht="8.65" customHeight="1" x14ac:dyDescent="0.2">
      <c r="A1347" s="76">
        <v>1347</v>
      </c>
      <c r="B1347" s="67" t="str">
        <f>MID(C1347, FIND("Ifc.", C1347) + 4, 4) &amp; "_" &amp; TEXT(COUNTIF($C$2:C1347, C1347),"0000")</f>
        <v>Prop_1346</v>
      </c>
      <c r="C1347" s="24" t="s">
        <v>872</v>
      </c>
      <c r="D1347" s="69" t="s">
        <v>9453</v>
      </c>
      <c r="E1347" s="70" t="s">
        <v>9454</v>
      </c>
      <c r="F1347" s="17" t="s">
        <v>806</v>
      </c>
      <c r="G1347" s="22" t="s">
        <v>1514</v>
      </c>
      <c r="H1347" s="12" t="s">
        <v>9703</v>
      </c>
      <c r="I1347" s="13" t="s">
        <v>6350</v>
      </c>
      <c r="J1347" s="14" t="s">
        <v>798</v>
      </c>
      <c r="K1347" s="15" t="s">
        <v>798</v>
      </c>
      <c r="L1347" s="12" t="s">
        <v>5315</v>
      </c>
      <c r="M1347" s="13" t="s">
        <v>5444</v>
      </c>
      <c r="N1347" s="12" t="s">
        <v>803</v>
      </c>
      <c r="O1347" s="13" t="s">
        <v>4952</v>
      </c>
      <c r="P1347" s="17" t="s">
        <v>802</v>
      </c>
      <c r="Q1347" s="21" t="s">
        <v>7888</v>
      </c>
      <c r="R1347" s="17" t="s">
        <v>801</v>
      </c>
      <c r="S1347" s="18" t="s">
        <v>2553</v>
      </c>
      <c r="T1347" s="17" t="s">
        <v>800</v>
      </c>
      <c r="U1347" s="18" t="s">
        <v>5269</v>
      </c>
      <c r="V1347" s="17" t="s">
        <v>9418</v>
      </c>
      <c r="W1347" s="18" t="s">
        <v>5309</v>
      </c>
      <c r="X1347" s="69" t="s">
        <v>9453</v>
      </c>
      <c r="Y1347" s="70" t="s">
        <v>9462</v>
      </c>
      <c r="Z1347" s="73" t="s">
        <v>9486</v>
      </c>
      <c r="AA1347" s="74" t="s">
        <v>9504</v>
      </c>
      <c r="AB1347" s="73" t="s">
        <v>9486</v>
      </c>
      <c r="AC1347" s="74" t="s">
        <v>9561</v>
      </c>
      <c r="AD1347" s="73" t="s">
        <v>9578</v>
      </c>
      <c r="AE1347" s="74" t="s">
        <v>9579</v>
      </c>
    </row>
    <row r="1348" spans="1:31" ht="8.65" customHeight="1" x14ac:dyDescent="0.2">
      <c r="A1348" s="76">
        <v>1348</v>
      </c>
      <c r="B1348" s="67" t="str">
        <f>MID(C1348, FIND("Ifc.", C1348) + 4, 4) &amp; "_" &amp; TEXT(COUNTIF($C$2:C1348, C1348),"0000")</f>
        <v>Prop_1347</v>
      </c>
      <c r="C1348" s="24" t="s">
        <v>872</v>
      </c>
      <c r="D1348" s="69" t="s">
        <v>9453</v>
      </c>
      <c r="E1348" s="70" t="s">
        <v>9454</v>
      </c>
      <c r="F1348" s="17" t="s">
        <v>806</v>
      </c>
      <c r="G1348" s="22" t="s">
        <v>1544</v>
      </c>
      <c r="H1348" s="12" t="s">
        <v>9703</v>
      </c>
      <c r="I1348" s="13" t="s">
        <v>6536</v>
      </c>
      <c r="J1348" s="14" t="s">
        <v>798</v>
      </c>
      <c r="K1348" s="15" t="s">
        <v>798</v>
      </c>
      <c r="L1348" s="12" t="s">
        <v>5315</v>
      </c>
      <c r="M1348" s="13" t="s">
        <v>5818</v>
      </c>
      <c r="N1348" s="12" t="s">
        <v>803</v>
      </c>
      <c r="O1348" s="13" t="s">
        <v>4957</v>
      </c>
      <c r="P1348" s="17" t="s">
        <v>802</v>
      </c>
      <c r="Q1348" s="21" t="s">
        <v>7792</v>
      </c>
      <c r="R1348" s="17" t="s">
        <v>801</v>
      </c>
      <c r="S1348" s="18" t="s">
        <v>2617</v>
      </c>
      <c r="T1348" s="17" t="s">
        <v>800</v>
      </c>
      <c r="U1348" s="18" t="s">
        <v>5283</v>
      </c>
      <c r="V1348" s="17" t="s">
        <v>9418</v>
      </c>
      <c r="W1348" s="18" t="s">
        <v>5309</v>
      </c>
      <c r="X1348" s="69" t="s">
        <v>9453</v>
      </c>
      <c r="Y1348" s="70" t="s">
        <v>9462</v>
      </c>
      <c r="Z1348" s="73" t="s">
        <v>9486</v>
      </c>
      <c r="AA1348" s="74" t="s">
        <v>9504</v>
      </c>
      <c r="AB1348" s="73" t="s">
        <v>9486</v>
      </c>
      <c r="AC1348" s="74" t="s">
        <v>9566</v>
      </c>
      <c r="AD1348" s="73" t="s">
        <v>9578</v>
      </c>
      <c r="AE1348" s="74" t="s">
        <v>9579</v>
      </c>
    </row>
    <row r="1349" spans="1:31" ht="8.65" customHeight="1" x14ac:dyDescent="0.2">
      <c r="A1349" s="76">
        <v>1349</v>
      </c>
      <c r="B1349" s="67" t="str">
        <f>MID(C1349, FIND("Ifc.", C1349) + 4, 4) &amp; "_" &amp; TEXT(COUNTIF($C$2:C1349, C1349),"0000")</f>
        <v>Prop_1348</v>
      </c>
      <c r="C1349" s="24" t="s">
        <v>872</v>
      </c>
      <c r="D1349" s="69" t="s">
        <v>9453</v>
      </c>
      <c r="E1349" s="70" t="s">
        <v>9454</v>
      </c>
      <c r="F1349" s="17" t="s">
        <v>806</v>
      </c>
      <c r="G1349" s="22" t="s">
        <v>1471</v>
      </c>
      <c r="H1349" s="12" t="s">
        <v>9703</v>
      </c>
      <c r="I1349" s="13" t="s">
        <v>6344</v>
      </c>
      <c r="J1349" s="14" t="s">
        <v>798</v>
      </c>
      <c r="K1349" s="15" t="s">
        <v>798</v>
      </c>
      <c r="L1349" s="12" t="s">
        <v>5315</v>
      </c>
      <c r="M1349" s="13" t="s">
        <v>5827</v>
      </c>
      <c r="N1349" s="12" t="s">
        <v>803</v>
      </c>
      <c r="O1349" s="13" t="s">
        <v>4943</v>
      </c>
      <c r="P1349" s="17" t="s">
        <v>802</v>
      </c>
      <c r="Q1349" s="21" t="s">
        <v>7850</v>
      </c>
      <c r="R1349" s="17" t="s">
        <v>801</v>
      </c>
      <c r="S1349" s="18" t="s">
        <v>2624</v>
      </c>
      <c r="T1349" s="17" t="s">
        <v>800</v>
      </c>
      <c r="U1349" s="18" t="s">
        <v>5243</v>
      </c>
      <c r="V1349" s="17" t="s">
        <v>9418</v>
      </c>
      <c r="W1349" s="18" t="s">
        <v>5309</v>
      </c>
      <c r="X1349" s="69" t="s">
        <v>9453</v>
      </c>
      <c r="Y1349" s="70" t="s">
        <v>9462</v>
      </c>
      <c r="Z1349" s="73" t="s">
        <v>9486</v>
      </c>
      <c r="AA1349" s="74" t="s">
        <v>9504</v>
      </c>
      <c r="AB1349" s="73" t="s">
        <v>9486</v>
      </c>
      <c r="AC1349" s="74" t="s">
        <v>9566</v>
      </c>
      <c r="AD1349" s="73" t="s">
        <v>9578</v>
      </c>
      <c r="AE1349" s="74" t="s">
        <v>9579</v>
      </c>
    </row>
    <row r="1350" spans="1:31" ht="8.65" customHeight="1" x14ac:dyDescent="0.2">
      <c r="A1350" s="76">
        <v>1350</v>
      </c>
      <c r="B1350" s="67" t="str">
        <f>MID(C1350, FIND("Ifc.", C1350) + 4, 4) &amp; "_" &amp; TEXT(COUNTIF($C$2:C1350, C1350),"0000")</f>
        <v>Prop_1349</v>
      </c>
      <c r="C1350" s="24" t="s">
        <v>872</v>
      </c>
      <c r="D1350" s="69" t="s">
        <v>9453</v>
      </c>
      <c r="E1350" s="70" t="s">
        <v>9454</v>
      </c>
      <c r="F1350" s="17" t="s">
        <v>806</v>
      </c>
      <c r="G1350" s="22" t="s">
        <v>1385</v>
      </c>
      <c r="H1350" s="12" t="s">
        <v>9703</v>
      </c>
      <c r="I1350" s="13" t="s">
        <v>6311</v>
      </c>
      <c r="J1350" s="14" t="s">
        <v>798</v>
      </c>
      <c r="K1350" s="15" t="s">
        <v>798</v>
      </c>
      <c r="L1350" s="12" t="s">
        <v>5315</v>
      </c>
      <c r="M1350" s="13" t="s">
        <v>5422</v>
      </c>
      <c r="N1350" s="12" t="s">
        <v>803</v>
      </c>
      <c r="O1350" s="13" t="s">
        <v>4922</v>
      </c>
      <c r="P1350" s="17" t="s">
        <v>802</v>
      </c>
      <c r="Q1350" s="21" t="s">
        <v>7988</v>
      </c>
      <c r="R1350" s="17" t="s">
        <v>801</v>
      </c>
      <c r="S1350" s="18" t="s">
        <v>2611</v>
      </c>
      <c r="T1350" s="17" t="s">
        <v>800</v>
      </c>
      <c r="U1350" s="18" t="s">
        <v>5255</v>
      </c>
      <c r="V1350" s="17" t="s">
        <v>9418</v>
      </c>
      <c r="W1350" s="18" t="s">
        <v>5309</v>
      </c>
      <c r="X1350" s="69" t="s">
        <v>9453</v>
      </c>
      <c r="Y1350" s="70" t="s">
        <v>9462</v>
      </c>
      <c r="Z1350" s="73" t="s">
        <v>9486</v>
      </c>
      <c r="AA1350" s="74" t="s">
        <v>9504</v>
      </c>
      <c r="AB1350" s="73" t="s">
        <v>9486</v>
      </c>
      <c r="AC1350" s="74" t="s">
        <v>9566</v>
      </c>
      <c r="AD1350" s="73" t="s">
        <v>9578</v>
      </c>
      <c r="AE1350" s="74" t="s">
        <v>9579</v>
      </c>
    </row>
    <row r="1351" spans="1:31" ht="8.65" customHeight="1" x14ac:dyDescent="0.2">
      <c r="A1351" s="76">
        <v>1351</v>
      </c>
      <c r="B1351" s="67" t="str">
        <f>MID(C1351, FIND("Ifc.", C1351) + 4, 4) &amp; "_" &amp; TEXT(COUNTIF($C$2:C1351, C1351),"0000")</f>
        <v>Prop_1350</v>
      </c>
      <c r="C1351" s="24" t="s">
        <v>872</v>
      </c>
      <c r="D1351" s="69" t="s">
        <v>9453</v>
      </c>
      <c r="E1351" s="70" t="s">
        <v>9454</v>
      </c>
      <c r="F1351" s="17" t="s">
        <v>806</v>
      </c>
      <c r="G1351" s="22" t="s">
        <v>2352</v>
      </c>
      <c r="H1351" s="12" t="s">
        <v>9703</v>
      </c>
      <c r="I1351" s="13" t="s">
        <v>6744</v>
      </c>
      <c r="J1351" s="14" t="s">
        <v>798</v>
      </c>
      <c r="K1351" s="15" t="s">
        <v>798</v>
      </c>
      <c r="L1351" s="12" t="s">
        <v>5315</v>
      </c>
      <c r="M1351" s="13" t="s">
        <v>5560</v>
      </c>
      <c r="N1351" s="12" t="s">
        <v>803</v>
      </c>
      <c r="O1351" s="13" t="s">
        <v>5174</v>
      </c>
      <c r="P1351" s="17" t="s">
        <v>802</v>
      </c>
      <c r="Q1351" s="21" t="s">
        <v>7793</v>
      </c>
      <c r="R1351" s="17" t="s">
        <v>801</v>
      </c>
      <c r="S1351" s="18" t="s">
        <v>2611</v>
      </c>
      <c r="T1351" s="17" t="s">
        <v>800</v>
      </c>
      <c r="U1351" s="18" t="s">
        <v>5255</v>
      </c>
      <c r="V1351" s="17" t="s">
        <v>9418</v>
      </c>
      <c r="W1351" s="18" t="s">
        <v>5309</v>
      </c>
      <c r="X1351" s="69" t="s">
        <v>9453</v>
      </c>
      <c r="Y1351" s="70" t="s">
        <v>9462</v>
      </c>
      <c r="Z1351" s="73" t="s">
        <v>9486</v>
      </c>
      <c r="AA1351" s="74" t="s">
        <v>9504</v>
      </c>
      <c r="AB1351" s="73" t="s">
        <v>9486</v>
      </c>
      <c r="AC1351" s="74" t="s">
        <v>9566</v>
      </c>
      <c r="AD1351" s="73" t="s">
        <v>9578</v>
      </c>
      <c r="AE1351" s="74" t="s">
        <v>9579</v>
      </c>
    </row>
    <row r="1352" spans="1:31" ht="8.65" customHeight="1" x14ac:dyDescent="0.2">
      <c r="A1352" s="76">
        <v>1352</v>
      </c>
      <c r="B1352" s="67" t="str">
        <f>MID(C1352, FIND("Ifc.", C1352) + 4, 4) &amp; "_" &amp; TEXT(COUNTIF($C$2:C1352, C1352),"0000")</f>
        <v>Prop_1351</v>
      </c>
      <c r="C1352" s="24" t="s">
        <v>872</v>
      </c>
      <c r="D1352" s="69" t="s">
        <v>9453</v>
      </c>
      <c r="E1352" s="70" t="s">
        <v>9454</v>
      </c>
      <c r="F1352" s="17" t="s">
        <v>806</v>
      </c>
      <c r="G1352" s="22" t="s">
        <v>1772</v>
      </c>
      <c r="H1352" s="12" t="s">
        <v>9703</v>
      </c>
      <c r="I1352" s="13" t="s">
        <v>6478</v>
      </c>
      <c r="J1352" s="14" t="s">
        <v>798</v>
      </c>
      <c r="K1352" s="15" t="s">
        <v>798</v>
      </c>
      <c r="L1352" s="12" t="s">
        <v>5315</v>
      </c>
      <c r="M1352" s="13" t="s">
        <v>5453</v>
      </c>
      <c r="N1352" s="12" t="s">
        <v>803</v>
      </c>
      <c r="O1352" s="13" t="s">
        <v>5015</v>
      </c>
      <c r="P1352" s="17" t="s">
        <v>802</v>
      </c>
      <c r="Q1352" s="21" t="s">
        <v>7712</v>
      </c>
      <c r="R1352" s="17" t="s">
        <v>801</v>
      </c>
      <c r="S1352" s="18" t="s">
        <v>2611</v>
      </c>
      <c r="T1352" s="17" t="s">
        <v>800</v>
      </c>
      <c r="U1352" s="18" t="s">
        <v>5255</v>
      </c>
      <c r="V1352" s="17" t="s">
        <v>9418</v>
      </c>
      <c r="W1352" s="18" t="s">
        <v>5309</v>
      </c>
      <c r="X1352" s="69" t="s">
        <v>9453</v>
      </c>
      <c r="Y1352" s="70" t="s">
        <v>9462</v>
      </c>
      <c r="Z1352" s="73" t="s">
        <v>9486</v>
      </c>
      <c r="AA1352" s="74" t="s">
        <v>9504</v>
      </c>
      <c r="AB1352" s="73" t="s">
        <v>9486</v>
      </c>
      <c r="AC1352" s="74" t="s">
        <v>9566</v>
      </c>
      <c r="AD1352" s="73" t="s">
        <v>9578</v>
      </c>
      <c r="AE1352" s="74" t="s">
        <v>9579</v>
      </c>
    </row>
    <row r="1353" spans="1:31" ht="8.65" customHeight="1" x14ac:dyDescent="0.2">
      <c r="A1353" s="76">
        <v>1353</v>
      </c>
      <c r="B1353" s="67" t="str">
        <f>MID(C1353, FIND("Ifc.", C1353) + 4, 4) &amp; "_" &amp; TEXT(COUNTIF($C$2:C1353, C1353),"0000")</f>
        <v>Prop_1352</v>
      </c>
      <c r="C1353" s="24" t="s">
        <v>872</v>
      </c>
      <c r="D1353" s="69" t="s">
        <v>9453</v>
      </c>
      <c r="E1353" s="70" t="s">
        <v>9454</v>
      </c>
      <c r="F1353" s="17" t="s">
        <v>806</v>
      </c>
      <c r="G1353" s="22" t="s">
        <v>1844</v>
      </c>
      <c r="H1353" s="12" t="s">
        <v>9703</v>
      </c>
      <c r="I1353" s="13" t="s">
        <v>6550</v>
      </c>
      <c r="J1353" s="14" t="s">
        <v>798</v>
      </c>
      <c r="K1353" s="15" t="s">
        <v>798</v>
      </c>
      <c r="L1353" s="12" t="s">
        <v>5315</v>
      </c>
      <c r="M1353" s="13" t="s">
        <v>2231</v>
      </c>
      <c r="N1353" s="12" t="s">
        <v>803</v>
      </c>
      <c r="O1353" s="13" t="s">
        <v>5032</v>
      </c>
      <c r="P1353" s="17" t="s">
        <v>802</v>
      </c>
      <c r="Q1353" s="21" t="s">
        <v>7921</v>
      </c>
      <c r="R1353" s="17" t="s">
        <v>801</v>
      </c>
      <c r="S1353" s="18" t="s">
        <v>2618</v>
      </c>
      <c r="T1353" s="17" t="s">
        <v>800</v>
      </c>
      <c r="U1353" s="18" t="s">
        <v>5288</v>
      </c>
      <c r="V1353" s="17" t="s">
        <v>9418</v>
      </c>
      <c r="W1353" s="18" t="s">
        <v>5309</v>
      </c>
      <c r="X1353" s="69" t="s">
        <v>9453</v>
      </c>
      <c r="Y1353" s="70" t="s">
        <v>9462</v>
      </c>
      <c r="Z1353" s="73" t="s">
        <v>9486</v>
      </c>
      <c r="AA1353" s="74" t="s">
        <v>9504</v>
      </c>
      <c r="AB1353" s="73" t="s">
        <v>9486</v>
      </c>
      <c r="AC1353" s="74" t="s">
        <v>9566</v>
      </c>
      <c r="AD1353" s="73" t="s">
        <v>9578</v>
      </c>
      <c r="AE1353" s="74" t="s">
        <v>9579</v>
      </c>
    </row>
    <row r="1354" spans="1:31" ht="8.65" customHeight="1" x14ac:dyDescent="0.2">
      <c r="A1354" s="76">
        <v>1354</v>
      </c>
      <c r="B1354" s="67" t="str">
        <f>MID(C1354, FIND("Ifc.", C1354) + 4, 4) &amp; "_" &amp; TEXT(COUNTIF($C$2:C1354, C1354),"0000")</f>
        <v>Prop_1353</v>
      </c>
      <c r="C1354" s="24" t="s">
        <v>872</v>
      </c>
      <c r="D1354" s="69" t="s">
        <v>9453</v>
      </c>
      <c r="E1354" s="70" t="s">
        <v>9454</v>
      </c>
      <c r="F1354" s="17" t="s">
        <v>806</v>
      </c>
      <c r="G1354" s="22" t="s">
        <v>1439</v>
      </c>
      <c r="H1354" s="12" t="s">
        <v>9703</v>
      </c>
      <c r="I1354" s="13" t="s">
        <v>6334</v>
      </c>
      <c r="J1354" s="14" t="s">
        <v>798</v>
      </c>
      <c r="K1354" s="15" t="s">
        <v>798</v>
      </c>
      <c r="L1354" s="12" t="s">
        <v>5315</v>
      </c>
      <c r="M1354" s="13" t="s">
        <v>5436</v>
      </c>
      <c r="N1354" s="12" t="s">
        <v>803</v>
      </c>
      <c r="O1354" s="13" t="s">
        <v>4936</v>
      </c>
      <c r="P1354" s="17" t="s">
        <v>802</v>
      </c>
      <c r="Q1354" s="21" t="s">
        <v>7931</v>
      </c>
      <c r="R1354" s="17" t="s">
        <v>801</v>
      </c>
      <c r="S1354" s="18" t="s">
        <v>2611</v>
      </c>
      <c r="T1354" s="17" t="s">
        <v>800</v>
      </c>
      <c r="U1354" s="18" t="s">
        <v>5255</v>
      </c>
      <c r="V1354" s="17" t="s">
        <v>9418</v>
      </c>
      <c r="W1354" s="18" t="s">
        <v>5309</v>
      </c>
      <c r="X1354" s="69" t="s">
        <v>9453</v>
      </c>
      <c r="Y1354" s="70" t="s">
        <v>9462</v>
      </c>
      <c r="Z1354" s="73" t="s">
        <v>9486</v>
      </c>
      <c r="AA1354" s="74" t="s">
        <v>9504</v>
      </c>
      <c r="AB1354" s="73" t="s">
        <v>9486</v>
      </c>
      <c r="AC1354" s="74" t="s">
        <v>9566</v>
      </c>
      <c r="AD1354" s="73" t="s">
        <v>9578</v>
      </c>
      <c r="AE1354" s="74" t="s">
        <v>9579</v>
      </c>
    </row>
    <row r="1355" spans="1:31" ht="8.65" customHeight="1" x14ac:dyDescent="0.2">
      <c r="A1355" s="76">
        <v>1355</v>
      </c>
      <c r="B1355" s="67" t="str">
        <f>MID(C1355, FIND("Ifc.", C1355) + 4, 4) &amp; "_" &amp; TEXT(COUNTIF($C$2:C1355, C1355),"0000")</f>
        <v>Prop_1354</v>
      </c>
      <c r="C1355" s="24" t="s">
        <v>872</v>
      </c>
      <c r="D1355" s="69" t="s">
        <v>9453</v>
      </c>
      <c r="E1355" s="70" t="s">
        <v>9454</v>
      </c>
      <c r="F1355" s="17" t="s">
        <v>806</v>
      </c>
      <c r="G1355" s="22" t="s">
        <v>1439</v>
      </c>
      <c r="H1355" s="12" t="s">
        <v>9703</v>
      </c>
      <c r="I1355" s="13" t="s">
        <v>6334</v>
      </c>
      <c r="J1355" s="14" t="s">
        <v>798</v>
      </c>
      <c r="K1355" s="15" t="s">
        <v>798</v>
      </c>
      <c r="L1355" s="12" t="s">
        <v>5315</v>
      </c>
      <c r="M1355" s="13" t="s">
        <v>5514</v>
      </c>
      <c r="N1355" s="12" t="s">
        <v>803</v>
      </c>
      <c r="O1355" s="13" t="s">
        <v>5128</v>
      </c>
      <c r="P1355" s="17" t="s">
        <v>802</v>
      </c>
      <c r="Q1355" s="21" t="s">
        <v>7773</v>
      </c>
      <c r="R1355" s="17" t="s">
        <v>801</v>
      </c>
      <c r="S1355" s="18" t="s">
        <v>2611</v>
      </c>
      <c r="T1355" s="17" t="s">
        <v>800</v>
      </c>
      <c r="U1355" s="18" t="s">
        <v>5255</v>
      </c>
      <c r="V1355" s="17" t="s">
        <v>9418</v>
      </c>
      <c r="W1355" s="18" t="s">
        <v>5309</v>
      </c>
      <c r="X1355" s="69" t="s">
        <v>9453</v>
      </c>
      <c r="Y1355" s="70" t="s">
        <v>9462</v>
      </c>
      <c r="Z1355" s="73" t="s">
        <v>9486</v>
      </c>
      <c r="AA1355" s="74" t="s">
        <v>9504</v>
      </c>
      <c r="AB1355" s="73" t="s">
        <v>9486</v>
      </c>
      <c r="AC1355" s="74" t="s">
        <v>9566</v>
      </c>
      <c r="AD1355" s="73" t="s">
        <v>9578</v>
      </c>
      <c r="AE1355" s="74" t="s">
        <v>9579</v>
      </c>
    </row>
    <row r="1356" spans="1:31" ht="8.65" customHeight="1" x14ac:dyDescent="0.2">
      <c r="A1356" s="76">
        <v>1356</v>
      </c>
      <c r="B1356" s="67" t="str">
        <f>MID(C1356, FIND("Ifc.", C1356) + 4, 4) &amp; "_" &amp; TEXT(COUNTIF($C$2:C1356, C1356),"0000")</f>
        <v>Prop_1355</v>
      </c>
      <c r="C1356" s="24" t="s">
        <v>872</v>
      </c>
      <c r="D1356" s="69" t="s">
        <v>9453</v>
      </c>
      <c r="E1356" s="70" t="s">
        <v>9454</v>
      </c>
      <c r="F1356" s="17" t="s">
        <v>806</v>
      </c>
      <c r="G1356" s="22" t="s">
        <v>1439</v>
      </c>
      <c r="H1356" s="12" t="s">
        <v>9703</v>
      </c>
      <c r="I1356" s="13" t="s">
        <v>6334</v>
      </c>
      <c r="J1356" s="14" t="s">
        <v>798</v>
      </c>
      <c r="K1356" s="15" t="s">
        <v>798</v>
      </c>
      <c r="L1356" s="12" t="s">
        <v>5315</v>
      </c>
      <c r="M1356" s="13" t="s">
        <v>5509</v>
      </c>
      <c r="N1356" s="12" t="s">
        <v>803</v>
      </c>
      <c r="O1356" s="13" t="s">
        <v>5122</v>
      </c>
      <c r="P1356" s="17" t="s">
        <v>802</v>
      </c>
      <c r="Q1356" s="21" t="s">
        <v>7780</v>
      </c>
      <c r="R1356" s="17" t="s">
        <v>801</v>
      </c>
      <c r="S1356" s="18" t="s">
        <v>2611</v>
      </c>
      <c r="T1356" s="17" t="s">
        <v>800</v>
      </c>
      <c r="U1356" s="18" t="s">
        <v>5255</v>
      </c>
      <c r="V1356" s="17" t="s">
        <v>9418</v>
      </c>
      <c r="W1356" s="18" t="s">
        <v>5309</v>
      </c>
      <c r="X1356" s="69" t="s">
        <v>9453</v>
      </c>
      <c r="Y1356" s="70" t="s">
        <v>9462</v>
      </c>
      <c r="Z1356" s="73" t="s">
        <v>9486</v>
      </c>
      <c r="AA1356" s="74" t="s">
        <v>9504</v>
      </c>
      <c r="AB1356" s="73" t="s">
        <v>9486</v>
      </c>
      <c r="AC1356" s="74" t="s">
        <v>9566</v>
      </c>
      <c r="AD1356" s="73" t="s">
        <v>9578</v>
      </c>
      <c r="AE1356" s="74" t="s">
        <v>9579</v>
      </c>
    </row>
    <row r="1357" spans="1:31" ht="8.65" customHeight="1" x14ac:dyDescent="0.2">
      <c r="A1357" s="76">
        <v>1357</v>
      </c>
      <c r="B1357" s="67" t="str">
        <f>MID(C1357, FIND("Ifc.", C1357) + 4, 4) &amp; "_" &amp; TEXT(COUNTIF($C$2:C1357, C1357),"0000")</f>
        <v>Prop_1356</v>
      </c>
      <c r="C1357" s="24" t="s">
        <v>872</v>
      </c>
      <c r="D1357" s="69" t="s">
        <v>9453</v>
      </c>
      <c r="E1357" s="70" t="s">
        <v>9454</v>
      </c>
      <c r="F1357" s="17" t="s">
        <v>806</v>
      </c>
      <c r="G1357" s="22" t="s">
        <v>1439</v>
      </c>
      <c r="H1357" s="12" t="s">
        <v>9703</v>
      </c>
      <c r="I1357" s="13" t="s">
        <v>6334</v>
      </c>
      <c r="J1357" s="14" t="s">
        <v>798</v>
      </c>
      <c r="K1357" s="15" t="s">
        <v>798</v>
      </c>
      <c r="L1357" s="12" t="s">
        <v>5315</v>
      </c>
      <c r="M1357" s="13" t="s">
        <v>5551</v>
      </c>
      <c r="N1357" s="12" t="s">
        <v>803</v>
      </c>
      <c r="O1357" s="13" t="s">
        <v>5164</v>
      </c>
      <c r="P1357" s="17" t="s">
        <v>802</v>
      </c>
      <c r="Q1357" s="21" t="s">
        <v>7871</v>
      </c>
      <c r="R1357" s="17" t="s">
        <v>801</v>
      </c>
      <c r="S1357" s="18" t="s">
        <v>2611</v>
      </c>
      <c r="T1357" s="17" t="s">
        <v>800</v>
      </c>
      <c r="U1357" s="18" t="s">
        <v>5255</v>
      </c>
      <c r="V1357" s="17" t="s">
        <v>9418</v>
      </c>
      <c r="W1357" s="18" t="s">
        <v>5309</v>
      </c>
      <c r="X1357" s="69" t="s">
        <v>9453</v>
      </c>
      <c r="Y1357" s="70" t="s">
        <v>9462</v>
      </c>
      <c r="Z1357" s="73" t="s">
        <v>9486</v>
      </c>
      <c r="AA1357" s="74" t="s">
        <v>9504</v>
      </c>
      <c r="AB1357" s="73" t="s">
        <v>9486</v>
      </c>
      <c r="AC1357" s="74" t="s">
        <v>9566</v>
      </c>
      <c r="AD1357" s="73" t="s">
        <v>9578</v>
      </c>
      <c r="AE1357" s="74" t="s">
        <v>9579</v>
      </c>
    </row>
    <row r="1358" spans="1:31" ht="8.65" customHeight="1" x14ac:dyDescent="0.2">
      <c r="A1358" s="76">
        <v>1358</v>
      </c>
      <c r="B1358" s="67" t="str">
        <f>MID(C1358, FIND("Ifc.", C1358) + 4, 4) &amp; "_" &amp; TEXT(COUNTIF($C$2:C1358, C1358),"0000")</f>
        <v>Prop_1357</v>
      </c>
      <c r="C1358" s="24" t="s">
        <v>872</v>
      </c>
      <c r="D1358" s="69" t="s">
        <v>9453</v>
      </c>
      <c r="E1358" s="70" t="s">
        <v>9454</v>
      </c>
      <c r="F1358" s="17" t="s">
        <v>806</v>
      </c>
      <c r="G1358" s="22" t="s">
        <v>1439</v>
      </c>
      <c r="H1358" s="12" t="s">
        <v>9703</v>
      </c>
      <c r="I1358" s="13" t="s">
        <v>6334</v>
      </c>
      <c r="J1358" s="14" t="s">
        <v>798</v>
      </c>
      <c r="K1358" s="15" t="s">
        <v>798</v>
      </c>
      <c r="L1358" s="12" t="s">
        <v>5315</v>
      </c>
      <c r="M1358" s="13" t="s">
        <v>5573</v>
      </c>
      <c r="N1358" s="12" t="s">
        <v>803</v>
      </c>
      <c r="O1358" s="13" t="s">
        <v>5206</v>
      </c>
      <c r="P1358" s="17" t="s">
        <v>802</v>
      </c>
      <c r="Q1358" s="21" t="s">
        <v>7742</v>
      </c>
      <c r="R1358" s="17" t="s">
        <v>801</v>
      </c>
      <c r="S1358" s="18" t="s">
        <v>2611</v>
      </c>
      <c r="T1358" s="17" t="s">
        <v>800</v>
      </c>
      <c r="U1358" s="18" t="s">
        <v>5255</v>
      </c>
      <c r="V1358" s="17" t="s">
        <v>9418</v>
      </c>
      <c r="W1358" s="18" t="s">
        <v>5309</v>
      </c>
      <c r="X1358" s="69" t="s">
        <v>9453</v>
      </c>
      <c r="Y1358" s="70" t="s">
        <v>9462</v>
      </c>
      <c r="Z1358" s="73" t="s">
        <v>9486</v>
      </c>
      <c r="AA1358" s="74" t="s">
        <v>9504</v>
      </c>
      <c r="AB1358" s="73" t="s">
        <v>9486</v>
      </c>
      <c r="AC1358" s="74" t="s">
        <v>9566</v>
      </c>
      <c r="AD1358" s="73" t="s">
        <v>9578</v>
      </c>
      <c r="AE1358" s="74" t="s">
        <v>9579</v>
      </c>
    </row>
    <row r="1359" spans="1:31" ht="8.65" customHeight="1" x14ac:dyDescent="0.2">
      <c r="A1359" s="76">
        <v>1359</v>
      </c>
      <c r="B1359" s="67" t="str">
        <f>MID(C1359, FIND("Ifc.", C1359) + 4, 4) &amp; "_" &amp; TEXT(COUNTIF($C$2:C1359, C1359),"0000")</f>
        <v>Prop_1358</v>
      </c>
      <c r="C1359" s="24" t="s">
        <v>872</v>
      </c>
      <c r="D1359" s="69" t="s">
        <v>9453</v>
      </c>
      <c r="E1359" s="70" t="s">
        <v>9454</v>
      </c>
      <c r="F1359" s="17" t="s">
        <v>806</v>
      </c>
      <c r="G1359" s="22" t="s">
        <v>1109</v>
      </c>
      <c r="H1359" s="12" t="s">
        <v>9703</v>
      </c>
      <c r="I1359" s="13" t="s">
        <v>6162</v>
      </c>
      <c r="J1359" s="14" t="s">
        <v>798</v>
      </c>
      <c r="K1359" s="15" t="s">
        <v>798</v>
      </c>
      <c r="L1359" s="12" t="s">
        <v>5315</v>
      </c>
      <c r="M1359" s="13" t="s">
        <v>6037</v>
      </c>
      <c r="N1359" s="12" t="s">
        <v>803</v>
      </c>
      <c r="O1359" s="13" t="s">
        <v>4857</v>
      </c>
      <c r="P1359" s="17" t="s">
        <v>802</v>
      </c>
      <c r="Q1359" s="21" t="s">
        <v>7744</v>
      </c>
      <c r="R1359" s="17" t="s">
        <v>801</v>
      </c>
      <c r="S1359" s="18" t="s">
        <v>2619</v>
      </c>
      <c r="T1359" s="17" t="s">
        <v>800</v>
      </c>
      <c r="U1359" s="18" t="s">
        <v>5239</v>
      </c>
      <c r="V1359" s="17" t="s">
        <v>9418</v>
      </c>
      <c r="W1359" s="18" t="s">
        <v>5312</v>
      </c>
      <c r="X1359" s="69" t="s">
        <v>9453</v>
      </c>
      <c r="Y1359" s="70" t="s">
        <v>9465</v>
      </c>
      <c r="Z1359" s="73" t="s">
        <v>9486</v>
      </c>
      <c r="AA1359" s="74" t="s">
        <v>9504</v>
      </c>
      <c r="AB1359" s="73" t="s">
        <v>9486</v>
      </c>
      <c r="AC1359" s="74" t="s">
        <v>9566</v>
      </c>
      <c r="AD1359" s="73" t="s">
        <v>9578</v>
      </c>
      <c r="AE1359" s="74" t="s">
        <v>9579</v>
      </c>
    </row>
    <row r="1360" spans="1:31" ht="8.65" customHeight="1" x14ac:dyDescent="0.2">
      <c r="A1360" s="76">
        <v>1360</v>
      </c>
      <c r="B1360" s="67" t="str">
        <f>MID(C1360, FIND("Ifc.", C1360) + 4, 4) &amp; "_" &amp; TEXT(COUNTIF($C$2:C1360, C1360),"0000")</f>
        <v>Prop_1359</v>
      </c>
      <c r="C1360" s="24" t="s">
        <v>872</v>
      </c>
      <c r="D1360" s="69" t="s">
        <v>9453</v>
      </c>
      <c r="E1360" s="70" t="s">
        <v>9454</v>
      </c>
      <c r="F1360" s="17" t="s">
        <v>806</v>
      </c>
      <c r="G1360" s="22" t="s">
        <v>1109</v>
      </c>
      <c r="H1360" s="12" t="s">
        <v>9703</v>
      </c>
      <c r="I1360" s="13" t="s">
        <v>6162</v>
      </c>
      <c r="J1360" s="14" t="s">
        <v>798</v>
      </c>
      <c r="K1360" s="15" t="s">
        <v>798</v>
      </c>
      <c r="L1360" s="12" t="s">
        <v>5315</v>
      </c>
      <c r="M1360" s="13" t="s">
        <v>5892</v>
      </c>
      <c r="N1360" s="12" t="s">
        <v>803</v>
      </c>
      <c r="O1360" s="13" t="s">
        <v>4961</v>
      </c>
      <c r="P1360" s="17" t="s">
        <v>802</v>
      </c>
      <c r="Q1360" s="21" t="s">
        <v>7745</v>
      </c>
      <c r="R1360" s="17" t="s">
        <v>801</v>
      </c>
      <c r="S1360" s="18" t="s">
        <v>3636</v>
      </c>
      <c r="T1360" s="17" t="s">
        <v>800</v>
      </c>
      <c r="U1360" s="18" t="s">
        <v>5257</v>
      </c>
      <c r="V1360" s="17" t="s">
        <v>9418</v>
      </c>
      <c r="W1360" s="18" t="s">
        <v>5314</v>
      </c>
      <c r="X1360" s="69" t="s">
        <v>9453</v>
      </c>
      <c r="Y1360" s="70" t="s">
        <v>9464</v>
      </c>
      <c r="Z1360" s="73" t="s">
        <v>9486</v>
      </c>
      <c r="AA1360" s="74" t="s">
        <v>9504</v>
      </c>
      <c r="AB1360" s="73" t="s">
        <v>9486</v>
      </c>
      <c r="AC1360" s="74" t="s">
        <v>9561</v>
      </c>
      <c r="AD1360" s="73" t="s">
        <v>9578</v>
      </c>
      <c r="AE1360" s="74" t="s">
        <v>9579</v>
      </c>
    </row>
    <row r="1361" spans="1:31" ht="8.65" customHeight="1" x14ac:dyDescent="0.2">
      <c r="A1361" s="76">
        <v>1361</v>
      </c>
      <c r="B1361" s="67" t="str">
        <f>MID(C1361, FIND("Ifc.", C1361) + 4, 4) &amp; "_" &amp; TEXT(COUNTIF($C$2:C1361, C1361),"0000")</f>
        <v>Prop_1360</v>
      </c>
      <c r="C1361" s="24" t="s">
        <v>872</v>
      </c>
      <c r="D1361" s="69" t="s">
        <v>9453</v>
      </c>
      <c r="E1361" s="70" t="s">
        <v>9454</v>
      </c>
      <c r="F1361" s="17" t="s">
        <v>806</v>
      </c>
      <c r="G1361" s="22" t="s">
        <v>2166</v>
      </c>
      <c r="H1361" s="12" t="s">
        <v>9703</v>
      </c>
      <c r="I1361" s="13" t="s">
        <v>7565</v>
      </c>
      <c r="J1361" s="14" t="s">
        <v>798</v>
      </c>
      <c r="K1361" s="15" t="s">
        <v>798</v>
      </c>
      <c r="L1361" s="12" t="s">
        <v>5315</v>
      </c>
      <c r="M1361" s="13" t="s">
        <v>5499</v>
      </c>
      <c r="N1361" s="12" t="s">
        <v>803</v>
      </c>
      <c r="O1361" s="13" t="s">
        <v>5113</v>
      </c>
      <c r="P1361" s="17" t="s">
        <v>802</v>
      </c>
      <c r="Q1361" s="21" t="s">
        <v>7707</v>
      </c>
      <c r="R1361" s="17" t="s">
        <v>801</v>
      </c>
      <c r="S1361" s="18" t="s">
        <v>2560</v>
      </c>
      <c r="T1361" s="17" t="s">
        <v>800</v>
      </c>
      <c r="U1361" s="18" t="s">
        <v>5236</v>
      </c>
      <c r="V1361" s="17" t="s">
        <v>9418</v>
      </c>
      <c r="W1361" s="18" t="s">
        <v>5309</v>
      </c>
      <c r="X1361" s="69" t="s">
        <v>9453</v>
      </c>
      <c r="Y1361" s="70" t="s">
        <v>9462</v>
      </c>
      <c r="Z1361" s="73" t="s">
        <v>9486</v>
      </c>
      <c r="AA1361" s="74" t="s">
        <v>9504</v>
      </c>
      <c r="AB1361" s="73" t="s">
        <v>9486</v>
      </c>
      <c r="AC1361" s="74" t="s">
        <v>9562</v>
      </c>
      <c r="AD1361" s="73" t="s">
        <v>9578</v>
      </c>
      <c r="AE1361" s="74" t="s">
        <v>9579</v>
      </c>
    </row>
    <row r="1362" spans="1:31" ht="8.65" customHeight="1" x14ac:dyDescent="0.2">
      <c r="A1362" s="76">
        <v>1362</v>
      </c>
      <c r="B1362" s="67" t="str">
        <f>MID(C1362, FIND("Ifc.", C1362) + 4, 4) &amp; "_" &amp; TEXT(COUNTIF($C$2:C1362, C1362),"0000")</f>
        <v>Prop_1361</v>
      </c>
      <c r="C1362" s="24" t="s">
        <v>872</v>
      </c>
      <c r="D1362" s="69" t="s">
        <v>9453</v>
      </c>
      <c r="E1362" s="70" t="s">
        <v>9454</v>
      </c>
      <c r="F1362" s="17" t="s">
        <v>806</v>
      </c>
      <c r="G1362" s="22" t="s">
        <v>1708</v>
      </c>
      <c r="H1362" s="12" t="s">
        <v>9703</v>
      </c>
      <c r="I1362" s="13" t="s">
        <v>7322</v>
      </c>
      <c r="J1362" s="14" t="s">
        <v>798</v>
      </c>
      <c r="K1362" s="15" t="s">
        <v>798</v>
      </c>
      <c r="L1362" s="12" t="s">
        <v>5315</v>
      </c>
      <c r="M1362" s="13" t="s">
        <v>5929</v>
      </c>
      <c r="N1362" s="12" t="s">
        <v>803</v>
      </c>
      <c r="O1362" s="13" t="s">
        <v>5002</v>
      </c>
      <c r="P1362" s="17" t="s">
        <v>802</v>
      </c>
      <c r="Q1362" s="21" t="s">
        <v>7884</v>
      </c>
      <c r="R1362" s="17" t="s">
        <v>801</v>
      </c>
      <c r="S1362" s="18" t="s">
        <v>2585</v>
      </c>
      <c r="T1362" s="17" t="s">
        <v>800</v>
      </c>
      <c r="U1362" s="18" t="s">
        <v>5238</v>
      </c>
      <c r="V1362" s="17" t="s">
        <v>9418</v>
      </c>
      <c r="W1362" s="18" t="s">
        <v>5309</v>
      </c>
      <c r="X1362" s="69" t="s">
        <v>9453</v>
      </c>
      <c r="Y1362" s="70" t="s">
        <v>9462</v>
      </c>
      <c r="Z1362" s="73" t="s">
        <v>9486</v>
      </c>
      <c r="AA1362" s="74" t="s">
        <v>9504</v>
      </c>
      <c r="AB1362" s="73" t="s">
        <v>9486</v>
      </c>
      <c r="AC1362" s="74" t="s">
        <v>9566</v>
      </c>
      <c r="AD1362" s="73" t="s">
        <v>9578</v>
      </c>
      <c r="AE1362" s="74" t="s">
        <v>9704</v>
      </c>
    </row>
    <row r="1363" spans="1:31" ht="8.65" customHeight="1" x14ac:dyDescent="0.2">
      <c r="A1363" s="76">
        <v>1363</v>
      </c>
      <c r="B1363" s="67" t="str">
        <f>MID(C1363, FIND("Ifc.", C1363) + 4, 4) &amp; "_" &amp; TEXT(COUNTIF($C$2:C1363, C1363),"0000")</f>
        <v>Prop_1362</v>
      </c>
      <c r="C1363" s="24" t="s">
        <v>872</v>
      </c>
      <c r="D1363" s="69" t="s">
        <v>9453</v>
      </c>
      <c r="E1363" s="70" t="s">
        <v>9454</v>
      </c>
      <c r="F1363" s="17" t="s">
        <v>806</v>
      </c>
      <c r="G1363" s="22" t="s">
        <v>2103</v>
      </c>
      <c r="H1363" s="12" t="s">
        <v>9703</v>
      </c>
      <c r="I1363" s="13" t="s">
        <v>7654</v>
      </c>
      <c r="J1363" s="14" t="s">
        <v>798</v>
      </c>
      <c r="K1363" s="15" t="s">
        <v>798</v>
      </c>
      <c r="L1363" s="12" t="s">
        <v>5315</v>
      </c>
      <c r="M1363" s="13" t="s">
        <v>5490</v>
      </c>
      <c r="N1363" s="12" t="s">
        <v>803</v>
      </c>
      <c r="O1363" s="13" t="s">
        <v>5099</v>
      </c>
      <c r="P1363" s="17" t="s">
        <v>802</v>
      </c>
      <c r="Q1363" s="21" t="s">
        <v>7778</v>
      </c>
      <c r="R1363" s="17" t="s">
        <v>801</v>
      </c>
      <c r="S1363" s="18" t="s">
        <v>2560</v>
      </c>
      <c r="T1363" s="17" t="s">
        <v>800</v>
      </c>
      <c r="U1363" s="18" t="s">
        <v>5236</v>
      </c>
      <c r="V1363" s="17" t="s">
        <v>9418</v>
      </c>
      <c r="W1363" s="18" t="s">
        <v>5309</v>
      </c>
      <c r="X1363" s="69" t="s">
        <v>9453</v>
      </c>
      <c r="Y1363" s="70" t="s">
        <v>9462</v>
      </c>
      <c r="Z1363" s="73" t="s">
        <v>9486</v>
      </c>
      <c r="AA1363" s="74" t="s">
        <v>9504</v>
      </c>
      <c r="AB1363" s="73" t="s">
        <v>9486</v>
      </c>
      <c r="AC1363" s="74" t="s">
        <v>9562</v>
      </c>
      <c r="AD1363" s="73" t="s">
        <v>9578</v>
      </c>
      <c r="AE1363" s="74" t="s">
        <v>9579</v>
      </c>
    </row>
    <row r="1364" spans="1:31" ht="8.65" customHeight="1" x14ac:dyDescent="0.2">
      <c r="A1364" s="76">
        <v>1364</v>
      </c>
      <c r="B1364" s="67" t="str">
        <f>MID(C1364, FIND("Ifc.", C1364) + 4, 4) &amp; "_" &amp; TEXT(COUNTIF($C$2:C1364, C1364),"0000")</f>
        <v>Prop_1363</v>
      </c>
      <c r="C1364" s="24" t="s">
        <v>872</v>
      </c>
      <c r="D1364" s="69" t="s">
        <v>9453</v>
      </c>
      <c r="E1364" s="70" t="s">
        <v>9454</v>
      </c>
      <c r="F1364" s="17" t="s">
        <v>806</v>
      </c>
      <c r="G1364" s="22" t="s">
        <v>2092</v>
      </c>
      <c r="H1364" s="12" t="s">
        <v>9703</v>
      </c>
      <c r="I1364" s="13" t="s">
        <v>6631</v>
      </c>
      <c r="J1364" s="14" t="s">
        <v>798</v>
      </c>
      <c r="K1364" s="15" t="s">
        <v>798</v>
      </c>
      <c r="L1364" s="12" t="s">
        <v>5315</v>
      </c>
      <c r="M1364" s="13" t="s">
        <v>5855</v>
      </c>
      <c r="N1364" s="12" t="s">
        <v>803</v>
      </c>
      <c r="O1364" s="13" t="s">
        <v>5098</v>
      </c>
      <c r="P1364" s="17" t="s">
        <v>802</v>
      </c>
      <c r="Q1364" s="21" t="s">
        <v>8005</v>
      </c>
      <c r="R1364" s="17" t="s">
        <v>801</v>
      </c>
      <c r="S1364" s="18" t="s">
        <v>2560</v>
      </c>
      <c r="T1364" s="17" t="s">
        <v>800</v>
      </c>
      <c r="U1364" s="18" t="s">
        <v>5236</v>
      </c>
      <c r="V1364" s="17" t="s">
        <v>9418</v>
      </c>
      <c r="W1364" s="18" t="s">
        <v>5309</v>
      </c>
      <c r="X1364" s="69" t="s">
        <v>9453</v>
      </c>
      <c r="Y1364" s="70" t="s">
        <v>9462</v>
      </c>
      <c r="Z1364" s="73" t="s">
        <v>9486</v>
      </c>
      <c r="AA1364" s="74" t="s">
        <v>9504</v>
      </c>
      <c r="AB1364" s="73" t="s">
        <v>9486</v>
      </c>
      <c r="AC1364" s="74" t="s">
        <v>9562</v>
      </c>
      <c r="AD1364" s="73" t="s">
        <v>9578</v>
      </c>
      <c r="AE1364" s="74" t="s">
        <v>9579</v>
      </c>
    </row>
    <row r="1365" spans="1:31" ht="8.65" customHeight="1" x14ac:dyDescent="0.2">
      <c r="A1365" s="76">
        <v>1365</v>
      </c>
      <c r="B1365" s="67" t="str">
        <f>MID(C1365, FIND("Ifc.", C1365) + 4, 4) &amp; "_" &amp; TEXT(COUNTIF($C$2:C1365, C1365),"0000")</f>
        <v>Prop_1364</v>
      </c>
      <c r="C1365" s="24" t="s">
        <v>872</v>
      </c>
      <c r="D1365" s="69" t="s">
        <v>9453</v>
      </c>
      <c r="E1365" s="70" t="s">
        <v>9454</v>
      </c>
      <c r="F1365" s="17" t="s">
        <v>806</v>
      </c>
      <c r="G1365" s="22" t="s">
        <v>2258</v>
      </c>
      <c r="H1365" s="12" t="s">
        <v>9703</v>
      </c>
      <c r="I1365" s="13" t="s">
        <v>6948</v>
      </c>
      <c r="J1365" s="14" t="s">
        <v>798</v>
      </c>
      <c r="K1365" s="15" t="s">
        <v>798</v>
      </c>
      <c r="L1365" s="12" t="s">
        <v>5315</v>
      </c>
      <c r="M1365" s="13" t="s">
        <v>5532</v>
      </c>
      <c r="N1365" s="12" t="s">
        <v>803</v>
      </c>
      <c r="O1365" s="13" t="s">
        <v>5147</v>
      </c>
      <c r="P1365" s="17" t="s">
        <v>802</v>
      </c>
      <c r="Q1365" s="21" t="s">
        <v>7881</v>
      </c>
      <c r="R1365" s="17" t="s">
        <v>801</v>
      </c>
      <c r="S1365" s="18" t="s">
        <v>2631</v>
      </c>
      <c r="T1365" s="17" t="s">
        <v>800</v>
      </c>
      <c r="U1365" s="18" t="s">
        <v>5253</v>
      </c>
      <c r="V1365" s="17" t="s">
        <v>9418</v>
      </c>
      <c r="W1365" s="18" t="s">
        <v>5309</v>
      </c>
      <c r="X1365" s="69" t="s">
        <v>9453</v>
      </c>
      <c r="Y1365" s="70" t="s">
        <v>9462</v>
      </c>
      <c r="Z1365" s="73" t="s">
        <v>9486</v>
      </c>
      <c r="AA1365" s="74" t="s">
        <v>9504</v>
      </c>
      <c r="AB1365" s="73" t="s">
        <v>9486</v>
      </c>
      <c r="AC1365" s="74" t="s">
        <v>9566</v>
      </c>
      <c r="AD1365" s="73" t="s">
        <v>9578</v>
      </c>
      <c r="AE1365" s="74" t="s">
        <v>9579</v>
      </c>
    </row>
    <row r="1366" spans="1:31" ht="8.65" customHeight="1" x14ac:dyDescent="0.2">
      <c r="A1366" s="76">
        <v>1366</v>
      </c>
      <c r="B1366" s="67" t="str">
        <f>MID(C1366, FIND("Ifc.", C1366) + 4, 4) &amp; "_" &amp; TEXT(COUNTIF($C$2:C1366, C1366),"0000")</f>
        <v>Prop_1365</v>
      </c>
      <c r="C1366" s="24" t="s">
        <v>872</v>
      </c>
      <c r="D1366" s="69" t="s">
        <v>9453</v>
      </c>
      <c r="E1366" s="70" t="s">
        <v>9454</v>
      </c>
      <c r="F1366" s="17" t="s">
        <v>806</v>
      </c>
      <c r="G1366" s="22" t="s">
        <v>2414</v>
      </c>
      <c r="H1366" s="12" t="s">
        <v>9703</v>
      </c>
      <c r="I1366" s="13" t="s">
        <v>6778</v>
      </c>
      <c r="J1366" s="14" t="s">
        <v>798</v>
      </c>
      <c r="K1366" s="15" t="s">
        <v>798</v>
      </c>
      <c r="L1366" s="12" t="s">
        <v>5315</v>
      </c>
      <c r="M1366" s="13" t="s">
        <v>5566</v>
      </c>
      <c r="N1366" s="12" t="s">
        <v>803</v>
      </c>
      <c r="O1366" s="13" t="s">
        <v>5199</v>
      </c>
      <c r="P1366" s="17" t="s">
        <v>802</v>
      </c>
      <c r="Q1366" s="21" t="s">
        <v>8006</v>
      </c>
      <c r="R1366" s="17" t="s">
        <v>801</v>
      </c>
      <c r="S1366" s="18" t="s">
        <v>2631</v>
      </c>
      <c r="T1366" s="17" t="s">
        <v>800</v>
      </c>
      <c r="U1366" s="18" t="s">
        <v>5253</v>
      </c>
      <c r="V1366" s="17" t="s">
        <v>9418</v>
      </c>
      <c r="W1366" s="18" t="s">
        <v>5312</v>
      </c>
      <c r="X1366" s="69" t="s">
        <v>9453</v>
      </c>
      <c r="Y1366" s="70" t="s">
        <v>9465</v>
      </c>
      <c r="Z1366" s="73" t="s">
        <v>9486</v>
      </c>
      <c r="AA1366" s="74" t="s">
        <v>9504</v>
      </c>
      <c r="AB1366" s="73" t="s">
        <v>9486</v>
      </c>
      <c r="AC1366" s="74" t="s">
        <v>9566</v>
      </c>
      <c r="AD1366" s="73" t="s">
        <v>9578</v>
      </c>
      <c r="AE1366" s="74" t="s">
        <v>9579</v>
      </c>
    </row>
    <row r="1367" spans="1:31" ht="8.65" customHeight="1" x14ac:dyDescent="0.2">
      <c r="A1367" s="76">
        <v>1367</v>
      </c>
      <c r="B1367" s="67" t="str">
        <f>MID(C1367, FIND("Ifc.", C1367) + 4, 4) &amp; "_" &amp; TEXT(COUNTIF($C$2:C1367, C1367),"0000")</f>
        <v>Prop_1366</v>
      </c>
      <c r="C1367" s="24" t="s">
        <v>872</v>
      </c>
      <c r="D1367" s="69" t="s">
        <v>9453</v>
      </c>
      <c r="E1367" s="70" t="s">
        <v>9454</v>
      </c>
      <c r="F1367" s="17" t="s">
        <v>806</v>
      </c>
      <c r="G1367" s="22" t="s">
        <v>1872</v>
      </c>
      <c r="H1367" s="12" t="s">
        <v>9703</v>
      </c>
      <c r="I1367" s="13" t="s">
        <v>6548</v>
      </c>
      <c r="J1367" s="14" t="s">
        <v>798</v>
      </c>
      <c r="K1367" s="15" t="s">
        <v>798</v>
      </c>
      <c r="L1367" s="12" t="s">
        <v>5315</v>
      </c>
      <c r="M1367" s="13" t="s">
        <v>5461</v>
      </c>
      <c r="N1367" s="12" t="s">
        <v>803</v>
      </c>
      <c r="O1367" s="13" t="s">
        <v>5038</v>
      </c>
      <c r="P1367" s="17" t="s">
        <v>802</v>
      </c>
      <c r="Q1367" s="21" t="s">
        <v>7785</v>
      </c>
      <c r="R1367" s="17" t="s">
        <v>801</v>
      </c>
      <c r="S1367" s="18" t="s">
        <v>2631</v>
      </c>
      <c r="T1367" s="17" t="s">
        <v>800</v>
      </c>
      <c r="U1367" s="18" t="s">
        <v>5253</v>
      </c>
      <c r="V1367" s="17" t="s">
        <v>9418</v>
      </c>
      <c r="W1367" s="18" t="s">
        <v>5309</v>
      </c>
      <c r="X1367" s="69" t="s">
        <v>9453</v>
      </c>
      <c r="Y1367" s="70" t="s">
        <v>9462</v>
      </c>
      <c r="Z1367" s="73" t="s">
        <v>9486</v>
      </c>
      <c r="AA1367" s="74" t="s">
        <v>9504</v>
      </c>
      <c r="AB1367" s="73" t="s">
        <v>9486</v>
      </c>
      <c r="AC1367" s="74" t="s">
        <v>9566</v>
      </c>
      <c r="AD1367" s="73" t="s">
        <v>9578</v>
      </c>
      <c r="AE1367" s="74" t="s">
        <v>9579</v>
      </c>
    </row>
    <row r="1368" spans="1:31" ht="8.65" customHeight="1" x14ac:dyDescent="0.2">
      <c r="A1368" s="76">
        <v>1368</v>
      </c>
      <c r="B1368" s="67" t="str">
        <f>MID(C1368, FIND("Ifc.", C1368) + 4, 4) &amp; "_" &amp; TEXT(COUNTIF($C$2:C1368, C1368),"0000")</f>
        <v>Prop_1367</v>
      </c>
      <c r="C1368" s="24" t="s">
        <v>872</v>
      </c>
      <c r="D1368" s="69" t="s">
        <v>9453</v>
      </c>
      <c r="E1368" s="70" t="s">
        <v>9454</v>
      </c>
      <c r="F1368" s="17" t="s">
        <v>806</v>
      </c>
      <c r="G1368" s="22" t="s">
        <v>1515</v>
      </c>
      <c r="H1368" s="12" t="s">
        <v>9703</v>
      </c>
      <c r="I1368" s="13" t="s">
        <v>6351</v>
      </c>
      <c r="J1368" s="14" t="s">
        <v>798</v>
      </c>
      <c r="K1368" s="15" t="s">
        <v>798</v>
      </c>
      <c r="L1368" s="12" t="s">
        <v>5315</v>
      </c>
      <c r="M1368" s="13" t="s">
        <v>5444</v>
      </c>
      <c r="N1368" s="12" t="s">
        <v>803</v>
      </c>
      <c r="O1368" s="13" t="s">
        <v>4952</v>
      </c>
      <c r="P1368" s="17" t="s">
        <v>802</v>
      </c>
      <c r="Q1368" s="21" t="s">
        <v>7888</v>
      </c>
      <c r="R1368" s="17" t="s">
        <v>801</v>
      </c>
      <c r="S1368" s="18" t="s">
        <v>2554</v>
      </c>
      <c r="T1368" s="17" t="s">
        <v>800</v>
      </c>
      <c r="U1368" s="18" t="s">
        <v>5233</v>
      </c>
      <c r="V1368" s="17" t="s">
        <v>9418</v>
      </c>
      <c r="W1368" s="18" t="s">
        <v>5309</v>
      </c>
      <c r="X1368" s="69" t="s">
        <v>9453</v>
      </c>
      <c r="Y1368" s="70" t="s">
        <v>9462</v>
      </c>
      <c r="Z1368" s="73" t="s">
        <v>9486</v>
      </c>
      <c r="AA1368" s="74" t="s">
        <v>9504</v>
      </c>
      <c r="AB1368" s="73" t="s">
        <v>9486</v>
      </c>
      <c r="AC1368" s="74" t="s">
        <v>9562</v>
      </c>
      <c r="AD1368" s="73" t="s">
        <v>9578</v>
      </c>
      <c r="AE1368" s="74" t="s">
        <v>9579</v>
      </c>
    </row>
    <row r="1369" spans="1:31" ht="8.65" customHeight="1" x14ac:dyDescent="0.2">
      <c r="A1369" s="76">
        <v>1369</v>
      </c>
      <c r="B1369" s="67" t="str">
        <f>MID(C1369, FIND("Ifc.", C1369) + 4, 4) &amp; "_" &amp; TEXT(COUNTIF($C$2:C1369, C1369),"0000")</f>
        <v>Prop_1368</v>
      </c>
      <c r="C1369" s="24" t="s">
        <v>872</v>
      </c>
      <c r="D1369" s="69" t="s">
        <v>9453</v>
      </c>
      <c r="E1369" s="70" t="s">
        <v>9454</v>
      </c>
      <c r="F1369" s="17" t="s">
        <v>806</v>
      </c>
      <c r="G1369" s="22" t="s">
        <v>1871</v>
      </c>
      <c r="H1369" s="12" t="s">
        <v>9703</v>
      </c>
      <c r="I1369" s="13" t="s">
        <v>6547</v>
      </c>
      <c r="J1369" s="14" t="s">
        <v>798</v>
      </c>
      <c r="K1369" s="15" t="s">
        <v>798</v>
      </c>
      <c r="L1369" s="12" t="s">
        <v>5315</v>
      </c>
      <c r="M1369" s="13" t="s">
        <v>5461</v>
      </c>
      <c r="N1369" s="12" t="s">
        <v>803</v>
      </c>
      <c r="O1369" s="13" t="s">
        <v>5038</v>
      </c>
      <c r="P1369" s="17" t="s">
        <v>802</v>
      </c>
      <c r="Q1369" s="21" t="s">
        <v>7785</v>
      </c>
      <c r="R1369" s="17" t="s">
        <v>801</v>
      </c>
      <c r="S1369" s="18" t="s">
        <v>2631</v>
      </c>
      <c r="T1369" s="17" t="s">
        <v>800</v>
      </c>
      <c r="U1369" s="18" t="s">
        <v>5253</v>
      </c>
      <c r="V1369" s="17" t="s">
        <v>9418</v>
      </c>
      <c r="W1369" s="18" t="s">
        <v>5309</v>
      </c>
      <c r="X1369" s="69" t="s">
        <v>9453</v>
      </c>
      <c r="Y1369" s="70" t="s">
        <v>9462</v>
      </c>
      <c r="Z1369" s="73" t="s">
        <v>9486</v>
      </c>
      <c r="AA1369" s="74" t="s">
        <v>9504</v>
      </c>
      <c r="AB1369" s="73" t="s">
        <v>9486</v>
      </c>
      <c r="AC1369" s="74" t="s">
        <v>9566</v>
      </c>
      <c r="AD1369" s="73" t="s">
        <v>9578</v>
      </c>
      <c r="AE1369" s="74" t="s">
        <v>9579</v>
      </c>
    </row>
    <row r="1370" spans="1:31" ht="8.65" customHeight="1" x14ac:dyDescent="0.2">
      <c r="A1370" s="76">
        <v>1370</v>
      </c>
      <c r="B1370" s="67" t="str">
        <f>MID(C1370, FIND("Ifc.", C1370) + 4, 4) &amp; "_" &amp; TEXT(COUNTIF($C$2:C1370, C1370),"0000")</f>
        <v>Prop_1369</v>
      </c>
      <c r="C1370" s="24" t="s">
        <v>872</v>
      </c>
      <c r="D1370" s="69" t="s">
        <v>9453</v>
      </c>
      <c r="E1370" s="70" t="s">
        <v>9454</v>
      </c>
      <c r="F1370" s="17" t="s">
        <v>806</v>
      </c>
      <c r="G1370" s="22" t="s">
        <v>1239</v>
      </c>
      <c r="H1370" s="12" t="s">
        <v>9703</v>
      </c>
      <c r="I1370" s="13" t="s">
        <v>6869</v>
      </c>
      <c r="J1370" s="14" t="s">
        <v>798</v>
      </c>
      <c r="K1370" s="15" t="s">
        <v>798</v>
      </c>
      <c r="L1370" s="12" t="s">
        <v>5315</v>
      </c>
      <c r="M1370" s="13" t="s">
        <v>5401</v>
      </c>
      <c r="N1370" s="12" t="s">
        <v>803</v>
      </c>
      <c r="O1370" s="13" t="s">
        <v>4889</v>
      </c>
      <c r="P1370" s="17" t="s">
        <v>802</v>
      </c>
      <c r="Q1370" s="21" t="s">
        <v>7746</v>
      </c>
      <c r="R1370" s="17" t="s">
        <v>801</v>
      </c>
      <c r="S1370" s="18" t="s">
        <v>2625</v>
      </c>
      <c r="T1370" s="17" t="s">
        <v>800</v>
      </c>
      <c r="U1370" s="18" t="s">
        <v>5240</v>
      </c>
      <c r="V1370" s="17" t="s">
        <v>9418</v>
      </c>
      <c r="W1370" s="18" t="s">
        <v>5309</v>
      </c>
      <c r="X1370" s="69" t="s">
        <v>9453</v>
      </c>
      <c r="Y1370" s="70" t="s">
        <v>9462</v>
      </c>
      <c r="Z1370" s="73" t="s">
        <v>9486</v>
      </c>
      <c r="AA1370" s="74" t="s">
        <v>9504</v>
      </c>
      <c r="AB1370" s="73" t="s">
        <v>9486</v>
      </c>
      <c r="AC1370" s="74" t="s">
        <v>9566</v>
      </c>
      <c r="AD1370" s="73" t="s">
        <v>9578</v>
      </c>
      <c r="AE1370" s="74" t="s">
        <v>9579</v>
      </c>
    </row>
    <row r="1371" spans="1:31" ht="8.65" customHeight="1" x14ac:dyDescent="0.2">
      <c r="A1371" s="76">
        <v>1371</v>
      </c>
      <c r="B1371" s="67" t="str">
        <f>MID(C1371, FIND("Ifc.", C1371) + 4, 4) &amp; "_" &amp; TEXT(COUNTIF($C$2:C1371, C1371),"0000")</f>
        <v>Prop_1370</v>
      </c>
      <c r="C1371" s="24" t="s">
        <v>872</v>
      </c>
      <c r="D1371" s="69" t="s">
        <v>9453</v>
      </c>
      <c r="E1371" s="70" t="s">
        <v>9454</v>
      </c>
      <c r="F1371" s="17" t="s">
        <v>806</v>
      </c>
      <c r="G1371" s="22" t="s">
        <v>1845</v>
      </c>
      <c r="H1371" s="12" t="s">
        <v>9703</v>
      </c>
      <c r="I1371" s="13" t="s">
        <v>6551</v>
      </c>
      <c r="J1371" s="14" t="s">
        <v>798</v>
      </c>
      <c r="K1371" s="15" t="s">
        <v>798</v>
      </c>
      <c r="L1371" s="12" t="s">
        <v>5315</v>
      </c>
      <c r="M1371" s="13" t="s">
        <v>2231</v>
      </c>
      <c r="N1371" s="12" t="s">
        <v>803</v>
      </c>
      <c r="O1371" s="13" t="s">
        <v>5032</v>
      </c>
      <c r="P1371" s="17" t="s">
        <v>802</v>
      </c>
      <c r="Q1371" s="21" t="s">
        <v>7921</v>
      </c>
      <c r="R1371" s="17" t="s">
        <v>801</v>
      </c>
      <c r="S1371" s="18" t="s">
        <v>2624</v>
      </c>
      <c r="T1371" s="17" t="s">
        <v>800</v>
      </c>
      <c r="U1371" s="18" t="s">
        <v>5243</v>
      </c>
      <c r="V1371" s="17" t="s">
        <v>9418</v>
      </c>
      <c r="W1371" s="18" t="s">
        <v>5309</v>
      </c>
      <c r="X1371" s="69" t="s">
        <v>9453</v>
      </c>
      <c r="Y1371" s="70" t="s">
        <v>9462</v>
      </c>
      <c r="Z1371" s="73" t="s">
        <v>9486</v>
      </c>
      <c r="AA1371" s="74" t="s">
        <v>9504</v>
      </c>
      <c r="AB1371" s="73" t="s">
        <v>9486</v>
      </c>
      <c r="AC1371" s="74" t="s">
        <v>9566</v>
      </c>
      <c r="AD1371" s="73" t="s">
        <v>9578</v>
      </c>
      <c r="AE1371" s="74" t="s">
        <v>9579</v>
      </c>
    </row>
    <row r="1372" spans="1:31" ht="8.65" customHeight="1" x14ac:dyDescent="0.2">
      <c r="A1372" s="76">
        <v>1372</v>
      </c>
      <c r="B1372" s="67" t="str">
        <f>MID(C1372, FIND("Ifc.", C1372) + 4, 4) &amp; "_" &amp; TEXT(COUNTIF($C$2:C1372, C1372),"0000")</f>
        <v>Prop_1371</v>
      </c>
      <c r="C1372" s="24" t="s">
        <v>872</v>
      </c>
      <c r="D1372" s="69" t="s">
        <v>9453</v>
      </c>
      <c r="E1372" s="70" t="s">
        <v>9454</v>
      </c>
      <c r="F1372" s="17" t="s">
        <v>806</v>
      </c>
      <c r="G1372" s="22" t="s">
        <v>1555</v>
      </c>
      <c r="H1372" s="12" t="s">
        <v>9703</v>
      </c>
      <c r="I1372" s="13" t="s">
        <v>7321</v>
      </c>
      <c r="J1372" s="14" t="s">
        <v>798</v>
      </c>
      <c r="K1372" s="15" t="s">
        <v>798</v>
      </c>
      <c r="L1372" s="12" t="s">
        <v>5315</v>
      </c>
      <c r="M1372" s="13" t="s">
        <v>5831</v>
      </c>
      <c r="N1372" s="12" t="s">
        <v>803</v>
      </c>
      <c r="O1372" s="13" t="s">
        <v>4973</v>
      </c>
      <c r="P1372" s="17" t="s">
        <v>802</v>
      </c>
      <c r="Q1372" s="21" t="s">
        <v>7730</v>
      </c>
      <c r="R1372" s="17" t="s">
        <v>801</v>
      </c>
      <c r="S1372" s="18" t="s">
        <v>3636</v>
      </c>
      <c r="T1372" s="17" t="s">
        <v>800</v>
      </c>
      <c r="U1372" s="18" t="s">
        <v>5257</v>
      </c>
      <c r="V1372" s="17" t="s">
        <v>9418</v>
      </c>
      <c r="W1372" s="18" t="s">
        <v>5314</v>
      </c>
      <c r="X1372" s="69" t="s">
        <v>9453</v>
      </c>
      <c r="Y1372" s="70" t="s">
        <v>9464</v>
      </c>
      <c r="Z1372" s="73" t="s">
        <v>9486</v>
      </c>
      <c r="AA1372" s="74" t="s">
        <v>9504</v>
      </c>
      <c r="AB1372" s="73" t="s">
        <v>9486</v>
      </c>
      <c r="AC1372" s="74" t="s">
        <v>9561</v>
      </c>
      <c r="AD1372" s="73" t="s">
        <v>9578</v>
      </c>
      <c r="AE1372" s="74" t="s">
        <v>9579</v>
      </c>
    </row>
    <row r="1373" spans="1:31" ht="8.65" customHeight="1" x14ac:dyDescent="0.2">
      <c r="A1373" s="76">
        <v>1373</v>
      </c>
      <c r="B1373" s="67" t="str">
        <f>MID(C1373, FIND("Ifc.", C1373) + 4, 4) &amp; "_" &amp; TEXT(COUNTIF($C$2:C1373, C1373),"0000")</f>
        <v>Prop_1372</v>
      </c>
      <c r="C1373" s="24" t="s">
        <v>872</v>
      </c>
      <c r="D1373" s="69" t="s">
        <v>9453</v>
      </c>
      <c r="E1373" s="70" t="s">
        <v>9454</v>
      </c>
      <c r="F1373" s="17" t="s">
        <v>806</v>
      </c>
      <c r="G1373" s="22" t="s">
        <v>1555</v>
      </c>
      <c r="H1373" s="12" t="s">
        <v>9703</v>
      </c>
      <c r="I1373" s="13" t="s">
        <v>7321</v>
      </c>
      <c r="J1373" s="14" t="s">
        <v>798</v>
      </c>
      <c r="K1373" s="15" t="s">
        <v>798</v>
      </c>
      <c r="L1373" s="12" t="s">
        <v>5315</v>
      </c>
      <c r="M1373" s="13" t="s">
        <v>5890</v>
      </c>
      <c r="N1373" s="12" t="s">
        <v>803</v>
      </c>
      <c r="O1373" s="13" t="s">
        <v>4959</v>
      </c>
      <c r="P1373" s="17" t="s">
        <v>802</v>
      </c>
      <c r="Q1373" s="21" t="s">
        <v>7910</v>
      </c>
      <c r="R1373" s="17" t="s">
        <v>801</v>
      </c>
      <c r="S1373" s="18" t="s">
        <v>3636</v>
      </c>
      <c r="T1373" s="17" t="s">
        <v>800</v>
      </c>
      <c r="U1373" s="18" t="s">
        <v>5257</v>
      </c>
      <c r="V1373" s="17" t="s">
        <v>9418</v>
      </c>
      <c r="W1373" s="18" t="s">
        <v>5314</v>
      </c>
      <c r="X1373" s="69" t="s">
        <v>9453</v>
      </c>
      <c r="Y1373" s="70" t="s">
        <v>9464</v>
      </c>
      <c r="Z1373" s="73" t="s">
        <v>9486</v>
      </c>
      <c r="AA1373" s="74" t="s">
        <v>9504</v>
      </c>
      <c r="AB1373" s="73" t="s">
        <v>9486</v>
      </c>
      <c r="AC1373" s="74" t="s">
        <v>9561</v>
      </c>
      <c r="AD1373" s="73" t="s">
        <v>9578</v>
      </c>
      <c r="AE1373" s="74" t="s">
        <v>9579</v>
      </c>
    </row>
    <row r="1374" spans="1:31" ht="8.65" customHeight="1" x14ac:dyDescent="0.2">
      <c r="A1374" s="76">
        <v>1374</v>
      </c>
      <c r="B1374" s="67" t="str">
        <f>MID(C1374, FIND("Ifc.", C1374) + 4, 4) &amp; "_" &amp; TEXT(COUNTIF($C$2:C1374, C1374),"0000")</f>
        <v>Prop_1373</v>
      </c>
      <c r="C1374" s="24" t="s">
        <v>872</v>
      </c>
      <c r="D1374" s="69" t="s">
        <v>9453</v>
      </c>
      <c r="E1374" s="70" t="s">
        <v>9454</v>
      </c>
      <c r="F1374" s="17" t="s">
        <v>806</v>
      </c>
      <c r="G1374" s="22" t="s">
        <v>1127</v>
      </c>
      <c r="H1374" s="12" t="s">
        <v>9703</v>
      </c>
      <c r="I1374" s="13" t="s">
        <v>6172</v>
      </c>
      <c r="J1374" s="14" t="s">
        <v>798</v>
      </c>
      <c r="K1374" s="15" t="s">
        <v>798</v>
      </c>
      <c r="L1374" s="12" t="s">
        <v>5315</v>
      </c>
      <c r="M1374" s="13" t="s">
        <v>6038</v>
      </c>
      <c r="N1374" s="12" t="s">
        <v>803</v>
      </c>
      <c r="O1374" s="13" t="s">
        <v>4859</v>
      </c>
      <c r="P1374" s="17" t="s">
        <v>802</v>
      </c>
      <c r="Q1374" s="21" t="s">
        <v>7766</v>
      </c>
      <c r="R1374" s="17" t="s">
        <v>801</v>
      </c>
      <c r="S1374" s="18" t="s">
        <v>2554</v>
      </c>
      <c r="T1374" s="17" t="s">
        <v>800</v>
      </c>
      <c r="U1374" s="18" t="s">
        <v>5233</v>
      </c>
      <c r="V1374" s="17" t="s">
        <v>9418</v>
      </c>
      <c r="W1374" s="18" t="s">
        <v>5310</v>
      </c>
      <c r="X1374" s="69" t="s">
        <v>9453</v>
      </c>
      <c r="Y1374" s="70" t="s">
        <v>9463</v>
      </c>
      <c r="Z1374" s="73" t="s">
        <v>9486</v>
      </c>
      <c r="AA1374" s="74" t="s">
        <v>9504</v>
      </c>
      <c r="AB1374" s="73" t="s">
        <v>9486</v>
      </c>
      <c r="AC1374" s="74" t="s">
        <v>9562</v>
      </c>
      <c r="AD1374" s="73" t="s">
        <v>9578</v>
      </c>
      <c r="AE1374" s="74" t="s">
        <v>9579</v>
      </c>
    </row>
    <row r="1375" spans="1:31" ht="8.65" customHeight="1" x14ac:dyDescent="0.2">
      <c r="A1375" s="76">
        <v>1375</v>
      </c>
      <c r="B1375" s="67" t="str">
        <f>MID(C1375, FIND("Ifc.", C1375) + 4, 4) &amp; "_" &amp; TEXT(COUNTIF($C$2:C1375, C1375),"0000")</f>
        <v>Prop_1374</v>
      </c>
      <c r="C1375" s="24" t="s">
        <v>872</v>
      </c>
      <c r="D1375" s="69" t="s">
        <v>9453</v>
      </c>
      <c r="E1375" s="70" t="s">
        <v>9454</v>
      </c>
      <c r="F1375" s="17" t="s">
        <v>806</v>
      </c>
      <c r="G1375" s="22" t="s">
        <v>1020</v>
      </c>
      <c r="H1375" s="12" t="s">
        <v>9703</v>
      </c>
      <c r="I1375" s="13" t="s">
        <v>6127</v>
      </c>
      <c r="J1375" s="14" t="s">
        <v>798</v>
      </c>
      <c r="K1375" s="15" t="s">
        <v>798</v>
      </c>
      <c r="L1375" s="12" t="s">
        <v>5315</v>
      </c>
      <c r="M1375" s="13" t="s">
        <v>5379</v>
      </c>
      <c r="N1375" s="12" t="s">
        <v>803</v>
      </c>
      <c r="O1375" s="13" t="s">
        <v>4836</v>
      </c>
      <c r="P1375" s="17" t="s">
        <v>802</v>
      </c>
      <c r="Q1375" s="21" t="s">
        <v>7739</v>
      </c>
      <c r="R1375" s="17" t="s">
        <v>801</v>
      </c>
      <c r="S1375" s="18" t="s">
        <v>2554</v>
      </c>
      <c r="T1375" s="17" t="s">
        <v>800</v>
      </c>
      <c r="U1375" s="18" t="s">
        <v>5233</v>
      </c>
      <c r="V1375" s="17" t="s">
        <v>9418</v>
      </c>
      <c r="W1375" s="18" t="s">
        <v>5310</v>
      </c>
      <c r="X1375" s="69" t="s">
        <v>9453</v>
      </c>
      <c r="Y1375" s="70" t="s">
        <v>9463</v>
      </c>
      <c r="Z1375" s="73" t="s">
        <v>9486</v>
      </c>
      <c r="AA1375" s="74" t="s">
        <v>9504</v>
      </c>
      <c r="AB1375" s="73" t="s">
        <v>9486</v>
      </c>
      <c r="AC1375" s="74" t="s">
        <v>9562</v>
      </c>
      <c r="AD1375" s="73" t="s">
        <v>9578</v>
      </c>
      <c r="AE1375" s="74" t="s">
        <v>9579</v>
      </c>
    </row>
    <row r="1376" spans="1:31" ht="8.65" customHeight="1" x14ac:dyDescent="0.2">
      <c r="A1376" s="76">
        <v>1376</v>
      </c>
      <c r="B1376" s="67" t="str">
        <f>MID(C1376, FIND("Ifc.", C1376) + 4, 4) &amp; "_" &amp; TEXT(COUNTIF($C$2:C1376, C1376),"0000")</f>
        <v>Prop_1375</v>
      </c>
      <c r="C1376" s="24" t="s">
        <v>872</v>
      </c>
      <c r="D1376" s="69" t="s">
        <v>9453</v>
      </c>
      <c r="E1376" s="70" t="s">
        <v>9454</v>
      </c>
      <c r="F1376" s="17" t="s">
        <v>806</v>
      </c>
      <c r="G1376" s="22" t="s">
        <v>1943</v>
      </c>
      <c r="H1376" s="12" t="s">
        <v>9703</v>
      </c>
      <c r="I1376" s="13" t="s">
        <v>7319</v>
      </c>
      <c r="J1376" s="14" t="s">
        <v>798</v>
      </c>
      <c r="K1376" s="15" t="s">
        <v>798</v>
      </c>
      <c r="L1376" s="12" t="s">
        <v>5315</v>
      </c>
      <c r="M1376" s="13" t="s">
        <v>5471</v>
      </c>
      <c r="N1376" s="12" t="s">
        <v>803</v>
      </c>
      <c r="O1376" s="13" t="s">
        <v>5063</v>
      </c>
      <c r="P1376" s="17" t="s">
        <v>802</v>
      </c>
      <c r="Q1376" s="21" t="s">
        <v>7738</v>
      </c>
      <c r="R1376" s="17" t="s">
        <v>801</v>
      </c>
      <c r="S1376" s="18" t="s">
        <v>2554</v>
      </c>
      <c r="T1376" s="17" t="s">
        <v>800</v>
      </c>
      <c r="U1376" s="18" t="s">
        <v>5233</v>
      </c>
      <c r="V1376" s="17" t="s">
        <v>9418</v>
      </c>
      <c r="W1376" s="18" t="s">
        <v>5310</v>
      </c>
      <c r="X1376" s="69" t="s">
        <v>9453</v>
      </c>
      <c r="Y1376" s="70" t="s">
        <v>9463</v>
      </c>
      <c r="Z1376" s="73" t="s">
        <v>9486</v>
      </c>
      <c r="AA1376" s="74" t="s">
        <v>9504</v>
      </c>
      <c r="AB1376" s="73" t="s">
        <v>9486</v>
      </c>
      <c r="AC1376" s="74" t="s">
        <v>9562</v>
      </c>
      <c r="AD1376" s="73" t="s">
        <v>9578</v>
      </c>
      <c r="AE1376" s="74" t="s">
        <v>9579</v>
      </c>
    </row>
    <row r="1377" spans="1:31" ht="8.65" customHeight="1" x14ac:dyDescent="0.2">
      <c r="A1377" s="76">
        <v>1377</v>
      </c>
      <c r="B1377" s="67" t="str">
        <f>MID(C1377, FIND("Ifc.", C1377) + 4, 4) &amp; "_" &amp; TEXT(COUNTIF($C$2:C1377, C1377),"0000")</f>
        <v>Prop_1376</v>
      </c>
      <c r="C1377" s="24" t="s">
        <v>872</v>
      </c>
      <c r="D1377" s="69" t="s">
        <v>9453</v>
      </c>
      <c r="E1377" s="70" t="s">
        <v>9454</v>
      </c>
      <c r="F1377" s="17" t="s">
        <v>806</v>
      </c>
      <c r="G1377" s="22" t="s">
        <v>1940</v>
      </c>
      <c r="H1377" s="12" t="s">
        <v>9703</v>
      </c>
      <c r="I1377" s="13" t="s">
        <v>7320</v>
      </c>
      <c r="J1377" s="14" t="s">
        <v>798</v>
      </c>
      <c r="K1377" s="15" t="s">
        <v>798</v>
      </c>
      <c r="L1377" s="12" t="s">
        <v>5315</v>
      </c>
      <c r="M1377" s="13" t="s">
        <v>5471</v>
      </c>
      <c r="N1377" s="12" t="s">
        <v>803</v>
      </c>
      <c r="O1377" s="13" t="s">
        <v>5063</v>
      </c>
      <c r="P1377" s="17" t="s">
        <v>802</v>
      </c>
      <c r="Q1377" s="21" t="s">
        <v>7738</v>
      </c>
      <c r="R1377" s="17" t="s">
        <v>801</v>
      </c>
      <c r="S1377" s="18" t="s">
        <v>2554</v>
      </c>
      <c r="T1377" s="17" t="s">
        <v>800</v>
      </c>
      <c r="U1377" s="18" t="s">
        <v>5233</v>
      </c>
      <c r="V1377" s="17" t="s">
        <v>9418</v>
      </c>
      <c r="W1377" s="18" t="s">
        <v>5310</v>
      </c>
      <c r="X1377" s="69" t="s">
        <v>9453</v>
      </c>
      <c r="Y1377" s="70" t="s">
        <v>9463</v>
      </c>
      <c r="Z1377" s="73" t="s">
        <v>9486</v>
      </c>
      <c r="AA1377" s="74" t="s">
        <v>9504</v>
      </c>
      <c r="AB1377" s="73" t="s">
        <v>9486</v>
      </c>
      <c r="AC1377" s="74" t="s">
        <v>9562</v>
      </c>
      <c r="AD1377" s="73" t="s">
        <v>9578</v>
      </c>
      <c r="AE1377" s="74" t="s">
        <v>9579</v>
      </c>
    </row>
    <row r="1378" spans="1:31" ht="8.65" customHeight="1" x14ac:dyDescent="0.2">
      <c r="A1378" s="76">
        <v>1378</v>
      </c>
      <c r="B1378" s="67" t="str">
        <f>MID(C1378, FIND("Ifc.", C1378) + 4, 4) &amp; "_" &amp; TEXT(COUNTIF($C$2:C1378, C1378),"0000")</f>
        <v>Prop_1377</v>
      </c>
      <c r="C1378" s="24" t="s">
        <v>872</v>
      </c>
      <c r="D1378" s="69" t="s">
        <v>9453</v>
      </c>
      <c r="E1378" s="70" t="s">
        <v>9454</v>
      </c>
      <c r="F1378" s="17" t="s">
        <v>806</v>
      </c>
      <c r="G1378" s="22" t="s">
        <v>1631</v>
      </c>
      <c r="H1378" s="12" t="s">
        <v>9703</v>
      </c>
      <c r="I1378" s="13" t="s">
        <v>6371</v>
      </c>
      <c r="J1378" s="14" t="s">
        <v>798</v>
      </c>
      <c r="K1378" s="15" t="s">
        <v>798</v>
      </c>
      <c r="L1378" s="12" t="s">
        <v>5315</v>
      </c>
      <c r="M1378" s="13" t="s">
        <v>5923</v>
      </c>
      <c r="N1378" s="12" t="s">
        <v>803</v>
      </c>
      <c r="O1378" s="13" t="s">
        <v>4977</v>
      </c>
      <c r="P1378" s="17" t="s">
        <v>802</v>
      </c>
      <c r="Q1378" s="21" t="s">
        <v>8007</v>
      </c>
      <c r="R1378" s="17" t="s">
        <v>801</v>
      </c>
      <c r="S1378" s="18" t="s">
        <v>3636</v>
      </c>
      <c r="T1378" s="17" t="s">
        <v>800</v>
      </c>
      <c r="U1378" s="18" t="s">
        <v>5257</v>
      </c>
      <c r="V1378" s="17" t="s">
        <v>9418</v>
      </c>
      <c r="W1378" s="18" t="s">
        <v>5314</v>
      </c>
      <c r="X1378" s="69" t="s">
        <v>9453</v>
      </c>
      <c r="Y1378" s="70" t="s">
        <v>9464</v>
      </c>
      <c r="Z1378" s="73" t="s">
        <v>9486</v>
      </c>
      <c r="AA1378" s="74" t="s">
        <v>9504</v>
      </c>
      <c r="AB1378" s="73" t="s">
        <v>9486</v>
      </c>
      <c r="AC1378" s="74" t="s">
        <v>9561</v>
      </c>
      <c r="AD1378" s="73" t="s">
        <v>9578</v>
      </c>
      <c r="AE1378" s="74" t="s">
        <v>9579</v>
      </c>
    </row>
    <row r="1379" spans="1:31" ht="8.65" customHeight="1" x14ac:dyDescent="0.2">
      <c r="A1379" s="76">
        <v>1379</v>
      </c>
      <c r="B1379" s="67" t="str">
        <f>MID(C1379, FIND("Ifc.", C1379) + 4, 4) &amp; "_" &amp; TEXT(COUNTIF($C$2:C1379, C1379),"0000")</f>
        <v>Prop_1378</v>
      </c>
      <c r="C1379" s="24" t="s">
        <v>872</v>
      </c>
      <c r="D1379" s="69" t="s">
        <v>9453</v>
      </c>
      <c r="E1379" s="70" t="s">
        <v>9454</v>
      </c>
      <c r="F1379" s="17" t="s">
        <v>806</v>
      </c>
      <c r="G1379" s="22" t="s">
        <v>1140</v>
      </c>
      <c r="H1379" s="12" t="s">
        <v>9703</v>
      </c>
      <c r="I1379" s="13" t="s">
        <v>6182</v>
      </c>
      <c r="J1379" s="14" t="s">
        <v>798</v>
      </c>
      <c r="K1379" s="15" t="s">
        <v>798</v>
      </c>
      <c r="L1379" s="12" t="s">
        <v>5315</v>
      </c>
      <c r="M1379" s="13" t="s">
        <v>6041</v>
      </c>
      <c r="N1379" s="12" t="s">
        <v>803</v>
      </c>
      <c r="O1379" s="13" t="s">
        <v>4862</v>
      </c>
      <c r="P1379" s="17" t="s">
        <v>802</v>
      </c>
      <c r="Q1379" s="21" t="s">
        <v>7795</v>
      </c>
      <c r="R1379" s="17" t="s">
        <v>801</v>
      </c>
      <c r="S1379" s="18" t="s">
        <v>2560</v>
      </c>
      <c r="T1379" s="17" t="s">
        <v>800</v>
      </c>
      <c r="U1379" s="18" t="s">
        <v>5236</v>
      </c>
      <c r="V1379" s="17" t="s">
        <v>9418</v>
      </c>
      <c r="W1379" s="18" t="s">
        <v>5309</v>
      </c>
      <c r="X1379" s="69" t="s">
        <v>9453</v>
      </c>
      <c r="Y1379" s="70" t="s">
        <v>9462</v>
      </c>
      <c r="Z1379" s="73" t="s">
        <v>9486</v>
      </c>
      <c r="AA1379" s="74" t="s">
        <v>9504</v>
      </c>
      <c r="AB1379" s="73" t="s">
        <v>9486</v>
      </c>
      <c r="AC1379" s="74" t="s">
        <v>9562</v>
      </c>
      <c r="AD1379" s="73" t="s">
        <v>9578</v>
      </c>
      <c r="AE1379" s="74" t="s">
        <v>9579</v>
      </c>
    </row>
    <row r="1380" spans="1:31" ht="8.65" customHeight="1" x14ac:dyDescent="0.2">
      <c r="A1380" s="76">
        <v>1380</v>
      </c>
      <c r="B1380" s="67" t="str">
        <f>MID(C1380, FIND("Ifc.", C1380) + 4, 4) &amp; "_" &amp; TEXT(COUNTIF($C$2:C1380, C1380),"0000")</f>
        <v>Prop_1379</v>
      </c>
      <c r="C1380" s="24" t="s">
        <v>872</v>
      </c>
      <c r="D1380" s="69" t="s">
        <v>9453</v>
      </c>
      <c r="E1380" s="70" t="s">
        <v>9454</v>
      </c>
      <c r="F1380" s="17" t="s">
        <v>806</v>
      </c>
      <c r="G1380" s="22" t="s">
        <v>1802</v>
      </c>
      <c r="H1380" s="12" t="s">
        <v>9703</v>
      </c>
      <c r="I1380" s="13" t="s">
        <v>6815</v>
      </c>
      <c r="J1380" s="14" t="s">
        <v>798</v>
      </c>
      <c r="K1380" s="15" t="s">
        <v>798</v>
      </c>
      <c r="L1380" s="12" t="s">
        <v>5315</v>
      </c>
      <c r="M1380" s="13" t="s">
        <v>5938</v>
      </c>
      <c r="N1380" s="12" t="s">
        <v>803</v>
      </c>
      <c r="O1380" s="13" t="s">
        <v>5020</v>
      </c>
      <c r="P1380" s="17" t="s">
        <v>802</v>
      </c>
      <c r="Q1380" s="21" t="s">
        <v>7941</v>
      </c>
      <c r="R1380" s="17" t="s">
        <v>801</v>
      </c>
      <c r="S1380" s="18" t="s">
        <v>2560</v>
      </c>
      <c r="T1380" s="17" t="s">
        <v>800</v>
      </c>
      <c r="U1380" s="18" t="s">
        <v>5236</v>
      </c>
      <c r="V1380" s="17" t="s">
        <v>9418</v>
      </c>
      <c r="W1380" s="18" t="s">
        <v>5309</v>
      </c>
      <c r="X1380" s="69" t="s">
        <v>9453</v>
      </c>
      <c r="Y1380" s="70" t="s">
        <v>9462</v>
      </c>
      <c r="Z1380" s="73" t="s">
        <v>9486</v>
      </c>
      <c r="AA1380" s="74" t="s">
        <v>9504</v>
      </c>
      <c r="AB1380" s="73" t="s">
        <v>9486</v>
      </c>
      <c r="AC1380" s="74" t="s">
        <v>9562</v>
      </c>
      <c r="AD1380" s="73" t="s">
        <v>9578</v>
      </c>
      <c r="AE1380" s="74" t="s">
        <v>9579</v>
      </c>
    </row>
    <row r="1381" spans="1:31" ht="8.65" customHeight="1" x14ac:dyDescent="0.2">
      <c r="A1381" s="76">
        <v>1381</v>
      </c>
      <c r="B1381" s="67" t="str">
        <f>MID(C1381, FIND("Ifc.", C1381) + 4, 4) &amp; "_" &amp; TEXT(COUNTIF($C$2:C1381, C1381),"0000")</f>
        <v>Prop_1380</v>
      </c>
      <c r="C1381" s="24" t="s">
        <v>872</v>
      </c>
      <c r="D1381" s="69" t="s">
        <v>9453</v>
      </c>
      <c r="E1381" s="70" t="s">
        <v>9454</v>
      </c>
      <c r="F1381" s="17" t="s">
        <v>806</v>
      </c>
      <c r="G1381" s="22" t="s">
        <v>2302</v>
      </c>
      <c r="H1381" s="12" t="s">
        <v>9703</v>
      </c>
      <c r="I1381" s="13" t="s">
        <v>7318</v>
      </c>
      <c r="J1381" s="14" t="s">
        <v>798</v>
      </c>
      <c r="K1381" s="15" t="s">
        <v>798</v>
      </c>
      <c r="L1381" s="12" t="s">
        <v>5315</v>
      </c>
      <c r="M1381" s="13" t="s">
        <v>5551</v>
      </c>
      <c r="N1381" s="12" t="s">
        <v>803</v>
      </c>
      <c r="O1381" s="13" t="s">
        <v>5164</v>
      </c>
      <c r="P1381" s="17" t="s">
        <v>802</v>
      </c>
      <c r="Q1381" s="21" t="s">
        <v>7871</v>
      </c>
      <c r="R1381" s="17" t="s">
        <v>801</v>
      </c>
      <c r="S1381" s="18" t="s">
        <v>2560</v>
      </c>
      <c r="T1381" s="17" t="s">
        <v>800</v>
      </c>
      <c r="U1381" s="18" t="s">
        <v>5236</v>
      </c>
      <c r="V1381" s="17" t="s">
        <v>9418</v>
      </c>
      <c r="W1381" s="18" t="s">
        <v>5309</v>
      </c>
      <c r="X1381" s="69" t="s">
        <v>9453</v>
      </c>
      <c r="Y1381" s="70" t="s">
        <v>9462</v>
      </c>
      <c r="Z1381" s="73" t="s">
        <v>9486</v>
      </c>
      <c r="AA1381" s="74" t="s">
        <v>9504</v>
      </c>
      <c r="AB1381" s="73" t="s">
        <v>9486</v>
      </c>
      <c r="AC1381" s="74" t="s">
        <v>9562</v>
      </c>
      <c r="AD1381" s="73" t="s">
        <v>9578</v>
      </c>
      <c r="AE1381" s="74" t="s">
        <v>9579</v>
      </c>
    </row>
    <row r="1382" spans="1:31" ht="8.65" customHeight="1" x14ac:dyDescent="0.2">
      <c r="A1382" s="76">
        <v>1382</v>
      </c>
      <c r="B1382" s="67" t="str">
        <f>MID(C1382, FIND("Ifc.", C1382) + 4, 4) &amp; "_" &amp; TEXT(COUNTIF($C$2:C1382, C1382),"0000")</f>
        <v>Prop_1381</v>
      </c>
      <c r="C1382" s="24" t="s">
        <v>872</v>
      </c>
      <c r="D1382" s="69" t="s">
        <v>9453</v>
      </c>
      <c r="E1382" s="70" t="s">
        <v>9454</v>
      </c>
      <c r="F1382" s="17" t="s">
        <v>806</v>
      </c>
      <c r="G1382" s="22" t="s">
        <v>2372</v>
      </c>
      <c r="H1382" s="12" t="s">
        <v>9703</v>
      </c>
      <c r="I1382" s="13" t="s">
        <v>7317</v>
      </c>
      <c r="J1382" s="14" t="s">
        <v>798</v>
      </c>
      <c r="K1382" s="15" t="s">
        <v>798</v>
      </c>
      <c r="L1382" s="12" t="s">
        <v>5315</v>
      </c>
      <c r="M1382" s="13" t="s">
        <v>5781</v>
      </c>
      <c r="N1382" s="12" t="s">
        <v>803</v>
      </c>
      <c r="O1382" s="13" t="s">
        <v>5180</v>
      </c>
      <c r="P1382" s="17" t="s">
        <v>802</v>
      </c>
      <c r="Q1382" s="21" t="s">
        <v>7699</v>
      </c>
      <c r="R1382" s="17" t="s">
        <v>801</v>
      </c>
      <c r="S1382" s="18" t="s">
        <v>2560</v>
      </c>
      <c r="T1382" s="17" t="s">
        <v>800</v>
      </c>
      <c r="U1382" s="18" t="s">
        <v>5236</v>
      </c>
      <c r="V1382" s="17" t="s">
        <v>9418</v>
      </c>
      <c r="W1382" s="18" t="s">
        <v>5309</v>
      </c>
      <c r="X1382" s="69" t="s">
        <v>9453</v>
      </c>
      <c r="Y1382" s="70" t="s">
        <v>9462</v>
      </c>
      <c r="Z1382" s="73" t="s">
        <v>9486</v>
      </c>
      <c r="AA1382" s="74" t="s">
        <v>9504</v>
      </c>
      <c r="AB1382" s="73" t="s">
        <v>9486</v>
      </c>
      <c r="AC1382" s="74" t="s">
        <v>9562</v>
      </c>
      <c r="AD1382" s="73" t="s">
        <v>9578</v>
      </c>
      <c r="AE1382" s="74" t="s">
        <v>9579</v>
      </c>
    </row>
    <row r="1383" spans="1:31" ht="8.65" customHeight="1" x14ac:dyDescent="0.2">
      <c r="A1383" s="76">
        <v>1383</v>
      </c>
      <c r="B1383" s="67" t="str">
        <f>MID(C1383, FIND("Ifc.", C1383) + 4, 4) &amp; "_" &amp; TEXT(COUNTIF($C$2:C1383, C1383),"0000")</f>
        <v>Prop_1382</v>
      </c>
      <c r="C1383" s="24" t="s">
        <v>872</v>
      </c>
      <c r="D1383" s="69" t="s">
        <v>9453</v>
      </c>
      <c r="E1383" s="70" t="s">
        <v>9454</v>
      </c>
      <c r="F1383" s="17" t="s">
        <v>806</v>
      </c>
      <c r="G1383" s="22" t="s">
        <v>2436</v>
      </c>
      <c r="H1383" s="12" t="s">
        <v>9703</v>
      </c>
      <c r="I1383" s="13" t="s">
        <v>7316</v>
      </c>
      <c r="J1383" s="14" t="s">
        <v>798</v>
      </c>
      <c r="K1383" s="15" t="s">
        <v>798</v>
      </c>
      <c r="L1383" s="12" t="s">
        <v>5315</v>
      </c>
      <c r="M1383" s="13" t="s">
        <v>5570</v>
      </c>
      <c r="N1383" s="12" t="s">
        <v>803</v>
      </c>
      <c r="O1383" s="13" t="s">
        <v>5203</v>
      </c>
      <c r="P1383" s="17" t="s">
        <v>802</v>
      </c>
      <c r="Q1383" s="21" t="s">
        <v>7900</v>
      </c>
      <c r="R1383" s="17" t="s">
        <v>801</v>
      </c>
      <c r="S1383" s="18" t="s">
        <v>2619</v>
      </c>
      <c r="T1383" s="17" t="s">
        <v>800</v>
      </c>
      <c r="U1383" s="18" t="s">
        <v>5239</v>
      </c>
      <c r="V1383" s="17" t="s">
        <v>9418</v>
      </c>
      <c r="W1383" s="18" t="s">
        <v>5309</v>
      </c>
      <c r="X1383" s="69" t="s">
        <v>9453</v>
      </c>
      <c r="Y1383" s="70" t="s">
        <v>9462</v>
      </c>
      <c r="Z1383" s="73" t="s">
        <v>9486</v>
      </c>
      <c r="AA1383" s="74" t="s">
        <v>9504</v>
      </c>
      <c r="AB1383" s="73" t="s">
        <v>9486</v>
      </c>
      <c r="AC1383" s="74" t="s">
        <v>9566</v>
      </c>
      <c r="AD1383" s="73" t="s">
        <v>9578</v>
      </c>
      <c r="AE1383" s="74" t="s">
        <v>9579</v>
      </c>
    </row>
    <row r="1384" spans="1:31" ht="8.65" customHeight="1" x14ac:dyDescent="0.2">
      <c r="A1384" s="76">
        <v>1384</v>
      </c>
      <c r="B1384" s="67" t="str">
        <f>MID(C1384, FIND("Ifc.", C1384) + 4, 4) &amp; "_" &amp; TEXT(COUNTIF($C$2:C1384, C1384),"0000")</f>
        <v>Prop_1383</v>
      </c>
      <c r="C1384" s="24" t="s">
        <v>872</v>
      </c>
      <c r="D1384" s="69" t="s">
        <v>9453</v>
      </c>
      <c r="E1384" s="70" t="s">
        <v>9454</v>
      </c>
      <c r="F1384" s="17" t="s">
        <v>806</v>
      </c>
      <c r="G1384" s="22" t="s">
        <v>2437</v>
      </c>
      <c r="H1384" s="12" t="s">
        <v>9703</v>
      </c>
      <c r="I1384" s="13" t="s">
        <v>7315</v>
      </c>
      <c r="J1384" s="14" t="s">
        <v>798</v>
      </c>
      <c r="K1384" s="15" t="s">
        <v>798</v>
      </c>
      <c r="L1384" s="12" t="s">
        <v>5315</v>
      </c>
      <c r="M1384" s="13" t="s">
        <v>5570</v>
      </c>
      <c r="N1384" s="12" t="s">
        <v>803</v>
      </c>
      <c r="O1384" s="13" t="s">
        <v>5203</v>
      </c>
      <c r="P1384" s="17" t="s">
        <v>802</v>
      </c>
      <c r="Q1384" s="21" t="s">
        <v>7900</v>
      </c>
      <c r="R1384" s="17" t="s">
        <v>801</v>
      </c>
      <c r="S1384" s="18" t="s">
        <v>2619</v>
      </c>
      <c r="T1384" s="17" t="s">
        <v>800</v>
      </c>
      <c r="U1384" s="18" t="s">
        <v>5239</v>
      </c>
      <c r="V1384" s="17" t="s">
        <v>9418</v>
      </c>
      <c r="W1384" s="18" t="s">
        <v>5309</v>
      </c>
      <c r="X1384" s="69" t="s">
        <v>9453</v>
      </c>
      <c r="Y1384" s="70" t="s">
        <v>9462</v>
      </c>
      <c r="Z1384" s="73" t="s">
        <v>9486</v>
      </c>
      <c r="AA1384" s="74" t="s">
        <v>9504</v>
      </c>
      <c r="AB1384" s="73" t="s">
        <v>9486</v>
      </c>
      <c r="AC1384" s="74" t="s">
        <v>9566</v>
      </c>
      <c r="AD1384" s="73" t="s">
        <v>9578</v>
      </c>
      <c r="AE1384" s="74" t="s">
        <v>9579</v>
      </c>
    </row>
    <row r="1385" spans="1:31" ht="8.65" customHeight="1" x14ac:dyDescent="0.2">
      <c r="A1385" s="76">
        <v>1385</v>
      </c>
      <c r="B1385" s="67" t="str">
        <f>MID(C1385, FIND("Ifc.", C1385) + 4, 4) &amp; "_" &amp; TEXT(COUNTIF($C$2:C1385, C1385),"0000")</f>
        <v>Prop_1384</v>
      </c>
      <c r="C1385" s="24" t="s">
        <v>872</v>
      </c>
      <c r="D1385" s="69" t="s">
        <v>9453</v>
      </c>
      <c r="E1385" s="70" t="s">
        <v>9454</v>
      </c>
      <c r="F1385" s="17" t="s">
        <v>806</v>
      </c>
      <c r="G1385" s="22" t="s">
        <v>2438</v>
      </c>
      <c r="H1385" s="12" t="s">
        <v>9703</v>
      </c>
      <c r="I1385" s="13" t="s">
        <v>7314</v>
      </c>
      <c r="J1385" s="14" t="s">
        <v>798</v>
      </c>
      <c r="K1385" s="15" t="s">
        <v>798</v>
      </c>
      <c r="L1385" s="12" t="s">
        <v>5315</v>
      </c>
      <c r="M1385" s="13" t="s">
        <v>5570</v>
      </c>
      <c r="N1385" s="12" t="s">
        <v>803</v>
      </c>
      <c r="O1385" s="13" t="s">
        <v>5203</v>
      </c>
      <c r="P1385" s="17" t="s">
        <v>802</v>
      </c>
      <c r="Q1385" s="21" t="s">
        <v>7900</v>
      </c>
      <c r="R1385" s="17" t="s">
        <v>801</v>
      </c>
      <c r="S1385" s="18" t="s">
        <v>2619</v>
      </c>
      <c r="T1385" s="17" t="s">
        <v>800</v>
      </c>
      <c r="U1385" s="18" t="s">
        <v>5239</v>
      </c>
      <c r="V1385" s="17" t="s">
        <v>9418</v>
      </c>
      <c r="W1385" s="18" t="s">
        <v>5309</v>
      </c>
      <c r="X1385" s="69" t="s">
        <v>9453</v>
      </c>
      <c r="Y1385" s="70" t="s">
        <v>9462</v>
      </c>
      <c r="Z1385" s="73" t="s">
        <v>9486</v>
      </c>
      <c r="AA1385" s="74" t="s">
        <v>9504</v>
      </c>
      <c r="AB1385" s="73" t="s">
        <v>9486</v>
      </c>
      <c r="AC1385" s="74" t="s">
        <v>9566</v>
      </c>
      <c r="AD1385" s="73" t="s">
        <v>9578</v>
      </c>
      <c r="AE1385" s="74" t="s">
        <v>9579</v>
      </c>
    </row>
    <row r="1386" spans="1:31" ht="8.65" customHeight="1" x14ac:dyDescent="0.2">
      <c r="A1386" s="76">
        <v>1386</v>
      </c>
      <c r="B1386" s="67" t="str">
        <f>MID(C1386, FIND("Ifc.", C1386) + 4, 4) &amp; "_" &amp; TEXT(COUNTIF($C$2:C1386, C1386),"0000")</f>
        <v>Prop_1385</v>
      </c>
      <c r="C1386" s="24" t="s">
        <v>872</v>
      </c>
      <c r="D1386" s="69" t="s">
        <v>9453</v>
      </c>
      <c r="E1386" s="70" t="s">
        <v>9454</v>
      </c>
      <c r="F1386" s="17" t="s">
        <v>806</v>
      </c>
      <c r="G1386" s="22" t="s">
        <v>1042</v>
      </c>
      <c r="H1386" s="12" t="s">
        <v>9703</v>
      </c>
      <c r="I1386" s="13" t="s">
        <v>7114</v>
      </c>
      <c r="J1386" s="14" t="s">
        <v>798</v>
      </c>
      <c r="K1386" s="15" t="s">
        <v>798</v>
      </c>
      <c r="L1386" s="12" t="s">
        <v>5315</v>
      </c>
      <c r="M1386" s="13" t="s">
        <v>5820</v>
      </c>
      <c r="N1386" s="12" t="s">
        <v>803</v>
      </c>
      <c r="O1386" s="13" t="s">
        <v>4844</v>
      </c>
      <c r="P1386" s="17" t="s">
        <v>802</v>
      </c>
      <c r="Q1386" s="21" t="s">
        <v>7901</v>
      </c>
      <c r="R1386" s="17" t="s">
        <v>801</v>
      </c>
      <c r="S1386" s="18" t="s">
        <v>3636</v>
      </c>
      <c r="T1386" s="17" t="s">
        <v>800</v>
      </c>
      <c r="U1386" s="18" t="s">
        <v>5257</v>
      </c>
      <c r="V1386" s="17" t="s">
        <v>9418</v>
      </c>
      <c r="W1386" s="18" t="s">
        <v>5314</v>
      </c>
      <c r="X1386" s="69" t="s">
        <v>9453</v>
      </c>
      <c r="Y1386" s="70" t="s">
        <v>9464</v>
      </c>
      <c r="Z1386" s="73" t="s">
        <v>9486</v>
      </c>
      <c r="AA1386" s="74" t="s">
        <v>9504</v>
      </c>
      <c r="AB1386" s="73" t="s">
        <v>9486</v>
      </c>
      <c r="AC1386" s="74" t="s">
        <v>9561</v>
      </c>
      <c r="AD1386" s="73" t="s">
        <v>9578</v>
      </c>
      <c r="AE1386" s="74" t="s">
        <v>9579</v>
      </c>
    </row>
    <row r="1387" spans="1:31" ht="8.65" customHeight="1" x14ac:dyDescent="0.2">
      <c r="A1387" s="76">
        <v>1387</v>
      </c>
      <c r="B1387" s="67" t="str">
        <f>MID(C1387, FIND("Ifc.", C1387) + 4, 4) &amp; "_" &amp; TEXT(COUNTIF($C$2:C1387, C1387),"0000")</f>
        <v>Prop_1386</v>
      </c>
      <c r="C1387" s="24" t="s">
        <v>872</v>
      </c>
      <c r="D1387" s="69" t="s">
        <v>9453</v>
      </c>
      <c r="E1387" s="70" t="s">
        <v>9454</v>
      </c>
      <c r="F1387" s="17" t="s">
        <v>806</v>
      </c>
      <c r="G1387" s="22" t="s">
        <v>1644</v>
      </c>
      <c r="H1387" s="12" t="s">
        <v>9703</v>
      </c>
      <c r="I1387" s="13" t="s">
        <v>6885</v>
      </c>
      <c r="J1387" s="14" t="s">
        <v>798</v>
      </c>
      <c r="K1387" s="15" t="s">
        <v>798</v>
      </c>
      <c r="L1387" s="12" t="s">
        <v>5315</v>
      </c>
      <c r="M1387" s="13" t="s">
        <v>5836</v>
      </c>
      <c r="N1387" s="12" t="s">
        <v>803</v>
      </c>
      <c r="O1387" s="13" t="s">
        <v>4979</v>
      </c>
      <c r="P1387" s="17" t="s">
        <v>802</v>
      </c>
      <c r="Q1387" s="21" t="s">
        <v>7788</v>
      </c>
      <c r="R1387" s="17" t="s">
        <v>801</v>
      </c>
      <c r="S1387" s="18" t="s">
        <v>3636</v>
      </c>
      <c r="T1387" s="17" t="s">
        <v>800</v>
      </c>
      <c r="U1387" s="18" t="s">
        <v>5257</v>
      </c>
      <c r="V1387" s="17" t="s">
        <v>9418</v>
      </c>
      <c r="W1387" s="18" t="s">
        <v>5314</v>
      </c>
      <c r="X1387" s="69" t="s">
        <v>9453</v>
      </c>
      <c r="Y1387" s="70" t="s">
        <v>9464</v>
      </c>
      <c r="Z1387" s="73" t="s">
        <v>9486</v>
      </c>
      <c r="AA1387" s="74" t="s">
        <v>9504</v>
      </c>
      <c r="AB1387" s="73" t="s">
        <v>9486</v>
      </c>
      <c r="AC1387" s="74" t="s">
        <v>9561</v>
      </c>
      <c r="AD1387" s="73" t="s">
        <v>9578</v>
      </c>
      <c r="AE1387" s="74" t="s">
        <v>9579</v>
      </c>
    </row>
    <row r="1388" spans="1:31" ht="8.65" customHeight="1" x14ac:dyDescent="0.2">
      <c r="A1388" s="76">
        <v>1388</v>
      </c>
      <c r="B1388" s="67" t="str">
        <f>MID(C1388, FIND("Ifc.", C1388) + 4, 4) &amp; "_" &amp; TEXT(COUNTIF($C$2:C1388, C1388),"0000")</f>
        <v>Prop_1387</v>
      </c>
      <c r="C1388" s="24" t="s">
        <v>872</v>
      </c>
      <c r="D1388" s="69" t="s">
        <v>9453</v>
      </c>
      <c r="E1388" s="70" t="s">
        <v>9454</v>
      </c>
      <c r="F1388" s="17" t="s">
        <v>806</v>
      </c>
      <c r="G1388" s="22" t="s">
        <v>1025</v>
      </c>
      <c r="H1388" s="12" t="s">
        <v>9703</v>
      </c>
      <c r="I1388" s="13" t="s">
        <v>6854</v>
      </c>
      <c r="J1388" s="14" t="s">
        <v>798</v>
      </c>
      <c r="K1388" s="15" t="s">
        <v>798</v>
      </c>
      <c r="L1388" s="12" t="s">
        <v>5315</v>
      </c>
      <c r="M1388" s="13" t="s">
        <v>5381</v>
      </c>
      <c r="N1388" s="12" t="s">
        <v>803</v>
      </c>
      <c r="O1388" s="13" t="s">
        <v>4838</v>
      </c>
      <c r="P1388" s="17" t="s">
        <v>802</v>
      </c>
      <c r="Q1388" s="21" t="s">
        <v>8008</v>
      </c>
      <c r="R1388" s="17" t="s">
        <v>801</v>
      </c>
      <c r="S1388" s="18" t="s">
        <v>2619</v>
      </c>
      <c r="T1388" s="17" t="s">
        <v>800</v>
      </c>
      <c r="U1388" s="18" t="s">
        <v>5239</v>
      </c>
      <c r="V1388" s="17" t="s">
        <v>9418</v>
      </c>
      <c r="W1388" s="18" t="s">
        <v>5309</v>
      </c>
      <c r="X1388" s="69" t="s">
        <v>9453</v>
      </c>
      <c r="Y1388" s="70" t="s">
        <v>9462</v>
      </c>
      <c r="Z1388" s="73" t="s">
        <v>9486</v>
      </c>
      <c r="AA1388" s="74" t="s">
        <v>9504</v>
      </c>
      <c r="AB1388" s="73" t="s">
        <v>9486</v>
      </c>
      <c r="AC1388" s="74" t="s">
        <v>9566</v>
      </c>
      <c r="AD1388" s="73" t="s">
        <v>9578</v>
      </c>
      <c r="AE1388" s="74" t="s">
        <v>9579</v>
      </c>
    </row>
    <row r="1389" spans="1:31" ht="8.65" customHeight="1" x14ac:dyDescent="0.2">
      <c r="A1389" s="76">
        <v>1389</v>
      </c>
      <c r="B1389" s="67" t="str">
        <f>MID(C1389, FIND("Ifc.", C1389) + 4, 4) &amp; "_" &amp; TEXT(COUNTIF($C$2:C1389, C1389),"0000")</f>
        <v>Prop_1388</v>
      </c>
      <c r="C1389" s="24" t="s">
        <v>872</v>
      </c>
      <c r="D1389" s="69" t="s">
        <v>9453</v>
      </c>
      <c r="E1389" s="70" t="s">
        <v>9454</v>
      </c>
      <c r="F1389" s="17" t="s">
        <v>806</v>
      </c>
      <c r="G1389" s="22" t="s">
        <v>1740</v>
      </c>
      <c r="H1389" s="12" t="s">
        <v>9703</v>
      </c>
      <c r="I1389" s="13" t="s">
        <v>7313</v>
      </c>
      <c r="J1389" s="14" t="s">
        <v>798</v>
      </c>
      <c r="K1389" s="15" t="s">
        <v>798</v>
      </c>
      <c r="L1389" s="12" t="s">
        <v>5315</v>
      </c>
      <c r="M1389" s="13" t="s">
        <v>5852</v>
      </c>
      <c r="N1389" s="12" t="s">
        <v>803</v>
      </c>
      <c r="O1389" s="13" t="s">
        <v>5005</v>
      </c>
      <c r="P1389" s="17" t="s">
        <v>802</v>
      </c>
      <c r="Q1389" s="21" t="s">
        <v>7920</v>
      </c>
      <c r="R1389" s="17" t="s">
        <v>801</v>
      </c>
      <c r="S1389" s="18" t="s">
        <v>2619</v>
      </c>
      <c r="T1389" s="17" t="s">
        <v>800</v>
      </c>
      <c r="U1389" s="18" t="s">
        <v>5239</v>
      </c>
      <c r="V1389" s="17" t="s">
        <v>9418</v>
      </c>
      <c r="W1389" s="18" t="s">
        <v>5309</v>
      </c>
      <c r="X1389" s="69" t="s">
        <v>9453</v>
      </c>
      <c r="Y1389" s="70" t="s">
        <v>9462</v>
      </c>
      <c r="Z1389" s="73" t="s">
        <v>9486</v>
      </c>
      <c r="AA1389" s="74" t="s">
        <v>9504</v>
      </c>
      <c r="AB1389" s="73" t="s">
        <v>9486</v>
      </c>
      <c r="AC1389" s="74" t="s">
        <v>9566</v>
      </c>
      <c r="AD1389" s="73" t="s">
        <v>9578</v>
      </c>
      <c r="AE1389" s="74" t="s">
        <v>9579</v>
      </c>
    </row>
    <row r="1390" spans="1:31" ht="8.65" customHeight="1" x14ac:dyDescent="0.2">
      <c r="A1390" s="76">
        <v>1390</v>
      </c>
      <c r="B1390" s="67" t="str">
        <f>MID(C1390, FIND("Ifc.", C1390) + 4, 4) &amp; "_" &amp; TEXT(COUNTIF($C$2:C1390, C1390),"0000")</f>
        <v>Prop_1389</v>
      </c>
      <c r="C1390" s="24" t="s">
        <v>872</v>
      </c>
      <c r="D1390" s="69" t="s">
        <v>9453</v>
      </c>
      <c r="E1390" s="70" t="s">
        <v>9454</v>
      </c>
      <c r="F1390" s="17" t="s">
        <v>806</v>
      </c>
      <c r="G1390" s="22" t="s">
        <v>1137</v>
      </c>
      <c r="H1390" s="12" t="s">
        <v>9703</v>
      </c>
      <c r="I1390" s="13" t="s">
        <v>6860</v>
      </c>
      <c r="J1390" s="14" t="s">
        <v>798</v>
      </c>
      <c r="K1390" s="15" t="s">
        <v>798</v>
      </c>
      <c r="L1390" s="12" t="s">
        <v>5315</v>
      </c>
      <c r="M1390" s="13" t="s">
        <v>6041</v>
      </c>
      <c r="N1390" s="12" t="s">
        <v>803</v>
      </c>
      <c r="O1390" s="13" t="s">
        <v>4862</v>
      </c>
      <c r="P1390" s="17" t="s">
        <v>802</v>
      </c>
      <c r="Q1390" s="21" t="s">
        <v>7795</v>
      </c>
      <c r="R1390" s="17" t="s">
        <v>801</v>
      </c>
      <c r="S1390" s="18" t="s">
        <v>2619</v>
      </c>
      <c r="T1390" s="17" t="s">
        <v>800</v>
      </c>
      <c r="U1390" s="18" t="s">
        <v>5239</v>
      </c>
      <c r="V1390" s="17" t="s">
        <v>9418</v>
      </c>
      <c r="W1390" s="18" t="s">
        <v>5309</v>
      </c>
      <c r="X1390" s="69" t="s">
        <v>9453</v>
      </c>
      <c r="Y1390" s="70" t="s">
        <v>9462</v>
      </c>
      <c r="Z1390" s="73" t="s">
        <v>9486</v>
      </c>
      <c r="AA1390" s="74" t="s">
        <v>9504</v>
      </c>
      <c r="AB1390" s="73" t="s">
        <v>9486</v>
      </c>
      <c r="AC1390" s="74" t="s">
        <v>9566</v>
      </c>
      <c r="AD1390" s="73" t="s">
        <v>9578</v>
      </c>
      <c r="AE1390" s="74" t="s">
        <v>9579</v>
      </c>
    </row>
    <row r="1391" spans="1:31" ht="8.65" customHeight="1" x14ac:dyDescent="0.2">
      <c r="A1391" s="76">
        <v>1391</v>
      </c>
      <c r="B1391" s="67" t="str">
        <f>MID(C1391, FIND("Ifc.", C1391) + 4, 4) &amp; "_" &amp; TEXT(COUNTIF($C$2:C1391, C1391),"0000")</f>
        <v>Prop_1390</v>
      </c>
      <c r="C1391" s="24" t="s">
        <v>872</v>
      </c>
      <c r="D1391" s="69" t="s">
        <v>9453</v>
      </c>
      <c r="E1391" s="70" t="s">
        <v>9454</v>
      </c>
      <c r="F1391" s="17" t="s">
        <v>806</v>
      </c>
      <c r="G1391" s="22" t="s">
        <v>1521</v>
      </c>
      <c r="H1391" s="12" t="s">
        <v>9703</v>
      </c>
      <c r="I1391" s="13" t="s">
        <v>6355</v>
      </c>
      <c r="J1391" s="14" t="s">
        <v>798</v>
      </c>
      <c r="K1391" s="15" t="s">
        <v>798</v>
      </c>
      <c r="L1391" s="12" t="s">
        <v>5315</v>
      </c>
      <c r="M1391" s="13" t="s">
        <v>5447</v>
      </c>
      <c r="N1391" s="12" t="s">
        <v>803</v>
      </c>
      <c r="O1391" s="13" t="s">
        <v>4954</v>
      </c>
      <c r="P1391" s="17" t="s">
        <v>802</v>
      </c>
      <c r="Q1391" s="21" t="s">
        <v>7955</v>
      </c>
      <c r="R1391" s="17" t="s">
        <v>801</v>
      </c>
      <c r="S1391" s="18" t="s">
        <v>2619</v>
      </c>
      <c r="T1391" s="17" t="s">
        <v>800</v>
      </c>
      <c r="U1391" s="18" t="s">
        <v>5239</v>
      </c>
      <c r="V1391" s="17" t="s">
        <v>9418</v>
      </c>
      <c r="W1391" s="18" t="s">
        <v>5309</v>
      </c>
      <c r="X1391" s="69" t="s">
        <v>9453</v>
      </c>
      <c r="Y1391" s="70" t="s">
        <v>9462</v>
      </c>
      <c r="Z1391" s="73" t="s">
        <v>9486</v>
      </c>
      <c r="AA1391" s="74" t="s">
        <v>9504</v>
      </c>
      <c r="AB1391" s="73" t="s">
        <v>9486</v>
      </c>
      <c r="AC1391" s="74" t="s">
        <v>9566</v>
      </c>
      <c r="AD1391" s="73" t="s">
        <v>9578</v>
      </c>
      <c r="AE1391" s="74" t="s">
        <v>9579</v>
      </c>
    </row>
    <row r="1392" spans="1:31" ht="8.65" customHeight="1" x14ac:dyDescent="0.2">
      <c r="A1392" s="76">
        <v>1392</v>
      </c>
      <c r="B1392" s="67" t="str">
        <f>MID(C1392, FIND("Ifc.", C1392) + 4, 4) &amp; "_" &amp; TEXT(COUNTIF($C$2:C1392, C1392),"0000")</f>
        <v>Prop_1391</v>
      </c>
      <c r="C1392" s="24" t="s">
        <v>872</v>
      </c>
      <c r="D1392" s="69" t="s">
        <v>9453</v>
      </c>
      <c r="E1392" s="70" t="s">
        <v>9454</v>
      </c>
      <c r="F1392" s="17" t="s">
        <v>806</v>
      </c>
      <c r="G1392" s="22" t="s">
        <v>1521</v>
      </c>
      <c r="H1392" s="12" t="s">
        <v>9703</v>
      </c>
      <c r="I1392" s="13" t="s">
        <v>6355</v>
      </c>
      <c r="J1392" s="14" t="s">
        <v>798</v>
      </c>
      <c r="K1392" s="15" t="s">
        <v>798</v>
      </c>
      <c r="L1392" s="12" t="s">
        <v>5315</v>
      </c>
      <c r="M1392" s="13" t="s">
        <v>5467</v>
      </c>
      <c r="N1392" s="12" t="s">
        <v>803</v>
      </c>
      <c r="O1392" s="13" t="s">
        <v>5055</v>
      </c>
      <c r="P1392" s="17" t="s">
        <v>802</v>
      </c>
      <c r="Q1392" s="21" t="s">
        <v>7894</v>
      </c>
      <c r="R1392" s="17" t="s">
        <v>801</v>
      </c>
      <c r="S1392" s="18" t="s">
        <v>2619</v>
      </c>
      <c r="T1392" s="17" t="s">
        <v>800</v>
      </c>
      <c r="U1392" s="18" t="s">
        <v>5239</v>
      </c>
      <c r="V1392" s="17" t="s">
        <v>9418</v>
      </c>
      <c r="W1392" s="18" t="s">
        <v>5309</v>
      </c>
      <c r="X1392" s="69" t="s">
        <v>9453</v>
      </c>
      <c r="Y1392" s="70" t="s">
        <v>9462</v>
      </c>
      <c r="Z1392" s="73" t="s">
        <v>9486</v>
      </c>
      <c r="AA1392" s="74" t="s">
        <v>9504</v>
      </c>
      <c r="AB1392" s="73" t="s">
        <v>9486</v>
      </c>
      <c r="AC1392" s="74" t="s">
        <v>9566</v>
      </c>
      <c r="AD1392" s="73" t="s">
        <v>9578</v>
      </c>
      <c r="AE1392" s="74" t="s">
        <v>9579</v>
      </c>
    </row>
    <row r="1393" spans="1:31" ht="8.65" customHeight="1" x14ac:dyDescent="0.2">
      <c r="A1393" s="76">
        <v>1393</v>
      </c>
      <c r="B1393" s="67" t="str">
        <f>MID(C1393, FIND("Ifc.", C1393) + 4, 4) &amp; "_" &amp; TEXT(COUNTIF($C$2:C1393, C1393),"0000")</f>
        <v>Prop_1392</v>
      </c>
      <c r="C1393" s="24" t="s">
        <v>872</v>
      </c>
      <c r="D1393" s="69" t="s">
        <v>9453</v>
      </c>
      <c r="E1393" s="70" t="s">
        <v>9454</v>
      </c>
      <c r="F1393" s="17" t="s">
        <v>806</v>
      </c>
      <c r="G1393" s="22" t="s">
        <v>1796</v>
      </c>
      <c r="H1393" s="12" t="s">
        <v>9703</v>
      </c>
      <c r="I1393" s="13" t="s">
        <v>6914</v>
      </c>
      <c r="J1393" s="14" t="s">
        <v>798</v>
      </c>
      <c r="K1393" s="15" t="s">
        <v>798</v>
      </c>
      <c r="L1393" s="12" t="s">
        <v>5315</v>
      </c>
      <c r="M1393" s="13" t="s">
        <v>5455</v>
      </c>
      <c r="N1393" s="12" t="s">
        <v>803</v>
      </c>
      <c r="O1393" s="13" t="s">
        <v>5019</v>
      </c>
      <c r="P1393" s="17" t="s">
        <v>802</v>
      </c>
      <c r="Q1393" s="21" t="s">
        <v>7736</v>
      </c>
      <c r="R1393" s="17" t="s">
        <v>801</v>
      </c>
      <c r="S1393" s="18" t="s">
        <v>2619</v>
      </c>
      <c r="T1393" s="17" t="s">
        <v>800</v>
      </c>
      <c r="U1393" s="18" t="s">
        <v>5239</v>
      </c>
      <c r="V1393" s="17" t="s">
        <v>9418</v>
      </c>
      <c r="W1393" s="18" t="s">
        <v>5309</v>
      </c>
      <c r="X1393" s="69" t="s">
        <v>9453</v>
      </c>
      <c r="Y1393" s="70" t="s">
        <v>9462</v>
      </c>
      <c r="Z1393" s="73" t="s">
        <v>9486</v>
      </c>
      <c r="AA1393" s="74" t="s">
        <v>9504</v>
      </c>
      <c r="AB1393" s="73" t="s">
        <v>9486</v>
      </c>
      <c r="AC1393" s="74" t="s">
        <v>9566</v>
      </c>
      <c r="AD1393" s="73" t="s">
        <v>9578</v>
      </c>
      <c r="AE1393" s="74" t="s">
        <v>9579</v>
      </c>
    </row>
    <row r="1394" spans="1:31" ht="8.65" customHeight="1" x14ac:dyDescent="0.2">
      <c r="A1394" s="76">
        <v>1394</v>
      </c>
      <c r="B1394" s="67" t="str">
        <f>MID(C1394, FIND("Ifc.", C1394) + 4, 4) &amp; "_" &amp; TEXT(COUNTIF($C$2:C1394, C1394),"0000")</f>
        <v>Prop_1393</v>
      </c>
      <c r="C1394" s="24" t="s">
        <v>872</v>
      </c>
      <c r="D1394" s="69" t="s">
        <v>9453</v>
      </c>
      <c r="E1394" s="70" t="s">
        <v>9454</v>
      </c>
      <c r="F1394" s="17" t="s">
        <v>806</v>
      </c>
      <c r="G1394" s="22" t="s">
        <v>1048</v>
      </c>
      <c r="H1394" s="12" t="s">
        <v>9703</v>
      </c>
      <c r="I1394" s="13" t="s">
        <v>7115</v>
      </c>
      <c r="J1394" s="14" t="s">
        <v>798</v>
      </c>
      <c r="K1394" s="15" t="s">
        <v>798</v>
      </c>
      <c r="L1394" s="12" t="s">
        <v>5315</v>
      </c>
      <c r="M1394" s="13" t="s">
        <v>5820</v>
      </c>
      <c r="N1394" s="12" t="s">
        <v>803</v>
      </c>
      <c r="O1394" s="13" t="s">
        <v>4844</v>
      </c>
      <c r="P1394" s="17" t="s">
        <v>802</v>
      </c>
      <c r="Q1394" s="21" t="s">
        <v>7901</v>
      </c>
      <c r="R1394" s="17" t="s">
        <v>801</v>
      </c>
      <c r="S1394" s="18" t="s">
        <v>3636</v>
      </c>
      <c r="T1394" s="17" t="s">
        <v>800</v>
      </c>
      <c r="U1394" s="18" t="s">
        <v>5257</v>
      </c>
      <c r="V1394" s="17" t="s">
        <v>9418</v>
      </c>
      <c r="W1394" s="18" t="s">
        <v>5314</v>
      </c>
      <c r="X1394" s="69" t="s">
        <v>9453</v>
      </c>
      <c r="Y1394" s="70" t="s">
        <v>9464</v>
      </c>
      <c r="Z1394" s="73" t="s">
        <v>9486</v>
      </c>
      <c r="AA1394" s="74" t="s">
        <v>9504</v>
      </c>
      <c r="AB1394" s="73" t="s">
        <v>9486</v>
      </c>
      <c r="AC1394" s="74" t="s">
        <v>9561</v>
      </c>
      <c r="AD1394" s="73" t="s">
        <v>9578</v>
      </c>
      <c r="AE1394" s="74" t="s">
        <v>9579</v>
      </c>
    </row>
    <row r="1395" spans="1:31" ht="8.65" customHeight="1" x14ac:dyDescent="0.2">
      <c r="A1395" s="76">
        <v>1395</v>
      </c>
      <c r="B1395" s="67" t="str">
        <f>MID(C1395, FIND("Ifc.", C1395) + 4, 4) &amp; "_" &amp; TEXT(COUNTIF($C$2:C1395, C1395),"0000")</f>
        <v>Prop_1394</v>
      </c>
      <c r="C1395" s="24" t="s">
        <v>872</v>
      </c>
      <c r="D1395" s="69" t="s">
        <v>9453</v>
      </c>
      <c r="E1395" s="70" t="s">
        <v>9454</v>
      </c>
      <c r="F1395" s="17" t="s">
        <v>806</v>
      </c>
      <c r="G1395" s="22" t="s">
        <v>1047</v>
      </c>
      <c r="H1395" s="12" t="s">
        <v>9703</v>
      </c>
      <c r="I1395" s="13" t="s">
        <v>7116</v>
      </c>
      <c r="J1395" s="14" t="s">
        <v>798</v>
      </c>
      <c r="K1395" s="15" t="s">
        <v>798</v>
      </c>
      <c r="L1395" s="12" t="s">
        <v>5315</v>
      </c>
      <c r="M1395" s="13" t="s">
        <v>5820</v>
      </c>
      <c r="N1395" s="12" t="s">
        <v>803</v>
      </c>
      <c r="O1395" s="13" t="s">
        <v>4844</v>
      </c>
      <c r="P1395" s="17" t="s">
        <v>802</v>
      </c>
      <c r="Q1395" s="21" t="s">
        <v>7901</v>
      </c>
      <c r="R1395" s="17" t="s">
        <v>801</v>
      </c>
      <c r="S1395" s="18" t="s">
        <v>3636</v>
      </c>
      <c r="T1395" s="17" t="s">
        <v>800</v>
      </c>
      <c r="U1395" s="18" t="s">
        <v>5257</v>
      </c>
      <c r="V1395" s="17" t="s">
        <v>9418</v>
      </c>
      <c r="W1395" s="18" t="s">
        <v>5314</v>
      </c>
      <c r="X1395" s="69" t="s">
        <v>9453</v>
      </c>
      <c r="Y1395" s="70" t="s">
        <v>9464</v>
      </c>
      <c r="Z1395" s="73" t="s">
        <v>9486</v>
      </c>
      <c r="AA1395" s="74" t="s">
        <v>9504</v>
      </c>
      <c r="AB1395" s="73" t="s">
        <v>9486</v>
      </c>
      <c r="AC1395" s="74" t="s">
        <v>9561</v>
      </c>
      <c r="AD1395" s="73" t="s">
        <v>9578</v>
      </c>
      <c r="AE1395" s="74" t="s">
        <v>9579</v>
      </c>
    </row>
    <row r="1396" spans="1:31" ht="8.65" customHeight="1" x14ac:dyDescent="0.2">
      <c r="A1396" s="76">
        <v>1396</v>
      </c>
      <c r="B1396" s="67" t="str">
        <f>MID(C1396, FIND("Ifc.", C1396) + 4, 4) &amp; "_" &amp; TEXT(COUNTIF($C$2:C1396, C1396),"0000")</f>
        <v>Prop_1395</v>
      </c>
      <c r="C1396" s="24" t="s">
        <v>872</v>
      </c>
      <c r="D1396" s="69" t="s">
        <v>9453</v>
      </c>
      <c r="E1396" s="70" t="s">
        <v>9454</v>
      </c>
      <c r="F1396" s="17" t="s">
        <v>806</v>
      </c>
      <c r="G1396" s="22" t="s">
        <v>1818</v>
      </c>
      <c r="H1396" s="12" t="s">
        <v>9703</v>
      </c>
      <c r="I1396" s="13" t="s">
        <v>6513</v>
      </c>
      <c r="J1396" s="14" t="s">
        <v>798</v>
      </c>
      <c r="K1396" s="15" t="s">
        <v>798</v>
      </c>
      <c r="L1396" s="12" t="s">
        <v>5315</v>
      </c>
      <c r="M1396" s="13" t="s">
        <v>5456</v>
      </c>
      <c r="N1396" s="12" t="s">
        <v>803</v>
      </c>
      <c r="O1396" s="13" t="s">
        <v>5026</v>
      </c>
      <c r="P1396" s="17" t="s">
        <v>802</v>
      </c>
      <c r="Q1396" s="21" t="s">
        <v>7801</v>
      </c>
      <c r="R1396" s="17" t="s">
        <v>801</v>
      </c>
      <c r="S1396" s="18" t="s">
        <v>2619</v>
      </c>
      <c r="T1396" s="17" t="s">
        <v>800</v>
      </c>
      <c r="U1396" s="18" t="s">
        <v>5239</v>
      </c>
      <c r="V1396" s="17" t="s">
        <v>9418</v>
      </c>
      <c r="W1396" s="18" t="s">
        <v>5309</v>
      </c>
      <c r="X1396" s="69" t="s">
        <v>9453</v>
      </c>
      <c r="Y1396" s="70" t="s">
        <v>9462</v>
      </c>
      <c r="Z1396" s="73" t="s">
        <v>9486</v>
      </c>
      <c r="AA1396" s="74" t="s">
        <v>9504</v>
      </c>
      <c r="AB1396" s="73" t="s">
        <v>9486</v>
      </c>
      <c r="AC1396" s="74" t="s">
        <v>9566</v>
      </c>
      <c r="AD1396" s="73" t="s">
        <v>9578</v>
      </c>
      <c r="AE1396" s="74" t="s">
        <v>9579</v>
      </c>
    </row>
    <row r="1397" spans="1:31" ht="8.65" customHeight="1" x14ac:dyDescent="0.2">
      <c r="A1397" s="76">
        <v>1397</v>
      </c>
      <c r="B1397" s="67" t="str">
        <f>MID(C1397, FIND("Ifc.", C1397) + 4, 4) &amp; "_" &amp; TEXT(COUNTIF($C$2:C1397, C1397),"0000")</f>
        <v>Prop_1396</v>
      </c>
      <c r="C1397" s="24" t="s">
        <v>872</v>
      </c>
      <c r="D1397" s="69" t="s">
        <v>9453</v>
      </c>
      <c r="E1397" s="70" t="s">
        <v>9454</v>
      </c>
      <c r="F1397" s="17" t="s">
        <v>806</v>
      </c>
      <c r="G1397" s="22" t="s">
        <v>1550</v>
      </c>
      <c r="H1397" s="12" t="s">
        <v>9703</v>
      </c>
      <c r="I1397" s="13" t="s">
        <v>7655</v>
      </c>
      <c r="J1397" s="14" t="s">
        <v>798</v>
      </c>
      <c r="K1397" s="15" t="s">
        <v>798</v>
      </c>
      <c r="L1397" s="12" t="s">
        <v>5315</v>
      </c>
      <c r="M1397" s="13" t="s">
        <v>5889</v>
      </c>
      <c r="N1397" s="12" t="s">
        <v>803</v>
      </c>
      <c r="O1397" s="13" t="s">
        <v>4958</v>
      </c>
      <c r="P1397" s="17" t="s">
        <v>802</v>
      </c>
      <c r="Q1397" s="21" t="s">
        <v>7771</v>
      </c>
      <c r="R1397" s="17" t="s">
        <v>801</v>
      </c>
      <c r="S1397" s="18" t="s">
        <v>3636</v>
      </c>
      <c r="T1397" s="17" t="s">
        <v>800</v>
      </c>
      <c r="U1397" s="18" t="s">
        <v>5257</v>
      </c>
      <c r="V1397" s="17" t="s">
        <v>9418</v>
      </c>
      <c r="W1397" s="18" t="s">
        <v>5314</v>
      </c>
      <c r="X1397" s="69" t="s">
        <v>9453</v>
      </c>
      <c r="Y1397" s="70" t="s">
        <v>9464</v>
      </c>
      <c r="Z1397" s="73" t="s">
        <v>9486</v>
      </c>
      <c r="AA1397" s="74" t="s">
        <v>9504</v>
      </c>
      <c r="AB1397" s="73" t="s">
        <v>9486</v>
      </c>
      <c r="AC1397" s="74" t="s">
        <v>9561</v>
      </c>
      <c r="AD1397" s="73" t="s">
        <v>9578</v>
      </c>
      <c r="AE1397" s="74" t="s">
        <v>9579</v>
      </c>
    </row>
    <row r="1398" spans="1:31" ht="8.65" customHeight="1" x14ac:dyDescent="0.2">
      <c r="A1398" s="76">
        <v>1398</v>
      </c>
      <c r="B1398" s="67" t="str">
        <f>MID(C1398, FIND("Ifc.", C1398) + 4, 4) &amp; "_" &amp; TEXT(COUNTIF($C$2:C1398, C1398),"0000")</f>
        <v>Prop_1397</v>
      </c>
      <c r="C1398" s="24" t="s">
        <v>872</v>
      </c>
      <c r="D1398" s="69" t="s">
        <v>9453</v>
      </c>
      <c r="E1398" s="70" t="s">
        <v>9454</v>
      </c>
      <c r="F1398" s="17" t="s">
        <v>806</v>
      </c>
      <c r="G1398" s="22" t="s">
        <v>1550</v>
      </c>
      <c r="H1398" s="12" t="s">
        <v>9703</v>
      </c>
      <c r="I1398" s="13" t="s">
        <v>7655</v>
      </c>
      <c r="J1398" s="14" t="s">
        <v>798</v>
      </c>
      <c r="K1398" s="15" t="s">
        <v>798</v>
      </c>
      <c r="L1398" s="12" t="s">
        <v>5315</v>
      </c>
      <c r="M1398" s="13" t="s">
        <v>5488</v>
      </c>
      <c r="N1398" s="12" t="s">
        <v>803</v>
      </c>
      <c r="O1398" s="13" t="s">
        <v>5096</v>
      </c>
      <c r="P1398" s="17" t="s">
        <v>802</v>
      </c>
      <c r="Q1398" s="21" t="s">
        <v>7886</v>
      </c>
      <c r="R1398" s="17" t="s">
        <v>801</v>
      </c>
      <c r="S1398" s="18" t="s">
        <v>2619</v>
      </c>
      <c r="T1398" s="17" t="s">
        <v>800</v>
      </c>
      <c r="U1398" s="18" t="s">
        <v>5239</v>
      </c>
      <c r="V1398" s="17" t="s">
        <v>9418</v>
      </c>
      <c r="W1398" s="18" t="s">
        <v>5312</v>
      </c>
      <c r="X1398" s="69" t="s">
        <v>9453</v>
      </c>
      <c r="Y1398" s="70" t="s">
        <v>9465</v>
      </c>
      <c r="Z1398" s="73" t="s">
        <v>9486</v>
      </c>
      <c r="AA1398" s="74" t="s">
        <v>9504</v>
      </c>
      <c r="AB1398" s="73" t="s">
        <v>9486</v>
      </c>
      <c r="AC1398" s="74" t="s">
        <v>9566</v>
      </c>
      <c r="AD1398" s="73" t="s">
        <v>9578</v>
      </c>
      <c r="AE1398" s="74" t="s">
        <v>9579</v>
      </c>
    </row>
    <row r="1399" spans="1:31" ht="8.65" customHeight="1" x14ac:dyDescent="0.2">
      <c r="A1399" s="76">
        <v>1399</v>
      </c>
      <c r="B1399" s="67" t="str">
        <f>MID(C1399, FIND("Ifc.", C1399) + 4, 4) &amp; "_" &amp; TEXT(COUNTIF($C$2:C1399, C1399),"0000")</f>
        <v>Prop_1398</v>
      </c>
      <c r="C1399" s="24" t="s">
        <v>872</v>
      </c>
      <c r="D1399" s="69" t="s">
        <v>9453</v>
      </c>
      <c r="E1399" s="70" t="s">
        <v>9454</v>
      </c>
      <c r="F1399" s="17" t="s">
        <v>806</v>
      </c>
      <c r="G1399" s="22" t="s">
        <v>2257</v>
      </c>
      <c r="H1399" s="12" t="s">
        <v>9703</v>
      </c>
      <c r="I1399" s="13" t="s">
        <v>6947</v>
      </c>
      <c r="J1399" s="14" t="s">
        <v>798</v>
      </c>
      <c r="K1399" s="15" t="s">
        <v>798</v>
      </c>
      <c r="L1399" s="12" t="s">
        <v>5315</v>
      </c>
      <c r="M1399" s="13" t="s">
        <v>5532</v>
      </c>
      <c r="N1399" s="12" t="s">
        <v>803</v>
      </c>
      <c r="O1399" s="13" t="s">
        <v>5147</v>
      </c>
      <c r="P1399" s="17" t="s">
        <v>802</v>
      </c>
      <c r="Q1399" s="21" t="s">
        <v>7881</v>
      </c>
      <c r="R1399" s="17" t="s">
        <v>801</v>
      </c>
      <c r="S1399" s="18" t="s">
        <v>2631</v>
      </c>
      <c r="T1399" s="17" t="s">
        <v>800</v>
      </c>
      <c r="U1399" s="18" t="s">
        <v>5253</v>
      </c>
      <c r="V1399" s="17" t="s">
        <v>9418</v>
      </c>
      <c r="W1399" s="18" t="s">
        <v>5309</v>
      </c>
      <c r="X1399" s="69" t="s">
        <v>9453</v>
      </c>
      <c r="Y1399" s="70" t="s">
        <v>9462</v>
      </c>
      <c r="Z1399" s="73" t="s">
        <v>9486</v>
      </c>
      <c r="AA1399" s="74" t="s">
        <v>9504</v>
      </c>
      <c r="AB1399" s="73" t="s">
        <v>9486</v>
      </c>
      <c r="AC1399" s="74" t="s">
        <v>9566</v>
      </c>
      <c r="AD1399" s="73" t="s">
        <v>9578</v>
      </c>
      <c r="AE1399" s="74" t="s">
        <v>9579</v>
      </c>
    </row>
    <row r="1400" spans="1:31" ht="8.65" customHeight="1" x14ac:dyDescent="0.2">
      <c r="A1400" s="76">
        <v>1400</v>
      </c>
      <c r="B1400" s="67" t="str">
        <f>MID(C1400, FIND("Ifc.", C1400) + 4, 4) &amp; "_" &amp; TEXT(COUNTIF($C$2:C1400, C1400),"0000")</f>
        <v>Prop_1399</v>
      </c>
      <c r="C1400" s="24" t="s">
        <v>872</v>
      </c>
      <c r="D1400" s="69" t="s">
        <v>9453</v>
      </c>
      <c r="E1400" s="70" t="s">
        <v>9454</v>
      </c>
      <c r="F1400" s="17" t="s">
        <v>806</v>
      </c>
      <c r="G1400" s="22" t="s">
        <v>2488</v>
      </c>
      <c r="H1400" s="12" t="s">
        <v>9703</v>
      </c>
      <c r="I1400" s="13" t="s">
        <v>7312</v>
      </c>
      <c r="J1400" s="14" t="s">
        <v>798</v>
      </c>
      <c r="K1400" s="15" t="s">
        <v>798</v>
      </c>
      <c r="L1400" s="12" t="s">
        <v>5315</v>
      </c>
      <c r="M1400" s="13" t="s">
        <v>6001</v>
      </c>
      <c r="N1400" s="12" t="s">
        <v>803</v>
      </c>
      <c r="O1400" s="13" t="s">
        <v>5217</v>
      </c>
      <c r="P1400" s="17" t="s">
        <v>802</v>
      </c>
      <c r="Q1400" s="21" t="s">
        <v>8009</v>
      </c>
      <c r="R1400" s="17" t="s">
        <v>801</v>
      </c>
      <c r="S1400" s="18" t="s">
        <v>2621</v>
      </c>
      <c r="T1400" s="17" t="s">
        <v>800</v>
      </c>
      <c r="U1400" s="18" t="s">
        <v>5260</v>
      </c>
      <c r="V1400" s="17" t="s">
        <v>9418</v>
      </c>
      <c r="W1400" s="18" t="s">
        <v>5309</v>
      </c>
      <c r="X1400" s="69" t="s">
        <v>9453</v>
      </c>
      <c r="Y1400" s="70" t="s">
        <v>9462</v>
      </c>
      <c r="Z1400" s="73" t="s">
        <v>9486</v>
      </c>
      <c r="AA1400" s="74" t="s">
        <v>9504</v>
      </c>
      <c r="AB1400" s="73" t="s">
        <v>9486</v>
      </c>
      <c r="AC1400" s="74" t="s">
        <v>9566</v>
      </c>
      <c r="AD1400" s="73" t="s">
        <v>9578</v>
      </c>
      <c r="AE1400" s="74" t="s">
        <v>9579</v>
      </c>
    </row>
    <row r="1401" spans="1:31" ht="8.65" customHeight="1" x14ac:dyDescent="0.2">
      <c r="A1401" s="76">
        <v>1401</v>
      </c>
      <c r="B1401" s="67" t="str">
        <f>MID(C1401, FIND("Ifc.", C1401) + 4, 4) &amp; "_" &amp; TEXT(COUNTIF($C$2:C1401, C1401),"0000")</f>
        <v>Prop_1400</v>
      </c>
      <c r="C1401" s="24" t="s">
        <v>872</v>
      </c>
      <c r="D1401" s="69" t="s">
        <v>9453</v>
      </c>
      <c r="E1401" s="70" t="s">
        <v>9454</v>
      </c>
      <c r="F1401" s="17" t="s">
        <v>806</v>
      </c>
      <c r="G1401" s="22" t="s">
        <v>2489</v>
      </c>
      <c r="H1401" s="12" t="s">
        <v>9703</v>
      </c>
      <c r="I1401" s="13" t="s">
        <v>7220</v>
      </c>
      <c r="J1401" s="14" t="s">
        <v>798</v>
      </c>
      <c r="K1401" s="15" t="s">
        <v>798</v>
      </c>
      <c r="L1401" s="12" t="s">
        <v>5315</v>
      </c>
      <c r="M1401" s="13" t="s">
        <v>6001</v>
      </c>
      <c r="N1401" s="12" t="s">
        <v>803</v>
      </c>
      <c r="O1401" s="13" t="s">
        <v>5217</v>
      </c>
      <c r="P1401" s="17" t="s">
        <v>802</v>
      </c>
      <c r="Q1401" s="21" t="s">
        <v>8009</v>
      </c>
      <c r="R1401" s="17" t="s">
        <v>801</v>
      </c>
      <c r="S1401" s="18" t="s">
        <v>2621</v>
      </c>
      <c r="T1401" s="17" t="s">
        <v>800</v>
      </c>
      <c r="U1401" s="18" t="s">
        <v>5260</v>
      </c>
      <c r="V1401" s="17" t="s">
        <v>9418</v>
      </c>
      <c r="W1401" s="18" t="s">
        <v>5309</v>
      </c>
      <c r="X1401" s="69" t="s">
        <v>9453</v>
      </c>
      <c r="Y1401" s="70" t="s">
        <v>9462</v>
      </c>
      <c r="Z1401" s="73" t="s">
        <v>9486</v>
      </c>
      <c r="AA1401" s="74" t="s">
        <v>9504</v>
      </c>
      <c r="AB1401" s="73" t="s">
        <v>9486</v>
      </c>
      <c r="AC1401" s="74" t="s">
        <v>9566</v>
      </c>
      <c r="AD1401" s="73" t="s">
        <v>9578</v>
      </c>
      <c r="AE1401" s="74" t="s">
        <v>9579</v>
      </c>
    </row>
    <row r="1402" spans="1:31" ht="8.65" customHeight="1" x14ac:dyDescent="0.2">
      <c r="A1402" s="76">
        <v>1402</v>
      </c>
      <c r="B1402" s="67" t="str">
        <f>MID(C1402, FIND("Ifc.", C1402) + 4, 4) &amp; "_" &amp; TEXT(COUNTIF($C$2:C1402, C1402),"0000")</f>
        <v>Prop_1401</v>
      </c>
      <c r="C1402" s="24" t="s">
        <v>872</v>
      </c>
      <c r="D1402" s="69" t="s">
        <v>9453</v>
      </c>
      <c r="E1402" s="70" t="s">
        <v>9454</v>
      </c>
      <c r="F1402" s="17" t="s">
        <v>806</v>
      </c>
      <c r="G1402" s="22" t="s">
        <v>1554</v>
      </c>
      <c r="H1402" s="12" t="s">
        <v>9703</v>
      </c>
      <c r="I1402" s="13" t="s">
        <v>6379</v>
      </c>
      <c r="J1402" s="14" t="s">
        <v>798</v>
      </c>
      <c r="K1402" s="15" t="s">
        <v>798</v>
      </c>
      <c r="L1402" s="12" t="s">
        <v>5315</v>
      </c>
      <c r="M1402" s="13" t="s">
        <v>5890</v>
      </c>
      <c r="N1402" s="12" t="s">
        <v>803</v>
      </c>
      <c r="O1402" s="13" t="s">
        <v>4959</v>
      </c>
      <c r="P1402" s="17" t="s">
        <v>802</v>
      </c>
      <c r="Q1402" s="21" t="s">
        <v>7910</v>
      </c>
      <c r="R1402" s="17" t="s">
        <v>801</v>
      </c>
      <c r="S1402" s="18" t="s">
        <v>3636</v>
      </c>
      <c r="T1402" s="17" t="s">
        <v>800</v>
      </c>
      <c r="U1402" s="18" t="s">
        <v>5257</v>
      </c>
      <c r="V1402" s="17" t="s">
        <v>9418</v>
      </c>
      <c r="W1402" s="18" t="s">
        <v>5314</v>
      </c>
      <c r="X1402" s="69" t="s">
        <v>9453</v>
      </c>
      <c r="Y1402" s="70" t="s">
        <v>9464</v>
      </c>
      <c r="Z1402" s="73" t="s">
        <v>9486</v>
      </c>
      <c r="AA1402" s="74" t="s">
        <v>9504</v>
      </c>
      <c r="AB1402" s="73" t="s">
        <v>9486</v>
      </c>
      <c r="AC1402" s="74" t="s">
        <v>9561</v>
      </c>
      <c r="AD1402" s="73" t="s">
        <v>9578</v>
      </c>
      <c r="AE1402" s="74" t="s">
        <v>9579</v>
      </c>
    </row>
    <row r="1403" spans="1:31" ht="8.65" customHeight="1" x14ac:dyDescent="0.2">
      <c r="A1403" s="76">
        <v>1403</v>
      </c>
      <c r="B1403" s="67" t="str">
        <f>MID(C1403, FIND("Ifc.", C1403) + 4, 4) &amp; "_" &amp; TEXT(COUNTIF($C$2:C1403, C1403),"0000")</f>
        <v>Prop_1402</v>
      </c>
      <c r="C1403" s="24" t="s">
        <v>872</v>
      </c>
      <c r="D1403" s="69" t="s">
        <v>9453</v>
      </c>
      <c r="E1403" s="70" t="s">
        <v>9454</v>
      </c>
      <c r="F1403" s="17" t="s">
        <v>806</v>
      </c>
      <c r="G1403" s="22" t="s">
        <v>1554</v>
      </c>
      <c r="H1403" s="12" t="s">
        <v>9703</v>
      </c>
      <c r="I1403" s="13" t="s">
        <v>6379</v>
      </c>
      <c r="J1403" s="14" t="s">
        <v>798</v>
      </c>
      <c r="K1403" s="15" t="s">
        <v>798</v>
      </c>
      <c r="L1403" s="12" t="s">
        <v>5315</v>
      </c>
      <c r="M1403" s="13" t="s">
        <v>5893</v>
      </c>
      <c r="N1403" s="12" t="s">
        <v>803</v>
      </c>
      <c r="O1403" s="13" t="s">
        <v>4962</v>
      </c>
      <c r="P1403" s="17" t="s">
        <v>802</v>
      </c>
      <c r="Q1403" s="21" t="s">
        <v>7837</v>
      </c>
      <c r="R1403" s="17" t="s">
        <v>801</v>
      </c>
      <c r="S1403" s="18" t="s">
        <v>3636</v>
      </c>
      <c r="T1403" s="17" t="s">
        <v>800</v>
      </c>
      <c r="U1403" s="18" t="s">
        <v>5257</v>
      </c>
      <c r="V1403" s="17" t="s">
        <v>9418</v>
      </c>
      <c r="W1403" s="18" t="s">
        <v>5314</v>
      </c>
      <c r="X1403" s="69" t="s">
        <v>9453</v>
      </c>
      <c r="Y1403" s="70" t="s">
        <v>9464</v>
      </c>
      <c r="Z1403" s="73" t="s">
        <v>9486</v>
      </c>
      <c r="AA1403" s="74" t="s">
        <v>9504</v>
      </c>
      <c r="AB1403" s="73" t="s">
        <v>9486</v>
      </c>
      <c r="AC1403" s="74" t="s">
        <v>9561</v>
      </c>
      <c r="AD1403" s="73" t="s">
        <v>9578</v>
      </c>
      <c r="AE1403" s="74" t="s">
        <v>9579</v>
      </c>
    </row>
    <row r="1404" spans="1:31" ht="8.65" customHeight="1" x14ac:dyDescent="0.2">
      <c r="A1404" s="76">
        <v>1404</v>
      </c>
      <c r="B1404" s="67" t="str">
        <f>MID(C1404, FIND("Ifc.", C1404) + 4, 4) &amp; "_" &amp; TEXT(COUNTIF($C$2:C1404, C1404),"0000")</f>
        <v>Prop_1403</v>
      </c>
      <c r="C1404" s="24" t="s">
        <v>872</v>
      </c>
      <c r="D1404" s="69" t="s">
        <v>9453</v>
      </c>
      <c r="E1404" s="70" t="s">
        <v>9454</v>
      </c>
      <c r="F1404" s="17" t="s">
        <v>806</v>
      </c>
      <c r="G1404" s="22" t="s">
        <v>1554</v>
      </c>
      <c r="H1404" s="12" t="s">
        <v>9703</v>
      </c>
      <c r="I1404" s="13" t="s">
        <v>6379</v>
      </c>
      <c r="J1404" s="14" t="s">
        <v>798</v>
      </c>
      <c r="K1404" s="15" t="s">
        <v>798</v>
      </c>
      <c r="L1404" s="12" t="s">
        <v>5315</v>
      </c>
      <c r="M1404" s="13" t="s">
        <v>5844</v>
      </c>
      <c r="N1404" s="12" t="s">
        <v>803</v>
      </c>
      <c r="O1404" s="13" t="s">
        <v>4989</v>
      </c>
      <c r="P1404" s="17" t="s">
        <v>802</v>
      </c>
      <c r="Q1404" s="21" t="s">
        <v>7839</v>
      </c>
      <c r="R1404" s="17" t="s">
        <v>801</v>
      </c>
      <c r="S1404" s="18" t="s">
        <v>3636</v>
      </c>
      <c r="T1404" s="17" t="s">
        <v>800</v>
      </c>
      <c r="U1404" s="18" t="s">
        <v>5257</v>
      </c>
      <c r="V1404" s="17" t="s">
        <v>9418</v>
      </c>
      <c r="W1404" s="18" t="s">
        <v>5314</v>
      </c>
      <c r="X1404" s="69" t="s">
        <v>9453</v>
      </c>
      <c r="Y1404" s="70" t="s">
        <v>9464</v>
      </c>
      <c r="Z1404" s="73" t="s">
        <v>9486</v>
      </c>
      <c r="AA1404" s="74" t="s">
        <v>9504</v>
      </c>
      <c r="AB1404" s="73" t="s">
        <v>9486</v>
      </c>
      <c r="AC1404" s="74" t="s">
        <v>9561</v>
      </c>
      <c r="AD1404" s="73" t="s">
        <v>9578</v>
      </c>
      <c r="AE1404" s="74" t="s">
        <v>9579</v>
      </c>
    </row>
    <row r="1405" spans="1:31" ht="8.65" customHeight="1" x14ac:dyDescent="0.2">
      <c r="A1405" s="76">
        <v>1405</v>
      </c>
      <c r="B1405" s="67" t="str">
        <f>MID(C1405, FIND("Ifc.", C1405) + 4, 4) &amp; "_" &amp; TEXT(COUNTIF($C$2:C1405, C1405),"0000")</f>
        <v>Prop_1404</v>
      </c>
      <c r="C1405" s="24" t="s">
        <v>872</v>
      </c>
      <c r="D1405" s="69" t="s">
        <v>9453</v>
      </c>
      <c r="E1405" s="70" t="s">
        <v>9454</v>
      </c>
      <c r="F1405" s="17" t="s">
        <v>806</v>
      </c>
      <c r="G1405" s="22" t="s">
        <v>1554</v>
      </c>
      <c r="H1405" s="12" t="s">
        <v>9703</v>
      </c>
      <c r="I1405" s="13" t="s">
        <v>6379</v>
      </c>
      <c r="J1405" s="14" t="s">
        <v>798</v>
      </c>
      <c r="K1405" s="15" t="s">
        <v>798</v>
      </c>
      <c r="L1405" s="12" t="s">
        <v>5315</v>
      </c>
      <c r="M1405" s="13" t="s">
        <v>5896</v>
      </c>
      <c r="N1405" s="12" t="s">
        <v>803</v>
      </c>
      <c r="O1405" s="13" t="s">
        <v>4965</v>
      </c>
      <c r="P1405" s="17" t="s">
        <v>802</v>
      </c>
      <c r="Q1405" s="21" t="s">
        <v>7912</v>
      </c>
      <c r="R1405" s="17" t="s">
        <v>801</v>
      </c>
      <c r="S1405" s="18" t="s">
        <v>3636</v>
      </c>
      <c r="T1405" s="17" t="s">
        <v>800</v>
      </c>
      <c r="U1405" s="18" t="s">
        <v>5257</v>
      </c>
      <c r="V1405" s="17" t="s">
        <v>9418</v>
      </c>
      <c r="W1405" s="18" t="s">
        <v>5314</v>
      </c>
      <c r="X1405" s="69" t="s">
        <v>9453</v>
      </c>
      <c r="Y1405" s="70" t="s">
        <v>9464</v>
      </c>
      <c r="Z1405" s="73" t="s">
        <v>9486</v>
      </c>
      <c r="AA1405" s="74" t="s">
        <v>9504</v>
      </c>
      <c r="AB1405" s="73" t="s">
        <v>9486</v>
      </c>
      <c r="AC1405" s="74" t="s">
        <v>9561</v>
      </c>
      <c r="AD1405" s="73" t="s">
        <v>9578</v>
      </c>
      <c r="AE1405" s="74" t="s">
        <v>9579</v>
      </c>
    </row>
    <row r="1406" spans="1:31" ht="8.65" customHeight="1" x14ac:dyDescent="0.2">
      <c r="A1406" s="76">
        <v>1406</v>
      </c>
      <c r="B1406" s="67" t="str">
        <f>MID(C1406, FIND("Ifc.", C1406) + 4, 4) &amp; "_" &amp; TEXT(COUNTIF($C$2:C1406, C1406),"0000")</f>
        <v>Prop_1405</v>
      </c>
      <c r="C1406" s="24" t="s">
        <v>872</v>
      </c>
      <c r="D1406" s="69" t="s">
        <v>9453</v>
      </c>
      <c r="E1406" s="70" t="s">
        <v>9454</v>
      </c>
      <c r="F1406" s="17" t="s">
        <v>806</v>
      </c>
      <c r="G1406" s="22" t="s">
        <v>1554</v>
      </c>
      <c r="H1406" s="12" t="s">
        <v>9703</v>
      </c>
      <c r="I1406" s="13" t="s">
        <v>6379</v>
      </c>
      <c r="J1406" s="14" t="s">
        <v>798</v>
      </c>
      <c r="K1406" s="15" t="s">
        <v>798</v>
      </c>
      <c r="L1406" s="12" t="s">
        <v>5315</v>
      </c>
      <c r="M1406" s="13" t="s">
        <v>5849</v>
      </c>
      <c r="N1406" s="12" t="s">
        <v>803</v>
      </c>
      <c r="O1406" s="13" t="s">
        <v>4996</v>
      </c>
      <c r="P1406" s="17" t="s">
        <v>802</v>
      </c>
      <c r="Q1406" s="21" t="s">
        <v>7956</v>
      </c>
      <c r="R1406" s="17" t="s">
        <v>801</v>
      </c>
      <c r="S1406" s="18" t="s">
        <v>3636</v>
      </c>
      <c r="T1406" s="17" t="s">
        <v>800</v>
      </c>
      <c r="U1406" s="18" t="s">
        <v>5257</v>
      </c>
      <c r="V1406" s="17" t="s">
        <v>9418</v>
      </c>
      <c r="W1406" s="18" t="s">
        <v>5314</v>
      </c>
      <c r="X1406" s="69" t="s">
        <v>9453</v>
      </c>
      <c r="Y1406" s="70" t="s">
        <v>9464</v>
      </c>
      <c r="Z1406" s="73" t="s">
        <v>9486</v>
      </c>
      <c r="AA1406" s="74" t="s">
        <v>9504</v>
      </c>
      <c r="AB1406" s="73" t="s">
        <v>9486</v>
      </c>
      <c r="AC1406" s="74" t="s">
        <v>9561</v>
      </c>
      <c r="AD1406" s="73" t="s">
        <v>9578</v>
      </c>
      <c r="AE1406" s="74" t="s">
        <v>9579</v>
      </c>
    </row>
    <row r="1407" spans="1:31" ht="8.65" customHeight="1" x14ac:dyDescent="0.2">
      <c r="A1407" s="76">
        <v>1407</v>
      </c>
      <c r="B1407" s="67" t="str">
        <f>MID(C1407, FIND("Ifc.", C1407) + 4, 4) &amp; "_" &amp; TEXT(COUNTIF($C$2:C1407, C1407),"0000")</f>
        <v>Prop_1406</v>
      </c>
      <c r="C1407" s="24" t="s">
        <v>872</v>
      </c>
      <c r="D1407" s="69" t="s">
        <v>9453</v>
      </c>
      <c r="E1407" s="70" t="s">
        <v>9454</v>
      </c>
      <c r="F1407" s="17" t="s">
        <v>806</v>
      </c>
      <c r="G1407" s="22" t="s">
        <v>2486</v>
      </c>
      <c r="H1407" s="12" t="s">
        <v>9703</v>
      </c>
      <c r="I1407" s="13" t="s">
        <v>6814</v>
      </c>
      <c r="J1407" s="14" t="s">
        <v>798</v>
      </c>
      <c r="K1407" s="15" t="s">
        <v>798</v>
      </c>
      <c r="L1407" s="12" t="s">
        <v>5315</v>
      </c>
      <c r="M1407" s="13" t="s">
        <v>5999</v>
      </c>
      <c r="N1407" s="12" t="s">
        <v>803</v>
      </c>
      <c r="O1407" s="13" t="s">
        <v>5215</v>
      </c>
      <c r="P1407" s="17" t="s">
        <v>802</v>
      </c>
      <c r="Q1407" s="21" t="s">
        <v>8010</v>
      </c>
      <c r="R1407" s="17" t="s">
        <v>801</v>
      </c>
      <c r="S1407" s="18" t="s">
        <v>2621</v>
      </c>
      <c r="T1407" s="17" t="s">
        <v>800</v>
      </c>
      <c r="U1407" s="18" t="s">
        <v>5260</v>
      </c>
      <c r="V1407" s="17" t="s">
        <v>9418</v>
      </c>
      <c r="W1407" s="18" t="s">
        <v>5309</v>
      </c>
      <c r="X1407" s="69" t="s">
        <v>9453</v>
      </c>
      <c r="Y1407" s="70" t="s">
        <v>9462</v>
      </c>
      <c r="Z1407" s="73" t="s">
        <v>9486</v>
      </c>
      <c r="AA1407" s="74" t="s">
        <v>9504</v>
      </c>
      <c r="AB1407" s="73" t="s">
        <v>9486</v>
      </c>
      <c r="AC1407" s="74" t="s">
        <v>9566</v>
      </c>
      <c r="AD1407" s="73" t="s">
        <v>9578</v>
      </c>
      <c r="AE1407" s="74" t="s">
        <v>9579</v>
      </c>
    </row>
    <row r="1408" spans="1:31" ht="8.65" customHeight="1" x14ac:dyDescent="0.2">
      <c r="A1408" s="76">
        <v>1408</v>
      </c>
      <c r="B1408" s="67" t="str">
        <f>MID(C1408, FIND("Ifc.", C1408) + 4, 4) &amp; "_" &amp; TEXT(COUNTIF($C$2:C1408, C1408),"0000")</f>
        <v>Prop_1407</v>
      </c>
      <c r="C1408" s="24" t="s">
        <v>872</v>
      </c>
      <c r="D1408" s="69" t="s">
        <v>9453</v>
      </c>
      <c r="E1408" s="70" t="s">
        <v>9454</v>
      </c>
      <c r="F1408" s="17" t="s">
        <v>806</v>
      </c>
      <c r="G1408" s="22" t="s">
        <v>1419</v>
      </c>
      <c r="H1408" s="12" t="s">
        <v>9703</v>
      </c>
      <c r="I1408" s="13" t="s">
        <v>6735</v>
      </c>
      <c r="J1408" s="14" t="s">
        <v>798</v>
      </c>
      <c r="K1408" s="15" t="s">
        <v>798</v>
      </c>
      <c r="L1408" s="12" t="s">
        <v>5315</v>
      </c>
      <c r="M1408" s="13" t="s">
        <v>5433</v>
      </c>
      <c r="N1408" s="12" t="s">
        <v>803</v>
      </c>
      <c r="O1408" s="13" t="s">
        <v>4932</v>
      </c>
      <c r="P1408" s="17" t="s">
        <v>802</v>
      </c>
      <c r="Q1408" s="21" t="s">
        <v>7696</v>
      </c>
      <c r="R1408" s="17" t="s">
        <v>801</v>
      </c>
      <c r="S1408" s="18" t="s">
        <v>2621</v>
      </c>
      <c r="T1408" s="17" t="s">
        <v>800</v>
      </c>
      <c r="U1408" s="18" t="s">
        <v>5260</v>
      </c>
      <c r="V1408" s="17" t="s">
        <v>9418</v>
      </c>
      <c r="W1408" s="18" t="s">
        <v>5309</v>
      </c>
      <c r="X1408" s="69" t="s">
        <v>9453</v>
      </c>
      <c r="Y1408" s="70" t="s">
        <v>9462</v>
      </c>
      <c r="Z1408" s="73" t="s">
        <v>9486</v>
      </c>
      <c r="AA1408" s="74" t="s">
        <v>9504</v>
      </c>
      <c r="AB1408" s="73" t="s">
        <v>9486</v>
      </c>
      <c r="AC1408" s="74" t="s">
        <v>9566</v>
      </c>
      <c r="AD1408" s="73" t="s">
        <v>9578</v>
      </c>
      <c r="AE1408" s="74" t="s">
        <v>9579</v>
      </c>
    </row>
    <row r="1409" spans="1:31" ht="8.65" customHeight="1" x14ac:dyDescent="0.2">
      <c r="A1409" s="76">
        <v>1409</v>
      </c>
      <c r="B1409" s="67" t="str">
        <f>MID(C1409, FIND("Ifc.", C1409) + 4, 4) &amp; "_" &amp; TEXT(COUNTIF($C$2:C1409, C1409),"0000")</f>
        <v>Prop_1408</v>
      </c>
      <c r="C1409" s="24" t="s">
        <v>872</v>
      </c>
      <c r="D1409" s="69" t="s">
        <v>9453</v>
      </c>
      <c r="E1409" s="70" t="s">
        <v>9454</v>
      </c>
      <c r="F1409" s="17" t="s">
        <v>806</v>
      </c>
      <c r="G1409" s="22" t="s">
        <v>1419</v>
      </c>
      <c r="H1409" s="12" t="s">
        <v>9703</v>
      </c>
      <c r="I1409" s="13" t="s">
        <v>6735</v>
      </c>
      <c r="J1409" s="14" t="s">
        <v>798</v>
      </c>
      <c r="K1409" s="15" t="s">
        <v>798</v>
      </c>
      <c r="L1409" s="12" t="s">
        <v>5315</v>
      </c>
      <c r="M1409" s="13" t="s">
        <v>5576</v>
      </c>
      <c r="N1409" s="12" t="s">
        <v>803</v>
      </c>
      <c r="O1409" s="13" t="s">
        <v>5220</v>
      </c>
      <c r="P1409" s="17" t="s">
        <v>802</v>
      </c>
      <c r="Q1409" s="21" t="s">
        <v>7697</v>
      </c>
      <c r="R1409" s="17" t="s">
        <v>801</v>
      </c>
      <c r="S1409" s="18" t="s">
        <v>2621</v>
      </c>
      <c r="T1409" s="17" t="s">
        <v>800</v>
      </c>
      <c r="U1409" s="18" t="s">
        <v>5260</v>
      </c>
      <c r="V1409" s="17" t="s">
        <v>9418</v>
      </c>
      <c r="W1409" s="18" t="s">
        <v>5309</v>
      </c>
      <c r="X1409" s="69" t="s">
        <v>9453</v>
      </c>
      <c r="Y1409" s="70" t="s">
        <v>9462</v>
      </c>
      <c r="Z1409" s="73" t="s">
        <v>9486</v>
      </c>
      <c r="AA1409" s="74" t="s">
        <v>9504</v>
      </c>
      <c r="AB1409" s="73" t="s">
        <v>9486</v>
      </c>
      <c r="AC1409" s="74" t="s">
        <v>9566</v>
      </c>
      <c r="AD1409" s="73" t="s">
        <v>9578</v>
      </c>
      <c r="AE1409" s="74" t="s">
        <v>9579</v>
      </c>
    </row>
    <row r="1410" spans="1:31" ht="8.65" customHeight="1" x14ac:dyDescent="0.2">
      <c r="A1410" s="76">
        <v>1410</v>
      </c>
      <c r="B1410" s="67" t="str">
        <f>MID(C1410, FIND("Ifc.", C1410) + 4, 4) &amp; "_" &amp; TEXT(COUNTIF($C$2:C1410, C1410),"0000")</f>
        <v>Prop_1409</v>
      </c>
      <c r="C1410" s="24" t="s">
        <v>872</v>
      </c>
      <c r="D1410" s="69" t="s">
        <v>9453</v>
      </c>
      <c r="E1410" s="70" t="s">
        <v>9454</v>
      </c>
      <c r="F1410" s="17" t="s">
        <v>806</v>
      </c>
      <c r="G1410" s="22" t="s">
        <v>1026</v>
      </c>
      <c r="H1410" s="12" t="s">
        <v>9703</v>
      </c>
      <c r="I1410" s="13" t="s">
        <v>6124</v>
      </c>
      <c r="J1410" s="14" t="s">
        <v>798</v>
      </c>
      <c r="K1410" s="15" t="s">
        <v>798</v>
      </c>
      <c r="L1410" s="12" t="s">
        <v>5315</v>
      </c>
      <c r="M1410" s="13" t="s">
        <v>5382</v>
      </c>
      <c r="N1410" s="12" t="s">
        <v>803</v>
      </c>
      <c r="O1410" s="13" t="s">
        <v>4839</v>
      </c>
      <c r="P1410" s="17" t="s">
        <v>802</v>
      </c>
      <c r="Q1410" s="21" t="s">
        <v>8011</v>
      </c>
      <c r="R1410" s="17" t="s">
        <v>801</v>
      </c>
      <c r="S1410" s="18" t="s">
        <v>2621</v>
      </c>
      <c r="T1410" s="17" t="s">
        <v>800</v>
      </c>
      <c r="U1410" s="18" t="s">
        <v>5260</v>
      </c>
      <c r="V1410" s="17" t="s">
        <v>9418</v>
      </c>
      <c r="W1410" s="18" t="s">
        <v>5309</v>
      </c>
      <c r="X1410" s="69" t="s">
        <v>9453</v>
      </c>
      <c r="Y1410" s="70" t="s">
        <v>9462</v>
      </c>
      <c r="Z1410" s="73" t="s">
        <v>9486</v>
      </c>
      <c r="AA1410" s="74" t="s">
        <v>9504</v>
      </c>
      <c r="AB1410" s="73" t="s">
        <v>9486</v>
      </c>
      <c r="AC1410" s="74" t="s">
        <v>9566</v>
      </c>
      <c r="AD1410" s="73" t="s">
        <v>9578</v>
      </c>
      <c r="AE1410" s="74" t="s">
        <v>9579</v>
      </c>
    </row>
    <row r="1411" spans="1:31" ht="8.65" customHeight="1" x14ac:dyDescent="0.2">
      <c r="A1411" s="76">
        <v>1411</v>
      </c>
      <c r="B1411" s="67" t="str">
        <f>MID(C1411, FIND("Ifc.", C1411) + 4, 4) &amp; "_" &amp; TEXT(COUNTIF($C$2:C1411, C1411),"0000")</f>
        <v>Prop_1410</v>
      </c>
      <c r="C1411" s="24" t="s">
        <v>872</v>
      </c>
      <c r="D1411" s="69" t="s">
        <v>9453</v>
      </c>
      <c r="E1411" s="70" t="s">
        <v>9454</v>
      </c>
      <c r="F1411" s="17" t="s">
        <v>806</v>
      </c>
      <c r="G1411" s="22" t="s">
        <v>1026</v>
      </c>
      <c r="H1411" s="12" t="s">
        <v>9703</v>
      </c>
      <c r="I1411" s="13" t="s">
        <v>6124</v>
      </c>
      <c r="J1411" s="14" t="s">
        <v>798</v>
      </c>
      <c r="K1411" s="15" t="s">
        <v>798</v>
      </c>
      <c r="L1411" s="12" t="s">
        <v>5315</v>
      </c>
      <c r="M1411" s="13" t="s">
        <v>5384</v>
      </c>
      <c r="N1411" s="12" t="s">
        <v>803</v>
      </c>
      <c r="O1411" s="13" t="s">
        <v>4841</v>
      </c>
      <c r="P1411" s="17" t="s">
        <v>802</v>
      </c>
      <c r="Q1411" s="21" t="s">
        <v>8012</v>
      </c>
      <c r="R1411" s="17" t="s">
        <v>801</v>
      </c>
      <c r="S1411" s="18" t="s">
        <v>2621</v>
      </c>
      <c r="T1411" s="17" t="s">
        <v>800</v>
      </c>
      <c r="U1411" s="18" t="s">
        <v>5260</v>
      </c>
      <c r="V1411" s="17" t="s">
        <v>9418</v>
      </c>
      <c r="W1411" s="18" t="s">
        <v>5309</v>
      </c>
      <c r="X1411" s="69" t="s">
        <v>9453</v>
      </c>
      <c r="Y1411" s="70" t="s">
        <v>9462</v>
      </c>
      <c r="Z1411" s="73" t="s">
        <v>9486</v>
      </c>
      <c r="AA1411" s="74" t="s">
        <v>9504</v>
      </c>
      <c r="AB1411" s="73" t="s">
        <v>9486</v>
      </c>
      <c r="AC1411" s="74" t="s">
        <v>9566</v>
      </c>
      <c r="AD1411" s="73" t="s">
        <v>9578</v>
      </c>
      <c r="AE1411" s="74" t="s">
        <v>9579</v>
      </c>
    </row>
    <row r="1412" spans="1:31" ht="8.65" customHeight="1" x14ac:dyDescent="0.2">
      <c r="A1412" s="76">
        <v>1412</v>
      </c>
      <c r="B1412" s="67" t="str">
        <f>MID(C1412, FIND("Ifc.", C1412) + 4, 4) &amp; "_" &amp; TEXT(COUNTIF($C$2:C1412, C1412),"0000")</f>
        <v>Prop_1411</v>
      </c>
      <c r="C1412" s="24" t="s">
        <v>872</v>
      </c>
      <c r="D1412" s="69" t="s">
        <v>9453</v>
      </c>
      <c r="E1412" s="70" t="s">
        <v>9454</v>
      </c>
      <c r="F1412" s="17" t="s">
        <v>806</v>
      </c>
      <c r="G1412" s="22" t="s">
        <v>1392</v>
      </c>
      <c r="H1412" s="12" t="s">
        <v>9703</v>
      </c>
      <c r="I1412" s="13" t="s">
        <v>6515</v>
      </c>
      <c r="J1412" s="14" t="s">
        <v>798</v>
      </c>
      <c r="K1412" s="15" t="s">
        <v>798</v>
      </c>
      <c r="L1412" s="12" t="s">
        <v>5315</v>
      </c>
      <c r="M1412" s="13" t="s">
        <v>5427</v>
      </c>
      <c r="N1412" s="12" t="s">
        <v>803</v>
      </c>
      <c r="O1412" s="13" t="s">
        <v>4925</v>
      </c>
      <c r="P1412" s="17" t="s">
        <v>802</v>
      </c>
      <c r="Q1412" s="21" t="s">
        <v>7922</v>
      </c>
      <c r="R1412" s="17" t="s">
        <v>801</v>
      </c>
      <c r="S1412" s="18" t="s">
        <v>2621</v>
      </c>
      <c r="T1412" s="17" t="s">
        <v>800</v>
      </c>
      <c r="U1412" s="18" t="s">
        <v>5260</v>
      </c>
      <c r="V1412" s="17" t="s">
        <v>9418</v>
      </c>
      <c r="W1412" s="18" t="s">
        <v>5309</v>
      </c>
      <c r="X1412" s="69" t="s">
        <v>9453</v>
      </c>
      <c r="Y1412" s="70" t="s">
        <v>9462</v>
      </c>
      <c r="Z1412" s="73" t="s">
        <v>9486</v>
      </c>
      <c r="AA1412" s="74" t="s">
        <v>9504</v>
      </c>
      <c r="AB1412" s="73" t="s">
        <v>9486</v>
      </c>
      <c r="AC1412" s="74" t="s">
        <v>9566</v>
      </c>
      <c r="AD1412" s="73" t="s">
        <v>9578</v>
      </c>
      <c r="AE1412" s="74" t="s">
        <v>9579</v>
      </c>
    </row>
    <row r="1413" spans="1:31" ht="8.65" customHeight="1" x14ac:dyDescent="0.2">
      <c r="A1413" s="76">
        <v>1413</v>
      </c>
      <c r="B1413" s="67" t="str">
        <f>MID(C1413, FIND("Ifc.", C1413) + 4, 4) &amp; "_" &amp; TEXT(COUNTIF($C$2:C1413, C1413),"0000")</f>
        <v>Prop_1412</v>
      </c>
      <c r="C1413" s="24" t="s">
        <v>872</v>
      </c>
      <c r="D1413" s="69" t="s">
        <v>9453</v>
      </c>
      <c r="E1413" s="70" t="s">
        <v>9454</v>
      </c>
      <c r="F1413" s="17" t="s">
        <v>806</v>
      </c>
      <c r="G1413" s="22" t="s">
        <v>1565</v>
      </c>
      <c r="H1413" s="12" t="s">
        <v>9703</v>
      </c>
      <c r="I1413" s="13" t="s">
        <v>7311</v>
      </c>
      <c r="J1413" s="14" t="s">
        <v>798</v>
      </c>
      <c r="K1413" s="15" t="s">
        <v>798</v>
      </c>
      <c r="L1413" s="12" t="s">
        <v>5315</v>
      </c>
      <c r="M1413" s="13" t="s">
        <v>5891</v>
      </c>
      <c r="N1413" s="12" t="s">
        <v>803</v>
      </c>
      <c r="O1413" s="13" t="s">
        <v>4960</v>
      </c>
      <c r="P1413" s="17" t="s">
        <v>802</v>
      </c>
      <c r="Q1413" s="21" t="s">
        <v>7813</v>
      </c>
      <c r="R1413" s="17" t="s">
        <v>801</v>
      </c>
      <c r="S1413" s="18" t="s">
        <v>3636</v>
      </c>
      <c r="T1413" s="17" t="s">
        <v>800</v>
      </c>
      <c r="U1413" s="18" t="s">
        <v>5257</v>
      </c>
      <c r="V1413" s="17" t="s">
        <v>9418</v>
      </c>
      <c r="W1413" s="18" t="s">
        <v>5314</v>
      </c>
      <c r="X1413" s="69" t="s">
        <v>9453</v>
      </c>
      <c r="Y1413" s="70" t="s">
        <v>9464</v>
      </c>
      <c r="Z1413" s="73" t="s">
        <v>9486</v>
      </c>
      <c r="AA1413" s="74" t="s">
        <v>9504</v>
      </c>
      <c r="AB1413" s="73" t="s">
        <v>9486</v>
      </c>
      <c r="AC1413" s="74" t="s">
        <v>9561</v>
      </c>
      <c r="AD1413" s="73" t="s">
        <v>9578</v>
      </c>
      <c r="AE1413" s="74" t="s">
        <v>9579</v>
      </c>
    </row>
    <row r="1414" spans="1:31" ht="8.65" customHeight="1" x14ac:dyDescent="0.2">
      <c r="A1414" s="76">
        <v>1414</v>
      </c>
      <c r="B1414" s="67" t="str">
        <f>MID(C1414, FIND("Ifc.", C1414) + 4, 4) &amp; "_" &amp; TEXT(COUNTIF($C$2:C1414, C1414),"0000")</f>
        <v>Prop_1413</v>
      </c>
      <c r="C1414" s="24" t="s">
        <v>872</v>
      </c>
      <c r="D1414" s="69" t="s">
        <v>9453</v>
      </c>
      <c r="E1414" s="70" t="s">
        <v>9454</v>
      </c>
      <c r="F1414" s="17" t="s">
        <v>806</v>
      </c>
      <c r="G1414" s="22" t="s">
        <v>1565</v>
      </c>
      <c r="H1414" s="12" t="s">
        <v>9703</v>
      </c>
      <c r="I1414" s="13" t="s">
        <v>7311</v>
      </c>
      <c r="J1414" s="14" t="s">
        <v>798</v>
      </c>
      <c r="K1414" s="15" t="s">
        <v>798</v>
      </c>
      <c r="L1414" s="12" t="s">
        <v>5315</v>
      </c>
      <c r="M1414" s="13" t="s">
        <v>5518</v>
      </c>
      <c r="N1414" s="12" t="s">
        <v>803</v>
      </c>
      <c r="O1414" s="13" t="s">
        <v>5133</v>
      </c>
      <c r="P1414" s="17" t="s">
        <v>802</v>
      </c>
      <c r="Q1414" s="21" t="s">
        <v>7719</v>
      </c>
      <c r="R1414" s="17" t="s">
        <v>801</v>
      </c>
      <c r="S1414" s="18" t="s">
        <v>2621</v>
      </c>
      <c r="T1414" s="17" t="s">
        <v>800</v>
      </c>
      <c r="U1414" s="18" t="s">
        <v>5260</v>
      </c>
      <c r="V1414" s="17" t="s">
        <v>9418</v>
      </c>
      <c r="W1414" s="18" t="s">
        <v>5309</v>
      </c>
      <c r="X1414" s="69" t="s">
        <v>9453</v>
      </c>
      <c r="Y1414" s="70" t="s">
        <v>9462</v>
      </c>
      <c r="Z1414" s="73" t="s">
        <v>9486</v>
      </c>
      <c r="AA1414" s="74" t="s">
        <v>9504</v>
      </c>
      <c r="AB1414" s="73" t="s">
        <v>9486</v>
      </c>
      <c r="AC1414" s="74" t="s">
        <v>9566</v>
      </c>
      <c r="AD1414" s="73" t="s">
        <v>9578</v>
      </c>
      <c r="AE1414" s="74" t="s">
        <v>9579</v>
      </c>
    </row>
    <row r="1415" spans="1:31" ht="8.65" customHeight="1" x14ac:dyDescent="0.2">
      <c r="A1415" s="76">
        <v>1415</v>
      </c>
      <c r="B1415" s="67" t="str">
        <f>MID(C1415, FIND("Ifc.", C1415) + 4, 4) &amp; "_" &amp; TEXT(COUNTIF($C$2:C1415, C1415),"0000")</f>
        <v>Prop_1414</v>
      </c>
      <c r="C1415" s="24" t="s">
        <v>872</v>
      </c>
      <c r="D1415" s="69" t="s">
        <v>9453</v>
      </c>
      <c r="E1415" s="70" t="s">
        <v>9454</v>
      </c>
      <c r="F1415" s="17" t="s">
        <v>806</v>
      </c>
      <c r="G1415" s="22" t="s">
        <v>1565</v>
      </c>
      <c r="H1415" s="12" t="s">
        <v>9703</v>
      </c>
      <c r="I1415" s="13" t="s">
        <v>7311</v>
      </c>
      <c r="J1415" s="14" t="s">
        <v>798</v>
      </c>
      <c r="K1415" s="15" t="s">
        <v>798</v>
      </c>
      <c r="L1415" s="12" t="s">
        <v>5315</v>
      </c>
      <c r="M1415" s="13" t="s">
        <v>5519</v>
      </c>
      <c r="N1415" s="12" t="s">
        <v>803</v>
      </c>
      <c r="O1415" s="13" t="s">
        <v>5134</v>
      </c>
      <c r="P1415" s="17" t="s">
        <v>802</v>
      </c>
      <c r="Q1415" s="21" t="s">
        <v>7935</v>
      </c>
      <c r="R1415" s="17" t="s">
        <v>801</v>
      </c>
      <c r="S1415" s="18" t="s">
        <v>2621</v>
      </c>
      <c r="T1415" s="17" t="s">
        <v>800</v>
      </c>
      <c r="U1415" s="18" t="s">
        <v>5260</v>
      </c>
      <c r="V1415" s="17" t="s">
        <v>9418</v>
      </c>
      <c r="W1415" s="18" t="s">
        <v>5309</v>
      </c>
      <c r="X1415" s="69" t="s">
        <v>9453</v>
      </c>
      <c r="Y1415" s="70" t="s">
        <v>9462</v>
      </c>
      <c r="Z1415" s="73" t="s">
        <v>9486</v>
      </c>
      <c r="AA1415" s="74" t="s">
        <v>9504</v>
      </c>
      <c r="AB1415" s="73" t="s">
        <v>9486</v>
      </c>
      <c r="AC1415" s="74" t="s">
        <v>9566</v>
      </c>
      <c r="AD1415" s="73" t="s">
        <v>9578</v>
      </c>
      <c r="AE1415" s="74" t="s">
        <v>9579</v>
      </c>
    </row>
    <row r="1416" spans="1:31" ht="8.65" customHeight="1" x14ac:dyDescent="0.2">
      <c r="A1416" s="76">
        <v>1416</v>
      </c>
      <c r="B1416" s="67" t="str">
        <f>MID(C1416, FIND("Ifc.", C1416) + 4, 4) &amp; "_" &amp; TEXT(COUNTIF($C$2:C1416, C1416),"0000")</f>
        <v>Prop_1415</v>
      </c>
      <c r="C1416" s="24" t="s">
        <v>872</v>
      </c>
      <c r="D1416" s="69" t="s">
        <v>9453</v>
      </c>
      <c r="E1416" s="70" t="s">
        <v>9454</v>
      </c>
      <c r="F1416" s="17" t="s">
        <v>806</v>
      </c>
      <c r="G1416" s="22" t="s">
        <v>1565</v>
      </c>
      <c r="H1416" s="12" t="s">
        <v>9703</v>
      </c>
      <c r="I1416" s="13" t="s">
        <v>7311</v>
      </c>
      <c r="J1416" s="14" t="s">
        <v>798</v>
      </c>
      <c r="K1416" s="15" t="s">
        <v>798</v>
      </c>
      <c r="L1416" s="12" t="s">
        <v>5315</v>
      </c>
      <c r="M1416" s="13" t="s">
        <v>6003</v>
      </c>
      <c r="N1416" s="12" t="s">
        <v>803</v>
      </c>
      <c r="O1416" s="13" t="s">
        <v>5214</v>
      </c>
      <c r="P1416" s="17" t="s">
        <v>802</v>
      </c>
      <c r="Q1416" s="21" t="s">
        <v>7830</v>
      </c>
      <c r="R1416" s="17" t="s">
        <v>801</v>
      </c>
      <c r="S1416" s="18" t="s">
        <v>2621</v>
      </c>
      <c r="T1416" s="17" t="s">
        <v>800</v>
      </c>
      <c r="U1416" s="18" t="s">
        <v>5260</v>
      </c>
      <c r="V1416" s="17" t="s">
        <v>9418</v>
      </c>
      <c r="W1416" s="18" t="s">
        <v>5309</v>
      </c>
      <c r="X1416" s="69" t="s">
        <v>9453</v>
      </c>
      <c r="Y1416" s="70" t="s">
        <v>9462</v>
      </c>
      <c r="Z1416" s="73" t="s">
        <v>9486</v>
      </c>
      <c r="AA1416" s="74" t="s">
        <v>9504</v>
      </c>
      <c r="AB1416" s="73" t="s">
        <v>9486</v>
      </c>
      <c r="AC1416" s="74" t="s">
        <v>9566</v>
      </c>
      <c r="AD1416" s="73" t="s">
        <v>9578</v>
      </c>
      <c r="AE1416" s="74" t="s">
        <v>9579</v>
      </c>
    </row>
    <row r="1417" spans="1:31" ht="8.65" customHeight="1" x14ac:dyDescent="0.2">
      <c r="A1417" s="76">
        <v>1417</v>
      </c>
      <c r="B1417" s="67" t="str">
        <f>MID(C1417, FIND("Ifc.", C1417) + 4, 4) &amp; "_" &amp; TEXT(COUNTIF($C$2:C1417, C1417),"0000")</f>
        <v>Prop_1416</v>
      </c>
      <c r="C1417" s="24" t="s">
        <v>872</v>
      </c>
      <c r="D1417" s="69" t="s">
        <v>9453</v>
      </c>
      <c r="E1417" s="70" t="s">
        <v>9454</v>
      </c>
      <c r="F1417" s="17" t="s">
        <v>806</v>
      </c>
      <c r="G1417" s="22" t="s">
        <v>2484</v>
      </c>
      <c r="H1417" s="12" t="s">
        <v>9703</v>
      </c>
      <c r="I1417" s="13" t="s">
        <v>6820</v>
      </c>
      <c r="J1417" s="14" t="s">
        <v>798</v>
      </c>
      <c r="K1417" s="15" t="s">
        <v>798</v>
      </c>
      <c r="L1417" s="12" t="s">
        <v>5315</v>
      </c>
      <c r="M1417" s="13" t="s">
        <v>6003</v>
      </c>
      <c r="N1417" s="12" t="s">
        <v>803</v>
      </c>
      <c r="O1417" s="13" t="s">
        <v>5214</v>
      </c>
      <c r="P1417" s="17" t="s">
        <v>802</v>
      </c>
      <c r="Q1417" s="21" t="s">
        <v>7830</v>
      </c>
      <c r="R1417" s="17" t="s">
        <v>801</v>
      </c>
      <c r="S1417" s="18" t="s">
        <v>2621</v>
      </c>
      <c r="T1417" s="17" t="s">
        <v>800</v>
      </c>
      <c r="U1417" s="18" t="s">
        <v>5260</v>
      </c>
      <c r="V1417" s="17" t="s">
        <v>9418</v>
      </c>
      <c r="W1417" s="18" t="s">
        <v>5309</v>
      </c>
      <c r="X1417" s="69" t="s">
        <v>9453</v>
      </c>
      <c r="Y1417" s="70" t="s">
        <v>9462</v>
      </c>
      <c r="Z1417" s="73" t="s">
        <v>9486</v>
      </c>
      <c r="AA1417" s="74" t="s">
        <v>9504</v>
      </c>
      <c r="AB1417" s="73" t="s">
        <v>9486</v>
      </c>
      <c r="AC1417" s="74" t="s">
        <v>9566</v>
      </c>
      <c r="AD1417" s="73" t="s">
        <v>9578</v>
      </c>
      <c r="AE1417" s="74" t="s">
        <v>9579</v>
      </c>
    </row>
    <row r="1418" spans="1:31" ht="8.65" customHeight="1" x14ac:dyDescent="0.2">
      <c r="A1418" s="76">
        <v>1418</v>
      </c>
      <c r="B1418" s="67" t="str">
        <f>MID(C1418, FIND("Ifc.", C1418) + 4, 4) &amp; "_" &amp; TEXT(COUNTIF($C$2:C1418, C1418),"0000")</f>
        <v>Prop_1417</v>
      </c>
      <c r="C1418" s="24" t="s">
        <v>872</v>
      </c>
      <c r="D1418" s="69" t="s">
        <v>9453</v>
      </c>
      <c r="E1418" s="70" t="s">
        <v>9454</v>
      </c>
      <c r="F1418" s="17" t="s">
        <v>806</v>
      </c>
      <c r="G1418" s="22" t="s">
        <v>2505</v>
      </c>
      <c r="H1418" s="12" t="s">
        <v>9703</v>
      </c>
      <c r="I1418" s="13" t="s">
        <v>6826</v>
      </c>
      <c r="J1418" s="14" t="s">
        <v>798</v>
      </c>
      <c r="K1418" s="15" t="s">
        <v>798</v>
      </c>
      <c r="L1418" s="12" t="s">
        <v>5315</v>
      </c>
      <c r="M1418" s="13" t="s">
        <v>5577</v>
      </c>
      <c r="N1418" s="12" t="s">
        <v>803</v>
      </c>
      <c r="O1418" s="13" t="s">
        <v>5222</v>
      </c>
      <c r="P1418" s="17" t="s">
        <v>802</v>
      </c>
      <c r="Q1418" s="21" t="s">
        <v>7905</v>
      </c>
      <c r="R1418" s="17" t="s">
        <v>801</v>
      </c>
      <c r="S1418" s="18" t="s">
        <v>2621</v>
      </c>
      <c r="T1418" s="17" t="s">
        <v>800</v>
      </c>
      <c r="U1418" s="18" t="s">
        <v>5260</v>
      </c>
      <c r="V1418" s="17" t="s">
        <v>9418</v>
      </c>
      <c r="W1418" s="18" t="s">
        <v>5309</v>
      </c>
      <c r="X1418" s="69" t="s">
        <v>9453</v>
      </c>
      <c r="Y1418" s="70" t="s">
        <v>9462</v>
      </c>
      <c r="Z1418" s="73" t="s">
        <v>9486</v>
      </c>
      <c r="AA1418" s="74" t="s">
        <v>9504</v>
      </c>
      <c r="AB1418" s="73" t="s">
        <v>9486</v>
      </c>
      <c r="AC1418" s="74" t="s">
        <v>9566</v>
      </c>
      <c r="AD1418" s="73" t="s">
        <v>9578</v>
      </c>
      <c r="AE1418" s="74" t="s">
        <v>9579</v>
      </c>
    </row>
    <row r="1419" spans="1:31" ht="8.65" customHeight="1" x14ac:dyDescent="0.2">
      <c r="A1419" s="76">
        <v>1419</v>
      </c>
      <c r="B1419" s="67" t="str">
        <f>MID(C1419, FIND("Ifc.", C1419) + 4, 4) &amp; "_" &amp; TEXT(COUNTIF($C$2:C1419, C1419),"0000")</f>
        <v>Prop_1418</v>
      </c>
      <c r="C1419" s="24" t="s">
        <v>872</v>
      </c>
      <c r="D1419" s="69" t="s">
        <v>9453</v>
      </c>
      <c r="E1419" s="70" t="s">
        <v>9454</v>
      </c>
      <c r="F1419" s="17" t="s">
        <v>806</v>
      </c>
      <c r="G1419" s="22" t="s">
        <v>1084</v>
      </c>
      <c r="H1419" s="12" t="s">
        <v>9703</v>
      </c>
      <c r="I1419" s="13" t="s">
        <v>6144</v>
      </c>
      <c r="J1419" s="14" t="s">
        <v>798</v>
      </c>
      <c r="K1419" s="15" t="s">
        <v>798</v>
      </c>
      <c r="L1419" s="12" t="s">
        <v>5315</v>
      </c>
      <c r="M1419" s="13" t="s">
        <v>6035</v>
      </c>
      <c r="N1419" s="12" t="s">
        <v>803</v>
      </c>
      <c r="O1419" s="13" t="s">
        <v>4850</v>
      </c>
      <c r="P1419" s="17" t="s">
        <v>802</v>
      </c>
      <c r="Q1419" s="21" t="s">
        <v>7781</v>
      </c>
      <c r="R1419" s="17" t="s">
        <v>801</v>
      </c>
      <c r="S1419" s="18" t="s">
        <v>2554</v>
      </c>
      <c r="T1419" s="17" t="s">
        <v>800</v>
      </c>
      <c r="U1419" s="18" t="s">
        <v>5233</v>
      </c>
      <c r="V1419" s="17" t="s">
        <v>9418</v>
      </c>
      <c r="W1419" s="18" t="s">
        <v>5309</v>
      </c>
      <c r="X1419" s="69" t="s">
        <v>9453</v>
      </c>
      <c r="Y1419" s="70" t="s">
        <v>9462</v>
      </c>
      <c r="Z1419" s="73" t="s">
        <v>9486</v>
      </c>
      <c r="AA1419" s="74" t="s">
        <v>9504</v>
      </c>
      <c r="AB1419" s="73" t="s">
        <v>9486</v>
      </c>
      <c r="AC1419" s="74" t="s">
        <v>9562</v>
      </c>
      <c r="AD1419" s="73" t="s">
        <v>9578</v>
      </c>
      <c r="AE1419" s="74" t="s">
        <v>9579</v>
      </c>
    </row>
    <row r="1420" spans="1:31" ht="8.65" customHeight="1" x14ac:dyDescent="0.2">
      <c r="A1420" s="76">
        <v>1420</v>
      </c>
      <c r="B1420" s="67" t="str">
        <f>MID(C1420, FIND("Ifc.", C1420) + 4, 4) &amp; "_" &amp; TEXT(COUNTIF($C$2:C1420, C1420),"0000")</f>
        <v>Prop_1419</v>
      </c>
      <c r="C1420" s="24" t="s">
        <v>872</v>
      </c>
      <c r="D1420" s="69" t="s">
        <v>9453</v>
      </c>
      <c r="E1420" s="70" t="s">
        <v>9454</v>
      </c>
      <c r="F1420" s="17" t="s">
        <v>806</v>
      </c>
      <c r="G1420" s="22" t="s">
        <v>1214</v>
      </c>
      <c r="H1420" s="12" t="s">
        <v>9703</v>
      </c>
      <c r="I1420" s="13" t="s">
        <v>6489</v>
      </c>
      <c r="J1420" s="14" t="s">
        <v>798</v>
      </c>
      <c r="K1420" s="15" t="s">
        <v>798</v>
      </c>
      <c r="L1420" s="12" t="s">
        <v>5315</v>
      </c>
      <c r="M1420" s="13" t="s">
        <v>5821</v>
      </c>
      <c r="N1420" s="12" t="s">
        <v>803</v>
      </c>
      <c r="O1420" s="13" t="s">
        <v>4883</v>
      </c>
      <c r="P1420" s="17" t="s">
        <v>802</v>
      </c>
      <c r="Q1420" s="21" t="s">
        <v>7683</v>
      </c>
      <c r="R1420" s="17" t="s">
        <v>801</v>
      </c>
      <c r="S1420" s="18" t="s">
        <v>2621</v>
      </c>
      <c r="T1420" s="17" t="s">
        <v>800</v>
      </c>
      <c r="U1420" s="18" t="s">
        <v>5260</v>
      </c>
      <c r="V1420" s="17" t="s">
        <v>9418</v>
      </c>
      <c r="W1420" s="18" t="s">
        <v>5309</v>
      </c>
      <c r="X1420" s="69" t="s">
        <v>9453</v>
      </c>
      <c r="Y1420" s="70" t="s">
        <v>9462</v>
      </c>
      <c r="Z1420" s="73" t="s">
        <v>9486</v>
      </c>
      <c r="AA1420" s="74" t="s">
        <v>9504</v>
      </c>
      <c r="AB1420" s="73" t="s">
        <v>9486</v>
      </c>
      <c r="AC1420" s="74" t="s">
        <v>9566</v>
      </c>
      <c r="AD1420" s="73" t="s">
        <v>9578</v>
      </c>
      <c r="AE1420" s="74" t="s">
        <v>9579</v>
      </c>
    </row>
    <row r="1421" spans="1:31" ht="8.65" customHeight="1" x14ac:dyDescent="0.2">
      <c r="A1421" s="76">
        <v>1421</v>
      </c>
      <c r="B1421" s="67" t="str">
        <f>MID(C1421, FIND("Ifc.", C1421) + 4, 4) &amp; "_" &amp; TEXT(COUNTIF($C$2:C1421, C1421),"0000")</f>
        <v>Prop_1420</v>
      </c>
      <c r="C1421" s="24" t="s">
        <v>872</v>
      </c>
      <c r="D1421" s="69" t="s">
        <v>9453</v>
      </c>
      <c r="E1421" s="70" t="s">
        <v>9454</v>
      </c>
      <c r="F1421" s="17" t="s">
        <v>806</v>
      </c>
      <c r="G1421" s="22" t="s">
        <v>1214</v>
      </c>
      <c r="H1421" s="12" t="s">
        <v>9703</v>
      </c>
      <c r="I1421" s="13" t="s">
        <v>6489</v>
      </c>
      <c r="J1421" s="14" t="s">
        <v>798</v>
      </c>
      <c r="K1421" s="15" t="s">
        <v>798</v>
      </c>
      <c r="L1421" s="12" t="s">
        <v>5315</v>
      </c>
      <c r="M1421" s="13" t="s">
        <v>5783</v>
      </c>
      <c r="N1421" s="12" t="s">
        <v>803</v>
      </c>
      <c r="O1421" s="13" t="s">
        <v>5181</v>
      </c>
      <c r="P1421" s="17" t="s">
        <v>802</v>
      </c>
      <c r="Q1421" s="21" t="s">
        <v>7751</v>
      </c>
      <c r="R1421" s="17" t="s">
        <v>801</v>
      </c>
      <c r="S1421" s="18" t="s">
        <v>2621</v>
      </c>
      <c r="T1421" s="17" t="s">
        <v>800</v>
      </c>
      <c r="U1421" s="18" t="s">
        <v>5260</v>
      </c>
      <c r="V1421" s="17" t="s">
        <v>9418</v>
      </c>
      <c r="W1421" s="18" t="s">
        <v>5309</v>
      </c>
      <c r="X1421" s="69" t="s">
        <v>9453</v>
      </c>
      <c r="Y1421" s="70" t="s">
        <v>9462</v>
      </c>
      <c r="Z1421" s="73" t="s">
        <v>9486</v>
      </c>
      <c r="AA1421" s="74" t="s">
        <v>9504</v>
      </c>
      <c r="AB1421" s="73" t="s">
        <v>9486</v>
      </c>
      <c r="AC1421" s="74" t="s">
        <v>9566</v>
      </c>
      <c r="AD1421" s="73" t="s">
        <v>9578</v>
      </c>
      <c r="AE1421" s="74" t="s">
        <v>9579</v>
      </c>
    </row>
    <row r="1422" spans="1:31" ht="8.65" customHeight="1" x14ac:dyDescent="0.2">
      <c r="A1422" s="76">
        <v>1422</v>
      </c>
      <c r="B1422" s="67" t="str">
        <f>MID(C1422, FIND("Ifc.", C1422) + 4, 4) &amp; "_" &amp; TEXT(COUNTIF($C$2:C1422, C1422),"0000")</f>
        <v>Prop_1421</v>
      </c>
      <c r="C1422" s="24" t="s">
        <v>872</v>
      </c>
      <c r="D1422" s="69" t="s">
        <v>9453</v>
      </c>
      <c r="E1422" s="70" t="s">
        <v>9454</v>
      </c>
      <c r="F1422" s="17" t="s">
        <v>806</v>
      </c>
      <c r="G1422" s="22" t="s">
        <v>1058</v>
      </c>
      <c r="H1422" s="12" t="s">
        <v>9703</v>
      </c>
      <c r="I1422" s="13" t="s">
        <v>7122</v>
      </c>
      <c r="J1422" s="14" t="s">
        <v>798</v>
      </c>
      <c r="K1422" s="15" t="s">
        <v>798</v>
      </c>
      <c r="L1422" s="12" t="s">
        <v>5315</v>
      </c>
      <c r="M1422" s="13" t="s">
        <v>5779</v>
      </c>
      <c r="N1422" s="12" t="s">
        <v>803</v>
      </c>
      <c r="O1422" s="13" t="s">
        <v>4846</v>
      </c>
      <c r="P1422" s="17" t="s">
        <v>802</v>
      </c>
      <c r="Q1422" s="21" t="s">
        <v>7936</v>
      </c>
      <c r="R1422" s="17" t="s">
        <v>801</v>
      </c>
      <c r="S1422" s="18" t="s">
        <v>2621</v>
      </c>
      <c r="T1422" s="17" t="s">
        <v>800</v>
      </c>
      <c r="U1422" s="18" t="s">
        <v>5260</v>
      </c>
      <c r="V1422" s="17" t="s">
        <v>9418</v>
      </c>
      <c r="W1422" s="18" t="s">
        <v>5309</v>
      </c>
      <c r="X1422" s="69" t="s">
        <v>9453</v>
      </c>
      <c r="Y1422" s="70" t="s">
        <v>9462</v>
      </c>
      <c r="Z1422" s="73" t="s">
        <v>9486</v>
      </c>
      <c r="AA1422" s="74" t="s">
        <v>9504</v>
      </c>
      <c r="AB1422" s="73" t="s">
        <v>9486</v>
      </c>
      <c r="AC1422" s="74" t="s">
        <v>9566</v>
      </c>
      <c r="AD1422" s="73" t="s">
        <v>9578</v>
      </c>
      <c r="AE1422" s="74" t="s">
        <v>9579</v>
      </c>
    </row>
    <row r="1423" spans="1:31" ht="8.65" customHeight="1" x14ac:dyDescent="0.2">
      <c r="A1423" s="76">
        <v>1423</v>
      </c>
      <c r="B1423" s="67" t="str">
        <f>MID(C1423, FIND("Ifc.", C1423) + 4, 4) &amp; "_" &amp; TEXT(COUNTIF($C$2:C1423, C1423),"0000")</f>
        <v>Prop_1422</v>
      </c>
      <c r="C1423" s="24" t="s">
        <v>872</v>
      </c>
      <c r="D1423" s="69" t="s">
        <v>9453</v>
      </c>
      <c r="E1423" s="70" t="s">
        <v>9454</v>
      </c>
      <c r="F1423" s="17" t="s">
        <v>806</v>
      </c>
      <c r="G1423" s="22" t="s">
        <v>2381</v>
      </c>
      <c r="H1423" s="12" t="s">
        <v>9703</v>
      </c>
      <c r="I1423" s="13" t="s">
        <v>6762</v>
      </c>
      <c r="J1423" s="14" t="s">
        <v>798</v>
      </c>
      <c r="K1423" s="15" t="s">
        <v>798</v>
      </c>
      <c r="L1423" s="12" t="s">
        <v>5315</v>
      </c>
      <c r="M1423" s="13" t="s">
        <v>5783</v>
      </c>
      <c r="N1423" s="12" t="s">
        <v>803</v>
      </c>
      <c r="O1423" s="13" t="s">
        <v>5181</v>
      </c>
      <c r="P1423" s="17" t="s">
        <v>802</v>
      </c>
      <c r="Q1423" s="21" t="s">
        <v>7751</v>
      </c>
      <c r="R1423" s="17" t="s">
        <v>801</v>
      </c>
      <c r="S1423" s="18" t="s">
        <v>2621</v>
      </c>
      <c r="T1423" s="17" t="s">
        <v>800</v>
      </c>
      <c r="U1423" s="18" t="s">
        <v>5260</v>
      </c>
      <c r="V1423" s="17" t="s">
        <v>9418</v>
      </c>
      <c r="W1423" s="18" t="s">
        <v>5309</v>
      </c>
      <c r="X1423" s="69" t="s">
        <v>9453</v>
      </c>
      <c r="Y1423" s="70" t="s">
        <v>9462</v>
      </c>
      <c r="Z1423" s="73" t="s">
        <v>9486</v>
      </c>
      <c r="AA1423" s="74" t="s">
        <v>9504</v>
      </c>
      <c r="AB1423" s="73" t="s">
        <v>9486</v>
      </c>
      <c r="AC1423" s="74" t="s">
        <v>9566</v>
      </c>
      <c r="AD1423" s="73" t="s">
        <v>9578</v>
      </c>
      <c r="AE1423" s="74" t="s">
        <v>9579</v>
      </c>
    </row>
    <row r="1424" spans="1:31" ht="8.65" customHeight="1" x14ac:dyDescent="0.2">
      <c r="A1424" s="76">
        <v>1424</v>
      </c>
      <c r="B1424" s="67" t="str">
        <f>MID(C1424, FIND("Ifc.", C1424) + 4, 4) &amp; "_" &amp; TEXT(COUNTIF($C$2:C1424, C1424),"0000")</f>
        <v>Prop_1423</v>
      </c>
      <c r="C1424" s="24" t="s">
        <v>872</v>
      </c>
      <c r="D1424" s="69" t="s">
        <v>9453</v>
      </c>
      <c r="E1424" s="70" t="s">
        <v>9454</v>
      </c>
      <c r="F1424" s="17" t="s">
        <v>806</v>
      </c>
      <c r="G1424" s="22" t="s">
        <v>1012</v>
      </c>
      <c r="H1424" s="12" t="s">
        <v>9703</v>
      </c>
      <c r="I1424" s="13" t="s">
        <v>6117</v>
      </c>
      <c r="J1424" s="14" t="s">
        <v>798</v>
      </c>
      <c r="K1424" s="15" t="s">
        <v>798</v>
      </c>
      <c r="L1424" s="12" t="s">
        <v>5315</v>
      </c>
      <c r="M1424" s="13" t="s">
        <v>5376</v>
      </c>
      <c r="N1424" s="12" t="s">
        <v>803</v>
      </c>
      <c r="O1424" s="13" t="s">
        <v>4833</v>
      </c>
      <c r="P1424" s="17" t="s">
        <v>802</v>
      </c>
      <c r="Q1424" s="21" t="s">
        <v>7961</v>
      </c>
      <c r="R1424" s="17" t="s">
        <v>801</v>
      </c>
      <c r="S1424" s="18" t="s">
        <v>3636</v>
      </c>
      <c r="T1424" s="17" t="s">
        <v>800</v>
      </c>
      <c r="U1424" s="18" t="s">
        <v>5257</v>
      </c>
      <c r="V1424" s="17" t="s">
        <v>9418</v>
      </c>
      <c r="W1424" s="18" t="s">
        <v>5314</v>
      </c>
      <c r="X1424" s="69" t="s">
        <v>9453</v>
      </c>
      <c r="Y1424" s="70" t="s">
        <v>9464</v>
      </c>
      <c r="Z1424" s="73" t="s">
        <v>9486</v>
      </c>
      <c r="AA1424" s="74" t="s">
        <v>9504</v>
      </c>
      <c r="AB1424" s="73" t="s">
        <v>9486</v>
      </c>
      <c r="AC1424" s="74" t="s">
        <v>9561</v>
      </c>
      <c r="AD1424" s="73" t="s">
        <v>9578</v>
      </c>
      <c r="AE1424" s="74" t="s">
        <v>9579</v>
      </c>
    </row>
    <row r="1425" spans="1:31" ht="8.65" customHeight="1" x14ac:dyDescent="0.2">
      <c r="A1425" s="76">
        <v>1425</v>
      </c>
      <c r="B1425" s="67" t="str">
        <f>MID(C1425, FIND("Ifc.", C1425) + 4, 4) &amp; "_" &amp; TEXT(COUNTIF($C$2:C1425, C1425),"0000")</f>
        <v>Prop_1424</v>
      </c>
      <c r="C1425" s="24" t="s">
        <v>872</v>
      </c>
      <c r="D1425" s="69" t="s">
        <v>9453</v>
      </c>
      <c r="E1425" s="70" t="s">
        <v>9454</v>
      </c>
      <c r="F1425" s="17" t="s">
        <v>806</v>
      </c>
      <c r="G1425" s="22" t="s">
        <v>2506</v>
      </c>
      <c r="H1425" s="12" t="s">
        <v>9703</v>
      </c>
      <c r="I1425" s="13" t="s">
        <v>6827</v>
      </c>
      <c r="J1425" s="14" t="s">
        <v>798</v>
      </c>
      <c r="K1425" s="15" t="s">
        <v>798</v>
      </c>
      <c r="L1425" s="12" t="s">
        <v>5315</v>
      </c>
      <c r="M1425" s="13" t="s">
        <v>5577</v>
      </c>
      <c r="N1425" s="12" t="s">
        <v>803</v>
      </c>
      <c r="O1425" s="13" t="s">
        <v>5222</v>
      </c>
      <c r="P1425" s="17" t="s">
        <v>802</v>
      </c>
      <c r="Q1425" s="21" t="s">
        <v>7905</v>
      </c>
      <c r="R1425" s="17" t="s">
        <v>801</v>
      </c>
      <c r="S1425" s="18" t="s">
        <v>2621</v>
      </c>
      <c r="T1425" s="17" t="s">
        <v>800</v>
      </c>
      <c r="U1425" s="18" t="s">
        <v>5260</v>
      </c>
      <c r="V1425" s="17" t="s">
        <v>9418</v>
      </c>
      <c r="W1425" s="18" t="s">
        <v>5309</v>
      </c>
      <c r="X1425" s="69" t="s">
        <v>9453</v>
      </c>
      <c r="Y1425" s="70" t="s">
        <v>9462</v>
      </c>
      <c r="Z1425" s="73" t="s">
        <v>9486</v>
      </c>
      <c r="AA1425" s="74" t="s">
        <v>9504</v>
      </c>
      <c r="AB1425" s="73" t="s">
        <v>9486</v>
      </c>
      <c r="AC1425" s="74" t="s">
        <v>9566</v>
      </c>
      <c r="AD1425" s="73" t="s">
        <v>9578</v>
      </c>
      <c r="AE1425" s="74" t="s">
        <v>9579</v>
      </c>
    </row>
    <row r="1426" spans="1:31" ht="8.65" customHeight="1" x14ac:dyDescent="0.2">
      <c r="A1426" s="76">
        <v>1426</v>
      </c>
      <c r="B1426" s="67" t="str">
        <f>MID(C1426, FIND("Ifc.", C1426) + 4, 4) &amp; "_" &amp; TEXT(COUNTIF($C$2:C1426, C1426),"0000")</f>
        <v>Prop_1425</v>
      </c>
      <c r="C1426" s="24" t="s">
        <v>872</v>
      </c>
      <c r="D1426" s="69" t="s">
        <v>9453</v>
      </c>
      <c r="E1426" s="70" t="s">
        <v>9454</v>
      </c>
      <c r="F1426" s="17" t="s">
        <v>806</v>
      </c>
      <c r="G1426" s="22" t="s">
        <v>1333</v>
      </c>
      <c r="H1426" s="12" t="s">
        <v>9703</v>
      </c>
      <c r="I1426" s="13" t="s">
        <v>6193</v>
      </c>
      <c r="J1426" s="14" t="s">
        <v>798</v>
      </c>
      <c r="K1426" s="15" t="s">
        <v>798</v>
      </c>
      <c r="L1426" s="12" t="s">
        <v>5315</v>
      </c>
      <c r="M1426" s="13" t="s">
        <v>5979</v>
      </c>
      <c r="N1426" s="12" t="s">
        <v>803</v>
      </c>
      <c r="O1426" s="13" t="s">
        <v>5094</v>
      </c>
      <c r="P1426" s="17" t="s">
        <v>802</v>
      </c>
      <c r="Q1426" s="21" t="s">
        <v>7876</v>
      </c>
      <c r="R1426" s="17" t="s">
        <v>801</v>
      </c>
      <c r="S1426" s="18" t="s">
        <v>2621</v>
      </c>
      <c r="T1426" s="17" t="s">
        <v>800</v>
      </c>
      <c r="U1426" s="18" t="s">
        <v>5260</v>
      </c>
      <c r="V1426" s="17" t="s">
        <v>9418</v>
      </c>
      <c r="W1426" s="18" t="s">
        <v>5312</v>
      </c>
      <c r="X1426" s="69" t="s">
        <v>9453</v>
      </c>
      <c r="Y1426" s="70" t="s">
        <v>9465</v>
      </c>
      <c r="Z1426" s="73" t="s">
        <v>9486</v>
      </c>
      <c r="AA1426" s="74" t="s">
        <v>9504</v>
      </c>
      <c r="AB1426" s="73" t="s">
        <v>9486</v>
      </c>
      <c r="AC1426" s="74" t="s">
        <v>9566</v>
      </c>
      <c r="AD1426" s="73" t="s">
        <v>9578</v>
      </c>
      <c r="AE1426" s="74" t="s">
        <v>9579</v>
      </c>
    </row>
    <row r="1427" spans="1:31" ht="8.65" customHeight="1" x14ac:dyDescent="0.2">
      <c r="A1427" s="76">
        <v>1427</v>
      </c>
      <c r="B1427" s="67" t="str">
        <f>MID(C1427, FIND("Ifc.", C1427) + 4, 4) &amp; "_" &amp; TEXT(COUNTIF($C$2:C1427, C1427),"0000")</f>
        <v>Prop_1426</v>
      </c>
      <c r="C1427" s="24" t="s">
        <v>872</v>
      </c>
      <c r="D1427" s="69" t="s">
        <v>9453</v>
      </c>
      <c r="E1427" s="70" t="s">
        <v>9454</v>
      </c>
      <c r="F1427" s="17" t="s">
        <v>806</v>
      </c>
      <c r="G1427" s="22" t="s">
        <v>1333</v>
      </c>
      <c r="H1427" s="12" t="s">
        <v>9703</v>
      </c>
      <c r="I1427" s="13" t="s">
        <v>6193</v>
      </c>
      <c r="J1427" s="14" t="s">
        <v>798</v>
      </c>
      <c r="K1427" s="15" t="s">
        <v>798</v>
      </c>
      <c r="L1427" s="12" t="s">
        <v>5315</v>
      </c>
      <c r="M1427" s="13" t="s">
        <v>5825</v>
      </c>
      <c r="N1427" s="12" t="s">
        <v>803</v>
      </c>
      <c r="O1427" s="13" t="s">
        <v>4912</v>
      </c>
      <c r="P1427" s="17" t="s">
        <v>802</v>
      </c>
      <c r="Q1427" s="21" t="s">
        <v>7877</v>
      </c>
      <c r="R1427" s="17" t="s">
        <v>801</v>
      </c>
      <c r="S1427" s="18" t="s">
        <v>3636</v>
      </c>
      <c r="T1427" s="17" t="s">
        <v>800</v>
      </c>
      <c r="U1427" s="18" t="s">
        <v>5257</v>
      </c>
      <c r="V1427" s="17" t="s">
        <v>9418</v>
      </c>
      <c r="W1427" s="18" t="s">
        <v>5314</v>
      </c>
      <c r="X1427" s="69" t="s">
        <v>9453</v>
      </c>
      <c r="Y1427" s="70" t="s">
        <v>9464</v>
      </c>
      <c r="Z1427" s="73" t="s">
        <v>9486</v>
      </c>
      <c r="AA1427" s="74" t="s">
        <v>9504</v>
      </c>
      <c r="AB1427" s="73" t="s">
        <v>9486</v>
      </c>
      <c r="AC1427" s="74" t="s">
        <v>9561</v>
      </c>
      <c r="AD1427" s="73" t="s">
        <v>9578</v>
      </c>
      <c r="AE1427" s="74" t="s">
        <v>9579</v>
      </c>
    </row>
    <row r="1428" spans="1:31" ht="8.65" customHeight="1" x14ac:dyDescent="0.2">
      <c r="A1428" s="76">
        <v>1428</v>
      </c>
      <c r="B1428" s="67" t="str">
        <f>MID(C1428, FIND("Ifc.", C1428) + 4, 4) &amp; "_" &amp; TEXT(COUNTIF($C$2:C1428, C1428),"0000")</f>
        <v>Prop_1427</v>
      </c>
      <c r="C1428" s="24" t="s">
        <v>872</v>
      </c>
      <c r="D1428" s="69" t="s">
        <v>9453</v>
      </c>
      <c r="E1428" s="70" t="s">
        <v>9454</v>
      </c>
      <c r="F1428" s="17" t="s">
        <v>806</v>
      </c>
      <c r="G1428" s="22" t="s">
        <v>1333</v>
      </c>
      <c r="H1428" s="12" t="s">
        <v>9703</v>
      </c>
      <c r="I1428" s="13" t="s">
        <v>6193</v>
      </c>
      <c r="J1428" s="14" t="s">
        <v>798</v>
      </c>
      <c r="K1428" s="15" t="s">
        <v>798</v>
      </c>
      <c r="L1428" s="12" t="s">
        <v>5315</v>
      </c>
      <c r="M1428" s="13" t="s">
        <v>5847</v>
      </c>
      <c r="N1428" s="12" t="s">
        <v>803</v>
      </c>
      <c r="O1428" s="13" t="s">
        <v>4993</v>
      </c>
      <c r="P1428" s="17" t="s">
        <v>802</v>
      </c>
      <c r="Q1428" s="21" t="s">
        <v>7998</v>
      </c>
      <c r="R1428" s="17" t="s">
        <v>801</v>
      </c>
      <c r="S1428" s="18" t="s">
        <v>2621</v>
      </c>
      <c r="T1428" s="17" t="s">
        <v>800</v>
      </c>
      <c r="U1428" s="18" t="s">
        <v>5260</v>
      </c>
      <c r="V1428" s="17" t="s">
        <v>9418</v>
      </c>
      <c r="W1428" s="18" t="s">
        <v>5309</v>
      </c>
      <c r="X1428" s="69" t="s">
        <v>9453</v>
      </c>
      <c r="Y1428" s="70" t="s">
        <v>9462</v>
      </c>
      <c r="Z1428" s="73" t="s">
        <v>9486</v>
      </c>
      <c r="AA1428" s="74" t="s">
        <v>9504</v>
      </c>
      <c r="AB1428" s="73" t="s">
        <v>9486</v>
      </c>
      <c r="AC1428" s="74" t="s">
        <v>9566</v>
      </c>
      <c r="AD1428" s="73" t="s">
        <v>9578</v>
      </c>
      <c r="AE1428" s="74" t="s">
        <v>9579</v>
      </c>
    </row>
    <row r="1429" spans="1:31" ht="8.65" customHeight="1" x14ac:dyDescent="0.2">
      <c r="A1429" s="76">
        <v>1429</v>
      </c>
      <c r="B1429" s="67" t="str">
        <f>MID(C1429, FIND("Ifc.", C1429) + 4, 4) &amp; "_" &amp; TEXT(COUNTIF($C$2:C1429, C1429),"0000")</f>
        <v>Prop_1428</v>
      </c>
      <c r="C1429" s="24" t="s">
        <v>872</v>
      </c>
      <c r="D1429" s="69" t="s">
        <v>9453</v>
      </c>
      <c r="E1429" s="70" t="s">
        <v>9454</v>
      </c>
      <c r="F1429" s="17" t="s">
        <v>806</v>
      </c>
      <c r="G1429" s="22" t="s">
        <v>1333</v>
      </c>
      <c r="H1429" s="12" t="s">
        <v>9703</v>
      </c>
      <c r="I1429" s="13" t="s">
        <v>6193</v>
      </c>
      <c r="J1429" s="14" t="s">
        <v>798</v>
      </c>
      <c r="K1429" s="15" t="s">
        <v>798</v>
      </c>
      <c r="L1429" s="12" t="s">
        <v>5315</v>
      </c>
      <c r="M1429" s="13" t="s">
        <v>5413</v>
      </c>
      <c r="N1429" s="12" t="s">
        <v>803</v>
      </c>
      <c r="O1429" s="13" t="s">
        <v>4911</v>
      </c>
      <c r="P1429" s="17" t="s">
        <v>802</v>
      </c>
      <c r="Q1429" s="21" t="s">
        <v>7714</v>
      </c>
      <c r="R1429" s="17" t="s">
        <v>801</v>
      </c>
      <c r="S1429" s="18" t="s">
        <v>2621</v>
      </c>
      <c r="T1429" s="17" t="s">
        <v>800</v>
      </c>
      <c r="U1429" s="18" t="s">
        <v>5260</v>
      </c>
      <c r="V1429" s="17" t="s">
        <v>9418</v>
      </c>
      <c r="W1429" s="18" t="s">
        <v>5312</v>
      </c>
      <c r="X1429" s="69" t="s">
        <v>9453</v>
      </c>
      <c r="Y1429" s="70" t="s">
        <v>9465</v>
      </c>
      <c r="Z1429" s="73" t="s">
        <v>9486</v>
      </c>
      <c r="AA1429" s="74" t="s">
        <v>9504</v>
      </c>
      <c r="AB1429" s="73" t="s">
        <v>9486</v>
      </c>
      <c r="AC1429" s="74" t="s">
        <v>9566</v>
      </c>
      <c r="AD1429" s="73" t="s">
        <v>9578</v>
      </c>
      <c r="AE1429" s="74" t="s">
        <v>9579</v>
      </c>
    </row>
    <row r="1430" spans="1:31" ht="8.65" customHeight="1" x14ac:dyDescent="0.2">
      <c r="A1430" s="76">
        <v>1430</v>
      </c>
      <c r="B1430" s="67" t="str">
        <f>MID(C1430, FIND("Ifc.", C1430) + 4, 4) &amp; "_" &amp; TEXT(COUNTIF($C$2:C1430, C1430),"0000")</f>
        <v>Prop_1429</v>
      </c>
      <c r="C1430" s="24" t="s">
        <v>872</v>
      </c>
      <c r="D1430" s="69" t="s">
        <v>9453</v>
      </c>
      <c r="E1430" s="70" t="s">
        <v>9454</v>
      </c>
      <c r="F1430" s="17" t="s">
        <v>806</v>
      </c>
      <c r="G1430" s="22" t="s">
        <v>1333</v>
      </c>
      <c r="H1430" s="12" t="s">
        <v>9703</v>
      </c>
      <c r="I1430" s="13" t="s">
        <v>6193</v>
      </c>
      <c r="J1430" s="14" t="s">
        <v>798</v>
      </c>
      <c r="K1430" s="15" t="s">
        <v>798</v>
      </c>
      <c r="L1430" s="12" t="s">
        <v>5315</v>
      </c>
      <c r="M1430" s="13" t="s">
        <v>5861</v>
      </c>
      <c r="N1430" s="12" t="s">
        <v>803</v>
      </c>
      <c r="O1430" s="13" t="s">
        <v>5205</v>
      </c>
      <c r="P1430" s="17" t="s">
        <v>802</v>
      </c>
      <c r="Q1430" s="21" t="s">
        <v>8013</v>
      </c>
      <c r="R1430" s="17" t="s">
        <v>801</v>
      </c>
      <c r="S1430" s="18" t="s">
        <v>3636</v>
      </c>
      <c r="T1430" s="17" t="s">
        <v>800</v>
      </c>
      <c r="U1430" s="18" t="s">
        <v>5257</v>
      </c>
      <c r="V1430" s="17" t="s">
        <v>9418</v>
      </c>
      <c r="W1430" s="18" t="s">
        <v>5314</v>
      </c>
      <c r="X1430" s="69" t="s">
        <v>9453</v>
      </c>
      <c r="Y1430" s="70" t="s">
        <v>9464</v>
      </c>
      <c r="Z1430" s="73" t="s">
        <v>9486</v>
      </c>
      <c r="AA1430" s="74" t="s">
        <v>9504</v>
      </c>
      <c r="AB1430" s="73" t="s">
        <v>9486</v>
      </c>
      <c r="AC1430" s="74" t="s">
        <v>9561</v>
      </c>
      <c r="AD1430" s="73" t="s">
        <v>9578</v>
      </c>
      <c r="AE1430" s="74" t="s">
        <v>9579</v>
      </c>
    </row>
    <row r="1431" spans="1:31" ht="8.65" customHeight="1" x14ac:dyDescent="0.2">
      <c r="A1431" s="76">
        <v>1431</v>
      </c>
      <c r="B1431" s="67" t="str">
        <f>MID(C1431, FIND("Ifc.", C1431) + 4, 4) &amp; "_" &amp; TEXT(COUNTIF($C$2:C1431, C1431),"0000")</f>
        <v>Prop_1430</v>
      </c>
      <c r="C1431" s="24" t="s">
        <v>872</v>
      </c>
      <c r="D1431" s="69" t="s">
        <v>9453</v>
      </c>
      <c r="E1431" s="70" t="s">
        <v>9454</v>
      </c>
      <c r="F1431" s="17" t="s">
        <v>806</v>
      </c>
      <c r="G1431" s="22" t="s">
        <v>2176</v>
      </c>
      <c r="H1431" s="12" t="s">
        <v>9703</v>
      </c>
      <c r="I1431" s="13" t="s">
        <v>6940</v>
      </c>
      <c r="J1431" s="14" t="s">
        <v>798</v>
      </c>
      <c r="K1431" s="15" t="s">
        <v>798</v>
      </c>
      <c r="L1431" s="12" t="s">
        <v>5315</v>
      </c>
      <c r="M1431" s="13" t="s">
        <v>5503</v>
      </c>
      <c r="N1431" s="12" t="s">
        <v>803</v>
      </c>
      <c r="O1431" s="13" t="s">
        <v>5116</v>
      </c>
      <c r="P1431" s="17" t="s">
        <v>802</v>
      </c>
      <c r="Q1431" s="21" t="s">
        <v>7763</v>
      </c>
      <c r="R1431" s="17" t="s">
        <v>801</v>
      </c>
      <c r="S1431" s="18" t="s">
        <v>2560</v>
      </c>
      <c r="T1431" s="17" t="s">
        <v>800</v>
      </c>
      <c r="U1431" s="18" t="s">
        <v>5236</v>
      </c>
      <c r="V1431" s="17" t="s">
        <v>9418</v>
      </c>
      <c r="W1431" s="18" t="s">
        <v>5309</v>
      </c>
      <c r="X1431" s="69" t="s">
        <v>9453</v>
      </c>
      <c r="Y1431" s="70" t="s">
        <v>9462</v>
      </c>
      <c r="Z1431" s="73" t="s">
        <v>9486</v>
      </c>
      <c r="AA1431" s="74" t="s">
        <v>9504</v>
      </c>
      <c r="AB1431" s="73" t="s">
        <v>9486</v>
      </c>
      <c r="AC1431" s="74" t="s">
        <v>9562</v>
      </c>
      <c r="AD1431" s="73" t="s">
        <v>9578</v>
      </c>
      <c r="AE1431" s="74" t="s">
        <v>9579</v>
      </c>
    </row>
    <row r="1432" spans="1:31" ht="8.65" customHeight="1" x14ac:dyDescent="0.2">
      <c r="A1432" s="76">
        <v>1432</v>
      </c>
      <c r="B1432" s="67" t="str">
        <f>MID(C1432, FIND("Ifc.", C1432) + 4, 4) &amp; "_" &amp; TEXT(COUNTIF($C$2:C1432, C1432),"0000")</f>
        <v>Prop_1431</v>
      </c>
      <c r="C1432" s="24" t="s">
        <v>872</v>
      </c>
      <c r="D1432" s="69" t="s">
        <v>9453</v>
      </c>
      <c r="E1432" s="70" t="s">
        <v>9454</v>
      </c>
      <c r="F1432" s="17" t="s">
        <v>806</v>
      </c>
      <c r="G1432" s="22" t="s">
        <v>2348</v>
      </c>
      <c r="H1432" s="12" t="s">
        <v>9703</v>
      </c>
      <c r="I1432" s="13" t="s">
        <v>6738</v>
      </c>
      <c r="J1432" s="14" t="s">
        <v>798</v>
      </c>
      <c r="K1432" s="15" t="s">
        <v>798</v>
      </c>
      <c r="L1432" s="12" t="s">
        <v>5315</v>
      </c>
      <c r="M1432" s="13" t="s">
        <v>5561</v>
      </c>
      <c r="N1432" s="12" t="s">
        <v>803</v>
      </c>
      <c r="O1432" s="13" t="s">
        <v>5175</v>
      </c>
      <c r="P1432" s="17" t="s">
        <v>802</v>
      </c>
      <c r="Q1432" s="21" t="s">
        <v>8014</v>
      </c>
      <c r="R1432" s="17" t="s">
        <v>801</v>
      </c>
      <c r="S1432" s="18" t="s">
        <v>2585</v>
      </c>
      <c r="T1432" s="17" t="s">
        <v>800</v>
      </c>
      <c r="U1432" s="18" t="s">
        <v>5238</v>
      </c>
      <c r="V1432" s="17" t="s">
        <v>9418</v>
      </c>
      <c r="W1432" s="18" t="s">
        <v>5309</v>
      </c>
      <c r="X1432" s="69" t="s">
        <v>9453</v>
      </c>
      <c r="Y1432" s="70" t="s">
        <v>9462</v>
      </c>
      <c r="Z1432" s="73" t="s">
        <v>9486</v>
      </c>
      <c r="AA1432" s="74" t="s">
        <v>9504</v>
      </c>
      <c r="AB1432" s="73" t="s">
        <v>9486</v>
      </c>
      <c r="AC1432" s="74" t="s">
        <v>9566</v>
      </c>
      <c r="AD1432" s="73" t="s">
        <v>9578</v>
      </c>
      <c r="AE1432" s="74" t="s">
        <v>9579</v>
      </c>
    </row>
    <row r="1433" spans="1:31" ht="8.65" customHeight="1" x14ac:dyDescent="0.2">
      <c r="A1433" s="76">
        <v>1433</v>
      </c>
      <c r="B1433" s="67" t="str">
        <f>MID(C1433, FIND("Ifc.", C1433) + 4, 4) &amp; "_" &amp; TEXT(COUNTIF($C$2:C1433, C1433),"0000")</f>
        <v>Prop_1432</v>
      </c>
      <c r="C1433" s="24" t="s">
        <v>872</v>
      </c>
      <c r="D1433" s="69" t="s">
        <v>9453</v>
      </c>
      <c r="E1433" s="70" t="s">
        <v>9454</v>
      </c>
      <c r="F1433" s="17" t="s">
        <v>806</v>
      </c>
      <c r="G1433" s="22" t="s">
        <v>2348</v>
      </c>
      <c r="H1433" s="12" t="s">
        <v>9703</v>
      </c>
      <c r="I1433" s="13" t="s">
        <v>6738</v>
      </c>
      <c r="J1433" s="14" t="s">
        <v>798</v>
      </c>
      <c r="K1433" s="15" t="s">
        <v>798</v>
      </c>
      <c r="L1433" s="12" t="s">
        <v>5315</v>
      </c>
      <c r="M1433" s="13" t="s">
        <v>5560</v>
      </c>
      <c r="N1433" s="12" t="s">
        <v>803</v>
      </c>
      <c r="O1433" s="13" t="s">
        <v>5174</v>
      </c>
      <c r="P1433" s="17" t="s">
        <v>802</v>
      </c>
      <c r="Q1433" s="21" t="s">
        <v>7793</v>
      </c>
      <c r="R1433" s="17" t="s">
        <v>801</v>
      </c>
      <c r="S1433" s="18" t="s">
        <v>2585</v>
      </c>
      <c r="T1433" s="17" t="s">
        <v>800</v>
      </c>
      <c r="U1433" s="18" t="s">
        <v>5238</v>
      </c>
      <c r="V1433" s="17" t="s">
        <v>9418</v>
      </c>
      <c r="W1433" s="18" t="s">
        <v>5309</v>
      </c>
      <c r="X1433" s="69" t="s">
        <v>9453</v>
      </c>
      <c r="Y1433" s="70" t="s">
        <v>9462</v>
      </c>
      <c r="Z1433" s="73" t="s">
        <v>9486</v>
      </c>
      <c r="AA1433" s="74" t="s">
        <v>9504</v>
      </c>
      <c r="AB1433" s="73" t="s">
        <v>9486</v>
      </c>
      <c r="AC1433" s="74" t="s">
        <v>9566</v>
      </c>
      <c r="AD1433" s="73" t="s">
        <v>9578</v>
      </c>
      <c r="AE1433" s="74" t="s">
        <v>9579</v>
      </c>
    </row>
    <row r="1434" spans="1:31" ht="8.65" customHeight="1" x14ac:dyDescent="0.2">
      <c r="A1434" s="76">
        <v>1434</v>
      </c>
      <c r="B1434" s="67" t="str">
        <f>MID(C1434, FIND("Ifc.", C1434) + 4, 4) &amp; "_" &amp; TEXT(COUNTIF($C$2:C1434, C1434),"0000")</f>
        <v>Prop_1433</v>
      </c>
      <c r="C1434" s="24" t="s">
        <v>872</v>
      </c>
      <c r="D1434" s="69" t="s">
        <v>9453</v>
      </c>
      <c r="E1434" s="70" t="s">
        <v>9454</v>
      </c>
      <c r="F1434" s="17" t="s">
        <v>806</v>
      </c>
      <c r="G1434" s="22" t="s">
        <v>2317</v>
      </c>
      <c r="H1434" s="12" t="s">
        <v>9703</v>
      </c>
      <c r="I1434" s="13" t="s">
        <v>7576</v>
      </c>
      <c r="J1434" s="14" t="s">
        <v>798</v>
      </c>
      <c r="K1434" s="15" t="s">
        <v>798</v>
      </c>
      <c r="L1434" s="12" t="s">
        <v>5315</v>
      </c>
      <c r="M1434" s="13" t="s">
        <v>5557</v>
      </c>
      <c r="N1434" s="12" t="s">
        <v>803</v>
      </c>
      <c r="O1434" s="13" t="s">
        <v>5170</v>
      </c>
      <c r="P1434" s="17" t="s">
        <v>802</v>
      </c>
      <c r="Q1434" s="21" t="s">
        <v>7768</v>
      </c>
      <c r="R1434" s="17" t="s">
        <v>801</v>
      </c>
      <c r="S1434" s="18" t="s">
        <v>2554</v>
      </c>
      <c r="T1434" s="17" t="s">
        <v>800</v>
      </c>
      <c r="U1434" s="18" t="s">
        <v>5233</v>
      </c>
      <c r="V1434" s="17" t="s">
        <v>9418</v>
      </c>
      <c r="W1434" s="18" t="s">
        <v>5309</v>
      </c>
      <c r="X1434" s="69" t="s">
        <v>9453</v>
      </c>
      <c r="Y1434" s="70" t="s">
        <v>9462</v>
      </c>
      <c r="Z1434" s="73" t="s">
        <v>9486</v>
      </c>
      <c r="AA1434" s="74" t="s">
        <v>9504</v>
      </c>
      <c r="AB1434" s="73" t="s">
        <v>9486</v>
      </c>
      <c r="AC1434" s="74" t="s">
        <v>9562</v>
      </c>
      <c r="AD1434" s="73" t="s">
        <v>9578</v>
      </c>
      <c r="AE1434" s="74" t="s">
        <v>9579</v>
      </c>
    </row>
    <row r="1435" spans="1:31" ht="8.65" customHeight="1" x14ac:dyDescent="0.2">
      <c r="A1435" s="76">
        <v>1435</v>
      </c>
      <c r="B1435" s="67" t="str">
        <f>MID(C1435, FIND("Ifc.", C1435) + 4, 4) &amp; "_" &amp; TEXT(COUNTIF($C$2:C1435, C1435),"0000")</f>
        <v>Prop_1434</v>
      </c>
      <c r="C1435" s="24" t="s">
        <v>872</v>
      </c>
      <c r="D1435" s="69" t="s">
        <v>9453</v>
      </c>
      <c r="E1435" s="70" t="s">
        <v>9454</v>
      </c>
      <c r="F1435" s="17" t="s">
        <v>806</v>
      </c>
      <c r="G1435" s="22" t="s">
        <v>2332</v>
      </c>
      <c r="H1435" s="12" t="s">
        <v>9703</v>
      </c>
      <c r="I1435" s="13" t="s">
        <v>6731</v>
      </c>
      <c r="J1435" s="14" t="s">
        <v>798</v>
      </c>
      <c r="K1435" s="15" t="s">
        <v>798</v>
      </c>
      <c r="L1435" s="12" t="s">
        <v>5315</v>
      </c>
      <c r="M1435" s="13" t="s">
        <v>5557</v>
      </c>
      <c r="N1435" s="12" t="s">
        <v>803</v>
      </c>
      <c r="O1435" s="13" t="s">
        <v>5170</v>
      </c>
      <c r="P1435" s="17" t="s">
        <v>802</v>
      </c>
      <c r="Q1435" s="21" t="s">
        <v>7768</v>
      </c>
      <c r="R1435" s="17" t="s">
        <v>801</v>
      </c>
      <c r="S1435" s="18" t="s">
        <v>2565</v>
      </c>
      <c r="T1435" s="17" t="s">
        <v>800</v>
      </c>
      <c r="U1435" s="18" t="s">
        <v>5248</v>
      </c>
      <c r="V1435" s="17" t="s">
        <v>9418</v>
      </c>
      <c r="W1435" s="18" t="s">
        <v>5309</v>
      </c>
      <c r="X1435" s="69" t="s">
        <v>9453</v>
      </c>
      <c r="Y1435" s="70" t="s">
        <v>9462</v>
      </c>
      <c r="Z1435" s="73" t="s">
        <v>9486</v>
      </c>
      <c r="AA1435" s="74" t="s">
        <v>9504</v>
      </c>
      <c r="AB1435" s="73" t="s">
        <v>9486</v>
      </c>
      <c r="AC1435" s="74" t="s">
        <v>9562</v>
      </c>
      <c r="AD1435" s="73" t="s">
        <v>9578</v>
      </c>
      <c r="AE1435" s="74" t="s">
        <v>9579</v>
      </c>
    </row>
    <row r="1436" spans="1:31" ht="8.65" customHeight="1" x14ac:dyDescent="0.2">
      <c r="A1436" s="76">
        <v>1436</v>
      </c>
      <c r="B1436" s="67" t="str">
        <f>MID(C1436, FIND("Ifc.", C1436) + 4, 4) &amp; "_" &amp; TEXT(COUNTIF($C$2:C1436, C1436),"0000")</f>
        <v>Prop_1435</v>
      </c>
      <c r="C1436" s="24" t="s">
        <v>872</v>
      </c>
      <c r="D1436" s="69" t="s">
        <v>9453</v>
      </c>
      <c r="E1436" s="70" t="s">
        <v>9454</v>
      </c>
      <c r="F1436" s="17" t="s">
        <v>806</v>
      </c>
      <c r="G1436" s="22" t="s">
        <v>1750</v>
      </c>
      <c r="H1436" s="12" t="s">
        <v>9703</v>
      </c>
      <c r="I1436" s="13" t="s">
        <v>7579</v>
      </c>
      <c r="J1436" s="14" t="s">
        <v>798</v>
      </c>
      <c r="K1436" s="15" t="s">
        <v>798</v>
      </c>
      <c r="L1436" s="12" t="s">
        <v>5315</v>
      </c>
      <c r="M1436" s="13" t="s">
        <v>5932</v>
      </c>
      <c r="N1436" s="12" t="s">
        <v>803</v>
      </c>
      <c r="O1436" s="13" t="s">
        <v>5006</v>
      </c>
      <c r="P1436" s="17" t="s">
        <v>802</v>
      </c>
      <c r="Q1436" s="21" t="s">
        <v>7968</v>
      </c>
      <c r="R1436" s="17" t="s">
        <v>801</v>
      </c>
      <c r="S1436" s="18" t="s">
        <v>2554</v>
      </c>
      <c r="T1436" s="17" t="s">
        <v>800</v>
      </c>
      <c r="U1436" s="18" t="s">
        <v>5233</v>
      </c>
      <c r="V1436" s="17" t="s">
        <v>9418</v>
      </c>
      <c r="W1436" s="18" t="s">
        <v>5309</v>
      </c>
      <c r="X1436" s="69" t="s">
        <v>9453</v>
      </c>
      <c r="Y1436" s="70" t="s">
        <v>9462</v>
      </c>
      <c r="Z1436" s="73" t="s">
        <v>9486</v>
      </c>
      <c r="AA1436" s="74" t="s">
        <v>9504</v>
      </c>
      <c r="AB1436" s="73" t="s">
        <v>9486</v>
      </c>
      <c r="AC1436" s="74" t="s">
        <v>9562</v>
      </c>
      <c r="AD1436" s="73" t="s">
        <v>9578</v>
      </c>
      <c r="AE1436" s="74" t="s">
        <v>9579</v>
      </c>
    </row>
    <row r="1437" spans="1:31" ht="8.65" customHeight="1" x14ac:dyDescent="0.2">
      <c r="A1437" s="76">
        <v>1437</v>
      </c>
      <c r="B1437" s="67" t="str">
        <f>MID(C1437, FIND("Ifc.", C1437) + 4, 4) &amp; "_" &amp; TEXT(COUNTIF($C$2:C1437, C1437),"0000")</f>
        <v>Prop_1436</v>
      </c>
      <c r="C1437" s="24" t="s">
        <v>872</v>
      </c>
      <c r="D1437" s="69" t="s">
        <v>9453</v>
      </c>
      <c r="E1437" s="70" t="s">
        <v>9454</v>
      </c>
      <c r="F1437" s="17" t="s">
        <v>806</v>
      </c>
      <c r="G1437" s="22" t="s">
        <v>1975</v>
      </c>
      <c r="H1437" s="12" t="s">
        <v>9703</v>
      </c>
      <c r="I1437" s="13" t="s">
        <v>7577</v>
      </c>
      <c r="J1437" s="14" t="s">
        <v>798</v>
      </c>
      <c r="K1437" s="15" t="s">
        <v>798</v>
      </c>
      <c r="L1437" s="12" t="s">
        <v>5315</v>
      </c>
      <c r="M1437" s="13" t="s">
        <v>5854</v>
      </c>
      <c r="N1437" s="12" t="s">
        <v>803</v>
      </c>
      <c r="O1437" s="13" t="s">
        <v>5072</v>
      </c>
      <c r="P1437" s="17" t="s">
        <v>802</v>
      </c>
      <c r="Q1437" s="21" t="s">
        <v>7847</v>
      </c>
      <c r="R1437" s="17" t="s">
        <v>801</v>
      </c>
      <c r="S1437" s="18" t="s">
        <v>2669</v>
      </c>
      <c r="T1437" s="17" t="s">
        <v>800</v>
      </c>
      <c r="U1437" s="18" t="s">
        <v>5237</v>
      </c>
      <c r="V1437" s="17" t="s">
        <v>9418</v>
      </c>
      <c r="W1437" s="18" t="s">
        <v>5309</v>
      </c>
      <c r="X1437" s="69" t="s">
        <v>9453</v>
      </c>
      <c r="Y1437" s="70" t="s">
        <v>9462</v>
      </c>
      <c r="Z1437" s="73" t="s">
        <v>9486</v>
      </c>
      <c r="AA1437" s="74" t="s">
        <v>9504</v>
      </c>
      <c r="AB1437" s="73" t="s">
        <v>9486</v>
      </c>
      <c r="AC1437" s="74" t="s">
        <v>9562</v>
      </c>
      <c r="AD1437" s="73" t="s">
        <v>9578</v>
      </c>
      <c r="AE1437" s="74" t="s">
        <v>9579</v>
      </c>
    </row>
    <row r="1438" spans="1:31" ht="8.65" customHeight="1" x14ac:dyDescent="0.2">
      <c r="A1438" s="76">
        <v>1438</v>
      </c>
      <c r="B1438" s="67" t="str">
        <f>MID(C1438, FIND("Ifc.", C1438) + 4, 4) &amp; "_" &amp; TEXT(COUNTIF($C$2:C1438, C1438),"0000")</f>
        <v>Prop_1437</v>
      </c>
      <c r="C1438" s="24" t="s">
        <v>872</v>
      </c>
      <c r="D1438" s="69" t="s">
        <v>9453</v>
      </c>
      <c r="E1438" s="70" t="s">
        <v>9454</v>
      </c>
      <c r="F1438" s="17" t="s">
        <v>806</v>
      </c>
      <c r="G1438" s="22" t="s">
        <v>1975</v>
      </c>
      <c r="H1438" s="12" t="s">
        <v>9703</v>
      </c>
      <c r="I1438" s="13" t="s">
        <v>7577</v>
      </c>
      <c r="J1438" s="14" t="s">
        <v>798</v>
      </c>
      <c r="K1438" s="15" t="s">
        <v>798</v>
      </c>
      <c r="L1438" s="12" t="s">
        <v>5315</v>
      </c>
      <c r="M1438" s="13" t="s">
        <v>5475</v>
      </c>
      <c r="N1438" s="12" t="s">
        <v>803</v>
      </c>
      <c r="O1438" s="13" t="s">
        <v>5074</v>
      </c>
      <c r="P1438" s="17" t="s">
        <v>802</v>
      </c>
      <c r="Q1438" s="21" t="s">
        <v>7848</v>
      </c>
      <c r="R1438" s="17" t="s">
        <v>801</v>
      </c>
      <c r="S1438" s="18" t="s">
        <v>2669</v>
      </c>
      <c r="T1438" s="17" t="s">
        <v>800</v>
      </c>
      <c r="U1438" s="18" t="s">
        <v>5237</v>
      </c>
      <c r="V1438" s="17" t="s">
        <v>9418</v>
      </c>
      <c r="W1438" s="18" t="s">
        <v>5309</v>
      </c>
      <c r="X1438" s="69" t="s">
        <v>9453</v>
      </c>
      <c r="Y1438" s="70" t="s">
        <v>9462</v>
      </c>
      <c r="Z1438" s="73" t="s">
        <v>9486</v>
      </c>
      <c r="AA1438" s="74" t="s">
        <v>9504</v>
      </c>
      <c r="AB1438" s="73" t="s">
        <v>9486</v>
      </c>
      <c r="AC1438" s="74" t="s">
        <v>9562</v>
      </c>
      <c r="AD1438" s="73" t="s">
        <v>9578</v>
      </c>
      <c r="AE1438" s="74" t="s">
        <v>9579</v>
      </c>
    </row>
    <row r="1439" spans="1:31" ht="8.65" customHeight="1" x14ac:dyDescent="0.2">
      <c r="A1439" s="76">
        <v>1439</v>
      </c>
      <c r="B1439" s="67" t="str">
        <f>MID(C1439, FIND("Ifc.", C1439) + 4, 4) &amp; "_" &amp; TEXT(COUNTIF($C$2:C1439, C1439),"0000")</f>
        <v>Prop_1438</v>
      </c>
      <c r="C1439" s="24" t="s">
        <v>872</v>
      </c>
      <c r="D1439" s="69" t="s">
        <v>9453</v>
      </c>
      <c r="E1439" s="70" t="s">
        <v>9454</v>
      </c>
      <c r="F1439" s="17" t="s">
        <v>806</v>
      </c>
      <c r="G1439" s="22" t="s">
        <v>1425</v>
      </c>
      <c r="H1439" s="12" t="s">
        <v>9703</v>
      </c>
      <c r="I1439" s="13" t="s">
        <v>7578</v>
      </c>
      <c r="J1439" s="14" t="s">
        <v>798</v>
      </c>
      <c r="K1439" s="15" t="s">
        <v>798</v>
      </c>
      <c r="L1439" s="12" t="s">
        <v>5315</v>
      </c>
      <c r="M1439" s="13" t="s">
        <v>6032</v>
      </c>
      <c r="N1439" s="12" t="s">
        <v>803</v>
      </c>
      <c r="O1439" s="13" t="s">
        <v>4933</v>
      </c>
      <c r="P1439" s="17" t="s">
        <v>802</v>
      </c>
      <c r="Q1439" s="21" t="s">
        <v>7917</v>
      </c>
      <c r="R1439" s="17" t="s">
        <v>801</v>
      </c>
      <c r="S1439" s="18" t="s">
        <v>2559</v>
      </c>
      <c r="T1439" s="17" t="s">
        <v>800</v>
      </c>
      <c r="U1439" s="18" t="s">
        <v>5234</v>
      </c>
      <c r="V1439" s="17" t="s">
        <v>9418</v>
      </c>
      <c r="W1439" s="18" t="s">
        <v>5309</v>
      </c>
      <c r="X1439" s="69" t="s">
        <v>9453</v>
      </c>
      <c r="Y1439" s="70" t="s">
        <v>9462</v>
      </c>
      <c r="Z1439" s="73" t="s">
        <v>9486</v>
      </c>
      <c r="AA1439" s="74" t="s">
        <v>9504</v>
      </c>
      <c r="AB1439" s="73" t="s">
        <v>9486</v>
      </c>
      <c r="AC1439" s="74" t="s">
        <v>9562</v>
      </c>
      <c r="AD1439" s="73" t="s">
        <v>9578</v>
      </c>
      <c r="AE1439" s="74" t="s">
        <v>9579</v>
      </c>
    </row>
    <row r="1440" spans="1:31" ht="8.65" customHeight="1" x14ac:dyDescent="0.2">
      <c r="A1440" s="76">
        <v>1440</v>
      </c>
      <c r="B1440" s="67" t="str">
        <f>MID(C1440, FIND("Ifc.", C1440) + 4, 4) &amp; "_" &amp; TEXT(COUNTIF($C$2:C1440, C1440),"0000")</f>
        <v>Prop_1439</v>
      </c>
      <c r="C1440" s="24" t="s">
        <v>872</v>
      </c>
      <c r="D1440" s="69" t="s">
        <v>9453</v>
      </c>
      <c r="E1440" s="70" t="s">
        <v>9454</v>
      </c>
      <c r="F1440" s="17" t="s">
        <v>806</v>
      </c>
      <c r="G1440" s="22" t="s">
        <v>2395</v>
      </c>
      <c r="H1440" s="12" t="s">
        <v>9703</v>
      </c>
      <c r="I1440" s="13" t="s">
        <v>7307</v>
      </c>
      <c r="J1440" s="14" t="s">
        <v>798</v>
      </c>
      <c r="K1440" s="15" t="s">
        <v>798</v>
      </c>
      <c r="L1440" s="12" t="s">
        <v>5315</v>
      </c>
      <c r="M1440" s="13" t="s">
        <v>5789</v>
      </c>
      <c r="N1440" s="12" t="s">
        <v>803</v>
      </c>
      <c r="O1440" s="13" t="s">
        <v>5187</v>
      </c>
      <c r="P1440" s="17" t="s">
        <v>802</v>
      </c>
      <c r="Q1440" s="21" t="s">
        <v>7861</v>
      </c>
      <c r="R1440" s="17" t="s">
        <v>801</v>
      </c>
      <c r="S1440" s="18" t="s">
        <v>2585</v>
      </c>
      <c r="T1440" s="17" t="s">
        <v>800</v>
      </c>
      <c r="U1440" s="18" t="s">
        <v>5238</v>
      </c>
      <c r="V1440" s="17" t="s">
        <v>9418</v>
      </c>
      <c r="W1440" s="18" t="s">
        <v>5309</v>
      </c>
      <c r="X1440" s="69" t="s">
        <v>9453</v>
      </c>
      <c r="Y1440" s="70" t="s">
        <v>9462</v>
      </c>
      <c r="Z1440" s="73" t="s">
        <v>9486</v>
      </c>
      <c r="AA1440" s="74" t="s">
        <v>9504</v>
      </c>
      <c r="AB1440" s="73" t="s">
        <v>9486</v>
      </c>
      <c r="AC1440" s="74" t="s">
        <v>9566</v>
      </c>
      <c r="AD1440" s="73" t="s">
        <v>9578</v>
      </c>
      <c r="AE1440" s="74" t="s">
        <v>9579</v>
      </c>
    </row>
    <row r="1441" spans="1:31" ht="8.65" customHeight="1" x14ac:dyDescent="0.2">
      <c r="A1441" s="76">
        <v>1441</v>
      </c>
      <c r="B1441" s="67" t="str">
        <f>MID(C1441, FIND("Ifc.", C1441) + 4, 4) &amp; "_" &amp; TEXT(COUNTIF($C$2:C1441, C1441),"0000")</f>
        <v>Prop_1440</v>
      </c>
      <c r="C1441" s="24" t="s">
        <v>872</v>
      </c>
      <c r="D1441" s="69" t="s">
        <v>9453</v>
      </c>
      <c r="E1441" s="70" t="s">
        <v>9454</v>
      </c>
      <c r="F1441" s="17" t="s">
        <v>806</v>
      </c>
      <c r="G1441" s="22" t="s">
        <v>2212</v>
      </c>
      <c r="H1441" s="12" t="s">
        <v>9703</v>
      </c>
      <c r="I1441" s="13" t="s">
        <v>7310</v>
      </c>
      <c r="J1441" s="14" t="s">
        <v>798</v>
      </c>
      <c r="K1441" s="15" t="s">
        <v>798</v>
      </c>
      <c r="L1441" s="12" t="s">
        <v>5315</v>
      </c>
      <c r="M1441" s="13" t="s">
        <v>5508</v>
      </c>
      <c r="N1441" s="12" t="s">
        <v>803</v>
      </c>
      <c r="O1441" s="13" t="s">
        <v>5121</v>
      </c>
      <c r="P1441" s="17" t="s">
        <v>802</v>
      </c>
      <c r="Q1441" s="21" t="s">
        <v>7702</v>
      </c>
      <c r="R1441" s="17" t="s">
        <v>801</v>
      </c>
      <c r="S1441" s="18" t="s">
        <v>2585</v>
      </c>
      <c r="T1441" s="17" t="s">
        <v>800</v>
      </c>
      <c r="U1441" s="18" t="s">
        <v>5238</v>
      </c>
      <c r="V1441" s="17" t="s">
        <v>9418</v>
      </c>
      <c r="W1441" s="18" t="s">
        <v>5309</v>
      </c>
      <c r="X1441" s="69" t="s">
        <v>9453</v>
      </c>
      <c r="Y1441" s="70" t="s">
        <v>9462</v>
      </c>
      <c r="Z1441" s="73" t="s">
        <v>9486</v>
      </c>
      <c r="AA1441" s="74" t="s">
        <v>9504</v>
      </c>
      <c r="AB1441" s="73" t="s">
        <v>9486</v>
      </c>
      <c r="AC1441" s="74" t="s">
        <v>9566</v>
      </c>
      <c r="AD1441" s="73" t="s">
        <v>9578</v>
      </c>
      <c r="AE1441" s="74" t="s">
        <v>9579</v>
      </c>
    </row>
    <row r="1442" spans="1:31" ht="8.65" customHeight="1" x14ac:dyDescent="0.2">
      <c r="A1442" s="76">
        <v>1442</v>
      </c>
      <c r="B1442" s="67" t="str">
        <f>MID(C1442, FIND("Ifc.", C1442) + 4, 4) &amp; "_" &amp; TEXT(COUNTIF($C$2:C1442, C1442),"0000")</f>
        <v>Prop_1441</v>
      </c>
      <c r="C1442" s="24" t="s">
        <v>872</v>
      </c>
      <c r="D1442" s="69" t="s">
        <v>9453</v>
      </c>
      <c r="E1442" s="70" t="s">
        <v>9454</v>
      </c>
      <c r="F1442" s="17" t="s">
        <v>806</v>
      </c>
      <c r="G1442" s="22" t="s">
        <v>2215</v>
      </c>
      <c r="H1442" s="12" t="s">
        <v>9703</v>
      </c>
      <c r="I1442" s="13" t="s">
        <v>7310</v>
      </c>
      <c r="J1442" s="14" t="s">
        <v>798</v>
      </c>
      <c r="K1442" s="15" t="s">
        <v>798</v>
      </c>
      <c r="L1442" s="12" t="s">
        <v>5315</v>
      </c>
      <c r="M1442" s="13" t="s">
        <v>5508</v>
      </c>
      <c r="N1442" s="12" t="s">
        <v>803</v>
      </c>
      <c r="O1442" s="13" t="s">
        <v>5121</v>
      </c>
      <c r="P1442" s="17" t="s">
        <v>802</v>
      </c>
      <c r="Q1442" s="21" t="s">
        <v>7702</v>
      </c>
      <c r="R1442" s="17" t="s">
        <v>801</v>
      </c>
      <c r="S1442" s="18" t="s">
        <v>2585</v>
      </c>
      <c r="T1442" s="17" t="s">
        <v>800</v>
      </c>
      <c r="U1442" s="18" t="s">
        <v>5238</v>
      </c>
      <c r="V1442" s="17" t="s">
        <v>9418</v>
      </c>
      <c r="W1442" s="18" t="s">
        <v>5309</v>
      </c>
      <c r="X1442" s="69" t="s">
        <v>9453</v>
      </c>
      <c r="Y1442" s="70" t="s">
        <v>9462</v>
      </c>
      <c r="Z1442" s="73" t="s">
        <v>9486</v>
      </c>
      <c r="AA1442" s="74" t="s">
        <v>9504</v>
      </c>
      <c r="AB1442" s="73" t="s">
        <v>9486</v>
      </c>
      <c r="AC1442" s="74" t="s">
        <v>9566</v>
      </c>
      <c r="AD1442" s="73" t="s">
        <v>9578</v>
      </c>
      <c r="AE1442" s="74" t="s">
        <v>9579</v>
      </c>
    </row>
    <row r="1443" spans="1:31" ht="8.65" customHeight="1" x14ac:dyDescent="0.2">
      <c r="A1443" s="76">
        <v>1443</v>
      </c>
      <c r="B1443" s="67" t="str">
        <f>MID(C1443, FIND("Ifc.", C1443) + 4, 4) &amp; "_" &amp; TEXT(COUNTIF($C$2:C1443, C1443),"0000")</f>
        <v>Prop_1442</v>
      </c>
      <c r="C1443" s="24" t="s">
        <v>872</v>
      </c>
      <c r="D1443" s="69" t="s">
        <v>9453</v>
      </c>
      <c r="E1443" s="70" t="s">
        <v>9454</v>
      </c>
      <c r="F1443" s="17" t="s">
        <v>806</v>
      </c>
      <c r="G1443" s="22" t="s">
        <v>1408</v>
      </c>
      <c r="H1443" s="12" t="s">
        <v>9703</v>
      </c>
      <c r="I1443" s="13" t="s">
        <v>7166</v>
      </c>
      <c r="J1443" s="14" t="s">
        <v>798</v>
      </c>
      <c r="K1443" s="15" t="s">
        <v>798</v>
      </c>
      <c r="L1443" s="12" t="s">
        <v>5315</v>
      </c>
      <c r="M1443" s="13" t="s">
        <v>6054</v>
      </c>
      <c r="N1443" s="12" t="s">
        <v>803</v>
      </c>
      <c r="O1443" s="13" t="s">
        <v>4927</v>
      </c>
      <c r="P1443" s="17" t="s">
        <v>802</v>
      </c>
      <c r="Q1443" s="21" t="s">
        <v>7686</v>
      </c>
      <c r="R1443" s="17" t="s">
        <v>801</v>
      </c>
      <c r="S1443" s="18" t="s">
        <v>2585</v>
      </c>
      <c r="T1443" s="17" t="s">
        <v>800</v>
      </c>
      <c r="U1443" s="18" t="s">
        <v>5238</v>
      </c>
      <c r="V1443" s="17" t="s">
        <v>9418</v>
      </c>
      <c r="W1443" s="18" t="s">
        <v>5309</v>
      </c>
      <c r="X1443" s="69" t="s">
        <v>9453</v>
      </c>
      <c r="Y1443" s="70" t="s">
        <v>9462</v>
      </c>
      <c r="Z1443" s="73" t="s">
        <v>9486</v>
      </c>
      <c r="AA1443" s="74" t="s">
        <v>9504</v>
      </c>
      <c r="AB1443" s="73" t="s">
        <v>9486</v>
      </c>
      <c r="AC1443" s="74" t="s">
        <v>9566</v>
      </c>
      <c r="AD1443" s="73" t="s">
        <v>9578</v>
      </c>
      <c r="AE1443" s="74" t="s">
        <v>9579</v>
      </c>
    </row>
    <row r="1444" spans="1:31" ht="8.65" customHeight="1" x14ac:dyDescent="0.2">
      <c r="A1444" s="76">
        <v>1444</v>
      </c>
      <c r="B1444" s="67" t="str">
        <f>MID(C1444, FIND("Ifc.", C1444) + 4, 4) &amp; "_" &amp; TEXT(COUNTIF($C$2:C1444, C1444),"0000")</f>
        <v>Prop_1443</v>
      </c>
      <c r="C1444" s="24" t="s">
        <v>872</v>
      </c>
      <c r="D1444" s="69" t="s">
        <v>9453</v>
      </c>
      <c r="E1444" s="70" t="s">
        <v>9454</v>
      </c>
      <c r="F1444" s="17" t="s">
        <v>806</v>
      </c>
      <c r="G1444" s="22" t="s">
        <v>1408</v>
      </c>
      <c r="H1444" s="12" t="s">
        <v>9703</v>
      </c>
      <c r="I1444" s="13" t="s">
        <v>7166</v>
      </c>
      <c r="J1444" s="14" t="s">
        <v>798</v>
      </c>
      <c r="K1444" s="15" t="s">
        <v>798</v>
      </c>
      <c r="L1444" s="12" t="s">
        <v>5315</v>
      </c>
      <c r="M1444" s="13" t="s">
        <v>6059</v>
      </c>
      <c r="N1444" s="12" t="s">
        <v>803</v>
      </c>
      <c r="O1444" s="13" t="s">
        <v>4928</v>
      </c>
      <c r="P1444" s="17" t="s">
        <v>802</v>
      </c>
      <c r="Q1444" s="21" t="s">
        <v>7706</v>
      </c>
      <c r="R1444" s="17" t="s">
        <v>801</v>
      </c>
      <c r="S1444" s="18" t="s">
        <v>2585</v>
      </c>
      <c r="T1444" s="17" t="s">
        <v>800</v>
      </c>
      <c r="U1444" s="18" t="s">
        <v>5238</v>
      </c>
      <c r="V1444" s="17" t="s">
        <v>9418</v>
      </c>
      <c r="W1444" s="18" t="s">
        <v>5309</v>
      </c>
      <c r="X1444" s="69" t="s">
        <v>9453</v>
      </c>
      <c r="Y1444" s="70" t="s">
        <v>9462</v>
      </c>
      <c r="Z1444" s="73" t="s">
        <v>9486</v>
      </c>
      <c r="AA1444" s="74" t="s">
        <v>9504</v>
      </c>
      <c r="AB1444" s="73" t="s">
        <v>9486</v>
      </c>
      <c r="AC1444" s="74" t="s">
        <v>9566</v>
      </c>
      <c r="AD1444" s="73" t="s">
        <v>9578</v>
      </c>
      <c r="AE1444" s="74" t="s">
        <v>9579</v>
      </c>
    </row>
    <row r="1445" spans="1:31" ht="8.65" customHeight="1" x14ac:dyDescent="0.2">
      <c r="A1445" s="76">
        <v>1445</v>
      </c>
      <c r="B1445" s="67" t="str">
        <f>MID(C1445, FIND("Ifc.", C1445) + 4, 4) &amp; "_" &amp; TEXT(COUNTIF($C$2:C1445, C1445),"0000")</f>
        <v>Prop_1444</v>
      </c>
      <c r="C1445" s="24" t="s">
        <v>872</v>
      </c>
      <c r="D1445" s="69" t="s">
        <v>9453</v>
      </c>
      <c r="E1445" s="70" t="s">
        <v>9454</v>
      </c>
      <c r="F1445" s="17" t="s">
        <v>806</v>
      </c>
      <c r="G1445" s="22" t="s">
        <v>1407</v>
      </c>
      <c r="H1445" s="12" t="s">
        <v>9703</v>
      </c>
      <c r="I1445" s="13" t="s">
        <v>7165</v>
      </c>
      <c r="J1445" s="14" t="s">
        <v>798</v>
      </c>
      <c r="K1445" s="15" t="s">
        <v>798</v>
      </c>
      <c r="L1445" s="12" t="s">
        <v>5315</v>
      </c>
      <c r="M1445" s="13" t="s">
        <v>6054</v>
      </c>
      <c r="N1445" s="12" t="s">
        <v>803</v>
      </c>
      <c r="O1445" s="13" t="s">
        <v>4927</v>
      </c>
      <c r="P1445" s="17" t="s">
        <v>802</v>
      </c>
      <c r="Q1445" s="21" t="s">
        <v>7686</v>
      </c>
      <c r="R1445" s="17" t="s">
        <v>801</v>
      </c>
      <c r="S1445" s="18" t="s">
        <v>2585</v>
      </c>
      <c r="T1445" s="17" t="s">
        <v>800</v>
      </c>
      <c r="U1445" s="18" t="s">
        <v>5238</v>
      </c>
      <c r="V1445" s="17" t="s">
        <v>9418</v>
      </c>
      <c r="W1445" s="18" t="s">
        <v>5309</v>
      </c>
      <c r="X1445" s="69" t="s">
        <v>9453</v>
      </c>
      <c r="Y1445" s="70" t="s">
        <v>9462</v>
      </c>
      <c r="Z1445" s="73" t="s">
        <v>9486</v>
      </c>
      <c r="AA1445" s="74" t="s">
        <v>9504</v>
      </c>
      <c r="AB1445" s="73" t="s">
        <v>9486</v>
      </c>
      <c r="AC1445" s="74" t="s">
        <v>9566</v>
      </c>
      <c r="AD1445" s="73" t="s">
        <v>9578</v>
      </c>
      <c r="AE1445" s="74" t="s">
        <v>9579</v>
      </c>
    </row>
    <row r="1446" spans="1:31" ht="8.65" customHeight="1" x14ac:dyDescent="0.2">
      <c r="A1446" s="76">
        <v>1446</v>
      </c>
      <c r="B1446" s="67" t="str">
        <f>MID(C1446, FIND("Ifc.", C1446) + 4, 4) &amp; "_" &amp; TEXT(COUNTIF($C$2:C1446, C1446),"0000")</f>
        <v>Prop_1445</v>
      </c>
      <c r="C1446" s="24" t="s">
        <v>872</v>
      </c>
      <c r="D1446" s="69" t="s">
        <v>9453</v>
      </c>
      <c r="E1446" s="70" t="s">
        <v>9454</v>
      </c>
      <c r="F1446" s="17" t="s">
        <v>806</v>
      </c>
      <c r="G1446" s="22" t="s">
        <v>1407</v>
      </c>
      <c r="H1446" s="12" t="s">
        <v>9703</v>
      </c>
      <c r="I1446" s="13" t="s">
        <v>7165</v>
      </c>
      <c r="J1446" s="14" t="s">
        <v>798</v>
      </c>
      <c r="K1446" s="15" t="s">
        <v>798</v>
      </c>
      <c r="L1446" s="12" t="s">
        <v>5315</v>
      </c>
      <c r="M1446" s="13" t="s">
        <v>6059</v>
      </c>
      <c r="N1446" s="12" t="s">
        <v>803</v>
      </c>
      <c r="O1446" s="13" t="s">
        <v>4928</v>
      </c>
      <c r="P1446" s="17" t="s">
        <v>802</v>
      </c>
      <c r="Q1446" s="21" t="s">
        <v>7706</v>
      </c>
      <c r="R1446" s="17" t="s">
        <v>801</v>
      </c>
      <c r="S1446" s="18" t="s">
        <v>2585</v>
      </c>
      <c r="T1446" s="17" t="s">
        <v>800</v>
      </c>
      <c r="U1446" s="18" t="s">
        <v>5238</v>
      </c>
      <c r="V1446" s="17" t="s">
        <v>9418</v>
      </c>
      <c r="W1446" s="18" t="s">
        <v>5309</v>
      </c>
      <c r="X1446" s="69" t="s">
        <v>9453</v>
      </c>
      <c r="Y1446" s="70" t="s">
        <v>9462</v>
      </c>
      <c r="Z1446" s="73" t="s">
        <v>9486</v>
      </c>
      <c r="AA1446" s="74" t="s">
        <v>9504</v>
      </c>
      <c r="AB1446" s="73" t="s">
        <v>9486</v>
      </c>
      <c r="AC1446" s="74" t="s">
        <v>9566</v>
      </c>
      <c r="AD1446" s="73" t="s">
        <v>9578</v>
      </c>
      <c r="AE1446" s="74" t="s">
        <v>9579</v>
      </c>
    </row>
    <row r="1447" spans="1:31" ht="8.65" customHeight="1" x14ac:dyDescent="0.2">
      <c r="A1447" s="76">
        <v>1447</v>
      </c>
      <c r="B1447" s="67" t="str">
        <f>MID(C1447, FIND("Ifc.", C1447) + 4, 4) &amp; "_" &amp; TEXT(COUNTIF($C$2:C1447, C1447),"0000")</f>
        <v>Prop_1446</v>
      </c>
      <c r="C1447" s="24" t="s">
        <v>872</v>
      </c>
      <c r="D1447" s="69" t="s">
        <v>9453</v>
      </c>
      <c r="E1447" s="70" t="s">
        <v>9454</v>
      </c>
      <c r="F1447" s="17" t="s">
        <v>806</v>
      </c>
      <c r="G1447" s="22" t="s">
        <v>1406</v>
      </c>
      <c r="H1447" s="12" t="s">
        <v>9703</v>
      </c>
      <c r="I1447" s="13" t="s">
        <v>7161</v>
      </c>
      <c r="J1447" s="14" t="s">
        <v>798</v>
      </c>
      <c r="K1447" s="15" t="s">
        <v>798</v>
      </c>
      <c r="L1447" s="12" t="s">
        <v>5315</v>
      </c>
      <c r="M1447" s="13" t="s">
        <v>6054</v>
      </c>
      <c r="N1447" s="12" t="s">
        <v>803</v>
      </c>
      <c r="O1447" s="13" t="s">
        <v>4927</v>
      </c>
      <c r="P1447" s="17" t="s">
        <v>802</v>
      </c>
      <c r="Q1447" s="21" t="s">
        <v>7686</v>
      </c>
      <c r="R1447" s="17" t="s">
        <v>801</v>
      </c>
      <c r="S1447" s="18" t="s">
        <v>2585</v>
      </c>
      <c r="T1447" s="17" t="s">
        <v>800</v>
      </c>
      <c r="U1447" s="18" t="s">
        <v>5238</v>
      </c>
      <c r="V1447" s="17" t="s">
        <v>9418</v>
      </c>
      <c r="W1447" s="18" t="s">
        <v>5309</v>
      </c>
      <c r="X1447" s="69" t="s">
        <v>9453</v>
      </c>
      <c r="Y1447" s="70" t="s">
        <v>9462</v>
      </c>
      <c r="Z1447" s="73" t="s">
        <v>9486</v>
      </c>
      <c r="AA1447" s="74" t="s">
        <v>9504</v>
      </c>
      <c r="AB1447" s="73" t="s">
        <v>9486</v>
      </c>
      <c r="AC1447" s="74" t="s">
        <v>9566</v>
      </c>
      <c r="AD1447" s="73" t="s">
        <v>9578</v>
      </c>
      <c r="AE1447" s="74" t="s">
        <v>9579</v>
      </c>
    </row>
    <row r="1448" spans="1:31" ht="8.65" customHeight="1" x14ac:dyDescent="0.2">
      <c r="A1448" s="76">
        <v>1448</v>
      </c>
      <c r="B1448" s="67" t="str">
        <f>MID(C1448, FIND("Ifc.", C1448) + 4, 4) &amp; "_" &amp; TEXT(COUNTIF($C$2:C1448, C1448),"0000")</f>
        <v>Prop_1447</v>
      </c>
      <c r="C1448" s="24" t="s">
        <v>872</v>
      </c>
      <c r="D1448" s="69" t="s">
        <v>9453</v>
      </c>
      <c r="E1448" s="70" t="s">
        <v>9454</v>
      </c>
      <c r="F1448" s="17" t="s">
        <v>806</v>
      </c>
      <c r="G1448" s="22" t="s">
        <v>1406</v>
      </c>
      <c r="H1448" s="12" t="s">
        <v>9703</v>
      </c>
      <c r="I1448" s="13" t="s">
        <v>7161</v>
      </c>
      <c r="J1448" s="14" t="s">
        <v>798</v>
      </c>
      <c r="K1448" s="15" t="s">
        <v>798</v>
      </c>
      <c r="L1448" s="12" t="s">
        <v>5315</v>
      </c>
      <c r="M1448" s="13" t="s">
        <v>6059</v>
      </c>
      <c r="N1448" s="12" t="s">
        <v>803</v>
      </c>
      <c r="O1448" s="13" t="s">
        <v>4928</v>
      </c>
      <c r="P1448" s="17" t="s">
        <v>802</v>
      </c>
      <c r="Q1448" s="21" t="s">
        <v>7706</v>
      </c>
      <c r="R1448" s="17" t="s">
        <v>801</v>
      </c>
      <c r="S1448" s="18" t="s">
        <v>2585</v>
      </c>
      <c r="T1448" s="17" t="s">
        <v>800</v>
      </c>
      <c r="U1448" s="18" t="s">
        <v>5238</v>
      </c>
      <c r="V1448" s="17" t="s">
        <v>9418</v>
      </c>
      <c r="W1448" s="18" t="s">
        <v>5309</v>
      </c>
      <c r="X1448" s="69" t="s">
        <v>9453</v>
      </c>
      <c r="Y1448" s="70" t="s">
        <v>9462</v>
      </c>
      <c r="Z1448" s="73" t="s">
        <v>9486</v>
      </c>
      <c r="AA1448" s="74" t="s">
        <v>9504</v>
      </c>
      <c r="AB1448" s="73" t="s">
        <v>9486</v>
      </c>
      <c r="AC1448" s="74" t="s">
        <v>9566</v>
      </c>
      <c r="AD1448" s="73" t="s">
        <v>9578</v>
      </c>
      <c r="AE1448" s="74" t="s">
        <v>9579</v>
      </c>
    </row>
    <row r="1449" spans="1:31" ht="8.65" customHeight="1" x14ac:dyDescent="0.2">
      <c r="A1449" s="76">
        <v>1449</v>
      </c>
      <c r="B1449" s="67" t="str">
        <f>MID(C1449, FIND("Ifc.", C1449) + 4, 4) &amp; "_" &amp; TEXT(COUNTIF($C$2:C1449, C1449),"0000")</f>
        <v>Prop_1448</v>
      </c>
      <c r="C1449" s="24" t="s">
        <v>872</v>
      </c>
      <c r="D1449" s="69" t="s">
        <v>9453</v>
      </c>
      <c r="E1449" s="70" t="s">
        <v>9454</v>
      </c>
      <c r="F1449" s="17" t="s">
        <v>806</v>
      </c>
      <c r="G1449" s="22" t="s">
        <v>2004</v>
      </c>
      <c r="H1449" s="12" t="s">
        <v>9703</v>
      </c>
      <c r="I1449" s="13" t="s">
        <v>7309</v>
      </c>
      <c r="J1449" s="14" t="s">
        <v>798</v>
      </c>
      <c r="K1449" s="15" t="s">
        <v>798</v>
      </c>
      <c r="L1449" s="12" t="s">
        <v>5315</v>
      </c>
      <c r="M1449" s="13" t="s">
        <v>5479</v>
      </c>
      <c r="N1449" s="12" t="s">
        <v>803</v>
      </c>
      <c r="O1449" s="13" t="s">
        <v>5083</v>
      </c>
      <c r="P1449" s="17" t="s">
        <v>802</v>
      </c>
      <c r="Q1449" s="21" t="s">
        <v>7731</v>
      </c>
      <c r="R1449" s="17" t="s">
        <v>801</v>
      </c>
      <c r="S1449" s="18" t="s">
        <v>2585</v>
      </c>
      <c r="T1449" s="17" t="s">
        <v>800</v>
      </c>
      <c r="U1449" s="18" t="s">
        <v>5238</v>
      </c>
      <c r="V1449" s="17" t="s">
        <v>9418</v>
      </c>
      <c r="W1449" s="18" t="s">
        <v>5309</v>
      </c>
      <c r="X1449" s="69" t="s">
        <v>9453</v>
      </c>
      <c r="Y1449" s="70" t="s">
        <v>9462</v>
      </c>
      <c r="Z1449" s="73" t="s">
        <v>9486</v>
      </c>
      <c r="AA1449" s="74" t="s">
        <v>9504</v>
      </c>
      <c r="AB1449" s="73" t="s">
        <v>9486</v>
      </c>
      <c r="AC1449" s="74" t="s">
        <v>9566</v>
      </c>
      <c r="AD1449" s="73" t="s">
        <v>9578</v>
      </c>
      <c r="AE1449" s="74" t="s">
        <v>9579</v>
      </c>
    </row>
    <row r="1450" spans="1:31" ht="8.65" customHeight="1" x14ac:dyDescent="0.2">
      <c r="A1450" s="76">
        <v>1450</v>
      </c>
      <c r="B1450" s="67" t="str">
        <f>MID(C1450, FIND("Ifc.", C1450) + 4, 4) &amp; "_" &amp; TEXT(COUNTIF($C$2:C1450, C1450),"0000")</f>
        <v>Prop_1449</v>
      </c>
      <c r="C1450" s="24" t="s">
        <v>872</v>
      </c>
      <c r="D1450" s="69" t="s">
        <v>9453</v>
      </c>
      <c r="E1450" s="70" t="s">
        <v>9454</v>
      </c>
      <c r="F1450" s="17" t="s">
        <v>806</v>
      </c>
      <c r="G1450" s="22" t="s">
        <v>1211</v>
      </c>
      <c r="H1450" s="12" t="s">
        <v>9703</v>
      </c>
      <c r="I1450" s="13" t="s">
        <v>6488</v>
      </c>
      <c r="J1450" s="14" t="s">
        <v>798</v>
      </c>
      <c r="K1450" s="15" t="s">
        <v>798</v>
      </c>
      <c r="L1450" s="12" t="s">
        <v>5315</v>
      </c>
      <c r="M1450" s="13" t="s">
        <v>5821</v>
      </c>
      <c r="N1450" s="12" t="s">
        <v>803</v>
      </c>
      <c r="O1450" s="13" t="s">
        <v>4883</v>
      </c>
      <c r="P1450" s="17" t="s">
        <v>802</v>
      </c>
      <c r="Q1450" s="21" t="s">
        <v>7683</v>
      </c>
      <c r="R1450" s="17" t="s">
        <v>801</v>
      </c>
      <c r="S1450" s="18" t="s">
        <v>2585</v>
      </c>
      <c r="T1450" s="17" t="s">
        <v>800</v>
      </c>
      <c r="U1450" s="18" t="s">
        <v>5238</v>
      </c>
      <c r="V1450" s="17" t="s">
        <v>9418</v>
      </c>
      <c r="W1450" s="18" t="s">
        <v>5309</v>
      </c>
      <c r="X1450" s="69" t="s">
        <v>9453</v>
      </c>
      <c r="Y1450" s="70" t="s">
        <v>9462</v>
      </c>
      <c r="Z1450" s="73" t="s">
        <v>9486</v>
      </c>
      <c r="AA1450" s="74" t="s">
        <v>9504</v>
      </c>
      <c r="AB1450" s="73" t="s">
        <v>9486</v>
      </c>
      <c r="AC1450" s="74" t="s">
        <v>9566</v>
      </c>
      <c r="AD1450" s="73" t="s">
        <v>9578</v>
      </c>
      <c r="AE1450" s="74" t="s">
        <v>9579</v>
      </c>
    </row>
    <row r="1451" spans="1:31" ht="8.65" customHeight="1" x14ac:dyDescent="0.2">
      <c r="A1451" s="76">
        <v>1451</v>
      </c>
      <c r="B1451" s="67" t="str">
        <f>MID(C1451, FIND("Ifc.", C1451) + 4, 4) &amp; "_" &amp; TEXT(COUNTIF($C$2:C1451, C1451),"0000")</f>
        <v>Prop_1450</v>
      </c>
      <c r="C1451" s="24" t="s">
        <v>872</v>
      </c>
      <c r="D1451" s="69" t="s">
        <v>9453</v>
      </c>
      <c r="E1451" s="70" t="s">
        <v>9454</v>
      </c>
      <c r="F1451" s="17" t="s">
        <v>806</v>
      </c>
      <c r="G1451" s="22" t="s">
        <v>2006</v>
      </c>
      <c r="H1451" s="12" t="s">
        <v>9703</v>
      </c>
      <c r="I1451" s="13" t="s">
        <v>6605</v>
      </c>
      <c r="J1451" s="14" t="s">
        <v>798</v>
      </c>
      <c r="K1451" s="15" t="s">
        <v>798</v>
      </c>
      <c r="L1451" s="12" t="s">
        <v>5315</v>
      </c>
      <c r="M1451" s="13" t="s">
        <v>5479</v>
      </c>
      <c r="N1451" s="12" t="s">
        <v>803</v>
      </c>
      <c r="O1451" s="13" t="s">
        <v>5083</v>
      </c>
      <c r="P1451" s="17" t="s">
        <v>802</v>
      </c>
      <c r="Q1451" s="21" t="s">
        <v>7731</v>
      </c>
      <c r="R1451" s="17" t="s">
        <v>801</v>
      </c>
      <c r="S1451" s="18" t="s">
        <v>2585</v>
      </c>
      <c r="T1451" s="17" t="s">
        <v>800</v>
      </c>
      <c r="U1451" s="18" t="s">
        <v>5238</v>
      </c>
      <c r="V1451" s="17" t="s">
        <v>9418</v>
      </c>
      <c r="W1451" s="18" t="s">
        <v>5309</v>
      </c>
      <c r="X1451" s="69" t="s">
        <v>9453</v>
      </c>
      <c r="Y1451" s="70" t="s">
        <v>9462</v>
      </c>
      <c r="Z1451" s="73" t="s">
        <v>9486</v>
      </c>
      <c r="AA1451" s="74" t="s">
        <v>9504</v>
      </c>
      <c r="AB1451" s="73" t="s">
        <v>9486</v>
      </c>
      <c r="AC1451" s="74" t="s">
        <v>9566</v>
      </c>
      <c r="AD1451" s="73" t="s">
        <v>9578</v>
      </c>
      <c r="AE1451" s="74" t="s">
        <v>9579</v>
      </c>
    </row>
    <row r="1452" spans="1:31" ht="8.65" customHeight="1" x14ac:dyDescent="0.2">
      <c r="A1452" s="76">
        <v>1452</v>
      </c>
      <c r="B1452" s="67" t="str">
        <f>MID(C1452, FIND("Ifc.", C1452) + 4, 4) &amp; "_" &amp; TEXT(COUNTIF($C$2:C1452, C1452),"0000")</f>
        <v>Prop_1451</v>
      </c>
      <c r="C1452" s="24" t="s">
        <v>872</v>
      </c>
      <c r="D1452" s="69" t="s">
        <v>9453</v>
      </c>
      <c r="E1452" s="70" t="s">
        <v>9454</v>
      </c>
      <c r="F1452" s="17" t="s">
        <v>806</v>
      </c>
      <c r="G1452" s="22" t="s">
        <v>2006</v>
      </c>
      <c r="H1452" s="12" t="s">
        <v>9703</v>
      </c>
      <c r="I1452" s="13" t="s">
        <v>6605</v>
      </c>
      <c r="J1452" s="14" t="s">
        <v>798</v>
      </c>
      <c r="K1452" s="15" t="s">
        <v>798</v>
      </c>
      <c r="L1452" s="12" t="s">
        <v>5315</v>
      </c>
      <c r="M1452" s="13" t="s">
        <v>5481</v>
      </c>
      <c r="N1452" s="12" t="s">
        <v>803</v>
      </c>
      <c r="O1452" s="13" t="s">
        <v>5085</v>
      </c>
      <c r="P1452" s="17" t="s">
        <v>802</v>
      </c>
      <c r="Q1452" s="21" t="s">
        <v>7708</v>
      </c>
      <c r="R1452" s="17" t="s">
        <v>801</v>
      </c>
      <c r="S1452" s="18" t="s">
        <v>2585</v>
      </c>
      <c r="T1452" s="17" t="s">
        <v>800</v>
      </c>
      <c r="U1452" s="18" t="s">
        <v>5238</v>
      </c>
      <c r="V1452" s="17" t="s">
        <v>9418</v>
      </c>
      <c r="W1452" s="18" t="s">
        <v>5309</v>
      </c>
      <c r="X1452" s="69" t="s">
        <v>9453</v>
      </c>
      <c r="Y1452" s="70" t="s">
        <v>9462</v>
      </c>
      <c r="Z1452" s="73" t="s">
        <v>9486</v>
      </c>
      <c r="AA1452" s="74" t="s">
        <v>9504</v>
      </c>
      <c r="AB1452" s="73" t="s">
        <v>9486</v>
      </c>
      <c r="AC1452" s="74" t="s">
        <v>9566</v>
      </c>
      <c r="AD1452" s="73" t="s">
        <v>9578</v>
      </c>
      <c r="AE1452" s="74" t="s">
        <v>9579</v>
      </c>
    </row>
    <row r="1453" spans="1:31" ht="8.65" customHeight="1" x14ac:dyDescent="0.2">
      <c r="A1453" s="76">
        <v>1453</v>
      </c>
      <c r="B1453" s="67" t="str">
        <f>MID(C1453, FIND("Ifc.", C1453) + 4, 4) &amp; "_" &amp; TEXT(COUNTIF($C$2:C1453, C1453),"0000")</f>
        <v>Prop_1452</v>
      </c>
      <c r="C1453" s="24" t="s">
        <v>872</v>
      </c>
      <c r="D1453" s="69" t="s">
        <v>9453</v>
      </c>
      <c r="E1453" s="70" t="s">
        <v>9454</v>
      </c>
      <c r="F1453" s="17" t="s">
        <v>806</v>
      </c>
      <c r="G1453" s="22" t="s">
        <v>1067</v>
      </c>
      <c r="H1453" s="12" t="s">
        <v>9703</v>
      </c>
      <c r="I1453" s="13" t="s">
        <v>7308</v>
      </c>
      <c r="J1453" s="14" t="s">
        <v>798</v>
      </c>
      <c r="K1453" s="15" t="s">
        <v>798</v>
      </c>
      <c r="L1453" s="12" t="s">
        <v>5315</v>
      </c>
      <c r="M1453" s="13" t="s">
        <v>6033</v>
      </c>
      <c r="N1453" s="12" t="s">
        <v>803</v>
      </c>
      <c r="O1453" s="13" t="s">
        <v>4847</v>
      </c>
      <c r="P1453" s="17" t="s">
        <v>802</v>
      </c>
      <c r="Q1453" s="21" t="s">
        <v>7836</v>
      </c>
      <c r="R1453" s="17" t="s">
        <v>801</v>
      </c>
      <c r="S1453" s="18" t="s">
        <v>2585</v>
      </c>
      <c r="T1453" s="17" t="s">
        <v>800</v>
      </c>
      <c r="U1453" s="18" t="s">
        <v>5238</v>
      </c>
      <c r="V1453" s="17" t="s">
        <v>9418</v>
      </c>
      <c r="W1453" s="18" t="s">
        <v>5309</v>
      </c>
      <c r="X1453" s="69" t="s">
        <v>9453</v>
      </c>
      <c r="Y1453" s="70" t="s">
        <v>9462</v>
      </c>
      <c r="Z1453" s="73" t="s">
        <v>9486</v>
      </c>
      <c r="AA1453" s="74" t="s">
        <v>9504</v>
      </c>
      <c r="AB1453" s="73" t="s">
        <v>9486</v>
      </c>
      <c r="AC1453" s="74" t="s">
        <v>9566</v>
      </c>
      <c r="AD1453" s="73" t="s">
        <v>9578</v>
      </c>
      <c r="AE1453" s="74" t="s">
        <v>9579</v>
      </c>
    </row>
    <row r="1454" spans="1:31" ht="8.65" customHeight="1" x14ac:dyDescent="0.2">
      <c r="A1454" s="76">
        <v>1454</v>
      </c>
      <c r="B1454" s="67" t="str">
        <f>MID(C1454, FIND("Ifc.", C1454) + 4, 4) &amp; "_" &amp; TEXT(COUNTIF($C$2:C1454, C1454),"0000")</f>
        <v>Prop_1453</v>
      </c>
      <c r="C1454" s="24" t="s">
        <v>872</v>
      </c>
      <c r="D1454" s="69" t="s">
        <v>9453</v>
      </c>
      <c r="E1454" s="70" t="s">
        <v>9454</v>
      </c>
      <c r="F1454" s="17" t="s">
        <v>806</v>
      </c>
      <c r="G1454" s="22" t="s">
        <v>1067</v>
      </c>
      <c r="H1454" s="12" t="s">
        <v>9703</v>
      </c>
      <c r="I1454" s="13" t="s">
        <v>7308</v>
      </c>
      <c r="J1454" s="14" t="s">
        <v>798</v>
      </c>
      <c r="K1454" s="15" t="s">
        <v>798</v>
      </c>
      <c r="L1454" s="12" t="s">
        <v>5315</v>
      </c>
      <c r="M1454" s="13" t="s">
        <v>5888</v>
      </c>
      <c r="N1454" s="12" t="s">
        <v>803</v>
      </c>
      <c r="O1454" s="13" t="s">
        <v>4913</v>
      </c>
      <c r="P1454" s="17" t="s">
        <v>802</v>
      </c>
      <c r="Q1454" s="21" t="s">
        <v>7827</v>
      </c>
      <c r="R1454" s="17" t="s">
        <v>801</v>
      </c>
      <c r="S1454" s="18" t="s">
        <v>2585</v>
      </c>
      <c r="T1454" s="17" t="s">
        <v>800</v>
      </c>
      <c r="U1454" s="18" t="s">
        <v>5238</v>
      </c>
      <c r="V1454" s="17" t="s">
        <v>9418</v>
      </c>
      <c r="W1454" s="18" t="s">
        <v>5309</v>
      </c>
      <c r="X1454" s="69" t="s">
        <v>9453</v>
      </c>
      <c r="Y1454" s="70" t="s">
        <v>9462</v>
      </c>
      <c r="Z1454" s="73" t="s">
        <v>9486</v>
      </c>
      <c r="AA1454" s="74" t="s">
        <v>9504</v>
      </c>
      <c r="AB1454" s="73" t="s">
        <v>9486</v>
      </c>
      <c r="AC1454" s="74" t="s">
        <v>9566</v>
      </c>
      <c r="AD1454" s="73" t="s">
        <v>9578</v>
      </c>
      <c r="AE1454" s="74" t="s">
        <v>9579</v>
      </c>
    </row>
    <row r="1455" spans="1:31" ht="8.65" customHeight="1" x14ac:dyDescent="0.2">
      <c r="A1455" s="76">
        <v>1455</v>
      </c>
      <c r="B1455" s="67" t="str">
        <f>MID(C1455, FIND("Ifc.", C1455) + 4, 4) &amp; "_" &amp; TEXT(COUNTIF($C$2:C1455, C1455),"0000")</f>
        <v>Prop_1454</v>
      </c>
      <c r="C1455" s="24" t="s">
        <v>872</v>
      </c>
      <c r="D1455" s="69" t="s">
        <v>9453</v>
      </c>
      <c r="E1455" s="70" t="s">
        <v>9454</v>
      </c>
      <c r="F1455" s="17" t="s">
        <v>806</v>
      </c>
      <c r="G1455" s="22" t="s">
        <v>1067</v>
      </c>
      <c r="H1455" s="12" t="s">
        <v>9703</v>
      </c>
      <c r="I1455" s="13" t="s">
        <v>7308</v>
      </c>
      <c r="J1455" s="14" t="s">
        <v>798</v>
      </c>
      <c r="K1455" s="15" t="s">
        <v>798</v>
      </c>
      <c r="L1455" s="12" t="s">
        <v>5315</v>
      </c>
      <c r="M1455" s="13" t="s">
        <v>5426</v>
      </c>
      <c r="N1455" s="12" t="s">
        <v>803</v>
      </c>
      <c r="O1455" s="13" t="s">
        <v>4924</v>
      </c>
      <c r="P1455" s="17" t="s">
        <v>802</v>
      </c>
      <c r="Q1455" s="21" t="s">
        <v>7710</v>
      </c>
      <c r="R1455" s="17" t="s">
        <v>801</v>
      </c>
      <c r="S1455" s="18" t="s">
        <v>2585</v>
      </c>
      <c r="T1455" s="17" t="s">
        <v>800</v>
      </c>
      <c r="U1455" s="18" t="s">
        <v>5238</v>
      </c>
      <c r="V1455" s="17" t="s">
        <v>9418</v>
      </c>
      <c r="W1455" s="18" t="s">
        <v>5309</v>
      </c>
      <c r="X1455" s="69" t="s">
        <v>9453</v>
      </c>
      <c r="Y1455" s="70" t="s">
        <v>9462</v>
      </c>
      <c r="Z1455" s="73" t="s">
        <v>9486</v>
      </c>
      <c r="AA1455" s="74" t="s">
        <v>9504</v>
      </c>
      <c r="AB1455" s="73" t="s">
        <v>9486</v>
      </c>
      <c r="AC1455" s="74" t="s">
        <v>9566</v>
      </c>
      <c r="AD1455" s="73" t="s">
        <v>9578</v>
      </c>
      <c r="AE1455" s="74" t="s">
        <v>9579</v>
      </c>
    </row>
    <row r="1456" spans="1:31" ht="8.65" customHeight="1" x14ac:dyDescent="0.2">
      <c r="A1456" s="76">
        <v>1456</v>
      </c>
      <c r="B1456" s="67" t="str">
        <f>MID(C1456, FIND("Ifc.", C1456) + 4, 4) &amp; "_" &amp; TEXT(COUNTIF($C$2:C1456, C1456),"0000")</f>
        <v>Prop_1455</v>
      </c>
      <c r="C1456" s="24" t="s">
        <v>872</v>
      </c>
      <c r="D1456" s="69" t="s">
        <v>9453</v>
      </c>
      <c r="E1456" s="70" t="s">
        <v>9454</v>
      </c>
      <c r="F1456" s="17" t="s">
        <v>806</v>
      </c>
      <c r="G1456" s="22" t="s">
        <v>1067</v>
      </c>
      <c r="H1456" s="12" t="s">
        <v>9703</v>
      </c>
      <c r="I1456" s="13" t="s">
        <v>7308</v>
      </c>
      <c r="J1456" s="14" t="s">
        <v>798</v>
      </c>
      <c r="K1456" s="15" t="s">
        <v>798</v>
      </c>
      <c r="L1456" s="12" t="s">
        <v>5315</v>
      </c>
      <c r="M1456" s="13" t="s">
        <v>5517</v>
      </c>
      <c r="N1456" s="12" t="s">
        <v>803</v>
      </c>
      <c r="O1456" s="13" t="s">
        <v>5132</v>
      </c>
      <c r="P1456" s="17" t="s">
        <v>802</v>
      </c>
      <c r="Q1456" s="21" t="s">
        <v>7984</v>
      </c>
      <c r="R1456" s="17" t="s">
        <v>801</v>
      </c>
      <c r="S1456" s="18" t="s">
        <v>2583</v>
      </c>
      <c r="T1456" s="17" t="s">
        <v>800</v>
      </c>
      <c r="U1456" s="18" t="s">
        <v>5251</v>
      </c>
      <c r="V1456" s="17" t="s">
        <v>9418</v>
      </c>
      <c r="W1456" s="18" t="s">
        <v>5309</v>
      </c>
      <c r="X1456" s="69" t="s">
        <v>9453</v>
      </c>
      <c r="Y1456" s="70" t="s">
        <v>9462</v>
      </c>
      <c r="Z1456" s="73" t="s">
        <v>9486</v>
      </c>
      <c r="AA1456" s="74" t="s">
        <v>9504</v>
      </c>
      <c r="AB1456" s="73" t="s">
        <v>9486</v>
      </c>
      <c r="AC1456" s="74" t="s">
        <v>9566</v>
      </c>
      <c r="AD1456" s="73" t="s">
        <v>9578</v>
      </c>
      <c r="AE1456" s="74" t="s">
        <v>9579</v>
      </c>
    </row>
    <row r="1457" spans="1:31" ht="8.65" customHeight="1" x14ac:dyDescent="0.2">
      <c r="A1457" s="76">
        <v>1457</v>
      </c>
      <c r="B1457" s="67" t="str">
        <f>MID(C1457, FIND("Ifc.", C1457) + 4, 4) &amp; "_" &amp; TEXT(COUNTIF($C$2:C1457, C1457),"0000")</f>
        <v>Prop_1456</v>
      </c>
      <c r="C1457" s="24" t="s">
        <v>872</v>
      </c>
      <c r="D1457" s="69" t="s">
        <v>9453</v>
      </c>
      <c r="E1457" s="70" t="s">
        <v>9454</v>
      </c>
      <c r="F1457" s="17" t="s">
        <v>806</v>
      </c>
      <c r="G1457" s="22" t="s">
        <v>1760</v>
      </c>
      <c r="H1457" s="12" t="s">
        <v>9703</v>
      </c>
      <c r="I1457" s="13" t="s">
        <v>7306</v>
      </c>
      <c r="J1457" s="14" t="s">
        <v>798</v>
      </c>
      <c r="K1457" s="15" t="s">
        <v>798</v>
      </c>
      <c r="L1457" s="12" t="s">
        <v>5315</v>
      </c>
      <c r="M1457" s="13" t="s">
        <v>5451</v>
      </c>
      <c r="N1457" s="12" t="s">
        <v>803</v>
      </c>
      <c r="O1457" s="13" t="s">
        <v>5009</v>
      </c>
      <c r="P1457" s="17" t="s">
        <v>802</v>
      </c>
      <c r="Q1457" s="21" t="s">
        <v>7857</v>
      </c>
      <c r="R1457" s="17" t="s">
        <v>801</v>
      </c>
      <c r="S1457" s="18" t="s">
        <v>2585</v>
      </c>
      <c r="T1457" s="17" t="s">
        <v>800</v>
      </c>
      <c r="U1457" s="18" t="s">
        <v>5238</v>
      </c>
      <c r="V1457" s="17" t="s">
        <v>9418</v>
      </c>
      <c r="W1457" s="18" t="s">
        <v>5309</v>
      </c>
      <c r="X1457" s="69" t="s">
        <v>9453</v>
      </c>
      <c r="Y1457" s="70" t="s">
        <v>9462</v>
      </c>
      <c r="Z1457" s="73" t="s">
        <v>9486</v>
      </c>
      <c r="AA1457" s="74" t="s">
        <v>9504</v>
      </c>
      <c r="AB1457" s="73" t="s">
        <v>9486</v>
      </c>
      <c r="AC1457" s="74" t="s">
        <v>9566</v>
      </c>
      <c r="AD1457" s="73" t="s">
        <v>9578</v>
      </c>
      <c r="AE1457" s="74" t="s">
        <v>9579</v>
      </c>
    </row>
    <row r="1458" spans="1:31" ht="8.65" customHeight="1" x14ac:dyDescent="0.2">
      <c r="A1458" s="76">
        <v>1458</v>
      </c>
      <c r="B1458" s="67" t="str">
        <f>MID(C1458, FIND("Ifc.", C1458) + 4, 4) &amp; "_" &amp; TEXT(COUNTIF($C$2:C1458, C1458),"0000")</f>
        <v>Prop_1457</v>
      </c>
      <c r="C1458" s="24" t="s">
        <v>872</v>
      </c>
      <c r="D1458" s="69" t="s">
        <v>9453</v>
      </c>
      <c r="E1458" s="70" t="s">
        <v>9454</v>
      </c>
      <c r="F1458" s="17" t="s">
        <v>806</v>
      </c>
      <c r="G1458" s="22" t="s">
        <v>1760</v>
      </c>
      <c r="H1458" s="12" t="s">
        <v>9703</v>
      </c>
      <c r="I1458" s="13" t="s">
        <v>7306</v>
      </c>
      <c r="J1458" s="14" t="s">
        <v>798</v>
      </c>
      <c r="K1458" s="15" t="s">
        <v>798</v>
      </c>
      <c r="L1458" s="12" t="s">
        <v>5315</v>
      </c>
      <c r="M1458" s="13" t="s">
        <v>5858</v>
      </c>
      <c r="N1458" s="12" t="s">
        <v>803</v>
      </c>
      <c r="O1458" s="13" t="s">
        <v>5163</v>
      </c>
      <c r="P1458" s="17" t="s">
        <v>802</v>
      </c>
      <c r="Q1458" s="21" t="s">
        <v>7858</v>
      </c>
      <c r="R1458" s="17" t="s">
        <v>801</v>
      </c>
      <c r="S1458" s="18" t="s">
        <v>2585</v>
      </c>
      <c r="T1458" s="17" t="s">
        <v>800</v>
      </c>
      <c r="U1458" s="18" t="s">
        <v>5238</v>
      </c>
      <c r="V1458" s="17" t="s">
        <v>9418</v>
      </c>
      <c r="W1458" s="18" t="s">
        <v>5309</v>
      </c>
      <c r="X1458" s="69" t="s">
        <v>9453</v>
      </c>
      <c r="Y1458" s="70" t="s">
        <v>9462</v>
      </c>
      <c r="Z1458" s="73" t="s">
        <v>9486</v>
      </c>
      <c r="AA1458" s="74" t="s">
        <v>9504</v>
      </c>
      <c r="AB1458" s="73" t="s">
        <v>9486</v>
      </c>
      <c r="AC1458" s="74" t="s">
        <v>9566</v>
      </c>
      <c r="AD1458" s="73" t="s">
        <v>9578</v>
      </c>
      <c r="AE1458" s="74" t="s">
        <v>9579</v>
      </c>
    </row>
    <row r="1459" spans="1:31" ht="8.65" customHeight="1" x14ac:dyDescent="0.2">
      <c r="A1459" s="76">
        <v>1459</v>
      </c>
      <c r="B1459" s="67" t="str">
        <f>MID(C1459, FIND("Ifc.", C1459) + 4, 4) &amp; "_" &amp; TEXT(COUNTIF($C$2:C1459, C1459),"0000")</f>
        <v>Prop_1458</v>
      </c>
      <c r="C1459" s="24" t="s">
        <v>872</v>
      </c>
      <c r="D1459" s="69" t="s">
        <v>9453</v>
      </c>
      <c r="E1459" s="70" t="s">
        <v>9454</v>
      </c>
      <c r="F1459" s="17" t="s">
        <v>806</v>
      </c>
      <c r="G1459" s="22" t="s">
        <v>1760</v>
      </c>
      <c r="H1459" s="12" t="s">
        <v>9703</v>
      </c>
      <c r="I1459" s="13" t="s">
        <v>7306</v>
      </c>
      <c r="J1459" s="14" t="s">
        <v>798</v>
      </c>
      <c r="K1459" s="15" t="s">
        <v>798</v>
      </c>
      <c r="L1459" s="12" t="s">
        <v>5315</v>
      </c>
      <c r="M1459" s="13" t="s">
        <v>5785</v>
      </c>
      <c r="N1459" s="12" t="s">
        <v>803</v>
      </c>
      <c r="O1459" s="13" t="s">
        <v>5183</v>
      </c>
      <c r="P1459" s="17" t="s">
        <v>802</v>
      </c>
      <c r="Q1459" s="21" t="s">
        <v>7859</v>
      </c>
      <c r="R1459" s="17" t="s">
        <v>801</v>
      </c>
      <c r="S1459" s="18" t="s">
        <v>2585</v>
      </c>
      <c r="T1459" s="17" t="s">
        <v>800</v>
      </c>
      <c r="U1459" s="18" t="s">
        <v>5238</v>
      </c>
      <c r="V1459" s="17" t="s">
        <v>9418</v>
      </c>
      <c r="W1459" s="18" t="s">
        <v>5309</v>
      </c>
      <c r="X1459" s="69" t="s">
        <v>9453</v>
      </c>
      <c r="Y1459" s="70" t="s">
        <v>9462</v>
      </c>
      <c r="Z1459" s="73" t="s">
        <v>9486</v>
      </c>
      <c r="AA1459" s="74" t="s">
        <v>9504</v>
      </c>
      <c r="AB1459" s="73" t="s">
        <v>9486</v>
      </c>
      <c r="AC1459" s="74" t="s">
        <v>9566</v>
      </c>
      <c r="AD1459" s="73" t="s">
        <v>9578</v>
      </c>
      <c r="AE1459" s="74" t="s">
        <v>9579</v>
      </c>
    </row>
    <row r="1460" spans="1:31" ht="8.65" customHeight="1" x14ac:dyDescent="0.2">
      <c r="A1460" s="76">
        <v>1460</v>
      </c>
      <c r="B1460" s="67" t="str">
        <f>MID(C1460, FIND("Ifc.", C1460) + 4, 4) &amp; "_" &amp; TEXT(COUNTIF($C$2:C1460, C1460),"0000")</f>
        <v>Prop_1459</v>
      </c>
      <c r="C1460" s="24" t="s">
        <v>872</v>
      </c>
      <c r="D1460" s="69" t="s">
        <v>9453</v>
      </c>
      <c r="E1460" s="70" t="s">
        <v>9454</v>
      </c>
      <c r="F1460" s="17" t="s">
        <v>806</v>
      </c>
      <c r="G1460" s="22" t="s">
        <v>1760</v>
      </c>
      <c r="H1460" s="12" t="s">
        <v>9703</v>
      </c>
      <c r="I1460" s="13" t="s">
        <v>7306</v>
      </c>
      <c r="J1460" s="14" t="s">
        <v>798</v>
      </c>
      <c r="K1460" s="15" t="s">
        <v>798</v>
      </c>
      <c r="L1460" s="12" t="s">
        <v>5315</v>
      </c>
      <c r="M1460" s="13" t="s">
        <v>5787</v>
      </c>
      <c r="N1460" s="12" t="s">
        <v>803</v>
      </c>
      <c r="O1460" s="13" t="s">
        <v>5185</v>
      </c>
      <c r="P1460" s="17" t="s">
        <v>802</v>
      </c>
      <c r="Q1460" s="21" t="s">
        <v>7860</v>
      </c>
      <c r="R1460" s="17" t="s">
        <v>801</v>
      </c>
      <c r="S1460" s="18" t="s">
        <v>2585</v>
      </c>
      <c r="T1460" s="17" t="s">
        <v>800</v>
      </c>
      <c r="U1460" s="18" t="s">
        <v>5238</v>
      </c>
      <c r="V1460" s="17" t="s">
        <v>9418</v>
      </c>
      <c r="W1460" s="18" t="s">
        <v>5309</v>
      </c>
      <c r="X1460" s="69" t="s">
        <v>9453</v>
      </c>
      <c r="Y1460" s="70" t="s">
        <v>9462</v>
      </c>
      <c r="Z1460" s="73" t="s">
        <v>9486</v>
      </c>
      <c r="AA1460" s="74" t="s">
        <v>9504</v>
      </c>
      <c r="AB1460" s="73" t="s">
        <v>9486</v>
      </c>
      <c r="AC1460" s="74" t="s">
        <v>9566</v>
      </c>
      <c r="AD1460" s="73" t="s">
        <v>9578</v>
      </c>
      <c r="AE1460" s="74" t="s">
        <v>9579</v>
      </c>
    </row>
    <row r="1461" spans="1:31" ht="8.65" customHeight="1" x14ac:dyDescent="0.2">
      <c r="A1461" s="76">
        <v>1461</v>
      </c>
      <c r="B1461" s="67" t="str">
        <f>MID(C1461, FIND("Ifc.", C1461) + 4, 4) &amp; "_" &amp; TEXT(COUNTIF($C$2:C1461, C1461),"0000")</f>
        <v>Prop_1460</v>
      </c>
      <c r="C1461" s="24" t="s">
        <v>872</v>
      </c>
      <c r="D1461" s="69" t="s">
        <v>9453</v>
      </c>
      <c r="E1461" s="70" t="s">
        <v>9454</v>
      </c>
      <c r="F1461" s="17" t="s">
        <v>806</v>
      </c>
      <c r="G1461" s="22" t="s">
        <v>1760</v>
      </c>
      <c r="H1461" s="12" t="s">
        <v>9703</v>
      </c>
      <c r="I1461" s="13" t="s">
        <v>7306</v>
      </c>
      <c r="J1461" s="14" t="s">
        <v>798</v>
      </c>
      <c r="K1461" s="15" t="s">
        <v>798</v>
      </c>
      <c r="L1461" s="12" t="s">
        <v>5315</v>
      </c>
      <c r="M1461" s="13" t="s">
        <v>5790</v>
      </c>
      <c r="N1461" s="12" t="s">
        <v>803</v>
      </c>
      <c r="O1461" s="13" t="s">
        <v>5188</v>
      </c>
      <c r="P1461" s="17" t="s">
        <v>802</v>
      </c>
      <c r="Q1461" s="21" t="s">
        <v>7862</v>
      </c>
      <c r="R1461" s="17" t="s">
        <v>801</v>
      </c>
      <c r="S1461" s="18" t="s">
        <v>2585</v>
      </c>
      <c r="T1461" s="17" t="s">
        <v>800</v>
      </c>
      <c r="U1461" s="18" t="s">
        <v>5238</v>
      </c>
      <c r="V1461" s="17" t="s">
        <v>9418</v>
      </c>
      <c r="W1461" s="18" t="s">
        <v>5309</v>
      </c>
      <c r="X1461" s="69" t="s">
        <v>9453</v>
      </c>
      <c r="Y1461" s="70" t="s">
        <v>9462</v>
      </c>
      <c r="Z1461" s="73" t="s">
        <v>9486</v>
      </c>
      <c r="AA1461" s="74" t="s">
        <v>9504</v>
      </c>
      <c r="AB1461" s="73" t="s">
        <v>9486</v>
      </c>
      <c r="AC1461" s="74" t="s">
        <v>9566</v>
      </c>
      <c r="AD1461" s="73" t="s">
        <v>9578</v>
      </c>
      <c r="AE1461" s="74" t="s">
        <v>9579</v>
      </c>
    </row>
    <row r="1462" spans="1:31" ht="8.65" customHeight="1" x14ac:dyDescent="0.2">
      <c r="A1462" s="76">
        <v>1462</v>
      </c>
      <c r="B1462" s="67" t="str">
        <f>MID(C1462, FIND("Ifc.", C1462) + 4, 4) &amp; "_" &amp; TEXT(COUNTIF($C$2:C1462, C1462),"0000")</f>
        <v>Prop_1461</v>
      </c>
      <c r="C1462" s="24" t="s">
        <v>872</v>
      </c>
      <c r="D1462" s="69" t="s">
        <v>9453</v>
      </c>
      <c r="E1462" s="70" t="s">
        <v>9454</v>
      </c>
      <c r="F1462" s="17" t="s">
        <v>806</v>
      </c>
      <c r="G1462" s="22" t="s">
        <v>1898</v>
      </c>
      <c r="H1462" s="12" t="s">
        <v>9703</v>
      </c>
      <c r="I1462" s="13" t="s">
        <v>6567</v>
      </c>
      <c r="J1462" s="14" t="s">
        <v>798</v>
      </c>
      <c r="K1462" s="15" t="s">
        <v>798</v>
      </c>
      <c r="L1462" s="12" t="s">
        <v>5315</v>
      </c>
      <c r="M1462" s="13" t="s">
        <v>5463</v>
      </c>
      <c r="N1462" s="12" t="s">
        <v>803</v>
      </c>
      <c r="O1462" s="13" t="s">
        <v>5048</v>
      </c>
      <c r="P1462" s="17" t="s">
        <v>802</v>
      </c>
      <c r="Q1462" s="21" t="s">
        <v>7713</v>
      </c>
      <c r="R1462" s="17" t="s">
        <v>801</v>
      </c>
      <c r="S1462" s="18" t="s">
        <v>2585</v>
      </c>
      <c r="T1462" s="17" t="s">
        <v>800</v>
      </c>
      <c r="U1462" s="18" t="s">
        <v>5238</v>
      </c>
      <c r="V1462" s="17" t="s">
        <v>9418</v>
      </c>
      <c r="W1462" s="18" t="s">
        <v>5309</v>
      </c>
      <c r="X1462" s="69" t="s">
        <v>9453</v>
      </c>
      <c r="Y1462" s="70" t="s">
        <v>9462</v>
      </c>
      <c r="Z1462" s="73" t="s">
        <v>9486</v>
      </c>
      <c r="AA1462" s="74" t="s">
        <v>9504</v>
      </c>
      <c r="AB1462" s="73" t="s">
        <v>9486</v>
      </c>
      <c r="AC1462" s="74" t="s">
        <v>9566</v>
      </c>
      <c r="AD1462" s="73" t="s">
        <v>9578</v>
      </c>
      <c r="AE1462" s="74" t="s">
        <v>9579</v>
      </c>
    </row>
    <row r="1463" spans="1:31" ht="8.65" customHeight="1" x14ac:dyDescent="0.2">
      <c r="A1463" s="76">
        <v>1463</v>
      </c>
      <c r="B1463" s="67" t="str">
        <f>MID(C1463, FIND("Ifc.", C1463) + 4, 4) &amp; "_" &amp; TEXT(COUNTIF($C$2:C1463, C1463),"0000")</f>
        <v>Prop_1462</v>
      </c>
      <c r="C1463" s="24" t="s">
        <v>872</v>
      </c>
      <c r="D1463" s="69" t="s">
        <v>9453</v>
      </c>
      <c r="E1463" s="70" t="s">
        <v>9454</v>
      </c>
      <c r="F1463" s="17" t="s">
        <v>806</v>
      </c>
      <c r="G1463" s="22" t="s">
        <v>1898</v>
      </c>
      <c r="H1463" s="12" t="s">
        <v>9703</v>
      </c>
      <c r="I1463" s="13" t="s">
        <v>6567</v>
      </c>
      <c r="J1463" s="14" t="s">
        <v>798</v>
      </c>
      <c r="K1463" s="15" t="s">
        <v>798</v>
      </c>
      <c r="L1463" s="12" t="s">
        <v>5315</v>
      </c>
      <c r="M1463" s="13" t="s">
        <v>5560</v>
      </c>
      <c r="N1463" s="12" t="s">
        <v>803</v>
      </c>
      <c r="O1463" s="13" t="s">
        <v>5174</v>
      </c>
      <c r="P1463" s="17" t="s">
        <v>802</v>
      </c>
      <c r="Q1463" s="21" t="s">
        <v>7793</v>
      </c>
      <c r="R1463" s="17" t="s">
        <v>801</v>
      </c>
      <c r="S1463" s="18" t="s">
        <v>2585</v>
      </c>
      <c r="T1463" s="17" t="s">
        <v>800</v>
      </c>
      <c r="U1463" s="18" t="s">
        <v>5238</v>
      </c>
      <c r="V1463" s="17" t="s">
        <v>9418</v>
      </c>
      <c r="W1463" s="18" t="s">
        <v>5309</v>
      </c>
      <c r="X1463" s="69" t="s">
        <v>9453</v>
      </c>
      <c r="Y1463" s="70" t="s">
        <v>9462</v>
      </c>
      <c r="Z1463" s="73" t="s">
        <v>9486</v>
      </c>
      <c r="AA1463" s="74" t="s">
        <v>9504</v>
      </c>
      <c r="AB1463" s="73" t="s">
        <v>9486</v>
      </c>
      <c r="AC1463" s="74" t="s">
        <v>9566</v>
      </c>
      <c r="AD1463" s="73" t="s">
        <v>9578</v>
      </c>
      <c r="AE1463" s="74" t="s">
        <v>9579</v>
      </c>
    </row>
    <row r="1464" spans="1:31" ht="8.65" customHeight="1" x14ac:dyDescent="0.2">
      <c r="A1464" s="76">
        <v>1464</v>
      </c>
      <c r="B1464" s="67" t="str">
        <f>MID(C1464, FIND("Ifc.", C1464) + 4, 4) &amp; "_" &amp; TEXT(COUNTIF($C$2:C1464, C1464),"0000")</f>
        <v>Prop_1463</v>
      </c>
      <c r="C1464" s="24" t="s">
        <v>872</v>
      </c>
      <c r="D1464" s="69" t="s">
        <v>9453</v>
      </c>
      <c r="E1464" s="70" t="s">
        <v>9454</v>
      </c>
      <c r="F1464" s="17" t="s">
        <v>806</v>
      </c>
      <c r="G1464" s="22" t="s">
        <v>1898</v>
      </c>
      <c r="H1464" s="12" t="s">
        <v>9703</v>
      </c>
      <c r="I1464" s="13" t="s">
        <v>6567</v>
      </c>
      <c r="J1464" s="14" t="s">
        <v>798</v>
      </c>
      <c r="K1464" s="15" t="s">
        <v>798</v>
      </c>
      <c r="L1464" s="12" t="s">
        <v>5315</v>
      </c>
      <c r="M1464" s="13" t="s">
        <v>6009</v>
      </c>
      <c r="N1464" s="12" t="s">
        <v>803</v>
      </c>
      <c r="O1464" s="13" t="s">
        <v>5207</v>
      </c>
      <c r="P1464" s="17" t="s">
        <v>802</v>
      </c>
      <c r="Q1464" s="21" t="s">
        <v>8015</v>
      </c>
      <c r="R1464" s="17" t="s">
        <v>801</v>
      </c>
      <c r="S1464" s="18" t="s">
        <v>2585</v>
      </c>
      <c r="T1464" s="17" t="s">
        <v>800</v>
      </c>
      <c r="U1464" s="18" t="s">
        <v>5238</v>
      </c>
      <c r="V1464" s="17" t="s">
        <v>9418</v>
      </c>
      <c r="W1464" s="18" t="s">
        <v>5309</v>
      </c>
      <c r="X1464" s="69" t="s">
        <v>9453</v>
      </c>
      <c r="Y1464" s="70" t="s">
        <v>9462</v>
      </c>
      <c r="Z1464" s="73" t="s">
        <v>9486</v>
      </c>
      <c r="AA1464" s="74" t="s">
        <v>9504</v>
      </c>
      <c r="AB1464" s="73" t="s">
        <v>9486</v>
      </c>
      <c r="AC1464" s="74" t="s">
        <v>9566</v>
      </c>
      <c r="AD1464" s="73" t="s">
        <v>9578</v>
      </c>
      <c r="AE1464" s="74" t="s">
        <v>9579</v>
      </c>
    </row>
    <row r="1465" spans="1:31" ht="8.65" customHeight="1" x14ac:dyDescent="0.2">
      <c r="A1465" s="76">
        <v>1465</v>
      </c>
      <c r="B1465" s="67" t="str">
        <f>MID(C1465, FIND("Ifc.", C1465) + 4, 4) &amp; "_" &amp; TEXT(COUNTIF($C$2:C1465, C1465),"0000")</f>
        <v>Prop_1464</v>
      </c>
      <c r="C1465" s="24" t="s">
        <v>872</v>
      </c>
      <c r="D1465" s="69" t="s">
        <v>9453</v>
      </c>
      <c r="E1465" s="70" t="s">
        <v>9454</v>
      </c>
      <c r="F1465" s="17" t="s">
        <v>806</v>
      </c>
      <c r="G1465" s="22" t="s">
        <v>1898</v>
      </c>
      <c r="H1465" s="12" t="s">
        <v>9703</v>
      </c>
      <c r="I1465" s="13" t="s">
        <v>6567</v>
      </c>
      <c r="J1465" s="14" t="s">
        <v>798</v>
      </c>
      <c r="K1465" s="15" t="s">
        <v>798</v>
      </c>
      <c r="L1465" s="12" t="s">
        <v>5315</v>
      </c>
      <c r="M1465" s="13" t="s">
        <v>5797</v>
      </c>
      <c r="N1465" s="12" t="s">
        <v>803</v>
      </c>
      <c r="O1465" s="13" t="s">
        <v>5191</v>
      </c>
      <c r="P1465" s="17" t="s">
        <v>802</v>
      </c>
      <c r="Q1465" s="21" t="s">
        <v>7865</v>
      </c>
      <c r="R1465" s="17" t="s">
        <v>801</v>
      </c>
      <c r="S1465" s="18" t="s">
        <v>2585</v>
      </c>
      <c r="T1465" s="17" t="s">
        <v>800</v>
      </c>
      <c r="U1465" s="18" t="s">
        <v>5238</v>
      </c>
      <c r="V1465" s="17" t="s">
        <v>9418</v>
      </c>
      <c r="W1465" s="18" t="s">
        <v>5309</v>
      </c>
      <c r="X1465" s="69" t="s">
        <v>9453</v>
      </c>
      <c r="Y1465" s="70" t="s">
        <v>9462</v>
      </c>
      <c r="Z1465" s="73" t="s">
        <v>9486</v>
      </c>
      <c r="AA1465" s="74" t="s">
        <v>9504</v>
      </c>
      <c r="AB1465" s="73" t="s">
        <v>9486</v>
      </c>
      <c r="AC1465" s="74" t="s">
        <v>9566</v>
      </c>
      <c r="AD1465" s="73" t="s">
        <v>9578</v>
      </c>
      <c r="AE1465" s="74" t="s">
        <v>9579</v>
      </c>
    </row>
    <row r="1466" spans="1:31" ht="8.65" customHeight="1" x14ac:dyDescent="0.2">
      <c r="A1466" s="76">
        <v>1466</v>
      </c>
      <c r="B1466" s="67" t="str">
        <f>MID(C1466, FIND("Ifc.", C1466) + 4, 4) &amp; "_" &amp; TEXT(COUNTIF($C$2:C1466, C1466),"0000")</f>
        <v>Prop_1465</v>
      </c>
      <c r="C1466" s="24" t="s">
        <v>872</v>
      </c>
      <c r="D1466" s="69" t="s">
        <v>9453</v>
      </c>
      <c r="E1466" s="70" t="s">
        <v>9454</v>
      </c>
      <c r="F1466" s="17" t="s">
        <v>806</v>
      </c>
      <c r="G1466" s="22" t="s">
        <v>2071</v>
      </c>
      <c r="H1466" s="12" t="s">
        <v>9703</v>
      </c>
      <c r="I1466" s="13" t="s">
        <v>7305</v>
      </c>
      <c r="J1466" s="14" t="s">
        <v>798</v>
      </c>
      <c r="K1466" s="15" t="s">
        <v>798</v>
      </c>
      <c r="L1466" s="12" t="s">
        <v>5315</v>
      </c>
      <c r="M1466" s="13" t="s">
        <v>5977</v>
      </c>
      <c r="N1466" s="12" t="s">
        <v>803</v>
      </c>
      <c r="O1466" s="13" t="s">
        <v>5091</v>
      </c>
      <c r="P1466" s="17" t="s">
        <v>802</v>
      </c>
      <c r="Q1466" s="21" t="s">
        <v>7963</v>
      </c>
      <c r="R1466" s="17" t="s">
        <v>801</v>
      </c>
      <c r="S1466" s="18" t="s">
        <v>2585</v>
      </c>
      <c r="T1466" s="17" t="s">
        <v>800</v>
      </c>
      <c r="U1466" s="18" t="s">
        <v>5238</v>
      </c>
      <c r="V1466" s="17" t="s">
        <v>9418</v>
      </c>
      <c r="W1466" s="18" t="s">
        <v>5309</v>
      </c>
      <c r="X1466" s="69" t="s">
        <v>9453</v>
      </c>
      <c r="Y1466" s="70" t="s">
        <v>9462</v>
      </c>
      <c r="Z1466" s="73" t="s">
        <v>9486</v>
      </c>
      <c r="AA1466" s="74" t="s">
        <v>9504</v>
      </c>
      <c r="AB1466" s="73" t="s">
        <v>9486</v>
      </c>
      <c r="AC1466" s="74" t="s">
        <v>9566</v>
      </c>
      <c r="AD1466" s="73" t="s">
        <v>9578</v>
      </c>
      <c r="AE1466" s="74" t="s">
        <v>9579</v>
      </c>
    </row>
    <row r="1467" spans="1:31" ht="8.65" customHeight="1" x14ac:dyDescent="0.2">
      <c r="A1467" s="76">
        <v>1467</v>
      </c>
      <c r="B1467" s="67" t="str">
        <f>MID(C1467, FIND("Ifc.", C1467) + 4, 4) &amp; "_" &amp; TEXT(COUNTIF($C$2:C1467, C1467),"0000")</f>
        <v>Prop_1466</v>
      </c>
      <c r="C1467" s="24" t="s">
        <v>872</v>
      </c>
      <c r="D1467" s="69" t="s">
        <v>9453</v>
      </c>
      <c r="E1467" s="70" t="s">
        <v>9454</v>
      </c>
      <c r="F1467" s="17" t="s">
        <v>806</v>
      </c>
      <c r="G1467" s="22" t="s">
        <v>1102</v>
      </c>
      <c r="H1467" s="12" t="s">
        <v>9703</v>
      </c>
      <c r="I1467" s="13" t="s">
        <v>6156</v>
      </c>
      <c r="J1467" s="14" t="s">
        <v>798</v>
      </c>
      <c r="K1467" s="15" t="s">
        <v>798</v>
      </c>
      <c r="L1467" s="12" t="s">
        <v>5315</v>
      </c>
      <c r="M1467" s="13" t="s">
        <v>5815</v>
      </c>
      <c r="N1467" s="12" t="s">
        <v>803</v>
      </c>
      <c r="O1467" s="13" t="s">
        <v>4944</v>
      </c>
      <c r="P1467" s="17" t="s">
        <v>802</v>
      </c>
      <c r="Q1467" s="21" t="s">
        <v>7868</v>
      </c>
      <c r="R1467" s="17" t="s">
        <v>801</v>
      </c>
      <c r="S1467" s="18" t="s">
        <v>2585</v>
      </c>
      <c r="T1467" s="17" t="s">
        <v>800</v>
      </c>
      <c r="U1467" s="18" t="s">
        <v>5238</v>
      </c>
      <c r="V1467" s="17" t="s">
        <v>9418</v>
      </c>
      <c r="W1467" s="18" t="s">
        <v>5309</v>
      </c>
      <c r="X1467" s="69" t="s">
        <v>9453</v>
      </c>
      <c r="Y1467" s="70" t="s">
        <v>9462</v>
      </c>
      <c r="Z1467" s="73" t="s">
        <v>9486</v>
      </c>
      <c r="AA1467" s="74" t="s">
        <v>9504</v>
      </c>
      <c r="AB1467" s="73" t="s">
        <v>9486</v>
      </c>
      <c r="AC1467" s="74" t="s">
        <v>9566</v>
      </c>
      <c r="AD1467" s="73" t="s">
        <v>9578</v>
      </c>
      <c r="AE1467" s="74" t="s">
        <v>9579</v>
      </c>
    </row>
    <row r="1468" spans="1:31" ht="8.65" customHeight="1" x14ac:dyDescent="0.2">
      <c r="A1468" s="76">
        <v>1468</v>
      </c>
      <c r="B1468" s="67" t="str">
        <f>MID(C1468, FIND("Ifc.", C1468) + 4, 4) &amp; "_" &amp; TEXT(COUNTIF($C$2:C1468, C1468),"0000")</f>
        <v>Prop_1467</v>
      </c>
      <c r="C1468" s="24" t="s">
        <v>872</v>
      </c>
      <c r="D1468" s="69" t="s">
        <v>9453</v>
      </c>
      <c r="E1468" s="70" t="s">
        <v>9454</v>
      </c>
      <c r="F1468" s="17" t="s">
        <v>806</v>
      </c>
      <c r="G1468" s="22" t="s">
        <v>1102</v>
      </c>
      <c r="H1468" s="12" t="s">
        <v>9703</v>
      </c>
      <c r="I1468" s="13" t="s">
        <v>6156</v>
      </c>
      <c r="J1468" s="14" t="s">
        <v>798</v>
      </c>
      <c r="K1468" s="15" t="s">
        <v>798</v>
      </c>
      <c r="L1468" s="12" t="s">
        <v>5315</v>
      </c>
      <c r="M1468" s="13" t="s">
        <v>5997</v>
      </c>
      <c r="N1468" s="12" t="s">
        <v>803</v>
      </c>
      <c r="O1468" s="13" t="s">
        <v>4856</v>
      </c>
      <c r="P1468" s="17" t="s">
        <v>802</v>
      </c>
      <c r="Q1468" s="21" t="s">
        <v>7985</v>
      </c>
      <c r="R1468" s="17" t="s">
        <v>801</v>
      </c>
      <c r="S1468" s="18" t="s">
        <v>2585</v>
      </c>
      <c r="T1468" s="17" t="s">
        <v>800</v>
      </c>
      <c r="U1468" s="18" t="s">
        <v>5238</v>
      </c>
      <c r="V1468" s="17" t="s">
        <v>9418</v>
      </c>
      <c r="W1468" s="18" t="s">
        <v>5309</v>
      </c>
      <c r="X1468" s="69" t="s">
        <v>9453</v>
      </c>
      <c r="Y1468" s="70" t="s">
        <v>9462</v>
      </c>
      <c r="Z1468" s="73" t="s">
        <v>9486</v>
      </c>
      <c r="AA1468" s="74" t="s">
        <v>9504</v>
      </c>
      <c r="AB1468" s="73" t="s">
        <v>9486</v>
      </c>
      <c r="AC1468" s="74" t="s">
        <v>9566</v>
      </c>
      <c r="AD1468" s="73" t="s">
        <v>9578</v>
      </c>
      <c r="AE1468" s="74" t="s">
        <v>9579</v>
      </c>
    </row>
    <row r="1469" spans="1:31" ht="8.65" customHeight="1" x14ac:dyDescent="0.2">
      <c r="A1469" s="76">
        <v>1469</v>
      </c>
      <c r="B1469" s="67" t="str">
        <f>MID(C1469, FIND("Ifc.", C1469) + 4, 4) &amp; "_" &amp; TEXT(COUNTIF($C$2:C1469, C1469),"0000")</f>
        <v>Prop_1468</v>
      </c>
      <c r="C1469" s="24" t="s">
        <v>872</v>
      </c>
      <c r="D1469" s="69" t="s">
        <v>9453</v>
      </c>
      <c r="E1469" s="70" t="s">
        <v>9454</v>
      </c>
      <c r="F1469" s="17" t="s">
        <v>806</v>
      </c>
      <c r="G1469" s="22" t="s">
        <v>1102</v>
      </c>
      <c r="H1469" s="12" t="s">
        <v>9703</v>
      </c>
      <c r="I1469" s="13" t="s">
        <v>6156</v>
      </c>
      <c r="J1469" s="14" t="s">
        <v>798</v>
      </c>
      <c r="K1469" s="15" t="s">
        <v>798</v>
      </c>
      <c r="L1469" s="12" t="s">
        <v>5315</v>
      </c>
      <c r="M1469" s="13" t="s">
        <v>5492</v>
      </c>
      <c r="N1469" s="12" t="s">
        <v>803</v>
      </c>
      <c r="O1469" s="13" t="s">
        <v>5103</v>
      </c>
      <c r="P1469" s="17" t="s">
        <v>802</v>
      </c>
      <c r="Q1469" s="21" t="s">
        <v>7722</v>
      </c>
      <c r="R1469" s="17" t="s">
        <v>801</v>
      </c>
      <c r="S1469" s="18" t="s">
        <v>2585</v>
      </c>
      <c r="T1469" s="17" t="s">
        <v>800</v>
      </c>
      <c r="U1469" s="18" t="s">
        <v>5238</v>
      </c>
      <c r="V1469" s="17" t="s">
        <v>9418</v>
      </c>
      <c r="W1469" s="18" t="s">
        <v>5309</v>
      </c>
      <c r="X1469" s="69" t="s">
        <v>9453</v>
      </c>
      <c r="Y1469" s="70" t="s">
        <v>9462</v>
      </c>
      <c r="Z1469" s="73" t="s">
        <v>9486</v>
      </c>
      <c r="AA1469" s="74" t="s">
        <v>9504</v>
      </c>
      <c r="AB1469" s="73" t="s">
        <v>9486</v>
      </c>
      <c r="AC1469" s="74" t="s">
        <v>9566</v>
      </c>
      <c r="AD1469" s="73" t="s">
        <v>9578</v>
      </c>
      <c r="AE1469" s="74" t="s">
        <v>9579</v>
      </c>
    </row>
    <row r="1470" spans="1:31" ht="8.65" customHeight="1" x14ac:dyDescent="0.2">
      <c r="A1470" s="76">
        <v>1470</v>
      </c>
      <c r="B1470" s="67" t="str">
        <f>MID(C1470, FIND("Ifc.", C1470) + 4, 4) &amp; "_" &amp; TEXT(COUNTIF($C$2:C1470, C1470),"0000")</f>
        <v>Prop_1469</v>
      </c>
      <c r="C1470" s="24" t="s">
        <v>872</v>
      </c>
      <c r="D1470" s="69" t="s">
        <v>9453</v>
      </c>
      <c r="E1470" s="70" t="s">
        <v>9454</v>
      </c>
      <c r="F1470" s="17" t="s">
        <v>806</v>
      </c>
      <c r="G1470" s="22" t="s">
        <v>2314</v>
      </c>
      <c r="H1470" s="12" t="s">
        <v>9703</v>
      </c>
      <c r="I1470" s="13" t="s">
        <v>6728</v>
      </c>
      <c r="J1470" s="14" t="s">
        <v>798</v>
      </c>
      <c r="K1470" s="15" t="s">
        <v>798</v>
      </c>
      <c r="L1470" s="12" t="s">
        <v>5315</v>
      </c>
      <c r="M1470" s="13" t="s">
        <v>5555</v>
      </c>
      <c r="N1470" s="12" t="s">
        <v>803</v>
      </c>
      <c r="O1470" s="13" t="s">
        <v>5025</v>
      </c>
      <c r="P1470" s="17" t="s">
        <v>802</v>
      </c>
      <c r="Q1470" s="21" t="s">
        <v>7747</v>
      </c>
      <c r="R1470" s="17" t="s">
        <v>801</v>
      </c>
      <c r="S1470" s="18" t="s">
        <v>2625</v>
      </c>
      <c r="T1470" s="17" t="s">
        <v>800</v>
      </c>
      <c r="U1470" s="18" t="s">
        <v>5240</v>
      </c>
      <c r="V1470" s="17" t="s">
        <v>9418</v>
      </c>
      <c r="W1470" s="18" t="s">
        <v>5309</v>
      </c>
      <c r="X1470" s="69" t="s">
        <v>9453</v>
      </c>
      <c r="Y1470" s="70" t="s">
        <v>9462</v>
      </c>
      <c r="Z1470" s="73" t="s">
        <v>9486</v>
      </c>
      <c r="AA1470" s="74" t="s">
        <v>9504</v>
      </c>
      <c r="AB1470" s="73" t="s">
        <v>9486</v>
      </c>
      <c r="AC1470" s="74" t="s">
        <v>9566</v>
      </c>
      <c r="AD1470" s="73" t="s">
        <v>9578</v>
      </c>
      <c r="AE1470" s="74" t="s">
        <v>9579</v>
      </c>
    </row>
    <row r="1471" spans="1:31" ht="8.65" customHeight="1" x14ac:dyDescent="0.2">
      <c r="A1471" s="76">
        <v>1471</v>
      </c>
      <c r="B1471" s="67" t="str">
        <f>MID(C1471, FIND("Ifc.", C1471) + 4, 4) &amp; "_" &amp; TEXT(COUNTIF($C$2:C1471, C1471),"0000")</f>
        <v>Prop_1470</v>
      </c>
      <c r="C1471" s="24" t="s">
        <v>872</v>
      </c>
      <c r="D1471" s="69" t="s">
        <v>9453</v>
      </c>
      <c r="E1471" s="70" t="s">
        <v>9454</v>
      </c>
      <c r="F1471" s="17" t="s">
        <v>806</v>
      </c>
      <c r="G1471" s="22" t="s">
        <v>2498</v>
      </c>
      <c r="H1471" s="12" t="s">
        <v>9703</v>
      </c>
      <c r="I1471" s="13" t="s">
        <v>6722</v>
      </c>
      <c r="J1471" s="14" t="s">
        <v>798</v>
      </c>
      <c r="K1471" s="15" t="s">
        <v>798</v>
      </c>
      <c r="L1471" s="12" t="s">
        <v>5315</v>
      </c>
      <c r="M1471" s="13" t="s">
        <v>6005</v>
      </c>
      <c r="N1471" s="12" t="s">
        <v>803</v>
      </c>
      <c r="O1471" s="13" t="s">
        <v>5221</v>
      </c>
      <c r="P1471" s="17" t="s">
        <v>802</v>
      </c>
      <c r="Q1471" s="21" t="s">
        <v>7711</v>
      </c>
      <c r="R1471" s="17" t="s">
        <v>801</v>
      </c>
      <c r="S1471" s="18" t="s">
        <v>2562</v>
      </c>
      <c r="T1471" s="17" t="s">
        <v>800</v>
      </c>
      <c r="U1471" s="18" t="s">
        <v>5256</v>
      </c>
      <c r="V1471" s="17" t="s">
        <v>9418</v>
      </c>
      <c r="W1471" s="18" t="s">
        <v>5309</v>
      </c>
      <c r="X1471" s="69" t="s">
        <v>9453</v>
      </c>
      <c r="Y1471" s="70" t="s">
        <v>9462</v>
      </c>
      <c r="Z1471" s="73" t="s">
        <v>9486</v>
      </c>
      <c r="AA1471" s="74" t="s">
        <v>9504</v>
      </c>
      <c r="AB1471" s="73" t="s">
        <v>9486</v>
      </c>
      <c r="AC1471" s="74" t="s">
        <v>9562</v>
      </c>
      <c r="AD1471" s="73" t="s">
        <v>9578</v>
      </c>
      <c r="AE1471" s="74" t="s">
        <v>9579</v>
      </c>
    </row>
    <row r="1472" spans="1:31" ht="8.65" customHeight="1" x14ac:dyDescent="0.2">
      <c r="A1472" s="76">
        <v>1472</v>
      </c>
      <c r="B1472" s="67" t="str">
        <f>MID(C1472, FIND("Ifc.", C1472) + 4, 4) &amp; "_" &amp; TEXT(COUNTIF($C$2:C1472, C1472),"0000")</f>
        <v>Prop_1471</v>
      </c>
      <c r="C1472" s="24" t="s">
        <v>872</v>
      </c>
      <c r="D1472" s="69" t="s">
        <v>9453</v>
      </c>
      <c r="E1472" s="70" t="s">
        <v>9454</v>
      </c>
      <c r="F1472" s="17" t="s">
        <v>806</v>
      </c>
      <c r="G1472" s="22" t="s">
        <v>1839</v>
      </c>
      <c r="H1472" s="12" t="s">
        <v>9703</v>
      </c>
      <c r="I1472" s="13" t="s">
        <v>6529</v>
      </c>
      <c r="J1472" s="14" t="s">
        <v>798</v>
      </c>
      <c r="K1472" s="15" t="s">
        <v>798</v>
      </c>
      <c r="L1472" s="12" t="s">
        <v>5315</v>
      </c>
      <c r="M1472" s="13" t="s">
        <v>5946</v>
      </c>
      <c r="N1472" s="12" t="s">
        <v>803</v>
      </c>
      <c r="O1472" s="13" t="s">
        <v>5031</v>
      </c>
      <c r="P1472" s="17" t="s">
        <v>802</v>
      </c>
      <c r="Q1472" s="21" t="s">
        <v>7924</v>
      </c>
      <c r="R1472" s="17" t="s">
        <v>801</v>
      </c>
      <c r="S1472" s="18" t="s">
        <v>2624</v>
      </c>
      <c r="T1472" s="17" t="s">
        <v>800</v>
      </c>
      <c r="U1472" s="18" t="s">
        <v>5243</v>
      </c>
      <c r="V1472" s="17" t="s">
        <v>9418</v>
      </c>
      <c r="W1472" s="18" t="s">
        <v>5309</v>
      </c>
      <c r="X1472" s="69" t="s">
        <v>9453</v>
      </c>
      <c r="Y1472" s="70" t="s">
        <v>9462</v>
      </c>
      <c r="Z1472" s="73" t="s">
        <v>9486</v>
      </c>
      <c r="AA1472" s="74" t="s">
        <v>9504</v>
      </c>
      <c r="AB1472" s="73" t="s">
        <v>9486</v>
      </c>
      <c r="AC1472" s="74" t="s">
        <v>9566</v>
      </c>
      <c r="AD1472" s="73" t="s">
        <v>9578</v>
      </c>
      <c r="AE1472" s="74" t="s">
        <v>9579</v>
      </c>
    </row>
    <row r="1473" spans="1:31" ht="8.65" customHeight="1" x14ac:dyDescent="0.2">
      <c r="A1473" s="76">
        <v>1473</v>
      </c>
      <c r="B1473" s="67" t="str">
        <f>MID(C1473, FIND("Ifc.", C1473) + 4, 4) &amp; "_" &amp; TEXT(COUNTIF($C$2:C1473, C1473),"0000")</f>
        <v>Prop_1472</v>
      </c>
      <c r="C1473" s="24" t="s">
        <v>872</v>
      </c>
      <c r="D1473" s="69" t="s">
        <v>9453</v>
      </c>
      <c r="E1473" s="70" t="s">
        <v>9454</v>
      </c>
      <c r="F1473" s="17" t="s">
        <v>806</v>
      </c>
      <c r="G1473" s="22" t="s">
        <v>1775</v>
      </c>
      <c r="H1473" s="12" t="s">
        <v>9703</v>
      </c>
      <c r="I1473" s="13" t="s">
        <v>6816</v>
      </c>
      <c r="J1473" s="14" t="s">
        <v>798</v>
      </c>
      <c r="K1473" s="15" t="s">
        <v>798</v>
      </c>
      <c r="L1473" s="12" t="s">
        <v>5315</v>
      </c>
      <c r="M1473" s="13" t="s">
        <v>5936</v>
      </c>
      <c r="N1473" s="12" t="s">
        <v>803</v>
      </c>
      <c r="O1473" s="13" t="s">
        <v>5016</v>
      </c>
      <c r="P1473" s="17" t="s">
        <v>802</v>
      </c>
      <c r="Q1473" s="21" t="s">
        <v>7999</v>
      </c>
      <c r="R1473" s="17" t="s">
        <v>801</v>
      </c>
      <c r="S1473" s="18" t="s">
        <v>2554</v>
      </c>
      <c r="T1473" s="17" t="s">
        <v>800</v>
      </c>
      <c r="U1473" s="18" t="s">
        <v>5233</v>
      </c>
      <c r="V1473" s="17" t="s">
        <v>9418</v>
      </c>
      <c r="W1473" s="18" t="s">
        <v>5310</v>
      </c>
      <c r="X1473" s="69" t="s">
        <v>9453</v>
      </c>
      <c r="Y1473" s="70" t="s">
        <v>9463</v>
      </c>
      <c r="Z1473" s="73" t="s">
        <v>9486</v>
      </c>
      <c r="AA1473" s="74" t="s">
        <v>9504</v>
      </c>
      <c r="AB1473" s="73" t="s">
        <v>9486</v>
      </c>
      <c r="AC1473" s="74" t="s">
        <v>9562</v>
      </c>
      <c r="AD1473" s="73" t="s">
        <v>9578</v>
      </c>
      <c r="AE1473" s="74" t="s">
        <v>9579</v>
      </c>
    </row>
    <row r="1474" spans="1:31" ht="8.65" customHeight="1" x14ac:dyDescent="0.2">
      <c r="A1474" s="76">
        <v>1474</v>
      </c>
      <c r="B1474" s="67" t="str">
        <f>MID(C1474, FIND("Ifc.", C1474) + 4, 4) &amp; "_" &amp; TEXT(COUNTIF($C$2:C1474, C1474),"0000")</f>
        <v>Prop_1473</v>
      </c>
      <c r="C1474" s="24" t="s">
        <v>872</v>
      </c>
      <c r="D1474" s="69" t="s">
        <v>9453</v>
      </c>
      <c r="E1474" s="70" t="s">
        <v>9454</v>
      </c>
      <c r="F1474" s="17" t="s">
        <v>806</v>
      </c>
      <c r="G1474" s="22" t="s">
        <v>1359</v>
      </c>
      <c r="H1474" s="12" t="s">
        <v>9703</v>
      </c>
      <c r="I1474" s="13" t="s">
        <v>6280</v>
      </c>
      <c r="J1474" s="14" t="s">
        <v>798</v>
      </c>
      <c r="K1474" s="15" t="s">
        <v>798</v>
      </c>
      <c r="L1474" s="12" t="s">
        <v>5315</v>
      </c>
      <c r="M1474" s="13" t="s">
        <v>5418</v>
      </c>
      <c r="N1474" s="12" t="s">
        <v>803</v>
      </c>
      <c r="O1474" s="13" t="s">
        <v>4918</v>
      </c>
      <c r="P1474" s="17" t="s">
        <v>802</v>
      </c>
      <c r="Q1474" s="21" t="s">
        <v>8016</v>
      </c>
      <c r="R1474" s="17" t="s">
        <v>801</v>
      </c>
      <c r="S1474" s="18" t="s">
        <v>2554</v>
      </c>
      <c r="T1474" s="17" t="s">
        <v>800</v>
      </c>
      <c r="U1474" s="18" t="s">
        <v>5233</v>
      </c>
      <c r="V1474" s="17" t="s">
        <v>9418</v>
      </c>
      <c r="W1474" s="18" t="s">
        <v>5309</v>
      </c>
      <c r="X1474" s="69" t="s">
        <v>9453</v>
      </c>
      <c r="Y1474" s="70" t="s">
        <v>9462</v>
      </c>
      <c r="Z1474" s="73" t="s">
        <v>9486</v>
      </c>
      <c r="AA1474" s="74" t="s">
        <v>9504</v>
      </c>
      <c r="AB1474" s="73" t="s">
        <v>9486</v>
      </c>
      <c r="AC1474" s="74" t="s">
        <v>9562</v>
      </c>
      <c r="AD1474" s="73" t="s">
        <v>9578</v>
      </c>
      <c r="AE1474" s="74" t="s">
        <v>9579</v>
      </c>
    </row>
    <row r="1475" spans="1:31" ht="8.65" customHeight="1" x14ac:dyDescent="0.2">
      <c r="A1475" s="76">
        <v>1475</v>
      </c>
      <c r="B1475" s="67" t="str">
        <f>MID(C1475, FIND("Ifc.", C1475) + 4, 4) &amp; "_" &amp; TEXT(COUNTIF($C$2:C1475, C1475),"0000")</f>
        <v>Prop_1474</v>
      </c>
      <c r="C1475" s="24" t="s">
        <v>872</v>
      </c>
      <c r="D1475" s="69" t="s">
        <v>9453</v>
      </c>
      <c r="E1475" s="70" t="s">
        <v>9454</v>
      </c>
      <c r="F1475" s="17" t="s">
        <v>806</v>
      </c>
      <c r="G1475" s="22" t="s">
        <v>1359</v>
      </c>
      <c r="H1475" s="12" t="s">
        <v>9703</v>
      </c>
      <c r="I1475" s="13" t="s">
        <v>6280</v>
      </c>
      <c r="J1475" s="14" t="s">
        <v>798</v>
      </c>
      <c r="K1475" s="15" t="s">
        <v>798</v>
      </c>
      <c r="L1475" s="12" t="s">
        <v>5315</v>
      </c>
      <c r="M1475" s="13" t="s">
        <v>5966</v>
      </c>
      <c r="N1475" s="12" t="s">
        <v>803</v>
      </c>
      <c r="O1475" s="13" t="s">
        <v>5065</v>
      </c>
      <c r="P1475" s="17" t="s">
        <v>802</v>
      </c>
      <c r="Q1475" s="21" t="s">
        <v>8017</v>
      </c>
      <c r="R1475" s="17" t="s">
        <v>801</v>
      </c>
      <c r="S1475" s="18" t="s">
        <v>2554</v>
      </c>
      <c r="T1475" s="17" t="s">
        <v>800</v>
      </c>
      <c r="U1475" s="18" t="s">
        <v>5233</v>
      </c>
      <c r="V1475" s="17" t="s">
        <v>9418</v>
      </c>
      <c r="W1475" s="18" t="s">
        <v>5310</v>
      </c>
      <c r="X1475" s="69" t="s">
        <v>9453</v>
      </c>
      <c r="Y1475" s="70" t="s">
        <v>9463</v>
      </c>
      <c r="Z1475" s="73" t="s">
        <v>9486</v>
      </c>
      <c r="AA1475" s="74" t="s">
        <v>9504</v>
      </c>
      <c r="AB1475" s="73" t="s">
        <v>9486</v>
      </c>
      <c r="AC1475" s="74" t="s">
        <v>9562</v>
      </c>
      <c r="AD1475" s="73" t="s">
        <v>9578</v>
      </c>
      <c r="AE1475" s="74" t="s">
        <v>9579</v>
      </c>
    </row>
    <row r="1476" spans="1:31" ht="8.65" customHeight="1" x14ac:dyDescent="0.2">
      <c r="A1476" s="76">
        <v>1476</v>
      </c>
      <c r="B1476" s="67" t="str">
        <f>MID(C1476, FIND("Ifc.", C1476) + 4, 4) &amp; "_" &amp; TEXT(COUNTIF($C$2:C1476, C1476),"0000")</f>
        <v>Prop_1475</v>
      </c>
      <c r="C1476" s="24" t="s">
        <v>872</v>
      </c>
      <c r="D1476" s="69" t="s">
        <v>9453</v>
      </c>
      <c r="E1476" s="70" t="s">
        <v>9454</v>
      </c>
      <c r="F1476" s="17" t="s">
        <v>806</v>
      </c>
      <c r="G1476" s="22" t="s">
        <v>948</v>
      </c>
      <c r="H1476" s="12" t="s">
        <v>9703</v>
      </c>
      <c r="I1476" s="13" t="s">
        <v>7303</v>
      </c>
      <c r="J1476" s="14" t="s">
        <v>798</v>
      </c>
      <c r="K1476" s="15" t="s">
        <v>798</v>
      </c>
      <c r="L1476" s="12" t="s">
        <v>5315</v>
      </c>
      <c r="M1476" s="13" t="s">
        <v>5819</v>
      </c>
      <c r="N1476" s="12" t="s">
        <v>803</v>
      </c>
      <c r="O1476" s="13" t="s">
        <v>4818</v>
      </c>
      <c r="P1476" s="17" t="s">
        <v>802</v>
      </c>
      <c r="Q1476" s="21" t="s">
        <v>7691</v>
      </c>
      <c r="R1476" s="17" t="s">
        <v>801</v>
      </c>
      <c r="S1476" s="18" t="s">
        <v>2560</v>
      </c>
      <c r="T1476" s="17" t="s">
        <v>800</v>
      </c>
      <c r="U1476" s="18" t="s">
        <v>5236</v>
      </c>
      <c r="V1476" s="17" t="s">
        <v>9418</v>
      </c>
      <c r="W1476" s="18" t="s">
        <v>5309</v>
      </c>
      <c r="X1476" s="69" t="s">
        <v>9453</v>
      </c>
      <c r="Y1476" s="70" t="s">
        <v>9462</v>
      </c>
      <c r="Z1476" s="73" t="s">
        <v>9486</v>
      </c>
      <c r="AA1476" s="74" t="s">
        <v>9504</v>
      </c>
      <c r="AB1476" s="73" t="s">
        <v>9486</v>
      </c>
      <c r="AC1476" s="74" t="s">
        <v>9562</v>
      </c>
      <c r="AD1476" s="73" t="s">
        <v>9578</v>
      </c>
      <c r="AE1476" s="74" t="s">
        <v>9579</v>
      </c>
    </row>
    <row r="1477" spans="1:31" ht="8.65" customHeight="1" x14ac:dyDescent="0.2">
      <c r="A1477" s="76">
        <v>1477</v>
      </c>
      <c r="B1477" s="67" t="str">
        <f>MID(C1477, FIND("Ifc.", C1477) + 4, 4) &amp; "_" &amp; TEXT(COUNTIF($C$2:C1477, C1477),"0000")</f>
        <v>Prop_1476</v>
      </c>
      <c r="C1477" s="24" t="s">
        <v>872</v>
      </c>
      <c r="D1477" s="69" t="s">
        <v>9453</v>
      </c>
      <c r="E1477" s="70" t="s">
        <v>9454</v>
      </c>
      <c r="F1477" s="17" t="s">
        <v>806</v>
      </c>
      <c r="G1477" s="22" t="s">
        <v>948</v>
      </c>
      <c r="H1477" s="12" t="s">
        <v>9703</v>
      </c>
      <c r="I1477" s="13" t="s">
        <v>7303</v>
      </c>
      <c r="J1477" s="14" t="s">
        <v>798</v>
      </c>
      <c r="K1477" s="15" t="s">
        <v>798</v>
      </c>
      <c r="L1477" s="12" t="s">
        <v>5315</v>
      </c>
      <c r="M1477" s="13" t="s">
        <v>5415</v>
      </c>
      <c r="N1477" s="12" t="s">
        <v>803</v>
      </c>
      <c r="O1477" s="13" t="s">
        <v>4914</v>
      </c>
      <c r="P1477" s="17" t="s">
        <v>802</v>
      </c>
      <c r="Q1477" s="21" t="s">
        <v>7735</v>
      </c>
      <c r="R1477" s="17" t="s">
        <v>801</v>
      </c>
      <c r="S1477" s="18" t="s">
        <v>2560</v>
      </c>
      <c r="T1477" s="17" t="s">
        <v>800</v>
      </c>
      <c r="U1477" s="18" t="s">
        <v>5236</v>
      </c>
      <c r="V1477" s="17" t="s">
        <v>9418</v>
      </c>
      <c r="W1477" s="18" t="s">
        <v>5309</v>
      </c>
      <c r="X1477" s="69" t="s">
        <v>9453</v>
      </c>
      <c r="Y1477" s="70" t="s">
        <v>9462</v>
      </c>
      <c r="Z1477" s="73" t="s">
        <v>9486</v>
      </c>
      <c r="AA1477" s="74" t="s">
        <v>9504</v>
      </c>
      <c r="AB1477" s="73" t="s">
        <v>9486</v>
      </c>
      <c r="AC1477" s="74" t="s">
        <v>9562</v>
      </c>
      <c r="AD1477" s="73" t="s">
        <v>9578</v>
      </c>
      <c r="AE1477" s="74" t="s">
        <v>9579</v>
      </c>
    </row>
    <row r="1478" spans="1:31" ht="8.65" customHeight="1" x14ac:dyDescent="0.2">
      <c r="A1478" s="76">
        <v>1478</v>
      </c>
      <c r="B1478" s="67" t="str">
        <f>MID(C1478, FIND("Ifc.", C1478) + 4, 4) &amp; "_" &amp; TEXT(COUNTIF($C$2:C1478, C1478),"0000")</f>
        <v>Prop_1477</v>
      </c>
      <c r="C1478" s="24" t="s">
        <v>872</v>
      </c>
      <c r="D1478" s="69" t="s">
        <v>9453</v>
      </c>
      <c r="E1478" s="70" t="s">
        <v>9454</v>
      </c>
      <c r="F1478" s="17" t="s">
        <v>806</v>
      </c>
      <c r="G1478" s="22" t="s">
        <v>948</v>
      </c>
      <c r="H1478" s="12" t="s">
        <v>9703</v>
      </c>
      <c r="I1478" s="13" t="s">
        <v>7303</v>
      </c>
      <c r="J1478" s="14" t="s">
        <v>798</v>
      </c>
      <c r="K1478" s="15" t="s">
        <v>798</v>
      </c>
      <c r="L1478" s="12" t="s">
        <v>5315</v>
      </c>
      <c r="M1478" s="13" t="s">
        <v>5503</v>
      </c>
      <c r="N1478" s="12" t="s">
        <v>803</v>
      </c>
      <c r="O1478" s="13" t="s">
        <v>5116</v>
      </c>
      <c r="P1478" s="17" t="s">
        <v>802</v>
      </c>
      <c r="Q1478" s="21" t="s">
        <v>7763</v>
      </c>
      <c r="R1478" s="17" t="s">
        <v>801</v>
      </c>
      <c r="S1478" s="18" t="s">
        <v>2560</v>
      </c>
      <c r="T1478" s="17" t="s">
        <v>800</v>
      </c>
      <c r="U1478" s="18" t="s">
        <v>5236</v>
      </c>
      <c r="V1478" s="17" t="s">
        <v>9418</v>
      </c>
      <c r="W1478" s="18" t="s">
        <v>5309</v>
      </c>
      <c r="X1478" s="69" t="s">
        <v>9453</v>
      </c>
      <c r="Y1478" s="70" t="s">
        <v>9462</v>
      </c>
      <c r="Z1478" s="73" t="s">
        <v>9486</v>
      </c>
      <c r="AA1478" s="74" t="s">
        <v>9504</v>
      </c>
      <c r="AB1478" s="73" t="s">
        <v>9486</v>
      </c>
      <c r="AC1478" s="74" t="s">
        <v>9562</v>
      </c>
      <c r="AD1478" s="73" t="s">
        <v>9578</v>
      </c>
      <c r="AE1478" s="74" t="s">
        <v>9579</v>
      </c>
    </row>
    <row r="1479" spans="1:31" ht="8.65" customHeight="1" x14ac:dyDescent="0.2">
      <c r="A1479" s="76">
        <v>1479</v>
      </c>
      <c r="B1479" s="67" t="str">
        <f>MID(C1479, FIND("Ifc.", C1479) + 4, 4) &amp; "_" &amp; TEXT(COUNTIF($C$2:C1479, C1479),"0000")</f>
        <v>Prop_1478</v>
      </c>
      <c r="C1479" s="24" t="s">
        <v>872</v>
      </c>
      <c r="D1479" s="69" t="s">
        <v>9453</v>
      </c>
      <c r="E1479" s="70" t="s">
        <v>9454</v>
      </c>
      <c r="F1479" s="17" t="s">
        <v>806</v>
      </c>
      <c r="G1479" s="22" t="s">
        <v>947</v>
      </c>
      <c r="H1479" s="12" t="s">
        <v>9703</v>
      </c>
      <c r="I1479" s="13" t="s">
        <v>7302</v>
      </c>
      <c r="J1479" s="14" t="s">
        <v>798</v>
      </c>
      <c r="K1479" s="15" t="s">
        <v>798</v>
      </c>
      <c r="L1479" s="12" t="s">
        <v>5315</v>
      </c>
      <c r="M1479" s="13" t="s">
        <v>5819</v>
      </c>
      <c r="N1479" s="12" t="s">
        <v>803</v>
      </c>
      <c r="O1479" s="13" t="s">
        <v>4818</v>
      </c>
      <c r="P1479" s="17" t="s">
        <v>802</v>
      </c>
      <c r="Q1479" s="21" t="s">
        <v>7691</v>
      </c>
      <c r="R1479" s="17" t="s">
        <v>801</v>
      </c>
      <c r="S1479" s="18" t="s">
        <v>2560</v>
      </c>
      <c r="T1479" s="17" t="s">
        <v>800</v>
      </c>
      <c r="U1479" s="18" t="s">
        <v>5236</v>
      </c>
      <c r="V1479" s="17" t="s">
        <v>9418</v>
      </c>
      <c r="W1479" s="18" t="s">
        <v>5309</v>
      </c>
      <c r="X1479" s="69" t="s">
        <v>9453</v>
      </c>
      <c r="Y1479" s="70" t="s">
        <v>9462</v>
      </c>
      <c r="Z1479" s="73" t="s">
        <v>9486</v>
      </c>
      <c r="AA1479" s="74" t="s">
        <v>9504</v>
      </c>
      <c r="AB1479" s="73" t="s">
        <v>9486</v>
      </c>
      <c r="AC1479" s="74" t="s">
        <v>9562</v>
      </c>
      <c r="AD1479" s="73" t="s">
        <v>9578</v>
      </c>
      <c r="AE1479" s="74" t="s">
        <v>9579</v>
      </c>
    </row>
    <row r="1480" spans="1:31" ht="8.65" customHeight="1" x14ac:dyDescent="0.2">
      <c r="A1480" s="76">
        <v>1480</v>
      </c>
      <c r="B1480" s="67" t="str">
        <f>MID(C1480, FIND("Ifc.", C1480) + 4, 4) &amp; "_" &amp; TEXT(COUNTIF($C$2:C1480, C1480),"0000")</f>
        <v>Prop_1479</v>
      </c>
      <c r="C1480" s="24" t="s">
        <v>872</v>
      </c>
      <c r="D1480" s="69" t="s">
        <v>9453</v>
      </c>
      <c r="E1480" s="70" t="s">
        <v>9454</v>
      </c>
      <c r="F1480" s="17" t="s">
        <v>806</v>
      </c>
      <c r="G1480" s="22" t="s">
        <v>947</v>
      </c>
      <c r="H1480" s="12" t="s">
        <v>9703</v>
      </c>
      <c r="I1480" s="13" t="s">
        <v>7302</v>
      </c>
      <c r="J1480" s="14" t="s">
        <v>798</v>
      </c>
      <c r="K1480" s="15" t="s">
        <v>798</v>
      </c>
      <c r="L1480" s="12" t="s">
        <v>5315</v>
      </c>
      <c r="M1480" s="13" t="s">
        <v>5415</v>
      </c>
      <c r="N1480" s="12" t="s">
        <v>803</v>
      </c>
      <c r="O1480" s="13" t="s">
        <v>4914</v>
      </c>
      <c r="P1480" s="17" t="s">
        <v>802</v>
      </c>
      <c r="Q1480" s="21" t="s">
        <v>7735</v>
      </c>
      <c r="R1480" s="17" t="s">
        <v>801</v>
      </c>
      <c r="S1480" s="18" t="s">
        <v>2560</v>
      </c>
      <c r="T1480" s="17" t="s">
        <v>800</v>
      </c>
      <c r="U1480" s="18" t="s">
        <v>5236</v>
      </c>
      <c r="V1480" s="17" t="s">
        <v>9418</v>
      </c>
      <c r="W1480" s="18" t="s">
        <v>5309</v>
      </c>
      <c r="X1480" s="69" t="s">
        <v>9453</v>
      </c>
      <c r="Y1480" s="70" t="s">
        <v>9462</v>
      </c>
      <c r="Z1480" s="73" t="s">
        <v>9486</v>
      </c>
      <c r="AA1480" s="74" t="s">
        <v>9504</v>
      </c>
      <c r="AB1480" s="73" t="s">
        <v>9486</v>
      </c>
      <c r="AC1480" s="74" t="s">
        <v>9562</v>
      </c>
      <c r="AD1480" s="73" t="s">
        <v>9578</v>
      </c>
      <c r="AE1480" s="74" t="s">
        <v>9579</v>
      </c>
    </row>
    <row r="1481" spans="1:31" ht="8.65" customHeight="1" x14ac:dyDescent="0.2">
      <c r="A1481" s="76">
        <v>1481</v>
      </c>
      <c r="B1481" s="67" t="str">
        <f>MID(C1481, FIND("Ifc.", C1481) + 4, 4) &amp; "_" &amp; TEXT(COUNTIF($C$2:C1481, C1481),"0000")</f>
        <v>Prop_1480</v>
      </c>
      <c r="C1481" s="24" t="s">
        <v>872</v>
      </c>
      <c r="D1481" s="69" t="s">
        <v>9453</v>
      </c>
      <c r="E1481" s="70" t="s">
        <v>9454</v>
      </c>
      <c r="F1481" s="17" t="s">
        <v>806</v>
      </c>
      <c r="G1481" s="22" t="s">
        <v>947</v>
      </c>
      <c r="H1481" s="12" t="s">
        <v>9703</v>
      </c>
      <c r="I1481" s="13" t="s">
        <v>7302</v>
      </c>
      <c r="J1481" s="14" t="s">
        <v>798</v>
      </c>
      <c r="K1481" s="15" t="s">
        <v>798</v>
      </c>
      <c r="L1481" s="12" t="s">
        <v>5315</v>
      </c>
      <c r="M1481" s="13" t="s">
        <v>5503</v>
      </c>
      <c r="N1481" s="12" t="s">
        <v>803</v>
      </c>
      <c r="O1481" s="13" t="s">
        <v>5116</v>
      </c>
      <c r="P1481" s="17" t="s">
        <v>802</v>
      </c>
      <c r="Q1481" s="21" t="s">
        <v>7763</v>
      </c>
      <c r="R1481" s="17" t="s">
        <v>801</v>
      </c>
      <c r="S1481" s="18" t="s">
        <v>2560</v>
      </c>
      <c r="T1481" s="17" t="s">
        <v>800</v>
      </c>
      <c r="U1481" s="18" t="s">
        <v>5236</v>
      </c>
      <c r="V1481" s="17" t="s">
        <v>9418</v>
      </c>
      <c r="W1481" s="18" t="s">
        <v>5309</v>
      </c>
      <c r="X1481" s="69" t="s">
        <v>9453</v>
      </c>
      <c r="Y1481" s="70" t="s">
        <v>9462</v>
      </c>
      <c r="Z1481" s="73" t="s">
        <v>9486</v>
      </c>
      <c r="AA1481" s="74" t="s">
        <v>9504</v>
      </c>
      <c r="AB1481" s="73" t="s">
        <v>9486</v>
      </c>
      <c r="AC1481" s="74" t="s">
        <v>9562</v>
      </c>
      <c r="AD1481" s="73" t="s">
        <v>9578</v>
      </c>
      <c r="AE1481" s="74" t="s">
        <v>9579</v>
      </c>
    </row>
    <row r="1482" spans="1:31" ht="8.65" customHeight="1" x14ac:dyDescent="0.2">
      <c r="A1482" s="76">
        <v>1482</v>
      </c>
      <c r="B1482" s="67" t="str">
        <f>MID(C1482, FIND("Ifc.", C1482) + 4, 4) &amp; "_" &amp; TEXT(COUNTIF($C$2:C1482, C1482),"0000")</f>
        <v>Prop_1481</v>
      </c>
      <c r="C1482" s="24" t="s">
        <v>872</v>
      </c>
      <c r="D1482" s="69" t="s">
        <v>9453</v>
      </c>
      <c r="E1482" s="70" t="s">
        <v>9454</v>
      </c>
      <c r="F1482" s="17" t="s">
        <v>806</v>
      </c>
      <c r="G1482" s="22" t="s">
        <v>2088</v>
      </c>
      <c r="H1482" s="12" t="s">
        <v>9703</v>
      </c>
      <c r="I1482" s="13" t="s">
        <v>6626</v>
      </c>
      <c r="J1482" s="14" t="s">
        <v>798</v>
      </c>
      <c r="K1482" s="15" t="s">
        <v>798</v>
      </c>
      <c r="L1482" s="12" t="s">
        <v>5315</v>
      </c>
      <c r="M1482" s="13" t="s">
        <v>5488</v>
      </c>
      <c r="N1482" s="12" t="s">
        <v>803</v>
      </c>
      <c r="O1482" s="13" t="s">
        <v>5096</v>
      </c>
      <c r="P1482" s="17" t="s">
        <v>802</v>
      </c>
      <c r="Q1482" s="21" t="s">
        <v>7886</v>
      </c>
      <c r="R1482" s="17" t="s">
        <v>801</v>
      </c>
      <c r="S1482" s="18" t="s">
        <v>2559</v>
      </c>
      <c r="T1482" s="17" t="s">
        <v>800</v>
      </c>
      <c r="U1482" s="18" t="s">
        <v>5234</v>
      </c>
      <c r="V1482" s="17" t="s">
        <v>9418</v>
      </c>
      <c r="W1482" s="18" t="s">
        <v>5313</v>
      </c>
      <c r="X1482" s="69" t="s">
        <v>9453</v>
      </c>
      <c r="Y1482" s="70" t="s">
        <v>9467</v>
      </c>
      <c r="Z1482" s="73" t="s">
        <v>9486</v>
      </c>
      <c r="AA1482" s="74" t="s">
        <v>9504</v>
      </c>
      <c r="AB1482" s="73" t="s">
        <v>9486</v>
      </c>
      <c r="AC1482" s="74" t="s">
        <v>9562</v>
      </c>
      <c r="AD1482" s="73" t="s">
        <v>9578</v>
      </c>
      <c r="AE1482" s="74" t="s">
        <v>9579</v>
      </c>
    </row>
    <row r="1483" spans="1:31" ht="8.65" customHeight="1" x14ac:dyDescent="0.2">
      <c r="A1483" s="76">
        <v>1483</v>
      </c>
      <c r="B1483" s="67" t="str">
        <f>MID(C1483, FIND("Ifc.", C1483) + 4, 4) &amp; "_" &amp; TEXT(COUNTIF($C$2:C1483, C1483),"0000")</f>
        <v>Prop_1482</v>
      </c>
      <c r="C1483" s="24" t="s">
        <v>872</v>
      </c>
      <c r="D1483" s="69" t="s">
        <v>9453</v>
      </c>
      <c r="E1483" s="70" t="s">
        <v>9454</v>
      </c>
      <c r="F1483" s="17" t="s">
        <v>806</v>
      </c>
      <c r="G1483" s="22" t="s">
        <v>1432</v>
      </c>
      <c r="H1483" s="12" t="s">
        <v>9703</v>
      </c>
      <c r="I1483" s="13" t="s">
        <v>7098</v>
      </c>
      <c r="J1483" s="14" t="s">
        <v>798</v>
      </c>
      <c r="K1483" s="15" t="s">
        <v>798</v>
      </c>
      <c r="L1483" s="12" t="s">
        <v>5315</v>
      </c>
      <c r="M1483" s="13" t="s">
        <v>5434</v>
      </c>
      <c r="N1483" s="12" t="s">
        <v>803</v>
      </c>
      <c r="O1483" s="13" t="s">
        <v>4934</v>
      </c>
      <c r="P1483" s="17" t="s">
        <v>802</v>
      </c>
      <c r="Q1483" s="21" t="s">
        <v>7723</v>
      </c>
      <c r="R1483" s="17" t="s">
        <v>801</v>
      </c>
      <c r="S1483" s="18" t="s">
        <v>2625</v>
      </c>
      <c r="T1483" s="17" t="s">
        <v>800</v>
      </c>
      <c r="U1483" s="18" t="s">
        <v>5240</v>
      </c>
      <c r="V1483" s="17" t="s">
        <v>9418</v>
      </c>
      <c r="W1483" s="18" t="s">
        <v>5312</v>
      </c>
      <c r="X1483" s="69" t="s">
        <v>9453</v>
      </c>
      <c r="Y1483" s="70" t="s">
        <v>9465</v>
      </c>
      <c r="Z1483" s="73" t="s">
        <v>9486</v>
      </c>
      <c r="AA1483" s="74" t="s">
        <v>9504</v>
      </c>
      <c r="AB1483" s="73" t="s">
        <v>9486</v>
      </c>
      <c r="AC1483" s="74" t="s">
        <v>9566</v>
      </c>
      <c r="AD1483" s="73" t="s">
        <v>9578</v>
      </c>
      <c r="AE1483" s="74" t="s">
        <v>9579</v>
      </c>
    </row>
    <row r="1484" spans="1:31" ht="8.65" customHeight="1" x14ac:dyDescent="0.2">
      <c r="A1484" s="76">
        <v>1484</v>
      </c>
      <c r="B1484" s="67" t="str">
        <f>MID(C1484, FIND("Ifc.", C1484) + 4, 4) &amp; "_" &amp; TEXT(COUNTIF($C$2:C1484, C1484),"0000")</f>
        <v>Prop_1483</v>
      </c>
      <c r="C1484" s="24" t="s">
        <v>872</v>
      </c>
      <c r="D1484" s="69" t="s">
        <v>9453</v>
      </c>
      <c r="E1484" s="70" t="s">
        <v>9454</v>
      </c>
      <c r="F1484" s="17" t="s">
        <v>806</v>
      </c>
      <c r="G1484" s="22" t="s">
        <v>1632</v>
      </c>
      <c r="H1484" s="12" t="s">
        <v>9703</v>
      </c>
      <c r="I1484" s="13" t="s">
        <v>6372</v>
      </c>
      <c r="J1484" s="14" t="s">
        <v>798</v>
      </c>
      <c r="K1484" s="15" t="s">
        <v>798</v>
      </c>
      <c r="L1484" s="12" t="s">
        <v>5315</v>
      </c>
      <c r="M1484" s="13" t="s">
        <v>5923</v>
      </c>
      <c r="N1484" s="12" t="s">
        <v>803</v>
      </c>
      <c r="O1484" s="13" t="s">
        <v>4977</v>
      </c>
      <c r="P1484" s="17" t="s">
        <v>802</v>
      </c>
      <c r="Q1484" s="21" t="s">
        <v>8007</v>
      </c>
      <c r="R1484" s="17" t="s">
        <v>801</v>
      </c>
      <c r="S1484" s="18" t="s">
        <v>3636</v>
      </c>
      <c r="T1484" s="17" t="s">
        <v>800</v>
      </c>
      <c r="U1484" s="18" t="s">
        <v>5257</v>
      </c>
      <c r="V1484" s="17" t="s">
        <v>9418</v>
      </c>
      <c r="W1484" s="18" t="s">
        <v>5314</v>
      </c>
      <c r="X1484" s="69" t="s">
        <v>9453</v>
      </c>
      <c r="Y1484" s="70" t="s">
        <v>9464</v>
      </c>
      <c r="Z1484" s="73" t="s">
        <v>9486</v>
      </c>
      <c r="AA1484" s="74" t="s">
        <v>9504</v>
      </c>
      <c r="AB1484" s="73" t="s">
        <v>9486</v>
      </c>
      <c r="AC1484" s="74" t="s">
        <v>9561</v>
      </c>
      <c r="AD1484" s="73" t="s">
        <v>9578</v>
      </c>
      <c r="AE1484" s="74" t="s">
        <v>9579</v>
      </c>
    </row>
    <row r="1485" spans="1:31" ht="8.65" customHeight="1" x14ac:dyDescent="0.2">
      <c r="A1485" s="76">
        <v>1485</v>
      </c>
      <c r="B1485" s="67" t="str">
        <f>MID(C1485, FIND("Ifc.", C1485) + 4, 4) &amp; "_" &amp; TEXT(COUNTIF($C$2:C1485, C1485),"0000")</f>
        <v>Prop_1484</v>
      </c>
      <c r="C1485" s="24" t="s">
        <v>872</v>
      </c>
      <c r="D1485" s="69" t="s">
        <v>9453</v>
      </c>
      <c r="E1485" s="70" t="s">
        <v>9454</v>
      </c>
      <c r="F1485" s="17" t="s">
        <v>806</v>
      </c>
      <c r="G1485" s="22" t="s">
        <v>1632</v>
      </c>
      <c r="H1485" s="12" t="s">
        <v>9703</v>
      </c>
      <c r="I1485" s="13" t="s">
        <v>6372</v>
      </c>
      <c r="J1485" s="14" t="s">
        <v>798</v>
      </c>
      <c r="K1485" s="15" t="s">
        <v>798</v>
      </c>
      <c r="L1485" s="12" t="s">
        <v>5315</v>
      </c>
      <c r="M1485" s="13" t="s">
        <v>5838</v>
      </c>
      <c r="N1485" s="12" t="s">
        <v>803</v>
      </c>
      <c r="O1485" s="13" t="s">
        <v>4981</v>
      </c>
      <c r="P1485" s="17" t="s">
        <v>802</v>
      </c>
      <c r="Q1485" s="21" t="s">
        <v>8018</v>
      </c>
      <c r="R1485" s="17" t="s">
        <v>801</v>
      </c>
      <c r="S1485" s="18" t="s">
        <v>3636</v>
      </c>
      <c r="T1485" s="17" t="s">
        <v>800</v>
      </c>
      <c r="U1485" s="18" t="s">
        <v>5257</v>
      </c>
      <c r="V1485" s="17" t="s">
        <v>9418</v>
      </c>
      <c r="W1485" s="18" t="s">
        <v>5314</v>
      </c>
      <c r="X1485" s="69" t="s">
        <v>9453</v>
      </c>
      <c r="Y1485" s="70" t="s">
        <v>9464</v>
      </c>
      <c r="Z1485" s="73" t="s">
        <v>9486</v>
      </c>
      <c r="AA1485" s="74" t="s">
        <v>9504</v>
      </c>
      <c r="AB1485" s="73" t="s">
        <v>9486</v>
      </c>
      <c r="AC1485" s="74" t="s">
        <v>9561</v>
      </c>
      <c r="AD1485" s="73" t="s">
        <v>9578</v>
      </c>
      <c r="AE1485" s="74" t="s">
        <v>9579</v>
      </c>
    </row>
    <row r="1486" spans="1:31" ht="8.65" customHeight="1" x14ac:dyDescent="0.2">
      <c r="A1486" s="76">
        <v>1486</v>
      </c>
      <c r="B1486" s="67" t="str">
        <f>MID(C1486, FIND("Ifc.", C1486) + 4, 4) &amp; "_" &amp; TEXT(COUNTIF($C$2:C1486, C1486),"0000")</f>
        <v>Prop_1485</v>
      </c>
      <c r="C1486" s="24" t="s">
        <v>872</v>
      </c>
      <c r="D1486" s="69" t="s">
        <v>9453</v>
      </c>
      <c r="E1486" s="70" t="s">
        <v>9454</v>
      </c>
      <c r="F1486" s="17" t="s">
        <v>806</v>
      </c>
      <c r="G1486" s="22" t="s">
        <v>1632</v>
      </c>
      <c r="H1486" s="12" t="s">
        <v>9703</v>
      </c>
      <c r="I1486" s="13" t="s">
        <v>6372</v>
      </c>
      <c r="J1486" s="14" t="s">
        <v>798</v>
      </c>
      <c r="K1486" s="15" t="s">
        <v>798</v>
      </c>
      <c r="L1486" s="12" t="s">
        <v>5315</v>
      </c>
      <c r="M1486" s="13" t="s">
        <v>5843</v>
      </c>
      <c r="N1486" s="12" t="s">
        <v>803</v>
      </c>
      <c r="O1486" s="13" t="s">
        <v>4988</v>
      </c>
      <c r="P1486" s="17" t="s">
        <v>802</v>
      </c>
      <c r="Q1486" s="21" t="s">
        <v>8019</v>
      </c>
      <c r="R1486" s="17" t="s">
        <v>801</v>
      </c>
      <c r="S1486" s="18" t="s">
        <v>3636</v>
      </c>
      <c r="T1486" s="17" t="s">
        <v>800</v>
      </c>
      <c r="U1486" s="18" t="s">
        <v>5257</v>
      </c>
      <c r="V1486" s="17" t="s">
        <v>9418</v>
      </c>
      <c r="W1486" s="18" t="s">
        <v>5314</v>
      </c>
      <c r="X1486" s="69" t="s">
        <v>9453</v>
      </c>
      <c r="Y1486" s="70" t="s">
        <v>9464</v>
      </c>
      <c r="Z1486" s="73" t="s">
        <v>9486</v>
      </c>
      <c r="AA1486" s="74" t="s">
        <v>9504</v>
      </c>
      <c r="AB1486" s="73" t="s">
        <v>9486</v>
      </c>
      <c r="AC1486" s="74" t="s">
        <v>9561</v>
      </c>
      <c r="AD1486" s="73" t="s">
        <v>9578</v>
      </c>
      <c r="AE1486" s="74" t="s">
        <v>9579</v>
      </c>
    </row>
    <row r="1487" spans="1:31" ht="8.65" customHeight="1" x14ac:dyDescent="0.2">
      <c r="A1487" s="76">
        <v>1487</v>
      </c>
      <c r="B1487" s="67" t="str">
        <f>MID(C1487, FIND("Ifc.", C1487) + 4, 4) &amp; "_" &amp; TEXT(COUNTIF($C$2:C1487, C1487),"0000")</f>
        <v>Prop_1486</v>
      </c>
      <c r="C1487" s="24" t="s">
        <v>872</v>
      </c>
      <c r="D1487" s="69" t="s">
        <v>9453</v>
      </c>
      <c r="E1487" s="70" t="s">
        <v>9454</v>
      </c>
      <c r="F1487" s="17" t="s">
        <v>806</v>
      </c>
      <c r="G1487" s="22" t="s">
        <v>1632</v>
      </c>
      <c r="H1487" s="12" t="s">
        <v>9703</v>
      </c>
      <c r="I1487" s="13" t="s">
        <v>6372</v>
      </c>
      <c r="J1487" s="14" t="s">
        <v>798</v>
      </c>
      <c r="K1487" s="15" t="s">
        <v>798</v>
      </c>
      <c r="L1487" s="12" t="s">
        <v>5315</v>
      </c>
      <c r="M1487" s="13" t="s">
        <v>5845</v>
      </c>
      <c r="N1487" s="12" t="s">
        <v>803</v>
      </c>
      <c r="O1487" s="13" t="s">
        <v>4991</v>
      </c>
      <c r="P1487" s="17" t="s">
        <v>802</v>
      </c>
      <c r="Q1487" s="21" t="s">
        <v>7937</v>
      </c>
      <c r="R1487" s="17" t="s">
        <v>801</v>
      </c>
      <c r="S1487" s="18" t="s">
        <v>3636</v>
      </c>
      <c r="T1487" s="17" t="s">
        <v>800</v>
      </c>
      <c r="U1487" s="18" t="s">
        <v>5257</v>
      </c>
      <c r="V1487" s="17" t="s">
        <v>9418</v>
      </c>
      <c r="W1487" s="18" t="s">
        <v>5314</v>
      </c>
      <c r="X1487" s="69" t="s">
        <v>9453</v>
      </c>
      <c r="Y1487" s="70" t="s">
        <v>9464</v>
      </c>
      <c r="Z1487" s="73" t="s">
        <v>9486</v>
      </c>
      <c r="AA1487" s="74" t="s">
        <v>9504</v>
      </c>
      <c r="AB1487" s="73" t="s">
        <v>9486</v>
      </c>
      <c r="AC1487" s="74" t="s">
        <v>9561</v>
      </c>
      <c r="AD1487" s="73" t="s">
        <v>9578</v>
      </c>
      <c r="AE1487" s="74" t="s">
        <v>9579</v>
      </c>
    </row>
    <row r="1488" spans="1:31" ht="8.65" customHeight="1" x14ac:dyDescent="0.2">
      <c r="A1488" s="76">
        <v>1488</v>
      </c>
      <c r="B1488" s="67" t="str">
        <f>MID(C1488, FIND("Ifc.", C1488) + 4, 4) &amp; "_" &amp; TEXT(COUNTIF($C$2:C1488, C1488),"0000")</f>
        <v>Prop_1487</v>
      </c>
      <c r="C1488" s="24" t="s">
        <v>872</v>
      </c>
      <c r="D1488" s="69" t="s">
        <v>9453</v>
      </c>
      <c r="E1488" s="70" t="s">
        <v>9454</v>
      </c>
      <c r="F1488" s="17" t="s">
        <v>806</v>
      </c>
      <c r="G1488" s="22" t="s">
        <v>1347</v>
      </c>
      <c r="H1488" s="12" t="s">
        <v>9703</v>
      </c>
      <c r="I1488" s="13" t="s">
        <v>4726</v>
      </c>
      <c r="J1488" s="14" t="s">
        <v>798</v>
      </c>
      <c r="K1488" s="15" t="s">
        <v>798</v>
      </c>
      <c r="L1488" s="12" t="s">
        <v>5315</v>
      </c>
      <c r="M1488" s="13" t="s">
        <v>5414</v>
      </c>
      <c r="N1488" s="12" t="s">
        <v>803</v>
      </c>
      <c r="O1488" s="13" t="s">
        <v>4914</v>
      </c>
      <c r="P1488" s="17" t="s">
        <v>802</v>
      </c>
      <c r="Q1488" s="21" t="s">
        <v>7735</v>
      </c>
      <c r="R1488" s="17" t="s">
        <v>801</v>
      </c>
      <c r="S1488" s="18" t="s">
        <v>2565</v>
      </c>
      <c r="T1488" s="17" t="s">
        <v>800</v>
      </c>
      <c r="U1488" s="18" t="s">
        <v>5248</v>
      </c>
      <c r="V1488" s="17" t="s">
        <v>9418</v>
      </c>
      <c r="W1488" s="18" t="s">
        <v>5309</v>
      </c>
      <c r="X1488" s="69" t="s">
        <v>9453</v>
      </c>
      <c r="Y1488" s="70" t="s">
        <v>9462</v>
      </c>
      <c r="Z1488" s="73" t="s">
        <v>9486</v>
      </c>
      <c r="AA1488" s="74" t="s">
        <v>9504</v>
      </c>
      <c r="AB1488" s="73" t="s">
        <v>9486</v>
      </c>
      <c r="AC1488" s="74" t="s">
        <v>9562</v>
      </c>
      <c r="AD1488" s="73" t="s">
        <v>9578</v>
      </c>
      <c r="AE1488" s="74" t="s">
        <v>9579</v>
      </c>
    </row>
    <row r="1489" spans="1:31" ht="8.65" customHeight="1" x14ac:dyDescent="0.2">
      <c r="A1489" s="76">
        <v>1489</v>
      </c>
      <c r="B1489" s="67" t="str">
        <f>MID(C1489, FIND("Ifc.", C1489) + 4, 4) &amp; "_" &amp; TEXT(COUNTIF($C$2:C1489, C1489),"0000")</f>
        <v>Prop_1488</v>
      </c>
      <c r="C1489" s="24" t="s">
        <v>872</v>
      </c>
      <c r="D1489" s="69" t="s">
        <v>9453</v>
      </c>
      <c r="E1489" s="70" t="s">
        <v>9454</v>
      </c>
      <c r="F1489" s="17" t="s">
        <v>806</v>
      </c>
      <c r="G1489" s="22" t="s">
        <v>1989</v>
      </c>
      <c r="H1489" s="12" t="s">
        <v>9703</v>
      </c>
      <c r="I1489" s="13" t="s">
        <v>7193</v>
      </c>
      <c r="J1489" s="14" t="s">
        <v>798</v>
      </c>
      <c r="K1489" s="15" t="s">
        <v>798</v>
      </c>
      <c r="L1489" s="12" t="s">
        <v>5315</v>
      </c>
      <c r="M1489" s="13" t="s">
        <v>5974</v>
      </c>
      <c r="N1489" s="12" t="s">
        <v>803</v>
      </c>
      <c r="O1489" s="13" t="s">
        <v>5079</v>
      </c>
      <c r="P1489" s="17" t="s">
        <v>802</v>
      </c>
      <c r="Q1489" s="21" t="s">
        <v>7852</v>
      </c>
      <c r="R1489" s="17" t="s">
        <v>801</v>
      </c>
      <c r="S1489" s="18" t="s">
        <v>2589</v>
      </c>
      <c r="T1489" s="17" t="s">
        <v>800</v>
      </c>
      <c r="U1489" s="18" t="s">
        <v>5258</v>
      </c>
      <c r="V1489" s="17" t="s">
        <v>9418</v>
      </c>
      <c r="W1489" s="18" t="s">
        <v>5309</v>
      </c>
      <c r="X1489" s="69" t="s">
        <v>9453</v>
      </c>
      <c r="Y1489" s="70" t="s">
        <v>9462</v>
      </c>
      <c r="Z1489" s="73" t="s">
        <v>9486</v>
      </c>
      <c r="AA1489" s="74" t="s">
        <v>9504</v>
      </c>
      <c r="AB1489" s="73" t="s">
        <v>9486</v>
      </c>
      <c r="AC1489" s="74" t="s">
        <v>9566</v>
      </c>
      <c r="AD1489" s="73" t="s">
        <v>9578</v>
      </c>
      <c r="AE1489" s="74" t="s">
        <v>9579</v>
      </c>
    </row>
    <row r="1490" spans="1:31" ht="8.65" customHeight="1" x14ac:dyDescent="0.2">
      <c r="A1490" s="76">
        <v>1490</v>
      </c>
      <c r="B1490" s="67" t="str">
        <f>MID(C1490, FIND("Ifc.", C1490) + 4, 4) &amp; "_" &amp; TEXT(COUNTIF($C$2:C1490, C1490),"0000")</f>
        <v>Prop_1489</v>
      </c>
      <c r="C1490" s="24" t="s">
        <v>872</v>
      </c>
      <c r="D1490" s="69" t="s">
        <v>9453</v>
      </c>
      <c r="E1490" s="70" t="s">
        <v>9454</v>
      </c>
      <c r="F1490" s="17" t="s">
        <v>806</v>
      </c>
      <c r="G1490" s="22" t="s">
        <v>1018</v>
      </c>
      <c r="H1490" s="12" t="s">
        <v>9703</v>
      </c>
      <c r="I1490" s="13" t="s">
        <v>7325</v>
      </c>
      <c r="J1490" s="14" t="s">
        <v>798</v>
      </c>
      <c r="K1490" s="15" t="s">
        <v>798</v>
      </c>
      <c r="L1490" s="12" t="s">
        <v>5315</v>
      </c>
      <c r="M1490" s="13" t="s">
        <v>5378</v>
      </c>
      <c r="N1490" s="12" t="s">
        <v>803</v>
      </c>
      <c r="O1490" s="13" t="s">
        <v>4835</v>
      </c>
      <c r="P1490" s="17" t="s">
        <v>802</v>
      </c>
      <c r="Q1490" s="21" t="s">
        <v>7817</v>
      </c>
      <c r="R1490" s="17" t="s">
        <v>801</v>
      </c>
      <c r="S1490" s="18" t="s">
        <v>2589</v>
      </c>
      <c r="T1490" s="17" t="s">
        <v>800</v>
      </c>
      <c r="U1490" s="18" t="s">
        <v>5258</v>
      </c>
      <c r="V1490" s="17" t="s">
        <v>9418</v>
      </c>
      <c r="W1490" s="18" t="s">
        <v>5309</v>
      </c>
      <c r="X1490" s="69" t="s">
        <v>9453</v>
      </c>
      <c r="Y1490" s="70" t="s">
        <v>9462</v>
      </c>
      <c r="Z1490" s="73" t="s">
        <v>9486</v>
      </c>
      <c r="AA1490" s="74" t="s">
        <v>9504</v>
      </c>
      <c r="AB1490" s="73" t="s">
        <v>9486</v>
      </c>
      <c r="AC1490" s="74" t="s">
        <v>9566</v>
      </c>
      <c r="AD1490" s="73" t="s">
        <v>9578</v>
      </c>
      <c r="AE1490" s="74" t="s">
        <v>9579</v>
      </c>
    </row>
    <row r="1491" spans="1:31" ht="8.65" customHeight="1" x14ac:dyDescent="0.2">
      <c r="A1491" s="76">
        <v>1491</v>
      </c>
      <c r="B1491" s="67" t="str">
        <f>MID(C1491, FIND("Ifc.", C1491) + 4, 4) &amp; "_" &amp; TEXT(COUNTIF($C$2:C1491, C1491),"0000")</f>
        <v>Prop_1490</v>
      </c>
      <c r="C1491" s="24" t="s">
        <v>872</v>
      </c>
      <c r="D1491" s="69" t="s">
        <v>9453</v>
      </c>
      <c r="E1491" s="70" t="s">
        <v>9454</v>
      </c>
      <c r="F1491" s="17" t="s">
        <v>806</v>
      </c>
      <c r="G1491" s="22" t="s">
        <v>1900</v>
      </c>
      <c r="H1491" s="12" t="s">
        <v>9703</v>
      </c>
      <c r="I1491" s="13" t="s">
        <v>7326</v>
      </c>
      <c r="J1491" s="14" t="s">
        <v>798</v>
      </c>
      <c r="K1491" s="15" t="s">
        <v>798</v>
      </c>
      <c r="L1491" s="12" t="s">
        <v>5315</v>
      </c>
      <c r="M1491" s="13" t="s">
        <v>5464</v>
      </c>
      <c r="N1491" s="12" t="s">
        <v>803</v>
      </c>
      <c r="O1491" s="13" t="s">
        <v>5049</v>
      </c>
      <c r="P1491" s="17" t="s">
        <v>802</v>
      </c>
      <c r="Q1491" s="21" t="s">
        <v>7753</v>
      </c>
      <c r="R1491" s="17" t="s">
        <v>801</v>
      </c>
      <c r="S1491" s="18" t="s">
        <v>2565</v>
      </c>
      <c r="T1491" s="17" t="s">
        <v>800</v>
      </c>
      <c r="U1491" s="18" t="s">
        <v>5248</v>
      </c>
      <c r="V1491" s="17" t="s">
        <v>9418</v>
      </c>
      <c r="W1491" s="18" t="s">
        <v>5309</v>
      </c>
      <c r="X1491" s="69" t="s">
        <v>9453</v>
      </c>
      <c r="Y1491" s="70" t="s">
        <v>9462</v>
      </c>
      <c r="Z1491" s="73" t="s">
        <v>9486</v>
      </c>
      <c r="AA1491" s="74" t="s">
        <v>9504</v>
      </c>
      <c r="AB1491" s="73" t="s">
        <v>9486</v>
      </c>
      <c r="AC1491" s="74" t="s">
        <v>9562</v>
      </c>
      <c r="AD1491" s="73" t="s">
        <v>9578</v>
      </c>
      <c r="AE1491" s="74" t="s">
        <v>9579</v>
      </c>
    </row>
    <row r="1492" spans="1:31" ht="8.65" customHeight="1" x14ac:dyDescent="0.2">
      <c r="A1492" s="76">
        <v>1492</v>
      </c>
      <c r="B1492" s="67" t="str">
        <f>MID(C1492, FIND("Ifc.", C1492) + 4, 4) &amp; "_" &amp; TEXT(COUNTIF($C$2:C1492, C1492),"0000")</f>
        <v>Prop_1491</v>
      </c>
      <c r="C1492" s="24" t="s">
        <v>872</v>
      </c>
      <c r="D1492" s="69" t="s">
        <v>9453</v>
      </c>
      <c r="E1492" s="70" t="s">
        <v>9454</v>
      </c>
      <c r="F1492" s="17" t="s">
        <v>806</v>
      </c>
      <c r="G1492" s="22" t="s">
        <v>2429</v>
      </c>
      <c r="H1492" s="12" t="s">
        <v>9703</v>
      </c>
      <c r="I1492" s="13" t="s">
        <v>7327</v>
      </c>
      <c r="J1492" s="14" t="s">
        <v>798</v>
      </c>
      <c r="K1492" s="15" t="s">
        <v>798</v>
      </c>
      <c r="L1492" s="12" t="s">
        <v>5315</v>
      </c>
      <c r="M1492" s="13" t="s">
        <v>5569</v>
      </c>
      <c r="N1492" s="12" t="s">
        <v>803</v>
      </c>
      <c r="O1492" s="13" t="s">
        <v>5202</v>
      </c>
      <c r="P1492" s="17" t="s">
        <v>802</v>
      </c>
      <c r="Q1492" s="21" t="s">
        <v>7765</v>
      </c>
      <c r="R1492" s="17" t="s">
        <v>801</v>
      </c>
      <c r="S1492" s="18" t="s">
        <v>2565</v>
      </c>
      <c r="T1492" s="17" t="s">
        <v>800</v>
      </c>
      <c r="U1492" s="18" t="s">
        <v>5248</v>
      </c>
      <c r="V1492" s="17" t="s">
        <v>9418</v>
      </c>
      <c r="W1492" s="18" t="s">
        <v>5309</v>
      </c>
      <c r="X1492" s="69" t="s">
        <v>9453</v>
      </c>
      <c r="Y1492" s="70" t="s">
        <v>9462</v>
      </c>
      <c r="Z1492" s="73" t="s">
        <v>9486</v>
      </c>
      <c r="AA1492" s="74" t="s">
        <v>9504</v>
      </c>
      <c r="AB1492" s="73" t="s">
        <v>9486</v>
      </c>
      <c r="AC1492" s="74" t="s">
        <v>9562</v>
      </c>
      <c r="AD1492" s="73" t="s">
        <v>9578</v>
      </c>
      <c r="AE1492" s="74" t="s">
        <v>9579</v>
      </c>
    </row>
    <row r="1493" spans="1:31" ht="8.65" customHeight="1" x14ac:dyDescent="0.2">
      <c r="A1493" s="76">
        <v>1493</v>
      </c>
      <c r="B1493" s="67" t="str">
        <f>MID(C1493, FIND("Ifc.", C1493) + 4, 4) &amp; "_" &amp; TEXT(COUNTIF($C$2:C1493, C1493),"0000")</f>
        <v>Prop_1492</v>
      </c>
      <c r="C1493" s="24" t="s">
        <v>872</v>
      </c>
      <c r="D1493" s="69" t="s">
        <v>9453</v>
      </c>
      <c r="E1493" s="70" t="s">
        <v>9454</v>
      </c>
      <c r="F1493" s="17" t="s">
        <v>806</v>
      </c>
      <c r="G1493" s="22" t="s">
        <v>1961</v>
      </c>
      <c r="H1493" s="12" t="s">
        <v>9703</v>
      </c>
      <c r="I1493" s="13" t="s">
        <v>7328</v>
      </c>
      <c r="J1493" s="14" t="s">
        <v>798</v>
      </c>
      <c r="K1493" s="15" t="s">
        <v>798</v>
      </c>
      <c r="L1493" s="12" t="s">
        <v>5315</v>
      </c>
      <c r="M1493" s="13" t="s">
        <v>5472</v>
      </c>
      <c r="N1493" s="12" t="s">
        <v>803</v>
      </c>
      <c r="O1493" s="13" t="s">
        <v>5067</v>
      </c>
      <c r="P1493" s="17" t="s">
        <v>802</v>
      </c>
      <c r="Q1493" s="21" t="s">
        <v>7791</v>
      </c>
      <c r="R1493" s="17" t="s">
        <v>801</v>
      </c>
      <c r="S1493" s="18" t="s">
        <v>2565</v>
      </c>
      <c r="T1493" s="17" t="s">
        <v>800</v>
      </c>
      <c r="U1493" s="18" t="s">
        <v>5248</v>
      </c>
      <c r="V1493" s="17" t="s">
        <v>9418</v>
      </c>
      <c r="W1493" s="18" t="s">
        <v>5309</v>
      </c>
      <c r="X1493" s="69" t="s">
        <v>9453</v>
      </c>
      <c r="Y1493" s="70" t="s">
        <v>9462</v>
      </c>
      <c r="Z1493" s="73" t="s">
        <v>9486</v>
      </c>
      <c r="AA1493" s="74" t="s">
        <v>9504</v>
      </c>
      <c r="AB1493" s="73" t="s">
        <v>9486</v>
      </c>
      <c r="AC1493" s="74" t="s">
        <v>9562</v>
      </c>
      <c r="AD1493" s="73" t="s">
        <v>9578</v>
      </c>
      <c r="AE1493" s="74" t="s">
        <v>9579</v>
      </c>
    </row>
    <row r="1494" spans="1:31" ht="8.65" customHeight="1" x14ac:dyDescent="0.2">
      <c r="A1494" s="76">
        <v>1494</v>
      </c>
      <c r="B1494" s="67" t="str">
        <f>MID(C1494, FIND("Ifc.", C1494) + 4, 4) &amp; "_" &amp; TEXT(COUNTIF($C$2:C1494, C1494),"0000")</f>
        <v>Prop_1493</v>
      </c>
      <c r="C1494" s="24" t="s">
        <v>872</v>
      </c>
      <c r="D1494" s="69" t="s">
        <v>9453</v>
      </c>
      <c r="E1494" s="70" t="s">
        <v>9454</v>
      </c>
      <c r="F1494" s="17" t="s">
        <v>806</v>
      </c>
      <c r="G1494" s="22" t="s">
        <v>2292</v>
      </c>
      <c r="H1494" s="12" t="s">
        <v>9703</v>
      </c>
      <c r="I1494" s="13" t="s">
        <v>7329</v>
      </c>
      <c r="J1494" s="14" t="s">
        <v>798</v>
      </c>
      <c r="K1494" s="15" t="s">
        <v>798</v>
      </c>
      <c r="L1494" s="12" t="s">
        <v>5315</v>
      </c>
      <c r="M1494" s="13" t="s">
        <v>5550</v>
      </c>
      <c r="N1494" s="12" t="s">
        <v>803</v>
      </c>
      <c r="O1494" s="13" t="s">
        <v>5162</v>
      </c>
      <c r="P1494" s="17" t="s">
        <v>802</v>
      </c>
      <c r="Q1494" s="21" t="s">
        <v>7870</v>
      </c>
      <c r="R1494" s="17" t="s">
        <v>801</v>
      </c>
      <c r="S1494" s="18" t="s">
        <v>2565</v>
      </c>
      <c r="T1494" s="17" t="s">
        <v>800</v>
      </c>
      <c r="U1494" s="18" t="s">
        <v>5248</v>
      </c>
      <c r="V1494" s="17" t="s">
        <v>9418</v>
      </c>
      <c r="W1494" s="18" t="s">
        <v>5309</v>
      </c>
      <c r="X1494" s="69" t="s">
        <v>9453</v>
      </c>
      <c r="Y1494" s="70" t="s">
        <v>9462</v>
      </c>
      <c r="Z1494" s="73" t="s">
        <v>9486</v>
      </c>
      <c r="AA1494" s="74" t="s">
        <v>9504</v>
      </c>
      <c r="AB1494" s="73" t="s">
        <v>9486</v>
      </c>
      <c r="AC1494" s="74" t="s">
        <v>9562</v>
      </c>
      <c r="AD1494" s="73" t="s">
        <v>9578</v>
      </c>
      <c r="AE1494" s="74" t="s">
        <v>9579</v>
      </c>
    </row>
    <row r="1495" spans="1:31" ht="8.65" customHeight="1" x14ac:dyDescent="0.2">
      <c r="A1495" s="76">
        <v>1495</v>
      </c>
      <c r="B1495" s="67" t="str">
        <f>MID(C1495, FIND("Ifc.", C1495) + 4, 4) &amp; "_" &amp; TEXT(COUNTIF($C$2:C1495, C1495),"0000")</f>
        <v>Prop_1494</v>
      </c>
      <c r="C1495" s="24" t="s">
        <v>872</v>
      </c>
      <c r="D1495" s="69" t="s">
        <v>9453</v>
      </c>
      <c r="E1495" s="70" t="s">
        <v>9454</v>
      </c>
      <c r="F1495" s="17" t="s">
        <v>806</v>
      </c>
      <c r="G1495" s="22" t="s">
        <v>2227</v>
      </c>
      <c r="H1495" s="12" t="s">
        <v>9703</v>
      </c>
      <c r="I1495" s="13" t="s">
        <v>7330</v>
      </c>
      <c r="J1495" s="14" t="s">
        <v>798</v>
      </c>
      <c r="K1495" s="15" t="s">
        <v>798</v>
      </c>
      <c r="L1495" s="12" t="s">
        <v>5315</v>
      </c>
      <c r="M1495" s="13" t="s">
        <v>5510</v>
      </c>
      <c r="N1495" s="12" t="s">
        <v>803</v>
      </c>
      <c r="O1495" s="13" t="s">
        <v>5123</v>
      </c>
      <c r="P1495" s="17" t="s">
        <v>802</v>
      </c>
      <c r="Q1495" s="21" t="s">
        <v>7715</v>
      </c>
      <c r="R1495" s="17" t="s">
        <v>801</v>
      </c>
      <c r="S1495" s="18" t="s">
        <v>2565</v>
      </c>
      <c r="T1495" s="17" t="s">
        <v>800</v>
      </c>
      <c r="U1495" s="18" t="s">
        <v>5248</v>
      </c>
      <c r="V1495" s="17" t="s">
        <v>9418</v>
      </c>
      <c r="W1495" s="18" t="s">
        <v>5309</v>
      </c>
      <c r="X1495" s="69" t="s">
        <v>9453</v>
      </c>
      <c r="Y1495" s="70" t="s">
        <v>9462</v>
      </c>
      <c r="Z1495" s="73" t="s">
        <v>9486</v>
      </c>
      <c r="AA1495" s="74" t="s">
        <v>9504</v>
      </c>
      <c r="AB1495" s="73" t="s">
        <v>9486</v>
      </c>
      <c r="AC1495" s="74" t="s">
        <v>9562</v>
      </c>
      <c r="AD1495" s="73" t="s">
        <v>9578</v>
      </c>
      <c r="AE1495" s="74" t="s">
        <v>9579</v>
      </c>
    </row>
    <row r="1496" spans="1:31" ht="8.65" customHeight="1" x14ac:dyDescent="0.2">
      <c r="A1496" s="76">
        <v>1496</v>
      </c>
      <c r="B1496" s="67" t="str">
        <f>MID(C1496, FIND("Ifc.", C1496) + 4, 4) &amp; "_" &amp; TEXT(COUNTIF($C$2:C1496, C1496),"0000")</f>
        <v>Prop_1495</v>
      </c>
      <c r="C1496" s="24" t="s">
        <v>872</v>
      </c>
      <c r="D1496" s="69" t="s">
        <v>9453</v>
      </c>
      <c r="E1496" s="70" t="s">
        <v>9454</v>
      </c>
      <c r="F1496" s="17" t="s">
        <v>806</v>
      </c>
      <c r="G1496" s="22" t="s">
        <v>2312</v>
      </c>
      <c r="H1496" s="12" t="s">
        <v>9703</v>
      </c>
      <c r="I1496" s="13" t="s">
        <v>7342</v>
      </c>
      <c r="J1496" s="14" t="s">
        <v>798</v>
      </c>
      <c r="K1496" s="15" t="s">
        <v>798</v>
      </c>
      <c r="L1496" s="12" t="s">
        <v>5315</v>
      </c>
      <c r="M1496" s="13" t="s">
        <v>5554</v>
      </c>
      <c r="N1496" s="12" t="s">
        <v>803</v>
      </c>
      <c r="O1496" s="13" t="s">
        <v>5168</v>
      </c>
      <c r="P1496" s="17" t="s">
        <v>802</v>
      </c>
      <c r="Q1496" s="21" t="s">
        <v>7816</v>
      </c>
      <c r="R1496" s="17" t="s">
        <v>801</v>
      </c>
      <c r="S1496" s="18" t="s">
        <v>2565</v>
      </c>
      <c r="T1496" s="17" t="s">
        <v>800</v>
      </c>
      <c r="U1496" s="18" t="s">
        <v>5248</v>
      </c>
      <c r="V1496" s="17" t="s">
        <v>9418</v>
      </c>
      <c r="W1496" s="18" t="s">
        <v>5309</v>
      </c>
      <c r="X1496" s="69" t="s">
        <v>9453</v>
      </c>
      <c r="Y1496" s="70" t="s">
        <v>9462</v>
      </c>
      <c r="Z1496" s="73" t="s">
        <v>9486</v>
      </c>
      <c r="AA1496" s="74" t="s">
        <v>9504</v>
      </c>
      <c r="AB1496" s="73" t="s">
        <v>9486</v>
      </c>
      <c r="AC1496" s="74" t="s">
        <v>9562</v>
      </c>
      <c r="AD1496" s="73" t="s">
        <v>9578</v>
      </c>
      <c r="AE1496" s="74" t="s">
        <v>9579</v>
      </c>
    </row>
    <row r="1497" spans="1:31" ht="8.65" customHeight="1" x14ac:dyDescent="0.2">
      <c r="A1497" s="76">
        <v>1497</v>
      </c>
      <c r="B1497" s="67" t="str">
        <f>MID(C1497, FIND("Ifc.", C1497) + 4, 4) &amp; "_" &amp; TEXT(COUNTIF($C$2:C1497, C1497),"0000")</f>
        <v>Prop_1496</v>
      </c>
      <c r="C1497" s="24" t="s">
        <v>872</v>
      </c>
      <c r="D1497" s="69" t="s">
        <v>9453</v>
      </c>
      <c r="E1497" s="70" t="s">
        <v>9454</v>
      </c>
      <c r="F1497" s="17" t="s">
        <v>806</v>
      </c>
      <c r="G1497" s="22" t="s">
        <v>1530</v>
      </c>
      <c r="H1497" s="12" t="s">
        <v>9703</v>
      </c>
      <c r="I1497" s="13" t="s">
        <v>7331</v>
      </c>
      <c r="J1497" s="14" t="s">
        <v>798</v>
      </c>
      <c r="K1497" s="15" t="s">
        <v>798</v>
      </c>
      <c r="L1497" s="12" t="s">
        <v>5315</v>
      </c>
      <c r="M1497" s="13" t="s">
        <v>5816</v>
      </c>
      <c r="N1497" s="12" t="s">
        <v>803</v>
      </c>
      <c r="O1497" s="13" t="s">
        <v>4955</v>
      </c>
      <c r="P1497" s="17" t="s">
        <v>802</v>
      </c>
      <c r="Q1497" s="21" t="s">
        <v>7694</v>
      </c>
      <c r="R1497" s="17" t="s">
        <v>801</v>
      </c>
      <c r="S1497" s="18" t="s">
        <v>2565</v>
      </c>
      <c r="T1497" s="17" t="s">
        <v>800</v>
      </c>
      <c r="U1497" s="18" t="s">
        <v>5248</v>
      </c>
      <c r="V1497" s="17" t="s">
        <v>9418</v>
      </c>
      <c r="W1497" s="18" t="s">
        <v>5309</v>
      </c>
      <c r="X1497" s="69" t="s">
        <v>9453</v>
      </c>
      <c r="Y1497" s="70" t="s">
        <v>9462</v>
      </c>
      <c r="Z1497" s="73" t="s">
        <v>9486</v>
      </c>
      <c r="AA1497" s="74" t="s">
        <v>9504</v>
      </c>
      <c r="AB1497" s="73" t="s">
        <v>9486</v>
      </c>
      <c r="AC1497" s="74" t="s">
        <v>9562</v>
      </c>
      <c r="AD1497" s="73" t="s">
        <v>9578</v>
      </c>
      <c r="AE1497" s="74" t="s">
        <v>9579</v>
      </c>
    </row>
    <row r="1498" spans="1:31" ht="8.65" customHeight="1" x14ac:dyDescent="0.2">
      <c r="A1498" s="76">
        <v>1498</v>
      </c>
      <c r="B1498" s="67" t="str">
        <f>MID(C1498, FIND("Ifc.", C1498) + 4, 4) &amp; "_" &amp; TEXT(COUNTIF($C$2:C1498, C1498),"0000")</f>
        <v>Prop_1497</v>
      </c>
      <c r="C1498" s="24" t="s">
        <v>872</v>
      </c>
      <c r="D1498" s="69" t="s">
        <v>9453</v>
      </c>
      <c r="E1498" s="70" t="s">
        <v>9454</v>
      </c>
      <c r="F1498" s="17" t="s">
        <v>806</v>
      </c>
      <c r="G1498" s="22" t="s">
        <v>1412</v>
      </c>
      <c r="H1498" s="12" t="s">
        <v>9703</v>
      </c>
      <c r="I1498" s="13" t="s">
        <v>7163</v>
      </c>
      <c r="J1498" s="14" t="s">
        <v>798</v>
      </c>
      <c r="K1498" s="15" t="s">
        <v>798</v>
      </c>
      <c r="L1498" s="12" t="s">
        <v>5315</v>
      </c>
      <c r="M1498" s="13" t="s">
        <v>6054</v>
      </c>
      <c r="N1498" s="12" t="s">
        <v>803</v>
      </c>
      <c r="O1498" s="13" t="s">
        <v>4927</v>
      </c>
      <c r="P1498" s="17" t="s">
        <v>802</v>
      </c>
      <c r="Q1498" s="21" t="s">
        <v>7686</v>
      </c>
      <c r="R1498" s="17" t="s">
        <v>801</v>
      </c>
      <c r="S1498" s="18" t="s">
        <v>2589</v>
      </c>
      <c r="T1498" s="17" t="s">
        <v>800</v>
      </c>
      <c r="U1498" s="18" t="s">
        <v>5258</v>
      </c>
      <c r="V1498" s="17" t="s">
        <v>9418</v>
      </c>
      <c r="W1498" s="18" t="s">
        <v>5309</v>
      </c>
      <c r="X1498" s="69" t="s">
        <v>9453</v>
      </c>
      <c r="Y1498" s="70" t="s">
        <v>9462</v>
      </c>
      <c r="Z1498" s="73" t="s">
        <v>9486</v>
      </c>
      <c r="AA1498" s="74" t="s">
        <v>9504</v>
      </c>
      <c r="AB1498" s="73" t="s">
        <v>9486</v>
      </c>
      <c r="AC1498" s="74" t="s">
        <v>9566</v>
      </c>
      <c r="AD1498" s="73" t="s">
        <v>9578</v>
      </c>
      <c r="AE1498" s="74" t="s">
        <v>9579</v>
      </c>
    </row>
    <row r="1499" spans="1:31" ht="8.65" customHeight="1" x14ac:dyDescent="0.2">
      <c r="A1499" s="76">
        <v>1499</v>
      </c>
      <c r="B1499" s="67" t="str">
        <f>MID(C1499, FIND("Ifc.", C1499) + 4, 4) &amp; "_" &amp; TEXT(COUNTIF($C$2:C1499, C1499),"0000")</f>
        <v>Prop_1498</v>
      </c>
      <c r="C1499" s="24" t="s">
        <v>872</v>
      </c>
      <c r="D1499" s="69" t="s">
        <v>9453</v>
      </c>
      <c r="E1499" s="70" t="s">
        <v>9454</v>
      </c>
      <c r="F1499" s="17" t="s">
        <v>806</v>
      </c>
      <c r="G1499" s="22" t="s">
        <v>1412</v>
      </c>
      <c r="H1499" s="12" t="s">
        <v>9703</v>
      </c>
      <c r="I1499" s="13" t="s">
        <v>7163</v>
      </c>
      <c r="J1499" s="14" t="s">
        <v>798</v>
      </c>
      <c r="K1499" s="15" t="s">
        <v>798</v>
      </c>
      <c r="L1499" s="12" t="s">
        <v>5315</v>
      </c>
      <c r="M1499" s="13" t="s">
        <v>6059</v>
      </c>
      <c r="N1499" s="12" t="s">
        <v>803</v>
      </c>
      <c r="O1499" s="13" t="s">
        <v>4928</v>
      </c>
      <c r="P1499" s="17" t="s">
        <v>802</v>
      </c>
      <c r="Q1499" s="21" t="s">
        <v>7706</v>
      </c>
      <c r="R1499" s="17" t="s">
        <v>801</v>
      </c>
      <c r="S1499" s="18" t="s">
        <v>2589</v>
      </c>
      <c r="T1499" s="17" t="s">
        <v>800</v>
      </c>
      <c r="U1499" s="18" t="s">
        <v>5258</v>
      </c>
      <c r="V1499" s="17" t="s">
        <v>9418</v>
      </c>
      <c r="W1499" s="18" t="s">
        <v>5309</v>
      </c>
      <c r="X1499" s="69" t="s">
        <v>9453</v>
      </c>
      <c r="Y1499" s="70" t="s">
        <v>9462</v>
      </c>
      <c r="Z1499" s="73" t="s">
        <v>9486</v>
      </c>
      <c r="AA1499" s="74" t="s">
        <v>9504</v>
      </c>
      <c r="AB1499" s="73" t="s">
        <v>9486</v>
      </c>
      <c r="AC1499" s="74" t="s">
        <v>9566</v>
      </c>
      <c r="AD1499" s="73" t="s">
        <v>9578</v>
      </c>
      <c r="AE1499" s="74" t="s">
        <v>9579</v>
      </c>
    </row>
    <row r="1500" spans="1:31" ht="8.65" customHeight="1" x14ac:dyDescent="0.2">
      <c r="A1500" s="76">
        <v>1500</v>
      </c>
      <c r="B1500" s="67" t="str">
        <f>MID(C1500, FIND("Ifc.", C1500) + 4, 4) &amp; "_" &amp; TEXT(COUNTIF($C$2:C1500, C1500),"0000")</f>
        <v>Prop_1499</v>
      </c>
      <c r="C1500" s="24" t="s">
        <v>872</v>
      </c>
      <c r="D1500" s="69" t="s">
        <v>9453</v>
      </c>
      <c r="E1500" s="70" t="s">
        <v>9454</v>
      </c>
      <c r="F1500" s="17" t="s">
        <v>806</v>
      </c>
      <c r="G1500" s="22" t="s">
        <v>1411</v>
      </c>
      <c r="H1500" s="12" t="s">
        <v>9703</v>
      </c>
      <c r="I1500" s="13" t="s">
        <v>7162</v>
      </c>
      <c r="J1500" s="14" t="s">
        <v>798</v>
      </c>
      <c r="K1500" s="15" t="s">
        <v>798</v>
      </c>
      <c r="L1500" s="12" t="s">
        <v>5315</v>
      </c>
      <c r="M1500" s="13" t="s">
        <v>6054</v>
      </c>
      <c r="N1500" s="12" t="s">
        <v>803</v>
      </c>
      <c r="O1500" s="13" t="s">
        <v>4927</v>
      </c>
      <c r="P1500" s="17" t="s">
        <v>802</v>
      </c>
      <c r="Q1500" s="21" t="s">
        <v>7686</v>
      </c>
      <c r="R1500" s="17" t="s">
        <v>801</v>
      </c>
      <c r="S1500" s="18" t="s">
        <v>2589</v>
      </c>
      <c r="T1500" s="17" t="s">
        <v>800</v>
      </c>
      <c r="U1500" s="18" t="s">
        <v>5258</v>
      </c>
      <c r="V1500" s="17" t="s">
        <v>9418</v>
      </c>
      <c r="W1500" s="18" t="s">
        <v>5309</v>
      </c>
      <c r="X1500" s="69" t="s">
        <v>9453</v>
      </c>
      <c r="Y1500" s="70" t="s">
        <v>9462</v>
      </c>
      <c r="Z1500" s="73" t="s">
        <v>9486</v>
      </c>
      <c r="AA1500" s="74" t="s">
        <v>9504</v>
      </c>
      <c r="AB1500" s="73" t="s">
        <v>9486</v>
      </c>
      <c r="AC1500" s="74" t="s">
        <v>9566</v>
      </c>
      <c r="AD1500" s="73" t="s">
        <v>9578</v>
      </c>
      <c r="AE1500" s="74" t="s">
        <v>9579</v>
      </c>
    </row>
    <row r="1501" spans="1:31" ht="8.65" customHeight="1" x14ac:dyDescent="0.2">
      <c r="A1501" s="76">
        <v>1501</v>
      </c>
      <c r="B1501" s="67" t="str">
        <f>MID(C1501, FIND("Ifc.", C1501) + 4, 4) &amp; "_" &amp; TEXT(COUNTIF($C$2:C1501, C1501),"0000")</f>
        <v>Prop_1500</v>
      </c>
      <c r="C1501" s="24" t="s">
        <v>872</v>
      </c>
      <c r="D1501" s="69" t="s">
        <v>9453</v>
      </c>
      <c r="E1501" s="70" t="s">
        <v>9454</v>
      </c>
      <c r="F1501" s="17" t="s">
        <v>806</v>
      </c>
      <c r="G1501" s="22" t="s">
        <v>1411</v>
      </c>
      <c r="H1501" s="12" t="s">
        <v>9703</v>
      </c>
      <c r="I1501" s="13" t="s">
        <v>7162</v>
      </c>
      <c r="J1501" s="14" t="s">
        <v>798</v>
      </c>
      <c r="K1501" s="15" t="s">
        <v>798</v>
      </c>
      <c r="L1501" s="12" t="s">
        <v>5315</v>
      </c>
      <c r="M1501" s="13" t="s">
        <v>6059</v>
      </c>
      <c r="N1501" s="12" t="s">
        <v>803</v>
      </c>
      <c r="O1501" s="13" t="s">
        <v>4928</v>
      </c>
      <c r="P1501" s="17" t="s">
        <v>802</v>
      </c>
      <c r="Q1501" s="21" t="s">
        <v>7706</v>
      </c>
      <c r="R1501" s="17" t="s">
        <v>801</v>
      </c>
      <c r="S1501" s="18" t="s">
        <v>2589</v>
      </c>
      <c r="T1501" s="17" t="s">
        <v>800</v>
      </c>
      <c r="U1501" s="18" t="s">
        <v>5258</v>
      </c>
      <c r="V1501" s="17" t="s">
        <v>9418</v>
      </c>
      <c r="W1501" s="18" t="s">
        <v>5309</v>
      </c>
      <c r="X1501" s="69" t="s">
        <v>9453</v>
      </c>
      <c r="Y1501" s="70" t="s">
        <v>9462</v>
      </c>
      <c r="Z1501" s="73" t="s">
        <v>9486</v>
      </c>
      <c r="AA1501" s="74" t="s">
        <v>9504</v>
      </c>
      <c r="AB1501" s="73" t="s">
        <v>9486</v>
      </c>
      <c r="AC1501" s="74" t="s">
        <v>9566</v>
      </c>
      <c r="AD1501" s="73" t="s">
        <v>9578</v>
      </c>
      <c r="AE1501" s="74" t="s">
        <v>9579</v>
      </c>
    </row>
    <row r="1502" spans="1:31" ht="8.65" customHeight="1" x14ac:dyDescent="0.2">
      <c r="A1502" s="76">
        <v>1502</v>
      </c>
      <c r="B1502" s="67" t="str">
        <f>MID(C1502, FIND("Ifc.", C1502) + 4, 4) &amp; "_" &amp; TEXT(COUNTIF($C$2:C1502, C1502),"0000")</f>
        <v>Prop_1501</v>
      </c>
      <c r="C1502" s="24" t="s">
        <v>872</v>
      </c>
      <c r="D1502" s="69" t="s">
        <v>9453</v>
      </c>
      <c r="E1502" s="70" t="s">
        <v>9454</v>
      </c>
      <c r="F1502" s="17" t="s">
        <v>806</v>
      </c>
      <c r="G1502" s="22" t="s">
        <v>1325</v>
      </c>
      <c r="H1502" s="12" t="s">
        <v>9703</v>
      </c>
      <c r="I1502" s="13" t="s">
        <v>7344</v>
      </c>
      <c r="J1502" s="14" t="s">
        <v>798</v>
      </c>
      <c r="K1502" s="15" t="s">
        <v>798</v>
      </c>
      <c r="L1502" s="12" t="s">
        <v>5315</v>
      </c>
      <c r="M1502" s="13" t="s">
        <v>5410</v>
      </c>
      <c r="N1502" s="12" t="s">
        <v>803</v>
      </c>
      <c r="O1502" s="13" t="s">
        <v>4908</v>
      </c>
      <c r="P1502" s="17" t="s">
        <v>802</v>
      </c>
      <c r="Q1502" s="21" t="s">
        <v>7823</v>
      </c>
      <c r="R1502" s="17" t="s">
        <v>801</v>
      </c>
      <c r="S1502" s="18" t="s">
        <v>2565</v>
      </c>
      <c r="T1502" s="17" t="s">
        <v>800</v>
      </c>
      <c r="U1502" s="18" t="s">
        <v>5248</v>
      </c>
      <c r="V1502" s="17" t="s">
        <v>9418</v>
      </c>
      <c r="W1502" s="18" t="s">
        <v>5309</v>
      </c>
      <c r="X1502" s="69" t="s">
        <v>9453</v>
      </c>
      <c r="Y1502" s="70" t="s">
        <v>9462</v>
      </c>
      <c r="Z1502" s="73" t="s">
        <v>9486</v>
      </c>
      <c r="AA1502" s="74" t="s">
        <v>9504</v>
      </c>
      <c r="AB1502" s="73" t="s">
        <v>9486</v>
      </c>
      <c r="AC1502" s="74" t="s">
        <v>9562</v>
      </c>
      <c r="AD1502" s="73" t="s">
        <v>9578</v>
      </c>
      <c r="AE1502" s="74" t="s">
        <v>9579</v>
      </c>
    </row>
    <row r="1503" spans="1:31" ht="8.65" customHeight="1" x14ac:dyDescent="0.2">
      <c r="A1503" s="76">
        <v>1503</v>
      </c>
      <c r="B1503" s="67" t="str">
        <f>MID(C1503, FIND("Ifc.", C1503) + 4, 4) &amp; "_" &amp; TEXT(COUNTIF($C$2:C1503, C1503),"0000")</f>
        <v>Prop_1502</v>
      </c>
      <c r="C1503" s="24" t="s">
        <v>872</v>
      </c>
      <c r="D1503" s="69" t="s">
        <v>9453</v>
      </c>
      <c r="E1503" s="70" t="s">
        <v>9454</v>
      </c>
      <c r="F1503" s="17" t="s">
        <v>806</v>
      </c>
      <c r="G1503" s="22" t="s">
        <v>1820</v>
      </c>
      <c r="H1503" s="12" t="s">
        <v>9703</v>
      </c>
      <c r="I1503" s="13" t="s">
        <v>7332</v>
      </c>
      <c r="J1503" s="14" t="s">
        <v>798</v>
      </c>
      <c r="K1503" s="15" t="s">
        <v>798</v>
      </c>
      <c r="L1503" s="12" t="s">
        <v>5315</v>
      </c>
      <c r="M1503" s="13" t="s">
        <v>5456</v>
      </c>
      <c r="N1503" s="12" t="s">
        <v>803</v>
      </c>
      <c r="O1503" s="13" t="s">
        <v>5026</v>
      </c>
      <c r="P1503" s="17" t="s">
        <v>802</v>
      </c>
      <c r="Q1503" s="21" t="s">
        <v>7801</v>
      </c>
      <c r="R1503" s="17" t="s">
        <v>801</v>
      </c>
      <c r="S1503" s="18" t="s">
        <v>2565</v>
      </c>
      <c r="T1503" s="17" t="s">
        <v>800</v>
      </c>
      <c r="U1503" s="18" t="s">
        <v>5248</v>
      </c>
      <c r="V1503" s="17" t="s">
        <v>9418</v>
      </c>
      <c r="W1503" s="18" t="s">
        <v>5309</v>
      </c>
      <c r="X1503" s="69" t="s">
        <v>9453</v>
      </c>
      <c r="Y1503" s="70" t="s">
        <v>9462</v>
      </c>
      <c r="Z1503" s="73" t="s">
        <v>9486</v>
      </c>
      <c r="AA1503" s="74" t="s">
        <v>9504</v>
      </c>
      <c r="AB1503" s="73" t="s">
        <v>9486</v>
      </c>
      <c r="AC1503" s="74" t="s">
        <v>9562</v>
      </c>
      <c r="AD1503" s="73" t="s">
        <v>9578</v>
      </c>
      <c r="AE1503" s="74" t="s">
        <v>9579</v>
      </c>
    </row>
    <row r="1504" spans="1:31" ht="8.65" customHeight="1" x14ac:dyDescent="0.2">
      <c r="A1504" s="76">
        <v>1504</v>
      </c>
      <c r="B1504" s="67" t="str">
        <f>MID(C1504, FIND("Ifc.", C1504) + 4, 4) &amp; "_" &amp; TEXT(COUNTIF($C$2:C1504, C1504),"0000")</f>
        <v>Prop_1503</v>
      </c>
      <c r="C1504" s="24" t="s">
        <v>872</v>
      </c>
      <c r="D1504" s="69" t="s">
        <v>9453</v>
      </c>
      <c r="E1504" s="70" t="s">
        <v>9454</v>
      </c>
      <c r="F1504" s="17" t="s">
        <v>806</v>
      </c>
      <c r="G1504" s="22" t="s">
        <v>1161</v>
      </c>
      <c r="H1504" s="12" t="s">
        <v>9703</v>
      </c>
      <c r="I1504" s="13" t="s">
        <v>7649</v>
      </c>
      <c r="J1504" s="14" t="s">
        <v>798</v>
      </c>
      <c r="K1504" s="15" t="s">
        <v>798</v>
      </c>
      <c r="L1504" s="12" t="s">
        <v>5315</v>
      </c>
      <c r="M1504" s="13" t="s">
        <v>6044</v>
      </c>
      <c r="N1504" s="12" t="s">
        <v>803</v>
      </c>
      <c r="O1504" s="13" t="s">
        <v>4871</v>
      </c>
      <c r="P1504" s="17" t="s">
        <v>802</v>
      </c>
      <c r="Q1504" s="21" t="s">
        <v>7933</v>
      </c>
      <c r="R1504" s="17" t="s">
        <v>801</v>
      </c>
      <c r="S1504" s="18" t="s">
        <v>2565</v>
      </c>
      <c r="T1504" s="17" t="s">
        <v>800</v>
      </c>
      <c r="U1504" s="18" t="s">
        <v>5248</v>
      </c>
      <c r="V1504" s="17" t="s">
        <v>9418</v>
      </c>
      <c r="W1504" s="18" t="s">
        <v>5309</v>
      </c>
      <c r="X1504" s="69" t="s">
        <v>9453</v>
      </c>
      <c r="Y1504" s="70" t="s">
        <v>9462</v>
      </c>
      <c r="Z1504" s="73" t="s">
        <v>9486</v>
      </c>
      <c r="AA1504" s="74" t="s">
        <v>9504</v>
      </c>
      <c r="AB1504" s="73" t="s">
        <v>9486</v>
      </c>
      <c r="AC1504" s="74" t="s">
        <v>9562</v>
      </c>
      <c r="AD1504" s="73" t="s">
        <v>9578</v>
      </c>
      <c r="AE1504" s="74" t="s">
        <v>9579</v>
      </c>
    </row>
    <row r="1505" spans="1:31" ht="8.65" customHeight="1" x14ac:dyDescent="0.2">
      <c r="A1505" s="76">
        <v>1505</v>
      </c>
      <c r="B1505" s="67" t="str">
        <f>MID(C1505, FIND("Ifc.", C1505) + 4, 4) &amp; "_" &amp; TEXT(COUNTIF($C$2:C1505, C1505),"0000")</f>
        <v>Prop_1504</v>
      </c>
      <c r="C1505" s="24" t="s">
        <v>872</v>
      </c>
      <c r="D1505" s="69" t="s">
        <v>9453</v>
      </c>
      <c r="E1505" s="70" t="s">
        <v>9454</v>
      </c>
      <c r="F1505" s="17" t="s">
        <v>806</v>
      </c>
      <c r="G1505" s="22" t="s">
        <v>1068</v>
      </c>
      <c r="H1505" s="12" t="s">
        <v>9703</v>
      </c>
      <c r="I1505" s="13" t="s">
        <v>7120</v>
      </c>
      <c r="J1505" s="14" t="s">
        <v>798</v>
      </c>
      <c r="K1505" s="15" t="s">
        <v>798</v>
      </c>
      <c r="L1505" s="12" t="s">
        <v>5315</v>
      </c>
      <c r="M1505" s="13" t="s">
        <v>6033</v>
      </c>
      <c r="N1505" s="12" t="s">
        <v>803</v>
      </c>
      <c r="O1505" s="13" t="s">
        <v>4847</v>
      </c>
      <c r="P1505" s="17" t="s">
        <v>802</v>
      </c>
      <c r="Q1505" s="21" t="s">
        <v>7836</v>
      </c>
      <c r="R1505" s="17" t="s">
        <v>801</v>
      </c>
      <c r="S1505" s="18" t="s">
        <v>2565</v>
      </c>
      <c r="T1505" s="17" t="s">
        <v>800</v>
      </c>
      <c r="U1505" s="18" t="s">
        <v>5248</v>
      </c>
      <c r="V1505" s="17" t="s">
        <v>9418</v>
      </c>
      <c r="W1505" s="18" t="s">
        <v>5309</v>
      </c>
      <c r="X1505" s="69" t="s">
        <v>9453</v>
      </c>
      <c r="Y1505" s="70" t="s">
        <v>9462</v>
      </c>
      <c r="Z1505" s="73" t="s">
        <v>9486</v>
      </c>
      <c r="AA1505" s="74" t="s">
        <v>9504</v>
      </c>
      <c r="AB1505" s="73" t="s">
        <v>9486</v>
      </c>
      <c r="AC1505" s="74" t="s">
        <v>9562</v>
      </c>
      <c r="AD1505" s="73" t="s">
        <v>9578</v>
      </c>
      <c r="AE1505" s="74" t="s">
        <v>9579</v>
      </c>
    </row>
    <row r="1506" spans="1:31" ht="8.65" customHeight="1" x14ac:dyDescent="0.2">
      <c r="A1506" s="76">
        <v>1506</v>
      </c>
      <c r="B1506" s="67" t="str">
        <f>MID(C1506, FIND("Ifc.", C1506) + 4, 4) &amp; "_" &amp; TEXT(COUNTIF($C$2:C1506, C1506),"0000")</f>
        <v>Prop_1505</v>
      </c>
      <c r="C1506" s="24" t="s">
        <v>872</v>
      </c>
      <c r="D1506" s="69" t="s">
        <v>9453</v>
      </c>
      <c r="E1506" s="70" t="s">
        <v>9454</v>
      </c>
      <c r="F1506" s="17" t="s">
        <v>806</v>
      </c>
      <c r="G1506" s="22" t="s">
        <v>1752</v>
      </c>
      <c r="H1506" s="12" t="s">
        <v>9703</v>
      </c>
      <c r="I1506" s="13" t="s">
        <v>7333</v>
      </c>
      <c r="J1506" s="14" t="s">
        <v>798</v>
      </c>
      <c r="K1506" s="15" t="s">
        <v>798</v>
      </c>
      <c r="L1506" s="12" t="s">
        <v>5315</v>
      </c>
      <c r="M1506" s="13" t="s">
        <v>5932</v>
      </c>
      <c r="N1506" s="12" t="s">
        <v>803</v>
      </c>
      <c r="O1506" s="13" t="s">
        <v>5006</v>
      </c>
      <c r="P1506" s="17" t="s">
        <v>802</v>
      </c>
      <c r="Q1506" s="21" t="s">
        <v>7968</v>
      </c>
      <c r="R1506" s="17" t="s">
        <v>801</v>
      </c>
      <c r="S1506" s="18" t="s">
        <v>2559</v>
      </c>
      <c r="T1506" s="17" t="s">
        <v>800</v>
      </c>
      <c r="U1506" s="18" t="s">
        <v>5234</v>
      </c>
      <c r="V1506" s="17" t="s">
        <v>9418</v>
      </c>
      <c r="W1506" s="18" t="s">
        <v>5309</v>
      </c>
      <c r="X1506" s="69" t="s">
        <v>9453</v>
      </c>
      <c r="Y1506" s="70" t="s">
        <v>9462</v>
      </c>
      <c r="Z1506" s="73" t="s">
        <v>9486</v>
      </c>
      <c r="AA1506" s="74" t="s">
        <v>9504</v>
      </c>
      <c r="AB1506" s="73" t="s">
        <v>9486</v>
      </c>
      <c r="AC1506" s="74" t="s">
        <v>9562</v>
      </c>
      <c r="AD1506" s="73" t="s">
        <v>9578</v>
      </c>
      <c r="AE1506" s="74" t="s">
        <v>9579</v>
      </c>
    </row>
    <row r="1507" spans="1:31" ht="8.65" customHeight="1" x14ac:dyDescent="0.2">
      <c r="A1507" s="76">
        <v>1507</v>
      </c>
      <c r="B1507" s="67" t="str">
        <f>MID(C1507, FIND("Ifc.", C1507) + 4, 4) &amp; "_" &amp; TEXT(COUNTIF($C$2:C1507, C1507),"0000")</f>
        <v>Prop_1506</v>
      </c>
      <c r="C1507" s="24" t="s">
        <v>872</v>
      </c>
      <c r="D1507" s="69" t="s">
        <v>9453</v>
      </c>
      <c r="E1507" s="70" t="s">
        <v>9454</v>
      </c>
      <c r="F1507" s="17" t="s">
        <v>806</v>
      </c>
      <c r="G1507" s="22" t="s">
        <v>1221</v>
      </c>
      <c r="H1507" s="12" t="s">
        <v>9703</v>
      </c>
      <c r="I1507" s="13" t="s">
        <v>7334</v>
      </c>
      <c r="J1507" s="14" t="s">
        <v>798</v>
      </c>
      <c r="K1507" s="15" t="s">
        <v>798</v>
      </c>
      <c r="L1507" s="12" t="s">
        <v>5315</v>
      </c>
      <c r="M1507" s="13" t="s">
        <v>5821</v>
      </c>
      <c r="N1507" s="12" t="s">
        <v>803</v>
      </c>
      <c r="O1507" s="13" t="s">
        <v>4883</v>
      </c>
      <c r="P1507" s="17" t="s">
        <v>802</v>
      </c>
      <c r="Q1507" s="21" t="s">
        <v>7683</v>
      </c>
      <c r="R1507" s="17" t="s">
        <v>801</v>
      </c>
      <c r="S1507" s="18" t="s">
        <v>2565</v>
      </c>
      <c r="T1507" s="17" t="s">
        <v>800</v>
      </c>
      <c r="U1507" s="18" t="s">
        <v>5248</v>
      </c>
      <c r="V1507" s="17" t="s">
        <v>9418</v>
      </c>
      <c r="W1507" s="18" t="s">
        <v>5309</v>
      </c>
      <c r="X1507" s="69" t="s">
        <v>9453</v>
      </c>
      <c r="Y1507" s="70" t="s">
        <v>9462</v>
      </c>
      <c r="Z1507" s="73" t="s">
        <v>9486</v>
      </c>
      <c r="AA1507" s="74" t="s">
        <v>9504</v>
      </c>
      <c r="AB1507" s="73" t="s">
        <v>9486</v>
      </c>
      <c r="AC1507" s="74" t="s">
        <v>9562</v>
      </c>
      <c r="AD1507" s="73" t="s">
        <v>9578</v>
      </c>
      <c r="AE1507" s="74" t="s">
        <v>9579</v>
      </c>
    </row>
    <row r="1508" spans="1:31" ht="8.65" customHeight="1" x14ac:dyDescent="0.2">
      <c r="A1508" s="76">
        <v>1508</v>
      </c>
      <c r="B1508" s="67" t="str">
        <f>MID(C1508, FIND("Ifc.", C1508) + 4, 4) &amp; "_" &amp; TEXT(COUNTIF($C$2:C1508, C1508),"0000")</f>
        <v>Prop_1507</v>
      </c>
      <c r="C1508" s="24" t="s">
        <v>872</v>
      </c>
      <c r="D1508" s="69" t="s">
        <v>9453</v>
      </c>
      <c r="E1508" s="70" t="s">
        <v>9454</v>
      </c>
      <c r="F1508" s="17" t="s">
        <v>806</v>
      </c>
      <c r="G1508" s="22" t="s">
        <v>2293</v>
      </c>
      <c r="H1508" s="12" t="s">
        <v>9703</v>
      </c>
      <c r="I1508" s="13" t="s">
        <v>7335</v>
      </c>
      <c r="J1508" s="14" t="s">
        <v>798</v>
      </c>
      <c r="K1508" s="15" t="s">
        <v>798</v>
      </c>
      <c r="L1508" s="12" t="s">
        <v>5315</v>
      </c>
      <c r="M1508" s="13" t="s">
        <v>5550</v>
      </c>
      <c r="N1508" s="12" t="s">
        <v>803</v>
      </c>
      <c r="O1508" s="13" t="s">
        <v>5162</v>
      </c>
      <c r="P1508" s="17" t="s">
        <v>802</v>
      </c>
      <c r="Q1508" s="21" t="s">
        <v>7870</v>
      </c>
      <c r="R1508" s="17" t="s">
        <v>801</v>
      </c>
      <c r="S1508" s="18" t="s">
        <v>2565</v>
      </c>
      <c r="T1508" s="17" t="s">
        <v>800</v>
      </c>
      <c r="U1508" s="18" t="s">
        <v>5248</v>
      </c>
      <c r="V1508" s="17" t="s">
        <v>9418</v>
      </c>
      <c r="W1508" s="18" t="s">
        <v>5309</v>
      </c>
      <c r="X1508" s="69" t="s">
        <v>9453</v>
      </c>
      <c r="Y1508" s="70" t="s">
        <v>9462</v>
      </c>
      <c r="Z1508" s="73" t="s">
        <v>9486</v>
      </c>
      <c r="AA1508" s="74" t="s">
        <v>9504</v>
      </c>
      <c r="AB1508" s="73" t="s">
        <v>9486</v>
      </c>
      <c r="AC1508" s="74" t="s">
        <v>9562</v>
      </c>
      <c r="AD1508" s="73" t="s">
        <v>9578</v>
      </c>
      <c r="AE1508" s="74" t="s">
        <v>9579</v>
      </c>
    </row>
    <row r="1509" spans="1:31" ht="8.65" customHeight="1" x14ac:dyDescent="0.2">
      <c r="A1509" s="76">
        <v>1509</v>
      </c>
      <c r="B1509" s="67" t="str">
        <f>MID(C1509, FIND("Ifc.", C1509) + 4, 4) &amp; "_" &amp; TEXT(COUNTIF($C$2:C1509, C1509),"0000")</f>
        <v>Prop_1508</v>
      </c>
      <c r="C1509" s="24" t="s">
        <v>872</v>
      </c>
      <c r="D1509" s="69" t="s">
        <v>9453</v>
      </c>
      <c r="E1509" s="70" t="s">
        <v>9454</v>
      </c>
      <c r="F1509" s="17" t="s">
        <v>806</v>
      </c>
      <c r="G1509" s="22" t="s">
        <v>1068</v>
      </c>
      <c r="H1509" s="12" t="s">
        <v>9703</v>
      </c>
      <c r="I1509" s="13" t="s">
        <v>7341</v>
      </c>
      <c r="J1509" s="14" t="s">
        <v>798</v>
      </c>
      <c r="K1509" s="15" t="s">
        <v>798</v>
      </c>
      <c r="L1509" s="12" t="s">
        <v>5315</v>
      </c>
      <c r="M1509" s="13" t="s">
        <v>5404</v>
      </c>
      <c r="N1509" s="12" t="s">
        <v>803</v>
      </c>
      <c r="O1509" s="13" t="s">
        <v>4892</v>
      </c>
      <c r="P1509" s="17" t="s">
        <v>802</v>
      </c>
      <c r="Q1509" s="21" t="s">
        <v>7965</v>
      </c>
      <c r="R1509" s="17" t="s">
        <v>801</v>
      </c>
      <c r="S1509" s="18" t="s">
        <v>2565</v>
      </c>
      <c r="T1509" s="17" t="s">
        <v>800</v>
      </c>
      <c r="U1509" s="18" t="s">
        <v>5248</v>
      </c>
      <c r="V1509" s="17" t="s">
        <v>9418</v>
      </c>
      <c r="W1509" s="18" t="s">
        <v>5309</v>
      </c>
      <c r="X1509" s="69" t="s">
        <v>9453</v>
      </c>
      <c r="Y1509" s="70" t="s">
        <v>9462</v>
      </c>
      <c r="Z1509" s="73" t="s">
        <v>9486</v>
      </c>
      <c r="AA1509" s="74" t="s">
        <v>9504</v>
      </c>
      <c r="AB1509" s="73" t="s">
        <v>9486</v>
      </c>
      <c r="AC1509" s="74" t="s">
        <v>9562</v>
      </c>
      <c r="AD1509" s="73" t="s">
        <v>9578</v>
      </c>
      <c r="AE1509" s="74" t="s">
        <v>9579</v>
      </c>
    </row>
    <row r="1510" spans="1:31" ht="8.65" customHeight="1" x14ac:dyDescent="0.2">
      <c r="A1510" s="76">
        <v>1510</v>
      </c>
      <c r="B1510" s="67" t="str">
        <f>MID(C1510, FIND("Ifc.", C1510) + 4, 4) &amp; "_" &amp; TEXT(COUNTIF($C$2:C1510, C1510),"0000")</f>
        <v>Prop_1509</v>
      </c>
      <c r="C1510" s="24" t="s">
        <v>872</v>
      </c>
      <c r="D1510" s="69" t="s">
        <v>9453</v>
      </c>
      <c r="E1510" s="70" t="s">
        <v>9454</v>
      </c>
      <c r="F1510" s="17" t="s">
        <v>806</v>
      </c>
      <c r="G1510" s="22" t="s">
        <v>2051</v>
      </c>
      <c r="H1510" s="12" t="s">
        <v>9703</v>
      </c>
      <c r="I1510" s="13" t="s">
        <v>7336</v>
      </c>
      <c r="J1510" s="14" t="s">
        <v>798</v>
      </c>
      <c r="K1510" s="15" t="s">
        <v>798</v>
      </c>
      <c r="L1510" s="12" t="s">
        <v>5315</v>
      </c>
      <c r="M1510" s="13" t="s">
        <v>5481</v>
      </c>
      <c r="N1510" s="12" t="s">
        <v>803</v>
      </c>
      <c r="O1510" s="13" t="s">
        <v>5085</v>
      </c>
      <c r="P1510" s="17" t="s">
        <v>802</v>
      </c>
      <c r="Q1510" s="21" t="s">
        <v>7708</v>
      </c>
      <c r="R1510" s="17" t="s">
        <v>801</v>
      </c>
      <c r="S1510" s="18" t="s">
        <v>2589</v>
      </c>
      <c r="T1510" s="17" t="s">
        <v>800</v>
      </c>
      <c r="U1510" s="18" t="s">
        <v>5258</v>
      </c>
      <c r="V1510" s="17" t="s">
        <v>9418</v>
      </c>
      <c r="W1510" s="18" t="s">
        <v>5309</v>
      </c>
      <c r="X1510" s="69" t="s">
        <v>9453</v>
      </c>
      <c r="Y1510" s="70" t="s">
        <v>9462</v>
      </c>
      <c r="Z1510" s="73" t="s">
        <v>9486</v>
      </c>
      <c r="AA1510" s="74" t="s">
        <v>9504</v>
      </c>
      <c r="AB1510" s="73" t="s">
        <v>9486</v>
      </c>
      <c r="AC1510" s="74" t="s">
        <v>9566</v>
      </c>
      <c r="AD1510" s="73" t="s">
        <v>9578</v>
      </c>
      <c r="AE1510" s="74" t="s">
        <v>9579</v>
      </c>
    </row>
    <row r="1511" spans="1:31" ht="8.65" customHeight="1" x14ac:dyDescent="0.2">
      <c r="A1511" s="76">
        <v>1511</v>
      </c>
      <c r="B1511" s="67" t="str">
        <f>MID(C1511, FIND("Ifc.", C1511) + 4, 4) &amp; "_" &amp; TEXT(COUNTIF($C$2:C1511, C1511),"0000")</f>
        <v>Prop_1510</v>
      </c>
      <c r="C1511" s="24" t="s">
        <v>872</v>
      </c>
      <c r="D1511" s="69" t="s">
        <v>9453</v>
      </c>
      <c r="E1511" s="70" t="s">
        <v>9454</v>
      </c>
      <c r="F1511" s="17" t="s">
        <v>806</v>
      </c>
      <c r="G1511" s="22" t="s">
        <v>2051</v>
      </c>
      <c r="H1511" s="12" t="s">
        <v>9703</v>
      </c>
      <c r="I1511" s="13" t="s">
        <v>7336</v>
      </c>
      <c r="J1511" s="14" t="s">
        <v>798</v>
      </c>
      <c r="K1511" s="15" t="s">
        <v>798</v>
      </c>
      <c r="L1511" s="12" t="s">
        <v>5315</v>
      </c>
      <c r="M1511" s="13" t="s">
        <v>5509</v>
      </c>
      <c r="N1511" s="12" t="s">
        <v>803</v>
      </c>
      <c r="O1511" s="13" t="s">
        <v>5122</v>
      </c>
      <c r="P1511" s="17" t="s">
        <v>802</v>
      </c>
      <c r="Q1511" s="21" t="s">
        <v>7780</v>
      </c>
      <c r="R1511" s="17" t="s">
        <v>801</v>
      </c>
      <c r="S1511" s="18" t="s">
        <v>2565</v>
      </c>
      <c r="T1511" s="17" t="s">
        <v>800</v>
      </c>
      <c r="U1511" s="18" t="s">
        <v>5248</v>
      </c>
      <c r="V1511" s="17" t="s">
        <v>9418</v>
      </c>
      <c r="W1511" s="18" t="s">
        <v>5309</v>
      </c>
      <c r="X1511" s="69" t="s">
        <v>9453</v>
      </c>
      <c r="Y1511" s="70" t="s">
        <v>9462</v>
      </c>
      <c r="Z1511" s="73" t="s">
        <v>9486</v>
      </c>
      <c r="AA1511" s="74" t="s">
        <v>9504</v>
      </c>
      <c r="AB1511" s="73" t="s">
        <v>9486</v>
      </c>
      <c r="AC1511" s="74" t="s">
        <v>9562</v>
      </c>
      <c r="AD1511" s="73" t="s">
        <v>9578</v>
      </c>
      <c r="AE1511" s="74" t="s">
        <v>9579</v>
      </c>
    </row>
    <row r="1512" spans="1:31" ht="8.65" customHeight="1" x14ac:dyDescent="0.2">
      <c r="A1512" s="76">
        <v>1512</v>
      </c>
      <c r="B1512" s="67" t="str">
        <f>MID(C1512, FIND("Ifc.", C1512) + 4, 4) &amp; "_" &amp; TEXT(COUNTIF($C$2:C1512, C1512),"0000")</f>
        <v>Prop_1511</v>
      </c>
      <c r="C1512" s="24" t="s">
        <v>872</v>
      </c>
      <c r="D1512" s="69" t="s">
        <v>9453</v>
      </c>
      <c r="E1512" s="70" t="s">
        <v>9454</v>
      </c>
      <c r="F1512" s="17" t="s">
        <v>806</v>
      </c>
      <c r="G1512" s="22" t="s">
        <v>2171</v>
      </c>
      <c r="H1512" s="12" t="s">
        <v>9703</v>
      </c>
      <c r="I1512" s="13" t="s">
        <v>7337</v>
      </c>
      <c r="J1512" s="14" t="s">
        <v>798</v>
      </c>
      <c r="K1512" s="15" t="s">
        <v>798</v>
      </c>
      <c r="L1512" s="12" t="s">
        <v>5315</v>
      </c>
      <c r="M1512" s="13" t="s">
        <v>5501</v>
      </c>
      <c r="N1512" s="12" t="s">
        <v>803</v>
      </c>
      <c r="O1512" s="13" t="s">
        <v>5115</v>
      </c>
      <c r="P1512" s="17" t="s">
        <v>802</v>
      </c>
      <c r="Q1512" s="21" t="s">
        <v>7762</v>
      </c>
      <c r="R1512" s="17" t="s">
        <v>801</v>
      </c>
      <c r="S1512" s="18" t="s">
        <v>2589</v>
      </c>
      <c r="T1512" s="17" t="s">
        <v>800</v>
      </c>
      <c r="U1512" s="18" t="s">
        <v>5258</v>
      </c>
      <c r="V1512" s="17" t="s">
        <v>9418</v>
      </c>
      <c r="W1512" s="18" t="s">
        <v>5309</v>
      </c>
      <c r="X1512" s="69" t="s">
        <v>9453</v>
      </c>
      <c r="Y1512" s="70" t="s">
        <v>9462</v>
      </c>
      <c r="Z1512" s="73" t="s">
        <v>9486</v>
      </c>
      <c r="AA1512" s="74" t="s">
        <v>9504</v>
      </c>
      <c r="AB1512" s="73" t="s">
        <v>9486</v>
      </c>
      <c r="AC1512" s="74" t="s">
        <v>9566</v>
      </c>
      <c r="AD1512" s="73" t="s">
        <v>9578</v>
      </c>
      <c r="AE1512" s="74" t="s">
        <v>9579</v>
      </c>
    </row>
    <row r="1513" spans="1:31" ht="8.65" customHeight="1" x14ac:dyDescent="0.2">
      <c r="A1513" s="76">
        <v>1513</v>
      </c>
      <c r="B1513" s="67" t="str">
        <f>MID(C1513, FIND("Ifc.", C1513) + 4, 4) &amp; "_" &amp; TEXT(COUNTIF($C$2:C1513, C1513),"0000")</f>
        <v>Prop_1512</v>
      </c>
      <c r="C1513" s="24" t="s">
        <v>872</v>
      </c>
      <c r="D1513" s="69" t="s">
        <v>9453</v>
      </c>
      <c r="E1513" s="70" t="s">
        <v>9454</v>
      </c>
      <c r="F1513" s="17" t="s">
        <v>806</v>
      </c>
      <c r="G1513" s="22" t="s">
        <v>1006</v>
      </c>
      <c r="H1513" s="12" t="s">
        <v>9703</v>
      </c>
      <c r="I1513" s="13" t="s">
        <v>7338</v>
      </c>
      <c r="J1513" s="14" t="s">
        <v>798</v>
      </c>
      <c r="K1513" s="15" t="s">
        <v>798</v>
      </c>
      <c r="L1513" s="12" t="s">
        <v>5315</v>
      </c>
      <c r="M1513" s="13" t="s">
        <v>6023</v>
      </c>
      <c r="N1513" s="12" t="s">
        <v>803</v>
      </c>
      <c r="O1513" s="13" t="s">
        <v>4831</v>
      </c>
      <c r="P1513" s="17" t="s">
        <v>802</v>
      </c>
      <c r="Q1513" s="21" t="s">
        <v>7790</v>
      </c>
      <c r="R1513" s="17" t="s">
        <v>801</v>
      </c>
      <c r="S1513" s="18" t="s">
        <v>2565</v>
      </c>
      <c r="T1513" s="17" t="s">
        <v>800</v>
      </c>
      <c r="U1513" s="18" t="s">
        <v>5248</v>
      </c>
      <c r="V1513" s="17" t="s">
        <v>9418</v>
      </c>
      <c r="W1513" s="18" t="s">
        <v>5309</v>
      </c>
      <c r="X1513" s="69" t="s">
        <v>9453</v>
      </c>
      <c r="Y1513" s="70" t="s">
        <v>9462</v>
      </c>
      <c r="Z1513" s="73" t="s">
        <v>9486</v>
      </c>
      <c r="AA1513" s="74" t="s">
        <v>9504</v>
      </c>
      <c r="AB1513" s="73" t="s">
        <v>9486</v>
      </c>
      <c r="AC1513" s="74" t="s">
        <v>9562</v>
      </c>
      <c r="AD1513" s="73" t="s">
        <v>9578</v>
      </c>
      <c r="AE1513" s="74" t="s">
        <v>9579</v>
      </c>
    </row>
    <row r="1514" spans="1:31" ht="8.65" customHeight="1" x14ac:dyDescent="0.2">
      <c r="A1514" s="76">
        <v>1514</v>
      </c>
      <c r="B1514" s="67" t="str">
        <f>MID(C1514, FIND("Ifc.", C1514) + 4, 4) &amp; "_" &amp; TEXT(COUNTIF($C$2:C1514, C1514),"0000")</f>
        <v>Prop_1513</v>
      </c>
      <c r="C1514" s="24" t="s">
        <v>872</v>
      </c>
      <c r="D1514" s="69" t="s">
        <v>9453</v>
      </c>
      <c r="E1514" s="70" t="s">
        <v>9454</v>
      </c>
      <c r="F1514" s="17" t="s">
        <v>806</v>
      </c>
      <c r="G1514" s="22" t="s">
        <v>2074</v>
      </c>
      <c r="H1514" s="12" t="s">
        <v>9703</v>
      </c>
      <c r="I1514" s="13" t="s">
        <v>4780</v>
      </c>
      <c r="J1514" s="14" t="s">
        <v>798</v>
      </c>
      <c r="K1514" s="15" t="s">
        <v>798</v>
      </c>
      <c r="L1514" s="12" t="s">
        <v>5315</v>
      </c>
      <c r="M1514" s="13" t="s">
        <v>5486</v>
      </c>
      <c r="N1514" s="12" t="s">
        <v>803</v>
      </c>
      <c r="O1514" s="13" t="s">
        <v>5092</v>
      </c>
      <c r="P1514" s="17" t="s">
        <v>802</v>
      </c>
      <c r="Q1514" s="21" t="s">
        <v>8020</v>
      </c>
      <c r="R1514" s="17" t="s">
        <v>801</v>
      </c>
      <c r="S1514" s="18" t="s">
        <v>2565</v>
      </c>
      <c r="T1514" s="17" t="s">
        <v>800</v>
      </c>
      <c r="U1514" s="18" t="s">
        <v>5248</v>
      </c>
      <c r="V1514" s="17" t="s">
        <v>9418</v>
      </c>
      <c r="W1514" s="18" t="s">
        <v>5309</v>
      </c>
      <c r="X1514" s="69" t="s">
        <v>9453</v>
      </c>
      <c r="Y1514" s="70" t="s">
        <v>9462</v>
      </c>
      <c r="Z1514" s="73" t="s">
        <v>9486</v>
      </c>
      <c r="AA1514" s="74" t="s">
        <v>9504</v>
      </c>
      <c r="AB1514" s="73" t="s">
        <v>9486</v>
      </c>
      <c r="AC1514" s="74" t="s">
        <v>9562</v>
      </c>
      <c r="AD1514" s="73" t="s">
        <v>9578</v>
      </c>
      <c r="AE1514" s="74" t="s">
        <v>9579</v>
      </c>
    </row>
    <row r="1515" spans="1:31" ht="8.65" customHeight="1" x14ac:dyDescent="0.2">
      <c r="A1515" s="76">
        <v>1515</v>
      </c>
      <c r="B1515" s="67" t="str">
        <f>MID(C1515, FIND("Ifc.", C1515) + 4, 4) &amp; "_" &amp; TEXT(COUNTIF($C$2:C1515, C1515),"0000")</f>
        <v>Prop_1514</v>
      </c>
      <c r="C1515" s="24" t="s">
        <v>872</v>
      </c>
      <c r="D1515" s="69" t="s">
        <v>9453</v>
      </c>
      <c r="E1515" s="70" t="s">
        <v>9454</v>
      </c>
      <c r="F1515" s="17" t="s">
        <v>806</v>
      </c>
      <c r="G1515" s="22" t="s">
        <v>1128</v>
      </c>
      <c r="H1515" s="12" t="s">
        <v>9703</v>
      </c>
      <c r="I1515" s="13" t="s">
        <v>7158</v>
      </c>
      <c r="J1515" s="14" t="s">
        <v>798</v>
      </c>
      <c r="K1515" s="15" t="s">
        <v>798</v>
      </c>
      <c r="L1515" s="12" t="s">
        <v>5315</v>
      </c>
      <c r="M1515" s="13" t="s">
        <v>6039</v>
      </c>
      <c r="N1515" s="12" t="s">
        <v>803</v>
      </c>
      <c r="O1515" s="13" t="s">
        <v>4860</v>
      </c>
      <c r="P1515" s="17" t="s">
        <v>802</v>
      </c>
      <c r="Q1515" s="21" t="s">
        <v>7802</v>
      </c>
      <c r="R1515" s="17" t="s">
        <v>801</v>
      </c>
      <c r="S1515" s="18" t="s">
        <v>2589</v>
      </c>
      <c r="T1515" s="17" t="s">
        <v>800</v>
      </c>
      <c r="U1515" s="18" t="s">
        <v>5258</v>
      </c>
      <c r="V1515" s="17" t="s">
        <v>9418</v>
      </c>
      <c r="W1515" s="18" t="s">
        <v>5309</v>
      </c>
      <c r="X1515" s="69" t="s">
        <v>9453</v>
      </c>
      <c r="Y1515" s="70" t="s">
        <v>9462</v>
      </c>
      <c r="Z1515" s="73" t="s">
        <v>9486</v>
      </c>
      <c r="AA1515" s="74" t="s">
        <v>9504</v>
      </c>
      <c r="AB1515" s="73" t="s">
        <v>9486</v>
      </c>
      <c r="AC1515" s="74" t="s">
        <v>9566</v>
      </c>
      <c r="AD1515" s="73" t="s">
        <v>9578</v>
      </c>
      <c r="AE1515" s="74" t="s">
        <v>9579</v>
      </c>
    </row>
    <row r="1516" spans="1:31" ht="8.65" customHeight="1" x14ac:dyDescent="0.2">
      <c r="A1516" s="76">
        <v>1516</v>
      </c>
      <c r="B1516" s="67" t="str">
        <f>MID(C1516, FIND("Ifc.", C1516) + 4, 4) &amp; "_" &amp; TEXT(COUNTIF($C$2:C1516, C1516),"0000")</f>
        <v>Prop_1515</v>
      </c>
      <c r="C1516" s="24" t="s">
        <v>872</v>
      </c>
      <c r="D1516" s="69" t="s">
        <v>9453</v>
      </c>
      <c r="E1516" s="70" t="s">
        <v>9454</v>
      </c>
      <c r="F1516" s="17" t="s">
        <v>806</v>
      </c>
      <c r="G1516" s="22" t="s">
        <v>1007</v>
      </c>
      <c r="H1516" s="12" t="s">
        <v>9703</v>
      </c>
      <c r="I1516" s="13" t="s">
        <v>7339</v>
      </c>
      <c r="J1516" s="14" t="s">
        <v>798</v>
      </c>
      <c r="K1516" s="15" t="s">
        <v>798</v>
      </c>
      <c r="L1516" s="12" t="s">
        <v>5315</v>
      </c>
      <c r="M1516" s="13" t="s">
        <v>6023</v>
      </c>
      <c r="N1516" s="12" t="s">
        <v>803</v>
      </c>
      <c r="O1516" s="13" t="s">
        <v>4831</v>
      </c>
      <c r="P1516" s="17" t="s">
        <v>802</v>
      </c>
      <c r="Q1516" s="21" t="s">
        <v>7790</v>
      </c>
      <c r="R1516" s="17" t="s">
        <v>801</v>
      </c>
      <c r="S1516" s="18" t="s">
        <v>2565</v>
      </c>
      <c r="T1516" s="17" t="s">
        <v>800</v>
      </c>
      <c r="U1516" s="18" t="s">
        <v>5248</v>
      </c>
      <c r="V1516" s="17" t="s">
        <v>9418</v>
      </c>
      <c r="W1516" s="18" t="s">
        <v>5309</v>
      </c>
      <c r="X1516" s="69" t="s">
        <v>9453</v>
      </c>
      <c r="Y1516" s="70" t="s">
        <v>9462</v>
      </c>
      <c r="Z1516" s="73" t="s">
        <v>9486</v>
      </c>
      <c r="AA1516" s="74" t="s">
        <v>9504</v>
      </c>
      <c r="AB1516" s="73" t="s">
        <v>9486</v>
      </c>
      <c r="AC1516" s="74" t="s">
        <v>9562</v>
      </c>
      <c r="AD1516" s="73" t="s">
        <v>9578</v>
      </c>
      <c r="AE1516" s="74" t="s">
        <v>9579</v>
      </c>
    </row>
    <row r="1517" spans="1:31" ht="8.65" customHeight="1" x14ac:dyDescent="0.2">
      <c r="A1517" s="76">
        <v>1517</v>
      </c>
      <c r="B1517" s="67" t="str">
        <f>MID(C1517, FIND("Ifc.", C1517) + 4, 4) &amp; "_" &amp; TEXT(COUNTIF($C$2:C1517, C1517),"0000")</f>
        <v>Prop_1516</v>
      </c>
      <c r="C1517" s="24" t="s">
        <v>872</v>
      </c>
      <c r="D1517" s="69" t="s">
        <v>9453</v>
      </c>
      <c r="E1517" s="70" t="s">
        <v>9454</v>
      </c>
      <c r="F1517" s="17" t="s">
        <v>806</v>
      </c>
      <c r="G1517" s="22" t="s">
        <v>1007</v>
      </c>
      <c r="H1517" s="12" t="s">
        <v>9703</v>
      </c>
      <c r="I1517" s="13" t="s">
        <v>7339</v>
      </c>
      <c r="J1517" s="14" t="s">
        <v>798</v>
      </c>
      <c r="K1517" s="15" t="s">
        <v>798</v>
      </c>
      <c r="L1517" s="12" t="s">
        <v>5315</v>
      </c>
      <c r="M1517" s="13" t="s">
        <v>5562</v>
      </c>
      <c r="N1517" s="12" t="s">
        <v>803</v>
      </c>
      <c r="O1517" s="13" t="s">
        <v>5176</v>
      </c>
      <c r="P1517" s="17" t="s">
        <v>802</v>
      </c>
      <c r="Q1517" s="21" t="s">
        <v>7856</v>
      </c>
      <c r="R1517" s="17" t="s">
        <v>801</v>
      </c>
      <c r="S1517" s="18" t="s">
        <v>2565</v>
      </c>
      <c r="T1517" s="17" t="s">
        <v>800</v>
      </c>
      <c r="U1517" s="18" t="s">
        <v>5248</v>
      </c>
      <c r="V1517" s="17" t="s">
        <v>9418</v>
      </c>
      <c r="W1517" s="18" t="s">
        <v>5309</v>
      </c>
      <c r="X1517" s="69" t="s">
        <v>9453</v>
      </c>
      <c r="Y1517" s="70" t="s">
        <v>9462</v>
      </c>
      <c r="Z1517" s="73" t="s">
        <v>9486</v>
      </c>
      <c r="AA1517" s="74" t="s">
        <v>9504</v>
      </c>
      <c r="AB1517" s="73" t="s">
        <v>9486</v>
      </c>
      <c r="AC1517" s="74" t="s">
        <v>9562</v>
      </c>
      <c r="AD1517" s="73" t="s">
        <v>9578</v>
      </c>
      <c r="AE1517" s="74" t="s">
        <v>9579</v>
      </c>
    </row>
    <row r="1518" spans="1:31" ht="8.65" customHeight="1" x14ac:dyDescent="0.2">
      <c r="A1518" s="76">
        <v>1518</v>
      </c>
      <c r="B1518" s="67" t="str">
        <f>MID(C1518, FIND("Ifc.", C1518) + 4, 4) &amp; "_" &amp; TEXT(COUNTIF($C$2:C1518, C1518),"0000")</f>
        <v>Prop_1517</v>
      </c>
      <c r="C1518" s="24" t="s">
        <v>872</v>
      </c>
      <c r="D1518" s="69" t="s">
        <v>9453</v>
      </c>
      <c r="E1518" s="70" t="s">
        <v>9454</v>
      </c>
      <c r="F1518" s="17" t="s">
        <v>806</v>
      </c>
      <c r="G1518" s="22" t="s">
        <v>1007</v>
      </c>
      <c r="H1518" s="12" t="s">
        <v>9703</v>
      </c>
      <c r="I1518" s="13" t="s">
        <v>7339</v>
      </c>
      <c r="J1518" s="14" t="s">
        <v>798</v>
      </c>
      <c r="K1518" s="15" t="s">
        <v>798</v>
      </c>
      <c r="L1518" s="12" t="s">
        <v>5315</v>
      </c>
      <c r="M1518" s="13" t="s">
        <v>5560</v>
      </c>
      <c r="N1518" s="12" t="s">
        <v>803</v>
      </c>
      <c r="O1518" s="13" t="s">
        <v>5174</v>
      </c>
      <c r="P1518" s="17" t="s">
        <v>802</v>
      </c>
      <c r="Q1518" s="21" t="s">
        <v>7793</v>
      </c>
      <c r="R1518" s="17" t="s">
        <v>801</v>
      </c>
      <c r="S1518" s="18" t="s">
        <v>2565</v>
      </c>
      <c r="T1518" s="17" t="s">
        <v>800</v>
      </c>
      <c r="U1518" s="18" t="s">
        <v>5248</v>
      </c>
      <c r="V1518" s="17" t="s">
        <v>9418</v>
      </c>
      <c r="W1518" s="18" t="s">
        <v>5309</v>
      </c>
      <c r="X1518" s="69" t="s">
        <v>9453</v>
      </c>
      <c r="Y1518" s="70" t="s">
        <v>9462</v>
      </c>
      <c r="Z1518" s="73" t="s">
        <v>9486</v>
      </c>
      <c r="AA1518" s="74" t="s">
        <v>9504</v>
      </c>
      <c r="AB1518" s="73" t="s">
        <v>9486</v>
      </c>
      <c r="AC1518" s="74" t="s">
        <v>9562</v>
      </c>
      <c r="AD1518" s="73" t="s">
        <v>9578</v>
      </c>
      <c r="AE1518" s="74" t="s">
        <v>9579</v>
      </c>
    </row>
    <row r="1519" spans="1:31" ht="8.65" customHeight="1" x14ac:dyDescent="0.2">
      <c r="A1519" s="76">
        <v>1519</v>
      </c>
      <c r="B1519" s="67" t="str">
        <f>MID(C1519, FIND("Ifc.", C1519) + 4, 4) &amp; "_" &amp; TEXT(COUNTIF($C$2:C1519, C1519),"0000")</f>
        <v>Prop_1518</v>
      </c>
      <c r="C1519" s="24" t="s">
        <v>872</v>
      </c>
      <c r="D1519" s="69" t="s">
        <v>9453</v>
      </c>
      <c r="E1519" s="70" t="s">
        <v>9454</v>
      </c>
      <c r="F1519" s="17" t="s">
        <v>806</v>
      </c>
      <c r="G1519" s="22" t="s">
        <v>2373</v>
      </c>
      <c r="H1519" s="12" t="s">
        <v>9703</v>
      </c>
      <c r="I1519" s="13" t="s">
        <v>7347</v>
      </c>
      <c r="J1519" s="14" t="s">
        <v>798</v>
      </c>
      <c r="K1519" s="15" t="s">
        <v>798</v>
      </c>
      <c r="L1519" s="12" t="s">
        <v>5315</v>
      </c>
      <c r="M1519" s="13" t="s">
        <v>5781</v>
      </c>
      <c r="N1519" s="12" t="s">
        <v>803</v>
      </c>
      <c r="O1519" s="13" t="s">
        <v>5180</v>
      </c>
      <c r="P1519" s="17" t="s">
        <v>802</v>
      </c>
      <c r="Q1519" s="21" t="s">
        <v>7699</v>
      </c>
      <c r="R1519" s="17" t="s">
        <v>801</v>
      </c>
      <c r="S1519" s="18" t="s">
        <v>2565</v>
      </c>
      <c r="T1519" s="17" t="s">
        <v>800</v>
      </c>
      <c r="U1519" s="18" t="s">
        <v>5248</v>
      </c>
      <c r="V1519" s="17" t="s">
        <v>9418</v>
      </c>
      <c r="W1519" s="18" t="s">
        <v>5309</v>
      </c>
      <c r="X1519" s="69" t="s">
        <v>9453</v>
      </c>
      <c r="Y1519" s="70" t="s">
        <v>9462</v>
      </c>
      <c r="Z1519" s="73" t="s">
        <v>9486</v>
      </c>
      <c r="AA1519" s="74" t="s">
        <v>9504</v>
      </c>
      <c r="AB1519" s="73" t="s">
        <v>9486</v>
      </c>
      <c r="AC1519" s="74" t="s">
        <v>9562</v>
      </c>
      <c r="AD1519" s="73" t="s">
        <v>9578</v>
      </c>
      <c r="AE1519" s="74" t="s">
        <v>9579</v>
      </c>
    </row>
    <row r="1520" spans="1:31" ht="8.65" customHeight="1" x14ac:dyDescent="0.2">
      <c r="A1520" s="76">
        <v>1520</v>
      </c>
      <c r="B1520" s="67" t="str">
        <f>MID(C1520, FIND("Ifc.", C1520) + 4, 4) &amp; "_" &amp; TEXT(COUNTIF($C$2:C1520, C1520),"0000")</f>
        <v>Prop_1519</v>
      </c>
      <c r="C1520" s="24" t="s">
        <v>872</v>
      </c>
      <c r="D1520" s="69" t="s">
        <v>9453</v>
      </c>
      <c r="E1520" s="70" t="s">
        <v>9454</v>
      </c>
      <c r="F1520" s="17" t="s">
        <v>806</v>
      </c>
      <c r="G1520" s="22" t="s">
        <v>2415</v>
      </c>
      <c r="H1520" s="12" t="s">
        <v>9703</v>
      </c>
      <c r="I1520" s="13" t="s">
        <v>7340</v>
      </c>
      <c r="J1520" s="14" t="s">
        <v>798</v>
      </c>
      <c r="K1520" s="15" t="s">
        <v>798</v>
      </c>
      <c r="L1520" s="12" t="s">
        <v>5315</v>
      </c>
      <c r="M1520" s="13" t="s">
        <v>5567</v>
      </c>
      <c r="N1520" s="12" t="s">
        <v>803</v>
      </c>
      <c r="O1520" s="13" t="s">
        <v>5200</v>
      </c>
      <c r="P1520" s="17" t="s">
        <v>802</v>
      </c>
      <c r="Q1520" s="21" t="s">
        <v>7951</v>
      </c>
      <c r="R1520" s="17" t="s">
        <v>801</v>
      </c>
      <c r="S1520" s="18" t="s">
        <v>2565</v>
      </c>
      <c r="T1520" s="17" t="s">
        <v>800</v>
      </c>
      <c r="U1520" s="18" t="s">
        <v>5248</v>
      </c>
      <c r="V1520" s="17" t="s">
        <v>9418</v>
      </c>
      <c r="W1520" s="18" t="s">
        <v>5309</v>
      </c>
      <c r="X1520" s="69" t="s">
        <v>9453</v>
      </c>
      <c r="Y1520" s="70" t="s">
        <v>9462</v>
      </c>
      <c r="Z1520" s="73" t="s">
        <v>9486</v>
      </c>
      <c r="AA1520" s="74" t="s">
        <v>9504</v>
      </c>
      <c r="AB1520" s="73" t="s">
        <v>9486</v>
      </c>
      <c r="AC1520" s="74" t="s">
        <v>9562</v>
      </c>
      <c r="AD1520" s="73" t="s">
        <v>9578</v>
      </c>
      <c r="AE1520" s="74" t="s">
        <v>9579</v>
      </c>
    </row>
    <row r="1521" spans="1:31" ht="8.65" customHeight="1" x14ac:dyDescent="0.2">
      <c r="A1521" s="76">
        <v>1521</v>
      </c>
      <c r="B1521" s="67" t="str">
        <f>MID(C1521, FIND("Ifc.", C1521) + 4, 4) &amp; "_" &amp; TEXT(COUNTIF($C$2:C1521, C1521),"0000")</f>
        <v>Prop_1520</v>
      </c>
      <c r="C1521" s="24" t="s">
        <v>872</v>
      </c>
      <c r="D1521" s="69" t="s">
        <v>9453</v>
      </c>
      <c r="E1521" s="70" t="s">
        <v>9454</v>
      </c>
      <c r="F1521" s="17" t="s">
        <v>806</v>
      </c>
      <c r="G1521" s="22" t="s">
        <v>1215</v>
      </c>
      <c r="H1521" s="12" t="s">
        <v>9703</v>
      </c>
      <c r="I1521" s="13" t="s">
        <v>6490</v>
      </c>
      <c r="J1521" s="14" t="s">
        <v>798</v>
      </c>
      <c r="K1521" s="15" t="s">
        <v>798</v>
      </c>
      <c r="L1521" s="12" t="s">
        <v>5315</v>
      </c>
      <c r="M1521" s="13" t="s">
        <v>5821</v>
      </c>
      <c r="N1521" s="12" t="s">
        <v>803</v>
      </c>
      <c r="O1521" s="13" t="s">
        <v>4883</v>
      </c>
      <c r="P1521" s="17" t="s">
        <v>802</v>
      </c>
      <c r="Q1521" s="21" t="s">
        <v>7683</v>
      </c>
      <c r="R1521" s="17" t="s">
        <v>801</v>
      </c>
      <c r="S1521" s="18" t="s">
        <v>2621</v>
      </c>
      <c r="T1521" s="17" t="s">
        <v>800</v>
      </c>
      <c r="U1521" s="18" t="s">
        <v>5260</v>
      </c>
      <c r="V1521" s="17" t="s">
        <v>9418</v>
      </c>
      <c r="W1521" s="18" t="s">
        <v>5309</v>
      </c>
      <c r="X1521" s="69" t="s">
        <v>9453</v>
      </c>
      <c r="Y1521" s="70" t="s">
        <v>9462</v>
      </c>
      <c r="Z1521" s="73" t="s">
        <v>9486</v>
      </c>
      <c r="AA1521" s="74" t="s">
        <v>9504</v>
      </c>
      <c r="AB1521" s="73" t="s">
        <v>9486</v>
      </c>
      <c r="AC1521" s="74" t="s">
        <v>9566</v>
      </c>
      <c r="AD1521" s="73" t="s">
        <v>9578</v>
      </c>
      <c r="AE1521" s="74" t="s">
        <v>9579</v>
      </c>
    </row>
    <row r="1522" spans="1:31" ht="8.65" customHeight="1" x14ac:dyDescent="0.2">
      <c r="A1522" s="76">
        <v>1522</v>
      </c>
      <c r="B1522" s="67" t="str">
        <f>MID(C1522, FIND("Ifc.", C1522) + 4, 4) &amp; "_" &amp; TEXT(COUNTIF($C$2:C1522, C1522),"0000")</f>
        <v>Prop_1521</v>
      </c>
      <c r="C1522" s="24" t="s">
        <v>872</v>
      </c>
      <c r="D1522" s="69" t="s">
        <v>9453</v>
      </c>
      <c r="E1522" s="70" t="s">
        <v>9454</v>
      </c>
      <c r="F1522" s="17" t="s">
        <v>806</v>
      </c>
      <c r="G1522" s="22" t="s">
        <v>1647</v>
      </c>
      <c r="H1522" s="12" t="s">
        <v>9703</v>
      </c>
      <c r="I1522" s="13" t="s">
        <v>6887</v>
      </c>
      <c r="J1522" s="14" t="s">
        <v>798</v>
      </c>
      <c r="K1522" s="15" t="s">
        <v>798</v>
      </c>
      <c r="L1522" s="12" t="s">
        <v>5315</v>
      </c>
      <c r="M1522" s="13" t="s">
        <v>5837</v>
      </c>
      <c r="N1522" s="12" t="s">
        <v>803</v>
      </c>
      <c r="O1522" s="13" t="s">
        <v>4980</v>
      </c>
      <c r="P1522" s="17" t="s">
        <v>802</v>
      </c>
      <c r="Q1522" s="21" t="s">
        <v>7844</v>
      </c>
      <c r="R1522" s="17" t="s">
        <v>801</v>
      </c>
      <c r="S1522" s="18" t="s">
        <v>3636</v>
      </c>
      <c r="T1522" s="17" t="s">
        <v>800</v>
      </c>
      <c r="U1522" s="18" t="s">
        <v>5257</v>
      </c>
      <c r="V1522" s="17" t="s">
        <v>9418</v>
      </c>
      <c r="W1522" s="18" t="s">
        <v>5314</v>
      </c>
      <c r="X1522" s="69" t="s">
        <v>9453</v>
      </c>
      <c r="Y1522" s="70" t="s">
        <v>9464</v>
      </c>
      <c r="Z1522" s="73" t="s">
        <v>9486</v>
      </c>
      <c r="AA1522" s="74" t="s">
        <v>9504</v>
      </c>
      <c r="AB1522" s="73" t="s">
        <v>9486</v>
      </c>
      <c r="AC1522" s="74" t="s">
        <v>9561</v>
      </c>
      <c r="AD1522" s="73" t="s">
        <v>9578</v>
      </c>
      <c r="AE1522" s="74" t="s">
        <v>9579</v>
      </c>
    </row>
    <row r="1523" spans="1:31" ht="8.65" customHeight="1" x14ac:dyDescent="0.2">
      <c r="A1523" s="76">
        <v>1523</v>
      </c>
      <c r="B1523" s="67" t="str">
        <f>MID(C1523, FIND("Ifc.", C1523) + 4, 4) &amp; "_" &amp; TEXT(COUNTIF($C$2:C1523, C1523),"0000")</f>
        <v>Prop_1522</v>
      </c>
      <c r="C1523" s="24" t="s">
        <v>872</v>
      </c>
      <c r="D1523" s="69" t="s">
        <v>9453</v>
      </c>
      <c r="E1523" s="70" t="s">
        <v>9454</v>
      </c>
      <c r="F1523" s="17" t="s">
        <v>806</v>
      </c>
      <c r="G1523" s="22" t="s">
        <v>1663</v>
      </c>
      <c r="H1523" s="12" t="s">
        <v>9703</v>
      </c>
      <c r="I1523" s="13" t="s">
        <v>6891</v>
      </c>
      <c r="J1523" s="14" t="s">
        <v>798</v>
      </c>
      <c r="K1523" s="15" t="s">
        <v>798</v>
      </c>
      <c r="L1523" s="12" t="s">
        <v>5315</v>
      </c>
      <c r="M1523" s="13" t="s">
        <v>5841</v>
      </c>
      <c r="N1523" s="12" t="s">
        <v>803</v>
      </c>
      <c r="O1523" s="13" t="s">
        <v>4986</v>
      </c>
      <c r="P1523" s="17" t="s">
        <v>802</v>
      </c>
      <c r="Q1523" s="21" t="s">
        <v>7845</v>
      </c>
      <c r="R1523" s="17" t="s">
        <v>801</v>
      </c>
      <c r="S1523" s="18" t="s">
        <v>3636</v>
      </c>
      <c r="T1523" s="17" t="s">
        <v>800</v>
      </c>
      <c r="U1523" s="18" t="s">
        <v>5257</v>
      </c>
      <c r="V1523" s="17" t="s">
        <v>9418</v>
      </c>
      <c r="W1523" s="18" t="s">
        <v>5314</v>
      </c>
      <c r="X1523" s="69" t="s">
        <v>9453</v>
      </c>
      <c r="Y1523" s="70" t="s">
        <v>9464</v>
      </c>
      <c r="Z1523" s="73" t="s">
        <v>9486</v>
      </c>
      <c r="AA1523" s="74" t="s">
        <v>9504</v>
      </c>
      <c r="AB1523" s="73" t="s">
        <v>9486</v>
      </c>
      <c r="AC1523" s="74" t="s">
        <v>9561</v>
      </c>
      <c r="AD1523" s="73" t="s">
        <v>9578</v>
      </c>
      <c r="AE1523" s="74" t="s">
        <v>9579</v>
      </c>
    </row>
    <row r="1524" spans="1:31" ht="8.65" customHeight="1" x14ac:dyDescent="0.2">
      <c r="A1524" s="76">
        <v>1524</v>
      </c>
      <c r="B1524" s="67" t="str">
        <f>MID(C1524, FIND("Ifc.", C1524) + 4, 4) &amp; "_" &amp; TEXT(COUNTIF($C$2:C1524, C1524),"0000")</f>
        <v>Prop_1523</v>
      </c>
      <c r="C1524" s="24" t="s">
        <v>872</v>
      </c>
      <c r="D1524" s="69" t="s">
        <v>9453</v>
      </c>
      <c r="E1524" s="70" t="s">
        <v>9454</v>
      </c>
      <c r="F1524" s="17" t="s">
        <v>806</v>
      </c>
      <c r="G1524" s="22" t="s">
        <v>1442</v>
      </c>
      <c r="H1524" s="12" t="s">
        <v>9703</v>
      </c>
      <c r="I1524" s="13" t="s">
        <v>6337</v>
      </c>
      <c r="J1524" s="14" t="s">
        <v>798</v>
      </c>
      <c r="K1524" s="15" t="s">
        <v>798</v>
      </c>
      <c r="L1524" s="12" t="s">
        <v>5315</v>
      </c>
      <c r="M1524" s="13" t="s">
        <v>5436</v>
      </c>
      <c r="N1524" s="12" t="s">
        <v>803</v>
      </c>
      <c r="O1524" s="13" t="s">
        <v>4936</v>
      </c>
      <c r="P1524" s="17" t="s">
        <v>802</v>
      </c>
      <c r="Q1524" s="21" t="s">
        <v>7931</v>
      </c>
      <c r="R1524" s="17" t="s">
        <v>801</v>
      </c>
      <c r="S1524" s="18" t="s">
        <v>2621</v>
      </c>
      <c r="T1524" s="17" t="s">
        <v>800</v>
      </c>
      <c r="U1524" s="18" t="s">
        <v>5260</v>
      </c>
      <c r="V1524" s="17" t="s">
        <v>9418</v>
      </c>
      <c r="W1524" s="18" t="s">
        <v>5309</v>
      </c>
      <c r="X1524" s="69" t="s">
        <v>9453</v>
      </c>
      <c r="Y1524" s="70" t="s">
        <v>9462</v>
      </c>
      <c r="Z1524" s="73" t="s">
        <v>9486</v>
      </c>
      <c r="AA1524" s="74" t="s">
        <v>9504</v>
      </c>
      <c r="AB1524" s="73" t="s">
        <v>9486</v>
      </c>
      <c r="AC1524" s="74" t="s">
        <v>9566</v>
      </c>
      <c r="AD1524" s="73" t="s">
        <v>9578</v>
      </c>
      <c r="AE1524" s="74" t="s">
        <v>9579</v>
      </c>
    </row>
    <row r="1525" spans="1:31" ht="8.65" customHeight="1" x14ac:dyDescent="0.2">
      <c r="A1525" s="76">
        <v>1525</v>
      </c>
      <c r="B1525" s="67" t="str">
        <f>MID(C1525, FIND("Ifc.", C1525) + 4, 4) &amp; "_" &amp; TEXT(COUNTIF($C$2:C1525, C1525),"0000")</f>
        <v>Prop_1524</v>
      </c>
      <c r="C1525" s="24" t="s">
        <v>872</v>
      </c>
      <c r="D1525" s="69" t="s">
        <v>9453</v>
      </c>
      <c r="E1525" s="70" t="s">
        <v>9454</v>
      </c>
      <c r="F1525" s="17" t="s">
        <v>806</v>
      </c>
      <c r="G1525" s="22" t="s">
        <v>1588</v>
      </c>
      <c r="H1525" s="12" t="s">
        <v>9703</v>
      </c>
      <c r="I1525" s="13" t="s">
        <v>7299</v>
      </c>
      <c r="J1525" s="14" t="s">
        <v>798</v>
      </c>
      <c r="K1525" s="15" t="s">
        <v>798</v>
      </c>
      <c r="L1525" s="12" t="s">
        <v>5315</v>
      </c>
      <c r="M1525" s="13" t="s">
        <v>5898</v>
      </c>
      <c r="N1525" s="12" t="s">
        <v>803</v>
      </c>
      <c r="O1525" s="13" t="s">
        <v>4967</v>
      </c>
      <c r="P1525" s="17" t="s">
        <v>802</v>
      </c>
      <c r="Q1525" s="21" t="s">
        <v>8002</v>
      </c>
      <c r="R1525" s="17" t="s">
        <v>801</v>
      </c>
      <c r="S1525" s="18" t="s">
        <v>3636</v>
      </c>
      <c r="T1525" s="17" t="s">
        <v>800</v>
      </c>
      <c r="U1525" s="18" t="s">
        <v>5257</v>
      </c>
      <c r="V1525" s="17" t="s">
        <v>9418</v>
      </c>
      <c r="W1525" s="18" t="s">
        <v>5314</v>
      </c>
      <c r="X1525" s="69" t="s">
        <v>9453</v>
      </c>
      <c r="Y1525" s="70" t="s">
        <v>9464</v>
      </c>
      <c r="Z1525" s="73" t="s">
        <v>9486</v>
      </c>
      <c r="AA1525" s="74" t="s">
        <v>9504</v>
      </c>
      <c r="AB1525" s="73" t="s">
        <v>9486</v>
      </c>
      <c r="AC1525" s="74" t="s">
        <v>9561</v>
      </c>
      <c r="AD1525" s="73" t="s">
        <v>9578</v>
      </c>
      <c r="AE1525" s="74" t="s">
        <v>9579</v>
      </c>
    </row>
    <row r="1526" spans="1:31" ht="8.65" customHeight="1" x14ac:dyDescent="0.2">
      <c r="A1526" s="76">
        <v>1526</v>
      </c>
      <c r="B1526" s="67" t="str">
        <f>MID(C1526, FIND("Ifc.", C1526) + 4, 4) &amp; "_" &amp; TEXT(COUNTIF($C$2:C1526, C1526),"0000")</f>
        <v>Prop_1525</v>
      </c>
      <c r="C1526" s="24" t="s">
        <v>872</v>
      </c>
      <c r="D1526" s="69" t="s">
        <v>9453</v>
      </c>
      <c r="E1526" s="70" t="s">
        <v>9454</v>
      </c>
      <c r="F1526" s="17" t="s">
        <v>806</v>
      </c>
      <c r="G1526" s="22" t="s">
        <v>1617</v>
      </c>
      <c r="H1526" s="12" t="s">
        <v>9703</v>
      </c>
      <c r="I1526" s="13" t="s">
        <v>6362</v>
      </c>
      <c r="J1526" s="14" t="s">
        <v>798</v>
      </c>
      <c r="K1526" s="15" t="s">
        <v>798</v>
      </c>
      <c r="L1526" s="12" t="s">
        <v>5315</v>
      </c>
      <c r="M1526" s="13" t="s">
        <v>5831</v>
      </c>
      <c r="N1526" s="12" t="s">
        <v>803</v>
      </c>
      <c r="O1526" s="13" t="s">
        <v>4973</v>
      </c>
      <c r="P1526" s="17" t="s">
        <v>802</v>
      </c>
      <c r="Q1526" s="21" t="s">
        <v>7730</v>
      </c>
      <c r="R1526" s="17" t="s">
        <v>801</v>
      </c>
      <c r="S1526" s="18" t="s">
        <v>3636</v>
      </c>
      <c r="T1526" s="17" t="s">
        <v>800</v>
      </c>
      <c r="U1526" s="18" t="s">
        <v>5257</v>
      </c>
      <c r="V1526" s="17" t="s">
        <v>9418</v>
      </c>
      <c r="W1526" s="18" t="s">
        <v>5314</v>
      </c>
      <c r="X1526" s="69" t="s">
        <v>9453</v>
      </c>
      <c r="Y1526" s="70" t="s">
        <v>9464</v>
      </c>
      <c r="Z1526" s="73" t="s">
        <v>9486</v>
      </c>
      <c r="AA1526" s="74" t="s">
        <v>9504</v>
      </c>
      <c r="AB1526" s="73" t="s">
        <v>9486</v>
      </c>
      <c r="AC1526" s="74" t="s">
        <v>9561</v>
      </c>
      <c r="AD1526" s="73" t="s">
        <v>9578</v>
      </c>
      <c r="AE1526" s="74" t="s">
        <v>9579</v>
      </c>
    </row>
    <row r="1527" spans="1:31" ht="8.65" customHeight="1" x14ac:dyDescent="0.2">
      <c r="A1527" s="76">
        <v>1527</v>
      </c>
      <c r="B1527" s="67" t="str">
        <f>MID(C1527, FIND("Ifc.", C1527) + 4, 4) &amp; "_" &amp; TEXT(COUNTIF($C$2:C1527, C1527),"0000")</f>
        <v>Prop_1526</v>
      </c>
      <c r="C1527" s="24" t="s">
        <v>872</v>
      </c>
      <c r="D1527" s="69" t="s">
        <v>9453</v>
      </c>
      <c r="E1527" s="70" t="s">
        <v>9454</v>
      </c>
      <c r="F1527" s="17" t="s">
        <v>806</v>
      </c>
      <c r="G1527" s="22" t="s">
        <v>1617</v>
      </c>
      <c r="H1527" s="12" t="s">
        <v>9703</v>
      </c>
      <c r="I1527" s="13" t="s">
        <v>6362</v>
      </c>
      <c r="J1527" s="14" t="s">
        <v>798</v>
      </c>
      <c r="K1527" s="15" t="s">
        <v>798</v>
      </c>
      <c r="L1527" s="12" t="s">
        <v>5315</v>
      </c>
      <c r="M1527" s="13" t="s">
        <v>5848</v>
      </c>
      <c r="N1527" s="12" t="s">
        <v>803</v>
      </c>
      <c r="O1527" s="13" t="s">
        <v>4994</v>
      </c>
      <c r="P1527" s="17" t="s">
        <v>802</v>
      </c>
      <c r="Q1527" s="21" t="s">
        <v>8021</v>
      </c>
      <c r="R1527" s="17" t="s">
        <v>801</v>
      </c>
      <c r="S1527" s="18" t="s">
        <v>3636</v>
      </c>
      <c r="T1527" s="17" t="s">
        <v>800</v>
      </c>
      <c r="U1527" s="18" t="s">
        <v>5257</v>
      </c>
      <c r="V1527" s="17" t="s">
        <v>9418</v>
      </c>
      <c r="W1527" s="18" t="s">
        <v>5314</v>
      </c>
      <c r="X1527" s="69" t="s">
        <v>9453</v>
      </c>
      <c r="Y1527" s="70" t="s">
        <v>9464</v>
      </c>
      <c r="Z1527" s="73" t="s">
        <v>9486</v>
      </c>
      <c r="AA1527" s="74" t="s">
        <v>9504</v>
      </c>
      <c r="AB1527" s="73" t="s">
        <v>9486</v>
      </c>
      <c r="AC1527" s="74" t="s">
        <v>9561</v>
      </c>
      <c r="AD1527" s="73" t="s">
        <v>9578</v>
      </c>
      <c r="AE1527" s="74" t="s">
        <v>9579</v>
      </c>
    </row>
    <row r="1528" spans="1:31" ht="8.65" customHeight="1" x14ac:dyDescent="0.2">
      <c r="A1528" s="76">
        <v>1528</v>
      </c>
      <c r="B1528" s="67" t="str">
        <f>MID(C1528, FIND("Ifc.", C1528) + 4, 4) &amp; "_" &amp; TEXT(COUNTIF($C$2:C1528, C1528),"0000")</f>
        <v>Prop_1527</v>
      </c>
      <c r="C1528" s="24" t="s">
        <v>872</v>
      </c>
      <c r="D1528" s="69" t="s">
        <v>9453</v>
      </c>
      <c r="E1528" s="70" t="s">
        <v>9454</v>
      </c>
      <c r="F1528" s="17" t="s">
        <v>806</v>
      </c>
      <c r="G1528" s="22" t="s">
        <v>2311</v>
      </c>
      <c r="H1528" s="12" t="s">
        <v>9703</v>
      </c>
      <c r="I1528" s="13" t="s">
        <v>7648</v>
      </c>
      <c r="J1528" s="14" t="s">
        <v>798</v>
      </c>
      <c r="K1528" s="15" t="s">
        <v>798</v>
      </c>
      <c r="L1528" s="12" t="s">
        <v>5315</v>
      </c>
      <c r="M1528" s="13" t="s">
        <v>5554</v>
      </c>
      <c r="N1528" s="12" t="s">
        <v>803</v>
      </c>
      <c r="O1528" s="13" t="s">
        <v>5168</v>
      </c>
      <c r="P1528" s="17" t="s">
        <v>802</v>
      </c>
      <c r="Q1528" s="21" t="s">
        <v>7816</v>
      </c>
      <c r="R1528" s="17" t="s">
        <v>801</v>
      </c>
      <c r="S1528" s="18" t="s">
        <v>2633</v>
      </c>
      <c r="T1528" s="17" t="s">
        <v>800</v>
      </c>
      <c r="U1528" s="18" t="s">
        <v>5275</v>
      </c>
      <c r="V1528" s="17" t="s">
        <v>9418</v>
      </c>
      <c r="W1528" s="18" t="s">
        <v>5309</v>
      </c>
      <c r="X1528" s="69" t="s">
        <v>9453</v>
      </c>
      <c r="Y1528" s="70" t="s">
        <v>9462</v>
      </c>
      <c r="Z1528" s="73" t="s">
        <v>9486</v>
      </c>
      <c r="AA1528" s="74" t="s">
        <v>9504</v>
      </c>
      <c r="AB1528" s="73" t="s">
        <v>9486</v>
      </c>
      <c r="AC1528" s="74" t="s">
        <v>9566</v>
      </c>
      <c r="AD1528" s="73" t="s">
        <v>9578</v>
      </c>
      <c r="AE1528" s="74" t="s">
        <v>9579</v>
      </c>
    </row>
    <row r="1529" spans="1:31" ht="8.65" customHeight="1" x14ac:dyDescent="0.2">
      <c r="A1529" s="76">
        <v>1529</v>
      </c>
      <c r="B1529" s="67" t="str">
        <f>MID(C1529, FIND("Ifc.", C1529) + 4, 4) &amp; "_" &amp; TEXT(COUNTIF($C$2:C1529, C1529),"0000")</f>
        <v>Prop_1528</v>
      </c>
      <c r="C1529" s="24" t="s">
        <v>872</v>
      </c>
      <c r="D1529" s="69" t="s">
        <v>9453</v>
      </c>
      <c r="E1529" s="70" t="s">
        <v>9454</v>
      </c>
      <c r="F1529" s="17" t="s">
        <v>806</v>
      </c>
      <c r="G1529" s="22" t="s">
        <v>1996</v>
      </c>
      <c r="H1529" s="12" t="s">
        <v>9703</v>
      </c>
      <c r="I1529" s="13" t="s">
        <v>7474</v>
      </c>
      <c r="J1529" s="14" t="s">
        <v>798</v>
      </c>
      <c r="K1529" s="15" t="s">
        <v>798</v>
      </c>
      <c r="L1529" s="12" t="s">
        <v>5315</v>
      </c>
      <c r="M1529" s="13" t="s">
        <v>5479</v>
      </c>
      <c r="N1529" s="12" t="s">
        <v>803</v>
      </c>
      <c r="O1529" s="13" t="s">
        <v>5083</v>
      </c>
      <c r="P1529" s="17" t="s">
        <v>802</v>
      </c>
      <c r="Q1529" s="21" t="s">
        <v>7731</v>
      </c>
      <c r="R1529" s="17" t="s">
        <v>801</v>
      </c>
      <c r="S1529" s="18" t="s">
        <v>2584</v>
      </c>
      <c r="T1529" s="17" t="s">
        <v>800</v>
      </c>
      <c r="U1529" s="18" t="s">
        <v>5294</v>
      </c>
      <c r="V1529" s="17" t="s">
        <v>9418</v>
      </c>
      <c r="W1529" s="18" t="s">
        <v>5309</v>
      </c>
      <c r="X1529" s="69" t="s">
        <v>9453</v>
      </c>
      <c r="Y1529" s="70" t="s">
        <v>9462</v>
      </c>
      <c r="Z1529" s="73" t="s">
        <v>9486</v>
      </c>
      <c r="AA1529" s="74" t="s">
        <v>9504</v>
      </c>
      <c r="AB1529" s="73" t="s">
        <v>9486</v>
      </c>
      <c r="AC1529" s="74" t="s">
        <v>9566</v>
      </c>
      <c r="AD1529" s="73" t="s">
        <v>9578</v>
      </c>
      <c r="AE1529" s="74" t="s">
        <v>9579</v>
      </c>
    </row>
    <row r="1530" spans="1:31" ht="8.65" customHeight="1" x14ac:dyDescent="0.2">
      <c r="A1530" s="76">
        <v>1530</v>
      </c>
      <c r="B1530" s="67" t="str">
        <f>MID(C1530, FIND("Ifc.", C1530) + 4, 4) &amp; "_" &amp; TEXT(COUNTIF($C$2:C1530, C1530),"0000")</f>
        <v>Prop_1529</v>
      </c>
      <c r="C1530" s="24" t="s">
        <v>872</v>
      </c>
      <c r="D1530" s="69" t="s">
        <v>9453</v>
      </c>
      <c r="E1530" s="70" t="s">
        <v>9454</v>
      </c>
      <c r="F1530" s="17" t="s">
        <v>806</v>
      </c>
      <c r="G1530" s="22" t="s">
        <v>2001</v>
      </c>
      <c r="H1530" s="12" t="s">
        <v>9703</v>
      </c>
      <c r="I1530" s="13" t="s">
        <v>7450</v>
      </c>
      <c r="J1530" s="14" t="s">
        <v>798</v>
      </c>
      <c r="K1530" s="15" t="s">
        <v>798</v>
      </c>
      <c r="L1530" s="12" t="s">
        <v>5315</v>
      </c>
      <c r="M1530" s="13" t="s">
        <v>5479</v>
      </c>
      <c r="N1530" s="12" t="s">
        <v>803</v>
      </c>
      <c r="O1530" s="13" t="s">
        <v>5083</v>
      </c>
      <c r="P1530" s="17" t="s">
        <v>802</v>
      </c>
      <c r="Q1530" s="21" t="s">
        <v>7731</v>
      </c>
      <c r="R1530" s="17" t="s">
        <v>801</v>
      </c>
      <c r="S1530" s="18" t="s">
        <v>2584</v>
      </c>
      <c r="T1530" s="17" t="s">
        <v>800</v>
      </c>
      <c r="U1530" s="18" t="s">
        <v>5294</v>
      </c>
      <c r="V1530" s="17" t="s">
        <v>9418</v>
      </c>
      <c r="W1530" s="18" t="s">
        <v>5309</v>
      </c>
      <c r="X1530" s="69" t="s">
        <v>9453</v>
      </c>
      <c r="Y1530" s="70" t="s">
        <v>9462</v>
      </c>
      <c r="Z1530" s="73" t="s">
        <v>9486</v>
      </c>
      <c r="AA1530" s="74" t="s">
        <v>9504</v>
      </c>
      <c r="AB1530" s="73" t="s">
        <v>9486</v>
      </c>
      <c r="AC1530" s="74" t="s">
        <v>9566</v>
      </c>
      <c r="AD1530" s="73" t="s">
        <v>9578</v>
      </c>
      <c r="AE1530" s="74" t="s">
        <v>9579</v>
      </c>
    </row>
    <row r="1531" spans="1:31" ht="8.65" customHeight="1" x14ac:dyDescent="0.2">
      <c r="A1531" s="76">
        <v>1531</v>
      </c>
      <c r="B1531" s="67" t="str">
        <f>MID(C1531, FIND("Ifc.", C1531) + 4, 4) &amp; "_" &amp; TEXT(COUNTIF($C$2:C1531, C1531),"0000")</f>
        <v>Prop_1530</v>
      </c>
      <c r="C1531" s="24" t="s">
        <v>872</v>
      </c>
      <c r="D1531" s="69" t="s">
        <v>9453</v>
      </c>
      <c r="E1531" s="70" t="s">
        <v>9454</v>
      </c>
      <c r="F1531" s="17" t="s">
        <v>806</v>
      </c>
      <c r="G1531" s="22" t="s">
        <v>1163</v>
      </c>
      <c r="H1531" s="12" t="s">
        <v>9703</v>
      </c>
      <c r="I1531" s="13" t="s">
        <v>7647</v>
      </c>
      <c r="J1531" s="14" t="s">
        <v>798</v>
      </c>
      <c r="K1531" s="15" t="s">
        <v>798</v>
      </c>
      <c r="L1531" s="12" t="s">
        <v>5315</v>
      </c>
      <c r="M1531" s="13" t="s">
        <v>6045</v>
      </c>
      <c r="N1531" s="12" t="s">
        <v>803</v>
      </c>
      <c r="O1531" s="13" t="s">
        <v>4872</v>
      </c>
      <c r="P1531" s="17" t="s">
        <v>802</v>
      </c>
      <c r="Q1531" s="21" t="s">
        <v>7727</v>
      </c>
      <c r="R1531" s="17" t="s">
        <v>801</v>
      </c>
      <c r="S1531" s="18" t="s">
        <v>2585</v>
      </c>
      <c r="T1531" s="17" t="s">
        <v>800</v>
      </c>
      <c r="U1531" s="18" t="s">
        <v>5238</v>
      </c>
      <c r="V1531" s="17" t="s">
        <v>9418</v>
      </c>
      <c r="W1531" s="18" t="s">
        <v>5309</v>
      </c>
      <c r="X1531" s="69" t="s">
        <v>9453</v>
      </c>
      <c r="Y1531" s="70" t="s">
        <v>9462</v>
      </c>
      <c r="Z1531" s="73" t="s">
        <v>9486</v>
      </c>
      <c r="AA1531" s="74" t="s">
        <v>9504</v>
      </c>
      <c r="AB1531" s="73" t="s">
        <v>9486</v>
      </c>
      <c r="AC1531" s="74" t="s">
        <v>9566</v>
      </c>
      <c r="AD1531" s="73" t="s">
        <v>9578</v>
      </c>
      <c r="AE1531" s="74" t="s">
        <v>9579</v>
      </c>
    </row>
    <row r="1532" spans="1:31" ht="8.65" customHeight="1" x14ac:dyDescent="0.2">
      <c r="A1532" s="76">
        <v>1532</v>
      </c>
      <c r="B1532" s="67" t="str">
        <f>MID(C1532, FIND("Ifc.", C1532) + 4, 4) &amp; "_" &amp; TEXT(COUNTIF($C$2:C1532, C1532),"0000")</f>
        <v>Prop_1531</v>
      </c>
      <c r="C1532" s="24" t="s">
        <v>872</v>
      </c>
      <c r="D1532" s="69" t="s">
        <v>9453</v>
      </c>
      <c r="E1532" s="70" t="s">
        <v>9454</v>
      </c>
      <c r="F1532" s="17" t="s">
        <v>806</v>
      </c>
      <c r="G1532" s="22" t="s">
        <v>1999</v>
      </c>
      <c r="H1532" s="12" t="s">
        <v>9703</v>
      </c>
      <c r="I1532" s="13" t="s">
        <v>7550</v>
      </c>
      <c r="J1532" s="14" t="s">
        <v>798</v>
      </c>
      <c r="K1532" s="15" t="s">
        <v>798</v>
      </c>
      <c r="L1532" s="12" t="s">
        <v>5315</v>
      </c>
      <c r="M1532" s="13" t="s">
        <v>5479</v>
      </c>
      <c r="N1532" s="12" t="s">
        <v>803</v>
      </c>
      <c r="O1532" s="13" t="s">
        <v>5083</v>
      </c>
      <c r="P1532" s="17" t="s">
        <v>802</v>
      </c>
      <c r="Q1532" s="21" t="s">
        <v>7731</v>
      </c>
      <c r="R1532" s="17" t="s">
        <v>801</v>
      </c>
      <c r="S1532" s="18" t="s">
        <v>2584</v>
      </c>
      <c r="T1532" s="17" t="s">
        <v>800</v>
      </c>
      <c r="U1532" s="18" t="s">
        <v>5294</v>
      </c>
      <c r="V1532" s="17" t="s">
        <v>9418</v>
      </c>
      <c r="W1532" s="18" t="s">
        <v>5309</v>
      </c>
      <c r="X1532" s="69" t="s">
        <v>9453</v>
      </c>
      <c r="Y1532" s="70" t="s">
        <v>9462</v>
      </c>
      <c r="Z1532" s="73" t="s">
        <v>9486</v>
      </c>
      <c r="AA1532" s="74" t="s">
        <v>9504</v>
      </c>
      <c r="AB1532" s="73" t="s">
        <v>9486</v>
      </c>
      <c r="AC1532" s="74" t="s">
        <v>9566</v>
      </c>
      <c r="AD1532" s="73" t="s">
        <v>9578</v>
      </c>
      <c r="AE1532" s="74" t="s">
        <v>9579</v>
      </c>
    </row>
    <row r="1533" spans="1:31" ht="8.65" customHeight="1" x14ac:dyDescent="0.2">
      <c r="A1533" s="76">
        <v>1533</v>
      </c>
      <c r="B1533" s="67" t="str">
        <f>MID(C1533, FIND("Ifc.", C1533) + 4, 4) &amp; "_" &amp; TEXT(COUNTIF($C$2:C1533, C1533),"0000")</f>
        <v>Prop_1532</v>
      </c>
      <c r="C1533" s="24" t="s">
        <v>872</v>
      </c>
      <c r="D1533" s="69" t="s">
        <v>9453</v>
      </c>
      <c r="E1533" s="70" t="s">
        <v>9454</v>
      </c>
      <c r="F1533" s="17" t="s">
        <v>806</v>
      </c>
      <c r="G1533" s="22" t="s">
        <v>2003</v>
      </c>
      <c r="H1533" s="12" t="s">
        <v>9703</v>
      </c>
      <c r="I1533" s="13" t="s">
        <v>7451</v>
      </c>
      <c r="J1533" s="14" t="s">
        <v>798</v>
      </c>
      <c r="K1533" s="15" t="s">
        <v>798</v>
      </c>
      <c r="L1533" s="12" t="s">
        <v>5315</v>
      </c>
      <c r="M1533" s="13" t="s">
        <v>5479</v>
      </c>
      <c r="N1533" s="12" t="s">
        <v>803</v>
      </c>
      <c r="O1533" s="13" t="s">
        <v>5083</v>
      </c>
      <c r="P1533" s="17" t="s">
        <v>802</v>
      </c>
      <c r="Q1533" s="21" t="s">
        <v>7731</v>
      </c>
      <c r="R1533" s="17" t="s">
        <v>801</v>
      </c>
      <c r="S1533" s="18" t="s">
        <v>2584</v>
      </c>
      <c r="T1533" s="17" t="s">
        <v>800</v>
      </c>
      <c r="U1533" s="18" t="s">
        <v>5294</v>
      </c>
      <c r="V1533" s="17" t="s">
        <v>9418</v>
      </c>
      <c r="W1533" s="18" t="s">
        <v>5309</v>
      </c>
      <c r="X1533" s="69" t="s">
        <v>9453</v>
      </c>
      <c r="Y1533" s="70" t="s">
        <v>9462</v>
      </c>
      <c r="Z1533" s="73" t="s">
        <v>9486</v>
      </c>
      <c r="AA1533" s="74" t="s">
        <v>9504</v>
      </c>
      <c r="AB1533" s="73" t="s">
        <v>9486</v>
      </c>
      <c r="AC1533" s="74" t="s">
        <v>9566</v>
      </c>
      <c r="AD1533" s="73" t="s">
        <v>9578</v>
      </c>
      <c r="AE1533" s="74" t="s">
        <v>9579</v>
      </c>
    </row>
    <row r="1534" spans="1:31" ht="8.65" customHeight="1" x14ac:dyDescent="0.2">
      <c r="A1534" s="76">
        <v>1534</v>
      </c>
      <c r="B1534" s="67" t="str">
        <f>MID(C1534, FIND("Ifc.", C1534) + 4, 4) &amp; "_" &amp; TEXT(COUNTIF($C$2:C1534, C1534),"0000")</f>
        <v>Prop_1533</v>
      </c>
      <c r="C1534" s="24" t="s">
        <v>872</v>
      </c>
      <c r="D1534" s="69" t="s">
        <v>9453</v>
      </c>
      <c r="E1534" s="70" t="s">
        <v>9454</v>
      </c>
      <c r="F1534" s="17" t="s">
        <v>806</v>
      </c>
      <c r="G1534" s="22" t="s">
        <v>1791</v>
      </c>
      <c r="H1534" s="12" t="s">
        <v>9703</v>
      </c>
      <c r="I1534" s="13" t="s">
        <v>6978</v>
      </c>
      <c r="J1534" s="14" t="s">
        <v>798</v>
      </c>
      <c r="K1534" s="15" t="s">
        <v>798</v>
      </c>
      <c r="L1534" s="12" t="s">
        <v>5315</v>
      </c>
      <c r="M1534" s="13" t="s">
        <v>5937</v>
      </c>
      <c r="N1534" s="12" t="s">
        <v>803</v>
      </c>
      <c r="O1534" s="13" t="s">
        <v>5018</v>
      </c>
      <c r="P1534" s="17" t="s">
        <v>802</v>
      </c>
      <c r="Q1534" s="21" t="s">
        <v>7733</v>
      </c>
      <c r="R1534" s="17" t="s">
        <v>801</v>
      </c>
      <c r="S1534" s="18" t="s">
        <v>2585</v>
      </c>
      <c r="T1534" s="17" t="s">
        <v>800</v>
      </c>
      <c r="U1534" s="18" t="s">
        <v>5238</v>
      </c>
      <c r="V1534" s="17" t="s">
        <v>9418</v>
      </c>
      <c r="W1534" s="18" t="s">
        <v>5309</v>
      </c>
      <c r="X1534" s="69" t="s">
        <v>9453</v>
      </c>
      <c r="Y1534" s="70" t="s">
        <v>9462</v>
      </c>
      <c r="Z1534" s="73" t="s">
        <v>9486</v>
      </c>
      <c r="AA1534" s="74" t="s">
        <v>9504</v>
      </c>
      <c r="AB1534" s="73" t="s">
        <v>9486</v>
      </c>
      <c r="AC1534" s="74" t="s">
        <v>9566</v>
      </c>
      <c r="AD1534" s="73" t="s">
        <v>9578</v>
      </c>
      <c r="AE1534" s="74" t="s">
        <v>9579</v>
      </c>
    </row>
    <row r="1535" spans="1:31" ht="8.65" customHeight="1" x14ac:dyDescent="0.2">
      <c r="A1535" s="76">
        <v>1535</v>
      </c>
      <c r="B1535" s="67" t="str">
        <f>MID(C1535, FIND("Ifc.", C1535) + 4, 4) &amp; "_" &amp; TEXT(COUNTIF($C$2:C1535, C1535),"0000")</f>
        <v>Prop_1534</v>
      </c>
      <c r="C1535" s="24" t="s">
        <v>872</v>
      </c>
      <c r="D1535" s="69" t="s">
        <v>9453</v>
      </c>
      <c r="E1535" s="70" t="s">
        <v>9454</v>
      </c>
      <c r="F1535" s="17" t="s">
        <v>806</v>
      </c>
      <c r="G1535" s="22" t="s">
        <v>1360</v>
      </c>
      <c r="H1535" s="12" t="s">
        <v>9703</v>
      </c>
      <c r="I1535" s="13" t="s">
        <v>6282</v>
      </c>
      <c r="J1535" s="14" t="s">
        <v>798</v>
      </c>
      <c r="K1535" s="15" t="s">
        <v>798</v>
      </c>
      <c r="L1535" s="12" t="s">
        <v>5315</v>
      </c>
      <c r="M1535" s="13" t="s">
        <v>5419</v>
      </c>
      <c r="N1535" s="12" t="s">
        <v>803</v>
      </c>
      <c r="O1535" s="13" t="s">
        <v>4916</v>
      </c>
      <c r="P1535" s="17" t="s">
        <v>802</v>
      </c>
      <c r="Q1535" s="21" t="s">
        <v>7820</v>
      </c>
      <c r="R1535" s="17" t="s">
        <v>801</v>
      </c>
      <c r="S1535" s="18" t="s">
        <v>2592</v>
      </c>
      <c r="T1535" s="17" t="s">
        <v>800</v>
      </c>
      <c r="U1535" s="18" t="s">
        <v>5277</v>
      </c>
      <c r="V1535" s="17" t="s">
        <v>9418</v>
      </c>
      <c r="W1535" s="18" t="s">
        <v>5309</v>
      </c>
      <c r="X1535" s="69" t="s">
        <v>9453</v>
      </c>
      <c r="Y1535" s="70" t="s">
        <v>9462</v>
      </c>
      <c r="Z1535" s="73" t="s">
        <v>9486</v>
      </c>
      <c r="AA1535" s="74" t="s">
        <v>9504</v>
      </c>
      <c r="AB1535" s="73" t="s">
        <v>9486</v>
      </c>
      <c r="AC1535" s="74" t="s">
        <v>9566</v>
      </c>
      <c r="AD1535" s="73" t="s">
        <v>9578</v>
      </c>
      <c r="AE1535" s="74" t="s">
        <v>9579</v>
      </c>
    </row>
    <row r="1536" spans="1:31" ht="8.65" customHeight="1" x14ac:dyDescent="0.2">
      <c r="A1536" s="76">
        <v>1536</v>
      </c>
      <c r="B1536" s="67" t="str">
        <f>MID(C1536, FIND("Ifc.", C1536) + 4, 4) &amp; "_" &amp; TEXT(COUNTIF($C$2:C1536, C1536),"0000")</f>
        <v>Prop_1535</v>
      </c>
      <c r="C1536" s="24" t="s">
        <v>872</v>
      </c>
      <c r="D1536" s="69" t="s">
        <v>9453</v>
      </c>
      <c r="E1536" s="70" t="s">
        <v>9454</v>
      </c>
      <c r="F1536" s="17" t="s">
        <v>806</v>
      </c>
      <c r="G1536" s="22" t="s">
        <v>1538</v>
      </c>
      <c r="H1536" s="12" t="s">
        <v>9703</v>
      </c>
      <c r="I1536" s="13" t="s">
        <v>7298</v>
      </c>
      <c r="J1536" s="14" t="s">
        <v>798</v>
      </c>
      <c r="K1536" s="15" t="s">
        <v>798</v>
      </c>
      <c r="L1536" s="12" t="s">
        <v>5315</v>
      </c>
      <c r="M1536" s="13" t="s">
        <v>5817</v>
      </c>
      <c r="N1536" s="12" t="s">
        <v>803</v>
      </c>
      <c r="O1536" s="13" t="s">
        <v>4956</v>
      </c>
      <c r="P1536" s="17" t="s">
        <v>802</v>
      </c>
      <c r="Q1536" s="21" t="s">
        <v>7758</v>
      </c>
      <c r="R1536" s="17" t="s">
        <v>801</v>
      </c>
      <c r="S1536" s="18" t="s">
        <v>2624</v>
      </c>
      <c r="T1536" s="17" t="s">
        <v>800</v>
      </c>
      <c r="U1536" s="18" t="s">
        <v>5243</v>
      </c>
      <c r="V1536" s="17" t="s">
        <v>9418</v>
      </c>
      <c r="W1536" s="18" t="s">
        <v>5309</v>
      </c>
      <c r="X1536" s="69" t="s">
        <v>9453</v>
      </c>
      <c r="Y1536" s="70" t="s">
        <v>9462</v>
      </c>
      <c r="Z1536" s="73" t="s">
        <v>9486</v>
      </c>
      <c r="AA1536" s="74" t="s">
        <v>9504</v>
      </c>
      <c r="AB1536" s="73" t="s">
        <v>9486</v>
      </c>
      <c r="AC1536" s="74" t="s">
        <v>9566</v>
      </c>
      <c r="AD1536" s="73" t="s">
        <v>9578</v>
      </c>
      <c r="AE1536" s="74" t="s">
        <v>9579</v>
      </c>
    </row>
    <row r="1537" spans="1:31" ht="8.65" customHeight="1" x14ac:dyDescent="0.2">
      <c r="A1537" s="76">
        <v>1537</v>
      </c>
      <c r="B1537" s="67" t="str">
        <f>MID(C1537, FIND("Ifc.", C1537) + 4, 4) &amp; "_" &amp; TEXT(COUNTIF($C$2:C1537, C1537),"0000")</f>
        <v>Prop_1536</v>
      </c>
      <c r="C1537" s="24" t="s">
        <v>872</v>
      </c>
      <c r="D1537" s="69" t="s">
        <v>9453</v>
      </c>
      <c r="E1537" s="70" t="s">
        <v>9454</v>
      </c>
      <c r="F1537" s="17" t="s">
        <v>806</v>
      </c>
      <c r="G1537" s="22" t="s">
        <v>1640</v>
      </c>
      <c r="H1537" s="12" t="s">
        <v>9703</v>
      </c>
      <c r="I1537" s="13" t="s">
        <v>6393</v>
      </c>
      <c r="J1537" s="14" t="s">
        <v>798</v>
      </c>
      <c r="K1537" s="15" t="s">
        <v>798</v>
      </c>
      <c r="L1537" s="12" t="s">
        <v>5315</v>
      </c>
      <c r="M1537" s="13" t="s">
        <v>5836</v>
      </c>
      <c r="N1537" s="12" t="s">
        <v>803</v>
      </c>
      <c r="O1537" s="13" t="s">
        <v>4979</v>
      </c>
      <c r="P1537" s="17" t="s">
        <v>802</v>
      </c>
      <c r="Q1537" s="21" t="s">
        <v>7788</v>
      </c>
      <c r="R1537" s="17" t="s">
        <v>801</v>
      </c>
      <c r="S1537" s="18" t="s">
        <v>3636</v>
      </c>
      <c r="T1537" s="17" t="s">
        <v>800</v>
      </c>
      <c r="U1537" s="18" t="s">
        <v>5257</v>
      </c>
      <c r="V1537" s="17" t="s">
        <v>9418</v>
      </c>
      <c r="W1537" s="18" t="s">
        <v>5314</v>
      </c>
      <c r="X1537" s="69" t="s">
        <v>9453</v>
      </c>
      <c r="Y1537" s="70" t="s">
        <v>9464</v>
      </c>
      <c r="Z1537" s="73" t="s">
        <v>9486</v>
      </c>
      <c r="AA1537" s="74" t="s">
        <v>9504</v>
      </c>
      <c r="AB1537" s="73" t="s">
        <v>9486</v>
      </c>
      <c r="AC1537" s="74" t="s">
        <v>9561</v>
      </c>
      <c r="AD1537" s="73" t="s">
        <v>9578</v>
      </c>
      <c r="AE1537" s="74" t="s">
        <v>9579</v>
      </c>
    </row>
    <row r="1538" spans="1:31" ht="8.65" customHeight="1" x14ac:dyDescent="0.2">
      <c r="A1538" s="76">
        <v>1538</v>
      </c>
      <c r="B1538" s="67" t="str">
        <f>MID(C1538, FIND("Ifc.", C1538) + 4, 4) &amp; "_" &amp; TEXT(COUNTIF($C$2:C1538, C1538),"0000")</f>
        <v>Prop_1537</v>
      </c>
      <c r="C1538" s="24" t="s">
        <v>872</v>
      </c>
      <c r="D1538" s="69" t="s">
        <v>9453</v>
      </c>
      <c r="E1538" s="70" t="s">
        <v>9454</v>
      </c>
      <c r="F1538" s="17" t="s">
        <v>806</v>
      </c>
      <c r="G1538" s="22" t="s">
        <v>988</v>
      </c>
      <c r="H1538" s="12" t="s">
        <v>9703</v>
      </c>
      <c r="I1538" s="13" t="s">
        <v>6100</v>
      </c>
      <c r="J1538" s="14" t="s">
        <v>798</v>
      </c>
      <c r="K1538" s="15" t="s">
        <v>798</v>
      </c>
      <c r="L1538" s="12" t="s">
        <v>5315</v>
      </c>
      <c r="M1538" s="13" t="s">
        <v>5990</v>
      </c>
      <c r="N1538" s="12" t="s">
        <v>803</v>
      </c>
      <c r="O1538" s="13" t="s">
        <v>4827</v>
      </c>
      <c r="P1538" s="17" t="s">
        <v>802</v>
      </c>
      <c r="Q1538" s="21" t="s">
        <v>7704</v>
      </c>
      <c r="R1538" s="17" t="s">
        <v>801</v>
      </c>
      <c r="S1538" s="18" t="s">
        <v>2625</v>
      </c>
      <c r="T1538" s="17" t="s">
        <v>800</v>
      </c>
      <c r="U1538" s="18" t="s">
        <v>5240</v>
      </c>
      <c r="V1538" s="17" t="s">
        <v>9418</v>
      </c>
      <c r="W1538" s="18" t="s">
        <v>5309</v>
      </c>
      <c r="X1538" s="69" t="s">
        <v>9453</v>
      </c>
      <c r="Y1538" s="70" t="s">
        <v>9462</v>
      </c>
      <c r="Z1538" s="73" t="s">
        <v>9486</v>
      </c>
      <c r="AA1538" s="74" t="s">
        <v>9504</v>
      </c>
      <c r="AB1538" s="73" t="s">
        <v>9486</v>
      </c>
      <c r="AC1538" s="74" t="s">
        <v>9566</v>
      </c>
      <c r="AD1538" s="73" t="s">
        <v>9578</v>
      </c>
      <c r="AE1538" s="74" t="s">
        <v>9579</v>
      </c>
    </row>
    <row r="1539" spans="1:31" ht="8.65" customHeight="1" x14ac:dyDescent="0.2">
      <c r="A1539" s="76">
        <v>1539</v>
      </c>
      <c r="B1539" s="67" t="str">
        <f>MID(C1539, FIND("Ifc.", C1539) + 4, 4) &amp; "_" &amp; TEXT(COUNTIF($C$2:C1539, C1539),"0000")</f>
        <v>Prop_1538</v>
      </c>
      <c r="C1539" s="24" t="s">
        <v>872</v>
      </c>
      <c r="D1539" s="69" t="s">
        <v>9453</v>
      </c>
      <c r="E1539" s="70" t="s">
        <v>9454</v>
      </c>
      <c r="F1539" s="17" t="s">
        <v>806</v>
      </c>
      <c r="G1539" s="22" t="s">
        <v>2439</v>
      </c>
      <c r="H1539" s="12" t="s">
        <v>9703</v>
      </c>
      <c r="I1539" s="13" t="s">
        <v>6790</v>
      </c>
      <c r="J1539" s="14" t="s">
        <v>798</v>
      </c>
      <c r="K1539" s="15" t="s">
        <v>798</v>
      </c>
      <c r="L1539" s="12" t="s">
        <v>5315</v>
      </c>
      <c r="M1539" s="13" t="s">
        <v>5570</v>
      </c>
      <c r="N1539" s="12" t="s">
        <v>803</v>
      </c>
      <c r="O1539" s="13" t="s">
        <v>5203</v>
      </c>
      <c r="P1539" s="17" t="s">
        <v>802</v>
      </c>
      <c r="Q1539" s="21" t="s">
        <v>7900</v>
      </c>
      <c r="R1539" s="17" t="s">
        <v>801</v>
      </c>
      <c r="S1539" s="18" t="s">
        <v>2623</v>
      </c>
      <c r="T1539" s="17" t="s">
        <v>800</v>
      </c>
      <c r="U1539" s="18" t="s">
        <v>5247</v>
      </c>
      <c r="V1539" s="17" t="s">
        <v>9418</v>
      </c>
      <c r="W1539" s="18" t="s">
        <v>5309</v>
      </c>
      <c r="X1539" s="69" t="s">
        <v>9453</v>
      </c>
      <c r="Y1539" s="70" t="s">
        <v>9462</v>
      </c>
      <c r="Z1539" s="73" t="s">
        <v>9486</v>
      </c>
      <c r="AA1539" s="74" t="s">
        <v>9504</v>
      </c>
      <c r="AB1539" s="73" t="s">
        <v>9486</v>
      </c>
      <c r="AC1539" s="74" t="s">
        <v>9566</v>
      </c>
      <c r="AD1539" s="73" t="s">
        <v>9578</v>
      </c>
      <c r="AE1539" s="74" t="s">
        <v>9579</v>
      </c>
    </row>
    <row r="1540" spans="1:31" ht="8.65" customHeight="1" x14ac:dyDescent="0.2">
      <c r="A1540" s="76">
        <v>1540</v>
      </c>
      <c r="B1540" s="67" t="str">
        <f>MID(C1540, FIND("Ifc.", C1540) + 4, 4) &amp; "_" &amp; TEXT(COUNTIF($C$2:C1540, C1540),"0000")</f>
        <v>Prop_1539</v>
      </c>
      <c r="C1540" s="24" t="s">
        <v>872</v>
      </c>
      <c r="D1540" s="69" t="s">
        <v>9453</v>
      </c>
      <c r="E1540" s="70" t="s">
        <v>9454</v>
      </c>
      <c r="F1540" s="17" t="s">
        <v>806</v>
      </c>
      <c r="G1540" s="22" t="s">
        <v>2440</v>
      </c>
      <c r="H1540" s="12" t="s">
        <v>9703</v>
      </c>
      <c r="I1540" s="13" t="s">
        <v>6791</v>
      </c>
      <c r="J1540" s="14" t="s">
        <v>798</v>
      </c>
      <c r="K1540" s="15" t="s">
        <v>798</v>
      </c>
      <c r="L1540" s="12" t="s">
        <v>5315</v>
      </c>
      <c r="M1540" s="13" t="s">
        <v>5570</v>
      </c>
      <c r="N1540" s="12" t="s">
        <v>803</v>
      </c>
      <c r="O1540" s="13" t="s">
        <v>5203</v>
      </c>
      <c r="P1540" s="17" t="s">
        <v>802</v>
      </c>
      <c r="Q1540" s="21" t="s">
        <v>7900</v>
      </c>
      <c r="R1540" s="17" t="s">
        <v>801</v>
      </c>
      <c r="S1540" s="18" t="s">
        <v>2623</v>
      </c>
      <c r="T1540" s="17" t="s">
        <v>800</v>
      </c>
      <c r="U1540" s="18" t="s">
        <v>5247</v>
      </c>
      <c r="V1540" s="17" t="s">
        <v>9418</v>
      </c>
      <c r="W1540" s="18" t="s">
        <v>5309</v>
      </c>
      <c r="X1540" s="69" t="s">
        <v>9453</v>
      </c>
      <c r="Y1540" s="70" t="s">
        <v>9462</v>
      </c>
      <c r="Z1540" s="73" t="s">
        <v>9486</v>
      </c>
      <c r="AA1540" s="74" t="s">
        <v>9504</v>
      </c>
      <c r="AB1540" s="73" t="s">
        <v>9486</v>
      </c>
      <c r="AC1540" s="74" t="s">
        <v>9566</v>
      </c>
      <c r="AD1540" s="73" t="s">
        <v>9578</v>
      </c>
      <c r="AE1540" s="74" t="s">
        <v>9579</v>
      </c>
    </row>
    <row r="1541" spans="1:31" ht="8.65" customHeight="1" x14ac:dyDescent="0.2">
      <c r="A1541" s="76">
        <v>1541</v>
      </c>
      <c r="B1541" s="67" t="str">
        <f>MID(C1541, FIND("Ifc.", C1541) + 4, 4) &amp; "_" &amp; TEXT(COUNTIF($C$2:C1541, C1541),"0000")</f>
        <v>Prop_1540</v>
      </c>
      <c r="C1541" s="24" t="s">
        <v>872</v>
      </c>
      <c r="D1541" s="69" t="s">
        <v>9453</v>
      </c>
      <c r="E1541" s="70" t="s">
        <v>9454</v>
      </c>
      <c r="F1541" s="17" t="s">
        <v>806</v>
      </c>
      <c r="G1541" s="22" t="s">
        <v>1675</v>
      </c>
      <c r="H1541" s="12" t="s">
        <v>9703</v>
      </c>
      <c r="I1541" s="13" t="s">
        <v>6423</v>
      </c>
      <c r="J1541" s="14" t="s">
        <v>798</v>
      </c>
      <c r="K1541" s="15" t="s">
        <v>798</v>
      </c>
      <c r="L1541" s="12" t="s">
        <v>5315</v>
      </c>
      <c r="M1541" s="13" t="s">
        <v>5848</v>
      </c>
      <c r="N1541" s="12" t="s">
        <v>803</v>
      </c>
      <c r="O1541" s="13" t="s">
        <v>4994</v>
      </c>
      <c r="P1541" s="17" t="s">
        <v>802</v>
      </c>
      <c r="Q1541" s="21" t="s">
        <v>8021</v>
      </c>
      <c r="R1541" s="17" t="s">
        <v>801</v>
      </c>
      <c r="S1541" s="18" t="s">
        <v>2562</v>
      </c>
      <c r="T1541" s="17" t="s">
        <v>800</v>
      </c>
      <c r="U1541" s="18" t="s">
        <v>5256</v>
      </c>
      <c r="V1541" s="17" t="s">
        <v>9418</v>
      </c>
      <c r="W1541" s="18" t="s">
        <v>5311</v>
      </c>
      <c r="X1541" s="69" t="s">
        <v>9453</v>
      </c>
      <c r="Y1541" s="70" t="s">
        <v>9466</v>
      </c>
      <c r="Z1541" s="73" t="s">
        <v>9486</v>
      </c>
      <c r="AA1541" s="74" t="s">
        <v>9504</v>
      </c>
      <c r="AB1541" s="73" t="s">
        <v>9486</v>
      </c>
      <c r="AC1541" s="74" t="s">
        <v>9562</v>
      </c>
      <c r="AD1541" s="73" t="s">
        <v>9578</v>
      </c>
      <c r="AE1541" s="74" t="s">
        <v>9579</v>
      </c>
    </row>
    <row r="1542" spans="1:31" ht="8.65" customHeight="1" x14ac:dyDescent="0.2">
      <c r="A1542" s="76">
        <v>1542</v>
      </c>
      <c r="B1542" s="67" t="str">
        <f>MID(C1542, FIND("Ifc.", C1542) + 4, 4) &amp; "_" &amp; TEXT(COUNTIF($C$2:C1542, C1542),"0000")</f>
        <v>Prop_1541</v>
      </c>
      <c r="C1542" s="24" t="s">
        <v>872</v>
      </c>
      <c r="D1542" s="69" t="s">
        <v>9453</v>
      </c>
      <c r="E1542" s="70" t="s">
        <v>9454</v>
      </c>
      <c r="F1542" s="17" t="s">
        <v>806</v>
      </c>
      <c r="G1542" s="22" t="s">
        <v>1358</v>
      </c>
      <c r="H1542" s="12" t="s">
        <v>9703</v>
      </c>
      <c r="I1542" s="13" t="s">
        <v>6306</v>
      </c>
      <c r="J1542" s="14" t="s">
        <v>798</v>
      </c>
      <c r="K1542" s="15" t="s">
        <v>798</v>
      </c>
      <c r="L1542" s="12" t="s">
        <v>5315</v>
      </c>
      <c r="M1542" s="13" t="s">
        <v>5417</v>
      </c>
      <c r="N1542" s="12" t="s">
        <v>803</v>
      </c>
      <c r="O1542" s="13" t="s">
        <v>4916</v>
      </c>
      <c r="P1542" s="17" t="s">
        <v>802</v>
      </c>
      <c r="Q1542" s="21" t="s">
        <v>7820</v>
      </c>
      <c r="R1542" s="17" t="s">
        <v>801</v>
      </c>
      <c r="S1542" s="18" t="s">
        <v>2595</v>
      </c>
      <c r="T1542" s="17" t="s">
        <v>800</v>
      </c>
      <c r="U1542" s="18" t="s">
        <v>5276</v>
      </c>
      <c r="V1542" s="17" t="s">
        <v>9418</v>
      </c>
      <c r="W1542" s="18" t="s">
        <v>5309</v>
      </c>
      <c r="X1542" s="69" t="s">
        <v>9453</v>
      </c>
      <c r="Y1542" s="70" t="s">
        <v>9462</v>
      </c>
      <c r="Z1542" s="73" t="s">
        <v>9486</v>
      </c>
      <c r="AA1542" s="74" t="s">
        <v>9504</v>
      </c>
      <c r="AB1542" s="73" t="s">
        <v>9486</v>
      </c>
      <c r="AC1542" s="74" t="s">
        <v>9566</v>
      </c>
      <c r="AD1542" s="73" t="s">
        <v>9578</v>
      </c>
      <c r="AE1542" s="74" t="s">
        <v>9579</v>
      </c>
    </row>
    <row r="1543" spans="1:31" ht="8.65" customHeight="1" x14ac:dyDescent="0.2">
      <c r="A1543" s="76">
        <v>1543</v>
      </c>
      <c r="B1543" s="67" t="str">
        <f>MID(C1543, FIND("Ifc.", C1543) + 4, 4) &amp; "_" &amp; TEXT(COUNTIF($C$2:C1543, C1543),"0000")</f>
        <v>Prop_1542</v>
      </c>
      <c r="C1543" s="24" t="s">
        <v>872</v>
      </c>
      <c r="D1543" s="69" t="s">
        <v>9453</v>
      </c>
      <c r="E1543" s="70" t="s">
        <v>9454</v>
      </c>
      <c r="F1543" s="17" t="s">
        <v>806</v>
      </c>
      <c r="G1543" s="22" t="s">
        <v>1138</v>
      </c>
      <c r="H1543" s="12" t="s">
        <v>9703</v>
      </c>
      <c r="I1543" s="13" t="s">
        <v>6181</v>
      </c>
      <c r="J1543" s="14" t="s">
        <v>798</v>
      </c>
      <c r="K1543" s="15" t="s">
        <v>798</v>
      </c>
      <c r="L1543" s="12" t="s">
        <v>5315</v>
      </c>
      <c r="M1543" s="13" t="s">
        <v>6041</v>
      </c>
      <c r="N1543" s="12" t="s">
        <v>803</v>
      </c>
      <c r="O1543" s="13" t="s">
        <v>4862</v>
      </c>
      <c r="P1543" s="17" t="s">
        <v>802</v>
      </c>
      <c r="Q1543" s="21" t="s">
        <v>7795</v>
      </c>
      <c r="R1543" s="17" t="s">
        <v>801</v>
      </c>
      <c r="S1543" s="18" t="s">
        <v>2625</v>
      </c>
      <c r="T1543" s="17" t="s">
        <v>800</v>
      </c>
      <c r="U1543" s="18" t="s">
        <v>5240</v>
      </c>
      <c r="V1543" s="17" t="s">
        <v>9418</v>
      </c>
      <c r="W1543" s="18" t="s">
        <v>5309</v>
      </c>
      <c r="X1543" s="69" t="s">
        <v>9453</v>
      </c>
      <c r="Y1543" s="70" t="s">
        <v>9462</v>
      </c>
      <c r="Z1543" s="73" t="s">
        <v>9486</v>
      </c>
      <c r="AA1543" s="74" t="s">
        <v>9504</v>
      </c>
      <c r="AB1543" s="73" t="s">
        <v>9486</v>
      </c>
      <c r="AC1543" s="74" t="s">
        <v>9566</v>
      </c>
      <c r="AD1543" s="73" t="s">
        <v>9578</v>
      </c>
      <c r="AE1543" s="74" t="s">
        <v>9579</v>
      </c>
    </row>
    <row r="1544" spans="1:31" ht="8.65" customHeight="1" x14ac:dyDescent="0.2">
      <c r="A1544" s="76">
        <v>1544</v>
      </c>
      <c r="B1544" s="67" t="str">
        <f>MID(C1544, FIND("Ifc.", C1544) + 4, 4) &amp; "_" &amp; TEXT(COUNTIF($C$2:C1544, C1544),"0000")</f>
        <v>Prop_1543</v>
      </c>
      <c r="C1544" s="24" t="s">
        <v>872</v>
      </c>
      <c r="D1544" s="69" t="s">
        <v>9453</v>
      </c>
      <c r="E1544" s="70" t="s">
        <v>9454</v>
      </c>
      <c r="F1544" s="17" t="s">
        <v>806</v>
      </c>
      <c r="G1544" s="22" t="s">
        <v>1139</v>
      </c>
      <c r="H1544" s="12" t="s">
        <v>9703</v>
      </c>
      <c r="I1544" s="13" t="s">
        <v>7297</v>
      </c>
      <c r="J1544" s="14" t="s">
        <v>798</v>
      </c>
      <c r="K1544" s="15" t="s">
        <v>798</v>
      </c>
      <c r="L1544" s="12" t="s">
        <v>5315</v>
      </c>
      <c r="M1544" s="13" t="s">
        <v>6041</v>
      </c>
      <c r="N1544" s="12" t="s">
        <v>803</v>
      </c>
      <c r="O1544" s="13" t="s">
        <v>4862</v>
      </c>
      <c r="P1544" s="17" t="s">
        <v>802</v>
      </c>
      <c r="Q1544" s="21" t="s">
        <v>7795</v>
      </c>
      <c r="R1544" s="17" t="s">
        <v>801</v>
      </c>
      <c r="S1544" s="18" t="s">
        <v>2625</v>
      </c>
      <c r="T1544" s="17" t="s">
        <v>800</v>
      </c>
      <c r="U1544" s="18" t="s">
        <v>5240</v>
      </c>
      <c r="V1544" s="17" t="s">
        <v>9418</v>
      </c>
      <c r="W1544" s="18" t="s">
        <v>5309</v>
      </c>
      <c r="X1544" s="69" t="s">
        <v>9453</v>
      </c>
      <c r="Y1544" s="70" t="s">
        <v>9462</v>
      </c>
      <c r="Z1544" s="73" t="s">
        <v>9486</v>
      </c>
      <c r="AA1544" s="74" t="s">
        <v>9504</v>
      </c>
      <c r="AB1544" s="73" t="s">
        <v>9486</v>
      </c>
      <c r="AC1544" s="74" t="s">
        <v>9566</v>
      </c>
      <c r="AD1544" s="73" t="s">
        <v>9578</v>
      </c>
      <c r="AE1544" s="74" t="s">
        <v>9579</v>
      </c>
    </row>
    <row r="1545" spans="1:31" ht="8.65" customHeight="1" x14ac:dyDescent="0.2">
      <c r="A1545" s="76">
        <v>1545</v>
      </c>
      <c r="B1545" s="67" t="str">
        <f>MID(C1545, FIND("Ifc.", C1545) + 4, 4) &amp; "_" &amp; TEXT(COUNTIF($C$2:C1545, C1545),"0000")</f>
        <v>Prop_1544</v>
      </c>
      <c r="C1545" s="24" t="s">
        <v>872</v>
      </c>
      <c r="D1545" s="69" t="s">
        <v>9453</v>
      </c>
      <c r="E1545" s="70" t="s">
        <v>9454</v>
      </c>
      <c r="F1545" s="17" t="s">
        <v>806</v>
      </c>
      <c r="G1545" s="22" t="s">
        <v>1079</v>
      </c>
      <c r="H1545" s="12" t="s">
        <v>9703</v>
      </c>
      <c r="I1545" s="13" t="s">
        <v>7143</v>
      </c>
      <c r="J1545" s="14" t="s">
        <v>798</v>
      </c>
      <c r="K1545" s="15" t="s">
        <v>798</v>
      </c>
      <c r="L1545" s="12" t="s">
        <v>5315</v>
      </c>
      <c r="M1545" s="13" t="s">
        <v>6036</v>
      </c>
      <c r="N1545" s="12" t="s">
        <v>803</v>
      </c>
      <c r="O1545" s="13" t="s">
        <v>4848</v>
      </c>
      <c r="P1545" s="17" t="s">
        <v>802</v>
      </c>
      <c r="Q1545" s="21" t="s">
        <v>7757</v>
      </c>
      <c r="R1545" s="17" t="s">
        <v>801</v>
      </c>
      <c r="S1545" s="18" t="s">
        <v>2562</v>
      </c>
      <c r="T1545" s="17" t="s">
        <v>800</v>
      </c>
      <c r="U1545" s="18" t="s">
        <v>5256</v>
      </c>
      <c r="V1545" s="17" t="s">
        <v>9418</v>
      </c>
      <c r="W1545" s="18" t="s">
        <v>5312</v>
      </c>
      <c r="X1545" s="69" t="s">
        <v>9453</v>
      </c>
      <c r="Y1545" s="70" t="s">
        <v>9465</v>
      </c>
      <c r="Z1545" s="73" t="s">
        <v>9486</v>
      </c>
      <c r="AA1545" s="74" t="s">
        <v>9504</v>
      </c>
      <c r="AB1545" s="73" t="s">
        <v>9486</v>
      </c>
      <c r="AC1545" s="74" t="s">
        <v>9562</v>
      </c>
      <c r="AD1545" s="73" t="s">
        <v>9578</v>
      </c>
      <c r="AE1545" s="74" t="s">
        <v>9579</v>
      </c>
    </row>
    <row r="1546" spans="1:31" ht="8.65" customHeight="1" x14ac:dyDescent="0.2">
      <c r="A1546" s="76">
        <v>1546</v>
      </c>
      <c r="B1546" s="67" t="str">
        <f>MID(C1546, FIND("Ifc.", C1546) + 4, 4) &amp; "_" &amp; TEXT(COUNTIF($C$2:C1546, C1546),"0000")</f>
        <v>Prop_1545</v>
      </c>
      <c r="C1546" s="24" t="s">
        <v>872</v>
      </c>
      <c r="D1546" s="69" t="s">
        <v>9453</v>
      </c>
      <c r="E1546" s="70" t="s">
        <v>9454</v>
      </c>
      <c r="F1546" s="17" t="s">
        <v>806</v>
      </c>
      <c r="G1546" s="22" t="s">
        <v>1978</v>
      </c>
      <c r="H1546" s="12" t="s">
        <v>9703</v>
      </c>
      <c r="I1546" s="13" t="s">
        <v>6602</v>
      </c>
      <c r="J1546" s="14" t="s">
        <v>798</v>
      </c>
      <c r="K1546" s="15" t="s">
        <v>798</v>
      </c>
      <c r="L1546" s="12" t="s">
        <v>5315</v>
      </c>
      <c r="M1546" s="13" t="s">
        <v>5476</v>
      </c>
      <c r="N1546" s="12" t="s">
        <v>803</v>
      </c>
      <c r="O1546" s="13" t="s">
        <v>5075</v>
      </c>
      <c r="P1546" s="17" t="s">
        <v>802</v>
      </c>
      <c r="Q1546" s="21" t="s">
        <v>7971</v>
      </c>
      <c r="R1546" s="17" t="s">
        <v>801</v>
      </c>
      <c r="S1546" s="18" t="s">
        <v>2669</v>
      </c>
      <c r="T1546" s="17" t="s">
        <v>800</v>
      </c>
      <c r="U1546" s="18" t="s">
        <v>5237</v>
      </c>
      <c r="V1546" s="17" t="s">
        <v>9418</v>
      </c>
      <c r="W1546" s="18" t="s">
        <v>5309</v>
      </c>
      <c r="X1546" s="69" t="s">
        <v>9453</v>
      </c>
      <c r="Y1546" s="70" t="s">
        <v>9462</v>
      </c>
      <c r="Z1546" s="73" t="s">
        <v>9486</v>
      </c>
      <c r="AA1546" s="74" t="s">
        <v>9504</v>
      </c>
      <c r="AB1546" s="73" t="s">
        <v>9486</v>
      </c>
      <c r="AC1546" s="74" t="s">
        <v>9562</v>
      </c>
      <c r="AD1546" s="73" t="s">
        <v>9578</v>
      </c>
      <c r="AE1546" s="74" t="s">
        <v>9579</v>
      </c>
    </row>
    <row r="1547" spans="1:31" ht="8.65" customHeight="1" x14ac:dyDescent="0.2">
      <c r="A1547" s="76">
        <v>1547</v>
      </c>
      <c r="B1547" s="67" t="str">
        <f>MID(C1547, FIND("Ifc.", C1547) + 4, 4) &amp; "_" &amp; TEXT(COUNTIF($C$2:C1547, C1547),"0000")</f>
        <v>Prop_1546</v>
      </c>
      <c r="C1547" s="24" t="s">
        <v>872</v>
      </c>
      <c r="D1547" s="69" t="s">
        <v>9453</v>
      </c>
      <c r="E1547" s="70" t="s">
        <v>9454</v>
      </c>
      <c r="F1547" s="17" t="s">
        <v>806</v>
      </c>
      <c r="G1547" s="22" t="s">
        <v>1366</v>
      </c>
      <c r="H1547" s="12" t="s">
        <v>9703</v>
      </c>
      <c r="I1547" s="13" t="s">
        <v>6288</v>
      </c>
      <c r="J1547" s="14" t="s">
        <v>798</v>
      </c>
      <c r="K1547" s="15" t="s">
        <v>798</v>
      </c>
      <c r="L1547" s="12" t="s">
        <v>5315</v>
      </c>
      <c r="M1547" s="13" t="s">
        <v>6031</v>
      </c>
      <c r="N1547" s="12" t="s">
        <v>803</v>
      </c>
      <c r="O1547" s="13" t="s">
        <v>4919</v>
      </c>
      <c r="P1547" s="17" t="s">
        <v>802</v>
      </c>
      <c r="Q1547" s="21" t="s">
        <v>7818</v>
      </c>
      <c r="R1547" s="17" t="s">
        <v>801</v>
      </c>
      <c r="S1547" s="18" t="s">
        <v>2575</v>
      </c>
      <c r="T1547" s="17" t="s">
        <v>800</v>
      </c>
      <c r="U1547" s="18" t="s">
        <v>5250</v>
      </c>
      <c r="V1547" s="17" t="s">
        <v>9418</v>
      </c>
      <c r="W1547" s="18" t="s">
        <v>5309</v>
      </c>
      <c r="X1547" s="69" t="s">
        <v>9453</v>
      </c>
      <c r="Y1547" s="70" t="s">
        <v>9462</v>
      </c>
      <c r="Z1547" s="73" t="s">
        <v>9486</v>
      </c>
      <c r="AA1547" s="74" t="s">
        <v>9504</v>
      </c>
      <c r="AB1547" s="73" t="s">
        <v>9486</v>
      </c>
      <c r="AC1547" s="74" t="s">
        <v>9566</v>
      </c>
      <c r="AD1547" s="73" t="s">
        <v>9578</v>
      </c>
      <c r="AE1547" s="74" t="s">
        <v>9579</v>
      </c>
    </row>
    <row r="1548" spans="1:31" ht="8.65" customHeight="1" x14ac:dyDescent="0.2">
      <c r="A1548" s="76">
        <v>1548</v>
      </c>
      <c r="B1548" s="67" t="str">
        <f>MID(C1548, FIND("Ifc.", C1548) + 4, 4) &amp; "_" &amp; TEXT(COUNTIF($C$2:C1548, C1548),"0000")</f>
        <v>Prop_1547</v>
      </c>
      <c r="C1548" s="24" t="s">
        <v>872</v>
      </c>
      <c r="D1548" s="69" t="s">
        <v>9453</v>
      </c>
      <c r="E1548" s="70" t="s">
        <v>9454</v>
      </c>
      <c r="F1548" s="17" t="s">
        <v>806</v>
      </c>
      <c r="G1548" s="22" t="s">
        <v>1367</v>
      </c>
      <c r="H1548" s="12" t="s">
        <v>9703</v>
      </c>
      <c r="I1548" s="13" t="s">
        <v>6289</v>
      </c>
      <c r="J1548" s="14" t="s">
        <v>798</v>
      </c>
      <c r="K1548" s="15" t="s">
        <v>798</v>
      </c>
      <c r="L1548" s="12" t="s">
        <v>5315</v>
      </c>
      <c r="M1548" s="13" t="s">
        <v>6031</v>
      </c>
      <c r="N1548" s="12" t="s">
        <v>803</v>
      </c>
      <c r="O1548" s="13" t="s">
        <v>4919</v>
      </c>
      <c r="P1548" s="17" t="s">
        <v>802</v>
      </c>
      <c r="Q1548" s="21" t="s">
        <v>7818</v>
      </c>
      <c r="R1548" s="17" t="s">
        <v>801</v>
      </c>
      <c r="S1548" s="18" t="s">
        <v>2575</v>
      </c>
      <c r="T1548" s="17" t="s">
        <v>800</v>
      </c>
      <c r="U1548" s="18" t="s">
        <v>5250</v>
      </c>
      <c r="V1548" s="17" t="s">
        <v>9418</v>
      </c>
      <c r="W1548" s="18" t="s">
        <v>5309</v>
      </c>
      <c r="X1548" s="69" t="s">
        <v>9453</v>
      </c>
      <c r="Y1548" s="70" t="s">
        <v>9462</v>
      </c>
      <c r="Z1548" s="73" t="s">
        <v>9486</v>
      </c>
      <c r="AA1548" s="74" t="s">
        <v>9504</v>
      </c>
      <c r="AB1548" s="73" t="s">
        <v>9486</v>
      </c>
      <c r="AC1548" s="74" t="s">
        <v>9566</v>
      </c>
      <c r="AD1548" s="73" t="s">
        <v>9578</v>
      </c>
      <c r="AE1548" s="74" t="s">
        <v>9579</v>
      </c>
    </row>
    <row r="1549" spans="1:31" ht="8.65" customHeight="1" x14ac:dyDescent="0.2">
      <c r="A1549" s="76">
        <v>1549</v>
      </c>
      <c r="B1549" s="67" t="str">
        <f>MID(C1549, FIND("Ifc.", C1549) + 4, 4) &amp; "_" &amp; TEXT(COUNTIF($C$2:C1549, C1549),"0000")</f>
        <v>Prop_1548</v>
      </c>
      <c r="C1549" s="24" t="s">
        <v>872</v>
      </c>
      <c r="D1549" s="69" t="s">
        <v>9453</v>
      </c>
      <c r="E1549" s="70" t="s">
        <v>9454</v>
      </c>
      <c r="F1549" s="17" t="s">
        <v>806</v>
      </c>
      <c r="G1549" s="22" t="s">
        <v>1379</v>
      </c>
      <c r="H1549" s="12" t="s">
        <v>9703</v>
      </c>
      <c r="I1549" s="13" t="s">
        <v>6297</v>
      </c>
      <c r="J1549" s="14" t="s">
        <v>798</v>
      </c>
      <c r="K1549" s="15" t="s">
        <v>798</v>
      </c>
      <c r="L1549" s="12" t="s">
        <v>5315</v>
      </c>
      <c r="M1549" s="13" t="s">
        <v>6031</v>
      </c>
      <c r="N1549" s="12" t="s">
        <v>803</v>
      </c>
      <c r="O1549" s="13" t="s">
        <v>4919</v>
      </c>
      <c r="P1549" s="17" t="s">
        <v>802</v>
      </c>
      <c r="Q1549" s="21" t="s">
        <v>7818</v>
      </c>
      <c r="R1549" s="17" t="s">
        <v>801</v>
      </c>
      <c r="S1549" s="18" t="s">
        <v>3515</v>
      </c>
      <c r="T1549" s="17" t="s">
        <v>800</v>
      </c>
      <c r="U1549" s="18" t="s">
        <v>5278</v>
      </c>
      <c r="V1549" s="17" t="s">
        <v>9418</v>
      </c>
      <c r="W1549" s="18" t="s">
        <v>5314</v>
      </c>
      <c r="X1549" s="69" t="s">
        <v>9453</v>
      </c>
      <c r="Y1549" s="70" t="s">
        <v>9464</v>
      </c>
      <c r="Z1549" s="73" t="s">
        <v>9486</v>
      </c>
      <c r="AA1549" s="74" t="s">
        <v>9504</v>
      </c>
      <c r="AB1549" s="73" t="s">
        <v>9486</v>
      </c>
      <c r="AC1549" s="74" t="s">
        <v>9566</v>
      </c>
      <c r="AD1549" s="73" t="s">
        <v>9578</v>
      </c>
      <c r="AE1549" s="74" t="s">
        <v>9579</v>
      </c>
    </row>
    <row r="1550" spans="1:31" ht="8.65" customHeight="1" x14ac:dyDescent="0.2">
      <c r="A1550" s="76">
        <v>1550</v>
      </c>
      <c r="B1550" s="67" t="str">
        <f>MID(C1550, FIND("Ifc.", C1550) + 4, 4) &amp; "_" &amp; TEXT(COUNTIF($C$2:C1550, C1550),"0000")</f>
        <v>Prop_1549</v>
      </c>
      <c r="C1550" s="24" t="s">
        <v>872</v>
      </c>
      <c r="D1550" s="69" t="s">
        <v>9453</v>
      </c>
      <c r="E1550" s="70" t="s">
        <v>9454</v>
      </c>
      <c r="F1550" s="17" t="s">
        <v>806</v>
      </c>
      <c r="G1550" s="22" t="s">
        <v>1947</v>
      </c>
      <c r="H1550" s="12" t="s">
        <v>9703</v>
      </c>
      <c r="I1550" s="13" t="s">
        <v>6585</v>
      </c>
      <c r="J1550" s="14" t="s">
        <v>798</v>
      </c>
      <c r="K1550" s="15" t="s">
        <v>798</v>
      </c>
      <c r="L1550" s="12" t="s">
        <v>5315</v>
      </c>
      <c r="M1550" s="13" t="s">
        <v>5853</v>
      </c>
      <c r="N1550" s="12" t="s">
        <v>803</v>
      </c>
      <c r="O1550" s="13" t="s">
        <v>5064</v>
      </c>
      <c r="P1550" s="17" t="s">
        <v>802</v>
      </c>
      <c r="Q1550" s="21" t="s">
        <v>7834</v>
      </c>
      <c r="R1550" s="17" t="s">
        <v>801</v>
      </c>
      <c r="S1550" s="18" t="s">
        <v>2559</v>
      </c>
      <c r="T1550" s="17" t="s">
        <v>800</v>
      </c>
      <c r="U1550" s="18" t="s">
        <v>5234</v>
      </c>
      <c r="V1550" s="17" t="s">
        <v>9418</v>
      </c>
      <c r="W1550" s="18" t="s">
        <v>5309</v>
      </c>
      <c r="X1550" s="69" t="s">
        <v>9453</v>
      </c>
      <c r="Y1550" s="70" t="s">
        <v>9462</v>
      </c>
      <c r="Z1550" s="73" t="s">
        <v>9486</v>
      </c>
      <c r="AA1550" s="74" t="s">
        <v>9504</v>
      </c>
      <c r="AB1550" s="73" t="s">
        <v>9486</v>
      </c>
      <c r="AC1550" s="74" t="s">
        <v>9562</v>
      </c>
      <c r="AD1550" s="73" t="s">
        <v>9578</v>
      </c>
      <c r="AE1550" s="74" t="s">
        <v>9579</v>
      </c>
    </row>
    <row r="1551" spans="1:31" ht="8.65" customHeight="1" x14ac:dyDescent="0.2">
      <c r="A1551" s="76">
        <v>1551</v>
      </c>
      <c r="B1551" s="67" t="str">
        <f>MID(C1551, FIND("Ifc.", C1551) + 4, 4) &amp; "_" &amp; TEXT(COUNTIF($C$2:C1551, C1551),"0000")</f>
        <v>Prop_1550</v>
      </c>
      <c r="C1551" s="24" t="s">
        <v>872</v>
      </c>
      <c r="D1551" s="69" t="s">
        <v>9453</v>
      </c>
      <c r="E1551" s="70" t="s">
        <v>9454</v>
      </c>
      <c r="F1551" s="17" t="s">
        <v>806</v>
      </c>
      <c r="G1551" s="22" t="s">
        <v>1749</v>
      </c>
      <c r="H1551" s="12" t="s">
        <v>9703</v>
      </c>
      <c r="I1551" s="13" t="s">
        <v>6906</v>
      </c>
      <c r="J1551" s="14" t="s">
        <v>798</v>
      </c>
      <c r="K1551" s="15" t="s">
        <v>798</v>
      </c>
      <c r="L1551" s="12" t="s">
        <v>5315</v>
      </c>
      <c r="M1551" s="13" t="s">
        <v>5932</v>
      </c>
      <c r="N1551" s="12" t="s">
        <v>803</v>
      </c>
      <c r="O1551" s="13" t="s">
        <v>5006</v>
      </c>
      <c r="P1551" s="17" t="s">
        <v>802</v>
      </c>
      <c r="Q1551" s="21" t="s">
        <v>7968</v>
      </c>
      <c r="R1551" s="17" t="s">
        <v>801</v>
      </c>
      <c r="S1551" s="18" t="s">
        <v>2554</v>
      </c>
      <c r="T1551" s="17" t="s">
        <v>800</v>
      </c>
      <c r="U1551" s="18" t="s">
        <v>5233</v>
      </c>
      <c r="V1551" s="17" t="s">
        <v>9418</v>
      </c>
      <c r="W1551" s="18" t="s">
        <v>5309</v>
      </c>
      <c r="X1551" s="69" t="s">
        <v>9453</v>
      </c>
      <c r="Y1551" s="70" t="s">
        <v>9462</v>
      </c>
      <c r="Z1551" s="73" t="s">
        <v>9486</v>
      </c>
      <c r="AA1551" s="74" t="s">
        <v>9504</v>
      </c>
      <c r="AB1551" s="73" t="s">
        <v>9486</v>
      </c>
      <c r="AC1551" s="74" t="s">
        <v>9562</v>
      </c>
      <c r="AD1551" s="73" t="s">
        <v>9578</v>
      </c>
      <c r="AE1551" s="74" t="s">
        <v>9579</v>
      </c>
    </row>
    <row r="1552" spans="1:31" ht="8.65" customHeight="1" x14ac:dyDescent="0.2">
      <c r="A1552" s="76">
        <v>1552</v>
      </c>
      <c r="B1552" s="67" t="str">
        <f>MID(C1552, FIND("Ifc.", C1552) + 4, 4) &amp; "_" &amp; TEXT(COUNTIF($C$2:C1552, C1552),"0000")</f>
        <v>Prop_1551</v>
      </c>
      <c r="C1552" s="24" t="s">
        <v>872</v>
      </c>
      <c r="D1552" s="69" t="s">
        <v>9453</v>
      </c>
      <c r="E1552" s="70" t="s">
        <v>9454</v>
      </c>
      <c r="F1552" s="17" t="s">
        <v>806</v>
      </c>
      <c r="G1552" s="22" t="s">
        <v>1716</v>
      </c>
      <c r="H1552" s="12" t="s">
        <v>9703</v>
      </c>
      <c r="I1552" s="13" t="s">
        <v>6444</v>
      </c>
      <c r="J1552" s="14" t="s">
        <v>798</v>
      </c>
      <c r="K1552" s="15" t="s">
        <v>798</v>
      </c>
      <c r="L1552" s="12" t="s">
        <v>5315</v>
      </c>
      <c r="M1552" s="13" t="s">
        <v>5931</v>
      </c>
      <c r="N1552" s="12" t="s">
        <v>803</v>
      </c>
      <c r="O1552" s="13" t="s">
        <v>5004</v>
      </c>
      <c r="P1552" s="17" t="s">
        <v>802</v>
      </c>
      <c r="Q1552" s="21" t="s">
        <v>7689</v>
      </c>
      <c r="R1552" s="17" t="s">
        <v>801</v>
      </c>
      <c r="S1552" s="18" t="s">
        <v>2554</v>
      </c>
      <c r="T1552" s="17" t="s">
        <v>800</v>
      </c>
      <c r="U1552" s="18" t="s">
        <v>5233</v>
      </c>
      <c r="V1552" s="17" t="s">
        <v>9418</v>
      </c>
      <c r="W1552" s="18" t="s">
        <v>5309</v>
      </c>
      <c r="X1552" s="69" t="s">
        <v>9453</v>
      </c>
      <c r="Y1552" s="70" t="s">
        <v>9462</v>
      </c>
      <c r="Z1552" s="73" t="s">
        <v>9486</v>
      </c>
      <c r="AA1552" s="74" t="s">
        <v>9504</v>
      </c>
      <c r="AB1552" s="73" t="s">
        <v>9486</v>
      </c>
      <c r="AC1552" s="74" t="s">
        <v>9562</v>
      </c>
      <c r="AD1552" s="73" t="s">
        <v>9578</v>
      </c>
      <c r="AE1552" s="74" t="s">
        <v>9579</v>
      </c>
    </row>
    <row r="1553" spans="1:31" ht="8.65" customHeight="1" x14ac:dyDescent="0.2">
      <c r="A1553" s="76">
        <v>1553</v>
      </c>
      <c r="B1553" s="67" t="str">
        <f>MID(C1553, FIND("Ifc.", C1553) + 4, 4) &amp; "_" &amp; TEXT(COUNTIF($C$2:C1553, C1553),"0000")</f>
        <v>Prop_1552</v>
      </c>
      <c r="C1553" s="24" t="s">
        <v>872</v>
      </c>
      <c r="D1553" s="69" t="s">
        <v>9453</v>
      </c>
      <c r="E1553" s="70" t="s">
        <v>9454</v>
      </c>
      <c r="F1553" s="17" t="s">
        <v>806</v>
      </c>
      <c r="G1553" s="22" t="s">
        <v>909</v>
      </c>
      <c r="H1553" s="12" t="s">
        <v>9703</v>
      </c>
      <c r="I1553" s="13" t="s">
        <v>6069</v>
      </c>
      <c r="J1553" s="14" t="s">
        <v>798</v>
      </c>
      <c r="K1553" s="15" t="s">
        <v>798</v>
      </c>
      <c r="L1553" s="12" t="s">
        <v>5315</v>
      </c>
      <c r="M1553" s="13" t="s">
        <v>5369</v>
      </c>
      <c r="N1553" s="12" t="s">
        <v>803</v>
      </c>
      <c r="O1553" s="13" t="s">
        <v>4810</v>
      </c>
      <c r="P1553" s="17" t="s">
        <v>802</v>
      </c>
      <c r="Q1553" s="21" t="s">
        <v>7681</v>
      </c>
      <c r="R1553" s="17" t="s">
        <v>801</v>
      </c>
      <c r="S1553" s="18" t="s">
        <v>2559</v>
      </c>
      <c r="T1553" s="17" t="s">
        <v>800</v>
      </c>
      <c r="U1553" s="18" t="s">
        <v>5234</v>
      </c>
      <c r="V1553" s="17" t="s">
        <v>9418</v>
      </c>
      <c r="W1553" s="18" t="s">
        <v>5309</v>
      </c>
      <c r="X1553" s="69" t="s">
        <v>9453</v>
      </c>
      <c r="Y1553" s="70" t="s">
        <v>9462</v>
      </c>
      <c r="Z1553" s="73" t="s">
        <v>9486</v>
      </c>
      <c r="AA1553" s="74" t="s">
        <v>9504</v>
      </c>
      <c r="AB1553" s="73" t="s">
        <v>9486</v>
      </c>
      <c r="AC1553" s="74" t="s">
        <v>9562</v>
      </c>
      <c r="AD1553" s="73" t="s">
        <v>9578</v>
      </c>
      <c r="AE1553" s="74" t="s">
        <v>9579</v>
      </c>
    </row>
    <row r="1554" spans="1:31" ht="8.65" customHeight="1" x14ac:dyDescent="0.2">
      <c r="A1554" s="76">
        <v>1554</v>
      </c>
      <c r="B1554" s="67" t="str">
        <f>MID(C1554, FIND("Ifc.", C1554) + 4, 4) &amp; "_" &amp; TEXT(COUNTIF($C$2:C1554, C1554),"0000")</f>
        <v>Prop_1553</v>
      </c>
      <c r="C1554" s="24" t="s">
        <v>872</v>
      </c>
      <c r="D1554" s="69" t="s">
        <v>9453</v>
      </c>
      <c r="E1554" s="70" t="s">
        <v>9454</v>
      </c>
      <c r="F1554" s="17" t="s">
        <v>806</v>
      </c>
      <c r="G1554" s="22" t="s">
        <v>909</v>
      </c>
      <c r="H1554" s="12" t="s">
        <v>9703</v>
      </c>
      <c r="I1554" s="13" t="s">
        <v>6069</v>
      </c>
      <c r="J1554" s="14" t="s">
        <v>798</v>
      </c>
      <c r="K1554" s="15" t="s">
        <v>798</v>
      </c>
      <c r="L1554" s="12" t="s">
        <v>5315</v>
      </c>
      <c r="M1554" s="13" t="s">
        <v>5373</v>
      </c>
      <c r="N1554" s="12" t="s">
        <v>803</v>
      </c>
      <c r="O1554" s="13" t="s">
        <v>4815</v>
      </c>
      <c r="P1554" s="17" t="s">
        <v>802</v>
      </c>
      <c r="Q1554" s="21" t="s">
        <v>7878</v>
      </c>
      <c r="R1554" s="17" t="s">
        <v>801</v>
      </c>
      <c r="S1554" s="18" t="s">
        <v>2559</v>
      </c>
      <c r="T1554" s="17" t="s">
        <v>800</v>
      </c>
      <c r="U1554" s="18" t="s">
        <v>5234</v>
      </c>
      <c r="V1554" s="17" t="s">
        <v>9418</v>
      </c>
      <c r="W1554" s="18" t="s">
        <v>5309</v>
      </c>
      <c r="X1554" s="69" t="s">
        <v>9453</v>
      </c>
      <c r="Y1554" s="70" t="s">
        <v>9462</v>
      </c>
      <c r="Z1554" s="73" t="s">
        <v>9486</v>
      </c>
      <c r="AA1554" s="74" t="s">
        <v>9504</v>
      </c>
      <c r="AB1554" s="73" t="s">
        <v>9486</v>
      </c>
      <c r="AC1554" s="74" t="s">
        <v>9562</v>
      </c>
      <c r="AD1554" s="73" t="s">
        <v>9578</v>
      </c>
      <c r="AE1554" s="74" t="s">
        <v>9579</v>
      </c>
    </row>
    <row r="1555" spans="1:31" ht="8.65" customHeight="1" x14ac:dyDescent="0.2">
      <c r="A1555" s="76">
        <v>1555</v>
      </c>
      <c r="B1555" s="67" t="str">
        <f>MID(C1555, FIND("Ifc.", C1555) + 4, 4) &amp; "_" &amp; TEXT(COUNTIF($C$2:C1555, C1555),"0000")</f>
        <v>Prop_1554</v>
      </c>
      <c r="C1555" s="24" t="s">
        <v>872</v>
      </c>
      <c r="D1555" s="69" t="s">
        <v>9453</v>
      </c>
      <c r="E1555" s="70" t="s">
        <v>9454</v>
      </c>
      <c r="F1555" s="17" t="s">
        <v>806</v>
      </c>
      <c r="G1555" s="22" t="s">
        <v>909</v>
      </c>
      <c r="H1555" s="12" t="s">
        <v>9703</v>
      </c>
      <c r="I1555" s="13" t="s">
        <v>6069</v>
      </c>
      <c r="J1555" s="14" t="s">
        <v>798</v>
      </c>
      <c r="K1555" s="15" t="s">
        <v>798</v>
      </c>
      <c r="L1555" s="12" t="s">
        <v>5315</v>
      </c>
      <c r="M1555" s="13" t="s">
        <v>6024</v>
      </c>
      <c r="N1555" s="12" t="s">
        <v>803</v>
      </c>
      <c r="O1555" s="13" t="s">
        <v>4817</v>
      </c>
      <c r="P1555" s="17" t="s">
        <v>802</v>
      </c>
      <c r="Q1555" s="21" t="s">
        <v>8022</v>
      </c>
      <c r="R1555" s="17" t="s">
        <v>801</v>
      </c>
      <c r="S1555" s="18" t="s">
        <v>2559</v>
      </c>
      <c r="T1555" s="17" t="s">
        <v>800</v>
      </c>
      <c r="U1555" s="18" t="s">
        <v>5234</v>
      </c>
      <c r="V1555" s="17" t="s">
        <v>9418</v>
      </c>
      <c r="W1555" s="18" t="s">
        <v>5309</v>
      </c>
      <c r="X1555" s="69" t="s">
        <v>9453</v>
      </c>
      <c r="Y1555" s="70" t="s">
        <v>9462</v>
      </c>
      <c r="Z1555" s="73" t="s">
        <v>9486</v>
      </c>
      <c r="AA1555" s="74" t="s">
        <v>9504</v>
      </c>
      <c r="AB1555" s="73" t="s">
        <v>9486</v>
      </c>
      <c r="AC1555" s="74" t="s">
        <v>9562</v>
      </c>
      <c r="AD1555" s="73" t="s">
        <v>9578</v>
      </c>
      <c r="AE1555" s="74" t="s">
        <v>9579</v>
      </c>
    </row>
    <row r="1556" spans="1:31" ht="8.65" customHeight="1" x14ac:dyDescent="0.2">
      <c r="A1556" s="76">
        <v>1556</v>
      </c>
      <c r="B1556" s="67" t="str">
        <f>MID(C1556, FIND("Ifc.", C1556) + 4, 4) &amp; "_" &amp; TEXT(COUNTIF($C$2:C1556, C1556),"0000")</f>
        <v>Prop_1555</v>
      </c>
      <c r="C1556" s="24" t="s">
        <v>872</v>
      </c>
      <c r="D1556" s="69" t="s">
        <v>9453</v>
      </c>
      <c r="E1556" s="70" t="s">
        <v>9454</v>
      </c>
      <c r="F1556" s="17" t="s">
        <v>806</v>
      </c>
      <c r="G1556" s="22" t="s">
        <v>909</v>
      </c>
      <c r="H1556" s="12" t="s">
        <v>9703</v>
      </c>
      <c r="I1556" s="13" t="s">
        <v>6069</v>
      </c>
      <c r="J1556" s="14" t="s">
        <v>798</v>
      </c>
      <c r="K1556" s="15" t="s">
        <v>798</v>
      </c>
      <c r="L1556" s="12" t="s">
        <v>5315</v>
      </c>
      <c r="M1556" s="13" t="s">
        <v>5819</v>
      </c>
      <c r="N1556" s="12" t="s">
        <v>803</v>
      </c>
      <c r="O1556" s="13" t="s">
        <v>4818</v>
      </c>
      <c r="P1556" s="17" t="s">
        <v>802</v>
      </c>
      <c r="Q1556" s="21" t="s">
        <v>7691</v>
      </c>
      <c r="R1556" s="17" t="s">
        <v>801</v>
      </c>
      <c r="S1556" s="18" t="s">
        <v>2559</v>
      </c>
      <c r="T1556" s="17" t="s">
        <v>800</v>
      </c>
      <c r="U1556" s="18" t="s">
        <v>5234</v>
      </c>
      <c r="V1556" s="17" t="s">
        <v>9418</v>
      </c>
      <c r="W1556" s="18" t="s">
        <v>5309</v>
      </c>
      <c r="X1556" s="69" t="s">
        <v>9453</v>
      </c>
      <c r="Y1556" s="70" t="s">
        <v>9462</v>
      </c>
      <c r="Z1556" s="73" t="s">
        <v>9486</v>
      </c>
      <c r="AA1556" s="74" t="s">
        <v>9504</v>
      </c>
      <c r="AB1556" s="73" t="s">
        <v>9486</v>
      </c>
      <c r="AC1556" s="74" t="s">
        <v>9562</v>
      </c>
      <c r="AD1556" s="73" t="s">
        <v>9578</v>
      </c>
      <c r="AE1556" s="74" t="s">
        <v>9579</v>
      </c>
    </row>
    <row r="1557" spans="1:31" ht="8.65" customHeight="1" x14ac:dyDescent="0.2">
      <c r="A1557" s="76">
        <v>1557</v>
      </c>
      <c r="B1557" s="67" t="str">
        <f>MID(C1557, FIND("Ifc.", C1557) + 4, 4) &amp; "_" &amp; TEXT(COUNTIF($C$2:C1557, C1557),"0000")</f>
        <v>Prop_1556</v>
      </c>
      <c r="C1557" s="24" t="s">
        <v>872</v>
      </c>
      <c r="D1557" s="69" t="s">
        <v>9453</v>
      </c>
      <c r="E1557" s="70" t="s">
        <v>9454</v>
      </c>
      <c r="F1557" s="17" t="s">
        <v>806</v>
      </c>
      <c r="G1557" s="22" t="s">
        <v>909</v>
      </c>
      <c r="H1557" s="12" t="s">
        <v>9703</v>
      </c>
      <c r="I1557" s="13" t="s">
        <v>6069</v>
      </c>
      <c r="J1557" s="14" t="s">
        <v>798</v>
      </c>
      <c r="K1557" s="15" t="s">
        <v>798</v>
      </c>
      <c r="L1557" s="12" t="s">
        <v>5315</v>
      </c>
      <c r="M1557" s="13" t="s">
        <v>5991</v>
      </c>
      <c r="N1557" s="12" t="s">
        <v>803</v>
      </c>
      <c r="O1557" s="13" t="s">
        <v>4820</v>
      </c>
      <c r="P1557" s="17" t="s">
        <v>802</v>
      </c>
      <c r="Q1557" s="21" t="s">
        <v>8001</v>
      </c>
      <c r="R1557" s="17" t="s">
        <v>801</v>
      </c>
      <c r="S1557" s="18" t="s">
        <v>2559</v>
      </c>
      <c r="T1557" s="17" t="s">
        <v>800</v>
      </c>
      <c r="U1557" s="18" t="s">
        <v>5234</v>
      </c>
      <c r="V1557" s="17" t="s">
        <v>9418</v>
      </c>
      <c r="W1557" s="18" t="s">
        <v>5309</v>
      </c>
      <c r="X1557" s="69" t="s">
        <v>9453</v>
      </c>
      <c r="Y1557" s="70" t="s">
        <v>9462</v>
      </c>
      <c r="Z1557" s="73" t="s">
        <v>9486</v>
      </c>
      <c r="AA1557" s="74" t="s">
        <v>9504</v>
      </c>
      <c r="AB1557" s="73" t="s">
        <v>9486</v>
      </c>
      <c r="AC1557" s="74" t="s">
        <v>9562</v>
      </c>
      <c r="AD1557" s="73" t="s">
        <v>9578</v>
      </c>
      <c r="AE1557" s="74" t="s">
        <v>9579</v>
      </c>
    </row>
    <row r="1558" spans="1:31" ht="8.65" customHeight="1" x14ac:dyDescent="0.2">
      <c r="A1558" s="76">
        <v>1558</v>
      </c>
      <c r="B1558" s="67" t="str">
        <f>MID(C1558, FIND("Ifc.", C1558) + 4, 4) &amp; "_" &amp; TEXT(COUNTIF($C$2:C1558, C1558),"0000")</f>
        <v>Prop_1557</v>
      </c>
      <c r="C1558" s="24" t="s">
        <v>872</v>
      </c>
      <c r="D1558" s="69" t="s">
        <v>9453</v>
      </c>
      <c r="E1558" s="70" t="s">
        <v>9454</v>
      </c>
      <c r="F1558" s="17" t="s">
        <v>806</v>
      </c>
      <c r="G1558" s="22" t="s">
        <v>909</v>
      </c>
      <c r="H1558" s="12" t="s">
        <v>9703</v>
      </c>
      <c r="I1558" s="13" t="s">
        <v>6069</v>
      </c>
      <c r="J1558" s="14" t="s">
        <v>798</v>
      </c>
      <c r="K1558" s="15" t="s">
        <v>798</v>
      </c>
      <c r="L1558" s="12" t="s">
        <v>5315</v>
      </c>
      <c r="M1558" s="13" t="s">
        <v>5993</v>
      </c>
      <c r="N1558" s="12" t="s">
        <v>803</v>
      </c>
      <c r="O1558" s="13" t="s">
        <v>4829</v>
      </c>
      <c r="P1558" s="17" t="s">
        <v>802</v>
      </c>
      <c r="Q1558" s="21" t="s">
        <v>8023</v>
      </c>
      <c r="R1558" s="17" t="s">
        <v>801</v>
      </c>
      <c r="S1558" s="18" t="s">
        <v>2559</v>
      </c>
      <c r="T1558" s="17" t="s">
        <v>800</v>
      </c>
      <c r="U1558" s="18" t="s">
        <v>5234</v>
      </c>
      <c r="V1558" s="17" t="s">
        <v>9418</v>
      </c>
      <c r="W1558" s="18" t="s">
        <v>5309</v>
      </c>
      <c r="X1558" s="69" t="s">
        <v>9453</v>
      </c>
      <c r="Y1558" s="70" t="s">
        <v>9462</v>
      </c>
      <c r="Z1558" s="73" t="s">
        <v>9486</v>
      </c>
      <c r="AA1558" s="74" t="s">
        <v>9504</v>
      </c>
      <c r="AB1558" s="73" t="s">
        <v>9486</v>
      </c>
      <c r="AC1558" s="74" t="s">
        <v>9562</v>
      </c>
      <c r="AD1558" s="73" t="s">
        <v>9578</v>
      </c>
      <c r="AE1558" s="74" t="s">
        <v>9579</v>
      </c>
    </row>
    <row r="1559" spans="1:31" ht="8.65" customHeight="1" x14ac:dyDescent="0.2">
      <c r="A1559" s="76">
        <v>1559</v>
      </c>
      <c r="B1559" s="67" t="str">
        <f>MID(C1559, FIND("Ifc.", C1559) + 4, 4) &amp; "_" &amp; TEXT(COUNTIF($C$2:C1559, C1559),"0000")</f>
        <v>Prop_1558</v>
      </c>
      <c r="C1559" s="24" t="s">
        <v>872</v>
      </c>
      <c r="D1559" s="69" t="s">
        <v>9453</v>
      </c>
      <c r="E1559" s="70" t="s">
        <v>9454</v>
      </c>
      <c r="F1559" s="17" t="s">
        <v>806</v>
      </c>
      <c r="G1559" s="22" t="s">
        <v>909</v>
      </c>
      <c r="H1559" s="12" t="s">
        <v>9703</v>
      </c>
      <c r="I1559" s="13" t="s">
        <v>6069</v>
      </c>
      <c r="J1559" s="14" t="s">
        <v>798</v>
      </c>
      <c r="K1559" s="15" t="s">
        <v>798</v>
      </c>
      <c r="L1559" s="12" t="s">
        <v>5315</v>
      </c>
      <c r="M1559" s="13" t="s">
        <v>6023</v>
      </c>
      <c r="N1559" s="12" t="s">
        <v>803</v>
      </c>
      <c r="O1559" s="13" t="s">
        <v>4831</v>
      </c>
      <c r="P1559" s="17" t="s">
        <v>802</v>
      </c>
      <c r="Q1559" s="21" t="s">
        <v>7790</v>
      </c>
      <c r="R1559" s="17" t="s">
        <v>801</v>
      </c>
      <c r="S1559" s="18" t="s">
        <v>2559</v>
      </c>
      <c r="T1559" s="17" t="s">
        <v>800</v>
      </c>
      <c r="U1559" s="18" t="s">
        <v>5234</v>
      </c>
      <c r="V1559" s="17" t="s">
        <v>9418</v>
      </c>
      <c r="W1559" s="18" t="s">
        <v>5309</v>
      </c>
      <c r="X1559" s="69" t="s">
        <v>9453</v>
      </c>
      <c r="Y1559" s="70" t="s">
        <v>9462</v>
      </c>
      <c r="Z1559" s="73" t="s">
        <v>9486</v>
      </c>
      <c r="AA1559" s="74" t="s">
        <v>9504</v>
      </c>
      <c r="AB1559" s="73" t="s">
        <v>9486</v>
      </c>
      <c r="AC1559" s="74" t="s">
        <v>9562</v>
      </c>
      <c r="AD1559" s="73" t="s">
        <v>9578</v>
      </c>
      <c r="AE1559" s="74" t="s">
        <v>9579</v>
      </c>
    </row>
    <row r="1560" spans="1:31" ht="8.65" customHeight="1" x14ac:dyDescent="0.2">
      <c r="A1560" s="76">
        <v>1560</v>
      </c>
      <c r="B1560" s="67" t="str">
        <f>MID(C1560, FIND("Ifc.", C1560) + 4, 4) &amp; "_" &amp; TEXT(COUNTIF($C$2:C1560, C1560),"0000")</f>
        <v>Prop_1559</v>
      </c>
      <c r="C1560" s="24" t="s">
        <v>872</v>
      </c>
      <c r="D1560" s="69" t="s">
        <v>9453</v>
      </c>
      <c r="E1560" s="70" t="s">
        <v>9454</v>
      </c>
      <c r="F1560" s="17" t="s">
        <v>806</v>
      </c>
      <c r="G1560" s="22" t="s">
        <v>909</v>
      </c>
      <c r="H1560" s="12" t="s">
        <v>9703</v>
      </c>
      <c r="I1560" s="13" t="s">
        <v>6069</v>
      </c>
      <c r="J1560" s="14" t="s">
        <v>798</v>
      </c>
      <c r="K1560" s="15" t="s">
        <v>798</v>
      </c>
      <c r="L1560" s="12" t="s">
        <v>5315</v>
      </c>
      <c r="M1560" s="13" t="s">
        <v>5379</v>
      </c>
      <c r="N1560" s="12" t="s">
        <v>803</v>
      </c>
      <c r="O1560" s="13" t="s">
        <v>4836</v>
      </c>
      <c r="P1560" s="17" t="s">
        <v>802</v>
      </c>
      <c r="Q1560" s="21" t="s">
        <v>7739</v>
      </c>
      <c r="R1560" s="17" t="s">
        <v>801</v>
      </c>
      <c r="S1560" s="18" t="s">
        <v>2559</v>
      </c>
      <c r="T1560" s="17" t="s">
        <v>800</v>
      </c>
      <c r="U1560" s="18" t="s">
        <v>5234</v>
      </c>
      <c r="V1560" s="17" t="s">
        <v>9418</v>
      </c>
      <c r="W1560" s="18" t="s">
        <v>5309</v>
      </c>
      <c r="X1560" s="69" t="s">
        <v>9453</v>
      </c>
      <c r="Y1560" s="70" t="s">
        <v>9462</v>
      </c>
      <c r="Z1560" s="73" t="s">
        <v>9486</v>
      </c>
      <c r="AA1560" s="74" t="s">
        <v>9504</v>
      </c>
      <c r="AB1560" s="73" t="s">
        <v>9486</v>
      </c>
      <c r="AC1560" s="74" t="s">
        <v>9562</v>
      </c>
      <c r="AD1560" s="73" t="s">
        <v>9578</v>
      </c>
      <c r="AE1560" s="74" t="s">
        <v>9579</v>
      </c>
    </row>
    <row r="1561" spans="1:31" ht="8.65" customHeight="1" x14ac:dyDescent="0.2">
      <c r="A1561" s="76">
        <v>1561</v>
      </c>
      <c r="B1561" s="67" t="str">
        <f>MID(C1561, FIND("Ifc.", C1561) + 4, 4) &amp; "_" &amp; TEXT(COUNTIF($C$2:C1561, C1561),"0000")</f>
        <v>Prop_1560</v>
      </c>
      <c r="C1561" s="24" t="s">
        <v>872</v>
      </c>
      <c r="D1561" s="69" t="s">
        <v>9453</v>
      </c>
      <c r="E1561" s="70" t="s">
        <v>9454</v>
      </c>
      <c r="F1561" s="17" t="s">
        <v>806</v>
      </c>
      <c r="G1561" s="22" t="s">
        <v>909</v>
      </c>
      <c r="H1561" s="12" t="s">
        <v>9703</v>
      </c>
      <c r="I1561" s="13" t="s">
        <v>6069</v>
      </c>
      <c r="J1561" s="14" t="s">
        <v>798</v>
      </c>
      <c r="K1561" s="15" t="s">
        <v>798</v>
      </c>
      <c r="L1561" s="12" t="s">
        <v>5315</v>
      </c>
      <c r="M1561" s="13" t="s">
        <v>5385</v>
      </c>
      <c r="N1561" s="12" t="s">
        <v>803</v>
      </c>
      <c r="O1561" s="13" t="s">
        <v>4842</v>
      </c>
      <c r="P1561" s="17" t="s">
        <v>802</v>
      </c>
      <c r="Q1561" s="21" t="s">
        <v>7679</v>
      </c>
      <c r="R1561" s="17" t="s">
        <v>801</v>
      </c>
      <c r="S1561" s="18" t="s">
        <v>2559</v>
      </c>
      <c r="T1561" s="17" t="s">
        <v>800</v>
      </c>
      <c r="U1561" s="18" t="s">
        <v>5234</v>
      </c>
      <c r="V1561" s="17" t="s">
        <v>9418</v>
      </c>
      <c r="W1561" s="18" t="s">
        <v>5309</v>
      </c>
      <c r="X1561" s="69" t="s">
        <v>9453</v>
      </c>
      <c r="Y1561" s="70" t="s">
        <v>9462</v>
      </c>
      <c r="Z1561" s="73" t="s">
        <v>9486</v>
      </c>
      <c r="AA1561" s="74" t="s">
        <v>9504</v>
      </c>
      <c r="AB1561" s="73" t="s">
        <v>9486</v>
      </c>
      <c r="AC1561" s="74" t="s">
        <v>9562</v>
      </c>
      <c r="AD1561" s="73" t="s">
        <v>9578</v>
      </c>
      <c r="AE1561" s="74" t="s">
        <v>9579</v>
      </c>
    </row>
    <row r="1562" spans="1:31" ht="8.65" customHeight="1" x14ac:dyDescent="0.2">
      <c r="A1562" s="76">
        <v>1562</v>
      </c>
      <c r="B1562" s="67" t="str">
        <f>MID(C1562, FIND("Ifc.", C1562) + 4, 4) &amp; "_" &amp; TEXT(COUNTIF($C$2:C1562, C1562),"0000")</f>
        <v>Prop_1561</v>
      </c>
      <c r="C1562" s="24" t="s">
        <v>872</v>
      </c>
      <c r="D1562" s="69" t="s">
        <v>9453</v>
      </c>
      <c r="E1562" s="70" t="s">
        <v>9454</v>
      </c>
      <c r="F1562" s="17" t="s">
        <v>806</v>
      </c>
      <c r="G1562" s="22" t="s">
        <v>909</v>
      </c>
      <c r="H1562" s="12" t="s">
        <v>9703</v>
      </c>
      <c r="I1562" s="13" t="s">
        <v>6069</v>
      </c>
      <c r="J1562" s="14" t="s">
        <v>798</v>
      </c>
      <c r="K1562" s="15" t="s">
        <v>798</v>
      </c>
      <c r="L1562" s="12" t="s">
        <v>5315</v>
      </c>
      <c r="M1562" s="13" t="s">
        <v>5386</v>
      </c>
      <c r="N1562" s="12" t="s">
        <v>803</v>
      </c>
      <c r="O1562" s="13" t="s">
        <v>4843</v>
      </c>
      <c r="P1562" s="17" t="s">
        <v>802</v>
      </c>
      <c r="Q1562" s="21" t="s">
        <v>7779</v>
      </c>
      <c r="R1562" s="17" t="s">
        <v>801</v>
      </c>
      <c r="S1562" s="18" t="s">
        <v>2559</v>
      </c>
      <c r="T1562" s="17" t="s">
        <v>800</v>
      </c>
      <c r="U1562" s="18" t="s">
        <v>5234</v>
      </c>
      <c r="V1562" s="17" t="s">
        <v>9418</v>
      </c>
      <c r="W1562" s="18" t="s">
        <v>5309</v>
      </c>
      <c r="X1562" s="69" t="s">
        <v>9453</v>
      </c>
      <c r="Y1562" s="70" t="s">
        <v>9462</v>
      </c>
      <c r="Z1562" s="73" t="s">
        <v>9486</v>
      </c>
      <c r="AA1562" s="74" t="s">
        <v>9504</v>
      </c>
      <c r="AB1562" s="73" t="s">
        <v>9486</v>
      </c>
      <c r="AC1562" s="74" t="s">
        <v>9562</v>
      </c>
      <c r="AD1562" s="73" t="s">
        <v>9578</v>
      </c>
      <c r="AE1562" s="74" t="s">
        <v>9579</v>
      </c>
    </row>
    <row r="1563" spans="1:31" ht="8.65" customHeight="1" x14ac:dyDescent="0.2">
      <c r="A1563" s="76">
        <v>1563</v>
      </c>
      <c r="B1563" s="67" t="str">
        <f>MID(C1563, FIND("Ifc.", C1563) + 4, 4) &amp; "_" &amp; TEXT(COUNTIF($C$2:C1563, C1563),"0000")</f>
        <v>Prop_1562</v>
      </c>
      <c r="C1563" s="24" t="s">
        <v>872</v>
      </c>
      <c r="D1563" s="69" t="s">
        <v>9453</v>
      </c>
      <c r="E1563" s="70" t="s">
        <v>9454</v>
      </c>
      <c r="F1563" s="17" t="s">
        <v>806</v>
      </c>
      <c r="G1563" s="22" t="s">
        <v>909</v>
      </c>
      <c r="H1563" s="12" t="s">
        <v>9703</v>
      </c>
      <c r="I1563" s="13" t="s">
        <v>6069</v>
      </c>
      <c r="J1563" s="14" t="s">
        <v>798</v>
      </c>
      <c r="K1563" s="15" t="s">
        <v>798</v>
      </c>
      <c r="L1563" s="12" t="s">
        <v>5315</v>
      </c>
      <c r="M1563" s="13" t="s">
        <v>5779</v>
      </c>
      <c r="N1563" s="12" t="s">
        <v>803</v>
      </c>
      <c r="O1563" s="13" t="s">
        <v>4846</v>
      </c>
      <c r="P1563" s="17" t="s">
        <v>802</v>
      </c>
      <c r="Q1563" s="21" t="s">
        <v>7936</v>
      </c>
      <c r="R1563" s="17" t="s">
        <v>801</v>
      </c>
      <c r="S1563" s="18" t="s">
        <v>2559</v>
      </c>
      <c r="T1563" s="17" t="s">
        <v>800</v>
      </c>
      <c r="U1563" s="18" t="s">
        <v>5234</v>
      </c>
      <c r="V1563" s="17" t="s">
        <v>9418</v>
      </c>
      <c r="W1563" s="18" t="s">
        <v>5309</v>
      </c>
      <c r="X1563" s="69" t="s">
        <v>9453</v>
      </c>
      <c r="Y1563" s="70" t="s">
        <v>9462</v>
      </c>
      <c r="Z1563" s="73" t="s">
        <v>9486</v>
      </c>
      <c r="AA1563" s="74" t="s">
        <v>9504</v>
      </c>
      <c r="AB1563" s="73" t="s">
        <v>9486</v>
      </c>
      <c r="AC1563" s="74" t="s">
        <v>9562</v>
      </c>
      <c r="AD1563" s="73" t="s">
        <v>9578</v>
      </c>
      <c r="AE1563" s="74" t="s">
        <v>9579</v>
      </c>
    </row>
    <row r="1564" spans="1:31" ht="8.65" customHeight="1" x14ac:dyDescent="0.2">
      <c r="A1564" s="76">
        <v>1564</v>
      </c>
      <c r="B1564" s="67" t="str">
        <f>MID(C1564, FIND("Ifc.", C1564) + 4, 4) &amp; "_" &amp; TEXT(COUNTIF($C$2:C1564, C1564),"0000")</f>
        <v>Prop_1563</v>
      </c>
      <c r="C1564" s="24" t="s">
        <v>872</v>
      </c>
      <c r="D1564" s="69" t="s">
        <v>9453</v>
      </c>
      <c r="E1564" s="70" t="s">
        <v>9454</v>
      </c>
      <c r="F1564" s="17" t="s">
        <v>806</v>
      </c>
      <c r="G1564" s="22" t="s">
        <v>909</v>
      </c>
      <c r="H1564" s="12" t="s">
        <v>9703</v>
      </c>
      <c r="I1564" s="13" t="s">
        <v>6069</v>
      </c>
      <c r="J1564" s="14" t="s">
        <v>798</v>
      </c>
      <c r="K1564" s="15" t="s">
        <v>798</v>
      </c>
      <c r="L1564" s="12" t="s">
        <v>5315</v>
      </c>
      <c r="M1564" s="13" t="s">
        <v>6033</v>
      </c>
      <c r="N1564" s="12" t="s">
        <v>803</v>
      </c>
      <c r="O1564" s="13" t="s">
        <v>4847</v>
      </c>
      <c r="P1564" s="17" t="s">
        <v>802</v>
      </c>
      <c r="Q1564" s="21" t="s">
        <v>7836</v>
      </c>
      <c r="R1564" s="17" t="s">
        <v>801</v>
      </c>
      <c r="S1564" s="18" t="s">
        <v>2559</v>
      </c>
      <c r="T1564" s="17" t="s">
        <v>800</v>
      </c>
      <c r="U1564" s="18" t="s">
        <v>5234</v>
      </c>
      <c r="V1564" s="17" t="s">
        <v>9418</v>
      </c>
      <c r="W1564" s="18" t="s">
        <v>5309</v>
      </c>
      <c r="X1564" s="69" t="s">
        <v>9453</v>
      </c>
      <c r="Y1564" s="70" t="s">
        <v>9462</v>
      </c>
      <c r="Z1564" s="73" t="s">
        <v>9486</v>
      </c>
      <c r="AA1564" s="74" t="s">
        <v>9504</v>
      </c>
      <c r="AB1564" s="73" t="s">
        <v>9486</v>
      </c>
      <c r="AC1564" s="74" t="s">
        <v>9562</v>
      </c>
      <c r="AD1564" s="73" t="s">
        <v>9578</v>
      </c>
      <c r="AE1564" s="74" t="s">
        <v>9579</v>
      </c>
    </row>
    <row r="1565" spans="1:31" ht="8.65" customHeight="1" x14ac:dyDescent="0.2">
      <c r="A1565" s="76">
        <v>1565</v>
      </c>
      <c r="B1565" s="67" t="str">
        <f>MID(C1565, FIND("Ifc.", C1565) + 4, 4) &amp; "_" &amp; TEXT(COUNTIF($C$2:C1565, C1565),"0000")</f>
        <v>Prop_1564</v>
      </c>
      <c r="C1565" s="24" t="s">
        <v>872</v>
      </c>
      <c r="D1565" s="69" t="s">
        <v>9453</v>
      </c>
      <c r="E1565" s="70" t="s">
        <v>9454</v>
      </c>
      <c r="F1565" s="17" t="s">
        <v>806</v>
      </c>
      <c r="G1565" s="22" t="s">
        <v>909</v>
      </c>
      <c r="H1565" s="12" t="s">
        <v>9703</v>
      </c>
      <c r="I1565" s="13" t="s">
        <v>6069</v>
      </c>
      <c r="J1565" s="14" t="s">
        <v>798</v>
      </c>
      <c r="K1565" s="15" t="s">
        <v>798</v>
      </c>
      <c r="L1565" s="12" t="s">
        <v>5315</v>
      </c>
      <c r="M1565" s="13" t="s">
        <v>6036</v>
      </c>
      <c r="N1565" s="12" t="s">
        <v>803</v>
      </c>
      <c r="O1565" s="13" t="s">
        <v>4848</v>
      </c>
      <c r="P1565" s="17" t="s">
        <v>802</v>
      </c>
      <c r="Q1565" s="21" t="s">
        <v>7757</v>
      </c>
      <c r="R1565" s="17" t="s">
        <v>801</v>
      </c>
      <c r="S1565" s="18" t="s">
        <v>2559</v>
      </c>
      <c r="T1565" s="17" t="s">
        <v>800</v>
      </c>
      <c r="U1565" s="18" t="s">
        <v>5234</v>
      </c>
      <c r="V1565" s="17" t="s">
        <v>9418</v>
      </c>
      <c r="W1565" s="18" t="s">
        <v>5309</v>
      </c>
      <c r="X1565" s="69" t="s">
        <v>9453</v>
      </c>
      <c r="Y1565" s="70" t="s">
        <v>9462</v>
      </c>
      <c r="Z1565" s="73" t="s">
        <v>9486</v>
      </c>
      <c r="AA1565" s="74" t="s">
        <v>9504</v>
      </c>
      <c r="AB1565" s="73" t="s">
        <v>9486</v>
      </c>
      <c r="AC1565" s="74" t="s">
        <v>9562</v>
      </c>
      <c r="AD1565" s="73" t="s">
        <v>9578</v>
      </c>
      <c r="AE1565" s="74" t="s">
        <v>9579</v>
      </c>
    </row>
    <row r="1566" spans="1:31" ht="8.65" customHeight="1" x14ac:dyDescent="0.2">
      <c r="A1566" s="76">
        <v>1566</v>
      </c>
      <c r="B1566" s="67" t="str">
        <f>MID(C1566, FIND("Ifc.", C1566) + 4, 4) &amp; "_" &amp; TEXT(COUNTIF($C$2:C1566, C1566),"0000")</f>
        <v>Prop_1565</v>
      </c>
      <c r="C1566" s="24" t="s">
        <v>872</v>
      </c>
      <c r="D1566" s="69" t="s">
        <v>9453</v>
      </c>
      <c r="E1566" s="70" t="s">
        <v>9454</v>
      </c>
      <c r="F1566" s="17" t="s">
        <v>806</v>
      </c>
      <c r="G1566" s="22" t="s">
        <v>909</v>
      </c>
      <c r="H1566" s="12" t="s">
        <v>9703</v>
      </c>
      <c r="I1566" s="13" t="s">
        <v>6069</v>
      </c>
      <c r="J1566" s="14" t="s">
        <v>798</v>
      </c>
      <c r="K1566" s="15" t="s">
        <v>798</v>
      </c>
      <c r="L1566" s="12" t="s">
        <v>5315</v>
      </c>
      <c r="M1566" s="13" t="s">
        <v>5998</v>
      </c>
      <c r="N1566" s="12" t="s">
        <v>803</v>
      </c>
      <c r="O1566" s="13" t="s">
        <v>4917</v>
      </c>
      <c r="P1566" s="17" t="s">
        <v>802</v>
      </c>
      <c r="Q1566" s="21" t="s">
        <v>8024</v>
      </c>
      <c r="R1566" s="17" t="s">
        <v>801</v>
      </c>
      <c r="S1566" s="18" t="s">
        <v>2559</v>
      </c>
      <c r="T1566" s="17" t="s">
        <v>800</v>
      </c>
      <c r="U1566" s="18" t="s">
        <v>5234</v>
      </c>
      <c r="V1566" s="17" t="s">
        <v>9418</v>
      </c>
      <c r="W1566" s="18" t="s">
        <v>5309</v>
      </c>
      <c r="X1566" s="69" t="s">
        <v>9453</v>
      </c>
      <c r="Y1566" s="70" t="s">
        <v>9462</v>
      </c>
      <c r="Z1566" s="73" t="s">
        <v>9486</v>
      </c>
      <c r="AA1566" s="74" t="s">
        <v>9504</v>
      </c>
      <c r="AB1566" s="73" t="s">
        <v>9486</v>
      </c>
      <c r="AC1566" s="74" t="s">
        <v>9562</v>
      </c>
      <c r="AD1566" s="73" t="s">
        <v>9578</v>
      </c>
      <c r="AE1566" s="74" t="s">
        <v>9579</v>
      </c>
    </row>
    <row r="1567" spans="1:31" ht="8.65" customHeight="1" x14ac:dyDescent="0.2">
      <c r="A1567" s="76">
        <v>1567</v>
      </c>
      <c r="B1567" s="67" t="str">
        <f>MID(C1567, FIND("Ifc.", C1567) + 4, 4) &amp; "_" &amp; TEXT(COUNTIF($C$2:C1567, C1567),"0000")</f>
        <v>Prop_1566</v>
      </c>
      <c r="C1567" s="24" t="s">
        <v>872</v>
      </c>
      <c r="D1567" s="69" t="s">
        <v>9453</v>
      </c>
      <c r="E1567" s="70" t="s">
        <v>9454</v>
      </c>
      <c r="F1567" s="17" t="s">
        <v>806</v>
      </c>
      <c r="G1567" s="22" t="s">
        <v>909</v>
      </c>
      <c r="H1567" s="12" t="s">
        <v>9703</v>
      </c>
      <c r="I1567" s="13" t="s">
        <v>6069</v>
      </c>
      <c r="J1567" s="14" t="s">
        <v>798</v>
      </c>
      <c r="K1567" s="15" t="s">
        <v>798</v>
      </c>
      <c r="L1567" s="12" t="s">
        <v>5315</v>
      </c>
      <c r="M1567" s="13" t="s">
        <v>5392</v>
      </c>
      <c r="N1567" s="12" t="s">
        <v>803</v>
      </c>
      <c r="O1567" s="13" t="s">
        <v>4858</v>
      </c>
      <c r="P1567" s="17" t="s">
        <v>802</v>
      </c>
      <c r="Q1567" s="21" t="s">
        <v>7798</v>
      </c>
      <c r="R1567" s="17" t="s">
        <v>801</v>
      </c>
      <c r="S1567" s="18" t="s">
        <v>2559</v>
      </c>
      <c r="T1567" s="17" t="s">
        <v>800</v>
      </c>
      <c r="U1567" s="18" t="s">
        <v>5234</v>
      </c>
      <c r="V1567" s="17" t="s">
        <v>9418</v>
      </c>
      <c r="W1567" s="18" t="s">
        <v>5309</v>
      </c>
      <c r="X1567" s="69" t="s">
        <v>9453</v>
      </c>
      <c r="Y1567" s="70" t="s">
        <v>9462</v>
      </c>
      <c r="Z1567" s="73" t="s">
        <v>9486</v>
      </c>
      <c r="AA1567" s="74" t="s">
        <v>9504</v>
      </c>
      <c r="AB1567" s="73" t="s">
        <v>9486</v>
      </c>
      <c r="AC1567" s="74" t="s">
        <v>9562</v>
      </c>
      <c r="AD1567" s="73" t="s">
        <v>9578</v>
      </c>
      <c r="AE1567" s="74" t="s">
        <v>9579</v>
      </c>
    </row>
    <row r="1568" spans="1:31" ht="8.65" customHeight="1" x14ac:dyDescent="0.2">
      <c r="A1568" s="76">
        <v>1568</v>
      </c>
      <c r="B1568" s="67" t="str">
        <f>MID(C1568, FIND("Ifc.", C1568) + 4, 4) &amp; "_" &amp; TEXT(COUNTIF($C$2:C1568, C1568),"0000")</f>
        <v>Prop_1567</v>
      </c>
      <c r="C1568" s="24" t="s">
        <v>872</v>
      </c>
      <c r="D1568" s="69" t="s">
        <v>9453</v>
      </c>
      <c r="E1568" s="70" t="s">
        <v>9454</v>
      </c>
      <c r="F1568" s="17" t="s">
        <v>806</v>
      </c>
      <c r="G1568" s="22" t="s">
        <v>909</v>
      </c>
      <c r="H1568" s="12" t="s">
        <v>9703</v>
      </c>
      <c r="I1568" s="13" t="s">
        <v>6069</v>
      </c>
      <c r="J1568" s="14" t="s">
        <v>798</v>
      </c>
      <c r="K1568" s="15" t="s">
        <v>798</v>
      </c>
      <c r="L1568" s="12" t="s">
        <v>5315</v>
      </c>
      <c r="M1568" s="13" t="s">
        <v>6039</v>
      </c>
      <c r="N1568" s="12" t="s">
        <v>803</v>
      </c>
      <c r="O1568" s="13" t="s">
        <v>4860</v>
      </c>
      <c r="P1568" s="17" t="s">
        <v>802</v>
      </c>
      <c r="Q1568" s="21" t="s">
        <v>7802</v>
      </c>
      <c r="R1568" s="17" t="s">
        <v>801</v>
      </c>
      <c r="S1568" s="18" t="s">
        <v>2559</v>
      </c>
      <c r="T1568" s="17" t="s">
        <v>800</v>
      </c>
      <c r="U1568" s="18" t="s">
        <v>5234</v>
      </c>
      <c r="V1568" s="17" t="s">
        <v>9418</v>
      </c>
      <c r="W1568" s="18" t="s">
        <v>5309</v>
      </c>
      <c r="X1568" s="69" t="s">
        <v>9453</v>
      </c>
      <c r="Y1568" s="70" t="s">
        <v>9462</v>
      </c>
      <c r="Z1568" s="73" t="s">
        <v>9486</v>
      </c>
      <c r="AA1568" s="74" t="s">
        <v>9504</v>
      </c>
      <c r="AB1568" s="73" t="s">
        <v>9486</v>
      </c>
      <c r="AC1568" s="74" t="s">
        <v>9562</v>
      </c>
      <c r="AD1568" s="73" t="s">
        <v>9578</v>
      </c>
      <c r="AE1568" s="74" t="s">
        <v>9579</v>
      </c>
    </row>
    <row r="1569" spans="1:31" ht="8.65" customHeight="1" x14ac:dyDescent="0.2">
      <c r="A1569" s="76">
        <v>1569</v>
      </c>
      <c r="B1569" s="67" t="str">
        <f>MID(C1569, FIND("Ifc.", C1569) + 4, 4) &amp; "_" &amp; TEXT(COUNTIF($C$2:C1569, C1569),"0000")</f>
        <v>Prop_1568</v>
      </c>
      <c r="C1569" s="24" t="s">
        <v>872</v>
      </c>
      <c r="D1569" s="69" t="s">
        <v>9453</v>
      </c>
      <c r="E1569" s="70" t="s">
        <v>9454</v>
      </c>
      <c r="F1569" s="17" t="s">
        <v>806</v>
      </c>
      <c r="G1569" s="22" t="s">
        <v>909</v>
      </c>
      <c r="H1569" s="12" t="s">
        <v>9703</v>
      </c>
      <c r="I1569" s="13" t="s">
        <v>6069</v>
      </c>
      <c r="J1569" s="14" t="s">
        <v>798</v>
      </c>
      <c r="K1569" s="15" t="s">
        <v>798</v>
      </c>
      <c r="L1569" s="12" t="s">
        <v>5315</v>
      </c>
      <c r="M1569" s="13" t="s">
        <v>6040</v>
      </c>
      <c r="N1569" s="12" t="s">
        <v>803</v>
      </c>
      <c r="O1569" s="13" t="s">
        <v>4861</v>
      </c>
      <c r="P1569" s="17" t="s">
        <v>802</v>
      </c>
      <c r="Q1569" s="21" t="s">
        <v>7803</v>
      </c>
      <c r="R1569" s="17" t="s">
        <v>801</v>
      </c>
      <c r="S1569" s="18" t="s">
        <v>2559</v>
      </c>
      <c r="T1569" s="17" t="s">
        <v>800</v>
      </c>
      <c r="U1569" s="18" t="s">
        <v>5234</v>
      </c>
      <c r="V1569" s="17" t="s">
        <v>9418</v>
      </c>
      <c r="W1569" s="18" t="s">
        <v>5309</v>
      </c>
      <c r="X1569" s="69" t="s">
        <v>9453</v>
      </c>
      <c r="Y1569" s="70" t="s">
        <v>9462</v>
      </c>
      <c r="Z1569" s="73" t="s">
        <v>9486</v>
      </c>
      <c r="AA1569" s="74" t="s">
        <v>9504</v>
      </c>
      <c r="AB1569" s="73" t="s">
        <v>9486</v>
      </c>
      <c r="AC1569" s="74" t="s">
        <v>9562</v>
      </c>
      <c r="AD1569" s="73" t="s">
        <v>9578</v>
      </c>
      <c r="AE1569" s="74" t="s">
        <v>9579</v>
      </c>
    </row>
    <row r="1570" spans="1:31" ht="8.65" customHeight="1" x14ac:dyDescent="0.2">
      <c r="A1570" s="76">
        <v>1570</v>
      </c>
      <c r="B1570" s="67" t="str">
        <f>MID(C1570, FIND("Ifc.", C1570) + 4, 4) &amp; "_" &amp; TEXT(COUNTIF($C$2:C1570, C1570),"0000")</f>
        <v>Prop_1569</v>
      </c>
      <c r="C1570" s="24" t="s">
        <v>872</v>
      </c>
      <c r="D1570" s="69" t="s">
        <v>9453</v>
      </c>
      <c r="E1570" s="70" t="s">
        <v>9454</v>
      </c>
      <c r="F1570" s="17" t="s">
        <v>806</v>
      </c>
      <c r="G1570" s="22" t="s">
        <v>909</v>
      </c>
      <c r="H1570" s="12" t="s">
        <v>9703</v>
      </c>
      <c r="I1570" s="13" t="s">
        <v>6069</v>
      </c>
      <c r="J1570" s="14" t="s">
        <v>798</v>
      </c>
      <c r="K1570" s="15" t="s">
        <v>798</v>
      </c>
      <c r="L1570" s="12" t="s">
        <v>5315</v>
      </c>
      <c r="M1570" s="13" t="s">
        <v>6041</v>
      </c>
      <c r="N1570" s="12" t="s">
        <v>803</v>
      </c>
      <c r="O1570" s="13" t="s">
        <v>4862</v>
      </c>
      <c r="P1570" s="17" t="s">
        <v>802</v>
      </c>
      <c r="Q1570" s="21" t="s">
        <v>7795</v>
      </c>
      <c r="R1570" s="17" t="s">
        <v>801</v>
      </c>
      <c r="S1570" s="18" t="s">
        <v>2559</v>
      </c>
      <c r="T1570" s="17" t="s">
        <v>800</v>
      </c>
      <c r="U1570" s="18" t="s">
        <v>5234</v>
      </c>
      <c r="V1570" s="17" t="s">
        <v>9418</v>
      </c>
      <c r="W1570" s="18" t="s">
        <v>5309</v>
      </c>
      <c r="X1570" s="69" t="s">
        <v>9453</v>
      </c>
      <c r="Y1570" s="70" t="s">
        <v>9462</v>
      </c>
      <c r="Z1570" s="73" t="s">
        <v>9486</v>
      </c>
      <c r="AA1570" s="74" t="s">
        <v>9504</v>
      </c>
      <c r="AB1570" s="73" t="s">
        <v>9486</v>
      </c>
      <c r="AC1570" s="74" t="s">
        <v>9562</v>
      </c>
      <c r="AD1570" s="73" t="s">
        <v>9578</v>
      </c>
      <c r="AE1570" s="74" t="s">
        <v>9579</v>
      </c>
    </row>
    <row r="1571" spans="1:31" ht="8.65" customHeight="1" x14ac:dyDescent="0.2">
      <c r="A1571" s="76">
        <v>1571</v>
      </c>
      <c r="B1571" s="67" t="str">
        <f>MID(C1571, FIND("Ifc.", C1571) + 4, 4) &amp; "_" &amp; TEXT(COUNTIF($C$2:C1571, C1571),"0000")</f>
        <v>Prop_1570</v>
      </c>
      <c r="C1571" s="24" t="s">
        <v>872</v>
      </c>
      <c r="D1571" s="69" t="s">
        <v>9453</v>
      </c>
      <c r="E1571" s="70" t="s">
        <v>9454</v>
      </c>
      <c r="F1571" s="17" t="s">
        <v>806</v>
      </c>
      <c r="G1571" s="22" t="s">
        <v>909</v>
      </c>
      <c r="H1571" s="12" t="s">
        <v>9703</v>
      </c>
      <c r="I1571" s="13" t="s">
        <v>6069</v>
      </c>
      <c r="J1571" s="14" t="s">
        <v>798</v>
      </c>
      <c r="K1571" s="15" t="s">
        <v>798</v>
      </c>
      <c r="L1571" s="12" t="s">
        <v>5315</v>
      </c>
      <c r="M1571" s="13" t="s">
        <v>6042</v>
      </c>
      <c r="N1571" s="12" t="s">
        <v>803</v>
      </c>
      <c r="O1571" s="13" t="s">
        <v>4863</v>
      </c>
      <c r="P1571" s="17" t="s">
        <v>802</v>
      </c>
      <c r="Q1571" s="21" t="s">
        <v>7759</v>
      </c>
      <c r="R1571" s="17" t="s">
        <v>801</v>
      </c>
      <c r="S1571" s="18" t="s">
        <v>2559</v>
      </c>
      <c r="T1571" s="17" t="s">
        <v>800</v>
      </c>
      <c r="U1571" s="18" t="s">
        <v>5234</v>
      </c>
      <c r="V1571" s="17" t="s">
        <v>9418</v>
      </c>
      <c r="W1571" s="18" t="s">
        <v>5309</v>
      </c>
      <c r="X1571" s="69" t="s">
        <v>9453</v>
      </c>
      <c r="Y1571" s="70" t="s">
        <v>9462</v>
      </c>
      <c r="Z1571" s="73" t="s">
        <v>9486</v>
      </c>
      <c r="AA1571" s="74" t="s">
        <v>9504</v>
      </c>
      <c r="AB1571" s="73" t="s">
        <v>9486</v>
      </c>
      <c r="AC1571" s="74" t="s">
        <v>9562</v>
      </c>
      <c r="AD1571" s="73" t="s">
        <v>9578</v>
      </c>
      <c r="AE1571" s="74" t="s">
        <v>9579</v>
      </c>
    </row>
    <row r="1572" spans="1:31" ht="8.65" customHeight="1" x14ac:dyDescent="0.2">
      <c r="A1572" s="76">
        <v>1572</v>
      </c>
      <c r="B1572" s="67" t="str">
        <f>MID(C1572, FIND("Ifc.", C1572) + 4, 4) &amp; "_" &amp; TEXT(COUNTIF($C$2:C1572, C1572),"0000")</f>
        <v>Prop_1571</v>
      </c>
      <c r="C1572" s="24" t="s">
        <v>872</v>
      </c>
      <c r="D1572" s="69" t="s">
        <v>9453</v>
      </c>
      <c r="E1572" s="70" t="s">
        <v>9454</v>
      </c>
      <c r="F1572" s="17" t="s">
        <v>806</v>
      </c>
      <c r="G1572" s="22" t="s">
        <v>909</v>
      </c>
      <c r="H1572" s="12" t="s">
        <v>9703</v>
      </c>
      <c r="I1572" s="13" t="s">
        <v>6069</v>
      </c>
      <c r="J1572" s="14" t="s">
        <v>798</v>
      </c>
      <c r="K1572" s="15" t="s">
        <v>798</v>
      </c>
      <c r="L1572" s="12" t="s">
        <v>5315</v>
      </c>
      <c r="M1572" s="13" t="s">
        <v>5394</v>
      </c>
      <c r="N1572" s="12" t="s">
        <v>803</v>
      </c>
      <c r="O1572" s="13" t="s">
        <v>4865</v>
      </c>
      <c r="P1572" s="17" t="s">
        <v>802</v>
      </c>
      <c r="Q1572" s="21" t="s">
        <v>8025</v>
      </c>
      <c r="R1572" s="17" t="s">
        <v>801</v>
      </c>
      <c r="S1572" s="18" t="s">
        <v>2559</v>
      </c>
      <c r="T1572" s="17" t="s">
        <v>800</v>
      </c>
      <c r="U1572" s="18" t="s">
        <v>5234</v>
      </c>
      <c r="V1572" s="17" t="s">
        <v>9418</v>
      </c>
      <c r="W1572" s="18" t="s">
        <v>5309</v>
      </c>
      <c r="X1572" s="69" t="s">
        <v>9453</v>
      </c>
      <c r="Y1572" s="70" t="s">
        <v>9462</v>
      </c>
      <c r="Z1572" s="73" t="s">
        <v>9486</v>
      </c>
      <c r="AA1572" s="74" t="s">
        <v>9504</v>
      </c>
      <c r="AB1572" s="73" t="s">
        <v>9486</v>
      </c>
      <c r="AC1572" s="74" t="s">
        <v>9562</v>
      </c>
      <c r="AD1572" s="73" t="s">
        <v>9578</v>
      </c>
      <c r="AE1572" s="74" t="s">
        <v>9579</v>
      </c>
    </row>
    <row r="1573" spans="1:31" ht="8.65" customHeight="1" x14ac:dyDescent="0.2">
      <c r="A1573" s="76">
        <v>1573</v>
      </c>
      <c r="B1573" s="67" t="str">
        <f>MID(C1573, FIND("Ifc.", C1573) + 4, 4) &amp; "_" &amp; TEXT(COUNTIF($C$2:C1573, C1573),"0000")</f>
        <v>Prop_1572</v>
      </c>
      <c r="C1573" s="24" t="s">
        <v>872</v>
      </c>
      <c r="D1573" s="69" t="s">
        <v>9453</v>
      </c>
      <c r="E1573" s="70" t="s">
        <v>9454</v>
      </c>
      <c r="F1573" s="17" t="s">
        <v>806</v>
      </c>
      <c r="G1573" s="22" t="s">
        <v>909</v>
      </c>
      <c r="H1573" s="12" t="s">
        <v>9703</v>
      </c>
      <c r="I1573" s="13" t="s">
        <v>6069</v>
      </c>
      <c r="J1573" s="14" t="s">
        <v>798</v>
      </c>
      <c r="K1573" s="15" t="s">
        <v>798</v>
      </c>
      <c r="L1573" s="12" t="s">
        <v>5315</v>
      </c>
      <c r="M1573" s="13" t="s">
        <v>5395</v>
      </c>
      <c r="N1573" s="12" t="s">
        <v>803</v>
      </c>
      <c r="O1573" s="13" t="s">
        <v>4866</v>
      </c>
      <c r="P1573" s="17" t="s">
        <v>802</v>
      </c>
      <c r="Q1573" s="21" t="s">
        <v>7821</v>
      </c>
      <c r="R1573" s="17" t="s">
        <v>801</v>
      </c>
      <c r="S1573" s="18" t="s">
        <v>2559</v>
      </c>
      <c r="T1573" s="17" t="s">
        <v>800</v>
      </c>
      <c r="U1573" s="18" t="s">
        <v>5234</v>
      </c>
      <c r="V1573" s="17" t="s">
        <v>9418</v>
      </c>
      <c r="W1573" s="18" t="s">
        <v>5309</v>
      </c>
      <c r="X1573" s="69" t="s">
        <v>9453</v>
      </c>
      <c r="Y1573" s="70" t="s">
        <v>9462</v>
      </c>
      <c r="Z1573" s="73" t="s">
        <v>9486</v>
      </c>
      <c r="AA1573" s="74" t="s">
        <v>9504</v>
      </c>
      <c r="AB1573" s="73" t="s">
        <v>9486</v>
      </c>
      <c r="AC1573" s="74" t="s">
        <v>9562</v>
      </c>
      <c r="AD1573" s="73" t="s">
        <v>9578</v>
      </c>
      <c r="AE1573" s="74" t="s">
        <v>9579</v>
      </c>
    </row>
    <row r="1574" spans="1:31" ht="8.65" customHeight="1" x14ac:dyDescent="0.2">
      <c r="A1574" s="76">
        <v>1574</v>
      </c>
      <c r="B1574" s="67" t="str">
        <f>MID(C1574, FIND("Ifc.", C1574) + 4, 4) &amp; "_" &amp; TEXT(COUNTIF($C$2:C1574, C1574),"0000")</f>
        <v>Prop_1573</v>
      </c>
      <c r="C1574" s="24" t="s">
        <v>872</v>
      </c>
      <c r="D1574" s="69" t="s">
        <v>9453</v>
      </c>
      <c r="E1574" s="70" t="s">
        <v>9454</v>
      </c>
      <c r="F1574" s="17" t="s">
        <v>806</v>
      </c>
      <c r="G1574" s="22" t="s">
        <v>909</v>
      </c>
      <c r="H1574" s="12" t="s">
        <v>9703</v>
      </c>
      <c r="I1574" s="13" t="s">
        <v>6069</v>
      </c>
      <c r="J1574" s="14" t="s">
        <v>798</v>
      </c>
      <c r="K1574" s="15" t="s">
        <v>798</v>
      </c>
      <c r="L1574" s="12" t="s">
        <v>5315</v>
      </c>
      <c r="M1574" s="13" t="s">
        <v>5396</v>
      </c>
      <c r="N1574" s="12" t="s">
        <v>803</v>
      </c>
      <c r="O1574" s="13" t="s">
        <v>4868</v>
      </c>
      <c r="P1574" s="17" t="s">
        <v>802</v>
      </c>
      <c r="Q1574" s="21" t="s">
        <v>8026</v>
      </c>
      <c r="R1574" s="17" t="s">
        <v>801</v>
      </c>
      <c r="S1574" s="18" t="s">
        <v>2559</v>
      </c>
      <c r="T1574" s="17" t="s">
        <v>800</v>
      </c>
      <c r="U1574" s="18" t="s">
        <v>5234</v>
      </c>
      <c r="V1574" s="17" t="s">
        <v>9418</v>
      </c>
      <c r="W1574" s="18" t="s">
        <v>5309</v>
      </c>
      <c r="X1574" s="69" t="s">
        <v>9453</v>
      </c>
      <c r="Y1574" s="70" t="s">
        <v>9462</v>
      </c>
      <c r="Z1574" s="73" t="s">
        <v>9486</v>
      </c>
      <c r="AA1574" s="74" t="s">
        <v>9504</v>
      </c>
      <c r="AB1574" s="73" t="s">
        <v>9486</v>
      </c>
      <c r="AC1574" s="74" t="s">
        <v>9562</v>
      </c>
      <c r="AD1574" s="73" t="s">
        <v>9578</v>
      </c>
      <c r="AE1574" s="74" t="s">
        <v>9579</v>
      </c>
    </row>
    <row r="1575" spans="1:31" ht="8.65" customHeight="1" x14ac:dyDescent="0.2">
      <c r="A1575" s="76">
        <v>1575</v>
      </c>
      <c r="B1575" s="67" t="str">
        <f>MID(C1575, FIND("Ifc.", C1575) + 4, 4) &amp; "_" &amp; TEXT(COUNTIF($C$2:C1575, C1575),"0000")</f>
        <v>Prop_1574</v>
      </c>
      <c r="C1575" s="24" t="s">
        <v>872</v>
      </c>
      <c r="D1575" s="69" t="s">
        <v>9453</v>
      </c>
      <c r="E1575" s="70" t="s">
        <v>9454</v>
      </c>
      <c r="F1575" s="17" t="s">
        <v>806</v>
      </c>
      <c r="G1575" s="22" t="s">
        <v>909</v>
      </c>
      <c r="H1575" s="12" t="s">
        <v>9703</v>
      </c>
      <c r="I1575" s="13" t="s">
        <v>6069</v>
      </c>
      <c r="J1575" s="14" t="s">
        <v>798</v>
      </c>
      <c r="K1575" s="15" t="s">
        <v>798</v>
      </c>
      <c r="L1575" s="12" t="s">
        <v>5315</v>
      </c>
      <c r="M1575" s="13" t="s">
        <v>5397</v>
      </c>
      <c r="N1575" s="12" t="s">
        <v>803</v>
      </c>
      <c r="O1575" s="13" t="s">
        <v>4869</v>
      </c>
      <c r="P1575" s="17" t="s">
        <v>802</v>
      </c>
      <c r="Q1575" s="21" t="s">
        <v>8027</v>
      </c>
      <c r="R1575" s="17" t="s">
        <v>801</v>
      </c>
      <c r="S1575" s="18" t="s">
        <v>2559</v>
      </c>
      <c r="T1575" s="17" t="s">
        <v>800</v>
      </c>
      <c r="U1575" s="18" t="s">
        <v>5234</v>
      </c>
      <c r="V1575" s="17" t="s">
        <v>9418</v>
      </c>
      <c r="W1575" s="18" t="s">
        <v>5309</v>
      </c>
      <c r="X1575" s="69" t="s">
        <v>9453</v>
      </c>
      <c r="Y1575" s="70" t="s">
        <v>9462</v>
      </c>
      <c r="Z1575" s="73" t="s">
        <v>9486</v>
      </c>
      <c r="AA1575" s="74" t="s">
        <v>9504</v>
      </c>
      <c r="AB1575" s="73" t="s">
        <v>9486</v>
      </c>
      <c r="AC1575" s="74" t="s">
        <v>9562</v>
      </c>
      <c r="AD1575" s="73" t="s">
        <v>9578</v>
      </c>
      <c r="AE1575" s="74" t="s">
        <v>9579</v>
      </c>
    </row>
    <row r="1576" spans="1:31" ht="8.65" customHeight="1" x14ac:dyDescent="0.2">
      <c r="A1576" s="76">
        <v>1576</v>
      </c>
      <c r="B1576" s="67" t="str">
        <f>MID(C1576, FIND("Ifc.", C1576) + 4, 4) &amp; "_" &amp; TEXT(COUNTIF($C$2:C1576, C1576),"0000")</f>
        <v>Prop_1575</v>
      </c>
      <c r="C1576" s="24" t="s">
        <v>872</v>
      </c>
      <c r="D1576" s="69" t="s">
        <v>9453</v>
      </c>
      <c r="E1576" s="70" t="s">
        <v>9454</v>
      </c>
      <c r="F1576" s="17" t="s">
        <v>806</v>
      </c>
      <c r="G1576" s="22" t="s">
        <v>909</v>
      </c>
      <c r="H1576" s="12" t="s">
        <v>9703</v>
      </c>
      <c r="I1576" s="13" t="s">
        <v>6069</v>
      </c>
      <c r="J1576" s="14" t="s">
        <v>798</v>
      </c>
      <c r="K1576" s="15" t="s">
        <v>798</v>
      </c>
      <c r="L1576" s="12" t="s">
        <v>5315</v>
      </c>
      <c r="M1576" s="13" t="s">
        <v>6046</v>
      </c>
      <c r="N1576" s="12" t="s">
        <v>803</v>
      </c>
      <c r="O1576" s="13" t="s">
        <v>4870</v>
      </c>
      <c r="P1576" s="17" t="s">
        <v>802</v>
      </c>
      <c r="Q1576" s="21" t="s">
        <v>7822</v>
      </c>
      <c r="R1576" s="17" t="s">
        <v>801</v>
      </c>
      <c r="S1576" s="18" t="s">
        <v>2559</v>
      </c>
      <c r="T1576" s="17" t="s">
        <v>800</v>
      </c>
      <c r="U1576" s="18" t="s">
        <v>5234</v>
      </c>
      <c r="V1576" s="17" t="s">
        <v>9418</v>
      </c>
      <c r="W1576" s="18" t="s">
        <v>5309</v>
      </c>
      <c r="X1576" s="69" t="s">
        <v>9453</v>
      </c>
      <c r="Y1576" s="70" t="s">
        <v>9462</v>
      </c>
      <c r="Z1576" s="73" t="s">
        <v>9486</v>
      </c>
      <c r="AA1576" s="74" t="s">
        <v>9504</v>
      </c>
      <c r="AB1576" s="73" t="s">
        <v>9486</v>
      </c>
      <c r="AC1576" s="74" t="s">
        <v>9562</v>
      </c>
      <c r="AD1576" s="73" t="s">
        <v>9578</v>
      </c>
      <c r="AE1576" s="74" t="s">
        <v>9579</v>
      </c>
    </row>
    <row r="1577" spans="1:31" ht="8.65" customHeight="1" x14ac:dyDescent="0.2">
      <c r="A1577" s="76">
        <v>1577</v>
      </c>
      <c r="B1577" s="67" t="str">
        <f>MID(C1577, FIND("Ifc.", C1577) + 4, 4) &amp; "_" &amp; TEXT(COUNTIF($C$2:C1577, C1577),"0000")</f>
        <v>Prop_1576</v>
      </c>
      <c r="C1577" s="24" t="s">
        <v>872</v>
      </c>
      <c r="D1577" s="69" t="s">
        <v>9453</v>
      </c>
      <c r="E1577" s="70" t="s">
        <v>9454</v>
      </c>
      <c r="F1577" s="17" t="s">
        <v>806</v>
      </c>
      <c r="G1577" s="22" t="s">
        <v>909</v>
      </c>
      <c r="H1577" s="12" t="s">
        <v>9703</v>
      </c>
      <c r="I1577" s="13" t="s">
        <v>6069</v>
      </c>
      <c r="J1577" s="14" t="s">
        <v>798</v>
      </c>
      <c r="K1577" s="15" t="s">
        <v>798</v>
      </c>
      <c r="L1577" s="12" t="s">
        <v>5315</v>
      </c>
      <c r="M1577" s="13" t="s">
        <v>5398</v>
      </c>
      <c r="N1577" s="12" t="s">
        <v>803</v>
      </c>
      <c r="O1577" s="13" t="s">
        <v>4873</v>
      </c>
      <c r="P1577" s="17" t="s">
        <v>802</v>
      </c>
      <c r="Q1577" s="21" t="s">
        <v>7885</v>
      </c>
      <c r="R1577" s="17" t="s">
        <v>801</v>
      </c>
      <c r="S1577" s="18" t="s">
        <v>2554</v>
      </c>
      <c r="T1577" s="17" t="s">
        <v>800</v>
      </c>
      <c r="U1577" s="18" t="s">
        <v>5233</v>
      </c>
      <c r="V1577" s="17" t="s">
        <v>9418</v>
      </c>
      <c r="W1577" s="18" t="s">
        <v>5309</v>
      </c>
      <c r="X1577" s="69" t="s">
        <v>9453</v>
      </c>
      <c r="Y1577" s="70" t="s">
        <v>9462</v>
      </c>
      <c r="Z1577" s="73" t="s">
        <v>9486</v>
      </c>
      <c r="AA1577" s="74" t="s">
        <v>9504</v>
      </c>
      <c r="AB1577" s="73" t="s">
        <v>9486</v>
      </c>
      <c r="AC1577" s="74" t="s">
        <v>9562</v>
      </c>
      <c r="AD1577" s="73" t="s">
        <v>9578</v>
      </c>
      <c r="AE1577" s="74" t="s">
        <v>9579</v>
      </c>
    </row>
    <row r="1578" spans="1:31" ht="8.65" customHeight="1" x14ac:dyDescent="0.2">
      <c r="A1578" s="76">
        <v>1578</v>
      </c>
      <c r="B1578" s="67" t="str">
        <f>MID(C1578, FIND("Ifc.", C1578) + 4, 4) &amp; "_" &amp; TEXT(COUNTIF($C$2:C1578, C1578),"0000")</f>
        <v>Prop_1577</v>
      </c>
      <c r="C1578" s="24" t="s">
        <v>872</v>
      </c>
      <c r="D1578" s="69" t="s">
        <v>9453</v>
      </c>
      <c r="E1578" s="70" t="s">
        <v>9454</v>
      </c>
      <c r="F1578" s="17" t="s">
        <v>806</v>
      </c>
      <c r="G1578" s="22" t="s">
        <v>909</v>
      </c>
      <c r="H1578" s="12" t="s">
        <v>9703</v>
      </c>
      <c r="I1578" s="13" t="s">
        <v>6069</v>
      </c>
      <c r="J1578" s="14" t="s">
        <v>798</v>
      </c>
      <c r="K1578" s="15" t="s">
        <v>798</v>
      </c>
      <c r="L1578" s="12" t="s">
        <v>5315</v>
      </c>
      <c r="M1578" s="13" t="s">
        <v>6047</v>
      </c>
      <c r="N1578" s="12" t="s">
        <v>803</v>
      </c>
      <c r="O1578" s="13" t="s">
        <v>4876</v>
      </c>
      <c r="P1578" s="17" t="s">
        <v>802</v>
      </c>
      <c r="Q1578" s="21" t="s">
        <v>8028</v>
      </c>
      <c r="R1578" s="17" t="s">
        <v>801</v>
      </c>
      <c r="S1578" s="18" t="s">
        <v>2559</v>
      </c>
      <c r="T1578" s="17" t="s">
        <v>800</v>
      </c>
      <c r="U1578" s="18" t="s">
        <v>5234</v>
      </c>
      <c r="V1578" s="17" t="s">
        <v>9418</v>
      </c>
      <c r="W1578" s="18" t="s">
        <v>5309</v>
      </c>
      <c r="X1578" s="69" t="s">
        <v>9453</v>
      </c>
      <c r="Y1578" s="70" t="s">
        <v>9462</v>
      </c>
      <c r="Z1578" s="73" t="s">
        <v>9486</v>
      </c>
      <c r="AA1578" s="74" t="s">
        <v>9504</v>
      </c>
      <c r="AB1578" s="73" t="s">
        <v>9486</v>
      </c>
      <c r="AC1578" s="74" t="s">
        <v>9562</v>
      </c>
      <c r="AD1578" s="73" t="s">
        <v>9578</v>
      </c>
      <c r="AE1578" s="74" t="s">
        <v>9579</v>
      </c>
    </row>
    <row r="1579" spans="1:31" ht="8.65" customHeight="1" x14ac:dyDescent="0.2">
      <c r="A1579" s="76">
        <v>1579</v>
      </c>
      <c r="B1579" s="67" t="str">
        <f>MID(C1579, FIND("Ifc.", C1579) + 4, 4) &amp; "_" &amp; TEXT(COUNTIF($C$2:C1579, C1579),"0000")</f>
        <v>Prop_1578</v>
      </c>
      <c r="C1579" s="24" t="s">
        <v>872</v>
      </c>
      <c r="D1579" s="69" t="s">
        <v>9453</v>
      </c>
      <c r="E1579" s="70" t="s">
        <v>9454</v>
      </c>
      <c r="F1579" s="17" t="s">
        <v>806</v>
      </c>
      <c r="G1579" s="22" t="s">
        <v>909</v>
      </c>
      <c r="H1579" s="12" t="s">
        <v>9703</v>
      </c>
      <c r="I1579" s="13" t="s">
        <v>6069</v>
      </c>
      <c r="J1579" s="14" t="s">
        <v>798</v>
      </c>
      <c r="K1579" s="15" t="s">
        <v>798</v>
      </c>
      <c r="L1579" s="12" t="s">
        <v>5315</v>
      </c>
      <c r="M1579" s="13" t="s">
        <v>6052</v>
      </c>
      <c r="N1579" s="12" t="s">
        <v>803</v>
      </c>
      <c r="O1579" s="13" t="s">
        <v>4875</v>
      </c>
      <c r="P1579" s="17" t="s">
        <v>802</v>
      </c>
      <c r="Q1579" s="21" t="s">
        <v>8029</v>
      </c>
      <c r="R1579" s="17" t="s">
        <v>801</v>
      </c>
      <c r="S1579" s="18" t="s">
        <v>2559</v>
      </c>
      <c r="T1579" s="17" t="s">
        <v>800</v>
      </c>
      <c r="U1579" s="18" t="s">
        <v>5234</v>
      </c>
      <c r="V1579" s="17" t="s">
        <v>9418</v>
      </c>
      <c r="W1579" s="18" t="s">
        <v>5309</v>
      </c>
      <c r="X1579" s="69" t="s">
        <v>9453</v>
      </c>
      <c r="Y1579" s="70" t="s">
        <v>9462</v>
      </c>
      <c r="Z1579" s="73" t="s">
        <v>9486</v>
      </c>
      <c r="AA1579" s="74" t="s">
        <v>9504</v>
      </c>
      <c r="AB1579" s="73" t="s">
        <v>9486</v>
      </c>
      <c r="AC1579" s="74" t="s">
        <v>9562</v>
      </c>
      <c r="AD1579" s="73" t="s">
        <v>9578</v>
      </c>
      <c r="AE1579" s="74" t="s">
        <v>9579</v>
      </c>
    </row>
    <row r="1580" spans="1:31" ht="8.65" customHeight="1" x14ac:dyDescent="0.2">
      <c r="A1580" s="76">
        <v>1580</v>
      </c>
      <c r="B1580" s="67" t="str">
        <f>MID(C1580, FIND("Ifc.", C1580) + 4, 4) &amp; "_" &amp; TEXT(COUNTIF($C$2:C1580, C1580),"0000")</f>
        <v>Prop_1579</v>
      </c>
      <c r="C1580" s="24" t="s">
        <v>872</v>
      </c>
      <c r="D1580" s="69" t="s">
        <v>9453</v>
      </c>
      <c r="E1580" s="70" t="s">
        <v>9454</v>
      </c>
      <c r="F1580" s="17" t="s">
        <v>806</v>
      </c>
      <c r="G1580" s="22" t="s">
        <v>909</v>
      </c>
      <c r="H1580" s="12" t="s">
        <v>9703</v>
      </c>
      <c r="I1580" s="13" t="s">
        <v>6069</v>
      </c>
      <c r="J1580" s="14" t="s">
        <v>798</v>
      </c>
      <c r="K1580" s="15" t="s">
        <v>798</v>
      </c>
      <c r="L1580" s="12" t="s">
        <v>5315</v>
      </c>
      <c r="M1580" s="13" t="s">
        <v>6057</v>
      </c>
      <c r="N1580" s="12" t="s">
        <v>803</v>
      </c>
      <c r="O1580" s="13" t="s">
        <v>4887</v>
      </c>
      <c r="P1580" s="17" t="s">
        <v>802</v>
      </c>
      <c r="Q1580" s="21" t="s">
        <v>7720</v>
      </c>
      <c r="R1580" s="17" t="s">
        <v>801</v>
      </c>
      <c r="S1580" s="18" t="s">
        <v>2559</v>
      </c>
      <c r="T1580" s="17" t="s">
        <v>800</v>
      </c>
      <c r="U1580" s="18" t="s">
        <v>5234</v>
      </c>
      <c r="V1580" s="17" t="s">
        <v>9418</v>
      </c>
      <c r="W1580" s="18" t="s">
        <v>5309</v>
      </c>
      <c r="X1580" s="69" t="s">
        <v>9453</v>
      </c>
      <c r="Y1580" s="70" t="s">
        <v>9462</v>
      </c>
      <c r="Z1580" s="73" t="s">
        <v>9486</v>
      </c>
      <c r="AA1580" s="74" t="s">
        <v>9504</v>
      </c>
      <c r="AB1580" s="73" t="s">
        <v>9486</v>
      </c>
      <c r="AC1580" s="74" t="s">
        <v>9562</v>
      </c>
      <c r="AD1580" s="73" t="s">
        <v>9578</v>
      </c>
      <c r="AE1580" s="74" t="s">
        <v>9579</v>
      </c>
    </row>
    <row r="1581" spans="1:31" ht="8.65" customHeight="1" x14ac:dyDescent="0.2">
      <c r="A1581" s="76">
        <v>1581</v>
      </c>
      <c r="B1581" s="67" t="str">
        <f>MID(C1581, FIND("Ifc.", C1581) + 4, 4) &amp; "_" &amp; TEXT(COUNTIF($C$2:C1581, C1581),"0000")</f>
        <v>Prop_1580</v>
      </c>
      <c r="C1581" s="24" t="s">
        <v>872</v>
      </c>
      <c r="D1581" s="69" t="s">
        <v>9453</v>
      </c>
      <c r="E1581" s="70" t="s">
        <v>9454</v>
      </c>
      <c r="F1581" s="17" t="s">
        <v>806</v>
      </c>
      <c r="G1581" s="22" t="s">
        <v>909</v>
      </c>
      <c r="H1581" s="12" t="s">
        <v>9703</v>
      </c>
      <c r="I1581" s="13" t="s">
        <v>6069</v>
      </c>
      <c r="J1581" s="14" t="s">
        <v>798</v>
      </c>
      <c r="K1581" s="15" t="s">
        <v>798</v>
      </c>
      <c r="L1581" s="12" t="s">
        <v>5315</v>
      </c>
      <c r="M1581" s="13" t="s">
        <v>5403</v>
      </c>
      <c r="N1581" s="12" t="s">
        <v>803</v>
      </c>
      <c r="O1581" s="13" t="s">
        <v>4891</v>
      </c>
      <c r="P1581" s="17" t="s">
        <v>802</v>
      </c>
      <c r="Q1581" s="21" t="s">
        <v>7789</v>
      </c>
      <c r="R1581" s="17" t="s">
        <v>801</v>
      </c>
      <c r="S1581" s="18" t="s">
        <v>2559</v>
      </c>
      <c r="T1581" s="17" t="s">
        <v>800</v>
      </c>
      <c r="U1581" s="18" t="s">
        <v>5234</v>
      </c>
      <c r="V1581" s="17" t="s">
        <v>9418</v>
      </c>
      <c r="W1581" s="18" t="s">
        <v>5309</v>
      </c>
      <c r="X1581" s="69" t="s">
        <v>9453</v>
      </c>
      <c r="Y1581" s="70" t="s">
        <v>9462</v>
      </c>
      <c r="Z1581" s="73" t="s">
        <v>9486</v>
      </c>
      <c r="AA1581" s="74" t="s">
        <v>9504</v>
      </c>
      <c r="AB1581" s="73" t="s">
        <v>9486</v>
      </c>
      <c r="AC1581" s="74" t="s">
        <v>9562</v>
      </c>
      <c r="AD1581" s="73" t="s">
        <v>9578</v>
      </c>
      <c r="AE1581" s="74" t="s">
        <v>9579</v>
      </c>
    </row>
    <row r="1582" spans="1:31" ht="8.65" customHeight="1" x14ac:dyDescent="0.2">
      <c r="A1582" s="76">
        <v>1582</v>
      </c>
      <c r="B1582" s="67" t="str">
        <f>MID(C1582, FIND("Ifc.", C1582) + 4, 4) &amp; "_" &amp; TEXT(COUNTIF($C$2:C1582, C1582),"0000")</f>
        <v>Prop_1581</v>
      </c>
      <c r="C1582" s="24" t="s">
        <v>872</v>
      </c>
      <c r="D1582" s="69" t="s">
        <v>9453</v>
      </c>
      <c r="E1582" s="70" t="s">
        <v>9454</v>
      </c>
      <c r="F1582" s="17" t="s">
        <v>806</v>
      </c>
      <c r="G1582" s="22" t="s">
        <v>909</v>
      </c>
      <c r="H1582" s="12" t="s">
        <v>9703</v>
      </c>
      <c r="I1582" s="13" t="s">
        <v>6069</v>
      </c>
      <c r="J1582" s="14" t="s">
        <v>798</v>
      </c>
      <c r="K1582" s="15" t="s">
        <v>798</v>
      </c>
      <c r="L1582" s="12" t="s">
        <v>5315</v>
      </c>
      <c r="M1582" s="13" t="s">
        <v>5404</v>
      </c>
      <c r="N1582" s="12" t="s">
        <v>803</v>
      </c>
      <c r="O1582" s="13" t="s">
        <v>4892</v>
      </c>
      <c r="P1582" s="17" t="s">
        <v>802</v>
      </c>
      <c r="Q1582" s="21" t="s">
        <v>7965</v>
      </c>
      <c r="R1582" s="17" t="s">
        <v>801</v>
      </c>
      <c r="S1582" s="18" t="s">
        <v>2559</v>
      </c>
      <c r="T1582" s="17" t="s">
        <v>800</v>
      </c>
      <c r="U1582" s="18" t="s">
        <v>5234</v>
      </c>
      <c r="V1582" s="17" t="s">
        <v>9418</v>
      </c>
      <c r="W1582" s="18" t="s">
        <v>5309</v>
      </c>
      <c r="X1582" s="69" t="s">
        <v>9453</v>
      </c>
      <c r="Y1582" s="70" t="s">
        <v>9462</v>
      </c>
      <c r="Z1582" s="73" t="s">
        <v>9486</v>
      </c>
      <c r="AA1582" s="74" t="s">
        <v>9504</v>
      </c>
      <c r="AB1582" s="73" t="s">
        <v>9486</v>
      </c>
      <c r="AC1582" s="74" t="s">
        <v>9562</v>
      </c>
      <c r="AD1582" s="73" t="s">
        <v>9578</v>
      </c>
      <c r="AE1582" s="74" t="s">
        <v>9579</v>
      </c>
    </row>
    <row r="1583" spans="1:31" ht="8.65" customHeight="1" x14ac:dyDescent="0.2">
      <c r="A1583" s="76">
        <v>1583</v>
      </c>
      <c r="B1583" s="67" t="str">
        <f>MID(C1583, FIND("Ifc.", C1583) + 4, 4) &amp; "_" &amp; TEXT(COUNTIF($C$2:C1583, C1583),"0000")</f>
        <v>Prop_1582</v>
      </c>
      <c r="C1583" s="24" t="s">
        <v>872</v>
      </c>
      <c r="D1583" s="69" t="s">
        <v>9453</v>
      </c>
      <c r="E1583" s="70" t="s">
        <v>9454</v>
      </c>
      <c r="F1583" s="17" t="s">
        <v>806</v>
      </c>
      <c r="G1583" s="22" t="s">
        <v>909</v>
      </c>
      <c r="H1583" s="12" t="s">
        <v>9703</v>
      </c>
      <c r="I1583" s="13" t="s">
        <v>6069</v>
      </c>
      <c r="J1583" s="14" t="s">
        <v>798</v>
      </c>
      <c r="K1583" s="15" t="s">
        <v>798</v>
      </c>
      <c r="L1583" s="12" t="s">
        <v>5315</v>
      </c>
      <c r="M1583" s="13" t="s">
        <v>6025</v>
      </c>
      <c r="N1583" s="12" t="s">
        <v>803</v>
      </c>
      <c r="O1583" s="13" t="s">
        <v>5211</v>
      </c>
      <c r="P1583" s="17" t="s">
        <v>802</v>
      </c>
      <c r="Q1583" s="21" t="s">
        <v>7938</v>
      </c>
      <c r="R1583" s="17" t="s">
        <v>801</v>
      </c>
      <c r="S1583" s="18" t="s">
        <v>2559</v>
      </c>
      <c r="T1583" s="17" t="s">
        <v>800</v>
      </c>
      <c r="U1583" s="18" t="s">
        <v>5234</v>
      </c>
      <c r="V1583" s="17" t="s">
        <v>9418</v>
      </c>
      <c r="W1583" s="18" t="s">
        <v>5309</v>
      </c>
      <c r="X1583" s="69" t="s">
        <v>9453</v>
      </c>
      <c r="Y1583" s="70" t="s">
        <v>9462</v>
      </c>
      <c r="Z1583" s="73" t="s">
        <v>9486</v>
      </c>
      <c r="AA1583" s="74" t="s">
        <v>9504</v>
      </c>
      <c r="AB1583" s="73" t="s">
        <v>9486</v>
      </c>
      <c r="AC1583" s="74" t="s">
        <v>9562</v>
      </c>
      <c r="AD1583" s="73" t="s">
        <v>9578</v>
      </c>
      <c r="AE1583" s="74" t="s">
        <v>9579</v>
      </c>
    </row>
    <row r="1584" spans="1:31" ht="8.65" customHeight="1" x14ac:dyDescent="0.2">
      <c r="A1584" s="76">
        <v>1584</v>
      </c>
      <c r="B1584" s="67" t="str">
        <f>MID(C1584, FIND("Ifc.", C1584) + 4, 4) &amp; "_" &amp; TEXT(COUNTIF($C$2:C1584, C1584),"0000")</f>
        <v>Prop_1583</v>
      </c>
      <c r="C1584" s="24" t="s">
        <v>872</v>
      </c>
      <c r="D1584" s="69" t="s">
        <v>9453</v>
      </c>
      <c r="E1584" s="70" t="s">
        <v>9454</v>
      </c>
      <c r="F1584" s="17" t="s">
        <v>806</v>
      </c>
      <c r="G1584" s="22" t="s">
        <v>909</v>
      </c>
      <c r="H1584" s="12" t="s">
        <v>9703</v>
      </c>
      <c r="I1584" s="13" t="s">
        <v>6069</v>
      </c>
      <c r="J1584" s="14" t="s">
        <v>798</v>
      </c>
      <c r="K1584" s="15" t="s">
        <v>798</v>
      </c>
      <c r="L1584" s="12" t="s">
        <v>5315</v>
      </c>
      <c r="M1584" s="13" t="s">
        <v>5407</v>
      </c>
      <c r="N1584" s="12" t="s">
        <v>803</v>
      </c>
      <c r="O1584" s="13" t="s">
        <v>4895</v>
      </c>
      <c r="P1584" s="17" t="s">
        <v>802</v>
      </c>
      <c r="Q1584" s="21" t="s">
        <v>8030</v>
      </c>
      <c r="R1584" s="17" t="s">
        <v>801</v>
      </c>
      <c r="S1584" s="18" t="s">
        <v>2559</v>
      </c>
      <c r="T1584" s="17" t="s">
        <v>800</v>
      </c>
      <c r="U1584" s="18" t="s">
        <v>5234</v>
      </c>
      <c r="V1584" s="17" t="s">
        <v>9418</v>
      </c>
      <c r="W1584" s="18" t="s">
        <v>5309</v>
      </c>
      <c r="X1584" s="69" t="s">
        <v>9453</v>
      </c>
      <c r="Y1584" s="70" t="s">
        <v>9462</v>
      </c>
      <c r="Z1584" s="73" t="s">
        <v>9486</v>
      </c>
      <c r="AA1584" s="74" t="s">
        <v>9504</v>
      </c>
      <c r="AB1584" s="73" t="s">
        <v>9486</v>
      </c>
      <c r="AC1584" s="74" t="s">
        <v>9562</v>
      </c>
      <c r="AD1584" s="73" t="s">
        <v>9578</v>
      </c>
      <c r="AE1584" s="74" t="s">
        <v>9579</v>
      </c>
    </row>
    <row r="1585" spans="1:31" ht="8.65" customHeight="1" x14ac:dyDescent="0.2">
      <c r="A1585" s="76">
        <v>1585</v>
      </c>
      <c r="B1585" s="67" t="str">
        <f>MID(C1585, FIND("Ifc.", C1585) + 4, 4) &amp; "_" &amp; TEXT(COUNTIF($C$2:C1585, C1585),"0000")</f>
        <v>Prop_1584</v>
      </c>
      <c r="C1585" s="24" t="s">
        <v>872</v>
      </c>
      <c r="D1585" s="69" t="s">
        <v>9453</v>
      </c>
      <c r="E1585" s="70" t="s">
        <v>9454</v>
      </c>
      <c r="F1585" s="17" t="s">
        <v>806</v>
      </c>
      <c r="G1585" s="22" t="s">
        <v>909</v>
      </c>
      <c r="H1585" s="12" t="s">
        <v>9703</v>
      </c>
      <c r="I1585" s="13" t="s">
        <v>6069</v>
      </c>
      <c r="J1585" s="14" t="s">
        <v>798</v>
      </c>
      <c r="K1585" s="15" t="s">
        <v>798</v>
      </c>
      <c r="L1585" s="12" t="s">
        <v>5315</v>
      </c>
      <c r="M1585" s="13" t="s">
        <v>5409</v>
      </c>
      <c r="N1585" s="12" t="s">
        <v>803</v>
      </c>
      <c r="O1585" s="13" t="s">
        <v>4907</v>
      </c>
      <c r="P1585" s="17" t="s">
        <v>802</v>
      </c>
      <c r="Q1585" s="21" t="s">
        <v>7769</v>
      </c>
      <c r="R1585" s="17" t="s">
        <v>801</v>
      </c>
      <c r="S1585" s="18" t="s">
        <v>2559</v>
      </c>
      <c r="T1585" s="17" t="s">
        <v>800</v>
      </c>
      <c r="U1585" s="18" t="s">
        <v>5234</v>
      </c>
      <c r="V1585" s="17" t="s">
        <v>9418</v>
      </c>
      <c r="W1585" s="18" t="s">
        <v>5309</v>
      </c>
      <c r="X1585" s="69" t="s">
        <v>9453</v>
      </c>
      <c r="Y1585" s="70" t="s">
        <v>9462</v>
      </c>
      <c r="Z1585" s="73" t="s">
        <v>9486</v>
      </c>
      <c r="AA1585" s="74" t="s">
        <v>9504</v>
      </c>
      <c r="AB1585" s="73" t="s">
        <v>9486</v>
      </c>
      <c r="AC1585" s="74" t="s">
        <v>9562</v>
      </c>
      <c r="AD1585" s="73" t="s">
        <v>9578</v>
      </c>
      <c r="AE1585" s="74" t="s">
        <v>9579</v>
      </c>
    </row>
    <row r="1586" spans="1:31" ht="8.65" customHeight="1" x14ac:dyDescent="0.2">
      <c r="A1586" s="76">
        <v>1586</v>
      </c>
      <c r="B1586" s="67" t="str">
        <f>MID(C1586, FIND("Ifc.", C1586) + 4, 4) &amp; "_" &amp; TEXT(COUNTIF($C$2:C1586, C1586),"0000")</f>
        <v>Prop_1585</v>
      </c>
      <c r="C1586" s="24" t="s">
        <v>872</v>
      </c>
      <c r="D1586" s="69" t="s">
        <v>9453</v>
      </c>
      <c r="E1586" s="70" t="s">
        <v>9454</v>
      </c>
      <c r="F1586" s="17" t="s">
        <v>806</v>
      </c>
      <c r="G1586" s="22" t="s">
        <v>909</v>
      </c>
      <c r="H1586" s="12" t="s">
        <v>9703</v>
      </c>
      <c r="I1586" s="13" t="s">
        <v>6069</v>
      </c>
      <c r="J1586" s="14" t="s">
        <v>798</v>
      </c>
      <c r="K1586" s="15" t="s">
        <v>798</v>
      </c>
      <c r="L1586" s="12" t="s">
        <v>5315</v>
      </c>
      <c r="M1586" s="13" t="s">
        <v>5411</v>
      </c>
      <c r="N1586" s="12" t="s">
        <v>803</v>
      </c>
      <c r="O1586" s="13" t="s">
        <v>4909</v>
      </c>
      <c r="P1586" s="17" t="s">
        <v>802</v>
      </c>
      <c r="Q1586" s="21" t="s">
        <v>8031</v>
      </c>
      <c r="R1586" s="17" t="s">
        <v>801</v>
      </c>
      <c r="S1586" s="18" t="s">
        <v>2559</v>
      </c>
      <c r="T1586" s="17" t="s">
        <v>800</v>
      </c>
      <c r="U1586" s="18" t="s">
        <v>5234</v>
      </c>
      <c r="V1586" s="17" t="s">
        <v>9418</v>
      </c>
      <c r="W1586" s="18" t="s">
        <v>5309</v>
      </c>
      <c r="X1586" s="69" t="s">
        <v>9453</v>
      </c>
      <c r="Y1586" s="70" t="s">
        <v>9462</v>
      </c>
      <c r="Z1586" s="73" t="s">
        <v>9486</v>
      </c>
      <c r="AA1586" s="74" t="s">
        <v>9504</v>
      </c>
      <c r="AB1586" s="73" t="s">
        <v>9486</v>
      </c>
      <c r="AC1586" s="74" t="s">
        <v>9562</v>
      </c>
      <c r="AD1586" s="73" t="s">
        <v>9578</v>
      </c>
      <c r="AE1586" s="74" t="s">
        <v>9579</v>
      </c>
    </row>
    <row r="1587" spans="1:31" ht="8.65" customHeight="1" x14ac:dyDescent="0.2">
      <c r="A1587" s="76">
        <v>1587</v>
      </c>
      <c r="B1587" s="67" t="str">
        <f>MID(C1587, FIND("Ifc.", C1587) + 4, 4) &amp; "_" &amp; TEXT(COUNTIF($C$2:C1587, C1587),"0000")</f>
        <v>Prop_1586</v>
      </c>
      <c r="C1587" s="24" t="s">
        <v>872</v>
      </c>
      <c r="D1587" s="69" t="s">
        <v>9453</v>
      </c>
      <c r="E1587" s="70" t="s">
        <v>9454</v>
      </c>
      <c r="F1587" s="17" t="s">
        <v>806</v>
      </c>
      <c r="G1587" s="22" t="s">
        <v>909</v>
      </c>
      <c r="H1587" s="12" t="s">
        <v>9703</v>
      </c>
      <c r="I1587" s="13" t="s">
        <v>6069</v>
      </c>
      <c r="J1587" s="14" t="s">
        <v>798</v>
      </c>
      <c r="K1587" s="15" t="s">
        <v>798</v>
      </c>
      <c r="L1587" s="12" t="s">
        <v>5315</v>
      </c>
      <c r="M1587" s="13" t="s">
        <v>5412</v>
      </c>
      <c r="N1587" s="12" t="s">
        <v>803</v>
      </c>
      <c r="O1587" s="13" t="s">
        <v>4910</v>
      </c>
      <c r="P1587" s="17" t="s">
        <v>802</v>
      </c>
      <c r="Q1587" s="21" t="s">
        <v>7954</v>
      </c>
      <c r="R1587" s="17" t="s">
        <v>801</v>
      </c>
      <c r="S1587" s="18" t="s">
        <v>2559</v>
      </c>
      <c r="T1587" s="17" t="s">
        <v>800</v>
      </c>
      <c r="U1587" s="18" t="s">
        <v>5234</v>
      </c>
      <c r="V1587" s="17" t="s">
        <v>9418</v>
      </c>
      <c r="W1587" s="18" t="s">
        <v>5309</v>
      </c>
      <c r="X1587" s="69" t="s">
        <v>9453</v>
      </c>
      <c r="Y1587" s="70" t="s">
        <v>9462</v>
      </c>
      <c r="Z1587" s="73" t="s">
        <v>9486</v>
      </c>
      <c r="AA1587" s="74" t="s">
        <v>9504</v>
      </c>
      <c r="AB1587" s="73" t="s">
        <v>9486</v>
      </c>
      <c r="AC1587" s="74" t="s">
        <v>9562</v>
      </c>
      <c r="AD1587" s="73" t="s">
        <v>9578</v>
      </c>
      <c r="AE1587" s="74" t="s">
        <v>9579</v>
      </c>
    </row>
    <row r="1588" spans="1:31" ht="8.65" customHeight="1" x14ac:dyDescent="0.2">
      <c r="A1588" s="76">
        <v>1588</v>
      </c>
      <c r="B1588" s="67" t="str">
        <f>MID(C1588, FIND("Ifc.", C1588) + 4, 4) &amp; "_" &amp; TEXT(COUNTIF($C$2:C1588, C1588),"0000")</f>
        <v>Prop_1587</v>
      </c>
      <c r="C1588" s="24" t="s">
        <v>872</v>
      </c>
      <c r="D1588" s="69" t="s">
        <v>9453</v>
      </c>
      <c r="E1588" s="70" t="s">
        <v>9454</v>
      </c>
      <c r="F1588" s="17" t="s">
        <v>806</v>
      </c>
      <c r="G1588" s="22" t="s">
        <v>909</v>
      </c>
      <c r="H1588" s="12" t="s">
        <v>9703</v>
      </c>
      <c r="I1588" s="13" t="s">
        <v>6069</v>
      </c>
      <c r="J1588" s="14" t="s">
        <v>798</v>
      </c>
      <c r="K1588" s="15" t="s">
        <v>798</v>
      </c>
      <c r="L1588" s="12" t="s">
        <v>5315</v>
      </c>
      <c r="M1588" s="13" t="s">
        <v>5414</v>
      </c>
      <c r="N1588" s="12" t="s">
        <v>803</v>
      </c>
      <c r="O1588" s="13" t="s">
        <v>4914</v>
      </c>
      <c r="P1588" s="17" t="s">
        <v>802</v>
      </c>
      <c r="Q1588" s="21" t="s">
        <v>7735</v>
      </c>
      <c r="R1588" s="17" t="s">
        <v>801</v>
      </c>
      <c r="S1588" s="18" t="s">
        <v>2559</v>
      </c>
      <c r="T1588" s="17" t="s">
        <v>800</v>
      </c>
      <c r="U1588" s="18" t="s">
        <v>5234</v>
      </c>
      <c r="V1588" s="17" t="s">
        <v>9418</v>
      </c>
      <c r="W1588" s="18" t="s">
        <v>5309</v>
      </c>
      <c r="X1588" s="69" t="s">
        <v>9453</v>
      </c>
      <c r="Y1588" s="70" t="s">
        <v>9462</v>
      </c>
      <c r="Z1588" s="73" t="s">
        <v>9486</v>
      </c>
      <c r="AA1588" s="74" t="s">
        <v>9504</v>
      </c>
      <c r="AB1588" s="73" t="s">
        <v>9486</v>
      </c>
      <c r="AC1588" s="74" t="s">
        <v>9562</v>
      </c>
      <c r="AD1588" s="73" t="s">
        <v>9578</v>
      </c>
      <c r="AE1588" s="74" t="s">
        <v>9579</v>
      </c>
    </row>
    <row r="1589" spans="1:31" ht="8.65" customHeight="1" x14ac:dyDescent="0.2">
      <c r="A1589" s="76">
        <v>1589</v>
      </c>
      <c r="B1589" s="67" t="str">
        <f>MID(C1589, FIND("Ifc.", C1589) + 4, 4) &amp; "_" &amp; TEXT(COUNTIF($C$2:C1589, C1589),"0000")</f>
        <v>Prop_1588</v>
      </c>
      <c r="C1589" s="24" t="s">
        <v>872</v>
      </c>
      <c r="D1589" s="69" t="s">
        <v>9453</v>
      </c>
      <c r="E1589" s="70" t="s">
        <v>9454</v>
      </c>
      <c r="F1589" s="17" t="s">
        <v>806</v>
      </c>
      <c r="G1589" s="22" t="s">
        <v>909</v>
      </c>
      <c r="H1589" s="12" t="s">
        <v>9703</v>
      </c>
      <c r="I1589" s="13" t="s">
        <v>6069</v>
      </c>
      <c r="J1589" s="14" t="s">
        <v>798</v>
      </c>
      <c r="K1589" s="15" t="s">
        <v>798</v>
      </c>
      <c r="L1589" s="12" t="s">
        <v>5315</v>
      </c>
      <c r="M1589" s="13" t="s">
        <v>5416</v>
      </c>
      <c r="N1589" s="12" t="s">
        <v>803</v>
      </c>
      <c r="O1589" s="13" t="s">
        <v>4915</v>
      </c>
      <c r="P1589" s="17" t="s">
        <v>802</v>
      </c>
      <c r="Q1589" s="21" t="s">
        <v>8032</v>
      </c>
      <c r="R1589" s="17" t="s">
        <v>801</v>
      </c>
      <c r="S1589" s="18" t="s">
        <v>2554</v>
      </c>
      <c r="T1589" s="17" t="s">
        <v>800</v>
      </c>
      <c r="U1589" s="18" t="s">
        <v>5233</v>
      </c>
      <c r="V1589" s="17" t="s">
        <v>9418</v>
      </c>
      <c r="W1589" s="18" t="s">
        <v>5309</v>
      </c>
      <c r="X1589" s="69" t="s">
        <v>9453</v>
      </c>
      <c r="Y1589" s="70" t="s">
        <v>9462</v>
      </c>
      <c r="Z1589" s="73" t="s">
        <v>9486</v>
      </c>
      <c r="AA1589" s="74" t="s">
        <v>9504</v>
      </c>
      <c r="AB1589" s="73" t="s">
        <v>9486</v>
      </c>
      <c r="AC1589" s="74" t="s">
        <v>9562</v>
      </c>
      <c r="AD1589" s="73" t="s">
        <v>9578</v>
      </c>
      <c r="AE1589" s="74" t="s">
        <v>9579</v>
      </c>
    </row>
    <row r="1590" spans="1:31" ht="8.65" customHeight="1" x14ac:dyDescent="0.2">
      <c r="A1590" s="76">
        <v>1590</v>
      </c>
      <c r="B1590" s="67" t="str">
        <f>MID(C1590, FIND("Ifc.", C1590) + 4, 4) &amp; "_" &amp; TEXT(COUNTIF($C$2:C1590, C1590),"0000")</f>
        <v>Prop_1589</v>
      </c>
      <c r="C1590" s="24" t="s">
        <v>872</v>
      </c>
      <c r="D1590" s="69" t="s">
        <v>9453</v>
      </c>
      <c r="E1590" s="70" t="s">
        <v>9454</v>
      </c>
      <c r="F1590" s="17" t="s">
        <v>806</v>
      </c>
      <c r="G1590" s="22" t="s">
        <v>909</v>
      </c>
      <c r="H1590" s="12" t="s">
        <v>9703</v>
      </c>
      <c r="I1590" s="13" t="s">
        <v>6069</v>
      </c>
      <c r="J1590" s="14" t="s">
        <v>798</v>
      </c>
      <c r="K1590" s="15" t="s">
        <v>798</v>
      </c>
      <c r="L1590" s="12" t="s">
        <v>5315</v>
      </c>
      <c r="M1590" s="13" t="s">
        <v>5423</v>
      </c>
      <c r="N1590" s="12" t="s">
        <v>803</v>
      </c>
      <c r="O1590" s="13" t="s">
        <v>4923</v>
      </c>
      <c r="P1590" s="17" t="s">
        <v>802</v>
      </c>
      <c r="Q1590" s="21" t="s">
        <v>8033</v>
      </c>
      <c r="R1590" s="17" t="s">
        <v>801</v>
      </c>
      <c r="S1590" s="18" t="s">
        <v>2559</v>
      </c>
      <c r="T1590" s="17" t="s">
        <v>800</v>
      </c>
      <c r="U1590" s="18" t="s">
        <v>5234</v>
      </c>
      <c r="V1590" s="17" t="s">
        <v>9418</v>
      </c>
      <c r="W1590" s="18" t="s">
        <v>5309</v>
      </c>
      <c r="X1590" s="69" t="s">
        <v>9453</v>
      </c>
      <c r="Y1590" s="70" t="s">
        <v>9462</v>
      </c>
      <c r="Z1590" s="73" t="s">
        <v>9486</v>
      </c>
      <c r="AA1590" s="74" t="s">
        <v>9504</v>
      </c>
      <c r="AB1590" s="73" t="s">
        <v>9486</v>
      </c>
      <c r="AC1590" s="74" t="s">
        <v>9562</v>
      </c>
      <c r="AD1590" s="73" t="s">
        <v>9578</v>
      </c>
      <c r="AE1590" s="74" t="s">
        <v>9579</v>
      </c>
    </row>
    <row r="1591" spans="1:31" ht="8.65" customHeight="1" x14ac:dyDescent="0.2">
      <c r="A1591" s="76">
        <v>1591</v>
      </c>
      <c r="B1591" s="67" t="str">
        <f>MID(C1591, FIND("Ifc.", C1591) + 4, 4) &amp; "_" &amp; TEXT(COUNTIF($C$2:C1591, C1591),"0000")</f>
        <v>Prop_1590</v>
      </c>
      <c r="C1591" s="24" t="s">
        <v>872</v>
      </c>
      <c r="D1591" s="69" t="s">
        <v>9453</v>
      </c>
      <c r="E1591" s="70" t="s">
        <v>9454</v>
      </c>
      <c r="F1591" s="17" t="s">
        <v>806</v>
      </c>
      <c r="G1591" s="22" t="s">
        <v>909</v>
      </c>
      <c r="H1591" s="12" t="s">
        <v>9703</v>
      </c>
      <c r="I1591" s="13" t="s">
        <v>6069</v>
      </c>
      <c r="J1591" s="14" t="s">
        <v>798</v>
      </c>
      <c r="K1591" s="15" t="s">
        <v>798</v>
      </c>
      <c r="L1591" s="12" t="s">
        <v>5315</v>
      </c>
      <c r="M1591" s="13" t="s">
        <v>5418</v>
      </c>
      <c r="N1591" s="12" t="s">
        <v>803</v>
      </c>
      <c r="O1591" s="13" t="s">
        <v>4918</v>
      </c>
      <c r="P1591" s="17" t="s">
        <v>802</v>
      </c>
      <c r="Q1591" s="21" t="s">
        <v>8016</v>
      </c>
      <c r="R1591" s="17" t="s">
        <v>801</v>
      </c>
      <c r="S1591" s="18" t="s">
        <v>2559</v>
      </c>
      <c r="T1591" s="17" t="s">
        <v>800</v>
      </c>
      <c r="U1591" s="18" t="s">
        <v>5234</v>
      </c>
      <c r="V1591" s="17" t="s">
        <v>9418</v>
      </c>
      <c r="W1591" s="18" t="s">
        <v>5309</v>
      </c>
      <c r="X1591" s="69" t="s">
        <v>9453</v>
      </c>
      <c r="Y1591" s="70" t="s">
        <v>9462</v>
      </c>
      <c r="Z1591" s="73" t="s">
        <v>9486</v>
      </c>
      <c r="AA1591" s="74" t="s">
        <v>9504</v>
      </c>
      <c r="AB1591" s="73" t="s">
        <v>9486</v>
      </c>
      <c r="AC1591" s="74" t="s">
        <v>9562</v>
      </c>
      <c r="AD1591" s="73" t="s">
        <v>9578</v>
      </c>
      <c r="AE1591" s="74" t="s">
        <v>9579</v>
      </c>
    </row>
    <row r="1592" spans="1:31" ht="8.65" customHeight="1" x14ac:dyDescent="0.2">
      <c r="A1592" s="76">
        <v>1592</v>
      </c>
      <c r="B1592" s="67" t="str">
        <f>MID(C1592, FIND("Ifc.", C1592) + 4, 4) &amp; "_" &amp; TEXT(COUNTIF($C$2:C1592, C1592),"0000")</f>
        <v>Prop_1591</v>
      </c>
      <c r="C1592" s="24" t="s">
        <v>872</v>
      </c>
      <c r="D1592" s="69" t="s">
        <v>9453</v>
      </c>
      <c r="E1592" s="70" t="s">
        <v>9454</v>
      </c>
      <c r="F1592" s="17" t="s">
        <v>806</v>
      </c>
      <c r="G1592" s="22" t="s">
        <v>909</v>
      </c>
      <c r="H1592" s="12" t="s">
        <v>9703</v>
      </c>
      <c r="I1592" s="13" t="s">
        <v>6069</v>
      </c>
      <c r="J1592" s="14" t="s">
        <v>798</v>
      </c>
      <c r="K1592" s="15" t="s">
        <v>798</v>
      </c>
      <c r="L1592" s="12" t="s">
        <v>5315</v>
      </c>
      <c r="M1592" s="13" t="s">
        <v>5420</v>
      </c>
      <c r="N1592" s="12" t="s">
        <v>803</v>
      </c>
      <c r="O1592" s="13" t="s">
        <v>4920</v>
      </c>
      <c r="P1592" s="17" t="s">
        <v>802</v>
      </c>
      <c r="Q1592" s="21" t="s">
        <v>7990</v>
      </c>
      <c r="R1592" s="17" t="s">
        <v>801</v>
      </c>
      <c r="S1592" s="18" t="s">
        <v>2559</v>
      </c>
      <c r="T1592" s="17" t="s">
        <v>800</v>
      </c>
      <c r="U1592" s="18" t="s">
        <v>5234</v>
      </c>
      <c r="V1592" s="17" t="s">
        <v>9418</v>
      </c>
      <c r="W1592" s="18" t="s">
        <v>5309</v>
      </c>
      <c r="X1592" s="69" t="s">
        <v>9453</v>
      </c>
      <c r="Y1592" s="70" t="s">
        <v>9462</v>
      </c>
      <c r="Z1592" s="73" t="s">
        <v>9486</v>
      </c>
      <c r="AA1592" s="74" t="s">
        <v>9504</v>
      </c>
      <c r="AB1592" s="73" t="s">
        <v>9486</v>
      </c>
      <c r="AC1592" s="74" t="s">
        <v>9562</v>
      </c>
      <c r="AD1592" s="73" t="s">
        <v>9578</v>
      </c>
      <c r="AE1592" s="74" t="s">
        <v>9579</v>
      </c>
    </row>
    <row r="1593" spans="1:31" ht="8.65" customHeight="1" x14ac:dyDescent="0.2">
      <c r="A1593" s="76">
        <v>1593</v>
      </c>
      <c r="B1593" s="67" t="str">
        <f>MID(C1593, FIND("Ifc.", C1593) + 4, 4) &amp; "_" &amp; TEXT(COUNTIF($C$2:C1593, C1593),"0000")</f>
        <v>Prop_1592</v>
      </c>
      <c r="C1593" s="24" t="s">
        <v>872</v>
      </c>
      <c r="D1593" s="69" t="s">
        <v>9453</v>
      </c>
      <c r="E1593" s="70" t="s">
        <v>9454</v>
      </c>
      <c r="F1593" s="17" t="s">
        <v>806</v>
      </c>
      <c r="G1593" s="22" t="s">
        <v>909</v>
      </c>
      <c r="H1593" s="12" t="s">
        <v>9703</v>
      </c>
      <c r="I1593" s="13" t="s">
        <v>6069</v>
      </c>
      <c r="J1593" s="14" t="s">
        <v>798</v>
      </c>
      <c r="K1593" s="15" t="s">
        <v>798</v>
      </c>
      <c r="L1593" s="12" t="s">
        <v>5315</v>
      </c>
      <c r="M1593" s="13" t="s">
        <v>5422</v>
      </c>
      <c r="N1593" s="12" t="s">
        <v>803</v>
      </c>
      <c r="O1593" s="13" t="s">
        <v>4922</v>
      </c>
      <c r="P1593" s="17" t="s">
        <v>802</v>
      </c>
      <c r="Q1593" s="21" t="s">
        <v>7988</v>
      </c>
      <c r="R1593" s="17" t="s">
        <v>801</v>
      </c>
      <c r="S1593" s="18" t="s">
        <v>2559</v>
      </c>
      <c r="T1593" s="17" t="s">
        <v>800</v>
      </c>
      <c r="U1593" s="18" t="s">
        <v>5234</v>
      </c>
      <c r="V1593" s="17" t="s">
        <v>9418</v>
      </c>
      <c r="W1593" s="18" t="s">
        <v>5309</v>
      </c>
      <c r="X1593" s="69" t="s">
        <v>9453</v>
      </c>
      <c r="Y1593" s="70" t="s">
        <v>9462</v>
      </c>
      <c r="Z1593" s="73" t="s">
        <v>9486</v>
      </c>
      <c r="AA1593" s="74" t="s">
        <v>9504</v>
      </c>
      <c r="AB1593" s="73" t="s">
        <v>9486</v>
      </c>
      <c r="AC1593" s="74" t="s">
        <v>9562</v>
      </c>
      <c r="AD1593" s="73" t="s">
        <v>9578</v>
      </c>
      <c r="AE1593" s="74" t="s">
        <v>9579</v>
      </c>
    </row>
    <row r="1594" spans="1:31" ht="8.65" customHeight="1" x14ac:dyDescent="0.2">
      <c r="A1594" s="76">
        <v>1594</v>
      </c>
      <c r="B1594" s="67" t="str">
        <f>MID(C1594, FIND("Ifc.", C1594) + 4, 4) &amp; "_" &amp; TEXT(COUNTIF($C$2:C1594, C1594),"0000")</f>
        <v>Prop_1593</v>
      </c>
      <c r="C1594" s="24" t="s">
        <v>872</v>
      </c>
      <c r="D1594" s="69" t="s">
        <v>9453</v>
      </c>
      <c r="E1594" s="70" t="s">
        <v>9454</v>
      </c>
      <c r="F1594" s="17" t="s">
        <v>806</v>
      </c>
      <c r="G1594" s="22" t="s">
        <v>909</v>
      </c>
      <c r="H1594" s="12" t="s">
        <v>9703</v>
      </c>
      <c r="I1594" s="13" t="s">
        <v>6069</v>
      </c>
      <c r="J1594" s="14" t="s">
        <v>798</v>
      </c>
      <c r="K1594" s="15" t="s">
        <v>798</v>
      </c>
      <c r="L1594" s="12" t="s">
        <v>5315</v>
      </c>
      <c r="M1594" s="13" t="s">
        <v>6030</v>
      </c>
      <c r="N1594" s="12" t="s">
        <v>803</v>
      </c>
      <c r="O1594" s="13" t="s">
        <v>4830</v>
      </c>
      <c r="P1594" s="17" t="s">
        <v>802</v>
      </c>
      <c r="Q1594" s="21" t="s">
        <v>8034</v>
      </c>
      <c r="R1594" s="17" t="s">
        <v>801</v>
      </c>
      <c r="S1594" s="18" t="s">
        <v>2559</v>
      </c>
      <c r="T1594" s="17" t="s">
        <v>800</v>
      </c>
      <c r="U1594" s="18" t="s">
        <v>5234</v>
      </c>
      <c r="V1594" s="17" t="s">
        <v>9418</v>
      </c>
      <c r="W1594" s="18" t="s">
        <v>5309</v>
      </c>
      <c r="X1594" s="69" t="s">
        <v>9453</v>
      </c>
      <c r="Y1594" s="70" t="s">
        <v>9462</v>
      </c>
      <c r="Z1594" s="73" t="s">
        <v>9486</v>
      </c>
      <c r="AA1594" s="74" t="s">
        <v>9504</v>
      </c>
      <c r="AB1594" s="73" t="s">
        <v>9486</v>
      </c>
      <c r="AC1594" s="74" t="s">
        <v>9562</v>
      </c>
      <c r="AD1594" s="73" t="s">
        <v>9578</v>
      </c>
      <c r="AE1594" s="74" t="s">
        <v>9579</v>
      </c>
    </row>
    <row r="1595" spans="1:31" ht="8.65" customHeight="1" x14ac:dyDescent="0.2">
      <c r="A1595" s="76">
        <v>1595</v>
      </c>
      <c r="B1595" s="67" t="str">
        <f>MID(C1595, FIND("Ifc.", C1595) + 4, 4) &amp; "_" &amp; TEXT(COUNTIF($C$2:C1595, C1595),"0000")</f>
        <v>Prop_1594</v>
      </c>
      <c r="C1595" s="24" t="s">
        <v>872</v>
      </c>
      <c r="D1595" s="69" t="s">
        <v>9453</v>
      </c>
      <c r="E1595" s="70" t="s">
        <v>9454</v>
      </c>
      <c r="F1595" s="17" t="s">
        <v>806</v>
      </c>
      <c r="G1595" s="22" t="s">
        <v>909</v>
      </c>
      <c r="H1595" s="12" t="s">
        <v>9703</v>
      </c>
      <c r="I1595" s="13" t="s">
        <v>6069</v>
      </c>
      <c r="J1595" s="14" t="s">
        <v>798</v>
      </c>
      <c r="K1595" s="15" t="s">
        <v>798</v>
      </c>
      <c r="L1595" s="12" t="s">
        <v>5315</v>
      </c>
      <c r="M1595" s="13" t="s">
        <v>5428</v>
      </c>
      <c r="N1595" s="12" t="s">
        <v>803</v>
      </c>
      <c r="O1595" s="13" t="s">
        <v>4926</v>
      </c>
      <c r="P1595" s="17" t="s">
        <v>802</v>
      </c>
      <c r="Q1595" s="21" t="s">
        <v>8035</v>
      </c>
      <c r="R1595" s="17" t="s">
        <v>801</v>
      </c>
      <c r="S1595" s="18" t="s">
        <v>2559</v>
      </c>
      <c r="T1595" s="17" t="s">
        <v>800</v>
      </c>
      <c r="U1595" s="18" t="s">
        <v>5234</v>
      </c>
      <c r="V1595" s="17" t="s">
        <v>9418</v>
      </c>
      <c r="W1595" s="18" t="s">
        <v>5309</v>
      </c>
      <c r="X1595" s="69" t="s">
        <v>9453</v>
      </c>
      <c r="Y1595" s="70" t="s">
        <v>9462</v>
      </c>
      <c r="Z1595" s="73" t="s">
        <v>9486</v>
      </c>
      <c r="AA1595" s="74" t="s">
        <v>9504</v>
      </c>
      <c r="AB1595" s="73" t="s">
        <v>9486</v>
      </c>
      <c r="AC1595" s="74" t="s">
        <v>9562</v>
      </c>
      <c r="AD1595" s="73" t="s">
        <v>9578</v>
      </c>
      <c r="AE1595" s="74" t="s">
        <v>9579</v>
      </c>
    </row>
    <row r="1596" spans="1:31" ht="8.65" customHeight="1" x14ac:dyDescent="0.2">
      <c r="A1596" s="76">
        <v>1596</v>
      </c>
      <c r="B1596" s="67" t="str">
        <f>MID(C1596, FIND("Ifc.", C1596) + 4, 4) &amp; "_" &amp; TEXT(COUNTIF($C$2:C1596, C1596),"0000")</f>
        <v>Prop_1595</v>
      </c>
      <c r="C1596" s="24" t="s">
        <v>872</v>
      </c>
      <c r="D1596" s="69" t="s">
        <v>9453</v>
      </c>
      <c r="E1596" s="70" t="s">
        <v>9454</v>
      </c>
      <c r="F1596" s="17" t="s">
        <v>806</v>
      </c>
      <c r="G1596" s="22" t="s">
        <v>909</v>
      </c>
      <c r="H1596" s="12" t="s">
        <v>9703</v>
      </c>
      <c r="I1596" s="13" t="s">
        <v>6069</v>
      </c>
      <c r="J1596" s="14" t="s">
        <v>798</v>
      </c>
      <c r="K1596" s="15" t="s">
        <v>798</v>
      </c>
      <c r="L1596" s="12" t="s">
        <v>5315</v>
      </c>
      <c r="M1596" s="13" t="s">
        <v>6054</v>
      </c>
      <c r="N1596" s="12" t="s">
        <v>803</v>
      </c>
      <c r="O1596" s="13" t="s">
        <v>4927</v>
      </c>
      <c r="P1596" s="17" t="s">
        <v>802</v>
      </c>
      <c r="Q1596" s="21" t="s">
        <v>7686</v>
      </c>
      <c r="R1596" s="17" t="s">
        <v>801</v>
      </c>
      <c r="S1596" s="18" t="s">
        <v>2559</v>
      </c>
      <c r="T1596" s="17" t="s">
        <v>800</v>
      </c>
      <c r="U1596" s="18" t="s">
        <v>5234</v>
      </c>
      <c r="V1596" s="17" t="s">
        <v>9418</v>
      </c>
      <c r="W1596" s="18" t="s">
        <v>5309</v>
      </c>
      <c r="X1596" s="69" t="s">
        <v>9453</v>
      </c>
      <c r="Y1596" s="70" t="s">
        <v>9462</v>
      </c>
      <c r="Z1596" s="73" t="s">
        <v>9486</v>
      </c>
      <c r="AA1596" s="74" t="s">
        <v>9504</v>
      </c>
      <c r="AB1596" s="73" t="s">
        <v>9486</v>
      </c>
      <c r="AC1596" s="74" t="s">
        <v>9562</v>
      </c>
      <c r="AD1596" s="73" t="s">
        <v>9578</v>
      </c>
      <c r="AE1596" s="74" t="s">
        <v>9579</v>
      </c>
    </row>
    <row r="1597" spans="1:31" ht="8.65" customHeight="1" x14ac:dyDescent="0.2">
      <c r="A1597" s="76">
        <v>1597</v>
      </c>
      <c r="B1597" s="67" t="str">
        <f>MID(C1597, FIND("Ifc.", C1597) + 4, 4) &amp; "_" &amp; TEXT(COUNTIF($C$2:C1597, C1597),"0000")</f>
        <v>Prop_1596</v>
      </c>
      <c r="C1597" s="24" t="s">
        <v>872</v>
      </c>
      <c r="D1597" s="69" t="s">
        <v>9453</v>
      </c>
      <c r="E1597" s="70" t="s">
        <v>9454</v>
      </c>
      <c r="F1597" s="17" t="s">
        <v>806</v>
      </c>
      <c r="G1597" s="22" t="s">
        <v>909</v>
      </c>
      <c r="H1597" s="12" t="s">
        <v>9703</v>
      </c>
      <c r="I1597" s="13" t="s">
        <v>6069</v>
      </c>
      <c r="J1597" s="14" t="s">
        <v>798</v>
      </c>
      <c r="K1597" s="15" t="s">
        <v>798</v>
      </c>
      <c r="L1597" s="12" t="s">
        <v>5315</v>
      </c>
      <c r="M1597" s="13" t="s">
        <v>6059</v>
      </c>
      <c r="N1597" s="12" t="s">
        <v>803</v>
      </c>
      <c r="O1597" s="13" t="s">
        <v>4928</v>
      </c>
      <c r="P1597" s="17" t="s">
        <v>802</v>
      </c>
      <c r="Q1597" s="21" t="s">
        <v>7706</v>
      </c>
      <c r="R1597" s="17" t="s">
        <v>801</v>
      </c>
      <c r="S1597" s="18" t="s">
        <v>2559</v>
      </c>
      <c r="T1597" s="17" t="s">
        <v>800</v>
      </c>
      <c r="U1597" s="18" t="s">
        <v>5234</v>
      </c>
      <c r="V1597" s="17" t="s">
        <v>9418</v>
      </c>
      <c r="W1597" s="18" t="s">
        <v>5309</v>
      </c>
      <c r="X1597" s="69" t="s">
        <v>9453</v>
      </c>
      <c r="Y1597" s="70" t="s">
        <v>9462</v>
      </c>
      <c r="Z1597" s="73" t="s">
        <v>9486</v>
      </c>
      <c r="AA1597" s="74" t="s">
        <v>9504</v>
      </c>
      <c r="AB1597" s="73" t="s">
        <v>9486</v>
      </c>
      <c r="AC1597" s="74" t="s">
        <v>9562</v>
      </c>
      <c r="AD1597" s="73" t="s">
        <v>9578</v>
      </c>
      <c r="AE1597" s="74" t="s">
        <v>9579</v>
      </c>
    </row>
    <row r="1598" spans="1:31" ht="8.65" customHeight="1" x14ac:dyDescent="0.2">
      <c r="A1598" s="76">
        <v>1598</v>
      </c>
      <c r="B1598" s="67" t="str">
        <f>MID(C1598, FIND("Ifc.", C1598) + 4, 4) &amp; "_" &amp; TEXT(COUNTIF($C$2:C1598, C1598),"0000")</f>
        <v>Prop_1597</v>
      </c>
      <c r="C1598" s="24" t="s">
        <v>872</v>
      </c>
      <c r="D1598" s="69" t="s">
        <v>9453</v>
      </c>
      <c r="E1598" s="70" t="s">
        <v>9454</v>
      </c>
      <c r="F1598" s="17" t="s">
        <v>806</v>
      </c>
      <c r="G1598" s="22" t="s">
        <v>909</v>
      </c>
      <c r="H1598" s="12" t="s">
        <v>9703</v>
      </c>
      <c r="I1598" s="13" t="s">
        <v>6069</v>
      </c>
      <c r="J1598" s="14" t="s">
        <v>798</v>
      </c>
      <c r="K1598" s="15" t="s">
        <v>798</v>
      </c>
      <c r="L1598" s="12" t="s">
        <v>5315</v>
      </c>
      <c r="M1598" s="13" t="s">
        <v>5429</v>
      </c>
      <c r="N1598" s="12" t="s">
        <v>803</v>
      </c>
      <c r="O1598" s="13" t="s">
        <v>4816</v>
      </c>
      <c r="P1598" s="17" t="s">
        <v>802</v>
      </c>
      <c r="Q1598" s="21" t="s">
        <v>7684</v>
      </c>
      <c r="R1598" s="17" t="s">
        <v>801</v>
      </c>
      <c r="S1598" s="18" t="s">
        <v>2559</v>
      </c>
      <c r="T1598" s="17" t="s">
        <v>800</v>
      </c>
      <c r="U1598" s="18" t="s">
        <v>5234</v>
      </c>
      <c r="V1598" s="17" t="s">
        <v>9418</v>
      </c>
      <c r="W1598" s="18" t="s">
        <v>5309</v>
      </c>
      <c r="X1598" s="69" t="s">
        <v>9453</v>
      </c>
      <c r="Y1598" s="70" t="s">
        <v>9462</v>
      </c>
      <c r="Z1598" s="73" t="s">
        <v>9486</v>
      </c>
      <c r="AA1598" s="74" t="s">
        <v>9504</v>
      </c>
      <c r="AB1598" s="73" t="s">
        <v>9486</v>
      </c>
      <c r="AC1598" s="74" t="s">
        <v>9562</v>
      </c>
      <c r="AD1598" s="73" t="s">
        <v>9578</v>
      </c>
      <c r="AE1598" s="74" t="s">
        <v>9579</v>
      </c>
    </row>
    <row r="1599" spans="1:31" ht="8.65" customHeight="1" x14ac:dyDescent="0.2">
      <c r="A1599" s="76">
        <v>1599</v>
      </c>
      <c r="B1599" s="67" t="str">
        <f>MID(C1599, FIND("Ifc.", C1599) + 4, 4) &amp; "_" &amp; TEXT(COUNTIF($C$2:C1599, C1599),"0000")</f>
        <v>Prop_1598</v>
      </c>
      <c r="C1599" s="24" t="s">
        <v>872</v>
      </c>
      <c r="D1599" s="69" t="s">
        <v>9453</v>
      </c>
      <c r="E1599" s="70" t="s">
        <v>9454</v>
      </c>
      <c r="F1599" s="17" t="s">
        <v>806</v>
      </c>
      <c r="G1599" s="22" t="s">
        <v>909</v>
      </c>
      <c r="H1599" s="12" t="s">
        <v>9703</v>
      </c>
      <c r="I1599" s="13" t="s">
        <v>6069</v>
      </c>
      <c r="J1599" s="14" t="s">
        <v>798</v>
      </c>
      <c r="K1599" s="15" t="s">
        <v>798</v>
      </c>
      <c r="L1599" s="12" t="s">
        <v>5315</v>
      </c>
      <c r="M1599" s="13" t="s">
        <v>5430</v>
      </c>
      <c r="N1599" s="12" t="s">
        <v>803</v>
      </c>
      <c r="O1599" s="13" t="s">
        <v>4929</v>
      </c>
      <c r="P1599" s="17" t="s">
        <v>802</v>
      </c>
      <c r="Q1599" s="21" t="s">
        <v>7804</v>
      </c>
      <c r="R1599" s="17" t="s">
        <v>801</v>
      </c>
      <c r="S1599" s="18" t="s">
        <v>2559</v>
      </c>
      <c r="T1599" s="17" t="s">
        <v>800</v>
      </c>
      <c r="U1599" s="18" t="s">
        <v>5234</v>
      </c>
      <c r="V1599" s="17" t="s">
        <v>9418</v>
      </c>
      <c r="W1599" s="18" t="s">
        <v>5309</v>
      </c>
      <c r="X1599" s="69" t="s">
        <v>9453</v>
      </c>
      <c r="Y1599" s="70" t="s">
        <v>9462</v>
      </c>
      <c r="Z1599" s="73" t="s">
        <v>9486</v>
      </c>
      <c r="AA1599" s="74" t="s">
        <v>9504</v>
      </c>
      <c r="AB1599" s="73" t="s">
        <v>9486</v>
      </c>
      <c r="AC1599" s="74" t="s">
        <v>9562</v>
      </c>
      <c r="AD1599" s="73" t="s">
        <v>9578</v>
      </c>
      <c r="AE1599" s="74" t="s">
        <v>9579</v>
      </c>
    </row>
    <row r="1600" spans="1:31" ht="8.65" customHeight="1" x14ac:dyDescent="0.2">
      <c r="A1600" s="76">
        <v>1600</v>
      </c>
      <c r="B1600" s="67" t="str">
        <f>MID(C1600, FIND("Ifc.", C1600) + 4, 4) &amp; "_" &amp; TEXT(COUNTIF($C$2:C1600, C1600),"0000")</f>
        <v>Prop_1599</v>
      </c>
      <c r="C1600" s="24" t="s">
        <v>872</v>
      </c>
      <c r="D1600" s="69" t="s">
        <v>9453</v>
      </c>
      <c r="E1600" s="70" t="s">
        <v>9454</v>
      </c>
      <c r="F1600" s="17" t="s">
        <v>806</v>
      </c>
      <c r="G1600" s="22" t="s">
        <v>909</v>
      </c>
      <c r="H1600" s="12" t="s">
        <v>9703</v>
      </c>
      <c r="I1600" s="13" t="s">
        <v>6069</v>
      </c>
      <c r="J1600" s="14" t="s">
        <v>798</v>
      </c>
      <c r="K1600" s="15" t="s">
        <v>798</v>
      </c>
      <c r="L1600" s="12" t="s">
        <v>5315</v>
      </c>
      <c r="M1600" s="13" t="s">
        <v>5432</v>
      </c>
      <c r="N1600" s="12" t="s">
        <v>803</v>
      </c>
      <c r="O1600" s="13" t="s">
        <v>4931</v>
      </c>
      <c r="P1600" s="17" t="s">
        <v>802</v>
      </c>
      <c r="Q1600" s="21" t="s">
        <v>7760</v>
      </c>
      <c r="R1600" s="17" t="s">
        <v>801</v>
      </c>
      <c r="S1600" s="18" t="s">
        <v>2559</v>
      </c>
      <c r="T1600" s="17" t="s">
        <v>800</v>
      </c>
      <c r="U1600" s="18" t="s">
        <v>5234</v>
      </c>
      <c r="V1600" s="17" t="s">
        <v>9418</v>
      </c>
      <c r="W1600" s="18" t="s">
        <v>5309</v>
      </c>
      <c r="X1600" s="69" t="s">
        <v>9453</v>
      </c>
      <c r="Y1600" s="70" t="s">
        <v>9462</v>
      </c>
      <c r="Z1600" s="73" t="s">
        <v>9486</v>
      </c>
      <c r="AA1600" s="74" t="s">
        <v>9504</v>
      </c>
      <c r="AB1600" s="73" t="s">
        <v>9486</v>
      </c>
      <c r="AC1600" s="74" t="s">
        <v>9562</v>
      </c>
      <c r="AD1600" s="73" t="s">
        <v>9578</v>
      </c>
      <c r="AE1600" s="74" t="s">
        <v>9579</v>
      </c>
    </row>
    <row r="1601" spans="1:31" ht="8.65" customHeight="1" x14ac:dyDescent="0.2">
      <c r="A1601" s="76">
        <v>1601</v>
      </c>
      <c r="B1601" s="67" t="str">
        <f>MID(C1601, FIND("Ifc.", C1601) + 4, 4) &amp; "_" &amp; TEXT(COUNTIF($C$2:C1601, C1601),"0000")</f>
        <v>Prop_1600</v>
      </c>
      <c r="C1601" s="24" t="s">
        <v>872</v>
      </c>
      <c r="D1601" s="69" t="s">
        <v>9453</v>
      </c>
      <c r="E1601" s="70" t="s">
        <v>9454</v>
      </c>
      <c r="F1601" s="17" t="s">
        <v>806</v>
      </c>
      <c r="G1601" s="22" t="s">
        <v>909</v>
      </c>
      <c r="H1601" s="12" t="s">
        <v>9703</v>
      </c>
      <c r="I1601" s="13" t="s">
        <v>6069</v>
      </c>
      <c r="J1601" s="14" t="s">
        <v>798</v>
      </c>
      <c r="K1601" s="15" t="s">
        <v>798</v>
      </c>
      <c r="L1601" s="12" t="s">
        <v>5315</v>
      </c>
      <c r="M1601" s="13" t="s">
        <v>5436</v>
      </c>
      <c r="N1601" s="12" t="s">
        <v>803</v>
      </c>
      <c r="O1601" s="13" t="s">
        <v>4936</v>
      </c>
      <c r="P1601" s="17" t="s">
        <v>802</v>
      </c>
      <c r="Q1601" s="21" t="s">
        <v>7931</v>
      </c>
      <c r="R1601" s="17" t="s">
        <v>801</v>
      </c>
      <c r="S1601" s="18" t="s">
        <v>2559</v>
      </c>
      <c r="T1601" s="17" t="s">
        <v>800</v>
      </c>
      <c r="U1601" s="18" t="s">
        <v>5234</v>
      </c>
      <c r="V1601" s="17" t="s">
        <v>9418</v>
      </c>
      <c r="W1601" s="18" t="s">
        <v>5309</v>
      </c>
      <c r="X1601" s="69" t="s">
        <v>9453</v>
      </c>
      <c r="Y1601" s="70" t="s">
        <v>9462</v>
      </c>
      <c r="Z1601" s="73" t="s">
        <v>9486</v>
      </c>
      <c r="AA1601" s="74" t="s">
        <v>9504</v>
      </c>
      <c r="AB1601" s="73" t="s">
        <v>9486</v>
      </c>
      <c r="AC1601" s="74" t="s">
        <v>9562</v>
      </c>
      <c r="AD1601" s="73" t="s">
        <v>9578</v>
      </c>
      <c r="AE1601" s="74" t="s">
        <v>9579</v>
      </c>
    </row>
    <row r="1602" spans="1:31" ht="8.65" customHeight="1" x14ac:dyDescent="0.2">
      <c r="A1602" s="76">
        <v>1602</v>
      </c>
      <c r="B1602" s="67" t="str">
        <f>MID(C1602, FIND("Ifc.", C1602) + 4, 4) &amp; "_" &amp; TEXT(COUNTIF($C$2:C1602, C1602),"0000")</f>
        <v>Prop_1601</v>
      </c>
      <c r="C1602" s="24" t="s">
        <v>872</v>
      </c>
      <c r="D1602" s="69" t="s">
        <v>9453</v>
      </c>
      <c r="E1602" s="70" t="s">
        <v>9454</v>
      </c>
      <c r="F1602" s="17" t="s">
        <v>806</v>
      </c>
      <c r="G1602" s="22" t="s">
        <v>909</v>
      </c>
      <c r="H1602" s="12" t="s">
        <v>9703</v>
      </c>
      <c r="I1602" s="13" t="s">
        <v>6069</v>
      </c>
      <c r="J1602" s="14" t="s">
        <v>798</v>
      </c>
      <c r="K1602" s="15" t="s">
        <v>798</v>
      </c>
      <c r="L1602" s="12" t="s">
        <v>5315</v>
      </c>
      <c r="M1602" s="13" t="s">
        <v>5442</v>
      </c>
      <c r="N1602" s="12" t="s">
        <v>803</v>
      </c>
      <c r="O1602" s="13" t="s">
        <v>4951</v>
      </c>
      <c r="P1602" s="17" t="s">
        <v>802</v>
      </c>
      <c r="Q1602" s="21" t="s">
        <v>7805</v>
      </c>
      <c r="R1602" s="17" t="s">
        <v>801</v>
      </c>
      <c r="S1602" s="18" t="s">
        <v>2559</v>
      </c>
      <c r="T1602" s="17" t="s">
        <v>800</v>
      </c>
      <c r="U1602" s="18" t="s">
        <v>5234</v>
      </c>
      <c r="V1602" s="17" t="s">
        <v>9418</v>
      </c>
      <c r="W1602" s="18" t="s">
        <v>5309</v>
      </c>
      <c r="X1602" s="69" t="s">
        <v>9453</v>
      </c>
      <c r="Y1602" s="70" t="s">
        <v>9462</v>
      </c>
      <c r="Z1602" s="73" t="s">
        <v>9486</v>
      </c>
      <c r="AA1602" s="74" t="s">
        <v>9504</v>
      </c>
      <c r="AB1602" s="73" t="s">
        <v>9486</v>
      </c>
      <c r="AC1602" s="74" t="s">
        <v>9562</v>
      </c>
      <c r="AD1602" s="73" t="s">
        <v>9578</v>
      </c>
      <c r="AE1602" s="74" t="s">
        <v>9579</v>
      </c>
    </row>
    <row r="1603" spans="1:31" ht="8.65" customHeight="1" x14ac:dyDescent="0.2">
      <c r="A1603" s="76">
        <v>1603</v>
      </c>
      <c r="B1603" s="67" t="str">
        <f>MID(C1603, FIND("Ifc.", C1603) + 4, 4) &amp; "_" &amp; TEXT(COUNTIF($C$2:C1603, C1603),"0000")</f>
        <v>Prop_1602</v>
      </c>
      <c r="C1603" s="24" t="s">
        <v>872</v>
      </c>
      <c r="D1603" s="69" t="s">
        <v>9453</v>
      </c>
      <c r="E1603" s="70" t="s">
        <v>9454</v>
      </c>
      <c r="F1603" s="17" t="s">
        <v>806</v>
      </c>
      <c r="G1603" s="22" t="s">
        <v>909</v>
      </c>
      <c r="H1603" s="12" t="s">
        <v>9703</v>
      </c>
      <c r="I1603" s="13" t="s">
        <v>6069</v>
      </c>
      <c r="J1603" s="14" t="s">
        <v>798</v>
      </c>
      <c r="K1603" s="15" t="s">
        <v>798</v>
      </c>
      <c r="L1603" s="12" t="s">
        <v>5315</v>
      </c>
      <c r="M1603" s="13" t="s">
        <v>5447</v>
      </c>
      <c r="N1603" s="12" t="s">
        <v>803</v>
      </c>
      <c r="O1603" s="13" t="s">
        <v>4954</v>
      </c>
      <c r="P1603" s="17" t="s">
        <v>802</v>
      </c>
      <c r="Q1603" s="21" t="s">
        <v>7955</v>
      </c>
      <c r="R1603" s="17" t="s">
        <v>801</v>
      </c>
      <c r="S1603" s="18" t="s">
        <v>2559</v>
      </c>
      <c r="T1603" s="17" t="s">
        <v>800</v>
      </c>
      <c r="U1603" s="18" t="s">
        <v>5234</v>
      </c>
      <c r="V1603" s="17" t="s">
        <v>9418</v>
      </c>
      <c r="W1603" s="18" t="s">
        <v>5309</v>
      </c>
      <c r="X1603" s="69" t="s">
        <v>9453</v>
      </c>
      <c r="Y1603" s="70" t="s">
        <v>9462</v>
      </c>
      <c r="Z1603" s="73" t="s">
        <v>9486</v>
      </c>
      <c r="AA1603" s="74" t="s">
        <v>9504</v>
      </c>
      <c r="AB1603" s="73" t="s">
        <v>9486</v>
      </c>
      <c r="AC1603" s="74" t="s">
        <v>9562</v>
      </c>
      <c r="AD1603" s="73" t="s">
        <v>9578</v>
      </c>
      <c r="AE1603" s="74" t="s">
        <v>9579</v>
      </c>
    </row>
    <row r="1604" spans="1:31" ht="8.65" customHeight="1" x14ac:dyDescent="0.2">
      <c r="A1604" s="76">
        <v>1604</v>
      </c>
      <c r="B1604" s="67" t="str">
        <f>MID(C1604, FIND("Ifc.", C1604) + 4, 4) &amp; "_" &amp; TEXT(COUNTIF($C$2:C1604, C1604),"0000")</f>
        <v>Prop_1603</v>
      </c>
      <c r="C1604" s="24" t="s">
        <v>872</v>
      </c>
      <c r="D1604" s="69" t="s">
        <v>9453</v>
      </c>
      <c r="E1604" s="70" t="s">
        <v>9454</v>
      </c>
      <c r="F1604" s="17" t="s">
        <v>806</v>
      </c>
      <c r="G1604" s="22" t="s">
        <v>909</v>
      </c>
      <c r="H1604" s="12" t="s">
        <v>9703</v>
      </c>
      <c r="I1604" s="13" t="s">
        <v>6069</v>
      </c>
      <c r="J1604" s="14" t="s">
        <v>798</v>
      </c>
      <c r="K1604" s="15" t="s">
        <v>798</v>
      </c>
      <c r="L1604" s="12" t="s">
        <v>5315</v>
      </c>
      <c r="M1604" s="13" t="s">
        <v>5929</v>
      </c>
      <c r="N1604" s="12" t="s">
        <v>803</v>
      </c>
      <c r="O1604" s="13" t="s">
        <v>5002</v>
      </c>
      <c r="P1604" s="17" t="s">
        <v>802</v>
      </c>
      <c r="Q1604" s="21" t="s">
        <v>7884</v>
      </c>
      <c r="R1604" s="17" t="s">
        <v>801</v>
      </c>
      <c r="S1604" s="18" t="s">
        <v>2554</v>
      </c>
      <c r="T1604" s="17" t="s">
        <v>800</v>
      </c>
      <c r="U1604" s="18" t="s">
        <v>5233</v>
      </c>
      <c r="V1604" s="17" t="s">
        <v>9418</v>
      </c>
      <c r="W1604" s="18" t="s">
        <v>5309</v>
      </c>
      <c r="X1604" s="69" t="s">
        <v>9453</v>
      </c>
      <c r="Y1604" s="70" t="s">
        <v>9462</v>
      </c>
      <c r="Z1604" s="73" t="s">
        <v>9486</v>
      </c>
      <c r="AA1604" s="74" t="s">
        <v>9504</v>
      </c>
      <c r="AB1604" s="73" t="s">
        <v>9486</v>
      </c>
      <c r="AC1604" s="74" t="s">
        <v>9562</v>
      </c>
      <c r="AD1604" s="73" t="s">
        <v>9578</v>
      </c>
      <c r="AE1604" s="74" t="s">
        <v>9579</v>
      </c>
    </row>
    <row r="1605" spans="1:31" ht="8.65" customHeight="1" x14ac:dyDescent="0.2">
      <c r="A1605" s="76">
        <v>1605</v>
      </c>
      <c r="B1605" s="67" t="str">
        <f>MID(C1605, FIND("Ifc.", C1605) + 4, 4) &amp; "_" &amp; TEXT(COUNTIF($C$2:C1605, C1605),"0000")</f>
        <v>Prop_1604</v>
      </c>
      <c r="C1605" s="24" t="s">
        <v>872</v>
      </c>
      <c r="D1605" s="69" t="s">
        <v>9453</v>
      </c>
      <c r="E1605" s="70" t="s">
        <v>9454</v>
      </c>
      <c r="F1605" s="17" t="s">
        <v>806</v>
      </c>
      <c r="G1605" s="22" t="s">
        <v>909</v>
      </c>
      <c r="H1605" s="12" t="s">
        <v>9703</v>
      </c>
      <c r="I1605" s="13" t="s">
        <v>6069</v>
      </c>
      <c r="J1605" s="14" t="s">
        <v>798</v>
      </c>
      <c r="K1605" s="15" t="s">
        <v>798</v>
      </c>
      <c r="L1605" s="12" t="s">
        <v>5315</v>
      </c>
      <c r="M1605" s="13" t="s">
        <v>5901</v>
      </c>
      <c r="N1605" s="12" t="s">
        <v>803</v>
      </c>
      <c r="O1605" s="13" t="s">
        <v>4999</v>
      </c>
      <c r="P1605" s="17" t="s">
        <v>802</v>
      </c>
      <c r="Q1605" s="21" t="s">
        <v>7775</v>
      </c>
      <c r="R1605" s="17" t="s">
        <v>801</v>
      </c>
      <c r="S1605" s="18" t="s">
        <v>2554</v>
      </c>
      <c r="T1605" s="17" t="s">
        <v>800</v>
      </c>
      <c r="U1605" s="18" t="s">
        <v>5233</v>
      </c>
      <c r="V1605" s="17" t="s">
        <v>9418</v>
      </c>
      <c r="W1605" s="18" t="s">
        <v>5309</v>
      </c>
      <c r="X1605" s="69" t="s">
        <v>9453</v>
      </c>
      <c r="Y1605" s="70" t="s">
        <v>9462</v>
      </c>
      <c r="Z1605" s="73" t="s">
        <v>9486</v>
      </c>
      <c r="AA1605" s="74" t="s">
        <v>9504</v>
      </c>
      <c r="AB1605" s="73" t="s">
        <v>9486</v>
      </c>
      <c r="AC1605" s="74" t="s">
        <v>9562</v>
      </c>
      <c r="AD1605" s="73" t="s">
        <v>9578</v>
      </c>
      <c r="AE1605" s="74" t="s">
        <v>9579</v>
      </c>
    </row>
    <row r="1606" spans="1:31" ht="8.65" customHeight="1" x14ac:dyDescent="0.2">
      <c r="A1606" s="76">
        <v>1606</v>
      </c>
      <c r="B1606" s="67" t="str">
        <f>MID(C1606, FIND("Ifc.", C1606) + 4, 4) &amp; "_" &amp; TEXT(COUNTIF($C$2:C1606, C1606),"0000")</f>
        <v>Prop_1605</v>
      </c>
      <c r="C1606" s="24" t="s">
        <v>872</v>
      </c>
      <c r="D1606" s="69" t="s">
        <v>9453</v>
      </c>
      <c r="E1606" s="70" t="s">
        <v>9454</v>
      </c>
      <c r="F1606" s="17" t="s">
        <v>806</v>
      </c>
      <c r="G1606" s="22" t="s">
        <v>909</v>
      </c>
      <c r="H1606" s="12" t="s">
        <v>9703</v>
      </c>
      <c r="I1606" s="13" t="s">
        <v>6069</v>
      </c>
      <c r="J1606" s="14" t="s">
        <v>798</v>
      </c>
      <c r="K1606" s="15" t="s">
        <v>798</v>
      </c>
      <c r="L1606" s="12" t="s">
        <v>5315</v>
      </c>
      <c r="M1606" s="13" t="s">
        <v>5930</v>
      </c>
      <c r="N1606" s="12" t="s">
        <v>803</v>
      </c>
      <c r="O1606" s="13" t="s">
        <v>5003</v>
      </c>
      <c r="P1606" s="17" t="s">
        <v>802</v>
      </c>
      <c r="Q1606" s="21" t="s">
        <v>7925</v>
      </c>
      <c r="R1606" s="17" t="s">
        <v>801</v>
      </c>
      <c r="S1606" s="18" t="s">
        <v>2554</v>
      </c>
      <c r="T1606" s="17" t="s">
        <v>800</v>
      </c>
      <c r="U1606" s="18" t="s">
        <v>5233</v>
      </c>
      <c r="V1606" s="17" t="s">
        <v>9418</v>
      </c>
      <c r="W1606" s="18" t="s">
        <v>5309</v>
      </c>
      <c r="X1606" s="69" t="s">
        <v>9453</v>
      </c>
      <c r="Y1606" s="70" t="s">
        <v>9462</v>
      </c>
      <c r="Z1606" s="73" t="s">
        <v>9486</v>
      </c>
      <c r="AA1606" s="74" t="s">
        <v>9504</v>
      </c>
      <c r="AB1606" s="73" t="s">
        <v>9486</v>
      </c>
      <c r="AC1606" s="74" t="s">
        <v>9562</v>
      </c>
      <c r="AD1606" s="73" t="s">
        <v>9578</v>
      </c>
      <c r="AE1606" s="74" t="s">
        <v>9579</v>
      </c>
    </row>
    <row r="1607" spans="1:31" ht="8.65" customHeight="1" x14ac:dyDescent="0.2">
      <c r="A1607" s="76">
        <v>1607</v>
      </c>
      <c r="B1607" s="67" t="str">
        <f>MID(C1607, FIND("Ifc.", C1607) + 4, 4) &amp; "_" &amp; TEXT(COUNTIF($C$2:C1607, C1607),"0000")</f>
        <v>Prop_1606</v>
      </c>
      <c r="C1607" s="24" t="s">
        <v>872</v>
      </c>
      <c r="D1607" s="69" t="s">
        <v>9453</v>
      </c>
      <c r="E1607" s="70" t="s">
        <v>9454</v>
      </c>
      <c r="F1607" s="17" t="s">
        <v>806</v>
      </c>
      <c r="G1607" s="22" t="s">
        <v>909</v>
      </c>
      <c r="H1607" s="12" t="s">
        <v>9703</v>
      </c>
      <c r="I1607" s="13" t="s">
        <v>6069</v>
      </c>
      <c r="J1607" s="14" t="s">
        <v>798</v>
      </c>
      <c r="K1607" s="15" t="s">
        <v>798</v>
      </c>
      <c r="L1607" s="12" t="s">
        <v>5315</v>
      </c>
      <c r="M1607" s="13" t="s">
        <v>5928</v>
      </c>
      <c r="N1607" s="12" t="s">
        <v>803</v>
      </c>
      <c r="O1607" s="13" t="s">
        <v>5000</v>
      </c>
      <c r="P1607" s="17" t="s">
        <v>802</v>
      </c>
      <c r="Q1607" s="21" t="s">
        <v>7906</v>
      </c>
      <c r="R1607" s="17" t="s">
        <v>801</v>
      </c>
      <c r="S1607" s="18" t="s">
        <v>2554</v>
      </c>
      <c r="T1607" s="17" t="s">
        <v>800</v>
      </c>
      <c r="U1607" s="18" t="s">
        <v>5233</v>
      </c>
      <c r="V1607" s="17" t="s">
        <v>9418</v>
      </c>
      <c r="W1607" s="18" t="s">
        <v>5309</v>
      </c>
      <c r="X1607" s="69" t="s">
        <v>9453</v>
      </c>
      <c r="Y1607" s="70" t="s">
        <v>9462</v>
      </c>
      <c r="Z1607" s="73" t="s">
        <v>9486</v>
      </c>
      <c r="AA1607" s="74" t="s">
        <v>9504</v>
      </c>
      <c r="AB1607" s="73" t="s">
        <v>9486</v>
      </c>
      <c r="AC1607" s="74" t="s">
        <v>9562</v>
      </c>
      <c r="AD1607" s="73" t="s">
        <v>9578</v>
      </c>
      <c r="AE1607" s="74" t="s">
        <v>9579</v>
      </c>
    </row>
    <row r="1608" spans="1:31" ht="8.65" customHeight="1" x14ac:dyDescent="0.2">
      <c r="A1608" s="76">
        <v>1608</v>
      </c>
      <c r="B1608" s="67" t="str">
        <f>MID(C1608, FIND("Ifc.", C1608) + 4, 4) &amp; "_" &amp; TEXT(COUNTIF($C$2:C1608, C1608),"0000")</f>
        <v>Prop_1607</v>
      </c>
      <c r="C1608" s="24" t="s">
        <v>872</v>
      </c>
      <c r="D1608" s="69" t="s">
        <v>9453</v>
      </c>
      <c r="E1608" s="70" t="s">
        <v>9454</v>
      </c>
      <c r="F1608" s="17" t="s">
        <v>806</v>
      </c>
      <c r="G1608" s="22" t="s">
        <v>909</v>
      </c>
      <c r="H1608" s="12" t="s">
        <v>9703</v>
      </c>
      <c r="I1608" s="13" t="s">
        <v>6069</v>
      </c>
      <c r="J1608" s="14" t="s">
        <v>798</v>
      </c>
      <c r="K1608" s="15" t="s">
        <v>798</v>
      </c>
      <c r="L1608" s="12" t="s">
        <v>5315</v>
      </c>
      <c r="M1608" s="13" t="s">
        <v>5902</v>
      </c>
      <c r="N1608" s="12" t="s">
        <v>803</v>
      </c>
      <c r="O1608" s="13" t="s">
        <v>5001</v>
      </c>
      <c r="P1608" s="17" t="s">
        <v>802</v>
      </c>
      <c r="Q1608" s="21" t="s">
        <v>7926</v>
      </c>
      <c r="R1608" s="17" t="s">
        <v>801</v>
      </c>
      <c r="S1608" s="18" t="s">
        <v>2554</v>
      </c>
      <c r="T1608" s="17" t="s">
        <v>800</v>
      </c>
      <c r="U1608" s="18" t="s">
        <v>5233</v>
      </c>
      <c r="V1608" s="17" t="s">
        <v>9418</v>
      </c>
      <c r="W1608" s="18" t="s">
        <v>5309</v>
      </c>
      <c r="X1608" s="69" t="s">
        <v>9453</v>
      </c>
      <c r="Y1608" s="70" t="s">
        <v>9462</v>
      </c>
      <c r="Z1608" s="73" t="s">
        <v>9486</v>
      </c>
      <c r="AA1608" s="74" t="s">
        <v>9504</v>
      </c>
      <c r="AB1608" s="73" t="s">
        <v>9486</v>
      </c>
      <c r="AC1608" s="74" t="s">
        <v>9562</v>
      </c>
      <c r="AD1608" s="73" t="s">
        <v>9578</v>
      </c>
      <c r="AE1608" s="74" t="s">
        <v>9579</v>
      </c>
    </row>
    <row r="1609" spans="1:31" ht="8.65" customHeight="1" x14ac:dyDescent="0.2">
      <c r="A1609" s="76">
        <v>1609</v>
      </c>
      <c r="B1609" s="67" t="str">
        <f>MID(C1609, FIND("Ifc.", C1609) + 4, 4) &amp; "_" &amp; TEXT(COUNTIF($C$2:C1609, C1609),"0000")</f>
        <v>Prop_1608</v>
      </c>
      <c r="C1609" s="24" t="s">
        <v>872</v>
      </c>
      <c r="D1609" s="69" t="s">
        <v>9453</v>
      </c>
      <c r="E1609" s="70" t="s">
        <v>9454</v>
      </c>
      <c r="F1609" s="17" t="s">
        <v>806</v>
      </c>
      <c r="G1609" s="22" t="s">
        <v>909</v>
      </c>
      <c r="H1609" s="12" t="s">
        <v>9703</v>
      </c>
      <c r="I1609" s="13" t="s">
        <v>6069</v>
      </c>
      <c r="J1609" s="14" t="s">
        <v>798</v>
      </c>
      <c r="K1609" s="15" t="s">
        <v>798</v>
      </c>
      <c r="L1609" s="12" t="s">
        <v>5315</v>
      </c>
      <c r="M1609" s="13" t="s">
        <v>5931</v>
      </c>
      <c r="N1609" s="12" t="s">
        <v>803</v>
      </c>
      <c r="O1609" s="13" t="s">
        <v>5004</v>
      </c>
      <c r="P1609" s="17" t="s">
        <v>802</v>
      </c>
      <c r="Q1609" s="21" t="s">
        <v>7689</v>
      </c>
      <c r="R1609" s="17" t="s">
        <v>801</v>
      </c>
      <c r="S1609" s="18" t="s">
        <v>2559</v>
      </c>
      <c r="T1609" s="17" t="s">
        <v>800</v>
      </c>
      <c r="U1609" s="18" t="s">
        <v>5234</v>
      </c>
      <c r="V1609" s="17" t="s">
        <v>9418</v>
      </c>
      <c r="W1609" s="18" t="s">
        <v>5309</v>
      </c>
      <c r="X1609" s="69" t="s">
        <v>9453</v>
      </c>
      <c r="Y1609" s="70" t="s">
        <v>9462</v>
      </c>
      <c r="Z1609" s="73" t="s">
        <v>9486</v>
      </c>
      <c r="AA1609" s="74" t="s">
        <v>9504</v>
      </c>
      <c r="AB1609" s="73" t="s">
        <v>9486</v>
      </c>
      <c r="AC1609" s="74" t="s">
        <v>9562</v>
      </c>
      <c r="AD1609" s="73" t="s">
        <v>9578</v>
      </c>
      <c r="AE1609" s="74" t="s">
        <v>9579</v>
      </c>
    </row>
    <row r="1610" spans="1:31" ht="8.65" customHeight="1" x14ac:dyDescent="0.2">
      <c r="A1610" s="76">
        <v>1610</v>
      </c>
      <c r="B1610" s="67" t="str">
        <f>MID(C1610, FIND("Ifc.", C1610) + 4, 4) &amp; "_" &amp; TEXT(COUNTIF($C$2:C1610, C1610),"0000")</f>
        <v>Prop_1609</v>
      </c>
      <c r="C1610" s="24" t="s">
        <v>872</v>
      </c>
      <c r="D1610" s="69" t="s">
        <v>9453</v>
      </c>
      <c r="E1610" s="70" t="s">
        <v>9454</v>
      </c>
      <c r="F1610" s="17" t="s">
        <v>806</v>
      </c>
      <c r="G1610" s="22" t="s">
        <v>909</v>
      </c>
      <c r="H1610" s="12" t="s">
        <v>9703</v>
      </c>
      <c r="I1610" s="13" t="s">
        <v>6069</v>
      </c>
      <c r="J1610" s="14" t="s">
        <v>798</v>
      </c>
      <c r="K1610" s="15" t="s">
        <v>798</v>
      </c>
      <c r="L1610" s="12" t="s">
        <v>5315</v>
      </c>
      <c r="M1610" s="13" t="s">
        <v>5933</v>
      </c>
      <c r="N1610" s="12" t="s">
        <v>803</v>
      </c>
      <c r="O1610" s="13" t="s">
        <v>5008</v>
      </c>
      <c r="P1610" s="17" t="s">
        <v>802</v>
      </c>
      <c r="Q1610" s="21" t="s">
        <v>8036</v>
      </c>
      <c r="R1610" s="17" t="s">
        <v>801</v>
      </c>
      <c r="S1610" s="18" t="s">
        <v>2559</v>
      </c>
      <c r="T1610" s="17" t="s">
        <v>800</v>
      </c>
      <c r="U1610" s="18" t="s">
        <v>5234</v>
      </c>
      <c r="V1610" s="17" t="s">
        <v>9418</v>
      </c>
      <c r="W1610" s="18" t="s">
        <v>5309</v>
      </c>
      <c r="X1610" s="69" t="s">
        <v>9453</v>
      </c>
      <c r="Y1610" s="70" t="s">
        <v>9462</v>
      </c>
      <c r="Z1610" s="73" t="s">
        <v>9486</v>
      </c>
      <c r="AA1610" s="74" t="s">
        <v>9504</v>
      </c>
      <c r="AB1610" s="73" t="s">
        <v>9486</v>
      </c>
      <c r="AC1610" s="74" t="s">
        <v>9562</v>
      </c>
      <c r="AD1610" s="73" t="s">
        <v>9578</v>
      </c>
      <c r="AE1610" s="74" t="s">
        <v>9579</v>
      </c>
    </row>
    <row r="1611" spans="1:31" ht="8.65" customHeight="1" x14ac:dyDescent="0.2">
      <c r="A1611" s="76">
        <v>1611</v>
      </c>
      <c r="B1611" s="67" t="str">
        <f>MID(C1611, FIND("Ifc.", C1611) + 4, 4) &amp; "_" &amp; TEXT(COUNTIF($C$2:C1611, C1611),"0000")</f>
        <v>Prop_1610</v>
      </c>
      <c r="C1611" s="24" t="s">
        <v>872</v>
      </c>
      <c r="D1611" s="69" t="s">
        <v>9453</v>
      </c>
      <c r="E1611" s="70" t="s">
        <v>9454</v>
      </c>
      <c r="F1611" s="17" t="s">
        <v>806</v>
      </c>
      <c r="G1611" s="22" t="s">
        <v>909</v>
      </c>
      <c r="H1611" s="12" t="s">
        <v>9703</v>
      </c>
      <c r="I1611" s="13" t="s">
        <v>6069</v>
      </c>
      <c r="J1611" s="14" t="s">
        <v>798</v>
      </c>
      <c r="K1611" s="15" t="s">
        <v>798</v>
      </c>
      <c r="L1611" s="12" t="s">
        <v>5315</v>
      </c>
      <c r="M1611" s="13" t="s">
        <v>5451</v>
      </c>
      <c r="N1611" s="12" t="s">
        <v>803</v>
      </c>
      <c r="O1611" s="13" t="s">
        <v>5009</v>
      </c>
      <c r="P1611" s="17" t="s">
        <v>802</v>
      </c>
      <c r="Q1611" s="21" t="s">
        <v>7857</v>
      </c>
      <c r="R1611" s="17" t="s">
        <v>801</v>
      </c>
      <c r="S1611" s="18" t="s">
        <v>2559</v>
      </c>
      <c r="T1611" s="17" t="s">
        <v>800</v>
      </c>
      <c r="U1611" s="18" t="s">
        <v>5234</v>
      </c>
      <c r="V1611" s="17" t="s">
        <v>9418</v>
      </c>
      <c r="W1611" s="18" t="s">
        <v>5309</v>
      </c>
      <c r="X1611" s="69" t="s">
        <v>9453</v>
      </c>
      <c r="Y1611" s="70" t="s">
        <v>9462</v>
      </c>
      <c r="Z1611" s="73" t="s">
        <v>9486</v>
      </c>
      <c r="AA1611" s="74" t="s">
        <v>9504</v>
      </c>
      <c r="AB1611" s="73" t="s">
        <v>9486</v>
      </c>
      <c r="AC1611" s="74" t="s">
        <v>9562</v>
      </c>
      <c r="AD1611" s="73" t="s">
        <v>9578</v>
      </c>
      <c r="AE1611" s="74" t="s">
        <v>9579</v>
      </c>
    </row>
    <row r="1612" spans="1:31" ht="8.65" customHeight="1" x14ac:dyDescent="0.2">
      <c r="A1612" s="76">
        <v>1612</v>
      </c>
      <c r="B1612" s="67" t="str">
        <f>MID(C1612, FIND("Ifc.", C1612) + 4, 4) &amp; "_" &amp; TEXT(COUNTIF($C$2:C1612, C1612),"0000")</f>
        <v>Prop_1611</v>
      </c>
      <c r="C1612" s="24" t="s">
        <v>872</v>
      </c>
      <c r="D1612" s="69" t="s">
        <v>9453</v>
      </c>
      <c r="E1612" s="70" t="s">
        <v>9454</v>
      </c>
      <c r="F1612" s="17" t="s">
        <v>806</v>
      </c>
      <c r="G1612" s="22" t="s">
        <v>909</v>
      </c>
      <c r="H1612" s="12" t="s">
        <v>9703</v>
      </c>
      <c r="I1612" s="13" t="s">
        <v>6069</v>
      </c>
      <c r="J1612" s="14" t="s">
        <v>798</v>
      </c>
      <c r="K1612" s="15" t="s">
        <v>798</v>
      </c>
      <c r="L1612" s="12" t="s">
        <v>5315</v>
      </c>
      <c r="M1612" s="13" t="s">
        <v>5453</v>
      </c>
      <c r="N1612" s="12" t="s">
        <v>803</v>
      </c>
      <c r="O1612" s="13" t="s">
        <v>5015</v>
      </c>
      <c r="P1612" s="17" t="s">
        <v>802</v>
      </c>
      <c r="Q1612" s="21" t="s">
        <v>7712</v>
      </c>
      <c r="R1612" s="17" t="s">
        <v>801</v>
      </c>
      <c r="S1612" s="18" t="s">
        <v>2559</v>
      </c>
      <c r="T1612" s="17" t="s">
        <v>800</v>
      </c>
      <c r="U1612" s="18" t="s">
        <v>5234</v>
      </c>
      <c r="V1612" s="17" t="s">
        <v>9418</v>
      </c>
      <c r="W1612" s="18" t="s">
        <v>5309</v>
      </c>
      <c r="X1612" s="69" t="s">
        <v>9453</v>
      </c>
      <c r="Y1612" s="70" t="s">
        <v>9462</v>
      </c>
      <c r="Z1612" s="73" t="s">
        <v>9486</v>
      </c>
      <c r="AA1612" s="74" t="s">
        <v>9504</v>
      </c>
      <c r="AB1612" s="73" t="s">
        <v>9486</v>
      </c>
      <c r="AC1612" s="74" t="s">
        <v>9562</v>
      </c>
      <c r="AD1612" s="73" t="s">
        <v>9578</v>
      </c>
      <c r="AE1612" s="74" t="s">
        <v>9579</v>
      </c>
    </row>
    <row r="1613" spans="1:31" ht="8.65" customHeight="1" x14ac:dyDescent="0.2">
      <c r="A1613" s="76">
        <v>1613</v>
      </c>
      <c r="B1613" s="67" t="str">
        <f>MID(C1613, FIND("Ifc.", C1613) + 4, 4) &amp; "_" &amp; TEXT(COUNTIF($C$2:C1613, C1613),"0000")</f>
        <v>Prop_1612</v>
      </c>
      <c r="C1613" s="24" t="s">
        <v>872</v>
      </c>
      <c r="D1613" s="69" t="s">
        <v>9453</v>
      </c>
      <c r="E1613" s="70" t="s">
        <v>9454</v>
      </c>
      <c r="F1613" s="17" t="s">
        <v>806</v>
      </c>
      <c r="G1613" s="22" t="s">
        <v>909</v>
      </c>
      <c r="H1613" s="12" t="s">
        <v>9703</v>
      </c>
      <c r="I1613" s="13" t="s">
        <v>6069</v>
      </c>
      <c r="J1613" s="14" t="s">
        <v>798</v>
      </c>
      <c r="K1613" s="15" t="s">
        <v>798</v>
      </c>
      <c r="L1613" s="12" t="s">
        <v>5315</v>
      </c>
      <c r="M1613" s="13" t="s">
        <v>5821</v>
      </c>
      <c r="N1613" s="12" t="s">
        <v>803</v>
      </c>
      <c r="O1613" s="13" t="s">
        <v>4883</v>
      </c>
      <c r="P1613" s="17" t="s">
        <v>802</v>
      </c>
      <c r="Q1613" s="21" t="s">
        <v>7683</v>
      </c>
      <c r="R1613" s="17" t="s">
        <v>801</v>
      </c>
      <c r="S1613" s="18" t="s">
        <v>2559</v>
      </c>
      <c r="T1613" s="17" t="s">
        <v>800</v>
      </c>
      <c r="U1613" s="18" t="s">
        <v>5234</v>
      </c>
      <c r="V1613" s="17" t="s">
        <v>9418</v>
      </c>
      <c r="W1613" s="18" t="s">
        <v>5309</v>
      </c>
      <c r="X1613" s="69" t="s">
        <v>9453</v>
      </c>
      <c r="Y1613" s="70" t="s">
        <v>9462</v>
      </c>
      <c r="Z1613" s="73" t="s">
        <v>9486</v>
      </c>
      <c r="AA1613" s="74" t="s">
        <v>9504</v>
      </c>
      <c r="AB1613" s="73" t="s">
        <v>9486</v>
      </c>
      <c r="AC1613" s="74" t="s">
        <v>9562</v>
      </c>
      <c r="AD1613" s="73" t="s">
        <v>9578</v>
      </c>
      <c r="AE1613" s="74" t="s">
        <v>9579</v>
      </c>
    </row>
    <row r="1614" spans="1:31" ht="8.65" customHeight="1" x14ac:dyDescent="0.2">
      <c r="A1614" s="76">
        <v>1614</v>
      </c>
      <c r="B1614" s="67" t="str">
        <f>MID(C1614, FIND("Ifc.", C1614) + 4, 4) &amp; "_" &amp; TEXT(COUNTIF($C$2:C1614, C1614),"0000")</f>
        <v>Prop_1613</v>
      </c>
      <c r="C1614" s="24" t="s">
        <v>872</v>
      </c>
      <c r="D1614" s="69" t="s">
        <v>9453</v>
      </c>
      <c r="E1614" s="70" t="s">
        <v>9454</v>
      </c>
      <c r="F1614" s="17" t="s">
        <v>806</v>
      </c>
      <c r="G1614" s="22" t="s">
        <v>909</v>
      </c>
      <c r="H1614" s="12" t="s">
        <v>9703</v>
      </c>
      <c r="I1614" s="13" t="s">
        <v>6069</v>
      </c>
      <c r="J1614" s="14" t="s">
        <v>798</v>
      </c>
      <c r="K1614" s="15" t="s">
        <v>798</v>
      </c>
      <c r="L1614" s="12" t="s">
        <v>5315</v>
      </c>
      <c r="M1614" s="13" t="s">
        <v>5454</v>
      </c>
      <c r="N1614" s="12" t="s">
        <v>803</v>
      </c>
      <c r="O1614" s="13" t="s">
        <v>5017</v>
      </c>
      <c r="P1614" s="17" t="s">
        <v>802</v>
      </c>
      <c r="Q1614" s="21" t="s">
        <v>7776</v>
      </c>
      <c r="R1614" s="17" t="s">
        <v>801</v>
      </c>
      <c r="S1614" s="18" t="s">
        <v>2559</v>
      </c>
      <c r="T1614" s="17" t="s">
        <v>800</v>
      </c>
      <c r="U1614" s="18" t="s">
        <v>5234</v>
      </c>
      <c r="V1614" s="17" t="s">
        <v>9418</v>
      </c>
      <c r="W1614" s="18" t="s">
        <v>5309</v>
      </c>
      <c r="X1614" s="69" t="s">
        <v>9453</v>
      </c>
      <c r="Y1614" s="70" t="s">
        <v>9462</v>
      </c>
      <c r="Z1614" s="73" t="s">
        <v>9486</v>
      </c>
      <c r="AA1614" s="74" t="s">
        <v>9504</v>
      </c>
      <c r="AB1614" s="73" t="s">
        <v>9486</v>
      </c>
      <c r="AC1614" s="74" t="s">
        <v>9562</v>
      </c>
      <c r="AD1614" s="73" t="s">
        <v>9578</v>
      </c>
      <c r="AE1614" s="74" t="s">
        <v>9579</v>
      </c>
    </row>
    <row r="1615" spans="1:31" ht="8.65" customHeight="1" x14ac:dyDescent="0.2">
      <c r="A1615" s="76">
        <v>1615</v>
      </c>
      <c r="B1615" s="67" t="str">
        <f>MID(C1615, FIND("Ifc.", C1615) + 4, 4) &amp; "_" &amp; TEXT(COUNTIF($C$2:C1615, C1615),"0000")</f>
        <v>Prop_1614</v>
      </c>
      <c r="C1615" s="24" t="s">
        <v>872</v>
      </c>
      <c r="D1615" s="69" t="s">
        <v>9453</v>
      </c>
      <c r="E1615" s="70" t="s">
        <v>9454</v>
      </c>
      <c r="F1615" s="17" t="s">
        <v>806</v>
      </c>
      <c r="G1615" s="22" t="s">
        <v>909</v>
      </c>
      <c r="H1615" s="12" t="s">
        <v>9703</v>
      </c>
      <c r="I1615" s="13" t="s">
        <v>6069</v>
      </c>
      <c r="J1615" s="14" t="s">
        <v>798</v>
      </c>
      <c r="K1615" s="15" t="s">
        <v>798</v>
      </c>
      <c r="L1615" s="12" t="s">
        <v>5315</v>
      </c>
      <c r="M1615" s="13" t="s">
        <v>5455</v>
      </c>
      <c r="N1615" s="12" t="s">
        <v>803</v>
      </c>
      <c r="O1615" s="13" t="s">
        <v>5019</v>
      </c>
      <c r="P1615" s="17" t="s">
        <v>802</v>
      </c>
      <c r="Q1615" s="21" t="s">
        <v>7736</v>
      </c>
      <c r="R1615" s="17" t="s">
        <v>801</v>
      </c>
      <c r="S1615" s="18" t="s">
        <v>2559</v>
      </c>
      <c r="T1615" s="17" t="s">
        <v>800</v>
      </c>
      <c r="U1615" s="18" t="s">
        <v>5234</v>
      </c>
      <c r="V1615" s="17" t="s">
        <v>9418</v>
      </c>
      <c r="W1615" s="18" t="s">
        <v>5309</v>
      </c>
      <c r="X1615" s="69" t="s">
        <v>9453</v>
      </c>
      <c r="Y1615" s="70" t="s">
        <v>9462</v>
      </c>
      <c r="Z1615" s="73" t="s">
        <v>9486</v>
      </c>
      <c r="AA1615" s="74" t="s">
        <v>9504</v>
      </c>
      <c r="AB1615" s="73" t="s">
        <v>9486</v>
      </c>
      <c r="AC1615" s="74" t="s">
        <v>9562</v>
      </c>
      <c r="AD1615" s="73" t="s">
        <v>9578</v>
      </c>
      <c r="AE1615" s="74" t="s">
        <v>9579</v>
      </c>
    </row>
    <row r="1616" spans="1:31" ht="8.65" customHeight="1" x14ac:dyDescent="0.2">
      <c r="A1616" s="76">
        <v>1616</v>
      </c>
      <c r="B1616" s="67" t="str">
        <f>MID(C1616, FIND("Ifc.", C1616) + 4, 4) &amp; "_" &amp; TEXT(COUNTIF($C$2:C1616, C1616),"0000")</f>
        <v>Prop_1615</v>
      </c>
      <c r="C1616" s="24" t="s">
        <v>872</v>
      </c>
      <c r="D1616" s="69" t="s">
        <v>9453</v>
      </c>
      <c r="E1616" s="70" t="s">
        <v>9454</v>
      </c>
      <c r="F1616" s="17" t="s">
        <v>806</v>
      </c>
      <c r="G1616" s="22" t="s">
        <v>909</v>
      </c>
      <c r="H1616" s="12" t="s">
        <v>9703</v>
      </c>
      <c r="I1616" s="13" t="s">
        <v>6069</v>
      </c>
      <c r="J1616" s="14" t="s">
        <v>798</v>
      </c>
      <c r="K1616" s="15" t="s">
        <v>798</v>
      </c>
      <c r="L1616" s="12" t="s">
        <v>5315</v>
      </c>
      <c r="M1616" s="13" t="s">
        <v>5456</v>
      </c>
      <c r="N1616" s="12" t="s">
        <v>803</v>
      </c>
      <c r="O1616" s="13" t="s">
        <v>5026</v>
      </c>
      <c r="P1616" s="17" t="s">
        <v>802</v>
      </c>
      <c r="Q1616" s="21" t="s">
        <v>7801</v>
      </c>
      <c r="R1616" s="17" t="s">
        <v>801</v>
      </c>
      <c r="S1616" s="18" t="s">
        <v>2559</v>
      </c>
      <c r="T1616" s="17" t="s">
        <v>800</v>
      </c>
      <c r="U1616" s="18" t="s">
        <v>5234</v>
      </c>
      <c r="V1616" s="17" t="s">
        <v>9418</v>
      </c>
      <c r="W1616" s="18" t="s">
        <v>5309</v>
      </c>
      <c r="X1616" s="69" t="s">
        <v>9453</v>
      </c>
      <c r="Y1616" s="70" t="s">
        <v>9462</v>
      </c>
      <c r="Z1616" s="73" t="s">
        <v>9486</v>
      </c>
      <c r="AA1616" s="74" t="s">
        <v>9504</v>
      </c>
      <c r="AB1616" s="73" t="s">
        <v>9486</v>
      </c>
      <c r="AC1616" s="74" t="s">
        <v>9562</v>
      </c>
      <c r="AD1616" s="73" t="s">
        <v>9578</v>
      </c>
      <c r="AE1616" s="74" t="s">
        <v>9579</v>
      </c>
    </row>
    <row r="1617" spans="1:31" ht="8.65" customHeight="1" x14ac:dyDescent="0.2">
      <c r="A1617" s="76">
        <v>1617</v>
      </c>
      <c r="B1617" s="67" t="str">
        <f>MID(C1617, FIND("Ifc.", C1617) + 4, 4) &amp; "_" &amp; TEXT(COUNTIF($C$2:C1617, C1617),"0000")</f>
        <v>Prop_1616</v>
      </c>
      <c r="C1617" s="24" t="s">
        <v>872</v>
      </c>
      <c r="D1617" s="69" t="s">
        <v>9453</v>
      </c>
      <c r="E1617" s="70" t="s">
        <v>9454</v>
      </c>
      <c r="F1617" s="17" t="s">
        <v>806</v>
      </c>
      <c r="G1617" s="22" t="s">
        <v>909</v>
      </c>
      <c r="H1617" s="12" t="s">
        <v>9703</v>
      </c>
      <c r="I1617" s="13" t="s">
        <v>6069</v>
      </c>
      <c r="J1617" s="14" t="s">
        <v>798</v>
      </c>
      <c r="K1617" s="15" t="s">
        <v>798</v>
      </c>
      <c r="L1617" s="12" t="s">
        <v>5315</v>
      </c>
      <c r="M1617" s="13" t="s">
        <v>5961</v>
      </c>
      <c r="N1617" s="12" t="s">
        <v>803</v>
      </c>
      <c r="O1617" s="13" t="s">
        <v>5054</v>
      </c>
      <c r="P1617" s="17" t="s">
        <v>802</v>
      </c>
      <c r="Q1617" s="21" t="s">
        <v>7969</v>
      </c>
      <c r="R1617" s="17" t="s">
        <v>801</v>
      </c>
      <c r="S1617" s="18" t="s">
        <v>2559</v>
      </c>
      <c r="T1617" s="17" t="s">
        <v>800</v>
      </c>
      <c r="U1617" s="18" t="s">
        <v>5234</v>
      </c>
      <c r="V1617" s="17" t="s">
        <v>9418</v>
      </c>
      <c r="W1617" s="18" t="s">
        <v>5309</v>
      </c>
      <c r="X1617" s="69" t="s">
        <v>9453</v>
      </c>
      <c r="Y1617" s="70" t="s">
        <v>9462</v>
      </c>
      <c r="Z1617" s="73" t="s">
        <v>9486</v>
      </c>
      <c r="AA1617" s="74" t="s">
        <v>9504</v>
      </c>
      <c r="AB1617" s="73" t="s">
        <v>9486</v>
      </c>
      <c r="AC1617" s="74" t="s">
        <v>9562</v>
      </c>
      <c r="AD1617" s="73" t="s">
        <v>9578</v>
      </c>
      <c r="AE1617" s="74" t="s">
        <v>9579</v>
      </c>
    </row>
    <row r="1618" spans="1:31" ht="8.65" customHeight="1" x14ac:dyDescent="0.2">
      <c r="A1618" s="76">
        <v>1618</v>
      </c>
      <c r="B1618" s="67" t="str">
        <f>MID(C1618, FIND("Ifc.", C1618) + 4, 4) &amp; "_" &amp; TEXT(COUNTIF($C$2:C1618, C1618),"0000")</f>
        <v>Prop_1617</v>
      </c>
      <c r="C1618" s="24" t="s">
        <v>872</v>
      </c>
      <c r="D1618" s="69" t="s">
        <v>9453</v>
      </c>
      <c r="E1618" s="70" t="s">
        <v>9454</v>
      </c>
      <c r="F1618" s="17" t="s">
        <v>806</v>
      </c>
      <c r="G1618" s="22" t="s">
        <v>909</v>
      </c>
      <c r="H1618" s="12" t="s">
        <v>9703</v>
      </c>
      <c r="I1618" s="13" t="s">
        <v>6069</v>
      </c>
      <c r="J1618" s="14" t="s">
        <v>798</v>
      </c>
      <c r="K1618" s="15" t="s">
        <v>798</v>
      </c>
      <c r="L1618" s="12" t="s">
        <v>5315</v>
      </c>
      <c r="M1618" s="13" t="s">
        <v>5952</v>
      </c>
      <c r="N1618" s="12" t="s">
        <v>803</v>
      </c>
      <c r="O1618" s="13" t="s">
        <v>5041</v>
      </c>
      <c r="P1618" s="17" t="s">
        <v>802</v>
      </c>
      <c r="Q1618" s="21" t="s">
        <v>7986</v>
      </c>
      <c r="R1618" s="17" t="s">
        <v>801</v>
      </c>
      <c r="S1618" s="18" t="s">
        <v>2559</v>
      </c>
      <c r="T1618" s="17" t="s">
        <v>800</v>
      </c>
      <c r="U1618" s="18" t="s">
        <v>5234</v>
      </c>
      <c r="V1618" s="17" t="s">
        <v>9418</v>
      </c>
      <c r="W1618" s="18" t="s">
        <v>5309</v>
      </c>
      <c r="X1618" s="69" t="s">
        <v>9453</v>
      </c>
      <c r="Y1618" s="70" t="s">
        <v>9462</v>
      </c>
      <c r="Z1618" s="73" t="s">
        <v>9486</v>
      </c>
      <c r="AA1618" s="74" t="s">
        <v>9504</v>
      </c>
      <c r="AB1618" s="73" t="s">
        <v>9486</v>
      </c>
      <c r="AC1618" s="74" t="s">
        <v>9562</v>
      </c>
      <c r="AD1618" s="73" t="s">
        <v>9578</v>
      </c>
      <c r="AE1618" s="74" t="s">
        <v>9579</v>
      </c>
    </row>
    <row r="1619" spans="1:31" ht="8.65" customHeight="1" x14ac:dyDescent="0.2">
      <c r="A1619" s="76">
        <v>1619</v>
      </c>
      <c r="B1619" s="67" t="str">
        <f>MID(C1619, FIND("Ifc.", C1619) + 4, 4) &amp; "_" &amp; TEXT(COUNTIF($C$2:C1619, C1619),"0000")</f>
        <v>Prop_1618</v>
      </c>
      <c r="C1619" s="24" t="s">
        <v>872</v>
      </c>
      <c r="D1619" s="69" t="s">
        <v>9453</v>
      </c>
      <c r="E1619" s="70" t="s">
        <v>9454</v>
      </c>
      <c r="F1619" s="17" t="s">
        <v>806</v>
      </c>
      <c r="G1619" s="22" t="s">
        <v>909</v>
      </c>
      <c r="H1619" s="12" t="s">
        <v>9703</v>
      </c>
      <c r="I1619" s="13" t="s">
        <v>6069</v>
      </c>
      <c r="J1619" s="14" t="s">
        <v>798</v>
      </c>
      <c r="K1619" s="15" t="s">
        <v>798</v>
      </c>
      <c r="L1619" s="12" t="s">
        <v>5315</v>
      </c>
      <c r="M1619" s="13" t="s">
        <v>5462</v>
      </c>
      <c r="N1619" s="12" t="s">
        <v>803</v>
      </c>
      <c r="O1619" s="13" t="s">
        <v>5044</v>
      </c>
      <c r="P1619" s="17" t="s">
        <v>802</v>
      </c>
      <c r="Q1619" s="21" t="s">
        <v>7806</v>
      </c>
      <c r="R1619" s="17" t="s">
        <v>801</v>
      </c>
      <c r="S1619" s="18" t="s">
        <v>2559</v>
      </c>
      <c r="T1619" s="17" t="s">
        <v>800</v>
      </c>
      <c r="U1619" s="18" t="s">
        <v>5234</v>
      </c>
      <c r="V1619" s="17" t="s">
        <v>9418</v>
      </c>
      <c r="W1619" s="18" t="s">
        <v>5309</v>
      </c>
      <c r="X1619" s="69" t="s">
        <v>9453</v>
      </c>
      <c r="Y1619" s="70" t="s">
        <v>9462</v>
      </c>
      <c r="Z1619" s="73" t="s">
        <v>9486</v>
      </c>
      <c r="AA1619" s="74" t="s">
        <v>9504</v>
      </c>
      <c r="AB1619" s="73" t="s">
        <v>9486</v>
      </c>
      <c r="AC1619" s="74" t="s">
        <v>9562</v>
      </c>
      <c r="AD1619" s="73" t="s">
        <v>9578</v>
      </c>
      <c r="AE1619" s="74" t="s">
        <v>9579</v>
      </c>
    </row>
    <row r="1620" spans="1:31" ht="8.65" customHeight="1" x14ac:dyDescent="0.2">
      <c r="A1620" s="76">
        <v>1620</v>
      </c>
      <c r="B1620" s="67" t="str">
        <f>MID(C1620, FIND("Ifc.", C1620) + 4, 4) &amp; "_" &amp; TEXT(COUNTIF($C$2:C1620, C1620),"0000")</f>
        <v>Prop_1619</v>
      </c>
      <c r="C1620" s="24" t="s">
        <v>872</v>
      </c>
      <c r="D1620" s="69" t="s">
        <v>9453</v>
      </c>
      <c r="E1620" s="70" t="s">
        <v>9454</v>
      </c>
      <c r="F1620" s="17" t="s">
        <v>806</v>
      </c>
      <c r="G1620" s="22" t="s">
        <v>909</v>
      </c>
      <c r="H1620" s="12" t="s">
        <v>9703</v>
      </c>
      <c r="I1620" s="13" t="s">
        <v>6069</v>
      </c>
      <c r="J1620" s="14" t="s">
        <v>798</v>
      </c>
      <c r="K1620" s="15" t="s">
        <v>798</v>
      </c>
      <c r="L1620" s="12" t="s">
        <v>5315</v>
      </c>
      <c r="M1620" s="13" t="s">
        <v>5463</v>
      </c>
      <c r="N1620" s="12" t="s">
        <v>803</v>
      </c>
      <c r="O1620" s="13" t="s">
        <v>5048</v>
      </c>
      <c r="P1620" s="17" t="s">
        <v>802</v>
      </c>
      <c r="Q1620" s="21" t="s">
        <v>7713</v>
      </c>
      <c r="R1620" s="17" t="s">
        <v>801</v>
      </c>
      <c r="S1620" s="18" t="s">
        <v>2554</v>
      </c>
      <c r="T1620" s="17" t="s">
        <v>800</v>
      </c>
      <c r="U1620" s="18" t="s">
        <v>5233</v>
      </c>
      <c r="V1620" s="17" t="s">
        <v>9418</v>
      </c>
      <c r="W1620" s="18" t="s">
        <v>5309</v>
      </c>
      <c r="X1620" s="69" t="s">
        <v>9453</v>
      </c>
      <c r="Y1620" s="70" t="s">
        <v>9462</v>
      </c>
      <c r="Z1620" s="73" t="s">
        <v>9486</v>
      </c>
      <c r="AA1620" s="74" t="s">
        <v>9504</v>
      </c>
      <c r="AB1620" s="73" t="s">
        <v>9486</v>
      </c>
      <c r="AC1620" s="74" t="s">
        <v>9562</v>
      </c>
      <c r="AD1620" s="73" t="s">
        <v>9578</v>
      </c>
      <c r="AE1620" s="74" t="s">
        <v>9579</v>
      </c>
    </row>
    <row r="1621" spans="1:31" ht="8.65" customHeight="1" x14ac:dyDescent="0.2">
      <c r="A1621" s="76">
        <v>1621</v>
      </c>
      <c r="B1621" s="67" t="str">
        <f>MID(C1621, FIND("Ifc.", C1621) + 4, 4) &amp; "_" &amp; TEXT(COUNTIF($C$2:C1621, C1621),"0000")</f>
        <v>Prop_1620</v>
      </c>
      <c r="C1621" s="24" t="s">
        <v>872</v>
      </c>
      <c r="D1621" s="69" t="s">
        <v>9453</v>
      </c>
      <c r="E1621" s="70" t="s">
        <v>9454</v>
      </c>
      <c r="F1621" s="17" t="s">
        <v>806</v>
      </c>
      <c r="G1621" s="22" t="s">
        <v>909</v>
      </c>
      <c r="H1621" s="12" t="s">
        <v>9703</v>
      </c>
      <c r="I1621" s="13" t="s">
        <v>6069</v>
      </c>
      <c r="J1621" s="14" t="s">
        <v>798</v>
      </c>
      <c r="K1621" s="15" t="s">
        <v>798</v>
      </c>
      <c r="L1621" s="12" t="s">
        <v>5315</v>
      </c>
      <c r="M1621" s="13" t="s">
        <v>5466</v>
      </c>
      <c r="N1621" s="12" t="s">
        <v>803</v>
      </c>
      <c r="O1621" s="13" t="s">
        <v>5053</v>
      </c>
      <c r="P1621" s="17" t="s">
        <v>802</v>
      </c>
      <c r="Q1621" s="21" t="s">
        <v>8037</v>
      </c>
      <c r="R1621" s="17" t="s">
        <v>801</v>
      </c>
      <c r="S1621" s="18" t="s">
        <v>2554</v>
      </c>
      <c r="T1621" s="17" t="s">
        <v>800</v>
      </c>
      <c r="U1621" s="18" t="s">
        <v>5233</v>
      </c>
      <c r="V1621" s="17" t="s">
        <v>9418</v>
      </c>
      <c r="W1621" s="18" t="s">
        <v>5309</v>
      </c>
      <c r="X1621" s="69" t="s">
        <v>9453</v>
      </c>
      <c r="Y1621" s="70" t="s">
        <v>9462</v>
      </c>
      <c r="Z1621" s="73" t="s">
        <v>9486</v>
      </c>
      <c r="AA1621" s="74" t="s">
        <v>9504</v>
      </c>
      <c r="AB1621" s="73" t="s">
        <v>9486</v>
      </c>
      <c r="AC1621" s="74" t="s">
        <v>9562</v>
      </c>
      <c r="AD1621" s="73" t="s">
        <v>9578</v>
      </c>
      <c r="AE1621" s="74" t="s">
        <v>9579</v>
      </c>
    </row>
    <row r="1622" spans="1:31" ht="8.65" customHeight="1" x14ac:dyDescent="0.2">
      <c r="A1622" s="76">
        <v>1622</v>
      </c>
      <c r="B1622" s="67" t="str">
        <f>MID(C1622, FIND("Ifc.", C1622) + 4, 4) &amp; "_" &amp; TEXT(COUNTIF($C$2:C1622, C1622),"0000")</f>
        <v>Prop_1621</v>
      </c>
      <c r="C1622" s="24" t="s">
        <v>872</v>
      </c>
      <c r="D1622" s="69" t="s">
        <v>9453</v>
      </c>
      <c r="E1622" s="70" t="s">
        <v>9454</v>
      </c>
      <c r="F1622" s="17" t="s">
        <v>806</v>
      </c>
      <c r="G1622" s="22" t="s">
        <v>909</v>
      </c>
      <c r="H1622" s="12" t="s">
        <v>9703</v>
      </c>
      <c r="I1622" s="13" t="s">
        <v>6069</v>
      </c>
      <c r="J1622" s="14" t="s">
        <v>798</v>
      </c>
      <c r="K1622" s="15" t="s">
        <v>798</v>
      </c>
      <c r="L1622" s="12" t="s">
        <v>5315</v>
      </c>
      <c r="M1622" s="13" t="s">
        <v>5467</v>
      </c>
      <c r="N1622" s="12" t="s">
        <v>803</v>
      </c>
      <c r="O1622" s="13" t="s">
        <v>5055</v>
      </c>
      <c r="P1622" s="17" t="s">
        <v>802</v>
      </c>
      <c r="Q1622" s="21" t="s">
        <v>7894</v>
      </c>
      <c r="R1622" s="17" t="s">
        <v>801</v>
      </c>
      <c r="S1622" s="18" t="s">
        <v>2559</v>
      </c>
      <c r="T1622" s="17" t="s">
        <v>800</v>
      </c>
      <c r="U1622" s="18" t="s">
        <v>5234</v>
      </c>
      <c r="V1622" s="17" t="s">
        <v>9418</v>
      </c>
      <c r="W1622" s="18" t="s">
        <v>5309</v>
      </c>
      <c r="X1622" s="69" t="s">
        <v>9453</v>
      </c>
      <c r="Y1622" s="70" t="s">
        <v>9462</v>
      </c>
      <c r="Z1622" s="73" t="s">
        <v>9486</v>
      </c>
      <c r="AA1622" s="74" t="s">
        <v>9504</v>
      </c>
      <c r="AB1622" s="73" t="s">
        <v>9486</v>
      </c>
      <c r="AC1622" s="74" t="s">
        <v>9562</v>
      </c>
      <c r="AD1622" s="73" t="s">
        <v>9578</v>
      </c>
      <c r="AE1622" s="74" t="s">
        <v>9579</v>
      </c>
    </row>
    <row r="1623" spans="1:31" ht="8.65" customHeight="1" x14ac:dyDescent="0.2">
      <c r="A1623" s="76">
        <v>1623</v>
      </c>
      <c r="B1623" s="67" t="str">
        <f>MID(C1623, FIND("Ifc.", C1623) + 4, 4) &amp; "_" &amp; TEXT(COUNTIF($C$2:C1623, C1623),"0000")</f>
        <v>Prop_1622</v>
      </c>
      <c r="C1623" s="24" t="s">
        <v>872</v>
      </c>
      <c r="D1623" s="69" t="s">
        <v>9453</v>
      </c>
      <c r="E1623" s="70" t="s">
        <v>9454</v>
      </c>
      <c r="F1623" s="17" t="s">
        <v>806</v>
      </c>
      <c r="G1623" s="22" t="s">
        <v>909</v>
      </c>
      <c r="H1623" s="12" t="s">
        <v>9703</v>
      </c>
      <c r="I1623" s="13" t="s">
        <v>6069</v>
      </c>
      <c r="J1623" s="14" t="s">
        <v>798</v>
      </c>
      <c r="K1623" s="15" t="s">
        <v>798</v>
      </c>
      <c r="L1623" s="12" t="s">
        <v>5315</v>
      </c>
      <c r="M1623" s="13" t="s">
        <v>5477</v>
      </c>
      <c r="N1623" s="12" t="s">
        <v>803</v>
      </c>
      <c r="O1623" s="13" t="s">
        <v>5081</v>
      </c>
      <c r="P1623" s="17" t="s">
        <v>802</v>
      </c>
      <c r="Q1623" s="21" t="s">
        <v>7807</v>
      </c>
      <c r="R1623" s="17" t="s">
        <v>801</v>
      </c>
      <c r="S1623" s="18" t="s">
        <v>2559</v>
      </c>
      <c r="T1623" s="17" t="s">
        <v>800</v>
      </c>
      <c r="U1623" s="18" t="s">
        <v>5234</v>
      </c>
      <c r="V1623" s="17" t="s">
        <v>9418</v>
      </c>
      <c r="W1623" s="18" t="s">
        <v>5309</v>
      </c>
      <c r="X1623" s="69" t="s">
        <v>9453</v>
      </c>
      <c r="Y1623" s="70" t="s">
        <v>9462</v>
      </c>
      <c r="Z1623" s="73" t="s">
        <v>9486</v>
      </c>
      <c r="AA1623" s="74" t="s">
        <v>9504</v>
      </c>
      <c r="AB1623" s="73" t="s">
        <v>9486</v>
      </c>
      <c r="AC1623" s="74" t="s">
        <v>9562</v>
      </c>
      <c r="AD1623" s="73" t="s">
        <v>9578</v>
      </c>
      <c r="AE1623" s="74" t="s">
        <v>9579</v>
      </c>
    </row>
    <row r="1624" spans="1:31" ht="8.65" customHeight="1" x14ac:dyDescent="0.2">
      <c r="A1624" s="76">
        <v>1624</v>
      </c>
      <c r="B1624" s="67" t="str">
        <f>MID(C1624, FIND("Ifc.", C1624) + 4, 4) &amp; "_" &amp; TEXT(COUNTIF($C$2:C1624, C1624),"0000")</f>
        <v>Prop_1623</v>
      </c>
      <c r="C1624" s="24" t="s">
        <v>872</v>
      </c>
      <c r="D1624" s="69" t="s">
        <v>9453</v>
      </c>
      <c r="E1624" s="70" t="s">
        <v>9454</v>
      </c>
      <c r="F1624" s="17" t="s">
        <v>806</v>
      </c>
      <c r="G1624" s="22" t="s">
        <v>909</v>
      </c>
      <c r="H1624" s="12" t="s">
        <v>9703</v>
      </c>
      <c r="I1624" s="13" t="s">
        <v>6069</v>
      </c>
      <c r="J1624" s="14" t="s">
        <v>798</v>
      </c>
      <c r="K1624" s="15" t="s">
        <v>798</v>
      </c>
      <c r="L1624" s="12" t="s">
        <v>5315</v>
      </c>
      <c r="M1624" s="13" t="s">
        <v>5478</v>
      </c>
      <c r="N1624" s="12" t="s">
        <v>803</v>
      </c>
      <c r="O1624" s="13" t="s">
        <v>5082</v>
      </c>
      <c r="P1624" s="17" t="s">
        <v>802</v>
      </c>
      <c r="Q1624" s="21" t="s">
        <v>7824</v>
      </c>
      <c r="R1624" s="17" t="s">
        <v>801</v>
      </c>
      <c r="S1624" s="18" t="s">
        <v>2559</v>
      </c>
      <c r="T1624" s="17" t="s">
        <v>800</v>
      </c>
      <c r="U1624" s="18" t="s">
        <v>5234</v>
      </c>
      <c r="V1624" s="17" t="s">
        <v>9418</v>
      </c>
      <c r="W1624" s="18" t="s">
        <v>5309</v>
      </c>
      <c r="X1624" s="69" t="s">
        <v>9453</v>
      </c>
      <c r="Y1624" s="70" t="s">
        <v>9462</v>
      </c>
      <c r="Z1624" s="73" t="s">
        <v>9486</v>
      </c>
      <c r="AA1624" s="74" t="s">
        <v>9504</v>
      </c>
      <c r="AB1624" s="73" t="s">
        <v>9486</v>
      </c>
      <c r="AC1624" s="74" t="s">
        <v>9562</v>
      </c>
      <c r="AD1624" s="73" t="s">
        <v>9578</v>
      </c>
      <c r="AE1624" s="74" t="s">
        <v>9579</v>
      </c>
    </row>
    <row r="1625" spans="1:31" ht="8.65" customHeight="1" x14ac:dyDescent="0.2">
      <c r="A1625" s="76">
        <v>1625</v>
      </c>
      <c r="B1625" s="67" t="str">
        <f>MID(C1625, FIND("Ifc.", C1625) + 4, 4) &amp; "_" &amp; TEXT(COUNTIF($C$2:C1625, C1625),"0000")</f>
        <v>Prop_1624</v>
      </c>
      <c r="C1625" s="24" t="s">
        <v>872</v>
      </c>
      <c r="D1625" s="69" t="s">
        <v>9453</v>
      </c>
      <c r="E1625" s="70" t="s">
        <v>9454</v>
      </c>
      <c r="F1625" s="17" t="s">
        <v>806</v>
      </c>
      <c r="G1625" s="22" t="s">
        <v>909</v>
      </c>
      <c r="H1625" s="12" t="s">
        <v>9703</v>
      </c>
      <c r="I1625" s="13" t="s">
        <v>6069</v>
      </c>
      <c r="J1625" s="14" t="s">
        <v>798</v>
      </c>
      <c r="K1625" s="15" t="s">
        <v>798</v>
      </c>
      <c r="L1625" s="12" t="s">
        <v>5315</v>
      </c>
      <c r="M1625" s="13" t="s">
        <v>5485</v>
      </c>
      <c r="N1625" s="12" t="s">
        <v>803</v>
      </c>
      <c r="O1625" s="13" t="s">
        <v>5088</v>
      </c>
      <c r="P1625" s="17" t="s">
        <v>802</v>
      </c>
      <c r="Q1625" s="21" t="s">
        <v>7808</v>
      </c>
      <c r="R1625" s="17" t="s">
        <v>801</v>
      </c>
      <c r="S1625" s="18" t="s">
        <v>2559</v>
      </c>
      <c r="T1625" s="17" t="s">
        <v>800</v>
      </c>
      <c r="U1625" s="18" t="s">
        <v>5234</v>
      </c>
      <c r="V1625" s="17" t="s">
        <v>9418</v>
      </c>
      <c r="W1625" s="18" t="s">
        <v>5309</v>
      </c>
      <c r="X1625" s="69" t="s">
        <v>9453</v>
      </c>
      <c r="Y1625" s="70" t="s">
        <v>9462</v>
      </c>
      <c r="Z1625" s="73" t="s">
        <v>9486</v>
      </c>
      <c r="AA1625" s="74" t="s">
        <v>9504</v>
      </c>
      <c r="AB1625" s="73" t="s">
        <v>9486</v>
      </c>
      <c r="AC1625" s="74" t="s">
        <v>9562</v>
      </c>
      <c r="AD1625" s="73" t="s">
        <v>9578</v>
      </c>
      <c r="AE1625" s="74" t="s">
        <v>9579</v>
      </c>
    </row>
    <row r="1626" spans="1:31" ht="8.65" customHeight="1" x14ac:dyDescent="0.2">
      <c r="A1626" s="76">
        <v>1626</v>
      </c>
      <c r="B1626" s="67" t="str">
        <f>MID(C1626, FIND("Ifc.", C1626) + 4, 4) &amp; "_" &amp; TEXT(COUNTIF($C$2:C1626, C1626),"0000")</f>
        <v>Prop_1625</v>
      </c>
      <c r="C1626" s="24" t="s">
        <v>872</v>
      </c>
      <c r="D1626" s="69" t="s">
        <v>9453</v>
      </c>
      <c r="E1626" s="70" t="s">
        <v>9454</v>
      </c>
      <c r="F1626" s="17" t="s">
        <v>806</v>
      </c>
      <c r="G1626" s="22" t="s">
        <v>909</v>
      </c>
      <c r="H1626" s="12" t="s">
        <v>9703</v>
      </c>
      <c r="I1626" s="13" t="s">
        <v>6069</v>
      </c>
      <c r="J1626" s="14" t="s">
        <v>798</v>
      </c>
      <c r="K1626" s="15" t="s">
        <v>798</v>
      </c>
      <c r="L1626" s="12" t="s">
        <v>5315</v>
      </c>
      <c r="M1626" s="13" t="s">
        <v>5487</v>
      </c>
      <c r="N1626" s="12" t="s">
        <v>803</v>
      </c>
      <c r="O1626" s="13" t="s">
        <v>5095</v>
      </c>
      <c r="P1626" s="17" t="s">
        <v>802</v>
      </c>
      <c r="Q1626" s="21" t="s">
        <v>7687</v>
      </c>
      <c r="R1626" s="17" t="s">
        <v>801</v>
      </c>
      <c r="S1626" s="18" t="s">
        <v>2559</v>
      </c>
      <c r="T1626" s="17" t="s">
        <v>800</v>
      </c>
      <c r="U1626" s="18" t="s">
        <v>5234</v>
      </c>
      <c r="V1626" s="17" t="s">
        <v>9418</v>
      </c>
      <c r="W1626" s="18" t="s">
        <v>5309</v>
      </c>
      <c r="X1626" s="69" t="s">
        <v>9453</v>
      </c>
      <c r="Y1626" s="70" t="s">
        <v>9462</v>
      </c>
      <c r="Z1626" s="73" t="s">
        <v>9486</v>
      </c>
      <c r="AA1626" s="74" t="s">
        <v>9504</v>
      </c>
      <c r="AB1626" s="73" t="s">
        <v>9486</v>
      </c>
      <c r="AC1626" s="74" t="s">
        <v>9562</v>
      </c>
      <c r="AD1626" s="73" t="s">
        <v>9578</v>
      </c>
      <c r="AE1626" s="74" t="s">
        <v>9579</v>
      </c>
    </row>
    <row r="1627" spans="1:31" ht="8.65" customHeight="1" x14ac:dyDescent="0.2">
      <c r="A1627" s="76">
        <v>1627</v>
      </c>
      <c r="B1627" s="67" t="str">
        <f>MID(C1627, FIND("Ifc.", C1627) + 4, 4) &amp; "_" &amp; TEXT(COUNTIF($C$2:C1627, C1627),"0000")</f>
        <v>Prop_1626</v>
      </c>
      <c r="C1627" s="24" t="s">
        <v>872</v>
      </c>
      <c r="D1627" s="69" t="s">
        <v>9453</v>
      </c>
      <c r="E1627" s="70" t="s">
        <v>9454</v>
      </c>
      <c r="F1627" s="17" t="s">
        <v>806</v>
      </c>
      <c r="G1627" s="22" t="s">
        <v>909</v>
      </c>
      <c r="H1627" s="12" t="s">
        <v>9703</v>
      </c>
      <c r="I1627" s="13" t="s">
        <v>6069</v>
      </c>
      <c r="J1627" s="14" t="s">
        <v>798</v>
      </c>
      <c r="K1627" s="15" t="s">
        <v>798</v>
      </c>
      <c r="L1627" s="12" t="s">
        <v>5315</v>
      </c>
      <c r="M1627" s="13" t="s">
        <v>5491</v>
      </c>
      <c r="N1627" s="12" t="s">
        <v>803</v>
      </c>
      <c r="O1627" s="13" t="s">
        <v>5102</v>
      </c>
      <c r="P1627" s="17" t="s">
        <v>802</v>
      </c>
      <c r="Q1627" s="21" t="s">
        <v>7809</v>
      </c>
      <c r="R1627" s="17" t="s">
        <v>801</v>
      </c>
      <c r="S1627" s="18" t="s">
        <v>2559</v>
      </c>
      <c r="T1627" s="17" t="s">
        <v>800</v>
      </c>
      <c r="U1627" s="18" t="s">
        <v>5234</v>
      </c>
      <c r="V1627" s="17" t="s">
        <v>9418</v>
      </c>
      <c r="W1627" s="18" t="s">
        <v>5309</v>
      </c>
      <c r="X1627" s="69" t="s">
        <v>9453</v>
      </c>
      <c r="Y1627" s="70" t="s">
        <v>9462</v>
      </c>
      <c r="Z1627" s="73" t="s">
        <v>9486</v>
      </c>
      <c r="AA1627" s="74" t="s">
        <v>9504</v>
      </c>
      <c r="AB1627" s="73" t="s">
        <v>9486</v>
      </c>
      <c r="AC1627" s="74" t="s">
        <v>9562</v>
      </c>
      <c r="AD1627" s="73" t="s">
        <v>9578</v>
      </c>
      <c r="AE1627" s="74" t="s">
        <v>9579</v>
      </c>
    </row>
    <row r="1628" spans="1:31" ht="8.65" customHeight="1" x14ac:dyDescent="0.2">
      <c r="A1628" s="76">
        <v>1628</v>
      </c>
      <c r="B1628" s="67" t="str">
        <f>MID(C1628, FIND("Ifc.", C1628) + 4, 4) &amp; "_" &amp; TEXT(COUNTIF($C$2:C1628, C1628),"0000")</f>
        <v>Prop_1627</v>
      </c>
      <c r="C1628" s="24" t="s">
        <v>872</v>
      </c>
      <c r="D1628" s="69" t="s">
        <v>9453</v>
      </c>
      <c r="E1628" s="70" t="s">
        <v>9454</v>
      </c>
      <c r="F1628" s="17" t="s">
        <v>806</v>
      </c>
      <c r="G1628" s="22" t="s">
        <v>909</v>
      </c>
      <c r="H1628" s="12" t="s">
        <v>9703</v>
      </c>
      <c r="I1628" s="13" t="s">
        <v>6069</v>
      </c>
      <c r="J1628" s="14" t="s">
        <v>798</v>
      </c>
      <c r="K1628" s="15" t="s">
        <v>798</v>
      </c>
      <c r="L1628" s="12" t="s">
        <v>5315</v>
      </c>
      <c r="M1628" s="13" t="s">
        <v>5493</v>
      </c>
      <c r="N1628" s="12" t="s">
        <v>803</v>
      </c>
      <c r="O1628" s="13" t="s">
        <v>5104</v>
      </c>
      <c r="P1628" s="17" t="s">
        <v>802</v>
      </c>
      <c r="Q1628" s="21" t="s">
        <v>8038</v>
      </c>
      <c r="R1628" s="17" t="s">
        <v>801</v>
      </c>
      <c r="S1628" s="18" t="s">
        <v>2559</v>
      </c>
      <c r="T1628" s="17" t="s">
        <v>800</v>
      </c>
      <c r="U1628" s="18" t="s">
        <v>5234</v>
      </c>
      <c r="V1628" s="17" t="s">
        <v>9418</v>
      </c>
      <c r="W1628" s="18" t="s">
        <v>5309</v>
      </c>
      <c r="X1628" s="69" t="s">
        <v>9453</v>
      </c>
      <c r="Y1628" s="70" t="s">
        <v>9462</v>
      </c>
      <c r="Z1628" s="73" t="s">
        <v>9486</v>
      </c>
      <c r="AA1628" s="74" t="s">
        <v>9504</v>
      </c>
      <c r="AB1628" s="73" t="s">
        <v>9486</v>
      </c>
      <c r="AC1628" s="74" t="s">
        <v>9562</v>
      </c>
      <c r="AD1628" s="73" t="s">
        <v>9578</v>
      </c>
      <c r="AE1628" s="74" t="s">
        <v>9579</v>
      </c>
    </row>
    <row r="1629" spans="1:31" ht="8.65" customHeight="1" x14ac:dyDescent="0.2">
      <c r="A1629" s="76">
        <v>1629</v>
      </c>
      <c r="B1629" s="67" t="str">
        <f>MID(C1629, FIND("Ifc.", C1629) + 4, 4) &amp; "_" &amp; TEXT(COUNTIF($C$2:C1629, C1629),"0000")</f>
        <v>Prop_1628</v>
      </c>
      <c r="C1629" s="24" t="s">
        <v>872</v>
      </c>
      <c r="D1629" s="69" t="s">
        <v>9453</v>
      </c>
      <c r="E1629" s="70" t="s">
        <v>9454</v>
      </c>
      <c r="F1629" s="17" t="s">
        <v>806</v>
      </c>
      <c r="G1629" s="22" t="s">
        <v>909</v>
      </c>
      <c r="H1629" s="12" t="s">
        <v>9703</v>
      </c>
      <c r="I1629" s="13" t="s">
        <v>6069</v>
      </c>
      <c r="J1629" s="14" t="s">
        <v>798</v>
      </c>
      <c r="K1629" s="15" t="s">
        <v>798</v>
      </c>
      <c r="L1629" s="12" t="s">
        <v>5315</v>
      </c>
      <c r="M1629" s="13" t="s">
        <v>5494</v>
      </c>
      <c r="N1629" s="12" t="s">
        <v>803</v>
      </c>
      <c r="O1629" s="13" t="s">
        <v>5105</v>
      </c>
      <c r="P1629" s="17" t="s">
        <v>802</v>
      </c>
      <c r="Q1629" s="21" t="s">
        <v>7970</v>
      </c>
      <c r="R1629" s="17" t="s">
        <v>801</v>
      </c>
      <c r="S1629" s="18" t="s">
        <v>2559</v>
      </c>
      <c r="T1629" s="17" t="s">
        <v>800</v>
      </c>
      <c r="U1629" s="18" t="s">
        <v>5234</v>
      </c>
      <c r="V1629" s="17" t="s">
        <v>9418</v>
      </c>
      <c r="W1629" s="18" t="s">
        <v>5309</v>
      </c>
      <c r="X1629" s="69" t="s">
        <v>9453</v>
      </c>
      <c r="Y1629" s="70" t="s">
        <v>9462</v>
      </c>
      <c r="Z1629" s="73" t="s">
        <v>9486</v>
      </c>
      <c r="AA1629" s="74" t="s">
        <v>9504</v>
      </c>
      <c r="AB1629" s="73" t="s">
        <v>9486</v>
      </c>
      <c r="AC1629" s="74" t="s">
        <v>9562</v>
      </c>
      <c r="AD1629" s="73" t="s">
        <v>9578</v>
      </c>
      <c r="AE1629" s="74" t="s">
        <v>9579</v>
      </c>
    </row>
    <row r="1630" spans="1:31" ht="8.65" customHeight="1" x14ac:dyDescent="0.2">
      <c r="A1630" s="76">
        <v>1630</v>
      </c>
      <c r="B1630" s="67" t="str">
        <f>MID(C1630, FIND("Ifc.", C1630) + 4, 4) &amp; "_" &amp; TEXT(COUNTIF($C$2:C1630, C1630),"0000")</f>
        <v>Prop_1629</v>
      </c>
      <c r="C1630" s="24" t="s">
        <v>872</v>
      </c>
      <c r="D1630" s="69" t="s">
        <v>9453</v>
      </c>
      <c r="E1630" s="70" t="s">
        <v>9454</v>
      </c>
      <c r="F1630" s="17" t="s">
        <v>806</v>
      </c>
      <c r="G1630" s="22" t="s">
        <v>909</v>
      </c>
      <c r="H1630" s="12" t="s">
        <v>9703</v>
      </c>
      <c r="I1630" s="13" t="s">
        <v>6069</v>
      </c>
      <c r="J1630" s="14" t="s">
        <v>798</v>
      </c>
      <c r="K1630" s="15" t="s">
        <v>798</v>
      </c>
      <c r="L1630" s="12" t="s">
        <v>5315</v>
      </c>
      <c r="M1630" s="13" t="s">
        <v>6056</v>
      </c>
      <c r="N1630" s="12" t="s">
        <v>803</v>
      </c>
      <c r="O1630" s="13" t="s">
        <v>5108</v>
      </c>
      <c r="P1630" s="17" t="s">
        <v>802</v>
      </c>
      <c r="Q1630" s="21" t="s">
        <v>7890</v>
      </c>
      <c r="R1630" s="17" t="s">
        <v>801</v>
      </c>
      <c r="S1630" s="18" t="s">
        <v>2559</v>
      </c>
      <c r="T1630" s="17" t="s">
        <v>800</v>
      </c>
      <c r="U1630" s="18" t="s">
        <v>5234</v>
      </c>
      <c r="V1630" s="17" t="s">
        <v>9418</v>
      </c>
      <c r="W1630" s="18" t="s">
        <v>5309</v>
      </c>
      <c r="X1630" s="69" t="s">
        <v>9453</v>
      </c>
      <c r="Y1630" s="70" t="s">
        <v>9462</v>
      </c>
      <c r="Z1630" s="73" t="s">
        <v>9486</v>
      </c>
      <c r="AA1630" s="74" t="s">
        <v>9504</v>
      </c>
      <c r="AB1630" s="73" t="s">
        <v>9486</v>
      </c>
      <c r="AC1630" s="74" t="s">
        <v>9562</v>
      </c>
      <c r="AD1630" s="73" t="s">
        <v>9578</v>
      </c>
      <c r="AE1630" s="74" t="s">
        <v>9579</v>
      </c>
    </row>
    <row r="1631" spans="1:31" ht="8.65" customHeight="1" x14ac:dyDescent="0.2">
      <c r="A1631" s="76">
        <v>1631</v>
      </c>
      <c r="B1631" s="67" t="str">
        <f>MID(C1631, FIND("Ifc.", C1631) + 4, 4) &amp; "_" &amp; TEXT(COUNTIF($C$2:C1631, C1631),"0000")</f>
        <v>Prop_1630</v>
      </c>
      <c r="C1631" s="24" t="s">
        <v>872</v>
      </c>
      <c r="D1631" s="69" t="s">
        <v>9453</v>
      </c>
      <c r="E1631" s="70" t="s">
        <v>9454</v>
      </c>
      <c r="F1631" s="17" t="s">
        <v>806</v>
      </c>
      <c r="G1631" s="22" t="s">
        <v>909</v>
      </c>
      <c r="H1631" s="12" t="s">
        <v>9703</v>
      </c>
      <c r="I1631" s="13" t="s">
        <v>6069</v>
      </c>
      <c r="J1631" s="14" t="s">
        <v>798</v>
      </c>
      <c r="K1631" s="15" t="s">
        <v>798</v>
      </c>
      <c r="L1631" s="12" t="s">
        <v>5315</v>
      </c>
      <c r="M1631" s="13" t="s">
        <v>6055</v>
      </c>
      <c r="N1631" s="12" t="s">
        <v>803</v>
      </c>
      <c r="O1631" s="13" t="s">
        <v>5107</v>
      </c>
      <c r="P1631" s="17" t="s">
        <v>802</v>
      </c>
      <c r="Q1631" s="21" t="s">
        <v>7688</v>
      </c>
      <c r="R1631" s="17" t="s">
        <v>801</v>
      </c>
      <c r="S1631" s="18" t="s">
        <v>2559</v>
      </c>
      <c r="T1631" s="17" t="s">
        <v>800</v>
      </c>
      <c r="U1631" s="18" t="s">
        <v>5234</v>
      </c>
      <c r="V1631" s="17" t="s">
        <v>9418</v>
      </c>
      <c r="W1631" s="18" t="s">
        <v>5309</v>
      </c>
      <c r="X1631" s="69" t="s">
        <v>9453</v>
      </c>
      <c r="Y1631" s="70" t="s">
        <v>9462</v>
      </c>
      <c r="Z1631" s="73" t="s">
        <v>9486</v>
      </c>
      <c r="AA1631" s="74" t="s">
        <v>9504</v>
      </c>
      <c r="AB1631" s="73" t="s">
        <v>9486</v>
      </c>
      <c r="AC1631" s="74" t="s">
        <v>9562</v>
      </c>
      <c r="AD1631" s="73" t="s">
        <v>9578</v>
      </c>
      <c r="AE1631" s="74" t="s">
        <v>9579</v>
      </c>
    </row>
    <row r="1632" spans="1:31" ht="8.65" customHeight="1" x14ac:dyDescent="0.2">
      <c r="A1632" s="76">
        <v>1632</v>
      </c>
      <c r="B1632" s="67" t="str">
        <f>MID(C1632, FIND("Ifc.", C1632) + 4, 4) &amp; "_" &amp; TEXT(COUNTIF($C$2:C1632, C1632),"0000")</f>
        <v>Prop_1631</v>
      </c>
      <c r="C1632" s="24" t="s">
        <v>872</v>
      </c>
      <c r="D1632" s="69" t="s">
        <v>9453</v>
      </c>
      <c r="E1632" s="70" t="s">
        <v>9454</v>
      </c>
      <c r="F1632" s="17" t="s">
        <v>806</v>
      </c>
      <c r="G1632" s="22" t="s">
        <v>909</v>
      </c>
      <c r="H1632" s="12" t="s">
        <v>9703</v>
      </c>
      <c r="I1632" s="13" t="s">
        <v>6069</v>
      </c>
      <c r="J1632" s="14" t="s">
        <v>798</v>
      </c>
      <c r="K1632" s="15" t="s">
        <v>798</v>
      </c>
      <c r="L1632" s="12" t="s">
        <v>5315</v>
      </c>
      <c r="M1632" s="13" t="s">
        <v>5495</v>
      </c>
      <c r="N1632" s="12" t="s">
        <v>803</v>
      </c>
      <c r="O1632" s="13" t="s">
        <v>5109</v>
      </c>
      <c r="P1632" s="17" t="s">
        <v>802</v>
      </c>
      <c r="Q1632" s="21" t="s">
        <v>8039</v>
      </c>
      <c r="R1632" s="17" t="s">
        <v>801</v>
      </c>
      <c r="S1632" s="18" t="s">
        <v>2559</v>
      </c>
      <c r="T1632" s="17" t="s">
        <v>800</v>
      </c>
      <c r="U1632" s="18" t="s">
        <v>5234</v>
      </c>
      <c r="V1632" s="17" t="s">
        <v>9418</v>
      </c>
      <c r="W1632" s="18" t="s">
        <v>5309</v>
      </c>
      <c r="X1632" s="69" t="s">
        <v>9453</v>
      </c>
      <c r="Y1632" s="70" t="s">
        <v>9462</v>
      </c>
      <c r="Z1632" s="73" t="s">
        <v>9486</v>
      </c>
      <c r="AA1632" s="74" t="s">
        <v>9504</v>
      </c>
      <c r="AB1632" s="73" t="s">
        <v>9486</v>
      </c>
      <c r="AC1632" s="74" t="s">
        <v>9562</v>
      </c>
      <c r="AD1632" s="73" t="s">
        <v>9578</v>
      </c>
      <c r="AE1632" s="74" t="s">
        <v>9579</v>
      </c>
    </row>
    <row r="1633" spans="1:31" ht="8.65" customHeight="1" x14ac:dyDescent="0.2">
      <c r="A1633" s="76">
        <v>1633</v>
      </c>
      <c r="B1633" s="67" t="str">
        <f>MID(C1633, FIND("Ifc.", C1633) + 4, 4) &amp; "_" &amp; TEXT(COUNTIF($C$2:C1633, C1633),"0000")</f>
        <v>Prop_1632</v>
      </c>
      <c r="C1633" s="24" t="s">
        <v>872</v>
      </c>
      <c r="D1633" s="69" t="s">
        <v>9453</v>
      </c>
      <c r="E1633" s="70" t="s">
        <v>9454</v>
      </c>
      <c r="F1633" s="17" t="s">
        <v>806</v>
      </c>
      <c r="G1633" s="22" t="s">
        <v>909</v>
      </c>
      <c r="H1633" s="12" t="s">
        <v>9703</v>
      </c>
      <c r="I1633" s="13" t="s">
        <v>6069</v>
      </c>
      <c r="J1633" s="14" t="s">
        <v>798</v>
      </c>
      <c r="K1633" s="15" t="s">
        <v>798</v>
      </c>
      <c r="L1633" s="12" t="s">
        <v>5315</v>
      </c>
      <c r="M1633" s="13" t="s">
        <v>5498</v>
      </c>
      <c r="N1633" s="12" t="s">
        <v>803</v>
      </c>
      <c r="O1633" s="13" t="s">
        <v>5112</v>
      </c>
      <c r="P1633" s="17" t="s">
        <v>802</v>
      </c>
      <c r="Q1633" s="21" t="s">
        <v>7680</v>
      </c>
      <c r="R1633" s="17" t="s">
        <v>801</v>
      </c>
      <c r="S1633" s="18" t="s">
        <v>2559</v>
      </c>
      <c r="T1633" s="17" t="s">
        <v>800</v>
      </c>
      <c r="U1633" s="18" t="s">
        <v>5234</v>
      </c>
      <c r="V1633" s="17" t="s">
        <v>9418</v>
      </c>
      <c r="W1633" s="18" t="s">
        <v>5309</v>
      </c>
      <c r="X1633" s="69" t="s">
        <v>9453</v>
      </c>
      <c r="Y1633" s="70" t="s">
        <v>9462</v>
      </c>
      <c r="Z1633" s="73" t="s">
        <v>9486</v>
      </c>
      <c r="AA1633" s="74" t="s">
        <v>9504</v>
      </c>
      <c r="AB1633" s="73" t="s">
        <v>9486</v>
      </c>
      <c r="AC1633" s="74" t="s">
        <v>9562</v>
      </c>
      <c r="AD1633" s="73" t="s">
        <v>9578</v>
      </c>
      <c r="AE1633" s="74" t="s">
        <v>9579</v>
      </c>
    </row>
    <row r="1634" spans="1:31" ht="8.65" customHeight="1" x14ac:dyDescent="0.2">
      <c r="A1634" s="76">
        <v>1634</v>
      </c>
      <c r="B1634" s="67" t="str">
        <f>MID(C1634, FIND("Ifc.", C1634) + 4, 4) &amp; "_" &amp; TEXT(COUNTIF($C$2:C1634, C1634),"0000")</f>
        <v>Prop_1633</v>
      </c>
      <c r="C1634" s="24" t="s">
        <v>872</v>
      </c>
      <c r="D1634" s="69" t="s">
        <v>9453</v>
      </c>
      <c r="E1634" s="70" t="s">
        <v>9454</v>
      </c>
      <c r="F1634" s="17" t="s">
        <v>806</v>
      </c>
      <c r="G1634" s="22" t="s">
        <v>909</v>
      </c>
      <c r="H1634" s="12" t="s">
        <v>9703</v>
      </c>
      <c r="I1634" s="13" t="s">
        <v>6069</v>
      </c>
      <c r="J1634" s="14" t="s">
        <v>798</v>
      </c>
      <c r="K1634" s="15" t="s">
        <v>798</v>
      </c>
      <c r="L1634" s="12" t="s">
        <v>5315</v>
      </c>
      <c r="M1634" s="13" t="s">
        <v>5505</v>
      </c>
      <c r="N1634" s="12" t="s">
        <v>803</v>
      </c>
      <c r="O1634" s="13" t="s">
        <v>5118</v>
      </c>
      <c r="P1634" s="17" t="s">
        <v>802</v>
      </c>
      <c r="Q1634" s="21" t="s">
        <v>7761</v>
      </c>
      <c r="R1634" s="17" t="s">
        <v>801</v>
      </c>
      <c r="S1634" s="18" t="s">
        <v>2559</v>
      </c>
      <c r="T1634" s="17" t="s">
        <v>800</v>
      </c>
      <c r="U1634" s="18" t="s">
        <v>5234</v>
      </c>
      <c r="V1634" s="17" t="s">
        <v>9418</v>
      </c>
      <c r="W1634" s="18" t="s">
        <v>5309</v>
      </c>
      <c r="X1634" s="69" t="s">
        <v>9453</v>
      </c>
      <c r="Y1634" s="70" t="s">
        <v>9462</v>
      </c>
      <c r="Z1634" s="73" t="s">
        <v>9486</v>
      </c>
      <c r="AA1634" s="74" t="s">
        <v>9504</v>
      </c>
      <c r="AB1634" s="73" t="s">
        <v>9486</v>
      </c>
      <c r="AC1634" s="74" t="s">
        <v>9562</v>
      </c>
      <c r="AD1634" s="73" t="s">
        <v>9578</v>
      </c>
      <c r="AE1634" s="74" t="s">
        <v>9579</v>
      </c>
    </row>
    <row r="1635" spans="1:31" ht="8.65" customHeight="1" x14ac:dyDescent="0.2">
      <c r="A1635" s="76">
        <v>1635</v>
      </c>
      <c r="B1635" s="67" t="str">
        <f>MID(C1635, FIND("Ifc.", C1635) + 4, 4) &amp; "_" &amp; TEXT(COUNTIF($C$2:C1635, C1635),"0000")</f>
        <v>Prop_1634</v>
      </c>
      <c r="C1635" s="24" t="s">
        <v>872</v>
      </c>
      <c r="D1635" s="69" t="s">
        <v>9453</v>
      </c>
      <c r="E1635" s="70" t="s">
        <v>9454</v>
      </c>
      <c r="F1635" s="17" t="s">
        <v>806</v>
      </c>
      <c r="G1635" s="22" t="s">
        <v>909</v>
      </c>
      <c r="H1635" s="12" t="s">
        <v>9703</v>
      </c>
      <c r="I1635" s="13" t="s">
        <v>6069</v>
      </c>
      <c r="J1635" s="14" t="s">
        <v>798</v>
      </c>
      <c r="K1635" s="15" t="s">
        <v>798</v>
      </c>
      <c r="L1635" s="12" t="s">
        <v>5315</v>
      </c>
      <c r="M1635" s="13" t="s">
        <v>5509</v>
      </c>
      <c r="N1635" s="12" t="s">
        <v>803</v>
      </c>
      <c r="O1635" s="13" t="s">
        <v>5125</v>
      </c>
      <c r="P1635" s="17" t="s">
        <v>802</v>
      </c>
      <c r="Q1635" s="21" t="s">
        <v>8040</v>
      </c>
      <c r="R1635" s="17" t="s">
        <v>801</v>
      </c>
      <c r="S1635" s="18" t="s">
        <v>2559</v>
      </c>
      <c r="T1635" s="17" t="s">
        <v>800</v>
      </c>
      <c r="U1635" s="18" t="s">
        <v>5234</v>
      </c>
      <c r="V1635" s="17" t="s">
        <v>9418</v>
      </c>
      <c r="W1635" s="18" t="s">
        <v>5309</v>
      </c>
      <c r="X1635" s="69" t="s">
        <v>9453</v>
      </c>
      <c r="Y1635" s="70" t="s">
        <v>9462</v>
      </c>
      <c r="Z1635" s="73" t="s">
        <v>9486</v>
      </c>
      <c r="AA1635" s="74" t="s">
        <v>9504</v>
      </c>
      <c r="AB1635" s="73" t="s">
        <v>9486</v>
      </c>
      <c r="AC1635" s="74" t="s">
        <v>9562</v>
      </c>
      <c r="AD1635" s="73" t="s">
        <v>9578</v>
      </c>
      <c r="AE1635" s="74" t="s">
        <v>9579</v>
      </c>
    </row>
    <row r="1636" spans="1:31" ht="8.65" customHeight="1" x14ac:dyDescent="0.2">
      <c r="A1636" s="76">
        <v>1636</v>
      </c>
      <c r="B1636" s="67" t="str">
        <f>MID(C1636, FIND("Ifc.", C1636) + 4, 4) &amp; "_" &amp; TEXT(COUNTIF($C$2:C1636, C1636),"0000")</f>
        <v>Prop_1635</v>
      </c>
      <c r="C1636" s="24" t="s">
        <v>872</v>
      </c>
      <c r="D1636" s="69" t="s">
        <v>9453</v>
      </c>
      <c r="E1636" s="70" t="s">
        <v>9454</v>
      </c>
      <c r="F1636" s="17" t="s">
        <v>806</v>
      </c>
      <c r="G1636" s="22" t="s">
        <v>909</v>
      </c>
      <c r="H1636" s="12" t="s">
        <v>9703</v>
      </c>
      <c r="I1636" s="13" t="s">
        <v>6069</v>
      </c>
      <c r="J1636" s="14" t="s">
        <v>798</v>
      </c>
      <c r="K1636" s="15" t="s">
        <v>798</v>
      </c>
      <c r="L1636" s="12" t="s">
        <v>5315</v>
      </c>
      <c r="M1636" s="13" t="s">
        <v>5515</v>
      </c>
      <c r="N1636" s="12" t="s">
        <v>803</v>
      </c>
      <c r="O1636" s="13" t="s">
        <v>5130</v>
      </c>
      <c r="P1636" s="17" t="s">
        <v>802</v>
      </c>
      <c r="Q1636" s="21" t="s">
        <v>8041</v>
      </c>
      <c r="R1636" s="17" t="s">
        <v>801</v>
      </c>
      <c r="S1636" s="18" t="s">
        <v>2559</v>
      </c>
      <c r="T1636" s="17" t="s">
        <v>800</v>
      </c>
      <c r="U1636" s="18" t="s">
        <v>5234</v>
      </c>
      <c r="V1636" s="17" t="s">
        <v>9418</v>
      </c>
      <c r="W1636" s="18" t="s">
        <v>5309</v>
      </c>
      <c r="X1636" s="69" t="s">
        <v>9453</v>
      </c>
      <c r="Y1636" s="70" t="s">
        <v>9462</v>
      </c>
      <c r="Z1636" s="73" t="s">
        <v>9486</v>
      </c>
      <c r="AA1636" s="74" t="s">
        <v>9504</v>
      </c>
      <c r="AB1636" s="73" t="s">
        <v>9486</v>
      </c>
      <c r="AC1636" s="74" t="s">
        <v>9562</v>
      </c>
      <c r="AD1636" s="73" t="s">
        <v>9578</v>
      </c>
      <c r="AE1636" s="74" t="s">
        <v>9579</v>
      </c>
    </row>
    <row r="1637" spans="1:31" ht="8.65" customHeight="1" x14ac:dyDescent="0.2">
      <c r="A1637" s="76">
        <v>1637</v>
      </c>
      <c r="B1637" s="67" t="str">
        <f>MID(C1637, FIND("Ifc.", C1637) + 4, 4) &amp; "_" &amp; TEXT(COUNTIF($C$2:C1637, C1637),"0000")</f>
        <v>Prop_1636</v>
      </c>
      <c r="C1637" s="24" t="s">
        <v>872</v>
      </c>
      <c r="D1637" s="69" t="s">
        <v>9453</v>
      </c>
      <c r="E1637" s="70" t="s">
        <v>9454</v>
      </c>
      <c r="F1637" s="17" t="s">
        <v>806</v>
      </c>
      <c r="G1637" s="22" t="s">
        <v>909</v>
      </c>
      <c r="H1637" s="12" t="s">
        <v>9703</v>
      </c>
      <c r="I1637" s="13" t="s">
        <v>6069</v>
      </c>
      <c r="J1637" s="14" t="s">
        <v>798</v>
      </c>
      <c r="K1637" s="15" t="s">
        <v>798</v>
      </c>
      <c r="L1637" s="12" t="s">
        <v>5315</v>
      </c>
      <c r="M1637" s="13" t="s">
        <v>5518</v>
      </c>
      <c r="N1637" s="12" t="s">
        <v>803</v>
      </c>
      <c r="O1637" s="13" t="s">
        <v>5133</v>
      </c>
      <c r="P1637" s="17" t="s">
        <v>802</v>
      </c>
      <c r="Q1637" s="21" t="s">
        <v>7719</v>
      </c>
      <c r="R1637" s="17" t="s">
        <v>801</v>
      </c>
      <c r="S1637" s="18" t="s">
        <v>2559</v>
      </c>
      <c r="T1637" s="17" t="s">
        <v>800</v>
      </c>
      <c r="U1637" s="18" t="s">
        <v>5234</v>
      </c>
      <c r="V1637" s="17" t="s">
        <v>9418</v>
      </c>
      <c r="W1637" s="18" t="s">
        <v>5309</v>
      </c>
      <c r="X1637" s="69" t="s">
        <v>9453</v>
      </c>
      <c r="Y1637" s="70" t="s">
        <v>9462</v>
      </c>
      <c r="Z1637" s="73" t="s">
        <v>9486</v>
      </c>
      <c r="AA1637" s="74" t="s">
        <v>9504</v>
      </c>
      <c r="AB1637" s="73" t="s">
        <v>9486</v>
      </c>
      <c r="AC1637" s="74" t="s">
        <v>9562</v>
      </c>
      <c r="AD1637" s="73" t="s">
        <v>9578</v>
      </c>
      <c r="AE1637" s="74" t="s">
        <v>9579</v>
      </c>
    </row>
    <row r="1638" spans="1:31" ht="8.65" customHeight="1" x14ac:dyDescent="0.2">
      <c r="A1638" s="76">
        <v>1638</v>
      </c>
      <c r="B1638" s="67" t="str">
        <f>MID(C1638, FIND("Ifc.", C1638) + 4, 4) &amp; "_" &amp; TEXT(COUNTIF($C$2:C1638, C1638),"0000")</f>
        <v>Prop_1637</v>
      </c>
      <c r="C1638" s="24" t="s">
        <v>872</v>
      </c>
      <c r="D1638" s="69" t="s">
        <v>9453</v>
      </c>
      <c r="E1638" s="70" t="s">
        <v>9454</v>
      </c>
      <c r="F1638" s="17" t="s">
        <v>806</v>
      </c>
      <c r="G1638" s="22" t="s">
        <v>909</v>
      </c>
      <c r="H1638" s="12" t="s">
        <v>9703</v>
      </c>
      <c r="I1638" s="13" t="s">
        <v>6069</v>
      </c>
      <c r="J1638" s="14" t="s">
        <v>798</v>
      </c>
      <c r="K1638" s="15" t="s">
        <v>798</v>
      </c>
      <c r="L1638" s="12" t="s">
        <v>5315</v>
      </c>
      <c r="M1638" s="13" t="s">
        <v>5519</v>
      </c>
      <c r="N1638" s="12" t="s">
        <v>803</v>
      </c>
      <c r="O1638" s="13" t="s">
        <v>5134</v>
      </c>
      <c r="P1638" s="17" t="s">
        <v>802</v>
      </c>
      <c r="Q1638" s="21" t="s">
        <v>7935</v>
      </c>
      <c r="R1638" s="17" t="s">
        <v>801</v>
      </c>
      <c r="S1638" s="18" t="s">
        <v>2559</v>
      </c>
      <c r="T1638" s="17" t="s">
        <v>800</v>
      </c>
      <c r="U1638" s="18" t="s">
        <v>5234</v>
      </c>
      <c r="V1638" s="17" t="s">
        <v>9418</v>
      </c>
      <c r="W1638" s="18" t="s">
        <v>5309</v>
      </c>
      <c r="X1638" s="69" t="s">
        <v>9453</v>
      </c>
      <c r="Y1638" s="70" t="s">
        <v>9462</v>
      </c>
      <c r="Z1638" s="73" t="s">
        <v>9486</v>
      </c>
      <c r="AA1638" s="74" t="s">
        <v>9504</v>
      </c>
      <c r="AB1638" s="73" t="s">
        <v>9486</v>
      </c>
      <c r="AC1638" s="74" t="s">
        <v>9562</v>
      </c>
      <c r="AD1638" s="73" t="s">
        <v>9578</v>
      </c>
      <c r="AE1638" s="74" t="s">
        <v>9579</v>
      </c>
    </row>
    <row r="1639" spans="1:31" ht="8.65" customHeight="1" x14ac:dyDescent="0.2">
      <c r="A1639" s="76">
        <v>1639</v>
      </c>
      <c r="B1639" s="67" t="str">
        <f>MID(C1639, FIND("Ifc.", C1639) + 4, 4) &amp; "_" &amp; TEXT(COUNTIF($C$2:C1639, C1639),"0000")</f>
        <v>Prop_1638</v>
      </c>
      <c r="C1639" s="24" t="s">
        <v>872</v>
      </c>
      <c r="D1639" s="69" t="s">
        <v>9453</v>
      </c>
      <c r="E1639" s="70" t="s">
        <v>9454</v>
      </c>
      <c r="F1639" s="17" t="s">
        <v>806</v>
      </c>
      <c r="G1639" s="22" t="s">
        <v>909</v>
      </c>
      <c r="H1639" s="12" t="s">
        <v>9703</v>
      </c>
      <c r="I1639" s="13" t="s">
        <v>6069</v>
      </c>
      <c r="J1639" s="14" t="s">
        <v>798</v>
      </c>
      <c r="K1639" s="15" t="s">
        <v>798</v>
      </c>
      <c r="L1639" s="12" t="s">
        <v>5315</v>
      </c>
      <c r="M1639" s="13" t="s">
        <v>5522</v>
      </c>
      <c r="N1639" s="12" t="s">
        <v>803</v>
      </c>
      <c r="O1639" s="13" t="s">
        <v>5137</v>
      </c>
      <c r="P1639" s="17" t="s">
        <v>802</v>
      </c>
      <c r="Q1639" s="21" t="s">
        <v>8042</v>
      </c>
      <c r="R1639" s="17" t="s">
        <v>801</v>
      </c>
      <c r="S1639" s="18" t="s">
        <v>2559</v>
      </c>
      <c r="T1639" s="17" t="s">
        <v>800</v>
      </c>
      <c r="U1639" s="18" t="s">
        <v>5234</v>
      </c>
      <c r="V1639" s="17" t="s">
        <v>9418</v>
      </c>
      <c r="W1639" s="18" t="s">
        <v>5309</v>
      </c>
      <c r="X1639" s="69" t="s">
        <v>9453</v>
      </c>
      <c r="Y1639" s="70" t="s">
        <v>9462</v>
      </c>
      <c r="Z1639" s="73" t="s">
        <v>9486</v>
      </c>
      <c r="AA1639" s="74" t="s">
        <v>9504</v>
      </c>
      <c r="AB1639" s="73" t="s">
        <v>9486</v>
      </c>
      <c r="AC1639" s="74" t="s">
        <v>9562</v>
      </c>
      <c r="AD1639" s="73" t="s">
        <v>9578</v>
      </c>
      <c r="AE1639" s="74" t="s">
        <v>9579</v>
      </c>
    </row>
    <row r="1640" spans="1:31" ht="8.65" customHeight="1" x14ac:dyDescent="0.2">
      <c r="A1640" s="76">
        <v>1640</v>
      </c>
      <c r="B1640" s="67" t="str">
        <f>MID(C1640, FIND("Ifc.", C1640) + 4, 4) &amp; "_" &amp; TEXT(COUNTIF($C$2:C1640, C1640),"0000")</f>
        <v>Prop_1639</v>
      </c>
      <c r="C1640" s="24" t="s">
        <v>872</v>
      </c>
      <c r="D1640" s="69" t="s">
        <v>9453</v>
      </c>
      <c r="E1640" s="70" t="s">
        <v>9454</v>
      </c>
      <c r="F1640" s="17" t="s">
        <v>806</v>
      </c>
      <c r="G1640" s="22" t="s">
        <v>909</v>
      </c>
      <c r="H1640" s="12" t="s">
        <v>9703</v>
      </c>
      <c r="I1640" s="13" t="s">
        <v>6069</v>
      </c>
      <c r="J1640" s="14" t="s">
        <v>798</v>
      </c>
      <c r="K1640" s="15" t="s">
        <v>798</v>
      </c>
      <c r="L1640" s="12" t="s">
        <v>5315</v>
      </c>
      <c r="M1640" s="13" t="s">
        <v>5548</v>
      </c>
      <c r="N1640" s="12" t="s">
        <v>803</v>
      </c>
      <c r="O1640" s="13" t="s">
        <v>5161</v>
      </c>
      <c r="P1640" s="17" t="s">
        <v>802</v>
      </c>
      <c r="Q1640" s="21" t="s">
        <v>7796</v>
      </c>
      <c r="R1640" s="17" t="s">
        <v>801</v>
      </c>
      <c r="S1640" s="18" t="s">
        <v>2559</v>
      </c>
      <c r="T1640" s="17" t="s">
        <v>800</v>
      </c>
      <c r="U1640" s="18" t="s">
        <v>5234</v>
      </c>
      <c r="V1640" s="17" t="s">
        <v>9418</v>
      </c>
      <c r="W1640" s="18" t="s">
        <v>5309</v>
      </c>
      <c r="X1640" s="69" t="s">
        <v>9453</v>
      </c>
      <c r="Y1640" s="70" t="s">
        <v>9462</v>
      </c>
      <c r="Z1640" s="73" t="s">
        <v>9486</v>
      </c>
      <c r="AA1640" s="74" t="s">
        <v>9504</v>
      </c>
      <c r="AB1640" s="73" t="s">
        <v>9486</v>
      </c>
      <c r="AC1640" s="74" t="s">
        <v>9562</v>
      </c>
      <c r="AD1640" s="73" t="s">
        <v>9578</v>
      </c>
      <c r="AE1640" s="74" t="s">
        <v>9579</v>
      </c>
    </row>
    <row r="1641" spans="1:31" ht="8.65" customHeight="1" x14ac:dyDescent="0.2">
      <c r="A1641" s="76">
        <v>1641</v>
      </c>
      <c r="B1641" s="67" t="str">
        <f>MID(C1641, FIND("Ifc.", C1641) + 4, 4) &amp; "_" &amp; TEXT(COUNTIF($C$2:C1641, C1641),"0000")</f>
        <v>Prop_1640</v>
      </c>
      <c r="C1641" s="24" t="s">
        <v>872</v>
      </c>
      <c r="D1641" s="69" t="s">
        <v>9453</v>
      </c>
      <c r="E1641" s="70" t="s">
        <v>9454</v>
      </c>
      <c r="F1641" s="17" t="s">
        <v>806</v>
      </c>
      <c r="G1641" s="22" t="s">
        <v>909</v>
      </c>
      <c r="H1641" s="12" t="s">
        <v>9703</v>
      </c>
      <c r="I1641" s="13" t="s">
        <v>6069</v>
      </c>
      <c r="J1641" s="14" t="s">
        <v>798</v>
      </c>
      <c r="K1641" s="15" t="s">
        <v>798</v>
      </c>
      <c r="L1641" s="12" t="s">
        <v>5315</v>
      </c>
      <c r="M1641" s="13" t="s">
        <v>5550</v>
      </c>
      <c r="N1641" s="12" t="s">
        <v>803</v>
      </c>
      <c r="O1641" s="13" t="s">
        <v>5162</v>
      </c>
      <c r="P1641" s="17" t="s">
        <v>802</v>
      </c>
      <c r="Q1641" s="21" t="s">
        <v>7870</v>
      </c>
      <c r="R1641" s="17" t="s">
        <v>801</v>
      </c>
      <c r="S1641" s="18" t="s">
        <v>2559</v>
      </c>
      <c r="T1641" s="17" t="s">
        <v>800</v>
      </c>
      <c r="U1641" s="18" t="s">
        <v>5234</v>
      </c>
      <c r="V1641" s="17" t="s">
        <v>9418</v>
      </c>
      <c r="W1641" s="18" t="s">
        <v>5309</v>
      </c>
      <c r="X1641" s="69" t="s">
        <v>9453</v>
      </c>
      <c r="Y1641" s="70" t="s">
        <v>9462</v>
      </c>
      <c r="Z1641" s="73" t="s">
        <v>9486</v>
      </c>
      <c r="AA1641" s="74" t="s">
        <v>9504</v>
      </c>
      <c r="AB1641" s="73" t="s">
        <v>9486</v>
      </c>
      <c r="AC1641" s="74" t="s">
        <v>9562</v>
      </c>
      <c r="AD1641" s="73" t="s">
        <v>9578</v>
      </c>
      <c r="AE1641" s="74" t="s">
        <v>9579</v>
      </c>
    </row>
    <row r="1642" spans="1:31" ht="8.65" customHeight="1" x14ac:dyDescent="0.2">
      <c r="A1642" s="76">
        <v>1642</v>
      </c>
      <c r="B1642" s="67" t="str">
        <f>MID(C1642, FIND("Ifc.", C1642) + 4, 4) &amp; "_" &amp; TEXT(COUNTIF($C$2:C1642, C1642),"0000")</f>
        <v>Prop_1641</v>
      </c>
      <c r="C1642" s="24" t="s">
        <v>872</v>
      </c>
      <c r="D1642" s="69" t="s">
        <v>9453</v>
      </c>
      <c r="E1642" s="70" t="s">
        <v>9454</v>
      </c>
      <c r="F1642" s="17" t="s">
        <v>806</v>
      </c>
      <c r="G1642" s="22" t="s">
        <v>909</v>
      </c>
      <c r="H1642" s="12" t="s">
        <v>9703</v>
      </c>
      <c r="I1642" s="13" t="s">
        <v>6069</v>
      </c>
      <c r="J1642" s="14" t="s">
        <v>798</v>
      </c>
      <c r="K1642" s="15" t="s">
        <v>798</v>
      </c>
      <c r="L1642" s="12" t="s">
        <v>5315</v>
      </c>
      <c r="M1642" s="13" t="s">
        <v>5551</v>
      </c>
      <c r="N1642" s="12" t="s">
        <v>803</v>
      </c>
      <c r="O1642" s="13" t="s">
        <v>5164</v>
      </c>
      <c r="P1642" s="17" t="s">
        <v>802</v>
      </c>
      <c r="Q1642" s="21" t="s">
        <v>7871</v>
      </c>
      <c r="R1642" s="17" t="s">
        <v>801</v>
      </c>
      <c r="S1642" s="18" t="s">
        <v>2559</v>
      </c>
      <c r="T1642" s="17" t="s">
        <v>800</v>
      </c>
      <c r="U1642" s="18" t="s">
        <v>5234</v>
      </c>
      <c r="V1642" s="17" t="s">
        <v>9418</v>
      </c>
      <c r="W1642" s="18" t="s">
        <v>5309</v>
      </c>
      <c r="X1642" s="69" t="s">
        <v>9453</v>
      </c>
      <c r="Y1642" s="70" t="s">
        <v>9462</v>
      </c>
      <c r="Z1642" s="73" t="s">
        <v>9486</v>
      </c>
      <c r="AA1642" s="74" t="s">
        <v>9504</v>
      </c>
      <c r="AB1642" s="73" t="s">
        <v>9486</v>
      </c>
      <c r="AC1642" s="74" t="s">
        <v>9562</v>
      </c>
      <c r="AD1642" s="73" t="s">
        <v>9578</v>
      </c>
      <c r="AE1642" s="74" t="s">
        <v>9579</v>
      </c>
    </row>
    <row r="1643" spans="1:31" ht="8.65" customHeight="1" x14ac:dyDescent="0.2">
      <c r="A1643" s="76">
        <v>1643</v>
      </c>
      <c r="B1643" s="67" t="str">
        <f>MID(C1643, FIND("Ifc.", C1643) + 4, 4) &amp; "_" &amp; TEXT(COUNTIF($C$2:C1643, C1643),"0000")</f>
        <v>Prop_1642</v>
      </c>
      <c r="C1643" s="24" t="s">
        <v>872</v>
      </c>
      <c r="D1643" s="69" t="s">
        <v>9453</v>
      </c>
      <c r="E1643" s="70" t="s">
        <v>9454</v>
      </c>
      <c r="F1643" s="17" t="s">
        <v>806</v>
      </c>
      <c r="G1643" s="22" t="s">
        <v>909</v>
      </c>
      <c r="H1643" s="12" t="s">
        <v>9703</v>
      </c>
      <c r="I1643" s="13" t="s">
        <v>6069</v>
      </c>
      <c r="J1643" s="14" t="s">
        <v>798</v>
      </c>
      <c r="K1643" s="15" t="s">
        <v>798</v>
      </c>
      <c r="L1643" s="12" t="s">
        <v>5315</v>
      </c>
      <c r="M1643" s="13" t="s">
        <v>5552</v>
      </c>
      <c r="N1643" s="12" t="s">
        <v>803</v>
      </c>
      <c r="O1643" s="13" t="s">
        <v>5166</v>
      </c>
      <c r="P1643" s="17" t="s">
        <v>802</v>
      </c>
      <c r="Q1643" s="21" t="s">
        <v>8043</v>
      </c>
      <c r="R1643" s="17" t="s">
        <v>801</v>
      </c>
      <c r="S1643" s="18" t="s">
        <v>2559</v>
      </c>
      <c r="T1643" s="17" t="s">
        <v>800</v>
      </c>
      <c r="U1643" s="18" t="s">
        <v>5234</v>
      </c>
      <c r="V1643" s="17" t="s">
        <v>9418</v>
      </c>
      <c r="W1643" s="18" t="s">
        <v>5309</v>
      </c>
      <c r="X1643" s="69" t="s">
        <v>9453</v>
      </c>
      <c r="Y1643" s="70" t="s">
        <v>9462</v>
      </c>
      <c r="Z1643" s="73" t="s">
        <v>9486</v>
      </c>
      <c r="AA1643" s="74" t="s">
        <v>9504</v>
      </c>
      <c r="AB1643" s="73" t="s">
        <v>9486</v>
      </c>
      <c r="AC1643" s="74" t="s">
        <v>9562</v>
      </c>
      <c r="AD1643" s="73" t="s">
        <v>9578</v>
      </c>
      <c r="AE1643" s="74" t="s">
        <v>9579</v>
      </c>
    </row>
    <row r="1644" spans="1:31" ht="8.65" customHeight="1" x14ac:dyDescent="0.2">
      <c r="A1644" s="76">
        <v>1644</v>
      </c>
      <c r="B1644" s="67" t="str">
        <f>MID(C1644, FIND("Ifc.", C1644) + 4, 4) &amp; "_" &amp; TEXT(COUNTIF($C$2:C1644, C1644),"0000")</f>
        <v>Prop_1643</v>
      </c>
      <c r="C1644" s="24" t="s">
        <v>872</v>
      </c>
      <c r="D1644" s="69" t="s">
        <v>9453</v>
      </c>
      <c r="E1644" s="70" t="s">
        <v>9454</v>
      </c>
      <c r="F1644" s="17" t="s">
        <v>806</v>
      </c>
      <c r="G1644" s="22" t="s">
        <v>909</v>
      </c>
      <c r="H1644" s="12" t="s">
        <v>9703</v>
      </c>
      <c r="I1644" s="13" t="s">
        <v>6069</v>
      </c>
      <c r="J1644" s="14" t="s">
        <v>798</v>
      </c>
      <c r="K1644" s="15" t="s">
        <v>798</v>
      </c>
      <c r="L1644" s="12" t="s">
        <v>5315</v>
      </c>
      <c r="M1644" s="13" t="s">
        <v>5553</v>
      </c>
      <c r="N1644" s="12" t="s">
        <v>803</v>
      </c>
      <c r="O1644" s="13" t="s">
        <v>5167</v>
      </c>
      <c r="P1644" s="17" t="s">
        <v>802</v>
      </c>
      <c r="Q1644" s="21" t="s">
        <v>8044</v>
      </c>
      <c r="R1644" s="17" t="s">
        <v>801</v>
      </c>
      <c r="S1644" s="18" t="s">
        <v>2559</v>
      </c>
      <c r="T1644" s="17" t="s">
        <v>800</v>
      </c>
      <c r="U1644" s="18" t="s">
        <v>5234</v>
      </c>
      <c r="V1644" s="17" t="s">
        <v>9418</v>
      </c>
      <c r="W1644" s="18" t="s">
        <v>5309</v>
      </c>
      <c r="X1644" s="69" t="s">
        <v>9453</v>
      </c>
      <c r="Y1644" s="70" t="s">
        <v>9462</v>
      </c>
      <c r="Z1644" s="73" t="s">
        <v>9486</v>
      </c>
      <c r="AA1644" s="74" t="s">
        <v>9504</v>
      </c>
      <c r="AB1644" s="73" t="s">
        <v>9486</v>
      </c>
      <c r="AC1644" s="74" t="s">
        <v>9562</v>
      </c>
      <c r="AD1644" s="73" t="s">
        <v>9578</v>
      </c>
      <c r="AE1644" s="74" t="s">
        <v>9579</v>
      </c>
    </row>
    <row r="1645" spans="1:31" ht="8.65" customHeight="1" x14ac:dyDescent="0.2">
      <c r="A1645" s="76">
        <v>1645</v>
      </c>
      <c r="B1645" s="67" t="str">
        <f>MID(C1645, FIND("Ifc.", C1645) + 4, 4) &amp; "_" &amp; TEXT(COUNTIF($C$2:C1645, C1645),"0000")</f>
        <v>Prop_1644</v>
      </c>
      <c r="C1645" s="24" t="s">
        <v>872</v>
      </c>
      <c r="D1645" s="69" t="s">
        <v>9453</v>
      </c>
      <c r="E1645" s="70" t="s">
        <v>9454</v>
      </c>
      <c r="F1645" s="17" t="s">
        <v>806</v>
      </c>
      <c r="G1645" s="22" t="s">
        <v>909</v>
      </c>
      <c r="H1645" s="12" t="s">
        <v>9703</v>
      </c>
      <c r="I1645" s="13" t="s">
        <v>6069</v>
      </c>
      <c r="J1645" s="14" t="s">
        <v>798</v>
      </c>
      <c r="K1645" s="15" t="s">
        <v>798</v>
      </c>
      <c r="L1645" s="12" t="s">
        <v>5315</v>
      </c>
      <c r="M1645" s="13" t="s">
        <v>5555</v>
      </c>
      <c r="N1645" s="12" t="s">
        <v>803</v>
      </c>
      <c r="O1645" s="13" t="s">
        <v>5025</v>
      </c>
      <c r="P1645" s="17" t="s">
        <v>802</v>
      </c>
      <c r="Q1645" s="21" t="s">
        <v>7747</v>
      </c>
      <c r="R1645" s="17" t="s">
        <v>801</v>
      </c>
      <c r="S1645" s="18" t="s">
        <v>2559</v>
      </c>
      <c r="T1645" s="17" t="s">
        <v>800</v>
      </c>
      <c r="U1645" s="18" t="s">
        <v>5234</v>
      </c>
      <c r="V1645" s="17" t="s">
        <v>9418</v>
      </c>
      <c r="W1645" s="18" t="s">
        <v>5309</v>
      </c>
      <c r="X1645" s="69" t="s">
        <v>9453</v>
      </c>
      <c r="Y1645" s="70" t="s">
        <v>9462</v>
      </c>
      <c r="Z1645" s="73" t="s">
        <v>9486</v>
      </c>
      <c r="AA1645" s="74" t="s">
        <v>9504</v>
      </c>
      <c r="AB1645" s="73" t="s">
        <v>9486</v>
      </c>
      <c r="AC1645" s="74" t="s">
        <v>9562</v>
      </c>
      <c r="AD1645" s="73" t="s">
        <v>9578</v>
      </c>
      <c r="AE1645" s="74" t="s">
        <v>9579</v>
      </c>
    </row>
    <row r="1646" spans="1:31" ht="8.65" customHeight="1" x14ac:dyDescent="0.2">
      <c r="A1646" s="76">
        <v>1646</v>
      </c>
      <c r="B1646" s="67" t="str">
        <f>MID(C1646, FIND("Ifc.", C1646) + 4, 4) &amp; "_" &amp; TEXT(COUNTIF($C$2:C1646, C1646),"0000")</f>
        <v>Prop_1645</v>
      </c>
      <c r="C1646" s="24" t="s">
        <v>872</v>
      </c>
      <c r="D1646" s="69" t="s">
        <v>9453</v>
      </c>
      <c r="E1646" s="70" t="s">
        <v>9454</v>
      </c>
      <c r="F1646" s="17" t="s">
        <v>806</v>
      </c>
      <c r="G1646" s="22" t="s">
        <v>909</v>
      </c>
      <c r="H1646" s="12" t="s">
        <v>9703</v>
      </c>
      <c r="I1646" s="13" t="s">
        <v>6069</v>
      </c>
      <c r="J1646" s="14" t="s">
        <v>798</v>
      </c>
      <c r="K1646" s="15" t="s">
        <v>798</v>
      </c>
      <c r="L1646" s="12" t="s">
        <v>5315</v>
      </c>
      <c r="M1646" s="13" t="s">
        <v>5556</v>
      </c>
      <c r="N1646" s="12" t="s">
        <v>803</v>
      </c>
      <c r="O1646" s="13" t="s">
        <v>5169</v>
      </c>
      <c r="P1646" s="17" t="s">
        <v>802</v>
      </c>
      <c r="Q1646" s="21" t="s">
        <v>7728</v>
      </c>
      <c r="R1646" s="17" t="s">
        <v>801</v>
      </c>
      <c r="S1646" s="18" t="s">
        <v>2559</v>
      </c>
      <c r="T1646" s="17" t="s">
        <v>800</v>
      </c>
      <c r="U1646" s="18" t="s">
        <v>5234</v>
      </c>
      <c r="V1646" s="17" t="s">
        <v>9418</v>
      </c>
      <c r="W1646" s="18" t="s">
        <v>5309</v>
      </c>
      <c r="X1646" s="69" t="s">
        <v>9453</v>
      </c>
      <c r="Y1646" s="70" t="s">
        <v>9462</v>
      </c>
      <c r="Z1646" s="73" t="s">
        <v>9486</v>
      </c>
      <c r="AA1646" s="74" t="s">
        <v>9504</v>
      </c>
      <c r="AB1646" s="73" t="s">
        <v>9486</v>
      </c>
      <c r="AC1646" s="74" t="s">
        <v>9562</v>
      </c>
      <c r="AD1646" s="73" t="s">
        <v>9578</v>
      </c>
      <c r="AE1646" s="74" t="s">
        <v>9579</v>
      </c>
    </row>
    <row r="1647" spans="1:31" ht="8.65" customHeight="1" x14ac:dyDescent="0.2">
      <c r="A1647" s="76">
        <v>1647</v>
      </c>
      <c r="B1647" s="67" t="str">
        <f>MID(C1647, FIND("Ifc.", C1647) + 4, 4) &amp; "_" &amp; TEXT(COUNTIF($C$2:C1647, C1647),"0000")</f>
        <v>Prop_1646</v>
      </c>
      <c r="C1647" s="24" t="s">
        <v>872</v>
      </c>
      <c r="D1647" s="69" t="s">
        <v>9453</v>
      </c>
      <c r="E1647" s="70" t="s">
        <v>9454</v>
      </c>
      <c r="F1647" s="17" t="s">
        <v>806</v>
      </c>
      <c r="G1647" s="22" t="s">
        <v>909</v>
      </c>
      <c r="H1647" s="12" t="s">
        <v>9703</v>
      </c>
      <c r="I1647" s="13" t="s">
        <v>6069</v>
      </c>
      <c r="J1647" s="14" t="s">
        <v>798</v>
      </c>
      <c r="K1647" s="15" t="s">
        <v>798</v>
      </c>
      <c r="L1647" s="12" t="s">
        <v>5315</v>
      </c>
      <c r="M1647" s="13" t="s">
        <v>5560</v>
      </c>
      <c r="N1647" s="12" t="s">
        <v>803</v>
      </c>
      <c r="O1647" s="13" t="s">
        <v>5174</v>
      </c>
      <c r="P1647" s="17" t="s">
        <v>802</v>
      </c>
      <c r="Q1647" s="21" t="s">
        <v>7793</v>
      </c>
      <c r="R1647" s="17" t="s">
        <v>801</v>
      </c>
      <c r="S1647" s="18" t="s">
        <v>2559</v>
      </c>
      <c r="T1647" s="17" t="s">
        <v>800</v>
      </c>
      <c r="U1647" s="18" t="s">
        <v>5234</v>
      </c>
      <c r="V1647" s="17" t="s">
        <v>9418</v>
      </c>
      <c r="W1647" s="18" t="s">
        <v>5309</v>
      </c>
      <c r="X1647" s="69" t="s">
        <v>9453</v>
      </c>
      <c r="Y1647" s="70" t="s">
        <v>9462</v>
      </c>
      <c r="Z1647" s="73" t="s">
        <v>9486</v>
      </c>
      <c r="AA1647" s="74" t="s">
        <v>9504</v>
      </c>
      <c r="AB1647" s="73" t="s">
        <v>9486</v>
      </c>
      <c r="AC1647" s="74" t="s">
        <v>9562</v>
      </c>
      <c r="AD1647" s="73" t="s">
        <v>9578</v>
      </c>
      <c r="AE1647" s="74" t="s">
        <v>9579</v>
      </c>
    </row>
    <row r="1648" spans="1:31" ht="8.65" customHeight="1" x14ac:dyDescent="0.2">
      <c r="A1648" s="76">
        <v>1648</v>
      </c>
      <c r="B1648" s="67" t="str">
        <f>MID(C1648, FIND("Ifc.", C1648) + 4, 4) &amp; "_" &amp; TEXT(COUNTIF($C$2:C1648, C1648),"0000")</f>
        <v>Prop_1647</v>
      </c>
      <c r="C1648" s="24" t="s">
        <v>872</v>
      </c>
      <c r="D1648" s="69" t="s">
        <v>9453</v>
      </c>
      <c r="E1648" s="70" t="s">
        <v>9454</v>
      </c>
      <c r="F1648" s="17" t="s">
        <v>806</v>
      </c>
      <c r="G1648" s="22" t="s">
        <v>909</v>
      </c>
      <c r="H1648" s="12" t="s">
        <v>9703</v>
      </c>
      <c r="I1648" s="13" t="s">
        <v>6069</v>
      </c>
      <c r="J1648" s="14" t="s">
        <v>798</v>
      </c>
      <c r="K1648" s="15" t="s">
        <v>798</v>
      </c>
      <c r="L1648" s="12" t="s">
        <v>5315</v>
      </c>
      <c r="M1648" s="13" t="s">
        <v>5563</v>
      </c>
      <c r="N1648" s="12" t="s">
        <v>803</v>
      </c>
      <c r="O1648" s="13" t="s">
        <v>5178</v>
      </c>
      <c r="P1648" s="17" t="s">
        <v>802</v>
      </c>
      <c r="Q1648" s="21" t="s">
        <v>7810</v>
      </c>
      <c r="R1648" s="17" t="s">
        <v>801</v>
      </c>
      <c r="S1648" s="18" t="s">
        <v>2559</v>
      </c>
      <c r="T1648" s="17" t="s">
        <v>800</v>
      </c>
      <c r="U1648" s="18" t="s">
        <v>5234</v>
      </c>
      <c r="V1648" s="17" t="s">
        <v>9418</v>
      </c>
      <c r="W1648" s="18" t="s">
        <v>5309</v>
      </c>
      <c r="X1648" s="69" t="s">
        <v>9453</v>
      </c>
      <c r="Y1648" s="70" t="s">
        <v>9462</v>
      </c>
      <c r="Z1648" s="73" t="s">
        <v>9486</v>
      </c>
      <c r="AA1648" s="74" t="s">
        <v>9504</v>
      </c>
      <c r="AB1648" s="73" t="s">
        <v>9486</v>
      </c>
      <c r="AC1648" s="74" t="s">
        <v>9562</v>
      </c>
      <c r="AD1648" s="73" t="s">
        <v>9578</v>
      </c>
      <c r="AE1648" s="74" t="s">
        <v>9579</v>
      </c>
    </row>
    <row r="1649" spans="1:31" ht="8.65" customHeight="1" x14ac:dyDescent="0.2">
      <c r="A1649" s="76">
        <v>1649</v>
      </c>
      <c r="B1649" s="67" t="str">
        <f>MID(C1649, FIND("Ifc.", C1649) + 4, 4) &amp; "_" &amp; TEXT(COUNTIF($C$2:C1649, C1649),"0000")</f>
        <v>Prop_1648</v>
      </c>
      <c r="C1649" s="24" t="s">
        <v>872</v>
      </c>
      <c r="D1649" s="69" t="s">
        <v>9453</v>
      </c>
      <c r="E1649" s="70" t="s">
        <v>9454</v>
      </c>
      <c r="F1649" s="17" t="s">
        <v>806</v>
      </c>
      <c r="G1649" s="22" t="s">
        <v>909</v>
      </c>
      <c r="H1649" s="12" t="s">
        <v>9703</v>
      </c>
      <c r="I1649" s="13" t="s">
        <v>6069</v>
      </c>
      <c r="J1649" s="14" t="s">
        <v>798</v>
      </c>
      <c r="K1649" s="15" t="s">
        <v>798</v>
      </c>
      <c r="L1649" s="12" t="s">
        <v>5315</v>
      </c>
      <c r="M1649" s="13" t="s">
        <v>5564</v>
      </c>
      <c r="N1649" s="12" t="s">
        <v>803</v>
      </c>
      <c r="O1649" s="13" t="s">
        <v>5179</v>
      </c>
      <c r="P1649" s="17" t="s">
        <v>802</v>
      </c>
      <c r="Q1649" s="21" t="s">
        <v>7774</v>
      </c>
      <c r="R1649" s="17" t="s">
        <v>801</v>
      </c>
      <c r="S1649" s="18" t="s">
        <v>2559</v>
      </c>
      <c r="T1649" s="17" t="s">
        <v>800</v>
      </c>
      <c r="U1649" s="18" t="s">
        <v>5234</v>
      </c>
      <c r="V1649" s="17" t="s">
        <v>9418</v>
      </c>
      <c r="W1649" s="18" t="s">
        <v>5309</v>
      </c>
      <c r="X1649" s="69" t="s">
        <v>9453</v>
      </c>
      <c r="Y1649" s="70" t="s">
        <v>9462</v>
      </c>
      <c r="Z1649" s="73" t="s">
        <v>9486</v>
      </c>
      <c r="AA1649" s="74" t="s">
        <v>9504</v>
      </c>
      <c r="AB1649" s="73" t="s">
        <v>9486</v>
      </c>
      <c r="AC1649" s="74" t="s">
        <v>9562</v>
      </c>
      <c r="AD1649" s="73" t="s">
        <v>9578</v>
      </c>
      <c r="AE1649" s="74" t="s">
        <v>9579</v>
      </c>
    </row>
    <row r="1650" spans="1:31" ht="8.65" customHeight="1" x14ac:dyDescent="0.2">
      <c r="A1650" s="76">
        <v>1650</v>
      </c>
      <c r="B1650" s="67" t="str">
        <f>MID(C1650, FIND("Ifc.", C1650) + 4, 4) &amp; "_" &amp; TEXT(COUNTIF($C$2:C1650, C1650),"0000")</f>
        <v>Prop_1649</v>
      </c>
      <c r="C1650" s="24" t="s">
        <v>872</v>
      </c>
      <c r="D1650" s="69" t="s">
        <v>9453</v>
      </c>
      <c r="E1650" s="70" t="s">
        <v>9454</v>
      </c>
      <c r="F1650" s="17" t="s">
        <v>806</v>
      </c>
      <c r="G1650" s="22" t="s">
        <v>909</v>
      </c>
      <c r="H1650" s="12" t="s">
        <v>9703</v>
      </c>
      <c r="I1650" s="13" t="s">
        <v>6069</v>
      </c>
      <c r="J1650" s="14" t="s">
        <v>798</v>
      </c>
      <c r="K1650" s="15" t="s">
        <v>798</v>
      </c>
      <c r="L1650" s="12" t="s">
        <v>5315</v>
      </c>
      <c r="M1650" s="13" t="s">
        <v>5781</v>
      </c>
      <c r="N1650" s="12" t="s">
        <v>803</v>
      </c>
      <c r="O1650" s="13" t="s">
        <v>5180</v>
      </c>
      <c r="P1650" s="17" t="s">
        <v>802</v>
      </c>
      <c r="Q1650" s="21" t="s">
        <v>7699</v>
      </c>
      <c r="R1650" s="17" t="s">
        <v>801</v>
      </c>
      <c r="S1650" s="18" t="s">
        <v>2559</v>
      </c>
      <c r="T1650" s="17" t="s">
        <v>800</v>
      </c>
      <c r="U1650" s="18" t="s">
        <v>5234</v>
      </c>
      <c r="V1650" s="17" t="s">
        <v>9418</v>
      </c>
      <c r="W1650" s="18" t="s">
        <v>5309</v>
      </c>
      <c r="X1650" s="69" t="s">
        <v>9453</v>
      </c>
      <c r="Y1650" s="70" t="s">
        <v>9462</v>
      </c>
      <c r="Z1650" s="73" t="s">
        <v>9486</v>
      </c>
      <c r="AA1650" s="74" t="s">
        <v>9504</v>
      </c>
      <c r="AB1650" s="73" t="s">
        <v>9486</v>
      </c>
      <c r="AC1650" s="74" t="s">
        <v>9562</v>
      </c>
      <c r="AD1650" s="73" t="s">
        <v>9578</v>
      </c>
      <c r="AE1650" s="74" t="s">
        <v>9579</v>
      </c>
    </row>
    <row r="1651" spans="1:31" ht="8.65" customHeight="1" x14ac:dyDescent="0.2">
      <c r="A1651" s="76">
        <v>1651</v>
      </c>
      <c r="B1651" s="67" t="str">
        <f>MID(C1651, FIND("Ifc.", C1651) + 4, 4) &amp; "_" &amp; TEXT(COUNTIF($C$2:C1651, C1651),"0000")</f>
        <v>Prop_1650</v>
      </c>
      <c r="C1651" s="24" t="s">
        <v>872</v>
      </c>
      <c r="D1651" s="69" t="s">
        <v>9453</v>
      </c>
      <c r="E1651" s="70" t="s">
        <v>9454</v>
      </c>
      <c r="F1651" s="17" t="s">
        <v>806</v>
      </c>
      <c r="G1651" s="22" t="s">
        <v>909</v>
      </c>
      <c r="H1651" s="12" t="s">
        <v>9703</v>
      </c>
      <c r="I1651" s="13" t="s">
        <v>6069</v>
      </c>
      <c r="J1651" s="14" t="s">
        <v>798</v>
      </c>
      <c r="K1651" s="15" t="s">
        <v>798</v>
      </c>
      <c r="L1651" s="12" t="s">
        <v>5315</v>
      </c>
      <c r="M1651" s="13" t="s">
        <v>5805</v>
      </c>
      <c r="N1651" s="12" t="s">
        <v>803</v>
      </c>
      <c r="O1651" s="13" t="s">
        <v>5189</v>
      </c>
      <c r="P1651" s="17" t="s">
        <v>802</v>
      </c>
      <c r="Q1651" s="21" t="s">
        <v>8045</v>
      </c>
      <c r="R1651" s="17" t="s">
        <v>801</v>
      </c>
      <c r="S1651" s="18" t="s">
        <v>2559</v>
      </c>
      <c r="T1651" s="17" t="s">
        <v>800</v>
      </c>
      <c r="U1651" s="18" t="s">
        <v>5234</v>
      </c>
      <c r="V1651" s="17" t="s">
        <v>9418</v>
      </c>
      <c r="W1651" s="18" t="s">
        <v>5309</v>
      </c>
      <c r="X1651" s="69" t="s">
        <v>9453</v>
      </c>
      <c r="Y1651" s="70" t="s">
        <v>9462</v>
      </c>
      <c r="Z1651" s="73" t="s">
        <v>9486</v>
      </c>
      <c r="AA1651" s="74" t="s">
        <v>9504</v>
      </c>
      <c r="AB1651" s="73" t="s">
        <v>9486</v>
      </c>
      <c r="AC1651" s="74" t="s">
        <v>9562</v>
      </c>
      <c r="AD1651" s="73" t="s">
        <v>9578</v>
      </c>
      <c r="AE1651" s="74" t="s">
        <v>9579</v>
      </c>
    </row>
    <row r="1652" spans="1:31" ht="8.65" customHeight="1" x14ac:dyDescent="0.2">
      <c r="A1652" s="76">
        <v>1652</v>
      </c>
      <c r="B1652" s="67" t="str">
        <f>MID(C1652, FIND("Ifc.", C1652) + 4, 4) &amp; "_" &amp; TEXT(COUNTIF($C$2:C1652, C1652),"0000")</f>
        <v>Prop_1651</v>
      </c>
      <c r="C1652" s="24" t="s">
        <v>872</v>
      </c>
      <c r="D1652" s="69" t="s">
        <v>9453</v>
      </c>
      <c r="E1652" s="70" t="s">
        <v>9454</v>
      </c>
      <c r="F1652" s="17" t="s">
        <v>806</v>
      </c>
      <c r="G1652" s="22" t="s">
        <v>909</v>
      </c>
      <c r="H1652" s="12" t="s">
        <v>9703</v>
      </c>
      <c r="I1652" s="13" t="s">
        <v>6069</v>
      </c>
      <c r="J1652" s="14" t="s">
        <v>798</v>
      </c>
      <c r="K1652" s="15" t="s">
        <v>798</v>
      </c>
      <c r="L1652" s="12" t="s">
        <v>5315</v>
      </c>
      <c r="M1652" s="13" t="s">
        <v>5786</v>
      </c>
      <c r="N1652" s="12" t="s">
        <v>803</v>
      </c>
      <c r="O1652" s="13" t="s">
        <v>5184</v>
      </c>
      <c r="P1652" s="17" t="s">
        <v>802</v>
      </c>
      <c r="Q1652" s="21" t="s">
        <v>8046</v>
      </c>
      <c r="R1652" s="17" t="s">
        <v>801</v>
      </c>
      <c r="S1652" s="18" t="s">
        <v>2559</v>
      </c>
      <c r="T1652" s="17" t="s">
        <v>800</v>
      </c>
      <c r="U1652" s="18" t="s">
        <v>5234</v>
      </c>
      <c r="V1652" s="17" t="s">
        <v>9418</v>
      </c>
      <c r="W1652" s="18" t="s">
        <v>5309</v>
      </c>
      <c r="X1652" s="69" t="s">
        <v>9453</v>
      </c>
      <c r="Y1652" s="70" t="s">
        <v>9462</v>
      </c>
      <c r="Z1652" s="73" t="s">
        <v>9486</v>
      </c>
      <c r="AA1652" s="74" t="s">
        <v>9504</v>
      </c>
      <c r="AB1652" s="73" t="s">
        <v>9486</v>
      </c>
      <c r="AC1652" s="74" t="s">
        <v>9562</v>
      </c>
      <c r="AD1652" s="73" t="s">
        <v>9578</v>
      </c>
      <c r="AE1652" s="74" t="s">
        <v>9579</v>
      </c>
    </row>
    <row r="1653" spans="1:31" ht="8.65" customHeight="1" x14ac:dyDescent="0.2">
      <c r="A1653" s="76">
        <v>1653</v>
      </c>
      <c r="B1653" s="67" t="str">
        <f>MID(C1653, FIND("Ifc.", C1653) + 4, 4) &amp; "_" &amp; TEXT(COUNTIF($C$2:C1653, C1653),"0000")</f>
        <v>Prop_1652</v>
      </c>
      <c r="C1653" s="24" t="s">
        <v>872</v>
      </c>
      <c r="D1653" s="69" t="s">
        <v>9453</v>
      </c>
      <c r="E1653" s="70" t="s">
        <v>9454</v>
      </c>
      <c r="F1653" s="17" t="s">
        <v>806</v>
      </c>
      <c r="G1653" s="22" t="s">
        <v>909</v>
      </c>
      <c r="H1653" s="12" t="s">
        <v>9703</v>
      </c>
      <c r="I1653" s="13" t="s">
        <v>6069</v>
      </c>
      <c r="J1653" s="14" t="s">
        <v>798</v>
      </c>
      <c r="K1653" s="15" t="s">
        <v>798</v>
      </c>
      <c r="L1653" s="12" t="s">
        <v>5315</v>
      </c>
      <c r="M1653" s="13" t="s">
        <v>5791</v>
      </c>
      <c r="N1653" s="12" t="s">
        <v>803</v>
      </c>
      <c r="O1653" s="13" t="s">
        <v>5190</v>
      </c>
      <c r="P1653" s="17" t="s">
        <v>802</v>
      </c>
      <c r="Q1653" s="21" t="s">
        <v>8047</v>
      </c>
      <c r="R1653" s="17" t="s">
        <v>801</v>
      </c>
      <c r="S1653" s="18" t="s">
        <v>2559</v>
      </c>
      <c r="T1653" s="17" t="s">
        <v>800</v>
      </c>
      <c r="U1653" s="18" t="s">
        <v>5234</v>
      </c>
      <c r="V1653" s="17" t="s">
        <v>9418</v>
      </c>
      <c r="W1653" s="18" t="s">
        <v>5309</v>
      </c>
      <c r="X1653" s="69" t="s">
        <v>9453</v>
      </c>
      <c r="Y1653" s="70" t="s">
        <v>9462</v>
      </c>
      <c r="Z1653" s="73" t="s">
        <v>9486</v>
      </c>
      <c r="AA1653" s="74" t="s">
        <v>9504</v>
      </c>
      <c r="AB1653" s="73" t="s">
        <v>9486</v>
      </c>
      <c r="AC1653" s="74" t="s">
        <v>9562</v>
      </c>
      <c r="AD1653" s="73" t="s">
        <v>9578</v>
      </c>
      <c r="AE1653" s="74" t="s">
        <v>9579</v>
      </c>
    </row>
    <row r="1654" spans="1:31" ht="8.65" customHeight="1" x14ac:dyDescent="0.2">
      <c r="A1654" s="76">
        <v>1654</v>
      </c>
      <c r="B1654" s="67" t="str">
        <f>MID(C1654, FIND("Ifc.", C1654) + 4, 4) &amp; "_" &amp; TEXT(COUNTIF($C$2:C1654, C1654),"0000")</f>
        <v>Prop_1653</v>
      </c>
      <c r="C1654" s="24" t="s">
        <v>872</v>
      </c>
      <c r="D1654" s="69" t="s">
        <v>9453</v>
      </c>
      <c r="E1654" s="70" t="s">
        <v>9454</v>
      </c>
      <c r="F1654" s="17" t="s">
        <v>806</v>
      </c>
      <c r="G1654" s="22" t="s">
        <v>909</v>
      </c>
      <c r="H1654" s="12" t="s">
        <v>9703</v>
      </c>
      <c r="I1654" s="13" t="s">
        <v>6069</v>
      </c>
      <c r="J1654" s="14" t="s">
        <v>798</v>
      </c>
      <c r="K1654" s="15" t="s">
        <v>798</v>
      </c>
      <c r="L1654" s="12" t="s">
        <v>5315</v>
      </c>
      <c r="M1654" s="13" t="s">
        <v>5797</v>
      </c>
      <c r="N1654" s="12" t="s">
        <v>803</v>
      </c>
      <c r="O1654" s="13" t="s">
        <v>5191</v>
      </c>
      <c r="P1654" s="17" t="s">
        <v>802</v>
      </c>
      <c r="Q1654" s="21" t="s">
        <v>7865</v>
      </c>
      <c r="R1654" s="17" t="s">
        <v>801</v>
      </c>
      <c r="S1654" s="18" t="s">
        <v>2559</v>
      </c>
      <c r="T1654" s="17" t="s">
        <v>800</v>
      </c>
      <c r="U1654" s="18" t="s">
        <v>5234</v>
      </c>
      <c r="V1654" s="17" t="s">
        <v>9418</v>
      </c>
      <c r="W1654" s="18" t="s">
        <v>5309</v>
      </c>
      <c r="X1654" s="69" t="s">
        <v>9453</v>
      </c>
      <c r="Y1654" s="70" t="s">
        <v>9462</v>
      </c>
      <c r="Z1654" s="73" t="s">
        <v>9486</v>
      </c>
      <c r="AA1654" s="74" t="s">
        <v>9504</v>
      </c>
      <c r="AB1654" s="73" t="s">
        <v>9486</v>
      </c>
      <c r="AC1654" s="74" t="s">
        <v>9562</v>
      </c>
      <c r="AD1654" s="73" t="s">
        <v>9578</v>
      </c>
      <c r="AE1654" s="74" t="s">
        <v>9579</v>
      </c>
    </row>
    <row r="1655" spans="1:31" ht="8.65" customHeight="1" x14ac:dyDescent="0.2">
      <c r="A1655" s="76">
        <v>1655</v>
      </c>
      <c r="B1655" s="67" t="str">
        <f>MID(C1655, FIND("Ifc.", C1655) + 4, 4) &amp; "_" &amp; TEXT(COUNTIF($C$2:C1655, C1655),"0000")</f>
        <v>Prop_1654</v>
      </c>
      <c r="C1655" s="24" t="s">
        <v>872</v>
      </c>
      <c r="D1655" s="69" t="s">
        <v>9453</v>
      </c>
      <c r="E1655" s="70" t="s">
        <v>9454</v>
      </c>
      <c r="F1655" s="17" t="s">
        <v>806</v>
      </c>
      <c r="G1655" s="22" t="s">
        <v>909</v>
      </c>
      <c r="H1655" s="12" t="s">
        <v>9703</v>
      </c>
      <c r="I1655" s="13" t="s">
        <v>6069</v>
      </c>
      <c r="J1655" s="14" t="s">
        <v>798</v>
      </c>
      <c r="K1655" s="15" t="s">
        <v>798</v>
      </c>
      <c r="L1655" s="12" t="s">
        <v>5315</v>
      </c>
      <c r="M1655" s="13" t="s">
        <v>5567</v>
      </c>
      <c r="N1655" s="12" t="s">
        <v>803</v>
      </c>
      <c r="O1655" s="13" t="s">
        <v>5200</v>
      </c>
      <c r="P1655" s="17" t="s">
        <v>802</v>
      </c>
      <c r="Q1655" s="21" t="s">
        <v>7951</v>
      </c>
      <c r="R1655" s="17" t="s">
        <v>801</v>
      </c>
      <c r="S1655" s="18" t="s">
        <v>2559</v>
      </c>
      <c r="T1655" s="17" t="s">
        <v>800</v>
      </c>
      <c r="U1655" s="18" t="s">
        <v>5234</v>
      </c>
      <c r="V1655" s="17" t="s">
        <v>9418</v>
      </c>
      <c r="W1655" s="18" t="s">
        <v>5309</v>
      </c>
      <c r="X1655" s="69" t="s">
        <v>9453</v>
      </c>
      <c r="Y1655" s="70" t="s">
        <v>9462</v>
      </c>
      <c r="Z1655" s="73" t="s">
        <v>9486</v>
      </c>
      <c r="AA1655" s="74" t="s">
        <v>9504</v>
      </c>
      <c r="AB1655" s="73" t="s">
        <v>9486</v>
      </c>
      <c r="AC1655" s="74" t="s">
        <v>9562</v>
      </c>
      <c r="AD1655" s="73" t="s">
        <v>9578</v>
      </c>
      <c r="AE1655" s="74" t="s">
        <v>9579</v>
      </c>
    </row>
    <row r="1656" spans="1:31" ht="8.65" customHeight="1" x14ac:dyDescent="0.2">
      <c r="A1656" s="76">
        <v>1656</v>
      </c>
      <c r="B1656" s="67" t="str">
        <f>MID(C1656, FIND("Ifc.", C1656) + 4, 4) &amp; "_" &amp; TEXT(COUNTIF($C$2:C1656, C1656),"0000")</f>
        <v>Prop_1655</v>
      </c>
      <c r="C1656" s="24" t="s">
        <v>872</v>
      </c>
      <c r="D1656" s="69" t="s">
        <v>9453</v>
      </c>
      <c r="E1656" s="70" t="s">
        <v>9454</v>
      </c>
      <c r="F1656" s="17" t="s">
        <v>806</v>
      </c>
      <c r="G1656" s="22" t="s">
        <v>909</v>
      </c>
      <c r="H1656" s="12" t="s">
        <v>9703</v>
      </c>
      <c r="I1656" s="13" t="s">
        <v>6069</v>
      </c>
      <c r="J1656" s="14" t="s">
        <v>798</v>
      </c>
      <c r="K1656" s="15" t="s">
        <v>798</v>
      </c>
      <c r="L1656" s="12" t="s">
        <v>5315</v>
      </c>
      <c r="M1656" s="13" t="s">
        <v>5569</v>
      </c>
      <c r="N1656" s="12" t="s">
        <v>803</v>
      </c>
      <c r="O1656" s="13" t="s">
        <v>5202</v>
      </c>
      <c r="P1656" s="17" t="s">
        <v>802</v>
      </c>
      <c r="Q1656" s="21" t="s">
        <v>7765</v>
      </c>
      <c r="R1656" s="17" t="s">
        <v>801</v>
      </c>
      <c r="S1656" s="18" t="s">
        <v>2559</v>
      </c>
      <c r="T1656" s="17" t="s">
        <v>800</v>
      </c>
      <c r="U1656" s="18" t="s">
        <v>5234</v>
      </c>
      <c r="V1656" s="17" t="s">
        <v>9418</v>
      </c>
      <c r="W1656" s="18" t="s">
        <v>5309</v>
      </c>
      <c r="X1656" s="69" t="s">
        <v>9453</v>
      </c>
      <c r="Y1656" s="70" t="s">
        <v>9462</v>
      </c>
      <c r="Z1656" s="73" t="s">
        <v>9486</v>
      </c>
      <c r="AA1656" s="74" t="s">
        <v>9504</v>
      </c>
      <c r="AB1656" s="73" t="s">
        <v>9486</v>
      </c>
      <c r="AC1656" s="74" t="s">
        <v>9562</v>
      </c>
      <c r="AD1656" s="73" t="s">
        <v>9578</v>
      </c>
      <c r="AE1656" s="74" t="s">
        <v>9579</v>
      </c>
    </row>
    <row r="1657" spans="1:31" ht="8.65" customHeight="1" x14ac:dyDescent="0.2">
      <c r="A1657" s="76">
        <v>1657</v>
      </c>
      <c r="B1657" s="67" t="str">
        <f>MID(C1657, FIND("Ifc.", C1657) + 4, 4) &amp; "_" &amp; TEXT(COUNTIF($C$2:C1657, C1657),"0000")</f>
        <v>Prop_1656</v>
      </c>
      <c r="C1657" s="24" t="s">
        <v>872</v>
      </c>
      <c r="D1657" s="69" t="s">
        <v>9453</v>
      </c>
      <c r="E1657" s="70" t="s">
        <v>9454</v>
      </c>
      <c r="F1657" s="17" t="s">
        <v>806</v>
      </c>
      <c r="G1657" s="22" t="s">
        <v>909</v>
      </c>
      <c r="H1657" s="12" t="s">
        <v>9703</v>
      </c>
      <c r="I1657" s="13" t="s">
        <v>6069</v>
      </c>
      <c r="J1657" s="14" t="s">
        <v>798</v>
      </c>
      <c r="K1657" s="15" t="s">
        <v>798</v>
      </c>
      <c r="L1657" s="12" t="s">
        <v>5315</v>
      </c>
      <c r="M1657" s="13" t="s">
        <v>5570</v>
      </c>
      <c r="N1657" s="12" t="s">
        <v>803</v>
      </c>
      <c r="O1657" s="13" t="s">
        <v>5203</v>
      </c>
      <c r="P1657" s="17" t="s">
        <v>802</v>
      </c>
      <c r="Q1657" s="21" t="s">
        <v>7900</v>
      </c>
      <c r="R1657" s="17" t="s">
        <v>801</v>
      </c>
      <c r="S1657" s="18" t="s">
        <v>2559</v>
      </c>
      <c r="T1657" s="17" t="s">
        <v>800</v>
      </c>
      <c r="U1657" s="18" t="s">
        <v>5234</v>
      </c>
      <c r="V1657" s="17" t="s">
        <v>9418</v>
      </c>
      <c r="W1657" s="18" t="s">
        <v>5309</v>
      </c>
      <c r="X1657" s="69" t="s">
        <v>9453</v>
      </c>
      <c r="Y1657" s="70" t="s">
        <v>9462</v>
      </c>
      <c r="Z1657" s="73" t="s">
        <v>9486</v>
      </c>
      <c r="AA1657" s="74" t="s">
        <v>9504</v>
      </c>
      <c r="AB1657" s="73" t="s">
        <v>9486</v>
      </c>
      <c r="AC1657" s="74" t="s">
        <v>9562</v>
      </c>
      <c r="AD1657" s="73" t="s">
        <v>9578</v>
      </c>
      <c r="AE1657" s="74" t="s">
        <v>9579</v>
      </c>
    </row>
    <row r="1658" spans="1:31" ht="8.65" customHeight="1" x14ac:dyDescent="0.2">
      <c r="A1658" s="76">
        <v>1658</v>
      </c>
      <c r="B1658" s="67" t="str">
        <f>MID(C1658, FIND("Ifc.", C1658) + 4, 4) &amp; "_" &amp; TEXT(COUNTIF($C$2:C1658, C1658),"0000")</f>
        <v>Prop_1657</v>
      </c>
      <c r="C1658" s="24" t="s">
        <v>872</v>
      </c>
      <c r="D1658" s="69" t="s">
        <v>9453</v>
      </c>
      <c r="E1658" s="70" t="s">
        <v>9454</v>
      </c>
      <c r="F1658" s="17" t="s">
        <v>806</v>
      </c>
      <c r="G1658" s="22" t="s">
        <v>909</v>
      </c>
      <c r="H1658" s="12" t="s">
        <v>9703</v>
      </c>
      <c r="I1658" s="13" t="s">
        <v>6069</v>
      </c>
      <c r="J1658" s="14" t="s">
        <v>798</v>
      </c>
      <c r="K1658" s="15" t="s">
        <v>798</v>
      </c>
      <c r="L1658" s="12" t="s">
        <v>5315</v>
      </c>
      <c r="M1658" s="13" t="s">
        <v>5571</v>
      </c>
      <c r="N1658" s="12" t="s">
        <v>803</v>
      </c>
      <c r="O1658" s="13" t="s">
        <v>5204</v>
      </c>
      <c r="P1658" s="17" t="s">
        <v>802</v>
      </c>
      <c r="Q1658" s="21" t="s">
        <v>7767</v>
      </c>
      <c r="R1658" s="17" t="s">
        <v>801</v>
      </c>
      <c r="S1658" s="18" t="s">
        <v>2559</v>
      </c>
      <c r="T1658" s="17" t="s">
        <v>800</v>
      </c>
      <c r="U1658" s="18" t="s">
        <v>5234</v>
      </c>
      <c r="V1658" s="17" t="s">
        <v>9418</v>
      </c>
      <c r="W1658" s="18" t="s">
        <v>5309</v>
      </c>
      <c r="X1658" s="69" t="s">
        <v>9453</v>
      </c>
      <c r="Y1658" s="70" t="s">
        <v>9462</v>
      </c>
      <c r="Z1658" s="73" t="s">
        <v>9486</v>
      </c>
      <c r="AA1658" s="74" t="s">
        <v>9504</v>
      </c>
      <c r="AB1658" s="73" t="s">
        <v>9486</v>
      </c>
      <c r="AC1658" s="74" t="s">
        <v>9562</v>
      </c>
      <c r="AD1658" s="73" t="s">
        <v>9578</v>
      </c>
      <c r="AE1658" s="74" t="s">
        <v>9579</v>
      </c>
    </row>
    <row r="1659" spans="1:31" ht="8.65" customHeight="1" x14ac:dyDescent="0.2">
      <c r="A1659" s="76">
        <v>1659</v>
      </c>
      <c r="B1659" s="67" t="str">
        <f>MID(C1659, FIND("Ifc.", C1659) + 4, 4) &amp; "_" &amp; TEXT(COUNTIF($C$2:C1659, C1659),"0000")</f>
        <v>Prop_1658</v>
      </c>
      <c r="C1659" s="24" t="s">
        <v>872</v>
      </c>
      <c r="D1659" s="69" t="s">
        <v>9453</v>
      </c>
      <c r="E1659" s="70" t="s">
        <v>9454</v>
      </c>
      <c r="F1659" s="17" t="s">
        <v>806</v>
      </c>
      <c r="G1659" s="22" t="s">
        <v>909</v>
      </c>
      <c r="H1659" s="12" t="s">
        <v>9703</v>
      </c>
      <c r="I1659" s="13" t="s">
        <v>6069</v>
      </c>
      <c r="J1659" s="14" t="s">
        <v>798</v>
      </c>
      <c r="K1659" s="15" t="s">
        <v>798</v>
      </c>
      <c r="L1659" s="12" t="s">
        <v>5315</v>
      </c>
      <c r="M1659" s="13" t="s">
        <v>5573</v>
      </c>
      <c r="N1659" s="12" t="s">
        <v>803</v>
      </c>
      <c r="O1659" s="13" t="s">
        <v>5206</v>
      </c>
      <c r="P1659" s="17" t="s">
        <v>802</v>
      </c>
      <c r="Q1659" s="21" t="s">
        <v>7742</v>
      </c>
      <c r="R1659" s="17" t="s">
        <v>801</v>
      </c>
      <c r="S1659" s="18" t="s">
        <v>2559</v>
      </c>
      <c r="T1659" s="17" t="s">
        <v>800</v>
      </c>
      <c r="U1659" s="18" t="s">
        <v>5234</v>
      </c>
      <c r="V1659" s="17" t="s">
        <v>9418</v>
      </c>
      <c r="W1659" s="18" t="s">
        <v>5309</v>
      </c>
      <c r="X1659" s="69" t="s">
        <v>9453</v>
      </c>
      <c r="Y1659" s="70" t="s">
        <v>9462</v>
      </c>
      <c r="Z1659" s="73" t="s">
        <v>9486</v>
      </c>
      <c r="AA1659" s="74" t="s">
        <v>9504</v>
      </c>
      <c r="AB1659" s="73" t="s">
        <v>9486</v>
      </c>
      <c r="AC1659" s="74" t="s">
        <v>9562</v>
      </c>
      <c r="AD1659" s="73" t="s">
        <v>9578</v>
      </c>
      <c r="AE1659" s="74" t="s">
        <v>9579</v>
      </c>
    </row>
    <row r="1660" spans="1:31" ht="8.65" customHeight="1" x14ac:dyDescent="0.2">
      <c r="A1660" s="76">
        <v>1660</v>
      </c>
      <c r="B1660" s="67" t="str">
        <f>MID(C1660, FIND("Ifc.", C1660) + 4, 4) &amp; "_" &amp; TEXT(COUNTIF($C$2:C1660, C1660),"0000")</f>
        <v>Prop_1659</v>
      </c>
      <c r="C1660" s="24" t="s">
        <v>872</v>
      </c>
      <c r="D1660" s="69" t="s">
        <v>9453</v>
      </c>
      <c r="E1660" s="70" t="s">
        <v>9454</v>
      </c>
      <c r="F1660" s="17" t="s">
        <v>806</v>
      </c>
      <c r="G1660" s="22" t="s">
        <v>909</v>
      </c>
      <c r="H1660" s="12" t="s">
        <v>9703</v>
      </c>
      <c r="I1660" s="13" t="s">
        <v>6069</v>
      </c>
      <c r="J1660" s="14" t="s">
        <v>798</v>
      </c>
      <c r="K1660" s="15" t="s">
        <v>798</v>
      </c>
      <c r="L1660" s="12" t="s">
        <v>5315</v>
      </c>
      <c r="M1660" s="13" t="s">
        <v>6003</v>
      </c>
      <c r="N1660" s="12" t="s">
        <v>803</v>
      </c>
      <c r="O1660" s="13" t="s">
        <v>5214</v>
      </c>
      <c r="P1660" s="17" t="s">
        <v>802</v>
      </c>
      <c r="Q1660" s="21" t="s">
        <v>7830</v>
      </c>
      <c r="R1660" s="17" t="s">
        <v>801</v>
      </c>
      <c r="S1660" s="18" t="s">
        <v>2559</v>
      </c>
      <c r="T1660" s="17" t="s">
        <v>800</v>
      </c>
      <c r="U1660" s="18" t="s">
        <v>5234</v>
      </c>
      <c r="V1660" s="17" t="s">
        <v>9418</v>
      </c>
      <c r="W1660" s="18" t="s">
        <v>5309</v>
      </c>
      <c r="X1660" s="69" t="s">
        <v>9453</v>
      </c>
      <c r="Y1660" s="70" t="s">
        <v>9462</v>
      </c>
      <c r="Z1660" s="73" t="s">
        <v>9486</v>
      </c>
      <c r="AA1660" s="74" t="s">
        <v>9504</v>
      </c>
      <c r="AB1660" s="73" t="s">
        <v>9486</v>
      </c>
      <c r="AC1660" s="74" t="s">
        <v>9562</v>
      </c>
      <c r="AD1660" s="73" t="s">
        <v>9578</v>
      </c>
      <c r="AE1660" s="74" t="s">
        <v>9579</v>
      </c>
    </row>
    <row r="1661" spans="1:31" ht="8.65" customHeight="1" x14ac:dyDescent="0.2">
      <c r="A1661" s="76">
        <v>1661</v>
      </c>
      <c r="B1661" s="67" t="str">
        <f>MID(C1661, FIND("Ifc.", C1661) + 4, 4) &amp; "_" &amp; TEXT(COUNTIF($C$2:C1661, C1661),"0000")</f>
        <v>Prop_1660</v>
      </c>
      <c r="C1661" s="24" t="s">
        <v>872</v>
      </c>
      <c r="D1661" s="69" t="s">
        <v>9453</v>
      </c>
      <c r="E1661" s="70" t="s">
        <v>9454</v>
      </c>
      <c r="F1661" s="17" t="s">
        <v>806</v>
      </c>
      <c r="G1661" s="22" t="s">
        <v>909</v>
      </c>
      <c r="H1661" s="12" t="s">
        <v>9703</v>
      </c>
      <c r="I1661" s="13" t="s">
        <v>6069</v>
      </c>
      <c r="J1661" s="14" t="s">
        <v>798</v>
      </c>
      <c r="K1661" s="15" t="s">
        <v>798</v>
      </c>
      <c r="L1661" s="12" t="s">
        <v>5315</v>
      </c>
      <c r="M1661" s="13" t="s">
        <v>5577</v>
      </c>
      <c r="N1661" s="12" t="s">
        <v>803</v>
      </c>
      <c r="O1661" s="13" t="s">
        <v>5222</v>
      </c>
      <c r="P1661" s="17" t="s">
        <v>802</v>
      </c>
      <c r="Q1661" s="21" t="s">
        <v>7905</v>
      </c>
      <c r="R1661" s="17" t="s">
        <v>801</v>
      </c>
      <c r="S1661" s="18" t="s">
        <v>2559</v>
      </c>
      <c r="T1661" s="17" t="s">
        <v>800</v>
      </c>
      <c r="U1661" s="18" t="s">
        <v>5234</v>
      </c>
      <c r="V1661" s="17" t="s">
        <v>9418</v>
      </c>
      <c r="W1661" s="18" t="s">
        <v>5309</v>
      </c>
      <c r="X1661" s="69" t="s">
        <v>9453</v>
      </c>
      <c r="Y1661" s="70" t="s">
        <v>9462</v>
      </c>
      <c r="Z1661" s="73" t="s">
        <v>9486</v>
      </c>
      <c r="AA1661" s="74" t="s">
        <v>9504</v>
      </c>
      <c r="AB1661" s="73" t="s">
        <v>9486</v>
      </c>
      <c r="AC1661" s="74" t="s">
        <v>9562</v>
      </c>
      <c r="AD1661" s="73" t="s">
        <v>9578</v>
      </c>
      <c r="AE1661" s="74" t="s">
        <v>9579</v>
      </c>
    </row>
    <row r="1662" spans="1:31" ht="8.65" customHeight="1" x14ac:dyDescent="0.2">
      <c r="A1662" s="76">
        <v>1662</v>
      </c>
      <c r="B1662" s="67" t="str">
        <f>MID(C1662, FIND("Ifc.", C1662) + 4, 4) &amp; "_" &amp; TEXT(COUNTIF($C$2:C1662, C1662),"0000")</f>
        <v>Prop_1661</v>
      </c>
      <c r="C1662" s="24" t="s">
        <v>872</v>
      </c>
      <c r="D1662" s="69" t="s">
        <v>9453</v>
      </c>
      <c r="E1662" s="70" t="s">
        <v>9454</v>
      </c>
      <c r="F1662" s="17" t="s">
        <v>806</v>
      </c>
      <c r="G1662" s="22" t="s">
        <v>909</v>
      </c>
      <c r="H1662" s="12" t="s">
        <v>9703</v>
      </c>
      <c r="I1662" s="13" t="s">
        <v>6069</v>
      </c>
      <c r="J1662" s="14" t="s">
        <v>798</v>
      </c>
      <c r="K1662" s="15" t="s">
        <v>798</v>
      </c>
      <c r="L1662" s="12" t="s">
        <v>5315</v>
      </c>
      <c r="M1662" s="13" t="s">
        <v>5579</v>
      </c>
      <c r="N1662" s="12" t="s">
        <v>803</v>
      </c>
      <c r="O1662" s="13" t="s">
        <v>5225</v>
      </c>
      <c r="P1662" s="17" t="s">
        <v>802</v>
      </c>
      <c r="Q1662" s="21" t="s">
        <v>7811</v>
      </c>
      <c r="R1662" s="17" t="s">
        <v>801</v>
      </c>
      <c r="S1662" s="18" t="s">
        <v>2559</v>
      </c>
      <c r="T1662" s="17" t="s">
        <v>800</v>
      </c>
      <c r="U1662" s="18" t="s">
        <v>5234</v>
      </c>
      <c r="V1662" s="17" t="s">
        <v>9418</v>
      </c>
      <c r="W1662" s="18" t="s">
        <v>5309</v>
      </c>
      <c r="X1662" s="69" t="s">
        <v>9453</v>
      </c>
      <c r="Y1662" s="70" t="s">
        <v>9462</v>
      </c>
      <c r="Z1662" s="73" t="s">
        <v>9486</v>
      </c>
      <c r="AA1662" s="74" t="s">
        <v>9504</v>
      </c>
      <c r="AB1662" s="73" t="s">
        <v>9486</v>
      </c>
      <c r="AC1662" s="74" t="s">
        <v>9562</v>
      </c>
      <c r="AD1662" s="73" t="s">
        <v>9578</v>
      </c>
      <c r="AE1662" s="74" t="s">
        <v>9579</v>
      </c>
    </row>
    <row r="1663" spans="1:31" ht="8.65" customHeight="1" x14ac:dyDescent="0.2">
      <c r="A1663" s="76">
        <v>1663</v>
      </c>
      <c r="B1663" s="67" t="str">
        <f>MID(C1663, FIND("Ifc.", C1663) + 4, 4) &amp; "_" &amp; TEXT(COUNTIF($C$2:C1663, C1663),"0000")</f>
        <v>Prop_1662</v>
      </c>
      <c r="C1663" s="24" t="s">
        <v>872</v>
      </c>
      <c r="D1663" s="69" t="s">
        <v>9453</v>
      </c>
      <c r="E1663" s="70" t="s">
        <v>9454</v>
      </c>
      <c r="F1663" s="17" t="s">
        <v>806</v>
      </c>
      <c r="G1663" s="22" t="s">
        <v>909</v>
      </c>
      <c r="H1663" s="12" t="s">
        <v>9703</v>
      </c>
      <c r="I1663" s="13" t="s">
        <v>6069</v>
      </c>
      <c r="J1663" s="14" t="s">
        <v>798</v>
      </c>
      <c r="K1663" s="15" t="s">
        <v>798</v>
      </c>
      <c r="L1663" s="12" t="s">
        <v>5315</v>
      </c>
      <c r="M1663" s="13" t="s">
        <v>5580</v>
      </c>
      <c r="N1663" s="12" t="s">
        <v>803</v>
      </c>
      <c r="O1663" s="13" t="s">
        <v>5226</v>
      </c>
      <c r="P1663" s="17" t="s">
        <v>802</v>
      </c>
      <c r="Q1663" s="21" t="s">
        <v>7797</v>
      </c>
      <c r="R1663" s="17" t="s">
        <v>801</v>
      </c>
      <c r="S1663" s="18" t="s">
        <v>2559</v>
      </c>
      <c r="T1663" s="17" t="s">
        <v>800</v>
      </c>
      <c r="U1663" s="18" t="s">
        <v>5234</v>
      </c>
      <c r="V1663" s="17" t="s">
        <v>9418</v>
      </c>
      <c r="W1663" s="18" t="s">
        <v>5309</v>
      </c>
      <c r="X1663" s="69" t="s">
        <v>9453</v>
      </c>
      <c r="Y1663" s="70" t="s">
        <v>9462</v>
      </c>
      <c r="Z1663" s="73" t="s">
        <v>9486</v>
      </c>
      <c r="AA1663" s="74" t="s">
        <v>9504</v>
      </c>
      <c r="AB1663" s="73" t="s">
        <v>9486</v>
      </c>
      <c r="AC1663" s="74" t="s">
        <v>9562</v>
      </c>
      <c r="AD1663" s="73" t="s">
        <v>9578</v>
      </c>
      <c r="AE1663" s="74" t="s">
        <v>9579</v>
      </c>
    </row>
    <row r="1664" spans="1:31" ht="8.65" customHeight="1" x14ac:dyDescent="0.2">
      <c r="A1664" s="76">
        <v>1664</v>
      </c>
      <c r="B1664" s="67" t="str">
        <f>MID(C1664, FIND("Ifc.", C1664) + 4, 4) &amp; "_" &amp; TEXT(COUNTIF($C$2:C1664, C1664),"0000")</f>
        <v>Prop_1663</v>
      </c>
      <c r="C1664" s="24" t="s">
        <v>872</v>
      </c>
      <c r="D1664" s="69" t="s">
        <v>9453</v>
      </c>
      <c r="E1664" s="70" t="s">
        <v>9454</v>
      </c>
      <c r="F1664" s="17" t="s">
        <v>806</v>
      </c>
      <c r="G1664" s="22" t="s">
        <v>909</v>
      </c>
      <c r="H1664" s="12" t="s">
        <v>9703</v>
      </c>
      <c r="I1664" s="13" t="s">
        <v>6069</v>
      </c>
      <c r="J1664" s="14" t="s">
        <v>798</v>
      </c>
      <c r="K1664" s="15" t="s">
        <v>798</v>
      </c>
      <c r="L1664" s="12" t="s">
        <v>5315</v>
      </c>
      <c r="M1664" s="13" t="s">
        <v>5582</v>
      </c>
      <c r="N1664" s="12" t="s">
        <v>803</v>
      </c>
      <c r="O1664" s="13" t="s">
        <v>5228</v>
      </c>
      <c r="P1664" s="17" t="s">
        <v>802</v>
      </c>
      <c r="Q1664" s="21" t="s">
        <v>7944</v>
      </c>
      <c r="R1664" s="17" t="s">
        <v>801</v>
      </c>
      <c r="S1664" s="18" t="s">
        <v>2554</v>
      </c>
      <c r="T1664" s="17" t="s">
        <v>800</v>
      </c>
      <c r="U1664" s="18" t="s">
        <v>5233</v>
      </c>
      <c r="V1664" s="17" t="s">
        <v>9418</v>
      </c>
      <c r="W1664" s="18" t="s">
        <v>5309</v>
      </c>
      <c r="X1664" s="69" t="s">
        <v>9453</v>
      </c>
      <c r="Y1664" s="70" t="s">
        <v>9462</v>
      </c>
      <c r="Z1664" s="73" t="s">
        <v>9486</v>
      </c>
      <c r="AA1664" s="74" t="s">
        <v>9504</v>
      </c>
      <c r="AB1664" s="73" t="s">
        <v>9486</v>
      </c>
      <c r="AC1664" s="74" t="s">
        <v>9562</v>
      </c>
      <c r="AD1664" s="73" t="s">
        <v>9578</v>
      </c>
      <c r="AE1664" s="74" t="s">
        <v>9579</v>
      </c>
    </row>
    <row r="1665" spans="1:31" ht="8.65" customHeight="1" x14ac:dyDescent="0.2">
      <c r="A1665" s="76">
        <v>1665</v>
      </c>
      <c r="B1665" s="67" t="str">
        <f>MID(C1665, FIND("Ifc.", C1665) + 4, 4) &amp; "_" &amp; TEXT(COUNTIF($C$2:C1665, C1665),"0000")</f>
        <v>Prop_1664</v>
      </c>
      <c r="C1665" s="24" t="s">
        <v>872</v>
      </c>
      <c r="D1665" s="69" t="s">
        <v>9453</v>
      </c>
      <c r="E1665" s="70" t="s">
        <v>9454</v>
      </c>
      <c r="F1665" s="17" t="s">
        <v>806</v>
      </c>
      <c r="G1665" s="22" t="s">
        <v>909</v>
      </c>
      <c r="H1665" s="12" t="s">
        <v>9703</v>
      </c>
      <c r="I1665" s="13" t="s">
        <v>6069</v>
      </c>
      <c r="J1665" s="14" t="s">
        <v>798</v>
      </c>
      <c r="K1665" s="15" t="s">
        <v>798</v>
      </c>
      <c r="L1665" s="12" t="s">
        <v>5315</v>
      </c>
      <c r="M1665" s="13" t="s">
        <v>5582</v>
      </c>
      <c r="N1665" s="12" t="s">
        <v>803</v>
      </c>
      <c r="O1665" s="13" t="s">
        <v>5229</v>
      </c>
      <c r="P1665" s="17" t="s">
        <v>802</v>
      </c>
      <c r="Q1665" s="21" t="s">
        <v>7685</v>
      </c>
      <c r="R1665" s="17" t="s">
        <v>801</v>
      </c>
      <c r="S1665" s="18" t="s">
        <v>2559</v>
      </c>
      <c r="T1665" s="17" t="s">
        <v>800</v>
      </c>
      <c r="U1665" s="18" t="s">
        <v>5234</v>
      </c>
      <c r="V1665" s="17" t="s">
        <v>9418</v>
      </c>
      <c r="W1665" s="18" t="s">
        <v>5309</v>
      </c>
      <c r="X1665" s="69" t="s">
        <v>9453</v>
      </c>
      <c r="Y1665" s="70" t="s">
        <v>9462</v>
      </c>
      <c r="Z1665" s="73" t="s">
        <v>9486</v>
      </c>
      <c r="AA1665" s="74" t="s">
        <v>9504</v>
      </c>
      <c r="AB1665" s="73" t="s">
        <v>9486</v>
      </c>
      <c r="AC1665" s="74" t="s">
        <v>9562</v>
      </c>
      <c r="AD1665" s="73" t="s">
        <v>9578</v>
      </c>
      <c r="AE1665" s="74" t="s">
        <v>9579</v>
      </c>
    </row>
    <row r="1666" spans="1:31" ht="8.65" customHeight="1" x14ac:dyDescent="0.2">
      <c r="A1666" s="76">
        <v>1666</v>
      </c>
      <c r="B1666" s="67" t="str">
        <f>MID(C1666, FIND("Ifc.", C1666) + 4, 4) &amp; "_" &amp; TEXT(COUNTIF($C$2:C1666, C1666),"0000")</f>
        <v>Prop_1665</v>
      </c>
      <c r="C1666" s="24" t="s">
        <v>872</v>
      </c>
      <c r="D1666" s="69" t="s">
        <v>9453</v>
      </c>
      <c r="E1666" s="70" t="s">
        <v>9454</v>
      </c>
      <c r="F1666" s="17" t="s">
        <v>806</v>
      </c>
      <c r="G1666" s="22" t="s">
        <v>1315</v>
      </c>
      <c r="H1666" s="12" t="s">
        <v>9703</v>
      </c>
      <c r="I1666" s="13" t="s">
        <v>6993</v>
      </c>
      <c r="J1666" s="14" t="s">
        <v>798</v>
      </c>
      <c r="K1666" s="15" t="s">
        <v>798</v>
      </c>
      <c r="L1666" s="12" t="s">
        <v>5315</v>
      </c>
      <c r="M1666" s="13" t="s">
        <v>5409</v>
      </c>
      <c r="N1666" s="12" t="s">
        <v>803</v>
      </c>
      <c r="O1666" s="13" t="s">
        <v>4907</v>
      </c>
      <c r="P1666" s="17" t="s">
        <v>802</v>
      </c>
      <c r="Q1666" s="21" t="s">
        <v>7769</v>
      </c>
      <c r="R1666" s="17" t="s">
        <v>801</v>
      </c>
      <c r="S1666" s="18" t="s">
        <v>2625</v>
      </c>
      <c r="T1666" s="17" t="s">
        <v>800</v>
      </c>
      <c r="U1666" s="18" t="s">
        <v>5240</v>
      </c>
      <c r="V1666" s="17" t="s">
        <v>9418</v>
      </c>
      <c r="W1666" s="18" t="s">
        <v>5309</v>
      </c>
      <c r="X1666" s="69" t="s">
        <v>9453</v>
      </c>
      <c r="Y1666" s="70" t="s">
        <v>9462</v>
      </c>
      <c r="Z1666" s="73" t="s">
        <v>9486</v>
      </c>
      <c r="AA1666" s="74" t="s">
        <v>9504</v>
      </c>
      <c r="AB1666" s="73" t="s">
        <v>9486</v>
      </c>
      <c r="AC1666" s="74" t="s">
        <v>9566</v>
      </c>
      <c r="AD1666" s="73" t="s">
        <v>9578</v>
      </c>
      <c r="AE1666" s="74" t="s">
        <v>9579</v>
      </c>
    </row>
    <row r="1667" spans="1:31" ht="8.65" customHeight="1" x14ac:dyDescent="0.2">
      <c r="A1667" s="76">
        <v>1667</v>
      </c>
      <c r="B1667" s="67" t="str">
        <f>MID(C1667, FIND("Ifc.", C1667) + 4, 4) &amp; "_" &amp; TEXT(COUNTIF($C$2:C1667, C1667),"0000")</f>
        <v>Prop_1666</v>
      </c>
      <c r="C1667" s="24" t="s">
        <v>872</v>
      </c>
      <c r="D1667" s="69" t="s">
        <v>9453</v>
      </c>
      <c r="E1667" s="70" t="s">
        <v>9454</v>
      </c>
      <c r="F1667" s="17" t="s">
        <v>806</v>
      </c>
      <c r="G1667" s="22" t="s">
        <v>1315</v>
      </c>
      <c r="H1667" s="12" t="s">
        <v>9703</v>
      </c>
      <c r="I1667" s="13" t="s">
        <v>6993</v>
      </c>
      <c r="J1667" s="14" t="s">
        <v>798</v>
      </c>
      <c r="K1667" s="15" t="s">
        <v>798</v>
      </c>
      <c r="L1667" s="12" t="s">
        <v>5315</v>
      </c>
      <c r="M1667" s="13" t="s">
        <v>5578</v>
      </c>
      <c r="N1667" s="12" t="s">
        <v>803</v>
      </c>
      <c r="O1667" s="13" t="s">
        <v>5224</v>
      </c>
      <c r="P1667" s="17" t="s">
        <v>802</v>
      </c>
      <c r="Q1667" s="21" t="s">
        <v>7677</v>
      </c>
      <c r="R1667" s="17" t="s">
        <v>801</v>
      </c>
      <c r="S1667" s="18" t="s">
        <v>2624</v>
      </c>
      <c r="T1667" s="17" t="s">
        <v>800</v>
      </c>
      <c r="U1667" s="18" t="s">
        <v>5243</v>
      </c>
      <c r="V1667" s="17" t="s">
        <v>9418</v>
      </c>
      <c r="W1667" s="18" t="s">
        <v>5309</v>
      </c>
      <c r="X1667" s="69" t="s">
        <v>9453</v>
      </c>
      <c r="Y1667" s="70" t="s">
        <v>9462</v>
      </c>
      <c r="Z1667" s="73" t="s">
        <v>9486</v>
      </c>
      <c r="AA1667" s="74" t="s">
        <v>9504</v>
      </c>
      <c r="AB1667" s="73" t="s">
        <v>9486</v>
      </c>
      <c r="AC1667" s="74" t="s">
        <v>9566</v>
      </c>
      <c r="AD1667" s="73" t="s">
        <v>9578</v>
      </c>
      <c r="AE1667" s="74" t="s">
        <v>9579</v>
      </c>
    </row>
    <row r="1668" spans="1:31" ht="8.65" customHeight="1" x14ac:dyDescent="0.2">
      <c r="A1668" s="76">
        <v>1668</v>
      </c>
      <c r="B1668" s="67" t="str">
        <f>MID(C1668, FIND("Ifc.", C1668) + 4, 4) &amp; "_" &amp; TEXT(COUNTIF($C$2:C1668, C1668),"0000")</f>
        <v>Prop_1667</v>
      </c>
      <c r="C1668" s="24" t="s">
        <v>872</v>
      </c>
      <c r="D1668" s="69" t="s">
        <v>9453</v>
      </c>
      <c r="E1668" s="70" t="s">
        <v>9454</v>
      </c>
      <c r="F1668" s="17" t="s">
        <v>806</v>
      </c>
      <c r="G1668" s="22" t="s">
        <v>2104</v>
      </c>
      <c r="H1668" s="12" t="s">
        <v>9703</v>
      </c>
      <c r="I1668" s="13" t="s">
        <v>7295</v>
      </c>
      <c r="J1668" s="14" t="s">
        <v>798</v>
      </c>
      <c r="K1668" s="15" t="s">
        <v>798</v>
      </c>
      <c r="L1668" s="12" t="s">
        <v>5315</v>
      </c>
      <c r="M1668" s="13" t="s">
        <v>5856</v>
      </c>
      <c r="N1668" s="12" t="s">
        <v>803</v>
      </c>
      <c r="O1668" s="13" t="s">
        <v>5100</v>
      </c>
      <c r="P1668" s="17" t="s">
        <v>802</v>
      </c>
      <c r="Q1668" s="21" t="s">
        <v>7960</v>
      </c>
      <c r="R1668" s="17" t="s">
        <v>801</v>
      </c>
      <c r="S1668" s="18" t="s">
        <v>2625</v>
      </c>
      <c r="T1668" s="17" t="s">
        <v>800</v>
      </c>
      <c r="U1668" s="18" t="s">
        <v>5240</v>
      </c>
      <c r="V1668" s="17" t="s">
        <v>9418</v>
      </c>
      <c r="W1668" s="18" t="s">
        <v>5309</v>
      </c>
      <c r="X1668" s="69" t="s">
        <v>9453</v>
      </c>
      <c r="Y1668" s="70" t="s">
        <v>9462</v>
      </c>
      <c r="Z1668" s="73" t="s">
        <v>9486</v>
      </c>
      <c r="AA1668" s="74" t="s">
        <v>9504</v>
      </c>
      <c r="AB1668" s="73" t="s">
        <v>9486</v>
      </c>
      <c r="AC1668" s="74" t="s">
        <v>9566</v>
      </c>
      <c r="AD1668" s="73" t="s">
        <v>9578</v>
      </c>
      <c r="AE1668" s="74" t="s">
        <v>9579</v>
      </c>
    </row>
    <row r="1669" spans="1:31" ht="8.65" customHeight="1" x14ac:dyDescent="0.2">
      <c r="A1669" s="76">
        <v>1669</v>
      </c>
      <c r="B1669" s="67" t="str">
        <f>MID(C1669, FIND("Ifc.", C1669) + 4, 4) &amp; "_" &amp; TEXT(COUNTIF($C$2:C1669, C1669),"0000")</f>
        <v>Prop_1668</v>
      </c>
      <c r="C1669" s="24" t="s">
        <v>872</v>
      </c>
      <c r="D1669" s="69" t="s">
        <v>9453</v>
      </c>
      <c r="E1669" s="70" t="s">
        <v>9454</v>
      </c>
      <c r="F1669" s="17" t="s">
        <v>806</v>
      </c>
      <c r="G1669" s="22" t="s">
        <v>1313</v>
      </c>
      <c r="H1669" s="12" t="s">
        <v>9703</v>
      </c>
      <c r="I1669" s="13" t="s">
        <v>6269</v>
      </c>
      <c r="J1669" s="14" t="s">
        <v>798</v>
      </c>
      <c r="K1669" s="15" t="s">
        <v>798</v>
      </c>
      <c r="L1669" s="12" t="s">
        <v>5315</v>
      </c>
      <c r="M1669" s="13" t="s">
        <v>5409</v>
      </c>
      <c r="N1669" s="12" t="s">
        <v>803</v>
      </c>
      <c r="O1669" s="13" t="s">
        <v>4907</v>
      </c>
      <c r="P1669" s="17" t="s">
        <v>802</v>
      </c>
      <c r="Q1669" s="21" t="s">
        <v>7769</v>
      </c>
      <c r="R1669" s="17" t="s">
        <v>801</v>
      </c>
      <c r="S1669" s="18" t="s">
        <v>2625</v>
      </c>
      <c r="T1669" s="17" t="s">
        <v>800</v>
      </c>
      <c r="U1669" s="18" t="s">
        <v>5240</v>
      </c>
      <c r="V1669" s="17" t="s">
        <v>9418</v>
      </c>
      <c r="W1669" s="18" t="s">
        <v>5309</v>
      </c>
      <c r="X1669" s="69" t="s">
        <v>9453</v>
      </c>
      <c r="Y1669" s="70" t="s">
        <v>9462</v>
      </c>
      <c r="Z1669" s="73" t="s">
        <v>9486</v>
      </c>
      <c r="AA1669" s="74" t="s">
        <v>9504</v>
      </c>
      <c r="AB1669" s="73" t="s">
        <v>9486</v>
      </c>
      <c r="AC1669" s="74" t="s">
        <v>9566</v>
      </c>
      <c r="AD1669" s="73" t="s">
        <v>9578</v>
      </c>
      <c r="AE1669" s="74" t="s">
        <v>9579</v>
      </c>
    </row>
    <row r="1670" spans="1:31" ht="8.65" customHeight="1" x14ac:dyDescent="0.2">
      <c r="A1670" s="76">
        <v>1670</v>
      </c>
      <c r="B1670" s="67" t="str">
        <f>MID(C1670, FIND("Ifc.", C1670) + 4, 4) &amp; "_" &amp; TEXT(COUNTIF($C$2:C1670, C1670),"0000")</f>
        <v>Prop_1669</v>
      </c>
      <c r="C1670" s="24" t="s">
        <v>872</v>
      </c>
      <c r="D1670" s="69" t="s">
        <v>9453</v>
      </c>
      <c r="E1670" s="70" t="s">
        <v>9454</v>
      </c>
      <c r="F1670" s="17" t="s">
        <v>806</v>
      </c>
      <c r="G1670" s="22" t="s">
        <v>1313</v>
      </c>
      <c r="H1670" s="12" t="s">
        <v>9703</v>
      </c>
      <c r="I1670" s="13" t="s">
        <v>6269</v>
      </c>
      <c r="J1670" s="14" t="s">
        <v>798</v>
      </c>
      <c r="K1670" s="15" t="s">
        <v>798</v>
      </c>
      <c r="L1670" s="12" t="s">
        <v>5315</v>
      </c>
      <c r="M1670" s="13" t="s">
        <v>5578</v>
      </c>
      <c r="N1670" s="12" t="s">
        <v>803</v>
      </c>
      <c r="O1670" s="13" t="s">
        <v>5224</v>
      </c>
      <c r="P1670" s="17" t="s">
        <v>802</v>
      </c>
      <c r="Q1670" s="21" t="s">
        <v>7677</v>
      </c>
      <c r="R1670" s="17" t="s">
        <v>801</v>
      </c>
      <c r="S1670" s="18" t="s">
        <v>2624</v>
      </c>
      <c r="T1670" s="17" t="s">
        <v>800</v>
      </c>
      <c r="U1670" s="18" t="s">
        <v>5243</v>
      </c>
      <c r="V1670" s="17" t="s">
        <v>9418</v>
      </c>
      <c r="W1670" s="18" t="s">
        <v>5309</v>
      </c>
      <c r="X1670" s="69" t="s">
        <v>9453</v>
      </c>
      <c r="Y1670" s="70" t="s">
        <v>9462</v>
      </c>
      <c r="Z1670" s="73" t="s">
        <v>9486</v>
      </c>
      <c r="AA1670" s="74" t="s">
        <v>9504</v>
      </c>
      <c r="AB1670" s="73" t="s">
        <v>9486</v>
      </c>
      <c r="AC1670" s="74" t="s">
        <v>9566</v>
      </c>
      <c r="AD1670" s="73" t="s">
        <v>9578</v>
      </c>
      <c r="AE1670" s="74" t="s">
        <v>9579</v>
      </c>
    </row>
    <row r="1671" spans="1:31" ht="8.65" customHeight="1" x14ac:dyDescent="0.2">
      <c r="A1671" s="76">
        <v>1671</v>
      </c>
      <c r="B1671" s="67" t="str">
        <f>MID(C1671, FIND("Ifc.", C1671) + 4, 4) &amp; "_" &amp; TEXT(COUNTIF($C$2:C1671, C1671),"0000")</f>
        <v>Prop_1670</v>
      </c>
      <c r="C1671" s="24" t="s">
        <v>872</v>
      </c>
      <c r="D1671" s="69" t="s">
        <v>9453</v>
      </c>
      <c r="E1671" s="70" t="s">
        <v>9454</v>
      </c>
      <c r="F1671" s="17" t="s">
        <v>806</v>
      </c>
      <c r="G1671" s="22" t="s">
        <v>2109</v>
      </c>
      <c r="H1671" s="12" t="s">
        <v>9703</v>
      </c>
      <c r="I1671" s="13" t="s">
        <v>7294</v>
      </c>
      <c r="J1671" s="14" t="s">
        <v>798</v>
      </c>
      <c r="K1671" s="15" t="s">
        <v>798</v>
      </c>
      <c r="L1671" s="12" t="s">
        <v>5315</v>
      </c>
      <c r="M1671" s="13" t="s">
        <v>5856</v>
      </c>
      <c r="N1671" s="12" t="s">
        <v>803</v>
      </c>
      <c r="O1671" s="13" t="s">
        <v>5100</v>
      </c>
      <c r="P1671" s="17" t="s">
        <v>802</v>
      </c>
      <c r="Q1671" s="21" t="s">
        <v>7960</v>
      </c>
      <c r="R1671" s="17" t="s">
        <v>801</v>
      </c>
      <c r="S1671" s="18" t="s">
        <v>2625</v>
      </c>
      <c r="T1671" s="17" t="s">
        <v>800</v>
      </c>
      <c r="U1671" s="18" t="s">
        <v>5240</v>
      </c>
      <c r="V1671" s="17" t="s">
        <v>9418</v>
      </c>
      <c r="W1671" s="18" t="s">
        <v>5309</v>
      </c>
      <c r="X1671" s="69" t="s">
        <v>9453</v>
      </c>
      <c r="Y1671" s="70" t="s">
        <v>9462</v>
      </c>
      <c r="Z1671" s="73" t="s">
        <v>9486</v>
      </c>
      <c r="AA1671" s="74" t="s">
        <v>9504</v>
      </c>
      <c r="AB1671" s="73" t="s">
        <v>9486</v>
      </c>
      <c r="AC1671" s="74" t="s">
        <v>9566</v>
      </c>
      <c r="AD1671" s="73" t="s">
        <v>9578</v>
      </c>
      <c r="AE1671" s="74" t="s">
        <v>9579</v>
      </c>
    </row>
    <row r="1672" spans="1:31" ht="8.65" customHeight="1" x14ac:dyDescent="0.2">
      <c r="A1672" s="76">
        <v>1672</v>
      </c>
      <c r="B1672" s="67" t="str">
        <f>MID(C1672, FIND("Ifc.", C1672) + 4, 4) &amp; "_" &amp; TEXT(COUNTIF($C$2:C1672, C1672),"0000")</f>
        <v>Prop_1671</v>
      </c>
      <c r="C1672" s="24" t="s">
        <v>872</v>
      </c>
      <c r="D1672" s="69" t="s">
        <v>9453</v>
      </c>
      <c r="E1672" s="70" t="s">
        <v>9454</v>
      </c>
      <c r="F1672" s="17" t="s">
        <v>806</v>
      </c>
      <c r="G1672" s="22" t="s">
        <v>2240</v>
      </c>
      <c r="H1672" s="12" t="s">
        <v>9703</v>
      </c>
      <c r="I1672" s="13" t="s">
        <v>7293</v>
      </c>
      <c r="J1672" s="14" t="s">
        <v>798</v>
      </c>
      <c r="K1672" s="15" t="s">
        <v>798</v>
      </c>
      <c r="L1672" s="12" t="s">
        <v>5315</v>
      </c>
      <c r="M1672" s="13" t="s">
        <v>5518</v>
      </c>
      <c r="N1672" s="12" t="s">
        <v>803</v>
      </c>
      <c r="O1672" s="13" t="s">
        <v>5133</v>
      </c>
      <c r="P1672" s="17" t="s">
        <v>802</v>
      </c>
      <c r="Q1672" s="21" t="s">
        <v>7719</v>
      </c>
      <c r="R1672" s="17" t="s">
        <v>801</v>
      </c>
      <c r="S1672" s="18" t="s">
        <v>2554</v>
      </c>
      <c r="T1672" s="17" t="s">
        <v>800</v>
      </c>
      <c r="U1672" s="18" t="s">
        <v>5233</v>
      </c>
      <c r="V1672" s="17" t="s">
        <v>9418</v>
      </c>
      <c r="W1672" s="18" t="s">
        <v>5309</v>
      </c>
      <c r="X1672" s="69" t="s">
        <v>9453</v>
      </c>
      <c r="Y1672" s="70" t="s">
        <v>9462</v>
      </c>
      <c r="Z1672" s="73" t="s">
        <v>9486</v>
      </c>
      <c r="AA1672" s="74" t="s">
        <v>9504</v>
      </c>
      <c r="AB1672" s="73" t="s">
        <v>9486</v>
      </c>
      <c r="AC1672" s="74" t="s">
        <v>9562</v>
      </c>
      <c r="AD1672" s="73" t="s">
        <v>9578</v>
      </c>
      <c r="AE1672" s="74" t="s">
        <v>9579</v>
      </c>
    </row>
    <row r="1673" spans="1:31" ht="8.65" customHeight="1" x14ac:dyDescent="0.2">
      <c r="A1673" s="76">
        <v>1673</v>
      </c>
      <c r="B1673" s="67" t="str">
        <f>MID(C1673, FIND("Ifc.", C1673) + 4, 4) &amp; "_" &amp; TEXT(COUNTIF($C$2:C1673, C1673),"0000")</f>
        <v>Prop_1672</v>
      </c>
      <c r="C1673" s="24" t="s">
        <v>872</v>
      </c>
      <c r="D1673" s="69" t="s">
        <v>9453</v>
      </c>
      <c r="E1673" s="70" t="s">
        <v>9454</v>
      </c>
      <c r="F1673" s="17" t="s">
        <v>806</v>
      </c>
      <c r="G1673" s="22" t="s">
        <v>1534</v>
      </c>
      <c r="H1673" s="12" t="s">
        <v>9703</v>
      </c>
      <c r="I1673" s="13" t="s">
        <v>7290</v>
      </c>
      <c r="J1673" s="14" t="s">
        <v>798</v>
      </c>
      <c r="K1673" s="15" t="s">
        <v>798</v>
      </c>
      <c r="L1673" s="12" t="s">
        <v>5315</v>
      </c>
      <c r="M1673" s="13" t="s">
        <v>5817</v>
      </c>
      <c r="N1673" s="12" t="s">
        <v>803</v>
      </c>
      <c r="O1673" s="13" t="s">
        <v>4956</v>
      </c>
      <c r="P1673" s="17" t="s">
        <v>802</v>
      </c>
      <c r="Q1673" s="21" t="s">
        <v>7758</v>
      </c>
      <c r="R1673" s="17" t="s">
        <v>801</v>
      </c>
      <c r="S1673" s="18" t="s">
        <v>2554</v>
      </c>
      <c r="T1673" s="17" t="s">
        <v>800</v>
      </c>
      <c r="U1673" s="18" t="s">
        <v>5233</v>
      </c>
      <c r="V1673" s="17" t="s">
        <v>9418</v>
      </c>
      <c r="W1673" s="18" t="s">
        <v>5310</v>
      </c>
      <c r="X1673" s="69" t="s">
        <v>9453</v>
      </c>
      <c r="Y1673" s="70" t="s">
        <v>9463</v>
      </c>
      <c r="Z1673" s="73" t="s">
        <v>9486</v>
      </c>
      <c r="AA1673" s="74" t="s">
        <v>9504</v>
      </c>
      <c r="AB1673" s="73" t="s">
        <v>9486</v>
      </c>
      <c r="AC1673" s="74" t="s">
        <v>9562</v>
      </c>
      <c r="AD1673" s="73" t="s">
        <v>9578</v>
      </c>
      <c r="AE1673" s="74" t="s">
        <v>9579</v>
      </c>
    </row>
    <row r="1674" spans="1:31" ht="8.65" customHeight="1" x14ac:dyDescent="0.2">
      <c r="A1674" s="76">
        <v>1674</v>
      </c>
      <c r="B1674" s="67" t="str">
        <f>MID(C1674, FIND("Ifc.", C1674) + 4, 4) &amp; "_" &amp; TEXT(COUNTIF($C$2:C1674, C1674),"0000")</f>
        <v>Prop_1673</v>
      </c>
      <c r="C1674" s="24" t="s">
        <v>872</v>
      </c>
      <c r="D1674" s="69" t="s">
        <v>9453</v>
      </c>
      <c r="E1674" s="70" t="s">
        <v>9454</v>
      </c>
      <c r="F1674" s="17" t="s">
        <v>806</v>
      </c>
      <c r="G1674" s="22" t="s">
        <v>2376</v>
      </c>
      <c r="H1674" s="12" t="s">
        <v>9703</v>
      </c>
      <c r="I1674" s="13" t="s">
        <v>7289</v>
      </c>
      <c r="J1674" s="14" t="s">
        <v>798</v>
      </c>
      <c r="K1674" s="15" t="s">
        <v>798</v>
      </c>
      <c r="L1674" s="12" t="s">
        <v>5315</v>
      </c>
      <c r="M1674" s="13" t="s">
        <v>5782</v>
      </c>
      <c r="N1674" s="12" t="s">
        <v>803</v>
      </c>
      <c r="O1674" s="13" t="s">
        <v>5180</v>
      </c>
      <c r="P1674" s="17" t="s">
        <v>802</v>
      </c>
      <c r="Q1674" s="21" t="s">
        <v>7699</v>
      </c>
      <c r="R1674" s="17" t="s">
        <v>801</v>
      </c>
      <c r="S1674" s="18" t="s">
        <v>2578</v>
      </c>
      <c r="T1674" s="17" t="s">
        <v>800</v>
      </c>
      <c r="U1674" s="18" t="s">
        <v>5244</v>
      </c>
      <c r="V1674" s="17" t="s">
        <v>9418</v>
      </c>
      <c r="W1674" s="18" t="s">
        <v>5309</v>
      </c>
      <c r="X1674" s="69" t="s">
        <v>9453</v>
      </c>
      <c r="Y1674" s="70" t="s">
        <v>9462</v>
      </c>
      <c r="Z1674" s="73" t="s">
        <v>9486</v>
      </c>
      <c r="AA1674" s="74" t="s">
        <v>9504</v>
      </c>
      <c r="AB1674" s="73" t="s">
        <v>9486</v>
      </c>
      <c r="AC1674" s="74" t="s">
        <v>9566</v>
      </c>
      <c r="AD1674" s="73" t="s">
        <v>9578</v>
      </c>
      <c r="AE1674" s="74" t="s">
        <v>9579</v>
      </c>
    </row>
    <row r="1675" spans="1:31" ht="8.65" customHeight="1" x14ac:dyDescent="0.2">
      <c r="A1675" s="76">
        <v>1675</v>
      </c>
      <c r="B1675" s="67" t="str">
        <f>MID(C1675, FIND("Ifc.", C1675) + 4, 4) &amp; "_" &amp; TEXT(COUNTIF($C$2:C1675, C1675),"0000")</f>
        <v>Prop_1674</v>
      </c>
      <c r="C1675" s="24" t="s">
        <v>872</v>
      </c>
      <c r="D1675" s="69" t="s">
        <v>9453</v>
      </c>
      <c r="E1675" s="70" t="s">
        <v>9454</v>
      </c>
      <c r="F1675" s="17" t="s">
        <v>806</v>
      </c>
      <c r="G1675" s="22" t="s">
        <v>1563</v>
      </c>
      <c r="H1675" s="12" t="s">
        <v>9703</v>
      </c>
      <c r="I1675" s="13" t="s">
        <v>6386</v>
      </c>
      <c r="J1675" s="14" t="s">
        <v>798</v>
      </c>
      <c r="K1675" s="15" t="s">
        <v>798</v>
      </c>
      <c r="L1675" s="12" t="s">
        <v>5315</v>
      </c>
      <c r="M1675" s="13" t="s">
        <v>5891</v>
      </c>
      <c r="N1675" s="12" t="s">
        <v>803</v>
      </c>
      <c r="O1675" s="13" t="s">
        <v>4960</v>
      </c>
      <c r="P1675" s="17" t="s">
        <v>802</v>
      </c>
      <c r="Q1675" s="21" t="s">
        <v>7813</v>
      </c>
      <c r="R1675" s="17" t="s">
        <v>801</v>
      </c>
      <c r="S1675" s="18" t="s">
        <v>3636</v>
      </c>
      <c r="T1675" s="17" t="s">
        <v>800</v>
      </c>
      <c r="U1675" s="18" t="s">
        <v>5257</v>
      </c>
      <c r="V1675" s="17" t="s">
        <v>9418</v>
      </c>
      <c r="W1675" s="18" t="s">
        <v>5314</v>
      </c>
      <c r="X1675" s="69" t="s">
        <v>9453</v>
      </c>
      <c r="Y1675" s="70" t="s">
        <v>9464</v>
      </c>
      <c r="Z1675" s="73" t="s">
        <v>9486</v>
      </c>
      <c r="AA1675" s="74" t="s">
        <v>9504</v>
      </c>
      <c r="AB1675" s="73" t="s">
        <v>9486</v>
      </c>
      <c r="AC1675" s="74" t="s">
        <v>9561</v>
      </c>
      <c r="AD1675" s="73" t="s">
        <v>9578</v>
      </c>
      <c r="AE1675" s="74" t="s">
        <v>9579</v>
      </c>
    </row>
    <row r="1676" spans="1:31" ht="8.65" customHeight="1" x14ac:dyDescent="0.2">
      <c r="A1676" s="76">
        <v>1676</v>
      </c>
      <c r="B1676" s="67" t="str">
        <f>MID(C1676, FIND("Ifc.", C1676) + 4, 4) &amp; "_" &amp; TEXT(COUNTIF($C$2:C1676, C1676),"0000")</f>
        <v>Prop_1675</v>
      </c>
      <c r="C1676" s="24" t="s">
        <v>872</v>
      </c>
      <c r="D1676" s="69" t="s">
        <v>9453</v>
      </c>
      <c r="E1676" s="70" t="s">
        <v>9454</v>
      </c>
      <c r="F1676" s="17" t="s">
        <v>806</v>
      </c>
      <c r="G1676" s="22" t="s">
        <v>1378</v>
      </c>
      <c r="H1676" s="12" t="s">
        <v>9703</v>
      </c>
      <c r="I1676" s="13" t="s">
        <v>7097</v>
      </c>
      <c r="J1676" s="14" t="s">
        <v>798</v>
      </c>
      <c r="K1676" s="15" t="s">
        <v>798</v>
      </c>
      <c r="L1676" s="12" t="s">
        <v>5315</v>
      </c>
      <c r="M1676" s="13" t="s">
        <v>6031</v>
      </c>
      <c r="N1676" s="12" t="s">
        <v>803</v>
      </c>
      <c r="O1676" s="13" t="s">
        <v>4919</v>
      </c>
      <c r="P1676" s="17" t="s">
        <v>802</v>
      </c>
      <c r="Q1676" s="21" t="s">
        <v>7818</v>
      </c>
      <c r="R1676" s="17" t="s">
        <v>801</v>
      </c>
      <c r="S1676" s="18" t="s">
        <v>2625</v>
      </c>
      <c r="T1676" s="17" t="s">
        <v>800</v>
      </c>
      <c r="U1676" s="18" t="s">
        <v>5240</v>
      </c>
      <c r="V1676" s="17" t="s">
        <v>9418</v>
      </c>
      <c r="W1676" s="18" t="s">
        <v>5309</v>
      </c>
      <c r="X1676" s="69" t="s">
        <v>9453</v>
      </c>
      <c r="Y1676" s="70" t="s">
        <v>9462</v>
      </c>
      <c r="Z1676" s="73" t="s">
        <v>9486</v>
      </c>
      <c r="AA1676" s="74" t="s">
        <v>9504</v>
      </c>
      <c r="AB1676" s="73" t="s">
        <v>9486</v>
      </c>
      <c r="AC1676" s="74" t="s">
        <v>9566</v>
      </c>
      <c r="AD1676" s="73" t="s">
        <v>9578</v>
      </c>
      <c r="AE1676" s="74" t="s">
        <v>9579</v>
      </c>
    </row>
    <row r="1677" spans="1:31" ht="8.65" customHeight="1" x14ac:dyDescent="0.2">
      <c r="A1677" s="76">
        <v>1677</v>
      </c>
      <c r="B1677" s="67" t="str">
        <f>MID(C1677, FIND("Ifc.", C1677) + 4, 4) &amp; "_" &amp; TEXT(COUNTIF($C$2:C1677, C1677),"0000")</f>
        <v>Prop_1676</v>
      </c>
      <c r="C1677" s="24" t="s">
        <v>872</v>
      </c>
      <c r="D1677" s="69" t="s">
        <v>9453</v>
      </c>
      <c r="E1677" s="70" t="s">
        <v>9454</v>
      </c>
      <c r="F1677" s="17" t="s">
        <v>806</v>
      </c>
      <c r="G1677" s="22" t="s">
        <v>1849</v>
      </c>
      <c r="H1677" s="12" t="s">
        <v>9703</v>
      </c>
      <c r="I1677" s="13" t="s">
        <v>6520</v>
      </c>
      <c r="J1677" s="14" t="s">
        <v>798</v>
      </c>
      <c r="K1677" s="15" t="s">
        <v>798</v>
      </c>
      <c r="L1677" s="12" t="s">
        <v>5315</v>
      </c>
      <c r="M1677" s="13" t="s">
        <v>5457</v>
      </c>
      <c r="N1677" s="12" t="s">
        <v>803</v>
      </c>
      <c r="O1677" s="13" t="s">
        <v>5033</v>
      </c>
      <c r="P1677" s="17" t="s">
        <v>802</v>
      </c>
      <c r="Q1677" s="21" t="s">
        <v>7919</v>
      </c>
      <c r="R1677" s="17" t="s">
        <v>801</v>
      </c>
      <c r="S1677" s="18" t="s">
        <v>2624</v>
      </c>
      <c r="T1677" s="17" t="s">
        <v>800</v>
      </c>
      <c r="U1677" s="18" t="s">
        <v>5243</v>
      </c>
      <c r="V1677" s="17" t="s">
        <v>9418</v>
      </c>
      <c r="W1677" s="18" t="s">
        <v>5311</v>
      </c>
      <c r="X1677" s="69" t="s">
        <v>9453</v>
      </c>
      <c r="Y1677" s="70" t="s">
        <v>9466</v>
      </c>
      <c r="Z1677" s="73" t="s">
        <v>9486</v>
      </c>
      <c r="AA1677" s="74" t="s">
        <v>9504</v>
      </c>
      <c r="AB1677" s="73" t="s">
        <v>9486</v>
      </c>
      <c r="AC1677" s="74" t="s">
        <v>9566</v>
      </c>
      <c r="AD1677" s="73" t="s">
        <v>9578</v>
      </c>
      <c r="AE1677" s="74" t="s">
        <v>9579</v>
      </c>
    </row>
    <row r="1678" spans="1:31" ht="8.65" customHeight="1" x14ac:dyDescent="0.2">
      <c r="A1678" s="76">
        <v>1678</v>
      </c>
      <c r="B1678" s="67" t="str">
        <f>MID(C1678, FIND("Ifc.", C1678) + 4, 4) &amp; "_" &amp; TEXT(COUNTIF($C$2:C1678, C1678),"0000")</f>
        <v>Prop_1677</v>
      </c>
      <c r="C1678" s="24" t="s">
        <v>872</v>
      </c>
      <c r="D1678" s="69" t="s">
        <v>9453</v>
      </c>
      <c r="E1678" s="70" t="s">
        <v>9454</v>
      </c>
      <c r="F1678" s="17" t="s">
        <v>806</v>
      </c>
      <c r="G1678" s="22" t="s">
        <v>2059</v>
      </c>
      <c r="H1678" s="12" t="s">
        <v>9703</v>
      </c>
      <c r="I1678" s="13" t="s">
        <v>6621</v>
      </c>
      <c r="J1678" s="14" t="s">
        <v>798</v>
      </c>
      <c r="K1678" s="15" t="s">
        <v>798</v>
      </c>
      <c r="L1678" s="12" t="s">
        <v>5315</v>
      </c>
      <c r="M1678" s="13" t="s">
        <v>5483</v>
      </c>
      <c r="N1678" s="12" t="s">
        <v>803</v>
      </c>
      <c r="O1678" s="13" t="s">
        <v>5086</v>
      </c>
      <c r="P1678" s="17" t="s">
        <v>802</v>
      </c>
      <c r="Q1678" s="21" t="s">
        <v>7918</v>
      </c>
      <c r="R1678" s="17" t="s">
        <v>801</v>
      </c>
      <c r="S1678" s="18" t="s">
        <v>2560</v>
      </c>
      <c r="T1678" s="17" t="s">
        <v>800</v>
      </c>
      <c r="U1678" s="18" t="s">
        <v>5236</v>
      </c>
      <c r="V1678" s="17" t="s">
        <v>9418</v>
      </c>
      <c r="W1678" s="18" t="s">
        <v>5309</v>
      </c>
      <c r="X1678" s="69" t="s">
        <v>9453</v>
      </c>
      <c r="Y1678" s="70" t="s">
        <v>9462</v>
      </c>
      <c r="Z1678" s="73" t="s">
        <v>9486</v>
      </c>
      <c r="AA1678" s="74" t="s">
        <v>9504</v>
      </c>
      <c r="AB1678" s="73" t="s">
        <v>9486</v>
      </c>
      <c r="AC1678" s="74" t="s">
        <v>9562</v>
      </c>
      <c r="AD1678" s="73" t="s">
        <v>9578</v>
      </c>
      <c r="AE1678" s="74" t="s">
        <v>9579</v>
      </c>
    </row>
    <row r="1679" spans="1:31" ht="8.65" customHeight="1" x14ac:dyDescent="0.2">
      <c r="A1679" s="76">
        <v>1679</v>
      </c>
      <c r="B1679" s="67" t="str">
        <f>MID(C1679, FIND("Ifc.", C1679) + 4, 4) &amp; "_" &amp; TEXT(COUNTIF($C$2:C1679, C1679),"0000")</f>
        <v>Prop_1678</v>
      </c>
      <c r="C1679" s="24" t="s">
        <v>872</v>
      </c>
      <c r="D1679" s="69" t="s">
        <v>9453</v>
      </c>
      <c r="E1679" s="70" t="s">
        <v>9454</v>
      </c>
      <c r="F1679" s="17" t="s">
        <v>806</v>
      </c>
      <c r="G1679" s="22" t="s">
        <v>2060</v>
      </c>
      <c r="H1679" s="12" t="s">
        <v>9703</v>
      </c>
      <c r="I1679" s="13" t="s">
        <v>6622</v>
      </c>
      <c r="J1679" s="14" t="s">
        <v>798</v>
      </c>
      <c r="K1679" s="15" t="s">
        <v>798</v>
      </c>
      <c r="L1679" s="12" t="s">
        <v>5315</v>
      </c>
      <c r="M1679" s="13" t="s">
        <v>5483</v>
      </c>
      <c r="N1679" s="12" t="s">
        <v>803</v>
      </c>
      <c r="O1679" s="13" t="s">
        <v>5086</v>
      </c>
      <c r="P1679" s="17" t="s">
        <v>802</v>
      </c>
      <c r="Q1679" s="21" t="s">
        <v>7918</v>
      </c>
      <c r="R1679" s="17" t="s">
        <v>801</v>
      </c>
      <c r="S1679" s="18" t="s">
        <v>2669</v>
      </c>
      <c r="T1679" s="17" t="s">
        <v>800</v>
      </c>
      <c r="U1679" s="18" t="s">
        <v>5237</v>
      </c>
      <c r="V1679" s="17" t="s">
        <v>9418</v>
      </c>
      <c r="W1679" s="18" t="s">
        <v>5309</v>
      </c>
      <c r="X1679" s="69" t="s">
        <v>9453</v>
      </c>
      <c r="Y1679" s="70" t="s">
        <v>9462</v>
      </c>
      <c r="Z1679" s="73" t="s">
        <v>9486</v>
      </c>
      <c r="AA1679" s="74" t="s">
        <v>9504</v>
      </c>
      <c r="AB1679" s="73" t="s">
        <v>9486</v>
      </c>
      <c r="AC1679" s="74" t="s">
        <v>9562</v>
      </c>
      <c r="AD1679" s="73" t="s">
        <v>9578</v>
      </c>
      <c r="AE1679" s="74" t="s">
        <v>9579</v>
      </c>
    </row>
    <row r="1680" spans="1:31" ht="8.65" customHeight="1" x14ac:dyDescent="0.2">
      <c r="A1680" s="76">
        <v>1680</v>
      </c>
      <c r="B1680" s="67" t="str">
        <f>MID(C1680, FIND("Ifc.", C1680) + 4, 4) &amp; "_" &amp; TEXT(COUNTIF($C$2:C1680, C1680),"0000")</f>
        <v>Prop_1679</v>
      </c>
      <c r="C1680" s="24" t="s">
        <v>872</v>
      </c>
      <c r="D1680" s="69" t="s">
        <v>9453</v>
      </c>
      <c r="E1680" s="70" t="s">
        <v>9454</v>
      </c>
      <c r="F1680" s="17" t="s">
        <v>806</v>
      </c>
      <c r="G1680" s="22" t="s">
        <v>2540</v>
      </c>
      <c r="H1680" s="12" t="s">
        <v>9703</v>
      </c>
      <c r="I1680" s="13" t="s">
        <v>6838</v>
      </c>
      <c r="J1680" s="14" t="s">
        <v>798</v>
      </c>
      <c r="K1680" s="15" t="s">
        <v>798</v>
      </c>
      <c r="L1680" s="12" t="s">
        <v>5315</v>
      </c>
      <c r="M1680" s="13" t="s">
        <v>5580</v>
      </c>
      <c r="N1680" s="12" t="s">
        <v>803</v>
      </c>
      <c r="O1680" s="13" t="s">
        <v>5226</v>
      </c>
      <c r="P1680" s="17" t="s">
        <v>802</v>
      </c>
      <c r="Q1680" s="21" t="s">
        <v>7797</v>
      </c>
      <c r="R1680" s="17" t="s">
        <v>801</v>
      </c>
      <c r="S1680" s="18" t="s">
        <v>2638</v>
      </c>
      <c r="T1680" s="17" t="s">
        <v>800</v>
      </c>
      <c r="U1680" s="18" t="s">
        <v>5254</v>
      </c>
      <c r="V1680" s="17" t="s">
        <v>9418</v>
      </c>
      <c r="W1680" s="18" t="s">
        <v>5309</v>
      </c>
      <c r="X1680" s="69" t="s">
        <v>9453</v>
      </c>
      <c r="Y1680" s="70" t="s">
        <v>9462</v>
      </c>
      <c r="Z1680" s="73" t="s">
        <v>9486</v>
      </c>
      <c r="AA1680" s="74" t="s">
        <v>9504</v>
      </c>
      <c r="AB1680" s="73" t="s">
        <v>9486</v>
      </c>
      <c r="AC1680" s="74" t="s">
        <v>9566</v>
      </c>
      <c r="AD1680" s="73" t="s">
        <v>9578</v>
      </c>
      <c r="AE1680" s="74" t="s">
        <v>9579</v>
      </c>
    </row>
    <row r="1681" spans="1:31" ht="8.65" customHeight="1" x14ac:dyDescent="0.2">
      <c r="A1681" s="76">
        <v>1681</v>
      </c>
      <c r="B1681" s="67" t="str">
        <f>MID(C1681, FIND("Ifc.", C1681) + 4, 4) &amp; "_" &amp; TEXT(COUNTIF($C$2:C1681, C1681),"0000")</f>
        <v>Prop_1680</v>
      </c>
      <c r="C1681" s="24" t="s">
        <v>872</v>
      </c>
      <c r="D1681" s="69" t="s">
        <v>9453</v>
      </c>
      <c r="E1681" s="70" t="s">
        <v>9454</v>
      </c>
      <c r="F1681" s="17" t="s">
        <v>806</v>
      </c>
      <c r="G1681" s="22" t="s">
        <v>2538</v>
      </c>
      <c r="H1681" s="12" t="s">
        <v>9703</v>
      </c>
      <c r="I1681" s="13" t="s">
        <v>7093</v>
      </c>
      <c r="J1681" s="14" t="s">
        <v>798</v>
      </c>
      <c r="K1681" s="15" t="s">
        <v>798</v>
      </c>
      <c r="L1681" s="12" t="s">
        <v>5315</v>
      </c>
      <c r="M1681" s="13" t="s">
        <v>5580</v>
      </c>
      <c r="N1681" s="12" t="s">
        <v>803</v>
      </c>
      <c r="O1681" s="13" t="s">
        <v>5226</v>
      </c>
      <c r="P1681" s="17" t="s">
        <v>802</v>
      </c>
      <c r="Q1681" s="21" t="s">
        <v>7797</v>
      </c>
      <c r="R1681" s="17" t="s">
        <v>801</v>
      </c>
      <c r="S1681" s="18" t="s">
        <v>2631</v>
      </c>
      <c r="T1681" s="17" t="s">
        <v>800</v>
      </c>
      <c r="U1681" s="18" t="s">
        <v>5253</v>
      </c>
      <c r="V1681" s="17" t="s">
        <v>9418</v>
      </c>
      <c r="W1681" s="18" t="s">
        <v>5309</v>
      </c>
      <c r="X1681" s="69" t="s">
        <v>9453</v>
      </c>
      <c r="Y1681" s="70" t="s">
        <v>9462</v>
      </c>
      <c r="Z1681" s="73" t="s">
        <v>9486</v>
      </c>
      <c r="AA1681" s="74" t="s">
        <v>9504</v>
      </c>
      <c r="AB1681" s="73" t="s">
        <v>9486</v>
      </c>
      <c r="AC1681" s="74" t="s">
        <v>9566</v>
      </c>
      <c r="AD1681" s="73" t="s">
        <v>9578</v>
      </c>
      <c r="AE1681" s="74" t="s">
        <v>9579</v>
      </c>
    </row>
    <row r="1682" spans="1:31" ht="8.65" customHeight="1" x14ac:dyDescent="0.2">
      <c r="A1682" s="76">
        <v>1682</v>
      </c>
      <c r="B1682" s="67" t="str">
        <f>MID(C1682, FIND("Ifc.", C1682) + 4, 4) &amp; "_" &amp; TEXT(COUNTIF($C$2:C1682, C1682),"0000")</f>
        <v>Prop_1681</v>
      </c>
      <c r="C1682" s="24" t="s">
        <v>872</v>
      </c>
      <c r="D1682" s="69" t="s">
        <v>9453</v>
      </c>
      <c r="E1682" s="70" t="s">
        <v>9454</v>
      </c>
      <c r="F1682" s="17" t="s">
        <v>806</v>
      </c>
      <c r="G1682" s="22" t="s">
        <v>2534</v>
      </c>
      <c r="H1682" s="12" t="s">
        <v>9703</v>
      </c>
      <c r="I1682" s="13" t="s">
        <v>7286</v>
      </c>
      <c r="J1682" s="14" t="s">
        <v>798</v>
      </c>
      <c r="K1682" s="15" t="s">
        <v>798</v>
      </c>
      <c r="L1682" s="12" t="s">
        <v>5315</v>
      </c>
      <c r="M1682" s="13" t="s">
        <v>5580</v>
      </c>
      <c r="N1682" s="12" t="s">
        <v>803</v>
      </c>
      <c r="O1682" s="13" t="s">
        <v>5226</v>
      </c>
      <c r="P1682" s="17" t="s">
        <v>802</v>
      </c>
      <c r="Q1682" s="21" t="s">
        <v>7797</v>
      </c>
      <c r="R1682" s="17" t="s">
        <v>801</v>
      </c>
      <c r="S1682" s="18" t="s">
        <v>2631</v>
      </c>
      <c r="T1682" s="17" t="s">
        <v>800</v>
      </c>
      <c r="U1682" s="18" t="s">
        <v>5253</v>
      </c>
      <c r="V1682" s="17" t="s">
        <v>9418</v>
      </c>
      <c r="W1682" s="18" t="s">
        <v>5309</v>
      </c>
      <c r="X1682" s="69" t="s">
        <v>9453</v>
      </c>
      <c r="Y1682" s="70" t="s">
        <v>9462</v>
      </c>
      <c r="Z1682" s="73" t="s">
        <v>9486</v>
      </c>
      <c r="AA1682" s="74" t="s">
        <v>9504</v>
      </c>
      <c r="AB1682" s="73" t="s">
        <v>9486</v>
      </c>
      <c r="AC1682" s="74" t="s">
        <v>9566</v>
      </c>
      <c r="AD1682" s="73" t="s">
        <v>9578</v>
      </c>
      <c r="AE1682" s="74" t="s">
        <v>9579</v>
      </c>
    </row>
    <row r="1683" spans="1:31" ht="8.65" customHeight="1" x14ac:dyDescent="0.2">
      <c r="A1683" s="76">
        <v>1683</v>
      </c>
      <c r="B1683" s="67" t="str">
        <f>MID(C1683, FIND("Ifc.", C1683) + 4, 4) &amp; "_" &amp; TEXT(COUNTIF($C$2:C1683, C1683),"0000")</f>
        <v>Prop_1682</v>
      </c>
      <c r="C1683" s="24" t="s">
        <v>872</v>
      </c>
      <c r="D1683" s="69" t="s">
        <v>9453</v>
      </c>
      <c r="E1683" s="70" t="s">
        <v>9454</v>
      </c>
      <c r="F1683" s="17" t="s">
        <v>806</v>
      </c>
      <c r="G1683" s="22" t="s">
        <v>2533</v>
      </c>
      <c r="H1683" s="12" t="s">
        <v>9703</v>
      </c>
      <c r="I1683" s="13" t="s">
        <v>7285</v>
      </c>
      <c r="J1683" s="14" t="s">
        <v>798</v>
      </c>
      <c r="K1683" s="15" t="s">
        <v>798</v>
      </c>
      <c r="L1683" s="12" t="s">
        <v>5315</v>
      </c>
      <c r="M1683" s="13" t="s">
        <v>5580</v>
      </c>
      <c r="N1683" s="12" t="s">
        <v>803</v>
      </c>
      <c r="O1683" s="13" t="s">
        <v>5226</v>
      </c>
      <c r="P1683" s="17" t="s">
        <v>802</v>
      </c>
      <c r="Q1683" s="21" t="s">
        <v>7797</v>
      </c>
      <c r="R1683" s="17" t="s">
        <v>801</v>
      </c>
      <c r="S1683" s="18" t="s">
        <v>2624</v>
      </c>
      <c r="T1683" s="17" t="s">
        <v>800</v>
      </c>
      <c r="U1683" s="18" t="s">
        <v>5243</v>
      </c>
      <c r="V1683" s="17" t="s">
        <v>9418</v>
      </c>
      <c r="W1683" s="18" t="s">
        <v>5309</v>
      </c>
      <c r="X1683" s="69" t="s">
        <v>9453</v>
      </c>
      <c r="Y1683" s="70" t="s">
        <v>9462</v>
      </c>
      <c r="Z1683" s="73" t="s">
        <v>9486</v>
      </c>
      <c r="AA1683" s="74" t="s">
        <v>9504</v>
      </c>
      <c r="AB1683" s="73" t="s">
        <v>9486</v>
      </c>
      <c r="AC1683" s="74" t="s">
        <v>9566</v>
      </c>
      <c r="AD1683" s="73" t="s">
        <v>9578</v>
      </c>
      <c r="AE1683" s="74" t="s">
        <v>9579</v>
      </c>
    </row>
    <row r="1684" spans="1:31" ht="8.65" customHeight="1" x14ac:dyDescent="0.2">
      <c r="A1684" s="76">
        <v>1684</v>
      </c>
      <c r="B1684" s="67" t="str">
        <f>MID(C1684, FIND("Ifc.", C1684) + 4, 4) &amp; "_" &amp; TEXT(COUNTIF($C$2:C1684, C1684),"0000")</f>
        <v>Prop_1683</v>
      </c>
      <c r="C1684" s="24" t="s">
        <v>872</v>
      </c>
      <c r="D1684" s="69" t="s">
        <v>9453</v>
      </c>
      <c r="E1684" s="70" t="s">
        <v>9454</v>
      </c>
      <c r="F1684" s="17" t="s">
        <v>806</v>
      </c>
      <c r="G1684" s="22" t="s">
        <v>1726</v>
      </c>
      <c r="H1684" s="12" t="s">
        <v>9703</v>
      </c>
      <c r="I1684" s="13" t="s">
        <v>6453</v>
      </c>
      <c r="J1684" s="14" t="s">
        <v>798</v>
      </c>
      <c r="K1684" s="15" t="s">
        <v>798</v>
      </c>
      <c r="L1684" s="12" t="s">
        <v>5315</v>
      </c>
      <c r="M1684" s="13" t="s">
        <v>5931</v>
      </c>
      <c r="N1684" s="12" t="s">
        <v>803</v>
      </c>
      <c r="O1684" s="13" t="s">
        <v>5004</v>
      </c>
      <c r="P1684" s="17" t="s">
        <v>802</v>
      </c>
      <c r="Q1684" s="21" t="s">
        <v>7689</v>
      </c>
      <c r="R1684" s="17" t="s">
        <v>801</v>
      </c>
      <c r="S1684" s="18" t="s">
        <v>2611</v>
      </c>
      <c r="T1684" s="17" t="s">
        <v>800</v>
      </c>
      <c r="U1684" s="18" t="s">
        <v>5255</v>
      </c>
      <c r="V1684" s="17" t="s">
        <v>9418</v>
      </c>
      <c r="W1684" s="18" t="s">
        <v>5309</v>
      </c>
      <c r="X1684" s="69" t="s">
        <v>9453</v>
      </c>
      <c r="Y1684" s="70" t="s">
        <v>9462</v>
      </c>
      <c r="Z1684" s="73" t="s">
        <v>9486</v>
      </c>
      <c r="AA1684" s="74" t="s">
        <v>9504</v>
      </c>
      <c r="AB1684" s="73" t="s">
        <v>9486</v>
      </c>
      <c r="AC1684" s="74" t="s">
        <v>9566</v>
      </c>
      <c r="AD1684" s="73" t="s">
        <v>9578</v>
      </c>
      <c r="AE1684" s="74" t="s">
        <v>9579</v>
      </c>
    </row>
    <row r="1685" spans="1:31" ht="8.65" customHeight="1" x14ac:dyDescent="0.2">
      <c r="A1685" s="76">
        <v>1685</v>
      </c>
      <c r="B1685" s="67" t="str">
        <f>MID(C1685, FIND("Ifc.", C1685) + 4, 4) &amp; "_" &amp; TEXT(COUNTIF($C$2:C1685, C1685),"0000")</f>
        <v>Prop_1684</v>
      </c>
      <c r="C1685" s="24" t="s">
        <v>872</v>
      </c>
      <c r="D1685" s="69" t="s">
        <v>9453</v>
      </c>
      <c r="E1685" s="70" t="s">
        <v>9454</v>
      </c>
      <c r="F1685" s="17" t="s">
        <v>806</v>
      </c>
      <c r="G1685" s="22" t="s">
        <v>2473</v>
      </c>
      <c r="H1685" s="12" t="s">
        <v>9703</v>
      </c>
      <c r="I1685" s="13" t="s">
        <v>6809</v>
      </c>
      <c r="J1685" s="14" t="s">
        <v>798</v>
      </c>
      <c r="K1685" s="15" t="s">
        <v>798</v>
      </c>
      <c r="L1685" s="12" t="s">
        <v>5315</v>
      </c>
      <c r="M1685" s="13" t="s">
        <v>5575</v>
      </c>
      <c r="N1685" s="12" t="s">
        <v>803</v>
      </c>
      <c r="O1685" s="13" t="s">
        <v>5213</v>
      </c>
      <c r="P1685" s="17" t="s">
        <v>802</v>
      </c>
      <c r="Q1685" s="21" t="s">
        <v>7690</v>
      </c>
      <c r="R1685" s="17" t="s">
        <v>801</v>
      </c>
      <c r="S1685" s="18" t="s">
        <v>2611</v>
      </c>
      <c r="T1685" s="17" t="s">
        <v>800</v>
      </c>
      <c r="U1685" s="18" t="s">
        <v>5255</v>
      </c>
      <c r="V1685" s="17" t="s">
        <v>9418</v>
      </c>
      <c r="W1685" s="18" t="s">
        <v>5309</v>
      </c>
      <c r="X1685" s="69" t="s">
        <v>9453</v>
      </c>
      <c r="Y1685" s="70" t="s">
        <v>9462</v>
      </c>
      <c r="Z1685" s="73" t="s">
        <v>9486</v>
      </c>
      <c r="AA1685" s="74" t="s">
        <v>9504</v>
      </c>
      <c r="AB1685" s="73" t="s">
        <v>9486</v>
      </c>
      <c r="AC1685" s="74" t="s">
        <v>9566</v>
      </c>
      <c r="AD1685" s="73" t="s">
        <v>9578</v>
      </c>
      <c r="AE1685" s="74" t="s">
        <v>9579</v>
      </c>
    </row>
    <row r="1686" spans="1:31" ht="8.65" customHeight="1" x14ac:dyDescent="0.2">
      <c r="A1686" s="76">
        <v>1686</v>
      </c>
      <c r="B1686" s="67" t="str">
        <f>MID(C1686, FIND("Ifc.", C1686) + 4, 4) &amp; "_" &amp; TEXT(COUNTIF($C$2:C1686, C1686),"0000")</f>
        <v>Prop_1685</v>
      </c>
      <c r="C1686" s="24" t="s">
        <v>872</v>
      </c>
      <c r="D1686" s="69" t="s">
        <v>9453</v>
      </c>
      <c r="E1686" s="70" t="s">
        <v>9454</v>
      </c>
      <c r="F1686" s="17" t="s">
        <v>806</v>
      </c>
      <c r="G1686" s="22" t="s">
        <v>1727</v>
      </c>
      <c r="H1686" s="12" t="s">
        <v>9703</v>
      </c>
      <c r="I1686" s="13" t="s">
        <v>6454</v>
      </c>
      <c r="J1686" s="14" t="s">
        <v>798</v>
      </c>
      <c r="K1686" s="15" t="s">
        <v>798</v>
      </c>
      <c r="L1686" s="12" t="s">
        <v>5315</v>
      </c>
      <c r="M1686" s="13" t="s">
        <v>5931</v>
      </c>
      <c r="N1686" s="12" t="s">
        <v>803</v>
      </c>
      <c r="O1686" s="13" t="s">
        <v>5004</v>
      </c>
      <c r="P1686" s="17" t="s">
        <v>802</v>
      </c>
      <c r="Q1686" s="21" t="s">
        <v>7689</v>
      </c>
      <c r="R1686" s="17" t="s">
        <v>801</v>
      </c>
      <c r="S1686" s="18" t="s">
        <v>2611</v>
      </c>
      <c r="T1686" s="17" t="s">
        <v>800</v>
      </c>
      <c r="U1686" s="18" t="s">
        <v>5255</v>
      </c>
      <c r="V1686" s="17" t="s">
        <v>9418</v>
      </c>
      <c r="W1686" s="18" t="s">
        <v>5309</v>
      </c>
      <c r="X1686" s="69" t="s">
        <v>9453</v>
      </c>
      <c r="Y1686" s="70" t="s">
        <v>9462</v>
      </c>
      <c r="Z1686" s="73" t="s">
        <v>9486</v>
      </c>
      <c r="AA1686" s="74" t="s">
        <v>9504</v>
      </c>
      <c r="AB1686" s="73" t="s">
        <v>9486</v>
      </c>
      <c r="AC1686" s="74" t="s">
        <v>9566</v>
      </c>
      <c r="AD1686" s="73" t="s">
        <v>9578</v>
      </c>
      <c r="AE1686" s="74" t="s">
        <v>9579</v>
      </c>
    </row>
    <row r="1687" spans="1:31" ht="8.65" customHeight="1" x14ac:dyDescent="0.2">
      <c r="A1687" s="76">
        <v>1687</v>
      </c>
      <c r="B1687" s="67" t="str">
        <f>MID(C1687, FIND("Ifc.", C1687) + 4, 4) &amp; "_" &amp; TEXT(COUNTIF($C$2:C1687, C1687),"0000")</f>
        <v>Prop_1686</v>
      </c>
      <c r="C1687" s="24" t="s">
        <v>872</v>
      </c>
      <c r="D1687" s="69" t="s">
        <v>9453</v>
      </c>
      <c r="E1687" s="70" t="s">
        <v>9454</v>
      </c>
      <c r="F1687" s="17" t="s">
        <v>806</v>
      </c>
      <c r="G1687" s="22" t="s">
        <v>2474</v>
      </c>
      <c r="H1687" s="12" t="s">
        <v>9703</v>
      </c>
      <c r="I1687" s="13" t="s">
        <v>6810</v>
      </c>
      <c r="J1687" s="14" t="s">
        <v>798</v>
      </c>
      <c r="K1687" s="15" t="s">
        <v>798</v>
      </c>
      <c r="L1687" s="12" t="s">
        <v>5315</v>
      </c>
      <c r="M1687" s="13" t="s">
        <v>5575</v>
      </c>
      <c r="N1687" s="12" t="s">
        <v>803</v>
      </c>
      <c r="O1687" s="13" t="s">
        <v>5213</v>
      </c>
      <c r="P1687" s="17" t="s">
        <v>802</v>
      </c>
      <c r="Q1687" s="21" t="s">
        <v>7690</v>
      </c>
      <c r="R1687" s="17" t="s">
        <v>801</v>
      </c>
      <c r="S1687" s="18" t="s">
        <v>2611</v>
      </c>
      <c r="T1687" s="17" t="s">
        <v>800</v>
      </c>
      <c r="U1687" s="18" t="s">
        <v>5255</v>
      </c>
      <c r="V1687" s="17" t="s">
        <v>9418</v>
      </c>
      <c r="W1687" s="18" t="s">
        <v>5309</v>
      </c>
      <c r="X1687" s="69" t="s">
        <v>9453</v>
      </c>
      <c r="Y1687" s="70" t="s">
        <v>9462</v>
      </c>
      <c r="Z1687" s="73" t="s">
        <v>9486</v>
      </c>
      <c r="AA1687" s="74" t="s">
        <v>9504</v>
      </c>
      <c r="AB1687" s="73" t="s">
        <v>9486</v>
      </c>
      <c r="AC1687" s="74" t="s">
        <v>9566</v>
      </c>
      <c r="AD1687" s="73" t="s">
        <v>9578</v>
      </c>
      <c r="AE1687" s="74" t="s">
        <v>9579</v>
      </c>
    </row>
    <row r="1688" spans="1:31" ht="8.65" customHeight="1" x14ac:dyDescent="0.2">
      <c r="A1688" s="76">
        <v>1688</v>
      </c>
      <c r="B1688" s="67" t="str">
        <f>MID(C1688, FIND("Ifc.", C1688) + 4, 4) &amp; "_" &amp; TEXT(COUNTIF($C$2:C1688, C1688),"0000")</f>
        <v>Prop_1687</v>
      </c>
      <c r="C1688" s="24" t="s">
        <v>872</v>
      </c>
      <c r="D1688" s="69" t="s">
        <v>9453</v>
      </c>
      <c r="E1688" s="70" t="s">
        <v>9454</v>
      </c>
      <c r="F1688" s="17" t="s">
        <v>806</v>
      </c>
      <c r="G1688" s="22" t="s">
        <v>1725</v>
      </c>
      <c r="H1688" s="12" t="s">
        <v>9703</v>
      </c>
      <c r="I1688" s="13" t="s">
        <v>6452</v>
      </c>
      <c r="J1688" s="14" t="s">
        <v>798</v>
      </c>
      <c r="K1688" s="15" t="s">
        <v>798</v>
      </c>
      <c r="L1688" s="12" t="s">
        <v>5315</v>
      </c>
      <c r="M1688" s="13" t="s">
        <v>5931</v>
      </c>
      <c r="N1688" s="12" t="s">
        <v>803</v>
      </c>
      <c r="O1688" s="13" t="s">
        <v>5004</v>
      </c>
      <c r="P1688" s="17" t="s">
        <v>802</v>
      </c>
      <c r="Q1688" s="21" t="s">
        <v>7689</v>
      </c>
      <c r="R1688" s="17" t="s">
        <v>801</v>
      </c>
      <c r="S1688" s="18" t="s">
        <v>2611</v>
      </c>
      <c r="T1688" s="17" t="s">
        <v>800</v>
      </c>
      <c r="U1688" s="18" t="s">
        <v>5255</v>
      </c>
      <c r="V1688" s="17" t="s">
        <v>9418</v>
      </c>
      <c r="W1688" s="18" t="s">
        <v>5309</v>
      </c>
      <c r="X1688" s="69" t="s">
        <v>9453</v>
      </c>
      <c r="Y1688" s="70" t="s">
        <v>9462</v>
      </c>
      <c r="Z1688" s="73" t="s">
        <v>9486</v>
      </c>
      <c r="AA1688" s="74" t="s">
        <v>9504</v>
      </c>
      <c r="AB1688" s="73" t="s">
        <v>9486</v>
      </c>
      <c r="AC1688" s="74" t="s">
        <v>9566</v>
      </c>
      <c r="AD1688" s="73" t="s">
        <v>9578</v>
      </c>
      <c r="AE1688" s="74" t="s">
        <v>9579</v>
      </c>
    </row>
    <row r="1689" spans="1:31" ht="8.65" customHeight="1" x14ac:dyDescent="0.2">
      <c r="A1689" s="76">
        <v>1689</v>
      </c>
      <c r="B1689" s="67" t="str">
        <f>MID(C1689, FIND("Ifc.", C1689) + 4, 4) &amp; "_" &amp; TEXT(COUNTIF($C$2:C1689, C1689),"0000")</f>
        <v>Prop_1688</v>
      </c>
      <c r="C1689" s="24" t="s">
        <v>872</v>
      </c>
      <c r="D1689" s="69" t="s">
        <v>9453</v>
      </c>
      <c r="E1689" s="70" t="s">
        <v>9454</v>
      </c>
      <c r="F1689" s="17" t="s">
        <v>806</v>
      </c>
      <c r="G1689" s="22" t="s">
        <v>2472</v>
      </c>
      <c r="H1689" s="12" t="s">
        <v>9703</v>
      </c>
      <c r="I1689" s="13" t="s">
        <v>6808</v>
      </c>
      <c r="J1689" s="14" t="s">
        <v>798</v>
      </c>
      <c r="K1689" s="15" t="s">
        <v>798</v>
      </c>
      <c r="L1689" s="12" t="s">
        <v>5315</v>
      </c>
      <c r="M1689" s="13" t="s">
        <v>5575</v>
      </c>
      <c r="N1689" s="12" t="s">
        <v>803</v>
      </c>
      <c r="O1689" s="13" t="s">
        <v>5213</v>
      </c>
      <c r="P1689" s="17" t="s">
        <v>802</v>
      </c>
      <c r="Q1689" s="21" t="s">
        <v>7690</v>
      </c>
      <c r="R1689" s="17" t="s">
        <v>801</v>
      </c>
      <c r="S1689" s="18" t="s">
        <v>2611</v>
      </c>
      <c r="T1689" s="17" t="s">
        <v>800</v>
      </c>
      <c r="U1689" s="18" t="s">
        <v>5255</v>
      </c>
      <c r="V1689" s="17" t="s">
        <v>9418</v>
      </c>
      <c r="W1689" s="18" t="s">
        <v>5309</v>
      </c>
      <c r="X1689" s="69" t="s">
        <v>9453</v>
      </c>
      <c r="Y1689" s="70" t="s">
        <v>9462</v>
      </c>
      <c r="Z1689" s="73" t="s">
        <v>9486</v>
      </c>
      <c r="AA1689" s="74" t="s">
        <v>9504</v>
      </c>
      <c r="AB1689" s="73" t="s">
        <v>9486</v>
      </c>
      <c r="AC1689" s="74" t="s">
        <v>9566</v>
      </c>
      <c r="AD1689" s="73" t="s">
        <v>9578</v>
      </c>
      <c r="AE1689" s="74" t="s">
        <v>9579</v>
      </c>
    </row>
    <row r="1690" spans="1:31" ht="8.65" customHeight="1" x14ac:dyDescent="0.2">
      <c r="A1690" s="76">
        <v>1690</v>
      </c>
      <c r="B1690" s="67" t="str">
        <f>MID(C1690, FIND("Ifc.", C1690) + 4, 4) &amp; "_" &amp; TEXT(COUNTIF($C$2:C1690, C1690),"0000")</f>
        <v>Prop_1689</v>
      </c>
      <c r="C1690" s="24" t="s">
        <v>872</v>
      </c>
      <c r="D1690" s="69" t="s">
        <v>9453</v>
      </c>
      <c r="E1690" s="70" t="s">
        <v>9454</v>
      </c>
      <c r="F1690" s="17" t="s">
        <v>806</v>
      </c>
      <c r="G1690" s="22" t="s">
        <v>1729</v>
      </c>
      <c r="H1690" s="12" t="s">
        <v>9703</v>
      </c>
      <c r="I1690" s="13" t="s">
        <v>6455</v>
      </c>
      <c r="J1690" s="14" t="s">
        <v>798</v>
      </c>
      <c r="K1690" s="15" t="s">
        <v>798</v>
      </c>
      <c r="L1690" s="12" t="s">
        <v>5315</v>
      </c>
      <c r="M1690" s="13" t="s">
        <v>5931</v>
      </c>
      <c r="N1690" s="12" t="s">
        <v>803</v>
      </c>
      <c r="O1690" s="13" t="s">
        <v>5004</v>
      </c>
      <c r="P1690" s="17" t="s">
        <v>802</v>
      </c>
      <c r="Q1690" s="21" t="s">
        <v>7689</v>
      </c>
      <c r="R1690" s="17" t="s">
        <v>801</v>
      </c>
      <c r="S1690" s="18" t="s">
        <v>2611</v>
      </c>
      <c r="T1690" s="17" t="s">
        <v>800</v>
      </c>
      <c r="U1690" s="18" t="s">
        <v>5255</v>
      </c>
      <c r="V1690" s="17" t="s">
        <v>9418</v>
      </c>
      <c r="W1690" s="18" t="s">
        <v>5309</v>
      </c>
      <c r="X1690" s="69" t="s">
        <v>9453</v>
      </c>
      <c r="Y1690" s="70" t="s">
        <v>9462</v>
      </c>
      <c r="Z1690" s="73" t="s">
        <v>9486</v>
      </c>
      <c r="AA1690" s="74" t="s">
        <v>9504</v>
      </c>
      <c r="AB1690" s="73" t="s">
        <v>9486</v>
      </c>
      <c r="AC1690" s="74" t="s">
        <v>9566</v>
      </c>
      <c r="AD1690" s="73" t="s">
        <v>9578</v>
      </c>
      <c r="AE1690" s="74" t="s">
        <v>9579</v>
      </c>
    </row>
    <row r="1691" spans="1:31" ht="8.65" customHeight="1" x14ac:dyDescent="0.2">
      <c r="A1691" s="76">
        <v>1691</v>
      </c>
      <c r="B1691" s="67" t="str">
        <f>MID(C1691, FIND("Ifc.", C1691) + 4, 4) &amp; "_" &amp; TEXT(COUNTIF($C$2:C1691, C1691),"0000")</f>
        <v>Prop_1690</v>
      </c>
      <c r="C1691" s="24" t="s">
        <v>872</v>
      </c>
      <c r="D1691" s="69" t="s">
        <v>9453</v>
      </c>
      <c r="E1691" s="70" t="s">
        <v>9454</v>
      </c>
      <c r="F1691" s="17" t="s">
        <v>806</v>
      </c>
      <c r="G1691" s="22" t="s">
        <v>2476</v>
      </c>
      <c r="H1691" s="12" t="s">
        <v>9703</v>
      </c>
      <c r="I1691" s="13" t="s">
        <v>6811</v>
      </c>
      <c r="J1691" s="14" t="s">
        <v>798</v>
      </c>
      <c r="K1691" s="15" t="s">
        <v>798</v>
      </c>
      <c r="L1691" s="12" t="s">
        <v>5315</v>
      </c>
      <c r="M1691" s="13" t="s">
        <v>5575</v>
      </c>
      <c r="N1691" s="12" t="s">
        <v>803</v>
      </c>
      <c r="O1691" s="13" t="s">
        <v>5213</v>
      </c>
      <c r="P1691" s="17" t="s">
        <v>802</v>
      </c>
      <c r="Q1691" s="21" t="s">
        <v>7690</v>
      </c>
      <c r="R1691" s="17" t="s">
        <v>801</v>
      </c>
      <c r="S1691" s="18" t="s">
        <v>2611</v>
      </c>
      <c r="T1691" s="17" t="s">
        <v>800</v>
      </c>
      <c r="U1691" s="18" t="s">
        <v>5255</v>
      </c>
      <c r="V1691" s="17" t="s">
        <v>9418</v>
      </c>
      <c r="W1691" s="18" t="s">
        <v>5309</v>
      </c>
      <c r="X1691" s="69" t="s">
        <v>9453</v>
      </c>
      <c r="Y1691" s="70" t="s">
        <v>9462</v>
      </c>
      <c r="Z1691" s="73" t="s">
        <v>9486</v>
      </c>
      <c r="AA1691" s="74" t="s">
        <v>9504</v>
      </c>
      <c r="AB1691" s="73" t="s">
        <v>9486</v>
      </c>
      <c r="AC1691" s="74" t="s">
        <v>9566</v>
      </c>
      <c r="AD1691" s="73" t="s">
        <v>9578</v>
      </c>
      <c r="AE1691" s="74" t="s">
        <v>9579</v>
      </c>
    </row>
    <row r="1692" spans="1:31" ht="8.65" customHeight="1" x14ac:dyDescent="0.2">
      <c r="A1692" s="76">
        <v>1692</v>
      </c>
      <c r="B1692" s="67" t="str">
        <f>MID(C1692, FIND("Ifc.", C1692) + 4, 4) &amp; "_" &amp; TEXT(COUNTIF($C$2:C1692, C1692),"0000")</f>
        <v>Prop_1691</v>
      </c>
      <c r="C1692" s="24" t="s">
        <v>872</v>
      </c>
      <c r="D1692" s="69" t="s">
        <v>9453</v>
      </c>
      <c r="E1692" s="70" t="s">
        <v>9454</v>
      </c>
      <c r="F1692" s="17" t="s">
        <v>806</v>
      </c>
      <c r="G1692" s="22" t="s">
        <v>1838</v>
      </c>
      <c r="H1692" s="12" t="s">
        <v>9703</v>
      </c>
      <c r="I1692" s="13" t="s">
        <v>6528</v>
      </c>
      <c r="J1692" s="14" t="s">
        <v>798</v>
      </c>
      <c r="K1692" s="15" t="s">
        <v>798</v>
      </c>
      <c r="L1692" s="12" t="s">
        <v>5315</v>
      </c>
      <c r="M1692" s="13" t="s">
        <v>5946</v>
      </c>
      <c r="N1692" s="12" t="s">
        <v>803</v>
      </c>
      <c r="O1692" s="13" t="s">
        <v>5031</v>
      </c>
      <c r="P1692" s="17" t="s">
        <v>802</v>
      </c>
      <c r="Q1692" s="21" t="s">
        <v>7924</v>
      </c>
      <c r="R1692" s="17" t="s">
        <v>801</v>
      </c>
      <c r="S1692" s="18" t="s">
        <v>2621</v>
      </c>
      <c r="T1692" s="17" t="s">
        <v>800</v>
      </c>
      <c r="U1692" s="18" t="s">
        <v>5260</v>
      </c>
      <c r="V1692" s="17" t="s">
        <v>9418</v>
      </c>
      <c r="W1692" s="18" t="s">
        <v>5309</v>
      </c>
      <c r="X1692" s="69" t="s">
        <v>9453</v>
      </c>
      <c r="Y1692" s="70" t="s">
        <v>9462</v>
      </c>
      <c r="Z1692" s="73" t="s">
        <v>9486</v>
      </c>
      <c r="AA1692" s="74" t="s">
        <v>9504</v>
      </c>
      <c r="AB1692" s="73" t="s">
        <v>9486</v>
      </c>
      <c r="AC1692" s="74" t="s">
        <v>9566</v>
      </c>
      <c r="AD1692" s="73" t="s">
        <v>9578</v>
      </c>
      <c r="AE1692" s="74" t="s">
        <v>9579</v>
      </c>
    </row>
    <row r="1693" spans="1:31" ht="8.65" customHeight="1" x14ac:dyDescent="0.2">
      <c r="A1693" s="76">
        <v>1693</v>
      </c>
      <c r="B1693" s="67" t="str">
        <f>MID(C1693, FIND("Ifc.", C1693) + 4, 4) &amp; "_" &amp; TEXT(COUNTIF($C$2:C1693, C1693),"0000")</f>
        <v>Prop_1692</v>
      </c>
      <c r="C1693" s="24" t="s">
        <v>872</v>
      </c>
      <c r="D1693" s="69" t="s">
        <v>9453</v>
      </c>
      <c r="E1693" s="70" t="s">
        <v>9454</v>
      </c>
      <c r="F1693" s="17" t="s">
        <v>806</v>
      </c>
      <c r="G1693" s="22" t="s">
        <v>1656</v>
      </c>
      <c r="H1693" s="12" t="s">
        <v>9703</v>
      </c>
      <c r="I1693" s="13" t="s">
        <v>7008</v>
      </c>
      <c r="J1693" s="14" t="s">
        <v>798</v>
      </c>
      <c r="K1693" s="15" t="s">
        <v>798</v>
      </c>
      <c r="L1693" s="12" t="s">
        <v>5315</v>
      </c>
      <c r="M1693" s="13" t="s">
        <v>5837</v>
      </c>
      <c r="N1693" s="12" t="s">
        <v>803</v>
      </c>
      <c r="O1693" s="13" t="s">
        <v>4980</v>
      </c>
      <c r="P1693" s="17" t="s">
        <v>802</v>
      </c>
      <c r="Q1693" s="21" t="s">
        <v>7844</v>
      </c>
      <c r="R1693" s="17" t="s">
        <v>801</v>
      </c>
      <c r="S1693" s="18" t="s">
        <v>3636</v>
      </c>
      <c r="T1693" s="17" t="s">
        <v>800</v>
      </c>
      <c r="U1693" s="18" t="s">
        <v>5257</v>
      </c>
      <c r="V1693" s="17" t="s">
        <v>9418</v>
      </c>
      <c r="W1693" s="18" t="s">
        <v>5314</v>
      </c>
      <c r="X1693" s="69" t="s">
        <v>9453</v>
      </c>
      <c r="Y1693" s="70" t="s">
        <v>9464</v>
      </c>
      <c r="Z1693" s="73" t="s">
        <v>9486</v>
      </c>
      <c r="AA1693" s="74" t="s">
        <v>9504</v>
      </c>
      <c r="AB1693" s="73" t="s">
        <v>9486</v>
      </c>
      <c r="AC1693" s="74" t="s">
        <v>9561</v>
      </c>
      <c r="AD1693" s="73" t="s">
        <v>9578</v>
      </c>
      <c r="AE1693" s="74" t="s">
        <v>9579</v>
      </c>
    </row>
    <row r="1694" spans="1:31" ht="8.65" customHeight="1" x14ac:dyDescent="0.2">
      <c r="A1694" s="76">
        <v>1694</v>
      </c>
      <c r="B1694" s="67" t="str">
        <f>MID(C1694, FIND("Ifc.", C1694) + 4, 4) &amp; "_" &amp; TEXT(COUNTIF($C$2:C1694, C1694),"0000")</f>
        <v>Prop_1693</v>
      </c>
      <c r="C1694" s="24" t="s">
        <v>872</v>
      </c>
      <c r="D1694" s="69" t="s">
        <v>9453</v>
      </c>
      <c r="E1694" s="70" t="s">
        <v>9454</v>
      </c>
      <c r="F1694" s="17" t="s">
        <v>806</v>
      </c>
      <c r="G1694" s="22" t="s">
        <v>1656</v>
      </c>
      <c r="H1694" s="12" t="s">
        <v>9703</v>
      </c>
      <c r="I1694" s="13" t="s">
        <v>7008</v>
      </c>
      <c r="J1694" s="14" t="s">
        <v>798</v>
      </c>
      <c r="K1694" s="15" t="s">
        <v>798</v>
      </c>
      <c r="L1694" s="12" t="s">
        <v>5315</v>
      </c>
      <c r="M1694" s="13" t="s">
        <v>5841</v>
      </c>
      <c r="N1694" s="12" t="s">
        <v>803</v>
      </c>
      <c r="O1694" s="13" t="s">
        <v>4986</v>
      </c>
      <c r="P1694" s="17" t="s">
        <v>802</v>
      </c>
      <c r="Q1694" s="21" t="s">
        <v>7845</v>
      </c>
      <c r="R1694" s="17" t="s">
        <v>801</v>
      </c>
      <c r="S1694" s="18" t="s">
        <v>3636</v>
      </c>
      <c r="T1694" s="17" t="s">
        <v>800</v>
      </c>
      <c r="U1694" s="18" t="s">
        <v>5257</v>
      </c>
      <c r="V1694" s="17" t="s">
        <v>9418</v>
      </c>
      <c r="W1694" s="18" t="s">
        <v>5314</v>
      </c>
      <c r="X1694" s="69" t="s">
        <v>9453</v>
      </c>
      <c r="Y1694" s="70" t="s">
        <v>9464</v>
      </c>
      <c r="Z1694" s="73" t="s">
        <v>9486</v>
      </c>
      <c r="AA1694" s="74" t="s">
        <v>9504</v>
      </c>
      <c r="AB1694" s="73" t="s">
        <v>9486</v>
      </c>
      <c r="AC1694" s="74" t="s">
        <v>9561</v>
      </c>
      <c r="AD1694" s="73" t="s">
        <v>9578</v>
      </c>
      <c r="AE1694" s="74" t="s">
        <v>9579</v>
      </c>
    </row>
    <row r="1695" spans="1:31" ht="8.65" customHeight="1" x14ac:dyDescent="0.2">
      <c r="A1695" s="76">
        <v>1695</v>
      </c>
      <c r="B1695" s="67" t="str">
        <f>MID(C1695, FIND("Ifc.", C1695) + 4, 4) &amp; "_" &amp; TEXT(COUNTIF($C$2:C1695, C1695),"0000")</f>
        <v>Prop_1694</v>
      </c>
      <c r="C1695" s="24" t="s">
        <v>872</v>
      </c>
      <c r="D1695" s="69" t="s">
        <v>9453</v>
      </c>
      <c r="E1695" s="70" t="s">
        <v>9454</v>
      </c>
      <c r="F1695" s="17" t="s">
        <v>806</v>
      </c>
      <c r="G1695" s="22" t="s">
        <v>1654</v>
      </c>
      <c r="H1695" s="12" t="s">
        <v>9703</v>
      </c>
      <c r="I1695" s="13" t="s">
        <v>6889</v>
      </c>
      <c r="J1695" s="14" t="s">
        <v>798</v>
      </c>
      <c r="K1695" s="15" t="s">
        <v>798</v>
      </c>
      <c r="L1695" s="12" t="s">
        <v>5315</v>
      </c>
      <c r="M1695" s="13" t="s">
        <v>5837</v>
      </c>
      <c r="N1695" s="12" t="s">
        <v>803</v>
      </c>
      <c r="O1695" s="13" t="s">
        <v>4980</v>
      </c>
      <c r="P1695" s="17" t="s">
        <v>802</v>
      </c>
      <c r="Q1695" s="21" t="s">
        <v>7844</v>
      </c>
      <c r="R1695" s="17" t="s">
        <v>801</v>
      </c>
      <c r="S1695" s="18" t="s">
        <v>3636</v>
      </c>
      <c r="T1695" s="17" t="s">
        <v>800</v>
      </c>
      <c r="U1695" s="18" t="s">
        <v>5257</v>
      </c>
      <c r="V1695" s="17" t="s">
        <v>9418</v>
      </c>
      <c r="W1695" s="18" t="s">
        <v>5314</v>
      </c>
      <c r="X1695" s="69" t="s">
        <v>9453</v>
      </c>
      <c r="Y1695" s="70" t="s">
        <v>9464</v>
      </c>
      <c r="Z1695" s="73" t="s">
        <v>9486</v>
      </c>
      <c r="AA1695" s="74" t="s">
        <v>9504</v>
      </c>
      <c r="AB1695" s="73" t="s">
        <v>9486</v>
      </c>
      <c r="AC1695" s="74" t="s">
        <v>9561</v>
      </c>
      <c r="AD1695" s="73" t="s">
        <v>9578</v>
      </c>
      <c r="AE1695" s="74" t="s">
        <v>9579</v>
      </c>
    </row>
    <row r="1696" spans="1:31" ht="8.65" customHeight="1" x14ac:dyDescent="0.2">
      <c r="A1696" s="76">
        <v>1696</v>
      </c>
      <c r="B1696" s="67" t="str">
        <f>MID(C1696, FIND("Ifc.", C1696) + 4, 4) &amp; "_" &amp; TEXT(COUNTIF($C$2:C1696, C1696),"0000")</f>
        <v>Prop_1695</v>
      </c>
      <c r="C1696" s="24" t="s">
        <v>872</v>
      </c>
      <c r="D1696" s="69" t="s">
        <v>9453</v>
      </c>
      <c r="E1696" s="70" t="s">
        <v>9454</v>
      </c>
      <c r="F1696" s="17" t="s">
        <v>806</v>
      </c>
      <c r="G1696" s="22" t="s">
        <v>1654</v>
      </c>
      <c r="H1696" s="12" t="s">
        <v>9703</v>
      </c>
      <c r="I1696" s="13" t="s">
        <v>6889</v>
      </c>
      <c r="J1696" s="14" t="s">
        <v>798</v>
      </c>
      <c r="K1696" s="15" t="s">
        <v>798</v>
      </c>
      <c r="L1696" s="12" t="s">
        <v>5315</v>
      </c>
      <c r="M1696" s="13" t="s">
        <v>5841</v>
      </c>
      <c r="N1696" s="12" t="s">
        <v>803</v>
      </c>
      <c r="O1696" s="13" t="s">
        <v>4986</v>
      </c>
      <c r="P1696" s="17" t="s">
        <v>802</v>
      </c>
      <c r="Q1696" s="21" t="s">
        <v>7845</v>
      </c>
      <c r="R1696" s="17" t="s">
        <v>801</v>
      </c>
      <c r="S1696" s="18" t="s">
        <v>3636</v>
      </c>
      <c r="T1696" s="17" t="s">
        <v>800</v>
      </c>
      <c r="U1696" s="18" t="s">
        <v>5257</v>
      </c>
      <c r="V1696" s="17" t="s">
        <v>9418</v>
      </c>
      <c r="W1696" s="18" t="s">
        <v>5314</v>
      </c>
      <c r="X1696" s="69" t="s">
        <v>9453</v>
      </c>
      <c r="Y1696" s="70" t="s">
        <v>9464</v>
      </c>
      <c r="Z1696" s="73" t="s">
        <v>9486</v>
      </c>
      <c r="AA1696" s="74" t="s">
        <v>9504</v>
      </c>
      <c r="AB1696" s="73" t="s">
        <v>9486</v>
      </c>
      <c r="AC1696" s="74" t="s">
        <v>9561</v>
      </c>
      <c r="AD1696" s="73" t="s">
        <v>9578</v>
      </c>
      <c r="AE1696" s="74" t="s">
        <v>9579</v>
      </c>
    </row>
    <row r="1697" spans="1:31" ht="8.65" customHeight="1" x14ac:dyDescent="0.2">
      <c r="A1697" s="76">
        <v>1697</v>
      </c>
      <c r="B1697" s="67" t="str">
        <f>MID(C1697, FIND("Ifc.", C1697) + 4, 4) &amp; "_" &amp; TEXT(COUNTIF($C$2:C1697, C1697),"0000")</f>
        <v>Prop_1696</v>
      </c>
      <c r="C1697" s="24" t="s">
        <v>872</v>
      </c>
      <c r="D1697" s="69" t="s">
        <v>9453</v>
      </c>
      <c r="E1697" s="70" t="s">
        <v>9454</v>
      </c>
      <c r="F1697" s="17" t="s">
        <v>806</v>
      </c>
      <c r="G1697" s="22" t="s">
        <v>1440</v>
      </c>
      <c r="H1697" s="12" t="s">
        <v>9703</v>
      </c>
      <c r="I1697" s="13" t="s">
        <v>6335</v>
      </c>
      <c r="J1697" s="14" t="s">
        <v>798</v>
      </c>
      <c r="K1697" s="15" t="s">
        <v>798</v>
      </c>
      <c r="L1697" s="12" t="s">
        <v>5315</v>
      </c>
      <c r="M1697" s="13" t="s">
        <v>5436</v>
      </c>
      <c r="N1697" s="12" t="s">
        <v>803</v>
      </c>
      <c r="O1697" s="13" t="s">
        <v>4936</v>
      </c>
      <c r="P1697" s="17" t="s">
        <v>802</v>
      </c>
      <c r="Q1697" s="21" t="s">
        <v>7931</v>
      </c>
      <c r="R1697" s="17" t="s">
        <v>801</v>
      </c>
      <c r="S1697" s="18" t="s">
        <v>2621</v>
      </c>
      <c r="T1697" s="17" t="s">
        <v>800</v>
      </c>
      <c r="U1697" s="18" t="s">
        <v>5260</v>
      </c>
      <c r="V1697" s="17" t="s">
        <v>9418</v>
      </c>
      <c r="W1697" s="18" t="s">
        <v>5309</v>
      </c>
      <c r="X1697" s="69" t="s">
        <v>9453</v>
      </c>
      <c r="Y1697" s="70" t="s">
        <v>9462</v>
      </c>
      <c r="Z1697" s="73" t="s">
        <v>9486</v>
      </c>
      <c r="AA1697" s="74" t="s">
        <v>9504</v>
      </c>
      <c r="AB1697" s="73" t="s">
        <v>9486</v>
      </c>
      <c r="AC1697" s="74" t="s">
        <v>9566</v>
      </c>
      <c r="AD1697" s="73" t="s">
        <v>9578</v>
      </c>
      <c r="AE1697" s="74" t="s">
        <v>9579</v>
      </c>
    </row>
    <row r="1698" spans="1:31" ht="8.65" customHeight="1" x14ac:dyDescent="0.2">
      <c r="A1698" s="76">
        <v>1698</v>
      </c>
      <c r="B1698" s="67" t="str">
        <f>MID(C1698, FIND("Ifc.", C1698) + 4, 4) &amp; "_" &amp; TEXT(COUNTIF($C$2:C1698, C1698),"0000")</f>
        <v>Prop_1697</v>
      </c>
      <c r="C1698" s="24" t="s">
        <v>872</v>
      </c>
      <c r="D1698" s="69" t="s">
        <v>9453</v>
      </c>
      <c r="E1698" s="70" t="s">
        <v>9454</v>
      </c>
      <c r="F1698" s="17" t="s">
        <v>806</v>
      </c>
      <c r="G1698" s="22" t="s">
        <v>1441</v>
      </c>
      <c r="H1698" s="12" t="s">
        <v>9703</v>
      </c>
      <c r="I1698" s="13" t="s">
        <v>6336</v>
      </c>
      <c r="J1698" s="14" t="s">
        <v>798</v>
      </c>
      <c r="K1698" s="15" t="s">
        <v>798</v>
      </c>
      <c r="L1698" s="12" t="s">
        <v>5315</v>
      </c>
      <c r="M1698" s="13" t="s">
        <v>5436</v>
      </c>
      <c r="N1698" s="12" t="s">
        <v>803</v>
      </c>
      <c r="O1698" s="13" t="s">
        <v>4936</v>
      </c>
      <c r="P1698" s="17" t="s">
        <v>802</v>
      </c>
      <c r="Q1698" s="21" t="s">
        <v>7931</v>
      </c>
      <c r="R1698" s="17" t="s">
        <v>801</v>
      </c>
      <c r="S1698" s="18" t="s">
        <v>2621</v>
      </c>
      <c r="T1698" s="17" t="s">
        <v>800</v>
      </c>
      <c r="U1698" s="18" t="s">
        <v>5260</v>
      </c>
      <c r="V1698" s="17" t="s">
        <v>9418</v>
      </c>
      <c r="W1698" s="18" t="s">
        <v>5309</v>
      </c>
      <c r="X1698" s="69" t="s">
        <v>9453</v>
      </c>
      <c r="Y1698" s="70" t="s">
        <v>9462</v>
      </c>
      <c r="Z1698" s="73" t="s">
        <v>9486</v>
      </c>
      <c r="AA1698" s="74" t="s">
        <v>9504</v>
      </c>
      <c r="AB1698" s="73" t="s">
        <v>9486</v>
      </c>
      <c r="AC1698" s="74" t="s">
        <v>9566</v>
      </c>
      <c r="AD1698" s="73" t="s">
        <v>9578</v>
      </c>
      <c r="AE1698" s="74" t="s">
        <v>9579</v>
      </c>
    </row>
    <row r="1699" spans="1:31" ht="8.65" customHeight="1" x14ac:dyDescent="0.2">
      <c r="A1699" s="76">
        <v>1699</v>
      </c>
      <c r="B1699" s="67" t="str">
        <f>MID(C1699, FIND("Ifc.", C1699) + 4, 4) &amp; "_" &amp; TEXT(COUNTIF($C$2:C1699, C1699),"0000")</f>
        <v>Prop_1698</v>
      </c>
      <c r="C1699" s="24" t="s">
        <v>872</v>
      </c>
      <c r="D1699" s="69" t="s">
        <v>9453</v>
      </c>
      <c r="E1699" s="70" t="s">
        <v>9454</v>
      </c>
      <c r="F1699" s="17" t="s">
        <v>806</v>
      </c>
      <c r="G1699" s="22" t="s">
        <v>2379</v>
      </c>
      <c r="H1699" s="12" t="s">
        <v>9703</v>
      </c>
      <c r="I1699" s="13" t="s">
        <v>6760</v>
      </c>
      <c r="J1699" s="14" t="s">
        <v>798</v>
      </c>
      <c r="K1699" s="15" t="s">
        <v>798</v>
      </c>
      <c r="L1699" s="12" t="s">
        <v>5315</v>
      </c>
      <c r="M1699" s="13" t="s">
        <v>5783</v>
      </c>
      <c r="N1699" s="12" t="s">
        <v>803</v>
      </c>
      <c r="O1699" s="13" t="s">
        <v>5181</v>
      </c>
      <c r="P1699" s="17" t="s">
        <v>802</v>
      </c>
      <c r="Q1699" s="21" t="s">
        <v>7751</v>
      </c>
      <c r="R1699" s="17" t="s">
        <v>801</v>
      </c>
      <c r="S1699" s="18" t="s">
        <v>2554</v>
      </c>
      <c r="T1699" s="17" t="s">
        <v>800</v>
      </c>
      <c r="U1699" s="18" t="s">
        <v>5233</v>
      </c>
      <c r="V1699" s="17" t="s">
        <v>9418</v>
      </c>
      <c r="W1699" s="18" t="s">
        <v>5310</v>
      </c>
      <c r="X1699" s="69" t="s">
        <v>9453</v>
      </c>
      <c r="Y1699" s="70" t="s">
        <v>9463</v>
      </c>
      <c r="Z1699" s="73" t="s">
        <v>9486</v>
      </c>
      <c r="AA1699" s="74" t="s">
        <v>9504</v>
      </c>
      <c r="AB1699" s="73" t="s">
        <v>9486</v>
      </c>
      <c r="AC1699" s="74" t="s">
        <v>9562</v>
      </c>
      <c r="AD1699" s="73" t="s">
        <v>9578</v>
      </c>
      <c r="AE1699" s="74" t="s">
        <v>9579</v>
      </c>
    </row>
    <row r="1700" spans="1:31" ht="8.65" customHeight="1" x14ac:dyDescent="0.2">
      <c r="A1700" s="76">
        <v>1700</v>
      </c>
      <c r="B1700" s="67" t="str">
        <f>MID(C1700, FIND("Ifc.", C1700) + 4, 4) &amp; "_" &amp; TEXT(COUNTIF($C$2:C1700, C1700),"0000")</f>
        <v>Prop_1699</v>
      </c>
      <c r="C1700" s="24" t="s">
        <v>872</v>
      </c>
      <c r="D1700" s="69" t="s">
        <v>9453</v>
      </c>
      <c r="E1700" s="70" t="s">
        <v>9454</v>
      </c>
      <c r="F1700" s="17" t="s">
        <v>806</v>
      </c>
      <c r="G1700" s="22" t="s">
        <v>1180</v>
      </c>
      <c r="H1700" s="12" t="s">
        <v>9703</v>
      </c>
      <c r="I1700" s="13" t="s">
        <v>6214</v>
      </c>
      <c r="J1700" s="14" t="s">
        <v>798</v>
      </c>
      <c r="K1700" s="15" t="s">
        <v>798</v>
      </c>
      <c r="L1700" s="12" t="s">
        <v>5315</v>
      </c>
      <c r="M1700" s="13" t="s">
        <v>5399</v>
      </c>
      <c r="N1700" s="12" t="s">
        <v>803</v>
      </c>
      <c r="O1700" s="13" t="s">
        <v>4874</v>
      </c>
      <c r="P1700" s="17" t="s">
        <v>802</v>
      </c>
      <c r="Q1700" s="21" t="s">
        <v>7875</v>
      </c>
      <c r="R1700" s="17" t="s">
        <v>801</v>
      </c>
      <c r="S1700" s="18" t="s">
        <v>2669</v>
      </c>
      <c r="T1700" s="17" t="s">
        <v>800</v>
      </c>
      <c r="U1700" s="18" t="s">
        <v>5237</v>
      </c>
      <c r="V1700" s="17" t="s">
        <v>9418</v>
      </c>
      <c r="W1700" s="18" t="s">
        <v>5309</v>
      </c>
      <c r="X1700" s="69" t="s">
        <v>9453</v>
      </c>
      <c r="Y1700" s="70" t="s">
        <v>9462</v>
      </c>
      <c r="Z1700" s="73" t="s">
        <v>9486</v>
      </c>
      <c r="AA1700" s="74" t="s">
        <v>9504</v>
      </c>
      <c r="AB1700" s="73" t="s">
        <v>9486</v>
      </c>
      <c r="AC1700" s="74" t="s">
        <v>9562</v>
      </c>
      <c r="AD1700" s="73" t="s">
        <v>9578</v>
      </c>
      <c r="AE1700" s="74" t="s">
        <v>9579</v>
      </c>
    </row>
    <row r="1701" spans="1:31" ht="8.65" customHeight="1" x14ac:dyDescent="0.2">
      <c r="A1701" s="76">
        <v>1701</v>
      </c>
      <c r="B1701" s="67" t="str">
        <f>MID(C1701, FIND("Ifc.", C1701) + 4, 4) &amp; "_" &amp; TEXT(COUNTIF($C$2:C1701, C1701),"0000")</f>
        <v>Prop_1700</v>
      </c>
      <c r="C1701" s="24" t="s">
        <v>872</v>
      </c>
      <c r="D1701" s="69" t="s">
        <v>9453</v>
      </c>
      <c r="E1701" s="70" t="s">
        <v>9454</v>
      </c>
      <c r="F1701" s="17" t="s">
        <v>806</v>
      </c>
      <c r="G1701" s="22" t="s">
        <v>1667</v>
      </c>
      <c r="H1701" s="12" t="s">
        <v>9703</v>
      </c>
      <c r="I1701" s="13" t="s">
        <v>6415</v>
      </c>
      <c r="J1701" s="14" t="s">
        <v>798</v>
      </c>
      <c r="K1701" s="15" t="s">
        <v>798</v>
      </c>
      <c r="L1701" s="12" t="s">
        <v>5315</v>
      </c>
      <c r="M1701" s="13" t="s">
        <v>5842</v>
      </c>
      <c r="N1701" s="12" t="s">
        <v>803</v>
      </c>
      <c r="O1701" s="13" t="s">
        <v>4987</v>
      </c>
      <c r="P1701" s="17" t="s">
        <v>802</v>
      </c>
      <c r="Q1701" s="21" t="s">
        <v>7953</v>
      </c>
      <c r="R1701" s="17" t="s">
        <v>801</v>
      </c>
      <c r="S1701" s="18" t="s">
        <v>3636</v>
      </c>
      <c r="T1701" s="17" t="s">
        <v>800</v>
      </c>
      <c r="U1701" s="18" t="s">
        <v>5257</v>
      </c>
      <c r="V1701" s="17" t="s">
        <v>9418</v>
      </c>
      <c r="W1701" s="18" t="s">
        <v>5314</v>
      </c>
      <c r="X1701" s="69" t="s">
        <v>9453</v>
      </c>
      <c r="Y1701" s="70" t="s">
        <v>9464</v>
      </c>
      <c r="Z1701" s="73" t="s">
        <v>9486</v>
      </c>
      <c r="AA1701" s="74" t="s">
        <v>9504</v>
      </c>
      <c r="AB1701" s="73" t="s">
        <v>9486</v>
      </c>
      <c r="AC1701" s="74" t="s">
        <v>9561</v>
      </c>
      <c r="AD1701" s="73" t="s">
        <v>9578</v>
      </c>
      <c r="AE1701" s="74" t="s">
        <v>9579</v>
      </c>
    </row>
    <row r="1702" spans="1:31" ht="8.65" customHeight="1" x14ac:dyDescent="0.2">
      <c r="A1702" s="76">
        <v>1702</v>
      </c>
      <c r="B1702" s="67" t="str">
        <f>MID(C1702, FIND("Ifc.", C1702) + 4, 4) &amp; "_" &amp; TEXT(COUNTIF($C$2:C1702, C1702),"0000")</f>
        <v>Prop_1701</v>
      </c>
      <c r="C1702" s="24" t="s">
        <v>872</v>
      </c>
      <c r="D1702" s="69" t="s">
        <v>9453</v>
      </c>
      <c r="E1702" s="70" t="s">
        <v>9454</v>
      </c>
      <c r="F1702" s="17" t="s">
        <v>806</v>
      </c>
      <c r="G1702" s="22" t="s">
        <v>2157</v>
      </c>
      <c r="H1702" s="12" t="s">
        <v>9703</v>
      </c>
      <c r="I1702" s="13" t="s">
        <v>6656</v>
      </c>
      <c r="J1702" s="14" t="s">
        <v>798</v>
      </c>
      <c r="K1702" s="15" t="s">
        <v>798</v>
      </c>
      <c r="L1702" s="12" t="s">
        <v>5315</v>
      </c>
      <c r="M1702" s="13" t="s">
        <v>5499</v>
      </c>
      <c r="N1702" s="12" t="s">
        <v>803</v>
      </c>
      <c r="O1702" s="13" t="s">
        <v>5113</v>
      </c>
      <c r="P1702" s="17" t="s">
        <v>802</v>
      </c>
      <c r="Q1702" s="21" t="s">
        <v>7707</v>
      </c>
      <c r="R1702" s="17" t="s">
        <v>801</v>
      </c>
      <c r="S1702" s="18" t="s">
        <v>2554</v>
      </c>
      <c r="T1702" s="17" t="s">
        <v>800</v>
      </c>
      <c r="U1702" s="18" t="s">
        <v>5233</v>
      </c>
      <c r="V1702" s="17" t="s">
        <v>9418</v>
      </c>
      <c r="W1702" s="18" t="s">
        <v>5309</v>
      </c>
      <c r="X1702" s="69" t="s">
        <v>9453</v>
      </c>
      <c r="Y1702" s="70" t="s">
        <v>9462</v>
      </c>
      <c r="Z1702" s="73" t="s">
        <v>9486</v>
      </c>
      <c r="AA1702" s="74" t="s">
        <v>9504</v>
      </c>
      <c r="AB1702" s="73" t="s">
        <v>9486</v>
      </c>
      <c r="AC1702" s="74" t="s">
        <v>9562</v>
      </c>
      <c r="AD1702" s="73" t="s">
        <v>9578</v>
      </c>
      <c r="AE1702" s="74" t="s">
        <v>9579</v>
      </c>
    </row>
    <row r="1703" spans="1:31" ht="8.65" customHeight="1" x14ac:dyDescent="0.2">
      <c r="A1703" s="76">
        <v>1703</v>
      </c>
      <c r="B1703" s="67" t="str">
        <f>MID(C1703, FIND("Ifc.", C1703) + 4, 4) &amp; "_" &amp; TEXT(COUNTIF($C$2:C1703, C1703),"0000")</f>
        <v>Prop_1702</v>
      </c>
      <c r="C1703" s="24" t="s">
        <v>872</v>
      </c>
      <c r="D1703" s="69" t="s">
        <v>9453</v>
      </c>
      <c r="E1703" s="70" t="s">
        <v>9454</v>
      </c>
      <c r="F1703" s="17" t="s">
        <v>806</v>
      </c>
      <c r="G1703" s="22" t="s">
        <v>2154</v>
      </c>
      <c r="H1703" s="12" t="s">
        <v>9703</v>
      </c>
      <c r="I1703" s="13" t="s">
        <v>5857</v>
      </c>
      <c r="J1703" s="14" t="s">
        <v>798</v>
      </c>
      <c r="K1703" s="15" t="s">
        <v>798</v>
      </c>
      <c r="L1703" s="12" t="s">
        <v>5315</v>
      </c>
      <c r="M1703" s="13" t="s">
        <v>5499</v>
      </c>
      <c r="N1703" s="12" t="s">
        <v>803</v>
      </c>
      <c r="O1703" s="13" t="s">
        <v>5113</v>
      </c>
      <c r="P1703" s="17" t="s">
        <v>802</v>
      </c>
      <c r="Q1703" s="21" t="s">
        <v>7707</v>
      </c>
      <c r="R1703" s="17" t="s">
        <v>801</v>
      </c>
      <c r="S1703" s="18" t="s">
        <v>2554</v>
      </c>
      <c r="T1703" s="17" t="s">
        <v>800</v>
      </c>
      <c r="U1703" s="18" t="s">
        <v>5233</v>
      </c>
      <c r="V1703" s="17" t="s">
        <v>9418</v>
      </c>
      <c r="W1703" s="18" t="s">
        <v>5309</v>
      </c>
      <c r="X1703" s="69" t="s">
        <v>9453</v>
      </c>
      <c r="Y1703" s="70" t="s">
        <v>9462</v>
      </c>
      <c r="Z1703" s="73" t="s">
        <v>9486</v>
      </c>
      <c r="AA1703" s="74" t="s">
        <v>9504</v>
      </c>
      <c r="AB1703" s="73" t="s">
        <v>9486</v>
      </c>
      <c r="AC1703" s="74" t="s">
        <v>9562</v>
      </c>
      <c r="AD1703" s="73" t="s">
        <v>9578</v>
      </c>
      <c r="AE1703" s="74" t="s">
        <v>9579</v>
      </c>
    </row>
    <row r="1704" spans="1:31" ht="8.65" customHeight="1" x14ac:dyDescent="0.2">
      <c r="A1704" s="76">
        <v>1704</v>
      </c>
      <c r="B1704" s="67" t="str">
        <f>MID(C1704, FIND("Ifc.", C1704) + 4, 4) &amp; "_" &amp; TEXT(COUNTIF($C$2:C1704, C1704),"0000")</f>
        <v>Prop_1703</v>
      </c>
      <c r="C1704" s="24" t="s">
        <v>872</v>
      </c>
      <c r="D1704" s="69" t="s">
        <v>9453</v>
      </c>
      <c r="E1704" s="70" t="s">
        <v>9454</v>
      </c>
      <c r="F1704" s="17" t="s">
        <v>806</v>
      </c>
      <c r="G1704" s="22" t="s">
        <v>2156</v>
      </c>
      <c r="H1704" s="12" t="s">
        <v>9703</v>
      </c>
      <c r="I1704" s="13" t="s">
        <v>6655</v>
      </c>
      <c r="J1704" s="14" t="s">
        <v>798</v>
      </c>
      <c r="K1704" s="15" t="s">
        <v>798</v>
      </c>
      <c r="L1704" s="12" t="s">
        <v>5315</v>
      </c>
      <c r="M1704" s="13" t="s">
        <v>5499</v>
      </c>
      <c r="N1704" s="12" t="s">
        <v>803</v>
      </c>
      <c r="O1704" s="13" t="s">
        <v>5113</v>
      </c>
      <c r="P1704" s="17" t="s">
        <v>802</v>
      </c>
      <c r="Q1704" s="21" t="s">
        <v>7707</v>
      </c>
      <c r="R1704" s="17" t="s">
        <v>801</v>
      </c>
      <c r="S1704" s="18" t="s">
        <v>2554</v>
      </c>
      <c r="T1704" s="17" t="s">
        <v>800</v>
      </c>
      <c r="U1704" s="18" t="s">
        <v>5233</v>
      </c>
      <c r="V1704" s="17" t="s">
        <v>9418</v>
      </c>
      <c r="W1704" s="18" t="s">
        <v>5309</v>
      </c>
      <c r="X1704" s="69" t="s">
        <v>9453</v>
      </c>
      <c r="Y1704" s="70" t="s">
        <v>9462</v>
      </c>
      <c r="Z1704" s="73" t="s">
        <v>9486</v>
      </c>
      <c r="AA1704" s="74" t="s">
        <v>9504</v>
      </c>
      <c r="AB1704" s="73" t="s">
        <v>9486</v>
      </c>
      <c r="AC1704" s="74" t="s">
        <v>9562</v>
      </c>
      <c r="AD1704" s="73" t="s">
        <v>9578</v>
      </c>
      <c r="AE1704" s="74" t="s">
        <v>9579</v>
      </c>
    </row>
    <row r="1705" spans="1:31" ht="8.65" customHeight="1" x14ac:dyDescent="0.2">
      <c r="A1705" s="76">
        <v>1705</v>
      </c>
      <c r="B1705" s="67" t="str">
        <f>MID(C1705, FIND("Ifc.", C1705) + 4, 4) &amp; "_" &amp; TEXT(COUNTIF($C$2:C1705, C1705),"0000")</f>
        <v>Prop_1704</v>
      </c>
      <c r="C1705" s="24" t="s">
        <v>872</v>
      </c>
      <c r="D1705" s="69" t="s">
        <v>9453</v>
      </c>
      <c r="E1705" s="70" t="s">
        <v>9454</v>
      </c>
      <c r="F1705" s="17" t="s">
        <v>806</v>
      </c>
      <c r="G1705" s="22" t="s">
        <v>1130</v>
      </c>
      <c r="H1705" s="12" t="s">
        <v>9703</v>
      </c>
      <c r="I1705" s="13" t="s">
        <v>7399</v>
      </c>
      <c r="J1705" s="14" t="s">
        <v>798</v>
      </c>
      <c r="K1705" s="15" t="s">
        <v>798</v>
      </c>
      <c r="L1705" s="12" t="s">
        <v>5315</v>
      </c>
      <c r="M1705" s="13" t="s">
        <v>6040</v>
      </c>
      <c r="N1705" s="12" t="s">
        <v>803</v>
      </c>
      <c r="O1705" s="13" t="s">
        <v>4861</v>
      </c>
      <c r="P1705" s="17" t="s">
        <v>802</v>
      </c>
      <c r="Q1705" s="21" t="s">
        <v>7803</v>
      </c>
      <c r="R1705" s="17" t="s">
        <v>801</v>
      </c>
      <c r="S1705" s="18" t="s">
        <v>2575</v>
      </c>
      <c r="T1705" s="17" t="s">
        <v>800</v>
      </c>
      <c r="U1705" s="18" t="s">
        <v>5250</v>
      </c>
      <c r="V1705" s="17" t="s">
        <v>9418</v>
      </c>
      <c r="W1705" s="18" t="s">
        <v>5309</v>
      </c>
      <c r="X1705" s="69" t="s">
        <v>9453</v>
      </c>
      <c r="Y1705" s="70" t="s">
        <v>9462</v>
      </c>
      <c r="Z1705" s="73" t="s">
        <v>9486</v>
      </c>
      <c r="AA1705" s="74" t="s">
        <v>9504</v>
      </c>
      <c r="AB1705" s="73" t="s">
        <v>9486</v>
      </c>
      <c r="AC1705" s="74" t="s">
        <v>9566</v>
      </c>
      <c r="AD1705" s="73" t="s">
        <v>9578</v>
      </c>
      <c r="AE1705" s="74" t="s">
        <v>9579</v>
      </c>
    </row>
    <row r="1706" spans="1:31" ht="8.65" customHeight="1" x14ac:dyDescent="0.2">
      <c r="A1706" s="76">
        <v>1706</v>
      </c>
      <c r="B1706" s="67" t="str">
        <f>MID(C1706, FIND("Ifc.", C1706) + 4, 4) &amp; "_" &amp; TEXT(COUNTIF($C$2:C1706, C1706),"0000")</f>
        <v>Prop_1705</v>
      </c>
      <c r="C1706" s="24" t="s">
        <v>872</v>
      </c>
      <c r="D1706" s="69" t="s">
        <v>9453</v>
      </c>
      <c r="E1706" s="70" t="s">
        <v>9454</v>
      </c>
      <c r="F1706" s="17" t="s">
        <v>806</v>
      </c>
      <c r="G1706" s="22" t="s">
        <v>1130</v>
      </c>
      <c r="H1706" s="12" t="s">
        <v>9703</v>
      </c>
      <c r="I1706" s="13" t="s">
        <v>7398</v>
      </c>
      <c r="J1706" s="14" t="s">
        <v>798</v>
      </c>
      <c r="K1706" s="15" t="s">
        <v>798</v>
      </c>
      <c r="L1706" s="12" t="s">
        <v>5315</v>
      </c>
      <c r="M1706" s="13" t="s">
        <v>5579</v>
      </c>
      <c r="N1706" s="12" t="s">
        <v>803</v>
      </c>
      <c r="O1706" s="13" t="s">
        <v>5225</v>
      </c>
      <c r="P1706" s="17" t="s">
        <v>802</v>
      </c>
      <c r="Q1706" s="21" t="s">
        <v>7811</v>
      </c>
      <c r="R1706" s="17" t="s">
        <v>801</v>
      </c>
      <c r="S1706" s="18" t="s">
        <v>2575</v>
      </c>
      <c r="T1706" s="17" t="s">
        <v>800</v>
      </c>
      <c r="U1706" s="18" t="s">
        <v>5250</v>
      </c>
      <c r="V1706" s="17" t="s">
        <v>9418</v>
      </c>
      <c r="W1706" s="18" t="s">
        <v>5309</v>
      </c>
      <c r="X1706" s="69" t="s">
        <v>9453</v>
      </c>
      <c r="Y1706" s="70" t="s">
        <v>9462</v>
      </c>
      <c r="Z1706" s="73" t="s">
        <v>9486</v>
      </c>
      <c r="AA1706" s="74" t="s">
        <v>9504</v>
      </c>
      <c r="AB1706" s="73" t="s">
        <v>9486</v>
      </c>
      <c r="AC1706" s="74" t="s">
        <v>9566</v>
      </c>
      <c r="AD1706" s="73" t="s">
        <v>9578</v>
      </c>
      <c r="AE1706" s="74" t="s">
        <v>9579</v>
      </c>
    </row>
    <row r="1707" spans="1:31" ht="8.65" customHeight="1" x14ac:dyDescent="0.2">
      <c r="A1707" s="76">
        <v>1707</v>
      </c>
      <c r="B1707" s="67" t="str">
        <f>MID(C1707, FIND("Ifc.", C1707) + 4, 4) &amp; "_" &amp; TEXT(COUNTIF($C$2:C1707, C1707),"0000")</f>
        <v>Prop_1706</v>
      </c>
      <c r="C1707" s="24" t="s">
        <v>872</v>
      </c>
      <c r="D1707" s="69" t="s">
        <v>9453</v>
      </c>
      <c r="E1707" s="70" t="s">
        <v>9454</v>
      </c>
      <c r="F1707" s="17" t="s">
        <v>806</v>
      </c>
      <c r="G1707" s="22" t="s">
        <v>1183</v>
      </c>
      <c r="H1707" s="12" t="s">
        <v>9703</v>
      </c>
      <c r="I1707" s="13" t="s">
        <v>6216</v>
      </c>
      <c r="J1707" s="14" t="s">
        <v>798</v>
      </c>
      <c r="K1707" s="15" t="s">
        <v>798</v>
      </c>
      <c r="L1707" s="12" t="s">
        <v>5315</v>
      </c>
      <c r="M1707" s="13" t="s">
        <v>6048</v>
      </c>
      <c r="N1707" s="12" t="s">
        <v>803</v>
      </c>
      <c r="O1707" s="13" t="s">
        <v>4877</v>
      </c>
      <c r="P1707" s="17" t="s">
        <v>802</v>
      </c>
      <c r="Q1707" s="21" t="s">
        <v>7982</v>
      </c>
      <c r="R1707" s="17" t="s">
        <v>801</v>
      </c>
      <c r="S1707" s="18" t="s">
        <v>2562</v>
      </c>
      <c r="T1707" s="17" t="s">
        <v>800</v>
      </c>
      <c r="U1707" s="18" t="s">
        <v>5256</v>
      </c>
      <c r="V1707" s="17" t="s">
        <v>9418</v>
      </c>
      <c r="W1707" s="18" t="s">
        <v>5311</v>
      </c>
      <c r="X1707" s="69" t="s">
        <v>9453</v>
      </c>
      <c r="Y1707" s="70" t="s">
        <v>9466</v>
      </c>
      <c r="Z1707" s="73" t="s">
        <v>9486</v>
      </c>
      <c r="AA1707" s="74" t="s">
        <v>9504</v>
      </c>
      <c r="AB1707" s="73" t="s">
        <v>9486</v>
      </c>
      <c r="AC1707" s="74" t="s">
        <v>9562</v>
      </c>
      <c r="AD1707" s="73" t="s">
        <v>9578</v>
      </c>
      <c r="AE1707" s="74" t="s">
        <v>9579</v>
      </c>
    </row>
    <row r="1708" spans="1:31" ht="8.65" customHeight="1" x14ac:dyDescent="0.2">
      <c r="A1708" s="76">
        <v>1708</v>
      </c>
      <c r="B1708" s="67" t="str">
        <f>MID(C1708, FIND("Ifc.", C1708) + 4, 4) &amp; "_" &amp; TEXT(COUNTIF($C$2:C1708, C1708),"0000")</f>
        <v>Prop_1707</v>
      </c>
      <c r="C1708" s="24" t="s">
        <v>872</v>
      </c>
      <c r="D1708" s="69" t="s">
        <v>9453</v>
      </c>
      <c r="E1708" s="70" t="s">
        <v>9454</v>
      </c>
      <c r="F1708" s="17" t="s">
        <v>806</v>
      </c>
      <c r="G1708" s="22" t="s">
        <v>1183</v>
      </c>
      <c r="H1708" s="12" t="s">
        <v>9703</v>
      </c>
      <c r="I1708" s="13" t="s">
        <v>6216</v>
      </c>
      <c r="J1708" s="14" t="s">
        <v>798</v>
      </c>
      <c r="K1708" s="15" t="s">
        <v>798</v>
      </c>
      <c r="L1708" s="12" t="s">
        <v>5315</v>
      </c>
      <c r="M1708" s="13" t="s">
        <v>6049</v>
      </c>
      <c r="N1708" s="12" t="s">
        <v>803</v>
      </c>
      <c r="O1708" s="13" t="s">
        <v>4878</v>
      </c>
      <c r="P1708" s="17" t="s">
        <v>802</v>
      </c>
      <c r="Q1708" s="21" t="s">
        <v>7983</v>
      </c>
      <c r="R1708" s="17" t="s">
        <v>801</v>
      </c>
      <c r="S1708" s="18" t="s">
        <v>2565</v>
      </c>
      <c r="T1708" s="17" t="s">
        <v>800</v>
      </c>
      <c r="U1708" s="18" t="s">
        <v>5248</v>
      </c>
      <c r="V1708" s="17" t="s">
        <v>9418</v>
      </c>
      <c r="W1708" s="18" t="s">
        <v>5311</v>
      </c>
      <c r="X1708" s="69" t="s">
        <v>9453</v>
      </c>
      <c r="Y1708" s="70" t="s">
        <v>9466</v>
      </c>
      <c r="Z1708" s="73" t="s">
        <v>9486</v>
      </c>
      <c r="AA1708" s="74" t="s">
        <v>9504</v>
      </c>
      <c r="AB1708" s="73" t="s">
        <v>9486</v>
      </c>
      <c r="AC1708" s="74" t="s">
        <v>9562</v>
      </c>
      <c r="AD1708" s="73" t="s">
        <v>9578</v>
      </c>
      <c r="AE1708" s="74" t="s">
        <v>9579</v>
      </c>
    </row>
    <row r="1709" spans="1:31" ht="8.65" customHeight="1" x14ac:dyDescent="0.2">
      <c r="A1709" s="76">
        <v>1709</v>
      </c>
      <c r="B1709" s="67" t="str">
        <f>MID(C1709, FIND("Ifc.", C1709) + 4, 4) &amp; "_" &amp; TEXT(COUNTIF($C$2:C1709, C1709),"0000")</f>
        <v>Prop_1708</v>
      </c>
      <c r="C1709" s="24" t="s">
        <v>872</v>
      </c>
      <c r="D1709" s="69" t="s">
        <v>9453</v>
      </c>
      <c r="E1709" s="70" t="s">
        <v>9454</v>
      </c>
      <c r="F1709" s="17" t="s">
        <v>806</v>
      </c>
      <c r="G1709" s="22" t="s">
        <v>1183</v>
      </c>
      <c r="H1709" s="12" t="s">
        <v>9703</v>
      </c>
      <c r="I1709" s="13" t="s">
        <v>6216</v>
      </c>
      <c r="J1709" s="14" t="s">
        <v>798</v>
      </c>
      <c r="K1709" s="15" t="s">
        <v>798</v>
      </c>
      <c r="L1709" s="12" t="s">
        <v>5315</v>
      </c>
      <c r="M1709" s="13" t="s">
        <v>6051</v>
      </c>
      <c r="N1709" s="12" t="s">
        <v>803</v>
      </c>
      <c r="O1709" s="13" t="s">
        <v>4880</v>
      </c>
      <c r="P1709" s="17" t="s">
        <v>802</v>
      </c>
      <c r="Q1709" s="21" t="s">
        <v>7882</v>
      </c>
      <c r="R1709" s="17" t="s">
        <v>801</v>
      </c>
      <c r="S1709" s="18" t="s">
        <v>2562</v>
      </c>
      <c r="T1709" s="17" t="s">
        <v>800</v>
      </c>
      <c r="U1709" s="18" t="s">
        <v>5256</v>
      </c>
      <c r="V1709" s="17" t="s">
        <v>9418</v>
      </c>
      <c r="W1709" s="18" t="s">
        <v>5311</v>
      </c>
      <c r="X1709" s="69" t="s">
        <v>9453</v>
      </c>
      <c r="Y1709" s="70" t="s">
        <v>9466</v>
      </c>
      <c r="Z1709" s="73" t="s">
        <v>9486</v>
      </c>
      <c r="AA1709" s="74" t="s">
        <v>9504</v>
      </c>
      <c r="AB1709" s="73" t="s">
        <v>9486</v>
      </c>
      <c r="AC1709" s="74" t="s">
        <v>9562</v>
      </c>
      <c r="AD1709" s="73" t="s">
        <v>9578</v>
      </c>
      <c r="AE1709" s="74" t="s">
        <v>9579</v>
      </c>
    </row>
    <row r="1710" spans="1:31" ht="8.65" customHeight="1" x14ac:dyDescent="0.2">
      <c r="A1710" s="76">
        <v>1710</v>
      </c>
      <c r="B1710" s="67" t="str">
        <f>MID(C1710, FIND("Ifc.", C1710) + 4, 4) &amp; "_" &amp; TEXT(COUNTIF($C$2:C1710, C1710),"0000")</f>
        <v>Prop_1709</v>
      </c>
      <c r="C1710" s="24" t="s">
        <v>872</v>
      </c>
      <c r="D1710" s="69" t="s">
        <v>9453</v>
      </c>
      <c r="E1710" s="70" t="s">
        <v>9454</v>
      </c>
      <c r="F1710" s="17" t="s">
        <v>806</v>
      </c>
      <c r="G1710" s="22" t="s">
        <v>1183</v>
      </c>
      <c r="H1710" s="12" t="s">
        <v>9703</v>
      </c>
      <c r="I1710" s="13" t="s">
        <v>6216</v>
      </c>
      <c r="J1710" s="14" t="s">
        <v>798</v>
      </c>
      <c r="K1710" s="15" t="s">
        <v>798</v>
      </c>
      <c r="L1710" s="12" t="s">
        <v>5315</v>
      </c>
      <c r="M1710" s="13" t="s">
        <v>5855</v>
      </c>
      <c r="N1710" s="12" t="s">
        <v>803</v>
      </c>
      <c r="O1710" s="13" t="s">
        <v>5098</v>
      </c>
      <c r="P1710" s="17" t="s">
        <v>802</v>
      </c>
      <c r="Q1710" s="21" t="s">
        <v>8005</v>
      </c>
      <c r="R1710" s="17" t="s">
        <v>801</v>
      </c>
      <c r="S1710" s="18" t="s">
        <v>2560</v>
      </c>
      <c r="T1710" s="17" t="s">
        <v>800</v>
      </c>
      <c r="U1710" s="18" t="s">
        <v>5236</v>
      </c>
      <c r="V1710" s="17" t="s">
        <v>9418</v>
      </c>
      <c r="W1710" s="18" t="s">
        <v>5311</v>
      </c>
      <c r="X1710" s="69" t="s">
        <v>9453</v>
      </c>
      <c r="Y1710" s="70" t="s">
        <v>9466</v>
      </c>
      <c r="Z1710" s="73" t="s">
        <v>9486</v>
      </c>
      <c r="AA1710" s="74" t="s">
        <v>9504</v>
      </c>
      <c r="AB1710" s="73" t="s">
        <v>9486</v>
      </c>
      <c r="AC1710" s="74" t="s">
        <v>9562</v>
      </c>
      <c r="AD1710" s="73" t="s">
        <v>9578</v>
      </c>
      <c r="AE1710" s="74" t="s">
        <v>9579</v>
      </c>
    </row>
    <row r="1711" spans="1:31" ht="8.65" customHeight="1" x14ac:dyDescent="0.2">
      <c r="A1711" s="76">
        <v>1711</v>
      </c>
      <c r="B1711" s="67" t="str">
        <f>MID(C1711, FIND("Ifc.", C1711) + 4, 4) &amp; "_" &amp; TEXT(COUNTIF($C$2:C1711, C1711),"0000")</f>
        <v>Prop_1710</v>
      </c>
      <c r="C1711" s="24" t="s">
        <v>872</v>
      </c>
      <c r="D1711" s="69" t="s">
        <v>9453</v>
      </c>
      <c r="E1711" s="70" t="s">
        <v>9454</v>
      </c>
      <c r="F1711" s="17" t="s">
        <v>806</v>
      </c>
      <c r="G1711" s="22" t="s">
        <v>1082</v>
      </c>
      <c r="H1711" s="12" t="s">
        <v>9703</v>
      </c>
      <c r="I1711" s="13" t="s">
        <v>7141</v>
      </c>
      <c r="J1711" s="14" t="s">
        <v>798</v>
      </c>
      <c r="K1711" s="15" t="s">
        <v>798</v>
      </c>
      <c r="L1711" s="12" t="s">
        <v>5315</v>
      </c>
      <c r="M1711" s="13" t="s">
        <v>6034</v>
      </c>
      <c r="N1711" s="12" t="s">
        <v>803</v>
      </c>
      <c r="O1711" s="13" t="s">
        <v>4849</v>
      </c>
      <c r="P1711" s="17" t="s">
        <v>802</v>
      </c>
      <c r="Q1711" s="21" t="s">
        <v>7958</v>
      </c>
      <c r="R1711" s="17" t="s">
        <v>801</v>
      </c>
      <c r="S1711" s="18" t="s">
        <v>2631</v>
      </c>
      <c r="T1711" s="17" t="s">
        <v>800</v>
      </c>
      <c r="U1711" s="18" t="s">
        <v>5253</v>
      </c>
      <c r="V1711" s="17" t="s">
        <v>9418</v>
      </c>
      <c r="W1711" s="18" t="s">
        <v>5311</v>
      </c>
      <c r="X1711" s="69" t="s">
        <v>9453</v>
      </c>
      <c r="Y1711" s="70" t="s">
        <v>9466</v>
      </c>
      <c r="Z1711" s="73" t="s">
        <v>9486</v>
      </c>
      <c r="AA1711" s="74" t="s">
        <v>9504</v>
      </c>
      <c r="AB1711" s="73" t="s">
        <v>9486</v>
      </c>
      <c r="AC1711" s="74" t="s">
        <v>9566</v>
      </c>
      <c r="AD1711" s="73" t="s">
        <v>9578</v>
      </c>
      <c r="AE1711" s="74" t="s">
        <v>9579</v>
      </c>
    </row>
    <row r="1712" spans="1:31" ht="8.65" customHeight="1" x14ac:dyDescent="0.2">
      <c r="A1712" s="76">
        <v>1712</v>
      </c>
      <c r="B1712" s="67" t="str">
        <f>MID(C1712, FIND("Ifc.", C1712) + 4, 4) &amp; "_" &amp; TEXT(COUNTIF($C$2:C1712, C1712),"0000")</f>
        <v>Prop_1711</v>
      </c>
      <c r="C1712" s="24" t="s">
        <v>872</v>
      </c>
      <c r="D1712" s="69" t="s">
        <v>9453</v>
      </c>
      <c r="E1712" s="70" t="s">
        <v>9454</v>
      </c>
      <c r="F1712" s="17" t="s">
        <v>806</v>
      </c>
      <c r="G1712" s="22" t="s">
        <v>1388</v>
      </c>
      <c r="H1712" s="12" t="s">
        <v>9703</v>
      </c>
      <c r="I1712" s="13" t="s">
        <v>7646</v>
      </c>
      <c r="J1712" s="14" t="s">
        <v>798</v>
      </c>
      <c r="K1712" s="15" t="s">
        <v>798</v>
      </c>
      <c r="L1712" s="12" t="s">
        <v>5315</v>
      </c>
      <c r="M1712" s="13" t="s">
        <v>5418</v>
      </c>
      <c r="N1712" s="12" t="s">
        <v>803</v>
      </c>
      <c r="O1712" s="13" t="s">
        <v>4918</v>
      </c>
      <c r="P1712" s="17" t="s">
        <v>802</v>
      </c>
      <c r="Q1712" s="21" t="s">
        <v>8016</v>
      </c>
      <c r="R1712" s="17" t="s">
        <v>801</v>
      </c>
      <c r="S1712" s="18" t="s">
        <v>2560</v>
      </c>
      <c r="T1712" s="17" t="s">
        <v>800</v>
      </c>
      <c r="U1712" s="18" t="s">
        <v>5236</v>
      </c>
      <c r="V1712" s="17" t="s">
        <v>9418</v>
      </c>
      <c r="W1712" s="18" t="s">
        <v>5309</v>
      </c>
      <c r="X1712" s="69" t="s">
        <v>9453</v>
      </c>
      <c r="Y1712" s="70" t="s">
        <v>9462</v>
      </c>
      <c r="Z1712" s="73" t="s">
        <v>9486</v>
      </c>
      <c r="AA1712" s="74" t="s">
        <v>9504</v>
      </c>
      <c r="AB1712" s="73" t="s">
        <v>9486</v>
      </c>
      <c r="AC1712" s="74" t="s">
        <v>9562</v>
      </c>
      <c r="AD1712" s="73" t="s">
        <v>9578</v>
      </c>
      <c r="AE1712" s="74" t="s">
        <v>9579</v>
      </c>
    </row>
    <row r="1713" spans="1:31" ht="8.65" customHeight="1" x14ac:dyDescent="0.2">
      <c r="A1713" s="76">
        <v>1713</v>
      </c>
      <c r="B1713" s="67" t="str">
        <f>MID(C1713, FIND("Ifc.", C1713) + 4, 4) &amp; "_" &amp; TEXT(COUNTIF($C$2:C1713, C1713),"0000")</f>
        <v>Prop_1712</v>
      </c>
      <c r="C1713" s="24" t="s">
        <v>872</v>
      </c>
      <c r="D1713" s="69" t="s">
        <v>9453</v>
      </c>
      <c r="E1713" s="70" t="s">
        <v>9454</v>
      </c>
      <c r="F1713" s="17" t="s">
        <v>806</v>
      </c>
      <c r="G1713" s="22" t="s">
        <v>1388</v>
      </c>
      <c r="H1713" s="12" t="s">
        <v>9703</v>
      </c>
      <c r="I1713" s="13" t="s">
        <v>7646</v>
      </c>
      <c r="J1713" s="14" t="s">
        <v>798</v>
      </c>
      <c r="K1713" s="15" t="s">
        <v>798</v>
      </c>
      <c r="L1713" s="12" t="s">
        <v>5315</v>
      </c>
      <c r="M1713" s="13" t="s">
        <v>5425</v>
      </c>
      <c r="N1713" s="12" t="s">
        <v>803</v>
      </c>
      <c r="O1713" s="13" t="s">
        <v>4922</v>
      </c>
      <c r="P1713" s="17" t="s">
        <v>802</v>
      </c>
      <c r="Q1713" s="21" t="s">
        <v>7988</v>
      </c>
      <c r="R1713" s="17" t="s">
        <v>801</v>
      </c>
      <c r="S1713" s="18" t="s">
        <v>2560</v>
      </c>
      <c r="T1713" s="17" t="s">
        <v>800</v>
      </c>
      <c r="U1713" s="18" t="s">
        <v>5236</v>
      </c>
      <c r="V1713" s="17" t="s">
        <v>9418</v>
      </c>
      <c r="W1713" s="18" t="s">
        <v>5309</v>
      </c>
      <c r="X1713" s="69" t="s">
        <v>9453</v>
      </c>
      <c r="Y1713" s="70" t="s">
        <v>9462</v>
      </c>
      <c r="Z1713" s="73" t="s">
        <v>9486</v>
      </c>
      <c r="AA1713" s="74" t="s">
        <v>9504</v>
      </c>
      <c r="AB1713" s="73" t="s">
        <v>9486</v>
      </c>
      <c r="AC1713" s="74" t="s">
        <v>9562</v>
      </c>
      <c r="AD1713" s="73" t="s">
        <v>9578</v>
      </c>
      <c r="AE1713" s="74" t="s">
        <v>9579</v>
      </c>
    </row>
    <row r="1714" spans="1:31" ht="8.65" customHeight="1" x14ac:dyDescent="0.2">
      <c r="A1714" s="76">
        <v>1714</v>
      </c>
      <c r="B1714" s="67" t="str">
        <f>MID(C1714, FIND("Ifc.", C1714) + 4, 4) &amp; "_" &amp; TEXT(COUNTIF($C$2:C1714, C1714),"0000")</f>
        <v>Prop_1713</v>
      </c>
      <c r="C1714" s="24" t="s">
        <v>872</v>
      </c>
      <c r="D1714" s="69" t="s">
        <v>9453</v>
      </c>
      <c r="E1714" s="70" t="s">
        <v>9454</v>
      </c>
      <c r="F1714" s="17" t="s">
        <v>806</v>
      </c>
      <c r="G1714" s="22" t="s">
        <v>1388</v>
      </c>
      <c r="H1714" s="12" t="s">
        <v>9703</v>
      </c>
      <c r="I1714" s="13" t="s">
        <v>7646</v>
      </c>
      <c r="J1714" s="14" t="s">
        <v>798</v>
      </c>
      <c r="K1714" s="15" t="s">
        <v>798</v>
      </c>
      <c r="L1714" s="12" t="s">
        <v>5315</v>
      </c>
      <c r="M1714" s="13" t="s">
        <v>6054</v>
      </c>
      <c r="N1714" s="12" t="s">
        <v>803</v>
      </c>
      <c r="O1714" s="13" t="s">
        <v>4927</v>
      </c>
      <c r="P1714" s="17" t="s">
        <v>802</v>
      </c>
      <c r="Q1714" s="21" t="s">
        <v>7686</v>
      </c>
      <c r="R1714" s="17" t="s">
        <v>801</v>
      </c>
      <c r="S1714" s="18" t="s">
        <v>2560</v>
      </c>
      <c r="T1714" s="17" t="s">
        <v>800</v>
      </c>
      <c r="U1714" s="18" t="s">
        <v>5236</v>
      </c>
      <c r="V1714" s="17" t="s">
        <v>9418</v>
      </c>
      <c r="W1714" s="18" t="s">
        <v>5309</v>
      </c>
      <c r="X1714" s="69" t="s">
        <v>9453</v>
      </c>
      <c r="Y1714" s="70" t="s">
        <v>9462</v>
      </c>
      <c r="Z1714" s="73" t="s">
        <v>9486</v>
      </c>
      <c r="AA1714" s="74" t="s">
        <v>9504</v>
      </c>
      <c r="AB1714" s="73" t="s">
        <v>9486</v>
      </c>
      <c r="AC1714" s="74" t="s">
        <v>9562</v>
      </c>
      <c r="AD1714" s="73" t="s">
        <v>9578</v>
      </c>
      <c r="AE1714" s="74" t="s">
        <v>9579</v>
      </c>
    </row>
    <row r="1715" spans="1:31" ht="8.65" customHeight="1" x14ac:dyDescent="0.2">
      <c r="A1715" s="76">
        <v>1715</v>
      </c>
      <c r="B1715" s="67" t="str">
        <f>MID(C1715, FIND("Ifc.", C1715) + 4, 4) &amp; "_" &amp; TEXT(COUNTIF($C$2:C1715, C1715),"0000")</f>
        <v>Prop_1714</v>
      </c>
      <c r="C1715" s="24" t="s">
        <v>872</v>
      </c>
      <c r="D1715" s="69" t="s">
        <v>9453</v>
      </c>
      <c r="E1715" s="70" t="s">
        <v>9454</v>
      </c>
      <c r="F1715" s="17" t="s">
        <v>806</v>
      </c>
      <c r="G1715" s="22" t="s">
        <v>1388</v>
      </c>
      <c r="H1715" s="12" t="s">
        <v>9703</v>
      </c>
      <c r="I1715" s="13" t="s">
        <v>7646</v>
      </c>
      <c r="J1715" s="14" t="s">
        <v>798</v>
      </c>
      <c r="K1715" s="15" t="s">
        <v>798</v>
      </c>
      <c r="L1715" s="12" t="s">
        <v>5315</v>
      </c>
      <c r="M1715" s="13" t="s">
        <v>5454</v>
      </c>
      <c r="N1715" s="12" t="s">
        <v>803</v>
      </c>
      <c r="O1715" s="13" t="s">
        <v>5017</v>
      </c>
      <c r="P1715" s="17" t="s">
        <v>802</v>
      </c>
      <c r="Q1715" s="21" t="s">
        <v>7776</v>
      </c>
      <c r="R1715" s="17" t="s">
        <v>801</v>
      </c>
      <c r="S1715" s="18" t="s">
        <v>2560</v>
      </c>
      <c r="T1715" s="17" t="s">
        <v>800</v>
      </c>
      <c r="U1715" s="18" t="s">
        <v>5236</v>
      </c>
      <c r="V1715" s="17" t="s">
        <v>9418</v>
      </c>
      <c r="W1715" s="18" t="s">
        <v>5309</v>
      </c>
      <c r="X1715" s="69" t="s">
        <v>9453</v>
      </c>
      <c r="Y1715" s="70" t="s">
        <v>9462</v>
      </c>
      <c r="Z1715" s="73" t="s">
        <v>9486</v>
      </c>
      <c r="AA1715" s="74" t="s">
        <v>9504</v>
      </c>
      <c r="AB1715" s="73" t="s">
        <v>9486</v>
      </c>
      <c r="AC1715" s="74" t="s">
        <v>9562</v>
      </c>
      <c r="AD1715" s="73" t="s">
        <v>9578</v>
      </c>
      <c r="AE1715" s="74" t="s">
        <v>9579</v>
      </c>
    </row>
    <row r="1716" spans="1:31" ht="8.65" customHeight="1" x14ac:dyDescent="0.2">
      <c r="A1716" s="76">
        <v>1716</v>
      </c>
      <c r="B1716" s="67" t="str">
        <f>MID(C1716, FIND("Ifc.", C1716) + 4, 4) &amp; "_" &amp; TEXT(COUNTIF($C$2:C1716, C1716),"0000")</f>
        <v>Prop_1715</v>
      </c>
      <c r="C1716" s="24" t="s">
        <v>872</v>
      </c>
      <c r="D1716" s="69" t="s">
        <v>9453</v>
      </c>
      <c r="E1716" s="70" t="s">
        <v>9454</v>
      </c>
      <c r="F1716" s="17" t="s">
        <v>806</v>
      </c>
      <c r="G1716" s="22" t="s">
        <v>1388</v>
      </c>
      <c r="H1716" s="12" t="s">
        <v>9703</v>
      </c>
      <c r="I1716" s="13" t="s">
        <v>7646</v>
      </c>
      <c r="J1716" s="14" t="s">
        <v>798</v>
      </c>
      <c r="K1716" s="15" t="s">
        <v>798</v>
      </c>
      <c r="L1716" s="12" t="s">
        <v>5315</v>
      </c>
      <c r="M1716" s="13" t="s">
        <v>5487</v>
      </c>
      <c r="N1716" s="12" t="s">
        <v>803</v>
      </c>
      <c r="O1716" s="13" t="s">
        <v>5095</v>
      </c>
      <c r="P1716" s="17" t="s">
        <v>802</v>
      </c>
      <c r="Q1716" s="21" t="s">
        <v>7687</v>
      </c>
      <c r="R1716" s="17" t="s">
        <v>801</v>
      </c>
      <c r="S1716" s="18" t="s">
        <v>2560</v>
      </c>
      <c r="T1716" s="17" t="s">
        <v>800</v>
      </c>
      <c r="U1716" s="18" t="s">
        <v>5236</v>
      </c>
      <c r="V1716" s="17" t="s">
        <v>9418</v>
      </c>
      <c r="W1716" s="18" t="s">
        <v>5309</v>
      </c>
      <c r="X1716" s="69" t="s">
        <v>9453</v>
      </c>
      <c r="Y1716" s="70" t="s">
        <v>9462</v>
      </c>
      <c r="Z1716" s="73" t="s">
        <v>9486</v>
      </c>
      <c r="AA1716" s="74" t="s">
        <v>9504</v>
      </c>
      <c r="AB1716" s="73" t="s">
        <v>9486</v>
      </c>
      <c r="AC1716" s="74" t="s">
        <v>9562</v>
      </c>
      <c r="AD1716" s="73" t="s">
        <v>9578</v>
      </c>
      <c r="AE1716" s="74" t="s">
        <v>9579</v>
      </c>
    </row>
    <row r="1717" spans="1:31" ht="8.65" customHeight="1" x14ac:dyDescent="0.2">
      <c r="A1717" s="76">
        <v>1717</v>
      </c>
      <c r="B1717" s="67" t="str">
        <f>MID(C1717, FIND("Ifc.", C1717) + 4, 4) &amp; "_" &amp; TEXT(COUNTIF($C$2:C1717, C1717),"0000")</f>
        <v>Prop_1716</v>
      </c>
      <c r="C1717" s="24" t="s">
        <v>872</v>
      </c>
      <c r="D1717" s="69" t="s">
        <v>9453</v>
      </c>
      <c r="E1717" s="70" t="s">
        <v>9454</v>
      </c>
      <c r="F1717" s="17" t="s">
        <v>806</v>
      </c>
      <c r="G1717" s="22" t="s">
        <v>1388</v>
      </c>
      <c r="H1717" s="12" t="s">
        <v>9703</v>
      </c>
      <c r="I1717" s="13" t="s">
        <v>7646</v>
      </c>
      <c r="J1717" s="14" t="s">
        <v>798</v>
      </c>
      <c r="K1717" s="15" t="s">
        <v>798</v>
      </c>
      <c r="L1717" s="12" t="s">
        <v>5315</v>
      </c>
      <c r="M1717" s="13" t="s">
        <v>6055</v>
      </c>
      <c r="N1717" s="12" t="s">
        <v>803</v>
      </c>
      <c r="O1717" s="13" t="s">
        <v>5107</v>
      </c>
      <c r="P1717" s="17" t="s">
        <v>802</v>
      </c>
      <c r="Q1717" s="21" t="s">
        <v>7688</v>
      </c>
      <c r="R1717" s="17" t="s">
        <v>801</v>
      </c>
      <c r="S1717" s="18" t="s">
        <v>2560</v>
      </c>
      <c r="T1717" s="17" t="s">
        <v>800</v>
      </c>
      <c r="U1717" s="18" t="s">
        <v>5236</v>
      </c>
      <c r="V1717" s="17" t="s">
        <v>9418</v>
      </c>
      <c r="W1717" s="18" t="s">
        <v>5309</v>
      </c>
      <c r="X1717" s="69" t="s">
        <v>9453</v>
      </c>
      <c r="Y1717" s="70" t="s">
        <v>9462</v>
      </c>
      <c r="Z1717" s="73" t="s">
        <v>9486</v>
      </c>
      <c r="AA1717" s="74" t="s">
        <v>9504</v>
      </c>
      <c r="AB1717" s="73" t="s">
        <v>9486</v>
      </c>
      <c r="AC1717" s="74" t="s">
        <v>9562</v>
      </c>
      <c r="AD1717" s="73" t="s">
        <v>9578</v>
      </c>
      <c r="AE1717" s="74" t="s">
        <v>9579</v>
      </c>
    </row>
    <row r="1718" spans="1:31" ht="8.65" customHeight="1" x14ac:dyDescent="0.2">
      <c r="A1718" s="76">
        <v>1718</v>
      </c>
      <c r="B1718" s="67" t="str">
        <f>MID(C1718, FIND("Ifc.", C1718) + 4, 4) &amp; "_" &amp; TEXT(COUNTIF($C$2:C1718, C1718),"0000")</f>
        <v>Prop_1717</v>
      </c>
      <c r="C1718" s="24" t="s">
        <v>872</v>
      </c>
      <c r="D1718" s="69" t="s">
        <v>9453</v>
      </c>
      <c r="E1718" s="70" t="s">
        <v>9454</v>
      </c>
      <c r="F1718" s="17" t="s">
        <v>806</v>
      </c>
      <c r="G1718" s="22" t="s">
        <v>1388</v>
      </c>
      <c r="H1718" s="12" t="s">
        <v>9703</v>
      </c>
      <c r="I1718" s="13" t="s">
        <v>7646</v>
      </c>
      <c r="J1718" s="14" t="s">
        <v>798</v>
      </c>
      <c r="K1718" s="15" t="s">
        <v>798</v>
      </c>
      <c r="L1718" s="12" t="s">
        <v>5315</v>
      </c>
      <c r="M1718" s="13" t="s">
        <v>5503</v>
      </c>
      <c r="N1718" s="12" t="s">
        <v>803</v>
      </c>
      <c r="O1718" s="13" t="s">
        <v>5116</v>
      </c>
      <c r="P1718" s="17" t="s">
        <v>802</v>
      </c>
      <c r="Q1718" s="21" t="s">
        <v>7763</v>
      </c>
      <c r="R1718" s="17" t="s">
        <v>801</v>
      </c>
      <c r="S1718" s="18" t="s">
        <v>2560</v>
      </c>
      <c r="T1718" s="17" t="s">
        <v>800</v>
      </c>
      <c r="U1718" s="18" t="s">
        <v>5236</v>
      </c>
      <c r="V1718" s="17" t="s">
        <v>9418</v>
      </c>
      <c r="W1718" s="18" t="s">
        <v>5309</v>
      </c>
      <c r="X1718" s="69" t="s">
        <v>9453</v>
      </c>
      <c r="Y1718" s="70" t="s">
        <v>9462</v>
      </c>
      <c r="Z1718" s="73" t="s">
        <v>9486</v>
      </c>
      <c r="AA1718" s="74" t="s">
        <v>9504</v>
      </c>
      <c r="AB1718" s="73" t="s">
        <v>9486</v>
      </c>
      <c r="AC1718" s="74" t="s">
        <v>9562</v>
      </c>
      <c r="AD1718" s="73" t="s">
        <v>9578</v>
      </c>
      <c r="AE1718" s="74" t="s">
        <v>9579</v>
      </c>
    </row>
    <row r="1719" spans="1:31" ht="8.65" customHeight="1" x14ac:dyDescent="0.2">
      <c r="A1719" s="76">
        <v>1719</v>
      </c>
      <c r="B1719" s="67" t="str">
        <f>MID(C1719, FIND("Ifc.", C1719) + 4, 4) &amp; "_" &amp; TEXT(COUNTIF($C$2:C1719, C1719),"0000")</f>
        <v>Prop_1718</v>
      </c>
      <c r="C1719" s="24" t="s">
        <v>872</v>
      </c>
      <c r="D1719" s="69" t="s">
        <v>9453</v>
      </c>
      <c r="E1719" s="70" t="s">
        <v>9454</v>
      </c>
      <c r="F1719" s="17" t="s">
        <v>806</v>
      </c>
      <c r="G1719" s="22" t="s">
        <v>2351</v>
      </c>
      <c r="H1719" s="12" t="s">
        <v>9703</v>
      </c>
      <c r="I1719" s="13" t="s">
        <v>6739</v>
      </c>
      <c r="J1719" s="14" t="s">
        <v>798</v>
      </c>
      <c r="K1719" s="15" t="s">
        <v>798</v>
      </c>
      <c r="L1719" s="12" t="s">
        <v>5315</v>
      </c>
      <c r="M1719" s="13" t="s">
        <v>5561</v>
      </c>
      <c r="N1719" s="12" t="s">
        <v>803</v>
      </c>
      <c r="O1719" s="13" t="s">
        <v>5175</v>
      </c>
      <c r="P1719" s="17" t="s">
        <v>802</v>
      </c>
      <c r="Q1719" s="21" t="s">
        <v>8014</v>
      </c>
      <c r="R1719" s="17" t="s">
        <v>801</v>
      </c>
      <c r="S1719" s="18" t="s">
        <v>2585</v>
      </c>
      <c r="T1719" s="17" t="s">
        <v>800</v>
      </c>
      <c r="U1719" s="18" t="s">
        <v>5238</v>
      </c>
      <c r="V1719" s="17" t="s">
        <v>9418</v>
      </c>
      <c r="W1719" s="18" t="s">
        <v>5309</v>
      </c>
      <c r="X1719" s="69" t="s">
        <v>9453</v>
      </c>
      <c r="Y1719" s="70" t="s">
        <v>9462</v>
      </c>
      <c r="Z1719" s="73" t="s">
        <v>9486</v>
      </c>
      <c r="AA1719" s="74" t="s">
        <v>9504</v>
      </c>
      <c r="AB1719" s="73" t="s">
        <v>9486</v>
      </c>
      <c r="AC1719" s="74" t="s">
        <v>9566</v>
      </c>
      <c r="AD1719" s="73" t="s">
        <v>9578</v>
      </c>
      <c r="AE1719" s="74" t="s">
        <v>9579</v>
      </c>
    </row>
    <row r="1720" spans="1:31" ht="8.65" customHeight="1" x14ac:dyDescent="0.2">
      <c r="A1720" s="76">
        <v>1720</v>
      </c>
      <c r="B1720" s="67" t="str">
        <f>MID(C1720, FIND("Ifc.", C1720) + 4, 4) &amp; "_" &amp; TEXT(COUNTIF($C$2:C1720, C1720),"0000")</f>
        <v>Prop_1719</v>
      </c>
      <c r="C1720" s="24" t="s">
        <v>872</v>
      </c>
      <c r="D1720" s="69" t="s">
        <v>9453</v>
      </c>
      <c r="E1720" s="70" t="s">
        <v>9454</v>
      </c>
      <c r="F1720" s="17" t="s">
        <v>806</v>
      </c>
      <c r="G1720" s="22" t="s">
        <v>2351</v>
      </c>
      <c r="H1720" s="12" t="s">
        <v>9703</v>
      </c>
      <c r="I1720" s="13" t="s">
        <v>6739</v>
      </c>
      <c r="J1720" s="14" t="s">
        <v>798</v>
      </c>
      <c r="K1720" s="15" t="s">
        <v>798</v>
      </c>
      <c r="L1720" s="12" t="s">
        <v>5315</v>
      </c>
      <c r="M1720" s="13" t="s">
        <v>5560</v>
      </c>
      <c r="N1720" s="12" t="s">
        <v>803</v>
      </c>
      <c r="O1720" s="13" t="s">
        <v>5174</v>
      </c>
      <c r="P1720" s="17" t="s">
        <v>802</v>
      </c>
      <c r="Q1720" s="21" t="s">
        <v>7793</v>
      </c>
      <c r="R1720" s="17" t="s">
        <v>801</v>
      </c>
      <c r="S1720" s="18" t="s">
        <v>2585</v>
      </c>
      <c r="T1720" s="17" t="s">
        <v>800</v>
      </c>
      <c r="U1720" s="18" t="s">
        <v>5238</v>
      </c>
      <c r="V1720" s="17" t="s">
        <v>9418</v>
      </c>
      <c r="W1720" s="18" t="s">
        <v>5309</v>
      </c>
      <c r="X1720" s="69" t="s">
        <v>9453</v>
      </c>
      <c r="Y1720" s="70" t="s">
        <v>9462</v>
      </c>
      <c r="Z1720" s="73" t="s">
        <v>9486</v>
      </c>
      <c r="AA1720" s="74" t="s">
        <v>9504</v>
      </c>
      <c r="AB1720" s="73" t="s">
        <v>9486</v>
      </c>
      <c r="AC1720" s="74" t="s">
        <v>9566</v>
      </c>
      <c r="AD1720" s="73" t="s">
        <v>9578</v>
      </c>
      <c r="AE1720" s="74" t="s">
        <v>9579</v>
      </c>
    </row>
    <row r="1721" spans="1:31" ht="8.65" customHeight="1" x14ac:dyDescent="0.2">
      <c r="A1721" s="76">
        <v>1721</v>
      </c>
      <c r="B1721" s="67" t="str">
        <f>MID(C1721, FIND("Ifc.", C1721) + 4, 4) &amp; "_" &amp; TEXT(COUNTIF($C$2:C1721, C1721),"0000")</f>
        <v>Prop_1720</v>
      </c>
      <c r="C1721" s="24" t="s">
        <v>872</v>
      </c>
      <c r="D1721" s="69" t="s">
        <v>9453</v>
      </c>
      <c r="E1721" s="70" t="s">
        <v>9454</v>
      </c>
      <c r="F1721" s="17" t="s">
        <v>806</v>
      </c>
      <c r="G1721" s="22" t="s">
        <v>2491</v>
      </c>
      <c r="H1721" s="12" t="s">
        <v>9703</v>
      </c>
      <c r="I1721" s="13" t="s">
        <v>6716</v>
      </c>
      <c r="J1721" s="14" t="s">
        <v>798</v>
      </c>
      <c r="K1721" s="15" t="s">
        <v>798</v>
      </c>
      <c r="L1721" s="12" t="s">
        <v>5315</v>
      </c>
      <c r="M1721" s="13" t="s">
        <v>6005</v>
      </c>
      <c r="N1721" s="12" t="s">
        <v>803</v>
      </c>
      <c r="O1721" s="13" t="s">
        <v>5221</v>
      </c>
      <c r="P1721" s="17" t="s">
        <v>802</v>
      </c>
      <c r="Q1721" s="21" t="s">
        <v>7711</v>
      </c>
      <c r="R1721" s="17" t="s">
        <v>801</v>
      </c>
      <c r="S1721" s="18" t="s">
        <v>3407</v>
      </c>
      <c r="T1721" s="17" t="s">
        <v>800</v>
      </c>
      <c r="U1721" s="18" t="s">
        <v>5266</v>
      </c>
      <c r="V1721" s="17" t="s">
        <v>9418</v>
      </c>
      <c r="W1721" s="18" t="s">
        <v>5314</v>
      </c>
      <c r="X1721" s="69" t="s">
        <v>9453</v>
      </c>
      <c r="Y1721" s="70" t="s">
        <v>9464</v>
      </c>
      <c r="Z1721" s="73" t="s">
        <v>9486</v>
      </c>
      <c r="AA1721" s="74" t="s">
        <v>9504</v>
      </c>
      <c r="AB1721" s="73" t="s">
        <v>9486</v>
      </c>
      <c r="AC1721" s="74" t="s">
        <v>9566</v>
      </c>
      <c r="AD1721" s="73" t="s">
        <v>9578</v>
      </c>
      <c r="AE1721" s="74" t="s">
        <v>9579</v>
      </c>
    </row>
    <row r="1722" spans="1:31" ht="8.65" customHeight="1" x14ac:dyDescent="0.2">
      <c r="A1722" s="76">
        <v>1722</v>
      </c>
      <c r="B1722" s="67" t="str">
        <f>MID(C1722, FIND("Ifc.", C1722) + 4, 4) &amp; "_" &amp; TEXT(COUNTIF($C$2:C1722, C1722),"0000")</f>
        <v>Prop_1721</v>
      </c>
      <c r="C1722" s="24" t="s">
        <v>872</v>
      </c>
      <c r="D1722" s="69" t="s">
        <v>9453</v>
      </c>
      <c r="E1722" s="70" t="s">
        <v>9454</v>
      </c>
      <c r="F1722" s="17" t="s">
        <v>806</v>
      </c>
      <c r="G1722" s="22" t="s">
        <v>1283</v>
      </c>
      <c r="H1722" s="12" t="s">
        <v>9703</v>
      </c>
      <c r="I1722" s="13" t="s">
        <v>6237</v>
      </c>
      <c r="J1722" s="14" t="s">
        <v>798</v>
      </c>
      <c r="K1722" s="15" t="s">
        <v>798</v>
      </c>
      <c r="L1722" s="12" t="s">
        <v>5315</v>
      </c>
      <c r="M1722" s="13" t="s">
        <v>6021</v>
      </c>
      <c r="N1722" s="12" t="s">
        <v>803</v>
      </c>
      <c r="O1722" s="13" t="s">
        <v>4898</v>
      </c>
      <c r="P1722" s="17" t="s">
        <v>802</v>
      </c>
      <c r="Q1722" s="21" t="s">
        <v>8048</v>
      </c>
      <c r="R1722" s="17" t="s">
        <v>801</v>
      </c>
      <c r="S1722" s="18" t="s">
        <v>2590</v>
      </c>
      <c r="T1722" s="17" t="s">
        <v>800</v>
      </c>
      <c r="U1722" s="18" t="s">
        <v>5274</v>
      </c>
      <c r="V1722" s="17" t="s">
        <v>9418</v>
      </c>
      <c r="W1722" s="18" t="s">
        <v>5309</v>
      </c>
      <c r="X1722" s="69" t="s">
        <v>9453</v>
      </c>
      <c r="Y1722" s="70" t="s">
        <v>9462</v>
      </c>
      <c r="Z1722" s="73" t="s">
        <v>9486</v>
      </c>
      <c r="AA1722" s="74" t="s">
        <v>9504</v>
      </c>
      <c r="AB1722" s="73" t="s">
        <v>9486</v>
      </c>
      <c r="AC1722" s="74" t="s">
        <v>9566</v>
      </c>
      <c r="AD1722" s="73" t="s">
        <v>9578</v>
      </c>
      <c r="AE1722" s="74" t="s">
        <v>9579</v>
      </c>
    </row>
    <row r="1723" spans="1:31" ht="8.65" customHeight="1" x14ac:dyDescent="0.2">
      <c r="A1723" s="76">
        <v>1723</v>
      </c>
      <c r="B1723" s="67" t="str">
        <f>MID(C1723, FIND("Ifc.", C1723) + 4, 4) &amp; "_" &amp; TEXT(COUNTIF($C$2:C1723, C1723),"0000")</f>
        <v>Prop_1722</v>
      </c>
      <c r="C1723" s="24" t="s">
        <v>872</v>
      </c>
      <c r="D1723" s="69" t="s">
        <v>9453</v>
      </c>
      <c r="E1723" s="70" t="s">
        <v>9454</v>
      </c>
      <c r="F1723" s="17" t="s">
        <v>806</v>
      </c>
      <c r="G1723" s="22" t="s">
        <v>1283</v>
      </c>
      <c r="H1723" s="12" t="s">
        <v>9703</v>
      </c>
      <c r="I1723" s="13" t="s">
        <v>6237</v>
      </c>
      <c r="J1723" s="14" t="s">
        <v>798</v>
      </c>
      <c r="K1723" s="15" t="s">
        <v>798</v>
      </c>
      <c r="L1723" s="12" t="s">
        <v>5315</v>
      </c>
      <c r="M1723" s="13" t="s">
        <v>6020</v>
      </c>
      <c r="N1723" s="12" t="s">
        <v>803</v>
      </c>
      <c r="O1723" s="13" t="s">
        <v>4899</v>
      </c>
      <c r="P1723" s="17" t="s">
        <v>802</v>
      </c>
      <c r="Q1723" s="21" t="s">
        <v>8049</v>
      </c>
      <c r="R1723" s="17" t="s">
        <v>801</v>
      </c>
      <c r="S1723" s="18" t="s">
        <v>2590</v>
      </c>
      <c r="T1723" s="17" t="s">
        <v>800</v>
      </c>
      <c r="U1723" s="18" t="s">
        <v>5274</v>
      </c>
      <c r="V1723" s="17" t="s">
        <v>9418</v>
      </c>
      <c r="W1723" s="18" t="s">
        <v>5309</v>
      </c>
      <c r="X1723" s="69" t="s">
        <v>9453</v>
      </c>
      <c r="Y1723" s="70" t="s">
        <v>9462</v>
      </c>
      <c r="Z1723" s="73" t="s">
        <v>9486</v>
      </c>
      <c r="AA1723" s="74" t="s">
        <v>9504</v>
      </c>
      <c r="AB1723" s="73" t="s">
        <v>9486</v>
      </c>
      <c r="AC1723" s="74" t="s">
        <v>9566</v>
      </c>
      <c r="AD1723" s="73" t="s">
        <v>9578</v>
      </c>
      <c r="AE1723" s="74" t="s">
        <v>9579</v>
      </c>
    </row>
    <row r="1724" spans="1:31" ht="8.65" customHeight="1" x14ac:dyDescent="0.2">
      <c r="A1724" s="76">
        <v>1724</v>
      </c>
      <c r="B1724" s="67" t="str">
        <f>MID(C1724, FIND("Ifc.", C1724) + 4, 4) &amp; "_" &amp; TEXT(COUNTIF($C$2:C1724, C1724),"0000")</f>
        <v>Prop_1723</v>
      </c>
      <c r="C1724" s="24" t="s">
        <v>872</v>
      </c>
      <c r="D1724" s="69" t="s">
        <v>9453</v>
      </c>
      <c r="E1724" s="70" t="s">
        <v>9454</v>
      </c>
      <c r="F1724" s="17" t="s">
        <v>806</v>
      </c>
      <c r="G1724" s="22" t="s">
        <v>1283</v>
      </c>
      <c r="H1724" s="12" t="s">
        <v>9703</v>
      </c>
      <c r="I1724" s="13" t="s">
        <v>6237</v>
      </c>
      <c r="J1724" s="14" t="s">
        <v>798</v>
      </c>
      <c r="K1724" s="15" t="s">
        <v>798</v>
      </c>
      <c r="L1724" s="12" t="s">
        <v>5315</v>
      </c>
      <c r="M1724" s="13" t="s">
        <v>6013</v>
      </c>
      <c r="N1724" s="12" t="s">
        <v>803</v>
      </c>
      <c r="O1724" s="13" t="s">
        <v>5011</v>
      </c>
      <c r="P1724" s="17" t="s">
        <v>802</v>
      </c>
      <c r="Q1724" s="21" t="s">
        <v>8050</v>
      </c>
      <c r="R1724" s="17" t="s">
        <v>801</v>
      </c>
      <c r="S1724" s="18" t="s">
        <v>2590</v>
      </c>
      <c r="T1724" s="17" t="s">
        <v>800</v>
      </c>
      <c r="U1724" s="18" t="s">
        <v>5274</v>
      </c>
      <c r="V1724" s="17" t="s">
        <v>9418</v>
      </c>
      <c r="W1724" s="18" t="s">
        <v>5309</v>
      </c>
      <c r="X1724" s="69" t="s">
        <v>9453</v>
      </c>
      <c r="Y1724" s="70" t="s">
        <v>9462</v>
      </c>
      <c r="Z1724" s="73" t="s">
        <v>9486</v>
      </c>
      <c r="AA1724" s="74" t="s">
        <v>9504</v>
      </c>
      <c r="AB1724" s="73" t="s">
        <v>9486</v>
      </c>
      <c r="AC1724" s="74" t="s">
        <v>9566</v>
      </c>
      <c r="AD1724" s="73" t="s">
        <v>9578</v>
      </c>
      <c r="AE1724" s="74" t="s">
        <v>9579</v>
      </c>
    </row>
    <row r="1725" spans="1:31" ht="8.65" customHeight="1" x14ac:dyDescent="0.2">
      <c r="A1725" s="76">
        <v>1725</v>
      </c>
      <c r="B1725" s="67" t="str">
        <f>MID(C1725, FIND("Ifc.", C1725) + 4, 4) &amp; "_" &amp; TEXT(COUNTIF($C$2:C1725, C1725),"0000")</f>
        <v>Prop_1724</v>
      </c>
      <c r="C1725" s="24" t="s">
        <v>872</v>
      </c>
      <c r="D1725" s="69" t="s">
        <v>9453</v>
      </c>
      <c r="E1725" s="70" t="s">
        <v>9454</v>
      </c>
      <c r="F1725" s="17" t="s">
        <v>806</v>
      </c>
      <c r="G1725" s="22" t="s">
        <v>7560</v>
      </c>
      <c r="H1725" s="12" t="s">
        <v>9703</v>
      </c>
      <c r="I1725" s="13" t="s">
        <v>7561</v>
      </c>
      <c r="J1725" s="14" t="s">
        <v>798</v>
      </c>
      <c r="K1725" s="15" t="s">
        <v>798</v>
      </c>
      <c r="L1725" s="12" t="s">
        <v>5315</v>
      </c>
      <c r="M1725" s="13" t="s">
        <v>6019</v>
      </c>
      <c r="N1725" s="12" t="s">
        <v>803</v>
      </c>
      <c r="O1725" s="13" t="s">
        <v>4900</v>
      </c>
      <c r="P1725" s="17" t="s">
        <v>802</v>
      </c>
      <c r="Q1725" s="21" t="s">
        <v>7996</v>
      </c>
      <c r="R1725" s="17" t="s">
        <v>801</v>
      </c>
      <c r="S1725" s="18" t="s">
        <v>2590</v>
      </c>
      <c r="T1725" s="17" t="s">
        <v>800</v>
      </c>
      <c r="U1725" s="18" t="s">
        <v>5274</v>
      </c>
      <c r="V1725" s="17" t="s">
        <v>9418</v>
      </c>
      <c r="W1725" s="18" t="s">
        <v>5309</v>
      </c>
      <c r="X1725" s="69" t="s">
        <v>9453</v>
      </c>
      <c r="Y1725" s="70" t="s">
        <v>9462</v>
      </c>
      <c r="Z1725" s="73" t="s">
        <v>9486</v>
      </c>
      <c r="AA1725" s="74" t="s">
        <v>9504</v>
      </c>
      <c r="AB1725" s="73" t="s">
        <v>9486</v>
      </c>
      <c r="AC1725" s="74" t="s">
        <v>9566</v>
      </c>
      <c r="AD1725" s="73" t="s">
        <v>9578</v>
      </c>
      <c r="AE1725" s="74" t="s">
        <v>9579</v>
      </c>
    </row>
    <row r="1726" spans="1:31" ht="8.65" customHeight="1" x14ac:dyDescent="0.2">
      <c r="A1726" s="76">
        <v>1726</v>
      </c>
      <c r="B1726" s="67" t="str">
        <f>MID(C1726, FIND("Ifc.", C1726) + 4, 4) &amp; "_" &amp; TEXT(COUNTIF($C$2:C1726, C1726),"0000")</f>
        <v>Prop_1725</v>
      </c>
      <c r="C1726" s="24" t="s">
        <v>872</v>
      </c>
      <c r="D1726" s="69" t="s">
        <v>9453</v>
      </c>
      <c r="E1726" s="70" t="s">
        <v>9454</v>
      </c>
      <c r="F1726" s="17" t="s">
        <v>806</v>
      </c>
      <c r="G1726" s="22" t="s">
        <v>2455</v>
      </c>
      <c r="H1726" s="12" t="s">
        <v>9703</v>
      </c>
      <c r="I1726" s="13" t="s">
        <v>7440</v>
      </c>
      <c r="J1726" s="14" t="s">
        <v>798</v>
      </c>
      <c r="K1726" s="15" t="s">
        <v>798</v>
      </c>
      <c r="L1726" s="12" t="s">
        <v>5315</v>
      </c>
      <c r="M1726" s="13" t="s">
        <v>6006</v>
      </c>
      <c r="N1726" s="12" t="s">
        <v>803</v>
      </c>
      <c r="O1726" s="13" t="s">
        <v>5210</v>
      </c>
      <c r="P1726" s="17" t="s">
        <v>802</v>
      </c>
      <c r="Q1726" s="21" t="s">
        <v>7902</v>
      </c>
      <c r="R1726" s="17" t="s">
        <v>801</v>
      </c>
      <c r="S1726" s="18" t="s">
        <v>2590</v>
      </c>
      <c r="T1726" s="17" t="s">
        <v>800</v>
      </c>
      <c r="U1726" s="18" t="s">
        <v>5274</v>
      </c>
      <c r="V1726" s="17" t="s">
        <v>9418</v>
      </c>
      <c r="W1726" s="18" t="s">
        <v>5309</v>
      </c>
      <c r="X1726" s="69" t="s">
        <v>9453</v>
      </c>
      <c r="Y1726" s="70" t="s">
        <v>9462</v>
      </c>
      <c r="Z1726" s="73" t="s">
        <v>9486</v>
      </c>
      <c r="AA1726" s="74" t="s">
        <v>9504</v>
      </c>
      <c r="AB1726" s="73" t="s">
        <v>9486</v>
      </c>
      <c r="AC1726" s="74" t="s">
        <v>9566</v>
      </c>
      <c r="AD1726" s="73" t="s">
        <v>9578</v>
      </c>
      <c r="AE1726" s="74" t="s">
        <v>9579</v>
      </c>
    </row>
    <row r="1727" spans="1:31" ht="8.65" customHeight="1" x14ac:dyDescent="0.2">
      <c r="A1727" s="76">
        <v>1727</v>
      </c>
      <c r="B1727" s="67" t="str">
        <f>MID(C1727, FIND("Ifc.", C1727) + 4, 4) &amp; "_" &amp; TEXT(COUNTIF($C$2:C1727, C1727),"0000")</f>
        <v>Prop_1726</v>
      </c>
      <c r="C1727" s="24" t="s">
        <v>872</v>
      </c>
      <c r="D1727" s="69" t="s">
        <v>9453</v>
      </c>
      <c r="E1727" s="70" t="s">
        <v>9454</v>
      </c>
      <c r="F1727" s="17" t="s">
        <v>806</v>
      </c>
      <c r="G1727" s="22" t="s">
        <v>2456</v>
      </c>
      <c r="H1727" s="12" t="s">
        <v>9703</v>
      </c>
      <c r="I1727" s="13" t="s">
        <v>7441</v>
      </c>
      <c r="J1727" s="14" t="s">
        <v>798</v>
      </c>
      <c r="K1727" s="15" t="s">
        <v>798</v>
      </c>
      <c r="L1727" s="12" t="s">
        <v>5315</v>
      </c>
      <c r="M1727" s="13" t="s">
        <v>6006</v>
      </c>
      <c r="N1727" s="12" t="s">
        <v>803</v>
      </c>
      <c r="O1727" s="13" t="s">
        <v>5210</v>
      </c>
      <c r="P1727" s="17" t="s">
        <v>802</v>
      </c>
      <c r="Q1727" s="21" t="s">
        <v>7902</v>
      </c>
      <c r="R1727" s="17" t="s">
        <v>801</v>
      </c>
      <c r="S1727" s="18" t="s">
        <v>2590</v>
      </c>
      <c r="T1727" s="17" t="s">
        <v>800</v>
      </c>
      <c r="U1727" s="18" t="s">
        <v>5274</v>
      </c>
      <c r="V1727" s="17" t="s">
        <v>9418</v>
      </c>
      <c r="W1727" s="18" t="s">
        <v>5309</v>
      </c>
      <c r="X1727" s="69" t="s">
        <v>9453</v>
      </c>
      <c r="Y1727" s="70" t="s">
        <v>9462</v>
      </c>
      <c r="Z1727" s="73" t="s">
        <v>9486</v>
      </c>
      <c r="AA1727" s="74" t="s">
        <v>9504</v>
      </c>
      <c r="AB1727" s="73" t="s">
        <v>9486</v>
      </c>
      <c r="AC1727" s="74" t="s">
        <v>9566</v>
      </c>
      <c r="AD1727" s="73" t="s">
        <v>9578</v>
      </c>
      <c r="AE1727" s="74" t="s">
        <v>9579</v>
      </c>
    </row>
    <row r="1728" spans="1:31" ht="8.65" customHeight="1" x14ac:dyDescent="0.2">
      <c r="A1728" s="76">
        <v>1728</v>
      </c>
      <c r="B1728" s="67" t="str">
        <f>MID(C1728, FIND("Ifc.", C1728) + 4, 4) &amp; "_" &amp; TEXT(COUNTIF($C$2:C1728, C1728),"0000")</f>
        <v>Prop_1727</v>
      </c>
      <c r="C1728" s="24" t="s">
        <v>872</v>
      </c>
      <c r="D1728" s="69" t="s">
        <v>9453</v>
      </c>
      <c r="E1728" s="70" t="s">
        <v>9454</v>
      </c>
      <c r="F1728" s="17" t="s">
        <v>806</v>
      </c>
      <c r="G1728" s="22" t="s">
        <v>1290</v>
      </c>
      <c r="H1728" s="12" t="s">
        <v>9703</v>
      </c>
      <c r="I1728" s="13" t="s">
        <v>7438</v>
      </c>
      <c r="J1728" s="14" t="s">
        <v>798</v>
      </c>
      <c r="K1728" s="15" t="s">
        <v>798</v>
      </c>
      <c r="L1728" s="12" t="s">
        <v>5315</v>
      </c>
      <c r="M1728" s="13" t="s">
        <v>6014</v>
      </c>
      <c r="N1728" s="12" t="s">
        <v>803</v>
      </c>
      <c r="O1728" s="13" t="s">
        <v>4902</v>
      </c>
      <c r="P1728" s="17" t="s">
        <v>802</v>
      </c>
      <c r="Q1728" s="21" t="s">
        <v>7828</v>
      </c>
      <c r="R1728" s="17" t="s">
        <v>801</v>
      </c>
      <c r="S1728" s="18" t="s">
        <v>2590</v>
      </c>
      <c r="T1728" s="17" t="s">
        <v>800</v>
      </c>
      <c r="U1728" s="18" t="s">
        <v>5274</v>
      </c>
      <c r="V1728" s="17" t="s">
        <v>9418</v>
      </c>
      <c r="W1728" s="18" t="s">
        <v>5309</v>
      </c>
      <c r="X1728" s="69" t="s">
        <v>9453</v>
      </c>
      <c r="Y1728" s="70" t="s">
        <v>9462</v>
      </c>
      <c r="Z1728" s="73" t="s">
        <v>9486</v>
      </c>
      <c r="AA1728" s="74" t="s">
        <v>9504</v>
      </c>
      <c r="AB1728" s="73" t="s">
        <v>9486</v>
      </c>
      <c r="AC1728" s="74" t="s">
        <v>9566</v>
      </c>
      <c r="AD1728" s="73" t="s">
        <v>9578</v>
      </c>
      <c r="AE1728" s="74" t="s">
        <v>9579</v>
      </c>
    </row>
    <row r="1729" spans="1:31" ht="8.65" customHeight="1" x14ac:dyDescent="0.2">
      <c r="A1729" s="76">
        <v>1729</v>
      </c>
      <c r="B1729" s="67" t="str">
        <f>MID(C1729, FIND("Ifc.", C1729) + 4, 4) &amp; "_" &amp; TEXT(COUNTIF($C$2:C1729, C1729),"0000")</f>
        <v>Prop_1728</v>
      </c>
      <c r="C1729" s="24" t="s">
        <v>872</v>
      </c>
      <c r="D1729" s="69" t="s">
        <v>9453</v>
      </c>
      <c r="E1729" s="70" t="s">
        <v>9454</v>
      </c>
      <c r="F1729" s="17" t="s">
        <v>806</v>
      </c>
      <c r="G1729" s="22" t="s">
        <v>1290</v>
      </c>
      <c r="H1729" s="12" t="s">
        <v>9703</v>
      </c>
      <c r="I1729" s="13" t="s">
        <v>7438</v>
      </c>
      <c r="J1729" s="14" t="s">
        <v>798</v>
      </c>
      <c r="K1729" s="15" t="s">
        <v>798</v>
      </c>
      <c r="L1729" s="12" t="s">
        <v>5315</v>
      </c>
      <c r="M1729" s="13" t="s">
        <v>6006</v>
      </c>
      <c r="N1729" s="12" t="s">
        <v>803</v>
      </c>
      <c r="O1729" s="13" t="s">
        <v>5210</v>
      </c>
      <c r="P1729" s="17" t="s">
        <v>802</v>
      </c>
      <c r="Q1729" s="21" t="s">
        <v>7902</v>
      </c>
      <c r="R1729" s="17" t="s">
        <v>801</v>
      </c>
      <c r="S1729" s="18" t="s">
        <v>2590</v>
      </c>
      <c r="T1729" s="17" t="s">
        <v>800</v>
      </c>
      <c r="U1729" s="18" t="s">
        <v>5274</v>
      </c>
      <c r="V1729" s="17" t="s">
        <v>9418</v>
      </c>
      <c r="W1729" s="18" t="s">
        <v>5309</v>
      </c>
      <c r="X1729" s="69" t="s">
        <v>9453</v>
      </c>
      <c r="Y1729" s="70" t="s">
        <v>9462</v>
      </c>
      <c r="Z1729" s="73" t="s">
        <v>9486</v>
      </c>
      <c r="AA1729" s="74" t="s">
        <v>9504</v>
      </c>
      <c r="AB1729" s="73" t="s">
        <v>9486</v>
      </c>
      <c r="AC1729" s="74" t="s">
        <v>9566</v>
      </c>
      <c r="AD1729" s="73" t="s">
        <v>9578</v>
      </c>
      <c r="AE1729" s="74" t="s">
        <v>9579</v>
      </c>
    </row>
    <row r="1730" spans="1:31" ht="8.65" customHeight="1" x14ac:dyDescent="0.2">
      <c r="A1730" s="76">
        <v>1730</v>
      </c>
      <c r="B1730" s="67" t="str">
        <f>MID(C1730, FIND("Ifc.", C1730) + 4, 4) &amp; "_" &amp; TEXT(COUNTIF($C$2:C1730, C1730),"0000")</f>
        <v>Prop_1729</v>
      </c>
      <c r="C1730" s="24" t="s">
        <v>872</v>
      </c>
      <c r="D1730" s="69" t="s">
        <v>9453</v>
      </c>
      <c r="E1730" s="70" t="s">
        <v>9454</v>
      </c>
      <c r="F1730" s="17" t="s">
        <v>806</v>
      </c>
      <c r="G1730" s="22" t="s">
        <v>1290</v>
      </c>
      <c r="H1730" s="12" t="s">
        <v>9703</v>
      </c>
      <c r="I1730" s="13" t="s">
        <v>7438</v>
      </c>
      <c r="J1730" s="14" t="s">
        <v>798</v>
      </c>
      <c r="K1730" s="15" t="s">
        <v>798</v>
      </c>
      <c r="L1730" s="12" t="s">
        <v>5315</v>
      </c>
      <c r="M1730" s="13" t="s">
        <v>6027</v>
      </c>
      <c r="N1730" s="12" t="s">
        <v>803</v>
      </c>
      <c r="O1730" s="13" t="s">
        <v>4901</v>
      </c>
      <c r="P1730" s="17" t="s">
        <v>802</v>
      </c>
      <c r="Q1730" s="21" t="s">
        <v>7829</v>
      </c>
      <c r="R1730" s="17" t="s">
        <v>801</v>
      </c>
      <c r="S1730" s="18" t="s">
        <v>2590</v>
      </c>
      <c r="T1730" s="17" t="s">
        <v>800</v>
      </c>
      <c r="U1730" s="18" t="s">
        <v>5274</v>
      </c>
      <c r="V1730" s="17" t="s">
        <v>9418</v>
      </c>
      <c r="W1730" s="18" t="s">
        <v>5309</v>
      </c>
      <c r="X1730" s="69" t="s">
        <v>9453</v>
      </c>
      <c r="Y1730" s="70" t="s">
        <v>9462</v>
      </c>
      <c r="Z1730" s="73" t="s">
        <v>9486</v>
      </c>
      <c r="AA1730" s="74" t="s">
        <v>9504</v>
      </c>
      <c r="AB1730" s="73" t="s">
        <v>9486</v>
      </c>
      <c r="AC1730" s="74" t="s">
        <v>9566</v>
      </c>
      <c r="AD1730" s="73" t="s">
        <v>9578</v>
      </c>
      <c r="AE1730" s="74" t="s">
        <v>9579</v>
      </c>
    </row>
    <row r="1731" spans="1:31" ht="8.65" customHeight="1" x14ac:dyDescent="0.2">
      <c r="A1731" s="76">
        <v>1731</v>
      </c>
      <c r="B1731" s="67" t="str">
        <f>MID(C1731, FIND("Ifc.", C1731) + 4, 4) &amp; "_" &amp; TEXT(COUNTIF($C$2:C1731, C1731),"0000")</f>
        <v>Prop_1730</v>
      </c>
      <c r="C1731" s="24" t="s">
        <v>872</v>
      </c>
      <c r="D1731" s="69" t="s">
        <v>9453</v>
      </c>
      <c r="E1731" s="70" t="s">
        <v>9454</v>
      </c>
      <c r="F1731" s="17" t="s">
        <v>806</v>
      </c>
      <c r="G1731" s="22" t="s">
        <v>1288</v>
      </c>
      <c r="H1731" s="12" t="s">
        <v>9703</v>
      </c>
      <c r="I1731" s="13" t="s">
        <v>7436</v>
      </c>
      <c r="J1731" s="14" t="s">
        <v>798</v>
      </c>
      <c r="K1731" s="15" t="s">
        <v>798</v>
      </c>
      <c r="L1731" s="12" t="s">
        <v>5315</v>
      </c>
      <c r="M1731" s="13" t="s">
        <v>6014</v>
      </c>
      <c r="N1731" s="12" t="s">
        <v>803</v>
      </c>
      <c r="O1731" s="13" t="s">
        <v>4902</v>
      </c>
      <c r="P1731" s="17" t="s">
        <v>802</v>
      </c>
      <c r="Q1731" s="21" t="s">
        <v>7828</v>
      </c>
      <c r="R1731" s="17" t="s">
        <v>801</v>
      </c>
      <c r="S1731" s="18" t="s">
        <v>2590</v>
      </c>
      <c r="T1731" s="17" t="s">
        <v>800</v>
      </c>
      <c r="U1731" s="18" t="s">
        <v>5274</v>
      </c>
      <c r="V1731" s="17" t="s">
        <v>9418</v>
      </c>
      <c r="W1731" s="18" t="s">
        <v>5309</v>
      </c>
      <c r="X1731" s="69" t="s">
        <v>9453</v>
      </c>
      <c r="Y1731" s="70" t="s">
        <v>9462</v>
      </c>
      <c r="Z1731" s="73" t="s">
        <v>9486</v>
      </c>
      <c r="AA1731" s="74" t="s">
        <v>9504</v>
      </c>
      <c r="AB1731" s="73" t="s">
        <v>9486</v>
      </c>
      <c r="AC1731" s="74" t="s">
        <v>9566</v>
      </c>
      <c r="AD1731" s="73" t="s">
        <v>9578</v>
      </c>
      <c r="AE1731" s="74" t="s">
        <v>9579</v>
      </c>
    </row>
    <row r="1732" spans="1:31" ht="8.65" customHeight="1" x14ac:dyDescent="0.2">
      <c r="A1732" s="76">
        <v>1732</v>
      </c>
      <c r="B1732" s="67" t="str">
        <f>MID(C1732, FIND("Ifc.", C1732) + 4, 4) &amp; "_" &amp; TEXT(COUNTIF($C$2:C1732, C1732),"0000")</f>
        <v>Prop_1731</v>
      </c>
      <c r="C1732" s="24" t="s">
        <v>872</v>
      </c>
      <c r="D1732" s="69" t="s">
        <v>9453</v>
      </c>
      <c r="E1732" s="70" t="s">
        <v>9454</v>
      </c>
      <c r="F1732" s="17" t="s">
        <v>806</v>
      </c>
      <c r="G1732" s="22" t="s">
        <v>1288</v>
      </c>
      <c r="H1732" s="12" t="s">
        <v>9703</v>
      </c>
      <c r="I1732" s="13" t="s">
        <v>7436</v>
      </c>
      <c r="J1732" s="14" t="s">
        <v>798</v>
      </c>
      <c r="K1732" s="15" t="s">
        <v>798</v>
      </c>
      <c r="L1732" s="12" t="s">
        <v>5315</v>
      </c>
      <c r="M1732" s="13" t="s">
        <v>6027</v>
      </c>
      <c r="N1732" s="12" t="s">
        <v>803</v>
      </c>
      <c r="O1732" s="13" t="s">
        <v>4901</v>
      </c>
      <c r="P1732" s="17" t="s">
        <v>802</v>
      </c>
      <c r="Q1732" s="21" t="s">
        <v>7829</v>
      </c>
      <c r="R1732" s="17" t="s">
        <v>801</v>
      </c>
      <c r="S1732" s="18" t="s">
        <v>2590</v>
      </c>
      <c r="T1732" s="17" t="s">
        <v>800</v>
      </c>
      <c r="U1732" s="18" t="s">
        <v>5274</v>
      </c>
      <c r="V1732" s="17" t="s">
        <v>9418</v>
      </c>
      <c r="W1732" s="18" t="s">
        <v>5309</v>
      </c>
      <c r="X1732" s="69" t="s">
        <v>9453</v>
      </c>
      <c r="Y1732" s="70" t="s">
        <v>9462</v>
      </c>
      <c r="Z1732" s="73" t="s">
        <v>9486</v>
      </c>
      <c r="AA1732" s="74" t="s">
        <v>9504</v>
      </c>
      <c r="AB1732" s="73" t="s">
        <v>9486</v>
      </c>
      <c r="AC1732" s="74" t="s">
        <v>9566</v>
      </c>
      <c r="AD1732" s="73" t="s">
        <v>9578</v>
      </c>
      <c r="AE1732" s="74" t="s">
        <v>9579</v>
      </c>
    </row>
    <row r="1733" spans="1:31" ht="8.65" customHeight="1" x14ac:dyDescent="0.2">
      <c r="A1733" s="76">
        <v>1733</v>
      </c>
      <c r="B1733" s="67" t="str">
        <f>MID(C1733, FIND("Ifc.", C1733) + 4, 4) &amp; "_" &amp; TEXT(COUNTIF($C$2:C1733, C1733),"0000")</f>
        <v>Prop_1732</v>
      </c>
      <c r="C1733" s="24" t="s">
        <v>872</v>
      </c>
      <c r="D1733" s="69" t="s">
        <v>9453</v>
      </c>
      <c r="E1733" s="70" t="s">
        <v>9454</v>
      </c>
      <c r="F1733" s="17" t="s">
        <v>806</v>
      </c>
      <c r="G1733" s="22" t="s">
        <v>1289</v>
      </c>
      <c r="H1733" s="12" t="s">
        <v>9703</v>
      </c>
      <c r="I1733" s="13" t="s">
        <v>7437</v>
      </c>
      <c r="J1733" s="14" t="s">
        <v>798</v>
      </c>
      <c r="K1733" s="15" t="s">
        <v>798</v>
      </c>
      <c r="L1733" s="12" t="s">
        <v>5315</v>
      </c>
      <c r="M1733" s="13" t="s">
        <v>6014</v>
      </c>
      <c r="N1733" s="12" t="s">
        <v>803</v>
      </c>
      <c r="O1733" s="13" t="s">
        <v>4902</v>
      </c>
      <c r="P1733" s="17" t="s">
        <v>802</v>
      </c>
      <c r="Q1733" s="21" t="s">
        <v>7828</v>
      </c>
      <c r="R1733" s="17" t="s">
        <v>801</v>
      </c>
      <c r="S1733" s="18" t="s">
        <v>2590</v>
      </c>
      <c r="T1733" s="17" t="s">
        <v>800</v>
      </c>
      <c r="U1733" s="18" t="s">
        <v>5274</v>
      </c>
      <c r="V1733" s="17" t="s">
        <v>9418</v>
      </c>
      <c r="W1733" s="18" t="s">
        <v>5309</v>
      </c>
      <c r="X1733" s="69" t="s">
        <v>9453</v>
      </c>
      <c r="Y1733" s="70" t="s">
        <v>9462</v>
      </c>
      <c r="Z1733" s="73" t="s">
        <v>9486</v>
      </c>
      <c r="AA1733" s="74" t="s">
        <v>9504</v>
      </c>
      <c r="AB1733" s="73" t="s">
        <v>9486</v>
      </c>
      <c r="AC1733" s="74" t="s">
        <v>9566</v>
      </c>
      <c r="AD1733" s="73" t="s">
        <v>9578</v>
      </c>
      <c r="AE1733" s="74" t="s">
        <v>9579</v>
      </c>
    </row>
    <row r="1734" spans="1:31" ht="8.65" customHeight="1" x14ac:dyDescent="0.2">
      <c r="A1734" s="76">
        <v>1734</v>
      </c>
      <c r="B1734" s="67" t="str">
        <f>MID(C1734, FIND("Ifc.", C1734) + 4, 4) &amp; "_" &amp; TEXT(COUNTIF($C$2:C1734, C1734),"0000")</f>
        <v>Prop_1733</v>
      </c>
      <c r="C1734" s="24" t="s">
        <v>872</v>
      </c>
      <c r="D1734" s="69" t="s">
        <v>9453</v>
      </c>
      <c r="E1734" s="70" t="s">
        <v>9454</v>
      </c>
      <c r="F1734" s="17" t="s">
        <v>806</v>
      </c>
      <c r="G1734" s="22" t="s">
        <v>1289</v>
      </c>
      <c r="H1734" s="12" t="s">
        <v>9703</v>
      </c>
      <c r="I1734" s="13" t="s">
        <v>7437</v>
      </c>
      <c r="J1734" s="14" t="s">
        <v>798</v>
      </c>
      <c r="K1734" s="15" t="s">
        <v>798</v>
      </c>
      <c r="L1734" s="12" t="s">
        <v>5315</v>
      </c>
      <c r="M1734" s="13" t="s">
        <v>6006</v>
      </c>
      <c r="N1734" s="12" t="s">
        <v>803</v>
      </c>
      <c r="O1734" s="13" t="s">
        <v>5210</v>
      </c>
      <c r="P1734" s="17" t="s">
        <v>802</v>
      </c>
      <c r="Q1734" s="21" t="s">
        <v>7902</v>
      </c>
      <c r="R1734" s="17" t="s">
        <v>801</v>
      </c>
      <c r="S1734" s="18" t="s">
        <v>2590</v>
      </c>
      <c r="T1734" s="17" t="s">
        <v>800</v>
      </c>
      <c r="U1734" s="18" t="s">
        <v>5274</v>
      </c>
      <c r="V1734" s="17" t="s">
        <v>9418</v>
      </c>
      <c r="W1734" s="18" t="s">
        <v>5309</v>
      </c>
      <c r="X1734" s="69" t="s">
        <v>9453</v>
      </c>
      <c r="Y1734" s="70" t="s">
        <v>9462</v>
      </c>
      <c r="Z1734" s="73" t="s">
        <v>9486</v>
      </c>
      <c r="AA1734" s="74" t="s">
        <v>9504</v>
      </c>
      <c r="AB1734" s="73" t="s">
        <v>9486</v>
      </c>
      <c r="AC1734" s="74" t="s">
        <v>9566</v>
      </c>
      <c r="AD1734" s="73" t="s">
        <v>9578</v>
      </c>
      <c r="AE1734" s="74" t="s">
        <v>9579</v>
      </c>
    </row>
    <row r="1735" spans="1:31" ht="8.65" customHeight="1" x14ac:dyDescent="0.2">
      <c r="A1735" s="76">
        <v>1735</v>
      </c>
      <c r="B1735" s="67" t="str">
        <f>MID(C1735, FIND("Ifc.", C1735) + 4, 4) &amp; "_" &amp; TEXT(COUNTIF($C$2:C1735, C1735),"0000")</f>
        <v>Prop_1734</v>
      </c>
      <c r="C1735" s="24" t="s">
        <v>872</v>
      </c>
      <c r="D1735" s="69" t="s">
        <v>9453</v>
      </c>
      <c r="E1735" s="70" t="s">
        <v>9454</v>
      </c>
      <c r="F1735" s="17" t="s">
        <v>806</v>
      </c>
      <c r="G1735" s="22" t="s">
        <v>1289</v>
      </c>
      <c r="H1735" s="12" t="s">
        <v>9703</v>
      </c>
      <c r="I1735" s="13" t="s">
        <v>7437</v>
      </c>
      <c r="J1735" s="14" t="s">
        <v>798</v>
      </c>
      <c r="K1735" s="15" t="s">
        <v>798</v>
      </c>
      <c r="L1735" s="12" t="s">
        <v>5315</v>
      </c>
      <c r="M1735" s="13" t="s">
        <v>6027</v>
      </c>
      <c r="N1735" s="12" t="s">
        <v>803</v>
      </c>
      <c r="O1735" s="13" t="s">
        <v>4901</v>
      </c>
      <c r="P1735" s="17" t="s">
        <v>802</v>
      </c>
      <c r="Q1735" s="21" t="s">
        <v>7829</v>
      </c>
      <c r="R1735" s="17" t="s">
        <v>801</v>
      </c>
      <c r="S1735" s="18" t="s">
        <v>2590</v>
      </c>
      <c r="T1735" s="17" t="s">
        <v>800</v>
      </c>
      <c r="U1735" s="18" t="s">
        <v>5274</v>
      </c>
      <c r="V1735" s="17" t="s">
        <v>9418</v>
      </c>
      <c r="W1735" s="18" t="s">
        <v>5309</v>
      </c>
      <c r="X1735" s="69" t="s">
        <v>9453</v>
      </c>
      <c r="Y1735" s="70" t="s">
        <v>9462</v>
      </c>
      <c r="Z1735" s="73" t="s">
        <v>9486</v>
      </c>
      <c r="AA1735" s="74" t="s">
        <v>9504</v>
      </c>
      <c r="AB1735" s="73" t="s">
        <v>9486</v>
      </c>
      <c r="AC1735" s="74" t="s">
        <v>9566</v>
      </c>
      <c r="AD1735" s="73" t="s">
        <v>9578</v>
      </c>
      <c r="AE1735" s="74" t="s">
        <v>9579</v>
      </c>
    </row>
    <row r="1736" spans="1:31" ht="8.65" customHeight="1" x14ac:dyDescent="0.2">
      <c r="A1736" s="76">
        <v>1736</v>
      </c>
      <c r="B1736" s="67" t="str">
        <f>MID(C1736, FIND("Ifc.", C1736) + 4, 4) &amp; "_" &amp; TEXT(COUNTIF($C$2:C1736, C1736),"0000")</f>
        <v>Prop_1735</v>
      </c>
      <c r="C1736" s="24" t="s">
        <v>872</v>
      </c>
      <c r="D1736" s="69" t="s">
        <v>9453</v>
      </c>
      <c r="E1736" s="70" t="s">
        <v>9454</v>
      </c>
      <c r="F1736" s="17" t="s">
        <v>806</v>
      </c>
      <c r="G1736" s="22" t="s">
        <v>1291</v>
      </c>
      <c r="H1736" s="12" t="s">
        <v>9703</v>
      </c>
      <c r="I1736" s="13" t="s">
        <v>7439</v>
      </c>
      <c r="J1736" s="14" t="s">
        <v>798</v>
      </c>
      <c r="K1736" s="15" t="s">
        <v>798</v>
      </c>
      <c r="L1736" s="12" t="s">
        <v>5315</v>
      </c>
      <c r="M1736" s="13" t="s">
        <v>6014</v>
      </c>
      <c r="N1736" s="12" t="s">
        <v>803</v>
      </c>
      <c r="O1736" s="13" t="s">
        <v>4902</v>
      </c>
      <c r="P1736" s="17" t="s">
        <v>802</v>
      </c>
      <c r="Q1736" s="21" t="s">
        <v>7828</v>
      </c>
      <c r="R1736" s="17" t="s">
        <v>801</v>
      </c>
      <c r="S1736" s="18" t="s">
        <v>2590</v>
      </c>
      <c r="T1736" s="17" t="s">
        <v>800</v>
      </c>
      <c r="U1736" s="18" t="s">
        <v>5274</v>
      </c>
      <c r="V1736" s="17" t="s">
        <v>9418</v>
      </c>
      <c r="W1736" s="18" t="s">
        <v>5309</v>
      </c>
      <c r="X1736" s="69" t="s">
        <v>9453</v>
      </c>
      <c r="Y1736" s="70" t="s">
        <v>9462</v>
      </c>
      <c r="Z1736" s="73" t="s">
        <v>9486</v>
      </c>
      <c r="AA1736" s="74" t="s">
        <v>9504</v>
      </c>
      <c r="AB1736" s="73" t="s">
        <v>9486</v>
      </c>
      <c r="AC1736" s="74" t="s">
        <v>9566</v>
      </c>
      <c r="AD1736" s="73" t="s">
        <v>9578</v>
      </c>
      <c r="AE1736" s="74" t="s">
        <v>9579</v>
      </c>
    </row>
    <row r="1737" spans="1:31" ht="8.65" customHeight="1" x14ac:dyDescent="0.2">
      <c r="A1737" s="76">
        <v>1737</v>
      </c>
      <c r="B1737" s="67" t="str">
        <f>MID(C1737, FIND("Ifc.", C1737) + 4, 4) &amp; "_" &amp; TEXT(COUNTIF($C$2:C1737, C1737),"0000")</f>
        <v>Prop_1736</v>
      </c>
      <c r="C1737" s="24" t="s">
        <v>872</v>
      </c>
      <c r="D1737" s="69" t="s">
        <v>9453</v>
      </c>
      <c r="E1737" s="70" t="s">
        <v>9454</v>
      </c>
      <c r="F1737" s="17" t="s">
        <v>806</v>
      </c>
      <c r="G1737" s="22" t="s">
        <v>1291</v>
      </c>
      <c r="H1737" s="12" t="s">
        <v>9703</v>
      </c>
      <c r="I1737" s="13" t="s">
        <v>7439</v>
      </c>
      <c r="J1737" s="14" t="s">
        <v>798</v>
      </c>
      <c r="K1737" s="15" t="s">
        <v>798</v>
      </c>
      <c r="L1737" s="12" t="s">
        <v>5315</v>
      </c>
      <c r="M1737" s="13" t="s">
        <v>6027</v>
      </c>
      <c r="N1737" s="12" t="s">
        <v>803</v>
      </c>
      <c r="O1737" s="13" t="s">
        <v>4901</v>
      </c>
      <c r="P1737" s="17" t="s">
        <v>802</v>
      </c>
      <c r="Q1737" s="21" t="s">
        <v>7829</v>
      </c>
      <c r="R1737" s="17" t="s">
        <v>801</v>
      </c>
      <c r="S1737" s="18" t="s">
        <v>2590</v>
      </c>
      <c r="T1737" s="17" t="s">
        <v>800</v>
      </c>
      <c r="U1737" s="18" t="s">
        <v>5274</v>
      </c>
      <c r="V1737" s="17" t="s">
        <v>9418</v>
      </c>
      <c r="W1737" s="18" t="s">
        <v>5309</v>
      </c>
      <c r="X1737" s="69" t="s">
        <v>9453</v>
      </c>
      <c r="Y1737" s="70" t="s">
        <v>9462</v>
      </c>
      <c r="Z1737" s="73" t="s">
        <v>9486</v>
      </c>
      <c r="AA1737" s="74" t="s">
        <v>9504</v>
      </c>
      <c r="AB1737" s="73" t="s">
        <v>9486</v>
      </c>
      <c r="AC1737" s="74" t="s">
        <v>9566</v>
      </c>
      <c r="AD1737" s="73" t="s">
        <v>9578</v>
      </c>
      <c r="AE1737" s="74" t="s">
        <v>9579</v>
      </c>
    </row>
    <row r="1738" spans="1:31" ht="8.65" customHeight="1" x14ac:dyDescent="0.2">
      <c r="A1738" s="76">
        <v>1738</v>
      </c>
      <c r="B1738" s="67" t="str">
        <f>MID(C1738, FIND("Ifc.", C1738) + 4, 4) &amp; "_" &amp; TEXT(COUNTIF($C$2:C1738, C1738),"0000")</f>
        <v>Prop_1737</v>
      </c>
      <c r="C1738" s="24" t="s">
        <v>872</v>
      </c>
      <c r="D1738" s="69" t="s">
        <v>9453</v>
      </c>
      <c r="E1738" s="70" t="s">
        <v>9454</v>
      </c>
      <c r="F1738" s="17" t="s">
        <v>806</v>
      </c>
      <c r="G1738" s="22" t="s">
        <v>2274</v>
      </c>
      <c r="H1738" s="12" t="s">
        <v>9703</v>
      </c>
      <c r="I1738" s="13" t="s">
        <v>7587</v>
      </c>
      <c r="J1738" s="14" t="s">
        <v>798</v>
      </c>
      <c r="K1738" s="15" t="s">
        <v>798</v>
      </c>
      <c r="L1738" s="12" t="s">
        <v>5315</v>
      </c>
      <c r="M1738" s="13" t="s">
        <v>5544</v>
      </c>
      <c r="N1738" s="12" t="s">
        <v>803</v>
      </c>
      <c r="O1738" s="13" t="s">
        <v>5160</v>
      </c>
      <c r="P1738" s="17" t="s">
        <v>802</v>
      </c>
      <c r="Q1738" s="21" t="s">
        <v>8051</v>
      </c>
      <c r="R1738" s="17" t="s">
        <v>801</v>
      </c>
      <c r="S1738" s="18" t="s">
        <v>2559</v>
      </c>
      <c r="T1738" s="17" t="s">
        <v>800</v>
      </c>
      <c r="U1738" s="18" t="s">
        <v>5234</v>
      </c>
      <c r="V1738" s="17" t="s">
        <v>9418</v>
      </c>
      <c r="W1738" s="18" t="s">
        <v>5312</v>
      </c>
      <c r="X1738" s="69" t="s">
        <v>9453</v>
      </c>
      <c r="Y1738" s="70" t="s">
        <v>9465</v>
      </c>
      <c r="Z1738" s="73" t="s">
        <v>9486</v>
      </c>
      <c r="AA1738" s="74" t="s">
        <v>9504</v>
      </c>
      <c r="AB1738" s="73" t="s">
        <v>9486</v>
      </c>
      <c r="AC1738" s="74" t="s">
        <v>9562</v>
      </c>
      <c r="AD1738" s="73" t="s">
        <v>9578</v>
      </c>
      <c r="AE1738" s="74" t="s">
        <v>9579</v>
      </c>
    </row>
    <row r="1739" spans="1:31" ht="8.65" customHeight="1" x14ac:dyDescent="0.2">
      <c r="A1739" s="76">
        <v>1739</v>
      </c>
      <c r="B1739" s="67" t="str">
        <f>MID(C1739, FIND("Ifc.", C1739) + 4, 4) &amp; "_" &amp; TEXT(COUNTIF($C$2:C1739, C1739),"0000")</f>
        <v>Prop_1738</v>
      </c>
      <c r="C1739" s="24" t="s">
        <v>872</v>
      </c>
      <c r="D1739" s="69" t="s">
        <v>9453</v>
      </c>
      <c r="E1739" s="70" t="s">
        <v>9454</v>
      </c>
      <c r="F1739" s="17" t="s">
        <v>806</v>
      </c>
      <c r="G1739" s="22" t="s">
        <v>2248</v>
      </c>
      <c r="H1739" s="12" t="s">
        <v>9703</v>
      </c>
      <c r="I1739" s="13" t="s">
        <v>7581</v>
      </c>
      <c r="J1739" s="14" t="s">
        <v>798</v>
      </c>
      <c r="K1739" s="15" t="s">
        <v>798</v>
      </c>
      <c r="L1739" s="12" t="s">
        <v>5315</v>
      </c>
      <c r="M1739" s="13" t="s">
        <v>5524</v>
      </c>
      <c r="N1739" s="12" t="s">
        <v>803</v>
      </c>
      <c r="O1739" s="13" t="s">
        <v>5139</v>
      </c>
      <c r="P1739" s="17" t="s">
        <v>802</v>
      </c>
      <c r="Q1739" s="21" t="s">
        <v>8052</v>
      </c>
      <c r="R1739" s="17" t="s">
        <v>801</v>
      </c>
      <c r="S1739" s="18" t="s">
        <v>2625</v>
      </c>
      <c r="T1739" s="17" t="s">
        <v>800</v>
      </c>
      <c r="U1739" s="18" t="s">
        <v>5240</v>
      </c>
      <c r="V1739" s="17" t="s">
        <v>9418</v>
      </c>
      <c r="W1739" s="18" t="s">
        <v>5312</v>
      </c>
      <c r="X1739" s="69" t="s">
        <v>9453</v>
      </c>
      <c r="Y1739" s="70" t="s">
        <v>9465</v>
      </c>
      <c r="Z1739" s="73" t="s">
        <v>9486</v>
      </c>
      <c r="AA1739" s="74" t="s">
        <v>9504</v>
      </c>
      <c r="AB1739" s="73" t="s">
        <v>9486</v>
      </c>
      <c r="AC1739" s="74" t="s">
        <v>9566</v>
      </c>
      <c r="AD1739" s="73" t="s">
        <v>9578</v>
      </c>
      <c r="AE1739" s="74" t="s">
        <v>9579</v>
      </c>
    </row>
    <row r="1740" spans="1:31" ht="8.65" customHeight="1" x14ac:dyDescent="0.2">
      <c r="A1740" s="76">
        <v>1740</v>
      </c>
      <c r="B1740" s="67" t="str">
        <f>MID(C1740, FIND("Ifc.", C1740) + 4, 4) &amp; "_" &amp; TEXT(COUNTIF($C$2:C1740, C1740),"0000")</f>
        <v>Prop_1739</v>
      </c>
      <c r="C1740" s="24" t="s">
        <v>872</v>
      </c>
      <c r="D1740" s="69" t="s">
        <v>9453</v>
      </c>
      <c r="E1740" s="70" t="s">
        <v>9454</v>
      </c>
      <c r="F1740" s="17" t="s">
        <v>806</v>
      </c>
      <c r="G1740" s="22" t="s">
        <v>2248</v>
      </c>
      <c r="H1740" s="12" t="s">
        <v>9703</v>
      </c>
      <c r="I1740" s="13" t="s">
        <v>7581</v>
      </c>
      <c r="J1740" s="14" t="s">
        <v>798</v>
      </c>
      <c r="K1740" s="15" t="s">
        <v>798</v>
      </c>
      <c r="L1740" s="12" t="s">
        <v>5315</v>
      </c>
      <c r="M1740" s="13" t="s">
        <v>5525</v>
      </c>
      <c r="N1740" s="12" t="s">
        <v>803</v>
      </c>
      <c r="O1740" s="13" t="s">
        <v>5140</v>
      </c>
      <c r="P1740" s="17" t="s">
        <v>802</v>
      </c>
      <c r="Q1740" s="21" t="s">
        <v>8053</v>
      </c>
      <c r="R1740" s="17" t="s">
        <v>801</v>
      </c>
      <c r="S1740" s="18" t="s">
        <v>2586</v>
      </c>
      <c r="T1740" s="17" t="s">
        <v>800</v>
      </c>
      <c r="U1740" s="18" t="s">
        <v>5242</v>
      </c>
      <c r="V1740" s="17" t="s">
        <v>9418</v>
      </c>
      <c r="W1740" s="18" t="s">
        <v>5312</v>
      </c>
      <c r="X1740" s="69" t="s">
        <v>9453</v>
      </c>
      <c r="Y1740" s="70" t="s">
        <v>9465</v>
      </c>
      <c r="Z1740" s="73" t="s">
        <v>9486</v>
      </c>
      <c r="AA1740" s="74" t="s">
        <v>9504</v>
      </c>
      <c r="AB1740" s="73" t="s">
        <v>9486</v>
      </c>
      <c r="AC1740" s="74" t="s">
        <v>9566</v>
      </c>
      <c r="AD1740" s="73" t="s">
        <v>9578</v>
      </c>
      <c r="AE1740" s="74" t="s">
        <v>9579</v>
      </c>
    </row>
    <row r="1741" spans="1:31" ht="8.65" customHeight="1" x14ac:dyDescent="0.2">
      <c r="A1741" s="76">
        <v>1741</v>
      </c>
      <c r="B1741" s="67" t="str">
        <f>MID(C1741, FIND("Ifc.", C1741) + 4, 4) &amp; "_" &amp; TEXT(COUNTIF($C$2:C1741, C1741),"0000")</f>
        <v>Prop_1740</v>
      </c>
      <c r="C1741" s="24" t="s">
        <v>872</v>
      </c>
      <c r="D1741" s="69" t="s">
        <v>9453</v>
      </c>
      <c r="E1741" s="70" t="s">
        <v>9454</v>
      </c>
      <c r="F1741" s="17" t="s">
        <v>806</v>
      </c>
      <c r="G1741" s="22" t="s">
        <v>2248</v>
      </c>
      <c r="H1741" s="12" t="s">
        <v>9703</v>
      </c>
      <c r="I1741" s="13" t="s">
        <v>7581</v>
      </c>
      <c r="J1741" s="14" t="s">
        <v>798</v>
      </c>
      <c r="K1741" s="15" t="s">
        <v>798</v>
      </c>
      <c r="L1741" s="12" t="s">
        <v>5315</v>
      </c>
      <c r="M1741" s="13" t="s">
        <v>5529</v>
      </c>
      <c r="N1741" s="12" t="s">
        <v>803</v>
      </c>
      <c r="O1741" s="13" t="s">
        <v>5144</v>
      </c>
      <c r="P1741" s="17" t="s">
        <v>802</v>
      </c>
      <c r="Q1741" s="21" t="s">
        <v>7749</v>
      </c>
      <c r="R1741" s="17" t="s">
        <v>801</v>
      </c>
      <c r="S1741" s="18" t="s">
        <v>2625</v>
      </c>
      <c r="T1741" s="17" t="s">
        <v>800</v>
      </c>
      <c r="U1741" s="18" t="s">
        <v>5240</v>
      </c>
      <c r="V1741" s="17" t="s">
        <v>9418</v>
      </c>
      <c r="W1741" s="18" t="s">
        <v>5312</v>
      </c>
      <c r="X1741" s="69" t="s">
        <v>9453</v>
      </c>
      <c r="Y1741" s="70" t="s">
        <v>9465</v>
      </c>
      <c r="Z1741" s="73" t="s">
        <v>9486</v>
      </c>
      <c r="AA1741" s="74" t="s">
        <v>9504</v>
      </c>
      <c r="AB1741" s="73" t="s">
        <v>9486</v>
      </c>
      <c r="AC1741" s="74" t="s">
        <v>9566</v>
      </c>
      <c r="AD1741" s="73" t="s">
        <v>9578</v>
      </c>
      <c r="AE1741" s="74" t="s">
        <v>9579</v>
      </c>
    </row>
    <row r="1742" spans="1:31" ht="8.65" customHeight="1" x14ac:dyDescent="0.2">
      <c r="A1742" s="76">
        <v>1742</v>
      </c>
      <c r="B1742" s="67" t="str">
        <f>MID(C1742, FIND("Ifc.", C1742) + 4, 4) &amp; "_" &amp; TEXT(COUNTIF($C$2:C1742, C1742),"0000")</f>
        <v>Prop_1741</v>
      </c>
      <c r="C1742" s="24" t="s">
        <v>872</v>
      </c>
      <c r="D1742" s="69" t="s">
        <v>9453</v>
      </c>
      <c r="E1742" s="70" t="s">
        <v>9454</v>
      </c>
      <c r="F1742" s="17" t="s">
        <v>806</v>
      </c>
      <c r="G1742" s="22" t="s">
        <v>2248</v>
      </c>
      <c r="H1742" s="12" t="s">
        <v>9703</v>
      </c>
      <c r="I1742" s="13" t="s">
        <v>7581</v>
      </c>
      <c r="J1742" s="14" t="s">
        <v>798</v>
      </c>
      <c r="K1742" s="15" t="s">
        <v>798</v>
      </c>
      <c r="L1742" s="12" t="s">
        <v>5315</v>
      </c>
      <c r="M1742" s="13" t="s">
        <v>5530</v>
      </c>
      <c r="N1742" s="12" t="s">
        <v>803</v>
      </c>
      <c r="O1742" s="13" t="s">
        <v>5145</v>
      </c>
      <c r="P1742" s="17" t="s">
        <v>802</v>
      </c>
      <c r="Q1742" s="21" t="s">
        <v>7750</v>
      </c>
      <c r="R1742" s="17" t="s">
        <v>801</v>
      </c>
      <c r="S1742" s="18" t="s">
        <v>2625</v>
      </c>
      <c r="T1742" s="17" t="s">
        <v>800</v>
      </c>
      <c r="U1742" s="18" t="s">
        <v>5240</v>
      </c>
      <c r="V1742" s="17" t="s">
        <v>9418</v>
      </c>
      <c r="W1742" s="18" t="s">
        <v>5312</v>
      </c>
      <c r="X1742" s="69" t="s">
        <v>9453</v>
      </c>
      <c r="Y1742" s="70" t="s">
        <v>9465</v>
      </c>
      <c r="Z1742" s="73" t="s">
        <v>9486</v>
      </c>
      <c r="AA1742" s="74" t="s">
        <v>9504</v>
      </c>
      <c r="AB1742" s="73" t="s">
        <v>9486</v>
      </c>
      <c r="AC1742" s="74" t="s">
        <v>9566</v>
      </c>
      <c r="AD1742" s="73" t="s">
        <v>9578</v>
      </c>
      <c r="AE1742" s="74" t="s">
        <v>9579</v>
      </c>
    </row>
    <row r="1743" spans="1:31" ht="8.65" customHeight="1" x14ac:dyDescent="0.2">
      <c r="A1743" s="76">
        <v>1743</v>
      </c>
      <c r="B1743" s="67" t="str">
        <f>MID(C1743, FIND("Ifc.", C1743) + 4, 4) &amp; "_" &amp; TEXT(COUNTIF($C$2:C1743, C1743),"0000")</f>
        <v>Prop_1742</v>
      </c>
      <c r="C1743" s="24" t="s">
        <v>872</v>
      </c>
      <c r="D1743" s="69" t="s">
        <v>9453</v>
      </c>
      <c r="E1743" s="70" t="s">
        <v>9454</v>
      </c>
      <c r="F1743" s="17" t="s">
        <v>806</v>
      </c>
      <c r="G1743" s="22" t="s">
        <v>2250</v>
      </c>
      <c r="H1743" s="12" t="s">
        <v>9703</v>
      </c>
      <c r="I1743" s="13" t="s">
        <v>7582</v>
      </c>
      <c r="J1743" s="14" t="s">
        <v>798</v>
      </c>
      <c r="K1743" s="15" t="s">
        <v>798</v>
      </c>
      <c r="L1743" s="12" t="s">
        <v>5315</v>
      </c>
      <c r="M1743" s="13" t="s">
        <v>5526</v>
      </c>
      <c r="N1743" s="12" t="s">
        <v>803</v>
      </c>
      <c r="O1743" s="13" t="s">
        <v>5141</v>
      </c>
      <c r="P1743" s="17" t="s">
        <v>802</v>
      </c>
      <c r="Q1743" s="21" t="s">
        <v>8054</v>
      </c>
      <c r="R1743" s="17" t="s">
        <v>801</v>
      </c>
      <c r="S1743" s="18" t="s">
        <v>2587</v>
      </c>
      <c r="T1743" s="17" t="s">
        <v>800</v>
      </c>
      <c r="U1743" s="18" t="s">
        <v>5303</v>
      </c>
      <c r="V1743" s="17" t="s">
        <v>9418</v>
      </c>
      <c r="W1743" s="18" t="s">
        <v>5312</v>
      </c>
      <c r="X1743" s="69" t="s">
        <v>9453</v>
      </c>
      <c r="Y1743" s="70" t="s">
        <v>9465</v>
      </c>
      <c r="Z1743" s="73" t="s">
        <v>9486</v>
      </c>
      <c r="AA1743" s="74" t="s">
        <v>9504</v>
      </c>
      <c r="AB1743" s="73" t="s">
        <v>9486</v>
      </c>
      <c r="AC1743" s="74" t="s">
        <v>9566</v>
      </c>
      <c r="AD1743" s="73" t="s">
        <v>9578</v>
      </c>
      <c r="AE1743" s="74" t="s">
        <v>9579</v>
      </c>
    </row>
    <row r="1744" spans="1:31" ht="8.65" customHeight="1" x14ac:dyDescent="0.2">
      <c r="A1744" s="76">
        <v>1744</v>
      </c>
      <c r="B1744" s="67" t="str">
        <f>MID(C1744, FIND("Ifc.", C1744) + 4, 4) &amp; "_" &amp; TEXT(COUNTIF($C$2:C1744, C1744),"0000")</f>
        <v>Prop_1743</v>
      </c>
      <c r="C1744" s="24" t="s">
        <v>872</v>
      </c>
      <c r="D1744" s="69" t="s">
        <v>9453</v>
      </c>
      <c r="E1744" s="70" t="s">
        <v>9454</v>
      </c>
      <c r="F1744" s="17" t="s">
        <v>806</v>
      </c>
      <c r="G1744" s="22" t="s">
        <v>2255</v>
      </c>
      <c r="H1744" s="12" t="s">
        <v>9703</v>
      </c>
      <c r="I1744" s="13" t="s">
        <v>7585</v>
      </c>
      <c r="J1744" s="14" t="s">
        <v>798</v>
      </c>
      <c r="K1744" s="15" t="s">
        <v>798</v>
      </c>
      <c r="L1744" s="12" t="s">
        <v>5315</v>
      </c>
      <c r="M1744" s="13" t="s">
        <v>5531</v>
      </c>
      <c r="N1744" s="12" t="s">
        <v>803</v>
      </c>
      <c r="O1744" s="13" t="s">
        <v>5146</v>
      </c>
      <c r="P1744" s="17" t="s">
        <v>802</v>
      </c>
      <c r="Q1744" s="21" t="s">
        <v>8055</v>
      </c>
      <c r="R1744" s="17" t="s">
        <v>801</v>
      </c>
      <c r="S1744" s="18" t="s">
        <v>2625</v>
      </c>
      <c r="T1744" s="17" t="s">
        <v>800</v>
      </c>
      <c r="U1744" s="18" t="s">
        <v>5240</v>
      </c>
      <c r="V1744" s="17" t="s">
        <v>9418</v>
      </c>
      <c r="W1744" s="18" t="s">
        <v>5312</v>
      </c>
      <c r="X1744" s="69" t="s">
        <v>9453</v>
      </c>
      <c r="Y1744" s="70" t="s">
        <v>9465</v>
      </c>
      <c r="Z1744" s="73" t="s">
        <v>9486</v>
      </c>
      <c r="AA1744" s="74" t="s">
        <v>9504</v>
      </c>
      <c r="AB1744" s="73" t="s">
        <v>9486</v>
      </c>
      <c r="AC1744" s="74" t="s">
        <v>9566</v>
      </c>
      <c r="AD1744" s="73" t="s">
        <v>9578</v>
      </c>
      <c r="AE1744" s="74" t="s">
        <v>9579</v>
      </c>
    </row>
    <row r="1745" spans="1:31" ht="8.65" customHeight="1" x14ac:dyDescent="0.2">
      <c r="A1745" s="76">
        <v>1745</v>
      </c>
      <c r="B1745" s="67" t="str">
        <f>MID(C1745, FIND("Ifc.", C1745) + 4, 4) &amp; "_" &amp; TEXT(COUNTIF($C$2:C1745, C1745),"0000")</f>
        <v>Prop_1744</v>
      </c>
      <c r="C1745" s="24" t="s">
        <v>872</v>
      </c>
      <c r="D1745" s="69" t="s">
        <v>9453</v>
      </c>
      <c r="E1745" s="70" t="s">
        <v>9454</v>
      </c>
      <c r="F1745" s="17" t="s">
        <v>806</v>
      </c>
      <c r="G1745" s="22" t="s">
        <v>2251</v>
      </c>
      <c r="H1745" s="12" t="s">
        <v>9703</v>
      </c>
      <c r="I1745" s="13" t="s">
        <v>7583</v>
      </c>
      <c r="J1745" s="14" t="s">
        <v>798</v>
      </c>
      <c r="K1745" s="15" t="s">
        <v>798</v>
      </c>
      <c r="L1745" s="12" t="s">
        <v>5315</v>
      </c>
      <c r="M1745" s="13" t="s">
        <v>5527</v>
      </c>
      <c r="N1745" s="12" t="s">
        <v>803</v>
      </c>
      <c r="O1745" s="13" t="s">
        <v>5142</v>
      </c>
      <c r="P1745" s="17" t="s">
        <v>802</v>
      </c>
      <c r="Q1745" s="21" t="s">
        <v>8056</v>
      </c>
      <c r="R1745" s="17" t="s">
        <v>801</v>
      </c>
      <c r="S1745" s="18" t="s">
        <v>2565</v>
      </c>
      <c r="T1745" s="17" t="s">
        <v>800</v>
      </c>
      <c r="U1745" s="18" t="s">
        <v>5248</v>
      </c>
      <c r="V1745" s="17" t="s">
        <v>9418</v>
      </c>
      <c r="W1745" s="18" t="s">
        <v>5312</v>
      </c>
      <c r="X1745" s="69" t="s">
        <v>9453</v>
      </c>
      <c r="Y1745" s="70" t="s">
        <v>9465</v>
      </c>
      <c r="Z1745" s="73" t="s">
        <v>9486</v>
      </c>
      <c r="AA1745" s="74" t="s">
        <v>9504</v>
      </c>
      <c r="AB1745" s="73" t="s">
        <v>9486</v>
      </c>
      <c r="AC1745" s="74" t="s">
        <v>9562</v>
      </c>
      <c r="AD1745" s="73" t="s">
        <v>9578</v>
      </c>
      <c r="AE1745" s="74" t="s">
        <v>9579</v>
      </c>
    </row>
    <row r="1746" spans="1:31" ht="8.65" customHeight="1" x14ac:dyDescent="0.2">
      <c r="A1746" s="76">
        <v>1746</v>
      </c>
      <c r="B1746" s="67" t="str">
        <f>MID(C1746, FIND("Ifc.", C1746) + 4, 4) &amp; "_" &amp; TEXT(COUNTIF($C$2:C1746, C1746),"0000")</f>
        <v>Prop_1745</v>
      </c>
      <c r="C1746" s="24" t="s">
        <v>872</v>
      </c>
      <c r="D1746" s="69" t="s">
        <v>9453</v>
      </c>
      <c r="E1746" s="70" t="s">
        <v>9454</v>
      </c>
      <c r="F1746" s="17" t="s">
        <v>806</v>
      </c>
      <c r="G1746" s="22" t="s">
        <v>2252</v>
      </c>
      <c r="H1746" s="12" t="s">
        <v>9703</v>
      </c>
      <c r="I1746" s="13" t="s">
        <v>7584</v>
      </c>
      <c r="J1746" s="14" t="s">
        <v>798</v>
      </c>
      <c r="K1746" s="15" t="s">
        <v>798</v>
      </c>
      <c r="L1746" s="12" t="s">
        <v>5315</v>
      </c>
      <c r="M1746" s="13" t="s">
        <v>5528</v>
      </c>
      <c r="N1746" s="12" t="s">
        <v>803</v>
      </c>
      <c r="O1746" s="13" t="s">
        <v>5143</v>
      </c>
      <c r="P1746" s="17" t="s">
        <v>802</v>
      </c>
      <c r="Q1746" s="21" t="s">
        <v>8057</v>
      </c>
      <c r="R1746" s="17" t="s">
        <v>801</v>
      </c>
      <c r="S1746" s="18" t="s">
        <v>2638</v>
      </c>
      <c r="T1746" s="17" t="s">
        <v>800</v>
      </c>
      <c r="U1746" s="18" t="s">
        <v>5254</v>
      </c>
      <c r="V1746" s="17" t="s">
        <v>9418</v>
      </c>
      <c r="W1746" s="18" t="s">
        <v>5312</v>
      </c>
      <c r="X1746" s="69" t="s">
        <v>9453</v>
      </c>
      <c r="Y1746" s="70" t="s">
        <v>9465</v>
      </c>
      <c r="Z1746" s="73" t="s">
        <v>9486</v>
      </c>
      <c r="AA1746" s="74" t="s">
        <v>9504</v>
      </c>
      <c r="AB1746" s="73" t="s">
        <v>9486</v>
      </c>
      <c r="AC1746" s="74" t="s">
        <v>9566</v>
      </c>
      <c r="AD1746" s="73" t="s">
        <v>9578</v>
      </c>
      <c r="AE1746" s="74" t="s">
        <v>9579</v>
      </c>
    </row>
    <row r="1747" spans="1:31" ht="8.65" customHeight="1" x14ac:dyDescent="0.2">
      <c r="A1747" s="76">
        <v>1747</v>
      </c>
      <c r="B1747" s="67" t="str">
        <f>MID(C1747, FIND("Ifc.", C1747) + 4, 4) &amp; "_" &amp; TEXT(COUNTIF($C$2:C1747, C1747),"0000")</f>
        <v>Prop_1746</v>
      </c>
      <c r="C1747" s="24" t="s">
        <v>872</v>
      </c>
      <c r="D1747" s="69" t="s">
        <v>9453</v>
      </c>
      <c r="E1747" s="70" t="s">
        <v>9454</v>
      </c>
      <c r="F1747" s="17" t="s">
        <v>806</v>
      </c>
      <c r="G1747" s="22" t="s">
        <v>2259</v>
      </c>
      <c r="H1747" s="12" t="s">
        <v>9703</v>
      </c>
      <c r="I1747" s="13" t="s">
        <v>7588</v>
      </c>
      <c r="J1747" s="14" t="s">
        <v>798</v>
      </c>
      <c r="K1747" s="15" t="s">
        <v>798</v>
      </c>
      <c r="L1747" s="12" t="s">
        <v>5315</v>
      </c>
      <c r="M1747" s="13" t="s">
        <v>5533</v>
      </c>
      <c r="N1747" s="12" t="s">
        <v>803</v>
      </c>
      <c r="O1747" s="13" t="s">
        <v>5148</v>
      </c>
      <c r="P1747" s="17" t="s">
        <v>802</v>
      </c>
      <c r="Q1747" s="21" t="s">
        <v>8058</v>
      </c>
      <c r="R1747" s="17" t="s">
        <v>801</v>
      </c>
      <c r="S1747" s="18" t="s">
        <v>2608</v>
      </c>
      <c r="T1747" s="17" t="s">
        <v>800</v>
      </c>
      <c r="U1747" s="18" t="s">
        <v>5252</v>
      </c>
      <c r="V1747" s="17" t="s">
        <v>9418</v>
      </c>
      <c r="W1747" s="18" t="s">
        <v>5312</v>
      </c>
      <c r="X1747" s="69" t="s">
        <v>9453</v>
      </c>
      <c r="Y1747" s="70" t="s">
        <v>9465</v>
      </c>
      <c r="Z1747" s="73" t="s">
        <v>9486</v>
      </c>
      <c r="AA1747" s="74" t="s">
        <v>9504</v>
      </c>
      <c r="AB1747" s="73" t="s">
        <v>9486</v>
      </c>
      <c r="AC1747" s="74" t="s">
        <v>9566</v>
      </c>
      <c r="AD1747" s="73" t="s">
        <v>9578</v>
      </c>
      <c r="AE1747" s="74" t="s">
        <v>9579</v>
      </c>
    </row>
    <row r="1748" spans="1:31" ht="8.65" customHeight="1" x14ac:dyDescent="0.2">
      <c r="A1748" s="76">
        <v>1748</v>
      </c>
      <c r="B1748" s="67" t="str">
        <f>MID(C1748, FIND("Ifc.", C1748) + 4, 4) &amp; "_" &amp; TEXT(COUNTIF($C$2:C1748, C1748),"0000")</f>
        <v>Prop_1747</v>
      </c>
      <c r="C1748" s="24" t="s">
        <v>872</v>
      </c>
      <c r="D1748" s="69" t="s">
        <v>9453</v>
      </c>
      <c r="E1748" s="70" t="s">
        <v>9454</v>
      </c>
      <c r="F1748" s="17" t="s">
        <v>806</v>
      </c>
      <c r="G1748" s="22" t="s">
        <v>2261</v>
      </c>
      <c r="H1748" s="12" t="s">
        <v>9703</v>
      </c>
      <c r="I1748" s="13" t="s">
        <v>7591</v>
      </c>
      <c r="J1748" s="14" t="s">
        <v>798</v>
      </c>
      <c r="K1748" s="15" t="s">
        <v>798</v>
      </c>
      <c r="L1748" s="12" t="s">
        <v>5315</v>
      </c>
      <c r="M1748" s="13" t="s">
        <v>5534</v>
      </c>
      <c r="N1748" s="12" t="s">
        <v>803</v>
      </c>
      <c r="O1748" s="13" t="s">
        <v>5149</v>
      </c>
      <c r="P1748" s="17" t="s">
        <v>802</v>
      </c>
      <c r="Q1748" s="21" t="s">
        <v>8059</v>
      </c>
      <c r="R1748" s="17" t="s">
        <v>801</v>
      </c>
      <c r="S1748" s="18" t="s">
        <v>2625</v>
      </c>
      <c r="T1748" s="17" t="s">
        <v>800</v>
      </c>
      <c r="U1748" s="18" t="s">
        <v>5240</v>
      </c>
      <c r="V1748" s="17" t="s">
        <v>9418</v>
      </c>
      <c r="W1748" s="18" t="s">
        <v>5312</v>
      </c>
      <c r="X1748" s="69" t="s">
        <v>9453</v>
      </c>
      <c r="Y1748" s="70" t="s">
        <v>9465</v>
      </c>
      <c r="Z1748" s="73" t="s">
        <v>9486</v>
      </c>
      <c r="AA1748" s="74" t="s">
        <v>9504</v>
      </c>
      <c r="AB1748" s="73" t="s">
        <v>9486</v>
      </c>
      <c r="AC1748" s="74" t="s">
        <v>9566</v>
      </c>
      <c r="AD1748" s="73" t="s">
        <v>9578</v>
      </c>
      <c r="AE1748" s="74" t="s">
        <v>9579</v>
      </c>
    </row>
    <row r="1749" spans="1:31" ht="8.65" customHeight="1" x14ac:dyDescent="0.2">
      <c r="A1749" s="76">
        <v>1749</v>
      </c>
      <c r="B1749" s="67" t="str">
        <f>MID(C1749, FIND("Ifc.", C1749) + 4, 4) &amp; "_" &amp; TEXT(COUNTIF($C$2:C1749, C1749),"0000")</f>
        <v>Prop_1748</v>
      </c>
      <c r="C1749" s="24" t="s">
        <v>872</v>
      </c>
      <c r="D1749" s="69" t="s">
        <v>9453</v>
      </c>
      <c r="E1749" s="70" t="s">
        <v>9454</v>
      </c>
      <c r="F1749" s="17" t="s">
        <v>806</v>
      </c>
      <c r="G1749" s="22" t="s">
        <v>2262</v>
      </c>
      <c r="H1749" s="12" t="s">
        <v>9703</v>
      </c>
      <c r="I1749" s="13" t="s">
        <v>7589</v>
      </c>
      <c r="J1749" s="14" t="s">
        <v>798</v>
      </c>
      <c r="K1749" s="15" t="s">
        <v>798</v>
      </c>
      <c r="L1749" s="12" t="s">
        <v>5315</v>
      </c>
      <c r="M1749" s="13" t="s">
        <v>5535</v>
      </c>
      <c r="N1749" s="12" t="s">
        <v>803</v>
      </c>
      <c r="O1749" s="13" t="s">
        <v>5150</v>
      </c>
      <c r="P1749" s="17" t="s">
        <v>802</v>
      </c>
      <c r="Q1749" s="21" t="s">
        <v>8060</v>
      </c>
      <c r="R1749" s="17" t="s">
        <v>801</v>
      </c>
      <c r="S1749" s="18" t="s">
        <v>2585</v>
      </c>
      <c r="T1749" s="17" t="s">
        <v>800</v>
      </c>
      <c r="U1749" s="18" t="s">
        <v>5238</v>
      </c>
      <c r="V1749" s="17" t="s">
        <v>9418</v>
      </c>
      <c r="W1749" s="18" t="s">
        <v>5312</v>
      </c>
      <c r="X1749" s="69" t="s">
        <v>9453</v>
      </c>
      <c r="Y1749" s="70" t="s">
        <v>9465</v>
      </c>
      <c r="Z1749" s="73" t="s">
        <v>9486</v>
      </c>
      <c r="AA1749" s="74" t="s">
        <v>9504</v>
      </c>
      <c r="AB1749" s="73" t="s">
        <v>9486</v>
      </c>
      <c r="AC1749" s="74" t="s">
        <v>9566</v>
      </c>
      <c r="AD1749" s="73" t="s">
        <v>9578</v>
      </c>
      <c r="AE1749" s="74" t="s">
        <v>9579</v>
      </c>
    </row>
    <row r="1750" spans="1:31" ht="8.65" customHeight="1" x14ac:dyDescent="0.2">
      <c r="A1750" s="76">
        <v>1750</v>
      </c>
      <c r="B1750" s="67" t="str">
        <f>MID(C1750, FIND("Ifc.", C1750) + 4, 4) &amp; "_" &amp; TEXT(COUNTIF($C$2:C1750, C1750),"0000")</f>
        <v>Prop_1749</v>
      </c>
      <c r="C1750" s="24" t="s">
        <v>872</v>
      </c>
      <c r="D1750" s="69" t="s">
        <v>9453</v>
      </c>
      <c r="E1750" s="70" t="s">
        <v>9454</v>
      </c>
      <c r="F1750" s="17" t="s">
        <v>806</v>
      </c>
      <c r="G1750" s="22" t="s">
        <v>2263</v>
      </c>
      <c r="H1750" s="12" t="s">
        <v>9703</v>
      </c>
      <c r="I1750" s="13" t="s">
        <v>7592</v>
      </c>
      <c r="J1750" s="14" t="s">
        <v>798</v>
      </c>
      <c r="K1750" s="15" t="s">
        <v>798</v>
      </c>
      <c r="L1750" s="12" t="s">
        <v>5315</v>
      </c>
      <c r="M1750" s="13" t="s">
        <v>5536</v>
      </c>
      <c r="N1750" s="12" t="s">
        <v>803</v>
      </c>
      <c r="O1750" s="13" t="s">
        <v>5151</v>
      </c>
      <c r="P1750" s="17" t="s">
        <v>802</v>
      </c>
      <c r="Q1750" s="21" t="s">
        <v>8061</v>
      </c>
      <c r="R1750" s="17" t="s">
        <v>801</v>
      </c>
      <c r="S1750" s="18" t="s">
        <v>2656</v>
      </c>
      <c r="T1750" s="17" t="s">
        <v>800</v>
      </c>
      <c r="U1750" s="18" t="s">
        <v>5241</v>
      </c>
      <c r="V1750" s="17" t="s">
        <v>9418</v>
      </c>
      <c r="W1750" s="18" t="s">
        <v>5312</v>
      </c>
      <c r="X1750" s="69" t="s">
        <v>9453</v>
      </c>
      <c r="Y1750" s="70" t="s">
        <v>9465</v>
      </c>
      <c r="Z1750" s="73" t="s">
        <v>9486</v>
      </c>
      <c r="AA1750" s="74" t="s">
        <v>9504</v>
      </c>
      <c r="AB1750" s="73" t="s">
        <v>9486</v>
      </c>
      <c r="AC1750" s="74" t="s">
        <v>9566</v>
      </c>
      <c r="AD1750" s="73" t="s">
        <v>9578</v>
      </c>
      <c r="AE1750" s="74" t="s">
        <v>9579</v>
      </c>
    </row>
    <row r="1751" spans="1:31" ht="8.65" customHeight="1" x14ac:dyDescent="0.2">
      <c r="A1751" s="76">
        <v>1751</v>
      </c>
      <c r="B1751" s="67" t="str">
        <f>MID(C1751, FIND("Ifc.", C1751) + 4, 4) &amp; "_" &amp; TEXT(COUNTIF($C$2:C1751, C1751),"0000")</f>
        <v>Prop_1750</v>
      </c>
      <c r="C1751" s="24" t="s">
        <v>872</v>
      </c>
      <c r="D1751" s="69" t="s">
        <v>9453</v>
      </c>
      <c r="E1751" s="70" t="s">
        <v>9454</v>
      </c>
      <c r="F1751" s="17" t="s">
        <v>806</v>
      </c>
      <c r="G1751" s="22" t="s">
        <v>2264</v>
      </c>
      <c r="H1751" s="12" t="s">
        <v>9703</v>
      </c>
      <c r="I1751" s="13" t="s">
        <v>7593</v>
      </c>
      <c r="J1751" s="14" t="s">
        <v>798</v>
      </c>
      <c r="K1751" s="15" t="s">
        <v>798</v>
      </c>
      <c r="L1751" s="12" t="s">
        <v>5315</v>
      </c>
      <c r="M1751" s="13" t="s">
        <v>5537</v>
      </c>
      <c r="N1751" s="12" t="s">
        <v>803</v>
      </c>
      <c r="O1751" s="13" t="s">
        <v>5152</v>
      </c>
      <c r="P1751" s="17" t="s">
        <v>802</v>
      </c>
      <c r="Q1751" s="21" t="s">
        <v>7948</v>
      </c>
      <c r="R1751" s="17" t="s">
        <v>801</v>
      </c>
      <c r="S1751" s="18" t="s">
        <v>2621</v>
      </c>
      <c r="T1751" s="17" t="s">
        <v>800</v>
      </c>
      <c r="U1751" s="18" t="s">
        <v>5260</v>
      </c>
      <c r="V1751" s="17" t="s">
        <v>9418</v>
      </c>
      <c r="W1751" s="18" t="s">
        <v>5312</v>
      </c>
      <c r="X1751" s="69" t="s">
        <v>9453</v>
      </c>
      <c r="Y1751" s="70" t="s">
        <v>9465</v>
      </c>
      <c r="Z1751" s="73" t="s">
        <v>9486</v>
      </c>
      <c r="AA1751" s="74" t="s">
        <v>9504</v>
      </c>
      <c r="AB1751" s="73" t="s">
        <v>9486</v>
      </c>
      <c r="AC1751" s="74" t="s">
        <v>9566</v>
      </c>
      <c r="AD1751" s="73" t="s">
        <v>9578</v>
      </c>
      <c r="AE1751" s="74" t="s">
        <v>9579</v>
      </c>
    </row>
    <row r="1752" spans="1:31" ht="8.65" customHeight="1" x14ac:dyDescent="0.2">
      <c r="A1752" s="76">
        <v>1752</v>
      </c>
      <c r="B1752" s="67" t="str">
        <f>MID(C1752, FIND("Ifc.", C1752) + 4, 4) &amp; "_" &amp; TEXT(COUNTIF($C$2:C1752, C1752),"0000")</f>
        <v>Prop_1751</v>
      </c>
      <c r="C1752" s="24" t="s">
        <v>872</v>
      </c>
      <c r="D1752" s="69" t="s">
        <v>9453</v>
      </c>
      <c r="E1752" s="70" t="s">
        <v>9454</v>
      </c>
      <c r="F1752" s="17" t="s">
        <v>806</v>
      </c>
      <c r="G1752" s="22" t="s">
        <v>2266</v>
      </c>
      <c r="H1752" s="12" t="s">
        <v>9703</v>
      </c>
      <c r="I1752" s="13" t="s">
        <v>7594</v>
      </c>
      <c r="J1752" s="14" t="s">
        <v>798</v>
      </c>
      <c r="K1752" s="15" t="s">
        <v>798</v>
      </c>
      <c r="L1752" s="12" t="s">
        <v>5315</v>
      </c>
      <c r="M1752" s="13" t="s">
        <v>5538</v>
      </c>
      <c r="N1752" s="12" t="s">
        <v>803</v>
      </c>
      <c r="O1752" s="13" t="s">
        <v>5153</v>
      </c>
      <c r="P1752" s="17" t="s">
        <v>802</v>
      </c>
      <c r="Q1752" s="21" t="s">
        <v>8062</v>
      </c>
      <c r="R1752" s="17" t="s">
        <v>801</v>
      </c>
      <c r="S1752" s="18" t="s">
        <v>2619</v>
      </c>
      <c r="T1752" s="17" t="s">
        <v>800</v>
      </c>
      <c r="U1752" s="18" t="s">
        <v>5239</v>
      </c>
      <c r="V1752" s="17" t="s">
        <v>9418</v>
      </c>
      <c r="W1752" s="18" t="s">
        <v>5312</v>
      </c>
      <c r="X1752" s="69" t="s">
        <v>9453</v>
      </c>
      <c r="Y1752" s="70" t="s">
        <v>9465</v>
      </c>
      <c r="Z1752" s="73" t="s">
        <v>9486</v>
      </c>
      <c r="AA1752" s="74" t="s">
        <v>9504</v>
      </c>
      <c r="AB1752" s="73" t="s">
        <v>9486</v>
      </c>
      <c r="AC1752" s="74" t="s">
        <v>9566</v>
      </c>
      <c r="AD1752" s="73" t="s">
        <v>9578</v>
      </c>
      <c r="AE1752" s="74" t="s">
        <v>9579</v>
      </c>
    </row>
    <row r="1753" spans="1:31" ht="8.65" customHeight="1" x14ac:dyDescent="0.2">
      <c r="A1753" s="76">
        <v>1753</v>
      </c>
      <c r="B1753" s="67" t="str">
        <f>MID(C1753, FIND("Ifc.", C1753) + 4, 4) &amp; "_" &amp; TEXT(COUNTIF($C$2:C1753, C1753),"0000")</f>
        <v>Prop_1752</v>
      </c>
      <c r="C1753" s="24" t="s">
        <v>872</v>
      </c>
      <c r="D1753" s="69" t="s">
        <v>9453</v>
      </c>
      <c r="E1753" s="70" t="s">
        <v>9454</v>
      </c>
      <c r="F1753" s="17" t="s">
        <v>806</v>
      </c>
      <c r="G1753" s="22" t="s">
        <v>2267</v>
      </c>
      <c r="H1753" s="12" t="s">
        <v>9703</v>
      </c>
      <c r="I1753" s="13" t="s">
        <v>7595</v>
      </c>
      <c r="J1753" s="14" t="s">
        <v>798</v>
      </c>
      <c r="K1753" s="15" t="s">
        <v>798</v>
      </c>
      <c r="L1753" s="12" t="s">
        <v>5315</v>
      </c>
      <c r="M1753" s="13" t="s">
        <v>5539</v>
      </c>
      <c r="N1753" s="12" t="s">
        <v>803</v>
      </c>
      <c r="O1753" s="13" t="s">
        <v>5154</v>
      </c>
      <c r="P1753" s="17" t="s">
        <v>802</v>
      </c>
      <c r="Q1753" s="21" t="s">
        <v>8063</v>
      </c>
      <c r="R1753" s="17" t="s">
        <v>801</v>
      </c>
      <c r="S1753" s="18" t="s">
        <v>2579</v>
      </c>
      <c r="T1753" s="17" t="s">
        <v>800</v>
      </c>
      <c r="U1753" s="18" t="s">
        <v>5304</v>
      </c>
      <c r="V1753" s="17" t="s">
        <v>9418</v>
      </c>
      <c r="W1753" s="18" t="s">
        <v>5312</v>
      </c>
      <c r="X1753" s="69" t="s">
        <v>9453</v>
      </c>
      <c r="Y1753" s="70" t="s">
        <v>9465</v>
      </c>
      <c r="Z1753" s="73" t="s">
        <v>9486</v>
      </c>
      <c r="AA1753" s="74" t="s">
        <v>9504</v>
      </c>
      <c r="AB1753" s="73" t="s">
        <v>9486</v>
      </c>
      <c r="AC1753" s="74" t="s">
        <v>9566</v>
      </c>
      <c r="AD1753" s="73" t="s">
        <v>9578</v>
      </c>
      <c r="AE1753" s="74" t="s">
        <v>9579</v>
      </c>
    </row>
    <row r="1754" spans="1:31" ht="8.65" customHeight="1" x14ac:dyDescent="0.2">
      <c r="A1754" s="76">
        <v>1754</v>
      </c>
      <c r="B1754" s="67" t="str">
        <f>MID(C1754, FIND("Ifc.", C1754) + 4, 4) &amp; "_" &amp; TEXT(COUNTIF($C$2:C1754, C1754),"0000")</f>
        <v>Prop_1753</v>
      </c>
      <c r="C1754" s="24" t="s">
        <v>872</v>
      </c>
      <c r="D1754" s="69" t="s">
        <v>9453</v>
      </c>
      <c r="E1754" s="70" t="s">
        <v>9454</v>
      </c>
      <c r="F1754" s="17" t="s">
        <v>806</v>
      </c>
      <c r="G1754" s="22" t="s">
        <v>2268</v>
      </c>
      <c r="H1754" s="12" t="s">
        <v>9703</v>
      </c>
      <c r="I1754" s="13" t="s">
        <v>7596</v>
      </c>
      <c r="J1754" s="14" t="s">
        <v>798</v>
      </c>
      <c r="K1754" s="15" t="s">
        <v>798</v>
      </c>
      <c r="L1754" s="12" t="s">
        <v>5315</v>
      </c>
      <c r="M1754" s="13" t="s">
        <v>5540</v>
      </c>
      <c r="N1754" s="12" t="s">
        <v>803</v>
      </c>
      <c r="O1754" s="13" t="s">
        <v>5155</v>
      </c>
      <c r="P1754" s="17" t="s">
        <v>802</v>
      </c>
      <c r="Q1754" s="21" t="s">
        <v>8064</v>
      </c>
      <c r="R1754" s="17" t="s">
        <v>801</v>
      </c>
      <c r="S1754" s="18" t="s">
        <v>2622</v>
      </c>
      <c r="T1754" s="17" t="s">
        <v>800</v>
      </c>
      <c r="U1754" s="18" t="s">
        <v>5305</v>
      </c>
      <c r="V1754" s="17" t="s">
        <v>9418</v>
      </c>
      <c r="W1754" s="18" t="s">
        <v>5312</v>
      </c>
      <c r="X1754" s="69" t="s">
        <v>9453</v>
      </c>
      <c r="Y1754" s="70" t="s">
        <v>9465</v>
      </c>
      <c r="Z1754" s="73" t="s">
        <v>9486</v>
      </c>
      <c r="AA1754" s="74" t="s">
        <v>9504</v>
      </c>
      <c r="AB1754" s="73" t="s">
        <v>9486</v>
      </c>
      <c r="AC1754" s="74" t="s">
        <v>9566</v>
      </c>
      <c r="AD1754" s="73" t="s">
        <v>9578</v>
      </c>
      <c r="AE1754" s="74" t="s">
        <v>9579</v>
      </c>
    </row>
    <row r="1755" spans="1:31" ht="8.65" customHeight="1" x14ac:dyDescent="0.2">
      <c r="A1755" s="76">
        <v>1755</v>
      </c>
      <c r="B1755" s="67" t="str">
        <f>MID(C1755, FIND("Ifc.", C1755) + 4, 4) &amp; "_" &amp; TEXT(COUNTIF($C$2:C1755, C1755),"0000")</f>
        <v>Prop_1754</v>
      </c>
      <c r="C1755" s="24" t="s">
        <v>872</v>
      </c>
      <c r="D1755" s="69" t="s">
        <v>9453</v>
      </c>
      <c r="E1755" s="70" t="s">
        <v>9454</v>
      </c>
      <c r="F1755" s="17" t="s">
        <v>806</v>
      </c>
      <c r="G1755" s="22" t="s">
        <v>2247</v>
      </c>
      <c r="H1755" s="12" t="s">
        <v>9703</v>
      </c>
      <c r="I1755" s="13" t="s">
        <v>7598</v>
      </c>
      <c r="J1755" s="14" t="s">
        <v>798</v>
      </c>
      <c r="K1755" s="15" t="s">
        <v>798</v>
      </c>
      <c r="L1755" s="12" t="s">
        <v>5315</v>
      </c>
      <c r="M1755" s="13" t="s">
        <v>5523</v>
      </c>
      <c r="N1755" s="12" t="s">
        <v>803</v>
      </c>
      <c r="O1755" s="13" t="s">
        <v>5138</v>
      </c>
      <c r="P1755" s="17" t="s">
        <v>802</v>
      </c>
      <c r="Q1755" s="21" t="s">
        <v>7748</v>
      </c>
      <c r="R1755" s="17" t="s">
        <v>801</v>
      </c>
      <c r="S1755" s="18" t="s">
        <v>2631</v>
      </c>
      <c r="T1755" s="17" t="s">
        <v>800</v>
      </c>
      <c r="U1755" s="18" t="s">
        <v>5253</v>
      </c>
      <c r="V1755" s="17" t="s">
        <v>9418</v>
      </c>
      <c r="W1755" s="18" t="s">
        <v>5312</v>
      </c>
      <c r="X1755" s="69" t="s">
        <v>9453</v>
      </c>
      <c r="Y1755" s="70" t="s">
        <v>9465</v>
      </c>
      <c r="Z1755" s="73" t="s">
        <v>9486</v>
      </c>
      <c r="AA1755" s="74" t="s">
        <v>9504</v>
      </c>
      <c r="AB1755" s="73" t="s">
        <v>9486</v>
      </c>
      <c r="AC1755" s="74" t="s">
        <v>9566</v>
      </c>
      <c r="AD1755" s="73" t="s">
        <v>9578</v>
      </c>
      <c r="AE1755" s="74" t="s">
        <v>9579</v>
      </c>
    </row>
    <row r="1756" spans="1:31" ht="8.65" customHeight="1" x14ac:dyDescent="0.2">
      <c r="A1756" s="76">
        <v>1756</v>
      </c>
      <c r="B1756" s="67" t="str">
        <f>MID(C1756, FIND("Ifc.", C1756) + 4, 4) &amp; "_" &amp; TEXT(COUNTIF($C$2:C1756, C1756),"0000")</f>
        <v>Prop_1755</v>
      </c>
      <c r="C1756" s="24" t="s">
        <v>872</v>
      </c>
      <c r="D1756" s="69" t="s">
        <v>9453</v>
      </c>
      <c r="E1756" s="70" t="s">
        <v>9454</v>
      </c>
      <c r="F1756" s="17" t="s">
        <v>806</v>
      </c>
      <c r="G1756" s="22" t="s">
        <v>2247</v>
      </c>
      <c r="H1756" s="12" t="s">
        <v>9703</v>
      </c>
      <c r="I1756" s="13" t="s">
        <v>7598</v>
      </c>
      <c r="J1756" s="14" t="s">
        <v>798</v>
      </c>
      <c r="K1756" s="15" t="s">
        <v>798</v>
      </c>
      <c r="L1756" s="12" t="s">
        <v>5315</v>
      </c>
      <c r="M1756" s="13" t="s">
        <v>5541</v>
      </c>
      <c r="N1756" s="12" t="s">
        <v>803</v>
      </c>
      <c r="O1756" s="13" t="s">
        <v>5156</v>
      </c>
      <c r="P1756" s="17" t="s">
        <v>802</v>
      </c>
      <c r="Q1756" s="21" t="s">
        <v>8065</v>
      </c>
      <c r="R1756" s="17" t="s">
        <v>801</v>
      </c>
      <c r="S1756" s="18" t="s">
        <v>2631</v>
      </c>
      <c r="T1756" s="17" t="s">
        <v>800</v>
      </c>
      <c r="U1756" s="18" t="s">
        <v>5253</v>
      </c>
      <c r="V1756" s="17" t="s">
        <v>9418</v>
      </c>
      <c r="W1756" s="18" t="s">
        <v>5312</v>
      </c>
      <c r="X1756" s="69" t="s">
        <v>9453</v>
      </c>
      <c r="Y1756" s="70" t="s">
        <v>9465</v>
      </c>
      <c r="Z1756" s="73" t="s">
        <v>9486</v>
      </c>
      <c r="AA1756" s="74" t="s">
        <v>9504</v>
      </c>
      <c r="AB1756" s="73" t="s">
        <v>9486</v>
      </c>
      <c r="AC1756" s="74" t="s">
        <v>9566</v>
      </c>
      <c r="AD1756" s="73" t="s">
        <v>9578</v>
      </c>
      <c r="AE1756" s="74" t="s">
        <v>9579</v>
      </c>
    </row>
    <row r="1757" spans="1:31" ht="8.65" customHeight="1" x14ac:dyDescent="0.2">
      <c r="A1757" s="76">
        <v>1757</v>
      </c>
      <c r="B1757" s="67" t="str">
        <f>MID(C1757, FIND("Ifc.", C1757) + 4, 4) &amp; "_" &amp; TEXT(COUNTIF($C$2:C1757, C1757),"0000")</f>
        <v>Prop_1756</v>
      </c>
      <c r="C1757" s="24" t="s">
        <v>872</v>
      </c>
      <c r="D1757" s="69" t="s">
        <v>9453</v>
      </c>
      <c r="E1757" s="70" t="s">
        <v>9454</v>
      </c>
      <c r="F1757" s="17" t="s">
        <v>806</v>
      </c>
      <c r="G1757" s="22" t="s">
        <v>2271</v>
      </c>
      <c r="H1757" s="12" t="s">
        <v>9703</v>
      </c>
      <c r="I1757" s="13" t="s">
        <v>7590</v>
      </c>
      <c r="J1757" s="14" t="s">
        <v>798</v>
      </c>
      <c r="K1757" s="15" t="s">
        <v>798</v>
      </c>
      <c r="L1757" s="12" t="s">
        <v>5315</v>
      </c>
      <c r="M1757" s="13" t="s">
        <v>5542</v>
      </c>
      <c r="N1757" s="12" t="s">
        <v>803</v>
      </c>
      <c r="O1757" s="13" t="s">
        <v>5158</v>
      </c>
      <c r="P1757" s="17" t="s">
        <v>802</v>
      </c>
      <c r="Q1757" s="21" t="s">
        <v>8066</v>
      </c>
      <c r="R1757" s="17" t="s">
        <v>801</v>
      </c>
      <c r="S1757" s="18" t="s">
        <v>2625</v>
      </c>
      <c r="T1757" s="17" t="s">
        <v>800</v>
      </c>
      <c r="U1757" s="18" t="s">
        <v>5240</v>
      </c>
      <c r="V1757" s="17" t="s">
        <v>9418</v>
      </c>
      <c r="W1757" s="18" t="s">
        <v>5312</v>
      </c>
      <c r="X1757" s="69" t="s">
        <v>9453</v>
      </c>
      <c r="Y1757" s="70" t="s">
        <v>9465</v>
      </c>
      <c r="Z1757" s="73" t="s">
        <v>9486</v>
      </c>
      <c r="AA1757" s="74" t="s">
        <v>9504</v>
      </c>
      <c r="AB1757" s="73" t="s">
        <v>9486</v>
      </c>
      <c r="AC1757" s="74" t="s">
        <v>9566</v>
      </c>
      <c r="AD1757" s="73" t="s">
        <v>9578</v>
      </c>
      <c r="AE1757" s="74" t="s">
        <v>9579</v>
      </c>
    </row>
    <row r="1758" spans="1:31" ht="8.65" customHeight="1" x14ac:dyDescent="0.2">
      <c r="A1758" s="76">
        <v>1758</v>
      </c>
      <c r="B1758" s="67" t="str">
        <f>MID(C1758, FIND("Ifc.", C1758) + 4, 4) &amp; "_" &amp; TEXT(COUNTIF($C$2:C1758, C1758),"0000")</f>
        <v>Prop_1757</v>
      </c>
      <c r="C1758" s="24" t="s">
        <v>872</v>
      </c>
      <c r="D1758" s="69" t="s">
        <v>9453</v>
      </c>
      <c r="E1758" s="70" t="s">
        <v>9454</v>
      </c>
      <c r="F1758" s="17" t="s">
        <v>806</v>
      </c>
      <c r="G1758" s="22" t="s">
        <v>2270</v>
      </c>
      <c r="H1758" s="12" t="s">
        <v>9703</v>
      </c>
      <c r="I1758" s="13" t="s">
        <v>7586</v>
      </c>
      <c r="J1758" s="14" t="s">
        <v>798</v>
      </c>
      <c r="K1758" s="15" t="s">
        <v>798</v>
      </c>
      <c r="L1758" s="12" t="s">
        <v>5315</v>
      </c>
      <c r="M1758" s="13" t="s">
        <v>5542</v>
      </c>
      <c r="N1758" s="12" t="s">
        <v>803</v>
      </c>
      <c r="O1758" s="13" t="s">
        <v>5157</v>
      </c>
      <c r="P1758" s="17" t="s">
        <v>802</v>
      </c>
      <c r="Q1758" s="21" t="s">
        <v>8067</v>
      </c>
      <c r="R1758" s="17" t="s">
        <v>801</v>
      </c>
      <c r="S1758" s="18" t="s">
        <v>2625</v>
      </c>
      <c r="T1758" s="17" t="s">
        <v>800</v>
      </c>
      <c r="U1758" s="18" t="s">
        <v>5240</v>
      </c>
      <c r="V1758" s="17" t="s">
        <v>9418</v>
      </c>
      <c r="W1758" s="18" t="s">
        <v>5312</v>
      </c>
      <c r="X1758" s="69" t="s">
        <v>9453</v>
      </c>
      <c r="Y1758" s="70" t="s">
        <v>9465</v>
      </c>
      <c r="Z1758" s="73" t="s">
        <v>9486</v>
      </c>
      <c r="AA1758" s="74" t="s">
        <v>9504</v>
      </c>
      <c r="AB1758" s="73" t="s">
        <v>9486</v>
      </c>
      <c r="AC1758" s="74" t="s">
        <v>9566</v>
      </c>
      <c r="AD1758" s="73" t="s">
        <v>9578</v>
      </c>
      <c r="AE1758" s="74" t="s">
        <v>9579</v>
      </c>
    </row>
    <row r="1759" spans="1:31" ht="8.65" customHeight="1" x14ac:dyDescent="0.2">
      <c r="A1759" s="76">
        <v>1759</v>
      </c>
      <c r="B1759" s="67" t="str">
        <f>MID(C1759, FIND("Ifc.", C1759) + 4, 4) &amp; "_" &amp; TEXT(COUNTIF($C$2:C1759, C1759),"0000")</f>
        <v>Prop_1758</v>
      </c>
      <c r="C1759" s="24" t="s">
        <v>872</v>
      </c>
      <c r="D1759" s="69" t="s">
        <v>9453</v>
      </c>
      <c r="E1759" s="70" t="s">
        <v>9454</v>
      </c>
      <c r="F1759" s="17" t="s">
        <v>806</v>
      </c>
      <c r="G1759" s="22" t="s">
        <v>2273</v>
      </c>
      <c r="H1759" s="12" t="s">
        <v>9703</v>
      </c>
      <c r="I1759" s="13" t="s">
        <v>7597</v>
      </c>
      <c r="J1759" s="14" t="s">
        <v>798</v>
      </c>
      <c r="K1759" s="15" t="s">
        <v>798</v>
      </c>
      <c r="L1759" s="12" t="s">
        <v>5315</v>
      </c>
      <c r="M1759" s="13" t="s">
        <v>5543</v>
      </c>
      <c r="N1759" s="12" t="s">
        <v>803</v>
      </c>
      <c r="O1759" s="13" t="s">
        <v>5159</v>
      </c>
      <c r="P1759" s="17" t="s">
        <v>802</v>
      </c>
      <c r="Q1759" s="21" t="s">
        <v>8068</v>
      </c>
      <c r="R1759" s="17" t="s">
        <v>801</v>
      </c>
      <c r="S1759" s="18" t="s">
        <v>2640</v>
      </c>
      <c r="T1759" s="17" t="s">
        <v>800</v>
      </c>
      <c r="U1759" s="18" t="s">
        <v>5273</v>
      </c>
      <c r="V1759" s="17" t="s">
        <v>9418</v>
      </c>
      <c r="W1759" s="18" t="s">
        <v>5309</v>
      </c>
      <c r="X1759" s="69" t="s">
        <v>9453</v>
      </c>
      <c r="Y1759" s="70" t="s">
        <v>9462</v>
      </c>
      <c r="Z1759" s="73" t="s">
        <v>9486</v>
      </c>
      <c r="AA1759" s="74" t="s">
        <v>9504</v>
      </c>
      <c r="AB1759" s="73" t="s">
        <v>9486</v>
      </c>
      <c r="AC1759" s="74" t="s">
        <v>9566</v>
      </c>
      <c r="AD1759" s="73" t="s">
        <v>9578</v>
      </c>
      <c r="AE1759" s="74" t="s">
        <v>9579</v>
      </c>
    </row>
    <row r="1760" spans="1:31" ht="8.65" customHeight="1" x14ac:dyDescent="0.2">
      <c r="A1760" s="76">
        <v>1760</v>
      </c>
      <c r="B1760" s="67" t="str">
        <f>MID(C1760, FIND("Ifc.", C1760) + 4, 4) &amp; "_" &amp; TEXT(COUNTIF($C$2:C1760, C1760),"0000")</f>
        <v>Prop_1759</v>
      </c>
      <c r="C1760" s="24" t="s">
        <v>872</v>
      </c>
      <c r="D1760" s="69" t="s">
        <v>9453</v>
      </c>
      <c r="E1760" s="70" t="s">
        <v>9454</v>
      </c>
      <c r="F1760" s="17" t="s">
        <v>806</v>
      </c>
      <c r="G1760" s="22" t="s">
        <v>1271</v>
      </c>
      <c r="H1760" s="12" t="s">
        <v>9703</v>
      </c>
      <c r="I1760" s="13" t="s">
        <v>7580</v>
      </c>
      <c r="J1760" s="14" t="s">
        <v>798</v>
      </c>
      <c r="K1760" s="15" t="s">
        <v>798</v>
      </c>
      <c r="L1760" s="12" t="s">
        <v>5315</v>
      </c>
      <c r="M1760" s="13" t="s">
        <v>5404</v>
      </c>
      <c r="N1760" s="12" t="s">
        <v>803</v>
      </c>
      <c r="O1760" s="13" t="s">
        <v>4892</v>
      </c>
      <c r="P1760" s="17" t="s">
        <v>802</v>
      </c>
      <c r="Q1760" s="21" t="s">
        <v>7965</v>
      </c>
      <c r="R1760" s="17" t="s">
        <v>801</v>
      </c>
      <c r="S1760" s="18" t="s">
        <v>2565</v>
      </c>
      <c r="T1760" s="17" t="s">
        <v>800</v>
      </c>
      <c r="U1760" s="18" t="s">
        <v>5248</v>
      </c>
      <c r="V1760" s="17" t="s">
        <v>9418</v>
      </c>
      <c r="W1760" s="18" t="s">
        <v>5311</v>
      </c>
      <c r="X1760" s="69" t="s">
        <v>9453</v>
      </c>
      <c r="Y1760" s="70" t="s">
        <v>9466</v>
      </c>
      <c r="Z1760" s="73" t="s">
        <v>9486</v>
      </c>
      <c r="AA1760" s="74" t="s">
        <v>9504</v>
      </c>
      <c r="AB1760" s="73" t="s">
        <v>9486</v>
      </c>
      <c r="AC1760" s="74" t="s">
        <v>9562</v>
      </c>
      <c r="AD1760" s="73" t="s">
        <v>9578</v>
      </c>
      <c r="AE1760" s="74" t="s">
        <v>9579</v>
      </c>
    </row>
    <row r="1761" spans="1:31" ht="8.65" customHeight="1" x14ac:dyDescent="0.2">
      <c r="A1761" s="76">
        <v>1761</v>
      </c>
      <c r="B1761" s="67" t="str">
        <f>MID(C1761, FIND("Ifc.", C1761) + 4, 4) &amp; "_" &amp; TEXT(COUNTIF($C$2:C1761, C1761),"0000")</f>
        <v>Prop_1760</v>
      </c>
      <c r="C1761" s="24" t="s">
        <v>872</v>
      </c>
      <c r="D1761" s="69" t="s">
        <v>9453</v>
      </c>
      <c r="E1761" s="70" t="s">
        <v>9454</v>
      </c>
      <c r="F1761" s="17" t="s">
        <v>806</v>
      </c>
      <c r="G1761" s="22" t="s">
        <v>1271</v>
      </c>
      <c r="H1761" s="12" t="s">
        <v>9703</v>
      </c>
      <c r="I1761" s="13" t="s">
        <v>7580</v>
      </c>
      <c r="J1761" s="14" t="s">
        <v>798</v>
      </c>
      <c r="K1761" s="15" t="s">
        <v>798</v>
      </c>
      <c r="L1761" s="12" t="s">
        <v>5315</v>
      </c>
      <c r="M1761" s="13" t="s">
        <v>5927</v>
      </c>
      <c r="N1761" s="12" t="s">
        <v>803</v>
      </c>
      <c r="O1761" s="13" t="s">
        <v>4995</v>
      </c>
      <c r="P1761" s="17" t="s">
        <v>802</v>
      </c>
      <c r="Q1761" s="21" t="s">
        <v>8069</v>
      </c>
      <c r="R1761" s="17" t="s">
        <v>801</v>
      </c>
      <c r="S1761" s="18" t="s">
        <v>3636</v>
      </c>
      <c r="T1761" s="17" t="s">
        <v>800</v>
      </c>
      <c r="U1761" s="18" t="s">
        <v>5257</v>
      </c>
      <c r="V1761" s="17" t="s">
        <v>9418</v>
      </c>
      <c r="W1761" s="18" t="s">
        <v>5314</v>
      </c>
      <c r="X1761" s="69" t="s">
        <v>9453</v>
      </c>
      <c r="Y1761" s="70" t="s">
        <v>9464</v>
      </c>
      <c r="Z1761" s="73" t="s">
        <v>9486</v>
      </c>
      <c r="AA1761" s="74" t="s">
        <v>9504</v>
      </c>
      <c r="AB1761" s="73" t="s">
        <v>9486</v>
      </c>
      <c r="AC1761" s="74" t="s">
        <v>9561</v>
      </c>
      <c r="AD1761" s="73" t="s">
        <v>9578</v>
      </c>
      <c r="AE1761" s="74" t="s">
        <v>9579</v>
      </c>
    </row>
    <row r="1762" spans="1:31" ht="8.65" customHeight="1" x14ac:dyDescent="0.2">
      <c r="A1762" s="76">
        <v>1762</v>
      </c>
      <c r="B1762" s="67" t="str">
        <f>MID(C1762, FIND("Ifc.", C1762) + 4, 4) &amp; "_" &amp; TEXT(COUNTIF($C$2:C1762, C1762),"0000")</f>
        <v>Prop_1761</v>
      </c>
      <c r="C1762" s="24" t="s">
        <v>872</v>
      </c>
      <c r="D1762" s="69" t="s">
        <v>9453</v>
      </c>
      <c r="E1762" s="70" t="s">
        <v>9454</v>
      </c>
      <c r="F1762" s="17" t="s">
        <v>806</v>
      </c>
      <c r="G1762" s="22" t="s">
        <v>1271</v>
      </c>
      <c r="H1762" s="12" t="s">
        <v>9703</v>
      </c>
      <c r="I1762" s="13" t="s">
        <v>7580</v>
      </c>
      <c r="J1762" s="14" t="s">
        <v>798</v>
      </c>
      <c r="K1762" s="15" t="s">
        <v>798</v>
      </c>
      <c r="L1762" s="12" t="s">
        <v>5315</v>
      </c>
      <c r="M1762" s="13" t="s">
        <v>5925</v>
      </c>
      <c r="N1762" s="12" t="s">
        <v>803</v>
      </c>
      <c r="O1762" s="13" t="s">
        <v>4985</v>
      </c>
      <c r="P1762" s="17" t="s">
        <v>802</v>
      </c>
      <c r="Q1762" s="21" t="s">
        <v>7991</v>
      </c>
      <c r="R1762" s="17" t="s">
        <v>801</v>
      </c>
      <c r="S1762" s="18" t="s">
        <v>3636</v>
      </c>
      <c r="T1762" s="17" t="s">
        <v>800</v>
      </c>
      <c r="U1762" s="18" t="s">
        <v>5257</v>
      </c>
      <c r="V1762" s="17" t="s">
        <v>9418</v>
      </c>
      <c r="W1762" s="18" t="s">
        <v>5314</v>
      </c>
      <c r="X1762" s="69" t="s">
        <v>9453</v>
      </c>
      <c r="Y1762" s="70" t="s">
        <v>9464</v>
      </c>
      <c r="Z1762" s="73" t="s">
        <v>9486</v>
      </c>
      <c r="AA1762" s="74" t="s">
        <v>9504</v>
      </c>
      <c r="AB1762" s="73" t="s">
        <v>9486</v>
      </c>
      <c r="AC1762" s="74" t="s">
        <v>9561</v>
      </c>
      <c r="AD1762" s="73" t="s">
        <v>9578</v>
      </c>
      <c r="AE1762" s="74" t="s">
        <v>9579</v>
      </c>
    </row>
    <row r="1763" spans="1:31" ht="8.65" customHeight="1" x14ac:dyDescent="0.2">
      <c r="A1763" s="76">
        <v>1763</v>
      </c>
      <c r="B1763" s="67" t="str">
        <f>MID(C1763, FIND("Ifc.", C1763) + 4, 4) &amp; "_" &amp; TEXT(COUNTIF($C$2:C1763, C1763),"0000")</f>
        <v>Prop_1762</v>
      </c>
      <c r="C1763" s="24" t="s">
        <v>872</v>
      </c>
      <c r="D1763" s="69" t="s">
        <v>9453</v>
      </c>
      <c r="E1763" s="70" t="s">
        <v>9454</v>
      </c>
      <c r="F1763" s="17" t="s">
        <v>806</v>
      </c>
      <c r="G1763" s="22" t="s">
        <v>1186</v>
      </c>
      <c r="H1763" s="12" t="s">
        <v>9703</v>
      </c>
      <c r="I1763" s="13" t="s">
        <v>7538</v>
      </c>
      <c r="J1763" s="14" t="s">
        <v>798</v>
      </c>
      <c r="K1763" s="15" t="s">
        <v>798</v>
      </c>
      <c r="L1763" s="12" t="s">
        <v>5315</v>
      </c>
      <c r="M1763" s="13" t="s">
        <v>6048</v>
      </c>
      <c r="N1763" s="12" t="s">
        <v>803</v>
      </c>
      <c r="O1763" s="13" t="s">
        <v>4877</v>
      </c>
      <c r="P1763" s="17" t="s">
        <v>802</v>
      </c>
      <c r="Q1763" s="21" t="s">
        <v>7982</v>
      </c>
      <c r="R1763" s="17" t="s">
        <v>801</v>
      </c>
      <c r="S1763" s="18" t="s">
        <v>2562</v>
      </c>
      <c r="T1763" s="17" t="s">
        <v>800</v>
      </c>
      <c r="U1763" s="18" t="s">
        <v>5256</v>
      </c>
      <c r="V1763" s="17" t="s">
        <v>9418</v>
      </c>
      <c r="W1763" s="18" t="s">
        <v>5309</v>
      </c>
      <c r="X1763" s="69" t="s">
        <v>9453</v>
      </c>
      <c r="Y1763" s="70" t="s">
        <v>9462</v>
      </c>
      <c r="Z1763" s="73" t="s">
        <v>9486</v>
      </c>
      <c r="AA1763" s="74" t="s">
        <v>9504</v>
      </c>
      <c r="AB1763" s="73" t="s">
        <v>9486</v>
      </c>
      <c r="AC1763" s="74" t="s">
        <v>9562</v>
      </c>
      <c r="AD1763" s="73" t="s">
        <v>9578</v>
      </c>
      <c r="AE1763" s="74" t="s">
        <v>9579</v>
      </c>
    </row>
    <row r="1764" spans="1:31" ht="8.65" customHeight="1" x14ac:dyDescent="0.2">
      <c r="A1764" s="76">
        <v>1764</v>
      </c>
      <c r="B1764" s="67" t="str">
        <f>MID(C1764, FIND("Ifc.", C1764) + 4, 4) &amp; "_" &amp; TEXT(COUNTIF($C$2:C1764, C1764),"0000")</f>
        <v>Prop_1763</v>
      </c>
      <c r="C1764" s="24" t="s">
        <v>872</v>
      </c>
      <c r="D1764" s="69" t="s">
        <v>9453</v>
      </c>
      <c r="E1764" s="70" t="s">
        <v>9454</v>
      </c>
      <c r="F1764" s="17" t="s">
        <v>806</v>
      </c>
      <c r="G1764" s="22" t="s">
        <v>1190</v>
      </c>
      <c r="H1764" s="12" t="s">
        <v>9703</v>
      </c>
      <c r="I1764" s="13" t="s">
        <v>7540</v>
      </c>
      <c r="J1764" s="14" t="s">
        <v>798</v>
      </c>
      <c r="K1764" s="15" t="s">
        <v>798</v>
      </c>
      <c r="L1764" s="12" t="s">
        <v>5315</v>
      </c>
      <c r="M1764" s="13" t="s">
        <v>6051</v>
      </c>
      <c r="N1764" s="12" t="s">
        <v>803</v>
      </c>
      <c r="O1764" s="13" t="s">
        <v>4880</v>
      </c>
      <c r="P1764" s="17" t="s">
        <v>802</v>
      </c>
      <c r="Q1764" s="21" t="s">
        <v>7882</v>
      </c>
      <c r="R1764" s="17" t="s">
        <v>801</v>
      </c>
      <c r="S1764" s="18" t="s">
        <v>2632</v>
      </c>
      <c r="T1764" s="17" t="s">
        <v>800</v>
      </c>
      <c r="U1764" s="18" t="s">
        <v>5270</v>
      </c>
      <c r="V1764" s="17" t="s">
        <v>9418</v>
      </c>
      <c r="W1764" s="18" t="s">
        <v>5309</v>
      </c>
      <c r="X1764" s="69" t="s">
        <v>9453</v>
      </c>
      <c r="Y1764" s="70" t="s">
        <v>9462</v>
      </c>
      <c r="Z1764" s="73" t="s">
        <v>9486</v>
      </c>
      <c r="AA1764" s="74" t="s">
        <v>9504</v>
      </c>
      <c r="AB1764" s="73" t="s">
        <v>9486</v>
      </c>
      <c r="AC1764" s="74" t="s">
        <v>9561</v>
      </c>
      <c r="AD1764" s="73" t="s">
        <v>9578</v>
      </c>
      <c r="AE1764" s="74" t="s">
        <v>9579</v>
      </c>
    </row>
    <row r="1765" spans="1:31" ht="8.65" customHeight="1" x14ac:dyDescent="0.2">
      <c r="A1765" s="76">
        <v>1765</v>
      </c>
      <c r="B1765" s="67" t="str">
        <f>MID(C1765, FIND("Ifc.", C1765) + 4, 4) &amp; "_" &amp; TEXT(COUNTIF($C$2:C1765, C1765),"0000")</f>
        <v>Prop_1764</v>
      </c>
      <c r="C1765" s="24" t="s">
        <v>872</v>
      </c>
      <c r="D1765" s="69" t="s">
        <v>9453</v>
      </c>
      <c r="E1765" s="70" t="s">
        <v>9454</v>
      </c>
      <c r="F1765" s="17" t="s">
        <v>806</v>
      </c>
      <c r="G1765" s="22" t="s">
        <v>1191</v>
      </c>
      <c r="H1765" s="12" t="s">
        <v>9703</v>
      </c>
      <c r="I1765" s="13" t="s">
        <v>7541</v>
      </c>
      <c r="J1765" s="14" t="s">
        <v>798</v>
      </c>
      <c r="K1765" s="15" t="s">
        <v>798</v>
      </c>
      <c r="L1765" s="12" t="s">
        <v>5315</v>
      </c>
      <c r="M1765" s="13" t="s">
        <v>6051</v>
      </c>
      <c r="N1765" s="12" t="s">
        <v>803</v>
      </c>
      <c r="O1765" s="13" t="s">
        <v>4880</v>
      </c>
      <c r="P1765" s="17" t="s">
        <v>802</v>
      </c>
      <c r="Q1765" s="21" t="s">
        <v>7882</v>
      </c>
      <c r="R1765" s="17" t="s">
        <v>801</v>
      </c>
      <c r="S1765" s="18" t="s">
        <v>2632</v>
      </c>
      <c r="T1765" s="17" t="s">
        <v>800</v>
      </c>
      <c r="U1765" s="18" t="s">
        <v>5270</v>
      </c>
      <c r="V1765" s="17" t="s">
        <v>9418</v>
      </c>
      <c r="W1765" s="18" t="s">
        <v>5309</v>
      </c>
      <c r="X1765" s="69" t="s">
        <v>9453</v>
      </c>
      <c r="Y1765" s="70" t="s">
        <v>9462</v>
      </c>
      <c r="Z1765" s="73" t="s">
        <v>9486</v>
      </c>
      <c r="AA1765" s="74" t="s">
        <v>9504</v>
      </c>
      <c r="AB1765" s="73" t="s">
        <v>9486</v>
      </c>
      <c r="AC1765" s="74" t="s">
        <v>9561</v>
      </c>
      <c r="AD1765" s="73" t="s">
        <v>9578</v>
      </c>
      <c r="AE1765" s="74" t="s">
        <v>9579</v>
      </c>
    </row>
    <row r="1766" spans="1:31" ht="8.65" customHeight="1" x14ac:dyDescent="0.2">
      <c r="A1766" s="76">
        <v>1766</v>
      </c>
      <c r="B1766" s="67" t="str">
        <f>MID(C1766, FIND("Ifc.", C1766) + 4, 4) &amp; "_" &amp; TEXT(COUNTIF($C$2:C1766, C1766),"0000")</f>
        <v>Prop_1765</v>
      </c>
      <c r="C1766" s="24" t="s">
        <v>872</v>
      </c>
      <c r="D1766" s="69" t="s">
        <v>9453</v>
      </c>
      <c r="E1766" s="70" t="s">
        <v>9454</v>
      </c>
      <c r="F1766" s="17" t="s">
        <v>806</v>
      </c>
      <c r="G1766" s="22" t="s">
        <v>1182</v>
      </c>
      <c r="H1766" s="12" t="s">
        <v>9703</v>
      </c>
      <c r="I1766" s="13" t="s">
        <v>7539</v>
      </c>
      <c r="J1766" s="14" t="s">
        <v>798</v>
      </c>
      <c r="K1766" s="15" t="s">
        <v>798</v>
      </c>
      <c r="L1766" s="12" t="s">
        <v>5315</v>
      </c>
      <c r="M1766" s="13" t="s">
        <v>6048</v>
      </c>
      <c r="N1766" s="12" t="s">
        <v>803</v>
      </c>
      <c r="O1766" s="13" t="s">
        <v>4877</v>
      </c>
      <c r="P1766" s="17" t="s">
        <v>802</v>
      </c>
      <c r="Q1766" s="21" t="s">
        <v>7982</v>
      </c>
      <c r="R1766" s="17" t="s">
        <v>801</v>
      </c>
      <c r="S1766" s="18" t="s">
        <v>2632</v>
      </c>
      <c r="T1766" s="17" t="s">
        <v>800</v>
      </c>
      <c r="U1766" s="18" t="s">
        <v>5270</v>
      </c>
      <c r="V1766" s="17" t="s">
        <v>9418</v>
      </c>
      <c r="W1766" s="18" t="s">
        <v>5309</v>
      </c>
      <c r="X1766" s="69" t="s">
        <v>9453</v>
      </c>
      <c r="Y1766" s="70" t="s">
        <v>9462</v>
      </c>
      <c r="Z1766" s="73" t="s">
        <v>9486</v>
      </c>
      <c r="AA1766" s="74" t="s">
        <v>9504</v>
      </c>
      <c r="AB1766" s="73" t="s">
        <v>9486</v>
      </c>
      <c r="AC1766" s="74" t="s">
        <v>9561</v>
      </c>
      <c r="AD1766" s="73" t="s">
        <v>9578</v>
      </c>
      <c r="AE1766" s="74" t="s">
        <v>9579</v>
      </c>
    </row>
    <row r="1767" spans="1:31" ht="8.65" customHeight="1" x14ac:dyDescent="0.2">
      <c r="A1767" s="76">
        <v>1767</v>
      </c>
      <c r="B1767" s="67" t="str">
        <f>MID(C1767, FIND("Ifc.", C1767) + 4, 4) &amp; "_" &amp; TEXT(COUNTIF($C$2:C1767, C1767),"0000")</f>
        <v>Prop_1766</v>
      </c>
      <c r="C1767" s="24" t="s">
        <v>872</v>
      </c>
      <c r="D1767" s="69" t="s">
        <v>9453</v>
      </c>
      <c r="E1767" s="70" t="s">
        <v>9454</v>
      </c>
      <c r="F1767" s="17" t="s">
        <v>806</v>
      </c>
      <c r="G1767" s="22" t="s">
        <v>1185</v>
      </c>
      <c r="H1767" s="12" t="s">
        <v>9703</v>
      </c>
      <c r="I1767" s="13" t="s">
        <v>7537</v>
      </c>
      <c r="J1767" s="14" t="s">
        <v>798</v>
      </c>
      <c r="K1767" s="15" t="s">
        <v>798</v>
      </c>
      <c r="L1767" s="12" t="s">
        <v>5315</v>
      </c>
      <c r="M1767" s="13" t="s">
        <v>6048</v>
      </c>
      <c r="N1767" s="12" t="s">
        <v>803</v>
      </c>
      <c r="O1767" s="13" t="s">
        <v>4877</v>
      </c>
      <c r="P1767" s="17" t="s">
        <v>802</v>
      </c>
      <c r="Q1767" s="21" t="s">
        <v>7982</v>
      </c>
      <c r="R1767" s="17" t="s">
        <v>801</v>
      </c>
      <c r="S1767" s="18" t="s">
        <v>2562</v>
      </c>
      <c r="T1767" s="17" t="s">
        <v>800</v>
      </c>
      <c r="U1767" s="18" t="s">
        <v>5256</v>
      </c>
      <c r="V1767" s="17" t="s">
        <v>9418</v>
      </c>
      <c r="W1767" s="18" t="s">
        <v>5309</v>
      </c>
      <c r="X1767" s="69" t="s">
        <v>9453</v>
      </c>
      <c r="Y1767" s="70" t="s">
        <v>9462</v>
      </c>
      <c r="Z1767" s="73" t="s">
        <v>9486</v>
      </c>
      <c r="AA1767" s="74" t="s">
        <v>9504</v>
      </c>
      <c r="AB1767" s="73" t="s">
        <v>9486</v>
      </c>
      <c r="AC1767" s="74" t="s">
        <v>9562</v>
      </c>
      <c r="AD1767" s="73" t="s">
        <v>9578</v>
      </c>
      <c r="AE1767" s="74" t="s">
        <v>9579</v>
      </c>
    </row>
    <row r="1768" spans="1:31" ht="8.65" customHeight="1" x14ac:dyDescent="0.2">
      <c r="A1768" s="76">
        <v>1768</v>
      </c>
      <c r="B1768" s="67" t="str">
        <f>MID(C1768, FIND("Ifc.", C1768) + 4, 4) &amp; "_" &amp; TEXT(COUNTIF($C$2:C1768, C1768),"0000")</f>
        <v>Prop_1767</v>
      </c>
      <c r="C1768" s="24" t="s">
        <v>872</v>
      </c>
      <c r="D1768" s="69" t="s">
        <v>9453</v>
      </c>
      <c r="E1768" s="70" t="s">
        <v>9454</v>
      </c>
      <c r="F1768" s="17" t="s">
        <v>806</v>
      </c>
      <c r="G1768" s="22" t="s">
        <v>1823</v>
      </c>
      <c r="H1768" s="12" t="s">
        <v>9703</v>
      </c>
      <c r="I1768" s="13" t="s">
        <v>7283</v>
      </c>
      <c r="J1768" s="14" t="s">
        <v>798</v>
      </c>
      <c r="K1768" s="15" t="s">
        <v>798</v>
      </c>
      <c r="L1768" s="12" t="s">
        <v>5315</v>
      </c>
      <c r="M1768" s="13" t="s">
        <v>6011</v>
      </c>
      <c r="N1768" s="12" t="s">
        <v>803</v>
      </c>
      <c r="O1768" s="13" t="s">
        <v>5027</v>
      </c>
      <c r="P1768" s="17" t="s">
        <v>802</v>
      </c>
      <c r="Q1768" s="21" t="s">
        <v>7705</v>
      </c>
      <c r="R1768" s="17" t="s">
        <v>801</v>
      </c>
      <c r="S1768" s="18" t="s">
        <v>2554</v>
      </c>
      <c r="T1768" s="17" t="s">
        <v>800</v>
      </c>
      <c r="U1768" s="18" t="s">
        <v>5233</v>
      </c>
      <c r="V1768" s="17" t="s">
        <v>9418</v>
      </c>
      <c r="W1768" s="18" t="s">
        <v>5310</v>
      </c>
      <c r="X1768" s="69" t="s">
        <v>9453</v>
      </c>
      <c r="Y1768" s="70" t="s">
        <v>9463</v>
      </c>
      <c r="Z1768" s="73" t="s">
        <v>9486</v>
      </c>
      <c r="AA1768" s="74" t="s">
        <v>9504</v>
      </c>
      <c r="AB1768" s="73" t="s">
        <v>9486</v>
      </c>
      <c r="AC1768" s="74" t="s">
        <v>9562</v>
      </c>
      <c r="AD1768" s="73" t="s">
        <v>9578</v>
      </c>
      <c r="AE1768" s="74" t="s">
        <v>9579</v>
      </c>
    </row>
    <row r="1769" spans="1:31" ht="8.65" customHeight="1" x14ac:dyDescent="0.2">
      <c r="A1769" s="76">
        <v>1769</v>
      </c>
      <c r="B1769" s="67" t="str">
        <f>MID(C1769, FIND("Ifc.", C1769) + 4, 4) &amp; "_" &amp; TEXT(COUNTIF($C$2:C1769, C1769),"0000")</f>
        <v>Prop_1768</v>
      </c>
      <c r="C1769" s="24" t="s">
        <v>872</v>
      </c>
      <c r="D1769" s="69" t="s">
        <v>9453</v>
      </c>
      <c r="E1769" s="70" t="s">
        <v>9454</v>
      </c>
      <c r="F1769" s="17" t="s">
        <v>806</v>
      </c>
      <c r="G1769" s="22" t="s">
        <v>2118</v>
      </c>
      <c r="H1769" s="12" t="s">
        <v>9703</v>
      </c>
      <c r="I1769" s="13" t="s">
        <v>6645</v>
      </c>
      <c r="J1769" s="14" t="s">
        <v>798</v>
      </c>
      <c r="K1769" s="15" t="s">
        <v>798</v>
      </c>
      <c r="L1769" s="12" t="s">
        <v>5315</v>
      </c>
      <c r="M1769" s="13" t="s">
        <v>5492</v>
      </c>
      <c r="N1769" s="12" t="s">
        <v>803</v>
      </c>
      <c r="O1769" s="13" t="s">
        <v>5103</v>
      </c>
      <c r="P1769" s="17" t="s">
        <v>802</v>
      </c>
      <c r="Q1769" s="21" t="s">
        <v>7722</v>
      </c>
      <c r="R1769" s="17" t="s">
        <v>801</v>
      </c>
      <c r="S1769" s="18" t="s">
        <v>2554</v>
      </c>
      <c r="T1769" s="17" t="s">
        <v>800</v>
      </c>
      <c r="U1769" s="18" t="s">
        <v>5233</v>
      </c>
      <c r="V1769" s="17" t="s">
        <v>9418</v>
      </c>
      <c r="W1769" s="18" t="s">
        <v>5309</v>
      </c>
      <c r="X1769" s="69" t="s">
        <v>9453</v>
      </c>
      <c r="Y1769" s="70" t="s">
        <v>9462</v>
      </c>
      <c r="Z1769" s="73" t="s">
        <v>9486</v>
      </c>
      <c r="AA1769" s="74" t="s">
        <v>9504</v>
      </c>
      <c r="AB1769" s="73" t="s">
        <v>9486</v>
      </c>
      <c r="AC1769" s="74" t="s">
        <v>9562</v>
      </c>
      <c r="AD1769" s="73" t="s">
        <v>9578</v>
      </c>
      <c r="AE1769" s="74" t="s">
        <v>9579</v>
      </c>
    </row>
    <row r="1770" spans="1:31" ht="8.65" customHeight="1" x14ac:dyDescent="0.2">
      <c r="A1770" s="76">
        <v>1770</v>
      </c>
      <c r="B1770" s="67" t="str">
        <f>MID(C1770, FIND("Ifc.", C1770) + 4, 4) &amp; "_" &amp; TEXT(COUNTIF($C$2:C1770, C1770),"0000")</f>
        <v>Prop_1769</v>
      </c>
      <c r="C1770" s="24" t="s">
        <v>872</v>
      </c>
      <c r="D1770" s="69" t="s">
        <v>9453</v>
      </c>
      <c r="E1770" s="70" t="s">
        <v>9454</v>
      </c>
      <c r="F1770" s="17" t="s">
        <v>806</v>
      </c>
      <c r="G1770" s="22" t="s">
        <v>2335</v>
      </c>
      <c r="H1770" s="12" t="s">
        <v>9703</v>
      </c>
      <c r="I1770" s="13" t="s">
        <v>6732</v>
      </c>
      <c r="J1770" s="14" t="s">
        <v>798</v>
      </c>
      <c r="K1770" s="15" t="s">
        <v>798</v>
      </c>
      <c r="L1770" s="12" t="s">
        <v>5315</v>
      </c>
      <c r="M1770" s="13" t="s">
        <v>5558</v>
      </c>
      <c r="N1770" s="12" t="s">
        <v>803</v>
      </c>
      <c r="O1770" s="13" t="s">
        <v>5171</v>
      </c>
      <c r="P1770" s="17" t="s">
        <v>802</v>
      </c>
      <c r="Q1770" s="21" t="s">
        <v>8070</v>
      </c>
      <c r="R1770" s="17" t="s">
        <v>801</v>
      </c>
      <c r="S1770" s="18" t="s">
        <v>2669</v>
      </c>
      <c r="T1770" s="17" t="s">
        <v>800</v>
      </c>
      <c r="U1770" s="18" t="s">
        <v>5237</v>
      </c>
      <c r="V1770" s="17" t="s">
        <v>9418</v>
      </c>
      <c r="W1770" s="18" t="s">
        <v>5309</v>
      </c>
      <c r="X1770" s="69" t="s">
        <v>9453</v>
      </c>
      <c r="Y1770" s="70" t="s">
        <v>9462</v>
      </c>
      <c r="Z1770" s="73" t="s">
        <v>9486</v>
      </c>
      <c r="AA1770" s="74" t="s">
        <v>9504</v>
      </c>
      <c r="AB1770" s="73" t="s">
        <v>9486</v>
      </c>
      <c r="AC1770" s="74" t="s">
        <v>9562</v>
      </c>
      <c r="AD1770" s="73" t="s">
        <v>9578</v>
      </c>
      <c r="AE1770" s="74" t="s">
        <v>9579</v>
      </c>
    </row>
    <row r="1771" spans="1:31" ht="8.65" customHeight="1" x14ac:dyDescent="0.2">
      <c r="A1771" s="76">
        <v>1771</v>
      </c>
      <c r="B1771" s="67" t="str">
        <f>MID(C1771, FIND("Ifc.", C1771) + 4, 4) &amp; "_" &amp; TEXT(COUNTIF($C$2:C1771, C1771),"0000")</f>
        <v>Prop_1770</v>
      </c>
      <c r="C1771" s="24" t="s">
        <v>872</v>
      </c>
      <c r="D1771" s="69" t="s">
        <v>9453</v>
      </c>
      <c r="E1771" s="70" t="s">
        <v>9454</v>
      </c>
      <c r="F1771" s="17" t="s">
        <v>806</v>
      </c>
      <c r="G1771" s="22" t="s">
        <v>2334</v>
      </c>
      <c r="H1771" s="12" t="s">
        <v>9703</v>
      </c>
      <c r="I1771" s="13" t="s">
        <v>7280</v>
      </c>
      <c r="J1771" s="14" t="s">
        <v>798</v>
      </c>
      <c r="K1771" s="15" t="s">
        <v>798</v>
      </c>
      <c r="L1771" s="12" t="s">
        <v>5315</v>
      </c>
      <c r="M1771" s="13" t="s">
        <v>5558</v>
      </c>
      <c r="N1771" s="12" t="s">
        <v>803</v>
      </c>
      <c r="O1771" s="13" t="s">
        <v>5171</v>
      </c>
      <c r="P1771" s="17" t="s">
        <v>802</v>
      </c>
      <c r="Q1771" s="21" t="s">
        <v>8070</v>
      </c>
      <c r="R1771" s="17" t="s">
        <v>801</v>
      </c>
      <c r="S1771" s="18" t="s">
        <v>3456</v>
      </c>
      <c r="T1771" s="17" t="s">
        <v>800</v>
      </c>
      <c r="U1771" s="18" t="s">
        <v>5308</v>
      </c>
      <c r="V1771" s="17" t="s">
        <v>9418</v>
      </c>
      <c r="W1771" s="18" t="s">
        <v>5314</v>
      </c>
      <c r="X1771" s="69" t="s">
        <v>9453</v>
      </c>
      <c r="Y1771" s="70" t="s">
        <v>9464</v>
      </c>
      <c r="Z1771" s="73" t="s">
        <v>9486</v>
      </c>
      <c r="AA1771" s="74" t="s">
        <v>9504</v>
      </c>
      <c r="AB1771" s="73" t="s">
        <v>9486</v>
      </c>
      <c r="AC1771" s="74" t="s">
        <v>9562</v>
      </c>
      <c r="AD1771" s="73" t="s">
        <v>9578</v>
      </c>
      <c r="AE1771" s="74" t="s">
        <v>9579</v>
      </c>
    </row>
    <row r="1772" spans="1:31" ht="8.65" customHeight="1" x14ac:dyDescent="0.2">
      <c r="A1772" s="76">
        <v>1772</v>
      </c>
      <c r="B1772" s="67" t="str">
        <f>MID(C1772, FIND("Ifc.", C1772) + 4, 4) &amp; "_" &amp; TEXT(COUNTIF($C$2:C1772, C1772),"0000")</f>
        <v>Prop_1771</v>
      </c>
      <c r="C1772" s="24" t="s">
        <v>872</v>
      </c>
      <c r="D1772" s="69" t="s">
        <v>9453</v>
      </c>
      <c r="E1772" s="70" t="s">
        <v>9454</v>
      </c>
      <c r="F1772" s="17" t="s">
        <v>806</v>
      </c>
      <c r="G1772" s="22" t="s">
        <v>2333</v>
      </c>
      <c r="H1772" s="12" t="s">
        <v>9703</v>
      </c>
      <c r="I1772" s="13" t="s">
        <v>7281</v>
      </c>
      <c r="J1772" s="14" t="s">
        <v>798</v>
      </c>
      <c r="K1772" s="15" t="s">
        <v>798</v>
      </c>
      <c r="L1772" s="12" t="s">
        <v>5315</v>
      </c>
      <c r="M1772" s="13" t="s">
        <v>5558</v>
      </c>
      <c r="N1772" s="12" t="s">
        <v>803</v>
      </c>
      <c r="O1772" s="13" t="s">
        <v>5171</v>
      </c>
      <c r="P1772" s="17" t="s">
        <v>802</v>
      </c>
      <c r="Q1772" s="21" t="s">
        <v>8070</v>
      </c>
      <c r="R1772" s="17" t="s">
        <v>801</v>
      </c>
      <c r="S1772" s="18" t="s">
        <v>2554</v>
      </c>
      <c r="T1772" s="17" t="s">
        <v>800</v>
      </c>
      <c r="U1772" s="18" t="s">
        <v>5233</v>
      </c>
      <c r="V1772" s="17" t="s">
        <v>9418</v>
      </c>
      <c r="W1772" s="18" t="s">
        <v>5309</v>
      </c>
      <c r="X1772" s="69" t="s">
        <v>9453</v>
      </c>
      <c r="Y1772" s="70" t="s">
        <v>9462</v>
      </c>
      <c r="Z1772" s="73" t="s">
        <v>9486</v>
      </c>
      <c r="AA1772" s="74" t="s">
        <v>9504</v>
      </c>
      <c r="AB1772" s="73" t="s">
        <v>9486</v>
      </c>
      <c r="AC1772" s="74" t="s">
        <v>9562</v>
      </c>
      <c r="AD1772" s="73" t="s">
        <v>9578</v>
      </c>
      <c r="AE1772" s="74" t="s">
        <v>9579</v>
      </c>
    </row>
    <row r="1773" spans="1:31" ht="8.65" customHeight="1" x14ac:dyDescent="0.2">
      <c r="A1773" s="76">
        <v>1773</v>
      </c>
      <c r="B1773" s="67" t="str">
        <f>MID(C1773, FIND("Ifc.", C1773) + 4, 4) &amp; "_" &amp; TEXT(COUNTIF($C$2:C1773, C1773),"0000")</f>
        <v>Prop_1772</v>
      </c>
      <c r="C1773" s="24" t="s">
        <v>872</v>
      </c>
      <c r="D1773" s="69" t="s">
        <v>9453</v>
      </c>
      <c r="E1773" s="70" t="s">
        <v>9454</v>
      </c>
      <c r="F1773" s="17" t="s">
        <v>806</v>
      </c>
      <c r="G1773" s="22" t="s">
        <v>1556</v>
      </c>
      <c r="H1773" s="12" t="s">
        <v>9703</v>
      </c>
      <c r="I1773" s="13" t="s">
        <v>6380</v>
      </c>
      <c r="J1773" s="14" t="s">
        <v>798</v>
      </c>
      <c r="K1773" s="15" t="s">
        <v>798</v>
      </c>
      <c r="L1773" s="12" t="s">
        <v>5315</v>
      </c>
      <c r="M1773" s="13" t="s">
        <v>5890</v>
      </c>
      <c r="N1773" s="12" t="s">
        <v>803</v>
      </c>
      <c r="O1773" s="13" t="s">
        <v>4959</v>
      </c>
      <c r="P1773" s="17" t="s">
        <v>802</v>
      </c>
      <c r="Q1773" s="21" t="s">
        <v>7910</v>
      </c>
      <c r="R1773" s="17" t="s">
        <v>801</v>
      </c>
      <c r="S1773" s="18" t="s">
        <v>3636</v>
      </c>
      <c r="T1773" s="17" t="s">
        <v>800</v>
      </c>
      <c r="U1773" s="18" t="s">
        <v>5257</v>
      </c>
      <c r="V1773" s="17" t="s">
        <v>9418</v>
      </c>
      <c r="W1773" s="18" t="s">
        <v>5314</v>
      </c>
      <c r="X1773" s="69" t="s">
        <v>9453</v>
      </c>
      <c r="Y1773" s="70" t="s">
        <v>9464</v>
      </c>
      <c r="Z1773" s="73" t="s">
        <v>9486</v>
      </c>
      <c r="AA1773" s="74" t="s">
        <v>9504</v>
      </c>
      <c r="AB1773" s="73" t="s">
        <v>9486</v>
      </c>
      <c r="AC1773" s="74" t="s">
        <v>9561</v>
      </c>
      <c r="AD1773" s="73" t="s">
        <v>9578</v>
      </c>
      <c r="AE1773" s="74" t="s">
        <v>9579</v>
      </c>
    </row>
    <row r="1774" spans="1:31" ht="8.65" customHeight="1" x14ac:dyDescent="0.2">
      <c r="A1774" s="76">
        <v>1774</v>
      </c>
      <c r="B1774" s="67" t="str">
        <f>MID(C1774, FIND("Ifc.", C1774) + 4, 4) &amp; "_" &amp; TEXT(COUNTIF($C$2:C1774, C1774),"0000")</f>
        <v>Prop_1773</v>
      </c>
      <c r="C1774" s="24" t="s">
        <v>872</v>
      </c>
      <c r="D1774" s="69" t="s">
        <v>9453</v>
      </c>
      <c r="E1774" s="70" t="s">
        <v>9454</v>
      </c>
      <c r="F1774" s="17" t="s">
        <v>806</v>
      </c>
      <c r="G1774" s="22" t="s">
        <v>907</v>
      </c>
      <c r="H1774" s="12" t="s">
        <v>9703</v>
      </c>
      <c r="I1774" s="13" t="s">
        <v>907</v>
      </c>
      <c r="J1774" s="14" t="s">
        <v>798</v>
      </c>
      <c r="K1774" s="15" t="s">
        <v>798</v>
      </c>
      <c r="L1774" s="12" t="s">
        <v>5315</v>
      </c>
      <c r="M1774" s="13" t="s">
        <v>5369</v>
      </c>
      <c r="N1774" s="12" t="s">
        <v>803</v>
      </c>
      <c r="O1774" s="13" t="s">
        <v>4810</v>
      </c>
      <c r="P1774" s="17" t="s">
        <v>802</v>
      </c>
      <c r="Q1774" s="21" t="s">
        <v>7681</v>
      </c>
      <c r="R1774" s="17" t="s">
        <v>801</v>
      </c>
      <c r="S1774" s="18" t="s">
        <v>2554</v>
      </c>
      <c r="T1774" s="17" t="s">
        <v>800</v>
      </c>
      <c r="U1774" s="18" t="s">
        <v>5233</v>
      </c>
      <c r="V1774" s="17" t="s">
        <v>9418</v>
      </c>
      <c r="W1774" s="18" t="s">
        <v>5310</v>
      </c>
      <c r="X1774" s="69" t="s">
        <v>9453</v>
      </c>
      <c r="Y1774" s="70" t="s">
        <v>9463</v>
      </c>
      <c r="Z1774" s="73" t="s">
        <v>9486</v>
      </c>
      <c r="AA1774" s="74" t="s">
        <v>9504</v>
      </c>
      <c r="AB1774" s="73" t="s">
        <v>9486</v>
      </c>
      <c r="AC1774" s="74" t="s">
        <v>9562</v>
      </c>
      <c r="AD1774" s="73" t="s">
        <v>9578</v>
      </c>
      <c r="AE1774" s="74" t="s">
        <v>9579</v>
      </c>
    </row>
    <row r="1775" spans="1:31" ht="8.65" customHeight="1" x14ac:dyDescent="0.2">
      <c r="A1775" s="76">
        <v>1775</v>
      </c>
      <c r="B1775" s="67" t="str">
        <f>MID(C1775, FIND("Ifc.", C1775) + 4, 4) &amp; "_" &amp; TEXT(COUNTIF($C$2:C1775, C1775),"0000")</f>
        <v>Prop_1774</v>
      </c>
      <c r="C1775" s="24" t="s">
        <v>872</v>
      </c>
      <c r="D1775" s="69" t="s">
        <v>9453</v>
      </c>
      <c r="E1775" s="70" t="s">
        <v>9454</v>
      </c>
      <c r="F1775" s="17" t="s">
        <v>806</v>
      </c>
      <c r="G1775" s="22" t="s">
        <v>907</v>
      </c>
      <c r="H1775" s="12" t="s">
        <v>9703</v>
      </c>
      <c r="I1775" s="13" t="s">
        <v>907</v>
      </c>
      <c r="J1775" s="14" t="s">
        <v>798</v>
      </c>
      <c r="K1775" s="15" t="s">
        <v>798</v>
      </c>
      <c r="L1775" s="12" t="s">
        <v>5315</v>
      </c>
      <c r="M1775" s="13" t="s">
        <v>5373</v>
      </c>
      <c r="N1775" s="12" t="s">
        <v>803</v>
      </c>
      <c r="O1775" s="13" t="s">
        <v>4815</v>
      </c>
      <c r="P1775" s="17" t="s">
        <v>802</v>
      </c>
      <c r="Q1775" s="21" t="s">
        <v>7878</v>
      </c>
      <c r="R1775" s="17" t="s">
        <v>801</v>
      </c>
      <c r="S1775" s="18" t="s">
        <v>2554</v>
      </c>
      <c r="T1775" s="17" t="s">
        <v>800</v>
      </c>
      <c r="U1775" s="18" t="s">
        <v>5233</v>
      </c>
      <c r="V1775" s="17" t="s">
        <v>9418</v>
      </c>
      <c r="W1775" s="18" t="s">
        <v>5310</v>
      </c>
      <c r="X1775" s="69" t="s">
        <v>9453</v>
      </c>
      <c r="Y1775" s="70" t="s">
        <v>9463</v>
      </c>
      <c r="Z1775" s="73" t="s">
        <v>9486</v>
      </c>
      <c r="AA1775" s="74" t="s">
        <v>9504</v>
      </c>
      <c r="AB1775" s="73" t="s">
        <v>9486</v>
      </c>
      <c r="AC1775" s="74" t="s">
        <v>9562</v>
      </c>
      <c r="AD1775" s="73" t="s">
        <v>9578</v>
      </c>
      <c r="AE1775" s="74" t="s">
        <v>9579</v>
      </c>
    </row>
    <row r="1776" spans="1:31" ht="8.65" customHeight="1" x14ac:dyDescent="0.2">
      <c r="A1776" s="76">
        <v>1776</v>
      </c>
      <c r="B1776" s="67" t="str">
        <f>MID(C1776, FIND("Ifc.", C1776) + 4, 4) &amp; "_" &amp; TEXT(COUNTIF($C$2:C1776, C1776),"0000")</f>
        <v>Prop_1775</v>
      </c>
      <c r="C1776" s="24" t="s">
        <v>872</v>
      </c>
      <c r="D1776" s="69" t="s">
        <v>9453</v>
      </c>
      <c r="E1776" s="70" t="s">
        <v>9454</v>
      </c>
      <c r="F1776" s="17" t="s">
        <v>806</v>
      </c>
      <c r="G1776" s="22" t="s">
        <v>907</v>
      </c>
      <c r="H1776" s="12" t="s">
        <v>9703</v>
      </c>
      <c r="I1776" s="13" t="s">
        <v>907</v>
      </c>
      <c r="J1776" s="14" t="s">
        <v>798</v>
      </c>
      <c r="K1776" s="15" t="s">
        <v>798</v>
      </c>
      <c r="L1776" s="12" t="s">
        <v>5315</v>
      </c>
      <c r="M1776" s="13" t="s">
        <v>6024</v>
      </c>
      <c r="N1776" s="12" t="s">
        <v>803</v>
      </c>
      <c r="O1776" s="13" t="s">
        <v>4817</v>
      </c>
      <c r="P1776" s="17" t="s">
        <v>802</v>
      </c>
      <c r="Q1776" s="21" t="s">
        <v>8022</v>
      </c>
      <c r="R1776" s="17" t="s">
        <v>801</v>
      </c>
      <c r="S1776" s="18" t="s">
        <v>2554</v>
      </c>
      <c r="T1776" s="17" t="s">
        <v>800</v>
      </c>
      <c r="U1776" s="18" t="s">
        <v>5233</v>
      </c>
      <c r="V1776" s="17" t="s">
        <v>9418</v>
      </c>
      <c r="W1776" s="18" t="s">
        <v>5310</v>
      </c>
      <c r="X1776" s="69" t="s">
        <v>9453</v>
      </c>
      <c r="Y1776" s="70" t="s">
        <v>9463</v>
      </c>
      <c r="Z1776" s="73" t="s">
        <v>9486</v>
      </c>
      <c r="AA1776" s="74" t="s">
        <v>9504</v>
      </c>
      <c r="AB1776" s="73" t="s">
        <v>9486</v>
      </c>
      <c r="AC1776" s="74" t="s">
        <v>9562</v>
      </c>
      <c r="AD1776" s="73" t="s">
        <v>9578</v>
      </c>
      <c r="AE1776" s="74" t="s">
        <v>9579</v>
      </c>
    </row>
    <row r="1777" spans="1:31" ht="8.65" customHeight="1" x14ac:dyDescent="0.2">
      <c r="A1777" s="76">
        <v>1777</v>
      </c>
      <c r="B1777" s="67" t="str">
        <f>MID(C1777, FIND("Ifc.", C1777) + 4, 4) &amp; "_" &amp; TEXT(COUNTIF($C$2:C1777, C1777),"0000")</f>
        <v>Prop_1776</v>
      </c>
      <c r="C1777" s="24" t="s">
        <v>872</v>
      </c>
      <c r="D1777" s="69" t="s">
        <v>9453</v>
      </c>
      <c r="E1777" s="70" t="s">
        <v>9454</v>
      </c>
      <c r="F1777" s="17" t="s">
        <v>806</v>
      </c>
      <c r="G1777" s="22" t="s">
        <v>907</v>
      </c>
      <c r="H1777" s="12" t="s">
        <v>9703</v>
      </c>
      <c r="I1777" s="13" t="s">
        <v>907</v>
      </c>
      <c r="J1777" s="14" t="s">
        <v>798</v>
      </c>
      <c r="K1777" s="15" t="s">
        <v>798</v>
      </c>
      <c r="L1777" s="12" t="s">
        <v>5315</v>
      </c>
      <c r="M1777" s="13" t="s">
        <v>5991</v>
      </c>
      <c r="N1777" s="12" t="s">
        <v>803</v>
      </c>
      <c r="O1777" s="13" t="s">
        <v>4820</v>
      </c>
      <c r="P1777" s="17" t="s">
        <v>802</v>
      </c>
      <c r="Q1777" s="21" t="s">
        <v>8001</v>
      </c>
      <c r="R1777" s="17" t="s">
        <v>801</v>
      </c>
      <c r="S1777" s="18" t="s">
        <v>2554</v>
      </c>
      <c r="T1777" s="17" t="s">
        <v>800</v>
      </c>
      <c r="U1777" s="18" t="s">
        <v>5233</v>
      </c>
      <c r="V1777" s="17" t="s">
        <v>9418</v>
      </c>
      <c r="W1777" s="18" t="s">
        <v>5310</v>
      </c>
      <c r="X1777" s="69" t="s">
        <v>9453</v>
      </c>
      <c r="Y1777" s="70" t="s">
        <v>9463</v>
      </c>
      <c r="Z1777" s="73" t="s">
        <v>9486</v>
      </c>
      <c r="AA1777" s="74" t="s">
        <v>9504</v>
      </c>
      <c r="AB1777" s="73" t="s">
        <v>9486</v>
      </c>
      <c r="AC1777" s="74" t="s">
        <v>9562</v>
      </c>
      <c r="AD1777" s="73" t="s">
        <v>9578</v>
      </c>
      <c r="AE1777" s="74" t="s">
        <v>9579</v>
      </c>
    </row>
    <row r="1778" spans="1:31" ht="8.65" customHeight="1" x14ac:dyDescent="0.2">
      <c r="A1778" s="76">
        <v>1778</v>
      </c>
      <c r="B1778" s="67" t="str">
        <f>MID(C1778, FIND("Ifc.", C1778) + 4, 4) &amp; "_" &amp; TEXT(COUNTIF($C$2:C1778, C1778),"0000")</f>
        <v>Prop_1777</v>
      </c>
      <c r="C1778" s="24" t="s">
        <v>872</v>
      </c>
      <c r="D1778" s="69" t="s">
        <v>9453</v>
      </c>
      <c r="E1778" s="70" t="s">
        <v>9454</v>
      </c>
      <c r="F1778" s="17" t="s">
        <v>806</v>
      </c>
      <c r="G1778" s="22" t="s">
        <v>907</v>
      </c>
      <c r="H1778" s="12" t="s">
        <v>9703</v>
      </c>
      <c r="I1778" s="13" t="s">
        <v>907</v>
      </c>
      <c r="J1778" s="14" t="s">
        <v>798</v>
      </c>
      <c r="K1778" s="15" t="s">
        <v>798</v>
      </c>
      <c r="L1778" s="12" t="s">
        <v>5315</v>
      </c>
      <c r="M1778" s="13" t="s">
        <v>5993</v>
      </c>
      <c r="N1778" s="12" t="s">
        <v>803</v>
      </c>
      <c r="O1778" s="13" t="s">
        <v>4829</v>
      </c>
      <c r="P1778" s="17" t="s">
        <v>802</v>
      </c>
      <c r="Q1778" s="21" t="s">
        <v>8023</v>
      </c>
      <c r="R1778" s="17" t="s">
        <v>801</v>
      </c>
      <c r="S1778" s="18" t="s">
        <v>2554</v>
      </c>
      <c r="T1778" s="17" t="s">
        <v>800</v>
      </c>
      <c r="U1778" s="18" t="s">
        <v>5233</v>
      </c>
      <c r="V1778" s="17" t="s">
        <v>9418</v>
      </c>
      <c r="W1778" s="18" t="s">
        <v>5310</v>
      </c>
      <c r="X1778" s="69" t="s">
        <v>9453</v>
      </c>
      <c r="Y1778" s="70" t="s">
        <v>9463</v>
      </c>
      <c r="Z1778" s="73" t="s">
        <v>9486</v>
      </c>
      <c r="AA1778" s="74" t="s">
        <v>9504</v>
      </c>
      <c r="AB1778" s="73" t="s">
        <v>9486</v>
      </c>
      <c r="AC1778" s="74" t="s">
        <v>9562</v>
      </c>
      <c r="AD1778" s="73" t="s">
        <v>9578</v>
      </c>
      <c r="AE1778" s="74" t="s">
        <v>9579</v>
      </c>
    </row>
    <row r="1779" spans="1:31" ht="8.65" customHeight="1" x14ac:dyDescent="0.2">
      <c r="A1779" s="76">
        <v>1779</v>
      </c>
      <c r="B1779" s="67" t="str">
        <f>MID(C1779, FIND("Ifc.", C1779) + 4, 4) &amp; "_" &amp; TEXT(COUNTIF($C$2:C1779, C1779),"0000")</f>
        <v>Prop_1778</v>
      </c>
      <c r="C1779" s="24" t="s">
        <v>872</v>
      </c>
      <c r="D1779" s="69" t="s">
        <v>9453</v>
      </c>
      <c r="E1779" s="70" t="s">
        <v>9454</v>
      </c>
      <c r="F1779" s="17" t="s">
        <v>806</v>
      </c>
      <c r="G1779" s="22" t="s">
        <v>907</v>
      </c>
      <c r="H1779" s="12" t="s">
        <v>9703</v>
      </c>
      <c r="I1779" s="13" t="s">
        <v>907</v>
      </c>
      <c r="J1779" s="14" t="s">
        <v>798</v>
      </c>
      <c r="K1779" s="15" t="s">
        <v>798</v>
      </c>
      <c r="L1779" s="12" t="s">
        <v>5315</v>
      </c>
      <c r="M1779" s="13" t="s">
        <v>6023</v>
      </c>
      <c r="N1779" s="12" t="s">
        <v>803</v>
      </c>
      <c r="O1779" s="13" t="s">
        <v>4831</v>
      </c>
      <c r="P1779" s="17" t="s">
        <v>802</v>
      </c>
      <c r="Q1779" s="21" t="s">
        <v>7790</v>
      </c>
      <c r="R1779" s="17" t="s">
        <v>801</v>
      </c>
      <c r="S1779" s="18" t="s">
        <v>2554</v>
      </c>
      <c r="T1779" s="17" t="s">
        <v>800</v>
      </c>
      <c r="U1779" s="18" t="s">
        <v>5233</v>
      </c>
      <c r="V1779" s="17" t="s">
        <v>9418</v>
      </c>
      <c r="W1779" s="18" t="s">
        <v>5310</v>
      </c>
      <c r="X1779" s="69" t="s">
        <v>9453</v>
      </c>
      <c r="Y1779" s="70" t="s">
        <v>9463</v>
      </c>
      <c r="Z1779" s="73" t="s">
        <v>9486</v>
      </c>
      <c r="AA1779" s="74" t="s">
        <v>9504</v>
      </c>
      <c r="AB1779" s="73" t="s">
        <v>9486</v>
      </c>
      <c r="AC1779" s="74" t="s">
        <v>9562</v>
      </c>
      <c r="AD1779" s="73" t="s">
        <v>9578</v>
      </c>
      <c r="AE1779" s="74" t="s">
        <v>9579</v>
      </c>
    </row>
    <row r="1780" spans="1:31" ht="8.65" customHeight="1" x14ac:dyDescent="0.2">
      <c r="A1780" s="76">
        <v>1780</v>
      </c>
      <c r="B1780" s="67" t="str">
        <f>MID(C1780, FIND("Ifc.", C1780) + 4, 4) &amp; "_" &amp; TEXT(COUNTIF($C$2:C1780, C1780),"0000")</f>
        <v>Prop_1779</v>
      </c>
      <c r="C1780" s="24" t="s">
        <v>872</v>
      </c>
      <c r="D1780" s="69" t="s">
        <v>9453</v>
      </c>
      <c r="E1780" s="70" t="s">
        <v>9454</v>
      </c>
      <c r="F1780" s="17" t="s">
        <v>806</v>
      </c>
      <c r="G1780" s="22" t="s">
        <v>907</v>
      </c>
      <c r="H1780" s="12" t="s">
        <v>9703</v>
      </c>
      <c r="I1780" s="13" t="s">
        <v>907</v>
      </c>
      <c r="J1780" s="14" t="s">
        <v>798</v>
      </c>
      <c r="K1780" s="15" t="s">
        <v>798</v>
      </c>
      <c r="L1780" s="12" t="s">
        <v>5315</v>
      </c>
      <c r="M1780" s="13" t="s">
        <v>5379</v>
      </c>
      <c r="N1780" s="12" t="s">
        <v>803</v>
      </c>
      <c r="O1780" s="13" t="s">
        <v>4836</v>
      </c>
      <c r="P1780" s="17" t="s">
        <v>802</v>
      </c>
      <c r="Q1780" s="21" t="s">
        <v>7739</v>
      </c>
      <c r="R1780" s="17" t="s">
        <v>801</v>
      </c>
      <c r="S1780" s="18" t="s">
        <v>2554</v>
      </c>
      <c r="T1780" s="17" t="s">
        <v>800</v>
      </c>
      <c r="U1780" s="18" t="s">
        <v>5233</v>
      </c>
      <c r="V1780" s="17" t="s">
        <v>9418</v>
      </c>
      <c r="W1780" s="18" t="s">
        <v>5310</v>
      </c>
      <c r="X1780" s="69" t="s">
        <v>9453</v>
      </c>
      <c r="Y1780" s="70" t="s">
        <v>9463</v>
      </c>
      <c r="Z1780" s="73" t="s">
        <v>9486</v>
      </c>
      <c r="AA1780" s="74" t="s">
        <v>9504</v>
      </c>
      <c r="AB1780" s="73" t="s">
        <v>9486</v>
      </c>
      <c r="AC1780" s="74" t="s">
        <v>9562</v>
      </c>
      <c r="AD1780" s="73" t="s">
        <v>9578</v>
      </c>
      <c r="AE1780" s="74" t="s">
        <v>9579</v>
      </c>
    </row>
    <row r="1781" spans="1:31" ht="8.65" customHeight="1" x14ac:dyDescent="0.2">
      <c r="A1781" s="76">
        <v>1781</v>
      </c>
      <c r="B1781" s="67" t="str">
        <f>MID(C1781, FIND("Ifc.", C1781) + 4, 4) &amp; "_" &amp; TEXT(COUNTIF($C$2:C1781, C1781),"0000")</f>
        <v>Prop_1780</v>
      </c>
      <c r="C1781" s="24" t="s">
        <v>872</v>
      </c>
      <c r="D1781" s="69" t="s">
        <v>9453</v>
      </c>
      <c r="E1781" s="70" t="s">
        <v>9454</v>
      </c>
      <c r="F1781" s="17" t="s">
        <v>806</v>
      </c>
      <c r="G1781" s="22" t="s">
        <v>907</v>
      </c>
      <c r="H1781" s="12" t="s">
        <v>9703</v>
      </c>
      <c r="I1781" s="13" t="s">
        <v>907</v>
      </c>
      <c r="J1781" s="14" t="s">
        <v>798</v>
      </c>
      <c r="K1781" s="15" t="s">
        <v>798</v>
      </c>
      <c r="L1781" s="12" t="s">
        <v>5315</v>
      </c>
      <c r="M1781" s="13" t="s">
        <v>5385</v>
      </c>
      <c r="N1781" s="12" t="s">
        <v>803</v>
      </c>
      <c r="O1781" s="13" t="s">
        <v>4842</v>
      </c>
      <c r="P1781" s="17" t="s">
        <v>802</v>
      </c>
      <c r="Q1781" s="21" t="s">
        <v>7679</v>
      </c>
      <c r="R1781" s="17" t="s">
        <v>801</v>
      </c>
      <c r="S1781" s="18" t="s">
        <v>2554</v>
      </c>
      <c r="T1781" s="17" t="s">
        <v>800</v>
      </c>
      <c r="U1781" s="18" t="s">
        <v>5233</v>
      </c>
      <c r="V1781" s="17" t="s">
        <v>9418</v>
      </c>
      <c r="W1781" s="18" t="s">
        <v>5310</v>
      </c>
      <c r="X1781" s="69" t="s">
        <v>9453</v>
      </c>
      <c r="Y1781" s="70" t="s">
        <v>9463</v>
      </c>
      <c r="Z1781" s="73" t="s">
        <v>9486</v>
      </c>
      <c r="AA1781" s="74" t="s">
        <v>9504</v>
      </c>
      <c r="AB1781" s="73" t="s">
        <v>9486</v>
      </c>
      <c r="AC1781" s="74" t="s">
        <v>9562</v>
      </c>
      <c r="AD1781" s="73" t="s">
        <v>9578</v>
      </c>
      <c r="AE1781" s="74" t="s">
        <v>9579</v>
      </c>
    </row>
    <row r="1782" spans="1:31" ht="8.65" customHeight="1" x14ac:dyDescent="0.2">
      <c r="A1782" s="76">
        <v>1782</v>
      </c>
      <c r="B1782" s="67" t="str">
        <f>MID(C1782, FIND("Ifc.", C1782) + 4, 4) &amp; "_" &amp; TEXT(COUNTIF($C$2:C1782, C1782),"0000")</f>
        <v>Prop_1781</v>
      </c>
      <c r="C1782" s="24" t="s">
        <v>872</v>
      </c>
      <c r="D1782" s="69" t="s">
        <v>9453</v>
      </c>
      <c r="E1782" s="70" t="s">
        <v>9454</v>
      </c>
      <c r="F1782" s="17" t="s">
        <v>806</v>
      </c>
      <c r="G1782" s="22" t="s">
        <v>907</v>
      </c>
      <c r="H1782" s="12" t="s">
        <v>9703</v>
      </c>
      <c r="I1782" s="13" t="s">
        <v>907</v>
      </c>
      <c r="J1782" s="14" t="s">
        <v>798</v>
      </c>
      <c r="K1782" s="15" t="s">
        <v>798</v>
      </c>
      <c r="L1782" s="12" t="s">
        <v>5315</v>
      </c>
      <c r="M1782" s="13" t="s">
        <v>5386</v>
      </c>
      <c r="N1782" s="12" t="s">
        <v>803</v>
      </c>
      <c r="O1782" s="13" t="s">
        <v>4843</v>
      </c>
      <c r="P1782" s="17" t="s">
        <v>802</v>
      </c>
      <c r="Q1782" s="21" t="s">
        <v>7779</v>
      </c>
      <c r="R1782" s="17" t="s">
        <v>801</v>
      </c>
      <c r="S1782" s="18" t="s">
        <v>2554</v>
      </c>
      <c r="T1782" s="17" t="s">
        <v>800</v>
      </c>
      <c r="U1782" s="18" t="s">
        <v>5233</v>
      </c>
      <c r="V1782" s="17" t="s">
        <v>9418</v>
      </c>
      <c r="W1782" s="18" t="s">
        <v>5310</v>
      </c>
      <c r="X1782" s="69" t="s">
        <v>9453</v>
      </c>
      <c r="Y1782" s="70" t="s">
        <v>9463</v>
      </c>
      <c r="Z1782" s="73" t="s">
        <v>9486</v>
      </c>
      <c r="AA1782" s="74" t="s">
        <v>9504</v>
      </c>
      <c r="AB1782" s="73" t="s">
        <v>9486</v>
      </c>
      <c r="AC1782" s="74" t="s">
        <v>9562</v>
      </c>
      <c r="AD1782" s="73" t="s">
        <v>9578</v>
      </c>
      <c r="AE1782" s="74" t="s">
        <v>9579</v>
      </c>
    </row>
    <row r="1783" spans="1:31" ht="8.65" customHeight="1" x14ac:dyDescent="0.2">
      <c r="A1783" s="76">
        <v>1783</v>
      </c>
      <c r="B1783" s="67" t="str">
        <f>MID(C1783, FIND("Ifc.", C1783) + 4, 4) &amp; "_" &amp; TEXT(COUNTIF($C$2:C1783, C1783),"0000")</f>
        <v>Prop_1782</v>
      </c>
      <c r="C1783" s="24" t="s">
        <v>872</v>
      </c>
      <c r="D1783" s="69" t="s">
        <v>9453</v>
      </c>
      <c r="E1783" s="70" t="s">
        <v>9454</v>
      </c>
      <c r="F1783" s="17" t="s">
        <v>806</v>
      </c>
      <c r="G1783" s="22" t="s">
        <v>907</v>
      </c>
      <c r="H1783" s="12" t="s">
        <v>9703</v>
      </c>
      <c r="I1783" s="13" t="s">
        <v>907</v>
      </c>
      <c r="J1783" s="14" t="s">
        <v>798</v>
      </c>
      <c r="K1783" s="15" t="s">
        <v>798</v>
      </c>
      <c r="L1783" s="12" t="s">
        <v>5315</v>
      </c>
      <c r="M1783" s="13" t="s">
        <v>5779</v>
      </c>
      <c r="N1783" s="12" t="s">
        <v>803</v>
      </c>
      <c r="O1783" s="13" t="s">
        <v>4846</v>
      </c>
      <c r="P1783" s="17" t="s">
        <v>802</v>
      </c>
      <c r="Q1783" s="21" t="s">
        <v>7936</v>
      </c>
      <c r="R1783" s="17" t="s">
        <v>801</v>
      </c>
      <c r="S1783" s="18" t="s">
        <v>2554</v>
      </c>
      <c r="T1783" s="17" t="s">
        <v>800</v>
      </c>
      <c r="U1783" s="18" t="s">
        <v>5233</v>
      </c>
      <c r="V1783" s="17" t="s">
        <v>9418</v>
      </c>
      <c r="W1783" s="18" t="s">
        <v>5310</v>
      </c>
      <c r="X1783" s="69" t="s">
        <v>9453</v>
      </c>
      <c r="Y1783" s="70" t="s">
        <v>9463</v>
      </c>
      <c r="Z1783" s="73" t="s">
        <v>9486</v>
      </c>
      <c r="AA1783" s="74" t="s">
        <v>9504</v>
      </c>
      <c r="AB1783" s="73" t="s">
        <v>9486</v>
      </c>
      <c r="AC1783" s="74" t="s">
        <v>9562</v>
      </c>
      <c r="AD1783" s="73" t="s">
        <v>9578</v>
      </c>
      <c r="AE1783" s="74" t="s">
        <v>9579</v>
      </c>
    </row>
    <row r="1784" spans="1:31" ht="8.65" customHeight="1" x14ac:dyDescent="0.2">
      <c r="A1784" s="76">
        <v>1784</v>
      </c>
      <c r="B1784" s="67" t="str">
        <f>MID(C1784, FIND("Ifc.", C1784) + 4, 4) &amp; "_" &amp; TEXT(COUNTIF($C$2:C1784, C1784),"0000")</f>
        <v>Prop_1783</v>
      </c>
      <c r="C1784" s="24" t="s">
        <v>872</v>
      </c>
      <c r="D1784" s="69" t="s">
        <v>9453</v>
      </c>
      <c r="E1784" s="70" t="s">
        <v>9454</v>
      </c>
      <c r="F1784" s="17" t="s">
        <v>806</v>
      </c>
      <c r="G1784" s="22" t="s">
        <v>907</v>
      </c>
      <c r="H1784" s="12" t="s">
        <v>9703</v>
      </c>
      <c r="I1784" s="13" t="s">
        <v>907</v>
      </c>
      <c r="J1784" s="14" t="s">
        <v>798</v>
      </c>
      <c r="K1784" s="15" t="s">
        <v>798</v>
      </c>
      <c r="L1784" s="12" t="s">
        <v>5315</v>
      </c>
      <c r="M1784" s="13" t="s">
        <v>6033</v>
      </c>
      <c r="N1784" s="12" t="s">
        <v>803</v>
      </c>
      <c r="O1784" s="13" t="s">
        <v>4847</v>
      </c>
      <c r="P1784" s="17" t="s">
        <v>802</v>
      </c>
      <c r="Q1784" s="21" t="s">
        <v>7836</v>
      </c>
      <c r="R1784" s="17" t="s">
        <v>801</v>
      </c>
      <c r="S1784" s="18" t="s">
        <v>2554</v>
      </c>
      <c r="T1784" s="17" t="s">
        <v>800</v>
      </c>
      <c r="U1784" s="18" t="s">
        <v>5233</v>
      </c>
      <c r="V1784" s="17" t="s">
        <v>9418</v>
      </c>
      <c r="W1784" s="18" t="s">
        <v>5310</v>
      </c>
      <c r="X1784" s="69" t="s">
        <v>9453</v>
      </c>
      <c r="Y1784" s="70" t="s">
        <v>9463</v>
      </c>
      <c r="Z1784" s="73" t="s">
        <v>9486</v>
      </c>
      <c r="AA1784" s="74" t="s">
        <v>9504</v>
      </c>
      <c r="AB1784" s="73" t="s">
        <v>9486</v>
      </c>
      <c r="AC1784" s="74" t="s">
        <v>9562</v>
      </c>
      <c r="AD1784" s="73" t="s">
        <v>9578</v>
      </c>
      <c r="AE1784" s="74" t="s">
        <v>9579</v>
      </c>
    </row>
    <row r="1785" spans="1:31" ht="8.65" customHeight="1" x14ac:dyDescent="0.2">
      <c r="A1785" s="76">
        <v>1785</v>
      </c>
      <c r="B1785" s="67" t="str">
        <f>MID(C1785, FIND("Ifc.", C1785) + 4, 4) &amp; "_" &amp; TEXT(COUNTIF($C$2:C1785, C1785),"0000")</f>
        <v>Prop_1784</v>
      </c>
      <c r="C1785" s="24" t="s">
        <v>872</v>
      </c>
      <c r="D1785" s="69" t="s">
        <v>9453</v>
      </c>
      <c r="E1785" s="70" t="s">
        <v>9454</v>
      </c>
      <c r="F1785" s="17" t="s">
        <v>806</v>
      </c>
      <c r="G1785" s="22" t="s">
        <v>907</v>
      </c>
      <c r="H1785" s="12" t="s">
        <v>9703</v>
      </c>
      <c r="I1785" s="13" t="s">
        <v>907</v>
      </c>
      <c r="J1785" s="14" t="s">
        <v>798</v>
      </c>
      <c r="K1785" s="15" t="s">
        <v>798</v>
      </c>
      <c r="L1785" s="12" t="s">
        <v>5315</v>
      </c>
      <c r="M1785" s="13" t="s">
        <v>6036</v>
      </c>
      <c r="N1785" s="12" t="s">
        <v>803</v>
      </c>
      <c r="O1785" s="13" t="s">
        <v>4848</v>
      </c>
      <c r="P1785" s="17" t="s">
        <v>802</v>
      </c>
      <c r="Q1785" s="21" t="s">
        <v>7757</v>
      </c>
      <c r="R1785" s="17" t="s">
        <v>801</v>
      </c>
      <c r="S1785" s="18" t="s">
        <v>2554</v>
      </c>
      <c r="T1785" s="17" t="s">
        <v>800</v>
      </c>
      <c r="U1785" s="18" t="s">
        <v>5233</v>
      </c>
      <c r="V1785" s="17" t="s">
        <v>9418</v>
      </c>
      <c r="W1785" s="18" t="s">
        <v>5310</v>
      </c>
      <c r="X1785" s="69" t="s">
        <v>9453</v>
      </c>
      <c r="Y1785" s="70" t="s">
        <v>9463</v>
      </c>
      <c r="Z1785" s="73" t="s">
        <v>9486</v>
      </c>
      <c r="AA1785" s="74" t="s">
        <v>9504</v>
      </c>
      <c r="AB1785" s="73" t="s">
        <v>9486</v>
      </c>
      <c r="AC1785" s="74" t="s">
        <v>9562</v>
      </c>
      <c r="AD1785" s="73" t="s">
        <v>9578</v>
      </c>
      <c r="AE1785" s="74" t="s">
        <v>9579</v>
      </c>
    </row>
    <row r="1786" spans="1:31" ht="8.65" customHeight="1" x14ac:dyDescent="0.2">
      <c r="A1786" s="76">
        <v>1786</v>
      </c>
      <c r="B1786" s="67" t="str">
        <f>MID(C1786, FIND("Ifc.", C1786) + 4, 4) &amp; "_" &amp; TEXT(COUNTIF($C$2:C1786, C1786),"0000")</f>
        <v>Prop_1785</v>
      </c>
      <c r="C1786" s="24" t="s">
        <v>872</v>
      </c>
      <c r="D1786" s="69" t="s">
        <v>9453</v>
      </c>
      <c r="E1786" s="70" t="s">
        <v>9454</v>
      </c>
      <c r="F1786" s="17" t="s">
        <v>806</v>
      </c>
      <c r="G1786" s="22" t="s">
        <v>907</v>
      </c>
      <c r="H1786" s="12" t="s">
        <v>9703</v>
      </c>
      <c r="I1786" s="13" t="s">
        <v>907</v>
      </c>
      <c r="J1786" s="14" t="s">
        <v>798</v>
      </c>
      <c r="K1786" s="15" t="s">
        <v>798</v>
      </c>
      <c r="L1786" s="12" t="s">
        <v>5315</v>
      </c>
      <c r="M1786" s="13" t="s">
        <v>5998</v>
      </c>
      <c r="N1786" s="12" t="s">
        <v>803</v>
      </c>
      <c r="O1786" s="13" t="s">
        <v>4917</v>
      </c>
      <c r="P1786" s="17" t="s">
        <v>802</v>
      </c>
      <c r="Q1786" s="21" t="s">
        <v>8024</v>
      </c>
      <c r="R1786" s="17" t="s">
        <v>801</v>
      </c>
      <c r="S1786" s="18" t="s">
        <v>2554</v>
      </c>
      <c r="T1786" s="17" t="s">
        <v>800</v>
      </c>
      <c r="U1786" s="18" t="s">
        <v>5233</v>
      </c>
      <c r="V1786" s="17" t="s">
        <v>9418</v>
      </c>
      <c r="W1786" s="18" t="s">
        <v>5310</v>
      </c>
      <c r="X1786" s="69" t="s">
        <v>9453</v>
      </c>
      <c r="Y1786" s="70" t="s">
        <v>9463</v>
      </c>
      <c r="Z1786" s="73" t="s">
        <v>9486</v>
      </c>
      <c r="AA1786" s="74" t="s">
        <v>9504</v>
      </c>
      <c r="AB1786" s="73" t="s">
        <v>9486</v>
      </c>
      <c r="AC1786" s="74" t="s">
        <v>9562</v>
      </c>
      <c r="AD1786" s="73" t="s">
        <v>9578</v>
      </c>
      <c r="AE1786" s="74" t="s">
        <v>9579</v>
      </c>
    </row>
    <row r="1787" spans="1:31" ht="8.65" customHeight="1" x14ac:dyDescent="0.2">
      <c r="A1787" s="76">
        <v>1787</v>
      </c>
      <c r="B1787" s="67" t="str">
        <f>MID(C1787, FIND("Ifc.", C1787) + 4, 4) &amp; "_" &amp; TEXT(COUNTIF($C$2:C1787, C1787),"0000")</f>
        <v>Prop_1786</v>
      </c>
      <c r="C1787" s="24" t="s">
        <v>872</v>
      </c>
      <c r="D1787" s="69" t="s">
        <v>9453</v>
      </c>
      <c r="E1787" s="70" t="s">
        <v>9454</v>
      </c>
      <c r="F1787" s="17" t="s">
        <v>806</v>
      </c>
      <c r="G1787" s="22" t="s">
        <v>907</v>
      </c>
      <c r="H1787" s="12" t="s">
        <v>9703</v>
      </c>
      <c r="I1787" s="13" t="s">
        <v>907</v>
      </c>
      <c r="J1787" s="14" t="s">
        <v>798</v>
      </c>
      <c r="K1787" s="15" t="s">
        <v>798</v>
      </c>
      <c r="L1787" s="12" t="s">
        <v>5315</v>
      </c>
      <c r="M1787" s="13" t="s">
        <v>5392</v>
      </c>
      <c r="N1787" s="12" t="s">
        <v>803</v>
      </c>
      <c r="O1787" s="13" t="s">
        <v>4858</v>
      </c>
      <c r="P1787" s="17" t="s">
        <v>802</v>
      </c>
      <c r="Q1787" s="21" t="s">
        <v>7798</v>
      </c>
      <c r="R1787" s="17" t="s">
        <v>801</v>
      </c>
      <c r="S1787" s="18" t="s">
        <v>2554</v>
      </c>
      <c r="T1787" s="17" t="s">
        <v>800</v>
      </c>
      <c r="U1787" s="18" t="s">
        <v>5233</v>
      </c>
      <c r="V1787" s="17" t="s">
        <v>9418</v>
      </c>
      <c r="W1787" s="18" t="s">
        <v>5310</v>
      </c>
      <c r="X1787" s="69" t="s">
        <v>9453</v>
      </c>
      <c r="Y1787" s="70" t="s">
        <v>9463</v>
      </c>
      <c r="Z1787" s="73" t="s">
        <v>9486</v>
      </c>
      <c r="AA1787" s="74" t="s">
        <v>9504</v>
      </c>
      <c r="AB1787" s="73" t="s">
        <v>9486</v>
      </c>
      <c r="AC1787" s="74" t="s">
        <v>9562</v>
      </c>
      <c r="AD1787" s="73" t="s">
        <v>9578</v>
      </c>
      <c r="AE1787" s="74" t="s">
        <v>9579</v>
      </c>
    </row>
    <row r="1788" spans="1:31" ht="8.65" customHeight="1" x14ac:dyDescent="0.2">
      <c r="A1788" s="76">
        <v>1788</v>
      </c>
      <c r="B1788" s="67" t="str">
        <f>MID(C1788, FIND("Ifc.", C1788) + 4, 4) &amp; "_" &amp; TEXT(COUNTIF($C$2:C1788, C1788),"0000")</f>
        <v>Prop_1787</v>
      </c>
      <c r="C1788" s="24" t="s">
        <v>872</v>
      </c>
      <c r="D1788" s="69" t="s">
        <v>9453</v>
      </c>
      <c r="E1788" s="70" t="s">
        <v>9454</v>
      </c>
      <c r="F1788" s="17" t="s">
        <v>806</v>
      </c>
      <c r="G1788" s="22" t="s">
        <v>907</v>
      </c>
      <c r="H1788" s="12" t="s">
        <v>9703</v>
      </c>
      <c r="I1788" s="13" t="s">
        <v>907</v>
      </c>
      <c r="J1788" s="14" t="s">
        <v>798</v>
      </c>
      <c r="K1788" s="15" t="s">
        <v>798</v>
      </c>
      <c r="L1788" s="12" t="s">
        <v>5315</v>
      </c>
      <c r="M1788" s="13" t="s">
        <v>6039</v>
      </c>
      <c r="N1788" s="12" t="s">
        <v>803</v>
      </c>
      <c r="O1788" s="13" t="s">
        <v>4860</v>
      </c>
      <c r="P1788" s="17" t="s">
        <v>802</v>
      </c>
      <c r="Q1788" s="21" t="s">
        <v>7802</v>
      </c>
      <c r="R1788" s="17" t="s">
        <v>801</v>
      </c>
      <c r="S1788" s="18" t="s">
        <v>2554</v>
      </c>
      <c r="T1788" s="17" t="s">
        <v>800</v>
      </c>
      <c r="U1788" s="18" t="s">
        <v>5233</v>
      </c>
      <c r="V1788" s="17" t="s">
        <v>9418</v>
      </c>
      <c r="W1788" s="18" t="s">
        <v>5310</v>
      </c>
      <c r="X1788" s="69" t="s">
        <v>9453</v>
      </c>
      <c r="Y1788" s="70" t="s">
        <v>9463</v>
      </c>
      <c r="Z1788" s="73" t="s">
        <v>9486</v>
      </c>
      <c r="AA1788" s="74" t="s">
        <v>9504</v>
      </c>
      <c r="AB1788" s="73" t="s">
        <v>9486</v>
      </c>
      <c r="AC1788" s="74" t="s">
        <v>9562</v>
      </c>
      <c r="AD1788" s="73" t="s">
        <v>9578</v>
      </c>
      <c r="AE1788" s="74" t="s">
        <v>9579</v>
      </c>
    </row>
    <row r="1789" spans="1:31" ht="8.65" customHeight="1" x14ac:dyDescent="0.2">
      <c r="A1789" s="76">
        <v>1789</v>
      </c>
      <c r="B1789" s="67" t="str">
        <f>MID(C1789, FIND("Ifc.", C1789) + 4, 4) &amp; "_" &amp; TEXT(COUNTIF($C$2:C1789, C1789),"0000")</f>
        <v>Prop_1788</v>
      </c>
      <c r="C1789" s="24" t="s">
        <v>872</v>
      </c>
      <c r="D1789" s="69" t="s">
        <v>9453</v>
      </c>
      <c r="E1789" s="70" t="s">
        <v>9454</v>
      </c>
      <c r="F1789" s="17" t="s">
        <v>806</v>
      </c>
      <c r="G1789" s="22" t="s">
        <v>907</v>
      </c>
      <c r="H1789" s="12" t="s">
        <v>9703</v>
      </c>
      <c r="I1789" s="13" t="s">
        <v>907</v>
      </c>
      <c r="J1789" s="14" t="s">
        <v>798</v>
      </c>
      <c r="K1789" s="15" t="s">
        <v>798</v>
      </c>
      <c r="L1789" s="12" t="s">
        <v>5315</v>
      </c>
      <c r="M1789" s="13" t="s">
        <v>6040</v>
      </c>
      <c r="N1789" s="12" t="s">
        <v>803</v>
      </c>
      <c r="O1789" s="13" t="s">
        <v>4861</v>
      </c>
      <c r="P1789" s="17" t="s">
        <v>802</v>
      </c>
      <c r="Q1789" s="21" t="s">
        <v>7803</v>
      </c>
      <c r="R1789" s="17" t="s">
        <v>801</v>
      </c>
      <c r="S1789" s="18" t="s">
        <v>2554</v>
      </c>
      <c r="T1789" s="17" t="s">
        <v>800</v>
      </c>
      <c r="U1789" s="18" t="s">
        <v>5233</v>
      </c>
      <c r="V1789" s="17" t="s">
        <v>9418</v>
      </c>
      <c r="W1789" s="18" t="s">
        <v>5310</v>
      </c>
      <c r="X1789" s="69" t="s">
        <v>9453</v>
      </c>
      <c r="Y1789" s="70" t="s">
        <v>9463</v>
      </c>
      <c r="Z1789" s="73" t="s">
        <v>9486</v>
      </c>
      <c r="AA1789" s="74" t="s">
        <v>9504</v>
      </c>
      <c r="AB1789" s="73" t="s">
        <v>9486</v>
      </c>
      <c r="AC1789" s="74" t="s">
        <v>9562</v>
      </c>
      <c r="AD1789" s="73" t="s">
        <v>9578</v>
      </c>
      <c r="AE1789" s="74" t="s">
        <v>9579</v>
      </c>
    </row>
    <row r="1790" spans="1:31" ht="8.65" customHeight="1" x14ac:dyDescent="0.2">
      <c r="A1790" s="76">
        <v>1790</v>
      </c>
      <c r="B1790" s="67" t="str">
        <f>MID(C1790, FIND("Ifc.", C1790) + 4, 4) &amp; "_" &amp; TEXT(COUNTIF($C$2:C1790, C1790),"0000")</f>
        <v>Prop_1789</v>
      </c>
      <c r="C1790" s="24" t="s">
        <v>872</v>
      </c>
      <c r="D1790" s="69" t="s">
        <v>9453</v>
      </c>
      <c r="E1790" s="70" t="s">
        <v>9454</v>
      </c>
      <c r="F1790" s="17" t="s">
        <v>806</v>
      </c>
      <c r="G1790" s="22" t="s">
        <v>907</v>
      </c>
      <c r="H1790" s="12" t="s">
        <v>9703</v>
      </c>
      <c r="I1790" s="13" t="s">
        <v>907</v>
      </c>
      <c r="J1790" s="14" t="s">
        <v>798</v>
      </c>
      <c r="K1790" s="15" t="s">
        <v>798</v>
      </c>
      <c r="L1790" s="12" t="s">
        <v>5315</v>
      </c>
      <c r="M1790" s="13" t="s">
        <v>6041</v>
      </c>
      <c r="N1790" s="12" t="s">
        <v>803</v>
      </c>
      <c r="O1790" s="13" t="s">
        <v>4862</v>
      </c>
      <c r="P1790" s="17" t="s">
        <v>802</v>
      </c>
      <c r="Q1790" s="21" t="s">
        <v>7795</v>
      </c>
      <c r="R1790" s="17" t="s">
        <v>801</v>
      </c>
      <c r="S1790" s="18" t="s">
        <v>2554</v>
      </c>
      <c r="T1790" s="17" t="s">
        <v>800</v>
      </c>
      <c r="U1790" s="18" t="s">
        <v>5233</v>
      </c>
      <c r="V1790" s="17" t="s">
        <v>9418</v>
      </c>
      <c r="W1790" s="18" t="s">
        <v>5310</v>
      </c>
      <c r="X1790" s="69" t="s">
        <v>9453</v>
      </c>
      <c r="Y1790" s="70" t="s">
        <v>9463</v>
      </c>
      <c r="Z1790" s="73" t="s">
        <v>9486</v>
      </c>
      <c r="AA1790" s="74" t="s">
        <v>9504</v>
      </c>
      <c r="AB1790" s="73" t="s">
        <v>9486</v>
      </c>
      <c r="AC1790" s="74" t="s">
        <v>9562</v>
      </c>
      <c r="AD1790" s="73" t="s">
        <v>9578</v>
      </c>
      <c r="AE1790" s="74" t="s">
        <v>9579</v>
      </c>
    </row>
    <row r="1791" spans="1:31" ht="8.65" customHeight="1" x14ac:dyDescent="0.2">
      <c r="A1791" s="76">
        <v>1791</v>
      </c>
      <c r="B1791" s="67" t="str">
        <f>MID(C1791, FIND("Ifc.", C1791) + 4, 4) &amp; "_" &amp; TEXT(COUNTIF($C$2:C1791, C1791),"0000")</f>
        <v>Prop_1790</v>
      </c>
      <c r="C1791" s="24" t="s">
        <v>872</v>
      </c>
      <c r="D1791" s="69" t="s">
        <v>9453</v>
      </c>
      <c r="E1791" s="70" t="s">
        <v>9454</v>
      </c>
      <c r="F1791" s="17" t="s">
        <v>806</v>
      </c>
      <c r="G1791" s="22" t="s">
        <v>907</v>
      </c>
      <c r="H1791" s="12" t="s">
        <v>9703</v>
      </c>
      <c r="I1791" s="13" t="s">
        <v>907</v>
      </c>
      <c r="J1791" s="14" t="s">
        <v>798</v>
      </c>
      <c r="K1791" s="15" t="s">
        <v>798</v>
      </c>
      <c r="L1791" s="12" t="s">
        <v>5315</v>
      </c>
      <c r="M1791" s="13" t="s">
        <v>6042</v>
      </c>
      <c r="N1791" s="12" t="s">
        <v>803</v>
      </c>
      <c r="O1791" s="13" t="s">
        <v>4863</v>
      </c>
      <c r="P1791" s="17" t="s">
        <v>802</v>
      </c>
      <c r="Q1791" s="21" t="s">
        <v>7759</v>
      </c>
      <c r="R1791" s="17" t="s">
        <v>801</v>
      </c>
      <c r="S1791" s="18" t="s">
        <v>2554</v>
      </c>
      <c r="T1791" s="17" t="s">
        <v>800</v>
      </c>
      <c r="U1791" s="18" t="s">
        <v>5233</v>
      </c>
      <c r="V1791" s="17" t="s">
        <v>9418</v>
      </c>
      <c r="W1791" s="18" t="s">
        <v>5310</v>
      </c>
      <c r="X1791" s="69" t="s">
        <v>9453</v>
      </c>
      <c r="Y1791" s="70" t="s">
        <v>9463</v>
      </c>
      <c r="Z1791" s="73" t="s">
        <v>9486</v>
      </c>
      <c r="AA1791" s="74" t="s">
        <v>9504</v>
      </c>
      <c r="AB1791" s="73" t="s">
        <v>9486</v>
      </c>
      <c r="AC1791" s="74" t="s">
        <v>9562</v>
      </c>
      <c r="AD1791" s="73" t="s">
        <v>9578</v>
      </c>
      <c r="AE1791" s="74" t="s">
        <v>9579</v>
      </c>
    </row>
    <row r="1792" spans="1:31" ht="8.65" customHeight="1" x14ac:dyDescent="0.2">
      <c r="A1792" s="76">
        <v>1792</v>
      </c>
      <c r="B1792" s="67" t="str">
        <f>MID(C1792, FIND("Ifc.", C1792) + 4, 4) &amp; "_" &amp; TEXT(COUNTIF($C$2:C1792, C1792),"0000")</f>
        <v>Prop_1791</v>
      </c>
      <c r="C1792" s="24" t="s">
        <v>872</v>
      </c>
      <c r="D1792" s="69" t="s">
        <v>9453</v>
      </c>
      <c r="E1792" s="70" t="s">
        <v>9454</v>
      </c>
      <c r="F1792" s="17" t="s">
        <v>806</v>
      </c>
      <c r="G1792" s="22" t="s">
        <v>907</v>
      </c>
      <c r="H1792" s="12" t="s">
        <v>9703</v>
      </c>
      <c r="I1792" s="13" t="s">
        <v>907</v>
      </c>
      <c r="J1792" s="14" t="s">
        <v>798</v>
      </c>
      <c r="K1792" s="15" t="s">
        <v>798</v>
      </c>
      <c r="L1792" s="12" t="s">
        <v>5315</v>
      </c>
      <c r="M1792" s="13" t="s">
        <v>5394</v>
      </c>
      <c r="N1792" s="12" t="s">
        <v>803</v>
      </c>
      <c r="O1792" s="13" t="s">
        <v>4865</v>
      </c>
      <c r="P1792" s="17" t="s">
        <v>802</v>
      </c>
      <c r="Q1792" s="21" t="s">
        <v>8025</v>
      </c>
      <c r="R1792" s="17" t="s">
        <v>801</v>
      </c>
      <c r="S1792" s="18" t="s">
        <v>2554</v>
      </c>
      <c r="T1792" s="17" t="s">
        <v>800</v>
      </c>
      <c r="U1792" s="18" t="s">
        <v>5233</v>
      </c>
      <c r="V1792" s="17" t="s">
        <v>9418</v>
      </c>
      <c r="W1792" s="18" t="s">
        <v>5310</v>
      </c>
      <c r="X1792" s="69" t="s">
        <v>9453</v>
      </c>
      <c r="Y1792" s="70" t="s">
        <v>9463</v>
      </c>
      <c r="Z1792" s="73" t="s">
        <v>9486</v>
      </c>
      <c r="AA1792" s="74" t="s">
        <v>9504</v>
      </c>
      <c r="AB1792" s="73" t="s">
        <v>9486</v>
      </c>
      <c r="AC1792" s="74" t="s">
        <v>9562</v>
      </c>
      <c r="AD1792" s="73" t="s">
        <v>9578</v>
      </c>
      <c r="AE1792" s="74" t="s">
        <v>9579</v>
      </c>
    </row>
    <row r="1793" spans="1:31" ht="8.65" customHeight="1" x14ac:dyDescent="0.2">
      <c r="A1793" s="76">
        <v>1793</v>
      </c>
      <c r="B1793" s="67" t="str">
        <f>MID(C1793, FIND("Ifc.", C1793) + 4, 4) &amp; "_" &amp; TEXT(COUNTIF($C$2:C1793, C1793),"0000")</f>
        <v>Prop_1792</v>
      </c>
      <c r="C1793" s="24" t="s">
        <v>872</v>
      </c>
      <c r="D1793" s="69" t="s">
        <v>9453</v>
      </c>
      <c r="E1793" s="70" t="s">
        <v>9454</v>
      </c>
      <c r="F1793" s="17" t="s">
        <v>806</v>
      </c>
      <c r="G1793" s="22" t="s">
        <v>907</v>
      </c>
      <c r="H1793" s="12" t="s">
        <v>9703</v>
      </c>
      <c r="I1793" s="13" t="s">
        <v>907</v>
      </c>
      <c r="J1793" s="14" t="s">
        <v>798</v>
      </c>
      <c r="K1793" s="15" t="s">
        <v>798</v>
      </c>
      <c r="L1793" s="12" t="s">
        <v>5315</v>
      </c>
      <c r="M1793" s="13" t="s">
        <v>5395</v>
      </c>
      <c r="N1793" s="12" t="s">
        <v>803</v>
      </c>
      <c r="O1793" s="13" t="s">
        <v>4866</v>
      </c>
      <c r="P1793" s="17" t="s">
        <v>802</v>
      </c>
      <c r="Q1793" s="21" t="s">
        <v>7821</v>
      </c>
      <c r="R1793" s="17" t="s">
        <v>801</v>
      </c>
      <c r="S1793" s="18" t="s">
        <v>2554</v>
      </c>
      <c r="T1793" s="17" t="s">
        <v>800</v>
      </c>
      <c r="U1793" s="18" t="s">
        <v>5233</v>
      </c>
      <c r="V1793" s="17" t="s">
        <v>9418</v>
      </c>
      <c r="W1793" s="18" t="s">
        <v>5310</v>
      </c>
      <c r="X1793" s="69" t="s">
        <v>9453</v>
      </c>
      <c r="Y1793" s="70" t="s">
        <v>9463</v>
      </c>
      <c r="Z1793" s="73" t="s">
        <v>9486</v>
      </c>
      <c r="AA1793" s="74" t="s">
        <v>9504</v>
      </c>
      <c r="AB1793" s="73" t="s">
        <v>9486</v>
      </c>
      <c r="AC1793" s="74" t="s">
        <v>9562</v>
      </c>
      <c r="AD1793" s="73" t="s">
        <v>9578</v>
      </c>
      <c r="AE1793" s="74" t="s">
        <v>9579</v>
      </c>
    </row>
    <row r="1794" spans="1:31" ht="8.65" customHeight="1" x14ac:dyDescent="0.2">
      <c r="A1794" s="76">
        <v>1794</v>
      </c>
      <c r="B1794" s="67" t="str">
        <f>MID(C1794, FIND("Ifc.", C1794) + 4, 4) &amp; "_" &amp; TEXT(COUNTIF($C$2:C1794, C1794),"0000")</f>
        <v>Prop_1793</v>
      </c>
      <c r="C1794" s="24" t="s">
        <v>872</v>
      </c>
      <c r="D1794" s="69" t="s">
        <v>9453</v>
      </c>
      <c r="E1794" s="70" t="s">
        <v>9454</v>
      </c>
      <c r="F1794" s="17" t="s">
        <v>806</v>
      </c>
      <c r="G1794" s="22" t="s">
        <v>907</v>
      </c>
      <c r="H1794" s="12" t="s">
        <v>9703</v>
      </c>
      <c r="I1794" s="13" t="s">
        <v>907</v>
      </c>
      <c r="J1794" s="14" t="s">
        <v>798</v>
      </c>
      <c r="K1794" s="15" t="s">
        <v>798</v>
      </c>
      <c r="L1794" s="12" t="s">
        <v>5315</v>
      </c>
      <c r="M1794" s="13" t="s">
        <v>5396</v>
      </c>
      <c r="N1794" s="12" t="s">
        <v>803</v>
      </c>
      <c r="O1794" s="13" t="s">
        <v>4868</v>
      </c>
      <c r="P1794" s="17" t="s">
        <v>802</v>
      </c>
      <c r="Q1794" s="21" t="s">
        <v>8026</v>
      </c>
      <c r="R1794" s="17" t="s">
        <v>801</v>
      </c>
      <c r="S1794" s="18" t="s">
        <v>2554</v>
      </c>
      <c r="T1794" s="17" t="s">
        <v>800</v>
      </c>
      <c r="U1794" s="18" t="s">
        <v>5233</v>
      </c>
      <c r="V1794" s="17" t="s">
        <v>9418</v>
      </c>
      <c r="W1794" s="18" t="s">
        <v>5310</v>
      </c>
      <c r="X1794" s="69" t="s">
        <v>9453</v>
      </c>
      <c r="Y1794" s="70" t="s">
        <v>9463</v>
      </c>
      <c r="Z1794" s="73" t="s">
        <v>9486</v>
      </c>
      <c r="AA1794" s="74" t="s">
        <v>9504</v>
      </c>
      <c r="AB1794" s="73" t="s">
        <v>9486</v>
      </c>
      <c r="AC1794" s="74" t="s">
        <v>9562</v>
      </c>
      <c r="AD1794" s="73" t="s">
        <v>9578</v>
      </c>
      <c r="AE1794" s="74" t="s">
        <v>9579</v>
      </c>
    </row>
    <row r="1795" spans="1:31" ht="8.65" customHeight="1" x14ac:dyDescent="0.2">
      <c r="A1795" s="76">
        <v>1795</v>
      </c>
      <c r="B1795" s="67" t="str">
        <f>MID(C1795, FIND("Ifc.", C1795) + 4, 4) &amp; "_" &amp; TEXT(COUNTIF($C$2:C1795, C1795),"0000")</f>
        <v>Prop_1794</v>
      </c>
      <c r="C1795" s="24" t="s">
        <v>872</v>
      </c>
      <c r="D1795" s="69" t="s">
        <v>9453</v>
      </c>
      <c r="E1795" s="70" t="s">
        <v>9454</v>
      </c>
      <c r="F1795" s="17" t="s">
        <v>806</v>
      </c>
      <c r="G1795" s="22" t="s">
        <v>907</v>
      </c>
      <c r="H1795" s="12" t="s">
        <v>9703</v>
      </c>
      <c r="I1795" s="13" t="s">
        <v>907</v>
      </c>
      <c r="J1795" s="14" t="s">
        <v>798</v>
      </c>
      <c r="K1795" s="15" t="s">
        <v>798</v>
      </c>
      <c r="L1795" s="12" t="s">
        <v>5315</v>
      </c>
      <c r="M1795" s="13" t="s">
        <v>5397</v>
      </c>
      <c r="N1795" s="12" t="s">
        <v>803</v>
      </c>
      <c r="O1795" s="13" t="s">
        <v>4869</v>
      </c>
      <c r="P1795" s="17" t="s">
        <v>802</v>
      </c>
      <c r="Q1795" s="21" t="s">
        <v>8027</v>
      </c>
      <c r="R1795" s="17" t="s">
        <v>801</v>
      </c>
      <c r="S1795" s="18" t="s">
        <v>2554</v>
      </c>
      <c r="T1795" s="17" t="s">
        <v>800</v>
      </c>
      <c r="U1795" s="18" t="s">
        <v>5233</v>
      </c>
      <c r="V1795" s="17" t="s">
        <v>9418</v>
      </c>
      <c r="W1795" s="18" t="s">
        <v>5310</v>
      </c>
      <c r="X1795" s="69" t="s">
        <v>9453</v>
      </c>
      <c r="Y1795" s="70" t="s">
        <v>9463</v>
      </c>
      <c r="Z1795" s="73" t="s">
        <v>9486</v>
      </c>
      <c r="AA1795" s="74" t="s">
        <v>9504</v>
      </c>
      <c r="AB1795" s="73" t="s">
        <v>9486</v>
      </c>
      <c r="AC1795" s="74" t="s">
        <v>9562</v>
      </c>
      <c r="AD1795" s="73" t="s">
        <v>9578</v>
      </c>
      <c r="AE1795" s="74" t="s">
        <v>9579</v>
      </c>
    </row>
    <row r="1796" spans="1:31" ht="8.65" customHeight="1" x14ac:dyDescent="0.2">
      <c r="A1796" s="76">
        <v>1796</v>
      </c>
      <c r="B1796" s="67" t="str">
        <f>MID(C1796, FIND("Ifc.", C1796) + 4, 4) &amp; "_" &amp; TEXT(COUNTIF($C$2:C1796, C1796),"0000")</f>
        <v>Prop_1795</v>
      </c>
      <c r="C1796" s="24" t="s">
        <v>872</v>
      </c>
      <c r="D1796" s="69" t="s">
        <v>9453</v>
      </c>
      <c r="E1796" s="70" t="s">
        <v>9454</v>
      </c>
      <c r="F1796" s="17" t="s">
        <v>806</v>
      </c>
      <c r="G1796" s="22" t="s">
        <v>907</v>
      </c>
      <c r="H1796" s="12" t="s">
        <v>9703</v>
      </c>
      <c r="I1796" s="13" t="s">
        <v>907</v>
      </c>
      <c r="J1796" s="14" t="s">
        <v>798</v>
      </c>
      <c r="K1796" s="15" t="s">
        <v>798</v>
      </c>
      <c r="L1796" s="12" t="s">
        <v>5315</v>
      </c>
      <c r="M1796" s="13" t="s">
        <v>6046</v>
      </c>
      <c r="N1796" s="12" t="s">
        <v>803</v>
      </c>
      <c r="O1796" s="13" t="s">
        <v>4870</v>
      </c>
      <c r="P1796" s="17" t="s">
        <v>802</v>
      </c>
      <c r="Q1796" s="21" t="s">
        <v>7822</v>
      </c>
      <c r="R1796" s="17" t="s">
        <v>801</v>
      </c>
      <c r="S1796" s="18" t="s">
        <v>2554</v>
      </c>
      <c r="T1796" s="17" t="s">
        <v>800</v>
      </c>
      <c r="U1796" s="18" t="s">
        <v>5233</v>
      </c>
      <c r="V1796" s="17" t="s">
        <v>9418</v>
      </c>
      <c r="W1796" s="18" t="s">
        <v>5310</v>
      </c>
      <c r="X1796" s="69" t="s">
        <v>9453</v>
      </c>
      <c r="Y1796" s="70" t="s">
        <v>9463</v>
      </c>
      <c r="Z1796" s="73" t="s">
        <v>9486</v>
      </c>
      <c r="AA1796" s="74" t="s">
        <v>9504</v>
      </c>
      <c r="AB1796" s="73" t="s">
        <v>9486</v>
      </c>
      <c r="AC1796" s="74" t="s">
        <v>9562</v>
      </c>
      <c r="AD1796" s="73" t="s">
        <v>9578</v>
      </c>
      <c r="AE1796" s="74" t="s">
        <v>9579</v>
      </c>
    </row>
    <row r="1797" spans="1:31" ht="8.65" customHeight="1" x14ac:dyDescent="0.2">
      <c r="A1797" s="76">
        <v>1797</v>
      </c>
      <c r="B1797" s="67" t="str">
        <f>MID(C1797, FIND("Ifc.", C1797) + 4, 4) &amp; "_" &amp; TEXT(COUNTIF($C$2:C1797, C1797),"0000")</f>
        <v>Prop_1796</v>
      </c>
      <c r="C1797" s="24" t="s">
        <v>872</v>
      </c>
      <c r="D1797" s="69" t="s">
        <v>9453</v>
      </c>
      <c r="E1797" s="70" t="s">
        <v>9454</v>
      </c>
      <c r="F1797" s="17" t="s">
        <v>806</v>
      </c>
      <c r="G1797" s="22" t="s">
        <v>907</v>
      </c>
      <c r="H1797" s="12" t="s">
        <v>9703</v>
      </c>
      <c r="I1797" s="13" t="s">
        <v>907</v>
      </c>
      <c r="J1797" s="14" t="s">
        <v>798</v>
      </c>
      <c r="K1797" s="15" t="s">
        <v>798</v>
      </c>
      <c r="L1797" s="12" t="s">
        <v>5315</v>
      </c>
      <c r="M1797" s="13" t="s">
        <v>6047</v>
      </c>
      <c r="N1797" s="12" t="s">
        <v>803</v>
      </c>
      <c r="O1797" s="13" t="s">
        <v>4876</v>
      </c>
      <c r="P1797" s="17" t="s">
        <v>802</v>
      </c>
      <c r="Q1797" s="21" t="s">
        <v>8028</v>
      </c>
      <c r="R1797" s="17" t="s">
        <v>801</v>
      </c>
      <c r="S1797" s="18" t="s">
        <v>2554</v>
      </c>
      <c r="T1797" s="17" t="s">
        <v>800</v>
      </c>
      <c r="U1797" s="18" t="s">
        <v>5233</v>
      </c>
      <c r="V1797" s="17" t="s">
        <v>9418</v>
      </c>
      <c r="W1797" s="18" t="s">
        <v>5310</v>
      </c>
      <c r="X1797" s="69" t="s">
        <v>9453</v>
      </c>
      <c r="Y1797" s="70" t="s">
        <v>9463</v>
      </c>
      <c r="Z1797" s="73" t="s">
        <v>9486</v>
      </c>
      <c r="AA1797" s="74" t="s">
        <v>9504</v>
      </c>
      <c r="AB1797" s="73" t="s">
        <v>9486</v>
      </c>
      <c r="AC1797" s="74" t="s">
        <v>9562</v>
      </c>
      <c r="AD1797" s="73" t="s">
        <v>9578</v>
      </c>
      <c r="AE1797" s="74" t="s">
        <v>9579</v>
      </c>
    </row>
    <row r="1798" spans="1:31" ht="8.65" customHeight="1" x14ac:dyDescent="0.2">
      <c r="A1798" s="76">
        <v>1798</v>
      </c>
      <c r="B1798" s="67" t="str">
        <f>MID(C1798, FIND("Ifc.", C1798) + 4, 4) &amp; "_" &amp; TEXT(COUNTIF($C$2:C1798, C1798),"0000")</f>
        <v>Prop_1797</v>
      </c>
      <c r="C1798" s="24" t="s">
        <v>872</v>
      </c>
      <c r="D1798" s="69" t="s">
        <v>9453</v>
      </c>
      <c r="E1798" s="70" t="s">
        <v>9454</v>
      </c>
      <c r="F1798" s="17" t="s">
        <v>806</v>
      </c>
      <c r="G1798" s="22" t="s">
        <v>907</v>
      </c>
      <c r="H1798" s="12" t="s">
        <v>9703</v>
      </c>
      <c r="I1798" s="13" t="s">
        <v>907</v>
      </c>
      <c r="J1798" s="14" t="s">
        <v>798</v>
      </c>
      <c r="K1798" s="15" t="s">
        <v>798</v>
      </c>
      <c r="L1798" s="12" t="s">
        <v>5315</v>
      </c>
      <c r="M1798" s="13" t="s">
        <v>6052</v>
      </c>
      <c r="N1798" s="12" t="s">
        <v>803</v>
      </c>
      <c r="O1798" s="13" t="s">
        <v>4875</v>
      </c>
      <c r="P1798" s="17" t="s">
        <v>802</v>
      </c>
      <c r="Q1798" s="21" t="s">
        <v>8029</v>
      </c>
      <c r="R1798" s="17" t="s">
        <v>801</v>
      </c>
      <c r="S1798" s="18" t="s">
        <v>2554</v>
      </c>
      <c r="T1798" s="17" t="s">
        <v>800</v>
      </c>
      <c r="U1798" s="18" t="s">
        <v>5233</v>
      </c>
      <c r="V1798" s="17" t="s">
        <v>9418</v>
      </c>
      <c r="W1798" s="18" t="s">
        <v>5310</v>
      </c>
      <c r="X1798" s="69" t="s">
        <v>9453</v>
      </c>
      <c r="Y1798" s="70" t="s">
        <v>9463</v>
      </c>
      <c r="Z1798" s="73" t="s">
        <v>9486</v>
      </c>
      <c r="AA1798" s="74" t="s">
        <v>9504</v>
      </c>
      <c r="AB1798" s="73" t="s">
        <v>9486</v>
      </c>
      <c r="AC1798" s="74" t="s">
        <v>9562</v>
      </c>
      <c r="AD1798" s="73" t="s">
        <v>9578</v>
      </c>
      <c r="AE1798" s="74" t="s">
        <v>9579</v>
      </c>
    </row>
    <row r="1799" spans="1:31" ht="8.65" customHeight="1" x14ac:dyDescent="0.2">
      <c r="A1799" s="76">
        <v>1799</v>
      </c>
      <c r="B1799" s="67" t="str">
        <f>MID(C1799, FIND("Ifc.", C1799) + 4, 4) &amp; "_" &amp; TEXT(COUNTIF($C$2:C1799, C1799),"0000")</f>
        <v>Prop_1798</v>
      </c>
      <c r="C1799" s="24" t="s">
        <v>872</v>
      </c>
      <c r="D1799" s="69" t="s">
        <v>9453</v>
      </c>
      <c r="E1799" s="70" t="s">
        <v>9454</v>
      </c>
      <c r="F1799" s="17" t="s">
        <v>806</v>
      </c>
      <c r="G1799" s="22" t="s">
        <v>907</v>
      </c>
      <c r="H1799" s="12" t="s">
        <v>9703</v>
      </c>
      <c r="I1799" s="13" t="s">
        <v>907</v>
      </c>
      <c r="J1799" s="14" t="s">
        <v>798</v>
      </c>
      <c r="K1799" s="15" t="s">
        <v>798</v>
      </c>
      <c r="L1799" s="12" t="s">
        <v>5315</v>
      </c>
      <c r="M1799" s="13" t="s">
        <v>6057</v>
      </c>
      <c r="N1799" s="12" t="s">
        <v>803</v>
      </c>
      <c r="O1799" s="13" t="s">
        <v>4887</v>
      </c>
      <c r="P1799" s="17" t="s">
        <v>802</v>
      </c>
      <c r="Q1799" s="21" t="s">
        <v>7720</v>
      </c>
      <c r="R1799" s="17" t="s">
        <v>801</v>
      </c>
      <c r="S1799" s="18" t="s">
        <v>2554</v>
      </c>
      <c r="T1799" s="17" t="s">
        <v>800</v>
      </c>
      <c r="U1799" s="18" t="s">
        <v>5233</v>
      </c>
      <c r="V1799" s="17" t="s">
        <v>9418</v>
      </c>
      <c r="W1799" s="18" t="s">
        <v>5310</v>
      </c>
      <c r="X1799" s="69" t="s">
        <v>9453</v>
      </c>
      <c r="Y1799" s="70" t="s">
        <v>9463</v>
      </c>
      <c r="Z1799" s="73" t="s">
        <v>9486</v>
      </c>
      <c r="AA1799" s="74" t="s">
        <v>9504</v>
      </c>
      <c r="AB1799" s="73" t="s">
        <v>9486</v>
      </c>
      <c r="AC1799" s="74" t="s">
        <v>9562</v>
      </c>
      <c r="AD1799" s="73" t="s">
        <v>9578</v>
      </c>
      <c r="AE1799" s="74" t="s">
        <v>9579</v>
      </c>
    </row>
    <row r="1800" spans="1:31" ht="8.65" customHeight="1" x14ac:dyDescent="0.2">
      <c r="A1800" s="76">
        <v>1800</v>
      </c>
      <c r="B1800" s="67" t="str">
        <f>MID(C1800, FIND("Ifc.", C1800) + 4, 4) &amp; "_" &amp; TEXT(COUNTIF($C$2:C1800, C1800),"0000")</f>
        <v>Prop_1799</v>
      </c>
      <c r="C1800" s="24" t="s">
        <v>872</v>
      </c>
      <c r="D1800" s="69" t="s">
        <v>9453</v>
      </c>
      <c r="E1800" s="70" t="s">
        <v>9454</v>
      </c>
      <c r="F1800" s="17" t="s">
        <v>806</v>
      </c>
      <c r="G1800" s="22" t="s">
        <v>907</v>
      </c>
      <c r="H1800" s="12" t="s">
        <v>9703</v>
      </c>
      <c r="I1800" s="13" t="s">
        <v>907</v>
      </c>
      <c r="J1800" s="14" t="s">
        <v>798</v>
      </c>
      <c r="K1800" s="15" t="s">
        <v>798</v>
      </c>
      <c r="L1800" s="12" t="s">
        <v>5315</v>
      </c>
      <c r="M1800" s="13" t="s">
        <v>5403</v>
      </c>
      <c r="N1800" s="12" t="s">
        <v>803</v>
      </c>
      <c r="O1800" s="13" t="s">
        <v>4891</v>
      </c>
      <c r="P1800" s="17" t="s">
        <v>802</v>
      </c>
      <c r="Q1800" s="21" t="s">
        <v>7789</v>
      </c>
      <c r="R1800" s="17" t="s">
        <v>801</v>
      </c>
      <c r="S1800" s="18" t="s">
        <v>2554</v>
      </c>
      <c r="T1800" s="17" t="s">
        <v>800</v>
      </c>
      <c r="U1800" s="18" t="s">
        <v>5233</v>
      </c>
      <c r="V1800" s="17" t="s">
        <v>9418</v>
      </c>
      <c r="W1800" s="18" t="s">
        <v>5310</v>
      </c>
      <c r="X1800" s="69" t="s">
        <v>9453</v>
      </c>
      <c r="Y1800" s="70" t="s">
        <v>9463</v>
      </c>
      <c r="Z1800" s="73" t="s">
        <v>9486</v>
      </c>
      <c r="AA1800" s="74" t="s">
        <v>9504</v>
      </c>
      <c r="AB1800" s="73" t="s">
        <v>9486</v>
      </c>
      <c r="AC1800" s="74" t="s">
        <v>9562</v>
      </c>
      <c r="AD1800" s="73" t="s">
        <v>9578</v>
      </c>
      <c r="AE1800" s="74" t="s">
        <v>9579</v>
      </c>
    </row>
    <row r="1801" spans="1:31" ht="8.65" customHeight="1" x14ac:dyDescent="0.2">
      <c r="A1801" s="76">
        <v>1801</v>
      </c>
      <c r="B1801" s="67" t="str">
        <f>MID(C1801, FIND("Ifc.", C1801) + 4, 4) &amp; "_" &amp; TEXT(COUNTIF($C$2:C1801, C1801),"0000")</f>
        <v>Prop_1800</v>
      </c>
      <c r="C1801" s="24" t="s">
        <v>872</v>
      </c>
      <c r="D1801" s="69" t="s">
        <v>9453</v>
      </c>
      <c r="E1801" s="70" t="s">
        <v>9454</v>
      </c>
      <c r="F1801" s="17" t="s">
        <v>806</v>
      </c>
      <c r="G1801" s="22" t="s">
        <v>907</v>
      </c>
      <c r="H1801" s="12" t="s">
        <v>9703</v>
      </c>
      <c r="I1801" s="13" t="s">
        <v>907</v>
      </c>
      <c r="J1801" s="14" t="s">
        <v>798</v>
      </c>
      <c r="K1801" s="15" t="s">
        <v>798</v>
      </c>
      <c r="L1801" s="12" t="s">
        <v>5315</v>
      </c>
      <c r="M1801" s="13" t="s">
        <v>5404</v>
      </c>
      <c r="N1801" s="12" t="s">
        <v>803</v>
      </c>
      <c r="O1801" s="13" t="s">
        <v>4892</v>
      </c>
      <c r="P1801" s="17" t="s">
        <v>802</v>
      </c>
      <c r="Q1801" s="21" t="s">
        <v>7965</v>
      </c>
      <c r="R1801" s="17" t="s">
        <v>801</v>
      </c>
      <c r="S1801" s="18" t="s">
        <v>2554</v>
      </c>
      <c r="T1801" s="17" t="s">
        <v>800</v>
      </c>
      <c r="U1801" s="18" t="s">
        <v>5233</v>
      </c>
      <c r="V1801" s="17" t="s">
        <v>9418</v>
      </c>
      <c r="W1801" s="18" t="s">
        <v>5310</v>
      </c>
      <c r="X1801" s="69" t="s">
        <v>9453</v>
      </c>
      <c r="Y1801" s="70" t="s">
        <v>9463</v>
      </c>
      <c r="Z1801" s="73" t="s">
        <v>9486</v>
      </c>
      <c r="AA1801" s="74" t="s">
        <v>9504</v>
      </c>
      <c r="AB1801" s="73" t="s">
        <v>9486</v>
      </c>
      <c r="AC1801" s="74" t="s">
        <v>9562</v>
      </c>
      <c r="AD1801" s="73" t="s">
        <v>9578</v>
      </c>
      <c r="AE1801" s="74" t="s">
        <v>9579</v>
      </c>
    </row>
    <row r="1802" spans="1:31" ht="8.65" customHeight="1" x14ac:dyDescent="0.2">
      <c r="A1802" s="76">
        <v>1802</v>
      </c>
      <c r="B1802" s="67" t="str">
        <f>MID(C1802, FIND("Ifc.", C1802) + 4, 4) &amp; "_" &amp; TEXT(COUNTIF($C$2:C1802, C1802),"0000")</f>
        <v>Prop_1801</v>
      </c>
      <c r="C1802" s="24" t="s">
        <v>872</v>
      </c>
      <c r="D1802" s="69" t="s">
        <v>9453</v>
      </c>
      <c r="E1802" s="70" t="s">
        <v>9454</v>
      </c>
      <c r="F1802" s="17" t="s">
        <v>806</v>
      </c>
      <c r="G1802" s="22" t="s">
        <v>907</v>
      </c>
      <c r="H1802" s="12" t="s">
        <v>9703</v>
      </c>
      <c r="I1802" s="13" t="s">
        <v>907</v>
      </c>
      <c r="J1802" s="14" t="s">
        <v>798</v>
      </c>
      <c r="K1802" s="15" t="s">
        <v>798</v>
      </c>
      <c r="L1802" s="12" t="s">
        <v>5315</v>
      </c>
      <c r="M1802" s="13" t="s">
        <v>6025</v>
      </c>
      <c r="N1802" s="12" t="s">
        <v>803</v>
      </c>
      <c r="O1802" s="13" t="s">
        <v>5211</v>
      </c>
      <c r="P1802" s="17" t="s">
        <v>802</v>
      </c>
      <c r="Q1802" s="21" t="s">
        <v>7938</v>
      </c>
      <c r="R1802" s="17" t="s">
        <v>801</v>
      </c>
      <c r="S1802" s="18" t="s">
        <v>2554</v>
      </c>
      <c r="T1802" s="17" t="s">
        <v>800</v>
      </c>
      <c r="U1802" s="18" t="s">
        <v>5233</v>
      </c>
      <c r="V1802" s="17" t="s">
        <v>9418</v>
      </c>
      <c r="W1802" s="18" t="s">
        <v>5310</v>
      </c>
      <c r="X1802" s="69" t="s">
        <v>9453</v>
      </c>
      <c r="Y1802" s="70" t="s">
        <v>9463</v>
      </c>
      <c r="Z1802" s="73" t="s">
        <v>9486</v>
      </c>
      <c r="AA1802" s="74" t="s">
        <v>9504</v>
      </c>
      <c r="AB1802" s="73" t="s">
        <v>9486</v>
      </c>
      <c r="AC1802" s="74" t="s">
        <v>9562</v>
      </c>
      <c r="AD1802" s="73" t="s">
        <v>9578</v>
      </c>
      <c r="AE1802" s="74" t="s">
        <v>9579</v>
      </c>
    </row>
    <row r="1803" spans="1:31" ht="8.65" customHeight="1" x14ac:dyDescent="0.2">
      <c r="A1803" s="76">
        <v>1803</v>
      </c>
      <c r="B1803" s="67" t="str">
        <f>MID(C1803, FIND("Ifc.", C1803) + 4, 4) &amp; "_" &amp; TEXT(COUNTIF($C$2:C1803, C1803),"0000")</f>
        <v>Prop_1802</v>
      </c>
      <c r="C1803" s="24" t="s">
        <v>872</v>
      </c>
      <c r="D1803" s="69" t="s">
        <v>9453</v>
      </c>
      <c r="E1803" s="70" t="s">
        <v>9454</v>
      </c>
      <c r="F1803" s="17" t="s">
        <v>806</v>
      </c>
      <c r="G1803" s="22" t="s">
        <v>907</v>
      </c>
      <c r="H1803" s="12" t="s">
        <v>9703</v>
      </c>
      <c r="I1803" s="13" t="s">
        <v>907</v>
      </c>
      <c r="J1803" s="14" t="s">
        <v>798</v>
      </c>
      <c r="K1803" s="15" t="s">
        <v>798</v>
      </c>
      <c r="L1803" s="12" t="s">
        <v>5315</v>
      </c>
      <c r="M1803" s="13" t="s">
        <v>5407</v>
      </c>
      <c r="N1803" s="12" t="s">
        <v>803</v>
      </c>
      <c r="O1803" s="13" t="s">
        <v>4895</v>
      </c>
      <c r="P1803" s="17" t="s">
        <v>802</v>
      </c>
      <c r="Q1803" s="21" t="s">
        <v>8030</v>
      </c>
      <c r="R1803" s="17" t="s">
        <v>801</v>
      </c>
      <c r="S1803" s="18" t="s">
        <v>2554</v>
      </c>
      <c r="T1803" s="17" t="s">
        <v>800</v>
      </c>
      <c r="U1803" s="18" t="s">
        <v>5233</v>
      </c>
      <c r="V1803" s="17" t="s">
        <v>9418</v>
      </c>
      <c r="W1803" s="18" t="s">
        <v>5310</v>
      </c>
      <c r="X1803" s="69" t="s">
        <v>9453</v>
      </c>
      <c r="Y1803" s="70" t="s">
        <v>9463</v>
      </c>
      <c r="Z1803" s="73" t="s">
        <v>9486</v>
      </c>
      <c r="AA1803" s="74" t="s">
        <v>9504</v>
      </c>
      <c r="AB1803" s="73" t="s">
        <v>9486</v>
      </c>
      <c r="AC1803" s="74" t="s">
        <v>9562</v>
      </c>
      <c r="AD1803" s="73" t="s">
        <v>9578</v>
      </c>
      <c r="AE1803" s="74" t="s">
        <v>9579</v>
      </c>
    </row>
    <row r="1804" spans="1:31" ht="8.65" customHeight="1" x14ac:dyDescent="0.2">
      <c r="A1804" s="76">
        <v>1804</v>
      </c>
      <c r="B1804" s="67" t="str">
        <f>MID(C1804, FIND("Ifc.", C1804) + 4, 4) &amp; "_" &amp; TEXT(COUNTIF($C$2:C1804, C1804),"0000")</f>
        <v>Prop_1803</v>
      </c>
      <c r="C1804" s="24" t="s">
        <v>872</v>
      </c>
      <c r="D1804" s="69" t="s">
        <v>9453</v>
      </c>
      <c r="E1804" s="70" t="s">
        <v>9454</v>
      </c>
      <c r="F1804" s="17" t="s">
        <v>806</v>
      </c>
      <c r="G1804" s="22" t="s">
        <v>907</v>
      </c>
      <c r="H1804" s="12" t="s">
        <v>9703</v>
      </c>
      <c r="I1804" s="13" t="s">
        <v>907</v>
      </c>
      <c r="J1804" s="14" t="s">
        <v>798</v>
      </c>
      <c r="K1804" s="15" t="s">
        <v>798</v>
      </c>
      <c r="L1804" s="12" t="s">
        <v>5315</v>
      </c>
      <c r="M1804" s="13" t="s">
        <v>5409</v>
      </c>
      <c r="N1804" s="12" t="s">
        <v>803</v>
      </c>
      <c r="O1804" s="13" t="s">
        <v>4907</v>
      </c>
      <c r="P1804" s="17" t="s">
        <v>802</v>
      </c>
      <c r="Q1804" s="21" t="s">
        <v>7769</v>
      </c>
      <c r="R1804" s="17" t="s">
        <v>801</v>
      </c>
      <c r="S1804" s="18" t="s">
        <v>2554</v>
      </c>
      <c r="T1804" s="17" t="s">
        <v>800</v>
      </c>
      <c r="U1804" s="18" t="s">
        <v>5233</v>
      </c>
      <c r="V1804" s="17" t="s">
        <v>9418</v>
      </c>
      <c r="W1804" s="18" t="s">
        <v>5310</v>
      </c>
      <c r="X1804" s="69" t="s">
        <v>9453</v>
      </c>
      <c r="Y1804" s="70" t="s">
        <v>9463</v>
      </c>
      <c r="Z1804" s="73" t="s">
        <v>9486</v>
      </c>
      <c r="AA1804" s="74" t="s">
        <v>9504</v>
      </c>
      <c r="AB1804" s="73" t="s">
        <v>9486</v>
      </c>
      <c r="AC1804" s="74" t="s">
        <v>9562</v>
      </c>
      <c r="AD1804" s="73" t="s">
        <v>9578</v>
      </c>
      <c r="AE1804" s="74" t="s">
        <v>9579</v>
      </c>
    </row>
    <row r="1805" spans="1:31" ht="8.65" customHeight="1" x14ac:dyDescent="0.2">
      <c r="A1805" s="76">
        <v>1805</v>
      </c>
      <c r="B1805" s="67" t="str">
        <f>MID(C1805, FIND("Ifc.", C1805) + 4, 4) &amp; "_" &amp; TEXT(COUNTIF($C$2:C1805, C1805),"0000")</f>
        <v>Prop_1804</v>
      </c>
      <c r="C1805" s="24" t="s">
        <v>872</v>
      </c>
      <c r="D1805" s="69" t="s">
        <v>9453</v>
      </c>
      <c r="E1805" s="70" t="s">
        <v>9454</v>
      </c>
      <c r="F1805" s="17" t="s">
        <v>806</v>
      </c>
      <c r="G1805" s="22" t="s">
        <v>907</v>
      </c>
      <c r="H1805" s="12" t="s">
        <v>9703</v>
      </c>
      <c r="I1805" s="13" t="s">
        <v>907</v>
      </c>
      <c r="J1805" s="14" t="s">
        <v>798</v>
      </c>
      <c r="K1805" s="15" t="s">
        <v>798</v>
      </c>
      <c r="L1805" s="12" t="s">
        <v>5315</v>
      </c>
      <c r="M1805" s="13" t="s">
        <v>5411</v>
      </c>
      <c r="N1805" s="12" t="s">
        <v>803</v>
      </c>
      <c r="O1805" s="13" t="s">
        <v>4909</v>
      </c>
      <c r="P1805" s="17" t="s">
        <v>802</v>
      </c>
      <c r="Q1805" s="21" t="s">
        <v>8031</v>
      </c>
      <c r="R1805" s="17" t="s">
        <v>801</v>
      </c>
      <c r="S1805" s="18" t="s">
        <v>2554</v>
      </c>
      <c r="T1805" s="17" t="s">
        <v>800</v>
      </c>
      <c r="U1805" s="18" t="s">
        <v>5233</v>
      </c>
      <c r="V1805" s="17" t="s">
        <v>9418</v>
      </c>
      <c r="W1805" s="18" t="s">
        <v>5310</v>
      </c>
      <c r="X1805" s="69" t="s">
        <v>9453</v>
      </c>
      <c r="Y1805" s="70" t="s">
        <v>9463</v>
      </c>
      <c r="Z1805" s="73" t="s">
        <v>9486</v>
      </c>
      <c r="AA1805" s="74" t="s">
        <v>9504</v>
      </c>
      <c r="AB1805" s="73" t="s">
        <v>9486</v>
      </c>
      <c r="AC1805" s="74" t="s">
        <v>9562</v>
      </c>
      <c r="AD1805" s="73" t="s">
        <v>9578</v>
      </c>
      <c r="AE1805" s="74" t="s">
        <v>9579</v>
      </c>
    </row>
    <row r="1806" spans="1:31" ht="8.65" customHeight="1" x14ac:dyDescent="0.2">
      <c r="A1806" s="76">
        <v>1806</v>
      </c>
      <c r="B1806" s="67" t="str">
        <f>MID(C1806, FIND("Ifc.", C1806) + 4, 4) &amp; "_" &amp; TEXT(COUNTIF($C$2:C1806, C1806),"0000")</f>
        <v>Prop_1805</v>
      </c>
      <c r="C1806" s="24" t="s">
        <v>872</v>
      </c>
      <c r="D1806" s="69" t="s">
        <v>9453</v>
      </c>
      <c r="E1806" s="70" t="s">
        <v>9454</v>
      </c>
      <c r="F1806" s="17" t="s">
        <v>806</v>
      </c>
      <c r="G1806" s="22" t="s">
        <v>907</v>
      </c>
      <c r="H1806" s="12" t="s">
        <v>9703</v>
      </c>
      <c r="I1806" s="13" t="s">
        <v>907</v>
      </c>
      <c r="J1806" s="14" t="s">
        <v>798</v>
      </c>
      <c r="K1806" s="15" t="s">
        <v>798</v>
      </c>
      <c r="L1806" s="12" t="s">
        <v>5315</v>
      </c>
      <c r="M1806" s="13" t="s">
        <v>5412</v>
      </c>
      <c r="N1806" s="12" t="s">
        <v>803</v>
      </c>
      <c r="O1806" s="13" t="s">
        <v>4910</v>
      </c>
      <c r="P1806" s="17" t="s">
        <v>802</v>
      </c>
      <c r="Q1806" s="21" t="s">
        <v>7954</v>
      </c>
      <c r="R1806" s="17" t="s">
        <v>801</v>
      </c>
      <c r="S1806" s="18" t="s">
        <v>2554</v>
      </c>
      <c r="T1806" s="17" t="s">
        <v>800</v>
      </c>
      <c r="U1806" s="18" t="s">
        <v>5233</v>
      </c>
      <c r="V1806" s="17" t="s">
        <v>9418</v>
      </c>
      <c r="W1806" s="18" t="s">
        <v>5310</v>
      </c>
      <c r="X1806" s="69" t="s">
        <v>9453</v>
      </c>
      <c r="Y1806" s="70" t="s">
        <v>9463</v>
      </c>
      <c r="Z1806" s="73" t="s">
        <v>9486</v>
      </c>
      <c r="AA1806" s="74" t="s">
        <v>9504</v>
      </c>
      <c r="AB1806" s="73" t="s">
        <v>9486</v>
      </c>
      <c r="AC1806" s="74" t="s">
        <v>9562</v>
      </c>
      <c r="AD1806" s="73" t="s">
        <v>9578</v>
      </c>
      <c r="AE1806" s="74" t="s">
        <v>9579</v>
      </c>
    </row>
    <row r="1807" spans="1:31" ht="8.65" customHeight="1" x14ac:dyDescent="0.2">
      <c r="A1807" s="76">
        <v>1807</v>
      </c>
      <c r="B1807" s="67" t="str">
        <f>MID(C1807, FIND("Ifc.", C1807) + 4, 4) &amp; "_" &amp; TEXT(COUNTIF($C$2:C1807, C1807),"0000")</f>
        <v>Prop_1806</v>
      </c>
      <c r="C1807" s="24" t="s">
        <v>872</v>
      </c>
      <c r="D1807" s="69" t="s">
        <v>9453</v>
      </c>
      <c r="E1807" s="70" t="s">
        <v>9454</v>
      </c>
      <c r="F1807" s="17" t="s">
        <v>806</v>
      </c>
      <c r="G1807" s="22" t="s">
        <v>907</v>
      </c>
      <c r="H1807" s="12" t="s">
        <v>9703</v>
      </c>
      <c r="I1807" s="13" t="s">
        <v>907</v>
      </c>
      <c r="J1807" s="14" t="s">
        <v>798</v>
      </c>
      <c r="K1807" s="15" t="s">
        <v>798</v>
      </c>
      <c r="L1807" s="12" t="s">
        <v>5315</v>
      </c>
      <c r="M1807" s="13" t="s">
        <v>5416</v>
      </c>
      <c r="N1807" s="12" t="s">
        <v>803</v>
      </c>
      <c r="O1807" s="13" t="s">
        <v>4915</v>
      </c>
      <c r="P1807" s="17" t="s">
        <v>802</v>
      </c>
      <c r="Q1807" s="21" t="s">
        <v>8032</v>
      </c>
      <c r="R1807" s="17" t="s">
        <v>801</v>
      </c>
      <c r="S1807" s="18" t="s">
        <v>2554</v>
      </c>
      <c r="T1807" s="17" t="s">
        <v>800</v>
      </c>
      <c r="U1807" s="18" t="s">
        <v>5233</v>
      </c>
      <c r="V1807" s="17" t="s">
        <v>9418</v>
      </c>
      <c r="W1807" s="18" t="s">
        <v>5310</v>
      </c>
      <c r="X1807" s="69" t="s">
        <v>9453</v>
      </c>
      <c r="Y1807" s="70" t="s">
        <v>9463</v>
      </c>
      <c r="Z1807" s="73" t="s">
        <v>9486</v>
      </c>
      <c r="AA1807" s="74" t="s">
        <v>9504</v>
      </c>
      <c r="AB1807" s="73" t="s">
        <v>9486</v>
      </c>
      <c r="AC1807" s="74" t="s">
        <v>9562</v>
      </c>
      <c r="AD1807" s="73" t="s">
        <v>9578</v>
      </c>
      <c r="AE1807" s="74" t="s">
        <v>9579</v>
      </c>
    </row>
    <row r="1808" spans="1:31" ht="8.65" customHeight="1" x14ac:dyDescent="0.2">
      <c r="A1808" s="76">
        <v>1808</v>
      </c>
      <c r="B1808" s="67" t="str">
        <f>MID(C1808, FIND("Ifc.", C1808) + 4, 4) &amp; "_" &amp; TEXT(COUNTIF($C$2:C1808, C1808),"0000")</f>
        <v>Prop_1807</v>
      </c>
      <c r="C1808" s="24" t="s">
        <v>872</v>
      </c>
      <c r="D1808" s="69" t="s">
        <v>9453</v>
      </c>
      <c r="E1808" s="70" t="s">
        <v>9454</v>
      </c>
      <c r="F1808" s="17" t="s">
        <v>806</v>
      </c>
      <c r="G1808" s="22" t="s">
        <v>907</v>
      </c>
      <c r="H1808" s="12" t="s">
        <v>9703</v>
      </c>
      <c r="I1808" s="13" t="s">
        <v>907</v>
      </c>
      <c r="J1808" s="14" t="s">
        <v>798</v>
      </c>
      <c r="K1808" s="15" t="s">
        <v>798</v>
      </c>
      <c r="L1808" s="12" t="s">
        <v>5315</v>
      </c>
      <c r="M1808" s="13" t="s">
        <v>5423</v>
      </c>
      <c r="N1808" s="12" t="s">
        <v>803</v>
      </c>
      <c r="O1808" s="13" t="s">
        <v>4923</v>
      </c>
      <c r="P1808" s="17" t="s">
        <v>802</v>
      </c>
      <c r="Q1808" s="21" t="s">
        <v>8033</v>
      </c>
      <c r="R1808" s="17" t="s">
        <v>801</v>
      </c>
      <c r="S1808" s="18" t="s">
        <v>2554</v>
      </c>
      <c r="T1808" s="17" t="s">
        <v>800</v>
      </c>
      <c r="U1808" s="18" t="s">
        <v>5233</v>
      </c>
      <c r="V1808" s="17" t="s">
        <v>9418</v>
      </c>
      <c r="W1808" s="18" t="s">
        <v>5310</v>
      </c>
      <c r="X1808" s="69" t="s">
        <v>9453</v>
      </c>
      <c r="Y1808" s="70" t="s">
        <v>9463</v>
      </c>
      <c r="Z1808" s="73" t="s">
        <v>9486</v>
      </c>
      <c r="AA1808" s="74" t="s">
        <v>9504</v>
      </c>
      <c r="AB1808" s="73" t="s">
        <v>9486</v>
      </c>
      <c r="AC1808" s="74" t="s">
        <v>9562</v>
      </c>
      <c r="AD1808" s="73" t="s">
        <v>9578</v>
      </c>
      <c r="AE1808" s="74" t="s">
        <v>9579</v>
      </c>
    </row>
    <row r="1809" spans="1:31" ht="8.65" customHeight="1" x14ac:dyDescent="0.2">
      <c r="A1809" s="76">
        <v>1809</v>
      </c>
      <c r="B1809" s="67" t="str">
        <f>MID(C1809, FIND("Ifc.", C1809) + 4, 4) &amp; "_" &amp; TEXT(COUNTIF($C$2:C1809, C1809),"0000")</f>
        <v>Prop_1808</v>
      </c>
      <c r="C1809" s="24" t="s">
        <v>872</v>
      </c>
      <c r="D1809" s="69" t="s">
        <v>9453</v>
      </c>
      <c r="E1809" s="70" t="s">
        <v>9454</v>
      </c>
      <c r="F1809" s="17" t="s">
        <v>806</v>
      </c>
      <c r="G1809" s="22" t="s">
        <v>907</v>
      </c>
      <c r="H1809" s="12" t="s">
        <v>9703</v>
      </c>
      <c r="I1809" s="13" t="s">
        <v>907</v>
      </c>
      <c r="J1809" s="14" t="s">
        <v>798</v>
      </c>
      <c r="K1809" s="15" t="s">
        <v>798</v>
      </c>
      <c r="L1809" s="12" t="s">
        <v>5315</v>
      </c>
      <c r="M1809" s="13" t="s">
        <v>5418</v>
      </c>
      <c r="N1809" s="12" t="s">
        <v>803</v>
      </c>
      <c r="O1809" s="13" t="s">
        <v>4918</v>
      </c>
      <c r="P1809" s="17" t="s">
        <v>802</v>
      </c>
      <c r="Q1809" s="21" t="s">
        <v>8016</v>
      </c>
      <c r="R1809" s="17" t="s">
        <v>801</v>
      </c>
      <c r="S1809" s="18" t="s">
        <v>2554</v>
      </c>
      <c r="T1809" s="17" t="s">
        <v>800</v>
      </c>
      <c r="U1809" s="18" t="s">
        <v>5233</v>
      </c>
      <c r="V1809" s="17" t="s">
        <v>9418</v>
      </c>
      <c r="W1809" s="18" t="s">
        <v>5310</v>
      </c>
      <c r="X1809" s="69" t="s">
        <v>9453</v>
      </c>
      <c r="Y1809" s="70" t="s">
        <v>9463</v>
      </c>
      <c r="Z1809" s="73" t="s">
        <v>9486</v>
      </c>
      <c r="AA1809" s="74" t="s">
        <v>9504</v>
      </c>
      <c r="AB1809" s="73" t="s">
        <v>9486</v>
      </c>
      <c r="AC1809" s="74" t="s">
        <v>9562</v>
      </c>
      <c r="AD1809" s="73" t="s">
        <v>9578</v>
      </c>
      <c r="AE1809" s="74" t="s">
        <v>9579</v>
      </c>
    </row>
    <row r="1810" spans="1:31" ht="8.65" customHeight="1" x14ac:dyDescent="0.2">
      <c r="A1810" s="76">
        <v>1810</v>
      </c>
      <c r="B1810" s="67" t="str">
        <f>MID(C1810, FIND("Ifc.", C1810) + 4, 4) &amp; "_" &amp; TEXT(COUNTIF($C$2:C1810, C1810),"0000")</f>
        <v>Prop_1809</v>
      </c>
      <c r="C1810" s="24" t="s">
        <v>872</v>
      </c>
      <c r="D1810" s="69" t="s">
        <v>9453</v>
      </c>
      <c r="E1810" s="70" t="s">
        <v>9454</v>
      </c>
      <c r="F1810" s="17" t="s">
        <v>806</v>
      </c>
      <c r="G1810" s="22" t="s">
        <v>907</v>
      </c>
      <c r="H1810" s="12" t="s">
        <v>9703</v>
      </c>
      <c r="I1810" s="13" t="s">
        <v>907</v>
      </c>
      <c r="J1810" s="14" t="s">
        <v>798</v>
      </c>
      <c r="K1810" s="15" t="s">
        <v>798</v>
      </c>
      <c r="L1810" s="12" t="s">
        <v>5315</v>
      </c>
      <c r="M1810" s="13" t="s">
        <v>5420</v>
      </c>
      <c r="N1810" s="12" t="s">
        <v>803</v>
      </c>
      <c r="O1810" s="13" t="s">
        <v>4920</v>
      </c>
      <c r="P1810" s="17" t="s">
        <v>802</v>
      </c>
      <c r="Q1810" s="21" t="s">
        <v>7990</v>
      </c>
      <c r="R1810" s="17" t="s">
        <v>801</v>
      </c>
      <c r="S1810" s="18" t="s">
        <v>2554</v>
      </c>
      <c r="T1810" s="17" t="s">
        <v>800</v>
      </c>
      <c r="U1810" s="18" t="s">
        <v>5233</v>
      </c>
      <c r="V1810" s="17" t="s">
        <v>9418</v>
      </c>
      <c r="W1810" s="18" t="s">
        <v>5310</v>
      </c>
      <c r="X1810" s="69" t="s">
        <v>9453</v>
      </c>
      <c r="Y1810" s="70" t="s">
        <v>9463</v>
      </c>
      <c r="Z1810" s="73" t="s">
        <v>9486</v>
      </c>
      <c r="AA1810" s="74" t="s">
        <v>9504</v>
      </c>
      <c r="AB1810" s="73" t="s">
        <v>9486</v>
      </c>
      <c r="AC1810" s="74" t="s">
        <v>9562</v>
      </c>
      <c r="AD1810" s="73" t="s">
        <v>9578</v>
      </c>
      <c r="AE1810" s="74" t="s">
        <v>9579</v>
      </c>
    </row>
    <row r="1811" spans="1:31" ht="8.65" customHeight="1" x14ac:dyDescent="0.2">
      <c r="A1811" s="76">
        <v>1811</v>
      </c>
      <c r="B1811" s="67" t="str">
        <f>MID(C1811, FIND("Ifc.", C1811) + 4, 4) &amp; "_" &amp; TEXT(COUNTIF($C$2:C1811, C1811),"0000")</f>
        <v>Prop_1810</v>
      </c>
      <c r="C1811" s="24" t="s">
        <v>872</v>
      </c>
      <c r="D1811" s="69" t="s">
        <v>9453</v>
      </c>
      <c r="E1811" s="70" t="s">
        <v>9454</v>
      </c>
      <c r="F1811" s="17" t="s">
        <v>806</v>
      </c>
      <c r="G1811" s="22" t="s">
        <v>907</v>
      </c>
      <c r="H1811" s="12" t="s">
        <v>9703</v>
      </c>
      <c r="I1811" s="13" t="s">
        <v>907</v>
      </c>
      <c r="J1811" s="14" t="s">
        <v>798</v>
      </c>
      <c r="K1811" s="15" t="s">
        <v>798</v>
      </c>
      <c r="L1811" s="12" t="s">
        <v>5315</v>
      </c>
      <c r="M1811" s="13" t="s">
        <v>5422</v>
      </c>
      <c r="N1811" s="12" t="s">
        <v>803</v>
      </c>
      <c r="O1811" s="13" t="s">
        <v>4922</v>
      </c>
      <c r="P1811" s="17" t="s">
        <v>802</v>
      </c>
      <c r="Q1811" s="21" t="s">
        <v>7988</v>
      </c>
      <c r="R1811" s="17" t="s">
        <v>801</v>
      </c>
      <c r="S1811" s="18" t="s">
        <v>2554</v>
      </c>
      <c r="T1811" s="17" t="s">
        <v>800</v>
      </c>
      <c r="U1811" s="18" t="s">
        <v>5233</v>
      </c>
      <c r="V1811" s="17" t="s">
        <v>9418</v>
      </c>
      <c r="W1811" s="18" t="s">
        <v>5310</v>
      </c>
      <c r="X1811" s="69" t="s">
        <v>9453</v>
      </c>
      <c r="Y1811" s="70" t="s">
        <v>9463</v>
      </c>
      <c r="Z1811" s="73" t="s">
        <v>9486</v>
      </c>
      <c r="AA1811" s="74" t="s">
        <v>9504</v>
      </c>
      <c r="AB1811" s="73" t="s">
        <v>9486</v>
      </c>
      <c r="AC1811" s="74" t="s">
        <v>9562</v>
      </c>
      <c r="AD1811" s="73" t="s">
        <v>9578</v>
      </c>
      <c r="AE1811" s="74" t="s">
        <v>9579</v>
      </c>
    </row>
    <row r="1812" spans="1:31" ht="8.65" customHeight="1" x14ac:dyDescent="0.2">
      <c r="A1812" s="76">
        <v>1812</v>
      </c>
      <c r="B1812" s="67" t="str">
        <f>MID(C1812, FIND("Ifc.", C1812) + 4, 4) &amp; "_" &amp; TEXT(COUNTIF($C$2:C1812, C1812),"0000")</f>
        <v>Prop_1811</v>
      </c>
      <c r="C1812" s="24" t="s">
        <v>872</v>
      </c>
      <c r="D1812" s="69" t="s">
        <v>9453</v>
      </c>
      <c r="E1812" s="70" t="s">
        <v>9454</v>
      </c>
      <c r="F1812" s="17" t="s">
        <v>806</v>
      </c>
      <c r="G1812" s="22" t="s">
        <v>907</v>
      </c>
      <c r="H1812" s="12" t="s">
        <v>9703</v>
      </c>
      <c r="I1812" s="13" t="s">
        <v>907</v>
      </c>
      <c r="J1812" s="14" t="s">
        <v>798</v>
      </c>
      <c r="K1812" s="15" t="s">
        <v>798</v>
      </c>
      <c r="L1812" s="12" t="s">
        <v>5315</v>
      </c>
      <c r="M1812" s="13" t="s">
        <v>6030</v>
      </c>
      <c r="N1812" s="12" t="s">
        <v>803</v>
      </c>
      <c r="O1812" s="13" t="s">
        <v>4830</v>
      </c>
      <c r="P1812" s="17" t="s">
        <v>802</v>
      </c>
      <c r="Q1812" s="21" t="s">
        <v>8034</v>
      </c>
      <c r="R1812" s="17" t="s">
        <v>801</v>
      </c>
      <c r="S1812" s="18" t="s">
        <v>2554</v>
      </c>
      <c r="T1812" s="17" t="s">
        <v>800</v>
      </c>
      <c r="U1812" s="18" t="s">
        <v>5233</v>
      </c>
      <c r="V1812" s="17" t="s">
        <v>9418</v>
      </c>
      <c r="W1812" s="18" t="s">
        <v>5310</v>
      </c>
      <c r="X1812" s="69" t="s">
        <v>9453</v>
      </c>
      <c r="Y1812" s="70" t="s">
        <v>9463</v>
      </c>
      <c r="Z1812" s="73" t="s">
        <v>9486</v>
      </c>
      <c r="AA1812" s="74" t="s">
        <v>9504</v>
      </c>
      <c r="AB1812" s="73" t="s">
        <v>9486</v>
      </c>
      <c r="AC1812" s="74" t="s">
        <v>9562</v>
      </c>
      <c r="AD1812" s="73" t="s">
        <v>9578</v>
      </c>
      <c r="AE1812" s="74" t="s">
        <v>9579</v>
      </c>
    </row>
    <row r="1813" spans="1:31" ht="8.65" customHeight="1" x14ac:dyDescent="0.2">
      <c r="A1813" s="76">
        <v>1813</v>
      </c>
      <c r="B1813" s="67" t="str">
        <f>MID(C1813, FIND("Ifc.", C1813) + 4, 4) &amp; "_" &amp; TEXT(COUNTIF($C$2:C1813, C1813),"0000")</f>
        <v>Prop_1812</v>
      </c>
      <c r="C1813" s="24" t="s">
        <v>872</v>
      </c>
      <c r="D1813" s="69" t="s">
        <v>9453</v>
      </c>
      <c r="E1813" s="70" t="s">
        <v>9454</v>
      </c>
      <c r="F1813" s="17" t="s">
        <v>806</v>
      </c>
      <c r="G1813" s="22" t="s">
        <v>907</v>
      </c>
      <c r="H1813" s="12" t="s">
        <v>9703</v>
      </c>
      <c r="I1813" s="13" t="s">
        <v>907</v>
      </c>
      <c r="J1813" s="14" t="s">
        <v>798</v>
      </c>
      <c r="K1813" s="15" t="s">
        <v>798</v>
      </c>
      <c r="L1813" s="12" t="s">
        <v>5315</v>
      </c>
      <c r="M1813" s="13" t="s">
        <v>5428</v>
      </c>
      <c r="N1813" s="12" t="s">
        <v>803</v>
      </c>
      <c r="O1813" s="13" t="s">
        <v>4926</v>
      </c>
      <c r="P1813" s="17" t="s">
        <v>802</v>
      </c>
      <c r="Q1813" s="21" t="s">
        <v>8035</v>
      </c>
      <c r="R1813" s="17" t="s">
        <v>801</v>
      </c>
      <c r="S1813" s="18" t="s">
        <v>2554</v>
      </c>
      <c r="T1813" s="17" t="s">
        <v>800</v>
      </c>
      <c r="U1813" s="18" t="s">
        <v>5233</v>
      </c>
      <c r="V1813" s="17" t="s">
        <v>9418</v>
      </c>
      <c r="W1813" s="18" t="s">
        <v>5310</v>
      </c>
      <c r="X1813" s="69" t="s">
        <v>9453</v>
      </c>
      <c r="Y1813" s="70" t="s">
        <v>9463</v>
      </c>
      <c r="Z1813" s="73" t="s">
        <v>9486</v>
      </c>
      <c r="AA1813" s="74" t="s">
        <v>9504</v>
      </c>
      <c r="AB1813" s="73" t="s">
        <v>9486</v>
      </c>
      <c r="AC1813" s="74" t="s">
        <v>9562</v>
      </c>
      <c r="AD1813" s="73" t="s">
        <v>9578</v>
      </c>
      <c r="AE1813" s="74" t="s">
        <v>9579</v>
      </c>
    </row>
    <row r="1814" spans="1:31" ht="8.65" customHeight="1" x14ac:dyDescent="0.2">
      <c r="A1814" s="76">
        <v>1814</v>
      </c>
      <c r="B1814" s="67" t="str">
        <f>MID(C1814, FIND("Ifc.", C1814) + 4, 4) &amp; "_" &amp; TEXT(COUNTIF($C$2:C1814, C1814),"0000")</f>
        <v>Prop_1813</v>
      </c>
      <c r="C1814" s="24" t="s">
        <v>872</v>
      </c>
      <c r="D1814" s="69" t="s">
        <v>9453</v>
      </c>
      <c r="E1814" s="70" t="s">
        <v>9454</v>
      </c>
      <c r="F1814" s="17" t="s">
        <v>806</v>
      </c>
      <c r="G1814" s="22" t="s">
        <v>907</v>
      </c>
      <c r="H1814" s="12" t="s">
        <v>9703</v>
      </c>
      <c r="I1814" s="13" t="s">
        <v>907</v>
      </c>
      <c r="J1814" s="14" t="s">
        <v>798</v>
      </c>
      <c r="K1814" s="15" t="s">
        <v>798</v>
      </c>
      <c r="L1814" s="12" t="s">
        <v>5315</v>
      </c>
      <c r="M1814" s="13" t="s">
        <v>6054</v>
      </c>
      <c r="N1814" s="12" t="s">
        <v>803</v>
      </c>
      <c r="O1814" s="13" t="s">
        <v>4927</v>
      </c>
      <c r="P1814" s="17" t="s">
        <v>802</v>
      </c>
      <c r="Q1814" s="21" t="s">
        <v>7686</v>
      </c>
      <c r="R1814" s="17" t="s">
        <v>801</v>
      </c>
      <c r="S1814" s="18" t="s">
        <v>2554</v>
      </c>
      <c r="T1814" s="17" t="s">
        <v>800</v>
      </c>
      <c r="U1814" s="18" t="s">
        <v>5233</v>
      </c>
      <c r="V1814" s="17" t="s">
        <v>9418</v>
      </c>
      <c r="W1814" s="18" t="s">
        <v>5310</v>
      </c>
      <c r="X1814" s="69" t="s">
        <v>9453</v>
      </c>
      <c r="Y1814" s="70" t="s">
        <v>9463</v>
      </c>
      <c r="Z1814" s="73" t="s">
        <v>9486</v>
      </c>
      <c r="AA1814" s="74" t="s">
        <v>9504</v>
      </c>
      <c r="AB1814" s="73" t="s">
        <v>9486</v>
      </c>
      <c r="AC1814" s="74" t="s">
        <v>9562</v>
      </c>
      <c r="AD1814" s="73" t="s">
        <v>9578</v>
      </c>
      <c r="AE1814" s="74" t="s">
        <v>9579</v>
      </c>
    </row>
    <row r="1815" spans="1:31" ht="8.65" customHeight="1" x14ac:dyDescent="0.2">
      <c r="A1815" s="76">
        <v>1815</v>
      </c>
      <c r="B1815" s="67" t="str">
        <f>MID(C1815, FIND("Ifc.", C1815) + 4, 4) &amp; "_" &amp; TEXT(COUNTIF($C$2:C1815, C1815),"0000")</f>
        <v>Prop_1814</v>
      </c>
      <c r="C1815" s="24" t="s">
        <v>872</v>
      </c>
      <c r="D1815" s="69" t="s">
        <v>9453</v>
      </c>
      <c r="E1815" s="70" t="s">
        <v>9454</v>
      </c>
      <c r="F1815" s="17" t="s">
        <v>806</v>
      </c>
      <c r="G1815" s="22" t="s">
        <v>907</v>
      </c>
      <c r="H1815" s="12" t="s">
        <v>9703</v>
      </c>
      <c r="I1815" s="13" t="s">
        <v>907</v>
      </c>
      <c r="J1815" s="14" t="s">
        <v>798</v>
      </c>
      <c r="K1815" s="15" t="s">
        <v>798</v>
      </c>
      <c r="L1815" s="12" t="s">
        <v>5315</v>
      </c>
      <c r="M1815" s="13" t="s">
        <v>6059</v>
      </c>
      <c r="N1815" s="12" t="s">
        <v>803</v>
      </c>
      <c r="O1815" s="13" t="s">
        <v>4928</v>
      </c>
      <c r="P1815" s="17" t="s">
        <v>802</v>
      </c>
      <c r="Q1815" s="21" t="s">
        <v>7706</v>
      </c>
      <c r="R1815" s="17" t="s">
        <v>801</v>
      </c>
      <c r="S1815" s="18" t="s">
        <v>2554</v>
      </c>
      <c r="T1815" s="17" t="s">
        <v>800</v>
      </c>
      <c r="U1815" s="18" t="s">
        <v>5233</v>
      </c>
      <c r="V1815" s="17" t="s">
        <v>9418</v>
      </c>
      <c r="W1815" s="18" t="s">
        <v>5310</v>
      </c>
      <c r="X1815" s="69" t="s">
        <v>9453</v>
      </c>
      <c r="Y1815" s="70" t="s">
        <v>9463</v>
      </c>
      <c r="Z1815" s="73" t="s">
        <v>9486</v>
      </c>
      <c r="AA1815" s="74" t="s">
        <v>9504</v>
      </c>
      <c r="AB1815" s="73" t="s">
        <v>9486</v>
      </c>
      <c r="AC1815" s="74" t="s">
        <v>9562</v>
      </c>
      <c r="AD1815" s="73" t="s">
        <v>9578</v>
      </c>
      <c r="AE1815" s="74" t="s">
        <v>9579</v>
      </c>
    </row>
    <row r="1816" spans="1:31" ht="8.65" customHeight="1" x14ac:dyDescent="0.2">
      <c r="A1816" s="76">
        <v>1816</v>
      </c>
      <c r="B1816" s="67" t="str">
        <f>MID(C1816, FIND("Ifc.", C1816) + 4, 4) &amp; "_" &amp; TEXT(COUNTIF($C$2:C1816, C1816),"0000")</f>
        <v>Prop_1815</v>
      </c>
      <c r="C1816" s="24" t="s">
        <v>872</v>
      </c>
      <c r="D1816" s="69" t="s">
        <v>9453</v>
      </c>
      <c r="E1816" s="70" t="s">
        <v>9454</v>
      </c>
      <c r="F1816" s="17" t="s">
        <v>806</v>
      </c>
      <c r="G1816" s="22" t="s">
        <v>907</v>
      </c>
      <c r="H1816" s="12" t="s">
        <v>9703</v>
      </c>
      <c r="I1816" s="13" t="s">
        <v>907</v>
      </c>
      <c r="J1816" s="14" t="s">
        <v>798</v>
      </c>
      <c r="K1816" s="15" t="s">
        <v>798</v>
      </c>
      <c r="L1816" s="12" t="s">
        <v>5315</v>
      </c>
      <c r="M1816" s="13" t="s">
        <v>5430</v>
      </c>
      <c r="N1816" s="12" t="s">
        <v>803</v>
      </c>
      <c r="O1816" s="13" t="s">
        <v>4929</v>
      </c>
      <c r="P1816" s="17" t="s">
        <v>802</v>
      </c>
      <c r="Q1816" s="21" t="s">
        <v>7804</v>
      </c>
      <c r="R1816" s="17" t="s">
        <v>801</v>
      </c>
      <c r="S1816" s="18" t="s">
        <v>2554</v>
      </c>
      <c r="T1816" s="17" t="s">
        <v>800</v>
      </c>
      <c r="U1816" s="18" t="s">
        <v>5233</v>
      </c>
      <c r="V1816" s="17" t="s">
        <v>9418</v>
      </c>
      <c r="W1816" s="18" t="s">
        <v>5310</v>
      </c>
      <c r="X1816" s="69" t="s">
        <v>9453</v>
      </c>
      <c r="Y1816" s="70" t="s">
        <v>9463</v>
      </c>
      <c r="Z1816" s="73" t="s">
        <v>9486</v>
      </c>
      <c r="AA1816" s="74" t="s">
        <v>9504</v>
      </c>
      <c r="AB1816" s="73" t="s">
        <v>9486</v>
      </c>
      <c r="AC1816" s="74" t="s">
        <v>9562</v>
      </c>
      <c r="AD1816" s="73" t="s">
        <v>9578</v>
      </c>
      <c r="AE1816" s="74" t="s">
        <v>9579</v>
      </c>
    </row>
    <row r="1817" spans="1:31" ht="8.65" customHeight="1" x14ac:dyDescent="0.2">
      <c r="A1817" s="76">
        <v>1817</v>
      </c>
      <c r="B1817" s="67" t="str">
        <f>MID(C1817, FIND("Ifc.", C1817) + 4, 4) &amp; "_" &amp; TEXT(COUNTIF($C$2:C1817, C1817),"0000")</f>
        <v>Prop_1816</v>
      </c>
      <c r="C1817" s="24" t="s">
        <v>872</v>
      </c>
      <c r="D1817" s="69" t="s">
        <v>9453</v>
      </c>
      <c r="E1817" s="70" t="s">
        <v>9454</v>
      </c>
      <c r="F1817" s="17" t="s">
        <v>806</v>
      </c>
      <c r="G1817" s="22" t="s">
        <v>907</v>
      </c>
      <c r="H1817" s="12" t="s">
        <v>9703</v>
      </c>
      <c r="I1817" s="13" t="s">
        <v>907</v>
      </c>
      <c r="J1817" s="14" t="s">
        <v>798</v>
      </c>
      <c r="K1817" s="15" t="s">
        <v>798</v>
      </c>
      <c r="L1817" s="12" t="s">
        <v>5315</v>
      </c>
      <c r="M1817" s="13" t="s">
        <v>5432</v>
      </c>
      <c r="N1817" s="12" t="s">
        <v>803</v>
      </c>
      <c r="O1817" s="13" t="s">
        <v>4931</v>
      </c>
      <c r="P1817" s="17" t="s">
        <v>802</v>
      </c>
      <c r="Q1817" s="21" t="s">
        <v>7760</v>
      </c>
      <c r="R1817" s="17" t="s">
        <v>801</v>
      </c>
      <c r="S1817" s="18" t="s">
        <v>2554</v>
      </c>
      <c r="T1817" s="17" t="s">
        <v>800</v>
      </c>
      <c r="U1817" s="18" t="s">
        <v>5233</v>
      </c>
      <c r="V1817" s="17" t="s">
        <v>9418</v>
      </c>
      <c r="W1817" s="18" t="s">
        <v>5310</v>
      </c>
      <c r="X1817" s="69" t="s">
        <v>9453</v>
      </c>
      <c r="Y1817" s="70" t="s">
        <v>9463</v>
      </c>
      <c r="Z1817" s="73" t="s">
        <v>9486</v>
      </c>
      <c r="AA1817" s="74" t="s">
        <v>9504</v>
      </c>
      <c r="AB1817" s="73" t="s">
        <v>9486</v>
      </c>
      <c r="AC1817" s="74" t="s">
        <v>9562</v>
      </c>
      <c r="AD1817" s="73" t="s">
        <v>9578</v>
      </c>
      <c r="AE1817" s="74" t="s">
        <v>9579</v>
      </c>
    </row>
    <row r="1818" spans="1:31" ht="8.65" customHeight="1" x14ac:dyDescent="0.2">
      <c r="A1818" s="76">
        <v>1818</v>
      </c>
      <c r="B1818" s="67" t="str">
        <f>MID(C1818, FIND("Ifc.", C1818) + 4, 4) &amp; "_" &amp; TEXT(COUNTIF($C$2:C1818, C1818),"0000")</f>
        <v>Prop_1817</v>
      </c>
      <c r="C1818" s="24" t="s">
        <v>872</v>
      </c>
      <c r="D1818" s="69" t="s">
        <v>9453</v>
      </c>
      <c r="E1818" s="70" t="s">
        <v>9454</v>
      </c>
      <c r="F1818" s="17" t="s">
        <v>806</v>
      </c>
      <c r="G1818" s="22" t="s">
        <v>907</v>
      </c>
      <c r="H1818" s="12" t="s">
        <v>9703</v>
      </c>
      <c r="I1818" s="13" t="s">
        <v>907</v>
      </c>
      <c r="J1818" s="14" t="s">
        <v>798</v>
      </c>
      <c r="K1818" s="15" t="s">
        <v>798</v>
      </c>
      <c r="L1818" s="12" t="s">
        <v>5315</v>
      </c>
      <c r="M1818" s="13" t="s">
        <v>5436</v>
      </c>
      <c r="N1818" s="12" t="s">
        <v>803</v>
      </c>
      <c r="O1818" s="13" t="s">
        <v>4936</v>
      </c>
      <c r="P1818" s="17" t="s">
        <v>802</v>
      </c>
      <c r="Q1818" s="21" t="s">
        <v>7931</v>
      </c>
      <c r="R1818" s="17" t="s">
        <v>801</v>
      </c>
      <c r="S1818" s="18" t="s">
        <v>2554</v>
      </c>
      <c r="T1818" s="17" t="s">
        <v>800</v>
      </c>
      <c r="U1818" s="18" t="s">
        <v>5233</v>
      </c>
      <c r="V1818" s="17" t="s">
        <v>9418</v>
      </c>
      <c r="W1818" s="18" t="s">
        <v>5310</v>
      </c>
      <c r="X1818" s="69" t="s">
        <v>9453</v>
      </c>
      <c r="Y1818" s="70" t="s">
        <v>9463</v>
      </c>
      <c r="Z1818" s="73" t="s">
        <v>9486</v>
      </c>
      <c r="AA1818" s="74" t="s">
        <v>9504</v>
      </c>
      <c r="AB1818" s="73" t="s">
        <v>9486</v>
      </c>
      <c r="AC1818" s="74" t="s">
        <v>9562</v>
      </c>
      <c r="AD1818" s="73" t="s">
        <v>9578</v>
      </c>
      <c r="AE1818" s="74" t="s">
        <v>9579</v>
      </c>
    </row>
    <row r="1819" spans="1:31" ht="8.65" customHeight="1" x14ac:dyDescent="0.2">
      <c r="A1819" s="76">
        <v>1819</v>
      </c>
      <c r="B1819" s="67" t="str">
        <f>MID(C1819, FIND("Ifc.", C1819) + 4, 4) &amp; "_" &amp; TEXT(COUNTIF($C$2:C1819, C1819),"0000")</f>
        <v>Prop_1818</v>
      </c>
      <c r="C1819" s="24" t="s">
        <v>872</v>
      </c>
      <c r="D1819" s="69" t="s">
        <v>9453</v>
      </c>
      <c r="E1819" s="70" t="s">
        <v>9454</v>
      </c>
      <c r="F1819" s="17" t="s">
        <v>806</v>
      </c>
      <c r="G1819" s="22" t="s">
        <v>907</v>
      </c>
      <c r="H1819" s="12" t="s">
        <v>9703</v>
      </c>
      <c r="I1819" s="13" t="s">
        <v>907</v>
      </c>
      <c r="J1819" s="14" t="s">
        <v>798</v>
      </c>
      <c r="K1819" s="15" t="s">
        <v>798</v>
      </c>
      <c r="L1819" s="12" t="s">
        <v>5315</v>
      </c>
      <c r="M1819" s="13" t="s">
        <v>5442</v>
      </c>
      <c r="N1819" s="12" t="s">
        <v>803</v>
      </c>
      <c r="O1819" s="13" t="s">
        <v>4951</v>
      </c>
      <c r="P1819" s="17" t="s">
        <v>802</v>
      </c>
      <c r="Q1819" s="21" t="s">
        <v>7805</v>
      </c>
      <c r="R1819" s="17" t="s">
        <v>801</v>
      </c>
      <c r="S1819" s="18" t="s">
        <v>2554</v>
      </c>
      <c r="T1819" s="17" t="s">
        <v>800</v>
      </c>
      <c r="U1819" s="18" t="s">
        <v>5233</v>
      </c>
      <c r="V1819" s="17" t="s">
        <v>9418</v>
      </c>
      <c r="W1819" s="18" t="s">
        <v>5310</v>
      </c>
      <c r="X1819" s="69" t="s">
        <v>9453</v>
      </c>
      <c r="Y1819" s="70" t="s">
        <v>9463</v>
      </c>
      <c r="Z1819" s="73" t="s">
        <v>9486</v>
      </c>
      <c r="AA1819" s="74" t="s">
        <v>9504</v>
      </c>
      <c r="AB1819" s="73" t="s">
        <v>9486</v>
      </c>
      <c r="AC1819" s="74" t="s">
        <v>9562</v>
      </c>
      <c r="AD1819" s="73" t="s">
        <v>9578</v>
      </c>
      <c r="AE1819" s="74" t="s">
        <v>9579</v>
      </c>
    </row>
    <row r="1820" spans="1:31" ht="8.65" customHeight="1" x14ac:dyDescent="0.2">
      <c r="A1820" s="76">
        <v>1820</v>
      </c>
      <c r="B1820" s="67" t="str">
        <f>MID(C1820, FIND("Ifc.", C1820) + 4, 4) &amp; "_" &amp; TEXT(COUNTIF($C$2:C1820, C1820),"0000")</f>
        <v>Prop_1819</v>
      </c>
      <c r="C1820" s="24" t="s">
        <v>872</v>
      </c>
      <c r="D1820" s="69" t="s">
        <v>9453</v>
      </c>
      <c r="E1820" s="70" t="s">
        <v>9454</v>
      </c>
      <c r="F1820" s="17" t="s">
        <v>806</v>
      </c>
      <c r="G1820" s="22" t="s">
        <v>907</v>
      </c>
      <c r="H1820" s="12" t="s">
        <v>9703</v>
      </c>
      <c r="I1820" s="13" t="s">
        <v>907</v>
      </c>
      <c r="J1820" s="14" t="s">
        <v>798</v>
      </c>
      <c r="K1820" s="15" t="s">
        <v>798</v>
      </c>
      <c r="L1820" s="12" t="s">
        <v>5315</v>
      </c>
      <c r="M1820" s="13" t="s">
        <v>5447</v>
      </c>
      <c r="N1820" s="12" t="s">
        <v>803</v>
      </c>
      <c r="O1820" s="13" t="s">
        <v>4954</v>
      </c>
      <c r="P1820" s="17" t="s">
        <v>802</v>
      </c>
      <c r="Q1820" s="21" t="s">
        <v>7955</v>
      </c>
      <c r="R1820" s="17" t="s">
        <v>801</v>
      </c>
      <c r="S1820" s="18" t="s">
        <v>2554</v>
      </c>
      <c r="T1820" s="17" t="s">
        <v>800</v>
      </c>
      <c r="U1820" s="18" t="s">
        <v>5233</v>
      </c>
      <c r="V1820" s="17" t="s">
        <v>9418</v>
      </c>
      <c r="W1820" s="18" t="s">
        <v>5310</v>
      </c>
      <c r="X1820" s="69" t="s">
        <v>9453</v>
      </c>
      <c r="Y1820" s="70" t="s">
        <v>9463</v>
      </c>
      <c r="Z1820" s="73" t="s">
        <v>9486</v>
      </c>
      <c r="AA1820" s="74" t="s">
        <v>9504</v>
      </c>
      <c r="AB1820" s="73" t="s">
        <v>9486</v>
      </c>
      <c r="AC1820" s="74" t="s">
        <v>9562</v>
      </c>
      <c r="AD1820" s="73" t="s">
        <v>9578</v>
      </c>
      <c r="AE1820" s="74" t="s">
        <v>9579</v>
      </c>
    </row>
    <row r="1821" spans="1:31" ht="8.65" customHeight="1" x14ac:dyDescent="0.2">
      <c r="A1821" s="76">
        <v>1821</v>
      </c>
      <c r="B1821" s="67" t="str">
        <f>MID(C1821, FIND("Ifc.", C1821) + 4, 4) &amp; "_" &amp; TEXT(COUNTIF($C$2:C1821, C1821),"0000")</f>
        <v>Prop_1820</v>
      </c>
      <c r="C1821" s="24" t="s">
        <v>872</v>
      </c>
      <c r="D1821" s="69" t="s">
        <v>9453</v>
      </c>
      <c r="E1821" s="70" t="s">
        <v>9454</v>
      </c>
      <c r="F1821" s="17" t="s">
        <v>806</v>
      </c>
      <c r="G1821" s="22" t="s">
        <v>907</v>
      </c>
      <c r="H1821" s="12" t="s">
        <v>9703</v>
      </c>
      <c r="I1821" s="13" t="s">
        <v>907</v>
      </c>
      <c r="J1821" s="14" t="s">
        <v>798</v>
      </c>
      <c r="K1821" s="15" t="s">
        <v>798</v>
      </c>
      <c r="L1821" s="12" t="s">
        <v>5315</v>
      </c>
      <c r="M1821" s="13" t="s">
        <v>5923</v>
      </c>
      <c r="N1821" s="12" t="s">
        <v>803</v>
      </c>
      <c r="O1821" s="13" t="s">
        <v>4977</v>
      </c>
      <c r="P1821" s="17" t="s">
        <v>802</v>
      </c>
      <c r="Q1821" s="21" t="s">
        <v>8007</v>
      </c>
      <c r="R1821" s="17" t="s">
        <v>801</v>
      </c>
      <c r="S1821" s="18" t="s">
        <v>3636</v>
      </c>
      <c r="T1821" s="17" t="s">
        <v>800</v>
      </c>
      <c r="U1821" s="18" t="s">
        <v>5257</v>
      </c>
      <c r="V1821" s="17" t="s">
        <v>9418</v>
      </c>
      <c r="W1821" s="18" t="s">
        <v>5314</v>
      </c>
      <c r="X1821" s="69" t="s">
        <v>9453</v>
      </c>
      <c r="Y1821" s="70" t="s">
        <v>9464</v>
      </c>
      <c r="Z1821" s="73" t="s">
        <v>9486</v>
      </c>
      <c r="AA1821" s="74" t="s">
        <v>9504</v>
      </c>
      <c r="AB1821" s="73" t="s">
        <v>9486</v>
      </c>
      <c r="AC1821" s="74" t="s">
        <v>9561</v>
      </c>
      <c r="AD1821" s="73" t="s">
        <v>9578</v>
      </c>
      <c r="AE1821" s="74" t="s">
        <v>9579</v>
      </c>
    </row>
    <row r="1822" spans="1:31" ht="8.65" customHeight="1" x14ac:dyDescent="0.2">
      <c r="A1822" s="76">
        <v>1822</v>
      </c>
      <c r="B1822" s="67" t="str">
        <f>MID(C1822, FIND("Ifc.", C1822) + 4, 4) &amp; "_" &amp; TEXT(COUNTIF($C$2:C1822, C1822),"0000")</f>
        <v>Prop_1821</v>
      </c>
      <c r="C1822" s="24" t="s">
        <v>872</v>
      </c>
      <c r="D1822" s="69" t="s">
        <v>9453</v>
      </c>
      <c r="E1822" s="70" t="s">
        <v>9454</v>
      </c>
      <c r="F1822" s="17" t="s">
        <v>806</v>
      </c>
      <c r="G1822" s="22" t="s">
        <v>907</v>
      </c>
      <c r="H1822" s="12" t="s">
        <v>9703</v>
      </c>
      <c r="I1822" s="13" t="s">
        <v>907</v>
      </c>
      <c r="J1822" s="14" t="s">
        <v>798</v>
      </c>
      <c r="K1822" s="15" t="s">
        <v>798</v>
      </c>
      <c r="L1822" s="12" t="s">
        <v>5315</v>
      </c>
      <c r="M1822" s="13" t="s">
        <v>5838</v>
      </c>
      <c r="N1822" s="12" t="s">
        <v>803</v>
      </c>
      <c r="O1822" s="13" t="s">
        <v>4981</v>
      </c>
      <c r="P1822" s="17" t="s">
        <v>802</v>
      </c>
      <c r="Q1822" s="21" t="s">
        <v>8018</v>
      </c>
      <c r="R1822" s="17" t="s">
        <v>801</v>
      </c>
      <c r="S1822" s="18" t="s">
        <v>3636</v>
      </c>
      <c r="T1822" s="17" t="s">
        <v>800</v>
      </c>
      <c r="U1822" s="18" t="s">
        <v>5257</v>
      </c>
      <c r="V1822" s="17" t="s">
        <v>9418</v>
      </c>
      <c r="W1822" s="18" t="s">
        <v>5314</v>
      </c>
      <c r="X1822" s="69" t="s">
        <v>9453</v>
      </c>
      <c r="Y1822" s="70" t="s">
        <v>9464</v>
      </c>
      <c r="Z1822" s="73" t="s">
        <v>9486</v>
      </c>
      <c r="AA1822" s="74" t="s">
        <v>9504</v>
      </c>
      <c r="AB1822" s="73" t="s">
        <v>9486</v>
      </c>
      <c r="AC1822" s="74" t="s">
        <v>9561</v>
      </c>
      <c r="AD1822" s="73" t="s">
        <v>9578</v>
      </c>
      <c r="AE1822" s="74" t="s">
        <v>9579</v>
      </c>
    </row>
    <row r="1823" spans="1:31" ht="8.65" customHeight="1" x14ac:dyDescent="0.2">
      <c r="A1823" s="76">
        <v>1823</v>
      </c>
      <c r="B1823" s="67" t="str">
        <f>MID(C1823, FIND("Ifc.", C1823) + 4, 4) &amp; "_" &amp; TEXT(COUNTIF($C$2:C1823, C1823),"0000")</f>
        <v>Prop_1822</v>
      </c>
      <c r="C1823" s="24" t="s">
        <v>872</v>
      </c>
      <c r="D1823" s="69" t="s">
        <v>9453</v>
      </c>
      <c r="E1823" s="70" t="s">
        <v>9454</v>
      </c>
      <c r="F1823" s="17" t="s">
        <v>806</v>
      </c>
      <c r="G1823" s="22" t="s">
        <v>907</v>
      </c>
      <c r="H1823" s="12" t="s">
        <v>9703</v>
      </c>
      <c r="I1823" s="13" t="s">
        <v>907</v>
      </c>
      <c r="J1823" s="14" t="s">
        <v>798</v>
      </c>
      <c r="K1823" s="15" t="s">
        <v>798</v>
      </c>
      <c r="L1823" s="12" t="s">
        <v>5315</v>
      </c>
      <c r="M1823" s="13" t="s">
        <v>5843</v>
      </c>
      <c r="N1823" s="12" t="s">
        <v>803</v>
      </c>
      <c r="O1823" s="13" t="s">
        <v>4988</v>
      </c>
      <c r="P1823" s="17" t="s">
        <v>802</v>
      </c>
      <c r="Q1823" s="21" t="s">
        <v>8019</v>
      </c>
      <c r="R1823" s="17" t="s">
        <v>801</v>
      </c>
      <c r="S1823" s="18" t="s">
        <v>3636</v>
      </c>
      <c r="T1823" s="17" t="s">
        <v>800</v>
      </c>
      <c r="U1823" s="18" t="s">
        <v>5257</v>
      </c>
      <c r="V1823" s="17" t="s">
        <v>9418</v>
      </c>
      <c r="W1823" s="18" t="s">
        <v>5314</v>
      </c>
      <c r="X1823" s="69" t="s">
        <v>9453</v>
      </c>
      <c r="Y1823" s="70" t="s">
        <v>9464</v>
      </c>
      <c r="Z1823" s="73" t="s">
        <v>9486</v>
      </c>
      <c r="AA1823" s="74" t="s">
        <v>9504</v>
      </c>
      <c r="AB1823" s="73" t="s">
        <v>9486</v>
      </c>
      <c r="AC1823" s="74" t="s">
        <v>9561</v>
      </c>
      <c r="AD1823" s="73" t="s">
        <v>9578</v>
      </c>
      <c r="AE1823" s="74" t="s">
        <v>9579</v>
      </c>
    </row>
    <row r="1824" spans="1:31" ht="8.65" customHeight="1" x14ac:dyDescent="0.2">
      <c r="A1824" s="76">
        <v>1824</v>
      </c>
      <c r="B1824" s="67" t="str">
        <f>MID(C1824, FIND("Ifc.", C1824) + 4, 4) &amp; "_" &amp; TEXT(COUNTIF($C$2:C1824, C1824),"0000")</f>
        <v>Prop_1823</v>
      </c>
      <c r="C1824" s="24" t="s">
        <v>872</v>
      </c>
      <c r="D1824" s="69" t="s">
        <v>9453</v>
      </c>
      <c r="E1824" s="70" t="s">
        <v>9454</v>
      </c>
      <c r="F1824" s="17" t="s">
        <v>806</v>
      </c>
      <c r="G1824" s="22" t="s">
        <v>907</v>
      </c>
      <c r="H1824" s="12" t="s">
        <v>9703</v>
      </c>
      <c r="I1824" s="13" t="s">
        <v>907</v>
      </c>
      <c r="J1824" s="14" t="s">
        <v>798</v>
      </c>
      <c r="K1824" s="15" t="s">
        <v>798</v>
      </c>
      <c r="L1824" s="12" t="s">
        <v>5315</v>
      </c>
      <c r="M1824" s="13" t="s">
        <v>5845</v>
      </c>
      <c r="N1824" s="12" t="s">
        <v>803</v>
      </c>
      <c r="O1824" s="13" t="s">
        <v>4991</v>
      </c>
      <c r="P1824" s="17" t="s">
        <v>802</v>
      </c>
      <c r="Q1824" s="21" t="s">
        <v>7937</v>
      </c>
      <c r="R1824" s="17" t="s">
        <v>801</v>
      </c>
      <c r="S1824" s="18" t="s">
        <v>3636</v>
      </c>
      <c r="T1824" s="17" t="s">
        <v>800</v>
      </c>
      <c r="U1824" s="18" t="s">
        <v>5257</v>
      </c>
      <c r="V1824" s="17" t="s">
        <v>9418</v>
      </c>
      <c r="W1824" s="18" t="s">
        <v>5314</v>
      </c>
      <c r="X1824" s="69" t="s">
        <v>9453</v>
      </c>
      <c r="Y1824" s="70" t="s">
        <v>9464</v>
      </c>
      <c r="Z1824" s="73" t="s">
        <v>9486</v>
      </c>
      <c r="AA1824" s="74" t="s">
        <v>9504</v>
      </c>
      <c r="AB1824" s="73" t="s">
        <v>9486</v>
      </c>
      <c r="AC1824" s="74" t="s">
        <v>9561</v>
      </c>
      <c r="AD1824" s="73" t="s">
        <v>9578</v>
      </c>
      <c r="AE1824" s="74" t="s">
        <v>9579</v>
      </c>
    </row>
    <row r="1825" spans="1:31" ht="8.65" customHeight="1" x14ac:dyDescent="0.2">
      <c r="A1825" s="76">
        <v>1825</v>
      </c>
      <c r="B1825" s="67" t="str">
        <f>MID(C1825, FIND("Ifc.", C1825) + 4, 4) &amp; "_" &amp; TEXT(COUNTIF($C$2:C1825, C1825),"0000")</f>
        <v>Prop_1824</v>
      </c>
      <c r="C1825" s="24" t="s">
        <v>872</v>
      </c>
      <c r="D1825" s="69" t="s">
        <v>9453</v>
      </c>
      <c r="E1825" s="70" t="s">
        <v>9454</v>
      </c>
      <c r="F1825" s="17" t="s">
        <v>806</v>
      </c>
      <c r="G1825" s="22" t="s">
        <v>907</v>
      </c>
      <c r="H1825" s="12" t="s">
        <v>9703</v>
      </c>
      <c r="I1825" s="13" t="s">
        <v>907</v>
      </c>
      <c r="J1825" s="14" t="s">
        <v>798</v>
      </c>
      <c r="K1825" s="15" t="s">
        <v>798</v>
      </c>
      <c r="L1825" s="12" t="s">
        <v>5315</v>
      </c>
      <c r="M1825" s="13" t="s">
        <v>5933</v>
      </c>
      <c r="N1825" s="12" t="s">
        <v>803</v>
      </c>
      <c r="O1825" s="13" t="s">
        <v>5008</v>
      </c>
      <c r="P1825" s="17" t="s">
        <v>802</v>
      </c>
      <c r="Q1825" s="21" t="s">
        <v>8036</v>
      </c>
      <c r="R1825" s="17" t="s">
        <v>801</v>
      </c>
      <c r="S1825" s="18" t="s">
        <v>2554</v>
      </c>
      <c r="T1825" s="17" t="s">
        <v>800</v>
      </c>
      <c r="U1825" s="18" t="s">
        <v>5233</v>
      </c>
      <c r="V1825" s="17" t="s">
        <v>9418</v>
      </c>
      <c r="W1825" s="18" t="s">
        <v>5310</v>
      </c>
      <c r="X1825" s="69" t="s">
        <v>9453</v>
      </c>
      <c r="Y1825" s="70" t="s">
        <v>9463</v>
      </c>
      <c r="Z1825" s="73" t="s">
        <v>9486</v>
      </c>
      <c r="AA1825" s="74" t="s">
        <v>9504</v>
      </c>
      <c r="AB1825" s="73" t="s">
        <v>9486</v>
      </c>
      <c r="AC1825" s="74" t="s">
        <v>9562</v>
      </c>
      <c r="AD1825" s="73" t="s">
        <v>9578</v>
      </c>
      <c r="AE1825" s="74" t="s">
        <v>9579</v>
      </c>
    </row>
    <row r="1826" spans="1:31" ht="8.65" customHeight="1" x14ac:dyDescent="0.2">
      <c r="A1826" s="76">
        <v>1826</v>
      </c>
      <c r="B1826" s="67" t="str">
        <f>MID(C1826, FIND("Ifc.", C1826) + 4, 4) &amp; "_" &amp; TEXT(COUNTIF($C$2:C1826, C1826),"0000")</f>
        <v>Prop_1825</v>
      </c>
      <c r="C1826" s="24" t="s">
        <v>872</v>
      </c>
      <c r="D1826" s="69" t="s">
        <v>9453</v>
      </c>
      <c r="E1826" s="70" t="s">
        <v>9454</v>
      </c>
      <c r="F1826" s="17" t="s">
        <v>806</v>
      </c>
      <c r="G1826" s="22" t="s">
        <v>907</v>
      </c>
      <c r="H1826" s="12" t="s">
        <v>9703</v>
      </c>
      <c r="I1826" s="13" t="s">
        <v>907</v>
      </c>
      <c r="J1826" s="14" t="s">
        <v>798</v>
      </c>
      <c r="K1826" s="15" t="s">
        <v>798</v>
      </c>
      <c r="L1826" s="12" t="s">
        <v>5315</v>
      </c>
      <c r="M1826" s="13" t="s">
        <v>5451</v>
      </c>
      <c r="N1826" s="12" t="s">
        <v>803</v>
      </c>
      <c r="O1826" s="13" t="s">
        <v>5009</v>
      </c>
      <c r="P1826" s="17" t="s">
        <v>802</v>
      </c>
      <c r="Q1826" s="21" t="s">
        <v>7857</v>
      </c>
      <c r="R1826" s="17" t="s">
        <v>801</v>
      </c>
      <c r="S1826" s="18" t="s">
        <v>2554</v>
      </c>
      <c r="T1826" s="17" t="s">
        <v>800</v>
      </c>
      <c r="U1826" s="18" t="s">
        <v>5233</v>
      </c>
      <c r="V1826" s="17" t="s">
        <v>9418</v>
      </c>
      <c r="W1826" s="18" t="s">
        <v>5310</v>
      </c>
      <c r="X1826" s="69" t="s">
        <v>9453</v>
      </c>
      <c r="Y1826" s="70" t="s">
        <v>9463</v>
      </c>
      <c r="Z1826" s="73" t="s">
        <v>9486</v>
      </c>
      <c r="AA1826" s="74" t="s">
        <v>9504</v>
      </c>
      <c r="AB1826" s="73" t="s">
        <v>9486</v>
      </c>
      <c r="AC1826" s="74" t="s">
        <v>9562</v>
      </c>
      <c r="AD1826" s="73" t="s">
        <v>9578</v>
      </c>
      <c r="AE1826" s="74" t="s">
        <v>9579</v>
      </c>
    </row>
    <row r="1827" spans="1:31" ht="8.65" customHeight="1" x14ac:dyDescent="0.2">
      <c r="A1827" s="76">
        <v>1827</v>
      </c>
      <c r="B1827" s="67" t="str">
        <f>MID(C1827, FIND("Ifc.", C1827) + 4, 4) &amp; "_" &amp; TEXT(COUNTIF($C$2:C1827, C1827),"0000")</f>
        <v>Prop_1826</v>
      </c>
      <c r="C1827" s="24" t="s">
        <v>872</v>
      </c>
      <c r="D1827" s="69" t="s">
        <v>9453</v>
      </c>
      <c r="E1827" s="70" t="s">
        <v>9454</v>
      </c>
      <c r="F1827" s="17" t="s">
        <v>806</v>
      </c>
      <c r="G1827" s="22" t="s">
        <v>907</v>
      </c>
      <c r="H1827" s="12" t="s">
        <v>9703</v>
      </c>
      <c r="I1827" s="13" t="s">
        <v>907</v>
      </c>
      <c r="J1827" s="14" t="s">
        <v>798</v>
      </c>
      <c r="K1827" s="15" t="s">
        <v>798</v>
      </c>
      <c r="L1827" s="12" t="s">
        <v>5315</v>
      </c>
      <c r="M1827" s="13" t="s">
        <v>5453</v>
      </c>
      <c r="N1827" s="12" t="s">
        <v>803</v>
      </c>
      <c r="O1827" s="13" t="s">
        <v>5015</v>
      </c>
      <c r="P1827" s="17" t="s">
        <v>802</v>
      </c>
      <c r="Q1827" s="21" t="s">
        <v>7712</v>
      </c>
      <c r="R1827" s="17" t="s">
        <v>801</v>
      </c>
      <c r="S1827" s="18" t="s">
        <v>2554</v>
      </c>
      <c r="T1827" s="17" t="s">
        <v>800</v>
      </c>
      <c r="U1827" s="18" t="s">
        <v>5233</v>
      </c>
      <c r="V1827" s="17" t="s">
        <v>9418</v>
      </c>
      <c r="W1827" s="18" t="s">
        <v>5310</v>
      </c>
      <c r="X1827" s="69" t="s">
        <v>9453</v>
      </c>
      <c r="Y1827" s="70" t="s">
        <v>9463</v>
      </c>
      <c r="Z1827" s="73" t="s">
        <v>9486</v>
      </c>
      <c r="AA1827" s="74" t="s">
        <v>9504</v>
      </c>
      <c r="AB1827" s="73" t="s">
        <v>9486</v>
      </c>
      <c r="AC1827" s="74" t="s">
        <v>9562</v>
      </c>
      <c r="AD1827" s="73" t="s">
        <v>9578</v>
      </c>
      <c r="AE1827" s="74" t="s">
        <v>9579</v>
      </c>
    </row>
    <row r="1828" spans="1:31" ht="8.65" customHeight="1" x14ac:dyDescent="0.2">
      <c r="A1828" s="76">
        <v>1828</v>
      </c>
      <c r="B1828" s="67" t="str">
        <f>MID(C1828, FIND("Ifc.", C1828) + 4, 4) &amp; "_" &amp; TEXT(COUNTIF($C$2:C1828, C1828),"0000")</f>
        <v>Prop_1827</v>
      </c>
      <c r="C1828" s="24" t="s">
        <v>872</v>
      </c>
      <c r="D1828" s="69" t="s">
        <v>9453</v>
      </c>
      <c r="E1828" s="70" t="s">
        <v>9454</v>
      </c>
      <c r="F1828" s="17" t="s">
        <v>806</v>
      </c>
      <c r="G1828" s="22" t="s">
        <v>907</v>
      </c>
      <c r="H1828" s="12" t="s">
        <v>9703</v>
      </c>
      <c r="I1828" s="13" t="s">
        <v>907</v>
      </c>
      <c r="J1828" s="14" t="s">
        <v>798</v>
      </c>
      <c r="K1828" s="15" t="s">
        <v>798</v>
      </c>
      <c r="L1828" s="12" t="s">
        <v>5315</v>
      </c>
      <c r="M1828" s="13" t="s">
        <v>5821</v>
      </c>
      <c r="N1828" s="12" t="s">
        <v>803</v>
      </c>
      <c r="O1828" s="13" t="s">
        <v>4883</v>
      </c>
      <c r="P1828" s="17" t="s">
        <v>802</v>
      </c>
      <c r="Q1828" s="21" t="s">
        <v>7683</v>
      </c>
      <c r="R1828" s="17" t="s">
        <v>801</v>
      </c>
      <c r="S1828" s="18" t="s">
        <v>2554</v>
      </c>
      <c r="T1828" s="17" t="s">
        <v>800</v>
      </c>
      <c r="U1828" s="18" t="s">
        <v>5233</v>
      </c>
      <c r="V1828" s="17" t="s">
        <v>9418</v>
      </c>
      <c r="W1828" s="18" t="s">
        <v>5310</v>
      </c>
      <c r="X1828" s="69" t="s">
        <v>9453</v>
      </c>
      <c r="Y1828" s="70" t="s">
        <v>9463</v>
      </c>
      <c r="Z1828" s="73" t="s">
        <v>9486</v>
      </c>
      <c r="AA1828" s="74" t="s">
        <v>9504</v>
      </c>
      <c r="AB1828" s="73" t="s">
        <v>9486</v>
      </c>
      <c r="AC1828" s="74" t="s">
        <v>9562</v>
      </c>
      <c r="AD1828" s="73" t="s">
        <v>9578</v>
      </c>
      <c r="AE1828" s="74" t="s">
        <v>9579</v>
      </c>
    </row>
    <row r="1829" spans="1:31" ht="8.65" customHeight="1" x14ac:dyDescent="0.2">
      <c r="A1829" s="76">
        <v>1829</v>
      </c>
      <c r="B1829" s="67" t="str">
        <f>MID(C1829, FIND("Ifc.", C1829) + 4, 4) &amp; "_" &amp; TEXT(COUNTIF($C$2:C1829, C1829),"0000")</f>
        <v>Prop_1828</v>
      </c>
      <c r="C1829" s="24" t="s">
        <v>872</v>
      </c>
      <c r="D1829" s="69" t="s">
        <v>9453</v>
      </c>
      <c r="E1829" s="70" t="s">
        <v>9454</v>
      </c>
      <c r="F1829" s="17" t="s">
        <v>806</v>
      </c>
      <c r="G1829" s="22" t="s">
        <v>907</v>
      </c>
      <c r="H1829" s="12" t="s">
        <v>9703</v>
      </c>
      <c r="I1829" s="13" t="s">
        <v>907</v>
      </c>
      <c r="J1829" s="14" t="s">
        <v>798</v>
      </c>
      <c r="K1829" s="15" t="s">
        <v>798</v>
      </c>
      <c r="L1829" s="12" t="s">
        <v>5315</v>
      </c>
      <c r="M1829" s="13" t="s">
        <v>5454</v>
      </c>
      <c r="N1829" s="12" t="s">
        <v>803</v>
      </c>
      <c r="O1829" s="13" t="s">
        <v>5017</v>
      </c>
      <c r="P1829" s="17" t="s">
        <v>802</v>
      </c>
      <c r="Q1829" s="21" t="s">
        <v>7776</v>
      </c>
      <c r="R1829" s="17" t="s">
        <v>801</v>
      </c>
      <c r="S1829" s="18" t="s">
        <v>2554</v>
      </c>
      <c r="T1829" s="17" t="s">
        <v>800</v>
      </c>
      <c r="U1829" s="18" t="s">
        <v>5233</v>
      </c>
      <c r="V1829" s="17" t="s">
        <v>9418</v>
      </c>
      <c r="W1829" s="18" t="s">
        <v>5310</v>
      </c>
      <c r="X1829" s="69" t="s">
        <v>9453</v>
      </c>
      <c r="Y1829" s="70" t="s">
        <v>9463</v>
      </c>
      <c r="Z1829" s="73" t="s">
        <v>9486</v>
      </c>
      <c r="AA1829" s="74" t="s">
        <v>9504</v>
      </c>
      <c r="AB1829" s="73" t="s">
        <v>9486</v>
      </c>
      <c r="AC1829" s="74" t="s">
        <v>9562</v>
      </c>
      <c r="AD1829" s="73" t="s">
        <v>9578</v>
      </c>
      <c r="AE1829" s="74" t="s">
        <v>9579</v>
      </c>
    </row>
    <row r="1830" spans="1:31" ht="8.65" customHeight="1" x14ac:dyDescent="0.2">
      <c r="A1830" s="76">
        <v>1830</v>
      </c>
      <c r="B1830" s="67" t="str">
        <f>MID(C1830, FIND("Ifc.", C1830) + 4, 4) &amp; "_" &amp; TEXT(COUNTIF($C$2:C1830, C1830),"0000")</f>
        <v>Prop_1829</v>
      </c>
      <c r="C1830" s="24" t="s">
        <v>872</v>
      </c>
      <c r="D1830" s="69" t="s">
        <v>9453</v>
      </c>
      <c r="E1830" s="70" t="s">
        <v>9454</v>
      </c>
      <c r="F1830" s="17" t="s">
        <v>806</v>
      </c>
      <c r="G1830" s="22" t="s">
        <v>907</v>
      </c>
      <c r="H1830" s="12" t="s">
        <v>9703</v>
      </c>
      <c r="I1830" s="13" t="s">
        <v>907</v>
      </c>
      <c r="J1830" s="14" t="s">
        <v>798</v>
      </c>
      <c r="K1830" s="15" t="s">
        <v>798</v>
      </c>
      <c r="L1830" s="12" t="s">
        <v>5315</v>
      </c>
      <c r="M1830" s="13" t="s">
        <v>5455</v>
      </c>
      <c r="N1830" s="12" t="s">
        <v>803</v>
      </c>
      <c r="O1830" s="13" t="s">
        <v>5019</v>
      </c>
      <c r="P1830" s="17" t="s">
        <v>802</v>
      </c>
      <c r="Q1830" s="21" t="s">
        <v>7736</v>
      </c>
      <c r="R1830" s="17" t="s">
        <v>801</v>
      </c>
      <c r="S1830" s="18" t="s">
        <v>2554</v>
      </c>
      <c r="T1830" s="17" t="s">
        <v>800</v>
      </c>
      <c r="U1830" s="18" t="s">
        <v>5233</v>
      </c>
      <c r="V1830" s="17" t="s">
        <v>9418</v>
      </c>
      <c r="W1830" s="18" t="s">
        <v>5310</v>
      </c>
      <c r="X1830" s="69" t="s">
        <v>9453</v>
      </c>
      <c r="Y1830" s="70" t="s">
        <v>9463</v>
      </c>
      <c r="Z1830" s="73" t="s">
        <v>9486</v>
      </c>
      <c r="AA1830" s="74" t="s">
        <v>9504</v>
      </c>
      <c r="AB1830" s="73" t="s">
        <v>9486</v>
      </c>
      <c r="AC1830" s="74" t="s">
        <v>9562</v>
      </c>
      <c r="AD1830" s="73" t="s">
        <v>9578</v>
      </c>
      <c r="AE1830" s="74" t="s">
        <v>9579</v>
      </c>
    </row>
    <row r="1831" spans="1:31" ht="8.65" customHeight="1" x14ac:dyDescent="0.2">
      <c r="A1831" s="76">
        <v>1831</v>
      </c>
      <c r="B1831" s="67" t="str">
        <f>MID(C1831, FIND("Ifc.", C1831) + 4, 4) &amp; "_" &amp; TEXT(COUNTIF($C$2:C1831, C1831),"0000")</f>
        <v>Prop_1830</v>
      </c>
      <c r="C1831" s="24" t="s">
        <v>872</v>
      </c>
      <c r="D1831" s="69" t="s">
        <v>9453</v>
      </c>
      <c r="E1831" s="70" t="s">
        <v>9454</v>
      </c>
      <c r="F1831" s="17" t="s">
        <v>806</v>
      </c>
      <c r="G1831" s="22" t="s">
        <v>907</v>
      </c>
      <c r="H1831" s="12" t="s">
        <v>9703</v>
      </c>
      <c r="I1831" s="13" t="s">
        <v>907</v>
      </c>
      <c r="J1831" s="14" t="s">
        <v>798</v>
      </c>
      <c r="K1831" s="15" t="s">
        <v>798</v>
      </c>
      <c r="L1831" s="12" t="s">
        <v>5315</v>
      </c>
      <c r="M1831" s="13" t="s">
        <v>5456</v>
      </c>
      <c r="N1831" s="12" t="s">
        <v>803</v>
      </c>
      <c r="O1831" s="13" t="s">
        <v>5026</v>
      </c>
      <c r="P1831" s="17" t="s">
        <v>802</v>
      </c>
      <c r="Q1831" s="21" t="s">
        <v>7801</v>
      </c>
      <c r="R1831" s="17" t="s">
        <v>801</v>
      </c>
      <c r="S1831" s="18" t="s">
        <v>2554</v>
      </c>
      <c r="T1831" s="17" t="s">
        <v>800</v>
      </c>
      <c r="U1831" s="18" t="s">
        <v>5233</v>
      </c>
      <c r="V1831" s="17" t="s">
        <v>9418</v>
      </c>
      <c r="W1831" s="18" t="s">
        <v>5310</v>
      </c>
      <c r="X1831" s="69" t="s">
        <v>9453</v>
      </c>
      <c r="Y1831" s="70" t="s">
        <v>9463</v>
      </c>
      <c r="Z1831" s="73" t="s">
        <v>9486</v>
      </c>
      <c r="AA1831" s="74" t="s">
        <v>9504</v>
      </c>
      <c r="AB1831" s="73" t="s">
        <v>9486</v>
      </c>
      <c r="AC1831" s="74" t="s">
        <v>9562</v>
      </c>
      <c r="AD1831" s="73" t="s">
        <v>9578</v>
      </c>
      <c r="AE1831" s="74" t="s">
        <v>9579</v>
      </c>
    </row>
    <row r="1832" spans="1:31" ht="8.65" customHeight="1" x14ac:dyDescent="0.2">
      <c r="A1832" s="76">
        <v>1832</v>
      </c>
      <c r="B1832" s="67" t="str">
        <f>MID(C1832, FIND("Ifc.", C1832) + 4, 4) &amp; "_" &amp; TEXT(COUNTIF($C$2:C1832, C1832),"0000")</f>
        <v>Prop_1831</v>
      </c>
      <c r="C1832" s="24" t="s">
        <v>872</v>
      </c>
      <c r="D1832" s="69" t="s">
        <v>9453</v>
      </c>
      <c r="E1832" s="70" t="s">
        <v>9454</v>
      </c>
      <c r="F1832" s="17" t="s">
        <v>806</v>
      </c>
      <c r="G1832" s="22" t="s">
        <v>907</v>
      </c>
      <c r="H1832" s="12" t="s">
        <v>9703</v>
      </c>
      <c r="I1832" s="13" t="s">
        <v>907</v>
      </c>
      <c r="J1832" s="14" t="s">
        <v>798</v>
      </c>
      <c r="K1832" s="15" t="s">
        <v>798</v>
      </c>
      <c r="L1832" s="12" t="s">
        <v>5315</v>
      </c>
      <c r="M1832" s="13" t="s">
        <v>5961</v>
      </c>
      <c r="N1832" s="12" t="s">
        <v>803</v>
      </c>
      <c r="O1832" s="13" t="s">
        <v>5054</v>
      </c>
      <c r="P1832" s="17" t="s">
        <v>802</v>
      </c>
      <c r="Q1832" s="21" t="s">
        <v>7969</v>
      </c>
      <c r="R1832" s="17" t="s">
        <v>801</v>
      </c>
      <c r="S1832" s="18" t="s">
        <v>2554</v>
      </c>
      <c r="T1832" s="17" t="s">
        <v>800</v>
      </c>
      <c r="U1832" s="18" t="s">
        <v>5233</v>
      </c>
      <c r="V1832" s="17" t="s">
        <v>9418</v>
      </c>
      <c r="W1832" s="18" t="s">
        <v>5310</v>
      </c>
      <c r="X1832" s="69" t="s">
        <v>9453</v>
      </c>
      <c r="Y1832" s="70" t="s">
        <v>9463</v>
      </c>
      <c r="Z1832" s="73" t="s">
        <v>9486</v>
      </c>
      <c r="AA1832" s="74" t="s">
        <v>9504</v>
      </c>
      <c r="AB1832" s="73" t="s">
        <v>9486</v>
      </c>
      <c r="AC1832" s="74" t="s">
        <v>9562</v>
      </c>
      <c r="AD1832" s="73" t="s">
        <v>9578</v>
      </c>
      <c r="AE1832" s="74" t="s">
        <v>9579</v>
      </c>
    </row>
    <row r="1833" spans="1:31" ht="8.65" customHeight="1" x14ac:dyDescent="0.2">
      <c r="A1833" s="76">
        <v>1833</v>
      </c>
      <c r="B1833" s="67" t="str">
        <f>MID(C1833, FIND("Ifc.", C1833) + 4, 4) &amp; "_" &amp; TEXT(COUNTIF($C$2:C1833, C1833),"0000")</f>
        <v>Prop_1832</v>
      </c>
      <c r="C1833" s="24" t="s">
        <v>872</v>
      </c>
      <c r="D1833" s="69" t="s">
        <v>9453</v>
      </c>
      <c r="E1833" s="70" t="s">
        <v>9454</v>
      </c>
      <c r="F1833" s="17" t="s">
        <v>806</v>
      </c>
      <c r="G1833" s="22" t="s">
        <v>907</v>
      </c>
      <c r="H1833" s="12" t="s">
        <v>9703</v>
      </c>
      <c r="I1833" s="13" t="s">
        <v>907</v>
      </c>
      <c r="J1833" s="14" t="s">
        <v>798</v>
      </c>
      <c r="K1833" s="15" t="s">
        <v>798</v>
      </c>
      <c r="L1833" s="12" t="s">
        <v>5315</v>
      </c>
      <c r="M1833" s="13" t="s">
        <v>5952</v>
      </c>
      <c r="N1833" s="12" t="s">
        <v>803</v>
      </c>
      <c r="O1833" s="13" t="s">
        <v>5041</v>
      </c>
      <c r="P1833" s="17" t="s">
        <v>802</v>
      </c>
      <c r="Q1833" s="21" t="s">
        <v>7986</v>
      </c>
      <c r="R1833" s="17" t="s">
        <v>801</v>
      </c>
      <c r="S1833" s="18" t="s">
        <v>2554</v>
      </c>
      <c r="T1833" s="17" t="s">
        <v>800</v>
      </c>
      <c r="U1833" s="18" t="s">
        <v>5233</v>
      </c>
      <c r="V1833" s="17" t="s">
        <v>9418</v>
      </c>
      <c r="W1833" s="18" t="s">
        <v>5310</v>
      </c>
      <c r="X1833" s="69" t="s">
        <v>9453</v>
      </c>
      <c r="Y1833" s="70" t="s">
        <v>9463</v>
      </c>
      <c r="Z1833" s="73" t="s">
        <v>9486</v>
      </c>
      <c r="AA1833" s="74" t="s">
        <v>9504</v>
      </c>
      <c r="AB1833" s="73" t="s">
        <v>9486</v>
      </c>
      <c r="AC1833" s="74" t="s">
        <v>9562</v>
      </c>
      <c r="AD1833" s="73" t="s">
        <v>9578</v>
      </c>
      <c r="AE1833" s="74" t="s">
        <v>9579</v>
      </c>
    </row>
    <row r="1834" spans="1:31" ht="8.65" customHeight="1" x14ac:dyDescent="0.2">
      <c r="A1834" s="76">
        <v>1834</v>
      </c>
      <c r="B1834" s="67" t="str">
        <f>MID(C1834, FIND("Ifc.", C1834) + 4, 4) &amp; "_" &amp; TEXT(COUNTIF($C$2:C1834, C1834),"0000")</f>
        <v>Prop_1833</v>
      </c>
      <c r="C1834" s="24" t="s">
        <v>872</v>
      </c>
      <c r="D1834" s="69" t="s">
        <v>9453</v>
      </c>
      <c r="E1834" s="70" t="s">
        <v>9454</v>
      </c>
      <c r="F1834" s="17" t="s">
        <v>806</v>
      </c>
      <c r="G1834" s="22" t="s">
        <v>907</v>
      </c>
      <c r="H1834" s="12" t="s">
        <v>9703</v>
      </c>
      <c r="I1834" s="13" t="s">
        <v>907</v>
      </c>
      <c r="J1834" s="14" t="s">
        <v>798</v>
      </c>
      <c r="K1834" s="15" t="s">
        <v>798</v>
      </c>
      <c r="L1834" s="12" t="s">
        <v>5315</v>
      </c>
      <c r="M1834" s="13" t="s">
        <v>5462</v>
      </c>
      <c r="N1834" s="12" t="s">
        <v>803</v>
      </c>
      <c r="O1834" s="13" t="s">
        <v>5044</v>
      </c>
      <c r="P1834" s="17" t="s">
        <v>802</v>
      </c>
      <c r="Q1834" s="21" t="s">
        <v>7806</v>
      </c>
      <c r="R1834" s="17" t="s">
        <v>801</v>
      </c>
      <c r="S1834" s="18" t="s">
        <v>2554</v>
      </c>
      <c r="T1834" s="17" t="s">
        <v>800</v>
      </c>
      <c r="U1834" s="18" t="s">
        <v>5233</v>
      </c>
      <c r="V1834" s="17" t="s">
        <v>9418</v>
      </c>
      <c r="W1834" s="18" t="s">
        <v>5310</v>
      </c>
      <c r="X1834" s="69" t="s">
        <v>9453</v>
      </c>
      <c r="Y1834" s="70" t="s">
        <v>9463</v>
      </c>
      <c r="Z1834" s="73" t="s">
        <v>9486</v>
      </c>
      <c r="AA1834" s="74" t="s">
        <v>9504</v>
      </c>
      <c r="AB1834" s="73" t="s">
        <v>9486</v>
      </c>
      <c r="AC1834" s="74" t="s">
        <v>9562</v>
      </c>
      <c r="AD1834" s="73" t="s">
        <v>9578</v>
      </c>
      <c r="AE1834" s="74" t="s">
        <v>9579</v>
      </c>
    </row>
    <row r="1835" spans="1:31" ht="8.65" customHeight="1" x14ac:dyDescent="0.2">
      <c r="A1835" s="76">
        <v>1835</v>
      </c>
      <c r="B1835" s="67" t="str">
        <f>MID(C1835, FIND("Ifc.", C1835) + 4, 4) &amp; "_" &amp; TEXT(COUNTIF($C$2:C1835, C1835),"0000")</f>
        <v>Prop_1834</v>
      </c>
      <c r="C1835" s="24" t="s">
        <v>872</v>
      </c>
      <c r="D1835" s="69" t="s">
        <v>9453</v>
      </c>
      <c r="E1835" s="70" t="s">
        <v>9454</v>
      </c>
      <c r="F1835" s="17" t="s">
        <v>806</v>
      </c>
      <c r="G1835" s="22" t="s">
        <v>907</v>
      </c>
      <c r="H1835" s="12" t="s">
        <v>9703</v>
      </c>
      <c r="I1835" s="13" t="s">
        <v>907</v>
      </c>
      <c r="J1835" s="14" t="s">
        <v>798</v>
      </c>
      <c r="K1835" s="15" t="s">
        <v>798</v>
      </c>
      <c r="L1835" s="12" t="s">
        <v>5315</v>
      </c>
      <c r="M1835" s="13" t="s">
        <v>5463</v>
      </c>
      <c r="N1835" s="12" t="s">
        <v>803</v>
      </c>
      <c r="O1835" s="13" t="s">
        <v>5048</v>
      </c>
      <c r="P1835" s="17" t="s">
        <v>802</v>
      </c>
      <c r="Q1835" s="21" t="s">
        <v>7713</v>
      </c>
      <c r="R1835" s="17" t="s">
        <v>801</v>
      </c>
      <c r="S1835" s="18" t="s">
        <v>2554</v>
      </c>
      <c r="T1835" s="17" t="s">
        <v>800</v>
      </c>
      <c r="U1835" s="18" t="s">
        <v>5233</v>
      </c>
      <c r="V1835" s="17" t="s">
        <v>9418</v>
      </c>
      <c r="W1835" s="18" t="s">
        <v>5310</v>
      </c>
      <c r="X1835" s="69" t="s">
        <v>9453</v>
      </c>
      <c r="Y1835" s="70" t="s">
        <v>9463</v>
      </c>
      <c r="Z1835" s="73" t="s">
        <v>9486</v>
      </c>
      <c r="AA1835" s="74" t="s">
        <v>9504</v>
      </c>
      <c r="AB1835" s="73" t="s">
        <v>9486</v>
      </c>
      <c r="AC1835" s="74" t="s">
        <v>9562</v>
      </c>
      <c r="AD1835" s="73" t="s">
        <v>9578</v>
      </c>
      <c r="AE1835" s="74" t="s">
        <v>9579</v>
      </c>
    </row>
    <row r="1836" spans="1:31" ht="8.65" customHeight="1" x14ac:dyDescent="0.2">
      <c r="A1836" s="76">
        <v>1836</v>
      </c>
      <c r="B1836" s="67" t="str">
        <f>MID(C1836, FIND("Ifc.", C1836) + 4, 4) &amp; "_" &amp; TEXT(COUNTIF($C$2:C1836, C1836),"0000")</f>
        <v>Prop_1835</v>
      </c>
      <c r="C1836" s="24" t="s">
        <v>872</v>
      </c>
      <c r="D1836" s="69" t="s">
        <v>9453</v>
      </c>
      <c r="E1836" s="70" t="s">
        <v>9454</v>
      </c>
      <c r="F1836" s="17" t="s">
        <v>806</v>
      </c>
      <c r="G1836" s="22" t="s">
        <v>907</v>
      </c>
      <c r="H1836" s="12" t="s">
        <v>9703</v>
      </c>
      <c r="I1836" s="13" t="s">
        <v>907</v>
      </c>
      <c r="J1836" s="14" t="s">
        <v>798</v>
      </c>
      <c r="K1836" s="15" t="s">
        <v>798</v>
      </c>
      <c r="L1836" s="12" t="s">
        <v>5315</v>
      </c>
      <c r="M1836" s="13" t="s">
        <v>5466</v>
      </c>
      <c r="N1836" s="12" t="s">
        <v>803</v>
      </c>
      <c r="O1836" s="13" t="s">
        <v>5053</v>
      </c>
      <c r="P1836" s="17" t="s">
        <v>802</v>
      </c>
      <c r="Q1836" s="21" t="s">
        <v>8037</v>
      </c>
      <c r="R1836" s="17" t="s">
        <v>801</v>
      </c>
      <c r="S1836" s="18" t="s">
        <v>2554</v>
      </c>
      <c r="T1836" s="17" t="s">
        <v>800</v>
      </c>
      <c r="U1836" s="18" t="s">
        <v>5233</v>
      </c>
      <c r="V1836" s="17" t="s">
        <v>9418</v>
      </c>
      <c r="W1836" s="18" t="s">
        <v>5310</v>
      </c>
      <c r="X1836" s="69" t="s">
        <v>9453</v>
      </c>
      <c r="Y1836" s="70" t="s">
        <v>9463</v>
      </c>
      <c r="Z1836" s="73" t="s">
        <v>9486</v>
      </c>
      <c r="AA1836" s="74" t="s">
        <v>9504</v>
      </c>
      <c r="AB1836" s="73" t="s">
        <v>9486</v>
      </c>
      <c r="AC1836" s="74" t="s">
        <v>9562</v>
      </c>
      <c r="AD1836" s="73" t="s">
        <v>9578</v>
      </c>
      <c r="AE1836" s="74" t="s">
        <v>9579</v>
      </c>
    </row>
    <row r="1837" spans="1:31" ht="8.65" customHeight="1" x14ac:dyDescent="0.2">
      <c r="A1837" s="76">
        <v>1837</v>
      </c>
      <c r="B1837" s="67" t="str">
        <f>MID(C1837, FIND("Ifc.", C1837) + 4, 4) &amp; "_" &amp; TEXT(COUNTIF($C$2:C1837, C1837),"0000")</f>
        <v>Prop_1836</v>
      </c>
      <c r="C1837" s="24" t="s">
        <v>872</v>
      </c>
      <c r="D1837" s="69" t="s">
        <v>9453</v>
      </c>
      <c r="E1837" s="70" t="s">
        <v>9454</v>
      </c>
      <c r="F1837" s="17" t="s">
        <v>806</v>
      </c>
      <c r="G1837" s="22" t="s">
        <v>907</v>
      </c>
      <c r="H1837" s="12" t="s">
        <v>9703</v>
      </c>
      <c r="I1837" s="13" t="s">
        <v>907</v>
      </c>
      <c r="J1837" s="14" t="s">
        <v>798</v>
      </c>
      <c r="K1837" s="15" t="s">
        <v>798</v>
      </c>
      <c r="L1837" s="12" t="s">
        <v>5315</v>
      </c>
      <c r="M1837" s="13" t="s">
        <v>5467</v>
      </c>
      <c r="N1837" s="12" t="s">
        <v>803</v>
      </c>
      <c r="O1837" s="13" t="s">
        <v>5055</v>
      </c>
      <c r="P1837" s="17" t="s">
        <v>802</v>
      </c>
      <c r="Q1837" s="21" t="s">
        <v>7894</v>
      </c>
      <c r="R1837" s="17" t="s">
        <v>801</v>
      </c>
      <c r="S1837" s="18" t="s">
        <v>2554</v>
      </c>
      <c r="T1837" s="17" t="s">
        <v>800</v>
      </c>
      <c r="U1837" s="18" t="s">
        <v>5233</v>
      </c>
      <c r="V1837" s="17" t="s">
        <v>9418</v>
      </c>
      <c r="W1837" s="18" t="s">
        <v>5310</v>
      </c>
      <c r="X1837" s="69" t="s">
        <v>9453</v>
      </c>
      <c r="Y1837" s="70" t="s">
        <v>9463</v>
      </c>
      <c r="Z1837" s="73" t="s">
        <v>9486</v>
      </c>
      <c r="AA1837" s="74" t="s">
        <v>9504</v>
      </c>
      <c r="AB1837" s="73" t="s">
        <v>9486</v>
      </c>
      <c r="AC1837" s="74" t="s">
        <v>9562</v>
      </c>
      <c r="AD1837" s="73" t="s">
        <v>9578</v>
      </c>
      <c r="AE1837" s="74" t="s">
        <v>9579</v>
      </c>
    </row>
    <row r="1838" spans="1:31" ht="8.65" customHeight="1" x14ac:dyDescent="0.2">
      <c r="A1838" s="76">
        <v>1838</v>
      </c>
      <c r="B1838" s="67" t="str">
        <f>MID(C1838, FIND("Ifc.", C1838) + 4, 4) &amp; "_" &amp; TEXT(COUNTIF($C$2:C1838, C1838),"0000")</f>
        <v>Prop_1837</v>
      </c>
      <c r="C1838" s="24" t="s">
        <v>872</v>
      </c>
      <c r="D1838" s="69" t="s">
        <v>9453</v>
      </c>
      <c r="E1838" s="70" t="s">
        <v>9454</v>
      </c>
      <c r="F1838" s="17" t="s">
        <v>806</v>
      </c>
      <c r="G1838" s="22" t="s">
        <v>907</v>
      </c>
      <c r="H1838" s="12" t="s">
        <v>9703</v>
      </c>
      <c r="I1838" s="13" t="s">
        <v>907</v>
      </c>
      <c r="J1838" s="14" t="s">
        <v>798</v>
      </c>
      <c r="K1838" s="15" t="s">
        <v>798</v>
      </c>
      <c r="L1838" s="12" t="s">
        <v>5315</v>
      </c>
      <c r="M1838" s="13" t="s">
        <v>5477</v>
      </c>
      <c r="N1838" s="12" t="s">
        <v>803</v>
      </c>
      <c r="O1838" s="13" t="s">
        <v>5081</v>
      </c>
      <c r="P1838" s="17" t="s">
        <v>802</v>
      </c>
      <c r="Q1838" s="21" t="s">
        <v>7807</v>
      </c>
      <c r="R1838" s="17" t="s">
        <v>801</v>
      </c>
      <c r="S1838" s="18" t="s">
        <v>2554</v>
      </c>
      <c r="T1838" s="17" t="s">
        <v>800</v>
      </c>
      <c r="U1838" s="18" t="s">
        <v>5233</v>
      </c>
      <c r="V1838" s="17" t="s">
        <v>9418</v>
      </c>
      <c r="W1838" s="18" t="s">
        <v>5310</v>
      </c>
      <c r="X1838" s="69" t="s">
        <v>9453</v>
      </c>
      <c r="Y1838" s="70" t="s">
        <v>9463</v>
      </c>
      <c r="Z1838" s="73" t="s">
        <v>9486</v>
      </c>
      <c r="AA1838" s="74" t="s">
        <v>9504</v>
      </c>
      <c r="AB1838" s="73" t="s">
        <v>9486</v>
      </c>
      <c r="AC1838" s="74" t="s">
        <v>9562</v>
      </c>
      <c r="AD1838" s="73" t="s">
        <v>9578</v>
      </c>
      <c r="AE1838" s="74" t="s">
        <v>9579</v>
      </c>
    </row>
    <row r="1839" spans="1:31" ht="8.65" customHeight="1" x14ac:dyDescent="0.2">
      <c r="A1839" s="76">
        <v>1839</v>
      </c>
      <c r="B1839" s="67" t="str">
        <f>MID(C1839, FIND("Ifc.", C1839) + 4, 4) &amp; "_" &amp; TEXT(COUNTIF($C$2:C1839, C1839),"0000")</f>
        <v>Prop_1838</v>
      </c>
      <c r="C1839" s="24" t="s">
        <v>872</v>
      </c>
      <c r="D1839" s="69" t="s">
        <v>9453</v>
      </c>
      <c r="E1839" s="70" t="s">
        <v>9454</v>
      </c>
      <c r="F1839" s="17" t="s">
        <v>806</v>
      </c>
      <c r="G1839" s="22" t="s">
        <v>907</v>
      </c>
      <c r="H1839" s="12" t="s">
        <v>9703</v>
      </c>
      <c r="I1839" s="13" t="s">
        <v>907</v>
      </c>
      <c r="J1839" s="14" t="s">
        <v>798</v>
      </c>
      <c r="K1839" s="15" t="s">
        <v>798</v>
      </c>
      <c r="L1839" s="12" t="s">
        <v>5315</v>
      </c>
      <c r="M1839" s="13" t="s">
        <v>5478</v>
      </c>
      <c r="N1839" s="12" t="s">
        <v>803</v>
      </c>
      <c r="O1839" s="13" t="s">
        <v>5082</v>
      </c>
      <c r="P1839" s="17" t="s">
        <v>802</v>
      </c>
      <c r="Q1839" s="21" t="s">
        <v>7824</v>
      </c>
      <c r="R1839" s="17" t="s">
        <v>801</v>
      </c>
      <c r="S1839" s="18" t="s">
        <v>2554</v>
      </c>
      <c r="T1839" s="17" t="s">
        <v>800</v>
      </c>
      <c r="U1839" s="18" t="s">
        <v>5233</v>
      </c>
      <c r="V1839" s="17" t="s">
        <v>9418</v>
      </c>
      <c r="W1839" s="18" t="s">
        <v>5310</v>
      </c>
      <c r="X1839" s="69" t="s">
        <v>9453</v>
      </c>
      <c r="Y1839" s="70" t="s">
        <v>9463</v>
      </c>
      <c r="Z1839" s="73" t="s">
        <v>9486</v>
      </c>
      <c r="AA1839" s="74" t="s">
        <v>9504</v>
      </c>
      <c r="AB1839" s="73" t="s">
        <v>9486</v>
      </c>
      <c r="AC1839" s="74" t="s">
        <v>9562</v>
      </c>
      <c r="AD1839" s="73" t="s">
        <v>9578</v>
      </c>
      <c r="AE1839" s="74" t="s">
        <v>9579</v>
      </c>
    </row>
    <row r="1840" spans="1:31" ht="8.65" customHeight="1" x14ac:dyDescent="0.2">
      <c r="A1840" s="76">
        <v>1840</v>
      </c>
      <c r="B1840" s="67" t="str">
        <f>MID(C1840, FIND("Ifc.", C1840) + 4, 4) &amp; "_" &amp; TEXT(COUNTIF($C$2:C1840, C1840),"0000")</f>
        <v>Prop_1839</v>
      </c>
      <c r="C1840" s="24" t="s">
        <v>872</v>
      </c>
      <c r="D1840" s="69" t="s">
        <v>9453</v>
      </c>
      <c r="E1840" s="70" t="s">
        <v>9454</v>
      </c>
      <c r="F1840" s="17" t="s">
        <v>806</v>
      </c>
      <c r="G1840" s="22" t="s">
        <v>907</v>
      </c>
      <c r="H1840" s="12" t="s">
        <v>9703</v>
      </c>
      <c r="I1840" s="13" t="s">
        <v>907</v>
      </c>
      <c r="J1840" s="14" t="s">
        <v>798</v>
      </c>
      <c r="K1840" s="15" t="s">
        <v>798</v>
      </c>
      <c r="L1840" s="12" t="s">
        <v>5315</v>
      </c>
      <c r="M1840" s="13" t="s">
        <v>5485</v>
      </c>
      <c r="N1840" s="12" t="s">
        <v>803</v>
      </c>
      <c r="O1840" s="13" t="s">
        <v>5088</v>
      </c>
      <c r="P1840" s="17" t="s">
        <v>802</v>
      </c>
      <c r="Q1840" s="21" t="s">
        <v>7808</v>
      </c>
      <c r="R1840" s="17" t="s">
        <v>801</v>
      </c>
      <c r="S1840" s="18" t="s">
        <v>2554</v>
      </c>
      <c r="T1840" s="17" t="s">
        <v>800</v>
      </c>
      <c r="U1840" s="18" t="s">
        <v>5233</v>
      </c>
      <c r="V1840" s="17" t="s">
        <v>9418</v>
      </c>
      <c r="W1840" s="18" t="s">
        <v>5310</v>
      </c>
      <c r="X1840" s="69" t="s">
        <v>9453</v>
      </c>
      <c r="Y1840" s="70" t="s">
        <v>9463</v>
      </c>
      <c r="Z1840" s="73" t="s">
        <v>9486</v>
      </c>
      <c r="AA1840" s="74" t="s">
        <v>9504</v>
      </c>
      <c r="AB1840" s="73" t="s">
        <v>9486</v>
      </c>
      <c r="AC1840" s="74" t="s">
        <v>9562</v>
      </c>
      <c r="AD1840" s="73" t="s">
        <v>9578</v>
      </c>
      <c r="AE1840" s="74" t="s">
        <v>9579</v>
      </c>
    </row>
    <row r="1841" spans="1:31" ht="8.65" customHeight="1" x14ac:dyDescent="0.2">
      <c r="A1841" s="76">
        <v>1841</v>
      </c>
      <c r="B1841" s="67" t="str">
        <f>MID(C1841, FIND("Ifc.", C1841) + 4, 4) &amp; "_" &amp; TEXT(COUNTIF($C$2:C1841, C1841),"0000")</f>
        <v>Prop_1840</v>
      </c>
      <c r="C1841" s="24" t="s">
        <v>872</v>
      </c>
      <c r="D1841" s="69" t="s">
        <v>9453</v>
      </c>
      <c r="E1841" s="70" t="s">
        <v>9454</v>
      </c>
      <c r="F1841" s="17" t="s">
        <v>806</v>
      </c>
      <c r="G1841" s="22" t="s">
        <v>907</v>
      </c>
      <c r="H1841" s="12" t="s">
        <v>9703</v>
      </c>
      <c r="I1841" s="13" t="s">
        <v>907</v>
      </c>
      <c r="J1841" s="14" t="s">
        <v>798</v>
      </c>
      <c r="K1841" s="15" t="s">
        <v>798</v>
      </c>
      <c r="L1841" s="12" t="s">
        <v>5315</v>
      </c>
      <c r="M1841" s="13" t="s">
        <v>5487</v>
      </c>
      <c r="N1841" s="12" t="s">
        <v>803</v>
      </c>
      <c r="O1841" s="13" t="s">
        <v>5095</v>
      </c>
      <c r="P1841" s="17" t="s">
        <v>802</v>
      </c>
      <c r="Q1841" s="21" t="s">
        <v>7687</v>
      </c>
      <c r="R1841" s="17" t="s">
        <v>801</v>
      </c>
      <c r="S1841" s="18" t="s">
        <v>2554</v>
      </c>
      <c r="T1841" s="17" t="s">
        <v>800</v>
      </c>
      <c r="U1841" s="18" t="s">
        <v>5233</v>
      </c>
      <c r="V1841" s="17" t="s">
        <v>9418</v>
      </c>
      <c r="W1841" s="18" t="s">
        <v>5310</v>
      </c>
      <c r="X1841" s="69" t="s">
        <v>9453</v>
      </c>
      <c r="Y1841" s="70" t="s">
        <v>9463</v>
      </c>
      <c r="Z1841" s="73" t="s">
        <v>9486</v>
      </c>
      <c r="AA1841" s="74" t="s">
        <v>9504</v>
      </c>
      <c r="AB1841" s="73" t="s">
        <v>9486</v>
      </c>
      <c r="AC1841" s="74" t="s">
        <v>9562</v>
      </c>
      <c r="AD1841" s="73" t="s">
        <v>9578</v>
      </c>
      <c r="AE1841" s="74" t="s">
        <v>9579</v>
      </c>
    </row>
    <row r="1842" spans="1:31" ht="8.65" customHeight="1" x14ac:dyDescent="0.2">
      <c r="A1842" s="76">
        <v>1842</v>
      </c>
      <c r="B1842" s="67" t="str">
        <f>MID(C1842, FIND("Ifc.", C1842) + 4, 4) &amp; "_" &amp; TEXT(COUNTIF($C$2:C1842, C1842),"0000")</f>
        <v>Prop_1841</v>
      </c>
      <c r="C1842" s="24" t="s">
        <v>872</v>
      </c>
      <c r="D1842" s="69" t="s">
        <v>9453</v>
      </c>
      <c r="E1842" s="70" t="s">
        <v>9454</v>
      </c>
      <c r="F1842" s="17" t="s">
        <v>806</v>
      </c>
      <c r="G1842" s="22" t="s">
        <v>907</v>
      </c>
      <c r="H1842" s="12" t="s">
        <v>9703</v>
      </c>
      <c r="I1842" s="13" t="s">
        <v>907</v>
      </c>
      <c r="J1842" s="14" t="s">
        <v>798</v>
      </c>
      <c r="K1842" s="15" t="s">
        <v>798</v>
      </c>
      <c r="L1842" s="12" t="s">
        <v>5315</v>
      </c>
      <c r="M1842" s="13" t="s">
        <v>5491</v>
      </c>
      <c r="N1842" s="12" t="s">
        <v>803</v>
      </c>
      <c r="O1842" s="13" t="s">
        <v>5102</v>
      </c>
      <c r="P1842" s="17" t="s">
        <v>802</v>
      </c>
      <c r="Q1842" s="21" t="s">
        <v>7809</v>
      </c>
      <c r="R1842" s="17" t="s">
        <v>801</v>
      </c>
      <c r="S1842" s="18" t="s">
        <v>2554</v>
      </c>
      <c r="T1842" s="17" t="s">
        <v>800</v>
      </c>
      <c r="U1842" s="18" t="s">
        <v>5233</v>
      </c>
      <c r="V1842" s="17" t="s">
        <v>9418</v>
      </c>
      <c r="W1842" s="18" t="s">
        <v>5310</v>
      </c>
      <c r="X1842" s="69" t="s">
        <v>9453</v>
      </c>
      <c r="Y1842" s="70" t="s">
        <v>9463</v>
      </c>
      <c r="Z1842" s="73" t="s">
        <v>9486</v>
      </c>
      <c r="AA1842" s="74" t="s">
        <v>9504</v>
      </c>
      <c r="AB1842" s="73" t="s">
        <v>9486</v>
      </c>
      <c r="AC1842" s="74" t="s">
        <v>9562</v>
      </c>
      <c r="AD1842" s="73" t="s">
        <v>9578</v>
      </c>
      <c r="AE1842" s="74" t="s">
        <v>9579</v>
      </c>
    </row>
    <row r="1843" spans="1:31" ht="8.65" customHeight="1" x14ac:dyDescent="0.2">
      <c r="A1843" s="76">
        <v>1843</v>
      </c>
      <c r="B1843" s="67" t="str">
        <f>MID(C1843, FIND("Ifc.", C1843) + 4, 4) &amp; "_" &amp; TEXT(COUNTIF($C$2:C1843, C1843),"0000")</f>
        <v>Prop_1842</v>
      </c>
      <c r="C1843" s="24" t="s">
        <v>872</v>
      </c>
      <c r="D1843" s="69" t="s">
        <v>9453</v>
      </c>
      <c r="E1843" s="70" t="s">
        <v>9454</v>
      </c>
      <c r="F1843" s="17" t="s">
        <v>806</v>
      </c>
      <c r="G1843" s="22" t="s">
        <v>907</v>
      </c>
      <c r="H1843" s="12" t="s">
        <v>9703</v>
      </c>
      <c r="I1843" s="13" t="s">
        <v>907</v>
      </c>
      <c r="J1843" s="14" t="s">
        <v>798</v>
      </c>
      <c r="K1843" s="15" t="s">
        <v>798</v>
      </c>
      <c r="L1843" s="12" t="s">
        <v>5315</v>
      </c>
      <c r="M1843" s="13" t="s">
        <v>5493</v>
      </c>
      <c r="N1843" s="12" t="s">
        <v>803</v>
      </c>
      <c r="O1843" s="13" t="s">
        <v>5104</v>
      </c>
      <c r="P1843" s="17" t="s">
        <v>802</v>
      </c>
      <c r="Q1843" s="21" t="s">
        <v>8038</v>
      </c>
      <c r="R1843" s="17" t="s">
        <v>801</v>
      </c>
      <c r="S1843" s="18" t="s">
        <v>2554</v>
      </c>
      <c r="T1843" s="17" t="s">
        <v>800</v>
      </c>
      <c r="U1843" s="18" t="s">
        <v>5233</v>
      </c>
      <c r="V1843" s="17" t="s">
        <v>9418</v>
      </c>
      <c r="W1843" s="18" t="s">
        <v>5310</v>
      </c>
      <c r="X1843" s="69" t="s">
        <v>9453</v>
      </c>
      <c r="Y1843" s="70" t="s">
        <v>9463</v>
      </c>
      <c r="Z1843" s="73" t="s">
        <v>9486</v>
      </c>
      <c r="AA1843" s="74" t="s">
        <v>9504</v>
      </c>
      <c r="AB1843" s="73" t="s">
        <v>9486</v>
      </c>
      <c r="AC1843" s="74" t="s">
        <v>9562</v>
      </c>
      <c r="AD1843" s="73" t="s">
        <v>9578</v>
      </c>
      <c r="AE1843" s="74" t="s">
        <v>9579</v>
      </c>
    </row>
    <row r="1844" spans="1:31" ht="8.65" customHeight="1" x14ac:dyDescent="0.2">
      <c r="A1844" s="76">
        <v>1844</v>
      </c>
      <c r="B1844" s="67" t="str">
        <f>MID(C1844, FIND("Ifc.", C1844) + 4, 4) &amp; "_" &amp; TEXT(COUNTIF($C$2:C1844, C1844),"0000")</f>
        <v>Prop_1843</v>
      </c>
      <c r="C1844" s="24" t="s">
        <v>872</v>
      </c>
      <c r="D1844" s="69" t="s">
        <v>9453</v>
      </c>
      <c r="E1844" s="70" t="s">
        <v>9454</v>
      </c>
      <c r="F1844" s="17" t="s">
        <v>806</v>
      </c>
      <c r="G1844" s="22" t="s">
        <v>907</v>
      </c>
      <c r="H1844" s="12" t="s">
        <v>9703</v>
      </c>
      <c r="I1844" s="13" t="s">
        <v>907</v>
      </c>
      <c r="J1844" s="14" t="s">
        <v>798</v>
      </c>
      <c r="K1844" s="15" t="s">
        <v>798</v>
      </c>
      <c r="L1844" s="12" t="s">
        <v>5315</v>
      </c>
      <c r="M1844" s="13" t="s">
        <v>5494</v>
      </c>
      <c r="N1844" s="12" t="s">
        <v>803</v>
      </c>
      <c r="O1844" s="13" t="s">
        <v>5105</v>
      </c>
      <c r="P1844" s="17" t="s">
        <v>802</v>
      </c>
      <c r="Q1844" s="21" t="s">
        <v>7970</v>
      </c>
      <c r="R1844" s="17" t="s">
        <v>801</v>
      </c>
      <c r="S1844" s="18" t="s">
        <v>2554</v>
      </c>
      <c r="T1844" s="17" t="s">
        <v>800</v>
      </c>
      <c r="U1844" s="18" t="s">
        <v>5233</v>
      </c>
      <c r="V1844" s="17" t="s">
        <v>9418</v>
      </c>
      <c r="W1844" s="18" t="s">
        <v>5310</v>
      </c>
      <c r="X1844" s="69" t="s">
        <v>9453</v>
      </c>
      <c r="Y1844" s="70" t="s">
        <v>9463</v>
      </c>
      <c r="Z1844" s="73" t="s">
        <v>9486</v>
      </c>
      <c r="AA1844" s="74" t="s">
        <v>9504</v>
      </c>
      <c r="AB1844" s="73" t="s">
        <v>9486</v>
      </c>
      <c r="AC1844" s="74" t="s">
        <v>9562</v>
      </c>
      <c r="AD1844" s="73" t="s">
        <v>9578</v>
      </c>
      <c r="AE1844" s="74" t="s">
        <v>9579</v>
      </c>
    </row>
    <row r="1845" spans="1:31" ht="8.65" customHeight="1" x14ac:dyDescent="0.2">
      <c r="A1845" s="76">
        <v>1845</v>
      </c>
      <c r="B1845" s="67" t="str">
        <f>MID(C1845, FIND("Ifc.", C1845) + 4, 4) &amp; "_" &amp; TEXT(COUNTIF($C$2:C1845, C1845),"0000")</f>
        <v>Prop_1844</v>
      </c>
      <c r="C1845" s="24" t="s">
        <v>872</v>
      </c>
      <c r="D1845" s="69" t="s">
        <v>9453</v>
      </c>
      <c r="E1845" s="70" t="s">
        <v>9454</v>
      </c>
      <c r="F1845" s="17" t="s">
        <v>806</v>
      </c>
      <c r="G1845" s="22" t="s">
        <v>907</v>
      </c>
      <c r="H1845" s="12" t="s">
        <v>9703</v>
      </c>
      <c r="I1845" s="13" t="s">
        <v>907</v>
      </c>
      <c r="J1845" s="14" t="s">
        <v>798</v>
      </c>
      <c r="K1845" s="15" t="s">
        <v>798</v>
      </c>
      <c r="L1845" s="12" t="s">
        <v>5315</v>
      </c>
      <c r="M1845" s="13" t="s">
        <v>6056</v>
      </c>
      <c r="N1845" s="12" t="s">
        <v>803</v>
      </c>
      <c r="O1845" s="13" t="s">
        <v>5108</v>
      </c>
      <c r="P1845" s="17" t="s">
        <v>802</v>
      </c>
      <c r="Q1845" s="21" t="s">
        <v>7890</v>
      </c>
      <c r="R1845" s="17" t="s">
        <v>801</v>
      </c>
      <c r="S1845" s="18" t="s">
        <v>2554</v>
      </c>
      <c r="T1845" s="17" t="s">
        <v>800</v>
      </c>
      <c r="U1845" s="18" t="s">
        <v>5233</v>
      </c>
      <c r="V1845" s="17" t="s">
        <v>9418</v>
      </c>
      <c r="W1845" s="18" t="s">
        <v>5310</v>
      </c>
      <c r="X1845" s="69" t="s">
        <v>9453</v>
      </c>
      <c r="Y1845" s="70" t="s">
        <v>9463</v>
      </c>
      <c r="Z1845" s="73" t="s">
        <v>9486</v>
      </c>
      <c r="AA1845" s="74" t="s">
        <v>9504</v>
      </c>
      <c r="AB1845" s="73" t="s">
        <v>9486</v>
      </c>
      <c r="AC1845" s="74" t="s">
        <v>9562</v>
      </c>
      <c r="AD1845" s="73" t="s">
        <v>9578</v>
      </c>
      <c r="AE1845" s="74" t="s">
        <v>9579</v>
      </c>
    </row>
    <row r="1846" spans="1:31" ht="8.65" customHeight="1" x14ac:dyDescent="0.2">
      <c r="A1846" s="76">
        <v>1846</v>
      </c>
      <c r="B1846" s="67" t="str">
        <f>MID(C1846, FIND("Ifc.", C1846) + 4, 4) &amp; "_" &amp; TEXT(COUNTIF($C$2:C1846, C1846),"0000")</f>
        <v>Prop_1845</v>
      </c>
      <c r="C1846" s="24" t="s">
        <v>872</v>
      </c>
      <c r="D1846" s="69" t="s">
        <v>9453</v>
      </c>
      <c r="E1846" s="70" t="s">
        <v>9454</v>
      </c>
      <c r="F1846" s="17" t="s">
        <v>806</v>
      </c>
      <c r="G1846" s="22" t="s">
        <v>907</v>
      </c>
      <c r="H1846" s="12" t="s">
        <v>9703</v>
      </c>
      <c r="I1846" s="13" t="s">
        <v>907</v>
      </c>
      <c r="J1846" s="14" t="s">
        <v>798</v>
      </c>
      <c r="K1846" s="15" t="s">
        <v>798</v>
      </c>
      <c r="L1846" s="12" t="s">
        <v>5315</v>
      </c>
      <c r="M1846" s="13" t="s">
        <v>6055</v>
      </c>
      <c r="N1846" s="12" t="s">
        <v>803</v>
      </c>
      <c r="O1846" s="13" t="s">
        <v>5107</v>
      </c>
      <c r="P1846" s="17" t="s">
        <v>802</v>
      </c>
      <c r="Q1846" s="21" t="s">
        <v>7688</v>
      </c>
      <c r="R1846" s="17" t="s">
        <v>801</v>
      </c>
      <c r="S1846" s="18" t="s">
        <v>2554</v>
      </c>
      <c r="T1846" s="17" t="s">
        <v>800</v>
      </c>
      <c r="U1846" s="18" t="s">
        <v>5233</v>
      </c>
      <c r="V1846" s="17" t="s">
        <v>9418</v>
      </c>
      <c r="W1846" s="18" t="s">
        <v>5310</v>
      </c>
      <c r="X1846" s="69" t="s">
        <v>9453</v>
      </c>
      <c r="Y1846" s="70" t="s">
        <v>9463</v>
      </c>
      <c r="Z1846" s="73" t="s">
        <v>9486</v>
      </c>
      <c r="AA1846" s="74" t="s">
        <v>9504</v>
      </c>
      <c r="AB1846" s="73" t="s">
        <v>9486</v>
      </c>
      <c r="AC1846" s="74" t="s">
        <v>9562</v>
      </c>
      <c r="AD1846" s="73" t="s">
        <v>9578</v>
      </c>
      <c r="AE1846" s="74" t="s">
        <v>9579</v>
      </c>
    </row>
    <row r="1847" spans="1:31" ht="8.65" customHeight="1" x14ac:dyDescent="0.2">
      <c r="A1847" s="76">
        <v>1847</v>
      </c>
      <c r="B1847" s="67" t="str">
        <f>MID(C1847, FIND("Ifc.", C1847) + 4, 4) &amp; "_" &amp; TEXT(COUNTIF($C$2:C1847, C1847),"0000")</f>
        <v>Prop_1846</v>
      </c>
      <c r="C1847" s="24" t="s">
        <v>872</v>
      </c>
      <c r="D1847" s="69" t="s">
        <v>9453</v>
      </c>
      <c r="E1847" s="70" t="s">
        <v>9454</v>
      </c>
      <c r="F1847" s="17" t="s">
        <v>806</v>
      </c>
      <c r="G1847" s="22" t="s">
        <v>907</v>
      </c>
      <c r="H1847" s="12" t="s">
        <v>9703</v>
      </c>
      <c r="I1847" s="13" t="s">
        <v>907</v>
      </c>
      <c r="J1847" s="14" t="s">
        <v>798</v>
      </c>
      <c r="K1847" s="15" t="s">
        <v>798</v>
      </c>
      <c r="L1847" s="12" t="s">
        <v>5315</v>
      </c>
      <c r="M1847" s="13" t="s">
        <v>5495</v>
      </c>
      <c r="N1847" s="12" t="s">
        <v>803</v>
      </c>
      <c r="O1847" s="13" t="s">
        <v>5109</v>
      </c>
      <c r="P1847" s="17" t="s">
        <v>802</v>
      </c>
      <c r="Q1847" s="21" t="s">
        <v>8039</v>
      </c>
      <c r="R1847" s="17" t="s">
        <v>801</v>
      </c>
      <c r="S1847" s="18" t="s">
        <v>2554</v>
      </c>
      <c r="T1847" s="17" t="s">
        <v>800</v>
      </c>
      <c r="U1847" s="18" t="s">
        <v>5233</v>
      </c>
      <c r="V1847" s="17" t="s">
        <v>9418</v>
      </c>
      <c r="W1847" s="18" t="s">
        <v>5310</v>
      </c>
      <c r="X1847" s="69" t="s">
        <v>9453</v>
      </c>
      <c r="Y1847" s="70" t="s">
        <v>9463</v>
      </c>
      <c r="Z1847" s="73" t="s">
        <v>9486</v>
      </c>
      <c r="AA1847" s="74" t="s">
        <v>9504</v>
      </c>
      <c r="AB1847" s="73" t="s">
        <v>9486</v>
      </c>
      <c r="AC1847" s="74" t="s">
        <v>9562</v>
      </c>
      <c r="AD1847" s="73" t="s">
        <v>9578</v>
      </c>
      <c r="AE1847" s="74" t="s">
        <v>9579</v>
      </c>
    </row>
    <row r="1848" spans="1:31" ht="8.65" customHeight="1" x14ac:dyDescent="0.2">
      <c r="A1848" s="76">
        <v>1848</v>
      </c>
      <c r="B1848" s="67" t="str">
        <f>MID(C1848, FIND("Ifc.", C1848) + 4, 4) &amp; "_" &amp; TEXT(COUNTIF($C$2:C1848, C1848),"0000")</f>
        <v>Prop_1847</v>
      </c>
      <c r="C1848" s="24" t="s">
        <v>872</v>
      </c>
      <c r="D1848" s="69" t="s">
        <v>9453</v>
      </c>
      <c r="E1848" s="70" t="s">
        <v>9454</v>
      </c>
      <c r="F1848" s="17" t="s">
        <v>806</v>
      </c>
      <c r="G1848" s="22" t="s">
        <v>907</v>
      </c>
      <c r="H1848" s="12" t="s">
        <v>9703</v>
      </c>
      <c r="I1848" s="13" t="s">
        <v>907</v>
      </c>
      <c r="J1848" s="14" t="s">
        <v>798</v>
      </c>
      <c r="K1848" s="15" t="s">
        <v>798</v>
      </c>
      <c r="L1848" s="12" t="s">
        <v>5315</v>
      </c>
      <c r="M1848" s="13" t="s">
        <v>5498</v>
      </c>
      <c r="N1848" s="12" t="s">
        <v>803</v>
      </c>
      <c r="O1848" s="13" t="s">
        <v>5112</v>
      </c>
      <c r="P1848" s="17" t="s">
        <v>802</v>
      </c>
      <c r="Q1848" s="21" t="s">
        <v>7680</v>
      </c>
      <c r="R1848" s="17" t="s">
        <v>801</v>
      </c>
      <c r="S1848" s="18" t="s">
        <v>2554</v>
      </c>
      <c r="T1848" s="17" t="s">
        <v>800</v>
      </c>
      <c r="U1848" s="18" t="s">
        <v>5233</v>
      </c>
      <c r="V1848" s="17" t="s">
        <v>9418</v>
      </c>
      <c r="W1848" s="18" t="s">
        <v>5310</v>
      </c>
      <c r="X1848" s="69" t="s">
        <v>9453</v>
      </c>
      <c r="Y1848" s="70" t="s">
        <v>9463</v>
      </c>
      <c r="Z1848" s="73" t="s">
        <v>9486</v>
      </c>
      <c r="AA1848" s="74" t="s">
        <v>9504</v>
      </c>
      <c r="AB1848" s="73" t="s">
        <v>9486</v>
      </c>
      <c r="AC1848" s="74" t="s">
        <v>9562</v>
      </c>
      <c r="AD1848" s="73" t="s">
        <v>9578</v>
      </c>
      <c r="AE1848" s="74" t="s">
        <v>9579</v>
      </c>
    </row>
    <row r="1849" spans="1:31" ht="8.65" customHeight="1" x14ac:dyDescent="0.2">
      <c r="A1849" s="76">
        <v>1849</v>
      </c>
      <c r="B1849" s="67" t="str">
        <f>MID(C1849, FIND("Ifc.", C1849) + 4, 4) &amp; "_" &amp; TEXT(COUNTIF($C$2:C1849, C1849),"0000")</f>
        <v>Prop_1848</v>
      </c>
      <c r="C1849" s="24" t="s">
        <v>872</v>
      </c>
      <c r="D1849" s="69" t="s">
        <v>9453</v>
      </c>
      <c r="E1849" s="70" t="s">
        <v>9454</v>
      </c>
      <c r="F1849" s="17" t="s">
        <v>806</v>
      </c>
      <c r="G1849" s="22" t="s">
        <v>907</v>
      </c>
      <c r="H1849" s="12" t="s">
        <v>9703</v>
      </c>
      <c r="I1849" s="13" t="s">
        <v>907</v>
      </c>
      <c r="J1849" s="14" t="s">
        <v>798</v>
      </c>
      <c r="K1849" s="15" t="s">
        <v>798</v>
      </c>
      <c r="L1849" s="12" t="s">
        <v>5315</v>
      </c>
      <c r="M1849" s="13" t="s">
        <v>5505</v>
      </c>
      <c r="N1849" s="12" t="s">
        <v>803</v>
      </c>
      <c r="O1849" s="13" t="s">
        <v>5118</v>
      </c>
      <c r="P1849" s="17" t="s">
        <v>802</v>
      </c>
      <c r="Q1849" s="21" t="s">
        <v>7761</v>
      </c>
      <c r="R1849" s="17" t="s">
        <v>801</v>
      </c>
      <c r="S1849" s="18" t="s">
        <v>2554</v>
      </c>
      <c r="T1849" s="17" t="s">
        <v>800</v>
      </c>
      <c r="U1849" s="18" t="s">
        <v>5233</v>
      </c>
      <c r="V1849" s="17" t="s">
        <v>9418</v>
      </c>
      <c r="W1849" s="18" t="s">
        <v>5310</v>
      </c>
      <c r="X1849" s="69" t="s">
        <v>9453</v>
      </c>
      <c r="Y1849" s="70" t="s">
        <v>9463</v>
      </c>
      <c r="Z1849" s="73" t="s">
        <v>9486</v>
      </c>
      <c r="AA1849" s="74" t="s">
        <v>9504</v>
      </c>
      <c r="AB1849" s="73" t="s">
        <v>9486</v>
      </c>
      <c r="AC1849" s="74" t="s">
        <v>9562</v>
      </c>
      <c r="AD1849" s="73" t="s">
        <v>9578</v>
      </c>
      <c r="AE1849" s="74" t="s">
        <v>9579</v>
      </c>
    </row>
    <row r="1850" spans="1:31" ht="8.65" customHeight="1" x14ac:dyDescent="0.2">
      <c r="A1850" s="76">
        <v>1850</v>
      </c>
      <c r="B1850" s="67" t="str">
        <f>MID(C1850, FIND("Ifc.", C1850) + 4, 4) &amp; "_" &amp; TEXT(COUNTIF($C$2:C1850, C1850),"0000")</f>
        <v>Prop_1849</v>
      </c>
      <c r="C1850" s="24" t="s">
        <v>872</v>
      </c>
      <c r="D1850" s="69" t="s">
        <v>9453</v>
      </c>
      <c r="E1850" s="70" t="s">
        <v>9454</v>
      </c>
      <c r="F1850" s="17" t="s">
        <v>806</v>
      </c>
      <c r="G1850" s="22" t="s">
        <v>907</v>
      </c>
      <c r="H1850" s="12" t="s">
        <v>9703</v>
      </c>
      <c r="I1850" s="13" t="s">
        <v>907</v>
      </c>
      <c r="J1850" s="14" t="s">
        <v>798</v>
      </c>
      <c r="K1850" s="15" t="s">
        <v>798</v>
      </c>
      <c r="L1850" s="12" t="s">
        <v>5315</v>
      </c>
      <c r="M1850" s="13" t="s">
        <v>5509</v>
      </c>
      <c r="N1850" s="12" t="s">
        <v>803</v>
      </c>
      <c r="O1850" s="13" t="s">
        <v>5125</v>
      </c>
      <c r="P1850" s="17" t="s">
        <v>802</v>
      </c>
      <c r="Q1850" s="21" t="s">
        <v>8040</v>
      </c>
      <c r="R1850" s="17" t="s">
        <v>801</v>
      </c>
      <c r="S1850" s="18" t="s">
        <v>2554</v>
      </c>
      <c r="T1850" s="17" t="s">
        <v>800</v>
      </c>
      <c r="U1850" s="18" t="s">
        <v>5233</v>
      </c>
      <c r="V1850" s="17" t="s">
        <v>9418</v>
      </c>
      <c r="W1850" s="18" t="s">
        <v>5310</v>
      </c>
      <c r="X1850" s="69" t="s">
        <v>9453</v>
      </c>
      <c r="Y1850" s="70" t="s">
        <v>9463</v>
      </c>
      <c r="Z1850" s="73" t="s">
        <v>9486</v>
      </c>
      <c r="AA1850" s="74" t="s">
        <v>9504</v>
      </c>
      <c r="AB1850" s="73" t="s">
        <v>9486</v>
      </c>
      <c r="AC1850" s="74" t="s">
        <v>9562</v>
      </c>
      <c r="AD1850" s="73" t="s">
        <v>9578</v>
      </c>
      <c r="AE1850" s="74" t="s">
        <v>9579</v>
      </c>
    </row>
    <row r="1851" spans="1:31" ht="8.65" customHeight="1" x14ac:dyDescent="0.2">
      <c r="A1851" s="76">
        <v>1851</v>
      </c>
      <c r="B1851" s="67" t="str">
        <f>MID(C1851, FIND("Ifc.", C1851) + 4, 4) &amp; "_" &amp; TEXT(COUNTIF($C$2:C1851, C1851),"0000")</f>
        <v>Prop_1850</v>
      </c>
      <c r="C1851" s="24" t="s">
        <v>872</v>
      </c>
      <c r="D1851" s="69" t="s">
        <v>9453</v>
      </c>
      <c r="E1851" s="70" t="s">
        <v>9454</v>
      </c>
      <c r="F1851" s="17" t="s">
        <v>806</v>
      </c>
      <c r="G1851" s="22" t="s">
        <v>907</v>
      </c>
      <c r="H1851" s="12" t="s">
        <v>9703</v>
      </c>
      <c r="I1851" s="13" t="s">
        <v>907</v>
      </c>
      <c r="J1851" s="14" t="s">
        <v>798</v>
      </c>
      <c r="K1851" s="15" t="s">
        <v>798</v>
      </c>
      <c r="L1851" s="12" t="s">
        <v>5315</v>
      </c>
      <c r="M1851" s="13" t="s">
        <v>5515</v>
      </c>
      <c r="N1851" s="12" t="s">
        <v>803</v>
      </c>
      <c r="O1851" s="13" t="s">
        <v>5130</v>
      </c>
      <c r="P1851" s="17" t="s">
        <v>802</v>
      </c>
      <c r="Q1851" s="21" t="s">
        <v>8041</v>
      </c>
      <c r="R1851" s="17" t="s">
        <v>801</v>
      </c>
      <c r="S1851" s="18" t="s">
        <v>2554</v>
      </c>
      <c r="T1851" s="17" t="s">
        <v>800</v>
      </c>
      <c r="U1851" s="18" t="s">
        <v>5233</v>
      </c>
      <c r="V1851" s="17" t="s">
        <v>9418</v>
      </c>
      <c r="W1851" s="18" t="s">
        <v>5310</v>
      </c>
      <c r="X1851" s="69" t="s">
        <v>9453</v>
      </c>
      <c r="Y1851" s="70" t="s">
        <v>9463</v>
      </c>
      <c r="Z1851" s="73" t="s">
        <v>9486</v>
      </c>
      <c r="AA1851" s="74" t="s">
        <v>9504</v>
      </c>
      <c r="AB1851" s="73" t="s">
        <v>9486</v>
      </c>
      <c r="AC1851" s="74" t="s">
        <v>9562</v>
      </c>
      <c r="AD1851" s="73" t="s">
        <v>9578</v>
      </c>
      <c r="AE1851" s="74" t="s">
        <v>9579</v>
      </c>
    </row>
    <row r="1852" spans="1:31" ht="8.65" customHeight="1" x14ac:dyDescent="0.2">
      <c r="A1852" s="76">
        <v>1852</v>
      </c>
      <c r="B1852" s="67" t="str">
        <f>MID(C1852, FIND("Ifc.", C1852) + 4, 4) &amp; "_" &amp; TEXT(COUNTIF($C$2:C1852, C1852),"0000")</f>
        <v>Prop_1851</v>
      </c>
      <c r="C1852" s="24" t="s">
        <v>872</v>
      </c>
      <c r="D1852" s="69" t="s">
        <v>9453</v>
      </c>
      <c r="E1852" s="70" t="s">
        <v>9454</v>
      </c>
      <c r="F1852" s="17" t="s">
        <v>806</v>
      </c>
      <c r="G1852" s="22" t="s">
        <v>907</v>
      </c>
      <c r="H1852" s="12" t="s">
        <v>9703</v>
      </c>
      <c r="I1852" s="13" t="s">
        <v>907</v>
      </c>
      <c r="J1852" s="14" t="s">
        <v>798</v>
      </c>
      <c r="K1852" s="15" t="s">
        <v>798</v>
      </c>
      <c r="L1852" s="12" t="s">
        <v>5315</v>
      </c>
      <c r="M1852" s="13" t="s">
        <v>5518</v>
      </c>
      <c r="N1852" s="12" t="s">
        <v>803</v>
      </c>
      <c r="O1852" s="13" t="s">
        <v>5133</v>
      </c>
      <c r="P1852" s="17" t="s">
        <v>802</v>
      </c>
      <c r="Q1852" s="21" t="s">
        <v>7719</v>
      </c>
      <c r="R1852" s="17" t="s">
        <v>801</v>
      </c>
      <c r="S1852" s="18" t="s">
        <v>2554</v>
      </c>
      <c r="T1852" s="17" t="s">
        <v>800</v>
      </c>
      <c r="U1852" s="18" t="s">
        <v>5233</v>
      </c>
      <c r="V1852" s="17" t="s">
        <v>9418</v>
      </c>
      <c r="W1852" s="18" t="s">
        <v>5310</v>
      </c>
      <c r="X1852" s="69" t="s">
        <v>9453</v>
      </c>
      <c r="Y1852" s="70" t="s">
        <v>9463</v>
      </c>
      <c r="Z1852" s="73" t="s">
        <v>9486</v>
      </c>
      <c r="AA1852" s="74" t="s">
        <v>9504</v>
      </c>
      <c r="AB1852" s="73" t="s">
        <v>9486</v>
      </c>
      <c r="AC1852" s="74" t="s">
        <v>9562</v>
      </c>
      <c r="AD1852" s="73" t="s">
        <v>9578</v>
      </c>
      <c r="AE1852" s="74" t="s">
        <v>9579</v>
      </c>
    </row>
    <row r="1853" spans="1:31" ht="8.65" customHeight="1" x14ac:dyDescent="0.2">
      <c r="A1853" s="76">
        <v>1853</v>
      </c>
      <c r="B1853" s="67" t="str">
        <f>MID(C1853, FIND("Ifc.", C1853) + 4, 4) &amp; "_" &amp; TEXT(COUNTIF($C$2:C1853, C1853),"0000")</f>
        <v>Prop_1852</v>
      </c>
      <c r="C1853" s="24" t="s">
        <v>872</v>
      </c>
      <c r="D1853" s="69" t="s">
        <v>9453</v>
      </c>
      <c r="E1853" s="70" t="s">
        <v>9454</v>
      </c>
      <c r="F1853" s="17" t="s">
        <v>806</v>
      </c>
      <c r="G1853" s="22" t="s">
        <v>907</v>
      </c>
      <c r="H1853" s="12" t="s">
        <v>9703</v>
      </c>
      <c r="I1853" s="13" t="s">
        <v>907</v>
      </c>
      <c r="J1853" s="14" t="s">
        <v>798</v>
      </c>
      <c r="K1853" s="15" t="s">
        <v>798</v>
      </c>
      <c r="L1853" s="12" t="s">
        <v>5315</v>
      </c>
      <c r="M1853" s="13" t="s">
        <v>5519</v>
      </c>
      <c r="N1853" s="12" t="s">
        <v>803</v>
      </c>
      <c r="O1853" s="13" t="s">
        <v>5134</v>
      </c>
      <c r="P1853" s="17" t="s">
        <v>802</v>
      </c>
      <c r="Q1853" s="21" t="s">
        <v>7935</v>
      </c>
      <c r="R1853" s="17" t="s">
        <v>801</v>
      </c>
      <c r="S1853" s="18" t="s">
        <v>2554</v>
      </c>
      <c r="T1853" s="17" t="s">
        <v>800</v>
      </c>
      <c r="U1853" s="18" t="s">
        <v>5233</v>
      </c>
      <c r="V1853" s="17" t="s">
        <v>9418</v>
      </c>
      <c r="W1853" s="18" t="s">
        <v>5310</v>
      </c>
      <c r="X1853" s="69" t="s">
        <v>9453</v>
      </c>
      <c r="Y1853" s="70" t="s">
        <v>9463</v>
      </c>
      <c r="Z1853" s="73" t="s">
        <v>9486</v>
      </c>
      <c r="AA1853" s="74" t="s">
        <v>9504</v>
      </c>
      <c r="AB1853" s="73" t="s">
        <v>9486</v>
      </c>
      <c r="AC1853" s="74" t="s">
        <v>9562</v>
      </c>
      <c r="AD1853" s="73" t="s">
        <v>9578</v>
      </c>
      <c r="AE1853" s="74" t="s">
        <v>9579</v>
      </c>
    </row>
    <row r="1854" spans="1:31" ht="8.65" customHeight="1" x14ac:dyDescent="0.2">
      <c r="A1854" s="76">
        <v>1854</v>
      </c>
      <c r="B1854" s="67" t="str">
        <f>MID(C1854, FIND("Ifc.", C1854) + 4, 4) &amp; "_" &amp; TEXT(COUNTIF($C$2:C1854, C1854),"0000")</f>
        <v>Prop_1853</v>
      </c>
      <c r="C1854" s="24" t="s">
        <v>872</v>
      </c>
      <c r="D1854" s="69" t="s">
        <v>9453</v>
      </c>
      <c r="E1854" s="70" t="s">
        <v>9454</v>
      </c>
      <c r="F1854" s="17" t="s">
        <v>806</v>
      </c>
      <c r="G1854" s="22" t="s">
        <v>907</v>
      </c>
      <c r="H1854" s="12" t="s">
        <v>9703</v>
      </c>
      <c r="I1854" s="13" t="s">
        <v>907</v>
      </c>
      <c r="J1854" s="14" t="s">
        <v>798</v>
      </c>
      <c r="K1854" s="15" t="s">
        <v>798</v>
      </c>
      <c r="L1854" s="12" t="s">
        <v>5315</v>
      </c>
      <c r="M1854" s="13" t="s">
        <v>5522</v>
      </c>
      <c r="N1854" s="12" t="s">
        <v>803</v>
      </c>
      <c r="O1854" s="13" t="s">
        <v>5137</v>
      </c>
      <c r="P1854" s="17" t="s">
        <v>802</v>
      </c>
      <c r="Q1854" s="21" t="s">
        <v>8042</v>
      </c>
      <c r="R1854" s="17" t="s">
        <v>801</v>
      </c>
      <c r="S1854" s="18" t="s">
        <v>2554</v>
      </c>
      <c r="T1854" s="17" t="s">
        <v>800</v>
      </c>
      <c r="U1854" s="18" t="s">
        <v>5233</v>
      </c>
      <c r="V1854" s="17" t="s">
        <v>9418</v>
      </c>
      <c r="W1854" s="18" t="s">
        <v>5310</v>
      </c>
      <c r="X1854" s="69" t="s">
        <v>9453</v>
      </c>
      <c r="Y1854" s="70" t="s">
        <v>9463</v>
      </c>
      <c r="Z1854" s="73" t="s">
        <v>9486</v>
      </c>
      <c r="AA1854" s="74" t="s">
        <v>9504</v>
      </c>
      <c r="AB1854" s="73" t="s">
        <v>9486</v>
      </c>
      <c r="AC1854" s="74" t="s">
        <v>9562</v>
      </c>
      <c r="AD1854" s="73" t="s">
        <v>9578</v>
      </c>
      <c r="AE1854" s="74" t="s">
        <v>9579</v>
      </c>
    </row>
    <row r="1855" spans="1:31" ht="8.65" customHeight="1" x14ac:dyDescent="0.2">
      <c r="A1855" s="76">
        <v>1855</v>
      </c>
      <c r="B1855" s="67" t="str">
        <f>MID(C1855, FIND("Ifc.", C1855) + 4, 4) &amp; "_" &amp; TEXT(COUNTIF($C$2:C1855, C1855),"0000")</f>
        <v>Prop_1854</v>
      </c>
      <c r="C1855" s="24" t="s">
        <v>872</v>
      </c>
      <c r="D1855" s="69" t="s">
        <v>9453</v>
      </c>
      <c r="E1855" s="70" t="s">
        <v>9454</v>
      </c>
      <c r="F1855" s="17" t="s">
        <v>806</v>
      </c>
      <c r="G1855" s="22" t="s">
        <v>907</v>
      </c>
      <c r="H1855" s="12" t="s">
        <v>9703</v>
      </c>
      <c r="I1855" s="13" t="s">
        <v>907</v>
      </c>
      <c r="J1855" s="14" t="s">
        <v>798</v>
      </c>
      <c r="K1855" s="15" t="s">
        <v>798</v>
      </c>
      <c r="L1855" s="12" t="s">
        <v>5315</v>
      </c>
      <c r="M1855" s="13" t="s">
        <v>5548</v>
      </c>
      <c r="N1855" s="12" t="s">
        <v>803</v>
      </c>
      <c r="O1855" s="13" t="s">
        <v>5161</v>
      </c>
      <c r="P1855" s="17" t="s">
        <v>802</v>
      </c>
      <c r="Q1855" s="21" t="s">
        <v>7796</v>
      </c>
      <c r="R1855" s="17" t="s">
        <v>801</v>
      </c>
      <c r="S1855" s="18" t="s">
        <v>2554</v>
      </c>
      <c r="T1855" s="17" t="s">
        <v>800</v>
      </c>
      <c r="U1855" s="18" t="s">
        <v>5233</v>
      </c>
      <c r="V1855" s="17" t="s">
        <v>9418</v>
      </c>
      <c r="W1855" s="18" t="s">
        <v>5310</v>
      </c>
      <c r="X1855" s="69" t="s">
        <v>9453</v>
      </c>
      <c r="Y1855" s="70" t="s">
        <v>9463</v>
      </c>
      <c r="Z1855" s="73" t="s">
        <v>9486</v>
      </c>
      <c r="AA1855" s="74" t="s">
        <v>9504</v>
      </c>
      <c r="AB1855" s="73" t="s">
        <v>9486</v>
      </c>
      <c r="AC1855" s="74" t="s">
        <v>9562</v>
      </c>
      <c r="AD1855" s="73" t="s">
        <v>9578</v>
      </c>
      <c r="AE1855" s="74" t="s">
        <v>9579</v>
      </c>
    </row>
    <row r="1856" spans="1:31" ht="8.65" customHeight="1" x14ac:dyDescent="0.2">
      <c r="A1856" s="76">
        <v>1856</v>
      </c>
      <c r="B1856" s="67" t="str">
        <f>MID(C1856, FIND("Ifc.", C1856) + 4, 4) &amp; "_" &amp; TEXT(COUNTIF($C$2:C1856, C1856),"0000")</f>
        <v>Prop_1855</v>
      </c>
      <c r="C1856" s="24" t="s">
        <v>872</v>
      </c>
      <c r="D1856" s="69" t="s">
        <v>9453</v>
      </c>
      <c r="E1856" s="70" t="s">
        <v>9454</v>
      </c>
      <c r="F1856" s="17" t="s">
        <v>806</v>
      </c>
      <c r="G1856" s="22" t="s">
        <v>907</v>
      </c>
      <c r="H1856" s="12" t="s">
        <v>9703</v>
      </c>
      <c r="I1856" s="13" t="s">
        <v>907</v>
      </c>
      <c r="J1856" s="14" t="s">
        <v>798</v>
      </c>
      <c r="K1856" s="15" t="s">
        <v>798</v>
      </c>
      <c r="L1856" s="12" t="s">
        <v>5315</v>
      </c>
      <c r="M1856" s="13" t="s">
        <v>5550</v>
      </c>
      <c r="N1856" s="12" t="s">
        <v>803</v>
      </c>
      <c r="O1856" s="13" t="s">
        <v>5162</v>
      </c>
      <c r="P1856" s="17" t="s">
        <v>802</v>
      </c>
      <c r="Q1856" s="21" t="s">
        <v>7870</v>
      </c>
      <c r="R1856" s="17" t="s">
        <v>801</v>
      </c>
      <c r="S1856" s="18" t="s">
        <v>2554</v>
      </c>
      <c r="T1856" s="17" t="s">
        <v>800</v>
      </c>
      <c r="U1856" s="18" t="s">
        <v>5233</v>
      </c>
      <c r="V1856" s="17" t="s">
        <v>9418</v>
      </c>
      <c r="W1856" s="18" t="s">
        <v>5310</v>
      </c>
      <c r="X1856" s="69" t="s">
        <v>9453</v>
      </c>
      <c r="Y1856" s="70" t="s">
        <v>9463</v>
      </c>
      <c r="Z1856" s="73" t="s">
        <v>9486</v>
      </c>
      <c r="AA1856" s="74" t="s">
        <v>9504</v>
      </c>
      <c r="AB1856" s="73" t="s">
        <v>9486</v>
      </c>
      <c r="AC1856" s="74" t="s">
        <v>9562</v>
      </c>
      <c r="AD1856" s="73" t="s">
        <v>9578</v>
      </c>
      <c r="AE1856" s="74" t="s">
        <v>9579</v>
      </c>
    </row>
    <row r="1857" spans="1:31" ht="8.65" customHeight="1" x14ac:dyDescent="0.2">
      <c r="A1857" s="76">
        <v>1857</v>
      </c>
      <c r="B1857" s="67" t="str">
        <f>MID(C1857, FIND("Ifc.", C1857) + 4, 4) &amp; "_" &amp; TEXT(COUNTIF($C$2:C1857, C1857),"0000")</f>
        <v>Prop_1856</v>
      </c>
      <c r="C1857" s="24" t="s">
        <v>872</v>
      </c>
      <c r="D1857" s="69" t="s">
        <v>9453</v>
      </c>
      <c r="E1857" s="70" t="s">
        <v>9454</v>
      </c>
      <c r="F1857" s="17" t="s">
        <v>806</v>
      </c>
      <c r="G1857" s="22" t="s">
        <v>907</v>
      </c>
      <c r="H1857" s="12" t="s">
        <v>9703</v>
      </c>
      <c r="I1857" s="13" t="s">
        <v>907</v>
      </c>
      <c r="J1857" s="14" t="s">
        <v>798</v>
      </c>
      <c r="K1857" s="15" t="s">
        <v>798</v>
      </c>
      <c r="L1857" s="12" t="s">
        <v>5315</v>
      </c>
      <c r="M1857" s="13" t="s">
        <v>5551</v>
      </c>
      <c r="N1857" s="12" t="s">
        <v>803</v>
      </c>
      <c r="O1857" s="13" t="s">
        <v>5164</v>
      </c>
      <c r="P1857" s="17" t="s">
        <v>802</v>
      </c>
      <c r="Q1857" s="21" t="s">
        <v>7871</v>
      </c>
      <c r="R1857" s="17" t="s">
        <v>801</v>
      </c>
      <c r="S1857" s="18" t="s">
        <v>2554</v>
      </c>
      <c r="T1857" s="17" t="s">
        <v>800</v>
      </c>
      <c r="U1857" s="18" t="s">
        <v>5233</v>
      </c>
      <c r="V1857" s="17" t="s">
        <v>9418</v>
      </c>
      <c r="W1857" s="18" t="s">
        <v>5310</v>
      </c>
      <c r="X1857" s="69" t="s">
        <v>9453</v>
      </c>
      <c r="Y1857" s="70" t="s">
        <v>9463</v>
      </c>
      <c r="Z1857" s="73" t="s">
        <v>9486</v>
      </c>
      <c r="AA1857" s="74" t="s">
        <v>9504</v>
      </c>
      <c r="AB1857" s="73" t="s">
        <v>9486</v>
      </c>
      <c r="AC1857" s="74" t="s">
        <v>9562</v>
      </c>
      <c r="AD1857" s="73" t="s">
        <v>9578</v>
      </c>
      <c r="AE1857" s="74" t="s">
        <v>9579</v>
      </c>
    </row>
    <row r="1858" spans="1:31" ht="8.65" customHeight="1" x14ac:dyDescent="0.2">
      <c r="A1858" s="76">
        <v>1858</v>
      </c>
      <c r="B1858" s="67" t="str">
        <f>MID(C1858, FIND("Ifc.", C1858) + 4, 4) &amp; "_" &amp; TEXT(COUNTIF($C$2:C1858, C1858),"0000")</f>
        <v>Prop_1857</v>
      </c>
      <c r="C1858" s="24" t="s">
        <v>872</v>
      </c>
      <c r="D1858" s="69" t="s">
        <v>9453</v>
      </c>
      <c r="E1858" s="70" t="s">
        <v>9454</v>
      </c>
      <c r="F1858" s="17" t="s">
        <v>806</v>
      </c>
      <c r="G1858" s="22" t="s">
        <v>907</v>
      </c>
      <c r="H1858" s="12" t="s">
        <v>9703</v>
      </c>
      <c r="I1858" s="13" t="s">
        <v>907</v>
      </c>
      <c r="J1858" s="14" t="s">
        <v>798</v>
      </c>
      <c r="K1858" s="15" t="s">
        <v>798</v>
      </c>
      <c r="L1858" s="12" t="s">
        <v>5315</v>
      </c>
      <c r="M1858" s="13" t="s">
        <v>5556</v>
      </c>
      <c r="N1858" s="12" t="s">
        <v>803</v>
      </c>
      <c r="O1858" s="13" t="s">
        <v>5169</v>
      </c>
      <c r="P1858" s="17" t="s">
        <v>802</v>
      </c>
      <c r="Q1858" s="21" t="s">
        <v>7728</v>
      </c>
      <c r="R1858" s="17" t="s">
        <v>801</v>
      </c>
      <c r="S1858" s="18" t="s">
        <v>2554</v>
      </c>
      <c r="T1858" s="17" t="s">
        <v>800</v>
      </c>
      <c r="U1858" s="18" t="s">
        <v>5233</v>
      </c>
      <c r="V1858" s="17" t="s">
        <v>9418</v>
      </c>
      <c r="W1858" s="18" t="s">
        <v>5310</v>
      </c>
      <c r="X1858" s="69" t="s">
        <v>9453</v>
      </c>
      <c r="Y1858" s="70" t="s">
        <v>9463</v>
      </c>
      <c r="Z1858" s="73" t="s">
        <v>9486</v>
      </c>
      <c r="AA1858" s="74" t="s">
        <v>9504</v>
      </c>
      <c r="AB1858" s="73" t="s">
        <v>9486</v>
      </c>
      <c r="AC1858" s="74" t="s">
        <v>9562</v>
      </c>
      <c r="AD1858" s="73" t="s">
        <v>9578</v>
      </c>
      <c r="AE1858" s="74" t="s">
        <v>9579</v>
      </c>
    </row>
    <row r="1859" spans="1:31" ht="8.65" customHeight="1" x14ac:dyDescent="0.2">
      <c r="A1859" s="76">
        <v>1859</v>
      </c>
      <c r="B1859" s="67" t="str">
        <f>MID(C1859, FIND("Ifc.", C1859) + 4, 4) &amp; "_" &amp; TEXT(COUNTIF($C$2:C1859, C1859),"0000")</f>
        <v>Prop_1858</v>
      </c>
      <c r="C1859" s="24" t="s">
        <v>872</v>
      </c>
      <c r="D1859" s="69" t="s">
        <v>9453</v>
      </c>
      <c r="E1859" s="70" t="s">
        <v>9454</v>
      </c>
      <c r="F1859" s="17" t="s">
        <v>806</v>
      </c>
      <c r="G1859" s="22" t="s">
        <v>907</v>
      </c>
      <c r="H1859" s="12" t="s">
        <v>9703</v>
      </c>
      <c r="I1859" s="13" t="s">
        <v>907</v>
      </c>
      <c r="J1859" s="14" t="s">
        <v>798</v>
      </c>
      <c r="K1859" s="15" t="s">
        <v>798</v>
      </c>
      <c r="L1859" s="12" t="s">
        <v>5315</v>
      </c>
      <c r="M1859" s="13" t="s">
        <v>5560</v>
      </c>
      <c r="N1859" s="12" t="s">
        <v>803</v>
      </c>
      <c r="O1859" s="13" t="s">
        <v>5174</v>
      </c>
      <c r="P1859" s="17" t="s">
        <v>802</v>
      </c>
      <c r="Q1859" s="21" t="s">
        <v>7793</v>
      </c>
      <c r="R1859" s="17" t="s">
        <v>801</v>
      </c>
      <c r="S1859" s="18" t="s">
        <v>2554</v>
      </c>
      <c r="T1859" s="17" t="s">
        <v>800</v>
      </c>
      <c r="U1859" s="18" t="s">
        <v>5233</v>
      </c>
      <c r="V1859" s="17" t="s">
        <v>9418</v>
      </c>
      <c r="W1859" s="18" t="s">
        <v>5310</v>
      </c>
      <c r="X1859" s="69" t="s">
        <v>9453</v>
      </c>
      <c r="Y1859" s="70" t="s">
        <v>9463</v>
      </c>
      <c r="Z1859" s="73" t="s">
        <v>9486</v>
      </c>
      <c r="AA1859" s="74" t="s">
        <v>9504</v>
      </c>
      <c r="AB1859" s="73" t="s">
        <v>9486</v>
      </c>
      <c r="AC1859" s="74" t="s">
        <v>9562</v>
      </c>
      <c r="AD1859" s="73" t="s">
        <v>9578</v>
      </c>
      <c r="AE1859" s="74" t="s">
        <v>9579</v>
      </c>
    </row>
    <row r="1860" spans="1:31" ht="8.65" customHeight="1" x14ac:dyDescent="0.2">
      <c r="A1860" s="76">
        <v>1860</v>
      </c>
      <c r="B1860" s="67" t="str">
        <f>MID(C1860, FIND("Ifc.", C1860) + 4, 4) &amp; "_" &amp; TEXT(COUNTIF($C$2:C1860, C1860),"0000")</f>
        <v>Prop_1859</v>
      </c>
      <c r="C1860" s="24" t="s">
        <v>872</v>
      </c>
      <c r="D1860" s="69" t="s">
        <v>9453</v>
      </c>
      <c r="E1860" s="70" t="s">
        <v>9454</v>
      </c>
      <c r="F1860" s="17" t="s">
        <v>806</v>
      </c>
      <c r="G1860" s="22" t="s">
        <v>907</v>
      </c>
      <c r="H1860" s="12" t="s">
        <v>9703</v>
      </c>
      <c r="I1860" s="13" t="s">
        <v>907</v>
      </c>
      <c r="J1860" s="14" t="s">
        <v>798</v>
      </c>
      <c r="K1860" s="15" t="s">
        <v>798</v>
      </c>
      <c r="L1860" s="12" t="s">
        <v>5315</v>
      </c>
      <c r="M1860" s="13" t="s">
        <v>5563</v>
      </c>
      <c r="N1860" s="12" t="s">
        <v>803</v>
      </c>
      <c r="O1860" s="13" t="s">
        <v>5178</v>
      </c>
      <c r="P1860" s="17" t="s">
        <v>802</v>
      </c>
      <c r="Q1860" s="21" t="s">
        <v>7810</v>
      </c>
      <c r="R1860" s="17" t="s">
        <v>801</v>
      </c>
      <c r="S1860" s="18" t="s">
        <v>2554</v>
      </c>
      <c r="T1860" s="17" t="s">
        <v>800</v>
      </c>
      <c r="U1860" s="18" t="s">
        <v>5233</v>
      </c>
      <c r="V1860" s="17" t="s">
        <v>9418</v>
      </c>
      <c r="W1860" s="18" t="s">
        <v>5310</v>
      </c>
      <c r="X1860" s="69" t="s">
        <v>9453</v>
      </c>
      <c r="Y1860" s="70" t="s">
        <v>9463</v>
      </c>
      <c r="Z1860" s="73" t="s">
        <v>9486</v>
      </c>
      <c r="AA1860" s="74" t="s">
        <v>9504</v>
      </c>
      <c r="AB1860" s="73" t="s">
        <v>9486</v>
      </c>
      <c r="AC1860" s="74" t="s">
        <v>9562</v>
      </c>
      <c r="AD1860" s="73" t="s">
        <v>9578</v>
      </c>
      <c r="AE1860" s="74" t="s">
        <v>9579</v>
      </c>
    </row>
    <row r="1861" spans="1:31" ht="8.65" customHeight="1" x14ac:dyDescent="0.2">
      <c r="A1861" s="76">
        <v>1861</v>
      </c>
      <c r="B1861" s="67" t="str">
        <f>MID(C1861, FIND("Ifc.", C1861) + 4, 4) &amp; "_" &amp; TEXT(COUNTIF($C$2:C1861, C1861),"0000")</f>
        <v>Prop_1860</v>
      </c>
      <c r="C1861" s="24" t="s">
        <v>872</v>
      </c>
      <c r="D1861" s="69" t="s">
        <v>9453</v>
      </c>
      <c r="E1861" s="70" t="s">
        <v>9454</v>
      </c>
      <c r="F1861" s="17" t="s">
        <v>806</v>
      </c>
      <c r="G1861" s="22" t="s">
        <v>907</v>
      </c>
      <c r="H1861" s="12" t="s">
        <v>9703</v>
      </c>
      <c r="I1861" s="13" t="s">
        <v>907</v>
      </c>
      <c r="J1861" s="14" t="s">
        <v>798</v>
      </c>
      <c r="K1861" s="15" t="s">
        <v>798</v>
      </c>
      <c r="L1861" s="12" t="s">
        <v>5315</v>
      </c>
      <c r="M1861" s="13" t="s">
        <v>5564</v>
      </c>
      <c r="N1861" s="12" t="s">
        <v>803</v>
      </c>
      <c r="O1861" s="13" t="s">
        <v>5179</v>
      </c>
      <c r="P1861" s="17" t="s">
        <v>802</v>
      </c>
      <c r="Q1861" s="21" t="s">
        <v>7774</v>
      </c>
      <c r="R1861" s="17" t="s">
        <v>801</v>
      </c>
      <c r="S1861" s="18" t="s">
        <v>2554</v>
      </c>
      <c r="T1861" s="17" t="s">
        <v>800</v>
      </c>
      <c r="U1861" s="18" t="s">
        <v>5233</v>
      </c>
      <c r="V1861" s="17" t="s">
        <v>9418</v>
      </c>
      <c r="W1861" s="18" t="s">
        <v>5310</v>
      </c>
      <c r="X1861" s="69" t="s">
        <v>9453</v>
      </c>
      <c r="Y1861" s="70" t="s">
        <v>9463</v>
      </c>
      <c r="Z1861" s="73" t="s">
        <v>9486</v>
      </c>
      <c r="AA1861" s="74" t="s">
        <v>9504</v>
      </c>
      <c r="AB1861" s="73" t="s">
        <v>9486</v>
      </c>
      <c r="AC1861" s="74" t="s">
        <v>9562</v>
      </c>
      <c r="AD1861" s="73" t="s">
        <v>9578</v>
      </c>
      <c r="AE1861" s="74" t="s">
        <v>9579</v>
      </c>
    </row>
    <row r="1862" spans="1:31" ht="8.65" customHeight="1" x14ac:dyDescent="0.2">
      <c r="A1862" s="76">
        <v>1862</v>
      </c>
      <c r="B1862" s="67" t="str">
        <f>MID(C1862, FIND("Ifc.", C1862) + 4, 4) &amp; "_" &amp; TEXT(COUNTIF($C$2:C1862, C1862),"0000")</f>
        <v>Prop_1861</v>
      </c>
      <c r="C1862" s="24" t="s">
        <v>872</v>
      </c>
      <c r="D1862" s="69" t="s">
        <v>9453</v>
      </c>
      <c r="E1862" s="70" t="s">
        <v>9454</v>
      </c>
      <c r="F1862" s="17" t="s">
        <v>806</v>
      </c>
      <c r="G1862" s="22" t="s">
        <v>907</v>
      </c>
      <c r="H1862" s="12" t="s">
        <v>9703</v>
      </c>
      <c r="I1862" s="13" t="s">
        <v>907</v>
      </c>
      <c r="J1862" s="14" t="s">
        <v>798</v>
      </c>
      <c r="K1862" s="15" t="s">
        <v>798</v>
      </c>
      <c r="L1862" s="12" t="s">
        <v>5315</v>
      </c>
      <c r="M1862" s="13" t="s">
        <v>5781</v>
      </c>
      <c r="N1862" s="12" t="s">
        <v>803</v>
      </c>
      <c r="O1862" s="13" t="s">
        <v>5180</v>
      </c>
      <c r="P1862" s="17" t="s">
        <v>802</v>
      </c>
      <c r="Q1862" s="21" t="s">
        <v>7699</v>
      </c>
      <c r="R1862" s="17" t="s">
        <v>801</v>
      </c>
      <c r="S1862" s="18" t="s">
        <v>2554</v>
      </c>
      <c r="T1862" s="17" t="s">
        <v>800</v>
      </c>
      <c r="U1862" s="18" t="s">
        <v>5233</v>
      </c>
      <c r="V1862" s="17" t="s">
        <v>9418</v>
      </c>
      <c r="W1862" s="18" t="s">
        <v>5310</v>
      </c>
      <c r="X1862" s="69" t="s">
        <v>9453</v>
      </c>
      <c r="Y1862" s="70" t="s">
        <v>9463</v>
      </c>
      <c r="Z1862" s="73" t="s">
        <v>9486</v>
      </c>
      <c r="AA1862" s="74" t="s">
        <v>9504</v>
      </c>
      <c r="AB1862" s="73" t="s">
        <v>9486</v>
      </c>
      <c r="AC1862" s="74" t="s">
        <v>9562</v>
      </c>
      <c r="AD1862" s="73" t="s">
        <v>9578</v>
      </c>
      <c r="AE1862" s="74" t="s">
        <v>9579</v>
      </c>
    </row>
    <row r="1863" spans="1:31" ht="8.65" customHeight="1" x14ac:dyDescent="0.2">
      <c r="A1863" s="76">
        <v>1863</v>
      </c>
      <c r="B1863" s="67" t="str">
        <f>MID(C1863, FIND("Ifc.", C1863) + 4, 4) &amp; "_" &amp; TEXT(COUNTIF($C$2:C1863, C1863),"0000")</f>
        <v>Prop_1862</v>
      </c>
      <c r="C1863" s="24" t="s">
        <v>872</v>
      </c>
      <c r="D1863" s="69" t="s">
        <v>9453</v>
      </c>
      <c r="E1863" s="70" t="s">
        <v>9454</v>
      </c>
      <c r="F1863" s="17" t="s">
        <v>806</v>
      </c>
      <c r="G1863" s="22" t="s">
        <v>907</v>
      </c>
      <c r="H1863" s="12" t="s">
        <v>9703</v>
      </c>
      <c r="I1863" s="13" t="s">
        <v>907</v>
      </c>
      <c r="J1863" s="14" t="s">
        <v>798</v>
      </c>
      <c r="K1863" s="15" t="s">
        <v>798</v>
      </c>
      <c r="L1863" s="12" t="s">
        <v>5315</v>
      </c>
      <c r="M1863" s="13" t="s">
        <v>5805</v>
      </c>
      <c r="N1863" s="12" t="s">
        <v>803</v>
      </c>
      <c r="O1863" s="13" t="s">
        <v>5189</v>
      </c>
      <c r="P1863" s="17" t="s">
        <v>802</v>
      </c>
      <c r="Q1863" s="21" t="s">
        <v>8045</v>
      </c>
      <c r="R1863" s="17" t="s">
        <v>801</v>
      </c>
      <c r="S1863" s="18" t="s">
        <v>2554</v>
      </c>
      <c r="T1863" s="17" t="s">
        <v>800</v>
      </c>
      <c r="U1863" s="18" t="s">
        <v>5233</v>
      </c>
      <c r="V1863" s="17" t="s">
        <v>9418</v>
      </c>
      <c r="W1863" s="18" t="s">
        <v>5310</v>
      </c>
      <c r="X1863" s="69" t="s">
        <v>9453</v>
      </c>
      <c r="Y1863" s="70" t="s">
        <v>9463</v>
      </c>
      <c r="Z1863" s="73" t="s">
        <v>9486</v>
      </c>
      <c r="AA1863" s="74" t="s">
        <v>9504</v>
      </c>
      <c r="AB1863" s="73" t="s">
        <v>9486</v>
      </c>
      <c r="AC1863" s="74" t="s">
        <v>9562</v>
      </c>
      <c r="AD1863" s="73" t="s">
        <v>9578</v>
      </c>
      <c r="AE1863" s="74" t="s">
        <v>9579</v>
      </c>
    </row>
    <row r="1864" spans="1:31" ht="8.65" customHeight="1" x14ac:dyDescent="0.2">
      <c r="A1864" s="76">
        <v>1864</v>
      </c>
      <c r="B1864" s="67" t="str">
        <f>MID(C1864, FIND("Ifc.", C1864) + 4, 4) &amp; "_" &amp; TEXT(COUNTIF($C$2:C1864, C1864),"0000")</f>
        <v>Prop_1863</v>
      </c>
      <c r="C1864" s="24" t="s">
        <v>872</v>
      </c>
      <c r="D1864" s="69" t="s">
        <v>9453</v>
      </c>
      <c r="E1864" s="70" t="s">
        <v>9454</v>
      </c>
      <c r="F1864" s="17" t="s">
        <v>806</v>
      </c>
      <c r="G1864" s="22" t="s">
        <v>907</v>
      </c>
      <c r="H1864" s="12" t="s">
        <v>9703</v>
      </c>
      <c r="I1864" s="13" t="s">
        <v>907</v>
      </c>
      <c r="J1864" s="14" t="s">
        <v>798</v>
      </c>
      <c r="K1864" s="15" t="s">
        <v>798</v>
      </c>
      <c r="L1864" s="12" t="s">
        <v>5315</v>
      </c>
      <c r="M1864" s="13" t="s">
        <v>5786</v>
      </c>
      <c r="N1864" s="12" t="s">
        <v>803</v>
      </c>
      <c r="O1864" s="13" t="s">
        <v>5184</v>
      </c>
      <c r="P1864" s="17" t="s">
        <v>802</v>
      </c>
      <c r="Q1864" s="21" t="s">
        <v>8046</v>
      </c>
      <c r="R1864" s="17" t="s">
        <v>801</v>
      </c>
      <c r="S1864" s="18" t="s">
        <v>2554</v>
      </c>
      <c r="T1864" s="17" t="s">
        <v>800</v>
      </c>
      <c r="U1864" s="18" t="s">
        <v>5233</v>
      </c>
      <c r="V1864" s="17" t="s">
        <v>9418</v>
      </c>
      <c r="W1864" s="18" t="s">
        <v>5310</v>
      </c>
      <c r="X1864" s="69" t="s">
        <v>9453</v>
      </c>
      <c r="Y1864" s="70" t="s">
        <v>9463</v>
      </c>
      <c r="Z1864" s="73" t="s">
        <v>9486</v>
      </c>
      <c r="AA1864" s="74" t="s">
        <v>9504</v>
      </c>
      <c r="AB1864" s="73" t="s">
        <v>9486</v>
      </c>
      <c r="AC1864" s="74" t="s">
        <v>9562</v>
      </c>
      <c r="AD1864" s="73" t="s">
        <v>9578</v>
      </c>
      <c r="AE1864" s="74" t="s">
        <v>9579</v>
      </c>
    </row>
    <row r="1865" spans="1:31" ht="8.65" customHeight="1" x14ac:dyDescent="0.2">
      <c r="A1865" s="76">
        <v>1865</v>
      </c>
      <c r="B1865" s="67" t="str">
        <f>MID(C1865, FIND("Ifc.", C1865) + 4, 4) &amp; "_" &amp; TEXT(COUNTIF($C$2:C1865, C1865),"0000")</f>
        <v>Prop_1864</v>
      </c>
      <c r="C1865" s="24" t="s">
        <v>872</v>
      </c>
      <c r="D1865" s="69" t="s">
        <v>9453</v>
      </c>
      <c r="E1865" s="70" t="s">
        <v>9454</v>
      </c>
      <c r="F1865" s="17" t="s">
        <v>806</v>
      </c>
      <c r="G1865" s="22" t="s">
        <v>907</v>
      </c>
      <c r="H1865" s="12" t="s">
        <v>9703</v>
      </c>
      <c r="I1865" s="13" t="s">
        <v>907</v>
      </c>
      <c r="J1865" s="14" t="s">
        <v>798</v>
      </c>
      <c r="K1865" s="15" t="s">
        <v>798</v>
      </c>
      <c r="L1865" s="12" t="s">
        <v>5315</v>
      </c>
      <c r="M1865" s="13" t="s">
        <v>5791</v>
      </c>
      <c r="N1865" s="12" t="s">
        <v>803</v>
      </c>
      <c r="O1865" s="13" t="s">
        <v>5190</v>
      </c>
      <c r="P1865" s="17" t="s">
        <v>802</v>
      </c>
      <c r="Q1865" s="21" t="s">
        <v>8047</v>
      </c>
      <c r="R1865" s="17" t="s">
        <v>801</v>
      </c>
      <c r="S1865" s="18" t="s">
        <v>2554</v>
      </c>
      <c r="T1865" s="17" t="s">
        <v>800</v>
      </c>
      <c r="U1865" s="18" t="s">
        <v>5233</v>
      </c>
      <c r="V1865" s="17" t="s">
        <v>9418</v>
      </c>
      <c r="W1865" s="18" t="s">
        <v>5310</v>
      </c>
      <c r="X1865" s="69" t="s">
        <v>9453</v>
      </c>
      <c r="Y1865" s="70" t="s">
        <v>9463</v>
      </c>
      <c r="Z1865" s="73" t="s">
        <v>9486</v>
      </c>
      <c r="AA1865" s="74" t="s">
        <v>9504</v>
      </c>
      <c r="AB1865" s="73" t="s">
        <v>9486</v>
      </c>
      <c r="AC1865" s="74" t="s">
        <v>9562</v>
      </c>
      <c r="AD1865" s="73" t="s">
        <v>9578</v>
      </c>
      <c r="AE1865" s="74" t="s">
        <v>9579</v>
      </c>
    </row>
    <row r="1866" spans="1:31" ht="8.65" customHeight="1" x14ac:dyDescent="0.2">
      <c r="A1866" s="76">
        <v>1866</v>
      </c>
      <c r="B1866" s="67" t="str">
        <f>MID(C1866, FIND("Ifc.", C1866) + 4, 4) &amp; "_" &amp; TEXT(COUNTIF($C$2:C1866, C1866),"0000")</f>
        <v>Prop_1865</v>
      </c>
      <c r="C1866" s="24" t="s">
        <v>872</v>
      </c>
      <c r="D1866" s="69" t="s">
        <v>9453</v>
      </c>
      <c r="E1866" s="70" t="s">
        <v>9454</v>
      </c>
      <c r="F1866" s="17" t="s">
        <v>806</v>
      </c>
      <c r="G1866" s="22" t="s">
        <v>907</v>
      </c>
      <c r="H1866" s="12" t="s">
        <v>9703</v>
      </c>
      <c r="I1866" s="13" t="s">
        <v>907</v>
      </c>
      <c r="J1866" s="14" t="s">
        <v>798</v>
      </c>
      <c r="K1866" s="15" t="s">
        <v>798</v>
      </c>
      <c r="L1866" s="12" t="s">
        <v>5315</v>
      </c>
      <c r="M1866" s="13" t="s">
        <v>5797</v>
      </c>
      <c r="N1866" s="12" t="s">
        <v>803</v>
      </c>
      <c r="O1866" s="13" t="s">
        <v>5191</v>
      </c>
      <c r="P1866" s="17" t="s">
        <v>802</v>
      </c>
      <c r="Q1866" s="21" t="s">
        <v>7865</v>
      </c>
      <c r="R1866" s="17" t="s">
        <v>801</v>
      </c>
      <c r="S1866" s="18" t="s">
        <v>2554</v>
      </c>
      <c r="T1866" s="17" t="s">
        <v>800</v>
      </c>
      <c r="U1866" s="18" t="s">
        <v>5233</v>
      </c>
      <c r="V1866" s="17" t="s">
        <v>9418</v>
      </c>
      <c r="W1866" s="18" t="s">
        <v>5310</v>
      </c>
      <c r="X1866" s="69" t="s">
        <v>9453</v>
      </c>
      <c r="Y1866" s="70" t="s">
        <v>9463</v>
      </c>
      <c r="Z1866" s="73" t="s">
        <v>9486</v>
      </c>
      <c r="AA1866" s="74" t="s">
        <v>9504</v>
      </c>
      <c r="AB1866" s="73" t="s">
        <v>9486</v>
      </c>
      <c r="AC1866" s="74" t="s">
        <v>9562</v>
      </c>
      <c r="AD1866" s="73" t="s">
        <v>9578</v>
      </c>
      <c r="AE1866" s="74" t="s">
        <v>9579</v>
      </c>
    </row>
    <row r="1867" spans="1:31" ht="8.65" customHeight="1" x14ac:dyDescent="0.2">
      <c r="A1867" s="76">
        <v>1867</v>
      </c>
      <c r="B1867" s="67" t="str">
        <f>MID(C1867, FIND("Ifc.", C1867) + 4, 4) &amp; "_" &amp; TEXT(COUNTIF($C$2:C1867, C1867),"0000")</f>
        <v>Prop_1866</v>
      </c>
      <c r="C1867" s="24" t="s">
        <v>872</v>
      </c>
      <c r="D1867" s="69" t="s">
        <v>9453</v>
      </c>
      <c r="E1867" s="70" t="s">
        <v>9454</v>
      </c>
      <c r="F1867" s="17" t="s">
        <v>806</v>
      </c>
      <c r="G1867" s="22" t="s">
        <v>907</v>
      </c>
      <c r="H1867" s="12" t="s">
        <v>9703</v>
      </c>
      <c r="I1867" s="13" t="s">
        <v>907</v>
      </c>
      <c r="J1867" s="14" t="s">
        <v>798</v>
      </c>
      <c r="K1867" s="15" t="s">
        <v>798</v>
      </c>
      <c r="L1867" s="12" t="s">
        <v>5315</v>
      </c>
      <c r="M1867" s="13" t="s">
        <v>5567</v>
      </c>
      <c r="N1867" s="12" t="s">
        <v>803</v>
      </c>
      <c r="O1867" s="13" t="s">
        <v>5200</v>
      </c>
      <c r="P1867" s="17" t="s">
        <v>802</v>
      </c>
      <c r="Q1867" s="21" t="s">
        <v>7951</v>
      </c>
      <c r="R1867" s="17" t="s">
        <v>801</v>
      </c>
      <c r="S1867" s="18" t="s">
        <v>2554</v>
      </c>
      <c r="T1867" s="17" t="s">
        <v>800</v>
      </c>
      <c r="U1867" s="18" t="s">
        <v>5233</v>
      </c>
      <c r="V1867" s="17" t="s">
        <v>9418</v>
      </c>
      <c r="W1867" s="18" t="s">
        <v>5310</v>
      </c>
      <c r="X1867" s="69" t="s">
        <v>9453</v>
      </c>
      <c r="Y1867" s="70" t="s">
        <v>9463</v>
      </c>
      <c r="Z1867" s="73" t="s">
        <v>9486</v>
      </c>
      <c r="AA1867" s="74" t="s">
        <v>9504</v>
      </c>
      <c r="AB1867" s="73" t="s">
        <v>9486</v>
      </c>
      <c r="AC1867" s="74" t="s">
        <v>9562</v>
      </c>
      <c r="AD1867" s="73" t="s">
        <v>9578</v>
      </c>
      <c r="AE1867" s="74" t="s">
        <v>9579</v>
      </c>
    </row>
    <row r="1868" spans="1:31" ht="8.65" customHeight="1" x14ac:dyDescent="0.2">
      <c r="A1868" s="76">
        <v>1868</v>
      </c>
      <c r="B1868" s="67" t="str">
        <f>MID(C1868, FIND("Ifc.", C1868) + 4, 4) &amp; "_" &amp; TEXT(COUNTIF($C$2:C1868, C1868),"0000")</f>
        <v>Prop_1867</v>
      </c>
      <c r="C1868" s="24" t="s">
        <v>872</v>
      </c>
      <c r="D1868" s="69" t="s">
        <v>9453</v>
      </c>
      <c r="E1868" s="70" t="s">
        <v>9454</v>
      </c>
      <c r="F1868" s="17" t="s">
        <v>806</v>
      </c>
      <c r="G1868" s="22" t="s">
        <v>907</v>
      </c>
      <c r="H1868" s="12" t="s">
        <v>9703</v>
      </c>
      <c r="I1868" s="13" t="s">
        <v>907</v>
      </c>
      <c r="J1868" s="14" t="s">
        <v>798</v>
      </c>
      <c r="K1868" s="15" t="s">
        <v>798</v>
      </c>
      <c r="L1868" s="12" t="s">
        <v>5315</v>
      </c>
      <c r="M1868" s="13" t="s">
        <v>5569</v>
      </c>
      <c r="N1868" s="12" t="s">
        <v>803</v>
      </c>
      <c r="O1868" s="13" t="s">
        <v>5202</v>
      </c>
      <c r="P1868" s="17" t="s">
        <v>802</v>
      </c>
      <c r="Q1868" s="21" t="s">
        <v>7765</v>
      </c>
      <c r="R1868" s="17" t="s">
        <v>801</v>
      </c>
      <c r="S1868" s="18" t="s">
        <v>2554</v>
      </c>
      <c r="T1868" s="17" t="s">
        <v>800</v>
      </c>
      <c r="U1868" s="18" t="s">
        <v>5233</v>
      </c>
      <c r="V1868" s="17" t="s">
        <v>9418</v>
      </c>
      <c r="W1868" s="18" t="s">
        <v>5310</v>
      </c>
      <c r="X1868" s="69" t="s">
        <v>9453</v>
      </c>
      <c r="Y1868" s="70" t="s">
        <v>9463</v>
      </c>
      <c r="Z1868" s="73" t="s">
        <v>9486</v>
      </c>
      <c r="AA1868" s="74" t="s">
        <v>9504</v>
      </c>
      <c r="AB1868" s="73" t="s">
        <v>9486</v>
      </c>
      <c r="AC1868" s="74" t="s">
        <v>9562</v>
      </c>
      <c r="AD1868" s="73" t="s">
        <v>9578</v>
      </c>
      <c r="AE1868" s="74" t="s">
        <v>9579</v>
      </c>
    </row>
    <row r="1869" spans="1:31" ht="8.65" customHeight="1" x14ac:dyDescent="0.2">
      <c r="A1869" s="76">
        <v>1869</v>
      </c>
      <c r="B1869" s="67" t="str">
        <f>MID(C1869, FIND("Ifc.", C1869) + 4, 4) &amp; "_" &amp; TEXT(COUNTIF($C$2:C1869, C1869),"0000")</f>
        <v>Prop_1868</v>
      </c>
      <c r="C1869" s="24" t="s">
        <v>872</v>
      </c>
      <c r="D1869" s="69" t="s">
        <v>9453</v>
      </c>
      <c r="E1869" s="70" t="s">
        <v>9454</v>
      </c>
      <c r="F1869" s="17" t="s">
        <v>806</v>
      </c>
      <c r="G1869" s="22" t="s">
        <v>907</v>
      </c>
      <c r="H1869" s="12" t="s">
        <v>9703</v>
      </c>
      <c r="I1869" s="13" t="s">
        <v>907</v>
      </c>
      <c r="J1869" s="14" t="s">
        <v>798</v>
      </c>
      <c r="K1869" s="15" t="s">
        <v>798</v>
      </c>
      <c r="L1869" s="12" t="s">
        <v>5315</v>
      </c>
      <c r="M1869" s="13" t="s">
        <v>5570</v>
      </c>
      <c r="N1869" s="12" t="s">
        <v>803</v>
      </c>
      <c r="O1869" s="13" t="s">
        <v>5203</v>
      </c>
      <c r="P1869" s="17" t="s">
        <v>802</v>
      </c>
      <c r="Q1869" s="21" t="s">
        <v>7900</v>
      </c>
      <c r="R1869" s="17" t="s">
        <v>801</v>
      </c>
      <c r="S1869" s="18" t="s">
        <v>2554</v>
      </c>
      <c r="T1869" s="17" t="s">
        <v>800</v>
      </c>
      <c r="U1869" s="18" t="s">
        <v>5233</v>
      </c>
      <c r="V1869" s="17" t="s">
        <v>9418</v>
      </c>
      <c r="W1869" s="18" t="s">
        <v>5310</v>
      </c>
      <c r="X1869" s="69" t="s">
        <v>9453</v>
      </c>
      <c r="Y1869" s="70" t="s">
        <v>9463</v>
      </c>
      <c r="Z1869" s="73" t="s">
        <v>9486</v>
      </c>
      <c r="AA1869" s="74" t="s">
        <v>9504</v>
      </c>
      <c r="AB1869" s="73" t="s">
        <v>9486</v>
      </c>
      <c r="AC1869" s="74" t="s">
        <v>9562</v>
      </c>
      <c r="AD1869" s="73" t="s">
        <v>9578</v>
      </c>
      <c r="AE1869" s="74" t="s">
        <v>9579</v>
      </c>
    </row>
    <row r="1870" spans="1:31" ht="8.65" customHeight="1" x14ac:dyDescent="0.2">
      <c r="A1870" s="76">
        <v>1870</v>
      </c>
      <c r="B1870" s="67" t="str">
        <f>MID(C1870, FIND("Ifc.", C1870) + 4, 4) &amp; "_" &amp; TEXT(COUNTIF($C$2:C1870, C1870),"0000")</f>
        <v>Prop_1869</v>
      </c>
      <c r="C1870" s="24" t="s">
        <v>872</v>
      </c>
      <c r="D1870" s="69" t="s">
        <v>9453</v>
      </c>
      <c r="E1870" s="70" t="s">
        <v>9454</v>
      </c>
      <c r="F1870" s="17" t="s">
        <v>806</v>
      </c>
      <c r="G1870" s="22" t="s">
        <v>907</v>
      </c>
      <c r="H1870" s="12" t="s">
        <v>9703</v>
      </c>
      <c r="I1870" s="13" t="s">
        <v>907</v>
      </c>
      <c r="J1870" s="14" t="s">
        <v>798</v>
      </c>
      <c r="K1870" s="15" t="s">
        <v>798</v>
      </c>
      <c r="L1870" s="12" t="s">
        <v>5315</v>
      </c>
      <c r="M1870" s="13" t="s">
        <v>5571</v>
      </c>
      <c r="N1870" s="12" t="s">
        <v>803</v>
      </c>
      <c r="O1870" s="13" t="s">
        <v>5204</v>
      </c>
      <c r="P1870" s="17" t="s">
        <v>802</v>
      </c>
      <c r="Q1870" s="21" t="s">
        <v>7767</v>
      </c>
      <c r="R1870" s="17" t="s">
        <v>801</v>
      </c>
      <c r="S1870" s="18" t="s">
        <v>2554</v>
      </c>
      <c r="T1870" s="17" t="s">
        <v>800</v>
      </c>
      <c r="U1870" s="18" t="s">
        <v>5233</v>
      </c>
      <c r="V1870" s="17" t="s">
        <v>9418</v>
      </c>
      <c r="W1870" s="18" t="s">
        <v>5310</v>
      </c>
      <c r="X1870" s="69" t="s">
        <v>9453</v>
      </c>
      <c r="Y1870" s="70" t="s">
        <v>9463</v>
      </c>
      <c r="Z1870" s="73" t="s">
        <v>9486</v>
      </c>
      <c r="AA1870" s="74" t="s">
        <v>9504</v>
      </c>
      <c r="AB1870" s="73" t="s">
        <v>9486</v>
      </c>
      <c r="AC1870" s="74" t="s">
        <v>9562</v>
      </c>
      <c r="AD1870" s="73" t="s">
        <v>9578</v>
      </c>
      <c r="AE1870" s="74" t="s">
        <v>9579</v>
      </c>
    </row>
    <row r="1871" spans="1:31" ht="8.65" customHeight="1" x14ac:dyDescent="0.2">
      <c r="A1871" s="76">
        <v>1871</v>
      </c>
      <c r="B1871" s="67" t="str">
        <f>MID(C1871, FIND("Ifc.", C1871) + 4, 4) &amp; "_" &amp; TEXT(COUNTIF($C$2:C1871, C1871),"0000")</f>
        <v>Prop_1870</v>
      </c>
      <c r="C1871" s="24" t="s">
        <v>872</v>
      </c>
      <c r="D1871" s="69" t="s">
        <v>9453</v>
      </c>
      <c r="E1871" s="70" t="s">
        <v>9454</v>
      </c>
      <c r="F1871" s="17" t="s">
        <v>806</v>
      </c>
      <c r="G1871" s="22" t="s">
        <v>907</v>
      </c>
      <c r="H1871" s="12" t="s">
        <v>9703</v>
      </c>
      <c r="I1871" s="13" t="s">
        <v>907</v>
      </c>
      <c r="J1871" s="14" t="s">
        <v>798</v>
      </c>
      <c r="K1871" s="15" t="s">
        <v>798</v>
      </c>
      <c r="L1871" s="12" t="s">
        <v>5315</v>
      </c>
      <c r="M1871" s="13" t="s">
        <v>5573</v>
      </c>
      <c r="N1871" s="12" t="s">
        <v>803</v>
      </c>
      <c r="O1871" s="13" t="s">
        <v>5206</v>
      </c>
      <c r="P1871" s="17" t="s">
        <v>802</v>
      </c>
      <c r="Q1871" s="21" t="s">
        <v>7742</v>
      </c>
      <c r="R1871" s="17" t="s">
        <v>801</v>
      </c>
      <c r="S1871" s="18" t="s">
        <v>2554</v>
      </c>
      <c r="T1871" s="17" t="s">
        <v>800</v>
      </c>
      <c r="U1871" s="18" t="s">
        <v>5233</v>
      </c>
      <c r="V1871" s="17" t="s">
        <v>9418</v>
      </c>
      <c r="W1871" s="18" t="s">
        <v>5310</v>
      </c>
      <c r="X1871" s="69" t="s">
        <v>9453</v>
      </c>
      <c r="Y1871" s="70" t="s">
        <v>9463</v>
      </c>
      <c r="Z1871" s="73" t="s">
        <v>9486</v>
      </c>
      <c r="AA1871" s="74" t="s">
        <v>9504</v>
      </c>
      <c r="AB1871" s="73" t="s">
        <v>9486</v>
      </c>
      <c r="AC1871" s="74" t="s">
        <v>9562</v>
      </c>
      <c r="AD1871" s="73" t="s">
        <v>9578</v>
      </c>
      <c r="AE1871" s="74" t="s">
        <v>9579</v>
      </c>
    </row>
    <row r="1872" spans="1:31" ht="8.65" customHeight="1" x14ac:dyDescent="0.2">
      <c r="A1872" s="76">
        <v>1872</v>
      </c>
      <c r="B1872" s="67" t="str">
        <f>MID(C1872, FIND("Ifc.", C1872) + 4, 4) &amp; "_" &amp; TEXT(COUNTIF($C$2:C1872, C1872),"0000")</f>
        <v>Prop_1871</v>
      </c>
      <c r="C1872" s="24" t="s">
        <v>872</v>
      </c>
      <c r="D1872" s="69" t="s">
        <v>9453</v>
      </c>
      <c r="E1872" s="70" t="s">
        <v>9454</v>
      </c>
      <c r="F1872" s="17" t="s">
        <v>806</v>
      </c>
      <c r="G1872" s="22" t="s">
        <v>907</v>
      </c>
      <c r="H1872" s="12" t="s">
        <v>9703</v>
      </c>
      <c r="I1872" s="13" t="s">
        <v>907</v>
      </c>
      <c r="J1872" s="14" t="s">
        <v>798</v>
      </c>
      <c r="K1872" s="15" t="s">
        <v>798</v>
      </c>
      <c r="L1872" s="12" t="s">
        <v>5315</v>
      </c>
      <c r="M1872" s="13" t="s">
        <v>6003</v>
      </c>
      <c r="N1872" s="12" t="s">
        <v>803</v>
      </c>
      <c r="O1872" s="13" t="s">
        <v>5214</v>
      </c>
      <c r="P1872" s="17" t="s">
        <v>802</v>
      </c>
      <c r="Q1872" s="21" t="s">
        <v>7830</v>
      </c>
      <c r="R1872" s="17" t="s">
        <v>801</v>
      </c>
      <c r="S1872" s="18" t="s">
        <v>2554</v>
      </c>
      <c r="T1872" s="17" t="s">
        <v>800</v>
      </c>
      <c r="U1872" s="18" t="s">
        <v>5233</v>
      </c>
      <c r="V1872" s="17" t="s">
        <v>9418</v>
      </c>
      <c r="W1872" s="18" t="s">
        <v>5310</v>
      </c>
      <c r="X1872" s="69" t="s">
        <v>9453</v>
      </c>
      <c r="Y1872" s="70" t="s">
        <v>9463</v>
      </c>
      <c r="Z1872" s="73" t="s">
        <v>9486</v>
      </c>
      <c r="AA1872" s="74" t="s">
        <v>9504</v>
      </c>
      <c r="AB1872" s="73" t="s">
        <v>9486</v>
      </c>
      <c r="AC1872" s="74" t="s">
        <v>9562</v>
      </c>
      <c r="AD1872" s="73" t="s">
        <v>9578</v>
      </c>
      <c r="AE1872" s="74" t="s">
        <v>9579</v>
      </c>
    </row>
    <row r="1873" spans="1:31" ht="8.65" customHeight="1" x14ac:dyDescent="0.2">
      <c r="A1873" s="76">
        <v>1873</v>
      </c>
      <c r="B1873" s="67" t="str">
        <f>MID(C1873, FIND("Ifc.", C1873) + 4, 4) &amp; "_" &amp; TEXT(COUNTIF($C$2:C1873, C1873),"0000")</f>
        <v>Prop_1872</v>
      </c>
      <c r="C1873" s="24" t="s">
        <v>872</v>
      </c>
      <c r="D1873" s="69" t="s">
        <v>9453</v>
      </c>
      <c r="E1873" s="70" t="s">
        <v>9454</v>
      </c>
      <c r="F1873" s="17" t="s">
        <v>806</v>
      </c>
      <c r="G1873" s="22" t="s">
        <v>907</v>
      </c>
      <c r="H1873" s="12" t="s">
        <v>9703</v>
      </c>
      <c r="I1873" s="13" t="s">
        <v>907</v>
      </c>
      <c r="J1873" s="14" t="s">
        <v>798</v>
      </c>
      <c r="K1873" s="15" t="s">
        <v>798</v>
      </c>
      <c r="L1873" s="12" t="s">
        <v>5315</v>
      </c>
      <c r="M1873" s="13" t="s">
        <v>5577</v>
      </c>
      <c r="N1873" s="12" t="s">
        <v>803</v>
      </c>
      <c r="O1873" s="13" t="s">
        <v>5222</v>
      </c>
      <c r="P1873" s="17" t="s">
        <v>802</v>
      </c>
      <c r="Q1873" s="21" t="s">
        <v>7905</v>
      </c>
      <c r="R1873" s="17" t="s">
        <v>801</v>
      </c>
      <c r="S1873" s="18" t="s">
        <v>2554</v>
      </c>
      <c r="T1873" s="17" t="s">
        <v>800</v>
      </c>
      <c r="U1873" s="18" t="s">
        <v>5233</v>
      </c>
      <c r="V1873" s="17" t="s">
        <v>9418</v>
      </c>
      <c r="W1873" s="18" t="s">
        <v>5310</v>
      </c>
      <c r="X1873" s="69" t="s">
        <v>9453</v>
      </c>
      <c r="Y1873" s="70" t="s">
        <v>9463</v>
      </c>
      <c r="Z1873" s="73" t="s">
        <v>9486</v>
      </c>
      <c r="AA1873" s="74" t="s">
        <v>9504</v>
      </c>
      <c r="AB1873" s="73" t="s">
        <v>9486</v>
      </c>
      <c r="AC1873" s="74" t="s">
        <v>9562</v>
      </c>
      <c r="AD1873" s="73" t="s">
        <v>9578</v>
      </c>
      <c r="AE1873" s="74" t="s">
        <v>9579</v>
      </c>
    </row>
    <row r="1874" spans="1:31" ht="8.65" customHeight="1" x14ac:dyDescent="0.2">
      <c r="A1874" s="76">
        <v>1874</v>
      </c>
      <c r="B1874" s="67" t="str">
        <f>MID(C1874, FIND("Ifc.", C1874) + 4, 4) &amp; "_" &amp; TEXT(COUNTIF($C$2:C1874, C1874),"0000")</f>
        <v>Prop_1873</v>
      </c>
      <c r="C1874" s="24" t="s">
        <v>872</v>
      </c>
      <c r="D1874" s="69" t="s">
        <v>9453</v>
      </c>
      <c r="E1874" s="70" t="s">
        <v>9454</v>
      </c>
      <c r="F1874" s="17" t="s">
        <v>806</v>
      </c>
      <c r="G1874" s="22" t="s">
        <v>907</v>
      </c>
      <c r="H1874" s="12" t="s">
        <v>9703</v>
      </c>
      <c r="I1874" s="13" t="s">
        <v>907</v>
      </c>
      <c r="J1874" s="14" t="s">
        <v>798</v>
      </c>
      <c r="K1874" s="15" t="s">
        <v>798</v>
      </c>
      <c r="L1874" s="12" t="s">
        <v>5315</v>
      </c>
      <c r="M1874" s="13" t="s">
        <v>5579</v>
      </c>
      <c r="N1874" s="12" t="s">
        <v>803</v>
      </c>
      <c r="O1874" s="13" t="s">
        <v>5225</v>
      </c>
      <c r="P1874" s="17" t="s">
        <v>802</v>
      </c>
      <c r="Q1874" s="21" t="s">
        <v>7811</v>
      </c>
      <c r="R1874" s="17" t="s">
        <v>801</v>
      </c>
      <c r="S1874" s="18" t="s">
        <v>2554</v>
      </c>
      <c r="T1874" s="17" t="s">
        <v>800</v>
      </c>
      <c r="U1874" s="18" t="s">
        <v>5233</v>
      </c>
      <c r="V1874" s="17" t="s">
        <v>9418</v>
      </c>
      <c r="W1874" s="18" t="s">
        <v>5310</v>
      </c>
      <c r="X1874" s="69" t="s">
        <v>9453</v>
      </c>
      <c r="Y1874" s="70" t="s">
        <v>9463</v>
      </c>
      <c r="Z1874" s="73" t="s">
        <v>9486</v>
      </c>
      <c r="AA1874" s="74" t="s">
        <v>9504</v>
      </c>
      <c r="AB1874" s="73" t="s">
        <v>9486</v>
      </c>
      <c r="AC1874" s="74" t="s">
        <v>9562</v>
      </c>
      <c r="AD1874" s="73" t="s">
        <v>9578</v>
      </c>
      <c r="AE1874" s="74" t="s">
        <v>9579</v>
      </c>
    </row>
    <row r="1875" spans="1:31" ht="8.65" customHeight="1" x14ac:dyDescent="0.2">
      <c r="A1875" s="76">
        <v>1875</v>
      </c>
      <c r="B1875" s="67" t="str">
        <f>MID(C1875, FIND("Ifc.", C1875) + 4, 4) &amp; "_" &amp; TEXT(COUNTIF($C$2:C1875, C1875),"0000")</f>
        <v>Prop_1874</v>
      </c>
      <c r="C1875" s="24" t="s">
        <v>872</v>
      </c>
      <c r="D1875" s="69" t="s">
        <v>9453</v>
      </c>
      <c r="E1875" s="70" t="s">
        <v>9454</v>
      </c>
      <c r="F1875" s="17" t="s">
        <v>806</v>
      </c>
      <c r="G1875" s="22" t="s">
        <v>907</v>
      </c>
      <c r="H1875" s="12" t="s">
        <v>9703</v>
      </c>
      <c r="I1875" s="13" t="s">
        <v>907</v>
      </c>
      <c r="J1875" s="14" t="s">
        <v>798</v>
      </c>
      <c r="K1875" s="15" t="s">
        <v>798</v>
      </c>
      <c r="L1875" s="12" t="s">
        <v>5315</v>
      </c>
      <c r="M1875" s="13" t="s">
        <v>5580</v>
      </c>
      <c r="N1875" s="12" t="s">
        <v>803</v>
      </c>
      <c r="O1875" s="13" t="s">
        <v>5226</v>
      </c>
      <c r="P1875" s="17" t="s">
        <v>802</v>
      </c>
      <c r="Q1875" s="21" t="s">
        <v>7797</v>
      </c>
      <c r="R1875" s="17" t="s">
        <v>801</v>
      </c>
      <c r="S1875" s="18" t="s">
        <v>2554</v>
      </c>
      <c r="T1875" s="17" t="s">
        <v>800</v>
      </c>
      <c r="U1875" s="18" t="s">
        <v>5233</v>
      </c>
      <c r="V1875" s="17" t="s">
        <v>9418</v>
      </c>
      <c r="W1875" s="18" t="s">
        <v>5310</v>
      </c>
      <c r="X1875" s="69" t="s">
        <v>9453</v>
      </c>
      <c r="Y1875" s="70" t="s">
        <v>9463</v>
      </c>
      <c r="Z1875" s="73" t="s">
        <v>9486</v>
      </c>
      <c r="AA1875" s="74" t="s">
        <v>9504</v>
      </c>
      <c r="AB1875" s="73" t="s">
        <v>9486</v>
      </c>
      <c r="AC1875" s="74" t="s">
        <v>9562</v>
      </c>
      <c r="AD1875" s="73" t="s">
        <v>9578</v>
      </c>
      <c r="AE1875" s="74" t="s">
        <v>9579</v>
      </c>
    </row>
    <row r="1876" spans="1:31" ht="8.65" customHeight="1" x14ac:dyDescent="0.2">
      <c r="A1876" s="76">
        <v>1876</v>
      </c>
      <c r="B1876" s="67" t="str">
        <f>MID(C1876, FIND("Ifc.", C1876) + 4, 4) &amp; "_" &amp; TEXT(COUNTIF($C$2:C1876, C1876),"0000")</f>
        <v>Prop_1875</v>
      </c>
      <c r="C1876" s="24" t="s">
        <v>872</v>
      </c>
      <c r="D1876" s="69" t="s">
        <v>9453</v>
      </c>
      <c r="E1876" s="70" t="s">
        <v>9454</v>
      </c>
      <c r="F1876" s="17" t="s">
        <v>806</v>
      </c>
      <c r="G1876" s="22" t="s">
        <v>1503</v>
      </c>
      <c r="H1876" s="12" t="s">
        <v>9703</v>
      </c>
      <c r="I1876" s="13" t="s">
        <v>6346</v>
      </c>
      <c r="J1876" s="14" t="s">
        <v>798</v>
      </c>
      <c r="K1876" s="15" t="s">
        <v>798</v>
      </c>
      <c r="L1876" s="12" t="s">
        <v>5315</v>
      </c>
      <c r="M1876" s="13" t="s">
        <v>5829</v>
      </c>
      <c r="N1876" s="12" t="s">
        <v>803</v>
      </c>
      <c r="O1876" s="13" t="s">
        <v>4950</v>
      </c>
      <c r="P1876" s="17" t="s">
        <v>802</v>
      </c>
      <c r="Q1876" s="21" t="s">
        <v>7814</v>
      </c>
      <c r="R1876" s="17" t="s">
        <v>801</v>
      </c>
      <c r="S1876" s="18" t="s">
        <v>2554</v>
      </c>
      <c r="T1876" s="17" t="s">
        <v>800</v>
      </c>
      <c r="U1876" s="18" t="s">
        <v>5233</v>
      </c>
      <c r="V1876" s="17" t="s">
        <v>9418</v>
      </c>
      <c r="W1876" s="18" t="s">
        <v>5309</v>
      </c>
      <c r="X1876" s="69" t="s">
        <v>9453</v>
      </c>
      <c r="Y1876" s="70" t="s">
        <v>9462</v>
      </c>
      <c r="Z1876" s="73" t="s">
        <v>9486</v>
      </c>
      <c r="AA1876" s="74" t="s">
        <v>9504</v>
      </c>
      <c r="AB1876" s="73" t="s">
        <v>9486</v>
      </c>
      <c r="AC1876" s="74" t="s">
        <v>9562</v>
      </c>
      <c r="AD1876" s="73" t="s">
        <v>9578</v>
      </c>
      <c r="AE1876" s="74" t="s">
        <v>9579</v>
      </c>
    </row>
    <row r="1877" spans="1:31" ht="8.65" customHeight="1" x14ac:dyDescent="0.2">
      <c r="A1877" s="76">
        <v>1877</v>
      </c>
      <c r="B1877" s="67" t="str">
        <f>MID(C1877, FIND("Ifc.", C1877) + 4, 4) &amp; "_" &amp; TEXT(COUNTIF($C$2:C1877, C1877),"0000")</f>
        <v>Prop_1876</v>
      </c>
      <c r="C1877" s="24" t="s">
        <v>872</v>
      </c>
      <c r="D1877" s="69" t="s">
        <v>9453</v>
      </c>
      <c r="E1877" s="70" t="s">
        <v>9454</v>
      </c>
      <c r="F1877" s="17" t="s">
        <v>806</v>
      </c>
      <c r="G1877" s="22" t="s">
        <v>1503</v>
      </c>
      <c r="H1877" s="12" t="s">
        <v>9703</v>
      </c>
      <c r="I1877" s="13" t="s">
        <v>6346</v>
      </c>
      <c r="J1877" s="14" t="s">
        <v>798</v>
      </c>
      <c r="K1877" s="15" t="s">
        <v>798</v>
      </c>
      <c r="L1877" s="12" t="s">
        <v>5315</v>
      </c>
      <c r="M1877" s="13" t="s">
        <v>5828</v>
      </c>
      <c r="N1877" s="12" t="s">
        <v>803</v>
      </c>
      <c r="O1877" s="13" t="s">
        <v>4949</v>
      </c>
      <c r="P1877" s="17" t="s">
        <v>802</v>
      </c>
      <c r="Q1877" s="21" t="s">
        <v>7815</v>
      </c>
      <c r="R1877" s="17" t="s">
        <v>801</v>
      </c>
      <c r="S1877" s="18" t="s">
        <v>2554</v>
      </c>
      <c r="T1877" s="17" t="s">
        <v>800</v>
      </c>
      <c r="U1877" s="18" t="s">
        <v>5233</v>
      </c>
      <c r="V1877" s="17" t="s">
        <v>9418</v>
      </c>
      <c r="W1877" s="18" t="s">
        <v>5309</v>
      </c>
      <c r="X1877" s="69" t="s">
        <v>9453</v>
      </c>
      <c r="Y1877" s="70" t="s">
        <v>9462</v>
      </c>
      <c r="Z1877" s="73" t="s">
        <v>9486</v>
      </c>
      <c r="AA1877" s="74" t="s">
        <v>9504</v>
      </c>
      <c r="AB1877" s="73" t="s">
        <v>9486</v>
      </c>
      <c r="AC1877" s="74" t="s">
        <v>9562</v>
      </c>
      <c r="AD1877" s="73" t="s">
        <v>9578</v>
      </c>
      <c r="AE1877" s="74" t="s">
        <v>9579</v>
      </c>
    </row>
    <row r="1878" spans="1:31" ht="8.65" customHeight="1" x14ac:dyDescent="0.2">
      <c r="A1878" s="76">
        <v>1878</v>
      </c>
      <c r="B1878" s="67" t="str">
        <f>MID(C1878, FIND("Ifc.", C1878) + 4, 4) &amp; "_" &amp; TEXT(COUNTIF($C$2:C1878, C1878),"0000")</f>
        <v>Prop_1877</v>
      </c>
      <c r="C1878" s="24" t="s">
        <v>872</v>
      </c>
      <c r="D1878" s="69" t="s">
        <v>9453</v>
      </c>
      <c r="E1878" s="70" t="s">
        <v>9454</v>
      </c>
      <c r="F1878" s="17" t="s">
        <v>806</v>
      </c>
      <c r="G1878" s="22" t="s">
        <v>1502</v>
      </c>
      <c r="H1878" s="12" t="s">
        <v>9703</v>
      </c>
      <c r="I1878" s="13" t="s">
        <v>7277</v>
      </c>
      <c r="J1878" s="14" t="s">
        <v>798</v>
      </c>
      <c r="K1878" s="15" t="s">
        <v>798</v>
      </c>
      <c r="L1878" s="12" t="s">
        <v>5315</v>
      </c>
      <c r="M1878" s="13" t="s">
        <v>5828</v>
      </c>
      <c r="N1878" s="12" t="s">
        <v>803</v>
      </c>
      <c r="O1878" s="13" t="s">
        <v>4949</v>
      </c>
      <c r="P1878" s="17" t="s">
        <v>802</v>
      </c>
      <c r="Q1878" s="21" t="s">
        <v>7815</v>
      </c>
      <c r="R1878" s="17" t="s">
        <v>801</v>
      </c>
      <c r="S1878" s="18" t="s">
        <v>2554</v>
      </c>
      <c r="T1878" s="17" t="s">
        <v>800</v>
      </c>
      <c r="U1878" s="18" t="s">
        <v>5233</v>
      </c>
      <c r="V1878" s="17" t="s">
        <v>9418</v>
      </c>
      <c r="W1878" s="18" t="s">
        <v>5313</v>
      </c>
      <c r="X1878" s="69" t="s">
        <v>9453</v>
      </c>
      <c r="Y1878" s="70" t="s">
        <v>9467</v>
      </c>
      <c r="Z1878" s="73" t="s">
        <v>9486</v>
      </c>
      <c r="AA1878" s="74" t="s">
        <v>9504</v>
      </c>
      <c r="AB1878" s="73" t="s">
        <v>9486</v>
      </c>
      <c r="AC1878" s="74" t="s">
        <v>9562</v>
      </c>
      <c r="AD1878" s="73" t="s">
        <v>9578</v>
      </c>
      <c r="AE1878" s="74" t="s">
        <v>9579</v>
      </c>
    </row>
    <row r="1879" spans="1:31" ht="8.65" customHeight="1" x14ac:dyDescent="0.2">
      <c r="A1879" s="76">
        <v>1879</v>
      </c>
      <c r="B1879" s="67" t="str">
        <f>MID(C1879, FIND("Ifc.", C1879) + 4, 4) &amp; "_" &amp; TEXT(COUNTIF($C$2:C1879, C1879),"0000")</f>
        <v>Prop_1878</v>
      </c>
      <c r="C1879" s="24" t="s">
        <v>872</v>
      </c>
      <c r="D1879" s="69" t="s">
        <v>9453</v>
      </c>
      <c r="E1879" s="70" t="s">
        <v>9454</v>
      </c>
      <c r="F1879" s="17" t="s">
        <v>806</v>
      </c>
      <c r="G1879" s="22" t="s">
        <v>1501</v>
      </c>
      <c r="H1879" s="12" t="s">
        <v>9703</v>
      </c>
      <c r="I1879" s="13" t="s">
        <v>7278</v>
      </c>
      <c r="J1879" s="14" t="s">
        <v>798</v>
      </c>
      <c r="K1879" s="15" t="s">
        <v>798</v>
      </c>
      <c r="L1879" s="12" t="s">
        <v>5315</v>
      </c>
      <c r="M1879" s="13" t="s">
        <v>5828</v>
      </c>
      <c r="N1879" s="12" t="s">
        <v>803</v>
      </c>
      <c r="O1879" s="13" t="s">
        <v>4949</v>
      </c>
      <c r="P1879" s="17" t="s">
        <v>802</v>
      </c>
      <c r="Q1879" s="21" t="s">
        <v>7815</v>
      </c>
      <c r="R1879" s="17" t="s">
        <v>801</v>
      </c>
      <c r="S1879" s="18" t="s">
        <v>2554</v>
      </c>
      <c r="T1879" s="17" t="s">
        <v>800</v>
      </c>
      <c r="U1879" s="18" t="s">
        <v>5233</v>
      </c>
      <c r="V1879" s="17" t="s">
        <v>9418</v>
      </c>
      <c r="W1879" s="18" t="s">
        <v>5313</v>
      </c>
      <c r="X1879" s="69" t="s">
        <v>9453</v>
      </c>
      <c r="Y1879" s="70" t="s">
        <v>9467</v>
      </c>
      <c r="Z1879" s="73" t="s">
        <v>9486</v>
      </c>
      <c r="AA1879" s="74" t="s">
        <v>9504</v>
      </c>
      <c r="AB1879" s="73" t="s">
        <v>9486</v>
      </c>
      <c r="AC1879" s="74" t="s">
        <v>9562</v>
      </c>
      <c r="AD1879" s="73" t="s">
        <v>9578</v>
      </c>
      <c r="AE1879" s="74" t="s">
        <v>9579</v>
      </c>
    </row>
    <row r="1880" spans="1:31" ht="8.65" customHeight="1" x14ac:dyDescent="0.2">
      <c r="A1880" s="76">
        <v>1880</v>
      </c>
      <c r="B1880" s="67" t="str">
        <f>MID(C1880, FIND("Ifc.", C1880) + 4, 4) &amp; "_" &amp; TEXT(COUNTIF($C$2:C1880, C1880),"0000")</f>
        <v>Prop_1879</v>
      </c>
      <c r="C1880" s="24" t="s">
        <v>872</v>
      </c>
      <c r="D1880" s="69" t="s">
        <v>9453</v>
      </c>
      <c r="E1880" s="70" t="s">
        <v>9454</v>
      </c>
      <c r="F1880" s="17" t="s">
        <v>806</v>
      </c>
      <c r="G1880" s="22" t="s">
        <v>2207</v>
      </c>
      <c r="H1880" s="12" t="s">
        <v>9703</v>
      </c>
      <c r="I1880" s="13" t="s">
        <v>6945</v>
      </c>
      <c r="J1880" s="14" t="s">
        <v>798</v>
      </c>
      <c r="K1880" s="15" t="s">
        <v>798</v>
      </c>
      <c r="L1880" s="12" t="s">
        <v>5315</v>
      </c>
      <c r="M1880" s="13" t="s">
        <v>5507</v>
      </c>
      <c r="N1880" s="12" t="s">
        <v>803</v>
      </c>
      <c r="O1880" s="13" t="s">
        <v>5120</v>
      </c>
      <c r="P1880" s="17" t="s">
        <v>802</v>
      </c>
      <c r="Q1880" s="21" t="s">
        <v>7693</v>
      </c>
      <c r="R1880" s="17" t="s">
        <v>801</v>
      </c>
      <c r="S1880" s="18" t="s">
        <v>2554</v>
      </c>
      <c r="T1880" s="17" t="s">
        <v>800</v>
      </c>
      <c r="U1880" s="18" t="s">
        <v>5233</v>
      </c>
      <c r="V1880" s="17" t="s">
        <v>9418</v>
      </c>
      <c r="W1880" s="18" t="s">
        <v>5309</v>
      </c>
      <c r="X1880" s="69" t="s">
        <v>9453</v>
      </c>
      <c r="Y1880" s="70" t="s">
        <v>9462</v>
      </c>
      <c r="Z1880" s="73" t="s">
        <v>9486</v>
      </c>
      <c r="AA1880" s="74" t="s">
        <v>9504</v>
      </c>
      <c r="AB1880" s="73" t="s">
        <v>9486</v>
      </c>
      <c r="AC1880" s="74" t="s">
        <v>9562</v>
      </c>
      <c r="AD1880" s="73" t="s">
        <v>9578</v>
      </c>
      <c r="AE1880" s="74" t="s">
        <v>9579</v>
      </c>
    </row>
    <row r="1881" spans="1:31" ht="8.65" customHeight="1" x14ac:dyDescent="0.2">
      <c r="A1881" s="76">
        <v>1881</v>
      </c>
      <c r="B1881" s="67" t="str">
        <f>MID(C1881, FIND("Ifc.", C1881) + 4, 4) &amp; "_" &amp; TEXT(COUNTIF($C$2:C1881, C1881),"0000")</f>
        <v>Prop_1880</v>
      </c>
      <c r="C1881" s="24" t="s">
        <v>872</v>
      </c>
      <c r="D1881" s="69" t="s">
        <v>9453</v>
      </c>
      <c r="E1881" s="70" t="s">
        <v>9454</v>
      </c>
      <c r="F1881" s="17" t="s">
        <v>806</v>
      </c>
      <c r="G1881" s="22" t="s">
        <v>2208</v>
      </c>
      <c r="H1881" s="12" t="s">
        <v>9703</v>
      </c>
      <c r="I1881" s="13" t="s">
        <v>6946</v>
      </c>
      <c r="J1881" s="14" t="s">
        <v>798</v>
      </c>
      <c r="K1881" s="15" t="s">
        <v>798</v>
      </c>
      <c r="L1881" s="12" t="s">
        <v>5315</v>
      </c>
      <c r="M1881" s="13" t="s">
        <v>5507</v>
      </c>
      <c r="N1881" s="12" t="s">
        <v>803</v>
      </c>
      <c r="O1881" s="13" t="s">
        <v>5120</v>
      </c>
      <c r="P1881" s="17" t="s">
        <v>802</v>
      </c>
      <c r="Q1881" s="21" t="s">
        <v>7693</v>
      </c>
      <c r="R1881" s="17" t="s">
        <v>801</v>
      </c>
      <c r="S1881" s="18" t="s">
        <v>2554</v>
      </c>
      <c r="T1881" s="17" t="s">
        <v>800</v>
      </c>
      <c r="U1881" s="18" t="s">
        <v>5233</v>
      </c>
      <c r="V1881" s="17" t="s">
        <v>9418</v>
      </c>
      <c r="W1881" s="18" t="s">
        <v>5309</v>
      </c>
      <c r="X1881" s="69" t="s">
        <v>9453</v>
      </c>
      <c r="Y1881" s="70" t="s">
        <v>9462</v>
      </c>
      <c r="Z1881" s="73" t="s">
        <v>9486</v>
      </c>
      <c r="AA1881" s="74" t="s">
        <v>9504</v>
      </c>
      <c r="AB1881" s="73" t="s">
        <v>9486</v>
      </c>
      <c r="AC1881" s="74" t="s">
        <v>9562</v>
      </c>
      <c r="AD1881" s="73" t="s">
        <v>9578</v>
      </c>
      <c r="AE1881" s="74" t="s">
        <v>9579</v>
      </c>
    </row>
    <row r="1882" spans="1:31" ht="8.65" customHeight="1" x14ac:dyDescent="0.2">
      <c r="A1882" s="76">
        <v>1882</v>
      </c>
      <c r="B1882" s="67" t="str">
        <f>MID(C1882, FIND("Ifc.", C1882) + 4, 4) &amp; "_" &amp; TEXT(COUNTIF($C$2:C1882, C1882),"0000")</f>
        <v>Prop_1881</v>
      </c>
      <c r="C1882" s="24" t="s">
        <v>872</v>
      </c>
      <c r="D1882" s="69" t="s">
        <v>9453</v>
      </c>
      <c r="E1882" s="70" t="s">
        <v>9454</v>
      </c>
      <c r="F1882" s="17" t="s">
        <v>806</v>
      </c>
      <c r="G1882" s="22" t="s">
        <v>2249</v>
      </c>
      <c r="H1882" s="12" t="s">
        <v>9703</v>
      </c>
      <c r="I1882" s="13" t="s">
        <v>6695</v>
      </c>
      <c r="J1882" s="14" t="s">
        <v>798</v>
      </c>
      <c r="K1882" s="15" t="s">
        <v>798</v>
      </c>
      <c r="L1882" s="12" t="s">
        <v>5315</v>
      </c>
      <c r="M1882" s="13" t="s">
        <v>5525</v>
      </c>
      <c r="N1882" s="12" t="s">
        <v>803</v>
      </c>
      <c r="O1882" s="13" t="s">
        <v>5140</v>
      </c>
      <c r="P1882" s="17" t="s">
        <v>802</v>
      </c>
      <c r="Q1882" s="21" t="s">
        <v>8053</v>
      </c>
      <c r="R1882" s="17" t="s">
        <v>801</v>
      </c>
      <c r="S1882" s="18" t="s">
        <v>2554</v>
      </c>
      <c r="T1882" s="17" t="s">
        <v>800</v>
      </c>
      <c r="U1882" s="18" t="s">
        <v>5233</v>
      </c>
      <c r="V1882" s="17" t="s">
        <v>9418</v>
      </c>
      <c r="W1882" s="18" t="s">
        <v>5309</v>
      </c>
      <c r="X1882" s="69" t="s">
        <v>9453</v>
      </c>
      <c r="Y1882" s="70" t="s">
        <v>9462</v>
      </c>
      <c r="Z1882" s="73" t="s">
        <v>9486</v>
      </c>
      <c r="AA1882" s="74" t="s">
        <v>9504</v>
      </c>
      <c r="AB1882" s="73" t="s">
        <v>9486</v>
      </c>
      <c r="AC1882" s="74" t="s">
        <v>9562</v>
      </c>
      <c r="AD1882" s="73" t="s">
        <v>9578</v>
      </c>
      <c r="AE1882" s="74" t="s">
        <v>9579</v>
      </c>
    </row>
    <row r="1883" spans="1:31" ht="8.65" customHeight="1" x14ac:dyDescent="0.2">
      <c r="A1883" s="76">
        <v>1883</v>
      </c>
      <c r="B1883" s="67" t="str">
        <f>MID(C1883, FIND("Ifc.", C1883) + 4, 4) &amp; "_" &amp; TEXT(COUNTIF($C$2:C1883, C1883),"0000")</f>
        <v>Prop_1882</v>
      </c>
      <c r="C1883" s="24" t="s">
        <v>872</v>
      </c>
      <c r="D1883" s="69" t="s">
        <v>9453</v>
      </c>
      <c r="E1883" s="70" t="s">
        <v>9454</v>
      </c>
      <c r="F1883" s="17" t="s">
        <v>806</v>
      </c>
      <c r="G1883" s="22" t="s">
        <v>1021</v>
      </c>
      <c r="H1883" s="12" t="s">
        <v>9703</v>
      </c>
      <c r="I1883" s="13" t="s">
        <v>6128</v>
      </c>
      <c r="J1883" s="14" t="s">
        <v>798</v>
      </c>
      <c r="K1883" s="15" t="s">
        <v>798</v>
      </c>
      <c r="L1883" s="12" t="s">
        <v>5315</v>
      </c>
      <c r="M1883" s="13" t="s">
        <v>5379</v>
      </c>
      <c r="N1883" s="12" t="s">
        <v>803</v>
      </c>
      <c r="O1883" s="13" t="s">
        <v>4836</v>
      </c>
      <c r="P1883" s="17" t="s">
        <v>802</v>
      </c>
      <c r="Q1883" s="21" t="s">
        <v>7739</v>
      </c>
      <c r="R1883" s="17" t="s">
        <v>801</v>
      </c>
      <c r="S1883" s="18" t="s">
        <v>2560</v>
      </c>
      <c r="T1883" s="17" t="s">
        <v>800</v>
      </c>
      <c r="U1883" s="18" t="s">
        <v>5236</v>
      </c>
      <c r="V1883" s="17" t="s">
        <v>9418</v>
      </c>
      <c r="W1883" s="18" t="s">
        <v>5309</v>
      </c>
      <c r="X1883" s="69" t="s">
        <v>9453</v>
      </c>
      <c r="Y1883" s="70" t="s">
        <v>9462</v>
      </c>
      <c r="Z1883" s="73" t="s">
        <v>9486</v>
      </c>
      <c r="AA1883" s="74" t="s">
        <v>9504</v>
      </c>
      <c r="AB1883" s="73" t="s">
        <v>9486</v>
      </c>
      <c r="AC1883" s="74" t="s">
        <v>9562</v>
      </c>
      <c r="AD1883" s="73" t="s">
        <v>9578</v>
      </c>
      <c r="AE1883" s="74" t="s">
        <v>9579</v>
      </c>
    </row>
    <row r="1884" spans="1:31" ht="8.65" customHeight="1" x14ac:dyDescent="0.2">
      <c r="A1884" s="76">
        <v>1884</v>
      </c>
      <c r="B1884" s="67" t="str">
        <f>MID(C1884, FIND("Ifc.", C1884) + 4, 4) &amp; "_" &amp; TEXT(COUNTIF($C$2:C1884, C1884),"0000")</f>
        <v>Prop_1883</v>
      </c>
      <c r="C1884" s="24" t="s">
        <v>872</v>
      </c>
      <c r="D1884" s="69" t="s">
        <v>9453</v>
      </c>
      <c r="E1884" s="70" t="s">
        <v>9454</v>
      </c>
      <c r="F1884" s="17" t="s">
        <v>806</v>
      </c>
      <c r="G1884" s="22" t="s">
        <v>1328</v>
      </c>
      <c r="H1884" s="12" t="s">
        <v>9703</v>
      </c>
      <c r="I1884" s="13" t="s">
        <v>6189</v>
      </c>
      <c r="J1884" s="14" t="s">
        <v>798</v>
      </c>
      <c r="K1884" s="15" t="s">
        <v>798</v>
      </c>
      <c r="L1884" s="12" t="s">
        <v>5315</v>
      </c>
      <c r="M1884" s="13" t="s">
        <v>5979</v>
      </c>
      <c r="N1884" s="12" t="s">
        <v>803</v>
      </c>
      <c r="O1884" s="13" t="s">
        <v>5094</v>
      </c>
      <c r="P1884" s="17" t="s">
        <v>802</v>
      </c>
      <c r="Q1884" s="21" t="s">
        <v>7876</v>
      </c>
      <c r="R1884" s="17" t="s">
        <v>801</v>
      </c>
      <c r="S1884" s="18" t="s">
        <v>2554</v>
      </c>
      <c r="T1884" s="17" t="s">
        <v>800</v>
      </c>
      <c r="U1884" s="18" t="s">
        <v>5233</v>
      </c>
      <c r="V1884" s="17" t="s">
        <v>9418</v>
      </c>
      <c r="W1884" s="18" t="s">
        <v>5309</v>
      </c>
      <c r="X1884" s="69" t="s">
        <v>9453</v>
      </c>
      <c r="Y1884" s="70" t="s">
        <v>9462</v>
      </c>
      <c r="Z1884" s="73" t="s">
        <v>9486</v>
      </c>
      <c r="AA1884" s="74" t="s">
        <v>9504</v>
      </c>
      <c r="AB1884" s="73" t="s">
        <v>9486</v>
      </c>
      <c r="AC1884" s="74" t="s">
        <v>9562</v>
      </c>
      <c r="AD1884" s="73" t="s">
        <v>9578</v>
      </c>
      <c r="AE1884" s="74" t="s">
        <v>9579</v>
      </c>
    </row>
    <row r="1885" spans="1:31" ht="8.65" customHeight="1" x14ac:dyDescent="0.2">
      <c r="A1885" s="76">
        <v>1885</v>
      </c>
      <c r="B1885" s="67" t="str">
        <f>MID(C1885, FIND("Ifc.", C1885) + 4, 4) &amp; "_" &amp; TEXT(COUNTIF($C$2:C1885, C1885),"0000")</f>
        <v>Prop_1884</v>
      </c>
      <c r="C1885" s="24" t="s">
        <v>872</v>
      </c>
      <c r="D1885" s="69" t="s">
        <v>9453</v>
      </c>
      <c r="E1885" s="70" t="s">
        <v>9454</v>
      </c>
      <c r="F1885" s="17" t="s">
        <v>806</v>
      </c>
      <c r="G1885" s="22" t="s">
        <v>2087</v>
      </c>
      <c r="H1885" s="12" t="s">
        <v>9703</v>
      </c>
      <c r="I1885" s="13" t="s">
        <v>6189</v>
      </c>
      <c r="J1885" s="14" t="s">
        <v>798</v>
      </c>
      <c r="K1885" s="15" t="s">
        <v>798</v>
      </c>
      <c r="L1885" s="12" t="s">
        <v>5315</v>
      </c>
      <c r="M1885" s="13" t="s">
        <v>5488</v>
      </c>
      <c r="N1885" s="12" t="s">
        <v>803</v>
      </c>
      <c r="O1885" s="13" t="s">
        <v>5096</v>
      </c>
      <c r="P1885" s="17" t="s">
        <v>802</v>
      </c>
      <c r="Q1885" s="21" t="s">
        <v>7886</v>
      </c>
      <c r="R1885" s="17" t="s">
        <v>801</v>
      </c>
      <c r="S1885" s="18" t="s">
        <v>2554</v>
      </c>
      <c r="T1885" s="17" t="s">
        <v>800</v>
      </c>
      <c r="U1885" s="18" t="s">
        <v>5233</v>
      </c>
      <c r="V1885" s="17" t="s">
        <v>9418</v>
      </c>
      <c r="W1885" s="18" t="s">
        <v>5309</v>
      </c>
      <c r="X1885" s="69" t="s">
        <v>9453</v>
      </c>
      <c r="Y1885" s="70" t="s">
        <v>9462</v>
      </c>
      <c r="Z1885" s="73" t="s">
        <v>9486</v>
      </c>
      <c r="AA1885" s="74" t="s">
        <v>9504</v>
      </c>
      <c r="AB1885" s="73" t="s">
        <v>9486</v>
      </c>
      <c r="AC1885" s="74" t="s">
        <v>9562</v>
      </c>
      <c r="AD1885" s="73" t="s">
        <v>9578</v>
      </c>
      <c r="AE1885" s="74" t="s">
        <v>9579</v>
      </c>
    </row>
    <row r="1886" spans="1:31" ht="8.65" customHeight="1" x14ac:dyDescent="0.2">
      <c r="A1886" s="76">
        <v>1886</v>
      </c>
      <c r="B1886" s="67" t="str">
        <f>MID(C1886, FIND("Ifc.", C1886) + 4, 4) &amp; "_" &amp; TEXT(COUNTIF($C$2:C1886, C1886),"0000")</f>
        <v>Prop_1885</v>
      </c>
      <c r="C1886" s="24" t="s">
        <v>872</v>
      </c>
      <c r="D1886" s="69" t="s">
        <v>9453</v>
      </c>
      <c r="E1886" s="70" t="s">
        <v>9454</v>
      </c>
      <c r="F1886" s="17" t="s">
        <v>806</v>
      </c>
      <c r="G1886" s="22" t="s">
        <v>1328</v>
      </c>
      <c r="H1886" s="12" t="s">
        <v>9703</v>
      </c>
      <c r="I1886" s="13" t="s">
        <v>6189</v>
      </c>
      <c r="J1886" s="14" t="s">
        <v>798</v>
      </c>
      <c r="K1886" s="15" t="s">
        <v>798</v>
      </c>
      <c r="L1886" s="12" t="s">
        <v>5315</v>
      </c>
      <c r="M1886" s="13" t="s">
        <v>5413</v>
      </c>
      <c r="N1886" s="12" t="s">
        <v>803</v>
      </c>
      <c r="O1886" s="13" t="s">
        <v>4911</v>
      </c>
      <c r="P1886" s="17" t="s">
        <v>802</v>
      </c>
      <c r="Q1886" s="21" t="s">
        <v>7714</v>
      </c>
      <c r="R1886" s="17" t="s">
        <v>801</v>
      </c>
      <c r="S1886" s="18" t="s">
        <v>2554</v>
      </c>
      <c r="T1886" s="17" t="s">
        <v>800</v>
      </c>
      <c r="U1886" s="18" t="s">
        <v>5233</v>
      </c>
      <c r="V1886" s="17" t="s">
        <v>9418</v>
      </c>
      <c r="W1886" s="18" t="s">
        <v>5309</v>
      </c>
      <c r="X1886" s="69" t="s">
        <v>9453</v>
      </c>
      <c r="Y1886" s="70" t="s">
        <v>9462</v>
      </c>
      <c r="Z1886" s="73" t="s">
        <v>9486</v>
      </c>
      <c r="AA1886" s="74" t="s">
        <v>9504</v>
      </c>
      <c r="AB1886" s="73" t="s">
        <v>9486</v>
      </c>
      <c r="AC1886" s="74" t="s">
        <v>9562</v>
      </c>
      <c r="AD1886" s="73" t="s">
        <v>9578</v>
      </c>
      <c r="AE1886" s="74" t="s">
        <v>9579</v>
      </c>
    </row>
    <row r="1887" spans="1:31" ht="8.65" customHeight="1" x14ac:dyDescent="0.2">
      <c r="A1887" s="76">
        <v>1887</v>
      </c>
      <c r="B1887" s="67" t="str">
        <f>MID(C1887, FIND("Ifc.", C1887) + 4, 4) &amp; "_" &amp; TEXT(COUNTIF($C$2:C1887, C1887),"0000")</f>
        <v>Prop_1886</v>
      </c>
      <c r="C1887" s="24" t="s">
        <v>872</v>
      </c>
      <c r="D1887" s="69" t="s">
        <v>9453</v>
      </c>
      <c r="E1887" s="70" t="s">
        <v>9454</v>
      </c>
      <c r="F1887" s="17" t="s">
        <v>806</v>
      </c>
      <c r="G1887" s="22" t="s">
        <v>1574</v>
      </c>
      <c r="H1887" s="12" t="s">
        <v>9703</v>
      </c>
      <c r="I1887" s="13" t="s">
        <v>7154</v>
      </c>
      <c r="J1887" s="14" t="s">
        <v>798</v>
      </c>
      <c r="K1887" s="15" t="s">
        <v>798</v>
      </c>
      <c r="L1887" s="12" t="s">
        <v>5315</v>
      </c>
      <c r="M1887" s="13" t="s">
        <v>5895</v>
      </c>
      <c r="N1887" s="12" t="s">
        <v>803</v>
      </c>
      <c r="O1887" s="13" t="s">
        <v>4964</v>
      </c>
      <c r="P1887" s="17" t="s">
        <v>802</v>
      </c>
      <c r="Q1887" s="21" t="s">
        <v>7916</v>
      </c>
      <c r="R1887" s="17" t="s">
        <v>801</v>
      </c>
      <c r="S1887" s="18" t="s">
        <v>3636</v>
      </c>
      <c r="T1887" s="17" t="s">
        <v>800</v>
      </c>
      <c r="U1887" s="18" t="s">
        <v>5257</v>
      </c>
      <c r="V1887" s="17" t="s">
        <v>9418</v>
      </c>
      <c r="W1887" s="18" t="s">
        <v>5314</v>
      </c>
      <c r="X1887" s="69" t="s">
        <v>9453</v>
      </c>
      <c r="Y1887" s="70" t="s">
        <v>9464</v>
      </c>
      <c r="Z1887" s="73" t="s">
        <v>9486</v>
      </c>
      <c r="AA1887" s="74" t="s">
        <v>9504</v>
      </c>
      <c r="AB1887" s="73" t="s">
        <v>9486</v>
      </c>
      <c r="AC1887" s="74" t="s">
        <v>9561</v>
      </c>
      <c r="AD1887" s="73" t="s">
        <v>9578</v>
      </c>
      <c r="AE1887" s="74" t="s">
        <v>9579</v>
      </c>
    </row>
    <row r="1888" spans="1:31" ht="8.65" customHeight="1" x14ac:dyDescent="0.2">
      <c r="A1888" s="76">
        <v>1888</v>
      </c>
      <c r="B1888" s="67" t="str">
        <f>MID(C1888, FIND("Ifc.", C1888) + 4, 4) &amp; "_" &amp; TEXT(COUNTIF($C$2:C1888, C1888),"0000")</f>
        <v>Prop_1887</v>
      </c>
      <c r="C1888" s="24" t="s">
        <v>872</v>
      </c>
      <c r="D1888" s="69" t="s">
        <v>9453</v>
      </c>
      <c r="E1888" s="70" t="s">
        <v>9454</v>
      </c>
      <c r="F1888" s="17" t="s">
        <v>806</v>
      </c>
      <c r="G1888" s="22" t="s">
        <v>1578</v>
      </c>
      <c r="H1888" s="12" t="s">
        <v>9703</v>
      </c>
      <c r="I1888" s="13" t="s">
        <v>6418</v>
      </c>
      <c r="J1888" s="14" t="s">
        <v>798</v>
      </c>
      <c r="K1888" s="15" t="s">
        <v>798</v>
      </c>
      <c r="L1888" s="12" t="s">
        <v>5315</v>
      </c>
      <c r="M1888" s="13" t="s">
        <v>5895</v>
      </c>
      <c r="N1888" s="12" t="s">
        <v>803</v>
      </c>
      <c r="O1888" s="13" t="s">
        <v>4964</v>
      </c>
      <c r="P1888" s="17" t="s">
        <v>802</v>
      </c>
      <c r="Q1888" s="21" t="s">
        <v>7916</v>
      </c>
      <c r="R1888" s="17" t="s">
        <v>801</v>
      </c>
      <c r="S1888" s="18" t="s">
        <v>3636</v>
      </c>
      <c r="T1888" s="17" t="s">
        <v>800</v>
      </c>
      <c r="U1888" s="18" t="s">
        <v>5257</v>
      </c>
      <c r="V1888" s="17" t="s">
        <v>9418</v>
      </c>
      <c r="W1888" s="18" t="s">
        <v>5314</v>
      </c>
      <c r="X1888" s="69" t="s">
        <v>9453</v>
      </c>
      <c r="Y1888" s="70" t="s">
        <v>9464</v>
      </c>
      <c r="Z1888" s="73" t="s">
        <v>9486</v>
      </c>
      <c r="AA1888" s="74" t="s">
        <v>9504</v>
      </c>
      <c r="AB1888" s="73" t="s">
        <v>9486</v>
      </c>
      <c r="AC1888" s="74" t="s">
        <v>9561</v>
      </c>
      <c r="AD1888" s="73" t="s">
        <v>9578</v>
      </c>
      <c r="AE1888" s="74" t="s">
        <v>9579</v>
      </c>
    </row>
    <row r="1889" spans="1:31" ht="8.65" customHeight="1" x14ac:dyDescent="0.2">
      <c r="A1889" s="76">
        <v>1889</v>
      </c>
      <c r="B1889" s="67" t="str">
        <f>MID(C1889, FIND("Ifc.", C1889) + 4, 4) &amp; "_" &amp; TEXT(COUNTIF($C$2:C1889, C1889),"0000")</f>
        <v>Prop_1888</v>
      </c>
      <c r="C1889" s="24" t="s">
        <v>872</v>
      </c>
      <c r="D1889" s="69" t="s">
        <v>9453</v>
      </c>
      <c r="E1889" s="70" t="s">
        <v>9454</v>
      </c>
      <c r="F1889" s="17" t="s">
        <v>806</v>
      </c>
      <c r="G1889" s="22" t="s">
        <v>2196</v>
      </c>
      <c r="H1889" s="12" t="s">
        <v>9703</v>
      </c>
      <c r="I1889" s="13" t="s">
        <v>6673</v>
      </c>
      <c r="J1889" s="14" t="s">
        <v>798</v>
      </c>
      <c r="K1889" s="15" t="s">
        <v>798</v>
      </c>
      <c r="L1889" s="12" t="s">
        <v>5315</v>
      </c>
      <c r="M1889" s="13" t="s">
        <v>5505</v>
      </c>
      <c r="N1889" s="12" t="s">
        <v>803</v>
      </c>
      <c r="O1889" s="13" t="s">
        <v>5118</v>
      </c>
      <c r="P1889" s="17" t="s">
        <v>802</v>
      </c>
      <c r="Q1889" s="21" t="s">
        <v>7761</v>
      </c>
      <c r="R1889" s="17" t="s">
        <v>801</v>
      </c>
      <c r="S1889" s="18" t="s">
        <v>2638</v>
      </c>
      <c r="T1889" s="17" t="s">
        <v>800</v>
      </c>
      <c r="U1889" s="18" t="s">
        <v>5254</v>
      </c>
      <c r="V1889" s="17" t="s">
        <v>9418</v>
      </c>
      <c r="W1889" s="18" t="s">
        <v>5311</v>
      </c>
      <c r="X1889" s="69" t="s">
        <v>9453</v>
      </c>
      <c r="Y1889" s="70" t="s">
        <v>9466</v>
      </c>
      <c r="Z1889" s="73" t="s">
        <v>9486</v>
      </c>
      <c r="AA1889" s="74" t="s">
        <v>9504</v>
      </c>
      <c r="AB1889" s="73" t="s">
        <v>9486</v>
      </c>
      <c r="AC1889" s="74" t="s">
        <v>9566</v>
      </c>
      <c r="AD1889" s="73" t="s">
        <v>9578</v>
      </c>
      <c r="AE1889" s="74" t="s">
        <v>9579</v>
      </c>
    </row>
    <row r="1890" spans="1:31" ht="8.65" customHeight="1" x14ac:dyDescent="0.2">
      <c r="A1890" s="76">
        <v>1890</v>
      </c>
      <c r="B1890" s="67" t="str">
        <f>MID(C1890, FIND("Ifc.", C1890) + 4, 4) &amp; "_" &amp; TEXT(COUNTIF($C$2:C1890, C1890),"0000")</f>
        <v>Prop_1889</v>
      </c>
      <c r="C1890" s="24" t="s">
        <v>872</v>
      </c>
      <c r="D1890" s="69" t="s">
        <v>9453</v>
      </c>
      <c r="E1890" s="70" t="s">
        <v>9454</v>
      </c>
      <c r="F1890" s="17" t="s">
        <v>806</v>
      </c>
      <c r="G1890" s="22" t="s">
        <v>1527</v>
      </c>
      <c r="H1890" s="12" t="s">
        <v>9703</v>
      </c>
      <c r="I1890" s="13" t="s">
        <v>7079</v>
      </c>
      <c r="J1890" s="14" t="s">
        <v>798</v>
      </c>
      <c r="K1890" s="15" t="s">
        <v>798</v>
      </c>
      <c r="L1890" s="12" t="s">
        <v>5315</v>
      </c>
      <c r="M1890" s="13" t="s">
        <v>5816</v>
      </c>
      <c r="N1890" s="12" t="s">
        <v>803</v>
      </c>
      <c r="O1890" s="13" t="s">
        <v>4955</v>
      </c>
      <c r="P1890" s="17" t="s">
        <v>802</v>
      </c>
      <c r="Q1890" s="21" t="s">
        <v>7694</v>
      </c>
      <c r="R1890" s="17" t="s">
        <v>801</v>
      </c>
      <c r="S1890" s="18" t="s">
        <v>2585</v>
      </c>
      <c r="T1890" s="17" t="s">
        <v>800</v>
      </c>
      <c r="U1890" s="18" t="s">
        <v>5238</v>
      </c>
      <c r="V1890" s="17" t="s">
        <v>9418</v>
      </c>
      <c r="W1890" s="18" t="s">
        <v>5309</v>
      </c>
      <c r="X1890" s="69" t="s">
        <v>9453</v>
      </c>
      <c r="Y1890" s="70" t="s">
        <v>9462</v>
      </c>
      <c r="Z1890" s="73" t="s">
        <v>9486</v>
      </c>
      <c r="AA1890" s="74" t="s">
        <v>9504</v>
      </c>
      <c r="AB1890" s="73" t="s">
        <v>9486</v>
      </c>
      <c r="AC1890" s="74" t="s">
        <v>9566</v>
      </c>
      <c r="AD1890" s="73" t="s">
        <v>9578</v>
      </c>
      <c r="AE1890" s="74" t="s">
        <v>9579</v>
      </c>
    </row>
    <row r="1891" spans="1:31" ht="8.65" customHeight="1" x14ac:dyDescent="0.2">
      <c r="A1891" s="76">
        <v>1891</v>
      </c>
      <c r="B1891" s="67" t="str">
        <f>MID(C1891, FIND("Ifc.", C1891) + 4, 4) &amp; "_" &amp; TEXT(COUNTIF($C$2:C1891, C1891),"0000")</f>
        <v>Prop_1890</v>
      </c>
      <c r="C1891" s="24" t="s">
        <v>872</v>
      </c>
      <c r="D1891" s="69" t="s">
        <v>9453</v>
      </c>
      <c r="E1891" s="70" t="s">
        <v>9454</v>
      </c>
      <c r="F1891" s="17" t="s">
        <v>806</v>
      </c>
      <c r="G1891" s="22" t="s">
        <v>2451</v>
      </c>
      <c r="H1891" s="12" t="s">
        <v>9703</v>
      </c>
      <c r="I1891" s="13" t="s">
        <v>7085</v>
      </c>
      <c r="J1891" s="14" t="s">
        <v>798</v>
      </c>
      <c r="K1891" s="15" t="s">
        <v>798</v>
      </c>
      <c r="L1891" s="12" t="s">
        <v>5315</v>
      </c>
      <c r="M1891" s="13" t="s">
        <v>6009</v>
      </c>
      <c r="N1891" s="12" t="s">
        <v>803</v>
      </c>
      <c r="O1891" s="13" t="s">
        <v>5207</v>
      </c>
      <c r="P1891" s="17" t="s">
        <v>802</v>
      </c>
      <c r="Q1891" s="21" t="s">
        <v>8015</v>
      </c>
      <c r="R1891" s="17" t="s">
        <v>801</v>
      </c>
      <c r="S1891" s="18" t="s">
        <v>2585</v>
      </c>
      <c r="T1891" s="17" t="s">
        <v>800</v>
      </c>
      <c r="U1891" s="18" t="s">
        <v>5238</v>
      </c>
      <c r="V1891" s="17" t="s">
        <v>9418</v>
      </c>
      <c r="W1891" s="18" t="s">
        <v>5309</v>
      </c>
      <c r="X1891" s="69" t="s">
        <v>9453</v>
      </c>
      <c r="Y1891" s="70" t="s">
        <v>9462</v>
      </c>
      <c r="Z1891" s="73" t="s">
        <v>9486</v>
      </c>
      <c r="AA1891" s="74" t="s">
        <v>9504</v>
      </c>
      <c r="AB1891" s="73" t="s">
        <v>9486</v>
      </c>
      <c r="AC1891" s="74" t="s">
        <v>9566</v>
      </c>
      <c r="AD1891" s="73" t="s">
        <v>9578</v>
      </c>
      <c r="AE1891" s="74" t="s">
        <v>9579</v>
      </c>
    </row>
    <row r="1892" spans="1:31" ht="8.65" customHeight="1" x14ac:dyDescent="0.2">
      <c r="A1892" s="76">
        <v>1892</v>
      </c>
      <c r="B1892" s="67" t="str">
        <f>MID(C1892, FIND("Ifc.", C1892) + 4, 4) &amp; "_" &amp; TEXT(COUNTIF($C$2:C1892, C1892),"0000")</f>
        <v>Prop_1891</v>
      </c>
      <c r="C1892" s="24" t="s">
        <v>872</v>
      </c>
      <c r="D1892" s="69" t="s">
        <v>9453</v>
      </c>
      <c r="E1892" s="70" t="s">
        <v>9454</v>
      </c>
      <c r="F1892" s="17" t="s">
        <v>806</v>
      </c>
      <c r="G1892" s="22" t="s">
        <v>1759</v>
      </c>
      <c r="H1892" s="12" t="s">
        <v>9703</v>
      </c>
      <c r="I1892" s="13" t="s">
        <v>7022</v>
      </c>
      <c r="J1892" s="14" t="s">
        <v>798</v>
      </c>
      <c r="K1892" s="15" t="s">
        <v>798</v>
      </c>
      <c r="L1892" s="12" t="s">
        <v>5315</v>
      </c>
      <c r="M1892" s="13" t="s">
        <v>5451</v>
      </c>
      <c r="N1892" s="12" t="s">
        <v>803</v>
      </c>
      <c r="O1892" s="13" t="s">
        <v>5009</v>
      </c>
      <c r="P1892" s="17" t="s">
        <v>802</v>
      </c>
      <c r="Q1892" s="21" t="s">
        <v>7857</v>
      </c>
      <c r="R1892" s="17" t="s">
        <v>801</v>
      </c>
      <c r="S1892" s="18" t="s">
        <v>2585</v>
      </c>
      <c r="T1892" s="17" t="s">
        <v>800</v>
      </c>
      <c r="U1892" s="18" t="s">
        <v>5238</v>
      </c>
      <c r="V1892" s="17" t="s">
        <v>9418</v>
      </c>
      <c r="W1892" s="18" t="s">
        <v>5309</v>
      </c>
      <c r="X1892" s="69" t="s">
        <v>9453</v>
      </c>
      <c r="Y1892" s="70" t="s">
        <v>9462</v>
      </c>
      <c r="Z1892" s="73" t="s">
        <v>9486</v>
      </c>
      <c r="AA1892" s="74" t="s">
        <v>9504</v>
      </c>
      <c r="AB1892" s="73" t="s">
        <v>9486</v>
      </c>
      <c r="AC1892" s="74" t="s">
        <v>9566</v>
      </c>
      <c r="AD1892" s="73" t="s">
        <v>9578</v>
      </c>
      <c r="AE1892" s="74" t="s">
        <v>9579</v>
      </c>
    </row>
    <row r="1893" spans="1:31" ht="8.65" customHeight="1" x14ac:dyDescent="0.2">
      <c r="A1893" s="76">
        <v>1893</v>
      </c>
      <c r="B1893" s="67" t="str">
        <f>MID(C1893, FIND("Ifc.", C1893) + 4, 4) &amp; "_" &amp; TEXT(COUNTIF($C$2:C1893, C1893),"0000")</f>
        <v>Prop_1892</v>
      </c>
      <c r="C1893" s="24" t="s">
        <v>872</v>
      </c>
      <c r="D1893" s="69" t="s">
        <v>9453</v>
      </c>
      <c r="E1893" s="70" t="s">
        <v>9454</v>
      </c>
      <c r="F1893" s="17" t="s">
        <v>806</v>
      </c>
      <c r="G1893" s="22" t="s">
        <v>1759</v>
      </c>
      <c r="H1893" s="12" t="s">
        <v>9703</v>
      </c>
      <c r="I1893" s="13" t="s">
        <v>7022</v>
      </c>
      <c r="J1893" s="14" t="s">
        <v>798</v>
      </c>
      <c r="K1893" s="15" t="s">
        <v>798</v>
      </c>
      <c r="L1893" s="12" t="s">
        <v>5315</v>
      </c>
      <c r="M1893" s="13" t="s">
        <v>5858</v>
      </c>
      <c r="N1893" s="12" t="s">
        <v>803</v>
      </c>
      <c r="O1893" s="13" t="s">
        <v>5163</v>
      </c>
      <c r="P1893" s="17" t="s">
        <v>802</v>
      </c>
      <c r="Q1893" s="21" t="s">
        <v>7858</v>
      </c>
      <c r="R1893" s="17" t="s">
        <v>801</v>
      </c>
      <c r="S1893" s="18" t="s">
        <v>2585</v>
      </c>
      <c r="T1893" s="17" t="s">
        <v>800</v>
      </c>
      <c r="U1893" s="18" t="s">
        <v>5238</v>
      </c>
      <c r="V1893" s="17" t="s">
        <v>9418</v>
      </c>
      <c r="W1893" s="18" t="s">
        <v>5309</v>
      </c>
      <c r="X1893" s="69" t="s">
        <v>9453</v>
      </c>
      <c r="Y1893" s="70" t="s">
        <v>9462</v>
      </c>
      <c r="Z1893" s="73" t="s">
        <v>9486</v>
      </c>
      <c r="AA1893" s="74" t="s">
        <v>9504</v>
      </c>
      <c r="AB1893" s="73" t="s">
        <v>9486</v>
      </c>
      <c r="AC1893" s="74" t="s">
        <v>9566</v>
      </c>
      <c r="AD1893" s="73" t="s">
        <v>9578</v>
      </c>
      <c r="AE1893" s="74" t="s">
        <v>9579</v>
      </c>
    </row>
    <row r="1894" spans="1:31" ht="8.65" customHeight="1" x14ac:dyDescent="0.2">
      <c r="A1894" s="76">
        <v>1894</v>
      </c>
      <c r="B1894" s="67" t="str">
        <f>MID(C1894, FIND("Ifc.", C1894) + 4, 4) &amp; "_" &amp; TEXT(COUNTIF($C$2:C1894, C1894),"0000")</f>
        <v>Prop_1893</v>
      </c>
      <c r="C1894" s="24" t="s">
        <v>872</v>
      </c>
      <c r="D1894" s="69" t="s">
        <v>9453</v>
      </c>
      <c r="E1894" s="70" t="s">
        <v>9454</v>
      </c>
      <c r="F1894" s="17" t="s">
        <v>806</v>
      </c>
      <c r="G1894" s="22" t="s">
        <v>1759</v>
      </c>
      <c r="H1894" s="12" t="s">
        <v>9703</v>
      </c>
      <c r="I1894" s="13" t="s">
        <v>7022</v>
      </c>
      <c r="J1894" s="14" t="s">
        <v>798</v>
      </c>
      <c r="K1894" s="15" t="s">
        <v>798</v>
      </c>
      <c r="L1894" s="12" t="s">
        <v>5315</v>
      </c>
      <c r="M1894" s="13" t="s">
        <v>5784</v>
      </c>
      <c r="N1894" s="12" t="s">
        <v>803</v>
      </c>
      <c r="O1894" s="13" t="s">
        <v>5182</v>
      </c>
      <c r="P1894" s="17" t="s">
        <v>802</v>
      </c>
      <c r="Q1894" s="21" t="s">
        <v>7772</v>
      </c>
      <c r="R1894" s="17" t="s">
        <v>801</v>
      </c>
      <c r="S1894" s="18" t="s">
        <v>2585</v>
      </c>
      <c r="T1894" s="17" t="s">
        <v>800</v>
      </c>
      <c r="U1894" s="18" t="s">
        <v>5238</v>
      </c>
      <c r="V1894" s="17" t="s">
        <v>9418</v>
      </c>
      <c r="W1894" s="18" t="s">
        <v>5309</v>
      </c>
      <c r="X1894" s="69" t="s">
        <v>9453</v>
      </c>
      <c r="Y1894" s="70" t="s">
        <v>9462</v>
      </c>
      <c r="Z1894" s="73" t="s">
        <v>9486</v>
      </c>
      <c r="AA1894" s="74" t="s">
        <v>9504</v>
      </c>
      <c r="AB1894" s="73" t="s">
        <v>9486</v>
      </c>
      <c r="AC1894" s="74" t="s">
        <v>9566</v>
      </c>
      <c r="AD1894" s="73" t="s">
        <v>9578</v>
      </c>
      <c r="AE1894" s="74" t="s">
        <v>9579</v>
      </c>
    </row>
    <row r="1895" spans="1:31" ht="8.65" customHeight="1" x14ac:dyDescent="0.2">
      <c r="A1895" s="76">
        <v>1895</v>
      </c>
      <c r="B1895" s="67" t="str">
        <f>MID(C1895, FIND("Ifc.", C1895) + 4, 4) &amp; "_" &amp; TEXT(COUNTIF($C$2:C1895, C1895),"0000")</f>
        <v>Prop_1894</v>
      </c>
      <c r="C1895" s="24" t="s">
        <v>872</v>
      </c>
      <c r="D1895" s="69" t="s">
        <v>9453</v>
      </c>
      <c r="E1895" s="70" t="s">
        <v>9454</v>
      </c>
      <c r="F1895" s="17" t="s">
        <v>806</v>
      </c>
      <c r="G1895" s="22" t="s">
        <v>1759</v>
      </c>
      <c r="H1895" s="12" t="s">
        <v>9703</v>
      </c>
      <c r="I1895" s="13" t="s">
        <v>7022</v>
      </c>
      <c r="J1895" s="14" t="s">
        <v>798</v>
      </c>
      <c r="K1895" s="15" t="s">
        <v>798</v>
      </c>
      <c r="L1895" s="12" t="s">
        <v>5315</v>
      </c>
      <c r="M1895" s="13" t="s">
        <v>5785</v>
      </c>
      <c r="N1895" s="12" t="s">
        <v>803</v>
      </c>
      <c r="O1895" s="13" t="s">
        <v>5183</v>
      </c>
      <c r="P1895" s="17" t="s">
        <v>802</v>
      </c>
      <c r="Q1895" s="21" t="s">
        <v>7859</v>
      </c>
      <c r="R1895" s="17" t="s">
        <v>801</v>
      </c>
      <c r="S1895" s="18" t="s">
        <v>2585</v>
      </c>
      <c r="T1895" s="17" t="s">
        <v>800</v>
      </c>
      <c r="U1895" s="18" t="s">
        <v>5238</v>
      </c>
      <c r="V1895" s="17" t="s">
        <v>9418</v>
      </c>
      <c r="W1895" s="18" t="s">
        <v>5309</v>
      </c>
      <c r="X1895" s="69" t="s">
        <v>9453</v>
      </c>
      <c r="Y1895" s="70" t="s">
        <v>9462</v>
      </c>
      <c r="Z1895" s="73" t="s">
        <v>9486</v>
      </c>
      <c r="AA1895" s="74" t="s">
        <v>9504</v>
      </c>
      <c r="AB1895" s="73" t="s">
        <v>9486</v>
      </c>
      <c r="AC1895" s="74" t="s">
        <v>9566</v>
      </c>
      <c r="AD1895" s="73" t="s">
        <v>9578</v>
      </c>
      <c r="AE1895" s="74" t="s">
        <v>9579</v>
      </c>
    </row>
    <row r="1896" spans="1:31" ht="8.65" customHeight="1" x14ac:dyDescent="0.2">
      <c r="A1896" s="76">
        <v>1896</v>
      </c>
      <c r="B1896" s="67" t="str">
        <f>MID(C1896, FIND("Ifc.", C1896) + 4, 4) &amp; "_" &amp; TEXT(COUNTIF($C$2:C1896, C1896),"0000")</f>
        <v>Prop_1895</v>
      </c>
      <c r="C1896" s="24" t="s">
        <v>872</v>
      </c>
      <c r="D1896" s="69" t="s">
        <v>9453</v>
      </c>
      <c r="E1896" s="70" t="s">
        <v>9454</v>
      </c>
      <c r="F1896" s="17" t="s">
        <v>806</v>
      </c>
      <c r="G1896" s="22" t="s">
        <v>1759</v>
      </c>
      <c r="H1896" s="12" t="s">
        <v>9703</v>
      </c>
      <c r="I1896" s="13" t="s">
        <v>7022</v>
      </c>
      <c r="J1896" s="14" t="s">
        <v>798</v>
      </c>
      <c r="K1896" s="15" t="s">
        <v>798</v>
      </c>
      <c r="L1896" s="12" t="s">
        <v>5315</v>
      </c>
      <c r="M1896" s="13" t="s">
        <v>5788</v>
      </c>
      <c r="N1896" s="12" t="s">
        <v>803</v>
      </c>
      <c r="O1896" s="13" t="s">
        <v>5186</v>
      </c>
      <c r="P1896" s="17" t="s">
        <v>802</v>
      </c>
      <c r="Q1896" s="21" t="s">
        <v>8071</v>
      </c>
      <c r="R1896" s="17" t="s">
        <v>801</v>
      </c>
      <c r="S1896" s="18" t="s">
        <v>2585</v>
      </c>
      <c r="T1896" s="17" t="s">
        <v>800</v>
      </c>
      <c r="U1896" s="18" t="s">
        <v>5238</v>
      </c>
      <c r="V1896" s="17" t="s">
        <v>9418</v>
      </c>
      <c r="W1896" s="18" t="s">
        <v>5309</v>
      </c>
      <c r="X1896" s="69" t="s">
        <v>9453</v>
      </c>
      <c r="Y1896" s="70" t="s">
        <v>9462</v>
      </c>
      <c r="Z1896" s="73" t="s">
        <v>9486</v>
      </c>
      <c r="AA1896" s="74" t="s">
        <v>9504</v>
      </c>
      <c r="AB1896" s="73" t="s">
        <v>9486</v>
      </c>
      <c r="AC1896" s="74" t="s">
        <v>9566</v>
      </c>
      <c r="AD1896" s="73" t="s">
        <v>9578</v>
      </c>
      <c r="AE1896" s="74" t="s">
        <v>9579</v>
      </c>
    </row>
    <row r="1897" spans="1:31" ht="8.65" customHeight="1" x14ac:dyDescent="0.2">
      <c r="A1897" s="76">
        <v>1897</v>
      </c>
      <c r="B1897" s="67" t="str">
        <f>MID(C1897, FIND("Ifc.", C1897) + 4, 4) &amp; "_" &amp; TEXT(COUNTIF($C$2:C1897, C1897),"0000")</f>
        <v>Prop_1896</v>
      </c>
      <c r="C1897" s="24" t="s">
        <v>872</v>
      </c>
      <c r="D1897" s="69" t="s">
        <v>9453</v>
      </c>
      <c r="E1897" s="70" t="s">
        <v>9454</v>
      </c>
      <c r="F1897" s="17" t="s">
        <v>806</v>
      </c>
      <c r="G1897" s="22" t="s">
        <v>1759</v>
      </c>
      <c r="H1897" s="12" t="s">
        <v>9703</v>
      </c>
      <c r="I1897" s="13" t="s">
        <v>7022</v>
      </c>
      <c r="J1897" s="14" t="s">
        <v>798</v>
      </c>
      <c r="K1897" s="15" t="s">
        <v>798</v>
      </c>
      <c r="L1897" s="12" t="s">
        <v>5315</v>
      </c>
      <c r="M1897" s="13" t="s">
        <v>5789</v>
      </c>
      <c r="N1897" s="12" t="s">
        <v>803</v>
      </c>
      <c r="O1897" s="13" t="s">
        <v>5187</v>
      </c>
      <c r="P1897" s="17" t="s">
        <v>802</v>
      </c>
      <c r="Q1897" s="21" t="s">
        <v>7861</v>
      </c>
      <c r="R1897" s="17" t="s">
        <v>801</v>
      </c>
      <c r="S1897" s="18" t="s">
        <v>2585</v>
      </c>
      <c r="T1897" s="17" t="s">
        <v>800</v>
      </c>
      <c r="U1897" s="18" t="s">
        <v>5238</v>
      </c>
      <c r="V1897" s="17" t="s">
        <v>9418</v>
      </c>
      <c r="W1897" s="18" t="s">
        <v>5309</v>
      </c>
      <c r="X1897" s="69" t="s">
        <v>9453</v>
      </c>
      <c r="Y1897" s="70" t="s">
        <v>9462</v>
      </c>
      <c r="Z1897" s="73" t="s">
        <v>9486</v>
      </c>
      <c r="AA1897" s="74" t="s">
        <v>9504</v>
      </c>
      <c r="AB1897" s="73" t="s">
        <v>9486</v>
      </c>
      <c r="AC1897" s="74" t="s">
        <v>9566</v>
      </c>
      <c r="AD1897" s="73" t="s">
        <v>9578</v>
      </c>
      <c r="AE1897" s="74" t="s">
        <v>9579</v>
      </c>
    </row>
    <row r="1898" spans="1:31" ht="8.65" customHeight="1" x14ac:dyDescent="0.2">
      <c r="A1898" s="76">
        <v>1898</v>
      </c>
      <c r="B1898" s="67" t="str">
        <f>MID(C1898, FIND("Ifc.", C1898) + 4, 4) &amp; "_" &amp; TEXT(COUNTIF($C$2:C1898, C1898),"0000")</f>
        <v>Prop_1897</v>
      </c>
      <c r="C1898" s="24" t="s">
        <v>872</v>
      </c>
      <c r="D1898" s="69" t="s">
        <v>9453</v>
      </c>
      <c r="E1898" s="70" t="s">
        <v>9454</v>
      </c>
      <c r="F1898" s="17" t="s">
        <v>806</v>
      </c>
      <c r="G1898" s="22" t="s">
        <v>1526</v>
      </c>
      <c r="H1898" s="12" t="s">
        <v>9703</v>
      </c>
      <c r="I1898" s="13" t="s">
        <v>7078</v>
      </c>
      <c r="J1898" s="14" t="s">
        <v>798</v>
      </c>
      <c r="K1898" s="15" t="s">
        <v>798</v>
      </c>
      <c r="L1898" s="12" t="s">
        <v>5315</v>
      </c>
      <c r="M1898" s="13" t="s">
        <v>5816</v>
      </c>
      <c r="N1898" s="12" t="s">
        <v>803</v>
      </c>
      <c r="O1898" s="13" t="s">
        <v>4955</v>
      </c>
      <c r="P1898" s="17" t="s">
        <v>802</v>
      </c>
      <c r="Q1898" s="21" t="s">
        <v>7694</v>
      </c>
      <c r="R1898" s="17" t="s">
        <v>801</v>
      </c>
      <c r="S1898" s="18" t="s">
        <v>2585</v>
      </c>
      <c r="T1898" s="17" t="s">
        <v>800</v>
      </c>
      <c r="U1898" s="18" t="s">
        <v>5238</v>
      </c>
      <c r="V1898" s="17" t="s">
        <v>9418</v>
      </c>
      <c r="W1898" s="18" t="s">
        <v>5309</v>
      </c>
      <c r="X1898" s="69" t="s">
        <v>9453</v>
      </c>
      <c r="Y1898" s="70" t="s">
        <v>9462</v>
      </c>
      <c r="Z1898" s="73" t="s">
        <v>9486</v>
      </c>
      <c r="AA1898" s="74" t="s">
        <v>9504</v>
      </c>
      <c r="AB1898" s="73" t="s">
        <v>9486</v>
      </c>
      <c r="AC1898" s="74" t="s">
        <v>9566</v>
      </c>
      <c r="AD1898" s="73" t="s">
        <v>9578</v>
      </c>
      <c r="AE1898" s="74" t="s">
        <v>9579</v>
      </c>
    </row>
    <row r="1899" spans="1:31" ht="8.65" customHeight="1" x14ac:dyDescent="0.2">
      <c r="A1899" s="76">
        <v>1899</v>
      </c>
      <c r="B1899" s="67" t="str">
        <f>MID(C1899, FIND("Ifc.", C1899) + 4, 4) &amp; "_" &amp; TEXT(COUNTIF($C$2:C1899, C1899),"0000")</f>
        <v>Prop_1898</v>
      </c>
      <c r="C1899" s="24" t="s">
        <v>872</v>
      </c>
      <c r="D1899" s="69" t="s">
        <v>9453</v>
      </c>
      <c r="E1899" s="70" t="s">
        <v>9454</v>
      </c>
      <c r="F1899" s="17" t="s">
        <v>806</v>
      </c>
      <c r="G1899" s="22" t="s">
        <v>1763</v>
      </c>
      <c r="H1899" s="12" t="s">
        <v>9703</v>
      </c>
      <c r="I1899" s="13" t="s">
        <v>7023</v>
      </c>
      <c r="J1899" s="14" t="s">
        <v>798</v>
      </c>
      <c r="K1899" s="15" t="s">
        <v>798</v>
      </c>
      <c r="L1899" s="12" t="s">
        <v>5315</v>
      </c>
      <c r="M1899" s="13" t="s">
        <v>5451</v>
      </c>
      <c r="N1899" s="12" t="s">
        <v>803</v>
      </c>
      <c r="O1899" s="13" t="s">
        <v>5009</v>
      </c>
      <c r="P1899" s="17" t="s">
        <v>802</v>
      </c>
      <c r="Q1899" s="21" t="s">
        <v>7857</v>
      </c>
      <c r="R1899" s="17" t="s">
        <v>801</v>
      </c>
      <c r="S1899" s="18" t="s">
        <v>2585</v>
      </c>
      <c r="T1899" s="17" t="s">
        <v>800</v>
      </c>
      <c r="U1899" s="18" t="s">
        <v>5238</v>
      </c>
      <c r="V1899" s="17" t="s">
        <v>9418</v>
      </c>
      <c r="W1899" s="18" t="s">
        <v>5309</v>
      </c>
      <c r="X1899" s="69" t="s">
        <v>9453</v>
      </c>
      <c r="Y1899" s="70" t="s">
        <v>9462</v>
      </c>
      <c r="Z1899" s="73" t="s">
        <v>9486</v>
      </c>
      <c r="AA1899" s="74" t="s">
        <v>9504</v>
      </c>
      <c r="AB1899" s="73" t="s">
        <v>9486</v>
      </c>
      <c r="AC1899" s="74" t="s">
        <v>9566</v>
      </c>
      <c r="AD1899" s="73" t="s">
        <v>9578</v>
      </c>
      <c r="AE1899" s="74" t="s">
        <v>9579</v>
      </c>
    </row>
    <row r="1900" spans="1:31" ht="8.65" customHeight="1" x14ac:dyDescent="0.2">
      <c r="A1900" s="76">
        <v>1900</v>
      </c>
      <c r="B1900" s="67" t="str">
        <f>MID(C1900, FIND("Ifc.", C1900) + 4, 4) &amp; "_" &amp; TEXT(COUNTIF($C$2:C1900, C1900),"0000")</f>
        <v>Prop_1899</v>
      </c>
      <c r="C1900" s="24" t="s">
        <v>872</v>
      </c>
      <c r="D1900" s="69" t="s">
        <v>9453</v>
      </c>
      <c r="E1900" s="70" t="s">
        <v>9454</v>
      </c>
      <c r="F1900" s="17" t="s">
        <v>806</v>
      </c>
      <c r="G1900" s="22" t="s">
        <v>1763</v>
      </c>
      <c r="H1900" s="12" t="s">
        <v>9703</v>
      </c>
      <c r="I1900" s="13" t="s">
        <v>7023</v>
      </c>
      <c r="J1900" s="14" t="s">
        <v>798</v>
      </c>
      <c r="K1900" s="15" t="s">
        <v>798</v>
      </c>
      <c r="L1900" s="12" t="s">
        <v>5315</v>
      </c>
      <c r="M1900" s="13" t="s">
        <v>5858</v>
      </c>
      <c r="N1900" s="12" t="s">
        <v>803</v>
      </c>
      <c r="O1900" s="13" t="s">
        <v>5163</v>
      </c>
      <c r="P1900" s="17" t="s">
        <v>802</v>
      </c>
      <c r="Q1900" s="21" t="s">
        <v>7858</v>
      </c>
      <c r="R1900" s="17" t="s">
        <v>801</v>
      </c>
      <c r="S1900" s="18" t="s">
        <v>2585</v>
      </c>
      <c r="T1900" s="17" t="s">
        <v>800</v>
      </c>
      <c r="U1900" s="18" t="s">
        <v>5238</v>
      </c>
      <c r="V1900" s="17" t="s">
        <v>9418</v>
      </c>
      <c r="W1900" s="18" t="s">
        <v>5309</v>
      </c>
      <c r="X1900" s="69" t="s">
        <v>9453</v>
      </c>
      <c r="Y1900" s="70" t="s">
        <v>9462</v>
      </c>
      <c r="Z1900" s="73" t="s">
        <v>9486</v>
      </c>
      <c r="AA1900" s="74" t="s">
        <v>9504</v>
      </c>
      <c r="AB1900" s="73" t="s">
        <v>9486</v>
      </c>
      <c r="AC1900" s="74" t="s">
        <v>9566</v>
      </c>
      <c r="AD1900" s="73" t="s">
        <v>9578</v>
      </c>
      <c r="AE1900" s="74" t="s">
        <v>9579</v>
      </c>
    </row>
    <row r="1901" spans="1:31" ht="8.65" customHeight="1" x14ac:dyDescent="0.2">
      <c r="A1901" s="76">
        <v>1901</v>
      </c>
      <c r="B1901" s="67" t="str">
        <f>MID(C1901, FIND("Ifc.", C1901) + 4, 4) &amp; "_" &amp; TEXT(COUNTIF($C$2:C1901, C1901),"0000")</f>
        <v>Prop_1900</v>
      </c>
      <c r="C1901" s="24" t="s">
        <v>872</v>
      </c>
      <c r="D1901" s="69" t="s">
        <v>9453</v>
      </c>
      <c r="E1901" s="70" t="s">
        <v>9454</v>
      </c>
      <c r="F1901" s="17" t="s">
        <v>806</v>
      </c>
      <c r="G1901" s="22" t="s">
        <v>1763</v>
      </c>
      <c r="H1901" s="12" t="s">
        <v>9703</v>
      </c>
      <c r="I1901" s="13" t="s">
        <v>7023</v>
      </c>
      <c r="J1901" s="14" t="s">
        <v>798</v>
      </c>
      <c r="K1901" s="15" t="s">
        <v>798</v>
      </c>
      <c r="L1901" s="12" t="s">
        <v>5315</v>
      </c>
      <c r="M1901" s="13" t="s">
        <v>5785</v>
      </c>
      <c r="N1901" s="12" t="s">
        <v>803</v>
      </c>
      <c r="O1901" s="13" t="s">
        <v>5183</v>
      </c>
      <c r="P1901" s="17" t="s">
        <v>802</v>
      </c>
      <c r="Q1901" s="21" t="s">
        <v>7859</v>
      </c>
      <c r="R1901" s="17" t="s">
        <v>801</v>
      </c>
      <c r="S1901" s="18" t="s">
        <v>2585</v>
      </c>
      <c r="T1901" s="17" t="s">
        <v>800</v>
      </c>
      <c r="U1901" s="18" t="s">
        <v>5238</v>
      </c>
      <c r="V1901" s="17" t="s">
        <v>9418</v>
      </c>
      <c r="W1901" s="18" t="s">
        <v>5309</v>
      </c>
      <c r="X1901" s="69" t="s">
        <v>9453</v>
      </c>
      <c r="Y1901" s="70" t="s">
        <v>9462</v>
      </c>
      <c r="Z1901" s="73" t="s">
        <v>9486</v>
      </c>
      <c r="AA1901" s="74" t="s">
        <v>9504</v>
      </c>
      <c r="AB1901" s="73" t="s">
        <v>9486</v>
      </c>
      <c r="AC1901" s="74" t="s">
        <v>9566</v>
      </c>
      <c r="AD1901" s="73" t="s">
        <v>9578</v>
      </c>
      <c r="AE1901" s="74" t="s">
        <v>9579</v>
      </c>
    </row>
    <row r="1902" spans="1:31" ht="8.65" customHeight="1" x14ac:dyDescent="0.2">
      <c r="A1902" s="76">
        <v>1902</v>
      </c>
      <c r="B1902" s="67" t="str">
        <f>MID(C1902, FIND("Ifc.", C1902) + 4, 4) &amp; "_" &amp; TEXT(COUNTIF($C$2:C1902, C1902),"0000")</f>
        <v>Prop_1901</v>
      </c>
      <c r="C1902" s="24" t="s">
        <v>872</v>
      </c>
      <c r="D1902" s="69" t="s">
        <v>9453</v>
      </c>
      <c r="E1902" s="70" t="s">
        <v>9454</v>
      </c>
      <c r="F1902" s="17" t="s">
        <v>806</v>
      </c>
      <c r="G1902" s="22" t="s">
        <v>1763</v>
      </c>
      <c r="H1902" s="12" t="s">
        <v>9703</v>
      </c>
      <c r="I1902" s="13" t="s">
        <v>7023</v>
      </c>
      <c r="J1902" s="14" t="s">
        <v>798</v>
      </c>
      <c r="K1902" s="15" t="s">
        <v>798</v>
      </c>
      <c r="L1902" s="12" t="s">
        <v>5315</v>
      </c>
      <c r="M1902" s="13" t="s">
        <v>6009</v>
      </c>
      <c r="N1902" s="12" t="s">
        <v>803</v>
      </c>
      <c r="O1902" s="13" t="s">
        <v>5207</v>
      </c>
      <c r="P1902" s="17" t="s">
        <v>802</v>
      </c>
      <c r="Q1902" s="21" t="s">
        <v>8015</v>
      </c>
      <c r="R1902" s="17" t="s">
        <v>801</v>
      </c>
      <c r="S1902" s="18" t="s">
        <v>2585</v>
      </c>
      <c r="T1902" s="17" t="s">
        <v>800</v>
      </c>
      <c r="U1902" s="18" t="s">
        <v>5238</v>
      </c>
      <c r="V1902" s="17" t="s">
        <v>9418</v>
      </c>
      <c r="W1902" s="18" t="s">
        <v>5309</v>
      </c>
      <c r="X1902" s="69" t="s">
        <v>9453</v>
      </c>
      <c r="Y1902" s="70" t="s">
        <v>9462</v>
      </c>
      <c r="Z1902" s="73" t="s">
        <v>9486</v>
      </c>
      <c r="AA1902" s="74" t="s">
        <v>9504</v>
      </c>
      <c r="AB1902" s="73" t="s">
        <v>9486</v>
      </c>
      <c r="AC1902" s="74" t="s">
        <v>9566</v>
      </c>
      <c r="AD1902" s="73" t="s">
        <v>9578</v>
      </c>
      <c r="AE1902" s="74" t="s">
        <v>9579</v>
      </c>
    </row>
    <row r="1903" spans="1:31" ht="8.65" customHeight="1" x14ac:dyDescent="0.2">
      <c r="A1903" s="76">
        <v>1903</v>
      </c>
      <c r="B1903" s="67" t="str">
        <f>MID(C1903, FIND("Ifc.", C1903) + 4, 4) &amp; "_" &amp; TEXT(COUNTIF($C$2:C1903, C1903),"0000")</f>
        <v>Prop_1902</v>
      </c>
      <c r="C1903" s="24" t="s">
        <v>872</v>
      </c>
      <c r="D1903" s="69" t="s">
        <v>9453</v>
      </c>
      <c r="E1903" s="70" t="s">
        <v>9454</v>
      </c>
      <c r="F1903" s="17" t="s">
        <v>806</v>
      </c>
      <c r="G1903" s="22" t="s">
        <v>1763</v>
      </c>
      <c r="H1903" s="12" t="s">
        <v>9703</v>
      </c>
      <c r="I1903" s="13" t="s">
        <v>7023</v>
      </c>
      <c r="J1903" s="14" t="s">
        <v>798</v>
      </c>
      <c r="K1903" s="15" t="s">
        <v>798</v>
      </c>
      <c r="L1903" s="12" t="s">
        <v>5315</v>
      </c>
      <c r="M1903" s="13" t="s">
        <v>5787</v>
      </c>
      <c r="N1903" s="12" t="s">
        <v>803</v>
      </c>
      <c r="O1903" s="13" t="s">
        <v>5185</v>
      </c>
      <c r="P1903" s="17" t="s">
        <v>802</v>
      </c>
      <c r="Q1903" s="21" t="s">
        <v>7860</v>
      </c>
      <c r="R1903" s="17" t="s">
        <v>801</v>
      </c>
      <c r="S1903" s="18" t="s">
        <v>2585</v>
      </c>
      <c r="T1903" s="17" t="s">
        <v>800</v>
      </c>
      <c r="U1903" s="18" t="s">
        <v>5238</v>
      </c>
      <c r="V1903" s="17" t="s">
        <v>9418</v>
      </c>
      <c r="W1903" s="18" t="s">
        <v>5309</v>
      </c>
      <c r="X1903" s="69" t="s">
        <v>9453</v>
      </c>
      <c r="Y1903" s="70" t="s">
        <v>9462</v>
      </c>
      <c r="Z1903" s="73" t="s">
        <v>9486</v>
      </c>
      <c r="AA1903" s="74" t="s">
        <v>9504</v>
      </c>
      <c r="AB1903" s="73" t="s">
        <v>9486</v>
      </c>
      <c r="AC1903" s="74" t="s">
        <v>9566</v>
      </c>
      <c r="AD1903" s="73" t="s">
        <v>9578</v>
      </c>
      <c r="AE1903" s="74" t="s">
        <v>9579</v>
      </c>
    </row>
    <row r="1904" spans="1:31" ht="8.65" customHeight="1" x14ac:dyDescent="0.2">
      <c r="A1904" s="76">
        <v>1904</v>
      </c>
      <c r="B1904" s="67" t="str">
        <f>MID(C1904, FIND("Ifc.", C1904) + 4, 4) &amp; "_" &amp; TEXT(COUNTIF($C$2:C1904, C1904),"0000")</f>
        <v>Prop_1903</v>
      </c>
      <c r="C1904" s="24" t="s">
        <v>872</v>
      </c>
      <c r="D1904" s="69" t="s">
        <v>9453</v>
      </c>
      <c r="E1904" s="70" t="s">
        <v>9454</v>
      </c>
      <c r="F1904" s="17" t="s">
        <v>806</v>
      </c>
      <c r="G1904" s="22" t="s">
        <v>1763</v>
      </c>
      <c r="H1904" s="12" t="s">
        <v>9703</v>
      </c>
      <c r="I1904" s="13" t="s">
        <v>7023</v>
      </c>
      <c r="J1904" s="14" t="s">
        <v>798</v>
      </c>
      <c r="K1904" s="15" t="s">
        <v>798</v>
      </c>
      <c r="L1904" s="12" t="s">
        <v>5315</v>
      </c>
      <c r="M1904" s="13" t="s">
        <v>5788</v>
      </c>
      <c r="N1904" s="12" t="s">
        <v>803</v>
      </c>
      <c r="O1904" s="13" t="s">
        <v>5186</v>
      </c>
      <c r="P1904" s="17" t="s">
        <v>802</v>
      </c>
      <c r="Q1904" s="21" t="s">
        <v>8071</v>
      </c>
      <c r="R1904" s="17" t="s">
        <v>801</v>
      </c>
      <c r="S1904" s="18" t="s">
        <v>2585</v>
      </c>
      <c r="T1904" s="17" t="s">
        <v>800</v>
      </c>
      <c r="U1904" s="18" t="s">
        <v>5238</v>
      </c>
      <c r="V1904" s="17" t="s">
        <v>9418</v>
      </c>
      <c r="W1904" s="18" t="s">
        <v>5309</v>
      </c>
      <c r="X1904" s="69" t="s">
        <v>9453</v>
      </c>
      <c r="Y1904" s="70" t="s">
        <v>9462</v>
      </c>
      <c r="Z1904" s="73" t="s">
        <v>9486</v>
      </c>
      <c r="AA1904" s="74" t="s">
        <v>9504</v>
      </c>
      <c r="AB1904" s="73" t="s">
        <v>9486</v>
      </c>
      <c r="AC1904" s="74" t="s">
        <v>9566</v>
      </c>
      <c r="AD1904" s="73" t="s">
        <v>9578</v>
      </c>
      <c r="AE1904" s="74" t="s">
        <v>9579</v>
      </c>
    </row>
    <row r="1905" spans="1:31" ht="8.65" customHeight="1" x14ac:dyDescent="0.2">
      <c r="A1905" s="76">
        <v>1905</v>
      </c>
      <c r="B1905" s="67" t="str">
        <f>MID(C1905, FIND("Ifc.", C1905) + 4, 4) &amp; "_" &amp; TEXT(COUNTIF($C$2:C1905, C1905),"0000")</f>
        <v>Prop_1904</v>
      </c>
      <c r="C1905" s="24" t="s">
        <v>872</v>
      </c>
      <c r="D1905" s="69" t="s">
        <v>9453</v>
      </c>
      <c r="E1905" s="70" t="s">
        <v>9454</v>
      </c>
      <c r="F1905" s="17" t="s">
        <v>806</v>
      </c>
      <c r="G1905" s="22" t="s">
        <v>1763</v>
      </c>
      <c r="H1905" s="12" t="s">
        <v>9703</v>
      </c>
      <c r="I1905" s="13" t="s">
        <v>7023</v>
      </c>
      <c r="J1905" s="14" t="s">
        <v>798</v>
      </c>
      <c r="K1905" s="15" t="s">
        <v>798</v>
      </c>
      <c r="L1905" s="12" t="s">
        <v>5315</v>
      </c>
      <c r="M1905" s="13" t="s">
        <v>5789</v>
      </c>
      <c r="N1905" s="12" t="s">
        <v>803</v>
      </c>
      <c r="O1905" s="13" t="s">
        <v>5187</v>
      </c>
      <c r="P1905" s="17" t="s">
        <v>802</v>
      </c>
      <c r="Q1905" s="21" t="s">
        <v>7861</v>
      </c>
      <c r="R1905" s="17" t="s">
        <v>801</v>
      </c>
      <c r="S1905" s="18" t="s">
        <v>2585</v>
      </c>
      <c r="T1905" s="17" t="s">
        <v>800</v>
      </c>
      <c r="U1905" s="18" t="s">
        <v>5238</v>
      </c>
      <c r="V1905" s="17" t="s">
        <v>9418</v>
      </c>
      <c r="W1905" s="18" t="s">
        <v>5309</v>
      </c>
      <c r="X1905" s="69" t="s">
        <v>9453</v>
      </c>
      <c r="Y1905" s="70" t="s">
        <v>9462</v>
      </c>
      <c r="Z1905" s="73" t="s">
        <v>9486</v>
      </c>
      <c r="AA1905" s="74" t="s">
        <v>9504</v>
      </c>
      <c r="AB1905" s="73" t="s">
        <v>9486</v>
      </c>
      <c r="AC1905" s="74" t="s">
        <v>9566</v>
      </c>
      <c r="AD1905" s="73" t="s">
        <v>9578</v>
      </c>
      <c r="AE1905" s="74" t="s">
        <v>9579</v>
      </c>
    </row>
    <row r="1906" spans="1:31" ht="8.65" customHeight="1" x14ac:dyDescent="0.2">
      <c r="A1906" s="76">
        <v>1906</v>
      </c>
      <c r="B1906" s="67" t="str">
        <f>MID(C1906, FIND("Ifc.", C1906) + 4, 4) &amp; "_" &amp; TEXT(COUNTIF($C$2:C1906, C1906),"0000")</f>
        <v>Prop_1905</v>
      </c>
      <c r="C1906" s="24" t="s">
        <v>872</v>
      </c>
      <c r="D1906" s="69" t="s">
        <v>9453</v>
      </c>
      <c r="E1906" s="70" t="s">
        <v>9454</v>
      </c>
      <c r="F1906" s="17" t="s">
        <v>806</v>
      </c>
      <c r="G1906" s="22" t="s">
        <v>1763</v>
      </c>
      <c r="H1906" s="12" t="s">
        <v>9703</v>
      </c>
      <c r="I1906" s="13" t="s">
        <v>7023</v>
      </c>
      <c r="J1906" s="14" t="s">
        <v>798</v>
      </c>
      <c r="K1906" s="15" t="s">
        <v>798</v>
      </c>
      <c r="L1906" s="12" t="s">
        <v>5315</v>
      </c>
      <c r="M1906" s="13" t="s">
        <v>5790</v>
      </c>
      <c r="N1906" s="12" t="s">
        <v>803</v>
      </c>
      <c r="O1906" s="13" t="s">
        <v>5188</v>
      </c>
      <c r="P1906" s="17" t="s">
        <v>802</v>
      </c>
      <c r="Q1906" s="21" t="s">
        <v>7862</v>
      </c>
      <c r="R1906" s="17" t="s">
        <v>801</v>
      </c>
      <c r="S1906" s="18" t="s">
        <v>2585</v>
      </c>
      <c r="T1906" s="17" t="s">
        <v>800</v>
      </c>
      <c r="U1906" s="18" t="s">
        <v>5238</v>
      </c>
      <c r="V1906" s="17" t="s">
        <v>9418</v>
      </c>
      <c r="W1906" s="18" t="s">
        <v>5309</v>
      </c>
      <c r="X1906" s="69" t="s">
        <v>9453</v>
      </c>
      <c r="Y1906" s="70" t="s">
        <v>9462</v>
      </c>
      <c r="Z1906" s="73" t="s">
        <v>9486</v>
      </c>
      <c r="AA1906" s="74" t="s">
        <v>9504</v>
      </c>
      <c r="AB1906" s="73" t="s">
        <v>9486</v>
      </c>
      <c r="AC1906" s="74" t="s">
        <v>9566</v>
      </c>
      <c r="AD1906" s="73" t="s">
        <v>9578</v>
      </c>
      <c r="AE1906" s="74" t="s">
        <v>9579</v>
      </c>
    </row>
    <row r="1907" spans="1:31" ht="8.65" customHeight="1" x14ac:dyDescent="0.2">
      <c r="A1907" s="76">
        <v>1907</v>
      </c>
      <c r="B1907" s="67" t="str">
        <f>MID(C1907, FIND("Ifc.", C1907) + 4, 4) &amp; "_" &amp; TEXT(COUNTIF($C$2:C1907, C1907),"0000")</f>
        <v>Prop_1906</v>
      </c>
      <c r="C1907" s="24" t="s">
        <v>872</v>
      </c>
      <c r="D1907" s="69" t="s">
        <v>9453</v>
      </c>
      <c r="E1907" s="70" t="s">
        <v>9454</v>
      </c>
      <c r="F1907" s="17" t="s">
        <v>806</v>
      </c>
      <c r="G1907" s="22" t="s">
        <v>1763</v>
      </c>
      <c r="H1907" s="12" t="s">
        <v>9703</v>
      </c>
      <c r="I1907" s="13" t="s">
        <v>7023</v>
      </c>
      <c r="J1907" s="14" t="s">
        <v>798</v>
      </c>
      <c r="K1907" s="15" t="s">
        <v>798</v>
      </c>
      <c r="L1907" s="12" t="s">
        <v>5315</v>
      </c>
      <c r="M1907" s="13" t="s">
        <v>5956</v>
      </c>
      <c r="N1907" s="12" t="s">
        <v>803</v>
      </c>
      <c r="O1907" s="13" t="s">
        <v>5047</v>
      </c>
      <c r="P1907" s="17" t="s">
        <v>802</v>
      </c>
      <c r="Q1907" s="21" t="s">
        <v>7891</v>
      </c>
      <c r="R1907" s="17" t="s">
        <v>801</v>
      </c>
      <c r="S1907" s="18" t="s">
        <v>2585</v>
      </c>
      <c r="T1907" s="17" t="s">
        <v>800</v>
      </c>
      <c r="U1907" s="18" t="s">
        <v>5238</v>
      </c>
      <c r="V1907" s="17" t="s">
        <v>9418</v>
      </c>
      <c r="W1907" s="18" t="s">
        <v>5309</v>
      </c>
      <c r="X1907" s="69" t="s">
        <v>9453</v>
      </c>
      <c r="Y1907" s="70" t="s">
        <v>9462</v>
      </c>
      <c r="Z1907" s="73" t="s">
        <v>9486</v>
      </c>
      <c r="AA1907" s="74" t="s">
        <v>9504</v>
      </c>
      <c r="AB1907" s="73" t="s">
        <v>9486</v>
      </c>
      <c r="AC1907" s="74" t="s">
        <v>9566</v>
      </c>
      <c r="AD1907" s="73" t="s">
        <v>9578</v>
      </c>
      <c r="AE1907" s="74" t="s">
        <v>9579</v>
      </c>
    </row>
    <row r="1908" spans="1:31" ht="8.65" customHeight="1" x14ac:dyDescent="0.2">
      <c r="A1908" s="76">
        <v>1908</v>
      </c>
      <c r="B1908" s="67" t="str">
        <f>MID(C1908, FIND("Ifc.", C1908) + 4, 4) &amp; "_" &amp; TEXT(COUNTIF($C$2:C1908, C1908),"0000")</f>
        <v>Prop_1907</v>
      </c>
      <c r="C1908" s="24" t="s">
        <v>872</v>
      </c>
      <c r="D1908" s="69" t="s">
        <v>9453</v>
      </c>
      <c r="E1908" s="70" t="s">
        <v>9454</v>
      </c>
      <c r="F1908" s="17" t="s">
        <v>806</v>
      </c>
      <c r="G1908" s="22" t="s">
        <v>1036</v>
      </c>
      <c r="H1908" s="12" t="s">
        <v>9703</v>
      </c>
      <c r="I1908" s="13" t="s">
        <v>6965</v>
      </c>
      <c r="J1908" s="14" t="s">
        <v>798</v>
      </c>
      <c r="K1908" s="15" t="s">
        <v>798</v>
      </c>
      <c r="L1908" s="12" t="s">
        <v>5315</v>
      </c>
      <c r="M1908" s="13" t="s">
        <v>5386</v>
      </c>
      <c r="N1908" s="12" t="s">
        <v>803</v>
      </c>
      <c r="O1908" s="13" t="s">
        <v>4843</v>
      </c>
      <c r="P1908" s="17" t="s">
        <v>802</v>
      </c>
      <c r="Q1908" s="21" t="s">
        <v>7779</v>
      </c>
      <c r="R1908" s="17" t="s">
        <v>801</v>
      </c>
      <c r="S1908" s="18" t="s">
        <v>2585</v>
      </c>
      <c r="T1908" s="17" t="s">
        <v>800</v>
      </c>
      <c r="U1908" s="18" t="s">
        <v>5238</v>
      </c>
      <c r="V1908" s="17" t="s">
        <v>9418</v>
      </c>
      <c r="W1908" s="18" t="s">
        <v>5309</v>
      </c>
      <c r="X1908" s="69" t="s">
        <v>9453</v>
      </c>
      <c r="Y1908" s="70" t="s">
        <v>9462</v>
      </c>
      <c r="Z1908" s="73" t="s">
        <v>9486</v>
      </c>
      <c r="AA1908" s="74" t="s">
        <v>9504</v>
      </c>
      <c r="AB1908" s="73" t="s">
        <v>9486</v>
      </c>
      <c r="AC1908" s="74" t="s">
        <v>9566</v>
      </c>
      <c r="AD1908" s="73" t="s">
        <v>9578</v>
      </c>
      <c r="AE1908" s="74" t="s">
        <v>9579</v>
      </c>
    </row>
    <row r="1909" spans="1:31" ht="8.65" customHeight="1" x14ac:dyDescent="0.2">
      <c r="A1909" s="76">
        <v>1909</v>
      </c>
      <c r="B1909" s="67" t="str">
        <f>MID(C1909, FIND("Ifc.", C1909) + 4, 4) &amp; "_" &amp; TEXT(COUNTIF($C$2:C1909, C1909),"0000")</f>
        <v>Prop_1908</v>
      </c>
      <c r="C1909" s="24" t="s">
        <v>872</v>
      </c>
      <c r="D1909" s="69" t="s">
        <v>9453</v>
      </c>
      <c r="E1909" s="70" t="s">
        <v>9454</v>
      </c>
      <c r="F1909" s="17" t="s">
        <v>806</v>
      </c>
      <c r="G1909" s="22" t="s">
        <v>1036</v>
      </c>
      <c r="H1909" s="12" t="s">
        <v>9703</v>
      </c>
      <c r="I1909" s="13" t="s">
        <v>6965</v>
      </c>
      <c r="J1909" s="14" t="s">
        <v>798</v>
      </c>
      <c r="K1909" s="15" t="s">
        <v>798</v>
      </c>
      <c r="L1909" s="12" t="s">
        <v>5315</v>
      </c>
      <c r="M1909" s="13" t="s">
        <v>5950</v>
      </c>
      <c r="N1909" s="12" t="s">
        <v>803</v>
      </c>
      <c r="O1909" s="13" t="s">
        <v>5039</v>
      </c>
      <c r="P1909" s="17" t="s">
        <v>802</v>
      </c>
      <c r="Q1909" s="21" t="s">
        <v>8003</v>
      </c>
      <c r="R1909" s="17" t="s">
        <v>801</v>
      </c>
      <c r="S1909" s="18" t="s">
        <v>2585</v>
      </c>
      <c r="T1909" s="17" t="s">
        <v>800</v>
      </c>
      <c r="U1909" s="18" t="s">
        <v>5238</v>
      </c>
      <c r="V1909" s="17" t="s">
        <v>9418</v>
      </c>
      <c r="W1909" s="18" t="s">
        <v>5309</v>
      </c>
      <c r="X1909" s="69" t="s">
        <v>9453</v>
      </c>
      <c r="Y1909" s="70" t="s">
        <v>9462</v>
      </c>
      <c r="Z1909" s="73" t="s">
        <v>9486</v>
      </c>
      <c r="AA1909" s="74" t="s">
        <v>9504</v>
      </c>
      <c r="AB1909" s="73" t="s">
        <v>9486</v>
      </c>
      <c r="AC1909" s="74" t="s">
        <v>9566</v>
      </c>
      <c r="AD1909" s="73" t="s">
        <v>9578</v>
      </c>
      <c r="AE1909" s="74" t="s">
        <v>9579</v>
      </c>
    </row>
    <row r="1910" spans="1:31" ht="8.65" customHeight="1" x14ac:dyDescent="0.2">
      <c r="A1910" s="76">
        <v>1910</v>
      </c>
      <c r="B1910" s="67" t="str">
        <f>MID(C1910, FIND("Ifc.", C1910) + 4, 4) &amp; "_" &amp; TEXT(COUNTIF($C$2:C1910, C1910),"0000")</f>
        <v>Prop_1909</v>
      </c>
      <c r="C1910" s="24" t="s">
        <v>872</v>
      </c>
      <c r="D1910" s="69" t="s">
        <v>9453</v>
      </c>
      <c r="E1910" s="70" t="s">
        <v>9454</v>
      </c>
      <c r="F1910" s="17" t="s">
        <v>806</v>
      </c>
      <c r="G1910" s="22" t="s">
        <v>1036</v>
      </c>
      <c r="H1910" s="12" t="s">
        <v>9703</v>
      </c>
      <c r="I1910" s="13" t="s">
        <v>6965</v>
      </c>
      <c r="J1910" s="14" t="s">
        <v>798</v>
      </c>
      <c r="K1910" s="15" t="s">
        <v>798</v>
      </c>
      <c r="L1910" s="12" t="s">
        <v>5315</v>
      </c>
      <c r="M1910" s="13" t="s">
        <v>5953</v>
      </c>
      <c r="N1910" s="12" t="s">
        <v>803</v>
      </c>
      <c r="O1910" s="13" t="s">
        <v>5042</v>
      </c>
      <c r="P1910" s="17" t="s">
        <v>802</v>
      </c>
      <c r="Q1910" s="21" t="s">
        <v>8004</v>
      </c>
      <c r="R1910" s="17" t="s">
        <v>801</v>
      </c>
      <c r="S1910" s="18" t="s">
        <v>2585</v>
      </c>
      <c r="T1910" s="17" t="s">
        <v>800</v>
      </c>
      <c r="U1910" s="18" t="s">
        <v>5238</v>
      </c>
      <c r="V1910" s="17" t="s">
        <v>9418</v>
      </c>
      <c r="W1910" s="18" t="s">
        <v>5309</v>
      </c>
      <c r="X1910" s="69" t="s">
        <v>9453</v>
      </c>
      <c r="Y1910" s="70" t="s">
        <v>9462</v>
      </c>
      <c r="Z1910" s="73" t="s">
        <v>9486</v>
      </c>
      <c r="AA1910" s="74" t="s">
        <v>9504</v>
      </c>
      <c r="AB1910" s="73" t="s">
        <v>9486</v>
      </c>
      <c r="AC1910" s="74" t="s">
        <v>9566</v>
      </c>
      <c r="AD1910" s="73" t="s">
        <v>9578</v>
      </c>
      <c r="AE1910" s="74" t="s">
        <v>9579</v>
      </c>
    </row>
    <row r="1911" spans="1:31" ht="8.65" customHeight="1" x14ac:dyDescent="0.2">
      <c r="A1911" s="76">
        <v>1911</v>
      </c>
      <c r="B1911" s="67" t="str">
        <f>MID(C1911, FIND("Ifc.", C1911) + 4, 4) &amp; "_" &amp; TEXT(COUNTIF($C$2:C1911, C1911),"0000")</f>
        <v>Prop_1910</v>
      </c>
      <c r="C1911" s="24" t="s">
        <v>872</v>
      </c>
      <c r="D1911" s="69" t="s">
        <v>9453</v>
      </c>
      <c r="E1911" s="70" t="s">
        <v>9454</v>
      </c>
      <c r="F1911" s="17" t="s">
        <v>806</v>
      </c>
      <c r="G1911" s="22" t="s">
        <v>1036</v>
      </c>
      <c r="H1911" s="12" t="s">
        <v>9703</v>
      </c>
      <c r="I1911" s="13" t="s">
        <v>6965</v>
      </c>
      <c r="J1911" s="14" t="s">
        <v>798</v>
      </c>
      <c r="K1911" s="15" t="s">
        <v>798</v>
      </c>
      <c r="L1911" s="12" t="s">
        <v>5315</v>
      </c>
      <c r="M1911" s="13" t="s">
        <v>5954</v>
      </c>
      <c r="N1911" s="12" t="s">
        <v>803</v>
      </c>
      <c r="O1911" s="13" t="s">
        <v>5043</v>
      </c>
      <c r="P1911" s="17" t="s">
        <v>802</v>
      </c>
      <c r="Q1911" s="21" t="s">
        <v>8072</v>
      </c>
      <c r="R1911" s="17" t="s">
        <v>801</v>
      </c>
      <c r="S1911" s="18" t="s">
        <v>2585</v>
      </c>
      <c r="T1911" s="17" t="s">
        <v>800</v>
      </c>
      <c r="U1911" s="18" t="s">
        <v>5238</v>
      </c>
      <c r="V1911" s="17" t="s">
        <v>9418</v>
      </c>
      <c r="W1911" s="18" t="s">
        <v>5309</v>
      </c>
      <c r="X1911" s="69" t="s">
        <v>9453</v>
      </c>
      <c r="Y1911" s="70" t="s">
        <v>9462</v>
      </c>
      <c r="Z1911" s="73" t="s">
        <v>9486</v>
      </c>
      <c r="AA1911" s="74" t="s">
        <v>9504</v>
      </c>
      <c r="AB1911" s="73" t="s">
        <v>9486</v>
      </c>
      <c r="AC1911" s="74" t="s">
        <v>9566</v>
      </c>
      <c r="AD1911" s="73" t="s">
        <v>9578</v>
      </c>
      <c r="AE1911" s="74" t="s">
        <v>9579</v>
      </c>
    </row>
    <row r="1912" spans="1:31" ht="8.65" customHeight="1" x14ac:dyDescent="0.2">
      <c r="A1912" s="76">
        <v>1912</v>
      </c>
      <c r="B1912" s="67" t="str">
        <f>MID(C1912, FIND("Ifc.", C1912) + 4, 4) &amp; "_" &amp; TEXT(COUNTIF($C$2:C1912, C1912),"0000")</f>
        <v>Prop_1911</v>
      </c>
      <c r="C1912" s="24" t="s">
        <v>872</v>
      </c>
      <c r="D1912" s="69" t="s">
        <v>9453</v>
      </c>
      <c r="E1912" s="70" t="s">
        <v>9454</v>
      </c>
      <c r="F1912" s="17" t="s">
        <v>806</v>
      </c>
      <c r="G1912" s="22" t="s">
        <v>1036</v>
      </c>
      <c r="H1912" s="12" t="s">
        <v>9703</v>
      </c>
      <c r="I1912" s="13" t="s">
        <v>6965</v>
      </c>
      <c r="J1912" s="14" t="s">
        <v>798</v>
      </c>
      <c r="K1912" s="15" t="s">
        <v>798</v>
      </c>
      <c r="L1912" s="12" t="s">
        <v>5315</v>
      </c>
      <c r="M1912" s="13" t="s">
        <v>5783</v>
      </c>
      <c r="N1912" s="12" t="s">
        <v>803</v>
      </c>
      <c r="O1912" s="13" t="s">
        <v>5181</v>
      </c>
      <c r="P1912" s="17" t="s">
        <v>802</v>
      </c>
      <c r="Q1912" s="21" t="s">
        <v>7751</v>
      </c>
      <c r="R1912" s="17" t="s">
        <v>801</v>
      </c>
      <c r="S1912" s="18" t="s">
        <v>2585</v>
      </c>
      <c r="T1912" s="17" t="s">
        <v>800</v>
      </c>
      <c r="U1912" s="18" t="s">
        <v>5238</v>
      </c>
      <c r="V1912" s="17" t="s">
        <v>9418</v>
      </c>
      <c r="W1912" s="18" t="s">
        <v>5309</v>
      </c>
      <c r="X1912" s="69" t="s">
        <v>9453</v>
      </c>
      <c r="Y1912" s="70" t="s">
        <v>9462</v>
      </c>
      <c r="Z1912" s="73" t="s">
        <v>9486</v>
      </c>
      <c r="AA1912" s="74" t="s">
        <v>9504</v>
      </c>
      <c r="AB1912" s="73" t="s">
        <v>9486</v>
      </c>
      <c r="AC1912" s="74" t="s">
        <v>9566</v>
      </c>
      <c r="AD1912" s="73" t="s">
        <v>9578</v>
      </c>
      <c r="AE1912" s="74" t="s">
        <v>9579</v>
      </c>
    </row>
    <row r="1913" spans="1:31" ht="8.65" customHeight="1" x14ac:dyDescent="0.2">
      <c r="A1913" s="76">
        <v>1913</v>
      </c>
      <c r="B1913" s="67" t="str">
        <f>MID(C1913, FIND("Ifc.", C1913) + 4, 4) &amp; "_" &amp; TEXT(COUNTIF($C$2:C1913, C1913),"0000")</f>
        <v>Prop_1912</v>
      </c>
      <c r="C1913" s="24" t="s">
        <v>872</v>
      </c>
      <c r="D1913" s="69" t="s">
        <v>9453</v>
      </c>
      <c r="E1913" s="70" t="s">
        <v>9454</v>
      </c>
      <c r="F1913" s="17" t="s">
        <v>806</v>
      </c>
      <c r="G1913" s="22" t="s">
        <v>1036</v>
      </c>
      <c r="H1913" s="12" t="s">
        <v>9703</v>
      </c>
      <c r="I1913" s="13" t="s">
        <v>6965</v>
      </c>
      <c r="J1913" s="14" t="s">
        <v>798</v>
      </c>
      <c r="K1913" s="15" t="s">
        <v>798</v>
      </c>
      <c r="L1913" s="12" t="s">
        <v>5315</v>
      </c>
      <c r="M1913" s="13" t="s">
        <v>5581</v>
      </c>
      <c r="N1913" s="12" t="s">
        <v>803</v>
      </c>
      <c r="O1913" s="13" t="s">
        <v>5227</v>
      </c>
      <c r="P1913" s="17" t="s">
        <v>802</v>
      </c>
      <c r="Q1913" s="21" t="s">
        <v>7880</v>
      </c>
      <c r="R1913" s="17" t="s">
        <v>801</v>
      </c>
      <c r="S1913" s="18" t="s">
        <v>2583</v>
      </c>
      <c r="T1913" s="17" t="s">
        <v>800</v>
      </c>
      <c r="U1913" s="18" t="s">
        <v>5251</v>
      </c>
      <c r="V1913" s="17" t="s">
        <v>9418</v>
      </c>
      <c r="W1913" s="18" t="s">
        <v>5309</v>
      </c>
      <c r="X1913" s="69" t="s">
        <v>9453</v>
      </c>
      <c r="Y1913" s="70" t="s">
        <v>9462</v>
      </c>
      <c r="Z1913" s="73" t="s">
        <v>9486</v>
      </c>
      <c r="AA1913" s="74" t="s">
        <v>9504</v>
      </c>
      <c r="AB1913" s="73" t="s">
        <v>9486</v>
      </c>
      <c r="AC1913" s="74" t="s">
        <v>9566</v>
      </c>
      <c r="AD1913" s="73" t="s">
        <v>9578</v>
      </c>
      <c r="AE1913" s="74" t="s">
        <v>9579</v>
      </c>
    </row>
    <row r="1914" spans="1:31" ht="8.65" customHeight="1" x14ac:dyDescent="0.2">
      <c r="A1914" s="76">
        <v>1914</v>
      </c>
      <c r="B1914" s="67" t="str">
        <f>MID(C1914, FIND("Ifc.", C1914) + 4, 4) &amp; "_" &amp; TEXT(COUNTIF($C$2:C1914, C1914),"0000")</f>
        <v>Prop_1913</v>
      </c>
      <c r="C1914" s="24" t="s">
        <v>872</v>
      </c>
      <c r="D1914" s="69" t="s">
        <v>9453</v>
      </c>
      <c r="E1914" s="70" t="s">
        <v>9454</v>
      </c>
      <c r="F1914" s="17" t="s">
        <v>806</v>
      </c>
      <c r="G1914" s="22" t="s">
        <v>1468</v>
      </c>
      <c r="H1914" s="12" t="s">
        <v>9703</v>
      </c>
      <c r="I1914" s="13" t="s">
        <v>6932</v>
      </c>
      <c r="J1914" s="14" t="s">
        <v>798</v>
      </c>
      <c r="K1914" s="15" t="s">
        <v>798</v>
      </c>
      <c r="L1914" s="12" t="s">
        <v>5315</v>
      </c>
      <c r="M1914" s="13" t="s">
        <v>5484</v>
      </c>
      <c r="N1914" s="12" t="s">
        <v>803</v>
      </c>
      <c r="O1914" s="13" t="s">
        <v>5087</v>
      </c>
      <c r="P1914" s="17" t="s">
        <v>802</v>
      </c>
      <c r="Q1914" s="21" t="s">
        <v>7892</v>
      </c>
      <c r="R1914" s="17" t="s">
        <v>801</v>
      </c>
      <c r="S1914" s="18" t="s">
        <v>2585</v>
      </c>
      <c r="T1914" s="17" t="s">
        <v>800</v>
      </c>
      <c r="U1914" s="18" t="s">
        <v>5238</v>
      </c>
      <c r="V1914" s="17" t="s">
        <v>9418</v>
      </c>
      <c r="W1914" s="18" t="s">
        <v>5309</v>
      </c>
      <c r="X1914" s="69" t="s">
        <v>9453</v>
      </c>
      <c r="Y1914" s="70" t="s">
        <v>9462</v>
      </c>
      <c r="Z1914" s="73" t="s">
        <v>9486</v>
      </c>
      <c r="AA1914" s="74" t="s">
        <v>9504</v>
      </c>
      <c r="AB1914" s="73" t="s">
        <v>9486</v>
      </c>
      <c r="AC1914" s="74" t="s">
        <v>9566</v>
      </c>
      <c r="AD1914" s="73" t="s">
        <v>9578</v>
      </c>
      <c r="AE1914" s="74" t="s">
        <v>9579</v>
      </c>
    </row>
    <row r="1915" spans="1:31" ht="8.65" customHeight="1" x14ac:dyDescent="0.2">
      <c r="A1915" s="76">
        <v>1915</v>
      </c>
      <c r="B1915" s="67" t="str">
        <f>MID(C1915, FIND("Ifc.", C1915) + 4, 4) &amp; "_" &amp; TEXT(COUNTIF($C$2:C1915, C1915),"0000")</f>
        <v>Prop_1914</v>
      </c>
      <c r="C1915" s="24" t="s">
        <v>872</v>
      </c>
      <c r="D1915" s="69" t="s">
        <v>9453</v>
      </c>
      <c r="E1915" s="70" t="s">
        <v>9454</v>
      </c>
      <c r="F1915" s="17" t="s">
        <v>806</v>
      </c>
      <c r="G1915" s="22" t="s">
        <v>1468</v>
      </c>
      <c r="H1915" s="12" t="s">
        <v>9703</v>
      </c>
      <c r="I1915" s="13" t="s">
        <v>6932</v>
      </c>
      <c r="J1915" s="14" t="s">
        <v>798</v>
      </c>
      <c r="K1915" s="15" t="s">
        <v>798</v>
      </c>
      <c r="L1915" s="12" t="s">
        <v>5315</v>
      </c>
      <c r="M1915" s="13" t="s">
        <v>5799</v>
      </c>
      <c r="N1915" s="12" t="s">
        <v>803</v>
      </c>
      <c r="O1915" s="13" t="s">
        <v>5192</v>
      </c>
      <c r="P1915" s="17" t="s">
        <v>802</v>
      </c>
      <c r="Q1915" s="21" t="s">
        <v>8073</v>
      </c>
      <c r="R1915" s="17" t="s">
        <v>801</v>
      </c>
      <c r="S1915" s="18" t="s">
        <v>2585</v>
      </c>
      <c r="T1915" s="17" t="s">
        <v>800</v>
      </c>
      <c r="U1915" s="18" t="s">
        <v>5238</v>
      </c>
      <c r="V1915" s="17" t="s">
        <v>9418</v>
      </c>
      <c r="W1915" s="18" t="s">
        <v>5309</v>
      </c>
      <c r="X1915" s="69" t="s">
        <v>9453</v>
      </c>
      <c r="Y1915" s="70" t="s">
        <v>9462</v>
      </c>
      <c r="Z1915" s="73" t="s">
        <v>9486</v>
      </c>
      <c r="AA1915" s="74" t="s">
        <v>9504</v>
      </c>
      <c r="AB1915" s="73" t="s">
        <v>9486</v>
      </c>
      <c r="AC1915" s="74" t="s">
        <v>9566</v>
      </c>
      <c r="AD1915" s="73" t="s">
        <v>9578</v>
      </c>
      <c r="AE1915" s="74" t="s">
        <v>9579</v>
      </c>
    </row>
    <row r="1916" spans="1:31" ht="8.65" customHeight="1" x14ac:dyDescent="0.2">
      <c r="A1916" s="76">
        <v>1916</v>
      </c>
      <c r="B1916" s="67" t="str">
        <f>MID(C1916, FIND("Ifc.", C1916) + 4, 4) &amp; "_" &amp; TEXT(COUNTIF($C$2:C1916, C1916),"0000")</f>
        <v>Prop_1915</v>
      </c>
      <c r="C1916" s="24" t="s">
        <v>872</v>
      </c>
      <c r="D1916" s="69" t="s">
        <v>9453</v>
      </c>
      <c r="E1916" s="70" t="s">
        <v>9454</v>
      </c>
      <c r="F1916" s="17" t="s">
        <v>806</v>
      </c>
      <c r="G1916" s="22" t="s">
        <v>1468</v>
      </c>
      <c r="H1916" s="12" t="s">
        <v>9703</v>
      </c>
      <c r="I1916" s="13" t="s">
        <v>6932</v>
      </c>
      <c r="J1916" s="14" t="s">
        <v>798</v>
      </c>
      <c r="K1916" s="15" t="s">
        <v>798</v>
      </c>
      <c r="L1916" s="12" t="s">
        <v>5315</v>
      </c>
      <c r="M1916" s="13" t="s">
        <v>5800</v>
      </c>
      <c r="N1916" s="12" t="s">
        <v>803</v>
      </c>
      <c r="O1916" s="13" t="s">
        <v>5193</v>
      </c>
      <c r="P1916" s="17" t="s">
        <v>802</v>
      </c>
      <c r="Q1916" s="21" t="s">
        <v>7993</v>
      </c>
      <c r="R1916" s="17" t="s">
        <v>801</v>
      </c>
      <c r="S1916" s="18" t="s">
        <v>2585</v>
      </c>
      <c r="T1916" s="17" t="s">
        <v>800</v>
      </c>
      <c r="U1916" s="18" t="s">
        <v>5238</v>
      </c>
      <c r="V1916" s="17" t="s">
        <v>9418</v>
      </c>
      <c r="W1916" s="18" t="s">
        <v>5309</v>
      </c>
      <c r="X1916" s="69" t="s">
        <v>9453</v>
      </c>
      <c r="Y1916" s="70" t="s">
        <v>9462</v>
      </c>
      <c r="Z1916" s="73" t="s">
        <v>9486</v>
      </c>
      <c r="AA1916" s="74" t="s">
        <v>9504</v>
      </c>
      <c r="AB1916" s="73" t="s">
        <v>9486</v>
      </c>
      <c r="AC1916" s="74" t="s">
        <v>9566</v>
      </c>
      <c r="AD1916" s="73" t="s">
        <v>9578</v>
      </c>
      <c r="AE1916" s="74" t="s">
        <v>9579</v>
      </c>
    </row>
    <row r="1917" spans="1:31" ht="8.65" customHeight="1" x14ac:dyDescent="0.2">
      <c r="A1917" s="76">
        <v>1917</v>
      </c>
      <c r="B1917" s="67" t="str">
        <f>MID(C1917, FIND("Ifc.", C1917) + 4, 4) &amp; "_" &amp; TEXT(COUNTIF($C$2:C1917, C1917),"0000")</f>
        <v>Prop_1916</v>
      </c>
      <c r="C1917" s="24" t="s">
        <v>872</v>
      </c>
      <c r="D1917" s="69" t="s">
        <v>9453</v>
      </c>
      <c r="E1917" s="70" t="s">
        <v>9454</v>
      </c>
      <c r="F1917" s="17" t="s">
        <v>806</v>
      </c>
      <c r="G1917" s="22" t="s">
        <v>1468</v>
      </c>
      <c r="H1917" s="12" t="s">
        <v>9703</v>
      </c>
      <c r="I1917" s="13" t="s">
        <v>6932</v>
      </c>
      <c r="J1917" s="14" t="s">
        <v>798</v>
      </c>
      <c r="K1917" s="15" t="s">
        <v>798</v>
      </c>
      <c r="L1917" s="12" t="s">
        <v>5315</v>
      </c>
      <c r="M1917" s="13" t="s">
        <v>5801</v>
      </c>
      <c r="N1917" s="12" t="s">
        <v>803</v>
      </c>
      <c r="O1917" s="13" t="s">
        <v>5194</v>
      </c>
      <c r="P1917" s="17" t="s">
        <v>802</v>
      </c>
      <c r="Q1917" s="21" t="s">
        <v>7923</v>
      </c>
      <c r="R1917" s="17" t="s">
        <v>801</v>
      </c>
      <c r="S1917" s="18" t="s">
        <v>2585</v>
      </c>
      <c r="T1917" s="17" t="s">
        <v>800</v>
      </c>
      <c r="U1917" s="18" t="s">
        <v>5238</v>
      </c>
      <c r="V1917" s="17" t="s">
        <v>9418</v>
      </c>
      <c r="W1917" s="18" t="s">
        <v>5309</v>
      </c>
      <c r="X1917" s="69" t="s">
        <v>9453</v>
      </c>
      <c r="Y1917" s="70" t="s">
        <v>9462</v>
      </c>
      <c r="Z1917" s="73" t="s">
        <v>9486</v>
      </c>
      <c r="AA1917" s="74" t="s">
        <v>9504</v>
      </c>
      <c r="AB1917" s="73" t="s">
        <v>9486</v>
      </c>
      <c r="AC1917" s="74" t="s">
        <v>9566</v>
      </c>
      <c r="AD1917" s="73" t="s">
        <v>9578</v>
      </c>
      <c r="AE1917" s="74" t="s">
        <v>9579</v>
      </c>
    </row>
    <row r="1918" spans="1:31" ht="8.65" customHeight="1" x14ac:dyDescent="0.2">
      <c r="A1918" s="76">
        <v>1918</v>
      </c>
      <c r="B1918" s="67" t="str">
        <f>MID(C1918, FIND("Ifc.", C1918) + 4, 4) &amp; "_" &amp; TEXT(COUNTIF($C$2:C1918, C1918),"0000")</f>
        <v>Prop_1917</v>
      </c>
      <c r="C1918" s="24" t="s">
        <v>872</v>
      </c>
      <c r="D1918" s="69" t="s">
        <v>9453</v>
      </c>
      <c r="E1918" s="70" t="s">
        <v>9454</v>
      </c>
      <c r="F1918" s="17" t="s">
        <v>806</v>
      </c>
      <c r="G1918" s="22" t="s">
        <v>1468</v>
      </c>
      <c r="H1918" s="12" t="s">
        <v>9703</v>
      </c>
      <c r="I1918" s="13" t="s">
        <v>6932</v>
      </c>
      <c r="J1918" s="14" t="s">
        <v>798</v>
      </c>
      <c r="K1918" s="15" t="s">
        <v>798</v>
      </c>
      <c r="L1918" s="12" t="s">
        <v>5315</v>
      </c>
      <c r="M1918" s="13" t="s">
        <v>5810</v>
      </c>
      <c r="N1918" s="12" t="s">
        <v>803</v>
      </c>
      <c r="O1918" s="13" t="s">
        <v>4942</v>
      </c>
      <c r="P1918" s="17" t="s">
        <v>802</v>
      </c>
      <c r="Q1918" s="21" t="s">
        <v>7994</v>
      </c>
      <c r="R1918" s="17" t="s">
        <v>801</v>
      </c>
      <c r="S1918" s="18" t="s">
        <v>2585</v>
      </c>
      <c r="T1918" s="17" t="s">
        <v>800</v>
      </c>
      <c r="U1918" s="18" t="s">
        <v>5238</v>
      </c>
      <c r="V1918" s="17" t="s">
        <v>9418</v>
      </c>
      <c r="W1918" s="18" t="s">
        <v>5309</v>
      </c>
      <c r="X1918" s="69" t="s">
        <v>9453</v>
      </c>
      <c r="Y1918" s="70" t="s">
        <v>9462</v>
      </c>
      <c r="Z1918" s="73" t="s">
        <v>9486</v>
      </c>
      <c r="AA1918" s="74" t="s">
        <v>9504</v>
      </c>
      <c r="AB1918" s="73" t="s">
        <v>9486</v>
      </c>
      <c r="AC1918" s="74" t="s">
        <v>9566</v>
      </c>
      <c r="AD1918" s="73" t="s">
        <v>9578</v>
      </c>
      <c r="AE1918" s="74" t="s">
        <v>9579</v>
      </c>
    </row>
    <row r="1919" spans="1:31" ht="8.65" customHeight="1" x14ac:dyDescent="0.2">
      <c r="A1919" s="76">
        <v>1919</v>
      </c>
      <c r="B1919" s="67" t="str">
        <f>MID(C1919, FIND("Ifc.", C1919) + 4, 4) &amp; "_" &amp; TEXT(COUNTIF($C$2:C1919, C1919),"0000")</f>
        <v>Prop_1918</v>
      </c>
      <c r="C1919" s="24" t="s">
        <v>872</v>
      </c>
      <c r="D1919" s="69" t="s">
        <v>9453</v>
      </c>
      <c r="E1919" s="70" t="s">
        <v>9454</v>
      </c>
      <c r="F1919" s="17" t="s">
        <v>806</v>
      </c>
      <c r="G1919" s="22" t="s">
        <v>1468</v>
      </c>
      <c r="H1919" s="12" t="s">
        <v>9703</v>
      </c>
      <c r="I1919" s="13" t="s">
        <v>6932</v>
      </c>
      <c r="J1919" s="14" t="s">
        <v>798</v>
      </c>
      <c r="K1919" s="15" t="s">
        <v>798</v>
      </c>
      <c r="L1919" s="12" t="s">
        <v>5315</v>
      </c>
      <c r="M1919" s="13" t="s">
        <v>5803</v>
      </c>
      <c r="N1919" s="12" t="s">
        <v>803</v>
      </c>
      <c r="O1919" s="13" t="s">
        <v>5196</v>
      </c>
      <c r="P1919" s="17" t="s">
        <v>802</v>
      </c>
      <c r="Q1919" s="21" t="s">
        <v>7930</v>
      </c>
      <c r="R1919" s="17" t="s">
        <v>801</v>
      </c>
      <c r="S1919" s="18" t="s">
        <v>2585</v>
      </c>
      <c r="T1919" s="17" t="s">
        <v>800</v>
      </c>
      <c r="U1919" s="18" t="s">
        <v>5238</v>
      </c>
      <c r="V1919" s="17" t="s">
        <v>9418</v>
      </c>
      <c r="W1919" s="18" t="s">
        <v>5309</v>
      </c>
      <c r="X1919" s="69" t="s">
        <v>9453</v>
      </c>
      <c r="Y1919" s="70" t="s">
        <v>9462</v>
      </c>
      <c r="Z1919" s="73" t="s">
        <v>9486</v>
      </c>
      <c r="AA1919" s="74" t="s">
        <v>9504</v>
      </c>
      <c r="AB1919" s="73" t="s">
        <v>9486</v>
      </c>
      <c r="AC1919" s="74" t="s">
        <v>9566</v>
      </c>
      <c r="AD1919" s="73" t="s">
        <v>9578</v>
      </c>
      <c r="AE1919" s="74" t="s">
        <v>9579</v>
      </c>
    </row>
    <row r="1920" spans="1:31" ht="8.65" customHeight="1" x14ac:dyDescent="0.2">
      <c r="A1920" s="76">
        <v>1920</v>
      </c>
      <c r="B1920" s="67" t="str">
        <f>MID(C1920, FIND("Ifc.", C1920) + 4, 4) &amp; "_" &amp; TEXT(COUNTIF($C$2:C1920, C1920),"0000")</f>
        <v>Prop_1919</v>
      </c>
      <c r="C1920" s="24" t="s">
        <v>872</v>
      </c>
      <c r="D1920" s="69" t="s">
        <v>9453</v>
      </c>
      <c r="E1920" s="70" t="s">
        <v>9454</v>
      </c>
      <c r="F1920" s="17" t="s">
        <v>806</v>
      </c>
      <c r="G1920" s="22" t="s">
        <v>1907</v>
      </c>
      <c r="H1920" s="12" t="s">
        <v>9703</v>
      </c>
      <c r="I1920" s="13" t="s">
        <v>7033</v>
      </c>
      <c r="J1920" s="14" t="s">
        <v>798</v>
      </c>
      <c r="K1920" s="15" t="s">
        <v>798</v>
      </c>
      <c r="L1920" s="12" t="s">
        <v>5315</v>
      </c>
      <c r="M1920" s="13" t="s">
        <v>5467</v>
      </c>
      <c r="N1920" s="12" t="s">
        <v>803</v>
      </c>
      <c r="O1920" s="13" t="s">
        <v>5055</v>
      </c>
      <c r="P1920" s="17" t="s">
        <v>802</v>
      </c>
      <c r="Q1920" s="21" t="s">
        <v>7894</v>
      </c>
      <c r="R1920" s="17" t="s">
        <v>801</v>
      </c>
      <c r="S1920" s="18" t="s">
        <v>2554</v>
      </c>
      <c r="T1920" s="17" t="s">
        <v>800</v>
      </c>
      <c r="U1920" s="18" t="s">
        <v>5233</v>
      </c>
      <c r="V1920" s="17" t="s">
        <v>9418</v>
      </c>
      <c r="W1920" s="18" t="s">
        <v>5309</v>
      </c>
      <c r="X1920" s="69" t="s">
        <v>9453</v>
      </c>
      <c r="Y1920" s="70" t="s">
        <v>9462</v>
      </c>
      <c r="Z1920" s="73" t="s">
        <v>9486</v>
      </c>
      <c r="AA1920" s="74" t="s">
        <v>9504</v>
      </c>
      <c r="AB1920" s="73" t="s">
        <v>9486</v>
      </c>
      <c r="AC1920" s="74" t="s">
        <v>9562</v>
      </c>
      <c r="AD1920" s="73" t="s">
        <v>9578</v>
      </c>
      <c r="AE1920" s="74" t="s">
        <v>9579</v>
      </c>
    </row>
    <row r="1921" spans="1:31" ht="8.65" customHeight="1" x14ac:dyDescent="0.2">
      <c r="A1921" s="76">
        <v>1921</v>
      </c>
      <c r="B1921" s="67" t="str">
        <f>MID(C1921, FIND("Ifc.", C1921) + 4, 4) &amp; "_" &amp; TEXT(COUNTIF($C$2:C1921, C1921),"0000")</f>
        <v>Prop_1920</v>
      </c>
      <c r="C1921" s="24" t="s">
        <v>872</v>
      </c>
      <c r="D1921" s="69" t="s">
        <v>9453</v>
      </c>
      <c r="E1921" s="70" t="s">
        <v>9454</v>
      </c>
      <c r="F1921" s="17" t="s">
        <v>806</v>
      </c>
      <c r="G1921" s="22" t="s">
        <v>1158</v>
      </c>
      <c r="H1921" s="12" t="s">
        <v>9703</v>
      </c>
      <c r="I1921" s="13" t="s">
        <v>6862</v>
      </c>
      <c r="J1921" s="14" t="s">
        <v>798</v>
      </c>
      <c r="K1921" s="15" t="s">
        <v>798</v>
      </c>
      <c r="L1921" s="12" t="s">
        <v>5315</v>
      </c>
      <c r="M1921" s="13" t="s">
        <v>6044</v>
      </c>
      <c r="N1921" s="12" t="s">
        <v>803</v>
      </c>
      <c r="O1921" s="13" t="s">
        <v>4871</v>
      </c>
      <c r="P1921" s="17" t="s">
        <v>802</v>
      </c>
      <c r="Q1921" s="21" t="s">
        <v>7933</v>
      </c>
      <c r="R1921" s="17" t="s">
        <v>801</v>
      </c>
      <c r="S1921" s="18" t="s">
        <v>2585</v>
      </c>
      <c r="T1921" s="17" t="s">
        <v>800</v>
      </c>
      <c r="U1921" s="18" t="s">
        <v>5238</v>
      </c>
      <c r="V1921" s="17" t="s">
        <v>9418</v>
      </c>
      <c r="W1921" s="18" t="s">
        <v>5309</v>
      </c>
      <c r="X1921" s="69" t="s">
        <v>9453</v>
      </c>
      <c r="Y1921" s="70" t="s">
        <v>9462</v>
      </c>
      <c r="Z1921" s="73" t="s">
        <v>9486</v>
      </c>
      <c r="AA1921" s="74" t="s">
        <v>9504</v>
      </c>
      <c r="AB1921" s="73" t="s">
        <v>9486</v>
      </c>
      <c r="AC1921" s="74" t="s">
        <v>9566</v>
      </c>
      <c r="AD1921" s="73" t="s">
        <v>9578</v>
      </c>
      <c r="AE1921" s="74" t="s">
        <v>9579</v>
      </c>
    </row>
    <row r="1922" spans="1:31" ht="8.65" customHeight="1" x14ac:dyDescent="0.2">
      <c r="A1922" s="76">
        <v>1922</v>
      </c>
      <c r="B1922" s="67" t="str">
        <f>MID(C1922, FIND("Ifc.", C1922) + 4, 4) &amp; "_" &amp; TEXT(COUNTIF($C$2:C1922, C1922),"0000")</f>
        <v>Prop_1921</v>
      </c>
      <c r="C1922" s="24" t="s">
        <v>872</v>
      </c>
      <c r="D1922" s="69" t="s">
        <v>9453</v>
      </c>
      <c r="E1922" s="70" t="s">
        <v>9454</v>
      </c>
      <c r="F1922" s="17" t="s">
        <v>806</v>
      </c>
      <c r="G1922" s="22" t="s">
        <v>1157</v>
      </c>
      <c r="H1922" s="12" t="s">
        <v>9703</v>
      </c>
      <c r="I1922" s="13" t="s">
        <v>6861</v>
      </c>
      <c r="J1922" s="14" t="s">
        <v>798</v>
      </c>
      <c r="K1922" s="15" t="s">
        <v>798</v>
      </c>
      <c r="L1922" s="12" t="s">
        <v>5315</v>
      </c>
      <c r="M1922" s="13" t="s">
        <v>6044</v>
      </c>
      <c r="N1922" s="12" t="s">
        <v>803</v>
      </c>
      <c r="O1922" s="13" t="s">
        <v>4871</v>
      </c>
      <c r="P1922" s="17" t="s">
        <v>802</v>
      </c>
      <c r="Q1922" s="21" t="s">
        <v>7933</v>
      </c>
      <c r="R1922" s="17" t="s">
        <v>801</v>
      </c>
      <c r="S1922" s="18" t="s">
        <v>2585</v>
      </c>
      <c r="T1922" s="17" t="s">
        <v>800</v>
      </c>
      <c r="U1922" s="18" t="s">
        <v>5238</v>
      </c>
      <c r="V1922" s="17" t="s">
        <v>9418</v>
      </c>
      <c r="W1922" s="18" t="s">
        <v>5309</v>
      </c>
      <c r="X1922" s="69" t="s">
        <v>9453</v>
      </c>
      <c r="Y1922" s="70" t="s">
        <v>9462</v>
      </c>
      <c r="Z1922" s="73" t="s">
        <v>9486</v>
      </c>
      <c r="AA1922" s="74" t="s">
        <v>9504</v>
      </c>
      <c r="AB1922" s="73" t="s">
        <v>9486</v>
      </c>
      <c r="AC1922" s="74" t="s">
        <v>9566</v>
      </c>
      <c r="AD1922" s="73" t="s">
        <v>9578</v>
      </c>
      <c r="AE1922" s="74" t="s">
        <v>9579</v>
      </c>
    </row>
    <row r="1923" spans="1:31" ht="8.65" customHeight="1" x14ac:dyDescent="0.2">
      <c r="A1923" s="76">
        <v>1923</v>
      </c>
      <c r="B1923" s="67" t="str">
        <f>MID(C1923, FIND("Ifc.", C1923) + 4, 4) &amp; "_" &amp; TEXT(COUNTIF($C$2:C1923, C1923),"0000")</f>
        <v>Prop_1922</v>
      </c>
      <c r="C1923" s="24" t="s">
        <v>872</v>
      </c>
      <c r="D1923" s="69" t="s">
        <v>9453</v>
      </c>
      <c r="E1923" s="70" t="s">
        <v>9454</v>
      </c>
      <c r="F1923" s="17" t="s">
        <v>806</v>
      </c>
      <c r="G1923" s="22" t="s">
        <v>965</v>
      </c>
      <c r="H1923" s="12" t="s">
        <v>9703</v>
      </c>
      <c r="I1923" s="13" t="s">
        <v>6846</v>
      </c>
      <c r="J1923" s="14" t="s">
        <v>798</v>
      </c>
      <c r="K1923" s="15" t="s">
        <v>798</v>
      </c>
      <c r="L1923" s="12" t="s">
        <v>5315</v>
      </c>
      <c r="M1923" s="13" t="s">
        <v>5985</v>
      </c>
      <c r="N1923" s="12" t="s">
        <v>803</v>
      </c>
      <c r="O1923" s="13" t="s">
        <v>4823</v>
      </c>
      <c r="P1923" s="17" t="s">
        <v>802</v>
      </c>
      <c r="Q1923" s="21" t="s">
        <v>7974</v>
      </c>
      <c r="R1923" s="17" t="s">
        <v>801</v>
      </c>
      <c r="S1923" s="18" t="s">
        <v>2559</v>
      </c>
      <c r="T1923" s="17" t="s">
        <v>800</v>
      </c>
      <c r="U1923" s="18" t="s">
        <v>5234</v>
      </c>
      <c r="V1923" s="17" t="s">
        <v>9418</v>
      </c>
      <c r="W1923" s="18" t="s">
        <v>5311</v>
      </c>
      <c r="X1923" s="69" t="s">
        <v>9453</v>
      </c>
      <c r="Y1923" s="70" t="s">
        <v>9466</v>
      </c>
      <c r="Z1923" s="73" t="s">
        <v>9486</v>
      </c>
      <c r="AA1923" s="74" t="s">
        <v>9504</v>
      </c>
      <c r="AB1923" s="73" t="s">
        <v>9486</v>
      </c>
      <c r="AC1923" s="74" t="s">
        <v>9562</v>
      </c>
      <c r="AD1923" s="73" t="s">
        <v>9578</v>
      </c>
      <c r="AE1923" s="74" t="s">
        <v>9579</v>
      </c>
    </row>
    <row r="1924" spans="1:31" ht="8.65" customHeight="1" x14ac:dyDescent="0.2">
      <c r="A1924" s="76">
        <v>1924</v>
      </c>
      <c r="B1924" s="67" t="str">
        <f>MID(C1924, FIND("Ifc.", C1924) + 4, 4) &amp; "_" &amp; TEXT(COUNTIF($C$2:C1924, C1924),"0000")</f>
        <v>Prop_1923</v>
      </c>
      <c r="C1924" s="24" t="s">
        <v>872</v>
      </c>
      <c r="D1924" s="69" t="s">
        <v>9453</v>
      </c>
      <c r="E1924" s="70" t="s">
        <v>9454</v>
      </c>
      <c r="F1924" s="17" t="s">
        <v>806</v>
      </c>
      <c r="G1924" s="22" t="s">
        <v>1829</v>
      </c>
      <c r="H1924" s="12" t="s">
        <v>9703</v>
      </c>
      <c r="I1924" s="13" t="s">
        <v>7021</v>
      </c>
      <c r="J1924" s="14" t="s">
        <v>798</v>
      </c>
      <c r="K1924" s="15" t="s">
        <v>798</v>
      </c>
      <c r="L1924" s="12" t="s">
        <v>5315</v>
      </c>
      <c r="M1924" s="13" t="s">
        <v>5944</v>
      </c>
      <c r="N1924" s="12" t="s">
        <v>803</v>
      </c>
      <c r="O1924" s="13" t="s">
        <v>5028</v>
      </c>
      <c r="P1924" s="17" t="s">
        <v>802</v>
      </c>
      <c r="Q1924" s="21" t="s">
        <v>8074</v>
      </c>
      <c r="R1924" s="17" t="s">
        <v>801</v>
      </c>
      <c r="S1924" s="18" t="s">
        <v>2585</v>
      </c>
      <c r="T1924" s="17" t="s">
        <v>800</v>
      </c>
      <c r="U1924" s="18" t="s">
        <v>5238</v>
      </c>
      <c r="V1924" s="17" t="s">
        <v>9418</v>
      </c>
      <c r="W1924" s="18" t="s">
        <v>5309</v>
      </c>
      <c r="X1924" s="69" t="s">
        <v>9453</v>
      </c>
      <c r="Y1924" s="70" t="s">
        <v>9462</v>
      </c>
      <c r="Z1924" s="73" t="s">
        <v>9486</v>
      </c>
      <c r="AA1924" s="74" t="s">
        <v>9504</v>
      </c>
      <c r="AB1924" s="73" t="s">
        <v>9486</v>
      </c>
      <c r="AC1924" s="74" t="s">
        <v>9566</v>
      </c>
      <c r="AD1924" s="73" t="s">
        <v>9578</v>
      </c>
      <c r="AE1924" s="74" t="s">
        <v>9579</v>
      </c>
    </row>
    <row r="1925" spans="1:31" ht="8.65" customHeight="1" x14ac:dyDescent="0.2">
      <c r="A1925" s="76">
        <v>1925</v>
      </c>
      <c r="B1925" s="67" t="str">
        <f>MID(C1925, FIND("Ifc.", C1925) + 4, 4) &amp; "_" &amp; TEXT(COUNTIF($C$2:C1925, C1925),"0000")</f>
        <v>Prop_1924</v>
      </c>
      <c r="C1925" s="24" t="s">
        <v>872</v>
      </c>
      <c r="D1925" s="69" t="s">
        <v>9453</v>
      </c>
      <c r="E1925" s="70" t="s">
        <v>9454</v>
      </c>
      <c r="F1925" s="17" t="s">
        <v>806</v>
      </c>
      <c r="G1925" s="22" t="s">
        <v>1829</v>
      </c>
      <c r="H1925" s="12" t="s">
        <v>9703</v>
      </c>
      <c r="I1925" s="13" t="s">
        <v>7021</v>
      </c>
      <c r="J1925" s="14" t="s">
        <v>798</v>
      </c>
      <c r="K1925" s="15" t="s">
        <v>798</v>
      </c>
      <c r="L1925" s="12" t="s">
        <v>5315</v>
      </c>
      <c r="M1925" s="13" t="s">
        <v>5565</v>
      </c>
      <c r="N1925" s="12" t="s">
        <v>803</v>
      </c>
      <c r="O1925" s="13" t="s">
        <v>5198</v>
      </c>
      <c r="P1925" s="17" t="s">
        <v>802</v>
      </c>
      <c r="Q1925" s="21" t="s">
        <v>8075</v>
      </c>
      <c r="R1925" s="17" t="s">
        <v>801</v>
      </c>
      <c r="S1925" s="18" t="s">
        <v>2585</v>
      </c>
      <c r="T1925" s="17" t="s">
        <v>800</v>
      </c>
      <c r="U1925" s="18" t="s">
        <v>5238</v>
      </c>
      <c r="V1925" s="17" t="s">
        <v>9418</v>
      </c>
      <c r="W1925" s="18" t="s">
        <v>5309</v>
      </c>
      <c r="X1925" s="69" t="s">
        <v>9453</v>
      </c>
      <c r="Y1925" s="70" t="s">
        <v>9462</v>
      </c>
      <c r="Z1925" s="73" t="s">
        <v>9486</v>
      </c>
      <c r="AA1925" s="74" t="s">
        <v>9504</v>
      </c>
      <c r="AB1925" s="73" t="s">
        <v>9486</v>
      </c>
      <c r="AC1925" s="74" t="s">
        <v>9566</v>
      </c>
      <c r="AD1925" s="73" t="s">
        <v>9578</v>
      </c>
      <c r="AE1925" s="74" t="s">
        <v>9579</v>
      </c>
    </row>
    <row r="1926" spans="1:31" ht="8.65" customHeight="1" x14ac:dyDescent="0.2">
      <c r="A1926" s="76">
        <v>1926</v>
      </c>
      <c r="B1926" s="67" t="str">
        <f>MID(C1926, FIND("Ifc.", C1926) + 4, 4) &amp; "_" &amp; TEXT(COUNTIF($C$2:C1926, C1926),"0000")</f>
        <v>Prop_1925</v>
      </c>
      <c r="C1926" s="24" t="s">
        <v>872</v>
      </c>
      <c r="D1926" s="69" t="s">
        <v>9453</v>
      </c>
      <c r="E1926" s="70" t="s">
        <v>9454</v>
      </c>
      <c r="F1926" s="17" t="s">
        <v>806</v>
      </c>
      <c r="G1926" s="22" t="s">
        <v>1764</v>
      </c>
      <c r="H1926" s="12" t="s">
        <v>9703</v>
      </c>
      <c r="I1926" s="13" t="s">
        <v>6908</v>
      </c>
      <c r="J1926" s="14" t="s">
        <v>798</v>
      </c>
      <c r="K1926" s="15" t="s">
        <v>798</v>
      </c>
      <c r="L1926" s="12" t="s">
        <v>5315</v>
      </c>
      <c r="M1926" s="13" t="s">
        <v>5451</v>
      </c>
      <c r="N1926" s="12" t="s">
        <v>803</v>
      </c>
      <c r="O1926" s="13" t="s">
        <v>5009</v>
      </c>
      <c r="P1926" s="17" t="s">
        <v>802</v>
      </c>
      <c r="Q1926" s="21" t="s">
        <v>7857</v>
      </c>
      <c r="R1926" s="17" t="s">
        <v>801</v>
      </c>
      <c r="S1926" s="18" t="s">
        <v>2585</v>
      </c>
      <c r="T1926" s="17" t="s">
        <v>800</v>
      </c>
      <c r="U1926" s="18" t="s">
        <v>5238</v>
      </c>
      <c r="V1926" s="17" t="s">
        <v>9418</v>
      </c>
      <c r="W1926" s="18" t="s">
        <v>5309</v>
      </c>
      <c r="X1926" s="69" t="s">
        <v>9453</v>
      </c>
      <c r="Y1926" s="70" t="s">
        <v>9462</v>
      </c>
      <c r="Z1926" s="73" t="s">
        <v>9486</v>
      </c>
      <c r="AA1926" s="74" t="s">
        <v>9504</v>
      </c>
      <c r="AB1926" s="73" t="s">
        <v>9486</v>
      </c>
      <c r="AC1926" s="74" t="s">
        <v>9566</v>
      </c>
      <c r="AD1926" s="73" t="s">
        <v>9578</v>
      </c>
      <c r="AE1926" s="74" t="s">
        <v>9579</v>
      </c>
    </row>
    <row r="1927" spans="1:31" ht="8.65" customHeight="1" x14ac:dyDescent="0.2">
      <c r="A1927" s="76">
        <v>1927</v>
      </c>
      <c r="B1927" s="67" t="str">
        <f>MID(C1927, FIND("Ifc.", C1927) + 4, 4) &amp; "_" &amp; TEXT(COUNTIF($C$2:C1927, C1927),"0000")</f>
        <v>Prop_1926</v>
      </c>
      <c r="C1927" s="24" t="s">
        <v>872</v>
      </c>
      <c r="D1927" s="69" t="s">
        <v>9453</v>
      </c>
      <c r="E1927" s="70" t="s">
        <v>9454</v>
      </c>
      <c r="F1927" s="17" t="s">
        <v>806</v>
      </c>
      <c r="G1927" s="22" t="s">
        <v>1837</v>
      </c>
      <c r="H1927" s="12" t="s">
        <v>9703</v>
      </c>
      <c r="I1927" s="13" t="s">
        <v>6527</v>
      </c>
      <c r="J1927" s="14" t="s">
        <v>798</v>
      </c>
      <c r="K1927" s="15" t="s">
        <v>798</v>
      </c>
      <c r="L1927" s="12" t="s">
        <v>5315</v>
      </c>
      <c r="M1927" s="13" t="s">
        <v>5946</v>
      </c>
      <c r="N1927" s="12" t="s">
        <v>803</v>
      </c>
      <c r="O1927" s="13" t="s">
        <v>5031</v>
      </c>
      <c r="P1927" s="17" t="s">
        <v>802</v>
      </c>
      <c r="Q1927" s="21" t="s">
        <v>7924</v>
      </c>
      <c r="R1927" s="17" t="s">
        <v>801</v>
      </c>
      <c r="S1927" s="18" t="s">
        <v>2585</v>
      </c>
      <c r="T1927" s="17" t="s">
        <v>800</v>
      </c>
      <c r="U1927" s="18" t="s">
        <v>5238</v>
      </c>
      <c r="V1927" s="17" t="s">
        <v>9418</v>
      </c>
      <c r="W1927" s="18" t="s">
        <v>5309</v>
      </c>
      <c r="X1927" s="69" t="s">
        <v>9453</v>
      </c>
      <c r="Y1927" s="70" t="s">
        <v>9462</v>
      </c>
      <c r="Z1927" s="73" t="s">
        <v>9486</v>
      </c>
      <c r="AA1927" s="74" t="s">
        <v>9504</v>
      </c>
      <c r="AB1927" s="73" t="s">
        <v>9486</v>
      </c>
      <c r="AC1927" s="74" t="s">
        <v>9566</v>
      </c>
      <c r="AD1927" s="73" t="s">
        <v>9578</v>
      </c>
      <c r="AE1927" s="74" t="s">
        <v>9579</v>
      </c>
    </row>
    <row r="1928" spans="1:31" ht="8.65" customHeight="1" x14ac:dyDescent="0.2">
      <c r="A1928" s="76">
        <v>1928</v>
      </c>
      <c r="B1928" s="67" t="str">
        <f>MID(C1928, FIND("Ifc.", C1928) + 4, 4) &amp; "_" &amp; TEXT(COUNTIF($C$2:C1928, C1928),"0000")</f>
        <v>Prop_1927</v>
      </c>
      <c r="C1928" s="24" t="s">
        <v>872</v>
      </c>
      <c r="D1928" s="69" t="s">
        <v>9453</v>
      </c>
      <c r="E1928" s="70" t="s">
        <v>9454</v>
      </c>
      <c r="F1928" s="17" t="s">
        <v>806</v>
      </c>
      <c r="G1928" s="22" t="s">
        <v>985</v>
      </c>
      <c r="H1928" s="12" t="s">
        <v>9703</v>
      </c>
      <c r="I1928" s="13" t="s">
        <v>6097</v>
      </c>
      <c r="J1928" s="14" t="s">
        <v>798</v>
      </c>
      <c r="K1928" s="15" t="s">
        <v>798</v>
      </c>
      <c r="L1928" s="12" t="s">
        <v>5315</v>
      </c>
      <c r="M1928" s="13" t="s">
        <v>5990</v>
      </c>
      <c r="N1928" s="12" t="s">
        <v>803</v>
      </c>
      <c r="O1928" s="13" t="s">
        <v>4827</v>
      </c>
      <c r="P1928" s="17" t="s">
        <v>802</v>
      </c>
      <c r="Q1928" s="21" t="s">
        <v>7704</v>
      </c>
      <c r="R1928" s="17" t="s">
        <v>801</v>
      </c>
      <c r="S1928" s="18" t="s">
        <v>2585</v>
      </c>
      <c r="T1928" s="17" t="s">
        <v>800</v>
      </c>
      <c r="U1928" s="18" t="s">
        <v>5238</v>
      </c>
      <c r="V1928" s="17" t="s">
        <v>9418</v>
      </c>
      <c r="W1928" s="18" t="s">
        <v>5309</v>
      </c>
      <c r="X1928" s="69" t="s">
        <v>9453</v>
      </c>
      <c r="Y1928" s="70" t="s">
        <v>9462</v>
      </c>
      <c r="Z1928" s="73" t="s">
        <v>9486</v>
      </c>
      <c r="AA1928" s="74" t="s">
        <v>9504</v>
      </c>
      <c r="AB1928" s="73" t="s">
        <v>9486</v>
      </c>
      <c r="AC1928" s="74" t="s">
        <v>9566</v>
      </c>
      <c r="AD1928" s="73" t="s">
        <v>9578</v>
      </c>
      <c r="AE1928" s="74" t="s">
        <v>9579</v>
      </c>
    </row>
    <row r="1929" spans="1:31" ht="8.65" customHeight="1" x14ac:dyDescent="0.2">
      <c r="A1929" s="76">
        <v>1929</v>
      </c>
      <c r="B1929" s="67" t="str">
        <f>MID(C1929, FIND("Ifc.", C1929) + 4, 4) &amp; "_" &amp; TEXT(COUNTIF($C$2:C1929, C1929),"0000")</f>
        <v>Prop_1928</v>
      </c>
      <c r="C1929" s="24" t="s">
        <v>872</v>
      </c>
      <c r="D1929" s="69" t="s">
        <v>9453</v>
      </c>
      <c r="E1929" s="70" t="s">
        <v>9454</v>
      </c>
      <c r="F1929" s="17" t="s">
        <v>806</v>
      </c>
      <c r="G1929" s="22" t="s">
        <v>2483</v>
      </c>
      <c r="H1929" s="12" t="s">
        <v>9703</v>
      </c>
      <c r="I1929" s="13" t="s">
        <v>6819</v>
      </c>
      <c r="J1929" s="14" t="s">
        <v>798</v>
      </c>
      <c r="K1929" s="15" t="s">
        <v>798</v>
      </c>
      <c r="L1929" s="12" t="s">
        <v>5315</v>
      </c>
      <c r="M1929" s="13" t="s">
        <v>6003</v>
      </c>
      <c r="N1929" s="12" t="s">
        <v>803</v>
      </c>
      <c r="O1929" s="13" t="s">
        <v>5214</v>
      </c>
      <c r="P1929" s="17" t="s">
        <v>802</v>
      </c>
      <c r="Q1929" s="21" t="s">
        <v>7830</v>
      </c>
      <c r="R1929" s="17" t="s">
        <v>801</v>
      </c>
      <c r="S1929" s="18" t="s">
        <v>2585</v>
      </c>
      <c r="T1929" s="17" t="s">
        <v>800</v>
      </c>
      <c r="U1929" s="18" t="s">
        <v>5238</v>
      </c>
      <c r="V1929" s="17" t="s">
        <v>9418</v>
      </c>
      <c r="W1929" s="18" t="s">
        <v>5309</v>
      </c>
      <c r="X1929" s="69" t="s">
        <v>9453</v>
      </c>
      <c r="Y1929" s="70" t="s">
        <v>9462</v>
      </c>
      <c r="Z1929" s="73" t="s">
        <v>9486</v>
      </c>
      <c r="AA1929" s="74" t="s">
        <v>9504</v>
      </c>
      <c r="AB1929" s="73" t="s">
        <v>9486</v>
      </c>
      <c r="AC1929" s="74" t="s">
        <v>9566</v>
      </c>
      <c r="AD1929" s="73" t="s">
        <v>9578</v>
      </c>
      <c r="AE1929" s="74" t="s">
        <v>9579</v>
      </c>
    </row>
    <row r="1930" spans="1:31" ht="8.65" customHeight="1" x14ac:dyDescent="0.2">
      <c r="A1930" s="76">
        <v>1930</v>
      </c>
      <c r="B1930" s="67" t="str">
        <f>MID(C1930, FIND("Ifc.", C1930) + 4, 4) &amp; "_" &amp; TEXT(COUNTIF($C$2:C1930, C1930),"0000")</f>
        <v>Prop_1929</v>
      </c>
      <c r="C1930" s="24" t="s">
        <v>872</v>
      </c>
      <c r="D1930" s="69" t="s">
        <v>9453</v>
      </c>
      <c r="E1930" s="70" t="s">
        <v>9454</v>
      </c>
      <c r="F1930" s="17" t="s">
        <v>806</v>
      </c>
      <c r="G1930" s="22" t="s">
        <v>2136</v>
      </c>
      <c r="H1930" s="12" t="s">
        <v>9703</v>
      </c>
      <c r="I1930" s="13" t="s">
        <v>7607</v>
      </c>
      <c r="J1930" s="14" t="s">
        <v>798</v>
      </c>
      <c r="K1930" s="15" t="s">
        <v>798</v>
      </c>
      <c r="L1930" s="12" t="s">
        <v>5315</v>
      </c>
      <c r="M1930" s="13" t="s">
        <v>5496</v>
      </c>
      <c r="N1930" s="12" t="s">
        <v>803</v>
      </c>
      <c r="O1930" s="13" t="s">
        <v>5110</v>
      </c>
      <c r="P1930" s="17" t="s">
        <v>802</v>
      </c>
      <c r="Q1930" s="21" t="s">
        <v>7873</v>
      </c>
      <c r="R1930" s="17" t="s">
        <v>801</v>
      </c>
      <c r="S1930" s="18" t="s">
        <v>3636</v>
      </c>
      <c r="T1930" s="17" t="s">
        <v>800</v>
      </c>
      <c r="U1930" s="18" t="s">
        <v>5257</v>
      </c>
      <c r="V1930" s="17" t="s">
        <v>9418</v>
      </c>
      <c r="W1930" s="18" t="s">
        <v>5314</v>
      </c>
      <c r="X1930" s="69" t="s">
        <v>9453</v>
      </c>
      <c r="Y1930" s="70" t="s">
        <v>9464</v>
      </c>
      <c r="Z1930" s="73" t="s">
        <v>9486</v>
      </c>
      <c r="AA1930" s="74" t="s">
        <v>9504</v>
      </c>
      <c r="AB1930" s="73" t="s">
        <v>9486</v>
      </c>
      <c r="AC1930" s="74" t="s">
        <v>9561</v>
      </c>
      <c r="AD1930" s="73" t="s">
        <v>9578</v>
      </c>
      <c r="AE1930" s="74" t="s">
        <v>9579</v>
      </c>
    </row>
    <row r="1931" spans="1:31" ht="8.65" customHeight="1" x14ac:dyDescent="0.2">
      <c r="A1931" s="76">
        <v>1931</v>
      </c>
      <c r="B1931" s="67" t="str">
        <f>MID(C1931, FIND("Ifc.", C1931) + 4, 4) &amp; "_" &amp; TEXT(COUNTIF($C$2:C1931, C1931),"0000")</f>
        <v>Prop_1930</v>
      </c>
      <c r="C1931" s="24" t="s">
        <v>872</v>
      </c>
      <c r="D1931" s="69" t="s">
        <v>9453</v>
      </c>
      <c r="E1931" s="70" t="s">
        <v>9454</v>
      </c>
      <c r="F1931" s="17" t="s">
        <v>806</v>
      </c>
      <c r="G1931" s="22" t="s">
        <v>2131</v>
      </c>
      <c r="H1931" s="12" t="s">
        <v>9703</v>
      </c>
      <c r="I1931" s="13" t="s">
        <v>7608</v>
      </c>
      <c r="J1931" s="14" t="s">
        <v>798</v>
      </c>
      <c r="K1931" s="15" t="s">
        <v>798</v>
      </c>
      <c r="L1931" s="12" t="s">
        <v>5315</v>
      </c>
      <c r="M1931" s="13" t="s">
        <v>5496</v>
      </c>
      <c r="N1931" s="12" t="s">
        <v>803</v>
      </c>
      <c r="O1931" s="13" t="s">
        <v>5110</v>
      </c>
      <c r="P1931" s="17" t="s">
        <v>802</v>
      </c>
      <c r="Q1931" s="21" t="s">
        <v>7873</v>
      </c>
      <c r="R1931" s="17" t="s">
        <v>801</v>
      </c>
      <c r="S1931" s="18" t="s">
        <v>3636</v>
      </c>
      <c r="T1931" s="17" t="s">
        <v>800</v>
      </c>
      <c r="U1931" s="18" t="s">
        <v>5257</v>
      </c>
      <c r="V1931" s="17" t="s">
        <v>9418</v>
      </c>
      <c r="W1931" s="18" t="s">
        <v>5314</v>
      </c>
      <c r="X1931" s="69" t="s">
        <v>9453</v>
      </c>
      <c r="Y1931" s="70" t="s">
        <v>9464</v>
      </c>
      <c r="Z1931" s="73" t="s">
        <v>9486</v>
      </c>
      <c r="AA1931" s="74" t="s">
        <v>9504</v>
      </c>
      <c r="AB1931" s="73" t="s">
        <v>9486</v>
      </c>
      <c r="AC1931" s="74" t="s">
        <v>9561</v>
      </c>
      <c r="AD1931" s="73" t="s">
        <v>9578</v>
      </c>
      <c r="AE1931" s="74" t="s">
        <v>9579</v>
      </c>
    </row>
    <row r="1932" spans="1:31" ht="8.65" customHeight="1" x14ac:dyDescent="0.2">
      <c r="A1932" s="76">
        <v>1932</v>
      </c>
      <c r="B1932" s="67" t="str">
        <f>MID(C1932, FIND("Ifc.", C1932) + 4, 4) &amp; "_" &amp; TEXT(COUNTIF($C$2:C1932, C1932),"0000")</f>
        <v>Prop_1931</v>
      </c>
      <c r="C1932" s="24" t="s">
        <v>872</v>
      </c>
      <c r="D1932" s="69" t="s">
        <v>9453</v>
      </c>
      <c r="E1932" s="70" t="s">
        <v>9454</v>
      </c>
      <c r="F1932" s="17" t="s">
        <v>806</v>
      </c>
      <c r="G1932" s="22" t="s">
        <v>2133</v>
      </c>
      <c r="H1932" s="12" t="s">
        <v>9703</v>
      </c>
      <c r="I1932" s="13" t="s">
        <v>7609</v>
      </c>
      <c r="J1932" s="14" t="s">
        <v>798</v>
      </c>
      <c r="K1932" s="15" t="s">
        <v>798</v>
      </c>
      <c r="L1932" s="12" t="s">
        <v>5315</v>
      </c>
      <c r="M1932" s="13" t="s">
        <v>5496</v>
      </c>
      <c r="N1932" s="12" t="s">
        <v>803</v>
      </c>
      <c r="O1932" s="13" t="s">
        <v>5110</v>
      </c>
      <c r="P1932" s="17" t="s">
        <v>802</v>
      </c>
      <c r="Q1932" s="21" t="s">
        <v>7873</v>
      </c>
      <c r="R1932" s="17" t="s">
        <v>801</v>
      </c>
      <c r="S1932" s="18" t="s">
        <v>3636</v>
      </c>
      <c r="T1932" s="17" t="s">
        <v>800</v>
      </c>
      <c r="U1932" s="18" t="s">
        <v>5257</v>
      </c>
      <c r="V1932" s="17" t="s">
        <v>9418</v>
      </c>
      <c r="W1932" s="18" t="s">
        <v>5314</v>
      </c>
      <c r="X1932" s="69" t="s">
        <v>9453</v>
      </c>
      <c r="Y1932" s="70" t="s">
        <v>9464</v>
      </c>
      <c r="Z1932" s="73" t="s">
        <v>9486</v>
      </c>
      <c r="AA1932" s="74" t="s">
        <v>9504</v>
      </c>
      <c r="AB1932" s="73" t="s">
        <v>9486</v>
      </c>
      <c r="AC1932" s="74" t="s">
        <v>9561</v>
      </c>
      <c r="AD1932" s="73" t="s">
        <v>9578</v>
      </c>
      <c r="AE1932" s="74" t="s">
        <v>9579</v>
      </c>
    </row>
    <row r="1933" spans="1:31" ht="8.65" customHeight="1" x14ac:dyDescent="0.2">
      <c r="A1933" s="76">
        <v>1933</v>
      </c>
      <c r="B1933" s="67" t="str">
        <f>MID(C1933, FIND("Ifc.", C1933) + 4, 4) &amp; "_" &amp; TEXT(COUNTIF($C$2:C1933, C1933),"0000")</f>
        <v>Prop_1932</v>
      </c>
      <c r="C1933" s="24" t="s">
        <v>872</v>
      </c>
      <c r="D1933" s="69" t="s">
        <v>9453</v>
      </c>
      <c r="E1933" s="70" t="s">
        <v>9454</v>
      </c>
      <c r="F1933" s="17" t="s">
        <v>806</v>
      </c>
      <c r="G1933" s="22" t="s">
        <v>1879</v>
      </c>
      <c r="H1933" s="12" t="s">
        <v>9703</v>
      </c>
      <c r="I1933" s="13" t="s">
        <v>7232</v>
      </c>
      <c r="J1933" s="14" t="s">
        <v>798</v>
      </c>
      <c r="K1933" s="15" t="s">
        <v>798</v>
      </c>
      <c r="L1933" s="12" t="s">
        <v>5315</v>
      </c>
      <c r="M1933" s="13" t="s">
        <v>5951</v>
      </c>
      <c r="N1933" s="12" t="s">
        <v>803</v>
      </c>
      <c r="O1933" s="13" t="s">
        <v>5040</v>
      </c>
      <c r="P1933" s="17" t="s">
        <v>802</v>
      </c>
      <c r="Q1933" s="21" t="s">
        <v>7897</v>
      </c>
      <c r="R1933" s="17" t="s">
        <v>801</v>
      </c>
      <c r="S1933" s="18" t="s">
        <v>2560</v>
      </c>
      <c r="T1933" s="17" t="s">
        <v>800</v>
      </c>
      <c r="U1933" s="18" t="s">
        <v>5236</v>
      </c>
      <c r="V1933" s="17" t="s">
        <v>9418</v>
      </c>
      <c r="W1933" s="18" t="s">
        <v>5309</v>
      </c>
      <c r="X1933" s="69" t="s">
        <v>9453</v>
      </c>
      <c r="Y1933" s="70" t="s">
        <v>9462</v>
      </c>
      <c r="Z1933" s="73" t="s">
        <v>9486</v>
      </c>
      <c r="AA1933" s="74" t="s">
        <v>9504</v>
      </c>
      <c r="AB1933" s="73" t="s">
        <v>9486</v>
      </c>
      <c r="AC1933" s="74" t="s">
        <v>9562</v>
      </c>
      <c r="AD1933" s="73" t="s">
        <v>9578</v>
      </c>
      <c r="AE1933" s="74" t="s">
        <v>9579</v>
      </c>
    </row>
    <row r="1934" spans="1:31" ht="8.65" customHeight="1" x14ac:dyDescent="0.2">
      <c r="A1934" s="76">
        <v>1934</v>
      </c>
      <c r="B1934" s="67" t="str">
        <f>MID(C1934, FIND("Ifc.", C1934) + 4, 4) &amp; "_" &amp; TEXT(COUNTIF($C$2:C1934, C1934),"0000")</f>
        <v>Prop_1933</v>
      </c>
      <c r="C1934" s="24" t="s">
        <v>872</v>
      </c>
      <c r="D1934" s="69" t="s">
        <v>9453</v>
      </c>
      <c r="E1934" s="70" t="s">
        <v>9454</v>
      </c>
      <c r="F1934" s="17" t="s">
        <v>806</v>
      </c>
      <c r="G1934" s="22" t="s">
        <v>1278</v>
      </c>
      <c r="H1934" s="12" t="s">
        <v>9703</v>
      </c>
      <c r="I1934" s="13" t="s">
        <v>7133</v>
      </c>
      <c r="J1934" s="14" t="s">
        <v>798</v>
      </c>
      <c r="K1934" s="15" t="s">
        <v>798</v>
      </c>
      <c r="L1934" s="12" t="s">
        <v>5315</v>
      </c>
      <c r="M1934" s="13" t="s">
        <v>5408</v>
      </c>
      <c r="N1934" s="12" t="s">
        <v>803</v>
      </c>
      <c r="O1934" s="13" t="s">
        <v>4896</v>
      </c>
      <c r="P1934" s="17" t="s">
        <v>802</v>
      </c>
      <c r="Q1934" s="21" t="s">
        <v>7737</v>
      </c>
      <c r="R1934" s="17" t="s">
        <v>801</v>
      </c>
      <c r="S1934" s="18" t="s">
        <v>2632</v>
      </c>
      <c r="T1934" s="17" t="s">
        <v>800</v>
      </c>
      <c r="U1934" s="18" t="s">
        <v>5270</v>
      </c>
      <c r="V1934" s="17" t="s">
        <v>9418</v>
      </c>
      <c r="W1934" s="18" t="s">
        <v>5312</v>
      </c>
      <c r="X1934" s="69" t="s">
        <v>9453</v>
      </c>
      <c r="Y1934" s="70" t="s">
        <v>9465</v>
      </c>
      <c r="Z1934" s="73" t="s">
        <v>9486</v>
      </c>
      <c r="AA1934" s="74" t="s">
        <v>9504</v>
      </c>
      <c r="AB1934" s="73" t="s">
        <v>9486</v>
      </c>
      <c r="AC1934" s="74" t="s">
        <v>9561</v>
      </c>
      <c r="AD1934" s="73" t="s">
        <v>9578</v>
      </c>
      <c r="AE1934" s="74" t="s">
        <v>9579</v>
      </c>
    </row>
    <row r="1935" spans="1:31" ht="8.65" customHeight="1" x14ac:dyDescent="0.2">
      <c r="A1935" s="76">
        <v>1935</v>
      </c>
      <c r="B1935" s="67" t="str">
        <f>MID(C1935, FIND("Ifc.", C1935) + 4, 4) &amp; "_" &amp; TEXT(COUNTIF($C$2:C1935, C1935),"0000")</f>
        <v>Prop_1934</v>
      </c>
      <c r="C1935" s="24" t="s">
        <v>872</v>
      </c>
      <c r="D1935" s="69" t="s">
        <v>9453</v>
      </c>
      <c r="E1935" s="70" t="s">
        <v>9454</v>
      </c>
      <c r="F1935" s="17" t="s">
        <v>806</v>
      </c>
      <c r="G1935" s="22" t="s">
        <v>1278</v>
      </c>
      <c r="H1935" s="12" t="s">
        <v>9703</v>
      </c>
      <c r="I1935" s="13" t="s">
        <v>7133</v>
      </c>
      <c r="J1935" s="14" t="s">
        <v>798</v>
      </c>
      <c r="K1935" s="15" t="s">
        <v>798</v>
      </c>
      <c r="L1935" s="12" t="s">
        <v>5315</v>
      </c>
      <c r="M1935" s="13" t="s">
        <v>6028</v>
      </c>
      <c r="N1935" s="12" t="s">
        <v>803</v>
      </c>
      <c r="O1935" s="13" t="s">
        <v>4897</v>
      </c>
      <c r="P1935" s="17" t="s">
        <v>802</v>
      </c>
      <c r="Q1935" s="21" t="s">
        <v>7927</v>
      </c>
      <c r="R1935" s="17" t="s">
        <v>801</v>
      </c>
      <c r="S1935" s="18" t="s">
        <v>2590</v>
      </c>
      <c r="T1935" s="17" t="s">
        <v>800</v>
      </c>
      <c r="U1935" s="18" t="s">
        <v>5274</v>
      </c>
      <c r="V1935" s="17" t="s">
        <v>9418</v>
      </c>
      <c r="W1935" s="18" t="s">
        <v>5312</v>
      </c>
      <c r="X1935" s="69" t="s">
        <v>9453</v>
      </c>
      <c r="Y1935" s="70" t="s">
        <v>9465</v>
      </c>
      <c r="Z1935" s="73" t="s">
        <v>9486</v>
      </c>
      <c r="AA1935" s="74" t="s">
        <v>9504</v>
      </c>
      <c r="AB1935" s="73" t="s">
        <v>9486</v>
      </c>
      <c r="AC1935" s="74" t="s">
        <v>9566</v>
      </c>
      <c r="AD1935" s="73" t="s">
        <v>9578</v>
      </c>
      <c r="AE1935" s="74" t="s">
        <v>9579</v>
      </c>
    </row>
    <row r="1936" spans="1:31" ht="8.65" customHeight="1" x14ac:dyDescent="0.2">
      <c r="A1936" s="76">
        <v>1936</v>
      </c>
      <c r="B1936" s="67" t="str">
        <f>MID(C1936, FIND("Ifc.", C1936) + 4, 4) &amp; "_" &amp; TEXT(COUNTIF($C$2:C1936, C1936),"0000")</f>
        <v>Prop_1935</v>
      </c>
      <c r="C1936" s="24" t="s">
        <v>872</v>
      </c>
      <c r="D1936" s="69" t="s">
        <v>9453</v>
      </c>
      <c r="E1936" s="70" t="s">
        <v>9454</v>
      </c>
      <c r="F1936" s="17" t="s">
        <v>806</v>
      </c>
      <c r="G1936" s="22" t="s">
        <v>1510</v>
      </c>
      <c r="H1936" s="12" t="s">
        <v>9703</v>
      </c>
      <c r="I1936" s="13" t="s">
        <v>7275</v>
      </c>
      <c r="J1936" s="14" t="s">
        <v>798</v>
      </c>
      <c r="K1936" s="15" t="s">
        <v>798</v>
      </c>
      <c r="L1936" s="12" t="s">
        <v>5315</v>
      </c>
      <c r="M1936" s="13" t="s">
        <v>5828</v>
      </c>
      <c r="N1936" s="12" t="s">
        <v>803</v>
      </c>
      <c r="O1936" s="13" t="s">
        <v>4949</v>
      </c>
      <c r="P1936" s="17" t="s">
        <v>802</v>
      </c>
      <c r="Q1936" s="21" t="s">
        <v>7815</v>
      </c>
      <c r="R1936" s="17" t="s">
        <v>801</v>
      </c>
      <c r="S1936" s="18" t="s">
        <v>2654</v>
      </c>
      <c r="T1936" s="17" t="s">
        <v>800</v>
      </c>
      <c r="U1936" s="18" t="s">
        <v>5280</v>
      </c>
      <c r="V1936" s="17" t="s">
        <v>9418</v>
      </c>
      <c r="W1936" s="18" t="s">
        <v>5312</v>
      </c>
      <c r="X1936" s="69" t="s">
        <v>9453</v>
      </c>
      <c r="Y1936" s="70" t="s">
        <v>9465</v>
      </c>
      <c r="Z1936" s="73" t="s">
        <v>9486</v>
      </c>
      <c r="AA1936" s="74" t="s">
        <v>9504</v>
      </c>
      <c r="AB1936" s="73" t="s">
        <v>9486</v>
      </c>
      <c r="AC1936" s="74" t="s">
        <v>9566</v>
      </c>
      <c r="AD1936" s="73" t="s">
        <v>9578</v>
      </c>
      <c r="AE1936" s="74" t="s">
        <v>9579</v>
      </c>
    </row>
    <row r="1937" spans="1:31" ht="8.65" customHeight="1" x14ac:dyDescent="0.2">
      <c r="A1937" s="76">
        <v>1937</v>
      </c>
      <c r="B1937" s="67" t="str">
        <f>MID(C1937, FIND("Ifc.", C1937) + 4, 4) &amp; "_" &amp; TEXT(COUNTIF($C$2:C1937, C1937),"0000")</f>
        <v>Prop_1936</v>
      </c>
      <c r="C1937" s="24" t="s">
        <v>872</v>
      </c>
      <c r="D1937" s="69" t="s">
        <v>9453</v>
      </c>
      <c r="E1937" s="70" t="s">
        <v>9454</v>
      </c>
      <c r="F1937" s="17" t="s">
        <v>806</v>
      </c>
      <c r="G1937" s="22" t="s">
        <v>1509</v>
      </c>
      <c r="H1937" s="12" t="s">
        <v>9703</v>
      </c>
      <c r="I1937" s="13" t="s">
        <v>7274</v>
      </c>
      <c r="J1937" s="14" t="s">
        <v>798</v>
      </c>
      <c r="K1937" s="15" t="s">
        <v>798</v>
      </c>
      <c r="L1937" s="12" t="s">
        <v>5315</v>
      </c>
      <c r="M1937" s="13" t="s">
        <v>5828</v>
      </c>
      <c r="N1937" s="12" t="s">
        <v>803</v>
      </c>
      <c r="O1937" s="13" t="s">
        <v>4949</v>
      </c>
      <c r="P1937" s="17" t="s">
        <v>802</v>
      </c>
      <c r="Q1937" s="21" t="s">
        <v>7815</v>
      </c>
      <c r="R1937" s="17" t="s">
        <v>801</v>
      </c>
      <c r="S1937" s="18" t="s">
        <v>2654</v>
      </c>
      <c r="T1937" s="17" t="s">
        <v>800</v>
      </c>
      <c r="U1937" s="18" t="s">
        <v>5280</v>
      </c>
      <c r="V1937" s="17" t="s">
        <v>9418</v>
      </c>
      <c r="W1937" s="18" t="s">
        <v>5312</v>
      </c>
      <c r="X1937" s="69" t="s">
        <v>9453</v>
      </c>
      <c r="Y1937" s="70" t="s">
        <v>9465</v>
      </c>
      <c r="Z1937" s="73" t="s">
        <v>9486</v>
      </c>
      <c r="AA1937" s="74" t="s">
        <v>9504</v>
      </c>
      <c r="AB1937" s="73" t="s">
        <v>9486</v>
      </c>
      <c r="AC1937" s="74" t="s">
        <v>9566</v>
      </c>
      <c r="AD1937" s="73" t="s">
        <v>9578</v>
      </c>
      <c r="AE1937" s="74" t="s">
        <v>9579</v>
      </c>
    </row>
    <row r="1938" spans="1:31" ht="8.65" customHeight="1" x14ac:dyDescent="0.2">
      <c r="A1938" s="76">
        <v>1938</v>
      </c>
      <c r="B1938" s="67" t="str">
        <f>MID(C1938, FIND("Ifc.", C1938) + 4, 4) &amp; "_" &amp; TEXT(COUNTIF($C$2:C1938, C1938),"0000")</f>
        <v>Prop_1937</v>
      </c>
      <c r="C1938" s="24" t="s">
        <v>872</v>
      </c>
      <c r="D1938" s="69" t="s">
        <v>9453</v>
      </c>
      <c r="E1938" s="70" t="s">
        <v>9454</v>
      </c>
      <c r="F1938" s="17" t="s">
        <v>806</v>
      </c>
      <c r="G1938" s="22" t="s">
        <v>986</v>
      </c>
      <c r="H1938" s="12" t="s">
        <v>9703</v>
      </c>
      <c r="I1938" s="13" t="s">
        <v>6098</v>
      </c>
      <c r="J1938" s="14" t="s">
        <v>798</v>
      </c>
      <c r="K1938" s="15" t="s">
        <v>798</v>
      </c>
      <c r="L1938" s="12" t="s">
        <v>5315</v>
      </c>
      <c r="M1938" s="13" t="s">
        <v>5990</v>
      </c>
      <c r="N1938" s="12" t="s">
        <v>803</v>
      </c>
      <c r="O1938" s="13" t="s">
        <v>4827</v>
      </c>
      <c r="P1938" s="17" t="s">
        <v>802</v>
      </c>
      <c r="Q1938" s="21" t="s">
        <v>7704</v>
      </c>
      <c r="R1938" s="17" t="s">
        <v>801</v>
      </c>
      <c r="S1938" s="18" t="s">
        <v>2606</v>
      </c>
      <c r="T1938" s="17" t="s">
        <v>800</v>
      </c>
      <c r="U1938" s="18" t="s">
        <v>5249</v>
      </c>
      <c r="V1938" s="17" t="s">
        <v>9418</v>
      </c>
      <c r="W1938" s="18" t="s">
        <v>5309</v>
      </c>
      <c r="X1938" s="69" t="s">
        <v>9453</v>
      </c>
      <c r="Y1938" s="70" t="s">
        <v>9462</v>
      </c>
      <c r="Z1938" s="73" t="s">
        <v>9486</v>
      </c>
      <c r="AA1938" s="74" t="s">
        <v>9504</v>
      </c>
      <c r="AB1938" s="73" t="s">
        <v>9486</v>
      </c>
      <c r="AC1938" s="74" t="s">
        <v>9566</v>
      </c>
      <c r="AD1938" s="73" t="s">
        <v>9578</v>
      </c>
      <c r="AE1938" s="74" t="s">
        <v>9579</v>
      </c>
    </row>
    <row r="1939" spans="1:31" ht="8.65" customHeight="1" x14ac:dyDescent="0.2">
      <c r="A1939" s="76">
        <v>1939</v>
      </c>
      <c r="B1939" s="67" t="str">
        <f>MID(C1939, FIND("Ifc.", C1939) + 4, 4) &amp; "_" &amp; TEXT(COUNTIF($C$2:C1939, C1939),"0000")</f>
        <v>Prop_1938</v>
      </c>
      <c r="C1939" s="24" t="s">
        <v>872</v>
      </c>
      <c r="D1939" s="69" t="s">
        <v>9453</v>
      </c>
      <c r="E1939" s="70" t="s">
        <v>9454</v>
      </c>
      <c r="F1939" s="17" t="s">
        <v>806</v>
      </c>
      <c r="G1939" s="22" t="s">
        <v>2246</v>
      </c>
      <c r="H1939" s="12" t="s">
        <v>9703</v>
      </c>
      <c r="I1939" s="13" t="s">
        <v>7070</v>
      </c>
      <c r="J1939" s="14" t="s">
        <v>798</v>
      </c>
      <c r="K1939" s="15" t="s">
        <v>798</v>
      </c>
      <c r="L1939" s="12" t="s">
        <v>5315</v>
      </c>
      <c r="M1939" s="13" t="s">
        <v>5523</v>
      </c>
      <c r="N1939" s="12" t="s">
        <v>803</v>
      </c>
      <c r="O1939" s="13" t="s">
        <v>5138</v>
      </c>
      <c r="P1939" s="17" t="s">
        <v>802</v>
      </c>
      <c r="Q1939" s="21" t="s">
        <v>7748</v>
      </c>
      <c r="R1939" s="17" t="s">
        <v>801</v>
      </c>
      <c r="S1939" s="18" t="s">
        <v>2571</v>
      </c>
      <c r="T1939" s="17" t="s">
        <v>800</v>
      </c>
      <c r="U1939" s="18" t="s">
        <v>5302</v>
      </c>
      <c r="V1939" s="17" t="s">
        <v>9418</v>
      </c>
      <c r="W1939" s="18" t="s">
        <v>5309</v>
      </c>
      <c r="X1939" s="69" t="s">
        <v>9453</v>
      </c>
      <c r="Y1939" s="70" t="s">
        <v>9462</v>
      </c>
      <c r="Z1939" s="73" t="s">
        <v>9486</v>
      </c>
      <c r="AA1939" s="74" t="s">
        <v>9504</v>
      </c>
      <c r="AB1939" s="73" t="s">
        <v>9486</v>
      </c>
      <c r="AC1939" s="74" t="s">
        <v>9566</v>
      </c>
      <c r="AD1939" s="73" t="s">
        <v>9578</v>
      </c>
      <c r="AE1939" s="74" t="s">
        <v>9579</v>
      </c>
    </row>
    <row r="1940" spans="1:31" ht="8.65" customHeight="1" x14ac:dyDescent="0.2">
      <c r="A1940" s="76">
        <v>1940</v>
      </c>
      <c r="B1940" s="67" t="str">
        <f>MID(C1940, FIND("Ifc.", C1940) + 4, 4) &amp; "_" &amp; TEXT(COUNTIF($C$2:C1940, C1940),"0000")</f>
        <v>Prop_1939</v>
      </c>
      <c r="C1940" s="24" t="s">
        <v>872</v>
      </c>
      <c r="D1940" s="69" t="s">
        <v>9453</v>
      </c>
      <c r="E1940" s="70" t="s">
        <v>9454</v>
      </c>
      <c r="F1940" s="17" t="s">
        <v>806</v>
      </c>
      <c r="G1940" s="22" t="s">
        <v>1103</v>
      </c>
      <c r="H1940" s="12" t="s">
        <v>9703</v>
      </c>
      <c r="I1940" s="13" t="s">
        <v>6855</v>
      </c>
      <c r="J1940" s="14" t="s">
        <v>798</v>
      </c>
      <c r="K1940" s="15" t="s">
        <v>798</v>
      </c>
      <c r="L1940" s="12" t="s">
        <v>5315</v>
      </c>
      <c r="M1940" s="13" t="s">
        <v>5892</v>
      </c>
      <c r="N1940" s="12" t="s">
        <v>803</v>
      </c>
      <c r="O1940" s="13" t="s">
        <v>4961</v>
      </c>
      <c r="P1940" s="17" t="s">
        <v>802</v>
      </c>
      <c r="Q1940" s="21" t="s">
        <v>7745</v>
      </c>
      <c r="R1940" s="17" t="s">
        <v>801</v>
      </c>
      <c r="S1940" s="18" t="s">
        <v>3636</v>
      </c>
      <c r="T1940" s="17" t="s">
        <v>800</v>
      </c>
      <c r="U1940" s="18" t="s">
        <v>5257</v>
      </c>
      <c r="V1940" s="17" t="s">
        <v>9418</v>
      </c>
      <c r="W1940" s="18" t="s">
        <v>5314</v>
      </c>
      <c r="X1940" s="69" t="s">
        <v>9453</v>
      </c>
      <c r="Y1940" s="70" t="s">
        <v>9464</v>
      </c>
      <c r="Z1940" s="73" t="s">
        <v>9486</v>
      </c>
      <c r="AA1940" s="74" t="s">
        <v>9504</v>
      </c>
      <c r="AB1940" s="73" t="s">
        <v>9486</v>
      </c>
      <c r="AC1940" s="74" t="s">
        <v>9561</v>
      </c>
      <c r="AD1940" s="73" t="s">
        <v>9578</v>
      </c>
      <c r="AE1940" s="74" t="s">
        <v>9579</v>
      </c>
    </row>
    <row r="1941" spans="1:31" ht="8.65" customHeight="1" x14ac:dyDescent="0.2">
      <c r="A1941" s="76">
        <v>1941</v>
      </c>
      <c r="B1941" s="67" t="str">
        <f>MID(C1941, FIND("Ifc.", C1941) + 4, 4) &amp; "_" &amp; TEXT(COUNTIF($C$2:C1941, C1941),"0000")</f>
        <v>Prop_1940</v>
      </c>
      <c r="C1941" s="24" t="s">
        <v>872</v>
      </c>
      <c r="D1941" s="69" t="s">
        <v>9453</v>
      </c>
      <c r="E1941" s="70" t="s">
        <v>9454</v>
      </c>
      <c r="F1941" s="17" t="s">
        <v>806</v>
      </c>
      <c r="G1941" s="22" t="s">
        <v>1801</v>
      </c>
      <c r="H1941" s="12" t="s">
        <v>9703</v>
      </c>
      <c r="I1941" s="13" t="s">
        <v>6773</v>
      </c>
      <c r="J1941" s="14" t="s">
        <v>798</v>
      </c>
      <c r="K1941" s="15" t="s">
        <v>798</v>
      </c>
      <c r="L1941" s="12" t="s">
        <v>5315</v>
      </c>
      <c r="M1941" s="13" t="s">
        <v>5938</v>
      </c>
      <c r="N1941" s="12" t="s">
        <v>803</v>
      </c>
      <c r="O1941" s="13" t="s">
        <v>5020</v>
      </c>
      <c r="P1941" s="17" t="s">
        <v>802</v>
      </c>
      <c r="Q1941" s="21" t="s">
        <v>7941</v>
      </c>
      <c r="R1941" s="17" t="s">
        <v>801</v>
      </c>
      <c r="S1941" s="18" t="s">
        <v>2638</v>
      </c>
      <c r="T1941" s="17" t="s">
        <v>800</v>
      </c>
      <c r="U1941" s="18" t="s">
        <v>5254</v>
      </c>
      <c r="V1941" s="17" t="s">
        <v>9418</v>
      </c>
      <c r="W1941" s="18" t="s">
        <v>5309</v>
      </c>
      <c r="X1941" s="69" t="s">
        <v>9453</v>
      </c>
      <c r="Y1941" s="70" t="s">
        <v>9462</v>
      </c>
      <c r="Z1941" s="73" t="s">
        <v>9486</v>
      </c>
      <c r="AA1941" s="74" t="s">
        <v>9504</v>
      </c>
      <c r="AB1941" s="73" t="s">
        <v>9486</v>
      </c>
      <c r="AC1941" s="74" t="s">
        <v>9566</v>
      </c>
      <c r="AD1941" s="73" t="s">
        <v>9578</v>
      </c>
      <c r="AE1941" s="74" t="s">
        <v>9579</v>
      </c>
    </row>
    <row r="1942" spans="1:31" ht="8.65" customHeight="1" x14ac:dyDescent="0.2">
      <c r="A1942" s="76">
        <v>1942</v>
      </c>
      <c r="B1942" s="67" t="str">
        <f>MID(C1942, FIND("Ifc.", C1942) + 4, 4) &amp; "_" &amp; TEXT(COUNTIF($C$2:C1942, C1942),"0000")</f>
        <v>Prop_1941</v>
      </c>
      <c r="C1942" s="24" t="s">
        <v>872</v>
      </c>
      <c r="D1942" s="69" t="s">
        <v>9453</v>
      </c>
      <c r="E1942" s="70" t="s">
        <v>9454</v>
      </c>
      <c r="F1942" s="17" t="s">
        <v>806</v>
      </c>
      <c r="G1942" s="22" t="s">
        <v>2406</v>
      </c>
      <c r="H1942" s="12" t="s">
        <v>9703</v>
      </c>
      <c r="I1942" s="13" t="s">
        <v>6773</v>
      </c>
      <c r="J1942" s="14" t="s">
        <v>798</v>
      </c>
      <c r="K1942" s="15" t="s">
        <v>798</v>
      </c>
      <c r="L1942" s="12" t="s">
        <v>5315</v>
      </c>
      <c r="M1942" s="13" t="s">
        <v>5802</v>
      </c>
      <c r="N1942" s="12" t="s">
        <v>803</v>
      </c>
      <c r="O1942" s="13" t="s">
        <v>5195</v>
      </c>
      <c r="P1942" s="17" t="s">
        <v>802</v>
      </c>
      <c r="Q1942" s="21" t="s">
        <v>7703</v>
      </c>
      <c r="R1942" s="17" t="s">
        <v>801</v>
      </c>
      <c r="S1942" s="18" t="s">
        <v>2643</v>
      </c>
      <c r="T1942" s="17" t="s">
        <v>800</v>
      </c>
      <c r="U1942" s="18" t="s">
        <v>5265</v>
      </c>
      <c r="V1942" s="17" t="s">
        <v>9418</v>
      </c>
      <c r="W1942" s="18" t="s">
        <v>5312</v>
      </c>
      <c r="X1942" s="69" t="s">
        <v>9453</v>
      </c>
      <c r="Y1942" s="70" t="s">
        <v>9465</v>
      </c>
      <c r="Z1942" s="73" t="s">
        <v>9486</v>
      </c>
      <c r="AA1942" s="74" t="s">
        <v>9504</v>
      </c>
      <c r="AB1942" s="73" t="s">
        <v>9486</v>
      </c>
      <c r="AC1942" s="74" t="s">
        <v>9566</v>
      </c>
      <c r="AD1942" s="73" t="s">
        <v>9578</v>
      </c>
      <c r="AE1942" s="74" t="s">
        <v>9579</v>
      </c>
    </row>
    <row r="1943" spans="1:31" ht="8.65" customHeight="1" x14ac:dyDescent="0.2">
      <c r="A1943" s="76">
        <v>1943</v>
      </c>
      <c r="B1943" s="67" t="str">
        <f>MID(C1943, FIND("Ifc.", C1943) + 4, 4) &amp; "_" &amp; TEXT(COUNTIF($C$2:C1943, C1943),"0000")</f>
        <v>Prop_1942</v>
      </c>
      <c r="C1943" s="24" t="s">
        <v>872</v>
      </c>
      <c r="D1943" s="69" t="s">
        <v>9453</v>
      </c>
      <c r="E1943" s="70" t="s">
        <v>9454</v>
      </c>
      <c r="F1943" s="17" t="s">
        <v>806</v>
      </c>
      <c r="G1943" s="22" t="s">
        <v>1595</v>
      </c>
      <c r="H1943" s="12" t="s">
        <v>9703</v>
      </c>
      <c r="I1943" s="13" t="s">
        <v>7180</v>
      </c>
      <c r="J1943" s="14" t="s">
        <v>798</v>
      </c>
      <c r="K1943" s="15" t="s">
        <v>798</v>
      </c>
      <c r="L1943" s="12" t="s">
        <v>5315</v>
      </c>
      <c r="M1943" s="13" t="s">
        <v>5899</v>
      </c>
      <c r="N1943" s="12" t="s">
        <v>803</v>
      </c>
      <c r="O1943" s="13" t="s">
        <v>4968</v>
      </c>
      <c r="P1943" s="17" t="s">
        <v>802</v>
      </c>
      <c r="Q1943" s="21" t="s">
        <v>7786</v>
      </c>
      <c r="R1943" s="17" t="s">
        <v>801</v>
      </c>
      <c r="S1943" s="18" t="s">
        <v>3636</v>
      </c>
      <c r="T1943" s="17" t="s">
        <v>800</v>
      </c>
      <c r="U1943" s="18" t="s">
        <v>5257</v>
      </c>
      <c r="V1943" s="17" t="s">
        <v>9418</v>
      </c>
      <c r="W1943" s="18" t="s">
        <v>5314</v>
      </c>
      <c r="X1943" s="69" t="s">
        <v>9453</v>
      </c>
      <c r="Y1943" s="70" t="s">
        <v>9464</v>
      </c>
      <c r="Z1943" s="73" t="s">
        <v>9486</v>
      </c>
      <c r="AA1943" s="74" t="s">
        <v>9504</v>
      </c>
      <c r="AB1943" s="73" t="s">
        <v>9486</v>
      </c>
      <c r="AC1943" s="74" t="s">
        <v>9561</v>
      </c>
      <c r="AD1943" s="73" t="s">
        <v>9578</v>
      </c>
      <c r="AE1943" s="74" t="s">
        <v>9579</v>
      </c>
    </row>
    <row r="1944" spans="1:31" ht="8.65" customHeight="1" x14ac:dyDescent="0.2">
      <c r="A1944" s="76">
        <v>1944</v>
      </c>
      <c r="B1944" s="67" t="str">
        <f>MID(C1944, FIND("Ifc.", C1944) + 4, 4) &amp; "_" &amp; TEXT(COUNTIF($C$2:C1944, C1944),"0000")</f>
        <v>Prop_1943</v>
      </c>
      <c r="C1944" s="24" t="s">
        <v>872</v>
      </c>
      <c r="D1944" s="69" t="s">
        <v>9453</v>
      </c>
      <c r="E1944" s="70" t="s">
        <v>9454</v>
      </c>
      <c r="F1944" s="17" t="s">
        <v>806</v>
      </c>
      <c r="G1944" s="22" t="s">
        <v>1687</v>
      </c>
      <c r="H1944" s="12" t="s">
        <v>9703</v>
      </c>
      <c r="I1944" s="13" t="s">
        <v>6438</v>
      </c>
      <c r="J1944" s="14" t="s">
        <v>798</v>
      </c>
      <c r="K1944" s="15" t="s">
        <v>798</v>
      </c>
      <c r="L1944" s="12" t="s">
        <v>5315</v>
      </c>
      <c r="M1944" s="13" t="s">
        <v>5851</v>
      </c>
      <c r="N1944" s="12" t="s">
        <v>803</v>
      </c>
      <c r="O1944" s="13" t="s">
        <v>4998</v>
      </c>
      <c r="P1944" s="17" t="s">
        <v>802</v>
      </c>
      <c r="Q1944" s="21" t="s">
        <v>8076</v>
      </c>
      <c r="R1944" s="17" t="s">
        <v>801</v>
      </c>
      <c r="S1944" s="18" t="s">
        <v>3636</v>
      </c>
      <c r="T1944" s="17" t="s">
        <v>800</v>
      </c>
      <c r="U1944" s="18" t="s">
        <v>5257</v>
      </c>
      <c r="V1944" s="17" t="s">
        <v>9418</v>
      </c>
      <c r="W1944" s="18" t="s">
        <v>5314</v>
      </c>
      <c r="X1944" s="69" t="s">
        <v>9453</v>
      </c>
      <c r="Y1944" s="70" t="s">
        <v>9464</v>
      </c>
      <c r="Z1944" s="73" t="s">
        <v>9486</v>
      </c>
      <c r="AA1944" s="74" t="s">
        <v>9504</v>
      </c>
      <c r="AB1944" s="73" t="s">
        <v>9486</v>
      </c>
      <c r="AC1944" s="74" t="s">
        <v>9561</v>
      </c>
      <c r="AD1944" s="73" t="s">
        <v>9578</v>
      </c>
      <c r="AE1944" s="74" t="s">
        <v>9579</v>
      </c>
    </row>
    <row r="1945" spans="1:31" ht="8.65" customHeight="1" x14ac:dyDescent="0.2">
      <c r="A1945" s="76">
        <v>1945</v>
      </c>
      <c r="B1945" s="67" t="str">
        <f>MID(C1945, FIND("Ifc.", C1945) + 4, 4) &amp; "_" &amp; TEXT(COUNTIF($C$2:C1945, C1945),"0000")</f>
        <v>Prop_1944</v>
      </c>
      <c r="C1945" s="24" t="s">
        <v>872</v>
      </c>
      <c r="D1945" s="69" t="s">
        <v>9453</v>
      </c>
      <c r="E1945" s="70" t="s">
        <v>9454</v>
      </c>
      <c r="F1945" s="17" t="s">
        <v>806</v>
      </c>
      <c r="G1945" s="22" t="s">
        <v>1686</v>
      </c>
      <c r="H1945" s="12" t="s">
        <v>9703</v>
      </c>
      <c r="I1945" s="13" t="s">
        <v>6437</v>
      </c>
      <c r="J1945" s="14" t="s">
        <v>798</v>
      </c>
      <c r="K1945" s="15" t="s">
        <v>798</v>
      </c>
      <c r="L1945" s="12" t="s">
        <v>5315</v>
      </c>
      <c r="M1945" s="13" t="s">
        <v>5851</v>
      </c>
      <c r="N1945" s="12" t="s">
        <v>803</v>
      </c>
      <c r="O1945" s="13" t="s">
        <v>4998</v>
      </c>
      <c r="P1945" s="17" t="s">
        <v>802</v>
      </c>
      <c r="Q1945" s="21" t="s">
        <v>8076</v>
      </c>
      <c r="R1945" s="17" t="s">
        <v>801</v>
      </c>
      <c r="S1945" s="18" t="s">
        <v>3636</v>
      </c>
      <c r="T1945" s="17" t="s">
        <v>800</v>
      </c>
      <c r="U1945" s="18" t="s">
        <v>5257</v>
      </c>
      <c r="V1945" s="17" t="s">
        <v>9418</v>
      </c>
      <c r="W1945" s="18" t="s">
        <v>5314</v>
      </c>
      <c r="X1945" s="69" t="s">
        <v>9453</v>
      </c>
      <c r="Y1945" s="70" t="s">
        <v>9464</v>
      </c>
      <c r="Z1945" s="73" t="s">
        <v>9486</v>
      </c>
      <c r="AA1945" s="74" t="s">
        <v>9504</v>
      </c>
      <c r="AB1945" s="73" t="s">
        <v>9486</v>
      </c>
      <c r="AC1945" s="74" t="s">
        <v>9561</v>
      </c>
      <c r="AD1945" s="73" t="s">
        <v>9578</v>
      </c>
      <c r="AE1945" s="74" t="s">
        <v>9579</v>
      </c>
    </row>
    <row r="1946" spans="1:31" ht="8.65" customHeight="1" x14ac:dyDescent="0.2">
      <c r="A1946" s="76">
        <v>1946</v>
      </c>
      <c r="B1946" s="67" t="str">
        <f>MID(C1946, FIND("Ifc.", C1946) + 4, 4) &amp; "_" &amp; TEXT(COUNTIF($C$2:C1946, C1946),"0000")</f>
        <v>Prop_1945</v>
      </c>
      <c r="C1946" s="24" t="s">
        <v>872</v>
      </c>
      <c r="D1946" s="69" t="s">
        <v>9453</v>
      </c>
      <c r="E1946" s="70" t="s">
        <v>9454</v>
      </c>
      <c r="F1946" s="17" t="s">
        <v>806</v>
      </c>
      <c r="G1946" s="22" t="s">
        <v>1685</v>
      </c>
      <c r="H1946" s="12" t="s">
        <v>9703</v>
      </c>
      <c r="I1946" s="13" t="s">
        <v>6436</v>
      </c>
      <c r="J1946" s="14" t="s">
        <v>798</v>
      </c>
      <c r="K1946" s="15" t="s">
        <v>798</v>
      </c>
      <c r="L1946" s="12" t="s">
        <v>5315</v>
      </c>
      <c r="M1946" s="13" t="s">
        <v>5851</v>
      </c>
      <c r="N1946" s="12" t="s">
        <v>803</v>
      </c>
      <c r="O1946" s="13" t="s">
        <v>4998</v>
      </c>
      <c r="P1946" s="17" t="s">
        <v>802</v>
      </c>
      <c r="Q1946" s="21" t="s">
        <v>8076</v>
      </c>
      <c r="R1946" s="17" t="s">
        <v>801</v>
      </c>
      <c r="S1946" s="18" t="s">
        <v>3636</v>
      </c>
      <c r="T1946" s="17" t="s">
        <v>800</v>
      </c>
      <c r="U1946" s="18" t="s">
        <v>5257</v>
      </c>
      <c r="V1946" s="17" t="s">
        <v>9418</v>
      </c>
      <c r="W1946" s="18" t="s">
        <v>5314</v>
      </c>
      <c r="X1946" s="69" t="s">
        <v>9453</v>
      </c>
      <c r="Y1946" s="70" t="s">
        <v>9464</v>
      </c>
      <c r="Z1946" s="73" t="s">
        <v>9486</v>
      </c>
      <c r="AA1946" s="74" t="s">
        <v>9504</v>
      </c>
      <c r="AB1946" s="73" t="s">
        <v>9486</v>
      </c>
      <c r="AC1946" s="74" t="s">
        <v>9561</v>
      </c>
      <c r="AD1946" s="73" t="s">
        <v>9578</v>
      </c>
      <c r="AE1946" s="74" t="s">
        <v>9579</v>
      </c>
    </row>
    <row r="1947" spans="1:31" ht="8.65" customHeight="1" x14ac:dyDescent="0.2">
      <c r="A1947" s="76">
        <v>1947</v>
      </c>
      <c r="B1947" s="67" t="str">
        <f>MID(C1947, FIND("Ifc.", C1947) + 4, 4) &amp; "_" &amp; TEXT(COUNTIF($C$2:C1947, C1947),"0000")</f>
        <v>Prop_1946</v>
      </c>
      <c r="C1947" s="24" t="s">
        <v>872</v>
      </c>
      <c r="D1947" s="69" t="s">
        <v>9453</v>
      </c>
      <c r="E1947" s="70" t="s">
        <v>9454</v>
      </c>
      <c r="F1947" s="17" t="s">
        <v>806</v>
      </c>
      <c r="G1947" s="22" t="s">
        <v>1603</v>
      </c>
      <c r="H1947" s="12" t="s">
        <v>9703</v>
      </c>
      <c r="I1947" s="13" t="s">
        <v>6360</v>
      </c>
      <c r="J1947" s="14" t="s">
        <v>798</v>
      </c>
      <c r="K1947" s="15" t="s">
        <v>798</v>
      </c>
      <c r="L1947" s="12" t="s">
        <v>5315</v>
      </c>
      <c r="M1947" s="13" t="s">
        <v>5831</v>
      </c>
      <c r="N1947" s="12" t="s">
        <v>803</v>
      </c>
      <c r="O1947" s="13" t="s">
        <v>4973</v>
      </c>
      <c r="P1947" s="17" t="s">
        <v>802</v>
      </c>
      <c r="Q1947" s="21" t="s">
        <v>7730</v>
      </c>
      <c r="R1947" s="17" t="s">
        <v>801</v>
      </c>
      <c r="S1947" s="18" t="s">
        <v>3636</v>
      </c>
      <c r="T1947" s="17" t="s">
        <v>800</v>
      </c>
      <c r="U1947" s="18" t="s">
        <v>5257</v>
      </c>
      <c r="V1947" s="17" t="s">
        <v>9418</v>
      </c>
      <c r="W1947" s="18" t="s">
        <v>5314</v>
      </c>
      <c r="X1947" s="69" t="s">
        <v>9453</v>
      </c>
      <c r="Y1947" s="70" t="s">
        <v>9464</v>
      </c>
      <c r="Z1947" s="73" t="s">
        <v>9486</v>
      </c>
      <c r="AA1947" s="74" t="s">
        <v>9504</v>
      </c>
      <c r="AB1947" s="73" t="s">
        <v>9486</v>
      </c>
      <c r="AC1947" s="74" t="s">
        <v>9561</v>
      </c>
      <c r="AD1947" s="73" t="s">
        <v>9578</v>
      </c>
      <c r="AE1947" s="74" t="s">
        <v>9579</v>
      </c>
    </row>
    <row r="1948" spans="1:31" ht="8.65" customHeight="1" x14ac:dyDescent="0.2">
      <c r="A1948" s="76">
        <v>1948</v>
      </c>
      <c r="B1948" s="67" t="str">
        <f>MID(C1948, FIND("Ifc.", C1948) + 4, 4) &amp; "_" &amp; TEXT(COUNTIF($C$2:C1948, C1948),"0000")</f>
        <v>Prop_1947</v>
      </c>
      <c r="C1948" s="24" t="s">
        <v>872</v>
      </c>
      <c r="D1948" s="69" t="s">
        <v>9453</v>
      </c>
      <c r="E1948" s="70" t="s">
        <v>9454</v>
      </c>
      <c r="F1948" s="17" t="s">
        <v>806</v>
      </c>
      <c r="G1948" s="22" t="s">
        <v>1603</v>
      </c>
      <c r="H1948" s="12" t="s">
        <v>9703</v>
      </c>
      <c r="I1948" s="13" t="s">
        <v>6360</v>
      </c>
      <c r="J1948" s="14" t="s">
        <v>798</v>
      </c>
      <c r="K1948" s="15" t="s">
        <v>798</v>
      </c>
      <c r="L1948" s="12" t="s">
        <v>5315</v>
      </c>
      <c r="M1948" s="13" t="s">
        <v>5846</v>
      </c>
      <c r="N1948" s="12" t="s">
        <v>803</v>
      </c>
      <c r="O1948" s="13" t="s">
        <v>4992</v>
      </c>
      <c r="P1948" s="17" t="s">
        <v>802</v>
      </c>
      <c r="Q1948" s="21" t="s">
        <v>7913</v>
      </c>
      <c r="R1948" s="17" t="s">
        <v>801</v>
      </c>
      <c r="S1948" s="18" t="s">
        <v>3636</v>
      </c>
      <c r="T1948" s="17" t="s">
        <v>800</v>
      </c>
      <c r="U1948" s="18" t="s">
        <v>5257</v>
      </c>
      <c r="V1948" s="17" t="s">
        <v>9418</v>
      </c>
      <c r="W1948" s="18" t="s">
        <v>5314</v>
      </c>
      <c r="X1948" s="69" t="s">
        <v>9453</v>
      </c>
      <c r="Y1948" s="70" t="s">
        <v>9464</v>
      </c>
      <c r="Z1948" s="73" t="s">
        <v>9486</v>
      </c>
      <c r="AA1948" s="74" t="s">
        <v>9504</v>
      </c>
      <c r="AB1948" s="73" t="s">
        <v>9486</v>
      </c>
      <c r="AC1948" s="74" t="s">
        <v>9561</v>
      </c>
      <c r="AD1948" s="73" t="s">
        <v>9578</v>
      </c>
      <c r="AE1948" s="74" t="s">
        <v>9579</v>
      </c>
    </row>
    <row r="1949" spans="1:31" ht="8.65" customHeight="1" x14ac:dyDescent="0.2">
      <c r="A1949" s="76">
        <v>1949</v>
      </c>
      <c r="B1949" s="67" t="str">
        <f>MID(C1949, FIND("Ifc.", C1949) + 4, 4) &amp; "_" &amp; TEXT(COUNTIF($C$2:C1949, C1949),"0000")</f>
        <v>Prop_1948</v>
      </c>
      <c r="C1949" s="24" t="s">
        <v>872</v>
      </c>
      <c r="D1949" s="69" t="s">
        <v>9453</v>
      </c>
      <c r="E1949" s="70" t="s">
        <v>9454</v>
      </c>
      <c r="F1949" s="17" t="s">
        <v>806</v>
      </c>
      <c r="G1949" s="22" t="s">
        <v>1603</v>
      </c>
      <c r="H1949" s="12" t="s">
        <v>9703</v>
      </c>
      <c r="I1949" s="13" t="s">
        <v>6360</v>
      </c>
      <c r="J1949" s="14" t="s">
        <v>798</v>
      </c>
      <c r="K1949" s="15" t="s">
        <v>798</v>
      </c>
      <c r="L1949" s="12" t="s">
        <v>5315</v>
      </c>
      <c r="M1949" s="13" t="s">
        <v>5848</v>
      </c>
      <c r="N1949" s="12" t="s">
        <v>803</v>
      </c>
      <c r="O1949" s="13" t="s">
        <v>4994</v>
      </c>
      <c r="P1949" s="17" t="s">
        <v>802</v>
      </c>
      <c r="Q1949" s="21" t="s">
        <v>8021</v>
      </c>
      <c r="R1949" s="17" t="s">
        <v>801</v>
      </c>
      <c r="S1949" s="18" t="s">
        <v>3636</v>
      </c>
      <c r="T1949" s="17" t="s">
        <v>800</v>
      </c>
      <c r="U1949" s="18" t="s">
        <v>5257</v>
      </c>
      <c r="V1949" s="17" t="s">
        <v>9418</v>
      </c>
      <c r="W1949" s="18" t="s">
        <v>5314</v>
      </c>
      <c r="X1949" s="69" t="s">
        <v>9453</v>
      </c>
      <c r="Y1949" s="70" t="s">
        <v>9464</v>
      </c>
      <c r="Z1949" s="73" t="s">
        <v>9486</v>
      </c>
      <c r="AA1949" s="74" t="s">
        <v>9504</v>
      </c>
      <c r="AB1949" s="73" t="s">
        <v>9486</v>
      </c>
      <c r="AC1949" s="74" t="s">
        <v>9561</v>
      </c>
      <c r="AD1949" s="73" t="s">
        <v>9578</v>
      </c>
      <c r="AE1949" s="74" t="s">
        <v>9579</v>
      </c>
    </row>
    <row r="1950" spans="1:31" ht="8.65" customHeight="1" x14ac:dyDescent="0.2">
      <c r="A1950" s="76">
        <v>1950</v>
      </c>
      <c r="B1950" s="67" t="str">
        <f>MID(C1950, FIND("Ifc.", C1950) + 4, 4) &amp; "_" &amp; TEXT(COUNTIF($C$2:C1950, C1950),"0000")</f>
        <v>Prop_1949</v>
      </c>
      <c r="C1950" s="24" t="s">
        <v>872</v>
      </c>
      <c r="D1950" s="69" t="s">
        <v>9453</v>
      </c>
      <c r="E1950" s="70" t="s">
        <v>9454</v>
      </c>
      <c r="F1950" s="17" t="s">
        <v>806</v>
      </c>
      <c r="G1950" s="22" t="s">
        <v>1603</v>
      </c>
      <c r="H1950" s="12" t="s">
        <v>9703</v>
      </c>
      <c r="I1950" s="13" t="s">
        <v>6360</v>
      </c>
      <c r="J1950" s="14" t="s">
        <v>798</v>
      </c>
      <c r="K1950" s="15" t="s">
        <v>798</v>
      </c>
      <c r="L1950" s="12" t="s">
        <v>5315</v>
      </c>
      <c r="M1950" s="13" t="s">
        <v>5900</v>
      </c>
      <c r="N1950" s="12" t="s">
        <v>803</v>
      </c>
      <c r="O1950" s="13" t="s">
        <v>4969</v>
      </c>
      <c r="P1950" s="17" t="s">
        <v>802</v>
      </c>
      <c r="Q1950" s="21" t="s">
        <v>7700</v>
      </c>
      <c r="R1950" s="17" t="s">
        <v>801</v>
      </c>
      <c r="S1950" s="18" t="s">
        <v>3636</v>
      </c>
      <c r="T1950" s="17" t="s">
        <v>800</v>
      </c>
      <c r="U1950" s="18" t="s">
        <v>5257</v>
      </c>
      <c r="V1950" s="17" t="s">
        <v>9418</v>
      </c>
      <c r="W1950" s="18" t="s">
        <v>5314</v>
      </c>
      <c r="X1950" s="69" t="s">
        <v>9453</v>
      </c>
      <c r="Y1950" s="70" t="s">
        <v>9464</v>
      </c>
      <c r="Z1950" s="73" t="s">
        <v>9486</v>
      </c>
      <c r="AA1950" s="74" t="s">
        <v>9504</v>
      </c>
      <c r="AB1950" s="73" t="s">
        <v>9486</v>
      </c>
      <c r="AC1950" s="74" t="s">
        <v>9561</v>
      </c>
      <c r="AD1950" s="73" t="s">
        <v>9578</v>
      </c>
      <c r="AE1950" s="74" t="s">
        <v>9579</v>
      </c>
    </row>
    <row r="1951" spans="1:31" ht="8.65" customHeight="1" x14ac:dyDescent="0.2">
      <c r="A1951" s="76">
        <v>1951</v>
      </c>
      <c r="B1951" s="67" t="str">
        <f>MID(C1951, FIND("Ifc.", C1951) + 4, 4) &amp; "_" &amp; TEXT(COUNTIF($C$2:C1951, C1951),"0000")</f>
        <v>Prop_1950</v>
      </c>
      <c r="C1951" s="24" t="s">
        <v>872</v>
      </c>
      <c r="D1951" s="69" t="s">
        <v>9453</v>
      </c>
      <c r="E1951" s="70" t="s">
        <v>9454</v>
      </c>
      <c r="F1951" s="17" t="s">
        <v>806</v>
      </c>
      <c r="G1951" s="22" t="s">
        <v>1603</v>
      </c>
      <c r="H1951" s="12" t="s">
        <v>9703</v>
      </c>
      <c r="I1951" s="13" t="s">
        <v>6360</v>
      </c>
      <c r="J1951" s="14" t="s">
        <v>798</v>
      </c>
      <c r="K1951" s="15" t="s">
        <v>798</v>
      </c>
      <c r="L1951" s="12" t="s">
        <v>5315</v>
      </c>
      <c r="M1951" s="13" t="s">
        <v>5780</v>
      </c>
      <c r="N1951" s="12" t="s">
        <v>803</v>
      </c>
      <c r="O1951" s="13" t="s">
        <v>5070</v>
      </c>
      <c r="P1951" s="17" t="s">
        <v>802</v>
      </c>
      <c r="Q1951" s="21" t="s">
        <v>7987</v>
      </c>
      <c r="R1951" s="17" t="s">
        <v>801</v>
      </c>
      <c r="S1951" s="18" t="s">
        <v>2638</v>
      </c>
      <c r="T1951" s="17" t="s">
        <v>800</v>
      </c>
      <c r="U1951" s="18" t="s">
        <v>5254</v>
      </c>
      <c r="V1951" s="17" t="s">
        <v>9418</v>
      </c>
      <c r="W1951" s="18" t="s">
        <v>5309</v>
      </c>
      <c r="X1951" s="69" t="s">
        <v>9453</v>
      </c>
      <c r="Y1951" s="70" t="s">
        <v>9462</v>
      </c>
      <c r="Z1951" s="73" t="s">
        <v>9486</v>
      </c>
      <c r="AA1951" s="74" t="s">
        <v>9504</v>
      </c>
      <c r="AB1951" s="73" t="s">
        <v>9486</v>
      </c>
      <c r="AC1951" s="74" t="s">
        <v>9566</v>
      </c>
      <c r="AD1951" s="73" t="s">
        <v>9578</v>
      </c>
      <c r="AE1951" s="74" t="s">
        <v>9579</v>
      </c>
    </row>
    <row r="1952" spans="1:31" ht="8.65" customHeight="1" x14ac:dyDescent="0.2">
      <c r="A1952" s="76">
        <v>1952</v>
      </c>
      <c r="B1952" s="67" t="str">
        <f>MID(C1952, FIND("Ifc.", C1952) + 4, 4) &amp; "_" &amp; TEXT(COUNTIF($C$2:C1952, C1952),"0000")</f>
        <v>Prop_1951</v>
      </c>
      <c r="C1952" s="24" t="s">
        <v>872</v>
      </c>
      <c r="D1952" s="69" t="s">
        <v>9453</v>
      </c>
      <c r="E1952" s="70" t="s">
        <v>9454</v>
      </c>
      <c r="F1952" s="17" t="s">
        <v>806</v>
      </c>
      <c r="G1952" s="22" t="s">
        <v>1322</v>
      </c>
      <c r="H1952" s="12" t="s">
        <v>9703</v>
      </c>
      <c r="I1952" s="13" t="s">
        <v>7134</v>
      </c>
      <c r="J1952" s="14" t="s">
        <v>798</v>
      </c>
      <c r="K1952" s="15" t="s">
        <v>798</v>
      </c>
      <c r="L1952" s="12" t="s">
        <v>5315</v>
      </c>
      <c r="M1952" s="13" t="s">
        <v>5410</v>
      </c>
      <c r="N1952" s="12" t="s">
        <v>803</v>
      </c>
      <c r="O1952" s="13" t="s">
        <v>4908</v>
      </c>
      <c r="P1952" s="17" t="s">
        <v>802</v>
      </c>
      <c r="Q1952" s="21" t="s">
        <v>7823</v>
      </c>
      <c r="R1952" s="17" t="s">
        <v>801</v>
      </c>
      <c r="S1952" s="18" t="s">
        <v>2606</v>
      </c>
      <c r="T1952" s="17" t="s">
        <v>800</v>
      </c>
      <c r="U1952" s="18" t="s">
        <v>5249</v>
      </c>
      <c r="V1952" s="17" t="s">
        <v>9418</v>
      </c>
      <c r="W1952" s="18" t="s">
        <v>5312</v>
      </c>
      <c r="X1952" s="69" t="s">
        <v>9453</v>
      </c>
      <c r="Y1952" s="70" t="s">
        <v>9465</v>
      </c>
      <c r="Z1952" s="73" t="s">
        <v>9486</v>
      </c>
      <c r="AA1952" s="74" t="s">
        <v>9504</v>
      </c>
      <c r="AB1952" s="73" t="s">
        <v>9486</v>
      </c>
      <c r="AC1952" s="74" t="s">
        <v>9566</v>
      </c>
      <c r="AD1952" s="73" t="s">
        <v>9578</v>
      </c>
      <c r="AE1952" s="74" t="s">
        <v>9579</v>
      </c>
    </row>
    <row r="1953" spans="1:31" ht="8.65" customHeight="1" x14ac:dyDescent="0.2">
      <c r="A1953" s="76">
        <v>1953</v>
      </c>
      <c r="B1953" s="67" t="str">
        <f>MID(C1953, FIND("Ifc.", C1953) + 4, 4) &amp; "_" &amp; TEXT(COUNTIF($C$2:C1953, C1953),"0000")</f>
        <v>Prop_1952</v>
      </c>
      <c r="C1953" s="24" t="s">
        <v>872</v>
      </c>
      <c r="D1953" s="69" t="s">
        <v>9453</v>
      </c>
      <c r="E1953" s="70" t="s">
        <v>9454</v>
      </c>
      <c r="F1953" s="17" t="s">
        <v>806</v>
      </c>
      <c r="G1953" s="22" t="s">
        <v>1683</v>
      </c>
      <c r="H1953" s="12" t="s">
        <v>9703</v>
      </c>
      <c r="I1953" s="13" t="s">
        <v>6902</v>
      </c>
      <c r="J1953" s="14" t="s">
        <v>798</v>
      </c>
      <c r="K1953" s="15" t="s">
        <v>798</v>
      </c>
      <c r="L1953" s="12" t="s">
        <v>5315</v>
      </c>
      <c r="M1953" s="13" t="s">
        <v>5850</v>
      </c>
      <c r="N1953" s="12" t="s">
        <v>803</v>
      </c>
      <c r="O1953" s="13" t="s">
        <v>4997</v>
      </c>
      <c r="P1953" s="17" t="s">
        <v>802</v>
      </c>
      <c r="Q1953" s="21" t="s">
        <v>7957</v>
      </c>
      <c r="R1953" s="17" t="s">
        <v>801</v>
      </c>
      <c r="S1953" s="18" t="s">
        <v>3636</v>
      </c>
      <c r="T1953" s="17" t="s">
        <v>800</v>
      </c>
      <c r="U1953" s="18" t="s">
        <v>5257</v>
      </c>
      <c r="V1953" s="17" t="s">
        <v>9418</v>
      </c>
      <c r="W1953" s="18" t="s">
        <v>5314</v>
      </c>
      <c r="X1953" s="69" t="s">
        <v>9453</v>
      </c>
      <c r="Y1953" s="70" t="s">
        <v>9464</v>
      </c>
      <c r="Z1953" s="73" t="s">
        <v>9486</v>
      </c>
      <c r="AA1953" s="74" t="s">
        <v>9504</v>
      </c>
      <c r="AB1953" s="73" t="s">
        <v>9486</v>
      </c>
      <c r="AC1953" s="74" t="s">
        <v>9561</v>
      </c>
      <c r="AD1953" s="73" t="s">
        <v>9578</v>
      </c>
      <c r="AE1953" s="74" t="s">
        <v>9579</v>
      </c>
    </row>
    <row r="1954" spans="1:31" ht="8.65" customHeight="1" x14ac:dyDescent="0.2">
      <c r="A1954" s="76">
        <v>1954</v>
      </c>
      <c r="B1954" s="67" t="str">
        <f>MID(C1954, FIND("Ifc.", C1954) + 4, 4) &amp; "_" &amp; TEXT(COUNTIF($C$2:C1954, C1954),"0000")</f>
        <v>Prop_1953</v>
      </c>
      <c r="C1954" s="24" t="s">
        <v>872</v>
      </c>
      <c r="D1954" s="69" t="s">
        <v>9453</v>
      </c>
      <c r="E1954" s="70" t="s">
        <v>9454</v>
      </c>
      <c r="F1954" s="17" t="s">
        <v>806</v>
      </c>
      <c r="G1954" s="22" t="s">
        <v>1681</v>
      </c>
      <c r="H1954" s="12" t="s">
        <v>9703</v>
      </c>
      <c r="I1954" s="13" t="s">
        <v>6900</v>
      </c>
      <c r="J1954" s="14" t="s">
        <v>798</v>
      </c>
      <c r="K1954" s="15" t="s">
        <v>798</v>
      </c>
      <c r="L1954" s="12" t="s">
        <v>5315</v>
      </c>
      <c r="M1954" s="13" t="s">
        <v>5850</v>
      </c>
      <c r="N1954" s="12" t="s">
        <v>803</v>
      </c>
      <c r="O1954" s="13" t="s">
        <v>4997</v>
      </c>
      <c r="P1954" s="17" t="s">
        <v>802</v>
      </c>
      <c r="Q1954" s="21" t="s">
        <v>7957</v>
      </c>
      <c r="R1954" s="17" t="s">
        <v>801</v>
      </c>
      <c r="S1954" s="18" t="s">
        <v>3636</v>
      </c>
      <c r="T1954" s="17" t="s">
        <v>800</v>
      </c>
      <c r="U1954" s="18" t="s">
        <v>5257</v>
      </c>
      <c r="V1954" s="17" t="s">
        <v>9418</v>
      </c>
      <c r="W1954" s="18" t="s">
        <v>5314</v>
      </c>
      <c r="X1954" s="69" t="s">
        <v>9453</v>
      </c>
      <c r="Y1954" s="70" t="s">
        <v>9464</v>
      </c>
      <c r="Z1954" s="73" t="s">
        <v>9486</v>
      </c>
      <c r="AA1954" s="74" t="s">
        <v>9504</v>
      </c>
      <c r="AB1954" s="73" t="s">
        <v>9486</v>
      </c>
      <c r="AC1954" s="74" t="s">
        <v>9561</v>
      </c>
      <c r="AD1954" s="73" t="s">
        <v>9578</v>
      </c>
      <c r="AE1954" s="74" t="s">
        <v>9579</v>
      </c>
    </row>
    <row r="1955" spans="1:31" ht="8.65" customHeight="1" x14ac:dyDescent="0.2">
      <c r="A1955" s="76">
        <v>1955</v>
      </c>
      <c r="B1955" s="67" t="str">
        <f>MID(C1955, FIND("Ifc.", C1955) + 4, 4) &amp; "_" &amp; TEXT(COUNTIF($C$2:C1955, C1955),"0000")</f>
        <v>Prop_1954</v>
      </c>
      <c r="C1955" s="24" t="s">
        <v>872</v>
      </c>
      <c r="D1955" s="69" t="s">
        <v>9453</v>
      </c>
      <c r="E1955" s="70" t="s">
        <v>9454</v>
      </c>
      <c r="F1955" s="17" t="s">
        <v>806</v>
      </c>
      <c r="G1955" s="22" t="s">
        <v>2532</v>
      </c>
      <c r="H1955" s="12" t="s">
        <v>9703</v>
      </c>
      <c r="I1955" s="13" t="s">
        <v>7140</v>
      </c>
      <c r="J1955" s="14" t="s">
        <v>798</v>
      </c>
      <c r="K1955" s="15" t="s">
        <v>798</v>
      </c>
      <c r="L1955" s="12" t="s">
        <v>5315</v>
      </c>
      <c r="M1955" s="13" t="s">
        <v>5580</v>
      </c>
      <c r="N1955" s="12" t="s">
        <v>803</v>
      </c>
      <c r="O1955" s="13" t="s">
        <v>5226</v>
      </c>
      <c r="P1955" s="17" t="s">
        <v>802</v>
      </c>
      <c r="Q1955" s="21" t="s">
        <v>7797</v>
      </c>
      <c r="R1955" s="17" t="s">
        <v>801</v>
      </c>
      <c r="S1955" s="18" t="s">
        <v>2621</v>
      </c>
      <c r="T1955" s="17" t="s">
        <v>800</v>
      </c>
      <c r="U1955" s="18" t="s">
        <v>5260</v>
      </c>
      <c r="V1955" s="17" t="s">
        <v>9418</v>
      </c>
      <c r="W1955" s="18" t="s">
        <v>5312</v>
      </c>
      <c r="X1955" s="69" t="s">
        <v>9453</v>
      </c>
      <c r="Y1955" s="70" t="s">
        <v>9465</v>
      </c>
      <c r="Z1955" s="73" t="s">
        <v>9486</v>
      </c>
      <c r="AA1955" s="74" t="s">
        <v>9504</v>
      </c>
      <c r="AB1955" s="73" t="s">
        <v>9486</v>
      </c>
      <c r="AC1955" s="74" t="s">
        <v>9566</v>
      </c>
      <c r="AD1955" s="73" t="s">
        <v>9578</v>
      </c>
      <c r="AE1955" s="74" t="s">
        <v>9579</v>
      </c>
    </row>
    <row r="1956" spans="1:31" ht="8.65" customHeight="1" x14ac:dyDescent="0.2">
      <c r="A1956" s="76">
        <v>1956</v>
      </c>
      <c r="B1956" s="67" t="str">
        <f>MID(C1956, FIND("Ifc.", C1956) + 4, 4) &amp; "_" &amp; TEXT(COUNTIF($C$2:C1956, C1956),"0000")</f>
        <v>Prop_1955</v>
      </c>
      <c r="C1956" s="24" t="s">
        <v>872</v>
      </c>
      <c r="D1956" s="69" t="s">
        <v>9453</v>
      </c>
      <c r="E1956" s="70" t="s">
        <v>9454</v>
      </c>
      <c r="F1956" s="17" t="s">
        <v>806</v>
      </c>
      <c r="G1956" s="22" t="s">
        <v>1057</v>
      </c>
      <c r="H1956" s="12" t="s">
        <v>9703</v>
      </c>
      <c r="I1956" s="13" t="s">
        <v>7129</v>
      </c>
      <c r="J1956" s="14" t="s">
        <v>798</v>
      </c>
      <c r="K1956" s="15" t="s">
        <v>798</v>
      </c>
      <c r="L1956" s="12" t="s">
        <v>5315</v>
      </c>
      <c r="M1956" s="13" t="s">
        <v>5779</v>
      </c>
      <c r="N1956" s="12" t="s">
        <v>803</v>
      </c>
      <c r="O1956" s="13" t="s">
        <v>4846</v>
      </c>
      <c r="P1956" s="17" t="s">
        <v>802</v>
      </c>
      <c r="Q1956" s="21" t="s">
        <v>7936</v>
      </c>
      <c r="R1956" s="17" t="s">
        <v>801</v>
      </c>
      <c r="S1956" s="18" t="s">
        <v>2621</v>
      </c>
      <c r="T1956" s="17" t="s">
        <v>800</v>
      </c>
      <c r="U1956" s="18" t="s">
        <v>5260</v>
      </c>
      <c r="V1956" s="17" t="s">
        <v>9418</v>
      </c>
      <c r="W1956" s="18" t="s">
        <v>5312</v>
      </c>
      <c r="X1956" s="69" t="s">
        <v>9453</v>
      </c>
      <c r="Y1956" s="70" t="s">
        <v>9465</v>
      </c>
      <c r="Z1956" s="73" t="s">
        <v>9486</v>
      </c>
      <c r="AA1956" s="74" t="s">
        <v>9504</v>
      </c>
      <c r="AB1956" s="73" t="s">
        <v>9486</v>
      </c>
      <c r="AC1956" s="74" t="s">
        <v>9566</v>
      </c>
      <c r="AD1956" s="73" t="s">
        <v>9578</v>
      </c>
      <c r="AE1956" s="74" t="s">
        <v>9579</v>
      </c>
    </row>
    <row r="1957" spans="1:31" ht="8.65" customHeight="1" x14ac:dyDescent="0.2">
      <c r="A1957" s="76">
        <v>1957</v>
      </c>
      <c r="B1957" s="67" t="str">
        <f>MID(C1957, FIND("Ifc.", C1957) + 4, 4) &amp; "_" &amp; TEXT(COUNTIF($C$2:C1957, C1957),"0000")</f>
        <v>Prop_1956</v>
      </c>
      <c r="C1957" s="24" t="s">
        <v>872</v>
      </c>
      <c r="D1957" s="69" t="s">
        <v>9453</v>
      </c>
      <c r="E1957" s="70" t="s">
        <v>9454</v>
      </c>
      <c r="F1957" s="17" t="s">
        <v>806</v>
      </c>
      <c r="G1957" s="22" t="s">
        <v>1536</v>
      </c>
      <c r="H1957" s="12" t="s">
        <v>9703</v>
      </c>
      <c r="I1957" s="13" t="s">
        <v>7135</v>
      </c>
      <c r="J1957" s="14" t="s">
        <v>798</v>
      </c>
      <c r="K1957" s="15" t="s">
        <v>798</v>
      </c>
      <c r="L1957" s="12" t="s">
        <v>5315</v>
      </c>
      <c r="M1957" s="13" t="s">
        <v>5817</v>
      </c>
      <c r="N1957" s="12" t="s">
        <v>803</v>
      </c>
      <c r="O1957" s="13" t="s">
        <v>4956</v>
      </c>
      <c r="P1957" s="17" t="s">
        <v>802</v>
      </c>
      <c r="Q1957" s="21" t="s">
        <v>7758</v>
      </c>
      <c r="R1957" s="17" t="s">
        <v>801</v>
      </c>
      <c r="S1957" s="18" t="s">
        <v>2621</v>
      </c>
      <c r="T1957" s="17" t="s">
        <v>800</v>
      </c>
      <c r="U1957" s="18" t="s">
        <v>5260</v>
      </c>
      <c r="V1957" s="17" t="s">
        <v>9418</v>
      </c>
      <c r="W1957" s="18" t="s">
        <v>5312</v>
      </c>
      <c r="X1957" s="69" t="s">
        <v>9453</v>
      </c>
      <c r="Y1957" s="70" t="s">
        <v>9465</v>
      </c>
      <c r="Z1957" s="73" t="s">
        <v>9486</v>
      </c>
      <c r="AA1957" s="74" t="s">
        <v>9504</v>
      </c>
      <c r="AB1957" s="73" t="s">
        <v>9486</v>
      </c>
      <c r="AC1957" s="74" t="s">
        <v>9566</v>
      </c>
      <c r="AD1957" s="73" t="s">
        <v>9578</v>
      </c>
      <c r="AE1957" s="74" t="s">
        <v>9579</v>
      </c>
    </row>
    <row r="1958" spans="1:31" ht="8.65" customHeight="1" x14ac:dyDescent="0.2">
      <c r="A1958" s="76">
        <v>1958</v>
      </c>
      <c r="B1958" s="67" t="str">
        <f>MID(C1958, FIND("Ifc.", C1958) + 4, 4) &amp; "_" &amp; TEXT(COUNTIF($C$2:C1958, C1958),"0000")</f>
        <v>Prop_1957</v>
      </c>
      <c r="C1958" s="24" t="s">
        <v>872</v>
      </c>
      <c r="D1958" s="69" t="s">
        <v>9453</v>
      </c>
      <c r="E1958" s="70" t="s">
        <v>9454</v>
      </c>
      <c r="F1958" s="17" t="s">
        <v>806</v>
      </c>
      <c r="G1958" s="22" t="s">
        <v>2300</v>
      </c>
      <c r="H1958" s="12" t="s">
        <v>9703</v>
      </c>
      <c r="I1958" s="13" t="s">
        <v>7276</v>
      </c>
      <c r="J1958" s="14" t="s">
        <v>798</v>
      </c>
      <c r="K1958" s="15" t="s">
        <v>798</v>
      </c>
      <c r="L1958" s="12" t="s">
        <v>5315</v>
      </c>
      <c r="M1958" s="13" t="s">
        <v>5551</v>
      </c>
      <c r="N1958" s="12" t="s">
        <v>803</v>
      </c>
      <c r="O1958" s="13" t="s">
        <v>5164</v>
      </c>
      <c r="P1958" s="17" t="s">
        <v>802</v>
      </c>
      <c r="Q1958" s="21" t="s">
        <v>7871</v>
      </c>
      <c r="R1958" s="17" t="s">
        <v>801</v>
      </c>
      <c r="S1958" s="18" t="s">
        <v>2621</v>
      </c>
      <c r="T1958" s="17" t="s">
        <v>800</v>
      </c>
      <c r="U1958" s="18" t="s">
        <v>5260</v>
      </c>
      <c r="V1958" s="17" t="s">
        <v>9418</v>
      </c>
      <c r="W1958" s="18" t="s">
        <v>5312</v>
      </c>
      <c r="X1958" s="69" t="s">
        <v>9453</v>
      </c>
      <c r="Y1958" s="70" t="s">
        <v>9465</v>
      </c>
      <c r="Z1958" s="73" t="s">
        <v>9486</v>
      </c>
      <c r="AA1958" s="74" t="s">
        <v>9504</v>
      </c>
      <c r="AB1958" s="73" t="s">
        <v>9486</v>
      </c>
      <c r="AC1958" s="74" t="s">
        <v>9566</v>
      </c>
      <c r="AD1958" s="73" t="s">
        <v>9578</v>
      </c>
      <c r="AE1958" s="74" t="s">
        <v>9579</v>
      </c>
    </row>
    <row r="1959" spans="1:31" ht="8.65" customHeight="1" x14ac:dyDescent="0.2">
      <c r="A1959" s="76">
        <v>1959</v>
      </c>
      <c r="B1959" s="67" t="str">
        <f>MID(C1959, FIND("Ifc.", C1959) + 4, 4) &amp; "_" &amp; TEXT(COUNTIF($C$2:C1959, C1959),"0000")</f>
        <v>Prop_1958</v>
      </c>
      <c r="C1959" s="24" t="s">
        <v>872</v>
      </c>
      <c r="D1959" s="69" t="s">
        <v>9453</v>
      </c>
      <c r="E1959" s="70" t="s">
        <v>9454</v>
      </c>
      <c r="F1959" s="17" t="s">
        <v>806</v>
      </c>
      <c r="G1959" s="22" t="s">
        <v>1151</v>
      </c>
      <c r="H1959" s="12" t="s">
        <v>9703</v>
      </c>
      <c r="I1959" s="13" t="s">
        <v>7132</v>
      </c>
      <c r="J1959" s="14" t="s">
        <v>798</v>
      </c>
      <c r="K1959" s="15" t="s">
        <v>798</v>
      </c>
      <c r="L1959" s="12" t="s">
        <v>5315</v>
      </c>
      <c r="M1959" s="13" t="s">
        <v>5395</v>
      </c>
      <c r="N1959" s="12" t="s">
        <v>803</v>
      </c>
      <c r="O1959" s="13" t="s">
        <v>4866</v>
      </c>
      <c r="P1959" s="17" t="s">
        <v>802</v>
      </c>
      <c r="Q1959" s="21" t="s">
        <v>7821</v>
      </c>
      <c r="R1959" s="17" t="s">
        <v>801</v>
      </c>
      <c r="S1959" s="18" t="s">
        <v>2621</v>
      </c>
      <c r="T1959" s="17" t="s">
        <v>800</v>
      </c>
      <c r="U1959" s="18" t="s">
        <v>5260</v>
      </c>
      <c r="V1959" s="17" t="s">
        <v>9418</v>
      </c>
      <c r="W1959" s="18" t="s">
        <v>5312</v>
      </c>
      <c r="X1959" s="69" t="s">
        <v>9453</v>
      </c>
      <c r="Y1959" s="70" t="s">
        <v>9465</v>
      </c>
      <c r="Z1959" s="73" t="s">
        <v>9486</v>
      </c>
      <c r="AA1959" s="74" t="s">
        <v>9504</v>
      </c>
      <c r="AB1959" s="73" t="s">
        <v>9486</v>
      </c>
      <c r="AC1959" s="74" t="s">
        <v>9566</v>
      </c>
      <c r="AD1959" s="73" t="s">
        <v>9578</v>
      </c>
      <c r="AE1959" s="74" t="s">
        <v>9579</v>
      </c>
    </row>
    <row r="1960" spans="1:31" ht="8.65" customHeight="1" x14ac:dyDescent="0.2">
      <c r="A1960" s="76">
        <v>1960</v>
      </c>
      <c r="B1960" s="67" t="str">
        <f>MID(C1960, FIND("Ifc.", C1960) + 4, 4) &amp; "_" &amp; TEXT(COUNTIF($C$2:C1960, C1960),"0000")</f>
        <v>Prop_1959</v>
      </c>
      <c r="C1960" s="24" t="s">
        <v>872</v>
      </c>
      <c r="D1960" s="69" t="s">
        <v>9453</v>
      </c>
      <c r="E1960" s="70" t="s">
        <v>9454</v>
      </c>
      <c r="F1960" s="17" t="s">
        <v>806</v>
      </c>
      <c r="G1960" s="22" t="s">
        <v>1151</v>
      </c>
      <c r="H1960" s="12" t="s">
        <v>9703</v>
      </c>
      <c r="I1960" s="13" t="s">
        <v>7132</v>
      </c>
      <c r="J1960" s="14" t="s">
        <v>798</v>
      </c>
      <c r="K1960" s="15" t="s">
        <v>798</v>
      </c>
      <c r="L1960" s="12" t="s">
        <v>5315</v>
      </c>
      <c r="M1960" s="13" t="s">
        <v>6046</v>
      </c>
      <c r="N1960" s="12" t="s">
        <v>803</v>
      </c>
      <c r="O1960" s="13" t="s">
        <v>4870</v>
      </c>
      <c r="P1960" s="17" t="s">
        <v>802</v>
      </c>
      <c r="Q1960" s="21" t="s">
        <v>7822</v>
      </c>
      <c r="R1960" s="17" t="s">
        <v>801</v>
      </c>
      <c r="S1960" s="18" t="s">
        <v>2621</v>
      </c>
      <c r="T1960" s="17" t="s">
        <v>800</v>
      </c>
      <c r="U1960" s="18" t="s">
        <v>5260</v>
      </c>
      <c r="V1960" s="17" t="s">
        <v>9418</v>
      </c>
      <c r="W1960" s="18" t="s">
        <v>5312</v>
      </c>
      <c r="X1960" s="69" t="s">
        <v>9453</v>
      </c>
      <c r="Y1960" s="70" t="s">
        <v>9465</v>
      </c>
      <c r="Z1960" s="73" t="s">
        <v>9486</v>
      </c>
      <c r="AA1960" s="74" t="s">
        <v>9504</v>
      </c>
      <c r="AB1960" s="73" t="s">
        <v>9486</v>
      </c>
      <c r="AC1960" s="74" t="s">
        <v>9566</v>
      </c>
      <c r="AD1960" s="73" t="s">
        <v>9578</v>
      </c>
      <c r="AE1960" s="74" t="s">
        <v>9579</v>
      </c>
    </row>
    <row r="1961" spans="1:31" ht="8.65" customHeight="1" x14ac:dyDescent="0.2">
      <c r="A1961" s="76">
        <v>1961</v>
      </c>
      <c r="B1961" s="67" t="str">
        <f>MID(C1961, FIND("Ifc.", C1961) + 4, 4) &amp; "_" &amp; TEXT(COUNTIF($C$2:C1961, C1961),"0000")</f>
        <v>Prop_1960</v>
      </c>
      <c r="C1961" s="24" t="s">
        <v>872</v>
      </c>
      <c r="D1961" s="69" t="s">
        <v>9453</v>
      </c>
      <c r="E1961" s="70" t="s">
        <v>9454</v>
      </c>
      <c r="F1961" s="17" t="s">
        <v>806</v>
      </c>
      <c r="G1961" s="22" t="s">
        <v>1151</v>
      </c>
      <c r="H1961" s="12" t="s">
        <v>9703</v>
      </c>
      <c r="I1961" s="13" t="s">
        <v>7132</v>
      </c>
      <c r="J1961" s="14" t="s">
        <v>798</v>
      </c>
      <c r="K1961" s="15" t="s">
        <v>798</v>
      </c>
      <c r="L1961" s="12" t="s">
        <v>5315</v>
      </c>
      <c r="M1961" s="13" t="s">
        <v>5518</v>
      </c>
      <c r="N1961" s="12" t="s">
        <v>803</v>
      </c>
      <c r="O1961" s="13" t="s">
        <v>5133</v>
      </c>
      <c r="P1961" s="17" t="s">
        <v>802</v>
      </c>
      <c r="Q1961" s="21" t="s">
        <v>7719</v>
      </c>
      <c r="R1961" s="17" t="s">
        <v>801</v>
      </c>
      <c r="S1961" s="18" t="s">
        <v>2621</v>
      </c>
      <c r="T1961" s="17" t="s">
        <v>800</v>
      </c>
      <c r="U1961" s="18" t="s">
        <v>5260</v>
      </c>
      <c r="V1961" s="17" t="s">
        <v>9418</v>
      </c>
      <c r="W1961" s="18" t="s">
        <v>5312</v>
      </c>
      <c r="X1961" s="69" t="s">
        <v>9453</v>
      </c>
      <c r="Y1961" s="70" t="s">
        <v>9465</v>
      </c>
      <c r="Z1961" s="73" t="s">
        <v>9486</v>
      </c>
      <c r="AA1961" s="74" t="s">
        <v>9504</v>
      </c>
      <c r="AB1961" s="73" t="s">
        <v>9486</v>
      </c>
      <c r="AC1961" s="74" t="s">
        <v>9566</v>
      </c>
      <c r="AD1961" s="73" t="s">
        <v>9578</v>
      </c>
      <c r="AE1961" s="74" t="s">
        <v>9579</v>
      </c>
    </row>
    <row r="1962" spans="1:31" ht="8.65" customHeight="1" x14ac:dyDescent="0.2">
      <c r="A1962" s="76">
        <v>1962</v>
      </c>
      <c r="B1962" s="67" t="str">
        <f>MID(C1962, FIND("Ifc.", C1962) + 4, 4) &amp; "_" &amp; TEXT(COUNTIF($C$2:C1962, C1962),"0000")</f>
        <v>Prop_1961</v>
      </c>
      <c r="C1962" s="24" t="s">
        <v>872</v>
      </c>
      <c r="D1962" s="69" t="s">
        <v>9453</v>
      </c>
      <c r="E1962" s="70" t="s">
        <v>9454</v>
      </c>
      <c r="F1962" s="17" t="s">
        <v>806</v>
      </c>
      <c r="G1962" s="22" t="s">
        <v>1151</v>
      </c>
      <c r="H1962" s="12" t="s">
        <v>9703</v>
      </c>
      <c r="I1962" s="13" t="s">
        <v>7132</v>
      </c>
      <c r="J1962" s="14" t="s">
        <v>798</v>
      </c>
      <c r="K1962" s="15" t="s">
        <v>798</v>
      </c>
      <c r="L1962" s="12" t="s">
        <v>5315</v>
      </c>
      <c r="M1962" s="13" t="s">
        <v>5519</v>
      </c>
      <c r="N1962" s="12" t="s">
        <v>803</v>
      </c>
      <c r="O1962" s="13" t="s">
        <v>5134</v>
      </c>
      <c r="P1962" s="17" t="s">
        <v>802</v>
      </c>
      <c r="Q1962" s="21" t="s">
        <v>7935</v>
      </c>
      <c r="R1962" s="17" t="s">
        <v>801</v>
      </c>
      <c r="S1962" s="18" t="s">
        <v>2621</v>
      </c>
      <c r="T1962" s="17" t="s">
        <v>800</v>
      </c>
      <c r="U1962" s="18" t="s">
        <v>5260</v>
      </c>
      <c r="V1962" s="17" t="s">
        <v>9418</v>
      </c>
      <c r="W1962" s="18" t="s">
        <v>5312</v>
      </c>
      <c r="X1962" s="69" t="s">
        <v>9453</v>
      </c>
      <c r="Y1962" s="70" t="s">
        <v>9465</v>
      </c>
      <c r="Z1962" s="73" t="s">
        <v>9486</v>
      </c>
      <c r="AA1962" s="74" t="s">
        <v>9504</v>
      </c>
      <c r="AB1962" s="73" t="s">
        <v>9486</v>
      </c>
      <c r="AC1962" s="74" t="s">
        <v>9566</v>
      </c>
      <c r="AD1962" s="73" t="s">
        <v>9578</v>
      </c>
      <c r="AE1962" s="74" t="s">
        <v>9579</v>
      </c>
    </row>
    <row r="1963" spans="1:31" ht="8.65" customHeight="1" x14ac:dyDescent="0.2">
      <c r="A1963" s="76">
        <v>1963</v>
      </c>
      <c r="B1963" s="67" t="str">
        <f>MID(C1963, FIND("Ifc.", C1963) + 4, 4) &amp; "_" &amp; TEXT(COUNTIF($C$2:C1963, C1963),"0000")</f>
        <v>Prop_1962</v>
      </c>
      <c r="C1963" s="24" t="s">
        <v>872</v>
      </c>
      <c r="D1963" s="69" t="s">
        <v>9453</v>
      </c>
      <c r="E1963" s="70" t="s">
        <v>9454</v>
      </c>
      <c r="F1963" s="17" t="s">
        <v>806</v>
      </c>
      <c r="G1963" s="22" t="s">
        <v>1626</v>
      </c>
      <c r="H1963" s="12" t="s">
        <v>9703</v>
      </c>
      <c r="I1963" s="13" t="s">
        <v>6369</v>
      </c>
      <c r="J1963" s="14" t="s">
        <v>798</v>
      </c>
      <c r="K1963" s="15" t="s">
        <v>798</v>
      </c>
      <c r="L1963" s="12" t="s">
        <v>5315</v>
      </c>
      <c r="M1963" s="13" t="s">
        <v>5834</v>
      </c>
      <c r="N1963" s="12" t="s">
        <v>803</v>
      </c>
      <c r="O1963" s="13" t="s">
        <v>4976</v>
      </c>
      <c r="P1963" s="17" t="s">
        <v>802</v>
      </c>
      <c r="Q1963" s="21" t="s">
        <v>7883</v>
      </c>
      <c r="R1963" s="17" t="s">
        <v>801</v>
      </c>
      <c r="S1963" s="18" t="s">
        <v>3636</v>
      </c>
      <c r="T1963" s="17" t="s">
        <v>800</v>
      </c>
      <c r="U1963" s="18" t="s">
        <v>5257</v>
      </c>
      <c r="V1963" s="17" t="s">
        <v>9418</v>
      </c>
      <c r="W1963" s="18" t="s">
        <v>5314</v>
      </c>
      <c r="X1963" s="69" t="s">
        <v>9453</v>
      </c>
      <c r="Y1963" s="70" t="s">
        <v>9464</v>
      </c>
      <c r="Z1963" s="73" t="s">
        <v>9486</v>
      </c>
      <c r="AA1963" s="74" t="s">
        <v>9504</v>
      </c>
      <c r="AB1963" s="73" t="s">
        <v>9486</v>
      </c>
      <c r="AC1963" s="74" t="s">
        <v>9561</v>
      </c>
      <c r="AD1963" s="73" t="s">
        <v>9578</v>
      </c>
      <c r="AE1963" s="74" t="s">
        <v>9579</v>
      </c>
    </row>
    <row r="1964" spans="1:31" ht="8.65" customHeight="1" x14ac:dyDescent="0.2">
      <c r="A1964" s="76">
        <v>1964</v>
      </c>
      <c r="B1964" s="67" t="str">
        <f>MID(C1964, FIND("Ifc.", C1964) + 4, 4) &amp; "_" &amp; TEXT(COUNTIF($C$2:C1964, C1964),"0000")</f>
        <v>Prop_1963</v>
      </c>
      <c r="C1964" s="24" t="s">
        <v>872</v>
      </c>
      <c r="D1964" s="69" t="s">
        <v>9453</v>
      </c>
      <c r="E1964" s="70" t="s">
        <v>9454</v>
      </c>
      <c r="F1964" s="17" t="s">
        <v>806</v>
      </c>
      <c r="G1964" s="22" t="s">
        <v>1651</v>
      </c>
      <c r="H1964" s="12" t="s">
        <v>9703</v>
      </c>
      <c r="I1964" s="13" t="s">
        <v>6399</v>
      </c>
      <c r="J1964" s="14" t="s">
        <v>798</v>
      </c>
      <c r="K1964" s="15" t="s">
        <v>798</v>
      </c>
      <c r="L1964" s="12" t="s">
        <v>5315</v>
      </c>
      <c r="M1964" s="13" t="s">
        <v>5837</v>
      </c>
      <c r="N1964" s="12" t="s">
        <v>803</v>
      </c>
      <c r="O1964" s="13" t="s">
        <v>4980</v>
      </c>
      <c r="P1964" s="17" t="s">
        <v>802</v>
      </c>
      <c r="Q1964" s="21" t="s">
        <v>7844</v>
      </c>
      <c r="R1964" s="17" t="s">
        <v>801</v>
      </c>
      <c r="S1964" s="18" t="s">
        <v>3636</v>
      </c>
      <c r="T1964" s="17" t="s">
        <v>800</v>
      </c>
      <c r="U1964" s="18" t="s">
        <v>5257</v>
      </c>
      <c r="V1964" s="17" t="s">
        <v>9418</v>
      </c>
      <c r="W1964" s="18" t="s">
        <v>5314</v>
      </c>
      <c r="X1964" s="69" t="s">
        <v>9453</v>
      </c>
      <c r="Y1964" s="70" t="s">
        <v>9464</v>
      </c>
      <c r="Z1964" s="73" t="s">
        <v>9486</v>
      </c>
      <c r="AA1964" s="74" t="s">
        <v>9504</v>
      </c>
      <c r="AB1964" s="73" t="s">
        <v>9486</v>
      </c>
      <c r="AC1964" s="74" t="s">
        <v>9561</v>
      </c>
      <c r="AD1964" s="73" t="s">
        <v>9578</v>
      </c>
      <c r="AE1964" s="74" t="s">
        <v>9579</v>
      </c>
    </row>
    <row r="1965" spans="1:31" ht="8.65" customHeight="1" x14ac:dyDescent="0.2">
      <c r="A1965" s="76">
        <v>1965</v>
      </c>
      <c r="B1965" s="67" t="str">
        <f>MID(C1965, FIND("Ifc.", C1965) + 4, 4) &amp; "_" &amp; TEXT(COUNTIF($C$2:C1965, C1965),"0000")</f>
        <v>Prop_1964</v>
      </c>
      <c r="C1965" s="24" t="s">
        <v>872</v>
      </c>
      <c r="D1965" s="69" t="s">
        <v>9453</v>
      </c>
      <c r="E1965" s="70" t="s">
        <v>9454</v>
      </c>
      <c r="F1965" s="17" t="s">
        <v>806</v>
      </c>
      <c r="G1965" s="22" t="s">
        <v>1651</v>
      </c>
      <c r="H1965" s="12" t="s">
        <v>9703</v>
      </c>
      <c r="I1965" s="13" t="s">
        <v>6399</v>
      </c>
      <c r="J1965" s="14" t="s">
        <v>798</v>
      </c>
      <c r="K1965" s="15" t="s">
        <v>798</v>
      </c>
      <c r="L1965" s="12" t="s">
        <v>5315</v>
      </c>
      <c r="M1965" s="13" t="s">
        <v>5841</v>
      </c>
      <c r="N1965" s="12" t="s">
        <v>803</v>
      </c>
      <c r="O1965" s="13" t="s">
        <v>4986</v>
      </c>
      <c r="P1965" s="17" t="s">
        <v>802</v>
      </c>
      <c r="Q1965" s="21" t="s">
        <v>7845</v>
      </c>
      <c r="R1965" s="17" t="s">
        <v>801</v>
      </c>
      <c r="S1965" s="18" t="s">
        <v>3636</v>
      </c>
      <c r="T1965" s="17" t="s">
        <v>800</v>
      </c>
      <c r="U1965" s="18" t="s">
        <v>5257</v>
      </c>
      <c r="V1965" s="17" t="s">
        <v>9418</v>
      </c>
      <c r="W1965" s="18" t="s">
        <v>5314</v>
      </c>
      <c r="X1965" s="69" t="s">
        <v>9453</v>
      </c>
      <c r="Y1965" s="70" t="s">
        <v>9464</v>
      </c>
      <c r="Z1965" s="73" t="s">
        <v>9486</v>
      </c>
      <c r="AA1965" s="74" t="s">
        <v>9504</v>
      </c>
      <c r="AB1965" s="73" t="s">
        <v>9486</v>
      </c>
      <c r="AC1965" s="74" t="s">
        <v>9561</v>
      </c>
      <c r="AD1965" s="73" t="s">
        <v>9578</v>
      </c>
      <c r="AE1965" s="74" t="s">
        <v>9579</v>
      </c>
    </row>
    <row r="1966" spans="1:31" ht="8.65" customHeight="1" x14ac:dyDescent="0.2">
      <c r="A1966" s="76">
        <v>1966</v>
      </c>
      <c r="B1966" s="67" t="str">
        <f>MID(C1966, FIND("Ifc.", C1966) + 4, 4) &amp; "_" &amp; TEXT(COUNTIF($C$2:C1966, C1966),"0000")</f>
        <v>Prop_1965</v>
      </c>
      <c r="C1966" s="24" t="s">
        <v>872</v>
      </c>
      <c r="D1966" s="69" t="s">
        <v>9453</v>
      </c>
      <c r="E1966" s="70" t="s">
        <v>9454</v>
      </c>
      <c r="F1966" s="17" t="s">
        <v>806</v>
      </c>
      <c r="G1966" s="22" t="s">
        <v>1103</v>
      </c>
      <c r="H1966" s="12" t="s">
        <v>9703</v>
      </c>
      <c r="I1966" s="13" t="s">
        <v>7147</v>
      </c>
      <c r="J1966" s="14" t="s">
        <v>798</v>
      </c>
      <c r="K1966" s="15" t="s">
        <v>798</v>
      </c>
      <c r="L1966" s="12" t="s">
        <v>5315</v>
      </c>
      <c r="M1966" s="13" t="s">
        <v>6037</v>
      </c>
      <c r="N1966" s="12" t="s">
        <v>803</v>
      </c>
      <c r="O1966" s="13" t="s">
        <v>4857</v>
      </c>
      <c r="P1966" s="17" t="s">
        <v>802</v>
      </c>
      <c r="Q1966" s="21" t="s">
        <v>7744</v>
      </c>
      <c r="R1966" s="17" t="s">
        <v>801</v>
      </c>
      <c r="S1966" s="18" t="s">
        <v>2619</v>
      </c>
      <c r="T1966" s="17" t="s">
        <v>800</v>
      </c>
      <c r="U1966" s="18" t="s">
        <v>5239</v>
      </c>
      <c r="V1966" s="17" t="s">
        <v>9418</v>
      </c>
      <c r="W1966" s="18" t="s">
        <v>5312</v>
      </c>
      <c r="X1966" s="69" t="s">
        <v>9453</v>
      </c>
      <c r="Y1966" s="70" t="s">
        <v>9465</v>
      </c>
      <c r="Z1966" s="73" t="s">
        <v>9486</v>
      </c>
      <c r="AA1966" s="74" t="s">
        <v>9504</v>
      </c>
      <c r="AB1966" s="73" t="s">
        <v>9486</v>
      </c>
      <c r="AC1966" s="74" t="s">
        <v>9566</v>
      </c>
      <c r="AD1966" s="73" t="s">
        <v>9578</v>
      </c>
      <c r="AE1966" s="74" t="s">
        <v>9579</v>
      </c>
    </row>
    <row r="1967" spans="1:31" ht="8.65" customHeight="1" x14ac:dyDescent="0.2">
      <c r="A1967" s="76">
        <v>1967</v>
      </c>
      <c r="B1967" s="67" t="str">
        <f>MID(C1967, FIND("Ifc.", C1967) + 4, 4) &amp; "_" &amp; TEXT(COUNTIF($C$2:C1967, C1967),"0000")</f>
        <v>Prop_1966</v>
      </c>
      <c r="C1967" s="24" t="s">
        <v>872</v>
      </c>
      <c r="D1967" s="69" t="s">
        <v>9453</v>
      </c>
      <c r="E1967" s="70" t="s">
        <v>9454</v>
      </c>
      <c r="F1967" s="17" t="s">
        <v>806</v>
      </c>
      <c r="G1967" s="22" t="s">
        <v>1038</v>
      </c>
      <c r="H1967" s="12" t="s">
        <v>9703</v>
      </c>
      <c r="I1967" s="13" t="s">
        <v>7126</v>
      </c>
      <c r="J1967" s="14" t="s">
        <v>798</v>
      </c>
      <c r="K1967" s="15" t="s">
        <v>798</v>
      </c>
      <c r="L1967" s="12" t="s">
        <v>5315</v>
      </c>
      <c r="M1967" s="13" t="s">
        <v>5386</v>
      </c>
      <c r="N1967" s="12" t="s">
        <v>803</v>
      </c>
      <c r="O1967" s="13" t="s">
        <v>4843</v>
      </c>
      <c r="P1967" s="17" t="s">
        <v>802</v>
      </c>
      <c r="Q1967" s="21" t="s">
        <v>7779</v>
      </c>
      <c r="R1967" s="17" t="s">
        <v>801</v>
      </c>
      <c r="S1967" s="18" t="s">
        <v>2621</v>
      </c>
      <c r="T1967" s="17" t="s">
        <v>800</v>
      </c>
      <c r="U1967" s="18" t="s">
        <v>5260</v>
      </c>
      <c r="V1967" s="17" t="s">
        <v>9418</v>
      </c>
      <c r="W1967" s="18" t="s">
        <v>5312</v>
      </c>
      <c r="X1967" s="69" t="s">
        <v>9453</v>
      </c>
      <c r="Y1967" s="70" t="s">
        <v>9465</v>
      </c>
      <c r="Z1967" s="73" t="s">
        <v>9486</v>
      </c>
      <c r="AA1967" s="74" t="s">
        <v>9504</v>
      </c>
      <c r="AB1967" s="73" t="s">
        <v>9486</v>
      </c>
      <c r="AC1967" s="74" t="s">
        <v>9566</v>
      </c>
      <c r="AD1967" s="73" t="s">
        <v>9578</v>
      </c>
      <c r="AE1967" s="74" t="s">
        <v>9579</v>
      </c>
    </row>
    <row r="1968" spans="1:31" ht="8.65" customHeight="1" x14ac:dyDescent="0.2">
      <c r="A1968" s="76">
        <v>1968</v>
      </c>
      <c r="B1968" s="67" t="str">
        <f>MID(C1968, FIND("Ifc.", C1968) + 4, 4) &amp; "_" &amp; TEXT(COUNTIF($C$2:C1968, C1968),"0000")</f>
        <v>Prop_1967</v>
      </c>
      <c r="C1968" s="24" t="s">
        <v>872</v>
      </c>
      <c r="D1968" s="69" t="s">
        <v>9453</v>
      </c>
      <c r="E1968" s="70" t="s">
        <v>9454</v>
      </c>
      <c r="F1968" s="17" t="s">
        <v>806</v>
      </c>
      <c r="G1968" s="22" t="s">
        <v>1077</v>
      </c>
      <c r="H1968" s="12" t="s">
        <v>9703</v>
      </c>
      <c r="I1968" s="13" t="s">
        <v>7131</v>
      </c>
      <c r="J1968" s="14" t="s">
        <v>798</v>
      </c>
      <c r="K1968" s="15" t="s">
        <v>798</v>
      </c>
      <c r="L1968" s="12" t="s">
        <v>5315</v>
      </c>
      <c r="M1968" s="13" t="s">
        <v>6036</v>
      </c>
      <c r="N1968" s="12" t="s">
        <v>803</v>
      </c>
      <c r="O1968" s="13" t="s">
        <v>4848</v>
      </c>
      <c r="P1968" s="17" t="s">
        <v>802</v>
      </c>
      <c r="Q1968" s="21" t="s">
        <v>7757</v>
      </c>
      <c r="R1968" s="17" t="s">
        <v>801</v>
      </c>
      <c r="S1968" s="18" t="s">
        <v>2631</v>
      </c>
      <c r="T1968" s="17" t="s">
        <v>800</v>
      </c>
      <c r="U1968" s="18" t="s">
        <v>5253</v>
      </c>
      <c r="V1968" s="17" t="s">
        <v>9418</v>
      </c>
      <c r="W1968" s="18" t="s">
        <v>5312</v>
      </c>
      <c r="X1968" s="69" t="s">
        <v>9453</v>
      </c>
      <c r="Y1968" s="70" t="s">
        <v>9465</v>
      </c>
      <c r="Z1968" s="73" t="s">
        <v>9486</v>
      </c>
      <c r="AA1968" s="74" t="s">
        <v>9504</v>
      </c>
      <c r="AB1968" s="73" t="s">
        <v>9486</v>
      </c>
      <c r="AC1968" s="74" t="s">
        <v>9566</v>
      </c>
      <c r="AD1968" s="73" t="s">
        <v>9578</v>
      </c>
      <c r="AE1968" s="74" t="s">
        <v>9579</v>
      </c>
    </row>
    <row r="1969" spans="1:31" ht="8.65" customHeight="1" x14ac:dyDescent="0.2">
      <c r="A1969" s="76">
        <v>1969</v>
      </c>
      <c r="B1969" s="67" t="str">
        <f>MID(C1969, FIND("Ifc.", C1969) + 4, 4) &amp; "_" &amp; TEXT(COUNTIF($C$2:C1969, C1969),"0000")</f>
        <v>Prop_1968</v>
      </c>
      <c r="C1969" s="24" t="s">
        <v>872</v>
      </c>
      <c r="D1969" s="69" t="s">
        <v>9453</v>
      </c>
      <c r="E1969" s="70" t="s">
        <v>9454</v>
      </c>
      <c r="F1969" s="17" t="s">
        <v>806</v>
      </c>
      <c r="G1969" s="22" t="s">
        <v>2126</v>
      </c>
      <c r="H1969" s="12" t="s">
        <v>9703</v>
      </c>
      <c r="I1969" s="13" t="s">
        <v>7136</v>
      </c>
      <c r="J1969" s="14" t="s">
        <v>798</v>
      </c>
      <c r="K1969" s="15" t="s">
        <v>798</v>
      </c>
      <c r="L1969" s="12" t="s">
        <v>5315</v>
      </c>
      <c r="M1969" s="13" t="s">
        <v>5495</v>
      </c>
      <c r="N1969" s="12" t="s">
        <v>803</v>
      </c>
      <c r="O1969" s="13" t="s">
        <v>5109</v>
      </c>
      <c r="P1969" s="17" t="s">
        <v>802</v>
      </c>
      <c r="Q1969" s="21" t="s">
        <v>8039</v>
      </c>
      <c r="R1969" s="17" t="s">
        <v>801</v>
      </c>
      <c r="S1969" s="18" t="s">
        <v>2631</v>
      </c>
      <c r="T1969" s="17" t="s">
        <v>800</v>
      </c>
      <c r="U1969" s="18" t="s">
        <v>5253</v>
      </c>
      <c r="V1969" s="17" t="s">
        <v>9418</v>
      </c>
      <c r="W1969" s="18" t="s">
        <v>5312</v>
      </c>
      <c r="X1969" s="69" t="s">
        <v>9453</v>
      </c>
      <c r="Y1969" s="70" t="s">
        <v>9465</v>
      </c>
      <c r="Z1969" s="73" t="s">
        <v>9486</v>
      </c>
      <c r="AA1969" s="74" t="s">
        <v>9504</v>
      </c>
      <c r="AB1969" s="73" t="s">
        <v>9486</v>
      </c>
      <c r="AC1969" s="74" t="s">
        <v>9566</v>
      </c>
      <c r="AD1969" s="73" t="s">
        <v>9578</v>
      </c>
      <c r="AE1969" s="74" t="s">
        <v>9579</v>
      </c>
    </row>
    <row r="1970" spans="1:31" ht="8.65" customHeight="1" x14ac:dyDescent="0.2">
      <c r="A1970" s="76">
        <v>1970</v>
      </c>
      <c r="B1970" s="67" t="str">
        <f>MID(C1970, FIND("Ifc.", C1970) + 4, 4) &amp; "_" &amp; TEXT(COUNTIF($C$2:C1970, C1970),"0000")</f>
        <v>Prop_1969</v>
      </c>
      <c r="C1970" s="24" t="s">
        <v>872</v>
      </c>
      <c r="D1970" s="69" t="s">
        <v>9453</v>
      </c>
      <c r="E1970" s="70" t="s">
        <v>9454</v>
      </c>
      <c r="F1970" s="17" t="s">
        <v>806</v>
      </c>
      <c r="G1970" s="22" t="s">
        <v>2126</v>
      </c>
      <c r="H1970" s="12" t="s">
        <v>9703</v>
      </c>
      <c r="I1970" s="13" t="s">
        <v>7136</v>
      </c>
      <c r="J1970" s="14" t="s">
        <v>798</v>
      </c>
      <c r="K1970" s="15" t="s">
        <v>798</v>
      </c>
      <c r="L1970" s="12" t="s">
        <v>5315</v>
      </c>
      <c r="M1970" s="13" t="s">
        <v>5548</v>
      </c>
      <c r="N1970" s="12" t="s">
        <v>803</v>
      </c>
      <c r="O1970" s="13" t="s">
        <v>5161</v>
      </c>
      <c r="P1970" s="17" t="s">
        <v>802</v>
      </c>
      <c r="Q1970" s="21" t="s">
        <v>7796</v>
      </c>
      <c r="R1970" s="17" t="s">
        <v>801</v>
      </c>
      <c r="S1970" s="18" t="s">
        <v>2631</v>
      </c>
      <c r="T1970" s="17" t="s">
        <v>800</v>
      </c>
      <c r="U1970" s="18" t="s">
        <v>5253</v>
      </c>
      <c r="V1970" s="17" t="s">
        <v>9418</v>
      </c>
      <c r="W1970" s="18" t="s">
        <v>5312</v>
      </c>
      <c r="X1970" s="69" t="s">
        <v>9453</v>
      </c>
      <c r="Y1970" s="70" t="s">
        <v>9465</v>
      </c>
      <c r="Z1970" s="73" t="s">
        <v>9486</v>
      </c>
      <c r="AA1970" s="74" t="s">
        <v>9504</v>
      </c>
      <c r="AB1970" s="73" t="s">
        <v>9486</v>
      </c>
      <c r="AC1970" s="74" t="s">
        <v>9566</v>
      </c>
      <c r="AD1970" s="73" t="s">
        <v>9578</v>
      </c>
      <c r="AE1970" s="74" t="s">
        <v>9579</v>
      </c>
    </row>
    <row r="1971" spans="1:31" ht="8.65" customHeight="1" x14ac:dyDescent="0.2">
      <c r="A1971" s="76">
        <v>1971</v>
      </c>
      <c r="B1971" s="67" t="str">
        <f>MID(C1971, FIND("Ifc.", C1971) + 4, 4) &amp; "_" &amp; TEXT(COUNTIF($C$2:C1971, C1971),"0000")</f>
        <v>Prop_1970</v>
      </c>
      <c r="C1971" s="24" t="s">
        <v>872</v>
      </c>
      <c r="D1971" s="69" t="s">
        <v>9453</v>
      </c>
      <c r="E1971" s="70" t="s">
        <v>9454</v>
      </c>
      <c r="F1971" s="17" t="s">
        <v>806</v>
      </c>
      <c r="G1971" s="22" t="s">
        <v>1060</v>
      </c>
      <c r="H1971" s="12" t="s">
        <v>9703</v>
      </c>
      <c r="I1971" s="13" t="s">
        <v>7136</v>
      </c>
      <c r="J1971" s="14" t="s">
        <v>798</v>
      </c>
      <c r="K1971" s="15" t="s">
        <v>798</v>
      </c>
      <c r="L1971" s="12" t="s">
        <v>5315</v>
      </c>
      <c r="M1971" s="13" t="s">
        <v>5436</v>
      </c>
      <c r="N1971" s="12" t="s">
        <v>803</v>
      </c>
      <c r="O1971" s="13" t="s">
        <v>4936</v>
      </c>
      <c r="P1971" s="17" t="s">
        <v>802</v>
      </c>
      <c r="Q1971" s="21" t="s">
        <v>7931</v>
      </c>
      <c r="R1971" s="17" t="s">
        <v>801</v>
      </c>
      <c r="S1971" s="18" t="s">
        <v>2631</v>
      </c>
      <c r="T1971" s="17" t="s">
        <v>800</v>
      </c>
      <c r="U1971" s="18" t="s">
        <v>5253</v>
      </c>
      <c r="V1971" s="17" t="s">
        <v>9418</v>
      </c>
      <c r="W1971" s="18" t="s">
        <v>5312</v>
      </c>
      <c r="X1971" s="69" t="s">
        <v>9453</v>
      </c>
      <c r="Y1971" s="70" t="s">
        <v>9465</v>
      </c>
      <c r="Z1971" s="73" t="s">
        <v>9486</v>
      </c>
      <c r="AA1971" s="74" t="s">
        <v>9504</v>
      </c>
      <c r="AB1971" s="73" t="s">
        <v>9486</v>
      </c>
      <c r="AC1971" s="74" t="s">
        <v>9566</v>
      </c>
      <c r="AD1971" s="73" t="s">
        <v>9578</v>
      </c>
      <c r="AE1971" s="74" t="s">
        <v>9579</v>
      </c>
    </row>
    <row r="1972" spans="1:31" ht="8.65" customHeight="1" x14ac:dyDescent="0.2">
      <c r="A1972" s="76">
        <v>1972</v>
      </c>
      <c r="B1972" s="67" t="str">
        <f>MID(C1972, FIND("Ifc.", C1972) + 4, 4) &amp; "_" &amp; TEXT(COUNTIF($C$2:C1972, C1972),"0000")</f>
        <v>Prop_1971</v>
      </c>
      <c r="C1972" s="24" t="s">
        <v>872</v>
      </c>
      <c r="D1972" s="69" t="s">
        <v>9453</v>
      </c>
      <c r="E1972" s="70" t="s">
        <v>9454</v>
      </c>
      <c r="F1972" s="17" t="s">
        <v>806</v>
      </c>
      <c r="G1972" s="22" t="s">
        <v>1060</v>
      </c>
      <c r="H1972" s="12" t="s">
        <v>9703</v>
      </c>
      <c r="I1972" s="13" t="s">
        <v>7136</v>
      </c>
      <c r="J1972" s="14" t="s">
        <v>798</v>
      </c>
      <c r="K1972" s="15" t="s">
        <v>798</v>
      </c>
      <c r="L1972" s="12" t="s">
        <v>5315</v>
      </c>
      <c r="M1972" s="13" t="s">
        <v>5505</v>
      </c>
      <c r="N1972" s="12" t="s">
        <v>803</v>
      </c>
      <c r="O1972" s="13" t="s">
        <v>5118</v>
      </c>
      <c r="P1972" s="17" t="s">
        <v>802</v>
      </c>
      <c r="Q1972" s="21" t="s">
        <v>7761</v>
      </c>
      <c r="R1972" s="17" t="s">
        <v>801</v>
      </c>
      <c r="S1972" s="18" t="s">
        <v>2631</v>
      </c>
      <c r="T1972" s="17" t="s">
        <v>800</v>
      </c>
      <c r="U1972" s="18" t="s">
        <v>5253</v>
      </c>
      <c r="V1972" s="17" t="s">
        <v>9418</v>
      </c>
      <c r="W1972" s="18" t="s">
        <v>5312</v>
      </c>
      <c r="X1972" s="69" t="s">
        <v>9453</v>
      </c>
      <c r="Y1972" s="70" t="s">
        <v>9465</v>
      </c>
      <c r="Z1972" s="73" t="s">
        <v>9486</v>
      </c>
      <c r="AA1972" s="74" t="s">
        <v>9504</v>
      </c>
      <c r="AB1972" s="73" t="s">
        <v>9486</v>
      </c>
      <c r="AC1972" s="74" t="s">
        <v>9566</v>
      </c>
      <c r="AD1972" s="73" t="s">
        <v>9578</v>
      </c>
      <c r="AE1972" s="74" t="s">
        <v>9579</v>
      </c>
    </row>
    <row r="1973" spans="1:31" ht="8.65" customHeight="1" x14ac:dyDescent="0.2">
      <c r="A1973" s="76">
        <v>1973</v>
      </c>
      <c r="B1973" s="67" t="str">
        <f>MID(C1973, FIND("Ifc.", C1973) + 4, 4) &amp; "_" &amp; TEXT(COUNTIF($C$2:C1973, C1973),"0000")</f>
        <v>Prop_1972</v>
      </c>
      <c r="C1973" s="24" t="s">
        <v>872</v>
      </c>
      <c r="D1973" s="69" t="s">
        <v>9453</v>
      </c>
      <c r="E1973" s="70" t="s">
        <v>9454</v>
      </c>
      <c r="F1973" s="17" t="s">
        <v>806</v>
      </c>
      <c r="G1973" s="22" t="s">
        <v>1060</v>
      </c>
      <c r="H1973" s="12" t="s">
        <v>9703</v>
      </c>
      <c r="I1973" s="13" t="s">
        <v>7136</v>
      </c>
      <c r="J1973" s="14" t="s">
        <v>798</v>
      </c>
      <c r="K1973" s="15" t="s">
        <v>798</v>
      </c>
      <c r="L1973" s="12" t="s">
        <v>5315</v>
      </c>
      <c r="M1973" s="13" t="s">
        <v>5569</v>
      </c>
      <c r="N1973" s="12" t="s">
        <v>803</v>
      </c>
      <c r="O1973" s="13" t="s">
        <v>5202</v>
      </c>
      <c r="P1973" s="17" t="s">
        <v>802</v>
      </c>
      <c r="Q1973" s="21" t="s">
        <v>7765</v>
      </c>
      <c r="R1973" s="17" t="s">
        <v>801</v>
      </c>
      <c r="S1973" s="18" t="s">
        <v>2631</v>
      </c>
      <c r="T1973" s="17" t="s">
        <v>800</v>
      </c>
      <c r="U1973" s="18" t="s">
        <v>5253</v>
      </c>
      <c r="V1973" s="17" t="s">
        <v>9418</v>
      </c>
      <c r="W1973" s="18" t="s">
        <v>5309</v>
      </c>
      <c r="X1973" s="69" t="s">
        <v>9453</v>
      </c>
      <c r="Y1973" s="70" t="s">
        <v>9462</v>
      </c>
      <c r="Z1973" s="73" t="s">
        <v>9486</v>
      </c>
      <c r="AA1973" s="74" t="s">
        <v>9504</v>
      </c>
      <c r="AB1973" s="73" t="s">
        <v>9486</v>
      </c>
      <c r="AC1973" s="74" t="s">
        <v>9566</v>
      </c>
      <c r="AD1973" s="73" t="s">
        <v>9578</v>
      </c>
      <c r="AE1973" s="74" t="s">
        <v>9579</v>
      </c>
    </row>
    <row r="1974" spans="1:31" ht="8.65" customHeight="1" x14ac:dyDescent="0.2">
      <c r="A1974" s="76">
        <v>1974</v>
      </c>
      <c r="B1974" s="67" t="str">
        <f>MID(C1974, FIND("Ifc.", C1974) + 4, 4) &amp; "_" &amp; TEXT(COUNTIF($C$2:C1974, C1974),"0000")</f>
        <v>Prop_1973</v>
      </c>
      <c r="C1974" s="24" t="s">
        <v>872</v>
      </c>
      <c r="D1974" s="69" t="s">
        <v>9453</v>
      </c>
      <c r="E1974" s="70" t="s">
        <v>9454</v>
      </c>
      <c r="F1974" s="17" t="s">
        <v>806</v>
      </c>
      <c r="G1974" s="22" t="s">
        <v>1060</v>
      </c>
      <c r="H1974" s="12" t="s">
        <v>9703</v>
      </c>
      <c r="I1974" s="13" t="s">
        <v>7136</v>
      </c>
      <c r="J1974" s="14" t="s">
        <v>798</v>
      </c>
      <c r="K1974" s="15" t="s">
        <v>798</v>
      </c>
      <c r="L1974" s="12" t="s">
        <v>5315</v>
      </c>
      <c r="M1974" s="13" t="s">
        <v>5577</v>
      </c>
      <c r="N1974" s="12" t="s">
        <v>803</v>
      </c>
      <c r="O1974" s="13" t="s">
        <v>5222</v>
      </c>
      <c r="P1974" s="17" t="s">
        <v>802</v>
      </c>
      <c r="Q1974" s="21" t="s">
        <v>7905</v>
      </c>
      <c r="R1974" s="17" t="s">
        <v>801</v>
      </c>
      <c r="S1974" s="18" t="s">
        <v>2631</v>
      </c>
      <c r="T1974" s="17" t="s">
        <v>800</v>
      </c>
      <c r="U1974" s="18" t="s">
        <v>5253</v>
      </c>
      <c r="V1974" s="17" t="s">
        <v>9418</v>
      </c>
      <c r="W1974" s="18" t="s">
        <v>5312</v>
      </c>
      <c r="X1974" s="69" t="s">
        <v>9453</v>
      </c>
      <c r="Y1974" s="70" t="s">
        <v>9465</v>
      </c>
      <c r="Z1974" s="73" t="s">
        <v>9486</v>
      </c>
      <c r="AA1974" s="74" t="s">
        <v>9504</v>
      </c>
      <c r="AB1974" s="73" t="s">
        <v>9486</v>
      </c>
      <c r="AC1974" s="74" t="s">
        <v>9566</v>
      </c>
      <c r="AD1974" s="73" t="s">
        <v>9578</v>
      </c>
      <c r="AE1974" s="74" t="s">
        <v>9579</v>
      </c>
    </row>
    <row r="1975" spans="1:31" ht="8.65" customHeight="1" x14ac:dyDescent="0.2">
      <c r="A1975" s="76">
        <v>1975</v>
      </c>
      <c r="B1975" s="67" t="str">
        <f>MID(C1975, FIND("Ifc.", C1975) + 4, 4) &amp; "_" &amp; TEXT(COUNTIF($C$2:C1975, C1975),"0000")</f>
        <v>Prop_1974</v>
      </c>
      <c r="C1975" s="24" t="s">
        <v>872</v>
      </c>
      <c r="D1975" s="69" t="s">
        <v>9453</v>
      </c>
      <c r="E1975" s="70" t="s">
        <v>9454</v>
      </c>
      <c r="F1975" s="17" t="s">
        <v>806</v>
      </c>
      <c r="G1975" s="22" t="s">
        <v>1076</v>
      </c>
      <c r="H1975" s="12" t="s">
        <v>9703</v>
      </c>
      <c r="I1975" s="13" t="s">
        <v>7130</v>
      </c>
      <c r="J1975" s="14" t="s">
        <v>798</v>
      </c>
      <c r="K1975" s="15" t="s">
        <v>798</v>
      </c>
      <c r="L1975" s="12" t="s">
        <v>5315</v>
      </c>
      <c r="M1975" s="13" t="s">
        <v>6036</v>
      </c>
      <c r="N1975" s="12" t="s">
        <v>803</v>
      </c>
      <c r="O1975" s="13" t="s">
        <v>4848</v>
      </c>
      <c r="P1975" s="17" t="s">
        <v>802</v>
      </c>
      <c r="Q1975" s="21" t="s">
        <v>7757</v>
      </c>
      <c r="R1975" s="17" t="s">
        <v>801</v>
      </c>
      <c r="S1975" s="18" t="s">
        <v>2631</v>
      </c>
      <c r="T1975" s="17" t="s">
        <v>800</v>
      </c>
      <c r="U1975" s="18" t="s">
        <v>5253</v>
      </c>
      <c r="V1975" s="17" t="s">
        <v>9418</v>
      </c>
      <c r="W1975" s="18" t="s">
        <v>5312</v>
      </c>
      <c r="X1975" s="69" t="s">
        <v>9453</v>
      </c>
      <c r="Y1975" s="70" t="s">
        <v>9465</v>
      </c>
      <c r="Z1975" s="73" t="s">
        <v>9486</v>
      </c>
      <c r="AA1975" s="74" t="s">
        <v>9504</v>
      </c>
      <c r="AB1975" s="73" t="s">
        <v>9486</v>
      </c>
      <c r="AC1975" s="74" t="s">
        <v>9566</v>
      </c>
      <c r="AD1975" s="73" t="s">
        <v>9578</v>
      </c>
      <c r="AE1975" s="74" t="s">
        <v>9579</v>
      </c>
    </row>
    <row r="1976" spans="1:31" ht="8.65" customHeight="1" x14ac:dyDescent="0.2">
      <c r="A1976" s="76">
        <v>1976</v>
      </c>
      <c r="B1976" s="67" t="str">
        <f>MID(C1976, FIND("Ifc.", C1976) + 4, 4) &amp; "_" &amp; TEXT(COUNTIF($C$2:C1976, C1976),"0000")</f>
        <v>Prop_1975</v>
      </c>
      <c r="C1976" s="24" t="s">
        <v>872</v>
      </c>
      <c r="D1976" s="69" t="s">
        <v>9453</v>
      </c>
      <c r="E1976" s="70" t="s">
        <v>9454</v>
      </c>
      <c r="F1976" s="17" t="s">
        <v>806</v>
      </c>
      <c r="G1976" s="22" t="s">
        <v>1040</v>
      </c>
      <c r="H1976" s="12" t="s">
        <v>9703</v>
      </c>
      <c r="I1976" s="13" t="s">
        <v>7127</v>
      </c>
      <c r="J1976" s="14" t="s">
        <v>798</v>
      </c>
      <c r="K1976" s="15" t="s">
        <v>798</v>
      </c>
      <c r="L1976" s="12" t="s">
        <v>5315</v>
      </c>
      <c r="M1976" s="13" t="s">
        <v>5386</v>
      </c>
      <c r="N1976" s="12" t="s">
        <v>803</v>
      </c>
      <c r="O1976" s="13" t="s">
        <v>4843</v>
      </c>
      <c r="P1976" s="17" t="s">
        <v>802</v>
      </c>
      <c r="Q1976" s="21" t="s">
        <v>7779</v>
      </c>
      <c r="R1976" s="17" t="s">
        <v>801</v>
      </c>
      <c r="S1976" s="18" t="s">
        <v>2631</v>
      </c>
      <c r="T1976" s="17" t="s">
        <v>800</v>
      </c>
      <c r="U1976" s="18" t="s">
        <v>5253</v>
      </c>
      <c r="V1976" s="17" t="s">
        <v>9418</v>
      </c>
      <c r="W1976" s="18" t="s">
        <v>5312</v>
      </c>
      <c r="X1976" s="69" t="s">
        <v>9453</v>
      </c>
      <c r="Y1976" s="70" t="s">
        <v>9465</v>
      </c>
      <c r="Z1976" s="73" t="s">
        <v>9486</v>
      </c>
      <c r="AA1976" s="74" t="s">
        <v>9504</v>
      </c>
      <c r="AB1976" s="73" t="s">
        <v>9486</v>
      </c>
      <c r="AC1976" s="74" t="s">
        <v>9566</v>
      </c>
      <c r="AD1976" s="73" t="s">
        <v>9578</v>
      </c>
      <c r="AE1976" s="74" t="s">
        <v>9579</v>
      </c>
    </row>
    <row r="1977" spans="1:31" ht="8.65" customHeight="1" x14ac:dyDescent="0.2">
      <c r="A1977" s="76">
        <v>1977</v>
      </c>
      <c r="B1977" s="67" t="str">
        <f>MID(C1977, FIND("Ifc.", C1977) + 4, 4) &amp; "_" &amp; TEXT(COUNTIF($C$2:C1977, C1977),"0000")</f>
        <v>Prop_1976</v>
      </c>
      <c r="C1977" s="24" t="s">
        <v>872</v>
      </c>
      <c r="D1977" s="69" t="s">
        <v>9453</v>
      </c>
      <c r="E1977" s="70" t="s">
        <v>9454</v>
      </c>
      <c r="F1977" s="17" t="s">
        <v>806</v>
      </c>
      <c r="G1977" s="22" t="s">
        <v>1040</v>
      </c>
      <c r="H1977" s="12" t="s">
        <v>9703</v>
      </c>
      <c r="I1977" s="13" t="s">
        <v>7127</v>
      </c>
      <c r="J1977" s="14" t="s">
        <v>798</v>
      </c>
      <c r="K1977" s="15" t="s">
        <v>798</v>
      </c>
      <c r="L1977" s="12" t="s">
        <v>5315</v>
      </c>
      <c r="M1977" s="13" t="s">
        <v>5395</v>
      </c>
      <c r="N1977" s="12" t="s">
        <v>803</v>
      </c>
      <c r="O1977" s="13" t="s">
        <v>4866</v>
      </c>
      <c r="P1977" s="17" t="s">
        <v>802</v>
      </c>
      <c r="Q1977" s="21" t="s">
        <v>7821</v>
      </c>
      <c r="R1977" s="17" t="s">
        <v>801</v>
      </c>
      <c r="S1977" s="18" t="s">
        <v>2631</v>
      </c>
      <c r="T1977" s="17" t="s">
        <v>800</v>
      </c>
      <c r="U1977" s="18" t="s">
        <v>5253</v>
      </c>
      <c r="V1977" s="17" t="s">
        <v>9418</v>
      </c>
      <c r="W1977" s="18" t="s">
        <v>5312</v>
      </c>
      <c r="X1977" s="69" t="s">
        <v>9453</v>
      </c>
      <c r="Y1977" s="70" t="s">
        <v>9465</v>
      </c>
      <c r="Z1977" s="73" t="s">
        <v>9486</v>
      </c>
      <c r="AA1977" s="74" t="s">
        <v>9504</v>
      </c>
      <c r="AB1977" s="73" t="s">
        <v>9486</v>
      </c>
      <c r="AC1977" s="74" t="s">
        <v>9566</v>
      </c>
      <c r="AD1977" s="73" t="s">
        <v>9578</v>
      </c>
      <c r="AE1977" s="74" t="s">
        <v>9579</v>
      </c>
    </row>
    <row r="1978" spans="1:31" ht="8.65" customHeight="1" x14ac:dyDescent="0.2">
      <c r="A1978" s="76">
        <v>1978</v>
      </c>
      <c r="B1978" s="67" t="str">
        <f>MID(C1978, FIND("Ifc.", C1978) + 4, 4) &amp; "_" &amp; TEXT(COUNTIF($C$2:C1978, C1978),"0000")</f>
        <v>Prop_1977</v>
      </c>
      <c r="C1978" s="24" t="s">
        <v>872</v>
      </c>
      <c r="D1978" s="69" t="s">
        <v>9453</v>
      </c>
      <c r="E1978" s="70" t="s">
        <v>9454</v>
      </c>
      <c r="F1978" s="17" t="s">
        <v>806</v>
      </c>
      <c r="G1978" s="22" t="s">
        <v>1040</v>
      </c>
      <c r="H1978" s="12" t="s">
        <v>9703</v>
      </c>
      <c r="I1978" s="13" t="s">
        <v>7127</v>
      </c>
      <c r="J1978" s="14" t="s">
        <v>798</v>
      </c>
      <c r="K1978" s="15" t="s">
        <v>798</v>
      </c>
      <c r="L1978" s="12" t="s">
        <v>5315</v>
      </c>
      <c r="M1978" s="13" t="s">
        <v>6046</v>
      </c>
      <c r="N1978" s="12" t="s">
        <v>803</v>
      </c>
      <c r="O1978" s="13" t="s">
        <v>4870</v>
      </c>
      <c r="P1978" s="17" t="s">
        <v>802</v>
      </c>
      <c r="Q1978" s="21" t="s">
        <v>7822</v>
      </c>
      <c r="R1978" s="17" t="s">
        <v>801</v>
      </c>
      <c r="S1978" s="18" t="s">
        <v>2631</v>
      </c>
      <c r="T1978" s="17" t="s">
        <v>800</v>
      </c>
      <c r="U1978" s="18" t="s">
        <v>5253</v>
      </c>
      <c r="V1978" s="17" t="s">
        <v>9418</v>
      </c>
      <c r="W1978" s="18" t="s">
        <v>5312</v>
      </c>
      <c r="X1978" s="69" t="s">
        <v>9453</v>
      </c>
      <c r="Y1978" s="70" t="s">
        <v>9465</v>
      </c>
      <c r="Z1978" s="73" t="s">
        <v>9486</v>
      </c>
      <c r="AA1978" s="74" t="s">
        <v>9504</v>
      </c>
      <c r="AB1978" s="73" t="s">
        <v>9486</v>
      </c>
      <c r="AC1978" s="74" t="s">
        <v>9566</v>
      </c>
      <c r="AD1978" s="73" t="s">
        <v>9578</v>
      </c>
      <c r="AE1978" s="74" t="s">
        <v>9579</v>
      </c>
    </row>
    <row r="1979" spans="1:31" ht="8.65" customHeight="1" x14ac:dyDescent="0.2">
      <c r="A1979" s="76">
        <v>1979</v>
      </c>
      <c r="B1979" s="67" t="str">
        <f>MID(C1979, FIND("Ifc.", C1979) + 4, 4) &amp; "_" &amp; TEXT(COUNTIF($C$2:C1979, C1979),"0000")</f>
        <v>Prop_1978</v>
      </c>
      <c r="C1979" s="24" t="s">
        <v>872</v>
      </c>
      <c r="D1979" s="69" t="s">
        <v>9453</v>
      </c>
      <c r="E1979" s="70" t="s">
        <v>9454</v>
      </c>
      <c r="F1979" s="17" t="s">
        <v>806</v>
      </c>
      <c r="G1979" s="22" t="s">
        <v>1040</v>
      </c>
      <c r="H1979" s="12" t="s">
        <v>9703</v>
      </c>
      <c r="I1979" s="13" t="s">
        <v>7127</v>
      </c>
      <c r="J1979" s="14" t="s">
        <v>798</v>
      </c>
      <c r="K1979" s="15" t="s">
        <v>798</v>
      </c>
      <c r="L1979" s="12" t="s">
        <v>5315</v>
      </c>
      <c r="M1979" s="13" t="s">
        <v>5821</v>
      </c>
      <c r="N1979" s="12" t="s">
        <v>803</v>
      </c>
      <c r="O1979" s="13" t="s">
        <v>4883</v>
      </c>
      <c r="P1979" s="17" t="s">
        <v>802</v>
      </c>
      <c r="Q1979" s="21" t="s">
        <v>7683</v>
      </c>
      <c r="R1979" s="17" t="s">
        <v>801</v>
      </c>
      <c r="S1979" s="18" t="s">
        <v>2631</v>
      </c>
      <c r="T1979" s="17" t="s">
        <v>800</v>
      </c>
      <c r="U1979" s="18" t="s">
        <v>5253</v>
      </c>
      <c r="V1979" s="17" t="s">
        <v>9418</v>
      </c>
      <c r="W1979" s="18" t="s">
        <v>5312</v>
      </c>
      <c r="X1979" s="69" t="s">
        <v>9453</v>
      </c>
      <c r="Y1979" s="70" t="s">
        <v>9465</v>
      </c>
      <c r="Z1979" s="73" t="s">
        <v>9486</v>
      </c>
      <c r="AA1979" s="74" t="s">
        <v>9504</v>
      </c>
      <c r="AB1979" s="73" t="s">
        <v>9486</v>
      </c>
      <c r="AC1979" s="74" t="s">
        <v>9566</v>
      </c>
      <c r="AD1979" s="73" t="s">
        <v>9578</v>
      </c>
      <c r="AE1979" s="74" t="s">
        <v>9579</v>
      </c>
    </row>
    <row r="1980" spans="1:31" ht="8.65" customHeight="1" x14ac:dyDescent="0.2">
      <c r="A1980" s="76">
        <v>1980</v>
      </c>
      <c r="B1980" s="67" t="str">
        <f>MID(C1980, FIND("Ifc.", C1980) + 4, 4) &amp; "_" &amp; TEXT(COUNTIF($C$2:C1980, C1980),"0000")</f>
        <v>Prop_1979</v>
      </c>
      <c r="C1980" s="24" t="s">
        <v>872</v>
      </c>
      <c r="D1980" s="69" t="s">
        <v>9453</v>
      </c>
      <c r="E1980" s="70" t="s">
        <v>9454</v>
      </c>
      <c r="F1980" s="17" t="s">
        <v>806</v>
      </c>
      <c r="G1980" s="22" t="s">
        <v>1040</v>
      </c>
      <c r="H1980" s="12" t="s">
        <v>9703</v>
      </c>
      <c r="I1980" s="13" t="s">
        <v>7127</v>
      </c>
      <c r="J1980" s="14" t="s">
        <v>798</v>
      </c>
      <c r="K1980" s="15" t="s">
        <v>798</v>
      </c>
      <c r="L1980" s="12" t="s">
        <v>5315</v>
      </c>
      <c r="M1980" s="13" t="s">
        <v>5518</v>
      </c>
      <c r="N1980" s="12" t="s">
        <v>803</v>
      </c>
      <c r="O1980" s="13" t="s">
        <v>5133</v>
      </c>
      <c r="P1980" s="17" t="s">
        <v>802</v>
      </c>
      <c r="Q1980" s="21" t="s">
        <v>7719</v>
      </c>
      <c r="R1980" s="17" t="s">
        <v>801</v>
      </c>
      <c r="S1980" s="18" t="s">
        <v>2631</v>
      </c>
      <c r="T1980" s="17" t="s">
        <v>800</v>
      </c>
      <c r="U1980" s="18" t="s">
        <v>5253</v>
      </c>
      <c r="V1980" s="17" t="s">
        <v>9418</v>
      </c>
      <c r="W1980" s="18" t="s">
        <v>5312</v>
      </c>
      <c r="X1980" s="69" t="s">
        <v>9453</v>
      </c>
      <c r="Y1980" s="70" t="s">
        <v>9465</v>
      </c>
      <c r="Z1980" s="73" t="s">
        <v>9486</v>
      </c>
      <c r="AA1980" s="74" t="s">
        <v>9504</v>
      </c>
      <c r="AB1980" s="73" t="s">
        <v>9486</v>
      </c>
      <c r="AC1980" s="74" t="s">
        <v>9566</v>
      </c>
      <c r="AD1980" s="73" t="s">
        <v>9578</v>
      </c>
      <c r="AE1980" s="74" t="s">
        <v>9579</v>
      </c>
    </row>
    <row r="1981" spans="1:31" ht="8.65" customHeight="1" x14ac:dyDescent="0.2">
      <c r="A1981" s="76">
        <v>1981</v>
      </c>
      <c r="B1981" s="67" t="str">
        <f>MID(C1981, FIND("Ifc.", C1981) + 4, 4) &amp; "_" &amp; TEXT(COUNTIF($C$2:C1981, C1981),"0000")</f>
        <v>Prop_1980</v>
      </c>
      <c r="C1981" s="24" t="s">
        <v>872</v>
      </c>
      <c r="D1981" s="69" t="s">
        <v>9453</v>
      </c>
      <c r="E1981" s="70" t="s">
        <v>9454</v>
      </c>
      <c r="F1981" s="17" t="s">
        <v>806</v>
      </c>
      <c r="G1981" s="22" t="s">
        <v>1040</v>
      </c>
      <c r="H1981" s="12" t="s">
        <v>9703</v>
      </c>
      <c r="I1981" s="13" t="s">
        <v>7127</v>
      </c>
      <c r="J1981" s="14" t="s">
        <v>798</v>
      </c>
      <c r="K1981" s="15" t="s">
        <v>798</v>
      </c>
      <c r="L1981" s="12" t="s">
        <v>5315</v>
      </c>
      <c r="M1981" s="13" t="s">
        <v>5519</v>
      </c>
      <c r="N1981" s="12" t="s">
        <v>803</v>
      </c>
      <c r="O1981" s="13" t="s">
        <v>5134</v>
      </c>
      <c r="P1981" s="17" t="s">
        <v>802</v>
      </c>
      <c r="Q1981" s="21" t="s">
        <v>7935</v>
      </c>
      <c r="R1981" s="17" t="s">
        <v>801</v>
      </c>
      <c r="S1981" s="18" t="s">
        <v>2631</v>
      </c>
      <c r="T1981" s="17" t="s">
        <v>800</v>
      </c>
      <c r="U1981" s="18" t="s">
        <v>5253</v>
      </c>
      <c r="V1981" s="17" t="s">
        <v>9418</v>
      </c>
      <c r="W1981" s="18" t="s">
        <v>5312</v>
      </c>
      <c r="X1981" s="69" t="s">
        <v>9453</v>
      </c>
      <c r="Y1981" s="70" t="s">
        <v>9465</v>
      </c>
      <c r="Z1981" s="73" t="s">
        <v>9486</v>
      </c>
      <c r="AA1981" s="74" t="s">
        <v>9504</v>
      </c>
      <c r="AB1981" s="73" t="s">
        <v>9486</v>
      </c>
      <c r="AC1981" s="74" t="s">
        <v>9566</v>
      </c>
      <c r="AD1981" s="73" t="s">
        <v>9578</v>
      </c>
      <c r="AE1981" s="74" t="s">
        <v>9579</v>
      </c>
    </row>
    <row r="1982" spans="1:31" ht="8.65" customHeight="1" x14ac:dyDescent="0.2">
      <c r="A1982" s="76">
        <v>1982</v>
      </c>
      <c r="B1982" s="67" t="str">
        <f>MID(C1982, FIND("Ifc.", C1982) + 4, 4) &amp; "_" &amp; TEXT(COUNTIF($C$2:C1982, C1982),"0000")</f>
        <v>Prop_1981</v>
      </c>
      <c r="C1982" s="24" t="s">
        <v>872</v>
      </c>
      <c r="D1982" s="69" t="s">
        <v>9453</v>
      </c>
      <c r="E1982" s="70" t="s">
        <v>9454</v>
      </c>
      <c r="F1982" s="17" t="s">
        <v>806</v>
      </c>
      <c r="G1982" s="22" t="s">
        <v>1040</v>
      </c>
      <c r="H1982" s="12" t="s">
        <v>9703</v>
      </c>
      <c r="I1982" s="13" t="s">
        <v>7127</v>
      </c>
      <c r="J1982" s="14" t="s">
        <v>798</v>
      </c>
      <c r="K1982" s="15" t="s">
        <v>798</v>
      </c>
      <c r="L1982" s="12" t="s">
        <v>5315</v>
      </c>
      <c r="M1982" s="13" t="s">
        <v>5551</v>
      </c>
      <c r="N1982" s="12" t="s">
        <v>803</v>
      </c>
      <c r="O1982" s="13" t="s">
        <v>5164</v>
      </c>
      <c r="P1982" s="17" t="s">
        <v>802</v>
      </c>
      <c r="Q1982" s="21" t="s">
        <v>7871</v>
      </c>
      <c r="R1982" s="17" t="s">
        <v>801</v>
      </c>
      <c r="S1982" s="18" t="s">
        <v>2631</v>
      </c>
      <c r="T1982" s="17" t="s">
        <v>800</v>
      </c>
      <c r="U1982" s="18" t="s">
        <v>5253</v>
      </c>
      <c r="V1982" s="17" t="s">
        <v>9418</v>
      </c>
      <c r="W1982" s="18" t="s">
        <v>5312</v>
      </c>
      <c r="X1982" s="69" t="s">
        <v>9453</v>
      </c>
      <c r="Y1982" s="70" t="s">
        <v>9465</v>
      </c>
      <c r="Z1982" s="73" t="s">
        <v>9486</v>
      </c>
      <c r="AA1982" s="74" t="s">
        <v>9504</v>
      </c>
      <c r="AB1982" s="73" t="s">
        <v>9486</v>
      </c>
      <c r="AC1982" s="74" t="s">
        <v>9566</v>
      </c>
      <c r="AD1982" s="73" t="s">
        <v>9578</v>
      </c>
      <c r="AE1982" s="74" t="s">
        <v>9579</v>
      </c>
    </row>
    <row r="1983" spans="1:31" ht="8.65" customHeight="1" x14ac:dyDescent="0.2">
      <c r="A1983" s="76">
        <v>1983</v>
      </c>
      <c r="B1983" s="67" t="str">
        <f>MID(C1983, FIND("Ifc.", C1983) + 4, 4) &amp; "_" &amp; TEXT(COUNTIF($C$2:C1983, C1983),"0000")</f>
        <v>Prop_1982</v>
      </c>
      <c r="C1983" s="24" t="s">
        <v>872</v>
      </c>
      <c r="D1983" s="69" t="s">
        <v>9453</v>
      </c>
      <c r="E1983" s="70" t="s">
        <v>9454</v>
      </c>
      <c r="F1983" s="17" t="s">
        <v>806</v>
      </c>
      <c r="G1983" s="22" t="s">
        <v>1040</v>
      </c>
      <c r="H1983" s="12" t="s">
        <v>9703</v>
      </c>
      <c r="I1983" s="13" t="s">
        <v>7127</v>
      </c>
      <c r="J1983" s="14" t="s">
        <v>798</v>
      </c>
      <c r="K1983" s="15" t="s">
        <v>798</v>
      </c>
      <c r="L1983" s="12" t="s">
        <v>5315</v>
      </c>
      <c r="M1983" s="13" t="s">
        <v>5781</v>
      </c>
      <c r="N1983" s="12" t="s">
        <v>803</v>
      </c>
      <c r="O1983" s="13" t="s">
        <v>5180</v>
      </c>
      <c r="P1983" s="17" t="s">
        <v>802</v>
      </c>
      <c r="Q1983" s="21" t="s">
        <v>7699</v>
      </c>
      <c r="R1983" s="17" t="s">
        <v>801</v>
      </c>
      <c r="S1983" s="18" t="s">
        <v>2631</v>
      </c>
      <c r="T1983" s="17" t="s">
        <v>800</v>
      </c>
      <c r="U1983" s="18" t="s">
        <v>5253</v>
      </c>
      <c r="V1983" s="17" t="s">
        <v>9418</v>
      </c>
      <c r="W1983" s="18" t="s">
        <v>5312</v>
      </c>
      <c r="X1983" s="69" t="s">
        <v>9453</v>
      </c>
      <c r="Y1983" s="70" t="s">
        <v>9465</v>
      </c>
      <c r="Z1983" s="73" t="s">
        <v>9486</v>
      </c>
      <c r="AA1983" s="74" t="s">
        <v>9504</v>
      </c>
      <c r="AB1983" s="73" t="s">
        <v>9486</v>
      </c>
      <c r="AC1983" s="74" t="s">
        <v>9566</v>
      </c>
      <c r="AD1983" s="73" t="s">
        <v>9578</v>
      </c>
      <c r="AE1983" s="74" t="s">
        <v>9579</v>
      </c>
    </row>
    <row r="1984" spans="1:31" ht="8.65" customHeight="1" x14ac:dyDescent="0.2">
      <c r="A1984" s="76">
        <v>1984</v>
      </c>
      <c r="B1984" s="67" t="str">
        <f>MID(C1984, FIND("Ifc.", C1984) + 4, 4) &amp; "_" &amp; TEXT(COUNTIF($C$2:C1984, C1984),"0000")</f>
        <v>Prop_1983</v>
      </c>
      <c r="C1984" s="24" t="s">
        <v>872</v>
      </c>
      <c r="D1984" s="69" t="s">
        <v>9453</v>
      </c>
      <c r="E1984" s="70" t="s">
        <v>9454</v>
      </c>
      <c r="F1984" s="17" t="s">
        <v>806</v>
      </c>
      <c r="G1984" s="22" t="s">
        <v>1201</v>
      </c>
      <c r="H1984" s="12" t="s">
        <v>9703</v>
      </c>
      <c r="I1984" s="13" t="s">
        <v>7137</v>
      </c>
      <c r="J1984" s="14" t="s">
        <v>798</v>
      </c>
      <c r="K1984" s="15" t="s">
        <v>798</v>
      </c>
      <c r="L1984" s="12" t="s">
        <v>5315</v>
      </c>
      <c r="M1984" s="13" t="s">
        <v>5821</v>
      </c>
      <c r="N1984" s="12" t="s">
        <v>803</v>
      </c>
      <c r="O1984" s="13" t="s">
        <v>4882</v>
      </c>
      <c r="P1984" s="17" t="s">
        <v>802</v>
      </c>
      <c r="Q1984" s="21" t="s">
        <v>8000</v>
      </c>
      <c r="R1984" s="17" t="s">
        <v>801</v>
      </c>
      <c r="S1984" s="18" t="s">
        <v>2634</v>
      </c>
      <c r="T1984" s="17" t="s">
        <v>800</v>
      </c>
      <c r="U1984" s="18" t="s">
        <v>5259</v>
      </c>
      <c r="V1984" s="17" t="s">
        <v>9418</v>
      </c>
      <c r="W1984" s="18" t="s">
        <v>5312</v>
      </c>
      <c r="X1984" s="69" t="s">
        <v>9453</v>
      </c>
      <c r="Y1984" s="70" t="s">
        <v>9465</v>
      </c>
      <c r="Z1984" s="73" t="s">
        <v>9486</v>
      </c>
      <c r="AA1984" s="74" t="s">
        <v>9504</v>
      </c>
      <c r="AB1984" s="73" t="s">
        <v>9486</v>
      </c>
      <c r="AC1984" s="74" t="s">
        <v>9566</v>
      </c>
      <c r="AD1984" s="73" t="s">
        <v>9578</v>
      </c>
      <c r="AE1984" s="74" t="s">
        <v>9579</v>
      </c>
    </row>
    <row r="1985" spans="1:31" ht="8.65" customHeight="1" x14ac:dyDescent="0.2">
      <c r="A1985" s="76">
        <v>1985</v>
      </c>
      <c r="B1985" s="67" t="str">
        <f>MID(C1985, FIND("Ifc.", C1985) + 4, 4) &amp; "_" &amp; TEXT(COUNTIF($C$2:C1985, C1985),"0000")</f>
        <v>Prop_1984</v>
      </c>
      <c r="C1985" s="24" t="s">
        <v>872</v>
      </c>
      <c r="D1985" s="69" t="s">
        <v>9453</v>
      </c>
      <c r="E1985" s="70" t="s">
        <v>9454</v>
      </c>
      <c r="F1985" s="17" t="s">
        <v>806</v>
      </c>
      <c r="G1985" s="22" t="s">
        <v>1572</v>
      </c>
      <c r="H1985" s="12" t="s">
        <v>9703</v>
      </c>
      <c r="I1985" s="13" t="s">
        <v>6409</v>
      </c>
      <c r="J1985" s="14" t="s">
        <v>798</v>
      </c>
      <c r="K1985" s="15" t="s">
        <v>798</v>
      </c>
      <c r="L1985" s="12" t="s">
        <v>5315</v>
      </c>
      <c r="M1985" s="13" t="s">
        <v>5839</v>
      </c>
      <c r="N1985" s="12" t="s">
        <v>803</v>
      </c>
      <c r="O1985" s="13" t="s">
        <v>4982</v>
      </c>
      <c r="P1985" s="17" t="s">
        <v>802</v>
      </c>
      <c r="Q1985" s="21" t="s">
        <v>7952</v>
      </c>
      <c r="R1985" s="17" t="s">
        <v>801</v>
      </c>
      <c r="S1985" s="18" t="s">
        <v>3636</v>
      </c>
      <c r="T1985" s="17" t="s">
        <v>800</v>
      </c>
      <c r="U1985" s="18" t="s">
        <v>5257</v>
      </c>
      <c r="V1985" s="17" t="s">
        <v>9418</v>
      </c>
      <c r="W1985" s="18" t="s">
        <v>5314</v>
      </c>
      <c r="X1985" s="69" t="s">
        <v>9453</v>
      </c>
      <c r="Y1985" s="70" t="s">
        <v>9464</v>
      </c>
      <c r="Z1985" s="73" t="s">
        <v>9486</v>
      </c>
      <c r="AA1985" s="74" t="s">
        <v>9504</v>
      </c>
      <c r="AB1985" s="73" t="s">
        <v>9486</v>
      </c>
      <c r="AC1985" s="74" t="s">
        <v>9561</v>
      </c>
      <c r="AD1985" s="73" t="s">
        <v>9578</v>
      </c>
      <c r="AE1985" s="74" t="s">
        <v>9579</v>
      </c>
    </row>
    <row r="1986" spans="1:31" ht="8.65" customHeight="1" x14ac:dyDescent="0.2">
      <c r="A1986" s="76">
        <v>1986</v>
      </c>
      <c r="B1986" s="67" t="str">
        <f>MID(C1986, FIND("Ifc.", C1986) + 4, 4) &amp; "_" &amp; TEXT(COUNTIF($C$2:C1986, C1986),"0000")</f>
        <v>Prop_1985</v>
      </c>
      <c r="C1986" s="24" t="s">
        <v>872</v>
      </c>
      <c r="D1986" s="69" t="s">
        <v>9453</v>
      </c>
      <c r="E1986" s="70" t="s">
        <v>9454</v>
      </c>
      <c r="F1986" s="17" t="s">
        <v>806</v>
      </c>
      <c r="G1986" s="22" t="s">
        <v>1572</v>
      </c>
      <c r="H1986" s="12" t="s">
        <v>9703</v>
      </c>
      <c r="I1986" s="13" t="s">
        <v>6409</v>
      </c>
      <c r="J1986" s="14" t="s">
        <v>798</v>
      </c>
      <c r="K1986" s="15" t="s">
        <v>798</v>
      </c>
      <c r="L1986" s="12" t="s">
        <v>5315</v>
      </c>
      <c r="M1986" s="13" t="s">
        <v>5895</v>
      </c>
      <c r="N1986" s="12" t="s">
        <v>803</v>
      </c>
      <c r="O1986" s="13" t="s">
        <v>4964</v>
      </c>
      <c r="P1986" s="17" t="s">
        <v>802</v>
      </c>
      <c r="Q1986" s="21" t="s">
        <v>7916</v>
      </c>
      <c r="R1986" s="17" t="s">
        <v>801</v>
      </c>
      <c r="S1986" s="18" t="s">
        <v>3636</v>
      </c>
      <c r="T1986" s="17" t="s">
        <v>800</v>
      </c>
      <c r="U1986" s="18" t="s">
        <v>5257</v>
      </c>
      <c r="V1986" s="17" t="s">
        <v>9418</v>
      </c>
      <c r="W1986" s="18" t="s">
        <v>5314</v>
      </c>
      <c r="X1986" s="69" t="s">
        <v>9453</v>
      </c>
      <c r="Y1986" s="70" t="s">
        <v>9464</v>
      </c>
      <c r="Z1986" s="73" t="s">
        <v>9486</v>
      </c>
      <c r="AA1986" s="74" t="s">
        <v>9504</v>
      </c>
      <c r="AB1986" s="73" t="s">
        <v>9486</v>
      </c>
      <c r="AC1986" s="74" t="s">
        <v>9561</v>
      </c>
      <c r="AD1986" s="73" t="s">
        <v>9578</v>
      </c>
      <c r="AE1986" s="74" t="s">
        <v>9579</v>
      </c>
    </row>
    <row r="1987" spans="1:31" ht="8.65" customHeight="1" x14ac:dyDescent="0.2">
      <c r="A1987" s="76">
        <v>1987</v>
      </c>
      <c r="B1987" s="67" t="str">
        <f>MID(C1987, FIND("Ifc.", C1987) + 4, 4) &amp; "_" &amp; TEXT(COUNTIF($C$2:C1987, C1987),"0000")</f>
        <v>Prop_1986</v>
      </c>
      <c r="C1987" s="24" t="s">
        <v>872</v>
      </c>
      <c r="D1987" s="69" t="s">
        <v>9453</v>
      </c>
      <c r="E1987" s="70" t="s">
        <v>9454</v>
      </c>
      <c r="F1987" s="17" t="s">
        <v>806</v>
      </c>
      <c r="G1987" s="22" t="s">
        <v>1575</v>
      </c>
      <c r="H1987" s="12" t="s">
        <v>9703</v>
      </c>
      <c r="I1987" s="13" t="s">
        <v>7643</v>
      </c>
      <c r="J1987" s="14" t="s">
        <v>798</v>
      </c>
      <c r="K1987" s="15" t="s">
        <v>798</v>
      </c>
      <c r="L1987" s="12" t="s">
        <v>5315</v>
      </c>
      <c r="M1987" s="13" t="s">
        <v>5839</v>
      </c>
      <c r="N1987" s="12" t="s">
        <v>803</v>
      </c>
      <c r="O1987" s="13" t="s">
        <v>4982</v>
      </c>
      <c r="P1987" s="17" t="s">
        <v>802</v>
      </c>
      <c r="Q1987" s="21" t="s">
        <v>7952</v>
      </c>
      <c r="R1987" s="17" t="s">
        <v>801</v>
      </c>
      <c r="S1987" s="18" t="s">
        <v>3636</v>
      </c>
      <c r="T1987" s="17" t="s">
        <v>800</v>
      </c>
      <c r="U1987" s="18" t="s">
        <v>5257</v>
      </c>
      <c r="V1987" s="17" t="s">
        <v>9418</v>
      </c>
      <c r="W1987" s="18" t="s">
        <v>5314</v>
      </c>
      <c r="X1987" s="69" t="s">
        <v>9453</v>
      </c>
      <c r="Y1987" s="70" t="s">
        <v>9464</v>
      </c>
      <c r="Z1987" s="73" t="s">
        <v>9486</v>
      </c>
      <c r="AA1987" s="74" t="s">
        <v>9504</v>
      </c>
      <c r="AB1987" s="73" t="s">
        <v>9486</v>
      </c>
      <c r="AC1987" s="74" t="s">
        <v>9561</v>
      </c>
      <c r="AD1987" s="73" t="s">
        <v>9578</v>
      </c>
      <c r="AE1987" s="74" t="s">
        <v>9579</v>
      </c>
    </row>
    <row r="1988" spans="1:31" ht="8.65" customHeight="1" x14ac:dyDescent="0.2">
      <c r="A1988" s="76">
        <v>1988</v>
      </c>
      <c r="B1988" s="67" t="str">
        <f>MID(C1988, FIND("Ifc.", C1988) + 4, 4) &amp; "_" &amp; TEXT(COUNTIF($C$2:C1988, C1988),"0000")</f>
        <v>Prop_1987</v>
      </c>
      <c r="C1988" s="24" t="s">
        <v>872</v>
      </c>
      <c r="D1988" s="69" t="s">
        <v>9453</v>
      </c>
      <c r="E1988" s="70" t="s">
        <v>9454</v>
      </c>
      <c r="F1988" s="17" t="s">
        <v>806</v>
      </c>
      <c r="G1988" s="22" t="s">
        <v>1575</v>
      </c>
      <c r="H1988" s="12" t="s">
        <v>9703</v>
      </c>
      <c r="I1988" s="13" t="s">
        <v>7643</v>
      </c>
      <c r="J1988" s="14" t="s">
        <v>798</v>
      </c>
      <c r="K1988" s="15" t="s">
        <v>798</v>
      </c>
      <c r="L1988" s="12" t="s">
        <v>5315</v>
      </c>
      <c r="M1988" s="13" t="s">
        <v>5895</v>
      </c>
      <c r="N1988" s="12" t="s">
        <v>803</v>
      </c>
      <c r="O1988" s="13" t="s">
        <v>4964</v>
      </c>
      <c r="P1988" s="17" t="s">
        <v>802</v>
      </c>
      <c r="Q1988" s="21" t="s">
        <v>7916</v>
      </c>
      <c r="R1988" s="17" t="s">
        <v>801</v>
      </c>
      <c r="S1988" s="18" t="s">
        <v>3636</v>
      </c>
      <c r="T1988" s="17" t="s">
        <v>800</v>
      </c>
      <c r="U1988" s="18" t="s">
        <v>5257</v>
      </c>
      <c r="V1988" s="17" t="s">
        <v>9418</v>
      </c>
      <c r="W1988" s="18" t="s">
        <v>5314</v>
      </c>
      <c r="X1988" s="69" t="s">
        <v>9453</v>
      </c>
      <c r="Y1988" s="70" t="s">
        <v>9464</v>
      </c>
      <c r="Z1988" s="73" t="s">
        <v>9486</v>
      </c>
      <c r="AA1988" s="74" t="s">
        <v>9504</v>
      </c>
      <c r="AB1988" s="73" t="s">
        <v>9486</v>
      </c>
      <c r="AC1988" s="74" t="s">
        <v>9561</v>
      </c>
      <c r="AD1988" s="73" t="s">
        <v>9578</v>
      </c>
      <c r="AE1988" s="74" t="s">
        <v>9579</v>
      </c>
    </row>
    <row r="1989" spans="1:31" ht="8.65" customHeight="1" x14ac:dyDescent="0.2">
      <c r="A1989" s="76">
        <v>1989</v>
      </c>
      <c r="B1989" s="67" t="str">
        <f>MID(C1989, FIND("Ifc.", C1989) + 4, 4) &amp; "_" &amp; TEXT(COUNTIF($C$2:C1989, C1989),"0000")</f>
        <v>Prop_1988</v>
      </c>
      <c r="C1989" s="24" t="s">
        <v>872</v>
      </c>
      <c r="D1989" s="69" t="s">
        <v>9453</v>
      </c>
      <c r="E1989" s="70" t="s">
        <v>9454</v>
      </c>
      <c r="F1989" s="17" t="s">
        <v>806</v>
      </c>
      <c r="G1989" s="22" t="s">
        <v>1579</v>
      </c>
      <c r="H1989" s="12" t="s">
        <v>9703</v>
      </c>
      <c r="I1989" s="13" t="s">
        <v>7644</v>
      </c>
      <c r="J1989" s="14" t="s">
        <v>798</v>
      </c>
      <c r="K1989" s="15" t="s">
        <v>798</v>
      </c>
      <c r="L1989" s="12" t="s">
        <v>5315</v>
      </c>
      <c r="M1989" s="13" t="s">
        <v>5839</v>
      </c>
      <c r="N1989" s="12" t="s">
        <v>803</v>
      </c>
      <c r="O1989" s="13" t="s">
        <v>4982</v>
      </c>
      <c r="P1989" s="17" t="s">
        <v>802</v>
      </c>
      <c r="Q1989" s="21" t="s">
        <v>7952</v>
      </c>
      <c r="R1989" s="17" t="s">
        <v>801</v>
      </c>
      <c r="S1989" s="18" t="s">
        <v>3636</v>
      </c>
      <c r="T1989" s="17" t="s">
        <v>800</v>
      </c>
      <c r="U1989" s="18" t="s">
        <v>5257</v>
      </c>
      <c r="V1989" s="17" t="s">
        <v>9418</v>
      </c>
      <c r="W1989" s="18" t="s">
        <v>5314</v>
      </c>
      <c r="X1989" s="69" t="s">
        <v>9453</v>
      </c>
      <c r="Y1989" s="70" t="s">
        <v>9464</v>
      </c>
      <c r="Z1989" s="73" t="s">
        <v>9486</v>
      </c>
      <c r="AA1989" s="74" t="s">
        <v>9504</v>
      </c>
      <c r="AB1989" s="73" t="s">
        <v>9486</v>
      </c>
      <c r="AC1989" s="74" t="s">
        <v>9561</v>
      </c>
      <c r="AD1989" s="73" t="s">
        <v>9578</v>
      </c>
      <c r="AE1989" s="74" t="s">
        <v>9579</v>
      </c>
    </row>
    <row r="1990" spans="1:31" ht="8.65" customHeight="1" x14ac:dyDescent="0.2">
      <c r="A1990" s="76">
        <v>1990</v>
      </c>
      <c r="B1990" s="67" t="str">
        <f>MID(C1990, FIND("Ifc.", C1990) + 4, 4) &amp; "_" &amp; TEXT(COUNTIF($C$2:C1990, C1990),"0000")</f>
        <v>Prop_1989</v>
      </c>
      <c r="C1990" s="24" t="s">
        <v>872</v>
      </c>
      <c r="D1990" s="69" t="s">
        <v>9453</v>
      </c>
      <c r="E1990" s="70" t="s">
        <v>9454</v>
      </c>
      <c r="F1990" s="17" t="s">
        <v>806</v>
      </c>
      <c r="G1990" s="22" t="s">
        <v>1579</v>
      </c>
      <c r="H1990" s="12" t="s">
        <v>9703</v>
      </c>
      <c r="I1990" s="13" t="s">
        <v>7644</v>
      </c>
      <c r="J1990" s="14" t="s">
        <v>798</v>
      </c>
      <c r="K1990" s="15" t="s">
        <v>798</v>
      </c>
      <c r="L1990" s="12" t="s">
        <v>5315</v>
      </c>
      <c r="M1990" s="13" t="s">
        <v>5895</v>
      </c>
      <c r="N1990" s="12" t="s">
        <v>803</v>
      </c>
      <c r="O1990" s="13" t="s">
        <v>4964</v>
      </c>
      <c r="P1990" s="17" t="s">
        <v>802</v>
      </c>
      <c r="Q1990" s="21" t="s">
        <v>7916</v>
      </c>
      <c r="R1990" s="17" t="s">
        <v>801</v>
      </c>
      <c r="S1990" s="18" t="s">
        <v>3636</v>
      </c>
      <c r="T1990" s="17" t="s">
        <v>800</v>
      </c>
      <c r="U1990" s="18" t="s">
        <v>5257</v>
      </c>
      <c r="V1990" s="17" t="s">
        <v>9418</v>
      </c>
      <c r="W1990" s="18" t="s">
        <v>5314</v>
      </c>
      <c r="X1990" s="69" t="s">
        <v>9453</v>
      </c>
      <c r="Y1990" s="70" t="s">
        <v>9464</v>
      </c>
      <c r="Z1990" s="73" t="s">
        <v>9486</v>
      </c>
      <c r="AA1990" s="74" t="s">
        <v>9504</v>
      </c>
      <c r="AB1990" s="73" t="s">
        <v>9486</v>
      </c>
      <c r="AC1990" s="74" t="s">
        <v>9561</v>
      </c>
      <c r="AD1990" s="73" t="s">
        <v>9578</v>
      </c>
      <c r="AE1990" s="74" t="s">
        <v>9579</v>
      </c>
    </row>
    <row r="1991" spans="1:31" ht="8.65" customHeight="1" x14ac:dyDescent="0.2">
      <c r="A1991" s="76">
        <v>1991</v>
      </c>
      <c r="B1991" s="67" t="str">
        <f>MID(C1991, FIND("Ifc.", C1991) + 4, 4) &amp; "_" &amp; TEXT(COUNTIF($C$2:C1991, C1991),"0000")</f>
        <v>Prop_1990</v>
      </c>
      <c r="C1991" s="24" t="s">
        <v>872</v>
      </c>
      <c r="D1991" s="69" t="s">
        <v>9453</v>
      </c>
      <c r="E1991" s="70" t="s">
        <v>9454</v>
      </c>
      <c r="F1991" s="17" t="s">
        <v>806</v>
      </c>
      <c r="G1991" s="22" t="s">
        <v>1508</v>
      </c>
      <c r="H1991" s="12" t="s">
        <v>9703</v>
      </c>
      <c r="I1991" s="13" t="s">
        <v>7224</v>
      </c>
      <c r="J1991" s="14" t="s">
        <v>798</v>
      </c>
      <c r="K1991" s="15" t="s">
        <v>798</v>
      </c>
      <c r="L1991" s="12" t="s">
        <v>5315</v>
      </c>
      <c r="M1991" s="13" t="s">
        <v>5828</v>
      </c>
      <c r="N1991" s="12" t="s">
        <v>803</v>
      </c>
      <c r="O1991" s="13" t="s">
        <v>4949</v>
      </c>
      <c r="P1991" s="17" t="s">
        <v>802</v>
      </c>
      <c r="Q1991" s="21" t="s">
        <v>7815</v>
      </c>
      <c r="R1991" s="17" t="s">
        <v>801</v>
      </c>
      <c r="S1991" s="18" t="s">
        <v>2625</v>
      </c>
      <c r="T1991" s="17" t="s">
        <v>800</v>
      </c>
      <c r="U1991" s="18" t="s">
        <v>5240</v>
      </c>
      <c r="V1991" s="17" t="s">
        <v>9418</v>
      </c>
      <c r="W1991" s="18" t="s">
        <v>5309</v>
      </c>
      <c r="X1991" s="69" t="s">
        <v>9453</v>
      </c>
      <c r="Y1991" s="70" t="s">
        <v>9462</v>
      </c>
      <c r="Z1991" s="73" t="s">
        <v>9486</v>
      </c>
      <c r="AA1991" s="74" t="s">
        <v>9504</v>
      </c>
      <c r="AB1991" s="73" t="s">
        <v>9486</v>
      </c>
      <c r="AC1991" s="74" t="s">
        <v>9566</v>
      </c>
      <c r="AD1991" s="73" t="s">
        <v>9578</v>
      </c>
      <c r="AE1991" s="74" t="s">
        <v>9579</v>
      </c>
    </row>
    <row r="1992" spans="1:31" ht="8.65" customHeight="1" x14ac:dyDescent="0.2">
      <c r="A1992" s="76">
        <v>1992</v>
      </c>
      <c r="B1992" s="67" t="str">
        <f>MID(C1992, FIND("Ifc.", C1992) + 4, 4) &amp; "_" &amp; TEXT(COUNTIF($C$2:C1992, C1992),"0000")</f>
        <v>Prop_1991</v>
      </c>
      <c r="C1992" s="24" t="s">
        <v>872</v>
      </c>
      <c r="D1992" s="69" t="s">
        <v>9453</v>
      </c>
      <c r="E1992" s="70" t="s">
        <v>9454</v>
      </c>
      <c r="F1992" s="17" t="s">
        <v>806</v>
      </c>
      <c r="G1992" s="22" t="s">
        <v>1507</v>
      </c>
      <c r="H1992" s="12" t="s">
        <v>9703</v>
      </c>
      <c r="I1992" s="13" t="s">
        <v>7225</v>
      </c>
      <c r="J1992" s="14" t="s">
        <v>798</v>
      </c>
      <c r="K1992" s="15" t="s">
        <v>798</v>
      </c>
      <c r="L1992" s="12" t="s">
        <v>5315</v>
      </c>
      <c r="M1992" s="13" t="s">
        <v>5828</v>
      </c>
      <c r="N1992" s="12" t="s">
        <v>803</v>
      </c>
      <c r="O1992" s="13" t="s">
        <v>4949</v>
      </c>
      <c r="P1992" s="17" t="s">
        <v>802</v>
      </c>
      <c r="Q1992" s="21" t="s">
        <v>7815</v>
      </c>
      <c r="R1992" s="17" t="s">
        <v>801</v>
      </c>
      <c r="S1992" s="18" t="s">
        <v>2625</v>
      </c>
      <c r="T1992" s="17" t="s">
        <v>800</v>
      </c>
      <c r="U1992" s="18" t="s">
        <v>5240</v>
      </c>
      <c r="V1992" s="17" t="s">
        <v>9418</v>
      </c>
      <c r="W1992" s="18" t="s">
        <v>5309</v>
      </c>
      <c r="X1992" s="69" t="s">
        <v>9453</v>
      </c>
      <c r="Y1992" s="70" t="s">
        <v>9462</v>
      </c>
      <c r="Z1992" s="73" t="s">
        <v>9486</v>
      </c>
      <c r="AA1992" s="74" t="s">
        <v>9504</v>
      </c>
      <c r="AB1992" s="73" t="s">
        <v>9486</v>
      </c>
      <c r="AC1992" s="74" t="s">
        <v>9566</v>
      </c>
      <c r="AD1992" s="73" t="s">
        <v>9578</v>
      </c>
      <c r="AE1992" s="74" t="s">
        <v>9579</v>
      </c>
    </row>
    <row r="1993" spans="1:31" ht="8.65" customHeight="1" x14ac:dyDescent="0.2">
      <c r="A1993" s="76">
        <v>1993</v>
      </c>
      <c r="B1993" s="67" t="str">
        <f>MID(C1993, FIND("Ifc.", C1993) + 4, 4) &amp; "_" &amp; TEXT(COUNTIF($C$2:C1993, C1993),"0000")</f>
        <v>Prop_1992</v>
      </c>
      <c r="C1993" s="24" t="s">
        <v>872</v>
      </c>
      <c r="D1993" s="69" t="s">
        <v>9453</v>
      </c>
      <c r="E1993" s="70" t="s">
        <v>9454</v>
      </c>
      <c r="F1993" s="17" t="s">
        <v>806</v>
      </c>
      <c r="G1993" s="22" t="s">
        <v>2125</v>
      </c>
      <c r="H1993" s="12" t="s">
        <v>9703</v>
      </c>
      <c r="I1993" s="13" t="s">
        <v>7138</v>
      </c>
      <c r="J1993" s="14" t="s">
        <v>798</v>
      </c>
      <c r="K1993" s="15" t="s">
        <v>798</v>
      </c>
      <c r="L1993" s="12" t="s">
        <v>5315</v>
      </c>
      <c r="M1993" s="13" t="s">
        <v>5495</v>
      </c>
      <c r="N1993" s="12" t="s">
        <v>803</v>
      </c>
      <c r="O1993" s="13" t="s">
        <v>5109</v>
      </c>
      <c r="P1993" s="17" t="s">
        <v>802</v>
      </c>
      <c r="Q1993" s="21" t="s">
        <v>8039</v>
      </c>
      <c r="R1993" s="17" t="s">
        <v>801</v>
      </c>
      <c r="S1993" s="18" t="s">
        <v>2621</v>
      </c>
      <c r="T1993" s="17" t="s">
        <v>800</v>
      </c>
      <c r="U1993" s="18" t="s">
        <v>5260</v>
      </c>
      <c r="V1993" s="17" t="s">
        <v>9418</v>
      </c>
      <c r="W1993" s="18" t="s">
        <v>5312</v>
      </c>
      <c r="X1993" s="69" t="s">
        <v>9453</v>
      </c>
      <c r="Y1993" s="70" t="s">
        <v>9465</v>
      </c>
      <c r="Z1993" s="73" t="s">
        <v>9486</v>
      </c>
      <c r="AA1993" s="74" t="s">
        <v>9504</v>
      </c>
      <c r="AB1993" s="73" t="s">
        <v>9486</v>
      </c>
      <c r="AC1993" s="74" t="s">
        <v>9566</v>
      </c>
      <c r="AD1993" s="73" t="s">
        <v>9578</v>
      </c>
      <c r="AE1993" s="74" t="s">
        <v>9579</v>
      </c>
    </row>
    <row r="1994" spans="1:31" ht="8.65" customHeight="1" x14ac:dyDescent="0.2">
      <c r="A1994" s="76">
        <v>1994</v>
      </c>
      <c r="B1994" s="67" t="str">
        <f>MID(C1994, FIND("Ifc.", C1994) + 4, 4) &amp; "_" &amp; TEXT(COUNTIF($C$2:C1994, C1994),"0000")</f>
        <v>Prop_1993</v>
      </c>
      <c r="C1994" s="24" t="s">
        <v>872</v>
      </c>
      <c r="D1994" s="69" t="s">
        <v>9453</v>
      </c>
      <c r="E1994" s="70" t="s">
        <v>9454</v>
      </c>
      <c r="F1994" s="17" t="s">
        <v>806</v>
      </c>
      <c r="G1994" s="22" t="s">
        <v>1061</v>
      </c>
      <c r="H1994" s="12" t="s">
        <v>9703</v>
      </c>
      <c r="I1994" s="13" t="s">
        <v>7125</v>
      </c>
      <c r="J1994" s="14" t="s">
        <v>798</v>
      </c>
      <c r="K1994" s="15" t="s">
        <v>798</v>
      </c>
      <c r="L1994" s="12" t="s">
        <v>5315</v>
      </c>
      <c r="M1994" s="13" t="s">
        <v>5779</v>
      </c>
      <c r="N1994" s="12" t="s">
        <v>803</v>
      </c>
      <c r="O1994" s="13" t="s">
        <v>4846</v>
      </c>
      <c r="P1994" s="17" t="s">
        <v>802</v>
      </c>
      <c r="Q1994" s="21" t="s">
        <v>7936</v>
      </c>
      <c r="R1994" s="17" t="s">
        <v>801</v>
      </c>
      <c r="S1994" s="18" t="s">
        <v>2638</v>
      </c>
      <c r="T1994" s="17" t="s">
        <v>800</v>
      </c>
      <c r="U1994" s="18" t="s">
        <v>5254</v>
      </c>
      <c r="V1994" s="17" t="s">
        <v>9418</v>
      </c>
      <c r="W1994" s="18" t="s">
        <v>5312</v>
      </c>
      <c r="X1994" s="69" t="s">
        <v>9453</v>
      </c>
      <c r="Y1994" s="70" t="s">
        <v>9465</v>
      </c>
      <c r="Z1994" s="73" t="s">
        <v>9486</v>
      </c>
      <c r="AA1994" s="74" t="s">
        <v>9504</v>
      </c>
      <c r="AB1994" s="73" t="s">
        <v>9486</v>
      </c>
      <c r="AC1994" s="74" t="s">
        <v>9566</v>
      </c>
      <c r="AD1994" s="73" t="s">
        <v>9578</v>
      </c>
      <c r="AE1994" s="74" t="s">
        <v>9579</v>
      </c>
    </row>
    <row r="1995" spans="1:31" ht="8.65" customHeight="1" x14ac:dyDescent="0.2">
      <c r="A1995" s="76">
        <v>1995</v>
      </c>
      <c r="B1995" s="67" t="str">
        <f>MID(C1995, FIND("Ifc.", C1995) + 4, 4) &amp; "_" &amp; TEXT(COUNTIF($C$2:C1995, C1995),"0000")</f>
        <v>Prop_1994</v>
      </c>
      <c r="C1995" s="24" t="s">
        <v>872</v>
      </c>
      <c r="D1995" s="69" t="s">
        <v>9453</v>
      </c>
      <c r="E1995" s="70" t="s">
        <v>9454</v>
      </c>
      <c r="F1995" s="17" t="s">
        <v>806</v>
      </c>
      <c r="G1995" s="22" t="s">
        <v>1061</v>
      </c>
      <c r="H1995" s="12" t="s">
        <v>9703</v>
      </c>
      <c r="I1995" s="13" t="s">
        <v>7125</v>
      </c>
      <c r="J1995" s="14" t="s">
        <v>798</v>
      </c>
      <c r="K1995" s="15" t="s">
        <v>798</v>
      </c>
      <c r="L1995" s="12" t="s">
        <v>5315</v>
      </c>
      <c r="M1995" s="13" t="s">
        <v>5548</v>
      </c>
      <c r="N1995" s="12" t="s">
        <v>803</v>
      </c>
      <c r="O1995" s="13" t="s">
        <v>5161</v>
      </c>
      <c r="P1995" s="17" t="s">
        <v>802</v>
      </c>
      <c r="Q1995" s="21" t="s">
        <v>7796</v>
      </c>
      <c r="R1995" s="17" t="s">
        <v>801</v>
      </c>
      <c r="S1995" s="18" t="s">
        <v>2638</v>
      </c>
      <c r="T1995" s="17" t="s">
        <v>800</v>
      </c>
      <c r="U1995" s="18" t="s">
        <v>5254</v>
      </c>
      <c r="V1995" s="17" t="s">
        <v>9418</v>
      </c>
      <c r="W1995" s="18" t="s">
        <v>5312</v>
      </c>
      <c r="X1995" s="69" t="s">
        <v>9453</v>
      </c>
      <c r="Y1995" s="70" t="s">
        <v>9465</v>
      </c>
      <c r="Z1995" s="73" t="s">
        <v>9486</v>
      </c>
      <c r="AA1995" s="74" t="s">
        <v>9504</v>
      </c>
      <c r="AB1995" s="73" t="s">
        <v>9486</v>
      </c>
      <c r="AC1995" s="74" t="s">
        <v>9566</v>
      </c>
      <c r="AD1995" s="73" t="s">
        <v>9578</v>
      </c>
      <c r="AE1995" s="74" t="s">
        <v>9579</v>
      </c>
    </row>
    <row r="1996" spans="1:31" ht="8.65" customHeight="1" x14ac:dyDescent="0.2">
      <c r="A1996" s="76">
        <v>1996</v>
      </c>
      <c r="B1996" s="67" t="str">
        <f>MID(C1996, FIND("Ifc.", C1996) + 4, 4) &amp; "_" &amp; TEXT(COUNTIF($C$2:C1996, C1996),"0000")</f>
        <v>Prop_1995</v>
      </c>
      <c r="C1996" s="24" t="s">
        <v>872</v>
      </c>
      <c r="D1996" s="69" t="s">
        <v>9453</v>
      </c>
      <c r="E1996" s="70" t="s">
        <v>9454</v>
      </c>
      <c r="F1996" s="17" t="s">
        <v>806</v>
      </c>
      <c r="G1996" s="22" t="s">
        <v>2301</v>
      </c>
      <c r="H1996" s="12" t="s">
        <v>9703</v>
      </c>
      <c r="I1996" s="13" t="s">
        <v>7125</v>
      </c>
      <c r="J1996" s="14" t="s">
        <v>798</v>
      </c>
      <c r="K1996" s="15" t="s">
        <v>798</v>
      </c>
      <c r="L1996" s="12" t="s">
        <v>5315</v>
      </c>
      <c r="M1996" s="13" t="s">
        <v>5551</v>
      </c>
      <c r="N1996" s="12" t="s">
        <v>803</v>
      </c>
      <c r="O1996" s="13" t="s">
        <v>5164</v>
      </c>
      <c r="P1996" s="17" t="s">
        <v>802</v>
      </c>
      <c r="Q1996" s="21" t="s">
        <v>7871</v>
      </c>
      <c r="R1996" s="17" t="s">
        <v>801</v>
      </c>
      <c r="S1996" s="18" t="s">
        <v>2638</v>
      </c>
      <c r="T1996" s="17" t="s">
        <v>800</v>
      </c>
      <c r="U1996" s="18" t="s">
        <v>5254</v>
      </c>
      <c r="V1996" s="17" t="s">
        <v>9418</v>
      </c>
      <c r="W1996" s="18" t="s">
        <v>5312</v>
      </c>
      <c r="X1996" s="69" t="s">
        <v>9453</v>
      </c>
      <c r="Y1996" s="70" t="s">
        <v>9465</v>
      </c>
      <c r="Z1996" s="73" t="s">
        <v>9486</v>
      </c>
      <c r="AA1996" s="74" t="s">
        <v>9504</v>
      </c>
      <c r="AB1996" s="73" t="s">
        <v>9486</v>
      </c>
      <c r="AC1996" s="74" t="s">
        <v>9566</v>
      </c>
      <c r="AD1996" s="73" t="s">
        <v>9578</v>
      </c>
      <c r="AE1996" s="74" t="s">
        <v>9579</v>
      </c>
    </row>
    <row r="1997" spans="1:31" ht="8.65" customHeight="1" x14ac:dyDescent="0.2">
      <c r="A1997" s="76">
        <v>1997</v>
      </c>
      <c r="B1997" s="67" t="str">
        <f>MID(C1997, FIND("Ifc.", C1997) + 4, 4) &amp; "_" &amp; TEXT(COUNTIF($C$2:C1997, C1997),"0000")</f>
        <v>Prop_1996</v>
      </c>
      <c r="C1997" s="24" t="s">
        <v>872</v>
      </c>
      <c r="D1997" s="69" t="s">
        <v>9453</v>
      </c>
      <c r="E1997" s="70" t="s">
        <v>9454</v>
      </c>
      <c r="F1997" s="17" t="s">
        <v>806</v>
      </c>
      <c r="G1997" s="22" t="s">
        <v>2301</v>
      </c>
      <c r="H1997" s="12" t="s">
        <v>9703</v>
      </c>
      <c r="I1997" s="13" t="s">
        <v>7125</v>
      </c>
      <c r="J1997" s="14" t="s">
        <v>798</v>
      </c>
      <c r="K1997" s="15" t="s">
        <v>798</v>
      </c>
      <c r="L1997" s="12" t="s">
        <v>5315</v>
      </c>
      <c r="M1997" s="13" t="s">
        <v>5781</v>
      </c>
      <c r="N1997" s="12" t="s">
        <v>803</v>
      </c>
      <c r="O1997" s="13" t="s">
        <v>5180</v>
      </c>
      <c r="P1997" s="17" t="s">
        <v>802</v>
      </c>
      <c r="Q1997" s="21" t="s">
        <v>7699</v>
      </c>
      <c r="R1997" s="17" t="s">
        <v>801</v>
      </c>
      <c r="S1997" s="18" t="s">
        <v>2638</v>
      </c>
      <c r="T1997" s="17" t="s">
        <v>800</v>
      </c>
      <c r="U1997" s="18" t="s">
        <v>5254</v>
      </c>
      <c r="V1997" s="17" t="s">
        <v>9418</v>
      </c>
      <c r="W1997" s="18" t="s">
        <v>5312</v>
      </c>
      <c r="X1997" s="69" t="s">
        <v>9453</v>
      </c>
      <c r="Y1997" s="70" t="s">
        <v>9465</v>
      </c>
      <c r="Z1997" s="73" t="s">
        <v>9486</v>
      </c>
      <c r="AA1997" s="74" t="s">
        <v>9504</v>
      </c>
      <c r="AB1997" s="73" t="s">
        <v>9486</v>
      </c>
      <c r="AC1997" s="74" t="s">
        <v>9566</v>
      </c>
      <c r="AD1997" s="73" t="s">
        <v>9578</v>
      </c>
      <c r="AE1997" s="74" t="s">
        <v>9579</v>
      </c>
    </row>
    <row r="1998" spans="1:31" ht="8.65" customHeight="1" x14ac:dyDescent="0.2">
      <c r="A1998" s="76">
        <v>1998</v>
      </c>
      <c r="B1998" s="67" t="str">
        <f>MID(C1998, FIND("Ifc.", C1998) + 4, 4) &amp; "_" &amp; TEXT(COUNTIF($C$2:C1998, C1998),"0000")</f>
        <v>Prop_1997</v>
      </c>
      <c r="C1998" s="24" t="s">
        <v>872</v>
      </c>
      <c r="D1998" s="69" t="s">
        <v>9453</v>
      </c>
      <c r="E1998" s="70" t="s">
        <v>9454</v>
      </c>
      <c r="F1998" s="17" t="s">
        <v>806</v>
      </c>
      <c r="G1998" s="22" t="s">
        <v>1061</v>
      </c>
      <c r="H1998" s="12" t="s">
        <v>9703</v>
      </c>
      <c r="I1998" s="13" t="s">
        <v>7125</v>
      </c>
      <c r="J1998" s="14" t="s">
        <v>798</v>
      </c>
      <c r="K1998" s="15" t="s">
        <v>798</v>
      </c>
      <c r="L1998" s="12" t="s">
        <v>5315</v>
      </c>
      <c r="M1998" s="13" t="s">
        <v>5581</v>
      </c>
      <c r="N1998" s="12" t="s">
        <v>803</v>
      </c>
      <c r="O1998" s="13" t="s">
        <v>5227</v>
      </c>
      <c r="P1998" s="17" t="s">
        <v>802</v>
      </c>
      <c r="Q1998" s="21" t="s">
        <v>7880</v>
      </c>
      <c r="R1998" s="17" t="s">
        <v>801</v>
      </c>
      <c r="S1998" s="18" t="s">
        <v>2638</v>
      </c>
      <c r="T1998" s="17" t="s">
        <v>800</v>
      </c>
      <c r="U1998" s="18" t="s">
        <v>5254</v>
      </c>
      <c r="V1998" s="17" t="s">
        <v>9418</v>
      </c>
      <c r="W1998" s="18" t="s">
        <v>5312</v>
      </c>
      <c r="X1998" s="69" t="s">
        <v>9453</v>
      </c>
      <c r="Y1998" s="70" t="s">
        <v>9465</v>
      </c>
      <c r="Z1998" s="73" t="s">
        <v>9486</v>
      </c>
      <c r="AA1998" s="74" t="s">
        <v>9504</v>
      </c>
      <c r="AB1998" s="73" t="s">
        <v>9486</v>
      </c>
      <c r="AC1998" s="74" t="s">
        <v>9566</v>
      </c>
      <c r="AD1998" s="73" t="s">
        <v>9578</v>
      </c>
      <c r="AE1998" s="74" t="s">
        <v>9579</v>
      </c>
    </row>
    <row r="1999" spans="1:31" ht="8.65" customHeight="1" x14ac:dyDescent="0.2">
      <c r="A1999" s="76">
        <v>1999</v>
      </c>
      <c r="B1999" s="67" t="str">
        <f>MID(C1999, FIND("Ifc.", C1999) + 4, 4) &amp; "_" &amp; TEXT(COUNTIF($C$2:C1999, C1999),"0000")</f>
        <v>Prop_1998</v>
      </c>
      <c r="C1999" s="24" t="s">
        <v>872</v>
      </c>
      <c r="D1999" s="69" t="s">
        <v>9453</v>
      </c>
      <c r="E1999" s="70" t="s">
        <v>9454</v>
      </c>
      <c r="F1999" s="17" t="s">
        <v>806</v>
      </c>
      <c r="G1999" s="22" t="s">
        <v>1041</v>
      </c>
      <c r="H1999" s="12" t="s">
        <v>9703</v>
      </c>
      <c r="I1999" s="13" t="s">
        <v>7128</v>
      </c>
      <c r="J1999" s="14" t="s">
        <v>798</v>
      </c>
      <c r="K1999" s="15" t="s">
        <v>798</v>
      </c>
      <c r="L1999" s="12" t="s">
        <v>5315</v>
      </c>
      <c r="M1999" s="13" t="s">
        <v>5386</v>
      </c>
      <c r="N1999" s="12" t="s">
        <v>803</v>
      </c>
      <c r="O1999" s="13" t="s">
        <v>4843</v>
      </c>
      <c r="P1999" s="17" t="s">
        <v>802</v>
      </c>
      <c r="Q1999" s="21" t="s">
        <v>7779</v>
      </c>
      <c r="R1999" s="17" t="s">
        <v>801</v>
      </c>
      <c r="S1999" s="18" t="s">
        <v>2637</v>
      </c>
      <c r="T1999" s="17" t="s">
        <v>800</v>
      </c>
      <c r="U1999" s="18" t="s">
        <v>5264</v>
      </c>
      <c r="V1999" s="17" t="s">
        <v>9418</v>
      </c>
      <c r="W1999" s="18" t="s">
        <v>5312</v>
      </c>
      <c r="X1999" s="69" t="s">
        <v>9453</v>
      </c>
      <c r="Y1999" s="70" t="s">
        <v>9465</v>
      </c>
      <c r="Z1999" s="73" t="s">
        <v>9486</v>
      </c>
      <c r="AA1999" s="74" t="s">
        <v>9504</v>
      </c>
      <c r="AB1999" s="73" t="s">
        <v>9486</v>
      </c>
      <c r="AC1999" s="74" t="s">
        <v>9566</v>
      </c>
      <c r="AD1999" s="73" t="s">
        <v>9578</v>
      </c>
      <c r="AE1999" s="74" t="s">
        <v>9579</v>
      </c>
    </row>
    <row r="2000" spans="1:31" ht="8.65" customHeight="1" x14ac:dyDescent="0.2">
      <c r="A2000" s="76">
        <v>2000</v>
      </c>
      <c r="B2000" s="67" t="str">
        <f>MID(C2000, FIND("Ifc.", C2000) + 4, 4) &amp; "_" &amp; TEXT(COUNTIF($C$2:C2000, C2000),"0000")</f>
        <v>Prop_1999</v>
      </c>
      <c r="C2000" s="24" t="s">
        <v>872</v>
      </c>
      <c r="D2000" s="69" t="s">
        <v>9453</v>
      </c>
      <c r="E2000" s="70" t="s">
        <v>9454</v>
      </c>
      <c r="F2000" s="17" t="s">
        <v>806</v>
      </c>
      <c r="G2000" s="22" t="s">
        <v>1041</v>
      </c>
      <c r="H2000" s="12" t="s">
        <v>9703</v>
      </c>
      <c r="I2000" s="13" t="s">
        <v>7128</v>
      </c>
      <c r="J2000" s="14" t="s">
        <v>798</v>
      </c>
      <c r="K2000" s="15" t="s">
        <v>798</v>
      </c>
      <c r="L2000" s="12" t="s">
        <v>5315</v>
      </c>
      <c r="M2000" s="13" t="s">
        <v>5436</v>
      </c>
      <c r="N2000" s="12" t="s">
        <v>803</v>
      </c>
      <c r="O2000" s="13" t="s">
        <v>4936</v>
      </c>
      <c r="P2000" s="17" t="s">
        <v>802</v>
      </c>
      <c r="Q2000" s="21" t="s">
        <v>7931</v>
      </c>
      <c r="R2000" s="17" t="s">
        <v>801</v>
      </c>
      <c r="S2000" s="18" t="s">
        <v>2638</v>
      </c>
      <c r="T2000" s="17" t="s">
        <v>800</v>
      </c>
      <c r="U2000" s="18" t="s">
        <v>5254</v>
      </c>
      <c r="V2000" s="17" t="s">
        <v>9418</v>
      </c>
      <c r="W2000" s="18" t="s">
        <v>5312</v>
      </c>
      <c r="X2000" s="69" t="s">
        <v>9453</v>
      </c>
      <c r="Y2000" s="70" t="s">
        <v>9465</v>
      </c>
      <c r="Z2000" s="73" t="s">
        <v>9486</v>
      </c>
      <c r="AA2000" s="74" t="s">
        <v>9504</v>
      </c>
      <c r="AB2000" s="73" t="s">
        <v>9486</v>
      </c>
      <c r="AC2000" s="74" t="s">
        <v>9566</v>
      </c>
      <c r="AD2000" s="73" t="s">
        <v>9578</v>
      </c>
      <c r="AE2000" s="74" t="s">
        <v>9579</v>
      </c>
    </row>
    <row r="2001" spans="1:31" ht="8.65" customHeight="1" x14ac:dyDescent="0.2">
      <c r="A2001" s="76">
        <v>2001</v>
      </c>
      <c r="B2001" s="67" t="str">
        <f>MID(C2001, FIND("Ifc.", C2001) + 4, 4) &amp; "_" &amp; TEXT(COUNTIF($C$2:C2001, C2001),"0000")</f>
        <v>Prop_2000</v>
      </c>
      <c r="C2001" s="24" t="s">
        <v>872</v>
      </c>
      <c r="D2001" s="69" t="s">
        <v>9453</v>
      </c>
      <c r="E2001" s="70" t="s">
        <v>9454</v>
      </c>
      <c r="F2001" s="17" t="s">
        <v>806</v>
      </c>
      <c r="G2001" s="22" t="s">
        <v>2178</v>
      </c>
      <c r="H2001" s="12" t="s">
        <v>9703</v>
      </c>
      <c r="I2001" s="13" t="s">
        <v>6662</v>
      </c>
      <c r="J2001" s="14" t="s">
        <v>798</v>
      </c>
      <c r="K2001" s="15" t="s">
        <v>798</v>
      </c>
      <c r="L2001" s="12" t="s">
        <v>5315</v>
      </c>
      <c r="M2001" s="13" t="s">
        <v>5504</v>
      </c>
      <c r="N2001" s="12" t="s">
        <v>803</v>
      </c>
      <c r="O2001" s="13" t="s">
        <v>5117</v>
      </c>
      <c r="P2001" s="17" t="s">
        <v>802</v>
      </c>
      <c r="Q2001" s="21" t="s">
        <v>7743</v>
      </c>
      <c r="R2001" s="17" t="s">
        <v>801</v>
      </c>
      <c r="S2001" s="18" t="s">
        <v>2589</v>
      </c>
      <c r="T2001" s="17" t="s">
        <v>800</v>
      </c>
      <c r="U2001" s="18" t="s">
        <v>5258</v>
      </c>
      <c r="V2001" s="17" t="s">
        <v>9418</v>
      </c>
      <c r="W2001" s="18" t="s">
        <v>5309</v>
      </c>
      <c r="X2001" s="69" t="s">
        <v>9453</v>
      </c>
      <c r="Y2001" s="70" t="s">
        <v>9462</v>
      </c>
      <c r="Z2001" s="73" t="s">
        <v>9486</v>
      </c>
      <c r="AA2001" s="74" t="s">
        <v>9504</v>
      </c>
      <c r="AB2001" s="73" t="s">
        <v>9486</v>
      </c>
      <c r="AC2001" s="74" t="s">
        <v>9566</v>
      </c>
      <c r="AD2001" s="73" t="s">
        <v>9578</v>
      </c>
      <c r="AE2001" s="74" t="s">
        <v>9579</v>
      </c>
    </row>
    <row r="2002" spans="1:31" ht="8.65" customHeight="1" x14ac:dyDescent="0.2">
      <c r="A2002" s="76">
        <v>2002</v>
      </c>
      <c r="B2002" s="67" t="str">
        <f>MID(C2002, FIND("Ifc.", C2002) + 4, 4) &amp; "_" &amp; TEXT(COUNTIF($C$2:C2002, C2002),"0000")</f>
        <v>Prop_2001</v>
      </c>
      <c r="C2002" s="24" t="s">
        <v>872</v>
      </c>
      <c r="D2002" s="69" t="s">
        <v>9453</v>
      </c>
      <c r="E2002" s="70" t="s">
        <v>9454</v>
      </c>
      <c r="F2002" s="17" t="s">
        <v>806</v>
      </c>
      <c r="G2002" s="22" t="s">
        <v>2179</v>
      </c>
      <c r="H2002" s="12" t="s">
        <v>9703</v>
      </c>
      <c r="I2002" s="13" t="s">
        <v>6663</v>
      </c>
      <c r="J2002" s="14" t="s">
        <v>798</v>
      </c>
      <c r="K2002" s="15" t="s">
        <v>798</v>
      </c>
      <c r="L2002" s="12" t="s">
        <v>5315</v>
      </c>
      <c r="M2002" s="13" t="s">
        <v>5504</v>
      </c>
      <c r="N2002" s="12" t="s">
        <v>803</v>
      </c>
      <c r="O2002" s="13" t="s">
        <v>5117</v>
      </c>
      <c r="P2002" s="17" t="s">
        <v>802</v>
      </c>
      <c r="Q2002" s="21" t="s">
        <v>7743</v>
      </c>
      <c r="R2002" s="17" t="s">
        <v>801</v>
      </c>
      <c r="S2002" s="18" t="s">
        <v>2589</v>
      </c>
      <c r="T2002" s="17" t="s">
        <v>800</v>
      </c>
      <c r="U2002" s="18" t="s">
        <v>5258</v>
      </c>
      <c r="V2002" s="17" t="s">
        <v>9418</v>
      </c>
      <c r="W2002" s="18" t="s">
        <v>5309</v>
      </c>
      <c r="X2002" s="69" t="s">
        <v>9453</v>
      </c>
      <c r="Y2002" s="70" t="s">
        <v>9462</v>
      </c>
      <c r="Z2002" s="73" t="s">
        <v>9486</v>
      </c>
      <c r="AA2002" s="74" t="s">
        <v>9504</v>
      </c>
      <c r="AB2002" s="73" t="s">
        <v>9486</v>
      </c>
      <c r="AC2002" s="74" t="s">
        <v>9566</v>
      </c>
      <c r="AD2002" s="73" t="s">
        <v>9578</v>
      </c>
      <c r="AE2002" s="74" t="s">
        <v>9579</v>
      </c>
    </row>
    <row r="2003" spans="1:31" ht="8.65" customHeight="1" x14ac:dyDescent="0.2">
      <c r="A2003" s="76">
        <v>2003</v>
      </c>
      <c r="B2003" s="67" t="str">
        <f>MID(C2003, FIND("Ifc.", C2003) + 4, 4) &amp; "_" &amp; TEXT(COUNTIF($C$2:C2003, C2003),"0000")</f>
        <v>Prop_2002</v>
      </c>
      <c r="C2003" s="24" t="s">
        <v>872</v>
      </c>
      <c r="D2003" s="69" t="s">
        <v>9453</v>
      </c>
      <c r="E2003" s="70" t="s">
        <v>9454</v>
      </c>
      <c r="F2003" s="17" t="s">
        <v>806</v>
      </c>
      <c r="G2003" s="22" t="s">
        <v>2084</v>
      </c>
      <c r="H2003" s="12" t="s">
        <v>9703</v>
      </c>
      <c r="I2003" s="13" t="s">
        <v>7208</v>
      </c>
      <c r="J2003" s="14" t="s">
        <v>798</v>
      </c>
      <c r="K2003" s="15" t="s">
        <v>798</v>
      </c>
      <c r="L2003" s="12" t="s">
        <v>5315</v>
      </c>
      <c r="M2003" s="13" t="s">
        <v>5487</v>
      </c>
      <c r="N2003" s="12" t="s">
        <v>803</v>
      </c>
      <c r="O2003" s="13" t="s">
        <v>5095</v>
      </c>
      <c r="P2003" s="17" t="s">
        <v>802</v>
      </c>
      <c r="Q2003" s="21" t="s">
        <v>7687</v>
      </c>
      <c r="R2003" s="17" t="s">
        <v>801</v>
      </c>
      <c r="S2003" s="18" t="s">
        <v>2554</v>
      </c>
      <c r="T2003" s="17" t="s">
        <v>800</v>
      </c>
      <c r="U2003" s="18" t="s">
        <v>5233</v>
      </c>
      <c r="V2003" s="17" t="s">
        <v>9418</v>
      </c>
      <c r="W2003" s="18" t="s">
        <v>5309</v>
      </c>
      <c r="X2003" s="69" t="s">
        <v>9453</v>
      </c>
      <c r="Y2003" s="70" t="s">
        <v>9462</v>
      </c>
      <c r="Z2003" s="73" t="s">
        <v>9486</v>
      </c>
      <c r="AA2003" s="74" t="s">
        <v>9504</v>
      </c>
      <c r="AB2003" s="73" t="s">
        <v>9486</v>
      </c>
      <c r="AC2003" s="74" t="s">
        <v>9562</v>
      </c>
      <c r="AD2003" s="73" t="s">
        <v>9578</v>
      </c>
      <c r="AE2003" s="74" t="s">
        <v>9579</v>
      </c>
    </row>
    <row r="2004" spans="1:31" ht="8.65" customHeight="1" x14ac:dyDescent="0.2">
      <c r="A2004" s="76">
        <v>2004</v>
      </c>
      <c r="B2004" s="67" t="str">
        <f>MID(C2004, FIND("Ifc.", C2004) + 4, 4) &amp; "_" &amp; TEXT(COUNTIF($C$2:C2004, C2004),"0000")</f>
        <v>Prop_2003</v>
      </c>
      <c r="C2004" s="24" t="s">
        <v>872</v>
      </c>
      <c r="D2004" s="69" t="s">
        <v>9453</v>
      </c>
      <c r="E2004" s="70" t="s">
        <v>9454</v>
      </c>
      <c r="F2004" s="17" t="s">
        <v>806</v>
      </c>
      <c r="G2004" s="22" t="s">
        <v>2504</v>
      </c>
      <c r="H2004" s="12" t="s">
        <v>9703</v>
      </c>
      <c r="I2004" s="13" t="s">
        <v>6825</v>
      </c>
      <c r="J2004" s="14" t="s">
        <v>798</v>
      </c>
      <c r="K2004" s="15" t="s">
        <v>798</v>
      </c>
      <c r="L2004" s="12" t="s">
        <v>5315</v>
      </c>
      <c r="M2004" s="13" t="s">
        <v>5577</v>
      </c>
      <c r="N2004" s="12" t="s">
        <v>803</v>
      </c>
      <c r="O2004" s="13" t="s">
        <v>5222</v>
      </c>
      <c r="P2004" s="17" t="s">
        <v>802</v>
      </c>
      <c r="Q2004" s="21" t="s">
        <v>7905</v>
      </c>
      <c r="R2004" s="17" t="s">
        <v>801</v>
      </c>
      <c r="S2004" s="18" t="s">
        <v>2619</v>
      </c>
      <c r="T2004" s="17" t="s">
        <v>800</v>
      </c>
      <c r="U2004" s="18" t="s">
        <v>5239</v>
      </c>
      <c r="V2004" s="17" t="s">
        <v>9418</v>
      </c>
      <c r="W2004" s="18" t="s">
        <v>5309</v>
      </c>
      <c r="X2004" s="69" t="s">
        <v>9453</v>
      </c>
      <c r="Y2004" s="70" t="s">
        <v>9462</v>
      </c>
      <c r="Z2004" s="73" t="s">
        <v>9486</v>
      </c>
      <c r="AA2004" s="74" t="s">
        <v>9504</v>
      </c>
      <c r="AB2004" s="73" t="s">
        <v>9486</v>
      </c>
      <c r="AC2004" s="74" t="s">
        <v>9566</v>
      </c>
      <c r="AD2004" s="73" t="s">
        <v>9578</v>
      </c>
      <c r="AE2004" s="74" t="s">
        <v>9579</v>
      </c>
    </row>
    <row r="2005" spans="1:31" ht="8.65" customHeight="1" x14ac:dyDescent="0.2">
      <c r="A2005" s="76">
        <v>2005</v>
      </c>
      <c r="B2005" s="67" t="str">
        <f>MID(C2005, FIND("Ifc.", C2005) + 4, 4) &amp; "_" &amp; TEXT(COUNTIF($C$2:C2005, C2005),"0000")</f>
        <v>Prop_2004</v>
      </c>
      <c r="C2005" s="24" t="s">
        <v>872</v>
      </c>
      <c r="D2005" s="69" t="s">
        <v>9453</v>
      </c>
      <c r="E2005" s="70" t="s">
        <v>9454</v>
      </c>
      <c r="F2005" s="17" t="s">
        <v>806</v>
      </c>
      <c r="G2005" s="22" t="s">
        <v>1118</v>
      </c>
      <c r="H2005" s="12" t="s">
        <v>9703</v>
      </c>
      <c r="I2005" s="13" t="s">
        <v>7157</v>
      </c>
      <c r="J2005" s="14" t="s">
        <v>798</v>
      </c>
      <c r="K2005" s="15" t="s">
        <v>798</v>
      </c>
      <c r="L2005" s="12" t="s">
        <v>5315</v>
      </c>
      <c r="M2005" s="13" t="s">
        <v>5392</v>
      </c>
      <c r="N2005" s="12" t="s">
        <v>803</v>
      </c>
      <c r="O2005" s="13" t="s">
        <v>4858</v>
      </c>
      <c r="P2005" s="17" t="s">
        <v>802</v>
      </c>
      <c r="Q2005" s="21" t="s">
        <v>7798</v>
      </c>
      <c r="R2005" s="17" t="s">
        <v>801</v>
      </c>
      <c r="S2005" s="18" t="s">
        <v>2619</v>
      </c>
      <c r="T2005" s="17" t="s">
        <v>800</v>
      </c>
      <c r="U2005" s="18" t="s">
        <v>5239</v>
      </c>
      <c r="V2005" s="17" t="s">
        <v>9418</v>
      </c>
      <c r="W2005" s="18" t="s">
        <v>5309</v>
      </c>
      <c r="X2005" s="69" t="s">
        <v>9453</v>
      </c>
      <c r="Y2005" s="70" t="s">
        <v>9462</v>
      </c>
      <c r="Z2005" s="73" t="s">
        <v>9486</v>
      </c>
      <c r="AA2005" s="74" t="s">
        <v>9504</v>
      </c>
      <c r="AB2005" s="73" t="s">
        <v>9486</v>
      </c>
      <c r="AC2005" s="74" t="s">
        <v>9566</v>
      </c>
      <c r="AD2005" s="73" t="s">
        <v>9578</v>
      </c>
      <c r="AE2005" s="74" t="s">
        <v>9579</v>
      </c>
    </row>
    <row r="2006" spans="1:31" ht="8.65" customHeight="1" x14ac:dyDescent="0.2">
      <c r="A2006" s="76">
        <v>2006</v>
      </c>
      <c r="B2006" s="67" t="str">
        <f>MID(C2006, FIND("Ifc.", C2006) + 4, 4) &amp; "_" &amp; TEXT(COUNTIF($C$2:C2006, C2006),"0000")</f>
        <v>Prop_2005</v>
      </c>
      <c r="C2006" s="24" t="s">
        <v>872</v>
      </c>
      <c r="D2006" s="69" t="s">
        <v>9453</v>
      </c>
      <c r="E2006" s="70" t="s">
        <v>9454</v>
      </c>
      <c r="F2006" s="17" t="s">
        <v>806</v>
      </c>
      <c r="G2006" s="22" t="s">
        <v>2127</v>
      </c>
      <c r="H2006" s="12" t="s">
        <v>9703</v>
      </c>
      <c r="I2006" s="13" t="s">
        <v>7139</v>
      </c>
      <c r="J2006" s="14" t="s">
        <v>798</v>
      </c>
      <c r="K2006" s="15" t="s">
        <v>798</v>
      </c>
      <c r="L2006" s="12" t="s">
        <v>5315</v>
      </c>
      <c r="M2006" s="13" t="s">
        <v>5495</v>
      </c>
      <c r="N2006" s="12" t="s">
        <v>803</v>
      </c>
      <c r="O2006" s="13" t="s">
        <v>5109</v>
      </c>
      <c r="P2006" s="17" t="s">
        <v>802</v>
      </c>
      <c r="Q2006" s="21" t="s">
        <v>8039</v>
      </c>
      <c r="R2006" s="17" t="s">
        <v>801</v>
      </c>
      <c r="S2006" s="18" t="s">
        <v>2638</v>
      </c>
      <c r="T2006" s="17" t="s">
        <v>800</v>
      </c>
      <c r="U2006" s="18" t="s">
        <v>5254</v>
      </c>
      <c r="V2006" s="17" t="s">
        <v>9418</v>
      </c>
      <c r="W2006" s="18" t="s">
        <v>5312</v>
      </c>
      <c r="X2006" s="69" t="s">
        <v>9453</v>
      </c>
      <c r="Y2006" s="70" t="s">
        <v>9465</v>
      </c>
      <c r="Z2006" s="73" t="s">
        <v>9486</v>
      </c>
      <c r="AA2006" s="74" t="s">
        <v>9504</v>
      </c>
      <c r="AB2006" s="73" t="s">
        <v>9486</v>
      </c>
      <c r="AC2006" s="74" t="s">
        <v>9566</v>
      </c>
      <c r="AD2006" s="73" t="s">
        <v>9578</v>
      </c>
      <c r="AE2006" s="74" t="s">
        <v>9579</v>
      </c>
    </row>
    <row r="2007" spans="1:31" ht="8.65" customHeight="1" x14ac:dyDescent="0.2">
      <c r="A2007" s="76">
        <v>2007</v>
      </c>
      <c r="B2007" s="67" t="str">
        <f>MID(C2007, FIND("Ifc.", C2007) + 4, 4) &amp; "_" &amp; TEXT(COUNTIF($C$2:C2007, C2007),"0000")</f>
        <v>Prop_2006</v>
      </c>
      <c r="C2007" s="24" t="s">
        <v>872</v>
      </c>
      <c r="D2007" s="69" t="s">
        <v>9453</v>
      </c>
      <c r="E2007" s="70" t="s">
        <v>9454</v>
      </c>
      <c r="F2007" s="17" t="s">
        <v>806</v>
      </c>
      <c r="G2007" s="22" t="s">
        <v>1980</v>
      </c>
      <c r="H2007" s="12" t="s">
        <v>9703</v>
      </c>
      <c r="I2007" s="13" t="s">
        <v>7494</v>
      </c>
      <c r="J2007" s="14" t="s">
        <v>798</v>
      </c>
      <c r="K2007" s="15" t="s">
        <v>798</v>
      </c>
      <c r="L2007" s="12" t="s">
        <v>5315</v>
      </c>
      <c r="M2007" s="13" t="s">
        <v>5970</v>
      </c>
      <c r="N2007" s="12" t="s">
        <v>803</v>
      </c>
      <c r="O2007" s="13" t="s">
        <v>5076</v>
      </c>
      <c r="P2007" s="17" t="s">
        <v>802</v>
      </c>
      <c r="Q2007" s="21" t="s">
        <v>7962</v>
      </c>
      <c r="R2007" s="17" t="s">
        <v>801</v>
      </c>
      <c r="S2007" s="18" t="s">
        <v>2560</v>
      </c>
      <c r="T2007" s="17" t="s">
        <v>800</v>
      </c>
      <c r="U2007" s="18" t="s">
        <v>5236</v>
      </c>
      <c r="V2007" s="17" t="s">
        <v>9418</v>
      </c>
      <c r="W2007" s="18" t="s">
        <v>5309</v>
      </c>
      <c r="X2007" s="69" t="s">
        <v>9453</v>
      </c>
      <c r="Y2007" s="70" t="s">
        <v>9462</v>
      </c>
      <c r="Z2007" s="73" t="s">
        <v>9486</v>
      </c>
      <c r="AA2007" s="74" t="s">
        <v>9504</v>
      </c>
      <c r="AB2007" s="73" t="s">
        <v>9486</v>
      </c>
      <c r="AC2007" s="74" t="s">
        <v>9562</v>
      </c>
      <c r="AD2007" s="73" t="s">
        <v>9578</v>
      </c>
      <c r="AE2007" s="74" t="s">
        <v>9579</v>
      </c>
    </row>
    <row r="2008" spans="1:31" ht="8.65" customHeight="1" x14ac:dyDescent="0.2">
      <c r="A2008" s="76">
        <v>2008</v>
      </c>
      <c r="B2008" s="67" t="str">
        <f>MID(C2008, FIND("Ifc.", C2008) + 4, 4) &amp; "_" &amp; TEXT(COUNTIF($C$2:C2008, C2008),"0000")</f>
        <v>Prop_2007</v>
      </c>
      <c r="C2008" s="24" t="s">
        <v>872</v>
      </c>
      <c r="D2008" s="69" t="s">
        <v>9453</v>
      </c>
      <c r="E2008" s="70" t="s">
        <v>9454</v>
      </c>
      <c r="F2008" s="17" t="s">
        <v>806</v>
      </c>
      <c r="G2008" s="22" t="s">
        <v>2521</v>
      </c>
      <c r="H2008" s="12" t="s">
        <v>9703</v>
      </c>
      <c r="I2008" s="13" t="s">
        <v>7493</v>
      </c>
      <c r="J2008" s="14" t="s">
        <v>798</v>
      </c>
      <c r="K2008" s="15" t="s">
        <v>798</v>
      </c>
      <c r="L2008" s="12" t="s">
        <v>5315</v>
      </c>
      <c r="M2008" s="13" t="s">
        <v>5578</v>
      </c>
      <c r="N2008" s="12" t="s">
        <v>803</v>
      </c>
      <c r="O2008" s="13" t="s">
        <v>5224</v>
      </c>
      <c r="P2008" s="17" t="s">
        <v>802</v>
      </c>
      <c r="Q2008" s="21" t="s">
        <v>7677</v>
      </c>
      <c r="R2008" s="17" t="s">
        <v>801</v>
      </c>
      <c r="S2008" s="18" t="s">
        <v>2560</v>
      </c>
      <c r="T2008" s="17" t="s">
        <v>800</v>
      </c>
      <c r="U2008" s="18" t="s">
        <v>5236</v>
      </c>
      <c r="V2008" s="17" t="s">
        <v>9418</v>
      </c>
      <c r="W2008" s="18" t="s">
        <v>5309</v>
      </c>
      <c r="X2008" s="69" t="s">
        <v>9453</v>
      </c>
      <c r="Y2008" s="70" t="s">
        <v>9462</v>
      </c>
      <c r="Z2008" s="73" t="s">
        <v>9486</v>
      </c>
      <c r="AA2008" s="74" t="s">
        <v>9504</v>
      </c>
      <c r="AB2008" s="73" t="s">
        <v>9486</v>
      </c>
      <c r="AC2008" s="74" t="s">
        <v>9562</v>
      </c>
      <c r="AD2008" s="73" t="s">
        <v>9578</v>
      </c>
      <c r="AE2008" s="74" t="s">
        <v>9579</v>
      </c>
    </row>
    <row r="2009" spans="1:31" ht="8.65" customHeight="1" x14ac:dyDescent="0.2">
      <c r="A2009" s="76">
        <v>2009</v>
      </c>
      <c r="B2009" s="67" t="str">
        <f>MID(C2009, FIND("Ifc.", C2009) + 4, 4) &amp; "_" &amp; TEXT(COUNTIF($C$2:C2009, C2009),"0000")</f>
        <v>Prop_2008</v>
      </c>
      <c r="C2009" s="24" t="s">
        <v>872</v>
      </c>
      <c r="D2009" s="69" t="s">
        <v>9453</v>
      </c>
      <c r="E2009" s="70" t="s">
        <v>9454</v>
      </c>
      <c r="F2009" s="17" t="s">
        <v>806</v>
      </c>
      <c r="G2009" s="22" t="s">
        <v>2253</v>
      </c>
      <c r="H2009" s="12" t="s">
        <v>9703</v>
      </c>
      <c r="I2009" s="13" t="s">
        <v>7496</v>
      </c>
      <c r="J2009" s="14" t="s">
        <v>798</v>
      </c>
      <c r="K2009" s="15" t="s">
        <v>798</v>
      </c>
      <c r="L2009" s="12" t="s">
        <v>5315</v>
      </c>
      <c r="M2009" s="13" t="s">
        <v>5529</v>
      </c>
      <c r="N2009" s="12" t="s">
        <v>803</v>
      </c>
      <c r="O2009" s="13" t="s">
        <v>5144</v>
      </c>
      <c r="P2009" s="17" t="s">
        <v>802</v>
      </c>
      <c r="Q2009" s="21" t="s">
        <v>7749</v>
      </c>
      <c r="R2009" s="17" t="s">
        <v>801</v>
      </c>
      <c r="S2009" s="18" t="s">
        <v>2560</v>
      </c>
      <c r="T2009" s="17" t="s">
        <v>800</v>
      </c>
      <c r="U2009" s="18" t="s">
        <v>5236</v>
      </c>
      <c r="V2009" s="17" t="s">
        <v>9418</v>
      </c>
      <c r="W2009" s="18" t="s">
        <v>5309</v>
      </c>
      <c r="X2009" s="69" t="s">
        <v>9453</v>
      </c>
      <c r="Y2009" s="70" t="s">
        <v>9462</v>
      </c>
      <c r="Z2009" s="73" t="s">
        <v>9486</v>
      </c>
      <c r="AA2009" s="74" t="s">
        <v>9504</v>
      </c>
      <c r="AB2009" s="73" t="s">
        <v>9486</v>
      </c>
      <c r="AC2009" s="74" t="s">
        <v>9562</v>
      </c>
      <c r="AD2009" s="73" t="s">
        <v>9578</v>
      </c>
      <c r="AE2009" s="74" t="s">
        <v>9579</v>
      </c>
    </row>
    <row r="2010" spans="1:31" ht="8.65" customHeight="1" x14ac:dyDescent="0.2">
      <c r="A2010" s="76">
        <v>2010</v>
      </c>
      <c r="B2010" s="67" t="str">
        <f>MID(C2010, FIND("Ifc.", C2010) + 4, 4) &amp; "_" &amp; TEXT(COUNTIF($C$2:C2010, C2010),"0000")</f>
        <v>Prop_2009</v>
      </c>
      <c r="C2010" s="24" t="s">
        <v>872</v>
      </c>
      <c r="D2010" s="69" t="s">
        <v>9453</v>
      </c>
      <c r="E2010" s="70" t="s">
        <v>9454</v>
      </c>
      <c r="F2010" s="17" t="s">
        <v>806</v>
      </c>
      <c r="G2010" s="22" t="s">
        <v>2399</v>
      </c>
      <c r="H2010" s="12" t="s">
        <v>9703</v>
      </c>
      <c r="I2010" s="13" t="s">
        <v>7495</v>
      </c>
      <c r="J2010" s="14" t="s">
        <v>798</v>
      </c>
      <c r="K2010" s="15" t="s">
        <v>798</v>
      </c>
      <c r="L2010" s="12" t="s">
        <v>5315</v>
      </c>
      <c r="M2010" s="13" t="s">
        <v>5799</v>
      </c>
      <c r="N2010" s="12" t="s">
        <v>803</v>
      </c>
      <c r="O2010" s="13" t="s">
        <v>5192</v>
      </c>
      <c r="P2010" s="17" t="s">
        <v>802</v>
      </c>
      <c r="Q2010" s="21" t="s">
        <v>8073</v>
      </c>
      <c r="R2010" s="17" t="s">
        <v>801</v>
      </c>
      <c r="S2010" s="18" t="s">
        <v>2560</v>
      </c>
      <c r="T2010" s="17" t="s">
        <v>800</v>
      </c>
      <c r="U2010" s="18" t="s">
        <v>5236</v>
      </c>
      <c r="V2010" s="17" t="s">
        <v>9418</v>
      </c>
      <c r="W2010" s="18" t="s">
        <v>5309</v>
      </c>
      <c r="X2010" s="69" t="s">
        <v>9453</v>
      </c>
      <c r="Y2010" s="70" t="s">
        <v>9462</v>
      </c>
      <c r="Z2010" s="73" t="s">
        <v>9486</v>
      </c>
      <c r="AA2010" s="74" t="s">
        <v>9504</v>
      </c>
      <c r="AB2010" s="73" t="s">
        <v>9486</v>
      </c>
      <c r="AC2010" s="74" t="s">
        <v>9562</v>
      </c>
      <c r="AD2010" s="73" t="s">
        <v>9578</v>
      </c>
      <c r="AE2010" s="74" t="s">
        <v>9579</v>
      </c>
    </row>
    <row r="2011" spans="1:31" ht="8.65" customHeight="1" x14ac:dyDescent="0.2">
      <c r="A2011" s="76">
        <v>2011</v>
      </c>
      <c r="B2011" s="67" t="str">
        <f>MID(C2011, FIND("Ifc.", C2011) + 4, 4) &amp; "_" &amp; TEXT(COUNTIF($C$2:C2011, C2011),"0000")</f>
        <v>Prop_2010</v>
      </c>
      <c r="C2011" s="24" t="s">
        <v>872</v>
      </c>
      <c r="D2011" s="69" t="s">
        <v>9453</v>
      </c>
      <c r="E2011" s="70" t="s">
        <v>9454</v>
      </c>
      <c r="F2011" s="17" t="s">
        <v>806</v>
      </c>
      <c r="G2011" s="22" t="s">
        <v>1070</v>
      </c>
      <c r="H2011" s="12" t="s">
        <v>9703</v>
      </c>
      <c r="I2011" s="13" t="s">
        <v>7497</v>
      </c>
      <c r="J2011" s="14" t="s">
        <v>798</v>
      </c>
      <c r="K2011" s="15" t="s">
        <v>798</v>
      </c>
      <c r="L2011" s="12" t="s">
        <v>5315</v>
      </c>
      <c r="M2011" s="13" t="s">
        <v>5779</v>
      </c>
      <c r="N2011" s="12" t="s">
        <v>803</v>
      </c>
      <c r="O2011" s="13" t="s">
        <v>4846</v>
      </c>
      <c r="P2011" s="17" t="s">
        <v>802</v>
      </c>
      <c r="Q2011" s="21" t="s">
        <v>7936</v>
      </c>
      <c r="R2011" s="17" t="s">
        <v>801</v>
      </c>
      <c r="S2011" s="18" t="s">
        <v>2560</v>
      </c>
      <c r="T2011" s="17" t="s">
        <v>800</v>
      </c>
      <c r="U2011" s="18" t="s">
        <v>5236</v>
      </c>
      <c r="V2011" s="17" t="s">
        <v>9418</v>
      </c>
      <c r="W2011" s="18" t="s">
        <v>5309</v>
      </c>
      <c r="X2011" s="69" t="s">
        <v>9453</v>
      </c>
      <c r="Y2011" s="70" t="s">
        <v>9462</v>
      </c>
      <c r="Z2011" s="73" t="s">
        <v>9486</v>
      </c>
      <c r="AA2011" s="74" t="s">
        <v>9504</v>
      </c>
      <c r="AB2011" s="73" t="s">
        <v>9486</v>
      </c>
      <c r="AC2011" s="74" t="s">
        <v>9562</v>
      </c>
      <c r="AD2011" s="73" t="s">
        <v>9578</v>
      </c>
      <c r="AE2011" s="74" t="s">
        <v>9579</v>
      </c>
    </row>
    <row r="2012" spans="1:31" ht="8.65" customHeight="1" x14ac:dyDescent="0.2">
      <c r="A2012" s="76">
        <v>2012</v>
      </c>
      <c r="B2012" s="67" t="str">
        <f>MID(C2012, FIND("Ifc.", C2012) + 4, 4) &amp; "_" &amp; TEXT(COUNTIF($C$2:C2012, C2012),"0000")</f>
        <v>Prop_2011</v>
      </c>
      <c r="C2012" s="24" t="s">
        <v>872</v>
      </c>
      <c r="D2012" s="69" t="s">
        <v>9453</v>
      </c>
      <c r="E2012" s="70" t="s">
        <v>9454</v>
      </c>
      <c r="F2012" s="17" t="s">
        <v>806</v>
      </c>
      <c r="G2012" s="22" t="s">
        <v>1919</v>
      </c>
      <c r="H2012" s="12" t="s">
        <v>9703</v>
      </c>
      <c r="I2012" s="13" t="s">
        <v>7498</v>
      </c>
      <c r="J2012" s="14" t="s">
        <v>798</v>
      </c>
      <c r="K2012" s="15" t="s">
        <v>798</v>
      </c>
      <c r="L2012" s="12" t="s">
        <v>5315</v>
      </c>
      <c r="M2012" s="13" t="s">
        <v>5963</v>
      </c>
      <c r="N2012" s="12" t="s">
        <v>803</v>
      </c>
      <c r="O2012" s="13" t="s">
        <v>5058</v>
      </c>
      <c r="P2012" s="17" t="s">
        <v>802</v>
      </c>
      <c r="Q2012" s="21" t="s">
        <v>8077</v>
      </c>
      <c r="R2012" s="17" t="s">
        <v>801</v>
      </c>
      <c r="S2012" s="18" t="s">
        <v>2560</v>
      </c>
      <c r="T2012" s="17" t="s">
        <v>800</v>
      </c>
      <c r="U2012" s="18" t="s">
        <v>5236</v>
      </c>
      <c r="V2012" s="17" t="s">
        <v>9418</v>
      </c>
      <c r="W2012" s="18" t="s">
        <v>5309</v>
      </c>
      <c r="X2012" s="69" t="s">
        <v>9453</v>
      </c>
      <c r="Y2012" s="70" t="s">
        <v>9462</v>
      </c>
      <c r="Z2012" s="73" t="s">
        <v>9486</v>
      </c>
      <c r="AA2012" s="74" t="s">
        <v>9504</v>
      </c>
      <c r="AB2012" s="73" t="s">
        <v>9486</v>
      </c>
      <c r="AC2012" s="74" t="s">
        <v>9562</v>
      </c>
      <c r="AD2012" s="73" t="s">
        <v>9578</v>
      </c>
      <c r="AE2012" s="74" t="s">
        <v>9579</v>
      </c>
    </row>
    <row r="2013" spans="1:31" ht="8.65" customHeight="1" x14ac:dyDescent="0.2">
      <c r="A2013" s="76">
        <v>2013</v>
      </c>
      <c r="B2013" s="67" t="str">
        <f>MID(C2013, FIND("Ifc.", C2013) + 4, 4) &amp; "_" &amp; TEXT(COUNTIF($C$2:C2013, C2013),"0000")</f>
        <v>Prop_2012</v>
      </c>
      <c r="C2013" s="24" t="s">
        <v>872</v>
      </c>
      <c r="D2013" s="69" t="s">
        <v>9453</v>
      </c>
      <c r="E2013" s="70" t="s">
        <v>9454</v>
      </c>
      <c r="F2013" s="17" t="s">
        <v>806</v>
      </c>
      <c r="G2013" s="22" t="s">
        <v>1071</v>
      </c>
      <c r="H2013" s="12" t="s">
        <v>9703</v>
      </c>
      <c r="I2013" s="13" t="s">
        <v>7499</v>
      </c>
      <c r="J2013" s="14" t="s">
        <v>798</v>
      </c>
      <c r="K2013" s="15" t="s">
        <v>798</v>
      </c>
      <c r="L2013" s="12" t="s">
        <v>5315</v>
      </c>
      <c r="M2013" s="13" t="s">
        <v>5779</v>
      </c>
      <c r="N2013" s="12" t="s">
        <v>803</v>
      </c>
      <c r="O2013" s="13" t="s">
        <v>4846</v>
      </c>
      <c r="P2013" s="17" t="s">
        <v>802</v>
      </c>
      <c r="Q2013" s="21" t="s">
        <v>7936</v>
      </c>
      <c r="R2013" s="17" t="s">
        <v>801</v>
      </c>
      <c r="S2013" s="18" t="s">
        <v>2560</v>
      </c>
      <c r="T2013" s="17" t="s">
        <v>800</v>
      </c>
      <c r="U2013" s="18" t="s">
        <v>5236</v>
      </c>
      <c r="V2013" s="17" t="s">
        <v>9418</v>
      </c>
      <c r="W2013" s="18" t="s">
        <v>5309</v>
      </c>
      <c r="X2013" s="69" t="s">
        <v>9453</v>
      </c>
      <c r="Y2013" s="70" t="s">
        <v>9462</v>
      </c>
      <c r="Z2013" s="73" t="s">
        <v>9486</v>
      </c>
      <c r="AA2013" s="74" t="s">
        <v>9504</v>
      </c>
      <c r="AB2013" s="73" t="s">
        <v>9486</v>
      </c>
      <c r="AC2013" s="74" t="s">
        <v>9562</v>
      </c>
      <c r="AD2013" s="73" t="s">
        <v>9578</v>
      </c>
      <c r="AE2013" s="74" t="s">
        <v>9579</v>
      </c>
    </row>
    <row r="2014" spans="1:31" ht="8.65" customHeight="1" x14ac:dyDescent="0.2">
      <c r="A2014" s="76">
        <v>2014</v>
      </c>
      <c r="B2014" s="67" t="str">
        <f>MID(C2014, FIND("Ifc.", C2014) + 4, 4) &amp; "_" &amp; TEXT(COUNTIF($C$2:C2014, C2014),"0000")</f>
        <v>Prop_2013</v>
      </c>
      <c r="C2014" s="24" t="s">
        <v>872</v>
      </c>
      <c r="D2014" s="69" t="s">
        <v>9453</v>
      </c>
      <c r="E2014" s="70" t="s">
        <v>9454</v>
      </c>
      <c r="F2014" s="17" t="s">
        <v>806</v>
      </c>
      <c r="G2014" s="22" t="s">
        <v>1071</v>
      </c>
      <c r="H2014" s="12" t="s">
        <v>9703</v>
      </c>
      <c r="I2014" s="13" t="s">
        <v>7499</v>
      </c>
      <c r="J2014" s="14" t="s">
        <v>798</v>
      </c>
      <c r="K2014" s="15" t="s">
        <v>798</v>
      </c>
      <c r="L2014" s="12" t="s">
        <v>5315</v>
      </c>
      <c r="M2014" s="13" t="s">
        <v>5781</v>
      </c>
      <c r="N2014" s="12" t="s">
        <v>803</v>
      </c>
      <c r="O2014" s="13" t="s">
        <v>5180</v>
      </c>
      <c r="P2014" s="17" t="s">
        <v>802</v>
      </c>
      <c r="Q2014" s="21" t="s">
        <v>7699</v>
      </c>
      <c r="R2014" s="17" t="s">
        <v>801</v>
      </c>
      <c r="S2014" s="18" t="s">
        <v>2560</v>
      </c>
      <c r="T2014" s="17" t="s">
        <v>800</v>
      </c>
      <c r="U2014" s="18" t="s">
        <v>5236</v>
      </c>
      <c r="V2014" s="17" t="s">
        <v>9418</v>
      </c>
      <c r="W2014" s="18" t="s">
        <v>5309</v>
      </c>
      <c r="X2014" s="69" t="s">
        <v>9453</v>
      </c>
      <c r="Y2014" s="70" t="s">
        <v>9462</v>
      </c>
      <c r="Z2014" s="73" t="s">
        <v>9486</v>
      </c>
      <c r="AA2014" s="74" t="s">
        <v>9504</v>
      </c>
      <c r="AB2014" s="73" t="s">
        <v>9486</v>
      </c>
      <c r="AC2014" s="74" t="s">
        <v>9562</v>
      </c>
      <c r="AD2014" s="73" t="s">
        <v>9578</v>
      </c>
      <c r="AE2014" s="74" t="s">
        <v>9579</v>
      </c>
    </row>
    <row r="2015" spans="1:31" ht="8.65" customHeight="1" x14ac:dyDescent="0.2">
      <c r="A2015" s="76">
        <v>2015</v>
      </c>
      <c r="B2015" s="67" t="str">
        <f>MID(C2015, FIND("Ifc.", C2015) + 4, 4) &amp; "_" &amp; TEXT(COUNTIF($C$2:C2015, C2015),"0000")</f>
        <v>Prop_2014</v>
      </c>
      <c r="C2015" s="24" t="s">
        <v>872</v>
      </c>
      <c r="D2015" s="69" t="s">
        <v>9453</v>
      </c>
      <c r="E2015" s="70" t="s">
        <v>9454</v>
      </c>
      <c r="F2015" s="17" t="s">
        <v>806</v>
      </c>
      <c r="G2015" s="22" t="s">
        <v>1324</v>
      </c>
      <c r="H2015" s="12" t="s">
        <v>9703</v>
      </c>
      <c r="I2015" s="13" t="s">
        <v>7500</v>
      </c>
      <c r="J2015" s="14" t="s">
        <v>798</v>
      </c>
      <c r="K2015" s="15" t="s">
        <v>798</v>
      </c>
      <c r="L2015" s="12" t="s">
        <v>5315</v>
      </c>
      <c r="M2015" s="13" t="s">
        <v>5410</v>
      </c>
      <c r="N2015" s="12" t="s">
        <v>803</v>
      </c>
      <c r="O2015" s="13" t="s">
        <v>4908</v>
      </c>
      <c r="P2015" s="17" t="s">
        <v>802</v>
      </c>
      <c r="Q2015" s="21" t="s">
        <v>7823</v>
      </c>
      <c r="R2015" s="17" t="s">
        <v>801</v>
      </c>
      <c r="S2015" s="18" t="s">
        <v>2560</v>
      </c>
      <c r="T2015" s="17" t="s">
        <v>800</v>
      </c>
      <c r="U2015" s="18" t="s">
        <v>5236</v>
      </c>
      <c r="V2015" s="17" t="s">
        <v>9418</v>
      </c>
      <c r="W2015" s="18" t="s">
        <v>5309</v>
      </c>
      <c r="X2015" s="69" t="s">
        <v>9453</v>
      </c>
      <c r="Y2015" s="70" t="s">
        <v>9462</v>
      </c>
      <c r="Z2015" s="73" t="s">
        <v>9486</v>
      </c>
      <c r="AA2015" s="74" t="s">
        <v>9504</v>
      </c>
      <c r="AB2015" s="73" t="s">
        <v>9486</v>
      </c>
      <c r="AC2015" s="74" t="s">
        <v>9562</v>
      </c>
      <c r="AD2015" s="73" t="s">
        <v>9578</v>
      </c>
      <c r="AE2015" s="74" t="s">
        <v>9579</v>
      </c>
    </row>
    <row r="2016" spans="1:31" ht="8.65" customHeight="1" x14ac:dyDescent="0.2">
      <c r="A2016" s="76">
        <v>2016</v>
      </c>
      <c r="B2016" s="67" t="str">
        <f>MID(C2016, FIND("Ifc.", C2016) + 4, 4) &amp; "_" &amp; TEXT(COUNTIF($C$2:C2016, C2016),"0000")</f>
        <v>Prop_2015</v>
      </c>
      <c r="C2016" s="24" t="s">
        <v>872</v>
      </c>
      <c r="D2016" s="69" t="s">
        <v>9453</v>
      </c>
      <c r="E2016" s="70" t="s">
        <v>9454</v>
      </c>
      <c r="F2016" s="17" t="s">
        <v>806</v>
      </c>
      <c r="G2016" s="22" t="s">
        <v>1324</v>
      </c>
      <c r="H2016" s="12" t="s">
        <v>9703</v>
      </c>
      <c r="I2016" s="13" t="s">
        <v>7500</v>
      </c>
      <c r="J2016" s="14" t="s">
        <v>798</v>
      </c>
      <c r="K2016" s="15" t="s">
        <v>798</v>
      </c>
      <c r="L2016" s="12" t="s">
        <v>5315</v>
      </c>
      <c r="M2016" s="13" t="s">
        <v>5509</v>
      </c>
      <c r="N2016" s="12" t="s">
        <v>803</v>
      </c>
      <c r="O2016" s="13" t="s">
        <v>5122</v>
      </c>
      <c r="P2016" s="17" t="s">
        <v>802</v>
      </c>
      <c r="Q2016" s="21" t="s">
        <v>7780</v>
      </c>
      <c r="R2016" s="17" t="s">
        <v>801</v>
      </c>
      <c r="S2016" s="18" t="s">
        <v>2560</v>
      </c>
      <c r="T2016" s="17" t="s">
        <v>800</v>
      </c>
      <c r="U2016" s="18" t="s">
        <v>5236</v>
      </c>
      <c r="V2016" s="17" t="s">
        <v>9418</v>
      </c>
      <c r="W2016" s="18" t="s">
        <v>5309</v>
      </c>
      <c r="X2016" s="69" t="s">
        <v>9453</v>
      </c>
      <c r="Y2016" s="70" t="s">
        <v>9462</v>
      </c>
      <c r="Z2016" s="73" t="s">
        <v>9486</v>
      </c>
      <c r="AA2016" s="74" t="s">
        <v>9504</v>
      </c>
      <c r="AB2016" s="73" t="s">
        <v>9486</v>
      </c>
      <c r="AC2016" s="74" t="s">
        <v>9562</v>
      </c>
      <c r="AD2016" s="73" t="s">
        <v>9578</v>
      </c>
      <c r="AE2016" s="74" t="s">
        <v>9579</v>
      </c>
    </row>
    <row r="2017" spans="1:31" ht="8.65" customHeight="1" x14ac:dyDescent="0.2">
      <c r="A2017" s="76">
        <v>2017</v>
      </c>
      <c r="B2017" s="67" t="str">
        <f>MID(C2017, FIND("Ifc.", C2017) + 4, 4) &amp; "_" &amp; TEXT(COUNTIF($C$2:C2017, C2017),"0000")</f>
        <v>Prop_2016</v>
      </c>
      <c r="C2017" s="24" t="s">
        <v>872</v>
      </c>
      <c r="D2017" s="69" t="s">
        <v>9453</v>
      </c>
      <c r="E2017" s="70" t="s">
        <v>9454</v>
      </c>
      <c r="F2017" s="17" t="s">
        <v>806</v>
      </c>
      <c r="G2017" s="22" t="s">
        <v>2401</v>
      </c>
      <c r="H2017" s="12" t="s">
        <v>9703</v>
      </c>
      <c r="I2017" s="13" t="s">
        <v>7501</v>
      </c>
      <c r="J2017" s="14" t="s">
        <v>798</v>
      </c>
      <c r="K2017" s="15" t="s">
        <v>798</v>
      </c>
      <c r="L2017" s="12" t="s">
        <v>5315</v>
      </c>
      <c r="M2017" s="13" t="s">
        <v>5801</v>
      </c>
      <c r="N2017" s="12" t="s">
        <v>803</v>
      </c>
      <c r="O2017" s="13" t="s">
        <v>5194</v>
      </c>
      <c r="P2017" s="17" t="s">
        <v>802</v>
      </c>
      <c r="Q2017" s="21" t="s">
        <v>7923</v>
      </c>
      <c r="R2017" s="17" t="s">
        <v>801</v>
      </c>
      <c r="S2017" s="18" t="s">
        <v>2560</v>
      </c>
      <c r="T2017" s="17" t="s">
        <v>800</v>
      </c>
      <c r="U2017" s="18" t="s">
        <v>5236</v>
      </c>
      <c r="V2017" s="17" t="s">
        <v>9418</v>
      </c>
      <c r="W2017" s="18" t="s">
        <v>5309</v>
      </c>
      <c r="X2017" s="69" t="s">
        <v>9453</v>
      </c>
      <c r="Y2017" s="70" t="s">
        <v>9462</v>
      </c>
      <c r="Z2017" s="73" t="s">
        <v>9486</v>
      </c>
      <c r="AA2017" s="74" t="s">
        <v>9504</v>
      </c>
      <c r="AB2017" s="73" t="s">
        <v>9486</v>
      </c>
      <c r="AC2017" s="74" t="s">
        <v>9562</v>
      </c>
      <c r="AD2017" s="73" t="s">
        <v>9578</v>
      </c>
      <c r="AE2017" s="74" t="s">
        <v>9579</v>
      </c>
    </row>
    <row r="2018" spans="1:31" ht="8.65" customHeight="1" x14ac:dyDescent="0.2">
      <c r="A2018" s="76">
        <v>2018</v>
      </c>
      <c r="B2018" s="67" t="str">
        <f>MID(C2018, FIND("Ifc.", C2018) + 4, 4) &amp; "_" &amp; TEXT(COUNTIF($C$2:C2018, C2018),"0000")</f>
        <v>Prop_2017</v>
      </c>
      <c r="C2018" s="24" t="s">
        <v>872</v>
      </c>
      <c r="D2018" s="69" t="s">
        <v>9453</v>
      </c>
      <c r="E2018" s="70" t="s">
        <v>9454</v>
      </c>
      <c r="F2018" s="17" t="s">
        <v>806</v>
      </c>
      <c r="G2018" s="22" t="s">
        <v>1152</v>
      </c>
      <c r="H2018" s="12" t="s">
        <v>9703</v>
      </c>
      <c r="I2018" s="13" t="s">
        <v>7502</v>
      </c>
      <c r="J2018" s="14" t="s">
        <v>798</v>
      </c>
      <c r="K2018" s="15" t="s">
        <v>798</v>
      </c>
      <c r="L2018" s="12" t="s">
        <v>5315</v>
      </c>
      <c r="M2018" s="13" t="s">
        <v>6043</v>
      </c>
      <c r="N2018" s="12" t="s">
        <v>803</v>
      </c>
      <c r="O2018" s="13" t="s">
        <v>4867</v>
      </c>
      <c r="P2018" s="17" t="s">
        <v>802</v>
      </c>
      <c r="Q2018" s="21" t="s">
        <v>7932</v>
      </c>
      <c r="R2018" s="17" t="s">
        <v>801</v>
      </c>
      <c r="S2018" s="18" t="s">
        <v>2560</v>
      </c>
      <c r="T2018" s="17" t="s">
        <v>800</v>
      </c>
      <c r="U2018" s="18" t="s">
        <v>5236</v>
      </c>
      <c r="V2018" s="17" t="s">
        <v>9418</v>
      </c>
      <c r="W2018" s="18" t="s">
        <v>5309</v>
      </c>
      <c r="X2018" s="69" t="s">
        <v>9453</v>
      </c>
      <c r="Y2018" s="70" t="s">
        <v>9462</v>
      </c>
      <c r="Z2018" s="73" t="s">
        <v>9486</v>
      </c>
      <c r="AA2018" s="74" t="s">
        <v>9504</v>
      </c>
      <c r="AB2018" s="73" t="s">
        <v>9486</v>
      </c>
      <c r="AC2018" s="74" t="s">
        <v>9562</v>
      </c>
      <c r="AD2018" s="73" t="s">
        <v>9578</v>
      </c>
      <c r="AE2018" s="74" t="s">
        <v>9579</v>
      </c>
    </row>
    <row r="2019" spans="1:31" ht="8.65" customHeight="1" x14ac:dyDescent="0.2">
      <c r="A2019" s="76">
        <v>2019</v>
      </c>
      <c r="B2019" s="67" t="str">
        <f>MID(C2019, FIND("Ifc.", C2019) + 4, 4) &amp; "_" &amp; TEXT(COUNTIF($C$2:C2019, C2019),"0000")</f>
        <v>Prop_2018</v>
      </c>
      <c r="C2019" s="24" t="s">
        <v>872</v>
      </c>
      <c r="D2019" s="69" t="s">
        <v>9453</v>
      </c>
      <c r="E2019" s="70" t="s">
        <v>9454</v>
      </c>
      <c r="F2019" s="17" t="s">
        <v>806</v>
      </c>
      <c r="G2019" s="22" t="s">
        <v>2371</v>
      </c>
      <c r="H2019" s="12" t="s">
        <v>9703</v>
      </c>
      <c r="I2019" s="13" t="s">
        <v>7503</v>
      </c>
      <c r="J2019" s="14" t="s">
        <v>798</v>
      </c>
      <c r="K2019" s="15" t="s">
        <v>798</v>
      </c>
      <c r="L2019" s="12" t="s">
        <v>5315</v>
      </c>
      <c r="M2019" s="13" t="s">
        <v>5781</v>
      </c>
      <c r="N2019" s="12" t="s">
        <v>803</v>
      </c>
      <c r="O2019" s="13" t="s">
        <v>5180</v>
      </c>
      <c r="P2019" s="17" t="s">
        <v>802</v>
      </c>
      <c r="Q2019" s="21" t="s">
        <v>7699</v>
      </c>
      <c r="R2019" s="17" t="s">
        <v>801</v>
      </c>
      <c r="S2019" s="18" t="s">
        <v>2560</v>
      </c>
      <c r="T2019" s="17" t="s">
        <v>800</v>
      </c>
      <c r="U2019" s="18" t="s">
        <v>5236</v>
      </c>
      <c r="V2019" s="17" t="s">
        <v>9418</v>
      </c>
      <c r="W2019" s="18" t="s">
        <v>5309</v>
      </c>
      <c r="X2019" s="69" t="s">
        <v>9453</v>
      </c>
      <c r="Y2019" s="70" t="s">
        <v>9462</v>
      </c>
      <c r="Z2019" s="73" t="s">
        <v>9486</v>
      </c>
      <c r="AA2019" s="74" t="s">
        <v>9504</v>
      </c>
      <c r="AB2019" s="73" t="s">
        <v>9486</v>
      </c>
      <c r="AC2019" s="74" t="s">
        <v>9562</v>
      </c>
      <c r="AD2019" s="73" t="s">
        <v>9578</v>
      </c>
      <c r="AE2019" s="74" t="s">
        <v>9579</v>
      </c>
    </row>
    <row r="2020" spans="1:31" ht="8.65" customHeight="1" x14ac:dyDescent="0.2">
      <c r="A2020" s="76">
        <v>2020</v>
      </c>
      <c r="B2020" s="67" t="str">
        <f>MID(C2020, FIND("Ifc.", C2020) + 4, 4) &amp; "_" &amp; TEXT(COUNTIF($C$2:C2020, C2020),"0000")</f>
        <v>Prop_2019</v>
      </c>
      <c r="C2020" s="24" t="s">
        <v>872</v>
      </c>
      <c r="D2020" s="69" t="s">
        <v>9453</v>
      </c>
      <c r="E2020" s="70" t="s">
        <v>9454</v>
      </c>
      <c r="F2020" s="17" t="s">
        <v>806</v>
      </c>
      <c r="G2020" s="22" t="s">
        <v>2383</v>
      </c>
      <c r="H2020" s="12" t="s">
        <v>9703</v>
      </c>
      <c r="I2020" s="13" t="s">
        <v>7504</v>
      </c>
      <c r="J2020" s="14" t="s">
        <v>798</v>
      </c>
      <c r="K2020" s="15" t="s">
        <v>798</v>
      </c>
      <c r="L2020" s="12" t="s">
        <v>5315</v>
      </c>
      <c r="M2020" s="13" t="s">
        <v>5783</v>
      </c>
      <c r="N2020" s="12" t="s">
        <v>803</v>
      </c>
      <c r="O2020" s="13" t="s">
        <v>5181</v>
      </c>
      <c r="P2020" s="17" t="s">
        <v>802</v>
      </c>
      <c r="Q2020" s="21" t="s">
        <v>7751</v>
      </c>
      <c r="R2020" s="17" t="s">
        <v>801</v>
      </c>
      <c r="S2020" s="18" t="s">
        <v>2560</v>
      </c>
      <c r="T2020" s="17" t="s">
        <v>800</v>
      </c>
      <c r="U2020" s="18" t="s">
        <v>5236</v>
      </c>
      <c r="V2020" s="17" t="s">
        <v>9418</v>
      </c>
      <c r="W2020" s="18" t="s">
        <v>5309</v>
      </c>
      <c r="X2020" s="69" t="s">
        <v>9453</v>
      </c>
      <c r="Y2020" s="70" t="s">
        <v>9462</v>
      </c>
      <c r="Z2020" s="73" t="s">
        <v>9486</v>
      </c>
      <c r="AA2020" s="74" t="s">
        <v>9504</v>
      </c>
      <c r="AB2020" s="73" t="s">
        <v>9486</v>
      </c>
      <c r="AC2020" s="74" t="s">
        <v>9562</v>
      </c>
      <c r="AD2020" s="73" t="s">
        <v>9578</v>
      </c>
      <c r="AE2020" s="74" t="s">
        <v>9579</v>
      </c>
    </row>
    <row r="2021" spans="1:31" ht="8.65" customHeight="1" x14ac:dyDescent="0.2">
      <c r="A2021" s="76">
        <v>2021</v>
      </c>
      <c r="B2021" s="67" t="str">
        <f>MID(C2021, FIND("Ifc.", C2021) + 4, 4) &amp; "_" &amp; TEXT(COUNTIF($C$2:C2021, C2021),"0000")</f>
        <v>Prop_2020</v>
      </c>
      <c r="C2021" s="24" t="s">
        <v>872</v>
      </c>
      <c r="D2021" s="69" t="s">
        <v>9453</v>
      </c>
      <c r="E2021" s="70" t="s">
        <v>9454</v>
      </c>
      <c r="F2021" s="17" t="s">
        <v>806</v>
      </c>
      <c r="G2021" s="22" t="s">
        <v>2128</v>
      </c>
      <c r="H2021" s="12" t="s">
        <v>9703</v>
      </c>
      <c r="I2021" s="13" t="s">
        <v>7505</v>
      </c>
      <c r="J2021" s="14" t="s">
        <v>798</v>
      </c>
      <c r="K2021" s="15" t="s">
        <v>798</v>
      </c>
      <c r="L2021" s="12" t="s">
        <v>5315</v>
      </c>
      <c r="M2021" s="13" t="s">
        <v>5495</v>
      </c>
      <c r="N2021" s="12" t="s">
        <v>803</v>
      </c>
      <c r="O2021" s="13" t="s">
        <v>5109</v>
      </c>
      <c r="P2021" s="17" t="s">
        <v>802</v>
      </c>
      <c r="Q2021" s="21" t="s">
        <v>8039</v>
      </c>
      <c r="R2021" s="17" t="s">
        <v>801</v>
      </c>
      <c r="S2021" s="18" t="s">
        <v>2560</v>
      </c>
      <c r="T2021" s="17" t="s">
        <v>800</v>
      </c>
      <c r="U2021" s="18" t="s">
        <v>5236</v>
      </c>
      <c r="V2021" s="17" t="s">
        <v>9418</v>
      </c>
      <c r="W2021" s="18" t="s">
        <v>5309</v>
      </c>
      <c r="X2021" s="69" t="s">
        <v>9453</v>
      </c>
      <c r="Y2021" s="70" t="s">
        <v>9462</v>
      </c>
      <c r="Z2021" s="73" t="s">
        <v>9486</v>
      </c>
      <c r="AA2021" s="74" t="s">
        <v>9504</v>
      </c>
      <c r="AB2021" s="73" t="s">
        <v>9486</v>
      </c>
      <c r="AC2021" s="74" t="s">
        <v>9562</v>
      </c>
      <c r="AD2021" s="73" t="s">
        <v>9578</v>
      </c>
      <c r="AE2021" s="74" t="s">
        <v>9579</v>
      </c>
    </row>
    <row r="2022" spans="1:31" ht="8.65" customHeight="1" x14ac:dyDescent="0.2">
      <c r="A2022" s="76">
        <v>2022</v>
      </c>
      <c r="B2022" s="67" t="str">
        <f>MID(C2022, FIND("Ifc.", C2022) + 4, 4) &amp; "_" &amp; TEXT(COUNTIF($C$2:C2022, C2022),"0000")</f>
        <v>Prop_2021</v>
      </c>
      <c r="C2022" s="24" t="s">
        <v>872</v>
      </c>
      <c r="D2022" s="69" t="s">
        <v>9453</v>
      </c>
      <c r="E2022" s="70" t="s">
        <v>9454</v>
      </c>
      <c r="F2022" s="17" t="s">
        <v>806</v>
      </c>
      <c r="G2022" s="22" t="s">
        <v>1937</v>
      </c>
      <c r="H2022" s="12" t="s">
        <v>9703</v>
      </c>
      <c r="I2022" s="13" t="s">
        <v>7506</v>
      </c>
      <c r="J2022" s="14" t="s">
        <v>798</v>
      </c>
      <c r="K2022" s="15" t="s">
        <v>798</v>
      </c>
      <c r="L2022" s="12" t="s">
        <v>5315</v>
      </c>
      <c r="M2022" s="13" t="s">
        <v>5470</v>
      </c>
      <c r="N2022" s="12" t="s">
        <v>803</v>
      </c>
      <c r="O2022" s="13" t="s">
        <v>5062</v>
      </c>
      <c r="P2022" s="17" t="s">
        <v>802</v>
      </c>
      <c r="Q2022" s="21" t="s">
        <v>7849</v>
      </c>
      <c r="R2022" s="17" t="s">
        <v>801</v>
      </c>
      <c r="S2022" s="18" t="s">
        <v>2560</v>
      </c>
      <c r="T2022" s="17" t="s">
        <v>800</v>
      </c>
      <c r="U2022" s="18" t="s">
        <v>5236</v>
      </c>
      <c r="V2022" s="17" t="s">
        <v>9418</v>
      </c>
      <c r="W2022" s="18" t="s">
        <v>5309</v>
      </c>
      <c r="X2022" s="69" t="s">
        <v>9453</v>
      </c>
      <c r="Y2022" s="70" t="s">
        <v>9462</v>
      </c>
      <c r="Z2022" s="73" t="s">
        <v>9486</v>
      </c>
      <c r="AA2022" s="74" t="s">
        <v>9504</v>
      </c>
      <c r="AB2022" s="73" t="s">
        <v>9486</v>
      </c>
      <c r="AC2022" s="74" t="s">
        <v>9562</v>
      </c>
      <c r="AD2022" s="73" t="s">
        <v>9578</v>
      </c>
      <c r="AE2022" s="74" t="s">
        <v>9579</v>
      </c>
    </row>
    <row r="2023" spans="1:31" ht="8.65" customHeight="1" x14ac:dyDescent="0.2">
      <c r="A2023" s="76">
        <v>2023</v>
      </c>
      <c r="B2023" s="67" t="str">
        <f>MID(C2023, FIND("Ifc.", C2023) + 4, 4) &amp; "_" &amp; TEXT(COUNTIF($C$2:C2023, C2023),"0000")</f>
        <v>Prop_2022</v>
      </c>
      <c r="C2023" s="24" t="s">
        <v>872</v>
      </c>
      <c r="D2023" s="69" t="s">
        <v>9453</v>
      </c>
      <c r="E2023" s="70" t="s">
        <v>9454</v>
      </c>
      <c r="F2023" s="17" t="s">
        <v>806</v>
      </c>
      <c r="G2023" s="22" t="s">
        <v>2297</v>
      </c>
      <c r="H2023" s="12" t="s">
        <v>9703</v>
      </c>
      <c r="I2023" s="13" t="s">
        <v>7507</v>
      </c>
      <c r="J2023" s="14" t="s">
        <v>798</v>
      </c>
      <c r="K2023" s="15" t="s">
        <v>798</v>
      </c>
      <c r="L2023" s="12" t="s">
        <v>5315</v>
      </c>
      <c r="M2023" s="13" t="s">
        <v>5858</v>
      </c>
      <c r="N2023" s="12" t="s">
        <v>803</v>
      </c>
      <c r="O2023" s="13" t="s">
        <v>5163</v>
      </c>
      <c r="P2023" s="17" t="s">
        <v>802</v>
      </c>
      <c r="Q2023" s="21" t="s">
        <v>7858</v>
      </c>
      <c r="R2023" s="17" t="s">
        <v>801</v>
      </c>
      <c r="S2023" s="18" t="s">
        <v>2560</v>
      </c>
      <c r="T2023" s="17" t="s">
        <v>800</v>
      </c>
      <c r="U2023" s="18" t="s">
        <v>5236</v>
      </c>
      <c r="V2023" s="17" t="s">
        <v>9418</v>
      </c>
      <c r="W2023" s="18" t="s">
        <v>5309</v>
      </c>
      <c r="X2023" s="69" t="s">
        <v>9453</v>
      </c>
      <c r="Y2023" s="70" t="s">
        <v>9462</v>
      </c>
      <c r="Z2023" s="73" t="s">
        <v>9486</v>
      </c>
      <c r="AA2023" s="74" t="s">
        <v>9504</v>
      </c>
      <c r="AB2023" s="73" t="s">
        <v>9486</v>
      </c>
      <c r="AC2023" s="74" t="s">
        <v>9562</v>
      </c>
      <c r="AD2023" s="73" t="s">
        <v>9578</v>
      </c>
      <c r="AE2023" s="74" t="s">
        <v>9579</v>
      </c>
    </row>
    <row r="2024" spans="1:31" ht="8.65" customHeight="1" x14ac:dyDescent="0.2">
      <c r="A2024" s="76">
        <v>2024</v>
      </c>
      <c r="B2024" s="67" t="str">
        <f>MID(C2024, FIND("Ifc.", C2024) + 4, 4) &amp; "_" &amp; TEXT(COUNTIF($C$2:C2024, C2024),"0000")</f>
        <v>Prop_2023</v>
      </c>
      <c r="C2024" s="24" t="s">
        <v>872</v>
      </c>
      <c r="D2024" s="69" t="s">
        <v>9453</v>
      </c>
      <c r="E2024" s="70" t="s">
        <v>9454</v>
      </c>
      <c r="F2024" s="17" t="s">
        <v>806</v>
      </c>
      <c r="G2024" s="22" t="s">
        <v>2297</v>
      </c>
      <c r="H2024" s="12" t="s">
        <v>9703</v>
      </c>
      <c r="I2024" s="13" t="s">
        <v>7507</v>
      </c>
      <c r="J2024" s="14" t="s">
        <v>798</v>
      </c>
      <c r="K2024" s="15" t="s">
        <v>798</v>
      </c>
      <c r="L2024" s="12" t="s">
        <v>5315</v>
      </c>
      <c r="M2024" s="13" t="s">
        <v>5785</v>
      </c>
      <c r="N2024" s="12" t="s">
        <v>803</v>
      </c>
      <c r="O2024" s="13" t="s">
        <v>5183</v>
      </c>
      <c r="P2024" s="17" t="s">
        <v>802</v>
      </c>
      <c r="Q2024" s="21" t="s">
        <v>7859</v>
      </c>
      <c r="R2024" s="17" t="s">
        <v>801</v>
      </c>
      <c r="S2024" s="18" t="s">
        <v>2560</v>
      </c>
      <c r="T2024" s="17" t="s">
        <v>800</v>
      </c>
      <c r="U2024" s="18" t="s">
        <v>5236</v>
      </c>
      <c r="V2024" s="17" t="s">
        <v>9418</v>
      </c>
      <c r="W2024" s="18" t="s">
        <v>5309</v>
      </c>
      <c r="X2024" s="69" t="s">
        <v>9453</v>
      </c>
      <c r="Y2024" s="70" t="s">
        <v>9462</v>
      </c>
      <c r="Z2024" s="73" t="s">
        <v>9486</v>
      </c>
      <c r="AA2024" s="74" t="s">
        <v>9504</v>
      </c>
      <c r="AB2024" s="73" t="s">
        <v>9486</v>
      </c>
      <c r="AC2024" s="74" t="s">
        <v>9562</v>
      </c>
      <c r="AD2024" s="73" t="s">
        <v>9578</v>
      </c>
      <c r="AE2024" s="74" t="s">
        <v>9579</v>
      </c>
    </row>
    <row r="2025" spans="1:31" ht="8.65" customHeight="1" x14ac:dyDescent="0.2">
      <c r="A2025" s="76">
        <v>2025</v>
      </c>
      <c r="B2025" s="67" t="str">
        <f>MID(C2025, FIND("Ifc.", C2025) + 4, 4) &amp; "_" &amp; TEXT(COUNTIF($C$2:C2025, C2025),"0000")</f>
        <v>Prop_2024</v>
      </c>
      <c r="C2025" s="24" t="s">
        <v>872</v>
      </c>
      <c r="D2025" s="69" t="s">
        <v>9453</v>
      </c>
      <c r="E2025" s="70" t="s">
        <v>9454</v>
      </c>
      <c r="F2025" s="17" t="s">
        <v>806</v>
      </c>
      <c r="G2025" s="22" t="s">
        <v>1917</v>
      </c>
      <c r="H2025" s="12" t="s">
        <v>9703</v>
      </c>
      <c r="I2025" s="13" t="s">
        <v>7508</v>
      </c>
      <c r="J2025" s="14" t="s">
        <v>798</v>
      </c>
      <c r="K2025" s="15" t="s">
        <v>798</v>
      </c>
      <c r="L2025" s="12" t="s">
        <v>5315</v>
      </c>
      <c r="M2025" s="13" t="s">
        <v>5468</v>
      </c>
      <c r="N2025" s="12" t="s">
        <v>803</v>
      </c>
      <c r="O2025" s="13" t="s">
        <v>5056</v>
      </c>
      <c r="P2025" s="17" t="s">
        <v>802</v>
      </c>
      <c r="Q2025" s="21" t="s">
        <v>7840</v>
      </c>
      <c r="R2025" s="17" t="s">
        <v>801</v>
      </c>
      <c r="S2025" s="18" t="s">
        <v>2560</v>
      </c>
      <c r="T2025" s="17" t="s">
        <v>800</v>
      </c>
      <c r="U2025" s="18" t="s">
        <v>5236</v>
      </c>
      <c r="V2025" s="17" t="s">
        <v>9418</v>
      </c>
      <c r="W2025" s="18" t="s">
        <v>5309</v>
      </c>
      <c r="X2025" s="69" t="s">
        <v>9453</v>
      </c>
      <c r="Y2025" s="70" t="s">
        <v>9462</v>
      </c>
      <c r="Z2025" s="73" t="s">
        <v>9486</v>
      </c>
      <c r="AA2025" s="74" t="s">
        <v>9504</v>
      </c>
      <c r="AB2025" s="73" t="s">
        <v>9486</v>
      </c>
      <c r="AC2025" s="74" t="s">
        <v>9562</v>
      </c>
      <c r="AD2025" s="73" t="s">
        <v>9578</v>
      </c>
      <c r="AE2025" s="74" t="s">
        <v>9579</v>
      </c>
    </row>
    <row r="2026" spans="1:31" ht="8.65" customHeight="1" x14ac:dyDescent="0.2">
      <c r="A2026" s="76">
        <v>2026</v>
      </c>
      <c r="B2026" s="67" t="str">
        <f>MID(C2026, FIND("Ifc.", C2026) + 4, 4) &amp; "_" &amp; TEXT(COUNTIF($C$2:C2026, C2026),"0000")</f>
        <v>Prop_2025</v>
      </c>
      <c r="C2026" s="24" t="s">
        <v>872</v>
      </c>
      <c r="D2026" s="69" t="s">
        <v>9453</v>
      </c>
      <c r="E2026" s="70" t="s">
        <v>9454</v>
      </c>
      <c r="F2026" s="17" t="s">
        <v>806</v>
      </c>
      <c r="G2026" s="22" t="s">
        <v>1917</v>
      </c>
      <c r="H2026" s="12" t="s">
        <v>9703</v>
      </c>
      <c r="I2026" s="13" t="s">
        <v>7508</v>
      </c>
      <c r="J2026" s="14" t="s">
        <v>798</v>
      </c>
      <c r="K2026" s="15" t="s">
        <v>798</v>
      </c>
      <c r="L2026" s="12" t="s">
        <v>5315</v>
      </c>
      <c r="M2026" s="13" t="s">
        <v>5969</v>
      </c>
      <c r="N2026" s="12" t="s">
        <v>803</v>
      </c>
      <c r="O2026" s="13" t="s">
        <v>5068</v>
      </c>
      <c r="P2026" s="17" t="s">
        <v>802</v>
      </c>
      <c r="Q2026" s="21" t="s">
        <v>7842</v>
      </c>
      <c r="R2026" s="17" t="s">
        <v>801</v>
      </c>
      <c r="S2026" s="18" t="s">
        <v>2560</v>
      </c>
      <c r="T2026" s="17" t="s">
        <v>800</v>
      </c>
      <c r="U2026" s="18" t="s">
        <v>5236</v>
      </c>
      <c r="V2026" s="17" t="s">
        <v>9418</v>
      </c>
      <c r="W2026" s="18" t="s">
        <v>5309</v>
      </c>
      <c r="X2026" s="69" t="s">
        <v>9453</v>
      </c>
      <c r="Y2026" s="70" t="s">
        <v>9462</v>
      </c>
      <c r="Z2026" s="73" t="s">
        <v>9486</v>
      </c>
      <c r="AA2026" s="74" t="s">
        <v>9504</v>
      </c>
      <c r="AB2026" s="73" t="s">
        <v>9486</v>
      </c>
      <c r="AC2026" s="74" t="s">
        <v>9562</v>
      </c>
      <c r="AD2026" s="73" t="s">
        <v>9578</v>
      </c>
      <c r="AE2026" s="74" t="s">
        <v>9579</v>
      </c>
    </row>
    <row r="2027" spans="1:31" ht="8.65" customHeight="1" x14ac:dyDescent="0.2">
      <c r="A2027" s="76">
        <v>2027</v>
      </c>
      <c r="B2027" s="67" t="str">
        <f>MID(C2027, FIND("Ifc.", C2027) + 4, 4) &amp; "_" &amp; TEXT(COUNTIF($C$2:C2027, C2027),"0000")</f>
        <v>Prop_2026</v>
      </c>
      <c r="C2027" s="24" t="s">
        <v>872</v>
      </c>
      <c r="D2027" s="69" t="s">
        <v>9453</v>
      </c>
      <c r="E2027" s="70" t="s">
        <v>9454</v>
      </c>
      <c r="F2027" s="17" t="s">
        <v>806</v>
      </c>
      <c r="G2027" s="22" t="s">
        <v>1099</v>
      </c>
      <c r="H2027" s="12" t="s">
        <v>9703</v>
      </c>
      <c r="I2027" s="13" t="s">
        <v>7509</v>
      </c>
      <c r="J2027" s="14" t="s">
        <v>798</v>
      </c>
      <c r="K2027" s="15" t="s">
        <v>798</v>
      </c>
      <c r="L2027" s="12" t="s">
        <v>5315</v>
      </c>
      <c r="M2027" s="13" t="s">
        <v>5996</v>
      </c>
      <c r="N2027" s="12" t="s">
        <v>803</v>
      </c>
      <c r="O2027" s="13" t="s">
        <v>4851</v>
      </c>
      <c r="P2027" s="17" t="s">
        <v>802</v>
      </c>
      <c r="Q2027" s="21" t="s">
        <v>7826</v>
      </c>
      <c r="R2027" s="17" t="s">
        <v>801</v>
      </c>
      <c r="S2027" s="18" t="s">
        <v>2560</v>
      </c>
      <c r="T2027" s="17" t="s">
        <v>800</v>
      </c>
      <c r="U2027" s="18" t="s">
        <v>5236</v>
      </c>
      <c r="V2027" s="17" t="s">
        <v>9418</v>
      </c>
      <c r="W2027" s="18" t="s">
        <v>5309</v>
      </c>
      <c r="X2027" s="69" t="s">
        <v>9453</v>
      </c>
      <c r="Y2027" s="70" t="s">
        <v>9462</v>
      </c>
      <c r="Z2027" s="73" t="s">
        <v>9486</v>
      </c>
      <c r="AA2027" s="74" t="s">
        <v>9504</v>
      </c>
      <c r="AB2027" s="73" t="s">
        <v>9486</v>
      </c>
      <c r="AC2027" s="74" t="s">
        <v>9562</v>
      </c>
      <c r="AD2027" s="73" t="s">
        <v>9578</v>
      </c>
      <c r="AE2027" s="74" t="s">
        <v>9579</v>
      </c>
    </row>
    <row r="2028" spans="1:31" ht="8.65" customHeight="1" x14ac:dyDescent="0.2">
      <c r="A2028" s="76">
        <v>2028</v>
      </c>
      <c r="B2028" s="67" t="str">
        <f>MID(C2028, FIND("Ifc.", C2028) + 4, 4) &amp; "_" &amp; TEXT(COUNTIF($C$2:C2028, C2028),"0000")</f>
        <v>Prop_2027</v>
      </c>
      <c r="C2028" s="24" t="s">
        <v>872</v>
      </c>
      <c r="D2028" s="69" t="s">
        <v>9453</v>
      </c>
      <c r="E2028" s="70" t="s">
        <v>9454</v>
      </c>
      <c r="F2028" s="17" t="s">
        <v>806</v>
      </c>
      <c r="G2028" s="22" t="s">
        <v>1783</v>
      </c>
      <c r="H2028" s="12" t="s">
        <v>9703</v>
      </c>
      <c r="I2028" s="13" t="s">
        <v>7510</v>
      </c>
      <c r="J2028" s="14" t="s">
        <v>798</v>
      </c>
      <c r="K2028" s="15" t="s">
        <v>798</v>
      </c>
      <c r="L2028" s="12" t="s">
        <v>5315</v>
      </c>
      <c r="M2028" s="13" t="s">
        <v>5454</v>
      </c>
      <c r="N2028" s="12" t="s">
        <v>803</v>
      </c>
      <c r="O2028" s="13" t="s">
        <v>5017</v>
      </c>
      <c r="P2028" s="17" t="s">
        <v>802</v>
      </c>
      <c r="Q2028" s="21" t="s">
        <v>7776</v>
      </c>
      <c r="R2028" s="17" t="s">
        <v>801</v>
      </c>
      <c r="S2028" s="18" t="s">
        <v>2560</v>
      </c>
      <c r="T2028" s="17" t="s">
        <v>800</v>
      </c>
      <c r="U2028" s="18" t="s">
        <v>5236</v>
      </c>
      <c r="V2028" s="17" t="s">
        <v>9418</v>
      </c>
      <c r="W2028" s="18" t="s">
        <v>5309</v>
      </c>
      <c r="X2028" s="69" t="s">
        <v>9453</v>
      </c>
      <c r="Y2028" s="70" t="s">
        <v>9462</v>
      </c>
      <c r="Z2028" s="73" t="s">
        <v>9486</v>
      </c>
      <c r="AA2028" s="74" t="s">
        <v>9504</v>
      </c>
      <c r="AB2028" s="73" t="s">
        <v>9486</v>
      </c>
      <c r="AC2028" s="74" t="s">
        <v>9562</v>
      </c>
      <c r="AD2028" s="73" t="s">
        <v>9578</v>
      </c>
      <c r="AE2028" s="74" t="s">
        <v>9579</v>
      </c>
    </row>
    <row r="2029" spans="1:31" ht="8.65" customHeight="1" x14ac:dyDescent="0.2">
      <c r="A2029" s="76">
        <v>2029</v>
      </c>
      <c r="B2029" s="67" t="str">
        <f>MID(C2029, FIND("Ifc.", C2029) + 4, 4) &amp; "_" &amp; TEXT(COUNTIF($C$2:C2029, C2029),"0000")</f>
        <v>Prop_2028</v>
      </c>
      <c r="C2029" s="24" t="s">
        <v>872</v>
      </c>
      <c r="D2029" s="69" t="s">
        <v>9453</v>
      </c>
      <c r="E2029" s="70" t="s">
        <v>9454</v>
      </c>
      <c r="F2029" s="17" t="s">
        <v>806</v>
      </c>
      <c r="G2029" s="22" t="s">
        <v>1783</v>
      </c>
      <c r="H2029" s="12" t="s">
        <v>9703</v>
      </c>
      <c r="I2029" s="13" t="s">
        <v>7510</v>
      </c>
      <c r="J2029" s="14" t="s">
        <v>798</v>
      </c>
      <c r="K2029" s="15" t="s">
        <v>798</v>
      </c>
      <c r="L2029" s="12" t="s">
        <v>5315</v>
      </c>
      <c r="M2029" s="13" t="s">
        <v>5487</v>
      </c>
      <c r="N2029" s="12" t="s">
        <v>803</v>
      </c>
      <c r="O2029" s="13" t="s">
        <v>5095</v>
      </c>
      <c r="P2029" s="17" t="s">
        <v>802</v>
      </c>
      <c r="Q2029" s="21" t="s">
        <v>7687</v>
      </c>
      <c r="R2029" s="17" t="s">
        <v>801</v>
      </c>
      <c r="S2029" s="18" t="s">
        <v>2560</v>
      </c>
      <c r="T2029" s="17" t="s">
        <v>800</v>
      </c>
      <c r="U2029" s="18" t="s">
        <v>5236</v>
      </c>
      <c r="V2029" s="17" t="s">
        <v>9418</v>
      </c>
      <c r="W2029" s="18" t="s">
        <v>5309</v>
      </c>
      <c r="X2029" s="69" t="s">
        <v>9453</v>
      </c>
      <c r="Y2029" s="70" t="s">
        <v>9462</v>
      </c>
      <c r="Z2029" s="73" t="s">
        <v>9486</v>
      </c>
      <c r="AA2029" s="74" t="s">
        <v>9504</v>
      </c>
      <c r="AB2029" s="73" t="s">
        <v>9486</v>
      </c>
      <c r="AC2029" s="74" t="s">
        <v>9562</v>
      </c>
      <c r="AD2029" s="73" t="s">
        <v>9578</v>
      </c>
      <c r="AE2029" s="74" t="s">
        <v>9579</v>
      </c>
    </row>
    <row r="2030" spans="1:31" ht="8.65" customHeight="1" x14ac:dyDescent="0.2">
      <c r="A2030" s="76">
        <v>2030</v>
      </c>
      <c r="B2030" s="67" t="str">
        <f>MID(C2030, FIND("Ifc.", C2030) + 4, 4) &amp; "_" &amp; TEXT(COUNTIF($C$2:C2030, C2030),"0000")</f>
        <v>Prop_2029</v>
      </c>
      <c r="C2030" s="24" t="s">
        <v>872</v>
      </c>
      <c r="D2030" s="69" t="s">
        <v>9453</v>
      </c>
      <c r="E2030" s="70" t="s">
        <v>9454</v>
      </c>
      <c r="F2030" s="17" t="s">
        <v>806</v>
      </c>
      <c r="G2030" s="22" t="s">
        <v>1938</v>
      </c>
      <c r="H2030" s="12" t="s">
        <v>9703</v>
      </c>
      <c r="I2030" s="13" t="s">
        <v>7511</v>
      </c>
      <c r="J2030" s="14" t="s">
        <v>798</v>
      </c>
      <c r="K2030" s="15" t="s">
        <v>798</v>
      </c>
      <c r="L2030" s="12" t="s">
        <v>5315</v>
      </c>
      <c r="M2030" s="13" t="s">
        <v>5470</v>
      </c>
      <c r="N2030" s="12" t="s">
        <v>803</v>
      </c>
      <c r="O2030" s="13" t="s">
        <v>5062</v>
      </c>
      <c r="P2030" s="17" t="s">
        <v>802</v>
      </c>
      <c r="Q2030" s="21" t="s">
        <v>7849</v>
      </c>
      <c r="R2030" s="17" t="s">
        <v>801</v>
      </c>
      <c r="S2030" s="18" t="s">
        <v>2560</v>
      </c>
      <c r="T2030" s="17" t="s">
        <v>800</v>
      </c>
      <c r="U2030" s="18" t="s">
        <v>5236</v>
      </c>
      <c r="V2030" s="17" t="s">
        <v>9418</v>
      </c>
      <c r="W2030" s="18" t="s">
        <v>5309</v>
      </c>
      <c r="X2030" s="69" t="s">
        <v>9453</v>
      </c>
      <c r="Y2030" s="70" t="s">
        <v>9462</v>
      </c>
      <c r="Z2030" s="73" t="s">
        <v>9486</v>
      </c>
      <c r="AA2030" s="74" t="s">
        <v>9504</v>
      </c>
      <c r="AB2030" s="73" t="s">
        <v>9486</v>
      </c>
      <c r="AC2030" s="74" t="s">
        <v>9562</v>
      </c>
      <c r="AD2030" s="73" t="s">
        <v>9578</v>
      </c>
      <c r="AE2030" s="74" t="s">
        <v>9579</v>
      </c>
    </row>
    <row r="2031" spans="1:31" ht="8.65" customHeight="1" x14ac:dyDescent="0.2">
      <c r="A2031" s="76">
        <v>2031</v>
      </c>
      <c r="B2031" s="67" t="str">
        <f>MID(C2031, FIND("Ifc.", C2031) + 4, 4) &amp; "_" &amp; TEXT(COUNTIF($C$2:C2031, C2031),"0000")</f>
        <v>Prop_2030</v>
      </c>
      <c r="C2031" s="24" t="s">
        <v>872</v>
      </c>
      <c r="D2031" s="69" t="s">
        <v>9453</v>
      </c>
      <c r="E2031" s="70" t="s">
        <v>9454</v>
      </c>
      <c r="F2031" s="17" t="s">
        <v>806</v>
      </c>
      <c r="G2031" s="22" t="s">
        <v>1913</v>
      </c>
      <c r="H2031" s="12" t="s">
        <v>9703</v>
      </c>
      <c r="I2031" s="13" t="s">
        <v>7521</v>
      </c>
      <c r="J2031" s="14" t="s">
        <v>798</v>
      </c>
      <c r="K2031" s="15" t="s">
        <v>798</v>
      </c>
      <c r="L2031" s="12" t="s">
        <v>5315</v>
      </c>
      <c r="M2031" s="13" t="s">
        <v>5467</v>
      </c>
      <c r="N2031" s="12" t="s">
        <v>803</v>
      </c>
      <c r="O2031" s="13" t="s">
        <v>5055</v>
      </c>
      <c r="P2031" s="17" t="s">
        <v>802</v>
      </c>
      <c r="Q2031" s="21" t="s">
        <v>7894</v>
      </c>
      <c r="R2031" s="17" t="s">
        <v>801</v>
      </c>
      <c r="S2031" s="18" t="s">
        <v>2560</v>
      </c>
      <c r="T2031" s="17" t="s">
        <v>800</v>
      </c>
      <c r="U2031" s="18" t="s">
        <v>5236</v>
      </c>
      <c r="V2031" s="17" t="s">
        <v>9418</v>
      </c>
      <c r="W2031" s="18" t="s">
        <v>5309</v>
      </c>
      <c r="X2031" s="69" t="s">
        <v>9453</v>
      </c>
      <c r="Y2031" s="70" t="s">
        <v>9462</v>
      </c>
      <c r="Z2031" s="73" t="s">
        <v>9486</v>
      </c>
      <c r="AA2031" s="74" t="s">
        <v>9504</v>
      </c>
      <c r="AB2031" s="73" t="s">
        <v>9486</v>
      </c>
      <c r="AC2031" s="74" t="s">
        <v>9562</v>
      </c>
      <c r="AD2031" s="73" t="s">
        <v>9578</v>
      </c>
      <c r="AE2031" s="74" t="s">
        <v>9579</v>
      </c>
    </row>
    <row r="2032" spans="1:31" ht="8.65" customHeight="1" x14ac:dyDescent="0.2">
      <c r="A2032" s="76">
        <v>2032</v>
      </c>
      <c r="B2032" s="67" t="str">
        <f>MID(C2032, FIND("Ifc.", C2032) + 4, 4) &amp; "_" &amp; TEXT(COUNTIF($C$2:C2032, C2032),"0000")</f>
        <v>Prop_2031</v>
      </c>
      <c r="C2032" s="24" t="s">
        <v>872</v>
      </c>
      <c r="D2032" s="69" t="s">
        <v>9453</v>
      </c>
      <c r="E2032" s="70" t="s">
        <v>9454</v>
      </c>
      <c r="F2032" s="17" t="s">
        <v>806</v>
      </c>
      <c r="G2032" s="22" t="s">
        <v>2487</v>
      </c>
      <c r="H2032" s="12" t="s">
        <v>9703</v>
      </c>
      <c r="I2032" s="13" t="s">
        <v>7522</v>
      </c>
      <c r="J2032" s="14" t="s">
        <v>798</v>
      </c>
      <c r="K2032" s="15" t="s">
        <v>798</v>
      </c>
      <c r="L2032" s="12" t="s">
        <v>5315</v>
      </c>
      <c r="M2032" s="13" t="s">
        <v>6000</v>
      </c>
      <c r="N2032" s="12" t="s">
        <v>803</v>
      </c>
      <c r="O2032" s="13" t="s">
        <v>5216</v>
      </c>
      <c r="P2032" s="17" t="s">
        <v>802</v>
      </c>
      <c r="Q2032" s="21" t="s">
        <v>8078</v>
      </c>
      <c r="R2032" s="17" t="s">
        <v>801</v>
      </c>
      <c r="S2032" s="18" t="s">
        <v>2560</v>
      </c>
      <c r="T2032" s="17" t="s">
        <v>800</v>
      </c>
      <c r="U2032" s="18" t="s">
        <v>5236</v>
      </c>
      <c r="V2032" s="17" t="s">
        <v>9418</v>
      </c>
      <c r="W2032" s="18" t="s">
        <v>5309</v>
      </c>
      <c r="X2032" s="69" t="s">
        <v>9453</v>
      </c>
      <c r="Y2032" s="70" t="s">
        <v>9462</v>
      </c>
      <c r="Z2032" s="73" t="s">
        <v>9486</v>
      </c>
      <c r="AA2032" s="74" t="s">
        <v>9504</v>
      </c>
      <c r="AB2032" s="73" t="s">
        <v>9486</v>
      </c>
      <c r="AC2032" s="74" t="s">
        <v>9562</v>
      </c>
      <c r="AD2032" s="73" t="s">
        <v>9578</v>
      </c>
      <c r="AE2032" s="74" t="s">
        <v>9579</v>
      </c>
    </row>
    <row r="2033" spans="1:31" ht="8.65" customHeight="1" x14ac:dyDescent="0.2">
      <c r="A2033" s="76">
        <v>2033</v>
      </c>
      <c r="B2033" s="67" t="str">
        <f>MID(C2033, FIND("Ifc.", C2033) + 4, 4) &amp; "_" &amp; TEXT(COUNTIF($C$2:C2033, C2033),"0000")</f>
        <v>Prop_2032</v>
      </c>
      <c r="C2033" s="24" t="s">
        <v>872</v>
      </c>
      <c r="D2033" s="69" t="s">
        <v>9453</v>
      </c>
      <c r="E2033" s="70" t="s">
        <v>9454</v>
      </c>
      <c r="F2033" s="17" t="s">
        <v>806</v>
      </c>
      <c r="G2033" s="22" t="s">
        <v>2487</v>
      </c>
      <c r="H2033" s="12" t="s">
        <v>9703</v>
      </c>
      <c r="I2033" s="13" t="s">
        <v>7522</v>
      </c>
      <c r="J2033" s="14" t="s">
        <v>798</v>
      </c>
      <c r="K2033" s="15" t="s">
        <v>798</v>
      </c>
      <c r="L2033" s="12" t="s">
        <v>5315</v>
      </c>
      <c r="M2033" s="13" t="s">
        <v>6002</v>
      </c>
      <c r="N2033" s="12" t="s">
        <v>803</v>
      </c>
      <c r="O2033" s="13" t="s">
        <v>5218</v>
      </c>
      <c r="P2033" s="17" t="s">
        <v>802</v>
      </c>
      <c r="Q2033" s="21" t="s">
        <v>8079</v>
      </c>
      <c r="R2033" s="17" t="s">
        <v>801</v>
      </c>
      <c r="S2033" s="18" t="s">
        <v>2560</v>
      </c>
      <c r="T2033" s="17" t="s">
        <v>800</v>
      </c>
      <c r="U2033" s="18" t="s">
        <v>5236</v>
      </c>
      <c r="V2033" s="17" t="s">
        <v>9418</v>
      </c>
      <c r="W2033" s="18" t="s">
        <v>5309</v>
      </c>
      <c r="X2033" s="69" t="s">
        <v>9453</v>
      </c>
      <c r="Y2033" s="70" t="s">
        <v>9462</v>
      </c>
      <c r="Z2033" s="73" t="s">
        <v>9486</v>
      </c>
      <c r="AA2033" s="74" t="s">
        <v>9504</v>
      </c>
      <c r="AB2033" s="73" t="s">
        <v>9486</v>
      </c>
      <c r="AC2033" s="74" t="s">
        <v>9562</v>
      </c>
      <c r="AD2033" s="73" t="s">
        <v>9578</v>
      </c>
      <c r="AE2033" s="74" t="s">
        <v>9579</v>
      </c>
    </row>
    <row r="2034" spans="1:31" ht="8.65" customHeight="1" x14ac:dyDescent="0.2">
      <c r="A2034" s="76">
        <v>2034</v>
      </c>
      <c r="B2034" s="67" t="str">
        <f>MID(C2034, FIND("Ifc.", C2034) + 4, 4) &amp; "_" &amp; TEXT(COUNTIF($C$2:C2034, C2034),"0000")</f>
        <v>Prop_2033</v>
      </c>
      <c r="C2034" s="24" t="s">
        <v>872</v>
      </c>
      <c r="D2034" s="69" t="s">
        <v>9453</v>
      </c>
      <c r="E2034" s="70" t="s">
        <v>9454</v>
      </c>
      <c r="F2034" s="17" t="s">
        <v>806</v>
      </c>
      <c r="G2034" s="22" t="s">
        <v>1101</v>
      </c>
      <c r="H2034" s="12" t="s">
        <v>9703</v>
      </c>
      <c r="I2034" s="13" t="s">
        <v>7512</v>
      </c>
      <c r="J2034" s="14" t="s">
        <v>798</v>
      </c>
      <c r="K2034" s="15" t="s">
        <v>798</v>
      </c>
      <c r="L2034" s="12" t="s">
        <v>5315</v>
      </c>
      <c r="M2034" s="13" t="s">
        <v>5996</v>
      </c>
      <c r="N2034" s="12" t="s">
        <v>803</v>
      </c>
      <c r="O2034" s="13" t="s">
        <v>4851</v>
      </c>
      <c r="P2034" s="17" t="s">
        <v>802</v>
      </c>
      <c r="Q2034" s="21" t="s">
        <v>7826</v>
      </c>
      <c r="R2034" s="17" t="s">
        <v>801</v>
      </c>
      <c r="S2034" s="18" t="s">
        <v>2560</v>
      </c>
      <c r="T2034" s="17" t="s">
        <v>800</v>
      </c>
      <c r="U2034" s="18" t="s">
        <v>5236</v>
      </c>
      <c r="V2034" s="17" t="s">
        <v>9418</v>
      </c>
      <c r="W2034" s="18" t="s">
        <v>5309</v>
      </c>
      <c r="X2034" s="69" t="s">
        <v>9453</v>
      </c>
      <c r="Y2034" s="70" t="s">
        <v>9462</v>
      </c>
      <c r="Z2034" s="73" t="s">
        <v>9486</v>
      </c>
      <c r="AA2034" s="74" t="s">
        <v>9504</v>
      </c>
      <c r="AB2034" s="73" t="s">
        <v>9486</v>
      </c>
      <c r="AC2034" s="74" t="s">
        <v>9562</v>
      </c>
      <c r="AD2034" s="73" t="s">
        <v>9578</v>
      </c>
      <c r="AE2034" s="74" t="s">
        <v>9579</v>
      </c>
    </row>
    <row r="2035" spans="1:31" ht="8.65" customHeight="1" x14ac:dyDescent="0.2">
      <c r="A2035" s="76">
        <v>2035</v>
      </c>
      <c r="B2035" s="67" t="str">
        <f>MID(C2035, FIND("Ifc.", C2035) + 4, 4) &amp; "_" &amp; TEXT(COUNTIF($C$2:C2035, C2035),"0000")</f>
        <v>Prop_2034</v>
      </c>
      <c r="C2035" s="24" t="s">
        <v>872</v>
      </c>
      <c r="D2035" s="69" t="s">
        <v>9453</v>
      </c>
      <c r="E2035" s="70" t="s">
        <v>9454</v>
      </c>
      <c r="F2035" s="17" t="s">
        <v>806</v>
      </c>
      <c r="G2035" s="22" t="s">
        <v>1784</v>
      </c>
      <c r="H2035" s="12" t="s">
        <v>9703</v>
      </c>
      <c r="I2035" s="13" t="s">
        <v>7513</v>
      </c>
      <c r="J2035" s="14" t="s">
        <v>798</v>
      </c>
      <c r="K2035" s="15" t="s">
        <v>798</v>
      </c>
      <c r="L2035" s="12" t="s">
        <v>5315</v>
      </c>
      <c r="M2035" s="13" t="s">
        <v>5454</v>
      </c>
      <c r="N2035" s="12" t="s">
        <v>803</v>
      </c>
      <c r="O2035" s="13" t="s">
        <v>5017</v>
      </c>
      <c r="P2035" s="17" t="s">
        <v>802</v>
      </c>
      <c r="Q2035" s="21" t="s">
        <v>7776</v>
      </c>
      <c r="R2035" s="17" t="s">
        <v>801</v>
      </c>
      <c r="S2035" s="18" t="s">
        <v>2560</v>
      </c>
      <c r="T2035" s="17" t="s">
        <v>800</v>
      </c>
      <c r="U2035" s="18" t="s">
        <v>5236</v>
      </c>
      <c r="V2035" s="17" t="s">
        <v>9418</v>
      </c>
      <c r="W2035" s="18" t="s">
        <v>5309</v>
      </c>
      <c r="X2035" s="69" t="s">
        <v>9453</v>
      </c>
      <c r="Y2035" s="70" t="s">
        <v>9462</v>
      </c>
      <c r="Z2035" s="73" t="s">
        <v>9486</v>
      </c>
      <c r="AA2035" s="74" t="s">
        <v>9504</v>
      </c>
      <c r="AB2035" s="73" t="s">
        <v>9486</v>
      </c>
      <c r="AC2035" s="74" t="s">
        <v>9562</v>
      </c>
      <c r="AD2035" s="73" t="s">
        <v>9578</v>
      </c>
      <c r="AE2035" s="74" t="s">
        <v>9579</v>
      </c>
    </row>
    <row r="2036" spans="1:31" ht="8.65" customHeight="1" x14ac:dyDescent="0.2">
      <c r="A2036" s="76">
        <v>2036</v>
      </c>
      <c r="B2036" s="67" t="str">
        <f>MID(C2036, FIND("Ifc.", C2036) + 4, 4) &amp; "_" &amp; TEXT(COUNTIF($C$2:C2036, C2036),"0000")</f>
        <v>Prop_2035</v>
      </c>
      <c r="C2036" s="24" t="s">
        <v>872</v>
      </c>
      <c r="D2036" s="69" t="s">
        <v>9453</v>
      </c>
      <c r="E2036" s="70" t="s">
        <v>9454</v>
      </c>
      <c r="F2036" s="17" t="s">
        <v>806</v>
      </c>
      <c r="G2036" s="22" t="s">
        <v>1785</v>
      </c>
      <c r="H2036" s="12" t="s">
        <v>9703</v>
      </c>
      <c r="I2036" s="13" t="s">
        <v>7514</v>
      </c>
      <c r="J2036" s="14" t="s">
        <v>798</v>
      </c>
      <c r="K2036" s="15" t="s">
        <v>798</v>
      </c>
      <c r="L2036" s="12" t="s">
        <v>5315</v>
      </c>
      <c r="M2036" s="13" t="s">
        <v>5454</v>
      </c>
      <c r="N2036" s="12" t="s">
        <v>803</v>
      </c>
      <c r="O2036" s="13" t="s">
        <v>5017</v>
      </c>
      <c r="P2036" s="17" t="s">
        <v>802</v>
      </c>
      <c r="Q2036" s="21" t="s">
        <v>7776</v>
      </c>
      <c r="R2036" s="17" t="s">
        <v>801</v>
      </c>
      <c r="S2036" s="18" t="s">
        <v>2560</v>
      </c>
      <c r="T2036" s="17" t="s">
        <v>800</v>
      </c>
      <c r="U2036" s="18" t="s">
        <v>5236</v>
      </c>
      <c r="V2036" s="17" t="s">
        <v>9418</v>
      </c>
      <c r="W2036" s="18" t="s">
        <v>5309</v>
      </c>
      <c r="X2036" s="69" t="s">
        <v>9453</v>
      </c>
      <c r="Y2036" s="70" t="s">
        <v>9462</v>
      </c>
      <c r="Z2036" s="73" t="s">
        <v>9486</v>
      </c>
      <c r="AA2036" s="74" t="s">
        <v>9504</v>
      </c>
      <c r="AB2036" s="73" t="s">
        <v>9486</v>
      </c>
      <c r="AC2036" s="74" t="s">
        <v>9562</v>
      </c>
      <c r="AD2036" s="73" t="s">
        <v>9578</v>
      </c>
      <c r="AE2036" s="74" t="s">
        <v>9579</v>
      </c>
    </row>
    <row r="2037" spans="1:31" ht="8.65" customHeight="1" x14ac:dyDescent="0.2">
      <c r="A2037" s="76">
        <v>2037</v>
      </c>
      <c r="B2037" s="67" t="str">
        <f>MID(C2037, FIND("Ifc.", C2037) + 4, 4) &amp; "_" &amp; TEXT(COUNTIF($C$2:C2037, C2037),"0000")</f>
        <v>Prop_2036</v>
      </c>
      <c r="C2037" s="24" t="s">
        <v>872</v>
      </c>
      <c r="D2037" s="69" t="s">
        <v>9453</v>
      </c>
      <c r="E2037" s="70" t="s">
        <v>9454</v>
      </c>
      <c r="F2037" s="17" t="s">
        <v>806</v>
      </c>
      <c r="G2037" s="22" t="s">
        <v>2447</v>
      </c>
      <c r="H2037" s="12" t="s">
        <v>9703</v>
      </c>
      <c r="I2037" s="13" t="s">
        <v>7515</v>
      </c>
      <c r="J2037" s="14" t="s">
        <v>798</v>
      </c>
      <c r="K2037" s="15" t="s">
        <v>798</v>
      </c>
      <c r="L2037" s="12" t="s">
        <v>5315</v>
      </c>
      <c r="M2037" s="13" t="s">
        <v>5572</v>
      </c>
      <c r="N2037" s="12" t="s">
        <v>803</v>
      </c>
      <c r="O2037" s="13" t="s">
        <v>4935</v>
      </c>
      <c r="P2037" s="17" t="s">
        <v>802</v>
      </c>
      <c r="Q2037" s="21" t="s">
        <v>7721</v>
      </c>
      <c r="R2037" s="17" t="s">
        <v>801</v>
      </c>
      <c r="S2037" s="18" t="s">
        <v>2560</v>
      </c>
      <c r="T2037" s="17" t="s">
        <v>800</v>
      </c>
      <c r="U2037" s="18" t="s">
        <v>5236</v>
      </c>
      <c r="V2037" s="17" t="s">
        <v>9418</v>
      </c>
      <c r="W2037" s="18" t="s">
        <v>5309</v>
      </c>
      <c r="X2037" s="69" t="s">
        <v>9453</v>
      </c>
      <c r="Y2037" s="70" t="s">
        <v>9462</v>
      </c>
      <c r="Z2037" s="73" t="s">
        <v>9486</v>
      </c>
      <c r="AA2037" s="74" t="s">
        <v>9504</v>
      </c>
      <c r="AB2037" s="73" t="s">
        <v>9486</v>
      </c>
      <c r="AC2037" s="74" t="s">
        <v>9562</v>
      </c>
      <c r="AD2037" s="73" t="s">
        <v>9578</v>
      </c>
      <c r="AE2037" s="74" t="s">
        <v>9579</v>
      </c>
    </row>
    <row r="2038" spans="1:31" ht="8.65" customHeight="1" x14ac:dyDescent="0.2">
      <c r="A2038" s="76">
        <v>2038</v>
      </c>
      <c r="B2038" s="67" t="str">
        <f>MID(C2038, FIND("Ifc.", C2038) + 4, 4) &amp; "_" &amp; TEXT(COUNTIF($C$2:C2038, C2038),"0000")</f>
        <v>Prop_2037</v>
      </c>
      <c r="C2038" s="24" t="s">
        <v>872</v>
      </c>
      <c r="D2038" s="69" t="s">
        <v>9453</v>
      </c>
      <c r="E2038" s="70" t="s">
        <v>9454</v>
      </c>
      <c r="F2038" s="17" t="s">
        <v>806</v>
      </c>
      <c r="G2038" s="22" t="s">
        <v>1414</v>
      </c>
      <c r="H2038" s="12" t="s">
        <v>9703</v>
      </c>
      <c r="I2038" s="13" t="s">
        <v>7516</v>
      </c>
      <c r="J2038" s="14" t="s">
        <v>798</v>
      </c>
      <c r="K2038" s="15" t="s">
        <v>798</v>
      </c>
      <c r="L2038" s="12" t="s">
        <v>5315</v>
      </c>
      <c r="M2038" s="13" t="s">
        <v>6054</v>
      </c>
      <c r="N2038" s="12" t="s">
        <v>803</v>
      </c>
      <c r="O2038" s="13" t="s">
        <v>4927</v>
      </c>
      <c r="P2038" s="17" t="s">
        <v>802</v>
      </c>
      <c r="Q2038" s="21" t="s">
        <v>7686</v>
      </c>
      <c r="R2038" s="17" t="s">
        <v>801</v>
      </c>
      <c r="S2038" s="18" t="s">
        <v>2560</v>
      </c>
      <c r="T2038" s="17" t="s">
        <v>800</v>
      </c>
      <c r="U2038" s="18" t="s">
        <v>5236</v>
      </c>
      <c r="V2038" s="17" t="s">
        <v>9418</v>
      </c>
      <c r="W2038" s="18" t="s">
        <v>5309</v>
      </c>
      <c r="X2038" s="69" t="s">
        <v>9453</v>
      </c>
      <c r="Y2038" s="70" t="s">
        <v>9462</v>
      </c>
      <c r="Z2038" s="73" t="s">
        <v>9486</v>
      </c>
      <c r="AA2038" s="74" t="s">
        <v>9504</v>
      </c>
      <c r="AB2038" s="73" t="s">
        <v>9486</v>
      </c>
      <c r="AC2038" s="74" t="s">
        <v>9562</v>
      </c>
      <c r="AD2038" s="73" t="s">
        <v>9578</v>
      </c>
      <c r="AE2038" s="74" t="s">
        <v>9579</v>
      </c>
    </row>
    <row r="2039" spans="1:31" ht="8.65" customHeight="1" x14ac:dyDescent="0.2">
      <c r="A2039" s="76">
        <v>2039</v>
      </c>
      <c r="B2039" s="67" t="str">
        <f>MID(C2039, FIND("Ifc.", C2039) + 4, 4) &amp; "_" &amp; TEXT(COUNTIF($C$2:C2039, C2039),"0000")</f>
        <v>Prop_2038</v>
      </c>
      <c r="C2039" s="24" t="s">
        <v>872</v>
      </c>
      <c r="D2039" s="69" t="s">
        <v>9453</v>
      </c>
      <c r="E2039" s="70" t="s">
        <v>9454</v>
      </c>
      <c r="F2039" s="17" t="s">
        <v>806</v>
      </c>
      <c r="G2039" s="22" t="s">
        <v>1414</v>
      </c>
      <c r="H2039" s="12" t="s">
        <v>9703</v>
      </c>
      <c r="I2039" s="13" t="s">
        <v>7516</v>
      </c>
      <c r="J2039" s="14" t="s">
        <v>798</v>
      </c>
      <c r="K2039" s="15" t="s">
        <v>798</v>
      </c>
      <c r="L2039" s="12" t="s">
        <v>5315</v>
      </c>
      <c r="M2039" s="13" t="s">
        <v>6055</v>
      </c>
      <c r="N2039" s="12" t="s">
        <v>803</v>
      </c>
      <c r="O2039" s="13" t="s">
        <v>5107</v>
      </c>
      <c r="P2039" s="17" t="s">
        <v>802</v>
      </c>
      <c r="Q2039" s="21" t="s">
        <v>7688</v>
      </c>
      <c r="R2039" s="17" t="s">
        <v>801</v>
      </c>
      <c r="S2039" s="18" t="s">
        <v>2560</v>
      </c>
      <c r="T2039" s="17" t="s">
        <v>800</v>
      </c>
      <c r="U2039" s="18" t="s">
        <v>5236</v>
      </c>
      <c r="V2039" s="17" t="s">
        <v>9418</v>
      </c>
      <c r="W2039" s="18" t="s">
        <v>5309</v>
      </c>
      <c r="X2039" s="69" t="s">
        <v>9453</v>
      </c>
      <c r="Y2039" s="70" t="s">
        <v>9462</v>
      </c>
      <c r="Z2039" s="73" t="s">
        <v>9486</v>
      </c>
      <c r="AA2039" s="74" t="s">
        <v>9504</v>
      </c>
      <c r="AB2039" s="73" t="s">
        <v>9486</v>
      </c>
      <c r="AC2039" s="74" t="s">
        <v>9562</v>
      </c>
      <c r="AD2039" s="73" t="s">
        <v>9578</v>
      </c>
      <c r="AE2039" s="74" t="s">
        <v>9579</v>
      </c>
    </row>
    <row r="2040" spans="1:31" ht="8.65" customHeight="1" x14ac:dyDescent="0.2">
      <c r="A2040" s="76">
        <v>2040</v>
      </c>
      <c r="B2040" s="67" t="str">
        <f>MID(C2040, FIND("Ifc.", C2040) + 4, 4) &amp; "_" &amp; TEXT(COUNTIF($C$2:C2040, C2040),"0000")</f>
        <v>Prop_2039</v>
      </c>
      <c r="C2040" s="24" t="s">
        <v>872</v>
      </c>
      <c r="D2040" s="69" t="s">
        <v>9453</v>
      </c>
      <c r="E2040" s="70" t="s">
        <v>9454</v>
      </c>
      <c r="F2040" s="17" t="s">
        <v>806</v>
      </c>
      <c r="G2040" s="22" t="s">
        <v>1414</v>
      </c>
      <c r="H2040" s="12" t="s">
        <v>9703</v>
      </c>
      <c r="I2040" s="13" t="s">
        <v>7516</v>
      </c>
      <c r="J2040" s="14" t="s">
        <v>798</v>
      </c>
      <c r="K2040" s="15" t="s">
        <v>798</v>
      </c>
      <c r="L2040" s="12" t="s">
        <v>5315</v>
      </c>
      <c r="M2040" s="13" t="s">
        <v>5857</v>
      </c>
      <c r="N2040" s="12" t="s">
        <v>803</v>
      </c>
      <c r="O2040" s="13" t="s">
        <v>5119</v>
      </c>
      <c r="P2040" s="17" t="s">
        <v>802</v>
      </c>
      <c r="Q2040" s="21" t="s">
        <v>8080</v>
      </c>
      <c r="R2040" s="17" t="s">
        <v>801</v>
      </c>
      <c r="S2040" s="18" t="s">
        <v>2560</v>
      </c>
      <c r="T2040" s="17" t="s">
        <v>800</v>
      </c>
      <c r="U2040" s="18" t="s">
        <v>5236</v>
      </c>
      <c r="V2040" s="17" t="s">
        <v>9418</v>
      </c>
      <c r="W2040" s="18" t="s">
        <v>5309</v>
      </c>
      <c r="X2040" s="69" t="s">
        <v>9453</v>
      </c>
      <c r="Y2040" s="70" t="s">
        <v>9462</v>
      </c>
      <c r="Z2040" s="73" t="s">
        <v>9486</v>
      </c>
      <c r="AA2040" s="74" t="s">
        <v>9504</v>
      </c>
      <c r="AB2040" s="73" t="s">
        <v>9486</v>
      </c>
      <c r="AC2040" s="74" t="s">
        <v>9562</v>
      </c>
      <c r="AD2040" s="73" t="s">
        <v>9578</v>
      </c>
      <c r="AE2040" s="74" t="s">
        <v>9579</v>
      </c>
    </row>
    <row r="2041" spans="1:31" ht="8.65" customHeight="1" x14ac:dyDescent="0.2">
      <c r="A2041" s="76">
        <v>2041</v>
      </c>
      <c r="B2041" s="67" t="str">
        <f>MID(C2041, FIND("Ifc.", C2041) + 4, 4) &amp; "_" &amp; TEXT(COUNTIF($C$2:C2041, C2041),"0000")</f>
        <v>Prop_2040</v>
      </c>
      <c r="C2041" s="24" t="s">
        <v>872</v>
      </c>
      <c r="D2041" s="69" t="s">
        <v>9453</v>
      </c>
      <c r="E2041" s="70" t="s">
        <v>9454</v>
      </c>
      <c r="F2041" s="17" t="s">
        <v>806</v>
      </c>
      <c r="G2041" s="22" t="s">
        <v>2200</v>
      </c>
      <c r="H2041" s="12" t="s">
        <v>9703</v>
      </c>
      <c r="I2041" s="13" t="s">
        <v>7517</v>
      </c>
      <c r="J2041" s="14" t="s">
        <v>798</v>
      </c>
      <c r="K2041" s="15" t="s">
        <v>798</v>
      </c>
      <c r="L2041" s="12" t="s">
        <v>5315</v>
      </c>
      <c r="M2041" s="13" t="s">
        <v>5857</v>
      </c>
      <c r="N2041" s="12" t="s">
        <v>803</v>
      </c>
      <c r="O2041" s="13" t="s">
        <v>5119</v>
      </c>
      <c r="P2041" s="17" t="s">
        <v>802</v>
      </c>
      <c r="Q2041" s="21" t="s">
        <v>8080</v>
      </c>
      <c r="R2041" s="17" t="s">
        <v>801</v>
      </c>
      <c r="S2041" s="18" t="s">
        <v>2560</v>
      </c>
      <c r="T2041" s="17" t="s">
        <v>800</v>
      </c>
      <c r="U2041" s="18" t="s">
        <v>5236</v>
      </c>
      <c r="V2041" s="17" t="s">
        <v>9418</v>
      </c>
      <c r="W2041" s="18" t="s">
        <v>5309</v>
      </c>
      <c r="X2041" s="69" t="s">
        <v>9453</v>
      </c>
      <c r="Y2041" s="70" t="s">
        <v>9462</v>
      </c>
      <c r="Z2041" s="73" t="s">
        <v>9486</v>
      </c>
      <c r="AA2041" s="74" t="s">
        <v>9504</v>
      </c>
      <c r="AB2041" s="73" t="s">
        <v>9486</v>
      </c>
      <c r="AC2041" s="74" t="s">
        <v>9562</v>
      </c>
      <c r="AD2041" s="73" t="s">
        <v>9578</v>
      </c>
      <c r="AE2041" s="74" t="s">
        <v>9579</v>
      </c>
    </row>
    <row r="2042" spans="1:31" ht="8.65" customHeight="1" x14ac:dyDescent="0.2">
      <c r="A2042" s="76">
        <v>2042</v>
      </c>
      <c r="B2042" s="67" t="str">
        <f>MID(C2042, FIND("Ifc.", C2042) + 4, 4) &amp; "_" &amp; TEXT(COUNTIF($C$2:C2042, C2042),"0000")</f>
        <v>Prop_2041</v>
      </c>
      <c r="C2042" s="24" t="s">
        <v>872</v>
      </c>
      <c r="D2042" s="69" t="s">
        <v>9453</v>
      </c>
      <c r="E2042" s="70" t="s">
        <v>9454</v>
      </c>
      <c r="F2042" s="17" t="s">
        <v>806</v>
      </c>
      <c r="G2042" s="22" t="s">
        <v>2238</v>
      </c>
      <c r="H2042" s="12" t="s">
        <v>9703</v>
      </c>
      <c r="I2042" s="13" t="s">
        <v>7523</v>
      </c>
      <c r="J2042" s="14" t="s">
        <v>798</v>
      </c>
      <c r="K2042" s="15" t="s">
        <v>798</v>
      </c>
      <c r="L2042" s="12" t="s">
        <v>5315</v>
      </c>
      <c r="M2042" s="13" t="s">
        <v>5516</v>
      </c>
      <c r="N2042" s="12" t="s">
        <v>803</v>
      </c>
      <c r="O2042" s="13" t="s">
        <v>5131</v>
      </c>
      <c r="P2042" s="17" t="s">
        <v>802</v>
      </c>
      <c r="Q2042" s="21" t="s">
        <v>7717</v>
      </c>
      <c r="R2042" s="17" t="s">
        <v>801</v>
      </c>
      <c r="S2042" s="18" t="s">
        <v>2560</v>
      </c>
      <c r="T2042" s="17" t="s">
        <v>800</v>
      </c>
      <c r="U2042" s="18" t="s">
        <v>5236</v>
      </c>
      <c r="V2042" s="17" t="s">
        <v>9418</v>
      </c>
      <c r="W2042" s="18" t="s">
        <v>5309</v>
      </c>
      <c r="X2042" s="69" t="s">
        <v>9453</v>
      </c>
      <c r="Y2042" s="70" t="s">
        <v>9462</v>
      </c>
      <c r="Z2042" s="73" t="s">
        <v>9486</v>
      </c>
      <c r="AA2042" s="74" t="s">
        <v>9504</v>
      </c>
      <c r="AB2042" s="73" t="s">
        <v>9486</v>
      </c>
      <c r="AC2042" s="74" t="s">
        <v>9562</v>
      </c>
      <c r="AD2042" s="73" t="s">
        <v>9578</v>
      </c>
      <c r="AE2042" s="74" t="s">
        <v>9579</v>
      </c>
    </row>
    <row r="2043" spans="1:31" ht="8.65" customHeight="1" x14ac:dyDescent="0.2">
      <c r="A2043" s="76">
        <v>2043</v>
      </c>
      <c r="B2043" s="67" t="str">
        <f>MID(C2043, FIND("Ifc.", C2043) + 4, 4) &amp; "_" &amp; TEXT(COUNTIF($C$2:C2043, C2043),"0000")</f>
        <v>Prop_2042</v>
      </c>
      <c r="C2043" s="24" t="s">
        <v>872</v>
      </c>
      <c r="D2043" s="69" t="s">
        <v>9453</v>
      </c>
      <c r="E2043" s="70" t="s">
        <v>9454</v>
      </c>
      <c r="F2043" s="17" t="s">
        <v>806</v>
      </c>
      <c r="G2043" s="22" t="s">
        <v>1269</v>
      </c>
      <c r="H2043" s="12" t="s">
        <v>9703</v>
      </c>
      <c r="I2043" s="13" t="s">
        <v>7518</v>
      </c>
      <c r="J2043" s="14" t="s">
        <v>798</v>
      </c>
      <c r="K2043" s="15" t="s">
        <v>798</v>
      </c>
      <c r="L2043" s="12" t="s">
        <v>5315</v>
      </c>
      <c r="M2043" s="13" t="s">
        <v>5404</v>
      </c>
      <c r="N2043" s="12" t="s">
        <v>803</v>
      </c>
      <c r="O2043" s="13" t="s">
        <v>4892</v>
      </c>
      <c r="P2043" s="17" t="s">
        <v>802</v>
      </c>
      <c r="Q2043" s="21" t="s">
        <v>7965</v>
      </c>
      <c r="R2043" s="17" t="s">
        <v>801</v>
      </c>
      <c r="S2043" s="18" t="s">
        <v>2560</v>
      </c>
      <c r="T2043" s="17" t="s">
        <v>800</v>
      </c>
      <c r="U2043" s="18" t="s">
        <v>5236</v>
      </c>
      <c r="V2043" s="17" t="s">
        <v>9418</v>
      </c>
      <c r="W2043" s="18" t="s">
        <v>5309</v>
      </c>
      <c r="X2043" s="69" t="s">
        <v>9453</v>
      </c>
      <c r="Y2043" s="70" t="s">
        <v>9462</v>
      </c>
      <c r="Z2043" s="73" t="s">
        <v>9486</v>
      </c>
      <c r="AA2043" s="74" t="s">
        <v>9504</v>
      </c>
      <c r="AB2043" s="73" t="s">
        <v>9486</v>
      </c>
      <c r="AC2043" s="74" t="s">
        <v>9562</v>
      </c>
      <c r="AD2043" s="73" t="s">
        <v>9578</v>
      </c>
      <c r="AE2043" s="74" t="s">
        <v>9579</v>
      </c>
    </row>
    <row r="2044" spans="1:31" ht="8.65" customHeight="1" x14ac:dyDescent="0.2">
      <c r="A2044" s="76">
        <v>2044</v>
      </c>
      <c r="B2044" s="67" t="str">
        <f>MID(C2044, FIND("Ifc.", C2044) + 4, 4) &amp; "_" &amp; TEXT(COUNTIF($C$2:C2044, C2044),"0000")</f>
        <v>Prop_2043</v>
      </c>
      <c r="C2044" s="24" t="s">
        <v>872</v>
      </c>
      <c r="D2044" s="69" t="s">
        <v>9453</v>
      </c>
      <c r="E2044" s="70" t="s">
        <v>9454</v>
      </c>
      <c r="F2044" s="17" t="s">
        <v>806</v>
      </c>
      <c r="G2044" s="22" t="s">
        <v>2291</v>
      </c>
      <c r="H2044" s="12" t="s">
        <v>9703</v>
      </c>
      <c r="I2044" s="13" t="s">
        <v>7519</v>
      </c>
      <c r="J2044" s="14" t="s">
        <v>798</v>
      </c>
      <c r="K2044" s="15" t="s">
        <v>798</v>
      </c>
      <c r="L2044" s="12" t="s">
        <v>5315</v>
      </c>
      <c r="M2044" s="13" t="s">
        <v>5550</v>
      </c>
      <c r="N2044" s="12" t="s">
        <v>803</v>
      </c>
      <c r="O2044" s="13" t="s">
        <v>5162</v>
      </c>
      <c r="P2044" s="17" t="s">
        <v>802</v>
      </c>
      <c r="Q2044" s="21" t="s">
        <v>7870</v>
      </c>
      <c r="R2044" s="17" t="s">
        <v>801</v>
      </c>
      <c r="S2044" s="18" t="s">
        <v>2560</v>
      </c>
      <c r="T2044" s="17" t="s">
        <v>800</v>
      </c>
      <c r="U2044" s="18" t="s">
        <v>5236</v>
      </c>
      <c r="V2044" s="17" t="s">
        <v>9418</v>
      </c>
      <c r="W2044" s="18" t="s">
        <v>5309</v>
      </c>
      <c r="X2044" s="69" t="s">
        <v>9453</v>
      </c>
      <c r="Y2044" s="70" t="s">
        <v>9462</v>
      </c>
      <c r="Z2044" s="73" t="s">
        <v>9486</v>
      </c>
      <c r="AA2044" s="74" t="s">
        <v>9504</v>
      </c>
      <c r="AB2044" s="73" t="s">
        <v>9486</v>
      </c>
      <c r="AC2044" s="74" t="s">
        <v>9562</v>
      </c>
      <c r="AD2044" s="73" t="s">
        <v>9578</v>
      </c>
      <c r="AE2044" s="74" t="s">
        <v>9579</v>
      </c>
    </row>
    <row r="2045" spans="1:31" ht="8.65" customHeight="1" x14ac:dyDescent="0.2">
      <c r="A2045" s="76">
        <v>2045</v>
      </c>
      <c r="B2045" s="67" t="str">
        <f>MID(C2045, FIND("Ifc.", C2045) + 4, 4) &amp; "_" &amp; TEXT(COUNTIF($C$2:C2045, C2045),"0000")</f>
        <v>Prop_2044</v>
      </c>
      <c r="C2045" s="24" t="s">
        <v>872</v>
      </c>
      <c r="D2045" s="69" t="s">
        <v>9453</v>
      </c>
      <c r="E2045" s="70" t="s">
        <v>9454</v>
      </c>
      <c r="F2045" s="17" t="s">
        <v>806</v>
      </c>
      <c r="G2045" s="22" t="s">
        <v>1069</v>
      </c>
      <c r="H2045" s="12" t="s">
        <v>9703</v>
      </c>
      <c r="I2045" s="13" t="s">
        <v>7520</v>
      </c>
      <c r="J2045" s="14" t="s">
        <v>798</v>
      </c>
      <c r="K2045" s="15" t="s">
        <v>798</v>
      </c>
      <c r="L2045" s="12" t="s">
        <v>5315</v>
      </c>
      <c r="M2045" s="13" t="s">
        <v>5779</v>
      </c>
      <c r="N2045" s="12" t="s">
        <v>803</v>
      </c>
      <c r="O2045" s="13" t="s">
        <v>4846</v>
      </c>
      <c r="P2045" s="17" t="s">
        <v>802</v>
      </c>
      <c r="Q2045" s="21" t="s">
        <v>7936</v>
      </c>
      <c r="R2045" s="17" t="s">
        <v>801</v>
      </c>
      <c r="S2045" s="18" t="s">
        <v>2560</v>
      </c>
      <c r="T2045" s="17" t="s">
        <v>800</v>
      </c>
      <c r="U2045" s="18" t="s">
        <v>5236</v>
      </c>
      <c r="V2045" s="17" t="s">
        <v>9418</v>
      </c>
      <c r="W2045" s="18" t="s">
        <v>5309</v>
      </c>
      <c r="X2045" s="69" t="s">
        <v>9453</v>
      </c>
      <c r="Y2045" s="70" t="s">
        <v>9462</v>
      </c>
      <c r="Z2045" s="73" t="s">
        <v>9486</v>
      </c>
      <c r="AA2045" s="74" t="s">
        <v>9504</v>
      </c>
      <c r="AB2045" s="73" t="s">
        <v>9486</v>
      </c>
      <c r="AC2045" s="74" t="s">
        <v>9562</v>
      </c>
      <c r="AD2045" s="73" t="s">
        <v>9578</v>
      </c>
      <c r="AE2045" s="74" t="s">
        <v>9579</v>
      </c>
    </row>
    <row r="2046" spans="1:31" ht="8.65" customHeight="1" x14ac:dyDescent="0.2">
      <c r="A2046" s="76">
        <v>2046</v>
      </c>
      <c r="B2046" s="67" t="str">
        <f>MID(C2046, FIND("Ifc.", C2046) + 4, 4) &amp; "_" &amp; TEXT(COUNTIF($C$2:C2046, C2046),"0000")</f>
        <v>Prop_2045</v>
      </c>
      <c r="C2046" s="24" t="s">
        <v>872</v>
      </c>
      <c r="D2046" s="69" t="s">
        <v>9453</v>
      </c>
      <c r="E2046" s="70" t="s">
        <v>9454</v>
      </c>
      <c r="F2046" s="17" t="s">
        <v>806</v>
      </c>
      <c r="G2046" s="22" t="s">
        <v>1957</v>
      </c>
      <c r="H2046" s="12" t="s">
        <v>9703</v>
      </c>
      <c r="I2046" s="13" t="s">
        <v>6593</v>
      </c>
      <c r="J2046" s="14" t="s">
        <v>798</v>
      </c>
      <c r="K2046" s="15" t="s">
        <v>798</v>
      </c>
      <c r="L2046" s="12" t="s">
        <v>5315</v>
      </c>
      <c r="M2046" s="13" t="s">
        <v>5472</v>
      </c>
      <c r="N2046" s="12" t="s">
        <v>803</v>
      </c>
      <c r="O2046" s="13" t="s">
        <v>5067</v>
      </c>
      <c r="P2046" s="17" t="s">
        <v>802</v>
      </c>
      <c r="Q2046" s="21" t="s">
        <v>7791</v>
      </c>
      <c r="R2046" s="17" t="s">
        <v>801</v>
      </c>
      <c r="S2046" s="18" t="s">
        <v>2631</v>
      </c>
      <c r="T2046" s="17" t="s">
        <v>800</v>
      </c>
      <c r="U2046" s="18" t="s">
        <v>5253</v>
      </c>
      <c r="V2046" s="17" t="s">
        <v>9418</v>
      </c>
      <c r="W2046" s="18" t="s">
        <v>5312</v>
      </c>
      <c r="X2046" s="69" t="s">
        <v>9453</v>
      </c>
      <c r="Y2046" s="70" t="s">
        <v>9465</v>
      </c>
      <c r="Z2046" s="73" t="s">
        <v>9486</v>
      </c>
      <c r="AA2046" s="74" t="s">
        <v>9504</v>
      </c>
      <c r="AB2046" s="73" t="s">
        <v>9486</v>
      </c>
      <c r="AC2046" s="74" t="s">
        <v>9566</v>
      </c>
      <c r="AD2046" s="73" t="s">
        <v>9578</v>
      </c>
      <c r="AE2046" s="74" t="s">
        <v>9579</v>
      </c>
    </row>
    <row r="2047" spans="1:31" ht="8.65" customHeight="1" x14ac:dyDescent="0.2">
      <c r="A2047" s="76">
        <v>2047</v>
      </c>
      <c r="B2047" s="67" t="str">
        <f>MID(C2047, FIND("Ifc.", C2047) + 4, 4) &amp; "_" &amp; TEXT(COUNTIF($C$2:C2047, C2047),"0000")</f>
        <v>Prop_2046</v>
      </c>
      <c r="C2047" s="24" t="s">
        <v>872</v>
      </c>
      <c r="D2047" s="69" t="s">
        <v>9453</v>
      </c>
      <c r="E2047" s="70" t="s">
        <v>9454</v>
      </c>
      <c r="F2047" s="17" t="s">
        <v>806</v>
      </c>
      <c r="G2047" s="22" t="s">
        <v>1597</v>
      </c>
      <c r="H2047" s="12" t="s">
        <v>9703</v>
      </c>
      <c r="I2047" s="13" t="s">
        <v>7181</v>
      </c>
      <c r="J2047" s="14" t="s">
        <v>798</v>
      </c>
      <c r="K2047" s="15" t="s">
        <v>798</v>
      </c>
      <c r="L2047" s="12" t="s">
        <v>5315</v>
      </c>
      <c r="M2047" s="13" t="s">
        <v>5899</v>
      </c>
      <c r="N2047" s="12" t="s">
        <v>803</v>
      </c>
      <c r="O2047" s="13" t="s">
        <v>4968</v>
      </c>
      <c r="P2047" s="17" t="s">
        <v>802</v>
      </c>
      <c r="Q2047" s="21" t="s">
        <v>7786</v>
      </c>
      <c r="R2047" s="17" t="s">
        <v>801</v>
      </c>
      <c r="S2047" s="18" t="s">
        <v>3636</v>
      </c>
      <c r="T2047" s="17" t="s">
        <v>800</v>
      </c>
      <c r="U2047" s="18" t="s">
        <v>5257</v>
      </c>
      <c r="V2047" s="17" t="s">
        <v>9418</v>
      </c>
      <c r="W2047" s="18" t="s">
        <v>5314</v>
      </c>
      <c r="X2047" s="69" t="s">
        <v>9453</v>
      </c>
      <c r="Y2047" s="70" t="s">
        <v>9464</v>
      </c>
      <c r="Z2047" s="73" t="s">
        <v>9486</v>
      </c>
      <c r="AA2047" s="74" t="s">
        <v>9504</v>
      </c>
      <c r="AB2047" s="73" t="s">
        <v>9486</v>
      </c>
      <c r="AC2047" s="74" t="s">
        <v>9561</v>
      </c>
      <c r="AD2047" s="73" t="s">
        <v>9578</v>
      </c>
      <c r="AE2047" s="74" t="s">
        <v>9579</v>
      </c>
    </row>
    <row r="2048" spans="1:31" ht="8.65" customHeight="1" x14ac:dyDescent="0.2">
      <c r="A2048" s="76">
        <v>2048</v>
      </c>
      <c r="B2048" s="67" t="str">
        <f>MID(C2048, FIND("Ifc.", C2048) + 4, 4) &amp; "_" &amp; TEXT(COUNTIF($C$2:C2048, C2048),"0000")</f>
        <v>Prop_2047</v>
      </c>
      <c r="C2048" s="24" t="s">
        <v>872</v>
      </c>
      <c r="D2048" s="69" t="s">
        <v>9453</v>
      </c>
      <c r="E2048" s="70" t="s">
        <v>9454</v>
      </c>
      <c r="F2048" s="17" t="s">
        <v>806</v>
      </c>
      <c r="G2048" s="22" t="s">
        <v>1599</v>
      </c>
      <c r="H2048" s="12" t="s">
        <v>9703</v>
      </c>
      <c r="I2048" s="13" t="s">
        <v>7272</v>
      </c>
      <c r="J2048" s="14" t="s">
        <v>798</v>
      </c>
      <c r="K2048" s="15" t="s">
        <v>798</v>
      </c>
      <c r="L2048" s="12" t="s">
        <v>5315</v>
      </c>
      <c r="M2048" s="13" t="s">
        <v>5899</v>
      </c>
      <c r="N2048" s="12" t="s">
        <v>803</v>
      </c>
      <c r="O2048" s="13" t="s">
        <v>4968</v>
      </c>
      <c r="P2048" s="17" t="s">
        <v>802</v>
      </c>
      <c r="Q2048" s="21" t="s">
        <v>7786</v>
      </c>
      <c r="R2048" s="17" t="s">
        <v>801</v>
      </c>
      <c r="S2048" s="18" t="s">
        <v>3636</v>
      </c>
      <c r="T2048" s="17" t="s">
        <v>800</v>
      </c>
      <c r="U2048" s="18" t="s">
        <v>5257</v>
      </c>
      <c r="V2048" s="17" t="s">
        <v>9418</v>
      </c>
      <c r="W2048" s="18" t="s">
        <v>5314</v>
      </c>
      <c r="X2048" s="69" t="s">
        <v>9453</v>
      </c>
      <c r="Y2048" s="70" t="s">
        <v>9464</v>
      </c>
      <c r="Z2048" s="73" t="s">
        <v>9486</v>
      </c>
      <c r="AA2048" s="74" t="s">
        <v>9504</v>
      </c>
      <c r="AB2048" s="73" t="s">
        <v>9486</v>
      </c>
      <c r="AC2048" s="74" t="s">
        <v>9561</v>
      </c>
      <c r="AD2048" s="73" t="s">
        <v>9578</v>
      </c>
      <c r="AE2048" s="74" t="s">
        <v>9579</v>
      </c>
    </row>
    <row r="2049" spans="1:31" ht="8.65" customHeight="1" x14ac:dyDescent="0.2">
      <c r="A2049" s="76">
        <v>2049</v>
      </c>
      <c r="B2049" s="67" t="str">
        <f>MID(C2049, FIND("Ifc.", C2049) + 4, 4) &amp; "_" &amp; TEXT(COUNTIF($C$2:C2049, C2049),"0000")</f>
        <v>Prop_2048</v>
      </c>
      <c r="C2049" s="24" t="s">
        <v>872</v>
      </c>
      <c r="D2049" s="69" t="s">
        <v>9453</v>
      </c>
      <c r="E2049" s="70" t="s">
        <v>9454</v>
      </c>
      <c r="F2049" s="17" t="s">
        <v>806</v>
      </c>
      <c r="G2049" s="22" t="s">
        <v>1628</v>
      </c>
      <c r="H2049" s="12" t="s">
        <v>9703</v>
      </c>
      <c r="I2049" s="13" t="s">
        <v>7270</v>
      </c>
      <c r="J2049" s="14" t="s">
        <v>798</v>
      </c>
      <c r="K2049" s="15" t="s">
        <v>798</v>
      </c>
      <c r="L2049" s="12" t="s">
        <v>5315</v>
      </c>
      <c r="M2049" s="13" t="s">
        <v>5834</v>
      </c>
      <c r="N2049" s="12" t="s">
        <v>803</v>
      </c>
      <c r="O2049" s="13" t="s">
        <v>4976</v>
      </c>
      <c r="P2049" s="17" t="s">
        <v>802</v>
      </c>
      <c r="Q2049" s="21" t="s">
        <v>7883</v>
      </c>
      <c r="R2049" s="17" t="s">
        <v>801</v>
      </c>
      <c r="S2049" s="18" t="s">
        <v>3636</v>
      </c>
      <c r="T2049" s="17" t="s">
        <v>800</v>
      </c>
      <c r="U2049" s="18" t="s">
        <v>5257</v>
      </c>
      <c r="V2049" s="17" t="s">
        <v>9418</v>
      </c>
      <c r="W2049" s="18" t="s">
        <v>5314</v>
      </c>
      <c r="X2049" s="69" t="s">
        <v>9453</v>
      </c>
      <c r="Y2049" s="70" t="s">
        <v>9464</v>
      </c>
      <c r="Z2049" s="73" t="s">
        <v>9486</v>
      </c>
      <c r="AA2049" s="74" t="s">
        <v>9504</v>
      </c>
      <c r="AB2049" s="73" t="s">
        <v>9486</v>
      </c>
      <c r="AC2049" s="74" t="s">
        <v>9561</v>
      </c>
      <c r="AD2049" s="73" t="s">
        <v>9578</v>
      </c>
      <c r="AE2049" s="74" t="s">
        <v>9579</v>
      </c>
    </row>
    <row r="2050" spans="1:31" ht="8.65" customHeight="1" x14ac:dyDescent="0.2">
      <c r="A2050" s="76">
        <v>2050</v>
      </c>
      <c r="B2050" s="67" t="str">
        <f>MID(C2050, FIND("Ifc.", C2050) + 4, 4) &amp; "_" &amp; TEXT(COUNTIF($C$2:C2050, C2050),"0000")</f>
        <v>Prop_2049</v>
      </c>
      <c r="C2050" s="24" t="s">
        <v>872</v>
      </c>
      <c r="D2050" s="69" t="s">
        <v>9453</v>
      </c>
      <c r="E2050" s="70" t="s">
        <v>9454</v>
      </c>
      <c r="F2050" s="17" t="s">
        <v>806</v>
      </c>
      <c r="G2050" s="22" t="s">
        <v>1674</v>
      </c>
      <c r="H2050" s="12" t="s">
        <v>9703</v>
      </c>
      <c r="I2050" s="13" t="s">
        <v>7271</v>
      </c>
      <c r="J2050" s="14" t="s">
        <v>798</v>
      </c>
      <c r="K2050" s="15" t="s">
        <v>798</v>
      </c>
      <c r="L2050" s="12" t="s">
        <v>5315</v>
      </c>
      <c r="M2050" s="13" t="s">
        <v>5848</v>
      </c>
      <c r="N2050" s="12" t="s">
        <v>803</v>
      </c>
      <c r="O2050" s="13" t="s">
        <v>4994</v>
      </c>
      <c r="P2050" s="17" t="s">
        <v>802</v>
      </c>
      <c r="Q2050" s="21" t="s">
        <v>8021</v>
      </c>
      <c r="R2050" s="17" t="s">
        <v>801</v>
      </c>
      <c r="S2050" s="18" t="s">
        <v>3636</v>
      </c>
      <c r="T2050" s="17" t="s">
        <v>800</v>
      </c>
      <c r="U2050" s="18" t="s">
        <v>5257</v>
      </c>
      <c r="V2050" s="17" t="s">
        <v>9418</v>
      </c>
      <c r="W2050" s="18" t="s">
        <v>5314</v>
      </c>
      <c r="X2050" s="69" t="s">
        <v>9453</v>
      </c>
      <c r="Y2050" s="70" t="s">
        <v>9464</v>
      </c>
      <c r="Z2050" s="73" t="s">
        <v>9486</v>
      </c>
      <c r="AA2050" s="74" t="s">
        <v>9504</v>
      </c>
      <c r="AB2050" s="73" t="s">
        <v>9486</v>
      </c>
      <c r="AC2050" s="74" t="s">
        <v>9561</v>
      </c>
      <c r="AD2050" s="73" t="s">
        <v>9578</v>
      </c>
      <c r="AE2050" s="74" t="s">
        <v>9579</v>
      </c>
    </row>
    <row r="2051" spans="1:31" ht="8.65" customHeight="1" x14ac:dyDescent="0.2">
      <c r="A2051" s="76">
        <v>2051</v>
      </c>
      <c r="B2051" s="67" t="str">
        <f>MID(C2051, FIND("Ifc.", C2051) + 4, 4) &amp; "_" &amp; TEXT(COUNTIF($C$2:C2051, C2051),"0000")</f>
        <v>Prop_2050</v>
      </c>
      <c r="C2051" s="24" t="s">
        <v>872</v>
      </c>
      <c r="D2051" s="69" t="s">
        <v>9453</v>
      </c>
      <c r="E2051" s="70" t="s">
        <v>9454</v>
      </c>
      <c r="F2051" s="17" t="s">
        <v>806</v>
      </c>
      <c r="G2051" s="22" t="s">
        <v>1673</v>
      </c>
      <c r="H2051" s="12" t="s">
        <v>9703</v>
      </c>
      <c r="I2051" s="13" t="s">
        <v>7288</v>
      </c>
      <c r="J2051" s="14" t="s">
        <v>798</v>
      </c>
      <c r="K2051" s="15" t="s">
        <v>798</v>
      </c>
      <c r="L2051" s="12" t="s">
        <v>5315</v>
      </c>
      <c r="M2051" s="13" t="s">
        <v>5848</v>
      </c>
      <c r="N2051" s="12" t="s">
        <v>803</v>
      </c>
      <c r="O2051" s="13" t="s">
        <v>4994</v>
      </c>
      <c r="P2051" s="17" t="s">
        <v>802</v>
      </c>
      <c r="Q2051" s="21" t="s">
        <v>8021</v>
      </c>
      <c r="R2051" s="17" t="s">
        <v>801</v>
      </c>
      <c r="S2051" s="18" t="s">
        <v>3636</v>
      </c>
      <c r="T2051" s="17" t="s">
        <v>800</v>
      </c>
      <c r="U2051" s="18" t="s">
        <v>5257</v>
      </c>
      <c r="V2051" s="17" t="s">
        <v>9418</v>
      </c>
      <c r="W2051" s="18" t="s">
        <v>5314</v>
      </c>
      <c r="X2051" s="69" t="s">
        <v>9453</v>
      </c>
      <c r="Y2051" s="70" t="s">
        <v>9464</v>
      </c>
      <c r="Z2051" s="73" t="s">
        <v>9486</v>
      </c>
      <c r="AA2051" s="74" t="s">
        <v>9504</v>
      </c>
      <c r="AB2051" s="73" t="s">
        <v>9486</v>
      </c>
      <c r="AC2051" s="74" t="s">
        <v>9561</v>
      </c>
      <c r="AD2051" s="73" t="s">
        <v>9578</v>
      </c>
      <c r="AE2051" s="74" t="s">
        <v>9579</v>
      </c>
    </row>
    <row r="2052" spans="1:31" ht="8.65" customHeight="1" x14ac:dyDescent="0.2">
      <c r="A2052" s="76">
        <v>2052</v>
      </c>
      <c r="B2052" s="67" t="str">
        <f>MID(C2052, FIND("Ifc.", C2052) + 4, 4) &amp; "_" &amp; TEXT(COUNTIF($C$2:C2052, C2052),"0000")</f>
        <v>Prop_2051</v>
      </c>
      <c r="C2052" s="24" t="s">
        <v>872</v>
      </c>
      <c r="D2052" s="69" t="s">
        <v>9453</v>
      </c>
      <c r="E2052" s="70" t="s">
        <v>9454</v>
      </c>
      <c r="F2052" s="17" t="s">
        <v>806</v>
      </c>
      <c r="G2052" s="22" t="s">
        <v>2382</v>
      </c>
      <c r="H2052" s="12" t="s">
        <v>9703</v>
      </c>
      <c r="I2052" s="13" t="s">
        <v>6763</v>
      </c>
      <c r="J2052" s="14" t="s">
        <v>798</v>
      </c>
      <c r="K2052" s="15" t="s">
        <v>798</v>
      </c>
      <c r="L2052" s="12" t="s">
        <v>5315</v>
      </c>
      <c r="M2052" s="13" t="s">
        <v>5783</v>
      </c>
      <c r="N2052" s="12" t="s">
        <v>803</v>
      </c>
      <c r="O2052" s="13" t="s">
        <v>5181</v>
      </c>
      <c r="P2052" s="17" t="s">
        <v>802</v>
      </c>
      <c r="Q2052" s="21" t="s">
        <v>7751</v>
      </c>
      <c r="R2052" s="17" t="s">
        <v>801</v>
      </c>
      <c r="S2052" s="18" t="s">
        <v>2631</v>
      </c>
      <c r="T2052" s="17" t="s">
        <v>800</v>
      </c>
      <c r="U2052" s="18" t="s">
        <v>5253</v>
      </c>
      <c r="V2052" s="17" t="s">
        <v>9418</v>
      </c>
      <c r="W2052" s="18" t="s">
        <v>5309</v>
      </c>
      <c r="X2052" s="69" t="s">
        <v>9453</v>
      </c>
      <c r="Y2052" s="70" t="s">
        <v>9462</v>
      </c>
      <c r="Z2052" s="73" t="s">
        <v>9486</v>
      </c>
      <c r="AA2052" s="74" t="s">
        <v>9504</v>
      </c>
      <c r="AB2052" s="73" t="s">
        <v>9486</v>
      </c>
      <c r="AC2052" s="74" t="s">
        <v>9566</v>
      </c>
      <c r="AD2052" s="73" t="s">
        <v>9578</v>
      </c>
      <c r="AE2052" s="74" t="s">
        <v>9579</v>
      </c>
    </row>
    <row r="2053" spans="1:31" ht="8.65" customHeight="1" x14ac:dyDescent="0.2">
      <c r="A2053" s="76">
        <v>2053</v>
      </c>
      <c r="B2053" s="67" t="str">
        <f>MID(C2053, FIND("Ifc.", C2053) + 4, 4) &amp; "_" &amp; TEXT(COUNTIF($C$2:C2053, C2053),"0000")</f>
        <v>Prop_2052</v>
      </c>
      <c r="C2053" s="24" t="s">
        <v>872</v>
      </c>
      <c r="D2053" s="69" t="s">
        <v>9453</v>
      </c>
      <c r="E2053" s="70" t="s">
        <v>9454</v>
      </c>
      <c r="F2053" s="17" t="s">
        <v>806</v>
      </c>
      <c r="G2053" s="22" t="s">
        <v>2426</v>
      </c>
      <c r="H2053" s="12" t="s">
        <v>9703</v>
      </c>
      <c r="I2053" s="13" t="s">
        <v>7268</v>
      </c>
      <c r="J2053" s="14" t="s">
        <v>798</v>
      </c>
      <c r="K2053" s="15" t="s">
        <v>798</v>
      </c>
      <c r="L2053" s="12" t="s">
        <v>5315</v>
      </c>
      <c r="M2053" s="13" t="s">
        <v>5569</v>
      </c>
      <c r="N2053" s="12" t="s">
        <v>803</v>
      </c>
      <c r="O2053" s="13" t="s">
        <v>5202</v>
      </c>
      <c r="P2053" s="17" t="s">
        <v>802</v>
      </c>
      <c r="Q2053" s="21" t="s">
        <v>7765</v>
      </c>
      <c r="R2053" s="17" t="s">
        <v>801</v>
      </c>
      <c r="S2053" s="18" t="s">
        <v>2631</v>
      </c>
      <c r="T2053" s="17" t="s">
        <v>800</v>
      </c>
      <c r="U2053" s="18" t="s">
        <v>5253</v>
      </c>
      <c r="V2053" s="17" t="s">
        <v>9418</v>
      </c>
      <c r="W2053" s="18" t="s">
        <v>5309</v>
      </c>
      <c r="X2053" s="69" t="s">
        <v>9453</v>
      </c>
      <c r="Y2053" s="70" t="s">
        <v>9462</v>
      </c>
      <c r="Z2053" s="73" t="s">
        <v>9486</v>
      </c>
      <c r="AA2053" s="74" t="s">
        <v>9504</v>
      </c>
      <c r="AB2053" s="73" t="s">
        <v>9486</v>
      </c>
      <c r="AC2053" s="74" t="s">
        <v>9566</v>
      </c>
      <c r="AD2053" s="73" t="s">
        <v>9578</v>
      </c>
      <c r="AE2053" s="74" t="s">
        <v>9579</v>
      </c>
    </row>
    <row r="2054" spans="1:31" ht="8.65" customHeight="1" x14ac:dyDescent="0.2">
      <c r="A2054" s="76">
        <v>2054</v>
      </c>
      <c r="B2054" s="67" t="str">
        <f>MID(C2054, FIND("Ifc.", C2054) + 4, 4) &amp; "_" &amp; TEXT(COUNTIF($C$2:C2054, C2054),"0000")</f>
        <v>Prop_2053</v>
      </c>
      <c r="C2054" s="24" t="s">
        <v>872</v>
      </c>
      <c r="D2054" s="69" t="s">
        <v>9453</v>
      </c>
      <c r="E2054" s="70" t="s">
        <v>9454</v>
      </c>
      <c r="F2054" s="17" t="s">
        <v>806</v>
      </c>
      <c r="G2054" s="22" t="s">
        <v>1104</v>
      </c>
      <c r="H2054" s="12" t="s">
        <v>9703</v>
      </c>
      <c r="I2054" s="13" t="s">
        <v>7148</v>
      </c>
      <c r="J2054" s="14" t="s">
        <v>798</v>
      </c>
      <c r="K2054" s="15" t="s">
        <v>798</v>
      </c>
      <c r="L2054" s="12" t="s">
        <v>5315</v>
      </c>
      <c r="M2054" s="13" t="s">
        <v>6037</v>
      </c>
      <c r="N2054" s="12" t="s">
        <v>803</v>
      </c>
      <c r="O2054" s="13" t="s">
        <v>4857</v>
      </c>
      <c r="P2054" s="17" t="s">
        <v>802</v>
      </c>
      <c r="Q2054" s="21" t="s">
        <v>7744</v>
      </c>
      <c r="R2054" s="17" t="s">
        <v>801</v>
      </c>
      <c r="S2054" s="18" t="s">
        <v>2619</v>
      </c>
      <c r="T2054" s="17" t="s">
        <v>800</v>
      </c>
      <c r="U2054" s="18" t="s">
        <v>5239</v>
      </c>
      <c r="V2054" s="17" t="s">
        <v>9418</v>
      </c>
      <c r="W2054" s="18" t="s">
        <v>5312</v>
      </c>
      <c r="X2054" s="69" t="s">
        <v>9453</v>
      </c>
      <c r="Y2054" s="70" t="s">
        <v>9465</v>
      </c>
      <c r="Z2054" s="73" t="s">
        <v>9486</v>
      </c>
      <c r="AA2054" s="74" t="s">
        <v>9504</v>
      </c>
      <c r="AB2054" s="73" t="s">
        <v>9486</v>
      </c>
      <c r="AC2054" s="74" t="s">
        <v>9566</v>
      </c>
      <c r="AD2054" s="73" t="s">
        <v>9578</v>
      </c>
      <c r="AE2054" s="74" t="s">
        <v>9579</v>
      </c>
    </row>
    <row r="2055" spans="1:31" ht="8.65" customHeight="1" x14ac:dyDescent="0.2">
      <c r="A2055" s="76">
        <v>2055</v>
      </c>
      <c r="B2055" s="67" t="str">
        <f>MID(C2055, FIND("Ifc.", C2055) + 4, 4) &amp; "_" &amp; TEXT(COUNTIF($C$2:C2055, C2055),"0000")</f>
        <v>Prop_2054</v>
      </c>
      <c r="C2055" s="24" t="s">
        <v>872</v>
      </c>
      <c r="D2055" s="69" t="s">
        <v>9453</v>
      </c>
      <c r="E2055" s="70" t="s">
        <v>9454</v>
      </c>
      <c r="F2055" s="17" t="s">
        <v>806</v>
      </c>
      <c r="G2055" s="22" t="s">
        <v>1104</v>
      </c>
      <c r="H2055" s="12" t="s">
        <v>9703</v>
      </c>
      <c r="I2055" s="13" t="s">
        <v>7148</v>
      </c>
      <c r="J2055" s="14" t="s">
        <v>798</v>
      </c>
      <c r="K2055" s="15" t="s">
        <v>798</v>
      </c>
      <c r="L2055" s="12" t="s">
        <v>5315</v>
      </c>
      <c r="M2055" s="13" t="s">
        <v>5892</v>
      </c>
      <c r="N2055" s="12" t="s">
        <v>803</v>
      </c>
      <c r="O2055" s="13" t="s">
        <v>4961</v>
      </c>
      <c r="P2055" s="17" t="s">
        <v>802</v>
      </c>
      <c r="Q2055" s="21" t="s">
        <v>7745</v>
      </c>
      <c r="R2055" s="17" t="s">
        <v>801</v>
      </c>
      <c r="S2055" s="18" t="s">
        <v>3636</v>
      </c>
      <c r="T2055" s="17" t="s">
        <v>800</v>
      </c>
      <c r="U2055" s="18" t="s">
        <v>5257</v>
      </c>
      <c r="V2055" s="17" t="s">
        <v>9418</v>
      </c>
      <c r="W2055" s="18" t="s">
        <v>5314</v>
      </c>
      <c r="X2055" s="69" t="s">
        <v>9453</v>
      </c>
      <c r="Y2055" s="70" t="s">
        <v>9464</v>
      </c>
      <c r="Z2055" s="73" t="s">
        <v>9486</v>
      </c>
      <c r="AA2055" s="74" t="s">
        <v>9504</v>
      </c>
      <c r="AB2055" s="73" t="s">
        <v>9486</v>
      </c>
      <c r="AC2055" s="74" t="s">
        <v>9561</v>
      </c>
      <c r="AD2055" s="73" t="s">
        <v>9578</v>
      </c>
      <c r="AE2055" s="74" t="s">
        <v>9579</v>
      </c>
    </row>
    <row r="2056" spans="1:31" ht="8.65" customHeight="1" x14ac:dyDescent="0.2">
      <c r="A2056" s="76">
        <v>2056</v>
      </c>
      <c r="B2056" s="67" t="str">
        <f>MID(C2056, FIND("Ifc.", C2056) + 4, 4) &amp; "_" &amp; TEXT(COUNTIF($C$2:C2056, C2056),"0000")</f>
        <v>Prop_2055</v>
      </c>
      <c r="C2056" s="24" t="s">
        <v>872</v>
      </c>
      <c r="D2056" s="69" t="s">
        <v>9453</v>
      </c>
      <c r="E2056" s="70" t="s">
        <v>9454</v>
      </c>
      <c r="F2056" s="17" t="s">
        <v>806</v>
      </c>
      <c r="G2056" s="22" t="s">
        <v>1104</v>
      </c>
      <c r="H2056" s="12" t="s">
        <v>9703</v>
      </c>
      <c r="I2056" s="13" t="s">
        <v>7148</v>
      </c>
      <c r="J2056" s="14" t="s">
        <v>798</v>
      </c>
      <c r="K2056" s="15" t="s">
        <v>798</v>
      </c>
      <c r="L2056" s="12" t="s">
        <v>5315</v>
      </c>
      <c r="M2056" s="13" t="s">
        <v>5413</v>
      </c>
      <c r="N2056" s="12" t="s">
        <v>803</v>
      </c>
      <c r="O2056" s="13" t="s">
        <v>4911</v>
      </c>
      <c r="P2056" s="17" t="s">
        <v>802</v>
      </c>
      <c r="Q2056" s="21" t="s">
        <v>7714</v>
      </c>
      <c r="R2056" s="17" t="s">
        <v>801</v>
      </c>
      <c r="S2056" s="18" t="s">
        <v>2631</v>
      </c>
      <c r="T2056" s="17" t="s">
        <v>800</v>
      </c>
      <c r="U2056" s="18" t="s">
        <v>5253</v>
      </c>
      <c r="V2056" s="17" t="s">
        <v>9418</v>
      </c>
      <c r="W2056" s="18" t="s">
        <v>5312</v>
      </c>
      <c r="X2056" s="69" t="s">
        <v>9453</v>
      </c>
      <c r="Y2056" s="70" t="s">
        <v>9465</v>
      </c>
      <c r="Z2056" s="73" t="s">
        <v>9486</v>
      </c>
      <c r="AA2056" s="74" t="s">
        <v>9504</v>
      </c>
      <c r="AB2056" s="73" t="s">
        <v>9486</v>
      </c>
      <c r="AC2056" s="74" t="s">
        <v>9566</v>
      </c>
      <c r="AD2056" s="73" t="s">
        <v>9578</v>
      </c>
      <c r="AE2056" s="74" t="s">
        <v>9579</v>
      </c>
    </row>
    <row r="2057" spans="1:31" ht="8.65" customHeight="1" x14ac:dyDescent="0.2">
      <c r="A2057" s="76">
        <v>2057</v>
      </c>
      <c r="B2057" s="67" t="str">
        <f>MID(C2057, FIND("Ifc.", C2057) + 4, 4) &amp; "_" &amp; TEXT(COUNTIF($C$2:C2057, C2057),"0000")</f>
        <v>Prop_2056</v>
      </c>
      <c r="C2057" s="24" t="s">
        <v>872</v>
      </c>
      <c r="D2057" s="69" t="s">
        <v>9453</v>
      </c>
      <c r="E2057" s="70" t="s">
        <v>9454</v>
      </c>
      <c r="F2057" s="17" t="s">
        <v>806</v>
      </c>
      <c r="G2057" s="22" t="s">
        <v>2427</v>
      </c>
      <c r="H2057" s="12" t="s">
        <v>9703</v>
      </c>
      <c r="I2057" s="13" t="s">
        <v>7267</v>
      </c>
      <c r="J2057" s="14" t="s">
        <v>798</v>
      </c>
      <c r="K2057" s="15" t="s">
        <v>798</v>
      </c>
      <c r="L2057" s="12" t="s">
        <v>5315</v>
      </c>
      <c r="M2057" s="13" t="s">
        <v>5569</v>
      </c>
      <c r="N2057" s="12" t="s">
        <v>803</v>
      </c>
      <c r="O2057" s="13" t="s">
        <v>5202</v>
      </c>
      <c r="P2057" s="17" t="s">
        <v>802</v>
      </c>
      <c r="Q2057" s="21" t="s">
        <v>7765</v>
      </c>
      <c r="R2057" s="17" t="s">
        <v>801</v>
      </c>
      <c r="S2057" s="18" t="s">
        <v>2631</v>
      </c>
      <c r="T2057" s="17" t="s">
        <v>800</v>
      </c>
      <c r="U2057" s="18" t="s">
        <v>5253</v>
      </c>
      <c r="V2057" s="17" t="s">
        <v>9418</v>
      </c>
      <c r="W2057" s="18" t="s">
        <v>5309</v>
      </c>
      <c r="X2057" s="69" t="s">
        <v>9453</v>
      </c>
      <c r="Y2057" s="70" t="s">
        <v>9462</v>
      </c>
      <c r="Z2057" s="73" t="s">
        <v>9486</v>
      </c>
      <c r="AA2057" s="74" t="s">
        <v>9504</v>
      </c>
      <c r="AB2057" s="73" t="s">
        <v>9486</v>
      </c>
      <c r="AC2057" s="74" t="s">
        <v>9566</v>
      </c>
      <c r="AD2057" s="73" t="s">
        <v>9578</v>
      </c>
      <c r="AE2057" s="74" t="s">
        <v>9579</v>
      </c>
    </row>
    <row r="2058" spans="1:31" ht="8.65" customHeight="1" x14ac:dyDescent="0.2">
      <c r="A2058" s="76">
        <v>2058</v>
      </c>
      <c r="B2058" s="67" t="str">
        <f>MID(C2058, FIND("Ifc.", C2058) + 4, 4) &amp; "_" &amp; TEXT(COUNTIF($C$2:C2058, C2058),"0000")</f>
        <v>Prop_2057</v>
      </c>
      <c r="C2058" s="24" t="s">
        <v>872</v>
      </c>
      <c r="D2058" s="69" t="s">
        <v>9453</v>
      </c>
      <c r="E2058" s="70" t="s">
        <v>9454</v>
      </c>
      <c r="F2058" s="17" t="s">
        <v>806</v>
      </c>
      <c r="G2058" s="22" t="s">
        <v>1334</v>
      </c>
      <c r="H2058" s="12" t="s">
        <v>9703</v>
      </c>
      <c r="I2058" s="13" t="s">
        <v>7266</v>
      </c>
      <c r="J2058" s="14" t="s">
        <v>798</v>
      </c>
      <c r="K2058" s="15" t="s">
        <v>798</v>
      </c>
      <c r="L2058" s="12" t="s">
        <v>5315</v>
      </c>
      <c r="M2058" s="13" t="s">
        <v>5825</v>
      </c>
      <c r="N2058" s="12" t="s">
        <v>803</v>
      </c>
      <c r="O2058" s="13" t="s">
        <v>4912</v>
      </c>
      <c r="P2058" s="17" t="s">
        <v>802</v>
      </c>
      <c r="Q2058" s="21" t="s">
        <v>7877</v>
      </c>
      <c r="R2058" s="17" t="s">
        <v>801</v>
      </c>
      <c r="S2058" s="18" t="s">
        <v>3636</v>
      </c>
      <c r="T2058" s="17" t="s">
        <v>800</v>
      </c>
      <c r="U2058" s="18" t="s">
        <v>5257</v>
      </c>
      <c r="V2058" s="17" t="s">
        <v>9418</v>
      </c>
      <c r="W2058" s="18" t="s">
        <v>5314</v>
      </c>
      <c r="X2058" s="69" t="s">
        <v>9453</v>
      </c>
      <c r="Y2058" s="70" t="s">
        <v>9464</v>
      </c>
      <c r="Z2058" s="73" t="s">
        <v>9486</v>
      </c>
      <c r="AA2058" s="74" t="s">
        <v>9504</v>
      </c>
      <c r="AB2058" s="73" t="s">
        <v>9486</v>
      </c>
      <c r="AC2058" s="74" t="s">
        <v>9561</v>
      </c>
      <c r="AD2058" s="73" t="s">
        <v>9578</v>
      </c>
      <c r="AE2058" s="74" t="s">
        <v>9579</v>
      </c>
    </row>
    <row r="2059" spans="1:31" ht="8.65" customHeight="1" x14ac:dyDescent="0.2">
      <c r="A2059" s="76">
        <v>2059</v>
      </c>
      <c r="B2059" s="67" t="str">
        <f>MID(C2059, FIND("Ifc.", C2059) + 4, 4) &amp; "_" &amp; TEXT(COUNTIF($C$2:C2059, C2059),"0000")</f>
        <v>Prop_2058</v>
      </c>
      <c r="C2059" s="24" t="s">
        <v>872</v>
      </c>
      <c r="D2059" s="69" t="s">
        <v>9453</v>
      </c>
      <c r="E2059" s="70" t="s">
        <v>9454</v>
      </c>
      <c r="F2059" s="17" t="s">
        <v>806</v>
      </c>
      <c r="G2059" s="22" t="s">
        <v>1334</v>
      </c>
      <c r="H2059" s="12" t="s">
        <v>9703</v>
      </c>
      <c r="I2059" s="13" t="s">
        <v>7266</v>
      </c>
      <c r="J2059" s="14" t="s">
        <v>798</v>
      </c>
      <c r="K2059" s="15" t="s">
        <v>798</v>
      </c>
      <c r="L2059" s="12" t="s">
        <v>5315</v>
      </c>
      <c r="M2059" s="13" t="s">
        <v>5413</v>
      </c>
      <c r="N2059" s="12" t="s">
        <v>803</v>
      </c>
      <c r="O2059" s="13" t="s">
        <v>4911</v>
      </c>
      <c r="P2059" s="17" t="s">
        <v>802</v>
      </c>
      <c r="Q2059" s="21" t="s">
        <v>7714</v>
      </c>
      <c r="R2059" s="17" t="s">
        <v>801</v>
      </c>
      <c r="S2059" s="18" t="s">
        <v>2631</v>
      </c>
      <c r="T2059" s="17" t="s">
        <v>800</v>
      </c>
      <c r="U2059" s="18" t="s">
        <v>5253</v>
      </c>
      <c r="V2059" s="17" t="s">
        <v>9418</v>
      </c>
      <c r="W2059" s="18" t="s">
        <v>5312</v>
      </c>
      <c r="X2059" s="69" t="s">
        <v>9453</v>
      </c>
      <c r="Y2059" s="70" t="s">
        <v>9465</v>
      </c>
      <c r="Z2059" s="73" t="s">
        <v>9486</v>
      </c>
      <c r="AA2059" s="74" t="s">
        <v>9504</v>
      </c>
      <c r="AB2059" s="73" t="s">
        <v>9486</v>
      </c>
      <c r="AC2059" s="74" t="s">
        <v>9566</v>
      </c>
      <c r="AD2059" s="73" t="s">
        <v>9578</v>
      </c>
      <c r="AE2059" s="74" t="s">
        <v>9579</v>
      </c>
    </row>
    <row r="2060" spans="1:31" ht="8.65" customHeight="1" x14ac:dyDescent="0.2">
      <c r="A2060" s="76">
        <v>2060</v>
      </c>
      <c r="B2060" s="67" t="str">
        <f>MID(C2060, FIND("Ifc.", C2060) + 4, 4) &amp; "_" &amp; TEXT(COUNTIF($C$2:C2060, C2060),"0000")</f>
        <v>Prop_2059</v>
      </c>
      <c r="C2060" s="24" t="s">
        <v>872</v>
      </c>
      <c r="D2060" s="69" t="s">
        <v>9453</v>
      </c>
      <c r="E2060" s="70" t="s">
        <v>9454</v>
      </c>
      <c r="F2060" s="17" t="s">
        <v>806</v>
      </c>
      <c r="G2060" s="22" t="s">
        <v>1559</v>
      </c>
      <c r="H2060" s="12" t="s">
        <v>9703</v>
      </c>
      <c r="I2060" s="13" t="s">
        <v>6383</v>
      </c>
      <c r="J2060" s="14" t="s">
        <v>798</v>
      </c>
      <c r="K2060" s="15" t="s">
        <v>798</v>
      </c>
      <c r="L2060" s="12" t="s">
        <v>5315</v>
      </c>
      <c r="M2060" s="13" t="s">
        <v>5891</v>
      </c>
      <c r="N2060" s="12" t="s">
        <v>803</v>
      </c>
      <c r="O2060" s="13" t="s">
        <v>4960</v>
      </c>
      <c r="P2060" s="17" t="s">
        <v>802</v>
      </c>
      <c r="Q2060" s="21" t="s">
        <v>7813</v>
      </c>
      <c r="R2060" s="17" t="s">
        <v>801</v>
      </c>
      <c r="S2060" s="18" t="s">
        <v>3636</v>
      </c>
      <c r="T2060" s="17" t="s">
        <v>800</v>
      </c>
      <c r="U2060" s="18" t="s">
        <v>5257</v>
      </c>
      <c r="V2060" s="17" t="s">
        <v>9418</v>
      </c>
      <c r="W2060" s="18" t="s">
        <v>5314</v>
      </c>
      <c r="X2060" s="69" t="s">
        <v>9453</v>
      </c>
      <c r="Y2060" s="70" t="s">
        <v>9464</v>
      </c>
      <c r="Z2060" s="73" t="s">
        <v>9486</v>
      </c>
      <c r="AA2060" s="74" t="s">
        <v>9504</v>
      </c>
      <c r="AB2060" s="73" t="s">
        <v>9486</v>
      </c>
      <c r="AC2060" s="74" t="s">
        <v>9561</v>
      </c>
      <c r="AD2060" s="73" t="s">
        <v>9578</v>
      </c>
      <c r="AE2060" s="74" t="s">
        <v>9579</v>
      </c>
    </row>
    <row r="2061" spans="1:31" ht="8.65" customHeight="1" x14ac:dyDescent="0.2">
      <c r="A2061" s="76">
        <v>2061</v>
      </c>
      <c r="B2061" s="67" t="str">
        <f>MID(C2061, FIND("Ifc.", C2061) + 4, 4) &amp; "_" &amp; TEXT(COUNTIF($C$2:C2061, C2061),"0000")</f>
        <v>Prop_2060</v>
      </c>
      <c r="C2061" s="24" t="s">
        <v>872</v>
      </c>
      <c r="D2061" s="69" t="s">
        <v>9453</v>
      </c>
      <c r="E2061" s="70" t="s">
        <v>9454</v>
      </c>
      <c r="F2061" s="17" t="s">
        <v>806</v>
      </c>
      <c r="G2061" s="22" t="s">
        <v>1559</v>
      </c>
      <c r="H2061" s="12" t="s">
        <v>9703</v>
      </c>
      <c r="I2061" s="13" t="s">
        <v>6383</v>
      </c>
      <c r="J2061" s="14" t="s">
        <v>798</v>
      </c>
      <c r="K2061" s="15" t="s">
        <v>798</v>
      </c>
      <c r="L2061" s="12" t="s">
        <v>5315</v>
      </c>
      <c r="M2061" s="13" t="s">
        <v>5947</v>
      </c>
      <c r="N2061" s="12" t="s">
        <v>803</v>
      </c>
      <c r="O2061" s="13" t="s">
        <v>5034</v>
      </c>
      <c r="P2061" s="17" t="s">
        <v>802</v>
      </c>
      <c r="Q2061" s="21" t="s">
        <v>7887</v>
      </c>
      <c r="R2061" s="17" t="s">
        <v>801</v>
      </c>
      <c r="S2061" s="18" t="s">
        <v>2631</v>
      </c>
      <c r="T2061" s="17" t="s">
        <v>800</v>
      </c>
      <c r="U2061" s="18" t="s">
        <v>5253</v>
      </c>
      <c r="V2061" s="17" t="s">
        <v>9418</v>
      </c>
      <c r="W2061" s="18" t="s">
        <v>5309</v>
      </c>
      <c r="X2061" s="69" t="s">
        <v>9453</v>
      </c>
      <c r="Y2061" s="70" t="s">
        <v>9462</v>
      </c>
      <c r="Z2061" s="73" t="s">
        <v>9486</v>
      </c>
      <c r="AA2061" s="74" t="s">
        <v>9504</v>
      </c>
      <c r="AB2061" s="73" t="s">
        <v>9486</v>
      </c>
      <c r="AC2061" s="74" t="s">
        <v>9566</v>
      </c>
      <c r="AD2061" s="73" t="s">
        <v>9578</v>
      </c>
      <c r="AE2061" s="74" t="s">
        <v>9579</v>
      </c>
    </row>
    <row r="2062" spans="1:31" ht="8.65" customHeight="1" x14ac:dyDescent="0.2">
      <c r="A2062" s="76">
        <v>2062</v>
      </c>
      <c r="B2062" s="67" t="str">
        <f>MID(C2062, FIND("Ifc.", C2062) + 4, 4) &amp; "_" &amp; TEXT(COUNTIF($C$2:C2062, C2062),"0000")</f>
        <v>Prop_2061</v>
      </c>
      <c r="C2062" s="24" t="s">
        <v>872</v>
      </c>
      <c r="D2062" s="69" t="s">
        <v>9453</v>
      </c>
      <c r="E2062" s="70" t="s">
        <v>9454</v>
      </c>
      <c r="F2062" s="17" t="s">
        <v>806</v>
      </c>
      <c r="G2062" s="22" t="s">
        <v>1649</v>
      </c>
      <c r="H2062" s="12" t="s">
        <v>9703</v>
      </c>
      <c r="I2062" s="13" t="s">
        <v>6397</v>
      </c>
      <c r="J2062" s="14" t="s">
        <v>798</v>
      </c>
      <c r="K2062" s="15" t="s">
        <v>798</v>
      </c>
      <c r="L2062" s="12" t="s">
        <v>5315</v>
      </c>
      <c r="M2062" s="13" t="s">
        <v>5837</v>
      </c>
      <c r="N2062" s="12" t="s">
        <v>803</v>
      </c>
      <c r="O2062" s="13" t="s">
        <v>4980</v>
      </c>
      <c r="P2062" s="17" t="s">
        <v>802</v>
      </c>
      <c r="Q2062" s="21" t="s">
        <v>7844</v>
      </c>
      <c r="R2062" s="17" t="s">
        <v>801</v>
      </c>
      <c r="S2062" s="18" t="s">
        <v>3636</v>
      </c>
      <c r="T2062" s="17" t="s">
        <v>800</v>
      </c>
      <c r="U2062" s="18" t="s">
        <v>5257</v>
      </c>
      <c r="V2062" s="17" t="s">
        <v>9418</v>
      </c>
      <c r="W2062" s="18" t="s">
        <v>5314</v>
      </c>
      <c r="X2062" s="69" t="s">
        <v>9453</v>
      </c>
      <c r="Y2062" s="70" t="s">
        <v>9464</v>
      </c>
      <c r="Z2062" s="73" t="s">
        <v>9486</v>
      </c>
      <c r="AA2062" s="74" t="s">
        <v>9504</v>
      </c>
      <c r="AB2062" s="73" t="s">
        <v>9486</v>
      </c>
      <c r="AC2062" s="74" t="s">
        <v>9561</v>
      </c>
      <c r="AD2062" s="73" t="s">
        <v>9578</v>
      </c>
      <c r="AE2062" s="74" t="s">
        <v>9579</v>
      </c>
    </row>
    <row r="2063" spans="1:31" ht="8.65" customHeight="1" x14ac:dyDescent="0.2">
      <c r="A2063" s="76">
        <v>2063</v>
      </c>
      <c r="B2063" s="67" t="str">
        <f>MID(C2063, FIND("Ifc.", C2063) + 4, 4) &amp; "_" &amp; TEXT(COUNTIF($C$2:C2063, C2063),"0000")</f>
        <v>Prop_2062</v>
      </c>
      <c r="C2063" s="24" t="s">
        <v>872</v>
      </c>
      <c r="D2063" s="69" t="s">
        <v>9453</v>
      </c>
      <c r="E2063" s="70" t="s">
        <v>9454</v>
      </c>
      <c r="F2063" s="17" t="s">
        <v>806</v>
      </c>
      <c r="G2063" s="22" t="s">
        <v>1797</v>
      </c>
      <c r="H2063" s="12" t="s">
        <v>9703</v>
      </c>
      <c r="I2063" s="13" t="s">
        <v>6505</v>
      </c>
      <c r="J2063" s="14" t="s">
        <v>798</v>
      </c>
      <c r="K2063" s="15" t="s">
        <v>798</v>
      </c>
      <c r="L2063" s="12" t="s">
        <v>5315</v>
      </c>
      <c r="M2063" s="13" t="s">
        <v>5455</v>
      </c>
      <c r="N2063" s="12" t="s">
        <v>803</v>
      </c>
      <c r="O2063" s="13" t="s">
        <v>5019</v>
      </c>
      <c r="P2063" s="17" t="s">
        <v>802</v>
      </c>
      <c r="Q2063" s="21" t="s">
        <v>7736</v>
      </c>
      <c r="R2063" s="17" t="s">
        <v>801</v>
      </c>
      <c r="S2063" s="18" t="s">
        <v>2631</v>
      </c>
      <c r="T2063" s="17" t="s">
        <v>800</v>
      </c>
      <c r="U2063" s="18" t="s">
        <v>5253</v>
      </c>
      <c r="V2063" s="17" t="s">
        <v>9418</v>
      </c>
      <c r="W2063" s="18" t="s">
        <v>5309</v>
      </c>
      <c r="X2063" s="69" t="s">
        <v>9453</v>
      </c>
      <c r="Y2063" s="70" t="s">
        <v>9462</v>
      </c>
      <c r="Z2063" s="73" t="s">
        <v>9486</v>
      </c>
      <c r="AA2063" s="74" t="s">
        <v>9504</v>
      </c>
      <c r="AB2063" s="73" t="s">
        <v>9486</v>
      </c>
      <c r="AC2063" s="74" t="s">
        <v>9566</v>
      </c>
      <c r="AD2063" s="73" t="s">
        <v>9578</v>
      </c>
      <c r="AE2063" s="74" t="s">
        <v>9579</v>
      </c>
    </row>
    <row r="2064" spans="1:31" ht="8.65" customHeight="1" x14ac:dyDescent="0.2">
      <c r="A2064" s="76">
        <v>2064</v>
      </c>
      <c r="B2064" s="67" t="str">
        <f>MID(C2064, FIND("Ifc.", C2064) + 4, 4) &amp; "_" &amp; TEXT(COUNTIF($C$2:C2064, C2064),"0000")</f>
        <v>Prop_2063</v>
      </c>
      <c r="C2064" s="24" t="s">
        <v>872</v>
      </c>
      <c r="D2064" s="69" t="s">
        <v>9453</v>
      </c>
      <c r="E2064" s="70" t="s">
        <v>9454</v>
      </c>
      <c r="F2064" s="17" t="s">
        <v>806</v>
      </c>
      <c r="G2064" s="22" t="s">
        <v>994</v>
      </c>
      <c r="H2064" s="12" t="s">
        <v>9703</v>
      </c>
      <c r="I2064" s="13" t="s">
        <v>7106</v>
      </c>
      <c r="J2064" s="14" t="s">
        <v>798</v>
      </c>
      <c r="K2064" s="15" t="s">
        <v>798</v>
      </c>
      <c r="L2064" s="12" t="s">
        <v>5315</v>
      </c>
      <c r="M2064" s="13" t="s">
        <v>5992</v>
      </c>
      <c r="N2064" s="12" t="s">
        <v>803</v>
      </c>
      <c r="O2064" s="13" t="s">
        <v>4828</v>
      </c>
      <c r="P2064" s="17" t="s">
        <v>802</v>
      </c>
      <c r="Q2064" s="21" t="s">
        <v>7787</v>
      </c>
      <c r="R2064" s="17" t="s">
        <v>801</v>
      </c>
      <c r="S2064" s="18" t="s">
        <v>2631</v>
      </c>
      <c r="T2064" s="17" t="s">
        <v>800</v>
      </c>
      <c r="U2064" s="18" t="s">
        <v>5253</v>
      </c>
      <c r="V2064" s="17" t="s">
        <v>9418</v>
      </c>
      <c r="W2064" s="18" t="s">
        <v>5309</v>
      </c>
      <c r="X2064" s="69" t="s">
        <v>9453</v>
      </c>
      <c r="Y2064" s="70" t="s">
        <v>9462</v>
      </c>
      <c r="Z2064" s="73" t="s">
        <v>9486</v>
      </c>
      <c r="AA2064" s="74" t="s">
        <v>9504</v>
      </c>
      <c r="AB2064" s="73" t="s">
        <v>9486</v>
      </c>
      <c r="AC2064" s="74" t="s">
        <v>9566</v>
      </c>
      <c r="AD2064" s="73" t="s">
        <v>9578</v>
      </c>
      <c r="AE2064" s="74" t="s">
        <v>9579</v>
      </c>
    </row>
    <row r="2065" spans="1:31" ht="8.65" customHeight="1" x14ac:dyDescent="0.2">
      <c r="A2065" s="76">
        <v>2065</v>
      </c>
      <c r="B2065" s="67" t="str">
        <f>MID(C2065, FIND("Ifc.", C2065) + 4, 4) &amp; "_" &amp; TEXT(COUNTIF($C$2:C2065, C2065),"0000")</f>
        <v>Prop_2064</v>
      </c>
      <c r="C2065" s="24" t="s">
        <v>872</v>
      </c>
      <c r="D2065" s="69" t="s">
        <v>9453</v>
      </c>
      <c r="E2065" s="70" t="s">
        <v>9454</v>
      </c>
      <c r="F2065" s="17" t="s">
        <v>806</v>
      </c>
      <c r="G2065" s="22" t="s">
        <v>1664</v>
      </c>
      <c r="H2065" s="12" t="s">
        <v>9703</v>
      </c>
      <c r="I2065" s="13" t="s">
        <v>6413</v>
      </c>
      <c r="J2065" s="14" t="s">
        <v>798</v>
      </c>
      <c r="K2065" s="15" t="s">
        <v>798</v>
      </c>
      <c r="L2065" s="12" t="s">
        <v>5315</v>
      </c>
      <c r="M2065" s="13" t="s">
        <v>5841</v>
      </c>
      <c r="N2065" s="12" t="s">
        <v>803</v>
      </c>
      <c r="O2065" s="13" t="s">
        <v>4986</v>
      </c>
      <c r="P2065" s="17" t="s">
        <v>802</v>
      </c>
      <c r="Q2065" s="21" t="s">
        <v>7845</v>
      </c>
      <c r="R2065" s="17" t="s">
        <v>801</v>
      </c>
      <c r="S2065" s="18" t="s">
        <v>3636</v>
      </c>
      <c r="T2065" s="17" t="s">
        <v>800</v>
      </c>
      <c r="U2065" s="18" t="s">
        <v>5257</v>
      </c>
      <c r="V2065" s="17" t="s">
        <v>9418</v>
      </c>
      <c r="W2065" s="18" t="s">
        <v>5314</v>
      </c>
      <c r="X2065" s="69" t="s">
        <v>9453</v>
      </c>
      <c r="Y2065" s="70" t="s">
        <v>9464</v>
      </c>
      <c r="Z2065" s="73" t="s">
        <v>9486</v>
      </c>
      <c r="AA2065" s="74" t="s">
        <v>9504</v>
      </c>
      <c r="AB2065" s="73" t="s">
        <v>9486</v>
      </c>
      <c r="AC2065" s="74" t="s">
        <v>9561</v>
      </c>
      <c r="AD2065" s="73" t="s">
        <v>9578</v>
      </c>
      <c r="AE2065" s="74" t="s">
        <v>9579</v>
      </c>
    </row>
    <row r="2066" spans="1:31" ht="8.65" customHeight="1" x14ac:dyDescent="0.2">
      <c r="A2066" s="76">
        <v>2066</v>
      </c>
      <c r="B2066" s="67" t="str">
        <f>MID(C2066, FIND("Ifc.", C2066) + 4, 4) &amp; "_" &amp; TEXT(COUNTIF($C$2:C2066, C2066),"0000")</f>
        <v>Prop_2065</v>
      </c>
      <c r="C2066" s="24" t="s">
        <v>872</v>
      </c>
      <c r="D2066" s="69" t="s">
        <v>9453</v>
      </c>
      <c r="E2066" s="70" t="s">
        <v>9454</v>
      </c>
      <c r="F2066" s="17" t="s">
        <v>806</v>
      </c>
      <c r="G2066" s="22" t="s">
        <v>1225</v>
      </c>
      <c r="H2066" s="12" t="s">
        <v>9703</v>
      </c>
      <c r="I2066" s="13" t="s">
        <v>7269</v>
      </c>
      <c r="J2066" s="14" t="s">
        <v>798</v>
      </c>
      <c r="K2066" s="15" t="s">
        <v>798</v>
      </c>
      <c r="L2066" s="12" t="s">
        <v>5315</v>
      </c>
      <c r="M2066" s="13" t="s">
        <v>5823</v>
      </c>
      <c r="N2066" s="12" t="s">
        <v>803</v>
      </c>
      <c r="O2066" s="13" t="s">
        <v>4884</v>
      </c>
      <c r="P2066" s="17" t="s">
        <v>802</v>
      </c>
      <c r="Q2066" s="21" t="s">
        <v>7831</v>
      </c>
      <c r="R2066" s="17" t="s">
        <v>801</v>
      </c>
      <c r="S2066" s="18" t="s">
        <v>2631</v>
      </c>
      <c r="T2066" s="17" t="s">
        <v>800</v>
      </c>
      <c r="U2066" s="18" t="s">
        <v>5253</v>
      </c>
      <c r="V2066" s="17" t="s">
        <v>9418</v>
      </c>
      <c r="W2066" s="18" t="s">
        <v>5309</v>
      </c>
      <c r="X2066" s="69" t="s">
        <v>9453</v>
      </c>
      <c r="Y2066" s="70" t="s">
        <v>9462</v>
      </c>
      <c r="Z2066" s="73" t="s">
        <v>9486</v>
      </c>
      <c r="AA2066" s="74" t="s">
        <v>9504</v>
      </c>
      <c r="AB2066" s="73" t="s">
        <v>9486</v>
      </c>
      <c r="AC2066" s="74" t="s">
        <v>9566</v>
      </c>
      <c r="AD2066" s="73" t="s">
        <v>9578</v>
      </c>
      <c r="AE2066" s="74" t="s">
        <v>9579</v>
      </c>
    </row>
    <row r="2067" spans="1:31" ht="8.65" customHeight="1" x14ac:dyDescent="0.2">
      <c r="A2067" s="76">
        <v>2067</v>
      </c>
      <c r="B2067" s="67" t="str">
        <f>MID(C2067, FIND("Ifc.", C2067) + 4, 4) &amp; "_" &amp; TEXT(COUNTIF($C$2:C2067, C2067),"0000")</f>
        <v>Prop_2066</v>
      </c>
      <c r="C2067" s="24" t="s">
        <v>872</v>
      </c>
      <c r="D2067" s="69" t="s">
        <v>9453</v>
      </c>
      <c r="E2067" s="70" t="s">
        <v>9454</v>
      </c>
      <c r="F2067" s="17" t="s">
        <v>806</v>
      </c>
      <c r="G2067" s="22" t="s">
        <v>1225</v>
      </c>
      <c r="H2067" s="12" t="s">
        <v>9703</v>
      </c>
      <c r="I2067" s="13" t="s">
        <v>7269</v>
      </c>
      <c r="J2067" s="14" t="s">
        <v>798</v>
      </c>
      <c r="K2067" s="15" t="s">
        <v>798</v>
      </c>
      <c r="L2067" s="12" t="s">
        <v>5315</v>
      </c>
      <c r="M2067" s="13" t="s">
        <v>5824</v>
      </c>
      <c r="N2067" s="12" t="s">
        <v>803</v>
      </c>
      <c r="O2067" s="13" t="s">
        <v>4886</v>
      </c>
      <c r="P2067" s="17" t="s">
        <v>802</v>
      </c>
      <c r="Q2067" s="21" t="s">
        <v>7832</v>
      </c>
      <c r="R2067" s="17" t="s">
        <v>801</v>
      </c>
      <c r="S2067" s="18" t="s">
        <v>2631</v>
      </c>
      <c r="T2067" s="17" t="s">
        <v>800</v>
      </c>
      <c r="U2067" s="18" t="s">
        <v>5253</v>
      </c>
      <c r="V2067" s="17" t="s">
        <v>9418</v>
      </c>
      <c r="W2067" s="18" t="s">
        <v>5309</v>
      </c>
      <c r="X2067" s="69" t="s">
        <v>9453</v>
      </c>
      <c r="Y2067" s="70" t="s">
        <v>9462</v>
      </c>
      <c r="Z2067" s="73" t="s">
        <v>9486</v>
      </c>
      <c r="AA2067" s="74" t="s">
        <v>9504</v>
      </c>
      <c r="AB2067" s="73" t="s">
        <v>9486</v>
      </c>
      <c r="AC2067" s="74" t="s">
        <v>9566</v>
      </c>
      <c r="AD2067" s="73" t="s">
        <v>9578</v>
      </c>
      <c r="AE2067" s="74" t="s">
        <v>9579</v>
      </c>
    </row>
    <row r="2068" spans="1:31" ht="8.65" customHeight="1" x14ac:dyDescent="0.2">
      <c r="A2068" s="76">
        <v>2068</v>
      </c>
      <c r="B2068" s="67" t="str">
        <f>MID(C2068, FIND("Ifc.", C2068) + 4, 4) &amp; "_" &amp; TEXT(COUNTIF($C$2:C2068, C2068),"0000")</f>
        <v>Prop_2067</v>
      </c>
      <c r="C2068" s="24" t="s">
        <v>872</v>
      </c>
      <c r="D2068" s="69" t="s">
        <v>9453</v>
      </c>
      <c r="E2068" s="70" t="s">
        <v>9454</v>
      </c>
      <c r="F2068" s="17" t="s">
        <v>806</v>
      </c>
      <c r="G2068" s="22" t="s">
        <v>1060</v>
      </c>
      <c r="H2068" s="12" t="s">
        <v>9703</v>
      </c>
      <c r="I2068" s="13" t="s">
        <v>7124</v>
      </c>
      <c r="J2068" s="14" t="s">
        <v>798</v>
      </c>
      <c r="K2068" s="15" t="s">
        <v>798</v>
      </c>
      <c r="L2068" s="12" t="s">
        <v>5315</v>
      </c>
      <c r="M2068" s="13" t="s">
        <v>5779</v>
      </c>
      <c r="N2068" s="12" t="s">
        <v>803</v>
      </c>
      <c r="O2068" s="13" t="s">
        <v>4846</v>
      </c>
      <c r="P2068" s="17" t="s">
        <v>802</v>
      </c>
      <c r="Q2068" s="21" t="s">
        <v>7936</v>
      </c>
      <c r="R2068" s="17" t="s">
        <v>801</v>
      </c>
      <c r="S2068" s="18" t="s">
        <v>2631</v>
      </c>
      <c r="T2068" s="17" t="s">
        <v>800</v>
      </c>
      <c r="U2068" s="18" t="s">
        <v>5253</v>
      </c>
      <c r="V2068" s="17" t="s">
        <v>9418</v>
      </c>
      <c r="W2068" s="18" t="s">
        <v>5312</v>
      </c>
      <c r="X2068" s="69" t="s">
        <v>9453</v>
      </c>
      <c r="Y2068" s="70" t="s">
        <v>9465</v>
      </c>
      <c r="Z2068" s="73" t="s">
        <v>9486</v>
      </c>
      <c r="AA2068" s="74" t="s">
        <v>9504</v>
      </c>
      <c r="AB2068" s="73" t="s">
        <v>9486</v>
      </c>
      <c r="AC2068" s="74" t="s">
        <v>9566</v>
      </c>
      <c r="AD2068" s="73" t="s">
        <v>9578</v>
      </c>
      <c r="AE2068" s="74" t="s">
        <v>9579</v>
      </c>
    </row>
    <row r="2069" spans="1:31" ht="8.65" customHeight="1" x14ac:dyDescent="0.2">
      <c r="A2069" s="76">
        <v>2069</v>
      </c>
      <c r="B2069" s="67" t="str">
        <f>MID(C2069, FIND("Ifc.", C2069) + 4, 4) &amp; "_" &amp; TEXT(COUNTIF($C$2:C2069, C2069),"0000")</f>
        <v>Prop_2068</v>
      </c>
      <c r="C2069" s="24" t="s">
        <v>872</v>
      </c>
      <c r="D2069" s="69" t="s">
        <v>9453</v>
      </c>
      <c r="E2069" s="70" t="s">
        <v>9454</v>
      </c>
      <c r="F2069" s="17" t="s">
        <v>806</v>
      </c>
      <c r="G2069" s="22" t="s">
        <v>1657</v>
      </c>
      <c r="H2069" s="12" t="s">
        <v>9703</v>
      </c>
      <c r="I2069" s="13" t="s">
        <v>7599</v>
      </c>
      <c r="J2069" s="14" t="s">
        <v>798</v>
      </c>
      <c r="K2069" s="15" t="s">
        <v>798</v>
      </c>
      <c r="L2069" s="12" t="s">
        <v>5315</v>
      </c>
      <c r="M2069" s="13" t="s">
        <v>5839</v>
      </c>
      <c r="N2069" s="12" t="s">
        <v>803</v>
      </c>
      <c r="O2069" s="13" t="s">
        <v>4982</v>
      </c>
      <c r="P2069" s="17" t="s">
        <v>802</v>
      </c>
      <c r="Q2069" s="21" t="s">
        <v>7952</v>
      </c>
      <c r="R2069" s="17" t="s">
        <v>801</v>
      </c>
      <c r="S2069" s="18" t="s">
        <v>3636</v>
      </c>
      <c r="T2069" s="17" t="s">
        <v>800</v>
      </c>
      <c r="U2069" s="18" t="s">
        <v>5257</v>
      </c>
      <c r="V2069" s="17" t="s">
        <v>9418</v>
      </c>
      <c r="W2069" s="18" t="s">
        <v>5314</v>
      </c>
      <c r="X2069" s="69" t="s">
        <v>9453</v>
      </c>
      <c r="Y2069" s="70" t="s">
        <v>9464</v>
      </c>
      <c r="Z2069" s="73" t="s">
        <v>9486</v>
      </c>
      <c r="AA2069" s="74" t="s">
        <v>9504</v>
      </c>
      <c r="AB2069" s="73" t="s">
        <v>9486</v>
      </c>
      <c r="AC2069" s="74" t="s">
        <v>9561</v>
      </c>
      <c r="AD2069" s="73" t="s">
        <v>9578</v>
      </c>
      <c r="AE2069" s="74" t="s">
        <v>9579</v>
      </c>
    </row>
    <row r="2070" spans="1:31" ht="8.65" customHeight="1" x14ac:dyDescent="0.2">
      <c r="A2070" s="76">
        <v>2070</v>
      </c>
      <c r="B2070" s="67" t="str">
        <f>MID(C2070, FIND("Ifc.", C2070) + 4, 4) &amp; "_" &amp; TEXT(COUNTIF($C$2:C2070, C2070),"0000")</f>
        <v>Prop_2069</v>
      </c>
      <c r="C2070" s="24" t="s">
        <v>872</v>
      </c>
      <c r="D2070" s="69" t="s">
        <v>9453</v>
      </c>
      <c r="E2070" s="70" t="s">
        <v>9454</v>
      </c>
      <c r="F2070" s="17" t="s">
        <v>806</v>
      </c>
      <c r="G2070" s="22" t="s">
        <v>1598</v>
      </c>
      <c r="H2070" s="12" t="s">
        <v>9703</v>
      </c>
      <c r="I2070" s="13" t="s">
        <v>7292</v>
      </c>
      <c r="J2070" s="14" t="s">
        <v>798</v>
      </c>
      <c r="K2070" s="15" t="s">
        <v>798</v>
      </c>
      <c r="L2070" s="12" t="s">
        <v>5315</v>
      </c>
      <c r="M2070" s="13" t="s">
        <v>5899</v>
      </c>
      <c r="N2070" s="12" t="s">
        <v>803</v>
      </c>
      <c r="O2070" s="13" t="s">
        <v>4968</v>
      </c>
      <c r="P2070" s="17" t="s">
        <v>802</v>
      </c>
      <c r="Q2070" s="21" t="s">
        <v>7786</v>
      </c>
      <c r="R2070" s="17" t="s">
        <v>801</v>
      </c>
      <c r="S2070" s="18" t="s">
        <v>3636</v>
      </c>
      <c r="T2070" s="17" t="s">
        <v>800</v>
      </c>
      <c r="U2070" s="18" t="s">
        <v>5257</v>
      </c>
      <c r="V2070" s="17" t="s">
        <v>9418</v>
      </c>
      <c r="W2070" s="18" t="s">
        <v>5314</v>
      </c>
      <c r="X2070" s="69" t="s">
        <v>9453</v>
      </c>
      <c r="Y2070" s="70" t="s">
        <v>9464</v>
      </c>
      <c r="Z2070" s="73" t="s">
        <v>9486</v>
      </c>
      <c r="AA2070" s="74" t="s">
        <v>9504</v>
      </c>
      <c r="AB2070" s="73" t="s">
        <v>9486</v>
      </c>
      <c r="AC2070" s="74" t="s">
        <v>9561</v>
      </c>
      <c r="AD2070" s="73" t="s">
        <v>9578</v>
      </c>
      <c r="AE2070" s="74" t="s">
        <v>9579</v>
      </c>
    </row>
    <row r="2071" spans="1:31" ht="8.65" customHeight="1" x14ac:dyDescent="0.2">
      <c r="A2071" s="76">
        <v>2071</v>
      </c>
      <c r="B2071" s="67" t="str">
        <f>MID(C2071, FIND("Ifc.", C2071) + 4, 4) &amp; "_" &amp; TEXT(COUNTIF($C$2:C2071, C2071),"0000")</f>
        <v>Prop_2070</v>
      </c>
      <c r="C2071" s="24" t="s">
        <v>872</v>
      </c>
      <c r="D2071" s="69" t="s">
        <v>9453</v>
      </c>
      <c r="E2071" s="70" t="s">
        <v>9454</v>
      </c>
      <c r="F2071" s="17" t="s">
        <v>806</v>
      </c>
      <c r="G2071" s="22" t="s">
        <v>1596</v>
      </c>
      <c r="H2071" s="12" t="s">
        <v>9703</v>
      </c>
      <c r="I2071" s="13" t="s">
        <v>7287</v>
      </c>
      <c r="J2071" s="14" t="s">
        <v>798</v>
      </c>
      <c r="K2071" s="15" t="s">
        <v>798</v>
      </c>
      <c r="L2071" s="12" t="s">
        <v>5315</v>
      </c>
      <c r="M2071" s="13" t="s">
        <v>5899</v>
      </c>
      <c r="N2071" s="12" t="s">
        <v>803</v>
      </c>
      <c r="O2071" s="13" t="s">
        <v>4968</v>
      </c>
      <c r="P2071" s="17" t="s">
        <v>802</v>
      </c>
      <c r="Q2071" s="21" t="s">
        <v>7786</v>
      </c>
      <c r="R2071" s="17" t="s">
        <v>801</v>
      </c>
      <c r="S2071" s="18" t="s">
        <v>3636</v>
      </c>
      <c r="T2071" s="17" t="s">
        <v>800</v>
      </c>
      <c r="U2071" s="18" t="s">
        <v>5257</v>
      </c>
      <c r="V2071" s="17" t="s">
        <v>9418</v>
      </c>
      <c r="W2071" s="18" t="s">
        <v>5314</v>
      </c>
      <c r="X2071" s="69" t="s">
        <v>9453</v>
      </c>
      <c r="Y2071" s="70" t="s">
        <v>9464</v>
      </c>
      <c r="Z2071" s="73" t="s">
        <v>9486</v>
      </c>
      <c r="AA2071" s="74" t="s">
        <v>9504</v>
      </c>
      <c r="AB2071" s="73" t="s">
        <v>9486</v>
      </c>
      <c r="AC2071" s="74" t="s">
        <v>9561</v>
      </c>
      <c r="AD2071" s="73" t="s">
        <v>9578</v>
      </c>
      <c r="AE2071" s="74" t="s">
        <v>9579</v>
      </c>
    </row>
    <row r="2072" spans="1:31" ht="8.65" customHeight="1" x14ac:dyDescent="0.2">
      <c r="A2072" s="76">
        <v>2072</v>
      </c>
      <c r="B2072" s="67" t="str">
        <f>MID(C2072, FIND("Ifc.", C2072) + 4, 4) &amp; "_" &amp; TEXT(COUNTIF($C$2:C2072, C2072),"0000")</f>
        <v>Prop_2071</v>
      </c>
      <c r="C2072" s="24" t="s">
        <v>872</v>
      </c>
      <c r="D2072" s="69" t="s">
        <v>9453</v>
      </c>
      <c r="E2072" s="70" t="s">
        <v>9454</v>
      </c>
      <c r="F2072" s="17" t="s">
        <v>806</v>
      </c>
      <c r="G2072" s="22" t="s">
        <v>995</v>
      </c>
      <c r="H2072" s="12" t="s">
        <v>9703</v>
      </c>
      <c r="I2072" s="13" t="s">
        <v>7105</v>
      </c>
      <c r="J2072" s="14" t="s">
        <v>798</v>
      </c>
      <c r="K2072" s="15" t="s">
        <v>798</v>
      </c>
      <c r="L2072" s="12" t="s">
        <v>5315</v>
      </c>
      <c r="M2072" s="13" t="s">
        <v>5992</v>
      </c>
      <c r="N2072" s="12" t="s">
        <v>803</v>
      </c>
      <c r="O2072" s="13" t="s">
        <v>4828</v>
      </c>
      <c r="P2072" s="17" t="s">
        <v>802</v>
      </c>
      <c r="Q2072" s="21" t="s">
        <v>7787</v>
      </c>
      <c r="R2072" s="17" t="s">
        <v>801</v>
      </c>
      <c r="S2072" s="18" t="s">
        <v>2631</v>
      </c>
      <c r="T2072" s="17" t="s">
        <v>800</v>
      </c>
      <c r="U2072" s="18" t="s">
        <v>5253</v>
      </c>
      <c r="V2072" s="17" t="s">
        <v>9418</v>
      </c>
      <c r="W2072" s="18" t="s">
        <v>5309</v>
      </c>
      <c r="X2072" s="69" t="s">
        <v>9453</v>
      </c>
      <c r="Y2072" s="70" t="s">
        <v>9462</v>
      </c>
      <c r="Z2072" s="73" t="s">
        <v>9486</v>
      </c>
      <c r="AA2072" s="74" t="s">
        <v>9504</v>
      </c>
      <c r="AB2072" s="73" t="s">
        <v>9486</v>
      </c>
      <c r="AC2072" s="74" t="s">
        <v>9566</v>
      </c>
      <c r="AD2072" s="73" t="s">
        <v>9578</v>
      </c>
      <c r="AE2072" s="74" t="s">
        <v>9579</v>
      </c>
    </row>
    <row r="2073" spans="1:31" ht="8.65" customHeight="1" x14ac:dyDescent="0.2">
      <c r="A2073" s="76">
        <v>2073</v>
      </c>
      <c r="B2073" s="67" t="str">
        <f>MID(C2073, FIND("Ifc.", C2073) + 4, 4) &amp; "_" &amp; TEXT(COUNTIF($C$2:C2073, C2073),"0000")</f>
        <v>Prop_2072</v>
      </c>
      <c r="C2073" s="24" t="s">
        <v>872</v>
      </c>
      <c r="D2073" s="69" t="s">
        <v>9453</v>
      </c>
      <c r="E2073" s="70" t="s">
        <v>9454</v>
      </c>
      <c r="F2073" s="17" t="s">
        <v>806</v>
      </c>
      <c r="G2073" s="22" t="s">
        <v>1298</v>
      </c>
      <c r="H2073" s="12" t="s">
        <v>9703</v>
      </c>
      <c r="I2073" s="13" t="s">
        <v>6245</v>
      </c>
      <c r="J2073" s="14" t="s">
        <v>798</v>
      </c>
      <c r="K2073" s="15" t="s">
        <v>798</v>
      </c>
      <c r="L2073" s="12" t="s">
        <v>5315</v>
      </c>
      <c r="M2073" s="13" t="s">
        <v>6016</v>
      </c>
      <c r="N2073" s="12" t="s">
        <v>803</v>
      </c>
      <c r="O2073" s="13" t="s">
        <v>4904</v>
      </c>
      <c r="P2073" s="17" t="s">
        <v>802</v>
      </c>
      <c r="Q2073" s="21" t="s">
        <v>7928</v>
      </c>
      <c r="R2073" s="17" t="s">
        <v>801</v>
      </c>
      <c r="S2073" s="18" t="s">
        <v>2631</v>
      </c>
      <c r="T2073" s="17" t="s">
        <v>800</v>
      </c>
      <c r="U2073" s="18" t="s">
        <v>5253</v>
      </c>
      <c r="V2073" s="17" t="s">
        <v>9418</v>
      </c>
      <c r="W2073" s="18" t="s">
        <v>5309</v>
      </c>
      <c r="X2073" s="69" t="s">
        <v>9453</v>
      </c>
      <c r="Y2073" s="70" t="s">
        <v>9462</v>
      </c>
      <c r="Z2073" s="73" t="s">
        <v>9486</v>
      </c>
      <c r="AA2073" s="74" t="s">
        <v>9504</v>
      </c>
      <c r="AB2073" s="73" t="s">
        <v>9486</v>
      </c>
      <c r="AC2073" s="74" t="s">
        <v>9566</v>
      </c>
      <c r="AD2073" s="73" t="s">
        <v>9578</v>
      </c>
      <c r="AE2073" s="74" t="s">
        <v>9579</v>
      </c>
    </row>
    <row r="2074" spans="1:31" ht="8.65" customHeight="1" x14ac:dyDescent="0.2">
      <c r="A2074" s="76">
        <v>2074</v>
      </c>
      <c r="B2074" s="67" t="str">
        <f>MID(C2074, FIND("Ifc.", C2074) + 4, 4) &amp; "_" &amp; TEXT(COUNTIF($C$2:C2074, C2074),"0000")</f>
        <v>Prop_2073</v>
      </c>
      <c r="C2074" s="24" t="s">
        <v>872</v>
      </c>
      <c r="D2074" s="69" t="s">
        <v>9453</v>
      </c>
      <c r="E2074" s="70" t="s">
        <v>9454</v>
      </c>
      <c r="F2074" s="17" t="s">
        <v>806</v>
      </c>
      <c r="G2074" s="22" t="s">
        <v>1298</v>
      </c>
      <c r="H2074" s="12" t="s">
        <v>9703</v>
      </c>
      <c r="I2074" s="13" t="s">
        <v>6245</v>
      </c>
      <c r="J2074" s="14" t="s">
        <v>798</v>
      </c>
      <c r="K2074" s="15" t="s">
        <v>798</v>
      </c>
      <c r="L2074" s="12" t="s">
        <v>5315</v>
      </c>
      <c r="M2074" s="13" t="s">
        <v>6018</v>
      </c>
      <c r="N2074" s="12" t="s">
        <v>803</v>
      </c>
      <c r="O2074" s="13" t="s">
        <v>4906</v>
      </c>
      <c r="P2074" s="17" t="s">
        <v>802</v>
      </c>
      <c r="Q2074" s="21" t="s">
        <v>7929</v>
      </c>
      <c r="R2074" s="17" t="s">
        <v>801</v>
      </c>
      <c r="S2074" s="18" t="s">
        <v>2631</v>
      </c>
      <c r="T2074" s="17" t="s">
        <v>800</v>
      </c>
      <c r="U2074" s="18" t="s">
        <v>5253</v>
      </c>
      <c r="V2074" s="17" t="s">
        <v>9418</v>
      </c>
      <c r="W2074" s="18" t="s">
        <v>5309</v>
      </c>
      <c r="X2074" s="69" t="s">
        <v>9453</v>
      </c>
      <c r="Y2074" s="70" t="s">
        <v>9462</v>
      </c>
      <c r="Z2074" s="73" t="s">
        <v>9486</v>
      </c>
      <c r="AA2074" s="74" t="s">
        <v>9504</v>
      </c>
      <c r="AB2074" s="73" t="s">
        <v>9486</v>
      </c>
      <c r="AC2074" s="74" t="s">
        <v>9566</v>
      </c>
      <c r="AD2074" s="73" t="s">
        <v>9578</v>
      </c>
      <c r="AE2074" s="74" t="s">
        <v>9579</v>
      </c>
    </row>
    <row r="2075" spans="1:31" ht="8.65" customHeight="1" x14ac:dyDescent="0.2">
      <c r="A2075" s="76">
        <v>2075</v>
      </c>
      <c r="B2075" s="67" t="str">
        <f>MID(C2075, FIND("Ifc.", C2075) + 4, 4) &amp; "_" &amp; TEXT(COUNTIF($C$2:C2075, C2075),"0000")</f>
        <v>Prop_2074</v>
      </c>
      <c r="C2075" s="24" t="s">
        <v>872</v>
      </c>
      <c r="D2075" s="69" t="s">
        <v>9453</v>
      </c>
      <c r="E2075" s="70" t="s">
        <v>9454</v>
      </c>
      <c r="F2075" s="17" t="s">
        <v>806</v>
      </c>
      <c r="G2075" s="22" t="s">
        <v>2189</v>
      </c>
      <c r="H2075" s="12" t="s">
        <v>9703</v>
      </c>
      <c r="I2075" s="13" t="s">
        <v>6668</v>
      </c>
      <c r="J2075" s="14" t="s">
        <v>798</v>
      </c>
      <c r="K2075" s="15" t="s">
        <v>798</v>
      </c>
      <c r="L2075" s="12" t="s">
        <v>5315</v>
      </c>
      <c r="M2075" s="13" t="s">
        <v>5504</v>
      </c>
      <c r="N2075" s="12" t="s">
        <v>803</v>
      </c>
      <c r="O2075" s="13" t="s">
        <v>5117</v>
      </c>
      <c r="P2075" s="17" t="s">
        <v>802</v>
      </c>
      <c r="Q2075" s="21" t="s">
        <v>7743</v>
      </c>
      <c r="R2075" s="17" t="s">
        <v>801</v>
      </c>
      <c r="S2075" s="18" t="s">
        <v>2631</v>
      </c>
      <c r="T2075" s="17" t="s">
        <v>800</v>
      </c>
      <c r="U2075" s="18" t="s">
        <v>5253</v>
      </c>
      <c r="V2075" s="17" t="s">
        <v>9418</v>
      </c>
      <c r="W2075" s="18" t="s">
        <v>5309</v>
      </c>
      <c r="X2075" s="69" t="s">
        <v>9453</v>
      </c>
      <c r="Y2075" s="70" t="s">
        <v>9462</v>
      </c>
      <c r="Z2075" s="73" t="s">
        <v>9486</v>
      </c>
      <c r="AA2075" s="74" t="s">
        <v>9504</v>
      </c>
      <c r="AB2075" s="73" t="s">
        <v>9486</v>
      </c>
      <c r="AC2075" s="74" t="s">
        <v>9566</v>
      </c>
      <c r="AD2075" s="73" t="s">
        <v>9578</v>
      </c>
      <c r="AE2075" s="74" t="s">
        <v>9579</v>
      </c>
    </row>
    <row r="2076" spans="1:31" ht="8.65" customHeight="1" x14ac:dyDescent="0.2">
      <c r="A2076" s="76">
        <v>2076</v>
      </c>
      <c r="B2076" s="67" t="str">
        <f>MID(C2076, FIND("Ifc.", C2076) + 4, 4) &amp; "_" &amp; TEXT(COUNTIF($C$2:C2076, C2076),"0000")</f>
        <v>Prop_2075</v>
      </c>
      <c r="C2076" s="24" t="s">
        <v>872</v>
      </c>
      <c r="D2076" s="69" t="s">
        <v>9453</v>
      </c>
      <c r="E2076" s="70" t="s">
        <v>9454</v>
      </c>
      <c r="F2076" s="17" t="s">
        <v>806</v>
      </c>
      <c r="G2076" s="22" t="s">
        <v>2190</v>
      </c>
      <c r="H2076" s="12" t="s">
        <v>9703</v>
      </c>
      <c r="I2076" s="13" t="s">
        <v>6669</v>
      </c>
      <c r="J2076" s="14" t="s">
        <v>798</v>
      </c>
      <c r="K2076" s="15" t="s">
        <v>798</v>
      </c>
      <c r="L2076" s="12" t="s">
        <v>5315</v>
      </c>
      <c r="M2076" s="13" t="s">
        <v>5504</v>
      </c>
      <c r="N2076" s="12" t="s">
        <v>803</v>
      </c>
      <c r="O2076" s="13" t="s">
        <v>5117</v>
      </c>
      <c r="P2076" s="17" t="s">
        <v>802</v>
      </c>
      <c r="Q2076" s="21" t="s">
        <v>7743</v>
      </c>
      <c r="R2076" s="17" t="s">
        <v>801</v>
      </c>
      <c r="S2076" s="18" t="s">
        <v>2631</v>
      </c>
      <c r="T2076" s="17" t="s">
        <v>800</v>
      </c>
      <c r="U2076" s="18" t="s">
        <v>5253</v>
      </c>
      <c r="V2076" s="17" t="s">
        <v>9418</v>
      </c>
      <c r="W2076" s="18" t="s">
        <v>5309</v>
      </c>
      <c r="X2076" s="69" t="s">
        <v>9453</v>
      </c>
      <c r="Y2076" s="70" t="s">
        <v>9462</v>
      </c>
      <c r="Z2076" s="73" t="s">
        <v>9486</v>
      </c>
      <c r="AA2076" s="74" t="s">
        <v>9504</v>
      </c>
      <c r="AB2076" s="73" t="s">
        <v>9486</v>
      </c>
      <c r="AC2076" s="74" t="s">
        <v>9566</v>
      </c>
      <c r="AD2076" s="73" t="s">
        <v>9578</v>
      </c>
      <c r="AE2076" s="74" t="s">
        <v>9579</v>
      </c>
    </row>
    <row r="2077" spans="1:31" ht="8.65" customHeight="1" x14ac:dyDescent="0.2">
      <c r="A2077" s="76">
        <v>2077</v>
      </c>
      <c r="B2077" s="67" t="str">
        <f>MID(C2077, FIND("Ifc.", C2077) + 4, 4) &amp; "_" &amp; TEXT(COUNTIF($C$2:C2077, C2077),"0000")</f>
        <v>Prop_2076</v>
      </c>
      <c r="C2077" s="24" t="s">
        <v>872</v>
      </c>
      <c r="D2077" s="69" t="s">
        <v>9453</v>
      </c>
      <c r="E2077" s="70" t="s">
        <v>9454</v>
      </c>
      <c r="F2077" s="17" t="s">
        <v>806</v>
      </c>
      <c r="G2077" s="22" t="s">
        <v>2187</v>
      </c>
      <c r="H2077" s="12" t="s">
        <v>9703</v>
      </c>
      <c r="I2077" s="13" t="s">
        <v>6941</v>
      </c>
      <c r="J2077" s="14" t="s">
        <v>798</v>
      </c>
      <c r="K2077" s="15" t="s">
        <v>798</v>
      </c>
      <c r="L2077" s="12" t="s">
        <v>5315</v>
      </c>
      <c r="M2077" s="13" t="s">
        <v>5504</v>
      </c>
      <c r="N2077" s="12" t="s">
        <v>803</v>
      </c>
      <c r="O2077" s="13" t="s">
        <v>5117</v>
      </c>
      <c r="P2077" s="17" t="s">
        <v>802</v>
      </c>
      <c r="Q2077" s="21" t="s">
        <v>7743</v>
      </c>
      <c r="R2077" s="17" t="s">
        <v>801</v>
      </c>
      <c r="S2077" s="18" t="s">
        <v>2631</v>
      </c>
      <c r="T2077" s="17" t="s">
        <v>800</v>
      </c>
      <c r="U2077" s="18" t="s">
        <v>5253</v>
      </c>
      <c r="V2077" s="17" t="s">
        <v>9418</v>
      </c>
      <c r="W2077" s="18" t="s">
        <v>5309</v>
      </c>
      <c r="X2077" s="69" t="s">
        <v>9453</v>
      </c>
      <c r="Y2077" s="70" t="s">
        <v>9462</v>
      </c>
      <c r="Z2077" s="73" t="s">
        <v>9486</v>
      </c>
      <c r="AA2077" s="74" t="s">
        <v>9504</v>
      </c>
      <c r="AB2077" s="73" t="s">
        <v>9486</v>
      </c>
      <c r="AC2077" s="74" t="s">
        <v>9566</v>
      </c>
      <c r="AD2077" s="73" t="s">
        <v>9578</v>
      </c>
      <c r="AE2077" s="74" t="s">
        <v>9579</v>
      </c>
    </row>
    <row r="2078" spans="1:31" ht="8.65" customHeight="1" x14ac:dyDescent="0.2">
      <c r="A2078" s="76">
        <v>2078</v>
      </c>
      <c r="B2078" s="67" t="str">
        <f>MID(C2078, FIND("Ifc.", C2078) + 4, 4) &amp; "_" &amp; TEXT(COUNTIF($C$2:C2078, C2078),"0000")</f>
        <v>Prop_2077</v>
      </c>
      <c r="C2078" s="24" t="s">
        <v>872</v>
      </c>
      <c r="D2078" s="69" t="s">
        <v>9453</v>
      </c>
      <c r="E2078" s="70" t="s">
        <v>9454</v>
      </c>
      <c r="F2078" s="17" t="s">
        <v>806</v>
      </c>
      <c r="G2078" s="22" t="s">
        <v>2186</v>
      </c>
      <c r="H2078" s="12" t="s">
        <v>9703</v>
      </c>
      <c r="I2078" s="13" t="s">
        <v>6666</v>
      </c>
      <c r="J2078" s="14" t="s">
        <v>798</v>
      </c>
      <c r="K2078" s="15" t="s">
        <v>798</v>
      </c>
      <c r="L2078" s="12" t="s">
        <v>5315</v>
      </c>
      <c r="M2078" s="13" t="s">
        <v>5504</v>
      </c>
      <c r="N2078" s="12" t="s">
        <v>803</v>
      </c>
      <c r="O2078" s="13" t="s">
        <v>5117</v>
      </c>
      <c r="P2078" s="17" t="s">
        <v>802</v>
      </c>
      <c r="Q2078" s="21" t="s">
        <v>7743</v>
      </c>
      <c r="R2078" s="17" t="s">
        <v>801</v>
      </c>
      <c r="S2078" s="18" t="s">
        <v>2631</v>
      </c>
      <c r="T2078" s="17" t="s">
        <v>800</v>
      </c>
      <c r="U2078" s="18" t="s">
        <v>5253</v>
      </c>
      <c r="V2078" s="17" t="s">
        <v>9418</v>
      </c>
      <c r="W2078" s="18" t="s">
        <v>5309</v>
      </c>
      <c r="X2078" s="69" t="s">
        <v>9453</v>
      </c>
      <c r="Y2078" s="70" t="s">
        <v>9462</v>
      </c>
      <c r="Z2078" s="73" t="s">
        <v>9486</v>
      </c>
      <c r="AA2078" s="74" t="s">
        <v>9504</v>
      </c>
      <c r="AB2078" s="73" t="s">
        <v>9486</v>
      </c>
      <c r="AC2078" s="74" t="s">
        <v>9566</v>
      </c>
      <c r="AD2078" s="73" t="s">
        <v>9578</v>
      </c>
      <c r="AE2078" s="74" t="s">
        <v>9579</v>
      </c>
    </row>
    <row r="2079" spans="1:31" ht="8.65" customHeight="1" x14ac:dyDescent="0.2">
      <c r="A2079" s="76">
        <v>2079</v>
      </c>
      <c r="B2079" s="67" t="str">
        <f>MID(C2079, FIND("Ifc.", C2079) + 4, 4) &amp; "_" &amp; TEXT(COUNTIF($C$2:C2079, C2079),"0000")</f>
        <v>Prop_2078</v>
      </c>
      <c r="C2079" s="24" t="s">
        <v>872</v>
      </c>
      <c r="D2079" s="69" t="s">
        <v>9453</v>
      </c>
      <c r="E2079" s="70" t="s">
        <v>9454</v>
      </c>
      <c r="F2079" s="17" t="s">
        <v>806</v>
      </c>
      <c r="G2079" s="22" t="s">
        <v>2188</v>
      </c>
      <c r="H2079" s="12" t="s">
        <v>9703</v>
      </c>
      <c r="I2079" s="13" t="s">
        <v>6667</v>
      </c>
      <c r="J2079" s="14" t="s">
        <v>798</v>
      </c>
      <c r="K2079" s="15" t="s">
        <v>798</v>
      </c>
      <c r="L2079" s="12" t="s">
        <v>5315</v>
      </c>
      <c r="M2079" s="13" t="s">
        <v>5504</v>
      </c>
      <c r="N2079" s="12" t="s">
        <v>803</v>
      </c>
      <c r="O2079" s="13" t="s">
        <v>5117</v>
      </c>
      <c r="P2079" s="17" t="s">
        <v>802</v>
      </c>
      <c r="Q2079" s="21" t="s">
        <v>7743</v>
      </c>
      <c r="R2079" s="17" t="s">
        <v>801</v>
      </c>
      <c r="S2079" s="18" t="s">
        <v>2631</v>
      </c>
      <c r="T2079" s="17" t="s">
        <v>800</v>
      </c>
      <c r="U2079" s="18" t="s">
        <v>5253</v>
      </c>
      <c r="V2079" s="17" t="s">
        <v>9418</v>
      </c>
      <c r="W2079" s="18" t="s">
        <v>5309</v>
      </c>
      <c r="X2079" s="69" t="s">
        <v>9453</v>
      </c>
      <c r="Y2079" s="70" t="s">
        <v>9462</v>
      </c>
      <c r="Z2079" s="73" t="s">
        <v>9486</v>
      </c>
      <c r="AA2079" s="74" t="s">
        <v>9504</v>
      </c>
      <c r="AB2079" s="73" t="s">
        <v>9486</v>
      </c>
      <c r="AC2079" s="74" t="s">
        <v>9566</v>
      </c>
      <c r="AD2079" s="73" t="s">
        <v>9578</v>
      </c>
      <c r="AE2079" s="74" t="s">
        <v>9579</v>
      </c>
    </row>
    <row r="2080" spans="1:31" ht="8.65" customHeight="1" x14ac:dyDescent="0.2">
      <c r="A2080" s="76">
        <v>2080</v>
      </c>
      <c r="B2080" s="67" t="str">
        <f>MID(C2080, FIND("Ifc.", C2080) + 4, 4) &amp; "_" &amp; TEXT(COUNTIF($C$2:C2080, C2080),"0000")</f>
        <v>Prop_2079</v>
      </c>
      <c r="C2080" s="24" t="s">
        <v>872</v>
      </c>
      <c r="D2080" s="69" t="s">
        <v>9453</v>
      </c>
      <c r="E2080" s="70" t="s">
        <v>9454</v>
      </c>
      <c r="F2080" s="17" t="s">
        <v>806</v>
      </c>
      <c r="G2080" s="22" t="s">
        <v>1689</v>
      </c>
      <c r="H2080" s="12" t="s">
        <v>9703</v>
      </c>
      <c r="I2080" s="13" t="s">
        <v>6439</v>
      </c>
      <c r="J2080" s="14" t="s">
        <v>798</v>
      </c>
      <c r="K2080" s="15" t="s">
        <v>798</v>
      </c>
      <c r="L2080" s="12" t="s">
        <v>5315</v>
      </c>
      <c r="M2080" s="13" t="s">
        <v>5851</v>
      </c>
      <c r="N2080" s="12" t="s">
        <v>803</v>
      </c>
      <c r="O2080" s="13" t="s">
        <v>4998</v>
      </c>
      <c r="P2080" s="17" t="s">
        <v>802</v>
      </c>
      <c r="Q2080" s="21" t="s">
        <v>8076</v>
      </c>
      <c r="R2080" s="17" t="s">
        <v>801</v>
      </c>
      <c r="S2080" s="18" t="s">
        <v>3636</v>
      </c>
      <c r="T2080" s="17" t="s">
        <v>800</v>
      </c>
      <c r="U2080" s="18" t="s">
        <v>5257</v>
      </c>
      <c r="V2080" s="17" t="s">
        <v>9418</v>
      </c>
      <c r="W2080" s="18" t="s">
        <v>5314</v>
      </c>
      <c r="X2080" s="69" t="s">
        <v>9453</v>
      </c>
      <c r="Y2080" s="70" t="s">
        <v>9464</v>
      </c>
      <c r="Z2080" s="73" t="s">
        <v>9486</v>
      </c>
      <c r="AA2080" s="74" t="s">
        <v>9504</v>
      </c>
      <c r="AB2080" s="73" t="s">
        <v>9486</v>
      </c>
      <c r="AC2080" s="74" t="s">
        <v>9561</v>
      </c>
      <c r="AD2080" s="73" t="s">
        <v>9578</v>
      </c>
      <c r="AE2080" s="74" t="s">
        <v>9579</v>
      </c>
    </row>
    <row r="2081" spans="1:31" ht="8.65" customHeight="1" x14ac:dyDescent="0.2">
      <c r="A2081" s="76">
        <v>2081</v>
      </c>
      <c r="B2081" s="67" t="str">
        <f>MID(C2081, FIND("Ifc.", C2081) + 4, 4) &amp; "_" &amp; TEXT(COUNTIF($C$2:C2081, C2081),"0000")</f>
        <v>Prop_2080</v>
      </c>
      <c r="C2081" s="24" t="s">
        <v>872</v>
      </c>
      <c r="D2081" s="69" t="s">
        <v>9453</v>
      </c>
      <c r="E2081" s="70" t="s">
        <v>9454</v>
      </c>
      <c r="F2081" s="17" t="s">
        <v>806</v>
      </c>
      <c r="G2081" s="22" t="s">
        <v>1689</v>
      </c>
      <c r="H2081" s="12" t="s">
        <v>9703</v>
      </c>
      <c r="I2081" s="13" t="s">
        <v>6439</v>
      </c>
      <c r="J2081" s="14" t="s">
        <v>798</v>
      </c>
      <c r="K2081" s="15" t="s">
        <v>798</v>
      </c>
      <c r="L2081" s="12" t="s">
        <v>5315</v>
      </c>
      <c r="M2081" s="13" t="s">
        <v>5504</v>
      </c>
      <c r="N2081" s="12" t="s">
        <v>803</v>
      </c>
      <c r="O2081" s="13" t="s">
        <v>5117</v>
      </c>
      <c r="P2081" s="17" t="s">
        <v>802</v>
      </c>
      <c r="Q2081" s="21" t="s">
        <v>7743</v>
      </c>
      <c r="R2081" s="17" t="s">
        <v>801</v>
      </c>
      <c r="S2081" s="18" t="s">
        <v>2631</v>
      </c>
      <c r="T2081" s="17" t="s">
        <v>800</v>
      </c>
      <c r="U2081" s="18" t="s">
        <v>5253</v>
      </c>
      <c r="V2081" s="17" t="s">
        <v>9418</v>
      </c>
      <c r="W2081" s="18" t="s">
        <v>5309</v>
      </c>
      <c r="X2081" s="69" t="s">
        <v>9453</v>
      </c>
      <c r="Y2081" s="70" t="s">
        <v>9462</v>
      </c>
      <c r="Z2081" s="73" t="s">
        <v>9486</v>
      </c>
      <c r="AA2081" s="74" t="s">
        <v>9504</v>
      </c>
      <c r="AB2081" s="73" t="s">
        <v>9486</v>
      </c>
      <c r="AC2081" s="74" t="s">
        <v>9566</v>
      </c>
      <c r="AD2081" s="73" t="s">
        <v>9578</v>
      </c>
      <c r="AE2081" s="74" t="s">
        <v>9579</v>
      </c>
    </row>
    <row r="2082" spans="1:31" ht="8.65" customHeight="1" x14ac:dyDescent="0.2">
      <c r="A2082" s="76">
        <v>2082</v>
      </c>
      <c r="B2082" s="67" t="str">
        <f>MID(C2082, FIND("Ifc.", C2082) + 4, 4) &amp; "_" &amp; TEXT(COUNTIF($C$2:C2082, C2082),"0000")</f>
        <v>Prop_2081</v>
      </c>
      <c r="C2082" s="24" t="s">
        <v>872</v>
      </c>
      <c r="D2082" s="69" t="s">
        <v>9453</v>
      </c>
      <c r="E2082" s="70" t="s">
        <v>9454</v>
      </c>
      <c r="F2082" s="17" t="s">
        <v>806</v>
      </c>
      <c r="G2082" s="22" t="s">
        <v>2223</v>
      </c>
      <c r="H2082" s="12" t="s">
        <v>9703</v>
      </c>
      <c r="I2082" s="13" t="s">
        <v>6688</v>
      </c>
      <c r="J2082" s="14" t="s">
        <v>798</v>
      </c>
      <c r="K2082" s="15" t="s">
        <v>798</v>
      </c>
      <c r="L2082" s="12" t="s">
        <v>5315</v>
      </c>
      <c r="M2082" s="13" t="s">
        <v>5509</v>
      </c>
      <c r="N2082" s="12" t="s">
        <v>803</v>
      </c>
      <c r="O2082" s="13" t="s">
        <v>5122</v>
      </c>
      <c r="P2082" s="17" t="s">
        <v>802</v>
      </c>
      <c r="Q2082" s="21" t="s">
        <v>7780</v>
      </c>
      <c r="R2082" s="17" t="s">
        <v>801</v>
      </c>
      <c r="S2082" s="18" t="s">
        <v>2631</v>
      </c>
      <c r="T2082" s="17" t="s">
        <v>800</v>
      </c>
      <c r="U2082" s="18" t="s">
        <v>5253</v>
      </c>
      <c r="V2082" s="17" t="s">
        <v>9418</v>
      </c>
      <c r="W2082" s="18" t="s">
        <v>5309</v>
      </c>
      <c r="X2082" s="69" t="s">
        <v>9453</v>
      </c>
      <c r="Y2082" s="70" t="s">
        <v>9462</v>
      </c>
      <c r="Z2082" s="73" t="s">
        <v>9486</v>
      </c>
      <c r="AA2082" s="74" t="s">
        <v>9504</v>
      </c>
      <c r="AB2082" s="73" t="s">
        <v>9486</v>
      </c>
      <c r="AC2082" s="74" t="s">
        <v>9566</v>
      </c>
      <c r="AD2082" s="73" t="s">
        <v>9578</v>
      </c>
      <c r="AE2082" s="74" t="s">
        <v>9579</v>
      </c>
    </row>
    <row r="2083" spans="1:31" ht="8.65" customHeight="1" x14ac:dyDescent="0.2">
      <c r="A2083" s="76">
        <v>2083</v>
      </c>
      <c r="B2083" s="67" t="str">
        <f>MID(C2083, FIND("Ifc.", C2083) + 4, 4) &amp; "_" &amp; TEXT(COUNTIF($C$2:C2083, C2083),"0000")</f>
        <v>Prop_2082</v>
      </c>
      <c r="C2083" s="24" t="s">
        <v>872</v>
      </c>
      <c r="D2083" s="69" t="s">
        <v>9453</v>
      </c>
      <c r="E2083" s="70" t="s">
        <v>9454</v>
      </c>
      <c r="F2083" s="17" t="s">
        <v>806</v>
      </c>
      <c r="G2083" s="22" t="s">
        <v>2222</v>
      </c>
      <c r="H2083" s="12" t="s">
        <v>9703</v>
      </c>
      <c r="I2083" s="13" t="s">
        <v>6687</v>
      </c>
      <c r="J2083" s="14" t="s">
        <v>798</v>
      </c>
      <c r="K2083" s="15" t="s">
        <v>798</v>
      </c>
      <c r="L2083" s="12" t="s">
        <v>5315</v>
      </c>
      <c r="M2083" s="13" t="s">
        <v>5509</v>
      </c>
      <c r="N2083" s="12" t="s">
        <v>803</v>
      </c>
      <c r="O2083" s="13" t="s">
        <v>5122</v>
      </c>
      <c r="P2083" s="17" t="s">
        <v>802</v>
      </c>
      <c r="Q2083" s="21" t="s">
        <v>7780</v>
      </c>
      <c r="R2083" s="17" t="s">
        <v>801</v>
      </c>
      <c r="S2083" s="18" t="s">
        <v>2631</v>
      </c>
      <c r="T2083" s="17" t="s">
        <v>800</v>
      </c>
      <c r="U2083" s="18" t="s">
        <v>5253</v>
      </c>
      <c r="V2083" s="17" t="s">
        <v>9418</v>
      </c>
      <c r="W2083" s="18" t="s">
        <v>5309</v>
      </c>
      <c r="X2083" s="69" t="s">
        <v>9453</v>
      </c>
      <c r="Y2083" s="70" t="s">
        <v>9462</v>
      </c>
      <c r="Z2083" s="73" t="s">
        <v>9486</v>
      </c>
      <c r="AA2083" s="74" t="s">
        <v>9504</v>
      </c>
      <c r="AB2083" s="73" t="s">
        <v>9486</v>
      </c>
      <c r="AC2083" s="74" t="s">
        <v>9566</v>
      </c>
      <c r="AD2083" s="73" t="s">
        <v>9578</v>
      </c>
      <c r="AE2083" s="74" t="s">
        <v>9579</v>
      </c>
    </row>
    <row r="2084" spans="1:31" ht="8.65" customHeight="1" x14ac:dyDescent="0.2">
      <c r="A2084" s="76">
        <v>2084</v>
      </c>
      <c r="B2084" s="67" t="str">
        <f>MID(C2084, FIND("Ifc.", C2084) + 4, 4) &amp; "_" &amp; TEXT(COUNTIF($C$2:C2084, C2084),"0000")</f>
        <v>Prop_2083</v>
      </c>
      <c r="C2084" s="24" t="s">
        <v>872</v>
      </c>
      <c r="D2084" s="69" t="s">
        <v>9453</v>
      </c>
      <c r="E2084" s="70" t="s">
        <v>9454</v>
      </c>
      <c r="F2084" s="17" t="s">
        <v>806</v>
      </c>
      <c r="G2084" s="22" t="s">
        <v>2185</v>
      </c>
      <c r="H2084" s="12" t="s">
        <v>9703</v>
      </c>
      <c r="I2084" s="13" t="s">
        <v>6665</v>
      </c>
      <c r="J2084" s="14" t="s">
        <v>798</v>
      </c>
      <c r="K2084" s="15" t="s">
        <v>798</v>
      </c>
      <c r="L2084" s="12" t="s">
        <v>5315</v>
      </c>
      <c r="M2084" s="13" t="s">
        <v>5504</v>
      </c>
      <c r="N2084" s="12" t="s">
        <v>803</v>
      </c>
      <c r="O2084" s="13" t="s">
        <v>5117</v>
      </c>
      <c r="P2084" s="17" t="s">
        <v>802</v>
      </c>
      <c r="Q2084" s="21" t="s">
        <v>7743</v>
      </c>
      <c r="R2084" s="17" t="s">
        <v>801</v>
      </c>
      <c r="S2084" s="18" t="s">
        <v>2631</v>
      </c>
      <c r="T2084" s="17" t="s">
        <v>800</v>
      </c>
      <c r="U2084" s="18" t="s">
        <v>5253</v>
      </c>
      <c r="V2084" s="17" t="s">
        <v>9418</v>
      </c>
      <c r="W2084" s="18" t="s">
        <v>5309</v>
      </c>
      <c r="X2084" s="69" t="s">
        <v>9453</v>
      </c>
      <c r="Y2084" s="70" t="s">
        <v>9462</v>
      </c>
      <c r="Z2084" s="73" t="s">
        <v>9486</v>
      </c>
      <c r="AA2084" s="74" t="s">
        <v>9504</v>
      </c>
      <c r="AB2084" s="73" t="s">
        <v>9486</v>
      </c>
      <c r="AC2084" s="74" t="s">
        <v>9566</v>
      </c>
      <c r="AD2084" s="73" t="s">
        <v>9578</v>
      </c>
      <c r="AE2084" s="74" t="s">
        <v>9579</v>
      </c>
    </row>
    <row r="2085" spans="1:31" ht="8.65" customHeight="1" x14ac:dyDescent="0.2">
      <c r="A2085" s="76">
        <v>2085</v>
      </c>
      <c r="B2085" s="67" t="str">
        <f>MID(C2085, FIND("Ifc.", C2085) + 4, 4) &amp; "_" &amp; TEXT(COUNTIF($C$2:C2085, C2085),"0000")</f>
        <v>Prop_2084</v>
      </c>
      <c r="C2085" s="24" t="s">
        <v>872</v>
      </c>
      <c r="D2085" s="69" t="s">
        <v>9453</v>
      </c>
      <c r="E2085" s="70" t="s">
        <v>9454</v>
      </c>
      <c r="F2085" s="17" t="s">
        <v>806</v>
      </c>
      <c r="G2085" s="22" t="s">
        <v>1629</v>
      </c>
      <c r="H2085" s="12" t="s">
        <v>9703</v>
      </c>
      <c r="I2085" s="13" t="s">
        <v>6881</v>
      </c>
      <c r="J2085" s="14" t="s">
        <v>798</v>
      </c>
      <c r="K2085" s="15" t="s">
        <v>798</v>
      </c>
      <c r="L2085" s="12" t="s">
        <v>5315</v>
      </c>
      <c r="M2085" s="13" t="s">
        <v>5834</v>
      </c>
      <c r="N2085" s="12" t="s">
        <v>803</v>
      </c>
      <c r="O2085" s="13" t="s">
        <v>4976</v>
      </c>
      <c r="P2085" s="17" t="s">
        <v>802</v>
      </c>
      <c r="Q2085" s="21" t="s">
        <v>7883</v>
      </c>
      <c r="R2085" s="17" t="s">
        <v>801</v>
      </c>
      <c r="S2085" s="18" t="s">
        <v>3636</v>
      </c>
      <c r="T2085" s="17" t="s">
        <v>800</v>
      </c>
      <c r="U2085" s="18" t="s">
        <v>5257</v>
      </c>
      <c r="V2085" s="17" t="s">
        <v>9418</v>
      </c>
      <c r="W2085" s="18" t="s">
        <v>5314</v>
      </c>
      <c r="X2085" s="69" t="s">
        <v>9453</v>
      </c>
      <c r="Y2085" s="70" t="s">
        <v>9464</v>
      </c>
      <c r="Z2085" s="73" t="s">
        <v>9486</v>
      </c>
      <c r="AA2085" s="74" t="s">
        <v>9504</v>
      </c>
      <c r="AB2085" s="73" t="s">
        <v>9486</v>
      </c>
      <c r="AC2085" s="74" t="s">
        <v>9561</v>
      </c>
      <c r="AD2085" s="73" t="s">
        <v>9578</v>
      </c>
      <c r="AE2085" s="74" t="s">
        <v>9579</v>
      </c>
    </row>
    <row r="2086" spans="1:31" ht="8.65" customHeight="1" x14ac:dyDescent="0.2">
      <c r="A2086" s="76">
        <v>2086</v>
      </c>
      <c r="B2086" s="67" t="str">
        <f>MID(C2086, FIND("Ifc.", C2086) + 4, 4) &amp; "_" &amp; TEXT(COUNTIF($C$2:C2086, C2086),"0000")</f>
        <v>Prop_2085</v>
      </c>
      <c r="C2086" s="24" t="s">
        <v>872</v>
      </c>
      <c r="D2086" s="69" t="s">
        <v>9453</v>
      </c>
      <c r="E2086" s="70" t="s">
        <v>9454</v>
      </c>
      <c r="F2086" s="17" t="s">
        <v>806</v>
      </c>
      <c r="G2086" s="22" t="s">
        <v>1630</v>
      </c>
      <c r="H2086" s="12" t="s">
        <v>9703</v>
      </c>
      <c r="I2086" s="13" t="s">
        <v>7668</v>
      </c>
      <c r="J2086" s="14" t="s">
        <v>798</v>
      </c>
      <c r="K2086" s="15" t="s">
        <v>798</v>
      </c>
      <c r="L2086" s="12" t="s">
        <v>5315</v>
      </c>
      <c r="M2086" s="13" t="s">
        <v>5834</v>
      </c>
      <c r="N2086" s="12" t="s">
        <v>803</v>
      </c>
      <c r="O2086" s="13" t="s">
        <v>4976</v>
      </c>
      <c r="P2086" s="17" t="s">
        <v>802</v>
      </c>
      <c r="Q2086" s="21" t="s">
        <v>7883</v>
      </c>
      <c r="R2086" s="17" t="s">
        <v>801</v>
      </c>
      <c r="S2086" s="18" t="s">
        <v>3636</v>
      </c>
      <c r="T2086" s="17" t="s">
        <v>800</v>
      </c>
      <c r="U2086" s="18" t="s">
        <v>5257</v>
      </c>
      <c r="V2086" s="17" t="s">
        <v>9418</v>
      </c>
      <c r="W2086" s="18" t="s">
        <v>5314</v>
      </c>
      <c r="X2086" s="69" t="s">
        <v>9453</v>
      </c>
      <c r="Y2086" s="70" t="s">
        <v>9464</v>
      </c>
      <c r="Z2086" s="73" t="s">
        <v>9486</v>
      </c>
      <c r="AA2086" s="74" t="s">
        <v>9504</v>
      </c>
      <c r="AB2086" s="73" t="s">
        <v>9486</v>
      </c>
      <c r="AC2086" s="74" t="s">
        <v>9561</v>
      </c>
      <c r="AD2086" s="73" t="s">
        <v>9578</v>
      </c>
      <c r="AE2086" s="74" t="s">
        <v>9579</v>
      </c>
    </row>
    <row r="2087" spans="1:31" ht="8.65" customHeight="1" x14ac:dyDescent="0.2">
      <c r="A2087" s="76">
        <v>2087</v>
      </c>
      <c r="B2087" s="67" t="str">
        <f>MID(C2087, FIND("Ifc.", C2087) + 4, 4) &amp; "_" &amp; TEXT(COUNTIF($C$2:C2087, C2087),"0000")</f>
        <v>Prop_2086</v>
      </c>
      <c r="C2087" s="24" t="s">
        <v>872</v>
      </c>
      <c r="D2087" s="69" t="s">
        <v>9453</v>
      </c>
      <c r="E2087" s="70" t="s">
        <v>9454</v>
      </c>
      <c r="F2087" s="17" t="s">
        <v>806</v>
      </c>
      <c r="G2087" s="22" t="s">
        <v>2537</v>
      </c>
      <c r="H2087" s="12" t="s">
        <v>9703</v>
      </c>
      <c r="I2087" s="13" t="s">
        <v>7179</v>
      </c>
      <c r="J2087" s="14" t="s">
        <v>798</v>
      </c>
      <c r="K2087" s="15" t="s">
        <v>798</v>
      </c>
      <c r="L2087" s="12" t="s">
        <v>5315</v>
      </c>
      <c r="M2087" s="13" t="s">
        <v>5580</v>
      </c>
      <c r="N2087" s="12" t="s">
        <v>803</v>
      </c>
      <c r="O2087" s="13" t="s">
        <v>5226</v>
      </c>
      <c r="P2087" s="17" t="s">
        <v>802</v>
      </c>
      <c r="Q2087" s="21" t="s">
        <v>7797</v>
      </c>
      <c r="R2087" s="17" t="s">
        <v>801</v>
      </c>
      <c r="S2087" s="18" t="s">
        <v>2631</v>
      </c>
      <c r="T2087" s="17" t="s">
        <v>800</v>
      </c>
      <c r="U2087" s="18" t="s">
        <v>5253</v>
      </c>
      <c r="V2087" s="17" t="s">
        <v>9418</v>
      </c>
      <c r="W2087" s="18" t="s">
        <v>5309</v>
      </c>
      <c r="X2087" s="69" t="s">
        <v>9453</v>
      </c>
      <c r="Y2087" s="70" t="s">
        <v>9462</v>
      </c>
      <c r="Z2087" s="73" t="s">
        <v>9486</v>
      </c>
      <c r="AA2087" s="74" t="s">
        <v>9504</v>
      </c>
      <c r="AB2087" s="73" t="s">
        <v>9486</v>
      </c>
      <c r="AC2087" s="74" t="s">
        <v>9566</v>
      </c>
      <c r="AD2087" s="73" t="s">
        <v>9578</v>
      </c>
      <c r="AE2087" s="74" t="s">
        <v>9579</v>
      </c>
    </row>
    <row r="2088" spans="1:31" ht="8.65" customHeight="1" x14ac:dyDescent="0.2">
      <c r="A2088" s="76">
        <v>2088</v>
      </c>
      <c r="B2088" s="67" t="str">
        <f>MID(C2088, FIND("Ifc.", C2088) + 4, 4) &amp; "_" &amp; TEXT(COUNTIF($C$2:C2088, C2088),"0000")</f>
        <v>Prop_2087</v>
      </c>
      <c r="C2088" s="24" t="s">
        <v>872</v>
      </c>
      <c r="D2088" s="69" t="s">
        <v>9453</v>
      </c>
      <c r="E2088" s="70" t="s">
        <v>9454</v>
      </c>
      <c r="F2088" s="17" t="s">
        <v>806</v>
      </c>
      <c r="G2088" s="22" t="s">
        <v>2535</v>
      </c>
      <c r="H2088" s="12" t="s">
        <v>9703</v>
      </c>
      <c r="I2088" s="13" t="s">
        <v>7184</v>
      </c>
      <c r="J2088" s="14" t="s">
        <v>798</v>
      </c>
      <c r="K2088" s="15" t="s">
        <v>798</v>
      </c>
      <c r="L2088" s="12" t="s">
        <v>5315</v>
      </c>
      <c r="M2088" s="13" t="s">
        <v>5580</v>
      </c>
      <c r="N2088" s="12" t="s">
        <v>803</v>
      </c>
      <c r="O2088" s="13" t="s">
        <v>5226</v>
      </c>
      <c r="P2088" s="17" t="s">
        <v>802</v>
      </c>
      <c r="Q2088" s="21" t="s">
        <v>7797</v>
      </c>
      <c r="R2088" s="17" t="s">
        <v>801</v>
      </c>
      <c r="S2088" s="18" t="s">
        <v>2631</v>
      </c>
      <c r="T2088" s="17" t="s">
        <v>800</v>
      </c>
      <c r="U2088" s="18" t="s">
        <v>5253</v>
      </c>
      <c r="V2088" s="17" t="s">
        <v>9418</v>
      </c>
      <c r="W2088" s="18" t="s">
        <v>5309</v>
      </c>
      <c r="X2088" s="69" t="s">
        <v>9453</v>
      </c>
      <c r="Y2088" s="70" t="s">
        <v>9462</v>
      </c>
      <c r="Z2088" s="73" t="s">
        <v>9486</v>
      </c>
      <c r="AA2088" s="74" t="s">
        <v>9504</v>
      </c>
      <c r="AB2088" s="73" t="s">
        <v>9486</v>
      </c>
      <c r="AC2088" s="74" t="s">
        <v>9566</v>
      </c>
      <c r="AD2088" s="73" t="s">
        <v>9578</v>
      </c>
      <c r="AE2088" s="74" t="s">
        <v>9579</v>
      </c>
    </row>
    <row r="2089" spans="1:31" ht="8.65" customHeight="1" x14ac:dyDescent="0.2">
      <c r="A2089" s="76">
        <v>2089</v>
      </c>
      <c r="B2089" s="67" t="str">
        <f>MID(C2089, FIND("Ifc.", C2089) + 4, 4) &amp; "_" &amp; TEXT(COUNTIF($C$2:C2089, C2089),"0000")</f>
        <v>Prop_2088</v>
      </c>
      <c r="C2089" s="24" t="s">
        <v>872</v>
      </c>
      <c r="D2089" s="69" t="s">
        <v>9453</v>
      </c>
      <c r="E2089" s="70" t="s">
        <v>9454</v>
      </c>
      <c r="F2089" s="17" t="s">
        <v>806</v>
      </c>
      <c r="G2089" s="22" t="s">
        <v>2539</v>
      </c>
      <c r="H2089" s="12" t="s">
        <v>9703</v>
      </c>
      <c r="I2089" s="13" t="s">
        <v>7183</v>
      </c>
      <c r="J2089" s="14" t="s">
        <v>798</v>
      </c>
      <c r="K2089" s="15" t="s">
        <v>798</v>
      </c>
      <c r="L2089" s="12" t="s">
        <v>5315</v>
      </c>
      <c r="M2089" s="13" t="s">
        <v>5580</v>
      </c>
      <c r="N2089" s="12" t="s">
        <v>803</v>
      </c>
      <c r="O2089" s="13" t="s">
        <v>5226</v>
      </c>
      <c r="P2089" s="17" t="s">
        <v>802</v>
      </c>
      <c r="Q2089" s="21" t="s">
        <v>7797</v>
      </c>
      <c r="R2089" s="17" t="s">
        <v>801</v>
      </c>
      <c r="S2089" s="18" t="s">
        <v>2631</v>
      </c>
      <c r="T2089" s="17" t="s">
        <v>800</v>
      </c>
      <c r="U2089" s="18" t="s">
        <v>5253</v>
      </c>
      <c r="V2089" s="17" t="s">
        <v>9418</v>
      </c>
      <c r="W2089" s="18" t="s">
        <v>5309</v>
      </c>
      <c r="X2089" s="69" t="s">
        <v>9453</v>
      </c>
      <c r="Y2089" s="70" t="s">
        <v>9462</v>
      </c>
      <c r="Z2089" s="73" t="s">
        <v>9486</v>
      </c>
      <c r="AA2089" s="74" t="s">
        <v>9504</v>
      </c>
      <c r="AB2089" s="73" t="s">
        <v>9486</v>
      </c>
      <c r="AC2089" s="74" t="s">
        <v>9566</v>
      </c>
      <c r="AD2089" s="73" t="s">
        <v>9578</v>
      </c>
      <c r="AE2089" s="74" t="s">
        <v>9579</v>
      </c>
    </row>
    <row r="2090" spans="1:31" ht="8.65" customHeight="1" x14ac:dyDescent="0.2">
      <c r="A2090" s="76">
        <v>2090</v>
      </c>
      <c r="B2090" s="67" t="str">
        <f>MID(C2090, FIND("Ifc.", C2090) + 4, 4) &amp; "_" &amp; TEXT(COUNTIF($C$2:C2090, C2090),"0000")</f>
        <v>Prop_2089</v>
      </c>
      <c r="C2090" s="24" t="s">
        <v>872</v>
      </c>
      <c r="D2090" s="69" t="s">
        <v>9453</v>
      </c>
      <c r="E2090" s="70" t="s">
        <v>9454</v>
      </c>
      <c r="F2090" s="17" t="s">
        <v>806</v>
      </c>
      <c r="G2090" s="22" t="s">
        <v>1123</v>
      </c>
      <c r="H2090" s="12" t="s">
        <v>9703</v>
      </c>
      <c r="I2090" s="13" t="s">
        <v>6168</v>
      </c>
      <c r="J2090" s="14" t="s">
        <v>798</v>
      </c>
      <c r="K2090" s="15" t="s">
        <v>798</v>
      </c>
      <c r="L2090" s="12" t="s">
        <v>5315</v>
      </c>
      <c r="M2090" s="13" t="s">
        <v>5392</v>
      </c>
      <c r="N2090" s="12" t="s">
        <v>803</v>
      </c>
      <c r="O2090" s="13" t="s">
        <v>4858</v>
      </c>
      <c r="P2090" s="17" t="s">
        <v>802</v>
      </c>
      <c r="Q2090" s="21" t="s">
        <v>7798</v>
      </c>
      <c r="R2090" s="17" t="s">
        <v>801</v>
      </c>
      <c r="S2090" s="18" t="s">
        <v>2631</v>
      </c>
      <c r="T2090" s="17" t="s">
        <v>800</v>
      </c>
      <c r="U2090" s="18" t="s">
        <v>5253</v>
      </c>
      <c r="V2090" s="17" t="s">
        <v>9418</v>
      </c>
      <c r="W2090" s="18" t="s">
        <v>5309</v>
      </c>
      <c r="X2090" s="69" t="s">
        <v>9453</v>
      </c>
      <c r="Y2090" s="70" t="s">
        <v>9462</v>
      </c>
      <c r="Z2090" s="73" t="s">
        <v>9486</v>
      </c>
      <c r="AA2090" s="74" t="s">
        <v>9504</v>
      </c>
      <c r="AB2090" s="73" t="s">
        <v>9486</v>
      </c>
      <c r="AC2090" s="74" t="s">
        <v>9566</v>
      </c>
      <c r="AD2090" s="73" t="s">
        <v>9578</v>
      </c>
      <c r="AE2090" s="74" t="s">
        <v>9579</v>
      </c>
    </row>
    <row r="2091" spans="1:31" ht="8.65" customHeight="1" x14ac:dyDescent="0.2">
      <c r="A2091" s="76">
        <v>2091</v>
      </c>
      <c r="B2091" s="67" t="str">
        <f>MID(C2091, FIND("Ifc.", C2091) + 4, 4) &amp; "_" &amp; TEXT(COUNTIF($C$2:C2091, C2091),"0000")</f>
        <v>Prop_2090</v>
      </c>
      <c r="C2091" s="24" t="s">
        <v>872</v>
      </c>
      <c r="D2091" s="69" t="s">
        <v>9453</v>
      </c>
      <c r="E2091" s="70" t="s">
        <v>9454</v>
      </c>
      <c r="F2091" s="17" t="s">
        <v>806</v>
      </c>
      <c r="G2091" s="22" t="s">
        <v>1124</v>
      </c>
      <c r="H2091" s="12" t="s">
        <v>9703</v>
      </c>
      <c r="I2091" s="13" t="s">
        <v>6169</v>
      </c>
      <c r="J2091" s="14" t="s">
        <v>798</v>
      </c>
      <c r="K2091" s="15" t="s">
        <v>798</v>
      </c>
      <c r="L2091" s="12" t="s">
        <v>5315</v>
      </c>
      <c r="M2091" s="13" t="s">
        <v>5392</v>
      </c>
      <c r="N2091" s="12" t="s">
        <v>803</v>
      </c>
      <c r="O2091" s="13" t="s">
        <v>4858</v>
      </c>
      <c r="P2091" s="17" t="s">
        <v>802</v>
      </c>
      <c r="Q2091" s="21" t="s">
        <v>7798</v>
      </c>
      <c r="R2091" s="17" t="s">
        <v>801</v>
      </c>
      <c r="S2091" s="18" t="s">
        <v>2631</v>
      </c>
      <c r="T2091" s="17" t="s">
        <v>800</v>
      </c>
      <c r="U2091" s="18" t="s">
        <v>5253</v>
      </c>
      <c r="V2091" s="17" t="s">
        <v>9418</v>
      </c>
      <c r="W2091" s="18" t="s">
        <v>5309</v>
      </c>
      <c r="X2091" s="69" t="s">
        <v>9453</v>
      </c>
      <c r="Y2091" s="70" t="s">
        <v>9462</v>
      </c>
      <c r="Z2091" s="73" t="s">
        <v>9486</v>
      </c>
      <c r="AA2091" s="74" t="s">
        <v>9504</v>
      </c>
      <c r="AB2091" s="73" t="s">
        <v>9486</v>
      </c>
      <c r="AC2091" s="74" t="s">
        <v>9566</v>
      </c>
      <c r="AD2091" s="73" t="s">
        <v>9578</v>
      </c>
      <c r="AE2091" s="74" t="s">
        <v>9579</v>
      </c>
    </row>
    <row r="2092" spans="1:31" ht="8.65" customHeight="1" x14ac:dyDescent="0.2">
      <c r="A2092" s="76">
        <v>2092</v>
      </c>
      <c r="B2092" s="67" t="str">
        <f>MID(C2092, FIND("Ifc.", C2092) + 4, 4) &amp; "_" &amp; TEXT(COUNTIF($C$2:C2092, C2092),"0000")</f>
        <v>Prop_2091</v>
      </c>
      <c r="C2092" s="24" t="s">
        <v>872</v>
      </c>
      <c r="D2092" s="69" t="s">
        <v>9453</v>
      </c>
      <c r="E2092" s="70" t="s">
        <v>9454</v>
      </c>
      <c r="F2092" s="17" t="s">
        <v>806</v>
      </c>
      <c r="G2092" s="22" t="s">
        <v>2536</v>
      </c>
      <c r="H2092" s="12" t="s">
        <v>9703</v>
      </c>
      <c r="I2092" s="13" t="s">
        <v>7291</v>
      </c>
      <c r="J2092" s="14" t="s">
        <v>798</v>
      </c>
      <c r="K2092" s="15" t="s">
        <v>798</v>
      </c>
      <c r="L2092" s="12" t="s">
        <v>5315</v>
      </c>
      <c r="M2092" s="13" t="s">
        <v>5580</v>
      </c>
      <c r="N2092" s="12" t="s">
        <v>803</v>
      </c>
      <c r="O2092" s="13" t="s">
        <v>5226</v>
      </c>
      <c r="P2092" s="17" t="s">
        <v>802</v>
      </c>
      <c r="Q2092" s="21" t="s">
        <v>7797</v>
      </c>
      <c r="R2092" s="17" t="s">
        <v>801</v>
      </c>
      <c r="S2092" s="18" t="s">
        <v>2631</v>
      </c>
      <c r="T2092" s="17" t="s">
        <v>800</v>
      </c>
      <c r="U2092" s="18" t="s">
        <v>5253</v>
      </c>
      <c r="V2092" s="17" t="s">
        <v>9418</v>
      </c>
      <c r="W2092" s="18" t="s">
        <v>5309</v>
      </c>
      <c r="X2092" s="69" t="s">
        <v>9453</v>
      </c>
      <c r="Y2092" s="70" t="s">
        <v>9462</v>
      </c>
      <c r="Z2092" s="73" t="s">
        <v>9486</v>
      </c>
      <c r="AA2092" s="74" t="s">
        <v>9504</v>
      </c>
      <c r="AB2092" s="73" t="s">
        <v>9486</v>
      </c>
      <c r="AC2092" s="74" t="s">
        <v>9566</v>
      </c>
      <c r="AD2092" s="73" t="s">
        <v>9578</v>
      </c>
      <c r="AE2092" s="74" t="s">
        <v>9579</v>
      </c>
    </row>
    <row r="2093" spans="1:31" ht="8.65" customHeight="1" x14ac:dyDescent="0.2">
      <c r="A2093" s="76">
        <v>2093</v>
      </c>
      <c r="B2093" s="67" t="str">
        <f>MID(C2093, FIND("Ifc.", C2093) + 4, 4) &amp; "_" &amp; TEXT(COUNTIF($C$2:C2093, C2093),"0000")</f>
        <v>Prop_2092</v>
      </c>
      <c r="C2093" s="24" t="s">
        <v>872</v>
      </c>
      <c r="D2093" s="69" t="s">
        <v>9453</v>
      </c>
      <c r="E2093" s="70" t="s">
        <v>9454</v>
      </c>
      <c r="F2093" s="17" t="s">
        <v>806</v>
      </c>
      <c r="G2093" s="22" t="s">
        <v>2224</v>
      </c>
      <c r="H2093" s="12" t="s">
        <v>9703</v>
      </c>
      <c r="I2093" s="13" t="s">
        <v>6684</v>
      </c>
      <c r="J2093" s="14" t="s">
        <v>798</v>
      </c>
      <c r="K2093" s="15" t="s">
        <v>798</v>
      </c>
      <c r="L2093" s="12" t="s">
        <v>5315</v>
      </c>
      <c r="M2093" s="13" t="s">
        <v>5514</v>
      </c>
      <c r="N2093" s="12" t="s">
        <v>803</v>
      </c>
      <c r="O2093" s="13" t="s">
        <v>5128</v>
      </c>
      <c r="P2093" s="17" t="s">
        <v>802</v>
      </c>
      <c r="Q2093" s="21" t="s">
        <v>7773</v>
      </c>
      <c r="R2093" s="17" t="s">
        <v>801</v>
      </c>
      <c r="S2093" s="18" t="s">
        <v>2631</v>
      </c>
      <c r="T2093" s="17" t="s">
        <v>800</v>
      </c>
      <c r="U2093" s="18" t="s">
        <v>5253</v>
      </c>
      <c r="V2093" s="17" t="s">
        <v>9418</v>
      </c>
      <c r="W2093" s="18" t="s">
        <v>5312</v>
      </c>
      <c r="X2093" s="69" t="s">
        <v>9453</v>
      </c>
      <c r="Y2093" s="70" t="s">
        <v>9465</v>
      </c>
      <c r="Z2093" s="73" t="s">
        <v>9486</v>
      </c>
      <c r="AA2093" s="74" t="s">
        <v>9504</v>
      </c>
      <c r="AB2093" s="73" t="s">
        <v>9486</v>
      </c>
      <c r="AC2093" s="74" t="s">
        <v>9566</v>
      </c>
      <c r="AD2093" s="73" t="s">
        <v>9578</v>
      </c>
      <c r="AE2093" s="74" t="s">
        <v>9579</v>
      </c>
    </row>
    <row r="2094" spans="1:31" ht="8.65" customHeight="1" x14ac:dyDescent="0.2">
      <c r="A2094" s="76">
        <v>2094</v>
      </c>
      <c r="B2094" s="67" t="str">
        <f>MID(C2094, FIND("Ifc.", C2094) + 4, 4) &amp; "_" &amp; TEXT(COUNTIF($C$2:C2094, C2094),"0000")</f>
        <v>Prop_2093</v>
      </c>
      <c r="C2094" s="24" t="s">
        <v>872</v>
      </c>
      <c r="D2094" s="69" t="s">
        <v>9453</v>
      </c>
      <c r="E2094" s="70" t="s">
        <v>9454</v>
      </c>
      <c r="F2094" s="17" t="s">
        <v>806</v>
      </c>
      <c r="G2094" s="22" t="s">
        <v>2224</v>
      </c>
      <c r="H2094" s="12" t="s">
        <v>9703</v>
      </c>
      <c r="I2094" s="13" t="s">
        <v>6684</v>
      </c>
      <c r="J2094" s="14" t="s">
        <v>798</v>
      </c>
      <c r="K2094" s="15" t="s">
        <v>798</v>
      </c>
      <c r="L2094" s="12" t="s">
        <v>5315</v>
      </c>
      <c r="M2094" s="13" t="s">
        <v>5509</v>
      </c>
      <c r="N2094" s="12" t="s">
        <v>803</v>
      </c>
      <c r="O2094" s="13" t="s">
        <v>5122</v>
      </c>
      <c r="P2094" s="17" t="s">
        <v>802</v>
      </c>
      <c r="Q2094" s="21" t="s">
        <v>7780</v>
      </c>
      <c r="R2094" s="17" t="s">
        <v>801</v>
      </c>
      <c r="S2094" s="18" t="s">
        <v>2631</v>
      </c>
      <c r="T2094" s="17" t="s">
        <v>800</v>
      </c>
      <c r="U2094" s="18" t="s">
        <v>5253</v>
      </c>
      <c r="V2094" s="17" t="s">
        <v>9418</v>
      </c>
      <c r="W2094" s="18" t="s">
        <v>5312</v>
      </c>
      <c r="X2094" s="69" t="s">
        <v>9453</v>
      </c>
      <c r="Y2094" s="70" t="s">
        <v>9465</v>
      </c>
      <c r="Z2094" s="73" t="s">
        <v>9486</v>
      </c>
      <c r="AA2094" s="74" t="s">
        <v>9504</v>
      </c>
      <c r="AB2094" s="73" t="s">
        <v>9486</v>
      </c>
      <c r="AC2094" s="74" t="s">
        <v>9566</v>
      </c>
      <c r="AD2094" s="73" t="s">
        <v>9578</v>
      </c>
      <c r="AE2094" s="74" t="s">
        <v>9579</v>
      </c>
    </row>
    <row r="2095" spans="1:31" ht="8.65" customHeight="1" x14ac:dyDescent="0.2">
      <c r="A2095" s="76">
        <v>2095</v>
      </c>
      <c r="B2095" s="67" t="str">
        <f>MID(C2095, FIND("Ifc.", C2095) + 4, 4) &amp; "_" &amp; TEXT(COUNTIF($C$2:C2095, C2095),"0000")</f>
        <v>Prop_2094</v>
      </c>
      <c r="C2095" s="24" t="s">
        <v>872</v>
      </c>
      <c r="D2095" s="69" t="s">
        <v>9453</v>
      </c>
      <c r="E2095" s="70" t="s">
        <v>9454</v>
      </c>
      <c r="F2095" s="17" t="s">
        <v>806</v>
      </c>
      <c r="G2095" s="22" t="s">
        <v>1339</v>
      </c>
      <c r="H2095" s="12" t="s">
        <v>9703</v>
      </c>
      <c r="I2095" s="13" t="s">
        <v>6195</v>
      </c>
      <c r="J2095" s="14" t="s">
        <v>798</v>
      </c>
      <c r="K2095" s="15" t="s">
        <v>798</v>
      </c>
      <c r="L2095" s="12" t="s">
        <v>5315</v>
      </c>
      <c r="M2095" s="13" t="s">
        <v>5979</v>
      </c>
      <c r="N2095" s="12" t="s">
        <v>803</v>
      </c>
      <c r="O2095" s="13" t="s">
        <v>5094</v>
      </c>
      <c r="P2095" s="17" t="s">
        <v>802</v>
      </c>
      <c r="Q2095" s="21" t="s">
        <v>7876</v>
      </c>
      <c r="R2095" s="17" t="s">
        <v>801</v>
      </c>
      <c r="S2095" s="18" t="s">
        <v>2631</v>
      </c>
      <c r="T2095" s="17" t="s">
        <v>800</v>
      </c>
      <c r="U2095" s="18" t="s">
        <v>5253</v>
      </c>
      <c r="V2095" s="17" t="s">
        <v>9418</v>
      </c>
      <c r="W2095" s="18" t="s">
        <v>5312</v>
      </c>
      <c r="X2095" s="69" t="s">
        <v>9453</v>
      </c>
      <c r="Y2095" s="70" t="s">
        <v>9465</v>
      </c>
      <c r="Z2095" s="73" t="s">
        <v>9486</v>
      </c>
      <c r="AA2095" s="74" t="s">
        <v>9504</v>
      </c>
      <c r="AB2095" s="73" t="s">
        <v>9486</v>
      </c>
      <c r="AC2095" s="74" t="s">
        <v>9566</v>
      </c>
      <c r="AD2095" s="73" t="s">
        <v>9578</v>
      </c>
      <c r="AE2095" s="74" t="s">
        <v>9579</v>
      </c>
    </row>
    <row r="2096" spans="1:31" ht="8.65" customHeight="1" x14ac:dyDescent="0.2">
      <c r="A2096" s="76">
        <v>2096</v>
      </c>
      <c r="B2096" s="67" t="str">
        <f>MID(C2096, FIND("Ifc.", C2096) + 4, 4) &amp; "_" &amp; TEXT(COUNTIF($C$2:C2096, C2096),"0000")</f>
        <v>Prop_2095</v>
      </c>
      <c r="C2096" s="24" t="s">
        <v>872</v>
      </c>
      <c r="D2096" s="69" t="s">
        <v>9453</v>
      </c>
      <c r="E2096" s="70" t="s">
        <v>9454</v>
      </c>
      <c r="F2096" s="17" t="s">
        <v>806</v>
      </c>
      <c r="G2096" s="22" t="s">
        <v>1339</v>
      </c>
      <c r="H2096" s="12" t="s">
        <v>9703</v>
      </c>
      <c r="I2096" s="13" t="s">
        <v>6195</v>
      </c>
      <c r="J2096" s="14" t="s">
        <v>798</v>
      </c>
      <c r="K2096" s="15" t="s">
        <v>798</v>
      </c>
      <c r="L2096" s="12" t="s">
        <v>5315</v>
      </c>
      <c r="M2096" s="13" t="s">
        <v>5825</v>
      </c>
      <c r="N2096" s="12" t="s">
        <v>803</v>
      </c>
      <c r="O2096" s="13" t="s">
        <v>4912</v>
      </c>
      <c r="P2096" s="17" t="s">
        <v>802</v>
      </c>
      <c r="Q2096" s="21" t="s">
        <v>7877</v>
      </c>
      <c r="R2096" s="17" t="s">
        <v>801</v>
      </c>
      <c r="S2096" s="18" t="s">
        <v>3636</v>
      </c>
      <c r="T2096" s="17" t="s">
        <v>800</v>
      </c>
      <c r="U2096" s="18" t="s">
        <v>5257</v>
      </c>
      <c r="V2096" s="17" t="s">
        <v>9418</v>
      </c>
      <c r="W2096" s="18" t="s">
        <v>5314</v>
      </c>
      <c r="X2096" s="69" t="s">
        <v>9453</v>
      </c>
      <c r="Y2096" s="70" t="s">
        <v>9464</v>
      </c>
      <c r="Z2096" s="73" t="s">
        <v>9486</v>
      </c>
      <c r="AA2096" s="74" t="s">
        <v>9504</v>
      </c>
      <c r="AB2096" s="73" t="s">
        <v>9486</v>
      </c>
      <c r="AC2096" s="74" t="s">
        <v>9561</v>
      </c>
      <c r="AD2096" s="73" t="s">
        <v>9578</v>
      </c>
      <c r="AE2096" s="74" t="s">
        <v>9579</v>
      </c>
    </row>
    <row r="2097" spans="1:31" ht="8.65" customHeight="1" x14ac:dyDescent="0.2">
      <c r="A2097" s="76">
        <v>2097</v>
      </c>
      <c r="B2097" s="67" t="str">
        <f>MID(C2097, FIND("Ifc.", C2097) + 4, 4) &amp; "_" &amp; TEXT(COUNTIF($C$2:C2097, C2097),"0000")</f>
        <v>Prop_2096</v>
      </c>
      <c r="C2097" s="24" t="s">
        <v>872</v>
      </c>
      <c r="D2097" s="69" t="s">
        <v>9453</v>
      </c>
      <c r="E2097" s="70" t="s">
        <v>9454</v>
      </c>
      <c r="F2097" s="17" t="s">
        <v>806</v>
      </c>
      <c r="G2097" s="22" t="s">
        <v>1339</v>
      </c>
      <c r="H2097" s="12" t="s">
        <v>9703</v>
      </c>
      <c r="I2097" s="13" t="s">
        <v>6195</v>
      </c>
      <c r="J2097" s="14" t="s">
        <v>798</v>
      </c>
      <c r="K2097" s="15" t="s">
        <v>798</v>
      </c>
      <c r="L2097" s="12" t="s">
        <v>5315</v>
      </c>
      <c r="M2097" s="13" t="s">
        <v>5847</v>
      </c>
      <c r="N2097" s="12" t="s">
        <v>803</v>
      </c>
      <c r="O2097" s="13" t="s">
        <v>4993</v>
      </c>
      <c r="P2097" s="17" t="s">
        <v>802</v>
      </c>
      <c r="Q2097" s="21" t="s">
        <v>7998</v>
      </c>
      <c r="R2097" s="17" t="s">
        <v>801</v>
      </c>
      <c r="S2097" s="18" t="s">
        <v>2631</v>
      </c>
      <c r="T2097" s="17" t="s">
        <v>800</v>
      </c>
      <c r="U2097" s="18" t="s">
        <v>5253</v>
      </c>
      <c r="V2097" s="17" t="s">
        <v>9418</v>
      </c>
      <c r="W2097" s="18" t="s">
        <v>5309</v>
      </c>
      <c r="X2097" s="69" t="s">
        <v>9453</v>
      </c>
      <c r="Y2097" s="70" t="s">
        <v>9462</v>
      </c>
      <c r="Z2097" s="73" t="s">
        <v>9486</v>
      </c>
      <c r="AA2097" s="74" t="s">
        <v>9504</v>
      </c>
      <c r="AB2097" s="73" t="s">
        <v>9486</v>
      </c>
      <c r="AC2097" s="74" t="s">
        <v>9566</v>
      </c>
      <c r="AD2097" s="73" t="s">
        <v>9578</v>
      </c>
      <c r="AE2097" s="74" t="s">
        <v>9579</v>
      </c>
    </row>
    <row r="2098" spans="1:31" ht="8.65" customHeight="1" x14ac:dyDescent="0.2">
      <c r="A2098" s="76">
        <v>2098</v>
      </c>
      <c r="B2098" s="67" t="str">
        <f>MID(C2098, FIND("Ifc.", C2098) + 4, 4) &amp; "_" &amp; TEXT(COUNTIF($C$2:C2098, C2098),"0000")</f>
        <v>Prop_2097</v>
      </c>
      <c r="C2098" s="24" t="s">
        <v>872</v>
      </c>
      <c r="D2098" s="69" t="s">
        <v>9453</v>
      </c>
      <c r="E2098" s="70" t="s">
        <v>9454</v>
      </c>
      <c r="F2098" s="17" t="s">
        <v>806</v>
      </c>
      <c r="G2098" s="22" t="s">
        <v>1339</v>
      </c>
      <c r="H2098" s="12" t="s">
        <v>9703</v>
      </c>
      <c r="I2098" s="13" t="s">
        <v>6195</v>
      </c>
      <c r="J2098" s="14" t="s">
        <v>798</v>
      </c>
      <c r="K2098" s="15" t="s">
        <v>798</v>
      </c>
      <c r="L2098" s="12" t="s">
        <v>5315</v>
      </c>
      <c r="M2098" s="13" t="s">
        <v>5925</v>
      </c>
      <c r="N2098" s="12" t="s">
        <v>803</v>
      </c>
      <c r="O2098" s="13" t="s">
        <v>4985</v>
      </c>
      <c r="P2098" s="17" t="s">
        <v>802</v>
      </c>
      <c r="Q2098" s="21" t="s">
        <v>7991</v>
      </c>
      <c r="R2098" s="17" t="s">
        <v>801</v>
      </c>
      <c r="S2098" s="18" t="s">
        <v>3636</v>
      </c>
      <c r="T2098" s="17" t="s">
        <v>800</v>
      </c>
      <c r="U2098" s="18" t="s">
        <v>5257</v>
      </c>
      <c r="V2098" s="17" t="s">
        <v>9418</v>
      </c>
      <c r="W2098" s="18" t="s">
        <v>5314</v>
      </c>
      <c r="X2098" s="69" t="s">
        <v>9453</v>
      </c>
      <c r="Y2098" s="70" t="s">
        <v>9464</v>
      </c>
      <c r="Z2098" s="73" t="s">
        <v>9486</v>
      </c>
      <c r="AA2098" s="74" t="s">
        <v>9504</v>
      </c>
      <c r="AB2098" s="73" t="s">
        <v>9486</v>
      </c>
      <c r="AC2098" s="74" t="s">
        <v>9561</v>
      </c>
      <c r="AD2098" s="73" t="s">
        <v>9578</v>
      </c>
      <c r="AE2098" s="74" t="s">
        <v>9579</v>
      </c>
    </row>
    <row r="2099" spans="1:31" ht="8.65" customHeight="1" x14ac:dyDescent="0.2">
      <c r="A2099" s="76">
        <v>2099</v>
      </c>
      <c r="B2099" s="67" t="str">
        <f>MID(C2099, FIND("Ifc.", C2099) + 4, 4) &amp; "_" &amp; TEXT(COUNTIF($C$2:C2099, C2099),"0000")</f>
        <v>Prop_2098</v>
      </c>
      <c r="C2099" s="24" t="s">
        <v>872</v>
      </c>
      <c r="D2099" s="69" t="s">
        <v>9453</v>
      </c>
      <c r="E2099" s="70" t="s">
        <v>9454</v>
      </c>
      <c r="F2099" s="17" t="s">
        <v>806</v>
      </c>
      <c r="G2099" s="22" t="s">
        <v>1339</v>
      </c>
      <c r="H2099" s="12" t="s">
        <v>9703</v>
      </c>
      <c r="I2099" s="13" t="s">
        <v>6195</v>
      </c>
      <c r="J2099" s="14" t="s">
        <v>798</v>
      </c>
      <c r="K2099" s="15" t="s">
        <v>798</v>
      </c>
      <c r="L2099" s="12" t="s">
        <v>5315</v>
      </c>
      <c r="M2099" s="13" t="s">
        <v>5861</v>
      </c>
      <c r="N2099" s="12" t="s">
        <v>803</v>
      </c>
      <c r="O2099" s="13" t="s">
        <v>5205</v>
      </c>
      <c r="P2099" s="17" t="s">
        <v>802</v>
      </c>
      <c r="Q2099" s="21" t="s">
        <v>8013</v>
      </c>
      <c r="R2099" s="17" t="s">
        <v>801</v>
      </c>
      <c r="S2099" s="18" t="s">
        <v>3636</v>
      </c>
      <c r="T2099" s="17" t="s">
        <v>800</v>
      </c>
      <c r="U2099" s="18" t="s">
        <v>5257</v>
      </c>
      <c r="V2099" s="17" t="s">
        <v>9418</v>
      </c>
      <c r="W2099" s="18" t="s">
        <v>5314</v>
      </c>
      <c r="X2099" s="69" t="s">
        <v>9453</v>
      </c>
      <c r="Y2099" s="70" t="s">
        <v>9464</v>
      </c>
      <c r="Z2099" s="73" t="s">
        <v>9486</v>
      </c>
      <c r="AA2099" s="74" t="s">
        <v>9504</v>
      </c>
      <c r="AB2099" s="73" t="s">
        <v>9486</v>
      </c>
      <c r="AC2099" s="74" t="s">
        <v>9561</v>
      </c>
      <c r="AD2099" s="73" t="s">
        <v>9578</v>
      </c>
      <c r="AE2099" s="74" t="s">
        <v>9579</v>
      </c>
    </row>
    <row r="2100" spans="1:31" ht="8.65" customHeight="1" x14ac:dyDescent="0.2">
      <c r="A2100" s="76">
        <v>2100</v>
      </c>
      <c r="B2100" s="67" t="str">
        <f>MID(C2100, FIND("Ifc.", C2100) + 4, 4) &amp; "_" &amp; TEXT(COUNTIF($C$2:C2100, C2100),"0000")</f>
        <v>Prop_2099</v>
      </c>
      <c r="C2100" s="24" t="s">
        <v>872</v>
      </c>
      <c r="D2100" s="69" t="s">
        <v>9453</v>
      </c>
      <c r="E2100" s="70" t="s">
        <v>9454</v>
      </c>
      <c r="F2100" s="17" t="s">
        <v>806</v>
      </c>
      <c r="G2100" s="22" t="s">
        <v>1216</v>
      </c>
      <c r="H2100" s="12" t="s">
        <v>9703</v>
      </c>
      <c r="I2100" s="13" t="s">
        <v>6195</v>
      </c>
      <c r="J2100" s="14" t="s">
        <v>798</v>
      </c>
      <c r="K2100" s="15" t="s">
        <v>798</v>
      </c>
      <c r="L2100" s="12" t="s">
        <v>5315</v>
      </c>
      <c r="M2100" s="13" t="s">
        <v>5821</v>
      </c>
      <c r="N2100" s="12" t="s">
        <v>803</v>
      </c>
      <c r="O2100" s="13" t="s">
        <v>4883</v>
      </c>
      <c r="P2100" s="17" t="s">
        <v>802</v>
      </c>
      <c r="Q2100" s="21" t="s">
        <v>7683</v>
      </c>
      <c r="R2100" s="17" t="s">
        <v>801</v>
      </c>
      <c r="S2100" s="18" t="s">
        <v>2631</v>
      </c>
      <c r="T2100" s="17" t="s">
        <v>800</v>
      </c>
      <c r="U2100" s="18" t="s">
        <v>5253</v>
      </c>
      <c r="V2100" s="17" t="s">
        <v>9418</v>
      </c>
      <c r="W2100" s="18" t="s">
        <v>5309</v>
      </c>
      <c r="X2100" s="69" t="s">
        <v>9453</v>
      </c>
      <c r="Y2100" s="70" t="s">
        <v>9462</v>
      </c>
      <c r="Z2100" s="73" t="s">
        <v>9486</v>
      </c>
      <c r="AA2100" s="74" t="s">
        <v>9504</v>
      </c>
      <c r="AB2100" s="73" t="s">
        <v>9486</v>
      </c>
      <c r="AC2100" s="74" t="s">
        <v>9566</v>
      </c>
      <c r="AD2100" s="73" t="s">
        <v>9578</v>
      </c>
      <c r="AE2100" s="74" t="s">
        <v>9579</v>
      </c>
    </row>
    <row r="2101" spans="1:31" ht="8.65" customHeight="1" x14ac:dyDescent="0.2">
      <c r="A2101" s="76">
        <v>2101</v>
      </c>
      <c r="B2101" s="67" t="str">
        <f>MID(C2101, FIND("Ifc.", C2101) + 4, 4) &amp; "_" &amp; TEXT(COUNTIF($C$2:C2101, C2101),"0000")</f>
        <v>Prop_2100</v>
      </c>
      <c r="C2101" s="24" t="s">
        <v>872</v>
      </c>
      <c r="D2101" s="69" t="s">
        <v>9453</v>
      </c>
      <c r="E2101" s="70" t="s">
        <v>9454</v>
      </c>
      <c r="F2101" s="17" t="s">
        <v>806</v>
      </c>
      <c r="G2101" s="22" t="s">
        <v>1926</v>
      </c>
      <c r="H2101" s="12" t="s">
        <v>9703</v>
      </c>
      <c r="I2101" s="13" t="s">
        <v>7536</v>
      </c>
      <c r="J2101" s="14" t="s">
        <v>798</v>
      </c>
      <c r="K2101" s="15" t="s">
        <v>798</v>
      </c>
      <c r="L2101" s="12" t="s">
        <v>5315</v>
      </c>
      <c r="M2101" s="13" t="s">
        <v>5965</v>
      </c>
      <c r="N2101" s="12" t="s">
        <v>803</v>
      </c>
      <c r="O2101" s="13" t="s">
        <v>5061</v>
      </c>
      <c r="P2101" s="17" t="s">
        <v>802</v>
      </c>
      <c r="Q2101" s="21" t="s">
        <v>7770</v>
      </c>
      <c r="R2101" s="17" t="s">
        <v>801</v>
      </c>
      <c r="S2101" s="18" t="s">
        <v>2632</v>
      </c>
      <c r="T2101" s="17" t="s">
        <v>800</v>
      </c>
      <c r="U2101" s="18" t="s">
        <v>5270</v>
      </c>
      <c r="V2101" s="17" t="s">
        <v>9418</v>
      </c>
      <c r="W2101" s="18" t="s">
        <v>5309</v>
      </c>
      <c r="X2101" s="69" t="s">
        <v>9453</v>
      </c>
      <c r="Y2101" s="70" t="s">
        <v>9462</v>
      </c>
      <c r="Z2101" s="73" t="s">
        <v>9486</v>
      </c>
      <c r="AA2101" s="74" t="s">
        <v>9504</v>
      </c>
      <c r="AB2101" s="73" t="s">
        <v>9486</v>
      </c>
      <c r="AC2101" s="74" t="s">
        <v>9561</v>
      </c>
      <c r="AD2101" s="73" t="s">
        <v>9578</v>
      </c>
      <c r="AE2101" s="74" t="s">
        <v>9618</v>
      </c>
    </row>
    <row r="2102" spans="1:31" ht="8.65" customHeight="1" x14ac:dyDescent="0.2">
      <c r="A2102" s="76">
        <v>2102</v>
      </c>
      <c r="B2102" s="67" t="str">
        <f>MID(C2102, FIND("Ifc.", C2102) + 4, 4) &amp; "_" &amp; TEXT(COUNTIF($C$2:C2102, C2102),"0000")</f>
        <v>Prop_2101</v>
      </c>
      <c r="C2102" s="24" t="s">
        <v>872</v>
      </c>
      <c r="D2102" s="69" t="s">
        <v>9453</v>
      </c>
      <c r="E2102" s="70" t="s">
        <v>9454</v>
      </c>
      <c r="F2102" s="17" t="s">
        <v>806</v>
      </c>
      <c r="G2102" s="22" t="s">
        <v>1923</v>
      </c>
      <c r="H2102" s="12" t="s">
        <v>9703</v>
      </c>
      <c r="I2102" s="13" t="s">
        <v>7600</v>
      </c>
      <c r="J2102" s="14" t="s">
        <v>798</v>
      </c>
      <c r="K2102" s="15" t="s">
        <v>798</v>
      </c>
      <c r="L2102" s="12" t="s">
        <v>5315</v>
      </c>
      <c r="M2102" s="13" t="s">
        <v>5965</v>
      </c>
      <c r="N2102" s="12" t="s">
        <v>803</v>
      </c>
      <c r="O2102" s="13" t="s">
        <v>5061</v>
      </c>
      <c r="P2102" s="17" t="s">
        <v>802</v>
      </c>
      <c r="Q2102" s="21" t="s">
        <v>7770</v>
      </c>
      <c r="R2102" s="17" t="s">
        <v>801</v>
      </c>
      <c r="S2102" s="18" t="s">
        <v>2632</v>
      </c>
      <c r="T2102" s="17" t="s">
        <v>800</v>
      </c>
      <c r="U2102" s="18" t="s">
        <v>5270</v>
      </c>
      <c r="V2102" s="17" t="s">
        <v>9418</v>
      </c>
      <c r="W2102" s="18" t="s">
        <v>5309</v>
      </c>
      <c r="X2102" s="69" t="s">
        <v>9453</v>
      </c>
      <c r="Y2102" s="70" t="s">
        <v>9462</v>
      </c>
      <c r="Z2102" s="73" t="s">
        <v>9486</v>
      </c>
      <c r="AA2102" s="74" t="s">
        <v>9504</v>
      </c>
      <c r="AB2102" s="73" t="s">
        <v>9486</v>
      </c>
      <c r="AC2102" s="74" t="s">
        <v>9561</v>
      </c>
      <c r="AD2102" s="73" t="s">
        <v>9578</v>
      </c>
      <c r="AE2102" s="74" t="s">
        <v>9618</v>
      </c>
    </row>
    <row r="2103" spans="1:31" ht="8.65" customHeight="1" x14ac:dyDescent="0.2">
      <c r="A2103" s="76">
        <v>2103</v>
      </c>
      <c r="B2103" s="67" t="str">
        <f>MID(C2103, FIND("Ifc.", C2103) + 4, 4) &amp; "_" &amp; TEXT(COUNTIF($C$2:C2103, C2103),"0000")</f>
        <v>Prop_2102</v>
      </c>
      <c r="C2103" s="24" t="s">
        <v>872</v>
      </c>
      <c r="D2103" s="69" t="s">
        <v>9453</v>
      </c>
      <c r="E2103" s="70" t="s">
        <v>9454</v>
      </c>
      <c r="F2103" s="17" t="s">
        <v>806</v>
      </c>
      <c r="G2103" s="22" t="s">
        <v>1924</v>
      </c>
      <c r="H2103" s="12" t="s">
        <v>9703</v>
      </c>
      <c r="I2103" s="13" t="s">
        <v>7606</v>
      </c>
      <c r="J2103" s="14" t="s">
        <v>798</v>
      </c>
      <c r="K2103" s="15" t="s">
        <v>798</v>
      </c>
      <c r="L2103" s="12" t="s">
        <v>5315</v>
      </c>
      <c r="M2103" s="13" t="s">
        <v>5965</v>
      </c>
      <c r="N2103" s="12" t="s">
        <v>803</v>
      </c>
      <c r="O2103" s="13" t="s">
        <v>5061</v>
      </c>
      <c r="P2103" s="17" t="s">
        <v>802</v>
      </c>
      <c r="Q2103" s="21" t="s">
        <v>7770</v>
      </c>
      <c r="R2103" s="17" t="s">
        <v>801</v>
      </c>
      <c r="S2103" s="18" t="s">
        <v>2632</v>
      </c>
      <c r="T2103" s="17" t="s">
        <v>800</v>
      </c>
      <c r="U2103" s="18" t="s">
        <v>5270</v>
      </c>
      <c r="V2103" s="17" t="s">
        <v>9418</v>
      </c>
      <c r="W2103" s="18" t="s">
        <v>5309</v>
      </c>
      <c r="X2103" s="69" t="s">
        <v>9453</v>
      </c>
      <c r="Y2103" s="70" t="s">
        <v>9462</v>
      </c>
      <c r="Z2103" s="73" t="s">
        <v>9486</v>
      </c>
      <c r="AA2103" s="74" t="s">
        <v>9504</v>
      </c>
      <c r="AB2103" s="73" t="s">
        <v>9486</v>
      </c>
      <c r="AC2103" s="74" t="s">
        <v>9561</v>
      </c>
      <c r="AD2103" s="73" t="s">
        <v>9578</v>
      </c>
      <c r="AE2103" s="74" t="s">
        <v>9618</v>
      </c>
    </row>
    <row r="2104" spans="1:31" ht="8.65" customHeight="1" x14ac:dyDescent="0.2">
      <c r="A2104" s="76">
        <v>2104</v>
      </c>
      <c r="B2104" s="67" t="str">
        <f>MID(C2104, FIND("Ifc.", C2104) + 4, 4) &amp; "_" &amp; TEXT(COUNTIF($C$2:C2104, C2104),"0000")</f>
        <v>Prop_2103</v>
      </c>
      <c r="C2104" s="24" t="s">
        <v>872</v>
      </c>
      <c r="D2104" s="69" t="s">
        <v>9453</v>
      </c>
      <c r="E2104" s="70" t="s">
        <v>9454</v>
      </c>
      <c r="F2104" s="17" t="s">
        <v>806</v>
      </c>
      <c r="G2104" s="22" t="s">
        <v>2169</v>
      </c>
      <c r="H2104" s="12" t="s">
        <v>9703</v>
      </c>
      <c r="I2104" s="13" t="s">
        <v>7265</v>
      </c>
      <c r="J2104" s="14" t="s">
        <v>798</v>
      </c>
      <c r="K2104" s="15" t="s">
        <v>798</v>
      </c>
      <c r="L2104" s="12" t="s">
        <v>5315</v>
      </c>
      <c r="M2104" s="13" t="s">
        <v>5501</v>
      </c>
      <c r="N2104" s="12" t="s">
        <v>803</v>
      </c>
      <c r="O2104" s="13" t="s">
        <v>5115</v>
      </c>
      <c r="P2104" s="17" t="s">
        <v>802</v>
      </c>
      <c r="Q2104" s="21" t="s">
        <v>7762</v>
      </c>
      <c r="R2104" s="17" t="s">
        <v>801</v>
      </c>
      <c r="S2104" s="18" t="s">
        <v>2632</v>
      </c>
      <c r="T2104" s="17" t="s">
        <v>800</v>
      </c>
      <c r="U2104" s="18" t="s">
        <v>5270</v>
      </c>
      <c r="V2104" s="17" t="s">
        <v>9418</v>
      </c>
      <c r="W2104" s="18" t="s">
        <v>5309</v>
      </c>
      <c r="X2104" s="69" t="s">
        <v>9453</v>
      </c>
      <c r="Y2104" s="70" t="s">
        <v>9462</v>
      </c>
      <c r="Z2104" s="73" t="s">
        <v>9486</v>
      </c>
      <c r="AA2104" s="74" t="s">
        <v>9504</v>
      </c>
      <c r="AB2104" s="73" t="s">
        <v>9486</v>
      </c>
      <c r="AC2104" s="74" t="s">
        <v>9561</v>
      </c>
      <c r="AD2104" s="73" t="s">
        <v>9578</v>
      </c>
      <c r="AE2104" s="74" t="s">
        <v>9579</v>
      </c>
    </row>
    <row r="2105" spans="1:31" ht="8.65" customHeight="1" x14ac:dyDescent="0.2">
      <c r="A2105" s="76">
        <v>2105</v>
      </c>
      <c r="B2105" s="67" t="str">
        <f>MID(C2105, FIND("Ifc.", C2105) + 4, 4) &amp; "_" &amp; TEXT(COUNTIF($C$2:C2105, C2105),"0000")</f>
        <v>Prop_2104</v>
      </c>
      <c r="C2105" s="24" t="s">
        <v>872</v>
      </c>
      <c r="D2105" s="69" t="s">
        <v>9453</v>
      </c>
      <c r="E2105" s="70" t="s">
        <v>9454</v>
      </c>
      <c r="F2105" s="17" t="s">
        <v>806</v>
      </c>
      <c r="G2105" s="22" t="s">
        <v>2464</v>
      </c>
      <c r="H2105" s="12" t="s">
        <v>9703</v>
      </c>
      <c r="I2105" s="13" t="s">
        <v>7203</v>
      </c>
      <c r="J2105" s="14" t="s">
        <v>798</v>
      </c>
      <c r="K2105" s="15" t="s">
        <v>798</v>
      </c>
      <c r="L2105" s="12" t="s">
        <v>5315</v>
      </c>
      <c r="M2105" s="13" t="s">
        <v>5575</v>
      </c>
      <c r="N2105" s="12" t="s">
        <v>803</v>
      </c>
      <c r="O2105" s="13" t="s">
        <v>5213</v>
      </c>
      <c r="P2105" s="17" t="s">
        <v>802</v>
      </c>
      <c r="Q2105" s="21" t="s">
        <v>7690</v>
      </c>
      <c r="R2105" s="17" t="s">
        <v>801</v>
      </c>
      <c r="S2105" s="18" t="s">
        <v>2553</v>
      </c>
      <c r="T2105" s="17" t="s">
        <v>800</v>
      </c>
      <c r="U2105" s="18" t="s">
        <v>5269</v>
      </c>
      <c r="V2105" s="17" t="s">
        <v>9418</v>
      </c>
      <c r="W2105" s="18" t="s">
        <v>5309</v>
      </c>
      <c r="X2105" s="69" t="s">
        <v>9453</v>
      </c>
      <c r="Y2105" s="70" t="s">
        <v>9462</v>
      </c>
      <c r="Z2105" s="73" t="s">
        <v>9486</v>
      </c>
      <c r="AA2105" s="74" t="s">
        <v>9504</v>
      </c>
      <c r="AB2105" s="73" t="s">
        <v>9486</v>
      </c>
      <c r="AC2105" s="74" t="s">
        <v>9561</v>
      </c>
      <c r="AD2105" s="73" t="s">
        <v>9578</v>
      </c>
      <c r="AE2105" s="74" t="s">
        <v>9579</v>
      </c>
    </row>
    <row r="2106" spans="1:31" ht="8.65" customHeight="1" x14ac:dyDescent="0.2">
      <c r="A2106" s="76">
        <v>2106</v>
      </c>
      <c r="B2106" s="67" t="str">
        <f>MID(C2106, FIND("Ifc.", C2106) + 4, 4) &amp; "_" &amp; TEXT(COUNTIF($C$2:C2106, C2106),"0000")</f>
        <v>Prop_2105</v>
      </c>
      <c r="C2106" s="24" t="s">
        <v>872</v>
      </c>
      <c r="D2106" s="69" t="s">
        <v>9453</v>
      </c>
      <c r="E2106" s="70" t="s">
        <v>9454</v>
      </c>
      <c r="F2106" s="17" t="s">
        <v>806</v>
      </c>
      <c r="G2106" s="22" t="s">
        <v>1224</v>
      </c>
      <c r="H2106" s="12" t="s">
        <v>9703</v>
      </c>
      <c r="I2106" s="13" t="s">
        <v>7207</v>
      </c>
      <c r="J2106" s="14" t="s">
        <v>798</v>
      </c>
      <c r="K2106" s="15" t="s">
        <v>798</v>
      </c>
      <c r="L2106" s="12" t="s">
        <v>5315</v>
      </c>
      <c r="M2106" s="13" t="s">
        <v>5823</v>
      </c>
      <c r="N2106" s="12" t="s">
        <v>803</v>
      </c>
      <c r="O2106" s="13" t="s">
        <v>4884</v>
      </c>
      <c r="P2106" s="17" t="s">
        <v>802</v>
      </c>
      <c r="Q2106" s="21" t="s">
        <v>7831</v>
      </c>
      <c r="R2106" s="17" t="s">
        <v>801</v>
      </c>
      <c r="S2106" s="18" t="s">
        <v>2554</v>
      </c>
      <c r="T2106" s="17" t="s">
        <v>800</v>
      </c>
      <c r="U2106" s="18" t="s">
        <v>5233</v>
      </c>
      <c r="V2106" s="17" t="s">
        <v>9418</v>
      </c>
      <c r="W2106" s="18" t="s">
        <v>5309</v>
      </c>
      <c r="X2106" s="69" t="s">
        <v>9453</v>
      </c>
      <c r="Y2106" s="70" t="s">
        <v>9462</v>
      </c>
      <c r="Z2106" s="73" t="s">
        <v>9486</v>
      </c>
      <c r="AA2106" s="74" t="s">
        <v>9504</v>
      </c>
      <c r="AB2106" s="73" t="s">
        <v>9486</v>
      </c>
      <c r="AC2106" s="74" t="s">
        <v>9562</v>
      </c>
      <c r="AD2106" s="73" t="s">
        <v>9578</v>
      </c>
      <c r="AE2106" s="74" t="s">
        <v>9579</v>
      </c>
    </row>
    <row r="2107" spans="1:31" ht="8.65" customHeight="1" x14ac:dyDescent="0.2">
      <c r="A2107" s="76">
        <v>2107</v>
      </c>
      <c r="B2107" s="67" t="str">
        <f>MID(C2107, FIND("Ifc.", C2107) + 4, 4) &amp; "_" &amp; TEXT(COUNTIF($C$2:C2107, C2107),"0000")</f>
        <v>Prop_2106</v>
      </c>
      <c r="C2107" s="24" t="s">
        <v>872</v>
      </c>
      <c r="D2107" s="69" t="s">
        <v>9453</v>
      </c>
      <c r="E2107" s="70" t="s">
        <v>9454</v>
      </c>
      <c r="F2107" s="17" t="s">
        <v>806</v>
      </c>
      <c r="G2107" s="22" t="s">
        <v>1224</v>
      </c>
      <c r="H2107" s="12" t="s">
        <v>9703</v>
      </c>
      <c r="I2107" s="13" t="s">
        <v>7207</v>
      </c>
      <c r="J2107" s="14" t="s">
        <v>798</v>
      </c>
      <c r="K2107" s="15" t="s">
        <v>798</v>
      </c>
      <c r="L2107" s="12" t="s">
        <v>5315</v>
      </c>
      <c r="M2107" s="13" t="s">
        <v>5824</v>
      </c>
      <c r="N2107" s="12" t="s">
        <v>803</v>
      </c>
      <c r="O2107" s="13" t="s">
        <v>4886</v>
      </c>
      <c r="P2107" s="17" t="s">
        <v>802</v>
      </c>
      <c r="Q2107" s="21" t="s">
        <v>7832</v>
      </c>
      <c r="R2107" s="17" t="s">
        <v>801</v>
      </c>
      <c r="S2107" s="18" t="s">
        <v>2554</v>
      </c>
      <c r="T2107" s="17" t="s">
        <v>800</v>
      </c>
      <c r="U2107" s="18" t="s">
        <v>5233</v>
      </c>
      <c r="V2107" s="17" t="s">
        <v>9418</v>
      </c>
      <c r="W2107" s="18" t="s">
        <v>5309</v>
      </c>
      <c r="X2107" s="69" t="s">
        <v>9453</v>
      </c>
      <c r="Y2107" s="70" t="s">
        <v>9462</v>
      </c>
      <c r="Z2107" s="73" t="s">
        <v>9486</v>
      </c>
      <c r="AA2107" s="74" t="s">
        <v>9504</v>
      </c>
      <c r="AB2107" s="73" t="s">
        <v>9486</v>
      </c>
      <c r="AC2107" s="74" t="s">
        <v>9562</v>
      </c>
      <c r="AD2107" s="73" t="s">
        <v>9578</v>
      </c>
      <c r="AE2107" s="74" t="s">
        <v>9579</v>
      </c>
    </row>
    <row r="2108" spans="1:31" ht="8.65" customHeight="1" x14ac:dyDescent="0.2">
      <c r="A2108" s="76">
        <v>2108</v>
      </c>
      <c r="B2108" s="67" t="str">
        <f>MID(C2108, FIND("Ifc.", C2108) + 4, 4) &amp; "_" &amp; TEXT(COUNTIF($C$2:C2108, C2108),"0000")</f>
        <v>Prop_2107</v>
      </c>
      <c r="C2108" s="24" t="s">
        <v>872</v>
      </c>
      <c r="D2108" s="69" t="s">
        <v>9453</v>
      </c>
      <c r="E2108" s="70" t="s">
        <v>9454</v>
      </c>
      <c r="F2108" s="17" t="s">
        <v>806</v>
      </c>
      <c r="G2108" s="22" t="s">
        <v>1296</v>
      </c>
      <c r="H2108" s="12" t="s">
        <v>9703</v>
      </c>
      <c r="I2108" s="13" t="s">
        <v>7448</v>
      </c>
      <c r="J2108" s="14" t="s">
        <v>798</v>
      </c>
      <c r="K2108" s="15" t="s">
        <v>798</v>
      </c>
      <c r="L2108" s="12" t="s">
        <v>5315</v>
      </c>
      <c r="M2108" s="13" t="s">
        <v>6016</v>
      </c>
      <c r="N2108" s="12" t="s">
        <v>803</v>
      </c>
      <c r="O2108" s="13" t="s">
        <v>4904</v>
      </c>
      <c r="P2108" s="17" t="s">
        <v>802</v>
      </c>
      <c r="Q2108" s="21" t="s">
        <v>7928</v>
      </c>
      <c r="R2108" s="17" t="s">
        <v>801</v>
      </c>
      <c r="S2108" s="18" t="s">
        <v>2632</v>
      </c>
      <c r="T2108" s="17" t="s">
        <v>800</v>
      </c>
      <c r="U2108" s="18" t="s">
        <v>5270</v>
      </c>
      <c r="V2108" s="17" t="s">
        <v>9418</v>
      </c>
      <c r="W2108" s="18" t="s">
        <v>5309</v>
      </c>
      <c r="X2108" s="69" t="s">
        <v>9453</v>
      </c>
      <c r="Y2108" s="70" t="s">
        <v>9462</v>
      </c>
      <c r="Z2108" s="73" t="s">
        <v>9486</v>
      </c>
      <c r="AA2108" s="74" t="s">
        <v>9504</v>
      </c>
      <c r="AB2108" s="73" t="s">
        <v>9486</v>
      </c>
      <c r="AC2108" s="74" t="s">
        <v>9561</v>
      </c>
      <c r="AD2108" s="73" t="s">
        <v>9578</v>
      </c>
      <c r="AE2108" s="74" t="s">
        <v>9618</v>
      </c>
    </row>
    <row r="2109" spans="1:31" ht="8.65" customHeight="1" x14ac:dyDescent="0.2">
      <c r="A2109" s="76">
        <v>2109</v>
      </c>
      <c r="B2109" s="67" t="str">
        <f>MID(C2109, FIND("Ifc.", C2109) + 4, 4) &amp; "_" &amp; TEXT(COUNTIF($C$2:C2109, C2109),"0000")</f>
        <v>Prop_2108</v>
      </c>
      <c r="C2109" s="24" t="s">
        <v>872</v>
      </c>
      <c r="D2109" s="69" t="s">
        <v>9453</v>
      </c>
      <c r="E2109" s="70" t="s">
        <v>9454</v>
      </c>
      <c r="F2109" s="17" t="s">
        <v>806</v>
      </c>
      <c r="G2109" s="22" t="s">
        <v>1295</v>
      </c>
      <c r="H2109" s="12" t="s">
        <v>9703</v>
      </c>
      <c r="I2109" s="13" t="s">
        <v>7447</v>
      </c>
      <c r="J2109" s="14" t="s">
        <v>798</v>
      </c>
      <c r="K2109" s="15" t="s">
        <v>798</v>
      </c>
      <c r="L2109" s="12" t="s">
        <v>5315</v>
      </c>
      <c r="M2109" s="13" t="s">
        <v>6016</v>
      </c>
      <c r="N2109" s="12" t="s">
        <v>803</v>
      </c>
      <c r="O2109" s="13" t="s">
        <v>4904</v>
      </c>
      <c r="P2109" s="17" t="s">
        <v>802</v>
      </c>
      <c r="Q2109" s="21" t="s">
        <v>7928</v>
      </c>
      <c r="R2109" s="17" t="s">
        <v>801</v>
      </c>
      <c r="S2109" s="18" t="s">
        <v>2632</v>
      </c>
      <c r="T2109" s="17" t="s">
        <v>800</v>
      </c>
      <c r="U2109" s="18" t="s">
        <v>5270</v>
      </c>
      <c r="V2109" s="17" t="s">
        <v>9418</v>
      </c>
      <c r="W2109" s="18" t="s">
        <v>5309</v>
      </c>
      <c r="X2109" s="69" t="s">
        <v>9453</v>
      </c>
      <c r="Y2109" s="70" t="s">
        <v>9462</v>
      </c>
      <c r="Z2109" s="73" t="s">
        <v>9486</v>
      </c>
      <c r="AA2109" s="74" t="s">
        <v>9504</v>
      </c>
      <c r="AB2109" s="73" t="s">
        <v>9486</v>
      </c>
      <c r="AC2109" s="74" t="s">
        <v>9561</v>
      </c>
      <c r="AD2109" s="73" t="s">
        <v>9578</v>
      </c>
      <c r="AE2109" s="74" t="s">
        <v>9618</v>
      </c>
    </row>
    <row r="2110" spans="1:31" ht="8.65" customHeight="1" x14ac:dyDescent="0.2">
      <c r="A2110" s="76">
        <v>2110</v>
      </c>
      <c r="B2110" s="67" t="str">
        <f>MID(C2110, FIND("Ifc.", C2110) + 4, 4) &amp; "_" &amp; TEXT(COUNTIF($C$2:C2110, C2110),"0000")</f>
        <v>Prop_2109</v>
      </c>
      <c r="C2110" s="24" t="s">
        <v>872</v>
      </c>
      <c r="D2110" s="69" t="s">
        <v>9453</v>
      </c>
      <c r="E2110" s="70" t="s">
        <v>9454</v>
      </c>
      <c r="F2110" s="17" t="s">
        <v>806</v>
      </c>
      <c r="G2110" s="22" t="s">
        <v>1295</v>
      </c>
      <c r="H2110" s="12" t="s">
        <v>9703</v>
      </c>
      <c r="I2110" s="13" t="s">
        <v>7447</v>
      </c>
      <c r="J2110" s="14" t="s">
        <v>798</v>
      </c>
      <c r="K2110" s="15" t="s">
        <v>798</v>
      </c>
      <c r="L2110" s="12" t="s">
        <v>5315</v>
      </c>
      <c r="M2110" s="13" t="s">
        <v>6018</v>
      </c>
      <c r="N2110" s="12" t="s">
        <v>803</v>
      </c>
      <c r="O2110" s="13" t="s">
        <v>4906</v>
      </c>
      <c r="P2110" s="17" t="s">
        <v>802</v>
      </c>
      <c r="Q2110" s="21" t="s">
        <v>7929</v>
      </c>
      <c r="R2110" s="17" t="s">
        <v>801</v>
      </c>
      <c r="S2110" s="18" t="s">
        <v>2632</v>
      </c>
      <c r="T2110" s="17" t="s">
        <v>800</v>
      </c>
      <c r="U2110" s="18" t="s">
        <v>5270</v>
      </c>
      <c r="V2110" s="17" t="s">
        <v>9418</v>
      </c>
      <c r="W2110" s="18" t="s">
        <v>5309</v>
      </c>
      <c r="X2110" s="69" t="s">
        <v>9453</v>
      </c>
      <c r="Y2110" s="70" t="s">
        <v>9462</v>
      </c>
      <c r="Z2110" s="73" t="s">
        <v>9486</v>
      </c>
      <c r="AA2110" s="74" t="s">
        <v>9504</v>
      </c>
      <c r="AB2110" s="73" t="s">
        <v>9486</v>
      </c>
      <c r="AC2110" s="74" t="s">
        <v>9561</v>
      </c>
      <c r="AD2110" s="73" t="s">
        <v>9578</v>
      </c>
      <c r="AE2110" s="74" t="s">
        <v>9618</v>
      </c>
    </row>
    <row r="2111" spans="1:31" ht="8.65" customHeight="1" x14ac:dyDescent="0.2">
      <c r="A2111" s="76">
        <v>2111</v>
      </c>
      <c r="B2111" s="67" t="str">
        <f>MID(C2111, FIND("Ifc.", C2111) + 4, 4) &amp; "_" &amp; TEXT(COUNTIF($C$2:C2111, C2111),"0000")</f>
        <v>Prop_2110</v>
      </c>
      <c r="C2111" s="24" t="s">
        <v>872</v>
      </c>
      <c r="D2111" s="69" t="s">
        <v>9453</v>
      </c>
      <c r="E2111" s="70" t="s">
        <v>9454</v>
      </c>
      <c r="F2111" s="17" t="s">
        <v>806</v>
      </c>
      <c r="G2111" s="22" t="s">
        <v>1910</v>
      </c>
      <c r="H2111" s="12" t="s">
        <v>9703</v>
      </c>
      <c r="I2111" s="13" t="s">
        <v>7273</v>
      </c>
      <c r="J2111" s="14" t="s">
        <v>798</v>
      </c>
      <c r="K2111" s="15" t="s">
        <v>798</v>
      </c>
      <c r="L2111" s="12" t="s">
        <v>5315</v>
      </c>
      <c r="M2111" s="13" t="s">
        <v>5467</v>
      </c>
      <c r="N2111" s="12" t="s">
        <v>803</v>
      </c>
      <c r="O2111" s="13" t="s">
        <v>5055</v>
      </c>
      <c r="P2111" s="17" t="s">
        <v>802</v>
      </c>
      <c r="Q2111" s="21" t="s">
        <v>7894</v>
      </c>
      <c r="R2111" s="17" t="s">
        <v>801</v>
      </c>
      <c r="S2111" s="18" t="s">
        <v>2632</v>
      </c>
      <c r="T2111" s="17" t="s">
        <v>800</v>
      </c>
      <c r="U2111" s="18" t="s">
        <v>5270</v>
      </c>
      <c r="V2111" s="17" t="s">
        <v>9418</v>
      </c>
      <c r="W2111" s="18" t="s">
        <v>5309</v>
      </c>
      <c r="X2111" s="69" t="s">
        <v>9453</v>
      </c>
      <c r="Y2111" s="70" t="s">
        <v>9462</v>
      </c>
      <c r="Z2111" s="73" t="s">
        <v>9486</v>
      </c>
      <c r="AA2111" s="74" t="s">
        <v>9504</v>
      </c>
      <c r="AB2111" s="73" t="s">
        <v>9486</v>
      </c>
      <c r="AC2111" s="74" t="s">
        <v>9561</v>
      </c>
      <c r="AD2111" s="73" t="s">
        <v>9578</v>
      </c>
      <c r="AE2111" s="74" t="s">
        <v>9618</v>
      </c>
    </row>
    <row r="2112" spans="1:31" ht="8.65" customHeight="1" x14ac:dyDescent="0.2">
      <c r="A2112" s="76">
        <v>2112</v>
      </c>
      <c r="B2112" s="67" t="str">
        <f>MID(C2112, FIND("Ifc.", C2112) + 4, 4) &amp; "_" &amp; TEXT(COUNTIF($C$2:C2112, C2112),"0000")</f>
        <v>Prop_2111</v>
      </c>
      <c r="C2112" s="24" t="s">
        <v>872</v>
      </c>
      <c r="D2112" s="69" t="s">
        <v>9453</v>
      </c>
      <c r="E2112" s="70" t="s">
        <v>9454</v>
      </c>
      <c r="F2112" s="17" t="s">
        <v>806</v>
      </c>
      <c r="G2112" s="22" t="s">
        <v>1492</v>
      </c>
      <c r="H2112" s="12" t="s">
        <v>9703</v>
      </c>
      <c r="I2112" s="13" t="s">
        <v>7601</v>
      </c>
      <c r="J2112" s="14" t="s">
        <v>798</v>
      </c>
      <c r="K2112" s="15" t="s">
        <v>798</v>
      </c>
      <c r="L2112" s="12" t="s">
        <v>5315</v>
      </c>
      <c r="M2112" s="13" t="s">
        <v>5814</v>
      </c>
      <c r="N2112" s="12" t="s">
        <v>803</v>
      </c>
      <c r="O2112" s="13" t="s">
        <v>4948</v>
      </c>
      <c r="P2112" s="17" t="s">
        <v>802</v>
      </c>
      <c r="Q2112" s="21" t="s">
        <v>7896</v>
      </c>
      <c r="R2112" s="17" t="s">
        <v>801</v>
      </c>
      <c r="S2112" s="18" t="s">
        <v>2632</v>
      </c>
      <c r="T2112" s="17" t="s">
        <v>800</v>
      </c>
      <c r="U2112" s="18" t="s">
        <v>5270</v>
      </c>
      <c r="V2112" s="17" t="s">
        <v>9418</v>
      </c>
      <c r="W2112" s="18" t="s">
        <v>5309</v>
      </c>
      <c r="X2112" s="69" t="s">
        <v>9453</v>
      </c>
      <c r="Y2112" s="70" t="s">
        <v>9462</v>
      </c>
      <c r="Z2112" s="73" t="s">
        <v>9486</v>
      </c>
      <c r="AA2112" s="74" t="s">
        <v>9504</v>
      </c>
      <c r="AB2112" s="73" t="s">
        <v>9486</v>
      </c>
      <c r="AC2112" s="74" t="s">
        <v>9561</v>
      </c>
      <c r="AD2112" s="73" t="s">
        <v>9578</v>
      </c>
      <c r="AE2112" s="74" t="s">
        <v>9618</v>
      </c>
    </row>
    <row r="2113" spans="1:31" ht="8.65" customHeight="1" x14ac:dyDescent="0.2">
      <c r="A2113" s="76">
        <v>2113</v>
      </c>
      <c r="B2113" s="67" t="str">
        <f>MID(C2113, FIND("Ifc.", C2113) + 4, 4) &amp; "_" &amp; TEXT(COUNTIF($C$2:C2113, C2113),"0000")</f>
        <v>Prop_2112</v>
      </c>
      <c r="C2113" s="24" t="s">
        <v>872</v>
      </c>
      <c r="D2113" s="69" t="s">
        <v>9453</v>
      </c>
      <c r="E2113" s="70" t="s">
        <v>9454</v>
      </c>
      <c r="F2113" s="17" t="s">
        <v>806</v>
      </c>
      <c r="G2113" s="22" t="s">
        <v>1493</v>
      </c>
      <c r="H2113" s="12" t="s">
        <v>9703</v>
      </c>
      <c r="I2113" s="13" t="s">
        <v>7602</v>
      </c>
      <c r="J2113" s="14" t="s">
        <v>798</v>
      </c>
      <c r="K2113" s="15" t="s">
        <v>798</v>
      </c>
      <c r="L2113" s="12" t="s">
        <v>5315</v>
      </c>
      <c r="M2113" s="13" t="s">
        <v>5814</v>
      </c>
      <c r="N2113" s="12" t="s">
        <v>803</v>
      </c>
      <c r="O2113" s="13" t="s">
        <v>4948</v>
      </c>
      <c r="P2113" s="17" t="s">
        <v>802</v>
      </c>
      <c r="Q2113" s="21" t="s">
        <v>7896</v>
      </c>
      <c r="R2113" s="17" t="s">
        <v>801</v>
      </c>
      <c r="S2113" s="18" t="s">
        <v>2632</v>
      </c>
      <c r="T2113" s="17" t="s">
        <v>800</v>
      </c>
      <c r="U2113" s="18" t="s">
        <v>5270</v>
      </c>
      <c r="V2113" s="17" t="s">
        <v>9418</v>
      </c>
      <c r="W2113" s="18" t="s">
        <v>5309</v>
      </c>
      <c r="X2113" s="69" t="s">
        <v>9453</v>
      </c>
      <c r="Y2113" s="70" t="s">
        <v>9462</v>
      </c>
      <c r="Z2113" s="73" t="s">
        <v>9486</v>
      </c>
      <c r="AA2113" s="74" t="s">
        <v>9504</v>
      </c>
      <c r="AB2113" s="73" t="s">
        <v>9486</v>
      </c>
      <c r="AC2113" s="74" t="s">
        <v>9561</v>
      </c>
      <c r="AD2113" s="73" t="s">
        <v>9578</v>
      </c>
      <c r="AE2113" s="74" t="s">
        <v>9618</v>
      </c>
    </row>
    <row r="2114" spans="1:31" ht="8.65" customHeight="1" x14ac:dyDescent="0.2">
      <c r="A2114" s="76">
        <v>2114</v>
      </c>
      <c r="B2114" s="67" t="str">
        <f>MID(C2114, FIND("Ifc.", C2114) + 4, 4) &amp; "_" &amp; TEXT(COUNTIF($C$2:C2114, C2114),"0000")</f>
        <v>Prop_2113</v>
      </c>
      <c r="C2114" s="24" t="s">
        <v>872</v>
      </c>
      <c r="D2114" s="69" t="s">
        <v>9453</v>
      </c>
      <c r="E2114" s="70" t="s">
        <v>9454</v>
      </c>
      <c r="F2114" s="17" t="s">
        <v>806</v>
      </c>
      <c r="G2114" s="22" t="s">
        <v>1474</v>
      </c>
      <c r="H2114" s="12" t="s">
        <v>9703</v>
      </c>
      <c r="I2114" s="13" t="s">
        <v>7603</v>
      </c>
      <c r="J2114" s="14" t="s">
        <v>798</v>
      </c>
      <c r="K2114" s="15" t="s">
        <v>798</v>
      </c>
      <c r="L2114" s="12" t="s">
        <v>5315</v>
      </c>
      <c r="M2114" s="13" t="s">
        <v>5811</v>
      </c>
      <c r="N2114" s="12" t="s">
        <v>803</v>
      </c>
      <c r="O2114" s="13" t="s">
        <v>4945</v>
      </c>
      <c r="P2114" s="17" t="s">
        <v>802</v>
      </c>
      <c r="Q2114" s="21" t="s">
        <v>7698</v>
      </c>
      <c r="R2114" s="17" t="s">
        <v>801</v>
      </c>
      <c r="S2114" s="18" t="s">
        <v>2632</v>
      </c>
      <c r="T2114" s="17" t="s">
        <v>800</v>
      </c>
      <c r="U2114" s="18" t="s">
        <v>5270</v>
      </c>
      <c r="V2114" s="17" t="s">
        <v>9418</v>
      </c>
      <c r="W2114" s="18" t="s">
        <v>5309</v>
      </c>
      <c r="X2114" s="69" t="s">
        <v>9453</v>
      </c>
      <c r="Y2114" s="70" t="s">
        <v>9462</v>
      </c>
      <c r="Z2114" s="73" t="s">
        <v>9486</v>
      </c>
      <c r="AA2114" s="74" t="s">
        <v>9504</v>
      </c>
      <c r="AB2114" s="73" t="s">
        <v>9486</v>
      </c>
      <c r="AC2114" s="74" t="s">
        <v>9561</v>
      </c>
      <c r="AD2114" s="73" t="s">
        <v>9578</v>
      </c>
      <c r="AE2114" s="74" t="s">
        <v>9618</v>
      </c>
    </row>
    <row r="2115" spans="1:31" ht="8.65" customHeight="1" x14ac:dyDescent="0.2">
      <c r="A2115" s="76">
        <v>2115</v>
      </c>
      <c r="B2115" s="67" t="str">
        <f>MID(C2115, FIND("Ifc.", C2115) + 4, 4) &amp; "_" &amp; TEXT(COUNTIF($C$2:C2115, C2115),"0000")</f>
        <v>Prop_2114</v>
      </c>
      <c r="C2115" s="24" t="s">
        <v>872</v>
      </c>
      <c r="D2115" s="69" t="s">
        <v>9453</v>
      </c>
      <c r="E2115" s="70" t="s">
        <v>9454</v>
      </c>
      <c r="F2115" s="17" t="s">
        <v>806</v>
      </c>
      <c r="G2115" s="22" t="s">
        <v>1474</v>
      </c>
      <c r="H2115" s="12" t="s">
        <v>9703</v>
      </c>
      <c r="I2115" s="13" t="s">
        <v>7603</v>
      </c>
      <c r="J2115" s="14" t="s">
        <v>798</v>
      </c>
      <c r="K2115" s="15" t="s">
        <v>798</v>
      </c>
      <c r="L2115" s="12" t="s">
        <v>5315</v>
      </c>
      <c r="M2115" s="13" t="s">
        <v>5812</v>
      </c>
      <c r="N2115" s="12" t="s">
        <v>803</v>
      </c>
      <c r="O2115" s="13" t="s">
        <v>4946</v>
      </c>
      <c r="P2115" s="17" t="s">
        <v>802</v>
      </c>
      <c r="Q2115" s="21" t="s">
        <v>7895</v>
      </c>
      <c r="R2115" s="17" t="s">
        <v>801</v>
      </c>
      <c r="S2115" s="18" t="s">
        <v>2632</v>
      </c>
      <c r="T2115" s="17" t="s">
        <v>800</v>
      </c>
      <c r="U2115" s="18" t="s">
        <v>5270</v>
      </c>
      <c r="V2115" s="17" t="s">
        <v>9418</v>
      </c>
      <c r="W2115" s="18" t="s">
        <v>5309</v>
      </c>
      <c r="X2115" s="69" t="s">
        <v>9453</v>
      </c>
      <c r="Y2115" s="70" t="s">
        <v>9462</v>
      </c>
      <c r="Z2115" s="73" t="s">
        <v>9486</v>
      </c>
      <c r="AA2115" s="74" t="s">
        <v>9504</v>
      </c>
      <c r="AB2115" s="73" t="s">
        <v>9486</v>
      </c>
      <c r="AC2115" s="74" t="s">
        <v>9561</v>
      </c>
      <c r="AD2115" s="73" t="s">
        <v>9578</v>
      </c>
      <c r="AE2115" s="74" t="s">
        <v>9618</v>
      </c>
    </row>
    <row r="2116" spans="1:31" ht="8.65" customHeight="1" x14ac:dyDescent="0.2">
      <c r="A2116" s="76">
        <v>2116</v>
      </c>
      <c r="B2116" s="67" t="str">
        <f>MID(C2116, FIND("Ifc.", C2116) + 4, 4) &amp; "_" &amp; TEXT(COUNTIF($C$2:C2116, C2116),"0000")</f>
        <v>Prop_2115</v>
      </c>
      <c r="C2116" s="24" t="s">
        <v>872</v>
      </c>
      <c r="D2116" s="69" t="s">
        <v>9453</v>
      </c>
      <c r="E2116" s="70" t="s">
        <v>9454</v>
      </c>
      <c r="F2116" s="17" t="s">
        <v>806</v>
      </c>
      <c r="G2116" s="22" t="s">
        <v>2508</v>
      </c>
      <c r="H2116" s="12" t="s">
        <v>9703</v>
      </c>
      <c r="I2116" s="13" t="s">
        <v>6829</v>
      </c>
      <c r="J2116" s="14" t="s">
        <v>798</v>
      </c>
      <c r="K2116" s="15" t="s">
        <v>798</v>
      </c>
      <c r="L2116" s="12" t="s">
        <v>5315</v>
      </c>
      <c r="M2116" s="13" t="s">
        <v>5904</v>
      </c>
      <c r="N2116" s="12" t="s">
        <v>803</v>
      </c>
      <c r="O2116" s="13" t="s">
        <v>5223</v>
      </c>
      <c r="P2116" s="17" t="s">
        <v>802</v>
      </c>
      <c r="Q2116" s="21" t="s">
        <v>7940</v>
      </c>
      <c r="R2116" s="17" t="s">
        <v>801</v>
      </c>
      <c r="S2116" s="18" t="s">
        <v>2553</v>
      </c>
      <c r="T2116" s="17" t="s">
        <v>800</v>
      </c>
      <c r="U2116" s="18" t="s">
        <v>5269</v>
      </c>
      <c r="V2116" s="17" t="s">
        <v>9418</v>
      </c>
      <c r="W2116" s="18" t="s">
        <v>5309</v>
      </c>
      <c r="X2116" s="69" t="s">
        <v>9453</v>
      </c>
      <c r="Y2116" s="70" t="s">
        <v>9462</v>
      </c>
      <c r="Z2116" s="73" t="s">
        <v>9486</v>
      </c>
      <c r="AA2116" s="74" t="s">
        <v>9504</v>
      </c>
      <c r="AB2116" s="73" t="s">
        <v>9486</v>
      </c>
      <c r="AC2116" s="74" t="s">
        <v>9561</v>
      </c>
      <c r="AD2116" s="73" t="s">
        <v>9578</v>
      </c>
      <c r="AE2116" s="74" t="s">
        <v>9618</v>
      </c>
    </row>
    <row r="2117" spans="1:31" ht="8.65" customHeight="1" x14ac:dyDescent="0.2">
      <c r="A2117" s="76">
        <v>2117</v>
      </c>
      <c r="B2117" s="67" t="str">
        <f>MID(C2117, FIND("Ifc.", C2117) + 4, 4) &amp; "_" &amp; TEXT(COUNTIF($C$2:C2117, C2117),"0000")</f>
        <v>Prop_2116</v>
      </c>
      <c r="C2117" s="24" t="s">
        <v>872</v>
      </c>
      <c r="D2117" s="69" t="s">
        <v>9453</v>
      </c>
      <c r="E2117" s="70" t="s">
        <v>9454</v>
      </c>
      <c r="F2117" s="17" t="s">
        <v>806</v>
      </c>
      <c r="G2117" s="22" t="s">
        <v>1494</v>
      </c>
      <c r="H2117" s="12" t="s">
        <v>9703</v>
      </c>
      <c r="I2117" s="13" t="s">
        <v>7604</v>
      </c>
      <c r="J2117" s="14" t="s">
        <v>798</v>
      </c>
      <c r="K2117" s="15" t="s">
        <v>798</v>
      </c>
      <c r="L2117" s="12" t="s">
        <v>5315</v>
      </c>
      <c r="M2117" s="13" t="s">
        <v>5814</v>
      </c>
      <c r="N2117" s="12" t="s">
        <v>803</v>
      </c>
      <c r="O2117" s="13" t="s">
        <v>4948</v>
      </c>
      <c r="P2117" s="17" t="s">
        <v>802</v>
      </c>
      <c r="Q2117" s="21" t="s">
        <v>7896</v>
      </c>
      <c r="R2117" s="17" t="s">
        <v>801</v>
      </c>
      <c r="S2117" s="18" t="s">
        <v>2632</v>
      </c>
      <c r="T2117" s="17" t="s">
        <v>800</v>
      </c>
      <c r="U2117" s="18" t="s">
        <v>5270</v>
      </c>
      <c r="V2117" s="17" t="s">
        <v>9418</v>
      </c>
      <c r="W2117" s="18" t="s">
        <v>5309</v>
      </c>
      <c r="X2117" s="69" t="s">
        <v>9453</v>
      </c>
      <c r="Y2117" s="70" t="s">
        <v>9462</v>
      </c>
      <c r="Z2117" s="73" t="s">
        <v>9486</v>
      </c>
      <c r="AA2117" s="74" t="s">
        <v>9504</v>
      </c>
      <c r="AB2117" s="73" t="s">
        <v>9486</v>
      </c>
      <c r="AC2117" s="74" t="s">
        <v>9561</v>
      </c>
      <c r="AD2117" s="73" t="s">
        <v>9578</v>
      </c>
      <c r="AE2117" s="74" t="s">
        <v>9618</v>
      </c>
    </row>
    <row r="2118" spans="1:31" ht="8.65" customHeight="1" x14ac:dyDescent="0.2">
      <c r="A2118" s="76">
        <v>2118</v>
      </c>
      <c r="B2118" s="67" t="str">
        <f>MID(C2118, FIND("Ifc.", C2118) + 4, 4) &amp; "_" &amp; TEXT(COUNTIF($C$2:C2118, C2118),"0000")</f>
        <v>Prop_2117</v>
      </c>
      <c r="C2118" s="24" t="s">
        <v>872</v>
      </c>
      <c r="D2118" s="69" t="s">
        <v>9453</v>
      </c>
      <c r="E2118" s="70" t="s">
        <v>9454</v>
      </c>
      <c r="F2118" s="17" t="s">
        <v>806</v>
      </c>
      <c r="G2118" s="22" t="s">
        <v>1495</v>
      </c>
      <c r="H2118" s="12" t="s">
        <v>9703</v>
      </c>
      <c r="I2118" s="13" t="s">
        <v>7605</v>
      </c>
      <c r="J2118" s="14" t="s">
        <v>798</v>
      </c>
      <c r="K2118" s="15" t="s">
        <v>798</v>
      </c>
      <c r="L2118" s="12" t="s">
        <v>5315</v>
      </c>
      <c r="M2118" s="13" t="s">
        <v>5814</v>
      </c>
      <c r="N2118" s="12" t="s">
        <v>803</v>
      </c>
      <c r="O2118" s="13" t="s">
        <v>4948</v>
      </c>
      <c r="P2118" s="17" t="s">
        <v>802</v>
      </c>
      <c r="Q2118" s="21" t="s">
        <v>7896</v>
      </c>
      <c r="R2118" s="17" t="s">
        <v>801</v>
      </c>
      <c r="S2118" s="18" t="s">
        <v>2632</v>
      </c>
      <c r="T2118" s="17" t="s">
        <v>800</v>
      </c>
      <c r="U2118" s="18" t="s">
        <v>5270</v>
      </c>
      <c r="V2118" s="17" t="s">
        <v>9418</v>
      </c>
      <c r="W2118" s="18" t="s">
        <v>5309</v>
      </c>
      <c r="X2118" s="69" t="s">
        <v>9453</v>
      </c>
      <c r="Y2118" s="70" t="s">
        <v>9462</v>
      </c>
      <c r="Z2118" s="73" t="s">
        <v>9486</v>
      </c>
      <c r="AA2118" s="74" t="s">
        <v>9504</v>
      </c>
      <c r="AB2118" s="73" t="s">
        <v>9486</v>
      </c>
      <c r="AC2118" s="74" t="s">
        <v>9561</v>
      </c>
      <c r="AD2118" s="73" t="s">
        <v>9578</v>
      </c>
      <c r="AE2118" s="74" t="s">
        <v>9618</v>
      </c>
    </row>
    <row r="2119" spans="1:31" ht="8.65" customHeight="1" x14ac:dyDescent="0.2">
      <c r="A2119" s="76">
        <v>2119</v>
      </c>
      <c r="B2119" s="67" t="str">
        <f>MID(C2119, FIND("Ifc.", C2119) + 4, 4) &amp; "_" &amp; TEXT(COUNTIF($C$2:C2119, C2119),"0000")</f>
        <v>Prop_2118</v>
      </c>
      <c r="C2119" s="24" t="s">
        <v>872</v>
      </c>
      <c r="D2119" s="69" t="s">
        <v>9453</v>
      </c>
      <c r="E2119" s="70" t="s">
        <v>9454</v>
      </c>
      <c r="F2119" s="17" t="s">
        <v>806</v>
      </c>
      <c r="G2119" s="22" t="s">
        <v>2444</v>
      </c>
      <c r="H2119" s="12" t="s">
        <v>9703</v>
      </c>
      <c r="I2119" s="13" t="s">
        <v>6795</v>
      </c>
      <c r="J2119" s="14" t="s">
        <v>798</v>
      </c>
      <c r="K2119" s="15" t="s">
        <v>798</v>
      </c>
      <c r="L2119" s="12" t="s">
        <v>5315</v>
      </c>
      <c r="M2119" s="13" t="s">
        <v>5570</v>
      </c>
      <c r="N2119" s="12" t="s">
        <v>803</v>
      </c>
      <c r="O2119" s="13" t="s">
        <v>5203</v>
      </c>
      <c r="P2119" s="17" t="s">
        <v>802</v>
      </c>
      <c r="Q2119" s="21" t="s">
        <v>7900</v>
      </c>
      <c r="R2119" s="17" t="s">
        <v>801</v>
      </c>
      <c r="S2119" s="18" t="s">
        <v>9421</v>
      </c>
      <c r="T2119" s="17" t="s">
        <v>800</v>
      </c>
      <c r="U2119" s="18" t="s">
        <v>9420</v>
      </c>
      <c r="V2119" s="17" t="s">
        <v>9418</v>
      </c>
      <c r="W2119" s="18" t="s">
        <v>5309</v>
      </c>
      <c r="X2119" s="69" t="s">
        <v>9453</v>
      </c>
      <c r="Y2119" s="70" t="s">
        <v>9462</v>
      </c>
      <c r="Z2119" s="73" t="s">
        <v>9486</v>
      </c>
      <c r="AA2119" s="74" t="s">
        <v>9504</v>
      </c>
      <c r="AB2119" s="73" t="s">
        <v>9486</v>
      </c>
      <c r="AC2119" s="74" t="s">
        <v>9566</v>
      </c>
      <c r="AD2119" s="73" t="s">
        <v>9578</v>
      </c>
      <c r="AE2119" s="74" t="s">
        <v>9579</v>
      </c>
    </row>
    <row r="2120" spans="1:31" ht="8.65" customHeight="1" x14ac:dyDescent="0.2">
      <c r="A2120" s="76">
        <v>2120</v>
      </c>
      <c r="B2120" s="67" t="str">
        <f>MID(C2120, FIND("Ifc.", C2120) + 4, 4) &amp; "_" &amp; TEXT(COUNTIF($C$2:C2120, C2120),"0000")</f>
        <v>Prop_2119</v>
      </c>
      <c r="C2120" s="24" t="s">
        <v>872</v>
      </c>
      <c r="D2120" s="69" t="s">
        <v>9453</v>
      </c>
      <c r="E2120" s="70" t="s">
        <v>9454</v>
      </c>
      <c r="F2120" s="17" t="s">
        <v>806</v>
      </c>
      <c r="G2120" s="22" t="s">
        <v>1848</v>
      </c>
      <c r="H2120" s="12" t="s">
        <v>9703</v>
      </c>
      <c r="I2120" s="13" t="s">
        <v>6519</v>
      </c>
      <c r="J2120" s="14" t="s">
        <v>798</v>
      </c>
      <c r="K2120" s="15" t="s">
        <v>798</v>
      </c>
      <c r="L2120" s="12" t="s">
        <v>5315</v>
      </c>
      <c r="M2120" s="13" t="s">
        <v>5457</v>
      </c>
      <c r="N2120" s="12" t="s">
        <v>803</v>
      </c>
      <c r="O2120" s="13" t="s">
        <v>5033</v>
      </c>
      <c r="P2120" s="17" t="s">
        <v>802</v>
      </c>
      <c r="Q2120" s="21" t="s">
        <v>7919</v>
      </c>
      <c r="R2120" s="17" t="s">
        <v>801</v>
      </c>
      <c r="S2120" s="18" t="s">
        <v>2621</v>
      </c>
      <c r="T2120" s="17" t="s">
        <v>800</v>
      </c>
      <c r="U2120" s="18" t="s">
        <v>5260</v>
      </c>
      <c r="V2120" s="17" t="s">
        <v>9418</v>
      </c>
      <c r="W2120" s="18" t="s">
        <v>5309</v>
      </c>
      <c r="X2120" s="69" t="s">
        <v>9453</v>
      </c>
      <c r="Y2120" s="70" t="s">
        <v>9462</v>
      </c>
      <c r="Z2120" s="73" t="s">
        <v>9486</v>
      </c>
      <c r="AA2120" s="74" t="s">
        <v>9504</v>
      </c>
      <c r="AB2120" s="73" t="s">
        <v>9486</v>
      </c>
      <c r="AC2120" s="74" t="s">
        <v>9566</v>
      </c>
      <c r="AD2120" s="73" t="s">
        <v>9578</v>
      </c>
      <c r="AE2120" s="74" t="s">
        <v>9579</v>
      </c>
    </row>
    <row r="2121" spans="1:31" ht="8.65" customHeight="1" x14ac:dyDescent="0.2">
      <c r="A2121" s="76">
        <v>2121</v>
      </c>
      <c r="B2121" s="67" t="str">
        <f>MID(C2121, FIND("Ifc.", C2121) + 4, 4) &amp; "_" &amp; TEXT(COUNTIF($C$2:C2121, C2121),"0000")</f>
        <v>Prop_2120</v>
      </c>
      <c r="C2121" s="24" t="s">
        <v>872</v>
      </c>
      <c r="D2121" s="69" t="s">
        <v>9453</v>
      </c>
      <c r="E2121" s="70" t="s">
        <v>9454</v>
      </c>
      <c r="F2121" s="17" t="s">
        <v>806</v>
      </c>
      <c r="G2121" s="22" t="s">
        <v>1372</v>
      </c>
      <c r="H2121" s="12" t="s">
        <v>9703</v>
      </c>
      <c r="I2121" s="13" t="s">
        <v>6292</v>
      </c>
      <c r="J2121" s="14" t="s">
        <v>798</v>
      </c>
      <c r="K2121" s="15" t="s">
        <v>798</v>
      </c>
      <c r="L2121" s="12" t="s">
        <v>5315</v>
      </c>
      <c r="M2121" s="13" t="s">
        <v>6031</v>
      </c>
      <c r="N2121" s="12" t="s">
        <v>803</v>
      </c>
      <c r="O2121" s="13" t="s">
        <v>4919</v>
      </c>
      <c r="P2121" s="17" t="s">
        <v>802</v>
      </c>
      <c r="Q2121" s="21" t="s">
        <v>7818</v>
      </c>
      <c r="R2121" s="17" t="s">
        <v>801</v>
      </c>
      <c r="S2121" s="18" t="s">
        <v>2621</v>
      </c>
      <c r="T2121" s="17" t="s">
        <v>800</v>
      </c>
      <c r="U2121" s="18" t="s">
        <v>5260</v>
      </c>
      <c r="V2121" s="17" t="s">
        <v>9418</v>
      </c>
      <c r="W2121" s="18" t="s">
        <v>5309</v>
      </c>
      <c r="X2121" s="69" t="s">
        <v>9453</v>
      </c>
      <c r="Y2121" s="70" t="s">
        <v>9462</v>
      </c>
      <c r="Z2121" s="73" t="s">
        <v>9486</v>
      </c>
      <c r="AA2121" s="74" t="s">
        <v>9504</v>
      </c>
      <c r="AB2121" s="73" t="s">
        <v>9486</v>
      </c>
      <c r="AC2121" s="74" t="s">
        <v>9566</v>
      </c>
      <c r="AD2121" s="73" t="s">
        <v>9578</v>
      </c>
      <c r="AE2121" s="74" t="s">
        <v>9579</v>
      </c>
    </row>
    <row r="2122" spans="1:31" ht="8.65" customHeight="1" x14ac:dyDescent="0.2">
      <c r="A2122" s="76">
        <v>2122</v>
      </c>
      <c r="B2122" s="67" t="str">
        <f>MID(C2122, FIND("Ifc.", C2122) + 4, 4) &amp; "_" &amp; TEXT(COUNTIF($C$2:C2122, C2122),"0000")</f>
        <v>Prop_2121</v>
      </c>
      <c r="C2122" s="24" t="s">
        <v>872</v>
      </c>
      <c r="D2122" s="69" t="s">
        <v>9453</v>
      </c>
      <c r="E2122" s="70" t="s">
        <v>9454</v>
      </c>
      <c r="F2122" s="17" t="s">
        <v>806</v>
      </c>
      <c r="G2122" s="22" t="s">
        <v>1259</v>
      </c>
      <c r="H2122" s="12" t="s">
        <v>9703</v>
      </c>
      <c r="I2122" s="13" t="s">
        <v>7264</v>
      </c>
      <c r="J2122" s="14" t="s">
        <v>798</v>
      </c>
      <c r="K2122" s="15" t="s">
        <v>798</v>
      </c>
      <c r="L2122" s="12" t="s">
        <v>5315</v>
      </c>
      <c r="M2122" s="13" t="s">
        <v>5403</v>
      </c>
      <c r="N2122" s="12" t="s">
        <v>803</v>
      </c>
      <c r="O2122" s="13" t="s">
        <v>4891</v>
      </c>
      <c r="P2122" s="17" t="s">
        <v>802</v>
      </c>
      <c r="Q2122" s="21" t="s">
        <v>7789</v>
      </c>
      <c r="R2122" s="17" t="s">
        <v>801</v>
      </c>
      <c r="S2122" s="18" t="s">
        <v>2633</v>
      </c>
      <c r="T2122" s="17" t="s">
        <v>800</v>
      </c>
      <c r="U2122" s="18" t="s">
        <v>5275</v>
      </c>
      <c r="V2122" s="17" t="s">
        <v>9418</v>
      </c>
      <c r="W2122" s="18" t="s">
        <v>5309</v>
      </c>
      <c r="X2122" s="69" t="s">
        <v>9453</v>
      </c>
      <c r="Y2122" s="70" t="s">
        <v>9462</v>
      </c>
      <c r="Z2122" s="73" t="s">
        <v>9486</v>
      </c>
      <c r="AA2122" s="74" t="s">
        <v>9504</v>
      </c>
      <c r="AB2122" s="73" t="s">
        <v>9486</v>
      </c>
      <c r="AC2122" s="74" t="s">
        <v>9566</v>
      </c>
      <c r="AD2122" s="73" t="s">
        <v>9578</v>
      </c>
      <c r="AE2122" s="74" t="s">
        <v>9579</v>
      </c>
    </row>
    <row r="2123" spans="1:31" ht="8.65" customHeight="1" x14ac:dyDescent="0.2">
      <c r="A2123" s="76">
        <v>2123</v>
      </c>
      <c r="B2123" s="67" t="str">
        <f>MID(C2123, FIND("Ifc.", C2123) + 4, 4) &amp; "_" &amp; TEXT(COUNTIF($C$2:C2123, C2123),"0000")</f>
        <v>Prop_2122</v>
      </c>
      <c r="C2123" s="24" t="s">
        <v>872</v>
      </c>
      <c r="D2123" s="69" t="s">
        <v>9453</v>
      </c>
      <c r="E2123" s="70" t="s">
        <v>9454</v>
      </c>
      <c r="F2123" s="17" t="s">
        <v>806</v>
      </c>
      <c r="G2123" s="22" t="s">
        <v>1323</v>
      </c>
      <c r="H2123" s="12" t="s">
        <v>9703</v>
      </c>
      <c r="I2123" s="13" t="s">
        <v>6271</v>
      </c>
      <c r="J2123" s="14" t="s">
        <v>798</v>
      </c>
      <c r="K2123" s="15" t="s">
        <v>798</v>
      </c>
      <c r="L2123" s="12" t="s">
        <v>5315</v>
      </c>
      <c r="M2123" s="13" t="s">
        <v>5410</v>
      </c>
      <c r="N2123" s="12" t="s">
        <v>803</v>
      </c>
      <c r="O2123" s="13" t="s">
        <v>4908</v>
      </c>
      <c r="P2123" s="17" t="s">
        <v>802</v>
      </c>
      <c r="Q2123" s="21" t="s">
        <v>7823</v>
      </c>
      <c r="R2123" s="17" t="s">
        <v>801</v>
      </c>
      <c r="S2123" s="18" t="s">
        <v>2633</v>
      </c>
      <c r="T2123" s="17" t="s">
        <v>800</v>
      </c>
      <c r="U2123" s="18" t="s">
        <v>5275</v>
      </c>
      <c r="V2123" s="17" t="s">
        <v>9418</v>
      </c>
      <c r="W2123" s="18" t="s">
        <v>5312</v>
      </c>
      <c r="X2123" s="69" t="s">
        <v>9453</v>
      </c>
      <c r="Y2123" s="70" t="s">
        <v>9465</v>
      </c>
      <c r="Z2123" s="73" t="s">
        <v>9486</v>
      </c>
      <c r="AA2123" s="74" t="s">
        <v>9504</v>
      </c>
      <c r="AB2123" s="73" t="s">
        <v>9486</v>
      </c>
      <c r="AC2123" s="74" t="s">
        <v>9566</v>
      </c>
      <c r="AD2123" s="73" t="s">
        <v>9578</v>
      </c>
      <c r="AE2123" s="74" t="s">
        <v>9579</v>
      </c>
    </row>
    <row r="2124" spans="1:31" ht="8.65" customHeight="1" x14ac:dyDescent="0.2">
      <c r="A2124" s="76">
        <v>2124</v>
      </c>
      <c r="B2124" s="67" t="str">
        <f>MID(C2124, FIND("Ifc.", C2124) + 4, 4) &amp; "_" &amp; TEXT(COUNTIF($C$2:C2124, C2124),"0000")</f>
        <v>Prop_2123</v>
      </c>
      <c r="C2124" s="24" t="s">
        <v>872</v>
      </c>
      <c r="D2124" s="69" t="s">
        <v>9453</v>
      </c>
      <c r="E2124" s="70" t="s">
        <v>9454</v>
      </c>
      <c r="F2124" s="17" t="s">
        <v>806</v>
      </c>
      <c r="G2124" s="22" t="s">
        <v>1323</v>
      </c>
      <c r="H2124" s="12" t="s">
        <v>9703</v>
      </c>
      <c r="I2124" s="13" t="s">
        <v>6271</v>
      </c>
      <c r="J2124" s="14" t="s">
        <v>798</v>
      </c>
      <c r="K2124" s="15" t="s">
        <v>798</v>
      </c>
      <c r="L2124" s="12" t="s">
        <v>5315</v>
      </c>
      <c r="M2124" s="13" t="s">
        <v>5514</v>
      </c>
      <c r="N2124" s="12" t="s">
        <v>803</v>
      </c>
      <c r="O2124" s="13" t="s">
        <v>5128</v>
      </c>
      <c r="P2124" s="17" t="s">
        <v>802</v>
      </c>
      <c r="Q2124" s="21" t="s">
        <v>7773</v>
      </c>
      <c r="R2124" s="17" t="s">
        <v>801</v>
      </c>
      <c r="S2124" s="18" t="s">
        <v>2633</v>
      </c>
      <c r="T2124" s="17" t="s">
        <v>800</v>
      </c>
      <c r="U2124" s="18" t="s">
        <v>5275</v>
      </c>
      <c r="V2124" s="17" t="s">
        <v>9418</v>
      </c>
      <c r="W2124" s="18" t="s">
        <v>5312</v>
      </c>
      <c r="X2124" s="69" t="s">
        <v>9453</v>
      </c>
      <c r="Y2124" s="70" t="s">
        <v>9465</v>
      </c>
      <c r="Z2124" s="73" t="s">
        <v>9486</v>
      </c>
      <c r="AA2124" s="74" t="s">
        <v>9504</v>
      </c>
      <c r="AB2124" s="73" t="s">
        <v>9486</v>
      </c>
      <c r="AC2124" s="74" t="s">
        <v>9566</v>
      </c>
      <c r="AD2124" s="73" t="s">
        <v>9578</v>
      </c>
      <c r="AE2124" s="74" t="s">
        <v>9579</v>
      </c>
    </row>
    <row r="2125" spans="1:31" ht="8.65" customHeight="1" x14ac:dyDescent="0.2">
      <c r="A2125" s="76">
        <v>2125</v>
      </c>
      <c r="B2125" s="67" t="str">
        <f>MID(C2125, FIND("Ifc.", C2125) + 4, 4) &amp; "_" &amp; TEXT(COUNTIF($C$2:C2125, C2125),"0000")</f>
        <v>Prop_2124</v>
      </c>
      <c r="C2125" s="24" t="s">
        <v>872</v>
      </c>
      <c r="D2125" s="69" t="s">
        <v>9453</v>
      </c>
      <c r="E2125" s="70" t="s">
        <v>9454</v>
      </c>
      <c r="F2125" s="17" t="s">
        <v>806</v>
      </c>
      <c r="G2125" s="22" t="s">
        <v>1323</v>
      </c>
      <c r="H2125" s="12" t="s">
        <v>9703</v>
      </c>
      <c r="I2125" s="13" t="s">
        <v>6271</v>
      </c>
      <c r="J2125" s="14" t="s">
        <v>798</v>
      </c>
      <c r="K2125" s="15" t="s">
        <v>798</v>
      </c>
      <c r="L2125" s="12" t="s">
        <v>5315</v>
      </c>
      <c r="M2125" s="13" t="s">
        <v>5509</v>
      </c>
      <c r="N2125" s="12" t="s">
        <v>803</v>
      </c>
      <c r="O2125" s="13" t="s">
        <v>5122</v>
      </c>
      <c r="P2125" s="17" t="s">
        <v>802</v>
      </c>
      <c r="Q2125" s="21" t="s">
        <v>7780</v>
      </c>
      <c r="R2125" s="17" t="s">
        <v>801</v>
      </c>
      <c r="S2125" s="18" t="s">
        <v>2633</v>
      </c>
      <c r="T2125" s="17" t="s">
        <v>800</v>
      </c>
      <c r="U2125" s="18" t="s">
        <v>5275</v>
      </c>
      <c r="V2125" s="17" t="s">
        <v>9418</v>
      </c>
      <c r="W2125" s="18" t="s">
        <v>5312</v>
      </c>
      <c r="X2125" s="69" t="s">
        <v>9453</v>
      </c>
      <c r="Y2125" s="70" t="s">
        <v>9465</v>
      </c>
      <c r="Z2125" s="73" t="s">
        <v>9486</v>
      </c>
      <c r="AA2125" s="74" t="s">
        <v>9504</v>
      </c>
      <c r="AB2125" s="73" t="s">
        <v>9486</v>
      </c>
      <c r="AC2125" s="74" t="s">
        <v>9566</v>
      </c>
      <c r="AD2125" s="73" t="s">
        <v>9578</v>
      </c>
      <c r="AE2125" s="74" t="s">
        <v>9579</v>
      </c>
    </row>
    <row r="2126" spans="1:31" ht="8.65" customHeight="1" x14ac:dyDescent="0.2">
      <c r="A2126" s="76">
        <v>2126</v>
      </c>
      <c r="B2126" s="67" t="str">
        <f>MID(C2126, FIND("Ifc.", C2126) + 4, 4) &amp; "_" &amp; TEXT(COUNTIF($C$2:C2126, C2126),"0000")</f>
        <v>Prop_2125</v>
      </c>
      <c r="C2126" s="24" t="s">
        <v>872</v>
      </c>
      <c r="D2126" s="69" t="s">
        <v>9453</v>
      </c>
      <c r="E2126" s="70" t="s">
        <v>9454</v>
      </c>
      <c r="F2126" s="17" t="s">
        <v>806</v>
      </c>
      <c r="G2126" s="22" t="s">
        <v>2442</v>
      </c>
      <c r="H2126" s="12" t="s">
        <v>9703</v>
      </c>
      <c r="I2126" s="13" t="s">
        <v>6793</v>
      </c>
      <c r="J2126" s="14" t="s">
        <v>798</v>
      </c>
      <c r="K2126" s="15" t="s">
        <v>798</v>
      </c>
      <c r="L2126" s="12" t="s">
        <v>5315</v>
      </c>
      <c r="M2126" s="13" t="s">
        <v>5570</v>
      </c>
      <c r="N2126" s="12" t="s">
        <v>803</v>
      </c>
      <c r="O2126" s="13" t="s">
        <v>5203</v>
      </c>
      <c r="P2126" s="17" t="s">
        <v>802</v>
      </c>
      <c r="Q2126" s="21" t="s">
        <v>7900</v>
      </c>
      <c r="R2126" s="17" t="s">
        <v>801</v>
      </c>
      <c r="S2126" s="18" t="s">
        <v>2633</v>
      </c>
      <c r="T2126" s="17" t="s">
        <v>800</v>
      </c>
      <c r="U2126" s="18" t="s">
        <v>5275</v>
      </c>
      <c r="V2126" s="17" t="s">
        <v>9418</v>
      </c>
      <c r="W2126" s="18" t="s">
        <v>5309</v>
      </c>
      <c r="X2126" s="69" t="s">
        <v>9453</v>
      </c>
      <c r="Y2126" s="70" t="s">
        <v>9462</v>
      </c>
      <c r="Z2126" s="73" t="s">
        <v>9486</v>
      </c>
      <c r="AA2126" s="74" t="s">
        <v>9504</v>
      </c>
      <c r="AB2126" s="73" t="s">
        <v>9486</v>
      </c>
      <c r="AC2126" s="74" t="s">
        <v>9566</v>
      </c>
      <c r="AD2126" s="73" t="s">
        <v>9578</v>
      </c>
      <c r="AE2126" s="74" t="s">
        <v>9579</v>
      </c>
    </row>
    <row r="2127" spans="1:31" ht="8.65" customHeight="1" x14ac:dyDescent="0.2">
      <c r="A2127" s="76">
        <v>2127</v>
      </c>
      <c r="B2127" s="67" t="str">
        <f>MID(C2127, FIND("Ifc.", C2127) + 4, 4) &amp; "_" &amp; TEXT(COUNTIF($C$2:C2127, C2127),"0000")</f>
        <v>Prop_2126</v>
      </c>
      <c r="C2127" s="24" t="s">
        <v>872</v>
      </c>
      <c r="D2127" s="69" t="s">
        <v>9453</v>
      </c>
      <c r="E2127" s="70" t="s">
        <v>9454</v>
      </c>
      <c r="F2127" s="17" t="s">
        <v>806</v>
      </c>
      <c r="G2127" s="22" t="s">
        <v>2443</v>
      </c>
      <c r="H2127" s="12" t="s">
        <v>9703</v>
      </c>
      <c r="I2127" s="13" t="s">
        <v>6794</v>
      </c>
      <c r="J2127" s="14" t="s">
        <v>798</v>
      </c>
      <c r="K2127" s="15" t="s">
        <v>798</v>
      </c>
      <c r="L2127" s="12" t="s">
        <v>5315</v>
      </c>
      <c r="M2127" s="13" t="s">
        <v>5570</v>
      </c>
      <c r="N2127" s="12" t="s">
        <v>803</v>
      </c>
      <c r="O2127" s="13" t="s">
        <v>5203</v>
      </c>
      <c r="P2127" s="17" t="s">
        <v>802</v>
      </c>
      <c r="Q2127" s="21" t="s">
        <v>7900</v>
      </c>
      <c r="R2127" s="17" t="s">
        <v>801</v>
      </c>
      <c r="S2127" s="18" t="s">
        <v>2633</v>
      </c>
      <c r="T2127" s="17" t="s">
        <v>800</v>
      </c>
      <c r="U2127" s="18" t="s">
        <v>5275</v>
      </c>
      <c r="V2127" s="17" t="s">
        <v>9418</v>
      </c>
      <c r="W2127" s="18" t="s">
        <v>5309</v>
      </c>
      <c r="X2127" s="69" t="s">
        <v>9453</v>
      </c>
      <c r="Y2127" s="70" t="s">
        <v>9462</v>
      </c>
      <c r="Z2127" s="73" t="s">
        <v>9486</v>
      </c>
      <c r="AA2127" s="74" t="s">
        <v>9504</v>
      </c>
      <c r="AB2127" s="73" t="s">
        <v>9486</v>
      </c>
      <c r="AC2127" s="74" t="s">
        <v>9566</v>
      </c>
      <c r="AD2127" s="73" t="s">
        <v>9578</v>
      </c>
      <c r="AE2127" s="74" t="s">
        <v>9579</v>
      </c>
    </row>
    <row r="2128" spans="1:31" ht="8.65" customHeight="1" x14ac:dyDescent="0.2">
      <c r="A2128" s="76">
        <v>2128</v>
      </c>
      <c r="B2128" s="67" t="str">
        <f>MID(C2128, FIND("Ifc.", C2128) + 4, 4) &amp; "_" &amp; TEXT(COUNTIF($C$2:C2128, C2128),"0000")</f>
        <v>Prop_2127</v>
      </c>
      <c r="C2128" s="24" t="s">
        <v>872</v>
      </c>
      <c r="D2128" s="69" t="s">
        <v>9453</v>
      </c>
      <c r="E2128" s="70" t="s">
        <v>9454</v>
      </c>
      <c r="F2128" s="17" t="s">
        <v>806</v>
      </c>
      <c r="G2128" s="22" t="s">
        <v>1049</v>
      </c>
      <c r="H2128" s="12" t="s">
        <v>9703</v>
      </c>
      <c r="I2128" s="13" t="s">
        <v>6137</v>
      </c>
      <c r="J2128" s="14" t="s">
        <v>798</v>
      </c>
      <c r="K2128" s="15" t="s">
        <v>798</v>
      </c>
      <c r="L2128" s="12" t="s">
        <v>5315</v>
      </c>
      <c r="M2128" s="13" t="s">
        <v>5820</v>
      </c>
      <c r="N2128" s="12" t="s">
        <v>803</v>
      </c>
      <c r="O2128" s="13" t="s">
        <v>4844</v>
      </c>
      <c r="P2128" s="17" t="s">
        <v>802</v>
      </c>
      <c r="Q2128" s="21" t="s">
        <v>7901</v>
      </c>
      <c r="R2128" s="17" t="s">
        <v>801</v>
      </c>
      <c r="S2128" s="18" t="s">
        <v>3636</v>
      </c>
      <c r="T2128" s="17" t="s">
        <v>800</v>
      </c>
      <c r="U2128" s="18" t="s">
        <v>5257</v>
      </c>
      <c r="V2128" s="17" t="s">
        <v>9418</v>
      </c>
      <c r="W2128" s="18" t="s">
        <v>5314</v>
      </c>
      <c r="X2128" s="69" t="s">
        <v>9453</v>
      </c>
      <c r="Y2128" s="70" t="s">
        <v>9464</v>
      </c>
      <c r="Z2128" s="73" t="s">
        <v>9486</v>
      </c>
      <c r="AA2128" s="74" t="s">
        <v>9504</v>
      </c>
      <c r="AB2128" s="73" t="s">
        <v>9486</v>
      </c>
      <c r="AC2128" s="74" t="s">
        <v>9561</v>
      </c>
      <c r="AD2128" s="73" t="s">
        <v>9578</v>
      </c>
      <c r="AE2128" s="74" t="s">
        <v>9579</v>
      </c>
    </row>
    <row r="2129" spans="1:31" ht="8.65" customHeight="1" x14ac:dyDescent="0.2">
      <c r="A2129" s="76">
        <v>2129</v>
      </c>
      <c r="B2129" s="67" t="str">
        <f>MID(C2129, FIND("Ifc.", C2129) + 4, 4) &amp; "_" &amp; TEXT(COUNTIF($C$2:C2129, C2129),"0000")</f>
        <v>Prop_2128</v>
      </c>
      <c r="C2129" s="24" t="s">
        <v>872</v>
      </c>
      <c r="D2129" s="69" t="s">
        <v>9453</v>
      </c>
      <c r="E2129" s="70" t="s">
        <v>9454</v>
      </c>
      <c r="F2129" s="17" t="s">
        <v>806</v>
      </c>
      <c r="G2129" s="22" t="s">
        <v>1049</v>
      </c>
      <c r="H2129" s="12" t="s">
        <v>9703</v>
      </c>
      <c r="I2129" s="13" t="s">
        <v>6137</v>
      </c>
      <c r="J2129" s="14" t="s">
        <v>798</v>
      </c>
      <c r="K2129" s="15" t="s">
        <v>798</v>
      </c>
      <c r="L2129" s="12" t="s">
        <v>5315</v>
      </c>
      <c r="M2129" s="13" t="s">
        <v>5488</v>
      </c>
      <c r="N2129" s="12" t="s">
        <v>803</v>
      </c>
      <c r="O2129" s="13" t="s">
        <v>5096</v>
      </c>
      <c r="P2129" s="17" t="s">
        <v>802</v>
      </c>
      <c r="Q2129" s="21" t="s">
        <v>7886</v>
      </c>
      <c r="R2129" s="17" t="s">
        <v>801</v>
      </c>
      <c r="S2129" s="18" t="s">
        <v>2633</v>
      </c>
      <c r="T2129" s="17" t="s">
        <v>800</v>
      </c>
      <c r="U2129" s="18" t="s">
        <v>5275</v>
      </c>
      <c r="V2129" s="17" t="s">
        <v>9418</v>
      </c>
      <c r="W2129" s="18" t="s">
        <v>5312</v>
      </c>
      <c r="X2129" s="69" t="s">
        <v>9453</v>
      </c>
      <c r="Y2129" s="70" t="s">
        <v>9465</v>
      </c>
      <c r="Z2129" s="73" t="s">
        <v>9486</v>
      </c>
      <c r="AA2129" s="74" t="s">
        <v>9504</v>
      </c>
      <c r="AB2129" s="73" t="s">
        <v>9486</v>
      </c>
      <c r="AC2129" s="74" t="s">
        <v>9566</v>
      </c>
      <c r="AD2129" s="73" t="s">
        <v>9578</v>
      </c>
      <c r="AE2129" s="74" t="s">
        <v>9579</v>
      </c>
    </row>
    <row r="2130" spans="1:31" ht="8.65" customHeight="1" x14ac:dyDescent="0.2">
      <c r="A2130" s="76">
        <v>2130</v>
      </c>
      <c r="B2130" s="67" t="str">
        <f>MID(C2130, FIND("Ifc.", C2130) + 4, 4) &amp; "_" &amp; TEXT(COUNTIF($C$2:C2130, C2130),"0000")</f>
        <v>Prop_2129</v>
      </c>
      <c r="C2130" s="24" t="s">
        <v>872</v>
      </c>
      <c r="D2130" s="69" t="s">
        <v>9453</v>
      </c>
      <c r="E2130" s="70" t="s">
        <v>9454</v>
      </c>
      <c r="F2130" s="17" t="s">
        <v>806</v>
      </c>
      <c r="G2130" s="22" t="s">
        <v>2445</v>
      </c>
      <c r="H2130" s="12" t="s">
        <v>9703</v>
      </c>
      <c r="I2130" s="13" t="s">
        <v>6796</v>
      </c>
      <c r="J2130" s="14" t="s">
        <v>798</v>
      </c>
      <c r="K2130" s="15" t="s">
        <v>798</v>
      </c>
      <c r="L2130" s="12" t="s">
        <v>5315</v>
      </c>
      <c r="M2130" s="13" t="s">
        <v>5570</v>
      </c>
      <c r="N2130" s="12" t="s">
        <v>803</v>
      </c>
      <c r="O2130" s="13" t="s">
        <v>5203</v>
      </c>
      <c r="P2130" s="17" t="s">
        <v>802</v>
      </c>
      <c r="Q2130" s="21" t="s">
        <v>7900</v>
      </c>
      <c r="R2130" s="17" t="s">
        <v>801</v>
      </c>
      <c r="S2130" s="18" t="s">
        <v>2560</v>
      </c>
      <c r="T2130" s="17" t="s">
        <v>800</v>
      </c>
      <c r="U2130" s="18" t="s">
        <v>5236</v>
      </c>
      <c r="V2130" s="17" t="s">
        <v>9418</v>
      </c>
      <c r="W2130" s="18" t="s">
        <v>5309</v>
      </c>
      <c r="X2130" s="69" t="s">
        <v>9453</v>
      </c>
      <c r="Y2130" s="70" t="s">
        <v>9462</v>
      </c>
      <c r="Z2130" s="73" t="s">
        <v>9486</v>
      </c>
      <c r="AA2130" s="74" t="s">
        <v>9504</v>
      </c>
      <c r="AB2130" s="73" t="s">
        <v>9486</v>
      </c>
      <c r="AC2130" s="74" t="s">
        <v>9562</v>
      </c>
      <c r="AD2130" s="73" t="s">
        <v>9578</v>
      </c>
      <c r="AE2130" s="74" t="s">
        <v>9579</v>
      </c>
    </row>
    <row r="2131" spans="1:31" ht="8.65" customHeight="1" x14ac:dyDescent="0.2">
      <c r="A2131" s="76">
        <v>2131</v>
      </c>
      <c r="B2131" s="67" t="str">
        <f>MID(C2131, FIND("Ifc.", C2131) + 4, 4) &amp; "_" &amp; TEXT(COUNTIF($C$2:C2131, C2131),"0000")</f>
        <v>Prop_2130</v>
      </c>
      <c r="C2131" s="24" t="s">
        <v>872</v>
      </c>
      <c r="D2131" s="69" t="s">
        <v>9453</v>
      </c>
      <c r="E2131" s="70" t="s">
        <v>9454</v>
      </c>
      <c r="F2131" s="17" t="s">
        <v>806</v>
      </c>
      <c r="G2131" s="22" t="s">
        <v>2446</v>
      </c>
      <c r="H2131" s="12" t="s">
        <v>9703</v>
      </c>
      <c r="I2131" s="13" t="s">
        <v>6797</v>
      </c>
      <c r="J2131" s="14" t="s">
        <v>798</v>
      </c>
      <c r="K2131" s="15" t="s">
        <v>798</v>
      </c>
      <c r="L2131" s="12" t="s">
        <v>5315</v>
      </c>
      <c r="M2131" s="13" t="s">
        <v>5570</v>
      </c>
      <c r="N2131" s="12" t="s">
        <v>803</v>
      </c>
      <c r="O2131" s="13" t="s">
        <v>5203</v>
      </c>
      <c r="P2131" s="17" t="s">
        <v>802</v>
      </c>
      <c r="Q2131" s="21" t="s">
        <v>7900</v>
      </c>
      <c r="R2131" s="17" t="s">
        <v>801</v>
      </c>
      <c r="S2131" s="18" t="s">
        <v>2560</v>
      </c>
      <c r="T2131" s="17" t="s">
        <v>800</v>
      </c>
      <c r="U2131" s="18" t="s">
        <v>5236</v>
      </c>
      <c r="V2131" s="17" t="s">
        <v>9418</v>
      </c>
      <c r="W2131" s="18" t="s">
        <v>5309</v>
      </c>
      <c r="X2131" s="69" t="s">
        <v>9453</v>
      </c>
      <c r="Y2131" s="70" t="s">
        <v>9462</v>
      </c>
      <c r="Z2131" s="73" t="s">
        <v>9486</v>
      </c>
      <c r="AA2131" s="74" t="s">
        <v>9504</v>
      </c>
      <c r="AB2131" s="73" t="s">
        <v>9486</v>
      </c>
      <c r="AC2131" s="74" t="s">
        <v>9562</v>
      </c>
      <c r="AD2131" s="73" t="s">
        <v>9578</v>
      </c>
      <c r="AE2131" s="74" t="s">
        <v>9579</v>
      </c>
    </row>
    <row r="2132" spans="1:31" ht="8.65" customHeight="1" x14ac:dyDescent="0.2">
      <c r="A2132" s="76">
        <v>2132</v>
      </c>
      <c r="B2132" s="67" t="str">
        <f>MID(C2132, FIND("Ifc.", C2132) + 4, 4) &amp; "_" &amp; TEXT(COUNTIF($C$2:C2132, C2132),"0000")</f>
        <v>Prop_2131</v>
      </c>
      <c r="C2132" s="24" t="s">
        <v>872</v>
      </c>
      <c r="D2132" s="69" t="s">
        <v>9453</v>
      </c>
      <c r="E2132" s="70" t="s">
        <v>9454</v>
      </c>
      <c r="F2132" s="17" t="s">
        <v>806</v>
      </c>
      <c r="G2132" s="22" t="s">
        <v>1301</v>
      </c>
      <c r="H2132" s="12" t="s">
        <v>9703</v>
      </c>
      <c r="I2132" s="13" t="s">
        <v>7444</v>
      </c>
      <c r="J2132" s="14" t="s">
        <v>798</v>
      </c>
      <c r="K2132" s="15" t="s">
        <v>798</v>
      </c>
      <c r="L2132" s="12" t="s">
        <v>5315</v>
      </c>
      <c r="M2132" s="13" t="s">
        <v>6016</v>
      </c>
      <c r="N2132" s="12" t="s">
        <v>803</v>
      </c>
      <c r="O2132" s="13" t="s">
        <v>4904</v>
      </c>
      <c r="P2132" s="17" t="s">
        <v>802</v>
      </c>
      <c r="Q2132" s="21" t="s">
        <v>7928</v>
      </c>
      <c r="R2132" s="17" t="s">
        <v>801</v>
      </c>
      <c r="S2132" s="18" t="s">
        <v>2562</v>
      </c>
      <c r="T2132" s="17" t="s">
        <v>800</v>
      </c>
      <c r="U2132" s="18" t="s">
        <v>5256</v>
      </c>
      <c r="V2132" s="17" t="s">
        <v>9418</v>
      </c>
      <c r="W2132" s="18" t="s">
        <v>5309</v>
      </c>
      <c r="X2132" s="69" t="s">
        <v>9453</v>
      </c>
      <c r="Y2132" s="70" t="s">
        <v>9462</v>
      </c>
      <c r="Z2132" s="73" t="s">
        <v>9486</v>
      </c>
      <c r="AA2132" s="74" t="s">
        <v>9504</v>
      </c>
      <c r="AB2132" s="73" t="s">
        <v>9486</v>
      </c>
      <c r="AC2132" s="74" t="s">
        <v>9562</v>
      </c>
      <c r="AD2132" s="73" t="s">
        <v>9578</v>
      </c>
      <c r="AE2132" s="74" t="s">
        <v>9579</v>
      </c>
    </row>
    <row r="2133" spans="1:31" ht="8.65" customHeight="1" x14ac:dyDescent="0.2">
      <c r="A2133" s="76">
        <v>2133</v>
      </c>
      <c r="B2133" s="67" t="str">
        <f>MID(C2133, FIND("Ifc.", C2133) + 4, 4) &amp; "_" &amp; TEXT(COUNTIF($C$2:C2133, C2133),"0000")</f>
        <v>Prop_2132</v>
      </c>
      <c r="C2133" s="24" t="s">
        <v>872</v>
      </c>
      <c r="D2133" s="69" t="s">
        <v>9453</v>
      </c>
      <c r="E2133" s="70" t="s">
        <v>9454</v>
      </c>
      <c r="F2133" s="17" t="s">
        <v>806</v>
      </c>
      <c r="G2133" s="22" t="s">
        <v>1302</v>
      </c>
      <c r="H2133" s="12" t="s">
        <v>9703</v>
      </c>
      <c r="I2133" s="13" t="s">
        <v>7445</v>
      </c>
      <c r="J2133" s="14" t="s">
        <v>798</v>
      </c>
      <c r="K2133" s="15" t="s">
        <v>798</v>
      </c>
      <c r="L2133" s="12" t="s">
        <v>5315</v>
      </c>
      <c r="M2133" s="13" t="s">
        <v>6016</v>
      </c>
      <c r="N2133" s="12" t="s">
        <v>803</v>
      </c>
      <c r="O2133" s="13" t="s">
        <v>4904</v>
      </c>
      <c r="P2133" s="17" t="s">
        <v>802</v>
      </c>
      <c r="Q2133" s="21" t="s">
        <v>7928</v>
      </c>
      <c r="R2133" s="17" t="s">
        <v>801</v>
      </c>
      <c r="S2133" s="18" t="s">
        <v>2562</v>
      </c>
      <c r="T2133" s="17" t="s">
        <v>800</v>
      </c>
      <c r="U2133" s="18" t="s">
        <v>5256</v>
      </c>
      <c r="V2133" s="17" t="s">
        <v>9418</v>
      </c>
      <c r="W2133" s="18" t="s">
        <v>5309</v>
      </c>
      <c r="X2133" s="69" t="s">
        <v>9453</v>
      </c>
      <c r="Y2133" s="70" t="s">
        <v>9462</v>
      </c>
      <c r="Z2133" s="73" t="s">
        <v>9486</v>
      </c>
      <c r="AA2133" s="74" t="s">
        <v>9504</v>
      </c>
      <c r="AB2133" s="73" t="s">
        <v>9486</v>
      </c>
      <c r="AC2133" s="74" t="s">
        <v>9562</v>
      </c>
      <c r="AD2133" s="73" t="s">
        <v>9578</v>
      </c>
      <c r="AE2133" s="74" t="s">
        <v>9579</v>
      </c>
    </row>
    <row r="2134" spans="1:31" ht="8.65" customHeight="1" x14ac:dyDescent="0.2">
      <c r="A2134" s="76">
        <v>2134</v>
      </c>
      <c r="B2134" s="67" t="str">
        <f>MID(C2134, FIND("Ifc.", C2134) + 4, 4) &amp; "_" &amp; TEXT(COUNTIF($C$2:C2134, C2134),"0000")</f>
        <v>Prop_2133</v>
      </c>
      <c r="C2134" s="24" t="s">
        <v>872</v>
      </c>
      <c r="D2134" s="69" t="s">
        <v>9453</v>
      </c>
      <c r="E2134" s="70" t="s">
        <v>9454</v>
      </c>
      <c r="F2134" s="17" t="s">
        <v>806</v>
      </c>
      <c r="G2134" s="22" t="s">
        <v>1299</v>
      </c>
      <c r="H2134" s="12" t="s">
        <v>9703</v>
      </c>
      <c r="I2134" s="13" t="s">
        <v>7446</v>
      </c>
      <c r="J2134" s="14" t="s">
        <v>798</v>
      </c>
      <c r="K2134" s="15" t="s">
        <v>798</v>
      </c>
      <c r="L2134" s="12" t="s">
        <v>5315</v>
      </c>
      <c r="M2134" s="13" t="s">
        <v>6016</v>
      </c>
      <c r="N2134" s="12" t="s">
        <v>803</v>
      </c>
      <c r="O2134" s="13" t="s">
        <v>4904</v>
      </c>
      <c r="P2134" s="17" t="s">
        <v>802</v>
      </c>
      <c r="Q2134" s="21" t="s">
        <v>7928</v>
      </c>
      <c r="R2134" s="17" t="s">
        <v>801</v>
      </c>
      <c r="S2134" s="18" t="s">
        <v>2562</v>
      </c>
      <c r="T2134" s="17" t="s">
        <v>800</v>
      </c>
      <c r="U2134" s="18" t="s">
        <v>5256</v>
      </c>
      <c r="V2134" s="17" t="s">
        <v>9418</v>
      </c>
      <c r="W2134" s="18" t="s">
        <v>5309</v>
      </c>
      <c r="X2134" s="69" t="s">
        <v>9453</v>
      </c>
      <c r="Y2134" s="70" t="s">
        <v>9462</v>
      </c>
      <c r="Z2134" s="73" t="s">
        <v>9486</v>
      </c>
      <c r="AA2134" s="74" t="s">
        <v>9504</v>
      </c>
      <c r="AB2134" s="73" t="s">
        <v>9486</v>
      </c>
      <c r="AC2134" s="74" t="s">
        <v>9562</v>
      </c>
      <c r="AD2134" s="73" t="s">
        <v>9578</v>
      </c>
      <c r="AE2134" s="74" t="s">
        <v>9579</v>
      </c>
    </row>
    <row r="2135" spans="1:31" ht="8.65" customHeight="1" x14ac:dyDescent="0.2">
      <c r="A2135" s="76">
        <v>2135</v>
      </c>
      <c r="B2135" s="67" t="str">
        <f>MID(C2135, FIND("Ifc.", C2135) + 4, 4) &amp; "_" &amp; TEXT(COUNTIF($C$2:C2135, C2135),"0000")</f>
        <v>Prop_2134</v>
      </c>
      <c r="C2135" s="24" t="s">
        <v>872</v>
      </c>
      <c r="D2135" s="69" t="s">
        <v>9453</v>
      </c>
      <c r="E2135" s="70" t="s">
        <v>9454</v>
      </c>
      <c r="F2135" s="17" t="s">
        <v>806</v>
      </c>
      <c r="G2135" s="22" t="s">
        <v>1299</v>
      </c>
      <c r="H2135" s="12" t="s">
        <v>9703</v>
      </c>
      <c r="I2135" s="13" t="s">
        <v>7446</v>
      </c>
      <c r="J2135" s="14" t="s">
        <v>798</v>
      </c>
      <c r="K2135" s="15" t="s">
        <v>798</v>
      </c>
      <c r="L2135" s="12" t="s">
        <v>5315</v>
      </c>
      <c r="M2135" s="13" t="s">
        <v>6018</v>
      </c>
      <c r="N2135" s="12" t="s">
        <v>803</v>
      </c>
      <c r="O2135" s="13" t="s">
        <v>4906</v>
      </c>
      <c r="P2135" s="17" t="s">
        <v>802</v>
      </c>
      <c r="Q2135" s="21" t="s">
        <v>7929</v>
      </c>
      <c r="R2135" s="17" t="s">
        <v>801</v>
      </c>
      <c r="S2135" s="18" t="s">
        <v>2562</v>
      </c>
      <c r="T2135" s="17" t="s">
        <v>800</v>
      </c>
      <c r="U2135" s="18" t="s">
        <v>5256</v>
      </c>
      <c r="V2135" s="17" t="s">
        <v>9418</v>
      </c>
      <c r="W2135" s="18" t="s">
        <v>5309</v>
      </c>
      <c r="X2135" s="69" t="s">
        <v>9453</v>
      </c>
      <c r="Y2135" s="70" t="s">
        <v>9462</v>
      </c>
      <c r="Z2135" s="73" t="s">
        <v>9486</v>
      </c>
      <c r="AA2135" s="74" t="s">
        <v>9504</v>
      </c>
      <c r="AB2135" s="73" t="s">
        <v>9486</v>
      </c>
      <c r="AC2135" s="74" t="s">
        <v>9562</v>
      </c>
      <c r="AD2135" s="73" t="s">
        <v>9578</v>
      </c>
      <c r="AE2135" s="74" t="s">
        <v>9579</v>
      </c>
    </row>
    <row r="2136" spans="1:31" ht="8.65" customHeight="1" x14ac:dyDescent="0.2">
      <c r="A2136" s="76">
        <v>2136</v>
      </c>
      <c r="B2136" s="67" t="str">
        <f>MID(C2136, FIND("Ifc.", C2136) + 4, 4) &amp; "_" &amp; TEXT(COUNTIF($C$2:C2136, C2136),"0000")</f>
        <v>Prop_2135</v>
      </c>
      <c r="C2136" s="24" t="s">
        <v>872</v>
      </c>
      <c r="D2136" s="69" t="s">
        <v>9453</v>
      </c>
      <c r="E2136" s="70" t="s">
        <v>9454</v>
      </c>
      <c r="F2136" s="17" t="s">
        <v>806</v>
      </c>
      <c r="G2136" s="22" t="s">
        <v>1300</v>
      </c>
      <c r="H2136" s="12" t="s">
        <v>9703</v>
      </c>
      <c r="I2136" s="13" t="s">
        <v>7676</v>
      </c>
      <c r="J2136" s="14" t="s">
        <v>798</v>
      </c>
      <c r="K2136" s="15" t="s">
        <v>798</v>
      </c>
      <c r="L2136" s="12" t="s">
        <v>5315</v>
      </c>
      <c r="M2136" s="13" t="s">
        <v>6016</v>
      </c>
      <c r="N2136" s="12" t="s">
        <v>803</v>
      </c>
      <c r="O2136" s="13" t="s">
        <v>4904</v>
      </c>
      <c r="P2136" s="17" t="s">
        <v>802</v>
      </c>
      <c r="Q2136" s="21" t="s">
        <v>7928</v>
      </c>
      <c r="R2136" s="17" t="s">
        <v>801</v>
      </c>
      <c r="S2136" s="18" t="s">
        <v>2562</v>
      </c>
      <c r="T2136" s="17" t="s">
        <v>800</v>
      </c>
      <c r="U2136" s="18" t="s">
        <v>5256</v>
      </c>
      <c r="V2136" s="17" t="s">
        <v>9418</v>
      </c>
      <c r="W2136" s="18" t="s">
        <v>5309</v>
      </c>
      <c r="X2136" s="69" t="s">
        <v>9453</v>
      </c>
      <c r="Y2136" s="70" t="s">
        <v>9462</v>
      </c>
      <c r="Z2136" s="73" t="s">
        <v>9486</v>
      </c>
      <c r="AA2136" s="74" t="s">
        <v>9504</v>
      </c>
      <c r="AB2136" s="73" t="s">
        <v>9486</v>
      </c>
      <c r="AC2136" s="74" t="s">
        <v>9562</v>
      </c>
      <c r="AD2136" s="73" t="s">
        <v>9578</v>
      </c>
      <c r="AE2136" s="74" t="s">
        <v>9579</v>
      </c>
    </row>
    <row r="2137" spans="1:31" ht="8.65" customHeight="1" x14ac:dyDescent="0.2">
      <c r="A2137" s="76">
        <v>2137</v>
      </c>
      <c r="B2137" s="67" t="str">
        <f>MID(C2137, FIND("Ifc.", C2137) + 4, 4) &amp; "_" &amp; TEXT(COUNTIF($C$2:C2137, C2137),"0000")</f>
        <v>Prop_2136</v>
      </c>
      <c r="C2137" s="24" t="s">
        <v>872</v>
      </c>
      <c r="D2137" s="69" t="s">
        <v>9453</v>
      </c>
      <c r="E2137" s="70" t="s">
        <v>9454</v>
      </c>
      <c r="F2137" s="17" t="s">
        <v>806</v>
      </c>
      <c r="G2137" s="22" t="s">
        <v>1300</v>
      </c>
      <c r="H2137" s="12" t="s">
        <v>9703</v>
      </c>
      <c r="I2137" s="13" t="s">
        <v>7676</v>
      </c>
      <c r="J2137" s="14" t="s">
        <v>798</v>
      </c>
      <c r="K2137" s="15" t="s">
        <v>798</v>
      </c>
      <c r="L2137" s="12" t="s">
        <v>5315</v>
      </c>
      <c r="M2137" s="13" t="s">
        <v>6018</v>
      </c>
      <c r="N2137" s="12" t="s">
        <v>803</v>
      </c>
      <c r="O2137" s="13" t="s">
        <v>4906</v>
      </c>
      <c r="P2137" s="17" t="s">
        <v>802</v>
      </c>
      <c r="Q2137" s="21" t="s">
        <v>7929</v>
      </c>
      <c r="R2137" s="17" t="s">
        <v>801</v>
      </c>
      <c r="S2137" s="18" t="s">
        <v>2562</v>
      </c>
      <c r="T2137" s="17" t="s">
        <v>800</v>
      </c>
      <c r="U2137" s="18" t="s">
        <v>5256</v>
      </c>
      <c r="V2137" s="17" t="s">
        <v>9418</v>
      </c>
      <c r="W2137" s="18" t="s">
        <v>5309</v>
      </c>
      <c r="X2137" s="69" t="s">
        <v>9453</v>
      </c>
      <c r="Y2137" s="70" t="s">
        <v>9462</v>
      </c>
      <c r="Z2137" s="73" t="s">
        <v>9486</v>
      </c>
      <c r="AA2137" s="74" t="s">
        <v>9504</v>
      </c>
      <c r="AB2137" s="73" t="s">
        <v>9486</v>
      </c>
      <c r="AC2137" s="74" t="s">
        <v>9562</v>
      </c>
      <c r="AD2137" s="73" t="s">
        <v>9578</v>
      </c>
      <c r="AE2137" s="74" t="s">
        <v>9579</v>
      </c>
    </row>
    <row r="2138" spans="1:31" ht="8.65" customHeight="1" x14ac:dyDescent="0.2">
      <c r="A2138" s="76">
        <v>2138</v>
      </c>
      <c r="B2138" s="67" t="str">
        <f>MID(C2138, FIND("Ifc.", C2138) + 4, 4) &amp; "_" &amp; TEXT(COUNTIF($C$2:C2138, C2138),"0000")</f>
        <v>Prop_2137</v>
      </c>
      <c r="C2138" s="24" t="s">
        <v>872</v>
      </c>
      <c r="D2138" s="69" t="s">
        <v>9453</v>
      </c>
      <c r="E2138" s="70" t="s">
        <v>9454</v>
      </c>
      <c r="F2138" s="17" t="s">
        <v>806</v>
      </c>
      <c r="G2138" s="22" t="s">
        <v>1511</v>
      </c>
      <c r="H2138" s="12" t="s">
        <v>9703</v>
      </c>
      <c r="I2138" s="13" t="s">
        <v>6347</v>
      </c>
      <c r="J2138" s="14" t="s">
        <v>798</v>
      </c>
      <c r="K2138" s="15" t="s">
        <v>798</v>
      </c>
      <c r="L2138" s="12" t="s">
        <v>5315</v>
      </c>
      <c r="M2138" s="13" t="s">
        <v>5829</v>
      </c>
      <c r="N2138" s="12" t="s">
        <v>803</v>
      </c>
      <c r="O2138" s="13" t="s">
        <v>4950</v>
      </c>
      <c r="P2138" s="17" t="s">
        <v>802</v>
      </c>
      <c r="Q2138" s="21" t="s">
        <v>7814</v>
      </c>
      <c r="R2138" s="17" t="s">
        <v>801</v>
      </c>
      <c r="S2138" s="18" t="s">
        <v>2669</v>
      </c>
      <c r="T2138" s="17" t="s">
        <v>800</v>
      </c>
      <c r="U2138" s="18" t="s">
        <v>5237</v>
      </c>
      <c r="V2138" s="17" t="s">
        <v>9418</v>
      </c>
      <c r="W2138" s="18" t="s">
        <v>5309</v>
      </c>
      <c r="X2138" s="69" t="s">
        <v>9453</v>
      </c>
      <c r="Y2138" s="70" t="s">
        <v>9462</v>
      </c>
      <c r="Z2138" s="73" t="s">
        <v>9486</v>
      </c>
      <c r="AA2138" s="74" t="s">
        <v>9504</v>
      </c>
      <c r="AB2138" s="73" t="s">
        <v>9486</v>
      </c>
      <c r="AC2138" s="74" t="s">
        <v>9562</v>
      </c>
      <c r="AD2138" s="73" t="s">
        <v>9578</v>
      </c>
      <c r="AE2138" s="74" t="s">
        <v>9579</v>
      </c>
    </row>
    <row r="2139" spans="1:31" ht="8.65" customHeight="1" x14ac:dyDescent="0.2">
      <c r="A2139" s="76">
        <v>2139</v>
      </c>
      <c r="B2139" s="67" t="str">
        <f>MID(C2139, FIND("Ifc.", C2139) + 4, 4) &amp; "_" &amp; TEXT(COUNTIF($C$2:C2139, C2139),"0000")</f>
        <v>Prop_2138</v>
      </c>
      <c r="C2139" s="24" t="s">
        <v>872</v>
      </c>
      <c r="D2139" s="69" t="s">
        <v>9453</v>
      </c>
      <c r="E2139" s="70" t="s">
        <v>9454</v>
      </c>
      <c r="F2139" s="17" t="s">
        <v>806</v>
      </c>
      <c r="G2139" s="22" t="s">
        <v>1511</v>
      </c>
      <c r="H2139" s="12" t="s">
        <v>9703</v>
      </c>
      <c r="I2139" s="13" t="s">
        <v>6347</v>
      </c>
      <c r="J2139" s="14" t="s">
        <v>798</v>
      </c>
      <c r="K2139" s="15" t="s">
        <v>798</v>
      </c>
      <c r="L2139" s="12" t="s">
        <v>5315</v>
      </c>
      <c r="M2139" s="13" t="s">
        <v>5828</v>
      </c>
      <c r="N2139" s="12" t="s">
        <v>803</v>
      </c>
      <c r="O2139" s="13" t="s">
        <v>4949</v>
      </c>
      <c r="P2139" s="17" t="s">
        <v>802</v>
      </c>
      <c r="Q2139" s="21" t="s">
        <v>7815</v>
      </c>
      <c r="R2139" s="17" t="s">
        <v>801</v>
      </c>
      <c r="S2139" s="18" t="s">
        <v>2669</v>
      </c>
      <c r="T2139" s="17" t="s">
        <v>800</v>
      </c>
      <c r="U2139" s="18" t="s">
        <v>5237</v>
      </c>
      <c r="V2139" s="17" t="s">
        <v>9418</v>
      </c>
      <c r="W2139" s="18" t="s">
        <v>5309</v>
      </c>
      <c r="X2139" s="69" t="s">
        <v>9453</v>
      </c>
      <c r="Y2139" s="70" t="s">
        <v>9462</v>
      </c>
      <c r="Z2139" s="73" t="s">
        <v>9486</v>
      </c>
      <c r="AA2139" s="74" t="s">
        <v>9504</v>
      </c>
      <c r="AB2139" s="73" t="s">
        <v>9486</v>
      </c>
      <c r="AC2139" s="74" t="s">
        <v>9562</v>
      </c>
      <c r="AD2139" s="73" t="s">
        <v>9578</v>
      </c>
      <c r="AE2139" s="74" t="s">
        <v>9579</v>
      </c>
    </row>
    <row r="2140" spans="1:31" ht="8.65" customHeight="1" x14ac:dyDescent="0.2">
      <c r="A2140" s="76">
        <v>2140</v>
      </c>
      <c r="B2140" s="67" t="str">
        <f>MID(C2140, FIND("Ifc.", C2140) + 4, 4) &amp; "_" &amp; TEXT(COUNTIF($C$2:C2140, C2140),"0000")</f>
        <v>Prop_2139</v>
      </c>
      <c r="C2140" s="24" t="s">
        <v>872</v>
      </c>
      <c r="D2140" s="69" t="s">
        <v>9453</v>
      </c>
      <c r="E2140" s="70" t="s">
        <v>9454</v>
      </c>
      <c r="F2140" s="17" t="s">
        <v>806</v>
      </c>
      <c r="G2140" s="22" t="s">
        <v>2394</v>
      </c>
      <c r="H2140" s="12" t="s">
        <v>9703</v>
      </c>
      <c r="I2140" s="13" t="s">
        <v>6771</v>
      </c>
      <c r="J2140" s="14" t="s">
        <v>798</v>
      </c>
      <c r="K2140" s="15" t="s">
        <v>798</v>
      </c>
      <c r="L2140" s="12" t="s">
        <v>5315</v>
      </c>
      <c r="M2140" s="13" t="s">
        <v>5788</v>
      </c>
      <c r="N2140" s="12" t="s">
        <v>803</v>
      </c>
      <c r="O2140" s="13" t="s">
        <v>5186</v>
      </c>
      <c r="P2140" s="17" t="s">
        <v>802</v>
      </c>
      <c r="Q2140" s="21" t="s">
        <v>8071</v>
      </c>
      <c r="R2140" s="17" t="s">
        <v>801</v>
      </c>
      <c r="S2140" s="18" t="s">
        <v>2554</v>
      </c>
      <c r="T2140" s="17" t="s">
        <v>800</v>
      </c>
      <c r="U2140" s="18" t="s">
        <v>5233</v>
      </c>
      <c r="V2140" s="17" t="s">
        <v>9418</v>
      </c>
      <c r="W2140" s="18" t="s">
        <v>5310</v>
      </c>
      <c r="X2140" s="69" t="s">
        <v>9453</v>
      </c>
      <c r="Y2140" s="70" t="s">
        <v>9463</v>
      </c>
      <c r="Z2140" s="73" t="s">
        <v>9486</v>
      </c>
      <c r="AA2140" s="74" t="s">
        <v>9504</v>
      </c>
      <c r="AB2140" s="73" t="s">
        <v>9486</v>
      </c>
      <c r="AC2140" s="74" t="s">
        <v>9562</v>
      </c>
      <c r="AD2140" s="73" t="s">
        <v>9578</v>
      </c>
      <c r="AE2140" s="74" t="s">
        <v>9579</v>
      </c>
    </row>
    <row r="2141" spans="1:31" ht="8.65" customHeight="1" x14ac:dyDescent="0.2">
      <c r="A2141" s="76">
        <v>2141</v>
      </c>
      <c r="B2141" s="67" t="str">
        <f>MID(C2141, FIND("Ifc.", C2141) + 4, 4) &amp; "_" &amp; TEXT(COUNTIF($C$2:C2141, C2141),"0000")</f>
        <v>Prop_2140</v>
      </c>
      <c r="C2141" s="24" t="s">
        <v>872</v>
      </c>
      <c r="D2141" s="69" t="s">
        <v>9453</v>
      </c>
      <c r="E2141" s="70" t="s">
        <v>9454</v>
      </c>
      <c r="F2141" s="17" t="s">
        <v>806</v>
      </c>
      <c r="G2141" s="22" t="s">
        <v>2296</v>
      </c>
      <c r="H2141" s="12" t="s">
        <v>9703</v>
      </c>
      <c r="I2141" s="13" t="s">
        <v>6710</v>
      </c>
      <c r="J2141" s="14" t="s">
        <v>798</v>
      </c>
      <c r="K2141" s="15" t="s">
        <v>798</v>
      </c>
      <c r="L2141" s="12" t="s">
        <v>5315</v>
      </c>
      <c r="M2141" s="13" t="s">
        <v>5858</v>
      </c>
      <c r="N2141" s="12" t="s">
        <v>803</v>
      </c>
      <c r="O2141" s="13" t="s">
        <v>5163</v>
      </c>
      <c r="P2141" s="17" t="s">
        <v>802</v>
      </c>
      <c r="Q2141" s="21" t="s">
        <v>7858</v>
      </c>
      <c r="R2141" s="17" t="s">
        <v>801</v>
      </c>
      <c r="S2141" s="18" t="s">
        <v>2554</v>
      </c>
      <c r="T2141" s="17" t="s">
        <v>800</v>
      </c>
      <c r="U2141" s="18" t="s">
        <v>5233</v>
      </c>
      <c r="V2141" s="17" t="s">
        <v>9418</v>
      </c>
      <c r="W2141" s="18" t="s">
        <v>5310</v>
      </c>
      <c r="X2141" s="69" t="s">
        <v>9453</v>
      </c>
      <c r="Y2141" s="70" t="s">
        <v>9463</v>
      </c>
      <c r="Z2141" s="73" t="s">
        <v>9486</v>
      </c>
      <c r="AA2141" s="74" t="s">
        <v>9504</v>
      </c>
      <c r="AB2141" s="73" t="s">
        <v>9486</v>
      </c>
      <c r="AC2141" s="74" t="s">
        <v>9562</v>
      </c>
      <c r="AD2141" s="73" t="s">
        <v>9578</v>
      </c>
      <c r="AE2141" s="74" t="s">
        <v>9579</v>
      </c>
    </row>
    <row r="2142" spans="1:31" ht="8.65" customHeight="1" x14ac:dyDescent="0.2">
      <c r="A2142" s="76">
        <v>2142</v>
      </c>
      <c r="B2142" s="67" t="str">
        <f>MID(C2142, FIND("Ifc.", C2142) + 4, 4) &amp; "_" &amp; TEXT(COUNTIF($C$2:C2142, C2142),"0000")</f>
        <v>Prop_2141</v>
      </c>
      <c r="C2142" s="24" t="s">
        <v>872</v>
      </c>
      <c r="D2142" s="69" t="s">
        <v>9453</v>
      </c>
      <c r="E2142" s="70" t="s">
        <v>9454</v>
      </c>
      <c r="F2142" s="17" t="s">
        <v>806</v>
      </c>
      <c r="G2142" s="22" t="s">
        <v>2296</v>
      </c>
      <c r="H2142" s="12" t="s">
        <v>9703</v>
      </c>
      <c r="I2142" s="13" t="s">
        <v>6710</v>
      </c>
      <c r="J2142" s="14" t="s">
        <v>798</v>
      </c>
      <c r="K2142" s="15" t="s">
        <v>798</v>
      </c>
      <c r="L2142" s="12" t="s">
        <v>5315</v>
      </c>
      <c r="M2142" s="13" t="s">
        <v>5785</v>
      </c>
      <c r="N2142" s="12" t="s">
        <v>803</v>
      </c>
      <c r="O2142" s="13" t="s">
        <v>5183</v>
      </c>
      <c r="P2142" s="17" t="s">
        <v>802</v>
      </c>
      <c r="Q2142" s="21" t="s">
        <v>7859</v>
      </c>
      <c r="R2142" s="17" t="s">
        <v>801</v>
      </c>
      <c r="S2142" s="18" t="s">
        <v>2554</v>
      </c>
      <c r="T2142" s="17" t="s">
        <v>800</v>
      </c>
      <c r="U2142" s="18" t="s">
        <v>5233</v>
      </c>
      <c r="V2142" s="17" t="s">
        <v>9418</v>
      </c>
      <c r="W2142" s="18" t="s">
        <v>5310</v>
      </c>
      <c r="X2142" s="69" t="s">
        <v>9453</v>
      </c>
      <c r="Y2142" s="70" t="s">
        <v>9463</v>
      </c>
      <c r="Z2142" s="73" t="s">
        <v>9486</v>
      </c>
      <c r="AA2142" s="74" t="s">
        <v>9504</v>
      </c>
      <c r="AB2142" s="73" t="s">
        <v>9486</v>
      </c>
      <c r="AC2142" s="74" t="s">
        <v>9562</v>
      </c>
      <c r="AD2142" s="73" t="s">
        <v>9578</v>
      </c>
      <c r="AE2142" s="74" t="s">
        <v>9579</v>
      </c>
    </row>
    <row r="2143" spans="1:31" ht="8.65" customHeight="1" x14ac:dyDescent="0.2">
      <c r="A2143" s="76">
        <v>2143</v>
      </c>
      <c r="B2143" s="67" t="str">
        <f>MID(C2143, FIND("Ifc.", C2143) + 4, 4) &amp; "_" &amp; TEXT(COUNTIF($C$2:C2143, C2143),"0000")</f>
        <v>Prop_2142</v>
      </c>
      <c r="C2143" s="24" t="s">
        <v>872</v>
      </c>
      <c r="D2143" s="69" t="s">
        <v>9453</v>
      </c>
      <c r="E2143" s="70" t="s">
        <v>9454</v>
      </c>
      <c r="F2143" s="17" t="s">
        <v>806</v>
      </c>
      <c r="G2143" s="22" t="s">
        <v>2296</v>
      </c>
      <c r="H2143" s="12" t="s">
        <v>9703</v>
      </c>
      <c r="I2143" s="13" t="s">
        <v>6710</v>
      </c>
      <c r="J2143" s="14" t="s">
        <v>798</v>
      </c>
      <c r="K2143" s="15" t="s">
        <v>798</v>
      </c>
      <c r="L2143" s="12" t="s">
        <v>5315</v>
      </c>
      <c r="M2143" s="13" t="s">
        <v>5789</v>
      </c>
      <c r="N2143" s="12" t="s">
        <v>803</v>
      </c>
      <c r="O2143" s="13" t="s">
        <v>5187</v>
      </c>
      <c r="P2143" s="17" t="s">
        <v>802</v>
      </c>
      <c r="Q2143" s="21" t="s">
        <v>7861</v>
      </c>
      <c r="R2143" s="17" t="s">
        <v>801</v>
      </c>
      <c r="S2143" s="18" t="s">
        <v>2554</v>
      </c>
      <c r="T2143" s="17" t="s">
        <v>800</v>
      </c>
      <c r="U2143" s="18" t="s">
        <v>5233</v>
      </c>
      <c r="V2143" s="17" t="s">
        <v>9418</v>
      </c>
      <c r="W2143" s="18" t="s">
        <v>5310</v>
      </c>
      <c r="X2143" s="69" t="s">
        <v>9453</v>
      </c>
      <c r="Y2143" s="70" t="s">
        <v>9463</v>
      </c>
      <c r="Z2143" s="73" t="s">
        <v>9486</v>
      </c>
      <c r="AA2143" s="74" t="s">
        <v>9504</v>
      </c>
      <c r="AB2143" s="73" t="s">
        <v>9486</v>
      </c>
      <c r="AC2143" s="74" t="s">
        <v>9562</v>
      </c>
      <c r="AD2143" s="73" t="s">
        <v>9578</v>
      </c>
      <c r="AE2143" s="74" t="s">
        <v>9579</v>
      </c>
    </row>
    <row r="2144" spans="1:31" ht="8.65" customHeight="1" x14ac:dyDescent="0.2">
      <c r="A2144" s="76">
        <v>2144</v>
      </c>
      <c r="B2144" s="67" t="str">
        <f>MID(C2144, FIND("Ifc.", C2144) + 4, 4) &amp; "_" &amp; TEXT(COUNTIF($C$2:C2144, C2144),"0000")</f>
        <v>Prop_2143</v>
      </c>
      <c r="C2144" s="24" t="s">
        <v>872</v>
      </c>
      <c r="D2144" s="69" t="s">
        <v>9453</v>
      </c>
      <c r="E2144" s="70" t="s">
        <v>9454</v>
      </c>
      <c r="F2144" s="17" t="s">
        <v>806</v>
      </c>
      <c r="G2144" s="22" t="s">
        <v>2380</v>
      </c>
      <c r="H2144" s="12" t="s">
        <v>9703</v>
      </c>
      <c r="I2144" s="13" t="s">
        <v>6761</v>
      </c>
      <c r="J2144" s="14" t="s">
        <v>798</v>
      </c>
      <c r="K2144" s="15" t="s">
        <v>798</v>
      </c>
      <c r="L2144" s="12" t="s">
        <v>5315</v>
      </c>
      <c r="M2144" s="13" t="s">
        <v>5783</v>
      </c>
      <c r="N2144" s="12" t="s">
        <v>803</v>
      </c>
      <c r="O2144" s="13" t="s">
        <v>5181</v>
      </c>
      <c r="P2144" s="17" t="s">
        <v>802</v>
      </c>
      <c r="Q2144" s="21" t="s">
        <v>7751</v>
      </c>
      <c r="R2144" s="17" t="s">
        <v>801</v>
      </c>
      <c r="S2144" s="18" t="s">
        <v>2554</v>
      </c>
      <c r="T2144" s="17" t="s">
        <v>800</v>
      </c>
      <c r="U2144" s="18" t="s">
        <v>5233</v>
      </c>
      <c r="V2144" s="17" t="s">
        <v>9418</v>
      </c>
      <c r="W2144" s="18" t="s">
        <v>5310</v>
      </c>
      <c r="X2144" s="69" t="s">
        <v>9453</v>
      </c>
      <c r="Y2144" s="70" t="s">
        <v>9463</v>
      </c>
      <c r="Z2144" s="73" t="s">
        <v>9486</v>
      </c>
      <c r="AA2144" s="74" t="s">
        <v>9504</v>
      </c>
      <c r="AB2144" s="73" t="s">
        <v>9486</v>
      </c>
      <c r="AC2144" s="74" t="s">
        <v>9562</v>
      </c>
      <c r="AD2144" s="73" t="s">
        <v>9578</v>
      </c>
      <c r="AE2144" s="74" t="s">
        <v>9579</v>
      </c>
    </row>
    <row r="2145" spans="1:31" ht="8.65" customHeight="1" x14ac:dyDescent="0.2">
      <c r="A2145" s="76">
        <v>2145</v>
      </c>
      <c r="B2145" s="67" t="str">
        <f>MID(C2145, FIND("Ifc.", C2145) + 4, 4) &amp; "_" &amp; TEXT(COUNTIF($C$2:C2145, C2145),"0000")</f>
        <v>Prop_2144</v>
      </c>
      <c r="C2145" s="24" t="s">
        <v>872</v>
      </c>
      <c r="D2145" s="69" t="s">
        <v>9453</v>
      </c>
      <c r="E2145" s="70" t="s">
        <v>9454</v>
      </c>
      <c r="F2145" s="17" t="s">
        <v>806</v>
      </c>
      <c r="G2145" s="22" t="s">
        <v>2398</v>
      </c>
      <c r="H2145" s="12" t="s">
        <v>9703</v>
      </c>
      <c r="I2145" s="13" t="s">
        <v>7262</v>
      </c>
      <c r="J2145" s="14" t="s">
        <v>798</v>
      </c>
      <c r="K2145" s="15" t="s">
        <v>798</v>
      </c>
      <c r="L2145" s="12" t="s">
        <v>5315</v>
      </c>
      <c r="M2145" s="13" t="s">
        <v>5799</v>
      </c>
      <c r="N2145" s="12" t="s">
        <v>803</v>
      </c>
      <c r="O2145" s="13" t="s">
        <v>5192</v>
      </c>
      <c r="P2145" s="17" t="s">
        <v>802</v>
      </c>
      <c r="Q2145" s="21" t="s">
        <v>8073</v>
      </c>
      <c r="R2145" s="17" t="s">
        <v>801</v>
      </c>
      <c r="S2145" s="18" t="s">
        <v>2554</v>
      </c>
      <c r="T2145" s="17" t="s">
        <v>800</v>
      </c>
      <c r="U2145" s="18" t="s">
        <v>5233</v>
      </c>
      <c r="V2145" s="17" t="s">
        <v>9418</v>
      </c>
      <c r="W2145" s="18" t="s">
        <v>5310</v>
      </c>
      <c r="X2145" s="69" t="s">
        <v>9453</v>
      </c>
      <c r="Y2145" s="70" t="s">
        <v>9463</v>
      </c>
      <c r="Z2145" s="73" t="s">
        <v>9486</v>
      </c>
      <c r="AA2145" s="74" t="s">
        <v>9504</v>
      </c>
      <c r="AB2145" s="73" t="s">
        <v>9486</v>
      </c>
      <c r="AC2145" s="74" t="s">
        <v>9562</v>
      </c>
      <c r="AD2145" s="73" t="s">
        <v>9578</v>
      </c>
      <c r="AE2145" s="74" t="s">
        <v>9579</v>
      </c>
    </row>
    <row r="2146" spans="1:31" ht="8.65" customHeight="1" x14ac:dyDescent="0.2">
      <c r="A2146" s="76">
        <v>2146</v>
      </c>
      <c r="B2146" s="67" t="str">
        <f>MID(C2146, FIND("Ifc.", C2146) + 4, 4) &amp; "_" &amp; TEXT(COUNTIF($C$2:C2146, C2146),"0000")</f>
        <v>Prop_2145</v>
      </c>
      <c r="C2146" s="24" t="s">
        <v>872</v>
      </c>
      <c r="D2146" s="69" t="s">
        <v>9453</v>
      </c>
      <c r="E2146" s="70" t="s">
        <v>9454</v>
      </c>
      <c r="F2146" s="17" t="s">
        <v>806</v>
      </c>
      <c r="G2146" s="22" t="s">
        <v>1920</v>
      </c>
      <c r="H2146" s="12" t="s">
        <v>9703</v>
      </c>
      <c r="I2146" s="13" t="s">
        <v>6576</v>
      </c>
      <c r="J2146" s="14" t="s">
        <v>798</v>
      </c>
      <c r="K2146" s="15" t="s">
        <v>798</v>
      </c>
      <c r="L2146" s="12" t="s">
        <v>5315</v>
      </c>
      <c r="M2146" s="13" t="s">
        <v>5962</v>
      </c>
      <c r="N2146" s="12" t="s">
        <v>803</v>
      </c>
      <c r="O2146" s="13" t="s">
        <v>5059</v>
      </c>
      <c r="P2146" s="17" t="s">
        <v>802</v>
      </c>
      <c r="Q2146" s="21" t="s">
        <v>7934</v>
      </c>
      <c r="R2146" s="17" t="s">
        <v>801</v>
      </c>
      <c r="S2146" s="18" t="s">
        <v>2554</v>
      </c>
      <c r="T2146" s="17" t="s">
        <v>800</v>
      </c>
      <c r="U2146" s="18" t="s">
        <v>5233</v>
      </c>
      <c r="V2146" s="17" t="s">
        <v>9418</v>
      </c>
      <c r="W2146" s="18" t="s">
        <v>5310</v>
      </c>
      <c r="X2146" s="69" t="s">
        <v>9453</v>
      </c>
      <c r="Y2146" s="70" t="s">
        <v>9463</v>
      </c>
      <c r="Z2146" s="73" t="s">
        <v>9486</v>
      </c>
      <c r="AA2146" s="74" t="s">
        <v>9504</v>
      </c>
      <c r="AB2146" s="73" t="s">
        <v>9486</v>
      </c>
      <c r="AC2146" s="74" t="s">
        <v>9562</v>
      </c>
      <c r="AD2146" s="73" t="s">
        <v>9578</v>
      </c>
      <c r="AE2146" s="74" t="s">
        <v>9579</v>
      </c>
    </row>
    <row r="2147" spans="1:31" ht="8.65" customHeight="1" x14ac:dyDescent="0.2">
      <c r="A2147" s="76">
        <v>2147</v>
      </c>
      <c r="B2147" s="67" t="str">
        <f>MID(C2147, FIND("Ifc.", C2147) + 4, 4) &amp; "_" &amp; TEXT(COUNTIF($C$2:C2147, C2147),"0000")</f>
        <v>Prop_2146</v>
      </c>
      <c r="C2147" s="24" t="s">
        <v>872</v>
      </c>
      <c r="D2147" s="69" t="s">
        <v>9453</v>
      </c>
      <c r="E2147" s="70" t="s">
        <v>9454</v>
      </c>
      <c r="F2147" s="17" t="s">
        <v>806</v>
      </c>
      <c r="G2147" s="22" t="s">
        <v>2393</v>
      </c>
      <c r="H2147" s="12" t="s">
        <v>9703</v>
      </c>
      <c r="I2147" s="13" t="s">
        <v>7244</v>
      </c>
      <c r="J2147" s="14" t="s">
        <v>798</v>
      </c>
      <c r="K2147" s="15" t="s">
        <v>798</v>
      </c>
      <c r="L2147" s="12" t="s">
        <v>5315</v>
      </c>
      <c r="M2147" s="13" t="s">
        <v>5785</v>
      </c>
      <c r="N2147" s="12" t="s">
        <v>803</v>
      </c>
      <c r="O2147" s="13" t="s">
        <v>5183</v>
      </c>
      <c r="P2147" s="17" t="s">
        <v>802</v>
      </c>
      <c r="Q2147" s="21" t="s">
        <v>7859</v>
      </c>
      <c r="R2147" s="17" t="s">
        <v>801</v>
      </c>
      <c r="S2147" s="18" t="s">
        <v>2554</v>
      </c>
      <c r="T2147" s="17" t="s">
        <v>800</v>
      </c>
      <c r="U2147" s="18" t="s">
        <v>5233</v>
      </c>
      <c r="V2147" s="17" t="s">
        <v>9418</v>
      </c>
      <c r="W2147" s="18" t="s">
        <v>5310</v>
      </c>
      <c r="X2147" s="69" t="s">
        <v>9453</v>
      </c>
      <c r="Y2147" s="70" t="s">
        <v>9463</v>
      </c>
      <c r="Z2147" s="73" t="s">
        <v>9486</v>
      </c>
      <c r="AA2147" s="74" t="s">
        <v>9504</v>
      </c>
      <c r="AB2147" s="73" t="s">
        <v>9486</v>
      </c>
      <c r="AC2147" s="74" t="s">
        <v>9562</v>
      </c>
      <c r="AD2147" s="73" t="s">
        <v>9578</v>
      </c>
      <c r="AE2147" s="74" t="s">
        <v>9579</v>
      </c>
    </row>
    <row r="2148" spans="1:31" ht="8.65" customHeight="1" x14ac:dyDescent="0.2">
      <c r="A2148" s="76">
        <v>2148</v>
      </c>
      <c r="B2148" s="67" t="str">
        <f>MID(C2148, FIND("Ifc.", C2148) + 4, 4) &amp; "_" &amp; TEXT(COUNTIF($C$2:C2148, C2148),"0000")</f>
        <v>Prop_2147</v>
      </c>
      <c r="C2148" s="24" t="s">
        <v>872</v>
      </c>
      <c r="D2148" s="69" t="s">
        <v>9453</v>
      </c>
      <c r="E2148" s="70" t="s">
        <v>9454</v>
      </c>
      <c r="F2148" s="17" t="s">
        <v>806</v>
      </c>
      <c r="G2148" s="22" t="s">
        <v>2393</v>
      </c>
      <c r="H2148" s="12" t="s">
        <v>9703</v>
      </c>
      <c r="I2148" s="13" t="s">
        <v>7244</v>
      </c>
      <c r="J2148" s="14" t="s">
        <v>798</v>
      </c>
      <c r="K2148" s="15" t="s">
        <v>798</v>
      </c>
      <c r="L2148" s="12" t="s">
        <v>5315</v>
      </c>
      <c r="M2148" s="13" t="s">
        <v>5789</v>
      </c>
      <c r="N2148" s="12" t="s">
        <v>803</v>
      </c>
      <c r="O2148" s="13" t="s">
        <v>5187</v>
      </c>
      <c r="P2148" s="17" t="s">
        <v>802</v>
      </c>
      <c r="Q2148" s="21" t="s">
        <v>7861</v>
      </c>
      <c r="R2148" s="17" t="s">
        <v>801</v>
      </c>
      <c r="S2148" s="18" t="s">
        <v>2554</v>
      </c>
      <c r="T2148" s="17" t="s">
        <v>800</v>
      </c>
      <c r="U2148" s="18" t="s">
        <v>5233</v>
      </c>
      <c r="V2148" s="17" t="s">
        <v>9418</v>
      </c>
      <c r="W2148" s="18" t="s">
        <v>5310</v>
      </c>
      <c r="X2148" s="69" t="s">
        <v>9453</v>
      </c>
      <c r="Y2148" s="70" t="s">
        <v>9463</v>
      </c>
      <c r="Z2148" s="73" t="s">
        <v>9486</v>
      </c>
      <c r="AA2148" s="74" t="s">
        <v>9504</v>
      </c>
      <c r="AB2148" s="73" t="s">
        <v>9486</v>
      </c>
      <c r="AC2148" s="74" t="s">
        <v>9562</v>
      </c>
      <c r="AD2148" s="73" t="s">
        <v>9578</v>
      </c>
      <c r="AE2148" s="74" t="s">
        <v>9579</v>
      </c>
    </row>
    <row r="2149" spans="1:31" ht="8.65" customHeight="1" x14ac:dyDescent="0.2">
      <c r="A2149" s="76">
        <v>2149</v>
      </c>
      <c r="B2149" s="67" t="str">
        <f>MID(C2149, FIND("Ifc.", C2149) + 4, 4) &amp; "_" &amp; TEXT(COUNTIF($C$2:C2149, C2149),"0000")</f>
        <v>Prop_2148</v>
      </c>
      <c r="C2149" s="24" t="s">
        <v>872</v>
      </c>
      <c r="D2149" s="69" t="s">
        <v>9453</v>
      </c>
      <c r="E2149" s="70" t="s">
        <v>9454</v>
      </c>
      <c r="F2149" s="17" t="s">
        <v>806</v>
      </c>
      <c r="G2149" s="22" t="s">
        <v>2400</v>
      </c>
      <c r="H2149" s="12" t="s">
        <v>9703</v>
      </c>
      <c r="I2149" s="13" t="s">
        <v>6772</v>
      </c>
      <c r="J2149" s="14" t="s">
        <v>798</v>
      </c>
      <c r="K2149" s="15" t="s">
        <v>798</v>
      </c>
      <c r="L2149" s="12" t="s">
        <v>5315</v>
      </c>
      <c r="M2149" s="13" t="s">
        <v>5801</v>
      </c>
      <c r="N2149" s="12" t="s">
        <v>803</v>
      </c>
      <c r="O2149" s="13" t="s">
        <v>5194</v>
      </c>
      <c r="P2149" s="17" t="s">
        <v>802</v>
      </c>
      <c r="Q2149" s="21" t="s">
        <v>7923</v>
      </c>
      <c r="R2149" s="17" t="s">
        <v>801</v>
      </c>
      <c r="S2149" s="18" t="s">
        <v>2554</v>
      </c>
      <c r="T2149" s="17" t="s">
        <v>800</v>
      </c>
      <c r="U2149" s="18" t="s">
        <v>5233</v>
      </c>
      <c r="V2149" s="17" t="s">
        <v>9418</v>
      </c>
      <c r="W2149" s="18" t="s">
        <v>5310</v>
      </c>
      <c r="X2149" s="69" t="s">
        <v>9453</v>
      </c>
      <c r="Y2149" s="70" t="s">
        <v>9463</v>
      </c>
      <c r="Z2149" s="73" t="s">
        <v>9486</v>
      </c>
      <c r="AA2149" s="74" t="s">
        <v>9504</v>
      </c>
      <c r="AB2149" s="73" t="s">
        <v>9486</v>
      </c>
      <c r="AC2149" s="74" t="s">
        <v>9562</v>
      </c>
      <c r="AD2149" s="73" t="s">
        <v>9578</v>
      </c>
      <c r="AE2149" s="74" t="s">
        <v>9579</v>
      </c>
    </row>
    <row r="2150" spans="1:31" ht="8.65" customHeight="1" x14ac:dyDescent="0.2">
      <c r="A2150" s="76">
        <v>2150</v>
      </c>
      <c r="B2150" s="67" t="str">
        <f>MID(C2150, FIND("Ifc.", C2150) + 4, 4) &amp; "_" &amp; TEXT(COUNTIF($C$2:C2150, C2150),"0000")</f>
        <v>Prop_2149</v>
      </c>
      <c r="C2150" s="24" t="s">
        <v>872</v>
      </c>
      <c r="D2150" s="69" t="s">
        <v>9453</v>
      </c>
      <c r="E2150" s="70" t="s">
        <v>9454</v>
      </c>
      <c r="F2150" s="17" t="s">
        <v>806</v>
      </c>
      <c r="G2150" s="22" t="s">
        <v>1272</v>
      </c>
      <c r="H2150" s="12" t="s">
        <v>9703</v>
      </c>
      <c r="I2150" s="13" t="s">
        <v>6235</v>
      </c>
      <c r="J2150" s="14" t="s">
        <v>798</v>
      </c>
      <c r="K2150" s="15" t="s">
        <v>798</v>
      </c>
      <c r="L2150" s="12" t="s">
        <v>5315</v>
      </c>
      <c r="M2150" s="13" t="s">
        <v>5405</v>
      </c>
      <c r="N2150" s="12" t="s">
        <v>803</v>
      </c>
      <c r="O2150" s="13" t="s">
        <v>4893</v>
      </c>
      <c r="P2150" s="17" t="s">
        <v>802</v>
      </c>
      <c r="Q2150" s="21" t="s">
        <v>8081</v>
      </c>
      <c r="R2150" s="17" t="s">
        <v>801</v>
      </c>
      <c r="S2150" s="18" t="s">
        <v>2554</v>
      </c>
      <c r="T2150" s="17" t="s">
        <v>800</v>
      </c>
      <c r="U2150" s="18" t="s">
        <v>5233</v>
      </c>
      <c r="V2150" s="17" t="s">
        <v>9418</v>
      </c>
      <c r="W2150" s="18" t="s">
        <v>5310</v>
      </c>
      <c r="X2150" s="69" t="s">
        <v>9453</v>
      </c>
      <c r="Y2150" s="70" t="s">
        <v>9463</v>
      </c>
      <c r="Z2150" s="73" t="s">
        <v>9486</v>
      </c>
      <c r="AA2150" s="74" t="s">
        <v>9504</v>
      </c>
      <c r="AB2150" s="73" t="s">
        <v>9486</v>
      </c>
      <c r="AC2150" s="74" t="s">
        <v>9562</v>
      </c>
      <c r="AD2150" s="73" t="s">
        <v>9578</v>
      </c>
      <c r="AE2150" s="74" t="s">
        <v>9579</v>
      </c>
    </row>
    <row r="2151" spans="1:31" ht="8.65" customHeight="1" x14ac:dyDescent="0.2">
      <c r="A2151" s="76">
        <v>2151</v>
      </c>
      <c r="B2151" s="67" t="str">
        <f>MID(C2151, FIND("Ifc.", C2151) + 4, 4) &amp; "_" &amp; TEXT(COUNTIF($C$2:C2151, C2151),"0000")</f>
        <v>Prop_2150</v>
      </c>
      <c r="C2151" s="24" t="s">
        <v>872</v>
      </c>
      <c r="D2151" s="69" t="s">
        <v>9453</v>
      </c>
      <c r="E2151" s="70" t="s">
        <v>9454</v>
      </c>
      <c r="F2151" s="17" t="s">
        <v>806</v>
      </c>
      <c r="G2151" s="22" t="s">
        <v>1973</v>
      </c>
      <c r="H2151" s="12" t="s">
        <v>9703</v>
      </c>
      <c r="I2151" s="13" t="s">
        <v>6601</v>
      </c>
      <c r="J2151" s="14" t="s">
        <v>798</v>
      </c>
      <c r="K2151" s="15" t="s">
        <v>798</v>
      </c>
      <c r="L2151" s="12" t="s">
        <v>5315</v>
      </c>
      <c r="M2151" s="13" t="s">
        <v>5854</v>
      </c>
      <c r="N2151" s="12" t="s">
        <v>803</v>
      </c>
      <c r="O2151" s="13" t="s">
        <v>5072</v>
      </c>
      <c r="P2151" s="17" t="s">
        <v>802</v>
      </c>
      <c r="Q2151" s="21" t="s">
        <v>7847</v>
      </c>
      <c r="R2151" s="17" t="s">
        <v>801</v>
      </c>
      <c r="S2151" s="18" t="s">
        <v>2669</v>
      </c>
      <c r="T2151" s="17" t="s">
        <v>800</v>
      </c>
      <c r="U2151" s="18" t="s">
        <v>5237</v>
      </c>
      <c r="V2151" s="17" t="s">
        <v>9418</v>
      </c>
      <c r="W2151" s="18" t="s">
        <v>5309</v>
      </c>
      <c r="X2151" s="69" t="s">
        <v>9453</v>
      </c>
      <c r="Y2151" s="70" t="s">
        <v>9462</v>
      </c>
      <c r="Z2151" s="73" t="s">
        <v>9486</v>
      </c>
      <c r="AA2151" s="74" t="s">
        <v>9504</v>
      </c>
      <c r="AB2151" s="73" t="s">
        <v>9486</v>
      </c>
      <c r="AC2151" s="74" t="s">
        <v>9562</v>
      </c>
      <c r="AD2151" s="73" t="s">
        <v>9578</v>
      </c>
      <c r="AE2151" s="74" t="s">
        <v>9579</v>
      </c>
    </row>
    <row r="2152" spans="1:31" ht="8.65" customHeight="1" x14ac:dyDescent="0.2">
      <c r="A2152" s="76">
        <v>2152</v>
      </c>
      <c r="B2152" s="67" t="str">
        <f>MID(C2152, FIND("Ifc.", C2152) + 4, 4) &amp; "_" &amp; TEXT(COUNTIF($C$2:C2152, C2152),"0000")</f>
        <v>Prop_2151</v>
      </c>
      <c r="C2152" s="24" t="s">
        <v>872</v>
      </c>
      <c r="D2152" s="69" t="s">
        <v>9453</v>
      </c>
      <c r="E2152" s="70" t="s">
        <v>9454</v>
      </c>
      <c r="F2152" s="17" t="s">
        <v>806</v>
      </c>
      <c r="G2152" s="22" t="s">
        <v>1973</v>
      </c>
      <c r="H2152" s="12" t="s">
        <v>9703</v>
      </c>
      <c r="I2152" s="13" t="s">
        <v>6601</v>
      </c>
      <c r="J2152" s="14" t="s">
        <v>798</v>
      </c>
      <c r="K2152" s="15" t="s">
        <v>798</v>
      </c>
      <c r="L2152" s="12" t="s">
        <v>5315</v>
      </c>
      <c r="M2152" s="13" t="s">
        <v>5475</v>
      </c>
      <c r="N2152" s="12" t="s">
        <v>803</v>
      </c>
      <c r="O2152" s="13" t="s">
        <v>5074</v>
      </c>
      <c r="P2152" s="17" t="s">
        <v>802</v>
      </c>
      <c r="Q2152" s="21" t="s">
        <v>7848</v>
      </c>
      <c r="R2152" s="17" t="s">
        <v>801</v>
      </c>
      <c r="S2152" s="18" t="s">
        <v>2669</v>
      </c>
      <c r="T2152" s="17" t="s">
        <v>800</v>
      </c>
      <c r="U2152" s="18" t="s">
        <v>5237</v>
      </c>
      <c r="V2152" s="17" t="s">
        <v>9418</v>
      </c>
      <c r="W2152" s="18" t="s">
        <v>5309</v>
      </c>
      <c r="X2152" s="69" t="s">
        <v>9453</v>
      </c>
      <c r="Y2152" s="70" t="s">
        <v>9462</v>
      </c>
      <c r="Z2152" s="73" t="s">
        <v>9486</v>
      </c>
      <c r="AA2152" s="74" t="s">
        <v>9504</v>
      </c>
      <c r="AB2152" s="73" t="s">
        <v>9486</v>
      </c>
      <c r="AC2152" s="74" t="s">
        <v>9562</v>
      </c>
      <c r="AD2152" s="73" t="s">
        <v>9578</v>
      </c>
      <c r="AE2152" s="74" t="s">
        <v>9579</v>
      </c>
    </row>
    <row r="2153" spans="1:31" ht="8.65" customHeight="1" x14ac:dyDescent="0.2">
      <c r="A2153" s="76">
        <v>2153</v>
      </c>
      <c r="B2153" s="67" t="str">
        <f>MID(C2153, FIND("Ifc.", C2153) + 4, 4) &amp; "_" &amp; TEXT(COUNTIF($C$2:C2153, C2153),"0000")</f>
        <v>Prop_2152</v>
      </c>
      <c r="C2153" s="24" t="s">
        <v>872</v>
      </c>
      <c r="D2153" s="69" t="s">
        <v>9453</v>
      </c>
      <c r="E2153" s="70" t="s">
        <v>9454</v>
      </c>
      <c r="F2153" s="17" t="s">
        <v>806</v>
      </c>
      <c r="G2153" s="22" t="s">
        <v>2344</v>
      </c>
      <c r="H2153" s="12" t="s">
        <v>9703</v>
      </c>
      <c r="I2153" s="13" t="s">
        <v>6740</v>
      </c>
      <c r="J2153" s="14" t="s">
        <v>798</v>
      </c>
      <c r="K2153" s="15" t="s">
        <v>798</v>
      </c>
      <c r="L2153" s="12" t="s">
        <v>5315</v>
      </c>
      <c r="M2153" s="13" t="s">
        <v>5560</v>
      </c>
      <c r="N2153" s="12" t="s">
        <v>803</v>
      </c>
      <c r="O2153" s="13" t="s">
        <v>5174</v>
      </c>
      <c r="P2153" s="17" t="s">
        <v>802</v>
      </c>
      <c r="Q2153" s="21" t="s">
        <v>7793</v>
      </c>
      <c r="R2153" s="17" t="s">
        <v>801</v>
      </c>
      <c r="S2153" s="18" t="s">
        <v>2554</v>
      </c>
      <c r="T2153" s="17" t="s">
        <v>800</v>
      </c>
      <c r="U2153" s="18" t="s">
        <v>5233</v>
      </c>
      <c r="V2153" s="17" t="s">
        <v>9418</v>
      </c>
      <c r="W2153" s="18" t="s">
        <v>5310</v>
      </c>
      <c r="X2153" s="69" t="s">
        <v>9453</v>
      </c>
      <c r="Y2153" s="70" t="s">
        <v>9463</v>
      </c>
      <c r="Z2153" s="73" t="s">
        <v>9486</v>
      </c>
      <c r="AA2153" s="74" t="s">
        <v>9504</v>
      </c>
      <c r="AB2153" s="73" t="s">
        <v>9486</v>
      </c>
      <c r="AC2153" s="74" t="s">
        <v>9562</v>
      </c>
      <c r="AD2153" s="73" t="s">
        <v>9578</v>
      </c>
      <c r="AE2153" s="74" t="s">
        <v>9579</v>
      </c>
    </row>
    <row r="2154" spans="1:31" ht="8.65" customHeight="1" x14ac:dyDescent="0.2">
      <c r="A2154" s="76">
        <v>2154</v>
      </c>
      <c r="B2154" s="67" t="str">
        <f>MID(C2154, FIND("Ifc.", C2154) + 4, 4) &amp; "_" &amp; TEXT(COUNTIF($C$2:C2154, C2154),"0000")</f>
        <v>Prop_2153</v>
      </c>
      <c r="C2154" s="24" t="s">
        <v>872</v>
      </c>
      <c r="D2154" s="69" t="s">
        <v>9453</v>
      </c>
      <c r="E2154" s="70" t="s">
        <v>9454</v>
      </c>
      <c r="F2154" s="17" t="s">
        <v>806</v>
      </c>
      <c r="G2154" s="22" t="s">
        <v>2502</v>
      </c>
      <c r="H2154" s="12" t="s">
        <v>9703</v>
      </c>
      <c r="I2154" s="13" t="s">
        <v>6823</v>
      </c>
      <c r="J2154" s="14" t="s">
        <v>798</v>
      </c>
      <c r="K2154" s="15" t="s">
        <v>798</v>
      </c>
      <c r="L2154" s="12" t="s">
        <v>5315</v>
      </c>
      <c r="M2154" s="13" t="s">
        <v>5577</v>
      </c>
      <c r="N2154" s="12" t="s">
        <v>803</v>
      </c>
      <c r="O2154" s="13" t="s">
        <v>5222</v>
      </c>
      <c r="P2154" s="17" t="s">
        <v>802</v>
      </c>
      <c r="Q2154" s="21" t="s">
        <v>7905</v>
      </c>
      <c r="R2154" s="17" t="s">
        <v>801</v>
      </c>
      <c r="S2154" s="18" t="s">
        <v>2554</v>
      </c>
      <c r="T2154" s="17" t="s">
        <v>800</v>
      </c>
      <c r="U2154" s="18" t="s">
        <v>5233</v>
      </c>
      <c r="V2154" s="17" t="s">
        <v>9418</v>
      </c>
      <c r="W2154" s="18" t="s">
        <v>5310</v>
      </c>
      <c r="X2154" s="69" t="s">
        <v>9453</v>
      </c>
      <c r="Y2154" s="70" t="s">
        <v>9463</v>
      </c>
      <c r="Z2154" s="73" t="s">
        <v>9486</v>
      </c>
      <c r="AA2154" s="74" t="s">
        <v>9504</v>
      </c>
      <c r="AB2154" s="73" t="s">
        <v>9486</v>
      </c>
      <c r="AC2154" s="74" t="s">
        <v>9562</v>
      </c>
      <c r="AD2154" s="73" t="s">
        <v>9578</v>
      </c>
      <c r="AE2154" s="74" t="s">
        <v>9579</v>
      </c>
    </row>
    <row r="2155" spans="1:31" ht="8.65" customHeight="1" x14ac:dyDescent="0.2">
      <c r="A2155" s="76">
        <v>2155</v>
      </c>
      <c r="B2155" s="67" t="str">
        <f>MID(C2155, FIND("Ifc.", C2155) + 4, 4) &amp; "_" &amp; TEXT(COUNTIF($C$2:C2155, C2155),"0000")</f>
        <v>Prop_2154</v>
      </c>
      <c r="C2155" s="24" t="s">
        <v>872</v>
      </c>
      <c r="D2155" s="69" t="s">
        <v>9453</v>
      </c>
      <c r="E2155" s="70" t="s">
        <v>9454</v>
      </c>
      <c r="F2155" s="17" t="s">
        <v>806</v>
      </c>
      <c r="G2155" s="22" t="s">
        <v>1400</v>
      </c>
      <c r="H2155" s="12" t="s">
        <v>9703</v>
      </c>
      <c r="I2155" s="13" t="s">
        <v>6765</v>
      </c>
      <c r="J2155" s="14" t="s">
        <v>798</v>
      </c>
      <c r="K2155" s="15" t="s">
        <v>798</v>
      </c>
      <c r="L2155" s="12" t="s">
        <v>5315</v>
      </c>
      <c r="M2155" s="13" t="s">
        <v>6029</v>
      </c>
      <c r="N2155" s="12" t="s">
        <v>803</v>
      </c>
      <c r="O2155" s="13" t="s">
        <v>4867</v>
      </c>
      <c r="P2155" s="17" t="s">
        <v>802</v>
      </c>
      <c r="Q2155" s="21" t="s">
        <v>7932</v>
      </c>
      <c r="R2155" s="17" t="s">
        <v>801</v>
      </c>
      <c r="S2155" s="18" t="s">
        <v>2554</v>
      </c>
      <c r="T2155" s="17" t="s">
        <v>800</v>
      </c>
      <c r="U2155" s="18" t="s">
        <v>5233</v>
      </c>
      <c r="V2155" s="17" t="s">
        <v>9418</v>
      </c>
      <c r="W2155" s="18" t="s">
        <v>5310</v>
      </c>
      <c r="X2155" s="69" t="s">
        <v>9453</v>
      </c>
      <c r="Y2155" s="70" t="s">
        <v>9463</v>
      </c>
      <c r="Z2155" s="73" t="s">
        <v>9486</v>
      </c>
      <c r="AA2155" s="74" t="s">
        <v>9504</v>
      </c>
      <c r="AB2155" s="73" t="s">
        <v>9486</v>
      </c>
      <c r="AC2155" s="74" t="s">
        <v>9562</v>
      </c>
      <c r="AD2155" s="73" t="s">
        <v>9578</v>
      </c>
      <c r="AE2155" s="74" t="s">
        <v>9579</v>
      </c>
    </row>
    <row r="2156" spans="1:31" ht="8.65" customHeight="1" x14ac:dyDescent="0.2">
      <c r="A2156" s="76">
        <v>2156</v>
      </c>
      <c r="B2156" s="67" t="str">
        <f>MID(C2156, FIND("Ifc.", C2156) + 4, 4) &amp; "_" &amp; TEXT(COUNTIF($C$2:C2156, C2156),"0000")</f>
        <v>Prop_2155</v>
      </c>
      <c r="C2156" s="24" t="s">
        <v>872</v>
      </c>
      <c r="D2156" s="69" t="s">
        <v>9453</v>
      </c>
      <c r="E2156" s="70" t="s">
        <v>9454</v>
      </c>
      <c r="F2156" s="17" t="s">
        <v>806</v>
      </c>
      <c r="G2156" s="22" t="s">
        <v>1173</v>
      </c>
      <c r="H2156" s="12" t="s">
        <v>9703</v>
      </c>
      <c r="I2156" s="13" t="s">
        <v>6210</v>
      </c>
      <c r="J2156" s="14" t="s">
        <v>798</v>
      </c>
      <c r="K2156" s="15" t="s">
        <v>798</v>
      </c>
      <c r="L2156" s="12" t="s">
        <v>5315</v>
      </c>
      <c r="M2156" s="13" t="s">
        <v>5399</v>
      </c>
      <c r="N2156" s="12" t="s">
        <v>803</v>
      </c>
      <c r="O2156" s="13" t="s">
        <v>4874</v>
      </c>
      <c r="P2156" s="17" t="s">
        <v>802</v>
      </c>
      <c r="Q2156" s="21" t="s">
        <v>7875</v>
      </c>
      <c r="R2156" s="17" t="s">
        <v>801</v>
      </c>
      <c r="S2156" s="18" t="s">
        <v>2554</v>
      </c>
      <c r="T2156" s="17" t="s">
        <v>800</v>
      </c>
      <c r="U2156" s="18" t="s">
        <v>5233</v>
      </c>
      <c r="V2156" s="17" t="s">
        <v>9418</v>
      </c>
      <c r="W2156" s="18" t="s">
        <v>5310</v>
      </c>
      <c r="X2156" s="69" t="s">
        <v>9453</v>
      </c>
      <c r="Y2156" s="70" t="s">
        <v>9463</v>
      </c>
      <c r="Z2156" s="73" t="s">
        <v>9486</v>
      </c>
      <c r="AA2156" s="74" t="s">
        <v>9504</v>
      </c>
      <c r="AB2156" s="73" t="s">
        <v>9486</v>
      </c>
      <c r="AC2156" s="74" t="s">
        <v>9562</v>
      </c>
      <c r="AD2156" s="73" t="s">
        <v>9578</v>
      </c>
      <c r="AE2156" s="74" t="s">
        <v>9579</v>
      </c>
    </row>
    <row r="2157" spans="1:31" ht="8.65" customHeight="1" x14ac:dyDescent="0.2">
      <c r="A2157" s="76">
        <v>2157</v>
      </c>
      <c r="B2157" s="67" t="str">
        <f>MID(C2157, FIND("Ifc.", C2157) + 4, 4) &amp; "_" &amp; TEXT(COUNTIF($C$2:C2157, C2157),"0000")</f>
        <v>Prop_2156</v>
      </c>
      <c r="C2157" s="24" t="s">
        <v>872</v>
      </c>
      <c r="D2157" s="69" t="s">
        <v>9453</v>
      </c>
      <c r="E2157" s="70" t="s">
        <v>9454</v>
      </c>
      <c r="F2157" s="17" t="s">
        <v>806</v>
      </c>
      <c r="G2157" s="22" t="s">
        <v>1713</v>
      </c>
      <c r="H2157" s="12" t="s">
        <v>9703</v>
      </c>
      <c r="I2157" s="13" t="s">
        <v>6442</v>
      </c>
      <c r="J2157" s="14" t="s">
        <v>798</v>
      </c>
      <c r="K2157" s="15" t="s">
        <v>798</v>
      </c>
      <c r="L2157" s="12" t="s">
        <v>5315</v>
      </c>
      <c r="M2157" s="13" t="s">
        <v>5930</v>
      </c>
      <c r="N2157" s="12" t="s">
        <v>803</v>
      </c>
      <c r="O2157" s="13" t="s">
        <v>5003</v>
      </c>
      <c r="P2157" s="17" t="s">
        <v>802</v>
      </c>
      <c r="Q2157" s="21" t="s">
        <v>7925</v>
      </c>
      <c r="R2157" s="17" t="s">
        <v>801</v>
      </c>
      <c r="S2157" s="18" t="s">
        <v>2554</v>
      </c>
      <c r="T2157" s="17" t="s">
        <v>800</v>
      </c>
      <c r="U2157" s="18" t="s">
        <v>5233</v>
      </c>
      <c r="V2157" s="17" t="s">
        <v>9418</v>
      </c>
      <c r="W2157" s="18" t="s">
        <v>5310</v>
      </c>
      <c r="X2157" s="69" t="s">
        <v>9453</v>
      </c>
      <c r="Y2157" s="70" t="s">
        <v>9463</v>
      </c>
      <c r="Z2157" s="73" t="s">
        <v>9486</v>
      </c>
      <c r="AA2157" s="74" t="s">
        <v>9504</v>
      </c>
      <c r="AB2157" s="73" t="s">
        <v>9486</v>
      </c>
      <c r="AC2157" s="74" t="s">
        <v>9562</v>
      </c>
      <c r="AD2157" s="73" t="s">
        <v>9578</v>
      </c>
      <c r="AE2157" s="74" t="s">
        <v>9704</v>
      </c>
    </row>
    <row r="2158" spans="1:31" ht="8.65" customHeight="1" x14ac:dyDescent="0.2">
      <c r="A2158" s="76">
        <v>2158</v>
      </c>
      <c r="B2158" s="67" t="str">
        <f>MID(C2158, FIND("Ifc.", C2158) + 4, 4) &amp; "_" &amp; TEXT(COUNTIF($C$2:C2158, C2158),"0000")</f>
        <v>Prop_2157</v>
      </c>
      <c r="C2158" s="24" t="s">
        <v>872</v>
      </c>
      <c r="D2158" s="69" t="s">
        <v>9453</v>
      </c>
      <c r="E2158" s="70" t="s">
        <v>9454</v>
      </c>
      <c r="F2158" s="17" t="s">
        <v>806</v>
      </c>
      <c r="G2158" s="22" t="s">
        <v>964</v>
      </c>
      <c r="H2158" s="12" t="s">
        <v>9703</v>
      </c>
      <c r="I2158" s="13" t="s">
        <v>6087</v>
      </c>
      <c r="J2158" s="14" t="s">
        <v>798</v>
      </c>
      <c r="K2158" s="15" t="s">
        <v>798</v>
      </c>
      <c r="L2158" s="12" t="s">
        <v>5315</v>
      </c>
      <c r="M2158" s="13" t="s">
        <v>5985</v>
      </c>
      <c r="N2158" s="12" t="s">
        <v>803</v>
      </c>
      <c r="O2158" s="13" t="s">
        <v>4823</v>
      </c>
      <c r="P2158" s="17" t="s">
        <v>802</v>
      </c>
      <c r="Q2158" s="21" t="s">
        <v>7974</v>
      </c>
      <c r="R2158" s="17" t="s">
        <v>801</v>
      </c>
      <c r="S2158" s="18" t="s">
        <v>2554</v>
      </c>
      <c r="T2158" s="17" t="s">
        <v>800</v>
      </c>
      <c r="U2158" s="18" t="s">
        <v>5233</v>
      </c>
      <c r="V2158" s="17" t="s">
        <v>9418</v>
      </c>
      <c r="W2158" s="18" t="s">
        <v>5310</v>
      </c>
      <c r="X2158" s="69" t="s">
        <v>9453</v>
      </c>
      <c r="Y2158" s="70" t="s">
        <v>9463</v>
      </c>
      <c r="Z2158" s="73" t="s">
        <v>9486</v>
      </c>
      <c r="AA2158" s="74" t="s">
        <v>9504</v>
      </c>
      <c r="AB2158" s="73" t="s">
        <v>9486</v>
      </c>
      <c r="AC2158" s="74" t="s">
        <v>9562</v>
      </c>
      <c r="AD2158" s="73" t="s">
        <v>9578</v>
      </c>
      <c r="AE2158" s="74" t="s">
        <v>9579</v>
      </c>
    </row>
    <row r="2159" spans="1:31" ht="8.65" customHeight="1" x14ac:dyDescent="0.2">
      <c r="A2159" s="76">
        <v>2159</v>
      </c>
      <c r="B2159" s="67" t="str">
        <f>MID(C2159, FIND("Ifc.", C2159) + 4, 4) &amp; "_" &amp; TEXT(COUNTIF($C$2:C2159, C2159),"0000")</f>
        <v>Prop_2158</v>
      </c>
      <c r="C2159" s="24" t="s">
        <v>872</v>
      </c>
      <c r="D2159" s="69" t="s">
        <v>9453</v>
      </c>
      <c r="E2159" s="70" t="s">
        <v>9454</v>
      </c>
      <c r="F2159" s="17" t="s">
        <v>806</v>
      </c>
      <c r="G2159" s="22" t="s">
        <v>968</v>
      </c>
      <c r="H2159" s="12" t="s">
        <v>9703</v>
      </c>
      <c r="I2159" s="13" t="s">
        <v>6089</v>
      </c>
      <c r="J2159" s="14" t="s">
        <v>798</v>
      </c>
      <c r="K2159" s="15" t="s">
        <v>798</v>
      </c>
      <c r="L2159" s="12" t="s">
        <v>5315</v>
      </c>
      <c r="M2159" s="13" t="s">
        <v>5986</v>
      </c>
      <c r="N2159" s="12" t="s">
        <v>803</v>
      </c>
      <c r="O2159" s="13" t="s">
        <v>4824</v>
      </c>
      <c r="P2159" s="17" t="s">
        <v>802</v>
      </c>
      <c r="Q2159" s="21" t="s">
        <v>7724</v>
      </c>
      <c r="R2159" s="17" t="s">
        <v>801</v>
      </c>
      <c r="S2159" s="18" t="s">
        <v>2554</v>
      </c>
      <c r="T2159" s="17" t="s">
        <v>800</v>
      </c>
      <c r="U2159" s="18" t="s">
        <v>5233</v>
      </c>
      <c r="V2159" s="17" t="s">
        <v>9418</v>
      </c>
      <c r="W2159" s="18" t="s">
        <v>5310</v>
      </c>
      <c r="X2159" s="69" t="s">
        <v>9453</v>
      </c>
      <c r="Y2159" s="70" t="s">
        <v>9463</v>
      </c>
      <c r="Z2159" s="73" t="s">
        <v>9486</v>
      </c>
      <c r="AA2159" s="74" t="s">
        <v>9504</v>
      </c>
      <c r="AB2159" s="73" t="s">
        <v>9486</v>
      </c>
      <c r="AC2159" s="74" t="s">
        <v>9562</v>
      </c>
      <c r="AD2159" s="73" t="s">
        <v>9578</v>
      </c>
      <c r="AE2159" s="74" t="s">
        <v>9579</v>
      </c>
    </row>
    <row r="2160" spans="1:31" ht="8.65" customHeight="1" x14ac:dyDescent="0.2">
      <c r="A2160" s="76">
        <v>2160</v>
      </c>
      <c r="B2160" s="67" t="str">
        <f>MID(C2160, FIND("Ifc.", C2160) + 4, 4) &amp; "_" &amp; TEXT(COUNTIF($C$2:C2160, C2160),"0000")</f>
        <v>Prop_2159</v>
      </c>
      <c r="C2160" s="24" t="s">
        <v>872</v>
      </c>
      <c r="D2160" s="69" t="s">
        <v>9453</v>
      </c>
      <c r="E2160" s="70" t="s">
        <v>9454</v>
      </c>
      <c r="F2160" s="17" t="s">
        <v>806</v>
      </c>
      <c r="G2160" s="22" t="s">
        <v>2347</v>
      </c>
      <c r="H2160" s="12" t="s">
        <v>9703</v>
      </c>
      <c r="I2160" s="13" t="s">
        <v>6741</v>
      </c>
      <c r="J2160" s="14" t="s">
        <v>798</v>
      </c>
      <c r="K2160" s="15" t="s">
        <v>798</v>
      </c>
      <c r="L2160" s="12" t="s">
        <v>5315</v>
      </c>
      <c r="M2160" s="13" t="s">
        <v>5560</v>
      </c>
      <c r="N2160" s="12" t="s">
        <v>803</v>
      </c>
      <c r="O2160" s="13" t="s">
        <v>5174</v>
      </c>
      <c r="P2160" s="17" t="s">
        <v>802</v>
      </c>
      <c r="Q2160" s="21" t="s">
        <v>7793</v>
      </c>
      <c r="R2160" s="17" t="s">
        <v>801</v>
      </c>
      <c r="S2160" s="18" t="s">
        <v>2554</v>
      </c>
      <c r="T2160" s="17" t="s">
        <v>800</v>
      </c>
      <c r="U2160" s="18" t="s">
        <v>5233</v>
      </c>
      <c r="V2160" s="17" t="s">
        <v>9418</v>
      </c>
      <c r="W2160" s="18" t="s">
        <v>5310</v>
      </c>
      <c r="X2160" s="69" t="s">
        <v>9453</v>
      </c>
      <c r="Y2160" s="70" t="s">
        <v>9463</v>
      </c>
      <c r="Z2160" s="73" t="s">
        <v>9486</v>
      </c>
      <c r="AA2160" s="74" t="s">
        <v>9504</v>
      </c>
      <c r="AB2160" s="73" t="s">
        <v>9486</v>
      </c>
      <c r="AC2160" s="74" t="s">
        <v>9562</v>
      </c>
      <c r="AD2160" s="73" t="s">
        <v>9578</v>
      </c>
      <c r="AE2160" s="74" t="s">
        <v>9579</v>
      </c>
    </row>
    <row r="2161" spans="1:31" ht="8.65" customHeight="1" x14ac:dyDescent="0.2">
      <c r="A2161" s="76">
        <v>2161</v>
      </c>
      <c r="B2161" s="67" t="str">
        <f>MID(C2161, FIND("Ifc.", C2161) + 4, 4) &amp; "_" &amp; TEXT(COUNTIF($C$2:C2161, C2161),"0000")</f>
        <v>Prop_2160</v>
      </c>
      <c r="C2161" s="24" t="s">
        <v>872</v>
      </c>
      <c r="D2161" s="69" t="s">
        <v>9453</v>
      </c>
      <c r="E2161" s="70" t="s">
        <v>9454</v>
      </c>
      <c r="F2161" s="17" t="s">
        <v>806</v>
      </c>
      <c r="G2161" s="22" t="s">
        <v>1053</v>
      </c>
      <c r="H2161" s="12" t="s">
        <v>9703</v>
      </c>
      <c r="I2161" s="13" t="s">
        <v>6140</v>
      </c>
      <c r="J2161" s="14" t="s">
        <v>798</v>
      </c>
      <c r="K2161" s="15" t="s">
        <v>798</v>
      </c>
      <c r="L2161" s="12" t="s">
        <v>5315</v>
      </c>
      <c r="M2161" s="13" t="s">
        <v>5779</v>
      </c>
      <c r="N2161" s="12" t="s">
        <v>803</v>
      </c>
      <c r="O2161" s="13" t="s">
        <v>4846</v>
      </c>
      <c r="P2161" s="17" t="s">
        <v>802</v>
      </c>
      <c r="Q2161" s="21" t="s">
        <v>7936</v>
      </c>
      <c r="R2161" s="17" t="s">
        <v>801</v>
      </c>
      <c r="S2161" s="18" t="s">
        <v>2554</v>
      </c>
      <c r="T2161" s="17" t="s">
        <v>800</v>
      </c>
      <c r="U2161" s="18" t="s">
        <v>5233</v>
      </c>
      <c r="V2161" s="17" t="s">
        <v>9418</v>
      </c>
      <c r="W2161" s="18" t="s">
        <v>5310</v>
      </c>
      <c r="X2161" s="69" t="s">
        <v>9453</v>
      </c>
      <c r="Y2161" s="70" t="s">
        <v>9463</v>
      </c>
      <c r="Z2161" s="73" t="s">
        <v>9486</v>
      </c>
      <c r="AA2161" s="74" t="s">
        <v>9504</v>
      </c>
      <c r="AB2161" s="73" t="s">
        <v>9486</v>
      </c>
      <c r="AC2161" s="74" t="s">
        <v>9562</v>
      </c>
      <c r="AD2161" s="73" t="s">
        <v>9578</v>
      </c>
      <c r="AE2161" s="74" t="s">
        <v>9579</v>
      </c>
    </row>
    <row r="2162" spans="1:31" ht="8.65" customHeight="1" x14ac:dyDescent="0.2">
      <c r="A2162" s="76">
        <v>2162</v>
      </c>
      <c r="B2162" s="67" t="str">
        <f>MID(C2162, FIND("Ifc.", C2162) + 4, 4) &amp; "_" &amp; TEXT(COUNTIF($C$2:C2162, C2162),"0000")</f>
        <v>Prop_2161</v>
      </c>
      <c r="C2162" s="24" t="s">
        <v>872</v>
      </c>
      <c r="D2162" s="69" t="s">
        <v>9453</v>
      </c>
      <c r="E2162" s="70" t="s">
        <v>9454</v>
      </c>
      <c r="F2162" s="17" t="s">
        <v>806</v>
      </c>
      <c r="G2162" s="22" t="s">
        <v>1222</v>
      </c>
      <c r="H2162" s="12" t="s">
        <v>9703</v>
      </c>
      <c r="I2162" s="13" t="s">
        <v>6481</v>
      </c>
      <c r="J2162" s="14" t="s">
        <v>798</v>
      </c>
      <c r="K2162" s="15" t="s">
        <v>798</v>
      </c>
      <c r="L2162" s="12" t="s">
        <v>5315</v>
      </c>
      <c r="M2162" s="13" t="s">
        <v>5822</v>
      </c>
      <c r="N2162" s="12" t="s">
        <v>803</v>
      </c>
      <c r="O2162" s="13" t="s">
        <v>4884</v>
      </c>
      <c r="P2162" s="17" t="s">
        <v>802</v>
      </c>
      <c r="Q2162" s="21" t="s">
        <v>7831</v>
      </c>
      <c r="R2162" s="17" t="s">
        <v>801</v>
      </c>
      <c r="S2162" s="18" t="s">
        <v>2554</v>
      </c>
      <c r="T2162" s="17" t="s">
        <v>800</v>
      </c>
      <c r="U2162" s="18" t="s">
        <v>5233</v>
      </c>
      <c r="V2162" s="17" t="s">
        <v>9418</v>
      </c>
      <c r="W2162" s="18" t="s">
        <v>5310</v>
      </c>
      <c r="X2162" s="69" t="s">
        <v>9453</v>
      </c>
      <c r="Y2162" s="70" t="s">
        <v>9463</v>
      </c>
      <c r="Z2162" s="73" t="s">
        <v>9486</v>
      </c>
      <c r="AA2162" s="74" t="s">
        <v>9504</v>
      </c>
      <c r="AB2162" s="73" t="s">
        <v>9486</v>
      </c>
      <c r="AC2162" s="74" t="s">
        <v>9562</v>
      </c>
      <c r="AD2162" s="73" t="s">
        <v>9578</v>
      </c>
      <c r="AE2162" s="74" t="s">
        <v>9579</v>
      </c>
    </row>
    <row r="2163" spans="1:31" ht="8.65" customHeight="1" x14ac:dyDescent="0.2">
      <c r="A2163" s="76">
        <v>2163</v>
      </c>
      <c r="B2163" s="67" t="str">
        <f>MID(C2163, FIND("Ifc.", C2163) + 4, 4) &amp; "_" &amp; TEXT(COUNTIF($C$2:C2163, C2163),"0000")</f>
        <v>Prop_2162</v>
      </c>
      <c r="C2163" s="24" t="s">
        <v>872</v>
      </c>
      <c r="D2163" s="69" t="s">
        <v>9453</v>
      </c>
      <c r="E2163" s="70" t="s">
        <v>9454</v>
      </c>
      <c r="F2163" s="17" t="s">
        <v>806</v>
      </c>
      <c r="G2163" s="22" t="s">
        <v>1222</v>
      </c>
      <c r="H2163" s="12" t="s">
        <v>9703</v>
      </c>
      <c r="I2163" s="13" t="s">
        <v>6481</v>
      </c>
      <c r="J2163" s="14" t="s">
        <v>798</v>
      </c>
      <c r="K2163" s="15" t="s">
        <v>798</v>
      </c>
      <c r="L2163" s="12" t="s">
        <v>5315</v>
      </c>
      <c r="M2163" s="13" t="s">
        <v>5824</v>
      </c>
      <c r="N2163" s="12" t="s">
        <v>803</v>
      </c>
      <c r="O2163" s="13" t="s">
        <v>4886</v>
      </c>
      <c r="P2163" s="17" t="s">
        <v>802</v>
      </c>
      <c r="Q2163" s="21" t="s">
        <v>7832</v>
      </c>
      <c r="R2163" s="17" t="s">
        <v>801</v>
      </c>
      <c r="S2163" s="18" t="s">
        <v>2554</v>
      </c>
      <c r="T2163" s="17" t="s">
        <v>800</v>
      </c>
      <c r="U2163" s="18" t="s">
        <v>5233</v>
      </c>
      <c r="V2163" s="17" t="s">
        <v>9418</v>
      </c>
      <c r="W2163" s="18" t="s">
        <v>5310</v>
      </c>
      <c r="X2163" s="69" t="s">
        <v>9453</v>
      </c>
      <c r="Y2163" s="70" t="s">
        <v>9463</v>
      </c>
      <c r="Z2163" s="73" t="s">
        <v>9486</v>
      </c>
      <c r="AA2163" s="74" t="s">
        <v>9504</v>
      </c>
      <c r="AB2163" s="73" t="s">
        <v>9486</v>
      </c>
      <c r="AC2163" s="74" t="s">
        <v>9562</v>
      </c>
      <c r="AD2163" s="73" t="s">
        <v>9578</v>
      </c>
      <c r="AE2163" s="74" t="s">
        <v>9579</v>
      </c>
    </row>
    <row r="2164" spans="1:31" ht="8.65" customHeight="1" x14ac:dyDescent="0.2">
      <c r="A2164" s="76">
        <v>2164</v>
      </c>
      <c r="B2164" s="67" t="str">
        <f>MID(C2164, FIND("Ifc.", C2164) + 4, 4) &amp; "_" &amp; TEXT(COUNTIF($C$2:C2164, C2164),"0000")</f>
        <v>Prop_2163</v>
      </c>
      <c r="C2164" s="24" t="s">
        <v>872</v>
      </c>
      <c r="D2164" s="69" t="s">
        <v>9453</v>
      </c>
      <c r="E2164" s="70" t="s">
        <v>9454</v>
      </c>
      <c r="F2164" s="17" t="s">
        <v>806</v>
      </c>
      <c r="G2164" s="22" t="s">
        <v>1024</v>
      </c>
      <c r="H2164" s="12" t="s">
        <v>9703</v>
      </c>
      <c r="I2164" s="13" t="s">
        <v>6123</v>
      </c>
      <c r="J2164" s="14" t="s">
        <v>798</v>
      </c>
      <c r="K2164" s="15" t="s">
        <v>798</v>
      </c>
      <c r="L2164" s="12" t="s">
        <v>5315</v>
      </c>
      <c r="M2164" s="13" t="s">
        <v>5381</v>
      </c>
      <c r="N2164" s="12" t="s">
        <v>803</v>
      </c>
      <c r="O2164" s="13" t="s">
        <v>4838</v>
      </c>
      <c r="P2164" s="17" t="s">
        <v>802</v>
      </c>
      <c r="Q2164" s="21" t="s">
        <v>8008</v>
      </c>
      <c r="R2164" s="17" t="s">
        <v>801</v>
      </c>
      <c r="S2164" s="18" t="s">
        <v>2554</v>
      </c>
      <c r="T2164" s="17" t="s">
        <v>800</v>
      </c>
      <c r="U2164" s="18" t="s">
        <v>5233</v>
      </c>
      <c r="V2164" s="17" t="s">
        <v>9418</v>
      </c>
      <c r="W2164" s="18" t="s">
        <v>5310</v>
      </c>
      <c r="X2164" s="69" t="s">
        <v>9453</v>
      </c>
      <c r="Y2164" s="70" t="s">
        <v>9463</v>
      </c>
      <c r="Z2164" s="73" t="s">
        <v>9486</v>
      </c>
      <c r="AA2164" s="74" t="s">
        <v>9504</v>
      </c>
      <c r="AB2164" s="73" t="s">
        <v>9486</v>
      </c>
      <c r="AC2164" s="74" t="s">
        <v>9562</v>
      </c>
      <c r="AD2164" s="73" t="s">
        <v>9578</v>
      </c>
      <c r="AE2164" s="74" t="s">
        <v>9579</v>
      </c>
    </row>
    <row r="2165" spans="1:31" ht="8.65" customHeight="1" x14ac:dyDescent="0.2">
      <c r="A2165" s="76">
        <v>2165</v>
      </c>
      <c r="B2165" s="67" t="str">
        <f>MID(C2165, FIND("Ifc.", C2165) + 4, 4) &amp; "_" &amp; TEXT(COUNTIF($C$2:C2165, C2165),"0000")</f>
        <v>Prop_2164</v>
      </c>
      <c r="C2165" s="24" t="s">
        <v>872</v>
      </c>
      <c r="D2165" s="69" t="s">
        <v>9453</v>
      </c>
      <c r="E2165" s="70" t="s">
        <v>9454</v>
      </c>
      <c r="F2165" s="17" t="s">
        <v>806</v>
      </c>
      <c r="G2165" s="22" t="s">
        <v>2412</v>
      </c>
      <c r="H2165" s="12" t="s">
        <v>9703</v>
      </c>
      <c r="I2165" s="13" t="s">
        <v>6776</v>
      </c>
      <c r="J2165" s="14" t="s">
        <v>798</v>
      </c>
      <c r="K2165" s="15" t="s">
        <v>798</v>
      </c>
      <c r="L2165" s="12" t="s">
        <v>5315</v>
      </c>
      <c r="M2165" s="13" t="s">
        <v>5804</v>
      </c>
      <c r="N2165" s="12" t="s">
        <v>803</v>
      </c>
      <c r="O2165" s="13" t="s">
        <v>5197</v>
      </c>
      <c r="P2165" s="17" t="s">
        <v>802</v>
      </c>
      <c r="Q2165" s="21" t="s">
        <v>7992</v>
      </c>
      <c r="R2165" s="17" t="s">
        <v>801</v>
      </c>
      <c r="S2165" s="18" t="s">
        <v>2554</v>
      </c>
      <c r="T2165" s="17" t="s">
        <v>800</v>
      </c>
      <c r="U2165" s="18" t="s">
        <v>5233</v>
      </c>
      <c r="V2165" s="17" t="s">
        <v>9418</v>
      </c>
      <c r="W2165" s="18" t="s">
        <v>5310</v>
      </c>
      <c r="X2165" s="69" t="s">
        <v>9453</v>
      </c>
      <c r="Y2165" s="70" t="s">
        <v>9463</v>
      </c>
      <c r="Z2165" s="73" t="s">
        <v>9486</v>
      </c>
      <c r="AA2165" s="74" t="s">
        <v>9504</v>
      </c>
      <c r="AB2165" s="73" t="s">
        <v>9486</v>
      </c>
      <c r="AC2165" s="74" t="s">
        <v>9562</v>
      </c>
      <c r="AD2165" s="73" t="s">
        <v>9578</v>
      </c>
      <c r="AE2165" s="74" t="s">
        <v>9579</v>
      </c>
    </row>
    <row r="2166" spans="1:31" ht="8.65" customHeight="1" x14ac:dyDescent="0.2">
      <c r="A2166" s="76">
        <v>2166</v>
      </c>
      <c r="B2166" s="67" t="str">
        <f>MID(C2166, FIND("Ifc.", C2166) + 4, 4) &amp; "_" &amp; TEXT(COUNTIF($C$2:C2166, C2166),"0000")</f>
        <v>Prop_2165</v>
      </c>
      <c r="C2166" s="24" t="s">
        <v>872</v>
      </c>
      <c r="D2166" s="69" t="s">
        <v>9453</v>
      </c>
      <c r="E2166" s="70" t="s">
        <v>9454</v>
      </c>
      <c r="F2166" s="17" t="s">
        <v>806</v>
      </c>
      <c r="G2166" s="22" t="s">
        <v>1707</v>
      </c>
      <c r="H2166" s="12" t="s">
        <v>9703</v>
      </c>
      <c r="I2166" s="13" t="s">
        <v>6441</v>
      </c>
      <c r="J2166" s="14" t="s">
        <v>798</v>
      </c>
      <c r="K2166" s="15" t="s">
        <v>798</v>
      </c>
      <c r="L2166" s="12" t="s">
        <v>5315</v>
      </c>
      <c r="M2166" s="13" t="s">
        <v>5929</v>
      </c>
      <c r="N2166" s="12" t="s">
        <v>803</v>
      </c>
      <c r="O2166" s="13" t="s">
        <v>5002</v>
      </c>
      <c r="P2166" s="17" t="s">
        <v>802</v>
      </c>
      <c r="Q2166" s="21" t="s">
        <v>7884</v>
      </c>
      <c r="R2166" s="17" t="s">
        <v>801</v>
      </c>
      <c r="S2166" s="18" t="s">
        <v>2554</v>
      </c>
      <c r="T2166" s="17" t="s">
        <v>800</v>
      </c>
      <c r="U2166" s="18" t="s">
        <v>5233</v>
      </c>
      <c r="V2166" s="17" t="s">
        <v>9418</v>
      </c>
      <c r="W2166" s="18" t="s">
        <v>5310</v>
      </c>
      <c r="X2166" s="69" t="s">
        <v>9453</v>
      </c>
      <c r="Y2166" s="70" t="s">
        <v>9463</v>
      </c>
      <c r="Z2166" s="73" t="s">
        <v>9486</v>
      </c>
      <c r="AA2166" s="74" t="s">
        <v>9504</v>
      </c>
      <c r="AB2166" s="73" t="s">
        <v>9486</v>
      </c>
      <c r="AC2166" s="74" t="s">
        <v>9562</v>
      </c>
      <c r="AD2166" s="73" t="s">
        <v>9578</v>
      </c>
      <c r="AE2166" s="74" t="s">
        <v>9704</v>
      </c>
    </row>
    <row r="2167" spans="1:31" ht="8.65" customHeight="1" x14ac:dyDescent="0.2">
      <c r="A2167" s="76">
        <v>2167</v>
      </c>
      <c r="B2167" s="67" t="str">
        <f>MID(C2167, FIND("Ifc.", C2167) + 4, 4) &amp; "_" &amp; TEXT(COUNTIF($C$2:C2167, C2167),"0000")</f>
        <v>Prop_2166</v>
      </c>
      <c r="C2167" s="24" t="s">
        <v>872</v>
      </c>
      <c r="D2167" s="69" t="s">
        <v>9453</v>
      </c>
      <c r="E2167" s="70" t="s">
        <v>9454</v>
      </c>
      <c r="F2167" s="17" t="s">
        <v>806</v>
      </c>
      <c r="G2167" s="22" t="s">
        <v>2387</v>
      </c>
      <c r="H2167" s="12" t="s">
        <v>9703</v>
      </c>
      <c r="I2167" s="13" t="s">
        <v>6768</v>
      </c>
      <c r="J2167" s="14" t="s">
        <v>798</v>
      </c>
      <c r="K2167" s="15" t="s">
        <v>798</v>
      </c>
      <c r="L2167" s="12" t="s">
        <v>5315</v>
      </c>
      <c r="M2167" s="13" t="s">
        <v>5784</v>
      </c>
      <c r="N2167" s="12" t="s">
        <v>803</v>
      </c>
      <c r="O2167" s="13" t="s">
        <v>5182</v>
      </c>
      <c r="P2167" s="17" t="s">
        <v>802</v>
      </c>
      <c r="Q2167" s="21" t="s">
        <v>7772</v>
      </c>
      <c r="R2167" s="17" t="s">
        <v>801</v>
      </c>
      <c r="S2167" s="18" t="s">
        <v>2554</v>
      </c>
      <c r="T2167" s="17" t="s">
        <v>800</v>
      </c>
      <c r="U2167" s="18" t="s">
        <v>5233</v>
      </c>
      <c r="V2167" s="17" t="s">
        <v>9418</v>
      </c>
      <c r="W2167" s="18" t="s">
        <v>5310</v>
      </c>
      <c r="X2167" s="69" t="s">
        <v>9453</v>
      </c>
      <c r="Y2167" s="70" t="s">
        <v>9463</v>
      </c>
      <c r="Z2167" s="73" t="s">
        <v>9486</v>
      </c>
      <c r="AA2167" s="74" t="s">
        <v>9504</v>
      </c>
      <c r="AB2167" s="73" t="s">
        <v>9486</v>
      </c>
      <c r="AC2167" s="74" t="s">
        <v>9562</v>
      </c>
      <c r="AD2167" s="73" t="s">
        <v>9578</v>
      </c>
      <c r="AE2167" s="74" t="s">
        <v>9579</v>
      </c>
    </row>
    <row r="2168" spans="1:31" ht="8.65" customHeight="1" x14ac:dyDescent="0.2">
      <c r="A2168" s="76">
        <v>2168</v>
      </c>
      <c r="B2168" s="67" t="str">
        <f>MID(C2168, FIND("Ifc.", C2168) + 4, 4) &amp; "_" &amp; TEXT(COUNTIF($C$2:C2168, C2168),"0000")</f>
        <v>Prop_2167</v>
      </c>
      <c r="C2168" s="24" t="s">
        <v>872</v>
      </c>
      <c r="D2168" s="69" t="s">
        <v>9453</v>
      </c>
      <c r="E2168" s="70" t="s">
        <v>9454</v>
      </c>
      <c r="F2168" s="17" t="s">
        <v>806</v>
      </c>
      <c r="G2168" s="22" t="s">
        <v>969</v>
      </c>
      <c r="H2168" s="12" t="s">
        <v>9703</v>
      </c>
      <c r="I2168" s="13" t="s">
        <v>6092</v>
      </c>
      <c r="J2168" s="14" t="s">
        <v>798</v>
      </c>
      <c r="K2168" s="15" t="s">
        <v>798</v>
      </c>
      <c r="L2168" s="12" t="s">
        <v>5315</v>
      </c>
      <c r="M2168" s="13" t="s">
        <v>5987</v>
      </c>
      <c r="N2168" s="12" t="s">
        <v>803</v>
      </c>
      <c r="O2168" s="13" t="s">
        <v>4825</v>
      </c>
      <c r="P2168" s="17" t="s">
        <v>802</v>
      </c>
      <c r="Q2168" s="21" t="s">
        <v>7950</v>
      </c>
      <c r="R2168" s="17" t="s">
        <v>801</v>
      </c>
      <c r="S2168" s="18" t="s">
        <v>2554</v>
      </c>
      <c r="T2168" s="17" t="s">
        <v>800</v>
      </c>
      <c r="U2168" s="18" t="s">
        <v>5233</v>
      </c>
      <c r="V2168" s="17" t="s">
        <v>9418</v>
      </c>
      <c r="W2168" s="18" t="s">
        <v>5310</v>
      </c>
      <c r="X2168" s="69" t="s">
        <v>9453</v>
      </c>
      <c r="Y2168" s="70" t="s">
        <v>9463</v>
      </c>
      <c r="Z2168" s="73" t="s">
        <v>9486</v>
      </c>
      <c r="AA2168" s="74" t="s">
        <v>9504</v>
      </c>
      <c r="AB2168" s="73" t="s">
        <v>9486</v>
      </c>
      <c r="AC2168" s="74" t="s">
        <v>9562</v>
      </c>
      <c r="AD2168" s="73" t="s">
        <v>9578</v>
      </c>
      <c r="AE2168" s="74" t="s">
        <v>9579</v>
      </c>
    </row>
    <row r="2169" spans="1:31" ht="8.65" customHeight="1" x14ac:dyDescent="0.2">
      <c r="A2169" s="76">
        <v>2169</v>
      </c>
      <c r="B2169" s="67" t="str">
        <f>MID(C2169, FIND("Ifc.", C2169) + 4, 4) &amp; "_" &amp; TEXT(COUNTIF($C$2:C2169, C2169),"0000")</f>
        <v>Prop_2168</v>
      </c>
      <c r="C2169" s="24" t="s">
        <v>872</v>
      </c>
      <c r="D2169" s="69" t="s">
        <v>9453</v>
      </c>
      <c r="E2169" s="70" t="s">
        <v>9454</v>
      </c>
      <c r="F2169" s="17" t="s">
        <v>806</v>
      </c>
      <c r="G2169" s="22" t="s">
        <v>2389</v>
      </c>
      <c r="H2169" s="12" t="s">
        <v>9703</v>
      </c>
      <c r="I2169" s="13" t="s">
        <v>6769</v>
      </c>
      <c r="J2169" s="14" t="s">
        <v>798</v>
      </c>
      <c r="K2169" s="15" t="s">
        <v>798</v>
      </c>
      <c r="L2169" s="12" t="s">
        <v>5315</v>
      </c>
      <c r="M2169" s="13" t="s">
        <v>5784</v>
      </c>
      <c r="N2169" s="12" t="s">
        <v>803</v>
      </c>
      <c r="O2169" s="13" t="s">
        <v>5182</v>
      </c>
      <c r="P2169" s="17" t="s">
        <v>802</v>
      </c>
      <c r="Q2169" s="21" t="s">
        <v>7772</v>
      </c>
      <c r="R2169" s="17" t="s">
        <v>801</v>
      </c>
      <c r="S2169" s="18" t="s">
        <v>2554</v>
      </c>
      <c r="T2169" s="17" t="s">
        <v>800</v>
      </c>
      <c r="U2169" s="18" t="s">
        <v>5233</v>
      </c>
      <c r="V2169" s="17" t="s">
        <v>9418</v>
      </c>
      <c r="W2169" s="18" t="s">
        <v>5310</v>
      </c>
      <c r="X2169" s="69" t="s">
        <v>9453</v>
      </c>
      <c r="Y2169" s="70" t="s">
        <v>9463</v>
      </c>
      <c r="Z2169" s="73" t="s">
        <v>9486</v>
      </c>
      <c r="AA2169" s="74" t="s">
        <v>9504</v>
      </c>
      <c r="AB2169" s="73" t="s">
        <v>9486</v>
      </c>
      <c r="AC2169" s="74" t="s">
        <v>9562</v>
      </c>
      <c r="AD2169" s="73" t="s">
        <v>9578</v>
      </c>
      <c r="AE2169" s="74" t="s">
        <v>9579</v>
      </c>
    </row>
    <row r="2170" spans="1:31" ht="8.65" customHeight="1" x14ac:dyDescent="0.2">
      <c r="A2170" s="76">
        <v>2170</v>
      </c>
      <c r="B2170" s="67" t="str">
        <f>MID(C2170, FIND("Ifc.", C2170) + 4, 4) &amp; "_" &amp; TEXT(COUNTIF($C$2:C2170, C2170),"0000")</f>
        <v>Prop_2169</v>
      </c>
      <c r="C2170" s="24" t="s">
        <v>872</v>
      </c>
      <c r="D2170" s="69" t="s">
        <v>9453</v>
      </c>
      <c r="E2170" s="70" t="s">
        <v>9454</v>
      </c>
      <c r="F2170" s="17" t="s">
        <v>806</v>
      </c>
      <c r="G2170" s="22" t="s">
        <v>2422</v>
      </c>
      <c r="H2170" s="12" t="s">
        <v>9703</v>
      </c>
      <c r="I2170" s="13" t="s">
        <v>6781</v>
      </c>
      <c r="J2170" s="14" t="s">
        <v>798</v>
      </c>
      <c r="K2170" s="15" t="s">
        <v>798</v>
      </c>
      <c r="L2170" s="12" t="s">
        <v>5315</v>
      </c>
      <c r="M2170" s="13" t="s">
        <v>5569</v>
      </c>
      <c r="N2170" s="12" t="s">
        <v>803</v>
      </c>
      <c r="O2170" s="13" t="s">
        <v>5202</v>
      </c>
      <c r="P2170" s="17" t="s">
        <v>802</v>
      </c>
      <c r="Q2170" s="21" t="s">
        <v>7765</v>
      </c>
      <c r="R2170" s="17" t="s">
        <v>801</v>
      </c>
      <c r="S2170" s="18" t="s">
        <v>2554</v>
      </c>
      <c r="T2170" s="17" t="s">
        <v>800</v>
      </c>
      <c r="U2170" s="18" t="s">
        <v>5233</v>
      </c>
      <c r="V2170" s="17" t="s">
        <v>9418</v>
      </c>
      <c r="W2170" s="18" t="s">
        <v>5310</v>
      </c>
      <c r="X2170" s="69" t="s">
        <v>9453</v>
      </c>
      <c r="Y2170" s="70" t="s">
        <v>9463</v>
      </c>
      <c r="Z2170" s="73" t="s">
        <v>9486</v>
      </c>
      <c r="AA2170" s="74" t="s">
        <v>9504</v>
      </c>
      <c r="AB2170" s="73" t="s">
        <v>9486</v>
      </c>
      <c r="AC2170" s="74" t="s">
        <v>9562</v>
      </c>
      <c r="AD2170" s="73" t="s">
        <v>9578</v>
      </c>
      <c r="AE2170" s="74" t="s">
        <v>9579</v>
      </c>
    </row>
    <row r="2171" spans="1:31" ht="8.65" customHeight="1" x14ac:dyDescent="0.2">
      <c r="A2171" s="76">
        <v>2171</v>
      </c>
      <c r="B2171" s="67" t="str">
        <f>MID(C2171, FIND("Ifc.", C2171) + 4, 4) &amp; "_" &amp; TEXT(COUNTIF($C$2:C2171, C2171),"0000")</f>
        <v>Prop_2170</v>
      </c>
      <c r="C2171" s="24" t="s">
        <v>872</v>
      </c>
      <c r="D2171" s="69" t="s">
        <v>9453</v>
      </c>
      <c r="E2171" s="70" t="s">
        <v>9454</v>
      </c>
      <c r="F2171" s="17" t="s">
        <v>806</v>
      </c>
      <c r="G2171" s="22" t="s">
        <v>2075</v>
      </c>
      <c r="H2171" s="12" t="s">
        <v>9703</v>
      </c>
      <c r="I2171" s="13" t="s">
        <v>7248</v>
      </c>
      <c r="J2171" s="14" t="s">
        <v>798</v>
      </c>
      <c r="K2171" s="15" t="s">
        <v>798</v>
      </c>
      <c r="L2171" s="12" t="s">
        <v>5315</v>
      </c>
      <c r="M2171" s="13" t="s">
        <v>5978</v>
      </c>
      <c r="N2171" s="12" t="s">
        <v>803</v>
      </c>
      <c r="O2171" s="13" t="s">
        <v>5093</v>
      </c>
      <c r="P2171" s="17" t="s">
        <v>802</v>
      </c>
      <c r="Q2171" s="21" t="s">
        <v>7732</v>
      </c>
      <c r="R2171" s="17" t="s">
        <v>801</v>
      </c>
      <c r="S2171" s="18" t="s">
        <v>2554</v>
      </c>
      <c r="T2171" s="17" t="s">
        <v>800</v>
      </c>
      <c r="U2171" s="18" t="s">
        <v>5233</v>
      </c>
      <c r="V2171" s="17" t="s">
        <v>9418</v>
      </c>
      <c r="W2171" s="18" t="s">
        <v>5309</v>
      </c>
      <c r="X2171" s="69" t="s">
        <v>9453</v>
      </c>
      <c r="Y2171" s="70" t="s">
        <v>9462</v>
      </c>
      <c r="Z2171" s="73" t="s">
        <v>9486</v>
      </c>
      <c r="AA2171" s="74" t="s">
        <v>9504</v>
      </c>
      <c r="AB2171" s="73" t="s">
        <v>9486</v>
      </c>
      <c r="AC2171" s="74" t="s">
        <v>9562</v>
      </c>
      <c r="AD2171" s="73" t="s">
        <v>9578</v>
      </c>
      <c r="AE2171" s="74" t="s">
        <v>9579</v>
      </c>
    </row>
    <row r="2172" spans="1:31" ht="8.65" customHeight="1" x14ac:dyDescent="0.2">
      <c r="A2172" s="76">
        <v>2172</v>
      </c>
      <c r="B2172" s="67" t="str">
        <f>MID(C2172, FIND("Ifc.", C2172) + 4, 4) &amp; "_" &amp; TEXT(COUNTIF($C$2:C2172, C2172),"0000")</f>
        <v>Prop_2171</v>
      </c>
      <c r="C2172" s="24" t="s">
        <v>872</v>
      </c>
      <c r="D2172" s="69" t="s">
        <v>9453</v>
      </c>
      <c r="E2172" s="70" t="s">
        <v>9454</v>
      </c>
      <c r="F2172" s="17" t="s">
        <v>806</v>
      </c>
      <c r="G2172" s="22" t="s">
        <v>1794</v>
      </c>
      <c r="H2172" s="12" t="s">
        <v>9703</v>
      </c>
      <c r="I2172" s="13" t="s">
        <v>6503</v>
      </c>
      <c r="J2172" s="14" t="s">
        <v>798</v>
      </c>
      <c r="K2172" s="15" t="s">
        <v>798</v>
      </c>
      <c r="L2172" s="12" t="s">
        <v>5315</v>
      </c>
      <c r="M2172" s="13" t="s">
        <v>5455</v>
      </c>
      <c r="N2172" s="12" t="s">
        <v>803</v>
      </c>
      <c r="O2172" s="13" t="s">
        <v>5019</v>
      </c>
      <c r="P2172" s="17" t="s">
        <v>802</v>
      </c>
      <c r="Q2172" s="21" t="s">
        <v>7736</v>
      </c>
      <c r="R2172" s="17" t="s">
        <v>801</v>
      </c>
      <c r="S2172" s="18" t="s">
        <v>2554</v>
      </c>
      <c r="T2172" s="17" t="s">
        <v>800</v>
      </c>
      <c r="U2172" s="18" t="s">
        <v>5233</v>
      </c>
      <c r="V2172" s="17" t="s">
        <v>9418</v>
      </c>
      <c r="W2172" s="18" t="s">
        <v>5310</v>
      </c>
      <c r="X2172" s="69" t="s">
        <v>9453</v>
      </c>
      <c r="Y2172" s="70" t="s">
        <v>9463</v>
      </c>
      <c r="Z2172" s="73" t="s">
        <v>9486</v>
      </c>
      <c r="AA2172" s="74" t="s">
        <v>9504</v>
      </c>
      <c r="AB2172" s="73" t="s">
        <v>9486</v>
      </c>
      <c r="AC2172" s="74" t="s">
        <v>9562</v>
      </c>
      <c r="AD2172" s="73" t="s">
        <v>9578</v>
      </c>
      <c r="AE2172" s="74" t="s">
        <v>9579</v>
      </c>
    </row>
    <row r="2173" spans="1:31" ht="8.65" customHeight="1" x14ac:dyDescent="0.2">
      <c r="A2173" s="76">
        <v>2173</v>
      </c>
      <c r="B2173" s="67" t="str">
        <f>MID(C2173, FIND("Ifc.", C2173) + 4, 4) &amp; "_" &amp; TEXT(COUNTIF($C$2:C2173, C2173),"0000")</f>
        <v>Prop_2172</v>
      </c>
      <c r="C2173" s="24" t="s">
        <v>872</v>
      </c>
      <c r="D2173" s="69" t="s">
        <v>9453</v>
      </c>
      <c r="E2173" s="70" t="s">
        <v>9454</v>
      </c>
      <c r="F2173" s="17" t="s">
        <v>806</v>
      </c>
      <c r="G2173" s="22" t="s">
        <v>2236</v>
      </c>
      <c r="H2173" s="12" t="s">
        <v>9703</v>
      </c>
      <c r="I2173" s="13" t="s">
        <v>7252</v>
      </c>
      <c r="J2173" s="14" t="s">
        <v>798</v>
      </c>
      <c r="K2173" s="15" t="s">
        <v>798</v>
      </c>
      <c r="L2173" s="12" t="s">
        <v>5315</v>
      </c>
      <c r="M2173" s="13" t="s">
        <v>5515</v>
      </c>
      <c r="N2173" s="12" t="s">
        <v>803</v>
      </c>
      <c r="O2173" s="13" t="s">
        <v>5129</v>
      </c>
      <c r="P2173" s="17" t="s">
        <v>802</v>
      </c>
      <c r="Q2173" s="21" t="s">
        <v>7718</v>
      </c>
      <c r="R2173" s="17" t="s">
        <v>801</v>
      </c>
      <c r="S2173" s="18" t="s">
        <v>2554</v>
      </c>
      <c r="T2173" s="17" t="s">
        <v>800</v>
      </c>
      <c r="U2173" s="18" t="s">
        <v>5233</v>
      </c>
      <c r="V2173" s="17" t="s">
        <v>9418</v>
      </c>
      <c r="W2173" s="18" t="s">
        <v>5310</v>
      </c>
      <c r="X2173" s="69" t="s">
        <v>9453</v>
      </c>
      <c r="Y2173" s="70" t="s">
        <v>9463</v>
      </c>
      <c r="Z2173" s="73" t="s">
        <v>9486</v>
      </c>
      <c r="AA2173" s="74" t="s">
        <v>9504</v>
      </c>
      <c r="AB2173" s="73" t="s">
        <v>9486</v>
      </c>
      <c r="AC2173" s="74" t="s">
        <v>9562</v>
      </c>
      <c r="AD2173" s="73" t="s">
        <v>9578</v>
      </c>
      <c r="AE2173" s="74" t="s">
        <v>9579</v>
      </c>
    </row>
    <row r="2174" spans="1:31" ht="8.65" customHeight="1" x14ac:dyDescent="0.2">
      <c r="A2174" s="76">
        <v>2174</v>
      </c>
      <c r="B2174" s="67" t="str">
        <f>MID(C2174, FIND("Ifc.", C2174) + 4, 4) &amp; "_" &amp; TEXT(COUNTIF($C$2:C2174, C2174),"0000")</f>
        <v>Prop_2173</v>
      </c>
      <c r="C2174" s="24" t="s">
        <v>872</v>
      </c>
      <c r="D2174" s="69" t="s">
        <v>9453</v>
      </c>
      <c r="E2174" s="70" t="s">
        <v>9454</v>
      </c>
      <c r="F2174" s="17" t="s">
        <v>806</v>
      </c>
      <c r="G2174" s="22" t="s">
        <v>1921</v>
      </c>
      <c r="H2174" s="12" t="s">
        <v>9703</v>
      </c>
      <c r="I2174" s="13" t="s">
        <v>6577</v>
      </c>
      <c r="J2174" s="14" t="s">
        <v>798</v>
      </c>
      <c r="K2174" s="15" t="s">
        <v>798</v>
      </c>
      <c r="L2174" s="12" t="s">
        <v>5315</v>
      </c>
      <c r="M2174" s="13" t="s">
        <v>5962</v>
      </c>
      <c r="N2174" s="12" t="s">
        <v>803</v>
      </c>
      <c r="O2174" s="13" t="s">
        <v>5059</v>
      </c>
      <c r="P2174" s="17" t="s">
        <v>802</v>
      </c>
      <c r="Q2174" s="21" t="s">
        <v>7934</v>
      </c>
      <c r="R2174" s="17" t="s">
        <v>801</v>
      </c>
      <c r="S2174" s="18" t="s">
        <v>2554</v>
      </c>
      <c r="T2174" s="17" t="s">
        <v>800</v>
      </c>
      <c r="U2174" s="18" t="s">
        <v>5233</v>
      </c>
      <c r="V2174" s="17" t="s">
        <v>9418</v>
      </c>
      <c r="W2174" s="18" t="s">
        <v>5310</v>
      </c>
      <c r="X2174" s="69" t="s">
        <v>9453</v>
      </c>
      <c r="Y2174" s="70" t="s">
        <v>9463</v>
      </c>
      <c r="Z2174" s="73" t="s">
        <v>9486</v>
      </c>
      <c r="AA2174" s="74" t="s">
        <v>9504</v>
      </c>
      <c r="AB2174" s="73" t="s">
        <v>9486</v>
      </c>
      <c r="AC2174" s="74" t="s">
        <v>9562</v>
      </c>
      <c r="AD2174" s="73" t="s">
        <v>9578</v>
      </c>
      <c r="AE2174" s="74" t="s">
        <v>9579</v>
      </c>
    </row>
    <row r="2175" spans="1:31" ht="8.65" customHeight="1" x14ac:dyDescent="0.2">
      <c r="A2175" s="76">
        <v>2175</v>
      </c>
      <c r="B2175" s="67" t="str">
        <f>MID(C2175, FIND("Ifc.", C2175) + 4, 4) &amp; "_" &amp; TEXT(COUNTIF($C$2:C2175, C2175),"0000")</f>
        <v>Prop_2174</v>
      </c>
      <c r="C2175" s="24" t="s">
        <v>872</v>
      </c>
      <c r="D2175" s="69" t="s">
        <v>9453</v>
      </c>
      <c r="E2175" s="70" t="s">
        <v>9454</v>
      </c>
      <c r="F2175" s="17" t="s">
        <v>806</v>
      </c>
      <c r="G2175" s="22" t="s">
        <v>2544</v>
      </c>
      <c r="H2175" s="12" t="s">
        <v>9703</v>
      </c>
      <c r="I2175" s="13" t="s">
        <v>6832</v>
      </c>
      <c r="J2175" s="14" t="s">
        <v>798</v>
      </c>
      <c r="K2175" s="15" t="s">
        <v>798</v>
      </c>
      <c r="L2175" s="12" t="s">
        <v>5315</v>
      </c>
      <c r="M2175" s="13" t="s">
        <v>5581</v>
      </c>
      <c r="N2175" s="12" t="s">
        <v>803</v>
      </c>
      <c r="O2175" s="13" t="s">
        <v>5227</v>
      </c>
      <c r="P2175" s="17" t="s">
        <v>802</v>
      </c>
      <c r="Q2175" s="21" t="s">
        <v>7880</v>
      </c>
      <c r="R2175" s="17" t="s">
        <v>801</v>
      </c>
      <c r="S2175" s="18" t="s">
        <v>2554</v>
      </c>
      <c r="T2175" s="17" t="s">
        <v>800</v>
      </c>
      <c r="U2175" s="18" t="s">
        <v>5233</v>
      </c>
      <c r="V2175" s="17" t="s">
        <v>9418</v>
      </c>
      <c r="W2175" s="18" t="s">
        <v>5310</v>
      </c>
      <c r="X2175" s="69" t="s">
        <v>9453</v>
      </c>
      <c r="Y2175" s="70" t="s">
        <v>9463</v>
      </c>
      <c r="Z2175" s="73" t="s">
        <v>9486</v>
      </c>
      <c r="AA2175" s="74" t="s">
        <v>9504</v>
      </c>
      <c r="AB2175" s="73" t="s">
        <v>9486</v>
      </c>
      <c r="AC2175" s="74" t="s">
        <v>9562</v>
      </c>
      <c r="AD2175" s="73" t="s">
        <v>9578</v>
      </c>
      <c r="AE2175" s="74" t="s">
        <v>9579</v>
      </c>
    </row>
    <row r="2176" spans="1:31" ht="8.65" customHeight="1" x14ac:dyDescent="0.2">
      <c r="A2176" s="76">
        <v>2176</v>
      </c>
      <c r="B2176" s="67" t="str">
        <f>MID(C2176, FIND("Ifc.", C2176) + 4, 4) &amp; "_" &amp; TEXT(COUNTIF($C$2:C2176, C2176),"0000")</f>
        <v>Prop_2175</v>
      </c>
      <c r="C2176" s="24" t="s">
        <v>872</v>
      </c>
      <c r="D2176" s="69" t="s">
        <v>9453</v>
      </c>
      <c r="E2176" s="70" t="s">
        <v>9454</v>
      </c>
      <c r="F2176" s="17" t="s">
        <v>806</v>
      </c>
      <c r="G2176" s="22" t="s">
        <v>1329</v>
      </c>
      <c r="H2176" s="12" t="s">
        <v>9703</v>
      </c>
      <c r="I2176" s="13" t="s">
        <v>6190</v>
      </c>
      <c r="J2176" s="14" t="s">
        <v>798</v>
      </c>
      <c r="K2176" s="15" t="s">
        <v>798</v>
      </c>
      <c r="L2176" s="12" t="s">
        <v>5315</v>
      </c>
      <c r="M2176" s="13" t="s">
        <v>5979</v>
      </c>
      <c r="N2176" s="12" t="s">
        <v>803</v>
      </c>
      <c r="O2176" s="13" t="s">
        <v>5094</v>
      </c>
      <c r="P2176" s="17" t="s">
        <v>802</v>
      </c>
      <c r="Q2176" s="21" t="s">
        <v>7876</v>
      </c>
      <c r="R2176" s="17" t="s">
        <v>801</v>
      </c>
      <c r="S2176" s="18" t="s">
        <v>2554</v>
      </c>
      <c r="T2176" s="17" t="s">
        <v>800</v>
      </c>
      <c r="U2176" s="18" t="s">
        <v>5233</v>
      </c>
      <c r="V2176" s="17" t="s">
        <v>9418</v>
      </c>
      <c r="W2176" s="18" t="s">
        <v>5310</v>
      </c>
      <c r="X2176" s="69" t="s">
        <v>9453</v>
      </c>
      <c r="Y2176" s="70" t="s">
        <v>9463</v>
      </c>
      <c r="Z2176" s="73" t="s">
        <v>9486</v>
      </c>
      <c r="AA2176" s="74" t="s">
        <v>9504</v>
      </c>
      <c r="AB2176" s="73" t="s">
        <v>9486</v>
      </c>
      <c r="AC2176" s="74" t="s">
        <v>9562</v>
      </c>
      <c r="AD2176" s="73" t="s">
        <v>9578</v>
      </c>
      <c r="AE2176" s="74" t="s">
        <v>9579</v>
      </c>
    </row>
    <row r="2177" spans="1:31" ht="8.65" customHeight="1" x14ac:dyDescent="0.2">
      <c r="A2177" s="76">
        <v>2177</v>
      </c>
      <c r="B2177" s="67" t="str">
        <f>MID(C2177, FIND("Ifc.", C2177) + 4, 4) &amp; "_" &amp; TEXT(COUNTIF($C$2:C2177, C2177),"0000")</f>
        <v>Prop_2176</v>
      </c>
      <c r="C2177" s="24" t="s">
        <v>872</v>
      </c>
      <c r="D2177" s="69" t="s">
        <v>9453</v>
      </c>
      <c r="E2177" s="70" t="s">
        <v>9454</v>
      </c>
      <c r="F2177" s="17" t="s">
        <v>806</v>
      </c>
      <c r="G2177" s="22" t="s">
        <v>1329</v>
      </c>
      <c r="H2177" s="12" t="s">
        <v>9703</v>
      </c>
      <c r="I2177" s="13" t="s">
        <v>6190</v>
      </c>
      <c r="J2177" s="14" t="s">
        <v>798</v>
      </c>
      <c r="K2177" s="15" t="s">
        <v>798</v>
      </c>
      <c r="L2177" s="12" t="s">
        <v>5315</v>
      </c>
      <c r="M2177" s="13" t="s">
        <v>5488</v>
      </c>
      <c r="N2177" s="12" t="s">
        <v>803</v>
      </c>
      <c r="O2177" s="13" t="s">
        <v>5096</v>
      </c>
      <c r="P2177" s="17" t="s">
        <v>802</v>
      </c>
      <c r="Q2177" s="21" t="s">
        <v>7886</v>
      </c>
      <c r="R2177" s="17" t="s">
        <v>801</v>
      </c>
      <c r="S2177" s="18" t="s">
        <v>2554</v>
      </c>
      <c r="T2177" s="17" t="s">
        <v>800</v>
      </c>
      <c r="U2177" s="18" t="s">
        <v>5233</v>
      </c>
      <c r="V2177" s="17" t="s">
        <v>9418</v>
      </c>
      <c r="W2177" s="18" t="s">
        <v>5310</v>
      </c>
      <c r="X2177" s="69" t="s">
        <v>9453</v>
      </c>
      <c r="Y2177" s="70" t="s">
        <v>9463</v>
      </c>
      <c r="Z2177" s="73" t="s">
        <v>9486</v>
      </c>
      <c r="AA2177" s="74" t="s">
        <v>9504</v>
      </c>
      <c r="AB2177" s="73" t="s">
        <v>9486</v>
      </c>
      <c r="AC2177" s="74" t="s">
        <v>9562</v>
      </c>
      <c r="AD2177" s="73" t="s">
        <v>9578</v>
      </c>
      <c r="AE2177" s="74" t="s">
        <v>9579</v>
      </c>
    </row>
    <row r="2178" spans="1:31" ht="8.65" customHeight="1" x14ac:dyDescent="0.2">
      <c r="A2178" s="76">
        <v>2178</v>
      </c>
      <c r="B2178" s="67" t="str">
        <f>MID(C2178, FIND("Ifc.", C2178) + 4, 4) &amp; "_" &amp; TEXT(COUNTIF($C$2:C2178, C2178),"0000")</f>
        <v>Prop_2177</v>
      </c>
      <c r="C2178" s="24" t="s">
        <v>872</v>
      </c>
      <c r="D2178" s="69" t="s">
        <v>9453</v>
      </c>
      <c r="E2178" s="70" t="s">
        <v>9454</v>
      </c>
      <c r="F2178" s="17" t="s">
        <v>806</v>
      </c>
      <c r="G2178" s="22" t="s">
        <v>1329</v>
      </c>
      <c r="H2178" s="12" t="s">
        <v>9703</v>
      </c>
      <c r="I2178" s="13" t="s">
        <v>6190</v>
      </c>
      <c r="J2178" s="14" t="s">
        <v>798</v>
      </c>
      <c r="K2178" s="15" t="s">
        <v>798</v>
      </c>
      <c r="L2178" s="12" t="s">
        <v>5315</v>
      </c>
      <c r="M2178" s="13" t="s">
        <v>5413</v>
      </c>
      <c r="N2178" s="12" t="s">
        <v>803</v>
      </c>
      <c r="O2178" s="13" t="s">
        <v>4911</v>
      </c>
      <c r="P2178" s="17" t="s">
        <v>802</v>
      </c>
      <c r="Q2178" s="21" t="s">
        <v>7714</v>
      </c>
      <c r="R2178" s="17" t="s">
        <v>801</v>
      </c>
      <c r="S2178" s="18" t="s">
        <v>2554</v>
      </c>
      <c r="T2178" s="17" t="s">
        <v>800</v>
      </c>
      <c r="U2178" s="18" t="s">
        <v>5233</v>
      </c>
      <c r="V2178" s="17" t="s">
        <v>9418</v>
      </c>
      <c r="W2178" s="18" t="s">
        <v>5310</v>
      </c>
      <c r="X2178" s="69" t="s">
        <v>9453</v>
      </c>
      <c r="Y2178" s="70" t="s">
        <v>9463</v>
      </c>
      <c r="Z2178" s="73" t="s">
        <v>9486</v>
      </c>
      <c r="AA2178" s="74" t="s">
        <v>9504</v>
      </c>
      <c r="AB2178" s="73" t="s">
        <v>9486</v>
      </c>
      <c r="AC2178" s="74" t="s">
        <v>9562</v>
      </c>
      <c r="AD2178" s="73" t="s">
        <v>9578</v>
      </c>
      <c r="AE2178" s="74" t="s">
        <v>9579</v>
      </c>
    </row>
    <row r="2179" spans="1:31" ht="8.65" customHeight="1" x14ac:dyDescent="0.2">
      <c r="A2179" s="76">
        <v>2179</v>
      </c>
      <c r="B2179" s="67" t="str">
        <f>MID(C2179, FIND("Ifc.", C2179) + 4, 4) &amp; "_" &amp; TEXT(COUNTIF($C$2:C2179, C2179),"0000")</f>
        <v>Prop_2178</v>
      </c>
      <c r="C2179" s="24" t="s">
        <v>872</v>
      </c>
      <c r="D2179" s="69" t="s">
        <v>9453</v>
      </c>
      <c r="E2179" s="70" t="s">
        <v>9454</v>
      </c>
      <c r="F2179" s="17" t="s">
        <v>806</v>
      </c>
      <c r="G2179" s="22" t="s">
        <v>1013</v>
      </c>
      <c r="H2179" s="12" t="s">
        <v>9703</v>
      </c>
      <c r="I2179" s="13" t="s">
        <v>6118</v>
      </c>
      <c r="J2179" s="14" t="s">
        <v>798</v>
      </c>
      <c r="K2179" s="15" t="s">
        <v>798</v>
      </c>
      <c r="L2179" s="12" t="s">
        <v>5315</v>
      </c>
      <c r="M2179" s="13" t="s">
        <v>5377</v>
      </c>
      <c r="N2179" s="12" t="s">
        <v>803</v>
      </c>
      <c r="O2179" s="13" t="s">
        <v>4834</v>
      </c>
      <c r="P2179" s="17" t="s">
        <v>802</v>
      </c>
      <c r="Q2179" s="21" t="s">
        <v>8082</v>
      </c>
      <c r="R2179" s="17" t="s">
        <v>801</v>
      </c>
      <c r="S2179" s="18" t="s">
        <v>2554</v>
      </c>
      <c r="T2179" s="17" t="s">
        <v>800</v>
      </c>
      <c r="U2179" s="18" t="s">
        <v>5233</v>
      </c>
      <c r="V2179" s="17" t="s">
        <v>9418</v>
      </c>
      <c r="W2179" s="18" t="s">
        <v>5310</v>
      </c>
      <c r="X2179" s="69" t="s">
        <v>9453</v>
      </c>
      <c r="Y2179" s="70" t="s">
        <v>9463</v>
      </c>
      <c r="Z2179" s="73" t="s">
        <v>9486</v>
      </c>
      <c r="AA2179" s="74" t="s">
        <v>9504</v>
      </c>
      <c r="AB2179" s="73" t="s">
        <v>9486</v>
      </c>
      <c r="AC2179" s="74" t="s">
        <v>9562</v>
      </c>
      <c r="AD2179" s="73" t="s">
        <v>9578</v>
      </c>
      <c r="AE2179" s="74" t="s">
        <v>9579</v>
      </c>
    </row>
    <row r="2180" spans="1:31" ht="8.65" customHeight="1" x14ac:dyDescent="0.2">
      <c r="A2180" s="76">
        <v>2180</v>
      </c>
      <c r="B2180" s="67" t="str">
        <f>MID(C2180, FIND("Ifc.", C2180) + 4, 4) &amp; "_" &amp; TEXT(COUNTIF($C$2:C2180, C2180),"0000")</f>
        <v>Prop_2179</v>
      </c>
      <c r="C2180" s="24" t="s">
        <v>872</v>
      </c>
      <c r="D2180" s="69" t="s">
        <v>9453</v>
      </c>
      <c r="E2180" s="70" t="s">
        <v>9454</v>
      </c>
      <c r="F2180" s="17" t="s">
        <v>806</v>
      </c>
      <c r="G2180" s="22" t="s">
        <v>2501</v>
      </c>
      <c r="H2180" s="12" t="s">
        <v>9703</v>
      </c>
      <c r="I2180" s="13" t="s">
        <v>6822</v>
      </c>
      <c r="J2180" s="14" t="s">
        <v>798</v>
      </c>
      <c r="K2180" s="15" t="s">
        <v>798</v>
      </c>
      <c r="L2180" s="12" t="s">
        <v>5315</v>
      </c>
      <c r="M2180" s="13" t="s">
        <v>5577</v>
      </c>
      <c r="N2180" s="12" t="s">
        <v>803</v>
      </c>
      <c r="O2180" s="13" t="s">
        <v>5222</v>
      </c>
      <c r="P2180" s="17" t="s">
        <v>802</v>
      </c>
      <c r="Q2180" s="21" t="s">
        <v>7905</v>
      </c>
      <c r="R2180" s="17" t="s">
        <v>801</v>
      </c>
      <c r="S2180" s="18" t="s">
        <v>2554</v>
      </c>
      <c r="T2180" s="17" t="s">
        <v>800</v>
      </c>
      <c r="U2180" s="18" t="s">
        <v>5233</v>
      </c>
      <c r="V2180" s="17" t="s">
        <v>9418</v>
      </c>
      <c r="W2180" s="18" t="s">
        <v>5310</v>
      </c>
      <c r="X2180" s="69" t="s">
        <v>9453</v>
      </c>
      <c r="Y2180" s="70" t="s">
        <v>9463</v>
      </c>
      <c r="Z2180" s="73" t="s">
        <v>9486</v>
      </c>
      <c r="AA2180" s="74" t="s">
        <v>9504</v>
      </c>
      <c r="AB2180" s="73" t="s">
        <v>9486</v>
      </c>
      <c r="AC2180" s="74" t="s">
        <v>9562</v>
      </c>
      <c r="AD2180" s="73" t="s">
        <v>9578</v>
      </c>
      <c r="AE2180" s="74" t="s">
        <v>9579</v>
      </c>
    </row>
    <row r="2181" spans="1:31" ht="8.65" customHeight="1" x14ac:dyDescent="0.2">
      <c r="A2181" s="76">
        <v>2181</v>
      </c>
      <c r="B2181" s="67" t="str">
        <f>MID(C2181, FIND("Ifc.", C2181) + 4, 4) &amp; "_" &amp; TEXT(COUNTIF($C$2:C2181, C2181),"0000")</f>
        <v>Prop_2180</v>
      </c>
      <c r="C2181" s="24" t="s">
        <v>872</v>
      </c>
      <c r="D2181" s="69" t="s">
        <v>9453</v>
      </c>
      <c r="E2181" s="70" t="s">
        <v>9454</v>
      </c>
      <c r="F2181" s="17" t="s">
        <v>806</v>
      </c>
      <c r="G2181" s="22" t="s">
        <v>2363</v>
      </c>
      <c r="H2181" s="12" t="s">
        <v>9703</v>
      </c>
      <c r="I2181" s="13" t="s">
        <v>6750</v>
      </c>
      <c r="J2181" s="14" t="s">
        <v>798</v>
      </c>
      <c r="K2181" s="15" t="s">
        <v>798</v>
      </c>
      <c r="L2181" s="12" t="s">
        <v>5315</v>
      </c>
      <c r="M2181" s="13" t="s">
        <v>5781</v>
      </c>
      <c r="N2181" s="12" t="s">
        <v>803</v>
      </c>
      <c r="O2181" s="13" t="s">
        <v>5180</v>
      </c>
      <c r="P2181" s="17" t="s">
        <v>802</v>
      </c>
      <c r="Q2181" s="21" t="s">
        <v>7699</v>
      </c>
      <c r="R2181" s="17" t="s">
        <v>801</v>
      </c>
      <c r="S2181" s="18" t="s">
        <v>2554</v>
      </c>
      <c r="T2181" s="17" t="s">
        <v>800</v>
      </c>
      <c r="U2181" s="18" t="s">
        <v>5233</v>
      </c>
      <c r="V2181" s="17" t="s">
        <v>9418</v>
      </c>
      <c r="W2181" s="18" t="s">
        <v>5310</v>
      </c>
      <c r="X2181" s="69" t="s">
        <v>9453</v>
      </c>
      <c r="Y2181" s="70" t="s">
        <v>9463</v>
      </c>
      <c r="Z2181" s="73" t="s">
        <v>9486</v>
      </c>
      <c r="AA2181" s="74" t="s">
        <v>9504</v>
      </c>
      <c r="AB2181" s="73" t="s">
        <v>9486</v>
      </c>
      <c r="AC2181" s="74" t="s">
        <v>9562</v>
      </c>
      <c r="AD2181" s="73" t="s">
        <v>9578</v>
      </c>
      <c r="AE2181" s="74" t="s">
        <v>9579</v>
      </c>
    </row>
    <row r="2182" spans="1:31" ht="8.65" customHeight="1" x14ac:dyDescent="0.2">
      <c r="A2182" s="76">
        <v>2182</v>
      </c>
      <c r="B2182" s="67" t="str">
        <f>MID(C2182, FIND("Ifc.", C2182) + 4, 4) &amp; "_" &amp; TEXT(COUNTIF($C$2:C2182, C2182),"0000")</f>
        <v>Prop_2181</v>
      </c>
      <c r="C2182" s="24" t="s">
        <v>872</v>
      </c>
      <c r="D2182" s="69" t="s">
        <v>9453</v>
      </c>
      <c r="E2182" s="70" t="s">
        <v>9454</v>
      </c>
      <c r="F2182" s="17" t="s">
        <v>806</v>
      </c>
      <c r="G2182" s="22" t="s">
        <v>1181</v>
      </c>
      <c r="H2182" s="12" t="s">
        <v>9703</v>
      </c>
      <c r="I2182" s="13" t="s">
        <v>6215</v>
      </c>
      <c r="J2182" s="14" t="s">
        <v>798</v>
      </c>
      <c r="K2182" s="15" t="s">
        <v>798</v>
      </c>
      <c r="L2182" s="12" t="s">
        <v>5315</v>
      </c>
      <c r="M2182" s="13" t="s">
        <v>6048</v>
      </c>
      <c r="N2182" s="12" t="s">
        <v>803</v>
      </c>
      <c r="O2182" s="13" t="s">
        <v>4877</v>
      </c>
      <c r="P2182" s="17" t="s">
        <v>802</v>
      </c>
      <c r="Q2182" s="21" t="s">
        <v>7982</v>
      </c>
      <c r="R2182" s="17" t="s">
        <v>801</v>
      </c>
      <c r="S2182" s="18" t="s">
        <v>2554</v>
      </c>
      <c r="T2182" s="17" t="s">
        <v>800</v>
      </c>
      <c r="U2182" s="18" t="s">
        <v>5233</v>
      </c>
      <c r="V2182" s="17" t="s">
        <v>9418</v>
      </c>
      <c r="W2182" s="18" t="s">
        <v>5310</v>
      </c>
      <c r="X2182" s="69" t="s">
        <v>9453</v>
      </c>
      <c r="Y2182" s="70" t="s">
        <v>9463</v>
      </c>
      <c r="Z2182" s="73" t="s">
        <v>9486</v>
      </c>
      <c r="AA2182" s="74" t="s">
        <v>9504</v>
      </c>
      <c r="AB2182" s="73" t="s">
        <v>9486</v>
      </c>
      <c r="AC2182" s="74" t="s">
        <v>9562</v>
      </c>
      <c r="AD2182" s="73" t="s">
        <v>9578</v>
      </c>
      <c r="AE2182" s="74" t="s">
        <v>9579</v>
      </c>
    </row>
    <row r="2183" spans="1:31" ht="8.65" customHeight="1" x14ac:dyDescent="0.2">
      <c r="A2183" s="76">
        <v>2183</v>
      </c>
      <c r="B2183" s="67" t="str">
        <f>MID(C2183, FIND("Ifc.", C2183) + 4, 4) &amp; "_" &amp; TEXT(COUNTIF($C$2:C2183, C2183),"0000")</f>
        <v>Prop_2182</v>
      </c>
      <c r="C2183" s="24" t="s">
        <v>872</v>
      </c>
      <c r="D2183" s="69" t="s">
        <v>9453</v>
      </c>
      <c r="E2183" s="70" t="s">
        <v>9454</v>
      </c>
      <c r="F2183" s="17" t="s">
        <v>806</v>
      </c>
      <c r="G2183" s="22" t="s">
        <v>1181</v>
      </c>
      <c r="H2183" s="12" t="s">
        <v>9703</v>
      </c>
      <c r="I2183" s="13" t="s">
        <v>6215</v>
      </c>
      <c r="J2183" s="14" t="s">
        <v>798</v>
      </c>
      <c r="K2183" s="15" t="s">
        <v>798</v>
      </c>
      <c r="L2183" s="12" t="s">
        <v>5315</v>
      </c>
      <c r="M2183" s="13" t="s">
        <v>6049</v>
      </c>
      <c r="N2183" s="12" t="s">
        <v>803</v>
      </c>
      <c r="O2183" s="13" t="s">
        <v>4878</v>
      </c>
      <c r="P2183" s="17" t="s">
        <v>802</v>
      </c>
      <c r="Q2183" s="21" t="s">
        <v>7983</v>
      </c>
      <c r="R2183" s="17" t="s">
        <v>801</v>
      </c>
      <c r="S2183" s="18" t="s">
        <v>2554</v>
      </c>
      <c r="T2183" s="17" t="s">
        <v>800</v>
      </c>
      <c r="U2183" s="18" t="s">
        <v>5233</v>
      </c>
      <c r="V2183" s="17" t="s">
        <v>9418</v>
      </c>
      <c r="W2183" s="18" t="s">
        <v>5310</v>
      </c>
      <c r="X2183" s="69" t="s">
        <v>9453</v>
      </c>
      <c r="Y2183" s="70" t="s">
        <v>9463</v>
      </c>
      <c r="Z2183" s="73" t="s">
        <v>9486</v>
      </c>
      <c r="AA2183" s="74" t="s">
        <v>9504</v>
      </c>
      <c r="AB2183" s="73" t="s">
        <v>9486</v>
      </c>
      <c r="AC2183" s="74" t="s">
        <v>9562</v>
      </c>
      <c r="AD2183" s="73" t="s">
        <v>9578</v>
      </c>
      <c r="AE2183" s="74" t="s">
        <v>9579</v>
      </c>
    </row>
    <row r="2184" spans="1:31" ht="8.65" customHeight="1" x14ac:dyDescent="0.2">
      <c r="A2184" s="76">
        <v>2184</v>
      </c>
      <c r="B2184" s="67" t="str">
        <f>MID(C2184, FIND("Ifc.", C2184) + 4, 4) &amp; "_" &amp; TEXT(COUNTIF($C$2:C2184, C2184),"0000")</f>
        <v>Prop_2183</v>
      </c>
      <c r="C2184" s="24" t="s">
        <v>872</v>
      </c>
      <c r="D2184" s="69" t="s">
        <v>9453</v>
      </c>
      <c r="E2184" s="70" t="s">
        <v>9454</v>
      </c>
      <c r="F2184" s="17" t="s">
        <v>806</v>
      </c>
      <c r="G2184" s="22" t="s">
        <v>1181</v>
      </c>
      <c r="H2184" s="12" t="s">
        <v>9703</v>
      </c>
      <c r="I2184" s="13" t="s">
        <v>6215</v>
      </c>
      <c r="J2184" s="14" t="s">
        <v>798</v>
      </c>
      <c r="K2184" s="15" t="s">
        <v>798</v>
      </c>
      <c r="L2184" s="12" t="s">
        <v>5315</v>
      </c>
      <c r="M2184" s="13" t="s">
        <v>6050</v>
      </c>
      <c r="N2184" s="12" t="s">
        <v>803</v>
      </c>
      <c r="O2184" s="13" t="s">
        <v>4879</v>
      </c>
      <c r="P2184" s="17" t="s">
        <v>802</v>
      </c>
      <c r="Q2184" s="21" t="s">
        <v>7740</v>
      </c>
      <c r="R2184" s="17" t="s">
        <v>801</v>
      </c>
      <c r="S2184" s="18" t="s">
        <v>2554</v>
      </c>
      <c r="T2184" s="17" t="s">
        <v>800</v>
      </c>
      <c r="U2184" s="18" t="s">
        <v>5233</v>
      </c>
      <c r="V2184" s="17" t="s">
        <v>9418</v>
      </c>
      <c r="W2184" s="18" t="s">
        <v>5310</v>
      </c>
      <c r="X2184" s="69" t="s">
        <v>9453</v>
      </c>
      <c r="Y2184" s="70" t="s">
        <v>9463</v>
      </c>
      <c r="Z2184" s="73" t="s">
        <v>9486</v>
      </c>
      <c r="AA2184" s="74" t="s">
        <v>9504</v>
      </c>
      <c r="AB2184" s="73" t="s">
        <v>9486</v>
      </c>
      <c r="AC2184" s="74" t="s">
        <v>9562</v>
      </c>
      <c r="AD2184" s="73" t="s">
        <v>9578</v>
      </c>
      <c r="AE2184" s="74" t="s">
        <v>9579</v>
      </c>
    </row>
    <row r="2185" spans="1:31" ht="8.65" customHeight="1" x14ac:dyDescent="0.2">
      <c r="A2185" s="76">
        <v>2185</v>
      </c>
      <c r="B2185" s="67" t="str">
        <f>MID(C2185, FIND("Ifc.", C2185) + 4, 4) &amp; "_" &amp; TEXT(COUNTIF($C$2:C2185, C2185),"0000")</f>
        <v>Prop_2184</v>
      </c>
      <c r="C2185" s="24" t="s">
        <v>872</v>
      </c>
      <c r="D2185" s="69" t="s">
        <v>9453</v>
      </c>
      <c r="E2185" s="70" t="s">
        <v>9454</v>
      </c>
      <c r="F2185" s="17" t="s">
        <v>806</v>
      </c>
      <c r="G2185" s="22" t="s">
        <v>1181</v>
      </c>
      <c r="H2185" s="12" t="s">
        <v>9703</v>
      </c>
      <c r="I2185" s="13" t="s">
        <v>6215</v>
      </c>
      <c r="J2185" s="14" t="s">
        <v>798</v>
      </c>
      <c r="K2185" s="15" t="s">
        <v>798</v>
      </c>
      <c r="L2185" s="12" t="s">
        <v>5315</v>
      </c>
      <c r="M2185" s="13" t="s">
        <v>6051</v>
      </c>
      <c r="N2185" s="12" t="s">
        <v>803</v>
      </c>
      <c r="O2185" s="13" t="s">
        <v>4880</v>
      </c>
      <c r="P2185" s="17" t="s">
        <v>802</v>
      </c>
      <c r="Q2185" s="21" t="s">
        <v>7882</v>
      </c>
      <c r="R2185" s="17" t="s">
        <v>801</v>
      </c>
      <c r="S2185" s="18" t="s">
        <v>2554</v>
      </c>
      <c r="T2185" s="17" t="s">
        <v>800</v>
      </c>
      <c r="U2185" s="18" t="s">
        <v>5233</v>
      </c>
      <c r="V2185" s="17" t="s">
        <v>9418</v>
      </c>
      <c r="W2185" s="18" t="s">
        <v>5310</v>
      </c>
      <c r="X2185" s="69" t="s">
        <v>9453</v>
      </c>
      <c r="Y2185" s="70" t="s">
        <v>9463</v>
      </c>
      <c r="Z2185" s="73" t="s">
        <v>9486</v>
      </c>
      <c r="AA2185" s="74" t="s">
        <v>9504</v>
      </c>
      <c r="AB2185" s="73" t="s">
        <v>9486</v>
      </c>
      <c r="AC2185" s="74" t="s">
        <v>9562</v>
      </c>
      <c r="AD2185" s="73" t="s">
        <v>9578</v>
      </c>
      <c r="AE2185" s="74" t="s">
        <v>9579</v>
      </c>
    </row>
    <row r="2186" spans="1:31" ht="8.65" customHeight="1" x14ac:dyDescent="0.2">
      <c r="A2186" s="76">
        <v>2186</v>
      </c>
      <c r="B2186" s="67" t="str">
        <f>MID(C2186, FIND("Ifc.", C2186) + 4, 4) &amp; "_" &amp; TEXT(COUNTIF($C$2:C2186, C2186),"0000")</f>
        <v>Prop_2185</v>
      </c>
      <c r="C2186" s="24" t="s">
        <v>872</v>
      </c>
      <c r="D2186" s="69" t="s">
        <v>9453</v>
      </c>
      <c r="E2186" s="70" t="s">
        <v>9454</v>
      </c>
      <c r="F2186" s="17" t="s">
        <v>806</v>
      </c>
      <c r="G2186" s="22" t="s">
        <v>1181</v>
      </c>
      <c r="H2186" s="12" t="s">
        <v>9703</v>
      </c>
      <c r="I2186" s="13" t="s">
        <v>6215</v>
      </c>
      <c r="J2186" s="14" t="s">
        <v>798</v>
      </c>
      <c r="K2186" s="15" t="s">
        <v>798</v>
      </c>
      <c r="L2186" s="12" t="s">
        <v>5315</v>
      </c>
      <c r="M2186" s="13" t="s">
        <v>5822</v>
      </c>
      <c r="N2186" s="12" t="s">
        <v>803</v>
      </c>
      <c r="O2186" s="13" t="s">
        <v>4884</v>
      </c>
      <c r="P2186" s="17" t="s">
        <v>802</v>
      </c>
      <c r="Q2186" s="21" t="s">
        <v>7831</v>
      </c>
      <c r="R2186" s="17" t="s">
        <v>801</v>
      </c>
      <c r="S2186" s="18" t="s">
        <v>2554</v>
      </c>
      <c r="T2186" s="17" t="s">
        <v>800</v>
      </c>
      <c r="U2186" s="18" t="s">
        <v>5233</v>
      </c>
      <c r="V2186" s="17" t="s">
        <v>9418</v>
      </c>
      <c r="W2186" s="18" t="s">
        <v>5309</v>
      </c>
      <c r="X2186" s="69" t="s">
        <v>9453</v>
      </c>
      <c r="Y2186" s="70" t="s">
        <v>9462</v>
      </c>
      <c r="Z2186" s="73" t="s">
        <v>9486</v>
      </c>
      <c r="AA2186" s="74" t="s">
        <v>9504</v>
      </c>
      <c r="AB2186" s="73" t="s">
        <v>9486</v>
      </c>
      <c r="AC2186" s="74" t="s">
        <v>9562</v>
      </c>
      <c r="AD2186" s="73" t="s">
        <v>9578</v>
      </c>
      <c r="AE2186" s="74" t="s">
        <v>9579</v>
      </c>
    </row>
    <row r="2187" spans="1:31" ht="8.65" customHeight="1" x14ac:dyDescent="0.2">
      <c r="A2187" s="76">
        <v>2187</v>
      </c>
      <c r="B2187" s="67" t="str">
        <f>MID(C2187, FIND("Ifc.", C2187) + 4, 4) &amp; "_" &amp; TEXT(COUNTIF($C$2:C2187, C2187),"0000")</f>
        <v>Prop_2186</v>
      </c>
      <c r="C2187" s="24" t="s">
        <v>872</v>
      </c>
      <c r="D2187" s="69" t="s">
        <v>9453</v>
      </c>
      <c r="E2187" s="70" t="s">
        <v>9454</v>
      </c>
      <c r="F2187" s="17" t="s">
        <v>806</v>
      </c>
      <c r="G2187" s="22" t="s">
        <v>1181</v>
      </c>
      <c r="H2187" s="12" t="s">
        <v>9703</v>
      </c>
      <c r="I2187" s="13" t="s">
        <v>6215</v>
      </c>
      <c r="J2187" s="14" t="s">
        <v>798</v>
      </c>
      <c r="K2187" s="15" t="s">
        <v>798</v>
      </c>
      <c r="L2187" s="12" t="s">
        <v>5315</v>
      </c>
      <c r="M2187" s="13" t="s">
        <v>5822</v>
      </c>
      <c r="N2187" s="12" t="s">
        <v>803</v>
      </c>
      <c r="O2187" s="13" t="s">
        <v>4885</v>
      </c>
      <c r="P2187" s="17" t="s">
        <v>802</v>
      </c>
      <c r="Q2187" s="21" t="s">
        <v>8083</v>
      </c>
      <c r="R2187" s="17" t="s">
        <v>801</v>
      </c>
      <c r="S2187" s="18" t="s">
        <v>2554</v>
      </c>
      <c r="T2187" s="17" t="s">
        <v>800</v>
      </c>
      <c r="U2187" s="18" t="s">
        <v>5233</v>
      </c>
      <c r="V2187" s="17" t="s">
        <v>9418</v>
      </c>
      <c r="W2187" s="18" t="s">
        <v>5309</v>
      </c>
      <c r="X2187" s="69" t="s">
        <v>9453</v>
      </c>
      <c r="Y2187" s="70" t="s">
        <v>9462</v>
      </c>
      <c r="Z2187" s="73" t="s">
        <v>9486</v>
      </c>
      <c r="AA2187" s="74" t="s">
        <v>9504</v>
      </c>
      <c r="AB2187" s="73" t="s">
        <v>9486</v>
      </c>
      <c r="AC2187" s="74" t="s">
        <v>9562</v>
      </c>
      <c r="AD2187" s="73" t="s">
        <v>9578</v>
      </c>
      <c r="AE2187" s="74" t="s">
        <v>9579</v>
      </c>
    </row>
    <row r="2188" spans="1:31" ht="8.65" customHeight="1" x14ac:dyDescent="0.2">
      <c r="A2188" s="76">
        <v>2188</v>
      </c>
      <c r="B2188" s="67" t="str">
        <f>MID(C2188, FIND("Ifc.", C2188) + 4, 4) &amp; "_" &amp; TEXT(COUNTIF($C$2:C2188, C2188),"0000")</f>
        <v>Prop_2187</v>
      </c>
      <c r="C2188" s="24" t="s">
        <v>872</v>
      </c>
      <c r="D2188" s="69" t="s">
        <v>9453</v>
      </c>
      <c r="E2188" s="70" t="s">
        <v>9454</v>
      </c>
      <c r="F2188" s="17" t="s">
        <v>806</v>
      </c>
      <c r="G2188" s="22" t="s">
        <v>1181</v>
      </c>
      <c r="H2188" s="12" t="s">
        <v>9703</v>
      </c>
      <c r="I2188" s="13" t="s">
        <v>6215</v>
      </c>
      <c r="J2188" s="14" t="s">
        <v>798</v>
      </c>
      <c r="K2188" s="15" t="s">
        <v>798</v>
      </c>
      <c r="L2188" s="12" t="s">
        <v>5315</v>
      </c>
      <c r="M2188" s="13" t="s">
        <v>5855</v>
      </c>
      <c r="N2188" s="12" t="s">
        <v>803</v>
      </c>
      <c r="O2188" s="13" t="s">
        <v>5098</v>
      </c>
      <c r="P2188" s="17" t="s">
        <v>802</v>
      </c>
      <c r="Q2188" s="21" t="s">
        <v>8005</v>
      </c>
      <c r="R2188" s="17" t="s">
        <v>801</v>
      </c>
      <c r="S2188" s="18" t="s">
        <v>2554</v>
      </c>
      <c r="T2188" s="17" t="s">
        <v>800</v>
      </c>
      <c r="U2188" s="18" t="s">
        <v>5233</v>
      </c>
      <c r="V2188" s="17" t="s">
        <v>9418</v>
      </c>
      <c r="W2188" s="18" t="s">
        <v>5310</v>
      </c>
      <c r="X2188" s="69" t="s">
        <v>9453</v>
      </c>
      <c r="Y2188" s="70" t="s">
        <v>9463</v>
      </c>
      <c r="Z2188" s="73" t="s">
        <v>9486</v>
      </c>
      <c r="AA2188" s="74" t="s">
        <v>9504</v>
      </c>
      <c r="AB2188" s="73" t="s">
        <v>9486</v>
      </c>
      <c r="AC2188" s="74" t="s">
        <v>9562</v>
      </c>
      <c r="AD2188" s="73" t="s">
        <v>9578</v>
      </c>
      <c r="AE2188" s="74" t="s">
        <v>9579</v>
      </c>
    </row>
    <row r="2189" spans="1:31" ht="8.65" customHeight="1" x14ac:dyDescent="0.2">
      <c r="A2189" s="76">
        <v>2189</v>
      </c>
      <c r="B2189" s="67" t="str">
        <f>MID(C2189, FIND("Ifc.", C2189) + 4, 4) &amp; "_" &amp; TEXT(COUNTIF($C$2:C2189, C2189),"0000")</f>
        <v>Prop_2188</v>
      </c>
      <c r="C2189" s="24" t="s">
        <v>872</v>
      </c>
      <c r="D2189" s="69" t="s">
        <v>9453</v>
      </c>
      <c r="E2189" s="70" t="s">
        <v>9454</v>
      </c>
      <c r="F2189" s="17" t="s">
        <v>806</v>
      </c>
      <c r="G2189" s="22" t="s">
        <v>1009</v>
      </c>
      <c r="H2189" s="12" t="s">
        <v>9703</v>
      </c>
      <c r="I2189" s="13" t="s">
        <v>7107</v>
      </c>
      <c r="J2189" s="14" t="s">
        <v>798</v>
      </c>
      <c r="K2189" s="15" t="s">
        <v>798</v>
      </c>
      <c r="L2189" s="12" t="s">
        <v>5315</v>
      </c>
      <c r="M2189" s="13" t="s">
        <v>6022</v>
      </c>
      <c r="N2189" s="12" t="s">
        <v>803</v>
      </c>
      <c r="O2189" s="13" t="s">
        <v>4832</v>
      </c>
      <c r="P2189" s="17" t="s">
        <v>802</v>
      </c>
      <c r="Q2189" s="21" t="s">
        <v>8084</v>
      </c>
      <c r="R2189" s="17" t="s">
        <v>801</v>
      </c>
      <c r="S2189" s="18" t="s">
        <v>2554</v>
      </c>
      <c r="T2189" s="17" t="s">
        <v>800</v>
      </c>
      <c r="U2189" s="18" t="s">
        <v>5233</v>
      </c>
      <c r="V2189" s="17" t="s">
        <v>9418</v>
      </c>
      <c r="W2189" s="18" t="s">
        <v>5310</v>
      </c>
      <c r="X2189" s="69" t="s">
        <v>9453</v>
      </c>
      <c r="Y2189" s="70" t="s">
        <v>9463</v>
      </c>
      <c r="Z2189" s="73" t="s">
        <v>9486</v>
      </c>
      <c r="AA2189" s="74" t="s">
        <v>9504</v>
      </c>
      <c r="AB2189" s="73" t="s">
        <v>9486</v>
      </c>
      <c r="AC2189" s="74" t="s">
        <v>9562</v>
      </c>
      <c r="AD2189" s="73" t="s">
        <v>9578</v>
      </c>
      <c r="AE2189" s="74" t="s">
        <v>9579</v>
      </c>
    </row>
    <row r="2190" spans="1:31" ht="8.65" customHeight="1" x14ac:dyDescent="0.2">
      <c r="A2190" s="76">
        <v>2190</v>
      </c>
      <c r="B2190" s="67" t="str">
        <f>MID(C2190, FIND("Ifc.", C2190) + 4, 4) &amp; "_" &amp; TEXT(COUNTIF($C$2:C2190, C2190),"0000")</f>
        <v>Prop_2189</v>
      </c>
      <c r="C2190" s="24" t="s">
        <v>872</v>
      </c>
      <c r="D2190" s="69" t="s">
        <v>9453</v>
      </c>
      <c r="E2190" s="70" t="s">
        <v>9454</v>
      </c>
      <c r="F2190" s="17" t="s">
        <v>806</v>
      </c>
      <c r="G2190" s="22" t="s">
        <v>2430</v>
      </c>
      <c r="H2190" s="12" t="s">
        <v>9703</v>
      </c>
      <c r="I2190" s="13" t="s">
        <v>6784</v>
      </c>
      <c r="J2190" s="14" t="s">
        <v>798</v>
      </c>
      <c r="K2190" s="15" t="s">
        <v>798</v>
      </c>
      <c r="L2190" s="12" t="s">
        <v>5315</v>
      </c>
      <c r="M2190" s="13" t="s">
        <v>5570</v>
      </c>
      <c r="N2190" s="12" t="s">
        <v>803</v>
      </c>
      <c r="O2190" s="13" t="s">
        <v>5203</v>
      </c>
      <c r="P2190" s="17" t="s">
        <v>802</v>
      </c>
      <c r="Q2190" s="21" t="s">
        <v>7900</v>
      </c>
      <c r="R2190" s="17" t="s">
        <v>801</v>
      </c>
      <c r="S2190" s="18" t="s">
        <v>2554</v>
      </c>
      <c r="T2190" s="17" t="s">
        <v>800</v>
      </c>
      <c r="U2190" s="18" t="s">
        <v>5233</v>
      </c>
      <c r="V2190" s="17" t="s">
        <v>9418</v>
      </c>
      <c r="W2190" s="18" t="s">
        <v>5310</v>
      </c>
      <c r="X2190" s="69" t="s">
        <v>9453</v>
      </c>
      <c r="Y2190" s="70" t="s">
        <v>9463</v>
      </c>
      <c r="Z2190" s="73" t="s">
        <v>9486</v>
      </c>
      <c r="AA2190" s="74" t="s">
        <v>9504</v>
      </c>
      <c r="AB2190" s="73" t="s">
        <v>9486</v>
      </c>
      <c r="AC2190" s="74" t="s">
        <v>9562</v>
      </c>
      <c r="AD2190" s="73" t="s">
        <v>9578</v>
      </c>
      <c r="AE2190" s="74" t="s">
        <v>9579</v>
      </c>
    </row>
    <row r="2191" spans="1:31" ht="8.65" customHeight="1" x14ac:dyDescent="0.2">
      <c r="A2191" s="76">
        <v>2191</v>
      </c>
      <c r="B2191" s="67" t="str">
        <f>MID(C2191, FIND("Ifc.", C2191) + 4, 4) &amp; "_" &amp; TEXT(COUNTIF($C$2:C2191, C2191),"0000")</f>
        <v>Prop_2190</v>
      </c>
      <c r="C2191" s="24" t="s">
        <v>872</v>
      </c>
      <c r="D2191" s="69" t="s">
        <v>9453</v>
      </c>
      <c r="E2191" s="70" t="s">
        <v>9454</v>
      </c>
      <c r="F2191" s="17" t="s">
        <v>806</v>
      </c>
      <c r="G2191" s="22" t="s">
        <v>1755</v>
      </c>
      <c r="H2191" s="12" t="s">
        <v>9703</v>
      </c>
      <c r="I2191" s="13" t="s">
        <v>7258</v>
      </c>
      <c r="J2191" s="14" t="s">
        <v>798</v>
      </c>
      <c r="K2191" s="15" t="s">
        <v>798</v>
      </c>
      <c r="L2191" s="12" t="s">
        <v>5315</v>
      </c>
      <c r="M2191" s="13" t="s">
        <v>5450</v>
      </c>
      <c r="N2191" s="12" t="s">
        <v>803</v>
      </c>
      <c r="O2191" s="13" t="s">
        <v>5007</v>
      </c>
      <c r="P2191" s="17" t="s">
        <v>802</v>
      </c>
      <c r="Q2191" s="21" t="s">
        <v>7976</v>
      </c>
      <c r="R2191" s="17" t="s">
        <v>801</v>
      </c>
      <c r="S2191" s="18" t="s">
        <v>2554</v>
      </c>
      <c r="T2191" s="17" t="s">
        <v>800</v>
      </c>
      <c r="U2191" s="18" t="s">
        <v>5233</v>
      </c>
      <c r="V2191" s="17" t="s">
        <v>9418</v>
      </c>
      <c r="W2191" s="18" t="s">
        <v>5310</v>
      </c>
      <c r="X2191" s="69" t="s">
        <v>9453</v>
      </c>
      <c r="Y2191" s="70" t="s">
        <v>9463</v>
      </c>
      <c r="Z2191" s="73" t="s">
        <v>9486</v>
      </c>
      <c r="AA2191" s="74" t="s">
        <v>9504</v>
      </c>
      <c r="AB2191" s="73" t="s">
        <v>9486</v>
      </c>
      <c r="AC2191" s="74" t="s">
        <v>9562</v>
      </c>
      <c r="AD2191" s="73" t="s">
        <v>9578</v>
      </c>
      <c r="AE2191" s="74" t="s">
        <v>9579</v>
      </c>
    </row>
    <row r="2192" spans="1:31" ht="8.65" customHeight="1" x14ac:dyDescent="0.2">
      <c r="A2192" s="76">
        <v>2192</v>
      </c>
      <c r="B2192" s="67" t="str">
        <f>MID(C2192, FIND("Ifc.", C2192) + 4, 4) &amp; "_" &amp; TEXT(COUNTIF($C$2:C2192, C2192),"0000")</f>
        <v>Prop_2191</v>
      </c>
      <c r="C2192" s="24" t="s">
        <v>872</v>
      </c>
      <c r="D2192" s="69" t="s">
        <v>9453</v>
      </c>
      <c r="E2192" s="70" t="s">
        <v>9454</v>
      </c>
      <c r="F2192" s="17" t="s">
        <v>806</v>
      </c>
      <c r="G2192" s="22" t="s">
        <v>1245</v>
      </c>
      <c r="H2192" s="12" t="s">
        <v>9703</v>
      </c>
      <c r="I2192" s="13" t="s">
        <v>6229</v>
      </c>
      <c r="J2192" s="14" t="s">
        <v>798</v>
      </c>
      <c r="K2192" s="15" t="s">
        <v>798</v>
      </c>
      <c r="L2192" s="12" t="s">
        <v>5315</v>
      </c>
      <c r="M2192" s="13" t="s">
        <v>5402</v>
      </c>
      <c r="N2192" s="12" t="s">
        <v>803</v>
      </c>
      <c r="O2192" s="13" t="s">
        <v>4890</v>
      </c>
      <c r="P2192" s="17" t="s">
        <v>802</v>
      </c>
      <c r="Q2192" s="21" t="s">
        <v>7909</v>
      </c>
      <c r="R2192" s="17" t="s">
        <v>801</v>
      </c>
      <c r="S2192" s="18" t="s">
        <v>2554</v>
      </c>
      <c r="T2192" s="17" t="s">
        <v>800</v>
      </c>
      <c r="U2192" s="18" t="s">
        <v>5233</v>
      </c>
      <c r="V2192" s="17" t="s">
        <v>9418</v>
      </c>
      <c r="W2192" s="18" t="s">
        <v>5310</v>
      </c>
      <c r="X2192" s="69" t="s">
        <v>9453</v>
      </c>
      <c r="Y2192" s="70" t="s">
        <v>9463</v>
      </c>
      <c r="Z2192" s="73" t="s">
        <v>9486</v>
      </c>
      <c r="AA2192" s="74" t="s">
        <v>9504</v>
      </c>
      <c r="AB2192" s="73" t="s">
        <v>9486</v>
      </c>
      <c r="AC2192" s="74" t="s">
        <v>9562</v>
      </c>
      <c r="AD2192" s="73" t="s">
        <v>9578</v>
      </c>
      <c r="AE2192" s="74" t="s">
        <v>9579</v>
      </c>
    </row>
    <row r="2193" spans="1:31" ht="8.65" customHeight="1" x14ac:dyDescent="0.2">
      <c r="A2193" s="76">
        <v>2193</v>
      </c>
      <c r="B2193" s="67" t="str">
        <f>MID(C2193, FIND("Ifc.", C2193) + 4, 4) &amp; "_" &amp; TEXT(COUNTIF($C$2:C2193, C2193),"0000")</f>
        <v>Prop_2192</v>
      </c>
      <c r="C2193" s="24" t="s">
        <v>872</v>
      </c>
      <c r="D2193" s="69" t="s">
        <v>9453</v>
      </c>
      <c r="E2193" s="70" t="s">
        <v>9454</v>
      </c>
      <c r="F2193" s="17" t="s">
        <v>806</v>
      </c>
      <c r="G2193" s="22" t="s">
        <v>1941</v>
      </c>
      <c r="H2193" s="12" t="s">
        <v>9703</v>
      </c>
      <c r="I2193" s="13" t="s">
        <v>6586</v>
      </c>
      <c r="J2193" s="14" t="s">
        <v>798</v>
      </c>
      <c r="K2193" s="15" t="s">
        <v>798</v>
      </c>
      <c r="L2193" s="12" t="s">
        <v>5315</v>
      </c>
      <c r="M2193" s="13" t="s">
        <v>5471</v>
      </c>
      <c r="N2193" s="12" t="s">
        <v>803</v>
      </c>
      <c r="O2193" s="13" t="s">
        <v>5063</v>
      </c>
      <c r="P2193" s="17" t="s">
        <v>802</v>
      </c>
      <c r="Q2193" s="21" t="s">
        <v>7738</v>
      </c>
      <c r="R2193" s="17" t="s">
        <v>801</v>
      </c>
      <c r="S2193" s="18" t="s">
        <v>2554</v>
      </c>
      <c r="T2193" s="17" t="s">
        <v>800</v>
      </c>
      <c r="U2193" s="18" t="s">
        <v>5233</v>
      </c>
      <c r="V2193" s="17" t="s">
        <v>9418</v>
      </c>
      <c r="W2193" s="18" t="s">
        <v>5310</v>
      </c>
      <c r="X2193" s="69" t="s">
        <v>9453</v>
      </c>
      <c r="Y2193" s="70" t="s">
        <v>9463</v>
      </c>
      <c r="Z2193" s="73" t="s">
        <v>9486</v>
      </c>
      <c r="AA2193" s="74" t="s">
        <v>9504</v>
      </c>
      <c r="AB2193" s="73" t="s">
        <v>9486</v>
      </c>
      <c r="AC2193" s="74" t="s">
        <v>9562</v>
      </c>
      <c r="AD2193" s="73" t="s">
        <v>9578</v>
      </c>
      <c r="AE2193" s="74" t="s">
        <v>9579</v>
      </c>
    </row>
    <row r="2194" spans="1:31" ht="8.65" customHeight="1" x14ac:dyDescent="0.2">
      <c r="A2194" s="76">
        <v>2194</v>
      </c>
      <c r="B2194" s="67" t="str">
        <f>MID(C2194, FIND("Ifc.", C2194) + 4, 4) &amp; "_" &amp; TEXT(COUNTIF($C$2:C2194, C2194),"0000")</f>
        <v>Prop_2193</v>
      </c>
      <c r="C2194" s="24" t="s">
        <v>872</v>
      </c>
      <c r="D2194" s="69" t="s">
        <v>9453</v>
      </c>
      <c r="E2194" s="70" t="s">
        <v>9454</v>
      </c>
      <c r="F2194" s="17" t="s">
        <v>806</v>
      </c>
      <c r="G2194" s="22" t="s">
        <v>1273</v>
      </c>
      <c r="H2194" s="12" t="s">
        <v>9703</v>
      </c>
      <c r="I2194" s="13" t="s">
        <v>6236</v>
      </c>
      <c r="J2194" s="14" t="s">
        <v>798</v>
      </c>
      <c r="K2194" s="15" t="s">
        <v>798</v>
      </c>
      <c r="L2194" s="12" t="s">
        <v>5315</v>
      </c>
      <c r="M2194" s="13" t="s">
        <v>5406</v>
      </c>
      <c r="N2194" s="12" t="s">
        <v>803</v>
      </c>
      <c r="O2194" s="13" t="s">
        <v>4894</v>
      </c>
      <c r="P2194" s="17" t="s">
        <v>802</v>
      </c>
      <c r="Q2194" s="21" t="s">
        <v>7981</v>
      </c>
      <c r="R2194" s="17" t="s">
        <v>801</v>
      </c>
      <c r="S2194" s="18" t="s">
        <v>2554</v>
      </c>
      <c r="T2194" s="17" t="s">
        <v>800</v>
      </c>
      <c r="U2194" s="18" t="s">
        <v>5233</v>
      </c>
      <c r="V2194" s="17" t="s">
        <v>9418</v>
      </c>
      <c r="W2194" s="18" t="s">
        <v>5310</v>
      </c>
      <c r="X2194" s="69" t="s">
        <v>9453</v>
      </c>
      <c r="Y2194" s="70" t="s">
        <v>9463</v>
      </c>
      <c r="Z2194" s="73" t="s">
        <v>9486</v>
      </c>
      <c r="AA2194" s="74" t="s">
        <v>9504</v>
      </c>
      <c r="AB2194" s="73" t="s">
        <v>9486</v>
      </c>
      <c r="AC2194" s="74" t="s">
        <v>9562</v>
      </c>
      <c r="AD2194" s="73" t="s">
        <v>9578</v>
      </c>
      <c r="AE2194" s="74" t="s">
        <v>9579</v>
      </c>
    </row>
    <row r="2195" spans="1:31" ht="8.65" customHeight="1" x14ac:dyDescent="0.2">
      <c r="A2195" s="76">
        <v>2195</v>
      </c>
      <c r="B2195" s="67" t="str">
        <f>MID(C2195, FIND("Ifc.", C2195) + 4, 4) &amp; "_" &amp; TEXT(COUNTIF($C$2:C2195, C2195),"0000")</f>
        <v>Prop_2194</v>
      </c>
      <c r="C2195" s="24" t="s">
        <v>872</v>
      </c>
      <c r="D2195" s="69" t="s">
        <v>9453</v>
      </c>
      <c r="E2195" s="70" t="s">
        <v>9454</v>
      </c>
      <c r="F2195" s="17" t="s">
        <v>806</v>
      </c>
      <c r="G2195" s="22" t="s">
        <v>981</v>
      </c>
      <c r="H2195" s="12" t="s">
        <v>9703</v>
      </c>
      <c r="I2195" s="13" t="s">
        <v>7254</v>
      </c>
      <c r="J2195" s="14" t="s">
        <v>798</v>
      </c>
      <c r="K2195" s="15" t="s">
        <v>798</v>
      </c>
      <c r="L2195" s="12" t="s">
        <v>5315</v>
      </c>
      <c r="M2195" s="13" t="s">
        <v>5990</v>
      </c>
      <c r="N2195" s="12" t="s">
        <v>803</v>
      </c>
      <c r="O2195" s="13" t="s">
        <v>4827</v>
      </c>
      <c r="P2195" s="17" t="s">
        <v>802</v>
      </c>
      <c r="Q2195" s="21" t="s">
        <v>7704</v>
      </c>
      <c r="R2195" s="17" t="s">
        <v>801</v>
      </c>
      <c r="S2195" s="18" t="s">
        <v>2554</v>
      </c>
      <c r="T2195" s="17" t="s">
        <v>800</v>
      </c>
      <c r="U2195" s="18" t="s">
        <v>5233</v>
      </c>
      <c r="V2195" s="17" t="s">
        <v>9418</v>
      </c>
      <c r="W2195" s="18" t="s">
        <v>5310</v>
      </c>
      <c r="X2195" s="69" t="s">
        <v>9453</v>
      </c>
      <c r="Y2195" s="70" t="s">
        <v>9463</v>
      </c>
      <c r="Z2195" s="73" t="s">
        <v>9486</v>
      </c>
      <c r="AA2195" s="74" t="s">
        <v>9504</v>
      </c>
      <c r="AB2195" s="73" t="s">
        <v>9486</v>
      </c>
      <c r="AC2195" s="74" t="s">
        <v>9562</v>
      </c>
      <c r="AD2195" s="73" t="s">
        <v>9578</v>
      </c>
      <c r="AE2195" s="74" t="s">
        <v>9579</v>
      </c>
    </row>
    <row r="2196" spans="1:31" ht="8.65" customHeight="1" x14ac:dyDescent="0.2">
      <c r="A2196" s="76">
        <v>2196</v>
      </c>
      <c r="B2196" s="67" t="str">
        <f>MID(C2196, FIND("Ifc.", C2196) + 4, 4) &amp; "_" &amp; TEXT(COUNTIF($C$2:C2196, C2196),"0000")</f>
        <v>Prop_2195</v>
      </c>
      <c r="C2196" s="24" t="s">
        <v>872</v>
      </c>
      <c r="D2196" s="69" t="s">
        <v>9453</v>
      </c>
      <c r="E2196" s="70" t="s">
        <v>9454</v>
      </c>
      <c r="F2196" s="17" t="s">
        <v>806</v>
      </c>
      <c r="G2196" s="22" t="s">
        <v>1282</v>
      </c>
      <c r="H2196" s="12" t="s">
        <v>9703</v>
      </c>
      <c r="I2196" s="13" t="s">
        <v>7257</v>
      </c>
      <c r="J2196" s="14" t="s">
        <v>798</v>
      </c>
      <c r="K2196" s="15" t="s">
        <v>798</v>
      </c>
      <c r="L2196" s="12" t="s">
        <v>5315</v>
      </c>
      <c r="M2196" s="13" t="s">
        <v>6021</v>
      </c>
      <c r="N2196" s="12" t="s">
        <v>803</v>
      </c>
      <c r="O2196" s="13" t="s">
        <v>4898</v>
      </c>
      <c r="P2196" s="17" t="s">
        <v>802</v>
      </c>
      <c r="Q2196" s="21" t="s">
        <v>8048</v>
      </c>
      <c r="R2196" s="17" t="s">
        <v>801</v>
      </c>
      <c r="S2196" s="18" t="s">
        <v>2554</v>
      </c>
      <c r="T2196" s="17" t="s">
        <v>800</v>
      </c>
      <c r="U2196" s="18" t="s">
        <v>5233</v>
      </c>
      <c r="V2196" s="17" t="s">
        <v>9418</v>
      </c>
      <c r="W2196" s="18" t="s">
        <v>5310</v>
      </c>
      <c r="X2196" s="69" t="s">
        <v>9453</v>
      </c>
      <c r="Y2196" s="70" t="s">
        <v>9463</v>
      </c>
      <c r="Z2196" s="73" t="s">
        <v>9486</v>
      </c>
      <c r="AA2196" s="74" t="s">
        <v>9504</v>
      </c>
      <c r="AB2196" s="73" t="s">
        <v>9486</v>
      </c>
      <c r="AC2196" s="74" t="s">
        <v>9562</v>
      </c>
      <c r="AD2196" s="73" t="s">
        <v>9578</v>
      </c>
      <c r="AE2196" s="74" t="s">
        <v>9579</v>
      </c>
    </row>
    <row r="2197" spans="1:31" ht="8.65" customHeight="1" x14ac:dyDescent="0.2">
      <c r="A2197" s="76">
        <v>2197</v>
      </c>
      <c r="B2197" s="67" t="str">
        <f>MID(C2197, FIND("Ifc.", C2197) + 4, 4) &amp; "_" &amp; TEXT(COUNTIF($C$2:C2197, C2197),"0000")</f>
        <v>Prop_2196</v>
      </c>
      <c r="C2197" s="24" t="s">
        <v>872</v>
      </c>
      <c r="D2197" s="69" t="s">
        <v>9453</v>
      </c>
      <c r="E2197" s="70" t="s">
        <v>9454</v>
      </c>
      <c r="F2197" s="17" t="s">
        <v>806</v>
      </c>
      <c r="G2197" s="22" t="s">
        <v>1311</v>
      </c>
      <c r="H2197" s="12" t="s">
        <v>9703</v>
      </c>
      <c r="I2197" s="13" t="s">
        <v>6268</v>
      </c>
      <c r="J2197" s="14" t="s">
        <v>798</v>
      </c>
      <c r="K2197" s="15" t="s">
        <v>798</v>
      </c>
      <c r="L2197" s="12" t="s">
        <v>5315</v>
      </c>
      <c r="M2197" s="13" t="s">
        <v>5409</v>
      </c>
      <c r="N2197" s="12" t="s">
        <v>803</v>
      </c>
      <c r="O2197" s="13" t="s">
        <v>4907</v>
      </c>
      <c r="P2197" s="17" t="s">
        <v>802</v>
      </c>
      <c r="Q2197" s="21" t="s">
        <v>7769</v>
      </c>
      <c r="R2197" s="17" t="s">
        <v>801</v>
      </c>
      <c r="S2197" s="18" t="s">
        <v>2554</v>
      </c>
      <c r="T2197" s="17" t="s">
        <v>800</v>
      </c>
      <c r="U2197" s="18" t="s">
        <v>5233</v>
      </c>
      <c r="V2197" s="17" t="s">
        <v>9418</v>
      </c>
      <c r="W2197" s="18" t="s">
        <v>5310</v>
      </c>
      <c r="X2197" s="69" t="s">
        <v>9453</v>
      </c>
      <c r="Y2197" s="70" t="s">
        <v>9463</v>
      </c>
      <c r="Z2197" s="73" t="s">
        <v>9486</v>
      </c>
      <c r="AA2197" s="74" t="s">
        <v>9504</v>
      </c>
      <c r="AB2197" s="73" t="s">
        <v>9486</v>
      </c>
      <c r="AC2197" s="74" t="s">
        <v>9562</v>
      </c>
      <c r="AD2197" s="73" t="s">
        <v>9578</v>
      </c>
      <c r="AE2197" s="74" t="s">
        <v>9579</v>
      </c>
    </row>
    <row r="2198" spans="1:31" ht="8.65" customHeight="1" x14ac:dyDescent="0.2">
      <c r="A2198" s="76">
        <v>2198</v>
      </c>
      <c r="B2198" s="67" t="str">
        <f>MID(C2198, FIND("Ifc.", C2198) + 4, 4) &amp; "_" &amp; TEXT(COUNTIF($C$2:C2198, C2198),"0000")</f>
        <v>Prop_2197</v>
      </c>
      <c r="C2198" s="24" t="s">
        <v>872</v>
      </c>
      <c r="D2198" s="69" t="s">
        <v>9453</v>
      </c>
      <c r="E2198" s="70" t="s">
        <v>9454</v>
      </c>
      <c r="F2198" s="17" t="s">
        <v>806</v>
      </c>
      <c r="G2198" s="22" t="s">
        <v>1734</v>
      </c>
      <c r="H2198" s="12" t="s">
        <v>9703</v>
      </c>
      <c r="I2198" s="13" t="s">
        <v>7256</v>
      </c>
      <c r="J2198" s="14" t="s">
        <v>798</v>
      </c>
      <c r="K2198" s="15" t="s">
        <v>798</v>
      </c>
      <c r="L2198" s="12" t="s">
        <v>5315</v>
      </c>
      <c r="M2198" s="13" t="s">
        <v>5852</v>
      </c>
      <c r="N2198" s="12" t="s">
        <v>803</v>
      </c>
      <c r="O2198" s="13" t="s">
        <v>5005</v>
      </c>
      <c r="P2198" s="17" t="s">
        <v>802</v>
      </c>
      <c r="Q2198" s="21" t="s">
        <v>7920</v>
      </c>
      <c r="R2198" s="17" t="s">
        <v>801</v>
      </c>
      <c r="S2198" s="18" t="s">
        <v>2554</v>
      </c>
      <c r="T2198" s="17" t="s">
        <v>800</v>
      </c>
      <c r="U2198" s="18" t="s">
        <v>5233</v>
      </c>
      <c r="V2198" s="17" t="s">
        <v>9418</v>
      </c>
      <c r="W2198" s="18" t="s">
        <v>5310</v>
      </c>
      <c r="X2198" s="69" t="s">
        <v>9453</v>
      </c>
      <c r="Y2198" s="70" t="s">
        <v>9463</v>
      </c>
      <c r="Z2198" s="73" t="s">
        <v>9486</v>
      </c>
      <c r="AA2198" s="74" t="s">
        <v>9504</v>
      </c>
      <c r="AB2198" s="73" t="s">
        <v>9486</v>
      </c>
      <c r="AC2198" s="74" t="s">
        <v>9562</v>
      </c>
      <c r="AD2198" s="73" t="s">
        <v>9578</v>
      </c>
      <c r="AE2198" s="74" t="s">
        <v>9579</v>
      </c>
    </row>
    <row r="2199" spans="1:31" ht="8.65" customHeight="1" x14ac:dyDescent="0.2">
      <c r="A2199" s="76">
        <v>2199</v>
      </c>
      <c r="B2199" s="67" t="str">
        <f>MID(C2199, FIND("Ifc.", C2199) + 4, 4) &amp; "_" &amp; TEXT(COUNTIF($C$2:C2199, C2199),"0000")</f>
        <v>Prop_2198</v>
      </c>
      <c r="C2199" s="24" t="s">
        <v>872</v>
      </c>
      <c r="D2199" s="69" t="s">
        <v>9453</v>
      </c>
      <c r="E2199" s="70" t="s">
        <v>9454</v>
      </c>
      <c r="F2199" s="17" t="s">
        <v>806</v>
      </c>
      <c r="G2199" s="22" t="s">
        <v>1399</v>
      </c>
      <c r="H2199" s="12" t="s">
        <v>9703</v>
      </c>
      <c r="I2199" s="13" t="s">
        <v>7255</v>
      </c>
      <c r="J2199" s="14" t="s">
        <v>798</v>
      </c>
      <c r="K2199" s="15" t="s">
        <v>798</v>
      </c>
      <c r="L2199" s="12" t="s">
        <v>5315</v>
      </c>
      <c r="M2199" s="13" t="s">
        <v>6029</v>
      </c>
      <c r="N2199" s="12" t="s">
        <v>803</v>
      </c>
      <c r="O2199" s="13" t="s">
        <v>4867</v>
      </c>
      <c r="P2199" s="17" t="s">
        <v>802</v>
      </c>
      <c r="Q2199" s="21" t="s">
        <v>7932</v>
      </c>
      <c r="R2199" s="17" t="s">
        <v>801</v>
      </c>
      <c r="S2199" s="18" t="s">
        <v>2554</v>
      </c>
      <c r="T2199" s="17" t="s">
        <v>800</v>
      </c>
      <c r="U2199" s="18" t="s">
        <v>5233</v>
      </c>
      <c r="V2199" s="17" t="s">
        <v>9418</v>
      </c>
      <c r="W2199" s="18" t="s">
        <v>5310</v>
      </c>
      <c r="X2199" s="69" t="s">
        <v>9453</v>
      </c>
      <c r="Y2199" s="70" t="s">
        <v>9463</v>
      </c>
      <c r="Z2199" s="73" t="s">
        <v>9486</v>
      </c>
      <c r="AA2199" s="74" t="s">
        <v>9504</v>
      </c>
      <c r="AB2199" s="73" t="s">
        <v>9486</v>
      </c>
      <c r="AC2199" s="74" t="s">
        <v>9562</v>
      </c>
      <c r="AD2199" s="73" t="s">
        <v>9578</v>
      </c>
      <c r="AE2199" s="74" t="s">
        <v>9579</v>
      </c>
    </row>
    <row r="2200" spans="1:31" ht="8.65" customHeight="1" x14ac:dyDescent="0.2">
      <c r="A2200" s="76">
        <v>2200</v>
      </c>
      <c r="B2200" s="67" t="str">
        <f>MID(C2200, FIND("Ifc.", C2200) + 4, 4) &amp; "_" &amp; TEXT(COUNTIF($C$2:C2200, C2200),"0000")</f>
        <v>Prop_2199</v>
      </c>
      <c r="C2200" s="24" t="s">
        <v>872</v>
      </c>
      <c r="D2200" s="69" t="s">
        <v>9453</v>
      </c>
      <c r="E2200" s="70" t="s">
        <v>9454</v>
      </c>
      <c r="F2200" s="17" t="s">
        <v>806</v>
      </c>
      <c r="G2200" s="22" t="s">
        <v>1387</v>
      </c>
      <c r="H2200" s="12" t="s">
        <v>9703</v>
      </c>
      <c r="I2200" s="13" t="s">
        <v>6279</v>
      </c>
      <c r="J2200" s="14" t="s">
        <v>798</v>
      </c>
      <c r="K2200" s="15" t="s">
        <v>798</v>
      </c>
      <c r="L2200" s="12" t="s">
        <v>5315</v>
      </c>
      <c r="M2200" s="13" t="s">
        <v>5423</v>
      </c>
      <c r="N2200" s="12" t="s">
        <v>803</v>
      </c>
      <c r="O2200" s="13" t="s">
        <v>4923</v>
      </c>
      <c r="P2200" s="17" t="s">
        <v>802</v>
      </c>
      <c r="Q2200" s="21" t="s">
        <v>8033</v>
      </c>
      <c r="R2200" s="17" t="s">
        <v>801</v>
      </c>
      <c r="S2200" s="18" t="s">
        <v>2554</v>
      </c>
      <c r="T2200" s="17" t="s">
        <v>800</v>
      </c>
      <c r="U2200" s="18" t="s">
        <v>5233</v>
      </c>
      <c r="V2200" s="17" t="s">
        <v>9418</v>
      </c>
      <c r="W2200" s="18" t="s">
        <v>5310</v>
      </c>
      <c r="X2200" s="69" t="s">
        <v>9453</v>
      </c>
      <c r="Y2200" s="70" t="s">
        <v>9463</v>
      </c>
      <c r="Z2200" s="73" t="s">
        <v>9486</v>
      </c>
      <c r="AA2200" s="74" t="s">
        <v>9504</v>
      </c>
      <c r="AB2200" s="73" t="s">
        <v>9486</v>
      </c>
      <c r="AC2200" s="74" t="s">
        <v>9562</v>
      </c>
      <c r="AD2200" s="73" t="s">
        <v>9578</v>
      </c>
      <c r="AE2200" s="74" t="s">
        <v>9579</v>
      </c>
    </row>
    <row r="2201" spans="1:31" ht="8.65" customHeight="1" x14ac:dyDescent="0.2">
      <c r="A2201" s="76">
        <v>2201</v>
      </c>
      <c r="B2201" s="67" t="str">
        <f>MID(C2201, FIND("Ifc.", C2201) + 4, 4) &amp; "_" &amp; TEXT(COUNTIF($C$2:C2201, C2201),"0000")</f>
        <v>Prop_2200</v>
      </c>
      <c r="C2201" s="24" t="s">
        <v>872</v>
      </c>
      <c r="D2201" s="69" t="s">
        <v>9453</v>
      </c>
      <c r="E2201" s="70" t="s">
        <v>9454</v>
      </c>
      <c r="F2201" s="17" t="s">
        <v>806</v>
      </c>
      <c r="G2201" s="22" t="s">
        <v>2360</v>
      </c>
      <c r="H2201" s="12" t="s">
        <v>9703</v>
      </c>
      <c r="I2201" s="13" t="s">
        <v>7250</v>
      </c>
      <c r="J2201" s="14" t="s">
        <v>798</v>
      </c>
      <c r="K2201" s="15" t="s">
        <v>798</v>
      </c>
      <c r="L2201" s="12" t="s">
        <v>5315</v>
      </c>
      <c r="M2201" s="13" t="s">
        <v>5781</v>
      </c>
      <c r="N2201" s="12" t="s">
        <v>803</v>
      </c>
      <c r="O2201" s="13" t="s">
        <v>5180</v>
      </c>
      <c r="P2201" s="17" t="s">
        <v>802</v>
      </c>
      <c r="Q2201" s="21" t="s">
        <v>7699</v>
      </c>
      <c r="R2201" s="17" t="s">
        <v>801</v>
      </c>
      <c r="S2201" s="18" t="s">
        <v>2554</v>
      </c>
      <c r="T2201" s="17" t="s">
        <v>800</v>
      </c>
      <c r="U2201" s="18" t="s">
        <v>5233</v>
      </c>
      <c r="V2201" s="17" t="s">
        <v>9418</v>
      </c>
      <c r="W2201" s="18" t="s">
        <v>5310</v>
      </c>
      <c r="X2201" s="69" t="s">
        <v>9453</v>
      </c>
      <c r="Y2201" s="70" t="s">
        <v>9463</v>
      </c>
      <c r="Z2201" s="73" t="s">
        <v>9486</v>
      </c>
      <c r="AA2201" s="74" t="s">
        <v>9504</v>
      </c>
      <c r="AB2201" s="73" t="s">
        <v>9486</v>
      </c>
      <c r="AC2201" s="74" t="s">
        <v>9562</v>
      </c>
      <c r="AD2201" s="73" t="s">
        <v>9578</v>
      </c>
      <c r="AE2201" s="74" t="s">
        <v>9579</v>
      </c>
    </row>
    <row r="2202" spans="1:31" ht="8.65" customHeight="1" x14ac:dyDescent="0.2">
      <c r="A2202" s="76">
        <v>2202</v>
      </c>
      <c r="B2202" s="67" t="str">
        <f>MID(C2202, FIND("Ifc.", C2202) + 4, 4) &amp; "_" &amp; TEXT(COUNTIF($C$2:C2202, C2202),"0000")</f>
        <v>Prop_2201</v>
      </c>
      <c r="C2202" s="24" t="s">
        <v>872</v>
      </c>
      <c r="D2202" s="69" t="s">
        <v>9453</v>
      </c>
      <c r="E2202" s="70" t="s">
        <v>9454</v>
      </c>
      <c r="F2202" s="17" t="s">
        <v>806</v>
      </c>
      <c r="G2202" s="22" t="s">
        <v>1450</v>
      </c>
      <c r="H2202" s="12" t="s">
        <v>9703</v>
      </c>
      <c r="I2202" s="13" t="s">
        <v>6324</v>
      </c>
      <c r="J2202" s="14" t="s">
        <v>798</v>
      </c>
      <c r="K2202" s="15" t="s">
        <v>798</v>
      </c>
      <c r="L2202" s="12" t="s">
        <v>5315</v>
      </c>
      <c r="M2202" s="13" t="s">
        <v>5437</v>
      </c>
      <c r="N2202" s="12" t="s">
        <v>803</v>
      </c>
      <c r="O2202" s="13" t="s">
        <v>4938</v>
      </c>
      <c r="P2202" s="17" t="s">
        <v>802</v>
      </c>
      <c r="Q2202" s="21" t="s">
        <v>8085</v>
      </c>
      <c r="R2202" s="17" t="s">
        <v>801</v>
      </c>
      <c r="S2202" s="18" t="s">
        <v>2554</v>
      </c>
      <c r="T2202" s="17" t="s">
        <v>800</v>
      </c>
      <c r="U2202" s="18" t="s">
        <v>5233</v>
      </c>
      <c r="V2202" s="17" t="s">
        <v>9418</v>
      </c>
      <c r="W2202" s="18" t="s">
        <v>5310</v>
      </c>
      <c r="X2202" s="69" t="s">
        <v>9453</v>
      </c>
      <c r="Y2202" s="70" t="s">
        <v>9463</v>
      </c>
      <c r="Z2202" s="73" t="s">
        <v>9486</v>
      </c>
      <c r="AA2202" s="74" t="s">
        <v>9504</v>
      </c>
      <c r="AB2202" s="73" t="s">
        <v>9486</v>
      </c>
      <c r="AC2202" s="74" t="s">
        <v>9562</v>
      </c>
      <c r="AD2202" s="73" t="s">
        <v>9578</v>
      </c>
      <c r="AE2202" s="74" t="s">
        <v>9579</v>
      </c>
    </row>
    <row r="2203" spans="1:31" ht="8.65" customHeight="1" x14ac:dyDescent="0.2">
      <c r="A2203" s="76">
        <v>2203</v>
      </c>
      <c r="B2203" s="67" t="str">
        <f>MID(C2203, FIND("Ifc.", C2203) + 4, 4) &amp; "_" &amp; TEXT(COUNTIF($C$2:C2203, C2203),"0000")</f>
        <v>Prop_2202</v>
      </c>
      <c r="C2203" s="24" t="s">
        <v>872</v>
      </c>
      <c r="D2203" s="69" t="s">
        <v>9453</v>
      </c>
      <c r="E2203" s="70" t="s">
        <v>9454</v>
      </c>
      <c r="F2203" s="17" t="s">
        <v>806</v>
      </c>
      <c r="G2203" s="22" t="s">
        <v>1447</v>
      </c>
      <c r="H2203" s="12" t="s">
        <v>9703</v>
      </c>
      <c r="I2203" s="13" t="s">
        <v>7253</v>
      </c>
      <c r="J2203" s="14" t="s">
        <v>798</v>
      </c>
      <c r="K2203" s="15" t="s">
        <v>798</v>
      </c>
      <c r="L2203" s="12" t="s">
        <v>5315</v>
      </c>
      <c r="M2203" s="13" t="s">
        <v>5826</v>
      </c>
      <c r="N2203" s="12" t="s">
        <v>803</v>
      </c>
      <c r="O2203" s="13" t="s">
        <v>4937</v>
      </c>
      <c r="P2203" s="17" t="s">
        <v>802</v>
      </c>
      <c r="Q2203" s="21" t="s">
        <v>7908</v>
      </c>
      <c r="R2203" s="17" t="s">
        <v>801</v>
      </c>
      <c r="S2203" s="18" t="s">
        <v>2554</v>
      </c>
      <c r="T2203" s="17" t="s">
        <v>800</v>
      </c>
      <c r="U2203" s="18" t="s">
        <v>5233</v>
      </c>
      <c r="V2203" s="17" t="s">
        <v>9418</v>
      </c>
      <c r="W2203" s="18" t="s">
        <v>5310</v>
      </c>
      <c r="X2203" s="69" t="s">
        <v>9453</v>
      </c>
      <c r="Y2203" s="70" t="s">
        <v>9463</v>
      </c>
      <c r="Z2203" s="73" t="s">
        <v>9486</v>
      </c>
      <c r="AA2203" s="74" t="s">
        <v>9504</v>
      </c>
      <c r="AB2203" s="73" t="s">
        <v>9486</v>
      </c>
      <c r="AC2203" s="74" t="s">
        <v>9562</v>
      </c>
      <c r="AD2203" s="73" t="s">
        <v>9578</v>
      </c>
      <c r="AE2203" s="74" t="s">
        <v>9579</v>
      </c>
    </row>
    <row r="2204" spans="1:31" ht="8.65" customHeight="1" x14ac:dyDescent="0.2">
      <c r="A2204" s="76">
        <v>2204</v>
      </c>
      <c r="B2204" s="67" t="str">
        <f>MID(C2204, FIND("Ifc.", C2204) + 4, 4) &amp; "_" &amp; TEXT(COUNTIF($C$2:C2204, C2204),"0000")</f>
        <v>Prop_2203</v>
      </c>
      <c r="C2204" s="24" t="s">
        <v>872</v>
      </c>
      <c r="D2204" s="69" t="s">
        <v>9453</v>
      </c>
      <c r="E2204" s="70" t="s">
        <v>9454</v>
      </c>
      <c r="F2204" s="17" t="s">
        <v>806</v>
      </c>
      <c r="G2204" s="22" t="s">
        <v>1452</v>
      </c>
      <c r="H2204" s="12" t="s">
        <v>9703</v>
      </c>
      <c r="I2204" s="13" t="s">
        <v>6325</v>
      </c>
      <c r="J2204" s="14" t="s">
        <v>798</v>
      </c>
      <c r="K2204" s="15" t="s">
        <v>798</v>
      </c>
      <c r="L2204" s="12" t="s">
        <v>5315</v>
      </c>
      <c r="M2204" s="13" t="s">
        <v>5438</v>
      </c>
      <c r="N2204" s="12" t="s">
        <v>803</v>
      </c>
      <c r="O2204" s="13" t="s">
        <v>4939</v>
      </c>
      <c r="P2204" s="17" t="s">
        <v>802</v>
      </c>
      <c r="Q2204" s="21" t="s">
        <v>7756</v>
      </c>
      <c r="R2204" s="17" t="s">
        <v>801</v>
      </c>
      <c r="S2204" s="18" t="s">
        <v>2554</v>
      </c>
      <c r="T2204" s="17" t="s">
        <v>800</v>
      </c>
      <c r="U2204" s="18" t="s">
        <v>5233</v>
      </c>
      <c r="V2204" s="17" t="s">
        <v>9418</v>
      </c>
      <c r="W2204" s="18" t="s">
        <v>5310</v>
      </c>
      <c r="X2204" s="69" t="s">
        <v>9453</v>
      </c>
      <c r="Y2204" s="70" t="s">
        <v>9463</v>
      </c>
      <c r="Z2204" s="73" t="s">
        <v>9486</v>
      </c>
      <c r="AA2204" s="74" t="s">
        <v>9504</v>
      </c>
      <c r="AB2204" s="73" t="s">
        <v>9486</v>
      </c>
      <c r="AC2204" s="74" t="s">
        <v>9562</v>
      </c>
      <c r="AD2204" s="73" t="s">
        <v>9578</v>
      </c>
      <c r="AE2204" s="74" t="s">
        <v>9579</v>
      </c>
    </row>
    <row r="2205" spans="1:31" ht="8.65" customHeight="1" x14ac:dyDescent="0.2">
      <c r="A2205" s="76">
        <v>2205</v>
      </c>
      <c r="B2205" s="67" t="str">
        <f>MID(C2205, FIND("Ifc.", C2205) + 4, 4) &amp; "_" &amp; TEXT(COUNTIF($C$2:C2205, C2205),"0000")</f>
        <v>Prop_2204</v>
      </c>
      <c r="C2205" s="24" t="s">
        <v>872</v>
      </c>
      <c r="D2205" s="69" t="s">
        <v>9453</v>
      </c>
      <c r="E2205" s="70" t="s">
        <v>9454</v>
      </c>
      <c r="F2205" s="17" t="s">
        <v>806</v>
      </c>
      <c r="G2205" s="22" t="s">
        <v>2362</v>
      </c>
      <c r="H2205" s="12" t="s">
        <v>9703</v>
      </c>
      <c r="I2205" s="13" t="s">
        <v>6749</v>
      </c>
      <c r="J2205" s="14" t="s">
        <v>798</v>
      </c>
      <c r="K2205" s="15" t="s">
        <v>798</v>
      </c>
      <c r="L2205" s="12" t="s">
        <v>5315</v>
      </c>
      <c r="M2205" s="13" t="s">
        <v>5781</v>
      </c>
      <c r="N2205" s="12" t="s">
        <v>803</v>
      </c>
      <c r="O2205" s="13" t="s">
        <v>5180</v>
      </c>
      <c r="P2205" s="17" t="s">
        <v>802</v>
      </c>
      <c r="Q2205" s="21" t="s">
        <v>7699</v>
      </c>
      <c r="R2205" s="17" t="s">
        <v>801</v>
      </c>
      <c r="S2205" s="18" t="s">
        <v>2554</v>
      </c>
      <c r="T2205" s="17" t="s">
        <v>800</v>
      </c>
      <c r="U2205" s="18" t="s">
        <v>5233</v>
      </c>
      <c r="V2205" s="17" t="s">
        <v>9418</v>
      </c>
      <c r="W2205" s="18" t="s">
        <v>5310</v>
      </c>
      <c r="X2205" s="69" t="s">
        <v>9453</v>
      </c>
      <c r="Y2205" s="70" t="s">
        <v>9463</v>
      </c>
      <c r="Z2205" s="73" t="s">
        <v>9486</v>
      </c>
      <c r="AA2205" s="74" t="s">
        <v>9504</v>
      </c>
      <c r="AB2205" s="73" t="s">
        <v>9486</v>
      </c>
      <c r="AC2205" s="74" t="s">
        <v>9562</v>
      </c>
      <c r="AD2205" s="73" t="s">
        <v>9578</v>
      </c>
      <c r="AE2205" s="74" t="s">
        <v>9579</v>
      </c>
    </row>
    <row r="2206" spans="1:31" ht="8.65" customHeight="1" x14ac:dyDescent="0.2">
      <c r="A2206" s="76">
        <v>2206</v>
      </c>
      <c r="B2206" s="67" t="str">
        <f>MID(C2206, FIND("Ifc.", C2206) + 4, 4) &amp; "_" &amp; TEXT(COUNTIF($C$2:C2206, C2206),"0000")</f>
        <v>Prop_2205</v>
      </c>
      <c r="C2206" s="24" t="s">
        <v>872</v>
      </c>
      <c r="D2206" s="69" t="s">
        <v>9453</v>
      </c>
      <c r="E2206" s="70" t="s">
        <v>9454</v>
      </c>
      <c r="F2206" s="17" t="s">
        <v>806</v>
      </c>
      <c r="G2206" s="22" t="s">
        <v>1966</v>
      </c>
      <c r="H2206" s="12" t="s">
        <v>9703</v>
      </c>
      <c r="I2206" s="13" t="s">
        <v>6596</v>
      </c>
      <c r="J2206" s="14" t="s">
        <v>798</v>
      </c>
      <c r="K2206" s="15" t="s">
        <v>798</v>
      </c>
      <c r="L2206" s="12" t="s">
        <v>5315</v>
      </c>
      <c r="M2206" s="13" t="s">
        <v>5780</v>
      </c>
      <c r="N2206" s="12" t="s">
        <v>803</v>
      </c>
      <c r="O2206" s="13" t="s">
        <v>5070</v>
      </c>
      <c r="P2206" s="17" t="s">
        <v>802</v>
      </c>
      <c r="Q2206" s="21" t="s">
        <v>7987</v>
      </c>
      <c r="R2206" s="17" t="s">
        <v>801</v>
      </c>
      <c r="S2206" s="18" t="s">
        <v>5232</v>
      </c>
      <c r="T2206" s="17" t="s">
        <v>800</v>
      </c>
      <c r="U2206" s="18" t="s">
        <v>5293</v>
      </c>
      <c r="V2206" s="17" t="s">
        <v>9418</v>
      </c>
      <c r="W2206" s="18" t="s">
        <v>5310</v>
      </c>
      <c r="X2206" s="69" t="s">
        <v>9453</v>
      </c>
      <c r="Y2206" s="70" t="s">
        <v>9463</v>
      </c>
      <c r="Z2206" s="73" t="s">
        <v>9486</v>
      </c>
      <c r="AA2206" s="74" t="s">
        <v>9504</v>
      </c>
      <c r="AB2206" s="73" t="s">
        <v>9486</v>
      </c>
      <c r="AC2206" s="74" t="s">
        <v>9566</v>
      </c>
      <c r="AD2206" s="73" t="s">
        <v>9578</v>
      </c>
      <c r="AE2206" s="74" t="s">
        <v>9579</v>
      </c>
    </row>
    <row r="2207" spans="1:31" ht="8.65" customHeight="1" x14ac:dyDescent="0.2">
      <c r="A2207" s="76">
        <v>2207</v>
      </c>
      <c r="B2207" s="67" t="str">
        <f>MID(C2207, FIND("Ifc.", C2207) + 4, 4) &amp; "_" &amp; TEXT(COUNTIF($C$2:C2207, C2207),"0000")</f>
        <v>Prop_2206</v>
      </c>
      <c r="C2207" s="24" t="s">
        <v>872</v>
      </c>
      <c r="D2207" s="69" t="s">
        <v>9453</v>
      </c>
      <c r="E2207" s="70" t="s">
        <v>9454</v>
      </c>
      <c r="F2207" s="17" t="s">
        <v>806</v>
      </c>
      <c r="G2207" s="22" t="s">
        <v>1465</v>
      </c>
      <c r="H2207" s="12" t="s">
        <v>9703</v>
      </c>
      <c r="I2207" s="13" t="s">
        <v>6312</v>
      </c>
      <c r="J2207" s="14" t="s">
        <v>798</v>
      </c>
      <c r="K2207" s="15" t="s">
        <v>798</v>
      </c>
      <c r="L2207" s="12" t="s">
        <v>5315</v>
      </c>
      <c r="M2207" s="13" t="s">
        <v>5809</v>
      </c>
      <c r="N2207" s="12" t="s">
        <v>803</v>
      </c>
      <c r="O2207" s="13" t="s">
        <v>4941</v>
      </c>
      <c r="P2207" s="17" t="s">
        <v>802</v>
      </c>
      <c r="Q2207" s="21" t="s">
        <v>8086</v>
      </c>
      <c r="R2207" s="17" t="s">
        <v>801</v>
      </c>
      <c r="S2207" s="18" t="s">
        <v>2554</v>
      </c>
      <c r="T2207" s="17" t="s">
        <v>800</v>
      </c>
      <c r="U2207" s="18" t="s">
        <v>5233</v>
      </c>
      <c r="V2207" s="17" t="s">
        <v>9418</v>
      </c>
      <c r="W2207" s="18" t="s">
        <v>5310</v>
      </c>
      <c r="X2207" s="69" t="s">
        <v>9453</v>
      </c>
      <c r="Y2207" s="70" t="s">
        <v>9463</v>
      </c>
      <c r="Z2207" s="73" t="s">
        <v>9486</v>
      </c>
      <c r="AA2207" s="74" t="s">
        <v>9504</v>
      </c>
      <c r="AB2207" s="73" t="s">
        <v>9486</v>
      </c>
      <c r="AC2207" s="74" t="s">
        <v>9562</v>
      </c>
      <c r="AD2207" s="73" t="s">
        <v>9578</v>
      </c>
      <c r="AE2207" s="74" t="s">
        <v>9579</v>
      </c>
    </row>
    <row r="2208" spans="1:31" ht="8.65" customHeight="1" x14ac:dyDescent="0.2">
      <c r="A2208" s="76">
        <v>2208</v>
      </c>
      <c r="B2208" s="67" t="str">
        <f>MID(C2208, FIND("Ifc.", C2208) + 4, 4) &amp; "_" &amp; TEXT(COUNTIF($C$2:C2208, C2208),"0000")</f>
        <v>Prop_2207</v>
      </c>
      <c r="C2208" s="24" t="s">
        <v>872</v>
      </c>
      <c r="D2208" s="69" t="s">
        <v>9453</v>
      </c>
      <c r="E2208" s="70" t="s">
        <v>9454</v>
      </c>
      <c r="F2208" s="17" t="s">
        <v>806</v>
      </c>
      <c r="G2208" s="22" t="s">
        <v>2345</v>
      </c>
      <c r="H2208" s="12" t="s">
        <v>9703</v>
      </c>
      <c r="I2208" s="13" t="s">
        <v>6736</v>
      </c>
      <c r="J2208" s="14" t="s">
        <v>798</v>
      </c>
      <c r="K2208" s="15" t="s">
        <v>798</v>
      </c>
      <c r="L2208" s="12" t="s">
        <v>5315</v>
      </c>
      <c r="M2208" s="13" t="s">
        <v>5561</v>
      </c>
      <c r="N2208" s="12" t="s">
        <v>803</v>
      </c>
      <c r="O2208" s="13" t="s">
        <v>5175</v>
      </c>
      <c r="P2208" s="17" t="s">
        <v>802</v>
      </c>
      <c r="Q2208" s="21" t="s">
        <v>8014</v>
      </c>
      <c r="R2208" s="17" t="s">
        <v>801</v>
      </c>
      <c r="S2208" s="18" t="s">
        <v>2554</v>
      </c>
      <c r="T2208" s="17" t="s">
        <v>800</v>
      </c>
      <c r="U2208" s="18" t="s">
        <v>5233</v>
      </c>
      <c r="V2208" s="17" t="s">
        <v>9418</v>
      </c>
      <c r="W2208" s="18" t="s">
        <v>5310</v>
      </c>
      <c r="X2208" s="69" t="s">
        <v>9453</v>
      </c>
      <c r="Y2208" s="70" t="s">
        <v>9463</v>
      </c>
      <c r="Z2208" s="73" t="s">
        <v>9486</v>
      </c>
      <c r="AA2208" s="74" t="s">
        <v>9504</v>
      </c>
      <c r="AB2208" s="73" t="s">
        <v>9486</v>
      </c>
      <c r="AC2208" s="74" t="s">
        <v>9562</v>
      </c>
      <c r="AD2208" s="73" t="s">
        <v>9578</v>
      </c>
      <c r="AE2208" s="74" t="s">
        <v>9579</v>
      </c>
    </row>
    <row r="2209" spans="1:31" ht="8.65" customHeight="1" x14ac:dyDescent="0.2">
      <c r="A2209" s="76">
        <v>2209</v>
      </c>
      <c r="B2209" s="67" t="str">
        <f>MID(C2209, FIND("Ifc.", C2209) + 4, 4) &amp; "_" &amp; TEXT(COUNTIF($C$2:C2209, C2209),"0000")</f>
        <v>Prop_2208</v>
      </c>
      <c r="C2209" s="24" t="s">
        <v>872</v>
      </c>
      <c r="D2209" s="69" t="s">
        <v>9453</v>
      </c>
      <c r="E2209" s="70" t="s">
        <v>9454</v>
      </c>
      <c r="F2209" s="17" t="s">
        <v>806</v>
      </c>
      <c r="G2209" s="22" t="s">
        <v>2345</v>
      </c>
      <c r="H2209" s="12" t="s">
        <v>9703</v>
      </c>
      <c r="I2209" s="13" t="s">
        <v>6736</v>
      </c>
      <c r="J2209" s="14" t="s">
        <v>798</v>
      </c>
      <c r="K2209" s="15" t="s">
        <v>798</v>
      </c>
      <c r="L2209" s="12" t="s">
        <v>5315</v>
      </c>
      <c r="M2209" s="13" t="s">
        <v>5560</v>
      </c>
      <c r="N2209" s="12" t="s">
        <v>803</v>
      </c>
      <c r="O2209" s="13" t="s">
        <v>5174</v>
      </c>
      <c r="P2209" s="17" t="s">
        <v>802</v>
      </c>
      <c r="Q2209" s="21" t="s">
        <v>7793</v>
      </c>
      <c r="R2209" s="17" t="s">
        <v>801</v>
      </c>
      <c r="S2209" s="18" t="s">
        <v>2554</v>
      </c>
      <c r="T2209" s="17" t="s">
        <v>800</v>
      </c>
      <c r="U2209" s="18" t="s">
        <v>5233</v>
      </c>
      <c r="V2209" s="17" t="s">
        <v>9418</v>
      </c>
      <c r="W2209" s="18" t="s">
        <v>5310</v>
      </c>
      <c r="X2209" s="69" t="s">
        <v>9453</v>
      </c>
      <c r="Y2209" s="70" t="s">
        <v>9463</v>
      </c>
      <c r="Z2209" s="73" t="s">
        <v>9486</v>
      </c>
      <c r="AA2209" s="74" t="s">
        <v>9504</v>
      </c>
      <c r="AB2209" s="73" t="s">
        <v>9486</v>
      </c>
      <c r="AC2209" s="74" t="s">
        <v>9562</v>
      </c>
      <c r="AD2209" s="73" t="s">
        <v>9578</v>
      </c>
      <c r="AE2209" s="74" t="s">
        <v>9579</v>
      </c>
    </row>
    <row r="2210" spans="1:31" ht="8.65" customHeight="1" x14ac:dyDescent="0.2">
      <c r="A2210" s="76">
        <v>2210</v>
      </c>
      <c r="B2210" s="67" t="str">
        <f>MID(C2210, FIND("Ifc.", C2210) + 4, 4) &amp; "_" &amp; TEXT(COUNTIF($C$2:C2210, C2210),"0000")</f>
        <v>Prop_2209</v>
      </c>
      <c r="C2210" s="24" t="s">
        <v>872</v>
      </c>
      <c r="D2210" s="69" t="s">
        <v>9453</v>
      </c>
      <c r="E2210" s="70" t="s">
        <v>9454</v>
      </c>
      <c r="F2210" s="17" t="s">
        <v>806</v>
      </c>
      <c r="G2210" s="22" t="s">
        <v>1066</v>
      </c>
      <c r="H2210" s="12" t="s">
        <v>9703</v>
      </c>
      <c r="I2210" s="13" t="s">
        <v>6139</v>
      </c>
      <c r="J2210" s="14" t="s">
        <v>798</v>
      </c>
      <c r="K2210" s="15" t="s">
        <v>798</v>
      </c>
      <c r="L2210" s="12" t="s">
        <v>5315</v>
      </c>
      <c r="M2210" s="13" t="s">
        <v>6033</v>
      </c>
      <c r="N2210" s="12" t="s">
        <v>803</v>
      </c>
      <c r="O2210" s="13" t="s">
        <v>4847</v>
      </c>
      <c r="P2210" s="17" t="s">
        <v>802</v>
      </c>
      <c r="Q2210" s="21" t="s">
        <v>7836</v>
      </c>
      <c r="R2210" s="17" t="s">
        <v>801</v>
      </c>
      <c r="S2210" s="18" t="s">
        <v>2554</v>
      </c>
      <c r="T2210" s="17" t="s">
        <v>800</v>
      </c>
      <c r="U2210" s="18" t="s">
        <v>5233</v>
      </c>
      <c r="V2210" s="17" t="s">
        <v>9418</v>
      </c>
      <c r="W2210" s="18" t="s">
        <v>5310</v>
      </c>
      <c r="X2210" s="69" t="s">
        <v>9453</v>
      </c>
      <c r="Y2210" s="70" t="s">
        <v>9463</v>
      </c>
      <c r="Z2210" s="73" t="s">
        <v>9486</v>
      </c>
      <c r="AA2210" s="74" t="s">
        <v>9504</v>
      </c>
      <c r="AB2210" s="73" t="s">
        <v>9486</v>
      </c>
      <c r="AC2210" s="74" t="s">
        <v>9562</v>
      </c>
      <c r="AD2210" s="73" t="s">
        <v>9578</v>
      </c>
      <c r="AE2210" s="74" t="s">
        <v>9579</v>
      </c>
    </row>
    <row r="2211" spans="1:31" ht="8.65" customHeight="1" x14ac:dyDescent="0.2">
      <c r="A2211" s="76">
        <v>2211</v>
      </c>
      <c r="B2211" s="67" t="str">
        <f>MID(C2211, FIND("Ifc.", C2211) + 4, 4) &amp; "_" &amp; TEXT(COUNTIF($C$2:C2211, C2211),"0000")</f>
        <v>Prop_2210</v>
      </c>
      <c r="C2211" s="24" t="s">
        <v>872</v>
      </c>
      <c r="D2211" s="69" t="s">
        <v>9453</v>
      </c>
      <c r="E2211" s="70" t="s">
        <v>9454</v>
      </c>
      <c r="F2211" s="17" t="s">
        <v>806</v>
      </c>
      <c r="G2211" s="22" t="s">
        <v>1908</v>
      </c>
      <c r="H2211" s="12" t="s">
        <v>9703</v>
      </c>
      <c r="I2211" s="13" t="s">
        <v>6569</v>
      </c>
      <c r="J2211" s="14" t="s">
        <v>798</v>
      </c>
      <c r="K2211" s="15" t="s">
        <v>798</v>
      </c>
      <c r="L2211" s="12" t="s">
        <v>5315</v>
      </c>
      <c r="M2211" s="13" t="s">
        <v>5467</v>
      </c>
      <c r="N2211" s="12" t="s">
        <v>803</v>
      </c>
      <c r="O2211" s="13" t="s">
        <v>5055</v>
      </c>
      <c r="P2211" s="17" t="s">
        <v>802</v>
      </c>
      <c r="Q2211" s="21" t="s">
        <v>7894</v>
      </c>
      <c r="R2211" s="17" t="s">
        <v>801</v>
      </c>
      <c r="S2211" s="18" t="s">
        <v>2554</v>
      </c>
      <c r="T2211" s="17" t="s">
        <v>800</v>
      </c>
      <c r="U2211" s="18" t="s">
        <v>5233</v>
      </c>
      <c r="V2211" s="17" t="s">
        <v>9418</v>
      </c>
      <c r="W2211" s="18" t="s">
        <v>5310</v>
      </c>
      <c r="X2211" s="69" t="s">
        <v>9453</v>
      </c>
      <c r="Y2211" s="70" t="s">
        <v>9463</v>
      </c>
      <c r="Z2211" s="73" t="s">
        <v>9486</v>
      </c>
      <c r="AA2211" s="74" t="s">
        <v>9504</v>
      </c>
      <c r="AB2211" s="73" t="s">
        <v>9486</v>
      </c>
      <c r="AC2211" s="74" t="s">
        <v>9562</v>
      </c>
      <c r="AD2211" s="73" t="s">
        <v>9578</v>
      </c>
      <c r="AE2211" s="74" t="s">
        <v>9579</v>
      </c>
    </row>
    <row r="2212" spans="1:31" ht="8.65" customHeight="1" x14ac:dyDescent="0.2">
      <c r="A2212" s="76">
        <v>2212</v>
      </c>
      <c r="B2212" s="67" t="str">
        <f>MID(C2212, FIND("Ifc.", C2212) + 4, 4) &amp; "_" &amp; TEXT(COUNTIF($C$2:C2212, C2212),"0000")</f>
        <v>Prop_2211</v>
      </c>
      <c r="C2212" s="24" t="s">
        <v>872</v>
      </c>
      <c r="D2212" s="69" t="s">
        <v>9453</v>
      </c>
      <c r="E2212" s="70" t="s">
        <v>9454</v>
      </c>
      <c r="F2212" s="17" t="s">
        <v>806</v>
      </c>
      <c r="G2212" s="22" t="s">
        <v>1825</v>
      </c>
      <c r="H2212" s="12" t="s">
        <v>9703</v>
      </c>
      <c r="I2212" s="13" t="s">
        <v>6509</v>
      </c>
      <c r="J2212" s="14" t="s">
        <v>798</v>
      </c>
      <c r="K2212" s="15" t="s">
        <v>798</v>
      </c>
      <c r="L2212" s="12" t="s">
        <v>5315</v>
      </c>
      <c r="M2212" s="13" t="s">
        <v>6011</v>
      </c>
      <c r="N2212" s="12" t="s">
        <v>803</v>
      </c>
      <c r="O2212" s="13" t="s">
        <v>5027</v>
      </c>
      <c r="P2212" s="17" t="s">
        <v>802</v>
      </c>
      <c r="Q2212" s="21" t="s">
        <v>7705</v>
      </c>
      <c r="R2212" s="17" t="s">
        <v>801</v>
      </c>
      <c r="S2212" s="18" t="s">
        <v>2554</v>
      </c>
      <c r="T2212" s="17" t="s">
        <v>800</v>
      </c>
      <c r="U2212" s="18" t="s">
        <v>5233</v>
      </c>
      <c r="V2212" s="17" t="s">
        <v>9418</v>
      </c>
      <c r="W2212" s="18" t="s">
        <v>5310</v>
      </c>
      <c r="X2212" s="69" t="s">
        <v>9453</v>
      </c>
      <c r="Y2212" s="70" t="s">
        <v>9463</v>
      </c>
      <c r="Z2212" s="73" t="s">
        <v>9486</v>
      </c>
      <c r="AA2212" s="74" t="s">
        <v>9504</v>
      </c>
      <c r="AB2212" s="73" t="s">
        <v>9486</v>
      </c>
      <c r="AC2212" s="74" t="s">
        <v>9562</v>
      </c>
      <c r="AD2212" s="73" t="s">
        <v>9578</v>
      </c>
      <c r="AE2212" s="74" t="s">
        <v>9579</v>
      </c>
    </row>
    <row r="2213" spans="1:31" ht="8.65" customHeight="1" x14ac:dyDescent="0.2">
      <c r="A2213" s="76">
        <v>2213</v>
      </c>
      <c r="B2213" s="67" t="str">
        <f>MID(C2213, FIND("Ifc.", C2213) + 4, 4) &amp; "_" &amp; TEXT(COUNTIF($C$2:C2213, C2213),"0000")</f>
        <v>Prop_2212</v>
      </c>
      <c r="C2213" s="24" t="s">
        <v>872</v>
      </c>
      <c r="D2213" s="69" t="s">
        <v>9453</v>
      </c>
      <c r="E2213" s="70" t="s">
        <v>9454</v>
      </c>
      <c r="F2213" s="17" t="s">
        <v>806</v>
      </c>
      <c r="G2213" s="22" t="s">
        <v>2525</v>
      </c>
      <c r="H2213" s="12" t="s">
        <v>9703</v>
      </c>
      <c r="I2213" s="13" t="s">
        <v>6833</v>
      </c>
      <c r="J2213" s="14" t="s">
        <v>798</v>
      </c>
      <c r="K2213" s="15" t="s">
        <v>798</v>
      </c>
      <c r="L2213" s="12" t="s">
        <v>5315</v>
      </c>
      <c r="M2213" s="13" t="s">
        <v>5580</v>
      </c>
      <c r="N2213" s="12" t="s">
        <v>803</v>
      </c>
      <c r="O2213" s="13" t="s">
        <v>5226</v>
      </c>
      <c r="P2213" s="17" t="s">
        <v>802</v>
      </c>
      <c r="Q2213" s="21" t="s">
        <v>7797</v>
      </c>
      <c r="R2213" s="17" t="s">
        <v>801</v>
      </c>
      <c r="S2213" s="18" t="s">
        <v>2554</v>
      </c>
      <c r="T2213" s="17" t="s">
        <v>800</v>
      </c>
      <c r="U2213" s="18" t="s">
        <v>5233</v>
      </c>
      <c r="V2213" s="17" t="s">
        <v>9418</v>
      </c>
      <c r="W2213" s="18" t="s">
        <v>5310</v>
      </c>
      <c r="X2213" s="69" t="s">
        <v>9453</v>
      </c>
      <c r="Y2213" s="70" t="s">
        <v>9463</v>
      </c>
      <c r="Z2213" s="73" t="s">
        <v>9486</v>
      </c>
      <c r="AA2213" s="74" t="s">
        <v>9504</v>
      </c>
      <c r="AB2213" s="73" t="s">
        <v>9486</v>
      </c>
      <c r="AC2213" s="74" t="s">
        <v>9562</v>
      </c>
      <c r="AD2213" s="73" t="s">
        <v>9578</v>
      </c>
      <c r="AE2213" s="74" t="s">
        <v>9579</v>
      </c>
    </row>
    <row r="2214" spans="1:31" ht="8.65" customHeight="1" x14ac:dyDescent="0.2">
      <c r="A2214" s="76">
        <v>2214</v>
      </c>
      <c r="B2214" s="67" t="str">
        <f>MID(C2214, FIND("Ifc.", C2214) + 4, 4) &amp; "_" &amp; TEXT(COUNTIF($C$2:C2214, C2214),"0000")</f>
        <v>Prop_2213</v>
      </c>
      <c r="C2214" s="24" t="s">
        <v>872</v>
      </c>
      <c r="D2214" s="69" t="s">
        <v>9453</v>
      </c>
      <c r="E2214" s="70" t="s">
        <v>9454</v>
      </c>
      <c r="F2214" s="17" t="s">
        <v>806</v>
      </c>
      <c r="G2214" s="22" t="s">
        <v>1015</v>
      </c>
      <c r="H2214" s="12" t="s">
        <v>9703</v>
      </c>
      <c r="I2214" s="13" t="s">
        <v>7251</v>
      </c>
      <c r="J2214" s="14" t="s">
        <v>798</v>
      </c>
      <c r="K2214" s="15" t="s">
        <v>798</v>
      </c>
      <c r="L2214" s="12" t="s">
        <v>5315</v>
      </c>
      <c r="M2214" s="13" t="s">
        <v>5377</v>
      </c>
      <c r="N2214" s="12" t="s">
        <v>803</v>
      </c>
      <c r="O2214" s="13" t="s">
        <v>4834</v>
      </c>
      <c r="P2214" s="17" t="s">
        <v>802</v>
      </c>
      <c r="Q2214" s="21" t="s">
        <v>8082</v>
      </c>
      <c r="R2214" s="17" t="s">
        <v>801</v>
      </c>
      <c r="S2214" s="18" t="s">
        <v>2554</v>
      </c>
      <c r="T2214" s="17" t="s">
        <v>800</v>
      </c>
      <c r="U2214" s="18" t="s">
        <v>5233</v>
      </c>
      <c r="V2214" s="17" t="s">
        <v>9418</v>
      </c>
      <c r="W2214" s="18" t="s">
        <v>5310</v>
      </c>
      <c r="X2214" s="69" t="s">
        <v>9453</v>
      </c>
      <c r="Y2214" s="70" t="s">
        <v>9463</v>
      </c>
      <c r="Z2214" s="73" t="s">
        <v>9486</v>
      </c>
      <c r="AA2214" s="74" t="s">
        <v>9504</v>
      </c>
      <c r="AB2214" s="73" t="s">
        <v>9486</v>
      </c>
      <c r="AC2214" s="74" t="s">
        <v>9562</v>
      </c>
      <c r="AD2214" s="73" t="s">
        <v>9578</v>
      </c>
      <c r="AE2214" s="74" t="s">
        <v>9579</v>
      </c>
    </row>
    <row r="2215" spans="1:31" ht="8.65" customHeight="1" x14ac:dyDescent="0.2">
      <c r="A2215" s="76">
        <v>2215</v>
      </c>
      <c r="B2215" s="67" t="str">
        <f>MID(C2215, FIND("Ifc.", C2215) + 4, 4) &amp; "_" &amp; TEXT(COUNTIF($C$2:C2215, C2215),"0000")</f>
        <v>Prop_2214</v>
      </c>
      <c r="C2215" s="24" t="s">
        <v>872</v>
      </c>
      <c r="D2215" s="69" t="s">
        <v>9453</v>
      </c>
      <c r="E2215" s="70" t="s">
        <v>9454</v>
      </c>
      <c r="F2215" s="17" t="s">
        <v>806</v>
      </c>
      <c r="G2215" s="22" t="s">
        <v>1815</v>
      </c>
      <c r="H2215" s="12" t="s">
        <v>9703</v>
      </c>
      <c r="I2215" s="13" t="s">
        <v>7259</v>
      </c>
      <c r="J2215" s="14" t="s">
        <v>798</v>
      </c>
      <c r="K2215" s="15" t="s">
        <v>798</v>
      </c>
      <c r="L2215" s="12" t="s">
        <v>5315</v>
      </c>
      <c r="M2215" s="13" t="s">
        <v>5456</v>
      </c>
      <c r="N2215" s="12" t="s">
        <v>803</v>
      </c>
      <c r="O2215" s="13" t="s">
        <v>5026</v>
      </c>
      <c r="P2215" s="17" t="s">
        <v>802</v>
      </c>
      <c r="Q2215" s="21" t="s">
        <v>7801</v>
      </c>
      <c r="R2215" s="17" t="s">
        <v>801</v>
      </c>
      <c r="S2215" s="18" t="s">
        <v>2554</v>
      </c>
      <c r="T2215" s="17" t="s">
        <v>800</v>
      </c>
      <c r="U2215" s="18" t="s">
        <v>5233</v>
      </c>
      <c r="V2215" s="17" t="s">
        <v>9418</v>
      </c>
      <c r="W2215" s="18" t="s">
        <v>5310</v>
      </c>
      <c r="X2215" s="69" t="s">
        <v>9453</v>
      </c>
      <c r="Y2215" s="70" t="s">
        <v>9463</v>
      </c>
      <c r="Z2215" s="73" t="s">
        <v>9486</v>
      </c>
      <c r="AA2215" s="74" t="s">
        <v>9504</v>
      </c>
      <c r="AB2215" s="73" t="s">
        <v>9486</v>
      </c>
      <c r="AC2215" s="74" t="s">
        <v>9562</v>
      </c>
      <c r="AD2215" s="73" t="s">
        <v>9578</v>
      </c>
      <c r="AE2215" s="74" t="s">
        <v>9579</v>
      </c>
    </row>
    <row r="2216" spans="1:31" ht="8.65" customHeight="1" x14ac:dyDescent="0.2">
      <c r="A2216" s="76">
        <v>2216</v>
      </c>
      <c r="B2216" s="67" t="str">
        <f>MID(C2216, FIND("Ifc.", C2216) + 4, 4) &amp; "_" &amp; TEXT(COUNTIF($C$2:C2216, C2216),"0000")</f>
        <v>Prop_2215</v>
      </c>
      <c r="C2216" s="24" t="s">
        <v>872</v>
      </c>
      <c r="D2216" s="69" t="s">
        <v>9453</v>
      </c>
      <c r="E2216" s="70" t="s">
        <v>9454</v>
      </c>
      <c r="F2216" s="17" t="s">
        <v>806</v>
      </c>
      <c r="G2216" s="22" t="s">
        <v>1001</v>
      </c>
      <c r="H2216" s="12" t="s">
        <v>9703</v>
      </c>
      <c r="I2216" s="13" t="s">
        <v>7119</v>
      </c>
      <c r="J2216" s="14" t="s">
        <v>798</v>
      </c>
      <c r="K2216" s="15" t="s">
        <v>798</v>
      </c>
      <c r="L2216" s="12" t="s">
        <v>5315</v>
      </c>
      <c r="M2216" s="13" t="s">
        <v>6023</v>
      </c>
      <c r="N2216" s="12" t="s">
        <v>803</v>
      </c>
      <c r="O2216" s="13" t="s">
        <v>4831</v>
      </c>
      <c r="P2216" s="17" t="s">
        <v>802</v>
      </c>
      <c r="Q2216" s="21" t="s">
        <v>7790</v>
      </c>
      <c r="R2216" s="17" t="s">
        <v>801</v>
      </c>
      <c r="S2216" s="18" t="s">
        <v>2554</v>
      </c>
      <c r="T2216" s="17" t="s">
        <v>800</v>
      </c>
      <c r="U2216" s="18" t="s">
        <v>5233</v>
      </c>
      <c r="V2216" s="17" t="s">
        <v>9418</v>
      </c>
      <c r="W2216" s="18" t="s">
        <v>5310</v>
      </c>
      <c r="X2216" s="69" t="s">
        <v>9453</v>
      </c>
      <c r="Y2216" s="70" t="s">
        <v>9463</v>
      </c>
      <c r="Z2216" s="73" t="s">
        <v>9486</v>
      </c>
      <c r="AA2216" s="74" t="s">
        <v>9504</v>
      </c>
      <c r="AB2216" s="73" t="s">
        <v>9486</v>
      </c>
      <c r="AC2216" s="74" t="s">
        <v>9562</v>
      </c>
      <c r="AD2216" s="73" t="s">
        <v>9578</v>
      </c>
      <c r="AE2216" s="74" t="s">
        <v>9579</v>
      </c>
    </row>
    <row r="2217" spans="1:31" ht="8.65" customHeight="1" x14ac:dyDescent="0.2">
      <c r="A2217" s="76">
        <v>2217</v>
      </c>
      <c r="B2217" s="67" t="str">
        <f>MID(C2217, FIND("Ifc.", C2217) + 4, 4) &amp; "_" &amp; TEXT(COUNTIF($C$2:C2217, C2217),"0000")</f>
        <v>Prop_2216</v>
      </c>
      <c r="C2217" s="24" t="s">
        <v>872</v>
      </c>
      <c r="D2217" s="69" t="s">
        <v>9453</v>
      </c>
      <c r="E2217" s="70" t="s">
        <v>9454</v>
      </c>
      <c r="F2217" s="17" t="s">
        <v>806</v>
      </c>
      <c r="G2217" s="22" t="s">
        <v>1001</v>
      </c>
      <c r="H2217" s="12" t="s">
        <v>9703</v>
      </c>
      <c r="I2217" s="13" t="s">
        <v>7119</v>
      </c>
      <c r="J2217" s="14" t="s">
        <v>798</v>
      </c>
      <c r="K2217" s="15" t="s">
        <v>798</v>
      </c>
      <c r="L2217" s="12" t="s">
        <v>5315</v>
      </c>
      <c r="M2217" s="13" t="s">
        <v>5548</v>
      </c>
      <c r="N2217" s="12" t="s">
        <v>803</v>
      </c>
      <c r="O2217" s="13" t="s">
        <v>5161</v>
      </c>
      <c r="P2217" s="17" t="s">
        <v>802</v>
      </c>
      <c r="Q2217" s="21" t="s">
        <v>7796</v>
      </c>
      <c r="R2217" s="17" t="s">
        <v>801</v>
      </c>
      <c r="S2217" s="18" t="s">
        <v>2554</v>
      </c>
      <c r="T2217" s="17" t="s">
        <v>800</v>
      </c>
      <c r="U2217" s="18" t="s">
        <v>5233</v>
      </c>
      <c r="V2217" s="17" t="s">
        <v>9418</v>
      </c>
      <c r="W2217" s="18" t="s">
        <v>5310</v>
      </c>
      <c r="X2217" s="69" t="s">
        <v>9453</v>
      </c>
      <c r="Y2217" s="70" t="s">
        <v>9463</v>
      </c>
      <c r="Z2217" s="73" t="s">
        <v>9486</v>
      </c>
      <c r="AA2217" s="74" t="s">
        <v>9504</v>
      </c>
      <c r="AB2217" s="73" t="s">
        <v>9486</v>
      </c>
      <c r="AC2217" s="74" t="s">
        <v>9562</v>
      </c>
      <c r="AD2217" s="73" t="s">
        <v>9578</v>
      </c>
      <c r="AE2217" s="74" t="s">
        <v>9579</v>
      </c>
    </row>
    <row r="2218" spans="1:31" ht="8.65" customHeight="1" x14ac:dyDescent="0.2">
      <c r="A2218" s="76">
        <v>2218</v>
      </c>
      <c r="B2218" s="67" t="str">
        <f>MID(C2218, FIND("Ifc.", C2218) + 4, 4) &amp; "_" &amp; TEXT(COUNTIF($C$2:C2218, C2218),"0000")</f>
        <v>Prop_2217</v>
      </c>
      <c r="C2218" s="24" t="s">
        <v>872</v>
      </c>
      <c r="D2218" s="69" t="s">
        <v>9453</v>
      </c>
      <c r="E2218" s="70" t="s">
        <v>9454</v>
      </c>
      <c r="F2218" s="17" t="s">
        <v>806</v>
      </c>
      <c r="G2218" s="22" t="s">
        <v>1065</v>
      </c>
      <c r="H2218" s="12" t="s">
        <v>9703</v>
      </c>
      <c r="I2218" s="13" t="s">
        <v>7119</v>
      </c>
      <c r="J2218" s="14" t="s">
        <v>798</v>
      </c>
      <c r="K2218" s="15" t="s">
        <v>798</v>
      </c>
      <c r="L2218" s="12" t="s">
        <v>5315</v>
      </c>
      <c r="M2218" s="13" t="s">
        <v>6033</v>
      </c>
      <c r="N2218" s="12" t="s">
        <v>803</v>
      </c>
      <c r="O2218" s="13" t="s">
        <v>4847</v>
      </c>
      <c r="P2218" s="17" t="s">
        <v>802</v>
      </c>
      <c r="Q2218" s="21" t="s">
        <v>7836</v>
      </c>
      <c r="R2218" s="17" t="s">
        <v>801</v>
      </c>
      <c r="S2218" s="18" t="s">
        <v>2554</v>
      </c>
      <c r="T2218" s="17" t="s">
        <v>800</v>
      </c>
      <c r="U2218" s="18" t="s">
        <v>5233</v>
      </c>
      <c r="V2218" s="17" t="s">
        <v>9418</v>
      </c>
      <c r="W2218" s="18" t="s">
        <v>5310</v>
      </c>
      <c r="X2218" s="69" t="s">
        <v>9453</v>
      </c>
      <c r="Y2218" s="70" t="s">
        <v>9463</v>
      </c>
      <c r="Z2218" s="73" t="s">
        <v>9486</v>
      </c>
      <c r="AA2218" s="74" t="s">
        <v>9504</v>
      </c>
      <c r="AB2218" s="73" t="s">
        <v>9486</v>
      </c>
      <c r="AC2218" s="74" t="s">
        <v>9562</v>
      </c>
      <c r="AD2218" s="73" t="s">
        <v>9578</v>
      </c>
      <c r="AE2218" s="74" t="s">
        <v>9579</v>
      </c>
    </row>
    <row r="2219" spans="1:31" ht="8.65" customHeight="1" x14ac:dyDescent="0.2">
      <c r="A2219" s="76">
        <v>2219</v>
      </c>
      <c r="B2219" s="67" t="str">
        <f>MID(C2219, FIND("Ifc.", C2219) + 4, 4) &amp; "_" &amp; TEXT(COUNTIF($C$2:C2219, C2219),"0000")</f>
        <v>Prop_2218</v>
      </c>
      <c r="C2219" s="24" t="s">
        <v>872</v>
      </c>
      <c r="D2219" s="69" t="s">
        <v>9453</v>
      </c>
      <c r="E2219" s="70" t="s">
        <v>9454</v>
      </c>
      <c r="F2219" s="17" t="s">
        <v>806</v>
      </c>
      <c r="G2219" s="22" t="s">
        <v>1767</v>
      </c>
      <c r="H2219" s="12" t="s">
        <v>9703</v>
      </c>
      <c r="I2219" s="13" t="s">
        <v>6473</v>
      </c>
      <c r="J2219" s="14" t="s">
        <v>798</v>
      </c>
      <c r="K2219" s="15" t="s">
        <v>798</v>
      </c>
      <c r="L2219" s="12" t="s">
        <v>5315</v>
      </c>
      <c r="M2219" s="13" t="s">
        <v>5452</v>
      </c>
      <c r="N2219" s="12" t="s">
        <v>803</v>
      </c>
      <c r="O2219" s="13" t="s">
        <v>5010</v>
      </c>
      <c r="P2219" s="17" t="s">
        <v>802</v>
      </c>
      <c r="Q2219" s="21" t="s">
        <v>7978</v>
      </c>
      <c r="R2219" s="17" t="s">
        <v>801</v>
      </c>
      <c r="S2219" s="18" t="s">
        <v>2554</v>
      </c>
      <c r="T2219" s="17" t="s">
        <v>800</v>
      </c>
      <c r="U2219" s="18" t="s">
        <v>5233</v>
      </c>
      <c r="V2219" s="17" t="s">
        <v>9418</v>
      </c>
      <c r="W2219" s="18" t="s">
        <v>5310</v>
      </c>
      <c r="X2219" s="69" t="s">
        <v>9453</v>
      </c>
      <c r="Y2219" s="70" t="s">
        <v>9463</v>
      </c>
      <c r="Z2219" s="73" t="s">
        <v>9486</v>
      </c>
      <c r="AA2219" s="74" t="s">
        <v>9504</v>
      </c>
      <c r="AB2219" s="73" t="s">
        <v>9486</v>
      </c>
      <c r="AC2219" s="74" t="s">
        <v>9562</v>
      </c>
      <c r="AD2219" s="73" t="s">
        <v>9578</v>
      </c>
      <c r="AE2219" s="74" t="s">
        <v>9579</v>
      </c>
    </row>
    <row r="2220" spans="1:31" ht="8.65" customHeight="1" x14ac:dyDescent="0.2">
      <c r="A2220" s="76">
        <v>2220</v>
      </c>
      <c r="B2220" s="67" t="str">
        <f>MID(C2220, FIND("Ifc.", C2220) + 4, 4) &amp; "_" &amp; TEXT(COUNTIF($C$2:C2220, C2220),"0000")</f>
        <v>Prop_2219</v>
      </c>
      <c r="C2220" s="24" t="s">
        <v>872</v>
      </c>
      <c r="D2220" s="69" t="s">
        <v>9453</v>
      </c>
      <c r="E2220" s="70" t="s">
        <v>9454</v>
      </c>
      <c r="F2220" s="17" t="s">
        <v>806</v>
      </c>
      <c r="G2220" s="22" t="s">
        <v>1787</v>
      </c>
      <c r="H2220" s="12" t="s">
        <v>9703</v>
      </c>
      <c r="I2220" s="13" t="s">
        <v>6200</v>
      </c>
      <c r="J2220" s="14" t="s">
        <v>798</v>
      </c>
      <c r="K2220" s="15" t="s">
        <v>798</v>
      </c>
      <c r="L2220" s="12" t="s">
        <v>5315</v>
      </c>
      <c r="M2220" s="13" t="s">
        <v>5937</v>
      </c>
      <c r="N2220" s="12" t="s">
        <v>803</v>
      </c>
      <c r="O2220" s="13" t="s">
        <v>5018</v>
      </c>
      <c r="P2220" s="17" t="s">
        <v>802</v>
      </c>
      <c r="Q2220" s="21" t="s">
        <v>7733</v>
      </c>
      <c r="R2220" s="17" t="s">
        <v>801</v>
      </c>
      <c r="S2220" s="18" t="s">
        <v>2554</v>
      </c>
      <c r="T2220" s="17" t="s">
        <v>800</v>
      </c>
      <c r="U2220" s="18" t="s">
        <v>5233</v>
      </c>
      <c r="V2220" s="17" t="s">
        <v>9418</v>
      </c>
      <c r="W2220" s="18" t="s">
        <v>5310</v>
      </c>
      <c r="X2220" s="69" t="s">
        <v>9453</v>
      </c>
      <c r="Y2220" s="70" t="s">
        <v>9463</v>
      </c>
      <c r="Z2220" s="73" t="s">
        <v>9486</v>
      </c>
      <c r="AA2220" s="74" t="s">
        <v>9504</v>
      </c>
      <c r="AB2220" s="73" t="s">
        <v>9486</v>
      </c>
      <c r="AC2220" s="74" t="s">
        <v>9562</v>
      </c>
      <c r="AD2220" s="73" t="s">
        <v>9578</v>
      </c>
      <c r="AE2220" s="74" t="s">
        <v>9579</v>
      </c>
    </row>
    <row r="2221" spans="1:31" ht="8.65" customHeight="1" x14ac:dyDescent="0.2">
      <c r="A2221" s="76">
        <v>2221</v>
      </c>
      <c r="B2221" s="67" t="str">
        <f>MID(C2221, FIND("Ifc.", C2221) + 4, 4) &amp; "_" &amp; TEXT(COUNTIF($C$2:C2221, C2221),"0000")</f>
        <v>Prop_2220</v>
      </c>
      <c r="C2221" s="24" t="s">
        <v>872</v>
      </c>
      <c r="D2221" s="69" t="s">
        <v>9453</v>
      </c>
      <c r="E2221" s="70" t="s">
        <v>9454</v>
      </c>
      <c r="F2221" s="17" t="s">
        <v>806</v>
      </c>
      <c r="G2221" s="22" t="s">
        <v>1793</v>
      </c>
      <c r="H2221" s="12" t="s">
        <v>9703</v>
      </c>
      <c r="I2221" s="13" t="s">
        <v>6502</v>
      </c>
      <c r="J2221" s="14" t="s">
        <v>798</v>
      </c>
      <c r="K2221" s="15" t="s">
        <v>798</v>
      </c>
      <c r="L2221" s="12" t="s">
        <v>5315</v>
      </c>
      <c r="M2221" s="13" t="s">
        <v>5455</v>
      </c>
      <c r="N2221" s="12" t="s">
        <v>803</v>
      </c>
      <c r="O2221" s="13" t="s">
        <v>5019</v>
      </c>
      <c r="P2221" s="17" t="s">
        <v>802</v>
      </c>
      <c r="Q2221" s="21" t="s">
        <v>7736</v>
      </c>
      <c r="R2221" s="17" t="s">
        <v>801</v>
      </c>
      <c r="S2221" s="18" t="s">
        <v>2554</v>
      </c>
      <c r="T2221" s="17" t="s">
        <v>800</v>
      </c>
      <c r="U2221" s="18" t="s">
        <v>5233</v>
      </c>
      <c r="V2221" s="17" t="s">
        <v>9418</v>
      </c>
      <c r="W2221" s="18" t="s">
        <v>5310</v>
      </c>
      <c r="X2221" s="69" t="s">
        <v>9453</v>
      </c>
      <c r="Y2221" s="70" t="s">
        <v>9463</v>
      </c>
      <c r="Z2221" s="73" t="s">
        <v>9486</v>
      </c>
      <c r="AA2221" s="74" t="s">
        <v>9504</v>
      </c>
      <c r="AB2221" s="73" t="s">
        <v>9486</v>
      </c>
      <c r="AC2221" s="74" t="s">
        <v>9562</v>
      </c>
      <c r="AD2221" s="73" t="s">
        <v>9578</v>
      </c>
      <c r="AE2221" s="74" t="s">
        <v>9579</v>
      </c>
    </row>
    <row r="2222" spans="1:31" ht="8.65" customHeight="1" x14ac:dyDescent="0.2">
      <c r="A2222" s="76">
        <v>2222</v>
      </c>
      <c r="B2222" s="67" t="str">
        <f>MID(C2222, FIND("Ifc.", C2222) + 4, 4) &amp; "_" &amp; TEXT(COUNTIF($C$2:C2222, C2222),"0000")</f>
        <v>Prop_2221</v>
      </c>
      <c r="C2222" s="24" t="s">
        <v>872</v>
      </c>
      <c r="D2222" s="69" t="s">
        <v>9453</v>
      </c>
      <c r="E2222" s="70" t="s">
        <v>9454</v>
      </c>
      <c r="F2222" s="17" t="s">
        <v>806</v>
      </c>
      <c r="G2222" s="22" t="s">
        <v>1880</v>
      </c>
      <c r="H2222" s="12" t="s">
        <v>9703</v>
      </c>
      <c r="I2222" s="13" t="s">
        <v>6556</v>
      </c>
      <c r="J2222" s="14" t="s">
        <v>798</v>
      </c>
      <c r="K2222" s="15" t="s">
        <v>798</v>
      </c>
      <c r="L2222" s="12" t="s">
        <v>5315</v>
      </c>
      <c r="M2222" s="13" t="s">
        <v>5952</v>
      </c>
      <c r="N2222" s="12" t="s">
        <v>803</v>
      </c>
      <c r="O2222" s="13" t="s">
        <v>5041</v>
      </c>
      <c r="P2222" s="17" t="s">
        <v>802</v>
      </c>
      <c r="Q2222" s="21" t="s">
        <v>7986</v>
      </c>
      <c r="R2222" s="17" t="s">
        <v>801</v>
      </c>
      <c r="S2222" s="18" t="s">
        <v>2554</v>
      </c>
      <c r="T2222" s="17" t="s">
        <v>800</v>
      </c>
      <c r="U2222" s="18" t="s">
        <v>5233</v>
      </c>
      <c r="V2222" s="17" t="s">
        <v>9418</v>
      </c>
      <c r="W2222" s="18" t="s">
        <v>5310</v>
      </c>
      <c r="X2222" s="69" t="s">
        <v>9453</v>
      </c>
      <c r="Y2222" s="70" t="s">
        <v>9463</v>
      </c>
      <c r="Z2222" s="73" t="s">
        <v>9486</v>
      </c>
      <c r="AA2222" s="74" t="s">
        <v>9504</v>
      </c>
      <c r="AB2222" s="73" t="s">
        <v>9486</v>
      </c>
      <c r="AC2222" s="74" t="s">
        <v>9562</v>
      </c>
      <c r="AD2222" s="73" t="s">
        <v>9578</v>
      </c>
      <c r="AE2222" s="74" t="s">
        <v>9579</v>
      </c>
    </row>
    <row r="2223" spans="1:31" ht="8.65" customHeight="1" x14ac:dyDescent="0.2">
      <c r="A2223" s="76">
        <v>2223</v>
      </c>
      <c r="B2223" s="67" t="str">
        <f>MID(C2223, FIND("Ifc.", C2223) + 4, 4) &amp; "_" &amp; TEXT(COUNTIF($C$2:C2223, C2223),"0000")</f>
        <v>Prop_2222</v>
      </c>
      <c r="C2223" s="24" t="s">
        <v>872</v>
      </c>
      <c r="D2223" s="69" t="s">
        <v>9453</v>
      </c>
      <c r="E2223" s="70" t="s">
        <v>9454</v>
      </c>
      <c r="F2223" s="17" t="s">
        <v>806</v>
      </c>
      <c r="G2223" s="22" t="s">
        <v>1828</v>
      </c>
      <c r="H2223" s="12" t="s">
        <v>9703</v>
      </c>
      <c r="I2223" s="13" t="s">
        <v>6472</v>
      </c>
      <c r="J2223" s="14" t="s">
        <v>798</v>
      </c>
      <c r="K2223" s="15" t="s">
        <v>798</v>
      </c>
      <c r="L2223" s="12" t="s">
        <v>5315</v>
      </c>
      <c r="M2223" s="13" t="s">
        <v>5944</v>
      </c>
      <c r="N2223" s="12" t="s">
        <v>803</v>
      </c>
      <c r="O2223" s="13" t="s">
        <v>5028</v>
      </c>
      <c r="P2223" s="17" t="s">
        <v>802</v>
      </c>
      <c r="Q2223" s="21" t="s">
        <v>8074</v>
      </c>
      <c r="R2223" s="17" t="s">
        <v>801</v>
      </c>
      <c r="S2223" s="18" t="s">
        <v>2554</v>
      </c>
      <c r="T2223" s="17" t="s">
        <v>800</v>
      </c>
      <c r="U2223" s="18" t="s">
        <v>5233</v>
      </c>
      <c r="V2223" s="17" t="s">
        <v>9418</v>
      </c>
      <c r="W2223" s="18" t="s">
        <v>5310</v>
      </c>
      <c r="X2223" s="69" t="s">
        <v>9453</v>
      </c>
      <c r="Y2223" s="70" t="s">
        <v>9463</v>
      </c>
      <c r="Z2223" s="73" t="s">
        <v>9486</v>
      </c>
      <c r="AA2223" s="74" t="s">
        <v>9504</v>
      </c>
      <c r="AB2223" s="73" t="s">
        <v>9486</v>
      </c>
      <c r="AC2223" s="74" t="s">
        <v>9562</v>
      </c>
      <c r="AD2223" s="73" t="s">
        <v>9578</v>
      </c>
      <c r="AE2223" s="74" t="s">
        <v>9579</v>
      </c>
    </row>
    <row r="2224" spans="1:31" ht="8.65" customHeight="1" x14ac:dyDescent="0.2">
      <c r="A2224" s="76">
        <v>2224</v>
      </c>
      <c r="B2224" s="67" t="str">
        <f>MID(C2224, FIND("Ifc.", C2224) + 4, 4) &amp; "_" &amp; TEXT(COUNTIF($C$2:C2224, C2224),"0000")</f>
        <v>Prop_2223</v>
      </c>
      <c r="C2224" s="24" t="s">
        <v>872</v>
      </c>
      <c r="D2224" s="69" t="s">
        <v>9453</v>
      </c>
      <c r="E2224" s="70" t="s">
        <v>9454</v>
      </c>
      <c r="F2224" s="17" t="s">
        <v>806</v>
      </c>
      <c r="G2224" s="22" t="s">
        <v>1971</v>
      </c>
      <c r="H2224" s="12" t="s">
        <v>9703</v>
      </c>
      <c r="I2224" s="13" t="s">
        <v>6599</v>
      </c>
      <c r="J2224" s="14" t="s">
        <v>798</v>
      </c>
      <c r="K2224" s="15" t="s">
        <v>798</v>
      </c>
      <c r="L2224" s="12" t="s">
        <v>5315</v>
      </c>
      <c r="M2224" s="13" t="s">
        <v>5854</v>
      </c>
      <c r="N2224" s="12" t="s">
        <v>803</v>
      </c>
      <c r="O2224" s="13" t="s">
        <v>5072</v>
      </c>
      <c r="P2224" s="17" t="s">
        <v>802</v>
      </c>
      <c r="Q2224" s="21" t="s">
        <v>7847</v>
      </c>
      <c r="R2224" s="17" t="s">
        <v>801</v>
      </c>
      <c r="S2224" s="18" t="s">
        <v>2554</v>
      </c>
      <c r="T2224" s="17" t="s">
        <v>800</v>
      </c>
      <c r="U2224" s="18" t="s">
        <v>5233</v>
      </c>
      <c r="V2224" s="17" t="s">
        <v>9418</v>
      </c>
      <c r="W2224" s="18" t="s">
        <v>5310</v>
      </c>
      <c r="X2224" s="69" t="s">
        <v>9453</v>
      </c>
      <c r="Y2224" s="70" t="s">
        <v>9463</v>
      </c>
      <c r="Z2224" s="73" t="s">
        <v>9486</v>
      </c>
      <c r="AA2224" s="74" t="s">
        <v>9504</v>
      </c>
      <c r="AB2224" s="73" t="s">
        <v>9486</v>
      </c>
      <c r="AC2224" s="74" t="s">
        <v>9562</v>
      </c>
      <c r="AD2224" s="73" t="s">
        <v>9578</v>
      </c>
      <c r="AE2224" s="74" t="s">
        <v>9579</v>
      </c>
    </row>
    <row r="2225" spans="1:31" ht="8.65" customHeight="1" x14ac:dyDescent="0.2">
      <c r="A2225" s="76">
        <v>2225</v>
      </c>
      <c r="B2225" s="67" t="str">
        <f>MID(C2225, FIND("Ifc.", C2225) + 4, 4) &amp; "_" &amp; TEXT(COUNTIF($C$2:C2225, C2225),"0000")</f>
        <v>Prop_2224</v>
      </c>
      <c r="C2225" s="24" t="s">
        <v>872</v>
      </c>
      <c r="D2225" s="69" t="s">
        <v>9453</v>
      </c>
      <c r="E2225" s="70" t="s">
        <v>9454</v>
      </c>
      <c r="F2225" s="17" t="s">
        <v>806</v>
      </c>
      <c r="G2225" s="22" t="s">
        <v>1874</v>
      </c>
      <c r="H2225" s="12" t="s">
        <v>9703</v>
      </c>
      <c r="I2225" s="13" t="s">
        <v>7613</v>
      </c>
      <c r="J2225" s="14" t="s">
        <v>798</v>
      </c>
      <c r="K2225" s="15" t="s">
        <v>798</v>
      </c>
      <c r="L2225" s="12" t="s">
        <v>5315</v>
      </c>
      <c r="M2225" s="13" t="s">
        <v>5950</v>
      </c>
      <c r="N2225" s="12" t="s">
        <v>803</v>
      </c>
      <c r="O2225" s="13" t="s">
        <v>5039</v>
      </c>
      <c r="P2225" s="17" t="s">
        <v>802</v>
      </c>
      <c r="Q2225" s="21" t="s">
        <v>8003</v>
      </c>
      <c r="R2225" s="17" t="s">
        <v>801</v>
      </c>
      <c r="S2225" s="18" t="s">
        <v>2554</v>
      </c>
      <c r="T2225" s="17" t="s">
        <v>800</v>
      </c>
      <c r="U2225" s="18" t="s">
        <v>5233</v>
      </c>
      <c r="V2225" s="17" t="s">
        <v>9418</v>
      </c>
      <c r="W2225" s="18" t="s">
        <v>5310</v>
      </c>
      <c r="X2225" s="69" t="s">
        <v>9453</v>
      </c>
      <c r="Y2225" s="70" t="s">
        <v>9463</v>
      </c>
      <c r="Z2225" s="73" t="s">
        <v>9486</v>
      </c>
      <c r="AA2225" s="74" t="s">
        <v>9504</v>
      </c>
      <c r="AB2225" s="73" t="s">
        <v>9486</v>
      </c>
      <c r="AC2225" s="74" t="s">
        <v>9562</v>
      </c>
      <c r="AD2225" s="73" t="s">
        <v>9578</v>
      </c>
      <c r="AE2225" s="74" t="s">
        <v>9579</v>
      </c>
    </row>
    <row r="2226" spans="1:31" ht="8.65" customHeight="1" x14ac:dyDescent="0.2">
      <c r="A2226" s="76">
        <v>2226</v>
      </c>
      <c r="B2226" s="67" t="str">
        <f>MID(C2226, FIND("Ifc.", C2226) + 4, 4) &amp; "_" &amp; TEXT(COUNTIF($C$2:C2226, C2226),"0000")</f>
        <v>Prop_2225</v>
      </c>
      <c r="C2226" s="24" t="s">
        <v>872</v>
      </c>
      <c r="D2226" s="69" t="s">
        <v>9453</v>
      </c>
      <c r="E2226" s="70" t="s">
        <v>9454</v>
      </c>
      <c r="F2226" s="17" t="s">
        <v>806</v>
      </c>
      <c r="G2226" s="22" t="s">
        <v>1893</v>
      </c>
      <c r="H2226" s="12" t="s">
        <v>9703</v>
      </c>
      <c r="I2226" s="13" t="s">
        <v>7221</v>
      </c>
      <c r="J2226" s="14" t="s">
        <v>798</v>
      </c>
      <c r="K2226" s="15" t="s">
        <v>798</v>
      </c>
      <c r="L2226" s="12" t="s">
        <v>5315</v>
      </c>
      <c r="M2226" s="13" t="s">
        <v>5955</v>
      </c>
      <c r="N2226" s="12" t="s">
        <v>803</v>
      </c>
      <c r="O2226" s="13" t="s">
        <v>5046</v>
      </c>
      <c r="P2226" s="17" t="s">
        <v>802</v>
      </c>
      <c r="Q2226" s="21" t="s">
        <v>7995</v>
      </c>
      <c r="R2226" s="17" t="s">
        <v>801</v>
      </c>
      <c r="S2226" s="18" t="s">
        <v>2554</v>
      </c>
      <c r="T2226" s="17" t="s">
        <v>800</v>
      </c>
      <c r="U2226" s="18" t="s">
        <v>5233</v>
      </c>
      <c r="V2226" s="17" t="s">
        <v>9418</v>
      </c>
      <c r="W2226" s="18" t="s">
        <v>5310</v>
      </c>
      <c r="X2226" s="69" t="s">
        <v>9453</v>
      </c>
      <c r="Y2226" s="70" t="s">
        <v>9463</v>
      </c>
      <c r="Z2226" s="73" t="s">
        <v>9486</v>
      </c>
      <c r="AA2226" s="74" t="s">
        <v>9504</v>
      </c>
      <c r="AB2226" s="73" t="s">
        <v>9486</v>
      </c>
      <c r="AC2226" s="74" t="s">
        <v>9562</v>
      </c>
      <c r="AD2226" s="73" t="s">
        <v>9578</v>
      </c>
      <c r="AE2226" s="74" t="s">
        <v>9579</v>
      </c>
    </row>
    <row r="2227" spans="1:31" ht="8.65" customHeight="1" x14ac:dyDescent="0.2">
      <c r="A2227" s="76">
        <v>2227</v>
      </c>
      <c r="B2227" s="67" t="str">
        <f>MID(C2227, FIND("Ifc.", C2227) + 4, 4) &amp; "_" &amp; TEXT(COUNTIF($C$2:C2227, C2227),"0000")</f>
        <v>Prop_2226</v>
      </c>
      <c r="C2227" s="24" t="s">
        <v>872</v>
      </c>
      <c r="D2227" s="69" t="s">
        <v>9453</v>
      </c>
      <c r="E2227" s="70" t="s">
        <v>9454</v>
      </c>
      <c r="F2227" s="17" t="s">
        <v>806</v>
      </c>
      <c r="G2227" s="22" t="s">
        <v>2388</v>
      </c>
      <c r="H2227" s="12" t="s">
        <v>9703</v>
      </c>
      <c r="I2227" s="13" t="s">
        <v>6956</v>
      </c>
      <c r="J2227" s="14" t="s">
        <v>798</v>
      </c>
      <c r="K2227" s="15" t="s">
        <v>798</v>
      </c>
      <c r="L2227" s="12" t="s">
        <v>5315</v>
      </c>
      <c r="M2227" s="13" t="s">
        <v>5784</v>
      </c>
      <c r="N2227" s="12" t="s">
        <v>803</v>
      </c>
      <c r="O2227" s="13" t="s">
        <v>5182</v>
      </c>
      <c r="P2227" s="17" t="s">
        <v>802</v>
      </c>
      <c r="Q2227" s="21" t="s">
        <v>7772</v>
      </c>
      <c r="R2227" s="17" t="s">
        <v>801</v>
      </c>
      <c r="S2227" s="18" t="s">
        <v>2554</v>
      </c>
      <c r="T2227" s="17" t="s">
        <v>800</v>
      </c>
      <c r="U2227" s="18" t="s">
        <v>5233</v>
      </c>
      <c r="V2227" s="17" t="s">
        <v>9418</v>
      </c>
      <c r="W2227" s="18" t="s">
        <v>5310</v>
      </c>
      <c r="X2227" s="69" t="s">
        <v>9453</v>
      </c>
      <c r="Y2227" s="70" t="s">
        <v>9463</v>
      </c>
      <c r="Z2227" s="73" t="s">
        <v>9486</v>
      </c>
      <c r="AA2227" s="74" t="s">
        <v>9504</v>
      </c>
      <c r="AB2227" s="73" t="s">
        <v>9486</v>
      </c>
      <c r="AC2227" s="74" t="s">
        <v>9562</v>
      </c>
      <c r="AD2227" s="73" t="s">
        <v>9578</v>
      </c>
      <c r="AE2227" s="74" t="s">
        <v>9579</v>
      </c>
    </row>
    <row r="2228" spans="1:31" ht="8.65" customHeight="1" x14ac:dyDescent="0.2">
      <c r="A2228" s="76">
        <v>2228</v>
      </c>
      <c r="B2228" s="67" t="str">
        <f>MID(C2228, FIND("Ifc.", C2228) + 4, 4) &amp; "_" &amp; TEXT(COUNTIF($C$2:C2228, C2228),"0000")</f>
        <v>Prop_2227</v>
      </c>
      <c r="C2228" s="24" t="s">
        <v>872</v>
      </c>
      <c r="D2228" s="69" t="s">
        <v>9453</v>
      </c>
      <c r="E2228" s="70" t="s">
        <v>9454</v>
      </c>
      <c r="F2228" s="17" t="s">
        <v>806</v>
      </c>
      <c r="G2228" s="22" t="s">
        <v>1814</v>
      </c>
      <c r="H2228" s="12" t="s">
        <v>9703</v>
      </c>
      <c r="I2228" s="13" t="s">
        <v>6511</v>
      </c>
      <c r="J2228" s="14" t="s">
        <v>798</v>
      </c>
      <c r="K2228" s="15" t="s">
        <v>798</v>
      </c>
      <c r="L2228" s="12" t="s">
        <v>5315</v>
      </c>
      <c r="M2228" s="13" t="s">
        <v>5456</v>
      </c>
      <c r="N2228" s="12" t="s">
        <v>803</v>
      </c>
      <c r="O2228" s="13" t="s">
        <v>5026</v>
      </c>
      <c r="P2228" s="17" t="s">
        <v>802</v>
      </c>
      <c r="Q2228" s="21" t="s">
        <v>7801</v>
      </c>
      <c r="R2228" s="17" t="s">
        <v>801</v>
      </c>
      <c r="S2228" s="18" t="s">
        <v>2554</v>
      </c>
      <c r="T2228" s="17" t="s">
        <v>800</v>
      </c>
      <c r="U2228" s="18" t="s">
        <v>5233</v>
      </c>
      <c r="V2228" s="17" t="s">
        <v>9418</v>
      </c>
      <c r="W2228" s="18" t="s">
        <v>5310</v>
      </c>
      <c r="X2228" s="69" t="s">
        <v>9453</v>
      </c>
      <c r="Y2228" s="70" t="s">
        <v>9463</v>
      </c>
      <c r="Z2228" s="73" t="s">
        <v>9486</v>
      </c>
      <c r="AA2228" s="74" t="s">
        <v>9504</v>
      </c>
      <c r="AB2228" s="73" t="s">
        <v>9486</v>
      </c>
      <c r="AC2228" s="74" t="s">
        <v>9562</v>
      </c>
      <c r="AD2228" s="73" t="s">
        <v>9578</v>
      </c>
      <c r="AE2228" s="74" t="s">
        <v>9579</v>
      </c>
    </row>
    <row r="2229" spans="1:31" ht="8.65" customHeight="1" x14ac:dyDescent="0.2">
      <c r="A2229" s="76">
        <v>2229</v>
      </c>
      <c r="B2229" s="67" t="str">
        <f>MID(C2229, FIND("Ifc.", C2229) + 4, 4) &amp; "_" &amp; TEXT(COUNTIF($C$2:C2229, C2229),"0000")</f>
        <v>Prop_2228</v>
      </c>
      <c r="C2229" s="24" t="s">
        <v>872</v>
      </c>
      <c r="D2229" s="69" t="s">
        <v>9453</v>
      </c>
      <c r="E2229" s="70" t="s">
        <v>9454</v>
      </c>
      <c r="F2229" s="17" t="s">
        <v>806</v>
      </c>
      <c r="G2229" s="22" t="s">
        <v>1942</v>
      </c>
      <c r="H2229" s="12" t="s">
        <v>9703</v>
      </c>
      <c r="I2229" s="13" t="s">
        <v>6587</v>
      </c>
      <c r="J2229" s="14" t="s">
        <v>798</v>
      </c>
      <c r="K2229" s="15" t="s">
        <v>798</v>
      </c>
      <c r="L2229" s="12" t="s">
        <v>5315</v>
      </c>
      <c r="M2229" s="13" t="s">
        <v>5471</v>
      </c>
      <c r="N2229" s="12" t="s">
        <v>803</v>
      </c>
      <c r="O2229" s="13" t="s">
        <v>5063</v>
      </c>
      <c r="P2229" s="17" t="s">
        <v>802</v>
      </c>
      <c r="Q2229" s="21" t="s">
        <v>7738</v>
      </c>
      <c r="R2229" s="17" t="s">
        <v>801</v>
      </c>
      <c r="S2229" s="18" t="s">
        <v>2554</v>
      </c>
      <c r="T2229" s="17" t="s">
        <v>800</v>
      </c>
      <c r="U2229" s="18" t="s">
        <v>5233</v>
      </c>
      <c r="V2229" s="17" t="s">
        <v>9418</v>
      </c>
      <c r="W2229" s="18" t="s">
        <v>5310</v>
      </c>
      <c r="X2229" s="69" t="s">
        <v>9453</v>
      </c>
      <c r="Y2229" s="70" t="s">
        <v>9463</v>
      </c>
      <c r="Z2229" s="73" t="s">
        <v>9486</v>
      </c>
      <c r="AA2229" s="74" t="s">
        <v>9504</v>
      </c>
      <c r="AB2229" s="73" t="s">
        <v>9486</v>
      </c>
      <c r="AC2229" s="74" t="s">
        <v>9562</v>
      </c>
      <c r="AD2229" s="73" t="s">
        <v>9578</v>
      </c>
      <c r="AE2229" s="74" t="s">
        <v>9579</v>
      </c>
    </row>
    <row r="2230" spans="1:31" ht="8.65" customHeight="1" x14ac:dyDescent="0.2">
      <c r="A2230" s="76">
        <v>2230</v>
      </c>
      <c r="B2230" s="67" t="str">
        <f>MID(C2230, FIND("Ifc.", C2230) + 4, 4) &amp; "_" &amp; TEXT(COUNTIF($C$2:C2230, C2230),"0000")</f>
        <v>Prop_2229</v>
      </c>
      <c r="C2230" s="24" t="s">
        <v>872</v>
      </c>
      <c r="D2230" s="69" t="s">
        <v>9453</v>
      </c>
      <c r="E2230" s="70" t="s">
        <v>9454</v>
      </c>
      <c r="F2230" s="17" t="s">
        <v>806</v>
      </c>
      <c r="G2230" s="22" t="s">
        <v>1064</v>
      </c>
      <c r="H2230" s="12" t="s">
        <v>9703</v>
      </c>
      <c r="I2230" s="13" t="s">
        <v>6138</v>
      </c>
      <c r="J2230" s="14" t="s">
        <v>798</v>
      </c>
      <c r="K2230" s="15" t="s">
        <v>798</v>
      </c>
      <c r="L2230" s="12" t="s">
        <v>5315</v>
      </c>
      <c r="M2230" s="13" t="s">
        <v>6033</v>
      </c>
      <c r="N2230" s="12" t="s">
        <v>803</v>
      </c>
      <c r="O2230" s="13" t="s">
        <v>4847</v>
      </c>
      <c r="P2230" s="17" t="s">
        <v>802</v>
      </c>
      <c r="Q2230" s="21" t="s">
        <v>7836</v>
      </c>
      <c r="R2230" s="17" t="s">
        <v>801</v>
      </c>
      <c r="S2230" s="18" t="s">
        <v>2554</v>
      </c>
      <c r="T2230" s="17" t="s">
        <v>800</v>
      </c>
      <c r="U2230" s="18" t="s">
        <v>5233</v>
      </c>
      <c r="V2230" s="17" t="s">
        <v>9418</v>
      </c>
      <c r="W2230" s="18" t="s">
        <v>5310</v>
      </c>
      <c r="X2230" s="69" t="s">
        <v>9453</v>
      </c>
      <c r="Y2230" s="70" t="s">
        <v>9463</v>
      </c>
      <c r="Z2230" s="73" t="s">
        <v>9486</v>
      </c>
      <c r="AA2230" s="74" t="s">
        <v>9504</v>
      </c>
      <c r="AB2230" s="73" t="s">
        <v>9486</v>
      </c>
      <c r="AC2230" s="74" t="s">
        <v>9562</v>
      </c>
      <c r="AD2230" s="73" t="s">
        <v>9578</v>
      </c>
      <c r="AE2230" s="74" t="s">
        <v>9579</v>
      </c>
    </row>
    <row r="2231" spans="1:31" ht="8.65" customHeight="1" x14ac:dyDescent="0.2">
      <c r="A2231" s="76">
        <v>2231</v>
      </c>
      <c r="B2231" s="67" t="str">
        <f>MID(C2231, FIND("Ifc.", C2231) + 4, 4) &amp; "_" &amp; TEXT(COUNTIF($C$2:C2231, C2231),"0000")</f>
        <v>Prop_2230</v>
      </c>
      <c r="C2231" s="24" t="s">
        <v>872</v>
      </c>
      <c r="D2231" s="69" t="s">
        <v>9453</v>
      </c>
      <c r="E2231" s="70" t="s">
        <v>9454</v>
      </c>
      <c r="F2231" s="17" t="s">
        <v>806</v>
      </c>
      <c r="G2231" s="22" t="s">
        <v>1064</v>
      </c>
      <c r="H2231" s="12" t="s">
        <v>9703</v>
      </c>
      <c r="I2231" s="13" t="s">
        <v>6138</v>
      </c>
      <c r="J2231" s="14" t="s">
        <v>798</v>
      </c>
      <c r="K2231" s="15" t="s">
        <v>798</v>
      </c>
      <c r="L2231" s="12" t="s">
        <v>5315</v>
      </c>
      <c r="M2231" s="13" t="s">
        <v>5781</v>
      </c>
      <c r="N2231" s="12" t="s">
        <v>803</v>
      </c>
      <c r="O2231" s="13" t="s">
        <v>5180</v>
      </c>
      <c r="P2231" s="17" t="s">
        <v>802</v>
      </c>
      <c r="Q2231" s="21" t="s">
        <v>7699</v>
      </c>
      <c r="R2231" s="17" t="s">
        <v>801</v>
      </c>
      <c r="S2231" s="18" t="s">
        <v>2554</v>
      </c>
      <c r="T2231" s="17" t="s">
        <v>800</v>
      </c>
      <c r="U2231" s="18" t="s">
        <v>5233</v>
      </c>
      <c r="V2231" s="17" t="s">
        <v>9418</v>
      </c>
      <c r="W2231" s="18" t="s">
        <v>5310</v>
      </c>
      <c r="X2231" s="69" t="s">
        <v>9453</v>
      </c>
      <c r="Y2231" s="70" t="s">
        <v>9463</v>
      </c>
      <c r="Z2231" s="73" t="s">
        <v>9486</v>
      </c>
      <c r="AA2231" s="74" t="s">
        <v>9504</v>
      </c>
      <c r="AB2231" s="73" t="s">
        <v>9486</v>
      </c>
      <c r="AC2231" s="74" t="s">
        <v>9562</v>
      </c>
      <c r="AD2231" s="73" t="s">
        <v>9578</v>
      </c>
      <c r="AE2231" s="74" t="s">
        <v>9579</v>
      </c>
    </row>
    <row r="2232" spans="1:31" ht="8.65" customHeight="1" x14ac:dyDescent="0.2">
      <c r="A2232" s="76">
        <v>2232</v>
      </c>
      <c r="B2232" s="67" t="str">
        <f>MID(C2232, FIND("Ifc.", C2232) + 4, 4) &amp; "_" &amp; TEXT(COUNTIF($C$2:C2232, C2232),"0000")</f>
        <v>Prop_2231</v>
      </c>
      <c r="C2232" s="24" t="s">
        <v>872</v>
      </c>
      <c r="D2232" s="69" t="s">
        <v>9453</v>
      </c>
      <c r="E2232" s="70" t="s">
        <v>9454</v>
      </c>
      <c r="F2232" s="17" t="s">
        <v>806</v>
      </c>
      <c r="G2232" s="22" t="s">
        <v>1343</v>
      </c>
      <c r="H2232" s="12" t="s">
        <v>9703</v>
      </c>
      <c r="I2232" s="13" t="s">
        <v>6274</v>
      </c>
      <c r="J2232" s="14" t="s">
        <v>798</v>
      </c>
      <c r="K2232" s="15" t="s">
        <v>798</v>
      </c>
      <c r="L2232" s="12" t="s">
        <v>5315</v>
      </c>
      <c r="M2232" s="13" t="s">
        <v>5414</v>
      </c>
      <c r="N2232" s="12" t="s">
        <v>803</v>
      </c>
      <c r="O2232" s="13" t="s">
        <v>4914</v>
      </c>
      <c r="P2232" s="17" t="s">
        <v>802</v>
      </c>
      <c r="Q2232" s="21" t="s">
        <v>7735</v>
      </c>
      <c r="R2232" s="17" t="s">
        <v>801</v>
      </c>
      <c r="S2232" s="18" t="s">
        <v>2554</v>
      </c>
      <c r="T2232" s="17" t="s">
        <v>800</v>
      </c>
      <c r="U2232" s="18" t="s">
        <v>5233</v>
      </c>
      <c r="V2232" s="17" t="s">
        <v>9418</v>
      </c>
      <c r="W2232" s="18" t="s">
        <v>5309</v>
      </c>
      <c r="X2232" s="69" t="s">
        <v>9453</v>
      </c>
      <c r="Y2232" s="70" t="s">
        <v>9462</v>
      </c>
      <c r="Z2232" s="73" t="s">
        <v>9486</v>
      </c>
      <c r="AA2232" s="74" t="s">
        <v>9504</v>
      </c>
      <c r="AB2232" s="73" t="s">
        <v>9486</v>
      </c>
      <c r="AC2232" s="74" t="s">
        <v>9562</v>
      </c>
      <c r="AD2232" s="73" t="s">
        <v>9578</v>
      </c>
      <c r="AE2232" s="74" t="s">
        <v>9579</v>
      </c>
    </row>
    <row r="2233" spans="1:31" ht="8.65" customHeight="1" x14ac:dyDescent="0.2">
      <c r="A2233" s="76">
        <v>2233</v>
      </c>
      <c r="B2233" s="67" t="str">
        <f>MID(C2233, FIND("Ifc.", C2233) + 4, 4) &amp; "_" &amp; TEXT(COUNTIF($C$2:C2233, C2233),"0000")</f>
        <v>Prop_2232</v>
      </c>
      <c r="C2233" s="24" t="s">
        <v>872</v>
      </c>
      <c r="D2233" s="69" t="s">
        <v>9453</v>
      </c>
      <c r="E2233" s="70" t="s">
        <v>9454</v>
      </c>
      <c r="F2233" s="17" t="s">
        <v>806</v>
      </c>
      <c r="G2233" s="22" t="s">
        <v>1343</v>
      </c>
      <c r="H2233" s="12" t="s">
        <v>9703</v>
      </c>
      <c r="I2233" s="13" t="s">
        <v>6274</v>
      </c>
      <c r="J2233" s="14" t="s">
        <v>798</v>
      </c>
      <c r="K2233" s="15" t="s">
        <v>798</v>
      </c>
      <c r="L2233" s="12" t="s">
        <v>5315</v>
      </c>
      <c r="M2233" s="13" t="s">
        <v>5501</v>
      </c>
      <c r="N2233" s="12" t="s">
        <v>803</v>
      </c>
      <c r="O2233" s="13" t="s">
        <v>5115</v>
      </c>
      <c r="P2233" s="17" t="s">
        <v>802</v>
      </c>
      <c r="Q2233" s="21" t="s">
        <v>7762</v>
      </c>
      <c r="R2233" s="17" t="s">
        <v>801</v>
      </c>
      <c r="S2233" s="18" t="s">
        <v>2554</v>
      </c>
      <c r="T2233" s="17" t="s">
        <v>800</v>
      </c>
      <c r="U2233" s="18" t="s">
        <v>5233</v>
      </c>
      <c r="V2233" s="17" t="s">
        <v>9418</v>
      </c>
      <c r="W2233" s="18" t="s">
        <v>5309</v>
      </c>
      <c r="X2233" s="69" t="s">
        <v>9453</v>
      </c>
      <c r="Y2233" s="70" t="s">
        <v>9462</v>
      </c>
      <c r="Z2233" s="73" t="s">
        <v>9486</v>
      </c>
      <c r="AA2233" s="74" t="s">
        <v>9504</v>
      </c>
      <c r="AB2233" s="73" t="s">
        <v>9486</v>
      </c>
      <c r="AC2233" s="74" t="s">
        <v>9562</v>
      </c>
      <c r="AD2233" s="73" t="s">
        <v>9578</v>
      </c>
      <c r="AE2233" s="74" t="s">
        <v>9579</v>
      </c>
    </row>
    <row r="2234" spans="1:31" ht="8.65" customHeight="1" x14ac:dyDescent="0.2">
      <c r="A2234" s="76">
        <v>2234</v>
      </c>
      <c r="B2234" s="67" t="str">
        <f>MID(C2234, FIND("Ifc.", C2234) + 4, 4) &amp; "_" &amp; TEXT(COUNTIF($C$2:C2234, C2234),"0000")</f>
        <v>Prop_2233</v>
      </c>
      <c r="C2234" s="24" t="s">
        <v>872</v>
      </c>
      <c r="D2234" s="69" t="s">
        <v>9453</v>
      </c>
      <c r="E2234" s="70" t="s">
        <v>9454</v>
      </c>
      <c r="F2234" s="17" t="s">
        <v>806</v>
      </c>
      <c r="G2234" s="22" t="s">
        <v>2392</v>
      </c>
      <c r="H2234" s="12" t="s">
        <v>9703</v>
      </c>
      <c r="I2234" s="13" t="s">
        <v>6770</v>
      </c>
      <c r="J2234" s="14" t="s">
        <v>798</v>
      </c>
      <c r="K2234" s="15" t="s">
        <v>798</v>
      </c>
      <c r="L2234" s="12" t="s">
        <v>5315</v>
      </c>
      <c r="M2234" s="13" t="s">
        <v>5785</v>
      </c>
      <c r="N2234" s="12" t="s">
        <v>803</v>
      </c>
      <c r="O2234" s="13" t="s">
        <v>5183</v>
      </c>
      <c r="P2234" s="17" t="s">
        <v>802</v>
      </c>
      <c r="Q2234" s="21" t="s">
        <v>7859</v>
      </c>
      <c r="R2234" s="17" t="s">
        <v>801</v>
      </c>
      <c r="S2234" s="18" t="s">
        <v>2554</v>
      </c>
      <c r="T2234" s="17" t="s">
        <v>800</v>
      </c>
      <c r="U2234" s="18" t="s">
        <v>5233</v>
      </c>
      <c r="V2234" s="17" t="s">
        <v>9418</v>
      </c>
      <c r="W2234" s="18" t="s">
        <v>5310</v>
      </c>
      <c r="X2234" s="69" t="s">
        <v>9453</v>
      </c>
      <c r="Y2234" s="70" t="s">
        <v>9463</v>
      </c>
      <c r="Z2234" s="73" t="s">
        <v>9486</v>
      </c>
      <c r="AA2234" s="74" t="s">
        <v>9504</v>
      </c>
      <c r="AB2234" s="73" t="s">
        <v>9486</v>
      </c>
      <c r="AC2234" s="74" t="s">
        <v>9562</v>
      </c>
      <c r="AD2234" s="73" t="s">
        <v>9578</v>
      </c>
      <c r="AE2234" s="74" t="s">
        <v>9579</v>
      </c>
    </row>
    <row r="2235" spans="1:31" ht="8.65" customHeight="1" x14ac:dyDescent="0.2">
      <c r="A2235" s="76">
        <v>2235</v>
      </c>
      <c r="B2235" s="67" t="str">
        <f>MID(C2235, FIND("Ifc.", C2235) + 4, 4) &amp; "_" &amp; TEXT(COUNTIF($C$2:C2235, C2235),"0000")</f>
        <v>Prop_2234</v>
      </c>
      <c r="C2235" s="24" t="s">
        <v>872</v>
      </c>
      <c r="D2235" s="69" t="s">
        <v>9453</v>
      </c>
      <c r="E2235" s="70" t="s">
        <v>9454</v>
      </c>
      <c r="F2235" s="17" t="s">
        <v>806</v>
      </c>
      <c r="G2235" s="22" t="s">
        <v>2392</v>
      </c>
      <c r="H2235" s="12" t="s">
        <v>9703</v>
      </c>
      <c r="I2235" s="13" t="s">
        <v>6770</v>
      </c>
      <c r="J2235" s="14" t="s">
        <v>798</v>
      </c>
      <c r="K2235" s="15" t="s">
        <v>798</v>
      </c>
      <c r="L2235" s="12" t="s">
        <v>5315</v>
      </c>
      <c r="M2235" s="13" t="s">
        <v>5789</v>
      </c>
      <c r="N2235" s="12" t="s">
        <v>803</v>
      </c>
      <c r="O2235" s="13" t="s">
        <v>5187</v>
      </c>
      <c r="P2235" s="17" t="s">
        <v>802</v>
      </c>
      <c r="Q2235" s="21" t="s">
        <v>7861</v>
      </c>
      <c r="R2235" s="17" t="s">
        <v>801</v>
      </c>
      <c r="S2235" s="18" t="s">
        <v>2554</v>
      </c>
      <c r="T2235" s="17" t="s">
        <v>800</v>
      </c>
      <c r="U2235" s="18" t="s">
        <v>5233</v>
      </c>
      <c r="V2235" s="17" t="s">
        <v>9418</v>
      </c>
      <c r="W2235" s="18" t="s">
        <v>5310</v>
      </c>
      <c r="X2235" s="69" t="s">
        <v>9453</v>
      </c>
      <c r="Y2235" s="70" t="s">
        <v>9463</v>
      </c>
      <c r="Z2235" s="73" t="s">
        <v>9486</v>
      </c>
      <c r="AA2235" s="74" t="s">
        <v>9504</v>
      </c>
      <c r="AB2235" s="73" t="s">
        <v>9486</v>
      </c>
      <c r="AC2235" s="74" t="s">
        <v>9562</v>
      </c>
      <c r="AD2235" s="73" t="s">
        <v>9578</v>
      </c>
      <c r="AE2235" s="74" t="s">
        <v>9579</v>
      </c>
    </row>
    <row r="2236" spans="1:31" ht="8.65" customHeight="1" x14ac:dyDescent="0.2">
      <c r="A2236" s="76">
        <v>2236</v>
      </c>
      <c r="B2236" s="67" t="str">
        <f>MID(C2236, FIND("Ifc.", C2236) + 4, 4) &amp; "_" &amp; TEXT(COUNTIF($C$2:C2236, C2236),"0000")</f>
        <v>Prop_2235</v>
      </c>
      <c r="C2236" s="24" t="s">
        <v>872</v>
      </c>
      <c r="D2236" s="69" t="s">
        <v>9453</v>
      </c>
      <c r="E2236" s="70" t="s">
        <v>9454</v>
      </c>
      <c r="F2236" s="17" t="s">
        <v>806</v>
      </c>
      <c r="G2236" s="22" t="s">
        <v>2295</v>
      </c>
      <c r="H2236" s="12" t="s">
        <v>9703</v>
      </c>
      <c r="I2236" s="13" t="s">
        <v>6709</v>
      </c>
      <c r="J2236" s="14" t="s">
        <v>798</v>
      </c>
      <c r="K2236" s="15" t="s">
        <v>798</v>
      </c>
      <c r="L2236" s="12" t="s">
        <v>5315</v>
      </c>
      <c r="M2236" s="13" t="s">
        <v>5858</v>
      </c>
      <c r="N2236" s="12" t="s">
        <v>803</v>
      </c>
      <c r="O2236" s="13" t="s">
        <v>5163</v>
      </c>
      <c r="P2236" s="17" t="s">
        <v>802</v>
      </c>
      <c r="Q2236" s="21" t="s">
        <v>7858</v>
      </c>
      <c r="R2236" s="17" t="s">
        <v>801</v>
      </c>
      <c r="S2236" s="18" t="s">
        <v>2554</v>
      </c>
      <c r="T2236" s="17" t="s">
        <v>800</v>
      </c>
      <c r="U2236" s="18" t="s">
        <v>5233</v>
      </c>
      <c r="V2236" s="17" t="s">
        <v>9418</v>
      </c>
      <c r="W2236" s="18" t="s">
        <v>5310</v>
      </c>
      <c r="X2236" s="69" t="s">
        <v>9453</v>
      </c>
      <c r="Y2236" s="70" t="s">
        <v>9463</v>
      </c>
      <c r="Z2236" s="73" t="s">
        <v>9486</v>
      </c>
      <c r="AA2236" s="74" t="s">
        <v>9504</v>
      </c>
      <c r="AB2236" s="73" t="s">
        <v>9486</v>
      </c>
      <c r="AC2236" s="74" t="s">
        <v>9562</v>
      </c>
      <c r="AD2236" s="73" t="s">
        <v>9578</v>
      </c>
      <c r="AE2236" s="74" t="s">
        <v>9579</v>
      </c>
    </row>
    <row r="2237" spans="1:31" ht="8.65" customHeight="1" x14ac:dyDescent="0.2">
      <c r="A2237" s="76">
        <v>2237</v>
      </c>
      <c r="B2237" s="67" t="str">
        <f>MID(C2237, FIND("Ifc.", C2237) + 4, 4) &amp; "_" &amp; TEXT(COUNTIF($C$2:C2237, C2237),"0000")</f>
        <v>Prop_2236</v>
      </c>
      <c r="C2237" s="24" t="s">
        <v>872</v>
      </c>
      <c r="D2237" s="69" t="s">
        <v>9453</v>
      </c>
      <c r="E2237" s="70" t="s">
        <v>9454</v>
      </c>
      <c r="F2237" s="17" t="s">
        <v>806</v>
      </c>
      <c r="G2237" s="22" t="s">
        <v>2346</v>
      </c>
      <c r="H2237" s="12" t="s">
        <v>9703</v>
      </c>
      <c r="I2237" s="13" t="s">
        <v>6737</v>
      </c>
      <c r="J2237" s="14" t="s">
        <v>798</v>
      </c>
      <c r="K2237" s="15" t="s">
        <v>798</v>
      </c>
      <c r="L2237" s="12" t="s">
        <v>5315</v>
      </c>
      <c r="M2237" s="13" t="s">
        <v>5561</v>
      </c>
      <c r="N2237" s="12" t="s">
        <v>803</v>
      </c>
      <c r="O2237" s="13" t="s">
        <v>5175</v>
      </c>
      <c r="P2237" s="17" t="s">
        <v>802</v>
      </c>
      <c r="Q2237" s="21" t="s">
        <v>8014</v>
      </c>
      <c r="R2237" s="17" t="s">
        <v>801</v>
      </c>
      <c r="S2237" s="18" t="s">
        <v>2554</v>
      </c>
      <c r="T2237" s="17" t="s">
        <v>800</v>
      </c>
      <c r="U2237" s="18" t="s">
        <v>5233</v>
      </c>
      <c r="V2237" s="17" t="s">
        <v>9418</v>
      </c>
      <c r="W2237" s="18" t="s">
        <v>5310</v>
      </c>
      <c r="X2237" s="69" t="s">
        <v>9453</v>
      </c>
      <c r="Y2237" s="70" t="s">
        <v>9463</v>
      </c>
      <c r="Z2237" s="73" t="s">
        <v>9486</v>
      </c>
      <c r="AA2237" s="74" t="s">
        <v>9504</v>
      </c>
      <c r="AB2237" s="73" t="s">
        <v>9486</v>
      </c>
      <c r="AC2237" s="74" t="s">
        <v>9562</v>
      </c>
      <c r="AD2237" s="73" t="s">
        <v>9578</v>
      </c>
      <c r="AE2237" s="74" t="s">
        <v>9579</v>
      </c>
    </row>
    <row r="2238" spans="1:31" ht="8.65" customHeight="1" x14ac:dyDescent="0.2">
      <c r="A2238" s="76">
        <v>2238</v>
      </c>
      <c r="B2238" s="67" t="str">
        <f>MID(C2238, FIND("Ifc.", C2238) + 4, 4) &amp; "_" &amp; TEXT(COUNTIF($C$2:C2238, C2238),"0000")</f>
        <v>Prop_2237</v>
      </c>
      <c r="C2238" s="24" t="s">
        <v>872</v>
      </c>
      <c r="D2238" s="69" t="s">
        <v>9453</v>
      </c>
      <c r="E2238" s="70" t="s">
        <v>9454</v>
      </c>
      <c r="F2238" s="17" t="s">
        <v>806</v>
      </c>
      <c r="G2238" s="22" t="s">
        <v>2346</v>
      </c>
      <c r="H2238" s="12" t="s">
        <v>9703</v>
      </c>
      <c r="I2238" s="13" t="s">
        <v>6737</v>
      </c>
      <c r="J2238" s="14" t="s">
        <v>798</v>
      </c>
      <c r="K2238" s="15" t="s">
        <v>798</v>
      </c>
      <c r="L2238" s="12" t="s">
        <v>5315</v>
      </c>
      <c r="M2238" s="13" t="s">
        <v>5560</v>
      </c>
      <c r="N2238" s="12" t="s">
        <v>803</v>
      </c>
      <c r="O2238" s="13" t="s">
        <v>5174</v>
      </c>
      <c r="P2238" s="17" t="s">
        <v>802</v>
      </c>
      <c r="Q2238" s="21" t="s">
        <v>7793</v>
      </c>
      <c r="R2238" s="17" t="s">
        <v>801</v>
      </c>
      <c r="S2238" s="18" t="s">
        <v>2554</v>
      </c>
      <c r="T2238" s="17" t="s">
        <v>800</v>
      </c>
      <c r="U2238" s="18" t="s">
        <v>5233</v>
      </c>
      <c r="V2238" s="17" t="s">
        <v>9418</v>
      </c>
      <c r="W2238" s="18" t="s">
        <v>5310</v>
      </c>
      <c r="X2238" s="69" t="s">
        <v>9453</v>
      </c>
      <c r="Y2238" s="70" t="s">
        <v>9463</v>
      </c>
      <c r="Z2238" s="73" t="s">
        <v>9486</v>
      </c>
      <c r="AA2238" s="74" t="s">
        <v>9504</v>
      </c>
      <c r="AB2238" s="73" t="s">
        <v>9486</v>
      </c>
      <c r="AC2238" s="74" t="s">
        <v>9562</v>
      </c>
      <c r="AD2238" s="73" t="s">
        <v>9578</v>
      </c>
      <c r="AE2238" s="74" t="s">
        <v>9579</v>
      </c>
    </row>
    <row r="2239" spans="1:31" ht="8.65" customHeight="1" x14ac:dyDescent="0.2">
      <c r="A2239" s="76">
        <v>2239</v>
      </c>
      <c r="B2239" s="67" t="str">
        <f>MID(C2239, FIND("Ifc.", C2239) + 4, 4) &amp; "_" &amp; TEXT(COUNTIF($C$2:C2239, C2239),"0000")</f>
        <v>Prop_2238</v>
      </c>
      <c r="C2239" s="24" t="s">
        <v>872</v>
      </c>
      <c r="D2239" s="69" t="s">
        <v>9453</v>
      </c>
      <c r="E2239" s="70" t="s">
        <v>9454</v>
      </c>
      <c r="F2239" s="17" t="s">
        <v>806</v>
      </c>
      <c r="G2239" s="22" t="s">
        <v>1979</v>
      </c>
      <c r="H2239" s="12" t="s">
        <v>9703</v>
      </c>
      <c r="I2239" s="13" t="s">
        <v>6564</v>
      </c>
      <c r="J2239" s="14" t="s">
        <v>798</v>
      </c>
      <c r="K2239" s="15" t="s">
        <v>798</v>
      </c>
      <c r="L2239" s="12" t="s">
        <v>5315</v>
      </c>
      <c r="M2239" s="13" t="s">
        <v>5970</v>
      </c>
      <c r="N2239" s="12" t="s">
        <v>803</v>
      </c>
      <c r="O2239" s="13" t="s">
        <v>5076</v>
      </c>
      <c r="P2239" s="17" t="s">
        <v>802</v>
      </c>
      <c r="Q2239" s="21" t="s">
        <v>7962</v>
      </c>
      <c r="R2239" s="17" t="s">
        <v>801</v>
      </c>
      <c r="S2239" s="18" t="s">
        <v>2554</v>
      </c>
      <c r="T2239" s="17" t="s">
        <v>800</v>
      </c>
      <c r="U2239" s="18" t="s">
        <v>5233</v>
      </c>
      <c r="V2239" s="17" t="s">
        <v>9418</v>
      </c>
      <c r="W2239" s="18" t="s">
        <v>5310</v>
      </c>
      <c r="X2239" s="69" t="s">
        <v>9453</v>
      </c>
      <c r="Y2239" s="70" t="s">
        <v>9463</v>
      </c>
      <c r="Z2239" s="73" t="s">
        <v>9486</v>
      </c>
      <c r="AA2239" s="74" t="s">
        <v>9504</v>
      </c>
      <c r="AB2239" s="73" t="s">
        <v>9486</v>
      </c>
      <c r="AC2239" s="74" t="s">
        <v>9562</v>
      </c>
      <c r="AD2239" s="73" t="s">
        <v>9578</v>
      </c>
      <c r="AE2239" s="74" t="s">
        <v>9579</v>
      </c>
    </row>
    <row r="2240" spans="1:31" ht="8.65" customHeight="1" x14ac:dyDescent="0.2">
      <c r="A2240" s="76">
        <v>2240</v>
      </c>
      <c r="B2240" s="67" t="str">
        <f>MID(C2240, FIND("Ifc.", C2240) + 4, 4) &amp; "_" &amp; TEXT(COUNTIF($C$2:C2240, C2240),"0000")</f>
        <v>Prop_2239</v>
      </c>
      <c r="C2240" s="24" t="s">
        <v>872</v>
      </c>
      <c r="D2240" s="69" t="s">
        <v>9453</v>
      </c>
      <c r="E2240" s="70" t="s">
        <v>9454</v>
      </c>
      <c r="F2240" s="17" t="s">
        <v>806</v>
      </c>
      <c r="G2240" s="22" t="s">
        <v>2409</v>
      </c>
      <c r="H2240" s="12" t="s">
        <v>9703</v>
      </c>
      <c r="I2240" s="13" t="s">
        <v>7260</v>
      </c>
      <c r="J2240" s="14" t="s">
        <v>798</v>
      </c>
      <c r="K2240" s="15" t="s">
        <v>798</v>
      </c>
      <c r="L2240" s="12" t="s">
        <v>5315</v>
      </c>
      <c r="M2240" s="13" t="s">
        <v>5803</v>
      </c>
      <c r="N2240" s="12" t="s">
        <v>803</v>
      </c>
      <c r="O2240" s="13" t="s">
        <v>5196</v>
      </c>
      <c r="P2240" s="17" t="s">
        <v>802</v>
      </c>
      <c r="Q2240" s="21" t="s">
        <v>7930</v>
      </c>
      <c r="R2240" s="17" t="s">
        <v>801</v>
      </c>
      <c r="S2240" s="18" t="s">
        <v>2554</v>
      </c>
      <c r="T2240" s="17" t="s">
        <v>800</v>
      </c>
      <c r="U2240" s="18" t="s">
        <v>5233</v>
      </c>
      <c r="V2240" s="17" t="s">
        <v>9418</v>
      </c>
      <c r="W2240" s="18" t="s">
        <v>5310</v>
      </c>
      <c r="X2240" s="69" t="s">
        <v>9453</v>
      </c>
      <c r="Y2240" s="70" t="s">
        <v>9463</v>
      </c>
      <c r="Z2240" s="73" t="s">
        <v>9486</v>
      </c>
      <c r="AA2240" s="74" t="s">
        <v>9504</v>
      </c>
      <c r="AB2240" s="73" t="s">
        <v>9486</v>
      </c>
      <c r="AC2240" s="74" t="s">
        <v>9562</v>
      </c>
      <c r="AD2240" s="73" t="s">
        <v>9578</v>
      </c>
      <c r="AE2240" s="74" t="s">
        <v>9579</v>
      </c>
    </row>
    <row r="2241" spans="1:31" ht="8.65" customHeight="1" x14ac:dyDescent="0.2">
      <c r="A2241" s="76">
        <v>2241</v>
      </c>
      <c r="B2241" s="67" t="str">
        <f>MID(C2241, FIND("Ifc.", C2241) + 4, 4) &amp; "_" &amp; TEXT(COUNTIF($C$2:C2241, C2241),"0000")</f>
        <v>Prop_2240</v>
      </c>
      <c r="C2241" s="24" t="s">
        <v>872</v>
      </c>
      <c r="D2241" s="69" t="s">
        <v>9453</v>
      </c>
      <c r="E2241" s="70" t="s">
        <v>9454</v>
      </c>
      <c r="F2241" s="17" t="s">
        <v>806</v>
      </c>
      <c r="G2241" s="22" t="s">
        <v>978</v>
      </c>
      <c r="H2241" s="12" t="s">
        <v>9703</v>
      </c>
      <c r="I2241" s="13" t="s">
        <v>7101</v>
      </c>
      <c r="J2241" s="14" t="s">
        <v>798</v>
      </c>
      <c r="K2241" s="15" t="s">
        <v>798</v>
      </c>
      <c r="L2241" s="12" t="s">
        <v>5315</v>
      </c>
      <c r="M2241" s="13" t="s">
        <v>5989</v>
      </c>
      <c r="N2241" s="12" t="s">
        <v>803</v>
      </c>
      <c r="O2241" s="13" t="s">
        <v>4826</v>
      </c>
      <c r="P2241" s="17" t="s">
        <v>802</v>
      </c>
      <c r="Q2241" s="21" t="s">
        <v>7959</v>
      </c>
      <c r="R2241" s="17" t="s">
        <v>801</v>
      </c>
      <c r="S2241" s="18" t="s">
        <v>2554</v>
      </c>
      <c r="T2241" s="17" t="s">
        <v>800</v>
      </c>
      <c r="U2241" s="18" t="s">
        <v>5233</v>
      </c>
      <c r="V2241" s="17" t="s">
        <v>9418</v>
      </c>
      <c r="W2241" s="18" t="s">
        <v>5310</v>
      </c>
      <c r="X2241" s="69" t="s">
        <v>9453</v>
      </c>
      <c r="Y2241" s="70" t="s">
        <v>9463</v>
      </c>
      <c r="Z2241" s="73" t="s">
        <v>9486</v>
      </c>
      <c r="AA2241" s="74" t="s">
        <v>9504</v>
      </c>
      <c r="AB2241" s="73" t="s">
        <v>9486</v>
      </c>
      <c r="AC2241" s="74" t="s">
        <v>9562</v>
      </c>
      <c r="AD2241" s="73" t="s">
        <v>9578</v>
      </c>
      <c r="AE2241" s="74" t="s">
        <v>9579</v>
      </c>
    </row>
    <row r="2242" spans="1:31" ht="8.65" customHeight="1" x14ac:dyDescent="0.2">
      <c r="A2242" s="76">
        <v>2242</v>
      </c>
      <c r="B2242" s="67" t="str">
        <f>MID(C2242, FIND("Ifc.", C2242) + 4, 4) &amp; "_" &amp; TEXT(COUNTIF($C$2:C2242, C2242),"0000")</f>
        <v>Prop_2241</v>
      </c>
      <c r="C2242" s="24" t="s">
        <v>872</v>
      </c>
      <c r="D2242" s="69" t="s">
        <v>9453</v>
      </c>
      <c r="E2242" s="70" t="s">
        <v>9454</v>
      </c>
      <c r="F2242" s="17" t="s">
        <v>806</v>
      </c>
      <c r="G2242" s="22" t="s">
        <v>1969</v>
      </c>
      <c r="H2242" s="12" t="s">
        <v>9703</v>
      </c>
      <c r="I2242" s="13" t="s">
        <v>6597</v>
      </c>
      <c r="J2242" s="14" t="s">
        <v>798</v>
      </c>
      <c r="K2242" s="15" t="s">
        <v>798</v>
      </c>
      <c r="L2242" s="12" t="s">
        <v>5315</v>
      </c>
      <c r="M2242" s="13" t="s">
        <v>5854</v>
      </c>
      <c r="N2242" s="12" t="s">
        <v>803</v>
      </c>
      <c r="O2242" s="13" t="s">
        <v>5072</v>
      </c>
      <c r="P2242" s="17" t="s">
        <v>802</v>
      </c>
      <c r="Q2242" s="21" t="s">
        <v>7847</v>
      </c>
      <c r="R2242" s="17" t="s">
        <v>801</v>
      </c>
      <c r="S2242" s="18" t="s">
        <v>2554</v>
      </c>
      <c r="T2242" s="17" t="s">
        <v>800</v>
      </c>
      <c r="U2242" s="18" t="s">
        <v>5233</v>
      </c>
      <c r="V2242" s="17" t="s">
        <v>9418</v>
      </c>
      <c r="W2242" s="18" t="s">
        <v>5310</v>
      </c>
      <c r="X2242" s="69" t="s">
        <v>9453</v>
      </c>
      <c r="Y2242" s="70" t="s">
        <v>9463</v>
      </c>
      <c r="Z2242" s="73" t="s">
        <v>9486</v>
      </c>
      <c r="AA2242" s="74" t="s">
        <v>9504</v>
      </c>
      <c r="AB2242" s="73" t="s">
        <v>9486</v>
      </c>
      <c r="AC2242" s="74" t="s">
        <v>9562</v>
      </c>
      <c r="AD2242" s="73" t="s">
        <v>9578</v>
      </c>
      <c r="AE2242" s="74" t="s">
        <v>9579</v>
      </c>
    </row>
    <row r="2243" spans="1:31" ht="8.65" customHeight="1" x14ac:dyDescent="0.2">
      <c r="A2243" s="76">
        <v>2243</v>
      </c>
      <c r="B2243" s="67" t="str">
        <f>MID(C2243, FIND("Ifc.", C2243) + 4, 4) &amp; "_" &amp; TEXT(COUNTIF($C$2:C2243, C2243),"0000")</f>
        <v>Prop_2242</v>
      </c>
      <c r="C2243" s="24" t="s">
        <v>872</v>
      </c>
      <c r="D2243" s="69" t="s">
        <v>9453</v>
      </c>
      <c r="E2243" s="70" t="s">
        <v>9454</v>
      </c>
      <c r="F2243" s="17" t="s">
        <v>806</v>
      </c>
      <c r="G2243" s="22" t="s">
        <v>1970</v>
      </c>
      <c r="H2243" s="12" t="s">
        <v>9703</v>
      </c>
      <c r="I2243" s="13" t="s">
        <v>6598</v>
      </c>
      <c r="J2243" s="14" t="s">
        <v>798</v>
      </c>
      <c r="K2243" s="15" t="s">
        <v>798</v>
      </c>
      <c r="L2243" s="12" t="s">
        <v>5315</v>
      </c>
      <c r="M2243" s="13" t="s">
        <v>5854</v>
      </c>
      <c r="N2243" s="12" t="s">
        <v>803</v>
      </c>
      <c r="O2243" s="13" t="s">
        <v>5072</v>
      </c>
      <c r="P2243" s="17" t="s">
        <v>802</v>
      </c>
      <c r="Q2243" s="21" t="s">
        <v>7847</v>
      </c>
      <c r="R2243" s="17" t="s">
        <v>801</v>
      </c>
      <c r="S2243" s="18" t="s">
        <v>2554</v>
      </c>
      <c r="T2243" s="17" t="s">
        <v>800</v>
      </c>
      <c r="U2243" s="18" t="s">
        <v>5233</v>
      </c>
      <c r="V2243" s="17" t="s">
        <v>9418</v>
      </c>
      <c r="W2243" s="18" t="s">
        <v>5310</v>
      </c>
      <c r="X2243" s="69" t="s">
        <v>9453</v>
      </c>
      <c r="Y2243" s="70" t="s">
        <v>9463</v>
      </c>
      <c r="Z2243" s="73" t="s">
        <v>9486</v>
      </c>
      <c r="AA2243" s="74" t="s">
        <v>9504</v>
      </c>
      <c r="AB2243" s="73" t="s">
        <v>9486</v>
      </c>
      <c r="AC2243" s="74" t="s">
        <v>9562</v>
      </c>
      <c r="AD2243" s="73" t="s">
        <v>9578</v>
      </c>
      <c r="AE2243" s="74" t="s">
        <v>9579</v>
      </c>
    </row>
    <row r="2244" spans="1:31" ht="8.65" customHeight="1" x14ac:dyDescent="0.2">
      <c r="A2244" s="76">
        <v>2244</v>
      </c>
      <c r="B2244" s="67" t="str">
        <f>MID(C2244, FIND("Ifc.", C2244) + 4, 4) &amp; "_" &amp; TEXT(COUNTIF($C$2:C2244, C2244),"0000")</f>
        <v>Prop_2243</v>
      </c>
      <c r="C2244" s="24" t="s">
        <v>872</v>
      </c>
      <c r="D2244" s="69" t="s">
        <v>9453</v>
      </c>
      <c r="E2244" s="70" t="s">
        <v>9454</v>
      </c>
      <c r="F2244" s="17" t="s">
        <v>806</v>
      </c>
      <c r="G2244" s="22" t="s">
        <v>954</v>
      </c>
      <c r="H2244" s="12" t="s">
        <v>9703</v>
      </c>
      <c r="I2244" s="13" t="s">
        <v>6101</v>
      </c>
      <c r="J2244" s="14" t="s">
        <v>798</v>
      </c>
      <c r="K2244" s="15" t="s">
        <v>798</v>
      </c>
      <c r="L2244" s="12" t="s">
        <v>5315</v>
      </c>
      <c r="M2244" s="13" t="s">
        <v>5983</v>
      </c>
      <c r="N2244" s="12" t="s">
        <v>803</v>
      </c>
      <c r="O2244" s="13" t="s">
        <v>4821</v>
      </c>
      <c r="P2244" s="17" t="s">
        <v>802</v>
      </c>
      <c r="Q2244" s="21" t="s">
        <v>8087</v>
      </c>
      <c r="R2244" s="17" t="s">
        <v>801</v>
      </c>
      <c r="S2244" s="18" t="s">
        <v>2554</v>
      </c>
      <c r="T2244" s="17" t="s">
        <v>800</v>
      </c>
      <c r="U2244" s="18" t="s">
        <v>5233</v>
      </c>
      <c r="V2244" s="17" t="s">
        <v>9418</v>
      </c>
      <c r="W2244" s="18" t="s">
        <v>5310</v>
      </c>
      <c r="X2244" s="69" t="s">
        <v>9453</v>
      </c>
      <c r="Y2244" s="70" t="s">
        <v>9463</v>
      </c>
      <c r="Z2244" s="73" t="s">
        <v>9486</v>
      </c>
      <c r="AA2244" s="74" t="s">
        <v>9504</v>
      </c>
      <c r="AB2244" s="73" t="s">
        <v>9486</v>
      </c>
      <c r="AC2244" s="74" t="s">
        <v>9562</v>
      </c>
      <c r="AD2244" s="73" t="s">
        <v>9578</v>
      </c>
      <c r="AE2244" s="74" t="s">
        <v>9579</v>
      </c>
    </row>
    <row r="2245" spans="1:31" ht="8.65" customHeight="1" x14ac:dyDescent="0.2">
      <c r="A2245" s="76">
        <v>2245</v>
      </c>
      <c r="B2245" s="67" t="str">
        <f>MID(C2245, FIND("Ifc.", C2245) + 4, 4) &amp; "_" &amp; TEXT(COUNTIF($C$2:C2245, C2245),"0000")</f>
        <v>Prop_2244</v>
      </c>
      <c r="C2245" s="24" t="s">
        <v>872</v>
      </c>
      <c r="D2245" s="69" t="s">
        <v>9453</v>
      </c>
      <c r="E2245" s="70" t="s">
        <v>9454</v>
      </c>
      <c r="F2245" s="17" t="s">
        <v>806</v>
      </c>
      <c r="G2245" s="22" t="s">
        <v>1205</v>
      </c>
      <c r="H2245" s="12" t="s">
        <v>9703</v>
      </c>
      <c r="I2245" s="13" t="s">
        <v>6485</v>
      </c>
      <c r="J2245" s="14" t="s">
        <v>798</v>
      </c>
      <c r="K2245" s="15" t="s">
        <v>798</v>
      </c>
      <c r="L2245" s="12" t="s">
        <v>5315</v>
      </c>
      <c r="M2245" s="13" t="s">
        <v>5821</v>
      </c>
      <c r="N2245" s="12" t="s">
        <v>803</v>
      </c>
      <c r="O2245" s="13" t="s">
        <v>4883</v>
      </c>
      <c r="P2245" s="17" t="s">
        <v>802</v>
      </c>
      <c r="Q2245" s="21" t="s">
        <v>7683</v>
      </c>
      <c r="R2245" s="17" t="s">
        <v>801</v>
      </c>
      <c r="S2245" s="18" t="s">
        <v>2554</v>
      </c>
      <c r="T2245" s="17" t="s">
        <v>800</v>
      </c>
      <c r="U2245" s="18" t="s">
        <v>5233</v>
      </c>
      <c r="V2245" s="17" t="s">
        <v>9418</v>
      </c>
      <c r="W2245" s="18" t="s">
        <v>5309</v>
      </c>
      <c r="X2245" s="69" t="s">
        <v>9453</v>
      </c>
      <c r="Y2245" s="70" t="s">
        <v>9462</v>
      </c>
      <c r="Z2245" s="73" t="s">
        <v>9486</v>
      </c>
      <c r="AA2245" s="74" t="s">
        <v>9504</v>
      </c>
      <c r="AB2245" s="73" t="s">
        <v>9486</v>
      </c>
      <c r="AC2245" s="74" t="s">
        <v>9562</v>
      </c>
      <c r="AD2245" s="73" t="s">
        <v>9578</v>
      </c>
      <c r="AE2245" s="74" t="s">
        <v>9579</v>
      </c>
    </row>
    <row r="2246" spans="1:31" ht="8.65" customHeight="1" x14ac:dyDescent="0.2">
      <c r="A2246" s="76">
        <v>2246</v>
      </c>
      <c r="B2246" s="67" t="str">
        <f>MID(C2246, FIND("Ifc.", C2246) + 4, 4) &amp; "_" &amp; TEXT(COUNTIF($C$2:C2246, C2246),"0000")</f>
        <v>Prop_2245</v>
      </c>
      <c r="C2246" s="24" t="s">
        <v>872</v>
      </c>
      <c r="D2246" s="69" t="s">
        <v>9453</v>
      </c>
      <c r="E2246" s="70" t="s">
        <v>9454</v>
      </c>
      <c r="F2246" s="17" t="s">
        <v>806</v>
      </c>
      <c r="G2246" s="22" t="s">
        <v>1054</v>
      </c>
      <c r="H2246" s="12" t="s">
        <v>9703</v>
      </c>
      <c r="I2246" s="13" t="s">
        <v>6141</v>
      </c>
      <c r="J2246" s="14" t="s">
        <v>798</v>
      </c>
      <c r="K2246" s="15" t="s">
        <v>798</v>
      </c>
      <c r="L2246" s="12" t="s">
        <v>5315</v>
      </c>
      <c r="M2246" s="13" t="s">
        <v>5779</v>
      </c>
      <c r="N2246" s="12" t="s">
        <v>803</v>
      </c>
      <c r="O2246" s="13" t="s">
        <v>4846</v>
      </c>
      <c r="P2246" s="17" t="s">
        <v>802</v>
      </c>
      <c r="Q2246" s="21" t="s">
        <v>7936</v>
      </c>
      <c r="R2246" s="17" t="s">
        <v>801</v>
      </c>
      <c r="S2246" s="18" t="s">
        <v>2554</v>
      </c>
      <c r="T2246" s="17" t="s">
        <v>800</v>
      </c>
      <c r="U2246" s="18" t="s">
        <v>5233</v>
      </c>
      <c r="V2246" s="17" t="s">
        <v>9418</v>
      </c>
      <c r="W2246" s="18" t="s">
        <v>5310</v>
      </c>
      <c r="X2246" s="69" t="s">
        <v>9453</v>
      </c>
      <c r="Y2246" s="70" t="s">
        <v>9463</v>
      </c>
      <c r="Z2246" s="73" t="s">
        <v>9486</v>
      </c>
      <c r="AA2246" s="74" t="s">
        <v>9504</v>
      </c>
      <c r="AB2246" s="73" t="s">
        <v>9486</v>
      </c>
      <c r="AC2246" s="74" t="s">
        <v>9562</v>
      </c>
      <c r="AD2246" s="73" t="s">
        <v>9578</v>
      </c>
      <c r="AE2246" s="74" t="s">
        <v>9579</v>
      </c>
    </row>
    <row r="2247" spans="1:31" ht="8.65" customHeight="1" x14ac:dyDescent="0.2">
      <c r="A2247" s="76">
        <v>2247</v>
      </c>
      <c r="B2247" s="67" t="str">
        <f>MID(C2247, FIND("Ifc.", C2247) + 4, 4) &amp; "_" &amp; TEXT(COUNTIF($C$2:C2247, C2247),"0000")</f>
        <v>Prop_2246</v>
      </c>
      <c r="C2247" s="24" t="s">
        <v>872</v>
      </c>
      <c r="D2247" s="69" t="s">
        <v>9453</v>
      </c>
      <c r="E2247" s="70" t="s">
        <v>9454</v>
      </c>
      <c r="F2247" s="17" t="s">
        <v>806</v>
      </c>
      <c r="G2247" s="22" t="s">
        <v>960</v>
      </c>
      <c r="H2247" s="12" t="s">
        <v>9703</v>
      </c>
      <c r="I2247" s="13" t="s">
        <v>6102</v>
      </c>
      <c r="J2247" s="14" t="s">
        <v>798</v>
      </c>
      <c r="K2247" s="15" t="s">
        <v>798</v>
      </c>
      <c r="L2247" s="12" t="s">
        <v>5315</v>
      </c>
      <c r="M2247" s="13" t="s">
        <v>5984</v>
      </c>
      <c r="N2247" s="12" t="s">
        <v>803</v>
      </c>
      <c r="O2247" s="13" t="s">
        <v>4822</v>
      </c>
      <c r="P2247" s="17" t="s">
        <v>802</v>
      </c>
      <c r="Q2247" s="21" t="s">
        <v>7725</v>
      </c>
      <c r="R2247" s="17" t="s">
        <v>801</v>
      </c>
      <c r="S2247" s="18" t="s">
        <v>2554</v>
      </c>
      <c r="T2247" s="17" t="s">
        <v>800</v>
      </c>
      <c r="U2247" s="18" t="s">
        <v>5233</v>
      </c>
      <c r="V2247" s="17" t="s">
        <v>9418</v>
      </c>
      <c r="W2247" s="18" t="s">
        <v>5310</v>
      </c>
      <c r="X2247" s="69" t="s">
        <v>9453</v>
      </c>
      <c r="Y2247" s="70" t="s">
        <v>9463</v>
      </c>
      <c r="Z2247" s="73" t="s">
        <v>9486</v>
      </c>
      <c r="AA2247" s="74" t="s">
        <v>9504</v>
      </c>
      <c r="AB2247" s="73" t="s">
        <v>9486</v>
      </c>
      <c r="AC2247" s="74" t="s">
        <v>9562</v>
      </c>
      <c r="AD2247" s="73" t="s">
        <v>9578</v>
      </c>
      <c r="AE2247" s="74" t="s">
        <v>9579</v>
      </c>
    </row>
    <row r="2248" spans="1:31" ht="8.65" customHeight="1" x14ac:dyDescent="0.2">
      <c r="A2248" s="76">
        <v>2248</v>
      </c>
      <c r="B2248" s="67" t="str">
        <f>MID(C2248, FIND("Ifc.", C2248) + 4, 4) &amp; "_" &amp; TEXT(COUNTIF($C$2:C2248, C2248),"0000")</f>
        <v>Prop_2247</v>
      </c>
      <c r="C2248" s="24" t="s">
        <v>872</v>
      </c>
      <c r="D2248" s="69" t="s">
        <v>9453</v>
      </c>
      <c r="E2248" s="70" t="s">
        <v>9454</v>
      </c>
      <c r="F2248" s="17" t="s">
        <v>806</v>
      </c>
      <c r="G2248" s="22" t="s">
        <v>2206</v>
      </c>
      <c r="H2248" s="12" t="s">
        <v>9703</v>
      </c>
      <c r="I2248" s="13" t="s">
        <v>6677</v>
      </c>
      <c r="J2248" s="14" t="s">
        <v>798</v>
      </c>
      <c r="K2248" s="15" t="s">
        <v>798</v>
      </c>
      <c r="L2248" s="12" t="s">
        <v>5315</v>
      </c>
      <c r="M2248" s="13" t="s">
        <v>5507</v>
      </c>
      <c r="N2248" s="12" t="s">
        <v>803</v>
      </c>
      <c r="O2248" s="13" t="s">
        <v>5120</v>
      </c>
      <c r="P2248" s="17" t="s">
        <v>802</v>
      </c>
      <c r="Q2248" s="21" t="s">
        <v>7693</v>
      </c>
      <c r="R2248" s="17" t="s">
        <v>801</v>
      </c>
      <c r="S2248" s="18" t="s">
        <v>2554</v>
      </c>
      <c r="T2248" s="17" t="s">
        <v>800</v>
      </c>
      <c r="U2248" s="18" t="s">
        <v>5233</v>
      </c>
      <c r="V2248" s="17" t="s">
        <v>9418</v>
      </c>
      <c r="W2248" s="18" t="s">
        <v>5310</v>
      </c>
      <c r="X2248" s="69" t="s">
        <v>9453</v>
      </c>
      <c r="Y2248" s="70" t="s">
        <v>9463</v>
      </c>
      <c r="Z2248" s="73" t="s">
        <v>9486</v>
      </c>
      <c r="AA2248" s="74" t="s">
        <v>9504</v>
      </c>
      <c r="AB2248" s="73" t="s">
        <v>9486</v>
      </c>
      <c r="AC2248" s="74" t="s">
        <v>9562</v>
      </c>
      <c r="AD2248" s="73" t="s">
        <v>9578</v>
      </c>
      <c r="AE2248" s="74" t="s">
        <v>9579</v>
      </c>
    </row>
    <row r="2249" spans="1:31" ht="8.65" customHeight="1" x14ac:dyDescent="0.2">
      <c r="A2249" s="76">
        <v>2249</v>
      </c>
      <c r="B2249" s="67" t="str">
        <f>MID(C2249, FIND("Ifc.", C2249) + 4, 4) &amp; "_" &amp; TEXT(COUNTIF($C$2:C2249, C2249),"0000")</f>
        <v>Prop_2248</v>
      </c>
      <c r="C2249" s="24" t="s">
        <v>872</v>
      </c>
      <c r="D2249" s="69" t="s">
        <v>9453</v>
      </c>
      <c r="E2249" s="70" t="s">
        <v>9454</v>
      </c>
      <c r="F2249" s="17" t="s">
        <v>806</v>
      </c>
      <c r="G2249" s="22" t="s">
        <v>1014</v>
      </c>
      <c r="H2249" s="12" t="s">
        <v>9703</v>
      </c>
      <c r="I2249" s="13" t="s">
        <v>6119</v>
      </c>
      <c r="J2249" s="14" t="s">
        <v>798</v>
      </c>
      <c r="K2249" s="15" t="s">
        <v>798</v>
      </c>
      <c r="L2249" s="12" t="s">
        <v>5315</v>
      </c>
      <c r="M2249" s="13" t="s">
        <v>5377</v>
      </c>
      <c r="N2249" s="12" t="s">
        <v>803</v>
      </c>
      <c r="O2249" s="13" t="s">
        <v>4834</v>
      </c>
      <c r="P2249" s="17" t="s">
        <v>802</v>
      </c>
      <c r="Q2249" s="21" t="s">
        <v>8082</v>
      </c>
      <c r="R2249" s="17" t="s">
        <v>801</v>
      </c>
      <c r="S2249" s="18" t="s">
        <v>2554</v>
      </c>
      <c r="T2249" s="17" t="s">
        <v>800</v>
      </c>
      <c r="U2249" s="18" t="s">
        <v>5233</v>
      </c>
      <c r="V2249" s="17" t="s">
        <v>9418</v>
      </c>
      <c r="W2249" s="18" t="s">
        <v>5310</v>
      </c>
      <c r="X2249" s="69" t="s">
        <v>9453</v>
      </c>
      <c r="Y2249" s="70" t="s">
        <v>9463</v>
      </c>
      <c r="Z2249" s="73" t="s">
        <v>9486</v>
      </c>
      <c r="AA2249" s="74" t="s">
        <v>9504</v>
      </c>
      <c r="AB2249" s="73" t="s">
        <v>9486</v>
      </c>
      <c r="AC2249" s="74" t="s">
        <v>9562</v>
      </c>
      <c r="AD2249" s="73" t="s">
        <v>9578</v>
      </c>
      <c r="AE2249" s="74" t="s">
        <v>9579</v>
      </c>
    </row>
    <row r="2250" spans="1:31" ht="8.65" customHeight="1" x14ac:dyDescent="0.2">
      <c r="A2250" s="76">
        <v>2250</v>
      </c>
      <c r="B2250" s="67" t="str">
        <f>MID(C2250, FIND("Ifc.", C2250) + 4, 4) &amp; "_" &amp; TEXT(COUNTIF($C$2:C2250, C2250),"0000")</f>
        <v>Prop_2249</v>
      </c>
      <c r="C2250" s="24" t="s">
        <v>872</v>
      </c>
      <c r="D2250" s="69" t="s">
        <v>9453</v>
      </c>
      <c r="E2250" s="70" t="s">
        <v>9454</v>
      </c>
      <c r="F2250" s="17" t="s">
        <v>806</v>
      </c>
      <c r="G2250" s="22" t="s">
        <v>2245</v>
      </c>
      <c r="H2250" s="12" t="s">
        <v>9703</v>
      </c>
      <c r="I2250" s="13" t="s">
        <v>6694</v>
      </c>
      <c r="J2250" s="14" t="s">
        <v>798</v>
      </c>
      <c r="K2250" s="15" t="s">
        <v>798</v>
      </c>
      <c r="L2250" s="12" t="s">
        <v>5315</v>
      </c>
      <c r="M2250" s="13" t="s">
        <v>5521</v>
      </c>
      <c r="N2250" s="12" t="s">
        <v>803</v>
      </c>
      <c r="O2250" s="13" t="s">
        <v>5136</v>
      </c>
      <c r="P2250" s="17" t="s">
        <v>802</v>
      </c>
      <c r="Q2250" s="21" t="s">
        <v>7979</v>
      </c>
      <c r="R2250" s="17" t="s">
        <v>801</v>
      </c>
      <c r="S2250" s="18" t="s">
        <v>2554</v>
      </c>
      <c r="T2250" s="17" t="s">
        <v>800</v>
      </c>
      <c r="U2250" s="18" t="s">
        <v>5233</v>
      </c>
      <c r="V2250" s="17" t="s">
        <v>9418</v>
      </c>
      <c r="W2250" s="18" t="s">
        <v>5310</v>
      </c>
      <c r="X2250" s="69" t="s">
        <v>9453</v>
      </c>
      <c r="Y2250" s="70" t="s">
        <v>9463</v>
      </c>
      <c r="Z2250" s="73" t="s">
        <v>9486</v>
      </c>
      <c r="AA2250" s="74" t="s">
        <v>9504</v>
      </c>
      <c r="AB2250" s="73" t="s">
        <v>9486</v>
      </c>
      <c r="AC2250" s="74" t="s">
        <v>9562</v>
      </c>
      <c r="AD2250" s="73" t="s">
        <v>9578</v>
      </c>
      <c r="AE2250" s="74" t="s">
        <v>9579</v>
      </c>
    </row>
    <row r="2251" spans="1:31" ht="8.65" customHeight="1" x14ac:dyDescent="0.2">
      <c r="A2251" s="76">
        <v>2251</v>
      </c>
      <c r="B2251" s="67" t="str">
        <f>MID(C2251, FIND("Ifc.", C2251) + 4, 4) &amp; "_" &amp; TEXT(COUNTIF($C$2:C2251, C2251),"0000")</f>
        <v>Prop_2250</v>
      </c>
      <c r="C2251" s="24" t="s">
        <v>872</v>
      </c>
      <c r="D2251" s="69" t="s">
        <v>9453</v>
      </c>
      <c r="E2251" s="70" t="s">
        <v>9454</v>
      </c>
      <c r="F2251" s="17" t="s">
        <v>806</v>
      </c>
      <c r="G2251" s="22" t="s">
        <v>2260</v>
      </c>
      <c r="H2251" s="12" t="s">
        <v>9703</v>
      </c>
      <c r="I2251" s="13" t="s">
        <v>6697</v>
      </c>
      <c r="J2251" s="14" t="s">
        <v>798</v>
      </c>
      <c r="K2251" s="15" t="s">
        <v>798</v>
      </c>
      <c r="L2251" s="12" t="s">
        <v>5315</v>
      </c>
      <c r="M2251" s="13" t="s">
        <v>5534</v>
      </c>
      <c r="N2251" s="12" t="s">
        <v>803</v>
      </c>
      <c r="O2251" s="13" t="s">
        <v>5149</v>
      </c>
      <c r="P2251" s="17" t="s">
        <v>802</v>
      </c>
      <c r="Q2251" s="21" t="s">
        <v>8059</v>
      </c>
      <c r="R2251" s="17" t="s">
        <v>801</v>
      </c>
      <c r="S2251" s="18" t="s">
        <v>2554</v>
      </c>
      <c r="T2251" s="17" t="s">
        <v>800</v>
      </c>
      <c r="U2251" s="18" t="s">
        <v>5233</v>
      </c>
      <c r="V2251" s="17" t="s">
        <v>9418</v>
      </c>
      <c r="W2251" s="18" t="s">
        <v>5310</v>
      </c>
      <c r="X2251" s="69" t="s">
        <v>9453</v>
      </c>
      <c r="Y2251" s="70" t="s">
        <v>9463</v>
      </c>
      <c r="Z2251" s="73" t="s">
        <v>9486</v>
      </c>
      <c r="AA2251" s="74" t="s">
        <v>9504</v>
      </c>
      <c r="AB2251" s="73" t="s">
        <v>9486</v>
      </c>
      <c r="AC2251" s="74" t="s">
        <v>9562</v>
      </c>
      <c r="AD2251" s="73" t="s">
        <v>9578</v>
      </c>
      <c r="AE2251" s="74" t="s">
        <v>9579</v>
      </c>
    </row>
    <row r="2252" spans="1:31" ht="8.65" customHeight="1" x14ac:dyDescent="0.2">
      <c r="A2252" s="76">
        <v>2252</v>
      </c>
      <c r="B2252" s="67" t="str">
        <f>MID(C2252, FIND("Ifc.", C2252) + 4, 4) &amp; "_" &amp; TEXT(COUNTIF($C$2:C2252, C2252),"0000")</f>
        <v>Prop_2251</v>
      </c>
      <c r="C2252" s="24" t="s">
        <v>872</v>
      </c>
      <c r="D2252" s="69" t="s">
        <v>9453</v>
      </c>
      <c r="E2252" s="70" t="s">
        <v>9454</v>
      </c>
      <c r="F2252" s="17" t="s">
        <v>806</v>
      </c>
      <c r="G2252" s="22" t="s">
        <v>2269</v>
      </c>
      <c r="H2252" s="12" t="s">
        <v>9703</v>
      </c>
      <c r="I2252" s="13" t="s">
        <v>6698</v>
      </c>
      <c r="J2252" s="14" t="s">
        <v>798</v>
      </c>
      <c r="K2252" s="15" t="s">
        <v>798</v>
      </c>
      <c r="L2252" s="12" t="s">
        <v>5315</v>
      </c>
      <c r="M2252" s="13" t="s">
        <v>5541</v>
      </c>
      <c r="N2252" s="12" t="s">
        <v>803</v>
      </c>
      <c r="O2252" s="13" t="s">
        <v>5156</v>
      </c>
      <c r="P2252" s="17" t="s">
        <v>802</v>
      </c>
      <c r="Q2252" s="21" t="s">
        <v>8065</v>
      </c>
      <c r="R2252" s="17" t="s">
        <v>801</v>
      </c>
      <c r="S2252" s="18" t="s">
        <v>2554</v>
      </c>
      <c r="T2252" s="17" t="s">
        <v>800</v>
      </c>
      <c r="U2252" s="18" t="s">
        <v>5233</v>
      </c>
      <c r="V2252" s="17" t="s">
        <v>9418</v>
      </c>
      <c r="W2252" s="18" t="s">
        <v>5310</v>
      </c>
      <c r="X2252" s="69" t="s">
        <v>9453</v>
      </c>
      <c r="Y2252" s="70" t="s">
        <v>9463</v>
      </c>
      <c r="Z2252" s="73" t="s">
        <v>9486</v>
      </c>
      <c r="AA2252" s="74" t="s">
        <v>9504</v>
      </c>
      <c r="AB2252" s="73" t="s">
        <v>9486</v>
      </c>
      <c r="AC2252" s="74" t="s">
        <v>9562</v>
      </c>
      <c r="AD2252" s="73" t="s">
        <v>9578</v>
      </c>
      <c r="AE2252" s="74" t="s">
        <v>9579</v>
      </c>
    </row>
    <row r="2253" spans="1:31" ht="8.65" customHeight="1" x14ac:dyDescent="0.2">
      <c r="A2253" s="76">
        <v>2253</v>
      </c>
      <c r="B2253" s="67" t="str">
        <f>MID(C2253, FIND("Ifc.", C2253) + 4, 4) &amp; "_" &amp; TEXT(COUNTIF($C$2:C2253, C2253),"0000")</f>
        <v>Prop_2252</v>
      </c>
      <c r="C2253" s="24" t="s">
        <v>872</v>
      </c>
      <c r="D2253" s="69" t="s">
        <v>9453</v>
      </c>
      <c r="E2253" s="70" t="s">
        <v>9454</v>
      </c>
      <c r="F2253" s="17" t="s">
        <v>806</v>
      </c>
      <c r="G2253" s="22" t="s">
        <v>1453</v>
      </c>
      <c r="H2253" s="12" t="s">
        <v>9703</v>
      </c>
      <c r="I2253" s="13" t="s">
        <v>6326</v>
      </c>
      <c r="J2253" s="14" t="s">
        <v>798</v>
      </c>
      <c r="K2253" s="15" t="s">
        <v>798</v>
      </c>
      <c r="L2253" s="12" t="s">
        <v>5315</v>
      </c>
      <c r="M2253" s="13" t="s">
        <v>5438</v>
      </c>
      <c r="N2253" s="12" t="s">
        <v>803</v>
      </c>
      <c r="O2253" s="13" t="s">
        <v>4939</v>
      </c>
      <c r="P2253" s="17" t="s">
        <v>802</v>
      </c>
      <c r="Q2253" s="21" t="s">
        <v>7756</v>
      </c>
      <c r="R2253" s="17" t="s">
        <v>801</v>
      </c>
      <c r="S2253" s="18" t="s">
        <v>2554</v>
      </c>
      <c r="T2253" s="17" t="s">
        <v>800</v>
      </c>
      <c r="U2253" s="18" t="s">
        <v>5233</v>
      </c>
      <c r="V2253" s="17" t="s">
        <v>9418</v>
      </c>
      <c r="W2253" s="18" t="s">
        <v>5310</v>
      </c>
      <c r="X2253" s="69" t="s">
        <v>9453</v>
      </c>
      <c r="Y2253" s="70" t="s">
        <v>9463</v>
      </c>
      <c r="Z2253" s="73" t="s">
        <v>9486</v>
      </c>
      <c r="AA2253" s="74" t="s">
        <v>9504</v>
      </c>
      <c r="AB2253" s="73" t="s">
        <v>9486</v>
      </c>
      <c r="AC2253" s="74" t="s">
        <v>9562</v>
      </c>
      <c r="AD2253" s="73" t="s">
        <v>9578</v>
      </c>
      <c r="AE2253" s="74" t="s">
        <v>9579</v>
      </c>
    </row>
    <row r="2254" spans="1:31" ht="8.65" customHeight="1" x14ac:dyDescent="0.2">
      <c r="A2254" s="76">
        <v>2254</v>
      </c>
      <c r="B2254" s="67" t="str">
        <f>MID(C2254, FIND("Ifc.", C2254) + 4, 4) &amp; "_" &amp; TEXT(COUNTIF($C$2:C2254, C2254),"0000")</f>
        <v>Prop_2253</v>
      </c>
      <c r="C2254" s="24" t="s">
        <v>872</v>
      </c>
      <c r="D2254" s="69" t="s">
        <v>9453</v>
      </c>
      <c r="E2254" s="70" t="s">
        <v>9454</v>
      </c>
      <c r="F2254" s="17" t="s">
        <v>806</v>
      </c>
      <c r="G2254" s="22" t="s">
        <v>1735</v>
      </c>
      <c r="H2254" s="12" t="s">
        <v>9703</v>
      </c>
      <c r="I2254" s="13" t="s">
        <v>7249</v>
      </c>
      <c r="J2254" s="14" t="s">
        <v>798</v>
      </c>
      <c r="K2254" s="15" t="s">
        <v>798</v>
      </c>
      <c r="L2254" s="12" t="s">
        <v>5315</v>
      </c>
      <c r="M2254" s="13" t="s">
        <v>5852</v>
      </c>
      <c r="N2254" s="12" t="s">
        <v>803</v>
      </c>
      <c r="O2254" s="13" t="s">
        <v>5005</v>
      </c>
      <c r="P2254" s="17" t="s">
        <v>802</v>
      </c>
      <c r="Q2254" s="21" t="s">
        <v>7920</v>
      </c>
      <c r="R2254" s="17" t="s">
        <v>801</v>
      </c>
      <c r="S2254" s="18" t="s">
        <v>2554</v>
      </c>
      <c r="T2254" s="17" t="s">
        <v>800</v>
      </c>
      <c r="U2254" s="18" t="s">
        <v>5233</v>
      </c>
      <c r="V2254" s="17" t="s">
        <v>9418</v>
      </c>
      <c r="W2254" s="18" t="s">
        <v>5310</v>
      </c>
      <c r="X2254" s="69" t="s">
        <v>9453</v>
      </c>
      <c r="Y2254" s="70" t="s">
        <v>9463</v>
      </c>
      <c r="Z2254" s="73" t="s">
        <v>9486</v>
      </c>
      <c r="AA2254" s="74" t="s">
        <v>9504</v>
      </c>
      <c r="AB2254" s="73" t="s">
        <v>9486</v>
      </c>
      <c r="AC2254" s="74" t="s">
        <v>9562</v>
      </c>
      <c r="AD2254" s="73" t="s">
        <v>9578</v>
      </c>
      <c r="AE2254" s="74" t="s">
        <v>9579</v>
      </c>
    </row>
    <row r="2255" spans="1:31" ht="8.65" customHeight="1" x14ac:dyDescent="0.2">
      <c r="A2255" s="76">
        <v>2255</v>
      </c>
      <c r="B2255" s="67" t="str">
        <f>MID(C2255, FIND("Ifc.", C2255) + 4, 4) &amp; "_" &amp; TEXT(COUNTIF($C$2:C2255, C2255),"0000")</f>
        <v>Prop_2254</v>
      </c>
      <c r="C2255" s="24" t="s">
        <v>872</v>
      </c>
      <c r="D2255" s="69" t="s">
        <v>9453</v>
      </c>
      <c r="E2255" s="70" t="s">
        <v>9454</v>
      </c>
      <c r="F2255" s="17" t="s">
        <v>806</v>
      </c>
      <c r="G2255" s="22" t="s">
        <v>2527</v>
      </c>
      <c r="H2255" s="12" t="s">
        <v>9703</v>
      </c>
      <c r="I2255" s="13" t="s">
        <v>6835</v>
      </c>
      <c r="J2255" s="14" t="s">
        <v>798</v>
      </c>
      <c r="K2255" s="15" t="s">
        <v>798</v>
      </c>
      <c r="L2255" s="12" t="s">
        <v>5315</v>
      </c>
      <c r="M2255" s="13" t="s">
        <v>5580</v>
      </c>
      <c r="N2255" s="12" t="s">
        <v>803</v>
      </c>
      <c r="O2255" s="13" t="s">
        <v>5226</v>
      </c>
      <c r="P2255" s="17" t="s">
        <v>802</v>
      </c>
      <c r="Q2255" s="21" t="s">
        <v>7797</v>
      </c>
      <c r="R2255" s="17" t="s">
        <v>801</v>
      </c>
      <c r="S2255" s="18" t="s">
        <v>2554</v>
      </c>
      <c r="T2255" s="17" t="s">
        <v>800</v>
      </c>
      <c r="U2255" s="18" t="s">
        <v>5233</v>
      </c>
      <c r="V2255" s="17" t="s">
        <v>9418</v>
      </c>
      <c r="W2255" s="18" t="s">
        <v>5310</v>
      </c>
      <c r="X2255" s="69" t="s">
        <v>9453</v>
      </c>
      <c r="Y2255" s="70" t="s">
        <v>9463</v>
      </c>
      <c r="Z2255" s="73" t="s">
        <v>9486</v>
      </c>
      <c r="AA2255" s="74" t="s">
        <v>9504</v>
      </c>
      <c r="AB2255" s="73" t="s">
        <v>9486</v>
      </c>
      <c r="AC2255" s="74" t="s">
        <v>9562</v>
      </c>
      <c r="AD2255" s="73" t="s">
        <v>9578</v>
      </c>
      <c r="AE2255" s="74" t="s">
        <v>9579</v>
      </c>
    </row>
    <row r="2256" spans="1:31" ht="8.65" customHeight="1" x14ac:dyDescent="0.2">
      <c r="A2256" s="76">
        <v>2256</v>
      </c>
      <c r="B2256" s="67" t="str">
        <f>MID(C2256, FIND("Ifc.", C2256) + 4, 4) &amp; "_" &amp; TEXT(COUNTIF($C$2:C2256, C2256),"0000")</f>
        <v>Prop_2255</v>
      </c>
      <c r="C2256" s="24" t="s">
        <v>872</v>
      </c>
      <c r="D2256" s="69" t="s">
        <v>9453</v>
      </c>
      <c r="E2256" s="70" t="s">
        <v>9454</v>
      </c>
      <c r="F2256" s="17" t="s">
        <v>806</v>
      </c>
      <c r="G2256" s="22" t="s">
        <v>2308</v>
      </c>
      <c r="H2256" s="12" t="s">
        <v>9703</v>
      </c>
      <c r="I2256" s="13" t="s">
        <v>6725</v>
      </c>
      <c r="J2256" s="14" t="s">
        <v>798</v>
      </c>
      <c r="K2256" s="15" t="s">
        <v>798</v>
      </c>
      <c r="L2256" s="12" t="s">
        <v>5315</v>
      </c>
      <c r="M2256" s="13" t="s">
        <v>5554</v>
      </c>
      <c r="N2256" s="12" t="s">
        <v>803</v>
      </c>
      <c r="O2256" s="13" t="s">
        <v>5168</v>
      </c>
      <c r="P2256" s="17" t="s">
        <v>802</v>
      </c>
      <c r="Q2256" s="21" t="s">
        <v>7816</v>
      </c>
      <c r="R2256" s="17" t="s">
        <v>801</v>
      </c>
      <c r="S2256" s="18" t="s">
        <v>2554</v>
      </c>
      <c r="T2256" s="17" t="s">
        <v>800</v>
      </c>
      <c r="U2256" s="18" t="s">
        <v>5233</v>
      </c>
      <c r="V2256" s="17" t="s">
        <v>9418</v>
      </c>
      <c r="W2256" s="18" t="s">
        <v>5310</v>
      </c>
      <c r="X2256" s="69" t="s">
        <v>9453</v>
      </c>
      <c r="Y2256" s="70" t="s">
        <v>9463</v>
      </c>
      <c r="Z2256" s="73" t="s">
        <v>9486</v>
      </c>
      <c r="AA2256" s="74" t="s">
        <v>9504</v>
      </c>
      <c r="AB2256" s="73" t="s">
        <v>9486</v>
      </c>
      <c r="AC2256" s="74" t="s">
        <v>9562</v>
      </c>
      <c r="AD2256" s="73" t="s">
        <v>9578</v>
      </c>
      <c r="AE2256" s="74" t="s">
        <v>9579</v>
      </c>
    </row>
    <row r="2257" spans="1:31" ht="8.65" customHeight="1" x14ac:dyDescent="0.2">
      <c r="A2257" s="76">
        <v>2257</v>
      </c>
      <c r="B2257" s="67" t="str">
        <f>MID(C2257, FIND("Ifc.", C2257) + 4, 4) &amp; "_" &amp; TEXT(COUNTIF($C$2:C2257, C2257),"0000")</f>
        <v>Prop_2256</v>
      </c>
      <c r="C2257" s="24" t="s">
        <v>872</v>
      </c>
      <c r="D2257" s="69" t="s">
        <v>9453</v>
      </c>
      <c r="E2257" s="70" t="s">
        <v>9454</v>
      </c>
      <c r="F2257" s="17" t="s">
        <v>806</v>
      </c>
      <c r="G2257" s="22" t="s">
        <v>2341</v>
      </c>
      <c r="H2257" s="12" t="s">
        <v>9703</v>
      </c>
      <c r="I2257" s="13" t="s">
        <v>6733</v>
      </c>
      <c r="J2257" s="14" t="s">
        <v>798</v>
      </c>
      <c r="K2257" s="15" t="s">
        <v>798</v>
      </c>
      <c r="L2257" s="12" t="s">
        <v>5315</v>
      </c>
      <c r="M2257" s="13" t="s">
        <v>5860</v>
      </c>
      <c r="N2257" s="12" t="s">
        <v>803</v>
      </c>
      <c r="O2257" s="13" t="s">
        <v>5173</v>
      </c>
      <c r="P2257" s="17" t="s">
        <v>802</v>
      </c>
      <c r="Q2257" s="21" t="s">
        <v>7709</v>
      </c>
      <c r="R2257" s="17" t="s">
        <v>801</v>
      </c>
      <c r="S2257" s="18" t="s">
        <v>2554</v>
      </c>
      <c r="T2257" s="17" t="s">
        <v>800</v>
      </c>
      <c r="U2257" s="18" t="s">
        <v>5233</v>
      </c>
      <c r="V2257" s="17" t="s">
        <v>9418</v>
      </c>
      <c r="W2257" s="18" t="s">
        <v>5310</v>
      </c>
      <c r="X2257" s="69" t="s">
        <v>9453</v>
      </c>
      <c r="Y2257" s="70" t="s">
        <v>9463</v>
      </c>
      <c r="Z2257" s="73" t="s">
        <v>9486</v>
      </c>
      <c r="AA2257" s="74" t="s">
        <v>9504</v>
      </c>
      <c r="AB2257" s="73" t="s">
        <v>9486</v>
      </c>
      <c r="AC2257" s="74" t="s">
        <v>9562</v>
      </c>
      <c r="AD2257" s="73" t="s">
        <v>9578</v>
      </c>
      <c r="AE2257" s="74" t="s">
        <v>9579</v>
      </c>
    </row>
    <row r="2258" spans="1:31" ht="8.65" customHeight="1" x14ac:dyDescent="0.2">
      <c r="A2258" s="76">
        <v>2258</v>
      </c>
      <c r="B2258" s="67" t="str">
        <f>MID(C2258, FIND("Ifc.", C2258) + 4, 4) &amp; "_" &amp; TEXT(COUNTIF($C$2:C2258, C2258),"0000")</f>
        <v>Prop_2257</v>
      </c>
      <c r="C2258" s="24" t="s">
        <v>872</v>
      </c>
      <c r="D2258" s="69" t="s">
        <v>9453</v>
      </c>
      <c r="E2258" s="70" t="s">
        <v>9454</v>
      </c>
      <c r="F2258" s="17" t="s">
        <v>806</v>
      </c>
      <c r="G2258" s="22" t="s">
        <v>1976</v>
      </c>
      <c r="H2258" s="12" t="s">
        <v>9703</v>
      </c>
      <c r="I2258" s="13" t="s">
        <v>7247</v>
      </c>
      <c r="J2258" s="14" t="s">
        <v>798</v>
      </c>
      <c r="K2258" s="15" t="s">
        <v>798</v>
      </c>
      <c r="L2258" s="12" t="s">
        <v>5315</v>
      </c>
      <c r="M2258" s="13" t="s">
        <v>5854</v>
      </c>
      <c r="N2258" s="12" t="s">
        <v>803</v>
      </c>
      <c r="O2258" s="13" t="s">
        <v>5072</v>
      </c>
      <c r="P2258" s="17" t="s">
        <v>802</v>
      </c>
      <c r="Q2258" s="21" t="s">
        <v>7847</v>
      </c>
      <c r="R2258" s="17" t="s">
        <v>801</v>
      </c>
      <c r="S2258" s="18" t="s">
        <v>2669</v>
      </c>
      <c r="T2258" s="17" t="s">
        <v>800</v>
      </c>
      <c r="U2258" s="18" t="s">
        <v>5237</v>
      </c>
      <c r="V2258" s="17" t="s">
        <v>9418</v>
      </c>
      <c r="W2258" s="18" t="s">
        <v>5309</v>
      </c>
      <c r="X2258" s="69" t="s">
        <v>9453</v>
      </c>
      <c r="Y2258" s="70" t="s">
        <v>9462</v>
      </c>
      <c r="Z2258" s="73" t="s">
        <v>9486</v>
      </c>
      <c r="AA2258" s="74" t="s">
        <v>9504</v>
      </c>
      <c r="AB2258" s="73" t="s">
        <v>9486</v>
      </c>
      <c r="AC2258" s="74" t="s">
        <v>9562</v>
      </c>
      <c r="AD2258" s="73" t="s">
        <v>9578</v>
      </c>
      <c r="AE2258" s="74" t="s">
        <v>9579</v>
      </c>
    </row>
    <row r="2259" spans="1:31" ht="8.65" customHeight="1" x14ac:dyDescent="0.2">
      <c r="A2259" s="76">
        <v>2259</v>
      </c>
      <c r="B2259" s="67" t="str">
        <f>MID(C2259, FIND("Ifc.", C2259) + 4, 4) &amp; "_" &amp; TEXT(COUNTIF($C$2:C2259, C2259),"0000")</f>
        <v>Prop_2258</v>
      </c>
      <c r="C2259" s="24" t="s">
        <v>872</v>
      </c>
      <c r="D2259" s="69" t="s">
        <v>9453</v>
      </c>
      <c r="E2259" s="70" t="s">
        <v>9454</v>
      </c>
      <c r="F2259" s="17" t="s">
        <v>806</v>
      </c>
      <c r="G2259" s="22" t="s">
        <v>1976</v>
      </c>
      <c r="H2259" s="12" t="s">
        <v>9703</v>
      </c>
      <c r="I2259" s="13" t="s">
        <v>7247</v>
      </c>
      <c r="J2259" s="14" t="s">
        <v>798</v>
      </c>
      <c r="K2259" s="15" t="s">
        <v>798</v>
      </c>
      <c r="L2259" s="12" t="s">
        <v>5315</v>
      </c>
      <c r="M2259" s="13" t="s">
        <v>5475</v>
      </c>
      <c r="N2259" s="12" t="s">
        <v>803</v>
      </c>
      <c r="O2259" s="13" t="s">
        <v>5074</v>
      </c>
      <c r="P2259" s="17" t="s">
        <v>802</v>
      </c>
      <c r="Q2259" s="21" t="s">
        <v>7848</v>
      </c>
      <c r="R2259" s="17" t="s">
        <v>801</v>
      </c>
      <c r="S2259" s="18" t="s">
        <v>2669</v>
      </c>
      <c r="T2259" s="17" t="s">
        <v>800</v>
      </c>
      <c r="U2259" s="18" t="s">
        <v>5237</v>
      </c>
      <c r="V2259" s="17" t="s">
        <v>9418</v>
      </c>
      <c r="W2259" s="18" t="s">
        <v>5309</v>
      </c>
      <c r="X2259" s="69" t="s">
        <v>9453</v>
      </c>
      <c r="Y2259" s="70" t="s">
        <v>9462</v>
      </c>
      <c r="Z2259" s="73" t="s">
        <v>9486</v>
      </c>
      <c r="AA2259" s="74" t="s">
        <v>9504</v>
      </c>
      <c r="AB2259" s="73" t="s">
        <v>9486</v>
      </c>
      <c r="AC2259" s="74" t="s">
        <v>9562</v>
      </c>
      <c r="AD2259" s="73" t="s">
        <v>9578</v>
      </c>
      <c r="AE2259" s="74" t="s">
        <v>9579</v>
      </c>
    </row>
    <row r="2260" spans="1:31" ht="8.65" customHeight="1" x14ac:dyDescent="0.2">
      <c r="A2260" s="76">
        <v>2260</v>
      </c>
      <c r="B2260" s="67" t="str">
        <f>MID(C2260, FIND("Ifc.", C2260) + 4, 4) &amp; "_" &amp; TEXT(COUNTIF($C$2:C2260, C2260),"0000")</f>
        <v>Prop_2259</v>
      </c>
      <c r="C2260" s="24" t="s">
        <v>872</v>
      </c>
      <c r="D2260" s="69" t="s">
        <v>9453</v>
      </c>
      <c r="E2260" s="70" t="s">
        <v>9454</v>
      </c>
      <c r="F2260" s="17" t="s">
        <v>806</v>
      </c>
      <c r="G2260" s="22" t="s">
        <v>2356</v>
      </c>
      <c r="H2260" s="12" t="s">
        <v>9703</v>
      </c>
      <c r="I2260" s="13" t="s">
        <v>6477</v>
      </c>
      <c r="J2260" s="14" t="s">
        <v>798</v>
      </c>
      <c r="K2260" s="15" t="s">
        <v>798</v>
      </c>
      <c r="L2260" s="12" t="s">
        <v>5315</v>
      </c>
      <c r="M2260" s="13" t="s">
        <v>6010</v>
      </c>
      <c r="N2260" s="12" t="s">
        <v>803</v>
      </c>
      <c r="O2260" s="13" t="s">
        <v>5177</v>
      </c>
      <c r="P2260" s="17" t="s">
        <v>802</v>
      </c>
      <c r="Q2260" s="21" t="s">
        <v>8088</v>
      </c>
      <c r="R2260" s="17" t="s">
        <v>801</v>
      </c>
      <c r="S2260" s="18" t="s">
        <v>2554</v>
      </c>
      <c r="T2260" s="17" t="s">
        <v>800</v>
      </c>
      <c r="U2260" s="18" t="s">
        <v>5233</v>
      </c>
      <c r="V2260" s="17" t="s">
        <v>9418</v>
      </c>
      <c r="W2260" s="18" t="s">
        <v>5310</v>
      </c>
      <c r="X2260" s="69" t="s">
        <v>9453</v>
      </c>
      <c r="Y2260" s="70" t="s">
        <v>9463</v>
      </c>
      <c r="Z2260" s="73" t="s">
        <v>9486</v>
      </c>
      <c r="AA2260" s="74" t="s">
        <v>9504</v>
      </c>
      <c r="AB2260" s="73" t="s">
        <v>9486</v>
      </c>
      <c r="AC2260" s="74" t="s">
        <v>9562</v>
      </c>
      <c r="AD2260" s="73" t="s">
        <v>9578</v>
      </c>
      <c r="AE2260" s="74" t="s">
        <v>9579</v>
      </c>
    </row>
    <row r="2261" spans="1:31" ht="8.65" customHeight="1" x14ac:dyDescent="0.2">
      <c r="A2261" s="76">
        <v>2261</v>
      </c>
      <c r="B2261" s="67" t="str">
        <f>MID(C2261, FIND("Ifc.", C2261) + 4, 4) &amp; "_" &amp; TEXT(COUNTIF($C$2:C2261, C2261),"0000")</f>
        <v>Prop_2260</v>
      </c>
      <c r="C2261" s="24" t="s">
        <v>872</v>
      </c>
      <c r="D2261" s="69" t="s">
        <v>9453</v>
      </c>
      <c r="E2261" s="70" t="s">
        <v>9454</v>
      </c>
      <c r="F2261" s="17" t="s">
        <v>806</v>
      </c>
      <c r="G2261" s="22" t="s">
        <v>2419</v>
      </c>
      <c r="H2261" s="12" t="s">
        <v>9703</v>
      </c>
      <c r="I2261" s="13" t="s">
        <v>6779</v>
      </c>
      <c r="J2261" s="14" t="s">
        <v>798</v>
      </c>
      <c r="K2261" s="15" t="s">
        <v>798</v>
      </c>
      <c r="L2261" s="12" t="s">
        <v>5315</v>
      </c>
      <c r="M2261" s="13" t="s">
        <v>5568</v>
      </c>
      <c r="N2261" s="12" t="s">
        <v>803</v>
      </c>
      <c r="O2261" s="13" t="s">
        <v>5201</v>
      </c>
      <c r="P2261" s="17" t="s">
        <v>802</v>
      </c>
      <c r="Q2261" s="21" t="s">
        <v>7682</v>
      </c>
      <c r="R2261" s="17" t="s">
        <v>801</v>
      </c>
      <c r="S2261" s="18" t="s">
        <v>2554</v>
      </c>
      <c r="T2261" s="17" t="s">
        <v>800</v>
      </c>
      <c r="U2261" s="18" t="s">
        <v>5233</v>
      </c>
      <c r="V2261" s="17" t="s">
        <v>9418</v>
      </c>
      <c r="W2261" s="18" t="s">
        <v>5310</v>
      </c>
      <c r="X2261" s="69" t="s">
        <v>9453</v>
      </c>
      <c r="Y2261" s="70" t="s">
        <v>9463</v>
      </c>
      <c r="Z2261" s="73" t="s">
        <v>9486</v>
      </c>
      <c r="AA2261" s="74" t="s">
        <v>9504</v>
      </c>
      <c r="AB2261" s="73" t="s">
        <v>9486</v>
      </c>
      <c r="AC2261" s="74" t="s">
        <v>9562</v>
      </c>
      <c r="AD2261" s="73" t="s">
        <v>9578</v>
      </c>
      <c r="AE2261" s="74" t="s">
        <v>9579</v>
      </c>
    </row>
    <row r="2262" spans="1:31" ht="8.65" customHeight="1" x14ac:dyDescent="0.2">
      <c r="A2262" s="76">
        <v>2262</v>
      </c>
      <c r="B2262" s="67" t="str">
        <f>MID(C2262, FIND("Ifc.", C2262) + 4, 4) &amp; "_" &amp; TEXT(COUNTIF($C$2:C2262, C2262),"0000")</f>
        <v>Prop_2261</v>
      </c>
      <c r="C2262" s="24" t="s">
        <v>872</v>
      </c>
      <c r="D2262" s="69" t="s">
        <v>9453</v>
      </c>
      <c r="E2262" s="70" t="s">
        <v>9454</v>
      </c>
      <c r="F2262" s="17" t="s">
        <v>806</v>
      </c>
      <c r="G2262" s="22" t="s">
        <v>2124</v>
      </c>
      <c r="H2262" s="12" t="s">
        <v>9703</v>
      </c>
      <c r="I2262" s="13" t="s">
        <v>6648</v>
      </c>
      <c r="J2262" s="14" t="s">
        <v>798</v>
      </c>
      <c r="K2262" s="15" t="s">
        <v>798</v>
      </c>
      <c r="L2262" s="12" t="s">
        <v>5315</v>
      </c>
      <c r="M2262" s="13" t="s">
        <v>5495</v>
      </c>
      <c r="N2262" s="12" t="s">
        <v>803</v>
      </c>
      <c r="O2262" s="13" t="s">
        <v>5109</v>
      </c>
      <c r="P2262" s="17" t="s">
        <v>802</v>
      </c>
      <c r="Q2262" s="21" t="s">
        <v>8039</v>
      </c>
      <c r="R2262" s="17" t="s">
        <v>801</v>
      </c>
      <c r="S2262" s="18" t="s">
        <v>2554</v>
      </c>
      <c r="T2262" s="17" t="s">
        <v>800</v>
      </c>
      <c r="U2262" s="18" t="s">
        <v>5233</v>
      </c>
      <c r="V2262" s="17" t="s">
        <v>9418</v>
      </c>
      <c r="W2262" s="18" t="s">
        <v>5310</v>
      </c>
      <c r="X2262" s="69" t="s">
        <v>9453</v>
      </c>
      <c r="Y2262" s="70" t="s">
        <v>9463</v>
      </c>
      <c r="Z2262" s="73" t="s">
        <v>9486</v>
      </c>
      <c r="AA2262" s="74" t="s">
        <v>9504</v>
      </c>
      <c r="AB2262" s="73" t="s">
        <v>9486</v>
      </c>
      <c r="AC2262" s="74" t="s">
        <v>9562</v>
      </c>
      <c r="AD2262" s="73" t="s">
        <v>9578</v>
      </c>
      <c r="AE2262" s="74" t="s">
        <v>9579</v>
      </c>
    </row>
    <row r="2263" spans="1:31" ht="8.65" customHeight="1" x14ac:dyDescent="0.2">
      <c r="A2263" s="76">
        <v>2263</v>
      </c>
      <c r="B2263" s="67" t="str">
        <f>MID(C2263, FIND("Ifc.", C2263) + 4, 4) &amp; "_" &amp; TEXT(COUNTIF($C$2:C2263, C2263),"0000")</f>
        <v>Prop_2262</v>
      </c>
      <c r="C2263" s="24" t="s">
        <v>872</v>
      </c>
      <c r="D2263" s="69" t="s">
        <v>9453</v>
      </c>
      <c r="E2263" s="70" t="s">
        <v>9454</v>
      </c>
      <c r="F2263" s="17" t="s">
        <v>806</v>
      </c>
      <c r="G2263" s="22" t="s">
        <v>1294</v>
      </c>
      <c r="H2263" s="12" t="s">
        <v>9703</v>
      </c>
      <c r="I2263" s="13" t="s">
        <v>6243</v>
      </c>
      <c r="J2263" s="14" t="s">
        <v>798</v>
      </c>
      <c r="K2263" s="15" t="s">
        <v>798</v>
      </c>
      <c r="L2263" s="12" t="s">
        <v>5315</v>
      </c>
      <c r="M2263" s="13" t="s">
        <v>6016</v>
      </c>
      <c r="N2263" s="12" t="s">
        <v>803</v>
      </c>
      <c r="O2263" s="13" t="s">
        <v>4904</v>
      </c>
      <c r="P2263" s="17" t="s">
        <v>802</v>
      </c>
      <c r="Q2263" s="21" t="s">
        <v>7928</v>
      </c>
      <c r="R2263" s="17" t="s">
        <v>801</v>
      </c>
      <c r="S2263" s="18" t="s">
        <v>2554</v>
      </c>
      <c r="T2263" s="17" t="s">
        <v>800</v>
      </c>
      <c r="U2263" s="18" t="s">
        <v>5233</v>
      </c>
      <c r="V2263" s="17" t="s">
        <v>9418</v>
      </c>
      <c r="W2263" s="18" t="s">
        <v>5310</v>
      </c>
      <c r="X2263" s="69" t="s">
        <v>9453</v>
      </c>
      <c r="Y2263" s="70" t="s">
        <v>9463</v>
      </c>
      <c r="Z2263" s="73" t="s">
        <v>9486</v>
      </c>
      <c r="AA2263" s="74" t="s">
        <v>9504</v>
      </c>
      <c r="AB2263" s="73" t="s">
        <v>9486</v>
      </c>
      <c r="AC2263" s="74" t="s">
        <v>9562</v>
      </c>
      <c r="AD2263" s="73" t="s">
        <v>9578</v>
      </c>
      <c r="AE2263" s="74" t="s">
        <v>9579</v>
      </c>
    </row>
    <row r="2264" spans="1:31" ht="8.65" customHeight="1" x14ac:dyDescent="0.2">
      <c r="A2264" s="76">
        <v>2264</v>
      </c>
      <c r="B2264" s="67" t="str">
        <f>MID(C2264, FIND("Ifc.", C2264) + 4, 4) &amp; "_" &amp; TEXT(COUNTIF($C$2:C2264, C2264),"0000")</f>
        <v>Prop_2263</v>
      </c>
      <c r="C2264" s="24" t="s">
        <v>872</v>
      </c>
      <c r="D2264" s="69" t="s">
        <v>9453</v>
      </c>
      <c r="E2264" s="70" t="s">
        <v>9454</v>
      </c>
      <c r="F2264" s="17" t="s">
        <v>806</v>
      </c>
      <c r="G2264" s="22" t="s">
        <v>1309</v>
      </c>
      <c r="H2264" s="12" t="s">
        <v>9703</v>
      </c>
      <c r="I2264" s="13" t="s">
        <v>6250</v>
      </c>
      <c r="J2264" s="14" t="s">
        <v>798</v>
      </c>
      <c r="K2264" s="15" t="s">
        <v>798</v>
      </c>
      <c r="L2264" s="12" t="s">
        <v>5315</v>
      </c>
      <c r="M2264" s="13" t="s">
        <v>6018</v>
      </c>
      <c r="N2264" s="12" t="s">
        <v>803</v>
      </c>
      <c r="O2264" s="13" t="s">
        <v>4906</v>
      </c>
      <c r="P2264" s="17" t="s">
        <v>802</v>
      </c>
      <c r="Q2264" s="21" t="s">
        <v>7929</v>
      </c>
      <c r="R2264" s="17" t="s">
        <v>801</v>
      </c>
      <c r="S2264" s="18" t="s">
        <v>2554</v>
      </c>
      <c r="T2264" s="17" t="s">
        <v>800</v>
      </c>
      <c r="U2264" s="18" t="s">
        <v>5233</v>
      </c>
      <c r="V2264" s="17" t="s">
        <v>9418</v>
      </c>
      <c r="W2264" s="18" t="s">
        <v>5310</v>
      </c>
      <c r="X2264" s="69" t="s">
        <v>9453</v>
      </c>
      <c r="Y2264" s="70" t="s">
        <v>9463</v>
      </c>
      <c r="Z2264" s="73" t="s">
        <v>9486</v>
      </c>
      <c r="AA2264" s="74" t="s">
        <v>9504</v>
      </c>
      <c r="AB2264" s="73" t="s">
        <v>9486</v>
      </c>
      <c r="AC2264" s="74" t="s">
        <v>9562</v>
      </c>
      <c r="AD2264" s="73" t="s">
        <v>9578</v>
      </c>
      <c r="AE2264" s="74" t="s">
        <v>9579</v>
      </c>
    </row>
    <row r="2265" spans="1:31" ht="8.65" customHeight="1" x14ac:dyDescent="0.2">
      <c r="A2265" s="76">
        <v>2265</v>
      </c>
      <c r="B2265" s="67" t="str">
        <f>MID(C2265, FIND("Ifc.", C2265) + 4, 4) &amp; "_" &amp; TEXT(COUNTIF($C$2:C2265, C2265),"0000")</f>
        <v>Prop_2264</v>
      </c>
      <c r="C2265" s="24" t="s">
        <v>872</v>
      </c>
      <c r="D2265" s="69" t="s">
        <v>9453</v>
      </c>
      <c r="E2265" s="70" t="s">
        <v>9454</v>
      </c>
      <c r="F2265" s="17" t="s">
        <v>806</v>
      </c>
      <c r="G2265" s="22" t="s">
        <v>1303</v>
      </c>
      <c r="H2265" s="12" t="s">
        <v>9703</v>
      </c>
      <c r="I2265" s="13" t="s">
        <v>6246</v>
      </c>
      <c r="J2265" s="14" t="s">
        <v>798</v>
      </c>
      <c r="K2265" s="15" t="s">
        <v>798</v>
      </c>
      <c r="L2265" s="12" t="s">
        <v>5315</v>
      </c>
      <c r="M2265" s="13" t="s">
        <v>6017</v>
      </c>
      <c r="N2265" s="12" t="s">
        <v>803</v>
      </c>
      <c r="O2265" s="13" t="s">
        <v>4905</v>
      </c>
      <c r="P2265" s="17" t="s">
        <v>802</v>
      </c>
      <c r="Q2265" s="21" t="s">
        <v>7903</v>
      </c>
      <c r="R2265" s="17" t="s">
        <v>801</v>
      </c>
      <c r="S2265" s="18" t="s">
        <v>2554</v>
      </c>
      <c r="T2265" s="17" t="s">
        <v>800</v>
      </c>
      <c r="U2265" s="18" t="s">
        <v>5233</v>
      </c>
      <c r="V2265" s="17" t="s">
        <v>9418</v>
      </c>
      <c r="W2265" s="18" t="s">
        <v>5310</v>
      </c>
      <c r="X2265" s="69" t="s">
        <v>9453</v>
      </c>
      <c r="Y2265" s="70" t="s">
        <v>9463</v>
      </c>
      <c r="Z2265" s="73" t="s">
        <v>9486</v>
      </c>
      <c r="AA2265" s="74" t="s">
        <v>9504</v>
      </c>
      <c r="AB2265" s="73" t="s">
        <v>9486</v>
      </c>
      <c r="AC2265" s="74" t="s">
        <v>9562</v>
      </c>
      <c r="AD2265" s="73" t="s">
        <v>9578</v>
      </c>
      <c r="AE2265" s="74" t="s">
        <v>9579</v>
      </c>
    </row>
    <row r="2266" spans="1:31" ht="8.65" customHeight="1" x14ac:dyDescent="0.2">
      <c r="A2266" s="76">
        <v>2266</v>
      </c>
      <c r="B2266" s="67" t="str">
        <f>MID(C2266, FIND("Ifc.", C2266) + 4, 4) &amp; "_" &amp; TEXT(COUNTIF($C$2:C2266, C2266),"0000")</f>
        <v>Prop_2265</v>
      </c>
      <c r="C2266" s="24" t="s">
        <v>872</v>
      </c>
      <c r="D2266" s="69" t="s">
        <v>9453</v>
      </c>
      <c r="E2266" s="70" t="s">
        <v>9454</v>
      </c>
      <c r="F2266" s="17" t="s">
        <v>806</v>
      </c>
      <c r="G2266" s="22" t="s">
        <v>2404</v>
      </c>
      <c r="H2266" s="12" t="s">
        <v>9703</v>
      </c>
      <c r="I2266" s="13" t="s">
        <v>7245</v>
      </c>
      <c r="J2266" s="14" t="s">
        <v>798</v>
      </c>
      <c r="K2266" s="15" t="s">
        <v>798</v>
      </c>
      <c r="L2266" s="12" t="s">
        <v>5315</v>
      </c>
      <c r="M2266" s="13" t="s">
        <v>5802</v>
      </c>
      <c r="N2266" s="12" t="s">
        <v>803</v>
      </c>
      <c r="O2266" s="13" t="s">
        <v>5195</v>
      </c>
      <c r="P2266" s="17" t="s">
        <v>802</v>
      </c>
      <c r="Q2266" s="21" t="s">
        <v>7703</v>
      </c>
      <c r="R2266" s="17" t="s">
        <v>801</v>
      </c>
      <c r="S2266" s="18" t="s">
        <v>2554</v>
      </c>
      <c r="T2266" s="17" t="s">
        <v>800</v>
      </c>
      <c r="U2266" s="18" t="s">
        <v>5233</v>
      </c>
      <c r="V2266" s="17" t="s">
        <v>9418</v>
      </c>
      <c r="W2266" s="18" t="s">
        <v>5310</v>
      </c>
      <c r="X2266" s="69" t="s">
        <v>9453</v>
      </c>
      <c r="Y2266" s="70" t="s">
        <v>9463</v>
      </c>
      <c r="Z2266" s="73" t="s">
        <v>9486</v>
      </c>
      <c r="AA2266" s="74" t="s">
        <v>9504</v>
      </c>
      <c r="AB2266" s="73" t="s">
        <v>9486</v>
      </c>
      <c r="AC2266" s="74" t="s">
        <v>9562</v>
      </c>
      <c r="AD2266" s="73" t="s">
        <v>9578</v>
      </c>
      <c r="AE2266" s="74" t="s">
        <v>9579</v>
      </c>
    </row>
    <row r="2267" spans="1:31" ht="8.65" customHeight="1" x14ac:dyDescent="0.2">
      <c r="A2267" s="76">
        <v>2267</v>
      </c>
      <c r="B2267" s="67" t="str">
        <f>MID(C2267, FIND("Ifc.", C2267) + 4, 4) &amp; "_" &amp; TEXT(COUNTIF($C$2:C2267, C2267),"0000")</f>
        <v>Prop_2266</v>
      </c>
      <c r="C2267" s="24" t="s">
        <v>872</v>
      </c>
      <c r="D2267" s="69" t="s">
        <v>9453</v>
      </c>
      <c r="E2267" s="70" t="s">
        <v>9454</v>
      </c>
      <c r="F2267" s="17" t="s">
        <v>806</v>
      </c>
      <c r="G2267" s="22" t="s">
        <v>1284</v>
      </c>
      <c r="H2267" s="12" t="s">
        <v>9703</v>
      </c>
      <c r="I2267" s="13" t="s">
        <v>6249</v>
      </c>
      <c r="J2267" s="14" t="s">
        <v>798</v>
      </c>
      <c r="K2267" s="15" t="s">
        <v>798</v>
      </c>
      <c r="L2267" s="12" t="s">
        <v>5315</v>
      </c>
      <c r="M2267" s="13" t="s">
        <v>6019</v>
      </c>
      <c r="N2267" s="12" t="s">
        <v>803</v>
      </c>
      <c r="O2267" s="13" t="s">
        <v>4900</v>
      </c>
      <c r="P2267" s="17" t="s">
        <v>802</v>
      </c>
      <c r="Q2267" s="21" t="s">
        <v>7996</v>
      </c>
      <c r="R2267" s="17" t="s">
        <v>801</v>
      </c>
      <c r="S2267" s="18" t="s">
        <v>2554</v>
      </c>
      <c r="T2267" s="17" t="s">
        <v>800</v>
      </c>
      <c r="U2267" s="18" t="s">
        <v>5233</v>
      </c>
      <c r="V2267" s="17" t="s">
        <v>9418</v>
      </c>
      <c r="W2267" s="18" t="s">
        <v>5310</v>
      </c>
      <c r="X2267" s="69" t="s">
        <v>9453</v>
      </c>
      <c r="Y2267" s="70" t="s">
        <v>9463</v>
      </c>
      <c r="Z2267" s="73" t="s">
        <v>9486</v>
      </c>
      <c r="AA2267" s="74" t="s">
        <v>9504</v>
      </c>
      <c r="AB2267" s="73" t="s">
        <v>9486</v>
      </c>
      <c r="AC2267" s="74" t="s">
        <v>9562</v>
      </c>
      <c r="AD2267" s="73" t="s">
        <v>9578</v>
      </c>
      <c r="AE2267" s="74" t="s">
        <v>9579</v>
      </c>
    </row>
    <row r="2268" spans="1:31" ht="8.65" customHeight="1" x14ac:dyDescent="0.2">
      <c r="A2268" s="76">
        <v>2268</v>
      </c>
      <c r="B2268" s="67" t="str">
        <f>MID(C2268, FIND("Ifc.", C2268) + 4, 4) &amp; "_" &amp; TEXT(COUNTIF($C$2:C2268, C2268),"0000")</f>
        <v>Prop_2267</v>
      </c>
      <c r="C2268" s="24" t="s">
        <v>872</v>
      </c>
      <c r="D2268" s="69" t="s">
        <v>9453</v>
      </c>
      <c r="E2268" s="70" t="s">
        <v>9454</v>
      </c>
      <c r="F2268" s="17" t="s">
        <v>806</v>
      </c>
      <c r="G2268" s="22" t="s">
        <v>1769</v>
      </c>
      <c r="H2268" s="12" t="s">
        <v>9703</v>
      </c>
      <c r="I2268" s="13" t="s">
        <v>6474</v>
      </c>
      <c r="J2268" s="14" t="s">
        <v>798</v>
      </c>
      <c r="K2268" s="15" t="s">
        <v>798</v>
      </c>
      <c r="L2268" s="12" t="s">
        <v>5315</v>
      </c>
      <c r="M2268" s="13" t="s">
        <v>5935</v>
      </c>
      <c r="N2268" s="12" t="s">
        <v>803</v>
      </c>
      <c r="O2268" s="13" t="s">
        <v>5013</v>
      </c>
      <c r="P2268" s="17" t="s">
        <v>802</v>
      </c>
      <c r="Q2268" s="21" t="s">
        <v>8089</v>
      </c>
      <c r="R2268" s="17" t="s">
        <v>801</v>
      </c>
      <c r="S2268" s="18" t="s">
        <v>2554</v>
      </c>
      <c r="T2268" s="17" t="s">
        <v>800</v>
      </c>
      <c r="U2268" s="18" t="s">
        <v>5233</v>
      </c>
      <c r="V2268" s="17" t="s">
        <v>9418</v>
      </c>
      <c r="W2268" s="18" t="s">
        <v>5310</v>
      </c>
      <c r="X2268" s="69" t="s">
        <v>9453</v>
      </c>
      <c r="Y2268" s="70" t="s">
        <v>9463</v>
      </c>
      <c r="Z2268" s="73" t="s">
        <v>9486</v>
      </c>
      <c r="AA2268" s="74" t="s">
        <v>9504</v>
      </c>
      <c r="AB2268" s="73" t="s">
        <v>9486</v>
      </c>
      <c r="AC2268" s="74" t="s">
        <v>9562</v>
      </c>
      <c r="AD2268" s="73" t="s">
        <v>9578</v>
      </c>
      <c r="AE2268" s="74" t="s">
        <v>9579</v>
      </c>
    </row>
    <row r="2269" spans="1:31" ht="8.65" customHeight="1" x14ac:dyDescent="0.2">
      <c r="A2269" s="76">
        <v>2269</v>
      </c>
      <c r="B2269" s="67" t="str">
        <f>MID(C2269, FIND("Ifc.", C2269) + 4, 4) &amp; "_" &amp; TEXT(COUNTIF($C$2:C2269, C2269),"0000")</f>
        <v>Prop_2268</v>
      </c>
      <c r="C2269" s="24" t="s">
        <v>872</v>
      </c>
      <c r="D2269" s="69" t="s">
        <v>9453</v>
      </c>
      <c r="E2269" s="70" t="s">
        <v>9454</v>
      </c>
      <c r="F2269" s="17" t="s">
        <v>806</v>
      </c>
      <c r="G2269" s="22" t="s">
        <v>1466</v>
      </c>
      <c r="H2269" s="12" t="s">
        <v>9703</v>
      </c>
      <c r="I2269" s="13" t="s">
        <v>6774</v>
      </c>
      <c r="J2269" s="14" t="s">
        <v>798</v>
      </c>
      <c r="K2269" s="15" t="s">
        <v>798</v>
      </c>
      <c r="L2269" s="12" t="s">
        <v>5315</v>
      </c>
      <c r="M2269" s="13" t="s">
        <v>5810</v>
      </c>
      <c r="N2269" s="12" t="s">
        <v>803</v>
      </c>
      <c r="O2269" s="13" t="s">
        <v>4942</v>
      </c>
      <c r="P2269" s="17" t="s">
        <v>802</v>
      </c>
      <c r="Q2269" s="21" t="s">
        <v>7994</v>
      </c>
      <c r="R2269" s="17" t="s">
        <v>801</v>
      </c>
      <c r="S2269" s="18" t="s">
        <v>2554</v>
      </c>
      <c r="T2269" s="17" t="s">
        <v>800</v>
      </c>
      <c r="U2269" s="18" t="s">
        <v>5233</v>
      </c>
      <c r="V2269" s="17" t="s">
        <v>9418</v>
      </c>
      <c r="W2269" s="18" t="s">
        <v>5310</v>
      </c>
      <c r="X2269" s="69" t="s">
        <v>9453</v>
      </c>
      <c r="Y2269" s="70" t="s">
        <v>9463</v>
      </c>
      <c r="Z2269" s="73" t="s">
        <v>9486</v>
      </c>
      <c r="AA2269" s="74" t="s">
        <v>9504</v>
      </c>
      <c r="AB2269" s="73" t="s">
        <v>9486</v>
      </c>
      <c r="AC2269" s="74" t="s">
        <v>9562</v>
      </c>
      <c r="AD2269" s="73" t="s">
        <v>9578</v>
      </c>
      <c r="AE2269" s="74" t="s">
        <v>9579</v>
      </c>
    </row>
    <row r="2270" spans="1:31" ht="8.65" customHeight="1" x14ac:dyDescent="0.2">
      <c r="A2270" s="76">
        <v>2270</v>
      </c>
      <c r="B2270" s="67" t="str">
        <f>MID(C2270, FIND("Ifc.", C2270) + 4, 4) &amp; "_" &amp; TEXT(COUNTIF($C$2:C2270, C2270),"0000")</f>
        <v>Prop_2269</v>
      </c>
      <c r="C2270" s="24" t="s">
        <v>872</v>
      </c>
      <c r="D2270" s="69" t="s">
        <v>9453</v>
      </c>
      <c r="E2270" s="70" t="s">
        <v>9454</v>
      </c>
      <c r="F2270" s="17" t="s">
        <v>806</v>
      </c>
      <c r="G2270" s="22" t="s">
        <v>1882</v>
      </c>
      <c r="H2270" s="12" t="s">
        <v>9703</v>
      </c>
      <c r="I2270" s="13" t="s">
        <v>6555</v>
      </c>
      <c r="J2270" s="14" t="s">
        <v>798</v>
      </c>
      <c r="K2270" s="15" t="s">
        <v>798</v>
      </c>
      <c r="L2270" s="12" t="s">
        <v>5315</v>
      </c>
      <c r="M2270" s="13" t="s">
        <v>5953</v>
      </c>
      <c r="N2270" s="12" t="s">
        <v>803</v>
      </c>
      <c r="O2270" s="13" t="s">
        <v>5042</v>
      </c>
      <c r="P2270" s="17" t="s">
        <v>802</v>
      </c>
      <c r="Q2270" s="21" t="s">
        <v>8004</v>
      </c>
      <c r="R2270" s="17" t="s">
        <v>801</v>
      </c>
      <c r="S2270" s="18" t="s">
        <v>2554</v>
      </c>
      <c r="T2270" s="17" t="s">
        <v>800</v>
      </c>
      <c r="U2270" s="18" t="s">
        <v>5233</v>
      </c>
      <c r="V2270" s="17" t="s">
        <v>9418</v>
      </c>
      <c r="W2270" s="18" t="s">
        <v>5310</v>
      </c>
      <c r="X2270" s="69" t="s">
        <v>9453</v>
      </c>
      <c r="Y2270" s="70" t="s">
        <v>9463</v>
      </c>
      <c r="Z2270" s="73" t="s">
        <v>9486</v>
      </c>
      <c r="AA2270" s="74" t="s">
        <v>9504</v>
      </c>
      <c r="AB2270" s="73" t="s">
        <v>9486</v>
      </c>
      <c r="AC2270" s="74" t="s">
        <v>9562</v>
      </c>
      <c r="AD2270" s="73" t="s">
        <v>9578</v>
      </c>
      <c r="AE2270" s="74" t="s">
        <v>9579</v>
      </c>
    </row>
    <row r="2271" spans="1:31" ht="8.65" customHeight="1" x14ac:dyDescent="0.2">
      <c r="A2271" s="76">
        <v>2271</v>
      </c>
      <c r="B2271" s="67" t="str">
        <f>MID(C2271, FIND("Ifc.", C2271) + 4, 4) &amp; "_" &amp; TEXT(COUNTIF($C$2:C2271, C2271),"0000")</f>
        <v>Prop_2270</v>
      </c>
      <c r="C2271" s="24" t="s">
        <v>872</v>
      </c>
      <c r="D2271" s="69" t="s">
        <v>9453</v>
      </c>
      <c r="E2271" s="70" t="s">
        <v>9454</v>
      </c>
      <c r="F2271" s="17" t="s">
        <v>806</v>
      </c>
      <c r="G2271" s="22" t="s">
        <v>1524</v>
      </c>
      <c r="H2271" s="12" t="s">
        <v>9703</v>
      </c>
      <c r="I2271" s="13" t="s">
        <v>6757</v>
      </c>
      <c r="J2271" s="14" t="s">
        <v>798</v>
      </c>
      <c r="K2271" s="15" t="s">
        <v>798</v>
      </c>
      <c r="L2271" s="12" t="s">
        <v>5315</v>
      </c>
      <c r="M2271" s="13" t="s">
        <v>5816</v>
      </c>
      <c r="N2271" s="12" t="s">
        <v>803</v>
      </c>
      <c r="O2271" s="13" t="s">
        <v>4955</v>
      </c>
      <c r="P2271" s="17" t="s">
        <v>802</v>
      </c>
      <c r="Q2271" s="21" t="s">
        <v>7694</v>
      </c>
      <c r="R2271" s="17" t="s">
        <v>801</v>
      </c>
      <c r="S2271" s="18" t="s">
        <v>2554</v>
      </c>
      <c r="T2271" s="17" t="s">
        <v>800</v>
      </c>
      <c r="U2271" s="18" t="s">
        <v>5233</v>
      </c>
      <c r="V2271" s="17" t="s">
        <v>9418</v>
      </c>
      <c r="W2271" s="18" t="s">
        <v>5310</v>
      </c>
      <c r="X2271" s="69" t="s">
        <v>9453</v>
      </c>
      <c r="Y2271" s="70" t="s">
        <v>9463</v>
      </c>
      <c r="Z2271" s="73" t="s">
        <v>9486</v>
      </c>
      <c r="AA2271" s="74" t="s">
        <v>9504</v>
      </c>
      <c r="AB2271" s="73" t="s">
        <v>9486</v>
      </c>
      <c r="AC2271" s="74" t="s">
        <v>9562</v>
      </c>
      <c r="AD2271" s="73" t="s">
        <v>9578</v>
      </c>
      <c r="AE2271" s="74" t="s">
        <v>9579</v>
      </c>
    </row>
    <row r="2272" spans="1:31" ht="8.65" customHeight="1" x14ac:dyDescent="0.2">
      <c r="A2272" s="76">
        <v>2272</v>
      </c>
      <c r="B2272" s="67" t="str">
        <f>MID(C2272, FIND("Ifc.", C2272) + 4, 4) &amp; "_" &amp; TEXT(COUNTIF($C$2:C2272, C2272),"0000")</f>
        <v>Prop_2271</v>
      </c>
      <c r="C2272" s="24" t="s">
        <v>872</v>
      </c>
      <c r="D2272" s="69" t="s">
        <v>9453</v>
      </c>
      <c r="E2272" s="70" t="s">
        <v>9454</v>
      </c>
      <c r="F2272" s="17" t="s">
        <v>806</v>
      </c>
      <c r="G2272" s="22" t="s">
        <v>1768</v>
      </c>
      <c r="H2272" s="12" t="s">
        <v>9703</v>
      </c>
      <c r="I2272" s="13" t="s">
        <v>6476</v>
      </c>
      <c r="J2272" s="14" t="s">
        <v>798</v>
      </c>
      <c r="K2272" s="15" t="s">
        <v>798</v>
      </c>
      <c r="L2272" s="12" t="s">
        <v>5315</v>
      </c>
      <c r="M2272" s="13" t="s">
        <v>6012</v>
      </c>
      <c r="N2272" s="12" t="s">
        <v>803</v>
      </c>
      <c r="O2272" s="13" t="s">
        <v>5012</v>
      </c>
      <c r="P2272" s="17" t="s">
        <v>802</v>
      </c>
      <c r="Q2272" s="21" t="s">
        <v>8090</v>
      </c>
      <c r="R2272" s="17" t="s">
        <v>801</v>
      </c>
      <c r="S2272" s="18" t="s">
        <v>2554</v>
      </c>
      <c r="T2272" s="17" t="s">
        <v>800</v>
      </c>
      <c r="U2272" s="18" t="s">
        <v>5233</v>
      </c>
      <c r="V2272" s="17" t="s">
        <v>9418</v>
      </c>
      <c r="W2272" s="18" t="s">
        <v>5310</v>
      </c>
      <c r="X2272" s="69" t="s">
        <v>9453</v>
      </c>
      <c r="Y2272" s="70" t="s">
        <v>9463</v>
      </c>
      <c r="Z2272" s="73" t="s">
        <v>9486</v>
      </c>
      <c r="AA2272" s="74" t="s">
        <v>9504</v>
      </c>
      <c r="AB2272" s="73" t="s">
        <v>9486</v>
      </c>
      <c r="AC2272" s="74" t="s">
        <v>9562</v>
      </c>
      <c r="AD2272" s="73" t="s">
        <v>9578</v>
      </c>
      <c r="AE2272" s="74" t="s">
        <v>9579</v>
      </c>
    </row>
    <row r="2273" spans="1:31" ht="8.65" customHeight="1" x14ac:dyDescent="0.2">
      <c r="A2273" s="76">
        <v>2273</v>
      </c>
      <c r="B2273" s="67" t="str">
        <f>MID(C2273, FIND("Ifc.", C2273) + 4, 4) &amp; "_" &amp; TEXT(COUNTIF($C$2:C2273, C2273),"0000")</f>
        <v>Prop_2272</v>
      </c>
      <c r="C2273" s="24" t="s">
        <v>872</v>
      </c>
      <c r="D2273" s="69" t="s">
        <v>9453</v>
      </c>
      <c r="E2273" s="70" t="s">
        <v>9454</v>
      </c>
      <c r="F2273" s="17" t="s">
        <v>806</v>
      </c>
      <c r="G2273" s="22" t="s">
        <v>1804</v>
      </c>
      <c r="H2273" s="12" t="s">
        <v>9703</v>
      </c>
      <c r="I2273" s="13" t="s">
        <v>6313</v>
      </c>
      <c r="J2273" s="14" t="s">
        <v>798</v>
      </c>
      <c r="K2273" s="15" t="s">
        <v>798</v>
      </c>
      <c r="L2273" s="12" t="s">
        <v>5315</v>
      </c>
      <c r="M2273" s="13" t="s">
        <v>5939</v>
      </c>
      <c r="N2273" s="12" t="s">
        <v>803</v>
      </c>
      <c r="O2273" s="13" t="s">
        <v>5021</v>
      </c>
      <c r="P2273" s="17" t="s">
        <v>802</v>
      </c>
      <c r="Q2273" s="21" t="s">
        <v>8091</v>
      </c>
      <c r="R2273" s="17" t="s">
        <v>801</v>
      </c>
      <c r="S2273" s="18" t="s">
        <v>2554</v>
      </c>
      <c r="T2273" s="17" t="s">
        <v>800</v>
      </c>
      <c r="U2273" s="18" t="s">
        <v>5233</v>
      </c>
      <c r="V2273" s="17" t="s">
        <v>9418</v>
      </c>
      <c r="W2273" s="18" t="s">
        <v>5310</v>
      </c>
      <c r="X2273" s="69" t="s">
        <v>9453</v>
      </c>
      <c r="Y2273" s="70" t="s">
        <v>9463</v>
      </c>
      <c r="Z2273" s="73" t="s">
        <v>9486</v>
      </c>
      <c r="AA2273" s="74" t="s">
        <v>9504</v>
      </c>
      <c r="AB2273" s="73" t="s">
        <v>9486</v>
      </c>
      <c r="AC2273" s="74" t="s">
        <v>9562</v>
      </c>
      <c r="AD2273" s="73" t="s">
        <v>9578</v>
      </c>
      <c r="AE2273" s="74" t="s">
        <v>9579</v>
      </c>
    </row>
    <row r="2274" spans="1:31" ht="8.65" customHeight="1" x14ac:dyDescent="0.2">
      <c r="A2274" s="76">
        <v>2274</v>
      </c>
      <c r="B2274" s="67" t="str">
        <f>MID(C2274, FIND("Ifc.", C2274) + 4, 4) &amp; "_" &amp; TEXT(COUNTIF($C$2:C2274, C2274),"0000")</f>
        <v>Prop_2273</v>
      </c>
      <c r="C2274" s="24" t="s">
        <v>872</v>
      </c>
      <c r="D2274" s="69" t="s">
        <v>9453</v>
      </c>
      <c r="E2274" s="70" t="s">
        <v>9454</v>
      </c>
      <c r="F2274" s="17" t="s">
        <v>806</v>
      </c>
      <c r="G2274" s="22" t="s">
        <v>1418</v>
      </c>
      <c r="H2274" s="12" t="s">
        <v>9703</v>
      </c>
      <c r="I2274" s="13" t="s">
        <v>6315</v>
      </c>
      <c r="J2274" s="14" t="s">
        <v>798</v>
      </c>
      <c r="K2274" s="15" t="s">
        <v>798</v>
      </c>
      <c r="L2274" s="12" t="s">
        <v>5315</v>
      </c>
      <c r="M2274" s="13" t="s">
        <v>5432</v>
      </c>
      <c r="N2274" s="12" t="s">
        <v>803</v>
      </c>
      <c r="O2274" s="13" t="s">
        <v>4931</v>
      </c>
      <c r="P2274" s="17" t="s">
        <v>802</v>
      </c>
      <c r="Q2274" s="21" t="s">
        <v>7760</v>
      </c>
      <c r="R2274" s="17" t="s">
        <v>801</v>
      </c>
      <c r="S2274" s="18" t="s">
        <v>2554</v>
      </c>
      <c r="T2274" s="17" t="s">
        <v>800</v>
      </c>
      <c r="U2274" s="18" t="s">
        <v>5233</v>
      </c>
      <c r="V2274" s="17" t="s">
        <v>9418</v>
      </c>
      <c r="W2274" s="18" t="s">
        <v>5310</v>
      </c>
      <c r="X2274" s="69" t="s">
        <v>9453</v>
      </c>
      <c r="Y2274" s="70" t="s">
        <v>9463</v>
      </c>
      <c r="Z2274" s="73" t="s">
        <v>9486</v>
      </c>
      <c r="AA2274" s="74" t="s">
        <v>9504</v>
      </c>
      <c r="AB2274" s="73" t="s">
        <v>9486</v>
      </c>
      <c r="AC2274" s="74" t="s">
        <v>9562</v>
      </c>
      <c r="AD2274" s="73" t="s">
        <v>9578</v>
      </c>
      <c r="AE2274" s="74" t="s">
        <v>9579</v>
      </c>
    </row>
    <row r="2275" spans="1:31" ht="8.65" customHeight="1" x14ac:dyDescent="0.2">
      <c r="A2275" s="76">
        <v>2275</v>
      </c>
      <c r="B2275" s="67" t="str">
        <f>MID(C2275, FIND("Ifc.", C2275) + 4, 4) &amp; "_" &amp; TEXT(COUNTIF($C$2:C2275, C2275),"0000")</f>
        <v>Prop_2274</v>
      </c>
      <c r="C2275" s="24" t="s">
        <v>872</v>
      </c>
      <c r="D2275" s="69" t="s">
        <v>9453</v>
      </c>
      <c r="E2275" s="70" t="s">
        <v>9454</v>
      </c>
      <c r="F2275" s="17" t="s">
        <v>806</v>
      </c>
      <c r="G2275" s="22" t="s">
        <v>1770</v>
      </c>
      <c r="H2275" s="12" t="s">
        <v>9703</v>
      </c>
      <c r="I2275" s="13" t="s">
        <v>6475</v>
      </c>
      <c r="J2275" s="14" t="s">
        <v>798</v>
      </c>
      <c r="K2275" s="15" t="s">
        <v>798</v>
      </c>
      <c r="L2275" s="12" t="s">
        <v>5315</v>
      </c>
      <c r="M2275" s="13" t="s">
        <v>5934</v>
      </c>
      <c r="N2275" s="12" t="s">
        <v>803</v>
      </c>
      <c r="O2275" s="13" t="s">
        <v>5014</v>
      </c>
      <c r="P2275" s="17" t="s">
        <v>802</v>
      </c>
      <c r="Q2275" s="21" t="s">
        <v>8092</v>
      </c>
      <c r="R2275" s="17" t="s">
        <v>801</v>
      </c>
      <c r="S2275" s="18" t="s">
        <v>2554</v>
      </c>
      <c r="T2275" s="17" t="s">
        <v>800</v>
      </c>
      <c r="U2275" s="18" t="s">
        <v>5233</v>
      </c>
      <c r="V2275" s="17" t="s">
        <v>9418</v>
      </c>
      <c r="W2275" s="18" t="s">
        <v>5310</v>
      </c>
      <c r="X2275" s="69" t="s">
        <v>9453</v>
      </c>
      <c r="Y2275" s="70" t="s">
        <v>9463</v>
      </c>
      <c r="Z2275" s="73" t="s">
        <v>9486</v>
      </c>
      <c r="AA2275" s="74" t="s">
        <v>9504</v>
      </c>
      <c r="AB2275" s="73" t="s">
        <v>9486</v>
      </c>
      <c r="AC2275" s="74" t="s">
        <v>9562</v>
      </c>
      <c r="AD2275" s="73" t="s">
        <v>9578</v>
      </c>
      <c r="AE2275" s="74" t="s">
        <v>9579</v>
      </c>
    </row>
    <row r="2276" spans="1:31" ht="8.65" customHeight="1" x14ac:dyDescent="0.2">
      <c r="A2276" s="76">
        <v>2276</v>
      </c>
      <c r="B2276" s="67" t="str">
        <f>MID(C2276, FIND("Ifc.", C2276) + 4, 4) &amp; "_" &amp; TEXT(COUNTIF($C$2:C2276, C2276),"0000")</f>
        <v>Prop_2275</v>
      </c>
      <c r="C2276" s="24" t="s">
        <v>872</v>
      </c>
      <c r="D2276" s="69" t="s">
        <v>9453</v>
      </c>
      <c r="E2276" s="70" t="s">
        <v>9454</v>
      </c>
      <c r="F2276" s="17" t="s">
        <v>806</v>
      </c>
      <c r="G2276" s="22" t="s">
        <v>2358</v>
      </c>
      <c r="H2276" s="12" t="s">
        <v>9703</v>
      </c>
      <c r="I2276" s="13" t="s">
        <v>6746</v>
      </c>
      <c r="J2276" s="14" t="s">
        <v>798</v>
      </c>
      <c r="K2276" s="15" t="s">
        <v>798</v>
      </c>
      <c r="L2276" s="12" t="s">
        <v>5315</v>
      </c>
      <c r="M2276" s="13" t="s">
        <v>5781</v>
      </c>
      <c r="N2276" s="12" t="s">
        <v>803</v>
      </c>
      <c r="O2276" s="13" t="s">
        <v>5180</v>
      </c>
      <c r="P2276" s="17" t="s">
        <v>802</v>
      </c>
      <c r="Q2276" s="21" t="s">
        <v>7699</v>
      </c>
      <c r="R2276" s="17" t="s">
        <v>801</v>
      </c>
      <c r="S2276" s="18" t="s">
        <v>2554</v>
      </c>
      <c r="T2276" s="17" t="s">
        <v>800</v>
      </c>
      <c r="U2276" s="18" t="s">
        <v>5233</v>
      </c>
      <c r="V2276" s="17" t="s">
        <v>9418</v>
      </c>
      <c r="W2276" s="18" t="s">
        <v>5310</v>
      </c>
      <c r="X2276" s="69" t="s">
        <v>9453</v>
      </c>
      <c r="Y2276" s="70" t="s">
        <v>9463</v>
      </c>
      <c r="Z2276" s="73" t="s">
        <v>9486</v>
      </c>
      <c r="AA2276" s="74" t="s">
        <v>9504</v>
      </c>
      <c r="AB2276" s="73" t="s">
        <v>9486</v>
      </c>
      <c r="AC2276" s="74" t="s">
        <v>9562</v>
      </c>
      <c r="AD2276" s="73" t="s">
        <v>9578</v>
      </c>
      <c r="AE2276" s="74" t="s">
        <v>9579</v>
      </c>
    </row>
    <row r="2277" spans="1:31" ht="8.65" customHeight="1" x14ac:dyDescent="0.2">
      <c r="A2277" s="76">
        <v>2277</v>
      </c>
      <c r="B2277" s="67" t="str">
        <f>MID(C2277, FIND("Ifc.", C2277) + 4, 4) &amp; "_" &amp; TEXT(COUNTIF($C$2:C2277, C2277),"0000")</f>
        <v>Prop_2276</v>
      </c>
      <c r="C2277" s="24" t="s">
        <v>872</v>
      </c>
      <c r="D2277" s="69" t="s">
        <v>9453</v>
      </c>
      <c r="E2277" s="70" t="s">
        <v>9454</v>
      </c>
      <c r="F2277" s="17" t="s">
        <v>806</v>
      </c>
      <c r="G2277" s="22" t="s">
        <v>2061</v>
      </c>
      <c r="H2277" s="12" t="s">
        <v>9703</v>
      </c>
      <c r="I2277" s="13" t="s">
        <v>6624</v>
      </c>
      <c r="J2277" s="14" t="s">
        <v>798</v>
      </c>
      <c r="K2277" s="15" t="s">
        <v>798</v>
      </c>
      <c r="L2277" s="12" t="s">
        <v>5315</v>
      </c>
      <c r="M2277" s="13" t="s">
        <v>5484</v>
      </c>
      <c r="N2277" s="12" t="s">
        <v>803</v>
      </c>
      <c r="O2277" s="13" t="s">
        <v>5087</v>
      </c>
      <c r="P2277" s="17" t="s">
        <v>802</v>
      </c>
      <c r="Q2277" s="21" t="s">
        <v>7892</v>
      </c>
      <c r="R2277" s="17" t="s">
        <v>801</v>
      </c>
      <c r="S2277" s="18" t="s">
        <v>2554</v>
      </c>
      <c r="T2277" s="17" t="s">
        <v>800</v>
      </c>
      <c r="U2277" s="18" t="s">
        <v>5233</v>
      </c>
      <c r="V2277" s="17" t="s">
        <v>9418</v>
      </c>
      <c r="W2277" s="18" t="s">
        <v>5310</v>
      </c>
      <c r="X2277" s="69" t="s">
        <v>9453</v>
      </c>
      <c r="Y2277" s="70" t="s">
        <v>9463</v>
      </c>
      <c r="Z2277" s="73" t="s">
        <v>9486</v>
      </c>
      <c r="AA2277" s="74" t="s">
        <v>9504</v>
      </c>
      <c r="AB2277" s="73" t="s">
        <v>9486</v>
      </c>
      <c r="AC2277" s="74" t="s">
        <v>9562</v>
      </c>
      <c r="AD2277" s="73" t="s">
        <v>9578</v>
      </c>
      <c r="AE2277" s="74" t="s">
        <v>9579</v>
      </c>
    </row>
    <row r="2278" spans="1:31" ht="8.65" customHeight="1" x14ac:dyDescent="0.2">
      <c r="A2278" s="76">
        <v>2278</v>
      </c>
      <c r="B2278" s="67" t="str">
        <f>MID(C2278, FIND("Ifc.", C2278) + 4, 4) &amp; "_" &amp; TEXT(COUNTIF($C$2:C2278, C2278),"0000")</f>
        <v>Prop_2277</v>
      </c>
      <c r="C2278" s="24" t="s">
        <v>872</v>
      </c>
      <c r="D2278" s="69" t="s">
        <v>9453</v>
      </c>
      <c r="E2278" s="70" t="s">
        <v>9454</v>
      </c>
      <c r="F2278" s="17" t="s">
        <v>806</v>
      </c>
      <c r="G2278" s="22" t="s">
        <v>1873</v>
      </c>
      <c r="H2278" s="12" t="s">
        <v>9703</v>
      </c>
      <c r="I2278" s="13" t="s">
        <v>6552</v>
      </c>
      <c r="J2278" s="14" t="s">
        <v>798</v>
      </c>
      <c r="K2278" s="15" t="s">
        <v>798</v>
      </c>
      <c r="L2278" s="12" t="s">
        <v>5315</v>
      </c>
      <c r="M2278" s="13" t="s">
        <v>5950</v>
      </c>
      <c r="N2278" s="12" t="s">
        <v>803</v>
      </c>
      <c r="O2278" s="13" t="s">
        <v>5039</v>
      </c>
      <c r="P2278" s="17" t="s">
        <v>802</v>
      </c>
      <c r="Q2278" s="21" t="s">
        <v>8003</v>
      </c>
      <c r="R2278" s="17" t="s">
        <v>801</v>
      </c>
      <c r="S2278" s="18" t="s">
        <v>2554</v>
      </c>
      <c r="T2278" s="17" t="s">
        <v>800</v>
      </c>
      <c r="U2278" s="18" t="s">
        <v>5233</v>
      </c>
      <c r="V2278" s="17" t="s">
        <v>9418</v>
      </c>
      <c r="W2278" s="18" t="s">
        <v>5310</v>
      </c>
      <c r="X2278" s="69" t="s">
        <v>9453</v>
      </c>
      <c r="Y2278" s="70" t="s">
        <v>9463</v>
      </c>
      <c r="Z2278" s="73" t="s">
        <v>9486</v>
      </c>
      <c r="AA2278" s="74" t="s">
        <v>9504</v>
      </c>
      <c r="AB2278" s="73" t="s">
        <v>9486</v>
      </c>
      <c r="AC2278" s="74" t="s">
        <v>9562</v>
      </c>
      <c r="AD2278" s="73" t="s">
        <v>9578</v>
      </c>
      <c r="AE2278" s="74" t="s">
        <v>9579</v>
      </c>
    </row>
    <row r="2279" spans="1:31" ht="8.65" customHeight="1" x14ac:dyDescent="0.2">
      <c r="A2279" s="76">
        <v>2279</v>
      </c>
      <c r="B2279" s="67" t="str">
        <f>MID(C2279, FIND("Ifc.", C2279) + 4, 4) &amp; "_" &amp; TEXT(COUNTIF($C$2:C2279, C2279),"0000")</f>
        <v>Prop_2278</v>
      </c>
      <c r="C2279" s="24" t="s">
        <v>872</v>
      </c>
      <c r="D2279" s="69" t="s">
        <v>9453</v>
      </c>
      <c r="E2279" s="70" t="s">
        <v>9454</v>
      </c>
      <c r="F2279" s="17" t="s">
        <v>806</v>
      </c>
      <c r="G2279" s="22" t="s">
        <v>2119</v>
      </c>
      <c r="H2279" s="12" t="s">
        <v>9703</v>
      </c>
      <c r="I2279" s="13" t="s">
        <v>6646</v>
      </c>
      <c r="J2279" s="14" t="s">
        <v>798</v>
      </c>
      <c r="K2279" s="15" t="s">
        <v>798</v>
      </c>
      <c r="L2279" s="12" t="s">
        <v>5315</v>
      </c>
      <c r="M2279" s="13" t="s">
        <v>5981</v>
      </c>
      <c r="N2279" s="12" t="s">
        <v>803</v>
      </c>
      <c r="O2279" s="13" t="s">
        <v>5106</v>
      </c>
      <c r="P2279" s="17" t="s">
        <v>802</v>
      </c>
      <c r="Q2279" s="21" t="s">
        <v>7863</v>
      </c>
      <c r="R2279" s="17" t="s">
        <v>801</v>
      </c>
      <c r="S2279" s="18" t="s">
        <v>2554</v>
      </c>
      <c r="T2279" s="17" t="s">
        <v>800</v>
      </c>
      <c r="U2279" s="18" t="s">
        <v>5233</v>
      </c>
      <c r="V2279" s="17" t="s">
        <v>9418</v>
      </c>
      <c r="W2279" s="18" t="s">
        <v>5310</v>
      </c>
      <c r="X2279" s="69" t="s">
        <v>9453</v>
      </c>
      <c r="Y2279" s="70" t="s">
        <v>9463</v>
      </c>
      <c r="Z2279" s="73" t="s">
        <v>9486</v>
      </c>
      <c r="AA2279" s="74" t="s">
        <v>9504</v>
      </c>
      <c r="AB2279" s="73" t="s">
        <v>9486</v>
      </c>
      <c r="AC2279" s="74" t="s">
        <v>9562</v>
      </c>
      <c r="AD2279" s="73" t="s">
        <v>9578</v>
      </c>
      <c r="AE2279" s="74" t="s">
        <v>9579</v>
      </c>
    </row>
    <row r="2280" spans="1:31" ht="8.65" customHeight="1" x14ac:dyDescent="0.2">
      <c r="A2280" s="76">
        <v>2280</v>
      </c>
      <c r="B2280" s="67" t="str">
        <f>MID(C2280, FIND("Ifc.", C2280) + 4, 4) &amp; "_" &amp; TEXT(COUNTIF($C$2:C2280, C2280),"0000")</f>
        <v>Prop_2279</v>
      </c>
      <c r="C2280" s="24" t="s">
        <v>872</v>
      </c>
      <c r="D2280" s="69" t="s">
        <v>9453</v>
      </c>
      <c r="E2280" s="70" t="s">
        <v>9454</v>
      </c>
      <c r="F2280" s="17" t="s">
        <v>806</v>
      </c>
      <c r="G2280" s="22" t="s">
        <v>2272</v>
      </c>
      <c r="H2280" s="12" t="s">
        <v>9703</v>
      </c>
      <c r="I2280" s="13" t="s">
        <v>6699</v>
      </c>
      <c r="J2280" s="14" t="s">
        <v>798</v>
      </c>
      <c r="K2280" s="15" t="s">
        <v>798</v>
      </c>
      <c r="L2280" s="12" t="s">
        <v>5315</v>
      </c>
      <c r="M2280" s="13" t="s">
        <v>5543</v>
      </c>
      <c r="N2280" s="12" t="s">
        <v>803</v>
      </c>
      <c r="O2280" s="13" t="s">
        <v>5159</v>
      </c>
      <c r="P2280" s="17" t="s">
        <v>802</v>
      </c>
      <c r="Q2280" s="21" t="s">
        <v>8068</v>
      </c>
      <c r="R2280" s="17" t="s">
        <v>801</v>
      </c>
      <c r="S2280" s="18" t="s">
        <v>2554</v>
      </c>
      <c r="T2280" s="17" t="s">
        <v>800</v>
      </c>
      <c r="U2280" s="18" t="s">
        <v>5233</v>
      </c>
      <c r="V2280" s="17" t="s">
        <v>9418</v>
      </c>
      <c r="W2280" s="18" t="s">
        <v>5310</v>
      </c>
      <c r="X2280" s="69" t="s">
        <v>9453</v>
      </c>
      <c r="Y2280" s="70" t="s">
        <v>9463</v>
      </c>
      <c r="Z2280" s="73" t="s">
        <v>9486</v>
      </c>
      <c r="AA2280" s="74" t="s">
        <v>9504</v>
      </c>
      <c r="AB2280" s="73" t="s">
        <v>9486</v>
      </c>
      <c r="AC2280" s="74" t="s">
        <v>9562</v>
      </c>
      <c r="AD2280" s="73" t="s">
        <v>9578</v>
      </c>
      <c r="AE2280" s="74" t="s">
        <v>9579</v>
      </c>
    </row>
    <row r="2281" spans="1:31" ht="8.65" customHeight="1" x14ac:dyDescent="0.2">
      <c r="A2281" s="76">
        <v>2281</v>
      </c>
      <c r="B2281" s="67" t="str">
        <f>MID(C2281, FIND("Ifc.", C2281) + 4, 4) &amp; "_" &amp; TEXT(COUNTIF($C$2:C2281, C2281),"0000")</f>
        <v>Prop_2280</v>
      </c>
      <c r="C2281" s="24" t="s">
        <v>872</v>
      </c>
      <c r="D2281" s="69" t="s">
        <v>9453</v>
      </c>
      <c r="E2281" s="70" t="s">
        <v>9454</v>
      </c>
      <c r="F2281" s="17" t="s">
        <v>806</v>
      </c>
      <c r="G2281" s="22" t="s">
        <v>2424</v>
      </c>
      <c r="H2281" s="12" t="s">
        <v>9703</v>
      </c>
      <c r="I2281" s="13" t="s">
        <v>6783</v>
      </c>
      <c r="J2281" s="14" t="s">
        <v>798</v>
      </c>
      <c r="K2281" s="15" t="s">
        <v>798</v>
      </c>
      <c r="L2281" s="12" t="s">
        <v>5315</v>
      </c>
      <c r="M2281" s="13" t="s">
        <v>5569</v>
      </c>
      <c r="N2281" s="12" t="s">
        <v>803</v>
      </c>
      <c r="O2281" s="13" t="s">
        <v>5202</v>
      </c>
      <c r="P2281" s="17" t="s">
        <v>802</v>
      </c>
      <c r="Q2281" s="21" t="s">
        <v>7765</v>
      </c>
      <c r="R2281" s="17" t="s">
        <v>801</v>
      </c>
      <c r="S2281" s="18" t="s">
        <v>2554</v>
      </c>
      <c r="T2281" s="17" t="s">
        <v>800</v>
      </c>
      <c r="U2281" s="18" t="s">
        <v>5233</v>
      </c>
      <c r="V2281" s="17" t="s">
        <v>9418</v>
      </c>
      <c r="W2281" s="18" t="s">
        <v>5310</v>
      </c>
      <c r="X2281" s="69" t="s">
        <v>9453</v>
      </c>
      <c r="Y2281" s="70" t="s">
        <v>9463</v>
      </c>
      <c r="Z2281" s="73" t="s">
        <v>9486</v>
      </c>
      <c r="AA2281" s="74" t="s">
        <v>9504</v>
      </c>
      <c r="AB2281" s="73" t="s">
        <v>9486</v>
      </c>
      <c r="AC2281" s="74" t="s">
        <v>9562</v>
      </c>
      <c r="AD2281" s="73" t="s">
        <v>9578</v>
      </c>
      <c r="AE2281" s="74" t="s">
        <v>9579</v>
      </c>
    </row>
    <row r="2282" spans="1:31" ht="8.65" customHeight="1" x14ac:dyDescent="0.2">
      <c r="A2282" s="76">
        <v>2282</v>
      </c>
      <c r="B2282" s="67" t="str">
        <f>MID(C2282, FIND("Ifc.", C2282) + 4, 4) &amp; "_" &amp; TEXT(COUNTIF($C$2:C2282, C2282),"0000")</f>
        <v>Prop_2281</v>
      </c>
      <c r="C2282" s="24" t="s">
        <v>872</v>
      </c>
      <c r="D2282" s="69" t="s">
        <v>9453</v>
      </c>
      <c r="E2282" s="70" t="s">
        <v>9454</v>
      </c>
      <c r="F2282" s="17" t="s">
        <v>806</v>
      </c>
      <c r="G2282" s="22" t="s">
        <v>2413</v>
      </c>
      <c r="H2282" s="12" t="s">
        <v>9703</v>
      </c>
      <c r="I2282" s="13" t="s">
        <v>6777</v>
      </c>
      <c r="J2282" s="14" t="s">
        <v>798</v>
      </c>
      <c r="K2282" s="15" t="s">
        <v>798</v>
      </c>
      <c r="L2282" s="12" t="s">
        <v>5315</v>
      </c>
      <c r="M2282" s="13" t="s">
        <v>5565</v>
      </c>
      <c r="N2282" s="12" t="s">
        <v>803</v>
      </c>
      <c r="O2282" s="13" t="s">
        <v>5198</v>
      </c>
      <c r="P2282" s="17" t="s">
        <v>802</v>
      </c>
      <c r="Q2282" s="21" t="s">
        <v>8075</v>
      </c>
      <c r="R2282" s="17" t="s">
        <v>801</v>
      </c>
      <c r="S2282" s="18" t="s">
        <v>2554</v>
      </c>
      <c r="T2282" s="17" t="s">
        <v>800</v>
      </c>
      <c r="U2282" s="18" t="s">
        <v>5233</v>
      </c>
      <c r="V2282" s="17" t="s">
        <v>9418</v>
      </c>
      <c r="W2282" s="18" t="s">
        <v>5310</v>
      </c>
      <c r="X2282" s="69" t="s">
        <v>9453</v>
      </c>
      <c r="Y2282" s="70" t="s">
        <v>9463</v>
      </c>
      <c r="Z2282" s="73" t="s">
        <v>9486</v>
      </c>
      <c r="AA2282" s="74" t="s">
        <v>9504</v>
      </c>
      <c r="AB2282" s="73" t="s">
        <v>9486</v>
      </c>
      <c r="AC2282" s="74" t="s">
        <v>9562</v>
      </c>
      <c r="AD2282" s="73" t="s">
        <v>9578</v>
      </c>
      <c r="AE2282" s="74" t="s">
        <v>9579</v>
      </c>
    </row>
    <row r="2283" spans="1:31" ht="8.65" customHeight="1" x14ac:dyDescent="0.2">
      <c r="A2283" s="76">
        <v>2283</v>
      </c>
      <c r="B2283" s="67" t="str">
        <f>MID(C2283, FIND("Ifc.", C2283) + 4, 4) &amp; "_" &amp; TEXT(COUNTIF($C$2:C2283, C2283),"0000")</f>
        <v>Prop_2282</v>
      </c>
      <c r="C2283" s="24" t="s">
        <v>872</v>
      </c>
      <c r="D2283" s="69" t="s">
        <v>9453</v>
      </c>
      <c r="E2283" s="70" t="s">
        <v>9454</v>
      </c>
      <c r="F2283" s="17" t="s">
        <v>806</v>
      </c>
      <c r="G2283" s="22" t="s">
        <v>2303</v>
      </c>
      <c r="H2283" s="12" t="s">
        <v>9703</v>
      </c>
      <c r="I2283" s="13" t="s">
        <v>6713</v>
      </c>
      <c r="J2283" s="14" t="s">
        <v>798</v>
      </c>
      <c r="K2283" s="15" t="s">
        <v>798</v>
      </c>
      <c r="L2283" s="12" t="s">
        <v>5315</v>
      </c>
      <c r="M2283" s="13" t="s">
        <v>5859</v>
      </c>
      <c r="N2283" s="12" t="s">
        <v>803</v>
      </c>
      <c r="O2283" s="13" t="s">
        <v>5165</v>
      </c>
      <c r="P2283" s="17" t="s">
        <v>802</v>
      </c>
      <c r="Q2283" s="21" t="s">
        <v>7783</v>
      </c>
      <c r="R2283" s="17" t="s">
        <v>801</v>
      </c>
      <c r="S2283" s="18" t="s">
        <v>2554</v>
      </c>
      <c r="T2283" s="17" t="s">
        <v>800</v>
      </c>
      <c r="U2283" s="18" t="s">
        <v>5233</v>
      </c>
      <c r="V2283" s="17" t="s">
        <v>9418</v>
      </c>
      <c r="W2283" s="18" t="s">
        <v>5310</v>
      </c>
      <c r="X2283" s="69" t="s">
        <v>9453</v>
      </c>
      <c r="Y2283" s="70" t="s">
        <v>9463</v>
      </c>
      <c r="Z2283" s="73" t="s">
        <v>9486</v>
      </c>
      <c r="AA2283" s="74" t="s">
        <v>9504</v>
      </c>
      <c r="AB2283" s="73" t="s">
        <v>9486</v>
      </c>
      <c r="AC2283" s="74" t="s">
        <v>9562</v>
      </c>
      <c r="AD2283" s="73" t="s">
        <v>9578</v>
      </c>
      <c r="AE2283" s="74" t="s">
        <v>9579</v>
      </c>
    </row>
    <row r="2284" spans="1:31" ht="8.65" customHeight="1" x14ac:dyDescent="0.2">
      <c r="A2284" s="76">
        <v>2284</v>
      </c>
      <c r="B2284" s="67" t="str">
        <f>MID(C2284, FIND("Ifc.", C2284) + 4, 4) &amp; "_" &amp; TEXT(COUNTIF($C$2:C2284, C2284),"0000")</f>
        <v>Prop_2283</v>
      </c>
      <c r="C2284" s="24" t="s">
        <v>872</v>
      </c>
      <c r="D2284" s="69" t="s">
        <v>9453</v>
      </c>
      <c r="E2284" s="70" t="s">
        <v>9454</v>
      </c>
      <c r="F2284" s="17" t="s">
        <v>806</v>
      </c>
      <c r="G2284" s="22" t="s">
        <v>1276</v>
      </c>
      <c r="H2284" s="12" t="s">
        <v>9703</v>
      </c>
      <c r="I2284" s="13" t="s">
        <v>7246</v>
      </c>
      <c r="J2284" s="14" t="s">
        <v>798</v>
      </c>
      <c r="K2284" s="15" t="s">
        <v>798</v>
      </c>
      <c r="L2284" s="12" t="s">
        <v>5315</v>
      </c>
      <c r="M2284" s="13" t="s">
        <v>5408</v>
      </c>
      <c r="N2284" s="12" t="s">
        <v>803</v>
      </c>
      <c r="O2284" s="13" t="s">
        <v>4896</v>
      </c>
      <c r="P2284" s="17" t="s">
        <v>802</v>
      </c>
      <c r="Q2284" s="21" t="s">
        <v>7737</v>
      </c>
      <c r="R2284" s="17" t="s">
        <v>801</v>
      </c>
      <c r="S2284" s="18" t="s">
        <v>2554</v>
      </c>
      <c r="T2284" s="17" t="s">
        <v>800</v>
      </c>
      <c r="U2284" s="18" t="s">
        <v>5233</v>
      </c>
      <c r="V2284" s="17" t="s">
        <v>9418</v>
      </c>
      <c r="W2284" s="18" t="s">
        <v>5310</v>
      </c>
      <c r="X2284" s="69" t="s">
        <v>9453</v>
      </c>
      <c r="Y2284" s="70" t="s">
        <v>9463</v>
      </c>
      <c r="Z2284" s="73" t="s">
        <v>9486</v>
      </c>
      <c r="AA2284" s="74" t="s">
        <v>9504</v>
      </c>
      <c r="AB2284" s="73" t="s">
        <v>9486</v>
      </c>
      <c r="AC2284" s="74" t="s">
        <v>9562</v>
      </c>
      <c r="AD2284" s="73" t="s">
        <v>9578</v>
      </c>
      <c r="AE2284" s="74" t="s">
        <v>9579</v>
      </c>
    </row>
    <row r="2285" spans="1:31" ht="8.65" customHeight="1" x14ac:dyDescent="0.2">
      <c r="A2285" s="76">
        <v>2285</v>
      </c>
      <c r="B2285" s="67" t="str">
        <f>MID(C2285, FIND("Ifc.", C2285) + 4, 4) &amp; "_" &amp; TEXT(COUNTIF($C$2:C2285, C2285),"0000")</f>
        <v>Prop_2284</v>
      </c>
      <c r="C2285" s="24" t="s">
        <v>872</v>
      </c>
      <c r="D2285" s="69" t="s">
        <v>9453</v>
      </c>
      <c r="E2285" s="70" t="s">
        <v>9454</v>
      </c>
      <c r="F2285" s="17" t="s">
        <v>806</v>
      </c>
      <c r="G2285" s="22" t="s">
        <v>1276</v>
      </c>
      <c r="H2285" s="12" t="s">
        <v>9703</v>
      </c>
      <c r="I2285" s="13" t="s">
        <v>7246</v>
      </c>
      <c r="J2285" s="14" t="s">
        <v>798</v>
      </c>
      <c r="K2285" s="15" t="s">
        <v>798</v>
      </c>
      <c r="L2285" s="12" t="s">
        <v>5315</v>
      </c>
      <c r="M2285" s="13" t="s">
        <v>6028</v>
      </c>
      <c r="N2285" s="12" t="s">
        <v>803</v>
      </c>
      <c r="O2285" s="13" t="s">
        <v>4897</v>
      </c>
      <c r="P2285" s="17" t="s">
        <v>802</v>
      </c>
      <c r="Q2285" s="21" t="s">
        <v>7927</v>
      </c>
      <c r="R2285" s="17" t="s">
        <v>801</v>
      </c>
      <c r="S2285" s="18" t="s">
        <v>2554</v>
      </c>
      <c r="T2285" s="17" t="s">
        <v>800</v>
      </c>
      <c r="U2285" s="18" t="s">
        <v>5233</v>
      </c>
      <c r="V2285" s="17" t="s">
        <v>9418</v>
      </c>
      <c r="W2285" s="18" t="s">
        <v>5310</v>
      </c>
      <c r="X2285" s="69" t="s">
        <v>9453</v>
      </c>
      <c r="Y2285" s="70" t="s">
        <v>9463</v>
      </c>
      <c r="Z2285" s="73" t="s">
        <v>9486</v>
      </c>
      <c r="AA2285" s="74" t="s">
        <v>9504</v>
      </c>
      <c r="AB2285" s="73" t="s">
        <v>9486</v>
      </c>
      <c r="AC2285" s="74" t="s">
        <v>9562</v>
      </c>
      <c r="AD2285" s="73" t="s">
        <v>9578</v>
      </c>
      <c r="AE2285" s="74" t="s">
        <v>9579</v>
      </c>
    </row>
    <row r="2286" spans="1:31" ht="8.65" customHeight="1" x14ac:dyDescent="0.2">
      <c r="A2286" s="76">
        <v>2286</v>
      </c>
      <c r="B2286" s="67" t="str">
        <f>MID(C2286, FIND("Ifc.", C2286) + 4, 4) &amp; "_" &amp; TEXT(COUNTIF($C$2:C2286, C2286),"0000")</f>
        <v>Prop_2285</v>
      </c>
      <c r="C2286" s="24" t="s">
        <v>872</v>
      </c>
      <c r="D2286" s="69" t="s">
        <v>9453</v>
      </c>
      <c r="E2286" s="70" t="s">
        <v>9454</v>
      </c>
      <c r="F2286" s="17" t="s">
        <v>806</v>
      </c>
      <c r="G2286" s="22" t="s">
        <v>2490</v>
      </c>
      <c r="H2286" s="12" t="s">
        <v>9703</v>
      </c>
      <c r="I2286" s="13" t="s">
        <v>6254</v>
      </c>
      <c r="J2286" s="14" t="s">
        <v>798</v>
      </c>
      <c r="K2286" s="15" t="s">
        <v>798</v>
      </c>
      <c r="L2286" s="12" t="s">
        <v>5315</v>
      </c>
      <c r="M2286" s="13" t="s">
        <v>6004</v>
      </c>
      <c r="N2286" s="12" t="s">
        <v>803</v>
      </c>
      <c r="O2286" s="13" t="s">
        <v>5219</v>
      </c>
      <c r="P2286" s="17" t="s">
        <v>802</v>
      </c>
      <c r="Q2286" s="21" t="s">
        <v>8093</v>
      </c>
      <c r="R2286" s="17" t="s">
        <v>801</v>
      </c>
      <c r="S2286" s="18" t="s">
        <v>2554</v>
      </c>
      <c r="T2286" s="17" t="s">
        <v>800</v>
      </c>
      <c r="U2286" s="18" t="s">
        <v>5233</v>
      </c>
      <c r="V2286" s="17" t="s">
        <v>9418</v>
      </c>
      <c r="W2286" s="18" t="s">
        <v>5310</v>
      </c>
      <c r="X2286" s="69" t="s">
        <v>9453</v>
      </c>
      <c r="Y2286" s="70" t="s">
        <v>9463</v>
      </c>
      <c r="Z2286" s="73" t="s">
        <v>9486</v>
      </c>
      <c r="AA2286" s="74" t="s">
        <v>9504</v>
      </c>
      <c r="AB2286" s="73" t="s">
        <v>9486</v>
      </c>
      <c r="AC2286" s="74" t="s">
        <v>9562</v>
      </c>
      <c r="AD2286" s="73" t="s">
        <v>9578</v>
      </c>
      <c r="AE2286" s="74" t="s">
        <v>9579</v>
      </c>
    </row>
    <row r="2287" spans="1:31" ht="8.65" customHeight="1" x14ac:dyDescent="0.2">
      <c r="A2287" s="76">
        <v>2287</v>
      </c>
      <c r="B2287" s="67" t="str">
        <f>MID(C2287, FIND("Ifc.", C2287) + 4, 4) &amp; "_" &amp; TEXT(COUNTIF($C$2:C2287, C2287),"0000")</f>
        <v>Prop_2286</v>
      </c>
      <c r="C2287" s="24" t="s">
        <v>872</v>
      </c>
      <c r="D2287" s="69" t="s">
        <v>9453</v>
      </c>
      <c r="E2287" s="70" t="s">
        <v>9454</v>
      </c>
      <c r="F2287" s="17" t="s">
        <v>806</v>
      </c>
      <c r="G2287" s="22" t="s">
        <v>2411</v>
      </c>
      <c r="H2287" s="12" t="s">
        <v>9703</v>
      </c>
      <c r="I2287" s="13" t="s">
        <v>7243</v>
      </c>
      <c r="J2287" s="14" t="s">
        <v>798</v>
      </c>
      <c r="K2287" s="15" t="s">
        <v>798</v>
      </c>
      <c r="L2287" s="12" t="s">
        <v>5315</v>
      </c>
      <c r="M2287" s="13" t="s">
        <v>5804</v>
      </c>
      <c r="N2287" s="12" t="s">
        <v>803</v>
      </c>
      <c r="O2287" s="13" t="s">
        <v>5197</v>
      </c>
      <c r="P2287" s="17" t="s">
        <v>802</v>
      </c>
      <c r="Q2287" s="21" t="s">
        <v>7992</v>
      </c>
      <c r="R2287" s="17" t="s">
        <v>801</v>
      </c>
      <c r="S2287" s="18" t="s">
        <v>2554</v>
      </c>
      <c r="T2287" s="17" t="s">
        <v>800</v>
      </c>
      <c r="U2287" s="18" t="s">
        <v>5233</v>
      </c>
      <c r="V2287" s="17" t="s">
        <v>9418</v>
      </c>
      <c r="W2287" s="18" t="s">
        <v>5310</v>
      </c>
      <c r="X2287" s="69" t="s">
        <v>9453</v>
      </c>
      <c r="Y2287" s="70" t="s">
        <v>9463</v>
      </c>
      <c r="Z2287" s="73" t="s">
        <v>9486</v>
      </c>
      <c r="AA2287" s="74" t="s">
        <v>9504</v>
      </c>
      <c r="AB2287" s="73" t="s">
        <v>9486</v>
      </c>
      <c r="AC2287" s="74" t="s">
        <v>9562</v>
      </c>
      <c r="AD2287" s="73" t="s">
        <v>9578</v>
      </c>
      <c r="AE2287" s="74" t="s">
        <v>9579</v>
      </c>
    </row>
    <row r="2288" spans="1:31" ht="8.65" customHeight="1" x14ac:dyDescent="0.2">
      <c r="A2288" s="76">
        <v>2288</v>
      </c>
      <c r="B2288" s="67" t="str">
        <f>MID(C2288, FIND("Ifc.", C2288) + 4, 4) &amp; "_" &amp; TEXT(COUNTIF($C$2:C2288, C2288),"0000")</f>
        <v>Prop_2287</v>
      </c>
      <c r="C2288" s="24" t="s">
        <v>872</v>
      </c>
      <c r="D2288" s="69" t="s">
        <v>9453</v>
      </c>
      <c r="E2288" s="70" t="s">
        <v>9454</v>
      </c>
      <c r="F2288" s="17" t="s">
        <v>806</v>
      </c>
      <c r="G2288" s="22" t="s">
        <v>1480</v>
      </c>
      <c r="H2288" s="12" t="s">
        <v>9703</v>
      </c>
      <c r="I2288" s="13" t="s">
        <v>6258</v>
      </c>
      <c r="J2288" s="14" t="s">
        <v>798</v>
      </c>
      <c r="K2288" s="15" t="s">
        <v>798</v>
      </c>
      <c r="L2288" s="12" t="s">
        <v>5315</v>
      </c>
      <c r="M2288" s="13" t="s">
        <v>5813</v>
      </c>
      <c r="N2288" s="12" t="s">
        <v>803</v>
      </c>
      <c r="O2288" s="13" t="s">
        <v>4947</v>
      </c>
      <c r="P2288" s="17" t="s">
        <v>802</v>
      </c>
      <c r="Q2288" s="21" t="s">
        <v>7794</v>
      </c>
      <c r="R2288" s="17" t="s">
        <v>801</v>
      </c>
      <c r="S2288" s="18" t="s">
        <v>2625</v>
      </c>
      <c r="T2288" s="17" t="s">
        <v>800</v>
      </c>
      <c r="U2288" s="18" t="s">
        <v>5240</v>
      </c>
      <c r="V2288" s="17" t="s">
        <v>9418</v>
      </c>
      <c r="W2288" s="18" t="s">
        <v>5309</v>
      </c>
      <c r="X2288" s="69" t="s">
        <v>9453</v>
      </c>
      <c r="Y2288" s="70" t="s">
        <v>9462</v>
      </c>
      <c r="Z2288" s="73" t="s">
        <v>9486</v>
      </c>
      <c r="AA2288" s="74" t="s">
        <v>9504</v>
      </c>
      <c r="AB2288" s="73" t="s">
        <v>9486</v>
      </c>
      <c r="AC2288" s="74" t="s">
        <v>9566</v>
      </c>
      <c r="AD2288" s="73" t="s">
        <v>9578</v>
      </c>
      <c r="AE2288" s="74" t="s">
        <v>9579</v>
      </c>
    </row>
    <row r="2289" spans="1:31" ht="8.65" customHeight="1" x14ac:dyDescent="0.2">
      <c r="A2289" s="76">
        <v>2289</v>
      </c>
      <c r="B2289" s="67" t="str">
        <f>MID(C2289, FIND("Ifc.", C2289) + 4, 4) &amp; "_" &amp; TEXT(COUNTIF($C$2:C2289, C2289),"0000")</f>
        <v>Prop_2288</v>
      </c>
      <c r="C2289" s="24" t="s">
        <v>872</v>
      </c>
      <c r="D2289" s="69" t="s">
        <v>9453</v>
      </c>
      <c r="E2289" s="70" t="s">
        <v>9454</v>
      </c>
      <c r="F2289" s="17" t="s">
        <v>806</v>
      </c>
      <c r="G2289" s="22" t="s">
        <v>1480</v>
      </c>
      <c r="H2289" s="12" t="s">
        <v>9703</v>
      </c>
      <c r="I2289" s="13" t="s">
        <v>6258</v>
      </c>
      <c r="J2289" s="14" t="s">
        <v>798</v>
      </c>
      <c r="K2289" s="15" t="s">
        <v>798</v>
      </c>
      <c r="L2289" s="12" t="s">
        <v>5315</v>
      </c>
      <c r="M2289" s="13" t="s">
        <v>5811</v>
      </c>
      <c r="N2289" s="12" t="s">
        <v>803</v>
      </c>
      <c r="O2289" s="13" t="s">
        <v>4945</v>
      </c>
      <c r="P2289" s="17" t="s">
        <v>802</v>
      </c>
      <c r="Q2289" s="21" t="s">
        <v>7698</v>
      </c>
      <c r="R2289" s="17" t="s">
        <v>801</v>
      </c>
      <c r="S2289" s="18" t="s">
        <v>2625</v>
      </c>
      <c r="T2289" s="17" t="s">
        <v>800</v>
      </c>
      <c r="U2289" s="18" t="s">
        <v>5240</v>
      </c>
      <c r="V2289" s="17" t="s">
        <v>9418</v>
      </c>
      <c r="W2289" s="18" t="s">
        <v>5309</v>
      </c>
      <c r="X2289" s="69" t="s">
        <v>9453</v>
      </c>
      <c r="Y2289" s="70" t="s">
        <v>9462</v>
      </c>
      <c r="Z2289" s="73" t="s">
        <v>9486</v>
      </c>
      <c r="AA2289" s="74" t="s">
        <v>9504</v>
      </c>
      <c r="AB2289" s="73" t="s">
        <v>9486</v>
      </c>
      <c r="AC2289" s="74" t="s">
        <v>9566</v>
      </c>
      <c r="AD2289" s="73" t="s">
        <v>9578</v>
      </c>
      <c r="AE2289" s="74" t="s">
        <v>9579</v>
      </c>
    </row>
    <row r="2290" spans="1:31" ht="8.65" customHeight="1" x14ac:dyDescent="0.2">
      <c r="A2290" s="76">
        <v>2290</v>
      </c>
      <c r="B2290" s="67" t="str">
        <f>MID(C2290, FIND("Ifc.", C2290) + 4, 4) &amp; "_" &amp; TEXT(COUNTIF($C$2:C2290, C2290),"0000")</f>
        <v>Prop_2289</v>
      </c>
      <c r="C2290" s="24" t="s">
        <v>872</v>
      </c>
      <c r="D2290" s="69" t="s">
        <v>9453</v>
      </c>
      <c r="E2290" s="70" t="s">
        <v>9454</v>
      </c>
      <c r="F2290" s="17" t="s">
        <v>806</v>
      </c>
      <c r="G2290" s="22" t="s">
        <v>1481</v>
      </c>
      <c r="H2290" s="12" t="s">
        <v>9703</v>
      </c>
      <c r="I2290" s="13" t="s">
        <v>6259</v>
      </c>
      <c r="J2290" s="14" t="s">
        <v>798</v>
      </c>
      <c r="K2290" s="15" t="s">
        <v>798</v>
      </c>
      <c r="L2290" s="12" t="s">
        <v>5315</v>
      </c>
      <c r="M2290" s="13" t="s">
        <v>5813</v>
      </c>
      <c r="N2290" s="12" t="s">
        <v>803</v>
      </c>
      <c r="O2290" s="13" t="s">
        <v>4947</v>
      </c>
      <c r="P2290" s="17" t="s">
        <v>802</v>
      </c>
      <c r="Q2290" s="21" t="s">
        <v>7794</v>
      </c>
      <c r="R2290" s="17" t="s">
        <v>801</v>
      </c>
      <c r="S2290" s="18" t="s">
        <v>2625</v>
      </c>
      <c r="T2290" s="17" t="s">
        <v>800</v>
      </c>
      <c r="U2290" s="18" t="s">
        <v>5240</v>
      </c>
      <c r="V2290" s="17" t="s">
        <v>9418</v>
      </c>
      <c r="W2290" s="18" t="s">
        <v>5309</v>
      </c>
      <c r="X2290" s="69" t="s">
        <v>9453</v>
      </c>
      <c r="Y2290" s="70" t="s">
        <v>9462</v>
      </c>
      <c r="Z2290" s="73" t="s">
        <v>9486</v>
      </c>
      <c r="AA2290" s="74" t="s">
        <v>9504</v>
      </c>
      <c r="AB2290" s="73" t="s">
        <v>9486</v>
      </c>
      <c r="AC2290" s="74" t="s">
        <v>9566</v>
      </c>
      <c r="AD2290" s="73" t="s">
        <v>9578</v>
      </c>
      <c r="AE2290" s="74" t="s">
        <v>9579</v>
      </c>
    </row>
    <row r="2291" spans="1:31" ht="8.65" customHeight="1" x14ac:dyDescent="0.2">
      <c r="A2291" s="76">
        <v>2291</v>
      </c>
      <c r="B2291" s="67" t="str">
        <f>MID(C2291, FIND("Ifc.", C2291) + 4, 4) &amp; "_" &amp; TEXT(COUNTIF($C$2:C2291, C2291),"0000")</f>
        <v>Prop_2290</v>
      </c>
      <c r="C2291" s="24" t="s">
        <v>872</v>
      </c>
      <c r="D2291" s="69" t="s">
        <v>9453</v>
      </c>
      <c r="E2291" s="70" t="s">
        <v>9454</v>
      </c>
      <c r="F2291" s="17" t="s">
        <v>806</v>
      </c>
      <c r="G2291" s="22" t="s">
        <v>1481</v>
      </c>
      <c r="H2291" s="12" t="s">
        <v>9703</v>
      </c>
      <c r="I2291" s="13" t="s">
        <v>6259</v>
      </c>
      <c r="J2291" s="14" t="s">
        <v>798</v>
      </c>
      <c r="K2291" s="15" t="s">
        <v>798</v>
      </c>
      <c r="L2291" s="12" t="s">
        <v>5315</v>
      </c>
      <c r="M2291" s="13" t="s">
        <v>5811</v>
      </c>
      <c r="N2291" s="12" t="s">
        <v>803</v>
      </c>
      <c r="O2291" s="13" t="s">
        <v>4945</v>
      </c>
      <c r="P2291" s="17" t="s">
        <v>802</v>
      </c>
      <c r="Q2291" s="21" t="s">
        <v>7698</v>
      </c>
      <c r="R2291" s="17" t="s">
        <v>801</v>
      </c>
      <c r="S2291" s="18" t="s">
        <v>2625</v>
      </c>
      <c r="T2291" s="17" t="s">
        <v>800</v>
      </c>
      <c r="U2291" s="18" t="s">
        <v>5240</v>
      </c>
      <c r="V2291" s="17" t="s">
        <v>9418</v>
      </c>
      <c r="W2291" s="18" t="s">
        <v>5309</v>
      </c>
      <c r="X2291" s="69" t="s">
        <v>9453</v>
      </c>
      <c r="Y2291" s="70" t="s">
        <v>9462</v>
      </c>
      <c r="Z2291" s="73" t="s">
        <v>9486</v>
      </c>
      <c r="AA2291" s="74" t="s">
        <v>9504</v>
      </c>
      <c r="AB2291" s="73" t="s">
        <v>9486</v>
      </c>
      <c r="AC2291" s="74" t="s">
        <v>9566</v>
      </c>
      <c r="AD2291" s="73" t="s">
        <v>9578</v>
      </c>
      <c r="AE2291" s="74" t="s">
        <v>9579</v>
      </c>
    </row>
    <row r="2292" spans="1:31" ht="8.65" customHeight="1" x14ac:dyDescent="0.2">
      <c r="A2292" s="76">
        <v>2292</v>
      </c>
      <c r="B2292" s="67" t="str">
        <f>MID(C2292, FIND("Ifc.", C2292) + 4, 4) &amp; "_" &amp; TEXT(COUNTIF($C$2:C2292, C2292),"0000")</f>
        <v>Prop_2291</v>
      </c>
      <c r="C2292" s="24" t="s">
        <v>872</v>
      </c>
      <c r="D2292" s="69" t="s">
        <v>9453</v>
      </c>
      <c r="E2292" s="70" t="s">
        <v>9454</v>
      </c>
      <c r="F2292" s="17" t="s">
        <v>806</v>
      </c>
      <c r="G2292" s="22" t="s">
        <v>1481</v>
      </c>
      <c r="H2292" s="12" t="s">
        <v>9703</v>
      </c>
      <c r="I2292" s="13" t="s">
        <v>6259</v>
      </c>
      <c r="J2292" s="14" t="s">
        <v>798</v>
      </c>
      <c r="K2292" s="15" t="s">
        <v>798</v>
      </c>
      <c r="L2292" s="12" t="s">
        <v>5315</v>
      </c>
      <c r="M2292" s="13" t="s">
        <v>5812</v>
      </c>
      <c r="N2292" s="12" t="s">
        <v>803</v>
      </c>
      <c r="O2292" s="13" t="s">
        <v>4946</v>
      </c>
      <c r="P2292" s="17" t="s">
        <v>802</v>
      </c>
      <c r="Q2292" s="21" t="s">
        <v>7895</v>
      </c>
      <c r="R2292" s="17" t="s">
        <v>801</v>
      </c>
      <c r="S2292" s="18" t="s">
        <v>2625</v>
      </c>
      <c r="T2292" s="17" t="s">
        <v>800</v>
      </c>
      <c r="U2292" s="18" t="s">
        <v>5240</v>
      </c>
      <c r="V2292" s="17" t="s">
        <v>9418</v>
      </c>
      <c r="W2292" s="18" t="s">
        <v>5309</v>
      </c>
      <c r="X2292" s="69" t="s">
        <v>9453</v>
      </c>
      <c r="Y2292" s="70" t="s">
        <v>9462</v>
      </c>
      <c r="Z2292" s="73" t="s">
        <v>9486</v>
      </c>
      <c r="AA2292" s="74" t="s">
        <v>9504</v>
      </c>
      <c r="AB2292" s="73" t="s">
        <v>9486</v>
      </c>
      <c r="AC2292" s="74" t="s">
        <v>9566</v>
      </c>
      <c r="AD2292" s="73" t="s">
        <v>9578</v>
      </c>
      <c r="AE2292" s="74" t="s">
        <v>9579</v>
      </c>
    </row>
    <row r="2293" spans="1:31" ht="8.65" customHeight="1" x14ac:dyDescent="0.2">
      <c r="A2293" s="76">
        <v>2293</v>
      </c>
      <c r="B2293" s="67" t="str">
        <f>MID(C2293, FIND("Ifc.", C2293) + 4, 4) &amp; "_" &amp; TEXT(COUNTIF($C$2:C2293, C2293),"0000")</f>
        <v>Prop_2292</v>
      </c>
      <c r="C2293" s="24" t="s">
        <v>872</v>
      </c>
      <c r="D2293" s="69" t="s">
        <v>9453</v>
      </c>
      <c r="E2293" s="70" t="s">
        <v>9454</v>
      </c>
      <c r="F2293" s="17" t="s">
        <v>806</v>
      </c>
      <c r="G2293" s="22" t="s">
        <v>1481</v>
      </c>
      <c r="H2293" s="12" t="s">
        <v>9703</v>
      </c>
      <c r="I2293" s="13" t="s">
        <v>6259</v>
      </c>
      <c r="J2293" s="14" t="s">
        <v>798</v>
      </c>
      <c r="K2293" s="15" t="s">
        <v>798</v>
      </c>
      <c r="L2293" s="12" t="s">
        <v>5315</v>
      </c>
      <c r="M2293" s="13" t="s">
        <v>5812</v>
      </c>
      <c r="N2293" s="12" t="s">
        <v>803</v>
      </c>
      <c r="O2293" s="13" t="s">
        <v>4946</v>
      </c>
      <c r="P2293" s="17" t="s">
        <v>802</v>
      </c>
      <c r="Q2293" s="21" t="s">
        <v>7895</v>
      </c>
      <c r="R2293" s="17" t="s">
        <v>801</v>
      </c>
      <c r="S2293" s="18" t="s">
        <v>2625</v>
      </c>
      <c r="T2293" s="17" t="s">
        <v>800</v>
      </c>
      <c r="U2293" s="18" t="s">
        <v>5240</v>
      </c>
      <c r="V2293" s="17" t="s">
        <v>9418</v>
      </c>
      <c r="W2293" s="18" t="s">
        <v>5309</v>
      </c>
      <c r="X2293" s="69" t="s">
        <v>9453</v>
      </c>
      <c r="Y2293" s="70" t="s">
        <v>9462</v>
      </c>
      <c r="Z2293" s="73" t="s">
        <v>9486</v>
      </c>
      <c r="AA2293" s="74" t="s">
        <v>9504</v>
      </c>
      <c r="AB2293" s="73" t="s">
        <v>9486</v>
      </c>
      <c r="AC2293" s="74" t="s">
        <v>9566</v>
      </c>
      <c r="AD2293" s="73" t="s">
        <v>9578</v>
      </c>
      <c r="AE2293" s="74" t="s">
        <v>9579</v>
      </c>
    </row>
    <row r="2294" spans="1:31" ht="8.65" customHeight="1" x14ac:dyDescent="0.2">
      <c r="A2294" s="76">
        <v>2294</v>
      </c>
      <c r="B2294" s="67" t="str">
        <f>MID(C2294, FIND("Ifc.", C2294) + 4, 4) &amp; "_" &amp; TEXT(COUNTIF($C$2:C2294, C2294),"0000")</f>
        <v>Prop_2293</v>
      </c>
      <c r="C2294" s="24" t="s">
        <v>872</v>
      </c>
      <c r="D2294" s="69" t="s">
        <v>9453</v>
      </c>
      <c r="E2294" s="70" t="s">
        <v>9454</v>
      </c>
      <c r="F2294" s="17" t="s">
        <v>806</v>
      </c>
      <c r="G2294" s="22" t="s">
        <v>1483</v>
      </c>
      <c r="H2294" s="12" t="s">
        <v>9703</v>
      </c>
      <c r="I2294" s="13" t="s">
        <v>6261</v>
      </c>
      <c r="J2294" s="14" t="s">
        <v>798</v>
      </c>
      <c r="K2294" s="15" t="s">
        <v>798</v>
      </c>
      <c r="L2294" s="12" t="s">
        <v>5315</v>
      </c>
      <c r="M2294" s="13" t="s">
        <v>5813</v>
      </c>
      <c r="N2294" s="12" t="s">
        <v>803</v>
      </c>
      <c r="O2294" s="13" t="s">
        <v>4947</v>
      </c>
      <c r="P2294" s="17" t="s">
        <v>802</v>
      </c>
      <c r="Q2294" s="21" t="s">
        <v>7794</v>
      </c>
      <c r="R2294" s="17" t="s">
        <v>801</v>
      </c>
      <c r="S2294" s="18" t="s">
        <v>2625</v>
      </c>
      <c r="T2294" s="17" t="s">
        <v>800</v>
      </c>
      <c r="U2294" s="18" t="s">
        <v>5240</v>
      </c>
      <c r="V2294" s="17" t="s">
        <v>9418</v>
      </c>
      <c r="W2294" s="18" t="s">
        <v>5309</v>
      </c>
      <c r="X2294" s="69" t="s">
        <v>9453</v>
      </c>
      <c r="Y2294" s="70" t="s">
        <v>9462</v>
      </c>
      <c r="Z2294" s="73" t="s">
        <v>9486</v>
      </c>
      <c r="AA2294" s="74" t="s">
        <v>9504</v>
      </c>
      <c r="AB2294" s="73" t="s">
        <v>9486</v>
      </c>
      <c r="AC2294" s="74" t="s">
        <v>9566</v>
      </c>
      <c r="AD2294" s="73" t="s">
        <v>9578</v>
      </c>
      <c r="AE2294" s="74" t="s">
        <v>9579</v>
      </c>
    </row>
    <row r="2295" spans="1:31" ht="8.65" customHeight="1" x14ac:dyDescent="0.2">
      <c r="A2295" s="76">
        <v>2295</v>
      </c>
      <c r="B2295" s="67" t="str">
        <f>MID(C2295, FIND("Ifc.", C2295) + 4, 4) &amp; "_" &amp; TEXT(COUNTIF($C$2:C2295, C2295),"0000")</f>
        <v>Prop_2294</v>
      </c>
      <c r="C2295" s="24" t="s">
        <v>872</v>
      </c>
      <c r="D2295" s="69" t="s">
        <v>9453</v>
      </c>
      <c r="E2295" s="70" t="s">
        <v>9454</v>
      </c>
      <c r="F2295" s="17" t="s">
        <v>806</v>
      </c>
      <c r="G2295" s="22" t="s">
        <v>1483</v>
      </c>
      <c r="H2295" s="12" t="s">
        <v>9703</v>
      </c>
      <c r="I2295" s="13" t="s">
        <v>6261</v>
      </c>
      <c r="J2295" s="14" t="s">
        <v>798</v>
      </c>
      <c r="K2295" s="15" t="s">
        <v>798</v>
      </c>
      <c r="L2295" s="12" t="s">
        <v>5315</v>
      </c>
      <c r="M2295" s="13" t="s">
        <v>5811</v>
      </c>
      <c r="N2295" s="12" t="s">
        <v>803</v>
      </c>
      <c r="O2295" s="13" t="s">
        <v>4945</v>
      </c>
      <c r="P2295" s="17" t="s">
        <v>802</v>
      </c>
      <c r="Q2295" s="21" t="s">
        <v>7698</v>
      </c>
      <c r="R2295" s="17" t="s">
        <v>801</v>
      </c>
      <c r="S2295" s="18" t="s">
        <v>2625</v>
      </c>
      <c r="T2295" s="17" t="s">
        <v>800</v>
      </c>
      <c r="U2295" s="18" t="s">
        <v>5240</v>
      </c>
      <c r="V2295" s="17" t="s">
        <v>9418</v>
      </c>
      <c r="W2295" s="18" t="s">
        <v>5309</v>
      </c>
      <c r="X2295" s="69" t="s">
        <v>9453</v>
      </c>
      <c r="Y2295" s="70" t="s">
        <v>9462</v>
      </c>
      <c r="Z2295" s="73" t="s">
        <v>9486</v>
      </c>
      <c r="AA2295" s="74" t="s">
        <v>9504</v>
      </c>
      <c r="AB2295" s="73" t="s">
        <v>9486</v>
      </c>
      <c r="AC2295" s="74" t="s">
        <v>9566</v>
      </c>
      <c r="AD2295" s="73" t="s">
        <v>9578</v>
      </c>
      <c r="AE2295" s="74" t="s">
        <v>9579</v>
      </c>
    </row>
    <row r="2296" spans="1:31" ht="8.65" customHeight="1" x14ac:dyDescent="0.2">
      <c r="A2296" s="76">
        <v>2296</v>
      </c>
      <c r="B2296" s="67" t="str">
        <f>MID(C2296, FIND("Ifc.", C2296) + 4, 4) &amp; "_" &amp; TEXT(COUNTIF($C$2:C2296, C2296),"0000")</f>
        <v>Prop_2295</v>
      </c>
      <c r="C2296" s="24" t="s">
        <v>872</v>
      </c>
      <c r="D2296" s="69" t="s">
        <v>9453</v>
      </c>
      <c r="E2296" s="70" t="s">
        <v>9454</v>
      </c>
      <c r="F2296" s="17" t="s">
        <v>806</v>
      </c>
      <c r="G2296" s="22" t="s">
        <v>1483</v>
      </c>
      <c r="H2296" s="12" t="s">
        <v>9703</v>
      </c>
      <c r="I2296" s="13" t="s">
        <v>6261</v>
      </c>
      <c r="J2296" s="14" t="s">
        <v>798</v>
      </c>
      <c r="K2296" s="15" t="s">
        <v>798</v>
      </c>
      <c r="L2296" s="12" t="s">
        <v>5315</v>
      </c>
      <c r="M2296" s="13" t="s">
        <v>5812</v>
      </c>
      <c r="N2296" s="12" t="s">
        <v>803</v>
      </c>
      <c r="O2296" s="13" t="s">
        <v>4946</v>
      </c>
      <c r="P2296" s="17" t="s">
        <v>802</v>
      </c>
      <c r="Q2296" s="21" t="s">
        <v>7895</v>
      </c>
      <c r="R2296" s="17" t="s">
        <v>801</v>
      </c>
      <c r="S2296" s="18" t="s">
        <v>2625</v>
      </c>
      <c r="T2296" s="17" t="s">
        <v>800</v>
      </c>
      <c r="U2296" s="18" t="s">
        <v>5240</v>
      </c>
      <c r="V2296" s="17" t="s">
        <v>9418</v>
      </c>
      <c r="W2296" s="18" t="s">
        <v>5309</v>
      </c>
      <c r="X2296" s="69" t="s">
        <v>9453</v>
      </c>
      <c r="Y2296" s="70" t="s">
        <v>9462</v>
      </c>
      <c r="Z2296" s="73" t="s">
        <v>9486</v>
      </c>
      <c r="AA2296" s="74" t="s">
        <v>9504</v>
      </c>
      <c r="AB2296" s="73" t="s">
        <v>9486</v>
      </c>
      <c r="AC2296" s="74" t="s">
        <v>9566</v>
      </c>
      <c r="AD2296" s="73" t="s">
        <v>9578</v>
      </c>
      <c r="AE2296" s="74" t="s">
        <v>9579</v>
      </c>
    </row>
    <row r="2297" spans="1:31" ht="8.65" customHeight="1" x14ac:dyDescent="0.2">
      <c r="A2297" s="76">
        <v>2297</v>
      </c>
      <c r="B2297" s="67" t="str">
        <f>MID(C2297, FIND("Ifc.", C2297) + 4, 4) &amp; "_" &amp; TEXT(COUNTIF($C$2:C2297, C2297),"0000")</f>
        <v>Prop_2296</v>
      </c>
      <c r="C2297" s="24" t="s">
        <v>872</v>
      </c>
      <c r="D2297" s="69" t="s">
        <v>9453</v>
      </c>
      <c r="E2297" s="70" t="s">
        <v>9454</v>
      </c>
      <c r="F2297" s="17" t="s">
        <v>806</v>
      </c>
      <c r="G2297" s="22" t="s">
        <v>1482</v>
      </c>
      <c r="H2297" s="12" t="s">
        <v>9703</v>
      </c>
      <c r="I2297" s="13" t="s">
        <v>6260</v>
      </c>
      <c r="J2297" s="14" t="s">
        <v>798</v>
      </c>
      <c r="K2297" s="15" t="s">
        <v>798</v>
      </c>
      <c r="L2297" s="12" t="s">
        <v>5315</v>
      </c>
      <c r="M2297" s="13" t="s">
        <v>5813</v>
      </c>
      <c r="N2297" s="12" t="s">
        <v>803</v>
      </c>
      <c r="O2297" s="13" t="s">
        <v>4947</v>
      </c>
      <c r="P2297" s="17" t="s">
        <v>802</v>
      </c>
      <c r="Q2297" s="21" t="s">
        <v>7794</v>
      </c>
      <c r="R2297" s="17" t="s">
        <v>801</v>
      </c>
      <c r="S2297" s="18" t="s">
        <v>2625</v>
      </c>
      <c r="T2297" s="17" t="s">
        <v>800</v>
      </c>
      <c r="U2297" s="18" t="s">
        <v>5240</v>
      </c>
      <c r="V2297" s="17" t="s">
        <v>9418</v>
      </c>
      <c r="W2297" s="18" t="s">
        <v>5309</v>
      </c>
      <c r="X2297" s="69" t="s">
        <v>9453</v>
      </c>
      <c r="Y2297" s="70" t="s">
        <v>9462</v>
      </c>
      <c r="Z2297" s="73" t="s">
        <v>9486</v>
      </c>
      <c r="AA2297" s="74" t="s">
        <v>9504</v>
      </c>
      <c r="AB2297" s="73" t="s">
        <v>9486</v>
      </c>
      <c r="AC2297" s="74" t="s">
        <v>9566</v>
      </c>
      <c r="AD2297" s="73" t="s">
        <v>9578</v>
      </c>
      <c r="AE2297" s="74" t="s">
        <v>9579</v>
      </c>
    </row>
    <row r="2298" spans="1:31" ht="8.65" customHeight="1" x14ac:dyDescent="0.2">
      <c r="A2298" s="76">
        <v>2298</v>
      </c>
      <c r="B2298" s="67" t="str">
        <f>MID(C2298, FIND("Ifc.", C2298) + 4, 4) &amp; "_" &amp; TEXT(COUNTIF($C$2:C2298, C2298),"0000")</f>
        <v>Prop_2297</v>
      </c>
      <c r="C2298" s="24" t="s">
        <v>872</v>
      </c>
      <c r="D2298" s="69" t="s">
        <v>9453</v>
      </c>
      <c r="E2298" s="70" t="s">
        <v>9454</v>
      </c>
      <c r="F2298" s="17" t="s">
        <v>806</v>
      </c>
      <c r="G2298" s="22" t="s">
        <v>1482</v>
      </c>
      <c r="H2298" s="12" t="s">
        <v>9703</v>
      </c>
      <c r="I2298" s="13" t="s">
        <v>6260</v>
      </c>
      <c r="J2298" s="14" t="s">
        <v>798</v>
      </c>
      <c r="K2298" s="15" t="s">
        <v>798</v>
      </c>
      <c r="L2298" s="12" t="s">
        <v>5315</v>
      </c>
      <c r="M2298" s="13" t="s">
        <v>5811</v>
      </c>
      <c r="N2298" s="12" t="s">
        <v>803</v>
      </c>
      <c r="O2298" s="13" t="s">
        <v>4945</v>
      </c>
      <c r="P2298" s="17" t="s">
        <v>802</v>
      </c>
      <c r="Q2298" s="21" t="s">
        <v>7698</v>
      </c>
      <c r="R2298" s="17" t="s">
        <v>801</v>
      </c>
      <c r="S2298" s="18" t="s">
        <v>2625</v>
      </c>
      <c r="T2298" s="17" t="s">
        <v>800</v>
      </c>
      <c r="U2298" s="18" t="s">
        <v>5240</v>
      </c>
      <c r="V2298" s="17" t="s">
        <v>9418</v>
      </c>
      <c r="W2298" s="18" t="s">
        <v>5309</v>
      </c>
      <c r="X2298" s="69" t="s">
        <v>9453</v>
      </c>
      <c r="Y2298" s="70" t="s">
        <v>9462</v>
      </c>
      <c r="Z2298" s="73" t="s">
        <v>9486</v>
      </c>
      <c r="AA2298" s="74" t="s">
        <v>9504</v>
      </c>
      <c r="AB2298" s="73" t="s">
        <v>9486</v>
      </c>
      <c r="AC2298" s="74" t="s">
        <v>9566</v>
      </c>
      <c r="AD2298" s="73" t="s">
        <v>9578</v>
      </c>
      <c r="AE2298" s="74" t="s">
        <v>9579</v>
      </c>
    </row>
    <row r="2299" spans="1:31" ht="8.65" customHeight="1" x14ac:dyDescent="0.2">
      <c r="A2299" s="76">
        <v>2299</v>
      </c>
      <c r="B2299" s="67" t="str">
        <f>MID(C2299, FIND("Ifc.", C2299) + 4, 4) &amp; "_" &amp; TEXT(COUNTIF($C$2:C2299, C2299),"0000")</f>
        <v>Prop_2298</v>
      </c>
      <c r="C2299" s="24" t="s">
        <v>872</v>
      </c>
      <c r="D2299" s="69" t="s">
        <v>9453</v>
      </c>
      <c r="E2299" s="70" t="s">
        <v>9454</v>
      </c>
      <c r="F2299" s="17" t="s">
        <v>806</v>
      </c>
      <c r="G2299" s="22" t="s">
        <v>1482</v>
      </c>
      <c r="H2299" s="12" t="s">
        <v>9703</v>
      </c>
      <c r="I2299" s="13" t="s">
        <v>6260</v>
      </c>
      <c r="J2299" s="14" t="s">
        <v>798</v>
      </c>
      <c r="K2299" s="15" t="s">
        <v>798</v>
      </c>
      <c r="L2299" s="12" t="s">
        <v>5315</v>
      </c>
      <c r="M2299" s="13" t="s">
        <v>5812</v>
      </c>
      <c r="N2299" s="12" t="s">
        <v>803</v>
      </c>
      <c r="O2299" s="13" t="s">
        <v>4946</v>
      </c>
      <c r="P2299" s="17" t="s">
        <v>802</v>
      </c>
      <c r="Q2299" s="21" t="s">
        <v>7895</v>
      </c>
      <c r="R2299" s="17" t="s">
        <v>801</v>
      </c>
      <c r="S2299" s="18" t="s">
        <v>2625</v>
      </c>
      <c r="T2299" s="17" t="s">
        <v>800</v>
      </c>
      <c r="U2299" s="18" t="s">
        <v>5240</v>
      </c>
      <c r="V2299" s="17" t="s">
        <v>9418</v>
      </c>
      <c r="W2299" s="18" t="s">
        <v>5309</v>
      </c>
      <c r="X2299" s="69" t="s">
        <v>9453</v>
      </c>
      <c r="Y2299" s="70" t="s">
        <v>9462</v>
      </c>
      <c r="Z2299" s="73" t="s">
        <v>9486</v>
      </c>
      <c r="AA2299" s="74" t="s">
        <v>9504</v>
      </c>
      <c r="AB2299" s="73" t="s">
        <v>9486</v>
      </c>
      <c r="AC2299" s="74" t="s">
        <v>9566</v>
      </c>
      <c r="AD2299" s="73" t="s">
        <v>9578</v>
      </c>
      <c r="AE2299" s="74" t="s">
        <v>9579</v>
      </c>
    </row>
    <row r="2300" spans="1:31" ht="8.65" customHeight="1" x14ac:dyDescent="0.2">
      <c r="A2300" s="76">
        <v>2300</v>
      </c>
      <c r="B2300" s="67" t="str">
        <f>MID(C2300, FIND("Ifc.", C2300) + 4, 4) &amp; "_" &amp; TEXT(COUNTIF($C$2:C2300, C2300),"0000")</f>
        <v>Prop_2299</v>
      </c>
      <c r="C2300" s="24" t="s">
        <v>872</v>
      </c>
      <c r="D2300" s="69" t="s">
        <v>9453</v>
      </c>
      <c r="E2300" s="70" t="s">
        <v>9454</v>
      </c>
      <c r="F2300" s="17" t="s">
        <v>806</v>
      </c>
      <c r="G2300" s="22" t="s">
        <v>2204</v>
      </c>
      <c r="H2300" s="12" t="s">
        <v>9703</v>
      </c>
      <c r="I2300" s="13" t="s">
        <v>7304</v>
      </c>
      <c r="J2300" s="14" t="s">
        <v>798</v>
      </c>
      <c r="K2300" s="15" t="s">
        <v>798</v>
      </c>
      <c r="L2300" s="12" t="s">
        <v>5315</v>
      </c>
      <c r="M2300" s="13" t="s">
        <v>5507</v>
      </c>
      <c r="N2300" s="12" t="s">
        <v>803</v>
      </c>
      <c r="O2300" s="13" t="s">
        <v>5120</v>
      </c>
      <c r="P2300" s="17" t="s">
        <v>802</v>
      </c>
      <c r="Q2300" s="21" t="s">
        <v>7693</v>
      </c>
      <c r="R2300" s="17" t="s">
        <v>801</v>
      </c>
      <c r="S2300" s="18" t="s">
        <v>2554</v>
      </c>
      <c r="T2300" s="17" t="s">
        <v>800</v>
      </c>
      <c r="U2300" s="18" t="s">
        <v>5233</v>
      </c>
      <c r="V2300" s="17" t="s">
        <v>9418</v>
      </c>
      <c r="W2300" s="18" t="s">
        <v>5310</v>
      </c>
      <c r="X2300" s="69" t="s">
        <v>9453</v>
      </c>
      <c r="Y2300" s="70" t="s">
        <v>9463</v>
      </c>
      <c r="Z2300" s="73" t="s">
        <v>9486</v>
      </c>
      <c r="AA2300" s="74" t="s">
        <v>9504</v>
      </c>
      <c r="AB2300" s="73" t="s">
        <v>9486</v>
      </c>
      <c r="AC2300" s="74" t="s">
        <v>9562</v>
      </c>
      <c r="AD2300" s="73" t="s">
        <v>9578</v>
      </c>
      <c r="AE2300" s="74" t="s">
        <v>9579</v>
      </c>
    </row>
    <row r="2301" spans="1:31" ht="8.65" customHeight="1" x14ac:dyDescent="0.2">
      <c r="A2301" s="76">
        <v>2301</v>
      </c>
      <c r="B2301" s="67" t="str">
        <f>MID(C2301, FIND("Ifc.", C2301) + 4, 4) &amp; "_" &amp; TEXT(COUNTIF($C$2:C2301, C2301),"0000")</f>
        <v>Prop_2300</v>
      </c>
      <c r="C2301" s="24" t="s">
        <v>872</v>
      </c>
      <c r="D2301" s="69" t="s">
        <v>9453</v>
      </c>
      <c r="E2301" s="70" t="s">
        <v>9454</v>
      </c>
      <c r="F2301" s="17" t="s">
        <v>806</v>
      </c>
      <c r="G2301" s="22" t="s">
        <v>1368</v>
      </c>
      <c r="H2301" s="12" t="s">
        <v>9703</v>
      </c>
      <c r="I2301" s="13" t="s">
        <v>7242</v>
      </c>
      <c r="J2301" s="14" t="s">
        <v>798</v>
      </c>
      <c r="K2301" s="15" t="s">
        <v>798</v>
      </c>
      <c r="L2301" s="12" t="s">
        <v>5315</v>
      </c>
      <c r="M2301" s="13" t="s">
        <v>6031</v>
      </c>
      <c r="N2301" s="12" t="s">
        <v>803</v>
      </c>
      <c r="O2301" s="13" t="s">
        <v>4919</v>
      </c>
      <c r="P2301" s="17" t="s">
        <v>802</v>
      </c>
      <c r="Q2301" s="21" t="s">
        <v>7818</v>
      </c>
      <c r="R2301" s="17" t="s">
        <v>801</v>
      </c>
      <c r="S2301" s="18" t="s">
        <v>2575</v>
      </c>
      <c r="T2301" s="17" t="s">
        <v>800</v>
      </c>
      <c r="U2301" s="18" t="s">
        <v>5250</v>
      </c>
      <c r="V2301" s="17" t="s">
        <v>9418</v>
      </c>
      <c r="W2301" s="18" t="s">
        <v>5309</v>
      </c>
      <c r="X2301" s="69" t="s">
        <v>9453</v>
      </c>
      <c r="Y2301" s="70" t="s">
        <v>9462</v>
      </c>
      <c r="Z2301" s="73" t="s">
        <v>9486</v>
      </c>
      <c r="AA2301" s="74" t="s">
        <v>9504</v>
      </c>
      <c r="AB2301" s="73" t="s">
        <v>9486</v>
      </c>
      <c r="AC2301" s="74" t="s">
        <v>9566</v>
      </c>
      <c r="AD2301" s="73" t="s">
        <v>9578</v>
      </c>
      <c r="AE2301" s="74" t="s">
        <v>9579</v>
      </c>
    </row>
    <row r="2302" spans="1:31" ht="8.65" customHeight="1" x14ac:dyDescent="0.2">
      <c r="A2302" s="76">
        <v>2302</v>
      </c>
      <c r="B2302" s="67" t="str">
        <f>MID(C2302, FIND("Ifc.", C2302) + 4, 4) &amp; "_" &amp; TEXT(COUNTIF($C$2:C2302, C2302),"0000")</f>
        <v>Prop_2301</v>
      </c>
      <c r="C2302" s="24" t="s">
        <v>872</v>
      </c>
      <c r="D2302" s="69" t="s">
        <v>9453</v>
      </c>
      <c r="E2302" s="70" t="s">
        <v>9454</v>
      </c>
      <c r="F2302" s="17" t="s">
        <v>806</v>
      </c>
      <c r="G2302" s="22" t="s">
        <v>1023</v>
      </c>
      <c r="H2302" s="12" t="s">
        <v>9703</v>
      </c>
      <c r="I2302" s="13" t="s">
        <v>1023</v>
      </c>
      <c r="J2302" s="14" t="s">
        <v>798</v>
      </c>
      <c r="K2302" s="15" t="s">
        <v>798</v>
      </c>
      <c r="L2302" s="12" t="s">
        <v>5315</v>
      </c>
      <c r="M2302" s="13" t="s">
        <v>5380</v>
      </c>
      <c r="N2302" s="12" t="s">
        <v>803</v>
      </c>
      <c r="O2302" s="13" t="s">
        <v>4837</v>
      </c>
      <c r="P2302" s="17" t="s">
        <v>802</v>
      </c>
      <c r="Q2302" s="21" t="s">
        <v>7726</v>
      </c>
      <c r="R2302" s="17" t="s">
        <v>801</v>
      </c>
      <c r="S2302" s="18" t="s">
        <v>2634</v>
      </c>
      <c r="T2302" s="17" t="s">
        <v>800</v>
      </c>
      <c r="U2302" s="18" t="s">
        <v>5259</v>
      </c>
      <c r="V2302" s="17" t="s">
        <v>9418</v>
      </c>
      <c r="W2302" s="18" t="s">
        <v>5309</v>
      </c>
      <c r="X2302" s="69" t="s">
        <v>9453</v>
      </c>
      <c r="Y2302" s="70" t="s">
        <v>9462</v>
      </c>
      <c r="Z2302" s="73" t="s">
        <v>9486</v>
      </c>
      <c r="AA2302" s="74" t="s">
        <v>9504</v>
      </c>
      <c r="AB2302" s="73" t="s">
        <v>9486</v>
      </c>
      <c r="AC2302" s="74" t="s">
        <v>9566</v>
      </c>
      <c r="AD2302" s="73" t="s">
        <v>9578</v>
      </c>
      <c r="AE2302" s="74" t="s">
        <v>9579</v>
      </c>
    </row>
    <row r="2303" spans="1:31" ht="8.65" customHeight="1" x14ac:dyDescent="0.2">
      <c r="A2303" s="76">
        <v>2303</v>
      </c>
      <c r="B2303" s="67" t="str">
        <f>MID(C2303, FIND("Ifc.", C2303) + 4, 4) &amp; "_" &amp; TEXT(COUNTIF($C$2:C2303, C2303),"0000")</f>
        <v>Prop_2302</v>
      </c>
      <c r="C2303" s="24" t="s">
        <v>872</v>
      </c>
      <c r="D2303" s="69" t="s">
        <v>9453</v>
      </c>
      <c r="E2303" s="70" t="s">
        <v>9454</v>
      </c>
      <c r="F2303" s="17" t="s">
        <v>806</v>
      </c>
      <c r="G2303" s="22" t="s">
        <v>1738</v>
      </c>
      <c r="H2303" s="12" t="s">
        <v>9703</v>
      </c>
      <c r="I2303" s="13" t="s">
        <v>6461</v>
      </c>
      <c r="J2303" s="14" t="s">
        <v>798</v>
      </c>
      <c r="K2303" s="15" t="s">
        <v>798</v>
      </c>
      <c r="L2303" s="12" t="s">
        <v>5315</v>
      </c>
      <c r="M2303" s="13" t="s">
        <v>5852</v>
      </c>
      <c r="N2303" s="12" t="s">
        <v>803</v>
      </c>
      <c r="O2303" s="13" t="s">
        <v>5005</v>
      </c>
      <c r="P2303" s="17" t="s">
        <v>802</v>
      </c>
      <c r="Q2303" s="21" t="s">
        <v>7920</v>
      </c>
      <c r="R2303" s="17" t="s">
        <v>801</v>
      </c>
      <c r="S2303" s="18" t="s">
        <v>2619</v>
      </c>
      <c r="T2303" s="17" t="s">
        <v>800</v>
      </c>
      <c r="U2303" s="18" t="s">
        <v>5239</v>
      </c>
      <c r="V2303" s="17" t="s">
        <v>9418</v>
      </c>
      <c r="W2303" s="18" t="s">
        <v>5309</v>
      </c>
      <c r="X2303" s="69" t="s">
        <v>9453</v>
      </c>
      <c r="Y2303" s="70" t="s">
        <v>9462</v>
      </c>
      <c r="Z2303" s="73" t="s">
        <v>9486</v>
      </c>
      <c r="AA2303" s="74" t="s">
        <v>9504</v>
      </c>
      <c r="AB2303" s="73" t="s">
        <v>9486</v>
      </c>
      <c r="AC2303" s="74" t="s">
        <v>9566</v>
      </c>
      <c r="AD2303" s="73" t="s">
        <v>9578</v>
      </c>
      <c r="AE2303" s="74" t="s">
        <v>9579</v>
      </c>
    </row>
    <row r="2304" spans="1:31" ht="8.65" customHeight="1" x14ac:dyDescent="0.2">
      <c r="A2304" s="76">
        <v>2304</v>
      </c>
      <c r="B2304" s="67" t="str">
        <f>MID(C2304, FIND("Ifc.", C2304) + 4, 4) &amp; "_" &amp; TEXT(COUNTIF($C$2:C2304, C2304),"0000")</f>
        <v>Prop_2303</v>
      </c>
      <c r="C2304" s="24" t="s">
        <v>872</v>
      </c>
      <c r="D2304" s="69" t="s">
        <v>9453</v>
      </c>
      <c r="E2304" s="70" t="s">
        <v>9454</v>
      </c>
      <c r="F2304" s="17" t="s">
        <v>806</v>
      </c>
      <c r="G2304" s="22" t="s">
        <v>1624</v>
      </c>
      <c r="H2304" s="12" t="s">
        <v>9703</v>
      </c>
      <c r="I2304" s="13" t="s">
        <v>6367</v>
      </c>
      <c r="J2304" s="14" t="s">
        <v>798</v>
      </c>
      <c r="K2304" s="15" t="s">
        <v>798</v>
      </c>
      <c r="L2304" s="12" t="s">
        <v>5315</v>
      </c>
      <c r="M2304" s="13" t="s">
        <v>5834</v>
      </c>
      <c r="N2304" s="12" t="s">
        <v>803</v>
      </c>
      <c r="O2304" s="13" t="s">
        <v>4976</v>
      </c>
      <c r="P2304" s="17" t="s">
        <v>802</v>
      </c>
      <c r="Q2304" s="21" t="s">
        <v>7883</v>
      </c>
      <c r="R2304" s="17" t="s">
        <v>801</v>
      </c>
      <c r="S2304" s="18" t="s">
        <v>3636</v>
      </c>
      <c r="T2304" s="17" t="s">
        <v>800</v>
      </c>
      <c r="U2304" s="18" t="s">
        <v>5257</v>
      </c>
      <c r="V2304" s="17" t="s">
        <v>9418</v>
      </c>
      <c r="W2304" s="18" t="s">
        <v>5314</v>
      </c>
      <c r="X2304" s="69" t="s">
        <v>9453</v>
      </c>
      <c r="Y2304" s="70" t="s">
        <v>9464</v>
      </c>
      <c r="Z2304" s="73" t="s">
        <v>9486</v>
      </c>
      <c r="AA2304" s="74" t="s">
        <v>9504</v>
      </c>
      <c r="AB2304" s="73" t="s">
        <v>9486</v>
      </c>
      <c r="AC2304" s="74" t="s">
        <v>9561</v>
      </c>
      <c r="AD2304" s="73" t="s">
        <v>9578</v>
      </c>
      <c r="AE2304" s="74" t="s">
        <v>9579</v>
      </c>
    </row>
    <row r="2305" spans="1:31" ht="8.65" customHeight="1" x14ac:dyDescent="0.2">
      <c r="A2305" s="76">
        <v>2305</v>
      </c>
      <c r="B2305" s="67" t="str">
        <f>MID(C2305, FIND("Ifc.", C2305) + 4, 4) &amp; "_" &amp; TEXT(COUNTIF($C$2:C2305, C2305),"0000")</f>
        <v>Prop_2304</v>
      </c>
      <c r="C2305" s="24" t="s">
        <v>872</v>
      </c>
      <c r="D2305" s="69" t="s">
        <v>9453</v>
      </c>
      <c r="E2305" s="70" t="s">
        <v>9454</v>
      </c>
      <c r="F2305" s="17" t="s">
        <v>806</v>
      </c>
      <c r="G2305" s="22" t="s">
        <v>1625</v>
      </c>
      <c r="H2305" s="12" t="s">
        <v>9703</v>
      </c>
      <c r="I2305" s="13" t="s">
        <v>6368</v>
      </c>
      <c r="J2305" s="14" t="s">
        <v>798</v>
      </c>
      <c r="K2305" s="15" t="s">
        <v>798</v>
      </c>
      <c r="L2305" s="12" t="s">
        <v>5315</v>
      </c>
      <c r="M2305" s="13" t="s">
        <v>5834</v>
      </c>
      <c r="N2305" s="12" t="s">
        <v>803</v>
      </c>
      <c r="O2305" s="13" t="s">
        <v>4976</v>
      </c>
      <c r="P2305" s="17" t="s">
        <v>802</v>
      </c>
      <c r="Q2305" s="21" t="s">
        <v>7883</v>
      </c>
      <c r="R2305" s="17" t="s">
        <v>801</v>
      </c>
      <c r="S2305" s="18" t="s">
        <v>3636</v>
      </c>
      <c r="T2305" s="17" t="s">
        <v>800</v>
      </c>
      <c r="U2305" s="18" t="s">
        <v>5257</v>
      </c>
      <c r="V2305" s="17" t="s">
        <v>9418</v>
      </c>
      <c r="W2305" s="18" t="s">
        <v>5314</v>
      </c>
      <c r="X2305" s="69" t="s">
        <v>9453</v>
      </c>
      <c r="Y2305" s="70" t="s">
        <v>9464</v>
      </c>
      <c r="Z2305" s="73" t="s">
        <v>9486</v>
      </c>
      <c r="AA2305" s="74" t="s">
        <v>9504</v>
      </c>
      <c r="AB2305" s="73" t="s">
        <v>9486</v>
      </c>
      <c r="AC2305" s="74" t="s">
        <v>9561</v>
      </c>
      <c r="AD2305" s="73" t="s">
        <v>9578</v>
      </c>
      <c r="AE2305" s="74" t="s">
        <v>9579</v>
      </c>
    </row>
    <row r="2306" spans="1:31" ht="8.65" customHeight="1" x14ac:dyDescent="0.2">
      <c r="A2306" s="76">
        <v>2306</v>
      </c>
      <c r="B2306" s="67" t="str">
        <f>MID(C2306, FIND("Ifc.", C2306) + 4, 4) &amp; "_" &amp; TEXT(COUNTIF($C$2:C2306, C2306),"0000")</f>
        <v>Prop_2305</v>
      </c>
      <c r="C2306" s="24" t="s">
        <v>872</v>
      </c>
      <c r="D2306" s="69" t="s">
        <v>9453</v>
      </c>
      <c r="E2306" s="70" t="s">
        <v>9454</v>
      </c>
      <c r="F2306" s="17" t="s">
        <v>806</v>
      </c>
      <c r="G2306" s="22" t="s">
        <v>1774</v>
      </c>
      <c r="H2306" s="12" t="s">
        <v>9703</v>
      </c>
      <c r="I2306" s="13" t="s">
        <v>6479</v>
      </c>
      <c r="J2306" s="14" t="s">
        <v>798</v>
      </c>
      <c r="K2306" s="15" t="s">
        <v>798</v>
      </c>
      <c r="L2306" s="12" t="s">
        <v>5315</v>
      </c>
      <c r="M2306" s="13" t="s">
        <v>5453</v>
      </c>
      <c r="N2306" s="12" t="s">
        <v>803</v>
      </c>
      <c r="O2306" s="13" t="s">
        <v>5015</v>
      </c>
      <c r="P2306" s="17" t="s">
        <v>802</v>
      </c>
      <c r="Q2306" s="21" t="s">
        <v>7712</v>
      </c>
      <c r="R2306" s="17" t="s">
        <v>801</v>
      </c>
      <c r="S2306" s="18" t="s">
        <v>2625</v>
      </c>
      <c r="T2306" s="17" t="s">
        <v>800</v>
      </c>
      <c r="U2306" s="18" t="s">
        <v>5240</v>
      </c>
      <c r="V2306" s="17" t="s">
        <v>9418</v>
      </c>
      <c r="W2306" s="18" t="s">
        <v>5309</v>
      </c>
      <c r="X2306" s="69" t="s">
        <v>9453</v>
      </c>
      <c r="Y2306" s="70" t="s">
        <v>9462</v>
      </c>
      <c r="Z2306" s="73" t="s">
        <v>9486</v>
      </c>
      <c r="AA2306" s="74" t="s">
        <v>9504</v>
      </c>
      <c r="AB2306" s="73" t="s">
        <v>9486</v>
      </c>
      <c r="AC2306" s="74" t="s">
        <v>9566</v>
      </c>
      <c r="AD2306" s="73" t="s">
        <v>9578</v>
      </c>
      <c r="AE2306" s="74" t="s">
        <v>9579</v>
      </c>
    </row>
    <row r="2307" spans="1:31" ht="8.65" customHeight="1" x14ac:dyDescent="0.2">
      <c r="A2307" s="76">
        <v>2307</v>
      </c>
      <c r="B2307" s="67" t="str">
        <f>MID(C2307, FIND("Ifc.", C2307) + 4, 4) &amp; "_" &amp; TEXT(COUNTIF($C$2:C2307, C2307),"0000")</f>
        <v>Prop_2306</v>
      </c>
      <c r="C2307" s="24" t="s">
        <v>872</v>
      </c>
      <c r="D2307" s="69" t="s">
        <v>9453</v>
      </c>
      <c r="E2307" s="70" t="s">
        <v>9454</v>
      </c>
      <c r="F2307" s="17" t="s">
        <v>806</v>
      </c>
      <c r="G2307" s="22" t="s">
        <v>2518</v>
      </c>
      <c r="H2307" s="12" t="s">
        <v>9703</v>
      </c>
      <c r="I2307" s="13" t="s">
        <v>7241</v>
      </c>
      <c r="J2307" s="14" t="s">
        <v>798</v>
      </c>
      <c r="K2307" s="15" t="s">
        <v>798</v>
      </c>
      <c r="L2307" s="12" t="s">
        <v>5315</v>
      </c>
      <c r="M2307" s="13" t="s">
        <v>5578</v>
      </c>
      <c r="N2307" s="12" t="s">
        <v>803</v>
      </c>
      <c r="O2307" s="13" t="s">
        <v>5224</v>
      </c>
      <c r="P2307" s="17" t="s">
        <v>802</v>
      </c>
      <c r="Q2307" s="21" t="s">
        <v>7677</v>
      </c>
      <c r="R2307" s="17" t="s">
        <v>801</v>
      </c>
      <c r="S2307" s="18" t="s">
        <v>2624</v>
      </c>
      <c r="T2307" s="17" t="s">
        <v>800</v>
      </c>
      <c r="U2307" s="18" t="s">
        <v>5243</v>
      </c>
      <c r="V2307" s="17" t="s">
        <v>9418</v>
      </c>
      <c r="W2307" s="18" t="s">
        <v>5309</v>
      </c>
      <c r="X2307" s="69" t="s">
        <v>9453</v>
      </c>
      <c r="Y2307" s="70" t="s">
        <v>9462</v>
      </c>
      <c r="Z2307" s="73" t="s">
        <v>9486</v>
      </c>
      <c r="AA2307" s="74" t="s">
        <v>9504</v>
      </c>
      <c r="AB2307" s="73" t="s">
        <v>9486</v>
      </c>
      <c r="AC2307" s="74" t="s">
        <v>9566</v>
      </c>
      <c r="AD2307" s="73" t="s">
        <v>9578</v>
      </c>
      <c r="AE2307" s="74" t="s">
        <v>9579</v>
      </c>
    </row>
    <row r="2308" spans="1:31" ht="8.65" customHeight="1" x14ac:dyDescent="0.2">
      <c r="A2308" s="76">
        <v>2308</v>
      </c>
      <c r="B2308" s="67" t="str">
        <f>MID(C2308, FIND("Ifc.", C2308) + 4, 4) &amp; "_" &amp; TEXT(COUNTIF($C$2:C2308, C2308),"0000")</f>
        <v>Prop_2307</v>
      </c>
      <c r="C2308" s="24" t="s">
        <v>872</v>
      </c>
      <c r="D2308" s="69" t="s">
        <v>9453</v>
      </c>
      <c r="E2308" s="70" t="s">
        <v>9454</v>
      </c>
      <c r="F2308" s="17" t="s">
        <v>806</v>
      </c>
      <c r="G2308" s="22" t="s">
        <v>1316</v>
      </c>
      <c r="H2308" s="12" t="s">
        <v>9703</v>
      </c>
      <c r="I2308" s="13" t="s">
        <v>7239</v>
      </c>
      <c r="J2308" s="14" t="s">
        <v>798</v>
      </c>
      <c r="K2308" s="15" t="s">
        <v>798</v>
      </c>
      <c r="L2308" s="12" t="s">
        <v>5315</v>
      </c>
      <c r="M2308" s="13" t="s">
        <v>5409</v>
      </c>
      <c r="N2308" s="12" t="s">
        <v>803</v>
      </c>
      <c r="O2308" s="13" t="s">
        <v>4907</v>
      </c>
      <c r="P2308" s="17" t="s">
        <v>802</v>
      </c>
      <c r="Q2308" s="21" t="s">
        <v>7769</v>
      </c>
      <c r="R2308" s="17" t="s">
        <v>801</v>
      </c>
      <c r="S2308" s="18" t="s">
        <v>2625</v>
      </c>
      <c r="T2308" s="17" t="s">
        <v>800</v>
      </c>
      <c r="U2308" s="18" t="s">
        <v>5240</v>
      </c>
      <c r="V2308" s="17" t="s">
        <v>9418</v>
      </c>
      <c r="W2308" s="18" t="s">
        <v>5309</v>
      </c>
      <c r="X2308" s="69" t="s">
        <v>9453</v>
      </c>
      <c r="Y2308" s="70" t="s">
        <v>9462</v>
      </c>
      <c r="Z2308" s="73" t="s">
        <v>9486</v>
      </c>
      <c r="AA2308" s="74" t="s">
        <v>9504</v>
      </c>
      <c r="AB2308" s="73" t="s">
        <v>9486</v>
      </c>
      <c r="AC2308" s="74" t="s">
        <v>9566</v>
      </c>
      <c r="AD2308" s="73" t="s">
        <v>9578</v>
      </c>
      <c r="AE2308" s="74" t="s">
        <v>9579</v>
      </c>
    </row>
    <row r="2309" spans="1:31" ht="8.65" customHeight="1" x14ac:dyDescent="0.2">
      <c r="A2309" s="76">
        <v>2309</v>
      </c>
      <c r="B2309" s="67" t="str">
        <f>MID(C2309, FIND("Ifc.", C2309) + 4, 4) &amp; "_" &amp; TEXT(COUNTIF($C$2:C2309, C2309),"0000")</f>
        <v>Prop_2308</v>
      </c>
      <c r="C2309" s="24" t="s">
        <v>872</v>
      </c>
      <c r="D2309" s="69" t="s">
        <v>9453</v>
      </c>
      <c r="E2309" s="70" t="s">
        <v>9454</v>
      </c>
      <c r="F2309" s="17" t="s">
        <v>806</v>
      </c>
      <c r="G2309" s="22" t="s">
        <v>1316</v>
      </c>
      <c r="H2309" s="12" t="s">
        <v>9703</v>
      </c>
      <c r="I2309" s="13" t="s">
        <v>7239</v>
      </c>
      <c r="J2309" s="14" t="s">
        <v>798</v>
      </c>
      <c r="K2309" s="15" t="s">
        <v>798</v>
      </c>
      <c r="L2309" s="12" t="s">
        <v>5315</v>
      </c>
      <c r="M2309" s="13" t="s">
        <v>5578</v>
      </c>
      <c r="N2309" s="12" t="s">
        <v>803</v>
      </c>
      <c r="O2309" s="13" t="s">
        <v>5224</v>
      </c>
      <c r="P2309" s="17" t="s">
        <v>802</v>
      </c>
      <c r="Q2309" s="21" t="s">
        <v>7677</v>
      </c>
      <c r="R2309" s="17" t="s">
        <v>801</v>
      </c>
      <c r="S2309" s="18" t="s">
        <v>2624</v>
      </c>
      <c r="T2309" s="17" t="s">
        <v>800</v>
      </c>
      <c r="U2309" s="18" t="s">
        <v>5243</v>
      </c>
      <c r="V2309" s="17" t="s">
        <v>9418</v>
      </c>
      <c r="W2309" s="18" t="s">
        <v>5309</v>
      </c>
      <c r="X2309" s="69" t="s">
        <v>9453</v>
      </c>
      <c r="Y2309" s="70" t="s">
        <v>9462</v>
      </c>
      <c r="Z2309" s="73" t="s">
        <v>9486</v>
      </c>
      <c r="AA2309" s="74" t="s">
        <v>9504</v>
      </c>
      <c r="AB2309" s="73" t="s">
        <v>9486</v>
      </c>
      <c r="AC2309" s="74" t="s">
        <v>9566</v>
      </c>
      <c r="AD2309" s="73" t="s">
        <v>9578</v>
      </c>
      <c r="AE2309" s="74" t="s">
        <v>9579</v>
      </c>
    </row>
    <row r="2310" spans="1:31" ht="8.65" customHeight="1" x14ac:dyDescent="0.2">
      <c r="A2310" s="76">
        <v>2310</v>
      </c>
      <c r="B2310" s="67" t="str">
        <f>MID(C2310, FIND("Ifc.", C2310) + 4, 4) &amp; "_" &amp; TEXT(COUNTIF($C$2:C2310, C2310),"0000")</f>
        <v>Prop_2309</v>
      </c>
      <c r="C2310" s="24" t="s">
        <v>872</v>
      </c>
      <c r="D2310" s="69" t="s">
        <v>9453</v>
      </c>
      <c r="E2310" s="70" t="s">
        <v>9454</v>
      </c>
      <c r="F2310" s="17" t="s">
        <v>806</v>
      </c>
      <c r="G2310" s="22" t="s">
        <v>1314</v>
      </c>
      <c r="H2310" s="12" t="s">
        <v>9703</v>
      </c>
      <c r="I2310" s="13" t="s">
        <v>7237</v>
      </c>
      <c r="J2310" s="14" t="s">
        <v>798</v>
      </c>
      <c r="K2310" s="15" t="s">
        <v>798</v>
      </c>
      <c r="L2310" s="12" t="s">
        <v>5315</v>
      </c>
      <c r="M2310" s="13" t="s">
        <v>5409</v>
      </c>
      <c r="N2310" s="12" t="s">
        <v>803</v>
      </c>
      <c r="O2310" s="13" t="s">
        <v>4907</v>
      </c>
      <c r="P2310" s="17" t="s">
        <v>802</v>
      </c>
      <c r="Q2310" s="21" t="s">
        <v>7769</v>
      </c>
      <c r="R2310" s="17" t="s">
        <v>801</v>
      </c>
      <c r="S2310" s="18" t="s">
        <v>2625</v>
      </c>
      <c r="T2310" s="17" t="s">
        <v>800</v>
      </c>
      <c r="U2310" s="18" t="s">
        <v>5240</v>
      </c>
      <c r="V2310" s="17" t="s">
        <v>9418</v>
      </c>
      <c r="W2310" s="18" t="s">
        <v>5309</v>
      </c>
      <c r="X2310" s="69" t="s">
        <v>9453</v>
      </c>
      <c r="Y2310" s="70" t="s">
        <v>9462</v>
      </c>
      <c r="Z2310" s="73" t="s">
        <v>9486</v>
      </c>
      <c r="AA2310" s="74" t="s">
        <v>9504</v>
      </c>
      <c r="AB2310" s="73" t="s">
        <v>9486</v>
      </c>
      <c r="AC2310" s="74" t="s">
        <v>9566</v>
      </c>
      <c r="AD2310" s="73" t="s">
        <v>9578</v>
      </c>
      <c r="AE2310" s="74" t="s">
        <v>9579</v>
      </c>
    </row>
    <row r="2311" spans="1:31" ht="8.65" customHeight="1" x14ac:dyDescent="0.2">
      <c r="A2311" s="76">
        <v>2311</v>
      </c>
      <c r="B2311" s="67" t="str">
        <f>MID(C2311, FIND("Ifc.", C2311) + 4, 4) &amp; "_" &amp; TEXT(COUNTIF($C$2:C2311, C2311),"0000")</f>
        <v>Prop_2310</v>
      </c>
      <c r="C2311" s="24" t="s">
        <v>872</v>
      </c>
      <c r="D2311" s="69" t="s">
        <v>9453</v>
      </c>
      <c r="E2311" s="70" t="s">
        <v>9454</v>
      </c>
      <c r="F2311" s="17" t="s">
        <v>806</v>
      </c>
      <c r="G2311" s="22" t="s">
        <v>1314</v>
      </c>
      <c r="H2311" s="12" t="s">
        <v>9703</v>
      </c>
      <c r="I2311" s="13" t="s">
        <v>7237</v>
      </c>
      <c r="J2311" s="14" t="s">
        <v>798</v>
      </c>
      <c r="K2311" s="15" t="s">
        <v>798</v>
      </c>
      <c r="L2311" s="12" t="s">
        <v>5315</v>
      </c>
      <c r="M2311" s="13" t="s">
        <v>5856</v>
      </c>
      <c r="N2311" s="12" t="s">
        <v>803</v>
      </c>
      <c r="O2311" s="13" t="s">
        <v>5100</v>
      </c>
      <c r="P2311" s="17" t="s">
        <v>802</v>
      </c>
      <c r="Q2311" s="21" t="s">
        <v>7960</v>
      </c>
      <c r="R2311" s="17" t="s">
        <v>801</v>
      </c>
      <c r="S2311" s="18" t="s">
        <v>2625</v>
      </c>
      <c r="T2311" s="17" t="s">
        <v>800</v>
      </c>
      <c r="U2311" s="18" t="s">
        <v>5240</v>
      </c>
      <c r="V2311" s="17" t="s">
        <v>9418</v>
      </c>
      <c r="W2311" s="18" t="s">
        <v>5309</v>
      </c>
      <c r="X2311" s="69" t="s">
        <v>9453</v>
      </c>
      <c r="Y2311" s="70" t="s">
        <v>9462</v>
      </c>
      <c r="Z2311" s="73" t="s">
        <v>9486</v>
      </c>
      <c r="AA2311" s="74" t="s">
        <v>9504</v>
      </c>
      <c r="AB2311" s="73" t="s">
        <v>9486</v>
      </c>
      <c r="AC2311" s="74" t="s">
        <v>9566</v>
      </c>
      <c r="AD2311" s="73" t="s">
        <v>9578</v>
      </c>
      <c r="AE2311" s="74" t="s">
        <v>9579</v>
      </c>
    </row>
    <row r="2312" spans="1:31" ht="8.65" customHeight="1" x14ac:dyDescent="0.2">
      <c r="A2312" s="76">
        <v>2312</v>
      </c>
      <c r="B2312" s="67" t="str">
        <f>MID(C2312, FIND("Ifc.", C2312) + 4, 4) &amp; "_" &amp; TEXT(COUNTIF($C$2:C2312, C2312),"0000")</f>
        <v>Prop_2311</v>
      </c>
      <c r="C2312" s="24" t="s">
        <v>872</v>
      </c>
      <c r="D2312" s="69" t="s">
        <v>9453</v>
      </c>
      <c r="E2312" s="70" t="s">
        <v>9454</v>
      </c>
      <c r="F2312" s="17" t="s">
        <v>806</v>
      </c>
      <c r="G2312" s="22" t="s">
        <v>1314</v>
      </c>
      <c r="H2312" s="12" t="s">
        <v>9703</v>
      </c>
      <c r="I2312" s="13" t="s">
        <v>7237</v>
      </c>
      <c r="J2312" s="14" t="s">
        <v>798</v>
      </c>
      <c r="K2312" s="15" t="s">
        <v>798</v>
      </c>
      <c r="L2312" s="12" t="s">
        <v>5315</v>
      </c>
      <c r="M2312" s="13" t="s">
        <v>5578</v>
      </c>
      <c r="N2312" s="12" t="s">
        <v>803</v>
      </c>
      <c r="O2312" s="13" t="s">
        <v>5224</v>
      </c>
      <c r="P2312" s="17" t="s">
        <v>802</v>
      </c>
      <c r="Q2312" s="21" t="s">
        <v>7677</v>
      </c>
      <c r="R2312" s="17" t="s">
        <v>801</v>
      </c>
      <c r="S2312" s="18" t="s">
        <v>2624</v>
      </c>
      <c r="T2312" s="17" t="s">
        <v>800</v>
      </c>
      <c r="U2312" s="18" t="s">
        <v>5243</v>
      </c>
      <c r="V2312" s="17" t="s">
        <v>9418</v>
      </c>
      <c r="W2312" s="18" t="s">
        <v>5309</v>
      </c>
      <c r="X2312" s="69" t="s">
        <v>9453</v>
      </c>
      <c r="Y2312" s="70" t="s">
        <v>9462</v>
      </c>
      <c r="Z2312" s="73" t="s">
        <v>9486</v>
      </c>
      <c r="AA2312" s="74" t="s">
        <v>9504</v>
      </c>
      <c r="AB2312" s="73" t="s">
        <v>9486</v>
      </c>
      <c r="AC2312" s="74" t="s">
        <v>9566</v>
      </c>
      <c r="AD2312" s="73" t="s">
        <v>9578</v>
      </c>
      <c r="AE2312" s="74" t="s">
        <v>9579</v>
      </c>
    </row>
    <row r="2313" spans="1:31" ht="8.65" customHeight="1" x14ac:dyDescent="0.2">
      <c r="A2313" s="76">
        <v>2313</v>
      </c>
      <c r="B2313" s="67" t="str">
        <f>MID(C2313, FIND("Ifc.", C2313) + 4, 4) &amp; "_" &amp; TEXT(COUNTIF($C$2:C2313, C2313),"0000")</f>
        <v>Prop_2312</v>
      </c>
      <c r="C2313" s="24" t="s">
        <v>872</v>
      </c>
      <c r="D2313" s="69" t="s">
        <v>9453</v>
      </c>
      <c r="E2313" s="70" t="s">
        <v>9454</v>
      </c>
      <c r="F2313" s="17" t="s">
        <v>806</v>
      </c>
      <c r="G2313" s="22" t="s">
        <v>2520</v>
      </c>
      <c r="H2313" s="12" t="s">
        <v>9703</v>
      </c>
      <c r="I2313" s="13" t="s">
        <v>7641</v>
      </c>
      <c r="J2313" s="14" t="s">
        <v>798</v>
      </c>
      <c r="K2313" s="15" t="s">
        <v>798</v>
      </c>
      <c r="L2313" s="12" t="s">
        <v>5315</v>
      </c>
      <c r="M2313" s="13" t="s">
        <v>5578</v>
      </c>
      <c r="N2313" s="12" t="s">
        <v>803</v>
      </c>
      <c r="O2313" s="13" t="s">
        <v>5224</v>
      </c>
      <c r="P2313" s="17" t="s">
        <v>802</v>
      </c>
      <c r="Q2313" s="21" t="s">
        <v>7677</v>
      </c>
      <c r="R2313" s="17" t="s">
        <v>801</v>
      </c>
      <c r="S2313" s="18" t="s">
        <v>2635</v>
      </c>
      <c r="T2313" s="17" t="s">
        <v>800</v>
      </c>
      <c r="U2313" s="18" t="s">
        <v>5235</v>
      </c>
      <c r="V2313" s="17" t="s">
        <v>9418</v>
      </c>
      <c r="W2313" s="18" t="s">
        <v>5309</v>
      </c>
      <c r="X2313" s="69" t="s">
        <v>9453</v>
      </c>
      <c r="Y2313" s="70" t="s">
        <v>9462</v>
      </c>
      <c r="Z2313" s="73" t="s">
        <v>9486</v>
      </c>
      <c r="AA2313" s="74" t="s">
        <v>9504</v>
      </c>
      <c r="AB2313" s="73" t="s">
        <v>9486</v>
      </c>
      <c r="AC2313" s="74" t="s">
        <v>9566</v>
      </c>
      <c r="AD2313" s="73" t="s">
        <v>9578</v>
      </c>
      <c r="AE2313" s="74" t="s">
        <v>9579</v>
      </c>
    </row>
    <row r="2314" spans="1:31" ht="8.65" customHeight="1" x14ac:dyDescent="0.2">
      <c r="A2314" s="76">
        <v>2314</v>
      </c>
      <c r="B2314" s="67" t="str">
        <f>MID(C2314, FIND("Ifc.", C2314) + 4, 4) &amp; "_" &amp; TEXT(COUNTIF($C$2:C2314, C2314),"0000")</f>
        <v>Prop_2313</v>
      </c>
      <c r="C2314" s="24" t="s">
        <v>872</v>
      </c>
      <c r="D2314" s="69" t="s">
        <v>9453</v>
      </c>
      <c r="E2314" s="70" t="s">
        <v>9454</v>
      </c>
      <c r="F2314" s="17" t="s">
        <v>806</v>
      </c>
      <c r="G2314" s="22" t="s">
        <v>2519</v>
      </c>
      <c r="H2314" s="12" t="s">
        <v>9703</v>
      </c>
      <c r="I2314" s="13" t="s">
        <v>7640</v>
      </c>
      <c r="J2314" s="14" t="s">
        <v>798</v>
      </c>
      <c r="K2314" s="15" t="s">
        <v>798</v>
      </c>
      <c r="L2314" s="12" t="s">
        <v>5315</v>
      </c>
      <c r="M2314" s="13" t="s">
        <v>5578</v>
      </c>
      <c r="N2314" s="12" t="s">
        <v>803</v>
      </c>
      <c r="O2314" s="13" t="s">
        <v>5224</v>
      </c>
      <c r="P2314" s="17" t="s">
        <v>802</v>
      </c>
      <c r="Q2314" s="21" t="s">
        <v>7677</v>
      </c>
      <c r="R2314" s="17" t="s">
        <v>801</v>
      </c>
      <c r="S2314" s="18" t="s">
        <v>2635</v>
      </c>
      <c r="T2314" s="17" t="s">
        <v>800</v>
      </c>
      <c r="U2314" s="18" t="s">
        <v>5235</v>
      </c>
      <c r="V2314" s="17" t="s">
        <v>9418</v>
      </c>
      <c r="W2314" s="18" t="s">
        <v>5309</v>
      </c>
      <c r="X2314" s="69" t="s">
        <v>9453</v>
      </c>
      <c r="Y2314" s="70" t="s">
        <v>9462</v>
      </c>
      <c r="Z2314" s="73" t="s">
        <v>9486</v>
      </c>
      <c r="AA2314" s="74" t="s">
        <v>9504</v>
      </c>
      <c r="AB2314" s="73" t="s">
        <v>9486</v>
      </c>
      <c r="AC2314" s="74" t="s">
        <v>9566</v>
      </c>
      <c r="AD2314" s="73" t="s">
        <v>9578</v>
      </c>
      <c r="AE2314" s="74" t="s">
        <v>9579</v>
      </c>
    </row>
    <row r="2315" spans="1:31" ht="8.65" customHeight="1" x14ac:dyDescent="0.2">
      <c r="A2315" s="76">
        <v>2315</v>
      </c>
      <c r="B2315" s="67" t="str">
        <f>MID(C2315, FIND("Ifc.", C2315) + 4, 4) &amp; "_" &amp; TEXT(COUNTIF($C$2:C2315, C2315),"0000")</f>
        <v>Prop_2314</v>
      </c>
      <c r="C2315" s="24" t="s">
        <v>872</v>
      </c>
      <c r="D2315" s="69" t="s">
        <v>9453</v>
      </c>
      <c r="E2315" s="70" t="s">
        <v>9454</v>
      </c>
      <c r="F2315" s="17" t="s">
        <v>806</v>
      </c>
      <c r="G2315" s="22" t="s">
        <v>2108</v>
      </c>
      <c r="H2315" s="12" t="s">
        <v>9703</v>
      </c>
      <c r="I2315" s="13" t="s">
        <v>7240</v>
      </c>
      <c r="J2315" s="14" t="s">
        <v>798</v>
      </c>
      <c r="K2315" s="15" t="s">
        <v>798</v>
      </c>
      <c r="L2315" s="12" t="s">
        <v>5315</v>
      </c>
      <c r="M2315" s="13" t="s">
        <v>5856</v>
      </c>
      <c r="N2315" s="12" t="s">
        <v>803</v>
      </c>
      <c r="O2315" s="13" t="s">
        <v>5100</v>
      </c>
      <c r="P2315" s="17" t="s">
        <v>802</v>
      </c>
      <c r="Q2315" s="21" t="s">
        <v>7960</v>
      </c>
      <c r="R2315" s="17" t="s">
        <v>801</v>
      </c>
      <c r="S2315" s="18" t="s">
        <v>2625</v>
      </c>
      <c r="T2315" s="17" t="s">
        <v>800</v>
      </c>
      <c r="U2315" s="18" t="s">
        <v>5240</v>
      </c>
      <c r="V2315" s="17" t="s">
        <v>9418</v>
      </c>
      <c r="W2315" s="18" t="s">
        <v>5309</v>
      </c>
      <c r="X2315" s="69" t="s">
        <v>9453</v>
      </c>
      <c r="Y2315" s="70" t="s">
        <v>9462</v>
      </c>
      <c r="Z2315" s="73" t="s">
        <v>9486</v>
      </c>
      <c r="AA2315" s="74" t="s">
        <v>9504</v>
      </c>
      <c r="AB2315" s="73" t="s">
        <v>9486</v>
      </c>
      <c r="AC2315" s="74" t="s">
        <v>9566</v>
      </c>
      <c r="AD2315" s="73" t="s">
        <v>9578</v>
      </c>
      <c r="AE2315" s="74" t="s">
        <v>9579</v>
      </c>
    </row>
    <row r="2316" spans="1:31" ht="8.65" customHeight="1" x14ac:dyDescent="0.2">
      <c r="A2316" s="76">
        <v>2316</v>
      </c>
      <c r="B2316" s="67" t="str">
        <f>MID(C2316, FIND("Ifc.", C2316) + 4, 4) &amp; "_" &amp; TEXT(COUNTIF($C$2:C2316, C2316),"0000")</f>
        <v>Prop_2315</v>
      </c>
      <c r="C2316" s="24" t="s">
        <v>872</v>
      </c>
      <c r="D2316" s="69" t="s">
        <v>9453</v>
      </c>
      <c r="E2316" s="70" t="s">
        <v>9454</v>
      </c>
      <c r="F2316" s="17" t="s">
        <v>806</v>
      </c>
      <c r="G2316" s="22" t="s">
        <v>910</v>
      </c>
      <c r="H2316" s="12" t="s">
        <v>9703</v>
      </c>
      <c r="I2316" s="13" t="s">
        <v>7159</v>
      </c>
      <c r="J2316" s="14" t="s">
        <v>798</v>
      </c>
      <c r="K2316" s="15" t="s">
        <v>798</v>
      </c>
      <c r="L2316" s="12" t="s">
        <v>5315</v>
      </c>
      <c r="M2316" s="13" t="s">
        <v>6039</v>
      </c>
      <c r="N2316" s="12" t="s">
        <v>803</v>
      </c>
      <c r="O2316" s="13" t="s">
        <v>4860</v>
      </c>
      <c r="P2316" s="17" t="s">
        <v>802</v>
      </c>
      <c r="Q2316" s="21" t="s">
        <v>7802</v>
      </c>
      <c r="R2316" s="17" t="s">
        <v>801</v>
      </c>
      <c r="S2316" s="18" t="s">
        <v>2635</v>
      </c>
      <c r="T2316" s="17" t="s">
        <v>800</v>
      </c>
      <c r="U2316" s="18" t="s">
        <v>5235</v>
      </c>
      <c r="V2316" s="17" t="s">
        <v>9418</v>
      </c>
      <c r="W2316" s="18" t="s">
        <v>5309</v>
      </c>
      <c r="X2316" s="69" t="s">
        <v>9453</v>
      </c>
      <c r="Y2316" s="70" t="s">
        <v>9462</v>
      </c>
      <c r="Z2316" s="73" t="s">
        <v>9486</v>
      </c>
      <c r="AA2316" s="74" t="s">
        <v>9504</v>
      </c>
      <c r="AB2316" s="73" t="s">
        <v>9486</v>
      </c>
      <c r="AC2316" s="74" t="s">
        <v>9566</v>
      </c>
      <c r="AD2316" s="73" t="s">
        <v>9578</v>
      </c>
      <c r="AE2316" s="74" t="s">
        <v>9579</v>
      </c>
    </row>
    <row r="2317" spans="1:31" ht="8.65" customHeight="1" x14ac:dyDescent="0.2">
      <c r="A2317" s="76">
        <v>2317</v>
      </c>
      <c r="B2317" s="67" t="str">
        <f>MID(C2317, FIND("Ifc.", C2317) + 4, 4) &amp; "_" &amp; TEXT(COUNTIF($C$2:C2317, C2317),"0000")</f>
        <v>Prop_2316</v>
      </c>
      <c r="C2317" s="24" t="s">
        <v>872</v>
      </c>
      <c r="D2317" s="69" t="s">
        <v>9453</v>
      </c>
      <c r="E2317" s="70" t="s">
        <v>9454</v>
      </c>
      <c r="F2317" s="17" t="s">
        <v>806</v>
      </c>
      <c r="G2317" s="22" t="s">
        <v>910</v>
      </c>
      <c r="H2317" s="12" t="s">
        <v>9703</v>
      </c>
      <c r="I2317" s="13" t="s">
        <v>7167</v>
      </c>
      <c r="J2317" s="14" t="s">
        <v>798</v>
      </c>
      <c r="K2317" s="15" t="s">
        <v>798</v>
      </c>
      <c r="L2317" s="12" t="s">
        <v>5315</v>
      </c>
      <c r="M2317" s="13" t="s">
        <v>6040</v>
      </c>
      <c r="N2317" s="12" t="s">
        <v>803</v>
      </c>
      <c r="O2317" s="13" t="s">
        <v>4861</v>
      </c>
      <c r="P2317" s="17" t="s">
        <v>802</v>
      </c>
      <c r="Q2317" s="21" t="s">
        <v>7803</v>
      </c>
      <c r="R2317" s="17" t="s">
        <v>801</v>
      </c>
      <c r="S2317" s="18" t="s">
        <v>2635</v>
      </c>
      <c r="T2317" s="17" t="s">
        <v>800</v>
      </c>
      <c r="U2317" s="18" t="s">
        <v>5235</v>
      </c>
      <c r="V2317" s="17" t="s">
        <v>9418</v>
      </c>
      <c r="W2317" s="18" t="s">
        <v>5309</v>
      </c>
      <c r="X2317" s="69" t="s">
        <v>9453</v>
      </c>
      <c r="Y2317" s="70" t="s">
        <v>9462</v>
      </c>
      <c r="Z2317" s="73" t="s">
        <v>9486</v>
      </c>
      <c r="AA2317" s="74" t="s">
        <v>9504</v>
      </c>
      <c r="AB2317" s="73" t="s">
        <v>9486</v>
      </c>
      <c r="AC2317" s="74" t="s">
        <v>9566</v>
      </c>
      <c r="AD2317" s="73" t="s">
        <v>9578</v>
      </c>
      <c r="AE2317" s="74" t="s">
        <v>9579</v>
      </c>
    </row>
    <row r="2318" spans="1:31" ht="8.65" customHeight="1" x14ac:dyDescent="0.2">
      <c r="A2318" s="76">
        <v>2318</v>
      </c>
      <c r="B2318" s="67" t="str">
        <f>MID(C2318, FIND("Ifc.", C2318) + 4, 4) &amp; "_" &amp; TEXT(COUNTIF($C$2:C2318, C2318),"0000")</f>
        <v>Prop_2317</v>
      </c>
      <c r="C2318" s="24" t="s">
        <v>872</v>
      </c>
      <c r="D2318" s="69" t="s">
        <v>9453</v>
      </c>
      <c r="E2318" s="70" t="s">
        <v>9454</v>
      </c>
      <c r="F2318" s="17" t="s">
        <v>806</v>
      </c>
      <c r="G2318" s="22" t="s">
        <v>910</v>
      </c>
      <c r="H2318" s="12" t="s">
        <v>9703</v>
      </c>
      <c r="I2318" s="13" t="s">
        <v>7167</v>
      </c>
      <c r="J2318" s="14" t="s">
        <v>798</v>
      </c>
      <c r="K2318" s="15" t="s">
        <v>798</v>
      </c>
      <c r="L2318" s="12" t="s">
        <v>5315</v>
      </c>
      <c r="M2318" s="13" t="s">
        <v>5409</v>
      </c>
      <c r="N2318" s="12" t="s">
        <v>803</v>
      </c>
      <c r="O2318" s="13" t="s">
        <v>4907</v>
      </c>
      <c r="P2318" s="17" t="s">
        <v>802</v>
      </c>
      <c r="Q2318" s="21" t="s">
        <v>7769</v>
      </c>
      <c r="R2318" s="17" t="s">
        <v>801</v>
      </c>
      <c r="S2318" s="18" t="s">
        <v>2635</v>
      </c>
      <c r="T2318" s="17" t="s">
        <v>800</v>
      </c>
      <c r="U2318" s="18" t="s">
        <v>5235</v>
      </c>
      <c r="V2318" s="17" t="s">
        <v>9418</v>
      </c>
      <c r="W2318" s="18" t="s">
        <v>5309</v>
      </c>
      <c r="X2318" s="69" t="s">
        <v>9453</v>
      </c>
      <c r="Y2318" s="70" t="s">
        <v>9462</v>
      </c>
      <c r="Z2318" s="73" t="s">
        <v>9486</v>
      </c>
      <c r="AA2318" s="74" t="s">
        <v>9504</v>
      </c>
      <c r="AB2318" s="73" t="s">
        <v>9486</v>
      </c>
      <c r="AC2318" s="74" t="s">
        <v>9566</v>
      </c>
      <c r="AD2318" s="73" t="s">
        <v>9578</v>
      </c>
      <c r="AE2318" s="74" t="s">
        <v>9579</v>
      </c>
    </row>
    <row r="2319" spans="1:31" ht="8.65" customHeight="1" x14ac:dyDescent="0.2">
      <c r="A2319" s="76">
        <v>2319</v>
      </c>
      <c r="B2319" s="67" t="str">
        <f>MID(C2319, FIND("Ifc.", C2319) + 4, 4) &amp; "_" &amp; TEXT(COUNTIF($C$2:C2319, C2319),"0000")</f>
        <v>Prop_2318</v>
      </c>
      <c r="C2319" s="24" t="s">
        <v>872</v>
      </c>
      <c r="D2319" s="69" t="s">
        <v>9453</v>
      </c>
      <c r="E2319" s="70" t="s">
        <v>9454</v>
      </c>
      <c r="F2319" s="17" t="s">
        <v>806</v>
      </c>
      <c r="G2319" s="22" t="s">
        <v>910</v>
      </c>
      <c r="H2319" s="12" t="s">
        <v>9703</v>
      </c>
      <c r="I2319" s="13" t="s">
        <v>7167</v>
      </c>
      <c r="J2319" s="14" t="s">
        <v>798</v>
      </c>
      <c r="K2319" s="15" t="s">
        <v>798</v>
      </c>
      <c r="L2319" s="12" t="s">
        <v>5315</v>
      </c>
      <c r="M2319" s="13" t="s">
        <v>6054</v>
      </c>
      <c r="N2319" s="12" t="s">
        <v>803</v>
      </c>
      <c r="O2319" s="13" t="s">
        <v>4927</v>
      </c>
      <c r="P2319" s="17" t="s">
        <v>802</v>
      </c>
      <c r="Q2319" s="21" t="s">
        <v>7686</v>
      </c>
      <c r="R2319" s="17" t="s">
        <v>801</v>
      </c>
      <c r="S2319" s="18" t="s">
        <v>2554</v>
      </c>
      <c r="T2319" s="17" t="s">
        <v>800</v>
      </c>
      <c r="U2319" s="18" t="s">
        <v>5233</v>
      </c>
      <c r="V2319" s="17" t="s">
        <v>9418</v>
      </c>
      <c r="W2319" s="18" t="s">
        <v>5309</v>
      </c>
      <c r="X2319" s="69" t="s">
        <v>9453</v>
      </c>
      <c r="Y2319" s="70" t="s">
        <v>9462</v>
      </c>
      <c r="Z2319" s="73" t="s">
        <v>9486</v>
      </c>
      <c r="AA2319" s="74" t="s">
        <v>9504</v>
      </c>
      <c r="AB2319" s="73" t="s">
        <v>9486</v>
      </c>
      <c r="AC2319" s="74" t="s">
        <v>9562</v>
      </c>
      <c r="AD2319" s="73" t="s">
        <v>9578</v>
      </c>
      <c r="AE2319" s="74" t="s">
        <v>9579</v>
      </c>
    </row>
    <row r="2320" spans="1:31" ht="8.65" customHeight="1" x14ac:dyDescent="0.2">
      <c r="A2320" s="76">
        <v>2320</v>
      </c>
      <c r="B2320" s="67" t="str">
        <f>MID(C2320, FIND("Ifc.", C2320) + 4, 4) &amp; "_" &amp; TEXT(COUNTIF($C$2:C2320, C2320),"0000")</f>
        <v>Prop_2319</v>
      </c>
      <c r="C2320" s="24" t="s">
        <v>872</v>
      </c>
      <c r="D2320" s="69" t="s">
        <v>9453</v>
      </c>
      <c r="E2320" s="70" t="s">
        <v>9454</v>
      </c>
      <c r="F2320" s="17" t="s">
        <v>806</v>
      </c>
      <c r="G2320" s="22" t="s">
        <v>910</v>
      </c>
      <c r="H2320" s="12" t="s">
        <v>9703</v>
      </c>
      <c r="I2320" s="13" t="s">
        <v>7167</v>
      </c>
      <c r="J2320" s="14" t="s">
        <v>798</v>
      </c>
      <c r="K2320" s="15" t="s">
        <v>798</v>
      </c>
      <c r="L2320" s="12" t="s">
        <v>5315</v>
      </c>
      <c r="M2320" s="13" t="s">
        <v>5454</v>
      </c>
      <c r="N2320" s="12" t="s">
        <v>803</v>
      </c>
      <c r="O2320" s="13" t="s">
        <v>5017</v>
      </c>
      <c r="P2320" s="17" t="s">
        <v>802</v>
      </c>
      <c r="Q2320" s="21" t="s">
        <v>7776</v>
      </c>
      <c r="R2320" s="17" t="s">
        <v>801</v>
      </c>
      <c r="S2320" s="18" t="s">
        <v>2635</v>
      </c>
      <c r="T2320" s="17" t="s">
        <v>800</v>
      </c>
      <c r="U2320" s="18" t="s">
        <v>5235</v>
      </c>
      <c r="V2320" s="17" t="s">
        <v>9418</v>
      </c>
      <c r="W2320" s="18" t="s">
        <v>5309</v>
      </c>
      <c r="X2320" s="69" t="s">
        <v>9453</v>
      </c>
      <c r="Y2320" s="70" t="s">
        <v>9462</v>
      </c>
      <c r="Z2320" s="73" t="s">
        <v>9486</v>
      </c>
      <c r="AA2320" s="74" t="s">
        <v>9504</v>
      </c>
      <c r="AB2320" s="73" t="s">
        <v>9486</v>
      </c>
      <c r="AC2320" s="74" t="s">
        <v>9566</v>
      </c>
      <c r="AD2320" s="73" t="s">
        <v>9578</v>
      </c>
      <c r="AE2320" s="74" t="s">
        <v>9579</v>
      </c>
    </row>
    <row r="2321" spans="1:31" ht="8.65" customHeight="1" x14ac:dyDescent="0.2">
      <c r="A2321" s="76">
        <v>2321</v>
      </c>
      <c r="B2321" s="67" t="str">
        <f>MID(C2321, FIND("Ifc.", C2321) + 4, 4) &amp; "_" &amp; TEXT(COUNTIF($C$2:C2321, C2321),"0000")</f>
        <v>Prop_2320</v>
      </c>
      <c r="C2321" s="24" t="s">
        <v>872</v>
      </c>
      <c r="D2321" s="69" t="s">
        <v>9453</v>
      </c>
      <c r="E2321" s="70" t="s">
        <v>9454</v>
      </c>
      <c r="F2321" s="17" t="s">
        <v>806</v>
      </c>
      <c r="G2321" s="22" t="s">
        <v>910</v>
      </c>
      <c r="H2321" s="12" t="s">
        <v>9703</v>
      </c>
      <c r="I2321" s="13" t="s">
        <v>7167</v>
      </c>
      <c r="J2321" s="14" t="s">
        <v>798</v>
      </c>
      <c r="K2321" s="15" t="s">
        <v>798</v>
      </c>
      <c r="L2321" s="12" t="s">
        <v>5315</v>
      </c>
      <c r="M2321" s="13" t="s">
        <v>5462</v>
      </c>
      <c r="N2321" s="12" t="s">
        <v>803</v>
      </c>
      <c r="O2321" s="13" t="s">
        <v>5044</v>
      </c>
      <c r="P2321" s="17" t="s">
        <v>802</v>
      </c>
      <c r="Q2321" s="21" t="s">
        <v>7806</v>
      </c>
      <c r="R2321" s="17" t="s">
        <v>801</v>
      </c>
      <c r="S2321" s="18" t="s">
        <v>2635</v>
      </c>
      <c r="T2321" s="17" t="s">
        <v>800</v>
      </c>
      <c r="U2321" s="18" t="s">
        <v>5235</v>
      </c>
      <c r="V2321" s="17" t="s">
        <v>9418</v>
      </c>
      <c r="W2321" s="18" t="s">
        <v>5309</v>
      </c>
      <c r="X2321" s="69" t="s">
        <v>9453</v>
      </c>
      <c r="Y2321" s="70" t="s">
        <v>9462</v>
      </c>
      <c r="Z2321" s="73" t="s">
        <v>9486</v>
      </c>
      <c r="AA2321" s="74" t="s">
        <v>9504</v>
      </c>
      <c r="AB2321" s="73" t="s">
        <v>9486</v>
      </c>
      <c r="AC2321" s="74" t="s">
        <v>9566</v>
      </c>
      <c r="AD2321" s="73" t="s">
        <v>9578</v>
      </c>
      <c r="AE2321" s="74" t="s">
        <v>9579</v>
      </c>
    </row>
    <row r="2322" spans="1:31" ht="8.65" customHeight="1" x14ac:dyDescent="0.2">
      <c r="A2322" s="76">
        <v>2322</v>
      </c>
      <c r="B2322" s="67" t="str">
        <f>MID(C2322, FIND("Ifc.", C2322) + 4, 4) &amp; "_" &amp; TEXT(COUNTIF($C$2:C2322, C2322),"0000")</f>
        <v>Prop_2321</v>
      </c>
      <c r="C2322" s="24" t="s">
        <v>872</v>
      </c>
      <c r="D2322" s="69" t="s">
        <v>9453</v>
      </c>
      <c r="E2322" s="70" t="s">
        <v>9454</v>
      </c>
      <c r="F2322" s="17" t="s">
        <v>806</v>
      </c>
      <c r="G2322" s="22" t="s">
        <v>910</v>
      </c>
      <c r="H2322" s="12" t="s">
        <v>9703</v>
      </c>
      <c r="I2322" s="13" t="s">
        <v>7167</v>
      </c>
      <c r="J2322" s="14" t="s">
        <v>798</v>
      </c>
      <c r="K2322" s="15" t="s">
        <v>798</v>
      </c>
      <c r="L2322" s="12" t="s">
        <v>5315</v>
      </c>
      <c r="M2322" s="13" t="s">
        <v>5477</v>
      </c>
      <c r="N2322" s="12" t="s">
        <v>803</v>
      </c>
      <c r="O2322" s="13" t="s">
        <v>5081</v>
      </c>
      <c r="P2322" s="17" t="s">
        <v>802</v>
      </c>
      <c r="Q2322" s="21" t="s">
        <v>7807</v>
      </c>
      <c r="R2322" s="17" t="s">
        <v>801</v>
      </c>
      <c r="S2322" s="18" t="s">
        <v>2635</v>
      </c>
      <c r="T2322" s="17" t="s">
        <v>800</v>
      </c>
      <c r="U2322" s="18" t="s">
        <v>5235</v>
      </c>
      <c r="V2322" s="17" t="s">
        <v>9418</v>
      </c>
      <c r="W2322" s="18" t="s">
        <v>5309</v>
      </c>
      <c r="X2322" s="69" t="s">
        <v>9453</v>
      </c>
      <c r="Y2322" s="70" t="s">
        <v>9462</v>
      </c>
      <c r="Z2322" s="73" t="s">
        <v>9486</v>
      </c>
      <c r="AA2322" s="74" t="s">
        <v>9504</v>
      </c>
      <c r="AB2322" s="73" t="s">
        <v>9486</v>
      </c>
      <c r="AC2322" s="74" t="s">
        <v>9566</v>
      </c>
      <c r="AD2322" s="73" t="s">
        <v>9578</v>
      </c>
      <c r="AE2322" s="74" t="s">
        <v>9579</v>
      </c>
    </row>
    <row r="2323" spans="1:31" ht="8.65" customHeight="1" x14ac:dyDescent="0.2">
      <c r="A2323" s="76">
        <v>2323</v>
      </c>
      <c r="B2323" s="67" t="str">
        <f>MID(C2323, FIND("Ifc.", C2323) + 4, 4) &amp; "_" &amp; TEXT(COUNTIF($C$2:C2323, C2323),"0000")</f>
        <v>Prop_2322</v>
      </c>
      <c r="C2323" s="24" t="s">
        <v>872</v>
      </c>
      <c r="D2323" s="69" t="s">
        <v>9453</v>
      </c>
      <c r="E2323" s="70" t="s">
        <v>9454</v>
      </c>
      <c r="F2323" s="17" t="s">
        <v>806</v>
      </c>
      <c r="G2323" s="22" t="s">
        <v>910</v>
      </c>
      <c r="H2323" s="12" t="s">
        <v>9703</v>
      </c>
      <c r="I2323" s="13" t="s">
        <v>7167</v>
      </c>
      <c r="J2323" s="14" t="s">
        <v>798</v>
      </c>
      <c r="K2323" s="15" t="s">
        <v>798</v>
      </c>
      <c r="L2323" s="12" t="s">
        <v>5315</v>
      </c>
      <c r="M2323" s="13" t="s">
        <v>5478</v>
      </c>
      <c r="N2323" s="12" t="s">
        <v>803</v>
      </c>
      <c r="O2323" s="13" t="s">
        <v>5082</v>
      </c>
      <c r="P2323" s="17" t="s">
        <v>802</v>
      </c>
      <c r="Q2323" s="21" t="s">
        <v>7824</v>
      </c>
      <c r="R2323" s="17" t="s">
        <v>801</v>
      </c>
      <c r="S2323" s="18" t="s">
        <v>2635</v>
      </c>
      <c r="T2323" s="17" t="s">
        <v>800</v>
      </c>
      <c r="U2323" s="18" t="s">
        <v>5235</v>
      </c>
      <c r="V2323" s="17" t="s">
        <v>9418</v>
      </c>
      <c r="W2323" s="18" t="s">
        <v>5309</v>
      </c>
      <c r="X2323" s="69" t="s">
        <v>9453</v>
      </c>
      <c r="Y2323" s="70" t="s">
        <v>9462</v>
      </c>
      <c r="Z2323" s="73" t="s">
        <v>9486</v>
      </c>
      <c r="AA2323" s="74" t="s">
        <v>9504</v>
      </c>
      <c r="AB2323" s="73" t="s">
        <v>9486</v>
      </c>
      <c r="AC2323" s="74" t="s">
        <v>9566</v>
      </c>
      <c r="AD2323" s="73" t="s">
        <v>9578</v>
      </c>
      <c r="AE2323" s="74" t="s">
        <v>9579</v>
      </c>
    </row>
    <row r="2324" spans="1:31" ht="8.65" customHeight="1" x14ac:dyDescent="0.2">
      <c r="A2324" s="76">
        <v>2324</v>
      </c>
      <c r="B2324" s="67" t="str">
        <f>MID(C2324, FIND("Ifc.", C2324) + 4, 4) &amp; "_" &amp; TEXT(COUNTIF($C$2:C2324, C2324),"0000")</f>
        <v>Prop_2323</v>
      </c>
      <c r="C2324" s="24" t="s">
        <v>872</v>
      </c>
      <c r="D2324" s="69" t="s">
        <v>9453</v>
      </c>
      <c r="E2324" s="70" t="s">
        <v>9454</v>
      </c>
      <c r="F2324" s="17" t="s">
        <v>806</v>
      </c>
      <c r="G2324" s="22" t="s">
        <v>910</v>
      </c>
      <c r="H2324" s="12" t="s">
        <v>9703</v>
      </c>
      <c r="I2324" s="13" t="s">
        <v>7167</v>
      </c>
      <c r="J2324" s="14" t="s">
        <v>798</v>
      </c>
      <c r="K2324" s="15" t="s">
        <v>798</v>
      </c>
      <c r="L2324" s="12" t="s">
        <v>5315</v>
      </c>
      <c r="M2324" s="13" t="s">
        <v>5485</v>
      </c>
      <c r="N2324" s="12" t="s">
        <v>803</v>
      </c>
      <c r="O2324" s="13" t="s">
        <v>5088</v>
      </c>
      <c r="P2324" s="17" t="s">
        <v>802</v>
      </c>
      <c r="Q2324" s="21" t="s">
        <v>7808</v>
      </c>
      <c r="R2324" s="17" t="s">
        <v>801</v>
      </c>
      <c r="S2324" s="18" t="s">
        <v>2635</v>
      </c>
      <c r="T2324" s="17" t="s">
        <v>800</v>
      </c>
      <c r="U2324" s="18" t="s">
        <v>5235</v>
      </c>
      <c r="V2324" s="17" t="s">
        <v>9418</v>
      </c>
      <c r="W2324" s="18" t="s">
        <v>5309</v>
      </c>
      <c r="X2324" s="69" t="s">
        <v>9453</v>
      </c>
      <c r="Y2324" s="70" t="s">
        <v>9462</v>
      </c>
      <c r="Z2324" s="73" t="s">
        <v>9486</v>
      </c>
      <c r="AA2324" s="74" t="s">
        <v>9504</v>
      </c>
      <c r="AB2324" s="73" t="s">
        <v>9486</v>
      </c>
      <c r="AC2324" s="74" t="s">
        <v>9566</v>
      </c>
      <c r="AD2324" s="73" t="s">
        <v>9578</v>
      </c>
      <c r="AE2324" s="74" t="s">
        <v>9579</v>
      </c>
    </row>
    <row r="2325" spans="1:31" ht="8.65" customHeight="1" x14ac:dyDescent="0.2">
      <c r="A2325" s="76">
        <v>2325</v>
      </c>
      <c r="B2325" s="67" t="str">
        <f>MID(C2325, FIND("Ifc.", C2325) + 4, 4) &amp; "_" &amp; TEXT(COUNTIF($C$2:C2325, C2325),"0000")</f>
        <v>Prop_2324</v>
      </c>
      <c r="C2325" s="24" t="s">
        <v>872</v>
      </c>
      <c r="D2325" s="69" t="s">
        <v>9453</v>
      </c>
      <c r="E2325" s="70" t="s">
        <v>9454</v>
      </c>
      <c r="F2325" s="17" t="s">
        <v>806</v>
      </c>
      <c r="G2325" s="22" t="s">
        <v>910</v>
      </c>
      <c r="H2325" s="12" t="s">
        <v>9703</v>
      </c>
      <c r="I2325" s="13" t="s">
        <v>7167</v>
      </c>
      <c r="J2325" s="14" t="s">
        <v>798</v>
      </c>
      <c r="K2325" s="15" t="s">
        <v>798</v>
      </c>
      <c r="L2325" s="12" t="s">
        <v>5315</v>
      </c>
      <c r="M2325" s="13" t="s">
        <v>5487</v>
      </c>
      <c r="N2325" s="12" t="s">
        <v>803</v>
      </c>
      <c r="O2325" s="13" t="s">
        <v>5095</v>
      </c>
      <c r="P2325" s="17" t="s">
        <v>802</v>
      </c>
      <c r="Q2325" s="21" t="s">
        <v>7687</v>
      </c>
      <c r="R2325" s="17" t="s">
        <v>801</v>
      </c>
      <c r="S2325" s="18" t="s">
        <v>2635</v>
      </c>
      <c r="T2325" s="17" t="s">
        <v>800</v>
      </c>
      <c r="U2325" s="18" t="s">
        <v>5235</v>
      </c>
      <c r="V2325" s="17" t="s">
        <v>9418</v>
      </c>
      <c r="W2325" s="18" t="s">
        <v>5309</v>
      </c>
      <c r="X2325" s="69" t="s">
        <v>9453</v>
      </c>
      <c r="Y2325" s="70" t="s">
        <v>9462</v>
      </c>
      <c r="Z2325" s="73" t="s">
        <v>9486</v>
      </c>
      <c r="AA2325" s="74" t="s">
        <v>9504</v>
      </c>
      <c r="AB2325" s="73" t="s">
        <v>9486</v>
      </c>
      <c r="AC2325" s="74" t="s">
        <v>9566</v>
      </c>
      <c r="AD2325" s="73" t="s">
        <v>9578</v>
      </c>
      <c r="AE2325" s="74" t="s">
        <v>9579</v>
      </c>
    </row>
    <row r="2326" spans="1:31" ht="8.65" customHeight="1" x14ac:dyDescent="0.2">
      <c r="A2326" s="76">
        <v>2326</v>
      </c>
      <c r="B2326" s="67" t="str">
        <f>MID(C2326, FIND("Ifc.", C2326) + 4, 4) &amp; "_" &amp; TEXT(COUNTIF($C$2:C2326, C2326),"0000")</f>
        <v>Prop_2325</v>
      </c>
      <c r="C2326" s="24" t="s">
        <v>872</v>
      </c>
      <c r="D2326" s="69" t="s">
        <v>9453</v>
      </c>
      <c r="E2326" s="70" t="s">
        <v>9454</v>
      </c>
      <c r="F2326" s="17" t="s">
        <v>806</v>
      </c>
      <c r="G2326" s="22" t="s">
        <v>910</v>
      </c>
      <c r="H2326" s="12" t="s">
        <v>9703</v>
      </c>
      <c r="I2326" s="13" t="s">
        <v>7167</v>
      </c>
      <c r="J2326" s="14" t="s">
        <v>798</v>
      </c>
      <c r="K2326" s="15" t="s">
        <v>798</v>
      </c>
      <c r="L2326" s="12" t="s">
        <v>5315</v>
      </c>
      <c r="M2326" s="13" t="s">
        <v>5491</v>
      </c>
      <c r="N2326" s="12" t="s">
        <v>803</v>
      </c>
      <c r="O2326" s="13" t="s">
        <v>5102</v>
      </c>
      <c r="P2326" s="17" t="s">
        <v>802</v>
      </c>
      <c r="Q2326" s="21" t="s">
        <v>7809</v>
      </c>
      <c r="R2326" s="17" t="s">
        <v>801</v>
      </c>
      <c r="S2326" s="18" t="s">
        <v>2635</v>
      </c>
      <c r="T2326" s="17" t="s">
        <v>800</v>
      </c>
      <c r="U2326" s="18" t="s">
        <v>5235</v>
      </c>
      <c r="V2326" s="17" t="s">
        <v>9418</v>
      </c>
      <c r="W2326" s="18" t="s">
        <v>5309</v>
      </c>
      <c r="X2326" s="69" t="s">
        <v>9453</v>
      </c>
      <c r="Y2326" s="70" t="s">
        <v>9462</v>
      </c>
      <c r="Z2326" s="73" t="s">
        <v>9486</v>
      </c>
      <c r="AA2326" s="74" t="s">
        <v>9504</v>
      </c>
      <c r="AB2326" s="73" t="s">
        <v>9486</v>
      </c>
      <c r="AC2326" s="74" t="s">
        <v>9566</v>
      </c>
      <c r="AD2326" s="73" t="s">
        <v>9578</v>
      </c>
      <c r="AE2326" s="74" t="s">
        <v>9579</v>
      </c>
    </row>
    <row r="2327" spans="1:31" ht="8.65" customHeight="1" x14ac:dyDescent="0.2">
      <c r="A2327" s="76">
        <v>2327</v>
      </c>
      <c r="B2327" s="67" t="str">
        <f>MID(C2327, FIND("Ifc.", C2327) + 4, 4) &amp; "_" &amp; TEXT(COUNTIF($C$2:C2327, C2327),"0000")</f>
        <v>Prop_2326</v>
      </c>
      <c r="C2327" s="24" t="s">
        <v>872</v>
      </c>
      <c r="D2327" s="69" t="s">
        <v>9453</v>
      </c>
      <c r="E2327" s="70" t="s">
        <v>9454</v>
      </c>
      <c r="F2327" s="17" t="s">
        <v>806</v>
      </c>
      <c r="G2327" s="22" t="s">
        <v>910</v>
      </c>
      <c r="H2327" s="12" t="s">
        <v>9703</v>
      </c>
      <c r="I2327" s="13" t="s">
        <v>7167</v>
      </c>
      <c r="J2327" s="14" t="s">
        <v>798</v>
      </c>
      <c r="K2327" s="15" t="s">
        <v>798</v>
      </c>
      <c r="L2327" s="12" t="s">
        <v>5315</v>
      </c>
      <c r="M2327" s="13" t="s">
        <v>6055</v>
      </c>
      <c r="N2327" s="12" t="s">
        <v>803</v>
      </c>
      <c r="O2327" s="13" t="s">
        <v>5107</v>
      </c>
      <c r="P2327" s="17" t="s">
        <v>802</v>
      </c>
      <c r="Q2327" s="21" t="s">
        <v>7688</v>
      </c>
      <c r="R2327" s="17" t="s">
        <v>801</v>
      </c>
      <c r="S2327" s="18" t="s">
        <v>2554</v>
      </c>
      <c r="T2327" s="17" t="s">
        <v>800</v>
      </c>
      <c r="U2327" s="18" t="s">
        <v>5233</v>
      </c>
      <c r="V2327" s="17" t="s">
        <v>9418</v>
      </c>
      <c r="W2327" s="18" t="s">
        <v>5309</v>
      </c>
      <c r="X2327" s="69" t="s">
        <v>9453</v>
      </c>
      <c r="Y2327" s="70" t="s">
        <v>9462</v>
      </c>
      <c r="Z2327" s="73" t="s">
        <v>9486</v>
      </c>
      <c r="AA2327" s="74" t="s">
        <v>9504</v>
      </c>
      <c r="AB2327" s="73" t="s">
        <v>9486</v>
      </c>
      <c r="AC2327" s="74" t="s">
        <v>9562</v>
      </c>
      <c r="AD2327" s="73" t="s">
        <v>9578</v>
      </c>
      <c r="AE2327" s="74" t="s">
        <v>9579</v>
      </c>
    </row>
    <row r="2328" spans="1:31" ht="8.65" customHeight="1" x14ac:dyDescent="0.2">
      <c r="A2328" s="76">
        <v>2328</v>
      </c>
      <c r="B2328" s="67" t="str">
        <f>MID(C2328, FIND("Ifc.", C2328) + 4, 4) &amp; "_" &amp; TEXT(COUNTIF($C$2:C2328, C2328),"0000")</f>
        <v>Prop_2327</v>
      </c>
      <c r="C2328" s="24" t="s">
        <v>872</v>
      </c>
      <c r="D2328" s="69" t="s">
        <v>9453</v>
      </c>
      <c r="E2328" s="70" t="s">
        <v>9454</v>
      </c>
      <c r="F2328" s="17" t="s">
        <v>806</v>
      </c>
      <c r="G2328" s="22" t="s">
        <v>910</v>
      </c>
      <c r="H2328" s="12" t="s">
        <v>9703</v>
      </c>
      <c r="I2328" s="13" t="s">
        <v>7167</v>
      </c>
      <c r="J2328" s="14" t="s">
        <v>798</v>
      </c>
      <c r="K2328" s="15" t="s">
        <v>798</v>
      </c>
      <c r="L2328" s="12" t="s">
        <v>5315</v>
      </c>
      <c r="M2328" s="13" t="s">
        <v>5556</v>
      </c>
      <c r="N2328" s="12" t="s">
        <v>803</v>
      </c>
      <c r="O2328" s="13" t="s">
        <v>5169</v>
      </c>
      <c r="P2328" s="17" t="s">
        <v>802</v>
      </c>
      <c r="Q2328" s="21" t="s">
        <v>7728</v>
      </c>
      <c r="R2328" s="17" t="s">
        <v>801</v>
      </c>
      <c r="S2328" s="18" t="s">
        <v>2635</v>
      </c>
      <c r="T2328" s="17" t="s">
        <v>800</v>
      </c>
      <c r="U2328" s="18" t="s">
        <v>5235</v>
      </c>
      <c r="V2328" s="17" t="s">
        <v>9418</v>
      </c>
      <c r="W2328" s="18" t="s">
        <v>5309</v>
      </c>
      <c r="X2328" s="69" t="s">
        <v>9453</v>
      </c>
      <c r="Y2328" s="70" t="s">
        <v>9462</v>
      </c>
      <c r="Z2328" s="73" t="s">
        <v>9486</v>
      </c>
      <c r="AA2328" s="74" t="s">
        <v>9504</v>
      </c>
      <c r="AB2328" s="73" t="s">
        <v>9486</v>
      </c>
      <c r="AC2328" s="74" t="s">
        <v>9566</v>
      </c>
      <c r="AD2328" s="73" t="s">
        <v>9578</v>
      </c>
      <c r="AE2328" s="74" t="s">
        <v>9579</v>
      </c>
    </row>
    <row r="2329" spans="1:31" ht="8.65" customHeight="1" x14ac:dyDescent="0.2">
      <c r="A2329" s="76">
        <v>2329</v>
      </c>
      <c r="B2329" s="67" t="str">
        <f>MID(C2329, FIND("Ifc.", C2329) + 4, 4) &amp; "_" &amp; TEXT(COUNTIF($C$2:C2329, C2329),"0000")</f>
        <v>Prop_2328</v>
      </c>
      <c r="C2329" s="24" t="s">
        <v>872</v>
      </c>
      <c r="D2329" s="69" t="s">
        <v>9453</v>
      </c>
      <c r="E2329" s="70" t="s">
        <v>9454</v>
      </c>
      <c r="F2329" s="17" t="s">
        <v>806</v>
      </c>
      <c r="G2329" s="22" t="s">
        <v>910</v>
      </c>
      <c r="H2329" s="12" t="s">
        <v>9703</v>
      </c>
      <c r="I2329" s="13" t="s">
        <v>7167</v>
      </c>
      <c r="J2329" s="14" t="s">
        <v>798</v>
      </c>
      <c r="K2329" s="15" t="s">
        <v>798</v>
      </c>
      <c r="L2329" s="12" t="s">
        <v>5315</v>
      </c>
      <c r="M2329" s="13" t="s">
        <v>5563</v>
      </c>
      <c r="N2329" s="12" t="s">
        <v>803</v>
      </c>
      <c r="O2329" s="13" t="s">
        <v>5178</v>
      </c>
      <c r="P2329" s="17" t="s">
        <v>802</v>
      </c>
      <c r="Q2329" s="21" t="s">
        <v>7810</v>
      </c>
      <c r="R2329" s="17" t="s">
        <v>801</v>
      </c>
      <c r="S2329" s="18" t="s">
        <v>2635</v>
      </c>
      <c r="T2329" s="17" t="s">
        <v>800</v>
      </c>
      <c r="U2329" s="18" t="s">
        <v>5235</v>
      </c>
      <c r="V2329" s="17" t="s">
        <v>9418</v>
      </c>
      <c r="W2329" s="18" t="s">
        <v>5309</v>
      </c>
      <c r="X2329" s="69" t="s">
        <v>9453</v>
      </c>
      <c r="Y2329" s="70" t="s">
        <v>9462</v>
      </c>
      <c r="Z2329" s="73" t="s">
        <v>9486</v>
      </c>
      <c r="AA2329" s="74" t="s">
        <v>9504</v>
      </c>
      <c r="AB2329" s="73" t="s">
        <v>9486</v>
      </c>
      <c r="AC2329" s="74" t="s">
        <v>9566</v>
      </c>
      <c r="AD2329" s="73" t="s">
        <v>9578</v>
      </c>
      <c r="AE2329" s="74" t="s">
        <v>9579</v>
      </c>
    </row>
    <row r="2330" spans="1:31" ht="8.65" customHeight="1" x14ac:dyDescent="0.2">
      <c r="A2330" s="76">
        <v>2330</v>
      </c>
      <c r="B2330" s="67" t="str">
        <f>MID(C2330, FIND("Ifc.", C2330) + 4, 4) &amp; "_" &amp; TEXT(COUNTIF($C$2:C2330, C2330),"0000")</f>
        <v>Prop_2329</v>
      </c>
      <c r="C2330" s="24" t="s">
        <v>872</v>
      </c>
      <c r="D2330" s="69" t="s">
        <v>9453</v>
      </c>
      <c r="E2330" s="70" t="s">
        <v>9454</v>
      </c>
      <c r="F2330" s="17" t="s">
        <v>806</v>
      </c>
      <c r="G2330" s="22" t="s">
        <v>910</v>
      </c>
      <c r="H2330" s="12" t="s">
        <v>9703</v>
      </c>
      <c r="I2330" s="13" t="s">
        <v>7167</v>
      </c>
      <c r="J2330" s="14" t="s">
        <v>798</v>
      </c>
      <c r="K2330" s="15" t="s">
        <v>798</v>
      </c>
      <c r="L2330" s="12" t="s">
        <v>5315</v>
      </c>
      <c r="M2330" s="13" t="s">
        <v>5579</v>
      </c>
      <c r="N2330" s="12" t="s">
        <v>803</v>
      </c>
      <c r="O2330" s="13" t="s">
        <v>5225</v>
      </c>
      <c r="P2330" s="17" t="s">
        <v>802</v>
      </c>
      <c r="Q2330" s="21" t="s">
        <v>7811</v>
      </c>
      <c r="R2330" s="17" t="s">
        <v>801</v>
      </c>
      <c r="S2330" s="18" t="s">
        <v>2635</v>
      </c>
      <c r="T2330" s="17" t="s">
        <v>800</v>
      </c>
      <c r="U2330" s="18" t="s">
        <v>5235</v>
      </c>
      <c r="V2330" s="17" t="s">
        <v>9418</v>
      </c>
      <c r="W2330" s="18" t="s">
        <v>5309</v>
      </c>
      <c r="X2330" s="69" t="s">
        <v>9453</v>
      </c>
      <c r="Y2330" s="70" t="s">
        <v>9462</v>
      </c>
      <c r="Z2330" s="73" t="s">
        <v>9486</v>
      </c>
      <c r="AA2330" s="74" t="s">
        <v>9504</v>
      </c>
      <c r="AB2330" s="73" t="s">
        <v>9486</v>
      </c>
      <c r="AC2330" s="74" t="s">
        <v>9566</v>
      </c>
      <c r="AD2330" s="73" t="s">
        <v>9578</v>
      </c>
      <c r="AE2330" s="74" t="s">
        <v>9579</v>
      </c>
    </row>
    <row r="2331" spans="1:31" ht="8.65" customHeight="1" x14ac:dyDescent="0.2">
      <c r="A2331" s="76">
        <v>2331</v>
      </c>
      <c r="B2331" s="67" t="str">
        <f>MID(C2331, FIND("Ifc.", C2331) + 4, 4) &amp; "_" &amp; TEXT(COUNTIF($C$2:C2331, C2331),"0000")</f>
        <v>Prop_2330</v>
      </c>
      <c r="C2331" s="24" t="s">
        <v>872</v>
      </c>
      <c r="D2331" s="69" t="s">
        <v>9453</v>
      </c>
      <c r="E2331" s="70" t="s">
        <v>9454</v>
      </c>
      <c r="F2331" s="17" t="s">
        <v>806</v>
      </c>
      <c r="G2331" s="22" t="s">
        <v>910</v>
      </c>
      <c r="H2331" s="12" t="s">
        <v>9703</v>
      </c>
      <c r="I2331" s="13" t="s">
        <v>6839</v>
      </c>
      <c r="J2331" s="14" t="s">
        <v>798</v>
      </c>
      <c r="K2331" s="15" t="s">
        <v>798</v>
      </c>
      <c r="L2331" s="12" t="s">
        <v>5315</v>
      </c>
      <c r="M2331" s="13" t="s">
        <v>5369</v>
      </c>
      <c r="N2331" s="12" t="s">
        <v>803</v>
      </c>
      <c r="O2331" s="13" t="s">
        <v>4810</v>
      </c>
      <c r="P2331" s="17" t="s">
        <v>802</v>
      </c>
      <c r="Q2331" s="21" t="s">
        <v>7681</v>
      </c>
      <c r="R2331" s="17" t="s">
        <v>801</v>
      </c>
      <c r="S2331" s="18" t="s">
        <v>2635</v>
      </c>
      <c r="T2331" s="17" t="s">
        <v>800</v>
      </c>
      <c r="U2331" s="18" t="s">
        <v>5235</v>
      </c>
      <c r="V2331" s="17" t="s">
        <v>9418</v>
      </c>
      <c r="W2331" s="18" t="s">
        <v>5309</v>
      </c>
      <c r="X2331" s="69" t="s">
        <v>9453</v>
      </c>
      <c r="Y2331" s="70" t="s">
        <v>9462</v>
      </c>
      <c r="Z2331" s="73" t="s">
        <v>9486</v>
      </c>
      <c r="AA2331" s="74" t="s">
        <v>9504</v>
      </c>
      <c r="AB2331" s="73" t="s">
        <v>9486</v>
      </c>
      <c r="AC2331" s="74" t="s">
        <v>9566</v>
      </c>
      <c r="AD2331" s="73" t="s">
        <v>9578</v>
      </c>
      <c r="AE2331" s="74" t="s">
        <v>9579</v>
      </c>
    </row>
    <row r="2332" spans="1:31" ht="8.65" customHeight="1" x14ac:dyDescent="0.2">
      <c r="A2332" s="76">
        <v>2332</v>
      </c>
      <c r="B2332" s="67" t="str">
        <f>MID(C2332, FIND("Ifc.", C2332) + 4, 4) &amp; "_" &amp; TEXT(COUNTIF($C$2:C2332, C2332),"0000")</f>
        <v>Prop_2331</v>
      </c>
      <c r="C2332" s="24" t="s">
        <v>872</v>
      </c>
      <c r="D2332" s="69" t="s">
        <v>9453</v>
      </c>
      <c r="E2332" s="70" t="s">
        <v>9454</v>
      </c>
      <c r="F2332" s="17" t="s">
        <v>806</v>
      </c>
      <c r="G2332" s="22" t="s">
        <v>2111</v>
      </c>
      <c r="H2332" s="12" t="s">
        <v>9703</v>
      </c>
      <c r="I2332" s="13" t="s">
        <v>7238</v>
      </c>
      <c r="J2332" s="14" t="s">
        <v>798</v>
      </c>
      <c r="K2332" s="15" t="s">
        <v>798</v>
      </c>
      <c r="L2332" s="12" t="s">
        <v>5315</v>
      </c>
      <c r="M2332" s="13" t="s">
        <v>5856</v>
      </c>
      <c r="N2332" s="12" t="s">
        <v>803</v>
      </c>
      <c r="O2332" s="13" t="s">
        <v>5100</v>
      </c>
      <c r="P2332" s="17" t="s">
        <v>802</v>
      </c>
      <c r="Q2332" s="21" t="s">
        <v>7960</v>
      </c>
      <c r="R2332" s="17" t="s">
        <v>801</v>
      </c>
      <c r="S2332" s="18" t="s">
        <v>2625</v>
      </c>
      <c r="T2332" s="17" t="s">
        <v>800</v>
      </c>
      <c r="U2332" s="18" t="s">
        <v>5240</v>
      </c>
      <c r="V2332" s="17" t="s">
        <v>9418</v>
      </c>
      <c r="W2332" s="18" t="s">
        <v>5309</v>
      </c>
      <c r="X2332" s="69" t="s">
        <v>9453</v>
      </c>
      <c r="Y2332" s="70" t="s">
        <v>9462</v>
      </c>
      <c r="Z2332" s="73" t="s">
        <v>9486</v>
      </c>
      <c r="AA2332" s="74" t="s">
        <v>9504</v>
      </c>
      <c r="AB2332" s="73" t="s">
        <v>9486</v>
      </c>
      <c r="AC2332" s="74" t="s">
        <v>9566</v>
      </c>
      <c r="AD2332" s="73" t="s">
        <v>9578</v>
      </c>
      <c r="AE2332" s="74" t="s">
        <v>9579</v>
      </c>
    </row>
    <row r="2333" spans="1:31" ht="8.65" customHeight="1" x14ac:dyDescent="0.2">
      <c r="A2333" s="76">
        <v>2333</v>
      </c>
      <c r="B2333" s="67" t="str">
        <f>MID(C2333, FIND("Ifc.", C2333) + 4, 4) &amp; "_" &amp; TEXT(COUNTIF($C$2:C2333, C2333),"0000")</f>
        <v>Prop_2332</v>
      </c>
      <c r="C2333" s="24" t="s">
        <v>872</v>
      </c>
      <c r="D2333" s="69" t="s">
        <v>9453</v>
      </c>
      <c r="E2333" s="70" t="s">
        <v>9454</v>
      </c>
      <c r="F2333" s="17" t="s">
        <v>806</v>
      </c>
      <c r="G2333" s="22" t="s">
        <v>1386</v>
      </c>
      <c r="H2333" s="12" t="s">
        <v>9703</v>
      </c>
      <c r="I2333" s="13" t="s">
        <v>6278</v>
      </c>
      <c r="J2333" s="14" t="s">
        <v>798</v>
      </c>
      <c r="K2333" s="15" t="s">
        <v>798</v>
      </c>
      <c r="L2333" s="12" t="s">
        <v>5315</v>
      </c>
      <c r="M2333" s="13" t="s">
        <v>5423</v>
      </c>
      <c r="N2333" s="12" t="s">
        <v>803</v>
      </c>
      <c r="O2333" s="13" t="s">
        <v>4923</v>
      </c>
      <c r="P2333" s="17" t="s">
        <v>802</v>
      </c>
      <c r="Q2333" s="21" t="s">
        <v>8033</v>
      </c>
      <c r="R2333" s="17" t="s">
        <v>801</v>
      </c>
      <c r="S2333" s="18" t="s">
        <v>2554</v>
      </c>
      <c r="T2333" s="17" t="s">
        <v>800</v>
      </c>
      <c r="U2333" s="18" t="s">
        <v>5233</v>
      </c>
      <c r="V2333" s="17" t="s">
        <v>9418</v>
      </c>
      <c r="W2333" s="18" t="s">
        <v>5310</v>
      </c>
      <c r="X2333" s="69" t="s">
        <v>9453</v>
      </c>
      <c r="Y2333" s="70" t="s">
        <v>9463</v>
      </c>
      <c r="Z2333" s="73" t="s">
        <v>9486</v>
      </c>
      <c r="AA2333" s="74" t="s">
        <v>9504</v>
      </c>
      <c r="AB2333" s="73" t="s">
        <v>9486</v>
      </c>
      <c r="AC2333" s="74" t="s">
        <v>9562</v>
      </c>
      <c r="AD2333" s="73" t="s">
        <v>9578</v>
      </c>
      <c r="AE2333" s="74" t="s">
        <v>9579</v>
      </c>
    </row>
    <row r="2334" spans="1:31" ht="8.65" customHeight="1" x14ac:dyDescent="0.2">
      <c r="A2334" s="76">
        <v>2334</v>
      </c>
      <c r="B2334" s="67" t="str">
        <f>MID(C2334, FIND("Ifc.", C2334) + 4, 4) &amp; "_" &amp; TEXT(COUNTIF($C$2:C2334, C2334),"0000")</f>
        <v>Prop_2333</v>
      </c>
      <c r="C2334" s="24" t="s">
        <v>872</v>
      </c>
      <c r="D2334" s="69" t="s">
        <v>9453</v>
      </c>
      <c r="E2334" s="70" t="s">
        <v>9454</v>
      </c>
      <c r="F2334" s="17" t="s">
        <v>806</v>
      </c>
      <c r="G2334" s="22" t="s">
        <v>923</v>
      </c>
      <c r="H2334" s="12" t="s">
        <v>9703</v>
      </c>
      <c r="I2334" s="13" t="s">
        <v>7409</v>
      </c>
      <c r="J2334" s="14" t="s">
        <v>798</v>
      </c>
      <c r="K2334" s="15" t="s">
        <v>798</v>
      </c>
      <c r="L2334" s="12" t="s">
        <v>5315</v>
      </c>
      <c r="M2334" s="13" t="s">
        <v>5371</v>
      </c>
      <c r="N2334" s="12" t="s">
        <v>803</v>
      </c>
      <c r="O2334" s="13" t="s">
        <v>4812</v>
      </c>
      <c r="P2334" s="17" t="s">
        <v>802</v>
      </c>
      <c r="Q2334" s="21" t="s">
        <v>8094</v>
      </c>
      <c r="R2334" s="17" t="s">
        <v>801</v>
      </c>
      <c r="S2334" s="18" t="s">
        <v>2585</v>
      </c>
      <c r="T2334" s="17" t="s">
        <v>800</v>
      </c>
      <c r="U2334" s="18" t="s">
        <v>5238</v>
      </c>
      <c r="V2334" s="17" t="s">
        <v>9418</v>
      </c>
      <c r="W2334" s="18" t="s">
        <v>5309</v>
      </c>
      <c r="X2334" s="69" t="s">
        <v>9453</v>
      </c>
      <c r="Y2334" s="70" t="s">
        <v>9462</v>
      </c>
      <c r="Z2334" s="73" t="s">
        <v>9486</v>
      </c>
      <c r="AA2334" s="74" t="s">
        <v>9504</v>
      </c>
      <c r="AB2334" s="73" t="s">
        <v>9486</v>
      </c>
      <c r="AC2334" s="74" t="s">
        <v>9566</v>
      </c>
      <c r="AD2334" s="73" t="s">
        <v>9578</v>
      </c>
      <c r="AE2334" s="74" t="s">
        <v>9579</v>
      </c>
    </row>
    <row r="2335" spans="1:31" ht="8.65" customHeight="1" x14ac:dyDescent="0.2">
      <c r="A2335" s="76">
        <v>2335</v>
      </c>
      <c r="B2335" s="67" t="str">
        <f>MID(C2335, FIND("Ifc.", C2335) + 4, 4) &amp; "_" &amp; TEXT(COUNTIF($C$2:C2335, C2335),"0000")</f>
        <v>Prop_2334</v>
      </c>
      <c r="C2335" s="24" t="s">
        <v>872</v>
      </c>
      <c r="D2335" s="69" t="s">
        <v>9453</v>
      </c>
      <c r="E2335" s="70" t="s">
        <v>9454</v>
      </c>
      <c r="F2335" s="17" t="s">
        <v>806</v>
      </c>
      <c r="G2335" s="22" t="s">
        <v>924</v>
      </c>
      <c r="H2335" s="12" t="s">
        <v>9703</v>
      </c>
      <c r="I2335" s="13" t="s">
        <v>7410</v>
      </c>
      <c r="J2335" s="14" t="s">
        <v>798</v>
      </c>
      <c r="K2335" s="15" t="s">
        <v>798</v>
      </c>
      <c r="L2335" s="12" t="s">
        <v>5315</v>
      </c>
      <c r="M2335" s="13" t="s">
        <v>5371</v>
      </c>
      <c r="N2335" s="12" t="s">
        <v>803</v>
      </c>
      <c r="O2335" s="13" t="s">
        <v>4812</v>
      </c>
      <c r="P2335" s="17" t="s">
        <v>802</v>
      </c>
      <c r="Q2335" s="21" t="s">
        <v>8094</v>
      </c>
      <c r="R2335" s="17" t="s">
        <v>801</v>
      </c>
      <c r="S2335" s="18" t="s">
        <v>2585</v>
      </c>
      <c r="T2335" s="17" t="s">
        <v>800</v>
      </c>
      <c r="U2335" s="18" t="s">
        <v>5238</v>
      </c>
      <c r="V2335" s="17" t="s">
        <v>9418</v>
      </c>
      <c r="W2335" s="18" t="s">
        <v>5309</v>
      </c>
      <c r="X2335" s="69" t="s">
        <v>9453</v>
      </c>
      <c r="Y2335" s="70" t="s">
        <v>9462</v>
      </c>
      <c r="Z2335" s="73" t="s">
        <v>9486</v>
      </c>
      <c r="AA2335" s="74" t="s">
        <v>9504</v>
      </c>
      <c r="AB2335" s="73" t="s">
        <v>9486</v>
      </c>
      <c r="AC2335" s="74" t="s">
        <v>9566</v>
      </c>
      <c r="AD2335" s="73" t="s">
        <v>9578</v>
      </c>
      <c r="AE2335" s="74" t="s">
        <v>9579</v>
      </c>
    </row>
    <row r="2336" spans="1:31" ht="8.65" customHeight="1" x14ac:dyDescent="0.2">
      <c r="A2336" s="76">
        <v>2336</v>
      </c>
      <c r="B2336" s="67" t="str">
        <f>MID(C2336, FIND("Ifc.", C2336) + 4, 4) &amp; "_" &amp; TEXT(COUNTIF($C$2:C2336, C2336),"0000")</f>
        <v>Prop_2335</v>
      </c>
      <c r="C2336" s="24" t="s">
        <v>872</v>
      </c>
      <c r="D2336" s="69" t="s">
        <v>9453</v>
      </c>
      <c r="E2336" s="70" t="s">
        <v>9454</v>
      </c>
      <c r="F2336" s="17" t="s">
        <v>806</v>
      </c>
      <c r="G2336" s="22" t="s">
        <v>925</v>
      </c>
      <c r="H2336" s="12" t="s">
        <v>9703</v>
      </c>
      <c r="I2336" s="13" t="s">
        <v>7416</v>
      </c>
      <c r="J2336" s="14" t="s">
        <v>798</v>
      </c>
      <c r="K2336" s="15" t="s">
        <v>798</v>
      </c>
      <c r="L2336" s="12" t="s">
        <v>5315</v>
      </c>
      <c r="M2336" s="13" t="s">
        <v>5371</v>
      </c>
      <c r="N2336" s="12" t="s">
        <v>803</v>
      </c>
      <c r="O2336" s="13" t="s">
        <v>4812</v>
      </c>
      <c r="P2336" s="17" t="s">
        <v>802</v>
      </c>
      <c r="Q2336" s="21" t="s">
        <v>8094</v>
      </c>
      <c r="R2336" s="17" t="s">
        <v>801</v>
      </c>
      <c r="S2336" s="18" t="s">
        <v>2585</v>
      </c>
      <c r="T2336" s="17" t="s">
        <v>800</v>
      </c>
      <c r="U2336" s="18" t="s">
        <v>5238</v>
      </c>
      <c r="V2336" s="17" t="s">
        <v>9418</v>
      </c>
      <c r="W2336" s="18" t="s">
        <v>5309</v>
      </c>
      <c r="X2336" s="69" t="s">
        <v>9453</v>
      </c>
      <c r="Y2336" s="70" t="s">
        <v>9462</v>
      </c>
      <c r="Z2336" s="73" t="s">
        <v>9486</v>
      </c>
      <c r="AA2336" s="74" t="s">
        <v>9504</v>
      </c>
      <c r="AB2336" s="73" t="s">
        <v>9486</v>
      </c>
      <c r="AC2336" s="74" t="s">
        <v>9566</v>
      </c>
      <c r="AD2336" s="73" t="s">
        <v>9578</v>
      </c>
      <c r="AE2336" s="74" t="s">
        <v>9705</v>
      </c>
    </row>
    <row r="2337" spans="1:31" ht="8.65" customHeight="1" x14ac:dyDescent="0.2">
      <c r="A2337" s="76">
        <v>2337</v>
      </c>
      <c r="B2337" s="67" t="str">
        <f>MID(C2337, FIND("Ifc.", C2337) + 4, 4) &amp; "_" &amp; TEXT(COUNTIF($C$2:C2337, C2337),"0000")</f>
        <v>Prop_2336</v>
      </c>
      <c r="C2337" s="24" t="s">
        <v>872</v>
      </c>
      <c r="D2337" s="69" t="s">
        <v>9453</v>
      </c>
      <c r="E2337" s="70" t="s">
        <v>9454</v>
      </c>
      <c r="F2337" s="17" t="s">
        <v>806</v>
      </c>
      <c r="G2337" s="22" t="s">
        <v>921</v>
      </c>
      <c r="H2337" s="12" t="s">
        <v>9703</v>
      </c>
      <c r="I2337" s="13" t="s">
        <v>7415</v>
      </c>
      <c r="J2337" s="14" t="s">
        <v>798</v>
      </c>
      <c r="K2337" s="15" t="s">
        <v>798</v>
      </c>
      <c r="L2337" s="12" t="s">
        <v>5315</v>
      </c>
      <c r="M2337" s="13" t="s">
        <v>5371</v>
      </c>
      <c r="N2337" s="12" t="s">
        <v>803</v>
      </c>
      <c r="O2337" s="13" t="s">
        <v>4812</v>
      </c>
      <c r="P2337" s="17" t="s">
        <v>802</v>
      </c>
      <c r="Q2337" s="21" t="s">
        <v>8094</v>
      </c>
      <c r="R2337" s="17" t="s">
        <v>801</v>
      </c>
      <c r="S2337" s="18" t="s">
        <v>2585</v>
      </c>
      <c r="T2337" s="17" t="s">
        <v>800</v>
      </c>
      <c r="U2337" s="18" t="s">
        <v>5238</v>
      </c>
      <c r="V2337" s="17" t="s">
        <v>9418</v>
      </c>
      <c r="W2337" s="18" t="s">
        <v>5309</v>
      </c>
      <c r="X2337" s="69" t="s">
        <v>9453</v>
      </c>
      <c r="Y2337" s="70" t="s">
        <v>9462</v>
      </c>
      <c r="Z2337" s="73" t="s">
        <v>9486</v>
      </c>
      <c r="AA2337" s="74" t="s">
        <v>9504</v>
      </c>
      <c r="AB2337" s="73" t="s">
        <v>9486</v>
      </c>
      <c r="AC2337" s="74" t="s">
        <v>9566</v>
      </c>
      <c r="AD2337" s="73" t="s">
        <v>9578</v>
      </c>
      <c r="AE2337" s="74" t="s">
        <v>9705</v>
      </c>
    </row>
    <row r="2338" spans="1:31" ht="8.65" customHeight="1" x14ac:dyDescent="0.2">
      <c r="A2338" s="76">
        <v>2338</v>
      </c>
      <c r="B2338" s="67" t="str">
        <f>MID(C2338, FIND("Ifc.", C2338) + 4, 4) &amp; "_" &amp; TEXT(COUNTIF($C$2:C2338, C2338),"0000")</f>
        <v>Prop_2337</v>
      </c>
      <c r="C2338" s="24" t="s">
        <v>872</v>
      </c>
      <c r="D2338" s="69" t="s">
        <v>9453</v>
      </c>
      <c r="E2338" s="70" t="s">
        <v>9454</v>
      </c>
      <c r="F2338" s="17" t="s">
        <v>806</v>
      </c>
      <c r="G2338" s="22" t="s">
        <v>920</v>
      </c>
      <c r="H2338" s="12" t="s">
        <v>9703</v>
      </c>
      <c r="I2338" s="13" t="s">
        <v>7414</v>
      </c>
      <c r="J2338" s="14" t="s">
        <v>798</v>
      </c>
      <c r="K2338" s="15" t="s">
        <v>798</v>
      </c>
      <c r="L2338" s="12" t="s">
        <v>5315</v>
      </c>
      <c r="M2338" s="13" t="s">
        <v>5371</v>
      </c>
      <c r="N2338" s="12" t="s">
        <v>803</v>
      </c>
      <c r="O2338" s="13" t="s">
        <v>4812</v>
      </c>
      <c r="P2338" s="17" t="s">
        <v>802</v>
      </c>
      <c r="Q2338" s="21" t="s">
        <v>8094</v>
      </c>
      <c r="R2338" s="17" t="s">
        <v>801</v>
      </c>
      <c r="S2338" s="18" t="s">
        <v>2585</v>
      </c>
      <c r="T2338" s="17" t="s">
        <v>800</v>
      </c>
      <c r="U2338" s="18" t="s">
        <v>5238</v>
      </c>
      <c r="V2338" s="17" t="s">
        <v>9418</v>
      </c>
      <c r="W2338" s="18" t="s">
        <v>5309</v>
      </c>
      <c r="X2338" s="69" t="s">
        <v>9453</v>
      </c>
      <c r="Y2338" s="70" t="s">
        <v>9462</v>
      </c>
      <c r="Z2338" s="73" t="s">
        <v>9486</v>
      </c>
      <c r="AA2338" s="74" t="s">
        <v>9504</v>
      </c>
      <c r="AB2338" s="73" t="s">
        <v>9486</v>
      </c>
      <c r="AC2338" s="74" t="s">
        <v>9566</v>
      </c>
      <c r="AD2338" s="73" t="s">
        <v>9578</v>
      </c>
      <c r="AE2338" s="74" t="s">
        <v>9705</v>
      </c>
    </row>
    <row r="2339" spans="1:31" ht="8.65" customHeight="1" x14ac:dyDescent="0.2">
      <c r="A2339" s="76">
        <v>2339</v>
      </c>
      <c r="B2339" s="67" t="str">
        <f>MID(C2339, FIND("Ifc.", C2339) + 4, 4) &amp; "_" &amp; TEXT(COUNTIF($C$2:C2339, C2339),"0000")</f>
        <v>Prop_2338</v>
      </c>
      <c r="C2339" s="24" t="s">
        <v>872</v>
      </c>
      <c r="D2339" s="69" t="s">
        <v>9453</v>
      </c>
      <c r="E2339" s="70" t="s">
        <v>9454</v>
      </c>
      <c r="F2339" s="17" t="s">
        <v>806</v>
      </c>
      <c r="G2339" s="22" t="s">
        <v>922</v>
      </c>
      <c r="H2339" s="12" t="s">
        <v>9703</v>
      </c>
      <c r="I2339" s="13" t="s">
        <v>7411</v>
      </c>
      <c r="J2339" s="14" t="s">
        <v>798</v>
      </c>
      <c r="K2339" s="15" t="s">
        <v>798</v>
      </c>
      <c r="L2339" s="12" t="s">
        <v>5315</v>
      </c>
      <c r="M2339" s="13" t="s">
        <v>5371</v>
      </c>
      <c r="N2339" s="12" t="s">
        <v>803</v>
      </c>
      <c r="O2339" s="13" t="s">
        <v>4812</v>
      </c>
      <c r="P2339" s="17" t="s">
        <v>802</v>
      </c>
      <c r="Q2339" s="21" t="s">
        <v>8094</v>
      </c>
      <c r="R2339" s="17" t="s">
        <v>801</v>
      </c>
      <c r="S2339" s="18" t="s">
        <v>2585</v>
      </c>
      <c r="T2339" s="17" t="s">
        <v>800</v>
      </c>
      <c r="U2339" s="18" t="s">
        <v>5238</v>
      </c>
      <c r="V2339" s="17" t="s">
        <v>9418</v>
      </c>
      <c r="W2339" s="18" t="s">
        <v>5309</v>
      </c>
      <c r="X2339" s="69" t="s">
        <v>9453</v>
      </c>
      <c r="Y2339" s="70" t="s">
        <v>9462</v>
      </c>
      <c r="Z2339" s="73" t="s">
        <v>9486</v>
      </c>
      <c r="AA2339" s="74" t="s">
        <v>9504</v>
      </c>
      <c r="AB2339" s="73" t="s">
        <v>9486</v>
      </c>
      <c r="AC2339" s="74" t="s">
        <v>9566</v>
      </c>
      <c r="AD2339" s="73" t="s">
        <v>9578</v>
      </c>
      <c r="AE2339" s="74" t="s">
        <v>9705</v>
      </c>
    </row>
    <row r="2340" spans="1:31" ht="8.65" customHeight="1" x14ac:dyDescent="0.2">
      <c r="A2340" s="76">
        <v>2340</v>
      </c>
      <c r="B2340" s="67" t="str">
        <f>MID(C2340, FIND("Ifc.", C2340) + 4, 4) &amp; "_" &amp; TEXT(COUNTIF($C$2:C2340, C2340),"0000")</f>
        <v>Prop_2339</v>
      </c>
      <c r="C2340" s="24" t="s">
        <v>872</v>
      </c>
      <c r="D2340" s="69" t="s">
        <v>9453</v>
      </c>
      <c r="E2340" s="70" t="s">
        <v>9454</v>
      </c>
      <c r="F2340" s="17" t="s">
        <v>806</v>
      </c>
      <c r="G2340" s="22" t="s">
        <v>917</v>
      </c>
      <c r="H2340" s="12" t="s">
        <v>9703</v>
      </c>
      <c r="I2340" s="13" t="s">
        <v>7406</v>
      </c>
      <c r="J2340" s="14" t="s">
        <v>798</v>
      </c>
      <c r="K2340" s="15" t="s">
        <v>798</v>
      </c>
      <c r="L2340" s="12" t="s">
        <v>5315</v>
      </c>
      <c r="M2340" s="13" t="s">
        <v>5370</v>
      </c>
      <c r="N2340" s="12" t="s">
        <v>803</v>
      </c>
      <c r="O2340" s="13" t="s">
        <v>4811</v>
      </c>
      <c r="P2340" s="17" t="s">
        <v>802</v>
      </c>
      <c r="Q2340" s="21" t="s">
        <v>8095</v>
      </c>
      <c r="R2340" s="17" t="s">
        <v>801</v>
      </c>
      <c r="S2340" s="18" t="s">
        <v>2585</v>
      </c>
      <c r="T2340" s="17" t="s">
        <v>800</v>
      </c>
      <c r="U2340" s="18" t="s">
        <v>5238</v>
      </c>
      <c r="V2340" s="17" t="s">
        <v>9418</v>
      </c>
      <c r="W2340" s="18" t="s">
        <v>5309</v>
      </c>
      <c r="X2340" s="69" t="s">
        <v>9453</v>
      </c>
      <c r="Y2340" s="70" t="s">
        <v>9462</v>
      </c>
      <c r="Z2340" s="73" t="s">
        <v>9486</v>
      </c>
      <c r="AA2340" s="74" t="s">
        <v>9504</v>
      </c>
      <c r="AB2340" s="73" t="s">
        <v>9486</v>
      </c>
      <c r="AC2340" s="74" t="s">
        <v>9566</v>
      </c>
      <c r="AD2340" s="73" t="s">
        <v>9578</v>
      </c>
      <c r="AE2340" s="74" t="s">
        <v>9579</v>
      </c>
    </row>
    <row r="2341" spans="1:31" ht="8.65" customHeight="1" x14ac:dyDescent="0.2">
      <c r="A2341" s="76">
        <v>2341</v>
      </c>
      <c r="B2341" s="67" t="str">
        <f>MID(C2341, FIND("Ifc.", C2341) + 4, 4) &amp; "_" &amp; TEXT(COUNTIF($C$2:C2341, C2341),"0000")</f>
        <v>Prop_2340</v>
      </c>
      <c r="C2341" s="24" t="s">
        <v>872</v>
      </c>
      <c r="D2341" s="69" t="s">
        <v>9453</v>
      </c>
      <c r="E2341" s="70" t="s">
        <v>9454</v>
      </c>
      <c r="F2341" s="17" t="s">
        <v>806</v>
      </c>
      <c r="G2341" s="22" t="s">
        <v>918</v>
      </c>
      <c r="H2341" s="12" t="s">
        <v>9703</v>
      </c>
      <c r="I2341" s="13" t="s">
        <v>7407</v>
      </c>
      <c r="J2341" s="14" t="s">
        <v>798</v>
      </c>
      <c r="K2341" s="15" t="s">
        <v>798</v>
      </c>
      <c r="L2341" s="12" t="s">
        <v>5315</v>
      </c>
      <c r="M2341" s="13" t="s">
        <v>5370</v>
      </c>
      <c r="N2341" s="12" t="s">
        <v>803</v>
      </c>
      <c r="O2341" s="13" t="s">
        <v>4811</v>
      </c>
      <c r="P2341" s="17" t="s">
        <v>802</v>
      </c>
      <c r="Q2341" s="21" t="s">
        <v>8095</v>
      </c>
      <c r="R2341" s="17" t="s">
        <v>801</v>
      </c>
      <c r="S2341" s="18" t="s">
        <v>2585</v>
      </c>
      <c r="T2341" s="17" t="s">
        <v>800</v>
      </c>
      <c r="U2341" s="18" t="s">
        <v>5238</v>
      </c>
      <c r="V2341" s="17" t="s">
        <v>9418</v>
      </c>
      <c r="W2341" s="18" t="s">
        <v>5309</v>
      </c>
      <c r="X2341" s="69" t="s">
        <v>9453</v>
      </c>
      <c r="Y2341" s="70" t="s">
        <v>9462</v>
      </c>
      <c r="Z2341" s="73" t="s">
        <v>9486</v>
      </c>
      <c r="AA2341" s="74" t="s">
        <v>9504</v>
      </c>
      <c r="AB2341" s="73" t="s">
        <v>9486</v>
      </c>
      <c r="AC2341" s="74" t="s">
        <v>9566</v>
      </c>
      <c r="AD2341" s="73" t="s">
        <v>9578</v>
      </c>
      <c r="AE2341" s="74" t="s">
        <v>9579</v>
      </c>
    </row>
    <row r="2342" spans="1:31" ht="8.65" customHeight="1" x14ac:dyDescent="0.2">
      <c r="A2342" s="76">
        <v>2342</v>
      </c>
      <c r="B2342" s="67" t="str">
        <f>MID(C2342, FIND("Ifc.", C2342) + 4, 4) &amp; "_" &amp; TEXT(COUNTIF($C$2:C2342, C2342),"0000")</f>
        <v>Prop_2341</v>
      </c>
      <c r="C2342" s="24" t="s">
        <v>872</v>
      </c>
      <c r="D2342" s="69" t="s">
        <v>9453</v>
      </c>
      <c r="E2342" s="70" t="s">
        <v>9454</v>
      </c>
      <c r="F2342" s="17" t="s">
        <v>806</v>
      </c>
      <c r="G2342" s="22" t="s">
        <v>919</v>
      </c>
      <c r="H2342" s="12" t="s">
        <v>9703</v>
      </c>
      <c r="I2342" s="13" t="s">
        <v>7408</v>
      </c>
      <c r="J2342" s="14" t="s">
        <v>798</v>
      </c>
      <c r="K2342" s="15" t="s">
        <v>798</v>
      </c>
      <c r="L2342" s="12" t="s">
        <v>5315</v>
      </c>
      <c r="M2342" s="13" t="s">
        <v>5370</v>
      </c>
      <c r="N2342" s="12" t="s">
        <v>803</v>
      </c>
      <c r="O2342" s="13" t="s">
        <v>4811</v>
      </c>
      <c r="P2342" s="17" t="s">
        <v>802</v>
      </c>
      <c r="Q2342" s="21" t="s">
        <v>8095</v>
      </c>
      <c r="R2342" s="17" t="s">
        <v>801</v>
      </c>
      <c r="S2342" s="18" t="s">
        <v>2585</v>
      </c>
      <c r="T2342" s="17" t="s">
        <v>800</v>
      </c>
      <c r="U2342" s="18" t="s">
        <v>5238</v>
      </c>
      <c r="V2342" s="17" t="s">
        <v>9418</v>
      </c>
      <c r="W2342" s="18" t="s">
        <v>5309</v>
      </c>
      <c r="X2342" s="69" t="s">
        <v>9453</v>
      </c>
      <c r="Y2342" s="70" t="s">
        <v>9462</v>
      </c>
      <c r="Z2342" s="73" t="s">
        <v>9486</v>
      </c>
      <c r="AA2342" s="74" t="s">
        <v>9504</v>
      </c>
      <c r="AB2342" s="73" t="s">
        <v>9486</v>
      </c>
      <c r="AC2342" s="74" t="s">
        <v>9566</v>
      </c>
      <c r="AD2342" s="73" t="s">
        <v>9578</v>
      </c>
      <c r="AE2342" s="74" t="s">
        <v>9705</v>
      </c>
    </row>
    <row r="2343" spans="1:31" ht="8.65" customHeight="1" x14ac:dyDescent="0.2">
      <c r="A2343" s="76">
        <v>2343</v>
      </c>
      <c r="B2343" s="67" t="str">
        <f>MID(C2343, FIND("Ifc.", C2343) + 4, 4) &amp; "_" &amp; TEXT(COUNTIF($C$2:C2343, C2343),"0000")</f>
        <v>Prop_2342</v>
      </c>
      <c r="C2343" s="24" t="s">
        <v>872</v>
      </c>
      <c r="D2343" s="69" t="s">
        <v>9453</v>
      </c>
      <c r="E2343" s="70" t="s">
        <v>9454</v>
      </c>
      <c r="F2343" s="17" t="s">
        <v>806</v>
      </c>
      <c r="G2343" s="22" t="s">
        <v>915</v>
      </c>
      <c r="H2343" s="12" t="s">
        <v>9703</v>
      </c>
      <c r="I2343" s="13" t="s">
        <v>7413</v>
      </c>
      <c r="J2343" s="14" t="s">
        <v>798</v>
      </c>
      <c r="K2343" s="15" t="s">
        <v>798</v>
      </c>
      <c r="L2343" s="12" t="s">
        <v>5315</v>
      </c>
      <c r="M2343" s="13" t="s">
        <v>5370</v>
      </c>
      <c r="N2343" s="12" t="s">
        <v>803</v>
      </c>
      <c r="O2343" s="13" t="s">
        <v>4811</v>
      </c>
      <c r="P2343" s="17" t="s">
        <v>802</v>
      </c>
      <c r="Q2343" s="21" t="s">
        <v>8095</v>
      </c>
      <c r="R2343" s="17" t="s">
        <v>801</v>
      </c>
      <c r="S2343" s="18" t="s">
        <v>2585</v>
      </c>
      <c r="T2343" s="17" t="s">
        <v>800</v>
      </c>
      <c r="U2343" s="18" t="s">
        <v>5238</v>
      </c>
      <c r="V2343" s="17" t="s">
        <v>9418</v>
      </c>
      <c r="W2343" s="18" t="s">
        <v>5309</v>
      </c>
      <c r="X2343" s="69" t="s">
        <v>9453</v>
      </c>
      <c r="Y2343" s="70" t="s">
        <v>9462</v>
      </c>
      <c r="Z2343" s="73" t="s">
        <v>9486</v>
      </c>
      <c r="AA2343" s="74" t="s">
        <v>9504</v>
      </c>
      <c r="AB2343" s="73" t="s">
        <v>9486</v>
      </c>
      <c r="AC2343" s="74" t="s">
        <v>9566</v>
      </c>
      <c r="AD2343" s="73" t="s">
        <v>9578</v>
      </c>
      <c r="AE2343" s="74" t="s">
        <v>9705</v>
      </c>
    </row>
    <row r="2344" spans="1:31" ht="8.65" customHeight="1" x14ac:dyDescent="0.2">
      <c r="A2344" s="76">
        <v>2344</v>
      </c>
      <c r="B2344" s="67" t="str">
        <f>MID(C2344, FIND("Ifc.", C2344) + 4, 4) &amp; "_" &amp; TEXT(COUNTIF($C$2:C2344, C2344),"0000")</f>
        <v>Prop_2343</v>
      </c>
      <c r="C2344" s="24" t="s">
        <v>872</v>
      </c>
      <c r="D2344" s="69" t="s">
        <v>9453</v>
      </c>
      <c r="E2344" s="70" t="s">
        <v>9454</v>
      </c>
      <c r="F2344" s="17" t="s">
        <v>806</v>
      </c>
      <c r="G2344" s="22" t="s">
        <v>914</v>
      </c>
      <c r="H2344" s="12" t="s">
        <v>9703</v>
      </c>
      <c r="I2344" s="13" t="s">
        <v>7412</v>
      </c>
      <c r="J2344" s="14" t="s">
        <v>798</v>
      </c>
      <c r="K2344" s="15" t="s">
        <v>798</v>
      </c>
      <c r="L2344" s="12" t="s">
        <v>5315</v>
      </c>
      <c r="M2344" s="13" t="s">
        <v>5370</v>
      </c>
      <c r="N2344" s="12" t="s">
        <v>803</v>
      </c>
      <c r="O2344" s="13" t="s">
        <v>4811</v>
      </c>
      <c r="P2344" s="17" t="s">
        <v>802</v>
      </c>
      <c r="Q2344" s="21" t="s">
        <v>8095</v>
      </c>
      <c r="R2344" s="17" t="s">
        <v>801</v>
      </c>
      <c r="S2344" s="18" t="s">
        <v>2585</v>
      </c>
      <c r="T2344" s="17" t="s">
        <v>800</v>
      </c>
      <c r="U2344" s="18" t="s">
        <v>5238</v>
      </c>
      <c r="V2344" s="17" t="s">
        <v>9418</v>
      </c>
      <c r="W2344" s="18" t="s">
        <v>5309</v>
      </c>
      <c r="X2344" s="69" t="s">
        <v>9453</v>
      </c>
      <c r="Y2344" s="70" t="s">
        <v>9462</v>
      </c>
      <c r="Z2344" s="73" t="s">
        <v>9486</v>
      </c>
      <c r="AA2344" s="74" t="s">
        <v>9504</v>
      </c>
      <c r="AB2344" s="73" t="s">
        <v>9486</v>
      </c>
      <c r="AC2344" s="74" t="s">
        <v>9566</v>
      </c>
      <c r="AD2344" s="73" t="s">
        <v>9578</v>
      </c>
      <c r="AE2344" s="74" t="s">
        <v>9705</v>
      </c>
    </row>
    <row r="2345" spans="1:31" ht="8.65" customHeight="1" x14ac:dyDescent="0.2">
      <c r="A2345" s="76">
        <v>2345</v>
      </c>
      <c r="B2345" s="67" t="str">
        <f>MID(C2345, FIND("Ifc.", C2345) + 4, 4) &amp; "_" &amp; TEXT(COUNTIF($C$2:C2345, C2345),"0000")</f>
        <v>Prop_2344</v>
      </c>
      <c r="C2345" s="24" t="s">
        <v>872</v>
      </c>
      <c r="D2345" s="69" t="s">
        <v>9453</v>
      </c>
      <c r="E2345" s="70" t="s">
        <v>9454</v>
      </c>
      <c r="F2345" s="17" t="s">
        <v>806</v>
      </c>
      <c r="G2345" s="22" t="s">
        <v>916</v>
      </c>
      <c r="H2345" s="12" t="s">
        <v>9703</v>
      </c>
      <c r="I2345" s="13" t="s">
        <v>7405</v>
      </c>
      <c r="J2345" s="14" t="s">
        <v>798</v>
      </c>
      <c r="K2345" s="15" t="s">
        <v>798</v>
      </c>
      <c r="L2345" s="12" t="s">
        <v>5315</v>
      </c>
      <c r="M2345" s="13" t="s">
        <v>5370</v>
      </c>
      <c r="N2345" s="12" t="s">
        <v>803</v>
      </c>
      <c r="O2345" s="13" t="s">
        <v>4811</v>
      </c>
      <c r="P2345" s="17" t="s">
        <v>802</v>
      </c>
      <c r="Q2345" s="21" t="s">
        <v>8095</v>
      </c>
      <c r="R2345" s="17" t="s">
        <v>801</v>
      </c>
      <c r="S2345" s="18" t="s">
        <v>2585</v>
      </c>
      <c r="T2345" s="17" t="s">
        <v>800</v>
      </c>
      <c r="U2345" s="18" t="s">
        <v>5238</v>
      </c>
      <c r="V2345" s="17" t="s">
        <v>9418</v>
      </c>
      <c r="W2345" s="18" t="s">
        <v>5309</v>
      </c>
      <c r="X2345" s="69" t="s">
        <v>9453</v>
      </c>
      <c r="Y2345" s="70" t="s">
        <v>9462</v>
      </c>
      <c r="Z2345" s="73" t="s">
        <v>9486</v>
      </c>
      <c r="AA2345" s="74" t="s">
        <v>9504</v>
      </c>
      <c r="AB2345" s="73" t="s">
        <v>9486</v>
      </c>
      <c r="AC2345" s="74" t="s">
        <v>9566</v>
      </c>
      <c r="AD2345" s="73" t="s">
        <v>9578</v>
      </c>
      <c r="AE2345" s="74" t="s">
        <v>9705</v>
      </c>
    </row>
    <row r="2346" spans="1:31" ht="8.65" customHeight="1" x14ac:dyDescent="0.2">
      <c r="A2346" s="76">
        <v>2346</v>
      </c>
      <c r="B2346" s="67" t="str">
        <f>MID(C2346, FIND("Ifc.", C2346) + 4, 4) &amp; "_" &amp; TEXT(COUNTIF($C$2:C2346, C2346),"0000")</f>
        <v>Prop_2345</v>
      </c>
      <c r="C2346" s="24" t="s">
        <v>872</v>
      </c>
      <c r="D2346" s="69" t="s">
        <v>9453</v>
      </c>
      <c r="E2346" s="70" t="s">
        <v>9454</v>
      </c>
      <c r="F2346" s="17" t="s">
        <v>806</v>
      </c>
      <c r="G2346" s="22" t="s">
        <v>2180</v>
      </c>
      <c r="H2346" s="12" t="s">
        <v>9703</v>
      </c>
      <c r="I2346" s="13" t="s">
        <v>7236</v>
      </c>
      <c r="J2346" s="14" t="s">
        <v>798</v>
      </c>
      <c r="K2346" s="15" t="s">
        <v>798</v>
      </c>
      <c r="L2346" s="12" t="s">
        <v>5315</v>
      </c>
      <c r="M2346" s="13" t="s">
        <v>5504</v>
      </c>
      <c r="N2346" s="12" t="s">
        <v>803</v>
      </c>
      <c r="O2346" s="13" t="s">
        <v>5117</v>
      </c>
      <c r="P2346" s="17" t="s">
        <v>802</v>
      </c>
      <c r="Q2346" s="21" t="s">
        <v>7743</v>
      </c>
      <c r="R2346" s="17" t="s">
        <v>801</v>
      </c>
      <c r="S2346" s="18" t="s">
        <v>2623</v>
      </c>
      <c r="T2346" s="17" t="s">
        <v>800</v>
      </c>
      <c r="U2346" s="18" t="s">
        <v>5247</v>
      </c>
      <c r="V2346" s="17" t="s">
        <v>9418</v>
      </c>
      <c r="W2346" s="18" t="s">
        <v>5309</v>
      </c>
      <c r="X2346" s="69" t="s">
        <v>9453</v>
      </c>
      <c r="Y2346" s="70" t="s">
        <v>9462</v>
      </c>
      <c r="Z2346" s="73" t="s">
        <v>9486</v>
      </c>
      <c r="AA2346" s="74" t="s">
        <v>9504</v>
      </c>
      <c r="AB2346" s="73" t="s">
        <v>9486</v>
      </c>
      <c r="AC2346" s="74" t="s">
        <v>9566</v>
      </c>
      <c r="AD2346" s="73" t="s">
        <v>9578</v>
      </c>
      <c r="AE2346" s="74" t="s">
        <v>9579</v>
      </c>
    </row>
    <row r="2347" spans="1:31" ht="8.65" customHeight="1" x14ac:dyDescent="0.2">
      <c r="A2347" s="76">
        <v>2347</v>
      </c>
      <c r="B2347" s="67" t="str">
        <f>MID(C2347, FIND("Ifc.", C2347) + 4, 4) &amp; "_" &amp; TEXT(COUNTIF($C$2:C2347, C2347),"0000")</f>
        <v>Prop_2346</v>
      </c>
      <c r="C2347" s="24" t="s">
        <v>872</v>
      </c>
      <c r="D2347" s="69" t="s">
        <v>9453</v>
      </c>
      <c r="E2347" s="70" t="s">
        <v>9454</v>
      </c>
      <c r="F2347" s="17" t="s">
        <v>806</v>
      </c>
      <c r="G2347" s="22" t="s">
        <v>2184</v>
      </c>
      <c r="H2347" s="12" t="s">
        <v>9703</v>
      </c>
      <c r="I2347" s="13" t="s">
        <v>7235</v>
      </c>
      <c r="J2347" s="14" t="s">
        <v>798</v>
      </c>
      <c r="K2347" s="15" t="s">
        <v>798</v>
      </c>
      <c r="L2347" s="12" t="s">
        <v>5315</v>
      </c>
      <c r="M2347" s="13" t="s">
        <v>5504</v>
      </c>
      <c r="N2347" s="12" t="s">
        <v>803</v>
      </c>
      <c r="O2347" s="13" t="s">
        <v>5117</v>
      </c>
      <c r="P2347" s="17" t="s">
        <v>802</v>
      </c>
      <c r="Q2347" s="21" t="s">
        <v>7743</v>
      </c>
      <c r="R2347" s="17" t="s">
        <v>801</v>
      </c>
      <c r="S2347" s="18" t="s">
        <v>2623</v>
      </c>
      <c r="T2347" s="17" t="s">
        <v>800</v>
      </c>
      <c r="U2347" s="18" t="s">
        <v>5247</v>
      </c>
      <c r="V2347" s="17" t="s">
        <v>9418</v>
      </c>
      <c r="W2347" s="18" t="s">
        <v>5309</v>
      </c>
      <c r="X2347" s="69" t="s">
        <v>9453</v>
      </c>
      <c r="Y2347" s="70" t="s">
        <v>9462</v>
      </c>
      <c r="Z2347" s="73" t="s">
        <v>9486</v>
      </c>
      <c r="AA2347" s="74" t="s">
        <v>9504</v>
      </c>
      <c r="AB2347" s="73" t="s">
        <v>9486</v>
      </c>
      <c r="AC2347" s="74" t="s">
        <v>9566</v>
      </c>
      <c r="AD2347" s="73" t="s">
        <v>9578</v>
      </c>
      <c r="AE2347" s="74" t="s">
        <v>9579</v>
      </c>
    </row>
    <row r="2348" spans="1:31" ht="8.65" customHeight="1" x14ac:dyDescent="0.2">
      <c r="A2348" s="76">
        <v>2348</v>
      </c>
      <c r="B2348" s="67" t="str">
        <f>MID(C2348, FIND("Ifc.", C2348) + 4, 4) &amp; "_" &amp; TEXT(COUNTIF($C$2:C2348, C2348),"0000")</f>
        <v>Prop_2347</v>
      </c>
      <c r="C2348" s="24" t="s">
        <v>872</v>
      </c>
      <c r="D2348" s="69" t="s">
        <v>9453</v>
      </c>
      <c r="E2348" s="70" t="s">
        <v>9454</v>
      </c>
      <c r="F2348" s="17" t="s">
        <v>806</v>
      </c>
      <c r="G2348" s="22" t="s">
        <v>2181</v>
      </c>
      <c r="H2348" s="12" t="s">
        <v>9703</v>
      </c>
      <c r="I2348" s="13" t="s">
        <v>7234</v>
      </c>
      <c r="J2348" s="14" t="s">
        <v>798</v>
      </c>
      <c r="K2348" s="15" t="s">
        <v>798</v>
      </c>
      <c r="L2348" s="12" t="s">
        <v>5315</v>
      </c>
      <c r="M2348" s="13" t="s">
        <v>5504</v>
      </c>
      <c r="N2348" s="12" t="s">
        <v>803</v>
      </c>
      <c r="O2348" s="13" t="s">
        <v>5117</v>
      </c>
      <c r="P2348" s="17" t="s">
        <v>802</v>
      </c>
      <c r="Q2348" s="21" t="s">
        <v>7743</v>
      </c>
      <c r="R2348" s="17" t="s">
        <v>801</v>
      </c>
      <c r="S2348" s="18" t="s">
        <v>2623</v>
      </c>
      <c r="T2348" s="17" t="s">
        <v>800</v>
      </c>
      <c r="U2348" s="18" t="s">
        <v>5247</v>
      </c>
      <c r="V2348" s="17" t="s">
        <v>9418</v>
      </c>
      <c r="W2348" s="18" t="s">
        <v>5309</v>
      </c>
      <c r="X2348" s="69" t="s">
        <v>9453</v>
      </c>
      <c r="Y2348" s="70" t="s">
        <v>9462</v>
      </c>
      <c r="Z2348" s="73" t="s">
        <v>9486</v>
      </c>
      <c r="AA2348" s="74" t="s">
        <v>9504</v>
      </c>
      <c r="AB2348" s="73" t="s">
        <v>9486</v>
      </c>
      <c r="AC2348" s="74" t="s">
        <v>9566</v>
      </c>
      <c r="AD2348" s="73" t="s">
        <v>9578</v>
      </c>
      <c r="AE2348" s="74" t="s">
        <v>9579</v>
      </c>
    </row>
    <row r="2349" spans="1:31" ht="8.65" customHeight="1" x14ac:dyDescent="0.2">
      <c r="A2349" s="76">
        <v>2349</v>
      </c>
      <c r="B2349" s="67" t="str">
        <f>MID(C2349, FIND("Ifc.", C2349) + 4, 4) &amp; "_" &amp; TEXT(COUNTIF($C$2:C2349, C2349),"0000")</f>
        <v>Prop_2348</v>
      </c>
      <c r="C2349" s="24" t="s">
        <v>872</v>
      </c>
      <c r="D2349" s="69" t="s">
        <v>9453</v>
      </c>
      <c r="E2349" s="70" t="s">
        <v>9454</v>
      </c>
      <c r="F2349" s="17" t="s">
        <v>806</v>
      </c>
      <c r="G2349" s="22" t="s">
        <v>2098</v>
      </c>
      <c r="H2349" s="12" t="s">
        <v>9703</v>
      </c>
      <c r="I2349" s="13" t="s">
        <v>6933</v>
      </c>
      <c r="J2349" s="14" t="s">
        <v>798</v>
      </c>
      <c r="K2349" s="15" t="s">
        <v>798</v>
      </c>
      <c r="L2349" s="12" t="s">
        <v>5315</v>
      </c>
      <c r="M2349" s="13" t="s">
        <v>5490</v>
      </c>
      <c r="N2349" s="12" t="s">
        <v>803</v>
      </c>
      <c r="O2349" s="13" t="s">
        <v>5099</v>
      </c>
      <c r="P2349" s="17" t="s">
        <v>802</v>
      </c>
      <c r="Q2349" s="21" t="s">
        <v>7778</v>
      </c>
      <c r="R2349" s="17" t="s">
        <v>801</v>
      </c>
      <c r="S2349" s="18" t="s">
        <v>2625</v>
      </c>
      <c r="T2349" s="17" t="s">
        <v>800</v>
      </c>
      <c r="U2349" s="18" t="s">
        <v>5240</v>
      </c>
      <c r="V2349" s="17" t="s">
        <v>9418</v>
      </c>
      <c r="W2349" s="18" t="s">
        <v>5309</v>
      </c>
      <c r="X2349" s="69" t="s">
        <v>9453</v>
      </c>
      <c r="Y2349" s="70" t="s">
        <v>9462</v>
      </c>
      <c r="Z2349" s="73" t="s">
        <v>9486</v>
      </c>
      <c r="AA2349" s="74" t="s">
        <v>9504</v>
      </c>
      <c r="AB2349" s="73" t="s">
        <v>9486</v>
      </c>
      <c r="AC2349" s="74" t="s">
        <v>9566</v>
      </c>
      <c r="AD2349" s="73" t="s">
        <v>9578</v>
      </c>
      <c r="AE2349" s="74" t="s">
        <v>9579</v>
      </c>
    </row>
    <row r="2350" spans="1:31" ht="8.65" customHeight="1" x14ac:dyDescent="0.2">
      <c r="A2350" s="76">
        <v>2350</v>
      </c>
      <c r="B2350" s="67" t="str">
        <f>MID(C2350, FIND("Ifc.", C2350) + 4, 4) &amp; "_" &amp; TEXT(COUNTIF($C$2:C2350, C2350),"0000")</f>
        <v>Prop_2349</v>
      </c>
      <c r="C2350" s="24" t="s">
        <v>872</v>
      </c>
      <c r="D2350" s="69" t="s">
        <v>9453</v>
      </c>
      <c r="E2350" s="70" t="s">
        <v>9454</v>
      </c>
      <c r="F2350" s="17" t="s">
        <v>806</v>
      </c>
      <c r="G2350" s="22" t="s">
        <v>1688</v>
      </c>
      <c r="H2350" s="12" t="s">
        <v>9703</v>
      </c>
      <c r="I2350" s="13" t="s">
        <v>7233</v>
      </c>
      <c r="J2350" s="14" t="s">
        <v>798</v>
      </c>
      <c r="K2350" s="15" t="s">
        <v>798</v>
      </c>
      <c r="L2350" s="12" t="s">
        <v>5315</v>
      </c>
      <c r="M2350" s="13" t="s">
        <v>5851</v>
      </c>
      <c r="N2350" s="12" t="s">
        <v>803</v>
      </c>
      <c r="O2350" s="13" t="s">
        <v>4998</v>
      </c>
      <c r="P2350" s="17" t="s">
        <v>802</v>
      </c>
      <c r="Q2350" s="21" t="s">
        <v>8076</v>
      </c>
      <c r="R2350" s="17" t="s">
        <v>801</v>
      </c>
      <c r="S2350" s="18" t="s">
        <v>3636</v>
      </c>
      <c r="T2350" s="17" t="s">
        <v>800</v>
      </c>
      <c r="U2350" s="18" t="s">
        <v>5257</v>
      </c>
      <c r="V2350" s="17" t="s">
        <v>9418</v>
      </c>
      <c r="W2350" s="18" t="s">
        <v>5314</v>
      </c>
      <c r="X2350" s="69" t="s">
        <v>9453</v>
      </c>
      <c r="Y2350" s="70" t="s">
        <v>9464</v>
      </c>
      <c r="Z2350" s="73" t="s">
        <v>9486</v>
      </c>
      <c r="AA2350" s="74" t="s">
        <v>9504</v>
      </c>
      <c r="AB2350" s="73" t="s">
        <v>9486</v>
      </c>
      <c r="AC2350" s="74" t="s">
        <v>9561</v>
      </c>
      <c r="AD2350" s="73" t="s">
        <v>9578</v>
      </c>
      <c r="AE2350" s="74" t="s">
        <v>9579</v>
      </c>
    </row>
    <row r="2351" spans="1:31" ht="8.65" customHeight="1" x14ac:dyDescent="0.2">
      <c r="A2351" s="76">
        <v>2351</v>
      </c>
      <c r="B2351" s="67" t="str">
        <f>MID(C2351, FIND("Ifc.", C2351) + 4, 4) &amp; "_" &amp; TEXT(COUNTIF($C$2:C2351, C2351),"0000")</f>
        <v>Prop_2350</v>
      </c>
      <c r="C2351" s="24" t="s">
        <v>872</v>
      </c>
      <c r="D2351" s="69" t="s">
        <v>9453</v>
      </c>
      <c r="E2351" s="70" t="s">
        <v>9454</v>
      </c>
      <c r="F2351" s="17" t="s">
        <v>806</v>
      </c>
      <c r="G2351" s="22" t="s">
        <v>2097</v>
      </c>
      <c r="H2351" s="12" t="s">
        <v>9703</v>
      </c>
      <c r="I2351" s="13" t="s">
        <v>6636</v>
      </c>
      <c r="J2351" s="14" t="s">
        <v>798</v>
      </c>
      <c r="K2351" s="15" t="s">
        <v>798</v>
      </c>
      <c r="L2351" s="12" t="s">
        <v>5315</v>
      </c>
      <c r="M2351" s="13" t="s">
        <v>5490</v>
      </c>
      <c r="N2351" s="12" t="s">
        <v>803</v>
      </c>
      <c r="O2351" s="13" t="s">
        <v>5099</v>
      </c>
      <c r="P2351" s="17" t="s">
        <v>802</v>
      </c>
      <c r="Q2351" s="21" t="s">
        <v>7778</v>
      </c>
      <c r="R2351" s="17" t="s">
        <v>801</v>
      </c>
      <c r="S2351" s="18" t="s">
        <v>2625</v>
      </c>
      <c r="T2351" s="17" t="s">
        <v>800</v>
      </c>
      <c r="U2351" s="18" t="s">
        <v>5240</v>
      </c>
      <c r="V2351" s="17" t="s">
        <v>9418</v>
      </c>
      <c r="W2351" s="18" t="s">
        <v>5309</v>
      </c>
      <c r="X2351" s="69" t="s">
        <v>9453</v>
      </c>
      <c r="Y2351" s="70" t="s">
        <v>9462</v>
      </c>
      <c r="Z2351" s="73" t="s">
        <v>9486</v>
      </c>
      <c r="AA2351" s="74" t="s">
        <v>9504</v>
      </c>
      <c r="AB2351" s="73" t="s">
        <v>9486</v>
      </c>
      <c r="AC2351" s="74" t="s">
        <v>9566</v>
      </c>
      <c r="AD2351" s="73" t="s">
        <v>9578</v>
      </c>
      <c r="AE2351" s="74" t="s">
        <v>9579</v>
      </c>
    </row>
    <row r="2352" spans="1:31" ht="8.65" customHeight="1" x14ac:dyDescent="0.2">
      <c r="A2352" s="76">
        <v>2352</v>
      </c>
      <c r="B2352" s="67" t="str">
        <f>MID(C2352, FIND("Ifc.", C2352) + 4, 4) &amp; "_" &amp; TEXT(COUNTIF($C$2:C2352, C2352),"0000")</f>
        <v>Prop_2351</v>
      </c>
      <c r="C2352" s="24" t="s">
        <v>872</v>
      </c>
      <c r="D2352" s="69" t="s">
        <v>9453</v>
      </c>
      <c r="E2352" s="70" t="s">
        <v>9454</v>
      </c>
      <c r="F2352" s="17" t="s">
        <v>806</v>
      </c>
      <c r="G2352" s="22" t="s">
        <v>1111</v>
      </c>
      <c r="H2352" s="12" t="s">
        <v>9703</v>
      </c>
      <c r="I2352" s="13" t="s">
        <v>6163</v>
      </c>
      <c r="J2352" s="14" t="s">
        <v>798</v>
      </c>
      <c r="K2352" s="15" t="s">
        <v>798</v>
      </c>
      <c r="L2352" s="12" t="s">
        <v>5315</v>
      </c>
      <c r="M2352" s="13" t="s">
        <v>6037</v>
      </c>
      <c r="N2352" s="12" t="s">
        <v>803</v>
      </c>
      <c r="O2352" s="13" t="s">
        <v>4857</v>
      </c>
      <c r="P2352" s="17" t="s">
        <v>802</v>
      </c>
      <c r="Q2352" s="21" t="s">
        <v>7744</v>
      </c>
      <c r="R2352" s="17" t="s">
        <v>801</v>
      </c>
      <c r="S2352" s="18" t="s">
        <v>2619</v>
      </c>
      <c r="T2352" s="17" t="s">
        <v>800</v>
      </c>
      <c r="U2352" s="18" t="s">
        <v>5239</v>
      </c>
      <c r="V2352" s="17" t="s">
        <v>9418</v>
      </c>
      <c r="W2352" s="18" t="s">
        <v>5312</v>
      </c>
      <c r="X2352" s="69" t="s">
        <v>9453</v>
      </c>
      <c r="Y2352" s="70" t="s">
        <v>9465</v>
      </c>
      <c r="Z2352" s="73" t="s">
        <v>9486</v>
      </c>
      <c r="AA2352" s="74" t="s">
        <v>9504</v>
      </c>
      <c r="AB2352" s="73" t="s">
        <v>9486</v>
      </c>
      <c r="AC2352" s="74" t="s">
        <v>9566</v>
      </c>
      <c r="AD2352" s="73" t="s">
        <v>9578</v>
      </c>
      <c r="AE2352" s="74" t="s">
        <v>9579</v>
      </c>
    </row>
    <row r="2353" spans="1:31" ht="8.65" customHeight="1" x14ac:dyDescent="0.2">
      <c r="A2353" s="76">
        <v>2353</v>
      </c>
      <c r="B2353" s="67" t="str">
        <f>MID(C2353, FIND("Ifc.", C2353) + 4, 4) &amp; "_" &amp; TEXT(COUNTIF($C$2:C2353, C2353),"0000")</f>
        <v>Prop_2352</v>
      </c>
      <c r="C2353" s="24" t="s">
        <v>872</v>
      </c>
      <c r="D2353" s="69" t="s">
        <v>9453</v>
      </c>
      <c r="E2353" s="70" t="s">
        <v>9454</v>
      </c>
      <c r="F2353" s="17" t="s">
        <v>806</v>
      </c>
      <c r="G2353" s="22" t="s">
        <v>1111</v>
      </c>
      <c r="H2353" s="12" t="s">
        <v>9703</v>
      </c>
      <c r="I2353" s="13" t="s">
        <v>6163</v>
      </c>
      <c r="J2353" s="14" t="s">
        <v>798</v>
      </c>
      <c r="K2353" s="15" t="s">
        <v>798</v>
      </c>
      <c r="L2353" s="12" t="s">
        <v>5315</v>
      </c>
      <c r="M2353" s="13" t="s">
        <v>5892</v>
      </c>
      <c r="N2353" s="12" t="s">
        <v>803</v>
      </c>
      <c r="O2353" s="13" t="s">
        <v>4961</v>
      </c>
      <c r="P2353" s="17" t="s">
        <v>802</v>
      </c>
      <c r="Q2353" s="21" t="s">
        <v>7745</v>
      </c>
      <c r="R2353" s="17" t="s">
        <v>801</v>
      </c>
      <c r="S2353" s="18" t="s">
        <v>3636</v>
      </c>
      <c r="T2353" s="17" t="s">
        <v>800</v>
      </c>
      <c r="U2353" s="18" t="s">
        <v>5257</v>
      </c>
      <c r="V2353" s="17" t="s">
        <v>9418</v>
      </c>
      <c r="W2353" s="18" t="s">
        <v>5314</v>
      </c>
      <c r="X2353" s="69" t="s">
        <v>9453</v>
      </c>
      <c r="Y2353" s="70" t="s">
        <v>9464</v>
      </c>
      <c r="Z2353" s="73" t="s">
        <v>9486</v>
      </c>
      <c r="AA2353" s="74" t="s">
        <v>9504</v>
      </c>
      <c r="AB2353" s="73" t="s">
        <v>9486</v>
      </c>
      <c r="AC2353" s="74" t="s">
        <v>9561</v>
      </c>
      <c r="AD2353" s="73" t="s">
        <v>9578</v>
      </c>
      <c r="AE2353" s="74" t="s">
        <v>9579</v>
      </c>
    </row>
    <row r="2354" spans="1:31" ht="8.65" customHeight="1" x14ac:dyDescent="0.2">
      <c r="A2354" s="76">
        <v>2354</v>
      </c>
      <c r="B2354" s="67" t="str">
        <f>MID(C2354, FIND("Ifc.", C2354) + 4, 4) &amp; "_" &amp; TEXT(COUNTIF($C$2:C2354, C2354),"0000")</f>
        <v>Prop_2353</v>
      </c>
      <c r="C2354" s="24" t="s">
        <v>872</v>
      </c>
      <c r="D2354" s="69" t="s">
        <v>9453</v>
      </c>
      <c r="E2354" s="70" t="s">
        <v>9454</v>
      </c>
      <c r="F2354" s="17" t="s">
        <v>806</v>
      </c>
      <c r="G2354" s="22" t="s">
        <v>2461</v>
      </c>
      <c r="H2354" s="12" t="s">
        <v>9703</v>
      </c>
      <c r="I2354" s="13" t="s">
        <v>7659</v>
      </c>
      <c r="J2354" s="14" t="s">
        <v>798</v>
      </c>
      <c r="K2354" s="15" t="s">
        <v>798</v>
      </c>
      <c r="L2354" s="12" t="s">
        <v>5315</v>
      </c>
      <c r="M2354" s="13" t="s">
        <v>6026</v>
      </c>
      <c r="N2354" s="12" t="s">
        <v>803</v>
      </c>
      <c r="O2354" s="13" t="s">
        <v>5212</v>
      </c>
      <c r="P2354" s="17" t="s">
        <v>802</v>
      </c>
      <c r="Q2354" s="21" t="s">
        <v>7899</v>
      </c>
      <c r="R2354" s="17" t="s">
        <v>801</v>
      </c>
      <c r="S2354" s="18" t="s">
        <v>2590</v>
      </c>
      <c r="T2354" s="17" t="s">
        <v>800</v>
      </c>
      <c r="U2354" s="18" t="s">
        <v>5274</v>
      </c>
      <c r="V2354" s="17" t="s">
        <v>9418</v>
      </c>
      <c r="W2354" s="18" t="s">
        <v>5311</v>
      </c>
      <c r="X2354" s="69" t="s">
        <v>9453</v>
      </c>
      <c r="Y2354" s="70" t="s">
        <v>9466</v>
      </c>
      <c r="Z2354" s="73" t="s">
        <v>9486</v>
      </c>
      <c r="AA2354" s="74" t="s">
        <v>9504</v>
      </c>
      <c r="AB2354" s="73" t="s">
        <v>9486</v>
      </c>
      <c r="AC2354" s="74" t="s">
        <v>9566</v>
      </c>
      <c r="AD2354" s="73" t="s">
        <v>9578</v>
      </c>
      <c r="AE2354" s="74" t="s">
        <v>9579</v>
      </c>
    </row>
    <row r="2355" spans="1:31" ht="8.65" customHeight="1" x14ac:dyDescent="0.2">
      <c r="A2355" s="76">
        <v>2355</v>
      </c>
      <c r="B2355" s="67" t="str">
        <f>MID(C2355, FIND("Ifc.", C2355) + 4, 4) &amp; "_" &amp; TEXT(COUNTIF($C$2:C2355, C2355),"0000")</f>
        <v>Prop_2354</v>
      </c>
      <c r="C2355" s="24" t="s">
        <v>872</v>
      </c>
      <c r="D2355" s="69" t="s">
        <v>9453</v>
      </c>
      <c r="E2355" s="70" t="s">
        <v>9454</v>
      </c>
      <c r="F2355" s="17" t="s">
        <v>806</v>
      </c>
      <c r="G2355" s="22" t="s">
        <v>1733</v>
      </c>
      <c r="H2355" s="12" t="s">
        <v>9703</v>
      </c>
      <c r="I2355" s="13" t="s">
        <v>6458</v>
      </c>
      <c r="J2355" s="14" t="s">
        <v>798</v>
      </c>
      <c r="K2355" s="15" t="s">
        <v>798</v>
      </c>
      <c r="L2355" s="12" t="s">
        <v>5315</v>
      </c>
      <c r="M2355" s="13" t="s">
        <v>5931</v>
      </c>
      <c r="N2355" s="12" t="s">
        <v>803</v>
      </c>
      <c r="O2355" s="13" t="s">
        <v>5004</v>
      </c>
      <c r="P2355" s="17" t="s">
        <v>802</v>
      </c>
      <c r="Q2355" s="21" t="s">
        <v>7689</v>
      </c>
      <c r="R2355" s="17" t="s">
        <v>801</v>
      </c>
      <c r="S2355" s="18" t="s">
        <v>2669</v>
      </c>
      <c r="T2355" s="17" t="s">
        <v>800</v>
      </c>
      <c r="U2355" s="18" t="s">
        <v>5237</v>
      </c>
      <c r="V2355" s="17" t="s">
        <v>9418</v>
      </c>
      <c r="W2355" s="18" t="s">
        <v>5309</v>
      </c>
      <c r="X2355" s="69" t="s">
        <v>9453</v>
      </c>
      <c r="Y2355" s="70" t="s">
        <v>9462</v>
      </c>
      <c r="Z2355" s="73" t="s">
        <v>9486</v>
      </c>
      <c r="AA2355" s="74" t="s">
        <v>9504</v>
      </c>
      <c r="AB2355" s="73" t="s">
        <v>9486</v>
      </c>
      <c r="AC2355" s="74" t="s">
        <v>9562</v>
      </c>
      <c r="AD2355" s="73" t="s">
        <v>9578</v>
      </c>
      <c r="AE2355" s="74" t="s">
        <v>9579</v>
      </c>
    </row>
    <row r="2356" spans="1:31" ht="8.65" customHeight="1" x14ac:dyDescent="0.2">
      <c r="A2356" s="76">
        <v>2356</v>
      </c>
      <c r="B2356" s="67" t="str">
        <f>MID(C2356, FIND("Ifc.", C2356) + 4, 4) &amp; "_" &amp; TEXT(COUNTIF($C$2:C2356, C2356),"0000")</f>
        <v>Prop_2355</v>
      </c>
      <c r="C2356" s="24" t="s">
        <v>872</v>
      </c>
      <c r="D2356" s="69" t="s">
        <v>9453</v>
      </c>
      <c r="E2356" s="70" t="s">
        <v>9454</v>
      </c>
      <c r="F2356" s="17" t="s">
        <v>806</v>
      </c>
      <c r="G2356" s="22" t="s">
        <v>1922</v>
      </c>
      <c r="H2356" s="12" t="s">
        <v>9703</v>
      </c>
      <c r="I2356" s="13" t="s">
        <v>6578</v>
      </c>
      <c r="J2356" s="14" t="s">
        <v>798</v>
      </c>
      <c r="K2356" s="15" t="s">
        <v>798</v>
      </c>
      <c r="L2356" s="12" t="s">
        <v>5315</v>
      </c>
      <c r="M2356" s="13" t="s">
        <v>5965</v>
      </c>
      <c r="N2356" s="12" t="s">
        <v>803</v>
      </c>
      <c r="O2356" s="13" t="s">
        <v>5061</v>
      </c>
      <c r="P2356" s="17" t="s">
        <v>802</v>
      </c>
      <c r="Q2356" s="21" t="s">
        <v>7770</v>
      </c>
      <c r="R2356" s="17" t="s">
        <v>801</v>
      </c>
      <c r="S2356" s="18" t="s">
        <v>2554</v>
      </c>
      <c r="T2356" s="17" t="s">
        <v>800</v>
      </c>
      <c r="U2356" s="18" t="s">
        <v>5233</v>
      </c>
      <c r="V2356" s="17" t="s">
        <v>9418</v>
      </c>
      <c r="W2356" s="18" t="s">
        <v>5310</v>
      </c>
      <c r="X2356" s="69" t="s">
        <v>9453</v>
      </c>
      <c r="Y2356" s="70" t="s">
        <v>9463</v>
      </c>
      <c r="Z2356" s="73" t="s">
        <v>9486</v>
      </c>
      <c r="AA2356" s="74" t="s">
        <v>9504</v>
      </c>
      <c r="AB2356" s="73" t="s">
        <v>9486</v>
      </c>
      <c r="AC2356" s="74" t="s">
        <v>9562</v>
      </c>
      <c r="AD2356" s="73" t="s">
        <v>9578</v>
      </c>
      <c r="AE2356" s="74" t="s">
        <v>9579</v>
      </c>
    </row>
    <row r="2357" spans="1:31" ht="8.65" customHeight="1" x14ac:dyDescent="0.2">
      <c r="A2357" s="76">
        <v>2357</v>
      </c>
      <c r="B2357" s="67" t="str">
        <f>MID(C2357, FIND("Ifc.", C2357) + 4, 4) &amp; "_" &amp; TEXT(COUNTIF($C$2:C2357, C2357),"0000")</f>
        <v>Prop_2356</v>
      </c>
      <c r="C2357" s="24" t="s">
        <v>872</v>
      </c>
      <c r="D2357" s="69" t="s">
        <v>9453</v>
      </c>
      <c r="E2357" s="70" t="s">
        <v>9454</v>
      </c>
      <c r="F2357" s="17" t="s">
        <v>806</v>
      </c>
      <c r="G2357" s="22" t="s">
        <v>2342</v>
      </c>
      <c r="H2357" s="12" t="s">
        <v>9703</v>
      </c>
      <c r="I2357" s="13" t="s">
        <v>7223</v>
      </c>
      <c r="J2357" s="14" t="s">
        <v>798</v>
      </c>
      <c r="K2357" s="15" t="s">
        <v>798</v>
      </c>
      <c r="L2357" s="12" t="s">
        <v>5315</v>
      </c>
      <c r="M2357" s="13" t="s">
        <v>5860</v>
      </c>
      <c r="N2357" s="12" t="s">
        <v>803</v>
      </c>
      <c r="O2357" s="13" t="s">
        <v>5173</v>
      </c>
      <c r="P2357" s="17" t="s">
        <v>802</v>
      </c>
      <c r="Q2357" s="21" t="s">
        <v>7709</v>
      </c>
      <c r="R2357" s="17" t="s">
        <v>801</v>
      </c>
      <c r="S2357" s="18" t="s">
        <v>2554</v>
      </c>
      <c r="T2357" s="17" t="s">
        <v>800</v>
      </c>
      <c r="U2357" s="18" t="s">
        <v>5233</v>
      </c>
      <c r="V2357" s="17" t="s">
        <v>9418</v>
      </c>
      <c r="W2357" s="18" t="s">
        <v>5309</v>
      </c>
      <c r="X2357" s="69" t="s">
        <v>9453</v>
      </c>
      <c r="Y2357" s="70" t="s">
        <v>9462</v>
      </c>
      <c r="Z2357" s="73" t="s">
        <v>9486</v>
      </c>
      <c r="AA2357" s="74" t="s">
        <v>9504</v>
      </c>
      <c r="AB2357" s="73" t="s">
        <v>9486</v>
      </c>
      <c r="AC2357" s="74" t="s">
        <v>9562</v>
      </c>
      <c r="AD2357" s="73" t="s">
        <v>9578</v>
      </c>
      <c r="AE2357" s="74" t="s">
        <v>9579</v>
      </c>
    </row>
    <row r="2358" spans="1:31" ht="8.65" customHeight="1" x14ac:dyDescent="0.2">
      <c r="A2358" s="76">
        <v>2358</v>
      </c>
      <c r="B2358" s="67" t="str">
        <f>MID(C2358, FIND("Ifc.", C2358) + 4, 4) &amp; "_" &amp; TEXT(COUNTIF($C$2:C2358, C2358),"0000")</f>
        <v>Prop_2357</v>
      </c>
      <c r="C2358" s="24" t="s">
        <v>872</v>
      </c>
      <c r="D2358" s="69" t="s">
        <v>9453</v>
      </c>
      <c r="E2358" s="70" t="s">
        <v>9454</v>
      </c>
      <c r="F2358" s="17" t="s">
        <v>806</v>
      </c>
      <c r="G2358" s="22" t="s">
        <v>2459</v>
      </c>
      <c r="H2358" s="12" t="s">
        <v>9703</v>
      </c>
      <c r="I2358" s="13" t="s">
        <v>7222</v>
      </c>
      <c r="J2358" s="14" t="s">
        <v>798</v>
      </c>
      <c r="K2358" s="15" t="s">
        <v>798</v>
      </c>
      <c r="L2358" s="12" t="s">
        <v>5315</v>
      </c>
      <c r="M2358" s="13" t="s">
        <v>6025</v>
      </c>
      <c r="N2358" s="12" t="s">
        <v>803</v>
      </c>
      <c r="O2358" s="13" t="s">
        <v>5211</v>
      </c>
      <c r="P2358" s="17" t="s">
        <v>802</v>
      </c>
      <c r="Q2358" s="21" t="s">
        <v>7938</v>
      </c>
      <c r="R2358" s="17" t="s">
        <v>801</v>
      </c>
      <c r="S2358" s="18" t="s">
        <v>2560</v>
      </c>
      <c r="T2358" s="17" t="s">
        <v>800</v>
      </c>
      <c r="U2358" s="18" t="s">
        <v>5236</v>
      </c>
      <c r="V2358" s="17" t="s">
        <v>9418</v>
      </c>
      <c r="W2358" s="18" t="s">
        <v>5309</v>
      </c>
      <c r="X2358" s="69" t="s">
        <v>9453</v>
      </c>
      <c r="Y2358" s="70" t="s">
        <v>9462</v>
      </c>
      <c r="Z2358" s="73" t="s">
        <v>9486</v>
      </c>
      <c r="AA2358" s="74" t="s">
        <v>9504</v>
      </c>
      <c r="AB2358" s="73" t="s">
        <v>9486</v>
      </c>
      <c r="AC2358" s="74" t="s">
        <v>9562</v>
      </c>
      <c r="AD2358" s="73" t="s">
        <v>9578</v>
      </c>
      <c r="AE2358" s="74" t="s">
        <v>9579</v>
      </c>
    </row>
    <row r="2359" spans="1:31" ht="8.65" customHeight="1" x14ac:dyDescent="0.2">
      <c r="A2359" s="76">
        <v>2359</v>
      </c>
      <c r="B2359" s="67" t="str">
        <f>MID(C2359, FIND("Ifc.", C2359) + 4, 4) &amp; "_" &amp; TEXT(COUNTIF($C$2:C2359, C2359),"0000")</f>
        <v>Prop_2358</v>
      </c>
      <c r="C2359" s="24" t="s">
        <v>872</v>
      </c>
      <c r="D2359" s="69" t="s">
        <v>9453</v>
      </c>
      <c r="E2359" s="70" t="s">
        <v>9454</v>
      </c>
      <c r="F2359" s="17" t="s">
        <v>806</v>
      </c>
      <c r="G2359" s="22" t="s">
        <v>1614</v>
      </c>
      <c r="H2359" s="12" t="s">
        <v>9703</v>
      </c>
      <c r="I2359" s="13" t="s">
        <v>6359</v>
      </c>
      <c r="J2359" s="14" t="s">
        <v>798</v>
      </c>
      <c r="K2359" s="15" t="s">
        <v>798</v>
      </c>
      <c r="L2359" s="12" t="s">
        <v>5315</v>
      </c>
      <c r="M2359" s="13" t="s">
        <v>5830</v>
      </c>
      <c r="N2359" s="12" t="s">
        <v>803</v>
      </c>
      <c r="O2359" s="13" t="s">
        <v>4972</v>
      </c>
      <c r="P2359" s="17" t="s">
        <v>802</v>
      </c>
      <c r="Q2359" s="21" t="s">
        <v>7879</v>
      </c>
      <c r="R2359" s="17" t="s">
        <v>801</v>
      </c>
      <c r="S2359" s="18" t="s">
        <v>3636</v>
      </c>
      <c r="T2359" s="17" t="s">
        <v>800</v>
      </c>
      <c r="U2359" s="18" t="s">
        <v>5257</v>
      </c>
      <c r="V2359" s="17" t="s">
        <v>9418</v>
      </c>
      <c r="W2359" s="18" t="s">
        <v>5314</v>
      </c>
      <c r="X2359" s="69" t="s">
        <v>9453</v>
      </c>
      <c r="Y2359" s="70" t="s">
        <v>9464</v>
      </c>
      <c r="Z2359" s="73" t="s">
        <v>9486</v>
      </c>
      <c r="AA2359" s="74" t="s">
        <v>9504</v>
      </c>
      <c r="AB2359" s="73" t="s">
        <v>9486</v>
      </c>
      <c r="AC2359" s="74" t="s">
        <v>9561</v>
      </c>
      <c r="AD2359" s="73" t="s">
        <v>9578</v>
      </c>
      <c r="AE2359" s="74" t="s">
        <v>9579</v>
      </c>
    </row>
    <row r="2360" spans="1:31" ht="8.65" customHeight="1" x14ac:dyDescent="0.2">
      <c r="A2360" s="76">
        <v>2360</v>
      </c>
      <c r="B2360" s="67" t="str">
        <f>MID(C2360, FIND("Ifc.", C2360) + 4, 4) &amp; "_" &amp; TEXT(COUNTIF($C$2:C2360, C2360),"0000")</f>
        <v>Prop_2359</v>
      </c>
      <c r="C2360" s="24" t="s">
        <v>872</v>
      </c>
      <c r="D2360" s="69" t="s">
        <v>9453</v>
      </c>
      <c r="E2360" s="70" t="s">
        <v>9454</v>
      </c>
      <c r="F2360" s="17" t="s">
        <v>806</v>
      </c>
      <c r="G2360" s="22" t="s">
        <v>1416</v>
      </c>
      <c r="H2360" s="12" t="s">
        <v>9703</v>
      </c>
      <c r="I2360" s="13" t="s">
        <v>7661</v>
      </c>
      <c r="J2360" s="14" t="s">
        <v>798</v>
      </c>
      <c r="K2360" s="15" t="s">
        <v>798</v>
      </c>
      <c r="L2360" s="12" t="s">
        <v>5315</v>
      </c>
      <c r="M2360" s="13" t="s">
        <v>5431</v>
      </c>
      <c r="N2360" s="12" t="s">
        <v>803</v>
      </c>
      <c r="O2360" s="13" t="s">
        <v>4930</v>
      </c>
      <c r="P2360" s="17" t="s">
        <v>802</v>
      </c>
      <c r="Q2360" s="21" t="s">
        <v>7945</v>
      </c>
      <c r="R2360" s="17" t="s">
        <v>801</v>
      </c>
      <c r="S2360" s="18" t="s">
        <v>2589</v>
      </c>
      <c r="T2360" s="17" t="s">
        <v>800</v>
      </c>
      <c r="U2360" s="18" t="s">
        <v>5258</v>
      </c>
      <c r="V2360" s="17" t="s">
        <v>9418</v>
      </c>
      <c r="W2360" s="18" t="s">
        <v>5309</v>
      </c>
      <c r="X2360" s="69" t="s">
        <v>9453</v>
      </c>
      <c r="Y2360" s="70" t="s">
        <v>9462</v>
      </c>
      <c r="Z2360" s="73" t="s">
        <v>9486</v>
      </c>
      <c r="AA2360" s="74" t="s">
        <v>9504</v>
      </c>
      <c r="AB2360" s="73" t="s">
        <v>9486</v>
      </c>
      <c r="AC2360" s="74" t="s">
        <v>9566</v>
      </c>
      <c r="AD2360" s="73" t="s">
        <v>9578</v>
      </c>
      <c r="AE2360" s="74" t="s">
        <v>9579</v>
      </c>
    </row>
    <row r="2361" spans="1:31" ht="8.65" customHeight="1" x14ac:dyDescent="0.2">
      <c r="A2361" s="76">
        <v>2361</v>
      </c>
      <c r="B2361" s="67" t="str">
        <f>MID(C2361, FIND("Ifc.", C2361) + 4, 4) &amp; "_" &amp; TEXT(COUNTIF($C$2:C2361, C2361),"0000")</f>
        <v>Prop_2360</v>
      </c>
      <c r="C2361" s="24" t="s">
        <v>872</v>
      </c>
      <c r="D2361" s="69" t="s">
        <v>9453</v>
      </c>
      <c r="E2361" s="70" t="s">
        <v>9454</v>
      </c>
      <c r="F2361" s="17" t="s">
        <v>806</v>
      </c>
      <c r="G2361" s="22" t="s">
        <v>1415</v>
      </c>
      <c r="H2361" s="12" t="s">
        <v>9703</v>
      </c>
      <c r="I2361" s="13" t="s">
        <v>7660</v>
      </c>
      <c r="J2361" s="14" t="s">
        <v>798</v>
      </c>
      <c r="K2361" s="15" t="s">
        <v>798</v>
      </c>
      <c r="L2361" s="12" t="s">
        <v>5315</v>
      </c>
      <c r="M2361" s="13" t="s">
        <v>5431</v>
      </c>
      <c r="N2361" s="12" t="s">
        <v>803</v>
      </c>
      <c r="O2361" s="13" t="s">
        <v>4930</v>
      </c>
      <c r="P2361" s="17" t="s">
        <v>802</v>
      </c>
      <c r="Q2361" s="21" t="s">
        <v>7945</v>
      </c>
      <c r="R2361" s="17" t="s">
        <v>801</v>
      </c>
      <c r="S2361" s="18" t="s">
        <v>2554</v>
      </c>
      <c r="T2361" s="17" t="s">
        <v>800</v>
      </c>
      <c r="U2361" s="18" t="s">
        <v>5233</v>
      </c>
      <c r="V2361" s="17" t="s">
        <v>9418</v>
      </c>
      <c r="W2361" s="18" t="s">
        <v>5309</v>
      </c>
      <c r="X2361" s="69" t="s">
        <v>9453</v>
      </c>
      <c r="Y2361" s="70" t="s">
        <v>9462</v>
      </c>
      <c r="Z2361" s="73" t="s">
        <v>9486</v>
      </c>
      <c r="AA2361" s="74" t="s">
        <v>9504</v>
      </c>
      <c r="AB2361" s="73" t="s">
        <v>9486</v>
      </c>
      <c r="AC2361" s="74" t="s">
        <v>9562</v>
      </c>
      <c r="AD2361" s="73" t="s">
        <v>9578</v>
      </c>
      <c r="AE2361" s="74" t="s">
        <v>9579</v>
      </c>
    </row>
    <row r="2362" spans="1:31" ht="8.65" customHeight="1" x14ac:dyDescent="0.2">
      <c r="A2362" s="76">
        <v>2362</v>
      </c>
      <c r="B2362" s="67" t="str">
        <f>MID(C2362, FIND("Ifc.", C2362) + 4, 4) &amp; "_" &amp; TEXT(COUNTIF($C$2:C2362, C2362),"0000")</f>
        <v>Prop_2361</v>
      </c>
      <c r="C2362" s="24" t="s">
        <v>872</v>
      </c>
      <c r="D2362" s="69" t="s">
        <v>9453</v>
      </c>
      <c r="E2362" s="70" t="s">
        <v>9454</v>
      </c>
      <c r="F2362" s="17" t="s">
        <v>806</v>
      </c>
      <c r="G2362" s="22" t="s">
        <v>1930</v>
      </c>
      <c r="H2362" s="12" t="s">
        <v>9703</v>
      </c>
      <c r="I2362" s="13" t="s">
        <v>6581</v>
      </c>
      <c r="J2362" s="14" t="s">
        <v>798</v>
      </c>
      <c r="K2362" s="15" t="s">
        <v>798</v>
      </c>
      <c r="L2362" s="12" t="s">
        <v>5315</v>
      </c>
      <c r="M2362" s="13" t="s">
        <v>5965</v>
      </c>
      <c r="N2362" s="12" t="s">
        <v>803</v>
      </c>
      <c r="O2362" s="13" t="s">
        <v>5061</v>
      </c>
      <c r="P2362" s="17" t="s">
        <v>802</v>
      </c>
      <c r="Q2362" s="21" t="s">
        <v>7770</v>
      </c>
      <c r="R2362" s="17" t="s">
        <v>801</v>
      </c>
      <c r="S2362" s="18" t="s">
        <v>2590</v>
      </c>
      <c r="T2362" s="17" t="s">
        <v>800</v>
      </c>
      <c r="U2362" s="18" t="s">
        <v>5274</v>
      </c>
      <c r="V2362" s="17" t="s">
        <v>9418</v>
      </c>
      <c r="W2362" s="18" t="s">
        <v>5309</v>
      </c>
      <c r="X2362" s="69" t="s">
        <v>9453</v>
      </c>
      <c r="Y2362" s="70" t="s">
        <v>9462</v>
      </c>
      <c r="Z2362" s="73" t="s">
        <v>9486</v>
      </c>
      <c r="AA2362" s="74" t="s">
        <v>9504</v>
      </c>
      <c r="AB2362" s="73" t="s">
        <v>9486</v>
      </c>
      <c r="AC2362" s="74" t="s">
        <v>9566</v>
      </c>
      <c r="AD2362" s="73" t="s">
        <v>9578</v>
      </c>
      <c r="AE2362" s="74" t="s">
        <v>9579</v>
      </c>
    </row>
    <row r="2363" spans="1:31" ht="8.65" customHeight="1" x14ac:dyDescent="0.2">
      <c r="A2363" s="76">
        <v>2363</v>
      </c>
      <c r="B2363" s="67" t="str">
        <f>MID(C2363, FIND("Ifc.", C2363) + 4, 4) &amp; "_" &amp; TEXT(COUNTIF($C$2:C2363, C2363),"0000")</f>
        <v>Prop_2362</v>
      </c>
      <c r="C2363" s="24" t="s">
        <v>872</v>
      </c>
      <c r="D2363" s="69" t="s">
        <v>9453</v>
      </c>
      <c r="E2363" s="70" t="s">
        <v>9454</v>
      </c>
      <c r="F2363" s="17" t="s">
        <v>806</v>
      </c>
      <c r="G2363" s="22" t="s">
        <v>1929</v>
      </c>
      <c r="H2363" s="12" t="s">
        <v>9703</v>
      </c>
      <c r="I2363" s="13" t="s">
        <v>6580</v>
      </c>
      <c r="J2363" s="14" t="s">
        <v>798</v>
      </c>
      <c r="K2363" s="15" t="s">
        <v>798</v>
      </c>
      <c r="L2363" s="12" t="s">
        <v>5315</v>
      </c>
      <c r="M2363" s="13" t="s">
        <v>5965</v>
      </c>
      <c r="N2363" s="12" t="s">
        <v>803</v>
      </c>
      <c r="O2363" s="13" t="s">
        <v>5061</v>
      </c>
      <c r="P2363" s="17" t="s">
        <v>802</v>
      </c>
      <c r="Q2363" s="21" t="s">
        <v>7770</v>
      </c>
      <c r="R2363" s="17" t="s">
        <v>801</v>
      </c>
      <c r="S2363" s="18" t="s">
        <v>2590</v>
      </c>
      <c r="T2363" s="17" t="s">
        <v>800</v>
      </c>
      <c r="U2363" s="18" t="s">
        <v>5274</v>
      </c>
      <c r="V2363" s="17" t="s">
        <v>9418</v>
      </c>
      <c r="W2363" s="18" t="s">
        <v>5309</v>
      </c>
      <c r="X2363" s="69" t="s">
        <v>9453</v>
      </c>
      <c r="Y2363" s="70" t="s">
        <v>9462</v>
      </c>
      <c r="Z2363" s="73" t="s">
        <v>9486</v>
      </c>
      <c r="AA2363" s="74" t="s">
        <v>9504</v>
      </c>
      <c r="AB2363" s="73" t="s">
        <v>9486</v>
      </c>
      <c r="AC2363" s="74" t="s">
        <v>9566</v>
      </c>
      <c r="AD2363" s="73" t="s">
        <v>9578</v>
      </c>
      <c r="AE2363" s="74" t="s">
        <v>9579</v>
      </c>
    </row>
    <row r="2364" spans="1:31" ht="8.65" customHeight="1" x14ac:dyDescent="0.2">
      <c r="A2364" s="76">
        <v>2364</v>
      </c>
      <c r="B2364" s="67" t="str">
        <f>MID(C2364, FIND("Ifc.", C2364) + 4, 4) &amp; "_" &amp; TEXT(COUNTIF($C$2:C2364, C2364),"0000")</f>
        <v>Prop_2363</v>
      </c>
      <c r="C2364" s="24" t="s">
        <v>872</v>
      </c>
      <c r="D2364" s="69" t="s">
        <v>9453</v>
      </c>
      <c r="E2364" s="70" t="s">
        <v>9454</v>
      </c>
      <c r="F2364" s="17" t="s">
        <v>806</v>
      </c>
      <c r="G2364" s="22" t="s">
        <v>1927</v>
      </c>
      <c r="H2364" s="12" t="s">
        <v>9703</v>
      </c>
      <c r="I2364" s="13" t="s">
        <v>6918</v>
      </c>
      <c r="J2364" s="14" t="s">
        <v>798</v>
      </c>
      <c r="K2364" s="15" t="s">
        <v>798</v>
      </c>
      <c r="L2364" s="12" t="s">
        <v>5315</v>
      </c>
      <c r="M2364" s="13" t="s">
        <v>5965</v>
      </c>
      <c r="N2364" s="12" t="s">
        <v>803</v>
      </c>
      <c r="O2364" s="13" t="s">
        <v>5061</v>
      </c>
      <c r="P2364" s="17" t="s">
        <v>802</v>
      </c>
      <c r="Q2364" s="21" t="s">
        <v>7770</v>
      </c>
      <c r="R2364" s="17" t="s">
        <v>801</v>
      </c>
      <c r="S2364" s="18" t="s">
        <v>2590</v>
      </c>
      <c r="T2364" s="17" t="s">
        <v>800</v>
      </c>
      <c r="U2364" s="18" t="s">
        <v>5274</v>
      </c>
      <c r="V2364" s="17" t="s">
        <v>9418</v>
      </c>
      <c r="W2364" s="18" t="s">
        <v>5309</v>
      </c>
      <c r="X2364" s="69" t="s">
        <v>9453</v>
      </c>
      <c r="Y2364" s="70" t="s">
        <v>9462</v>
      </c>
      <c r="Z2364" s="73" t="s">
        <v>9486</v>
      </c>
      <c r="AA2364" s="74" t="s">
        <v>9504</v>
      </c>
      <c r="AB2364" s="73" t="s">
        <v>9486</v>
      </c>
      <c r="AC2364" s="74" t="s">
        <v>9566</v>
      </c>
      <c r="AD2364" s="73" t="s">
        <v>9578</v>
      </c>
      <c r="AE2364" s="74" t="s">
        <v>9579</v>
      </c>
    </row>
    <row r="2365" spans="1:31" ht="8.65" customHeight="1" x14ac:dyDescent="0.2">
      <c r="A2365" s="76">
        <v>2365</v>
      </c>
      <c r="B2365" s="67" t="str">
        <f>MID(C2365, FIND("Ifc.", C2365) + 4, 4) &amp; "_" &amp; TEXT(COUNTIF($C$2:C2365, C2365),"0000")</f>
        <v>Prop_2364</v>
      </c>
      <c r="C2365" s="24" t="s">
        <v>872</v>
      </c>
      <c r="D2365" s="69" t="s">
        <v>9453</v>
      </c>
      <c r="E2365" s="70" t="s">
        <v>9454</v>
      </c>
      <c r="F2365" s="17" t="s">
        <v>806</v>
      </c>
      <c r="G2365" s="22" t="s">
        <v>1928</v>
      </c>
      <c r="H2365" s="12" t="s">
        <v>9703</v>
      </c>
      <c r="I2365" s="13" t="s">
        <v>6579</v>
      </c>
      <c r="J2365" s="14" t="s">
        <v>798</v>
      </c>
      <c r="K2365" s="15" t="s">
        <v>798</v>
      </c>
      <c r="L2365" s="12" t="s">
        <v>5315</v>
      </c>
      <c r="M2365" s="13" t="s">
        <v>5965</v>
      </c>
      <c r="N2365" s="12" t="s">
        <v>803</v>
      </c>
      <c r="O2365" s="13" t="s">
        <v>5061</v>
      </c>
      <c r="P2365" s="17" t="s">
        <v>802</v>
      </c>
      <c r="Q2365" s="21" t="s">
        <v>7770</v>
      </c>
      <c r="R2365" s="17" t="s">
        <v>801</v>
      </c>
      <c r="S2365" s="18" t="s">
        <v>2590</v>
      </c>
      <c r="T2365" s="17" t="s">
        <v>800</v>
      </c>
      <c r="U2365" s="18" t="s">
        <v>5274</v>
      </c>
      <c r="V2365" s="17" t="s">
        <v>9418</v>
      </c>
      <c r="W2365" s="18" t="s">
        <v>5309</v>
      </c>
      <c r="X2365" s="69" t="s">
        <v>9453</v>
      </c>
      <c r="Y2365" s="70" t="s">
        <v>9462</v>
      </c>
      <c r="Z2365" s="73" t="s">
        <v>9486</v>
      </c>
      <c r="AA2365" s="74" t="s">
        <v>9504</v>
      </c>
      <c r="AB2365" s="73" t="s">
        <v>9486</v>
      </c>
      <c r="AC2365" s="74" t="s">
        <v>9566</v>
      </c>
      <c r="AD2365" s="73" t="s">
        <v>9578</v>
      </c>
      <c r="AE2365" s="74" t="s">
        <v>9579</v>
      </c>
    </row>
    <row r="2366" spans="1:31" ht="8.65" customHeight="1" x14ac:dyDescent="0.2">
      <c r="A2366" s="76">
        <v>2366</v>
      </c>
      <c r="B2366" s="67" t="str">
        <f>MID(C2366, FIND("Ifc.", C2366) + 4, 4) &amp; "_" &amp; TEXT(COUNTIF($C$2:C2366, C2366),"0000")</f>
        <v>Prop_2365</v>
      </c>
      <c r="C2366" s="24" t="s">
        <v>872</v>
      </c>
      <c r="D2366" s="69" t="s">
        <v>9453</v>
      </c>
      <c r="E2366" s="70" t="s">
        <v>9454</v>
      </c>
      <c r="F2366" s="17" t="s">
        <v>806</v>
      </c>
      <c r="G2366" s="22" t="s">
        <v>1806</v>
      </c>
      <c r="H2366" s="12" t="s">
        <v>9703</v>
      </c>
      <c r="I2366" s="13" t="s">
        <v>6081</v>
      </c>
      <c r="J2366" s="14" t="s">
        <v>798</v>
      </c>
      <c r="K2366" s="15" t="s">
        <v>798</v>
      </c>
      <c r="L2366" s="12" t="s">
        <v>5315</v>
      </c>
      <c r="M2366" s="13" t="s">
        <v>5941</v>
      </c>
      <c r="N2366" s="12" t="s">
        <v>803</v>
      </c>
      <c r="O2366" s="13" t="s">
        <v>5023</v>
      </c>
      <c r="P2366" s="17" t="s">
        <v>802</v>
      </c>
      <c r="Q2366" s="21" t="s">
        <v>8096</v>
      </c>
      <c r="R2366" s="17" t="s">
        <v>801</v>
      </c>
      <c r="S2366" s="18" t="s">
        <v>2583</v>
      </c>
      <c r="T2366" s="17" t="s">
        <v>800</v>
      </c>
      <c r="U2366" s="18" t="s">
        <v>5251</v>
      </c>
      <c r="V2366" s="17" t="s">
        <v>9418</v>
      </c>
      <c r="W2366" s="18" t="s">
        <v>5309</v>
      </c>
      <c r="X2366" s="69" t="s">
        <v>9453</v>
      </c>
      <c r="Y2366" s="70" t="s">
        <v>9462</v>
      </c>
      <c r="Z2366" s="73" t="s">
        <v>9486</v>
      </c>
      <c r="AA2366" s="74" t="s">
        <v>9504</v>
      </c>
      <c r="AB2366" s="73" t="s">
        <v>9486</v>
      </c>
      <c r="AC2366" s="74" t="s">
        <v>9566</v>
      </c>
      <c r="AD2366" s="73" t="s">
        <v>9578</v>
      </c>
      <c r="AE2366" s="74" t="s">
        <v>9579</v>
      </c>
    </row>
    <row r="2367" spans="1:31" ht="8.65" customHeight="1" x14ac:dyDescent="0.2">
      <c r="A2367" s="76">
        <v>2367</v>
      </c>
      <c r="B2367" s="67" t="str">
        <f>MID(C2367, FIND("Ifc.", C2367) + 4, 4) &amp; "_" &amp; TEXT(COUNTIF($C$2:C2367, C2367),"0000")</f>
        <v>Prop_2366</v>
      </c>
      <c r="C2367" s="24" t="s">
        <v>872</v>
      </c>
      <c r="D2367" s="69" t="s">
        <v>9453</v>
      </c>
      <c r="E2367" s="70" t="s">
        <v>9454</v>
      </c>
      <c r="F2367" s="17" t="s">
        <v>806</v>
      </c>
      <c r="G2367" s="22" t="s">
        <v>1279</v>
      </c>
      <c r="H2367" s="12" t="s">
        <v>9703</v>
      </c>
      <c r="I2367" s="13" t="s">
        <v>7658</v>
      </c>
      <c r="J2367" s="14" t="s">
        <v>798</v>
      </c>
      <c r="K2367" s="15" t="s">
        <v>798</v>
      </c>
      <c r="L2367" s="12" t="s">
        <v>5315</v>
      </c>
      <c r="M2367" s="13" t="s">
        <v>5408</v>
      </c>
      <c r="N2367" s="12" t="s">
        <v>803</v>
      </c>
      <c r="O2367" s="13" t="s">
        <v>4896</v>
      </c>
      <c r="P2367" s="17" t="s">
        <v>802</v>
      </c>
      <c r="Q2367" s="21" t="s">
        <v>7737</v>
      </c>
      <c r="R2367" s="17" t="s">
        <v>801</v>
      </c>
      <c r="S2367" s="18" t="s">
        <v>2632</v>
      </c>
      <c r="T2367" s="17" t="s">
        <v>800</v>
      </c>
      <c r="U2367" s="18" t="s">
        <v>5270</v>
      </c>
      <c r="V2367" s="17" t="s">
        <v>9418</v>
      </c>
      <c r="W2367" s="18" t="s">
        <v>5309</v>
      </c>
      <c r="X2367" s="69" t="s">
        <v>9453</v>
      </c>
      <c r="Y2367" s="70" t="s">
        <v>9462</v>
      </c>
      <c r="Z2367" s="73" t="s">
        <v>9486</v>
      </c>
      <c r="AA2367" s="74" t="s">
        <v>9504</v>
      </c>
      <c r="AB2367" s="73" t="s">
        <v>9486</v>
      </c>
      <c r="AC2367" s="74" t="s">
        <v>9561</v>
      </c>
      <c r="AD2367" s="73" t="s">
        <v>9578</v>
      </c>
      <c r="AE2367" s="74" t="s">
        <v>9579</v>
      </c>
    </row>
    <row r="2368" spans="1:31" ht="8.65" customHeight="1" x14ac:dyDescent="0.2">
      <c r="A2368" s="76">
        <v>2368</v>
      </c>
      <c r="B2368" s="67" t="str">
        <f>MID(C2368, FIND("Ifc.", C2368) + 4, 4) &amp; "_" &amp; TEXT(COUNTIF($C$2:C2368, C2368),"0000")</f>
        <v>Prop_2367</v>
      </c>
      <c r="C2368" s="24" t="s">
        <v>872</v>
      </c>
      <c r="D2368" s="69" t="s">
        <v>9453</v>
      </c>
      <c r="E2368" s="70" t="s">
        <v>9454</v>
      </c>
      <c r="F2368" s="17" t="s">
        <v>806</v>
      </c>
      <c r="G2368" s="22" t="s">
        <v>1279</v>
      </c>
      <c r="H2368" s="12" t="s">
        <v>9703</v>
      </c>
      <c r="I2368" s="13" t="s">
        <v>7658</v>
      </c>
      <c r="J2368" s="14" t="s">
        <v>798</v>
      </c>
      <c r="K2368" s="15" t="s">
        <v>798</v>
      </c>
      <c r="L2368" s="12" t="s">
        <v>5315</v>
      </c>
      <c r="M2368" s="13" t="s">
        <v>6028</v>
      </c>
      <c r="N2368" s="12" t="s">
        <v>803</v>
      </c>
      <c r="O2368" s="13" t="s">
        <v>4897</v>
      </c>
      <c r="P2368" s="17" t="s">
        <v>802</v>
      </c>
      <c r="Q2368" s="21" t="s">
        <v>7927</v>
      </c>
      <c r="R2368" s="17" t="s">
        <v>801</v>
      </c>
      <c r="S2368" s="18" t="s">
        <v>2590</v>
      </c>
      <c r="T2368" s="17" t="s">
        <v>800</v>
      </c>
      <c r="U2368" s="18" t="s">
        <v>5274</v>
      </c>
      <c r="V2368" s="17" t="s">
        <v>9418</v>
      </c>
      <c r="W2368" s="18" t="s">
        <v>5309</v>
      </c>
      <c r="X2368" s="69" t="s">
        <v>9453</v>
      </c>
      <c r="Y2368" s="70" t="s">
        <v>9462</v>
      </c>
      <c r="Z2368" s="73" t="s">
        <v>9486</v>
      </c>
      <c r="AA2368" s="74" t="s">
        <v>9504</v>
      </c>
      <c r="AB2368" s="73" t="s">
        <v>9486</v>
      </c>
      <c r="AC2368" s="74" t="s">
        <v>9566</v>
      </c>
      <c r="AD2368" s="73" t="s">
        <v>9578</v>
      </c>
      <c r="AE2368" s="74" t="s">
        <v>9579</v>
      </c>
    </row>
    <row r="2369" spans="1:31" ht="8.65" customHeight="1" x14ac:dyDescent="0.2">
      <c r="A2369" s="76">
        <v>2369</v>
      </c>
      <c r="B2369" s="67" t="str">
        <f>MID(C2369, FIND("Ifc.", C2369) + 4, 4) &amp; "_" &amp; TEXT(COUNTIF($C$2:C2369, C2369),"0000")</f>
        <v>Prop_2368</v>
      </c>
      <c r="C2369" s="24" t="s">
        <v>872</v>
      </c>
      <c r="D2369" s="69" t="s">
        <v>9453</v>
      </c>
      <c r="E2369" s="70" t="s">
        <v>9454</v>
      </c>
      <c r="F2369" s="17" t="s">
        <v>806</v>
      </c>
      <c r="G2369" s="22" t="s">
        <v>1187</v>
      </c>
      <c r="H2369" s="12" t="s">
        <v>9703</v>
      </c>
      <c r="I2369" s="13" t="s">
        <v>6218</v>
      </c>
      <c r="J2369" s="14" t="s">
        <v>798</v>
      </c>
      <c r="K2369" s="15" t="s">
        <v>798</v>
      </c>
      <c r="L2369" s="12" t="s">
        <v>5315</v>
      </c>
      <c r="M2369" s="13" t="s">
        <v>6048</v>
      </c>
      <c r="N2369" s="12" t="s">
        <v>803</v>
      </c>
      <c r="O2369" s="13" t="s">
        <v>4877</v>
      </c>
      <c r="P2369" s="17" t="s">
        <v>802</v>
      </c>
      <c r="Q2369" s="21" t="s">
        <v>7982</v>
      </c>
      <c r="R2369" s="17" t="s">
        <v>801</v>
      </c>
      <c r="S2369" s="18" t="s">
        <v>2562</v>
      </c>
      <c r="T2369" s="17" t="s">
        <v>800</v>
      </c>
      <c r="U2369" s="18" t="s">
        <v>5256</v>
      </c>
      <c r="V2369" s="17" t="s">
        <v>9418</v>
      </c>
      <c r="W2369" s="18" t="s">
        <v>5312</v>
      </c>
      <c r="X2369" s="69" t="s">
        <v>9453</v>
      </c>
      <c r="Y2369" s="70" t="s">
        <v>9465</v>
      </c>
      <c r="Z2369" s="73" t="s">
        <v>9486</v>
      </c>
      <c r="AA2369" s="74" t="s">
        <v>9504</v>
      </c>
      <c r="AB2369" s="73" t="s">
        <v>9486</v>
      </c>
      <c r="AC2369" s="74" t="s">
        <v>9562</v>
      </c>
      <c r="AD2369" s="73" t="s">
        <v>9578</v>
      </c>
      <c r="AE2369" s="74" t="s">
        <v>9579</v>
      </c>
    </row>
    <row r="2370" spans="1:31" ht="8.65" customHeight="1" x14ac:dyDescent="0.2">
      <c r="A2370" s="76">
        <v>2370</v>
      </c>
      <c r="B2370" s="67" t="str">
        <f>MID(C2370, FIND("Ifc.", C2370) + 4, 4) &amp; "_" &amp; TEXT(COUNTIF($C$2:C2370, C2370),"0000")</f>
        <v>Prop_2369</v>
      </c>
      <c r="C2370" s="24" t="s">
        <v>872</v>
      </c>
      <c r="D2370" s="69" t="s">
        <v>9453</v>
      </c>
      <c r="E2370" s="70" t="s">
        <v>9454</v>
      </c>
      <c r="F2370" s="17" t="s">
        <v>806</v>
      </c>
      <c r="G2370" s="22" t="s">
        <v>1187</v>
      </c>
      <c r="H2370" s="12" t="s">
        <v>9703</v>
      </c>
      <c r="I2370" s="13" t="s">
        <v>6218</v>
      </c>
      <c r="J2370" s="14" t="s">
        <v>798</v>
      </c>
      <c r="K2370" s="15" t="s">
        <v>798</v>
      </c>
      <c r="L2370" s="12" t="s">
        <v>5315</v>
      </c>
      <c r="M2370" s="13" t="s">
        <v>6049</v>
      </c>
      <c r="N2370" s="12" t="s">
        <v>803</v>
      </c>
      <c r="O2370" s="13" t="s">
        <v>4878</v>
      </c>
      <c r="P2370" s="17" t="s">
        <v>802</v>
      </c>
      <c r="Q2370" s="21" t="s">
        <v>7983</v>
      </c>
      <c r="R2370" s="17" t="s">
        <v>801</v>
      </c>
      <c r="S2370" s="18" t="s">
        <v>2565</v>
      </c>
      <c r="T2370" s="17" t="s">
        <v>800</v>
      </c>
      <c r="U2370" s="18" t="s">
        <v>5248</v>
      </c>
      <c r="V2370" s="17" t="s">
        <v>9418</v>
      </c>
      <c r="W2370" s="18" t="s">
        <v>5312</v>
      </c>
      <c r="X2370" s="69" t="s">
        <v>9453</v>
      </c>
      <c r="Y2370" s="70" t="s">
        <v>9465</v>
      </c>
      <c r="Z2370" s="73" t="s">
        <v>9486</v>
      </c>
      <c r="AA2370" s="74" t="s">
        <v>9504</v>
      </c>
      <c r="AB2370" s="73" t="s">
        <v>9486</v>
      </c>
      <c r="AC2370" s="74" t="s">
        <v>9562</v>
      </c>
      <c r="AD2370" s="73" t="s">
        <v>9578</v>
      </c>
      <c r="AE2370" s="74" t="s">
        <v>9579</v>
      </c>
    </row>
    <row r="2371" spans="1:31" ht="8.65" customHeight="1" x14ac:dyDescent="0.2">
      <c r="A2371" s="76">
        <v>2371</v>
      </c>
      <c r="B2371" s="67" t="str">
        <f>MID(C2371, FIND("Ifc.", C2371) + 4, 4) &amp; "_" &amp; TEXT(COUNTIF($C$2:C2371, C2371),"0000")</f>
        <v>Prop_2370</v>
      </c>
      <c r="C2371" s="24" t="s">
        <v>872</v>
      </c>
      <c r="D2371" s="69" t="s">
        <v>9453</v>
      </c>
      <c r="E2371" s="70" t="s">
        <v>9454</v>
      </c>
      <c r="F2371" s="17" t="s">
        <v>806</v>
      </c>
      <c r="G2371" s="22" t="s">
        <v>1187</v>
      </c>
      <c r="H2371" s="12" t="s">
        <v>9703</v>
      </c>
      <c r="I2371" s="13" t="s">
        <v>6218</v>
      </c>
      <c r="J2371" s="14" t="s">
        <v>798</v>
      </c>
      <c r="K2371" s="15" t="s">
        <v>798</v>
      </c>
      <c r="L2371" s="12" t="s">
        <v>5315</v>
      </c>
      <c r="M2371" s="13" t="s">
        <v>6051</v>
      </c>
      <c r="N2371" s="12" t="s">
        <v>803</v>
      </c>
      <c r="O2371" s="13" t="s">
        <v>4880</v>
      </c>
      <c r="P2371" s="17" t="s">
        <v>802</v>
      </c>
      <c r="Q2371" s="21" t="s">
        <v>7882</v>
      </c>
      <c r="R2371" s="17" t="s">
        <v>801</v>
      </c>
      <c r="S2371" s="18" t="s">
        <v>2562</v>
      </c>
      <c r="T2371" s="17" t="s">
        <v>800</v>
      </c>
      <c r="U2371" s="18" t="s">
        <v>5256</v>
      </c>
      <c r="V2371" s="17" t="s">
        <v>9418</v>
      </c>
      <c r="W2371" s="18" t="s">
        <v>5312</v>
      </c>
      <c r="X2371" s="69" t="s">
        <v>9453</v>
      </c>
      <c r="Y2371" s="70" t="s">
        <v>9465</v>
      </c>
      <c r="Z2371" s="73" t="s">
        <v>9486</v>
      </c>
      <c r="AA2371" s="74" t="s">
        <v>9504</v>
      </c>
      <c r="AB2371" s="73" t="s">
        <v>9486</v>
      </c>
      <c r="AC2371" s="74" t="s">
        <v>9562</v>
      </c>
      <c r="AD2371" s="73" t="s">
        <v>9578</v>
      </c>
      <c r="AE2371" s="74" t="s">
        <v>9579</v>
      </c>
    </row>
    <row r="2372" spans="1:31" ht="8.65" customHeight="1" x14ac:dyDescent="0.2">
      <c r="A2372" s="76">
        <v>2372</v>
      </c>
      <c r="B2372" s="67" t="str">
        <f>MID(C2372, FIND("Ifc.", C2372) + 4, 4) &amp; "_" &amp; TEXT(COUNTIF($C$2:C2372, C2372),"0000")</f>
        <v>Prop_2371</v>
      </c>
      <c r="C2372" s="24" t="s">
        <v>872</v>
      </c>
      <c r="D2372" s="69" t="s">
        <v>9453</v>
      </c>
      <c r="E2372" s="70" t="s">
        <v>9454</v>
      </c>
      <c r="F2372" s="17" t="s">
        <v>806</v>
      </c>
      <c r="G2372" s="22" t="s">
        <v>1187</v>
      </c>
      <c r="H2372" s="12" t="s">
        <v>9703</v>
      </c>
      <c r="I2372" s="13" t="s">
        <v>6218</v>
      </c>
      <c r="J2372" s="14" t="s">
        <v>798</v>
      </c>
      <c r="K2372" s="15" t="s">
        <v>798</v>
      </c>
      <c r="L2372" s="12" t="s">
        <v>5315</v>
      </c>
      <c r="M2372" s="13" t="s">
        <v>5838</v>
      </c>
      <c r="N2372" s="12" t="s">
        <v>803</v>
      </c>
      <c r="O2372" s="13" t="s">
        <v>4981</v>
      </c>
      <c r="P2372" s="17" t="s">
        <v>802</v>
      </c>
      <c r="Q2372" s="21" t="s">
        <v>8018</v>
      </c>
      <c r="R2372" s="17" t="s">
        <v>801</v>
      </c>
      <c r="S2372" s="18" t="s">
        <v>3636</v>
      </c>
      <c r="T2372" s="17" t="s">
        <v>800</v>
      </c>
      <c r="U2372" s="18" t="s">
        <v>5257</v>
      </c>
      <c r="V2372" s="17" t="s">
        <v>9418</v>
      </c>
      <c r="W2372" s="18" t="s">
        <v>5314</v>
      </c>
      <c r="X2372" s="69" t="s">
        <v>9453</v>
      </c>
      <c r="Y2372" s="70" t="s">
        <v>9464</v>
      </c>
      <c r="Z2372" s="73" t="s">
        <v>9486</v>
      </c>
      <c r="AA2372" s="74" t="s">
        <v>9504</v>
      </c>
      <c r="AB2372" s="73" t="s">
        <v>9486</v>
      </c>
      <c r="AC2372" s="74" t="s">
        <v>9561</v>
      </c>
      <c r="AD2372" s="73" t="s">
        <v>9578</v>
      </c>
      <c r="AE2372" s="74" t="s">
        <v>9579</v>
      </c>
    </row>
    <row r="2373" spans="1:31" ht="8.65" customHeight="1" x14ac:dyDescent="0.2">
      <c r="A2373" s="76">
        <v>2373</v>
      </c>
      <c r="B2373" s="67" t="str">
        <f>MID(C2373, FIND("Ifc.", C2373) + 4, 4) &amp; "_" &amp; TEXT(COUNTIF($C$2:C2373, C2373),"0000")</f>
        <v>Prop_2372</v>
      </c>
      <c r="C2373" s="24" t="s">
        <v>872</v>
      </c>
      <c r="D2373" s="69" t="s">
        <v>9453</v>
      </c>
      <c r="E2373" s="70" t="s">
        <v>9454</v>
      </c>
      <c r="F2373" s="17" t="s">
        <v>806</v>
      </c>
      <c r="G2373" s="22" t="s">
        <v>1187</v>
      </c>
      <c r="H2373" s="12" t="s">
        <v>9703</v>
      </c>
      <c r="I2373" s="13" t="s">
        <v>6218</v>
      </c>
      <c r="J2373" s="14" t="s">
        <v>798</v>
      </c>
      <c r="K2373" s="15" t="s">
        <v>798</v>
      </c>
      <c r="L2373" s="12" t="s">
        <v>5315</v>
      </c>
      <c r="M2373" s="13" t="s">
        <v>5843</v>
      </c>
      <c r="N2373" s="12" t="s">
        <v>803</v>
      </c>
      <c r="O2373" s="13" t="s">
        <v>4988</v>
      </c>
      <c r="P2373" s="17" t="s">
        <v>802</v>
      </c>
      <c r="Q2373" s="21" t="s">
        <v>8019</v>
      </c>
      <c r="R2373" s="17" t="s">
        <v>801</v>
      </c>
      <c r="S2373" s="18" t="s">
        <v>3636</v>
      </c>
      <c r="T2373" s="17" t="s">
        <v>800</v>
      </c>
      <c r="U2373" s="18" t="s">
        <v>5257</v>
      </c>
      <c r="V2373" s="17" t="s">
        <v>9418</v>
      </c>
      <c r="W2373" s="18" t="s">
        <v>5314</v>
      </c>
      <c r="X2373" s="69" t="s">
        <v>9453</v>
      </c>
      <c r="Y2373" s="70" t="s">
        <v>9464</v>
      </c>
      <c r="Z2373" s="73" t="s">
        <v>9486</v>
      </c>
      <c r="AA2373" s="74" t="s">
        <v>9504</v>
      </c>
      <c r="AB2373" s="73" t="s">
        <v>9486</v>
      </c>
      <c r="AC2373" s="74" t="s">
        <v>9561</v>
      </c>
      <c r="AD2373" s="73" t="s">
        <v>9578</v>
      </c>
      <c r="AE2373" s="74" t="s">
        <v>9579</v>
      </c>
    </row>
    <row r="2374" spans="1:31" ht="8.65" customHeight="1" x14ac:dyDescent="0.2">
      <c r="A2374" s="76">
        <v>2374</v>
      </c>
      <c r="B2374" s="67" t="str">
        <f>MID(C2374, FIND("Ifc.", C2374) + 4, 4) &amp; "_" &amp; TEXT(COUNTIF($C$2:C2374, C2374),"0000")</f>
        <v>Prop_2373</v>
      </c>
      <c r="C2374" s="24" t="s">
        <v>872</v>
      </c>
      <c r="D2374" s="69" t="s">
        <v>9453</v>
      </c>
      <c r="E2374" s="70" t="s">
        <v>9454</v>
      </c>
      <c r="F2374" s="17" t="s">
        <v>806</v>
      </c>
      <c r="G2374" s="22" t="s">
        <v>1187</v>
      </c>
      <c r="H2374" s="12" t="s">
        <v>9703</v>
      </c>
      <c r="I2374" s="13" t="s">
        <v>6218</v>
      </c>
      <c r="J2374" s="14" t="s">
        <v>798</v>
      </c>
      <c r="K2374" s="15" t="s">
        <v>798</v>
      </c>
      <c r="L2374" s="12" t="s">
        <v>5315</v>
      </c>
      <c r="M2374" s="13" t="s">
        <v>5845</v>
      </c>
      <c r="N2374" s="12" t="s">
        <v>803</v>
      </c>
      <c r="O2374" s="13" t="s">
        <v>4991</v>
      </c>
      <c r="P2374" s="17" t="s">
        <v>802</v>
      </c>
      <c r="Q2374" s="21" t="s">
        <v>7937</v>
      </c>
      <c r="R2374" s="17" t="s">
        <v>801</v>
      </c>
      <c r="S2374" s="18" t="s">
        <v>3636</v>
      </c>
      <c r="T2374" s="17" t="s">
        <v>800</v>
      </c>
      <c r="U2374" s="18" t="s">
        <v>5257</v>
      </c>
      <c r="V2374" s="17" t="s">
        <v>9418</v>
      </c>
      <c r="W2374" s="18" t="s">
        <v>5314</v>
      </c>
      <c r="X2374" s="69" t="s">
        <v>9453</v>
      </c>
      <c r="Y2374" s="70" t="s">
        <v>9464</v>
      </c>
      <c r="Z2374" s="73" t="s">
        <v>9486</v>
      </c>
      <c r="AA2374" s="74" t="s">
        <v>9504</v>
      </c>
      <c r="AB2374" s="73" t="s">
        <v>9486</v>
      </c>
      <c r="AC2374" s="74" t="s">
        <v>9561</v>
      </c>
      <c r="AD2374" s="73" t="s">
        <v>9578</v>
      </c>
      <c r="AE2374" s="74" t="s">
        <v>9579</v>
      </c>
    </row>
    <row r="2375" spans="1:31" ht="8.65" customHeight="1" x14ac:dyDescent="0.2">
      <c r="A2375" s="76">
        <v>2375</v>
      </c>
      <c r="B2375" s="67" t="str">
        <f>MID(C2375, FIND("Ifc.", C2375) + 4, 4) &amp; "_" &amp; TEXT(COUNTIF($C$2:C2375, C2375),"0000")</f>
        <v>Prop_2374</v>
      </c>
      <c r="C2375" s="24" t="s">
        <v>872</v>
      </c>
      <c r="D2375" s="69" t="s">
        <v>9453</v>
      </c>
      <c r="E2375" s="70" t="s">
        <v>9454</v>
      </c>
      <c r="F2375" s="17" t="s">
        <v>806</v>
      </c>
      <c r="G2375" s="22" t="s">
        <v>1187</v>
      </c>
      <c r="H2375" s="12" t="s">
        <v>9703</v>
      </c>
      <c r="I2375" s="13" t="s">
        <v>6218</v>
      </c>
      <c r="J2375" s="14" t="s">
        <v>798</v>
      </c>
      <c r="K2375" s="15" t="s">
        <v>798</v>
      </c>
      <c r="L2375" s="12" t="s">
        <v>5315</v>
      </c>
      <c r="M2375" s="13" t="s">
        <v>5855</v>
      </c>
      <c r="N2375" s="12" t="s">
        <v>803</v>
      </c>
      <c r="O2375" s="13" t="s">
        <v>5098</v>
      </c>
      <c r="P2375" s="17" t="s">
        <v>802</v>
      </c>
      <c r="Q2375" s="21" t="s">
        <v>8005</v>
      </c>
      <c r="R2375" s="17" t="s">
        <v>801</v>
      </c>
      <c r="S2375" s="18" t="s">
        <v>2560</v>
      </c>
      <c r="T2375" s="17" t="s">
        <v>800</v>
      </c>
      <c r="U2375" s="18" t="s">
        <v>5236</v>
      </c>
      <c r="V2375" s="17" t="s">
        <v>9418</v>
      </c>
      <c r="W2375" s="18" t="s">
        <v>5309</v>
      </c>
      <c r="X2375" s="69" t="s">
        <v>9453</v>
      </c>
      <c r="Y2375" s="70" t="s">
        <v>9462</v>
      </c>
      <c r="Z2375" s="73" t="s">
        <v>9486</v>
      </c>
      <c r="AA2375" s="74" t="s">
        <v>9504</v>
      </c>
      <c r="AB2375" s="73" t="s">
        <v>9486</v>
      </c>
      <c r="AC2375" s="74" t="s">
        <v>9562</v>
      </c>
      <c r="AD2375" s="73" t="s">
        <v>9578</v>
      </c>
      <c r="AE2375" s="74" t="s">
        <v>9579</v>
      </c>
    </row>
    <row r="2376" spans="1:31" ht="8.65" customHeight="1" x14ac:dyDescent="0.2">
      <c r="A2376" s="76">
        <v>2376</v>
      </c>
      <c r="B2376" s="67" t="str">
        <f>MID(C2376, FIND("Ifc.", C2376) + 4, 4) &amp; "_" &amp; TEXT(COUNTIF($C$2:C2376, C2376),"0000")</f>
        <v>Prop_2375</v>
      </c>
      <c r="C2376" s="24" t="s">
        <v>872</v>
      </c>
      <c r="D2376" s="69" t="s">
        <v>9453</v>
      </c>
      <c r="E2376" s="70" t="s">
        <v>9454</v>
      </c>
      <c r="F2376" s="17" t="s">
        <v>806</v>
      </c>
      <c r="G2376" s="22" t="s">
        <v>1280</v>
      </c>
      <c r="H2376" s="12" t="s">
        <v>9703</v>
      </c>
      <c r="I2376" s="13" t="s">
        <v>6256</v>
      </c>
      <c r="J2376" s="14" t="s">
        <v>798</v>
      </c>
      <c r="K2376" s="15" t="s">
        <v>798</v>
      </c>
      <c r="L2376" s="12" t="s">
        <v>5315</v>
      </c>
      <c r="M2376" s="13" t="s">
        <v>5408</v>
      </c>
      <c r="N2376" s="12" t="s">
        <v>803</v>
      </c>
      <c r="O2376" s="13" t="s">
        <v>4896</v>
      </c>
      <c r="P2376" s="17" t="s">
        <v>802</v>
      </c>
      <c r="Q2376" s="21" t="s">
        <v>7737</v>
      </c>
      <c r="R2376" s="17" t="s">
        <v>801</v>
      </c>
      <c r="S2376" s="18" t="s">
        <v>2632</v>
      </c>
      <c r="T2376" s="17" t="s">
        <v>800</v>
      </c>
      <c r="U2376" s="18" t="s">
        <v>5270</v>
      </c>
      <c r="V2376" s="17" t="s">
        <v>9418</v>
      </c>
      <c r="W2376" s="18" t="s">
        <v>5313</v>
      </c>
      <c r="X2376" s="69" t="s">
        <v>9453</v>
      </c>
      <c r="Y2376" s="70" t="s">
        <v>9467</v>
      </c>
      <c r="Z2376" s="73" t="s">
        <v>9486</v>
      </c>
      <c r="AA2376" s="74" t="s">
        <v>9504</v>
      </c>
      <c r="AB2376" s="73" t="s">
        <v>9486</v>
      </c>
      <c r="AC2376" s="74" t="s">
        <v>9561</v>
      </c>
      <c r="AD2376" s="73" t="s">
        <v>9578</v>
      </c>
      <c r="AE2376" s="74" t="s">
        <v>9579</v>
      </c>
    </row>
    <row r="2377" spans="1:31" ht="8.65" customHeight="1" x14ac:dyDescent="0.2">
      <c r="A2377" s="76">
        <v>2377</v>
      </c>
      <c r="B2377" s="67" t="str">
        <f>MID(C2377, FIND("Ifc.", C2377) + 4, 4) &amp; "_" &amp; TEXT(COUNTIF($C$2:C2377, C2377),"0000")</f>
        <v>Prop_2376</v>
      </c>
      <c r="C2377" s="24" t="s">
        <v>872</v>
      </c>
      <c r="D2377" s="69" t="s">
        <v>9453</v>
      </c>
      <c r="E2377" s="70" t="s">
        <v>9454</v>
      </c>
      <c r="F2377" s="17" t="s">
        <v>806</v>
      </c>
      <c r="G2377" s="22" t="s">
        <v>1280</v>
      </c>
      <c r="H2377" s="12" t="s">
        <v>9703</v>
      </c>
      <c r="I2377" s="13" t="s">
        <v>6256</v>
      </c>
      <c r="J2377" s="14" t="s">
        <v>798</v>
      </c>
      <c r="K2377" s="15" t="s">
        <v>798</v>
      </c>
      <c r="L2377" s="12" t="s">
        <v>5315</v>
      </c>
      <c r="M2377" s="13" t="s">
        <v>6028</v>
      </c>
      <c r="N2377" s="12" t="s">
        <v>803</v>
      </c>
      <c r="O2377" s="13" t="s">
        <v>4897</v>
      </c>
      <c r="P2377" s="17" t="s">
        <v>802</v>
      </c>
      <c r="Q2377" s="21" t="s">
        <v>7927</v>
      </c>
      <c r="R2377" s="17" t="s">
        <v>801</v>
      </c>
      <c r="S2377" s="18" t="s">
        <v>2590</v>
      </c>
      <c r="T2377" s="17" t="s">
        <v>800</v>
      </c>
      <c r="U2377" s="18" t="s">
        <v>5274</v>
      </c>
      <c r="V2377" s="17" t="s">
        <v>9418</v>
      </c>
      <c r="W2377" s="18" t="s">
        <v>5313</v>
      </c>
      <c r="X2377" s="69" t="s">
        <v>9453</v>
      </c>
      <c r="Y2377" s="70" t="s">
        <v>9467</v>
      </c>
      <c r="Z2377" s="73" t="s">
        <v>9486</v>
      </c>
      <c r="AA2377" s="74" t="s">
        <v>9504</v>
      </c>
      <c r="AB2377" s="73" t="s">
        <v>9486</v>
      </c>
      <c r="AC2377" s="74" t="s">
        <v>9566</v>
      </c>
      <c r="AD2377" s="73" t="s">
        <v>9578</v>
      </c>
      <c r="AE2377" s="74" t="s">
        <v>9579</v>
      </c>
    </row>
    <row r="2378" spans="1:31" ht="8.65" customHeight="1" x14ac:dyDescent="0.2">
      <c r="A2378" s="76">
        <v>2378</v>
      </c>
      <c r="B2378" s="67" t="str">
        <f>MID(C2378, FIND("Ifc.", C2378) + 4, 4) &amp; "_" &amp; TEXT(COUNTIF($C$2:C2378, C2378),"0000")</f>
        <v>Prop_2377</v>
      </c>
      <c r="C2378" s="24" t="s">
        <v>872</v>
      </c>
      <c r="D2378" s="69" t="s">
        <v>9453</v>
      </c>
      <c r="E2378" s="70" t="s">
        <v>9454</v>
      </c>
      <c r="F2378" s="17" t="s">
        <v>806</v>
      </c>
      <c r="G2378" s="22" t="s">
        <v>1883</v>
      </c>
      <c r="H2378" s="12" t="s">
        <v>9703</v>
      </c>
      <c r="I2378" s="13" t="s">
        <v>7279</v>
      </c>
      <c r="J2378" s="14" t="s">
        <v>798</v>
      </c>
      <c r="K2378" s="15" t="s">
        <v>798</v>
      </c>
      <c r="L2378" s="12" t="s">
        <v>5315</v>
      </c>
      <c r="M2378" s="13" t="s">
        <v>5462</v>
      </c>
      <c r="N2378" s="12" t="s">
        <v>803</v>
      </c>
      <c r="O2378" s="13" t="s">
        <v>5044</v>
      </c>
      <c r="P2378" s="17" t="s">
        <v>802</v>
      </c>
      <c r="Q2378" s="21" t="s">
        <v>7806</v>
      </c>
      <c r="R2378" s="17" t="s">
        <v>801</v>
      </c>
      <c r="S2378" s="18" t="s">
        <v>2585</v>
      </c>
      <c r="T2378" s="17" t="s">
        <v>800</v>
      </c>
      <c r="U2378" s="18" t="s">
        <v>5238</v>
      </c>
      <c r="V2378" s="17" t="s">
        <v>9418</v>
      </c>
      <c r="W2378" s="18" t="s">
        <v>5309</v>
      </c>
      <c r="X2378" s="69" t="s">
        <v>9453</v>
      </c>
      <c r="Y2378" s="70" t="s">
        <v>9462</v>
      </c>
      <c r="Z2378" s="73" t="s">
        <v>9486</v>
      </c>
      <c r="AA2378" s="74" t="s">
        <v>9504</v>
      </c>
      <c r="AB2378" s="73" t="s">
        <v>9486</v>
      </c>
      <c r="AC2378" s="74" t="s">
        <v>9566</v>
      </c>
      <c r="AD2378" s="73" t="s">
        <v>9578</v>
      </c>
      <c r="AE2378" s="74" t="s">
        <v>9579</v>
      </c>
    </row>
    <row r="2379" spans="1:31" ht="8.65" customHeight="1" x14ac:dyDescent="0.2">
      <c r="A2379" s="76">
        <v>2379</v>
      </c>
      <c r="B2379" s="67" t="str">
        <f>MID(C2379, FIND("Ifc.", C2379) + 4, 4) &amp; "_" &amp; TEXT(COUNTIF($C$2:C2379, C2379),"0000")</f>
        <v>Prop_2378</v>
      </c>
      <c r="C2379" s="24" t="s">
        <v>872</v>
      </c>
      <c r="D2379" s="69" t="s">
        <v>9453</v>
      </c>
      <c r="E2379" s="70" t="s">
        <v>9454</v>
      </c>
      <c r="F2379" s="17" t="s">
        <v>806</v>
      </c>
      <c r="G2379" s="22" t="s">
        <v>1883</v>
      </c>
      <c r="H2379" s="12" t="s">
        <v>9703</v>
      </c>
      <c r="I2379" s="13" t="s">
        <v>7279</v>
      </c>
      <c r="J2379" s="14" t="s">
        <v>798</v>
      </c>
      <c r="K2379" s="15" t="s">
        <v>798</v>
      </c>
      <c r="L2379" s="12" t="s">
        <v>5315</v>
      </c>
      <c r="M2379" s="13" t="s">
        <v>5579</v>
      </c>
      <c r="N2379" s="12" t="s">
        <v>803</v>
      </c>
      <c r="O2379" s="13" t="s">
        <v>5225</v>
      </c>
      <c r="P2379" s="17" t="s">
        <v>802</v>
      </c>
      <c r="Q2379" s="21" t="s">
        <v>7811</v>
      </c>
      <c r="R2379" s="17" t="s">
        <v>801</v>
      </c>
      <c r="S2379" s="18" t="s">
        <v>2585</v>
      </c>
      <c r="T2379" s="17" t="s">
        <v>800</v>
      </c>
      <c r="U2379" s="18" t="s">
        <v>5238</v>
      </c>
      <c r="V2379" s="17" t="s">
        <v>9418</v>
      </c>
      <c r="W2379" s="18" t="s">
        <v>5309</v>
      </c>
      <c r="X2379" s="69" t="s">
        <v>9453</v>
      </c>
      <c r="Y2379" s="70" t="s">
        <v>9462</v>
      </c>
      <c r="Z2379" s="73" t="s">
        <v>9486</v>
      </c>
      <c r="AA2379" s="74" t="s">
        <v>9504</v>
      </c>
      <c r="AB2379" s="73" t="s">
        <v>9486</v>
      </c>
      <c r="AC2379" s="74" t="s">
        <v>9566</v>
      </c>
      <c r="AD2379" s="73" t="s">
        <v>9578</v>
      </c>
      <c r="AE2379" s="74" t="s">
        <v>9579</v>
      </c>
    </row>
    <row r="2380" spans="1:31" ht="8.65" customHeight="1" x14ac:dyDescent="0.2">
      <c r="A2380" s="76">
        <v>2380</v>
      </c>
      <c r="B2380" s="67" t="str">
        <f>MID(C2380, FIND("Ifc.", C2380) + 4, 4) &amp; "_" &amp; TEXT(COUNTIF($C$2:C2380, C2380),"0000")</f>
        <v>Prop_2379</v>
      </c>
      <c r="C2380" s="24" t="s">
        <v>872</v>
      </c>
      <c r="D2380" s="69" t="s">
        <v>9453</v>
      </c>
      <c r="E2380" s="70" t="s">
        <v>9454</v>
      </c>
      <c r="F2380" s="17" t="s">
        <v>806</v>
      </c>
      <c r="G2380" s="22" t="s">
        <v>1608</v>
      </c>
      <c r="H2380" s="12" t="s">
        <v>9703</v>
      </c>
      <c r="I2380" s="13" t="s">
        <v>6407</v>
      </c>
      <c r="J2380" s="14" t="s">
        <v>798</v>
      </c>
      <c r="K2380" s="15" t="s">
        <v>798</v>
      </c>
      <c r="L2380" s="12" t="s">
        <v>5315</v>
      </c>
      <c r="M2380" s="13" t="s">
        <v>5448</v>
      </c>
      <c r="N2380" s="12" t="s">
        <v>803</v>
      </c>
      <c r="O2380" s="13" t="s">
        <v>4970</v>
      </c>
      <c r="P2380" s="17" t="s">
        <v>802</v>
      </c>
      <c r="Q2380" s="21" t="s">
        <v>7695</v>
      </c>
      <c r="R2380" s="17" t="s">
        <v>801</v>
      </c>
      <c r="S2380" s="18" t="s">
        <v>3636</v>
      </c>
      <c r="T2380" s="17" t="s">
        <v>800</v>
      </c>
      <c r="U2380" s="18" t="s">
        <v>5257</v>
      </c>
      <c r="V2380" s="17" t="s">
        <v>9418</v>
      </c>
      <c r="W2380" s="18" t="s">
        <v>5314</v>
      </c>
      <c r="X2380" s="69" t="s">
        <v>9453</v>
      </c>
      <c r="Y2380" s="70" t="s">
        <v>9464</v>
      </c>
      <c r="Z2380" s="73" t="s">
        <v>9486</v>
      </c>
      <c r="AA2380" s="74" t="s">
        <v>9504</v>
      </c>
      <c r="AB2380" s="73" t="s">
        <v>9486</v>
      </c>
      <c r="AC2380" s="74" t="s">
        <v>9561</v>
      </c>
      <c r="AD2380" s="73" t="s">
        <v>9578</v>
      </c>
      <c r="AE2380" s="74" t="s">
        <v>9579</v>
      </c>
    </row>
    <row r="2381" spans="1:31" ht="8.65" customHeight="1" x14ac:dyDescent="0.2">
      <c r="A2381" s="76">
        <v>2381</v>
      </c>
      <c r="B2381" s="67" t="str">
        <f>MID(C2381, FIND("Ifc.", C2381) + 4, 4) &amp; "_" &amp; TEXT(COUNTIF($C$2:C2381, C2381),"0000")</f>
        <v>Prop_2380</v>
      </c>
      <c r="C2381" s="24" t="s">
        <v>872</v>
      </c>
      <c r="D2381" s="69" t="s">
        <v>9453</v>
      </c>
      <c r="E2381" s="70" t="s">
        <v>9454</v>
      </c>
      <c r="F2381" s="17" t="s">
        <v>806</v>
      </c>
      <c r="G2381" s="22" t="s">
        <v>1566</v>
      </c>
      <c r="H2381" s="12" t="s">
        <v>9703</v>
      </c>
      <c r="I2381" s="13" t="s">
        <v>6402</v>
      </c>
      <c r="J2381" s="14" t="s">
        <v>798</v>
      </c>
      <c r="K2381" s="15" t="s">
        <v>798</v>
      </c>
      <c r="L2381" s="12" t="s">
        <v>5315</v>
      </c>
      <c r="M2381" s="13" t="s">
        <v>5893</v>
      </c>
      <c r="N2381" s="12" t="s">
        <v>803</v>
      </c>
      <c r="O2381" s="13" t="s">
        <v>4962</v>
      </c>
      <c r="P2381" s="17" t="s">
        <v>802</v>
      </c>
      <c r="Q2381" s="21" t="s">
        <v>7837</v>
      </c>
      <c r="R2381" s="17" t="s">
        <v>801</v>
      </c>
      <c r="S2381" s="18" t="s">
        <v>3636</v>
      </c>
      <c r="T2381" s="17" t="s">
        <v>800</v>
      </c>
      <c r="U2381" s="18" t="s">
        <v>5257</v>
      </c>
      <c r="V2381" s="17" t="s">
        <v>9418</v>
      </c>
      <c r="W2381" s="18" t="s">
        <v>5314</v>
      </c>
      <c r="X2381" s="69" t="s">
        <v>9453</v>
      </c>
      <c r="Y2381" s="70" t="s">
        <v>9464</v>
      </c>
      <c r="Z2381" s="73" t="s">
        <v>9486</v>
      </c>
      <c r="AA2381" s="74" t="s">
        <v>9504</v>
      </c>
      <c r="AB2381" s="73" t="s">
        <v>9486</v>
      </c>
      <c r="AC2381" s="74" t="s">
        <v>9561</v>
      </c>
      <c r="AD2381" s="73" t="s">
        <v>9578</v>
      </c>
      <c r="AE2381" s="74" t="s">
        <v>9579</v>
      </c>
    </row>
    <row r="2382" spans="1:31" ht="8.65" customHeight="1" x14ac:dyDescent="0.2">
      <c r="A2382" s="76">
        <v>2382</v>
      </c>
      <c r="B2382" s="67" t="str">
        <f>MID(C2382, FIND("Ifc.", C2382) + 4, 4) &amp; "_" &amp; TEXT(COUNTIF($C$2:C2382, C2382),"0000")</f>
        <v>Prop_2381</v>
      </c>
      <c r="C2382" s="24" t="s">
        <v>872</v>
      </c>
      <c r="D2382" s="69" t="s">
        <v>9453</v>
      </c>
      <c r="E2382" s="70" t="s">
        <v>9454</v>
      </c>
      <c r="F2382" s="17" t="s">
        <v>806</v>
      </c>
      <c r="G2382" s="22" t="s">
        <v>1669</v>
      </c>
      <c r="H2382" s="12" t="s">
        <v>9703</v>
      </c>
      <c r="I2382" s="13" t="s">
        <v>6419</v>
      </c>
      <c r="J2382" s="14" t="s">
        <v>798</v>
      </c>
      <c r="K2382" s="15" t="s">
        <v>798</v>
      </c>
      <c r="L2382" s="12" t="s">
        <v>5315</v>
      </c>
      <c r="M2382" s="13" t="s">
        <v>5844</v>
      </c>
      <c r="N2382" s="12" t="s">
        <v>803</v>
      </c>
      <c r="O2382" s="13" t="s">
        <v>4989</v>
      </c>
      <c r="P2382" s="17" t="s">
        <v>802</v>
      </c>
      <c r="Q2382" s="21" t="s">
        <v>7839</v>
      </c>
      <c r="R2382" s="17" t="s">
        <v>801</v>
      </c>
      <c r="S2382" s="18" t="s">
        <v>3636</v>
      </c>
      <c r="T2382" s="17" t="s">
        <v>800</v>
      </c>
      <c r="U2382" s="18" t="s">
        <v>5257</v>
      </c>
      <c r="V2382" s="17" t="s">
        <v>9418</v>
      </c>
      <c r="W2382" s="18" t="s">
        <v>5314</v>
      </c>
      <c r="X2382" s="69" t="s">
        <v>9453</v>
      </c>
      <c r="Y2382" s="70" t="s">
        <v>9464</v>
      </c>
      <c r="Z2382" s="73" t="s">
        <v>9486</v>
      </c>
      <c r="AA2382" s="74" t="s">
        <v>9504</v>
      </c>
      <c r="AB2382" s="73" t="s">
        <v>9486</v>
      </c>
      <c r="AC2382" s="74" t="s">
        <v>9561</v>
      </c>
      <c r="AD2382" s="73" t="s">
        <v>9578</v>
      </c>
      <c r="AE2382" s="74" t="s">
        <v>9579</v>
      </c>
    </row>
    <row r="2383" spans="1:31" ht="8.65" customHeight="1" x14ac:dyDescent="0.2">
      <c r="A2383" s="76">
        <v>2383</v>
      </c>
      <c r="B2383" s="67" t="str">
        <f>MID(C2383, FIND("Ifc.", C2383) + 4, 4) &amp; "_" &amp; TEXT(COUNTIF($C$2:C2383, C2383),"0000")</f>
        <v>Prop_2382</v>
      </c>
      <c r="C2383" s="24" t="s">
        <v>872</v>
      </c>
      <c r="D2383" s="69" t="s">
        <v>9453</v>
      </c>
      <c r="E2383" s="70" t="s">
        <v>9454</v>
      </c>
      <c r="F2383" s="17" t="s">
        <v>806</v>
      </c>
      <c r="G2383" s="22" t="s">
        <v>1669</v>
      </c>
      <c r="H2383" s="12" t="s">
        <v>9703</v>
      </c>
      <c r="I2383" s="13" t="s">
        <v>6419</v>
      </c>
      <c r="J2383" s="14" t="s">
        <v>798</v>
      </c>
      <c r="K2383" s="15" t="s">
        <v>798</v>
      </c>
      <c r="L2383" s="12" t="s">
        <v>5315</v>
      </c>
      <c r="M2383" s="13" t="s">
        <v>5926</v>
      </c>
      <c r="N2383" s="12" t="s">
        <v>803</v>
      </c>
      <c r="O2383" s="13" t="s">
        <v>4990</v>
      </c>
      <c r="P2383" s="17" t="s">
        <v>802</v>
      </c>
      <c r="Q2383" s="21" t="s">
        <v>7914</v>
      </c>
      <c r="R2383" s="17" t="s">
        <v>801</v>
      </c>
      <c r="S2383" s="18" t="s">
        <v>3636</v>
      </c>
      <c r="T2383" s="17" t="s">
        <v>800</v>
      </c>
      <c r="U2383" s="18" t="s">
        <v>5257</v>
      </c>
      <c r="V2383" s="17" t="s">
        <v>9418</v>
      </c>
      <c r="W2383" s="18" t="s">
        <v>5314</v>
      </c>
      <c r="X2383" s="69" t="s">
        <v>9453</v>
      </c>
      <c r="Y2383" s="70" t="s">
        <v>9464</v>
      </c>
      <c r="Z2383" s="73" t="s">
        <v>9486</v>
      </c>
      <c r="AA2383" s="74" t="s">
        <v>9504</v>
      </c>
      <c r="AB2383" s="73" t="s">
        <v>9486</v>
      </c>
      <c r="AC2383" s="74" t="s">
        <v>9561</v>
      </c>
      <c r="AD2383" s="73" t="s">
        <v>9578</v>
      </c>
      <c r="AE2383" s="74" t="s">
        <v>9579</v>
      </c>
    </row>
    <row r="2384" spans="1:31" ht="8.65" customHeight="1" x14ac:dyDescent="0.2">
      <c r="A2384" s="76">
        <v>2384</v>
      </c>
      <c r="B2384" s="67" t="str">
        <f>MID(C2384, FIND("Ifc.", C2384) + 4, 4) &amp; "_" &amp; TEXT(COUNTIF($C$2:C2384, C2384),"0000")</f>
        <v>Prop_2383</v>
      </c>
      <c r="C2384" s="24" t="s">
        <v>872</v>
      </c>
      <c r="D2384" s="69" t="s">
        <v>9453</v>
      </c>
      <c r="E2384" s="70" t="s">
        <v>9454</v>
      </c>
      <c r="F2384" s="17" t="s">
        <v>806</v>
      </c>
      <c r="G2384" s="22" t="s">
        <v>1568</v>
      </c>
      <c r="H2384" s="12" t="s">
        <v>9703</v>
      </c>
      <c r="I2384" s="13" t="s">
        <v>6404</v>
      </c>
      <c r="J2384" s="14" t="s">
        <v>798</v>
      </c>
      <c r="K2384" s="15" t="s">
        <v>798</v>
      </c>
      <c r="L2384" s="12" t="s">
        <v>5315</v>
      </c>
      <c r="M2384" s="13" t="s">
        <v>5894</v>
      </c>
      <c r="N2384" s="12" t="s">
        <v>803</v>
      </c>
      <c r="O2384" s="13" t="s">
        <v>4963</v>
      </c>
      <c r="P2384" s="17" t="s">
        <v>802</v>
      </c>
      <c r="Q2384" s="21" t="s">
        <v>7838</v>
      </c>
      <c r="R2384" s="17" t="s">
        <v>801</v>
      </c>
      <c r="S2384" s="18" t="s">
        <v>3636</v>
      </c>
      <c r="T2384" s="17" t="s">
        <v>800</v>
      </c>
      <c r="U2384" s="18" t="s">
        <v>5257</v>
      </c>
      <c r="V2384" s="17" t="s">
        <v>9418</v>
      </c>
      <c r="W2384" s="18" t="s">
        <v>5314</v>
      </c>
      <c r="X2384" s="69" t="s">
        <v>9453</v>
      </c>
      <c r="Y2384" s="70" t="s">
        <v>9464</v>
      </c>
      <c r="Z2384" s="73" t="s">
        <v>9486</v>
      </c>
      <c r="AA2384" s="74" t="s">
        <v>9504</v>
      </c>
      <c r="AB2384" s="73" t="s">
        <v>9486</v>
      </c>
      <c r="AC2384" s="74" t="s">
        <v>9561</v>
      </c>
      <c r="AD2384" s="73" t="s">
        <v>9578</v>
      </c>
      <c r="AE2384" s="74" t="s">
        <v>9579</v>
      </c>
    </row>
    <row r="2385" spans="1:31" ht="8.65" customHeight="1" x14ac:dyDescent="0.2">
      <c r="A2385" s="76">
        <v>2385</v>
      </c>
      <c r="B2385" s="67" t="str">
        <f>MID(C2385, FIND("Ifc.", C2385) + 4, 4) &amp; "_" &amp; TEXT(COUNTIF($C$2:C2385, C2385),"0000")</f>
        <v>Prop_2384</v>
      </c>
      <c r="C2385" s="24" t="s">
        <v>872</v>
      </c>
      <c r="D2385" s="69" t="s">
        <v>9453</v>
      </c>
      <c r="E2385" s="70" t="s">
        <v>9454</v>
      </c>
      <c r="F2385" s="17" t="s">
        <v>806</v>
      </c>
      <c r="G2385" s="22" t="s">
        <v>1218</v>
      </c>
      <c r="H2385" s="12" t="s">
        <v>9703</v>
      </c>
      <c r="I2385" s="13" t="s">
        <v>6491</v>
      </c>
      <c r="J2385" s="14" t="s">
        <v>798</v>
      </c>
      <c r="K2385" s="15" t="s">
        <v>798</v>
      </c>
      <c r="L2385" s="12" t="s">
        <v>5315</v>
      </c>
      <c r="M2385" s="13" t="s">
        <v>5821</v>
      </c>
      <c r="N2385" s="12" t="s">
        <v>803</v>
      </c>
      <c r="O2385" s="13" t="s">
        <v>4883</v>
      </c>
      <c r="P2385" s="17" t="s">
        <v>802</v>
      </c>
      <c r="Q2385" s="21" t="s">
        <v>7683</v>
      </c>
      <c r="R2385" s="17" t="s">
        <v>801</v>
      </c>
      <c r="S2385" s="18" t="s">
        <v>2638</v>
      </c>
      <c r="T2385" s="17" t="s">
        <v>800</v>
      </c>
      <c r="U2385" s="18" t="s">
        <v>5254</v>
      </c>
      <c r="V2385" s="17" t="s">
        <v>9418</v>
      </c>
      <c r="W2385" s="18" t="s">
        <v>5309</v>
      </c>
      <c r="X2385" s="69" t="s">
        <v>9453</v>
      </c>
      <c r="Y2385" s="70" t="s">
        <v>9462</v>
      </c>
      <c r="Z2385" s="73" t="s">
        <v>9486</v>
      </c>
      <c r="AA2385" s="74" t="s">
        <v>9504</v>
      </c>
      <c r="AB2385" s="73" t="s">
        <v>9486</v>
      </c>
      <c r="AC2385" s="74" t="s">
        <v>9566</v>
      </c>
      <c r="AD2385" s="73" t="s">
        <v>9578</v>
      </c>
      <c r="AE2385" s="74" t="s">
        <v>9579</v>
      </c>
    </row>
    <row r="2386" spans="1:31" ht="8.65" customHeight="1" x14ac:dyDescent="0.2">
      <c r="A2386" s="76">
        <v>2386</v>
      </c>
      <c r="B2386" s="67" t="str">
        <f>MID(C2386, FIND("Ifc.", C2386) + 4, 4) &amp; "_" &amp; TEXT(COUNTIF($C$2:C2386, C2386),"0000")</f>
        <v>Prop_2385</v>
      </c>
      <c r="C2386" s="24" t="s">
        <v>872</v>
      </c>
      <c r="D2386" s="69" t="s">
        <v>9453</v>
      </c>
      <c r="E2386" s="70" t="s">
        <v>9454</v>
      </c>
      <c r="F2386" s="17" t="s">
        <v>806</v>
      </c>
      <c r="G2386" s="22" t="s">
        <v>1616</v>
      </c>
      <c r="H2386" s="12" t="s">
        <v>9703</v>
      </c>
      <c r="I2386" s="13" t="s">
        <v>6361</v>
      </c>
      <c r="J2386" s="14" t="s">
        <v>798</v>
      </c>
      <c r="K2386" s="15" t="s">
        <v>798</v>
      </c>
      <c r="L2386" s="12" t="s">
        <v>5315</v>
      </c>
      <c r="M2386" s="13" t="s">
        <v>5831</v>
      </c>
      <c r="N2386" s="12" t="s">
        <v>803</v>
      </c>
      <c r="O2386" s="13" t="s">
        <v>4973</v>
      </c>
      <c r="P2386" s="17" t="s">
        <v>802</v>
      </c>
      <c r="Q2386" s="21" t="s">
        <v>7730</v>
      </c>
      <c r="R2386" s="17" t="s">
        <v>801</v>
      </c>
      <c r="S2386" s="18" t="s">
        <v>3636</v>
      </c>
      <c r="T2386" s="17" t="s">
        <v>800</v>
      </c>
      <c r="U2386" s="18" t="s">
        <v>5257</v>
      </c>
      <c r="V2386" s="17" t="s">
        <v>9418</v>
      </c>
      <c r="W2386" s="18" t="s">
        <v>5314</v>
      </c>
      <c r="X2386" s="69" t="s">
        <v>9453</v>
      </c>
      <c r="Y2386" s="70" t="s">
        <v>9464</v>
      </c>
      <c r="Z2386" s="73" t="s">
        <v>9486</v>
      </c>
      <c r="AA2386" s="74" t="s">
        <v>9504</v>
      </c>
      <c r="AB2386" s="73" t="s">
        <v>9486</v>
      </c>
      <c r="AC2386" s="74" t="s">
        <v>9561</v>
      </c>
      <c r="AD2386" s="73" t="s">
        <v>9578</v>
      </c>
      <c r="AE2386" s="74" t="s">
        <v>9579</v>
      </c>
    </row>
    <row r="2387" spans="1:31" ht="8.65" customHeight="1" x14ac:dyDescent="0.2">
      <c r="A2387" s="76">
        <v>2387</v>
      </c>
      <c r="B2387" s="67" t="str">
        <f>MID(C2387, FIND("Ifc.", C2387) + 4, 4) &amp; "_" &amp; TEXT(COUNTIF($C$2:C2387, C2387),"0000")</f>
        <v>Prop_2386</v>
      </c>
      <c r="C2387" s="24" t="s">
        <v>872</v>
      </c>
      <c r="D2387" s="69" t="s">
        <v>9453</v>
      </c>
      <c r="E2387" s="70" t="s">
        <v>9454</v>
      </c>
      <c r="F2387" s="17" t="s">
        <v>806</v>
      </c>
      <c r="G2387" s="22" t="s">
        <v>1592</v>
      </c>
      <c r="H2387" s="12" t="s">
        <v>9703</v>
      </c>
      <c r="I2387" s="13" t="s">
        <v>6431</v>
      </c>
      <c r="J2387" s="14" t="s">
        <v>798</v>
      </c>
      <c r="K2387" s="15" t="s">
        <v>798</v>
      </c>
      <c r="L2387" s="12" t="s">
        <v>5315</v>
      </c>
      <c r="M2387" s="13" t="s">
        <v>5899</v>
      </c>
      <c r="N2387" s="12" t="s">
        <v>803</v>
      </c>
      <c r="O2387" s="13" t="s">
        <v>4968</v>
      </c>
      <c r="P2387" s="17" t="s">
        <v>802</v>
      </c>
      <c r="Q2387" s="21" t="s">
        <v>7786</v>
      </c>
      <c r="R2387" s="17" t="s">
        <v>801</v>
      </c>
      <c r="S2387" s="18" t="s">
        <v>3636</v>
      </c>
      <c r="T2387" s="17" t="s">
        <v>800</v>
      </c>
      <c r="U2387" s="18" t="s">
        <v>5257</v>
      </c>
      <c r="V2387" s="17" t="s">
        <v>9418</v>
      </c>
      <c r="W2387" s="18" t="s">
        <v>5314</v>
      </c>
      <c r="X2387" s="69" t="s">
        <v>9453</v>
      </c>
      <c r="Y2387" s="70" t="s">
        <v>9464</v>
      </c>
      <c r="Z2387" s="73" t="s">
        <v>9486</v>
      </c>
      <c r="AA2387" s="74" t="s">
        <v>9504</v>
      </c>
      <c r="AB2387" s="73" t="s">
        <v>9486</v>
      </c>
      <c r="AC2387" s="74" t="s">
        <v>9561</v>
      </c>
      <c r="AD2387" s="73" t="s">
        <v>9578</v>
      </c>
      <c r="AE2387" s="74" t="s">
        <v>9579</v>
      </c>
    </row>
    <row r="2388" spans="1:31" ht="8.65" customHeight="1" x14ac:dyDescent="0.2">
      <c r="A2388" s="76">
        <v>2388</v>
      </c>
      <c r="B2388" s="67" t="str">
        <f>MID(C2388, FIND("Ifc.", C2388) + 4, 4) &amp; "_" &amp; TEXT(COUNTIF($C$2:C2388, C2388),"0000")</f>
        <v>Prop_2387</v>
      </c>
      <c r="C2388" s="24" t="s">
        <v>872</v>
      </c>
      <c r="D2388" s="69" t="s">
        <v>9453</v>
      </c>
      <c r="E2388" s="70" t="s">
        <v>9454</v>
      </c>
      <c r="F2388" s="17" t="s">
        <v>806</v>
      </c>
      <c r="G2388" s="22" t="s">
        <v>2100</v>
      </c>
      <c r="H2388" s="12" t="s">
        <v>9703</v>
      </c>
      <c r="I2388" s="13" t="s">
        <v>6934</v>
      </c>
      <c r="J2388" s="14" t="s">
        <v>798</v>
      </c>
      <c r="K2388" s="15" t="s">
        <v>798</v>
      </c>
      <c r="L2388" s="12" t="s">
        <v>5315</v>
      </c>
      <c r="M2388" s="13" t="s">
        <v>5490</v>
      </c>
      <c r="N2388" s="12" t="s">
        <v>803</v>
      </c>
      <c r="O2388" s="13" t="s">
        <v>5099</v>
      </c>
      <c r="P2388" s="17" t="s">
        <v>802</v>
      </c>
      <c r="Q2388" s="21" t="s">
        <v>7778</v>
      </c>
      <c r="R2388" s="17" t="s">
        <v>801</v>
      </c>
      <c r="S2388" s="18" t="s">
        <v>2638</v>
      </c>
      <c r="T2388" s="17" t="s">
        <v>800</v>
      </c>
      <c r="U2388" s="18" t="s">
        <v>5254</v>
      </c>
      <c r="V2388" s="17" t="s">
        <v>9418</v>
      </c>
      <c r="W2388" s="18" t="s">
        <v>5309</v>
      </c>
      <c r="X2388" s="69" t="s">
        <v>9453</v>
      </c>
      <c r="Y2388" s="70" t="s">
        <v>9462</v>
      </c>
      <c r="Z2388" s="73" t="s">
        <v>9486</v>
      </c>
      <c r="AA2388" s="74" t="s">
        <v>9504</v>
      </c>
      <c r="AB2388" s="73" t="s">
        <v>9486</v>
      </c>
      <c r="AC2388" s="74" t="s">
        <v>9566</v>
      </c>
      <c r="AD2388" s="73" t="s">
        <v>9578</v>
      </c>
      <c r="AE2388" s="74" t="s">
        <v>9579</v>
      </c>
    </row>
    <row r="2389" spans="1:31" ht="8.65" customHeight="1" x14ac:dyDescent="0.2">
      <c r="A2389" s="76">
        <v>2389</v>
      </c>
      <c r="B2389" s="67" t="str">
        <f>MID(C2389, FIND("Ifc.", C2389) + 4, 4) &amp; "_" &amp; TEXT(COUNTIF($C$2:C2389, C2389),"0000")</f>
        <v>Prop_2388</v>
      </c>
      <c r="C2389" s="24" t="s">
        <v>872</v>
      </c>
      <c r="D2389" s="69" t="s">
        <v>9453</v>
      </c>
      <c r="E2389" s="70" t="s">
        <v>9454</v>
      </c>
      <c r="F2389" s="17" t="s">
        <v>806</v>
      </c>
      <c r="G2389" s="22" t="s">
        <v>1690</v>
      </c>
      <c r="H2389" s="12" t="s">
        <v>9703</v>
      </c>
      <c r="I2389" s="13" t="s">
        <v>6440</v>
      </c>
      <c r="J2389" s="14" t="s">
        <v>798</v>
      </c>
      <c r="K2389" s="15" t="s">
        <v>798</v>
      </c>
      <c r="L2389" s="12" t="s">
        <v>5315</v>
      </c>
      <c r="M2389" s="13" t="s">
        <v>5851</v>
      </c>
      <c r="N2389" s="12" t="s">
        <v>803</v>
      </c>
      <c r="O2389" s="13" t="s">
        <v>4998</v>
      </c>
      <c r="P2389" s="17" t="s">
        <v>802</v>
      </c>
      <c r="Q2389" s="21" t="s">
        <v>8076</v>
      </c>
      <c r="R2389" s="17" t="s">
        <v>801</v>
      </c>
      <c r="S2389" s="18" t="s">
        <v>3636</v>
      </c>
      <c r="T2389" s="17" t="s">
        <v>800</v>
      </c>
      <c r="U2389" s="18" t="s">
        <v>5257</v>
      </c>
      <c r="V2389" s="17" t="s">
        <v>9418</v>
      </c>
      <c r="W2389" s="18" t="s">
        <v>5314</v>
      </c>
      <c r="X2389" s="69" t="s">
        <v>9453</v>
      </c>
      <c r="Y2389" s="70" t="s">
        <v>9464</v>
      </c>
      <c r="Z2389" s="73" t="s">
        <v>9486</v>
      </c>
      <c r="AA2389" s="74" t="s">
        <v>9504</v>
      </c>
      <c r="AB2389" s="73" t="s">
        <v>9486</v>
      </c>
      <c r="AC2389" s="74" t="s">
        <v>9561</v>
      </c>
      <c r="AD2389" s="73" t="s">
        <v>9578</v>
      </c>
      <c r="AE2389" s="74" t="s">
        <v>9579</v>
      </c>
    </row>
    <row r="2390" spans="1:31" ht="8.65" customHeight="1" x14ac:dyDescent="0.2">
      <c r="A2390" s="76">
        <v>2390</v>
      </c>
      <c r="B2390" s="67" t="str">
        <f>MID(C2390, FIND("Ifc.", C2390) + 4, 4) &amp; "_" &amp; TEXT(COUNTIF($C$2:C2390, C2390),"0000")</f>
        <v>Prop_2389</v>
      </c>
      <c r="C2390" s="24" t="s">
        <v>872</v>
      </c>
      <c r="D2390" s="69" t="s">
        <v>9453</v>
      </c>
      <c r="E2390" s="70" t="s">
        <v>9454</v>
      </c>
      <c r="F2390" s="17" t="s">
        <v>806</v>
      </c>
      <c r="G2390" s="22" t="s">
        <v>2102</v>
      </c>
      <c r="H2390" s="12" t="s">
        <v>9703</v>
      </c>
      <c r="I2390" s="13" t="s">
        <v>6440</v>
      </c>
      <c r="J2390" s="14" t="s">
        <v>798</v>
      </c>
      <c r="K2390" s="15" t="s">
        <v>798</v>
      </c>
      <c r="L2390" s="12" t="s">
        <v>5315</v>
      </c>
      <c r="M2390" s="13" t="s">
        <v>5490</v>
      </c>
      <c r="N2390" s="12" t="s">
        <v>803</v>
      </c>
      <c r="O2390" s="13" t="s">
        <v>5099</v>
      </c>
      <c r="P2390" s="17" t="s">
        <v>802</v>
      </c>
      <c r="Q2390" s="21" t="s">
        <v>7778</v>
      </c>
      <c r="R2390" s="17" t="s">
        <v>801</v>
      </c>
      <c r="S2390" s="18" t="s">
        <v>2638</v>
      </c>
      <c r="T2390" s="17" t="s">
        <v>800</v>
      </c>
      <c r="U2390" s="18" t="s">
        <v>5254</v>
      </c>
      <c r="V2390" s="17" t="s">
        <v>9418</v>
      </c>
      <c r="W2390" s="18" t="s">
        <v>5309</v>
      </c>
      <c r="X2390" s="69" t="s">
        <v>9453</v>
      </c>
      <c r="Y2390" s="70" t="s">
        <v>9462</v>
      </c>
      <c r="Z2390" s="73" t="s">
        <v>9486</v>
      </c>
      <c r="AA2390" s="74" t="s">
        <v>9504</v>
      </c>
      <c r="AB2390" s="73" t="s">
        <v>9486</v>
      </c>
      <c r="AC2390" s="74" t="s">
        <v>9566</v>
      </c>
      <c r="AD2390" s="73" t="s">
        <v>9578</v>
      </c>
      <c r="AE2390" s="74" t="s">
        <v>9579</v>
      </c>
    </row>
    <row r="2391" spans="1:31" ht="8.65" customHeight="1" x14ac:dyDescent="0.2">
      <c r="A2391" s="76">
        <v>2391</v>
      </c>
      <c r="B2391" s="67" t="str">
        <f>MID(C2391, FIND("Ifc.", C2391) + 4, 4) &amp; "_" &amp; TEXT(COUNTIF($C$2:C2391, C2391),"0000")</f>
        <v>Prop_2390</v>
      </c>
      <c r="C2391" s="24" t="s">
        <v>872</v>
      </c>
      <c r="D2391" s="69" t="s">
        <v>9453</v>
      </c>
      <c r="E2391" s="70" t="s">
        <v>9454</v>
      </c>
      <c r="F2391" s="17" t="s">
        <v>806</v>
      </c>
      <c r="G2391" s="22" t="s">
        <v>997</v>
      </c>
      <c r="H2391" s="12" t="s">
        <v>9703</v>
      </c>
      <c r="I2391" s="13" t="s">
        <v>6852</v>
      </c>
      <c r="J2391" s="14" t="s">
        <v>798</v>
      </c>
      <c r="K2391" s="15" t="s">
        <v>798</v>
      </c>
      <c r="L2391" s="12" t="s">
        <v>5315</v>
      </c>
      <c r="M2391" s="13" t="s">
        <v>5992</v>
      </c>
      <c r="N2391" s="12" t="s">
        <v>803</v>
      </c>
      <c r="O2391" s="13" t="s">
        <v>4828</v>
      </c>
      <c r="P2391" s="17" t="s">
        <v>802</v>
      </c>
      <c r="Q2391" s="21" t="s">
        <v>7787</v>
      </c>
      <c r="R2391" s="17" t="s">
        <v>801</v>
      </c>
      <c r="S2391" s="18" t="s">
        <v>2638</v>
      </c>
      <c r="T2391" s="17" t="s">
        <v>800</v>
      </c>
      <c r="U2391" s="18" t="s">
        <v>5254</v>
      </c>
      <c r="V2391" s="17" t="s">
        <v>9418</v>
      </c>
      <c r="W2391" s="18" t="s">
        <v>5309</v>
      </c>
      <c r="X2391" s="69" t="s">
        <v>9453</v>
      </c>
      <c r="Y2391" s="70" t="s">
        <v>9462</v>
      </c>
      <c r="Z2391" s="73" t="s">
        <v>9486</v>
      </c>
      <c r="AA2391" s="74" t="s">
        <v>9504</v>
      </c>
      <c r="AB2391" s="73" t="s">
        <v>9486</v>
      </c>
      <c r="AC2391" s="74" t="s">
        <v>9566</v>
      </c>
      <c r="AD2391" s="73" t="s">
        <v>9578</v>
      </c>
      <c r="AE2391" s="74" t="s">
        <v>9579</v>
      </c>
    </row>
    <row r="2392" spans="1:31" ht="8.65" customHeight="1" x14ac:dyDescent="0.2">
      <c r="A2392" s="76">
        <v>2392</v>
      </c>
      <c r="B2392" s="67" t="str">
        <f>MID(C2392, FIND("Ifc.", C2392) + 4, 4) &amp; "_" &amp; TEXT(COUNTIF($C$2:C2392, C2392),"0000")</f>
        <v>Prop_2391</v>
      </c>
      <c r="C2392" s="24" t="s">
        <v>872</v>
      </c>
      <c r="D2392" s="69" t="s">
        <v>9453</v>
      </c>
      <c r="E2392" s="70" t="s">
        <v>9454</v>
      </c>
      <c r="F2392" s="17" t="s">
        <v>806</v>
      </c>
      <c r="G2392" s="22" t="s">
        <v>2370</v>
      </c>
      <c r="H2392" s="12" t="s">
        <v>9703</v>
      </c>
      <c r="I2392" s="13" t="s">
        <v>6754</v>
      </c>
      <c r="J2392" s="14" t="s">
        <v>798</v>
      </c>
      <c r="K2392" s="15" t="s">
        <v>798</v>
      </c>
      <c r="L2392" s="12" t="s">
        <v>5315</v>
      </c>
      <c r="M2392" s="13" t="s">
        <v>5781</v>
      </c>
      <c r="N2392" s="12" t="s">
        <v>803</v>
      </c>
      <c r="O2392" s="13" t="s">
        <v>5180</v>
      </c>
      <c r="P2392" s="17" t="s">
        <v>802</v>
      </c>
      <c r="Q2392" s="21" t="s">
        <v>7699</v>
      </c>
      <c r="R2392" s="17" t="s">
        <v>801</v>
      </c>
      <c r="S2392" s="18" t="s">
        <v>2638</v>
      </c>
      <c r="T2392" s="17" t="s">
        <v>800</v>
      </c>
      <c r="U2392" s="18" t="s">
        <v>5254</v>
      </c>
      <c r="V2392" s="17" t="s">
        <v>9418</v>
      </c>
      <c r="W2392" s="18" t="s">
        <v>5311</v>
      </c>
      <c r="X2392" s="69" t="s">
        <v>9453</v>
      </c>
      <c r="Y2392" s="70" t="s">
        <v>9466</v>
      </c>
      <c r="Z2392" s="73" t="s">
        <v>9486</v>
      </c>
      <c r="AA2392" s="74" t="s">
        <v>9504</v>
      </c>
      <c r="AB2392" s="73" t="s">
        <v>9486</v>
      </c>
      <c r="AC2392" s="74" t="s">
        <v>9566</v>
      </c>
      <c r="AD2392" s="73" t="s">
        <v>9578</v>
      </c>
      <c r="AE2392" s="74" t="s">
        <v>9579</v>
      </c>
    </row>
    <row r="2393" spans="1:31" ht="8.65" customHeight="1" x14ac:dyDescent="0.2">
      <c r="A2393" s="76">
        <v>2393</v>
      </c>
      <c r="B2393" s="67" t="str">
        <f>MID(C2393, FIND("Ifc.", C2393) + 4, 4) &amp; "_" &amp; TEXT(COUNTIF($C$2:C2393, C2393),"0000")</f>
        <v>Prop_2392</v>
      </c>
      <c r="C2393" s="24" t="s">
        <v>872</v>
      </c>
      <c r="D2393" s="69" t="s">
        <v>9453</v>
      </c>
      <c r="E2393" s="70" t="s">
        <v>9454</v>
      </c>
      <c r="F2393" s="17" t="s">
        <v>806</v>
      </c>
      <c r="G2393" s="22" t="s">
        <v>1528</v>
      </c>
      <c r="H2393" s="12" t="s">
        <v>9703</v>
      </c>
      <c r="I2393" s="13" t="s">
        <v>7231</v>
      </c>
      <c r="J2393" s="14" t="s">
        <v>798</v>
      </c>
      <c r="K2393" s="15" t="s">
        <v>798</v>
      </c>
      <c r="L2393" s="12" t="s">
        <v>5315</v>
      </c>
      <c r="M2393" s="13" t="s">
        <v>5816</v>
      </c>
      <c r="N2393" s="12" t="s">
        <v>803</v>
      </c>
      <c r="O2393" s="13" t="s">
        <v>4955</v>
      </c>
      <c r="P2393" s="17" t="s">
        <v>802</v>
      </c>
      <c r="Q2393" s="21" t="s">
        <v>7694</v>
      </c>
      <c r="R2393" s="17" t="s">
        <v>801</v>
      </c>
      <c r="S2393" s="18" t="s">
        <v>2638</v>
      </c>
      <c r="T2393" s="17" t="s">
        <v>800</v>
      </c>
      <c r="U2393" s="18" t="s">
        <v>5254</v>
      </c>
      <c r="V2393" s="17" t="s">
        <v>9418</v>
      </c>
      <c r="W2393" s="18" t="s">
        <v>5309</v>
      </c>
      <c r="X2393" s="69" t="s">
        <v>9453</v>
      </c>
      <c r="Y2393" s="70" t="s">
        <v>9462</v>
      </c>
      <c r="Z2393" s="73" t="s">
        <v>9486</v>
      </c>
      <c r="AA2393" s="74" t="s">
        <v>9504</v>
      </c>
      <c r="AB2393" s="73" t="s">
        <v>9486</v>
      </c>
      <c r="AC2393" s="74" t="s">
        <v>9566</v>
      </c>
      <c r="AD2393" s="73" t="s">
        <v>9578</v>
      </c>
      <c r="AE2393" s="74" t="s">
        <v>9579</v>
      </c>
    </row>
    <row r="2394" spans="1:31" ht="8.65" customHeight="1" x14ac:dyDescent="0.2">
      <c r="A2394" s="76">
        <v>2394</v>
      </c>
      <c r="B2394" s="67" t="str">
        <f>MID(C2394, FIND("Ifc.", C2394) + 4, 4) &amp; "_" &amp; TEXT(COUNTIF($C$2:C2394, C2394),"0000")</f>
        <v>Prop_2393</v>
      </c>
      <c r="C2394" s="24" t="s">
        <v>872</v>
      </c>
      <c r="D2394" s="69" t="s">
        <v>9453</v>
      </c>
      <c r="E2394" s="70" t="s">
        <v>9454</v>
      </c>
      <c r="F2394" s="17" t="s">
        <v>806</v>
      </c>
      <c r="G2394" s="22" t="s">
        <v>1528</v>
      </c>
      <c r="H2394" s="12" t="s">
        <v>9703</v>
      </c>
      <c r="I2394" s="13" t="s">
        <v>7231</v>
      </c>
      <c r="J2394" s="14" t="s">
        <v>798</v>
      </c>
      <c r="K2394" s="15" t="s">
        <v>798</v>
      </c>
      <c r="L2394" s="12" t="s">
        <v>5315</v>
      </c>
      <c r="M2394" s="13" t="s">
        <v>5783</v>
      </c>
      <c r="N2394" s="12" t="s">
        <v>803</v>
      </c>
      <c r="O2394" s="13" t="s">
        <v>5181</v>
      </c>
      <c r="P2394" s="17" t="s">
        <v>802</v>
      </c>
      <c r="Q2394" s="21" t="s">
        <v>7751</v>
      </c>
      <c r="R2394" s="17" t="s">
        <v>801</v>
      </c>
      <c r="S2394" s="18" t="s">
        <v>2638</v>
      </c>
      <c r="T2394" s="17" t="s">
        <v>800</v>
      </c>
      <c r="U2394" s="18" t="s">
        <v>5254</v>
      </c>
      <c r="V2394" s="17" t="s">
        <v>9418</v>
      </c>
      <c r="W2394" s="18" t="s">
        <v>5309</v>
      </c>
      <c r="X2394" s="69" t="s">
        <v>9453</v>
      </c>
      <c r="Y2394" s="70" t="s">
        <v>9462</v>
      </c>
      <c r="Z2394" s="73" t="s">
        <v>9486</v>
      </c>
      <c r="AA2394" s="74" t="s">
        <v>9504</v>
      </c>
      <c r="AB2394" s="73" t="s">
        <v>9486</v>
      </c>
      <c r="AC2394" s="74" t="s">
        <v>9566</v>
      </c>
      <c r="AD2394" s="73" t="s">
        <v>9578</v>
      </c>
      <c r="AE2394" s="74" t="s">
        <v>9579</v>
      </c>
    </row>
    <row r="2395" spans="1:31" ht="8.65" customHeight="1" x14ac:dyDescent="0.2">
      <c r="A2395" s="76">
        <v>2395</v>
      </c>
      <c r="B2395" s="67" t="str">
        <f>MID(C2395, FIND("Ifc.", C2395) + 4, 4) &amp; "_" &amp; TEXT(COUNTIF($C$2:C2395, C2395),"0000")</f>
        <v>Prop_2394</v>
      </c>
      <c r="C2395" s="24" t="s">
        <v>872</v>
      </c>
      <c r="D2395" s="69" t="s">
        <v>9453</v>
      </c>
      <c r="E2395" s="70" t="s">
        <v>9454</v>
      </c>
      <c r="F2395" s="17" t="s">
        <v>806</v>
      </c>
      <c r="G2395" s="22" t="s">
        <v>1027</v>
      </c>
      <c r="H2395" s="12" t="s">
        <v>9703</v>
      </c>
      <c r="I2395" s="13" t="s">
        <v>7109</v>
      </c>
      <c r="J2395" s="14" t="s">
        <v>798</v>
      </c>
      <c r="K2395" s="15" t="s">
        <v>798</v>
      </c>
      <c r="L2395" s="12" t="s">
        <v>5315</v>
      </c>
      <c r="M2395" s="13" t="s">
        <v>5382</v>
      </c>
      <c r="N2395" s="12" t="s">
        <v>803</v>
      </c>
      <c r="O2395" s="13" t="s">
        <v>4839</v>
      </c>
      <c r="P2395" s="17" t="s">
        <v>802</v>
      </c>
      <c r="Q2395" s="21" t="s">
        <v>8011</v>
      </c>
      <c r="R2395" s="17" t="s">
        <v>801</v>
      </c>
      <c r="S2395" s="18" t="s">
        <v>2638</v>
      </c>
      <c r="T2395" s="17" t="s">
        <v>800</v>
      </c>
      <c r="U2395" s="18" t="s">
        <v>5254</v>
      </c>
      <c r="V2395" s="17" t="s">
        <v>9418</v>
      </c>
      <c r="W2395" s="18" t="s">
        <v>5309</v>
      </c>
      <c r="X2395" s="69" t="s">
        <v>9453</v>
      </c>
      <c r="Y2395" s="70" t="s">
        <v>9462</v>
      </c>
      <c r="Z2395" s="73" t="s">
        <v>9486</v>
      </c>
      <c r="AA2395" s="74" t="s">
        <v>9504</v>
      </c>
      <c r="AB2395" s="73" t="s">
        <v>9486</v>
      </c>
      <c r="AC2395" s="74" t="s">
        <v>9566</v>
      </c>
      <c r="AD2395" s="73" t="s">
        <v>9578</v>
      </c>
      <c r="AE2395" s="74" t="s">
        <v>9579</v>
      </c>
    </row>
    <row r="2396" spans="1:31" ht="8.65" customHeight="1" x14ac:dyDescent="0.2">
      <c r="A2396" s="76">
        <v>2396</v>
      </c>
      <c r="B2396" s="67" t="str">
        <f>MID(C2396, FIND("Ifc.", C2396) + 4, 4) &amp; "_" &amp; TEXT(COUNTIF($C$2:C2396, C2396),"0000")</f>
        <v>Prop_2395</v>
      </c>
      <c r="C2396" s="24" t="s">
        <v>872</v>
      </c>
      <c r="D2396" s="69" t="s">
        <v>9453</v>
      </c>
      <c r="E2396" s="70" t="s">
        <v>9454</v>
      </c>
      <c r="F2396" s="17" t="s">
        <v>806</v>
      </c>
      <c r="G2396" s="22" t="s">
        <v>1027</v>
      </c>
      <c r="H2396" s="12" t="s">
        <v>9703</v>
      </c>
      <c r="I2396" s="13" t="s">
        <v>7109</v>
      </c>
      <c r="J2396" s="14" t="s">
        <v>798</v>
      </c>
      <c r="K2396" s="15" t="s">
        <v>798</v>
      </c>
      <c r="L2396" s="12" t="s">
        <v>5315</v>
      </c>
      <c r="M2396" s="13" t="s">
        <v>5384</v>
      </c>
      <c r="N2396" s="12" t="s">
        <v>803</v>
      </c>
      <c r="O2396" s="13" t="s">
        <v>4841</v>
      </c>
      <c r="P2396" s="17" t="s">
        <v>802</v>
      </c>
      <c r="Q2396" s="21" t="s">
        <v>8012</v>
      </c>
      <c r="R2396" s="17" t="s">
        <v>801</v>
      </c>
      <c r="S2396" s="18" t="s">
        <v>2638</v>
      </c>
      <c r="T2396" s="17" t="s">
        <v>800</v>
      </c>
      <c r="U2396" s="18" t="s">
        <v>5254</v>
      </c>
      <c r="V2396" s="17" t="s">
        <v>9418</v>
      </c>
      <c r="W2396" s="18" t="s">
        <v>5309</v>
      </c>
      <c r="X2396" s="69" t="s">
        <v>9453</v>
      </c>
      <c r="Y2396" s="70" t="s">
        <v>9462</v>
      </c>
      <c r="Z2396" s="73" t="s">
        <v>9486</v>
      </c>
      <c r="AA2396" s="74" t="s">
        <v>9504</v>
      </c>
      <c r="AB2396" s="73" t="s">
        <v>9486</v>
      </c>
      <c r="AC2396" s="74" t="s">
        <v>9566</v>
      </c>
      <c r="AD2396" s="73" t="s">
        <v>9578</v>
      </c>
      <c r="AE2396" s="74" t="s">
        <v>9579</v>
      </c>
    </row>
    <row r="2397" spans="1:31" ht="8.65" customHeight="1" x14ac:dyDescent="0.2">
      <c r="A2397" s="76">
        <v>2397</v>
      </c>
      <c r="B2397" s="67" t="str">
        <f>MID(C2397, FIND("Ifc.", C2397) + 4, 4) &amp; "_" &amp; TEXT(COUNTIF($C$2:C2397, C2397),"0000")</f>
        <v>Prop_2396</v>
      </c>
      <c r="C2397" s="24" t="s">
        <v>872</v>
      </c>
      <c r="D2397" s="69" t="s">
        <v>9453</v>
      </c>
      <c r="E2397" s="70" t="s">
        <v>9454</v>
      </c>
      <c r="F2397" s="17" t="s">
        <v>806</v>
      </c>
      <c r="G2397" s="22" t="s">
        <v>1338</v>
      </c>
      <c r="H2397" s="12" t="s">
        <v>9703</v>
      </c>
      <c r="I2397" s="13" t="s">
        <v>7230</v>
      </c>
      <c r="J2397" s="14" t="s">
        <v>798</v>
      </c>
      <c r="K2397" s="15" t="s">
        <v>798</v>
      </c>
      <c r="L2397" s="12" t="s">
        <v>5315</v>
      </c>
      <c r="M2397" s="13" t="s">
        <v>5979</v>
      </c>
      <c r="N2397" s="12" t="s">
        <v>803</v>
      </c>
      <c r="O2397" s="13" t="s">
        <v>5094</v>
      </c>
      <c r="P2397" s="17" t="s">
        <v>802</v>
      </c>
      <c r="Q2397" s="21" t="s">
        <v>7876</v>
      </c>
      <c r="R2397" s="17" t="s">
        <v>801</v>
      </c>
      <c r="S2397" s="18" t="s">
        <v>2637</v>
      </c>
      <c r="T2397" s="17" t="s">
        <v>800</v>
      </c>
      <c r="U2397" s="18" t="s">
        <v>5264</v>
      </c>
      <c r="V2397" s="17" t="s">
        <v>9418</v>
      </c>
      <c r="W2397" s="18" t="s">
        <v>5312</v>
      </c>
      <c r="X2397" s="69" t="s">
        <v>9453</v>
      </c>
      <c r="Y2397" s="70" t="s">
        <v>9465</v>
      </c>
      <c r="Z2397" s="73" t="s">
        <v>9486</v>
      </c>
      <c r="AA2397" s="74" t="s">
        <v>9504</v>
      </c>
      <c r="AB2397" s="73" t="s">
        <v>9486</v>
      </c>
      <c r="AC2397" s="74" t="s">
        <v>9566</v>
      </c>
      <c r="AD2397" s="73" t="s">
        <v>9578</v>
      </c>
      <c r="AE2397" s="74" t="s">
        <v>9579</v>
      </c>
    </row>
    <row r="2398" spans="1:31" ht="8.65" customHeight="1" x14ac:dyDescent="0.2">
      <c r="A2398" s="76">
        <v>2398</v>
      </c>
      <c r="B2398" s="67" t="str">
        <f>MID(C2398, FIND("Ifc.", C2398) + 4, 4) &amp; "_" &amp; TEXT(COUNTIF($C$2:C2398, C2398),"0000")</f>
        <v>Prop_2397</v>
      </c>
      <c r="C2398" s="24" t="s">
        <v>872</v>
      </c>
      <c r="D2398" s="69" t="s">
        <v>9453</v>
      </c>
      <c r="E2398" s="70" t="s">
        <v>9454</v>
      </c>
      <c r="F2398" s="17" t="s">
        <v>806</v>
      </c>
      <c r="G2398" s="22" t="s">
        <v>1338</v>
      </c>
      <c r="H2398" s="12" t="s">
        <v>9703</v>
      </c>
      <c r="I2398" s="13" t="s">
        <v>7230</v>
      </c>
      <c r="J2398" s="14" t="s">
        <v>798</v>
      </c>
      <c r="K2398" s="15" t="s">
        <v>798</v>
      </c>
      <c r="L2398" s="12" t="s">
        <v>5315</v>
      </c>
      <c r="M2398" s="13" t="s">
        <v>5825</v>
      </c>
      <c r="N2398" s="12" t="s">
        <v>803</v>
      </c>
      <c r="O2398" s="13" t="s">
        <v>4912</v>
      </c>
      <c r="P2398" s="17" t="s">
        <v>802</v>
      </c>
      <c r="Q2398" s="21" t="s">
        <v>7877</v>
      </c>
      <c r="R2398" s="17" t="s">
        <v>801</v>
      </c>
      <c r="S2398" s="18" t="s">
        <v>3636</v>
      </c>
      <c r="T2398" s="17" t="s">
        <v>800</v>
      </c>
      <c r="U2398" s="18" t="s">
        <v>5257</v>
      </c>
      <c r="V2398" s="17" t="s">
        <v>9418</v>
      </c>
      <c r="W2398" s="18" t="s">
        <v>5314</v>
      </c>
      <c r="X2398" s="69" t="s">
        <v>9453</v>
      </c>
      <c r="Y2398" s="70" t="s">
        <v>9464</v>
      </c>
      <c r="Z2398" s="73" t="s">
        <v>9486</v>
      </c>
      <c r="AA2398" s="74" t="s">
        <v>9504</v>
      </c>
      <c r="AB2398" s="73" t="s">
        <v>9486</v>
      </c>
      <c r="AC2398" s="74" t="s">
        <v>9561</v>
      </c>
      <c r="AD2398" s="73" t="s">
        <v>9578</v>
      </c>
      <c r="AE2398" s="74" t="s">
        <v>9579</v>
      </c>
    </row>
    <row r="2399" spans="1:31" ht="8.65" customHeight="1" x14ac:dyDescent="0.2">
      <c r="A2399" s="76">
        <v>2399</v>
      </c>
      <c r="B2399" s="67" t="str">
        <f>MID(C2399, FIND("Ifc.", C2399) + 4, 4) &amp; "_" &amp; TEXT(COUNTIF($C$2:C2399, C2399),"0000")</f>
        <v>Prop_2398</v>
      </c>
      <c r="C2399" s="24" t="s">
        <v>872</v>
      </c>
      <c r="D2399" s="69" t="s">
        <v>9453</v>
      </c>
      <c r="E2399" s="70" t="s">
        <v>9454</v>
      </c>
      <c r="F2399" s="17" t="s">
        <v>806</v>
      </c>
      <c r="G2399" s="22" t="s">
        <v>996</v>
      </c>
      <c r="H2399" s="12" t="s">
        <v>9703</v>
      </c>
      <c r="I2399" s="13" t="s">
        <v>6107</v>
      </c>
      <c r="J2399" s="14" t="s">
        <v>798</v>
      </c>
      <c r="K2399" s="15" t="s">
        <v>798</v>
      </c>
      <c r="L2399" s="12" t="s">
        <v>5315</v>
      </c>
      <c r="M2399" s="13" t="s">
        <v>5992</v>
      </c>
      <c r="N2399" s="12" t="s">
        <v>803</v>
      </c>
      <c r="O2399" s="13" t="s">
        <v>4828</v>
      </c>
      <c r="P2399" s="17" t="s">
        <v>802</v>
      </c>
      <c r="Q2399" s="21" t="s">
        <v>7787</v>
      </c>
      <c r="R2399" s="17" t="s">
        <v>801</v>
      </c>
      <c r="S2399" s="18" t="s">
        <v>2638</v>
      </c>
      <c r="T2399" s="17" t="s">
        <v>800</v>
      </c>
      <c r="U2399" s="18" t="s">
        <v>5254</v>
      </c>
      <c r="V2399" s="17" t="s">
        <v>9418</v>
      </c>
      <c r="W2399" s="18" t="s">
        <v>5309</v>
      </c>
      <c r="X2399" s="69" t="s">
        <v>9453</v>
      </c>
      <c r="Y2399" s="70" t="s">
        <v>9462</v>
      </c>
      <c r="Z2399" s="73" t="s">
        <v>9486</v>
      </c>
      <c r="AA2399" s="74" t="s">
        <v>9504</v>
      </c>
      <c r="AB2399" s="73" t="s">
        <v>9486</v>
      </c>
      <c r="AC2399" s="74" t="s">
        <v>9566</v>
      </c>
      <c r="AD2399" s="73" t="s">
        <v>9578</v>
      </c>
      <c r="AE2399" s="74" t="s">
        <v>9579</v>
      </c>
    </row>
    <row r="2400" spans="1:31" ht="8.65" customHeight="1" x14ac:dyDescent="0.2">
      <c r="A2400" s="76">
        <v>2400</v>
      </c>
      <c r="B2400" s="67" t="str">
        <f>MID(C2400, FIND("Ifc.", C2400) + 4, 4) &amp; "_" &amp; TEXT(COUNTIF($C$2:C2400, C2400),"0000")</f>
        <v>Prop_2399</v>
      </c>
      <c r="C2400" s="24" t="s">
        <v>872</v>
      </c>
      <c r="D2400" s="69" t="s">
        <v>9453</v>
      </c>
      <c r="E2400" s="70" t="s">
        <v>9454</v>
      </c>
      <c r="F2400" s="17" t="s">
        <v>806</v>
      </c>
      <c r="G2400" s="22" t="s">
        <v>1219</v>
      </c>
      <c r="H2400" s="12" t="s">
        <v>9703</v>
      </c>
      <c r="I2400" s="13" t="s">
        <v>6492</v>
      </c>
      <c r="J2400" s="14" t="s">
        <v>798</v>
      </c>
      <c r="K2400" s="15" t="s">
        <v>798</v>
      </c>
      <c r="L2400" s="12" t="s">
        <v>5315</v>
      </c>
      <c r="M2400" s="13" t="s">
        <v>5821</v>
      </c>
      <c r="N2400" s="12" t="s">
        <v>803</v>
      </c>
      <c r="O2400" s="13" t="s">
        <v>4883</v>
      </c>
      <c r="P2400" s="17" t="s">
        <v>802</v>
      </c>
      <c r="Q2400" s="21" t="s">
        <v>7683</v>
      </c>
      <c r="R2400" s="17" t="s">
        <v>801</v>
      </c>
      <c r="S2400" s="18" t="s">
        <v>2638</v>
      </c>
      <c r="T2400" s="17" t="s">
        <v>800</v>
      </c>
      <c r="U2400" s="18" t="s">
        <v>5254</v>
      </c>
      <c r="V2400" s="17" t="s">
        <v>9418</v>
      </c>
      <c r="W2400" s="18" t="s">
        <v>5309</v>
      </c>
      <c r="X2400" s="69" t="s">
        <v>9453</v>
      </c>
      <c r="Y2400" s="70" t="s">
        <v>9462</v>
      </c>
      <c r="Z2400" s="73" t="s">
        <v>9486</v>
      </c>
      <c r="AA2400" s="74" t="s">
        <v>9504</v>
      </c>
      <c r="AB2400" s="73" t="s">
        <v>9486</v>
      </c>
      <c r="AC2400" s="74" t="s">
        <v>9566</v>
      </c>
      <c r="AD2400" s="73" t="s">
        <v>9578</v>
      </c>
      <c r="AE2400" s="74" t="s">
        <v>9579</v>
      </c>
    </row>
    <row r="2401" spans="1:31" ht="8.65" customHeight="1" x14ac:dyDescent="0.2">
      <c r="A2401" s="76">
        <v>2401</v>
      </c>
      <c r="B2401" s="67" t="str">
        <f>MID(C2401, FIND("Ifc.", C2401) + 4, 4) &amp; "_" &amp; TEXT(COUNTIF($C$2:C2401, C2401),"0000")</f>
        <v>Prop_2400</v>
      </c>
      <c r="C2401" s="24" t="s">
        <v>872</v>
      </c>
      <c r="D2401" s="69" t="s">
        <v>9453</v>
      </c>
      <c r="E2401" s="70" t="s">
        <v>9454</v>
      </c>
      <c r="F2401" s="17" t="s">
        <v>806</v>
      </c>
      <c r="G2401" s="22" t="s">
        <v>1876</v>
      </c>
      <c r="H2401" s="12" t="s">
        <v>9703</v>
      </c>
      <c r="I2401" s="13" t="s">
        <v>6553</v>
      </c>
      <c r="J2401" s="14" t="s">
        <v>798</v>
      </c>
      <c r="K2401" s="15" t="s">
        <v>798</v>
      </c>
      <c r="L2401" s="12" t="s">
        <v>5315</v>
      </c>
      <c r="M2401" s="13" t="s">
        <v>5950</v>
      </c>
      <c r="N2401" s="12" t="s">
        <v>803</v>
      </c>
      <c r="O2401" s="13" t="s">
        <v>5039</v>
      </c>
      <c r="P2401" s="17" t="s">
        <v>802</v>
      </c>
      <c r="Q2401" s="21" t="s">
        <v>8003</v>
      </c>
      <c r="R2401" s="17" t="s">
        <v>801</v>
      </c>
      <c r="S2401" s="18" t="s">
        <v>2638</v>
      </c>
      <c r="T2401" s="17" t="s">
        <v>800</v>
      </c>
      <c r="U2401" s="18" t="s">
        <v>5254</v>
      </c>
      <c r="V2401" s="17" t="s">
        <v>9418</v>
      </c>
      <c r="W2401" s="18" t="s">
        <v>5309</v>
      </c>
      <c r="X2401" s="69" t="s">
        <v>9453</v>
      </c>
      <c r="Y2401" s="70" t="s">
        <v>9462</v>
      </c>
      <c r="Z2401" s="73" t="s">
        <v>9486</v>
      </c>
      <c r="AA2401" s="74" t="s">
        <v>9504</v>
      </c>
      <c r="AB2401" s="73" t="s">
        <v>9486</v>
      </c>
      <c r="AC2401" s="74" t="s">
        <v>9566</v>
      </c>
      <c r="AD2401" s="73" t="s">
        <v>9578</v>
      </c>
      <c r="AE2401" s="74" t="s">
        <v>9579</v>
      </c>
    </row>
    <row r="2402" spans="1:31" ht="8.65" customHeight="1" x14ac:dyDescent="0.2">
      <c r="A2402" s="76">
        <v>2402</v>
      </c>
      <c r="B2402" s="67" t="str">
        <f>MID(C2402, FIND("Ifc.", C2402) + 4, 4) &amp; "_" &amp; TEXT(COUNTIF($C$2:C2402, C2402),"0000")</f>
        <v>Prop_2401</v>
      </c>
      <c r="C2402" s="24" t="s">
        <v>872</v>
      </c>
      <c r="D2402" s="69" t="s">
        <v>9453</v>
      </c>
      <c r="E2402" s="70" t="s">
        <v>9454</v>
      </c>
      <c r="F2402" s="17" t="s">
        <v>806</v>
      </c>
      <c r="G2402" s="22" t="s">
        <v>1876</v>
      </c>
      <c r="H2402" s="12" t="s">
        <v>9703</v>
      </c>
      <c r="I2402" s="13" t="s">
        <v>6553</v>
      </c>
      <c r="J2402" s="14" t="s">
        <v>798</v>
      </c>
      <c r="K2402" s="15" t="s">
        <v>798</v>
      </c>
      <c r="L2402" s="12" t="s">
        <v>5315</v>
      </c>
      <c r="M2402" s="13" t="s">
        <v>5953</v>
      </c>
      <c r="N2402" s="12" t="s">
        <v>803</v>
      </c>
      <c r="O2402" s="13" t="s">
        <v>5042</v>
      </c>
      <c r="P2402" s="17" t="s">
        <v>802</v>
      </c>
      <c r="Q2402" s="21" t="s">
        <v>8004</v>
      </c>
      <c r="R2402" s="17" t="s">
        <v>801</v>
      </c>
      <c r="S2402" s="18" t="s">
        <v>2638</v>
      </c>
      <c r="T2402" s="17" t="s">
        <v>800</v>
      </c>
      <c r="U2402" s="18" t="s">
        <v>5254</v>
      </c>
      <c r="V2402" s="17" t="s">
        <v>9418</v>
      </c>
      <c r="W2402" s="18" t="s">
        <v>5309</v>
      </c>
      <c r="X2402" s="69" t="s">
        <v>9453</v>
      </c>
      <c r="Y2402" s="70" t="s">
        <v>9462</v>
      </c>
      <c r="Z2402" s="73" t="s">
        <v>9486</v>
      </c>
      <c r="AA2402" s="74" t="s">
        <v>9504</v>
      </c>
      <c r="AB2402" s="73" t="s">
        <v>9486</v>
      </c>
      <c r="AC2402" s="74" t="s">
        <v>9566</v>
      </c>
      <c r="AD2402" s="73" t="s">
        <v>9578</v>
      </c>
      <c r="AE2402" s="74" t="s">
        <v>9579</v>
      </c>
    </row>
    <row r="2403" spans="1:31" ht="8.65" customHeight="1" x14ac:dyDescent="0.2">
      <c r="A2403" s="76">
        <v>2403</v>
      </c>
      <c r="B2403" s="67" t="str">
        <f>MID(C2403, FIND("Ifc.", C2403) + 4, 4) &amp; "_" &amp; TEXT(COUNTIF($C$2:C2403, C2403),"0000")</f>
        <v>Prop_2402</v>
      </c>
      <c r="C2403" s="24" t="s">
        <v>872</v>
      </c>
      <c r="D2403" s="69" t="s">
        <v>9453</v>
      </c>
      <c r="E2403" s="70" t="s">
        <v>9454</v>
      </c>
      <c r="F2403" s="17" t="s">
        <v>806</v>
      </c>
      <c r="G2403" s="22" t="s">
        <v>1876</v>
      </c>
      <c r="H2403" s="12" t="s">
        <v>9703</v>
      </c>
      <c r="I2403" s="13" t="s">
        <v>6553</v>
      </c>
      <c r="J2403" s="14" t="s">
        <v>798</v>
      </c>
      <c r="K2403" s="15" t="s">
        <v>798</v>
      </c>
      <c r="L2403" s="12" t="s">
        <v>5315</v>
      </c>
      <c r="M2403" s="13" t="s">
        <v>5954</v>
      </c>
      <c r="N2403" s="12" t="s">
        <v>803</v>
      </c>
      <c r="O2403" s="13" t="s">
        <v>5043</v>
      </c>
      <c r="P2403" s="17" t="s">
        <v>802</v>
      </c>
      <c r="Q2403" s="21" t="s">
        <v>8072</v>
      </c>
      <c r="R2403" s="17" t="s">
        <v>801</v>
      </c>
      <c r="S2403" s="18" t="s">
        <v>2638</v>
      </c>
      <c r="T2403" s="17" t="s">
        <v>800</v>
      </c>
      <c r="U2403" s="18" t="s">
        <v>5254</v>
      </c>
      <c r="V2403" s="17" t="s">
        <v>9418</v>
      </c>
      <c r="W2403" s="18" t="s">
        <v>5309</v>
      </c>
      <c r="X2403" s="69" t="s">
        <v>9453</v>
      </c>
      <c r="Y2403" s="70" t="s">
        <v>9462</v>
      </c>
      <c r="Z2403" s="73" t="s">
        <v>9486</v>
      </c>
      <c r="AA2403" s="74" t="s">
        <v>9504</v>
      </c>
      <c r="AB2403" s="73" t="s">
        <v>9486</v>
      </c>
      <c r="AC2403" s="74" t="s">
        <v>9566</v>
      </c>
      <c r="AD2403" s="73" t="s">
        <v>9578</v>
      </c>
      <c r="AE2403" s="74" t="s">
        <v>9579</v>
      </c>
    </row>
    <row r="2404" spans="1:31" ht="8.65" customHeight="1" x14ac:dyDescent="0.2">
      <c r="A2404" s="76">
        <v>2404</v>
      </c>
      <c r="B2404" s="67" t="str">
        <f>MID(C2404, FIND("Ifc.", C2404) + 4, 4) &amp; "_" &amp; TEXT(COUNTIF($C$2:C2404, C2404),"0000")</f>
        <v>Prop_2403</v>
      </c>
      <c r="C2404" s="24" t="s">
        <v>872</v>
      </c>
      <c r="D2404" s="69" t="s">
        <v>9453</v>
      </c>
      <c r="E2404" s="70" t="s">
        <v>9454</v>
      </c>
      <c r="F2404" s="17" t="s">
        <v>806</v>
      </c>
      <c r="G2404" s="22" t="s">
        <v>1587</v>
      </c>
      <c r="H2404" s="12" t="s">
        <v>9703</v>
      </c>
      <c r="I2404" s="13" t="s">
        <v>6427</v>
      </c>
      <c r="J2404" s="14" t="s">
        <v>798</v>
      </c>
      <c r="K2404" s="15" t="s">
        <v>798</v>
      </c>
      <c r="L2404" s="12" t="s">
        <v>5315</v>
      </c>
      <c r="M2404" s="13" t="s">
        <v>5898</v>
      </c>
      <c r="N2404" s="12" t="s">
        <v>803</v>
      </c>
      <c r="O2404" s="13" t="s">
        <v>4967</v>
      </c>
      <c r="P2404" s="17" t="s">
        <v>802</v>
      </c>
      <c r="Q2404" s="21" t="s">
        <v>8002</v>
      </c>
      <c r="R2404" s="17" t="s">
        <v>801</v>
      </c>
      <c r="S2404" s="18" t="s">
        <v>3636</v>
      </c>
      <c r="T2404" s="17" t="s">
        <v>800</v>
      </c>
      <c r="U2404" s="18" t="s">
        <v>5257</v>
      </c>
      <c r="V2404" s="17" t="s">
        <v>9418</v>
      </c>
      <c r="W2404" s="18" t="s">
        <v>5314</v>
      </c>
      <c r="X2404" s="69" t="s">
        <v>9453</v>
      </c>
      <c r="Y2404" s="70" t="s">
        <v>9464</v>
      </c>
      <c r="Z2404" s="73" t="s">
        <v>9486</v>
      </c>
      <c r="AA2404" s="74" t="s">
        <v>9504</v>
      </c>
      <c r="AB2404" s="73" t="s">
        <v>9486</v>
      </c>
      <c r="AC2404" s="74" t="s">
        <v>9561</v>
      </c>
      <c r="AD2404" s="73" t="s">
        <v>9578</v>
      </c>
      <c r="AE2404" s="74" t="s">
        <v>9579</v>
      </c>
    </row>
    <row r="2405" spans="1:31" ht="8.65" customHeight="1" x14ac:dyDescent="0.2">
      <c r="A2405" s="76">
        <v>2405</v>
      </c>
      <c r="B2405" s="67" t="str">
        <f>MID(C2405, FIND("Ifc.", C2405) + 4, 4) &amp; "_" &amp; TEXT(COUNTIF($C$2:C2405, C2405),"0000")</f>
        <v>Prop_2404</v>
      </c>
      <c r="C2405" s="24" t="s">
        <v>872</v>
      </c>
      <c r="D2405" s="69" t="s">
        <v>9453</v>
      </c>
      <c r="E2405" s="70" t="s">
        <v>9454</v>
      </c>
      <c r="F2405" s="17" t="s">
        <v>806</v>
      </c>
      <c r="G2405" s="22" t="s">
        <v>1062</v>
      </c>
      <c r="H2405" s="12" t="s">
        <v>9703</v>
      </c>
      <c r="I2405" s="13" t="s">
        <v>6142</v>
      </c>
      <c r="J2405" s="14" t="s">
        <v>798</v>
      </c>
      <c r="K2405" s="15" t="s">
        <v>798</v>
      </c>
      <c r="L2405" s="12" t="s">
        <v>5315</v>
      </c>
      <c r="M2405" s="13" t="s">
        <v>5779</v>
      </c>
      <c r="N2405" s="12" t="s">
        <v>803</v>
      </c>
      <c r="O2405" s="13" t="s">
        <v>4846</v>
      </c>
      <c r="P2405" s="17" t="s">
        <v>802</v>
      </c>
      <c r="Q2405" s="21" t="s">
        <v>7936</v>
      </c>
      <c r="R2405" s="17" t="s">
        <v>801</v>
      </c>
      <c r="S2405" s="18" t="s">
        <v>2638</v>
      </c>
      <c r="T2405" s="17" t="s">
        <v>800</v>
      </c>
      <c r="U2405" s="18" t="s">
        <v>5254</v>
      </c>
      <c r="V2405" s="17" t="s">
        <v>9418</v>
      </c>
      <c r="W2405" s="18" t="s">
        <v>5309</v>
      </c>
      <c r="X2405" s="69" t="s">
        <v>9453</v>
      </c>
      <c r="Y2405" s="70" t="s">
        <v>9462</v>
      </c>
      <c r="Z2405" s="73" t="s">
        <v>9486</v>
      </c>
      <c r="AA2405" s="74" t="s">
        <v>9504</v>
      </c>
      <c r="AB2405" s="73" t="s">
        <v>9486</v>
      </c>
      <c r="AC2405" s="74" t="s">
        <v>9566</v>
      </c>
      <c r="AD2405" s="73" t="s">
        <v>9578</v>
      </c>
      <c r="AE2405" s="74" t="s">
        <v>9579</v>
      </c>
    </row>
    <row r="2406" spans="1:31" ht="8.65" customHeight="1" x14ac:dyDescent="0.2">
      <c r="A2406" s="76">
        <v>2406</v>
      </c>
      <c r="B2406" s="67" t="str">
        <f>MID(C2406, FIND("Ifc.", C2406) + 4, 4) &amp; "_" &amp; TEXT(COUNTIF($C$2:C2406, C2406),"0000")</f>
        <v>Prop_2405</v>
      </c>
      <c r="C2406" s="24" t="s">
        <v>872</v>
      </c>
      <c r="D2406" s="69" t="s">
        <v>9453</v>
      </c>
      <c r="E2406" s="70" t="s">
        <v>9454</v>
      </c>
      <c r="F2406" s="17" t="s">
        <v>806</v>
      </c>
      <c r="G2406" s="22" t="s">
        <v>1062</v>
      </c>
      <c r="H2406" s="12" t="s">
        <v>9703</v>
      </c>
      <c r="I2406" s="13" t="s">
        <v>6142</v>
      </c>
      <c r="J2406" s="14" t="s">
        <v>798</v>
      </c>
      <c r="K2406" s="15" t="s">
        <v>798</v>
      </c>
      <c r="L2406" s="12" t="s">
        <v>5315</v>
      </c>
      <c r="M2406" s="13" t="s">
        <v>5821</v>
      </c>
      <c r="N2406" s="12" t="s">
        <v>803</v>
      </c>
      <c r="O2406" s="13" t="s">
        <v>4883</v>
      </c>
      <c r="P2406" s="17" t="s">
        <v>802</v>
      </c>
      <c r="Q2406" s="21" t="s">
        <v>7683</v>
      </c>
      <c r="R2406" s="17" t="s">
        <v>801</v>
      </c>
      <c r="S2406" s="18" t="s">
        <v>2638</v>
      </c>
      <c r="T2406" s="17" t="s">
        <v>800</v>
      </c>
      <c r="U2406" s="18" t="s">
        <v>5254</v>
      </c>
      <c r="V2406" s="17" t="s">
        <v>9418</v>
      </c>
      <c r="W2406" s="18" t="s">
        <v>5309</v>
      </c>
      <c r="X2406" s="69" t="s">
        <v>9453</v>
      </c>
      <c r="Y2406" s="70" t="s">
        <v>9462</v>
      </c>
      <c r="Z2406" s="73" t="s">
        <v>9486</v>
      </c>
      <c r="AA2406" s="74" t="s">
        <v>9504</v>
      </c>
      <c r="AB2406" s="73" t="s">
        <v>9486</v>
      </c>
      <c r="AC2406" s="74" t="s">
        <v>9566</v>
      </c>
      <c r="AD2406" s="73" t="s">
        <v>9578</v>
      </c>
      <c r="AE2406" s="74" t="s">
        <v>9579</v>
      </c>
    </row>
    <row r="2407" spans="1:31" ht="8.65" customHeight="1" x14ac:dyDescent="0.2">
      <c r="A2407" s="76">
        <v>2407</v>
      </c>
      <c r="B2407" s="67" t="str">
        <f>MID(C2407, FIND("Ifc.", C2407) + 4, 4) &amp; "_" &amp; TEXT(COUNTIF($C$2:C2407, C2407),"0000")</f>
        <v>Prop_2406</v>
      </c>
      <c r="C2407" s="24" t="s">
        <v>872</v>
      </c>
      <c r="D2407" s="69" t="s">
        <v>9453</v>
      </c>
      <c r="E2407" s="70" t="s">
        <v>9454</v>
      </c>
      <c r="F2407" s="17" t="s">
        <v>806</v>
      </c>
      <c r="G2407" s="22" t="s">
        <v>1062</v>
      </c>
      <c r="H2407" s="12" t="s">
        <v>9703</v>
      </c>
      <c r="I2407" s="13" t="s">
        <v>6142</v>
      </c>
      <c r="J2407" s="14" t="s">
        <v>798</v>
      </c>
      <c r="K2407" s="15" t="s">
        <v>798</v>
      </c>
      <c r="L2407" s="12" t="s">
        <v>5315</v>
      </c>
      <c r="M2407" s="13" t="s">
        <v>5573</v>
      </c>
      <c r="N2407" s="12" t="s">
        <v>803</v>
      </c>
      <c r="O2407" s="13" t="s">
        <v>5206</v>
      </c>
      <c r="P2407" s="17" t="s">
        <v>802</v>
      </c>
      <c r="Q2407" s="21" t="s">
        <v>7742</v>
      </c>
      <c r="R2407" s="17" t="s">
        <v>801</v>
      </c>
      <c r="S2407" s="18" t="s">
        <v>2638</v>
      </c>
      <c r="T2407" s="17" t="s">
        <v>800</v>
      </c>
      <c r="U2407" s="18" t="s">
        <v>5254</v>
      </c>
      <c r="V2407" s="17" t="s">
        <v>9418</v>
      </c>
      <c r="W2407" s="18" t="s">
        <v>5309</v>
      </c>
      <c r="X2407" s="69" t="s">
        <v>9453</v>
      </c>
      <c r="Y2407" s="70" t="s">
        <v>9462</v>
      </c>
      <c r="Z2407" s="73" t="s">
        <v>9486</v>
      </c>
      <c r="AA2407" s="74" t="s">
        <v>9504</v>
      </c>
      <c r="AB2407" s="73" t="s">
        <v>9486</v>
      </c>
      <c r="AC2407" s="74" t="s">
        <v>9566</v>
      </c>
      <c r="AD2407" s="73" t="s">
        <v>9578</v>
      </c>
      <c r="AE2407" s="74" t="s">
        <v>9579</v>
      </c>
    </row>
    <row r="2408" spans="1:31" ht="8.65" customHeight="1" x14ac:dyDescent="0.2">
      <c r="A2408" s="76">
        <v>2408</v>
      </c>
      <c r="B2408" s="67" t="str">
        <f>MID(C2408, FIND("Ifc.", C2408) + 4, 4) &amp; "_" &amp; TEXT(COUNTIF($C$2:C2408, C2408),"0000")</f>
        <v>Prop_2407</v>
      </c>
      <c r="C2408" s="24" t="s">
        <v>872</v>
      </c>
      <c r="D2408" s="69" t="s">
        <v>9453</v>
      </c>
      <c r="E2408" s="70" t="s">
        <v>9454</v>
      </c>
      <c r="F2408" s="17" t="s">
        <v>806</v>
      </c>
      <c r="G2408" s="22" t="s">
        <v>1062</v>
      </c>
      <c r="H2408" s="12" t="s">
        <v>9703</v>
      </c>
      <c r="I2408" s="13" t="s">
        <v>6142</v>
      </c>
      <c r="J2408" s="14" t="s">
        <v>798</v>
      </c>
      <c r="K2408" s="15" t="s">
        <v>798</v>
      </c>
      <c r="L2408" s="12" t="s">
        <v>5315</v>
      </c>
      <c r="M2408" s="13" t="s">
        <v>5577</v>
      </c>
      <c r="N2408" s="12" t="s">
        <v>803</v>
      </c>
      <c r="O2408" s="13" t="s">
        <v>5222</v>
      </c>
      <c r="P2408" s="17" t="s">
        <v>802</v>
      </c>
      <c r="Q2408" s="21" t="s">
        <v>7905</v>
      </c>
      <c r="R2408" s="17" t="s">
        <v>801</v>
      </c>
      <c r="S2408" s="18" t="s">
        <v>2638</v>
      </c>
      <c r="T2408" s="17" t="s">
        <v>800</v>
      </c>
      <c r="U2408" s="18" t="s">
        <v>5254</v>
      </c>
      <c r="V2408" s="17" t="s">
        <v>9418</v>
      </c>
      <c r="W2408" s="18" t="s">
        <v>5309</v>
      </c>
      <c r="X2408" s="69" t="s">
        <v>9453</v>
      </c>
      <c r="Y2408" s="70" t="s">
        <v>9462</v>
      </c>
      <c r="Z2408" s="73" t="s">
        <v>9486</v>
      </c>
      <c r="AA2408" s="74" t="s">
        <v>9504</v>
      </c>
      <c r="AB2408" s="73" t="s">
        <v>9486</v>
      </c>
      <c r="AC2408" s="74" t="s">
        <v>9566</v>
      </c>
      <c r="AD2408" s="73" t="s">
        <v>9578</v>
      </c>
      <c r="AE2408" s="74" t="s">
        <v>9579</v>
      </c>
    </row>
    <row r="2409" spans="1:31" ht="8.65" customHeight="1" x14ac:dyDescent="0.2">
      <c r="A2409" s="76">
        <v>2409</v>
      </c>
      <c r="B2409" s="67" t="str">
        <f>MID(C2409, FIND("Ifc.", C2409) + 4, 4) &amp; "_" &amp; TEXT(COUNTIF($C$2:C2409, C2409),"0000")</f>
        <v>Prop_2408</v>
      </c>
      <c r="C2409" s="24" t="s">
        <v>872</v>
      </c>
      <c r="D2409" s="69" t="s">
        <v>9453</v>
      </c>
      <c r="E2409" s="70" t="s">
        <v>9454</v>
      </c>
      <c r="F2409" s="17" t="s">
        <v>806</v>
      </c>
      <c r="G2409" s="22" t="s">
        <v>1443</v>
      </c>
      <c r="H2409" s="12" t="s">
        <v>9703</v>
      </c>
      <c r="I2409" s="13" t="s">
        <v>6338</v>
      </c>
      <c r="J2409" s="14" t="s">
        <v>798</v>
      </c>
      <c r="K2409" s="15" t="s">
        <v>798</v>
      </c>
      <c r="L2409" s="12" t="s">
        <v>5315</v>
      </c>
      <c r="M2409" s="13" t="s">
        <v>5436</v>
      </c>
      <c r="N2409" s="12" t="s">
        <v>803</v>
      </c>
      <c r="O2409" s="13" t="s">
        <v>4936</v>
      </c>
      <c r="P2409" s="17" t="s">
        <v>802</v>
      </c>
      <c r="Q2409" s="21" t="s">
        <v>7931</v>
      </c>
      <c r="R2409" s="17" t="s">
        <v>801</v>
      </c>
      <c r="S2409" s="18" t="s">
        <v>2638</v>
      </c>
      <c r="T2409" s="17" t="s">
        <v>800</v>
      </c>
      <c r="U2409" s="18" t="s">
        <v>5254</v>
      </c>
      <c r="V2409" s="17" t="s">
        <v>9418</v>
      </c>
      <c r="W2409" s="18" t="s">
        <v>5309</v>
      </c>
      <c r="X2409" s="69" t="s">
        <v>9453</v>
      </c>
      <c r="Y2409" s="70" t="s">
        <v>9462</v>
      </c>
      <c r="Z2409" s="73" t="s">
        <v>9486</v>
      </c>
      <c r="AA2409" s="74" t="s">
        <v>9504</v>
      </c>
      <c r="AB2409" s="73" t="s">
        <v>9486</v>
      </c>
      <c r="AC2409" s="74" t="s">
        <v>9566</v>
      </c>
      <c r="AD2409" s="73" t="s">
        <v>9578</v>
      </c>
      <c r="AE2409" s="74" t="s">
        <v>9579</v>
      </c>
    </row>
    <row r="2410" spans="1:31" ht="8.65" customHeight="1" x14ac:dyDescent="0.2">
      <c r="A2410" s="76">
        <v>2410</v>
      </c>
      <c r="B2410" s="67" t="str">
        <f>MID(C2410, FIND("Ifc.", C2410) + 4, 4) &amp; "_" &amp; TEXT(COUNTIF($C$2:C2410, C2410),"0000")</f>
        <v>Prop_2409</v>
      </c>
      <c r="C2410" s="24" t="s">
        <v>872</v>
      </c>
      <c r="D2410" s="69" t="s">
        <v>9453</v>
      </c>
      <c r="E2410" s="70" t="s">
        <v>9454</v>
      </c>
      <c r="F2410" s="17" t="s">
        <v>806</v>
      </c>
      <c r="G2410" s="22" t="s">
        <v>1335</v>
      </c>
      <c r="H2410" s="12" t="s">
        <v>9703</v>
      </c>
      <c r="I2410" s="13" t="s">
        <v>6196</v>
      </c>
      <c r="J2410" s="14" t="s">
        <v>798</v>
      </c>
      <c r="K2410" s="15" t="s">
        <v>798</v>
      </c>
      <c r="L2410" s="12" t="s">
        <v>5315</v>
      </c>
      <c r="M2410" s="13" t="s">
        <v>5979</v>
      </c>
      <c r="N2410" s="12" t="s">
        <v>803</v>
      </c>
      <c r="O2410" s="13" t="s">
        <v>5094</v>
      </c>
      <c r="P2410" s="17" t="s">
        <v>802</v>
      </c>
      <c r="Q2410" s="21" t="s">
        <v>7876</v>
      </c>
      <c r="R2410" s="17" t="s">
        <v>801</v>
      </c>
      <c r="S2410" s="18" t="s">
        <v>2638</v>
      </c>
      <c r="T2410" s="17" t="s">
        <v>800</v>
      </c>
      <c r="U2410" s="18" t="s">
        <v>5254</v>
      </c>
      <c r="V2410" s="17" t="s">
        <v>9418</v>
      </c>
      <c r="W2410" s="18" t="s">
        <v>5312</v>
      </c>
      <c r="X2410" s="69" t="s">
        <v>9453</v>
      </c>
      <c r="Y2410" s="70" t="s">
        <v>9465</v>
      </c>
      <c r="Z2410" s="73" t="s">
        <v>9486</v>
      </c>
      <c r="AA2410" s="74" t="s">
        <v>9504</v>
      </c>
      <c r="AB2410" s="73" t="s">
        <v>9486</v>
      </c>
      <c r="AC2410" s="74" t="s">
        <v>9566</v>
      </c>
      <c r="AD2410" s="73" t="s">
        <v>9578</v>
      </c>
      <c r="AE2410" s="74" t="s">
        <v>9579</v>
      </c>
    </row>
    <row r="2411" spans="1:31" ht="8.65" customHeight="1" x14ac:dyDescent="0.2">
      <c r="A2411" s="76">
        <v>2411</v>
      </c>
      <c r="B2411" s="67" t="str">
        <f>MID(C2411, FIND("Ifc.", C2411) + 4, 4) &amp; "_" &amp; TEXT(COUNTIF($C$2:C2411, C2411),"0000")</f>
        <v>Prop_2410</v>
      </c>
      <c r="C2411" s="24" t="s">
        <v>872</v>
      </c>
      <c r="D2411" s="69" t="s">
        <v>9453</v>
      </c>
      <c r="E2411" s="70" t="s">
        <v>9454</v>
      </c>
      <c r="F2411" s="17" t="s">
        <v>806</v>
      </c>
      <c r="G2411" s="22" t="s">
        <v>1335</v>
      </c>
      <c r="H2411" s="12" t="s">
        <v>9703</v>
      </c>
      <c r="I2411" s="13" t="s">
        <v>6196</v>
      </c>
      <c r="J2411" s="14" t="s">
        <v>798</v>
      </c>
      <c r="K2411" s="15" t="s">
        <v>798</v>
      </c>
      <c r="L2411" s="12" t="s">
        <v>5315</v>
      </c>
      <c r="M2411" s="13" t="s">
        <v>5825</v>
      </c>
      <c r="N2411" s="12" t="s">
        <v>803</v>
      </c>
      <c r="O2411" s="13" t="s">
        <v>4912</v>
      </c>
      <c r="P2411" s="17" t="s">
        <v>802</v>
      </c>
      <c r="Q2411" s="21" t="s">
        <v>7877</v>
      </c>
      <c r="R2411" s="17" t="s">
        <v>801</v>
      </c>
      <c r="S2411" s="18" t="s">
        <v>3636</v>
      </c>
      <c r="T2411" s="17" t="s">
        <v>800</v>
      </c>
      <c r="U2411" s="18" t="s">
        <v>5257</v>
      </c>
      <c r="V2411" s="17" t="s">
        <v>9418</v>
      </c>
      <c r="W2411" s="18" t="s">
        <v>5314</v>
      </c>
      <c r="X2411" s="69" t="s">
        <v>9453</v>
      </c>
      <c r="Y2411" s="70" t="s">
        <v>9464</v>
      </c>
      <c r="Z2411" s="73" t="s">
        <v>9486</v>
      </c>
      <c r="AA2411" s="74" t="s">
        <v>9504</v>
      </c>
      <c r="AB2411" s="73" t="s">
        <v>9486</v>
      </c>
      <c r="AC2411" s="74" t="s">
        <v>9561</v>
      </c>
      <c r="AD2411" s="73" t="s">
        <v>9578</v>
      </c>
      <c r="AE2411" s="74" t="s">
        <v>9579</v>
      </c>
    </row>
    <row r="2412" spans="1:31" ht="8.65" customHeight="1" x14ac:dyDescent="0.2">
      <c r="A2412" s="76">
        <v>2412</v>
      </c>
      <c r="B2412" s="67" t="str">
        <f>MID(C2412, FIND("Ifc.", C2412) + 4, 4) &amp; "_" &amp; TEXT(COUNTIF($C$2:C2412, C2412),"0000")</f>
        <v>Prop_2411</v>
      </c>
      <c r="C2412" s="24" t="s">
        <v>872</v>
      </c>
      <c r="D2412" s="69" t="s">
        <v>9453</v>
      </c>
      <c r="E2412" s="70" t="s">
        <v>9454</v>
      </c>
      <c r="F2412" s="17" t="s">
        <v>806</v>
      </c>
      <c r="G2412" s="22" t="s">
        <v>1335</v>
      </c>
      <c r="H2412" s="12" t="s">
        <v>9703</v>
      </c>
      <c r="I2412" s="13" t="s">
        <v>6196</v>
      </c>
      <c r="J2412" s="14" t="s">
        <v>798</v>
      </c>
      <c r="K2412" s="15" t="s">
        <v>798</v>
      </c>
      <c r="L2412" s="12" t="s">
        <v>5315</v>
      </c>
      <c r="M2412" s="13" t="s">
        <v>5413</v>
      </c>
      <c r="N2412" s="12" t="s">
        <v>803</v>
      </c>
      <c r="O2412" s="13" t="s">
        <v>4911</v>
      </c>
      <c r="P2412" s="17" t="s">
        <v>802</v>
      </c>
      <c r="Q2412" s="21" t="s">
        <v>7714</v>
      </c>
      <c r="R2412" s="17" t="s">
        <v>801</v>
      </c>
      <c r="S2412" s="18" t="s">
        <v>2638</v>
      </c>
      <c r="T2412" s="17" t="s">
        <v>800</v>
      </c>
      <c r="U2412" s="18" t="s">
        <v>5254</v>
      </c>
      <c r="V2412" s="17" t="s">
        <v>9418</v>
      </c>
      <c r="W2412" s="18" t="s">
        <v>5312</v>
      </c>
      <c r="X2412" s="69" t="s">
        <v>9453</v>
      </c>
      <c r="Y2412" s="70" t="s">
        <v>9465</v>
      </c>
      <c r="Z2412" s="73" t="s">
        <v>9486</v>
      </c>
      <c r="AA2412" s="74" t="s">
        <v>9504</v>
      </c>
      <c r="AB2412" s="73" t="s">
        <v>9486</v>
      </c>
      <c r="AC2412" s="74" t="s">
        <v>9566</v>
      </c>
      <c r="AD2412" s="73" t="s">
        <v>9578</v>
      </c>
      <c r="AE2412" s="74" t="s">
        <v>9579</v>
      </c>
    </row>
    <row r="2413" spans="1:31" ht="8.65" customHeight="1" x14ac:dyDescent="0.2">
      <c r="A2413" s="76">
        <v>2413</v>
      </c>
      <c r="B2413" s="67" t="str">
        <f>MID(C2413, FIND("Ifc.", C2413) + 4, 4) &amp; "_" &amp; TEXT(COUNTIF($C$2:C2413, C2413),"0000")</f>
        <v>Prop_2412</v>
      </c>
      <c r="C2413" s="24" t="s">
        <v>872</v>
      </c>
      <c r="D2413" s="69" t="s">
        <v>9453</v>
      </c>
      <c r="E2413" s="70" t="s">
        <v>9454</v>
      </c>
      <c r="F2413" s="17" t="s">
        <v>806</v>
      </c>
      <c r="G2413" s="22" t="s">
        <v>1547</v>
      </c>
      <c r="H2413" s="12" t="s">
        <v>9703</v>
      </c>
      <c r="I2413" s="13" t="s">
        <v>6373</v>
      </c>
      <c r="J2413" s="14" t="s">
        <v>798</v>
      </c>
      <c r="K2413" s="15" t="s">
        <v>798</v>
      </c>
      <c r="L2413" s="12" t="s">
        <v>5315</v>
      </c>
      <c r="M2413" s="13" t="s">
        <v>5889</v>
      </c>
      <c r="N2413" s="12" t="s">
        <v>803</v>
      </c>
      <c r="O2413" s="13" t="s">
        <v>4958</v>
      </c>
      <c r="P2413" s="17" t="s">
        <v>802</v>
      </c>
      <c r="Q2413" s="21" t="s">
        <v>7771</v>
      </c>
      <c r="R2413" s="17" t="s">
        <v>801</v>
      </c>
      <c r="S2413" s="18" t="s">
        <v>3636</v>
      </c>
      <c r="T2413" s="17" t="s">
        <v>800</v>
      </c>
      <c r="U2413" s="18" t="s">
        <v>5257</v>
      </c>
      <c r="V2413" s="17" t="s">
        <v>9418</v>
      </c>
      <c r="W2413" s="18" t="s">
        <v>5314</v>
      </c>
      <c r="X2413" s="69" t="s">
        <v>9453</v>
      </c>
      <c r="Y2413" s="70" t="s">
        <v>9464</v>
      </c>
      <c r="Z2413" s="73" t="s">
        <v>9486</v>
      </c>
      <c r="AA2413" s="74" t="s">
        <v>9504</v>
      </c>
      <c r="AB2413" s="73" t="s">
        <v>9486</v>
      </c>
      <c r="AC2413" s="74" t="s">
        <v>9561</v>
      </c>
      <c r="AD2413" s="73" t="s">
        <v>9578</v>
      </c>
      <c r="AE2413" s="74" t="s">
        <v>9579</v>
      </c>
    </row>
    <row r="2414" spans="1:31" ht="8.65" customHeight="1" x14ac:dyDescent="0.2">
      <c r="A2414" s="76">
        <v>2414</v>
      </c>
      <c r="B2414" s="67" t="str">
        <f>MID(C2414, FIND("Ifc.", C2414) + 4, 4) &amp; "_" &amp; TEXT(COUNTIF($C$2:C2414, C2414),"0000")</f>
        <v>Prop_2413</v>
      </c>
      <c r="C2414" s="24" t="s">
        <v>872</v>
      </c>
      <c r="D2414" s="69" t="s">
        <v>9453</v>
      </c>
      <c r="E2414" s="70" t="s">
        <v>9454</v>
      </c>
      <c r="F2414" s="17" t="s">
        <v>806</v>
      </c>
      <c r="G2414" s="22" t="s">
        <v>1547</v>
      </c>
      <c r="H2414" s="12" t="s">
        <v>9703</v>
      </c>
      <c r="I2414" s="13" t="s">
        <v>6373</v>
      </c>
      <c r="J2414" s="14" t="s">
        <v>798</v>
      </c>
      <c r="K2414" s="15" t="s">
        <v>798</v>
      </c>
      <c r="L2414" s="12" t="s">
        <v>5315</v>
      </c>
      <c r="M2414" s="13" t="s">
        <v>5861</v>
      </c>
      <c r="N2414" s="12" t="s">
        <v>803</v>
      </c>
      <c r="O2414" s="13" t="s">
        <v>5205</v>
      </c>
      <c r="P2414" s="17" t="s">
        <v>802</v>
      </c>
      <c r="Q2414" s="21" t="s">
        <v>8013</v>
      </c>
      <c r="R2414" s="17" t="s">
        <v>801</v>
      </c>
      <c r="S2414" s="18" t="s">
        <v>3636</v>
      </c>
      <c r="T2414" s="17" t="s">
        <v>800</v>
      </c>
      <c r="U2414" s="18" t="s">
        <v>5257</v>
      </c>
      <c r="V2414" s="17" t="s">
        <v>9418</v>
      </c>
      <c r="W2414" s="18" t="s">
        <v>5314</v>
      </c>
      <c r="X2414" s="69" t="s">
        <v>9453</v>
      </c>
      <c r="Y2414" s="70" t="s">
        <v>9464</v>
      </c>
      <c r="Z2414" s="73" t="s">
        <v>9486</v>
      </c>
      <c r="AA2414" s="74" t="s">
        <v>9504</v>
      </c>
      <c r="AB2414" s="73" t="s">
        <v>9486</v>
      </c>
      <c r="AC2414" s="74" t="s">
        <v>9561</v>
      </c>
      <c r="AD2414" s="73" t="s">
        <v>9578</v>
      </c>
      <c r="AE2414" s="74" t="s">
        <v>9579</v>
      </c>
    </row>
    <row r="2415" spans="1:31" ht="8.65" customHeight="1" x14ac:dyDescent="0.2">
      <c r="A2415" s="76">
        <v>2415</v>
      </c>
      <c r="B2415" s="67" t="str">
        <f>MID(C2415, FIND("Ifc.", C2415) + 4, 4) &amp; "_" &amp; TEXT(COUNTIF($C$2:C2415, C2415),"0000")</f>
        <v>Prop_2414</v>
      </c>
      <c r="C2415" s="24" t="s">
        <v>872</v>
      </c>
      <c r="D2415" s="69" t="s">
        <v>9453</v>
      </c>
      <c r="E2415" s="70" t="s">
        <v>9454</v>
      </c>
      <c r="F2415" s="17" t="s">
        <v>806</v>
      </c>
      <c r="G2415" s="22" t="s">
        <v>1671</v>
      </c>
      <c r="H2415" s="12" t="s">
        <v>9703</v>
      </c>
      <c r="I2415" s="13" t="s">
        <v>6895</v>
      </c>
      <c r="J2415" s="14" t="s">
        <v>798</v>
      </c>
      <c r="K2415" s="15" t="s">
        <v>798</v>
      </c>
      <c r="L2415" s="12" t="s">
        <v>5315</v>
      </c>
      <c r="M2415" s="13" t="s">
        <v>5848</v>
      </c>
      <c r="N2415" s="12" t="s">
        <v>803</v>
      </c>
      <c r="O2415" s="13" t="s">
        <v>4994</v>
      </c>
      <c r="P2415" s="17" t="s">
        <v>802</v>
      </c>
      <c r="Q2415" s="21" t="s">
        <v>8021</v>
      </c>
      <c r="R2415" s="17" t="s">
        <v>801</v>
      </c>
      <c r="S2415" s="18" t="s">
        <v>2640</v>
      </c>
      <c r="T2415" s="17" t="s">
        <v>800</v>
      </c>
      <c r="U2415" s="18" t="s">
        <v>5273</v>
      </c>
      <c r="V2415" s="17" t="s">
        <v>9418</v>
      </c>
      <c r="W2415" s="18" t="s">
        <v>5311</v>
      </c>
      <c r="X2415" s="69" t="s">
        <v>9453</v>
      </c>
      <c r="Y2415" s="70" t="s">
        <v>9466</v>
      </c>
      <c r="Z2415" s="73" t="s">
        <v>9486</v>
      </c>
      <c r="AA2415" s="74" t="s">
        <v>9504</v>
      </c>
      <c r="AB2415" s="73" t="s">
        <v>9486</v>
      </c>
      <c r="AC2415" s="74" t="s">
        <v>9566</v>
      </c>
      <c r="AD2415" s="73" t="s">
        <v>9578</v>
      </c>
      <c r="AE2415" s="74" t="s">
        <v>9579</v>
      </c>
    </row>
    <row r="2416" spans="1:31" ht="8.65" customHeight="1" x14ac:dyDescent="0.2">
      <c r="A2416" s="76">
        <v>2416</v>
      </c>
      <c r="B2416" s="67" t="str">
        <f>MID(C2416, FIND("Ifc.", C2416) + 4, 4) &amp; "_" &amp; TEXT(COUNTIF($C$2:C2416, C2416),"0000")</f>
        <v>Prop_2415</v>
      </c>
      <c r="C2416" s="24" t="s">
        <v>872</v>
      </c>
      <c r="D2416" s="69" t="s">
        <v>9453</v>
      </c>
      <c r="E2416" s="70" t="s">
        <v>9454</v>
      </c>
      <c r="F2416" s="17" t="s">
        <v>806</v>
      </c>
      <c r="G2416" s="22" t="s">
        <v>1672</v>
      </c>
      <c r="H2416" s="12" t="s">
        <v>9703</v>
      </c>
      <c r="I2416" s="13" t="s">
        <v>6896</v>
      </c>
      <c r="J2416" s="14" t="s">
        <v>798</v>
      </c>
      <c r="K2416" s="15" t="s">
        <v>798</v>
      </c>
      <c r="L2416" s="12" t="s">
        <v>5315</v>
      </c>
      <c r="M2416" s="13" t="s">
        <v>5848</v>
      </c>
      <c r="N2416" s="12" t="s">
        <v>803</v>
      </c>
      <c r="O2416" s="13" t="s">
        <v>4994</v>
      </c>
      <c r="P2416" s="17" t="s">
        <v>802</v>
      </c>
      <c r="Q2416" s="21" t="s">
        <v>8021</v>
      </c>
      <c r="R2416" s="17" t="s">
        <v>801</v>
      </c>
      <c r="S2416" s="18" t="s">
        <v>3636</v>
      </c>
      <c r="T2416" s="17" t="s">
        <v>800</v>
      </c>
      <c r="U2416" s="18" t="s">
        <v>5257</v>
      </c>
      <c r="V2416" s="17" t="s">
        <v>9418</v>
      </c>
      <c r="W2416" s="18" t="s">
        <v>5314</v>
      </c>
      <c r="X2416" s="69" t="s">
        <v>9453</v>
      </c>
      <c r="Y2416" s="70" t="s">
        <v>9464</v>
      </c>
      <c r="Z2416" s="73" t="s">
        <v>9486</v>
      </c>
      <c r="AA2416" s="74" t="s">
        <v>9504</v>
      </c>
      <c r="AB2416" s="73" t="s">
        <v>9486</v>
      </c>
      <c r="AC2416" s="74" t="s">
        <v>9561</v>
      </c>
      <c r="AD2416" s="73" t="s">
        <v>9578</v>
      </c>
      <c r="AE2416" s="74" t="s">
        <v>9579</v>
      </c>
    </row>
    <row r="2417" spans="1:31" ht="8.65" customHeight="1" x14ac:dyDescent="0.2">
      <c r="A2417" s="76">
        <v>2417</v>
      </c>
      <c r="B2417" s="67" t="str">
        <f>MID(C2417, FIND("Ifc.", C2417) + 4, 4) &amp; "_" &amp; TEXT(COUNTIF($C$2:C2417, C2417),"0000")</f>
        <v>Prop_2416</v>
      </c>
      <c r="C2417" s="24" t="s">
        <v>872</v>
      </c>
      <c r="D2417" s="69" t="s">
        <v>9453</v>
      </c>
      <c r="E2417" s="70" t="s">
        <v>9454</v>
      </c>
      <c r="F2417" s="17" t="s">
        <v>806</v>
      </c>
      <c r="G2417" s="22" t="s">
        <v>1135</v>
      </c>
      <c r="H2417" s="12" t="s">
        <v>9703</v>
      </c>
      <c r="I2417" s="13" t="s">
        <v>6859</v>
      </c>
      <c r="J2417" s="14" t="s">
        <v>798</v>
      </c>
      <c r="K2417" s="15" t="s">
        <v>798</v>
      </c>
      <c r="L2417" s="12" t="s">
        <v>5315</v>
      </c>
      <c r="M2417" s="13" t="s">
        <v>6041</v>
      </c>
      <c r="N2417" s="12" t="s">
        <v>803</v>
      </c>
      <c r="O2417" s="13" t="s">
        <v>4862</v>
      </c>
      <c r="P2417" s="17" t="s">
        <v>802</v>
      </c>
      <c r="Q2417" s="21" t="s">
        <v>7795</v>
      </c>
      <c r="R2417" s="17" t="s">
        <v>801</v>
      </c>
      <c r="S2417" s="18" t="s">
        <v>2607</v>
      </c>
      <c r="T2417" s="17" t="s">
        <v>800</v>
      </c>
      <c r="U2417" s="18" t="s">
        <v>5263</v>
      </c>
      <c r="V2417" s="17" t="s">
        <v>9418</v>
      </c>
      <c r="W2417" s="18" t="s">
        <v>5309</v>
      </c>
      <c r="X2417" s="69" t="s">
        <v>9453</v>
      </c>
      <c r="Y2417" s="70" t="s">
        <v>9462</v>
      </c>
      <c r="Z2417" s="73" t="s">
        <v>9486</v>
      </c>
      <c r="AA2417" s="74" t="s">
        <v>9504</v>
      </c>
      <c r="AB2417" s="73" t="s">
        <v>9486</v>
      </c>
      <c r="AC2417" s="74" t="s">
        <v>9566</v>
      </c>
      <c r="AD2417" s="73" t="s">
        <v>9578</v>
      </c>
      <c r="AE2417" s="74" t="s">
        <v>9579</v>
      </c>
    </row>
    <row r="2418" spans="1:31" ht="8.65" customHeight="1" x14ac:dyDescent="0.2">
      <c r="A2418" s="76">
        <v>2418</v>
      </c>
      <c r="B2418" s="67" t="str">
        <f>MID(C2418, FIND("Ifc.", C2418) + 4, 4) &amp; "_" &amp; TEXT(COUNTIF($C$2:C2418, C2418),"0000")</f>
        <v>Prop_2417</v>
      </c>
      <c r="C2418" s="24" t="s">
        <v>872</v>
      </c>
      <c r="D2418" s="69" t="s">
        <v>9453</v>
      </c>
      <c r="E2418" s="70" t="s">
        <v>9454</v>
      </c>
      <c r="F2418" s="17" t="s">
        <v>806</v>
      </c>
      <c r="G2418" s="22" t="s">
        <v>1678</v>
      </c>
      <c r="H2418" s="12" t="s">
        <v>9703</v>
      </c>
      <c r="I2418" s="13" t="s">
        <v>6430</v>
      </c>
      <c r="J2418" s="14" t="s">
        <v>798</v>
      </c>
      <c r="K2418" s="15" t="s">
        <v>798</v>
      </c>
      <c r="L2418" s="12" t="s">
        <v>5315</v>
      </c>
      <c r="M2418" s="13" t="s">
        <v>5850</v>
      </c>
      <c r="N2418" s="12" t="s">
        <v>803</v>
      </c>
      <c r="O2418" s="13" t="s">
        <v>4997</v>
      </c>
      <c r="P2418" s="17" t="s">
        <v>802</v>
      </c>
      <c r="Q2418" s="21" t="s">
        <v>7957</v>
      </c>
      <c r="R2418" s="17" t="s">
        <v>801</v>
      </c>
      <c r="S2418" s="18" t="s">
        <v>3636</v>
      </c>
      <c r="T2418" s="17" t="s">
        <v>800</v>
      </c>
      <c r="U2418" s="18" t="s">
        <v>5257</v>
      </c>
      <c r="V2418" s="17" t="s">
        <v>9418</v>
      </c>
      <c r="W2418" s="18" t="s">
        <v>5314</v>
      </c>
      <c r="X2418" s="69" t="s">
        <v>9453</v>
      </c>
      <c r="Y2418" s="70" t="s">
        <v>9464</v>
      </c>
      <c r="Z2418" s="73" t="s">
        <v>9486</v>
      </c>
      <c r="AA2418" s="74" t="s">
        <v>9504</v>
      </c>
      <c r="AB2418" s="73" t="s">
        <v>9486</v>
      </c>
      <c r="AC2418" s="74" t="s">
        <v>9561</v>
      </c>
      <c r="AD2418" s="73" t="s">
        <v>9578</v>
      </c>
      <c r="AE2418" s="74" t="s">
        <v>9579</v>
      </c>
    </row>
    <row r="2419" spans="1:31" ht="8.65" customHeight="1" x14ac:dyDescent="0.2">
      <c r="A2419" s="76">
        <v>2419</v>
      </c>
      <c r="B2419" s="67" t="str">
        <f>MID(C2419, FIND("Ifc.", C2419) + 4, 4) &amp; "_" &amp; TEXT(COUNTIF($C$2:C2419, C2419),"0000")</f>
        <v>Prop_2418</v>
      </c>
      <c r="C2419" s="24" t="s">
        <v>872</v>
      </c>
      <c r="D2419" s="69" t="s">
        <v>9453</v>
      </c>
      <c r="E2419" s="70" t="s">
        <v>9454</v>
      </c>
      <c r="F2419" s="17" t="s">
        <v>806</v>
      </c>
      <c r="G2419" s="22" t="s">
        <v>1684</v>
      </c>
      <c r="H2419" s="12" t="s">
        <v>9703</v>
      </c>
      <c r="I2419" s="13" t="s">
        <v>7012</v>
      </c>
      <c r="J2419" s="14" t="s">
        <v>798</v>
      </c>
      <c r="K2419" s="15" t="s">
        <v>798</v>
      </c>
      <c r="L2419" s="12" t="s">
        <v>5315</v>
      </c>
      <c r="M2419" s="13" t="s">
        <v>5850</v>
      </c>
      <c r="N2419" s="12" t="s">
        <v>803</v>
      </c>
      <c r="O2419" s="13" t="s">
        <v>4997</v>
      </c>
      <c r="P2419" s="17" t="s">
        <v>802</v>
      </c>
      <c r="Q2419" s="21" t="s">
        <v>7957</v>
      </c>
      <c r="R2419" s="17" t="s">
        <v>801</v>
      </c>
      <c r="S2419" s="18" t="s">
        <v>3636</v>
      </c>
      <c r="T2419" s="17" t="s">
        <v>800</v>
      </c>
      <c r="U2419" s="18" t="s">
        <v>5257</v>
      </c>
      <c r="V2419" s="17" t="s">
        <v>9418</v>
      </c>
      <c r="W2419" s="18" t="s">
        <v>5314</v>
      </c>
      <c r="X2419" s="69" t="s">
        <v>9453</v>
      </c>
      <c r="Y2419" s="70" t="s">
        <v>9464</v>
      </c>
      <c r="Z2419" s="73" t="s">
        <v>9486</v>
      </c>
      <c r="AA2419" s="74" t="s">
        <v>9504</v>
      </c>
      <c r="AB2419" s="73" t="s">
        <v>9486</v>
      </c>
      <c r="AC2419" s="74" t="s">
        <v>9561</v>
      </c>
      <c r="AD2419" s="73" t="s">
        <v>9578</v>
      </c>
      <c r="AE2419" s="74" t="s">
        <v>9579</v>
      </c>
    </row>
    <row r="2420" spans="1:31" ht="8.65" customHeight="1" x14ac:dyDescent="0.2">
      <c r="A2420" s="76">
        <v>2420</v>
      </c>
      <c r="B2420" s="67" t="str">
        <f>MID(C2420, FIND("Ifc.", C2420) + 4, 4) &amp; "_" &amp; TEXT(COUNTIF($C$2:C2420, C2420),"0000")</f>
        <v>Prop_2419</v>
      </c>
      <c r="C2420" s="24" t="s">
        <v>872</v>
      </c>
      <c r="D2420" s="69" t="s">
        <v>9453</v>
      </c>
      <c r="E2420" s="70" t="s">
        <v>9454</v>
      </c>
      <c r="F2420" s="17" t="s">
        <v>806</v>
      </c>
      <c r="G2420" s="22" t="s">
        <v>1682</v>
      </c>
      <c r="H2420" s="12" t="s">
        <v>9703</v>
      </c>
      <c r="I2420" s="13" t="s">
        <v>6901</v>
      </c>
      <c r="J2420" s="14" t="s">
        <v>798</v>
      </c>
      <c r="K2420" s="15" t="s">
        <v>798</v>
      </c>
      <c r="L2420" s="12" t="s">
        <v>5315</v>
      </c>
      <c r="M2420" s="13" t="s">
        <v>5850</v>
      </c>
      <c r="N2420" s="12" t="s">
        <v>803</v>
      </c>
      <c r="O2420" s="13" t="s">
        <v>4997</v>
      </c>
      <c r="P2420" s="17" t="s">
        <v>802</v>
      </c>
      <c r="Q2420" s="21" t="s">
        <v>7957</v>
      </c>
      <c r="R2420" s="17" t="s">
        <v>801</v>
      </c>
      <c r="S2420" s="18" t="s">
        <v>3636</v>
      </c>
      <c r="T2420" s="17" t="s">
        <v>800</v>
      </c>
      <c r="U2420" s="18" t="s">
        <v>5257</v>
      </c>
      <c r="V2420" s="17" t="s">
        <v>9418</v>
      </c>
      <c r="W2420" s="18" t="s">
        <v>5314</v>
      </c>
      <c r="X2420" s="69" t="s">
        <v>9453</v>
      </c>
      <c r="Y2420" s="70" t="s">
        <v>9464</v>
      </c>
      <c r="Z2420" s="73" t="s">
        <v>9486</v>
      </c>
      <c r="AA2420" s="74" t="s">
        <v>9504</v>
      </c>
      <c r="AB2420" s="73" t="s">
        <v>9486</v>
      </c>
      <c r="AC2420" s="74" t="s">
        <v>9561</v>
      </c>
      <c r="AD2420" s="73" t="s">
        <v>9578</v>
      </c>
      <c r="AE2420" s="74" t="s">
        <v>9579</v>
      </c>
    </row>
    <row r="2421" spans="1:31" ht="8.65" customHeight="1" x14ac:dyDescent="0.2">
      <c r="A2421" s="76">
        <v>2421</v>
      </c>
      <c r="B2421" s="67" t="str">
        <f>MID(C2421, FIND("Ifc.", C2421) + 4, 4) &amp; "_" &amp; TEXT(COUNTIF($C$2:C2421, C2421),"0000")</f>
        <v>Prop_2420</v>
      </c>
      <c r="C2421" s="24" t="s">
        <v>872</v>
      </c>
      <c r="D2421" s="69" t="s">
        <v>9453</v>
      </c>
      <c r="E2421" s="70" t="s">
        <v>9454</v>
      </c>
      <c r="F2421" s="17" t="s">
        <v>806</v>
      </c>
      <c r="G2421" s="22" t="s">
        <v>1552</v>
      </c>
      <c r="H2421" s="12" t="s">
        <v>9703</v>
      </c>
      <c r="I2421" s="13" t="s">
        <v>6377</v>
      </c>
      <c r="J2421" s="14" t="s">
        <v>798</v>
      </c>
      <c r="K2421" s="15" t="s">
        <v>798</v>
      </c>
      <c r="L2421" s="12" t="s">
        <v>5315</v>
      </c>
      <c r="M2421" s="13" t="s">
        <v>5889</v>
      </c>
      <c r="N2421" s="12" t="s">
        <v>803</v>
      </c>
      <c r="O2421" s="13" t="s">
        <v>4958</v>
      </c>
      <c r="P2421" s="17" t="s">
        <v>802</v>
      </c>
      <c r="Q2421" s="21" t="s">
        <v>7771</v>
      </c>
      <c r="R2421" s="17" t="s">
        <v>801</v>
      </c>
      <c r="S2421" s="18" t="s">
        <v>3636</v>
      </c>
      <c r="T2421" s="17" t="s">
        <v>800</v>
      </c>
      <c r="U2421" s="18" t="s">
        <v>5257</v>
      </c>
      <c r="V2421" s="17" t="s">
        <v>9418</v>
      </c>
      <c r="W2421" s="18" t="s">
        <v>5314</v>
      </c>
      <c r="X2421" s="69" t="s">
        <v>9453</v>
      </c>
      <c r="Y2421" s="70" t="s">
        <v>9464</v>
      </c>
      <c r="Z2421" s="73" t="s">
        <v>9486</v>
      </c>
      <c r="AA2421" s="74" t="s">
        <v>9504</v>
      </c>
      <c r="AB2421" s="73" t="s">
        <v>9486</v>
      </c>
      <c r="AC2421" s="74" t="s">
        <v>9561</v>
      </c>
      <c r="AD2421" s="73" t="s">
        <v>9578</v>
      </c>
      <c r="AE2421" s="74" t="s">
        <v>9579</v>
      </c>
    </row>
    <row r="2422" spans="1:31" ht="8.65" customHeight="1" x14ac:dyDescent="0.2">
      <c r="A2422" s="76">
        <v>2422</v>
      </c>
      <c r="B2422" s="67" t="str">
        <f>MID(C2422, FIND("Ifc.", C2422) + 4, 4) &amp; "_" &amp; TEXT(COUNTIF($C$2:C2422, C2422),"0000")</f>
        <v>Prop_2421</v>
      </c>
      <c r="C2422" s="24" t="s">
        <v>872</v>
      </c>
      <c r="D2422" s="69" t="s">
        <v>9453</v>
      </c>
      <c r="E2422" s="70" t="s">
        <v>9454</v>
      </c>
      <c r="F2422" s="17" t="s">
        <v>806</v>
      </c>
      <c r="G2422" s="22" t="s">
        <v>1581</v>
      </c>
      <c r="H2422" s="12" t="s">
        <v>9703</v>
      </c>
      <c r="I2422" s="13" t="s">
        <v>6422</v>
      </c>
      <c r="J2422" s="14" t="s">
        <v>798</v>
      </c>
      <c r="K2422" s="15" t="s">
        <v>798</v>
      </c>
      <c r="L2422" s="12" t="s">
        <v>5315</v>
      </c>
      <c r="M2422" s="13" t="s">
        <v>5896</v>
      </c>
      <c r="N2422" s="12" t="s">
        <v>803</v>
      </c>
      <c r="O2422" s="13" t="s">
        <v>4965</v>
      </c>
      <c r="P2422" s="17" t="s">
        <v>802</v>
      </c>
      <c r="Q2422" s="21" t="s">
        <v>7912</v>
      </c>
      <c r="R2422" s="17" t="s">
        <v>801</v>
      </c>
      <c r="S2422" s="18" t="s">
        <v>3636</v>
      </c>
      <c r="T2422" s="17" t="s">
        <v>800</v>
      </c>
      <c r="U2422" s="18" t="s">
        <v>5257</v>
      </c>
      <c r="V2422" s="17" t="s">
        <v>9418</v>
      </c>
      <c r="W2422" s="18" t="s">
        <v>5314</v>
      </c>
      <c r="X2422" s="69" t="s">
        <v>9453</v>
      </c>
      <c r="Y2422" s="70" t="s">
        <v>9464</v>
      </c>
      <c r="Z2422" s="73" t="s">
        <v>9486</v>
      </c>
      <c r="AA2422" s="74" t="s">
        <v>9504</v>
      </c>
      <c r="AB2422" s="73" t="s">
        <v>9486</v>
      </c>
      <c r="AC2422" s="74" t="s">
        <v>9561</v>
      </c>
      <c r="AD2422" s="73" t="s">
        <v>9578</v>
      </c>
      <c r="AE2422" s="74" t="s">
        <v>9579</v>
      </c>
    </row>
    <row r="2423" spans="1:31" ht="8.65" customHeight="1" x14ac:dyDescent="0.2">
      <c r="A2423" s="76">
        <v>2423</v>
      </c>
      <c r="B2423" s="67" t="str">
        <f>MID(C2423, FIND("Ifc.", C2423) + 4, 4) &amp; "_" &amp; TEXT(COUNTIF($C$2:C2423, C2423),"0000")</f>
        <v>Prop_2422</v>
      </c>
      <c r="C2423" s="24" t="s">
        <v>872</v>
      </c>
      <c r="D2423" s="69" t="s">
        <v>9453</v>
      </c>
      <c r="E2423" s="70" t="s">
        <v>9454</v>
      </c>
      <c r="F2423" s="17" t="s">
        <v>806</v>
      </c>
      <c r="G2423" s="22" t="s">
        <v>2497</v>
      </c>
      <c r="H2423" s="12" t="s">
        <v>9703</v>
      </c>
      <c r="I2423" s="13" t="s">
        <v>6721</v>
      </c>
      <c r="J2423" s="14" t="s">
        <v>798</v>
      </c>
      <c r="K2423" s="15" t="s">
        <v>798</v>
      </c>
      <c r="L2423" s="12" t="s">
        <v>5315</v>
      </c>
      <c r="M2423" s="13" t="s">
        <v>6005</v>
      </c>
      <c r="N2423" s="12" t="s">
        <v>803</v>
      </c>
      <c r="O2423" s="13" t="s">
        <v>5221</v>
      </c>
      <c r="P2423" s="17" t="s">
        <v>802</v>
      </c>
      <c r="Q2423" s="21" t="s">
        <v>7711</v>
      </c>
      <c r="R2423" s="17" t="s">
        <v>801</v>
      </c>
      <c r="S2423" s="18" t="s">
        <v>2640</v>
      </c>
      <c r="T2423" s="17" t="s">
        <v>800</v>
      </c>
      <c r="U2423" s="18" t="s">
        <v>5273</v>
      </c>
      <c r="V2423" s="17" t="s">
        <v>9418</v>
      </c>
      <c r="W2423" s="18" t="s">
        <v>5309</v>
      </c>
      <c r="X2423" s="69" t="s">
        <v>9453</v>
      </c>
      <c r="Y2423" s="70" t="s">
        <v>9462</v>
      </c>
      <c r="Z2423" s="73" t="s">
        <v>9486</v>
      </c>
      <c r="AA2423" s="74" t="s">
        <v>9504</v>
      </c>
      <c r="AB2423" s="73" t="s">
        <v>9486</v>
      </c>
      <c r="AC2423" s="74" t="s">
        <v>9566</v>
      </c>
      <c r="AD2423" s="73" t="s">
        <v>9578</v>
      </c>
      <c r="AE2423" s="74" t="s">
        <v>9579</v>
      </c>
    </row>
    <row r="2424" spans="1:31" ht="8.65" customHeight="1" x14ac:dyDescent="0.2">
      <c r="A2424" s="76">
        <v>2424</v>
      </c>
      <c r="B2424" s="67" t="str">
        <f>MID(C2424, FIND("Ifc.", C2424) + 4, 4) &amp; "_" &amp; TEXT(COUNTIF($C$2:C2424, C2424),"0000")</f>
        <v>Prop_2423</v>
      </c>
      <c r="C2424" s="24" t="s">
        <v>872</v>
      </c>
      <c r="D2424" s="69" t="s">
        <v>9453</v>
      </c>
      <c r="E2424" s="70" t="s">
        <v>9454</v>
      </c>
      <c r="F2424" s="17" t="s">
        <v>806</v>
      </c>
      <c r="G2424" s="22" t="s">
        <v>1444</v>
      </c>
      <c r="H2424" s="12" t="s">
        <v>9703</v>
      </c>
      <c r="I2424" s="13" t="s">
        <v>7001</v>
      </c>
      <c r="J2424" s="14" t="s">
        <v>798</v>
      </c>
      <c r="K2424" s="15" t="s">
        <v>798</v>
      </c>
      <c r="L2424" s="12" t="s">
        <v>5315</v>
      </c>
      <c r="M2424" s="13" t="s">
        <v>5436</v>
      </c>
      <c r="N2424" s="12" t="s">
        <v>803</v>
      </c>
      <c r="O2424" s="13" t="s">
        <v>4936</v>
      </c>
      <c r="P2424" s="17" t="s">
        <v>802</v>
      </c>
      <c r="Q2424" s="21" t="s">
        <v>7931</v>
      </c>
      <c r="R2424" s="17" t="s">
        <v>801</v>
      </c>
      <c r="S2424" s="18" t="s">
        <v>2640</v>
      </c>
      <c r="T2424" s="17" t="s">
        <v>800</v>
      </c>
      <c r="U2424" s="18" t="s">
        <v>5273</v>
      </c>
      <c r="V2424" s="17" t="s">
        <v>9418</v>
      </c>
      <c r="W2424" s="18" t="s">
        <v>5309</v>
      </c>
      <c r="X2424" s="69" t="s">
        <v>9453</v>
      </c>
      <c r="Y2424" s="70" t="s">
        <v>9462</v>
      </c>
      <c r="Z2424" s="73" t="s">
        <v>9486</v>
      </c>
      <c r="AA2424" s="74" t="s">
        <v>9504</v>
      </c>
      <c r="AB2424" s="73" t="s">
        <v>9486</v>
      </c>
      <c r="AC2424" s="74" t="s">
        <v>9566</v>
      </c>
      <c r="AD2424" s="73" t="s">
        <v>9578</v>
      </c>
      <c r="AE2424" s="74" t="s">
        <v>9579</v>
      </c>
    </row>
    <row r="2425" spans="1:31" ht="8.65" customHeight="1" x14ac:dyDescent="0.2">
      <c r="A2425" s="76">
        <v>2425</v>
      </c>
      <c r="B2425" s="67" t="str">
        <f>MID(C2425, FIND("Ifc.", C2425) + 4, 4) &amp; "_" &amp; TEXT(COUNTIF($C$2:C2425, C2425),"0000")</f>
        <v>Prop_2424</v>
      </c>
      <c r="C2425" s="24" t="s">
        <v>872</v>
      </c>
      <c r="D2425" s="69" t="s">
        <v>9453</v>
      </c>
      <c r="E2425" s="70" t="s">
        <v>9454</v>
      </c>
      <c r="F2425" s="17" t="s">
        <v>806</v>
      </c>
      <c r="G2425" s="22" t="s">
        <v>1037</v>
      </c>
      <c r="H2425" s="12" t="s">
        <v>9703</v>
      </c>
      <c r="I2425" s="13" t="s">
        <v>6131</v>
      </c>
      <c r="J2425" s="14" t="s">
        <v>798</v>
      </c>
      <c r="K2425" s="15" t="s">
        <v>798</v>
      </c>
      <c r="L2425" s="12" t="s">
        <v>5315</v>
      </c>
      <c r="M2425" s="13" t="s">
        <v>5386</v>
      </c>
      <c r="N2425" s="12" t="s">
        <v>803</v>
      </c>
      <c r="O2425" s="13" t="s">
        <v>4843</v>
      </c>
      <c r="P2425" s="17" t="s">
        <v>802</v>
      </c>
      <c r="Q2425" s="21" t="s">
        <v>7779</v>
      </c>
      <c r="R2425" s="17" t="s">
        <v>801</v>
      </c>
      <c r="S2425" s="18" t="s">
        <v>2607</v>
      </c>
      <c r="T2425" s="17" t="s">
        <v>800</v>
      </c>
      <c r="U2425" s="18" t="s">
        <v>5263</v>
      </c>
      <c r="V2425" s="17" t="s">
        <v>9418</v>
      </c>
      <c r="W2425" s="18" t="s">
        <v>5309</v>
      </c>
      <c r="X2425" s="69" t="s">
        <v>9453</v>
      </c>
      <c r="Y2425" s="70" t="s">
        <v>9462</v>
      </c>
      <c r="Z2425" s="73" t="s">
        <v>9486</v>
      </c>
      <c r="AA2425" s="74" t="s">
        <v>9504</v>
      </c>
      <c r="AB2425" s="73" t="s">
        <v>9486</v>
      </c>
      <c r="AC2425" s="74" t="s">
        <v>9566</v>
      </c>
      <c r="AD2425" s="73" t="s">
        <v>9578</v>
      </c>
      <c r="AE2425" s="74" t="s">
        <v>9579</v>
      </c>
    </row>
    <row r="2426" spans="1:31" ht="8.65" customHeight="1" x14ac:dyDescent="0.2">
      <c r="A2426" s="76">
        <v>2426</v>
      </c>
      <c r="B2426" s="67" t="str">
        <f>MID(C2426, FIND("Ifc.", C2426) + 4, 4) &amp; "_" &amp; TEXT(COUNTIF($C$2:C2426, C2426),"0000")</f>
        <v>Prop_2425</v>
      </c>
      <c r="C2426" s="24" t="s">
        <v>872</v>
      </c>
      <c r="D2426" s="69" t="s">
        <v>9453</v>
      </c>
      <c r="E2426" s="70" t="s">
        <v>9454</v>
      </c>
      <c r="F2426" s="17" t="s">
        <v>806</v>
      </c>
      <c r="G2426" s="22" t="s">
        <v>1037</v>
      </c>
      <c r="H2426" s="12" t="s">
        <v>9703</v>
      </c>
      <c r="I2426" s="13" t="s">
        <v>6131</v>
      </c>
      <c r="J2426" s="14" t="s">
        <v>798</v>
      </c>
      <c r="K2426" s="15" t="s">
        <v>798</v>
      </c>
      <c r="L2426" s="12" t="s">
        <v>5315</v>
      </c>
      <c r="M2426" s="13" t="s">
        <v>5577</v>
      </c>
      <c r="N2426" s="12" t="s">
        <v>803</v>
      </c>
      <c r="O2426" s="13" t="s">
        <v>5222</v>
      </c>
      <c r="P2426" s="17" t="s">
        <v>802</v>
      </c>
      <c r="Q2426" s="21" t="s">
        <v>7905</v>
      </c>
      <c r="R2426" s="17" t="s">
        <v>801</v>
      </c>
      <c r="S2426" s="18" t="s">
        <v>2607</v>
      </c>
      <c r="T2426" s="17" t="s">
        <v>800</v>
      </c>
      <c r="U2426" s="18" t="s">
        <v>5263</v>
      </c>
      <c r="V2426" s="17" t="s">
        <v>9418</v>
      </c>
      <c r="W2426" s="18" t="s">
        <v>5309</v>
      </c>
      <c r="X2426" s="69" t="s">
        <v>9453</v>
      </c>
      <c r="Y2426" s="70" t="s">
        <v>9462</v>
      </c>
      <c r="Z2426" s="73" t="s">
        <v>9486</v>
      </c>
      <c r="AA2426" s="74" t="s">
        <v>9504</v>
      </c>
      <c r="AB2426" s="73" t="s">
        <v>9486</v>
      </c>
      <c r="AC2426" s="74" t="s">
        <v>9566</v>
      </c>
      <c r="AD2426" s="73" t="s">
        <v>9578</v>
      </c>
      <c r="AE2426" s="74" t="s">
        <v>9579</v>
      </c>
    </row>
    <row r="2427" spans="1:31" ht="8.65" customHeight="1" x14ac:dyDescent="0.2">
      <c r="A2427" s="76">
        <v>2427</v>
      </c>
      <c r="B2427" s="67" t="str">
        <f>MID(C2427, FIND("Ifc.", C2427) + 4, 4) &amp; "_" &amp; TEXT(COUNTIF($C$2:C2427, C2427),"0000")</f>
        <v>Prop_2426</v>
      </c>
      <c r="C2427" s="24" t="s">
        <v>872</v>
      </c>
      <c r="D2427" s="69" t="s">
        <v>9453</v>
      </c>
      <c r="E2427" s="70" t="s">
        <v>9454</v>
      </c>
      <c r="F2427" s="17" t="s">
        <v>806</v>
      </c>
      <c r="G2427" s="22" t="s">
        <v>1445</v>
      </c>
      <c r="H2427" s="12" t="s">
        <v>9703</v>
      </c>
      <c r="I2427" s="13" t="s">
        <v>7002</v>
      </c>
      <c r="J2427" s="14" t="s">
        <v>798</v>
      </c>
      <c r="K2427" s="15" t="s">
        <v>798</v>
      </c>
      <c r="L2427" s="12" t="s">
        <v>5315</v>
      </c>
      <c r="M2427" s="13" t="s">
        <v>5436</v>
      </c>
      <c r="N2427" s="12" t="s">
        <v>803</v>
      </c>
      <c r="O2427" s="13" t="s">
        <v>4936</v>
      </c>
      <c r="P2427" s="17" t="s">
        <v>802</v>
      </c>
      <c r="Q2427" s="21" t="s">
        <v>7931</v>
      </c>
      <c r="R2427" s="17" t="s">
        <v>801</v>
      </c>
      <c r="S2427" s="18" t="s">
        <v>2640</v>
      </c>
      <c r="T2427" s="17" t="s">
        <v>800</v>
      </c>
      <c r="U2427" s="18" t="s">
        <v>5273</v>
      </c>
      <c r="V2427" s="17" t="s">
        <v>9418</v>
      </c>
      <c r="W2427" s="18" t="s">
        <v>5309</v>
      </c>
      <c r="X2427" s="69" t="s">
        <v>9453</v>
      </c>
      <c r="Y2427" s="70" t="s">
        <v>9462</v>
      </c>
      <c r="Z2427" s="73" t="s">
        <v>9486</v>
      </c>
      <c r="AA2427" s="74" t="s">
        <v>9504</v>
      </c>
      <c r="AB2427" s="73" t="s">
        <v>9486</v>
      </c>
      <c r="AC2427" s="74" t="s">
        <v>9566</v>
      </c>
      <c r="AD2427" s="73" t="s">
        <v>9578</v>
      </c>
      <c r="AE2427" s="74" t="s">
        <v>9579</v>
      </c>
    </row>
    <row r="2428" spans="1:31" ht="8.65" customHeight="1" x14ac:dyDescent="0.2">
      <c r="A2428" s="76">
        <v>2428</v>
      </c>
      <c r="B2428" s="67" t="str">
        <f>MID(C2428, FIND("Ifc.", C2428) + 4, 4) &amp; "_" &amp; TEXT(COUNTIF($C$2:C2428, C2428),"0000")</f>
        <v>Prop_2427</v>
      </c>
      <c r="C2428" s="24" t="s">
        <v>872</v>
      </c>
      <c r="D2428" s="69" t="s">
        <v>9453</v>
      </c>
      <c r="E2428" s="70" t="s">
        <v>9454</v>
      </c>
      <c r="F2428" s="17" t="s">
        <v>806</v>
      </c>
      <c r="G2428" s="22" t="s">
        <v>1336</v>
      </c>
      <c r="H2428" s="12" t="s">
        <v>9703</v>
      </c>
      <c r="I2428" s="13" t="s">
        <v>6197</v>
      </c>
      <c r="J2428" s="14" t="s">
        <v>798</v>
      </c>
      <c r="K2428" s="15" t="s">
        <v>798</v>
      </c>
      <c r="L2428" s="12" t="s">
        <v>5315</v>
      </c>
      <c r="M2428" s="13" t="s">
        <v>5979</v>
      </c>
      <c r="N2428" s="12" t="s">
        <v>803</v>
      </c>
      <c r="O2428" s="13" t="s">
        <v>5094</v>
      </c>
      <c r="P2428" s="17" t="s">
        <v>802</v>
      </c>
      <c r="Q2428" s="21" t="s">
        <v>7876</v>
      </c>
      <c r="R2428" s="17" t="s">
        <v>801</v>
      </c>
      <c r="S2428" s="18" t="s">
        <v>2640</v>
      </c>
      <c r="T2428" s="17" t="s">
        <v>800</v>
      </c>
      <c r="U2428" s="18" t="s">
        <v>5273</v>
      </c>
      <c r="V2428" s="17" t="s">
        <v>9418</v>
      </c>
      <c r="W2428" s="18" t="s">
        <v>5312</v>
      </c>
      <c r="X2428" s="69" t="s">
        <v>9453</v>
      </c>
      <c r="Y2428" s="70" t="s">
        <v>9465</v>
      </c>
      <c r="Z2428" s="73" t="s">
        <v>9486</v>
      </c>
      <c r="AA2428" s="74" t="s">
        <v>9504</v>
      </c>
      <c r="AB2428" s="73" t="s">
        <v>9486</v>
      </c>
      <c r="AC2428" s="74" t="s">
        <v>9566</v>
      </c>
      <c r="AD2428" s="73" t="s">
        <v>9578</v>
      </c>
      <c r="AE2428" s="74" t="s">
        <v>9579</v>
      </c>
    </row>
    <row r="2429" spans="1:31" ht="8.65" customHeight="1" x14ac:dyDescent="0.2">
      <c r="A2429" s="76">
        <v>2429</v>
      </c>
      <c r="B2429" s="67" t="str">
        <f>MID(C2429, FIND("Ifc.", C2429) + 4, 4) &amp; "_" &amp; TEXT(COUNTIF($C$2:C2429, C2429),"0000")</f>
        <v>Prop_2428</v>
      </c>
      <c r="C2429" s="24" t="s">
        <v>872</v>
      </c>
      <c r="D2429" s="69" t="s">
        <v>9453</v>
      </c>
      <c r="E2429" s="70" t="s">
        <v>9454</v>
      </c>
      <c r="F2429" s="17" t="s">
        <v>806</v>
      </c>
      <c r="G2429" s="22" t="s">
        <v>1336</v>
      </c>
      <c r="H2429" s="12" t="s">
        <v>9703</v>
      </c>
      <c r="I2429" s="13" t="s">
        <v>6197</v>
      </c>
      <c r="J2429" s="14" t="s">
        <v>798</v>
      </c>
      <c r="K2429" s="15" t="s">
        <v>798</v>
      </c>
      <c r="L2429" s="12" t="s">
        <v>5315</v>
      </c>
      <c r="M2429" s="13" t="s">
        <v>5825</v>
      </c>
      <c r="N2429" s="12" t="s">
        <v>803</v>
      </c>
      <c r="O2429" s="13" t="s">
        <v>4912</v>
      </c>
      <c r="P2429" s="17" t="s">
        <v>802</v>
      </c>
      <c r="Q2429" s="21" t="s">
        <v>7877</v>
      </c>
      <c r="R2429" s="17" t="s">
        <v>801</v>
      </c>
      <c r="S2429" s="18" t="s">
        <v>3636</v>
      </c>
      <c r="T2429" s="17" t="s">
        <v>800</v>
      </c>
      <c r="U2429" s="18" t="s">
        <v>5257</v>
      </c>
      <c r="V2429" s="17" t="s">
        <v>9418</v>
      </c>
      <c r="W2429" s="18" t="s">
        <v>5314</v>
      </c>
      <c r="X2429" s="69" t="s">
        <v>9453</v>
      </c>
      <c r="Y2429" s="70" t="s">
        <v>9464</v>
      </c>
      <c r="Z2429" s="73" t="s">
        <v>9486</v>
      </c>
      <c r="AA2429" s="74" t="s">
        <v>9504</v>
      </c>
      <c r="AB2429" s="73" t="s">
        <v>9486</v>
      </c>
      <c r="AC2429" s="74" t="s">
        <v>9561</v>
      </c>
      <c r="AD2429" s="73" t="s">
        <v>9578</v>
      </c>
      <c r="AE2429" s="74" t="s">
        <v>9579</v>
      </c>
    </row>
    <row r="2430" spans="1:31" ht="8.65" customHeight="1" x14ac:dyDescent="0.2">
      <c r="A2430" s="76">
        <v>2430</v>
      </c>
      <c r="B2430" s="67" t="str">
        <f>MID(C2430, FIND("Ifc.", C2430) + 4, 4) &amp; "_" &amp; TEXT(COUNTIF($C$2:C2430, C2430),"0000")</f>
        <v>Prop_2429</v>
      </c>
      <c r="C2430" s="24" t="s">
        <v>872</v>
      </c>
      <c r="D2430" s="69" t="s">
        <v>9453</v>
      </c>
      <c r="E2430" s="70" t="s">
        <v>9454</v>
      </c>
      <c r="F2430" s="17" t="s">
        <v>806</v>
      </c>
      <c r="G2430" s="22" t="s">
        <v>1336</v>
      </c>
      <c r="H2430" s="12" t="s">
        <v>9703</v>
      </c>
      <c r="I2430" s="13" t="s">
        <v>6197</v>
      </c>
      <c r="J2430" s="14" t="s">
        <v>798</v>
      </c>
      <c r="K2430" s="15" t="s">
        <v>798</v>
      </c>
      <c r="L2430" s="12" t="s">
        <v>5315</v>
      </c>
      <c r="M2430" s="13" t="s">
        <v>5413</v>
      </c>
      <c r="N2430" s="12" t="s">
        <v>803</v>
      </c>
      <c r="O2430" s="13" t="s">
        <v>4911</v>
      </c>
      <c r="P2430" s="17" t="s">
        <v>802</v>
      </c>
      <c r="Q2430" s="21" t="s">
        <v>7714</v>
      </c>
      <c r="R2430" s="17" t="s">
        <v>801</v>
      </c>
      <c r="S2430" s="18" t="s">
        <v>2640</v>
      </c>
      <c r="T2430" s="17" t="s">
        <v>800</v>
      </c>
      <c r="U2430" s="18" t="s">
        <v>5273</v>
      </c>
      <c r="V2430" s="17" t="s">
        <v>9418</v>
      </c>
      <c r="W2430" s="18" t="s">
        <v>5312</v>
      </c>
      <c r="X2430" s="69" t="s">
        <v>9453</v>
      </c>
      <c r="Y2430" s="70" t="s">
        <v>9465</v>
      </c>
      <c r="Z2430" s="73" t="s">
        <v>9486</v>
      </c>
      <c r="AA2430" s="74" t="s">
        <v>9504</v>
      </c>
      <c r="AB2430" s="73" t="s">
        <v>9486</v>
      </c>
      <c r="AC2430" s="74" t="s">
        <v>9566</v>
      </c>
      <c r="AD2430" s="73" t="s">
        <v>9578</v>
      </c>
      <c r="AE2430" s="74" t="s">
        <v>9579</v>
      </c>
    </row>
    <row r="2431" spans="1:31" ht="8.65" customHeight="1" x14ac:dyDescent="0.2">
      <c r="A2431" s="76">
        <v>2431</v>
      </c>
      <c r="B2431" s="67" t="str">
        <f>MID(C2431, FIND("Ifc.", C2431) + 4, 4) &amp; "_" &amp; TEXT(COUNTIF($C$2:C2431, C2431),"0000")</f>
        <v>Prop_2430</v>
      </c>
      <c r="C2431" s="24" t="s">
        <v>872</v>
      </c>
      <c r="D2431" s="69" t="s">
        <v>9453</v>
      </c>
      <c r="E2431" s="70" t="s">
        <v>9454</v>
      </c>
      <c r="F2431" s="17" t="s">
        <v>806</v>
      </c>
      <c r="G2431" s="22" t="s">
        <v>1116</v>
      </c>
      <c r="H2431" s="12" t="s">
        <v>9703</v>
      </c>
      <c r="I2431" s="13" t="s">
        <v>6857</v>
      </c>
      <c r="J2431" s="14" t="s">
        <v>798</v>
      </c>
      <c r="K2431" s="15" t="s">
        <v>798</v>
      </c>
      <c r="L2431" s="12" t="s">
        <v>5315</v>
      </c>
      <c r="M2431" s="13" t="s">
        <v>6037</v>
      </c>
      <c r="N2431" s="12" t="s">
        <v>803</v>
      </c>
      <c r="O2431" s="13" t="s">
        <v>4857</v>
      </c>
      <c r="P2431" s="17" t="s">
        <v>802</v>
      </c>
      <c r="Q2431" s="21" t="s">
        <v>7744</v>
      </c>
      <c r="R2431" s="17" t="s">
        <v>801</v>
      </c>
      <c r="S2431" s="18" t="s">
        <v>2619</v>
      </c>
      <c r="T2431" s="17" t="s">
        <v>800</v>
      </c>
      <c r="U2431" s="18" t="s">
        <v>5239</v>
      </c>
      <c r="V2431" s="17" t="s">
        <v>9418</v>
      </c>
      <c r="W2431" s="18" t="s">
        <v>5312</v>
      </c>
      <c r="X2431" s="69" t="s">
        <v>9453</v>
      </c>
      <c r="Y2431" s="70" t="s">
        <v>9465</v>
      </c>
      <c r="Z2431" s="73" t="s">
        <v>9486</v>
      </c>
      <c r="AA2431" s="74" t="s">
        <v>9504</v>
      </c>
      <c r="AB2431" s="73" t="s">
        <v>9486</v>
      </c>
      <c r="AC2431" s="74" t="s">
        <v>9566</v>
      </c>
      <c r="AD2431" s="73" t="s">
        <v>9578</v>
      </c>
      <c r="AE2431" s="74" t="s">
        <v>9579</v>
      </c>
    </row>
    <row r="2432" spans="1:31" ht="8.65" customHeight="1" x14ac:dyDescent="0.2">
      <c r="A2432" s="76">
        <v>2432</v>
      </c>
      <c r="B2432" s="67" t="str">
        <f>MID(C2432, FIND("Ifc.", C2432) + 4, 4) &amp; "_" &amp; TEXT(COUNTIF($C$2:C2432, C2432),"0000")</f>
        <v>Prop_2431</v>
      </c>
      <c r="C2432" s="24" t="s">
        <v>872</v>
      </c>
      <c r="D2432" s="69" t="s">
        <v>9453</v>
      </c>
      <c r="E2432" s="70" t="s">
        <v>9454</v>
      </c>
      <c r="F2432" s="17" t="s">
        <v>806</v>
      </c>
      <c r="G2432" s="22" t="s">
        <v>1116</v>
      </c>
      <c r="H2432" s="12" t="s">
        <v>9703</v>
      </c>
      <c r="I2432" s="13" t="s">
        <v>6857</v>
      </c>
      <c r="J2432" s="14" t="s">
        <v>798</v>
      </c>
      <c r="K2432" s="15" t="s">
        <v>798</v>
      </c>
      <c r="L2432" s="12" t="s">
        <v>5315</v>
      </c>
      <c r="M2432" s="13" t="s">
        <v>5892</v>
      </c>
      <c r="N2432" s="12" t="s">
        <v>803</v>
      </c>
      <c r="O2432" s="13" t="s">
        <v>4961</v>
      </c>
      <c r="P2432" s="17" t="s">
        <v>802</v>
      </c>
      <c r="Q2432" s="21" t="s">
        <v>7745</v>
      </c>
      <c r="R2432" s="17" t="s">
        <v>801</v>
      </c>
      <c r="S2432" s="18" t="s">
        <v>3636</v>
      </c>
      <c r="T2432" s="17" t="s">
        <v>800</v>
      </c>
      <c r="U2432" s="18" t="s">
        <v>5257</v>
      </c>
      <c r="V2432" s="17" t="s">
        <v>9418</v>
      </c>
      <c r="W2432" s="18" t="s">
        <v>5314</v>
      </c>
      <c r="X2432" s="69" t="s">
        <v>9453</v>
      </c>
      <c r="Y2432" s="70" t="s">
        <v>9464</v>
      </c>
      <c r="Z2432" s="73" t="s">
        <v>9486</v>
      </c>
      <c r="AA2432" s="74" t="s">
        <v>9504</v>
      </c>
      <c r="AB2432" s="73" t="s">
        <v>9486</v>
      </c>
      <c r="AC2432" s="74" t="s">
        <v>9561</v>
      </c>
      <c r="AD2432" s="73" t="s">
        <v>9578</v>
      </c>
      <c r="AE2432" s="74" t="s">
        <v>9579</v>
      </c>
    </row>
    <row r="2433" spans="1:31" ht="8.65" customHeight="1" x14ac:dyDescent="0.2">
      <c r="A2433" s="76">
        <v>2433</v>
      </c>
      <c r="B2433" s="67" t="str">
        <f>MID(C2433, FIND("Ifc.", C2433) + 4, 4) &amp; "_" &amp; TEXT(COUNTIF($C$2:C2433, C2433),"0000")</f>
        <v>Prop_2432</v>
      </c>
      <c r="C2433" s="24" t="s">
        <v>872</v>
      </c>
      <c r="D2433" s="69" t="s">
        <v>9453</v>
      </c>
      <c r="E2433" s="70" t="s">
        <v>9454</v>
      </c>
      <c r="F2433" s="17" t="s">
        <v>806</v>
      </c>
      <c r="G2433" s="22" t="s">
        <v>1115</v>
      </c>
      <c r="H2433" s="12" t="s">
        <v>9703</v>
      </c>
      <c r="I2433" s="13" t="s">
        <v>6856</v>
      </c>
      <c r="J2433" s="14" t="s">
        <v>798</v>
      </c>
      <c r="K2433" s="15" t="s">
        <v>798</v>
      </c>
      <c r="L2433" s="12" t="s">
        <v>5315</v>
      </c>
      <c r="M2433" s="13" t="s">
        <v>6037</v>
      </c>
      <c r="N2433" s="12" t="s">
        <v>803</v>
      </c>
      <c r="O2433" s="13" t="s">
        <v>4857</v>
      </c>
      <c r="P2433" s="17" t="s">
        <v>802</v>
      </c>
      <c r="Q2433" s="21" t="s">
        <v>7744</v>
      </c>
      <c r="R2433" s="17" t="s">
        <v>801</v>
      </c>
      <c r="S2433" s="18" t="s">
        <v>2619</v>
      </c>
      <c r="T2433" s="17" t="s">
        <v>800</v>
      </c>
      <c r="U2433" s="18" t="s">
        <v>5239</v>
      </c>
      <c r="V2433" s="17" t="s">
        <v>9418</v>
      </c>
      <c r="W2433" s="18" t="s">
        <v>5312</v>
      </c>
      <c r="X2433" s="69" t="s">
        <v>9453</v>
      </c>
      <c r="Y2433" s="70" t="s">
        <v>9465</v>
      </c>
      <c r="Z2433" s="73" t="s">
        <v>9486</v>
      </c>
      <c r="AA2433" s="74" t="s">
        <v>9504</v>
      </c>
      <c r="AB2433" s="73" t="s">
        <v>9486</v>
      </c>
      <c r="AC2433" s="74" t="s">
        <v>9566</v>
      </c>
      <c r="AD2433" s="73" t="s">
        <v>9578</v>
      </c>
      <c r="AE2433" s="74" t="s">
        <v>9579</v>
      </c>
    </row>
    <row r="2434" spans="1:31" ht="8.65" customHeight="1" x14ac:dyDescent="0.2">
      <c r="A2434" s="76">
        <v>2434</v>
      </c>
      <c r="B2434" s="67" t="str">
        <f>MID(C2434, FIND("Ifc.", C2434) + 4, 4) &amp; "_" &amp; TEXT(COUNTIF($C$2:C2434, C2434),"0000")</f>
        <v>Prop_2433</v>
      </c>
      <c r="C2434" s="24" t="s">
        <v>872</v>
      </c>
      <c r="D2434" s="69" t="s">
        <v>9453</v>
      </c>
      <c r="E2434" s="70" t="s">
        <v>9454</v>
      </c>
      <c r="F2434" s="17" t="s">
        <v>806</v>
      </c>
      <c r="G2434" s="22" t="s">
        <v>1115</v>
      </c>
      <c r="H2434" s="12" t="s">
        <v>9703</v>
      </c>
      <c r="I2434" s="13" t="s">
        <v>6856</v>
      </c>
      <c r="J2434" s="14" t="s">
        <v>798</v>
      </c>
      <c r="K2434" s="15" t="s">
        <v>798</v>
      </c>
      <c r="L2434" s="12" t="s">
        <v>5315</v>
      </c>
      <c r="M2434" s="13" t="s">
        <v>5892</v>
      </c>
      <c r="N2434" s="12" t="s">
        <v>803</v>
      </c>
      <c r="O2434" s="13" t="s">
        <v>4961</v>
      </c>
      <c r="P2434" s="17" t="s">
        <v>802</v>
      </c>
      <c r="Q2434" s="21" t="s">
        <v>7745</v>
      </c>
      <c r="R2434" s="17" t="s">
        <v>801</v>
      </c>
      <c r="S2434" s="18" t="s">
        <v>3636</v>
      </c>
      <c r="T2434" s="17" t="s">
        <v>800</v>
      </c>
      <c r="U2434" s="18" t="s">
        <v>5257</v>
      </c>
      <c r="V2434" s="17" t="s">
        <v>9418</v>
      </c>
      <c r="W2434" s="18" t="s">
        <v>5314</v>
      </c>
      <c r="X2434" s="69" t="s">
        <v>9453</v>
      </c>
      <c r="Y2434" s="70" t="s">
        <v>9464</v>
      </c>
      <c r="Z2434" s="73" t="s">
        <v>9486</v>
      </c>
      <c r="AA2434" s="74" t="s">
        <v>9504</v>
      </c>
      <c r="AB2434" s="73" t="s">
        <v>9486</v>
      </c>
      <c r="AC2434" s="74" t="s">
        <v>9561</v>
      </c>
      <c r="AD2434" s="73" t="s">
        <v>9578</v>
      </c>
      <c r="AE2434" s="74" t="s">
        <v>9579</v>
      </c>
    </row>
    <row r="2435" spans="1:31" ht="8.65" customHeight="1" x14ac:dyDescent="0.2">
      <c r="A2435" s="76">
        <v>2435</v>
      </c>
      <c r="B2435" s="67" t="str">
        <f>MID(C2435, FIND("Ifc.", C2435) + 4, 4) &amp; "_" &amp; TEXT(COUNTIF($C$2:C2435, C2435),"0000")</f>
        <v>Prop_2434</v>
      </c>
      <c r="C2435" s="24" t="s">
        <v>872</v>
      </c>
      <c r="D2435" s="69" t="s">
        <v>9453</v>
      </c>
      <c r="E2435" s="70" t="s">
        <v>9454</v>
      </c>
      <c r="F2435" s="17" t="s">
        <v>806</v>
      </c>
      <c r="G2435" s="22" t="s">
        <v>2194</v>
      </c>
      <c r="H2435" s="12" t="s">
        <v>9703</v>
      </c>
      <c r="I2435" s="13" t="s">
        <v>6671</v>
      </c>
      <c r="J2435" s="14" t="s">
        <v>798</v>
      </c>
      <c r="K2435" s="15" t="s">
        <v>798</v>
      </c>
      <c r="L2435" s="12" t="s">
        <v>5315</v>
      </c>
      <c r="M2435" s="13" t="s">
        <v>5504</v>
      </c>
      <c r="N2435" s="12" t="s">
        <v>803</v>
      </c>
      <c r="O2435" s="13" t="s">
        <v>5117</v>
      </c>
      <c r="P2435" s="17" t="s">
        <v>802</v>
      </c>
      <c r="Q2435" s="21" t="s">
        <v>7743</v>
      </c>
      <c r="R2435" s="17" t="s">
        <v>801</v>
      </c>
      <c r="S2435" s="18" t="s">
        <v>2560</v>
      </c>
      <c r="T2435" s="17" t="s">
        <v>800</v>
      </c>
      <c r="U2435" s="18" t="s">
        <v>5236</v>
      </c>
      <c r="V2435" s="17" t="s">
        <v>9418</v>
      </c>
      <c r="W2435" s="18" t="s">
        <v>5309</v>
      </c>
      <c r="X2435" s="69" t="s">
        <v>9453</v>
      </c>
      <c r="Y2435" s="70" t="s">
        <v>9462</v>
      </c>
      <c r="Z2435" s="73" t="s">
        <v>9486</v>
      </c>
      <c r="AA2435" s="74" t="s">
        <v>9504</v>
      </c>
      <c r="AB2435" s="73" t="s">
        <v>9486</v>
      </c>
      <c r="AC2435" s="74" t="s">
        <v>9562</v>
      </c>
      <c r="AD2435" s="73" t="s">
        <v>9578</v>
      </c>
      <c r="AE2435" s="74" t="s">
        <v>9579</v>
      </c>
    </row>
    <row r="2436" spans="1:31" ht="8.65" customHeight="1" x14ac:dyDescent="0.2">
      <c r="A2436" s="76">
        <v>2436</v>
      </c>
      <c r="B2436" s="67" t="str">
        <f>MID(C2436, FIND("Ifc.", C2436) + 4, 4) &amp; "_" &amp; TEXT(COUNTIF($C$2:C2436, C2436),"0000")</f>
        <v>Prop_2435</v>
      </c>
      <c r="C2436" s="24" t="s">
        <v>872</v>
      </c>
      <c r="D2436" s="69" t="s">
        <v>9453</v>
      </c>
      <c r="E2436" s="70" t="s">
        <v>9454</v>
      </c>
      <c r="F2436" s="17" t="s">
        <v>806</v>
      </c>
      <c r="G2436" s="22" t="s">
        <v>1745</v>
      </c>
      <c r="H2436" s="12" t="s">
        <v>9703</v>
      </c>
      <c r="I2436" s="13" t="s">
        <v>6466</v>
      </c>
      <c r="J2436" s="14" t="s">
        <v>798</v>
      </c>
      <c r="K2436" s="15" t="s">
        <v>798</v>
      </c>
      <c r="L2436" s="12" t="s">
        <v>5315</v>
      </c>
      <c r="M2436" s="13" t="s">
        <v>5852</v>
      </c>
      <c r="N2436" s="12" t="s">
        <v>803</v>
      </c>
      <c r="O2436" s="13" t="s">
        <v>5005</v>
      </c>
      <c r="P2436" s="17" t="s">
        <v>802</v>
      </c>
      <c r="Q2436" s="21" t="s">
        <v>7920</v>
      </c>
      <c r="R2436" s="17" t="s">
        <v>801</v>
      </c>
      <c r="S2436" s="18" t="s">
        <v>2638</v>
      </c>
      <c r="T2436" s="17" t="s">
        <v>800</v>
      </c>
      <c r="U2436" s="18" t="s">
        <v>5254</v>
      </c>
      <c r="V2436" s="17" t="s">
        <v>9418</v>
      </c>
      <c r="W2436" s="18" t="s">
        <v>5309</v>
      </c>
      <c r="X2436" s="69" t="s">
        <v>9453</v>
      </c>
      <c r="Y2436" s="70" t="s">
        <v>9462</v>
      </c>
      <c r="Z2436" s="73" t="s">
        <v>9486</v>
      </c>
      <c r="AA2436" s="74" t="s">
        <v>9504</v>
      </c>
      <c r="AB2436" s="73" t="s">
        <v>9486</v>
      </c>
      <c r="AC2436" s="74" t="s">
        <v>9566</v>
      </c>
      <c r="AD2436" s="73" t="s">
        <v>9578</v>
      </c>
      <c r="AE2436" s="74" t="s">
        <v>9579</v>
      </c>
    </row>
    <row r="2437" spans="1:31" ht="8.65" customHeight="1" x14ac:dyDescent="0.2">
      <c r="A2437" s="76">
        <v>2437</v>
      </c>
      <c r="B2437" s="67" t="str">
        <f>MID(C2437, FIND("Ifc.", C2437) + 4, 4) &amp; "_" &amp; TEXT(COUNTIF($C$2:C2437, C2437),"0000")</f>
        <v>Prop_2436</v>
      </c>
      <c r="C2437" s="24" t="s">
        <v>872</v>
      </c>
      <c r="D2437" s="69" t="s">
        <v>9453</v>
      </c>
      <c r="E2437" s="70" t="s">
        <v>9454</v>
      </c>
      <c r="F2437" s="17" t="s">
        <v>806</v>
      </c>
      <c r="G2437" s="22" t="s">
        <v>1661</v>
      </c>
      <c r="H2437" s="12" t="s">
        <v>9703</v>
      </c>
      <c r="I2437" s="13" t="s">
        <v>6426</v>
      </c>
      <c r="J2437" s="14" t="s">
        <v>798</v>
      </c>
      <c r="K2437" s="15" t="s">
        <v>798</v>
      </c>
      <c r="L2437" s="12" t="s">
        <v>5315</v>
      </c>
      <c r="M2437" s="13" t="s">
        <v>5925</v>
      </c>
      <c r="N2437" s="12" t="s">
        <v>803</v>
      </c>
      <c r="O2437" s="13" t="s">
        <v>4985</v>
      </c>
      <c r="P2437" s="17" t="s">
        <v>802</v>
      </c>
      <c r="Q2437" s="21" t="s">
        <v>7991</v>
      </c>
      <c r="R2437" s="17" t="s">
        <v>801</v>
      </c>
      <c r="S2437" s="18" t="s">
        <v>3636</v>
      </c>
      <c r="T2437" s="17" t="s">
        <v>800</v>
      </c>
      <c r="U2437" s="18" t="s">
        <v>5257</v>
      </c>
      <c r="V2437" s="17" t="s">
        <v>9418</v>
      </c>
      <c r="W2437" s="18" t="s">
        <v>5314</v>
      </c>
      <c r="X2437" s="69" t="s">
        <v>9453</v>
      </c>
      <c r="Y2437" s="70" t="s">
        <v>9464</v>
      </c>
      <c r="Z2437" s="73" t="s">
        <v>9486</v>
      </c>
      <c r="AA2437" s="74" t="s">
        <v>9504</v>
      </c>
      <c r="AB2437" s="73" t="s">
        <v>9486</v>
      </c>
      <c r="AC2437" s="74" t="s">
        <v>9561</v>
      </c>
      <c r="AD2437" s="73" t="s">
        <v>9578</v>
      </c>
      <c r="AE2437" s="74" t="s">
        <v>9579</v>
      </c>
    </row>
    <row r="2438" spans="1:31" ht="8.65" customHeight="1" x14ac:dyDescent="0.2">
      <c r="A2438" s="76">
        <v>2438</v>
      </c>
      <c r="B2438" s="67" t="str">
        <f>MID(C2438, FIND("Ifc.", C2438) + 4, 4) &amp; "_" &amp; TEXT(COUNTIF($C$2:C2438, C2438),"0000")</f>
        <v>Prop_2437</v>
      </c>
      <c r="C2438" s="24" t="s">
        <v>872</v>
      </c>
      <c r="D2438" s="69" t="s">
        <v>9453</v>
      </c>
      <c r="E2438" s="70" t="s">
        <v>9454</v>
      </c>
      <c r="F2438" s="17" t="s">
        <v>806</v>
      </c>
      <c r="G2438" s="22" t="s">
        <v>1232</v>
      </c>
      <c r="H2438" s="12" t="s">
        <v>9703</v>
      </c>
      <c r="I2438" s="13" t="s">
        <v>7574</v>
      </c>
      <c r="J2438" s="14" t="s">
        <v>798</v>
      </c>
      <c r="K2438" s="15" t="s">
        <v>798</v>
      </c>
      <c r="L2438" s="12" t="s">
        <v>5315</v>
      </c>
      <c r="M2438" s="13" t="s">
        <v>5400</v>
      </c>
      <c r="N2438" s="12" t="s">
        <v>803</v>
      </c>
      <c r="O2438" s="13" t="s">
        <v>4888</v>
      </c>
      <c r="P2438" s="17" t="s">
        <v>802</v>
      </c>
      <c r="Q2438" s="21" t="s">
        <v>7777</v>
      </c>
      <c r="R2438" s="17" t="s">
        <v>801</v>
      </c>
      <c r="S2438" s="18" t="s">
        <v>2575</v>
      </c>
      <c r="T2438" s="17" t="s">
        <v>800</v>
      </c>
      <c r="U2438" s="18" t="s">
        <v>5250</v>
      </c>
      <c r="V2438" s="17" t="s">
        <v>9418</v>
      </c>
      <c r="W2438" s="18" t="s">
        <v>5309</v>
      </c>
      <c r="X2438" s="69" t="s">
        <v>9453</v>
      </c>
      <c r="Y2438" s="70" t="s">
        <v>9462</v>
      </c>
      <c r="Z2438" s="73" t="s">
        <v>9486</v>
      </c>
      <c r="AA2438" s="74" t="s">
        <v>9504</v>
      </c>
      <c r="AB2438" s="73" t="s">
        <v>9486</v>
      </c>
      <c r="AC2438" s="74" t="s">
        <v>9566</v>
      </c>
      <c r="AD2438" s="73" t="s">
        <v>9578</v>
      </c>
      <c r="AE2438" s="74" t="s">
        <v>9579</v>
      </c>
    </row>
    <row r="2439" spans="1:31" ht="8.65" customHeight="1" x14ac:dyDescent="0.2">
      <c r="A2439" s="76">
        <v>2439</v>
      </c>
      <c r="B2439" s="67" t="str">
        <f>MID(C2439, FIND("Ifc.", C2439) + 4, 4) &amp; "_" &amp; TEXT(COUNTIF($C$2:C2439, C2439),"0000")</f>
        <v>Prop_2438</v>
      </c>
      <c r="C2439" s="24" t="s">
        <v>872</v>
      </c>
      <c r="D2439" s="69" t="s">
        <v>9453</v>
      </c>
      <c r="E2439" s="70" t="s">
        <v>9454</v>
      </c>
      <c r="F2439" s="17" t="s">
        <v>806</v>
      </c>
      <c r="G2439" s="22" t="s">
        <v>1237</v>
      </c>
      <c r="H2439" s="12" t="s">
        <v>9703</v>
      </c>
      <c r="I2439" s="13" t="s">
        <v>7575</v>
      </c>
      <c r="J2439" s="14" t="s">
        <v>798</v>
      </c>
      <c r="K2439" s="15" t="s">
        <v>798</v>
      </c>
      <c r="L2439" s="12" t="s">
        <v>5315</v>
      </c>
      <c r="M2439" s="13" t="s">
        <v>5400</v>
      </c>
      <c r="N2439" s="12" t="s">
        <v>803</v>
      </c>
      <c r="O2439" s="13" t="s">
        <v>4888</v>
      </c>
      <c r="P2439" s="17" t="s">
        <v>802</v>
      </c>
      <c r="Q2439" s="21" t="s">
        <v>7777</v>
      </c>
      <c r="R2439" s="17" t="s">
        <v>801</v>
      </c>
      <c r="S2439" s="18" t="s">
        <v>2640</v>
      </c>
      <c r="T2439" s="17" t="s">
        <v>800</v>
      </c>
      <c r="U2439" s="18" t="s">
        <v>5273</v>
      </c>
      <c r="V2439" s="17" t="s">
        <v>9418</v>
      </c>
      <c r="W2439" s="18" t="s">
        <v>5309</v>
      </c>
      <c r="X2439" s="69" t="s">
        <v>9453</v>
      </c>
      <c r="Y2439" s="70" t="s">
        <v>9462</v>
      </c>
      <c r="Z2439" s="73" t="s">
        <v>9486</v>
      </c>
      <c r="AA2439" s="74" t="s">
        <v>9504</v>
      </c>
      <c r="AB2439" s="73" t="s">
        <v>9486</v>
      </c>
      <c r="AC2439" s="74" t="s">
        <v>9566</v>
      </c>
      <c r="AD2439" s="73" t="s">
        <v>9578</v>
      </c>
      <c r="AE2439" s="74" t="s">
        <v>9579</v>
      </c>
    </row>
    <row r="2440" spans="1:31" ht="8.65" customHeight="1" x14ac:dyDescent="0.2">
      <c r="A2440" s="76">
        <v>2440</v>
      </c>
      <c r="B2440" s="67" t="str">
        <f>MID(C2440, FIND("Ifc.", C2440) + 4, 4) &amp; "_" &amp; TEXT(COUNTIF($C$2:C2440, C2440),"0000")</f>
        <v>Prop_2439</v>
      </c>
      <c r="C2440" s="24" t="s">
        <v>872</v>
      </c>
      <c r="D2440" s="69" t="s">
        <v>9453</v>
      </c>
      <c r="E2440" s="70" t="s">
        <v>9454</v>
      </c>
      <c r="F2440" s="17" t="s">
        <v>806</v>
      </c>
      <c r="G2440" s="22" t="s">
        <v>929</v>
      </c>
      <c r="H2440" s="12" t="s">
        <v>9703</v>
      </c>
      <c r="I2440" s="13" t="s">
        <v>7020</v>
      </c>
      <c r="J2440" s="14" t="s">
        <v>798</v>
      </c>
      <c r="K2440" s="15" t="s">
        <v>798</v>
      </c>
      <c r="L2440" s="12" t="s">
        <v>5315</v>
      </c>
      <c r="M2440" s="13" t="s">
        <v>5852</v>
      </c>
      <c r="N2440" s="12" t="s">
        <v>803</v>
      </c>
      <c r="O2440" s="13" t="s">
        <v>5005</v>
      </c>
      <c r="P2440" s="17" t="s">
        <v>802</v>
      </c>
      <c r="Q2440" s="21" t="s">
        <v>7920</v>
      </c>
      <c r="R2440" s="17" t="s">
        <v>801</v>
      </c>
      <c r="S2440" s="18" t="s">
        <v>2625</v>
      </c>
      <c r="T2440" s="17" t="s">
        <v>800</v>
      </c>
      <c r="U2440" s="18" t="s">
        <v>5240</v>
      </c>
      <c r="V2440" s="17" t="s">
        <v>9418</v>
      </c>
      <c r="W2440" s="18" t="s">
        <v>5309</v>
      </c>
      <c r="X2440" s="69" t="s">
        <v>9453</v>
      </c>
      <c r="Y2440" s="70" t="s">
        <v>9462</v>
      </c>
      <c r="Z2440" s="73" t="s">
        <v>9486</v>
      </c>
      <c r="AA2440" s="74" t="s">
        <v>9504</v>
      </c>
      <c r="AB2440" s="73" t="s">
        <v>9486</v>
      </c>
      <c r="AC2440" s="74" t="s">
        <v>9566</v>
      </c>
      <c r="AD2440" s="73" t="s">
        <v>9578</v>
      </c>
      <c r="AE2440" s="74" t="s">
        <v>9579</v>
      </c>
    </row>
    <row r="2441" spans="1:31" ht="8.65" customHeight="1" x14ac:dyDescent="0.2">
      <c r="A2441" s="76">
        <v>2441</v>
      </c>
      <c r="B2441" s="67" t="str">
        <f>MID(C2441, FIND("Ifc.", C2441) + 4, 4) &amp; "_" &amp; TEXT(COUNTIF($C$2:C2441, C2441),"0000")</f>
        <v>Prop_2440</v>
      </c>
      <c r="C2441" s="24" t="s">
        <v>872</v>
      </c>
      <c r="D2441" s="69" t="s">
        <v>9453</v>
      </c>
      <c r="E2441" s="70" t="s">
        <v>9454</v>
      </c>
      <c r="F2441" s="17" t="s">
        <v>806</v>
      </c>
      <c r="G2441" s="22" t="s">
        <v>2183</v>
      </c>
      <c r="H2441" s="12" t="s">
        <v>9703</v>
      </c>
      <c r="I2441" s="13" t="s">
        <v>7065</v>
      </c>
      <c r="J2441" s="14" t="s">
        <v>798</v>
      </c>
      <c r="K2441" s="15" t="s">
        <v>798</v>
      </c>
      <c r="L2441" s="12" t="s">
        <v>5315</v>
      </c>
      <c r="M2441" s="13" t="s">
        <v>5504</v>
      </c>
      <c r="N2441" s="12" t="s">
        <v>803</v>
      </c>
      <c r="O2441" s="13" t="s">
        <v>5117</v>
      </c>
      <c r="P2441" s="17" t="s">
        <v>802</v>
      </c>
      <c r="Q2441" s="21" t="s">
        <v>7743</v>
      </c>
      <c r="R2441" s="17" t="s">
        <v>801</v>
      </c>
      <c r="S2441" s="18" t="s">
        <v>2623</v>
      </c>
      <c r="T2441" s="17" t="s">
        <v>800</v>
      </c>
      <c r="U2441" s="18" t="s">
        <v>5247</v>
      </c>
      <c r="V2441" s="17" t="s">
        <v>9418</v>
      </c>
      <c r="W2441" s="18" t="s">
        <v>5309</v>
      </c>
      <c r="X2441" s="69" t="s">
        <v>9453</v>
      </c>
      <c r="Y2441" s="70" t="s">
        <v>9462</v>
      </c>
      <c r="Z2441" s="73" t="s">
        <v>9486</v>
      </c>
      <c r="AA2441" s="74" t="s">
        <v>9504</v>
      </c>
      <c r="AB2441" s="73" t="s">
        <v>9486</v>
      </c>
      <c r="AC2441" s="74" t="s">
        <v>9566</v>
      </c>
      <c r="AD2441" s="73" t="s">
        <v>9578</v>
      </c>
      <c r="AE2441" s="74" t="s">
        <v>9579</v>
      </c>
    </row>
    <row r="2442" spans="1:31" ht="8.65" customHeight="1" x14ac:dyDescent="0.2">
      <c r="A2442" s="76">
        <v>2442</v>
      </c>
      <c r="B2442" s="67" t="str">
        <f>MID(C2442, FIND("Ifc.", C2442) + 4, 4) &amp; "_" &amp; TEXT(COUNTIF($C$2:C2442, C2442),"0000")</f>
        <v>Prop_2441</v>
      </c>
      <c r="C2442" s="24" t="s">
        <v>872</v>
      </c>
      <c r="D2442" s="69" t="s">
        <v>9453</v>
      </c>
      <c r="E2442" s="70" t="s">
        <v>9454</v>
      </c>
      <c r="F2442" s="17" t="s">
        <v>806</v>
      </c>
      <c r="G2442" s="22" t="s">
        <v>2457</v>
      </c>
      <c r="H2442" s="12" t="s">
        <v>9703</v>
      </c>
      <c r="I2442" s="13" t="s">
        <v>6252</v>
      </c>
      <c r="J2442" s="14" t="s">
        <v>798</v>
      </c>
      <c r="K2442" s="15" t="s">
        <v>798</v>
      </c>
      <c r="L2442" s="12" t="s">
        <v>5315</v>
      </c>
      <c r="M2442" s="13" t="s">
        <v>6025</v>
      </c>
      <c r="N2442" s="12" t="s">
        <v>803</v>
      </c>
      <c r="O2442" s="13" t="s">
        <v>5211</v>
      </c>
      <c r="P2442" s="17" t="s">
        <v>802</v>
      </c>
      <c r="Q2442" s="21" t="s">
        <v>7938</v>
      </c>
      <c r="R2442" s="17" t="s">
        <v>801</v>
      </c>
      <c r="S2442" s="18" t="s">
        <v>2560</v>
      </c>
      <c r="T2442" s="17" t="s">
        <v>800</v>
      </c>
      <c r="U2442" s="18" t="s">
        <v>5236</v>
      </c>
      <c r="V2442" s="17" t="s">
        <v>9418</v>
      </c>
      <c r="W2442" s="18" t="s">
        <v>5309</v>
      </c>
      <c r="X2442" s="69" t="s">
        <v>9453</v>
      </c>
      <c r="Y2442" s="70" t="s">
        <v>9462</v>
      </c>
      <c r="Z2442" s="73" t="s">
        <v>9486</v>
      </c>
      <c r="AA2442" s="74" t="s">
        <v>9504</v>
      </c>
      <c r="AB2442" s="73" t="s">
        <v>9486</v>
      </c>
      <c r="AC2442" s="74" t="s">
        <v>9562</v>
      </c>
      <c r="AD2442" s="73" t="s">
        <v>9578</v>
      </c>
      <c r="AE2442" s="74" t="s">
        <v>9579</v>
      </c>
    </row>
    <row r="2443" spans="1:31" ht="8.65" customHeight="1" x14ac:dyDescent="0.2">
      <c r="A2443" s="76">
        <v>2443</v>
      </c>
      <c r="B2443" s="67" t="str">
        <f>MID(C2443, FIND("Ifc.", C2443) + 4, 4) &amp; "_" &amp; TEXT(COUNTIF($C$2:C2443, C2443),"0000")</f>
        <v>Prop_2442</v>
      </c>
      <c r="C2443" s="24" t="s">
        <v>872</v>
      </c>
      <c r="D2443" s="69" t="s">
        <v>9453</v>
      </c>
      <c r="E2443" s="70" t="s">
        <v>9454</v>
      </c>
      <c r="F2443" s="17" t="s">
        <v>806</v>
      </c>
      <c r="G2443" s="22" t="s">
        <v>1188</v>
      </c>
      <c r="H2443" s="12" t="s">
        <v>9703</v>
      </c>
      <c r="I2443" s="13" t="s">
        <v>6219</v>
      </c>
      <c r="J2443" s="14" t="s">
        <v>798</v>
      </c>
      <c r="K2443" s="15" t="s">
        <v>798</v>
      </c>
      <c r="L2443" s="12" t="s">
        <v>5315</v>
      </c>
      <c r="M2443" s="13" t="s">
        <v>6050</v>
      </c>
      <c r="N2443" s="12" t="s">
        <v>803</v>
      </c>
      <c r="O2443" s="13" t="s">
        <v>4879</v>
      </c>
      <c r="P2443" s="17" t="s">
        <v>802</v>
      </c>
      <c r="Q2443" s="21" t="s">
        <v>7740</v>
      </c>
      <c r="R2443" s="17" t="s">
        <v>801</v>
      </c>
      <c r="S2443" s="18" t="s">
        <v>2554</v>
      </c>
      <c r="T2443" s="17" t="s">
        <v>800</v>
      </c>
      <c r="U2443" s="18" t="s">
        <v>5233</v>
      </c>
      <c r="V2443" s="17" t="s">
        <v>9418</v>
      </c>
      <c r="W2443" s="18" t="s">
        <v>5309</v>
      </c>
      <c r="X2443" s="69" t="s">
        <v>9453</v>
      </c>
      <c r="Y2443" s="70" t="s">
        <v>9462</v>
      </c>
      <c r="Z2443" s="73" t="s">
        <v>9486</v>
      </c>
      <c r="AA2443" s="74" t="s">
        <v>9504</v>
      </c>
      <c r="AB2443" s="73" t="s">
        <v>9486</v>
      </c>
      <c r="AC2443" s="74" t="s">
        <v>9562</v>
      </c>
      <c r="AD2443" s="73" t="s">
        <v>9578</v>
      </c>
      <c r="AE2443" s="74" t="s">
        <v>9579</v>
      </c>
    </row>
    <row r="2444" spans="1:31" ht="8.65" customHeight="1" x14ac:dyDescent="0.2">
      <c r="A2444" s="76">
        <v>2444</v>
      </c>
      <c r="B2444" s="67" t="str">
        <f>MID(C2444, FIND("Ifc.", C2444) + 4, 4) &amp; "_" &amp; TEXT(COUNTIF($C$2:C2444, C2444),"0000")</f>
        <v>Prop_2443</v>
      </c>
      <c r="C2444" s="24" t="s">
        <v>872</v>
      </c>
      <c r="D2444" s="69" t="s">
        <v>9453</v>
      </c>
      <c r="E2444" s="70" t="s">
        <v>9454</v>
      </c>
      <c r="F2444" s="17" t="s">
        <v>806</v>
      </c>
      <c r="G2444" s="22" t="s">
        <v>1189</v>
      </c>
      <c r="H2444" s="12" t="s">
        <v>9703</v>
      </c>
      <c r="I2444" s="13" t="s">
        <v>6220</v>
      </c>
      <c r="J2444" s="14" t="s">
        <v>798</v>
      </c>
      <c r="K2444" s="15" t="s">
        <v>798</v>
      </c>
      <c r="L2444" s="12" t="s">
        <v>5315</v>
      </c>
      <c r="M2444" s="13" t="s">
        <v>6050</v>
      </c>
      <c r="N2444" s="12" t="s">
        <v>803</v>
      </c>
      <c r="O2444" s="13" t="s">
        <v>4879</v>
      </c>
      <c r="P2444" s="17" t="s">
        <v>802</v>
      </c>
      <c r="Q2444" s="21" t="s">
        <v>7740</v>
      </c>
      <c r="R2444" s="17" t="s">
        <v>801</v>
      </c>
      <c r="S2444" s="18" t="s">
        <v>2554</v>
      </c>
      <c r="T2444" s="17" t="s">
        <v>800</v>
      </c>
      <c r="U2444" s="18" t="s">
        <v>5233</v>
      </c>
      <c r="V2444" s="17" t="s">
        <v>9418</v>
      </c>
      <c r="W2444" s="18" t="s">
        <v>5309</v>
      </c>
      <c r="X2444" s="69" t="s">
        <v>9453</v>
      </c>
      <c r="Y2444" s="70" t="s">
        <v>9462</v>
      </c>
      <c r="Z2444" s="73" t="s">
        <v>9486</v>
      </c>
      <c r="AA2444" s="74" t="s">
        <v>9504</v>
      </c>
      <c r="AB2444" s="73" t="s">
        <v>9486</v>
      </c>
      <c r="AC2444" s="74" t="s">
        <v>9562</v>
      </c>
      <c r="AD2444" s="73" t="s">
        <v>9578</v>
      </c>
      <c r="AE2444" s="74" t="s">
        <v>9579</v>
      </c>
    </row>
    <row r="2445" spans="1:31" ht="8.65" customHeight="1" x14ac:dyDescent="0.2">
      <c r="A2445" s="76">
        <v>2445</v>
      </c>
      <c r="B2445" s="67" t="str">
        <f>MID(C2445, FIND("Ifc.", C2445) + 4, 4) &amp; "_" &amp; TEXT(COUNTIF($C$2:C2445, C2445),"0000")</f>
        <v>Prop_2444</v>
      </c>
      <c r="C2445" s="24" t="s">
        <v>872</v>
      </c>
      <c r="D2445" s="69" t="s">
        <v>9453</v>
      </c>
      <c r="E2445" s="70" t="s">
        <v>9454</v>
      </c>
      <c r="F2445" s="17" t="s">
        <v>806</v>
      </c>
      <c r="G2445" s="22" t="s">
        <v>1175</v>
      </c>
      <c r="H2445" s="12" t="s">
        <v>9703</v>
      </c>
      <c r="I2445" s="13" t="s">
        <v>6211</v>
      </c>
      <c r="J2445" s="14" t="s">
        <v>798</v>
      </c>
      <c r="K2445" s="15" t="s">
        <v>798</v>
      </c>
      <c r="L2445" s="12" t="s">
        <v>5315</v>
      </c>
      <c r="M2445" s="13" t="s">
        <v>5399</v>
      </c>
      <c r="N2445" s="12" t="s">
        <v>803</v>
      </c>
      <c r="O2445" s="13" t="s">
        <v>4874</v>
      </c>
      <c r="P2445" s="17" t="s">
        <v>802</v>
      </c>
      <c r="Q2445" s="21" t="s">
        <v>7875</v>
      </c>
      <c r="R2445" s="17" t="s">
        <v>801</v>
      </c>
      <c r="S2445" s="18" t="s">
        <v>2554</v>
      </c>
      <c r="T2445" s="17" t="s">
        <v>800</v>
      </c>
      <c r="U2445" s="18" t="s">
        <v>5233</v>
      </c>
      <c r="V2445" s="17" t="s">
        <v>9418</v>
      </c>
      <c r="W2445" s="18" t="s">
        <v>5309</v>
      </c>
      <c r="X2445" s="69" t="s">
        <v>9453</v>
      </c>
      <c r="Y2445" s="70" t="s">
        <v>9462</v>
      </c>
      <c r="Z2445" s="73" t="s">
        <v>9486</v>
      </c>
      <c r="AA2445" s="74" t="s">
        <v>9504</v>
      </c>
      <c r="AB2445" s="73" t="s">
        <v>9486</v>
      </c>
      <c r="AC2445" s="74" t="s">
        <v>9562</v>
      </c>
      <c r="AD2445" s="73" t="s">
        <v>9578</v>
      </c>
      <c r="AE2445" s="74" t="s">
        <v>9579</v>
      </c>
    </row>
    <row r="2446" spans="1:31" ht="8.65" customHeight="1" x14ac:dyDescent="0.2">
      <c r="A2446" s="76">
        <v>2446</v>
      </c>
      <c r="B2446" s="67" t="str">
        <f>MID(C2446, FIND("Ifc.", C2446) + 4, 4) &amp; "_" &amp; TEXT(COUNTIF($C$2:C2446, C2446),"0000")</f>
        <v>Prop_2445</v>
      </c>
      <c r="C2446" s="24" t="s">
        <v>872</v>
      </c>
      <c r="D2446" s="69" t="s">
        <v>9453</v>
      </c>
      <c r="E2446" s="70" t="s">
        <v>9454</v>
      </c>
      <c r="F2446" s="17" t="s">
        <v>806</v>
      </c>
      <c r="G2446" s="22" t="s">
        <v>1718</v>
      </c>
      <c r="H2446" s="12" t="s">
        <v>9703</v>
      </c>
      <c r="I2446" s="13" t="s">
        <v>6445</v>
      </c>
      <c r="J2446" s="14" t="s">
        <v>798</v>
      </c>
      <c r="K2446" s="15" t="s">
        <v>798</v>
      </c>
      <c r="L2446" s="12" t="s">
        <v>5315</v>
      </c>
      <c r="M2446" s="13" t="s">
        <v>5931</v>
      </c>
      <c r="N2446" s="12" t="s">
        <v>803</v>
      </c>
      <c r="O2446" s="13" t="s">
        <v>5004</v>
      </c>
      <c r="P2446" s="17" t="s">
        <v>802</v>
      </c>
      <c r="Q2446" s="21" t="s">
        <v>7689</v>
      </c>
      <c r="R2446" s="17" t="s">
        <v>801</v>
      </c>
      <c r="S2446" s="18" t="s">
        <v>2632</v>
      </c>
      <c r="T2446" s="17" t="s">
        <v>800</v>
      </c>
      <c r="U2446" s="18" t="s">
        <v>5270</v>
      </c>
      <c r="V2446" s="17" t="s">
        <v>9418</v>
      </c>
      <c r="W2446" s="18" t="s">
        <v>5309</v>
      </c>
      <c r="X2446" s="69" t="s">
        <v>9453</v>
      </c>
      <c r="Y2446" s="70" t="s">
        <v>9462</v>
      </c>
      <c r="Z2446" s="73" t="s">
        <v>9486</v>
      </c>
      <c r="AA2446" s="74" t="s">
        <v>9504</v>
      </c>
      <c r="AB2446" s="73" t="s">
        <v>9486</v>
      </c>
      <c r="AC2446" s="74" t="s">
        <v>9561</v>
      </c>
      <c r="AD2446" s="73" t="s">
        <v>9578</v>
      </c>
      <c r="AE2446" s="74" t="s">
        <v>9579</v>
      </c>
    </row>
    <row r="2447" spans="1:31" ht="8.65" customHeight="1" x14ac:dyDescent="0.2">
      <c r="A2447" s="76">
        <v>2447</v>
      </c>
      <c r="B2447" s="67" t="str">
        <f>MID(C2447, FIND("Ifc.", C2447) + 4, 4) &amp; "_" &amp; TEXT(COUNTIF($C$2:C2447, C2447),"0000")</f>
        <v>Prop_2446</v>
      </c>
      <c r="C2447" s="24" t="s">
        <v>872</v>
      </c>
      <c r="D2447" s="69" t="s">
        <v>9453</v>
      </c>
      <c r="E2447" s="70" t="s">
        <v>9454</v>
      </c>
      <c r="F2447" s="17" t="s">
        <v>806</v>
      </c>
      <c r="G2447" s="22" t="s">
        <v>958</v>
      </c>
      <c r="H2447" s="12" t="s">
        <v>9703</v>
      </c>
      <c r="I2447" s="13" t="s">
        <v>7227</v>
      </c>
      <c r="J2447" s="14" t="s">
        <v>798</v>
      </c>
      <c r="K2447" s="15" t="s">
        <v>798</v>
      </c>
      <c r="L2447" s="12" t="s">
        <v>5315</v>
      </c>
      <c r="M2447" s="13" t="s">
        <v>5987</v>
      </c>
      <c r="N2447" s="12" t="s">
        <v>803</v>
      </c>
      <c r="O2447" s="13" t="s">
        <v>4825</v>
      </c>
      <c r="P2447" s="17" t="s">
        <v>802</v>
      </c>
      <c r="Q2447" s="21" t="s">
        <v>7950</v>
      </c>
      <c r="R2447" s="17" t="s">
        <v>801</v>
      </c>
      <c r="S2447" s="18" t="s">
        <v>2565</v>
      </c>
      <c r="T2447" s="17" t="s">
        <v>800</v>
      </c>
      <c r="U2447" s="18" t="s">
        <v>5248</v>
      </c>
      <c r="V2447" s="17" t="s">
        <v>9418</v>
      </c>
      <c r="W2447" s="18" t="s">
        <v>5309</v>
      </c>
      <c r="X2447" s="69" t="s">
        <v>9453</v>
      </c>
      <c r="Y2447" s="70" t="s">
        <v>9462</v>
      </c>
      <c r="Z2447" s="73" t="s">
        <v>9486</v>
      </c>
      <c r="AA2447" s="74" t="s">
        <v>9504</v>
      </c>
      <c r="AB2447" s="73" t="s">
        <v>9486</v>
      </c>
      <c r="AC2447" s="74" t="s">
        <v>9562</v>
      </c>
      <c r="AD2447" s="73" t="s">
        <v>9578</v>
      </c>
      <c r="AE2447" s="74" t="s">
        <v>9579</v>
      </c>
    </row>
    <row r="2448" spans="1:31" ht="8.65" customHeight="1" x14ac:dyDescent="0.2">
      <c r="A2448" s="76">
        <v>2448</v>
      </c>
      <c r="B2448" s="67" t="str">
        <f>MID(C2448, FIND("Ifc.", C2448) + 4, 4) &amp; "_" &amp; TEXT(COUNTIF($C$2:C2448, C2448),"0000")</f>
        <v>Prop_2447</v>
      </c>
      <c r="C2448" s="24" t="s">
        <v>872</v>
      </c>
      <c r="D2448" s="69" t="s">
        <v>9453</v>
      </c>
      <c r="E2448" s="70" t="s">
        <v>9454</v>
      </c>
      <c r="F2448" s="17" t="s">
        <v>806</v>
      </c>
      <c r="G2448" s="22" t="s">
        <v>958</v>
      </c>
      <c r="H2448" s="12" t="s">
        <v>9703</v>
      </c>
      <c r="I2448" s="13" t="s">
        <v>7227</v>
      </c>
      <c r="J2448" s="14" t="s">
        <v>798</v>
      </c>
      <c r="K2448" s="15" t="s">
        <v>798</v>
      </c>
      <c r="L2448" s="12" t="s">
        <v>5315</v>
      </c>
      <c r="M2448" s="13" t="s">
        <v>5990</v>
      </c>
      <c r="N2448" s="12" t="s">
        <v>803</v>
      </c>
      <c r="O2448" s="13" t="s">
        <v>4827</v>
      </c>
      <c r="P2448" s="17" t="s">
        <v>802</v>
      </c>
      <c r="Q2448" s="21" t="s">
        <v>7704</v>
      </c>
      <c r="R2448" s="17" t="s">
        <v>801</v>
      </c>
      <c r="S2448" s="18" t="s">
        <v>2565</v>
      </c>
      <c r="T2448" s="17" t="s">
        <v>800</v>
      </c>
      <c r="U2448" s="18" t="s">
        <v>5248</v>
      </c>
      <c r="V2448" s="17" t="s">
        <v>9418</v>
      </c>
      <c r="W2448" s="18" t="s">
        <v>5309</v>
      </c>
      <c r="X2448" s="69" t="s">
        <v>9453</v>
      </c>
      <c r="Y2448" s="70" t="s">
        <v>9462</v>
      </c>
      <c r="Z2448" s="73" t="s">
        <v>9486</v>
      </c>
      <c r="AA2448" s="74" t="s">
        <v>9504</v>
      </c>
      <c r="AB2448" s="73" t="s">
        <v>9486</v>
      </c>
      <c r="AC2448" s="74" t="s">
        <v>9562</v>
      </c>
      <c r="AD2448" s="73" t="s">
        <v>9578</v>
      </c>
      <c r="AE2448" s="74" t="s">
        <v>9579</v>
      </c>
    </row>
    <row r="2449" spans="1:31" ht="8.65" customHeight="1" x14ac:dyDescent="0.2">
      <c r="A2449" s="76">
        <v>2449</v>
      </c>
      <c r="B2449" s="67" t="str">
        <f>MID(C2449, FIND("Ifc.", C2449) + 4, 4) &amp; "_" &amp; TEXT(COUNTIF($C$2:C2449, C2449),"0000")</f>
        <v>Prop_2448</v>
      </c>
      <c r="C2449" s="24" t="s">
        <v>872</v>
      </c>
      <c r="D2449" s="69" t="s">
        <v>9453</v>
      </c>
      <c r="E2449" s="70" t="s">
        <v>9454</v>
      </c>
      <c r="F2449" s="17" t="s">
        <v>806</v>
      </c>
      <c r="G2449" s="22" t="s">
        <v>958</v>
      </c>
      <c r="H2449" s="12" t="s">
        <v>9703</v>
      </c>
      <c r="I2449" s="13" t="s">
        <v>7227</v>
      </c>
      <c r="J2449" s="14" t="s">
        <v>798</v>
      </c>
      <c r="K2449" s="15" t="s">
        <v>798</v>
      </c>
      <c r="L2449" s="12" t="s">
        <v>5315</v>
      </c>
      <c r="M2449" s="13" t="s">
        <v>5983</v>
      </c>
      <c r="N2449" s="12" t="s">
        <v>803</v>
      </c>
      <c r="O2449" s="13" t="s">
        <v>4821</v>
      </c>
      <c r="P2449" s="17" t="s">
        <v>802</v>
      </c>
      <c r="Q2449" s="21" t="s">
        <v>8087</v>
      </c>
      <c r="R2449" s="17" t="s">
        <v>801</v>
      </c>
      <c r="S2449" s="18" t="s">
        <v>2565</v>
      </c>
      <c r="T2449" s="17" t="s">
        <v>800</v>
      </c>
      <c r="U2449" s="18" t="s">
        <v>5248</v>
      </c>
      <c r="V2449" s="17" t="s">
        <v>9418</v>
      </c>
      <c r="W2449" s="18" t="s">
        <v>5309</v>
      </c>
      <c r="X2449" s="69" t="s">
        <v>9453</v>
      </c>
      <c r="Y2449" s="70" t="s">
        <v>9462</v>
      </c>
      <c r="Z2449" s="73" t="s">
        <v>9486</v>
      </c>
      <c r="AA2449" s="74" t="s">
        <v>9504</v>
      </c>
      <c r="AB2449" s="73" t="s">
        <v>9486</v>
      </c>
      <c r="AC2449" s="74" t="s">
        <v>9562</v>
      </c>
      <c r="AD2449" s="73" t="s">
        <v>9578</v>
      </c>
      <c r="AE2449" s="74" t="s">
        <v>9579</v>
      </c>
    </row>
    <row r="2450" spans="1:31" ht="8.65" customHeight="1" x14ac:dyDescent="0.2">
      <c r="A2450" s="76">
        <v>2450</v>
      </c>
      <c r="B2450" s="67" t="str">
        <f>MID(C2450, FIND("Ifc.", C2450) + 4, 4) &amp; "_" &amp; TEXT(COUNTIF($C$2:C2450, C2450),"0000")</f>
        <v>Prop_2449</v>
      </c>
      <c r="C2450" s="24" t="s">
        <v>872</v>
      </c>
      <c r="D2450" s="69" t="s">
        <v>9453</v>
      </c>
      <c r="E2450" s="70" t="s">
        <v>9454</v>
      </c>
      <c r="F2450" s="17" t="s">
        <v>806</v>
      </c>
      <c r="G2450" s="22" t="s">
        <v>959</v>
      </c>
      <c r="H2450" s="12" t="s">
        <v>9703</v>
      </c>
      <c r="I2450" s="13" t="s">
        <v>7228</v>
      </c>
      <c r="J2450" s="14" t="s">
        <v>798</v>
      </c>
      <c r="K2450" s="15" t="s">
        <v>798</v>
      </c>
      <c r="L2450" s="12" t="s">
        <v>5315</v>
      </c>
      <c r="M2450" s="13" t="s">
        <v>5987</v>
      </c>
      <c r="N2450" s="12" t="s">
        <v>803</v>
      </c>
      <c r="O2450" s="13" t="s">
        <v>4825</v>
      </c>
      <c r="P2450" s="17" t="s">
        <v>802</v>
      </c>
      <c r="Q2450" s="21" t="s">
        <v>7950</v>
      </c>
      <c r="R2450" s="17" t="s">
        <v>801</v>
      </c>
      <c r="S2450" s="18" t="s">
        <v>2565</v>
      </c>
      <c r="T2450" s="17" t="s">
        <v>800</v>
      </c>
      <c r="U2450" s="18" t="s">
        <v>5248</v>
      </c>
      <c r="V2450" s="17" t="s">
        <v>9418</v>
      </c>
      <c r="W2450" s="18" t="s">
        <v>5309</v>
      </c>
      <c r="X2450" s="69" t="s">
        <v>9453</v>
      </c>
      <c r="Y2450" s="70" t="s">
        <v>9462</v>
      </c>
      <c r="Z2450" s="73" t="s">
        <v>9486</v>
      </c>
      <c r="AA2450" s="74" t="s">
        <v>9504</v>
      </c>
      <c r="AB2450" s="73" t="s">
        <v>9486</v>
      </c>
      <c r="AC2450" s="74" t="s">
        <v>9562</v>
      </c>
      <c r="AD2450" s="73" t="s">
        <v>9578</v>
      </c>
      <c r="AE2450" s="74" t="s">
        <v>9579</v>
      </c>
    </row>
    <row r="2451" spans="1:31" ht="8.65" customHeight="1" x14ac:dyDescent="0.2">
      <c r="A2451" s="76">
        <v>2451</v>
      </c>
      <c r="B2451" s="67" t="str">
        <f>MID(C2451, FIND("Ifc.", C2451) + 4, 4) &amp; "_" &amp; TEXT(COUNTIF($C$2:C2451, C2451),"0000")</f>
        <v>Prop_2450</v>
      </c>
      <c r="C2451" s="24" t="s">
        <v>872</v>
      </c>
      <c r="D2451" s="69" t="s">
        <v>9453</v>
      </c>
      <c r="E2451" s="70" t="s">
        <v>9454</v>
      </c>
      <c r="F2451" s="17" t="s">
        <v>806</v>
      </c>
      <c r="G2451" s="22" t="s">
        <v>959</v>
      </c>
      <c r="H2451" s="12" t="s">
        <v>9703</v>
      </c>
      <c r="I2451" s="13" t="s">
        <v>7228</v>
      </c>
      <c r="J2451" s="14" t="s">
        <v>798</v>
      </c>
      <c r="K2451" s="15" t="s">
        <v>798</v>
      </c>
      <c r="L2451" s="12" t="s">
        <v>5315</v>
      </c>
      <c r="M2451" s="13" t="s">
        <v>5990</v>
      </c>
      <c r="N2451" s="12" t="s">
        <v>803</v>
      </c>
      <c r="O2451" s="13" t="s">
        <v>4827</v>
      </c>
      <c r="P2451" s="17" t="s">
        <v>802</v>
      </c>
      <c r="Q2451" s="21" t="s">
        <v>7704</v>
      </c>
      <c r="R2451" s="17" t="s">
        <v>801</v>
      </c>
      <c r="S2451" s="18" t="s">
        <v>2565</v>
      </c>
      <c r="T2451" s="17" t="s">
        <v>800</v>
      </c>
      <c r="U2451" s="18" t="s">
        <v>5248</v>
      </c>
      <c r="V2451" s="17" t="s">
        <v>9418</v>
      </c>
      <c r="W2451" s="18" t="s">
        <v>5309</v>
      </c>
      <c r="X2451" s="69" t="s">
        <v>9453</v>
      </c>
      <c r="Y2451" s="70" t="s">
        <v>9462</v>
      </c>
      <c r="Z2451" s="73" t="s">
        <v>9486</v>
      </c>
      <c r="AA2451" s="74" t="s">
        <v>9504</v>
      </c>
      <c r="AB2451" s="73" t="s">
        <v>9486</v>
      </c>
      <c r="AC2451" s="74" t="s">
        <v>9562</v>
      </c>
      <c r="AD2451" s="73" t="s">
        <v>9578</v>
      </c>
      <c r="AE2451" s="74" t="s">
        <v>9579</v>
      </c>
    </row>
    <row r="2452" spans="1:31" ht="8.65" customHeight="1" x14ac:dyDescent="0.2">
      <c r="A2452" s="76">
        <v>2452</v>
      </c>
      <c r="B2452" s="67" t="str">
        <f>MID(C2452, FIND("Ifc.", C2452) + 4, 4) &amp; "_" &amp; TEXT(COUNTIF($C$2:C2452, C2452),"0000")</f>
        <v>Prop_2451</v>
      </c>
      <c r="C2452" s="24" t="s">
        <v>872</v>
      </c>
      <c r="D2452" s="69" t="s">
        <v>9453</v>
      </c>
      <c r="E2452" s="70" t="s">
        <v>9454</v>
      </c>
      <c r="F2452" s="17" t="s">
        <v>806</v>
      </c>
      <c r="G2452" s="22" t="s">
        <v>959</v>
      </c>
      <c r="H2452" s="12" t="s">
        <v>9703</v>
      </c>
      <c r="I2452" s="13" t="s">
        <v>7228</v>
      </c>
      <c r="J2452" s="14" t="s">
        <v>798</v>
      </c>
      <c r="K2452" s="15" t="s">
        <v>798</v>
      </c>
      <c r="L2452" s="12" t="s">
        <v>5315</v>
      </c>
      <c r="M2452" s="13" t="s">
        <v>5983</v>
      </c>
      <c r="N2452" s="12" t="s">
        <v>803</v>
      </c>
      <c r="O2452" s="13" t="s">
        <v>4821</v>
      </c>
      <c r="P2452" s="17" t="s">
        <v>802</v>
      </c>
      <c r="Q2452" s="21" t="s">
        <v>8087</v>
      </c>
      <c r="R2452" s="17" t="s">
        <v>801</v>
      </c>
      <c r="S2452" s="18" t="s">
        <v>2565</v>
      </c>
      <c r="T2452" s="17" t="s">
        <v>800</v>
      </c>
      <c r="U2452" s="18" t="s">
        <v>5248</v>
      </c>
      <c r="V2452" s="17" t="s">
        <v>9418</v>
      </c>
      <c r="W2452" s="18" t="s">
        <v>5309</v>
      </c>
      <c r="X2452" s="69" t="s">
        <v>9453</v>
      </c>
      <c r="Y2452" s="70" t="s">
        <v>9462</v>
      </c>
      <c r="Z2452" s="73" t="s">
        <v>9486</v>
      </c>
      <c r="AA2452" s="74" t="s">
        <v>9504</v>
      </c>
      <c r="AB2452" s="73" t="s">
        <v>9486</v>
      </c>
      <c r="AC2452" s="74" t="s">
        <v>9562</v>
      </c>
      <c r="AD2452" s="73" t="s">
        <v>9578</v>
      </c>
      <c r="AE2452" s="74" t="s">
        <v>9579</v>
      </c>
    </row>
    <row r="2453" spans="1:31" ht="8.65" customHeight="1" x14ac:dyDescent="0.2">
      <c r="A2453" s="76">
        <v>2453</v>
      </c>
      <c r="B2453" s="67" t="str">
        <f>MID(C2453, FIND("Ifc.", C2453) + 4, 4) &amp; "_" &amp; TEXT(COUNTIF($C$2:C2453, C2453),"0000")</f>
        <v>Prop_2452</v>
      </c>
      <c r="C2453" s="24" t="s">
        <v>872</v>
      </c>
      <c r="D2453" s="69" t="s">
        <v>9453</v>
      </c>
      <c r="E2453" s="70" t="s">
        <v>9454</v>
      </c>
      <c r="F2453" s="17" t="s">
        <v>806</v>
      </c>
      <c r="G2453" s="22" t="s">
        <v>955</v>
      </c>
      <c r="H2453" s="12" t="s">
        <v>9703</v>
      </c>
      <c r="I2453" s="13" t="s">
        <v>7363</v>
      </c>
      <c r="J2453" s="14" t="s">
        <v>798</v>
      </c>
      <c r="K2453" s="15" t="s">
        <v>798</v>
      </c>
      <c r="L2453" s="12" t="s">
        <v>5315</v>
      </c>
      <c r="M2453" s="13" t="s">
        <v>5990</v>
      </c>
      <c r="N2453" s="12" t="s">
        <v>803</v>
      </c>
      <c r="O2453" s="13" t="s">
        <v>4827</v>
      </c>
      <c r="P2453" s="17" t="s">
        <v>802</v>
      </c>
      <c r="Q2453" s="21" t="s">
        <v>7704</v>
      </c>
      <c r="R2453" s="17" t="s">
        <v>801</v>
      </c>
      <c r="S2453" s="18" t="s">
        <v>2559</v>
      </c>
      <c r="T2453" s="17" t="s">
        <v>800</v>
      </c>
      <c r="U2453" s="18" t="s">
        <v>5234</v>
      </c>
      <c r="V2453" s="17" t="s">
        <v>9418</v>
      </c>
      <c r="W2453" s="18" t="s">
        <v>5311</v>
      </c>
      <c r="X2453" s="69" t="s">
        <v>9453</v>
      </c>
      <c r="Y2453" s="70" t="s">
        <v>9466</v>
      </c>
      <c r="Z2453" s="73" t="s">
        <v>9486</v>
      </c>
      <c r="AA2453" s="74" t="s">
        <v>9504</v>
      </c>
      <c r="AB2453" s="73" t="s">
        <v>9486</v>
      </c>
      <c r="AC2453" s="74" t="s">
        <v>9562</v>
      </c>
      <c r="AD2453" s="73" t="s">
        <v>9578</v>
      </c>
      <c r="AE2453" s="74" t="s">
        <v>9579</v>
      </c>
    </row>
    <row r="2454" spans="1:31" ht="8.65" customHeight="1" x14ac:dyDescent="0.2">
      <c r="A2454" s="76">
        <v>2454</v>
      </c>
      <c r="B2454" s="67" t="str">
        <f>MID(C2454, FIND("Ifc.", C2454) + 4, 4) &amp; "_" &amp; TEXT(COUNTIF($C$2:C2454, C2454),"0000")</f>
        <v>Prop_2453</v>
      </c>
      <c r="C2454" s="24" t="s">
        <v>872</v>
      </c>
      <c r="D2454" s="69" t="s">
        <v>9453</v>
      </c>
      <c r="E2454" s="70" t="s">
        <v>9454</v>
      </c>
      <c r="F2454" s="17" t="s">
        <v>806</v>
      </c>
      <c r="G2454" s="22" t="s">
        <v>955</v>
      </c>
      <c r="H2454" s="12" t="s">
        <v>9703</v>
      </c>
      <c r="I2454" s="13" t="s">
        <v>7363</v>
      </c>
      <c r="J2454" s="14" t="s">
        <v>798</v>
      </c>
      <c r="K2454" s="15" t="s">
        <v>798</v>
      </c>
      <c r="L2454" s="12" t="s">
        <v>5315</v>
      </c>
      <c r="M2454" s="13" t="s">
        <v>5983</v>
      </c>
      <c r="N2454" s="12" t="s">
        <v>803</v>
      </c>
      <c r="O2454" s="13" t="s">
        <v>4821</v>
      </c>
      <c r="P2454" s="17" t="s">
        <v>802</v>
      </c>
      <c r="Q2454" s="21" t="s">
        <v>8087</v>
      </c>
      <c r="R2454" s="17" t="s">
        <v>801</v>
      </c>
      <c r="S2454" s="18" t="s">
        <v>2559</v>
      </c>
      <c r="T2454" s="17" t="s">
        <v>800</v>
      </c>
      <c r="U2454" s="18" t="s">
        <v>5234</v>
      </c>
      <c r="V2454" s="17" t="s">
        <v>9418</v>
      </c>
      <c r="W2454" s="18" t="s">
        <v>5311</v>
      </c>
      <c r="X2454" s="69" t="s">
        <v>9453</v>
      </c>
      <c r="Y2454" s="70" t="s">
        <v>9466</v>
      </c>
      <c r="Z2454" s="73" t="s">
        <v>9486</v>
      </c>
      <c r="AA2454" s="74" t="s">
        <v>9504</v>
      </c>
      <c r="AB2454" s="73" t="s">
        <v>9486</v>
      </c>
      <c r="AC2454" s="74" t="s">
        <v>9562</v>
      </c>
      <c r="AD2454" s="73" t="s">
        <v>9578</v>
      </c>
      <c r="AE2454" s="74" t="s">
        <v>9579</v>
      </c>
    </row>
    <row r="2455" spans="1:31" ht="8.65" customHeight="1" x14ac:dyDescent="0.2">
      <c r="A2455" s="76">
        <v>2455</v>
      </c>
      <c r="B2455" s="67" t="str">
        <f>MID(C2455, FIND("Ifc.", C2455) + 4, 4) &amp; "_" &amp; TEXT(COUNTIF($C$2:C2455, C2455),"0000")</f>
        <v>Prop_2454</v>
      </c>
      <c r="C2455" s="24" t="s">
        <v>872</v>
      </c>
      <c r="D2455" s="69" t="s">
        <v>9453</v>
      </c>
      <c r="E2455" s="70" t="s">
        <v>9454</v>
      </c>
      <c r="F2455" s="17" t="s">
        <v>806</v>
      </c>
      <c r="G2455" s="22" t="s">
        <v>956</v>
      </c>
      <c r="H2455" s="12" t="s">
        <v>9703</v>
      </c>
      <c r="I2455" s="13" t="s">
        <v>7361</v>
      </c>
      <c r="J2455" s="14" t="s">
        <v>798</v>
      </c>
      <c r="K2455" s="15" t="s">
        <v>798</v>
      </c>
      <c r="L2455" s="12" t="s">
        <v>5315</v>
      </c>
      <c r="M2455" s="13" t="s">
        <v>5987</v>
      </c>
      <c r="N2455" s="12" t="s">
        <v>803</v>
      </c>
      <c r="O2455" s="13" t="s">
        <v>4825</v>
      </c>
      <c r="P2455" s="17" t="s">
        <v>802</v>
      </c>
      <c r="Q2455" s="21" t="s">
        <v>7950</v>
      </c>
      <c r="R2455" s="17" t="s">
        <v>801</v>
      </c>
      <c r="S2455" s="18" t="s">
        <v>2559</v>
      </c>
      <c r="T2455" s="17" t="s">
        <v>800</v>
      </c>
      <c r="U2455" s="18" t="s">
        <v>5234</v>
      </c>
      <c r="V2455" s="17" t="s">
        <v>9418</v>
      </c>
      <c r="W2455" s="18" t="s">
        <v>5311</v>
      </c>
      <c r="X2455" s="69" t="s">
        <v>9453</v>
      </c>
      <c r="Y2455" s="70" t="s">
        <v>9466</v>
      </c>
      <c r="Z2455" s="73" t="s">
        <v>9486</v>
      </c>
      <c r="AA2455" s="74" t="s">
        <v>9504</v>
      </c>
      <c r="AB2455" s="73" t="s">
        <v>9486</v>
      </c>
      <c r="AC2455" s="74" t="s">
        <v>9562</v>
      </c>
      <c r="AD2455" s="73" t="s">
        <v>9578</v>
      </c>
      <c r="AE2455" s="74" t="s">
        <v>9579</v>
      </c>
    </row>
    <row r="2456" spans="1:31" ht="8.65" customHeight="1" x14ac:dyDescent="0.2">
      <c r="A2456" s="76">
        <v>2456</v>
      </c>
      <c r="B2456" s="67" t="str">
        <f>MID(C2456, FIND("Ifc.", C2456) + 4, 4) &amp; "_" &amp; TEXT(COUNTIF($C$2:C2456, C2456),"0000")</f>
        <v>Prop_2455</v>
      </c>
      <c r="C2456" s="24" t="s">
        <v>872</v>
      </c>
      <c r="D2456" s="69" t="s">
        <v>9453</v>
      </c>
      <c r="E2456" s="70" t="s">
        <v>9454</v>
      </c>
      <c r="F2456" s="17" t="s">
        <v>806</v>
      </c>
      <c r="G2456" s="22" t="s">
        <v>956</v>
      </c>
      <c r="H2456" s="12" t="s">
        <v>9703</v>
      </c>
      <c r="I2456" s="13" t="s">
        <v>7361</v>
      </c>
      <c r="J2456" s="14" t="s">
        <v>798</v>
      </c>
      <c r="K2456" s="15" t="s">
        <v>798</v>
      </c>
      <c r="L2456" s="12" t="s">
        <v>5315</v>
      </c>
      <c r="M2456" s="13" t="s">
        <v>5990</v>
      </c>
      <c r="N2456" s="12" t="s">
        <v>803</v>
      </c>
      <c r="O2456" s="13" t="s">
        <v>4827</v>
      </c>
      <c r="P2456" s="17" t="s">
        <v>802</v>
      </c>
      <c r="Q2456" s="21" t="s">
        <v>7704</v>
      </c>
      <c r="R2456" s="17" t="s">
        <v>801</v>
      </c>
      <c r="S2456" s="18" t="s">
        <v>2559</v>
      </c>
      <c r="T2456" s="17" t="s">
        <v>800</v>
      </c>
      <c r="U2456" s="18" t="s">
        <v>5234</v>
      </c>
      <c r="V2456" s="17" t="s">
        <v>9418</v>
      </c>
      <c r="W2456" s="18" t="s">
        <v>5311</v>
      </c>
      <c r="X2456" s="69" t="s">
        <v>9453</v>
      </c>
      <c r="Y2456" s="70" t="s">
        <v>9466</v>
      </c>
      <c r="Z2456" s="73" t="s">
        <v>9486</v>
      </c>
      <c r="AA2456" s="74" t="s">
        <v>9504</v>
      </c>
      <c r="AB2456" s="73" t="s">
        <v>9486</v>
      </c>
      <c r="AC2456" s="74" t="s">
        <v>9562</v>
      </c>
      <c r="AD2456" s="73" t="s">
        <v>9578</v>
      </c>
      <c r="AE2456" s="74" t="s">
        <v>9579</v>
      </c>
    </row>
    <row r="2457" spans="1:31" ht="8.65" customHeight="1" x14ac:dyDescent="0.2">
      <c r="A2457" s="76">
        <v>2457</v>
      </c>
      <c r="B2457" s="67" t="str">
        <f>MID(C2457, FIND("Ifc.", C2457) + 4, 4) &amp; "_" &amp; TEXT(COUNTIF($C$2:C2457, C2457),"0000")</f>
        <v>Prop_2456</v>
      </c>
      <c r="C2457" s="24" t="s">
        <v>872</v>
      </c>
      <c r="D2457" s="69" t="s">
        <v>9453</v>
      </c>
      <c r="E2457" s="70" t="s">
        <v>9454</v>
      </c>
      <c r="F2457" s="17" t="s">
        <v>806</v>
      </c>
      <c r="G2457" s="22" t="s">
        <v>956</v>
      </c>
      <c r="H2457" s="12" t="s">
        <v>9703</v>
      </c>
      <c r="I2457" s="13" t="s">
        <v>7361</v>
      </c>
      <c r="J2457" s="14" t="s">
        <v>798</v>
      </c>
      <c r="K2457" s="15" t="s">
        <v>798</v>
      </c>
      <c r="L2457" s="12" t="s">
        <v>5315</v>
      </c>
      <c r="M2457" s="13" t="s">
        <v>5983</v>
      </c>
      <c r="N2457" s="12" t="s">
        <v>803</v>
      </c>
      <c r="O2457" s="13" t="s">
        <v>4821</v>
      </c>
      <c r="P2457" s="17" t="s">
        <v>802</v>
      </c>
      <c r="Q2457" s="21" t="s">
        <v>8087</v>
      </c>
      <c r="R2457" s="17" t="s">
        <v>801</v>
      </c>
      <c r="S2457" s="18" t="s">
        <v>2559</v>
      </c>
      <c r="T2457" s="17" t="s">
        <v>800</v>
      </c>
      <c r="U2457" s="18" t="s">
        <v>5234</v>
      </c>
      <c r="V2457" s="17" t="s">
        <v>9418</v>
      </c>
      <c r="W2457" s="18" t="s">
        <v>5311</v>
      </c>
      <c r="X2457" s="69" t="s">
        <v>9453</v>
      </c>
      <c r="Y2457" s="70" t="s">
        <v>9466</v>
      </c>
      <c r="Z2457" s="73" t="s">
        <v>9486</v>
      </c>
      <c r="AA2457" s="74" t="s">
        <v>9504</v>
      </c>
      <c r="AB2457" s="73" t="s">
        <v>9486</v>
      </c>
      <c r="AC2457" s="74" t="s">
        <v>9562</v>
      </c>
      <c r="AD2457" s="73" t="s">
        <v>9578</v>
      </c>
      <c r="AE2457" s="74" t="s">
        <v>9579</v>
      </c>
    </row>
    <row r="2458" spans="1:31" ht="8.65" customHeight="1" x14ac:dyDescent="0.2">
      <c r="A2458" s="76">
        <v>2458</v>
      </c>
      <c r="B2458" s="67" t="str">
        <f>MID(C2458, FIND("Ifc.", C2458) + 4, 4) &amp; "_" &amp; TEXT(COUNTIF($C$2:C2458, C2458),"0000")</f>
        <v>Prop_2457</v>
      </c>
      <c r="C2458" s="24" t="s">
        <v>872</v>
      </c>
      <c r="D2458" s="69" t="s">
        <v>9453</v>
      </c>
      <c r="E2458" s="70" t="s">
        <v>9454</v>
      </c>
      <c r="F2458" s="17" t="s">
        <v>806</v>
      </c>
      <c r="G2458" s="22" t="s">
        <v>957</v>
      </c>
      <c r="H2458" s="12" t="s">
        <v>9703</v>
      </c>
      <c r="I2458" s="13" t="s">
        <v>7362</v>
      </c>
      <c r="J2458" s="14" t="s">
        <v>798</v>
      </c>
      <c r="K2458" s="15" t="s">
        <v>798</v>
      </c>
      <c r="L2458" s="12" t="s">
        <v>5315</v>
      </c>
      <c r="M2458" s="13" t="s">
        <v>5990</v>
      </c>
      <c r="N2458" s="12" t="s">
        <v>803</v>
      </c>
      <c r="O2458" s="13" t="s">
        <v>4827</v>
      </c>
      <c r="P2458" s="17" t="s">
        <v>802</v>
      </c>
      <c r="Q2458" s="21" t="s">
        <v>7704</v>
      </c>
      <c r="R2458" s="17" t="s">
        <v>801</v>
      </c>
      <c r="S2458" s="18" t="s">
        <v>2559</v>
      </c>
      <c r="T2458" s="17" t="s">
        <v>800</v>
      </c>
      <c r="U2458" s="18" t="s">
        <v>5234</v>
      </c>
      <c r="V2458" s="17" t="s">
        <v>9418</v>
      </c>
      <c r="W2458" s="18" t="s">
        <v>5311</v>
      </c>
      <c r="X2458" s="69" t="s">
        <v>9453</v>
      </c>
      <c r="Y2458" s="70" t="s">
        <v>9466</v>
      </c>
      <c r="Z2458" s="73" t="s">
        <v>9486</v>
      </c>
      <c r="AA2458" s="74" t="s">
        <v>9504</v>
      </c>
      <c r="AB2458" s="73" t="s">
        <v>9486</v>
      </c>
      <c r="AC2458" s="74" t="s">
        <v>9562</v>
      </c>
      <c r="AD2458" s="73" t="s">
        <v>9578</v>
      </c>
      <c r="AE2458" s="74" t="s">
        <v>9579</v>
      </c>
    </row>
    <row r="2459" spans="1:31" ht="8.65" customHeight="1" x14ac:dyDescent="0.2">
      <c r="A2459" s="76">
        <v>2459</v>
      </c>
      <c r="B2459" s="67" t="str">
        <f>MID(C2459, FIND("Ifc.", C2459) + 4, 4) &amp; "_" &amp; TEXT(COUNTIF($C$2:C2459, C2459),"0000")</f>
        <v>Prop_2458</v>
      </c>
      <c r="C2459" s="24" t="s">
        <v>872</v>
      </c>
      <c r="D2459" s="69" t="s">
        <v>9453</v>
      </c>
      <c r="E2459" s="70" t="s">
        <v>9454</v>
      </c>
      <c r="F2459" s="17" t="s">
        <v>806</v>
      </c>
      <c r="G2459" s="22" t="s">
        <v>957</v>
      </c>
      <c r="H2459" s="12" t="s">
        <v>9703</v>
      </c>
      <c r="I2459" s="13" t="s">
        <v>7362</v>
      </c>
      <c r="J2459" s="14" t="s">
        <v>798</v>
      </c>
      <c r="K2459" s="15" t="s">
        <v>798</v>
      </c>
      <c r="L2459" s="12" t="s">
        <v>5315</v>
      </c>
      <c r="M2459" s="13" t="s">
        <v>5983</v>
      </c>
      <c r="N2459" s="12" t="s">
        <v>803</v>
      </c>
      <c r="O2459" s="13" t="s">
        <v>4821</v>
      </c>
      <c r="P2459" s="17" t="s">
        <v>802</v>
      </c>
      <c r="Q2459" s="21" t="s">
        <v>8087</v>
      </c>
      <c r="R2459" s="17" t="s">
        <v>801</v>
      </c>
      <c r="S2459" s="18" t="s">
        <v>2559</v>
      </c>
      <c r="T2459" s="17" t="s">
        <v>800</v>
      </c>
      <c r="U2459" s="18" t="s">
        <v>5234</v>
      </c>
      <c r="V2459" s="17" t="s">
        <v>9418</v>
      </c>
      <c r="W2459" s="18" t="s">
        <v>5311</v>
      </c>
      <c r="X2459" s="69" t="s">
        <v>9453</v>
      </c>
      <c r="Y2459" s="70" t="s">
        <v>9466</v>
      </c>
      <c r="Z2459" s="73" t="s">
        <v>9486</v>
      </c>
      <c r="AA2459" s="74" t="s">
        <v>9504</v>
      </c>
      <c r="AB2459" s="73" t="s">
        <v>9486</v>
      </c>
      <c r="AC2459" s="74" t="s">
        <v>9562</v>
      </c>
      <c r="AD2459" s="73" t="s">
        <v>9578</v>
      </c>
      <c r="AE2459" s="74" t="s">
        <v>9579</v>
      </c>
    </row>
    <row r="2460" spans="1:31" ht="8.65" customHeight="1" x14ac:dyDescent="0.2">
      <c r="A2460" s="76">
        <v>2460</v>
      </c>
      <c r="B2460" s="67" t="str">
        <f>MID(C2460, FIND("Ifc.", C2460) + 4, 4) &amp; "_" &amp; TEXT(COUNTIF($C$2:C2460, C2460),"0000")</f>
        <v>Prop_2459</v>
      </c>
      <c r="C2460" s="24" t="s">
        <v>872</v>
      </c>
      <c r="D2460" s="69" t="s">
        <v>9453</v>
      </c>
      <c r="E2460" s="70" t="s">
        <v>9454</v>
      </c>
      <c r="F2460" s="17" t="s">
        <v>806</v>
      </c>
      <c r="G2460" s="22" t="s">
        <v>2113</v>
      </c>
      <c r="H2460" s="12" t="s">
        <v>9703</v>
      </c>
      <c r="I2460" s="13" t="s">
        <v>6639</v>
      </c>
      <c r="J2460" s="14" t="s">
        <v>798</v>
      </c>
      <c r="K2460" s="15" t="s">
        <v>798</v>
      </c>
      <c r="L2460" s="12" t="s">
        <v>5315</v>
      </c>
      <c r="M2460" s="13" t="s">
        <v>5980</v>
      </c>
      <c r="N2460" s="12" t="s">
        <v>803</v>
      </c>
      <c r="O2460" s="13" t="s">
        <v>5101</v>
      </c>
      <c r="P2460" s="17" t="s">
        <v>802</v>
      </c>
      <c r="Q2460" s="21" t="s">
        <v>7819</v>
      </c>
      <c r="R2460" s="17" t="s">
        <v>801</v>
      </c>
      <c r="S2460" s="18" t="s">
        <v>2642</v>
      </c>
      <c r="T2460" s="17" t="s">
        <v>800</v>
      </c>
      <c r="U2460" s="18" t="s">
        <v>5300</v>
      </c>
      <c r="V2460" s="17" t="s">
        <v>9418</v>
      </c>
      <c r="W2460" s="18" t="s">
        <v>5309</v>
      </c>
      <c r="X2460" s="69" t="s">
        <v>9453</v>
      </c>
      <c r="Y2460" s="70" t="s">
        <v>9462</v>
      </c>
      <c r="Z2460" s="73" t="s">
        <v>9486</v>
      </c>
      <c r="AA2460" s="74" t="s">
        <v>9504</v>
      </c>
      <c r="AB2460" s="73" t="s">
        <v>9486</v>
      </c>
      <c r="AC2460" s="74" t="s">
        <v>9566</v>
      </c>
      <c r="AD2460" s="73" t="s">
        <v>9578</v>
      </c>
      <c r="AE2460" s="74" t="s">
        <v>9579</v>
      </c>
    </row>
    <row r="2461" spans="1:31" ht="8.65" customHeight="1" x14ac:dyDescent="0.2">
      <c r="A2461" s="76">
        <v>2461</v>
      </c>
      <c r="B2461" s="67" t="str">
        <f>MID(C2461, FIND("Ifc.", C2461) + 4, 4) &amp; "_" &amp; TEXT(COUNTIF($C$2:C2461, C2461),"0000")</f>
        <v>Prop_2460</v>
      </c>
      <c r="C2461" s="24" t="s">
        <v>872</v>
      </c>
      <c r="D2461" s="69" t="s">
        <v>9453</v>
      </c>
      <c r="E2461" s="70" t="s">
        <v>9454</v>
      </c>
      <c r="F2461" s="17" t="s">
        <v>806</v>
      </c>
      <c r="G2461" s="22" t="s">
        <v>953</v>
      </c>
      <c r="H2461" s="12" t="s">
        <v>9703</v>
      </c>
      <c r="I2461" s="13" t="s">
        <v>6104</v>
      </c>
      <c r="J2461" s="14" t="s">
        <v>798</v>
      </c>
      <c r="K2461" s="15" t="s">
        <v>798</v>
      </c>
      <c r="L2461" s="12" t="s">
        <v>5315</v>
      </c>
      <c r="M2461" s="13" t="s">
        <v>5991</v>
      </c>
      <c r="N2461" s="12" t="s">
        <v>803</v>
      </c>
      <c r="O2461" s="13" t="s">
        <v>4820</v>
      </c>
      <c r="P2461" s="17" t="s">
        <v>802</v>
      </c>
      <c r="Q2461" s="21" t="s">
        <v>8001</v>
      </c>
      <c r="R2461" s="17" t="s">
        <v>801</v>
      </c>
      <c r="S2461" s="18" t="s">
        <v>2565</v>
      </c>
      <c r="T2461" s="17" t="s">
        <v>800</v>
      </c>
      <c r="U2461" s="18" t="s">
        <v>5248</v>
      </c>
      <c r="V2461" s="17" t="s">
        <v>9418</v>
      </c>
      <c r="W2461" s="18" t="s">
        <v>5311</v>
      </c>
      <c r="X2461" s="69" t="s">
        <v>9453</v>
      </c>
      <c r="Y2461" s="70" t="s">
        <v>9466</v>
      </c>
      <c r="Z2461" s="73" t="s">
        <v>9486</v>
      </c>
      <c r="AA2461" s="74" t="s">
        <v>9504</v>
      </c>
      <c r="AB2461" s="73" t="s">
        <v>9486</v>
      </c>
      <c r="AC2461" s="74" t="s">
        <v>9562</v>
      </c>
      <c r="AD2461" s="73" t="s">
        <v>9578</v>
      </c>
      <c r="AE2461" s="74" t="s">
        <v>9579</v>
      </c>
    </row>
    <row r="2462" spans="1:31" ht="8.65" customHeight="1" x14ac:dyDescent="0.2">
      <c r="A2462" s="76">
        <v>2462</v>
      </c>
      <c r="B2462" s="67" t="str">
        <f>MID(C2462, FIND("Ifc.", C2462) + 4, 4) &amp; "_" &amp; TEXT(COUNTIF($C$2:C2462, C2462),"0000")</f>
        <v>Prop_2461</v>
      </c>
      <c r="C2462" s="24" t="s">
        <v>872</v>
      </c>
      <c r="D2462" s="69" t="s">
        <v>9453</v>
      </c>
      <c r="E2462" s="70" t="s">
        <v>9454</v>
      </c>
      <c r="F2462" s="17" t="s">
        <v>806</v>
      </c>
      <c r="G2462" s="22" t="s">
        <v>953</v>
      </c>
      <c r="H2462" s="12" t="s">
        <v>9703</v>
      </c>
      <c r="I2462" s="13" t="s">
        <v>6104</v>
      </c>
      <c r="J2462" s="14" t="s">
        <v>798</v>
      </c>
      <c r="K2462" s="15" t="s">
        <v>798</v>
      </c>
      <c r="L2462" s="12" t="s">
        <v>5315</v>
      </c>
      <c r="M2462" s="13" t="s">
        <v>5832</v>
      </c>
      <c r="N2462" s="12" t="s">
        <v>803</v>
      </c>
      <c r="O2462" s="13" t="s">
        <v>4974</v>
      </c>
      <c r="P2462" s="17" t="s">
        <v>802</v>
      </c>
      <c r="Q2462" s="21" t="s">
        <v>7889</v>
      </c>
      <c r="R2462" s="17" t="s">
        <v>801</v>
      </c>
      <c r="S2462" s="18" t="s">
        <v>3636</v>
      </c>
      <c r="T2462" s="17" t="s">
        <v>800</v>
      </c>
      <c r="U2462" s="18" t="s">
        <v>5257</v>
      </c>
      <c r="V2462" s="17" t="s">
        <v>9418</v>
      </c>
      <c r="W2462" s="18" t="s">
        <v>5314</v>
      </c>
      <c r="X2462" s="69" t="s">
        <v>9453</v>
      </c>
      <c r="Y2462" s="70" t="s">
        <v>9464</v>
      </c>
      <c r="Z2462" s="73" t="s">
        <v>9486</v>
      </c>
      <c r="AA2462" s="74" t="s">
        <v>9504</v>
      </c>
      <c r="AB2462" s="73" t="s">
        <v>9486</v>
      </c>
      <c r="AC2462" s="74" t="s">
        <v>9561</v>
      </c>
      <c r="AD2462" s="73" t="s">
        <v>9578</v>
      </c>
      <c r="AE2462" s="74" t="s">
        <v>9579</v>
      </c>
    </row>
    <row r="2463" spans="1:31" ht="8.65" customHeight="1" x14ac:dyDescent="0.2">
      <c r="A2463" s="76">
        <v>2463</v>
      </c>
      <c r="B2463" s="67" t="str">
        <f>MID(C2463, FIND("Ifc.", C2463) + 4, 4) &amp; "_" &amp; TEXT(COUNTIF($C$2:C2463, C2463),"0000")</f>
        <v>Prop_2462</v>
      </c>
      <c r="C2463" s="24" t="s">
        <v>872</v>
      </c>
      <c r="D2463" s="69" t="s">
        <v>9453</v>
      </c>
      <c r="E2463" s="70" t="s">
        <v>9454</v>
      </c>
      <c r="F2463" s="17" t="s">
        <v>806</v>
      </c>
      <c r="G2463" s="22" t="s">
        <v>2428</v>
      </c>
      <c r="H2463" s="12" t="s">
        <v>9703</v>
      </c>
      <c r="I2463" s="13" t="s">
        <v>7229</v>
      </c>
      <c r="J2463" s="14" t="s">
        <v>798</v>
      </c>
      <c r="K2463" s="15" t="s">
        <v>798</v>
      </c>
      <c r="L2463" s="12" t="s">
        <v>5315</v>
      </c>
      <c r="M2463" s="13" t="s">
        <v>5569</v>
      </c>
      <c r="N2463" s="12" t="s">
        <v>803</v>
      </c>
      <c r="O2463" s="13" t="s">
        <v>5202</v>
      </c>
      <c r="P2463" s="17" t="s">
        <v>802</v>
      </c>
      <c r="Q2463" s="21" t="s">
        <v>7765</v>
      </c>
      <c r="R2463" s="17" t="s">
        <v>801</v>
      </c>
      <c r="S2463" s="18" t="s">
        <v>2643</v>
      </c>
      <c r="T2463" s="17" t="s">
        <v>800</v>
      </c>
      <c r="U2463" s="18" t="s">
        <v>5265</v>
      </c>
      <c r="V2463" s="17" t="s">
        <v>9418</v>
      </c>
      <c r="W2463" s="18" t="s">
        <v>5309</v>
      </c>
      <c r="X2463" s="69" t="s">
        <v>9453</v>
      </c>
      <c r="Y2463" s="70" t="s">
        <v>9462</v>
      </c>
      <c r="Z2463" s="73" t="s">
        <v>9486</v>
      </c>
      <c r="AA2463" s="74" t="s">
        <v>9504</v>
      </c>
      <c r="AB2463" s="73" t="s">
        <v>9486</v>
      </c>
      <c r="AC2463" s="74" t="s">
        <v>9566</v>
      </c>
      <c r="AD2463" s="73" t="s">
        <v>9578</v>
      </c>
      <c r="AE2463" s="74" t="s">
        <v>9579</v>
      </c>
    </row>
    <row r="2464" spans="1:31" ht="8.65" customHeight="1" x14ac:dyDescent="0.2">
      <c r="A2464" s="76">
        <v>2464</v>
      </c>
      <c r="B2464" s="67" t="str">
        <f>MID(C2464, FIND("Ifc.", C2464) + 4, 4) &amp; "_" &amp; TEXT(COUNTIF($C$2:C2464, C2464),"0000")</f>
        <v>Prop_2463</v>
      </c>
      <c r="C2464" s="24" t="s">
        <v>872</v>
      </c>
      <c r="D2464" s="69" t="s">
        <v>9453</v>
      </c>
      <c r="E2464" s="70" t="s">
        <v>9454</v>
      </c>
      <c r="F2464" s="17" t="s">
        <v>806</v>
      </c>
      <c r="G2464" s="22" t="s">
        <v>1146</v>
      </c>
      <c r="H2464" s="12" t="s">
        <v>9703</v>
      </c>
      <c r="I2464" s="13" t="s">
        <v>6187</v>
      </c>
      <c r="J2464" s="14" t="s">
        <v>798</v>
      </c>
      <c r="K2464" s="15" t="s">
        <v>798</v>
      </c>
      <c r="L2464" s="12" t="s">
        <v>5315</v>
      </c>
      <c r="M2464" s="13" t="s">
        <v>6042</v>
      </c>
      <c r="N2464" s="12" t="s">
        <v>803</v>
      </c>
      <c r="O2464" s="13" t="s">
        <v>4863</v>
      </c>
      <c r="P2464" s="17" t="s">
        <v>802</v>
      </c>
      <c r="Q2464" s="21" t="s">
        <v>7759</v>
      </c>
      <c r="R2464" s="17" t="s">
        <v>801</v>
      </c>
      <c r="S2464" s="18" t="s">
        <v>2643</v>
      </c>
      <c r="T2464" s="17" t="s">
        <v>800</v>
      </c>
      <c r="U2464" s="18" t="s">
        <v>5265</v>
      </c>
      <c r="V2464" s="17" t="s">
        <v>9418</v>
      </c>
      <c r="W2464" s="18" t="s">
        <v>5309</v>
      </c>
      <c r="X2464" s="69" t="s">
        <v>9453</v>
      </c>
      <c r="Y2464" s="70" t="s">
        <v>9462</v>
      </c>
      <c r="Z2464" s="73" t="s">
        <v>9486</v>
      </c>
      <c r="AA2464" s="74" t="s">
        <v>9504</v>
      </c>
      <c r="AB2464" s="73" t="s">
        <v>9486</v>
      </c>
      <c r="AC2464" s="74" t="s">
        <v>9566</v>
      </c>
      <c r="AD2464" s="73" t="s">
        <v>9578</v>
      </c>
      <c r="AE2464" s="74" t="s">
        <v>9579</v>
      </c>
    </row>
    <row r="2465" spans="1:31" ht="8.65" customHeight="1" x14ac:dyDescent="0.2">
      <c r="A2465" s="76">
        <v>2465</v>
      </c>
      <c r="B2465" s="67" t="str">
        <f>MID(C2465, FIND("Ifc.", C2465) + 4, 4) &amp; "_" &amp; TEXT(COUNTIF($C$2:C2465, C2465),"0000")</f>
        <v>Prop_2464</v>
      </c>
      <c r="C2465" s="24" t="s">
        <v>872</v>
      </c>
      <c r="D2465" s="69" t="s">
        <v>9453</v>
      </c>
      <c r="E2465" s="70" t="s">
        <v>9454</v>
      </c>
      <c r="F2465" s="17" t="s">
        <v>806</v>
      </c>
      <c r="G2465" s="22" t="s">
        <v>1146</v>
      </c>
      <c r="H2465" s="12" t="s">
        <v>9703</v>
      </c>
      <c r="I2465" s="13" t="s">
        <v>6187</v>
      </c>
      <c r="J2465" s="14" t="s">
        <v>798</v>
      </c>
      <c r="K2465" s="15" t="s">
        <v>798</v>
      </c>
      <c r="L2465" s="12" t="s">
        <v>5315</v>
      </c>
      <c r="M2465" s="13" t="s">
        <v>5432</v>
      </c>
      <c r="N2465" s="12" t="s">
        <v>803</v>
      </c>
      <c r="O2465" s="13" t="s">
        <v>4931</v>
      </c>
      <c r="P2465" s="17" t="s">
        <v>802</v>
      </c>
      <c r="Q2465" s="21" t="s">
        <v>7760</v>
      </c>
      <c r="R2465" s="17" t="s">
        <v>801</v>
      </c>
      <c r="S2465" s="18" t="s">
        <v>2643</v>
      </c>
      <c r="T2465" s="17" t="s">
        <v>800</v>
      </c>
      <c r="U2465" s="18" t="s">
        <v>5265</v>
      </c>
      <c r="V2465" s="17" t="s">
        <v>9418</v>
      </c>
      <c r="W2465" s="18" t="s">
        <v>5309</v>
      </c>
      <c r="X2465" s="69" t="s">
        <v>9453</v>
      </c>
      <c r="Y2465" s="70" t="s">
        <v>9462</v>
      </c>
      <c r="Z2465" s="73" t="s">
        <v>9486</v>
      </c>
      <c r="AA2465" s="74" t="s">
        <v>9504</v>
      </c>
      <c r="AB2465" s="73" t="s">
        <v>9486</v>
      </c>
      <c r="AC2465" s="74" t="s">
        <v>9566</v>
      </c>
      <c r="AD2465" s="73" t="s">
        <v>9578</v>
      </c>
      <c r="AE2465" s="74" t="s">
        <v>9579</v>
      </c>
    </row>
    <row r="2466" spans="1:31" ht="8.65" customHeight="1" x14ac:dyDescent="0.2">
      <c r="A2466" s="76">
        <v>2466</v>
      </c>
      <c r="B2466" s="67" t="str">
        <f>MID(C2466, FIND("Ifc.", C2466) + 4, 4) &amp; "_" &amp; TEXT(COUNTIF($C$2:C2466, C2466),"0000")</f>
        <v>Prop_2465</v>
      </c>
      <c r="C2466" s="24" t="s">
        <v>872</v>
      </c>
      <c r="D2466" s="69" t="s">
        <v>9453</v>
      </c>
      <c r="E2466" s="70" t="s">
        <v>9454</v>
      </c>
      <c r="F2466" s="17" t="s">
        <v>806</v>
      </c>
      <c r="G2466" s="22" t="s">
        <v>1145</v>
      </c>
      <c r="H2466" s="12" t="s">
        <v>9703</v>
      </c>
      <c r="I2466" s="13" t="s">
        <v>6186</v>
      </c>
      <c r="J2466" s="14" t="s">
        <v>798</v>
      </c>
      <c r="K2466" s="15" t="s">
        <v>798</v>
      </c>
      <c r="L2466" s="12" t="s">
        <v>5315</v>
      </c>
      <c r="M2466" s="13" t="s">
        <v>6042</v>
      </c>
      <c r="N2466" s="12" t="s">
        <v>803</v>
      </c>
      <c r="O2466" s="13" t="s">
        <v>4863</v>
      </c>
      <c r="P2466" s="17" t="s">
        <v>802</v>
      </c>
      <c r="Q2466" s="21" t="s">
        <v>7759</v>
      </c>
      <c r="R2466" s="17" t="s">
        <v>801</v>
      </c>
      <c r="S2466" s="18" t="s">
        <v>2643</v>
      </c>
      <c r="T2466" s="17" t="s">
        <v>800</v>
      </c>
      <c r="U2466" s="18" t="s">
        <v>5265</v>
      </c>
      <c r="V2466" s="17" t="s">
        <v>9418</v>
      </c>
      <c r="W2466" s="18" t="s">
        <v>5309</v>
      </c>
      <c r="X2466" s="69" t="s">
        <v>9453</v>
      </c>
      <c r="Y2466" s="70" t="s">
        <v>9462</v>
      </c>
      <c r="Z2466" s="73" t="s">
        <v>9486</v>
      </c>
      <c r="AA2466" s="74" t="s">
        <v>9504</v>
      </c>
      <c r="AB2466" s="73" t="s">
        <v>9486</v>
      </c>
      <c r="AC2466" s="74" t="s">
        <v>9566</v>
      </c>
      <c r="AD2466" s="73" t="s">
        <v>9578</v>
      </c>
      <c r="AE2466" s="74" t="s">
        <v>9579</v>
      </c>
    </row>
    <row r="2467" spans="1:31" ht="8.65" customHeight="1" x14ac:dyDescent="0.2">
      <c r="A2467" s="76">
        <v>2467</v>
      </c>
      <c r="B2467" s="67" t="str">
        <f>MID(C2467, FIND("Ifc.", C2467) + 4, 4) &amp; "_" &amp; TEXT(COUNTIF($C$2:C2467, C2467),"0000")</f>
        <v>Prop_2466</v>
      </c>
      <c r="C2467" s="24" t="s">
        <v>872</v>
      </c>
      <c r="D2467" s="69" t="s">
        <v>9453</v>
      </c>
      <c r="E2467" s="70" t="s">
        <v>9454</v>
      </c>
      <c r="F2467" s="17" t="s">
        <v>806</v>
      </c>
      <c r="G2467" s="22" t="s">
        <v>1145</v>
      </c>
      <c r="H2467" s="12" t="s">
        <v>9703</v>
      </c>
      <c r="I2467" s="13" t="s">
        <v>6186</v>
      </c>
      <c r="J2467" s="14" t="s">
        <v>798</v>
      </c>
      <c r="K2467" s="15" t="s">
        <v>798</v>
      </c>
      <c r="L2467" s="12" t="s">
        <v>5315</v>
      </c>
      <c r="M2467" s="13" t="s">
        <v>5432</v>
      </c>
      <c r="N2467" s="12" t="s">
        <v>803</v>
      </c>
      <c r="O2467" s="13" t="s">
        <v>4931</v>
      </c>
      <c r="P2467" s="17" t="s">
        <v>802</v>
      </c>
      <c r="Q2467" s="21" t="s">
        <v>7760</v>
      </c>
      <c r="R2467" s="17" t="s">
        <v>801</v>
      </c>
      <c r="S2467" s="18" t="s">
        <v>2643</v>
      </c>
      <c r="T2467" s="17" t="s">
        <v>800</v>
      </c>
      <c r="U2467" s="18" t="s">
        <v>5265</v>
      </c>
      <c r="V2467" s="17" t="s">
        <v>9418</v>
      </c>
      <c r="W2467" s="18" t="s">
        <v>5309</v>
      </c>
      <c r="X2467" s="69" t="s">
        <v>9453</v>
      </c>
      <c r="Y2467" s="70" t="s">
        <v>9462</v>
      </c>
      <c r="Z2467" s="73" t="s">
        <v>9486</v>
      </c>
      <c r="AA2467" s="74" t="s">
        <v>9504</v>
      </c>
      <c r="AB2467" s="73" t="s">
        <v>9486</v>
      </c>
      <c r="AC2467" s="74" t="s">
        <v>9566</v>
      </c>
      <c r="AD2467" s="73" t="s">
        <v>9578</v>
      </c>
      <c r="AE2467" s="74" t="s">
        <v>9579</v>
      </c>
    </row>
    <row r="2468" spans="1:31" ht="8.65" customHeight="1" x14ac:dyDescent="0.2">
      <c r="A2468" s="76">
        <v>2468</v>
      </c>
      <c r="B2468" s="67" t="str">
        <f>MID(C2468, FIND("Ifc.", C2468) + 4, 4) &amp; "_" &amp; TEXT(COUNTIF($C$2:C2468, C2468),"0000")</f>
        <v>Prop_2467</v>
      </c>
      <c r="C2468" s="24" t="s">
        <v>872</v>
      </c>
      <c r="D2468" s="69" t="s">
        <v>9453</v>
      </c>
      <c r="E2468" s="70" t="s">
        <v>9454</v>
      </c>
      <c r="F2468" s="17" t="s">
        <v>806</v>
      </c>
      <c r="G2468" s="22" t="s">
        <v>2290</v>
      </c>
      <c r="H2468" s="12" t="s">
        <v>9703</v>
      </c>
      <c r="I2468" s="13" t="s">
        <v>2290</v>
      </c>
      <c r="J2468" s="14" t="s">
        <v>798</v>
      </c>
      <c r="K2468" s="15" t="s">
        <v>798</v>
      </c>
      <c r="L2468" s="12" t="s">
        <v>5315</v>
      </c>
      <c r="M2468" s="13" t="s">
        <v>5550</v>
      </c>
      <c r="N2468" s="12" t="s">
        <v>803</v>
      </c>
      <c r="O2468" s="13" t="s">
        <v>5162</v>
      </c>
      <c r="P2468" s="17" t="s">
        <v>802</v>
      </c>
      <c r="Q2468" s="21" t="s">
        <v>7870</v>
      </c>
      <c r="R2468" s="17" t="s">
        <v>801</v>
      </c>
      <c r="S2468" s="18" t="s">
        <v>2643</v>
      </c>
      <c r="T2468" s="17" t="s">
        <v>800</v>
      </c>
      <c r="U2468" s="18" t="s">
        <v>5265</v>
      </c>
      <c r="V2468" s="17" t="s">
        <v>9418</v>
      </c>
      <c r="W2468" s="18" t="s">
        <v>5309</v>
      </c>
      <c r="X2468" s="69" t="s">
        <v>9453</v>
      </c>
      <c r="Y2468" s="70" t="s">
        <v>9462</v>
      </c>
      <c r="Z2468" s="73" t="s">
        <v>9486</v>
      </c>
      <c r="AA2468" s="74" t="s">
        <v>9504</v>
      </c>
      <c r="AB2468" s="73" t="s">
        <v>9486</v>
      </c>
      <c r="AC2468" s="74" t="s">
        <v>9566</v>
      </c>
      <c r="AD2468" s="73" t="s">
        <v>9578</v>
      </c>
      <c r="AE2468" s="74" t="s">
        <v>9579</v>
      </c>
    </row>
    <row r="2469" spans="1:31" ht="8.65" customHeight="1" x14ac:dyDescent="0.2">
      <c r="A2469" s="76">
        <v>2469</v>
      </c>
      <c r="B2469" s="67" t="str">
        <f>MID(C2469, FIND("Ifc.", C2469) + 4, 4) &amp; "_" &amp; TEXT(COUNTIF($C$2:C2469, C2469),"0000")</f>
        <v>Prop_2468</v>
      </c>
      <c r="C2469" s="24" t="s">
        <v>872</v>
      </c>
      <c r="D2469" s="69" t="s">
        <v>9453</v>
      </c>
      <c r="E2469" s="70" t="s">
        <v>9454</v>
      </c>
      <c r="F2469" s="17" t="s">
        <v>806</v>
      </c>
      <c r="G2469" s="22" t="s">
        <v>970</v>
      </c>
      <c r="H2469" s="12" t="s">
        <v>9703</v>
      </c>
      <c r="I2469" s="13" t="s">
        <v>7100</v>
      </c>
      <c r="J2469" s="14" t="s">
        <v>798</v>
      </c>
      <c r="K2469" s="15" t="s">
        <v>798</v>
      </c>
      <c r="L2469" s="12" t="s">
        <v>5315</v>
      </c>
      <c r="M2469" s="13" t="s">
        <v>5987</v>
      </c>
      <c r="N2469" s="12" t="s">
        <v>803</v>
      </c>
      <c r="O2469" s="13" t="s">
        <v>4825</v>
      </c>
      <c r="P2469" s="17" t="s">
        <v>802</v>
      </c>
      <c r="Q2469" s="21" t="s">
        <v>7950</v>
      </c>
      <c r="R2469" s="17" t="s">
        <v>801</v>
      </c>
      <c r="S2469" s="18" t="s">
        <v>2559</v>
      </c>
      <c r="T2469" s="17" t="s">
        <v>800</v>
      </c>
      <c r="U2469" s="18" t="s">
        <v>5234</v>
      </c>
      <c r="V2469" s="17" t="s">
        <v>9418</v>
      </c>
      <c r="W2469" s="18" t="s">
        <v>5311</v>
      </c>
      <c r="X2469" s="69" t="s">
        <v>9453</v>
      </c>
      <c r="Y2469" s="70" t="s">
        <v>9466</v>
      </c>
      <c r="Z2469" s="73" t="s">
        <v>9486</v>
      </c>
      <c r="AA2469" s="74" t="s">
        <v>9504</v>
      </c>
      <c r="AB2469" s="73" t="s">
        <v>9486</v>
      </c>
      <c r="AC2469" s="74" t="s">
        <v>9562</v>
      </c>
      <c r="AD2469" s="73" t="s">
        <v>9578</v>
      </c>
      <c r="AE2469" s="74" t="s">
        <v>9579</v>
      </c>
    </row>
    <row r="2470" spans="1:31" ht="8.65" customHeight="1" x14ac:dyDescent="0.2">
      <c r="A2470" s="76">
        <v>2470</v>
      </c>
      <c r="B2470" s="67" t="str">
        <f>MID(C2470, FIND("Ifc.", C2470) + 4, 4) &amp; "_" &amp; TEXT(COUNTIF($C$2:C2470, C2470),"0000")</f>
        <v>Prop_2469</v>
      </c>
      <c r="C2470" s="24" t="s">
        <v>872</v>
      </c>
      <c r="D2470" s="69" t="s">
        <v>9453</v>
      </c>
      <c r="E2470" s="70" t="s">
        <v>9454</v>
      </c>
      <c r="F2470" s="17" t="s">
        <v>806</v>
      </c>
      <c r="G2470" s="22" t="s">
        <v>976</v>
      </c>
      <c r="H2470" s="12" t="s">
        <v>9703</v>
      </c>
      <c r="I2470" s="13" t="s">
        <v>976</v>
      </c>
      <c r="J2470" s="14" t="s">
        <v>798</v>
      </c>
      <c r="K2470" s="15" t="s">
        <v>798</v>
      </c>
      <c r="L2470" s="12" t="s">
        <v>5315</v>
      </c>
      <c r="M2470" s="13" t="s">
        <v>5987</v>
      </c>
      <c r="N2470" s="12" t="s">
        <v>803</v>
      </c>
      <c r="O2470" s="13" t="s">
        <v>4825</v>
      </c>
      <c r="P2470" s="17" t="s">
        <v>802</v>
      </c>
      <c r="Q2470" s="21" t="s">
        <v>7950</v>
      </c>
      <c r="R2470" s="17" t="s">
        <v>801</v>
      </c>
      <c r="S2470" s="18" t="s">
        <v>2585</v>
      </c>
      <c r="T2470" s="17" t="s">
        <v>800</v>
      </c>
      <c r="U2470" s="18" t="s">
        <v>5238</v>
      </c>
      <c r="V2470" s="17" t="s">
        <v>9418</v>
      </c>
      <c r="W2470" s="18" t="s">
        <v>5312</v>
      </c>
      <c r="X2470" s="69" t="s">
        <v>9453</v>
      </c>
      <c r="Y2470" s="70" t="s">
        <v>9465</v>
      </c>
      <c r="Z2470" s="73" t="s">
        <v>9486</v>
      </c>
      <c r="AA2470" s="74" t="s">
        <v>9504</v>
      </c>
      <c r="AB2470" s="73" t="s">
        <v>9486</v>
      </c>
      <c r="AC2470" s="74" t="s">
        <v>9566</v>
      </c>
      <c r="AD2470" s="73" t="s">
        <v>9578</v>
      </c>
      <c r="AE2470" s="74" t="s">
        <v>9579</v>
      </c>
    </row>
    <row r="2471" spans="1:31" ht="8.65" customHeight="1" x14ac:dyDescent="0.2">
      <c r="A2471" s="76">
        <v>2471</v>
      </c>
      <c r="B2471" s="67" t="str">
        <f>MID(C2471, FIND("Ifc.", C2471) + 4, 4) &amp; "_" &amp; TEXT(COUNTIF($C$2:C2471, C2471),"0000")</f>
        <v>Info_0001</v>
      </c>
      <c r="C2471" s="23" t="s">
        <v>9506</v>
      </c>
      <c r="D2471" s="69" t="s">
        <v>9453</v>
      </c>
      <c r="E2471" s="70" t="s">
        <v>9507</v>
      </c>
      <c r="F2471" s="26" t="s">
        <v>798</v>
      </c>
      <c r="G2471" s="15" t="s">
        <v>798</v>
      </c>
      <c r="H2471" s="14" t="s">
        <v>798</v>
      </c>
      <c r="I2471" s="15" t="s">
        <v>798</v>
      </c>
      <c r="J2471" s="12" t="s">
        <v>9435</v>
      </c>
      <c r="K2471" s="16" t="s">
        <v>2545</v>
      </c>
      <c r="L2471" s="12" t="s">
        <v>800</v>
      </c>
      <c r="M2471" s="16" t="s">
        <v>7642</v>
      </c>
      <c r="N2471" s="19" t="s">
        <v>798</v>
      </c>
      <c r="O2471" s="20" t="s">
        <v>798</v>
      </c>
      <c r="P2471" s="17" t="s">
        <v>802</v>
      </c>
      <c r="Q2471" s="21" t="s">
        <v>8097</v>
      </c>
      <c r="R2471" s="19" t="s">
        <v>798</v>
      </c>
      <c r="S2471" s="20" t="s">
        <v>798</v>
      </c>
      <c r="T2471" s="17" t="s">
        <v>798</v>
      </c>
      <c r="U2471" s="20" t="s">
        <v>798</v>
      </c>
      <c r="V2471" s="26" t="s">
        <v>798</v>
      </c>
      <c r="W2471" s="20" t="s">
        <v>798</v>
      </c>
      <c r="X2471" s="26" t="s">
        <v>798</v>
      </c>
      <c r="Y2471" s="20" t="s">
        <v>798</v>
      </c>
      <c r="Z2471" s="73" t="s">
        <v>9486</v>
      </c>
      <c r="AA2471" s="74" t="s">
        <v>9508</v>
      </c>
      <c r="AB2471" s="73" t="s">
        <v>9486</v>
      </c>
      <c r="AC2471" s="74" t="s">
        <v>9562</v>
      </c>
      <c r="AD2471" s="73" t="s">
        <v>9578</v>
      </c>
      <c r="AE2471" s="74" t="s">
        <v>9579</v>
      </c>
    </row>
    <row r="2472" spans="1:31" ht="8.65" customHeight="1" x14ac:dyDescent="0.2">
      <c r="A2472" s="76">
        <v>2472</v>
      </c>
      <c r="B2472" s="67" t="str">
        <f>MID(C2472, FIND("Ifc.", C2472) + 4, 4) &amp; "_" &amp; TEXT(COUNTIF($C$2:C2472, C2472),"0000")</f>
        <v>Info_0002</v>
      </c>
      <c r="C2472" s="23" t="s">
        <v>9506</v>
      </c>
      <c r="D2472" s="69" t="s">
        <v>9453</v>
      </c>
      <c r="E2472" s="70" t="s">
        <v>9507</v>
      </c>
      <c r="F2472" s="26" t="s">
        <v>798</v>
      </c>
      <c r="G2472" s="15" t="s">
        <v>798</v>
      </c>
      <c r="H2472" s="14" t="s">
        <v>798</v>
      </c>
      <c r="I2472" s="15" t="s">
        <v>798</v>
      </c>
      <c r="J2472" s="12" t="s">
        <v>9435</v>
      </c>
      <c r="K2472" s="16" t="s">
        <v>2546</v>
      </c>
      <c r="L2472" s="12" t="s">
        <v>800</v>
      </c>
      <c r="M2472" s="16" t="s">
        <v>5316</v>
      </c>
      <c r="N2472" s="19" t="s">
        <v>798</v>
      </c>
      <c r="O2472" s="20" t="s">
        <v>798</v>
      </c>
      <c r="P2472" s="17" t="s">
        <v>802</v>
      </c>
      <c r="Q2472" s="21" t="s">
        <v>8098</v>
      </c>
      <c r="R2472" s="19" t="s">
        <v>798</v>
      </c>
      <c r="S2472" s="20" t="s">
        <v>798</v>
      </c>
      <c r="T2472" s="17" t="s">
        <v>798</v>
      </c>
      <c r="U2472" s="20" t="s">
        <v>798</v>
      </c>
      <c r="V2472" s="26" t="s">
        <v>798</v>
      </c>
      <c r="W2472" s="20" t="s">
        <v>798</v>
      </c>
      <c r="X2472" s="26" t="s">
        <v>798</v>
      </c>
      <c r="Y2472" s="20" t="s">
        <v>798</v>
      </c>
      <c r="Z2472" s="73" t="s">
        <v>9486</v>
      </c>
      <c r="AA2472" s="74" t="s">
        <v>9508</v>
      </c>
      <c r="AB2472" s="73" t="s">
        <v>9486</v>
      </c>
      <c r="AC2472" s="74" t="s">
        <v>9562</v>
      </c>
      <c r="AD2472" s="73" t="s">
        <v>9578</v>
      </c>
      <c r="AE2472" s="74" t="s">
        <v>9579</v>
      </c>
    </row>
    <row r="2473" spans="1:31" ht="8.65" customHeight="1" x14ac:dyDescent="0.2">
      <c r="A2473" s="76">
        <v>2473</v>
      </c>
      <c r="B2473" s="67" t="str">
        <f>MID(C2473, FIND("Ifc.", C2473) + 4, 4) &amp; "_" &amp; TEXT(COUNTIF($C$2:C2473, C2473),"0000")</f>
        <v>Info_0003</v>
      </c>
      <c r="C2473" s="23" t="s">
        <v>9506</v>
      </c>
      <c r="D2473" s="69" t="s">
        <v>9453</v>
      </c>
      <c r="E2473" s="70" t="s">
        <v>9507</v>
      </c>
      <c r="F2473" s="26" t="s">
        <v>798</v>
      </c>
      <c r="G2473" s="15" t="s">
        <v>798</v>
      </c>
      <c r="H2473" s="14" t="s">
        <v>798</v>
      </c>
      <c r="I2473" s="15" t="s">
        <v>798</v>
      </c>
      <c r="J2473" s="12" t="s">
        <v>9435</v>
      </c>
      <c r="K2473" s="16" t="s">
        <v>2547</v>
      </c>
      <c r="L2473" s="12" t="s">
        <v>800</v>
      </c>
      <c r="M2473" s="16" t="s">
        <v>5583</v>
      </c>
      <c r="N2473" s="19" t="s">
        <v>798</v>
      </c>
      <c r="O2473" s="20" t="s">
        <v>798</v>
      </c>
      <c r="P2473" s="17" t="s">
        <v>802</v>
      </c>
      <c r="Q2473" s="21" t="s">
        <v>8099</v>
      </c>
      <c r="R2473" s="19" t="s">
        <v>798</v>
      </c>
      <c r="S2473" s="20" t="s">
        <v>798</v>
      </c>
      <c r="T2473" s="17" t="s">
        <v>798</v>
      </c>
      <c r="U2473" s="20" t="s">
        <v>798</v>
      </c>
      <c r="V2473" s="26" t="s">
        <v>798</v>
      </c>
      <c r="W2473" s="20" t="s">
        <v>798</v>
      </c>
      <c r="X2473" s="26" t="s">
        <v>798</v>
      </c>
      <c r="Y2473" s="20" t="s">
        <v>798</v>
      </c>
      <c r="Z2473" s="73" t="s">
        <v>9486</v>
      </c>
      <c r="AA2473" s="74" t="s">
        <v>9508</v>
      </c>
      <c r="AB2473" s="73" t="s">
        <v>9486</v>
      </c>
      <c r="AC2473" s="74" t="s">
        <v>9561</v>
      </c>
      <c r="AD2473" s="73" t="s">
        <v>9578</v>
      </c>
      <c r="AE2473" s="74" t="s">
        <v>9579</v>
      </c>
    </row>
    <row r="2474" spans="1:31" ht="8.65" customHeight="1" x14ac:dyDescent="0.2">
      <c r="A2474" s="76">
        <v>2474</v>
      </c>
      <c r="B2474" s="67" t="str">
        <f>MID(C2474, FIND("Ifc.", C2474) + 4, 4) &amp; "_" &amp; TEXT(COUNTIF($C$2:C2474, C2474),"0000")</f>
        <v>Info_0004</v>
      </c>
      <c r="C2474" s="23" t="s">
        <v>9506</v>
      </c>
      <c r="D2474" s="69" t="s">
        <v>9453</v>
      </c>
      <c r="E2474" s="70" t="s">
        <v>9507</v>
      </c>
      <c r="F2474" s="26" t="s">
        <v>798</v>
      </c>
      <c r="G2474" s="15" t="s">
        <v>798</v>
      </c>
      <c r="H2474" s="14" t="s">
        <v>798</v>
      </c>
      <c r="I2474" s="15" t="s">
        <v>798</v>
      </c>
      <c r="J2474" s="12" t="s">
        <v>9435</v>
      </c>
      <c r="K2474" s="16" t="s">
        <v>2548</v>
      </c>
      <c r="L2474" s="12" t="s">
        <v>800</v>
      </c>
      <c r="M2474" s="16" t="s">
        <v>5862</v>
      </c>
      <c r="N2474" s="19" t="s">
        <v>798</v>
      </c>
      <c r="O2474" s="20" t="s">
        <v>798</v>
      </c>
      <c r="P2474" s="17" t="s">
        <v>802</v>
      </c>
      <c r="Q2474" s="21" t="s">
        <v>8100</v>
      </c>
      <c r="R2474" s="19" t="s">
        <v>798</v>
      </c>
      <c r="S2474" s="20" t="s">
        <v>798</v>
      </c>
      <c r="T2474" s="17" t="s">
        <v>798</v>
      </c>
      <c r="U2474" s="20" t="s">
        <v>798</v>
      </c>
      <c r="V2474" s="26" t="s">
        <v>798</v>
      </c>
      <c r="W2474" s="20" t="s">
        <v>798</v>
      </c>
      <c r="X2474" s="26" t="s">
        <v>798</v>
      </c>
      <c r="Y2474" s="20" t="s">
        <v>798</v>
      </c>
      <c r="Z2474" s="73" t="s">
        <v>9486</v>
      </c>
      <c r="AA2474" s="74" t="s">
        <v>9508</v>
      </c>
      <c r="AB2474" s="73" t="s">
        <v>9486</v>
      </c>
      <c r="AC2474" s="74" t="s">
        <v>9562</v>
      </c>
      <c r="AD2474" s="73" t="s">
        <v>9578</v>
      </c>
      <c r="AE2474" s="74" t="s">
        <v>9579</v>
      </c>
    </row>
    <row r="2475" spans="1:31" ht="8.65" customHeight="1" x14ac:dyDescent="0.2">
      <c r="A2475" s="76">
        <v>2475</v>
      </c>
      <c r="B2475" s="67" t="str">
        <f>MID(C2475, FIND("Ifc.", C2475) + 4, 4) &amp; "_" &amp; TEXT(COUNTIF($C$2:C2475, C2475),"0000")</f>
        <v>Info_0005</v>
      </c>
      <c r="C2475" s="23" t="s">
        <v>9506</v>
      </c>
      <c r="D2475" s="69" t="s">
        <v>9453</v>
      </c>
      <c r="E2475" s="70" t="s">
        <v>9507</v>
      </c>
      <c r="F2475" s="26" t="s">
        <v>798</v>
      </c>
      <c r="G2475" s="15" t="s">
        <v>798</v>
      </c>
      <c r="H2475" s="14" t="s">
        <v>798</v>
      </c>
      <c r="I2475" s="15" t="s">
        <v>798</v>
      </c>
      <c r="J2475" s="12" t="s">
        <v>9435</v>
      </c>
      <c r="K2475" s="16" t="s">
        <v>2549</v>
      </c>
      <c r="L2475" s="12" t="s">
        <v>800</v>
      </c>
      <c r="M2475" s="16" t="s">
        <v>5317</v>
      </c>
      <c r="N2475" s="19" t="s">
        <v>798</v>
      </c>
      <c r="O2475" s="20" t="s">
        <v>798</v>
      </c>
      <c r="P2475" s="17" t="s">
        <v>802</v>
      </c>
      <c r="Q2475" s="21" t="s">
        <v>8101</v>
      </c>
      <c r="R2475" s="19" t="s">
        <v>798</v>
      </c>
      <c r="S2475" s="20" t="s">
        <v>798</v>
      </c>
      <c r="T2475" s="17" t="s">
        <v>798</v>
      </c>
      <c r="U2475" s="20" t="s">
        <v>798</v>
      </c>
      <c r="V2475" s="26" t="s">
        <v>798</v>
      </c>
      <c r="W2475" s="20" t="s">
        <v>798</v>
      </c>
      <c r="X2475" s="26" t="s">
        <v>798</v>
      </c>
      <c r="Y2475" s="20" t="s">
        <v>798</v>
      </c>
      <c r="Z2475" s="73" t="s">
        <v>9486</v>
      </c>
      <c r="AA2475" s="74" t="s">
        <v>9508</v>
      </c>
      <c r="AB2475" s="73" t="s">
        <v>9486</v>
      </c>
      <c r="AC2475" s="74" t="s">
        <v>9562</v>
      </c>
      <c r="AD2475" s="73" t="s">
        <v>9578</v>
      </c>
      <c r="AE2475" s="74" t="s">
        <v>9579</v>
      </c>
    </row>
    <row r="2476" spans="1:31" ht="8.65" customHeight="1" x14ac:dyDescent="0.2">
      <c r="A2476" s="76">
        <v>2476</v>
      </c>
      <c r="B2476" s="67" t="str">
        <f>MID(C2476, FIND("Ifc.", C2476) + 4, 4) &amp; "_" &amp; TEXT(COUNTIF($C$2:C2476, C2476),"0000")</f>
        <v>Info_0006</v>
      </c>
      <c r="C2476" s="23" t="s">
        <v>9506</v>
      </c>
      <c r="D2476" s="69" t="s">
        <v>9453</v>
      </c>
      <c r="E2476" s="70" t="s">
        <v>9507</v>
      </c>
      <c r="F2476" s="26" t="s">
        <v>798</v>
      </c>
      <c r="G2476" s="15" t="s">
        <v>798</v>
      </c>
      <c r="H2476" s="14" t="s">
        <v>798</v>
      </c>
      <c r="I2476" s="15" t="s">
        <v>798</v>
      </c>
      <c r="J2476" s="12" t="s">
        <v>9435</v>
      </c>
      <c r="K2476" s="16" t="s">
        <v>2550</v>
      </c>
      <c r="L2476" s="12" t="s">
        <v>800</v>
      </c>
      <c r="M2476" s="16" t="s">
        <v>5584</v>
      </c>
      <c r="N2476" s="19" t="s">
        <v>798</v>
      </c>
      <c r="O2476" s="20" t="s">
        <v>798</v>
      </c>
      <c r="P2476" s="17" t="s">
        <v>802</v>
      </c>
      <c r="Q2476" s="21" t="s">
        <v>8102</v>
      </c>
      <c r="R2476" s="19" t="s">
        <v>798</v>
      </c>
      <c r="S2476" s="20" t="s">
        <v>798</v>
      </c>
      <c r="T2476" s="17" t="s">
        <v>798</v>
      </c>
      <c r="U2476" s="20" t="s">
        <v>798</v>
      </c>
      <c r="V2476" s="26" t="s">
        <v>798</v>
      </c>
      <c r="W2476" s="20" t="s">
        <v>798</v>
      </c>
      <c r="X2476" s="26" t="s">
        <v>798</v>
      </c>
      <c r="Y2476" s="20" t="s">
        <v>798</v>
      </c>
      <c r="Z2476" s="73" t="s">
        <v>9486</v>
      </c>
      <c r="AA2476" s="74" t="s">
        <v>9508</v>
      </c>
      <c r="AB2476" s="73" t="s">
        <v>9486</v>
      </c>
      <c r="AC2476" s="74" t="s">
        <v>9561</v>
      </c>
      <c r="AD2476" s="73" t="s">
        <v>9578</v>
      </c>
      <c r="AE2476" s="74" t="s">
        <v>9579</v>
      </c>
    </row>
    <row r="2477" spans="1:31" ht="8.65" customHeight="1" x14ac:dyDescent="0.2">
      <c r="A2477" s="76">
        <v>2477</v>
      </c>
      <c r="B2477" s="67" t="str">
        <f>MID(C2477, FIND("Ifc.", C2477) + 4, 4) &amp; "_" &amp; TEXT(COUNTIF($C$2:C2477, C2477),"0000")</f>
        <v>Info_0007</v>
      </c>
      <c r="C2477" s="23" t="s">
        <v>9506</v>
      </c>
      <c r="D2477" s="69" t="s">
        <v>9453</v>
      </c>
      <c r="E2477" s="70" t="s">
        <v>9507</v>
      </c>
      <c r="F2477" s="26" t="s">
        <v>798</v>
      </c>
      <c r="G2477" s="15" t="s">
        <v>798</v>
      </c>
      <c r="H2477" s="14" t="s">
        <v>798</v>
      </c>
      <c r="I2477" s="15" t="s">
        <v>798</v>
      </c>
      <c r="J2477" s="12" t="s">
        <v>9435</v>
      </c>
      <c r="K2477" s="16" t="s">
        <v>2551</v>
      </c>
      <c r="L2477" s="12" t="s">
        <v>800</v>
      </c>
      <c r="M2477" s="16" t="s">
        <v>5585</v>
      </c>
      <c r="N2477" s="19" t="s">
        <v>798</v>
      </c>
      <c r="O2477" s="20" t="s">
        <v>798</v>
      </c>
      <c r="P2477" s="17" t="s">
        <v>802</v>
      </c>
      <c r="Q2477" s="21" t="s">
        <v>8103</v>
      </c>
      <c r="R2477" s="19" t="s">
        <v>798</v>
      </c>
      <c r="S2477" s="20" t="s">
        <v>798</v>
      </c>
      <c r="T2477" s="17" t="s">
        <v>798</v>
      </c>
      <c r="U2477" s="20" t="s">
        <v>798</v>
      </c>
      <c r="V2477" s="26" t="s">
        <v>798</v>
      </c>
      <c r="W2477" s="20" t="s">
        <v>798</v>
      </c>
      <c r="X2477" s="26" t="s">
        <v>798</v>
      </c>
      <c r="Y2477" s="20" t="s">
        <v>798</v>
      </c>
      <c r="Z2477" s="73" t="s">
        <v>9486</v>
      </c>
      <c r="AA2477" s="74" t="s">
        <v>9508</v>
      </c>
      <c r="AB2477" s="73" t="s">
        <v>9486</v>
      </c>
      <c r="AC2477" s="74" t="s">
        <v>9561</v>
      </c>
      <c r="AD2477" s="73" t="s">
        <v>9578</v>
      </c>
      <c r="AE2477" s="74" t="s">
        <v>9579</v>
      </c>
    </row>
    <row r="2478" spans="1:31" ht="8.65" customHeight="1" x14ac:dyDescent="0.2">
      <c r="A2478" s="76">
        <v>2478</v>
      </c>
      <c r="B2478" s="67" t="str">
        <f>MID(C2478, FIND("Ifc.", C2478) + 4, 4) &amp; "_" &amp; TEXT(COUNTIF($C$2:C2478, C2478),"0000")</f>
        <v>Info_0008</v>
      </c>
      <c r="C2478" s="23" t="s">
        <v>9506</v>
      </c>
      <c r="D2478" s="69" t="s">
        <v>9453</v>
      </c>
      <c r="E2478" s="70" t="s">
        <v>9507</v>
      </c>
      <c r="F2478" s="26" t="s">
        <v>798</v>
      </c>
      <c r="G2478" s="15" t="s">
        <v>798</v>
      </c>
      <c r="H2478" s="14" t="s">
        <v>798</v>
      </c>
      <c r="I2478" s="15" t="s">
        <v>798</v>
      </c>
      <c r="J2478" s="12" t="s">
        <v>9435</v>
      </c>
      <c r="K2478" s="16" t="s">
        <v>2552</v>
      </c>
      <c r="L2478" s="12" t="s">
        <v>800</v>
      </c>
      <c r="M2478" s="16" t="s">
        <v>5863</v>
      </c>
      <c r="N2478" s="19" t="s">
        <v>798</v>
      </c>
      <c r="O2478" s="20" t="s">
        <v>798</v>
      </c>
      <c r="P2478" s="17" t="s">
        <v>802</v>
      </c>
      <c r="Q2478" s="21" t="s">
        <v>8104</v>
      </c>
      <c r="R2478" s="19" t="s">
        <v>798</v>
      </c>
      <c r="S2478" s="20" t="s">
        <v>798</v>
      </c>
      <c r="T2478" s="17" t="s">
        <v>798</v>
      </c>
      <c r="U2478" s="20" t="s">
        <v>798</v>
      </c>
      <c r="V2478" s="26" t="s">
        <v>798</v>
      </c>
      <c r="W2478" s="20" t="s">
        <v>798</v>
      </c>
      <c r="X2478" s="26" t="s">
        <v>798</v>
      </c>
      <c r="Y2478" s="20" t="s">
        <v>798</v>
      </c>
      <c r="Z2478" s="73" t="s">
        <v>9486</v>
      </c>
      <c r="AA2478" s="74" t="s">
        <v>9508</v>
      </c>
      <c r="AB2478" s="73" t="s">
        <v>9486</v>
      </c>
      <c r="AC2478" s="74" t="s">
        <v>9562</v>
      </c>
      <c r="AD2478" s="73" t="s">
        <v>9578</v>
      </c>
      <c r="AE2478" s="74" t="s">
        <v>9579</v>
      </c>
    </row>
    <row r="2479" spans="1:31" ht="8.65" customHeight="1" x14ac:dyDescent="0.2">
      <c r="A2479" s="76">
        <v>2479</v>
      </c>
      <c r="B2479" s="67" t="str">
        <f>MID(C2479, FIND("Ifc.", C2479) + 4, 4) &amp; "_" &amp; TEXT(COUNTIF($C$2:C2479, C2479),"0000")</f>
        <v>Info_0009</v>
      </c>
      <c r="C2479" s="23" t="s">
        <v>9506</v>
      </c>
      <c r="D2479" s="69" t="s">
        <v>9453</v>
      </c>
      <c r="E2479" s="70" t="s">
        <v>9507</v>
      </c>
      <c r="F2479" s="26" t="s">
        <v>798</v>
      </c>
      <c r="G2479" s="15" t="s">
        <v>798</v>
      </c>
      <c r="H2479" s="14" t="s">
        <v>798</v>
      </c>
      <c r="I2479" s="15" t="s">
        <v>798</v>
      </c>
      <c r="J2479" s="12" t="s">
        <v>9435</v>
      </c>
      <c r="K2479" s="16" t="s">
        <v>2553</v>
      </c>
      <c r="L2479" s="12" t="s">
        <v>800</v>
      </c>
      <c r="M2479" s="16" t="s">
        <v>5318</v>
      </c>
      <c r="N2479" s="19" t="s">
        <v>798</v>
      </c>
      <c r="O2479" s="20" t="s">
        <v>798</v>
      </c>
      <c r="P2479" s="17" t="s">
        <v>802</v>
      </c>
      <c r="Q2479" s="21" t="s">
        <v>8105</v>
      </c>
      <c r="R2479" s="19" t="s">
        <v>798</v>
      </c>
      <c r="S2479" s="20" t="s">
        <v>798</v>
      </c>
      <c r="T2479" s="17" t="s">
        <v>798</v>
      </c>
      <c r="U2479" s="20" t="s">
        <v>798</v>
      </c>
      <c r="V2479" s="26" t="s">
        <v>798</v>
      </c>
      <c r="W2479" s="20" t="s">
        <v>798</v>
      </c>
      <c r="X2479" s="26" t="s">
        <v>798</v>
      </c>
      <c r="Y2479" s="20" t="s">
        <v>798</v>
      </c>
      <c r="Z2479" s="73" t="s">
        <v>9486</v>
      </c>
      <c r="AA2479" s="74" t="s">
        <v>9508</v>
      </c>
      <c r="AB2479" s="73" t="s">
        <v>9486</v>
      </c>
      <c r="AC2479" s="74" t="s">
        <v>9561</v>
      </c>
      <c r="AD2479" s="73" t="s">
        <v>9578</v>
      </c>
      <c r="AE2479" s="74" t="s">
        <v>9579</v>
      </c>
    </row>
    <row r="2480" spans="1:31" ht="8.65" customHeight="1" x14ac:dyDescent="0.2">
      <c r="A2480" s="76">
        <v>2480</v>
      </c>
      <c r="B2480" s="67" t="str">
        <f>MID(C2480, FIND("Ifc.", C2480) + 4, 4) &amp; "_" &amp; TEXT(COUNTIF($C$2:C2480, C2480),"0000")</f>
        <v>Info_0010</v>
      </c>
      <c r="C2480" s="23" t="s">
        <v>9506</v>
      </c>
      <c r="D2480" s="69" t="s">
        <v>9453</v>
      </c>
      <c r="E2480" s="70" t="s">
        <v>9507</v>
      </c>
      <c r="F2480" s="26" t="s">
        <v>798</v>
      </c>
      <c r="G2480" s="15" t="s">
        <v>798</v>
      </c>
      <c r="H2480" s="14" t="s">
        <v>798</v>
      </c>
      <c r="I2480" s="15" t="s">
        <v>798</v>
      </c>
      <c r="J2480" s="12" t="s">
        <v>9435</v>
      </c>
      <c r="K2480" s="16" t="s">
        <v>2554</v>
      </c>
      <c r="L2480" s="12" t="s">
        <v>800</v>
      </c>
      <c r="M2480" s="16" t="s">
        <v>5586</v>
      </c>
      <c r="N2480" s="19" t="s">
        <v>798</v>
      </c>
      <c r="O2480" s="20" t="s">
        <v>798</v>
      </c>
      <c r="P2480" s="17" t="s">
        <v>802</v>
      </c>
      <c r="Q2480" s="21" t="s">
        <v>8106</v>
      </c>
      <c r="R2480" s="19" t="s">
        <v>798</v>
      </c>
      <c r="S2480" s="20" t="s">
        <v>798</v>
      </c>
      <c r="T2480" s="17" t="s">
        <v>798</v>
      </c>
      <c r="U2480" s="20" t="s">
        <v>798</v>
      </c>
      <c r="V2480" s="26" t="s">
        <v>798</v>
      </c>
      <c r="W2480" s="20" t="s">
        <v>798</v>
      </c>
      <c r="X2480" s="26" t="s">
        <v>798</v>
      </c>
      <c r="Y2480" s="20" t="s">
        <v>798</v>
      </c>
      <c r="Z2480" s="73" t="s">
        <v>9486</v>
      </c>
      <c r="AA2480" s="74" t="s">
        <v>9508</v>
      </c>
      <c r="AB2480" s="73" t="s">
        <v>9486</v>
      </c>
      <c r="AC2480" s="74" t="s">
        <v>9562</v>
      </c>
      <c r="AD2480" s="73" t="s">
        <v>9578</v>
      </c>
      <c r="AE2480" s="74" t="s">
        <v>9579</v>
      </c>
    </row>
    <row r="2481" spans="1:31" ht="8.65" customHeight="1" x14ac:dyDescent="0.2">
      <c r="A2481" s="76">
        <v>2481</v>
      </c>
      <c r="B2481" s="67" t="str">
        <f>MID(C2481, FIND("Ifc.", C2481) + 4, 4) &amp; "_" &amp; TEXT(COUNTIF($C$2:C2481, C2481),"0000")</f>
        <v>Info_0011</v>
      </c>
      <c r="C2481" s="23" t="s">
        <v>9506</v>
      </c>
      <c r="D2481" s="69" t="s">
        <v>9453</v>
      </c>
      <c r="E2481" s="70" t="s">
        <v>9507</v>
      </c>
      <c r="F2481" s="26" t="s">
        <v>798</v>
      </c>
      <c r="G2481" s="15" t="s">
        <v>798</v>
      </c>
      <c r="H2481" s="14" t="s">
        <v>798</v>
      </c>
      <c r="I2481" s="15" t="s">
        <v>798</v>
      </c>
      <c r="J2481" s="12" t="s">
        <v>9435</v>
      </c>
      <c r="K2481" s="16" t="s">
        <v>2555</v>
      </c>
      <c r="L2481" s="12" t="s">
        <v>800</v>
      </c>
      <c r="M2481" s="16" t="s">
        <v>5319</v>
      </c>
      <c r="N2481" s="19" t="s">
        <v>798</v>
      </c>
      <c r="O2481" s="20" t="s">
        <v>798</v>
      </c>
      <c r="P2481" s="17" t="s">
        <v>802</v>
      </c>
      <c r="Q2481" s="21" t="s">
        <v>8107</v>
      </c>
      <c r="R2481" s="19" t="s">
        <v>798</v>
      </c>
      <c r="S2481" s="20" t="s">
        <v>798</v>
      </c>
      <c r="T2481" s="17" t="s">
        <v>798</v>
      </c>
      <c r="U2481" s="20" t="s">
        <v>798</v>
      </c>
      <c r="V2481" s="26" t="s">
        <v>798</v>
      </c>
      <c r="W2481" s="20" t="s">
        <v>798</v>
      </c>
      <c r="X2481" s="26" t="s">
        <v>798</v>
      </c>
      <c r="Y2481" s="20" t="s">
        <v>798</v>
      </c>
      <c r="Z2481" s="73" t="s">
        <v>9486</v>
      </c>
      <c r="AA2481" s="74" t="s">
        <v>9508</v>
      </c>
      <c r="AB2481" s="73" t="s">
        <v>9486</v>
      </c>
      <c r="AC2481" s="74" t="s">
        <v>9562</v>
      </c>
      <c r="AD2481" s="73" t="s">
        <v>9578</v>
      </c>
      <c r="AE2481" s="74" t="s">
        <v>9579</v>
      </c>
    </row>
    <row r="2482" spans="1:31" ht="8.65" customHeight="1" x14ac:dyDescent="0.2">
      <c r="A2482" s="76">
        <v>2482</v>
      </c>
      <c r="B2482" s="67" t="str">
        <f>MID(C2482, FIND("Ifc.", C2482) + 4, 4) &amp; "_" &amp; TEXT(COUNTIF($C$2:C2482, C2482),"0000")</f>
        <v>Info_0012</v>
      </c>
      <c r="C2482" s="23" t="s">
        <v>9506</v>
      </c>
      <c r="D2482" s="69" t="s">
        <v>9453</v>
      </c>
      <c r="E2482" s="70" t="s">
        <v>9507</v>
      </c>
      <c r="F2482" s="26" t="s">
        <v>798</v>
      </c>
      <c r="G2482" s="15" t="s">
        <v>798</v>
      </c>
      <c r="H2482" s="14" t="s">
        <v>798</v>
      </c>
      <c r="I2482" s="15" t="s">
        <v>798</v>
      </c>
      <c r="J2482" s="12" t="s">
        <v>9435</v>
      </c>
      <c r="K2482" s="16" t="s">
        <v>2556</v>
      </c>
      <c r="L2482" s="12" t="s">
        <v>800</v>
      </c>
      <c r="M2482" s="16" t="s">
        <v>5320</v>
      </c>
      <c r="N2482" s="19" t="s">
        <v>798</v>
      </c>
      <c r="O2482" s="20" t="s">
        <v>798</v>
      </c>
      <c r="P2482" s="17" t="s">
        <v>802</v>
      </c>
      <c r="Q2482" s="21" t="s">
        <v>8108</v>
      </c>
      <c r="R2482" s="19" t="s">
        <v>798</v>
      </c>
      <c r="S2482" s="20" t="s">
        <v>798</v>
      </c>
      <c r="T2482" s="17" t="s">
        <v>798</v>
      </c>
      <c r="U2482" s="20" t="s">
        <v>798</v>
      </c>
      <c r="V2482" s="26" t="s">
        <v>798</v>
      </c>
      <c r="W2482" s="20" t="s">
        <v>798</v>
      </c>
      <c r="X2482" s="26" t="s">
        <v>798</v>
      </c>
      <c r="Y2482" s="20" t="s">
        <v>798</v>
      </c>
      <c r="Z2482" s="73" t="s">
        <v>9486</v>
      </c>
      <c r="AA2482" s="74" t="s">
        <v>9508</v>
      </c>
      <c r="AB2482" s="73" t="s">
        <v>9486</v>
      </c>
      <c r="AC2482" s="74" t="s">
        <v>9566</v>
      </c>
      <c r="AD2482" s="73" t="s">
        <v>9578</v>
      </c>
      <c r="AE2482" s="74" t="s">
        <v>9579</v>
      </c>
    </row>
    <row r="2483" spans="1:31" ht="8.65" customHeight="1" x14ac:dyDescent="0.2">
      <c r="A2483" s="76">
        <v>2483</v>
      </c>
      <c r="B2483" s="67" t="str">
        <f>MID(C2483, FIND("Ifc.", C2483) + 4, 4) &amp; "_" &amp; TEXT(COUNTIF($C$2:C2483, C2483),"0000")</f>
        <v>Info_0013</v>
      </c>
      <c r="C2483" s="23" t="s">
        <v>9506</v>
      </c>
      <c r="D2483" s="69" t="s">
        <v>9453</v>
      </c>
      <c r="E2483" s="70" t="s">
        <v>9507</v>
      </c>
      <c r="F2483" s="26" t="s">
        <v>798</v>
      </c>
      <c r="G2483" s="15" t="s">
        <v>798</v>
      </c>
      <c r="H2483" s="14" t="s">
        <v>798</v>
      </c>
      <c r="I2483" s="15" t="s">
        <v>798</v>
      </c>
      <c r="J2483" s="12" t="s">
        <v>9435</v>
      </c>
      <c r="K2483" s="16" t="s">
        <v>2557</v>
      </c>
      <c r="L2483" s="12" t="s">
        <v>800</v>
      </c>
      <c r="M2483" s="16" t="s">
        <v>5587</v>
      </c>
      <c r="N2483" s="19" t="s">
        <v>798</v>
      </c>
      <c r="O2483" s="20" t="s">
        <v>798</v>
      </c>
      <c r="P2483" s="17" t="s">
        <v>802</v>
      </c>
      <c r="Q2483" s="21" t="s">
        <v>8109</v>
      </c>
      <c r="R2483" s="19" t="s">
        <v>798</v>
      </c>
      <c r="S2483" s="20" t="s">
        <v>798</v>
      </c>
      <c r="T2483" s="17" t="s">
        <v>798</v>
      </c>
      <c r="U2483" s="20" t="s">
        <v>798</v>
      </c>
      <c r="V2483" s="26" t="s">
        <v>798</v>
      </c>
      <c r="W2483" s="20" t="s">
        <v>798</v>
      </c>
      <c r="X2483" s="26" t="s">
        <v>798</v>
      </c>
      <c r="Y2483" s="20" t="s">
        <v>798</v>
      </c>
      <c r="Z2483" s="73" t="s">
        <v>9486</v>
      </c>
      <c r="AA2483" s="74" t="s">
        <v>9508</v>
      </c>
      <c r="AB2483" s="73" t="s">
        <v>9486</v>
      </c>
      <c r="AC2483" s="74" t="s">
        <v>9562</v>
      </c>
      <c r="AD2483" s="73" t="s">
        <v>9578</v>
      </c>
      <c r="AE2483" s="74" t="s">
        <v>9579</v>
      </c>
    </row>
    <row r="2484" spans="1:31" ht="8.65" customHeight="1" x14ac:dyDescent="0.2">
      <c r="A2484" s="76">
        <v>2484</v>
      </c>
      <c r="B2484" s="67" t="str">
        <f>MID(C2484, FIND("Ifc.", C2484) + 4, 4) &amp; "_" &amp; TEXT(COUNTIF($C$2:C2484, C2484),"0000")</f>
        <v>Info_0014</v>
      </c>
      <c r="C2484" s="23" t="s">
        <v>9506</v>
      </c>
      <c r="D2484" s="69" t="s">
        <v>9453</v>
      </c>
      <c r="E2484" s="70" t="s">
        <v>9507</v>
      </c>
      <c r="F2484" s="26" t="s">
        <v>798</v>
      </c>
      <c r="G2484" s="15" t="s">
        <v>798</v>
      </c>
      <c r="H2484" s="14" t="s">
        <v>798</v>
      </c>
      <c r="I2484" s="15" t="s">
        <v>798</v>
      </c>
      <c r="J2484" s="12" t="s">
        <v>9435</v>
      </c>
      <c r="K2484" s="16" t="s">
        <v>2558</v>
      </c>
      <c r="L2484" s="12" t="s">
        <v>800</v>
      </c>
      <c r="M2484" s="16" t="s">
        <v>5588</v>
      </c>
      <c r="N2484" s="19" t="s">
        <v>798</v>
      </c>
      <c r="O2484" s="20" t="s">
        <v>798</v>
      </c>
      <c r="P2484" s="17" t="s">
        <v>802</v>
      </c>
      <c r="Q2484" s="21" t="s">
        <v>8110</v>
      </c>
      <c r="R2484" s="19" t="s">
        <v>798</v>
      </c>
      <c r="S2484" s="20" t="s">
        <v>798</v>
      </c>
      <c r="T2484" s="17" t="s">
        <v>798</v>
      </c>
      <c r="U2484" s="20" t="s">
        <v>798</v>
      </c>
      <c r="V2484" s="26" t="s">
        <v>798</v>
      </c>
      <c r="W2484" s="20" t="s">
        <v>798</v>
      </c>
      <c r="X2484" s="26" t="s">
        <v>798</v>
      </c>
      <c r="Y2484" s="20" t="s">
        <v>798</v>
      </c>
      <c r="Z2484" s="73" t="s">
        <v>9486</v>
      </c>
      <c r="AA2484" s="74" t="s">
        <v>9508</v>
      </c>
      <c r="AB2484" s="73" t="s">
        <v>9486</v>
      </c>
      <c r="AC2484" s="74" t="s">
        <v>9562</v>
      </c>
      <c r="AD2484" s="73" t="s">
        <v>9578</v>
      </c>
      <c r="AE2484" s="74" t="s">
        <v>9579</v>
      </c>
    </row>
    <row r="2485" spans="1:31" ht="8.65" customHeight="1" x14ac:dyDescent="0.2">
      <c r="A2485" s="76">
        <v>2485</v>
      </c>
      <c r="B2485" s="67" t="str">
        <f>MID(C2485, FIND("Ifc.", C2485) + 4, 4) &amp; "_" &amp; TEXT(COUNTIF($C$2:C2485, C2485),"0000")</f>
        <v>Info_0015</v>
      </c>
      <c r="C2485" s="23" t="s">
        <v>9506</v>
      </c>
      <c r="D2485" s="69" t="s">
        <v>9453</v>
      </c>
      <c r="E2485" s="70" t="s">
        <v>9507</v>
      </c>
      <c r="F2485" s="26" t="s">
        <v>798</v>
      </c>
      <c r="G2485" s="15" t="s">
        <v>798</v>
      </c>
      <c r="H2485" s="14" t="s">
        <v>798</v>
      </c>
      <c r="I2485" s="15" t="s">
        <v>798</v>
      </c>
      <c r="J2485" s="12" t="s">
        <v>9435</v>
      </c>
      <c r="K2485" s="16" t="s">
        <v>2559</v>
      </c>
      <c r="L2485" s="12" t="s">
        <v>800</v>
      </c>
      <c r="M2485" s="16" t="s">
        <v>5234</v>
      </c>
      <c r="N2485" s="19" t="s">
        <v>798</v>
      </c>
      <c r="O2485" s="20" t="s">
        <v>798</v>
      </c>
      <c r="P2485" s="17" t="s">
        <v>802</v>
      </c>
      <c r="Q2485" s="21" t="s">
        <v>8111</v>
      </c>
      <c r="R2485" s="19" t="s">
        <v>798</v>
      </c>
      <c r="S2485" s="20" t="s">
        <v>798</v>
      </c>
      <c r="T2485" s="17" t="s">
        <v>798</v>
      </c>
      <c r="U2485" s="20" t="s">
        <v>798</v>
      </c>
      <c r="V2485" s="26" t="s">
        <v>798</v>
      </c>
      <c r="W2485" s="20" t="s">
        <v>798</v>
      </c>
      <c r="X2485" s="26" t="s">
        <v>798</v>
      </c>
      <c r="Y2485" s="20" t="s">
        <v>798</v>
      </c>
      <c r="Z2485" s="73" t="s">
        <v>9486</v>
      </c>
      <c r="AA2485" s="74" t="s">
        <v>9508</v>
      </c>
      <c r="AB2485" s="73" t="s">
        <v>9486</v>
      </c>
      <c r="AC2485" s="74" t="s">
        <v>9562</v>
      </c>
      <c r="AD2485" s="73" t="s">
        <v>9578</v>
      </c>
      <c r="AE2485" s="74" t="s">
        <v>9579</v>
      </c>
    </row>
    <row r="2486" spans="1:31" ht="8.65" customHeight="1" x14ac:dyDescent="0.2">
      <c r="A2486" s="76">
        <v>2486</v>
      </c>
      <c r="B2486" s="67" t="str">
        <f>MID(C2486, FIND("Ifc.", C2486) + 4, 4) &amp; "_" &amp; TEXT(COUNTIF($C$2:C2486, C2486),"0000")</f>
        <v>Info_0016</v>
      </c>
      <c r="C2486" s="23" t="s">
        <v>9506</v>
      </c>
      <c r="D2486" s="69" t="s">
        <v>9453</v>
      </c>
      <c r="E2486" s="70" t="s">
        <v>9507</v>
      </c>
      <c r="F2486" s="26" t="s">
        <v>798</v>
      </c>
      <c r="G2486" s="15" t="s">
        <v>798</v>
      </c>
      <c r="H2486" s="14" t="s">
        <v>798</v>
      </c>
      <c r="I2486" s="15" t="s">
        <v>798</v>
      </c>
      <c r="J2486" s="12" t="s">
        <v>9435</v>
      </c>
      <c r="K2486" s="16" t="s">
        <v>2560</v>
      </c>
      <c r="L2486" s="12" t="s">
        <v>800</v>
      </c>
      <c r="M2486" s="16" t="s">
        <v>5589</v>
      </c>
      <c r="N2486" s="19" t="s">
        <v>798</v>
      </c>
      <c r="O2486" s="20" t="s">
        <v>798</v>
      </c>
      <c r="P2486" s="17" t="s">
        <v>802</v>
      </c>
      <c r="Q2486" s="21" t="s">
        <v>8112</v>
      </c>
      <c r="R2486" s="19" t="s">
        <v>798</v>
      </c>
      <c r="S2486" s="20" t="s">
        <v>798</v>
      </c>
      <c r="T2486" s="17" t="s">
        <v>798</v>
      </c>
      <c r="U2486" s="20" t="s">
        <v>798</v>
      </c>
      <c r="V2486" s="26" t="s">
        <v>798</v>
      </c>
      <c r="W2486" s="20" t="s">
        <v>798</v>
      </c>
      <c r="X2486" s="26" t="s">
        <v>798</v>
      </c>
      <c r="Y2486" s="20" t="s">
        <v>798</v>
      </c>
      <c r="Z2486" s="73" t="s">
        <v>9486</v>
      </c>
      <c r="AA2486" s="74" t="s">
        <v>9508</v>
      </c>
      <c r="AB2486" s="73" t="s">
        <v>9486</v>
      </c>
      <c r="AC2486" s="74" t="s">
        <v>9562</v>
      </c>
      <c r="AD2486" s="73" t="s">
        <v>9578</v>
      </c>
      <c r="AE2486" s="74" t="s">
        <v>9579</v>
      </c>
    </row>
    <row r="2487" spans="1:31" ht="8.65" customHeight="1" x14ac:dyDescent="0.2">
      <c r="A2487" s="76">
        <v>2487</v>
      </c>
      <c r="B2487" s="67" t="str">
        <f>MID(C2487, FIND("Ifc.", C2487) + 4, 4) &amp; "_" &amp; TEXT(COUNTIF($C$2:C2487, C2487),"0000")</f>
        <v>Info_0017</v>
      </c>
      <c r="C2487" s="23" t="s">
        <v>9506</v>
      </c>
      <c r="D2487" s="69" t="s">
        <v>9453</v>
      </c>
      <c r="E2487" s="70" t="s">
        <v>9507</v>
      </c>
      <c r="F2487" s="26" t="s">
        <v>798</v>
      </c>
      <c r="G2487" s="15" t="s">
        <v>798</v>
      </c>
      <c r="H2487" s="14" t="s">
        <v>798</v>
      </c>
      <c r="I2487" s="15" t="s">
        <v>798</v>
      </c>
      <c r="J2487" s="12" t="s">
        <v>9435</v>
      </c>
      <c r="K2487" s="16" t="s">
        <v>2561</v>
      </c>
      <c r="L2487" s="12" t="s">
        <v>800</v>
      </c>
      <c r="M2487" s="16" t="s">
        <v>5321</v>
      </c>
      <c r="N2487" s="19" t="s">
        <v>798</v>
      </c>
      <c r="O2487" s="20" t="s">
        <v>798</v>
      </c>
      <c r="P2487" s="17" t="s">
        <v>802</v>
      </c>
      <c r="Q2487" s="21" t="s">
        <v>8113</v>
      </c>
      <c r="R2487" s="19" t="s">
        <v>798</v>
      </c>
      <c r="S2487" s="20" t="s">
        <v>798</v>
      </c>
      <c r="T2487" s="17" t="s">
        <v>798</v>
      </c>
      <c r="U2487" s="20" t="s">
        <v>798</v>
      </c>
      <c r="V2487" s="26" t="s">
        <v>798</v>
      </c>
      <c r="W2487" s="20" t="s">
        <v>798</v>
      </c>
      <c r="X2487" s="26" t="s">
        <v>798</v>
      </c>
      <c r="Y2487" s="20" t="s">
        <v>798</v>
      </c>
      <c r="Z2487" s="73" t="s">
        <v>9486</v>
      </c>
      <c r="AA2487" s="74" t="s">
        <v>9508</v>
      </c>
      <c r="AB2487" s="73" t="s">
        <v>9486</v>
      </c>
      <c r="AC2487" s="74" t="s">
        <v>9562</v>
      </c>
      <c r="AD2487" s="73" t="s">
        <v>9578</v>
      </c>
      <c r="AE2487" s="74" t="s">
        <v>9579</v>
      </c>
    </row>
    <row r="2488" spans="1:31" ht="8.65" customHeight="1" x14ac:dyDescent="0.2">
      <c r="A2488" s="76">
        <v>2488</v>
      </c>
      <c r="B2488" s="67" t="str">
        <f>MID(C2488, FIND("Ifc.", C2488) + 4, 4) &amp; "_" &amp; TEXT(COUNTIF($C$2:C2488, C2488),"0000")</f>
        <v>Info_0018</v>
      </c>
      <c r="C2488" s="23" t="s">
        <v>9506</v>
      </c>
      <c r="D2488" s="69" t="s">
        <v>9453</v>
      </c>
      <c r="E2488" s="70" t="s">
        <v>9507</v>
      </c>
      <c r="F2488" s="26" t="s">
        <v>798</v>
      </c>
      <c r="G2488" s="15" t="s">
        <v>798</v>
      </c>
      <c r="H2488" s="14" t="s">
        <v>798</v>
      </c>
      <c r="I2488" s="15" t="s">
        <v>798</v>
      </c>
      <c r="J2488" s="12" t="s">
        <v>9435</v>
      </c>
      <c r="K2488" s="16" t="s">
        <v>2562</v>
      </c>
      <c r="L2488" s="12" t="s">
        <v>800</v>
      </c>
      <c r="M2488" s="16" t="s">
        <v>5590</v>
      </c>
      <c r="N2488" s="19" t="s">
        <v>798</v>
      </c>
      <c r="O2488" s="20" t="s">
        <v>798</v>
      </c>
      <c r="P2488" s="17" t="s">
        <v>802</v>
      </c>
      <c r="Q2488" s="21" t="s">
        <v>8114</v>
      </c>
      <c r="R2488" s="19" t="s">
        <v>798</v>
      </c>
      <c r="S2488" s="20" t="s">
        <v>798</v>
      </c>
      <c r="T2488" s="17" t="s">
        <v>798</v>
      </c>
      <c r="U2488" s="20" t="s">
        <v>798</v>
      </c>
      <c r="V2488" s="26" t="s">
        <v>798</v>
      </c>
      <c r="W2488" s="20" t="s">
        <v>798</v>
      </c>
      <c r="X2488" s="26" t="s">
        <v>798</v>
      </c>
      <c r="Y2488" s="20" t="s">
        <v>798</v>
      </c>
      <c r="Z2488" s="73" t="s">
        <v>9486</v>
      </c>
      <c r="AA2488" s="74" t="s">
        <v>9508</v>
      </c>
      <c r="AB2488" s="73" t="s">
        <v>9486</v>
      </c>
      <c r="AC2488" s="74" t="s">
        <v>9562</v>
      </c>
      <c r="AD2488" s="73" t="s">
        <v>9578</v>
      </c>
      <c r="AE2488" s="74" t="s">
        <v>9579</v>
      </c>
    </row>
    <row r="2489" spans="1:31" ht="8.65" customHeight="1" x14ac:dyDescent="0.2">
      <c r="A2489" s="76">
        <v>2489</v>
      </c>
      <c r="B2489" s="67" t="str">
        <f>MID(C2489, FIND("Ifc.", C2489) + 4, 4) &amp; "_" &amp; TEXT(COUNTIF($C$2:C2489, C2489),"0000")</f>
        <v>Info_0019</v>
      </c>
      <c r="C2489" s="23" t="s">
        <v>9506</v>
      </c>
      <c r="D2489" s="69" t="s">
        <v>9453</v>
      </c>
      <c r="E2489" s="70" t="s">
        <v>9507</v>
      </c>
      <c r="F2489" s="26" t="s">
        <v>798</v>
      </c>
      <c r="G2489" s="15" t="s">
        <v>798</v>
      </c>
      <c r="H2489" s="14" t="s">
        <v>798</v>
      </c>
      <c r="I2489" s="15" t="s">
        <v>798</v>
      </c>
      <c r="J2489" s="12" t="s">
        <v>9435</v>
      </c>
      <c r="K2489" s="16" t="s">
        <v>2563</v>
      </c>
      <c r="L2489" s="12" t="s">
        <v>800</v>
      </c>
      <c r="M2489" s="16" t="s">
        <v>5322</v>
      </c>
      <c r="N2489" s="19" t="s">
        <v>798</v>
      </c>
      <c r="O2489" s="20" t="s">
        <v>798</v>
      </c>
      <c r="P2489" s="17" t="s">
        <v>802</v>
      </c>
      <c r="Q2489" s="21" t="s">
        <v>8115</v>
      </c>
      <c r="R2489" s="19" t="s">
        <v>798</v>
      </c>
      <c r="S2489" s="20" t="s">
        <v>798</v>
      </c>
      <c r="T2489" s="17" t="s">
        <v>798</v>
      </c>
      <c r="U2489" s="20" t="s">
        <v>798</v>
      </c>
      <c r="V2489" s="26" t="s">
        <v>798</v>
      </c>
      <c r="W2489" s="20" t="s">
        <v>798</v>
      </c>
      <c r="X2489" s="26" t="s">
        <v>798</v>
      </c>
      <c r="Y2489" s="20" t="s">
        <v>798</v>
      </c>
      <c r="Z2489" s="73" t="s">
        <v>9486</v>
      </c>
      <c r="AA2489" s="74" t="s">
        <v>9508</v>
      </c>
      <c r="AB2489" s="73" t="s">
        <v>9486</v>
      </c>
      <c r="AC2489" s="74" t="s">
        <v>9562</v>
      </c>
      <c r="AD2489" s="73" t="s">
        <v>9578</v>
      </c>
      <c r="AE2489" s="74" t="s">
        <v>9579</v>
      </c>
    </row>
    <row r="2490" spans="1:31" ht="8.65" customHeight="1" x14ac:dyDescent="0.2">
      <c r="A2490" s="76">
        <v>2490</v>
      </c>
      <c r="B2490" s="67" t="str">
        <f>MID(C2490, FIND("Ifc.", C2490) + 4, 4) &amp; "_" &amp; TEXT(COUNTIF($C$2:C2490, C2490),"0000")</f>
        <v>Info_0020</v>
      </c>
      <c r="C2490" s="23" t="s">
        <v>9506</v>
      </c>
      <c r="D2490" s="69" t="s">
        <v>9453</v>
      </c>
      <c r="E2490" s="70" t="s">
        <v>9507</v>
      </c>
      <c r="F2490" s="26" t="s">
        <v>798</v>
      </c>
      <c r="G2490" s="15" t="s">
        <v>798</v>
      </c>
      <c r="H2490" s="14" t="s">
        <v>798</v>
      </c>
      <c r="I2490" s="15" t="s">
        <v>798</v>
      </c>
      <c r="J2490" s="12" t="s">
        <v>9435</v>
      </c>
      <c r="K2490" s="16" t="s">
        <v>2564</v>
      </c>
      <c r="L2490" s="12" t="s">
        <v>800</v>
      </c>
      <c r="M2490" s="16" t="s">
        <v>5323</v>
      </c>
      <c r="N2490" s="19" t="s">
        <v>798</v>
      </c>
      <c r="O2490" s="20" t="s">
        <v>798</v>
      </c>
      <c r="P2490" s="17" t="s">
        <v>802</v>
      </c>
      <c r="Q2490" s="21" t="s">
        <v>8116</v>
      </c>
      <c r="R2490" s="19" t="s">
        <v>798</v>
      </c>
      <c r="S2490" s="20" t="s">
        <v>798</v>
      </c>
      <c r="T2490" s="17" t="s">
        <v>798</v>
      </c>
      <c r="U2490" s="20" t="s">
        <v>798</v>
      </c>
      <c r="V2490" s="26" t="s">
        <v>798</v>
      </c>
      <c r="W2490" s="20" t="s">
        <v>798</v>
      </c>
      <c r="X2490" s="26" t="s">
        <v>798</v>
      </c>
      <c r="Y2490" s="20" t="s">
        <v>798</v>
      </c>
      <c r="Z2490" s="73" t="s">
        <v>9486</v>
      </c>
      <c r="AA2490" s="74" t="s">
        <v>9508</v>
      </c>
      <c r="AB2490" s="73" t="s">
        <v>9486</v>
      </c>
      <c r="AC2490" s="74" t="s">
        <v>9562</v>
      </c>
      <c r="AD2490" s="73" t="s">
        <v>9578</v>
      </c>
      <c r="AE2490" s="74" t="s">
        <v>9579</v>
      </c>
    </row>
    <row r="2491" spans="1:31" ht="8.65" customHeight="1" x14ac:dyDescent="0.2">
      <c r="A2491" s="76">
        <v>2491</v>
      </c>
      <c r="B2491" s="67" t="str">
        <f>MID(C2491, FIND("Ifc.", C2491) + 4, 4) &amp; "_" &amp; TEXT(COUNTIF($C$2:C2491, C2491),"0000")</f>
        <v>Info_0021</v>
      </c>
      <c r="C2491" s="23" t="s">
        <v>9506</v>
      </c>
      <c r="D2491" s="69" t="s">
        <v>9453</v>
      </c>
      <c r="E2491" s="70" t="s">
        <v>9507</v>
      </c>
      <c r="F2491" s="26" t="s">
        <v>798</v>
      </c>
      <c r="G2491" s="15" t="s">
        <v>798</v>
      </c>
      <c r="H2491" s="14" t="s">
        <v>798</v>
      </c>
      <c r="I2491" s="15" t="s">
        <v>798</v>
      </c>
      <c r="J2491" s="12" t="s">
        <v>9435</v>
      </c>
      <c r="K2491" s="16" t="s">
        <v>2565</v>
      </c>
      <c r="L2491" s="12" t="s">
        <v>800</v>
      </c>
      <c r="M2491" s="16" t="s">
        <v>5324</v>
      </c>
      <c r="N2491" s="19" t="s">
        <v>798</v>
      </c>
      <c r="O2491" s="20" t="s">
        <v>798</v>
      </c>
      <c r="P2491" s="17" t="s">
        <v>802</v>
      </c>
      <c r="Q2491" s="21" t="s">
        <v>8117</v>
      </c>
      <c r="R2491" s="19" t="s">
        <v>798</v>
      </c>
      <c r="S2491" s="20" t="s">
        <v>798</v>
      </c>
      <c r="T2491" s="17" t="s">
        <v>798</v>
      </c>
      <c r="U2491" s="20" t="s">
        <v>798</v>
      </c>
      <c r="V2491" s="26" t="s">
        <v>798</v>
      </c>
      <c r="W2491" s="20" t="s">
        <v>798</v>
      </c>
      <c r="X2491" s="26" t="s">
        <v>798</v>
      </c>
      <c r="Y2491" s="20" t="s">
        <v>798</v>
      </c>
      <c r="Z2491" s="73" t="s">
        <v>9486</v>
      </c>
      <c r="AA2491" s="74" t="s">
        <v>9508</v>
      </c>
      <c r="AB2491" s="73" t="s">
        <v>9486</v>
      </c>
      <c r="AC2491" s="74" t="s">
        <v>9562</v>
      </c>
      <c r="AD2491" s="73" t="s">
        <v>9578</v>
      </c>
      <c r="AE2491" s="74" t="s">
        <v>9579</v>
      </c>
    </row>
    <row r="2492" spans="1:31" ht="8.65" customHeight="1" x14ac:dyDescent="0.2">
      <c r="A2492" s="76">
        <v>2492</v>
      </c>
      <c r="B2492" s="67" t="str">
        <f>MID(C2492, FIND("Ifc.", C2492) + 4, 4) &amp; "_" &amp; TEXT(COUNTIF($C$2:C2492, C2492),"0000")</f>
        <v>Info_0022</v>
      </c>
      <c r="C2492" s="23" t="s">
        <v>9506</v>
      </c>
      <c r="D2492" s="69" t="s">
        <v>9453</v>
      </c>
      <c r="E2492" s="70" t="s">
        <v>9507</v>
      </c>
      <c r="F2492" s="26" t="s">
        <v>798</v>
      </c>
      <c r="G2492" s="15" t="s">
        <v>798</v>
      </c>
      <c r="H2492" s="14" t="s">
        <v>798</v>
      </c>
      <c r="I2492" s="15" t="s">
        <v>798</v>
      </c>
      <c r="J2492" s="12" t="s">
        <v>9435</v>
      </c>
      <c r="K2492" s="16" t="s">
        <v>2566</v>
      </c>
      <c r="L2492" s="12" t="s">
        <v>800</v>
      </c>
      <c r="M2492" s="16" t="s">
        <v>5325</v>
      </c>
      <c r="N2492" s="19" t="s">
        <v>798</v>
      </c>
      <c r="O2492" s="20" t="s">
        <v>798</v>
      </c>
      <c r="P2492" s="17" t="s">
        <v>802</v>
      </c>
      <c r="Q2492" s="21" t="s">
        <v>8118</v>
      </c>
      <c r="R2492" s="19" t="s">
        <v>798</v>
      </c>
      <c r="S2492" s="20" t="s">
        <v>798</v>
      </c>
      <c r="T2492" s="17" t="s">
        <v>798</v>
      </c>
      <c r="U2492" s="20" t="s">
        <v>798</v>
      </c>
      <c r="V2492" s="26" t="s">
        <v>798</v>
      </c>
      <c r="W2492" s="20" t="s">
        <v>798</v>
      </c>
      <c r="X2492" s="26" t="s">
        <v>798</v>
      </c>
      <c r="Y2492" s="20" t="s">
        <v>798</v>
      </c>
      <c r="Z2492" s="73" t="s">
        <v>9486</v>
      </c>
      <c r="AA2492" s="74" t="s">
        <v>9508</v>
      </c>
      <c r="AB2492" s="73" t="s">
        <v>9486</v>
      </c>
      <c r="AC2492" s="74" t="s">
        <v>9562</v>
      </c>
      <c r="AD2492" s="73" t="s">
        <v>9578</v>
      </c>
      <c r="AE2492" s="74" t="s">
        <v>9579</v>
      </c>
    </row>
    <row r="2493" spans="1:31" ht="8.65" customHeight="1" x14ac:dyDescent="0.2">
      <c r="A2493" s="76">
        <v>2493</v>
      </c>
      <c r="B2493" s="67" t="str">
        <f>MID(C2493, FIND("Ifc.", C2493) + 4, 4) &amp; "_" &amp; TEXT(COUNTIF($C$2:C2493, C2493),"0000")</f>
        <v>Info_0023</v>
      </c>
      <c r="C2493" s="23" t="s">
        <v>9506</v>
      </c>
      <c r="D2493" s="69" t="s">
        <v>9453</v>
      </c>
      <c r="E2493" s="70" t="s">
        <v>9507</v>
      </c>
      <c r="F2493" s="26" t="s">
        <v>798</v>
      </c>
      <c r="G2493" s="15" t="s">
        <v>798</v>
      </c>
      <c r="H2493" s="14" t="s">
        <v>798</v>
      </c>
      <c r="I2493" s="15" t="s">
        <v>798</v>
      </c>
      <c r="J2493" s="12" t="s">
        <v>9435</v>
      </c>
      <c r="K2493" s="16" t="s">
        <v>2567</v>
      </c>
      <c r="L2493" s="12" t="s">
        <v>800</v>
      </c>
      <c r="M2493" s="16" t="s">
        <v>5864</v>
      </c>
      <c r="N2493" s="19" t="s">
        <v>798</v>
      </c>
      <c r="O2493" s="20" t="s">
        <v>798</v>
      </c>
      <c r="P2493" s="17" t="s">
        <v>802</v>
      </c>
      <c r="Q2493" s="21" t="s">
        <v>8119</v>
      </c>
      <c r="R2493" s="19" t="s">
        <v>798</v>
      </c>
      <c r="S2493" s="20" t="s">
        <v>798</v>
      </c>
      <c r="T2493" s="17" t="s">
        <v>798</v>
      </c>
      <c r="U2493" s="20" t="s">
        <v>798</v>
      </c>
      <c r="V2493" s="26" t="s">
        <v>798</v>
      </c>
      <c r="W2493" s="20" t="s">
        <v>798</v>
      </c>
      <c r="X2493" s="26" t="s">
        <v>798</v>
      </c>
      <c r="Y2493" s="20" t="s">
        <v>798</v>
      </c>
      <c r="Z2493" s="73" t="s">
        <v>9486</v>
      </c>
      <c r="AA2493" s="74" t="s">
        <v>9508</v>
      </c>
      <c r="AB2493" s="73" t="s">
        <v>9486</v>
      </c>
      <c r="AC2493" s="74" t="s">
        <v>9566</v>
      </c>
      <c r="AD2493" s="73" t="s">
        <v>9578</v>
      </c>
      <c r="AE2493" s="74" t="s">
        <v>9579</v>
      </c>
    </row>
    <row r="2494" spans="1:31" ht="8.65" customHeight="1" x14ac:dyDescent="0.2">
      <c r="A2494" s="76">
        <v>2494</v>
      </c>
      <c r="B2494" s="67" t="str">
        <f>MID(C2494, FIND("Ifc.", C2494) + 4, 4) &amp; "_" &amp; TEXT(COUNTIF($C$2:C2494, C2494),"0000")</f>
        <v>Info_0024</v>
      </c>
      <c r="C2494" s="23" t="s">
        <v>9506</v>
      </c>
      <c r="D2494" s="69" t="s">
        <v>9453</v>
      </c>
      <c r="E2494" s="70" t="s">
        <v>9507</v>
      </c>
      <c r="F2494" s="26" t="s">
        <v>798</v>
      </c>
      <c r="G2494" s="15" t="s">
        <v>798</v>
      </c>
      <c r="H2494" s="14" t="s">
        <v>798</v>
      </c>
      <c r="I2494" s="15" t="s">
        <v>798</v>
      </c>
      <c r="J2494" s="12" t="s">
        <v>9435</v>
      </c>
      <c r="K2494" s="16" t="s">
        <v>2568</v>
      </c>
      <c r="L2494" s="12" t="s">
        <v>800</v>
      </c>
      <c r="M2494" s="16" t="s">
        <v>5295</v>
      </c>
      <c r="N2494" s="19" t="s">
        <v>798</v>
      </c>
      <c r="O2494" s="20" t="s">
        <v>798</v>
      </c>
      <c r="P2494" s="17" t="s">
        <v>802</v>
      </c>
      <c r="Q2494" s="21" t="s">
        <v>8120</v>
      </c>
      <c r="R2494" s="19" t="s">
        <v>798</v>
      </c>
      <c r="S2494" s="20" t="s">
        <v>798</v>
      </c>
      <c r="T2494" s="17" t="s">
        <v>798</v>
      </c>
      <c r="U2494" s="20" t="s">
        <v>798</v>
      </c>
      <c r="V2494" s="26" t="s">
        <v>798</v>
      </c>
      <c r="W2494" s="20" t="s">
        <v>798</v>
      </c>
      <c r="X2494" s="26" t="s">
        <v>798</v>
      </c>
      <c r="Y2494" s="20" t="s">
        <v>798</v>
      </c>
      <c r="Z2494" s="73" t="s">
        <v>9486</v>
      </c>
      <c r="AA2494" s="74" t="s">
        <v>9508</v>
      </c>
      <c r="AB2494" s="73" t="s">
        <v>9486</v>
      </c>
      <c r="AC2494" s="74" t="s">
        <v>9562</v>
      </c>
      <c r="AD2494" s="73" t="s">
        <v>9578</v>
      </c>
      <c r="AE2494" s="74" t="s">
        <v>9579</v>
      </c>
    </row>
    <row r="2495" spans="1:31" ht="8.65" customHeight="1" x14ac:dyDescent="0.2">
      <c r="A2495" s="76">
        <v>2495</v>
      </c>
      <c r="B2495" s="67" t="str">
        <f>MID(C2495, FIND("Ifc.", C2495) + 4, 4) &amp; "_" &amp; TEXT(COUNTIF($C$2:C2495, C2495),"0000")</f>
        <v>Info_0025</v>
      </c>
      <c r="C2495" s="23" t="s">
        <v>9506</v>
      </c>
      <c r="D2495" s="69" t="s">
        <v>9453</v>
      </c>
      <c r="E2495" s="70" t="s">
        <v>9507</v>
      </c>
      <c r="F2495" s="26" t="s">
        <v>798</v>
      </c>
      <c r="G2495" s="15" t="s">
        <v>798</v>
      </c>
      <c r="H2495" s="14" t="s">
        <v>798</v>
      </c>
      <c r="I2495" s="15" t="s">
        <v>798</v>
      </c>
      <c r="J2495" s="12" t="s">
        <v>9435</v>
      </c>
      <c r="K2495" s="16" t="s">
        <v>2569</v>
      </c>
      <c r="L2495" s="12" t="s">
        <v>800</v>
      </c>
      <c r="M2495" s="16" t="s">
        <v>5905</v>
      </c>
      <c r="N2495" s="19" t="s">
        <v>798</v>
      </c>
      <c r="O2495" s="20" t="s">
        <v>798</v>
      </c>
      <c r="P2495" s="17" t="s">
        <v>802</v>
      </c>
      <c r="Q2495" s="21" t="s">
        <v>8121</v>
      </c>
      <c r="R2495" s="19" t="s">
        <v>798</v>
      </c>
      <c r="S2495" s="20" t="s">
        <v>798</v>
      </c>
      <c r="T2495" s="17" t="s">
        <v>798</v>
      </c>
      <c r="U2495" s="20" t="s">
        <v>798</v>
      </c>
      <c r="V2495" s="26" t="s">
        <v>798</v>
      </c>
      <c r="W2495" s="20" t="s">
        <v>798</v>
      </c>
      <c r="X2495" s="26" t="s">
        <v>798</v>
      </c>
      <c r="Y2495" s="20" t="s">
        <v>798</v>
      </c>
      <c r="Z2495" s="73" t="s">
        <v>9486</v>
      </c>
      <c r="AA2495" s="74" t="s">
        <v>9508</v>
      </c>
      <c r="AB2495" s="73" t="s">
        <v>9486</v>
      </c>
      <c r="AC2495" s="74" t="s">
        <v>9566</v>
      </c>
      <c r="AD2495" s="73" t="s">
        <v>9578</v>
      </c>
      <c r="AE2495" s="74" t="s">
        <v>9579</v>
      </c>
    </row>
    <row r="2496" spans="1:31" ht="8.65" customHeight="1" x14ac:dyDescent="0.2">
      <c r="A2496" s="76">
        <v>2496</v>
      </c>
      <c r="B2496" s="67" t="str">
        <f>MID(C2496, FIND("Ifc.", C2496) + 4, 4) &amp; "_" &amp; TEXT(COUNTIF($C$2:C2496, C2496),"0000")</f>
        <v>Info_0026</v>
      </c>
      <c r="C2496" s="23" t="s">
        <v>9506</v>
      </c>
      <c r="D2496" s="69" t="s">
        <v>9453</v>
      </c>
      <c r="E2496" s="70" t="s">
        <v>9507</v>
      </c>
      <c r="F2496" s="26" t="s">
        <v>798</v>
      </c>
      <c r="G2496" s="15" t="s">
        <v>798</v>
      </c>
      <c r="H2496" s="14" t="s">
        <v>798</v>
      </c>
      <c r="I2496" s="15" t="s">
        <v>798</v>
      </c>
      <c r="J2496" s="12" t="s">
        <v>9435</v>
      </c>
      <c r="K2496" s="16" t="s">
        <v>2570</v>
      </c>
      <c r="L2496" s="12" t="s">
        <v>800</v>
      </c>
      <c r="M2496" s="16" t="s">
        <v>5906</v>
      </c>
      <c r="N2496" s="19" t="s">
        <v>798</v>
      </c>
      <c r="O2496" s="20" t="s">
        <v>798</v>
      </c>
      <c r="P2496" s="17" t="s">
        <v>802</v>
      </c>
      <c r="Q2496" s="21" t="s">
        <v>8122</v>
      </c>
      <c r="R2496" s="19" t="s">
        <v>798</v>
      </c>
      <c r="S2496" s="20" t="s">
        <v>798</v>
      </c>
      <c r="T2496" s="17" t="s">
        <v>798</v>
      </c>
      <c r="U2496" s="20" t="s">
        <v>798</v>
      </c>
      <c r="V2496" s="26" t="s">
        <v>798</v>
      </c>
      <c r="W2496" s="20" t="s">
        <v>798</v>
      </c>
      <c r="X2496" s="26" t="s">
        <v>798</v>
      </c>
      <c r="Y2496" s="20" t="s">
        <v>798</v>
      </c>
      <c r="Z2496" s="73" t="s">
        <v>9486</v>
      </c>
      <c r="AA2496" s="74" t="s">
        <v>9508</v>
      </c>
      <c r="AB2496" s="73" t="s">
        <v>9486</v>
      </c>
      <c r="AC2496" s="74" t="s">
        <v>9566</v>
      </c>
      <c r="AD2496" s="73" t="s">
        <v>9578</v>
      </c>
      <c r="AE2496" s="74" t="s">
        <v>9579</v>
      </c>
    </row>
    <row r="2497" spans="1:31" ht="8.65" customHeight="1" x14ac:dyDescent="0.2">
      <c r="A2497" s="76">
        <v>2497</v>
      </c>
      <c r="B2497" s="67" t="str">
        <f>MID(C2497, FIND("Ifc.", C2497) + 4, 4) &amp; "_" &amp; TEXT(COUNTIF($C$2:C2497, C2497),"0000")</f>
        <v>Info_0027</v>
      </c>
      <c r="C2497" s="23" t="s">
        <v>9506</v>
      </c>
      <c r="D2497" s="69" t="s">
        <v>9453</v>
      </c>
      <c r="E2497" s="70" t="s">
        <v>9507</v>
      </c>
      <c r="F2497" s="26" t="s">
        <v>798</v>
      </c>
      <c r="G2497" s="15" t="s">
        <v>798</v>
      </c>
      <c r="H2497" s="14" t="s">
        <v>798</v>
      </c>
      <c r="I2497" s="15" t="s">
        <v>798</v>
      </c>
      <c r="J2497" s="12" t="s">
        <v>9435</v>
      </c>
      <c r="K2497" s="16" t="s">
        <v>2571</v>
      </c>
      <c r="L2497" s="12" t="s">
        <v>800</v>
      </c>
      <c r="M2497" s="16" t="s">
        <v>5907</v>
      </c>
      <c r="N2497" s="19" t="s">
        <v>798</v>
      </c>
      <c r="O2497" s="20" t="s">
        <v>798</v>
      </c>
      <c r="P2497" s="17" t="s">
        <v>802</v>
      </c>
      <c r="Q2497" s="21" t="s">
        <v>8123</v>
      </c>
      <c r="R2497" s="19" t="s">
        <v>798</v>
      </c>
      <c r="S2497" s="20" t="s">
        <v>798</v>
      </c>
      <c r="T2497" s="17" t="s">
        <v>798</v>
      </c>
      <c r="U2497" s="20" t="s">
        <v>798</v>
      </c>
      <c r="V2497" s="26" t="s">
        <v>798</v>
      </c>
      <c r="W2497" s="20" t="s">
        <v>798</v>
      </c>
      <c r="X2497" s="26" t="s">
        <v>798</v>
      </c>
      <c r="Y2497" s="20" t="s">
        <v>798</v>
      </c>
      <c r="Z2497" s="73" t="s">
        <v>9486</v>
      </c>
      <c r="AA2497" s="74" t="s">
        <v>9508</v>
      </c>
      <c r="AB2497" s="73" t="s">
        <v>9486</v>
      </c>
      <c r="AC2497" s="74" t="s">
        <v>9566</v>
      </c>
      <c r="AD2497" s="73" t="s">
        <v>9578</v>
      </c>
      <c r="AE2497" s="74" t="s">
        <v>9579</v>
      </c>
    </row>
    <row r="2498" spans="1:31" ht="8.65" customHeight="1" x14ac:dyDescent="0.2">
      <c r="A2498" s="76">
        <v>2498</v>
      </c>
      <c r="B2498" s="67" t="str">
        <f>MID(C2498, FIND("Ifc.", C2498) + 4, 4) &amp; "_" &amp; TEXT(COUNTIF($C$2:C2498, C2498),"0000")</f>
        <v>Info_0028</v>
      </c>
      <c r="C2498" s="23" t="s">
        <v>9506</v>
      </c>
      <c r="D2498" s="69" t="s">
        <v>9453</v>
      </c>
      <c r="E2498" s="70" t="s">
        <v>9507</v>
      </c>
      <c r="F2498" s="26" t="s">
        <v>798</v>
      </c>
      <c r="G2498" s="15" t="s">
        <v>798</v>
      </c>
      <c r="H2498" s="14" t="s">
        <v>798</v>
      </c>
      <c r="I2498" s="15" t="s">
        <v>798</v>
      </c>
      <c r="J2498" s="12" t="s">
        <v>9435</v>
      </c>
      <c r="K2498" s="16" t="s">
        <v>2572</v>
      </c>
      <c r="L2498" s="12" t="s">
        <v>800</v>
      </c>
      <c r="M2498" s="16" t="s">
        <v>5326</v>
      </c>
      <c r="N2498" s="19" t="s">
        <v>798</v>
      </c>
      <c r="O2498" s="20" t="s">
        <v>798</v>
      </c>
      <c r="P2498" s="17" t="s">
        <v>802</v>
      </c>
      <c r="Q2498" s="21" t="s">
        <v>8124</v>
      </c>
      <c r="R2498" s="19" t="s">
        <v>798</v>
      </c>
      <c r="S2498" s="20" t="s">
        <v>798</v>
      </c>
      <c r="T2498" s="17" t="s">
        <v>798</v>
      </c>
      <c r="U2498" s="20" t="s">
        <v>798</v>
      </c>
      <c r="V2498" s="26" t="s">
        <v>798</v>
      </c>
      <c r="W2498" s="20" t="s">
        <v>798</v>
      </c>
      <c r="X2498" s="26" t="s">
        <v>798</v>
      </c>
      <c r="Y2498" s="20" t="s">
        <v>798</v>
      </c>
      <c r="Z2498" s="73" t="s">
        <v>9486</v>
      </c>
      <c r="AA2498" s="74" t="s">
        <v>9508</v>
      </c>
      <c r="AB2498" s="73" t="s">
        <v>9486</v>
      </c>
      <c r="AC2498" s="74" t="s">
        <v>9566</v>
      </c>
      <c r="AD2498" s="73" t="s">
        <v>9578</v>
      </c>
      <c r="AE2498" s="74" t="s">
        <v>9579</v>
      </c>
    </row>
    <row r="2499" spans="1:31" ht="8.65" customHeight="1" x14ac:dyDescent="0.2">
      <c r="A2499" s="76">
        <v>2499</v>
      </c>
      <c r="B2499" s="67" t="str">
        <f>MID(C2499, FIND("Ifc.", C2499) + 4, 4) &amp; "_" &amp; TEXT(COUNTIF($C$2:C2499, C2499),"0000")</f>
        <v>Info_0029</v>
      </c>
      <c r="C2499" s="23" t="s">
        <v>9506</v>
      </c>
      <c r="D2499" s="69" t="s">
        <v>9453</v>
      </c>
      <c r="E2499" s="70" t="s">
        <v>9507</v>
      </c>
      <c r="F2499" s="26" t="s">
        <v>798</v>
      </c>
      <c r="G2499" s="15" t="s">
        <v>798</v>
      </c>
      <c r="H2499" s="14" t="s">
        <v>798</v>
      </c>
      <c r="I2499" s="15" t="s">
        <v>798</v>
      </c>
      <c r="J2499" s="12" t="s">
        <v>9435</v>
      </c>
      <c r="K2499" s="16" t="s">
        <v>2573</v>
      </c>
      <c r="L2499" s="12" t="s">
        <v>800</v>
      </c>
      <c r="M2499" s="16" t="s">
        <v>5327</v>
      </c>
      <c r="N2499" s="19" t="s">
        <v>798</v>
      </c>
      <c r="O2499" s="20" t="s">
        <v>798</v>
      </c>
      <c r="P2499" s="17" t="s">
        <v>802</v>
      </c>
      <c r="Q2499" s="21" t="s">
        <v>8125</v>
      </c>
      <c r="R2499" s="19" t="s">
        <v>798</v>
      </c>
      <c r="S2499" s="20" t="s">
        <v>798</v>
      </c>
      <c r="T2499" s="17" t="s">
        <v>798</v>
      </c>
      <c r="U2499" s="20" t="s">
        <v>798</v>
      </c>
      <c r="V2499" s="26" t="s">
        <v>798</v>
      </c>
      <c r="W2499" s="20" t="s">
        <v>798</v>
      </c>
      <c r="X2499" s="26" t="s">
        <v>798</v>
      </c>
      <c r="Y2499" s="20" t="s">
        <v>798</v>
      </c>
      <c r="Z2499" s="73" t="s">
        <v>9486</v>
      </c>
      <c r="AA2499" s="74" t="s">
        <v>9508</v>
      </c>
      <c r="AB2499" s="73" t="s">
        <v>9486</v>
      </c>
      <c r="AC2499" s="74" t="s">
        <v>9566</v>
      </c>
      <c r="AD2499" s="73" t="s">
        <v>9578</v>
      </c>
      <c r="AE2499" s="74" t="s">
        <v>9579</v>
      </c>
    </row>
    <row r="2500" spans="1:31" ht="8.65" customHeight="1" x14ac:dyDescent="0.2">
      <c r="A2500" s="76">
        <v>2500</v>
      </c>
      <c r="B2500" s="67" t="str">
        <f>MID(C2500, FIND("Ifc.", C2500) + 4, 4) &amp; "_" &amp; TEXT(COUNTIF($C$2:C2500, C2500),"0000")</f>
        <v>Info_0030</v>
      </c>
      <c r="C2500" s="23" t="s">
        <v>9506</v>
      </c>
      <c r="D2500" s="69" t="s">
        <v>9453</v>
      </c>
      <c r="E2500" s="70" t="s">
        <v>9507</v>
      </c>
      <c r="F2500" s="26" t="s">
        <v>798</v>
      </c>
      <c r="G2500" s="15" t="s">
        <v>798</v>
      </c>
      <c r="H2500" s="14" t="s">
        <v>798</v>
      </c>
      <c r="I2500" s="15" t="s">
        <v>798</v>
      </c>
      <c r="J2500" s="12" t="s">
        <v>9435</v>
      </c>
      <c r="K2500" s="16" t="s">
        <v>2574</v>
      </c>
      <c r="L2500" s="12" t="s">
        <v>800</v>
      </c>
      <c r="M2500" s="16" t="s">
        <v>5328</v>
      </c>
      <c r="N2500" s="19" t="s">
        <v>798</v>
      </c>
      <c r="O2500" s="20" t="s">
        <v>798</v>
      </c>
      <c r="P2500" s="17" t="s">
        <v>802</v>
      </c>
      <c r="Q2500" s="21" t="s">
        <v>8126</v>
      </c>
      <c r="R2500" s="19" t="s">
        <v>798</v>
      </c>
      <c r="S2500" s="20" t="s">
        <v>798</v>
      </c>
      <c r="T2500" s="17" t="s">
        <v>798</v>
      </c>
      <c r="U2500" s="20" t="s">
        <v>798</v>
      </c>
      <c r="V2500" s="26" t="s">
        <v>798</v>
      </c>
      <c r="W2500" s="20" t="s">
        <v>798</v>
      </c>
      <c r="X2500" s="26" t="s">
        <v>798</v>
      </c>
      <c r="Y2500" s="20" t="s">
        <v>798</v>
      </c>
      <c r="Z2500" s="73" t="s">
        <v>9486</v>
      </c>
      <c r="AA2500" s="74" t="s">
        <v>9508</v>
      </c>
      <c r="AB2500" s="73" t="s">
        <v>9486</v>
      </c>
      <c r="AC2500" s="74" t="s">
        <v>9566</v>
      </c>
      <c r="AD2500" s="73" t="s">
        <v>9578</v>
      </c>
      <c r="AE2500" s="74" t="s">
        <v>9579</v>
      </c>
    </row>
    <row r="2501" spans="1:31" ht="8.65" customHeight="1" x14ac:dyDescent="0.2">
      <c r="A2501" s="76">
        <v>2501</v>
      </c>
      <c r="B2501" s="67" t="str">
        <f>MID(C2501, FIND("Ifc.", C2501) + 4, 4) &amp; "_" &amp; TEXT(COUNTIF($C$2:C2501, C2501),"0000")</f>
        <v>Info_0031</v>
      </c>
      <c r="C2501" s="23" t="s">
        <v>9506</v>
      </c>
      <c r="D2501" s="69" t="s">
        <v>9453</v>
      </c>
      <c r="E2501" s="70" t="s">
        <v>9507</v>
      </c>
      <c r="F2501" s="26" t="s">
        <v>798</v>
      </c>
      <c r="G2501" s="15" t="s">
        <v>798</v>
      </c>
      <c r="H2501" s="14" t="s">
        <v>798</v>
      </c>
      <c r="I2501" s="15" t="s">
        <v>798</v>
      </c>
      <c r="J2501" s="12" t="s">
        <v>9435</v>
      </c>
      <c r="K2501" s="16" t="s">
        <v>2575</v>
      </c>
      <c r="L2501" s="12" t="s">
        <v>800</v>
      </c>
      <c r="M2501" s="16" t="s">
        <v>5329</v>
      </c>
      <c r="N2501" s="19" t="s">
        <v>798</v>
      </c>
      <c r="O2501" s="20" t="s">
        <v>798</v>
      </c>
      <c r="P2501" s="17" t="s">
        <v>802</v>
      </c>
      <c r="Q2501" s="21" t="s">
        <v>8127</v>
      </c>
      <c r="R2501" s="19" t="s">
        <v>798</v>
      </c>
      <c r="S2501" s="20" t="s">
        <v>798</v>
      </c>
      <c r="T2501" s="17" t="s">
        <v>798</v>
      </c>
      <c r="U2501" s="20" t="s">
        <v>798</v>
      </c>
      <c r="V2501" s="26" t="s">
        <v>798</v>
      </c>
      <c r="W2501" s="20" t="s">
        <v>798</v>
      </c>
      <c r="X2501" s="26" t="s">
        <v>798</v>
      </c>
      <c r="Y2501" s="20" t="s">
        <v>798</v>
      </c>
      <c r="Z2501" s="73" t="s">
        <v>9486</v>
      </c>
      <c r="AA2501" s="74" t="s">
        <v>9508</v>
      </c>
      <c r="AB2501" s="73" t="s">
        <v>9486</v>
      </c>
      <c r="AC2501" s="74" t="s">
        <v>9566</v>
      </c>
      <c r="AD2501" s="73" t="s">
        <v>9578</v>
      </c>
      <c r="AE2501" s="74" t="s">
        <v>9579</v>
      </c>
    </row>
    <row r="2502" spans="1:31" ht="8.65" customHeight="1" x14ac:dyDescent="0.2">
      <c r="A2502" s="76">
        <v>2502</v>
      </c>
      <c r="B2502" s="67" t="str">
        <f>MID(C2502, FIND("Ifc.", C2502) + 4, 4) &amp; "_" &amp; TEXT(COUNTIF($C$2:C2502, C2502),"0000")</f>
        <v>Info_0032</v>
      </c>
      <c r="C2502" s="23" t="s">
        <v>9506</v>
      </c>
      <c r="D2502" s="69" t="s">
        <v>9453</v>
      </c>
      <c r="E2502" s="70" t="s">
        <v>9507</v>
      </c>
      <c r="F2502" s="26" t="s">
        <v>798</v>
      </c>
      <c r="G2502" s="15" t="s">
        <v>798</v>
      </c>
      <c r="H2502" s="14" t="s">
        <v>798</v>
      </c>
      <c r="I2502" s="15" t="s">
        <v>798</v>
      </c>
      <c r="J2502" s="12" t="s">
        <v>9435</v>
      </c>
      <c r="K2502" s="16" t="s">
        <v>2576</v>
      </c>
      <c r="L2502" s="12" t="s">
        <v>800</v>
      </c>
      <c r="M2502" s="16" t="s">
        <v>5268</v>
      </c>
      <c r="N2502" s="19" t="s">
        <v>798</v>
      </c>
      <c r="O2502" s="20" t="s">
        <v>798</v>
      </c>
      <c r="P2502" s="17" t="s">
        <v>802</v>
      </c>
      <c r="Q2502" s="21" t="s">
        <v>8128</v>
      </c>
      <c r="R2502" s="19" t="s">
        <v>798</v>
      </c>
      <c r="S2502" s="20" t="s">
        <v>798</v>
      </c>
      <c r="T2502" s="17" t="s">
        <v>798</v>
      </c>
      <c r="U2502" s="20" t="s">
        <v>798</v>
      </c>
      <c r="V2502" s="26" t="s">
        <v>798</v>
      </c>
      <c r="W2502" s="20" t="s">
        <v>798</v>
      </c>
      <c r="X2502" s="26" t="s">
        <v>798</v>
      </c>
      <c r="Y2502" s="20" t="s">
        <v>798</v>
      </c>
      <c r="Z2502" s="73" t="s">
        <v>9486</v>
      </c>
      <c r="AA2502" s="74" t="s">
        <v>9508</v>
      </c>
      <c r="AB2502" s="73" t="s">
        <v>9486</v>
      </c>
      <c r="AC2502" s="74" t="s">
        <v>9566</v>
      </c>
      <c r="AD2502" s="73" t="s">
        <v>9578</v>
      </c>
      <c r="AE2502" s="74" t="s">
        <v>9579</v>
      </c>
    </row>
    <row r="2503" spans="1:31" ht="8.65" customHeight="1" x14ac:dyDescent="0.2">
      <c r="A2503" s="76">
        <v>2503</v>
      </c>
      <c r="B2503" s="67" t="str">
        <f>MID(C2503, FIND("Ifc.", C2503) + 4, 4) &amp; "_" &amp; TEXT(COUNTIF($C$2:C2503, C2503),"0000")</f>
        <v>Info_0033</v>
      </c>
      <c r="C2503" s="23" t="s">
        <v>9506</v>
      </c>
      <c r="D2503" s="69" t="s">
        <v>9453</v>
      </c>
      <c r="E2503" s="70" t="s">
        <v>9507</v>
      </c>
      <c r="F2503" s="26" t="s">
        <v>798</v>
      </c>
      <c r="G2503" s="15" t="s">
        <v>798</v>
      </c>
      <c r="H2503" s="14" t="s">
        <v>798</v>
      </c>
      <c r="I2503" s="15" t="s">
        <v>798</v>
      </c>
      <c r="J2503" s="12" t="s">
        <v>9435</v>
      </c>
      <c r="K2503" s="16" t="s">
        <v>2577</v>
      </c>
      <c r="L2503" s="12" t="s">
        <v>800</v>
      </c>
      <c r="M2503" s="16" t="s">
        <v>5330</v>
      </c>
      <c r="N2503" s="19" t="s">
        <v>798</v>
      </c>
      <c r="O2503" s="20" t="s">
        <v>798</v>
      </c>
      <c r="P2503" s="17" t="s">
        <v>802</v>
      </c>
      <c r="Q2503" s="21" t="s">
        <v>8129</v>
      </c>
      <c r="R2503" s="19" t="s">
        <v>798</v>
      </c>
      <c r="S2503" s="20" t="s">
        <v>798</v>
      </c>
      <c r="T2503" s="17" t="s">
        <v>798</v>
      </c>
      <c r="U2503" s="20" t="s">
        <v>798</v>
      </c>
      <c r="V2503" s="26" t="s">
        <v>798</v>
      </c>
      <c r="W2503" s="20" t="s">
        <v>798</v>
      </c>
      <c r="X2503" s="26" t="s">
        <v>798</v>
      </c>
      <c r="Y2503" s="20" t="s">
        <v>798</v>
      </c>
      <c r="Z2503" s="73" t="s">
        <v>9486</v>
      </c>
      <c r="AA2503" s="74" t="s">
        <v>9508</v>
      </c>
      <c r="AB2503" s="73" t="s">
        <v>9486</v>
      </c>
      <c r="AC2503" s="74" t="s">
        <v>9566</v>
      </c>
      <c r="AD2503" s="73" t="s">
        <v>9578</v>
      </c>
      <c r="AE2503" s="74" t="s">
        <v>9579</v>
      </c>
    </row>
    <row r="2504" spans="1:31" ht="8.65" customHeight="1" x14ac:dyDescent="0.2">
      <c r="A2504" s="76">
        <v>2504</v>
      </c>
      <c r="B2504" s="67" t="str">
        <f>MID(C2504, FIND("Ifc.", C2504) + 4, 4) &amp; "_" &amp; TEXT(COUNTIF($C$2:C2504, C2504),"0000")</f>
        <v>Info_0034</v>
      </c>
      <c r="C2504" s="23" t="s">
        <v>9506</v>
      </c>
      <c r="D2504" s="69" t="s">
        <v>9453</v>
      </c>
      <c r="E2504" s="70" t="s">
        <v>9507</v>
      </c>
      <c r="F2504" s="26" t="s">
        <v>798</v>
      </c>
      <c r="G2504" s="15" t="s">
        <v>798</v>
      </c>
      <c r="H2504" s="14" t="s">
        <v>798</v>
      </c>
      <c r="I2504" s="15" t="s">
        <v>798</v>
      </c>
      <c r="J2504" s="12" t="s">
        <v>9435</v>
      </c>
      <c r="K2504" s="16" t="s">
        <v>2578</v>
      </c>
      <c r="L2504" s="12" t="s">
        <v>800</v>
      </c>
      <c r="M2504" s="16" t="s">
        <v>5244</v>
      </c>
      <c r="N2504" s="19" t="s">
        <v>798</v>
      </c>
      <c r="O2504" s="20" t="s">
        <v>798</v>
      </c>
      <c r="P2504" s="17" t="s">
        <v>802</v>
      </c>
      <c r="Q2504" s="21" t="s">
        <v>8130</v>
      </c>
      <c r="R2504" s="19" t="s">
        <v>798</v>
      </c>
      <c r="S2504" s="20" t="s">
        <v>798</v>
      </c>
      <c r="T2504" s="17" t="s">
        <v>798</v>
      </c>
      <c r="U2504" s="20" t="s">
        <v>798</v>
      </c>
      <c r="V2504" s="26" t="s">
        <v>798</v>
      </c>
      <c r="W2504" s="20" t="s">
        <v>798</v>
      </c>
      <c r="X2504" s="26" t="s">
        <v>798</v>
      </c>
      <c r="Y2504" s="20" t="s">
        <v>798</v>
      </c>
      <c r="Z2504" s="73" t="s">
        <v>9486</v>
      </c>
      <c r="AA2504" s="74" t="s">
        <v>9508</v>
      </c>
      <c r="AB2504" s="73" t="s">
        <v>9486</v>
      </c>
      <c r="AC2504" s="74" t="s">
        <v>9566</v>
      </c>
      <c r="AD2504" s="73" t="s">
        <v>9578</v>
      </c>
      <c r="AE2504" s="74" t="s">
        <v>9579</v>
      </c>
    </row>
    <row r="2505" spans="1:31" ht="8.65" customHeight="1" x14ac:dyDescent="0.2">
      <c r="A2505" s="76">
        <v>2505</v>
      </c>
      <c r="B2505" s="67" t="str">
        <f>MID(C2505, FIND("Ifc.", C2505) + 4, 4) &amp; "_" &amp; TEXT(COUNTIF($C$2:C2505, C2505),"0000")</f>
        <v>Info_0035</v>
      </c>
      <c r="C2505" s="23" t="s">
        <v>9506</v>
      </c>
      <c r="D2505" s="69" t="s">
        <v>9453</v>
      </c>
      <c r="E2505" s="70" t="s">
        <v>9507</v>
      </c>
      <c r="F2505" s="26" t="s">
        <v>798</v>
      </c>
      <c r="G2505" s="15" t="s">
        <v>798</v>
      </c>
      <c r="H2505" s="14" t="s">
        <v>798</v>
      </c>
      <c r="I2505" s="15" t="s">
        <v>798</v>
      </c>
      <c r="J2505" s="12" t="s">
        <v>9435</v>
      </c>
      <c r="K2505" s="16" t="s">
        <v>2579</v>
      </c>
      <c r="L2505" s="12" t="s">
        <v>800</v>
      </c>
      <c r="M2505" s="16" t="s">
        <v>5331</v>
      </c>
      <c r="N2505" s="19" t="s">
        <v>798</v>
      </c>
      <c r="O2505" s="20" t="s">
        <v>798</v>
      </c>
      <c r="P2505" s="17" t="s">
        <v>802</v>
      </c>
      <c r="Q2505" s="21" t="s">
        <v>8131</v>
      </c>
      <c r="R2505" s="19" t="s">
        <v>798</v>
      </c>
      <c r="S2505" s="20" t="s">
        <v>798</v>
      </c>
      <c r="T2505" s="17" t="s">
        <v>798</v>
      </c>
      <c r="U2505" s="20" t="s">
        <v>798</v>
      </c>
      <c r="V2505" s="26" t="s">
        <v>798</v>
      </c>
      <c r="W2505" s="20" t="s">
        <v>798</v>
      </c>
      <c r="X2505" s="26" t="s">
        <v>798</v>
      </c>
      <c r="Y2505" s="20" t="s">
        <v>798</v>
      </c>
      <c r="Z2505" s="73" t="s">
        <v>9486</v>
      </c>
      <c r="AA2505" s="74" t="s">
        <v>9508</v>
      </c>
      <c r="AB2505" s="73" t="s">
        <v>9486</v>
      </c>
      <c r="AC2505" s="74" t="s">
        <v>9566</v>
      </c>
      <c r="AD2505" s="73" t="s">
        <v>9578</v>
      </c>
      <c r="AE2505" s="74" t="s">
        <v>9579</v>
      </c>
    </row>
    <row r="2506" spans="1:31" ht="8.65" customHeight="1" x14ac:dyDescent="0.2">
      <c r="A2506" s="76">
        <v>2506</v>
      </c>
      <c r="B2506" s="67" t="str">
        <f>MID(C2506, FIND("Ifc.", C2506) + 4, 4) &amp; "_" &amp; TEXT(COUNTIF($C$2:C2506, C2506),"0000")</f>
        <v>Info_0036</v>
      </c>
      <c r="C2506" s="23" t="s">
        <v>9506</v>
      </c>
      <c r="D2506" s="69" t="s">
        <v>9453</v>
      </c>
      <c r="E2506" s="70" t="s">
        <v>9507</v>
      </c>
      <c r="F2506" s="26" t="s">
        <v>798</v>
      </c>
      <c r="G2506" s="15" t="s">
        <v>798</v>
      </c>
      <c r="H2506" s="14" t="s">
        <v>798</v>
      </c>
      <c r="I2506" s="15" t="s">
        <v>798</v>
      </c>
      <c r="J2506" s="12" t="s">
        <v>9435</v>
      </c>
      <c r="K2506" s="16" t="s">
        <v>2580</v>
      </c>
      <c r="L2506" s="12" t="s">
        <v>800</v>
      </c>
      <c r="M2506" s="16" t="s">
        <v>5281</v>
      </c>
      <c r="N2506" s="19" t="s">
        <v>798</v>
      </c>
      <c r="O2506" s="20" t="s">
        <v>798</v>
      </c>
      <c r="P2506" s="17" t="s">
        <v>802</v>
      </c>
      <c r="Q2506" s="21" t="s">
        <v>8132</v>
      </c>
      <c r="R2506" s="19" t="s">
        <v>798</v>
      </c>
      <c r="S2506" s="20" t="s">
        <v>798</v>
      </c>
      <c r="T2506" s="17" t="s">
        <v>798</v>
      </c>
      <c r="U2506" s="20" t="s">
        <v>798</v>
      </c>
      <c r="V2506" s="26" t="s">
        <v>798</v>
      </c>
      <c r="W2506" s="20" t="s">
        <v>798</v>
      </c>
      <c r="X2506" s="26" t="s">
        <v>798</v>
      </c>
      <c r="Y2506" s="20" t="s">
        <v>798</v>
      </c>
      <c r="Z2506" s="73" t="s">
        <v>9486</v>
      </c>
      <c r="AA2506" s="74" t="s">
        <v>9508</v>
      </c>
      <c r="AB2506" s="73" t="s">
        <v>9486</v>
      </c>
      <c r="AC2506" s="74" t="s">
        <v>9566</v>
      </c>
      <c r="AD2506" s="73" t="s">
        <v>9578</v>
      </c>
      <c r="AE2506" s="74" t="s">
        <v>9579</v>
      </c>
    </row>
    <row r="2507" spans="1:31" ht="8.65" customHeight="1" x14ac:dyDescent="0.2">
      <c r="A2507" s="76">
        <v>2507</v>
      </c>
      <c r="B2507" s="67" t="str">
        <f>MID(C2507, FIND("Ifc.", C2507) + 4, 4) &amp; "_" &amp; TEXT(COUNTIF($C$2:C2507, C2507),"0000")</f>
        <v>Info_0037</v>
      </c>
      <c r="C2507" s="23" t="s">
        <v>9506</v>
      </c>
      <c r="D2507" s="69" t="s">
        <v>9453</v>
      </c>
      <c r="E2507" s="70" t="s">
        <v>9507</v>
      </c>
      <c r="F2507" s="26" t="s">
        <v>798</v>
      </c>
      <c r="G2507" s="15" t="s">
        <v>798</v>
      </c>
      <c r="H2507" s="14" t="s">
        <v>798</v>
      </c>
      <c r="I2507" s="15" t="s">
        <v>798</v>
      </c>
      <c r="J2507" s="12" t="s">
        <v>9435</v>
      </c>
      <c r="K2507" s="16" t="s">
        <v>2581</v>
      </c>
      <c r="L2507" s="12" t="s">
        <v>800</v>
      </c>
      <c r="M2507" s="16" t="s">
        <v>5332</v>
      </c>
      <c r="N2507" s="19" t="s">
        <v>798</v>
      </c>
      <c r="O2507" s="20" t="s">
        <v>798</v>
      </c>
      <c r="P2507" s="17" t="s">
        <v>802</v>
      </c>
      <c r="Q2507" s="21" t="s">
        <v>8133</v>
      </c>
      <c r="R2507" s="19" t="s">
        <v>798</v>
      </c>
      <c r="S2507" s="20" t="s">
        <v>798</v>
      </c>
      <c r="T2507" s="17" t="s">
        <v>798</v>
      </c>
      <c r="U2507" s="20" t="s">
        <v>798</v>
      </c>
      <c r="V2507" s="26" t="s">
        <v>798</v>
      </c>
      <c r="W2507" s="20" t="s">
        <v>798</v>
      </c>
      <c r="X2507" s="26" t="s">
        <v>798</v>
      </c>
      <c r="Y2507" s="20" t="s">
        <v>798</v>
      </c>
      <c r="Z2507" s="73" t="s">
        <v>9486</v>
      </c>
      <c r="AA2507" s="74" t="s">
        <v>9508</v>
      </c>
      <c r="AB2507" s="73" t="s">
        <v>9486</v>
      </c>
      <c r="AC2507" s="74" t="s">
        <v>9566</v>
      </c>
      <c r="AD2507" s="73" t="s">
        <v>9578</v>
      </c>
      <c r="AE2507" s="74" t="s">
        <v>9579</v>
      </c>
    </row>
    <row r="2508" spans="1:31" ht="8.65" customHeight="1" x14ac:dyDescent="0.2">
      <c r="A2508" s="76">
        <v>2508</v>
      </c>
      <c r="B2508" s="67" t="str">
        <f>MID(C2508, FIND("Ifc.", C2508) + 4, 4) &amp; "_" &amp; TEXT(COUNTIF($C$2:C2508, C2508),"0000")</f>
        <v>Info_0038</v>
      </c>
      <c r="C2508" s="23" t="s">
        <v>9506</v>
      </c>
      <c r="D2508" s="69" t="s">
        <v>9453</v>
      </c>
      <c r="E2508" s="70" t="s">
        <v>9507</v>
      </c>
      <c r="F2508" s="26" t="s">
        <v>798</v>
      </c>
      <c r="G2508" s="15" t="s">
        <v>798</v>
      </c>
      <c r="H2508" s="14" t="s">
        <v>798</v>
      </c>
      <c r="I2508" s="15" t="s">
        <v>798</v>
      </c>
      <c r="J2508" s="12" t="s">
        <v>9435</v>
      </c>
      <c r="K2508" s="16" t="s">
        <v>2582</v>
      </c>
      <c r="L2508" s="12" t="s">
        <v>800</v>
      </c>
      <c r="M2508" s="16" t="s">
        <v>5333</v>
      </c>
      <c r="N2508" s="19" t="s">
        <v>798</v>
      </c>
      <c r="O2508" s="20" t="s">
        <v>798</v>
      </c>
      <c r="P2508" s="17" t="s">
        <v>802</v>
      </c>
      <c r="Q2508" s="21" t="s">
        <v>8134</v>
      </c>
      <c r="R2508" s="19" t="s">
        <v>798</v>
      </c>
      <c r="S2508" s="20" t="s">
        <v>798</v>
      </c>
      <c r="T2508" s="17" t="s">
        <v>798</v>
      </c>
      <c r="U2508" s="20" t="s">
        <v>798</v>
      </c>
      <c r="V2508" s="26" t="s">
        <v>798</v>
      </c>
      <c r="W2508" s="20" t="s">
        <v>798</v>
      </c>
      <c r="X2508" s="26" t="s">
        <v>798</v>
      </c>
      <c r="Y2508" s="20" t="s">
        <v>798</v>
      </c>
      <c r="Z2508" s="73" t="s">
        <v>9486</v>
      </c>
      <c r="AA2508" s="74" t="s">
        <v>9508</v>
      </c>
      <c r="AB2508" s="73" t="s">
        <v>9486</v>
      </c>
      <c r="AC2508" s="74" t="s">
        <v>9566</v>
      </c>
      <c r="AD2508" s="73" t="s">
        <v>9578</v>
      </c>
      <c r="AE2508" s="74" t="s">
        <v>9579</v>
      </c>
    </row>
    <row r="2509" spans="1:31" ht="8.65" customHeight="1" x14ac:dyDescent="0.2">
      <c r="A2509" s="76">
        <v>2509</v>
      </c>
      <c r="B2509" s="67" t="str">
        <f>MID(C2509, FIND("Ifc.", C2509) + 4, 4) &amp; "_" &amp; TEXT(COUNTIF($C$2:C2509, C2509),"0000")</f>
        <v>Info_0039</v>
      </c>
      <c r="C2509" s="23" t="s">
        <v>9506</v>
      </c>
      <c r="D2509" s="69" t="s">
        <v>9453</v>
      </c>
      <c r="E2509" s="70" t="s">
        <v>9507</v>
      </c>
      <c r="F2509" s="26" t="s">
        <v>798</v>
      </c>
      <c r="G2509" s="15" t="s">
        <v>798</v>
      </c>
      <c r="H2509" s="14" t="s">
        <v>798</v>
      </c>
      <c r="I2509" s="15" t="s">
        <v>798</v>
      </c>
      <c r="J2509" s="12" t="s">
        <v>9435</v>
      </c>
      <c r="K2509" s="16" t="s">
        <v>2583</v>
      </c>
      <c r="L2509" s="12" t="s">
        <v>800</v>
      </c>
      <c r="M2509" s="16" t="s">
        <v>5251</v>
      </c>
      <c r="N2509" s="19" t="s">
        <v>798</v>
      </c>
      <c r="O2509" s="20" t="s">
        <v>798</v>
      </c>
      <c r="P2509" s="17" t="s">
        <v>802</v>
      </c>
      <c r="Q2509" s="21" t="s">
        <v>8135</v>
      </c>
      <c r="R2509" s="19" t="s">
        <v>798</v>
      </c>
      <c r="S2509" s="20" t="s">
        <v>798</v>
      </c>
      <c r="T2509" s="17" t="s">
        <v>798</v>
      </c>
      <c r="U2509" s="20" t="s">
        <v>798</v>
      </c>
      <c r="V2509" s="26" t="s">
        <v>798</v>
      </c>
      <c r="W2509" s="20" t="s">
        <v>798</v>
      </c>
      <c r="X2509" s="26" t="s">
        <v>798</v>
      </c>
      <c r="Y2509" s="20" t="s">
        <v>798</v>
      </c>
      <c r="Z2509" s="73" t="s">
        <v>9486</v>
      </c>
      <c r="AA2509" s="74" t="s">
        <v>9508</v>
      </c>
      <c r="AB2509" s="73" t="s">
        <v>9486</v>
      </c>
      <c r="AC2509" s="74" t="s">
        <v>9566</v>
      </c>
      <c r="AD2509" s="73" t="s">
        <v>9578</v>
      </c>
      <c r="AE2509" s="74" t="s">
        <v>9579</v>
      </c>
    </row>
    <row r="2510" spans="1:31" ht="8.65" customHeight="1" x14ac:dyDescent="0.2">
      <c r="A2510" s="76">
        <v>2510</v>
      </c>
      <c r="B2510" s="67" t="str">
        <f>MID(C2510, FIND("Ifc.", C2510) + 4, 4) &amp; "_" &amp; TEXT(COUNTIF($C$2:C2510, C2510),"0000")</f>
        <v>Info_0040</v>
      </c>
      <c r="C2510" s="23" t="s">
        <v>9506</v>
      </c>
      <c r="D2510" s="69" t="s">
        <v>9453</v>
      </c>
      <c r="E2510" s="70" t="s">
        <v>9507</v>
      </c>
      <c r="F2510" s="26" t="s">
        <v>798</v>
      </c>
      <c r="G2510" s="15" t="s">
        <v>798</v>
      </c>
      <c r="H2510" s="14" t="s">
        <v>798</v>
      </c>
      <c r="I2510" s="15" t="s">
        <v>798</v>
      </c>
      <c r="J2510" s="12" t="s">
        <v>9435</v>
      </c>
      <c r="K2510" s="16" t="s">
        <v>2584</v>
      </c>
      <c r="L2510" s="12" t="s">
        <v>800</v>
      </c>
      <c r="M2510" s="16" t="s">
        <v>5294</v>
      </c>
      <c r="N2510" s="19" t="s">
        <v>798</v>
      </c>
      <c r="O2510" s="20" t="s">
        <v>798</v>
      </c>
      <c r="P2510" s="17" t="s">
        <v>802</v>
      </c>
      <c r="Q2510" s="21" t="s">
        <v>8136</v>
      </c>
      <c r="R2510" s="19" t="s">
        <v>798</v>
      </c>
      <c r="S2510" s="20" t="s">
        <v>798</v>
      </c>
      <c r="T2510" s="17" t="s">
        <v>798</v>
      </c>
      <c r="U2510" s="20" t="s">
        <v>798</v>
      </c>
      <c r="V2510" s="26" t="s">
        <v>798</v>
      </c>
      <c r="W2510" s="20" t="s">
        <v>798</v>
      </c>
      <c r="X2510" s="26" t="s">
        <v>798</v>
      </c>
      <c r="Y2510" s="20" t="s">
        <v>798</v>
      </c>
      <c r="Z2510" s="73" t="s">
        <v>9486</v>
      </c>
      <c r="AA2510" s="74" t="s">
        <v>9508</v>
      </c>
      <c r="AB2510" s="73" t="s">
        <v>9486</v>
      </c>
      <c r="AC2510" s="74" t="s">
        <v>9566</v>
      </c>
      <c r="AD2510" s="73" t="s">
        <v>9578</v>
      </c>
      <c r="AE2510" s="74" t="s">
        <v>9579</v>
      </c>
    </row>
    <row r="2511" spans="1:31" ht="8.65" customHeight="1" x14ac:dyDescent="0.2">
      <c r="A2511" s="76">
        <v>2511</v>
      </c>
      <c r="B2511" s="67" t="str">
        <f>MID(C2511, FIND("Ifc.", C2511) + 4, 4) &amp; "_" &amp; TEXT(COUNTIF($C$2:C2511, C2511),"0000")</f>
        <v>Info_0041</v>
      </c>
      <c r="C2511" s="23" t="s">
        <v>9506</v>
      </c>
      <c r="D2511" s="69" t="s">
        <v>9453</v>
      </c>
      <c r="E2511" s="70" t="s">
        <v>9507</v>
      </c>
      <c r="F2511" s="26" t="s">
        <v>798</v>
      </c>
      <c r="G2511" s="15" t="s">
        <v>798</v>
      </c>
      <c r="H2511" s="14" t="s">
        <v>798</v>
      </c>
      <c r="I2511" s="15" t="s">
        <v>798</v>
      </c>
      <c r="J2511" s="12" t="s">
        <v>9435</v>
      </c>
      <c r="K2511" s="16" t="s">
        <v>2585</v>
      </c>
      <c r="L2511" s="12" t="s">
        <v>800</v>
      </c>
      <c r="M2511" s="16" t="s">
        <v>5238</v>
      </c>
      <c r="N2511" s="19" t="s">
        <v>798</v>
      </c>
      <c r="O2511" s="20" t="s">
        <v>798</v>
      </c>
      <c r="P2511" s="17" t="s">
        <v>802</v>
      </c>
      <c r="Q2511" s="21" t="s">
        <v>8137</v>
      </c>
      <c r="R2511" s="19" t="s">
        <v>798</v>
      </c>
      <c r="S2511" s="20" t="s">
        <v>798</v>
      </c>
      <c r="T2511" s="17" t="s">
        <v>798</v>
      </c>
      <c r="U2511" s="20" t="s">
        <v>798</v>
      </c>
      <c r="V2511" s="26" t="s">
        <v>798</v>
      </c>
      <c r="W2511" s="20" t="s">
        <v>798</v>
      </c>
      <c r="X2511" s="26" t="s">
        <v>798</v>
      </c>
      <c r="Y2511" s="20" t="s">
        <v>798</v>
      </c>
      <c r="Z2511" s="73" t="s">
        <v>9486</v>
      </c>
      <c r="AA2511" s="74" t="s">
        <v>9508</v>
      </c>
      <c r="AB2511" s="73" t="s">
        <v>9486</v>
      </c>
      <c r="AC2511" s="74" t="s">
        <v>9566</v>
      </c>
      <c r="AD2511" s="73" t="s">
        <v>9578</v>
      </c>
      <c r="AE2511" s="74" t="s">
        <v>9579</v>
      </c>
    </row>
    <row r="2512" spans="1:31" ht="8.65" customHeight="1" x14ac:dyDescent="0.2">
      <c r="A2512" s="76">
        <v>2512</v>
      </c>
      <c r="B2512" s="67" t="str">
        <f>MID(C2512, FIND("Ifc.", C2512) + 4, 4) &amp; "_" &amp; TEXT(COUNTIF($C$2:C2512, C2512),"0000")</f>
        <v>Info_0042</v>
      </c>
      <c r="C2512" s="23" t="s">
        <v>9506</v>
      </c>
      <c r="D2512" s="69" t="s">
        <v>9453</v>
      </c>
      <c r="E2512" s="70" t="s">
        <v>9507</v>
      </c>
      <c r="F2512" s="26" t="s">
        <v>798</v>
      </c>
      <c r="G2512" s="15" t="s">
        <v>798</v>
      </c>
      <c r="H2512" s="14" t="s">
        <v>798</v>
      </c>
      <c r="I2512" s="15" t="s">
        <v>798</v>
      </c>
      <c r="J2512" s="12" t="s">
        <v>9435</v>
      </c>
      <c r="K2512" s="16" t="s">
        <v>2586</v>
      </c>
      <c r="L2512" s="12" t="s">
        <v>800</v>
      </c>
      <c r="M2512" s="16" t="s">
        <v>5242</v>
      </c>
      <c r="N2512" s="19" t="s">
        <v>798</v>
      </c>
      <c r="O2512" s="20" t="s">
        <v>798</v>
      </c>
      <c r="P2512" s="17" t="s">
        <v>802</v>
      </c>
      <c r="Q2512" s="21" t="s">
        <v>8138</v>
      </c>
      <c r="R2512" s="19" t="s">
        <v>798</v>
      </c>
      <c r="S2512" s="20" t="s">
        <v>798</v>
      </c>
      <c r="T2512" s="17" t="s">
        <v>798</v>
      </c>
      <c r="U2512" s="20" t="s">
        <v>798</v>
      </c>
      <c r="V2512" s="26" t="s">
        <v>798</v>
      </c>
      <c r="W2512" s="20" t="s">
        <v>798</v>
      </c>
      <c r="X2512" s="26" t="s">
        <v>798</v>
      </c>
      <c r="Y2512" s="20" t="s">
        <v>798</v>
      </c>
      <c r="Z2512" s="73" t="s">
        <v>9486</v>
      </c>
      <c r="AA2512" s="74" t="s">
        <v>9508</v>
      </c>
      <c r="AB2512" s="73" t="s">
        <v>9486</v>
      </c>
      <c r="AC2512" s="74" t="s">
        <v>9566</v>
      </c>
      <c r="AD2512" s="73" t="s">
        <v>9578</v>
      </c>
      <c r="AE2512" s="74" t="s">
        <v>9579</v>
      </c>
    </row>
    <row r="2513" spans="1:31" ht="8.65" customHeight="1" x14ac:dyDescent="0.2">
      <c r="A2513" s="76">
        <v>2513</v>
      </c>
      <c r="B2513" s="67" t="str">
        <f>MID(C2513, FIND("Ifc.", C2513) + 4, 4) &amp; "_" &amp; TEXT(COUNTIF($C$2:C2513, C2513),"0000")</f>
        <v>Info_0043</v>
      </c>
      <c r="C2513" s="23" t="s">
        <v>9506</v>
      </c>
      <c r="D2513" s="69" t="s">
        <v>9453</v>
      </c>
      <c r="E2513" s="70" t="s">
        <v>9507</v>
      </c>
      <c r="F2513" s="26" t="s">
        <v>798</v>
      </c>
      <c r="G2513" s="15" t="s">
        <v>798</v>
      </c>
      <c r="H2513" s="14" t="s">
        <v>798</v>
      </c>
      <c r="I2513" s="15" t="s">
        <v>798</v>
      </c>
      <c r="J2513" s="12" t="s">
        <v>9435</v>
      </c>
      <c r="K2513" s="16" t="s">
        <v>2587</v>
      </c>
      <c r="L2513" s="12" t="s">
        <v>800</v>
      </c>
      <c r="M2513" s="16" t="s">
        <v>5303</v>
      </c>
      <c r="N2513" s="19" t="s">
        <v>798</v>
      </c>
      <c r="O2513" s="20" t="s">
        <v>798</v>
      </c>
      <c r="P2513" s="17" t="s">
        <v>802</v>
      </c>
      <c r="Q2513" s="21" t="s">
        <v>8139</v>
      </c>
      <c r="R2513" s="19" t="s">
        <v>798</v>
      </c>
      <c r="S2513" s="20" t="s">
        <v>798</v>
      </c>
      <c r="T2513" s="17" t="s">
        <v>798</v>
      </c>
      <c r="U2513" s="20" t="s">
        <v>798</v>
      </c>
      <c r="V2513" s="26" t="s">
        <v>798</v>
      </c>
      <c r="W2513" s="20" t="s">
        <v>798</v>
      </c>
      <c r="X2513" s="26" t="s">
        <v>798</v>
      </c>
      <c r="Y2513" s="20" t="s">
        <v>798</v>
      </c>
      <c r="Z2513" s="73" t="s">
        <v>9486</v>
      </c>
      <c r="AA2513" s="74" t="s">
        <v>9508</v>
      </c>
      <c r="AB2513" s="73" t="s">
        <v>9486</v>
      </c>
      <c r="AC2513" s="74" t="s">
        <v>9566</v>
      </c>
      <c r="AD2513" s="73" t="s">
        <v>9578</v>
      </c>
      <c r="AE2513" s="74" t="s">
        <v>9579</v>
      </c>
    </row>
    <row r="2514" spans="1:31" ht="8.65" customHeight="1" x14ac:dyDescent="0.2">
      <c r="A2514" s="76">
        <v>2514</v>
      </c>
      <c r="B2514" s="67" t="str">
        <f>MID(C2514, FIND("Ifc.", C2514) + 4, 4) &amp; "_" &amp; TEXT(COUNTIF($C$2:C2514, C2514),"0000")</f>
        <v>Info_0044</v>
      </c>
      <c r="C2514" s="23" t="s">
        <v>9506</v>
      </c>
      <c r="D2514" s="69" t="s">
        <v>9453</v>
      </c>
      <c r="E2514" s="70" t="s">
        <v>9507</v>
      </c>
      <c r="F2514" s="26" t="s">
        <v>798</v>
      </c>
      <c r="G2514" s="15" t="s">
        <v>798</v>
      </c>
      <c r="H2514" s="14" t="s">
        <v>798</v>
      </c>
      <c r="I2514" s="15" t="s">
        <v>798</v>
      </c>
      <c r="J2514" s="12" t="s">
        <v>9435</v>
      </c>
      <c r="K2514" s="16" t="s">
        <v>2588</v>
      </c>
      <c r="L2514" s="12" t="s">
        <v>800</v>
      </c>
      <c r="M2514" s="16" t="s">
        <v>5279</v>
      </c>
      <c r="N2514" s="19" t="s">
        <v>798</v>
      </c>
      <c r="O2514" s="20" t="s">
        <v>798</v>
      </c>
      <c r="P2514" s="17" t="s">
        <v>802</v>
      </c>
      <c r="Q2514" s="21" t="s">
        <v>8140</v>
      </c>
      <c r="R2514" s="19" t="s">
        <v>798</v>
      </c>
      <c r="S2514" s="20" t="s">
        <v>798</v>
      </c>
      <c r="T2514" s="17" t="s">
        <v>798</v>
      </c>
      <c r="U2514" s="20" t="s">
        <v>798</v>
      </c>
      <c r="V2514" s="26" t="s">
        <v>798</v>
      </c>
      <c r="W2514" s="20" t="s">
        <v>798</v>
      </c>
      <c r="X2514" s="26" t="s">
        <v>798</v>
      </c>
      <c r="Y2514" s="20" t="s">
        <v>798</v>
      </c>
      <c r="Z2514" s="73" t="s">
        <v>9486</v>
      </c>
      <c r="AA2514" s="74" t="s">
        <v>9508</v>
      </c>
      <c r="AB2514" s="73" t="s">
        <v>9486</v>
      </c>
      <c r="AC2514" s="74" t="s">
        <v>9566</v>
      </c>
      <c r="AD2514" s="73" t="s">
        <v>9578</v>
      </c>
      <c r="AE2514" s="74" t="s">
        <v>9579</v>
      </c>
    </row>
    <row r="2515" spans="1:31" ht="8.65" customHeight="1" x14ac:dyDescent="0.2">
      <c r="A2515" s="76">
        <v>2515</v>
      </c>
      <c r="B2515" s="67" t="str">
        <f>MID(C2515, FIND("Ifc.", C2515) + 4, 4) &amp; "_" &amp; TEXT(COUNTIF($C$2:C2515, C2515),"0000")</f>
        <v>Info_0045</v>
      </c>
      <c r="C2515" s="23" t="s">
        <v>9506</v>
      </c>
      <c r="D2515" s="69" t="s">
        <v>9453</v>
      </c>
      <c r="E2515" s="70" t="s">
        <v>9507</v>
      </c>
      <c r="F2515" s="26" t="s">
        <v>798</v>
      </c>
      <c r="G2515" s="15" t="s">
        <v>798</v>
      </c>
      <c r="H2515" s="14" t="s">
        <v>798</v>
      </c>
      <c r="I2515" s="15" t="s">
        <v>798</v>
      </c>
      <c r="J2515" s="12" t="s">
        <v>9435</v>
      </c>
      <c r="K2515" s="16" t="s">
        <v>2589</v>
      </c>
      <c r="L2515" s="12" t="s">
        <v>800</v>
      </c>
      <c r="M2515" s="16" t="s">
        <v>5258</v>
      </c>
      <c r="N2515" s="19" t="s">
        <v>798</v>
      </c>
      <c r="O2515" s="20" t="s">
        <v>798</v>
      </c>
      <c r="P2515" s="17" t="s">
        <v>802</v>
      </c>
      <c r="Q2515" s="21" t="s">
        <v>8141</v>
      </c>
      <c r="R2515" s="19" t="s">
        <v>798</v>
      </c>
      <c r="S2515" s="20" t="s">
        <v>798</v>
      </c>
      <c r="T2515" s="17" t="s">
        <v>798</v>
      </c>
      <c r="U2515" s="20" t="s">
        <v>798</v>
      </c>
      <c r="V2515" s="26" t="s">
        <v>798</v>
      </c>
      <c r="W2515" s="20" t="s">
        <v>798</v>
      </c>
      <c r="X2515" s="26" t="s">
        <v>798</v>
      </c>
      <c r="Y2515" s="20" t="s">
        <v>798</v>
      </c>
      <c r="Z2515" s="73" t="s">
        <v>9486</v>
      </c>
      <c r="AA2515" s="74" t="s">
        <v>9508</v>
      </c>
      <c r="AB2515" s="73" t="s">
        <v>9486</v>
      </c>
      <c r="AC2515" s="74" t="s">
        <v>9562</v>
      </c>
      <c r="AD2515" s="73" t="s">
        <v>9578</v>
      </c>
      <c r="AE2515" s="74" t="s">
        <v>9579</v>
      </c>
    </row>
    <row r="2516" spans="1:31" ht="8.65" customHeight="1" x14ac:dyDescent="0.2">
      <c r="A2516" s="76">
        <v>2516</v>
      </c>
      <c r="B2516" s="67" t="str">
        <f>MID(C2516, FIND("Ifc.", C2516) + 4, 4) &amp; "_" &amp; TEXT(COUNTIF($C$2:C2516, C2516),"0000")</f>
        <v>Info_0046</v>
      </c>
      <c r="C2516" s="23" t="s">
        <v>9506</v>
      </c>
      <c r="D2516" s="69" t="s">
        <v>9453</v>
      </c>
      <c r="E2516" s="70" t="s">
        <v>9507</v>
      </c>
      <c r="F2516" s="26" t="s">
        <v>798</v>
      </c>
      <c r="G2516" s="15" t="s">
        <v>798</v>
      </c>
      <c r="H2516" s="14" t="s">
        <v>798</v>
      </c>
      <c r="I2516" s="15" t="s">
        <v>798</v>
      </c>
      <c r="J2516" s="12" t="s">
        <v>9435</v>
      </c>
      <c r="K2516" s="16" t="s">
        <v>2590</v>
      </c>
      <c r="L2516" s="12" t="s">
        <v>800</v>
      </c>
      <c r="M2516" s="16" t="s">
        <v>5274</v>
      </c>
      <c r="N2516" s="19" t="s">
        <v>798</v>
      </c>
      <c r="O2516" s="20" t="s">
        <v>798</v>
      </c>
      <c r="P2516" s="17" t="s">
        <v>802</v>
      </c>
      <c r="Q2516" s="21" t="s">
        <v>8142</v>
      </c>
      <c r="R2516" s="19" t="s">
        <v>798</v>
      </c>
      <c r="S2516" s="20" t="s">
        <v>798</v>
      </c>
      <c r="T2516" s="17" t="s">
        <v>798</v>
      </c>
      <c r="U2516" s="20" t="s">
        <v>798</v>
      </c>
      <c r="V2516" s="26" t="s">
        <v>798</v>
      </c>
      <c r="W2516" s="20" t="s">
        <v>798</v>
      </c>
      <c r="X2516" s="26" t="s">
        <v>798</v>
      </c>
      <c r="Y2516" s="20" t="s">
        <v>798</v>
      </c>
      <c r="Z2516" s="73" t="s">
        <v>9486</v>
      </c>
      <c r="AA2516" s="74" t="s">
        <v>9508</v>
      </c>
      <c r="AB2516" s="73" t="s">
        <v>9486</v>
      </c>
      <c r="AC2516" s="74" t="s">
        <v>9566</v>
      </c>
      <c r="AD2516" s="73" t="s">
        <v>9578</v>
      </c>
      <c r="AE2516" s="74" t="s">
        <v>9579</v>
      </c>
    </row>
    <row r="2517" spans="1:31" ht="8.65" customHeight="1" x14ac:dyDescent="0.2">
      <c r="A2517" s="76">
        <v>2517</v>
      </c>
      <c r="B2517" s="67" t="str">
        <f>MID(C2517, FIND("Ifc.", C2517) + 4, 4) &amp; "_" &amp; TEXT(COUNTIF($C$2:C2517, C2517),"0000")</f>
        <v>Info_0047</v>
      </c>
      <c r="C2517" s="23" t="s">
        <v>9506</v>
      </c>
      <c r="D2517" s="69" t="s">
        <v>9453</v>
      </c>
      <c r="E2517" s="70" t="s">
        <v>9507</v>
      </c>
      <c r="F2517" s="26" t="s">
        <v>798</v>
      </c>
      <c r="G2517" s="15" t="s">
        <v>798</v>
      </c>
      <c r="H2517" s="14" t="s">
        <v>798</v>
      </c>
      <c r="I2517" s="15" t="s">
        <v>798</v>
      </c>
      <c r="J2517" s="12" t="s">
        <v>9435</v>
      </c>
      <c r="K2517" s="16" t="s">
        <v>2591</v>
      </c>
      <c r="L2517" s="12" t="s">
        <v>800</v>
      </c>
      <c r="M2517" s="16" t="s">
        <v>5334</v>
      </c>
      <c r="N2517" s="19" t="s">
        <v>798</v>
      </c>
      <c r="O2517" s="20" t="s">
        <v>798</v>
      </c>
      <c r="P2517" s="17" t="s">
        <v>802</v>
      </c>
      <c r="Q2517" s="21" t="s">
        <v>8143</v>
      </c>
      <c r="R2517" s="19" t="s">
        <v>798</v>
      </c>
      <c r="S2517" s="20" t="s">
        <v>798</v>
      </c>
      <c r="T2517" s="17" t="s">
        <v>798</v>
      </c>
      <c r="U2517" s="20" t="s">
        <v>798</v>
      </c>
      <c r="V2517" s="26" t="s">
        <v>798</v>
      </c>
      <c r="W2517" s="20" t="s">
        <v>798</v>
      </c>
      <c r="X2517" s="26" t="s">
        <v>798</v>
      </c>
      <c r="Y2517" s="20" t="s">
        <v>798</v>
      </c>
      <c r="Z2517" s="73" t="s">
        <v>9486</v>
      </c>
      <c r="AA2517" s="74" t="s">
        <v>9508</v>
      </c>
      <c r="AB2517" s="73" t="s">
        <v>9486</v>
      </c>
      <c r="AC2517" s="74" t="s">
        <v>9566</v>
      </c>
      <c r="AD2517" s="73" t="s">
        <v>9578</v>
      </c>
      <c r="AE2517" s="74" t="s">
        <v>9579</v>
      </c>
    </row>
    <row r="2518" spans="1:31" ht="8.65" customHeight="1" x14ac:dyDescent="0.2">
      <c r="A2518" s="76">
        <v>2518</v>
      </c>
      <c r="B2518" s="67" t="str">
        <f>MID(C2518, FIND("Ifc.", C2518) + 4, 4) &amp; "_" &amp; TEXT(COUNTIF($C$2:C2518, C2518),"0000")</f>
        <v>Info_0048</v>
      </c>
      <c r="C2518" s="23" t="s">
        <v>9506</v>
      </c>
      <c r="D2518" s="69" t="s">
        <v>9453</v>
      </c>
      <c r="E2518" s="70" t="s">
        <v>9507</v>
      </c>
      <c r="F2518" s="26" t="s">
        <v>798</v>
      </c>
      <c r="G2518" s="15" t="s">
        <v>798</v>
      </c>
      <c r="H2518" s="14" t="s">
        <v>798</v>
      </c>
      <c r="I2518" s="15" t="s">
        <v>798</v>
      </c>
      <c r="J2518" s="12" t="s">
        <v>9435</v>
      </c>
      <c r="K2518" s="16" t="s">
        <v>2592</v>
      </c>
      <c r="L2518" s="12" t="s">
        <v>800</v>
      </c>
      <c r="M2518" s="16" t="s">
        <v>5277</v>
      </c>
      <c r="N2518" s="19" t="s">
        <v>798</v>
      </c>
      <c r="O2518" s="20" t="s">
        <v>798</v>
      </c>
      <c r="P2518" s="17" t="s">
        <v>802</v>
      </c>
      <c r="Q2518" s="21" t="s">
        <v>8144</v>
      </c>
      <c r="R2518" s="19" t="s">
        <v>798</v>
      </c>
      <c r="S2518" s="20" t="s">
        <v>798</v>
      </c>
      <c r="T2518" s="17" t="s">
        <v>798</v>
      </c>
      <c r="U2518" s="20" t="s">
        <v>798</v>
      </c>
      <c r="V2518" s="26" t="s">
        <v>798</v>
      </c>
      <c r="W2518" s="20" t="s">
        <v>798</v>
      </c>
      <c r="X2518" s="26" t="s">
        <v>798</v>
      </c>
      <c r="Y2518" s="20" t="s">
        <v>798</v>
      </c>
      <c r="Z2518" s="73" t="s">
        <v>9486</v>
      </c>
      <c r="AA2518" s="74" t="s">
        <v>9508</v>
      </c>
      <c r="AB2518" s="73" t="s">
        <v>9486</v>
      </c>
      <c r="AC2518" s="74" t="s">
        <v>9566</v>
      </c>
      <c r="AD2518" s="73" t="s">
        <v>9578</v>
      </c>
      <c r="AE2518" s="74" t="s">
        <v>9579</v>
      </c>
    </row>
    <row r="2519" spans="1:31" ht="8.65" customHeight="1" x14ac:dyDescent="0.2">
      <c r="A2519" s="76">
        <v>2519</v>
      </c>
      <c r="B2519" s="67" t="str">
        <f>MID(C2519, FIND("Ifc.", C2519) + 4, 4) &amp; "_" &amp; TEXT(COUNTIF($C$2:C2519, C2519),"0000")</f>
        <v>Info_0049</v>
      </c>
      <c r="C2519" s="23" t="s">
        <v>9506</v>
      </c>
      <c r="D2519" s="69" t="s">
        <v>9453</v>
      </c>
      <c r="E2519" s="70" t="s">
        <v>9507</v>
      </c>
      <c r="F2519" s="26" t="s">
        <v>798</v>
      </c>
      <c r="G2519" s="15" t="s">
        <v>798</v>
      </c>
      <c r="H2519" s="14" t="s">
        <v>798</v>
      </c>
      <c r="I2519" s="15" t="s">
        <v>798</v>
      </c>
      <c r="J2519" s="12" t="s">
        <v>9435</v>
      </c>
      <c r="K2519" s="16" t="s">
        <v>2593</v>
      </c>
      <c r="L2519" s="12" t="s">
        <v>800</v>
      </c>
      <c r="M2519" s="16" t="s">
        <v>5299</v>
      </c>
      <c r="N2519" s="19" t="s">
        <v>798</v>
      </c>
      <c r="O2519" s="20" t="s">
        <v>798</v>
      </c>
      <c r="P2519" s="17" t="s">
        <v>802</v>
      </c>
      <c r="Q2519" s="21" t="s">
        <v>8145</v>
      </c>
      <c r="R2519" s="19" t="s">
        <v>798</v>
      </c>
      <c r="S2519" s="20" t="s">
        <v>798</v>
      </c>
      <c r="T2519" s="17" t="s">
        <v>798</v>
      </c>
      <c r="U2519" s="20" t="s">
        <v>798</v>
      </c>
      <c r="V2519" s="26" t="s">
        <v>798</v>
      </c>
      <c r="W2519" s="20" t="s">
        <v>798</v>
      </c>
      <c r="X2519" s="26" t="s">
        <v>798</v>
      </c>
      <c r="Y2519" s="20" t="s">
        <v>798</v>
      </c>
      <c r="Z2519" s="73" t="s">
        <v>9486</v>
      </c>
      <c r="AA2519" s="74" t="s">
        <v>9508</v>
      </c>
      <c r="AB2519" s="73" t="s">
        <v>9486</v>
      </c>
      <c r="AC2519" s="74" t="s">
        <v>9566</v>
      </c>
      <c r="AD2519" s="73" t="s">
        <v>9578</v>
      </c>
      <c r="AE2519" s="74" t="s">
        <v>9579</v>
      </c>
    </row>
    <row r="2520" spans="1:31" ht="8.65" customHeight="1" x14ac:dyDescent="0.2">
      <c r="A2520" s="76">
        <v>2520</v>
      </c>
      <c r="B2520" s="67" t="str">
        <f>MID(C2520, FIND("Ifc.", C2520) + 4, 4) &amp; "_" &amp; TEXT(COUNTIF($C$2:C2520, C2520),"0000")</f>
        <v>Info_0050</v>
      </c>
      <c r="C2520" s="23" t="s">
        <v>9506</v>
      </c>
      <c r="D2520" s="69" t="s">
        <v>9453</v>
      </c>
      <c r="E2520" s="70" t="s">
        <v>9507</v>
      </c>
      <c r="F2520" s="26" t="s">
        <v>798</v>
      </c>
      <c r="G2520" s="15" t="s">
        <v>798</v>
      </c>
      <c r="H2520" s="14" t="s">
        <v>798</v>
      </c>
      <c r="I2520" s="15" t="s">
        <v>798</v>
      </c>
      <c r="J2520" s="12" t="s">
        <v>9435</v>
      </c>
      <c r="K2520" s="16" t="s">
        <v>2594</v>
      </c>
      <c r="L2520" s="12" t="s">
        <v>800</v>
      </c>
      <c r="M2520" s="16" t="s">
        <v>5335</v>
      </c>
      <c r="N2520" s="19" t="s">
        <v>798</v>
      </c>
      <c r="O2520" s="20" t="s">
        <v>798</v>
      </c>
      <c r="P2520" s="17" t="s">
        <v>802</v>
      </c>
      <c r="Q2520" s="21" t="s">
        <v>8146</v>
      </c>
      <c r="R2520" s="19" t="s">
        <v>798</v>
      </c>
      <c r="S2520" s="20" t="s">
        <v>798</v>
      </c>
      <c r="T2520" s="17" t="s">
        <v>798</v>
      </c>
      <c r="U2520" s="20" t="s">
        <v>798</v>
      </c>
      <c r="V2520" s="26" t="s">
        <v>798</v>
      </c>
      <c r="W2520" s="20" t="s">
        <v>798</v>
      </c>
      <c r="X2520" s="26" t="s">
        <v>798</v>
      </c>
      <c r="Y2520" s="20" t="s">
        <v>798</v>
      </c>
      <c r="Z2520" s="73" t="s">
        <v>9486</v>
      </c>
      <c r="AA2520" s="74" t="s">
        <v>9508</v>
      </c>
      <c r="AB2520" s="73" t="s">
        <v>9486</v>
      </c>
      <c r="AC2520" s="74" t="s">
        <v>9566</v>
      </c>
      <c r="AD2520" s="73" t="s">
        <v>9578</v>
      </c>
      <c r="AE2520" s="74" t="s">
        <v>9579</v>
      </c>
    </row>
    <row r="2521" spans="1:31" ht="8.65" customHeight="1" x14ac:dyDescent="0.2">
      <c r="A2521" s="76">
        <v>2521</v>
      </c>
      <c r="B2521" s="67" t="str">
        <f>MID(C2521, FIND("Ifc.", C2521) + 4, 4) &amp; "_" &amp; TEXT(COUNTIF($C$2:C2521, C2521),"0000")</f>
        <v>Info_0051</v>
      </c>
      <c r="C2521" s="23" t="s">
        <v>9506</v>
      </c>
      <c r="D2521" s="69" t="s">
        <v>9453</v>
      </c>
      <c r="E2521" s="70" t="s">
        <v>9507</v>
      </c>
      <c r="F2521" s="26" t="s">
        <v>798</v>
      </c>
      <c r="G2521" s="15" t="s">
        <v>798</v>
      </c>
      <c r="H2521" s="14" t="s">
        <v>798</v>
      </c>
      <c r="I2521" s="15" t="s">
        <v>798</v>
      </c>
      <c r="J2521" s="12" t="s">
        <v>9435</v>
      </c>
      <c r="K2521" s="16" t="s">
        <v>2595</v>
      </c>
      <c r="L2521" s="12" t="s">
        <v>800</v>
      </c>
      <c r="M2521" s="16" t="s">
        <v>5276</v>
      </c>
      <c r="N2521" s="19" t="s">
        <v>798</v>
      </c>
      <c r="O2521" s="20" t="s">
        <v>798</v>
      </c>
      <c r="P2521" s="17" t="s">
        <v>802</v>
      </c>
      <c r="Q2521" s="21" t="s">
        <v>8147</v>
      </c>
      <c r="R2521" s="19" t="s">
        <v>798</v>
      </c>
      <c r="S2521" s="20" t="s">
        <v>798</v>
      </c>
      <c r="T2521" s="17" t="s">
        <v>798</v>
      </c>
      <c r="U2521" s="20" t="s">
        <v>798</v>
      </c>
      <c r="V2521" s="26" t="s">
        <v>798</v>
      </c>
      <c r="W2521" s="20" t="s">
        <v>798</v>
      </c>
      <c r="X2521" s="26" t="s">
        <v>798</v>
      </c>
      <c r="Y2521" s="20" t="s">
        <v>798</v>
      </c>
      <c r="Z2521" s="73" t="s">
        <v>9486</v>
      </c>
      <c r="AA2521" s="74" t="s">
        <v>9508</v>
      </c>
      <c r="AB2521" s="73" t="s">
        <v>9486</v>
      </c>
      <c r="AC2521" s="74" t="s">
        <v>9566</v>
      </c>
      <c r="AD2521" s="73" t="s">
        <v>9578</v>
      </c>
      <c r="AE2521" s="74" t="s">
        <v>9579</v>
      </c>
    </row>
    <row r="2522" spans="1:31" ht="8.65" customHeight="1" x14ac:dyDescent="0.2">
      <c r="A2522" s="76">
        <v>2522</v>
      </c>
      <c r="B2522" s="67" t="str">
        <f>MID(C2522, FIND("Ifc.", C2522) + 4, 4) &amp; "_" &amp; TEXT(COUNTIF($C$2:C2522, C2522),"0000")</f>
        <v>Info_0052</v>
      </c>
      <c r="C2522" s="23" t="s">
        <v>9506</v>
      </c>
      <c r="D2522" s="69" t="s">
        <v>9453</v>
      </c>
      <c r="E2522" s="70" t="s">
        <v>9507</v>
      </c>
      <c r="F2522" s="26" t="s">
        <v>798</v>
      </c>
      <c r="G2522" s="15" t="s">
        <v>798</v>
      </c>
      <c r="H2522" s="14" t="s">
        <v>798</v>
      </c>
      <c r="I2522" s="15" t="s">
        <v>798</v>
      </c>
      <c r="J2522" s="12" t="s">
        <v>9435</v>
      </c>
      <c r="K2522" s="16" t="s">
        <v>2596</v>
      </c>
      <c r="L2522" s="12" t="s">
        <v>800</v>
      </c>
      <c r="M2522" s="16" t="s">
        <v>5282</v>
      </c>
      <c r="N2522" s="19" t="s">
        <v>798</v>
      </c>
      <c r="O2522" s="20" t="s">
        <v>798</v>
      </c>
      <c r="P2522" s="17" t="s">
        <v>802</v>
      </c>
      <c r="Q2522" s="21" t="s">
        <v>8148</v>
      </c>
      <c r="R2522" s="19" t="s">
        <v>798</v>
      </c>
      <c r="S2522" s="20" t="s">
        <v>798</v>
      </c>
      <c r="T2522" s="17" t="s">
        <v>798</v>
      </c>
      <c r="U2522" s="20" t="s">
        <v>798</v>
      </c>
      <c r="V2522" s="26" t="s">
        <v>798</v>
      </c>
      <c r="W2522" s="20" t="s">
        <v>798</v>
      </c>
      <c r="X2522" s="26" t="s">
        <v>798</v>
      </c>
      <c r="Y2522" s="20" t="s">
        <v>798</v>
      </c>
      <c r="Z2522" s="73" t="s">
        <v>9486</v>
      </c>
      <c r="AA2522" s="74" t="s">
        <v>9508</v>
      </c>
      <c r="AB2522" s="73" t="s">
        <v>9486</v>
      </c>
      <c r="AC2522" s="74" t="s">
        <v>9566</v>
      </c>
      <c r="AD2522" s="73" t="s">
        <v>9578</v>
      </c>
      <c r="AE2522" s="74" t="s">
        <v>9579</v>
      </c>
    </row>
    <row r="2523" spans="1:31" ht="8.65" customHeight="1" x14ac:dyDescent="0.2">
      <c r="A2523" s="76">
        <v>2523</v>
      </c>
      <c r="B2523" s="67" t="str">
        <f>MID(C2523, FIND("Ifc.", C2523) + 4, 4) &amp; "_" &amp; TEXT(COUNTIF($C$2:C2523, C2523),"0000")</f>
        <v>Info_0053</v>
      </c>
      <c r="C2523" s="23" t="s">
        <v>9506</v>
      </c>
      <c r="D2523" s="69" t="s">
        <v>9453</v>
      </c>
      <c r="E2523" s="70" t="s">
        <v>9507</v>
      </c>
      <c r="F2523" s="26" t="s">
        <v>798</v>
      </c>
      <c r="G2523" s="15" t="s">
        <v>798</v>
      </c>
      <c r="H2523" s="14" t="s">
        <v>798</v>
      </c>
      <c r="I2523" s="15" t="s">
        <v>798</v>
      </c>
      <c r="J2523" s="12" t="s">
        <v>9435</v>
      </c>
      <c r="K2523" s="16" t="s">
        <v>2597</v>
      </c>
      <c r="L2523" s="12" t="s">
        <v>800</v>
      </c>
      <c r="M2523" s="16" t="s">
        <v>5336</v>
      </c>
      <c r="N2523" s="19" t="s">
        <v>798</v>
      </c>
      <c r="O2523" s="20" t="s">
        <v>798</v>
      </c>
      <c r="P2523" s="17" t="s">
        <v>802</v>
      </c>
      <c r="Q2523" s="21" t="s">
        <v>8149</v>
      </c>
      <c r="R2523" s="19" t="s">
        <v>798</v>
      </c>
      <c r="S2523" s="20" t="s">
        <v>798</v>
      </c>
      <c r="T2523" s="17" t="s">
        <v>798</v>
      </c>
      <c r="U2523" s="20" t="s">
        <v>798</v>
      </c>
      <c r="V2523" s="26" t="s">
        <v>798</v>
      </c>
      <c r="W2523" s="20" t="s">
        <v>798</v>
      </c>
      <c r="X2523" s="26" t="s">
        <v>798</v>
      </c>
      <c r="Y2523" s="20" t="s">
        <v>798</v>
      </c>
      <c r="Z2523" s="73" t="s">
        <v>9486</v>
      </c>
      <c r="AA2523" s="74" t="s">
        <v>9508</v>
      </c>
      <c r="AB2523" s="73" t="s">
        <v>9486</v>
      </c>
      <c r="AC2523" s="74" t="s">
        <v>9566</v>
      </c>
      <c r="AD2523" s="73" t="s">
        <v>9578</v>
      </c>
      <c r="AE2523" s="74" t="s">
        <v>9579</v>
      </c>
    </row>
    <row r="2524" spans="1:31" ht="8.65" customHeight="1" x14ac:dyDescent="0.2">
      <c r="A2524" s="76">
        <v>2524</v>
      </c>
      <c r="B2524" s="67" t="str">
        <f>MID(C2524, FIND("Ifc.", C2524) + 4, 4) &amp; "_" &amp; TEXT(COUNTIF($C$2:C2524, C2524),"0000")</f>
        <v>Info_0054</v>
      </c>
      <c r="C2524" s="23" t="s">
        <v>9506</v>
      </c>
      <c r="D2524" s="69" t="s">
        <v>9453</v>
      </c>
      <c r="E2524" s="70" t="s">
        <v>9507</v>
      </c>
      <c r="F2524" s="26" t="s">
        <v>798</v>
      </c>
      <c r="G2524" s="15" t="s">
        <v>798</v>
      </c>
      <c r="H2524" s="14" t="s">
        <v>798</v>
      </c>
      <c r="I2524" s="15" t="s">
        <v>798</v>
      </c>
      <c r="J2524" s="12" t="s">
        <v>9435</v>
      </c>
      <c r="K2524" s="16" t="s">
        <v>2598</v>
      </c>
      <c r="L2524" s="12" t="s">
        <v>800</v>
      </c>
      <c r="M2524" s="16" t="s">
        <v>5337</v>
      </c>
      <c r="N2524" s="19" t="s">
        <v>798</v>
      </c>
      <c r="O2524" s="20" t="s">
        <v>798</v>
      </c>
      <c r="P2524" s="17" t="s">
        <v>802</v>
      </c>
      <c r="Q2524" s="21" t="s">
        <v>8150</v>
      </c>
      <c r="R2524" s="19" t="s">
        <v>798</v>
      </c>
      <c r="S2524" s="20" t="s">
        <v>798</v>
      </c>
      <c r="T2524" s="17" t="s">
        <v>798</v>
      </c>
      <c r="U2524" s="20" t="s">
        <v>798</v>
      </c>
      <c r="V2524" s="26" t="s">
        <v>798</v>
      </c>
      <c r="W2524" s="20" t="s">
        <v>798</v>
      </c>
      <c r="X2524" s="26" t="s">
        <v>798</v>
      </c>
      <c r="Y2524" s="20" t="s">
        <v>798</v>
      </c>
      <c r="Z2524" s="73" t="s">
        <v>9486</v>
      </c>
      <c r="AA2524" s="74" t="s">
        <v>9508</v>
      </c>
      <c r="AB2524" s="73" t="s">
        <v>9486</v>
      </c>
      <c r="AC2524" s="74" t="s">
        <v>9566</v>
      </c>
      <c r="AD2524" s="73" t="s">
        <v>9578</v>
      </c>
      <c r="AE2524" s="74" t="s">
        <v>9579</v>
      </c>
    </row>
    <row r="2525" spans="1:31" ht="8.65" customHeight="1" x14ac:dyDescent="0.2">
      <c r="A2525" s="76">
        <v>2525</v>
      </c>
      <c r="B2525" s="67" t="str">
        <f>MID(C2525, FIND("Ifc.", C2525) + 4, 4) &amp; "_" &amp; TEXT(COUNTIF($C$2:C2525, C2525),"0000")</f>
        <v>Info_0055</v>
      </c>
      <c r="C2525" s="23" t="s">
        <v>9506</v>
      </c>
      <c r="D2525" s="69" t="s">
        <v>9453</v>
      </c>
      <c r="E2525" s="70" t="s">
        <v>9507</v>
      </c>
      <c r="F2525" s="26" t="s">
        <v>798</v>
      </c>
      <c r="G2525" s="15" t="s">
        <v>798</v>
      </c>
      <c r="H2525" s="14" t="s">
        <v>798</v>
      </c>
      <c r="I2525" s="15" t="s">
        <v>798</v>
      </c>
      <c r="J2525" s="12" t="s">
        <v>9435</v>
      </c>
      <c r="K2525" s="16" t="s">
        <v>2599</v>
      </c>
      <c r="L2525" s="12" t="s">
        <v>800</v>
      </c>
      <c r="M2525" s="16" t="s">
        <v>5338</v>
      </c>
      <c r="N2525" s="19" t="s">
        <v>798</v>
      </c>
      <c r="O2525" s="20" t="s">
        <v>798</v>
      </c>
      <c r="P2525" s="17" t="s">
        <v>802</v>
      </c>
      <c r="Q2525" s="21" t="s">
        <v>8151</v>
      </c>
      <c r="R2525" s="19" t="s">
        <v>798</v>
      </c>
      <c r="S2525" s="20" t="s">
        <v>798</v>
      </c>
      <c r="T2525" s="17" t="s">
        <v>798</v>
      </c>
      <c r="U2525" s="20" t="s">
        <v>798</v>
      </c>
      <c r="V2525" s="26" t="s">
        <v>798</v>
      </c>
      <c r="W2525" s="20" t="s">
        <v>798</v>
      </c>
      <c r="X2525" s="26" t="s">
        <v>798</v>
      </c>
      <c r="Y2525" s="20" t="s">
        <v>798</v>
      </c>
      <c r="Z2525" s="73" t="s">
        <v>9486</v>
      </c>
      <c r="AA2525" s="74" t="s">
        <v>9508</v>
      </c>
      <c r="AB2525" s="73" t="s">
        <v>9486</v>
      </c>
      <c r="AC2525" s="74" t="s">
        <v>9566</v>
      </c>
      <c r="AD2525" s="73" t="s">
        <v>9578</v>
      </c>
      <c r="AE2525" s="74" t="s">
        <v>9579</v>
      </c>
    </row>
    <row r="2526" spans="1:31" ht="8.65" customHeight="1" x14ac:dyDescent="0.2">
      <c r="A2526" s="76">
        <v>2526</v>
      </c>
      <c r="B2526" s="67" t="str">
        <f>MID(C2526, FIND("Ifc.", C2526) + 4, 4) &amp; "_" &amp; TEXT(COUNTIF($C$2:C2526, C2526),"0000")</f>
        <v>Info_0056</v>
      </c>
      <c r="C2526" s="23" t="s">
        <v>9506</v>
      </c>
      <c r="D2526" s="69" t="s">
        <v>9453</v>
      </c>
      <c r="E2526" s="70" t="s">
        <v>9507</v>
      </c>
      <c r="F2526" s="26" t="s">
        <v>798</v>
      </c>
      <c r="G2526" s="15" t="s">
        <v>798</v>
      </c>
      <c r="H2526" s="14" t="s">
        <v>798</v>
      </c>
      <c r="I2526" s="15" t="s">
        <v>798</v>
      </c>
      <c r="J2526" s="12" t="s">
        <v>9435</v>
      </c>
      <c r="K2526" s="16" t="s">
        <v>2600</v>
      </c>
      <c r="L2526" s="12" t="s">
        <v>800</v>
      </c>
      <c r="M2526" s="16" t="s">
        <v>5284</v>
      </c>
      <c r="N2526" s="19" t="s">
        <v>798</v>
      </c>
      <c r="O2526" s="20" t="s">
        <v>798</v>
      </c>
      <c r="P2526" s="17" t="s">
        <v>802</v>
      </c>
      <c r="Q2526" s="21" t="s">
        <v>8152</v>
      </c>
      <c r="R2526" s="19" t="s">
        <v>798</v>
      </c>
      <c r="S2526" s="20" t="s">
        <v>798</v>
      </c>
      <c r="T2526" s="17" t="s">
        <v>798</v>
      </c>
      <c r="U2526" s="20" t="s">
        <v>798</v>
      </c>
      <c r="V2526" s="26" t="s">
        <v>798</v>
      </c>
      <c r="W2526" s="20" t="s">
        <v>798</v>
      </c>
      <c r="X2526" s="26" t="s">
        <v>798</v>
      </c>
      <c r="Y2526" s="20" t="s">
        <v>798</v>
      </c>
      <c r="Z2526" s="73" t="s">
        <v>9486</v>
      </c>
      <c r="AA2526" s="74" t="s">
        <v>9508</v>
      </c>
      <c r="AB2526" s="73" t="s">
        <v>9486</v>
      </c>
      <c r="AC2526" s="74" t="s">
        <v>9566</v>
      </c>
      <c r="AD2526" s="73" t="s">
        <v>9578</v>
      </c>
      <c r="AE2526" s="74" t="s">
        <v>9579</v>
      </c>
    </row>
    <row r="2527" spans="1:31" ht="8.65" customHeight="1" x14ac:dyDescent="0.2">
      <c r="A2527" s="76">
        <v>2527</v>
      </c>
      <c r="B2527" s="67" t="str">
        <f>MID(C2527, FIND("Ifc.", C2527) + 4, 4) &amp; "_" &amp; TEXT(COUNTIF($C$2:C2527, C2527),"0000")</f>
        <v>Info_0057</v>
      </c>
      <c r="C2527" s="23" t="s">
        <v>9506</v>
      </c>
      <c r="D2527" s="69" t="s">
        <v>9453</v>
      </c>
      <c r="E2527" s="70" t="s">
        <v>9507</v>
      </c>
      <c r="F2527" s="26" t="s">
        <v>798</v>
      </c>
      <c r="G2527" s="15" t="s">
        <v>798</v>
      </c>
      <c r="H2527" s="14" t="s">
        <v>798</v>
      </c>
      <c r="I2527" s="15" t="s">
        <v>798</v>
      </c>
      <c r="J2527" s="12" t="s">
        <v>9435</v>
      </c>
      <c r="K2527" s="16" t="s">
        <v>2601</v>
      </c>
      <c r="L2527" s="12" t="s">
        <v>800</v>
      </c>
      <c r="M2527" s="16" t="s">
        <v>5285</v>
      </c>
      <c r="N2527" s="19" t="s">
        <v>798</v>
      </c>
      <c r="O2527" s="20" t="s">
        <v>798</v>
      </c>
      <c r="P2527" s="17" t="s">
        <v>802</v>
      </c>
      <c r="Q2527" s="21" t="s">
        <v>8153</v>
      </c>
      <c r="R2527" s="19" t="s">
        <v>798</v>
      </c>
      <c r="S2527" s="20" t="s">
        <v>798</v>
      </c>
      <c r="T2527" s="17" t="s">
        <v>798</v>
      </c>
      <c r="U2527" s="20" t="s">
        <v>798</v>
      </c>
      <c r="V2527" s="26" t="s">
        <v>798</v>
      </c>
      <c r="W2527" s="20" t="s">
        <v>798</v>
      </c>
      <c r="X2527" s="26" t="s">
        <v>798</v>
      </c>
      <c r="Y2527" s="20" t="s">
        <v>798</v>
      </c>
      <c r="Z2527" s="73" t="s">
        <v>9486</v>
      </c>
      <c r="AA2527" s="74" t="s">
        <v>9508</v>
      </c>
      <c r="AB2527" s="73" t="s">
        <v>9486</v>
      </c>
      <c r="AC2527" s="74" t="s">
        <v>9566</v>
      </c>
      <c r="AD2527" s="73" t="s">
        <v>9578</v>
      </c>
      <c r="AE2527" s="74" t="s">
        <v>9579</v>
      </c>
    </row>
    <row r="2528" spans="1:31" ht="8.65" customHeight="1" x14ac:dyDescent="0.2">
      <c r="A2528" s="76">
        <v>2528</v>
      </c>
      <c r="B2528" s="67" t="str">
        <f>MID(C2528, FIND("Ifc.", C2528) + 4, 4) &amp; "_" &amp; TEXT(COUNTIF($C$2:C2528, C2528),"0000")</f>
        <v>Info_0058</v>
      </c>
      <c r="C2528" s="23" t="s">
        <v>9506</v>
      </c>
      <c r="D2528" s="69" t="s">
        <v>9453</v>
      </c>
      <c r="E2528" s="70" t="s">
        <v>9507</v>
      </c>
      <c r="F2528" s="26" t="s">
        <v>798</v>
      </c>
      <c r="G2528" s="15" t="s">
        <v>798</v>
      </c>
      <c r="H2528" s="14" t="s">
        <v>798</v>
      </c>
      <c r="I2528" s="15" t="s">
        <v>798</v>
      </c>
      <c r="J2528" s="12" t="s">
        <v>9435</v>
      </c>
      <c r="K2528" s="16" t="s">
        <v>2602</v>
      </c>
      <c r="L2528" s="12" t="s">
        <v>800</v>
      </c>
      <c r="M2528" s="16" t="s">
        <v>5339</v>
      </c>
      <c r="N2528" s="19" t="s">
        <v>798</v>
      </c>
      <c r="O2528" s="20" t="s">
        <v>798</v>
      </c>
      <c r="P2528" s="17" t="s">
        <v>802</v>
      </c>
      <c r="Q2528" s="21" t="s">
        <v>8154</v>
      </c>
      <c r="R2528" s="19" t="s">
        <v>798</v>
      </c>
      <c r="S2528" s="20" t="s">
        <v>798</v>
      </c>
      <c r="T2528" s="17" t="s">
        <v>798</v>
      </c>
      <c r="U2528" s="20" t="s">
        <v>798</v>
      </c>
      <c r="V2528" s="26" t="s">
        <v>798</v>
      </c>
      <c r="W2528" s="20" t="s">
        <v>798</v>
      </c>
      <c r="X2528" s="26" t="s">
        <v>798</v>
      </c>
      <c r="Y2528" s="20" t="s">
        <v>798</v>
      </c>
      <c r="Z2528" s="73" t="s">
        <v>9486</v>
      </c>
      <c r="AA2528" s="74" t="s">
        <v>9508</v>
      </c>
      <c r="AB2528" s="73" t="s">
        <v>9486</v>
      </c>
      <c r="AC2528" s="74" t="s">
        <v>9566</v>
      </c>
      <c r="AD2528" s="73" t="s">
        <v>9578</v>
      </c>
      <c r="AE2528" s="74" t="s">
        <v>9579</v>
      </c>
    </row>
    <row r="2529" spans="1:31" ht="8.65" customHeight="1" x14ac:dyDescent="0.2">
      <c r="A2529" s="76">
        <v>2529</v>
      </c>
      <c r="B2529" s="67" t="str">
        <f>MID(C2529, FIND("Ifc.", C2529) + 4, 4) &amp; "_" &amp; TEXT(COUNTIF($C$2:C2529, C2529),"0000")</f>
        <v>Info_0059</v>
      </c>
      <c r="C2529" s="23" t="s">
        <v>9506</v>
      </c>
      <c r="D2529" s="69" t="s">
        <v>9453</v>
      </c>
      <c r="E2529" s="70" t="s">
        <v>9507</v>
      </c>
      <c r="F2529" s="26" t="s">
        <v>798</v>
      </c>
      <c r="G2529" s="15" t="s">
        <v>798</v>
      </c>
      <c r="H2529" s="14" t="s">
        <v>798</v>
      </c>
      <c r="I2529" s="15" t="s">
        <v>798</v>
      </c>
      <c r="J2529" s="12" t="s">
        <v>9435</v>
      </c>
      <c r="K2529" s="16" t="s">
        <v>2603</v>
      </c>
      <c r="L2529" s="12" t="s">
        <v>800</v>
      </c>
      <c r="M2529" s="16" t="s">
        <v>5261</v>
      </c>
      <c r="N2529" s="19" t="s">
        <v>798</v>
      </c>
      <c r="O2529" s="20" t="s">
        <v>798</v>
      </c>
      <c r="P2529" s="17" t="s">
        <v>802</v>
      </c>
      <c r="Q2529" s="21" t="s">
        <v>8155</v>
      </c>
      <c r="R2529" s="19" t="s">
        <v>798</v>
      </c>
      <c r="S2529" s="20" t="s">
        <v>798</v>
      </c>
      <c r="T2529" s="17" t="s">
        <v>798</v>
      </c>
      <c r="U2529" s="20" t="s">
        <v>798</v>
      </c>
      <c r="V2529" s="26" t="s">
        <v>798</v>
      </c>
      <c r="W2529" s="20" t="s">
        <v>798</v>
      </c>
      <c r="X2529" s="26" t="s">
        <v>798</v>
      </c>
      <c r="Y2529" s="20" t="s">
        <v>798</v>
      </c>
      <c r="Z2529" s="73" t="s">
        <v>9486</v>
      </c>
      <c r="AA2529" s="74" t="s">
        <v>9508</v>
      </c>
      <c r="AB2529" s="73" t="s">
        <v>9486</v>
      </c>
      <c r="AC2529" s="74" t="s">
        <v>9566</v>
      </c>
      <c r="AD2529" s="73" t="s">
        <v>9578</v>
      </c>
      <c r="AE2529" s="74" t="s">
        <v>9579</v>
      </c>
    </row>
    <row r="2530" spans="1:31" ht="8.65" customHeight="1" x14ac:dyDescent="0.2">
      <c r="A2530" s="76">
        <v>2530</v>
      </c>
      <c r="B2530" s="67" t="str">
        <f>MID(C2530, FIND("Ifc.", C2530) + 4, 4) &amp; "_" &amp; TEXT(COUNTIF($C$2:C2530, C2530),"0000")</f>
        <v>Info_0060</v>
      </c>
      <c r="C2530" s="23" t="s">
        <v>9506</v>
      </c>
      <c r="D2530" s="69" t="s">
        <v>9453</v>
      </c>
      <c r="E2530" s="70" t="s">
        <v>9507</v>
      </c>
      <c r="F2530" s="26" t="s">
        <v>798</v>
      </c>
      <c r="G2530" s="15" t="s">
        <v>798</v>
      </c>
      <c r="H2530" s="14" t="s">
        <v>798</v>
      </c>
      <c r="I2530" s="15" t="s">
        <v>798</v>
      </c>
      <c r="J2530" s="12" t="s">
        <v>9435</v>
      </c>
      <c r="K2530" s="16" t="s">
        <v>2604</v>
      </c>
      <c r="L2530" s="12" t="s">
        <v>800</v>
      </c>
      <c r="M2530" s="16" t="s">
        <v>5340</v>
      </c>
      <c r="N2530" s="19" t="s">
        <v>798</v>
      </c>
      <c r="O2530" s="20" t="s">
        <v>798</v>
      </c>
      <c r="P2530" s="17" t="s">
        <v>802</v>
      </c>
      <c r="Q2530" s="21" t="s">
        <v>8156</v>
      </c>
      <c r="R2530" s="19" t="s">
        <v>798</v>
      </c>
      <c r="S2530" s="20" t="s">
        <v>798</v>
      </c>
      <c r="T2530" s="17" t="s">
        <v>798</v>
      </c>
      <c r="U2530" s="20" t="s">
        <v>798</v>
      </c>
      <c r="V2530" s="26" t="s">
        <v>798</v>
      </c>
      <c r="W2530" s="20" t="s">
        <v>798</v>
      </c>
      <c r="X2530" s="26" t="s">
        <v>798</v>
      </c>
      <c r="Y2530" s="20" t="s">
        <v>798</v>
      </c>
      <c r="Z2530" s="73" t="s">
        <v>9486</v>
      </c>
      <c r="AA2530" s="74" t="s">
        <v>9508</v>
      </c>
      <c r="AB2530" s="73" t="s">
        <v>9486</v>
      </c>
      <c r="AC2530" s="74" t="s">
        <v>9566</v>
      </c>
      <c r="AD2530" s="73" t="s">
        <v>9578</v>
      </c>
      <c r="AE2530" s="74" t="s">
        <v>9579</v>
      </c>
    </row>
    <row r="2531" spans="1:31" ht="8.65" customHeight="1" x14ac:dyDescent="0.2">
      <c r="A2531" s="76">
        <v>2531</v>
      </c>
      <c r="B2531" s="67" t="str">
        <f>MID(C2531, FIND("Ifc.", C2531) + 4, 4) &amp; "_" &amp; TEXT(COUNTIF($C$2:C2531, C2531),"0000")</f>
        <v>Info_0061</v>
      </c>
      <c r="C2531" s="23" t="s">
        <v>9506</v>
      </c>
      <c r="D2531" s="69" t="s">
        <v>9453</v>
      </c>
      <c r="E2531" s="70" t="s">
        <v>9507</v>
      </c>
      <c r="F2531" s="26" t="s">
        <v>798</v>
      </c>
      <c r="G2531" s="15" t="s">
        <v>798</v>
      </c>
      <c r="H2531" s="14" t="s">
        <v>798</v>
      </c>
      <c r="I2531" s="15" t="s">
        <v>798</v>
      </c>
      <c r="J2531" s="12" t="s">
        <v>9435</v>
      </c>
      <c r="K2531" s="16" t="s">
        <v>2605</v>
      </c>
      <c r="L2531" s="12" t="s">
        <v>800</v>
      </c>
      <c r="M2531" s="16" t="s">
        <v>5341</v>
      </c>
      <c r="N2531" s="19" t="s">
        <v>798</v>
      </c>
      <c r="O2531" s="20" t="s">
        <v>798</v>
      </c>
      <c r="P2531" s="17" t="s">
        <v>802</v>
      </c>
      <c r="Q2531" s="21" t="s">
        <v>8157</v>
      </c>
      <c r="R2531" s="19" t="s">
        <v>798</v>
      </c>
      <c r="S2531" s="20" t="s">
        <v>798</v>
      </c>
      <c r="T2531" s="17" t="s">
        <v>798</v>
      </c>
      <c r="U2531" s="20" t="s">
        <v>798</v>
      </c>
      <c r="V2531" s="26" t="s">
        <v>798</v>
      </c>
      <c r="W2531" s="20" t="s">
        <v>798</v>
      </c>
      <c r="X2531" s="26" t="s">
        <v>798</v>
      </c>
      <c r="Y2531" s="20" t="s">
        <v>798</v>
      </c>
      <c r="Z2531" s="73" t="s">
        <v>9486</v>
      </c>
      <c r="AA2531" s="74" t="s">
        <v>9508</v>
      </c>
      <c r="AB2531" s="73" t="s">
        <v>9486</v>
      </c>
      <c r="AC2531" s="74" t="s">
        <v>9566</v>
      </c>
      <c r="AD2531" s="73" t="s">
        <v>9578</v>
      </c>
      <c r="AE2531" s="74" t="s">
        <v>9579</v>
      </c>
    </row>
    <row r="2532" spans="1:31" ht="8.65" customHeight="1" x14ac:dyDescent="0.2">
      <c r="A2532" s="76">
        <v>2532</v>
      </c>
      <c r="B2532" s="67" t="str">
        <f>MID(C2532, FIND("Ifc.", C2532) + 4, 4) &amp; "_" &amp; TEXT(COUNTIF($C$2:C2532, C2532),"0000")</f>
        <v>Info_0062</v>
      </c>
      <c r="C2532" s="23" t="s">
        <v>9506</v>
      </c>
      <c r="D2532" s="69" t="s">
        <v>9453</v>
      </c>
      <c r="E2532" s="70" t="s">
        <v>9507</v>
      </c>
      <c r="F2532" s="26" t="s">
        <v>798</v>
      </c>
      <c r="G2532" s="15" t="s">
        <v>798</v>
      </c>
      <c r="H2532" s="14" t="s">
        <v>798</v>
      </c>
      <c r="I2532" s="15" t="s">
        <v>798</v>
      </c>
      <c r="J2532" s="12" t="s">
        <v>9435</v>
      </c>
      <c r="K2532" s="16" t="s">
        <v>2606</v>
      </c>
      <c r="L2532" s="12" t="s">
        <v>800</v>
      </c>
      <c r="M2532" s="16" t="s">
        <v>5249</v>
      </c>
      <c r="N2532" s="19" t="s">
        <v>798</v>
      </c>
      <c r="O2532" s="20" t="s">
        <v>798</v>
      </c>
      <c r="P2532" s="17" t="s">
        <v>802</v>
      </c>
      <c r="Q2532" s="21" t="s">
        <v>8158</v>
      </c>
      <c r="R2532" s="19" t="s">
        <v>798</v>
      </c>
      <c r="S2532" s="20" t="s">
        <v>798</v>
      </c>
      <c r="T2532" s="17" t="s">
        <v>798</v>
      </c>
      <c r="U2532" s="20" t="s">
        <v>798</v>
      </c>
      <c r="V2532" s="26" t="s">
        <v>798</v>
      </c>
      <c r="W2532" s="20" t="s">
        <v>798</v>
      </c>
      <c r="X2532" s="26" t="s">
        <v>798</v>
      </c>
      <c r="Y2532" s="20" t="s">
        <v>798</v>
      </c>
      <c r="Z2532" s="73" t="s">
        <v>9486</v>
      </c>
      <c r="AA2532" s="74" t="s">
        <v>9508</v>
      </c>
      <c r="AB2532" s="73" t="s">
        <v>9486</v>
      </c>
      <c r="AC2532" s="74" t="s">
        <v>9566</v>
      </c>
      <c r="AD2532" s="73" t="s">
        <v>9578</v>
      </c>
      <c r="AE2532" s="74" t="s">
        <v>9579</v>
      </c>
    </row>
    <row r="2533" spans="1:31" ht="8.65" customHeight="1" x14ac:dyDescent="0.2">
      <c r="A2533" s="76">
        <v>2533</v>
      </c>
      <c r="B2533" s="67" t="str">
        <f>MID(C2533, FIND("Ifc.", C2533) + 4, 4) &amp; "_" &amp; TEXT(COUNTIF($C$2:C2533, C2533),"0000")</f>
        <v>Info_0063</v>
      </c>
      <c r="C2533" s="23" t="s">
        <v>9506</v>
      </c>
      <c r="D2533" s="69" t="s">
        <v>9453</v>
      </c>
      <c r="E2533" s="70" t="s">
        <v>9507</v>
      </c>
      <c r="F2533" s="26" t="s">
        <v>798</v>
      </c>
      <c r="G2533" s="15" t="s">
        <v>798</v>
      </c>
      <c r="H2533" s="14" t="s">
        <v>798</v>
      </c>
      <c r="I2533" s="15" t="s">
        <v>798</v>
      </c>
      <c r="J2533" s="12" t="s">
        <v>9435</v>
      </c>
      <c r="K2533" s="16" t="s">
        <v>2607</v>
      </c>
      <c r="L2533" s="12" t="s">
        <v>800</v>
      </c>
      <c r="M2533" s="16" t="s">
        <v>5263</v>
      </c>
      <c r="N2533" s="19" t="s">
        <v>798</v>
      </c>
      <c r="O2533" s="20" t="s">
        <v>798</v>
      </c>
      <c r="P2533" s="17" t="s">
        <v>802</v>
      </c>
      <c r="Q2533" s="21" t="s">
        <v>8159</v>
      </c>
      <c r="R2533" s="19" t="s">
        <v>798</v>
      </c>
      <c r="S2533" s="20" t="s">
        <v>798</v>
      </c>
      <c r="T2533" s="17" t="s">
        <v>798</v>
      </c>
      <c r="U2533" s="20" t="s">
        <v>798</v>
      </c>
      <c r="V2533" s="26" t="s">
        <v>798</v>
      </c>
      <c r="W2533" s="20" t="s">
        <v>798</v>
      </c>
      <c r="X2533" s="26" t="s">
        <v>798</v>
      </c>
      <c r="Y2533" s="20" t="s">
        <v>798</v>
      </c>
      <c r="Z2533" s="73" t="s">
        <v>9486</v>
      </c>
      <c r="AA2533" s="74" t="s">
        <v>9508</v>
      </c>
      <c r="AB2533" s="73" t="s">
        <v>9486</v>
      </c>
      <c r="AC2533" s="74" t="s">
        <v>9566</v>
      </c>
      <c r="AD2533" s="73" t="s">
        <v>9578</v>
      </c>
      <c r="AE2533" s="74" t="s">
        <v>9579</v>
      </c>
    </row>
    <row r="2534" spans="1:31" ht="8.65" customHeight="1" x14ac:dyDescent="0.2">
      <c r="A2534" s="76">
        <v>2534</v>
      </c>
      <c r="B2534" s="67" t="str">
        <f>MID(C2534, FIND("Ifc.", C2534) + 4, 4) &amp; "_" &amp; TEXT(COUNTIF($C$2:C2534, C2534),"0000")</f>
        <v>Info_0064</v>
      </c>
      <c r="C2534" s="23" t="s">
        <v>9506</v>
      </c>
      <c r="D2534" s="69" t="s">
        <v>9453</v>
      </c>
      <c r="E2534" s="70" t="s">
        <v>9507</v>
      </c>
      <c r="F2534" s="26" t="s">
        <v>798</v>
      </c>
      <c r="G2534" s="15" t="s">
        <v>798</v>
      </c>
      <c r="H2534" s="14" t="s">
        <v>798</v>
      </c>
      <c r="I2534" s="15" t="s">
        <v>798</v>
      </c>
      <c r="J2534" s="12" t="s">
        <v>9435</v>
      </c>
      <c r="K2534" s="16" t="s">
        <v>2608</v>
      </c>
      <c r="L2534" s="12" t="s">
        <v>800</v>
      </c>
      <c r="M2534" s="16" t="s">
        <v>5252</v>
      </c>
      <c r="N2534" s="19" t="s">
        <v>798</v>
      </c>
      <c r="O2534" s="20" t="s">
        <v>798</v>
      </c>
      <c r="P2534" s="17" t="s">
        <v>802</v>
      </c>
      <c r="Q2534" s="21" t="s">
        <v>8160</v>
      </c>
      <c r="R2534" s="19" t="s">
        <v>798</v>
      </c>
      <c r="S2534" s="20" t="s">
        <v>798</v>
      </c>
      <c r="T2534" s="17" t="s">
        <v>798</v>
      </c>
      <c r="U2534" s="20" t="s">
        <v>798</v>
      </c>
      <c r="V2534" s="26" t="s">
        <v>798</v>
      </c>
      <c r="W2534" s="20" t="s">
        <v>798</v>
      </c>
      <c r="X2534" s="26" t="s">
        <v>798</v>
      </c>
      <c r="Y2534" s="20" t="s">
        <v>798</v>
      </c>
      <c r="Z2534" s="73" t="s">
        <v>9486</v>
      </c>
      <c r="AA2534" s="74" t="s">
        <v>9508</v>
      </c>
      <c r="AB2534" s="73" t="s">
        <v>9486</v>
      </c>
      <c r="AC2534" s="74" t="s">
        <v>9566</v>
      </c>
      <c r="AD2534" s="73" t="s">
        <v>9578</v>
      </c>
      <c r="AE2534" s="74" t="s">
        <v>9579</v>
      </c>
    </row>
    <row r="2535" spans="1:31" ht="8.65" customHeight="1" x14ac:dyDescent="0.2">
      <c r="A2535" s="76">
        <v>2535</v>
      </c>
      <c r="B2535" s="67" t="str">
        <f>MID(C2535, FIND("Ifc.", C2535) + 4, 4) &amp; "_" &amp; TEXT(COUNTIF($C$2:C2535, C2535),"0000")</f>
        <v>Info_0065</v>
      </c>
      <c r="C2535" s="23" t="s">
        <v>9506</v>
      </c>
      <c r="D2535" s="69" t="s">
        <v>9453</v>
      </c>
      <c r="E2535" s="70" t="s">
        <v>9507</v>
      </c>
      <c r="F2535" s="26" t="s">
        <v>798</v>
      </c>
      <c r="G2535" s="15" t="s">
        <v>798</v>
      </c>
      <c r="H2535" s="14" t="s">
        <v>798</v>
      </c>
      <c r="I2535" s="15" t="s">
        <v>798</v>
      </c>
      <c r="J2535" s="12" t="s">
        <v>9435</v>
      </c>
      <c r="K2535" s="16" t="s">
        <v>2609</v>
      </c>
      <c r="L2535" s="12" t="s">
        <v>800</v>
      </c>
      <c r="M2535" s="16" t="s">
        <v>5342</v>
      </c>
      <c r="N2535" s="19" t="s">
        <v>798</v>
      </c>
      <c r="O2535" s="20" t="s">
        <v>798</v>
      </c>
      <c r="P2535" s="17" t="s">
        <v>802</v>
      </c>
      <c r="Q2535" s="21" t="s">
        <v>8161</v>
      </c>
      <c r="R2535" s="19" t="s">
        <v>798</v>
      </c>
      <c r="S2535" s="20" t="s">
        <v>798</v>
      </c>
      <c r="T2535" s="17" t="s">
        <v>798</v>
      </c>
      <c r="U2535" s="20" t="s">
        <v>798</v>
      </c>
      <c r="V2535" s="26" t="s">
        <v>798</v>
      </c>
      <c r="W2535" s="20" t="s">
        <v>798</v>
      </c>
      <c r="X2535" s="26" t="s">
        <v>798</v>
      </c>
      <c r="Y2535" s="20" t="s">
        <v>798</v>
      </c>
      <c r="Z2535" s="73" t="s">
        <v>9486</v>
      </c>
      <c r="AA2535" s="74" t="s">
        <v>9508</v>
      </c>
      <c r="AB2535" s="73" t="s">
        <v>9486</v>
      </c>
      <c r="AC2535" s="74" t="s">
        <v>9566</v>
      </c>
      <c r="AD2535" s="73" t="s">
        <v>9578</v>
      </c>
      <c r="AE2535" s="74" t="s">
        <v>9579</v>
      </c>
    </row>
    <row r="2536" spans="1:31" ht="8.65" customHeight="1" x14ac:dyDescent="0.2">
      <c r="A2536" s="76">
        <v>2536</v>
      </c>
      <c r="B2536" s="67" t="str">
        <f>MID(C2536, FIND("Ifc.", C2536) + 4, 4) &amp; "_" &amp; TEXT(COUNTIF($C$2:C2536, C2536),"0000")</f>
        <v>Info_0066</v>
      </c>
      <c r="C2536" s="23" t="s">
        <v>9506</v>
      </c>
      <c r="D2536" s="69" t="s">
        <v>9453</v>
      </c>
      <c r="E2536" s="70" t="s">
        <v>9507</v>
      </c>
      <c r="F2536" s="26" t="s">
        <v>798</v>
      </c>
      <c r="G2536" s="15" t="s">
        <v>798</v>
      </c>
      <c r="H2536" s="14" t="s">
        <v>798</v>
      </c>
      <c r="I2536" s="15" t="s">
        <v>798</v>
      </c>
      <c r="J2536" s="12" t="s">
        <v>9435</v>
      </c>
      <c r="K2536" s="16" t="s">
        <v>2610</v>
      </c>
      <c r="L2536" s="12" t="s">
        <v>800</v>
      </c>
      <c r="M2536" s="16" t="s">
        <v>5343</v>
      </c>
      <c r="N2536" s="19" t="s">
        <v>798</v>
      </c>
      <c r="O2536" s="20" t="s">
        <v>798</v>
      </c>
      <c r="P2536" s="17" t="s">
        <v>802</v>
      </c>
      <c r="Q2536" s="21" t="s">
        <v>8162</v>
      </c>
      <c r="R2536" s="19" t="s">
        <v>798</v>
      </c>
      <c r="S2536" s="20" t="s">
        <v>798</v>
      </c>
      <c r="T2536" s="17" t="s">
        <v>798</v>
      </c>
      <c r="U2536" s="20" t="s">
        <v>798</v>
      </c>
      <c r="V2536" s="26" t="s">
        <v>798</v>
      </c>
      <c r="W2536" s="20" t="s">
        <v>798</v>
      </c>
      <c r="X2536" s="26" t="s">
        <v>798</v>
      </c>
      <c r="Y2536" s="20" t="s">
        <v>798</v>
      </c>
      <c r="Z2536" s="73" t="s">
        <v>9486</v>
      </c>
      <c r="AA2536" s="74" t="s">
        <v>9508</v>
      </c>
      <c r="AB2536" s="73" t="s">
        <v>9486</v>
      </c>
      <c r="AC2536" s="74" t="s">
        <v>9566</v>
      </c>
      <c r="AD2536" s="73" t="s">
        <v>9578</v>
      </c>
      <c r="AE2536" s="74" t="s">
        <v>9579</v>
      </c>
    </row>
    <row r="2537" spans="1:31" ht="8.65" customHeight="1" x14ac:dyDescent="0.2">
      <c r="A2537" s="76">
        <v>2537</v>
      </c>
      <c r="B2537" s="67" t="str">
        <f>MID(C2537, FIND("Ifc.", C2537) + 4, 4) &amp; "_" &amp; TEXT(COUNTIF($C$2:C2537, C2537),"0000")</f>
        <v>Info_0067</v>
      </c>
      <c r="C2537" s="23" t="s">
        <v>9506</v>
      </c>
      <c r="D2537" s="69" t="s">
        <v>9453</v>
      </c>
      <c r="E2537" s="70" t="s">
        <v>9507</v>
      </c>
      <c r="F2537" s="26" t="s">
        <v>798</v>
      </c>
      <c r="G2537" s="15" t="s">
        <v>798</v>
      </c>
      <c r="H2537" s="14" t="s">
        <v>798</v>
      </c>
      <c r="I2537" s="15" t="s">
        <v>798</v>
      </c>
      <c r="J2537" s="12" t="s">
        <v>9435</v>
      </c>
      <c r="K2537" s="16" t="s">
        <v>2611</v>
      </c>
      <c r="L2537" s="12" t="s">
        <v>800</v>
      </c>
      <c r="M2537" s="16" t="s">
        <v>5255</v>
      </c>
      <c r="N2537" s="19" t="s">
        <v>798</v>
      </c>
      <c r="O2537" s="20" t="s">
        <v>798</v>
      </c>
      <c r="P2537" s="17" t="s">
        <v>802</v>
      </c>
      <c r="Q2537" s="21" t="s">
        <v>8163</v>
      </c>
      <c r="R2537" s="19" t="s">
        <v>798</v>
      </c>
      <c r="S2537" s="20" t="s">
        <v>798</v>
      </c>
      <c r="T2537" s="17" t="s">
        <v>798</v>
      </c>
      <c r="U2537" s="20" t="s">
        <v>798</v>
      </c>
      <c r="V2537" s="26" t="s">
        <v>798</v>
      </c>
      <c r="W2537" s="20" t="s">
        <v>798</v>
      </c>
      <c r="X2537" s="26" t="s">
        <v>798</v>
      </c>
      <c r="Y2537" s="20" t="s">
        <v>798</v>
      </c>
      <c r="Z2537" s="73" t="s">
        <v>9486</v>
      </c>
      <c r="AA2537" s="74" t="s">
        <v>9508</v>
      </c>
      <c r="AB2537" s="73" t="s">
        <v>9486</v>
      </c>
      <c r="AC2537" s="74" t="s">
        <v>9566</v>
      </c>
      <c r="AD2537" s="73" t="s">
        <v>9578</v>
      </c>
      <c r="AE2537" s="74" t="s">
        <v>9579</v>
      </c>
    </row>
    <row r="2538" spans="1:31" ht="8.65" customHeight="1" x14ac:dyDescent="0.2">
      <c r="A2538" s="76">
        <v>2538</v>
      </c>
      <c r="B2538" s="67" t="str">
        <f>MID(C2538, FIND("Ifc.", C2538) + 4, 4) &amp; "_" &amp; TEXT(COUNTIF($C$2:C2538, C2538),"0000")</f>
        <v>Info_0068</v>
      </c>
      <c r="C2538" s="23" t="s">
        <v>9506</v>
      </c>
      <c r="D2538" s="69" t="s">
        <v>9453</v>
      </c>
      <c r="E2538" s="70" t="s">
        <v>9507</v>
      </c>
      <c r="F2538" s="26" t="s">
        <v>798</v>
      </c>
      <c r="G2538" s="15" t="s">
        <v>798</v>
      </c>
      <c r="H2538" s="14" t="s">
        <v>798</v>
      </c>
      <c r="I2538" s="15" t="s">
        <v>798</v>
      </c>
      <c r="J2538" s="12" t="s">
        <v>9435</v>
      </c>
      <c r="K2538" s="16" t="s">
        <v>2612</v>
      </c>
      <c r="L2538" s="12" t="s">
        <v>800</v>
      </c>
      <c r="M2538" s="16" t="s">
        <v>5344</v>
      </c>
      <c r="N2538" s="19" t="s">
        <v>798</v>
      </c>
      <c r="O2538" s="20" t="s">
        <v>798</v>
      </c>
      <c r="P2538" s="17" t="s">
        <v>802</v>
      </c>
      <c r="Q2538" s="21" t="s">
        <v>8164</v>
      </c>
      <c r="R2538" s="19" t="s">
        <v>798</v>
      </c>
      <c r="S2538" s="20" t="s">
        <v>798</v>
      </c>
      <c r="T2538" s="17" t="s">
        <v>798</v>
      </c>
      <c r="U2538" s="20" t="s">
        <v>798</v>
      </c>
      <c r="V2538" s="26" t="s">
        <v>798</v>
      </c>
      <c r="W2538" s="20" t="s">
        <v>798</v>
      </c>
      <c r="X2538" s="26" t="s">
        <v>798</v>
      </c>
      <c r="Y2538" s="20" t="s">
        <v>798</v>
      </c>
      <c r="Z2538" s="73" t="s">
        <v>9486</v>
      </c>
      <c r="AA2538" s="74" t="s">
        <v>9508</v>
      </c>
      <c r="AB2538" s="73" t="s">
        <v>9486</v>
      </c>
      <c r="AC2538" s="74" t="s">
        <v>9566</v>
      </c>
      <c r="AD2538" s="73" t="s">
        <v>9578</v>
      </c>
      <c r="AE2538" s="74" t="s">
        <v>9579</v>
      </c>
    </row>
    <row r="2539" spans="1:31" ht="8.65" customHeight="1" x14ac:dyDescent="0.2">
      <c r="A2539" s="76">
        <v>2539</v>
      </c>
      <c r="B2539" s="67" t="str">
        <f>MID(C2539, FIND("Ifc.", C2539) + 4, 4) &amp; "_" &amp; TEXT(COUNTIF($C$2:C2539, C2539),"0000")</f>
        <v>Info_0069</v>
      </c>
      <c r="C2539" s="23" t="s">
        <v>9506</v>
      </c>
      <c r="D2539" s="69" t="s">
        <v>9453</v>
      </c>
      <c r="E2539" s="70" t="s">
        <v>9507</v>
      </c>
      <c r="F2539" s="26" t="s">
        <v>798</v>
      </c>
      <c r="G2539" s="15" t="s">
        <v>798</v>
      </c>
      <c r="H2539" s="14" t="s">
        <v>798</v>
      </c>
      <c r="I2539" s="15" t="s">
        <v>798</v>
      </c>
      <c r="J2539" s="12" t="s">
        <v>9435</v>
      </c>
      <c r="K2539" s="16" t="s">
        <v>2613</v>
      </c>
      <c r="L2539" s="12" t="s">
        <v>800</v>
      </c>
      <c r="M2539" s="16" t="s">
        <v>5345</v>
      </c>
      <c r="N2539" s="19" t="s">
        <v>798</v>
      </c>
      <c r="O2539" s="20" t="s">
        <v>798</v>
      </c>
      <c r="P2539" s="17" t="s">
        <v>802</v>
      </c>
      <c r="Q2539" s="21" t="s">
        <v>8165</v>
      </c>
      <c r="R2539" s="19" t="s">
        <v>798</v>
      </c>
      <c r="S2539" s="20" t="s">
        <v>798</v>
      </c>
      <c r="T2539" s="17" t="s">
        <v>798</v>
      </c>
      <c r="U2539" s="20" t="s">
        <v>798</v>
      </c>
      <c r="V2539" s="26" t="s">
        <v>798</v>
      </c>
      <c r="W2539" s="20" t="s">
        <v>798</v>
      </c>
      <c r="X2539" s="26" t="s">
        <v>798</v>
      </c>
      <c r="Y2539" s="20" t="s">
        <v>798</v>
      </c>
      <c r="Z2539" s="73" t="s">
        <v>9486</v>
      </c>
      <c r="AA2539" s="74" t="s">
        <v>9508</v>
      </c>
      <c r="AB2539" s="73" t="s">
        <v>9486</v>
      </c>
      <c r="AC2539" s="74" t="s">
        <v>9566</v>
      </c>
      <c r="AD2539" s="73" t="s">
        <v>9578</v>
      </c>
      <c r="AE2539" s="74" t="s">
        <v>9579</v>
      </c>
    </row>
    <row r="2540" spans="1:31" ht="8.65" customHeight="1" x14ac:dyDescent="0.2">
      <c r="A2540" s="76">
        <v>2540</v>
      </c>
      <c r="B2540" s="67" t="str">
        <f>MID(C2540, FIND("Ifc.", C2540) + 4, 4) &amp; "_" &amp; TEXT(COUNTIF($C$2:C2540, C2540),"0000")</f>
        <v>Info_0070</v>
      </c>
      <c r="C2540" s="23" t="s">
        <v>9506</v>
      </c>
      <c r="D2540" s="69" t="s">
        <v>9453</v>
      </c>
      <c r="E2540" s="70" t="s">
        <v>9507</v>
      </c>
      <c r="F2540" s="26" t="s">
        <v>798</v>
      </c>
      <c r="G2540" s="15" t="s">
        <v>798</v>
      </c>
      <c r="H2540" s="14" t="s">
        <v>798</v>
      </c>
      <c r="I2540" s="15" t="s">
        <v>798</v>
      </c>
      <c r="J2540" s="12" t="s">
        <v>9435</v>
      </c>
      <c r="K2540" s="16" t="s">
        <v>2614</v>
      </c>
      <c r="L2540" s="12" t="s">
        <v>800</v>
      </c>
      <c r="M2540" s="16" t="s">
        <v>5346</v>
      </c>
      <c r="N2540" s="19" t="s">
        <v>798</v>
      </c>
      <c r="O2540" s="20" t="s">
        <v>798</v>
      </c>
      <c r="P2540" s="17" t="s">
        <v>802</v>
      </c>
      <c r="Q2540" s="21" t="s">
        <v>8166</v>
      </c>
      <c r="R2540" s="19" t="s">
        <v>798</v>
      </c>
      <c r="S2540" s="20" t="s">
        <v>798</v>
      </c>
      <c r="T2540" s="17" t="s">
        <v>798</v>
      </c>
      <c r="U2540" s="20" t="s">
        <v>798</v>
      </c>
      <c r="V2540" s="26" t="s">
        <v>798</v>
      </c>
      <c r="W2540" s="20" t="s">
        <v>798</v>
      </c>
      <c r="X2540" s="26" t="s">
        <v>798</v>
      </c>
      <c r="Y2540" s="20" t="s">
        <v>798</v>
      </c>
      <c r="Z2540" s="73" t="s">
        <v>9486</v>
      </c>
      <c r="AA2540" s="74" t="s">
        <v>9508</v>
      </c>
      <c r="AB2540" s="73" t="s">
        <v>9486</v>
      </c>
      <c r="AC2540" s="74" t="s">
        <v>9566</v>
      </c>
      <c r="AD2540" s="73" t="s">
        <v>9578</v>
      </c>
      <c r="AE2540" s="74" t="s">
        <v>9579</v>
      </c>
    </row>
    <row r="2541" spans="1:31" ht="8.65" customHeight="1" x14ac:dyDescent="0.2">
      <c r="A2541" s="76">
        <v>2541</v>
      </c>
      <c r="B2541" s="67" t="str">
        <f>MID(C2541, FIND("Ifc.", C2541) + 4, 4) &amp; "_" &amp; TEXT(COUNTIF($C$2:C2541, C2541),"0000")</f>
        <v>Info_0071</v>
      </c>
      <c r="C2541" s="23" t="s">
        <v>9506</v>
      </c>
      <c r="D2541" s="69" t="s">
        <v>9453</v>
      </c>
      <c r="E2541" s="70" t="s">
        <v>9507</v>
      </c>
      <c r="F2541" s="26" t="s">
        <v>798</v>
      </c>
      <c r="G2541" s="15" t="s">
        <v>798</v>
      </c>
      <c r="H2541" s="14" t="s">
        <v>798</v>
      </c>
      <c r="I2541" s="15" t="s">
        <v>798</v>
      </c>
      <c r="J2541" s="12" t="s">
        <v>9435</v>
      </c>
      <c r="K2541" s="16" t="s">
        <v>2615</v>
      </c>
      <c r="L2541" s="12" t="s">
        <v>800</v>
      </c>
      <c r="M2541" s="16" t="s">
        <v>5347</v>
      </c>
      <c r="N2541" s="19" t="s">
        <v>798</v>
      </c>
      <c r="O2541" s="20" t="s">
        <v>798</v>
      </c>
      <c r="P2541" s="17" t="s">
        <v>802</v>
      </c>
      <c r="Q2541" s="21" t="s">
        <v>8167</v>
      </c>
      <c r="R2541" s="19" t="s">
        <v>798</v>
      </c>
      <c r="S2541" s="20" t="s">
        <v>798</v>
      </c>
      <c r="T2541" s="17" t="s">
        <v>798</v>
      </c>
      <c r="U2541" s="20" t="s">
        <v>798</v>
      </c>
      <c r="V2541" s="26" t="s">
        <v>798</v>
      </c>
      <c r="W2541" s="20" t="s">
        <v>798</v>
      </c>
      <c r="X2541" s="26" t="s">
        <v>798</v>
      </c>
      <c r="Y2541" s="20" t="s">
        <v>798</v>
      </c>
      <c r="Z2541" s="73" t="s">
        <v>9486</v>
      </c>
      <c r="AA2541" s="74" t="s">
        <v>9508</v>
      </c>
      <c r="AB2541" s="73" t="s">
        <v>9486</v>
      </c>
      <c r="AC2541" s="74" t="s">
        <v>9566</v>
      </c>
      <c r="AD2541" s="73" t="s">
        <v>9578</v>
      </c>
      <c r="AE2541" s="74" t="s">
        <v>9579</v>
      </c>
    </row>
    <row r="2542" spans="1:31" ht="8.65" customHeight="1" x14ac:dyDescent="0.2">
      <c r="A2542" s="76">
        <v>2542</v>
      </c>
      <c r="B2542" s="67" t="str">
        <f>MID(C2542, FIND("Ifc.", C2542) + 4, 4) &amp; "_" &amp; TEXT(COUNTIF($C$2:C2542, C2542),"0000")</f>
        <v>Info_0072</v>
      </c>
      <c r="C2542" s="23" t="s">
        <v>9506</v>
      </c>
      <c r="D2542" s="69" t="s">
        <v>9453</v>
      </c>
      <c r="E2542" s="70" t="s">
        <v>9507</v>
      </c>
      <c r="F2542" s="26" t="s">
        <v>798</v>
      </c>
      <c r="G2542" s="15" t="s">
        <v>798</v>
      </c>
      <c r="H2542" s="14" t="s">
        <v>798</v>
      </c>
      <c r="I2542" s="15" t="s">
        <v>798</v>
      </c>
      <c r="J2542" s="12" t="s">
        <v>9435</v>
      </c>
      <c r="K2542" s="16" t="s">
        <v>2616</v>
      </c>
      <c r="L2542" s="12" t="s">
        <v>800</v>
      </c>
      <c r="M2542" s="16" t="s">
        <v>5348</v>
      </c>
      <c r="N2542" s="19" t="s">
        <v>798</v>
      </c>
      <c r="O2542" s="20" t="s">
        <v>798</v>
      </c>
      <c r="P2542" s="17" t="s">
        <v>802</v>
      </c>
      <c r="Q2542" s="21" t="s">
        <v>8168</v>
      </c>
      <c r="R2542" s="19" t="s">
        <v>798</v>
      </c>
      <c r="S2542" s="20" t="s">
        <v>798</v>
      </c>
      <c r="T2542" s="17" t="s">
        <v>798</v>
      </c>
      <c r="U2542" s="20" t="s">
        <v>798</v>
      </c>
      <c r="V2542" s="26" t="s">
        <v>798</v>
      </c>
      <c r="W2542" s="20" t="s">
        <v>798</v>
      </c>
      <c r="X2542" s="26" t="s">
        <v>798</v>
      </c>
      <c r="Y2542" s="20" t="s">
        <v>798</v>
      </c>
      <c r="Z2542" s="73" t="s">
        <v>9486</v>
      </c>
      <c r="AA2542" s="74" t="s">
        <v>9508</v>
      </c>
      <c r="AB2542" s="73" t="s">
        <v>9486</v>
      </c>
      <c r="AC2542" s="74" t="s">
        <v>9566</v>
      </c>
      <c r="AD2542" s="73" t="s">
        <v>9578</v>
      </c>
      <c r="AE2542" s="74" t="s">
        <v>9579</v>
      </c>
    </row>
    <row r="2543" spans="1:31" ht="8.65" customHeight="1" x14ac:dyDescent="0.2">
      <c r="A2543" s="76">
        <v>2543</v>
      </c>
      <c r="B2543" s="67" t="str">
        <f>MID(C2543, FIND("Ifc.", C2543) + 4, 4) &amp; "_" &amp; TEXT(COUNTIF($C$2:C2543, C2543),"0000")</f>
        <v>Info_0073</v>
      </c>
      <c r="C2543" s="23" t="s">
        <v>9506</v>
      </c>
      <c r="D2543" s="69" t="s">
        <v>9453</v>
      </c>
      <c r="E2543" s="70" t="s">
        <v>9507</v>
      </c>
      <c r="F2543" s="26" t="s">
        <v>798</v>
      </c>
      <c r="G2543" s="15" t="s">
        <v>798</v>
      </c>
      <c r="H2543" s="14" t="s">
        <v>798</v>
      </c>
      <c r="I2543" s="15" t="s">
        <v>798</v>
      </c>
      <c r="J2543" s="12" t="s">
        <v>9435</v>
      </c>
      <c r="K2543" s="16" t="s">
        <v>2617</v>
      </c>
      <c r="L2543" s="12" t="s">
        <v>800</v>
      </c>
      <c r="M2543" s="16" t="s">
        <v>5283</v>
      </c>
      <c r="N2543" s="19" t="s">
        <v>798</v>
      </c>
      <c r="O2543" s="20" t="s">
        <v>798</v>
      </c>
      <c r="P2543" s="17" t="s">
        <v>802</v>
      </c>
      <c r="Q2543" s="21" t="s">
        <v>8169</v>
      </c>
      <c r="R2543" s="19" t="s">
        <v>798</v>
      </c>
      <c r="S2543" s="20" t="s">
        <v>798</v>
      </c>
      <c r="T2543" s="17" t="s">
        <v>798</v>
      </c>
      <c r="U2543" s="20" t="s">
        <v>798</v>
      </c>
      <c r="V2543" s="26" t="s">
        <v>798</v>
      </c>
      <c r="W2543" s="20" t="s">
        <v>798</v>
      </c>
      <c r="X2543" s="26" t="s">
        <v>798</v>
      </c>
      <c r="Y2543" s="20" t="s">
        <v>798</v>
      </c>
      <c r="Z2543" s="73" t="s">
        <v>9486</v>
      </c>
      <c r="AA2543" s="74" t="s">
        <v>9508</v>
      </c>
      <c r="AB2543" s="73" t="s">
        <v>9486</v>
      </c>
      <c r="AC2543" s="74" t="s">
        <v>9566</v>
      </c>
      <c r="AD2543" s="73" t="s">
        <v>9578</v>
      </c>
      <c r="AE2543" s="74" t="s">
        <v>9579</v>
      </c>
    </row>
    <row r="2544" spans="1:31" ht="8.65" customHeight="1" x14ac:dyDescent="0.2">
      <c r="A2544" s="76">
        <v>2544</v>
      </c>
      <c r="B2544" s="67" t="str">
        <f>MID(C2544, FIND("Ifc.", C2544) + 4, 4) &amp; "_" &amp; TEXT(COUNTIF($C$2:C2544, C2544),"0000")</f>
        <v>Info_0074</v>
      </c>
      <c r="C2544" s="23" t="s">
        <v>9506</v>
      </c>
      <c r="D2544" s="69" t="s">
        <v>9453</v>
      </c>
      <c r="E2544" s="70" t="s">
        <v>9507</v>
      </c>
      <c r="F2544" s="26" t="s">
        <v>798</v>
      </c>
      <c r="G2544" s="15" t="s">
        <v>798</v>
      </c>
      <c r="H2544" s="14" t="s">
        <v>798</v>
      </c>
      <c r="I2544" s="15" t="s">
        <v>798</v>
      </c>
      <c r="J2544" s="12" t="s">
        <v>9435</v>
      </c>
      <c r="K2544" s="16" t="s">
        <v>2618</v>
      </c>
      <c r="L2544" s="12" t="s">
        <v>800</v>
      </c>
      <c r="M2544" s="16" t="s">
        <v>5288</v>
      </c>
      <c r="N2544" s="19" t="s">
        <v>798</v>
      </c>
      <c r="O2544" s="20" t="s">
        <v>798</v>
      </c>
      <c r="P2544" s="17" t="s">
        <v>802</v>
      </c>
      <c r="Q2544" s="21" t="s">
        <v>8170</v>
      </c>
      <c r="R2544" s="19" t="s">
        <v>798</v>
      </c>
      <c r="S2544" s="20" t="s">
        <v>798</v>
      </c>
      <c r="T2544" s="17" t="s">
        <v>798</v>
      </c>
      <c r="U2544" s="20" t="s">
        <v>798</v>
      </c>
      <c r="V2544" s="26" t="s">
        <v>798</v>
      </c>
      <c r="W2544" s="20" t="s">
        <v>798</v>
      </c>
      <c r="X2544" s="26" t="s">
        <v>798</v>
      </c>
      <c r="Y2544" s="20" t="s">
        <v>798</v>
      </c>
      <c r="Z2544" s="73" t="s">
        <v>9486</v>
      </c>
      <c r="AA2544" s="74" t="s">
        <v>9508</v>
      </c>
      <c r="AB2544" s="73" t="s">
        <v>9486</v>
      </c>
      <c r="AC2544" s="74" t="s">
        <v>9566</v>
      </c>
      <c r="AD2544" s="73" t="s">
        <v>9578</v>
      </c>
      <c r="AE2544" s="74" t="s">
        <v>9579</v>
      </c>
    </row>
    <row r="2545" spans="1:31" ht="8.65" customHeight="1" x14ac:dyDescent="0.2">
      <c r="A2545" s="76">
        <v>2545</v>
      </c>
      <c r="B2545" s="67" t="str">
        <f>MID(C2545, FIND("Ifc.", C2545) + 4, 4) &amp; "_" &amp; TEXT(COUNTIF($C$2:C2545, C2545),"0000")</f>
        <v>Info_0075</v>
      </c>
      <c r="C2545" s="23" t="s">
        <v>9506</v>
      </c>
      <c r="D2545" s="69" t="s">
        <v>9453</v>
      </c>
      <c r="E2545" s="70" t="s">
        <v>9507</v>
      </c>
      <c r="F2545" s="26" t="s">
        <v>798</v>
      </c>
      <c r="G2545" s="15" t="s">
        <v>798</v>
      </c>
      <c r="H2545" s="14" t="s">
        <v>798</v>
      </c>
      <c r="I2545" s="15" t="s">
        <v>798</v>
      </c>
      <c r="J2545" s="12" t="s">
        <v>9435</v>
      </c>
      <c r="K2545" s="16" t="s">
        <v>2619</v>
      </c>
      <c r="L2545" s="12" t="s">
        <v>800</v>
      </c>
      <c r="M2545" s="16" t="s">
        <v>5239</v>
      </c>
      <c r="N2545" s="19" t="s">
        <v>798</v>
      </c>
      <c r="O2545" s="20" t="s">
        <v>798</v>
      </c>
      <c r="P2545" s="17" t="s">
        <v>802</v>
      </c>
      <c r="Q2545" s="21" t="s">
        <v>8171</v>
      </c>
      <c r="R2545" s="19" t="s">
        <v>798</v>
      </c>
      <c r="S2545" s="20" t="s">
        <v>798</v>
      </c>
      <c r="T2545" s="17" t="s">
        <v>798</v>
      </c>
      <c r="U2545" s="20" t="s">
        <v>798</v>
      </c>
      <c r="V2545" s="26" t="s">
        <v>798</v>
      </c>
      <c r="W2545" s="20" t="s">
        <v>798</v>
      </c>
      <c r="X2545" s="26" t="s">
        <v>798</v>
      </c>
      <c r="Y2545" s="20" t="s">
        <v>798</v>
      </c>
      <c r="Z2545" s="73" t="s">
        <v>9486</v>
      </c>
      <c r="AA2545" s="74" t="s">
        <v>9508</v>
      </c>
      <c r="AB2545" s="73" t="s">
        <v>9486</v>
      </c>
      <c r="AC2545" s="74" t="s">
        <v>9566</v>
      </c>
      <c r="AD2545" s="73" t="s">
        <v>9578</v>
      </c>
      <c r="AE2545" s="74" t="s">
        <v>9579</v>
      </c>
    </row>
    <row r="2546" spans="1:31" ht="8.65" customHeight="1" x14ac:dyDescent="0.2">
      <c r="A2546" s="76">
        <v>2546</v>
      </c>
      <c r="B2546" s="67" t="str">
        <f>MID(C2546, FIND("Ifc.", C2546) + 4, 4) &amp; "_" &amp; TEXT(COUNTIF($C$2:C2546, C2546),"0000")</f>
        <v>Info_0076</v>
      </c>
      <c r="C2546" s="23" t="s">
        <v>9506</v>
      </c>
      <c r="D2546" s="69" t="s">
        <v>9453</v>
      </c>
      <c r="E2546" s="70" t="s">
        <v>9507</v>
      </c>
      <c r="F2546" s="26" t="s">
        <v>798</v>
      </c>
      <c r="G2546" s="15" t="s">
        <v>798</v>
      </c>
      <c r="H2546" s="14" t="s">
        <v>798</v>
      </c>
      <c r="I2546" s="15" t="s">
        <v>798</v>
      </c>
      <c r="J2546" s="12" t="s">
        <v>9435</v>
      </c>
      <c r="K2546" s="16" t="s">
        <v>2620</v>
      </c>
      <c r="L2546" s="12" t="s">
        <v>800</v>
      </c>
      <c r="M2546" s="16" t="s">
        <v>5349</v>
      </c>
      <c r="N2546" s="19" t="s">
        <v>798</v>
      </c>
      <c r="O2546" s="20" t="s">
        <v>798</v>
      </c>
      <c r="P2546" s="17" t="s">
        <v>802</v>
      </c>
      <c r="Q2546" s="21" t="s">
        <v>8172</v>
      </c>
      <c r="R2546" s="19" t="s">
        <v>798</v>
      </c>
      <c r="S2546" s="20" t="s">
        <v>798</v>
      </c>
      <c r="T2546" s="17" t="s">
        <v>798</v>
      </c>
      <c r="U2546" s="20" t="s">
        <v>798</v>
      </c>
      <c r="V2546" s="26" t="s">
        <v>798</v>
      </c>
      <c r="W2546" s="20" t="s">
        <v>798</v>
      </c>
      <c r="X2546" s="26" t="s">
        <v>798</v>
      </c>
      <c r="Y2546" s="20" t="s">
        <v>798</v>
      </c>
      <c r="Z2546" s="73" t="s">
        <v>9486</v>
      </c>
      <c r="AA2546" s="74" t="s">
        <v>9508</v>
      </c>
      <c r="AB2546" s="73" t="s">
        <v>9486</v>
      </c>
      <c r="AC2546" s="74" t="s">
        <v>9566</v>
      </c>
      <c r="AD2546" s="73" t="s">
        <v>9578</v>
      </c>
      <c r="AE2546" s="74" t="s">
        <v>9579</v>
      </c>
    </row>
    <row r="2547" spans="1:31" ht="8.65" customHeight="1" x14ac:dyDescent="0.2">
      <c r="A2547" s="76">
        <v>2547</v>
      </c>
      <c r="B2547" s="67" t="str">
        <f>MID(C2547, FIND("Ifc.", C2547) + 4, 4) &amp; "_" &amp; TEXT(COUNTIF($C$2:C2547, C2547),"0000")</f>
        <v>Info_0077</v>
      </c>
      <c r="C2547" s="23" t="s">
        <v>9506</v>
      </c>
      <c r="D2547" s="69" t="s">
        <v>9453</v>
      </c>
      <c r="E2547" s="70" t="s">
        <v>9507</v>
      </c>
      <c r="F2547" s="26" t="s">
        <v>798</v>
      </c>
      <c r="G2547" s="15" t="s">
        <v>798</v>
      </c>
      <c r="H2547" s="14" t="s">
        <v>798</v>
      </c>
      <c r="I2547" s="15" t="s">
        <v>798</v>
      </c>
      <c r="J2547" s="12" t="s">
        <v>9435</v>
      </c>
      <c r="K2547" s="16" t="s">
        <v>2621</v>
      </c>
      <c r="L2547" s="12" t="s">
        <v>800</v>
      </c>
      <c r="M2547" s="16" t="s">
        <v>5260</v>
      </c>
      <c r="N2547" s="19" t="s">
        <v>798</v>
      </c>
      <c r="O2547" s="20" t="s">
        <v>798</v>
      </c>
      <c r="P2547" s="17" t="s">
        <v>802</v>
      </c>
      <c r="Q2547" s="21" t="s">
        <v>8173</v>
      </c>
      <c r="R2547" s="19" t="s">
        <v>798</v>
      </c>
      <c r="S2547" s="20" t="s">
        <v>798</v>
      </c>
      <c r="T2547" s="17" t="s">
        <v>798</v>
      </c>
      <c r="U2547" s="20" t="s">
        <v>798</v>
      </c>
      <c r="V2547" s="26" t="s">
        <v>798</v>
      </c>
      <c r="W2547" s="20" t="s">
        <v>798</v>
      </c>
      <c r="X2547" s="26" t="s">
        <v>798</v>
      </c>
      <c r="Y2547" s="20" t="s">
        <v>798</v>
      </c>
      <c r="Z2547" s="73" t="s">
        <v>9486</v>
      </c>
      <c r="AA2547" s="74" t="s">
        <v>9508</v>
      </c>
      <c r="AB2547" s="73" t="s">
        <v>9486</v>
      </c>
      <c r="AC2547" s="74" t="s">
        <v>9566</v>
      </c>
      <c r="AD2547" s="73" t="s">
        <v>9578</v>
      </c>
      <c r="AE2547" s="74" t="s">
        <v>9579</v>
      </c>
    </row>
    <row r="2548" spans="1:31" ht="8.65" customHeight="1" x14ac:dyDescent="0.2">
      <c r="A2548" s="76">
        <v>2548</v>
      </c>
      <c r="B2548" s="67" t="str">
        <f>MID(C2548, FIND("Ifc.", C2548) + 4, 4) &amp; "_" &amp; TEXT(COUNTIF($C$2:C2548, C2548),"0000")</f>
        <v>Info_0078</v>
      </c>
      <c r="C2548" s="23" t="s">
        <v>9506</v>
      </c>
      <c r="D2548" s="69" t="s">
        <v>9453</v>
      </c>
      <c r="E2548" s="70" t="s">
        <v>9507</v>
      </c>
      <c r="F2548" s="26" t="s">
        <v>798</v>
      </c>
      <c r="G2548" s="15" t="s">
        <v>798</v>
      </c>
      <c r="H2548" s="14" t="s">
        <v>798</v>
      </c>
      <c r="I2548" s="15" t="s">
        <v>798</v>
      </c>
      <c r="J2548" s="12" t="s">
        <v>9435</v>
      </c>
      <c r="K2548" s="16" t="s">
        <v>2622</v>
      </c>
      <c r="L2548" s="12" t="s">
        <v>800</v>
      </c>
      <c r="M2548" s="16" t="s">
        <v>5305</v>
      </c>
      <c r="N2548" s="19" t="s">
        <v>798</v>
      </c>
      <c r="O2548" s="20" t="s">
        <v>798</v>
      </c>
      <c r="P2548" s="17" t="s">
        <v>802</v>
      </c>
      <c r="Q2548" s="21" t="s">
        <v>8174</v>
      </c>
      <c r="R2548" s="19" t="s">
        <v>798</v>
      </c>
      <c r="S2548" s="20" t="s">
        <v>798</v>
      </c>
      <c r="T2548" s="17" t="s">
        <v>798</v>
      </c>
      <c r="U2548" s="20" t="s">
        <v>798</v>
      </c>
      <c r="V2548" s="26" t="s">
        <v>798</v>
      </c>
      <c r="W2548" s="20" t="s">
        <v>798</v>
      </c>
      <c r="X2548" s="26" t="s">
        <v>798</v>
      </c>
      <c r="Y2548" s="20" t="s">
        <v>798</v>
      </c>
      <c r="Z2548" s="73" t="s">
        <v>9486</v>
      </c>
      <c r="AA2548" s="74" t="s">
        <v>9508</v>
      </c>
      <c r="AB2548" s="73" t="s">
        <v>9486</v>
      </c>
      <c r="AC2548" s="74" t="s">
        <v>9566</v>
      </c>
      <c r="AD2548" s="73" t="s">
        <v>9578</v>
      </c>
      <c r="AE2548" s="74" t="s">
        <v>9579</v>
      </c>
    </row>
    <row r="2549" spans="1:31" ht="8.65" customHeight="1" x14ac:dyDescent="0.2">
      <c r="A2549" s="76">
        <v>2549</v>
      </c>
      <c r="B2549" s="67" t="str">
        <f>MID(C2549, FIND("Ifc.", C2549) + 4, 4) &amp; "_" &amp; TEXT(COUNTIF($C$2:C2549, C2549),"0000")</f>
        <v>Info_0079</v>
      </c>
      <c r="C2549" s="23" t="s">
        <v>9506</v>
      </c>
      <c r="D2549" s="69" t="s">
        <v>9453</v>
      </c>
      <c r="E2549" s="70" t="s">
        <v>9507</v>
      </c>
      <c r="F2549" s="26" t="s">
        <v>798</v>
      </c>
      <c r="G2549" s="15" t="s">
        <v>798</v>
      </c>
      <c r="H2549" s="14" t="s">
        <v>798</v>
      </c>
      <c r="I2549" s="15" t="s">
        <v>798</v>
      </c>
      <c r="J2549" s="12" t="s">
        <v>9435</v>
      </c>
      <c r="K2549" s="16" t="s">
        <v>2623</v>
      </c>
      <c r="L2549" s="12" t="s">
        <v>800</v>
      </c>
      <c r="M2549" s="16" t="s">
        <v>5247</v>
      </c>
      <c r="N2549" s="19" t="s">
        <v>798</v>
      </c>
      <c r="O2549" s="20" t="s">
        <v>798</v>
      </c>
      <c r="P2549" s="17" t="s">
        <v>802</v>
      </c>
      <c r="Q2549" s="21" t="s">
        <v>8175</v>
      </c>
      <c r="R2549" s="19" t="s">
        <v>798</v>
      </c>
      <c r="S2549" s="20" t="s">
        <v>798</v>
      </c>
      <c r="T2549" s="17" t="s">
        <v>798</v>
      </c>
      <c r="U2549" s="20" t="s">
        <v>798</v>
      </c>
      <c r="V2549" s="26" t="s">
        <v>798</v>
      </c>
      <c r="W2549" s="20" t="s">
        <v>798</v>
      </c>
      <c r="X2549" s="26" t="s">
        <v>798</v>
      </c>
      <c r="Y2549" s="20" t="s">
        <v>798</v>
      </c>
      <c r="Z2549" s="73" t="s">
        <v>9486</v>
      </c>
      <c r="AA2549" s="74" t="s">
        <v>9508</v>
      </c>
      <c r="AB2549" s="73" t="s">
        <v>9486</v>
      </c>
      <c r="AC2549" s="74" t="s">
        <v>9566</v>
      </c>
      <c r="AD2549" s="73" t="s">
        <v>9578</v>
      </c>
      <c r="AE2549" s="74" t="s">
        <v>9579</v>
      </c>
    </row>
    <row r="2550" spans="1:31" ht="8.65" customHeight="1" x14ac:dyDescent="0.2">
      <c r="A2550" s="76">
        <v>2550</v>
      </c>
      <c r="B2550" s="67" t="str">
        <f>MID(C2550, FIND("Ifc.", C2550) + 4, 4) &amp; "_" &amp; TEXT(COUNTIF($C$2:C2550, C2550),"0000")</f>
        <v>Info_0080</v>
      </c>
      <c r="C2550" s="23" t="s">
        <v>9506</v>
      </c>
      <c r="D2550" s="69" t="s">
        <v>9453</v>
      </c>
      <c r="E2550" s="70" t="s">
        <v>9507</v>
      </c>
      <c r="F2550" s="26" t="s">
        <v>798</v>
      </c>
      <c r="G2550" s="15" t="s">
        <v>798</v>
      </c>
      <c r="H2550" s="14" t="s">
        <v>798</v>
      </c>
      <c r="I2550" s="15" t="s">
        <v>798</v>
      </c>
      <c r="J2550" s="12" t="s">
        <v>9435</v>
      </c>
      <c r="K2550" s="16" t="s">
        <v>2624</v>
      </c>
      <c r="L2550" s="12" t="s">
        <v>800</v>
      </c>
      <c r="M2550" s="16" t="s">
        <v>5243</v>
      </c>
      <c r="N2550" s="19" t="s">
        <v>798</v>
      </c>
      <c r="O2550" s="20" t="s">
        <v>798</v>
      </c>
      <c r="P2550" s="17" t="s">
        <v>802</v>
      </c>
      <c r="Q2550" s="21" t="s">
        <v>8176</v>
      </c>
      <c r="R2550" s="19" t="s">
        <v>798</v>
      </c>
      <c r="S2550" s="20" t="s">
        <v>798</v>
      </c>
      <c r="T2550" s="17" t="s">
        <v>798</v>
      </c>
      <c r="U2550" s="20" t="s">
        <v>798</v>
      </c>
      <c r="V2550" s="26" t="s">
        <v>798</v>
      </c>
      <c r="W2550" s="20" t="s">
        <v>798</v>
      </c>
      <c r="X2550" s="26" t="s">
        <v>798</v>
      </c>
      <c r="Y2550" s="20" t="s">
        <v>798</v>
      </c>
      <c r="Z2550" s="73" t="s">
        <v>9486</v>
      </c>
      <c r="AA2550" s="74" t="s">
        <v>9508</v>
      </c>
      <c r="AB2550" s="73" t="s">
        <v>9486</v>
      </c>
      <c r="AC2550" s="74" t="s">
        <v>9566</v>
      </c>
      <c r="AD2550" s="73" t="s">
        <v>9578</v>
      </c>
      <c r="AE2550" s="74" t="s">
        <v>9579</v>
      </c>
    </row>
    <row r="2551" spans="1:31" ht="8.65" customHeight="1" x14ac:dyDescent="0.2">
      <c r="A2551" s="76">
        <v>2551</v>
      </c>
      <c r="B2551" s="67" t="str">
        <f>MID(C2551, FIND("Ifc.", C2551) + 4, 4) &amp; "_" &amp; TEXT(COUNTIF($C$2:C2551, C2551),"0000")</f>
        <v>Info_0081</v>
      </c>
      <c r="C2551" s="23" t="s">
        <v>9506</v>
      </c>
      <c r="D2551" s="69" t="s">
        <v>9453</v>
      </c>
      <c r="E2551" s="70" t="s">
        <v>9507</v>
      </c>
      <c r="F2551" s="26" t="s">
        <v>798</v>
      </c>
      <c r="G2551" s="15" t="s">
        <v>798</v>
      </c>
      <c r="H2551" s="14" t="s">
        <v>798</v>
      </c>
      <c r="I2551" s="15" t="s">
        <v>798</v>
      </c>
      <c r="J2551" s="12" t="s">
        <v>9435</v>
      </c>
      <c r="K2551" s="16" t="s">
        <v>2625</v>
      </c>
      <c r="L2551" s="12" t="s">
        <v>800</v>
      </c>
      <c r="M2551" s="16" t="s">
        <v>5240</v>
      </c>
      <c r="N2551" s="19" t="s">
        <v>798</v>
      </c>
      <c r="O2551" s="20" t="s">
        <v>798</v>
      </c>
      <c r="P2551" s="17" t="s">
        <v>802</v>
      </c>
      <c r="Q2551" s="21" t="s">
        <v>8177</v>
      </c>
      <c r="R2551" s="19" t="s">
        <v>798</v>
      </c>
      <c r="S2551" s="20" t="s">
        <v>798</v>
      </c>
      <c r="T2551" s="17" t="s">
        <v>798</v>
      </c>
      <c r="U2551" s="20" t="s">
        <v>798</v>
      </c>
      <c r="V2551" s="26" t="s">
        <v>798</v>
      </c>
      <c r="W2551" s="20" t="s">
        <v>798</v>
      </c>
      <c r="X2551" s="26" t="s">
        <v>798</v>
      </c>
      <c r="Y2551" s="20" t="s">
        <v>798</v>
      </c>
      <c r="Z2551" s="73" t="s">
        <v>9486</v>
      </c>
      <c r="AA2551" s="74" t="s">
        <v>9508</v>
      </c>
      <c r="AB2551" s="73" t="s">
        <v>9486</v>
      </c>
      <c r="AC2551" s="74" t="s">
        <v>9566</v>
      </c>
      <c r="AD2551" s="73" t="s">
        <v>9578</v>
      </c>
      <c r="AE2551" s="74" t="s">
        <v>9579</v>
      </c>
    </row>
    <row r="2552" spans="1:31" ht="8.65" customHeight="1" x14ac:dyDescent="0.2">
      <c r="A2552" s="76">
        <v>2552</v>
      </c>
      <c r="B2552" s="67" t="str">
        <f>MID(C2552, FIND("Ifc.", C2552) + 4, 4) &amp; "_" &amp; TEXT(COUNTIF($C$2:C2552, C2552),"0000")</f>
        <v>Info_0082</v>
      </c>
      <c r="C2552" s="23" t="s">
        <v>9506</v>
      </c>
      <c r="D2552" s="69" t="s">
        <v>9453</v>
      </c>
      <c r="E2552" s="70" t="s">
        <v>9507</v>
      </c>
      <c r="F2552" s="26" t="s">
        <v>798</v>
      </c>
      <c r="G2552" s="15" t="s">
        <v>798</v>
      </c>
      <c r="H2552" s="14" t="s">
        <v>798</v>
      </c>
      <c r="I2552" s="15" t="s">
        <v>798</v>
      </c>
      <c r="J2552" s="12" t="s">
        <v>9435</v>
      </c>
      <c r="K2552" s="16" t="s">
        <v>2626</v>
      </c>
      <c r="L2552" s="12" t="s">
        <v>800</v>
      </c>
      <c r="M2552" s="16" t="s">
        <v>5865</v>
      </c>
      <c r="N2552" s="19" t="s">
        <v>798</v>
      </c>
      <c r="O2552" s="20" t="s">
        <v>798</v>
      </c>
      <c r="P2552" s="17" t="s">
        <v>802</v>
      </c>
      <c r="Q2552" s="21" t="s">
        <v>8178</v>
      </c>
      <c r="R2552" s="19" t="s">
        <v>798</v>
      </c>
      <c r="S2552" s="20" t="s">
        <v>798</v>
      </c>
      <c r="T2552" s="17" t="s">
        <v>798</v>
      </c>
      <c r="U2552" s="20" t="s">
        <v>798</v>
      </c>
      <c r="V2552" s="26" t="s">
        <v>798</v>
      </c>
      <c r="W2552" s="20" t="s">
        <v>798</v>
      </c>
      <c r="X2552" s="26" t="s">
        <v>798</v>
      </c>
      <c r="Y2552" s="20" t="s">
        <v>798</v>
      </c>
      <c r="Z2552" s="73" t="s">
        <v>9486</v>
      </c>
      <c r="AA2552" s="74" t="s">
        <v>9508</v>
      </c>
      <c r="AB2552" s="73" t="s">
        <v>9486</v>
      </c>
      <c r="AC2552" s="74" t="s">
        <v>9566</v>
      </c>
      <c r="AD2552" s="73" t="s">
        <v>9578</v>
      </c>
      <c r="AE2552" s="74" t="s">
        <v>9579</v>
      </c>
    </row>
    <row r="2553" spans="1:31" ht="8.65" customHeight="1" x14ac:dyDescent="0.2">
      <c r="A2553" s="76">
        <v>2553</v>
      </c>
      <c r="B2553" s="67" t="str">
        <f>MID(C2553, FIND("Ifc.", C2553) + 4, 4) &amp; "_" &amp; TEXT(COUNTIF($C$2:C2553, C2553),"0000")</f>
        <v>Info_0083</v>
      </c>
      <c r="C2553" s="23" t="s">
        <v>9506</v>
      </c>
      <c r="D2553" s="69" t="s">
        <v>9453</v>
      </c>
      <c r="E2553" s="70" t="s">
        <v>9507</v>
      </c>
      <c r="F2553" s="26" t="s">
        <v>798</v>
      </c>
      <c r="G2553" s="15" t="s">
        <v>798</v>
      </c>
      <c r="H2553" s="14" t="s">
        <v>798</v>
      </c>
      <c r="I2553" s="15" t="s">
        <v>798</v>
      </c>
      <c r="J2553" s="12" t="s">
        <v>9435</v>
      </c>
      <c r="K2553" s="16" t="s">
        <v>2627</v>
      </c>
      <c r="L2553" s="12" t="s">
        <v>800</v>
      </c>
      <c r="M2553" s="16" t="s">
        <v>5307</v>
      </c>
      <c r="N2553" s="19" t="s">
        <v>798</v>
      </c>
      <c r="O2553" s="20" t="s">
        <v>798</v>
      </c>
      <c r="P2553" s="17" t="s">
        <v>802</v>
      </c>
      <c r="Q2553" s="21" t="s">
        <v>8179</v>
      </c>
      <c r="R2553" s="19" t="s">
        <v>798</v>
      </c>
      <c r="S2553" s="20" t="s">
        <v>798</v>
      </c>
      <c r="T2553" s="17" t="s">
        <v>798</v>
      </c>
      <c r="U2553" s="20" t="s">
        <v>798</v>
      </c>
      <c r="V2553" s="26" t="s">
        <v>798</v>
      </c>
      <c r="W2553" s="20" t="s">
        <v>798</v>
      </c>
      <c r="X2553" s="26" t="s">
        <v>798</v>
      </c>
      <c r="Y2553" s="20" t="s">
        <v>798</v>
      </c>
      <c r="Z2553" s="73" t="s">
        <v>9486</v>
      </c>
      <c r="AA2553" s="74" t="s">
        <v>9508</v>
      </c>
      <c r="AB2553" s="73" t="s">
        <v>9486</v>
      </c>
      <c r="AC2553" s="74" t="s">
        <v>9566</v>
      </c>
      <c r="AD2553" s="73" t="s">
        <v>9578</v>
      </c>
      <c r="AE2553" s="74" t="s">
        <v>9579</v>
      </c>
    </row>
    <row r="2554" spans="1:31" ht="8.65" customHeight="1" x14ac:dyDescent="0.2">
      <c r="A2554" s="76">
        <v>2554</v>
      </c>
      <c r="B2554" s="67" t="str">
        <f>MID(C2554, FIND("Ifc.", C2554) + 4, 4) &amp; "_" &amp; TEXT(COUNTIF($C$2:C2554, C2554),"0000")</f>
        <v>Info_0084</v>
      </c>
      <c r="C2554" s="23" t="s">
        <v>9506</v>
      </c>
      <c r="D2554" s="69" t="s">
        <v>9453</v>
      </c>
      <c r="E2554" s="70" t="s">
        <v>9507</v>
      </c>
      <c r="F2554" s="26" t="s">
        <v>798</v>
      </c>
      <c r="G2554" s="15" t="s">
        <v>798</v>
      </c>
      <c r="H2554" s="14" t="s">
        <v>798</v>
      </c>
      <c r="I2554" s="15" t="s">
        <v>798</v>
      </c>
      <c r="J2554" s="12" t="s">
        <v>9435</v>
      </c>
      <c r="K2554" s="16" t="s">
        <v>2628</v>
      </c>
      <c r="L2554" s="12" t="s">
        <v>800</v>
      </c>
      <c r="M2554" s="16" t="s">
        <v>5306</v>
      </c>
      <c r="N2554" s="19" t="s">
        <v>798</v>
      </c>
      <c r="O2554" s="20" t="s">
        <v>798</v>
      </c>
      <c r="P2554" s="17" t="s">
        <v>802</v>
      </c>
      <c r="Q2554" s="21" t="s">
        <v>8180</v>
      </c>
      <c r="R2554" s="19" t="s">
        <v>798</v>
      </c>
      <c r="S2554" s="20" t="s">
        <v>798</v>
      </c>
      <c r="T2554" s="17" t="s">
        <v>798</v>
      </c>
      <c r="U2554" s="20" t="s">
        <v>798</v>
      </c>
      <c r="V2554" s="26" t="s">
        <v>798</v>
      </c>
      <c r="W2554" s="20" t="s">
        <v>798</v>
      </c>
      <c r="X2554" s="26" t="s">
        <v>798</v>
      </c>
      <c r="Y2554" s="20" t="s">
        <v>798</v>
      </c>
      <c r="Z2554" s="73" t="s">
        <v>9486</v>
      </c>
      <c r="AA2554" s="74" t="s">
        <v>9508</v>
      </c>
      <c r="AB2554" s="73" t="s">
        <v>9486</v>
      </c>
      <c r="AC2554" s="74" t="s">
        <v>9566</v>
      </c>
      <c r="AD2554" s="73" t="s">
        <v>9578</v>
      </c>
      <c r="AE2554" s="74" t="s">
        <v>9579</v>
      </c>
    </row>
    <row r="2555" spans="1:31" ht="8.65" customHeight="1" x14ac:dyDescent="0.2">
      <c r="A2555" s="76">
        <v>2555</v>
      </c>
      <c r="B2555" s="67" t="str">
        <f>MID(C2555, FIND("Ifc.", C2555) + 4, 4) &amp; "_" &amp; TEXT(COUNTIF($C$2:C2555, C2555),"0000")</f>
        <v>Info_0085</v>
      </c>
      <c r="C2555" s="23" t="s">
        <v>9506</v>
      </c>
      <c r="D2555" s="69" t="s">
        <v>9453</v>
      </c>
      <c r="E2555" s="70" t="s">
        <v>9507</v>
      </c>
      <c r="F2555" s="26" t="s">
        <v>798</v>
      </c>
      <c r="G2555" s="15" t="s">
        <v>798</v>
      </c>
      <c r="H2555" s="14" t="s">
        <v>798</v>
      </c>
      <c r="I2555" s="15" t="s">
        <v>798</v>
      </c>
      <c r="J2555" s="12" t="s">
        <v>9435</v>
      </c>
      <c r="K2555" s="16" t="s">
        <v>2629</v>
      </c>
      <c r="L2555" s="12" t="s">
        <v>800</v>
      </c>
      <c r="M2555" s="16" t="s">
        <v>5350</v>
      </c>
      <c r="N2555" s="19" t="s">
        <v>798</v>
      </c>
      <c r="O2555" s="20" t="s">
        <v>798</v>
      </c>
      <c r="P2555" s="17" t="s">
        <v>802</v>
      </c>
      <c r="Q2555" s="21" t="s">
        <v>8181</v>
      </c>
      <c r="R2555" s="19" t="s">
        <v>798</v>
      </c>
      <c r="S2555" s="20" t="s">
        <v>798</v>
      </c>
      <c r="T2555" s="17" t="s">
        <v>798</v>
      </c>
      <c r="U2555" s="20" t="s">
        <v>798</v>
      </c>
      <c r="V2555" s="26" t="s">
        <v>798</v>
      </c>
      <c r="W2555" s="20" t="s">
        <v>798</v>
      </c>
      <c r="X2555" s="26" t="s">
        <v>798</v>
      </c>
      <c r="Y2555" s="20" t="s">
        <v>798</v>
      </c>
      <c r="Z2555" s="73" t="s">
        <v>9486</v>
      </c>
      <c r="AA2555" s="74" t="s">
        <v>9508</v>
      </c>
      <c r="AB2555" s="73" t="s">
        <v>9486</v>
      </c>
      <c r="AC2555" s="74" t="s">
        <v>9566</v>
      </c>
      <c r="AD2555" s="73" t="s">
        <v>9578</v>
      </c>
      <c r="AE2555" s="74" t="s">
        <v>9579</v>
      </c>
    </row>
    <row r="2556" spans="1:31" ht="8.65" customHeight="1" x14ac:dyDescent="0.2">
      <c r="A2556" s="76">
        <v>2556</v>
      </c>
      <c r="B2556" s="67" t="str">
        <f>MID(C2556, FIND("Ifc.", C2556) + 4, 4) &amp; "_" &amp; TEXT(COUNTIF($C$2:C2556, C2556),"0000")</f>
        <v>Info_0086</v>
      </c>
      <c r="C2556" s="23" t="s">
        <v>9506</v>
      </c>
      <c r="D2556" s="69" t="s">
        <v>9453</v>
      </c>
      <c r="E2556" s="70" t="s">
        <v>9507</v>
      </c>
      <c r="F2556" s="26" t="s">
        <v>798</v>
      </c>
      <c r="G2556" s="15" t="s">
        <v>798</v>
      </c>
      <c r="H2556" s="14" t="s">
        <v>798</v>
      </c>
      <c r="I2556" s="15" t="s">
        <v>798</v>
      </c>
      <c r="J2556" s="12" t="s">
        <v>9435</v>
      </c>
      <c r="K2556" s="16" t="s">
        <v>2630</v>
      </c>
      <c r="L2556" s="12" t="s">
        <v>800</v>
      </c>
      <c r="M2556" s="16" t="s">
        <v>5351</v>
      </c>
      <c r="N2556" s="19" t="s">
        <v>798</v>
      </c>
      <c r="O2556" s="20" t="s">
        <v>798</v>
      </c>
      <c r="P2556" s="17" t="s">
        <v>802</v>
      </c>
      <c r="Q2556" s="21" t="s">
        <v>8182</v>
      </c>
      <c r="R2556" s="19" t="s">
        <v>798</v>
      </c>
      <c r="S2556" s="20" t="s">
        <v>798</v>
      </c>
      <c r="T2556" s="17" t="s">
        <v>798</v>
      </c>
      <c r="U2556" s="20" t="s">
        <v>798</v>
      </c>
      <c r="V2556" s="26" t="s">
        <v>798</v>
      </c>
      <c r="W2556" s="20" t="s">
        <v>798</v>
      </c>
      <c r="X2556" s="26" t="s">
        <v>798</v>
      </c>
      <c r="Y2556" s="20" t="s">
        <v>798</v>
      </c>
      <c r="Z2556" s="73" t="s">
        <v>9486</v>
      </c>
      <c r="AA2556" s="74" t="s">
        <v>9508</v>
      </c>
      <c r="AB2556" s="73" t="s">
        <v>9486</v>
      </c>
      <c r="AC2556" s="74" t="s">
        <v>9566</v>
      </c>
      <c r="AD2556" s="73" t="s">
        <v>9578</v>
      </c>
      <c r="AE2556" s="74" t="s">
        <v>9579</v>
      </c>
    </row>
    <row r="2557" spans="1:31" ht="8.65" customHeight="1" x14ac:dyDescent="0.2">
      <c r="A2557" s="76">
        <v>2557</v>
      </c>
      <c r="B2557" s="67" t="str">
        <f>MID(C2557, FIND("Ifc.", C2557) + 4, 4) &amp; "_" &amp; TEXT(COUNTIF($C$2:C2557, C2557),"0000")</f>
        <v>Info_0087</v>
      </c>
      <c r="C2557" s="23" t="s">
        <v>9506</v>
      </c>
      <c r="D2557" s="69" t="s">
        <v>9453</v>
      </c>
      <c r="E2557" s="70" t="s">
        <v>9507</v>
      </c>
      <c r="F2557" s="26" t="s">
        <v>798</v>
      </c>
      <c r="G2557" s="15" t="s">
        <v>798</v>
      </c>
      <c r="H2557" s="14" t="s">
        <v>798</v>
      </c>
      <c r="I2557" s="15" t="s">
        <v>798</v>
      </c>
      <c r="J2557" s="12" t="s">
        <v>9435</v>
      </c>
      <c r="K2557" s="16" t="s">
        <v>2631</v>
      </c>
      <c r="L2557" s="12" t="s">
        <v>800</v>
      </c>
      <c r="M2557" s="16" t="s">
        <v>5253</v>
      </c>
      <c r="N2557" s="19" t="s">
        <v>798</v>
      </c>
      <c r="O2557" s="20" t="s">
        <v>798</v>
      </c>
      <c r="P2557" s="17" t="s">
        <v>802</v>
      </c>
      <c r="Q2557" s="21" t="s">
        <v>8183</v>
      </c>
      <c r="R2557" s="19" t="s">
        <v>798</v>
      </c>
      <c r="S2557" s="20" t="s">
        <v>798</v>
      </c>
      <c r="T2557" s="17" t="s">
        <v>798</v>
      </c>
      <c r="U2557" s="20" t="s">
        <v>798</v>
      </c>
      <c r="V2557" s="26" t="s">
        <v>798</v>
      </c>
      <c r="W2557" s="20" t="s">
        <v>798</v>
      </c>
      <c r="X2557" s="26" t="s">
        <v>798</v>
      </c>
      <c r="Y2557" s="20" t="s">
        <v>798</v>
      </c>
      <c r="Z2557" s="73" t="s">
        <v>9486</v>
      </c>
      <c r="AA2557" s="74" t="s">
        <v>9508</v>
      </c>
      <c r="AB2557" s="73" t="s">
        <v>9486</v>
      </c>
      <c r="AC2557" s="74" t="s">
        <v>9566</v>
      </c>
      <c r="AD2557" s="73" t="s">
        <v>9578</v>
      </c>
      <c r="AE2557" s="74" t="s">
        <v>9579</v>
      </c>
    </row>
    <row r="2558" spans="1:31" ht="8.65" customHeight="1" x14ac:dyDescent="0.2">
      <c r="A2558" s="76">
        <v>2558</v>
      </c>
      <c r="B2558" s="67" t="str">
        <f>MID(C2558, FIND("Ifc.", C2558) + 4, 4) &amp; "_" &amp; TEXT(COUNTIF($C$2:C2558, C2558),"0000")</f>
        <v>Info_0088</v>
      </c>
      <c r="C2558" s="23" t="s">
        <v>9506</v>
      </c>
      <c r="D2558" s="69" t="s">
        <v>9453</v>
      </c>
      <c r="E2558" s="70" t="s">
        <v>9507</v>
      </c>
      <c r="F2558" s="26" t="s">
        <v>798</v>
      </c>
      <c r="G2558" s="15" t="s">
        <v>798</v>
      </c>
      <c r="H2558" s="14" t="s">
        <v>798</v>
      </c>
      <c r="I2558" s="15" t="s">
        <v>798</v>
      </c>
      <c r="J2558" s="12" t="s">
        <v>9435</v>
      </c>
      <c r="K2558" s="16" t="s">
        <v>2632</v>
      </c>
      <c r="L2558" s="12" t="s">
        <v>800</v>
      </c>
      <c r="M2558" s="16" t="s">
        <v>5352</v>
      </c>
      <c r="N2558" s="19" t="s">
        <v>798</v>
      </c>
      <c r="O2558" s="20" t="s">
        <v>798</v>
      </c>
      <c r="P2558" s="17" t="s">
        <v>802</v>
      </c>
      <c r="Q2558" s="21" t="s">
        <v>8184</v>
      </c>
      <c r="R2558" s="19" t="s">
        <v>798</v>
      </c>
      <c r="S2558" s="20" t="s">
        <v>798</v>
      </c>
      <c r="T2558" s="17" t="s">
        <v>798</v>
      </c>
      <c r="U2558" s="20" t="s">
        <v>798</v>
      </c>
      <c r="V2558" s="26" t="s">
        <v>798</v>
      </c>
      <c r="W2558" s="20" t="s">
        <v>798</v>
      </c>
      <c r="X2558" s="26" t="s">
        <v>798</v>
      </c>
      <c r="Y2558" s="20" t="s">
        <v>798</v>
      </c>
      <c r="Z2558" s="73" t="s">
        <v>9486</v>
      </c>
      <c r="AA2558" s="74" t="s">
        <v>9508</v>
      </c>
      <c r="AB2558" s="73" t="s">
        <v>9486</v>
      </c>
      <c r="AC2558" s="74" t="s">
        <v>9561</v>
      </c>
      <c r="AD2558" s="73" t="s">
        <v>9578</v>
      </c>
      <c r="AE2558" s="74" t="s">
        <v>9579</v>
      </c>
    </row>
    <row r="2559" spans="1:31" ht="8.65" customHeight="1" x14ac:dyDescent="0.2">
      <c r="A2559" s="76">
        <v>2559</v>
      </c>
      <c r="B2559" s="67" t="str">
        <f>MID(C2559, FIND("Ifc.", C2559) + 4, 4) &amp; "_" &amp; TEXT(COUNTIF($C$2:C2559, C2559),"0000")</f>
        <v>Info_0089</v>
      </c>
      <c r="C2559" s="23" t="s">
        <v>9506</v>
      </c>
      <c r="D2559" s="69" t="s">
        <v>9453</v>
      </c>
      <c r="E2559" s="70" t="s">
        <v>9507</v>
      </c>
      <c r="F2559" s="26" t="s">
        <v>798</v>
      </c>
      <c r="G2559" s="15" t="s">
        <v>798</v>
      </c>
      <c r="H2559" s="14" t="s">
        <v>798</v>
      </c>
      <c r="I2559" s="15" t="s">
        <v>798</v>
      </c>
      <c r="J2559" s="12" t="s">
        <v>9435</v>
      </c>
      <c r="K2559" s="16" t="s">
        <v>2633</v>
      </c>
      <c r="L2559" s="12" t="s">
        <v>800</v>
      </c>
      <c r="M2559" s="16" t="s">
        <v>5275</v>
      </c>
      <c r="N2559" s="19" t="s">
        <v>798</v>
      </c>
      <c r="O2559" s="20" t="s">
        <v>798</v>
      </c>
      <c r="P2559" s="17" t="s">
        <v>802</v>
      </c>
      <c r="Q2559" s="21" t="s">
        <v>8185</v>
      </c>
      <c r="R2559" s="19" t="s">
        <v>798</v>
      </c>
      <c r="S2559" s="20" t="s">
        <v>798</v>
      </c>
      <c r="T2559" s="17" t="s">
        <v>798</v>
      </c>
      <c r="U2559" s="20" t="s">
        <v>798</v>
      </c>
      <c r="V2559" s="26" t="s">
        <v>798</v>
      </c>
      <c r="W2559" s="20" t="s">
        <v>798</v>
      </c>
      <c r="X2559" s="26" t="s">
        <v>798</v>
      </c>
      <c r="Y2559" s="20" t="s">
        <v>798</v>
      </c>
      <c r="Z2559" s="73" t="s">
        <v>9486</v>
      </c>
      <c r="AA2559" s="74" t="s">
        <v>9508</v>
      </c>
      <c r="AB2559" s="73" t="s">
        <v>9486</v>
      </c>
      <c r="AC2559" s="74" t="s">
        <v>9566</v>
      </c>
      <c r="AD2559" s="73" t="s">
        <v>9578</v>
      </c>
      <c r="AE2559" s="74" t="s">
        <v>9579</v>
      </c>
    </row>
    <row r="2560" spans="1:31" ht="8.65" customHeight="1" x14ac:dyDescent="0.2">
      <c r="A2560" s="76">
        <v>2560</v>
      </c>
      <c r="B2560" s="67" t="str">
        <f>MID(C2560, FIND("Ifc.", C2560) + 4, 4) &amp; "_" &amp; TEXT(COUNTIF($C$2:C2560, C2560),"0000")</f>
        <v>Info_0090</v>
      </c>
      <c r="C2560" s="23" t="s">
        <v>9506</v>
      </c>
      <c r="D2560" s="69" t="s">
        <v>9453</v>
      </c>
      <c r="E2560" s="70" t="s">
        <v>9507</v>
      </c>
      <c r="F2560" s="26" t="s">
        <v>798</v>
      </c>
      <c r="G2560" s="15" t="s">
        <v>798</v>
      </c>
      <c r="H2560" s="14" t="s">
        <v>798</v>
      </c>
      <c r="I2560" s="15" t="s">
        <v>798</v>
      </c>
      <c r="J2560" s="12" t="s">
        <v>9435</v>
      </c>
      <c r="K2560" s="16" t="s">
        <v>2634</v>
      </c>
      <c r="L2560" s="12" t="s">
        <v>800</v>
      </c>
      <c r="M2560" s="16" t="s">
        <v>5259</v>
      </c>
      <c r="N2560" s="19" t="s">
        <v>798</v>
      </c>
      <c r="O2560" s="20" t="s">
        <v>798</v>
      </c>
      <c r="P2560" s="17" t="s">
        <v>802</v>
      </c>
      <c r="Q2560" s="21" t="s">
        <v>8186</v>
      </c>
      <c r="R2560" s="19" t="s">
        <v>798</v>
      </c>
      <c r="S2560" s="20" t="s">
        <v>798</v>
      </c>
      <c r="T2560" s="17" t="s">
        <v>798</v>
      </c>
      <c r="U2560" s="20" t="s">
        <v>798</v>
      </c>
      <c r="V2560" s="26" t="s">
        <v>798</v>
      </c>
      <c r="W2560" s="20" t="s">
        <v>798</v>
      </c>
      <c r="X2560" s="26" t="s">
        <v>798</v>
      </c>
      <c r="Y2560" s="20" t="s">
        <v>798</v>
      </c>
      <c r="Z2560" s="73" t="s">
        <v>9486</v>
      </c>
      <c r="AA2560" s="74" t="s">
        <v>9508</v>
      </c>
      <c r="AB2560" s="73" t="s">
        <v>9486</v>
      </c>
      <c r="AC2560" s="74" t="s">
        <v>9566</v>
      </c>
      <c r="AD2560" s="73" t="s">
        <v>9578</v>
      </c>
      <c r="AE2560" s="74" t="s">
        <v>9579</v>
      </c>
    </row>
    <row r="2561" spans="1:31" ht="8.65" customHeight="1" x14ac:dyDescent="0.2">
      <c r="A2561" s="76">
        <v>2561</v>
      </c>
      <c r="B2561" s="67" t="str">
        <f>MID(C2561, FIND("Ifc.", C2561) + 4, 4) &amp; "_" &amp; TEXT(COUNTIF($C$2:C2561, C2561),"0000")</f>
        <v>Info_0091</v>
      </c>
      <c r="C2561" s="23" t="s">
        <v>9506</v>
      </c>
      <c r="D2561" s="69" t="s">
        <v>9453</v>
      </c>
      <c r="E2561" s="70" t="s">
        <v>9507</v>
      </c>
      <c r="F2561" s="26" t="s">
        <v>798</v>
      </c>
      <c r="G2561" s="15" t="s">
        <v>798</v>
      </c>
      <c r="H2561" s="14" t="s">
        <v>798</v>
      </c>
      <c r="I2561" s="15" t="s">
        <v>798</v>
      </c>
      <c r="J2561" s="12" t="s">
        <v>9435</v>
      </c>
      <c r="K2561" s="16" t="s">
        <v>2635</v>
      </c>
      <c r="L2561" s="12" t="s">
        <v>800</v>
      </c>
      <c r="M2561" s="16" t="s">
        <v>5235</v>
      </c>
      <c r="N2561" s="19" t="s">
        <v>798</v>
      </c>
      <c r="O2561" s="20" t="s">
        <v>798</v>
      </c>
      <c r="P2561" s="17" t="s">
        <v>802</v>
      </c>
      <c r="Q2561" s="21" t="s">
        <v>8187</v>
      </c>
      <c r="R2561" s="19" t="s">
        <v>798</v>
      </c>
      <c r="S2561" s="20" t="s">
        <v>798</v>
      </c>
      <c r="T2561" s="17" t="s">
        <v>798</v>
      </c>
      <c r="U2561" s="20" t="s">
        <v>798</v>
      </c>
      <c r="V2561" s="26" t="s">
        <v>798</v>
      </c>
      <c r="W2561" s="20" t="s">
        <v>798</v>
      </c>
      <c r="X2561" s="26" t="s">
        <v>798</v>
      </c>
      <c r="Y2561" s="20" t="s">
        <v>798</v>
      </c>
      <c r="Z2561" s="73" t="s">
        <v>9486</v>
      </c>
      <c r="AA2561" s="74" t="s">
        <v>9508</v>
      </c>
      <c r="AB2561" s="73" t="s">
        <v>9486</v>
      </c>
      <c r="AC2561" s="74" t="s">
        <v>9566</v>
      </c>
      <c r="AD2561" s="73" t="s">
        <v>9578</v>
      </c>
      <c r="AE2561" s="74" t="s">
        <v>9579</v>
      </c>
    </row>
    <row r="2562" spans="1:31" ht="8.65" customHeight="1" x14ac:dyDescent="0.2">
      <c r="A2562" s="76">
        <v>2562</v>
      </c>
      <c r="B2562" s="67" t="str">
        <f>MID(C2562, FIND("Ifc.", C2562) + 4, 4) &amp; "_" &amp; TEXT(COUNTIF($C$2:C2562, C2562),"0000")</f>
        <v>Info_0092</v>
      </c>
      <c r="C2562" s="23" t="s">
        <v>9506</v>
      </c>
      <c r="D2562" s="69" t="s">
        <v>9453</v>
      </c>
      <c r="E2562" s="70" t="s">
        <v>9507</v>
      </c>
      <c r="F2562" s="26" t="s">
        <v>798</v>
      </c>
      <c r="G2562" s="15" t="s">
        <v>798</v>
      </c>
      <c r="H2562" s="14" t="s">
        <v>798</v>
      </c>
      <c r="I2562" s="15" t="s">
        <v>798</v>
      </c>
      <c r="J2562" s="12" t="s">
        <v>9435</v>
      </c>
      <c r="K2562" s="16" t="s">
        <v>2636</v>
      </c>
      <c r="L2562" s="12" t="s">
        <v>800</v>
      </c>
      <c r="M2562" s="16" t="s">
        <v>5290</v>
      </c>
      <c r="N2562" s="19" t="s">
        <v>798</v>
      </c>
      <c r="O2562" s="20" t="s">
        <v>798</v>
      </c>
      <c r="P2562" s="17" t="s">
        <v>802</v>
      </c>
      <c r="Q2562" s="21" t="s">
        <v>8188</v>
      </c>
      <c r="R2562" s="19" t="s">
        <v>798</v>
      </c>
      <c r="S2562" s="20" t="s">
        <v>798</v>
      </c>
      <c r="T2562" s="17" t="s">
        <v>798</v>
      </c>
      <c r="U2562" s="20" t="s">
        <v>798</v>
      </c>
      <c r="V2562" s="26" t="s">
        <v>798</v>
      </c>
      <c r="W2562" s="20" t="s">
        <v>798</v>
      </c>
      <c r="X2562" s="26" t="s">
        <v>798</v>
      </c>
      <c r="Y2562" s="20" t="s">
        <v>798</v>
      </c>
      <c r="Z2562" s="73" t="s">
        <v>9486</v>
      </c>
      <c r="AA2562" s="74" t="s">
        <v>9508</v>
      </c>
      <c r="AB2562" s="73" t="s">
        <v>9486</v>
      </c>
      <c r="AC2562" s="74" t="s">
        <v>9566</v>
      </c>
      <c r="AD2562" s="73" t="s">
        <v>9578</v>
      </c>
      <c r="AE2562" s="74" t="s">
        <v>9579</v>
      </c>
    </row>
    <row r="2563" spans="1:31" ht="8.65" customHeight="1" x14ac:dyDescent="0.2">
      <c r="A2563" s="76">
        <v>2563</v>
      </c>
      <c r="B2563" s="67" t="str">
        <f>MID(C2563, FIND("Ifc.", C2563) + 4, 4) &amp; "_" &amp; TEXT(COUNTIF($C$2:C2563, C2563),"0000")</f>
        <v>Info_0093</v>
      </c>
      <c r="C2563" s="23" t="s">
        <v>9506</v>
      </c>
      <c r="D2563" s="69" t="s">
        <v>9453</v>
      </c>
      <c r="E2563" s="70" t="s">
        <v>9507</v>
      </c>
      <c r="F2563" s="26" t="s">
        <v>798</v>
      </c>
      <c r="G2563" s="15" t="s">
        <v>798</v>
      </c>
      <c r="H2563" s="14" t="s">
        <v>798</v>
      </c>
      <c r="I2563" s="15" t="s">
        <v>798</v>
      </c>
      <c r="J2563" s="12" t="s">
        <v>9435</v>
      </c>
      <c r="K2563" s="16" t="s">
        <v>2637</v>
      </c>
      <c r="L2563" s="12" t="s">
        <v>800</v>
      </c>
      <c r="M2563" s="16" t="s">
        <v>5353</v>
      </c>
      <c r="N2563" s="19" t="s">
        <v>798</v>
      </c>
      <c r="O2563" s="20" t="s">
        <v>798</v>
      </c>
      <c r="P2563" s="17" t="s">
        <v>802</v>
      </c>
      <c r="Q2563" s="21" t="s">
        <v>8189</v>
      </c>
      <c r="R2563" s="19" t="s">
        <v>798</v>
      </c>
      <c r="S2563" s="20" t="s">
        <v>798</v>
      </c>
      <c r="T2563" s="17" t="s">
        <v>798</v>
      </c>
      <c r="U2563" s="20" t="s">
        <v>798</v>
      </c>
      <c r="V2563" s="26" t="s">
        <v>798</v>
      </c>
      <c r="W2563" s="20" t="s">
        <v>798</v>
      </c>
      <c r="X2563" s="26" t="s">
        <v>798</v>
      </c>
      <c r="Y2563" s="20" t="s">
        <v>798</v>
      </c>
      <c r="Z2563" s="73" t="s">
        <v>9486</v>
      </c>
      <c r="AA2563" s="74" t="s">
        <v>9508</v>
      </c>
      <c r="AB2563" s="73" t="s">
        <v>9486</v>
      </c>
      <c r="AC2563" s="74" t="s">
        <v>9566</v>
      </c>
      <c r="AD2563" s="73" t="s">
        <v>9578</v>
      </c>
      <c r="AE2563" s="74" t="s">
        <v>9579</v>
      </c>
    </row>
    <row r="2564" spans="1:31" ht="8.65" customHeight="1" x14ac:dyDescent="0.2">
      <c r="A2564" s="76">
        <v>2564</v>
      </c>
      <c r="B2564" s="67" t="str">
        <f>MID(C2564, FIND("Ifc.", C2564) + 4, 4) &amp; "_" &amp; TEXT(COUNTIF($C$2:C2564, C2564),"0000")</f>
        <v>Info_0094</v>
      </c>
      <c r="C2564" s="23" t="s">
        <v>9506</v>
      </c>
      <c r="D2564" s="69" t="s">
        <v>9453</v>
      </c>
      <c r="E2564" s="70" t="s">
        <v>9507</v>
      </c>
      <c r="F2564" s="26" t="s">
        <v>798</v>
      </c>
      <c r="G2564" s="15" t="s">
        <v>798</v>
      </c>
      <c r="H2564" s="14" t="s">
        <v>798</v>
      </c>
      <c r="I2564" s="15" t="s">
        <v>798</v>
      </c>
      <c r="J2564" s="12" t="s">
        <v>9435</v>
      </c>
      <c r="K2564" s="16" t="s">
        <v>2638</v>
      </c>
      <c r="L2564" s="12" t="s">
        <v>800</v>
      </c>
      <c r="M2564" s="16" t="s">
        <v>5254</v>
      </c>
      <c r="N2564" s="19" t="s">
        <v>798</v>
      </c>
      <c r="O2564" s="20" t="s">
        <v>798</v>
      </c>
      <c r="P2564" s="17" t="s">
        <v>802</v>
      </c>
      <c r="Q2564" s="21" t="s">
        <v>8190</v>
      </c>
      <c r="R2564" s="19" t="s">
        <v>798</v>
      </c>
      <c r="S2564" s="20" t="s">
        <v>798</v>
      </c>
      <c r="T2564" s="17" t="s">
        <v>798</v>
      </c>
      <c r="U2564" s="20" t="s">
        <v>798</v>
      </c>
      <c r="V2564" s="26" t="s">
        <v>798</v>
      </c>
      <c r="W2564" s="20" t="s">
        <v>798</v>
      </c>
      <c r="X2564" s="26" t="s">
        <v>798</v>
      </c>
      <c r="Y2564" s="20" t="s">
        <v>798</v>
      </c>
      <c r="Z2564" s="73" t="s">
        <v>9486</v>
      </c>
      <c r="AA2564" s="74" t="s">
        <v>9508</v>
      </c>
      <c r="AB2564" s="73" t="s">
        <v>9486</v>
      </c>
      <c r="AC2564" s="74" t="s">
        <v>9566</v>
      </c>
      <c r="AD2564" s="73" t="s">
        <v>9578</v>
      </c>
      <c r="AE2564" s="74" t="s">
        <v>9579</v>
      </c>
    </row>
    <row r="2565" spans="1:31" ht="8.65" customHeight="1" x14ac:dyDescent="0.2">
      <c r="A2565" s="76">
        <v>2565</v>
      </c>
      <c r="B2565" s="67" t="str">
        <f>MID(C2565, FIND("Ifc.", C2565) + 4, 4) &amp; "_" &amp; TEXT(COUNTIF($C$2:C2565, C2565),"0000")</f>
        <v>Info_0095</v>
      </c>
      <c r="C2565" s="23" t="s">
        <v>9506</v>
      </c>
      <c r="D2565" s="69" t="s">
        <v>9453</v>
      </c>
      <c r="E2565" s="70" t="s">
        <v>9507</v>
      </c>
      <c r="F2565" s="26" t="s">
        <v>798</v>
      </c>
      <c r="G2565" s="15" t="s">
        <v>798</v>
      </c>
      <c r="H2565" s="14" t="s">
        <v>798</v>
      </c>
      <c r="I2565" s="15" t="s">
        <v>798</v>
      </c>
      <c r="J2565" s="12" t="s">
        <v>9435</v>
      </c>
      <c r="K2565" s="16" t="s">
        <v>2639</v>
      </c>
      <c r="L2565" s="12" t="s">
        <v>800</v>
      </c>
      <c r="M2565" s="16" t="s">
        <v>5354</v>
      </c>
      <c r="N2565" s="19" t="s">
        <v>798</v>
      </c>
      <c r="O2565" s="20" t="s">
        <v>798</v>
      </c>
      <c r="P2565" s="17" t="s">
        <v>802</v>
      </c>
      <c r="Q2565" s="21" t="s">
        <v>8191</v>
      </c>
      <c r="R2565" s="19" t="s">
        <v>798</v>
      </c>
      <c r="S2565" s="20" t="s">
        <v>798</v>
      </c>
      <c r="T2565" s="17" t="s">
        <v>798</v>
      </c>
      <c r="U2565" s="20" t="s">
        <v>798</v>
      </c>
      <c r="V2565" s="26" t="s">
        <v>798</v>
      </c>
      <c r="W2565" s="20" t="s">
        <v>798</v>
      </c>
      <c r="X2565" s="26" t="s">
        <v>798</v>
      </c>
      <c r="Y2565" s="20" t="s">
        <v>798</v>
      </c>
      <c r="Z2565" s="73" t="s">
        <v>9486</v>
      </c>
      <c r="AA2565" s="74" t="s">
        <v>9508</v>
      </c>
      <c r="AB2565" s="73" t="s">
        <v>9486</v>
      </c>
      <c r="AC2565" s="74" t="s">
        <v>9566</v>
      </c>
      <c r="AD2565" s="73" t="s">
        <v>9578</v>
      </c>
      <c r="AE2565" s="74" t="s">
        <v>9579</v>
      </c>
    </row>
    <row r="2566" spans="1:31" ht="8.65" customHeight="1" x14ac:dyDescent="0.2">
      <c r="A2566" s="76">
        <v>2566</v>
      </c>
      <c r="B2566" s="67" t="str">
        <f>MID(C2566, FIND("Ifc.", C2566) + 4, 4) &amp; "_" &amp; TEXT(COUNTIF($C$2:C2566, C2566),"0000")</f>
        <v>Info_0096</v>
      </c>
      <c r="C2566" s="23" t="s">
        <v>9506</v>
      </c>
      <c r="D2566" s="69" t="s">
        <v>9453</v>
      </c>
      <c r="E2566" s="70" t="s">
        <v>9507</v>
      </c>
      <c r="F2566" s="26" t="s">
        <v>798</v>
      </c>
      <c r="G2566" s="15" t="s">
        <v>798</v>
      </c>
      <c r="H2566" s="14" t="s">
        <v>798</v>
      </c>
      <c r="I2566" s="15" t="s">
        <v>798</v>
      </c>
      <c r="J2566" s="12" t="s">
        <v>9435</v>
      </c>
      <c r="K2566" s="16" t="s">
        <v>2640</v>
      </c>
      <c r="L2566" s="12" t="s">
        <v>800</v>
      </c>
      <c r="M2566" s="16" t="s">
        <v>5273</v>
      </c>
      <c r="N2566" s="19" t="s">
        <v>798</v>
      </c>
      <c r="O2566" s="20" t="s">
        <v>798</v>
      </c>
      <c r="P2566" s="17" t="s">
        <v>802</v>
      </c>
      <c r="Q2566" s="21" t="s">
        <v>8192</v>
      </c>
      <c r="R2566" s="19" t="s">
        <v>798</v>
      </c>
      <c r="S2566" s="20" t="s">
        <v>798</v>
      </c>
      <c r="T2566" s="17" t="s">
        <v>798</v>
      </c>
      <c r="U2566" s="20" t="s">
        <v>798</v>
      </c>
      <c r="V2566" s="26" t="s">
        <v>798</v>
      </c>
      <c r="W2566" s="20" t="s">
        <v>798</v>
      </c>
      <c r="X2566" s="26" t="s">
        <v>798</v>
      </c>
      <c r="Y2566" s="20" t="s">
        <v>798</v>
      </c>
      <c r="Z2566" s="73" t="s">
        <v>9486</v>
      </c>
      <c r="AA2566" s="74" t="s">
        <v>9508</v>
      </c>
      <c r="AB2566" s="73" t="s">
        <v>9486</v>
      </c>
      <c r="AC2566" s="74" t="s">
        <v>9566</v>
      </c>
      <c r="AD2566" s="73" t="s">
        <v>9578</v>
      </c>
      <c r="AE2566" s="74" t="s">
        <v>9579</v>
      </c>
    </row>
    <row r="2567" spans="1:31" ht="8.65" customHeight="1" x14ac:dyDescent="0.2">
      <c r="A2567" s="76">
        <v>2567</v>
      </c>
      <c r="B2567" s="67" t="str">
        <f>MID(C2567, FIND("Ifc.", C2567) + 4, 4) &amp; "_" &amp; TEXT(COUNTIF($C$2:C2567, C2567),"0000")</f>
        <v>Info_0097</v>
      </c>
      <c r="C2567" s="23" t="s">
        <v>9506</v>
      </c>
      <c r="D2567" s="69" t="s">
        <v>9453</v>
      </c>
      <c r="E2567" s="70" t="s">
        <v>9507</v>
      </c>
      <c r="F2567" s="26" t="s">
        <v>798</v>
      </c>
      <c r="G2567" s="15" t="s">
        <v>798</v>
      </c>
      <c r="H2567" s="14" t="s">
        <v>798</v>
      </c>
      <c r="I2567" s="15" t="s">
        <v>798</v>
      </c>
      <c r="J2567" s="12" t="s">
        <v>9435</v>
      </c>
      <c r="K2567" s="16" t="s">
        <v>2641</v>
      </c>
      <c r="L2567" s="12" t="s">
        <v>800</v>
      </c>
      <c r="M2567" s="16" t="s">
        <v>5355</v>
      </c>
      <c r="N2567" s="19" t="s">
        <v>798</v>
      </c>
      <c r="O2567" s="20" t="s">
        <v>798</v>
      </c>
      <c r="P2567" s="17" t="s">
        <v>802</v>
      </c>
      <c r="Q2567" s="21" t="s">
        <v>8193</v>
      </c>
      <c r="R2567" s="19" t="s">
        <v>798</v>
      </c>
      <c r="S2567" s="20" t="s">
        <v>798</v>
      </c>
      <c r="T2567" s="17" t="s">
        <v>798</v>
      </c>
      <c r="U2567" s="20" t="s">
        <v>798</v>
      </c>
      <c r="V2567" s="26" t="s">
        <v>798</v>
      </c>
      <c r="W2567" s="20" t="s">
        <v>798</v>
      </c>
      <c r="X2567" s="26" t="s">
        <v>798</v>
      </c>
      <c r="Y2567" s="20" t="s">
        <v>798</v>
      </c>
      <c r="Z2567" s="73" t="s">
        <v>9486</v>
      </c>
      <c r="AA2567" s="74" t="s">
        <v>9508</v>
      </c>
      <c r="AB2567" s="73" t="s">
        <v>9486</v>
      </c>
      <c r="AC2567" s="74" t="s">
        <v>9566</v>
      </c>
      <c r="AD2567" s="73" t="s">
        <v>9578</v>
      </c>
      <c r="AE2567" s="74" t="s">
        <v>9579</v>
      </c>
    </row>
    <row r="2568" spans="1:31" ht="8.65" customHeight="1" x14ac:dyDescent="0.2">
      <c r="A2568" s="76">
        <v>2568</v>
      </c>
      <c r="B2568" s="67" t="str">
        <f>MID(C2568, FIND("Ifc.", C2568) + 4, 4) &amp; "_" &amp; TEXT(COUNTIF($C$2:C2568, C2568),"0000")</f>
        <v>Info_0098</v>
      </c>
      <c r="C2568" s="23" t="s">
        <v>9506</v>
      </c>
      <c r="D2568" s="69" t="s">
        <v>9453</v>
      </c>
      <c r="E2568" s="70" t="s">
        <v>9507</v>
      </c>
      <c r="F2568" s="26" t="s">
        <v>798</v>
      </c>
      <c r="G2568" s="15" t="s">
        <v>798</v>
      </c>
      <c r="H2568" s="14" t="s">
        <v>798</v>
      </c>
      <c r="I2568" s="15" t="s">
        <v>798</v>
      </c>
      <c r="J2568" s="12" t="s">
        <v>9435</v>
      </c>
      <c r="K2568" s="16" t="s">
        <v>2642</v>
      </c>
      <c r="L2568" s="12" t="s">
        <v>800</v>
      </c>
      <c r="M2568" s="16" t="s">
        <v>5300</v>
      </c>
      <c r="N2568" s="19" t="s">
        <v>798</v>
      </c>
      <c r="O2568" s="20" t="s">
        <v>798</v>
      </c>
      <c r="P2568" s="17" t="s">
        <v>802</v>
      </c>
      <c r="Q2568" s="21" t="s">
        <v>8194</v>
      </c>
      <c r="R2568" s="19" t="s">
        <v>798</v>
      </c>
      <c r="S2568" s="20" t="s">
        <v>798</v>
      </c>
      <c r="T2568" s="17" t="s">
        <v>798</v>
      </c>
      <c r="U2568" s="20" t="s">
        <v>798</v>
      </c>
      <c r="V2568" s="26" t="s">
        <v>798</v>
      </c>
      <c r="W2568" s="20" t="s">
        <v>798</v>
      </c>
      <c r="X2568" s="26" t="s">
        <v>798</v>
      </c>
      <c r="Y2568" s="20" t="s">
        <v>798</v>
      </c>
      <c r="Z2568" s="73" t="s">
        <v>9486</v>
      </c>
      <c r="AA2568" s="74" t="s">
        <v>9508</v>
      </c>
      <c r="AB2568" s="73" t="s">
        <v>9486</v>
      </c>
      <c r="AC2568" s="74" t="s">
        <v>9566</v>
      </c>
      <c r="AD2568" s="73" t="s">
        <v>9578</v>
      </c>
      <c r="AE2568" s="74" t="s">
        <v>9579</v>
      </c>
    </row>
    <row r="2569" spans="1:31" ht="8.65" customHeight="1" x14ac:dyDescent="0.2">
      <c r="A2569" s="76">
        <v>2569</v>
      </c>
      <c r="B2569" s="67" t="str">
        <f>MID(C2569, FIND("Ifc.", C2569) + 4, 4) &amp; "_" &amp; TEXT(COUNTIF($C$2:C2569, C2569),"0000")</f>
        <v>Info_0099</v>
      </c>
      <c r="C2569" s="23" t="s">
        <v>9506</v>
      </c>
      <c r="D2569" s="69" t="s">
        <v>9453</v>
      </c>
      <c r="E2569" s="70" t="s">
        <v>9507</v>
      </c>
      <c r="F2569" s="26" t="s">
        <v>798</v>
      </c>
      <c r="G2569" s="15" t="s">
        <v>798</v>
      </c>
      <c r="H2569" s="14" t="s">
        <v>798</v>
      </c>
      <c r="I2569" s="15" t="s">
        <v>798</v>
      </c>
      <c r="J2569" s="12" t="s">
        <v>9435</v>
      </c>
      <c r="K2569" s="16" t="s">
        <v>2643</v>
      </c>
      <c r="L2569" s="12" t="s">
        <v>800</v>
      </c>
      <c r="M2569" s="16" t="s">
        <v>5265</v>
      </c>
      <c r="N2569" s="19" t="s">
        <v>798</v>
      </c>
      <c r="O2569" s="20" t="s">
        <v>798</v>
      </c>
      <c r="P2569" s="17" t="s">
        <v>802</v>
      </c>
      <c r="Q2569" s="21" t="s">
        <v>8195</v>
      </c>
      <c r="R2569" s="19" t="s">
        <v>798</v>
      </c>
      <c r="S2569" s="20" t="s">
        <v>798</v>
      </c>
      <c r="T2569" s="17" t="s">
        <v>798</v>
      </c>
      <c r="U2569" s="20" t="s">
        <v>798</v>
      </c>
      <c r="V2569" s="26" t="s">
        <v>798</v>
      </c>
      <c r="W2569" s="20" t="s">
        <v>798</v>
      </c>
      <c r="X2569" s="26" t="s">
        <v>798</v>
      </c>
      <c r="Y2569" s="20" t="s">
        <v>798</v>
      </c>
      <c r="Z2569" s="73" t="s">
        <v>9486</v>
      </c>
      <c r="AA2569" s="74" t="s">
        <v>9508</v>
      </c>
      <c r="AB2569" s="73" t="s">
        <v>9486</v>
      </c>
      <c r="AC2569" s="74" t="s">
        <v>9566</v>
      </c>
      <c r="AD2569" s="73" t="s">
        <v>9578</v>
      </c>
      <c r="AE2569" s="74" t="s">
        <v>9579</v>
      </c>
    </row>
    <row r="2570" spans="1:31" ht="8.65" customHeight="1" x14ac:dyDescent="0.2">
      <c r="A2570" s="76">
        <v>2570</v>
      </c>
      <c r="B2570" s="67" t="str">
        <f>MID(C2570, FIND("Ifc.", C2570) + 4, 4) &amp; "_" &amp; TEXT(COUNTIF($C$2:C2570, C2570),"0000")</f>
        <v>Info_0100</v>
      </c>
      <c r="C2570" s="23" t="s">
        <v>9506</v>
      </c>
      <c r="D2570" s="69" t="s">
        <v>9453</v>
      </c>
      <c r="E2570" s="70" t="s">
        <v>9507</v>
      </c>
      <c r="F2570" s="26" t="s">
        <v>798</v>
      </c>
      <c r="G2570" s="15" t="s">
        <v>798</v>
      </c>
      <c r="H2570" s="14" t="s">
        <v>798</v>
      </c>
      <c r="I2570" s="15" t="s">
        <v>798</v>
      </c>
      <c r="J2570" s="12" t="s">
        <v>9435</v>
      </c>
      <c r="K2570" s="16" t="s">
        <v>2644</v>
      </c>
      <c r="L2570" s="12" t="s">
        <v>800</v>
      </c>
      <c r="M2570" s="16" t="s">
        <v>5866</v>
      </c>
      <c r="N2570" s="19" t="s">
        <v>798</v>
      </c>
      <c r="O2570" s="20" t="s">
        <v>798</v>
      </c>
      <c r="P2570" s="17" t="s">
        <v>802</v>
      </c>
      <c r="Q2570" s="21" t="s">
        <v>8196</v>
      </c>
      <c r="R2570" s="19" t="s">
        <v>798</v>
      </c>
      <c r="S2570" s="20" t="s">
        <v>798</v>
      </c>
      <c r="T2570" s="17" t="s">
        <v>798</v>
      </c>
      <c r="U2570" s="20" t="s">
        <v>798</v>
      </c>
      <c r="V2570" s="26" t="s">
        <v>798</v>
      </c>
      <c r="W2570" s="20" t="s">
        <v>798</v>
      </c>
      <c r="X2570" s="26" t="s">
        <v>798</v>
      </c>
      <c r="Y2570" s="20" t="s">
        <v>798</v>
      </c>
      <c r="Z2570" s="73" t="s">
        <v>9486</v>
      </c>
      <c r="AA2570" s="74" t="s">
        <v>9508</v>
      </c>
      <c r="AB2570" s="73" t="s">
        <v>9486</v>
      </c>
      <c r="AC2570" s="74" t="s">
        <v>9562</v>
      </c>
      <c r="AD2570" s="73" t="s">
        <v>9578</v>
      </c>
      <c r="AE2570" s="74" t="s">
        <v>9579</v>
      </c>
    </row>
    <row r="2571" spans="1:31" ht="8.65" customHeight="1" x14ac:dyDescent="0.2">
      <c r="A2571" s="76">
        <v>2571</v>
      </c>
      <c r="B2571" s="67" t="str">
        <f>MID(C2571, FIND("Ifc.", C2571) + 4, 4) &amp; "_" &amp; TEXT(COUNTIF($C$2:C2571, C2571),"0000")</f>
        <v>Info_0101</v>
      </c>
      <c r="C2571" s="23" t="s">
        <v>9506</v>
      </c>
      <c r="D2571" s="69" t="s">
        <v>9453</v>
      </c>
      <c r="E2571" s="70" t="s">
        <v>9507</v>
      </c>
      <c r="F2571" s="26" t="s">
        <v>798</v>
      </c>
      <c r="G2571" s="15" t="s">
        <v>798</v>
      </c>
      <c r="H2571" s="14" t="s">
        <v>798</v>
      </c>
      <c r="I2571" s="15" t="s">
        <v>798</v>
      </c>
      <c r="J2571" s="12" t="s">
        <v>9435</v>
      </c>
      <c r="K2571" s="16" t="s">
        <v>2645</v>
      </c>
      <c r="L2571" s="12" t="s">
        <v>800</v>
      </c>
      <c r="M2571" s="16" t="s">
        <v>5356</v>
      </c>
      <c r="N2571" s="19" t="s">
        <v>798</v>
      </c>
      <c r="O2571" s="20" t="s">
        <v>798</v>
      </c>
      <c r="P2571" s="17" t="s">
        <v>802</v>
      </c>
      <c r="Q2571" s="21" t="s">
        <v>8197</v>
      </c>
      <c r="R2571" s="19" t="s">
        <v>798</v>
      </c>
      <c r="S2571" s="20" t="s">
        <v>798</v>
      </c>
      <c r="T2571" s="17" t="s">
        <v>798</v>
      </c>
      <c r="U2571" s="20" t="s">
        <v>798</v>
      </c>
      <c r="V2571" s="26" t="s">
        <v>798</v>
      </c>
      <c r="W2571" s="20" t="s">
        <v>798</v>
      </c>
      <c r="X2571" s="26" t="s">
        <v>798</v>
      </c>
      <c r="Y2571" s="20" t="s">
        <v>798</v>
      </c>
      <c r="Z2571" s="73" t="s">
        <v>9486</v>
      </c>
      <c r="AA2571" s="74" t="s">
        <v>9508</v>
      </c>
      <c r="AB2571" s="73" t="s">
        <v>9486</v>
      </c>
      <c r="AC2571" s="74" t="s">
        <v>9562</v>
      </c>
      <c r="AD2571" s="73" t="s">
        <v>9578</v>
      </c>
      <c r="AE2571" s="74" t="s">
        <v>9579</v>
      </c>
    </row>
    <row r="2572" spans="1:31" ht="8.65" customHeight="1" x14ac:dyDescent="0.2">
      <c r="A2572" s="76">
        <v>2572</v>
      </c>
      <c r="B2572" s="67" t="str">
        <f>MID(C2572, FIND("Ifc.", C2572) + 4, 4) &amp; "_" &amp; TEXT(COUNTIF($C$2:C2572, C2572),"0000")</f>
        <v>Info_0102</v>
      </c>
      <c r="C2572" s="23" t="s">
        <v>9506</v>
      </c>
      <c r="D2572" s="69" t="s">
        <v>9453</v>
      </c>
      <c r="E2572" s="70" t="s">
        <v>9507</v>
      </c>
      <c r="F2572" s="26" t="s">
        <v>798</v>
      </c>
      <c r="G2572" s="15" t="s">
        <v>798</v>
      </c>
      <c r="H2572" s="14" t="s">
        <v>798</v>
      </c>
      <c r="I2572" s="15" t="s">
        <v>798</v>
      </c>
      <c r="J2572" s="12" t="s">
        <v>9435</v>
      </c>
      <c r="K2572" s="16" t="s">
        <v>2646</v>
      </c>
      <c r="L2572" s="12" t="s">
        <v>800</v>
      </c>
      <c r="M2572" s="16" t="s">
        <v>5867</v>
      </c>
      <c r="N2572" s="19" t="s">
        <v>798</v>
      </c>
      <c r="O2572" s="20" t="s">
        <v>798</v>
      </c>
      <c r="P2572" s="17" t="s">
        <v>802</v>
      </c>
      <c r="Q2572" s="21" t="s">
        <v>8198</v>
      </c>
      <c r="R2572" s="19" t="s">
        <v>798</v>
      </c>
      <c r="S2572" s="20" t="s">
        <v>798</v>
      </c>
      <c r="T2572" s="17" t="s">
        <v>798</v>
      </c>
      <c r="U2572" s="20" t="s">
        <v>798</v>
      </c>
      <c r="V2572" s="26" t="s">
        <v>798</v>
      </c>
      <c r="W2572" s="20" t="s">
        <v>798</v>
      </c>
      <c r="X2572" s="26" t="s">
        <v>798</v>
      </c>
      <c r="Y2572" s="20" t="s">
        <v>798</v>
      </c>
      <c r="Z2572" s="73" t="s">
        <v>9486</v>
      </c>
      <c r="AA2572" s="74" t="s">
        <v>9508</v>
      </c>
      <c r="AB2572" s="73" t="s">
        <v>9486</v>
      </c>
      <c r="AC2572" s="74" t="s">
        <v>9566</v>
      </c>
      <c r="AD2572" s="73" t="s">
        <v>9578</v>
      </c>
      <c r="AE2572" s="74" t="s">
        <v>9579</v>
      </c>
    </row>
    <row r="2573" spans="1:31" ht="8.65" customHeight="1" x14ac:dyDescent="0.2">
      <c r="A2573" s="76">
        <v>2573</v>
      </c>
      <c r="B2573" s="67" t="str">
        <f>MID(C2573, FIND("Ifc.", C2573) + 4, 4) &amp; "_" &amp; TEXT(COUNTIF($C$2:C2573, C2573),"0000")</f>
        <v>Info_0103</v>
      </c>
      <c r="C2573" s="23" t="s">
        <v>9506</v>
      </c>
      <c r="D2573" s="69" t="s">
        <v>9453</v>
      </c>
      <c r="E2573" s="70" t="s">
        <v>9507</v>
      </c>
      <c r="F2573" s="26" t="s">
        <v>798</v>
      </c>
      <c r="G2573" s="15" t="s">
        <v>798</v>
      </c>
      <c r="H2573" s="14" t="s">
        <v>798</v>
      </c>
      <c r="I2573" s="15" t="s">
        <v>798</v>
      </c>
      <c r="J2573" s="12" t="s">
        <v>9435</v>
      </c>
      <c r="K2573" s="16" t="s">
        <v>2647</v>
      </c>
      <c r="L2573" s="12" t="s">
        <v>800</v>
      </c>
      <c r="M2573" s="16" t="s">
        <v>5868</v>
      </c>
      <c r="N2573" s="19" t="s">
        <v>798</v>
      </c>
      <c r="O2573" s="20" t="s">
        <v>798</v>
      </c>
      <c r="P2573" s="17" t="s">
        <v>802</v>
      </c>
      <c r="Q2573" s="21" t="s">
        <v>8199</v>
      </c>
      <c r="R2573" s="19" t="s">
        <v>798</v>
      </c>
      <c r="S2573" s="20" t="s">
        <v>798</v>
      </c>
      <c r="T2573" s="17" t="s">
        <v>798</v>
      </c>
      <c r="U2573" s="20" t="s">
        <v>798</v>
      </c>
      <c r="V2573" s="26" t="s">
        <v>798</v>
      </c>
      <c r="W2573" s="20" t="s">
        <v>798</v>
      </c>
      <c r="X2573" s="26" t="s">
        <v>798</v>
      </c>
      <c r="Y2573" s="20" t="s">
        <v>798</v>
      </c>
      <c r="Z2573" s="73" t="s">
        <v>9486</v>
      </c>
      <c r="AA2573" s="74" t="s">
        <v>9508</v>
      </c>
      <c r="AB2573" s="73" t="s">
        <v>9486</v>
      </c>
      <c r="AC2573" s="74" t="s">
        <v>9566</v>
      </c>
      <c r="AD2573" s="73" t="s">
        <v>9578</v>
      </c>
      <c r="AE2573" s="74" t="s">
        <v>9579</v>
      </c>
    </row>
    <row r="2574" spans="1:31" ht="8.65" customHeight="1" x14ac:dyDescent="0.2">
      <c r="A2574" s="76">
        <v>2574</v>
      </c>
      <c r="B2574" s="67" t="str">
        <f>MID(C2574, FIND("Ifc.", C2574) + 4, 4) &amp; "_" &amp; TEXT(COUNTIF($C$2:C2574, C2574),"0000")</f>
        <v>Info_0104</v>
      </c>
      <c r="C2574" s="23" t="s">
        <v>9506</v>
      </c>
      <c r="D2574" s="69" t="s">
        <v>9453</v>
      </c>
      <c r="E2574" s="70" t="s">
        <v>9507</v>
      </c>
      <c r="F2574" s="26" t="s">
        <v>798</v>
      </c>
      <c r="G2574" s="15" t="s">
        <v>798</v>
      </c>
      <c r="H2574" s="14" t="s">
        <v>798</v>
      </c>
      <c r="I2574" s="15" t="s">
        <v>798</v>
      </c>
      <c r="J2574" s="12" t="s">
        <v>9435</v>
      </c>
      <c r="K2574" s="16" t="s">
        <v>2648</v>
      </c>
      <c r="L2574" s="12" t="s">
        <v>800</v>
      </c>
      <c r="M2574" s="16" t="s">
        <v>5869</v>
      </c>
      <c r="N2574" s="19" t="s">
        <v>798</v>
      </c>
      <c r="O2574" s="20" t="s">
        <v>798</v>
      </c>
      <c r="P2574" s="17" t="s">
        <v>802</v>
      </c>
      <c r="Q2574" s="21" t="s">
        <v>8200</v>
      </c>
      <c r="R2574" s="19" t="s">
        <v>798</v>
      </c>
      <c r="S2574" s="20" t="s">
        <v>798</v>
      </c>
      <c r="T2574" s="17" t="s">
        <v>798</v>
      </c>
      <c r="U2574" s="20" t="s">
        <v>798</v>
      </c>
      <c r="V2574" s="26" t="s">
        <v>798</v>
      </c>
      <c r="W2574" s="20" t="s">
        <v>798</v>
      </c>
      <c r="X2574" s="26" t="s">
        <v>798</v>
      </c>
      <c r="Y2574" s="20" t="s">
        <v>798</v>
      </c>
      <c r="Z2574" s="73" t="s">
        <v>9486</v>
      </c>
      <c r="AA2574" s="74" t="s">
        <v>9508</v>
      </c>
      <c r="AB2574" s="73" t="s">
        <v>9486</v>
      </c>
      <c r="AC2574" s="74" t="s">
        <v>9566</v>
      </c>
      <c r="AD2574" s="73" t="s">
        <v>9578</v>
      </c>
      <c r="AE2574" s="74" t="s">
        <v>9579</v>
      </c>
    </row>
    <row r="2575" spans="1:31" ht="8.65" customHeight="1" x14ac:dyDescent="0.2">
      <c r="A2575" s="76">
        <v>2575</v>
      </c>
      <c r="B2575" s="67" t="str">
        <f>MID(C2575, FIND("Ifc.", C2575) + 4, 4) &amp; "_" &amp; TEXT(COUNTIF($C$2:C2575, C2575),"0000")</f>
        <v>Info_0105</v>
      </c>
      <c r="C2575" s="23" t="s">
        <v>9506</v>
      </c>
      <c r="D2575" s="69" t="s">
        <v>9453</v>
      </c>
      <c r="E2575" s="70" t="s">
        <v>9507</v>
      </c>
      <c r="F2575" s="26" t="s">
        <v>798</v>
      </c>
      <c r="G2575" s="15" t="s">
        <v>798</v>
      </c>
      <c r="H2575" s="14" t="s">
        <v>798</v>
      </c>
      <c r="I2575" s="15" t="s">
        <v>798</v>
      </c>
      <c r="J2575" s="12" t="s">
        <v>9435</v>
      </c>
      <c r="K2575" s="16" t="s">
        <v>2649</v>
      </c>
      <c r="L2575" s="12" t="s">
        <v>800</v>
      </c>
      <c r="M2575" s="16" t="s">
        <v>5870</v>
      </c>
      <c r="N2575" s="19" t="s">
        <v>798</v>
      </c>
      <c r="O2575" s="20" t="s">
        <v>798</v>
      </c>
      <c r="P2575" s="17" t="s">
        <v>802</v>
      </c>
      <c r="Q2575" s="21" t="s">
        <v>8201</v>
      </c>
      <c r="R2575" s="19" t="s">
        <v>798</v>
      </c>
      <c r="S2575" s="20" t="s">
        <v>798</v>
      </c>
      <c r="T2575" s="17" t="s">
        <v>798</v>
      </c>
      <c r="U2575" s="20" t="s">
        <v>798</v>
      </c>
      <c r="V2575" s="26" t="s">
        <v>798</v>
      </c>
      <c r="W2575" s="20" t="s">
        <v>798</v>
      </c>
      <c r="X2575" s="26" t="s">
        <v>798</v>
      </c>
      <c r="Y2575" s="20" t="s">
        <v>798</v>
      </c>
      <c r="Z2575" s="73" t="s">
        <v>9486</v>
      </c>
      <c r="AA2575" s="74" t="s">
        <v>9508</v>
      </c>
      <c r="AB2575" s="73" t="s">
        <v>9486</v>
      </c>
      <c r="AC2575" s="74" t="s">
        <v>9566</v>
      </c>
      <c r="AD2575" s="73" t="s">
        <v>9578</v>
      </c>
      <c r="AE2575" s="74" t="s">
        <v>9579</v>
      </c>
    </row>
    <row r="2576" spans="1:31" ht="8.65" customHeight="1" x14ac:dyDescent="0.2">
      <c r="A2576" s="76">
        <v>2576</v>
      </c>
      <c r="B2576" s="67" t="str">
        <f>MID(C2576, FIND("Ifc.", C2576) + 4, 4) &amp; "_" &amp; TEXT(COUNTIF($C$2:C2576, C2576),"0000")</f>
        <v>Info_0106</v>
      </c>
      <c r="C2576" s="23" t="s">
        <v>9506</v>
      </c>
      <c r="D2576" s="69" t="s">
        <v>9453</v>
      </c>
      <c r="E2576" s="70" t="s">
        <v>9507</v>
      </c>
      <c r="F2576" s="26" t="s">
        <v>798</v>
      </c>
      <c r="G2576" s="15" t="s">
        <v>798</v>
      </c>
      <c r="H2576" s="14" t="s">
        <v>798</v>
      </c>
      <c r="I2576" s="15" t="s">
        <v>798</v>
      </c>
      <c r="J2576" s="12" t="s">
        <v>9435</v>
      </c>
      <c r="K2576" s="16" t="s">
        <v>2650</v>
      </c>
      <c r="L2576" s="12" t="s">
        <v>800</v>
      </c>
      <c r="M2576" s="16" t="s">
        <v>5871</v>
      </c>
      <c r="N2576" s="19" t="s">
        <v>798</v>
      </c>
      <c r="O2576" s="20" t="s">
        <v>798</v>
      </c>
      <c r="P2576" s="17" t="s">
        <v>802</v>
      </c>
      <c r="Q2576" s="21" t="s">
        <v>8202</v>
      </c>
      <c r="R2576" s="19" t="s">
        <v>798</v>
      </c>
      <c r="S2576" s="20" t="s">
        <v>798</v>
      </c>
      <c r="T2576" s="17" t="s">
        <v>798</v>
      </c>
      <c r="U2576" s="20" t="s">
        <v>798</v>
      </c>
      <c r="V2576" s="26" t="s">
        <v>798</v>
      </c>
      <c r="W2576" s="20" t="s">
        <v>798</v>
      </c>
      <c r="X2576" s="26" t="s">
        <v>798</v>
      </c>
      <c r="Y2576" s="20" t="s">
        <v>798</v>
      </c>
      <c r="Z2576" s="73" t="s">
        <v>9486</v>
      </c>
      <c r="AA2576" s="74" t="s">
        <v>9508</v>
      </c>
      <c r="AB2576" s="73" t="s">
        <v>9486</v>
      </c>
      <c r="AC2576" s="74" t="s">
        <v>9566</v>
      </c>
      <c r="AD2576" s="73" t="s">
        <v>9578</v>
      </c>
      <c r="AE2576" s="74" t="s">
        <v>9579</v>
      </c>
    </row>
    <row r="2577" spans="1:31" ht="8.65" customHeight="1" x14ac:dyDescent="0.2">
      <c r="A2577" s="76">
        <v>2577</v>
      </c>
      <c r="B2577" s="67" t="str">
        <f>MID(C2577, FIND("Ifc.", C2577) + 4, 4) &amp; "_" &amp; TEXT(COUNTIF($C$2:C2577, C2577),"0000")</f>
        <v>Info_0107</v>
      </c>
      <c r="C2577" s="23" t="s">
        <v>9506</v>
      </c>
      <c r="D2577" s="69" t="s">
        <v>9453</v>
      </c>
      <c r="E2577" s="70" t="s">
        <v>9507</v>
      </c>
      <c r="F2577" s="26" t="s">
        <v>798</v>
      </c>
      <c r="G2577" s="15" t="s">
        <v>798</v>
      </c>
      <c r="H2577" s="14" t="s">
        <v>798</v>
      </c>
      <c r="I2577" s="15" t="s">
        <v>798</v>
      </c>
      <c r="J2577" s="12" t="s">
        <v>9435</v>
      </c>
      <c r="K2577" s="16" t="s">
        <v>2651</v>
      </c>
      <c r="L2577" s="12" t="s">
        <v>800</v>
      </c>
      <c r="M2577" s="16" t="s">
        <v>5872</v>
      </c>
      <c r="N2577" s="19" t="s">
        <v>798</v>
      </c>
      <c r="O2577" s="20" t="s">
        <v>798</v>
      </c>
      <c r="P2577" s="17" t="s">
        <v>802</v>
      </c>
      <c r="Q2577" s="21" t="s">
        <v>8203</v>
      </c>
      <c r="R2577" s="19" t="s">
        <v>798</v>
      </c>
      <c r="S2577" s="20" t="s">
        <v>798</v>
      </c>
      <c r="T2577" s="17" t="s">
        <v>798</v>
      </c>
      <c r="U2577" s="20" t="s">
        <v>798</v>
      </c>
      <c r="V2577" s="26" t="s">
        <v>798</v>
      </c>
      <c r="W2577" s="20" t="s">
        <v>798</v>
      </c>
      <c r="X2577" s="26" t="s">
        <v>798</v>
      </c>
      <c r="Y2577" s="20" t="s">
        <v>798</v>
      </c>
      <c r="Z2577" s="73" t="s">
        <v>9486</v>
      </c>
      <c r="AA2577" s="74" t="s">
        <v>9508</v>
      </c>
      <c r="AB2577" s="73" t="s">
        <v>9486</v>
      </c>
      <c r="AC2577" s="74" t="s">
        <v>9566</v>
      </c>
      <c r="AD2577" s="73" t="s">
        <v>9578</v>
      </c>
      <c r="AE2577" s="74" t="s">
        <v>9579</v>
      </c>
    </row>
    <row r="2578" spans="1:31" ht="8.65" customHeight="1" x14ac:dyDescent="0.2">
      <c r="A2578" s="76">
        <v>2578</v>
      </c>
      <c r="B2578" s="67" t="str">
        <f>MID(C2578, FIND("Ifc.", C2578) + 4, 4) &amp; "_" &amp; TEXT(COUNTIF($C$2:C2578, C2578),"0000")</f>
        <v>Info_0108</v>
      </c>
      <c r="C2578" s="23" t="s">
        <v>9506</v>
      </c>
      <c r="D2578" s="69" t="s">
        <v>9453</v>
      </c>
      <c r="E2578" s="70" t="s">
        <v>9507</v>
      </c>
      <c r="F2578" s="26" t="s">
        <v>798</v>
      </c>
      <c r="G2578" s="15" t="s">
        <v>798</v>
      </c>
      <c r="H2578" s="14" t="s">
        <v>798</v>
      </c>
      <c r="I2578" s="15" t="s">
        <v>798</v>
      </c>
      <c r="J2578" s="12" t="s">
        <v>9435</v>
      </c>
      <c r="K2578" s="16" t="s">
        <v>2652</v>
      </c>
      <c r="L2578" s="12" t="s">
        <v>800</v>
      </c>
      <c r="M2578" s="16" t="s">
        <v>5287</v>
      </c>
      <c r="N2578" s="19" t="s">
        <v>798</v>
      </c>
      <c r="O2578" s="20" t="s">
        <v>798</v>
      </c>
      <c r="P2578" s="17" t="s">
        <v>802</v>
      </c>
      <c r="Q2578" s="21" t="s">
        <v>8204</v>
      </c>
      <c r="R2578" s="19" t="s">
        <v>798</v>
      </c>
      <c r="S2578" s="20" t="s">
        <v>798</v>
      </c>
      <c r="T2578" s="17" t="s">
        <v>798</v>
      </c>
      <c r="U2578" s="20" t="s">
        <v>798</v>
      </c>
      <c r="V2578" s="26" t="s">
        <v>798</v>
      </c>
      <c r="W2578" s="20" t="s">
        <v>798</v>
      </c>
      <c r="X2578" s="26" t="s">
        <v>798</v>
      </c>
      <c r="Y2578" s="20" t="s">
        <v>798</v>
      </c>
      <c r="Z2578" s="73" t="s">
        <v>9486</v>
      </c>
      <c r="AA2578" s="74" t="s">
        <v>9508</v>
      </c>
      <c r="AB2578" s="73" t="s">
        <v>9486</v>
      </c>
      <c r="AC2578" s="74" t="s">
        <v>9566</v>
      </c>
      <c r="AD2578" s="73" t="s">
        <v>9578</v>
      </c>
      <c r="AE2578" s="74" t="s">
        <v>9579</v>
      </c>
    </row>
    <row r="2579" spans="1:31" ht="8.65" customHeight="1" x14ac:dyDescent="0.2">
      <c r="A2579" s="76">
        <v>2579</v>
      </c>
      <c r="B2579" s="67" t="str">
        <f>MID(C2579, FIND("Ifc.", C2579) + 4, 4) &amp; "_" &amp; TEXT(COUNTIF($C$2:C2579, C2579),"0000")</f>
        <v>Info_0109</v>
      </c>
      <c r="C2579" s="23" t="s">
        <v>9506</v>
      </c>
      <c r="D2579" s="69" t="s">
        <v>9453</v>
      </c>
      <c r="E2579" s="70" t="s">
        <v>9507</v>
      </c>
      <c r="F2579" s="26" t="s">
        <v>798</v>
      </c>
      <c r="G2579" s="15" t="s">
        <v>798</v>
      </c>
      <c r="H2579" s="14" t="s">
        <v>798</v>
      </c>
      <c r="I2579" s="15" t="s">
        <v>798</v>
      </c>
      <c r="J2579" s="12" t="s">
        <v>9435</v>
      </c>
      <c r="K2579" s="16" t="s">
        <v>2653</v>
      </c>
      <c r="L2579" s="12" t="s">
        <v>800</v>
      </c>
      <c r="M2579" s="16" t="s">
        <v>5357</v>
      </c>
      <c r="N2579" s="19" t="s">
        <v>798</v>
      </c>
      <c r="O2579" s="20" t="s">
        <v>798</v>
      </c>
      <c r="P2579" s="17" t="s">
        <v>802</v>
      </c>
      <c r="Q2579" s="21" t="s">
        <v>8205</v>
      </c>
      <c r="R2579" s="19" t="s">
        <v>798</v>
      </c>
      <c r="S2579" s="20" t="s">
        <v>798</v>
      </c>
      <c r="T2579" s="17" t="s">
        <v>798</v>
      </c>
      <c r="U2579" s="20" t="s">
        <v>798</v>
      </c>
      <c r="V2579" s="26" t="s">
        <v>798</v>
      </c>
      <c r="W2579" s="20" t="s">
        <v>798</v>
      </c>
      <c r="X2579" s="26" t="s">
        <v>798</v>
      </c>
      <c r="Y2579" s="20" t="s">
        <v>798</v>
      </c>
      <c r="Z2579" s="73" t="s">
        <v>9486</v>
      </c>
      <c r="AA2579" s="74" t="s">
        <v>9508</v>
      </c>
      <c r="AB2579" s="73" t="s">
        <v>9486</v>
      </c>
      <c r="AC2579" s="74" t="s">
        <v>9566</v>
      </c>
      <c r="AD2579" s="73" t="s">
        <v>9578</v>
      </c>
      <c r="AE2579" s="74" t="s">
        <v>9579</v>
      </c>
    </row>
    <row r="2580" spans="1:31" ht="8.65" customHeight="1" x14ac:dyDescent="0.2">
      <c r="A2580" s="76">
        <v>2580</v>
      </c>
      <c r="B2580" s="67" t="str">
        <f>MID(C2580, FIND("Ifc.", C2580) + 4, 4) &amp; "_" &amp; TEXT(COUNTIF($C$2:C2580, C2580),"0000")</f>
        <v>Info_0110</v>
      </c>
      <c r="C2580" s="23" t="s">
        <v>9506</v>
      </c>
      <c r="D2580" s="69" t="s">
        <v>9453</v>
      </c>
      <c r="E2580" s="70" t="s">
        <v>9507</v>
      </c>
      <c r="F2580" s="26" t="s">
        <v>798</v>
      </c>
      <c r="G2580" s="15" t="s">
        <v>798</v>
      </c>
      <c r="H2580" s="14" t="s">
        <v>798</v>
      </c>
      <c r="I2580" s="15" t="s">
        <v>798</v>
      </c>
      <c r="J2580" s="12" t="s">
        <v>9435</v>
      </c>
      <c r="K2580" s="16" t="s">
        <v>2654</v>
      </c>
      <c r="L2580" s="12" t="s">
        <v>800</v>
      </c>
      <c r="M2580" s="16" t="s">
        <v>5358</v>
      </c>
      <c r="N2580" s="19" t="s">
        <v>798</v>
      </c>
      <c r="O2580" s="20" t="s">
        <v>798</v>
      </c>
      <c r="P2580" s="17" t="s">
        <v>802</v>
      </c>
      <c r="Q2580" s="21" t="s">
        <v>8206</v>
      </c>
      <c r="R2580" s="19" t="s">
        <v>798</v>
      </c>
      <c r="S2580" s="20" t="s">
        <v>798</v>
      </c>
      <c r="T2580" s="17" t="s">
        <v>798</v>
      </c>
      <c r="U2580" s="20" t="s">
        <v>798</v>
      </c>
      <c r="V2580" s="26" t="s">
        <v>798</v>
      </c>
      <c r="W2580" s="20" t="s">
        <v>798</v>
      </c>
      <c r="X2580" s="26" t="s">
        <v>798</v>
      </c>
      <c r="Y2580" s="20" t="s">
        <v>798</v>
      </c>
      <c r="Z2580" s="73" t="s">
        <v>9486</v>
      </c>
      <c r="AA2580" s="74" t="s">
        <v>9508</v>
      </c>
      <c r="AB2580" s="73" t="s">
        <v>9486</v>
      </c>
      <c r="AC2580" s="74" t="s">
        <v>9562</v>
      </c>
      <c r="AD2580" s="73" t="s">
        <v>9578</v>
      </c>
      <c r="AE2580" s="74" t="s">
        <v>9579</v>
      </c>
    </row>
    <row r="2581" spans="1:31" ht="8.65" customHeight="1" x14ac:dyDescent="0.2">
      <c r="A2581" s="76">
        <v>2581</v>
      </c>
      <c r="B2581" s="67" t="str">
        <f>MID(C2581, FIND("Ifc.", C2581) + 4, 4) &amp; "_" &amp; TEXT(COUNTIF($C$2:C2581, C2581),"0000")</f>
        <v>Info_0111</v>
      </c>
      <c r="C2581" s="23" t="s">
        <v>9506</v>
      </c>
      <c r="D2581" s="69" t="s">
        <v>9453</v>
      </c>
      <c r="E2581" s="70" t="s">
        <v>9507</v>
      </c>
      <c r="F2581" s="26" t="s">
        <v>798</v>
      </c>
      <c r="G2581" s="15" t="s">
        <v>798</v>
      </c>
      <c r="H2581" s="14" t="s">
        <v>798</v>
      </c>
      <c r="I2581" s="15" t="s">
        <v>798</v>
      </c>
      <c r="J2581" s="12" t="s">
        <v>9435</v>
      </c>
      <c r="K2581" s="16" t="s">
        <v>2655</v>
      </c>
      <c r="L2581" s="12" t="s">
        <v>800</v>
      </c>
      <c r="M2581" s="16" t="s">
        <v>5286</v>
      </c>
      <c r="N2581" s="19" t="s">
        <v>798</v>
      </c>
      <c r="O2581" s="20" t="s">
        <v>798</v>
      </c>
      <c r="P2581" s="17" t="s">
        <v>802</v>
      </c>
      <c r="Q2581" s="21" t="s">
        <v>8207</v>
      </c>
      <c r="R2581" s="19" t="s">
        <v>798</v>
      </c>
      <c r="S2581" s="20" t="s">
        <v>798</v>
      </c>
      <c r="T2581" s="17" t="s">
        <v>798</v>
      </c>
      <c r="U2581" s="20" t="s">
        <v>798</v>
      </c>
      <c r="V2581" s="26" t="s">
        <v>798</v>
      </c>
      <c r="W2581" s="20" t="s">
        <v>798</v>
      </c>
      <c r="X2581" s="26" t="s">
        <v>798</v>
      </c>
      <c r="Y2581" s="20" t="s">
        <v>798</v>
      </c>
      <c r="Z2581" s="73" t="s">
        <v>9486</v>
      </c>
      <c r="AA2581" s="74" t="s">
        <v>9508</v>
      </c>
      <c r="AB2581" s="73" t="s">
        <v>9486</v>
      </c>
      <c r="AC2581" s="74" t="s">
        <v>9562</v>
      </c>
      <c r="AD2581" s="73" t="s">
        <v>9578</v>
      </c>
      <c r="AE2581" s="74" t="s">
        <v>9579</v>
      </c>
    </row>
    <row r="2582" spans="1:31" ht="8.65" customHeight="1" x14ac:dyDescent="0.2">
      <c r="A2582" s="76">
        <v>2582</v>
      </c>
      <c r="B2582" s="67" t="str">
        <f>MID(C2582, FIND("Ifc.", C2582) + 4, 4) &amp; "_" &amp; TEXT(COUNTIF($C$2:C2582, C2582),"0000")</f>
        <v>Info_0112</v>
      </c>
      <c r="C2582" s="23" t="s">
        <v>9506</v>
      </c>
      <c r="D2582" s="69" t="s">
        <v>9453</v>
      </c>
      <c r="E2582" s="70" t="s">
        <v>9507</v>
      </c>
      <c r="F2582" s="26" t="s">
        <v>798</v>
      </c>
      <c r="G2582" s="15" t="s">
        <v>798</v>
      </c>
      <c r="H2582" s="14" t="s">
        <v>798</v>
      </c>
      <c r="I2582" s="15" t="s">
        <v>798</v>
      </c>
      <c r="J2582" s="12" t="s">
        <v>9435</v>
      </c>
      <c r="K2582" s="16" t="s">
        <v>2656</v>
      </c>
      <c r="L2582" s="12" t="s">
        <v>800</v>
      </c>
      <c r="M2582" s="16" t="s">
        <v>5359</v>
      </c>
      <c r="N2582" s="19" t="s">
        <v>798</v>
      </c>
      <c r="O2582" s="20" t="s">
        <v>798</v>
      </c>
      <c r="P2582" s="17" t="s">
        <v>802</v>
      </c>
      <c r="Q2582" s="21" t="s">
        <v>8208</v>
      </c>
      <c r="R2582" s="19" t="s">
        <v>798</v>
      </c>
      <c r="S2582" s="20" t="s">
        <v>798</v>
      </c>
      <c r="T2582" s="17" t="s">
        <v>798</v>
      </c>
      <c r="U2582" s="20" t="s">
        <v>798</v>
      </c>
      <c r="V2582" s="26" t="s">
        <v>798</v>
      </c>
      <c r="W2582" s="20" t="s">
        <v>798</v>
      </c>
      <c r="X2582" s="26" t="s">
        <v>798</v>
      </c>
      <c r="Y2582" s="20" t="s">
        <v>798</v>
      </c>
      <c r="Z2582" s="73" t="s">
        <v>9486</v>
      </c>
      <c r="AA2582" s="74" t="s">
        <v>9508</v>
      </c>
      <c r="AB2582" s="73" t="s">
        <v>9486</v>
      </c>
      <c r="AC2582" s="74" t="s">
        <v>9566</v>
      </c>
      <c r="AD2582" s="73" t="s">
        <v>9578</v>
      </c>
      <c r="AE2582" s="74" t="s">
        <v>9579</v>
      </c>
    </row>
    <row r="2583" spans="1:31" ht="8.65" customHeight="1" x14ac:dyDescent="0.2">
      <c r="A2583" s="76">
        <v>2583</v>
      </c>
      <c r="B2583" s="67" t="str">
        <f>MID(C2583, FIND("Ifc.", C2583) + 4, 4) &amp; "_" &amp; TEXT(COUNTIF($C$2:C2583, C2583),"0000")</f>
        <v>Info_0113</v>
      </c>
      <c r="C2583" s="23" t="s">
        <v>9506</v>
      </c>
      <c r="D2583" s="69" t="s">
        <v>9453</v>
      </c>
      <c r="E2583" s="70" t="s">
        <v>9507</v>
      </c>
      <c r="F2583" s="26" t="s">
        <v>798</v>
      </c>
      <c r="G2583" s="15" t="s">
        <v>798</v>
      </c>
      <c r="H2583" s="14" t="s">
        <v>798</v>
      </c>
      <c r="I2583" s="15" t="s">
        <v>798</v>
      </c>
      <c r="J2583" s="12" t="s">
        <v>9435</v>
      </c>
      <c r="K2583" s="16" t="s">
        <v>2657</v>
      </c>
      <c r="L2583" s="12" t="s">
        <v>800</v>
      </c>
      <c r="M2583" s="16" t="s">
        <v>5360</v>
      </c>
      <c r="N2583" s="19" t="s">
        <v>798</v>
      </c>
      <c r="O2583" s="20" t="s">
        <v>798</v>
      </c>
      <c r="P2583" s="17" t="s">
        <v>802</v>
      </c>
      <c r="Q2583" s="21" t="s">
        <v>8209</v>
      </c>
      <c r="R2583" s="19" t="s">
        <v>798</v>
      </c>
      <c r="S2583" s="20" t="s">
        <v>798</v>
      </c>
      <c r="T2583" s="17" t="s">
        <v>798</v>
      </c>
      <c r="U2583" s="20" t="s">
        <v>798</v>
      </c>
      <c r="V2583" s="26" t="s">
        <v>798</v>
      </c>
      <c r="W2583" s="20" t="s">
        <v>798</v>
      </c>
      <c r="X2583" s="26" t="s">
        <v>798</v>
      </c>
      <c r="Y2583" s="20" t="s">
        <v>798</v>
      </c>
      <c r="Z2583" s="73" t="s">
        <v>9486</v>
      </c>
      <c r="AA2583" s="74" t="s">
        <v>9508</v>
      </c>
      <c r="AB2583" s="73" t="s">
        <v>9486</v>
      </c>
      <c r="AC2583" s="74" t="s">
        <v>9566</v>
      </c>
      <c r="AD2583" s="73" t="s">
        <v>9578</v>
      </c>
      <c r="AE2583" s="74" t="s">
        <v>9579</v>
      </c>
    </row>
    <row r="2584" spans="1:31" ht="8.65" customHeight="1" x14ac:dyDescent="0.2">
      <c r="A2584" s="76">
        <v>2584</v>
      </c>
      <c r="B2584" s="67" t="str">
        <f>MID(C2584, FIND("Ifc.", C2584) + 4, 4) &amp; "_" &amp; TEXT(COUNTIF($C$2:C2584, C2584),"0000")</f>
        <v>Info_0114</v>
      </c>
      <c r="C2584" s="23" t="s">
        <v>9506</v>
      </c>
      <c r="D2584" s="69" t="s">
        <v>9453</v>
      </c>
      <c r="E2584" s="70" t="s">
        <v>9507</v>
      </c>
      <c r="F2584" s="26" t="s">
        <v>798</v>
      </c>
      <c r="G2584" s="15" t="s">
        <v>798</v>
      </c>
      <c r="H2584" s="14" t="s">
        <v>798</v>
      </c>
      <c r="I2584" s="15" t="s">
        <v>798</v>
      </c>
      <c r="J2584" s="12" t="s">
        <v>9435</v>
      </c>
      <c r="K2584" s="16" t="s">
        <v>2658</v>
      </c>
      <c r="L2584" s="12" t="s">
        <v>800</v>
      </c>
      <c r="M2584" s="16" t="s">
        <v>5361</v>
      </c>
      <c r="N2584" s="19" t="s">
        <v>798</v>
      </c>
      <c r="O2584" s="20" t="s">
        <v>798</v>
      </c>
      <c r="P2584" s="17" t="s">
        <v>802</v>
      </c>
      <c r="Q2584" s="21" t="s">
        <v>8210</v>
      </c>
      <c r="R2584" s="19" t="s">
        <v>798</v>
      </c>
      <c r="S2584" s="20" t="s">
        <v>798</v>
      </c>
      <c r="T2584" s="17" t="s">
        <v>798</v>
      </c>
      <c r="U2584" s="20" t="s">
        <v>798</v>
      </c>
      <c r="V2584" s="26" t="s">
        <v>798</v>
      </c>
      <c r="W2584" s="20" t="s">
        <v>798</v>
      </c>
      <c r="X2584" s="26" t="s">
        <v>798</v>
      </c>
      <c r="Y2584" s="20" t="s">
        <v>798</v>
      </c>
      <c r="Z2584" s="73" t="s">
        <v>9486</v>
      </c>
      <c r="AA2584" s="74" t="s">
        <v>9508</v>
      </c>
      <c r="AB2584" s="73" t="s">
        <v>9486</v>
      </c>
      <c r="AC2584" s="74" t="s">
        <v>9566</v>
      </c>
      <c r="AD2584" s="73" t="s">
        <v>9578</v>
      </c>
      <c r="AE2584" s="74" t="s">
        <v>9579</v>
      </c>
    </row>
    <row r="2585" spans="1:31" ht="8.65" customHeight="1" x14ac:dyDescent="0.2">
      <c r="A2585" s="76">
        <v>2585</v>
      </c>
      <c r="B2585" s="67" t="str">
        <f>MID(C2585, FIND("Ifc.", C2585) + 4, 4) &amp; "_" &amp; TEXT(COUNTIF($C$2:C2585, C2585),"0000")</f>
        <v>Info_0115</v>
      </c>
      <c r="C2585" s="23" t="s">
        <v>9506</v>
      </c>
      <c r="D2585" s="69" t="s">
        <v>9453</v>
      </c>
      <c r="E2585" s="70" t="s">
        <v>9507</v>
      </c>
      <c r="F2585" s="26" t="s">
        <v>798</v>
      </c>
      <c r="G2585" s="15" t="s">
        <v>798</v>
      </c>
      <c r="H2585" s="14" t="s">
        <v>798</v>
      </c>
      <c r="I2585" s="15" t="s">
        <v>798</v>
      </c>
      <c r="J2585" s="12" t="s">
        <v>9435</v>
      </c>
      <c r="K2585" s="16" t="s">
        <v>2659</v>
      </c>
      <c r="L2585" s="12" t="s">
        <v>800</v>
      </c>
      <c r="M2585" s="16" t="s">
        <v>5908</v>
      </c>
      <c r="N2585" s="19" t="s">
        <v>798</v>
      </c>
      <c r="O2585" s="20" t="s">
        <v>798</v>
      </c>
      <c r="P2585" s="17" t="s">
        <v>802</v>
      </c>
      <c r="Q2585" s="21" t="s">
        <v>8211</v>
      </c>
      <c r="R2585" s="19" t="s">
        <v>798</v>
      </c>
      <c r="S2585" s="20" t="s">
        <v>798</v>
      </c>
      <c r="T2585" s="17" t="s">
        <v>798</v>
      </c>
      <c r="U2585" s="20" t="s">
        <v>798</v>
      </c>
      <c r="V2585" s="26" t="s">
        <v>798</v>
      </c>
      <c r="W2585" s="20" t="s">
        <v>798</v>
      </c>
      <c r="X2585" s="26" t="s">
        <v>798</v>
      </c>
      <c r="Y2585" s="20" t="s">
        <v>798</v>
      </c>
      <c r="Z2585" s="73" t="s">
        <v>9486</v>
      </c>
      <c r="AA2585" s="74" t="s">
        <v>9508</v>
      </c>
      <c r="AB2585" s="73" t="s">
        <v>9486</v>
      </c>
      <c r="AC2585" s="74" t="s">
        <v>9562</v>
      </c>
      <c r="AD2585" s="73" t="s">
        <v>9578</v>
      </c>
      <c r="AE2585" s="74" t="s">
        <v>9579</v>
      </c>
    </row>
    <row r="2586" spans="1:31" ht="9.9499999999999993" customHeight="1" x14ac:dyDescent="0.2">
      <c r="A2586" s="76">
        <v>2586</v>
      </c>
      <c r="B2586" s="67" t="str">
        <f>MID(C2586, FIND("Ifc.", C2586) + 4, 4) &amp; "_" &amp; TEXT(COUNTIF($C$2:C2586, C2586),"0000")</f>
        <v>Info_0116</v>
      </c>
      <c r="C2586" s="23" t="s">
        <v>9506</v>
      </c>
      <c r="D2586" s="69" t="s">
        <v>9453</v>
      </c>
      <c r="E2586" s="70" t="s">
        <v>9507</v>
      </c>
      <c r="F2586" s="26" t="s">
        <v>798</v>
      </c>
      <c r="G2586" s="15" t="s">
        <v>798</v>
      </c>
      <c r="H2586" s="14" t="s">
        <v>798</v>
      </c>
      <c r="I2586" s="15" t="s">
        <v>798</v>
      </c>
      <c r="J2586" s="12" t="s">
        <v>9435</v>
      </c>
      <c r="K2586" s="16" t="s">
        <v>9421</v>
      </c>
      <c r="L2586" s="12" t="s">
        <v>800</v>
      </c>
      <c r="M2586" s="16" t="s">
        <v>9420</v>
      </c>
      <c r="N2586" s="19" t="s">
        <v>798</v>
      </c>
      <c r="O2586" s="20" t="s">
        <v>798</v>
      </c>
      <c r="P2586" s="17" t="s">
        <v>802</v>
      </c>
      <c r="Q2586" s="21" t="s">
        <v>9422</v>
      </c>
      <c r="R2586" s="19" t="s">
        <v>798</v>
      </c>
      <c r="S2586" s="20" t="s">
        <v>798</v>
      </c>
      <c r="T2586" s="17" t="s">
        <v>798</v>
      </c>
      <c r="U2586" s="20" t="s">
        <v>798</v>
      </c>
      <c r="V2586" s="17" t="s">
        <v>798</v>
      </c>
      <c r="W2586" s="20" t="s">
        <v>798</v>
      </c>
      <c r="X2586" s="17" t="s">
        <v>798</v>
      </c>
      <c r="Y2586" s="20" t="s">
        <v>798</v>
      </c>
      <c r="Z2586" s="73" t="s">
        <v>9486</v>
      </c>
      <c r="AA2586" s="74" t="s">
        <v>9508</v>
      </c>
      <c r="AB2586" s="73" t="s">
        <v>9486</v>
      </c>
      <c r="AC2586" s="74" t="s">
        <v>9562</v>
      </c>
      <c r="AD2586" s="73" t="s">
        <v>9578</v>
      </c>
      <c r="AE2586" s="74" t="s">
        <v>9579</v>
      </c>
    </row>
    <row r="2587" spans="1:31" ht="8.65" customHeight="1" x14ac:dyDescent="0.2">
      <c r="A2587" s="76">
        <v>2587</v>
      </c>
      <c r="B2587" s="67" t="str">
        <f>MID(C2587, FIND("Ifc.", C2587) + 4, 4) &amp; "_" &amp; TEXT(COUNTIF($C$2:C2587, C2587),"0000")</f>
        <v>Info_0117</v>
      </c>
      <c r="C2587" s="23" t="s">
        <v>9506</v>
      </c>
      <c r="D2587" s="69" t="s">
        <v>9453</v>
      </c>
      <c r="E2587" s="70" t="s">
        <v>9507</v>
      </c>
      <c r="F2587" s="26" t="s">
        <v>798</v>
      </c>
      <c r="G2587" s="15" t="s">
        <v>798</v>
      </c>
      <c r="H2587" s="14" t="s">
        <v>798</v>
      </c>
      <c r="I2587" s="15" t="s">
        <v>798</v>
      </c>
      <c r="J2587" s="12" t="s">
        <v>9435</v>
      </c>
      <c r="K2587" s="16" t="s">
        <v>2660</v>
      </c>
      <c r="L2587" s="12" t="s">
        <v>800</v>
      </c>
      <c r="M2587" s="16" t="s">
        <v>5873</v>
      </c>
      <c r="N2587" s="19" t="s">
        <v>798</v>
      </c>
      <c r="O2587" s="20" t="s">
        <v>798</v>
      </c>
      <c r="P2587" s="17" t="s">
        <v>802</v>
      </c>
      <c r="Q2587" s="21" t="s">
        <v>8212</v>
      </c>
      <c r="R2587" s="19" t="s">
        <v>798</v>
      </c>
      <c r="S2587" s="20" t="s">
        <v>798</v>
      </c>
      <c r="T2587" s="17" t="s">
        <v>798</v>
      </c>
      <c r="U2587" s="20" t="s">
        <v>798</v>
      </c>
      <c r="V2587" s="26" t="s">
        <v>798</v>
      </c>
      <c r="W2587" s="20" t="s">
        <v>798</v>
      </c>
      <c r="X2587" s="26" t="s">
        <v>798</v>
      </c>
      <c r="Y2587" s="20" t="s">
        <v>798</v>
      </c>
      <c r="Z2587" s="73" t="s">
        <v>9486</v>
      </c>
      <c r="AA2587" s="74" t="s">
        <v>9508</v>
      </c>
      <c r="AB2587" s="73" t="s">
        <v>9486</v>
      </c>
      <c r="AC2587" s="74" t="s">
        <v>9561</v>
      </c>
      <c r="AD2587" s="73" t="s">
        <v>9578</v>
      </c>
      <c r="AE2587" s="74" t="s">
        <v>9579</v>
      </c>
    </row>
    <row r="2588" spans="1:31" ht="8.65" customHeight="1" x14ac:dyDescent="0.2">
      <c r="A2588" s="76">
        <v>2588</v>
      </c>
      <c r="B2588" s="67" t="str">
        <f>MID(C2588, FIND("Ifc.", C2588) + 4, 4) &amp; "_" &amp; TEXT(COUNTIF($C$2:C2588, C2588),"0000")</f>
        <v>Info_0118</v>
      </c>
      <c r="C2588" s="23" t="s">
        <v>9506</v>
      </c>
      <c r="D2588" s="69" t="s">
        <v>9453</v>
      </c>
      <c r="E2588" s="70" t="s">
        <v>9507</v>
      </c>
      <c r="F2588" s="26" t="s">
        <v>798</v>
      </c>
      <c r="G2588" s="15" t="s">
        <v>798</v>
      </c>
      <c r="H2588" s="14" t="s">
        <v>798</v>
      </c>
      <c r="I2588" s="15" t="s">
        <v>798</v>
      </c>
      <c r="J2588" s="12" t="s">
        <v>9435</v>
      </c>
      <c r="K2588" s="16" t="s">
        <v>2661</v>
      </c>
      <c r="L2588" s="12" t="s">
        <v>800</v>
      </c>
      <c r="M2588" s="16" t="s">
        <v>5909</v>
      </c>
      <c r="N2588" s="19" t="s">
        <v>798</v>
      </c>
      <c r="O2588" s="20" t="s">
        <v>798</v>
      </c>
      <c r="P2588" s="17" t="s">
        <v>802</v>
      </c>
      <c r="Q2588" s="21" t="s">
        <v>8213</v>
      </c>
      <c r="R2588" s="19" t="s">
        <v>798</v>
      </c>
      <c r="S2588" s="20" t="s">
        <v>798</v>
      </c>
      <c r="T2588" s="17" t="s">
        <v>798</v>
      </c>
      <c r="U2588" s="20" t="s">
        <v>798</v>
      </c>
      <c r="V2588" s="26" t="s">
        <v>798</v>
      </c>
      <c r="W2588" s="20" t="s">
        <v>798</v>
      </c>
      <c r="X2588" s="26" t="s">
        <v>798</v>
      </c>
      <c r="Y2588" s="20" t="s">
        <v>798</v>
      </c>
      <c r="Z2588" s="73" t="s">
        <v>9486</v>
      </c>
      <c r="AA2588" s="74" t="s">
        <v>9508</v>
      </c>
      <c r="AB2588" s="73" t="s">
        <v>9486</v>
      </c>
      <c r="AC2588" s="74" t="s">
        <v>9561</v>
      </c>
      <c r="AD2588" s="73" t="s">
        <v>9578</v>
      </c>
      <c r="AE2588" s="74" t="s">
        <v>9579</v>
      </c>
    </row>
    <row r="2589" spans="1:31" ht="8.65" customHeight="1" x14ac:dyDescent="0.2">
      <c r="A2589" s="76">
        <v>2589</v>
      </c>
      <c r="B2589" s="67" t="str">
        <f>MID(C2589, FIND("Ifc.", C2589) + 4, 4) &amp; "_" &amp; TEXT(COUNTIF($C$2:C2589, C2589),"0000")</f>
        <v>Info_0119</v>
      </c>
      <c r="C2589" s="23" t="s">
        <v>9506</v>
      </c>
      <c r="D2589" s="69" t="s">
        <v>9453</v>
      </c>
      <c r="E2589" s="70" t="s">
        <v>9507</v>
      </c>
      <c r="F2589" s="26" t="s">
        <v>798</v>
      </c>
      <c r="G2589" s="15" t="s">
        <v>798</v>
      </c>
      <c r="H2589" s="14" t="s">
        <v>798</v>
      </c>
      <c r="I2589" s="15" t="s">
        <v>798</v>
      </c>
      <c r="J2589" s="12" t="s">
        <v>9435</v>
      </c>
      <c r="K2589" s="16" t="s">
        <v>2662</v>
      </c>
      <c r="L2589" s="12" t="s">
        <v>800</v>
      </c>
      <c r="M2589" s="16" t="s">
        <v>5874</v>
      </c>
      <c r="N2589" s="19" t="s">
        <v>798</v>
      </c>
      <c r="O2589" s="20" t="s">
        <v>798</v>
      </c>
      <c r="P2589" s="17" t="s">
        <v>802</v>
      </c>
      <c r="Q2589" s="21" t="s">
        <v>8214</v>
      </c>
      <c r="R2589" s="19" t="s">
        <v>798</v>
      </c>
      <c r="S2589" s="20" t="s">
        <v>798</v>
      </c>
      <c r="T2589" s="17" t="s">
        <v>798</v>
      </c>
      <c r="U2589" s="20" t="s">
        <v>798</v>
      </c>
      <c r="V2589" s="26" t="s">
        <v>798</v>
      </c>
      <c r="W2589" s="20" t="s">
        <v>798</v>
      </c>
      <c r="X2589" s="26" t="s">
        <v>798</v>
      </c>
      <c r="Y2589" s="20" t="s">
        <v>798</v>
      </c>
      <c r="Z2589" s="73" t="s">
        <v>9486</v>
      </c>
      <c r="AA2589" s="74" t="s">
        <v>9508</v>
      </c>
      <c r="AB2589" s="73" t="s">
        <v>9486</v>
      </c>
      <c r="AC2589" s="74" t="s">
        <v>9561</v>
      </c>
      <c r="AD2589" s="73" t="s">
        <v>9578</v>
      </c>
      <c r="AE2589" s="74" t="s">
        <v>9579</v>
      </c>
    </row>
    <row r="2590" spans="1:31" ht="8.65" customHeight="1" x14ac:dyDescent="0.2">
      <c r="A2590" s="76">
        <v>2590</v>
      </c>
      <c r="B2590" s="67" t="str">
        <f>MID(C2590, FIND("Ifc.", C2590) + 4, 4) &amp; "_" &amp; TEXT(COUNTIF($C$2:C2590, C2590),"0000")</f>
        <v>Info_0120</v>
      </c>
      <c r="C2590" s="23" t="s">
        <v>9506</v>
      </c>
      <c r="D2590" s="69" t="s">
        <v>9453</v>
      </c>
      <c r="E2590" s="70" t="s">
        <v>9507</v>
      </c>
      <c r="F2590" s="26" t="s">
        <v>798</v>
      </c>
      <c r="G2590" s="15" t="s">
        <v>798</v>
      </c>
      <c r="H2590" s="14" t="s">
        <v>798</v>
      </c>
      <c r="I2590" s="15" t="s">
        <v>798</v>
      </c>
      <c r="J2590" s="12" t="s">
        <v>9435</v>
      </c>
      <c r="K2590" s="16" t="s">
        <v>2663</v>
      </c>
      <c r="L2590" s="12" t="s">
        <v>800</v>
      </c>
      <c r="M2590" s="16" t="s">
        <v>5910</v>
      </c>
      <c r="N2590" s="19" t="s">
        <v>798</v>
      </c>
      <c r="O2590" s="20" t="s">
        <v>798</v>
      </c>
      <c r="P2590" s="17" t="s">
        <v>802</v>
      </c>
      <c r="Q2590" s="21" t="s">
        <v>8215</v>
      </c>
      <c r="R2590" s="19" t="s">
        <v>798</v>
      </c>
      <c r="S2590" s="20" t="s">
        <v>798</v>
      </c>
      <c r="T2590" s="17" t="s">
        <v>798</v>
      </c>
      <c r="U2590" s="20" t="s">
        <v>798</v>
      </c>
      <c r="V2590" s="26" t="s">
        <v>798</v>
      </c>
      <c r="W2590" s="20" t="s">
        <v>798</v>
      </c>
      <c r="X2590" s="26" t="s">
        <v>798</v>
      </c>
      <c r="Y2590" s="20" t="s">
        <v>798</v>
      </c>
      <c r="Z2590" s="73" t="s">
        <v>9486</v>
      </c>
      <c r="AA2590" s="74" t="s">
        <v>9508</v>
      </c>
      <c r="AB2590" s="73" t="s">
        <v>9486</v>
      </c>
      <c r="AC2590" s="74" t="s">
        <v>9562</v>
      </c>
      <c r="AD2590" s="73" t="s">
        <v>9578</v>
      </c>
      <c r="AE2590" s="74" t="s">
        <v>9579</v>
      </c>
    </row>
    <row r="2591" spans="1:31" ht="8.65" customHeight="1" x14ac:dyDescent="0.2">
      <c r="A2591" s="76">
        <v>2591</v>
      </c>
      <c r="B2591" s="67" t="str">
        <f>MID(C2591, FIND("Ifc.", C2591) + 4, 4) &amp; "_" &amp; TEXT(COUNTIF($C$2:C2591, C2591),"0000")</f>
        <v>Info_0121</v>
      </c>
      <c r="C2591" s="23" t="s">
        <v>9506</v>
      </c>
      <c r="D2591" s="69" t="s">
        <v>9453</v>
      </c>
      <c r="E2591" s="70" t="s">
        <v>9507</v>
      </c>
      <c r="F2591" s="26" t="s">
        <v>798</v>
      </c>
      <c r="G2591" s="15" t="s">
        <v>798</v>
      </c>
      <c r="H2591" s="14" t="s">
        <v>798</v>
      </c>
      <c r="I2591" s="15" t="s">
        <v>798</v>
      </c>
      <c r="J2591" s="12" t="s">
        <v>9435</v>
      </c>
      <c r="K2591" s="16" t="s">
        <v>2664</v>
      </c>
      <c r="L2591" s="12" t="s">
        <v>800</v>
      </c>
      <c r="M2591" s="16" t="s">
        <v>5875</v>
      </c>
      <c r="N2591" s="19" t="s">
        <v>798</v>
      </c>
      <c r="O2591" s="20" t="s">
        <v>798</v>
      </c>
      <c r="P2591" s="17" t="s">
        <v>802</v>
      </c>
      <c r="Q2591" s="21" t="s">
        <v>8216</v>
      </c>
      <c r="R2591" s="19" t="s">
        <v>798</v>
      </c>
      <c r="S2591" s="20" t="s">
        <v>798</v>
      </c>
      <c r="T2591" s="17" t="s">
        <v>798</v>
      </c>
      <c r="U2591" s="20" t="s">
        <v>798</v>
      </c>
      <c r="V2591" s="26" t="s">
        <v>798</v>
      </c>
      <c r="W2591" s="20" t="s">
        <v>798</v>
      </c>
      <c r="X2591" s="26" t="s">
        <v>798</v>
      </c>
      <c r="Y2591" s="20" t="s">
        <v>798</v>
      </c>
      <c r="Z2591" s="73" t="s">
        <v>9486</v>
      </c>
      <c r="AA2591" s="74" t="s">
        <v>9508</v>
      </c>
      <c r="AB2591" s="73" t="s">
        <v>9486</v>
      </c>
      <c r="AC2591" s="74" t="s">
        <v>9562</v>
      </c>
      <c r="AD2591" s="73" t="s">
        <v>9578</v>
      </c>
      <c r="AE2591" s="74" t="s">
        <v>9579</v>
      </c>
    </row>
    <row r="2592" spans="1:31" ht="8.65" customHeight="1" x14ac:dyDescent="0.2">
      <c r="A2592" s="76">
        <v>2592</v>
      </c>
      <c r="B2592" s="67" t="str">
        <f>MID(C2592, FIND("Ifc.", C2592) + 4, 4) &amp; "_" &amp; TEXT(COUNTIF($C$2:C2592, C2592),"0000")</f>
        <v>Info_0122</v>
      </c>
      <c r="C2592" s="23" t="s">
        <v>9506</v>
      </c>
      <c r="D2592" s="69" t="s">
        <v>9453</v>
      </c>
      <c r="E2592" s="70" t="s">
        <v>9507</v>
      </c>
      <c r="F2592" s="26" t="s">
        <v>798</v>
      </c>
      <c r="G2592" s="15" t="s">
        <v>798</v>
      </c>
      <c r="H2592" s="14" t="s">
        <v>798</v>
      </c>
      <c r="I2592" s="15" t="s">
        <v>798</v>
      </c>
      <c r="J2592" s="12" t="s">
        <v>9435</v>
      </c>
      <c r="K2592" s="16" t="s">
        <v>2665</v>
      </c>
      <c r="L2592" s="12" t="s">
        <v>800</v>
      </c>
      <c r="M2592" s="16" t="s">
        <v>5362</v>
      </c>
      <c r="N2592" s="19" t="s">
        <v>798</v>
      </c>
      <c r="O2592" s="20" t="s">
        <v>798</v>
      </c>
      <c r="P2592" s="17" t="s">
        <v>802</v>
      </c>
      <c r="Q2592" s="21" t="s">
        <v>8217</v>
      </c>
      <c r="R2592" s="19" t="s">
        <v>798</v>
      </c>
      <c r="S2592" s="20" t="s">
        <v>798</v>
      </c>
      <c r="T2592" s="17" t="s">
        <v>798</v>
      </c>
      <c r="U2592" s="20" t="s">
        <v>798</v>
      </c>
      <c r="V2592" s="26" t="s">
        <v>798</v>
      </c>
      <c r="W2592" s="20" t="s">
        <v>798</v>
      </c>
      <c r="X2592" s="26" t="s">
        <v>798</v>
      </c>
      <c r="Y2592" s="20" t="s">
        <v>798</v>
      </c>
      <c r="Z2592" s="73" t="s">
        <v>9486</v>
      </c>
      <c r="AA2592" s="74" t="s">
        <v>9508</v>
      </c>
      <c r="AB2592" s="73" t="s">
        <v>9486</v>
      </c>
      <c r="AC2592" s="74" t="s">
        <v>9562</v>
      </c>
      <c r="AD2592" s="73" t="s">
        <v>9578</v>
      </c>
      <c r="AE2592" s="74" t="s">
        <v>9579</v>
      </c>
    </row>
    <row r="2593" spans="1:31" ht="8.65" customHeight="1" x14ac:dyDescent="0.2">
      <c r="A2593" s="76">
        <v>2593</v>
      </c>
      <c r="B2593" s="67" t="str">
        <f>MID(C2593, FIND("Ifc.", C2593) + 4, 4) &amp; "_" &amp; TEXT(COUNTIF($C$2:C2593, C2593),"0000")</f>
        <v>Info_0123</v>
      </c>
      <c r="C2593" s="23" t="s">
        <v>9506</v>
      </c>
      <c r="D2593" s="69" t="s">
        <v>9453</v>
      </c>
      <c r="E2593" s="70" t="s">
        <v>9507</v>
      </c>
      <c r="F2593" s="26" t="s">
        <v>798</v>
      </c>
      <c r="G2593" s="15" t="s">
        <v>798</v>
      </c>
      <c r="H2593" s="14" t="s">
        <v>798</v>
      </c>
      <c r="I2593" s="15" t="s">
        <v>798</v>
      </c>
      <c r="J2593" s="12" t="s">
        <v>9435</v>
      </c>
      <c r="K2593" s="16" t="s">
        <v>2666</v>
      </c>
      <c r="L2593" s="12" t="s">
        <v>800</v>
      </c>
      <c r="M2593" s="16" t="s">
        <v>5363</v>
      </c>
      <c r="N2593" s="19" t="s">
        <v>798</v>
      </c>
      <c r="O2593" s="20" t="s">
        <v>798</v>
      </c>
      <c r="P2593" s="17" t="s">
        <v>802</v>
      </c>
      <c r="Q2593" s="21" t="s">
        <v>8218</v>
      </c>
      <c r="R2593" s="19" t="s">
        <v>798</v>
      </c>
      <c r="S2593" s="20" t="s">
        <v>798</v>
      </c>
      <c r="T2593" s="17" t="s">
        <v>798</v>
      </c>
      <c r="U2593" s="20" t="s">
        <v>798</v>
      </c>
      <c r="V2593" s="26" t="s">
        <v>798</v>
      </c>
      <c r="W2593" s="20" t="s">
        <v>798</v>
      </c>
      <c r="X2593" s="26" t="s">
        <v>798</v>
      </c>
      <c r="Y2593" s="20" t="s">
        <v>798</v>
      </c>
      <c r="Z2593" s="73" t="s">
        <v>9486</v>
      </c>
      <c r="AA2593" s="74" t="s">
        <v>9508</v>
      </c>
      <c r="AB2593" s="73" t="s">
        <v>9486</v>
      </c>
      <c r="AC2593" s="74" t="s">
        <v>9566</v>
      </c>
      <c r="AD2593" s="73" t="s">
        <v>9578</v>
      </c>
      <c r="AE2593" s="74" t="s">
        <v>9579</v>
      </c>
    </row>
    <row r="2594" spans="1:31" ht="8.65" customHeight="1" x14ac:dyDescent="0.2">
      <c r="A2594" s="76">
        <v>2594</v>
      </c>
      <c r="B2594" s="67" t="str">
        <f>MID(C2594, FIND("Ifc.", C2594) + 4, 4) &amp; "_" &amp; TEXT(COUNTIF($C$2:C2594, C2594),"0000")</f>
        <v>Info_0124</v>
      </c>
      <c r="C2594" s="23" t="s">
        <v>9506</v>
      </c>
      <c r="D2594" s="69" t="s">
        <v>9453</v>
      </c>
      <c r="E2594" s="70" t="s">
        <v>9507</v>
      </c>
      <c r="F2594" s="26" t="s">
        <v>798</v>
      </c>
      <c r="G2594" s="15" t="s">
        <v>798</v>
      </c>
      <c r="H2594" s="14" t="s">
        <v>798</v>
      </c>
      <c r="I2594" s="15" t="s">
        <v>798</v>
      </c>
      <c r="J2594" s="12" t="s">
        <v>9435</v>
      </c>
      <c r="K2594" s="16" t="s">
        <v>2667</v>
      </c>
      <c r="L2594" s="12" t="s">
        <v>800</v>
      </c>
      <c r="M2594" s="16" t="s">
        <v>5364</v>
      </c>
      <c r="N2594" s="19" t="s">
        <v>798</v>
      </c>
      <c r="O2594" s="20" t="s">
        <v>798</v>
      </c>
      <c r="P2594" s="17" t="s">
        <v>802</v>
      </c>
      <c r="Q2594" s="21" t="s">
        <v>8219</v>
      </c>
      <c r="R2594" s="19" t="s">
        <v>798</v>
      </c>
      <c r="S2594" s="20" t="s">
        <v>798</v>
      </c>
      <c r="T2594" s="17" t="s">
        <v>798</v>
      </c>
      <c r="U2594" s="20" t="s">
        <v>798</v>
      </c>
      <c r="V2594" s="26" t="s">
        <v>798</v>
      </c>
      <c r="W2594" s="20" t="s">
        <v>798</v>
      </c>
      <c r="X2594" s="26" t="s">
        <v>798</v>
      </c>
      <c r="Y2594" s="20" t="s">
        <v>798</v>
      </c>
      <c r="Z2594" s="73" t="s">
        <v>9486</v>
      </c>
      <c r="AA2594" s="74" t="s">
        <v>9508</v>
      </c>
      <c r="AB2594" s="73" t="s">
        <v>9486</v>
      </c>
      <c r="AC2594" s="74" t="s">
        <v>9561</v>
      </c>
      <c r="AD2594" s="73" t="s">
        <v>9578</v>
      </c>
      <c r="AE2594" s="74" t="s">
        <v>9579</v>
      </c>
    </row>
    <row r="2595" spans="1:31" ht="8.65" customHeight="1" x14ac:dyDescent="0.2">
      <c r="A2595" s="76">
        <v>2595</v>
      </c>
      <c r="B2595" s="67" t="str">
        <f>MID(C2595, FIND("Ifc.", C2595) + 4, 4) &amp; "_" &amp; TEXT(COUNTIF($C$2:C2595, C2595),"0000")</f>
        <v>Info_0125</v>
      </c>
      <c r="C2595" s="23" t="s">
        <v>9506</v>
      </c>
      <c r="D2595" s="69" t="s">
        <v>9453</v>
      </c>
      <c r="E2595" s="70" t="s">
        <v>9507</v>
      </c>
      <c r="F2595" s="26" t="s">
        <v>798</v>
      </c>
      <c r="G2595" s="15" t="s">
        <v>798</v>
      </c>
      <c r="H2595" s="14" t="s">
        <v>798</v>
      </c>
      <c r="I2595" s="15" t="s">
        <v>798</v>
      </c>
      <c r="J2595" s="12" t="s">
        <v>9435</v>
      </c>
      <c r="K2595" s="16" t="s">
        <v>2668</v>
      </c>
      <c r="L2595" s="12" t="s">
        <v>800</v>
      </c>
      <c r="M2595" s="16" t="s">
        <v>5365</v>
      </c>
      <c r="N2595" s="19" t="s">
        <v>798</v>
      </c>
      <c r="O2595" s="20" t="s">
        <v>798</v>
      </c>
      <c r="P2595" s="17" t="s">
        <v>802</v>
      </c>
      <c r="Q2595" s="21" t="s">
        <v>8220</v>
      </c>
      <c r="R2595" s="19" t="s">
        <v>798</v>
      </c>
      <c r="S2595" s="20" t="s">
        <v>798</v>
      </c>
      <c r="T2595" s="17" t="s">
        <v>798</v>
      </c>
      <c r="U2595" s="20" t="s">
        <v>798</v>
      </c>
      <c r="V2595" s="26" t="s">
        <v>798</v>
      </c>
      <c r="W2595" s="20" t="s">
        <v>798</v>
      </c>
      <c r="X2595" s="26" t="s">
        <v>798</v>
      </c>
      <c r="Y2595" s="20" t="s">
        <v>798</v>
      </c>
      <c r="Z2595" s="73" t="s">
        <v>9486</v>
      </c>
      <c r="AA2595" s="74" t="s">
        <v>9508</v>
      </c>
      <c r="AB2595" s="73" t="s">
        <v>9486</v>
      </c>
      <c r="AC2595" s="74" t="s">
        <v>9562</v>
      </c>
      <c r="AD2595" s="73" t="s">
        <v>9578</v>
      </c>
      <c r="AE2595" s="74" t="s">
        <v>9579</v>
      </c>
    </row>
    <row r="2596" spans="1:31" ht="8.65" customHeight="1" x14ac:dyDescent="0.2">
      <c r="A2596" s="76">
        <v>2596</v>
      </c>
      <c r="B2596" s="67" t="str">
        <f>MID(C2596, FIND("Ifc.", C2596) + 4, 4) &amp; "_" &amp; TEXT(COUNTIF($C$2:C2596, C2596),"0000")</f>
        <v>Info_0126</v>
      </c>
      <c r="C2596" s="23" t="s">
        <v>9506</v>
      </c>
      <c r="D2596" s="69" t="s">
        <v>9453</v>
      </c>
      <c r="E2596" s="70" t="s">
        <v>9507</v>
      </c>
      <c r="F2596" s="26" t="s">
        <v>798</v>
      </c>
      <c r="G2596" s="15" t="s">
        <v>798</v>
      </c>
      <c r="H2596" s="14" t="s">
        <v>798</v>
      </c>
      <c r="I2596" s="15" t="s">
        <v>798</v>
      </c>
      <c r="J2596" s="12" t="s">
        <v>9435</v>
      </c>
      <c r="K2596" s="16" t="s">
        <v>2669</v>
      </c>
      <c r="L2596" s="12" t="s">
        <v>800</v>
      </c>
      <c r="M2596" s="16" t="s">
        <v>5366</v>
      </c>
      <c r="N2596" s="19" t="s">
        <v>798</v>
      </c>
      <c r="O2596" s="20" t="s">
        <v>798</v>
      </c>
      <c r="P2596" s="17" t="s">
        <v>802</v>
      </c>
      <c r="Q2596" s="21" t="s">
        <v>8221</v>
      </c>
      <c r="R2596" s="19" t="s">
        <v>798</v>
      </c>
      <c r="S2596" s="20" t="s">
        <v>798</v>
      </c>
      <c r="T2596" s="17" t="s">
        <v>798</v>
      </c>
      <c r="U2596" s="20" t="s">
        <v>798</v>
      </c>
      <c r="V2596" s="26" t="s">
        <v>798</v>
      </c>
      <c r="W2596" s="20" t="s">
        <v>798</v>
      </c>
      <c r="X2596" s="26" t="s">
        <v>798</v>
      </c>
      <c r="Y2596" s="20" t="s">
        <v>798</v>
      </c>
      <c r="Z2596" s="73" t="s">
        <v>9486</v>
      </c>
      <c r="AA2596" s="74" t="s">
        <v>9508</v>
      </c>
      <c r="AB2596" s="73" t="s">
        <v>9486</v>
      </c>
      <c r="AC2596" s="74" t="s">
        <v>9562</v>
      </c>
      <c r="AD2596" s="73" t="s">
        <v>9578</v>
      </c>
      <c r="AE2596" s="74" t="s">
        <v>9579</v>
      </c>
    </row>
    <row r="2597" spans="1:31" ht="8.65" customHeight="1" x14ac:dyDescent="0.2">
      <c r="A2597" s="76">
        <v>2597</v>
      </c>
      <c r="B2597" s="67" t="str">
        <f>MID(C2597, FIND("Ifc.", C2597) + 4, 4) &amp; "_" &amp; TEXT(COUNTIF($C$2:C2597, C2597),"0000")</f>
        <v>Info_0127</v>
      </c>
      <c r="C2597" s="23" t="s">
        <v>9506</v>
      </c>
      <c r="D2597" s="69" t="s">
        <v>9453</v>
      </c>
      <c r="E2597" s="70" t="s">
        <v>9507</v>
      </c>
      <c r="F2597" s="26" t="s">
        <v>798</v>
      </c>
      <c r="G2597" s="15" t="s">
        <v>798</v>
      </c>
      <c r="H2597" s="14" t="s">
        <v>798</v>
      </c>
      <c r="I2597" s="15" t="s">
        <v>798</v>
      </c>
      <c r="J2597" s="12" t="s">
        <v>9435</v>
      </c>
      <c r="K2597" s="16" t="s">
        <v>2670</v>
      </c>
      <c r="L2597" s="12" t="s">
        <v>800</v>
      </c>
      <c r="M2597" s="16" t="s">
        <v>5367</v>
      </c>
      <c r="N2597" s="19" t="s">
        <v>798</v>
      </c>
      <c r="O2597" s="20" t="s">
        <v>798</v>
      </c>
      <c r="P2597" s="17" t="s">
        <v>802</v>
      </c>
      <c r="Q2597" s="21" t="s">
        <v>8222</v>
      </c>
      <c r="R2597" s="19" t="s">
        <v>798</v>
      </c>
      <c r="S2597" s="20" t="s">
        <v>798</v>
      </c>
      <c r="T2597" s="17" t="s">
        <v>798</v>
      </c>
      <c r="U2597" s="20" t="s">
        <v>798</v>
      </c>
      <c r="V2597" s="26" t="s">
        <v>798</v>
      </c>
      <c r="W2597" s="20" t="s">
        <v>798</v>
      </c>
      <c r="X2597" s="26" t="s">
        <v>798</v>
      </c>
      <c r="Y2597" s="20" t="s">
        <v>798</v>
      </c>
      <c r="Z2597" s="73" t="s">
        <v>9486</v>
      </c>
      <c r="AA2597" s="74" t="s">
        <v>9508</v>
      </c>
      <c r="AB2597" s="73" t="s">
        <v>9486</v>
      </c>
      <c r="AC2597" s="74" t="s">
        <v>9562</v>
      </c>
      <c r="AD2597" s="73" t="s">
        <v>9578</v>
      </c>
      <c r="AE2597" s="74" t="s">
        <v>9579</v>
      </c>
    </row>
    <row r="2598" spans="1:31" ht="8.65" customHeight="1" x14ac:dyDescent="0.2">
      <c r="A2598" s="76">
        <v>2598</v>
      </c>
      <c r="B2598" s="67" t="str">
        <f>MID(C2598, FIND("Ifc.", C2598) + 4, 4) &amp; "_" &amp; TEXT(COUNTIF($C$2:C2598, C2598),"0000")</f>
        <v>Info_0128</v>
      </c>
      <c r="C2598" s="23" t="s">
        <v>9506</v>
      </c>
      <c r="D2598" s="69" t="s">
        <v>9453</v>
      </c>
      <c r="E2598" s="70" t="s">
        <v>9507</v>
      </c>
      <c r="F2598" s="26" t="s">
        <v>798</v>
      </c>
      <c r="G2598" s="15" t="s">
        <v>798</v>
      </c>
      <c r="H2598" s="14" t="s">
        <v>798</v>
      </c>
      <c r="I2598" s="15" t="s">
        <v>798</v>
      </c>
      <c r="J2598" s="12" t="s">
        <v>9435</v>
      </c>
      <c r="K2598" s="16" t="s">
        <v>2671</v>
      </c>
      <c r="L2598" s="12" t="s">
        <v>800</v>
      </c>
      <c r="M2598" s="16" t="s">
        <v>5368</v>
      </c>
      <c r="N2598" s="19" t="s">
        <v>798</v>
      </c>
      <c r="O2598" s="20" t="s">
        <v>798</v>
      </c>
      <c r="P2598" s="17" t="s">
        <v>802</v>
      </c>
      <c r="Q2598" s="21" t="s">
        <v>8223</v>
      </c>
      <c r="R2598" s="19" t="s">
        <v>798</v>
      </c>
      <c r="S2598" s="20" t="s">
        <v>798</v>
      </c>
      <c r="T2598" s="17" t="s">
        <v>798</v>
      </c>
      <c r="U2598" s="20" t="s">
        <v>798</v>
      </c>
      <c r="V2598" s="26" t="s">
        <v>798</v>
      </c>
      <c r="W2598" s="20" t="s">
        <v>798</v>
      </c>
      <c r="X2598" s="26" t="s">
        <v>798</v>
      </c>
      <c r="Y2598" s="20" t="s">
        <v>798</v>
      </c>
      <c r="Z2598" s="73" t="s">
        <v>9486</v>
      </c>
      <c r="AA2598" s="74" t="s">
        <v>9508</v>
      </c>
      <c r="AB2598" s="73" t="s">
        <v>9486</v>
      </c>
      <c r="AC2598" s="74" t="s">
        <v>9562</v>
      </c>
      <c r="AD2598" s="73" t="s">
        <v>9578</v>
      </c>
      <c r="AE2598" s="74" t="s">
        <v>9579</v>
      </c>
    </row>
    <row r="2599" spans="1:31" ht="8.65" customHeight="1" x14ac:dyDescent="0.2">
      <c r="A2599" s="76">
        <v>2599</v>
      </c>
      <c r="B2599" s="67" t="str">
        <f>MID(C2599, FIND("Ifc.", C2599) + 4, 4) &amp; "_" &amp; TEXT(COUNTIF($C$2:C2599, C2599),"0000")</f>
        <v>Info_0129</v>
      </c>
      <c r="C2599" s="23" t="s">
        <v>9506</v>
      </c>
      <c r="D2599" s="69" t="s">
        <v>9453</v>
      </c>
      <c r="E2599" s="70" t="s">
        <v>9507</v>
      </c>
      <c r="F2599" s="26" t="s">
        <v>798</v>
      </c>
      <c r="G2599" s="15" t="s">
        <v>798</v>
      </c>
      <c r="H2599" s="14" t="s">
        <v>798</v>
      </c>
      <c r="I2599" s="15" t="s">
        <v>798</v>
      </c>
      <c r="J2599" s="12" t="s">
        <v>9435</v>
      </c>
      <c r="K2599" s="16" t="s">
        <v>2672</v>
      </c>
      <c r="L2599" s="12" t="s">
        <v>800</v>
      </c>
      <c r="M2599" s="16" t="s">
        <v>5876</v>
      </c>
      <c r="N2599" s="19" t="s">
        <v>798</v>
      </c>
      <c r="O2599" s="20" t="s">
        <v>798</v>
      </c>
      <c r="P2599" s="17" t="s">
        <v>802</v>
      </c>
      <c r="Q2599" s="21" t="s">
        <v>8224</v>
      </c>
      <c r="R2599" s="19" t="s">
        <v>798</v>
      </c>
      <c r="S2599" s="20" t="s">
        <v>798</v>
      </c>
      <c r="T2599" s="17" t="s">
        <v>798</v>
      </c>
      <c r="U2599" s="20" t="s">
        <v>798</v>
      </c>
      <c r="V2599" s="26" t="s">
        <v>798</v>
      </c>
      <c r="W2599" s="20" t="s">
        <v>798</v>
      </c>
      <c r="X2599" s="26" t="s">
        <v>798</v>
      </c>
      <c r="Y2599" s="20" t="s">
        <v>798</v>
      </c>
      <c r="Z2599" s="73" t="s">
        <v>9486</v>
      </c>
      <c r="AA2599" s="74" t="s">
        <v>9508</v>
      </c>
      <c r="AB2599" s="73" t="s">
        <v>9486</v>
      </c>
      <c r="AC2599" s="74" t="s">
        <v>9562</v>
      </c>
      <c r="AD2599" s="73" t="s">
        <v>9578</v>
      </c>
      <c r="AE2599" s="74" t="s">
        <v>9579</v>
      </c>
    </row>
    <row r="2600" spans="1:31" ht="8.65" customHeight="1" x14ac:dyDescent="0.2">
      <c r="A2600" s="76">
        <v>2600</v>
      </c>
      <c r="B2600" s="67" t="str">
        <f>MID(C2600, FIND("Ifc.", C2600) + 4, 4) &amp; "_" &amp; TEXT(COUNTIF($C$2:C2600, C2600),"0000")</f>
        <v>Info_0130</v>
      </c>
      <c r="C2600" s="23" t="s">
        <v>9506</v>
      </c>
      <c r="D2600" s="69" t="s">
        <v>9453</v>
      </c>
      <c r="E2600" s="70" t="s">
        <v>9507</v>
      </c>
      <c r="F2600" s="26" t="s">
        <v>798</v>
      </c>
      <c r="G2600" s="15" t="s">
        <v>798</v>
      </c>
      <c r="H2600" s="14" t="s">
        <v>798</v>
      </c>
      <c r="I2600" s="15" t="s">
        <v>798</v>
      </c>
      <c r="J2600" s="12" t="s">
        <v>9435</v>
      </c>
      <c r="K2600" s="16" t="s">
        <v>2673</v>
      </c>
      <c r="L2600" s="12" t="s">
        <v>800</v>
      </c>
      <c r="M2600" s="16" t="s">
        <v>5911</v>
      </c>
      <c r="N2600" s="19" t="s">
        <v>798</v>
      </c>
      <c r="O2600" s="20" t="s">
        <v>798</v>
      </c>
      <c r="P2600" s="17" t="s">
        <v>802</v>
      </c>
      <c r="Q2600" s="21" t="s">
        <v>8225</v>
      </c>
      <c r="R2600" s="19" t="s">
        <v>798</v>
      </c>
      <c r="S2600" s="20" t="s">
        <v>798</v>
      </c>
      <c r="T2600" s="17" t="s">
        <v>798</v>
      </c>
      <c r="U2600" s="20" t="s">
        <v>798</v>
      </c>
      <c r="V2600" s="26" t="s">
        <v>798</v>
      </c>
      <c r="W2600" s="20" t="s">
        <v>798</v>
      </c>
      <c r="X2600" s="26" t="s">
        <v>798</v>
      </c>
      <c r="Y2600" s="20" t="s">
        <v>798</v>
      </c>
      <c r="Z2600" s="73" t="s">
        <v>9486</v>
      </c>
      <c r="AA2600" s="74" t="s">
        <v>9508</v>
      </c>
      <c r="AB2600" s="73" t="s">
        <v>9486</v>
      </c>
      <c r="AC2600" s="74" t="s">
        <v>9562</v>
      </c>
      <c r="AD2600" s="73" t="s">
        <v>9578</v>
      </c>
      <c r="AE2600" s="74" t="s">
        <v>9579</v>
      </c>
    </row>
    <row r="2601" spans="1:31" ht="8.65" customHeight="1" x14ac:dyDescent="0.2">
      <c r="A2601" s="76">
        <v>2601</v>
      </c>
      <c r="B2601" s="67" t="str">
        <f>MID(C2601, FIND("Ifc.", C2601) + 4, 4) &amp; "_" &amp; TEXT(COUNTIF($C$2:C2601, C2601),"0000")</f>
        <v>Enum_0001</v>
      </c>
      <c r="C2601" s="23" t="s">
        <v>873</v>
      </c>
      <c r="D2601" s="69" t="s">
        <v>9453</v>
      </c>
      <c r="E2601" s="70" t="s">
        <v>9455</v>
      </c>
      <c r="F2601" s="26" t="s">
        <v>798</v>
      </c>
      <c r="G2601" s="15" t="s">
        <v>798</v>
      </c>
      <c r="H2601" s="14" t="s">
        <v>798</v>
      </c>
      <c r="I2601" s="15" t="s">
        <v>798</v>
      </c>
      <c r="J2601" s="12" t="s">
        <v>9436</v>
      </c>
      <c r="K2601" s="16" t="s">
        <v>2674</v>
      </c>
      <c r="L2601" s="12" t="s">
        <v>800</v>
      </c>
      <c r="M2601" s="16" t="s">
        <v>5591</v>
      </c>
      <c r="N2601" s="19" t="s">
        <v>798</v>
      </c>
      <c r="O2601" s="20" t="s">
        <v>798</v>
      </c>
      <c r="P2601" s="17" t="s">
        <v>802</v>
      </c>
      <c r="Q2601" s="21" t="s">
        <v>8226</v>
      </c>
      <c r="R2601" s="19" t="s">
        <v>798</v>
      </c>
      <c r="S2601" s="20" t="s">
        <v>798</v>
      </c>
      <c r="T2601" s="17" t="s">
        <v>798</v>
      </c>
      <c r="U2601" s="20" t="s">
        <v>798</v>
      </c>
      <c r="V2601" s="26" t="s">
        <v>798</v>
      </c>
      <c r="W2601" s="20" t="s">
        <v>798</v>
      </c>
      <c r="X2601" s="26" t="s">
        <v>798</v>
      </c>
      <c r="Y2601" s="20" t="s">
        <v>798</v>
      </c>
      <c r="Z2601" s="73" t="s">
        <v>9486</v>
      </c>
      <c r="AA2601" s="74" t="s">
        <v>9501</v>
      </c>
      <c r="AB2601" s="73" t="s">
        <v>9486</v>
      </c>
      <c r="AC2601" s="74" t="s">
        <v>9562</v>
      </c>
      <c r="AD2601" s="73" t="s">
        <v>9578</v>
      </c>
      <c r="AE2601" s="74" t="s">
        <v>9579</v>
      </c>
    </row>
    <row r="2602" spans="1:31" ht="8.65" customHeight="1" x14ac:dyDescent="0.2">
      <c r="A2602" s="76">
        <v>2602</v>
      </c>
      <c r="B2602" s="67" t="str">
        <f>MID(C2602, FIND("Ifc.", C2602) + 4, 4) &amp; "_" &amp; TEXT(COUNTIF($C$2:C2602, C2602),"0000")</f>
        <v>Enum_0002</v>
      </c>
      <c r="C2602" s="23" t="s">
        <v>873</v>
      </c>
      <c r="D2602" s="69" t="s">
        <v>9453</v>
      </c>
      <c r="E2602" s="70" t="s">
        <v>9455</v>
      </c>
      <c r="F2602" s="26" t="s">
        <v>798</v>
      </c>
      <c r="G2602" s="15" t="s">
        <v>798</v>
      </c>
      <c r="H2602" s="14" t="s">
        <v>798</v>
      </c>
      <c r="I2602" s="15" t="s">
        <v>798</v>
      </c>
      <c r="J2602" s="12" t="s">
        <v>9436</v>
      </c>
      <c r="K2602" s="16" t="s">
        <v>2675</v>
      </c>
      <c r="L2602" s="12" t="s">
        <v>800</v>
      </c>
      <c r="M2602" s="16" t="s">
        <v>5592</v>
      </c>
      <c r="N2602" s="19" t="s">
        <v>798</v>
      </c>
      <c r="O2602" s="20" t="s">
        <v>798</v>
      </c>
      <c r="P2602" s="17" t="s">
        <v>802</v>
      </c>
      <c r="Q2602" s="21" t="s">
        <v>8227</v>
      </c>
      <c r="R2602" s="19" t="s">
        <v>798</v>
      </c>
      <c r="S2602" s="20" t="s">
        <v>798</v>
      </c>
      <c r="T2602" s="17" t="s">
        <v>798</v>
      </c>
      <c r="U2602" s="20" t="s">
        <v>798</v>
      </c>
      <c r="V2602" s="26" t="s">
        <v>798</v>
      </c>
      <c r="W2602" s="20" t="s">
        <v>798</v>
      </c>
      <c r="X2602" s="26" t="s">
        <v>798</v>
      </c>
      <c r="Y2602" s="20" t="s">
        <v>798</v>
      </c>
      <c r="Z2602" s="73" t="s">
        <v>9486</v>
      </c>
      <c r="AA2602" s="74" t="s">
        <v>9501</v>
      </c>
      <c r="AB2602" s="73" t="s">
        <v>9486</v>
      </c>
      <c r="AC2602" s="74" t="s">
        <v>9562</v>
      </c>
      <c r="AD2602" s="73" t="s">
        <v>9578</v>
      </c>
      <c r="AE2602" s="74" t="s">
        <v>9579</v>
      </c>
    </row>
    <row r="2603" spans="1:31" ht="8.65" customHeight="1" x14ac:dyDescent="0.2">
      <c r="A2603" s="76">
        <v>2603</v>
      </c>
      <c r="B2603" s="67" t="str">
        <f>MID(C2603, FIND("Ifc.", C2603) + 4, 4) &amp; "_" &amp; TEXT(COUNTIF($C$2:C2603, C2603),"0000")</f>
        <v>Enum_0003</v>
      </c>
      <c r="C2603" s="23" t="s">
        <v>873</v>
      </c>
      <c r="D2603" s="69" t="s">
        <v>9453</v>
      </c>
      <c r="E2603" s="70" t="s">
        <v>9455</v>
      </c>
      <c r="F2603" s="26" t="s">
        <v>798</v>
      </c>
      <c r="G2603" s="15" t="s">
        <v>798</v>
      </c>
      <c r="H2603" s="14" t="s">
        <v>798</v>
      </c>
      <c r="I2603" s="15" t="s">
        <v>798</v>
      </c>
      <c r="J2603" s="12" t="s">
        <v>9436</v>
      </c>
      <c r="K2603" s="16" t="s">
        <v>2676</v>
      </c>
      <c r="L2603" s="12" t="s">
        <v>800</v>
      </c>
      <c r="M2603" s="16" t="s">
        <v>5593</v>
      </c>
      <c r="N2603" s="19" t="s">
        <v>798</v>
      </c>
      <c r="O2603" s="20" t="s">
        <v>798</v>
      </c>
      <c r="P2603" s="17" t="s">
        <v>802</v>
      </c>
      <c r="Q2603" s="21" t="s">
        <v>8228</v>
      </c>
      <c r="R2603" s="19" t="s">
        <v>798</v>
      </c>
      <c r="S2603" s="20" t="s">
        <v>798</v>
      </c>
      <c r="T2603" s="17" t="s">
        <v>798</v>
      </c>
      <c r="U2603" s="20" t="s">
        <v>798</v>
      </c>
      <c r="V2603" s="26" t="s">
        <v>798</v>
      </c>
      <c r="W2603" s="20" t="s">
        <v>798</v>
      </c>
      <c r="X2603" s="26" t="s">
        <v>798</v>
      </c>
      <c r="Y2603" s="20" t="s">
        <v>798</v>
      </c>
      <c r="Z2603" s="73" t="s">
        <v>9486</v>
      </c>
      <c r="AA2603" s="74" t="s">
        <v>9501</v>
      </c>
      <c r="AB2603" s="73" t="s">
        <v>9486</v>
      </c>
      <c r="AC2603" s="74" t="s">
        <v>9562</v>
      </c>
      <c r="AD2603" s="73" t="s">
        <v>9578</v>
      </c>
      <c r="AE2603" s="74" t="s">
        <v>9579</v>
      </c>
    </row>
    <row r="2604" spans="1:31" ht="8.65" customHeight="1" x14ac:dyDescent="0.2">
      <c r="A2604" s="76">
        <v>2604</v>
      </c>
      <c r="B2604" s="67" t="str">
        <f>MID(C2604, FIND("Ifc.", C2604) + 4, 4) &amp; "_" &amp; TEXT(COUNTIF($C$2:C2604, C2604),"0000")</f>
        <v>Enum_0004</v>
      </c>
      <c r="C2604" s="23" t="s">
        <v>873</v>
      </c>
      <c r="D2604" s="69" t="s">
        <v>9453</v>
      </c>
      <c r="E2604" s="70" t="s">
        <v>9455</v>
      </c>
      <c r="F2604" s="26" t="s">
        <v>798</v>
      </c>
      <c r="G2604" s="15" t="s">
        <v>798</v>
      </c>
      <c r="H2604" s="14" t="s">
        <v>798</v>
      </c>
      <c r="I2604" s="15" t="s">
        <v>798</v>
      </c>
      <c r="J2604" s="12" t="s">
        <v>9436</v>
      </c>
      <c r="K2604" s="16" t="s">
        <v>2677</v>
      </c>
      <c r="L2604" s="12" t="s">
        <v>800</v>
      </c>
      <c r="M2604" s="16" t="s">
        <v>5594</v>
      </c>
      <c r="N2604" s="19" t="s">
        <v>798</v>
      </c>
      <c r="O2604" s="20" t="s">
        <v>798</v>
      </c>
      <c r="P2604" s="17" t="s">
        <v>802</v>
      </c>
      <c r="Q2604" s="21" t="s">
        <v>8229</v>
      </c>
      <c r="R2604" s="19" t="s">
        <v>798</v>
      </c>
      <c r="S2604" s="20" t="s">
        <v>798</v>
      </c>
      <c r="T2604" s="17" t="s">
        <v>798</v>
      </c>
      <c r="U2604" s="20" t="s">
        <v>798</v>
      </c>
      <c r="V2604" s="26" t="s">
        <v>798</v>
      </c>
      <c r="W2604" s="20" t="s">
        <v>798</v>
      </c>
      <c r="X2604" s="26" t="s">
        <v>798</v>
      </c>
      <c r="Y2604" s="20" t="s">
        <v>798</v>
      </c>
      <c r="Z2604" s="73" t="s">
        <v>9486</v>
      </c>
      <c r="AA2604" s="74" t="s">
        <v>9501</v>
      </c>
      <c r="AB2604" s="73" t="s">
        <v>9486</v>
      </c>
      <c r="AC2604" s="74" t="s">
        <v>9562</v>
      </c>
      <c r="AD2604" s="73" t="s">
        <v>9578</v>
      </c>
      <c r="AE2604" s="74" t="s">
        <v>9579</v>
      </c>
    </row>
    <row r="2605" spans="1:31" ht="8.65" customHeight="1" x14ac:dyDescent="0.2">
      <c r="A2605" s="76">
        <v>2605</v>
      </c>
      <c r="B2605" s="67" t="str">
        <f>MID(C2605, FIND("Ifc.", C2605) + 4, 4) &amp; "_" &amp; TEXT(COUNTIF($C$2:C2605, C2605),"0000")</f>
        <v>Enum_0005</v>
      </c>
      <c r="C2605" s="23" t="s">
        <v>873</v>
      </c>
      <c r="D2605" s="69" t="s">
        <v>9453</v>
      </c>
      <c r="E2605" s="70" t="s">
        <v>9455</v>
      </c>
      <c r="F2605" s="26" t="s">
        <v>798</v>
      </c>
      <c r="G2605" s="15" t="s">
        <v>798</v>
      </c>
      <c r="H2605" s="14" t="s">
        <v>798</v>
      </c>
      <c r="I2605" s="15" t="s">
        <v>798</v>
      </c>
      <c r="J2605" s="12" t="s">
        <v>9436</v>
      </c>
      <c r="K2605" s="16" t="s">
        <v>2678</v>
      </c>
      <c r="L2605" s="12" t="s">
        <v>800</v>
      </c>
      <c r="M2605" s="16" t="s">
        <v>5595</v>
      </c>
      <c r="N2605" s="19" t="s">
        <v>798</v>
      </c>
      <c r="O2605" s="20" t="s">
        <v>798</v>
      </c>
      <c r="P2605" s="17" t="s">
        <v>802</v>
      </c>
      <c r="Q2605" s="21" t="s">
        <v>8230</v>
      </c>
      <c r="R2605" s="19" t="s">
        <v>798</v>
      </c>
      <c r="S2605" s="20" t="s">
        <v>798</v>
      </c>
      <c r="T2605" s="17" t="s">
        <v>798</v>
      </c>
      <c r="U2605" s="20" t="s">
        <v>798</v>
      </c>
      <c r="V2605" s="26" t="s">
        <v>798</v>
      </c>
      <c r="W2605" s="20" t="s">
        <v>798</v>
      </c>
      <c r="X2605" s="26" t="s">
        <v>798</v>
      </c>
      <c r="Y2605" s="20" t="s">
        <v>798</v>
      </c>
      <c r="Z2605" s="73" t="s">
        <v>9486</v>
      </c>
      <c r="AA2605" s="74" t="s">
        <v>9501</v>
      </c>
      <c r="AB2605" s="73" t="s">
        <v>9486</v>
      </c>
      <c r="AC2605" s="74" t="s">
        <v>9562</v>
      </c>
      <c r="AD2605" s="73" t="s">
        <v>9578</v>
      </c>
      <c r="AE2605" s="74" t="s">
        <v>9579</v>
      </c>
    </row>
    <row r="2606" spans="1:31" ht="8.65" customHeight="1" x14ac:dyDescent="0.2">
      <c r="A2606" s="76">
        <v>2606</v>
      </c>
      <c r="B2606" s="67" t="str">
        <f>MID(C2606, FIND("Ifc.", C2606) + 4, 4) &amp; "_" &amp; TEXT(COUNTIF($C$2:C2606, C2606),"0000")</f>
        <v>Enum_0006</v>
      </c>
      <c r="C2606" s="23" t="s">
        <v>873</v>
      </c>
      <c r="D2606" s="69" t="s">
        <v>9453</v>
      </c>
      <c r="E2606" s="70" t="s">
        <v>9455</v>
      </c>
      <c r="F2606" s="26" t="s">
        <v>798</v>
      </c>
      <c r="G2606" s="15" t="s">
        <v>798</v>
      </c>
      <c r="H2606" s="14" t="s">
        <v>798</v>
      </c>
      <c r="I2606" s="15" t="s">
        <v>798</v>
      </c>
      <c r="J2606" s="12" t="s">
        <v>9436</v>
      </c>
      <c r="K2606" s="16" t="s">
        <v>2679</v>
      </c>
      <c r="L2606" s="12" t="s">
        <v>800</v>
      </c>
      <c r="M2606" s="16" t="s">
        <v>5596</v>
      </c>
      <c r="N2606" s="19" t="s">
        <v>798</v>
      </c>
      <c r="O2606" s="20" t="s">
        <v>798</v>
      </c>
      <c r="P2606" s="17" t="s">
        <v>802</v>
      </c>
      <c r="Q2606" s="21" t="s">
        <v>8231</v>
      </c>
      <c r="R2606" s="19" t="s">
        <v>798</v>
      </c>
      <c r="S2606" s="20" t="s">
        <v>798</v>
      </c>
      <c r="T2606" s="17" t="s">
        <v>798</v>
      </c>
      <c r="U2606" s="20" t="s">
        <v>798</v>
      </c>
      <c r="V2606" s="26" t="s">
        <v>798</v>
      </c>
      <c r="W2606" s="20" t="s">
        <v>798</v>
      </c>
      <c r="X2606" s="26" t="s">
        <v>798</v>
      </c>
      <c r="Y2606" s="20" t="s">
        <v>798</v>
      </c>
      <c r="Z2606" s="73" t="s">
        <v>9486</v>
      </c>
      <c r="AA2606" s="74" t="s">
        <v>9501</v>
      </c>
      <c r="AB2606" s="73" t="s">
        <v>9486</v>
      </c>
      <c r="AC2606" s="74" t="s">
        <v>9562</v>
      </c>
      <c r="AD2606" s="73" t="s">
        <v>9578</v>
      </c>
      <c r="AE2606" s="74" t="s">
        <v>9579</v>
      </c>
    </row>
    <row r="2607" spans="1:31" ht="8.65" customHeight="1" x14ac:dyDescent="0.2">
      <c r="A2607" s="76">
        <v>2607</v>
      </c>
      <c r="B2607" s="67" t="str">
        <f>MID(C2607, FIND("Ifc.", C2607) + 4, 4) &amp; "_" &amp; TEXT(COUNTIF($C$2:C2607, C2607),"0000")</f>
        <v>Enum_0007</v>
      </c>
      <c r="C2607" s="23" t="s">
        <v>873</v>
      </c>
      <c r="D2607" s="69" t="s">
        <v>9453</v>
      </c>
      <c r="E2607" s="70" t="s">
        <v>9455</v>
      </c>
      <c r="F2607" s="26" t="s">
        <v>798</v>
      </c>
      <c r="G2607" s="15" t="s">
        <v>798</v>
      </c>
      <c r="H2607" s="14" t="s">
        <v>798</v>
      </c>
      <c r="I2607" s="15" t="s">
        <v>798</v>
      </c>
      <c r="J2607" s="12" t="s">
        <v>9436</v>
      </c>
      <c r="K2607" s="16" t="s">
        <v>2680</v>
      </c>
      <c r="L2607" s="12" t="s">
        <v>800</v>
      </c>
      <c r="M2607" s="16" t="s">
        <v>5597</v>
      </c>
      <c r="N2607" s="19" t="s">
        <v>798</v>
      </c>
      <c r="O2607" s="20" t="s">
        <v>798</v>
      </c>
      <c r="P2607" s="17" t="s">
        <v>802</v>
      </c>
      <c r="Q2607" s="21" t="s">
        <v>8232</v>
      </c>
      <c r="R2607" s="19" t="s">
        <v>798</v>
      </c>
      <c r="S2607" s="20" t="s">
        <v>798</v>
      </c>
      <c r="T2607" s="17" t="s">
        <v>798</v>
      </c>
      <c r="U2607" s="20" t="s">
        <v>798</v>
      </c>
      <c r="V2607" s="26" t="s">
        <v>798</v>
      </c>
      <c r="W2607" s="20" t="s">
        <v>798</v>
      </c>
      <c r="X2607" s="26" t="s">
        <v>798</v>
      </c>
      <c r="Y2607" s="20" t="s">
        <v>798</v>
      </c>
      <c r="Z2607" s="73" t="s">
        <v>9486</v>
      </c>
      <c r="AA2607" s="74" t="s">
        <v>9501</v>
      </c>
      <c r="AB2607" s="73" t="s">
        <v>9486</v>
      </c>
      <c r="AC2607" s="74" t="s">
        <v>9562</v>
      </c>
      <c r="AD2607" s="73" t="s">
        <v>9578</v>
      </c>
      <c r="AE2607" s="74" t="s">
        <v>9579</v>
      </c>
    </row>
    <row r="2608" spans="1:31" ht="8.65" customHeight="1" x14ac:dyDescent="0.2">
      <c r="A2608" s="76">
        <v>2608</v>
      </c>
      <c r="B2608" s="67" t="str">
        <f>MID(C2608, FIND("Ifc.", C2608) + 4, 4) &amp; "_" &amp; TEXT(COUNTIF($C$2:C2608, C2608),"0000")</f>
        <v>Enum_0008</v>
      </c>
      <c r="C2608" s="23" t="s">
        <v>873</v>
      </c>
      <c r="D2608" s="69" t="s">
        <v>9453</v>
      </c>
      <c r="E2608" s="70" t="s">
        <v>9455</v>
      </c>
      <c r="F2608" s="26" t="s">
        <v>798</v>
      </c>
      <c r="G2608" s="15" t="s">
        <v>798</v>
      </c>
      <c r="H2608" s="14" t="s">
        <v>798</v>
      </c>
      <c r="I2608" s="15" t="s">
        <v>798</v>
      </c>
      <c r="J2608" s="12" t="s">
        <v>9436</v>
      </c>
      <c r="K2608" s="16" t="s">
        <v>2681</v>
      </c>
      <c r="L2608" s="12" t="s">
        <v>800</v>
      </c>
      <c r="M2608" s="16" t="s">
        <v>5598</v>
      </c>
      <c r="N2608" s="19" t="s">
        <v>798</v>
      </c>
      <c r="O2608" s="20" t="s">
        <v>798</v>
      </c>
      <c r="P2608" s="17" t="s">
        <v>802</v>
      </c>
      <c r="Q2608" s="21" t="s">
        <v>8233</v>
      </c>
      <c r="R2608" s="19" t="s">
        <v>798</v>
      </c>
      <c r="S2608" s="20" t="s">
        <v>798</v>
      </c>
      <c r="T2608" s="17" t="s">
        <v>798</v>
      </c>
      <c r="U2608" s="20" t="s">
        <v>798</v>
      </c>
      <c r="V2608" s="26" t="s">
        <v>798</v>
      </c>
      <c r="W2608" s="20" t="s">
        <v>798</v>
      </c>
      <c r="X2608" s="26" t="s">
        <v>798</v>
      </c>
      <c r="Y2608" s="20" t="s">
        <v>798</v>
      </c>
      <c r="Z2608" s="73" t="s">
        <v>9486</v>
      </c>
      <c r="AA2608" s="74" t="s">
        <v>9501</v>
      </c>
      <c r="AB2608" s="73" t="s">
        <v>9486</v>
      </c>
      <c r="AC2608" s="74" t="s">
        <v>9562</v>
      </c>
      <c r="AD2608" s="73" t="s">
        <v>9578</v>
      </c>
      <c r="AE2608" s="74" t="s">
        <v>9579</v>
      </c>
    </row>
    <row r="2609" spans="1:31" ht="8.65" customHeight="1" x14ac:dyDescent="0.2">
      <c r="A2609" s="76">
        <v>2609</v>
      </c>
      <c r="B2609" s="67" t="str">
        <f>MID(C2609, FIND("Ifc.", C2609) + 4, 4) &amp; "_" &amp; TEXT(COUNTIF($C$2:C2609, C2609),"0000")</f>
        <v>Enum_0009</v>
      </c>
      <c r="C2609" s="23" t="s">
        <v>873</v>
      </c>
      <c r="D2609" s="69" t="s">
        <v>9453</v>
      </c>
      <c r="E2609" s="70" t="s">
        <v>9455</v>
      </c>
      <c r="F2609" s="26" t="s">
        <v>798</v>
      </c>
      <c r="G2609" s="15" t="s">
        <v>798</v>
      </c>
      <c r="H2609" s="14" t="s">
        <v>798</v>
      </c>
      <c r="I2609" s="15" t="s">
        <v>798</v>
      </c>
      <c r="J2609" s="12" t="s">
        <v>9436</v>
      </c>
      <c r="K2609" s="16" t="s">
        <v>2682</v>
      </c>
      <c r="L2609" s="12" t="s">
        <v>800</v>
      </c>
      <c r="M2609" s="16" t="s">
        <v>5599</v>
      </c>
      <c r="N2609" s="19" t="s">
        <v>798</v>
      </c>
      <c r="O2609" s="20" t="s">
        <v>798</v>
      </c>
      <c r="P2609" s="17" t="s">
        <v>802</v>
      </c>
      <c r="Q2609" s="21" t="s">
        <v>8234</v>
      </c>
      <c r="R2609" s="19" t="s">
        <v>798</v>
      </c>
      <c r="S2609" s="20" t="s">
        <v>798</v>
      </c>
      <c r="T2609" s="17" t="s">
        <v>798</v>
      </c>
      <c r="U2609" s="20" t="s">
        <v>798</v>
      </c>
      <c r="V2609" s="26" t="s">
        <v>798</v>
      </c>
      <c r="W2609" s="20" t="s">
        <v>798</v>
      </c>
      <c r="X2609" s="26" t="s">
        <v>798</v>
      </c>
      <c r="Y2609" s="20" t="s">
        <v>798</v>
      </c>
      <c r="Z2609" s="73" t="s">
        <v>9486</v>
      </c>
      <c r="AA2609" s="74" t="s">
        <v>9501</v>
      </c>
      <c r="AB2609" s="73" t="s">
        <v>9486</v>
      </c>
      <c r="AC2609" s="74" t="s">
        <v>9562</v>
      </c>
      <c r="AD2609" s="73" t="s">
        <v>9578</v>
      </c>
      <c r="AE2609" s="74" t="s">
        <v>9579</v>
      </c>
    </row>
    <row r="2610" spans="1:31" ht="8.65" customHeight="1" x14ac:dyDescent="0.2">
      <c r="A2610" s="76">
        <v>2610</v>
      </c>
      <c r="B2610" s="67" t="str">
        <f>MID(C2610, FIND("Ifc.", C2610) + 4, 4) &amp; "_" &amp; TEXT(COUNTIF($C$2:C2610, C2610),"0000")</f>
        <v>Enum_0010</v>
      </c>
      <c r="C2610" s="23" t="s">
        <v>873</v>
      </c>
      <c r="D2610" s="69" t="s">
        <v>9453</v>
      </c>
      <c r="E2610" s="70" t="s">
        <v>9455</v>
      </c>
      <c r="F2610" s="26" t="s">
        <v>798</v>
      </c>
      <c r="G2610" s="15" t="s">
        <v>798</v>
      </c>
      <c r="H2610" s="14" t="s">
        <v>798</v>
      </c>
      <c r="I2610" s="15" t="s">
        <v>798</v>
      </c>
      <c r="J2610" s="12" t="s">
        <v>9436</v>
      </c>
      <c r="K2610" s="16" t="s">
        <v>2683</v>
      </c>
      <c r="L2610" s="12" t="s">
        <v>800</v>
      </c>
      <c r="M2610" s="16" t="s">
        <v>5600</v>
      </c>
      <c r="N2610" s="19" t="s">
        <v>798</v>
      </c>
      <c r="O2610" s="20" t="s">
        <v>798</v>
      </c>
      <c r="P2610" s="17" t="s">
        <v>802</v>
      </c>
      <c r="Q2610" s="21" t="s">
        <v>8235</v>
      </c>
      <c r="R2610" s="19" t="s">
        <v>798</v>
      </c>
      <c r="S2610" s="20" t="s">
        <v>798</v>
      </c>
      <c r="T2610" s="17" t="s">
        <v>798</v>
      </c>
      <c r="U2610" s="20" t="s">
        <v>798</v>
      </c>
      <c r="V2610" s="26" t="s">
        <v>798</v>
      </c>
      <c r="W2610" s="20" t="s">
        <v>798</v>
      </c>
      <c r="X2610" s="26" t="s">
        <v>798</v>
      </c>
      <c r="Y2610" s="20" t="s">
        <v>798</v>
      </c>
      <c r="Z2610" s="73" t="s">
        <v>9486</v>
      </c>
      <c r="AA2610" s="74" t="s">
        <v>9501</v>
      </c>
      <c r="AB2610" s="73" t="s">
        <v>9486</v>
      </c>
      <c r="AC2610" s="74" t="s">
        <v>9562</v>
      </c>
      <c r="AD2610" s="73" t="s">
        <v>9578</v>
      </c>
      <c r="AE2610" s="74" t="s">
        <v>9579</v>
      </c>
    </row>
    <row r="2611" spans="1:31" ht="8.65" customHeight="1" x14ac:dyDescent="0.2">
      <c r="A2611" s="76">
        <v>2611</v>
      </c>
      <c r="B2611" s="67" t="str">
        <f>MID(C2611, FIND("Ifc.", C2611) + 4, 4) &amp; "_" &amp; TEXT(COUNTIF($C$2:C2611, C2611),"0000")</f>
        <v>Enum_0011</v>
      </c>
      <c r="C2611" s="23" t="s">
        <v>873</v>
      </c>
      <c r="D2611" s="69" t="s">
        <v>9453</v>
      </c>
      <c r="E2611" s="70" t="s">
        <v>9455</v>
      </c>
      <c r="F2611" s="26" t="s">
        <v>798</v>
      </c>
      <c r="G2611" s="15" t="s">
        <v>798</v>
      </c>
      <c r="H2611" s="14" t="s">
        <v>798</v>
      </c>
      <c r="I2611" s="15" t="s">
        <v>798</v>
      </c>
      <c r="J2611" s="12" t="s">
        <v>9436</v>
      </c>
      <c r="K2611" s="16" t="s">
        <v>2684</v>
      </c>
      <c r="L2611" s="12" t="s">
        <v>800</v>
      </c>
      <c r="M2611" s="16" t="s">
        <v>5912</v>
      </c>
      <c r="N2611" s="19" t="s">
        <v>798</v>
      </c>
      <c r="O2611" s="20" t="s">
        <v>798</v>
      </c>
      <c r="P2611" s="17" t="s">
        <v>802</v>
      </c>
      <c r="Q2611" s="21" t="s">
        <v>8236</v>
      </c>
      <c r="R2611" s="19" t="s">
        <v>798</v>
      </c>
      <c r="S2611" s="20" t="s">
        <v>798</v>
      </c>
      <c r="T2611" s="17" t="s">
        <v>798</v>
      </c>
      <c r="U2611" s="20" t="s">
        <v>798</v>
      </c>
      <c r="V2611" s="26" t="s">
        <v>798</v>
      </c>
      <c r="W2611" s="20" t="s">
        <v>798</v>
      </c>
      <c r="X2611" s="26" t="s">
        <v>798</v>
      </c>
      <c r="Y2611" s="20" t="s">
        <v>798</v>
      </c>
      <c r="Z2611" s="73" t="s">
        <v>9486</v>
      </c>
      <c r="AA2611" s="74" t="s">
        <v>9501</v>
      </c>
      <c r="AB2611" s="73" t="s">
        <v>9486</v>
      </c>
      <c r="AC2611" s="74" t="s">
        <v>9562</v>
      </c>
      <c r="AD2611" s="73" t="s">
        <v>9578</v>
      </c>
      <c r="AE2611" s="74" t="s">
        <v>9579</v>
      </c>
    </row>
    <row r="2612" spans="1:31" ht="8.65" customHeight="1" x14ac:dyDescent="0.2">
      <c r="A2612" s="76">
        <v>2612</v>
      </c>
      <c r="B2612" s="67" t="str">
        <f>MID(C2612, FIND("Ifc.", C2612) + 4, 4) &amp; "_" &amp; TEXT(COUNTIF($C$2:C2612, C2612),"0000")</f>
        <v>Enum_0012</v>
      </c>
      <c r="C2612" s="23" t="s">
        <v>873</v>
      </c>
      <c r="D2612" s="69" t="s">
        <v>9453</v>
      </c>
      <c r="E2612" s="70" t="s">
        <v>9455</v>
      </c>
      <c r="F2612" s="26" t="s">
        <v>798</v>
      </c>
      <c r="G2612" s="15" t="s">
        <v>798</v>
      </c>
      <c r="H2612" s="14" t="s">
        <v>798</v>
      </c>
      <c r="I2612" s="15" t="s">
        <v>798</v>
      </c>
      <c r="J2612" s="12" t="s">
        <v>9436</v>
      </c>
      <c r="K2612" s="16" t="s">
        <v>2685</v>
      </c>
      <c r="L2612" s="12" t="s">
        <v>800</v>
      </c>
      <c r="M2612" s="16" t="s">
        <v>5913</v>
      </c>
      <c r="N2612" s="19" t="s">
        <v>798</v>
      </c>
      <c r="O2612" s="20" t="s">
        <v>798</v>
      </c>
      <c r="P2612" s="17" t="s">
        <v>802</v>
      </c>
      <c r="Q2612" s="21" t="s">
        <v>8237</v>
      </c>
      <c r="R2612" s="19" t="s">
        <v>798</v>
      </c>
      <c r="S2612" s="20" t="s">
        <v>798</v>
      </c>
      <c r="T2612" s="17" t="s">
        <v>798</v>
      </c>
      <c r="U2612" s="20" t="s">
        <v>798</v>
      </c>
      <c r="V2612" s="26" t="s">
        <v>798</v>
      </c>
      <c r="W2612" s="20" t="s">
        <v>798</v>
      </c>
      <c r="X2612" s="26" t="s">
        <v>798</v>
      </c>
      <c r="Y2612" s="20" t="s">
        <v>798</v>
      </c>
      <c r="Z2612" s="73" t="s">
        <v>9486</v>
      </c>
      <c r="AA2612" s="74" t="s">
        <v>9501</v>
      </c>
      <c r="AB2612" s="73" t="s">
        <v>9486</v>
      </c>
      <c r="AC2612" s="74" t="s">
        <v>9562</v>
      </c>
      <c r="AD2612" s="73" t="s">
        <v>9578</v>
      </c>
      <c r="AE2612" s="74" t="s">
        <v>9579</v>
      </c>
    </row>
    <row r="2613" spans="1:31" ht="8.65" customHeight="1" x14ac:dyDescent="0.2">
      <c r="A2613" s="76">
        <v>2613</v>
      </c>
      <c r="B2613" s="67" t="str">
        <f>MID(C2613, FIND("Ifc.", C2613) + 4, 4) &amp; "_" &amp; TEXT(COUNTIF($C$2:C2613, C2613),"0000")</f>
        <v>Enum_0013</v>
      </c>
      <c r="C2613" s="23" t="s">
        <v>873</v>
      </c>
      <c r="D2613" s="69" t="s">
        <v>9453</v>
      </c>
      <c r="E2613" s="70" t="s">
        <v>9455</v>
      </c>
      <c r="F2613" s="26" t="s">
        <v>798</v>
      </c>
      <c r="G2613" s="15" t="s">
        <v>798</v>
      </c>
      <c r="H2613" s="14" t="s">
        <v>798</v>
      </c>
      <c r="I2613" s="15" t="s">
        <v>798</v>
      </c>
      <c r="J2613" s="12" t="s">
        <v>9436</v>
      </c>
      <c r="K2613" s="16" t="s">
        <v>2686</v>
      </c>
      <c r="L2613" s="12" t="s">
        <v>800</v>
      </c>
      <c r="M2613" s="16" t="s">
        <v>5601</v>
      </c>
      <c r="N2613" s="19" t="s">
        <v>798</v>
      </c>
      <c r="O2613" s="20" t="s">
        <v>798</v>
      </c>
      <c r="P2613" s="17" t="s">
        <v>802</v>
      </c>
      <c r="Q2613" s="21" t="s">
        <v>8238</v>
      </c>
      <c r="R2613" s="19" t="s">
        <v>798</v>
      </c>
      <c r="S2613" s="20" t="s">
        <v>798</v>
      </c>
      <c r="T2613" s="17" t="s">
        <v>798</v>
      </c>
      <c r="U2613" s="20" t="s">
        <v>798</v>
      </c>
      <c r="V2613" s="26" t="s">
        <v>798</v>
      </c>
      <c r="W2613" s="20" t="s">
        <v>798</v>
      </c>
      <c r="X2613" s="26" t="s">
        <v>798</v>
      </c>
      <c r="Y2613" s="20" t="s">
        <v>798</v>
      </c>
      <c r="Z2613" s="73" t="s">
        <v>9486</v>
      </c>
      <c r="AA2613" s="74" t="s">
        <v>9501</v>
      </c>
      <c r="AB2613" s="73" t="s">
        <v>9486</v>
      </c>
      <c r="AC2613" s="74" t="s">
        <v>9562</v>
      </c>
      <c r="AD2613" s="73" t="s">
        <v>9578</v>
      </c>
      <c r="AE2613" s="74" t="s">
        <v>9579</v>
      </c>
    </row>
    <row r="2614" spans="1:31" ht="8.65" customHeight="1" x14ac:dyDescent="0.2">
      <c r="A2614" s="76">
        <v>2614</v>
      </c>
      <c r="B2614" s="67" t="str">
        <f>MID(C2614, FIND("Ifc.", C2614) + 4, 4) &amp; "_" &amp; TEXT(COUNTIF($C$2:C2614, C2614),"0000")</f>
        <v>Enum_0014</v>
      </c>
      <c r="C2614" s="23" t="s">
        <v>873</v>
      </c>
      <c r="D2614" s="69" t="s">
        <v>9453</v>
      </c>
      <c r="E2614" s="70" t="s">
        <v>9455</v>
      </c>
      <c r="F2614" s="26" t="s">
        <v>798</v>
      </c>
      <c r="G2614" s="15" t="s">
        <v>798</v>
      </c>
      <c r="H2614" s="14" t="s">
        <v>798</v>
      </c>
      <c r="I2614" s="15" t="s">
        <v>798</v>
      </c>
      <c r="J2614" s="12" t="s">
        <v>9436</v>
      </c>
      <c r="K2614" s="16" t="s">
        <v>2687</v>
      </c>
      <c r="L2614" s="12" t="s">
        <v>800</v>
      </c>
      <c r="M2614" s="16" t="s">
        <v>5602</v>
      </c>
      <c r="N2614" s="19" t="s">
        <v>798</v>
      </c>
      <c r="O2614" s="20" t="s">
        <v>798</v>
      </c>
      <c r="P2614" s="17" t="s">
        <v>802</v>
      </c>
      <c r="Q2614" s="21" t="s">
        <v>8239</v>
      </c>
      <c r="R2614" s="19" t="s">
        <v>798</v>
      </c>
      <c r="S2614" s="20" t="s">
        <v>798</v>
      </c>
      <c r="T2614" s="17" t="s">
        <v>798</v>
      </c>
      <c r="U2614" s="20" t="s">
        <v>798</v>
      </c>
      <c r="V2614" s="26" t="s">
        <v>798</v>
      </c>
      <c r="W2614" s="20" t="s">
        <v>798</v>
      </c>
      <c r="X2614" s="26" t="s">
        <v>798</v>
      </c>
      <c r="Y2614" s="20" t="s">
        <v>798</v>
      </c>
      <c r="Z2614" s="73" t="s">
        <v>9486</v>
      </c>
      <c r="AA2614" s="74" t="s">
        <v>9501</v>
      </c>
      <c r="AB2614" s="73" t="s">
        <v>9486</v>
      </c>
      <c r="AC2614" s="74" t="s">
        <v>9562</v>
      </c>
      <c r="AD2614" s="73" t="s">
        <v>9578</v>
      </c>
      <c r="AE2614" s="74" t="s">
        <v>9579</v>
      </c>
    </row>
    <row r="2615" spans="1:31" ht="8.65" customHeight="1" x14ac:dyDescent="0.2">
      <c r="A2615" s="76">
        <v>2615</v>
      </c>
      <c r="B2615" s="67" t="str">
        <f>MID(C2615, FIND("Ifc.", C2615) + 4, 4) &amp; "_" &amp; TEXT(COUNTIF($C$2:C2615, C2615),"0000")</f>
        <v>Enum_0015</v>
      </c>
      <c r="C2615" s="23" t="s">
        <v>873</v>
      </c>
      <c r="D2615" s="69" t="s">
        <v>9453</v>
      </c>
      <c r="E2615" s="70" t="s">
        <v>9455</v>
      </c>
      <c r="F2615" s="26" t="s">
        <v>798</v>
      </c>
      <c r="G2615" s="15" t="s">
        <v>798</v>
      </c>
      <c r="H2615" s="14" t="s">
        <v>798</v>
      </c>
      <c r="I2615" s="15" t="s">
        <v>798</v>
      </c>
      <c r="J2615" s="12" t="s">
        <v>9436</v>
      </c>
      <c r="K2615" s="16" t="s">
        <v>2688</v>
      </c>
      <c r="L2615" s="12" t="s">
        <v>800</v>
      </c>
      <c r="M2615" s="16" t="s">
        <v>5603</v>
      </c>
      <c r="N2615" s="19" t="s">
        <v>798</v>
      </c>
      <c r="O2615" s="20" t="s">
        <v>798</v>
      </c>
      <c r="P2615" s="17" t="s">
        <v>802</v>
      </c>
      <c r="Q2615" s="21" t="s">
        <v>8240</v>
      </c>
      <c r="R2615" s="19" t="s">
        <v>798</v>
      </c>
      <c r="S2615" s="20" t="s">
        <v>798</v>
      </c>
      <c r="T2615" s="17" t="s">
        <v>798</v>
      </c>
      <c r="U2615" s="20" t="s">
        <v>798</v>
      </c>
      <c r="V2615" s="26" t="s">
        <v>798</v>
      </c>
      <c r="W2615" s="20" t="s">
        <v>798</v>
      </c>
      <c r="X2615" s="26" t="s">
        <v>798</v>
      </c>
      <c r="Y2615" s="20" t="s">
        <v>798</v>
      </c>
      <c r="Z2615" s="73" t="s">
        <v>9486</v>
      </c>
      <c r="AA2615" s="74" t="s">
        <v>9501</v>
      </c>
      <c r="AB2615" s="73" t="s">
        <v>9486</v>
      </c>
      <c r="AC2615" s="74" t="s">
        <v>9562</v>
      </c>
      <c r="AD2615" s="73" t="s">
        <v>9578</v>
      </c>
      <c r="AE2615" s="74" t="s">
        <v>9579</v>
      </c>
    </row>
    <row r="2616" spans="1:31" ht="8.65" customHeight="1" x14ac:dyDescent="0.2">
      <c r="A2616" s="76">
        <v>2616</v>
      </c>
      <c r="B2616" s="67" t="str">
        <f>MID(C2616, FIND("Ifc.", C2616) + 4, 4) &amp; "_" &amp; TEXT(COUNTIF($C$2:C2616, C2616),"0000")</f>
        <v>Enum_0016</v>
      </c>
      <c r="C2616" s="23" t="s">
        <v>873</v>
      </c>
      <c r="D2616" s="69" t="s">
        <v>9453</v>
      </c>
      <c r="E2616" s="70" t="s">
        <v>9455</v>
      </c>
      <c r="F2616" s="26" t="s">
        <v>798</v>
      </c>
      <c r="G2616" s="15" t="s">
        <v>798</v>
      </c>
      <c r="H2616" s="14" t="s">
        <v>798</v>
      </c>
      <c r="I2616" s="15" t="s">
        <v>798</v>
      </c>
      <c r="J2616" s="12" t="s">
        <v>9436</v>
      </c>
      <c r="K2616" s="16" t="s">
        <v>2689</v>
      </c>
      <c r="L2616" s="12" t="s">
        <v>800</v>
      </c>
      <c r="M2616" s="16" t="s">
        <v>5604</v>
      </c>
      <c r="N2616" s="19" t="s">
        <v>798</v>
      </c>
      <c r="O2616" s="20" t="s">
        <v>798</v>
      </c>
      <c r="P2616" s="17" t="s">
        <v>802</v>
      </c>
      <c r="Q2616" s="21" t="s">
        <v>8241</v>
      </c>
      <c r="R2616" s="19" t="s">
        <v>798</v>
      </c>
      <c r="S2616" s="20" t="s">
        <v>798</v>
      </c>
      <c r="T2616" s="17" t="s">
        <v>798</v>
      </c>
      <c r="U2616" s="20" t="s">
        <v>798</v>
      </c>
      <c r="V2616" s="26" t="s">
        <v>798</v>
      </c>
      <c r="W2616" s="20" t="s">
        <v>798</v>
      </c>
      <c r="X2616" s="26" t="s">
        <v>798</v>
      </c>
      <c r="Y2616" s="20" t="s">
        <v>798</v>
      </c>
      <c r="Z2616" s="73" t="s">
        <v>9486</v>
      </c>
      <c r="AA2616" s="74" t="s">
        <v>9501</v>
      </c>
      <c r="AB2616" s="73" t="s">
        <v>9486</v>
      </c>
      <c r="AC2616" s="74" t="s">
        <v>9562</v>
      </c>
      <c r="AD2616" s="73" t="s">
        <v>9578</v>
      </c>
      <c r="AE2616" s="74" t="s">
        <v>9579</v>
      </c>
    </row>
    <row r="2617" spans="1:31" ht="8.65" customHeight="1" x14ac:dyDescent="0.2">
      <c r="A2617" s="76">
        <v>2617</v>
      </c>
      <c r="B2617" s="67" t="str">
        <f>MID(C2617, FIND("Ifc.", C2617) + 4, 4) &amp; "_" &amp; TEXT(COUNTIF($C$2:C2617, C2617),"0000")</f>
        <v>Enum_0017</v>
      </c>
      <c r="C2617" s="23" t="s">
        <v>873</v>
      </c>
      <c r="D2617" s="69" t="s">
        <v>9453</v>
      </c>
      <c r="E2617" s="70" t="s">
        <v>9455</v>
      </c>
      <c r="F2617" s="26" t="s">
        <v>798</v>
      </c>
      <c r="G2617" s="15" t="s">
        <v>798</v>
      </c>
      <c r="H2617" s="14" t="s">
        <v>798</v>
      </c>
      <c r="I2617" s="15" t="s">
        <v>798</v>
      </c>
      <c r="J2617" s="12" t="s">
        <v>9436</v>
      </c>
      <c r="K2617" s="16" t="s">
        <v>2690</v>
      </c>
      <c r="L2617" s="12" t="s">
        <v>800</v>
      </c>
      <c r="M2617" s="16" t="s">
        <v>5605</v>
      </c>
      <c r="N2617" s="19" t="s">
        <v>798</v>
      </c>
      <c r="O2617" s="20" t="s">
        <v>798</v>
      </c>
      <c r="P2617" s="17" t="s">
        <v>802</v>
      </c>
      <c r="Q2617" s="21" t="s">
        <v>8242</v>
      </c>
      <c r="R2617" s="19" t="s">
        <v>798</v>
      </c>
      <c r="S2617" s="20" t="s">
        <v>798</v>
      </c>
      <c r="T2617" s="17" t="s">
        <v>798</v>
      </c>
      <c r="U2617" s="20" t="s">
        <v>798</v>
      </c>
      <c r="V2617" s="26" t="s">
        <v>798</v>
      </c>
      <c r="W2617" s="20" t="s">
        <v>798</v>
      </c>
      <c r="X2617" s="26" t="s">
        <v>798</v>
      </c>
      <c r="Y2617" s="20" t="s">
        <v>798</v>
      </c>
      <c r="Z2617" s="73" t="s">
        <v>9486</v>
      </c>
      <c r="AA2617" s="74" t="s">
        <v>9501</v>
      </c>
      <c r="AB2617" s="73" t="s">
        <v>9486</v>
      </c>
      <c r="AC2617" s="74" t="s">
        <v>9562</v>
      </c>
      <c r="AD2617" s="73" t="s">
        <v>9578</v>
      </c>
      <c r="AE2617" s="74" t="s">
        <v>9579</v>
      </c>
    </row>
    <row r="2618" spans="1:31" ht="8.65" customHeight="1" x14ac:dyDescent="0.2">
      <c r="A2618" s="76">
        <v>2618</v>
      </c>
      <c r="B2618" s="67" t="str">
        <f>MID(C2618, FIND("Ifc.", C2618) + 4, 4) &amp; "_" &amp; TEXT(COUNTIF($C$2:C2618, C2618),"0000")</f>
        <v>Enum_0018</v>
      </c>
      <c r="C2618" s="23" t="s">
        <v>873</v>
      </c>
      <c r="D2618" s="69" t="s">
        <v>9453</v>
      </c>
      <c r="E2618" s="70" t="s">
        <v>9455</v>
      </c>
      <c r="F2618" s="26" t="s">
        <v>798</v>
      </c>
      <c r="G2618" s="15" t="s">
        <v>798</v>
      </c>
      <c r="H2618" s="14" t="s">
        <v>798</v>
      </c>
      <c r="I2618" s="15" t="s">
        <v>798</v>
      </c>
      <c r="J2618" s="12" t="s">
        <v>9436</v>
      </c>
      <c r="K2618" s="16" t="s">
        <v>2691</v>
      </c>
      <c r="L2618" s="12" t="s">
        <v>800</v>
      </c>
      <c r="M2618" s="16" t="s">
        <v>5606</v>
      </c>
      <c r="N2618" s="19" t="s">
        <v>798</v>
      </c>
      <c r="O2618" s="20" t="s">
        <v>798</v>
      </c>
      <c r="P2618" s="17" t="s">
        <v>802</v>
      </c>
      <c r="Q2618" s="21" t="s">
        <v>8243</v>
      </c>
      <c r="R2618" s="19" t="s">
        <v>798</v>
      </c>
      <c r="S2618" s="20" t="s">
        <v>798</v>
      </c>
      <c r="T2618" s="17" t="s">
        <v>798</v>
      </c>
      <c r="U2618" s="20" t="s">
        <v>798</v>
      </c>
      <c r="V2618" s="26" t="s">
        <v>798</v>
      </c>
      <c r="W2618" s="20" t="s">
        <v>798</v>
      </c>
      <c r="X2618" s="26" t="s">
        <v>798</v>
      </c>
      <c r="Y2618" s="20" t="s">
        <v>798</v>
      </c>
      <c r="Z2618" s="73" t="s">
        <v>9486</v>
      </c>
      <c r="AA2618" s="74" t="s">
        <v>9501</v>
      </c>
      <c r="AB2618" s="73" t="s">
        <v>9486</v>
      </c>
      <c r="AC2618" s="74" t="s">
        <v>9562</v>
      </c>
      <c r="AD2618" s="73" t="s">
        <v>9578</v>
      </c>
      <c r="AE2618" s="74" t="s">
        <v>9579</v>
      </c>
    </row>
    <row r="2619" spans="1:31" ht="8.65" customHeight="1" x14ac:dyDescent="0.2">
      <c r="A2619" s="76">
        <v>2619</v>
      </c>
      <c r="B2619" s="67" t="str">
        <f>MID(C2619, FIND("Ifc.", C2619) + 4, 4) &amp; "_" &amp; TEXT(COUNTIF($C$2:C2619, C2619),"0000")</f>
        <v>Enum_0019</v>
      </c>
      <c r="C2619" s="23" t="s">
        <v>873</v>
      </c>
      <c r="D2619" s="69" t="s">
        <v>9453</v>
      </c>
      <c r="E2619" s="70" t="s">
        <v>9455</v>
      </c>
      <c r="F2619" s="26" t="s">
        <v>798</v>
      </c>
      <c r="G2619" s="15" t="s">
        <v>798</v>
      </c>
      <c r="H2619" s="14" t="s">
        <v>798</v>
      </c>
      <c r="I2619" s="15" t="s">
        <v>798</v>
      </c>
      <c r="J2619" s="12" t="s">
        <v>9436</v>
      </c>
      <c r="K2619" s="16" t="s">
        <v>2692</v>
      </c>
      <c r="L2619" s="12" t="s">
        <v>800</v>
      </c>
      <c r="M2619" s="16" t="s">
        <v>5607</v>
      </c>
      <c r="N2619" s="19" t="s">
        <v>798</v>
      </c>
      <c r="O2619" s="20" t="s">
        <v>798</v>
      </c>
      <c r="P2619" s="17" t="s">
        <v>802</v>
      </c>
      <c r="Q2619" s="21" t="s">
        <v>8244</v>
      </c>
      <c r="R2619" s="19" t="s">
        <v>798</v>
      </c>
      <c r="S2619" s="20" t="s">
        <v>798</v>
      </c>
      <c r="T2619" s="17" t="s">
        <v>798</v>
      </c>
      <c r="U2619" s="20" t="s">
        <v>798</v>
      </c>
      <c r="V2619" s="26" t="s">
        <v>798</v>
      </c>
      <c r="W2619" s="20" t="s">
        <v>798</v>
      </c>
      <c r="X2619" s="26" t="s">
        <v>798</v>
      </c>
      <c r="Y2619" s="20" t="s">
        <v>798</v>
      </c>
      <c r="Z2619" s="73" t="s">
        <v>9486</v>
      </c>
      <c r="AA2619" s="74" t="s">
        <v>9501</v>
      </c>
      <c r="AB2619" s="73" t="s">
        <v>9486</v>
      </c>
      <c r="AC2619" s="74" t="s">
        <v>9562</v>
      </c>
      <c r="AD2619" s="73" t="s">
        <v>9578</v>
      </c>
      <c r="AE2619" s="74" t="s">
        <v>9579</v>
      </c>
    </row>
    <row r="2620" spans="1:31" ht="8.65" customHeight="1" x14ac:dyDescent="0.2">
      <c r="A2620" s="76">
        <v>2620</v>
      </c>
      <c r="B2620" s="67" t="str">
        <f>MID(C2620, FIND("Ifc.", C2620) + 4, 4) &amp; "_" &amp; TEXT(COUNTIF($C$2:C2620, C2620),"0000")</f>
        <v>Enum_0020</v>
      </c>
      <c r="C2620" s="23" t="s">
        <v>873</v>
      </c>
      <c r="D2620" s="69" t="s">
        <v>9453</v>
      </c>
      <c r="E2620" s="70" t="s">
        <v>9455</v>
      </c>
      <c r="F2620" s="26" t="s">
        <v>798</v>
      </c>
      <c r="G2620" s="15" t="s">
        <v>798</v>
      </c>
      <c r="H2620" s="14" t="s">
        <v>798</v>
      </c>
      <c r="I2620" s="15" t="s">
        <v>798</v>
      </c>
      <c r="J2620" s="12" t="s">
        <v>9436</v>
      </c>
      <c r="K2620" s="16" t="s">
        <v>2693</v>
      </c>
      <c r="L2620" s="12" t="s">
        <v>800</v>
      </c>
      <c r="M2620" s="16" t="s">
        <v>5608</v>
      </c>
      <c r="N2620" s="19" t="s">
        <v>798</v>
      </c>
      <c r="O2620" s="20" t="s">
        <v>798</v>
      </c>
      <c r="P2620" s="17" t="s">
        <v>802</v>
      </c>
      <c r="Q2620" s="21" t="s">
        <v>8245</v>
      </c>
      <c r="R2620" s="19" t="s">
        <v>798</v>
      </c>
      <c r="S2620" s="20" t="s">
        <v>798</v>
      </c>
      <c r="T2620" s="17" t="s">
        <v>798</v>
      </c>
      <c r="U2620" s="20" t="s">
        <v>798</v>
      </c>
      <c r="V2620" s="26" t="s">
        <v>798</v>
      </c>
      <c r="W2620" s="20" t="s">
        <v>798</v>
      </c>
      <c r="X2620" s="26" t="s">
        <v>798</v>
      </c>
      <c r="Y2620" s="20" t="s">
        <v>798</v>
      </c>
      <c r="Z2620" s="73" t="s">
        <v>9486</v>
      </c>
      <c r="AA2620" s="74" t="s">
        <v>9501</v>
      </c>
      <c r="AB2620" s="73" t="s">
        <v>9486</v>
      </c>
      <c r="AC2620" s="74" t="s">
        <v>9562</v>
      </c>
      <c r="AD2620" s="73" t="s">
        <v>9578</v>
      </c>
      <c r="AE2620" s="74" t="s">
        <v>9579</v>
      </c>
    </row>
    <row r="2621" spans="1:31" ht="8.65" customHeight="1" x14ac:dyDescent="0.2">
      <c r="A2621" s="76">
        <v>2621</v>
      </c>
      <c r="B2621" s="67" t="str">
        <f>MID(C2621, FIND("Ifc.", C2621) + 4, 4) &amp; "_" &amp; TEXT(COUNTIF($C$2:C2621, C2621),"0000")</f>
        <v>Enum_0021</v>
      </c>
      <c r="C2621" s="23" t="s">
        <v>873</v>
      </c>
      <c r="D2621" s="69" t="s">
        <v>9453</v>
      </c>
      <c r="E2621" s="70" t="s">
        <v>9455</v>
      </c>
      <c r="F2621" s="26" t="s">
        <v>798</v>
      </c>
      <c r="G2621" s="15" t="s">
        <v>798</v>
      </c>
      <c r="H2621" s="14" t="s">
        <v>798</v>
      </c>
      <c r="I2621" s="15" t="s">
        <v>798</v>
      </c>
      <c r="J2621" s="12" t="s">
        <v>9436</v>
      </c>
      <c r="K2621" s="16" t="s">
        <v>2694</v>
      </c>
      <c r="L2621" s="12" t="s">
        <v>800</v>
      </c>
      <c r="M2621" s="16" t="s">
        <v>5877</v>
      </c>
      <c r="N2621" s="19" t="s">
        <v>798</v>
      </c>
      <c r="O2621" s="20" t="s">
        <v>798</v>
      </c>
      <c r="P2621" s="17" t="s">
        <v>802</v>
      </c>
      <c r="Q2621" s="21" t="s">
        <v>8246</v>
      </c>
      <c r="R2621" s="19" t="s">
        <v>798</v>
      </c>
      <c r="S2621" s="20" t="s">
        <v>798</v>
      </c>
      <c r="T2621" s="17" t="s">
        <v>798</v>
      </c>
      <c r="U2621" s="20" t="s">
        <v>798</v>
      </c>
      <c r="V2621" s="26" t="s">
        <v>798</v>
      </c>
      <c r="W2621" s="20" t="s">
        <v>798</v>
      </c>
      <c r="X2621" s="26" t="s">
        <v>798</v>
      </c>
      <c r="Y2621" s="20" t="s">
        <v>798</v>
      </c>
      <c r="Z2621" s="73" t="s">
        <v>9486</v>
      </c>
      <c r="AA2621" s="74" t="s">
        <v>9501</v>
      </c>
      <c r="AB2621" s="73" t="s">
        <v>9486</v>
      </c>
      <c r="AC2621" s="74" t="s">
        <v>9562</v>
      </c>
      <c r="AD2621" s="73" t="s">
        <v>9578</v>
      </c>
      <c r="AE2621" s="74" t="s">
        <v>9579</v>
      </c>
    </row>
    <row r="2622" spans="1:31" ht="8.65" customHeight="1" x14ac:dyDescent="0.2">
      <c r="A2622" s="76">
        <v>2622</v>
      </c>
      <c r="B2622" s="67" t="str">
        <f>MID(C2622, FIND("Ifc.", C2622) + 4, 4) &amp; "_" &amp; TEXT(COUNTIF($C$2:C2622, C2622),"0000")</f>
        <v>Enum_0022</v>
      </c>
      <c r="C2622" s="23" t="s">
        <v>873</v>
      </c>
      <c r="D2622" s="69" t="s">
        <v>9453</v>
      </c>
      <c r="E2622" s="70" t="s">
        <v>9455</v>
      </c>
      <c r="F2622" s="26" t="s">
        <v>798</v>
      </c>
      <c r="G2622" s="15" t="s">
        <v>798</v>
      </c>
      <c r="H2622" s="14" t="s">
        <v>798</v>
      </c>
      <c r="I2622" s="15" t="s">
        <v>798</v>
      </c>
      <c r="J2622" s="12" t="s">
        <v>9436</v>
      </c>
      <c r="K2622" s="16" t="s">
        <v>2695</v>
      </c>
      <c r="L2622" s="12" t="s">
        <v>800</v>
      </c>
      <c r="M2622" s="16" t="s">
        <v>5609</v>
      </c>
      <c r="N2622" s="19" t="s">
        <v>798</v>
      </c>
      <c r="O2622" s="20" t="s">
        <v>798</v>
      </c>
      <c r="P2622" s="17" t="s">
        <v>802</v>
      </c>
      <c r="Q2622" s="21" t="s">
        <v>8247</v>
      </c>
      <c r="R2622" s="19" t="s">
        <v>798</v>
      </c>
      <c r="S2622" s="20" t="s">
        <v>798</v>
      </c>
      <c r="T2622" s="17" t="s">
        <v>798</v>
      </c>
      <c r="U2622" s="20" t="s">
        <v>798</v>
      </c>
      <c r="V2622" s="26" t="s">
        <v>798</v>
      </c>
      <c r="W2622" s="20" t="s">
        <v>798</v>
      </c>
      <c r="X2622" s="26" t="s">
        <v>798</v>
      </c>
      <c r="Y2622" s="20" t="s">
        <v>798</v>
      </c>
      <c r="Z2622" s="73" t="s">
        <v>9486</v>
      </c>
      <c r="AA2622" s="74" t="s">
        <v>9501</v>
      </c>
      <c r="AB2622" s="73" t="s">
        <v>9486</v>
      </c>
      <c r="AC2622" s="74" t="s">
        <v>9562</v>
      </c>
      <c r="AD2622" s="73" t="s">
        <v>9578</v>
      </c>
      <c r="AE2622" s="74" t="s">
        <v>9579</v>
      </c>
    </row>
    <row r="2623" spans="1:31" ht="8.65" customHeight="1" x14ac:dyDescent="0.2">
      <c r="A2623" s="76">
        <v>2623</v>
      </c>
      <c r="B2623" s="67" t="str">
        <f>MID(C2623, FIND("Ifc.", C2623) + 4, 4) &amp; "_" &amp; TEXT(COUNTIF($C$2:C2623, C2623),"0000")</f>
        <v>Enum_0023</v>
      </c>
      <c r="C2623" s="23" t="s">
        <v>873</v>
      </c>
      <c r="D2623" s="69" t="s">
        <v>9453</v>
      </c>
      <c r="E2623" s="70" t="s">
        <v>9455</v>
      </c>
      <c r="F2623" s="26" t="s">
        <v>798</v>
      </c>
      <c r="G2623" s="15" t="s">
        <v>798</v>
      </c>
      <c r="H2623" s="14" t="s">
        <v>798</v>
      </c>
      <c r="I2623" s="15" t="s">
        <v>798</v>
      </c>
      <c r="J2623" s="12" t="s">
        <v>9436</v>
      </c>
      <c r="K2623" s="16" t="s">
        <v>2696</v>
      </c>
      <c r="L2623" s="12" t="s">
        <v>800</v>
      </c>
      <c r="M2623" s="16" t="s">
        <v>5610</v>
      </c>
      <c r="N2623" s="19" t="s">
        <v>798</v>
      </c>
      <c r="O2623" s="20" t="s">
        <v>798</v>
      </c>
      <c r="P2623" s="17" t="s">
        <v>802</v>
      </c>
      <c r="Q2623" s="21" t="s">
        <v>8248</v>
      </c>
      <c r="R2623" s="19" t="s">
        <v>798</v>
      </c>
      <c r="S2623" s="20" t="s">
        <v>798</v>
      </c>
      <c r="T2623" s="17" t="s">
        <v>798</v>
      </c>
      <c r="U2623" s="20" t="s">
        <v>798</v>
      </c>
      <c r="V2623" s="26" t="s">
        <v>798</v>
      </c>
      <c r="W2623" s="20" t="s">
        <v>798</v>
      </c>
      <c r="X2623" s="26" t="s">
        <v>798</v>
      </c>
      <c r="Y2623" s="20" t="s">
        <v>798</v>
      </c>
      <c r="Z2623" s="73" t="s">
        <v>9486</v>
      </c>
      <c r="AA2623" s="74" t="s">
        <v>9501</v>
      </c>
      <c r="AB2623" s="73" t="s">
        <v>9486</v>
      </c>
      <c r="AC2623" s="74" t="s">
        <v>9562</v>
      </c>
      <c r="AD2623" s="73" t="s">
        <v>9578</v>
      </c>
      <c r="AE2623" s="74" t="s">
        <v>9579</v>
      </c>
    </row>
    <row r="2624" spans="1:31" ht="8.65" customHeight="1" x14ac:dyDescent="0.2">
      <c r="A2624" s="76">
        <v>2624</v>
      </c>
      <c r="B2624" s="67" t="str">
        <f>MID(C2624, FIND("Ifc.", C2624) + 4, 4) &amp; "_" &amp; TEXT(COUNTIF($C$2:C2624, C2624),"0000")</f>
        <v>Enum_0024</v>
      </c>
      <c r="C2624" s="23" t="s">
        <v>873</v>
      </c>
      <c r="D2624" s="69" t="s">
        <v>9453</v>
      </c>
      <c r="E2624" s="70" t="s">
        <v>9455</v>
      </c>
      <c r="F2624" s="26" t="s">
        <v>798</v>
      </c>
      <c r="G2624" s="15" t="s">
        <v>798</v>
      </c>
      <c r="H2624" s="14" t="s">
        <v>798</v>
      </c>
      <c r="I2624" s="15" t="s">
        <v>798</v>
      </c>
      <c r="J2624" s="12" t="s">
        <v>9436</v>
      </c>
      <c r="K2624" s="16" t="s">
        <v>2697</v>
      </c>
      <c r="L2624" s="12" t="s">
        <v>800</v>
      </c>
      <c r="M2624" s="16" t="s">
        <v>5611</v>
      </c>
      <c r="N2624" s="19" t="s">
        <v>798</v>
      </c>
      <c r="O2624" s="20" t="s">
        <v>798</v>
      </c>
      <c r="P2624" s="17" t="s">
        <v>802</v>
      </c>
      <c r="Q2624" s="21" t="s">
        <v>8249</v>
      </c>
      <c r="R2624" s="19" t="s">
        <v>798</v>
      </c>
      <c r="S2624" s="20" t="s">
        <v>798</v>
      </c>
      <c r="T2624" s="17" t="s">
        <v>798</v>
      </c>
      <c r="U2624" s="20" t="s">
        <v>798</v>
      </c>
      <c r="V2624" s="26" t="s">
        <v>798</v>
      </c>
      <c r="W2624" s="20" t="s">
        <v>798</v>
      </c>
      <c r="X2624" s="26" t="s">
        <v>798</v>
      </c>
      <c r="Y2624" s="20" t="s">
        <v>798</v>
      </c>
      <c r="Z2624" s="73" t="s">
        <v>9486</v>
      </c>
      <c r="AA2624" s="74" t="s">
        <v>9501</v>
      </c>
      <c r="AB2624" s="73" t="s">
        <v>9486</v>
      </c>
      <c r="AC2624" s="74" t="s">
        <v>9562</v>
      </c>
      <c r="AD2624" s="73" t="s">
        <v>9578</v>
      </c>
      <c r="AE2624" s="74" t="s">
        <v>9579</v>
      </c>
    </row>
    <row r="2625" spans="1:31" ht="8.65" customHeight="1" x14ac:dyDescent="0.2">
      <c r="A2625" s="76">
        <v>2625</v>
      </c>
      <c r="B2625" s="67" t="str">
        <f>MID(C2625, FIND("Ifc.", C2625) + 4, 4) &amp; "_" &amp; TEXT(COUNTIF($C$2:C2625, C2625),"0000")</f>
        <v>Enum_0025</v>
      </c>
      <c r="C2625" s="23" t="s">
        <v>873</v>
      </c>
      <c r="D2625" s="69" t="s">
        <v>9453</v>
      </c>
      <c r="E2625" s="70" t="s">
        <v>9455</v>
      </c>
      <c r="F2625" s="26" t="s">
        <v>798</v>
      </c>
      <c r="G2625" s="15" t="s">
        <v>798</v>
      </c>
      <c r="H2625" s="14" t="s">
        <v>798</v>
      </c>
      <c r="I2625" s="15" t="s">
        <v>798</v>
      </c>
      <c r="J2625" s="12" t="s">
        <v>9436</v>
      </c>
      <c r="K2625" s="16" t="s">
        <v>2698</v>
      </c>
      <c r="L2625" s="12" t="s">
        <v>800</v>
      </c>
      <c r="M2625" s="16" t="s">
        <v>5612</v>
      </c>
      <c r="N2625" s="19" t="s">
        <v>798</v>
      </c>
      <c r="O2625" s="20" t="s">
        <v>798</v>
      </c>
      <c r="P2625" s="17" t="s">
        <v>802</v>
      </c>
      <c r="Q2625" s="21" t="s">
        <v>8250</v>
      </c>
      <c r="R2625" s="19" t="s">
        <v>798</v>
      </c>
      <c r="S2625" s="20" t="s">
        <v>798</v>
      </c>
      <c r="T2625" s="17" t="s">
        <v>798</v>
      </c>
      <c r="U2625" s="20" t="s">
        <v>798</v>
      </c>
      <c r="V2625" s="26" t="s">
        <v>798</v>
      </c>
      <c r="W2625" s="20" t="s">
        <v>798</v>
      </c>
      <c r="X2625" s="26" t="s">
        <v>798</v>
      </c>
      <c r="Y2625" s="20" t="s">
        <v>798</v>
      </c>
      <c r="Z2625" s="73" t="s">
        <v>9486</v>
      </c>
      <c r="AA2625" s="74" t="s">
        <v>9501</v>
      </c>
      <c r="AB2625" s="73" t="s">
        <v>9486</v>
      </c>
      <c r="AC2625" s="74" t="s">
        <v>9562</v>
      </c>
      <c r="AD2625" s="73" t="s">
        <v>9578</v>
      </c>
      <c r="AE2625" s="74" t="s">
        <v>9579</v>
      </c>
    </row>
    <row r="2626" spans="1:31" ht="8.65" customHeight="1" x14ac:dyDescent="0.2">
      <c r="A2626" s="76">
        <v>2626</v>
      </c>
      <c r="B2626" s="67" t="str">
        <f>MID(C2626, FIND("Ifc.", C2626) + 4, 4) &amp; "_" &amp; TEXT(COUNTIF($C$2:C2626, C2626),"0000")</f>
        <v>Enum_0026</v>
      </c>
      <c r="C2626" s="23" t="s">
        <v>873</v>
      </c>
      <c r="D2626" s="69" t="s">
        <v>9453</v>
      </c>
      <c r="E2626" s="70" t="s">
        <v>9455</v>
      </c>
      <c r="F2626" s="26" t="s">
        <v>798</v>
      </c>
      <c r="G2626" s="15" t="s">
        <v>798</v>
      </c>
      <c r="H2626" s="14" t="s">
        <v>798</v>
      </c>
      <c r="I2626" s="15" t="s">
        <v>798</v>
      </c>
      <c r="J2626" s="12" t="s">
        <v>9436</v>
      </c>
      <c r="K2626" s="16" t="s">
        <v>2699</v>
      </c>
      <c r="L2626" s="12" t="s">
        <v>800</v>
      </c>
      <c r="M2626" s="16" t="s">
        <v>5613</v>
      </c>
      <c r="N2626" s="19" t="s">
        <v>798</v>
      </c>
      <c r="O2626" s="20" t="s">
        <v>798</v>
      </c>
      <c r="P2626" s="17" t="s">
        <v>802</v>
      </c>
      <c r="Q2626" s="21" t="s">
        <v>8251</v>
      </c>
      <c r="R2626" s="19" t="s">
        <v>798</v>
      </c>
      <c r="S2626" s="20" t="s">
        <v>798</v>
      </c>
      <c r="T2626" s="17" t="s">
        <v>798</v>
      </c>
      <c r="U2626" s="20" t="s">
        <v>798</v>
      </c>
      <c r="V2626" s="26" t="s">
        <v>798</v>
      </c>
      <c r="W2626" s="20" t="s">
        <v>798</v>
      </c>
      <c r="X2626" s="26" t="s">
        <v>798</v>
      </c>
      <c r="Y2626" s="20" t="s">
        <v>798</v>
      </c>
      <c r="Z2626" s="73" t="s">
        <v>9486</v>
      </c>
      <c r="AA2626" s="74" t="s">
        <v>9501</v>
      </c>
      <c r="AB2626" s="73" t="s">
        <v>9486</v>
      </c>
      <c r="AC2626" s="74" t="s">
        <v>9562</v>
      </c>
      <c r="AD2626" s="73" t="s">
        <v>9578</v>
      </c>
      <c r="AE2626" s="74" t="s">
        <v>9667</v>
      </c>
    </row>
    <row r="2627" spans="1:31" ht="8.65" customHeight="1" x14ac:dyDescent="0.2">
      <c r="A2627" s="76">
        <v>2627</v>
      </c>
      <c r="B2627" s="67" t="str">
        <f>MID(C2627, FIND("Ifc.", C2627) + 4, 4) &amp; "_" &amp; TEXT(COUNTIF($C$2:C2627, C2627),"0000")</f>
        <v>Enum_0027</v>
      </c>
      <c r="C2627" s="23" t="s">
        <v>873</v>
      </c>
      <c r="D2627" s="69" t="s">
        <v>9453</v>
      </c>
      <c r="E2627" s="70" t="s">
        <v>9455</v>
      </c>
      <c r="F2627" s="26" t="s">
        <v>798</v>
      </c>
      <c r="G2627" s="15" t="s">
        <v>798</v>
      </c>
      <c r="H2627" s="14" t="s">
        <v>798</v>
      </c>
      <c r="I2627" s="15" t="s">
        <v>798</v>
      </c>
      <c r="J2627" s="12" t="s">
        <v>9436</v>
      </c>
      <c r="K2627" s="16" t="s">
        <v>2700</v>
      </c>
      <c r="L2627" s="12" t="s">
        <v>800</v>
      </c>
      <c r="M2627" s="16" t="s">
        <v>5614</v>
      </c>
      <c r="N2627" s="19" t="s">
        <v>798</v>
      </c>
      <c r="O2627" s="20" t="s">
        <v>798</v>
      </c>
      <c r="P2627" s="17" t="s">
        <v>802</v>
      </c>
      <c r="Q2627" s="21" t="s">
        <v>8252</v>
      </c>
      <c r="R2627" s="19" t="s">
        <v>798</v>
      </c>
      <c r="S2627" s="20" t="s">
        <v>798</v>
      </c>
      <c r="T2627" s="17" t="s">
        <v>798</v>
      </c>
      <c r="U2627" s="20" t="s">
        <v>798</v>
      </c>
      <c r="V2627" s="26" t="s">
        <v>798</v>
      </c>
      <c r="W2627" s="20" t="s">
        <v>798</v>
      </c>
      <c r="X2627" s="26" t="s">
        <v>798</v>
      </c>
      <c r="Y2627" s="20" t="s">
        <v>798</v>
      </c>
      <c r="Z2627" s="73" t="s">
        <v>9486</v>
      </c>
      <c r="AA2627" s="74" t="s">
        <v>9501</v>
      </c>
      <c r="AB2627" s="73" t="s">
        <v>9486</v>
      </c>
      <c r="AC2627" s="74" t="s">
        <v>9562</v>
      </c>
      <c r="AD2627" s="73" t="s">
        <v>9578</v>
      </c>
      <c r="AE2627" s="74" t="s">
        <v>9579</v>
      </c>
    </row>
    <row r="2628" spans="1:31" ht="8.65" customHeight="1" x14ac:dyDescent="0.2">
      <c r="A2628" s="76">
        <v>2628</v>
      </c>
      <c r="B2628" s="67" t="str">
        <f>MID(C2628, FIND("Ifc.", C2628) + 4, 4) &amp; "_" &amp; TEXT(COUNTIF($C$2:C2628, C2628),"0000")</f>
        <v>Enum_0028</v>
      </c>
      <c r="C2628" s="23" t="s">
        <v>873</v>
      </c>
      <c r="D2628" s="69" t="s">
        <v>9453</v>
      </c>
      <c r="E2628" s="70" t="s">
        <v>9455</v>
      </c>
      <c r="F2628" s="26" t="s">
        <v>798</v>
      </c>
      <c r="G2628" s="15" t="s">
        <v>798</v>
      </c>
      <c r="H2628" s="14" t="s">
        <v>798</v>
      </c>
      <c r="I2628" s="15" t="s">
        <v>798</v>
      </c>
      <c r="J2628" s="12" t="s">
        <v>9436</v>
      </c>
      <c r="K2628" s="16" t="s">
        <v>2701</v>
      </c>
      <c r="L2628" s="12" t="s">
        <v>800</v>
      </c>
      <c r="M2628" s="16" t="s">
        <v>5615</v>
      </c>
      <c r="N2628" s="19" t="s">
        <v>798</v>
      </c>
      <c r="O2628" s="20" t="s">
        <v>798</v>
      </c>
      <c r="P2628" s="17" t="s">
        <v>802</v>
      </c>
      <c r="Q2628" s="21" t="s">
        <v>8253</v>
      </c>
      <c r="R2628" s="19" t="s">
        <v>798</v>
      </c>
      <c r="S2628" s="20" t="s">
        <v>798</v>
      </c>
      <c r="T2628" s="17" t="s">
        <v>798</v>
      </c>
      <c r="U2628" s="20" t="s">
        <v>798</v>
      </c>
      <c r="V2628" s="26" t="s">
        <v>798</v>
      </c>
      <c r="W2628" s="20" t="s">
        <v>798</v>
      </c>
      <c r="X2628" s="26" t="s">
        <v>798</v>
      </c>
      <c r="Y2628" s="20" t="s">
        <v>798</v>
      </c>
      <c r="Z2628" s="73" t="s">
        <v>9486</v>
      </c>
      <c r="AA2628" s="74" t="s">
        <v>9501</v>
      </c>
      <c r="AB2628" s="73" t="s">
        <v>9486</v>
      </c>
      <c r="AC2628" s="74" t="s">
        <v>9562</v>
      </c>
      <c r="AD2628" s="73" t="s">
        <v>9578</v>
      </c>
      <c r="AE2628" s="74" t="s">
        <v>9579</v>
      </c>
    </row>
    <row r="2629" spans="1:31" ht="8.65" customHeight="1" x14ac:dyDescent="0.2">
      <c r="A2629" s="76">
        <v>2629</v>
      </c>
      <c r="B2629" s="67" t="str">
        <f>MID(C2629, FIND("Ifc.", C2629) + 4, 4) &amp; "_" &amp; TEXT(COUNTIF($C$2:C2629, C2629),"0000")</f>
        <v>Enum_0029</v>
      </c>
      <c r="C2629" s="23" t="s">
        <v>873</v>
      </c>
      <c r="D2629" s="69" t="s">
        <v>9453</v>
      </c>
      <c r="E2629" s="70" t="s">
        <v>9455</v>
      </c>
      <c r="F2629" s="26" t="s">
        <v>798</v>
      </c>
      <c r="G2629" s="15" t="s">
        <v>798</v>
      </c>
      <c r="H2629" s="14" t="s">
        <v>798</v>
      </c>
      <c r="I2629" s="15" t="s">
        <v>798</v>
      </c>
      <c r="J2629" s="12" t="s">
        <v>9436</v>
      </c>
      <c r="K2629" s="16" t="s">
        <v>2702</v>
      </c>
      <c r="L2629" s="12" t="s">
        <v>800</v>
      </c>
      <c r="M2629" s="16" t="s">
        <v>5616</v>
      </c>
      <c r="N2629" s="19" t="s">
        <v>798</v>
      </c>
      <c r="O2629" s="20" t="s">
        <v>798</v>
      </c>
      <c r="P2629" s="17" t="s">
        <v>802</v>
      </c>
      <c r="Q2629" s="21" t="s">
        <v>8254</v>
      </c>
      <c r="R2629" s="19" t="s">
        <v>798</v>
      </c>
      <c r="S2629" s="20" t="s">
        <v>798</v>
      </c>
      <c r="T2629" s="17" t="s">
        <v>798</v>
      </c>
      <c r="U2629" s="20" t="s">
        <v>798</v>
      </c>
      <c r="V2629" s="26" t="s">
        <v>798</v>
      </c>
      <c r="W2629" s="20" t="s">
        <v>798</v>
      </c>
      <c r="X2629" s="26" t="s">
        <v>798</v>
      </c>
      <c r="Y2629" s="20" t="s">
        <v>798</v>
      </c>
      <c r="Z2629" s="73" t="s">
        <v>9486</v>
      </c>
      <c r="AA2629" s="74" t="s">
        <v>9501</v>
      </c>
      <c r="AB2629" s="73" t="s">
        <v>9486</v>
      </c>
      <c r="AC2629" s="74" t="s">
        <v>9562</v>
      </c>
      <c r="AD2629" s="73" t="s">
        <v>9578</v>
      </c>
      <c r="AE2629" s="74" t="s">
        <v>9579</v>
      </c>
    </row>
    <row r="2630" spans="1:31" ht="8.65" customHeight="1" x14ac:dyDescent="0.2">
      <c r="A2630" s="76">
        <v>2630</v>
      </c>
      <c r="B2630" s="67" t="str">
        <f>MID(C2630, FIND("Ifc.", C2630) + 4, 4) &amp; "_" &amp; TEXT(COUNTIF($C$2:C2630, C2630),"0000")</f>
        <v>Enum_0030</v>
      </c>
      <c r="C2630" s="23" t="s">
        <v>873</v>
      </c>
      <c r="D2630" s="69" t="s">
        <v>9453</v>
      </c>
      <c r="E2630" s="70" t="s">
        <v>9455</v>
      </c>
      <c r="F2630" s="26" t="s">
        <v>798</v>
      </c>
      <c r="G2630" s="15" t="s">
        <v>798</v>
      </c>
      <c r="H2630" s="14" t="s">
        <v>798</v>
      </c>
      <c r="I2630" s="15" t="s">
        <v>798</v>
      </c>
      <c r="J2630" s="12" t="s">
        <v>9436</v>
      </c>
      <c r="K2630" s="16" t="s">
        <v>2703</v>
      </c>
      <c r="L2630" s="12" t="s">
        <v>800</v>
      </c>
      <c r="M2630" s="16" t="s">
        <v>5617</v>
      </c>
      <c r="N2630" s="19" t="s">
        <v>798</v>
      </c>
      <c r="O2630" s="20" t="s">
        <v>798</v>
      </c>
      <c r="P2630" s="17" t="s">
        <v>802</v>
      </c>
      <c r="Q2630" s="21" t="s">
        <v>8255</v>
      </c>
      <c r="R2630" s="19" t="s">
        <v>798</v>
      </c>
      <c r="S2630" s="20" t="s">
        <v>798</v>
      </c>
      <c r="T2630" s="17" t="s">
        <v>798</v>
      </c>
      <c r="U2630" s="20" t="s">
        <v>798</v>
      </c>
      <c r="V2630" s="26" t="s">
        <v>798</v>
      </c>
      <c r="W2630" s="20" t="s">
        <v>798</v>
      </c>
      <c r="X2630" s="26" t="s">
        <v>798</v>
      </c>
      <c r="Y2630" s="20" t="s">
        <v>798</v>
      </c>
      <c r="Z2630" s="73" t="s">
        <v>9486</v>
      </c>
      <c r="AA2630" s="74" t="s">
        <v>9501</v>
      </c>
      <c r="AB2630" s="73" t="s">
        <v>9486</v>
      </c>
      <c r="AC2630" s="74" t="s">
        <v>9562</v>
      </c>
      <c r="AD2630" s="73" t="s">
        <v>9578</v>
      </c>
      <c r="AE2630" s="74" t="s">
        <v>9666</v>
      </c>
    </row>
    <row r="2631" spans="1:31" ht="8.65" customHeight="1" x14ac:dyDescent="0.2">
      <c r="A2631" s="76">
        <v>2631</v>
      </c>
      <c r="B2631" s="67" t="str">
        <f>MID(C2631, FIND("Ifc.", C2631) + 4, 4) &amp; "_" &amp; TEXT(COUNTIF($C$2:C2631, C2631),"0000")</f>
        <v>Enum_0031</v>
      </c>
      <c r="C2631" s="23" t="s">
        <v>873</v>
      </c>
      <c r="D2631" s="69" t="s">
        <v>9453</v>
      </c>
      <c r="E2631" s="70" t="s">
        <v>9455</v>
      </c>
      <c r="F2631" s="26" t="s">
        <v>798</v>
      </c>
      <c r="G2631" s="15" t="s">
        <v>798</v>
      </c>
      <c r="H2631" s="14" t="s">
        <v>798</v>
      </c>
      <c r="I2631" s="15" t="s">
        <v>798</v>
      </c>
      <c r="J2631" s="12" t="s">
        <v>9436</v>
      </c>
      <c r="K2631" s="16" t="s">
        <v>2704</v>
      </c>
      <c r="L2631" s="12" t="s">
        <v>800</v>
      </c>
      <c r="M2631" s="16" t="s">
        <v>5618</v>
      </c>
      <c r="N2631" s="19" t="s">
        <v>798</v>
      </c>
      <c r="O2631" s="20" t="s">
        <v>798</v>
      </c>
      <c r="P2631" s="17" t="s">
        <v>802</v>
      </c>
      <c r="Q2631" s="21" t="s">
        <v>8256</v>
      </c>
      <c r="R2631" s="19" t="s">
        <v>798</v>
      </c>
      <c r="S2631" s="20" t="s">
        <v>798</v>
      </c>
      <c r="T2631" s="17" t="s">
        <v>798</v>
      </c>
      <c r="U2631" s="20" t="s">
        <v>798</v>
      </c>
      <c r="V2631" s="26" t="s">
        <v>798</v>
      </c>
      <c r="W2631" s="20" t="s">
        <v>798</v>
      </c>
      <c r="X2631" s="26" t="s">
        <v>798</v>
      </c>
      <c r="Y2631" s="20" t="s">
        <v>798</v>
      </c>
      <c r="Z2631" s="73" t="s">
        <v>9486</v>
      </c>
      <c r="AA2631" s="74" t="s">
        <v>9501</v>
      </c>
      <c r="AB2631" s="73" t="s">
        <v>9486</v>
      </c>
      <c r="AC2631" s="74" t="s">
        <v>9562</v>
      </c>
      <c r="AD2631" s="73" t="s">
        <v>9578</v>
      </c>
      <c r="AE2631" s="74" t="s">
        <v>9665</v>
      </c>
    </row>
    <row r="2632" spans="1:31" ht="8.65" customHeight="1" x14ac:dyDescent="0.2">
      <c r="A2632" s="76">
        <v>2632</v>
      </c>
      <c r="B2632" s="67" t="str">
        <f>MID(C2632, FIND("Ifc.", C2632) + 4, 4) &amp; "_" &amp; TEXT(COUNTIF($C$2:C2632, C2632),"0000")</f>
        <v>Enum_0032</v>
      </c>
      <c r="C2632" s="23" t="s">
        <v>873</v>
      </c>
      <c r="D2632" s="69" t="s">
        <v>9453</v>
      </c>
      <c r="E2632" s="70" t="s">
        <v>9455</v>
      </c>
      <c r="F2632" s="26" t="s">
        <v>798</v>
      </c>
      <c r="G2632" s="15" t="s">
        <v>798</v>
      </c>
      <c r="H2632" s="14" t="s">
        <v>798</v>
      </c>
      <c r="I2632" s="15" t="s">
        <v>798</v>
      </c>
      <c r="J2632" s="12" t="s">
        <v>9436</v>
      </c>
      <c r="K2632" s="16" t="s">
        <v>2705</v>
      </c>
      <c r="L2632" s="12" t="s">
        <v>800</v>
      </c>
      <c r="M2632" s="16" t="s">
        <v>5619</v>
      </c>
      <c r="N2632" s="19" t="s">
        <v>798</v>
      </c>
      <c r="O2632" s="20" t="s">
        <v>798</v>
      </c>
      <c r="P2632" s="17" t="s">
        <v>802</v>
      </c>
      <c r="Q2632" s="21" t="s">
        <v>8257</v>
      </c>
      <c r="R2632" s="19" t="s">
        <v>798</v>
      </c>
      <c r="S2632" s="20" t="s">
        <v>798</v>
      </c>
      <c r="T2632" s="17" t="s">
        <v>798</v>
      </c>
      <c r="U2632" s="20" t="s">
        <v>798</v>
      </c>
      <c r="V2632" s="26" t="s">
        <v>798</v>
      </c>
      <c r="W2632" s="20" t="s">
        <v>798</v>
      </c>
      <c r="X2632" s="26" t="s">
        <v>798</v>
      </c>
      <c r="Y2632" s="20" t="s">
        <v>798</v>
      </c>
      <c r="Z2632" s="73" t="s">
        <v>9486</v>
      </c>
      <c r="AA2632" s="74" t="s">
        <v>9501</v>
      </c>
      <c r="AB2632" s="73" t="s">
        <v>9486</v>
      </c>
      <c r="AC2632" s="74" t="s">
        <v>9562</v>
      </c>
      <c r="AD2632" s="73" t="s">
        <v>9578</v>
      </c>
      <c r="AE2632" s="74" t="s">
        <v>9579</v>
      </c>
    </row>
    <row r="2633" spans="1:31" ht="8.65" customHeight="1" x14ac:dyDescent="0.2">
      <c r="A2633" s="76">
        <v>2633</v>
      </c>
      <c r="B2633" s="67" t="str">
        <f>MID(C2633, FIND("Ifc.", C2633) + 4, 4) &amp; "_" &amp; TEXT(COUNTIF($C$2:C2633, C2633),"0000")</f>
        <v>Enum_0033</v>
      </c>
      <c r="C2633" s="23" t="s">
        <v>873</v>
      </c>
      <c r="D2633" s="69" t="s">
        <v>9453</v>
      </c>
      <c r="E2633" s="70" t="s">
        <v>9455</v>
      </c>
      <c r="F2633" s="26" t="s">
        <v>798</v>
      </c>
      <c r="G2633" s="15" t="s">
        <v>798</v>
      </c>
      <c r="H2633" s="14" t="s">
        <v>798</v>
      </c>
      <c r="I2633" s="15" t="s">
        <v>798</v>
      </c>
      <c r="J2633" s="12" t="s">
        <v>9436</v>
      </c>
      <c r="K2633" s="16" t="s">
        <v>2706</v>
      </c>
      <c r="L2633" s="12" t="s">
        <v>800</v>
      </c>
      <c r="M2633" s="16" t="s">
        <v>5620</v>
      </c>
      <c r="N2633" s="19" t="s">
        <v>798</v>
      </c>
      <c r="O2633" s="20" t="s">
        <v>798</v>
      </c>
      <c r="P2633" s="17" t="s">
        <v>802</v>
      </c>
      <c r="Q2633" s="21" t="s">
        <v>8258</v>
      </c>
      <c r="R2633" s="19" t="s">
        <v>798</v>
      </c>
      <c r="S2633" s="20" t="s">
        <v>798</v>
      </c>
      <c r="T2633" s="17" t="s">
        <v>798</v>
      </c>
      <c r="U2633" s="20" t="s">
        <v>798</v>
      </c>
      <c r="V2633" s="26" t="s">
        <v>798</v>
      </c>
      <c r="W2633" s="20" t="s">
        <v>798</v>
      </c>
      <c r="X2633" s="26" t="s">
        <v>798</v>
      </c>
      <c r="Y2633" s="20" t="s">
        <v>798</v>
      </c>
      <c r="Z2633" s="73" t="s">
        <v>9486</v>
      </c>
      <c r="AA2633" s="74" t="s">
        <v>9501</v>
      </c>
      <c r="AB2633" s="73" t="s">
        <v>9486</v>
      </c>
      <c r="AC2633" s="74" t="s">
        <v>9562</v>
      </c>
      <c r="AD2633" s="73" t="s">
        <v>9578</v>
      </c>
      <c r="AE2633" s="74" t="s">
        <v>9664</v>
      </c>
    </row>
    <row r="2634" spans="1:31" ht="8.65" customHeight="1" x14ac:dyDescent="0.2">
      <c r="A2634" s="76">
        <v>2634</v>
      </c>
      <c r="B2634" s="67" t="str">
        <f>MID(C2634, FIND("Ifc.", C2634) + 4, 4) &amp; "_" &amp; TEXT(COUNTIF($C$2:C2634, C2634),"0000")</f>
        <v>Enum_0034</v>
      </c>
      <c r="C2634" s="23" t="s">
        <v>873</v>
      </c>
      <c r="D2634" s="69" t="s">
        <v>9453</v>
      </c>
      <c r="E2634" s="70" t="s">
        <v>9455</v>
      </c>
      <c r="F2634" s="26" t="s">
        <v>798</v>
      </c>
      <c r="G2634" s="15" t="s">
        <v>798</v>
      </c>
      <c r="H2634" s="14" t="s">
        <v>798</v>
      </c>
      <c r="I2634" s="15" t="s">
        <v>798</v>
      </c>
      <c r="J2634" s="12" t="s">
        <v>9436</v>
      </c>
      <c r="K2634" s="16" t="s">
        <v>2707</v>
      </c>
      <c r="L2634" s="12" t="s">
        <v>800</v>
      </c>
      <c r="M2634" s="16" t="s">
        <v>5621</v>
      </c>
      <c r="N2634" s="19" t="s">
        <v>798</v>
      </c>
      <c r="O2634" s="20" t="s">
        <v>798</v>
      </c>
      <c r="P2634" s="17" t="s">
        <v>802</v>
      </c>
      <c r="Q2634" s="21" t="s">
        <v>8259</v>
      </c>
      <c r="R2634" s="19" t="s">
        <v>798</v>
      </c>
      <c r="S2634" s="20" t="s">
        <v>798</v>
      </c>
      <c r="T2634" s="17" t="s">
        <v>798</v>
      </c>
      <c r="U2634" s="20" t="s">
        <v>798</v>
      </c>
      <c r="V2634" s="26" t="s">
        <v>798</v>
      </c>
      <c r="W2634" s="20" t="s">
        <v>798</v>
      </c>
      <c r="X2634" s="26" t="s">
        <v>798</v>
      </c>
      <c r="Y2634" s="20" t="s">
        <v>798</v>
      </c>
      <c r="Z2634" s="73" t="s">
        <v>9486</v>
      </c>
      <c r="AA2634" s="74" t="s">
        <v>9501</v>
      </c>
      <c r="AB2634" s="73" t="s">
        <v>9486</v>
      </c>
      <c r="AC2634" s="74" t="s">
        <v>9562</v>
      </c>
      <c r="AD2634" s="73" t="s">
        <v>9578</v>
      </c>
      <c r="AE2634" s="74" t="s">
        <v>9666</v>
      </c>
    </row>
    <row r="2635" spans="1:31" ht="8.65" customHeight="1" x14ac:dyDescent="0.2">
      <c r="A2635" s="76">
        <v>2635</v>
      </c>
      <c r="B2635" s="67" t="str">
        <f>MID(C2635, FIND("Ifc.", C2635) + 4, 4) &amp; "_" &amp; TEXT(COUNTIF($C$2:C2635, C2635),"0000")</f>
        <v>Enum_0035</v>
      </c>
      <c r="C2635" s="23" t="s">
        <v>873</v>
      </c>
      <c r="D2635" s="69" t="s">
        <v>9453</v>
      </c>
      <c r="E2635" s="70" t="s">
        <v>9455</v>
      </c>
      <c r="F2635" s="26" t="s">
        <v>798</v>
      </c>
      <c r="G2635" s="15" t="s">
        <v>798</v>
      </c>
      <c r="H2635" s="14" t="s">
        <v>798</v>
      </c>
      <c r="I2635" s="15" t="s">
        <v>798</v>
      </c>
      <c r="J2635" s="12" t="s">
        <v>9436</v>
      </c>
      <c r="K2635" s="16" t="s">
        <v>2708</v>
      </c>
      <c r="L2635" s="12" t="s">
        <v>800</v>
      </c>
      <c r="M2635" s="16" t="s">
        <v>5622</v>
      </c>
      <c r="N2635" s="19" t="s">
        <v>798</v>
      </c>
      <c r="O2635" s="20" t="s">
        <v>798</v>
      </c>
      <c r="P2635" s="17" t="s">
        <v>802</v>
      </c>
      <c r="Q2635" s="21" t="s">
        <v>8260</v>
      </c>
      <c r="R2635" s="19" t="s">
        <v>798</v>
      </c>
      <c r="S2635" s="20" t="s">
        <v>798</v>
      </c>
      <c r="T2635" s="17" t="s">
        <v>798</v>
      </c>
      <c r="U2635" s="20" t="s">
        <v>798</v>
      </c>
      <c r="V2635" s="26" t="s">
        <v>798</v>
      </c>
      <c r="W2635" s="20" t="s">
        <v>798</v>
      </c>
      <c r="X2635" s="26" t="s">
        <v>798</v>
      </c>
      <c r="Y2635" s="20" t="s">
        <v>798</v>
      </c>
      <c r="Z2635" s="73" t="s">
        <v>9486</v>
      </c>
      <c r="AA2635" s="74" t="s">
        <v>9501</v>
      </c>
      <c r="AB2635" s="73" t="s">
        <v>9486</v>
      </c>
      <c r="AC2635" s="74" t="s">
        <v>9562</v>
      </c>
      <c r="AD2635" s="73" t="s">
        <v>9578</v>
      </c>
      <c r="AE2635" s="74" t="s">
        <v>9579</v>
      </c>
    </row>
    <row r="2636" spans="1:31" ht="8.65" customHeight="1" x14ac:dyDescent="0.2">
      <c r="A2636" s="76">
        <v>2636</v>
      </c>
      <c r="B2636" s="67" t="str">
        <f>MID(C2636, FIND("Ifc.", C2636) + 4, 4) &amp; "_" &amp; TEXT(COUNTIF($C$2:C2636, C2636),"0000")</f>
        <v>Enum_0036</v>
      </c>
      <c r="C2636" s="23" t="s">
        <v>873</v>
      </c>
      <c r="D2636" s="69" t="s">
        <v>9453</v>
      </c>
      <c r="E2636" s="70" t="s">
        <v>9455</v>
      </c>
      <c r="F2636" s="26" t="s">
        <v>798</v>
      </c>
      <c r="G2636" s="15" t="s">
        <v>798</v>
      </c>
      <c r="H2636" s="14" t="s">
        <v>798</v>
      </c>
      <c r="I2636" s="15" t="s">
        <v>798</v>
      </c>
      <c r="J2636" s="12" t="s">
        <v>9436</v>
      </c>
      <c r="K2636" s="16" t="s">
        <v>2709</v>
      </c>
      <c r="L2636" s="12" t="s">
        <v>800</v>
      </c>
      <c r="M2636" s="16" t="s">
        <v>5623</v>
      </c>
      <c r="N2636" s="19" t="s">
        <v>798</v>
      </c>
      <c r="O2636" s="20" t="s">
        <v>798</v>
      </c>
      <c r="P2636" s="17" t="s">
        <v>802</v>
      </c>
      <c r="Q2636" s="21" t="s">
        <v>8261</v>
      </c>
      <c r="R2636" s="19" t="s">
        <v>798</v>
      </c>
      <c r="S2636" s="20" t="s">
        <v>798</v>
      </c>
      <c r="T2636" s="17" t="s">
        <v>798</v>
      </c>
      <c r="U2636" s="20" t="s">
        <v>798</v>
      </c>
      <c r="V2636" s="26" t="s">
        <v>798</v>
      </c>
      <c r="W2636" s="20" t="s">
        <v>798</v>
      </c>
      <c r="X2636" s="26" t="s">
        <v>798</v>
      </c>
      <c r="Y2636" s="20" t="s">
        <v>798</v>
      </c>
      <c r="Z2636" s="73" t="s">
        <v>9486</v>
      </c>
      <c r="AA2636" s="74" t="s">
        <v>9501</v>
      </c>
      <c r="AB2636" s="73" t="s">
        <v>9486</v>
      </c>
      <c r="AC2636" s="74" t="s">
        <v>9562</v>
      </c>
      <c r="AD2636" s="73" t="s">
        <v>9578</v>
      </c>
      <c r="AE2636" s="74" t="s">
        <v>9579</v>
      </c>
    </row>
    <row r="2637" spans="1:31" ht="8.65" customHeight="1" x14ac:dyDescent="0.2">
      <c r="A2637" s="76">
        <v>2637</v>
      </c>
      <c r="B2637" s="67" t="str">
        <f>MID(C2637, FIND("Ifc.", C2637) + 4, 4) &amp; "_" &amp; TEXT(COUNTIF($C$2:C2637, C2637),"0000")</f>
        <v>Enum_0037</v>
      </c>
      <c r="C2637" s="23" t="s">
        <v>873</v>
      </c>
      <c r="D2637" s="69" t="s">
        <v>9453</v>
      </c>
      <c r="E2637" s="70" t="s">
        <v>9455</v>
      </c>
      <c r="F2637" s="26" t="s">
        <v>798</v>
      </c>
      <c r="G2637" s="15" t="s">
        <v>798</v>
      </c>
      <c r="H2637" s="14" t="s">
        <v>798</v>
      </c>
      <c r="I2637" s="15" t="s">
        <v>798</v>
      </c>
      <c r="J2637" s="12" t="s">
        <v>9436</v>
      </c>
      <c r="K2637" s="16" t="s">
        <v>2710</v>
      </c>
      <c r="L2637" s="12" t="s">
        <v>800</v>
      </c>
      <c r="M2637" s="16" t="s">
        <v>5624</v>
      </c>
      <c r="N2637" s="19" t="s">
        <v>798</v>
      </c>
      <c r="O2637" s="20" t="s">
        <v>798</v>
      </c>
      <c r="P2637" s="17" t="s">
        <v>802</v>
      </c>
      <c r="Q2637" s="21" t="s">
        <v>8262</v>
      </c>
      <c r="R2637" s="19" t="s">
        <v>798</v>
      </c>
      <c r="S2637" s="20" t="s">
        <v>798</v>
      </c>
      <c r="T2637" s="17" t="s">
        <v>798</v>
      </c>
      <c r="U2637" s="20" t="s">
        <v>798</v>
      </c>
      <c r="V2637" s="26" t="s">
        <v>798</v>
      </c>
      <c r="W2637" s="20" t="s">
        <v>798</v>
      </c>
      <c r="X2637" s="26" t="s">
        <v>798</v>
      </c>
      <c r="Y2637" s="20" t="s">
        <v>798</v>
      </c>
      <c r="Z2637" s="73" t="s">
        <v>9486</v>
      </c>
      <c r="AA2637" s="74" t="s">
        <v>9501</v>
      </c>
      <c r="AB2637" s="73" t="s">
        <v>9486</v>
      </c>
      <c r="AC2637" s="74" t="s">
        <v>9562</v>
      </c>
      <c r="AD2637" s="73" t="s">
        <v>9578</v>
      </c>
      <c r="AE2637" s="74" t="s">
        <v>9595</v>
      </c>
    </row>
    <row r="2638" spans="1:31" ht="8.65" customHeight="1" x14ac:dyDescent="0.2">
      <c r="A2638" s="76">
        <v>2638</v>
      </c>
      <c r="B2638" s="67" t="str">
        <f>MID(C2638, FIND("Ifc.", C2638) + 4, 4) &amp; "_" &amp; TEXT(COUNTIF($C$2:C2638, C2638),"0000")</f>
        <v>Enum_0038</v>
      </c>
      <c r="C2638" s="23" t="s">
        <v>873</v>
      </c>
      <c r="D2638" s="69" t="s">
        <v>9453</v>
      </c>
      <c r="E2638" s="70" t="s">
        <v>9455</v>
      </c>
      <c r="F2638" s="26" t="s">
        <v>798</v>
      </c>
      <c r="G2638" s="15" t="s">
        <v>798</v>
      </c>
      <c r="H2638" s="14" t="s">
        <v>798</v>
      </c>
      <c r="I2638" s="15" t="s">
        <v>798</v>
      </c>
      <c r="J2638" s="12" t="s">
        <v>9436</v>
      </c>
      <c r="K2638" s="16" t="s">
        <v>2711</v>
      </c>
      <c r="L2638" s="12" t="s">
        <v>800</v>
      </c>
      <c r="M2638" s="16" t="s">
        <v>5625</v>
      </c>
      <c r="N2638" s="19" t="s">
        <v>798</v>
      </c>
      <c r="O2638" s="20" t="s">
        <v>798</v>
      </c>
      <c r="P2638" s="17" t="s">
        <v>802</v>
      </c>
      <c r="Q2638" s="21" t="s">
        <v>8263</v>
      </c>
      <c r="R2638" s="19" t="s">
        <v>798</v>
      </c>
      <c r="S2638" s="20" t="s">
        <v>798</v>
      </c>
      <c r="T2638" s="17" t="s">
        <v>798</v>
      </c>
      <c r="U2638" s="20" t="s">
        <v>798</v>
      </c>
      <c r="V2638" s="26" t="s">
        <v>798</v>
      </c>
      <c r="W2638" s="20" t="s">
        <v>798</v>
      </c>
      <c r="X2638" s="26" t="s">
        <v>798</v>
      </c>
      <c r="Y2638" s="20" t="s">
        <v>798</v>
      </c>
      <c r="Z2638" s="73" t="s">
        <v>9486</v>
      </c>
      <c r="AA2638" s="74" t="s">
        <v>9501</v>
      </c>
      <c r="AB2638" s="73" t="s">
        <v>9486</v>
      </c>
      <c r="AC2638" s="74" t="s">
        <v>9562</v>
      </c>
      <c r="AD2638" s="73" t="s">
        <v>9578</v>
      </c>
      <c r="AE2638" s="74" t="s">
        <v>9579</v>
      </c>
    </row>
    <row r="2639" spans="1:31" ht="8.65" customHeight="1" x14ac:dyDescent="0.2">
      <c r="A2639" s="76">
        <v>2639</v>
      </c>
      <c r="B2639" s="67" t="str">
        <f>MID(C2639, FIND("Ifc.", C2639) + 4, 4) &amp; "_" &amp; TEXT(COUNTIF($C$2:C2639, C2639),"0000")</f>
        <v>Enum_0039</v>
      </c>
      <c r="C2639" s="23" t="s">
        <v>873</v>
      </c>
      <c r="D2639" s="69" t="s">
        <v>9453</v>
      </c>
      <c r="E2639" s="70" t="s">
        <v>9455</v>
      </c>
      <c r="F2639" s="26" t="s">
        <v>798</v>
      </c>
      <c r="G2639" s="15" t="s">
        <v>798</v>
      </c>
      <c r="H2639" s="14" t="s">
        <v>798</v>
      </c>
      <c r="I2639" s="15" t="s">
        <v>798</v>
      </c>
      <c r="J2639" s="12" t="s">
        <v>9436</v>
      </c>
      <c r="K2639" s="16" t="s">
        <v>2712</v>
      </c>
      <c r="L2639" s="12" t="s">
        <v>800</v>
      </c>
      <c r="M2639" s="16" t="s">
        <v>5626</v>
      </c>
      <c r="N2639" s="19" t="s">
        <v>798</v>
      </c>
      <c r="O2639" s="20" t="s">
        <v>798</v>
      </c>
      <c r="P2639" s="17" t="s">
        <v>802</v>
      </c>
      <c r="Q2639" s="21" t="s">
        <v>8264</v>
      </c>
      <c r="R2639" s="19" t="s">
        <v>798</v>
      </c>
      <c r="S2639" s="20" t="s">
        <v>798</v>
      </c>
      <c r="T2639" s="17" t="s">
        <v>798</v>
      </c>
      <c r="U2639" s="20" t="s">
        <v>798</v>
      </c>
      <c r="V2639" s="26" t="s">
        <v>798</v>
      </c>
      <c r="W2639" s="20" t="s">
        <v>798</v>
      </c>
      <c r="X2639" s="26" t="s">
        <v>798</v>
      </c>
      <c r="Y2639" s="20" t="s">
        <v>798</v>
      </c>
      <c r="Z2639" s="73" t="s">
        <v>9486</v>
      </c>
      <c r="AA2639" s="74" t="s">
        <v>9501</v>
      </c>
      <c r="AB2639" s="73" t="s">
        <v>9486</v>
      </c>
      <c r="AC2639" s="74" t="s">
        <v>9562</v>
      </c>
      <c r="AD2639" s="73" t="s">
        <v>9578</v>
      </c>
      <c r="AE2639" s="74" t="s">
        <v>9579</v>
      </c>
    </row>
    <row r="2640" spans="1:31" ht="8.65" customHeight="1" x14ac:dyDescent="0.2">
      <c r="A2640" s="76">
        <v>2640</v>
      </c>
      <c r="B2640" s="67" t="str">
        <f>MID(C2640, FIND("Ifc.", C2640) + 4, 4) &amp; "_" &amp; TEXT(COUNTIF($C$2:C2640, C2640),"0000")</f>
        <v>Enum_0040</v>
      </c>
      <c r="C2640" s="23" t="s">
        <v>873</v>
      </c>
      <c r="D2640" s="69" t="s">
        <v>9453</v>
      </c>
      <c r="E2640" s="70" t="s">
        <v>9455</v>
      </c>
      <c r="F2640" s="26" t="s">
        <v>798</v>
      </c>
      <c r="G2640" s="15" t="s">
        <v>798</v>
      </c>
      <c r="H2640" s="14" t="s">
        <v>798</v>
      </c>
      <c r="I2640" s="15" t="s">
        <v>798</v>
      </c>
      <c r="J2640" s="12" t="s">
        <v>9436</v>
      </c>
      <c r="K2640" s="16" t="s">
        <v>2713</v>
      </c>
      <c r="L2640" s="12" t="s">
        <v>800</v>
      </c>
      <c r="M2640" s="16" t="s">
        <v>6058</v>
      </c>
      <c r="N2640" s="19" t="s">
        <v>798</v>
      </c>
      <c r="O2640" s="20" t="s">
        <v>798</v>
      </c>
      <c r="P2640" s="17" t="s">
        <v>802</v>
      </c>
      <c r="Q2640" s="21" t="s">
        <v>8265</v>
      </c>
      <c r="R2640" s="19" t="s">
        <v>798</v>
      </c>
      <c r="S2640" s="20" t="s">
        <v>798</v>
      </c>
      <c r="T2640" s="17" t="s">
        <v>798</v>
      </c>
      <c r="U2640" s="20" t="s">
        <v>798</v>
      </c>
      <c r="V2640" s="26" t="s">
        <v>798</v>
      </c>
      <c r="W2640" s="20" t="s">
        <v>798</v>
      </c>
      <c r="X2640" s="26" t="s">
        <v>798</v>
      </c>
      <c r="Y2640" s="20" t="s">
        <v>798</v>
      </c>
      <c r="Z2640" s="73" t="s">
        <v>9486</v>
      </c>
      <c r="AA2640" s="74" t="s">
        <v>9501</v>
      </c>
      <c r="AB2640" s="73" t="s">
        <v>9486</v>
      </c>
      <c r="AC2640" s="74" t="s">
        <v>9562</v>
      </c>
      <c r="AD2640" s="73" t="s">
        <v>9578</v>
      </c>
      <c r="AE2640" s="74" t="s">
        <v>9572</v>
      </c>
    </row>
    <row r="2641" spans="1:31" ht="8.65" customHeight="1" x14ac:dyDescent="0.2">
      <c r="A2641" s="76">
        <v>2641</v>
      </c>
      <c r="B2641" s="67" t="str">
        <f>MID(C2641, FIND("Ifc.", C2641) + 4, 4) &amp; "_" &amp; TEXT(COUNTIF($C$2:C2641, C2641),"0000")</f>
        <v>Enum_0041</v>
      </c>
      <c r="C2641" s="23" t="s">
        <v>873</v>
      </c>
      <c r="D2641" s="69" t="s">
        <v>9453</v>
      </c>
      <c r="E2641" s="70" t="s">
        <v>9455</v>
      </c>
      <c r="F2641" s="26" t="s">
        <v>798</v>
      </c>
      <c r="G2641" s="15" t="s">
        <v>798</v>
      </c>
      <c r="H2641" s="14" t="s">
        <v>798</v>
      </c>
      <c r="I2641" s="15" t="s">
        <v>798</v>
      </c>
      <c r="J2641" s="12" t="s">
        <v>9436</v>
      </c>
      <c r="K2641" s="16" t="s">
        <v>2714</v>
      </c>
      <c r="L2641" s="12" t="s">
        <v>800</v>
      </c>
      <c r="M2641" s="16" t="s">
        <v>5627</v>
      </c>
      <c r="N2641" s="19" t="s">
        <v>798</v>
      </c>
      <c r="O2641" s="20" t="s">
        <v>798</v>
      </c>
      <c r="P2641" s="17" t="s">
        <v>802</v>
      </c>
      <c r="Q2641" s="21" t="s">
        <v>8266</v>
      </c>
      <c r="R2641" s="19" t="s">
        <v>798</v>
      </c>
      <c r="S2641" s="20" t="s">
        <v>798</v>
      </c>
      <c r="T2641" s="17" t="s">
        <v>798</v>
      </c>
      <c r="U2641" s="20" t="s">
        <v>798</v>
      </c>
      <c r="V2641" s="26" t="s">
        <v>798</v>
      </c>
      <c r="W2641" s="20" t="s">
        <v>798</v>
      </c>
      <c r="X2641" s="26" t="s">
        <v>798</v>
      </c>
      <c r="Y2641" s="20" t="s">
        <v>798</v>
      </c>
      <c r="Z2641" s="73" t="s">
        <v>9486</v>
      </c>
      <c r="AA2641" s="74" t="s">
        <v>9501</v>
      </c>
      <c r="AB2641" s="73" t="s">
        <v>9486</v>
      </c>
      <c r="AC2641" s="74" t="s">
        <v>9562</v>
      </c>
      <c r="AD2641" s="73" t="s">
        <v>9578</v>
      </c>
      <c r="AE2641" s="74" t="s">
        <v>9579</v>
      </c>
    </row>
    <row r="2642" spans="1:31" ht="8.65" customHeight="1" x14ac:dyDescent="0.2">
      <c r="A2642" s="76">
        <v>2642</v>
      </c>
      <c r="B2642" s="67" t="str">
        <f>MID(C2642, FIND("Ifc.", C2642) + 4, 4) &amp; "_" &amp; TEXT(COUNTIF($C$2:C2642, C2642),"0000")</f>
        <v>Enum_0042</v>
      </c>
      <c r="C2642" s="23" t="s">
        <v>873</v>
      </c>
      <c r="D2642" s="69" t="s">
        <v>9453</v>
      </c>
      <c r="E2642" s="70" t="s">
        <v>9455</v>
      </c>
      <c r="F2642" s="26" t="s">
        <v>798</v>
      </c>
      <c r="G2642" s="15" t="s">
        <v>798</v>
      </c>
      <c r="H2642" s="14" t="s">
        <v>798</v>
      </c>
      <c r="I2642" s="15" t="s">
        <v>798</v>
      </c>
      <c r="J2642" s="12" t="s">
        <v>9436</v>
      </c>
      <c r="K2642" s="16" t="s">
        <v>2715</v>
      </c>
      <c r="L2642" s="12" t="s">
        <v>800</v>
      </c>
      <c r="M2642" s="16" t="s">
        <v>5914</v>
      </c>
      <c r="N2642" s="19" t="s">
        <v>798</v>
      </c>
      <c r="O2642" s="20" t="s">
        <v>798</v>
      </c>
      <c r="P2642" s="17" t="s">
        <v>802</v>
      </c>
      <c r="Q2642" s="21" t="s">
        <v>8267</v>
      </c>
      <c r="R2642" s="19" t="s">
        <v>798</v>
      </c>
      <c r="S2642" s="20" t="s">
        <v>798</v>
      </c>
      <c r="T2642" s="17" t="s">
        <v>798</v>
      </c>
      <c r="U2642" s="20" t="s">
        <v>798</v>
      </c>
      <c r="V2642" s="26" t="s">
        <v>798</v>
      </c>
      <c r="W2642" s="20" t="s">
        <v>798</v>
      </c>
      <c r="X2642" s="26" t="s">
        <v>798</v>
      </c>
      <c r="Y2642" s="20" t="s">
        <v>798</v>
      </c>
      <c r="Z2642" s="73" t="s">
        <v>9486</v>
      </c>
      <c r="AA2642" s="74" t="s">
        <v>9501</v>
      </c>
      <c r="AB2642" s="73" t="s">
        <v>9486</v>
      </c>
      <c r="AC2642" s="74" t="s">
        <v>9562</v>
      </c>
      <c r="AD2642" s="73" t="s">
        <v>9578</v>
      </c>
      <c r="AE2642" s="74" t="s">
        <v>9579</v>
      </c>
    </row>
    <row r="2643" spans="1:31" ht="8.65" customHeight="1" x14ac:dyDescent="0.2">
      <c r="A2643" s="76">
        <v>2643</v>
      </c>
      <c r="B2643" s="67" t="str">
        <f>MID(C2643, FIND("Ifc.", C2643) + 4, 4) &amp; "_" &amp; TEXT(COUNTIF($C$2:C2643, C2643),"0000")</f>
        <v>Enum_0043</v>
      </c>
      <c r="C2643" s="23" t="s">
        <v>873</v>
      </c>
      <c r="D2643" s="69" t="s">
        <v>9453</v>
      </c>
      <c r="E2643" s="70" t="s">
        <v>9455</v>
      </c>
      <c r="F2643" s="26" t="s">
        <v>798</v>
      </c>
      <c r="G2643" s="15" t="s">
        <v>798</v>
      </c>
      <c r="H2643" s="14" t="s">
        <v>798</v>
      </c>
      <c r="I2643" s="15" t="s">
        <v>798</v>
      </c>
      <c r="J2643" s="12" t="s">
        <v>9436</v>
      </c>
      <c r="K2643" s="16" t="s">
        <v>2716</v>
      </c>
      <c r="L2643" s="12" t="s">
        <v>800</v>
      </c>
      <c r="M2643" s="16" t="s">
        <v>5628</v>
      </c>
      <c r="N2643" s="19" t="s">
        <v>798</v>
      </c>
      <c r="O2643" s="20" t="s">
        <v>798</v>
      </c>
      <c r="P2643" s="17" t="s">
        <v>802</v>
      </c>
      <c r="Q2643" s="21" t="s">
        <v>8268</v>
      </c>
      <c r="R2643" s="19" t="s">
        <v>798</v>
      </c>
      <c r="S2643" s="20" t="s">
        <v>798</v>
      </c>
      <c r="T2643" s="17" t="s">
        <v>798</v>
      </c>
      <c r="U2643" s="20" t="s">
        <v>798</v>
      </c>
      <c r="V2643" s="26" t="s">
        <v>798</v>
      </c>
      <c r="W2643" s="20" t="s">
        <v>798</v>
      </c>
      <c r="X2643" s="26" t="s">
        <v>798</v>
      </c>
      <c r="Y2643" s="20" t="s">
        <v>798</v>
      </c>
      <c r="Z2643" s="73" t="s">
        <v>9486</v>
      </c>
      <c r="AA2643" s="74" t="s">
        <v>9501</v>
      </c>
      <c r="AB2643" s="73" t="s">
        <v>9486</v>
      </c>
      <c r="AC2643" s="74" t="s">
        <v>9562</v>
      </c>
      <c r="AD2643" s="73" t="s">
        <v>9578</v>
      </c>
      <c r="AE2643" s="74" t="s">
        <v>9579</v>
      </c>
    </row>
    <row r="2644" spans="1:31" ht="8.65" customHeight="1" x14ac:dyDescent="0.2">
      <c r="A2644" s="76">
        <v>2644</v>
      </c>
      <c r="B2644" s="67" t="str">
        <f>MID(C2644, FIND("Ifc.", C2644) + 4, 4) &amp; "_" &amp; TEXT(COUNTIF($C$2:C2644, C2644),"0000")</f>
        <v>Enum_0044</v>
      </c>
      <c r="C2644" s="23" t="s">
        <v>873</v>
      </c>
      <c r="D2644" s="69" t="s">
        <v>9453</v>
      </c>
      <c r="E2644" s="70" t="s">
        <v>9455</v>
      </c>
      <c r="F2644" s="26" t="s">
        <v>798</v>
      </c>
      <c r="G2644" s="15" t="s">
        <v>798</v>
      </c>
      <c r="H2644" s="14" t="s">
        <v>798</v>
      </c>
      <c r="I2644" s="15" t="s">
        <v>798</v>
      </c>
      <c r="J2644" s="12" t="s">
        <v>9436</v>
      </c>
      <c r="K2644" s="16" t="s">
        <v>2717</v>
      </c>
      <c r="L2644" s="12" t="s">
        <v>800</v>
      </c>
      <c r="M2644" s="16" t="s">
        <v>5629</v>
      </c>
      <c r="N2644" s="19" t="s">
        <v>798</v>
      </c>
      <c r="O2644" s="20" t="s">
        <v>798</v>
      </c>
      <c r="P2644" s="17" t="s">
        <v>802</v>
      </c>
      <c r="Q2644" s="21" t="s">
        <v>8269</v>
      </c>
      <c r="R2644" s="19" t="s">
        <v>798</v>
      </c>
      <c r="S2644" s="20" t="s">
        <v>798</v>
      </c>
      <c r="T2644" s="17" t="s">
        <v>798</v>
      </c>
      <c r="U2644" s="20" t="s">
        <v>798</v>
      </c>
      <c r="V2644" s="26" t="s">
        <v>798</v>
      </c>
      <c r="W2644" s="20" t="s">
        <v>798</v>
      </c>
      <c r="X2644" s="26" t="s">
        <v>798</v>
      </c>
      <c r="Y2644" s="20" t="s">
        <v>798</v>
      </c>
      <c r="Z2644" s="73" t="s">
        <v>9486</v>
      </c>
      <c r="AA2644" s="74" t="s">
        <v>9501</v>
      </c>
      <c r="AB2644" s="73" t="s">
        <v>9486</v>
      </c>
      <c r="AC2644" s="74" t="s">
        <v>9562</v>
      </c>
      <c r="AD2644" s="73" t="s">
        <v>9578</v>
      </c>
      <c r="AE2644" s="74" t="s">
        <v>9579</v>
      </c>
    </row>
    <row r="2645" spans="1:31" ht="8.65" customHeight="1" x14ac:dyDescent="0.2">
      <c r="A2645" s="76">
        <v>2645</v>
      </c>
      <c r="B2645" s="67" t="str">
        <f>MID(C2645, FIND("Ifc.", C2645) + 4, 4) &amp; "_" &amp; TEXT(COUNTIF($C$2:C2645, C2645),"0000")</f>
        <v>Enum_0045</v>
      </c>
      <c r="C2645" s="23" t="s">
        <v>873</v>
      </c>
      <c r="D2645" s="69" t="s">
        <v>9453</v>
      </c>
      <c r="E2645" s="70" t="s">
        <v>9455</v>
      </c>
      <c r="F2645" s="26" t="s">
        <v>798</v>
      </c>
      <c r="G2645" s="15" t="s">
        <v>798</v>
      </c>
      <c r="H2645" s="14" t="s">
        <v>798</v>
      </c>
      <c r="I2645" s="15" t="s">
        <v>798</v>
      </c>
      <c r="J2645" s="12" t="s">
        <v>9436</v>
      </c>
      <c r="K2645" s="16" t="s">
        <v>2718</v>
      </c>
      <c r="L2645" s="12" t="s">
        <v>800</v>
      </c>
      <c r="M2645" s="16" t="s">
        <v>5878</v>
      </c>
      <c r="N2645" s="19" t="s">
        <v>798</v>
      </c>
      <c r="O2645" s="20" t="s">
        <v>798</v>
      </c>
      <c r="P2645" s="17" t="s">
        <v>802</v>
      </c>
      <c r="Q2645" s="21" t="s">
        <v>8270</v>
      </c>
      <c r="R2645" s="19" t="s">
        <v>798</v>
      </c>
      <c r="S2645" s="20" t="s">
        <v>798</v>
      </c>
      <c r="T2645" s="17" t="s">
        <v>798</v>
      </c>
      <c r="U2645" s="20" t="s">
        <v>798</v>
      </c>
      <c r="V2645" s="26" t="s">
        <v>798</v>
      </c>
      <c r="W2645" s="20" t="s">
        <v>798</v>
      </c>
      <c r="X2645" s="26" t="s">
        <v>798</v>
      </c>
      <c r="Y2645" s="20" t="s">
        <v>798</v>
      </c>
      <c r="Z2645" s="73" t="s">
        <v>9486</v>
      </c>
      <c r="AA2645" s="74" t="s">
        <v>9501</v>
      </c>
      <c r="AB2645" s="73" t="s">
        <v>9486</v>
      </c>
      <c r="AC2645" s="74" t="s">
        <v>9562</v>
      </c>
      <c r="AD2645" s="73" t="s">
        <v>9578</v>
      </c>
      <c r="AE2645" s="74" t="s">
        <v>9579</v>
      </c>
    </row>
    <row r="2646" spans="1:31" ht="8.65" customHeight="1" x14ac:dyDescent="0.2">
      <c r="A2646" s="76">
        <v>2646</v>
      </c>
      <c r="B2646" s="67" t="str">
        <f>MID(C2646, FIND("Ifc.", C2646) + 4, 4) &amp; "_" &amp; TEXT(COUNTIF($C$2:C2646, C2646),"0000")</f>
        <v>Enum_0046</v>
      </c>
      <c r="C2646" s="23" t="s">
        <v>873</v>
      </c>
      <c r="D2646" s="69" t="s">
        <v>9453</v>
      </c>
      <c r="E2646" s="70" t="s">
        <v>9455</v>
      </c>
      <c r="F2646" s="26" t="s">
        <v>798</v>
      </c>
      <c r="G2646" s="15" t="s">
        <v>798</v>
      </c>
      <c r="H2646" s="14" t="s">
        <v>798</v>
      </c>
      <c r="I2646" s="15" t="s">
        <v>798</v>
      </c>
      <c r="J2646" s="12" t="s">
        <v>9436</v>
      </c>
      <c r="K2646" s="16" t="s">
        <v>2719</v>
      </c>
      <c r="L2646" s="12" t="s">
        <v>800</v>
      </c>
      <c r="M2646" s="16" t="s">
        <v>5630</v>
      </c>
      <c r="N2646" s="19" t="s">
        <v>798</v>
      </c>
      <c r="O2646" s="20" t="s">
        <v>798</v>
      </c>
      <c r="P2646" s="17" t="s">
        <v>802</v>
      </c>
      <c r="Q2646" s="21" t="s">
        <v>8271</v>
      </c>
      <c r="R2646" s="19" t="s">
        <v>798</v>
      </c>
      <c r="S2646" s="20" t="s">
        <v>798</v>
      </c>
      <c r="T2646" s="17" t="s">
        <v>798</v>
      </c>
      <c r="U2646" s="20" t="s">
        <v>798</v>
      </c>
      <c r="V2646" s="26" t="s">
        <v>798</v>
      </c>
      <c r="W2646" s="20" t="s">
        <v>798</v>
      </c>
      <c r="X2646" s="26" t="s">
        <v>798</v>
      </c>
      <c r="Y2646" s="20" t="s">
        <v>798</v>
      </c>
      <c r="Z2646" s="73" t="s">
        <v>9486</v>
      </c>
      <c r="AA2646" s="74" t="s">
        <v>9501</v>
      </c>
      <c r="AB2646" s="73" t="s">
        <v>9486</v>
      </c>
      <c r="AC2646" s="74" t="s">
        <v>9562</v>
      </c>
      <c r="AD2646" s="73" t="s">
        <v>9578</v>
      </c>
      <c r="AE2646" s="74" t="s">
        <v>9579</v>
      </c>
    </row>
    <row r="2647" spans="1:31" ht="8.65" customHeight="1" x14ac:dyDescent="0.2">
      <c r="A2647" s="76">
        <v>2647</v>
      </c>
      <c r="B2647" s="67" t="str">
        <f>MID(C2647, FIND("Ifc.", C2647) + 4, 4) &amp; "_" &amp; TEXT(COUNTIF($C$2:C2647, C2647),"0000")</f>
        <v>Enum_0047</v>
      </c>
      <c r="C2647" s="23" t="s">
        <v>873</v>
      </c>
      <c r="D2647" s="69" t="s">
        <v>9453</v>
      </c>
      <c r="E2647" s="70" t="s">
        <v>9455</v>
      </c>
      <c r="F2647" s="26" t="s">
        <v>798</v>
      </c>
      <c r="G2647" s="15" t="s">
        <v>798</v>
      </c>
      <c r="H2647" s="14" t="s">
        <v>798</v>
      </c>
      <c r="I2647" s="15" t="s">
        <v>798</v>
      </c>
      <c r="J2647" s="12" t="s">
        <v>9436</v>
      </c>
      <c r="K2647" s="16" t="s">
        <v>2720</v>
      </c>
      <c r="L2647" s="12" t="s">
        <v>800</v>
      </c>
      <c r="M2647" s="16" t="s">
        <v>5631</v>
      </c>
      <c r="N2647" s="19" t="s">
        <v>798</v>
      </c>
      <c r="O2647" s="20" t="s">
        <v>798</v>
      </c>
      <c r="P2647" s="17" t="s">
        <v>802</v>
      </c>
      <c r="Q2647" s="21" t="s">
        <v>8272</v>
      </c>
      <c r="R2647" s="19" t="s">
        <v>798</v>
      </c>
      <c r="S2647" s="20" t="s">
        <v>798</v>
      </c>
      <c r="T2647" s="17" t="s">
        <v>798</v>
      </c>
      <c r="U2647" s="20" t="s">
        <v>798</v>
      </c>
      <c r="V2647" s="26" t="s">
        <v>798</v>
      </c>
      <c r="W2647" s="20" t="s">
        <v>798</v>
      </c>
      <c r="X2647" s="26" t="s">
        <v>798</v>
      </c>
      <c r="Y2647" s="20" t="s">
        <v>798</v>
      </c>
      <c r="Z2647" s="73" t="s">
        <v>9486</v>
      </c>
      <c r="AA2647" s="74" t="s">
        <v>9501</v>
      </c>
      <c r="AB2647" s="73" t="s">
        <v>9486</v>
      </c>
      <c r="AC2647" s="74" t="s">
        <v>9562</v>
      </c>
      <c r="AD2647" s="73" t="s">
        <v>9578</v>
      </c>
      <c r="AE2647" s="74" t="s">
        <v>9579</v>
      </c>
    </row>
    <row r="2648" spans="1:31" ht="8.65" customHeight="1" x14ac:dyDescent="0.2">
      <c r="A2648" s="76">
        <v>2648</v>
      </c>
      <c r="B2648" s="67" t="str">
        <f>MID(C2648, FIND("Ifc.", C2648) + 4, 4) &amp; "_" &amp; TEXT(COUNTIF($C$2:C2648, C2648),"0000")</f>
        <v>Enum_0048</v>
      </c>
      <c r="C2648" s="23" t="s">
        <v>873</v>
      </c>
      <c r="D2648" s="69" t="s">
        <v>9453</v>
      </c>
      <c r="E2648" s="70" t="s">
        <v>9455</v>
      </c>
      <c r="F2648" s="26" t="s">
        <v>798</v>
      </c>
      <c r="G2648" s="15" t="s">
        <v>798</v>
      </c>
      <c r="H2648" s="14" t="s">
        <v>798</v>
      </c>
      <c r="I2648" s="15" t="s">
        <v>798</v>
      </c>
      <c r="J2648" s="12" t="s">
        <v>9436</v>
      </c>
      <c r="K2648" s="16" t="s">
        <v>2721</v>
      </c>
      <c r="L2648" s="12" t="s">
        <v>800</v>
      </c>
      <c r="M2648" s="16" t="s">
        <v>5632</v>
      </c>
      <c r="N2648" s="19" t="s">
        <v>798</v>
      </c>
      <c r="O2648" s="20" t="s">
        <v>798</v>
      </c>
      <c r="P2648" s="17" t="s">
        <v>802</v>
      </c>
      <c r="Q2648" s="21" t="s">
        <v>8273</v>
      </c>
      <c r="R2648" s="19" t="s">
        <v>798</v>
      </c>
      <c r="S2648" s="20" t="s">
        <v>798</v>
      </c>
      <c r="T2648" s="17" t="s">
        <v>798</v>
      </c>
      <c r="U2648" s="20" t="s">
        <v>798</v>
      </c>
      <c r="V2648" s="26" t="s">
        <v>798</v>
      </c>
      <c r="W2648" s="20" t="s">
        <v>798</v>
      </c>
      <c r="X2648" s="26" t="s">
        <v>798</v>
      </c>
      <c r="Y2648" s="20" t="s">
        <v>798</v>
      </c>
      <c r="Z2648" s="73" t="s">
        <v>9486</v>
      </c>
      <c r="AA2648" s="74" t="s">
        <v>9501</v>
      </c>
      <c r="AB2648" s="73" t="s">
        <v>9486</v>
      </c>
      <c r="AC2648" s="74" t="s">
        <v>9562</v>
      </c>
      <c r="AD2648" s="73" t="s">
        <v>9578</v>
      </c>
      <c r="AE2648" s="74" t="s">
        <v>9579</v>
      </c>
    </row>
    <row r="2649" spans="1:31" ht="8.65" customHeight="1" x14ac:dyDescent="0.2">
      <c r="A2649" s="76">
        <v>2649</v>
      </c>
      <c r="B2649" s="67" t="str">
        <f>MID(C2649, FIND("Ifc.", C2649) + 4, 4) &amp; "_" &amp; TEXT(COUNTIF($C$2:C2649, C2649),"0000")</f>
        <v>Enum_0049</v>
      </c>
      <c r="C2649" s="23" t="s">
        <v>873</v>
      </c>
      <c r="D2649" s="69" t="s">
        <v>9453</v>
      </c>
      <c r="E2649" s="70" t="s">
        <v>9455</v>
      </c>
      <c r="F2649" s="26" t="s">
        <v>798</v>
      </c>
      <c r="G2649" s="15" t="s">
        <v>798</v>
      </c>
      <c r="H2649" s="14" t="s">
        <v>798</v>
      </c>
      <c r="I2649" s="15" t="s">
        <v>798</v>
      </c>
      <c r="J2649" s="12" t="s">
        <v>9436</v>
      </c>
      <c r="K2649" s="16" t="s">
        <v>2722</v>
      </c>
      <c r="L2649" s="12" t="s">
        <v>800</v>
      </c>
      <c r="M2649" s="16" t="s">
        <v>5633</v>
      </c>
      <c r="N2649" s="19" t="s">
        <v>798</v>
      </c>
      <c r="O2649" s="20" t="s">
        <v>798</v>
      </c>
      <c r="P2649" s="17" t="s">
        <v>802</v>
      </c>
      <c r="Q2649" s="21" t="s">
        <v>8274</v>
      </c>
      <c r="R2649" s="19" t="s">
        <v>798</v>
      </c>
      <c r="S2649" s="20" t="s">
        <v>798</v>
      </c>
      <c r="T2649" s="17" t="s">
        <v>798</v>
      </c>
      <c r="U2649" s="20" t="s">
        <v>798</v>
      </c>
      <c r="V2649" s="26" t="s">
        <v>798</v>
      </c>
      <c r="W2649" s="20" t="s">
        <v>798</v>
      </c>
      <c r="X2649" s="26" t="s">
        <v>798</v>
      </c>
      <c r="Y2649" s="20" t="s">
        <v>798</v>
      </c>
      <c r="Z2649" s="73" t="s">
        <v>9486</v>
      </c>
      <c r="AA2649" s="74" t="s">
        <v>9501</v>
      </c>
      <c r="AB2649" s="73" t="s">
        <v>9486</v>
      </c>
      <c r="AC2649" s="74" t="s">
        <v>9562</v>
      </c>
      <c r="AD2649" s="73" t="s">
        <v>9578</v>
      </c>
      <c r="AE2649" s="74" t="s">
        <v>9579</v>
      </c>
    </row>
    <row r="2650" spans="1:31" ht="8.65" customHeight="1" x14ac:dyDescent="0.2">
      <c r="A2650" s="76">
        <v>2650</v>
      </c>
      <c r="B2650" s="67" t="str">
        <f>MID(C2650, FIND("Ifc.", C2650) + 4, 4) &amp; "_" &amp; TEXT(COUNTIF($C$2:C2650, C2650),"0000")</f>
        <v>Enum_0050</v>
      </c>
      <c r="C2650" s="23" t="s">
        <v>873</v>
      </c>
      <c r="D2650" s="69" t="s">
        <v>9453</v>
      </c>
      <c r="E2650" s="70" t="s">
        <v>9455</v>
      </c>
      <c r="F2650" s="26" t="s">
        <v>798</v>
      </c>
      <c r="G2650" s="15" t="s">
        <v>798</v>
      </c>
      <c r="H2650" s="14" t="s">
        <v>798</v>
      </c>
      <c r="I2650" s="15" t="s">
        <v>798</v>
      </c>
      <c r="J2650" s="12" t="s">
        <v>9436</v>
      </c>
      <c r="K2650" s="16" t="s">
        <v>2723</v>
      </c>
      <c r="L2650" s="12" t="s">
        <v>800</v>
      </c>
      <c r="M2650" s="16" t="s">
        <v>5634</v>
      </c>
      <c r="N2650" s="19" t="s">
        <v>798</v>
      </c>
      <c r="O2650" s="20" t="s">
        <v>798</v>
      </c>
      <c r="P2650" s="17" t="s">
        <v>802</v>
      </c>
      <c r="Q2650" s="21" t="s">
        <v>8275</v>
      </c>
      <c r="R2650" s="19" t="s">
        <v>798</v>
      </c>
      <c r="S2650" s="20" t="s">
        <v>798</v>
      </c>
      <c r="T2650" s="17" t="s">
        <v>798</v>
      </c>
      <c r="U2650" s="20" t="s">
        <v>798</v>
      </c>
      <c r="V2650" s="26" t="s">
        <v>798</v>
      </c>
      <c r="W2650" s="20" t="s">
        <v>798</v>
      </c>
      <c r="X2650" s="26" t="s">
        <v>798</v>
      </c>
      <c r="Y2650" s="20" t="s">
        <v>798</v>
      </c>
      <c r="Z2650" s="73" t="s">
        <v>9486</v>
      </c>
      <c r="AA2650" s="74" t="s">
        <v>9501</v>
      </c>
      <c r="AB2650" s="73" t="s">
        <v>9486</v>
      </c>
      <c r="AC2650" s="74" t="s">
        <v>9562</v>
      </c>
      <c r="AD2650" s="73" t="s">
        <v>9578</v>
      </c>
      <c r="AE2650" s="74" t="s">
        <v>9579</v>
      </c>
    </row>
    <row r="2651" spans="1:31" ht="8.65" customHeight="1" x14ac:dyDescent="0.2">
      <c r="A2651" s="76">
        <v>2651</v>
      </c>
      <c r="B2651" s="67" t="str">
        <f>MID(C2651, FIND("Ifc.", C2651) + 4, 4) &amp; "_" &amp; TEXT(COUNTIF($C$2:C2651, C2651),"0000")</f>
        <v>Enum_0051</v>
      </c>
      <c r="C2651" s="23" t="s">
        <v>873</v>
      </c>
      <c r="D2651" s="69" t="s">
        <v>9453</v>
      </c>
      <c r="E2651" s="70" t="s">
        <v>9455</v>
      </c>
      <c r="F2651" s="26" t="s">
        <v>798</v>
      </c>
      <c r="G2651" s="15" t="s">
        <v>798</v>
      </c>
      <c r="H2651" s="14" t="s">
        <v>798</v>
      </c>
      <c r="I2651" s="15" t="s">
        <v>798</v>
      </c>
      <c r="J2651" s="12" t="s">
        <v>9436</v>
      </c>
      <c r="K2651" s="16" t="s">
        <v>2724</v>
      </c>
      <c r="L2651" s="12" t="s">
        <v>800</v>
      </c>
      <c r="M2651" s="16" t="s">
        <v>5635</v>
      </c>
      <c r="N2651" s="19" t="s">
        <v>798</v>
      </c>
      <c r="O2651" s="20" t="s">
        <v>798</v>
      </c>
      <c r="P2651" s="17" t="s">
        <v>802</v>
      </c>
      <c r="Q2651" s="21" t="s">
        <v>8276</v>
      </c>
      <c r="R2651" s="19" t="s">
        <v>798</v>
      </c>
      <c r="S2651" s="20" t="s">
        <v>798</v>
      </c>
      <c r="T2651" s="17" t="s">
        <v>798</v>
      </c>
      <c r="U2651" s="20" t="s">
        <v>798</v>
      </c>
      <c r="V2651" s="26" t="s">
        <v>798</v>
      </c>
      <c r="W2651" s="20" t="s">
        <v>798</v>
      </c>
      <c r="X2651" s="26" t="s">
        <v>798</v>
      </c>
      <c r="Y2651" s="20" t="s">
        <v>798</v>
      </c>
      <c r="Z2651" s="73" t="s">
        <v>9486</v>
      </c>
      <c r="AA2651" s="74" t="s">
        <v>9501</v>
      </c>
      <c r="AB2651" s="73" t="s">
        <v>9486</v>
      </c>
      <c r="AC2651" s="74" t="s">
        <v>9562</v>
      </c>
      <c r="AD2651" s="73" t="s">
        <v>9578</v>
      </c>
      <c r="AE2651" s="74" t="s">
        <v>9579</v>
      </c>
    </row>
    <row r="2652" spans="1:31" ht="8.65" customHeight="1" x14ac:dyDescent="0.2">
      <c r="A2652" s="76">
        <v>2652</v>
      </c>
      <c r="B2652" s="67" t="str">
        <f>MID(C2652, FIND("Ifc.", C2652) + 4, 4) &amp; "_" &amp; TEXT(COUNTIF($C$2:C2652, C2652),"0000")</f>
        <v>Enum_0052</v>
      </c>
      <c r="C2652" s="23" t="s">
        <v>873</v>
      </c>
      <c r="D2652" s="69" t="s">
        <v>9453</v>
      </c>
      <c r="E2652" s="70" t="s">
        <v>9455</v>
      </c>
      <c r="F2652" s="26" t="s">
        <v>798</v>
      </c>
      <c r="G2652" s="15" t="s">
        <v>798</v>
      </c>
      <c r="H2652" s="14" t="s">
        <v>798</v>
      </c>
      <c r="I2652" s="15" t="s">
        <v>798</v>
      </c>
      <c r="J2652" s="12" t="s">
        <v>9436</v>
      </c>
      <c r="K2652" s="16" t="s">
        <v>2725</v>
      </c>
      <c r="L2652" s="12" t="s">
        <v>800</v>
      </c>
      <c r="M2652" s="16" t="s">
        <v>5636</v>
      </c>
      <c r="N2652" s="19" t="s">
        <v>798</v>
      </c>
      <c r="O2652" s="20" t="s">
        <v>798</v>
      </c>
      <c r="P2652" s="17" t="s">
        <v>802</v>
      </c>
      <c r="Q2652" s="21" t="s">
        <v>8277</v>
      </c>
      <c r="R2652" s="19" t="s">
        <v>798</v>
      </c>
      <c r="S2652" s="20" t="s">
        <v>798</v>
      </c>
      <c r="T2652" s="17" t="s">
        <v>798</v>
      </c>
      <c r="U2652" s="20" t="s">
        <v>798</v>
      </c>
      <c r="V2652" s="26" t="s">
        <v>798</v>
      </c>
      <c r="W2652" s="20" t="s">
        <v>798</v>
      </c>
      <c r="X2652" s="26" t="s">
        <v>798</v>
      </c>
      <c r="Y2652" s="20" t="s">
        <v>798</v>
      </c>
      <c r="Z2652" s="73" t="s">
        <v>9486</v>
      </c>
      <c r="AA2652" s="74" t="s">
        <v>9501</v>
      </c>
      <c r="AB2652" s="73" t="s">
        <v>9486</v>
      </c>
      <c r="AC2652" s="74" t="s">
        <v>9562</v>
      </c>
      <c r="AD2652" s="73" t="s">
        <v>9578</v>
      </c>
      <c r="AE2652" s="74" t="s">
        <v>9579</v>
      </c>
    </row>
    <row r="2653" spans="1:31" ht="8.65" customHeight="1" x14ac:dyDescent="0.2">
      <c r="A2653" s="76">
        <v>2653</v>
      </c>
      <c r="B2653" s="67" t="str">
        <f>MID(C2653, FIND("Ifc.", C2653) + 4, 4) &amp; "_" &amp; TEXT(COUNTIF($C$2:C2653, C2653),"0000")</f>
        <v>Enum_0053</v>
      </c>
      <c r="C2653" s="23" t="s">
        <v>873</v>
      </c>
      <c r="D2653" s="69" t="s">
        <v>9453</v>
      </c>
      <c r="E2653" s="70" t="s">
        <v>9455</v>
      </c>
      <c r="F2653" s="26" t="s">
        <v>798</v>
      </c>
      <c r="G2653" s="15" t="s">
        <v>798</v>
      </c>
      <c r="H2653" s="14" t="s">
        <v>798</v>
      </c>
      <c r="I2653" s="15" t="s">
        <v>798</v>
      </c>
      <c r="J2653" s="12" t="s">
        <v>9436</v>
      </c>
      <c r="K2653" s="16" t="s">
        <v>2726</v>
      </c>
      <c r="L2653" s="12" t="s">
        <v>800</v>
      </c>
      <c r="M2653" s="16" t="s">
        <v>5637</v>
      </c>
      <c r="N2653" s="19" t="s">
        <v>798</v>
      </c>
      <c r="O2653" s="20" t="s">
        <v>798</v>
      </c>
      <c r="P2653" s="17" t="s">
        <v>802</v>
      </c>
      <c r="Q2653" s="21" t="s">
        <v>8278</v>
      </c>
      <c r="R2653" s="19" t="s">
        <v>798</v>
      </c>
      <c r="S2653" s="20" t="s">
        <v>798</v>
      </c>
      <c r="T2653" s="17" t="s">
        <v>798</v>
      </c>
      <c r="U2653" s="20" t="s">
        <v>798</v>
      </c>
      <c r="V2653" s="26" t="s">
        <v>798</v>
      </c>
      <c r="W2653" s="20" t="s">
        <v>798</v>
      </c>
      <c r="X2653" s="26" t="s">
        <v>798</v>
      </c>
      <c r="Y2653" s="20" t="s">
        <v>798</v>
      </c>
      <c r="Z2653" s="73" t="s">
        <v>9486</v>
      </c>
      <c r="AA2653" s="74" t="s">
        <v>9501</v>
      </c>
      <c r="AB2653" s="73" t="s">
        <v>9486</v>
      </c>
      <c r="AC2653" s="74" t="s">
        <v>9562</v>
      </c>
      <c r="AD2653" s="73" t="s">
        <v>9578</v>
      </c>
      <c r="AE2653" s="74" t="s">
        <v>9579</v>
      </c>
    </row>
    <row r="2654" spans="1:31" ht="8.65" customHeight="1" x14ac:dyDescent="0.2">
      <c r="A2654" s="76">
        <v>2654</v>
      </c>
      <c r="B2654" s="67" t="str">
        <f>MID(C2654, FIND("Ifc.", C2654) + 4, 4) &amp; "_" &amp; TEXT(COUNTIF($C$2:C2654, C2654),"0000")</f>
        <v>Enum_0054</v>
      </c>
      <c r="C2654" s="23" t="s">
        <v>873</v>
      </c>
      <c r="D2654" s="69" t="s">
        <v>9453</v>
      </c>
      <c r="E2654" s="70" t="s">
        <v>9455</v>
      </c>
      <c r="F2654" s="26" t="s">
        <v>798</v>
      </c>
      <c r="G2654" s="15" t="s">
        <v>798</v>
      </c>
      <c r="H2654" s="14" t="s">
        <v>798</v>
      </c>
      <c r="I2654" s="15" t="s">
        <v>798</v>
      </c>
      <c r="J2654" s="12" t="s">
        <v>9436</v>
      </c>
      <c r="K2654" s="16" t="s">
        <v>2727</v>
      </c>
      <c r="L2654" s="12" t="s">
        <v>800</v>
      </c>
      <c r="M2654" s="16" t="s">
        <v>5638</v>
      </c>
      <c r="N2654" s="19" t="s">
        <v>798</v>
      </c>
      <c r="O2654" s="20" t="s">
        <v>798</v>
      </c>
      <c r="P2654" s="17" t="s">
        <v>802</v>
      </c>
      <c r="Q2654" s="21" t="s">
        <v>8279</v>
      </c>
      <c r="R2654" s="19" t="s">
        <v>798</v>
      </c>
      <c r="S2654" s="20" t="s">
        <v>798</v>
      </c>
      <c r="T2654" s="17" t="s">
        <v>798</v>
      </c>
      <c r="U2654" s="20" t="s">
        <v>798</v>
      </c>
      <c r="V2654" s="26" t="s">
        <v>798</v>
      </c>
      <c r="W2654" s="20" t="s">
        <v>798</v>
      </c>
      <c r="X2654" s="26" t="s">
        <v>798</v>
      </c>
      <c r="Y2654" s="20" t="s">
        <v>798</v>
      </c>
      <c r="Z2654" s="73" t="s">
        <v>9486</v>
      </c>
      <c r="AA2654" s="74" t="s">
        <v>9501</v>
      </c>
      <c r="AB2654" s="73" t="s">
        <v>9486</v>
      </c>
      <c r="AC2654" s="74" t="s">
        <v>9562</v>
      </c>
      <c r="AD2654" s="73" t="s">
        <v>9578</v>
      </c>
      <c r="AE2654" s="74" t="s">
        <v>9579</v>
      </c>
    </row>
    <row r="2655" spans="1:31" ht="8.65" customHeight="1" x14ac:dyDescent="0.2">
      <c r="A2655" s="76">
        <v>2655</v>
      </c>
      <c r="B2655" s="67" t="str">
        <f>MID(C2655, FIND("Ifc.", C2655) + 4, 4) &amp; "_" &amp; TEXT(COUNTIF($C$2:C2655, C2655),"0000")</f>
        <v>Enum_0055</v>
      </c>
      <c r="C2655" s="23" t="s">
        <v>873</v>
      </c>
      <c r="D2655" s="69" t="s">
        <v>9453</v>
      </c>
      <c r="E2655" s="70" t="s">
        <v>9455</v>
      </c>
      <c r="F2655" s="26" t="s">
        <v>798</v>
      </c>
      <c r="G2655" s="15" t="s">
        <v>798</v>
      </c>
      <c r="H2655" s="14" t="s">
        <v>798</v>
      </c>
      <c r="I2655" s="15" t="s">
        <v>798</v>
      </c>
      <c r="J2655" s="12" t="s">
        <v>9436</v>
      </c>
      <c r="K2655" s="16" t="s">
        <v>2728</v>
      </c>
      <c r="L2655" s="12" t="s">
        <v>800</v>
      </c>
      <c r="M2655" s="16" t="s">
        <v>5915</v>
      </c>
      <c r="N2655" s="19" t="s">
        <v>798</v>
      </c>
      <c r="O2655" s="20" t="s">
        <v>798</v>
      </c>
      <c r="P2655" s="17" t="s">
        <v>802</v>
      </c>
      <c r="Q2655" s="21" t="s">
        <v>8280</v>
      </c>
      <c r="R2655" s="19" t="s">
        <v>798</v>
      </c>
      <c r="S2655" s="20" t="s">
        <v>798</v>
      </c>
      <c r="T2655" s="17" t="s">
        <v>798</v>
      </c>
      <c r="U2655" s="20" t="s">
        <v>798</v>
      </c>
      <c r="V2655" s="26" t="s">
        <v>798</v>
      </c>
      <c r="W2655" s="20" t="s">
        <v>798</v>
      </c>
      <c r="X2655" s="26" t="s">
        <v>798</v>
      </c>
      <c r="Y2655" s="20" t="s">
        <v>798</v>
      </c>
      <c r="Z2655" s="73" t="s">
        <v>9486</v>
      </c>
      <c r="AA2655" s="74" t="s">
        <v>9501</v>
      </c>
      <c r="AB2655" s="73" t="s">
        <v>9486</v>
      </c>
      <c r="AC2655" s="74" t="s">
        <v>9562</v>
      </c>
      <c r="AD2655" s="73" t="s">
        <v>9578</v>
      </c>
      <c r="AE2655" s="74" t="s">
        <v>9579</v>
      </c>
    </row>
    <row r="2656" spans="1:31" ht="8.65" customHeight="1" x14ac:dyDescent="0.2">
      <c r="A2656" s="76">
        <v>2656</v>
      </c>
      <c r="B2656" s="67" t="str">
        <f>MID(C2656, FIND("Ifc.", C2656) + 4, 4) &amp; "_" &amp; TEXT(COUNTIF($C$2:C2656, C2656),"0000")</f>
        <v>Enum_0056</v>
      </c>
      <c r="C2656" s="23" t="s">
        <v>873</v>
      </c>
      <c r="D2656" s="69" t="s">
        <v>9453</v>
      </c>
      <c r="E2656" s="70" t="s">
        <v>9455</v>
      </c>
      <c r="F2656" s="26" t="s">
        <v>798</v>
      </c>
      <c r="G2656" s="15" t="s">
        <v>798</v>
      </c>
      <c r="H2656" s="14" t="s">
        <v>798</v>
      </c>
      <c r="I2656" s="15" t="s">
        <v>798</v>
      </c>
      <c r="J2656" s="12" t="s">
        <v>9436</v>
      </c>
      <c r="K2656" s="16" t="s">
        <v>2729</v>
      </c>
      <c r="L2656" s="12" t="s">
        <v>800</v>
      </c>
      <c r="M2656" s="16" t="s">
        <v>5639</v>
      </c>
      <c r="N2656" s="19" t="s">
        <v>798</v>
      </c>
      <c r="O2656" s="20" t="s">
        <v>798</v>
      </c>
      <c r="P2656" s="17" t="s">
        <v>802</v>
      </c>
      <c r="Q2656" s="21" t="s">
        <v>8281</v>
      </c>
      <c r="R2656" s="19" t="s">
        <v>798</v>
      </c>
      <c r="S2656" s="20" t="s">
        <v>798</v>
      </c>
      <c r="T2656" s="17" t="s">
        <v>798</v>
      </c>
      <c r="U2656" s="20" t="s">
        <v>798</v>
      </c>
      <c r="V2656" s="26" t="s">
        <v>798</v>
      </c>
      <c r="W2656" s="20" t="s">
        <v>798</v>
      </c>
      <c r="X2656" s="26" t="s">
        <v>798</v>
      </c>
      <c r="Y2656" s="20" t="s">
        <v>798</v>
      </c>
      <c r="Z2656" s="73" t="s">
        <v>9486</v>
      </c>
      <c r="AA2656" s="74" t="s">
        <v>9501</v>
      </c>
      <c r="AB2656" s="73" t="s">
        <v>9486</v>
      </c>
      <c r="AC2656" s="74" t="s">
        <v>9562</v>
      </c>
      <c r="AD2656" s="73" t="s">
        <v>9578</v>
      </c>
      <c r="AE2656" s="74" t="s">
        <v>9579</v>
      </c>
    </row>
    <row r="2657" spans="1:31" ht="8.65" customHeight="1" x14ac:dyDescent="0.2">
      <c r="A2657" s="76">
        <v>2657</v>
      </c>
      <c r="B2657" s="67" t="str">
        <f>MID(C2657, FIND("Ifc.", C2657) + 4, 4) &amp; "_" &amp; TEXT(COUNTIF($C$2:C2657, C2657),"0000")</f>
        <v>Enum_0057</v>
      </c>
      <c r="C2657" s="23" t="s">
        <v>873</v>
      </c>
      <c r="D2657" s="69" t="s">
        <v>9453</v>
      </c>
      <c r="E2657" s="70" t="s">
        <v>9455</v>
      </c>
      <c r="F2657" s="26" t="s">
        <v>798</v>
      </c>
      <c r="G2657" s="15" t="s">
        <v>798</v>
      </c>
      <c r="H2657" s="14" t="s">
        <v>798</v>
      </c>
      <c r="I2657" s="15" t="s">
        <v>798</v>
      </c>
      <c r="J2657" s="12" t="s">
        <v>9436</v>
      </c>
      <c r="K2657" s="16" t="s">
        <v>2730</v>
      </c>
      <c r="L2657" s="12" t="s">
        <v>800</v>
      </c>
      <c r="M2657" s="16" t="s">
        <v>5640</v>
      </c>
      <c r="N2657" s="19" t="s">
        <v>798</v>
      </c>
      <c r="O2657" s="20" t="s">
        <v>798</v>
      </c>
      <c r="P2657" s="17" t="s">
        <v>802</v>
      </c>
      <c r="Q2657" s="21" t="s">
        <v>8282</v>
      </c>
      <c r="R2657" s="19" t="s">
        <v>798</v>
      </c>
      <c r="S2657" s="20" t="s">
        <v>798</v>
      </c>
      <c r="T2657" s="17" t="s">
        <v>798</v>
      </c>
      <c r="U2657" s="20" t="s">
        <v>798</v>
      </c>
      <c r="V2657" s="26" t="s">
        <v>798</v>
      </c>
      <c r="W2657" s="20" t="s">
        <v>798</v>
      </c>
      <c r="X2657" s="26" t="s">
        <v>798</v>
      </c>
      <c r="Y2657" s="20" t="s">
        <v>798</v>
      </c>
      <c r="Z2657" s="73" t="s">
        <v>9486</v>
      </c>
      <c r="AA2657" s="74" t="s">
        <v>9501</v>
      </c>
      <c r="AB2657" s="73" t="s">
        <v>9486</v>
      </c>
      <c r="AC2657" s="74" t="s">
        <v>9562</v>
      </c>
      <c r="AD2657" s="73" t="s">
        <v>9578</v>
      </c>
      <c r="AE2657" s="74" t="s">
        <v>9579</v>
      </c>
    </row>
    <row r="2658" spans="1:31" ht="8.65" customHeight="1" x14ac:dyDescent="0.2">
      <c r="A2658" s="76">
        <v>2658</v>
      </c>
      <c r="B2658" s="67" t="str">
        <f>MID(C2658, FIND("Ifc.", C2658) + 4, 4) &amp; "_" &amp; TEXT(COUNTIF($C$2:C2658, C2658),"0000")</f>
        <v>Enum_0058</v>
      </c>
      <c r="C2658" s="23" t="s">
        <v>873</v>
      </c>
      <c r="D2658" s="69" t="s">
        <v>9453</v>
      </c>
      <c r="E2658" s="70" t="s">
        <v>9455</v>
      </c>
      <c r="F2658" s="26" t="s">
        <v>798</v>
      </c>
      <c r="G2658" s="15" t="s">
        <v>798</v>
      </c>
      <c r="H2658" s="14" t="s">
        <v>798</v>
      </c>
      <c r="I2658" s="15" t="s">
        <v>798</v>
      </c>
      <c r="J2658" s="12" t="s">
        <v>9436</v>
      </c>
      <c r="K2658" s="16" t="s">
        <v>2731</v>
      </c>
      <c r="L2658" s="12" t="s">
        <v>800</v>
      </c>
      <c r="M2658" s="16" t="s">
        <v>5641</v>
      </c>
      <c r="N2658" s="19" t="s">
        <v>798</v>
      </c>
      <c r="O2658" s="20" t="s">
        <v>798</v>
      </c>
      <c r="P2658" s="17" t="s">
        <v>802</v>
      </c>
      <c r="Q2658" s="21" t="s">
        <v>8283</v>
      </c>
      <c r="R2658" s="19" t="s">
        <v>798</v>
      </c>
      <c r="S2658" s="20" t="s">
        <v>798</v>
      </c>
      <c r="T2658" s="17" t="s">
        <v>798</v>
      </c>
      <c r="U2658" s="20" t="s">
        <v>798</v>
      </c>
      <c r="V2658" s="26" t="s">
        <v>798</v>
      </c>
      <c r="W2658" s="20" t="s">
        <v>798</v>
      </c>
      <c r="X2658" s="26" t="s">
        <v>798</v>
      </c>
      <c r="Y2658" s="20" t="s">
        <v>798</v>
      </c>
      <c r="Z2658" s="73" t="s">
        <v>9486</v>
      </c>
      <c r="AA2658" s="74" t="s">
        <v>9501</v>
      </c>
      <c r="AB2658" s="73" t="s">
        <v>9486</v>
      </c>
      <c r="AC2658" s="74" t="s">
        <v>9562</v>
      </c>
      <c r="AD2658" s="73" t="s">
        <v>9578</v>
      </c>
      <c r="AE2658" s="74" t="s">
        <v>9579</v>
      </c>
    </row>
    <row r="2659" spans="1:31" ht="8.65" customHeight="1" x14ac:dyDescent="0.2">
      <c r="A2659" s="76">
        <v>2659</v>
      </c>
      <c r="B2659" s="67" t="str">
        <f>MID(C2659, FIND("Ifc.", C2659) + 4, 4) &amp; "_" &amp; TEXT(COUNTIF($C$2:C2659, C2659),"0000")</f>
        <v>Enum_0059</v>
      </c>
      <c r="C2659" s="23" t="s">
        <v>873</v>
      </c>
      <c r="D2659" s="69" t="s">
        <v>9453</v>
      </c>
      <c r="E2659" s="70" t="s">
        <v>9455</v>
      </c>
      <c r="F2659" s="26" t="s">
        <v>798</v>
      </c>
      <c r="G2659" s="15" t="s">
        <v>798</v>
      </c>
      <c r="H2659" s="14" t="s">
        <v>798</v>
      </c>
      <c r="I2659" s="15" t="s">
        <v>798</v>
      </c>
      <c r="J2659" s="12" t="s">
        <v>9436</v>
      </c>
      <c r="K2659" s="16" t="s">
        <v>2732</v>
      </c>
      <c r="L2659" s="12" t="s">
        <v>800</v>
      </c>
      <c r="M2659" s="16" t="s">
        <v>5642</v>
      </c>
      <c r="N2659" s="19" t="s">
        <v>798</v>
      </c>
      <c r="O2659" s="20" t="s">
        <v>798</v>
      </c>
      <c r="P2659" s="17" t="s">
        <v>802</v>
      </c>
      <c r="Q2659" s="21" t="s">
        <v>8284</v>
      </c>
      <c r="R2659" s="19" t="s">
        <v>798</v>
      </c>
      <c r="S2659" s="20" t="s">
        <v>798</v>
      </c>
      <c r="T2659" s="17" t="s">
        <v>798</v>
      </c>
      <c r="U2659" s="20" t="s">
        <v>798</v>
      </c>
      <c r="V2659" s="26" t="s">
        <v>798</v>
      </c>
      <c r="W2659" s="20" t="s">
        <v>798</v>
      </c>
      <c r="X2659" s="26" t="s">
        <v>798</v>
      </c>
      <c r="Y2659" s="20" t="s">
        <v>798</v>
      </c>
      <c r="Z2659" s="73" t="s">
        <v>9486</v>
      </c>
      <c r="AA2659" s="74" t="s">
        <v>9501</v>
      </c>
      <c r="AB2659" s="73" t="s">
        <v>9486</v>
      </c>
      <c r="AC2659" s="74" t="s">
        <v>9562</v>
      </c>
      <c r="AD2659" s="73" t="s">
        <v>9578</v>
      </c>
      <c r="AE2659" s="74" t="s">
        <v>9579</v>
      </c>
    </row>
    <row r="2660" spans="1:31" ht="8.65" customHeight="1" x14ac:dyDescent="0.2">
      <c r="A2660" s="76">
        <v>2660</v>
      </c>
      <c r="B2660" s="67" t="str">
        <f>MID(C2660, FIND("Ifc.", C2660) + 4, 4) &amp; "_" &amp; TEXT(COUNTIF($C$2:C2660, C2660),"0000")</f>
        <v>Enum_0060</v>
      </c>
      <c r="C2660" s="23" t="s">
        <v>873</v>
      </c>
      <c r="D2660" s="69" t="s">
        <v>9453</v>
      </c>
      <c r="E2660" s="70" t="s">
        <v>9455</v>
      </c>
      <c r="F2660" s="26" t="s">
        <v>798</v>
      </c>
      <c r="G2660" s="15" t="s">
        <v>798</v>
      </c>
      <c r="H2660" s="14" t="s">
        <v>798</v>
      </c>
      <c r="I2660" s="15" t="s">
        <v>798</v>
      </c>
      <c r="J2660" s="12" t="s">
        <v>9436</v>
      </c>
      <c r="K2660" s="16" t="s">
        <v>2733</v>
      </c>
      <c r="L2660" s="12" t="s">
        <v>800</v>
      </c>
      <c r="M2660" s="16" t="s">
        <v>5879</v>
      </c>
      <c r="N2660" s="19" t="s">
        <v>798</v>
      </c>
      <c r="O2660" s="20" t="s">
        <v>798</v>
      </c>
      <c r="P2660" s="17" t="s">
        <v>802</v>
      </c>
      <c r="Q2660" s="21" t="s">
        <v>8285</v>
      </c>
      <c r="R2660" s="19" t="s">
        <v>798</v>
      </c>
      <c r="S2660" s="20" t="s">
        <v>798</v>
      </c>
      <c r="T2660" s="17" t="s">
        <v>798</v>
      </c>
      <c r="U2660" s="20" t="s">
        <v>798</v>
      </c>
      <c r="V2660" s="26" t="s">
        <v>798</v>
      </c>
      <c r="W2660" s="20" t="s">
        <v>798</v>
      </c>
      <c r="X2660" s="26" t="s">
        <v>798</v>
      </c>
      <c r="Y2660" s="20" t="s">
        <v>798</v>
      </c>
      <c r="Z2660" s="73" t="s">
        <v>9486</v>
      </c>
      <c r="AA2660" s="74" t="s">
        <v>9501</v>
      </c>
      <c r="AB2660" s="73" t="s">
        <v>9486</v>
      </c>
      <c r="AC2660" s="74" t="s">
        <v>9562</v>
      </c>
      <c r="AD2660" s="73" t="s">
        <v>9578</v>
      </c>
      <c r="AE2660" s="74" t="s">
        <v>9579</v>
      </c>
    </row>
    <row r="2661" spans="1:31" ht="8.65" customHeight="1" x14ac:dyDescent="0.2">
      <c r="A2661" s="76">
        <v>2661</v>
      </c>
      <c r="B2661" s="67" t="str">
        <f>MID(C2661, FIND("Ifc.", C2661) + 4, 4) &amp; "_" &amp; TEXT(COUNTIF($C$2:C2661, C2661),"0000")</f>
        <v>Enum_0061</v>
      </c>
      <c r="C2661" s="23" t="s">
        <v>873</v>
      </c>
      <c r="D2661" s="69" t="s">
        <v>9453</v>
      </c>
      <c r="E2661" s="70" t="s">
        <v>9455</v>
      </c>
      <c r="F2661" s="26" t="s">
        <v>798</v>
      </c>
      <c r="G2661" s="15" t="s">
        <v>798</v>
      </c>
      <c r="H2661" s="14" t="s">
        <v>798</v>
      </c>
      <c r="I2661" s="15" t="s">
        <v>798</v>
      </c>
      <c r="J2661" s="12" t="s">
        <v>9436</v>
      </c>
      <c r="K2661" s="16" t="s">
        <v>2734</v>
      </c>
      <c r="L2661" s="12" t="s">
        <v>800</v>
      </c>
      <c r="M2661" s="16" t="s">
        <v>5643</v>
      </c>
      <c r="N2661" s="19" t="s">
        <v>798</v>
      </c>
      <c r="O2661" s="20" t="s">
        <v>798</v>
      </c>
      <c r="P2661" s="17" t="s">
        <v>802</v>
      </c>
      <c r="Q2661" s="21" t="s">
        <v>8286</v>
      </c>
      <c r="R2661" s="19" t="s">
        <v>798</v>
      </c>
      <c r="S2661" s="20" t="s">
        <v>798</v>
      </c>
      <c r="T2661" s="17" t="s">
        <v>798</v>
      </c>
      <c r="U2661" s="20" t="s">
        <v>798</v>
      </c>
      <c r="V2661" s="26" t="s">
        <v>798</v>
      </c>
      <c r="W2661" s="20" t="s">
        <v>798</v>
      </c>
      <c r="X2661" s="26" t="s">
        <v>798</v>
      </c>
      <c r="Y2661" s="20" t="s">
        <v>798</v>
      </c>
      <c r="Z2661" s="73" t="s">
        <v>9486</v>
      </c>
      <c r="AA2661" s="74" t="s">
        <v>9501</v>
      </c>
      <c r="AB2661" s="73" t="s">
        <v>9486</v>
      </c>
      <c r="AC2661" s="74" t="s">
        <v>9562</v>
      </c>
      <c r="AD2661" s="73" t="s">
        <v>9578</v>
      </c>
      <c r="AE2661" s="74" t="s">
        <v>9579</v>
      </c>
    </row>
    <row r="2662" spans="1:31" ht="8.65" customHeight="1" x14ac:dyDescent="0.2">
      <c r="A2662" s="76">
        <v>2662</v>
      </c>
      <c r="B2662" s="67" t="str">
        <f>MID(C2662, FIND("Ifc.", C2662) + 4, 4) &amp; "_" &amp; TEXT(COUNTIF($C$2:C2662, C2662),"0000")</f>
        <v>Enum_0062</v>
      </c>
      <c r="C2662" s="23" t="s">
        <v>873</v>
      </c>
      <c r="D2662" s="69" t="s">
        <v>9453</v>
      </c>
      <c r="E2662" s="70" t="s">
        <v>9455</v>
      </c>
      <c r="F2662" s="26" t="s">
        <v>798</v>
      </c>
      <c r="G2662" s="15" t="s">
        <v>798</v>
      </c>
      <c r="H2662" s="14" t="s">
        <v>798</v>
      </c>
      <c r="I2662" s="15" t="s">
        <v>798</v>
      </c>
      <c r="J2662" s="12" t="s">
        <v>9436</v>
      </c>
      <c r="K2662" s="16" t="s">
        <v>2735</v>
      </c>
      <c r="L2662" s="12" t="s">
        <v>800</v>
      </c>
      <c r="M2662" s="16" t="s">
        <v>5644</v>
      </c>
      <c r="N2662" s="19" t="s">
        <v>798</v>
      </c>
      <c r="O2662" s="20" t="s">
        <v>798</v>
      </c>
      <c r="P2662" s="17" t="s">
        <v>802</v>
      </c>
      <c r="Q2662" s="21" t="s">
        <v>8287</v>
      </c>
      <c r="R2662" s="19" t="s">
        <v>798</v>
      </c>
      <c r="S2662" s="20" t="s">
        <v>798</v>
      </c>
      <c r="T2662" s="17" t="s">
        <v>798</v>
      </c>
      <c r="U2662" s="20" t="s">
        <v>798</v>
      </c>
      <c r="V2662" s="26" t="s">
        <v>798</v>
      </c>
      <c r="W2662" s="20" t="s">
        <v>798</v>
      </c>
      <c r="X2662" s="26" t="s">
        <v>798</v>
      </c>
      <c r="Y2662" s="20" t="s">
        <v>798</v>
      </c>
      <c r="Z2662" s="73" t="s">
        <v>9486</v>
      </c>
      <c r="AA2662" s="74" t="s">
        <v>9501</v>
      </c>
      <c r="AB2662" s="73" t="s">
        <v>9486</v>
      </c>
      <c r="AC2662" s="74" t="s">
        <v>9562</v>
      </c>
      <c r="AD2662" s="73" t="s">
        <v>9578</v>
      </c>
      <c r="AE2662" s="74" t="s">
        <v>9579</v>
      </c>
    </row>
    <row r="2663" spans="1:31" ht="8.65" customHeight="1" x14ac:dyDescent="0.2">
      <c r="A2663" s="76">
        <v>2663</v>
      </c>
      <c r="B2663" s="67" t="str">
        <f>MID(C2663, FIND("Ifc.", C2663) + 4, 4) &amp; "_" &amp; TEXT(COUNTIF($C$2:C2663, C2663),"0000")</f>
        <v>Enum_0063</v>
      </c>
      <c r="C2663" s="23" t="s">
        <v>873</v>
      </c>
      <c r="D2663" s="69" t="s">
        <v>9453</v>
      </c>
      <c r="E2663" s="70" t="s">
        <v>9455</v>
      </c>
      <c r="F2663" s="26" t="s">
        <v>798</v>
      </c>
      <c r="G2663" s="15" t="s">
        <v>798</v>
      </c>
      <c r="H2663" s="14" t="s">
        <v>798</v>
      </c>
      <c r="I2663" s="15" t="s">
        <v>798</v>
      </c>
      <c r="J2663" s="12" t="s">
        <v>9436</v>
      </c>
      <c r="K2663" s="16" t="s">
        <v>2736</v>
      </c>
      <c r="L2663" s="12" t="s">
        <v>800</v>
      </c>
      <c r="M2663" s="16" t="s">
        <v>5645</v>
      </c>
      <c r="N2663" s="19" t="s">
        <v>798</v>
      </c>
      <c r="O2663" s="20" t="s">
        <v>798</v>
      </c>
      <c r="P2663" s="17" t="s">
        <v>802</v>
      </c>
      <c r="Q2663" s="21" t="s">
        <v>8288</v>
      </c>
      <c r="R2663" s="19" t="s">
        <v>798</v>
      </c>
      <c r="S2663" s="20" t="s">
        <v>798</v>
      </c>
      <c r="T2663" s="17" t="s">
        <v>798</v>
      </c>
      <c r="U2663" s="20" t="s">
        <v>798</v>
      </c>
      <c r="V2663" s="26" t="s">
        <v>798</v>
      </c>
      <c r="W2663" s="20" t="s">
        <v>798</v>
      </c>
      <c r="X2663" s="26" t="s">
        <v>798</v>
      </c>
      <c r="Y2663" s="20" t="s">
        <v>798</v>
      </c>
      <c r="Z2663" s="73" t="s">
        <v>9486</v>
      </c>
      <c r="AA2663" s="74" t="s">
        <v>9501</v>
      </c>
      <c r="AB2663" s="73" t="s">
        <v>9486</v>
      </c>
      <c r="AC2663" s="74" t="s">
        <v>9562</v>
      </c>
      <c r="AD2663" s="73" t="s">
        <v>9578</v>
      </c>
      <c r="AE2663" s="74" t="s">
        <v>9579</v>
      </c>
    </row>
    <row r="2664" spans="1:31" ht="8.65" customHeight="1" x14ac:dyDescent="0.2">
      <c r="A2664" s="76">
        <v>2664</v>
      </c>
      <c r="B2664" s="67" t="str">
        <f>MID(C2664, FIND("Ifc.", C2664) + 4, 4) &amp; "_" &amp; TEXT(COUNTIF($C$2:C2664, C2664),"0000")</f>
        <v>Enum_0064</v>
      </c>
      <c r="C2664" s="23" t="s">
        <v>873</v>
      </c>
      <c r="D2664" s="69" t="s">
        <v>9453</v>
      </c>
      <c r="E2664" s="70" t="s">
        <v>9455</v>
      </c>
      <c r="F2664" s="26" t="s">
        <v>798</v>
      </c>
      <c r="G2664" s="15" t="s">
        <v>798</v>
      </c>
      <c r="H2664" s="14" t="s">
        <v>798</v>
      </c>
      <c r="I2664" s="15" t="s">
        <v>798</v>
      </c>
      <c r="J2664" s="12" t="s">
        <v>9436</v>
      </c>
      <c r="K2664" s="16" t="s">
        <v>2737</v>
      </c>
      <c r="L2664" s="12" t="s">
        <v>800</v>
      </c>
      <c r="M2664" s="16" t="s">
        <v>5646</v>
      </c>
      <c r="N2664" s="19" t="s">
        <v>798</v>
      </c>
      <c r="O2664" s="20" t="s">
        <v>798</v>
      </c>
      <c r="P2664" s="17" t="s">
        <v>802</v>
      </c>
      <c r="Q2664" s="21" t="s">
        <v>8289</v>
      </c>
      <c r="R2664" s="19" t="s">
        <v>798</v>
      </c>
      <c r="S2664" s="20" t="s">
        <v>798</v>
      </c>
      <c r="T2664" s="17" t="s">
        <v>798</v>
      </c>
      <c r="U2664" s="20" t="s">
        <v>798</v>
      </c>
      <c r="V2664" s="26" t="s">
        <v>798</v>
      </c>
      <c r="W2664" s="20" t="s">
        <v>798</v>
      </c>
      <c r="X2664" s="26" t="s">
        <v>798</v>
      </c>
      <c r="Y2664" s="20" t="s">
        <v>798</v>
      </c>
      <c r="Z2664" s="73" t="s">
        <v>9486</v>
      </c>
      <c r="AA2664" s="74" t="s">
        <v>9501</v>
      </c>
      <c r="AB2664" s="73" t="s">
        <v>9486</v>
      </c>
      <c r="AC2664" s="74" t="s">
        <v>9562</v>
      </c>
      <c r="AD2664" s="73" t="s">
        <v>9578</v>
      </c>
      <c r="AE2664" s="74" t="s">
        <v>9579</v>
      </c>
    </row>
    <row r="2665" spans="1:31" ht="8.65" customHeight="1" x14ac:dyDescent="0.2">
      <c r="A2665" s="76">
        <v>2665</v>
      </c>
      <c r="B2665" s="67" t="str">
        <f>MID(C2665, FIND("Ifc.", C2665) + 4, 4) &amp; "_" &amp; TEXT(COUNTIF($C$2:C2665, C2665),"0000")</f>
        <v>Enum_0065</v>
      </c>
      <c r="C2665" s="23" t="s">
        <v>873</v>
      </c>
      <c r="D2665" s="69" t="s">
        <v>9453</v>
      </c>
      <c r="E2665" s="70" t="s">
        <v>9455</v>
      </c>
      <c r="F2665" s="26" t="s">
        <v>798</v>
      </c>
      <c r="G2665" s="15" t="s">
        <v>798</v>
      </c>
      <c r="H2665" s="14" t="s">
        <v>798</v>
      </c>
      <c r="I2665" s="15" t="s">
        <v>798</v>
      </c>
      <c r="J2665" s="12" t="s">
        <v>9436</v>
      </c>
      <c r="K2665" s="16" t="s">
        <v>2738</v>
      </c>
      <c r="L2665" s="12" t="s">
        <v>800</v>
      </c>
      <c r="M2665" s="16" t="s">
        <v>5647</v>
      </c>
      <c r="N2665" s="19" t="s">
        <v>798</v>
      </c>
      <c r="O2665" s="20" t="s">
        <v>798</v>
      </c>
      <c r="P2665" s="17" t="s">
        <v>802</v>
      </c>
      <c r="Q2665" s="21" t="s">
        <v>8290</v>
      </c>
      <c r="R2665" s="19" t="s">
        <v>798</v>
      </c>
      <c r="S2665" s="20" t="s">
        <v>798</v>
      </c>
      <c r="T2665" s="17" t="s">
        <v>798</v>
      </c>
      <c r="U2665" s="20" t="s">
        <v>798</v>
      </c>
      <c r="V2665" s="26" t="s">
        <v>798</v>
      </c>
      <c r="W2665" s="20" t="s">
        <v>798</v>
      </c>
      <c r="X2665" s="26" t="s">
        <v>798</v>
      </c>
      <c r="Y2665" s="20" t="s">
        <v>798</v>
      </c>
      <c r="Z2665" s="73" t="s">
        <v>9486</v>
      </c>
      <c r="AA2665" s="74" t="s">
        <v>9501</v>
      </c>
      <c r="AB2665" s="73" t="s">
        <v>9486</v>
      </c>
      <c r="AC2665" s="74" t="s">
        <v>9562</v>
      </c>
      <c r="AD2665" s="73" t="s">
        <v>9578</v>
      </c>
      <c r="AE2665" s="74" t="s">
        <v>9579</v>
      </c>
    </row>
    <row r="2666" spans="1:31" ht="8.65" customHeight="1" x14ac:dyDescent="0.2">
      <c r="A2666" s="76">
        <v>2666</v>
      </c>
      <c r="B2666" s="67" t="str">
        <f>MID(C2666, FIND("Ifc.", C2666) + 4, 4) &amp; "_" &amp; TEXT(COUNTIF($C$2:C2666, C2666),"0000")</f>
        <v>Enum_0066</v>
      </c>
      <c r="C2666" s="23" t="s">
        <v>873</v>
      </c>
      <c r="D2666" s="69" t="s">
        <v>9453</v>
      </c>
      <c r="E2666" s="70" t="s">
        <v>9455</v>
      </c>
      <c r="F2666" s="26" t="s">
        <v>798</v>
      </c>
      <c r="G2666" s="15" t="s">
        <v>798</v>
      </c>
      <c r="H2666" s="14" t="s">
        <v>798</v>
      </c>
      <c r="I2666" s="15" t="s">
        <v>798</v>
      </c>
      <c r="J2666" s="12" t="s">
        <v>9436</v>
      </c>
      <c r="K2666" s="16" t="s">
        <v>2739</v>
      </c>
      <c r="L2666" s="12" t="s">
        <v>800</v>
      </c>
      <c r="M2666" s="16" t="s">
        <v>5648</v>
      </c>
      <c r="N2666" s="19" t="s">
        <v>798</v>
      </c>
      <c r="O2666" s="20" t="s">
        <v>798</v>
      </c>
      <c r="P2666" s="17" t="s">
        <v>802</v>
      </c>
      <c r="Q2666" s="21" t="s">
        <v>8291</v>
      </c>
      <c r="R2666" s="19" t="s">
        <v>798</v>
      </c>
      <c r="S2666" s="20" t="s">
        <v>798</v>
      </c>
      <c r="T2666" s="17" t="s">
        <v>798</v>
      </c>
      <c r="U2666" s="20" t="s">
        <v>798</v>
      </c>
      <c r="V2666" s="26" t="s">
        <v>798</v>
      </c>
      <c r="W2666" s="20" t="s">
        <v>798</v>
      </c>
      <c r="X2666" s="26" t="s">
        <v>798</v>
      </c>
      <c r="Y2666" s="20" t="s">
        <v>798</v>
      </c>
      <c r="Z2666" s="73" t="s">
        <v>9486</v>
      </c>
      <c r="AA2666" s="74" t="s">
        <v>9501</v>
      </c>
      <c r="AB2666" s="73" t="s">
        <v>9486</v>
      </c>
      <c r="AC2666" s="74" t="s">
        <v>9562</v>
      </c>
      <c r="AD2666" s="73" t="s">
        <v>9578</v>
      </c>
      <c r="AE2666" s="74" t="s">
        <v>9579</v>
      </c>
    </row>
    <row r="2667" spans="1:31" ht="8.65" customHeight="1" x14ac:dyDescent="0.2">
      <c r="A2667" s="76">
        <v>2667</v>
      </c>
      <c r="B2667" s="67" t="str">
        <f>MID(C2667, FIND("Ifc.", C2667) + 4, 4) &amp; "_" &amp; TEXT(COUNTIF($C$2:C2667, C2667),"0000")</f>
        <v>Enum_0067</v>
      </c>
      <c r="C2667" s="23" t="s">
        <v>873</v>
      </c>
      <c r="D2667" s="69" t="s">
        <v>9453</v>
      </c>
      <c r="E2667" s="70" t="s">
        <v>9455</v>
      </c>
      <c r="F2667" s="26" t="s">
        <v>798</v>
      </c>
      <c r="G2667" s="15" t="s">
        <v>798</v>
      </c>
      <c r="H2667" s="14" t="s">
        <v>798</v>
      </c>
      <c r="I2667" s="15" t="s">
        <v>798</v>
      </c>
      <c r="J2667" s="12" t="s">
        <v>9436</v>
      </c>
      <c r="K2667" s="16" t="s">
        <v>2740</v>
      </c>
      <c r="L2667" s="12" t="s">
        <v>800</v>
      </c>
      <c r="M2667" s="16" t="s">
        <v>5649</v>
      </c>
      <c r="N2667" s="19" t="s">
        <v>798</v>
      </c>
      <c r="O2667" s="20" t="s">
        <v>798</v>
      </c>
      <c r="P2667" s="17" t="s">
        <v>802</v>
      </c>
      <c r="Q2667" s="21" t="s">
        <v>8292</v>
      </c>
      <c r="R2667" s="19" t="s">
        <v>798</v>
      </c>
      <c r="S2667" s="20" t="s">
        <v>798</v>
      </c>
      <c r="T2667" s="17" t="s">
        <v>798</v>
      </c>
      <c r="U2667" s="20" t="s">
        <v>798</v>
      </c>
      <c r="V2667" s="26" t="s">
        <v>798</v>
      </c>
      <c r="W2667" s="20" t="s">
        <v>798</v>
      </c>
      <c r="X2667" s="26" t="s">
        <v>798</v>
      </c>
      <c r="Y2667" s="20" t="s">
        <v>798</v>
      </c>
      <c r="Z2667" s="73" t="s">
        <v>9486</v>
      </c>
      <c r="AA2667" s="74" t="s">
        <v>9501</v>
      </c>
      <c r="AB2667" s="73" t="s">
        <v>9486</v>
      </c>
      <c r="AC2667" s="74" t="s">
        <v>9562</v>
      </c>
      <c r="AD2667" s="73" t="s">
        <v>9578</v>
      </c>
      <c r="AE2667" s="74" t="s">
        <v>9579</v>
      </c>
    </row>
    <row r="2668" spans="1:31" ht="8.65" customHeight="1" x14ac:dyDescent="0.2">
      <c r="A2668" s="76">
        <v>2668</v>
      </c>
      <c r="B2668" s="67" t="str">
        <f>MID(C2668, FIND("Ifc.", C2668) + 4, 4) &amp; "_" &amp; TEXT(COUNTIF($C$2:C2668, C2668),"0000")</f>
        <v>Enum_0068</v>
      </c>
      <c r="C2668" s="23" t="s">
        <v>873</v>
      </c>
      <c r="D2668" s="69" t="s">
        <v>9453</v>
      </c>
      <c r="E2668" s="70" t="s">
        <v>9455</v>
      </c>
      <c r="F2668" s="26" t="s">
        <v>798</v>
      </c>
      <c r="G2668" s="15" t="s">
        <v>798</v>
      </c>
      <c r="H2668" s="14" t="s">
        <v>798</v>
      </c>
      <c r="I2668" s="15" t="s">
        <v>798</v>
      </c>
      <c r="J2668" s="12" t="s">
        <v>9436</v>
      </c>
      <c r="K2668" s="16" t="s">
        <v>2741</v>
      </c>
      <c r="L2668" s="12" t="s">
        <v>800</v>
      </c>
      <c r="M2668" s="16" t="s">
        <v>5650</v>
      </c>
      <c r="N2668" s="19" t="s">
        <v>798</v>
      </c>
      <c r="O2668" s="20" t="s">
        <v>798</v>
      </c>
      <c r="P2668" s="17" t="s">
        <v>802</v>
      </c>
      <c r="Q2668" s="21" t="s">
        <v>8293</v>
      </c>
      <c r="R2668" s="19" t="s">
        <v>798</v>
      </c>
      <c r="S2668" s="20" t="s">
        <v>798</v>
      </c>
      <c r="T2668" s="17" t="s">
        <v>798</v>
      </c>
      <c r="U2668" s="20" t="s">
        <v>798</v>
      </c>
      <c r="V2668" s="26" t="s">
        <v>798</v>
      </c>
      <c r="W2668" s="20" t="s">
        <v>798</v>
      </c>
      <c r="X2668" s="26" t="s">
        <v>798</v>
      </c>
      <c r="Y2668" s="20" t="s">
        <v>798</v>
      </c>
      <c r="Z2668" s="73" t="s">
        <v>9486</v>
      </c>
      <c r="AA2668" s="74" t="s">
        <v>9501</v>
      </c>
      <c r="AB2668" s="73" t="s">
        <v>9486</v>
      </c>
      <c r="AC2668" s="74" t="s">
        <v>9562</v>
      </c>
      <c r="AD2668" s="73" t="s">
        <v>9578</v>
      </c>
      <c r="AE2668" s="74" t="s">
        <v>9572</v>
      </c>
    </row>
    <row r="2669" spans="1:31" ht="8.65" customHeight="1" x14ac:dyDescent="0.2">
      <c r="A2669" s="76">
        <v>2669</v>
      </c>
      <c r="B2669" s="67" t="str">
        <f>MID(C2669, FIND("Ifc.", C2669) + 4, 4) &amp; "_" &amp; TEXT(COUNTIF($C$2:C2669, C2669),"0000")</f>
        <v>Enum_0069</v>
      </c>
      <c r="C2669" s="23" t="s">
        <v>873</v>
      </c>
      <c r="D2669" s="69" t="s">
        <v>9453</v>
      </c>
      <c r="E2669" s="70" t="s">
        <v>9455</v>
      </c>
      <c r="F2669" s="26" t="s">
        <v>798</v>
      </c>
      <c r="G2669" s="15" t="s">
        <v>798</v>
      </c>
      <c r="H2669" s="14" t="s">
        <v>798</v>
      </c>
      <c r="I2669" s="15" t="s">
        <v>798</v>
      </c>
      <c r="J2669" s="12" t="s">
        <v>9436</v>
      </c>
      <c r="K2669" s="16" t="s">
        <v>2742</v>
      </c>
      <c r="L2669" s="12" t="s">
        <v>800</v>
      </c>
      <c r="M2669" s="16" t="s">
        <v>5651</v>
      </c>
      <c r="N2669" s="19" t="s">
        <v>798</v>
      </c>
      <c r="O2669" s="20" t="s">
        <v>798</v>
      </c>
      <c r="P2669" s="17" t="s">
        <v>802</v>
      </c>
      <c r="Q2669" s="21" t="s">
        <v>8294</v>
      </c>
      <c r="R2669" s="19" t="s">
        <v>798</v>
      </c>
      <c r="S2669" s="20" t="s">
        <v>798</v>
      </c>
      <c r="T2669" s="17" t="s">
        <v>798</v>
      </c>
      <c r="U2669" s="20" t="s">
        <v>798</v>
      </c>
      <c r="V2669" s="26" t="s">
        <v>798</v>
      </c>
      <c r="W2669" s="20" t="s">
        <v>798</v>
      </c>
      <c r="X2669" s="26" t="s">
        <v>798</v>
      </c>
      <c r="Y2669" s="20" t="s">
        <v>798</v>
      </c>
      <c r="Z2669" s="73" t="s">
        <v>9486</v>
      </c>
      <c r="AA2669" s="74" t="s">
        <v>9501</v>
      </c>
      <c r="AB2669" s="73" t="s">
        <v>9486</v>
      </c>
      <c r="AC2669" s="74" t="s">
        <v>9562</v>
      </c>
      <c r="AD2669" s="73" t="s">
        <v>9578</v>
      </c>
      <c r="AE2669" s="74" t="s">
        <v>9572</v>
      </c>
    </row>
    <row r="2670" spans="1:31" ht="8.65" customHeight="1" x14ac:dyDescent="0.2">
      <c r="A2670" s="76">
        <v>2670</v>
      </c>
      <c r="B2670" s="67" t="str">
        <f>MID(C2670, FIND("Ifc.", C2670) + 4, 4) &amp; "_" &amp; TEXT(COUNTIF($C$2:C2670, C2670),"0000")</f>
        <v>Enum_0070</v>
      </c>
      <c r="C2670" s="23" t="s">
        <v>873</v>
      </c>
      <c r="D2670" s="69" t="s">
        <v>9453</v>
      </c>
      <c r="E2670" s="70" t="s">
        <v>9455</v>
      </c>
      <c r="F2670" s="26" t="s">
        <v>798</v>
      </c>
      <c r="G2670" s="15" t="s">
        <v>798</v>
      </c>
      <c r="H2670" s="14" t="s">
        <v>798</v>
      </c>
      <c r="I2670" s="15" t="s">
        <v>798</v>
      </c>
      <c r="J2670" s="12" t="s">
        <v>9436</v>
      </c>
      <c r="K2670" s="16" t="s">
        <v>2743</v>
      </c>
      <c r="L2670" s="12" t="s">
        <v>800</v>
      </c>
      <c r="M2670" s="16" t="s">
        <v>5652</v>
      </c>
      <c r="N2670" s="19" t="s">
        <v>798</v>
      </c>
      <c r="O2670" s="20" t="s">
        <v>798</v>
      </c>
      <c r="P2670" s="17" t="s">
        <v>802</v>
      </c>
      <c r="Q2670" s="21" t="s">
        <v>8295</v>
      </c>
      <c r="R2670" s="19" t="s">
        <v>798</v>
      </c>
      <c r="S2670" s="20" t="s">
        <v>798</v>
      </c>
      <c r="T2670" s="17" t="s">
        <v>798</v>
      </c>
      <c r="U2670" s="20" t="s">
        <v>798</v>
      </c>
      <c r="V2670" s="26" t="s">
        <v>798</v>
      </c>
      <c r="W2670" s="20" t="s">
        <v>798</v>
      </c>
      <c r="X2670" s="26" t="s">
        <v>798</v>
      </c>
      <c r="Y2670" s="20" t="s">
        <v>798</v>
      </c>
      <c r="Z2670" s="73" t="s">
        <v>9486</v>
      </c>
      <c r="AA2670" s="74" t="s">
        <v>9501</v>
      </c>
      <c r="AB2670" s="73" t="s">
        <v>9486</v>
      </c>
      <c r="AC2670" s="74" t="s">
        <v>9562</v>
      </c>
      <c r="AD2670" s="73" t="s">
        <v>9578</v>
      </c>
      <c r="AE2670" s="74" t="s">
        <v>9579</v>
      </c>
    </row>
    <row r="2671" spans="1:31" ht="8.65" customHeight="1" x14ac:dyDescent="0.2">
      <c r="A2671" s="76">
        <v>2671</v>
      </c>
      <c r="B2671" s="67" t="str">
        <f>MID(C2671, FIND("Ifc.", C2671) + 4, 4) &amp; "_" &amp; TEXT(COUNTIF($C$2:C2671, C2671),"0000")</f>
        <v>Enum_0071</v>
      </c>
      <c r="C2671" s="23" t="s">
        <v>873</v>
      </c>
      <c r="D2671" s="69" t="s">
        <v>9453</v>
      </c>
      <c r="E2671" s="70" t="s">
        <v>9455</v>
      </c>
      <c r="F2671" s="26" t="s">
        <v>798</v>
      </c>
      <c r="G2671" s="15" t="s">
        <v>798</v>
      </c>
      <c r="H2671" s="14" t="s">
        <v>798</v>
      </c>
      <c r="I2671" s="15" t="s">
        <v>798</v>
      </c>
      <c r="J2671" s="12" t="s">
        <v>9436</v>
      </c>
      <c r="K2671" s="16" t="s">
        <v>2744</v>
      </c>
      <c r="L2671" s="12" t="s">
        <v>800</v>
      </c>
      <c r="M2671" s="16" t="s">
        <v>5652</v>
      </c>
      <c r="N2671" s="19" t="s">
        <v>798</v>
      </c>
      <c r="O2671" s="20" t="s">
        <v>798</v>
      </c>
      <c r="P2671" s="17" t="s">
        <v>802</v>
      </c>
      <c r="Q2671" s="21" t="s">
        <v>8296</v>
      </c>
      <c r="R2671" s="19" t="s">
        <v>798</v>
      </c>
      <c r="S2671" s="20" t="s">
        <v>798</v>
      </c>
      <c r="T2671" s="17" t="s">
        <v>798</v>
      </c>
      <c r="U2671" s="20" t="s">
        <v>798</v>
      </c>
      <c r="V2671" s="26" t="s">
        <v>798</v>
      </c>
      <c r="W2671" s="20" t="s">
        <v>798</v>
      </c>
      <c r="X2671" s="26" t="s">
        <v>798</v>
      </c>
      <c r="Y2671" s="20" t="s">
        <v>798</v>
      </c>
      <c r="Z2671" s="73" t="s">
        <v>9486</v>
      </c>
      <c r="AA2671" s="74" t="s">
        <v>9501</v>
      </c>
      <c r="AB2671" s="73" t="s">
        <v>9486</v>
      </c>
      <c r="AC2671" s="74" t="s">
        <v>9562</v>
      </c>
      <c r="AD2671" s="73" t="s">
        <v>9578</v>
      </c>
      <c r="AE2671" s="74" t="s">
        <v>9579</v>
      </c>
    </row>
    <row r="2672" spans="1:31" ht="8.65" customHeight="1" x14ac:dyDescent="0.2">
      <c r="A2672" s="76">
        <v>2672</v>
      </c>
      <c r="B2672" s="67" t="str">
        <f>MID(C2672, FIND("Ifc.", C2672) + 4, 4) &amp; "_" &amp; TEXT(COUNTIF($C$2:C2672, C2672),"0000")</f>
        <v>Enum_0072</v>
      </c>
      <c r="C2672" s="23" t="s">
        <v>873</v>
      </c>
      <c r="D2672" s="69" t="s">
        <v>9453</v>
      </c>
      <c r="E2672" s="70" t="s">
        <v>9455</v>
      </c>
      <c r="F2672" s="26" t="s">
        <v>798</v>
      </c>
      <c r="G2672" s="15" t="s">
        <v>798</v>
      </c>
      <c r="H2672" s="14" t="s">
        <v>798</v>
      </c>
      <c r="I2672" s="15" t="s">
        <v>798</v>
      </c>
      <c r="J2672" s="12" t="s">
        <v>9436</v>
      </c>
      <c r="K2672" s="16" t="s">
        <v>2745</v>
      </c>
      <c r="L2672" s="12" t="s">
        <v>800</v>
      </c>
      <c r="M2672" s="16" t="s">
        <v>5653</v>
      </c>
      <c r="N2672" s="19" t="s">
        <v>798</v>
      </c>
      <c r="O2672" s="20" t="s">
        <v>798</v>
      </c>
      <c r="P2672" s="17" t="s">
        <v>802</v>
      </c>
      <c r="Q2672" s="21" t="s">
        <v>8297</v>
      </c>
      <c r="R2672" s="19" t="s">
        <v>798</v>
      </c>
      <c r="S2672" s="20" t="s">
        <v>798</v>
      </c>
      <c r="T2672" s="17" t="s">
        <v>798</v>
      </c>
      <c r="U2672" s="20" t="s">
        <v>798</v>
      </c>
      <c r="V2672" s="26" t="s">
        <v>798</v>
      </c>
      <c r="W2672" s="20" t="s">
        <v>798</v>
      </c>
      <c r="X2672" s="26" t="s">
        <v>798</v>
      </c>
      <c r="Y2672" s="20" t="s">
        <v>798</v>
      </c>
      <c r="Z2672" s="73" t="s">
        <v>9486</v>
      </c>
      <c r="AA2672" s="74" t="s">
        <v>9501</v>
      </c>
      <c r="AB2672" s="73" t="s">
        <v>9486</v>
      </c>
      <c r="AC2672" s="74" t="s">
        <v>9562</v>
      </c>
      <c r="AD2672" s="73" t="s">
        <v>9578</v>
      </c>
      <c r="AE2672" s="74" t="s">
        <v>9579</v>
      </c>
    </row>
    <row r="2673" spans="1:31" ht="8.65" customHeight="1" x14ac:dyDescent="0.2">
      <c r="A2673" s="76">
        <v>2673</v>
      </c>
      <c r="B2673" s="67" t="str">
        <f>MID(C2673, FIND("Ifc.", C2673) + 4, 4) &amp; "_" &amp; TEXT(COUNTIF($C$2:C2673, C2673),"0000")</f>
        <v>Enum_0073</v>
      </c>
      <c r="C2673" s="23" t="s">
        <v>873</v>
      </c>
      <c r="D2673" s="69" t="s">
        <v>9453</v>
      </c>
      <c r="E2673" s="70" t="s">
        <v>9455</v>
      </c>
      <c r="F2673" s="26" t="s">
        <v>798</v>
      </c>
      <c r="G2673" s="15" t="s">
        <v>798</v>
      </c>
      <c r="H2673" s="14" t="s">
        <v>798</v>
      </c>
      <c r="I2673" s="15" t="s">
        <v>798</v>
      </c>
      <c r="J2673" s="12" t="s">
        <v>9436</v>
      </c>
      <c r="K2673" s="16" t="s">
        <v>2746</v>
      </c>
      <c r="L2673" s="12" t="s">
        <v>800</v>
      </c>
      <c r="M2673" s="16" t="s">
        <v>5654</v>
      </c>
      <c r="N2673" s="19" t="s">
        <v>798</v>
      </c>
      <c r="O2673" s="20" t="s">
        <v>798</v>
      </c>
      <c r="P2673" s="17" t="s">
        <v>802</v>
      </c>
      <c r="Q2673" s="21" t="s">
        <v>8298</v>
      </c>
      <c r="R2673" s="19" t="s">
        <v>798</v>
      </c>
      <c r="S2673" s="20" t="s">
        <v>798</v>
      </c>
      <c r="T2673" s="17" t="s">
        <v>798</v>
      </c>
      <c r="U2673" s="20" t="s">
        <v>798</v>
      </c>
      <c r="V2673" s="26" t="s">
        <v>798</v>
      </c>
      <c r="W2673" s="20" t="s">
        <v>798</v>
      </c>
      <c r="X2673" s="26" t="s">
        <v>798</v>
      </c>
      <c r="Y2673" s="20" t="s">
        <v>798</v>
      </c>
      <c r="Z2673" s="73" t="s">
        <v>9486</v>
      </c>
      <c r="AA2673" s="74" t="s">
        <v>9501</v>
      </c>
      <c r="AB2673" s="73" t="s">
        <v>9486</v>
      </c>
      <c r="AC2673" s="74" t="s">
        <v>9562</v>
      </c>
      <c r="AD2673" s="73" t="s">
        <v>9578</v>
      </c>
      <c r="AE2673" s="74" t="s">
        <v>9579</v>
      </c>
    </row>
    <row r="2674" spans="1:31" ht="8.65" customHeight="1" x14ac:dyDescent="0.2">
      <c r="A2674" s="76">
        <v>2674</v>
      </c>
      <c r="B2674" s="67" t="str">
        <f>MID(C2674, FIND("Ifc.", C2674) + 4, 4) &amp; "_" &amp; TEXT(COUNTIF($C$2:C2674, C2674),"0000")</f>
        <v>Enum_0074</v>
      </c>
      <c r="C2674" s="23" t="s">
        <v>873</v>
      </c>
      <c r="D2674" s="69" t="s">
        <v>9453</v>
      </c>
      <c r="E2674" s="70" t="s">
        <v>9455</v>
      </c>
      <c r="F2674" s="26" t="s">
        <v>798</v>
      </c>
      <c r="G2674" s="15" t="s">
        <v>798</v>
      </c>
      <c r="H2674" s="14" t="s">
        <v>798</v>
      </c>
      <c r="I2674" s="15" t="s">
        <v>798</v>
      </c>
      <c r="J2674" s="12" t="s">
        <v>9436</v>
      </c>
      <c r="K2674" s="16" t="s">
        <v>2747</v>
      </c>
      <c r="L2674" s="12" t="s">
        <v>800</v>
      </c>
      <c r="M2674" s="16" t="s">
        <v>5655</v>
      </c>
      <c r="N2674" s="19" t="s">
        <v>798</v>
      </c>
      <c r="O2674" s="20" t="s">
        <v>798</v>
      </c>
      <c r="P2674" s="17" t="s">
        <v>802</v>
      </c>
      <c r="Q2674" s="21" t="s">
        <v>8299</v>
      </c>
      <c r="R2674" s="19" t="s">
        <v>798</v>
      </c>
      <c r="S2674" s="20" t="s">
        <v>798</v>
      </c>
      <c r="T2674" s="17" t="s">
        <v>798</v>
      </c>
      <c r="U2674" s="20" t="s">
        <v>798</v>
      </c>
      <c r="V2674" s="26" t="s">
        <v>798</v>
      </c>
      <c r="W2674" s="20" t="s">
        <v>798</v>
      </c>
      <c r="X2674" s="26" t="s">
        <v>798</v>
      </c>
      <c r="Y2674" s="20" t="s">
        <v>798</v>
      </c>
      <c r="Z2674" s="73" t="s">
        <v>9486</v>
      </c>
      <c r="AA2674" s="74" t="s">
        <v>9501</v>
      </c>
      <c r="AB2674" s="73" t="s">
        <v>9486</v>
      </c>
      <c r="AC2674" s="74" t="s">
        <v>9562</v>
      </c>
      <c r="AD2674" s="73" t="s">
        <v>9578</v>
      </c>
      <c r="AE2674" s="74" t="s">
        <v>9595</v>
      </c>
    </row>
    <row r="2675" spans="1:31" ht="8.65" customHeight="1" x14ac:dyDescent="0.2">
      <c r="A2675" s="76">
        <v>2675</v>
      </c>
      <c r="B2675" s="67" t="str">
        <f>MID(C2675, FIND("Ifc.", C2675) + 4, 4) &amp; "_" &amp; TEXT(COUNTIF($C$2:C2675, C2675),"0000")</f>
        <v>Enum_0075</v>
      </c>
      <c r="C2675" s="23" t="s">
        <v>873</v>
      </c>
      <c r="D2675" s="69" t="s">
        <v>9453</v>
      </c>
      <c r="E2675" s="70" t="s">
        <v>9455</v>
      </c>
      <c r="F2675" s="26" t="s">
        <v>798</v>
      </c>
      <c r="G2675" s="15" t="s">
        <v>798</v>
      </c>
      <c r="H2675" s="14" t="s">
        <v>798</v>
      </c>
      <c r="I2675" s="15" t="s">
        <v>798</v>
      </c>
      <c r="J2675" s="12" t="s">
        <v>9436</v>
      </c>
      <c r="K2675" s="16" t="s">
        <v>2748</v>
      </c>
      <c r="L2675" s="12" t="s">
        <v>800</v>
      </c>
      <c r="M2675" s="16" t="s">
        <v>5656</v>
      </c>
      <c r="N2675" s="19" t="s">
        <v>798</v>
      </c>
      <c r="O2675" s="20" t="s">
        <v>798</v>
      </c>
      <c r="P2675" s="17" t="s">
        <v>802</v>
      </c>
      <c r="Q2675" s="21" t="s">
        <v>8300</v>
      </c>
      <c r="R2675" s="19" t="s">
        <v>798</v>
      </c>
      <c r="S2675" s="20" t="s">
        <v>798</v>
      </c>
      <c r="T2675" s="17" t="s">
        <v>798</v>
      </c>
      <c r="U2675" s="20" t="s">
        <v>798</v>
      </c>
      <c r="V2675" s="26" t="s">
        <v>798</v>
      </c>
      <c r="W2675" s="20" t="s">
        <v>798</v>
      </c>
      <c r="X2675" s="26" t="s">
        <v>798</v>
      </c>
      <c r="Y2675" s="20" t="s">
        <v>798</v>
      </c>
      <c r="Z2675" s="73" t="s">
        <v>9486</v>
      </c>
      <c r="AA2675" s="74" t="s">
        <v>9501</v>
      </c>
      <c r="AB2675" s="73" t="s">
        <v>9486</v>
      </c>
      <c r="AC2675" s="74" t="s">
        <v>9562</v>
      </c>
      <c r="AD2675" s="73" t="s">
        <v>9578</v>
      </c>
      <c r="AE2675" s="74" t="s">
        <v>9579</v>
      </c>
    </row>
    <row r="2676" spans="1:31" ht="8.65" customHeight="1" x14ac:dyDescent="0.2">
      <c r="A2676" s="76">
        <v>2676</v>
      </c>
      <c r="B2676" s="67" t="str">
        <f>MID(C2676, FIND("Ifc.", C2676) + 4, 4) &amp; "_" &amp; TEXT(COUNTIF($C$2:C2676, C2676),"0000")</f>
        <v>Enum_0076</v>
      </c>
      <c r="C2676" s="23" t="s">
        <v>873</v>
      </c>
      <c r="D2676" s="69" t="s">
        <v>9453</v>
      </c>
      <c r="E2676" s="70" t="s">
        <v>9455</v>
      </c>
      <c r="F2676" s="26" t="s">
        <v>798</v>
      </c>
      <c r="G2676" s="15" t="s">
        <v>798</v>
      </c>
      <c r="H2676" s="14" t="s">
        <v>798</v>
      </c>
      <c r="I2676" s="15" t="s">
        <v>798</v>
      </c>
      <c r="J2676" s="12" t="s">
        <v>9436</v>
      </c>
      <c r="K2676" s="16" t="s">
        <v>2749</v>
      </c>
      <c r="L2676" s="12" t="s">
        <v>800</v>
      </c>
      <c r="M2676" s="16" t="s">
        <v>5657</v>
      </c>
      <c r="N2676" s="19" t="s">
        <v>798</v>
      </c>
      <c r="O2676" s="20" t="s">
        <v>798</v>
      </c>
      <c r="P2676" s="17" t="s">
        <v>802</v>
      </c>
      <c r="Q2676" s="21" t="s">
        <v>8301</v>
      </c>
      <c r="R2676" s="19" t="s">
        <v>798</v>
      </c>
      <c r="S2676" s="20" t="s">
        <v>798</v>
      </c>
      <c r="T2676" s="17" t="s">
        <v>798</v>
      </c>
      <c r="U2676" s="20" t="s">
        <v>798</v>
      </c>
      <c r="V2676" s="26" t="s">
        <v>798</v>
      </c>
      <c r="W2676" s="20" t="s">
        <v>798</v>
      </c>
      <c r="X2676" s="26" t="s">
        <v>798</v>
      </c>
      <c r="Y2676" s="20" t="s">
        <v>798</v>
      </c>
      <c r="Z2676" s="73" t="s">
        <v>9486</v>
      </c>
      <c r="AA2676" s="74" t="s">
        <v>9501</v>
      </c>
      <c r="AB2676" s="73" t="s">
        <v>9486</v>
      </c>
      <c r="AC2676" s="74" t="s">
        <v>9562</v>
      </c>
      <c r="AD2676" s="73" t="s">
        <v>9578</v>
      </c>
      <c r="AE2676" s="74" t="s">
        <v>9579</v>
      </c>
    </row>
    <row r="2677" spans="1:31" ht="8.65" customHeight="1" x14ac:dyDescent="0.2">
      <c r="A2677" s="76">
        <v>2677</v>
      </c>
      <c r="B2677" s="67" t="str">
        <f>MID(C2677, FIND("Ifc.", C2677) + 4, 4) &amp; "_" &amp; TEXT(COUNTIF($C$2:C2677, C2677),"0000")</f>
        <v>Enum_0077</v>
      </c>
      <c r="C2677" s="23" t="s">
        <v>873</v>
      </c>
      <c r="D2677" s="69" t="s">
        <v>9453</v>
      </c>
      <c r="E2677" s="70" t="s">
        <v>9455</v>
      </c>
      <c r="F2677" s="26" t="s">
        <v>798</v>
      </c>
      <c r="G2677" s="15" t="s">
        <v>798</v>
      </c>
      <c r="H2677" s="14" t="s">
        <v>798</v>
      </c>
      <c r="I2677" s="15" t="s">
        <v>798</v>
      </c>
      <c r="J2677" s="12" t="s">
        <v>9436</v>
      </c>
      <c r="K2677" s="16" t="s">
        <v>2750</v>
      </c>
      <c r="L2677" s="12" t="s">
        <v>800</v>
      </c>
      <c r="M2677" s="16" t="s">
        <v>5658</v>
      </c>
      <c r="N2677" s="19" t="s">
        <v>798</v>
      </c>
      <c r="O2677" s="20" t="s">
        <v>798</v>
      </c>
      <c r="P2677" s="17" t="s">
        <v>802</v>
      </c>
      <c r="Q2677" s="21" t="s">
        <v>8302</v>
      </c>
      <c r="R2677" s="19" t="s">
        <v>798</v>
      </c>
      <c r="S2677" s="20" t="s">
        <v>798</v>
      </c>
      <c r="T2677" s="17" t="s">
        <v>798</v>
      </c>
      <c r="U2677" s="20" t="s">
        <v>798</v>
      </c>
      <c r="V2677" s="26" t="s">
        <v>798</v>
      </c>
      <c r="W2677" s="20" t="s">
        <v>798</v>
      </c>
      <c r="X2677" s="26" t="s">
        <v>798</v>
      </c>
      <c r="Y2677" s="20" t="s">
        <v>798</v>
      </c>
      <c r="Z2677" s="73" t="s">
        <v>9486</v>
      </c>
      <c r="AA2677" s="74" t="s">
        <v>9501</v>
      </c>
      <c r="AB2677" s="73" t="s">
        <v>9486</v>
      </c>
      <c r="AC2677" s="74" t="s">
        <v>9562</v>
      </c>
      <c r="AD2677" s="73" t="s">
        <v>9578</v>
      </c>
      <c r="AE2677" s="74" t="s">
        <v>9667</v>
      </c>
    </row>
    <row r="2678" spans="1:31" ht="8.65" customHeight="1" x14ac:dyDescent="0.2">
      <c r="A2678" s="76">
        <v>2678</v>
      </c>
      <c r="B2678" s="67" t="str">
        <f>MID(C2678, FIND("Ifc.", C2678) + 4, 4) &amp; "_" &amp; TEXT(COUNTIF($C$2:C2678, C2678),"0000")</f>
        <v>Enum_0078</v>
      </c>
      <c r="C2678" s="23" t="s">
        <v>873</v>
      </c>
      <c r="D2678" s="69" t="s">
        <v>9453</v>
      </c>
      <c r="E2678" s="70" t="s">
        <v>9455</v>
      </c>
      <c r="F2678" s="26" t="s">
        <v>798</v>
      </c>
      <c r="G2678" s="15" t="s">
        <v>798</v>
      </c>
      <c r="H2678" s="14" t="s">
        <v>798</v>
      </c>
      <c r="I2678" s="15" t="s">
        <v>798</v>
      </c>
      <c r="J2678" s="12" t="s">
        <v>9436</v>
      </c>
      <c r="K2678" s="16" t="s">
        <v>2751</v>
      </c>
      <c r="L2678" s="12" t="s">
        <v>800</v>
      </c>
      <c r="M2678" s="16" t="s">
        <v>5659</v>
      </c>
      <c r="N2678" s="19" t="s">
        <v>798</v>
      </c>
      <c r="O2678" s="20" t="s">
        <v>798</v>
      </c>
      <c r="P2678" s="17" t="s">
        <v>802</v>
      </c>
      <c r="Q2678" s="21" t="s">
        <v>8303</v>
      </c>
      <c r="R2678" s="19" t="s">
        <v>798</v>
      </c>
      <c r="S2678" s="20" t="s">
        <v>798</v>
      </c>
      <c r="T2678" s="17" t="s">
        <v>798</v>
      </c>
      <c r="U2678" s="20" t="s">
        <v>798</v>
      </c>
      <c r="V2678" s="26" t="s">
        <v>798</v>
      </c>
      <c r="W2678" s="20" t="s">
        <v>798</v>
      </c>
      <c r="X2678" s="26" t="s">
        <v>798</v>
      </c>
      <c r="Y2678" s="20" t="s">
        <v>798</v>
      </c>
      <c r="Z2678" s="73" t="s">
        <v>9486</v>
      </c>
      <c r="AA2678" s="74" t="s">
        <v>9501</v>
      </c>
      <c r="AB2678" s="73" t="s">
        <v>9486</v>
      </c>
      <c r="AC2678" s="74" t="s">
        <v>9562</v>
      </c>
      <c r="AD2678" s="73" t="s">
        <v>9578</v>
      </c>
      <c r="AE2678" s="74" t="s">
        <v>9579</v>
      </c>
    </row>
    <row r="2679" spans="1:31" ht="8.65" customHeight="1" x14ac:dyDescent="0.2">
      <c r="A2679" s="76">
        <v>2679</v>
      </c>
      <c r="B2679" s="67" t="str">
        <f>MID(C2679, FIND("Ifc.", C2679) + 4, 4) &amp; "_" &amp; TEXT(COUNTIF($C$2:C2679, C2679),"0000")</f>
        <v>Enum_0079</v>
      </c>
      <c r="C2679" s="23" t="s">
        <v>873</v>
      </c>
      <c r="D2679" s="69" t="s">
        <v>9453</v>
      </c>
      <c r="E2679" s="70" t="s">
        <v>9455</v>
      </c>
      <c r="F2679" s="26" t="s">
        <v>798</v>
      </c>
      <c r="G2679" s="15" t="s">
        <v>798</v>
      </c>
      <c r="H2679" s="14" t="s">
        <v>798</v>
      </c>
      <c r="I2679" s="15" t="s">
        <v>798</v>
      </c>
      <c r="J2679" s="12" t="s">
        <v>9436</v>
      </c>
      <c r="K2679" s="16" t="s">
        <v>2752</v>
      </c>
      <c r="L2679" s="12" t="s">
        <v>800</v>
      </c>
      <c r="M2679" s="16" t="s">
        <v>5660</v>
      </c>
      <c r="N2679" s="19" t="s">
        <v>798</v>
      </c>
      <c r="O2679" s="20" t="s">
        <v>798</v>
      </c>
      <c r="P2679" s="17" t="s">
        <v>802</v>
      </c>
      <c r="Q2679" s="21" t="s">
        <v>8304</v>
      </c>
      <c r="R2679" s="19" t="s">
        <v>798</v>
      </c>
      <c r="S2679" s="20" t="s">
        <v>798</v>
      </c>
      <c r="T2679" s="17" t="s">
        <v>798</v>
      </c>
      <c r="U2679" s="20" t="s">
        <v>798</v>
      </c>
      <c r="V2679" s="26" t="s">
        <v>798</v>
      </c>
      <c r="W2679" s="20" t="s">
        <v>798</v>
      </c>
      <c r="X2679" s="26" t="s">
        <v>798</v>
      </c>
      <c r="Y2679" s="20" t="s">
        <v>798</v>
      </c>
      <c r="Z2679" s="73" t="s">
        <v>9486</v>
      </c>
      <c r="AA2679" s="74" t="s">
        <v>9501</v>
      </c>
      <c r="AB2679" s="73" t="s">
        <v>9486</v>
      </c>
      <c r="AC2679" s="74" t="s">
        <v>9562</v>
      </c>
      <c r="AD2679" s="73" t="s">
        <v>9578</v>
      </c>
      <c r="AE2679" s="74" t="s">
        <v>9579</v>
      </c>
    </row>
    <row r="2680" spans="1:31" ht="8.65" customHeight="1" x14ac:dyDescent="0.2">
      <c r="A2680" s="76">
        <v>2680</v>
      </c>
      <c r="B2680" s="67" t="str">
        <f>MID(C2680, FIND("Ifc.", C2680) + 4, 4) &amp; "_" &amp; TEXT(COUNTIF($C$2:C2680, C2680),"0000")</f>
        <v>Enum_0080</v>
      </c>
      <c r="C2680" s="23" t="s">
        <v>873</v>
      </c>
      <c r="D2680" s="69" t="s">
        <v>9453</v>
      </c>
      <c r="E2680" s="70" t="s">
        <v>9455</v>
      </c>
      <c r="F2680" s="26" t="s">
        <v>798</v>
      </c>
      <c r="G2680" s="15" t="s">
        <v>798</v>
      </c>
      <c r="H2680" s="14" t="s">
        <v>798</v>
      </c>
      <c r="I2680" s="15" t="s">
        <v>798</v>
      </c>
      <c r="J2680" s="12" t="s">
        <v>9436</v>
      </c>
      <c r="K2680" s="16" t="s">
        <v>2753</v>
      </c>
      <c r="L2680" s="12" t="s">
        <v>800</v>
      </c>
      <c r="M2680" s="16" t="s">
        <v>5661</v>
      </c>
      <c r="N2680" s="19" t="s">
        <v>798</v>
      </c>
      <c r="O2680" s="20" t="s">
        <v>798</v>
      </c>
      <c r="P2680" s="17" t="s">
        <v>802</v>
      </c>
      <c r="Q2680" s="21" t="s">
        <v>8305</v>
      </c>
      <c r="R2680" s="19" t="s">
        <v>798</v>
      </c>
      <c r="S2680" s="20" t="s">
        <v>798</v>
      </c>
      <c r="T2680" s="17" t="s">
        <v>798</v>
      </c>
      <c r="U2680" s="20" t="s">
        <v>798</v>
      </c>
      <c r="V2680" s="26" t="s">
        <v>798</v>
      </c>
      <c r="W2680" s="20" t="s">
        <v>798</v>
      </c>
      <c r="X2680" s="26" t="s">
        <v>798</v>
      </c>
      <c r="Y2680" s="20" t="s">
        <v>798</v>
      </c>
      <c r="Z2680" s="73" t="s">
        <v>9486</v>
      </c>
      <c r="AA2680" s="74" t="s">
        <v>9501</v>
      </c>
      <c r="AB2680" s="73" t="s">
        <v>9486</v>
      </c>
      <c r="AC2680" s="74" t="s">
        <v>9562</v>
      </c>
      <c r="AD2680" s="73" t="s">
        <v>9578</v>
      </c>
      <c r="AE2680" s="74" t="s">
        <v>9579</v>
      </c>
    </row>
    <row r="2681" spans="1:31" ht="8.65" customHeight="1" x14ac:dyDescent="0.2">
      <c r="A2681" s="76">
        <v>2681</v>
      </c>
      <c r="B2681" s="67" t="str">
        <f>MID(C2681, FIND("Ifc.", C2681) + 4, 4) &amp; "_" &amp; TEXT(COUNTIF($C$2:C2681, C2681),"0000")</f>
        <v>Enum_0081</v>
      </c>
      <c r="C2681" s="23" t="s">
        <v>873</v>
      </c>
      <c r="D2681" s="69" t="s">
        <v>9453</v>
      </c>
      <c r="E2681" s="70" t="s">
        <v>9455</v>
      </c>
      <c r="F2681" s="26" t="s">
        <v>798</v>
      </c>
      <c r="G2681" s="15" t="s">
        <v>798</v>
      </c>
      <c r="H2681" s="14" t="s">
        <v>798</v>
      </c>
      <c r="I2681" s="15" t="s">
        <v>798</v>
      </c>
      <c r="J2681" s="12" t="s">
        <v>9436</v>
      </c>
      <c r="K2681" s="16" t="s">
        <v>2754</v>
      </c>
      <c r="L2681" s="12" t="s">
        <v>800</v>
      </c>
      <c r="M2681" s="16" t="s">
        <v>5662</v>
      </c>
      <c r="N2681" s="19" t="s">
        <v>798</v>
      </c>
      <c r="O2681" s="20" t="s">
        <v>798</v>
      </c>
      <c r="P2681" s="17" t="s">
        <v>802</v>
      </c>
      <c r="Q2681" s="21" t="s">
        <v>8306</v>
      </c>
      <c r="R2681" s="19" t="s">
        <v>798</v>
      </c>
      <c r="S2681" s="20" t="s">
        <v>798</v>
      </c>
      <c r="T2681" s="17" t="s">
        <v>798</v>
      </c>
      <c r="U2681" s="20" t="s">
        <v>798</v>
      </c>
      <c r="V2681" s="26" t="s">
        <v>798</v>
      </c>
      <c r="W2681" s="20" t="s">
        <v>798</v>
      </c>
      <c r="X2681" s="26" t="s">
        <v>798</v>
      </c>
      <c r="Y2681" s="20" t="s">
        <v>798</v>
      </c>
      <c r="Z2681" s="73" t="s">
        <v>9486</v>
      </c>
      <c r="AA2681" s="74" t="s">
        <v>9501</v>
      </c>
      <c r="AB2681" s="73" t="s">
        <v>9486</v>
      </c>
      <c r="AC2681" s="74" t="s">
        <v>9562</v>
      </c>
      <c r="AD2681" s="73" t="s">
        <v>9578</v>
      </c>
      <c r="AE2681" s="74" t="s">
        <v>9579</v>
      </c>
    </row>
    <row r="2682" spans="1:31" ht="8.65" customHeight="1" x14ac:dyDescent="0.2">
      <c r="A2682" s="76">
        <v>2682</v>
      </c>
      <c r="B2682" s="67" t="str">
        <f>MID(C2682, FIND("Ifc.", C2682) + 4, 4) &amp; "_" &amp; TEXT(COUNTIF($C$2:C2682, C2682),"0000")</f>
        <v>Enum_0082</v>
      </c>
      <c r="C2682" s="23" t="s">
        <v>873</v>
      </c>
      <c r="D2682" s="69" t="s">
        <v>9453</v>
      </c>
      <c r="E2682" s="70" t="s">
        <v>9455</v>
      </c>
      <c r="F2682" s="26" t="s">
        <v>798</v>
      </c>
      <c r="G2682" s="15" t="s">
        <v>798</v>
      </c>
      <c r="H2682" s="14" t="s">
        <v>798</v>
      </c>
      <c r="I2682" s="15" t="s">
        <v>798</v>
      </c>
      <c r="J2682" s="12" t="s">
        <v>9436</v>
      </c>
      <c r="K2682" s="16" t="s">
        <v>2755</v>
      </c>
      <c r="L2682" s="12" t="s">
        <v>800</v>
      </c>
      <c r="M2682" s="16" t="s">
        <v>5663</v>
      </c>
      <c r="N2682" s="19" t="s">
        <v>798</v>
      </c>
      <c r="O2682" s="20" t="s">
        <v>798</v>
      </c>
      <c r="P2682" s="17" t="s">
        <v>802</v>
      </c>
      <c r="Q2682" s="21" t="s">
        <v>8307</v>
      </c>
      <c r="R2682" s="19" t="s">
        <v>798</v>
      </c>
      <c r="S2682" s="20" t="s">
        <v>798</v>
      </c>
      <c r="T2682" s="17" t="s">
        <v>798</v>
      </c>
      <c r="U2682" s="20" t="s">
        <v>798</v>
      </c>
      <c r="V2682" s="26" t="s">
        <v>798</v>
      </c>
      <c r="W2682" s="20" t="s">
        <v>798</v>
      </c>
      <c r="X2682" s="26" t="s">
        <v>798</v>
      </c>
      <c r="Y2682" s="20" t="s">
        <v>798</v>
      </c>
      <c r="Z2682" s="73" t="s">
        <v>9486</v>
      </c>
      <c r="AA2682" s="74" t="s">
        <v>9501</v>
      </c>
      <c r="AB2682" s="73" t="s">
        <v>9486</v>
      </c>
      <c r="AC2682" s="74" t="s">
        <v>9562</v>
      </c>
      <c r="AD2682" s="73" t="s">
        <v>9578</v>
      </c>
      <c r="AE2682" s="74" t="s">
        <v>9579</v>
      </c>
    </row>
    <row r="2683" spans="1:31" ht="8.65" customHeight="1" x14ac:dyDescent="0.2">
      <c r="A2683" s="76">
        <v>2683</v>
      </c>
      <c r="B2683" s="67" t="str">
        <f>MID(C2683, FIND("Ifc.", C2683) + 4, 4) &amp; "_" &amp; TEXT(COUNTIF($C$2:C2683, C2683),"0000")</f>
        <v>Enum_0083</v>
      </c>
      <c r="C2683" s="23" t="s">
        <v>873</v>
      </c>
      <c r="D2683" s="69" t="s">
        <v>9453</v>
      </c>
      <c r="E2683" s="70" t="s">
        <v>9455</v>
      </c>
      <c r="F2683" s="26" t="s">
        <v>798</v>
      </c>
      <c r="G2683" s="15" t="s">
        <v>798</v>
      </c>
      <c r="H2683" s="14" t="s">
        <v>798</v>
      </c>
      <c r="I2683" s="15" t="s">
        <v>798</v>
      </c>
      <c r="J2683" s="12" t="s">
        <v>9436</v>
      </c>
      <c r="K2683" s="16" t="s">
        <v>2756</v>
      </c>
      <c r="L2683" s="12" t="s">
        <v>800</v>
      </c>
      <c r="M2683" s="16" t="s">
        <v>5916</v>
      </c>
      <c r="N2683" s="19" t="s">
        <v>798</v>
      </c>
      <c r="O2683" s="20" t="s">
        <v>798</v>
      </c>
      <c r="P2683" s="17" t="s">
        <v>802</v>
      </c>
      <c r="Q2683" s="21" t="s">
        <v>8308</v>
      </c>
      <c r="R2683" s="19" t="s">
        <v>798</v>
      </c>
      <c r="S2683" s="20" t="s">
        <v>798</v>
      </c>
      <c r="T2683" s="17" t="s">
        <v>798</v>
      </c>
      <c r="U2683" s="20" t="s">
        <v>798</v>
      </c>
      <c r="V2683" s="26" t="s">
        <v>798</v>
      </c>
      <c r="W2683" s="20" t="s">
        <v>798</v>
      </c>
      <c r="X2683" s="26" t="s">
        <v>798</v>
      </c>
      <c r="Y2683" s="20" t="s">
        <v>798</v>
      </c>
      <c r="Z2683" s="73" t="s">
        <v>9486</v>
      </c>
      <c r="AA2683" s="74" t="s">
        <v>9501</v>
      </c>
      <c r="AB2683" s="73" t="s">
        <v>9486</v>
      </c>
      <c r="AC2683" s="74" t="s">
        <v>9562</v>
      </c>
      <c r="AD2683" s="73" t="s">
        <v>9578</v>
      </c>
      <c r="AE2683" s="74" t="s">
        <v>9579</v>
      </c>
    </row>
    <row r="2684" spans="1:31" ht="8.65" customHeight="1" x14ac:dyDescent="0.2">
      <c r="A2684" s="76">
        <v>2684</v>
      </c>
      <c r="B2684" s="67" t="str">
        <f>MID(C2684, FIND("Ifc.", C2684) + 4, 4) &amp; "_" &amp; TEXT(COUNTIF($C$2:C2684, C2684),"0000")</f>
        <v>Enum_0084</v>
      </c>
      <c r="C2684" s="23" t="s">
        <v>873</v>
      </c>
      <c r="D2684" s="69" t="s">
        <v>9453</v>
      </c>
      <c r="E2684" s="70" t="s">
        <v>9455</v>
      </c>
      <c r="F2684" s="26" t="s">
        <v>798</v>
      </c>
      <c r="G2684" s="15" t="s">
        <v>798</v>
      </c>
      <c r="H2684" s="14" t="s">
        <v>798</v>
      </c>
      <c r="I2684" s="15" t="s">
        <v>798</v>
      </c>
      <c r="J2684" s="12" t="s">
        <v>9436</v>
      </c>
      <c r="K2684" s="16" t="s">
        <v>2757</v>
      </c>
      <c r="L2684" s="12" t="s">
        <v>800</v>
      </c>
      <c r="M2684" s="16" t="s">
        <v>5664</v>
      </c>
      <c r="N2684" s="19" t="s">
        <v>798</v>
      </c>
      <c r="O2684" s="20" t="s">
        <v>798</v>
      </c>
      <c r="P2684" s="17" t="s">
        <v>802</v>
      </c>
      <c r="Q2684" s="21" t="s">
        <v>8309</v>
      </c>
      <c r="R2684" s="19" t="s">
        <v>798</v>
      </c>
      <c r="S2684" s="20" t="s">
        <v>798</v>
      </c>
      <c r="T2684" s="17" t="s">
        <v>798</v>
      </c>
      <c r="U2684" s="20" t="s">
        <v>798</v>
      </c>
      <c r="V2684" s="26" t="s">
        <v>798</v>
      </c>
      <c r="W2684" s="20" t="s">
        <v>798</v>
      </c>
      <c r="X2684" s="26" t="s">
        <v>798</v>
      </c>
      <c r="Y2684" s="20" t="s">
        <v>798</v>
      </c>
      <c r="Z2684" s="73" t="s">
        <v>9486</v>
      </c>
      <c r="AA2684" s="74" t="s">
        <v>9501</v>
      </c>
      <c r="AB2684" s="73" t="s">
        <v>9486</v>
      </c>
      <c r="AC2684" s="74" t="s">
        <v>9562</v>
      </c>
      <c r="AD2684" s="73" t="s">
        <v>9578</v>
      </c>
      <c r="AE2684" s="74" t="s">
        <v>9579</v>
      </c>
    </row>
    <row r="2685" spans="1:31" ht="8.65" customHeight="1" x14ac:dyDescent="0.2">
      <c r="A2685" s="76">
        <v>2685</v>
      </c>
      <c r="B2685" s="67" t="str">
        <f>MID(C2685, FIND("Ifc.", C2685) + 4, 4) &amp; "_" &amp; TEXT(COUNTIF($C$2:C2685, C2685),"0000")</f>
        <v>Enum_0085</v>
      </c>
      <c r="C2685" s="23" t="s">
        <v>873</v>
      </c>
      <c r="D2685" s="69" t="s">
        <v>9453</v>
      </c>
      <c r="E2685" s="70" t="s">
        <v>9455</v>
      </c>
      <c r="F2685" s="26" t="s">
        <v>798</v>
      </c>
      <c r="G2685" s="15" t="s">
        <v>798</v>
      </c>
      <c r="H2685" s="14" t="s">
        <v>798</v>
      </c>
      <c r="I2685" s="15" t="s">
        <v>798</v>
      </c>
      <c r="J2685" s="12" t="s">
        <v>9436</v>
      </c>
      <c r="K2685" s="16" t="s">
        <v>2758</v>
      </c>
      <c r="L2685" s="12" t="s">
        <v>800</v>
      </c>
      <c r="M2685" s="16" t="s">
        <v>5665</v>
      </c>
      <c r="N2685" s="19" t="s">
        <v>798</v>
      </c>
      <c r="O2685" s="20" t="s">
        <v>798</v>
      </c>
      <c r="P2685" s="17" t="s">
        <v>802</v>
      </c>
      <c r="Q2685" s="21" t="s">
        <v>8310</v>
      </c>
      <c r="R2685" s="19" t="s">
        <v>798</v>
      </c>
      <c r="S2685" s="20" t="s">
        <v>798</v>
      </c>
      <c r="T2685" s="17" t="s">
        <v>798</v>
      </c>
      <c r="U2685" s="20" t="s">
        <v>798</v>
      </c>
      <c r="V2685" s="26" t="s">
        <v>798</v>
      </c>
      <c r="W2685" s="20" t="s">
        <v>798</v>
      </c>
      <c r="X2685" s="26" t="s">
        <v>798</v>
      </c>
      <c r="Y2685" s="20" t="s">
        <v>798</v>
      </c>
      <c r="Z2685" s="73" t="s">
        <v>9486</v>
      </c>
      <c r="AA2685" s="74" t="s">
        <v>9501</v>
      </c>
      <c r="AB2685" s="73" t="s">
        <v>9486</v>
      </c>
      <c r="AC2685" s="74" t="s">
        <v>9562</v>
      </c>
      <c r="AD2685" s="73" t="s">
        <v>9578</v>
      </c>
      <c r="AE2685" s="74" t="s">
        <v>9579</v>
      </c>
    </row>
    <row r="2686" spans="1:31" ht="8.65" customHeight="1" x14ac:dyDescent="0.2">
      <c r="A2686" s="76">
        <v>2686</v>
      </c>
      <c r="B2686" s="67" t="str">
        <f>MID(C2686, FIND("Ifc.", C2686) + 4, 4) &amp; "_" &amp; TEXT(COUNTIF($C$2:C2686, C2686),"0000")</f>
        <v>Enum_0086</v>
      </c>
      <c r="C2686" s="23" t="s">
        <v>873</v>
      </c>
      <c r="D2686" s="69" t="s">
        <v>9453</v>
      </c>
      <c r="E2686" s="70" t="s">
        <v>9455</v>
      </c>
      <c r="F2686" s="26" t="s">
        <v>798</v>
      </c>
      <c r="G2686" s="15" t="s">
        <v>798</v>
      </c>
      <c r="H2686" s="14" t="s">
        <v>798</v>
      </c>
      <c r="I2686" s="15" t="s">
        <v>798</v>
      </c>
      <c r="J2686" s="12" t="s">
        <v>9436</v>
      </c>
      <c r="K2686" s="16" t="s">
        <v>2759</v>
      </c>
      <c r="L2686" s="12" t="s">
        <v>800</v>
      </c>
      <c r="M2686" s="16" t="s">
        <v>5666</v>
      </c>
      <c r="N2686" s="19" t="s">
        <v>798</v>
      </c>
      <c r="O2686" s="20" t="s">
        <v>798</v>
      </c>
      <c r="P2686" s="17" t="s">
        <v>802</v>
      </c>
      <c r="Q2686" s="21" t="s">
        <v>8311</v>
      </c>
      <c r="R2686" s="19" t="s">
        <v>798</v>
      </c>
      <c r="S2686" s="20" t="s">
        <v>798</v>
      </c>
      <c r="T2686" s="17" t="s">
        <v>798</v>
      </c>
      <c r="U2686" s="20" t="s">
        <v>798</v>
      </c>
      <c r="V2686" s="26" t="s">
        <v>798</v>
      </c>
      <c r="W2686" s="20" t="s">
        <v>798</v>
      </c>
      <c r="X2686" s="26" t="s">
        <v>798</v>
      </c>
      <c r="Y2686" s="20" t="s">
        <v>798</v>
      </c>
      <c r="Z2686" s="73" t="s">
        <v>9486</v>
      </c>
      <c r="AA2686" s="74" t="s">
        <v>9501</v>
      </c>
      <c r="AB2686" s="73" t="s">
        <v>9486</v>
      </c>
      <c r="AC2686" s="74" t="s">
        <v>9562</v>
      </c>
      <c r="AD2686" s="73" t="s">
        <v>9578</v>
      </c>
      <c r="AE2686" s="74" t="s">
        <v>9579</v>
      </c>
    </row>
    <row r="2687" spans="1:31" ht="8.65" customHeight="1" x14ac:dyDescent="0.2">
      <c r="A2687" s="76">
        <v>2687</v>
      </c>
      <c r="B2687" s="67" t="str">
        <f>MID(C2687, FIND("Ifc.", C2687) + 4, 4) &amp; "_" &amp; TEXT(COUNTIF($C$2:C2687, C2687),"0000")</f>
        <v>Enum_0087</v>
      </c>
      <c r="C2687" s="23" t="s">
        <v>873</v>
      </c>
      <c r="D2687" s="69" t="s">
        <v>9453</v>
      </c>
      <c r="E2687" s="70" t="s">
        <v>9455</v>
      </c>
      <c r="F2687" s="26" t="s">
        <v>798</v>
      </c>
      <c r="G2687" s="15" t="s">
        <v>798</v>
      </c>
      <c r="H2687" s="14" t="s">
        <v>798</v>
      </c>
      <c r="I2687" s="15" t="s">
        <v>798</v>
      </c>
      <c r="J2687" s="12" t="s">
        <v>9436</v>
      </c>
      <c r="K2687" s="16" t="s">
        <v>2760</v>
      </c>
      <c r="L2687" s="12" t="s">
        <v>800</v>
      </c>
      <c r="M2687" s="16" t="s">
        <v>5667</v>
      </c>
      <c r="N2687" s="19" t="s">
        <v>798</v>
      </c>
      <c r="O2687" s="20" t="s">
        <v>798</v>
      </c>
      <c r="P2687" s="17" t="s">
        <v>802</v>
      </c>
      <c r="Q2687" s="21" t="s">
        <v>8312</v>
      </c>
      <c r="R2687" s="19" t="s">
        <v>798</v>
      </c>
      <c r="S2687" s="20" t="s">
        <v>798</v>
      </c>
      <c r="T2687" s="17" t="s">
        <v>798</v>
      </c>
      <c r="U2687" s="20" t="s">
        <v>798</v>
      </c>
      <c r="V2687" s="26" t="s">
        <v>798</v>
      </c>
      <c r="W2687" s="20" t="s">
        <v>798</v>
      </c>
      <c r="X2687" s="26" t="s">
        <v>798</v>
      </c>
      <c r="Y2687" s="20" t="s">
        <v>798</v>
      </c>
      <c r="Z2687" s="73" t="s">
        <v>9486</v>
      </c>
      <c r="AA2687" s="74" t="s">
        <v>9501</v>
      </c>
      <c r="AB2687" s="73" t="s">
        <v>9486</v>
      </c>
      <c r="AC2687" s="74" t="s">
        <v>9562</v>
      </c>
      <c r="AD2687" s="73" t="s">
        <v>9578</v>
      </c>
      <c r="AE2687" s="74" t="s">
        <v>9579</v>
      </c>
    </row>
    <row r="2688" spans="1:31" ht="8.65" customHeight="1" x14ac:dyDescent="0.2">
      <c r="A2688" s="76">
        <v>2688</v>
      </c>
      <c r="B2688" s="67" t="str">
        <f>MID(C2688, FIND("Ifc.", C2688) + 4, 4) &amp; "_" &amp; TEXT(COUNTIF($C$2:C2688, C2688),"0000")</f>
        <v>Enum_0088</v>
      </c>
      <c r="C2688" s="23" t="s">
        <v>873</v>
      </c>
      <c r="D2688" s="69" t="s">
        <v>9453</v>
      </c>
      <c r="E2688" s="70" t="s">
        <v>9455</v>
      </c>
      <c r="F2688" s="26" t="s">
        <v>798</v>
      </c>
      <c r="G2688" s="15" t="s">
        <v>798</v>
      </c>
      <c r="H2688" s="14" t="s">
        <v>798</v>
      </c>
      <c r="I2688" s="15" t="s">
        <v>798</v>
      </c>
      <c r="J2688" s="12" t="s">
        <v>9436</v>
      </c>
      <c r="K2688" s="16" t="s">
        <v>2761</v>
      </c>
      <c r="L2688" s="12" t="s">
        <v>800</v>
      </c>
      <c r="M2688" s="16" t="s">
        <v>5668</v>
      </c>
      <c r="N2688" s="19" t="s">
        <v>798</v>
      </c>
      <c r="O2688" s="20" t="s">
        <v>798</v>
      </c>
      <c r="P2688" s="17" t="s">
        <v>802</v>
      </c>
      <c r="Q2688" s="21" t="s">
        <v>8313</v>
      </c>
      <c r="R2688" s="19" t="s">
        <v>798</v>
      </c>
      <c r="S2688" s="20" t="s">
        <v>798</v>
      </c>
      <c r="T2688" s="17" t="s">
        <v>798</v>
      </c>
      <c r="U2688" s="20" t="s">
        <v>798</v>
      </c>
      <c r="V2688" s="26" t="s">
        <v>798</v>
      </c>
      <c r="W2688" s="20" t="s">
        <v>798</v>
      </c>
      <c r="X2688" s="26" t="s">
        <v>798</v>
      </c>
      <c r="Y2688" s="20" t="s">
        <v>798</v>
      </c>
      <c r="Z2688" s="73" t="s">
        <v>9486</v>
      </c>
      <c r="AA2688" s="74" t="s">
        <v>9501</v>
      </c>
      <c r="AB2688" s="73" t="s">
        <v>9486</v>
      </c>
      <c r="AC2688" s="74" t="s">
        <v>9562</v>
      </c>
      <c r="AD2688" s="73" t="s">
        <v>9578</v>
      </c>
      <c r="AE2688" s="74" t="s">
        <v>9579</v>
      </c>
    </row>
    <row r="2689" spans="1:31" ht="8.65" customHeight="1" x14ac:dyDescent="0.2">
      <c r="A2689" s="76">
        <v>2689</v>
      </c>
      <c r="B2689" s="67" t="str">
        <f>MID(C2689, FIND("Ifc.", C2689) + 4, 4) &amp; "_" &amp; TEXT(COUNTIF($C$2:C2689, C2689),"0000")</f>
        <v>Enum_0089</v>
      </c>
      <c r="C2689" s="23" t="s">
        <v>873</v>
      </c>
      <c r="D2689" s="69" t="s">
        <v>9453</v>
      </c>
      <c r="E2689" s="70" t="s">
        <v>9455</v>
      </c>
      <c r="F2689" s="26" t="s">
        <v>798</v>
      </c>
      <c r="G2689" s="15" t="s">
        <v>798</v>
      </c>
      <c r="H2689" s="14" t="s">
        <v>798</v>
      </c>
      <c r="I2689" s="15" t="s">
        <v>798</v>
      </c>
      <c r="J2689" s="12" t="s">
        <v>9436</v>
      </c>
      <c r="K2689" s="16" t="s">
        <v>2762</v>
      </c>
      <c r="L2689" s="12" t="s">
        <v>800</v>
      </c>
      <c r="M2689" s="16" t="s">
        <v>5669</v>
      </c>
      <c r="N2689" s="19" t="s">
        <v>798</v>
      </c>
      <c r="O2689" s="20" t="s">
        <v>798</v>
      </c>
      <c r="P2689" s="17" t="s">
        <v>802</v>
      </c>
      <c r="Q2689" s="21" t="s">
        <v>8314</v>
      </c>
      <c r="R2689" s="19" t="s">
        <v>798</v>
      </c>
      <c r="S2689" s="20" t="s">
        <v>798</v>
      </c>
      <c r="T2689" s="17" t="s">
        <v>798</v>
      </c>
      <c r="U2689" s="20" t="s">
        <v>798</v>
      </c>
      <c r="V2689" s="26" t="s">
        <v>798</v>
      </c>
      <c r="W2689" s="20" t="s">
        <v>798</v>
      </c>
      <c r="X2689" s="26" t="s">
        <v>798</v>
      </c>
      <c r="Y2689" s="20" t="s">
        <v>798</v>
      </c>
      <c r="Z2689" s="73" t="s">
        <v>9486</v>
      </c>
      <c r="AA2689" s="74" t="s">
        <v>9501</v>
      </c>
      <c r="AB2689" s="73" t="s">
        <v>9486</v>
      </c>
      <c r="AC2689" s="74" t="s">
        <v>9562</v>
      </c>
      <c r="AD2689" s="73" t="s">
        <v>9578</v>
      </c>
      <c r="AE2689" s="74" t="s">
        <v>9579</v>
      </c>
    </row>
    <row r="2690" spans="1:31" ht="8.65" customHeight="1" x14ac:dyDescent="0.2">
      <c r="A2690" s="76">
        <v>2690</v>
      </c>
      <c r="B2690" s="67" t="str">
        <f>MID(C2690, FIND("Ifc.", C2690) + 4, 4) &amp; "_" &amp; TEXT(COUNTIF($C$2:C2690, C2690),"0000")</f>
        <v>Enum_0090</v>
      </c>
      <c r="C2690" s="23" t="s">
        <v>873</v>
      </c>
      <c r="D2690" s="69" t="s">
        <v>9453</v>
      </c>
      <c r="E2690" s="70" t="s">
        <v>9455</v>
      </c>
      <c r="F2690" s="26" t="s">
        <v>798</v>
      </c>
      <c r="G2690" s="15" t="s">
        <v>798</v>
      </c>
      <c r="H2690" s="14" t="s">
        <v>798</v>
      </c>
      <c r="I2690" s="15" t="s">
        <v>798</v>
      </c>
      <c r="J2690" s="12" t="s">
        <v>9436</v>
      </c>
      <c r="K2690" s="16" t="s">
        <v>2763</v>
      </c>
      <c r="L2690" s="12" t="s">
        <v>800</v>
      </c>
      <c r="M2690" s="16" t="s">
        <v>5670</v>
      </c>
      <c r="N2690" s="19" t="s">
        <v>798</v>
      </c>
      <c r="O2690" s="20" t="s">
        <v>798</v>
      </c>
      <c r="P2690" s="17" t="s">
        <v>802</v>
      </c>
      <c r="Q2690" s="21" t="s">
        <v>8315</v>
      </c>
      <c r="R2690" s="19" t="s">
        <v>798</v>
      </c>
      <c r="S2690" s="20" t="s">
        <v>798</v>
      </c>
      <c r="T2690" s="17" t="s">
        <v>798</v>
      </c>
      <c r="U2690" s="20" t="s">
        <v>798</v>
      </c>
      <c r="V2690" s="26" t="s">
        <v>798</v>
      </c>
      <c r="W2690" s="20" t="s">
        <v>798</v>
      </c>
      <c r="X2690" s="26" t="s">
        <v>798</v>
      </c>
      <c r="Y2690" s="20" t="s">
        <v>798</v>
      </c>
      <c r="Z2690" s="73" t="s">
        <v>9486</v>
      </c>
      <c r="AA2690" s="74" t="s">
        <v>9501</v>
      </c>
      <c r="AB2690" s="73" t="s">
        <v>9486</v>
      </c>
      <c r="AC2690" s="74" t="s">
        <v>9562</v>
      </c>
      <c r="AD2690" s="73" t="s">
        <v>9578</v>
      </c>
      <c r="AE2690" s="74" t="s">
        <v>9579</v>
      </c>
    </row>
    <row r="2691" spans="1:31" ht="8.65" customHeight="1" x14ac:dyDescent="0.2">
      <c r="A2691" s="76">
        <v>2691</v>
      </c>
      <c r="B2691" s="67" t="str">
        <f>MID(C2691, FIND("Ifc.", C2691) + 4, 4) &amp; "_" &amp; TEXT(COUNTIF($C$2:C2691, C2691),"0000")</f>
        <v>Enum_0091</v>
      </c>
      <c r="C2691" s="23" t="s">
        <v>873</v>
      </c>
      <c r="D2691" s="69" t="s">
        <v>9453</v>
      </c>
      <c r="E2691" s="70" t="s">
        <v>9455</v>
      </c>
      <c r="F2691" s="26" t="s">
        <v>798</v>
      </c>
      <c r="G2691" s="15" t="s">
        <v>798</v>
      </c>
      <c r="H2691" s="14" t="s">
        <v>798</v>
      </c>
      <c r="I2691" s="15" t="s">
        <v>798</v>
      </c>
      <c r="J2691" s="12" t="s">
        <v>9436</v>
      </c>
      <c r="K2691" s="16" t="s">
        <v>2764</v>
      </c>
      <c r="L2691" s="12" t="s">
        <v>800</v>
      </c>
      <c r="M2691" s="16" t="s">
        <v>5671</v>
      </c>
      <c r="N2691" s="19" t="s">
        <v>798</v>
      </c>
      <c r="O2691" s="20" t="s">
        <v>798</v>
      </c>
      <c r="P2691" s="17" t="s">
        <v>802</v>
      </c>
      <c r="Q2691" s="21" t="s">
        <v>8316</v>
      </c>
      <c r="R2691" s="19" t="s">
        <v>798</v>
      </c>
      <c r="S2691" s="20" t="s">
        <v>798</v>
      </c>
      <c r="T2691" s="17" t="s">
        <v>798</v>
      </c>
      <c r="U2691" s="20" t="s">
        <v>798</v>
      </c>
      <c r="V2691" s="26" t="s">
        <v>798</v>
      </c>
      <c r="W2691" s="20" t="s">
        <v>798</v>
      </c>
      <c r="X2691" s="26" t="s">
        <v>798</v>
      </c>
      <c r="Y2691" s="20" t="s">
        <v>798</v>
      </c>
      <c r="Z2691" s="73" t="s">
        <v>9486</v>
      </c>
      <c r="AA2691" s="74" t="s">
        <v>9501</v>
      </c>
      <c r="AB2691" s="73" t="s">
        <v>9486</v>
      </c>
      <c r="AC2691" s="74" t="s">
        <v>9562</v>
      </c>
      <c r="AD2691" s="73" t="s">
        <v>9578</v>
      </c>
      <c r="AE2691" s="74" t="s">
        <v>9579</v>
      </c>
    </row>
    <row r="2692" spans="1:31" ht="8.65" customHeight="1" x14ac:dyDescent="0.2">
      <c r="A2692" s="76">
        <v>2692</v>
      </c>
      <c r="B2692" s="67" t="str">
        <f>MID(C2692, FIND("Ifc.", C2692) + 4, 4) &amp; "_" &amp; TEXT(COUNTIF($C$2:C2692, C2692),"0000")</f>
        <v>Enum_0092</v>
      </c>
      <c r="C2692" s="23" t="s">
        <v>873</v>
      </c>
      <c r="D2692" s="69" t="s">
        <v>9453</v>
      </c>
      <c r="E2692" s="70" t="s">
        <v>9455</v>
      </c>
      <c r="F2692" s="26" t="s">
        <v>798</v>
      </c>
      <c r="G2692" s="15" t="s">
        <v>798</v>
      </c>
      <c r="H2692" s="14" t="s">
        <v>798</v>
      </c>
      <c r="I2692" s="15" t="s">
        <v>798</v>
      </c>
      <c r="J2692" s="12" t="s">
        <v>9436</v>
      </c>
      <c r="K2692" s="16" t="s">
        <v>2765</v>
      </c>
      <c r="L2692" s="12" t="s">
        <v>800</v>
      </c>
      <c r="M2692" s="16" t="s">
        <v>5672</v>
      </c>
      <c r="N2692" s="19" t="s">
        <v>798</v>
      </c>
      <c r="O2692" s="20" t="s">
        <v>798</v>
      </c>
      <c r="P2692" s="17" t="s">
        <v>802</v>
      </c>
      <c r="Q2692" s="21" t="s">
        <v>8317</v>
      </c>
      <c r="R2692" s="19" t="s">
        <v>798</v>
      </c>
      <c r="S2692" s="20" t="s">
        <v>798</v>
      </c>
      <c r="T2692" s="17" t="s">
        <v>798</v>
      </c>
      <c r="U2692" s="20" t="s">
        <v>798</v>
      </c>
      <c r="V2692" s="26" t="s">
        <v>798</v>
      </c>
      <c r="W2692" s="20" t="s">
        <v>798</v>
      </c>
      <c r="X2692" s="26" t="s">
        <v>798</v>
      </c>
      <c r="Y2692" s="20" t="s">
        <v>798</v>
      </c>
      <c r="Z2692" s="73" t="s">
        <v>9486</v>
      </c>
      <c r="AA2692" s="74" t="s">
        <v>9501</v>
      </c>
      <c r="AB2692" s="73" t="s">
        <v>9486</v>
      </c>
      <c r="AC2692" s="74" t="s">
        <v>9562</v>
      </c>
      <c r="AD2692" s="73" t="s">
        <v>9578</v>
      </c>
      <c r="AE2692" s="74" t="s">
        <v>9579</v>
      </c>
    </row>
    <row r="2693" spans="1:31" ht="8.65" customHeight="1" x14ac:dyDescent="0.2">
      <c r="A2693" s="76">
        <v>2693</v>
      </c>
      <c r="B2693" s="67" t="str">
        <f>MID(C2693, FIND("Ifc.", C2693) + 4, 4) &amp; "_" &amp; TEXT(COUNTIF($C$2:C2693, C2693),"0000")</f>
        <v>Enum_0093</v>
      </c>
      <c r="C2693" s="23" t="s">
        <v>873</v>
      </c>
      <c r="D2693" s="69" t="s">
        <v>9453</v>
      </c>
      <c r="E2693" s="70" t="s">
        <v>9455</v>
      </c>
      <c r="F2693" s="26" t="s">
        <v>798</v>
      </c>
      <c r="G2693" s="15" t="s">
        <v>798</v>
      </c>
      <c r="H2693" s="14" t="s">
        <v>798</v>
      </c>
      <c r="I2693" s="15" t="s">
        <v>798</v>
      </c>
      <c r="J2693" s="12" t="s">
        <v>9436</v>
      </c>
      <c r="K2693" s="16" t="s">
        <v>2766</v>
      </c>
      <c r="L2693" s="12" t="s">
        <v>800</v>
      </c>
      <c r="M2693" s="16" t="s">
        <v>5673</v>
      </c>
      <c r="N2693" s="19" t="s">
        <v>798</v>
      </c>
      <c r="O2693" s="20" t="s">
        <v>798</v>
      </c>
      <c r="P2693" s="17" t="s">
        <v>802</v>
      </c>
      <c r="Q2693" s="21" t="s">
        <v>8318</v>
      </c>
      <c r="R2693" s="19" t="s">
        <v>798</v>
      </c>
      <c r="S2693" s="20" t="s">
        <v>798</v>
      </c>
      <c r="T2693" s="17" t="s">
        <v>798</v>
      </c>
      <c r="U2693" s="20" t="s">
        <v>798</v>
      </c>
      <c r="V2693" s="26" t="s">
        <v>798</v>
      </c>
      <c r="W2693" s="20" t="s">
        <v>798</v>
      </c>
      <c r="X2693" s="26" t="s">
        <v>798</v>
      </c>
      <c r="Y2693" s="20" t="s">
        <v>798</v>
      </c>
      <c r="Z2693" s="73" t="s">
        <v>9486</v>
      </c>
      <c r="AA2693" s="74" t="s">
        <v>9501</v>
      </c>
      <c r="AB2693" s="73" t="s">
        <v>9486</v>
      </c>
      <c r="AC2693" s="74" t="s">
        <v>9562</v>
      </c>
      <c r="AD2693" s="73" t="s">
        <v>9578</v>
      </c>
      <c r="AE2693" s="74" t="s">
        <v>9579</v>
      </c>
    </row>
    <row r="2694" spans="1:31" ht="8.65" customHeight="1" x14ac:dyDescent="0.2">
      <c r="A2694" s="76">
        <v>2694</v>
      </c>
      <c r="B2694" s="67" t="str">
        <f>MID(C2694, FIND("Ifc.", C2694) + 4, 4) &amp; "_" &amp; TEXT(COUNTIF($C$2:C2694, C2694),"0000")</f>
        <v>Enum_0094</v>
      </c>
      <c r="C2694" s="23" t="s">
        <v>873</v>
      </c>
      <c r="D2694" s="69" t="s">
        <v>9453</v>
      </c>
      <c r="E2694" s="70" t="s">
        <v>9455</v>
      </c>
      <c r="F2694" s="26" t="s">
        <v>798</v>
      </c>
      <c r="G2694" s="15" t="s">
        <v>798</v>
      </c>
      <c r="H2694" s="14" t="s">
        <v>798</v>
      </c>
      <c r="I2694" s="15" t="s">
        <v>798</v>
      </c>
      <c r="J2694" s="12" t="s">
        <v>9436</v>
      </c>
      <c r="K2694" s="16" t="s">
        <v>2767</v>
      </c>
      <c r="L2694" s="12" t="s">
        <v>800</v>
      </c>
      <c r="M2694" s="16" t="s">
        <v>5674</v>
      </c>
      <c r="N2694" s="19" t="s">
        <v>798</v>
      </c>
      <c r="O2694" s="20" t="s">
        <v>798</v>
      </c>
      <c r="P2694" s="17" t="s">
        <v>802</v>
      </c>
      <c r="Q2694" s="21" t="s">
        <v>8319</v>
      </c>
      <c r="R2694" s="19" t="s">
        <v>798</v>
      </c>
      <c r="S2694" s="20" t="s">
        <v>798</v>
      </c>
      <c r="T2694" s="17" t="s">
        <v>798</v>
      </c>
      <c r="U2694" s="20" t="s">
        <v>798</v>
      </c>
      <c r="V2694" s="26" t="s">
        <v>798</v>
      </c>
      <c r="W2694" s="20" t="s">
        <v>798</v>
      </c>
      <c r="X2694" s="26" t="s">
        <v>798</v>
      </c>
      <c r="Y2694" s="20" t="s">
        <v>798</v>
      </c>
      <c r="Z2694" s="73" t="s">
        <v>9486</v>
      </c>
      <c r="AA2694" s="74" t="s">
        <v>9501</v>
      </c>
      <c r="AB2694" s="73" t="s">
        <v>9486</v>
      </c>
      <c r="AC2694" s="74" t="s">
        <v>9562</v>
      </c>
      <c r="AD2694" s="73" t="s">
        <v>9578</v>
      </c>
      <c r="AE2694" s="74" t="s">
        <v>9579</v>
      </c>
    </row>
    <row r="2695" spans="1:31" ht="8.65" customHeight="1" x14ac:dyDescent="0.2">
      <c r="A2695" s="76">
        <v>2695</v>
      </c>
      <c r="B2695" s="67" t="str">
        <f>MID(C2695, FIND("Ifc.", C2695) + 4, 4) &amp; "_" &amp; TEXT(COUNTIF($C$2:C2695, C2695),"0000")</f>
        <v>Enum_0095</v>
      </c>
      <c r="C2695" s="23" t="s">
        <v>873</v>
      </c>
      <c r="D2695" s="69" t="s">
        <v>9453</v>
      </c>
      <c r="E2695" s="70" t="s">
        <v>9455</v>
      </c>
      <c r="F2695" s="26" t="s">
        <v>798</v>
      </c>
      <c r="G2695" s="15" t="s">
        <v>798</v>
      </c>
      <c r="H2695" s="14" t="s">
        <v>798</v>
      </c>
      <c r="I2695" s="15" t="s">
        <v>798</v>
      </c>
      <c r="J2695" s="12" t="s">
        <v>9436</v>
      </c>
      <c r="K2695" s="16" t="s">
        <v>2768</v>
      </c>
      <c r="L2695" s="12" t="s">
        <v>800</v>
      </c>
      <c r="M2695" s="16" t="s">
        <v>5675</v>
      </c>
      <c r="N2695" s="19" t="s">
        <v>798</v>
      </c>
      <c r="O2695" s="20" t="s">
        <v>798</v>
      </c>
      <c r="P2695" s="17" t="s">
        <v>802</v>
      </c>
      <c r="Q2695" s="21" t="s">
        <v>8320</v>
      </c>
      <c r="R2695" s="19" t="s">
        <v>798</v>
      </c>
      <c r="S2695" s="20" t="s">
        <v>798</v>
      </c>
      <c r="T2695" s="17" t="s">
        <v>798</v>
      </c>
      <c r="U2695" s="20" t="s">
        <v>798</v>
      </c>
      <c r="V2695" s="26" t="s">
        <v>798</v>
      </c>
      <c r="W2695" s="20" t="s">
        <v>798</v>
      </c>
      <c r="X2695" s="26" t="s">
        <v>798</v>
      </c>
      <c r="Y2695" s="20" t="s">
        <v>798</v>
      </c>
      <c r="Z2695" s="73" t="s">
        <v>9486</v>
      </c>
      <c r="AA2695" s="74" t="s">
        <v>9501</v>
      </c>
      <c r="AB2695" s="73" t="s">
        <v>9486</v>
      </c>
      <c r="AC2695" s="74" t="s">
        <v>9562</v>
      </c>
      <c r="AD2695" s="73" t="s">
        <v>9578</v>
      </c>
      <c r="AE2695" s="74" t="s">
        <v>9579</v>
      </c>
    </row>
    <row r="2696" spans="1:31" ht="8.65" customHeight="1" x14ac:dyDescent="0.2">
      <c r="A2696" s="76">
        <v>2696</v>
      </c>
      <c r="B2696" s="67" t="str">
        <f>MID(C2696, FIND("Ifc.", C2696) + 4, 4) &amp; "_" &amp; TEXT(COUNTIF($C$2:C2696, C2696),"0000")</f>
        <v>Enum_0096</v>
      </c>
      <c r="C2696" s="23" t="s">
        <v>873</v>
      </c>
      <c r="D2696" s="69" t="s">
        <v>9453</v>
      </c>
      <c r="E2696" s="70" t="s">
        <v>9455</v>
      </c>
      <c r="F2696" s="26" t="s">
        <v>798</v>
      </c>
      <c r="G2696" s="15" t="s">
        <v>798</v>
      </c>
      <c r="H2696" s="14" t="s">
        <v>798</v>
      </c>
      <c r="I2696" s="15" t="s">
        <v>798</v>
      </c>
      <c r="J2696" s="12" t="s">
        <v>9436</v>
      </c>
      <c r="K2696" s="16" t="s">
        <v>2769</v>
      </c>
      <c r="L2696" s="12" t="s">
        <v>800</v>
      </c>
      <c r="M2696" s="16" t="s">
        <v>5676</v>
      </c>
      <c r="N2696" s="19" t="s">
        <v>798</v>
      </c>
      <c r="O2696" s="20" t="s">
        <v>798</v>
      </c>
      <c r="P2696" s="17" t="s">
        <v>802</v>
      </c>
      <c r="Q2696" s="21" t="s">
        <v>8321</v>
      </c>
      <c r="R2696" s="19" t="s">
        <v>798</v>
      </c>
      <c r="S2696" s="20" t="s">
        <v>798</v>
      </c>
      <c r="T2696" s="17" t="s">
        <v>798</v>
      </c>
      <c r="U2696" s="20" t="s">
        <v>798</v>
      </c>
      <c r="V2696" s="26" t="s">
        <v>798</v>
      </c>
      <c r="W2696" s="20" t="s">
        <v>798</v>
      </c>
      <c r="X2696" s="26" t="s">
        <v>798</v>
      </c>
      <c r="Y2696" s="20" t="s">
        <v>798</v>
      </c>
      <c r="Z2696" s="73" t="s">
        <v>9486</v>
      </c>
      <c r="AA2696" s="74" t="s">
        <v>9501</v>
      </c>
      <c r="AB2696" s="73" t="s">
        <v>9486</v>
      </c>
      <c r="AC2696" s="74" t="s">
        <v>9562</v>
      </c>
      <c r="AD2696" s="73" t="s">
        <v>9578</v>
      </c>
      <c r="AE2696" s="74" t="s">
        <v>9595</v>
      </c>
    </row>
    <row r="2697" spans="1:31" ht="8.65" customHeight="1" x14ac:dyDescent="0.2">
      <c r="A2697" s="76">
        <v>2697</v>
      </c>
      <c r="B2697" s="67" t="str">
        <f>MID(C2697, FIND("Ifc.", C2697) + 4, 4) &amp; "_" &amp; TEXT(COUNTIF($C$2:C2697, C2697),"0000")</f>
        <v>Enum_0097</v>
      </c>
      <c r="C2697" s="23" t="s">
        <v>873</v>
      </c>
      <c r="D2697" s="69" t="s">
        <v>9453</v>
      </c>
      <c r="E2697" s="70" t="s">
        <v>9455</v>
      </c>
      <c r="F2697" s="26" t="s">
        <v>798</v>
      </c>
      <c r="G2697" s="15" t="s">
        <v>798</v>
      </c>
      <c r="H2697" s="14" t="s">
        <v>798</v>
      </c>
      <c r="I2697" s="15" t="s">
        <v>798</v>
      </c>
      <c r="J2697" s="12" t="s">
        <v>9436</v>
      </c>
      <c r="K2697" s="16" t="s">
        <v>2770</v>
      </c>
      <c r="L2697" s="12" t="s">
        <v>800</v>
      </c>
      <c r="M2697" s="16" t="s">
        <v>5677</v>
      </c>
      <c r="N2697" s="19" t="s">
        <v>798</v>
      </c>
      <c r="O2697" s="20" t="s">
        <v>798</v>
      </c>
      <c r="P2697" s="17" t="s">
        <v>802</v>
      </c>
      <c r="Q2697" s="21" t="s">
        <v>8322</v>
      </c>
      <c r="R2697" s="19" t="s">
        <v>798</v>
      </c>
      <c r="S2697" s="20" t="s">
        <v>798</v>
      </c>
      <c r="T2697" s="17" t="s">
        <v>798</v>
      </c>
      <c r="U2697" s="20" t="s">
        <v>798</v>
      </c>
      <c r="V2697" s="26" t="s">
        <v>798</v>
      </c>
      <c r="W2697" s="20" t="s">
        <v>798</v>
      </c>
      <c r="X2697" s="26" t="s">
        <v>798</v>
      </c>
      <c r="Y2697" s="20" t="s">
        <v>798</v>
      </c>
      <c r="Z2697" s="73" t="s">
        <v>9486</v>
      </c>
      <c r="AA2697" s="74" t="s">
        <v>9501</v>
      </c>
      <c r="AB2697" s="73" t="s">
        <v>9486</v>
      </c>
      <c r="AC2697" s="74" t="s">
        <v>9562</v>
      </c>
      <c r="AD2697" s="73" t="s">
        <v>9578</v>
      </c>
      <c r="AE2697" s="74" t="s">
        <v>9595</v>
      </c>
    </row>
    <row r="2698" spans="1:31" ht="8.65" customHeight="1" x14ac:dyDescent="0.2">
      <c r="A2698" s="76">
        <v>2698</v>
      </c>
      <c r="B2698" s="67" t="str">
        <f>MID(C2698, FIND("Ifc.", C2698) + 4, 4) &amp; "_" &amp; TEXT(COUNTIF($C$2:C2698, C2698),"0000")</f>
        <v>Enum_0098</v>
      </c>
      <c r="C2698" s="23" t="s">
        <v>873</v>
      </c>
      <c r="D2698" s="69" t="s">
        <v>9453</v>
      </c>
      <c r="E2698" s="70" t="s">
        <v>9455</v>
      </c>
      <c r="F2698" s="26" t="s">
        <v>798</v>
      </c>
      <c r="G2698" s="15" t="s">
        <v>798</v>
      </c>
      <c r="H2698" s="14" t="s">
        <v>798</v>
      </c>
      <c r="I2698" s="15" t="s">
        <v>798</v>
      </c>
      <c r="J2698" s="12" t="s">
        <v>9436</v>
      </c>
      <c r="K2698" s="16" t="s">
        <v>2771</v>
      </c>
      <c r="L2698" s="12" t="s">
        <v>800</v>
      </c>
      <c r="M2698" s="16" t="s">
        <v>5678</v>
      </c>
      <c r="N2698" s="19" t="s">
        <v>798</v>
      </c>
      <c r="O2698" s="20" t="s">
        <v>798</v>
      </c>
      <c r="P2698" s="17" t="s">
        <v>802</v>
      </c>
      <c r="Q2698" s="21" t="s">
        <v>8323</v>
      </c>
      <c r="R2698" s="19" t="s">
        <v>798</v>
      </c>
      <c r="S2698" s="20" t="s">
        <v>798</v>
      </c>
      <c r="T2698" s="17" t="s">
        <v>798</v>
      </c>
      <c r="U2698" s="20" t="s">
        <v>798</v>
      </c>
      <c r="V2698" s="26" t="s">
        <v>798</v>
      </c>
      <c r="W2698" s="20" t="s">
        <v>798</v>
      </c>
      <c r="X2698" s="26" t="s">
        <v>798</v>
      </c>
      <c r="Y2698" s="20" t="s">
        <v>798</v>
      </c>
      <c r="Z2698" s="73" t="s">
        <v>9486</v>
      </c>
      <c r="AA2698" s="74" t="s">
        <v>9501</v>
      </c>
      <c r="AB2698" s="73" t="s">
        <v>9486</v>
      </c>
      <c r="AC2698" s="74" t="s">
        <v>9562</v>
      </c>
      <c r="AD2698" s="73" t="s">
        <v>9578</v>
      </c>
      <c r="AE2698" s="74" t="s">
        <v>9579</v>
      </c>
    </row>
    <row r="2699" spans="1:31" ht="8.65" customHeight="1" x14ac:dyDescent="0.2">
      <c r="A2699" s="76">
        <v>2699</v>
      </c>
      <c r="B2699" s="67" t="str">
        <f>MID(C2699, FIND("Ifc.", C2699) + 4, 4) &amp; "_" &amp; TEXT(COUNTIF($C$2:C2699, C2699),"0000")</f>
        <v>Enum_0099</v>
      </c>
      <c r="C2699" s="23" t="s">
        <v>873</v>
      </c>
      <c r="D2699" s="69" t="s">
        <v>9453</v>
      </c>
      <c r="E2699" s="70" t="s">
        <v>9455</v>
      </c>
      <c r="F2699" s="26" t="s">
        <v>798</v>
      </c>
      <c r="G2699" s="15" t="s">
        <v>798</v>
      </c>
      <c r="H2699" s="14" t="s">
        <v>798</v>
      </c>
      <c r="I2699" s="15" t="s">
        <v>798</v>
      </c>
      <c r="J2699" s="12" t="s">
        <v>9436</v>
      </c>
      <c r="K2699" s="16" t="s">
        <v>2772</v>
      </c>
      <c r="L2699" s="12" t="s">
        <v>800</v>
      </c>
      <c r="M2699" s="16" t="s">
        <v>5679</v>
      </c>
      <c r="N2699" s="19" t="s">
        <v>798</v>
      </c>
      <c r="O2699" s="20" t="s">
        <v>798</v>
      </c>
      <c r="P2699" s="17" t="s">
        <v>802</v>
      </c>
      <c r="Q2699" s="21" t="s">
        <v>8324</v>
      </c>
      <c r="R2699" s="19" t="s">
        <v>798</v>
      </c>
      <c r="S2699" s="20" t="s">
        <v>798</v>
      </c>
      <c r="T2699" s="17" t="s">
        <v>798</v>
      </c>
      <c r="U2699" s="20" t="s">
        <v>798</v>
      </c>
      <c r="V2699" s="26" t="s">
        <v>798</v>
      </c>
      <c r="W2699" s="20" t="s">
        <v>798</v>
      </c>
      <c r="X2699" s="26" t="s">
        <v>798</v>
      </c>
      <c r="Y2699" s="20" t="s">
        <v>798</v>
      </c>
      <c r="Z2699" s="73" t="s">
        <v>9486</v>
      </c>
      <c r="AA2699" s="74" t="s">
        <v>9501</v>
      </c>
      <c r="AB2699" s="73" t="s">
        <v>9486</v>
      </c>
      <c r="AC2699" s="74" t="s">
        <v>9562</v>
      </c>
      <c r="AD2699" s="73" t="s">
        <v>9578</v>
      </c>
      <c r="AE2699" s="74" t="s">
        <v>9579</v>
      </c>
    </row>
    <row r="2700" spans="1:31" ht="8.65" customHeight="1" x14ac:dyDescent="0.2">
      <c r="A2700" s="76">
        <v>2700</v>
      </c>
      <c r="B2700" s="67" t="str">
        <f>MID(C2700, FIND("Ifc.", C2700) + 4, 4) &amp; "_" &amp; TEXT(COUNTIF($C$2:C2700, C2700),"0000")</f>
        <v>Enum_0100</v>
      </c>
      <c r="C2700" s="23" t="s">
        <v>873</v>
      </c>
      <c r="D2700" s="69" t="s">
        <v>9453</v>
      </c>
      <c r="E2700" s="70" t="s">
        <v>9455</v>
      </c>
      <c r="F2700" s="26" t="s">
        <v>798</v>
      </c>
      <c r="G2700" s="15" t="s">
        <v>798</v>
      </c>
      <c r="H2700" s="14" t="s">
        <v>798</v>
      </c>
      <c r="I2700" s="15" t="s">
        <v>798</v>
      </c>
      <c r="J2700" s="12" t="s">
        <v>9436</v>
      </c>
      <c r="K2700" s="16" t="s">
        <v>2773</v>
      </c>
      <c r="L2700" s="12" t="s">
        <v>800</v>
      </c>
      <c r="M2700" s="16" t="s">
        <v>5680</v>
      </c>
      <c r="N2700" s="19" t="s">
        <v>798</v>
      </c>
      <c r="O2700" s="20" t="s">
        <v>798</v>
      </c>
      <c r="P2700" s="17" t="s">
        <v>802</v>
      </c>
      <c r="Q2700" s="21" t="s">
        <v>8325</v>
      </c>
      <c r="R2700" s="19" t="s">
        <v>798</v>
      </c>
      <c r="S2700" s="20" t="s">
        <v>798</v>
      </c>
      <c r="T2700" s="17" t="s">
        <v>798</v>
      </c>
      <c r="U2700" s="20" t="s">
        <v>798</v>
      </c>
      <c r="V2700" s="26" t="s">
        <v>798</v>
      </c>
      <c r="W2700" s="20" t="s">
        <v>798</v>
      </c>
      <c r="X2700" s="26" t="s">
        <v>798</v>
      </c>
      <c r="Y2700" s="20" t="s">
        <v>798</v>
      </c>
      <c r="Z2700" s="73" t="s">
        <v>9486</v>
      </c>
      <c r="AA2700" s="74" t="s">
        <v>9501</v>
      </c>
      <c r="AB2700" s="73" t="s">
        <v>9486</v>
      </c>
      <c r="AC2700" s="74" t="s">
        <v>9562</v>
      </c>
      <c r="AD2700" s="73" t="s">
        <v>9578</v>
      </c>
      <c r="AE2700" s="74" t="s">
        <v>9579</v>
      </c>
    </row>
    <row r="2701" spans="1:31" ht="8.65" customHeight="1" x14ac:dyDescent="0.2">
      <c r="A2701" s="76">
        <v>2701</v>
      </c>
      <c r="B2701" s="67" t="str">
        <f>MID(C2701, FIND("Ifc.", C2701) + 4, 4) &amp; "_" &amp; TEXT(COUNTIF($C$2:C2701, C2701),"0000")</f>
        <v>Enum_0101</v>
      </c>
      <c r="C2701" s="23" t="s">
        <v>873</v>
      </c>
      <c r="D2701" s="69" t="s">
        <v>9453</v>
      </c>
      <c r="E2701" s="70" t="s">
        <v>9455</v>
      </c>
      <c r="F2701" s="26" t="s">
        <v>798</v>
      </c>
      <c r="G2701" s="15" t="s">
        <v>798</v>
      </c>
      <c r="H2701" s="14" t="s">
        <v>798</v>
      </c>
      <c r="I2701" s="15" t="s">
        <v>798</v>
      </c>
      <c r="J2701" s="12" t="s">
        <v>9436</v>
      </c>
      <c r="K2701" s="16" t="s">
        <v>2774</v>
      </c>
      <c r="L2701" s="12" t="s">
        <v>800</v>
      </c>
      <c r="M2701" s="16" t="s">
        <v>5681</v>
      </c>
      <c r="N2701" s="19" t="s">
        <v>798</v>
      </c>
      <c r="O2701" s="20" t="s">
        <v>798</v>
      </c>
      <c r="P2701" s="17" t="s">
        <v>802</v>
      </c>
      <c r="Q2701" s="21" t="s">
        <v>8326</v>
      </c>
      <c r="R2701" s="19" t="s">
        <v>798</v>
      </c>
      <c r="S2701" s="20" t="s">
        <v>798</v>
      </c>
      <c r="T2701" s="17" t="s">
        <v>798</v>
      </c>
      <c r="U2701" s="20" t="s">
        <v>798</v>
      </c>
      <c r="V2701" s="26" t="s">
        <v>798</v>
      </c>
      <c r="W2701" s="20" t="s">
        <v>798</v>
      </c>
      <c r="X2701" s="26" t="s">
        <v>798</v>
      </c>
      <c r="Y2701" s="20" t="s">
        <v>798</v>
      </c>
      <c r="Z2701" s="73" t="s">
        <v>9486</v>
      </c>
      <c r="AA2701" s="74" t="s">
        <v>9501</v>
      </c>
      <c r="AB2701" s="73" t="s">
        <v>9486</v>
      </c>
      <c r="AC2701" s="74" t="s">
        <v>9562</v>
      </c>
      <c r="AD2701" s="73" t="s">
        <v>9578</v>
      </c>
      <c r="AE2701" s="74" t="s">
        <v>9579</v>
      </c>
    </row>
    <row r="2702" spans="1:31" ht="8.65" customHeight="1" x14ac:dyDescent="0.2">
      <c r="A2702" s="76">
        <v>2702</v>
      </c>
      <c r="B2702" s="67" t="str">
        <f>MID(C2702, FIND("Ifc.", C2702) + 4, 4) &amp; "_" &amp; TEXT(COUNTIF($C$2:C2702, C2702),"0000")</f>
        <v>Enum_0102</v>
      </c>
      <c r="C2702" s="23" t="s">
        <v>873</v>
      </c>
      <c r="D2702" s="69" t="s">
        <v>9453</v>
      </c>
      <c r="E2702" s="70" t="s">
        <v>9455</v>
      </c>
      <c r="F2702" s="26" t="s">
        <v>798</v>
      </c>
      <c r="G2702" s="15" t="s">
        <v>798</v>
      </c>
      <c r="H2702" s="14" t="s">
        <v>798</v>
      </c>
      <c r="I2702" s="15" t="s">
        <v>798</v>
      </c>
      <c r="J2702" s="12" t="s">
        <v>9436</v>
      </c>
      <c r="K2702" s="16" t="s">
        <v>2775</v>
      </c>
      <c r="L2702" s="12" t="s">
        <v>800</v>
      </c>
      <c r="M2702" s="16" t="s">
        <v>5682</v>
      </c>
      <c r="N2702" s="19" t="s">
        <v>798</v>
      </c>
      <c r="O2702" s="20" t="s">
        <v>798</v>
      </c>
      <c r="P2702" s="17" t="s">
        <v>802</v>
      </c>
      <c r="Q2702" s="21" t="s">
        <v>8327</v>
      </c>
      <c r="R2702" s="19" t="s">
        <v>798</v>
      </c>
      <c r="S2702" s="20" t="s">
        <v>798</v>
      </c>
      <c r="T2702" s="17" t="s">
        <v>798</v>
      </c>
      <c r="U2702" s="20" t="s">
        <v>798</v>
      </c>
      <c r="V2702" s="26" t="s">
        <v>798</v>
      </c>
      <c r="W2702" s="20" t="s">
        <v>798</v>
      </c>
      <c r="X2702" s="26" t="s">
        <v>798</v>
      </c>
      <c r="Y2702" s="20" t="s">
        <v>798</v>
      </c>
      <c r="Z2702" s="73" t="s">
        <v>9486</v>
      </c>
      <c r="AA2702" s="74" t="s">
        <v>9501</v>
      </c>
      <c r="AB2702" s="73" t="s">
        <v>9486</v>
      </c>
      <c r="AC2702" s="74" t="s">
        <v>9562</v>
      </c>
      <c r="AD2702" s="73" t="s">
        <v>9578</v>
      </c>
      <c r="AE2702" s="74" t="s">
        <v>9579</v>
      </c>
    </row>
    <row r="2703" spans="1:31" ht="8.65" customHeight="1" x14ac:dyDescent="0.2">
      <c r="A2703" s="76">
        <v>2703</v>
      </c>
      <c r="B2703" s="67" t="str">
        <f>MID(C2703, FIND("Ifc.", C2703) + 4, 4) &amp; "_" &amp; TEXT(COUNTIF($C$2:C2703, C2703),"0000")</f>
        <v>Enum_0103</v>
      </c>
      <c r="C2703" s="23" t="s">
        <v>873</v>
      </c>
      <c r="D2703" s="69" t="s">
        <v>9453</v>
      </c>
      <c r="E2703" s="70" t="s">
        <v>9455</v>
      </c>
      <c r="F2703" s="26" t="s">
        <v>798</v>
      </c>
      <c r="G2703" s="15" t="s">
        <v>798</v>
      </c>
      <c r="H2703" s="14" t="s">
        <v>798</v>
      </c>
      <c r="I2703" s="15" t="s">
        <v>798</v>
      </c>
      <c r="J2703" s="12" t="s">
        <v>9436</v>
      </c>
      <c r="K2703" s="16" t="s">
        <v>2776</v>
      </c>
      <c r="L2703" s="12" t="s">
        <v>800</v>
      </c>
      <c r="M2703" s="16" t="s">
        <v>5683</v>
      </c>
      <c r="N2703" s="19" t="s">
        <v>798</v>
      </c>
      <c r="O2703" s="20" t="s">
        <v>798</v>
      </c>
      <c r="P2703" s="17" t="s">
        <v>802</v>
      </c>
      <c r="Q2703" s="21" t="s">
        <v>8328</v>
      </c>
      <c r="R2703" s="19" t="s">
        <v>798</v>
      </c>
      <c r="S2703" s="20" t="s">
        <v>798</v>
      </c>
      <c r="T2703" s="17" t="s">
        <v>798</v>
      </c>
      <c r="U2703" s="20" t="s">
        <v>798</v>
      </c>
      <c r="V2703" s="26" t="s">
        <v>798</v>
      </c>
      <c r="W2703" s="20" t="s">
        <v>798</v>
      </c>
      <c r="X2703" s="26" t="s">
        <v>798</v>
      </c>
      <c r="Y2703" s="20" t="s">
        <v>798</v>
      </c>
      <c r="Z2703" s="73" t="s">
        <v>9486</v>
      </c>
      <c r="AA2703" s="74" t="s">
        <v>9501</v>
      </c>
      <c r="AB2703" s="73" t="s">
        <v>9486</v>
      </c>
      <c r="AC2703" s="74" t="s">
        <v>9562</v>
      </c>
      <c r="AD2703" s="73" t="s">
        <v>9578</v>
      </c>
      <c r="AE2703" s="74" t="s">
        <v>9579</v>
      </c>
    </row>
    <row r="2704" spans="1:31" ht="8.65" customHeight="1" x14ac:dyDescent="0.2">
      <c r="A2704" s="76">
        <v>2704</v>
      </c>
      <c r="B2704" s="67" t="str">
        <f>MID(C2704, FIND("Ifc.", C2704) + 4, 4) &amp; "_" &amp; TEXT(COUNTIF($C$2:C2704, C2704),"0000")</f>
        <v>Enum_0104</v>
      </c>
      <c r="C2704" s="23" t="s">
        <v>873</v>
      </c>
      <c r="D2704" s="69" t="s">
        <v>9453</v>
      </c>
      <c r="E2704" s="70" t="s">
        <v>9455</v>
      </c>
      <c r="F2704" s="26" t="s">
        <v>798</v>
      </c>
      <c r="G2704" s="15" t="s">
        <v>798</v>
      </c>
      <c r="H2704" s="14" t="s">
        <v>798</v>
      </c>
      <c r="I2704" s="15" t="s">
        <v>798</v>
      </c>
      <c r="J2704" s="12" t="s">
        <v>9436</v>
      </c>
      <c r="K2704" s="16" t="s">
        <v>2777</v>
      </c>
      <c r="L2704" s="12" t="s">
        <v>800</v>
      </c>
      <c r="M2704" s="16" t="s">
        <v>5684</v>
      </c>
      <c r="N2704" s="19" t="s">
        <v>798</v>
      </c>
      <c r="O2704" s="20" t="s">
        <v>798</v>
      </c>
      <c r="P2704" s="17" t="s">
        <v>802</v>
      </c>
      <c r="Q2704" s="21" t="s">
        <v>8329</v>
      </c>
      <c r="R2704" s="19" t="s">
        <v>798</v>
      </c>
      <c r="S2704" s="20" t="s">
        <v>798</v>
      </c>
      <c r="T2704" s="17" t="s">
        <v>798</v>
      </c>
      <c r="U2704" s="20" t="s">
        <v>798</v>
      </c>
      <c r="V2704" s="26" t="s">
        <v>798</v>
      </c>
      <c r="W2704" s="20" t="s">
        <v>798</v>
      </c>
      <c r="X2704" s="26" t="s">
        <v>798</v>
      </c>
      <c r="Y2704" s="20" t="s">
        <v>798</v>
      </c>
      <c r="Z2704" s="73" t="s">
        <v>9486</v>
      </c>
      <c r="AA2704" s="74" t="s">
        <v>9501</v>
      </c>
      <c r="AB2704" s="73" t="s">
        <v>9486</v>
      </c>
      <c r="AC2704" s="74" t="s">
        <v>9562</v>
      </c>
      <c r="AD2704" s="73" t="s">
        <v>9578</v>
      </c>
      <c r="AE2704" s="74" t="s">
        <v>9579</v>
      </c>
    </row>
    <row r="2705" spans="1:31" ht="8.65" customHeight="1" x14ac:dyDescent="0.2">
      <c r="A2705" s="76">
        <v>2705</v>
      </c>
      <c r="B2705" s="67" t="str">
        <f>MID(C2705, FIND("Ifc.", C2705) + 4, 4) &amp; "_" &amp; TEXT(COUNTIF($C$2:C2705, C2705),"0000")</f>
        <v>Enum_0105</v>
      </c>
      <c r="C2705" s="23" t="s">
        <v>873</v>
      </c>
      <c r="D2705" s="69" t="s">
        <v>9453</v>
      </c>
      <c r="E2705" s="70" t="s">
        <v>9455</v>
      </c>
      <c r="F2705" s="26" t="s">
        <v>798</v>
      </c>
      <c r="G2705" s="15" t="s">
        <v>798</v>
      </c>
      <c r="H2705" s="14" t="s">
        <v>798</v>
      </c>
      <c r="I2705" s="15" t="s">
        <v>798</v>
      </c>
      <c r="J2705" s="12" t="s">
        <v>9436</v>
      </c>
      <c r="K2705" s="16" t="s">
        <v>2778</v>
      </c>
      <c r="L2705" s="12" t="s">
        <v>800</v>
      </c>
      <c r="M2705" s="16" t="s">
        <v>5685</v>
      </c>
      <c r="N2705" s="19" t="s">
        <v>798</v>
      </c>
      <c r="O2705" s="20" t="s">
        <v>798</v>
      </c>
      <c r="P2705" s="17" t="s">
        <v>802</v>
      </c>
      <c r="Q2705" s="21" t="s">
        <v>8330</v>
      </c>
      <c r="R2705" s="19" t="s">
        <v>798</v>
      </c>
      <c r="S2705" s="20" t="s">
        <v>798</v>
      </c>
      <c r="T2705" s="17" t="s">
        <v>798</v>
      </c>
      <c r="U2705" s="20" t="s">
        <v>798</v>
      </c>
      <c r="V2705" s="26" t="s">
        <v>798</v>
      </c>
      <c r="W2705" s="20" t="s">
        <v>798</v>
      </c>
      <c r="X2705" s="26" t="s">
        <v>798</v>
      </c>
      <c r="Y2705" s="20" t="s">
        <v>798</v>
      </c>
      <c r="Z2705" s="73" t="s">
        <v>9486</v>
      </c>
      <c r="AA2705" s="74" t="s">
        <v>9501</v>
      </c>
      <c r="AB2705" s="73" t="s">
        <v>9486</v>
      </c>
      <c r="AC2705" s="74" t="s">
        <v>9562</v>
      </c>
      <c r="AD2705" s="73" t="s">
        <v>9578</v>
      </c>
      <c r="AE2705" s="74" t="s">
        <v>9579</v>
      </c>
    </row>
    <row r="2706" spans="1:31" ht="8.65" customHeight="1" x14ac:dyDescent="0.2">
      <c r="A2706" s="76">
        <v>2706</v>
      </c>
      <c r="B2706" s="67" t="str">
        <f>MID(C2706, FIND("Ifc.", C2706) + 4, 4) &amp; "_" &amp; TEXT(COUNTIF($C$2:C2706, C2706),"0000")</f>
        <v>Enum_0106</v>
      </c>
      <c r="C2706" s="23" t="s">
        <v>873</v>
      </c>
      <c r="D2706" s="69" t="s">
        <v>9453</v>
      </c>
      <c r="E2706" s="70" t="s">
        <v>9455</v>
      </c>
      <c r="F2706" s="26" t="s">
        <v>798</v>
      </c>
      <c r="G2706" s="15" t="s">
        <v>798</v>
      </c>
      <c r="H2706" s="14" t="s">
        <v>798</v>
      </c>
      <c r="I2706" s="15" t="s">
        <v>798</v>
      </c>
      <c r="J2706" s="12" t="s">
        <v>9436</v>
      </c>
      <c r="K2706" s="16" t="s">
        <v>2779</v>
      </c>
      <c r="L2706" s="12" t="s">
        <v>800</v>
      </c>
      <c r="M2706" s="16" t="s">
        <v>5686</v>
      </c>
      <c r="N2706" s="19" t="s">
        <v>798</v>
      </c>
      <c r="O2706" s="20" t="s">
        <v>798</v>
      </c>
      <c r="P2706" s="17" t="s">
        <v>802</v>
      </c>
      <c r="Q2706" s="21" t="s">
        <v>8331</v>
      </c>
      <c r="R2706" s="19" t="s">
        <v>798</v>
      </c>
      <c r="S2706" s="20" t="s">
        <v>798</v>
      </c>
      <c r="T2706" s="17" t="s">
        <v>798</v>
      </c>
      <c r="U2706" s="20" t="s">
        <v>798</v>
      </c>
      <c r="V2706" s="26" t="s">
        <v>798</v>
      </c>
      <c r="W2706" s="20" t="s">
        <v>798</v>
      </c>
      <c r="X2706" s="26" t="s">
        <v>798</v>
      </c>
      <c r="Y2706" s="20" t="s">
        <v>798</v>
      </c>
      <c r="Z2706" s="73" t="s">
        <v>9486</v>
      </c>
      <c r="AA2706" s="74" t="s">
        <v>9501</v>
      </c>
      <c r="AB2706" s="73" t="s">
        <v>9486</v>
      </c>
      <c r="AC2706" s="74" t="s">
        <v>9562</v>
      </c>
      <c r="AD2706" s="73" t="s">
        <v>9578</v>
      </c>
      <c r="AE2706" s="74" t="s">
        <v>9579</v>
      </c>
    </row>
    <row r="2707" spans="1:31" ht="8.65" customHeight="1" x14ac:dyDescent="0.2">
      <c r="A2707" s="76">
        <v>2707</v>
      </c>
      <c r="B2707" s="67" t="str">
        <f>MID(C2707, FIND("Ifc.", C2707) + 4, 4) &amp; "_" &amp; TEXT(COUNTIF($C$2:C2707, C2707),"0000")</f>
        <v>Enum_0107</v>
      </c>
      <c r="C2707" s="23" t="s">
        <v>873</v>
      </c>
      <c r="D2707" s="69" t="s">
        <v>9453</v>
      </c>
      <c r="E2707" s="70" t="s">
        <v>9455</v>
      </c>
      <c r="F2707" s="26" t="s">
        <v>798</v>
      </c>
      <c r="G2707" s="15" t="s">
        <v>798</v>
      </c>
      <c r="H2707" s="14" t="s">
        <v>798</v>
      </c>
      <c r="I2707" s="15" t="s">
        <v>798</v>
      </c>
      <c r="J2707" s="12" t="s">
        <v>9436</v>
      </c>
      <c r="K2707" s="16" t="s">
        <v>2780</v>
      </c>
      <c r="L2707" s="12" t="s">
        <v>800</v>
      </c>
      <c r="M2707" s="16" t="s">
        <v>5687</v>
      </c>
      <c r="N2707" s="19" t="s">
        <v>798</v>
      </c>
      <c r="O2707" s="20" t="s">
        <v>798</v>
      </c>
      <c r="P2707" s="17" t="s">
        <v>802</v>
      </c>
      <c r="Q2707" s="21" t="s">
        <v>8332</v>
      </c>
      <c r="R2707" s="19" t="s">
        <v>798</v>
      </c>
      <c r="S2707" s="20" t="s">
        <v>798</v>
      </c>
      <c r="T2707" s="17" t="s">
        <v>798</v>
      </c>
      <c r="U2707" s="20" t="s">
        <v>798</v>
      </c>
      <c r="V2707" s="26" t="s">
        <v>798</v>
      </c>
      <c r="W2707" s="20" t="s">
        <v>798</v>
      </c>
      <c r="X2707" s="26" t="s">
        <v>798</v>
      </c>
      <c r="Y2707" s="20" t="s">
        <v>798</v>
      </c>
      <c r="Z2707" s="73" t="s">
        <v>9486</v>
      </c>
      <c r="AA2707" s="74" t="s">
        <v>9501</v>
      </c>
      <c r="AB2707" s="73" t="s">
        <v>9486</v>
      </c>
      <c r="AC2707" s="74" t="s">
        <v>9562</v>
      </c>
      <c r="AD2707" s="73" t="s">
        <v>9578</v>
      </c>
      <c r="AE2707" s="74" t="s">
        <v>9579</v>
      </c>
    </row>
    <row r="2708" spans="1:31" ht="8.65" customHeight="1" x14ac:dyDescent="0.2">
      <c r="A2708" s="76">
        <v>2708</v>
      </c>
      <c r="B2708" s="67" t="str">
        <f>MID(C2708, FIND("Ifc.", C2708) + 4, 4) &amp; "_" &amp; TEXT(COUNTIF($C$2:C2708, C2708),"0000")</f>
        <v>Enum_0108</v>
      </c>
      <c r="C2708" s="23" t="s">
        <v>873</v>
      </c>
      <c r="D2708" s="69" t="s">
        <v>9453</v>
      </c>
      <c r="E2708" s="70" t="s">
        <v>9455</v>
      </c>
      <c r="F2708" s="26" t="s">
        <v>798</v>
      </c>
      <c r="G2708" s="15" t="s">
        <v>798</v>
      </c>
      <c r="H2708" s="14" t="s">
        <v>798</v>
      </c>
      <c r="I2708" s="15" t="s">
        <v>798</v>
      </c>
      <c r="J2708" s="12" t="s">
        <v>9436</v>
      </c>
      <c r="K2708" s="16" t="s">
        <v>2781</v>
      </c>
      <c r="L2708" s="12" t="s">
        <v>800</v>
      </c>
      <c r="M2708" s="16" t="s">
        <v>5688</v>
      </c>
      <c r="N2708" s="19" t="s">
        <v>798</v>
      </c>
      <c r="O2708" s="20" t="s">
        <v>798</v>
      </c>
      <c r="P2708" s="17" t="s">
        <v>802</v>
      </c>
      <c r="Q2708" s="21" t="s">
        <v>8333</v>
      </c>
      <c r="R2708" s="19" t="s">
        <v>798</v>
      </c>
      <c r="S2708" s="20" t="s">
        <v>798</v>
      </c>
      <c r="T2708" s="17" t="s">
        <v>798</v>
      </c>
      <c r="U2708" s="20" t="s">
        <v>798</v>
      </c>
      <c r="V2708" s="26" t="s">
        <v>798</v>
      </c>
      <c r="W2708" s="20" t="s">
        <v>798</v>
      </c>
      <c r="X2708" s="26" t="s">
        <v>798</v>
      </c>
      <c r="Y2708" s="20" t="s">
        <v>798</v>
      </c>
      <c r="Z2708" s="73" t="s">
        <v>9486</v>
      </c>
      <c r="AA2708" s="74" t="s">
        <v>9501</v>
      </c>
      <c r="AB2708" s="73" t="s">
        <v>9486</v>
      </c>
      <c r="AC2708" s="74" t="s">
        <v>9562</v>
      </c>
      <c r="AD2708" s="73" t="s">
        <v>9578</v>
      </c>
      <c r="AE2708" s="74" t="s">
        <v>9579</v>
      </c>
    </row>
    <row r="2709" spans="1:31" ht="8.65" customHeight="1" x14ac:dyDescent="0.2">
      <c r="A2709" s="76">
        <v>2709</v>
      </c>
      <c r="B2709" s="67" t="str">
        <f>MID(C2709, FIND("Ifc.", C2709) + 4, 4) &amp; "_" &amp; TEXT(COUNTIF($C$2:C2709, C2709),"0000")</f>
        <v>Enum_0109</v>
      </c>
      <c r="C2709" s="23" t="s">
        <v>873</v>
      </c>
      <c r="D2709" s="69" t="s">
        <v>9453</v>
      </c>
      <c r="E2709" s="70" t="s">
        <v>9455</v>
      </c>
      <c r="F2709" s="26" t="s">
        <v>798</v>
      </c>
      <c r="G2709" s="15" t="s">
        <v>798</v>
      </c>
      <c r="H2709" s="14" t="s">
        <v>798</v>
      </c>
      <c r="I2709" s="15" t="s">
        <v>798</v>
      </c>
      <c r="J2709" s="12" t="s">
        <v>9436</v>
      </c>
      <c r="K2709" s="16" t="s">
        <v>2782</v>
      </c>
      <c r="L2709" s="12" t="s">
        <v>800</v>
      </c>
      <c r="M2709" s="16" t="s">
        <v>5689</v>
      </c>
      <c r="N2709" s="19" t="s">
        <v>798</v>
      </c>
      <c r="O2709" s="20" t="s">
        <v>798</v>
      </c>
      <c r="P2709" s="17" t="s">
        <v>802</v>
      </c>
      <c r="Q2709" s="21" t="s">
        <v>8334</v>
      </c>
      <c r="R2709" s="19" t="s">
        <v>798</v>
      </c>
      <c r="S2709" s="20" t="s">
        <v>798</v>
      </c>
      <c r="T2709" s="17" t="s">
        <v>798</v>
      </c>
      <c r="U2709" s="20" t="s">
        <v>798</v>
      </c>
      <c r="V2709" s="26" t="s">
        <v>798</v>
      </c>
      <c r="W2709" s="20" t="s">
        <v>798</v>
      </c>
      <c r="X2709" s="26" t="s">
        <v>798</v>
      </c>
      <c r="Y2709" s="20" t="s">
        <v>798</v>
      </c>
      <c r="Z2709" s="73" t="s">
        <v>9486</v>
      </c>
      <c r="AA2709" s="74" t="s">
        <v>9501</v>
      </c>
      <c r="AB2709" s="73" t="s">
        <v>9486</v>
      </c>
      <c r="AC2709" s="74" t="s">
        <v>9562</v>
      </c>
      <c r="AD2709" s="73" t="s">
        <v>9578</v>
      </c>
      <c r="AE2709" s="74" t="s">
        <v>9579</v>
      </c>
    </row>
    <row r="2710" spans="1:31" ht="8.65" customHeight="1" x14ac:dyDescent="0.2">
      <c r="A2710" s="76">
        <v>2710</v>
      </c>
      <c r="B2710" s="67" t="str">
        <f>MID(C2710, FIND("Ifc.", C2710) + 4, 4) &amp; "_" &amp; TEXT(COUNTIF($C$2:C2710, C2710),"0000")</f>
        <v>Enum_0110</v>
      </c>
      <c r="C2710" s="23" t="s">
        <v>873</v>
      </c>
      <c r="D2710" s="69" t="s">
        <v>9453</v>
      </c>
      <c r="E2710" s="70" t="s">
        <v>9455</v>
      </c>
      <c r="F2710" s="26" t="s">
        <v>798</v>
      </c>
      <c r="G2710" s="15" t="s">
        <v>798</v>
      </c>
      <c r="H2710" s="14" t="s">
        <v>798</v>
      </c>
      <c r="I2710" s="15" t="s">
        <v>798</v>
      </c>
      <c r="J2710" s="12" t="s">
        <v>9436</v>
      </c>
      <c r="K2710" s="16" t="s">
        <v>2783</v>
      </c>
      <c r="L2710" s="12" t="s">
        <v>800</v>
      </c>
      <c r="M2710" s="16" t="s">
        <v>5690</v>
      </c>
      <c r="N2710" s="19" t="s">
        <v>798</v>
      </c>
      <c r="O2710" s="20" t="s">
        <v>798</v>
      </c>
      <c r="P2710" s="17" t="s">
        <v>802</v>
      </c>
      <c r="Q2710" s="21" t="s">
        <v>8335</v>
      </c>
      <c r="R2710" s="19" t="s">
        <v>798</v>
      </c>
      <c r="S2710" s="20" t="s">
        <v>798</v>
      </c>
      <c r="T2710" s="17" t="s">
        <v>798</v>
      </c>
      <c r="U2710" s="20" t="s">
        <v>798</v>
      </c>
      <c r="V2710" s="26" t="s">
        <v>798</v>
      </c>
      <c r="W2710" s="20" t="s">
        <v>798</v>
      </c>
      <c r="X2710" s="26" t="s">
        <v>798</v>
      </c>
      <c r="Y2710" s="20" t="s">
        <v>798</v>
      </c>
      <c r="Z2710" s="73" t="s">
        <v>9486</v>
      </c>
      <c r="AA2710" s="74" t="s">
        <v>9501</v>
      </c>
      <c r="AB2710" s="73" t="s">
        <v>9486</v>
      </c>
      <c r="AC2710" s="74" t="s">
        <v>9562</v>
      </c>
      <c r="AD2710" s="73" t="s">
        <v>9578</v>
      </c>
      <c r="AE2710" s="74" t="s">
        <v>9579</v>
      </c>
    </row>
    <row r="2711" spans="1:31" ht="8.65" customHeight="1" x14ac:dyDescent="0.2">
      <c r="A2711" s="76">
        <v>2711</v>
      </c>
      <c r="B2711" s="67" t="str">
        <f>MID(C2711, FIND("Ifc.", C2711) + 4, 4) &amp; "_" &amp; TEXT(COUNTIF($C$2:C2711, C2711),"0000")</f>
        <v>Enum_0111</v>
      </c>
      <c r="C2711" s="23" t="s">
        <v>873</v>
      </c>
      <c r="D2711" s="69" t="s">
        <v>9453</v>
      </c>
      <c r="E2711" s="70" t="s">
        <v>9455</v>
      </c>
      <c r="F2711" s="26" t="s">
        <v>798</v>
      </c>
      <c r="G2711" s="15" t="s">
        <v>798</v>
      </c>
      <c r="H2711" s="14" t="s">
        <v>798</v>
      </c>
      <c r="I2711" s="15" t="s">
        <v>798</v>
      </c>
      <c r="J2711" s="12" t="s">
        <v>9436</v>
      </c>
      <c r="K2711" s="16" t="s">
        <v>2784</v>
      </c>
      <c r="L2711" s="12" t="s">
        <v>800</v>
      </c>
      <c r="M2711" s="16" t="s">
        <v>5691</v>
      </c>
      <c r="N2711" s="19" t="s">
        <v>798</v>
      </c>
      <c r="O2711" s="20" t="s">
        <v>798</v>
      </c>
      <c r="P2711" s="17" t="s">
        <v>802</v>
      </c>
      <c r="Q2711" s="21" t="s">
        <v>8336</v>
      </c>
      <c r="R2711" s="19" t="s">
        <v>798</v>
      </c>
      <c r="S2711" s="20" t="s">
        <v>798</v>
      </c>
      <c r="T2711" s="17" t="s">
        <v>798</v>
      </c>
      <c r="U2711" s="20" t="s">
        <v>798</v>
      </c>
      <c r="V2711" s="26" t="s">
        <v>798</v>
      </c>
      <c r="W2711" s="20" t="s">
        <v>798</v>
      </c>
      <c r="X2711" s="26" t="s">
        <v>798</v>
      </c>
      <c r="Y2711" s="20" t="s">
        <v>798</v>
      </c>
      <c r="Z2711" s="73" t="s">
        <v>9486</v>
      </c>
      <c r="AA2711" s="74" t="s">
        <v>9501</v>
      </c>
      <c r="AB2711" s="73" t="s">
        <v>9486</v>
      </c>
      <c r="AC2711" s="74" t="s">
        <v>9562</v>
      </c>
      <c r="AD2711" s="73" t="s">
        <v>9578</v>
      </c>
      <c r="AE2711" s="74" t="s">
        <v>9579</v>
      </c>
    </row>
    <row r="2712" spans="1:31" ht="8.65" customHeight="1" x14ac:dyDescent="0.2">
      <c r="A2712" s="76">
        <v>2712</v>
      </c>
      <c r="B2712" s="67" t="str">
        <f>MID(C2712, FIND("Ifc.", C2712) + 4, 4) &amp; "_" &amp; TEXT(COUNTIF($C$2:C2712, C2712),"0000")</f>
        <v>Enum_0112</v>
      </c>
      <c r="C2712" s="23" t="s">
        <v>873</v>
      </c>
      <c r="D2712" s="69" t="s">
        <v>9453</v>
      </c>
      <c r="E2712" s="70" t="s">
        <v>9455</v>
      </c>
      <c r="F2712" s="26" t="s">
        <v>798</v>
      </c>
      <c r="G2712" s="15" t="s">
        <v>798</v>
      </c>
      <c r="H2712" s="14" t="s">
        <v>798</v>
      </c>
      <c r="I2712" s="15" t="s">
        <v>798</v>
      </c>
      <c r="J2712" s="12" t="s">
        <v>9436</v>
      </c>
      <c r="K2712" s="16" t="s">
        <v>2785</v>
      </c>
      <c r="L2712" s="12" t="s">
        <v>800</v>
      </c>
      <c r="M2712" s="16" t="s">
        <v>5692</v>
      </c>
      <c r="N2712" s="19" t="s">
        <v>798</v>
      </c>
      <c r="O2712" s="20" t="s">
        <v>798</v>
      </c>
      <c r="P2712" s="17" t="s">
        <v>802</v>
      </c>
      <c r="Q2712" s="21" t="s">
        <v>8337</v>
      </c>
      <c r="R2712" s="19" t="s">
        <v>798</v>
      </c>
      <c r="S2712" s="20" t="s">
        <v>798</v>
      </c>
      <c r="T2712" s="17" t="s">
        <v>798</v>
      </c>
      <c r="U2712" s="20" t="s">
        <v>798</v>
      </c>
      <c r="V2712" s="26" t="s">
        <v>798</v>
      </c>
      <c r="W2712" s="20" t="s">
        <v>798</v>
      </c>
      <c r="X2712" s="26" t="s">
        <v>798</v>
      </c>
      <c r="Y2712" s="20" t="s">
        <v>798</v>
      </c>
      <c r="Z2712" s="73" t="s">
        <v>9486</v>
      </c>
      <c r="AA2712" s="74" t="s">
        <v>9501</v>
      </c>
      <c r="AB2712" s="73" t="s">
        <v>9486</v>
      </c>
      <c r="AC2712" s="74" t="s">
        <v>9562</v>
      </c>
      <c r="AD2712" s="73" t="s">
        <v>9578</v>
      </c>
      <c r="AE2712" s="74" t="s">
        <v>9579</v>
      </c>
    </row>
    <row r="2713" spans="1:31" ht="9.9499999999999993" customHeight="1" x14ac:dyDescent="0.2">
      <c r="A2713" s="76">
        <v>2713</v>
      </c>
      <c r="B2713" s="67" t="str">
        <f>MID(C2713, FIND("Ifc.", C2713) + 4, 4) &amp; "_" &amp; TEXT(COUNTIF($C$2:C2713, C2713),"0000")</f>
        <v>Enum_0113</v>
      </c>
      <c r="C2713" s="23" t="s">
        <v>873</v>
      </c>
      <c r="D2713" s="69" t="s">
        <v>9453</v>
      </c>
      <c r="E2713" s="70" t="s">
        <v>9455</v>
      </c>
      <c r="F2713" s="26" t="s">
        <v>798</v>
      </c>
      <c r="G2713" s="15" t="s">
        <v>798</v>
      </c>
      <c r="H2713" s="14" t="s">
        <v>798</v>
      </c>
      <c r="I2713" s="15" t="s">
        <v>798</v>
      </c>
      <c r="J2713" s="12" t="s">
        <v>9436</v>
      </c>
      <c r="K2713" s="16" t="s">
        <v>9423</v>
      </c>
      <c r="L2713" s="12" t="s">
        <v>800</v>
      </c>
      <c r="M2713" s="16" t="s">
        <v>9424</v>
      </c>
      <c r="N2713" s="19" t="s">
        <v>798</v>
      </c>
      <c r="O2713" s="20" t="s">
        <v>798</v>
      </c>
      <c r="P2713" s="17" t="s">
        <v>802</v>
      </c>
      <c r="Q2713" s="21" t="s">
        <v>9425</v>
      </c>
      <c r="R2713" s="19" t="s">
        <v>798</v>
      </c>
      <c r="S2713" s="20" t="s">
        <v>798</v>
      </c>
      <c r="T2713" s="17" t="s">
        <v>798</v>
      </c>
      <c r="U2713" s="20" t="s">
        <v>798</v>
      </c>
      <c r="V2713" s="17" t="s">
        <v>798</v>
      </c>
      <c r="W2713" s="20" t="s">
        <v>798</v>
      </c>
      <c r="X2713" s="17" t="s">
        <v>798</v>
      </c>
      <c r="Y2713" s="20" t="s">
        <v>798</v>
      </c>
      <c r="Z2713" s="73" t="s">
        <v>9486</v>
      </c>
      <c r="AA2713" s="74" t="s">
        <v>9501</v>
      </c>
      <c r="AB2713" s="73" t="s">
        <v>9486</v>
      </c>
      <c r="AC2713" s="74" t="s">
        <v>9562</v>
      </c>
      <c r="AD2713" s="73" t="s">
        <v>9578</v>
      </c>
      <c r="AE2713" s="74" t="s">
        <v>9579</v>
      </c>
    </row>
    <row r="2714" spans="1:31" ht="8.65" customHeight="1" x14ac:dyDescent="0.2">
      <c r="A2714" s="76">
        <v>2714</v>
      </c>
      <c r="B2714" s="67" t="str">
        <f>MID(C2714, FIND("Ifc.", C2714) + 4, 4) &amp; "_" &amp; TEXT(COUNTIF($C$2:C2714, C2714),"0000")</f>
        <v>Enum_0114</v>
      </c>
      <c r="C2714" s="23" t="s">
        <v>873</v>
      </c>
      <c r="D2714" s="69" t="s">
        <v>9453</v>
      </c>
      <c r="E2714" s="70" t="s">
        <v>9455</v>
      </c>
      <c r="F2714" s="26" t="s">
        <v>798</v>
      </c>
      <c r="G2714" s="15" t="s">
        <v>798</v>
      </c>
      <c r="H2714" s="14" t="s">
        <v>798</v>
      </c>
      <c r="I2714" s="15" t="s">
        <v>798</v>
      </c>
      <c r="J2714" s="12" t="s">
        <v>9436</v>
      </c>
      <c r="K2714" s="16" t="s">
        <v>2786</v>
      </c>
      <c r="L2714" s="12" t="s">
        <v>800</v>
      </c>
      <c r="M2714" s="16" t="s">
        <v>5693</v>
      </c>
      <c r="N2714" s="19" t="s">
        <v>798</v>
      </c>
      <c r="O2714" s="20" t="s">
        <v>798</v>
      </c>
      <c r="P2714" s="17" t="s">
        <v>802</v>
      </c>
      <c r="Q2714" s="21" t="s">
        <v>8338</v>
      </c>
      <c r="R2714" s="19" t="s">
        <v>798</v>
      </c>
      <c r="S2714" s="20" t="s">
        <v>798</v>
      </c>
      <c r="T2714" s="17" t="s">
        <v>798</v>
      </c>
      <c r="U2714" s="20" t="s">
        <v>798</v>
      </c>
      <c r="V2714" s="26" t="s">
        <v>798</v>
      </c>
      <c r="W2714" s="20" t="s">
        <v>798</v>
      </c>
      <c r="X2714" s="26" t="s">
        <v>798</v>
      </c>
      <c r="Y2714" s="20" t="s">
        <v>798</v>
      </c>
      <c r="Z2714" s="73" t="s">
        <v>9486</v>
      </c>
      <c r="AA2714" s="74" t="s">
        <v>9501</v>
      </c>
      <c r="AB2714" s="73" t="s">
        <v>9486</v>
      </c>
      <c r="AC2714" s="74" t="s">
        <v>9562</v>
      </c>
      <c r="AD2714" s="73" t="s">
        <v>9578</v>
      </c>
      <c r="AE2714" s="74" t="s">
        <v>9579</v>
      </c>
    </row>
    <row r="2715" spans="1:31" ht="8.65" customHeight="1" x14ac:dyDescent="0.2">
      <c r="A2715" s="76">
        <v>2715</v>
      </c>
      <c r="B2715" s="67" t="str">
        <f>MID(C2715, FIND("Ifc.", C2715) + 4, 4) &amp; "_" &amp; TEXT(COUNTIF($C$2:C2715, C2715),"0000")</f>
        <v>Enum_0115</v>
      </c>
      <c r="C2715" s="23" t="s">
        <v>873</v>
      </c>
      <c r="D2715" s="69" t="s">
        <v>9453</v>
      </c>
      <c r="E2715" s="70" t="s">
        <v>9455</v>
      </c>
      <c r="F2715" s="26" t="s">
        <v>798</v>
      </c>
      <c r="G2715" s="15" t="s">
        <v>798</v>
      </c>
      <c r="H2715" s="14" t="s">
        <v>798</v>
      </c>
      <c r="I2715" s="15" t="s">
        <v>798</v>
      </c>
      <c r="J2715" s="12" t="s">
        <v>9436</v>
      </c>
      <c r="K2715" s="16" t="s">
        <v>2787</v>
      </c>
      <c r="L2715" s="12" t="s">
        <v>800</v>
      </c>
      <c r="M2715" s="16" t="s">
        <v>5694</v>
      </c>
      <c r="N2715" s="19" t="s">
        <v>798</v>
      </c>
      <c r="O2715" s="20" t="s">
        <v>798</v>
      </c>
      <c r="P2715" s="17" t="s">
        <v>802</v>
      </c>
      <c r="Q2715" s="21" t="s">
        <v>8339</v>
      </c>
      <c r="R2715" s="19" t="s">
        <v>798</v>
      </c>
      <c r="S2715" s="20" t="s">
        <v>798</v>
      </c>
      <c r="T2715" s="17" t="s">
        <v>798</v>
      </c>
      <c r="U2715" s="20" t="s">
        <v>798</v>
      </c>
      <c r="V2715" s="26" t="s">
        <v>798</v>
      </c>
      <c r="W2715" s="20" t="s">
        <v>798</v>
      </c>
      <c r="X2715" s="26" t="s">
        <v>798</v>
      </c>
      <c r="Y2715" s="20" t="s">
        <v>798</v>
      </c>
      <c r="Z2715" s="73" t="s">
        <v>9486</v>
      </c>
      <c r="AA2715" s="74" t="s">
        <v>9501</v>
      </c>
      <c r="AB2715" s="73" t="s">
        <v>9486</v>
      </c>
      <c r="AC2715" s="74" t="s">
        <v>9562</v>
      </c>
      <c r="AD2715" s="73" t="s">
        <v>9578</v>
      </c>
      <c r="AE2715" s="74" t="s">
        <v>9579</v>
      </c>
    </row>
    <row r="2716" spans="1:31" ht="8.65" customHeight="1" x14ac:dyDescent="0.2">
      <c r="A2716" s="76">
        <v>2716</v>
      </c>
      <c r="B2716" s="67" t="str">
        <f>MID(C2716, FIND("Ifc.", C2716) + 4, 4) &amp; "_" &amp; TEXT(COUNTIF($C$2:C2716, C2716),"0000")</f>
        <v>Enum_0116</v>
      </c>
      <c r="C2716" s="23" t="s">
        <v>873</v>
      </c>
      <c r="D2716" s="69" t="s">
        <v>9453</v>
      </c>
      <c r="E2716" s="70" t="s">
        <v>9455</v>
      </c>
      <c r="F2716" s="26" t="s">
        <v>798</v>
      </c>
      <c r="G2716" s="15" t="s">
        <v>798</v>
      </c>
      <c r="H2716" s="14" t="s">
        <v>798</v>
      </c>
      <c r="I2716" s="15" t="s">
        <v>798</v>
      </c>
      <c r="J2716" s="12" t="s">
        <v>9436</v>
      </c>
      <c r="K2716" s="16" t="s">
        <v>2788</v>
      </c>
      <c r="L2716" s="12" t="s">
        <v>800</v>
      </c>
      <c r="M2716" s="16" t="s">
        <v>5695</v>
      </c>
      <c r="N2716" s="19" t="s">
        <v>798</v>
      </c>
      <c r="O2716" s="20" t="s">
        <v>798</v>
      </c>
      <c r="P2716" s="17" t="s">
        <v>802</v>
      </c>
      <c r="Q2716" s="21" t="s">
        <v>8340</v>
      </c>
      <c r="R2716" s="19" t="s">
        <v>798</v>
      </c>
      <c r="S2716" s="20" t="s">
        <v>798</v>
      </c>
      <c r="T2716" s="17" t="s">
        <v>798</v>
      </c>
      <c r="U2716" s="20" t="s">
        <v>798</v>
      </c>
      <c r="V2716" s="26" t="s">
        <v>798</v>
      </c>
      <c r="W2716" s="20" t="s">
        <v>798</v>
      </c>
      <c r="X2716" s="26" t="s">
        <v>798</v>
      </c>
      <c r="Y2716" s="20" t="s">
        <v>798</v>
      </c>
      <c r="Z2716" s="73" t="s">
        <v>9486</v>
      </c>
      <c r="AA2716" s="74" t="s">
        <v>9501</v>
      </c>
      <c r="AB2716" s="73" t="s">
        <v>9486</v>
      </c>
      <c r="AC2716" s="74" t="s">
        <v>9562</v>
      </c>
      <c r="AD2716" s="73" t="s">
        <v>9578</v>
      </c>
      <c r="AE2716" s="74" t="s">
        <v>9579</v>
      </c>
    </row>
    <row r="2717" spans="1:31" ht="8.65" customHeight="1" x14ac:dyDescent="0.2">
      <c r="A2717" s="76">
        <v>2717</v>
      </c>
      <c r="B2717" s="67" t="str">
        <f>MID(C2717, FIND("Ifc.", C2717) + 4, 4) &amp; "_" &amp; TEXT(COUNTIF($C$2:C2717, C2717),"0000")</f>
        <v>Enum_0117</v>
      </c>
      <c r="C2717" s="23" t="s">
        <v>873</v>
      </c>
      <c r="D2717" s="69" t="s">
        <v>9453</v>
      </c>
      <c r="E2717" s="70" t="s">
        <v>9455</v>
      </c>
      <c r="F2717" s="26" t="s">
        <v>798</v>
      </c>
      <c r="G2717" s="15" t="s">
        <v>798</v>
      </c>
      <c r="H2717" s="14" t="s">
        <v>798</v>
      </c>
      <c r="I2717" s="15" t="s">
        <v>798</v>
      </c>
      <c r="J2717" s="12" t="s">
        <v>9436</v>
      </c>
      <c r="K2717" s="16" t="s">
        <v>2789</v>
      </c>
      <c r="L2717" s="12" t="s">
        <v>800</v>
      </c>
      <c r="M2717" s="16" t="s">
        <v>5696</v>
      </c>
      <c r="N2717" s="19" t="s">
        <v>798</v>
      </c>
      <c r="O2717" s="20" t="s">
        <v>798</v>
      </c>
      <c r="P2717" s="17" t="s">
        <v>802</v>
      </c>
      <c r="Q2717" s="21" t="s">
        <v>8341</v>
      </c>
      <c r="R2717" s="19" t="s">
        <v>798</v>
      </c>
      <c r="S2717" s="20" t="s">
        <v>798</v>
      </c>
      <c r="T2717" s="17" t="s">
        <v>798</v>
      </c>
      <c r="U2717" s="20" t="s">
        <v>798</v>
      </c>
      <c r="V2717" s="26" t="s">
        <v>798</v>
      </c>
      <c r="W2717" s="20" t="s">
        <v>798</v>
      </c>
      <c r="X2717" s="26" t="s">
        <v>798</v>
      </c>
      <c r="Y2717" s="20" t="s">
        <v>798</v>
      </c>
      <c r="Z2717" s="73" t="s">
        <v>9486</v>
      </c>
      <c r="AA2717" s="74" t="s">
        <v>9501</v>
      </c>
      <c r="AB2717" s="73" t="s">
        <v>9486</v>
      </c>
      <c r="AC2717" s="74" t="s">
        <v>9562</v>
      </c>
      <c r="AD2717" s="73" t="s">
        <v>9578</v>
      </c>
      <c r="AE2717" s="74" t="s">
        <v>9579</v>
      </c>
    </row>
    <row r="2718" spans="1:31" ht="8.65" customHeight="1" x14ac:dyDescent="0.2">
      <c r="A2718" s="76">
        <v>2718</v>
      </c>
      <c r="B2718" s="67" t="str">
        <f>MID(C2718, FIND("Ifc.", C2718) + 4, 4) &amp; "_" &amp; TEXT(COUNTIF($C$2:C2718, C2718),"0000")</f>
        <v>Enum_0118</v>
      </c>
      <c r="C2718" s="23" t="s">
        <v>873</v>
      </c>
      <c r="D2718" s="69" t="s">
        <v>9453</v>
      </c>
      <c r="E2718" s="70" t="s">
        <v>9455</v>
      </c>
      <c r="F2718" s="26" t="s">
        <v>798</v>
      </c>
      <c r="G2718" s="15" t="s">
        <v>798</v>
      </c>
      <c r="H2718" s="14" t="s">
        <v>798</v>
      </c>
      <c r="I2718" s="15" t="s">
        <v>798</v>
      </c>
      <c r="J2718" s="12" t="s">
        <v>9436</v>
      </c>
      <c r="K2718" s="16" t="s">
        <v>2790</v>
      </c>
      <c r="L2718" s="12" t="s">
        <v>800</v>
      </c>
      <c r="M2718" s="16" t="s">
        <v>5697</v>
      </c>
      <c r="N2718" s="19" t="s">
        <v>798</v>
      </c>
      <c r="O2718" s="20" t="s">
        <v>798</v>
      </c>
      <c r="P2718" s="17" t="s">
        <v>802</v>
      </c>
      <c r="Q2718" s="21" t="s">
        <v>8342</v>
      </c>
      <c r="R2718" s="19" t="s">
        <v>798</v>
      </c>
      <c r="S2718" s="20" t="s">
        <v>798</v>
      </c>
      <c r="T2718" s="17" t="s">
        <v>798</v>
      </c>
      <c r="U2718" s="20" t="s">
        <v>798</v>
      </c>
      <c r="V2718" s="26" t="s">
        <v>798</v>
      </c>
      <c r="W2718" s="20" t="s">
        <v>798</v>
      </c>
      <c r="X2718" s="26" t="s">
        <v>798</v>
      </c>
      <c r="Y2718" s="20" t="s">
        <v>798</v>
      </c>
      <c r="Z2718" s="73" t="s">
        <v>9486</v>
      </c>
      <c r="AA2718" s="74" t="s">
        <v>9501</v>
      </c>
      <c r="AB2718" s="73" t="s">
        <v>9486</v>
      </c>
      <c r="AC2718" s="74" t="s">
        <v>9562</v>
      </c>
      <c r="AD2718" s="73" t="s">
        <v>9578</v>
      </c>
      <c r="AE2718" s="74" t="s">
        <v>9579</v>
      </c>
    </row>
    <row r="2719" spans="1:31" ht="8.65" customHeight="1" x14ac:dyDescent="0.2">
      <c r="A2719" s="76">
        <v>2719</v>
      </c>
      <c r="B2719" s="67" t="str">
        <f>MID(C2719, FIND("Ifc.", C2719) + 4, 4) &amp; "_" &amp; TEXT(COUNTIF($C$2:C2719, C2719),"0000")</f>
        <v>Enum_0119</v>
      </c>
      <c r="C2719" s="23" t="s">
        <v>873</v>
      </c>
      <c r="D2719" s="69" t="s">
        <v>9453</v>
      </c>
      <c r="E2719" s="70" t="s">
        <v>9455</v>
      </c>
      <c r="F2719" s="26" t="s">
        <v>798</v>
      </c>
      <c r="G2719" s="15" t="s">
        <v>798</v>
      </c>
      <c r="H2719" s="14" t="s">
        <v>798</v>
      </c>
      <c r="I2719" s="15" t="s">
        <v>798</v>
      </c>
      <c r="J2719" s="12" t="s">
        <v>9436</v>
      </c>
      <c r="K2719" s="16" t="s">
        <v>2791</v>
      </c>
      <c r="L2719" s="12" t="s">
        <v>800</v>
      </c>
      <c r="M2719" s="16" t="s">
        <v>5698</v>
      </c>
      <c r="N2719" s="19" t="s">
        <v>798</v>
      </c>
      <c r="O2719" s="20" t="s">
        <v>798</v>
      </c>
      <c r="P2719" s="17" t="s">
        <v>802</v>
      </c>
      <c r="Q2719" s="21" t="s">
        <v>8343</v>
      </c>
      <c r="R2719" s="19" t="s">
        <v>798</v>
      </c>
      <c r="S2719" s="20" t="s">
        <v>798</v>
      </c>
      <c r="T2719" s="17" t="s">
        <v>798</v>
      </c>
      <c r="U2719" s="20" t="s">
        <v>798</v>
      </c>
      <c r="V2719" s="26" t="s">
        <v>798</v>
      </c>
      <c r="W2719" s="20" t="s">
        <v>798</v>
      </c>
      <c r="X2719" s="26" t="s">
        <v>798</v>
      </c>
      <c r="Y2719" s="20" t="s">
        <v>798</v>
      </c>
      <c r="Z2719" s="73" t="s">
        <v>9486</v>
      </c>
      <c r="AA2719" s="74" t="s">
        <v>9501</v>
      </c>
      <c r="AB2719" s="73" t="s">
        <v>9486</v>
      </c>
      <c r="AC2719" s="74" t="s">
        <v>9562</v>
      </c>
      <c r="AD2719" s="73" t="s">
        <v>9578</v>
      </c>
      <c r="AE2719" s="74" t="s">
        <v>9579</v>
      </c>
    </row>
    <row r="2720" spans="1:31" ht="8.65" customHeight="1" x14ac:dyDescent="0.2">
      <c r="A2720" s="76">
        <v>2720</v>
      </c>
      <c r="B2720" s="67" t="str">
        <f>MID(C2720, FIND("Ifc.", C2720) + 4, 4) &amp; "_" &amp; TEXT(COUNTIF($C$2:C2720, C2720),"0000")</f>
        <v>Enum_0120</v>
      </c>
      <c r="C2720" s="23" t="s">
        <v>873</v>
      </c>
      <c r="D2720" s="69" t="s">
        <v>9453</v>
      </c>
      <c r="E2720" s="70" t="s">
        <v>9455</v>
      </c>
      <c r="F2720" s="26" t="s">
        <v>798</v>
      </c>
      <c r="G2720" s="15" t="s">
        <v>798</v>
      </c>
      <c r="H2720" s="14" t="s">
        <v>798</v>
      </c>
      <c r="I2720" s="15" t="s">
        <v>798</v>
      </c>
      <c r="J2720" s="12" t="s">
        <v>9436</v>
      </c>
      <c r="K2720" s="16" t="s">
        <v>2792</v>
      </c>
      <c r="L2720" s="12" t="s">
        <v>800</v>
      </c>
      <c r="M2720" s="16" t="s">
        <v>5699</v>
      </c>
      <c r="N2720" s="19" t="s">
        <v>798</v>
      </c>
      <c r="O2720" s="20" t="s">
        <v>798</v>
      </c>
      <c r="P2720" s="17" t="s">
        <v>802</v>
      </c>
      <c r="Q2720" s="21" t="s">
        <v>8344</v>
      </c>
      <c r="R2720" s="19" t="s">
        <v>798</v>
      </c>
      <c r="S2720" s="20" t="s">
        <v>798</v>
      </c>
      <c r="T2720" s="17" t="s">
        <v>798</v>
      </c>
      <c r="U2720" s="20" t="s">
        <v>798</v>
      </c>
      <c r="V2720" s="26" t="s">
        <v>798</v>
      </c>
      <c r="W2720" s="20" t="s">
        <v>798</v>
      </c>
      <c r="X2720" s="26" t="s">
        <v>798</v>
      </c>
      <c r="Y2720" s="20" t="s">
        <v>798</v>
      </c>
      <c r="Z2720" s="73" t="s">
        <v>9486</v>
      </c>
      <c r="AA2720" s="74" t="s">
        <v>9501</v>
      </c>
      <c r="AB2720" s="73" t="s">
        <v>9486</v>
      </c>
      <c r="AC2720" s="74" t="s">
        <v>9562</v>
      </c>
      <c r="AD2720" s="73" t="s">
        <v>9578</v>
      </c>
      <c r="AE2720" s="74" t="s">
        <v>9579</v>
      </c>
    </row>
    <row r="2721" spans="1:31" ht="8.65" customHeight="1" x14ac:dyDescent="0.2">
      <c r="A2721" s="76">
        <v>2721</v>
      </c>
      <c r="B2721" s="67" t="str">
        <f>MID(C2721, FIND("Ifc.", C2721) + 4, 4) &amp; "_" &amp; TEXT(COUNTIF($C$2:C2721, C2721),"0000")</f>
        <v>Enum_0121</v>
      </c>
      <c r="C2721" s="23" t="s">
        <v>873</v>
      </c>
      <c r="D2721" s="69" t="s">
        <v>9453</v>
      </c>
      <c r="E2721" s="70" t="s">
        <v>9455</v>
      </c>
      <c r="F2721" s="26" t="s">
        <v>798</v>
      </c>
      <c r="G2721" s="15" t="s">
        <v>798</v>
      </c>
      <c r="H2721" s="14" t="s">
        <v>798</v>
      </c>
      <c r="I2721" s="15" t="s">
        <v>798</v>
      </c>
      <c r="J2721" s="12" t="s">
        <v>9436</v>
      </c>
      <c r="K2721" s="16" t="s">
        <v>2793</v>
      </c>
      <c r="L2721" s="12" t="s">
        <v>800</v>
      </c>
      <c r="M2721" s="16" t="s">
        <v>5700</v>
      </c>
      <c r="N2721" s="19" t="s">
        <v>798</v>
      </c>
      <c r="O2721" s="20" t="s">
        <v>798</v>
      </c>
      <c r="P2721" s="17" t="s">
        <v>802</v>
      </c>
      <c r="Q2721" s="21" t="s">
        <v>8345</v>
      </c>
      <c r="R2721" s="19" t="s">
        <v>798</v>
      </c>
      <c r="S2721" s="20" t="s">
        <v>798</v>
      </c>
      <c r="T2721" s="17" t="s">
        <v>798</v>
      </c>
      <c r="U2721" s="20" t="s">
        <v>798</v>
      </c>
      <c r="V2721" s="26" t="s">
        <v>798</v>
      </c>
      <c r="W2721" s="20" t="s">
        <v>798</v>
      </c>
      <c r="X2721" s="26" t="s">
        <v>798</v>
      </c>
      <c r="Y2721" s="20" t="s">
        <v>798</v>
      </c>
      <c r="Z2721" s="73" t="s">
        <v>9486</v>
      </c>
      <c r="AA2721" s="74" t="s">
        <v>9501</v>
      </c>
      <c r="AB2721" s="73" t="s">
        <v>9486</v>
      </c>
      <c r="AC2721" s="74" t="s">
        <v>9562</v>
      </c>
      <c r="AD2721" s="73" t="s">
        <v>9578</v>
      </c>
      <c r="AE2721" s="74" t="s">
        <v>9579</v>
      </c>
    </row>
    <row r="2722" spans="1:31" ht="8.65" customHeight="1" x14ac:dyDescent="0.2">
      <c r="A2722" s="76">
        <v>2722</v>
      </c>
      <c r="B2722" s="67" t="str">
        <f>MID(C2722, FIND("Ifc.", C2722) + 4, 4) &amp; "_" &amp; TEXT(COUNTIF($C$2:C2722, C2722),"0000")</f>
        <v>Enum_0122</v>
      </c>
      <c r="C2722" s="23" t="s">
        <v>873</v>
      </c>
      <c r="D2722" s="69" t="s">
        <v>9453</v>
      </c>
      <c r="E2722" s="70" t="s">
        <v>9455</v>
      </c>
      <c r="F2722" s="26" t="s">
        <v>798</v>
      </c>
      <c r="G2722" s="15" t="s">
        <v>798</v>
      </c>
      <c r="H2722" s="14" t="s">
        <v>798</v>
      </c>
      <c r="I2722" s="15" t="s">
        <v>798</v>
      </c>
      <c r="J2722" s="12" t="s">
        <v>9436</v>
      </c>
      <c r="K2722" s="16" t="s">
        <v>2794</v>
      </c>
      <c r="L2722" s="12" t="s">
        <v>800</v>
      </c>
      <c r="M2722" s="16" t="s">
        <v>5701</v>
      </c>
      <c r="N2722" s="19" t="s">
        <v>798</v>
      </c>
      <c r="O2722" s="20" t="s">
        <v>798</v>
      </c>
      <c r="P2722" s="17" t="s">
        <v>802</v>
      </c>
      <c r="Q2722" s="21" t="s">
        <v>8346</v>
      </c>
      <c r="R2722" s="19" t="s">
        <v>798</v>
      </c>
      <c r="S2722" s="20" t="s">
        <v>798</v>
      </c>
      <c r="T2722" s="17" t="s">
        <v>798</v>
      </c>
      <c r="U2722" s="20" t="s">
        <v>798</v>
      </c>
      <c r="V2722" s="26" t="s">
        <v>798</v>
      </c>
      <c r="W2722" s="20" t="s">
        <v>798</v>
      </c>
      <c r="X2722" s="26" t="s">
        <v>798</v>
      </c>
      <c r="Y2722" s="20" t="s">
        <v>798</v>
      </c>
      <c r="Z2722" s="73" t="s">
        <v>9486</v>
      </c>
      <c r="AA2722" s="74" t="s">
        <v>9501</v>
      </c>
      <c r="AB2722" s="73" t="s">
        <v>9486</v>
      </c>
      <c r="AC2722" s="74" t="s">
        <v>9562</v>
      </c>
      <c r="AD2722" s="73" t="s">
        <v>9578</v>
      </c>
      <c r="AE2722" s="74" t="s">
        <v>9595</v>
      </c>
    </row>
    <row r="2723" spans="1:31" ht="8.65" customHeight="1" x14ac:dyDescent="0.2">
      <c r="A2723" s="76">
        <v>2723</v>
      </c>
      <c r="B2723" s="67" t="str">
        <f>MID(C2723, FIND("Ifc.", C2723) + 4, 4) &amp; "_" &amp; TEXT(COUNTIF($C$2:C2723, C2723),"0000")</f>
        <v>Enum_0123</v>
      </c>
      <c r="C2723" s="23" t="s">
        <v>873</v>
      </c>
      <c r="D2723" s="69" t="s">
        <v>9453</v>
      </c>
      <c r="E2723" s="70" t="s">
        <v>9455</v>
      </c>
      <c r="F2723" s="26" t="s">
        <v>798</v>
      </c>
      <c r="G2723" s="15" t="s">
        <v>798</v>
      </c>
      <c r="H2723" s="14" t="s">
        <v>798</v>
      </c>
      <c r="I2723" s="15" t="s">
        <v>798</v>
      </c>
      <c r="J2723" s="12" t="s">
        <v>9436</v>
      </c>
      <c r="K2723" s="16" t="s">
        <v>2795</v>
      </c>
      <c r="L2723" s="12" t="s">
        <v>800</v>
      </c>
      <c r="M2723" s="16" t="s">
        <v>5702</v>
      </c>
      <c r="N2723" s="19" t="s">
        <v>798</v>
      </c>
      <c r="O2723" s="20" t="s">
        <v>798</v>
      </c>
      <c r="P2723" s="17" t="s">
        <v>802</v>
      </c>
      <c r="Q2723" s="21" t="s">
        <v>8347</v>
      </c>
      <c r="R2723" s="19" t="s">
        <v>798</v>
      </c>
      <c r="S2723" s="20" t="s">
        <v>798</v>
      </c>
      <c r="T2723" s="17" t="s">
        <v>798</v>
      </c>
      <c r="U2723" s="20" t="s">
        <v>798</v>
      </c>
      <c r="V2723" s="26" t="s">
        <v>798</v>
      </c>
      <c r="W2723" s="20" t="s">
        <v>798</v>
      </c>
      <c r="X2723" s="26" t="s">
        <v>798</v>
      </c>
      <c r="Y2723" s="20" t="s">
        <v>798</v>
      </c>
      <c r="Z2723" s="73" t="s">
        <v>9486</v>
      </c>
      <c r="AA2723" s="74" t="s">
        <v>9501</v>
      </c>
      <c r="AB2723" s="73" t="s">
        <v>9486</v>
      </c>
      <c r="AC2723" s="74" t="s">
        <v>9562</v>
      </c>
      <c r="AD2723" s="73" t="s">
        <v>9578</v>
      </c>
      <c r="AE2723" s="74" t="s">
        <v>9595</v>
      </c>
    </row>
    <row r="2724" spans="1:31" ht="8.65" customHeight="1" x14ac:dyDescent="0.2">
      <c r="A2724" s="76">
        <v>2724</v>
      </c>
      <c r="B2724" s="67" t="str">
        <f>MID(C2724, FIND("Ifc.", C2724) + 4, 4) &amp; "_" &amp; TEXT(COUNTIF($C$2:C2724, C2724),"0000")</f>
        <v>Enum_0124</v>
      </c>
      <c r="C2724" s="23" t="s">
        <v>873</v>
      </c>
      <c r="D2724" s="69" t="s">
        <v>9453</v>
      </c>
      <c r="E2724" s="70" t="s">
        <v>9455</v>
      </c>
      <c r="F2724" s="26" t="s">
        <v>798</v>
      </c>
      <c r="G2724" s="15" t="s">
        <v>798</v>
      </c>
      <c r="H2724" s="14" t="s">
        <v>798</v>
      </c>
      <c r="I2724" s="15" t="s">
        <v>798</v>
      </c>
      <c r="J2724" s="12" t="s">
        <v>9436</v>
      </c>
      <c r="K2724" s="16" t="s">
        <v>2796</v>
      </c>
      <c r="L2724" s="12" t="s">
        <v>800</v>
      </c>
      <c r="M2724" s="16" t="s">
        <v>5880</v>
      </c>
      <c r="N2724" s="19" t="s">
        <v>798</v>
      </c>
      <c r="O2724" s="20" t="s">
        <v>798</v>
      </c>
      <c r="P2724" s="17" t="s">
        <v>802</v>
      </c>
      <c r="Q2724" s="21" t="s">
        <v>8348</v>
      </c>
      <c r="R2724" s="19" t="s">
        <v>798</v>
      </c>
      <c r="S2724" s="20" t="s">
        <v>798</v>
      </c>
      <c r="T2724" s="17" t="s">
        <v>798</v>
      </c>
      <c r="U2724" s="20" t="s">
        <v>798</v>
      </c>
      <c r="V2724" s="26" t="s">
        <v>798</v>
      </c>
      <c r="W2724" s="20" t="s">
        <v>798</v>
      </c>
      <c r="X2724" s="26" t="s">
        <v>798</v>
      </c>
      <c r="Y2724" s="20" t="s">
        <v>798</v>
      </c>
      <c r="Z2724" s="73" t="s">
        <v>9486</v>
      </c>
      <c r="AA2724" s="74" t="s">
        <v>9501</v>
      </c>
      <c r="AB2724" s="73" t="s">
        <v>9486</v>
      </c>
      <c r="AC2724" s="74" t="s">
        <v>9562</v>
      </c>
      <c r="AD2724" s="73" t="s">
        <v>9578</v>
      </c>
      <c r="AE2724" s="74" t="s">
        <v>9595</v>
      </c>
    </row>
    <row r="2725" spans="1:31" ht="8.65" customHeight="1" x14ac:dyDescent="0.2">
      <c r="A2725" s="76">
        <v>2725</v>
      </c>
      <c r="B2725" s="67" t="str">
        <f>MID(C2725, FIND("Ifc.", C2725) + 4, 4) &amp; "_" &amp; TEXT(COUNTIF($C$2:C2725, C2725),"0000")</f>
        <v>Enum_0125</v>
      </c>
      <c r="C2725" s="23" t="s">
        <v>873</v>
      </c>
      <c r="D2725" s="69" t="s">
        <v>9453</v>
      </c>
      <c r="E2725" s="70" t="s">
        <v>9455</v>
      </c>
      <c r="F2725" s="26" t="s">
        <v>798</v>
      </c>
      <c r="G2725" s="15" t="s">
        <v>798</v>
      </c>
      <c r="H2725" s="14" t="s">
        <v>798</v>
      </c>
      <c r="I2725" s="15" t="s">
        <v>798</v>
      </c>
      <c r="J2725" s="12" t="s">
        <v>9436</v>
      </c>
      <c r="K2725" s="16" t="s">
        <v>2797</v>
      </c>
      <c r="L2725" s="12" t="s">
        <v>800</v>
      </c>
      <c r="M2725" s="16" t="s">
        <v>5881</v>
      </c>
      <c r="N2725" s="19" t="s">
        <v>798</v>
      </c>
      <c r="O2725" s="20" t="s">
        <v>798</v>
      </c>
      <c r="P2725" s="17" t="s">
        <v>802</v>
      </c>
      <c r="Q2725" s="21" t="s">
        <v>8349</v>
      </c>
      <c r="R2725" s="19" t="s">
        <v>798</v>
      </c>
      <c r="S2725" s="20" t="s">
        <v>798</v>
      </c>
      <c r="T2725" s="17" t="s">
        <v>798</v>
      </c>
      <c r="U2725" s="20" t="s">
        <v>798</v>
      </c>
      <c r="V2725" s="26" t="s">
        <v>798</v>
      </c>
      <c r="W2725" s="20" t="s">
        <v>798</v>
      </c>
      <c r="X2725" s="26" t="s">
        <v>798</v>
      </c>
      <c r="Y2725" s="20" t="s">
        <v>798</v>
      </c>
      <c r="Z2725" s="73" t="s">
        <v>9486</v>
      </c>
      <c r="AA2725" s="74" t="s">
        <v>9501</v>
      </c>
      <c r="AB2725" s="73" t="s">
        <v>9486</v>
      </c>
      <c r="AC2725" s="74" t="s">
        <v>9562</v>
      </c>
      <c r="AD2725" s="73" t="s">
        <v>9578</v>
      </c>
      <c r="AE2725" s="74" t="s">
        <v>9595</v>
      </c>
    </row>
    <row r="2726" spans="1:31" ht="8.65" customHeight="1" x14ac:dyDescent="0.2">
      <c r="A2726" s="76">
        <v>2726</v>
      </c>
      <c r="B2726" s="67" t="str">
        <f>MID(C2726, FIND("Ifc.", C2726) + 4, 4) &amp; "_" &amp; TEXT(COUNTIF($C$2:C2726, C2726),"0000")</f>
        <v>Enum_0126</v>
      </c>
      <c r="C2726" s="23" t="s">
        <v>873</v>
      </c>
      <c r="D2726" s="69" t="s">
        <v>9453</v>
      </c>
      <c r="E2726" s="70" t="s">
        <v>9455</v>
      </c>
      <c r="F2726" s="26" t="s">
        <v>798</v>
      </c>
      <c r="G2726" s="15" t="s">
        <v>798</v>
      </c>
      <c r="H2726" s="14" t="s">
        <v>798</v>
      </c>
      <c r="I2726" s="15" t="s">
        <v>798</v>
      </c>
      <c r="J2726" s="12" t="s">
        <v>9436</v>
      </c>
      <c r="K2726" s="16" t="s">
        <v>2798</v>
      </c>
      <c r="L2726" s="12" t="s">
        <v>800</v>
      </c>
      <c r="M2726" s="16" t="s">
        <v>5703</v>
      </c>
      <c r="N2726" s="19" t="s">
        <v>798</v>
      </c>
      <c r="O2726" s="20" t="s">
        <v>798</v>
      </c>
      <c r="P2726" s="17" t="s">
        <v>802</v>
      </c>
      <c r="Q2726" s="21" t="s">
        <v>8350</v>
      </c>
      <c r="R2726" s="19" t="s">
        <v>798</v>
      </c>
      <c r="S2726" s="20" t="s">
        <v>798</v>
      </c>
      <c r="T2726" s="17" t="s">
        <v>798</v>
      </c>
      <c r="U2726" s="20" t="s">
        <v>798</v>
      </c>
      <c r="V2726" s="26" t="s">
        <v>798</v>
      </c>
      <c r="W2726" s="20" t="s">
        <v>798</v>
      </c>
      <c r="X2726" s="26" t="s">
        <v>798</v>
      </c>
      <c r="Y2726" s="20" t="s">
        <v>798</v>
      </c>
      <c r="Z2726" s="73" t="s">
        <v>9486</v>
      </c>
      <c r="AA2726" s="74" t="s">
        <v>9501</v>
      </c>
      <c r="AB2726" s="73" t="s">
        <v>9486</v>
      </c>
      <c r="AC2726" s="74" t="s">
        <v>9562</v>
      </c>
      <c r="AD2726" s="73" t="s">
        <v>9578</v>
      </c>
      <c r="AE2726" s="74" t="s">
        <v>9595</v>
      </c>
    </row>
    <row r="2727" spans="1:31" ht="8.65" customHeight="1" x14ac:dyDescent="0.2">
      <c r="A2727" s="76">
        <v>2727</v>
      </c>
      <c r="B2727" s="67" t="str">
        <f>MID(C2727, FIND("Ifc.", C2727) + 4, 4) &amp; "_" &amp; TEXT(COUNTIF($C$2:C2727, C2727),"0000")</f>
        <v>Enum_0127</v>
      </c>
      <c r="C2727" s="23" t="s">
        <v>873</v>
      </c>
      <c r="D2727" s="69" t="s">
        <v>9453</v>
      </c>
      <c r="E2727" s="70" t="s">
        <v>9455</v>
      </c>
      <c r="F2727" s="26" t="s">
        <v>798</v>
      </c>
      <c r="G2727" s="15" t="s">
        <v>798</v>
      </c>
      <c r="H2727" s="14" t="s">
        <v>798</v>
      </c>
      <c r="I2727" s="15" t="s">
        <v>798</v>
      </c>
      <c r="J2727" s="12" t="s">
        <v>9436</v>
      </c>
      <c r="K2727" s="16" t="s">
        <v>2799</v>
      </c>
      <c r="L2727" s="12" t="s">
        <v>800</v>
      </c>
      <c r="M2727" s="16" t="s">
        <v>5704</v>
      </c>
      <c r="N2727" s="19" t="s">
        <v>798</v>
      </c>
      <c r="O2727" s="20" t="s">
        <v>798</v>
      </c>
      <c r="P2727" s="17" t="s">
        <v>802</v>
      </c>
      <c r="Q2727" s="21" t="s">
        <v>8351</v>
      </c>
      <c r="R2727" s="19" t="s">
        <v>798</v>
      </c>
      <c r="S2727" s="20" t="s">
        <v>798</v>
      </c>
      <c r="T2727" s="17" t="s">
        <v>798</v>
      </c>
      <c r="U2727" s="20" t="s">
        <v>798</v>
      </c>
      <c r="V2727" s="26" t="s">
        <v>798</v>
      </c>
      <c r="W2727" s="20" t="s">
        <v>798</v>
      </c>
      <c r="X2727" s="26" t="s">
        <v>798</v>
      </c>
      <c r="Y2727" s="20" t="s">
        <v>798</v>
      </c>
      <c r="Z2727" s="73" t="s">
        <v>9486</v>
      </c>
      <c r="AA2727" s="74" t="s">
        <v>9501</v>
      </c>
      <c r="AB2727" s="73" t="s">
        <v>9486</v>
      </c>
      <c r="AC2727" s="74" t="s">
        <v>9562</v>
      </c>
      <c r="AD2727" s="73" t="s">
        <v>9578</v>
      </c>
      <c r="AE2727" s="74" t="s">
        <v>9579</v>
      </c>
    </row>
    <row r="2728" spans="1:31" ht="8.65" customHeight="1" x14ac:dyDescent="0.2">
      <c r="A2728" s="76">
        <v>2728</v>
      </c>
      <c r="B2728" s="67" t="str">
        <f>MID(C2728, FIND("Ifc.", C2728) + 4, 4) &amp; "_" &amp; TEXT(COUNTIF($C$2:C2728, C2728),"0000")</f>
        <v>Enum_0128</v>
      </c>
      <c r="C2728" s="23" t="s">
        <v>873</v>
      </c>
      <c r="D2728" s="69" t="s">
        <v>9453</v>
      </c>
      <c r="E2728" s="70" t="s">
        <v>9455</v>
      </c>
      <c r="F2728" s="26" t="s">
        <v>798</v>
      </c>
      <c r="G2728" s="15" t="s">
        <v>798</v>
      </c>
      <c r="H2728" s="14" t="s">
        <v>798</v>
      </c>
      <c r="I2728" s="15" t="s">
        <v>798</v>
      </c>
      <c r="J2728" s="12" t="s">
        <v>9436</v>
      </c>
      <c r="K2728" s="16" t="s">
        <v>2800</v>
      </c>
      <c r="L2728" s="12" t="s">
        <v>800</v>
      </c>
      <c r="M2728" s="16" t="s">
        <v>5705</v>
      </c>
      <c r="N2728" s="19" t="s">
        <v>798</v>
      </c>
      <c r="O2728" s="20" t="s">
        <v>798</v>
      </c>
      <c r="P2728" s="17" t="s">
        <v>802</v>
      </c>
      <c r="Q2728" s="21" t="s">
        <v>8352</v>
      </c>
      <c r="R2728" s="19" t="s">
        <v>798</v>
      </c>
      <c r="S2728" s="20" t="s">
        <v>798</v>
      </c>
      <c r="T2728" s="17" t="s">
        <v>798</v>
      </c>
      <c r="U2728" s="20" t="s">
        <v>798</v>
      </c>
      <c r="V2728" s="26" t="s">
        <v>798</v>
      </c>
      <c r="W2728" s="20" t="s">
        <v>798</v>
      </c>
      <c r="X2728" s="26" t="s">
        <v>798</v>
      </c>
      <c r="Y2728" s="20" t="s">
        <v>798</v>
      </c>
      <c r="Z2728" s="73" t="s">
        <v>9486</v>
      </c>
      <c r="AA2728" s="74" t="s">
        <v>9501</v>
      </c>
      <c r="AB2728" s="73" t="s">
        <v>9486</v>
      </c>
      <c r="AC2728" s="74" t="s">
        <v>9562</v>
      </c>
      <c r="AD2728" s="73" t="s">
        <v>9578</v>
      </c>
      <c r="AE2728" s="74" t="s">
        <v>9579</v>
      </c>
    </row>
    <row r="2729" spans="1:31" ht="8.65" customHeight="1" x14ac:dyDescent="0.2">
      <c r="A2729" s="76">
        <v>2729</v>
      </c>
      <c r="B2729" s="67" t="str">
        <f>MID(C2729, FIND("Ifc.", C2729) + 4, 4) &amp; "_" &amp; TEXT(COUNTIF($C$2:C2729, C2729),"0000")</f>
        <v>Enum_0129</v>
      </c>
      <c r="C2729" s="23" t="s">
        <v>873</v>
      </c>
      <c r="D2729" s="69" t="s">
        <v>9453</v>
      </c>
      <c r="E2729" s="70" t="s">
        <v>9455</v>
      </c>
      <c r="F2729" s="26" t="s">
        <v>798</v>
      </c>
      <c r="G2729" s="15" t="s">
        <v>798</v>
      </c>
      <c r="H2729" s="14" t="s">
        <v>798</v>
      </c>
      <c r="I2729" s="15" t="s">
        <v>798</v>
      </c>
      <c r="J2729" s="12" t="s">
        <v>9436</v>
      </c>
      <c r="K2729" s="16" t="s">
        <v>2801</v>
      </c>
      <c r="L2729" s="12" t="s">
        <v>800</v>
      </c>
      <c r="M2729" s="16" t="s">
        <v>5706</v>
      </c>
      <c r="N2729" s="19" t="s">
        <v>798</v>
      </c>
      <c r="O2729" s="20" t="s">
        <v>798</v>
      </c>
      <c r="P2729" s="17" t="s">
        <v>802</v>
      </c>
      <c r="Q2729" s="21" t="s">
        <v>8353</v>
      </c>
      <c r="R2729" s="19" t="s">
        <v>798</v>
      </c>
      <c r="S2729" s="20" t="s">
        <v>798</v>
      </c>
      <c r="T2729" s="17" t="s">
        <v>798</v>
      </c>
      <c r="U2729" s="20" t="s">
        <v>798</v>
      </c>
      <c r="V2729" s="26" t="s">
        <v>798</v>
      </c>
      <c r="W2729" s="20" t="s">
        <v>798</v>
      </c>
      <c r="X2729" s="26" t="s">
        <v>798</v>
      </c>
      <c r="Y2729" s="20" t="s">
        <v>798</v>
      </c>
      <c r="Z2729" s="73" t="s">
        <v>9486</v>
      </c>
      <c r="AA2729" s="74" t="s">
        <v>9501</v>
      </c>
      <c r="AB2729" s="73" t="s">
        <v>9486</v>
      </c>
      <c r="AC2729" s="74" t="s">
        <v>9562</v>
      </c>
      <c r="AD2729" s="73" t="s">
        <v>9578</v>
      </c>
      <c r="AE2729" s="74" t="s">
        <v>9579</v>
      </c>
    </row>
    <row r="2730" spans="1:31" ht="8.65" customHeight="1" x14ac:dyDescent="0.2">
      <c r="A2730" s="76">
        <v>2730</v>
      </c>
      <c r="B2730" s="67" t="str">
        <f>MID(C2730, FIND("Ifc.", C2730) + 4, 4) &amp; "_" &amp; TEXT(COUNTIF($C$2:C2730, C2730),"0000")</f>
        <v>Enum_0130</v>
      </c>
      <c r="C2730" s="23" t="s">
        <v>873</v>
      </c>
      <c r="D2730" s="69" t="s">
        <v>9453</v>
      </c>
      <c r="E2730" s="70" t="s">
        <v>9455</v>
      </c>
      <c r="F2730" s="26" t="s">
        <v>798</v>
      </c>
      <c r="G2730" s="15" t="s">
        <v>798</v>
      </c>
      <c r="H2730" s="14" t="s">
        <v>798</v>
      </c>
      <c r="I2730" s="15" t="s">
        <v>798</v>
      </c>
      <c r="J2730" s="12" t="s">
        <v>9436</v>
      </c>
      <c r="K2730" s="16" t="s">
        <v>2802</v>
      </c>
      <c r="L2730" s="12" t="s">
        <v>800</v>
      </c>
      <c r="M2730" s="16" t="s">
        <v>5707</v>
      </c>
      <c r="N2730" s="19" t="s">
        <v>798</v>
      </c>
      <c r="O2730" s="20" t="s">
        <v>798</v>
      </c>
      <c r="P2730" s="17" t="s">
        <v>802</v>
      </c>
      <c r="Q2730" s="21" t="s">
        <v>8354</v>
      </c>
      <c r="R2730" s="19" t="s">
        <v>798</v>
      </c>
      <c r="S2730" s="20" t="s">
        <v>798</v>
      </c>
      <c r="T2730" s="17" t="s">
        <v>798</v>
      </c>
      <c r="U2730" s="20" t="s">
        <v>798</v>
      </c>
      <c r="V2730" s="26" t="s">
        <v>798</v>
      </c>
      <c r="W2730" s="20" t="s">
        <v>798</v>
      </c>
      <c r="X2730" s="26" t="s">
        <v>798</v>
      </c>
      <c r="Y2730" s="20" t="s">
        <v>798</v>
      </c>
      <c r="Z2730" s="73" t="s">
        <v>9486</v>
      </c>
      <c r="AA2730" s="74" t="s">
        <v>9501</v>
      </c>
      <c r="AB2730" s="73" t="s">
        <v>9486</v>
      </c>
      <c r="AC2730" s="74" t="s">
        <v>9562</v>
      </c>
      <c r="AD2730" s="73" t="s">
        <v>9578</v>
      </c>
      <c r="AE2730" s="74" t="s">
        <v>9579</v>
      </c>
    </row>
    <row r="2731" spans="1:31" ht="8.65" customHeight="1" x14ac:dyDescent="0.2">
      <c r="A2731" s="76">
        <v>2731</v>
      </c>
      <c r="B2731" s="67" t="str">
        <f>MID(C2731, FIND("Ifc.", C2731) + 4, 4) &amp; "_" &amp; TEXT(COUNTIF($C$2:C2731, C2731),"0000")</f>
        <v>Enum_0131</v>
      </c>
      <c r="C2731" s="23" t="s">
        <v>873</v>
      </c>
      <c r="D2731" s="69" t="s">
        <v>9453</v>
      </c>
      <c r="E2731" s="70" t="s">
        <v>9455</v>
      </c>
      <c r="F2731" s="26" t="s">
        <v>798</v>
      </c>
      <c r="G2731" s="15" t="s">
        <v>798</v>
      </c>
      <c r="H2731" s="14" t="s">
        <v>798</v>
      </c>
      <c r="I2731" s="15" t="s">
        <v>798</v>
      </c>
      <c r="J2731" s="12" t="s">
        <v>9436</v>
      </c>
      <c r="K2731" s="16" t="s">
        <v>2803</v>
      </c>
      <c r="L2731" s="12" t="s">
        <v>800</v>
      </c>
      <c r="M2731" s="16" t="s">
        <v>5917</v>
      </c>
      <c r="N2731" s="19" t="s">
        <v>798</v>
      </c>
      <c r="O2731" s="20" t="s">
        <v>798</v>
      </c>
      <c r="P2731" s="17" t="s">
        <v>802</v>
      </c>
      <c r="Q2731" s="21" t="s">
        <v>8355</v>
      </c>
      <c r="R2731" s="19" t="s">
        <v>798</v>
      </c>
      <c r="S2731" s="20" t="s">
        <v>798</v>
      </c>
      <c r="T2731" s="17" t="s">
        <v>798</v>
      </c>
      <c r="U2731" s="20" t="s">
        <v>798</v>
      </c>
      <c r="V2731" s="26" t="s">
        <v>798</v>
      </c>
      <c r="W2731" s="20" t="s">
        <v>798</v>
      </c>
      <c r="X2731" s="26" t="s">
        <v>798</v>
      </c>
      <c r="Y2731" s="20" t="s">
        <v>798</v>
      </c>
      <c r="Z2731" s="73" t="s">
        <v>9486</v>
      </c>
      <c r="AA2731" s="74" t="s">
        <v>9501</v>
      </c>
      <c r="AB2731" s="73" t="s">
        <v>9486</v>
      </c>
      <c r="AC2731" s="74" t="s">
        <v>9562</v>
      </c>
      <c r="AD2731" s="73" t="s">
        <v>9578</v>
      </c>
      <c r="AE2731" s="74" t="s">
        <v>9579</v>
      </c>
    </row>
    <row r="2732" spans="1:31" ht="8.65" customHeight="1" x14ac:dyDescent="0.2">
      <c r="A2732" s="76">
        <v>2732</v>
      </c>
      <c r="B2732" s="67" t="str">
        <f>MID(C2732, FIND("Ifc.", C2732) + 4, 4) &amp; "_" &amp; TEXT(COUNTIF($C$2:C2732, C2732),"0000")</f>
        <v>Enum_0132</v>
      </c>
      <c r="C2732" s="23" t="s">
        <v>873</v>
      </c>
      <c r="D2732" s="69" t="s">
        <v>9453</v>
      </c>
      <c r="E2732" s="70" t="s">
        <v>9455</v>
      </c>
      <c r="F2732" s="26" t="s">
        <v>798</v>
      </c>
      <c r="G2732" s="15" t="s">
        <v>798</v>
      </c>
      <c r="H2732" s="14" t="s">
        <v>798</v>
      </c>
      <c r="I2732" s="15" t="s">
        <v>798</v>
      </c>
      <c r="J2732" s="12" t="s">
        <v>9436</v>
      </c>
      <c r="K2732" s="16" t="s">
        <v>2804</v>
      </c>
      <c r="L2732" s="12" t="s">
        <v>800</v>
      </c>
      <c r="M2732" s="16" t="s">
        <v>5708</v>
      </c>
      <c r="N2732" s="19" t="s">
        <v>798</v>
      </c>
      <c r="O2732" s="20" t="s">
        <v>798</v>
      </c>
      <c r="P2732" s="17" t="s">
        <v>802</v>
      </c>
      <c r="Q2732" s="21" t="s">
        <v>8356</v>
      </c>
      <c r="R2732" s="19" t="s">
        <v>798</v>
      </c>
      <c r="S2732" s="20" t="s">
        <v>798</v>
      </c>
      <c r="T2732" s="17" t="s">
        <v>798</v>
      </c>
      <c r="U2732" s="20" t="s">
        <v>798</v>
      </c>
      <c r="V2732" s="26" t="s">
        <v>798</v>
      </c>
      <c r="W2732" s="20" t="s">
        <v>798</v>
      </c>
      <c r="X2732" s="26" t="s">
        <v>798</v>
      </c>
      <c r="Y2732" s="20" t="s">
        <v>798</v>
      </c>
      <c r="Z2732" s="73" t="s">
        <v>9486</v>
      </c>
      <c r="AA2732" s="74" t="s">
        <v>9501</v>
      </c>
      <c r="AB2732" s="73" t="s">
        <v>9486</v>
      </c>
      <c r="AC2732" s="74" t="s">
        <v>9562</v>
      </c>
      <c r="AD2732" s="73" t="s">
        <v>9578</v>
      </c>
      <c r="AE2732" s="74" t="s">
        <v>9579</v>
      </c>
    </row>
    <row r="2733" spans="1:31" ht="8.65" customHeight="1" x14ac:dyDescent="0.2">
      <c r="A2733" s="76">
        <v>2733</v>
      </c>
      <c r="B2733" s="67" t="str">
        <f>MID(C2733, FIND("Ifc.", C2733) + 4, 4) &amp; "_" &amp; TEXT(COUNTIF($C$2:C2733, C2733),"0000")</f>
        <v>Enum_0133</v>
      </c>
      <c r="C2733" s="23" t="s">
        <v>873</v>
      </c>
      <c r="D2733" s="69" t="s">
        <v>9453</v>
      </c>
      <c r="E2733" s="70" t="s">
        <v>9455</v>
      </c>
      <c r="F2733" s="26" t="s">
        <v>798</v>
      </c>
      <c r="G2733" s="15" t="s">
        <v>798</v>
      </c>
      <c r="H2733" s="14" t="s">
        <v>798</v>
      </c>
      <c r="I2733" s="15" t="s">
        <v>798</v>
      </c>
      <c r="J2733" s="12" t="s">
        <v>9436</v>
      </c>
      <c r="K2733" s="16" t="s">
        <v>2805</v>
      </c>
      <c r="L2733" s="12" t="s">
        <v>800</v>
      </c>
      <c r="M2733" s="16" t="s">
        <v>5709</v>
      </c>
      <c r="N2733" s="19" t="s">
        <v>798</v>
      </c>
      <c r="O2733" s="20" t="s">
        <v>798</v>
      </c>
      <c r="P2733" s="17" t="s">
        <v>802</v>
      </c>
      <c r="Q2733" s="21" t="s">
        <v>8357</v>
      </c>
      <c r="R2733" s="19" t="s">
        <v>798</v>
      </c>
      <c r="S2733" s="20" t="s">
        <v>798</v>
      </c>
      <c r="T2733" s="17" t="s">
        <v>798</v>
      </c>
      <c r="U2733" s="20" t="s">
        <v>798</v>
      </c>
      <c r="V2733" s="26" t="s">
        <v>798</v>
      </c>
      <c r="W2733" s="20" t="s">
        <v>798</v>
      </c>
      <c r="X2733" s="26" t="s">
        <v>798</v>
      </c>
      <c r="Y2733" s="20" t="s">
        <v>798</v>
      </c>
      <c r="Z2733" s="73" t="s">
        <v>9486</v>
      </c>
      <c r="AA2733" s="74" t="s">
        <v>9501</v>
      </c>
      <c r="AB2733" s="73" t="s">
        <v>9486</v>
      </c>
      <c r="AC2733" s="74" t="s">
        <v>9562</v>
      </c>
      <c r="AD2733" s="73" t="s">
        <v>9578</v>
      </c>
      <c r="AE2733" s="74" t="s">
        <v>9579</v>
      </c>
    </row>
    <row r="2734" spans="1:31" ht="8.65" customHeight="1" x14ac:dyDescent="0.2">
      <c r="A2734" s="76">
        <v>2734</v>
      </c>
      <c r="B2734" s="67" t="str">
        <f>MID(C2734, FIND("Ifc.", C2734) + 4, 4) &amp; "_" &amp; TEXT(COUNTIF($C$2:C2734, C2734),"0000")</f>
        <v>Enum_0134</v>
      </c>
      <c r="C2734" s="23" t="s">
        <v>873</v>
      </c>
      <c r="D2734" s="69" t="s">
        <v>9453</v>
      </c>
      <c r="E2734" s="70" t="s">
        <v>9455</v>
      </c>
      <c r="F2734" s="26" t="s">
        <v>798</v>
      </c>
      <c r="G2734" s="15" t="s">
        <v>798</v>
      </c>
      <c r="H2734" s="14" t="s">
        <v>798</v>
      </c>
      <c r="I2734" s="15" t="s">
        <v>798</v>
      </c>
      <c r="J2734" s="12" t="s">
        <v>9436</v>
      </c>
      <c r="K2734" s="16" t="s">
        <v>2806</v>
      </c>
      <c r="L2734" s="12" t="s">
        <v>800</v>
      </c>
      <c r="M2734" s="16" t="s">
        <v>5710</v>
      </c>
      <c r="N2734" s="19" t="s">
        <v>798</v>
      </c>
      <c r="O2734" s="20" t="s">
        <v>798</v>
      </c>
      <c r="P2734" s="17" t="s">
        <v>802</v>
      </c>
      <c r="Q2734" s="21" t="s">
        <v>8358</v>
      </c>
      <c r="R2734" s="19" t="s">
        <v>798</v>
      </c>
      <c r="S2734" s="20" t="s">
        <v>798</v>
      </c>
      <c r="T2734" s="17" t="s">
        <v>798</v>
      </c>
      <c r="U2734" s="20" t="s">
        <v>798</v>
      </c>
      <c r="V2734" s="26" t="s">
        <v>798</v>
      </c>
      <c r="W2734" s="20" t="s">
        <v>798</v>
      </c>
      <c r="X2734" s="26" t="s">
        <v>798</v>
      </c>
      <c r="Y2734" s="20" t="s">
        <v>798</v>
      </c>
      <c r="Z2734" s="73" t="s">
        <v>9486</v>
      </c>
      <c r="AA2734" s="74" t="s">
        <v>9501</v>
      </c>
      <c r="AB2734" s="73" t="s">
        <v>9486</v>
      </c>
      <c r="AC2734" s="74" t="s">
        <v>9562</v>
      </c>
      <c r="AD2734" s="73" t="s">
        <v>9578</v>
      </c>
      <c r="AE2734" s="74" t="s">
        <v>9679</v>
      </c>
    </row>
    <row r="2735" spans="1:31" ht="8.65" customHeight="1" x14ac:dyDescent="0.2">
      <c r="A2735" s="76">
        <v>2735</v>
      </c>
      <c r="B2735" s="67" t="str">
        <f>MID(C2735, FIND("Ifc.", C2735) + 4, 4) &amp; "_" &amp; TEXT(COUNTIF($C$2:C2735, C2735),"0000")</f>
        <v>Enum_0135</v>
      </c>
      <c r="C2735" s="23" t="s">
        <v>873</v>
      </c>
      <c r="D2735" s="69" t="s">
        <v>9453</v>
      </c>
      <c r="E2735" s="70" t="s">
        <v>9455</v>
      </c>
      <c r="F2735" s="26" t="s">
        <v>798</v>
      </c>
      <c r="G2735" s="15" t="s">
        <v>798</v>
      </c>
      <c r="H2735" s="14" t="s">
        <v>798</v>
      </c>
      <c r="I2735" s="15" t="s">
        <v>798</v>
      </c>
      <c r="J2735" s="12" t="s">
        <v>9436</v>
      </c>
      <c r="K2735" s="16" t="s">
        <v>2807</v>
      </c>
      <c r="L2735" s="12" t="s">
        <v>800</v>
      </c>
      <c r="M2735" s="16" t="s">
        <v>5711</v>
      </c>
      <c r="N2735" s="19" t="s">
        <v>798</v>
      </c>
      <c r="O2735" s="20" t="s">
        <v>798</v>
      </c>
      <c r="P2735" s="17" t="s">
        <v>802</v>
      </c>
      <c r="Q2735" s="21" t="s">
        <v>8359</v>
      </c>
      <c r="R2735" s="19" t="s">
        <v>798</v>
      </c>
      <c r="S2735" s="20" t="s">
        <v>798</v>
      </c>
      <c r="T2735" s="17" t="s">
        <v>798</v>
      </c>
      <c r="U2735" s="20" t="s">
        <v>798</v>
      </c>
      <c r="V2735" s="26" t="s">
        <v>798</v>
      </c>
      <c r="W2735" s="20" t="s">
        <v>798</v>
      </c>
      <c r="X2735" s="26" t="s">
        <v>798</v>
      </c>
      <c r="Y2735" s="20" t="s">
        <v>798</v>
      </c>
      <c r="Z2735" s="73" t="s">
        <v>9486</v>
      </c>
      <c r="AA2735" s="74" t="s">
        <v>9501</v>
      </c>
      <c r="AB2735" s="73" t="s">
        <v>9486</v>
      </c>
      <c r="AC2735" s="74" t="s">
        <v>9562</v>
      </c>
      <c r="AD2735" s="73" t="s">
        <v>9578</v>
      </c>
      <c r="AE2735" s="74" t="s">
        <v>9679</v>
      </c>
    </row>
    <row r="2736" spans="1:31" ht="8.65" customHeight="1" x14ac:dyDescent="0.2">
      <c r="A2736" s="76">
        <v>2736</v>
      </c>
      <c r="B2736" s="67" t="str">
        <f>MID(C2736, FIND("Ifc.", C2736) + 4, 4) &amp; "_" &amp; TEXT(COUNTIF($C$2:C2736, C2736),"0000")</f>
        <v>Enum_0136</v>
      </c>
      <c r="C2736" s="23" t="s">
        <v>873</v>
      </c>
      <c r="D2736" s="69" t="s">
        <v>9453</v>
      </c>
      <c r="E2736" s="70" t="s">
        <v>9455</v>
      </c>
      <c r="F2736" s="26" t="s">
        <v>798</v>
      </c>
      <c r="G2736" s="15" t="s">
        <v>798</v>
      </c>
      <c r="H2736" s="14" t="s">
        <v>798</v>
      </c>
      <c r="I2736" s="15" t="s">
        <v>798</v>
      </c>
      <c r="J2736" s="12" t="s">
        <v>9436</v>
      </c>
      <c r="K2736" s="16" t="s">
        <v>2808</v>
      </c>
      <c r="L2736" s="12" t="s">
        <v>800</v>
      </c>
      <c r="M2736" s="16" t="s">
        <v>5712</v>
      </c>
      <c r="N2736" s="19" t="s">
        <v>798</v>
      </c>
      <c r="O2736" s="20" t="s">
        <v>798</v>
      </c>
      <c r="P2736" s="17" t="s">
        <v>802</v>
      </c>
      <c r="Q2736" s="21" t="s">
        <v>8360</v>
      </c>
      <c r="R2736" s="19" t="s">
        <v>798</v>
      </c>
      <c r="S2736" s="20" t="s">
        <v>798</v>
      </c>
      <c r="T2736" s="17" t="s">
        <v>798</v>
      </c>
      <c r="U2736" s="20" t="s">
        <v>798</v>
      </c>
      <c r="V2736" s="26" t="s">
        <v>798</v>
      </c>
      <c r="W2736" s="20" t="s">
        <v>798</v>
      </c>
      <c r="X2736" s="26" t="s">
        <v>798</v>
      </c>
      <c r="Y2736" s="20" t="s">
        <v>798</v>
      </c>
      <c r="Z2736" s="73" t="s">
        <v>9486</v>
      </c>
      <c r="AA2736" s="74" t="s">
        <v>9501</v>
      </c>
      <c r="AB2736" s="73" t="s">
        <v>9486</v>
      </c>
      <c r="AC2736" s="74" t="s">
        <v>9562</v>
      </c>
      <c r="AD2736" s="73" t="s">
        <v>9578</v>
      </c>
      <c r="AE2736" s="74" t="s">
        <v>9579</v>
      </c>
    </row>
    <row r="2737" spans="1:31" ht="8.65" customHeight="1" x14ac:dyDescent="0.2">
      <c r="A2737" s="76">
        <v>2737</v>
      </c>
      <c r="B2737" s="67" t="str">
        <f>MID(C2737, FIND("Ifc.", C2737) + 4, 4) &amp; "_" &amp; TEXT(COUNTIF($C$2:C2737, C2737),"0000")</f>
        <v>Enum_0137</v>
      </c>
      <c r="C2737" s="23" t="s">
        <v>873</v>
      </c>
      <c r="D2737" s="69" t="s">
        <v>9453</v>
      </c>
      <c r="E2737" s="70" t="s">
        <v>9455</v>
      </c>
      <c r="F2737" s="26" t="s">
        <v>798</v>
      </c>
      <c r="G2737" s="15" t="s">
        <v>798</v>
      </c>
      <c r="H2737" s="14" t="s">
        <v>798</v>
      </c>
      <c r="I2737" s="15" t="s">
        <v>798</v>
      </c>
      <c r="J2737" s="12" t="s">
        <v>9436</v>
      </c>
      <c r="K2737" s="16" t="s">
        <v>2809</v>
      </c>
      <c r="L2737" s="12" t="s">
        <v>800</v>
      </c>
      <c r="M2737" s="16" t="s">
        <v>5713</v>
      </c>
      <c r="N2737" s="19" t="s">
        <v>798</v>
      </c>
      <c r="O2737" s="20" t="s">
        <v>798</v>
      </c>
      <c r="P2737" s="17" t="s">
        <v>802</v>
      </c>
      <c r="Q2737" s="21" t="s">
        <v>8361</v>
      </c>
      <c r="R2737" s="19" t="s">
        <v>798</v>
      </c>
      <c r="S2737" s="20" t="s">
        <v>798</v>
      </c>
      <c r="T2737" s="17" t="s">
        <v>798</v>
      </c>
      <c r="U2737" s="20" t="s">
        <v>798</v>
      </c>
      <c r="V2737" s="26" t="s">
        <v>798</v>
      </c>
      <c r="W2737" s="20" t="s">
        <v>798</v>
      </c>
      <c r="X2737" s="26" t="s">
        <v>798</v>
      </c>
      <c r="Y2737" s="20" t="s">
        <v>798</v>
      </c>
      <c r="Z2737" s="73" t="s">
        <v>9486</v>
      </c>
      <c r="AA2737" s="74" t="s">
        <v>9501</v>
      </c>
      <c r="AB2737" s="73" t="s">
        <v>9486</v>
      </c>
      <c r="AC2737" s="74" t="s">
        <v>9562</v>
      </c>
      <c r="AD2737" s="73" t="s">
        <v>9578</v>
      </c>
      <c r="AE2737" s="74" t="s">
        <v>9579</v>
      </c>
    </row>
    <row r="2738" spans="1:31" ht="8.65" customHeight="1" x14ac:dyDescent="0.2">
      <c r="A2738" s="76">
        <v>2738</v>
      </c>
      <c r="B2738" s="67" t="str">
        <f>MID(C2738, FIND("Ifc.", C2738) + 4, 4) &amp; "_" &amp; TEXT(COUNTIF($C$2:C2738, C2738),"0000")</f>
        <v>Enum_0138</v>
      </c>
      <c r="C2738" s="23" t="s">
        <v>873</v>
      </c>
      <c r="D2738" s="69" t="s">
        <v>9453</v>
      </c>
      <c r="E2738" s="70" t="s">
        <v>9455</v>
      </c>
      <c r="F2738" s="26" t="s">
        <v>798</v>
      </c>
      <c r="G2738" s="15" t="s">
        <v>798</v>
      </c>
      <c r="H2738" s="14" t="s">
        <v>798</v>
      </c>
      <c r="I2738" s="15" t="s">
        <v>798</v>
      </c>
      <c r="J2738" s="12" t="s">
        <v>9436</v>
      </c>
      <c r="K2738" s="16" t="s">
        <v>2810</v>
      </c>
      <c r="L2738" s="12" t="s">
        <v>800</v>
      </c>
      <c r="M2738" s="16" t="s">
        <v>5714</v>
      </c>
      <c r="N2738" s="19" t="s">
        <v>798</v>
      </c>
      <c r="O2738" s="20" t="s">
        <v>798</v>
      </c>
      <c r="P2738" s="17" t="s">
        <v>802</v>
      </c>
      <c r="Q2738" s="21" t="s">
        <v>8362</v>
      </c>
      <c r="R2738" s="19" t="s">
        <v>798</v>
      </c>
      <c r="S2738" s="20" t="s">
        <v>798</v>
      </c>
      <c r="T2738" s="17" t="s">
        <v>798</v>
      </c>
      <c r="U2738" s="20" t="s">
        <v>798</v>
      </c>
      <c r="V2738" s="26" t="s">
        <v>798</v>
      </c>
      <c r="W2738" s="20" t="s">
        <v>798</v>
      </c>
      <c r="X2738" s="26" t="s">
        <v>798</v>
      </c>
      <c r="Y2738" s="20" t="s">
        <v>798</v>
      </c>
      <c r="Z2738" s="73" t="s">
        <v>9486</v>
      </c>
      <c r="AA2738" s="74" t="s">
        <v>9501</v>
      </c>
      <c r="AB2738" s="73" t="s">
        <v>9486</v>
      </c>
      <c r="AC2738" s="74" t="s">
        <v>9562</v>
      </c>
      <c r="AD2738" s="73" t="s">
        <v>9578</v>
      </c>
      <c r="AE2738" s="74" t="s">
        <v>9579</v>
      </c>
    </row>
    <row r="2739" spans="1:31" ht="8.65" customHeight="1" x14ac:dyDescent="0.2">
      <c r="A2739" s="76">
        <v>2739</v>
      </c>
      <c r="B2739" s="67" t="str">
        <f>MID(C2739, FIND("Ifc.", C2739) + 4, 4) &amp; "_" &amp; TEXT(COUNTIF($C$2:C2739, C2739),"0000")</f>
        <v>Enum_0139</v>
      </c>
      <c r="C2739" s="23" t="s">
        <v>873</v>
      </c>
      <c r="D2739" s="69" t="s">
        <v>9453</v>
      </c>
      <c r="E2739" s="70" t="s">
        <v>9455</v>
      </c>
      <c r="F2739" s="26" t="s">
        <v>798</v>
      </c>
      <c r="G2739" s="15" t="s">
        <v>798</v>
      </c>
      <c r="H2739" s="14" t="s">
        <v>798</v>
      </c>
      <c r="I2739" s="15" t="s">
        <v>798</v>
      </c>
      <c r="J2739" s="12" t="s">
        <v>9436</v>
      </c>
      <c r="K2739" s="16" t="s">
        <v>2811</v>
      </c>
      <c r="L2739" s="12" t="s">
        <v>800</v>
      </c>
      <c r="M2739" s="16" t="s">
        <v>5715</v>
      </c>
      <c r="N2739" s="19" t="s">
        <v>798</v>
      </c>
      <c r="O2739" s="20" t="s">
        <v>798</v>
      </c>
      <c r="P2739" s="17" t="s">
        <v>802</v>
      </c>
      <c r="Q2739" s="21" t="s">
        <v>8363</v>
      </c>
      <c r="R2739" s="19" t="s">
        <v>798</v>
      </c>
      <c r="S2739" s="20" t="s">
        <v>798</v>
      </c>
      <c r="T2739" s="17" t="s">
        <v>798</v>
      </c>
      <c r="U2739" s="20" t="s">
        <v>798</v>
      </c>
      <c r="V2739" s="26" t="s">
        <v>798</v>
      </c>
      <c r="W2739" s="20" t="s">
        <v>798</v>
      </c>
      <c r="X2739" s="26" t="s">
        <v>798</v>
      </c>
      <c r="Y2739" s="20" t="s">
        <v>798</v>
      </c>
      <c r="Z2739" s="73" t="s">
        <v>9486</v>
      </c>
      <c r="AA2739" s="74" t="s">
        <v>9501</v>
      </c>
      <c r="AB2739" s="73" t="s">
        <v>9486</v>
      </c>
      <c r="AC2739" s="74" t="s">
        <v>9562</v>
      </c>
      <c r="AD2739" s="73" t="s">
        <v>9578</v>
      </c>
      <c r="AE2739" s="74" t="s">
        <v>9579</v>
      </c>
    </row>
    <row r="2740" spans="1:31" ht="8.65" customHeight="1" x14ac:dyDescent="0.2">
      <c r="A2740" s="76">
        <v>2740</v>
      </c>
      <c r="B2740" s="67" t="str">
        <f>MID(C2740, FIND("Ifc.", C2740) + 4, 4) &amp; "_" &amp; TEXT(COUNTIF($C$2:C2740, C2740),"0000")</f>
        <v>Enum_0140</v>
      </c>
      <c r="C2740" s="23" t="s">
        <v>873</v>
      </c>
      <c r="D2740" s="69" t="s">
        <v>9453</v>
      </c>
      <c r="E2740" s="70" t="s">
        <v>9455</v>
      </c>
      <c r="F2740" s="26" t="s">
        <v>798</v>
      </c>
      <c r="G2740" s="15" t="s">
        <v>798</v>
      </c>
      <c r="H2740" s="14" t="s">
        <v>798</v>
      </c>
      <c r="I2740" s="15" t="s">
        <v>798</v>
      </c>
      <c r="J2740" s="12" t="s">
        <v>9436</v>
      </c>
      <c r="K2740" s="16" t="s">
        <v>2812</v>
      </c>
      <c r="L2740" s="12" t="s">
        <v>800</v>
      </c>
      <c r="M2740" s="16" t="s">
        <v>5716</v>
      </c>
      <c r="N2740" s="19" t="s">
        <v>798</v>
      </c>
      <c r="O2740" s="20" t="s">
        <v>798</v>
      </c>
      <c r="P2740" s="17" t="s">
        <v>802</v>
      </c>
      <c r="Q2740" s="21" t="s">
        <v>8364</v>
      </c>
      <c r="R2740" s="19" t="s">
        <v>798</v>
      </c>
      <c r="S2740" s="20" t="s">
        <v>798</v>
      </c>
      <c r="T2740" s="17" t="s">
        <v>798</v>
      </c>
      <c r="U2740" s="20" t="s">
        <v>798</v>
      </c>
      <c r="V2740" s="26" t="s">
        <v>798</v>
      </c>
      <c r="W2740" s="20" t="s">
        <v>798</v>
      </c>
      <c r="X2740" s="26" t="s">
        <v>798</v>
      </c>
      <c r="Y2740" s="20" t="s">
        <v>798</v>
      </c>
      <c r="Z2740" s="73" t="s">
        <v>9486</v>
      </c>
      <c r="AA2740" s="74" t="s">
        <v>9501</v>
      </c>
      <c r="AB2740" s="73" t="s">
        <v>9486</v>
      </c>
      <c r="AC2740" s="74" t="s">
        <v>9562</v>
      </c>
      <c r="AD2740" s="73" t="s">
        <v>9578</v>
      </c>
      <c r="AE2740" s="74" t="s">
        <v>9579</v>
      </c>
    </row>
    <row r="2741" spans="1:31" ht="8.65" customHeight="1" x14ac:dyDescent="0.2">
      <c r="A2741" s="76">
        <v>2741</v>
      </c>
      <c r="B2741" s="67" t="str">
        <f>MID(C2741, FIND("Ifc.", C2741) + 4, 4) &amp; "_" &amp; TEXT(COUNTIF($C$2:C2741, C2741),"0000")</f>
        <v>Enum_0141</v>
      </c>
      <c r="C2741" s="23" t="s">
        <v>873</v>
      </c>
      <c r="D2741" s="69" t="s">
        <v>9453</v>
      </c>
      <c r="E2741" s="70" t="s">
        <v>9455</v>
      </c>
      <c r="F2741" s="26" t="s">
        <v>798</v>
      </c>
      <c r="G2741" s="15" t="s">
        <v>798</v>
      </c>
      <c r="H2741" s="14" t="s">
        <v>798</v>
      </c>
      <c r="I2741" s="15" t="s">
        <v>798</v>
      </c>
      <c r="J2741" s="12" t="s">
        <v>9436</v>
      </c>
      <c r="K2741" s="16" t="s">
        <v>2813</v>
      </c>
      <c r="L2741" s="12" t="s">
        <v>800</v>
      </c>
      <c r="M2741" s="16" t="s">
        <v>5717</v>
      </c>
      <c r="N2741" s="19" t="s">
        <v>798</v>
      </c>
      <c r="O2741" s="20" t="s">
        <v>798</v>
      </c>
      <c r="P2741" s="17" t="s">
        <v>802</v>
      </c>
      <c r="Q2741" s="21" t="s">
        <v>8365</v>
      </c>
      <c r="R2741" s="19" t="s">
        <v>798</v>
      </c>
      <c r="S2741" s="20" t="s">
        <v>798</v>
      </c>
      <c r="T2741" s="17" t="s">
        <v>798</v>
      </c>
      <c r="U2741" s="20" t="s">
        <v>798</v>
      </c>
      <c r="V2741" s="26" t="s">
        <v>798</v>
      </c>
      <c r="W2741" s="20" t="s">
        <v>798</v>
      </c>
      <c r="X2741" s="26" t="s">
        <v>798</v>
      </c>
      <c r="Y2741" s="20" t="s">
        <v>798</v>
      </c>
      <c r="Z2741" s="73" t="s">
        <v>9486</v>
      </c>
      <c r="AA2741" s="74" t="s">
        <v>9501</v>
      </c>
      <c r="AB2741" s="73" t="s">
        <v>9486</v>
      </c>
      <c r="AC2741" s="74" t="s">
        <v>9562</v>
      </c>
      <c r="AD2741" s="73" t="s">
        <v>9578</v>
      </c>
      <c r="AE2741" s="74" t="s">
        <v>9595</v>
      </c>
    </row>
    <row r="2742" spans="1:31" ht="8.65" customHeight="1" x14ac:dyDescent="0.2">
      <c r="A2742" s="76">
        <v>2742</v>
      </c>
      <c r="B2742" s="67" t="str">
        <f>MID(C2742, FIND("Ifc.", C2742) + 4, 4) &amp; "_" &amp; TEXT(COUNTIF($C$2:C2742, C2742),"0000")</f>
        <v>Enum_0142</v>
      </c>
      <c r="C2742" s="23" t="s">
        <v>873</v>
      </c>
      <c r="D2742" s="69" t="s">
        <v>9453</v>
      </c>
      <c r="E2742" s="70" t="s">
        <v>9455</v>
      </c>
      <c r="F2742" s="26" t="s">
        <v>798</v>
      </c>
      <c r="G2742" s="15" t="s">
        <v>798</v>
      </c>
      <c r="H2742" s="14" t="s">
        <v>798</v>
      </c>
      <c r="I2742" s="15" t="s">
        <v>798</v>
      </c>
      <c r="J2742" s="12" t="s">
        <v>9436</v>
      </c>
      <c r="K2742" s="16" t="s">
        <v>2814</v>
      </c>
      <c r="L2742" s="12" t="s">
        <v>800</v>
      </c>
      <c r="M2742" s="16" t="s">
        <v>5718</v>
      </c>
      <c r="N2742" s="19" t="s">
        <v>798</v>
      </c>
      <c r="O2742" s="20" t="s">
        <v>798</v>
      </c>
      <c r="P2742" s="17" t="s">
        <v>802</v>
      </c>
      <c r="Q2742" s="21" t="s">
        <v>8366</v>
      </c>
      <c r="R2742" s="19" t="s">
        <v>798</v>
      </c>
      <c r="S2742" s="20" t="s">
        <v>798</v>
      </c>
      <c r="T2742" s="17" t="s">
        <v>798</v>
      </c>
      <c r="U2742" s="20" t="s">
        <v>798</v>
      </c>
      <c r="V2742" s="26" t="s">
        <v>798</v>
      </c>
      <c r="W2742" s="20" t="s">
        <v>798</v>
      </c>
      <c r="X2742" s="26" t="s">
        <v>798</v>
      </c>
      <c r="Y2742" s="20" t="s">
        <v>798</v>
      </c>
      <c r="Z2742" s="73" t="s">
        <v>9486</v>
      </c>
      <c r="AA2742" s="74" t="s">
        <v>9501</v>
      </c>
      <c r="AB2742" s="73" t="s">
        <v>9486</v>
      </c>
      <c r="AC2742" s="74" t="s">
        <v>9562</v>
      </c>
      <c r="AD2742" s="73" t="s">
        <v>9578</v>
      </c>
      <c r="AE2742" s="74" t="s">
        <v>9579</v>
      </c>
    </row>
    <row r="2743" spans="1:31" ht="8.65" customHeight="1" x14ac:dyDescent="0.2">
      <c r="A2743" s="76">
        <v>2743</v>
      </c>
      <c r="B2743" s="67" t="str">
        <f>MID(C2743, FIND("Ifc.", C2743) + 4, 4) &amp; "_" &amp; TEXT(COUNTIF($C$2:C2743, C2743),"0000")</f>
        <v>Enum_0143</v>
      </c>
      <c r="C2743" s="23" t="s">
        <v>873</v>
      </c>
      <c r="D2743" s="69" t="s">
        <v>9453</v>
      </c>
      <c r="E2743" s="70" t="s">
        <v>9455</v>
      </c>
      <c r="F2743" s="26" t="s">
        <v>798</v>
      </c>
      <c r="G2743" s="15" t="s">
        <v>798</v>
      </c>
      <c r="H2743" s="14" t="s">
        <v>798</v>
      </c>
      <c r="I2743" s="15" t="s">
        <v>798</v>
      </c>
      <c r="J2743" s="12" t="s">
        <v>9436</v>
      </c>
      <c r="K2743" s="16" t="s">
        <v>2815</v>
      </c>
      <c r="L2743" s="12" t="s">
        <v>800</v>
      </c>
      <c r="M2743" s="16" t="s">
        <v>5719</v>
      </c>
      <c r="N2743" s="19" t="s">
        <v>798</v>
      </c>
      <c r="O2743" s="20" t="s">
        <v>798</v>
      </c>
      <c r="P2743" s="17" t="s">
        <v>802</v>
      </c>
      <c r="Q2743" s="21" t="s">
        <v>8367</v>
      </c>
      <c r="R2743" s="19" t="s">
        <v>798</v>
      </c>
      <c r="S2743" s="20" t="s">
        <v>798</v>
      </c>
      <c r="T2743" s="17" t="s">
        <v>798</v>
      </c>
      <c r="U2743" s="20" t="s">
        <v>798</v>
      </c>
      <c r="V2743" s="26" t="s">
        <v>798</v>
      </c>
      <c r="W2743" s="20" t="s">
        <v>798</v>
      </c>
      <c r="X2743" s="26" t="s">
        <v>798</v>
      </c>
      <c r="Y2743" s="20" t="s">
        <v>798</v>
      </c>
      <c r="Z2743" s="73" t="s">
        <v>9486</v>
      </c>
      <c r="AA2743" s="74" t="s">
        <v>9501</v>
      </c>
      <c r="AB2743" s="73" t="s">
        <v>9486</v>
      </c>
      <c r="AC2743" s="74" t="s">
        <v>9562</v>
      </c>
      <c r="AD2743" s="73" t="s">
        <v>9578</v>
      </c>
      <c r="AE2743" s="74" t="s">
        <v>9595</v>
      </c>
    </row>
    <row r="2744" spans="1:31" ht="8.65" customHeight="1" x14ac:dyDescent="0.2">
      <c r="A2744" s="76">
        <v>2744</v>
      </c>
      <c r="B2744" s="67" t="str">
        <f>MID(C2744, FIND("Ifc.", C2744) + 4, 4) &amp; "_" &amp; TEXT(COUNTIF($C$2:C2744, C2744),"0000")</f>
        <v>Enum_0144</v>
      </c>
      <c r="C2744" s="23" t="s">
        <v>873</v>
      </c>
      <c r="D2744" s="69" t="s">
        <v>9453</v>
      </c>
      <c r="E2744" s="70" t="s">
        <v>9455</v>
      </c>
      <c r="F2744" s="26" t="s">
        <v>798</v>
      </c>
      <c r="G2744" s="15" t="s">
        <v>798</v>
      </c>
      <c r="H2744" s="14" t="s">
        <v>798</v>
      </c>
      <c r="I2744" s="15" t="s">
        <v>798</v>
      </c>
      <c r="J2744" s="12" t="s">
        <v>9436</v>
      </c>
      <c r="K2744" s="16" t="s">
        <v>2816</v>
      </c>
      <c r="L2744" s="12" t="s">
        <v>800</v>
      </c>
      <c r="M2744" s="16" t="s">
        <v>5720</v>
      </c>
      <c r="N2744" s="19" t="s">
        <v>798</v>
      </c>
      <c r="O2744" s="20" t="s">
        <v>798</v>
      </c>
      <c r="P2744" s="17" t="s">
        <v>802</v>
      </c>
      <c r="Q2744" s="21" t="s">
        <v>8368</v>
      </c>
      <c r="R2744" s="19" t="s">
        <v>798</v>
      </c>
      <c r="S2744" s="20" t="s">
        <v>798</v>
      </c>
      <c r="T2744" s="17" t="s">
        <v>798</v>
      </c>
      <c r="U2744" s="20" t="s">
        <v>798</v>
      </c>
      <c r="V2744" s="26" t="s">
        <v>798</v>
      </c>
      <c r="W2744" s="20" t="s">
        <v>798</v>
      </c>
      <c r="X2744" s="26" t="s">
        <v>798</v>
      </c>
      <c r="Y2744" s="20" t="s">
        <v>798</v>
      </c>
      <c r="Z2744" s="73" t="s">
        <v>9486</v>
      </c>
      <c r="AA2744" s="74" t="s">
        <v>9501</v>
      </c>
      <c r="AB2744" s="73" t="s">
        <v>9486</v>
      </c>
      <c r="AC2744" s="74" t="s">
        <v>9562</v>
      </c>
      <c r="AD2744" s="73" t="s">
        <v>9578</v>
      </c>
      <c r="AE2744" s="74" t="s">
        <v>9595</v>
      </c>
    </row>
    <row r="2745" spans="1:31" ht="8.65" customHeight="1" x14ac:dyDescent="0.2">
      <c r="A2745" s="76">
        <v>2745</v>
      </c>
      <c r="B2745" s="67" t="str">
        <f>MID(C2745, FIND("Ifc.", C2745) + 4, 4) &amp; "_" &amp; TEXT(COUNTIF($C$2:C2745, C2745),"0000")</f>
        <v>Enum_0145</v>
      </c>
      <c r="C2745" s="23" t="s">
        <v>873</v>
      </c>
      <c r="D2745" s="69" t="s">
        <v>9453</v>
      </c>
      <c r="E2745" s="70" t="s">
        <v>9455</v>
      </c>
      <c r="F2745" s="26" t="s">
        <v>798</v>
      </c>
      <c r="G2745" s="15" t="s">
        <v>798</v>
      </c>
      <c r="H2745" s="14" t="s">
        <v>798</v>
      </c>
      <c r="I2745" s="15" t="s">
        <v>798</v>
      </c>
      <c r="J2745" s="12" t="s">
        <v>9436</v>
      </c>
      <c r="K2745" s="16" t="s">
        <v>2817</v>
      </c>
      <c r="L2745" s="12" t="s">
        <v>800</v>
      </c>
      <c r="M2745" s="16" t="s">
        <v>5721</v>
      </c>
      <c r="N2745" s="19" t="s">
        <v>798</v>
      </c>
      <c r="O2745" s="20" t="s">
        <v>798</v>
      </c>
      <c r="P2745" s="17" t="s">
        <v>802</v>
      </c>
      <c r="Q2745" s="21" t="s">
        <v>8369</v>
      </c>
      <c r="R2745" s="19" t="s">
        <v>798</v>
      </c>
      <c r="S2745" s="20" t="s">
        <v>798</v>
      </c>
      <c r="T2745" s="17" t="s">
        <v>798</v>
      </c>
      <c r="U2745" s="20" t="s">
        <v>798</v>
      </c>
      <c r="V2745" s="26" t="s">
        <v>798</v>
      </c>
      <c r="W2745" s="20" t="s">
        <v>798</v>
      </c>
      <c r="X2745" s="26" t="s">
        <v>798</v>
      </c>
      <c r="Y2745" s="20" t="s">
        <v>798</v>
      </c>
      <c r="Z2745" s="73" t="s">
        <v>9486</v>
      </c>
      <c r="AA2745" s="74" t="s">
        <v>9501</v>
      </c>
      <c r="AB2745" s="73" t="s">
        <v>9486</v>
      </c>
      <c r="AC2745" s="74" t="s">
        <v>9562</v>
      </c>
      <c r="AD2745" s="73" t="s">
        <v>9578</v>
      </c>
      <c r="AE2745" s="74" t="s">
        <v>9579</v>
      </c>
    </row>
    <row r="2746" spans="1:31" ht="8.65" customHeight="1" x14ac:dyDescent="0.2">
      <c r="A2746" s="76">
        <v>2746</v>
      </c>
      <c r="B2746" s="67" t="str">
        <f>MID(C2746, FIND("Ifc.", C2746) + 4, 4) &amp; "_" &amp; TEXT(COUNTIF($C$2:C2746, C2746),"0000")</f>
        <v>Enum_0146</v>
      </c>
      <c r="C2746" s="23" t="s">
        <v>873</v>
      </c>
      <c r="D2746" s="69" t="s">
        <v>9453</v>
      </c>
      <c r="E2746" s="70" t="s">
        <v>9455</v>
      </c>
      <c r="F2746" s="26" t="s">
        <v>798</v>
      </c>
      <c r="G2746" s="15" t="s">
        <v>798</v>
      </c>
      <c r="H2746" s="14" t="s">
        <v>798</v>
      </c>
      <c r="I2746" s="15" t="s">
        <v>798</v>
      </c>
      <c r="J2746" s="12" t="s">
        <v>9436</v>
      </c>
      <c r="K2746" s="16" t="s">
        <v>2818</v>
      </c>
      <c r="L2746" s="12" t="s">
        <v>800</v>
      </c>
      <c r="M2746" s="16" t="s">
        <v>5722</v>
      </c>
      <c r="N2746" s="19" t="s">
        <v>798</v>
      </c>
      <c r="O2746" s="20" t="s">
        <v>798</v>
      </c>
      <c r="P2746" s="17" t="s">
        <v>802</v>
      </c>
      <c r="Q2746" s="21" t="s">
        <v>8370</v>
      </c>
      <c r="R2746" s="19" t="s">
        <v>798</v>
      </c>
      <c r="S2746" s="20" t="s">
        <v>798</v>
      </c>
      <c r="T2746" s="17" t="s">
        <v>798</v>
      </c>
      <c r="U2746" s="20" t="s">
        <v>798</v>
      </c>
      <c r="V2746" s="26" t="s">
        <v>798</v>
      </c>
      <c r="W2746" s="20" t="s">
        <v>798</v>
      </c>
      <c r="X2746" s="26" t="s">
        <v>798</v>
      </c>
      <c r="Y2746" s="20" t="s">
        <v>798</v>
      </c>
      <c r="Z2746" s="73" t="s">
        <v>9486</v>
      </c>
      <c r="AA2746" s="74" t="s">
        <v>9501</v>
      </c>
      <c r="AB2746" s="73" t="s">
        <v>9486</v>
      </c>
      <c r="AC2746" s="74" t="s">
        <v>9562</v>
      </c>
      <c r="AD2746" s="73" t="s">
        <v>9578</v>
      </c>
      <c r="AE2746" s="74" t="s">
        <v>9579</v>
      </c>
    </row>
    <row r="2747" spans="1:31" ht="8.65" customHeight="1" x14ac:dyDescent="0.2">
      <c r="A2747" s="76">
        <v>2747</v>
      </c>
      <c r="B2747" s="67" t="str">
        <f>MID(C2747, FIND("Ifc.", C2747) + 4, 4) &amp; "_" &amp; TEXT(COUNTIF($C$2:C2747, C2747),"0000")</f>
        <v>Enum_0147</v>
      </c>
      <c r="C2747" s="23" t="s">
        <v>873</v>
      </c>
      <c r="D2747" s="69" t="s">
        <v>9453</v>
      </c>
      <c r="E2747" s="70" t="s">
        <v>9455</v>
      </c>
      <c r="F2747" s="26" t="s">
        <v>798</v>
      </c>
      <c r="G2747" s="15" t="s">
        <v>798</v>
      </c>
      <c r="H2747" s="14" t="s">
        <v>798</v>
      </c>
      <c r="I2747" s="15" t="s">
        <v>798</v>
      </c>
      <c r="J2747" s="12" t="s">
        <v>9436</v>
      </c>
      <c r="K2747" s="16" t="s">
        <v>2819</v>
      </c>
      <c r="L2747" s="12" t="s">
        <v>800</v>
      </c>
      <c r="M2747" s="16" t="s">
        <v>5723</v>
      </c>
      <c r="N2747" s="19" t="s">
        <v>798</v>
      </c>
      <c r="O2747" s="20" t="s">
        <v>798</v>
      </c>
      <c r="P2747" s="17" t="s">
        <v>802</v>
      </c>
      <c r="Q2747" s="21" t="s">
        <v>8371</v>
      </c>
      <c r="R2747" s="19" t="s">
        <v>798</v>
      </c>
      <c r="S2747" s="20" t="s">
        <v>798</v>
      </c>
      <c r="T2747" s="17" t="s">
        <v>798</v>
      </c>
      <c r="U2747" s="20" t="s">
        <v>798</v>
      </c>
      <c r="V2747" s="26" t="s">
        <v>798</v>
      </c>
      <c r="W2747" s="20" t="s">
        <v>798</v>
      </c>
      <c r="X2747" s="26" t="s">
        <v>798</v>
      </c>
      <c r="Y2747" s="20" t="s">
        <v>798</v>
      </c>
      <c r="Z2747" s="73" t="s">
        <v>9486</v>
      </c>
      <c r="AA2747" s="74" t="s">
        <v>9501</v>
      </c>
      <c r="AB2747" s="73" t="s">
        <v>9486</v>
      </c>
      <c r="AC2747" s="74" t="s">
        <v>9562</v>
      </c>
      <c r="AD2747" s="73" t="s">
        <v>9578</v>
      </c>
      <c r="AE2747" s="74" t="s">
        <v>9579</v>
      </c>
    </row>
    <row r="2748" spans="1:31" ht="8.65" customHeight="1" x14ac:dyDescent="0.2">
      <c r="A2748" s="76">
        <v>2748</v>
      </c>
      <c r="B2748" s="67" t="str">
        <f>MID(C2748, FIND("Ifc.", C2748) + 4, 4) &amp; "_" &amp; TEXT(COUNTIF($C$2:C2748, C2748),"0000")</f>
        <v>Enum_0148</v>
      </c>
      <c r="C2748" s="23" t="s">
        <v>873</v>
      </c>
      <c r="D2748" s="69" t="s">
        <v>9453</v>
      </c>
      <c r="E2748" s="70" t="s">
        <v>9455</v>
      </c>
      <c r="F2748" s="26" t="s">
        <v>798</v>
      </c>
      <c r="G2748" s="15" t="s">
        <v>798</v>
      </c>
      <c r="H2748" s="14" t="s">
        <v>798</v>
      </c>
      <c r="I2748" s="15" t="s">
        <v>798</v>
      </c>
      <c r="J2748" s="12" t="s">
        <v>9436</v>
      </c>
      <c r="K2748" s="16" t="s">
        <v>2820</v>
      </c>
      <c r="L2748" s="12" t="s">
        <v>800</v>
      </c>
      <c r="M2748" s="16" t="s">
        <v>5724</v>
      </c>
      <c r="N2748" s="19" t="s">
        <v>798</v>
      </c>
      <c r="O2748" s="20" t="s">
        <v>798</v>
      </c>
      <c r="P2748" s="17" t="s">
        <v>802</v>
      </c>
      <c r="Q2748" s="21" t="s">
        <v>8372</v>
      </c>
      <c r="R2748" s="19" t="s">
        <v>798</v>
      </c>
      <c r="S2748" s="20" t="s">
        <v>798</v>
      </c>
      <c r="T2748" s="17" t="s">
        <v>798</v>
      </c>
      <c r="U2748" s="20" t="s">
        <v>798</v>
      </c>
      <c r="V2748" s="26" t="s">
        <v>798</v>
      </c>
      <c r="W2748" s="20" t="s">
        <v>798</v>
      </c>
      <c r="X2748" s="26" t="s">
        <v>798</v>
      </c>
      <c r="Y2748" s="20" t="s">
        <v>798</v>
      </c>
      <c r="Z2748" s="73" t="s">
        <v>9486</v>
      </c>
      <c r="AA2748" s="74" t="s">
        <v>9501</v>
      </c>
      <c r="AB2748" s="73" t="s">
        <v>9486</v>
      </c>
      <c r="AC2748" s="74" t="s">
        <v>9562</v>
      </c>
      <c r="AD2748" s="73" t="s">
        <v>9578</v>
      </c>
      <c r="AE2748" s="74" t="s">
        <v>9579</v>
      </c>
    </row>
    <row r="2749" spans="1:31" ht="8.65" customHeight="1" x14ac:dyDescent="0.2">
      <c r="A2749" s="76">
        <v>2749</v>
      </c>
      <c r="B2749" s="67" t="str">
        <f>MID(C2749, FIND("Ifc.", C2749) + 4, 4) &amp; "_" &amp; TEXT(COUNTIF($C$2:C2749, C2749),"0000")</f>
        <v>Enum_0149</v>
      </c>
      <c r="C2749" s="23" t="s">
        <v>873</v>
      </c>
      <c r="D2749" s="69" t="s">
        <v>9453</v>
      </c>
      <c r="E2749" s="70" t="s">
        <v>9455</v>
      </c>
      <c r="F2749" s="26" t="s">
        <v>798</v>
      </c>
      <c r="G2749" s="15" t="s">
        <v>798</v>
      </c>
      <c r="H2749" s="14" t="s">
        <v>798</v>
      </c>
      <c r="I2749" s="15" t="s">
        <v>798</v>
      </c>
      <c r="J2749" s="12" t="s">
        <v>9436</v>
      </c>
      <c r="K2749" s="16" t="s">
        <v>2821</v>
      </c>
      <c r="L2749" s="12" t="s">
        <v>800</v>
      </c>
      <c r="M2749" s="16" t="s">
        <v>5725</v>
      </c>
      <c r="N2749" s="19" t="s">
        <v>798</v>
      </c>
      <c r="O2749" s="20" t="s">
        <v>798</v>
      </c>
      <c r="P2749" s="17" t="s">
        <v>802</v>
      </c>
      <c r="Q2749" s="21" t="s">
        <v>8373</v>
      </c>
      <c r="R2749" s="19" t="s">
        <v>798</v>
      </c>
      <c r="S2749" s="20" t="s">
        <v>798</v>
      </c>
      <c r="T2749" s="17" t="s">
        <v>798</v>
      </c>
      <c r="U2749" s="20" t="s">
        <v>798</v>
      </c>
      <c r="V2749" s="26" t="s">
        <v>798</v>
      </c>
      <c r="W2749" s="20" t="s">
        <v>798</v>
      </c>
      <c r="X2749" s="26" t="s">
        <v>798</v>
      </c>
      <c r="Y2749" s="20" t="s">
        <v>798</v>
      </c>
      <c r="Z2749" s="73" t="s">
        <v>9486</v>
      </c>
      <c r="AA2749" s="74" t="s">
        <v>9501</v>
      </c>
      <c r="AB2749" s="73" t="s">
        <v>9486</v>
      </c>
      <c r="AC2749" s="74" t="s">
        <v>9562</v>
      </c>
      <c r="AD2749" s="73" t="s">
        <v>9578</v>
      </c>
      <c r="AE2749" s="74" t="s">
        <v>9579</v>
      </c>
    </row>
    <row r="2750" spans="1:31" ht="8.65" customHeight="1" x14ac:dyDescent="0.2">
      <c r="A2750" s="76">
        <v>2750</v>
      </c>
      <c r="B2750" s="67" t="str">
        <f>MID(C2750, FIND("Ifc.", C2750) + 4, 4) &amp; "_" &amp; TEXT(COUNTIF($C$2:C2750, C2750),"0000")</f>
        <v>Enum_0150</v>
      </c>
      <c r="C2750" s="23" t="s">
        <v>873</v>
      </c>
      <c r="D2750" s="69" t="s">
        <v>9453</v>
      </c>
      <c r="E2750" s="70" t="s">
        <v>9455</v>
      </c>
      <c r="F2750" s="26" t="s">
        <v>798</v>
      </c>
      <c r="G2750" s="15" t="s">
        <v>798</v>
      </c>
      <c r="H2750" s="14" t="s">
        <v>798</v>
      </c>
      <c r="I2750" s="15" t="s">
        <v>798</v>
      </c>
      <c r="J2750" s="12" t="s">
        <v>9436</v>
      </c>
      <c r="K2750" s="16" t="s">
        <v>2822</v>
      </c>
      <c r="L2750" s="12" t="s">
        <v>800</v>
      </c>
      <c r="M2750" s="16" t="s">
        <v>5726</v>
      </c>
      <c r="N2750" s="19" t="s">
        <v>798</v>
      </c>
      <c r="O2750" s="20" t="s">
        <v>798</v>
      </c>
      <c r="P2750" s="17" t="s">
        <v>802</v>
      </c>
      <c r="Q2750" s="21" t="s">
        <v>8374</v>
      </c>
      <c r="R2750" s="19" t="s">
        <v>798</v>
      </c>
      <c r="S2750" s="20" t="s">
        <v>798</v>
      </c>
      <c r="T2750" s="17" t="s">
        <v>798</v>
      </c>
      <c r="U2750" s="20" t="s">
        <v>798</v>
      </c>
      <c r="V2750" s="26" t="s">
        <v>798</v>
      </c>
      <c r="W2750" s="20" t="s">
        <v>798</v>
      </c>
      <c r="X2750" s="26" t="s">
        <v>798</v>
      </c>
      <c r="Y2750" s="20" t="s">
        <v>798</v>
      </c>
      <c r="Z2750" s="73" t="s">
        <v>9486</v>
      </c>
      <c r="AA2750" s="74" t="s">
        <v>9501</v>
      </c>
      <c r="AB2750" s="73" t="s">
        <v>9486</v>
      </c>
      <c r="AC2750" s="74" t="s">
        <v>9562</v>
      </c>
      <c r="AD2750" s="73" t="s">
        <v>9578</v>
      </c>
      <c r="AE2750" s="74" t="s">
        <v>9579</v>
      </c>
    </row>
    <row r="2751" spans="1:31" ht="8.65" customHeight="1" x14ac:dyDescent="0.2">
      <c r="A2751" s="76">
        <v>2751</v>
      </c>
      <c r="B2751" s="67" t="str">
        <f>MID(C2751, FIND("Ifc.", C2751) + 4, 4) &amp; "_" &amp; TEXT(COUNTIF($C$2:C2751, C2751),"0000")</f>
        <v>Enum_0151</v>
      </c>
      <c r="C2751" s="23" t="s">
        <v>873</v>
      </c>
      <c r="D2751" s="69" t="s">
        <v>9453</v>
      </c>
      <c r="E2751" s="70" t="s">
        <v>9455</v>
      </c>
      <c r="F2751" s="26" t="s">
        <v>798</v>
      </c>
      <c r="G2751" s="15" t="s">
        <v>798</v>
      </c>
      <c r="H2751" s="14" t="s">
        <v>798</v>
      </c>
      <c r="I2751" s="15" t="s">
        <v>798</v>
      </c>
      <c r="J2751" s="12" t="s">
        <v>9436</v>
      </c>
      <c r="K2751" s="16" t="s">
        <v>2823</v>
      </c>
      <c r="L2751" s="12" t="s">
        <v>800</v>
      </c>
      <c r="M2751" s="16" t="s">
        <v>5727</v>
      </c>
      <c r="N2751" s="19" t="s">
        <v>798</v>
      </c>
      <c r="O2751" s="20" t="s">
        <v>798</v>
      </c>
      <c r="P2751" s="17" t="s">
        <v>802</v>
      </c>
      <c r="Q2751" s="21" t="s">
        <v>8375</v>
      </c>
      <c r="R2751" s="19" t="s">
        <v>798</v>
      </c>
      <c r="S2751" s="20" t="s">
        <v>798</v>
      </c>
      <c r="T2751" s="17" t="s">
        <v>798</v>
      </c>
      <c r="U2751" s="20" t="s">
        <v>798</v>
      </c>
      <c r="V2751" s="26" t="s">
        <v>798</v>
      </c>
      <c r="W2751" s="20" t="s">
        <v>798</v>
      </c>
      <c r="X2751" s="26" t="s">
        <v>798</v>
      </c>
      <c r="Y2751" s="20" t="s">
        <v>798</v>
      </c>
      <c r="Z2751" s="73" t="s">
        <v>9486</v>
      </c>
      <c r="AA2751" s="74" t="s">
        <v>9501</v>
      </c>
      <c r="AB2751" s="73" t="s">
        <v>9486</v>
      </c>
      <c r="AC2751" s="74" t="s">
        <v>9562</v>
      </c>
      <c r="AD2751" s="73" t="s">
        <v>9578</v>
      </c>
      <c r="AE2751" s="74" t="s">
        <v>9572</v>
      </c>
    </row>
    <row r="2752" spans="1:31" ht="8.65" customHeight="1" x14ac:dyDescent="0.2">
      <c r="A2752" s="76">
        <v>2752</v>
      </c>
      <c r="B2752" s="67" t="str">
        <f>MID(C2752, FIND("Ifc.", C2752) + 4, 4) &amp; "_" &amp; TEXT(COUNTIF($C$2:C2752, C2752),"0000")</f>
        <v>Enum_0152</v>
      </c>
      <c r="C2752" s="23" t="s">
        <v>873</v>
      </c>
      <c r="D2752" s="69" t="s">
        <v>9453</v>
      </c>
      <c r="E2752" s="70" t="s">
        <v>9455</v>
      </c>
      <c r="F2752" s="26" t="s">
        <v>798</v>
      </c>
      <c r="G2752" s="15" t="s">
        <v>798</v>
      </c>
      <c r="H2752" s="14" t="s">
        <v>798</v>
      </c>
      <c r="I2752" s="15" t="s">
        <v>798</v>
      </c>
      <c r="J2752" s="12" t="s">
        <v>9436</v>
      </c>
      <c r="K2752" s="16" t="s">
        <v>2824</v>
      </c>
      <c r="L2752" s="12" t="s">
        <v>800</v>
      </c>
      <c r="M2752" s="16" t="s">
        <v>5728</v>
      </c>
      <c r="N2752" s="19" t="s">
        <v>798</v>
      </c>
      <c r="O2752" s="20" t="s">
        <v>798</v>
      </c>
      <c r="P2752" s="17" t="s">
        <v>802</v>
      </c>
      <c r="Q2752" s="21" t="s">
        <v>8376</v>
      </c>
      <c r="R2752" s="19" t="s">
        <v>798</v>
      </c>
      <c r="S2752" s="20" t="s">
        <v>798</v>
      </c>
      <c r="T2752" s="17" t="s">
        <v>798</v>
      </c>
      <c r="U2752" s="20" t="s">
        <v>798</v>
      </c>
      <c r="V2752" s="26" t="s">
        <v>798</v>
      </c>
      <c r="W2752" s="20" t="s">
        <v>798</v>
      </c>
      <c r="X2752" s="26" t="s">
        <v>798</v>
      </c>
      <c r="Y2752" s="20" t="s">
        <v>798</v>
      </c>
      <c r="Z2752" s="73" t="s">
        <v>9486</v>
      </c>
      <c r="AA2752" s="74" t="s">
        <v>9501</v>
      </c>
      <c r="AB2752" s="73" t="s">
        <v>9486</v>
      </c>
      <c r="AC2752" s="74" t="s">
        <v>9562</v>
      </c>
      <c r="AD2752" s="73" t="s">
        <v>9578</v>
      </c>
      <c r="AE2752" s="74" t="s">
        <v>9572</v>
      </c>
    </row>
    <row r="2753" spans="1:31" ht="8.65" customHeight="1" x14ac:dyDescent="0.2">
      <c r="A2753" s="76">
        <v>2753</v>
      </c>
      <c r="B2753" s="67" t="str">
        <f>MID(C2753, FIND("Ifc.", C2753) + 4, 4) &amp; "_" &amp; TEXT(COUNTIF($C$2:C2753, C2753),"0000")</f>
        <v>Enum_0153</v>
      </c>
      <c r="C2753" s="23" t="s">
        <v>873</v>
      </c>
      <c r="D2753" s="69" t="s">
        <v>9453</v>
      </c>
      <c r="E2753" s="70" t="s">
        <v>9455</v>
      </c>
      <c r="F2753" s="26" t="s">
        <v>798</v>
      </c>
      <c r="G2753" s="15" t="s">
        <v>798</v>
      </c>
      <c r="H2753" s="14" t="s">
        <v>798</v>
      </c>
      <c r="I2753" s="15" t="s">
        <v>798</v>
      </c>
      <c r="J2753" s="12" t="s">
        <v>9436</v>
      </c>
      <c r="K2753" s="16" t="s">
        <v>2825</v>
      </c>
      <c r="L2753" s="12" t="s">
        <v>800</v>
      </c>
      <c r="M2753" s="16" t="s">
        <v>5729</v>
      </c>
      <c r="N2753" s="19" t="s">
        <v>798</v>
      </c>
      <c r="O2753" s="20" t="s">
        <v>798</v>
      </c>
      <c r="P2753" s="17" t="s">
        <v>802</v>
      </c>
      <c r="Q2753" s="21" t="s">
        <v>8377</v>
      </c>
      <c r="R2753" s="19" t="s">
        <v>798</v>
      </c>
      <c r="S2753" s="20" t="s">
        <v>798</v>
      </c>
      <c r="T2753" s="17" t="s">
        <v>798</v>
      </c>
      <c r="U2753" s="20" t="s">
        <v>798</v>
      </c>
      <c r="V2753" s="26" t="s">
        <v>798</v>
      </c>
      <c r="W2753" s="20" t="s">
        <v>798</v>
      </c>
      <c r="X2753" s="26" t="s">
        <v>798</v>
      </c>
      <c r="Y2753" s="20" t="s">
        <v>798</v>
      </c>
      <c r="Z2753" s="73" t="s">
        <v>9486</v>
      </c>
      <c r="AA2753" s="74" t="s">
        <v>9501</v>
      </c>
      <c r="AB2753" s="73" t="s">
        <v>9486</v>
      </c>
      <c r="AC2753" s="74" t="s">
        <v>9562</v>
      </c>
      <c r="AD2753" s="73" t="s">
        <v>9578</v>
      </c>
      <c r="AE2753" s="74" t="s">
        <v>9579</v>
      </c>
    </row>
    <row r="2754" spans="1:31" ht="8.65" customHeight="1" x14ac:dyDescent="0.2">
      <c r="A2754" s="76">
        <v>2754</v>
      </c>
      <c r="B2754" s="67" t="str">
        <f>MID(C2754, FIND("Ifc.", C2754) + 4, 4) &amp; "_" &amp; TEXT(COUNTIF($C$2:C2754, C2754),"0000")</f>
        <v>Enum_0154</v>
      </c>
      <c r="C2754" s="23" t="s">
        <v>873</v>
      </c>
      <c r="D2754" s="69" t="s">
        <v>9453</v>
      </c>
      <c r="E2754" s="70" t="s">
        <v>9455</v>
      </c>
      <c r="F2754" s="26" t="s">
        <v>798</v>
      </c>
      <c r="G2754" s="15" t="s">
        <v>798</v>
      </c>
      <c r="H2754" s="14" t="s">
        <v>798</v>
      </c>
      <c r="I2754" s="15" t="s">
        <v>798</v>
      </c>
      <c r="J2754" s="12" t="s">
        <v>9436</v>
      </c>
      <c r="K2754" s="16" t="s">
        <v>2826</v>
      </c>
      <c r="L2754" s="12" t="s">
        <v>800</v>
      </c>
      <c r="M2754" s="16" t="s">
        <v>5730</v>
      </c>
      <c r="N2754" s="19" t="s">
        <v>798</v>
      </c>
      <c r="O2754" s="20" t="s">
        <v>798</v>
      </c>
      <c r="P2754" s="17" t="s">
        <v>802</v>
      </c>
      <c r="Q2754" s="21" t="s">
        <v>8378</v>
      </c>
      <c r="R2754" s="19" t="s">
        <v>798</v>
      </c>
      <c r="S2754" s="20" t="s">
        <v>798</v>
      </c>
      <c r="T2754" s="17" t="s">
        <v>798</v>
      </c>
      <c r="U2754" s="20" t="s">
        <v>798</v>
      </c>
      <c r="V2754" s="26" t="s">
        <v>798</v>
      </c>
      <c r="W2754" s="20" t="s">
        <v>798</v>
      </c>
      <c r="X2754" s="26" t="s">
        <v>798</v>
      </c>
      <c r="Y2754" s="20" t="s">
        <v>798</v>
      </c>
      <c r="Z2754" s="73" t="s">
        <v>9486</v>
      </c>
      <c r="AA2754" s="74" t="s">
        <v>9501</v>
      </c>
      <c r="AB2754" s="73" t="s">
        <v>9486</v>
      </c>
      <c r="AC2754" s="74" t="s">
        <v>9562</v>
      </c>
      <c r="AD2754" s="73" t="s">
        <v>9578</v>
      </c>
      <c r="AE2754" s="74" t="s">
        <v>9579</v>
      </c>
    </row>
    <row r="2755" spans="1:31" ht="8.65" customHeight="1" x14ac:dyDescent="0.2">
      <c r="A2755" s="76">
        <v>2755</v>
      </c>
      <c r="B2755" s="67" t="str">
        <f>MID(C2755, FIND("Ifc.", C2755) + 4, 4) &amp; "_" &amp; TEXT(COUNTIF($C$2:C2755, C2755),"0000")</f>
        <v>Enum_0155</v>
      </c>
      <c r="C2755" s="23" t="s">
        <v>873</v>
      </c>
      <c r="D2755" s="69" t="s">
        <v>9453</v>
      </c>
      <c r="E2755" s="70" t="s">
        <v>9455</v>
      </c>
      <c r="F2755" s="26" t="s">
        <v>798</v>
      </c>
      <c r="G2755" s="15" t="s">
        <v>798</v>
      </c>
      <c r="H2755" s="14" t="s">
        <v>798</v>
      </c>
      <c r="I2755" s="15" t="s">
        <v>798</v>
      </c>
      <c r="J2755" s="12" t="s">
        <v>9436</v>
      </c>
      <c r="K2755" s="16" t="s">
        <v>2827</v>
      </c>
      <c r="L2755" s="12" t="s">
        <v>800</v>
      </c>
      <c r="M2755" s="16" t="s">
        <v>5731</v>
      </c>
      <c r="N2755" s="19" t="s">
        <v>798</v>
      </c>
      <c r="O2755" s="20" t="s">
        <v>798</v>
      </c>
      <c r="P2755" s="17" t="s">
        <v>802</v>
      </c>
      <c r="Q2755" s="21" t="s">
        <v>8379</v>
      </c>
      <c r="R2755" s="19" t="s">
        <v>798</v>
      </c>
      <c r="S2755" s="20" t="s">
        <v>798</v>
      </c>
      <c r="T2755" s="17" t="s">
        <v>798</v>
      </c>
      <c r="U2755" s="20" t="s">
        <v>798</v>
      </c>
      <c r="V2755" s="26" t="s">
        <v>798</v>
      </c>
      <c r="W2755" s="20" t="s">
        <v>798</v>
      </c>
      <c r="X2755" s="26" t="s">
        <v>798</v>
      </c>
      <c r="Y2755" s="20" t="s">
        <v>798</v>
      </c>
      <c r="Z2755" s="73" t="s">
        <v>9486</v>
      </c>
      <c r="AA2755" s="74" t="s">
        <v>9501</v>
      </c>
      <c r="AB2755" s="73" t="s">
        <v>9486</v>
      </c>
      <c r="AC2755" s="74" t="s">
        <v>9562</v>
      </c>
      <c r="AD2755" s="73" t="s">
        <v>9578</v>
      </c>
      <c r="AE2755" s="74" t="s">
        <v>9579</v>
      </c>
    </row>
    <row r="2756" spans="1:31" ht="8.65" customHeight="1" x14ac:dyDescent="0.2">
      <c r="A2756" s="76">
        <v>2756</v>
      </c>
      <c r="B2756" s="67" t="str">
        <f>MID(C2756, FIND("Ifc.", C2756) + 4, 4) &amp; "_" &amp; TEXT(COUNTIF($C$2:C2756, C2756),"0000")</f>
        <v>Enum_0156</v>
      </c>
      <c r="C2756" s="23" t="s">
        <v>873</v>
      </c>
      <c r="D2756" s="69" t="s">
        <v>9453</v>
      </c>
      <c r="E2756" s="70" t="s">
        <v>9455</v>
      </c>
      <c r="F2756" s="26" t="s">
        <v>798</v>
      </c>
      <c r="G2756" s="15" t="s">
        <v>798</v>
      </c>
      <c r="H2756" s="14" t="s">
        <v>798</v>
      </c>
      <c r="I2756" s="15" t="s">
        <v>798</v>
      </c>
      <c r="J2756" s="12" t="s">
        <v>9436</v>
      </c>
      <c r="K2756" s="16" t="s">
        <v>2828</v>
      </c>
      <c r="L2756" s="12" t="s">
        <v>800</v>
      </c>
      <c r="M2756" s="16" t="s">
        <v>5732</v>
      </c>
      <c r="N2756" s="19" t="s">
        <v>798</v>
      </c>
      <c r="O2756" s="20" t="s">
        <v>798</v>
      </c>
      <c r="P2756" s="17" t="s">
        <v>802</v>
      </c>
      <c r="Q2756" s="21" t="s">
        <v>8380</v>
      </c>
      <c r="R2756" s="19" t="s">
        <v>798</v>
      </c>
      <c r="S2756" s="20" t="s">
        <v>798</v>
      </c>
      <c r="T2756" s="17" t="s">
        <v>798</v>
      </c>
      <c r="U2756" s="20" t="s">
        <v>798</v>
      </c>
      <c r="V2756" s="26" t="s">
        <v>798</v>
      </c>
      <c r="W2756" s="20" t="s">
        <v>798</v>
      </c>
      <c r="X2756" s="26" t="s">
        <v>798</v>
      </c>
      <c r="Y2756" s="20" t="s">
        <v>798</v>
      </c>
      <c r="Z2756" s="73" t="s">
        <v>9486</v>
      </c>
      <c r="AA2756" s="74" t="s">
        <v>9501</v>
      </c>
      <c r="AB2756" s="73" t="s">
        <v>9486</v>
      </c>
      <c r="AC2756" s="74" t="s">
        <v>9562</v>
      </c>
      <c r="AD2756" s="73" t="s">
        <v>9578</v>
      </c>
      <c r="AE2756" s="74" t="s">
        <v>9579</v>
      </c>
    </row>
    <row r="2757" spans="1:31" ht="8.65" customHeight="1" x14ac:dyDescent="0.2">
      <c r="A2757" s="76">
        <v>2757</v>
      </c>
      <c r="B2757" s="67" t="str">
        <f>MID(C2757, FIND("Ifc.", C2757) + 4, 4) &amp; "_" &amp; TEXT(COUNTIF($C$2:C2757, C2757),"0000")</f>
        <v>Enum_0157</v>
      </c>
      <c r="C2757" s="23" t="s">
        <v>873</v>
      </c>
      <c r="D2757" s="69" t="s">
        <v>9453</v>
      </c>
      <c r="E2757" s="70" t="s">
        <v>9455</v>
      </c>
      <c r="F2757" s="26" t="s">
        <v>798</v>
      </c>
      <c r="G2757" s="15" t="s">
        <v>798</v>
      </c>
      <c r="H2757" s="14" t="s">
        <v>798</v>
      </c>
      <c r="I2757" s="15" t="s">
        <v>798</v>
      </c>
      <c r="J2757" s="12" t="s">
        <v>9436</v>
      </c>
      <c r="K2757" s="16" t="s">
        <v>2829</v>
      </c>
      <c r="L2757" s="12" t="s">
        <v>800</v>
      </c>
      <c r="M2757" s="16" t="s">
        <v>5733</v>
      </c>
      <c r="N2757" s="19" t="s">
        <v>798</v>
      </c>
      <c r="O2757" s="20" t="s">
        <v>798</v>
      </c>
      <c r="P2757" s="17" t="s">
        <v>802</v>
      </c>
      <c r="Q2757" s="21" t="s">
        <v>8381</v>
      </c>
      <c r="R2757" s="19" t="s">
        <v>798</v>
      </c>
      <c r="S2757" s="20" t="s">
        <v>798</v>
      </c>
      <c r="T2757" s="17" t="s">
        <v>798</v>
      </c>
      <c r="U2757" s="20" t="s">
        <v>798</v>
      </c>
      <c r="V2757" s="26" t="s">
        <v>798</v>
      </c>
      <c r="W2757" s="20" t="s">
        <v>798</v>
      </c>
      <c r="X2757" s="26" t="s">
        <v>798</v>
      </c>
      <c r="Y2757" s="20" t="s">
        <v>798</v>
      </c>
      <c r="Z2757" s="73" t="s">
        <v>9486</v>
      </c>
      <c r="AA2757" s="74" t="s">
        <v>9501</v>
      </c>
      <c r="AB2757" s="73" t="s">
        <v>9486</v>
      </c>
      <c r="AC2757" s="74" t="s">
        <v>9562</v>
      </c>
      <c r="AD2757" s="73" t="s">
        <v>9578</v>
      </c>
      <c r="AE2757" s="74" t="s">
        <v>9579</v>
      </c>
    </row>
    <row r="2758" spans="1:31" ht="8.65" customHeight="1" x14ac:dyDescent="0.2">
      <c r="A2758" s="76">
        <v>2758</v>
      </c>
      <c r="B2758" s="67" t="str">
        <f>MID(C2758, FIND("Ifc.", C2758) + 4, 4) &amp; "_" &amp; TEXT(COUNTIF($C$2:C2758, C2758),"0000")</f>
        <v>Enum_0158</v>
      </c>
      <c r="C2758" s="23" t="s">
        <v>873</v>
      </c>
      <c r="D2758" s="69" t="s">
        <v>9453</v>
      </c>
      <c r="E2758" s="70" t="s">
        <v>9455</v>
      </c>
      <c r="F2758" s="26" t="s">
        <v>798</v>
      </c>
      <c r="G2758" s="15" t="s">
        <v>798</v>
      </c>
      <c r="H2758" s="14" t="s">
        <v>798</v>
      </c>
      <c r="I2758" s="15" t="s">
        <v>798</v>
      </c>
      <c r="J2758" s="12" t="s">
        <v>9436</v>
      </c>
      <c r="K2758" s="16" t="s">
        <v>2830</v>
      </c>
      <c r="L2758" s="12" t="s">
        <v>800</v>
      </c>
      <c r="M2758" s="16" t="s">
        <v>5734</v>
      </c>
      <c r="N2758" s="19" t="s">
        <v>798</v>
      </c>
      <c r="O2758" s="20" t="s">
        <v>798</v>
      </c>
      <c r="P2758" s="17" t="s">
        <v>802</v>
      </c>
      <c r="Q2758" s="21" t="s">
        <v>8382</v>
      </c>
      <c r="R2758" s="19" t="s">
        <v>798</v>
      </c>
      <c r="S2758" s="20" t="s">
        <v>798</v>
      </c>
      <c r="T2758" s="17" t="s">
        <v>798</v>
      </c>
      <c r="U2758" s="20" t="s">
        <v>798</v>
      </c>
      <c r="V2758" s="26" t="s">
        <v>798</v>
      </c>
      <c r="W2758" s="20" t="s">
        <v>798</v>
      </c>
      <c r="X2758" s="26" t="s">
        <v>798</v>
      </c>
      <c r="Y2758" s="20" t="s">
        <v>798</v>
      </c>
      <c r="Z2758" s="73" t="s">
        <v>9486</v>
      </c>
      <c r="AA2758" s="74" t="s">
        <v>9501</v>
      </c>
      <c r="AB2758" s="73" t="s">
        <v>9486</v>
      </c>
      <c r="AC2758" s="74" t="s">
        <v>9562</v>
      </c>
      <c r="AD2758" s="73" t="s">
        <v>9578</v>
      </c>
      <c r="AE2758" s="74" t="s">
        <v>9579</v>
      </c>
    </row>
    <row r="2759" spans="1:31" ht="8.65" customHeight="1" x14ac:dyDescent="0.2">
      <c r="A2759" s="76">
        <v>2759</v>
      </c>
      <c r="B2759" s="67" t="str">
        <f>MID(C2759, FIND("Ifc.", C2759) + 4, 4) &amp; "_" &amp; TEXT(COUNTIF($C$2:C2759, C2759),"0000")</f>
        <v>Enum_0159</v>
      </c>
      <c r="C2759" s="23" t="s">
        <v>873</v>
      </c>
      <c r="D2759" s="69" t="s">
        <v>9453</v>
      </c>
      <c r="E2759" s="70" t="s">
        <v>9455</v>
      </c>
      <c r="F2759" s="26" t="s">
        <v>798</v>
      </c>
      <c r="G2759" s="15" t="s">
        <v>798</v>
      </c>
      <c r="H2759" s="14" t="s">
        <v>798</v>
      </c>
      <c r="I2759" s="15" t="s">
        <v>798</v>
      </c>
      <c r="J2759" s="12" t="s">
        <v>9436</v>
      </c>
      <c r="K2759" s="16" t="s">
        <v>2831</v>
      </c>
      <c r="L2759" s="12" t="s">
        <v>800</v>
      </c>
      <c r="M2759" s="16" t="s">
        <v>5735</v>
      </c>
      <c r="N2759" s="19" t="s">
        <v>798</v>
      </c>
      <c r="O2759" s="20" t="s">
        <v>798</v>
      </c>
      <c r="P2759" s="17" t="s">
        <v>802</v>
      </c>
      <c r="Q2759" s="21" t="s">
        <v>8383</v>
      </c>
      <c r="R2759" s="19" t="s">
        <v>798</v>
      </c>
      <c r="S2759" s="20" t="s">
        <v>798</v>
      </c>
      <c r="T2759" s="17" t="s">
        <v>798</v>
      </c>
      <c r="U2759" s="20" t="s">
        <v>798</v>
      </c>
      <c r="V2759" s="26" t="s">
        <v>798</v>
      </c>
      <c r="W2759" s="20" t="s">
        <v>798</v>
      </c>
      <c r="X2759" s="26" t="s">
        <v>798</v>
      </c>
      <c r="Y2759" s="20" t="s">
        <v>798</v>
      </c>
      <c r="Z2759" s="73" t="s">
        <v>9486</v>
      </c>
      <c r="AA2759" s="74" t="s">
        <v>9501</v>
      </c>
      <c r="AB2759" s="73" t="s">
        <v>9486</v>
      </c>
      <c r="AC2759" s="74" t="s">
        <v>9562</v>
      </c>
      <c r="AD2759" s="73" t="s">
        <v>9578</v>
      </c>
      <c r="AE2759" s="74" t="s">
        <v>9579</v>
      </c>
    </row>
    <row r="2760" spans="1:31" ht="8.65" customHeight="1" x14ac:dyDescent="0.2">
      <c r="A2760" s="76">
        <v>2760</v>
      </c>
      <c r="B2760" s="67" t="str">
        <f>MID(C2760, FIND("Ifc.", C2760) + 4, 4) &amp; "_" &amp; TEXT(COUNTIF($C$2:C2760, C2760),"0000")</f>
        <v>Enum_0160</v>
      </c>
      <c r="C2760" s="23" t="s">
        <v>873</v>
      </c>
      <c r="D2760" s="69" t="s">
        <v>9453</v>
      </c>
      <c r="E2760" s="70" t="s">
        <v>9455</v>
      </c>
      <c r="F2760" s="26" t="s">
        <v>798</v>
      </c>
      <c r="G2760" s="15" t="s">
        <v>798</v>
      </c>
      <c r="H2760" s="14" t="s">
        <v>798</v>
      </c>
      <c r="I2760" s="15" t="s">
        <v>798</v>
      </c>
      <c r="J2760" s="12" t="s">
        <v>9436</v>
      </c>
      <c r="K2760" s="16" t="s">
        <v>2832</v>
      </c>
      <c r="L2760" s="12" t="s">
        <v>800</v>
      </c>
      <c r="M2760" s="16" t="s">
        <v>5736</v>
      </c>
      <c r="N2760" s="19" t="s">
        <v>798</v>
      </c>
      <c r="O2760" s="20" t="s">
        <v>798</v>
      </c>
      <c r="P2760" s="17" t="s">
        <v>802</v>
      </c>
      <c r="Q2760" s="21" t="s">
        <v>8384</v>
      </c>
      <c r="R2760" s="19" t="s">
        <v>798</v>
      </c>
      <c r="S2760" s="20" t="s">
        <v>798</v>
      </c>
      <c r="T2760" s="17" t="s">
        <v>798</v>
      </c>
      <c r="U2760" s="20" t="s">
        <v>798</v>
      </c>
      <c r="V2760" s="26" t="s">
        <v>798</v>
      </c>
      <c r="W2760" s="20" t="s">
        <v>798</v>
      </c>
      <c r="X2760" s="26" t="s">
        <v>798</v>
      </c>
      <c r="Y2760" s="20" t="s">
        <v>798</v>
      </c>
      <c r="Z2760" s="73" t="s">
        <v>9486</v>
      </c>
      <c r="AA2760" s="74" t="s">
        <v>9501</v>
      </c>
      <c r="AB2760" s="73" t="s">
        <v>9486</v>
      </c>
      <c r="AC2760" s="74" t="s">
        <v>9562</v>
      </c>
      <c r="AD2760" s="73" t="s">
        <v>9578</v>
      </c>
      <c r="AE2760" s="74" t="s">
        <v>9579</v>
      </c>
    </row>
    <row r="2761" spans="1:31" ht="8.65" customHeight="1" x14ac:dyDescent="0.2">
      <c r="A2761" s="76">
        <v>2761</v>
      </c>
      <c r="B2761" s="67" t="str">
        <f>MID(C2761, FIND("Ifc.", C2761) + 4, 4) &amp; "_" &amp; TEXT(COUNTIF($C$2:C2761, C2761),"0000")</f>
        <v>Enum_0161</v>
      </c>
      <c r="C2761" s="23" t="s">
        <v>873</v>
      </c>
      <c r="D2761" s="69" t="s">
        <v>9453</v>
      </c>
      <c r="E2761" s="70" t="s">
        <v>9455</v>
      </c>
      <c r="F2761" s="26" t="s">
        <v>798</v>
      </c>
      <c r="G2761" s="15" t="s">
        <v>798</v>
      </c>
      <c r="H2761" s="14" t="s">
        <v>798</v>
      </c>
      <c r="I2761" s="15" t="s">
        <v>798</v>
      </c>
      <c r="J2761" s="12" t="s">
        <v>9436</v>
      </c>
      <c r="K2761" s="16" t="s">
        <v>2833</v>
      </c>
      <c r="L2761" s="12" t="s">
        <v>800</v>
      </c>
      <c r="M2761" s="16" t="s">
        <v>5737</v>
      </c>
      <c r="N2761" s="19" t="s">
        <v>798</v>
      </c>
      <c r="O2761" s="20" t="s">
        <v>798</v>
      </c>
      <c r="P2761" s="17" t="s">
        <v>802</v>
      </c>
      <c r="Q2761" s="21" t="s">
        <v>8385</v>
      </c>
      <c r="R2761" s="19" t="s">
        <v>798</v>
      </c>
      <c r="S2761" s="20" t="s">
        <v>798</v>
      </c>
      <c r="T2761" s="17" t="s">
        <v>798</v>
      </c>
      <c r="U2761" s="20" t="s">
        <v>798</v>
      </c>
      <c r="V2761" s="26" t="s">
        <v>798</v>
      </c>
      <c r="W2761" s="20" t="s">
        <v>798</v>
      </c>
      <c r="X2761" s="26" t="s">
        <v>798</v>
      </c>
      <c r="Y2761" s="20" t="s">
        <v>798</v>
      </c>
      <c r="Z2761" s="73" t="s">
        <v>9486</v>
      </c>
      <c r="AA2761" s="74" t="s">
        <v>9501</v>
      </c>
      <c r="AB2761" s="73" t="s">
        <v>9486</v>
      </c>
      <c r="AC2761" s="74" t="s">
        <v>9562</v>
      </c>
      <c r="AD2761" s="73" t="s">
        <v>9578</v>
      </c>
      <c r="AE2761" s="74" t="s">
        <v>9579</v>
      </c>
    </row>
    <row r="2762" spans="1:31" ht="8.65" customHeight="1" x14ac:dyDescent="0.2">
      <c r="A2762" s="76">
        <v>2762</v>
      </c>
      <c r="B2762" s="67" t="str">
        <f>MID(C2762, FIND("Ifc.", C2762) + 4, 4) &amp; "_" &amp; TEXT(COUNTIF($C$2:C2762, C2762),"0000")</f>
        <v>Enum_0162</v>
      </c>
      <c r="C2762" s="23" t="s">
        <v>873</v>
      </c>
      <c r="D2762" s="69" t="s">
        <v>9453</v>
      </c>
      <c r="E2762" s="70" t="s">
        <v>9455</v>
      </c>
      <c r="F2762" s="26" t="s">
        <v>798</v>
      </c>
      <c r="G2762" s="15" t="s">
        <v>798</v>
      </c>
      <c r="H2762" s="14" t="s">
        <v>798</v>
      </c>
      <c r="I2762" s="15" t="s">
        <v>798</v>
      </c>
      <c r="J2762" s="12" t="s">
        <v>9436</v>
      </c>
      <c r="K2762" s="16" t="s">
        <v>2834</v>
      </c>
      <c r="L2762" s="12" t="s">
        <v>800</v>
      </c>
      <c r="M2762" s="16" t="s">
        <v>5738</v>
      </c>
      <c r="N2762" s="19" t="s">
        <v>798</v>
      </c>
      <c r="O2762" s="20" t="s">
        <v>798</v>
      </c>
      <c r="P2762" s="17" t="s">
        <v>802</v>
      </c>
      <c r="Q2762" s="21" t="s">
        <v>8386</v>
      </c>
      <c r="R2762" s="19" t="s">
        <v>798</v>
      </c>
      <c r="S2762" s="20" t="s">
        <v>798</v>
      </c>
      <c r="T2762" s="17" t="s">
        <v>798</v>
      </c>
      <c r="U2762" s="20" t="s">
        <v>798</v>
      </c>
      <c r="V2762" s="26" t="s">
        <v>798</v>
      </c>
      <c r="W2762" s="20" t="s">
        <v>798</v>
      </c>
      <c r="X2762" s="26" t="s">
        <v>798</v>
      </c>
      <c r="Y2762" s="20" t="s">
        <v>798</v>
      </c>
      <c r="Z2762" s="73" t="s">
        <v>9486</v>
      </c>
      <c r="AA2762" s="74" t="s">
        <v>9501</v>
      </c>
      <c r="AB2762" s="73" t="s">
        <v>9486</v>
      </c>
      <c r="AC2762" s="74" t="s">
        <v>9562</v>
      </c>
      <c r="AD2762" s="73" t="s">
        <v>9578</v>
      </c>
      <c r="AE2762" s="74" t="s">
        <v>9579</v>
      </c>
    </row>
    <row r="2763" spans="1:31" ht="8.65" customHeight="1" x14ac:dyDescent="0.2">
      <c r="A2763" s="76">
        <v>2763</v>
      </c>
      <c r="B2763" s="67" t="str">
        <f>MID(C2763, FIND("Ifc.", C2763) + 4, 4) &amp; "_" &amp; TEXT(COUNTIF($C$2:C2763, C2763),"0000")</f>
        <v>Enum_0163</v>
      </c>
      <c r="C2763" s="23" t="s">
        <v>873</v>
      </c>
      <c r="D2763" s="69" t="s">
        <v>9453</v>
      </c>
      <c r="E2763" s="70" t="s">
        <v>9455</v>
      </c>
      <c r="F2763" s="26" t="s">
        <v>798</v>
      </c>
      <c r="G2763" s="15" t="s">
        <v>798</v>
      </c>
      <c r="H2763" s="14" t="s">
        <v>798</v>
      </c>
      <c r="I2763" s="15" t="s">
        <v>798</v>
      </c>
      <c r="J2763" s="12" t="s">
        <v>9436</v>
      </c>
      <c r="K2763" s="16" t="s">
        <v>2835</v>
      </c>
      <c r="L2763" s="12" t="s">
        <v>800</v>
      </c>
      <c r="M2763" s="16" t="s">
        <v>5918</v>
      </c>
      <c r="N2763" s="19" t="s">
        <v>798</v>
      </c>
      <c r="O2763" s="20" t="s">
        <v>798</v>
      </c>
      <c r="P2763" s="17" t="s">
        <v>802</v>
      </c>
      <c r="Q2763" s="21" t="s">
        <v>8387</v>
      </c>
      <c r="R2763" s="19" t="s">
        <v>798</v>
      </c>
      <c r="S2763" s="20" t="s">
        <v>798</v>
      </c>
      <c r="T2763" s="17" t="s">
        <v>798</v>
      </c>
      <c r="U2763" s="20" t="s">
        <v>798</v>
      </c>
      <c r="V2763" s="26" t="s">
        <v>798</v>
      </c>
      <c r="W2763" s="20" t="s">
        <v>798</v>
      </c>
      <c r="X2763" s="26" t="s">
        <v>798</v>
      </c>
      <c r="Y2763" s="20" t="s">
        <v>798</v>
      </c>
      <c r="Z2763" s="73" t="s">
        <v>9486</v>
      </c>
      <c r="AA2763" s="74" t="s">
        <v>9501</v>
      </c>
      <c r="AB2763" s="73" t="s">
        <v>9486</v>
      </c>
      <c r="AC2763" s="74" t="s">
        <v>9562</v>
      </c>
      <c r="AD2763" s="73" t="s">
        <v>9578</v>
      </c>
      <c r="AE2763" s="74" t="s">
        <v>9579</v>
      </c>
    </row>
    <row r="2764" spans="1:31" ht="8.65" customHeight="1" x14ac:dyDescent="0.2">
      <c r="A2764" s="76">
        <v>2764</v>
      </c>
      <c r="B2764" s="67" t="str">
        <f>MID(C2764, FIND("Ifc.", C2764) + 4, 4) &amp; "_" &amp; TEXT(COUNTIF($C$2:C2764, C2764),"0000")</f>
        <v>Enum_0164</v>
      </c>
      <c r="C2764" s="23" t="s">
        <v>873</v>
      </c>
      <c r="D2764" s="69" t="s">
        <v>9453</v>
      </c>
      <c r="E2764" s="70" t="s">
        <v>9455</v>
      </c>
      <c r="F2764" s="26" t="s">
        <v>798</v>
      </c>
      <c r="G2764" s="15" t="s">
        <v>798</v>
      </c>
      <c r="H2764" s="14" t="s">
        <v>798</v>
      </c>
      <c r="I2764" s="15" t="s">
        <v>798</v>
      </c>
      <c r="J2764" s="12" t="s">
        <v>9436</v>
      </c>
      <c r="K2764" s="16" t="s">
        <v>2836</v>
      </c>
      <c r="L2764" s="12" t="s">
        <v>800</v>
      </c>
      <c r="M2764" s="16" t="s">
        <v>5739</v>
      </c>
      <c r="N2764" s="19" t="s">
        <v>798</v>
      </c>
      <c r="O2764" s="20" t="s">
        <v>798</v>
      </c>
      <c r="P2764" s="17" t="s">
        <v>802</v>
      </c>
      <c r="Q2764" s="21" t="s">
        <v>8388</v>
      </c>
      <c r="R2764" s="19" t="s">
        <v>798</v>
      </c>
      <c r="S2764" s="20" t="s">
        <v>798</v>
      </c>
      <c r="T2764" s="17" t="s">
        <v>798</v>
      </c>
      <c r="U2764" s="20" t="s">
        <v>798</v>
      </c>
      <c r="V2764" s="26" t="s">
        <v>798</v>
      </c>
      <c r="W2764" s="20" t="s">
        <v>798</v>
      </c>
      <c r="X2764" s="26" t="s">
        <v>798</v>
      </c>
      <c r="Y2764" s="20" t="s">
        <v>798</v>
      </c>
      <c r="Z2764" s="73" t="s">
        <v>9486</v>
      </c>
      <c r="AA2764" s="74" t="s">
        <v>9501</v>
      </c>
      <c r="AB2764" s="73" t="s">
        <v>9486</v>
      </c>
      <c r="AC2764" s="74" t="s">
        <v>9562</v>
      </c>
      <c r="AD2764" s="73" t="s">
        <v>9578</v>
      </c>
      <c r="AE2764" s="74" t="s">
        <v>9579</v>
      </c>
    </row>
    <row r="2765" spans="1:31" ht="8.65" customHeight="1" x14ac:dyDescent="0.2">
      <c r="A2765" s="76">
        <v>2765</v>
      </c>
      <c r="B2765" s="67" t="str">
        <f>MID(C2765, FIND("Ifc.", C2765) + 4, 4) &amp; "_" &amp; TEXT(COUNTIF($C$2:C2765, C2765),"0000")</f>
        <v>Enum_0165</v>
      </c>
      <c r="C2765" s="23" t="s">
        <v>873</v>
      </c>
      <c r="D2765" s="69" t="s">
        <v>9453</v>
      </c>
      <c r="E2765" s="70" t="s">
        <v>9455</v>
      </c>
      <c r="F2765" s="26" t="s">
        <v>798</v>
      </c>
      <c r="G2765" s="15" t="s">
        <v>798</v>
      </c>
      <c r="H2765" s="14" t="s">
        <v>798</v>
      </c>
      <c r="I2765" s="15" t="s">
        <v>798</v>
      </c>
      <c r="J2765" s="12" t="s">
        <v>9436</v>
      </c>
      <c r="K2765" s="16" t="s">
        <v>2837</v>
      </c>
      <c r="L2765" s="12" t="s">
        <v>800</v>
      </c>
      <c r="M2765" s="16" t="s">
        <v>5740</v>
      </c>
      <c r="N2765" s="19" t="s">
        <v>798</v>
      </c>
      <c r="O2765" s="20" t="s">
        <v>798</v>
      </c>
      <c r="P2765" s="17" t="s">
        <v>802</v>
      </c>
      <c r="Q2765" s="21" t="s">
        <v>8389</v>
      </c>
      <c r="R2765" s="19" t="s">
        <v>798</v>
      </c>
      <c r="S2765" s="20" t="s">
        <v>798</v>
      </c>
      <c r="T2765" s="17" t="s">
        <v>798</v>
      </c>
      <c r="U2765" s="20" t="s">
        <v>798</v>
      </c>
      <c r="V2765" s="26" t="s">
        <v>798</v>
      </c>
      <c r="W2765" s="20" t="s">
        <v>798</v>
      </c>
      <c r="X2765" s="26" t="s">
        <v>798</v>
      </c>
      <c r="Y2765" s="20" t="s">
        <v>798</v>
      </c>
      <c r="Z2765" s="73" t="s">
        <v>9486</v>
      </c>
      <c r="AA2765" s="74" t="s">
        <v>9501</v>
      </c>
      <c r="AB2765" s="73" t="s">
        <v>9486</v>
      </c>
      <c r="AC2765" s="74" t="s">
        <v>9562</v>
      </c>
      <c r="AD2765" s="73" t="s">
        <v>9578</v>
      </c>
      <c r="AE2765" s="74" t="s">
        <v>9579</v>
      </c>
    </row>
    <row r="2766" spans="1:31" ht="8.65" customHeight="1" x14ac:dyDescent="0.2">
      <c r="A2766" s="76">
        <v>2766</v>
      </c>
      <c r="B2766" s="67" t="str">
        <f>MID(C2766, FIND("Ifc.", C2766) + 4, 4) &amp; "_" &amp; TEXT(COUNTIF($C$2:C2766, C2766),"0000")</f>
        <v>Enum_0166</v>
      </c>
      <c r="C2766" s="23" t="s">
        <v>873</v>
      </c>
      <c r="D2766" s="69" t="s">
        <v>9453</v>
      </c>
      <c r="E2766" s="70" t="s">
        <v>9455</v>
      </c>
      <c r="F2766" s="26" t="s">
        <v>798</v>
      </c>
      <c r="G2766" s="15" t="s">
        <v>798</v>
      </c>
      <c r="H2766" s="14" t="s">
        <v>798</v>
      </c>
      <c r="I2766" s="15" t="s">
        <v>798</v>
      </c>
      <c r="J2766" s="12" t="s">
        <v>9436</v>
      </c>
      <c r="K2766" s="16" t="s">
        <v>2838</v>
      </c>
      <c r="L2766" s="12" t="s">
        <v>800</v>
      </c>
      <c r="M2766" s="16" t="s">
        <v>5741</v>
      </c>
      <c r="N2766" s="19" t="s">
        <v>798</v>
      </c>
      <c r="O2766" s="20" t="s">
        <v>798</v>
      </c>
      <c r="P2766" s="17" t="s">
        <v>802</v>
      </c>
      <c r="Q2766" s="21" t="s">
        <v>8390</v>
      </c>
      <c r="R2766" s="19" t="s">
        <v>798</v>
      </c>
      <c r="S2766" s="20" t="s">
        <v>798</v>
      </c>
      <c r="T2766" s="17" t="s">
        <v>798</v>
      </c>
      <c r="U2766" s="20" t="s">
        <v>798</v>
      </c>
      <c r="V2766" s="26" t="s">
        <v>798</v>
      </c>
      <c r="W2766" s="20" t="s">
        <v>798</v>
      </c>
      <c r="X2766" s="26" t="s">
        <v>798</v>
      </c>
      <c r="Y2766" s="20" t="s">
        <v>798</v>
      </c>
      <c r="Z2766" s="73" t="s">
        <v>9486</v>
      </c>
      <c r="AA2766" s="74" t="s">
        <v>9501</v>
      </c>
      <c r="AB2766" s="73" t="s">
        <v>9486</v>
      </c>
      <c r="AC2766" s="74" t="s">
        <v>9562</v>
      </c>
      <c r="AD2766" s="73" t="s">
        <v>9578</v>
      </c>
      <c r="AE2766" s="74" t="s">
        <v>9579</v>
      </c>
    </row>
    <row r="2767" spans="1:31" ht="8.65" customHeight="1" x14ac:dyDescent="0.2">
      <c r="A2767" s="76">
        <v>2767</v>
      </c>
      <c r="B2767" s="67" t="str">
        <f>MID(C2767, FIND("Ifc.", C2767) + 4, 4) &amp; "_" &amp; TEXT(COUNTIF($C$2:C2767, C2767),"0000")</f>
        <v>Enum_0167</v>
      </c>
      <c r="C2767" s="23" t="s">
        <v>873</v>
      </c>
      <c r="D2767" s="69" t="s">
        <v>9453</v>
      </c>
      <c r="E2767" s="70" t="s">
        <v>9455</v>
      </c>
      <c r="F2767" s="26" t="s">
        <v>798</v>
      </c>
      <c r="G2767" s="15" t="s">
        <v>798</v>
      </c>
      <c r="H2767" s="14" t="s">
        <v>798</v>
      </c>
      <c r="I2767" s="15" t="s">
        <v>798</v>
      </c>
      <c r="J2767" s="12" t="s">
        <v>9436</v>
      </c>
      <c r="K2767" s="16" t="s">
        <v>2839</v>
      </c>
      <c r="L2767" s="12" t="s">
        <v>800</v>
      </c>
      <c r="M2767" s="16" t="s">
        <v>5742</v>
      </c>
      <c r="N2767" s="19" t="s">
        <v>798</v>
      </c>
      <c r="O2767" s="20" t="s">
        <v>798</v>
      </c>
      <c r="P2767" s="17" t="s">
        <v>802</v>
      </c>
      <c r="Q2767" s="21" t="s">
        <v>8391</v>
      </c>
      <c r="R2767" s="19" t="s">
        <v>798</v>
      </c>
      <c r="S2767" s="20" t="s">
        <v>798</v>
      </c>
      <c r="T2767" s="17" t="s">
        <v>798</v>
      </c>
      <c r="U2767" s="20" t="s">
        <v>798</v>
      </c>
      <c r="V2767" s="26" t="s">
        <v>798</v>
      </c>
      <c r="W2767" s="20" t="s">
        <v>798</v>
      </c>
      <c r="X2767" s="26" t="s">
        <v>798</v>
      </c>
      <c r="Y2767" s="20" t="s">
        <v>798</v>
      </c>
      <c r="Z2767" s="73" t="s">
        <v>9486</v>
      </c>
      <c r="AA2767" s="74" t="s">
        <v>9501</v>
      </c>
      <c r="AB2767" s="73" t="s">
        <v>9486</v>
      </c>
      <c r="AC2767" s="74" t="s">
        <v>9562</v>
      </c>
      <c r="AD2767" s="73" t="s">
        <v>9578</v>
      </c>
      <c r="AE2767" s="74" t="s">
        <v>9579</v>
      </c>
    </row>
    <row r="2768" spans="1:31" ht="8.65" customHeight="1" x14ac:dyDescent="0.2">
      <c r="A2768" s="76">
        <v>2768</v>
      </c>
      <c r="B2768" s="67" t="str">
        <f>MID(C2768, FIND("Ifc.", C2768) + 4, 4) &amp; "_" &amp; TEXT(COUNTIF($C$2:C2768, C2768),"0000")</f>
        <v>Enum_0168</v>
      </c>
      <c r="C2768" s="23" t="s">
        <v>873</v>
      </c>
      <c r="D2768" s="69" t="s">
        <v>9453</v>
      </c>
      <c r="E2768" s="70" t="s">
        <v>9455</v>
      </c>
      <c r="F2768" s="26" t="s">
        <v>798</v>
      </c>
      <c r="G2768" s="15" t="s">
        <v>798</v>
      </c>
      <c r="H2768" s="14" t="s">
        <v>798</v>
      </c>
      <c r="I2768" s="15" t="s">
        <v>798</v>
      </c>
      <c r="J2768" s="12" t="s">
        <v>9436</v>
      </c>
      <c r="K2768" s="16" t="s">
        <v>2840</v>
      </c>
      <c r="L2768" s="12" t="s">
        <v>800</v>
      </c>
      <c r="M2768" s="16" t="s">
        <v>5743</v>
      </c>
      <c r="N2768" s="19" t="s">
        <v>798</v>
      </c>
      <c r="O2768" s="20" t="s">
        <v>798</v>
      </c>
      <c r="P2768" s="17" t="s">
        <v>802</v>
      </c>
      <c r="Q2768" s="21" t="s">
        <v>8392</v>
      </c>
      <c r="R2768" s="19" t="s">
        <v>798</v>
      </c>
      <c r="S2768" s="20" t="s">
        <v>798</v>
      </c>
      <c r="T2768" s="17" t="s">
        <v>798</v>
      </c>
      <c r="U2768" s="20" t="s">
        <v>798</v>
      </c>
      <c r="V2768" s="26" t="s">
        <v>798</v>
      </c>
      <c r="W2768" s="20" t="s">
        <v>798</v>
      </c>
      <c r="X2768" s="26" t="s">
        <v>798</v>
      </c>
      <c r="Y2768" s="20" t="s">
        <v>798</v>
      </c>
      <c r="Z2768" s="73" t="s">
        <v>9486</v>
      </c>
      <c r="AA2768" s="74" t="s">
        <v>9501</v>
      </c>
      <c r="AB2768" s="73" t="s">
        <v>9486</v>
      </c>
      <c r="AC2768" s="74" t="s">
        <v>9562</v>
      </c>
      <c r="AD2768" s="73" t="s">
        <v>9578</v>
      </c>
      <c r="AE2768" s="74" t="s">
        <v>9668</v>
      </c>
    </row>
    <row r="2769" spans="1:31" ht="8.65" customHeight="1" x14ac:dyDescent="0.2">
      <c r="A2769" s="76">
        <v>2769</v>
      </c>
      <c r="B2769" s="67" t="str">
        <f>MID(C2769, FIND("Ifc.", C2769) + 4, 4) &amp; "_" &amp; TEXT(COUNTIF($C$2:C2769, C2769),"0000")</f>
        <v>Enum_0169</v>
      </c>
      <c r="C2769" s="23" t="s">
        <v>873</v>
      </c>
      <c r="D2769" s="69" t="s">
        <v>9453</v>
      </c>
      <c r="E2769" s="70" t="s">
        <v>9455</v>
      </c>
      <c r="F2769" s="26" t="s">
        <v>798</v>
      </c>
      <c r="G2769" s="15" t="s">
        <v>798</v>
      </c>
      <c r="H2769" s="14" t="s">
        <v>798</v>
      </c>
      <c r="I2769" s="15" t="s">
        <v>798</v>
      </c>
      <c r="J2769" s="12" t="s">
        <v>9436</v>
      </c>
      <c r="K2769" s="16" t="s">
        <v>2841</v>
      </c>
      <c r="L2769" s="12" t="s">
        <v>800</v>
      </c>
      <c r="M2769" s="16" t="s">
        <v>5778</v>
      </c>
      <c r="N2769" s="19" t="s">
        <v>798</v>
      </c>
      <c r="O2769" s="20" t="s">
        <v>798</v>
      </c>
      <c r="P2769" s="17" t="s">
        <v>802</v>
      </c>
      <c r="Q2769" s="21" t="s">
        <v>8393</v>
      </c>
      <c r="R2769" s="19" t="s">
        <v>798</v>
      </c>
      <c r="S2769" s="20" t="s">
        <v>798</v>
      </c>
      <c r="T2769" s="17" t="s">
        <v>798</v>
      </c>
      <c r="U2769" s="20" t="s">
        <v>798</v>
      </c>
      <c r="V2769" s="26" t="s">
        <v>798</v>
      </c>
      <c r="W2769" s="20" t="s">
        <v>798</v>
      </c>
      <c r="X2769" s="26" t="s">
        <v>798</v>
      </c>
      <c r="Y2769" s="20" t="s">
        <v>798</v>
      </c>
      <c r="Z2769" s="73" t="s">
        <v>9486</v>
      </c>
      <c r="AA2769" s="74" t="s">
        <v>9501</v>
      </c>
      <c r="AB2769" s="73" t="s">
        <v>9486</v>
      </c>
      <c r="AC2769" s="74" t="s">
        <v>9562</v>
      </c>
      <c r="AD2769" s="73" t="s">
        <v>9578</v>
      </c>
      <c r="AE2769" s="74" t="s">
        <v>9579</v>
      </c>
    </row>
    <row r="2770" spans="1:31" ht="8.65" customHeight="1" x14ac:dyDescent="0.2">
      <c r="A2770" s="76">
        <v>2770</v>
      </c>
      <c r="B2770" s="67" t="str">
        <f>MID(C2770, FIND("Ifc.", C2770) + 4, 4) &amp; "_" &amp; TEXT(COUNTIF($C$2:C2770, C2770),"0000")</f>
        <v>Enum_0170</v>
      </c>
      <c r="C2770" s="23" t="s">
        <v>873</v>
      </c>
      <c r="D2770" s="69" t="s">
        <v>9453</v>
      </c>
      <c r="E2770" s="70" t="s">
        <v>9455</v>
      </c>
      <c r="F2770" s="26" t="s">
        <v>798</v>
      </c>
      <c r="G2770" s="15" t="s">
        <v>798</v>
      </c>
      <c r="H2770" s="14" t="s">
        <v>798</v>
      </c>
      <c r="I2770" s="15" t="s">
        <v>798</v>
      </c>
      <c r="J2770" s="12" t="s">
        <v>9436</v>
      </c>
      <c r="K2770" s="16" t="s">
        <v>2842</v>
      </c>
      <c r="L2770" s="12" t="s">
        <v>800</v>
      </c>
      <c r="M2770" s="16" t="s">
        <v>5744</v>
      </c>
      <c r="N2770" s="19" t="s">
        <v>798</v>
      </c>
      <c r="O2770" s="20" t="s">
        <v>798</v>
      </c>
      <c r="P2770" s="17" t="s">
        <v>802</v>
      </c>
      <c r="Q2770" s="21" t="s">
        <v>8394</v>
      </c>
      <c r="R2770" s="19" t="s">
        <v>798</v>
      </c>
      <c r="S2770" s="20" t="s">
        <v>798</v>
      </c>
      <c r="T2770" s="17" t="s">
        <v>798</v>
      </c>
      <c r="U2770" s="20" t="s">
        <v>798</v>
      </c>
      <c r="V2770" s="26" t="s">
        <v>798</v>
      </c>
      <c r="W2770" s="20" t="s">
        <v>798</v>
      </c>
      <c r="X2770" s="26" t="s">
        <v>798</v>
      </c>
      <c r="Y2770" s="20" t="s">
        <v>798</v>
      </c>
      <c r="Z2770" s="73" t="s">
        <v>9486</v>
      </c>
      <c r="AA2770" s="74" t="s">
        <v>9501</v>
      </c>
      <c r="AB2770" s="73" t="s">
        <v>9486</v>
      </c>
      <c r="AC2770" s="74" t="s">
        <v>9562</v>
      </c>
      <c r="AD2770" s="73" t="s">
        <v>9578</v>
      </c>
      <c r="AE2770" s="74" t="s">
        <v>9666</v>
      </c>
    </row>
    <row r="2771" spans="1:31" ht="8.65" customHeight="1" x14ac:dyDescent="0.2">
      <c r="A2771" s="76">
        <v>2771</v>
      </c>
      <c r="B2771" s="67" t="str">
        <f>MID(C2771, FIND("Ifc.", C2771) + 4, 4) &amp; "_" &amp; TEXT(COUNTIF($C$2:C2771, C2771),"0000")</f>
        <v>Enum_0171</v>
      </c>
      <c r="C2771" s="23" t="s">
        <v>873</v>
      </c>
      <c r="D2771" s="69" t="s">
        <v>9453</v>
      </c>
      <c r="E2771" s="70" t="s">
        <v>9455</v>
      </c>
      <c r="F2771" s="26" t="s">
        <v>798</v>
      </c>
      <c r="G2771" s="15" t="s">
        <v>798</v>
      </c>
      <c r="H2771" s="14" t="s">
        <v>798</v>
      </c>
      <c r="I2771" s="15" t="s">
        <v>798</v>
      </c>
      <c r="J2771" s="12" t="s">
        <v>9436</v>
      </c>
      <c r="K2771" s="16" t="s">
        <v>2843</v>
      </c>
      <c r="L2771" s="12" t="s">
        <v>800</v>
      </c>
      <c r="M2771" s="16" t="s">
        <v>5745</v>
      </c>
      <c r="N2771" s="19" t="s">
        <v>798</v>
      </c>
      <c r="O2771" s="20" t="s">
        <v>798</v>
      </c>
      <c r="P2771" s="17" t="s">
        <v>802</v>
      </c>
      <c r="Q2771" s="21" t="s">
        <v>8395</v>
      </c>
      <c r="R2771" s="19" t="s">
        <v>798</v>
      </c>
      <c r="S2771" s="20" t="s">
        <v>798</v>
      </c>
      <c r="T2771" s="17" t="s">
        <v>798</v>
      </c>
      <c r="U2771" s="20" t="s">
        <v>798</v>
      </c>
      <c r="V2771" s="26" t="s">
        <v>798</v>
      </c>
      <c r="W2771" s="20" t="s">
        <v>798</v>
      </c>
      <c r="X2771" s="26" t="s">
        <v>798</v>
      </c>
      <c r="Y2771" s="20" t="s">
        <v>798</v>
      </c>
      <c r="Z2771" s="73" t="s">
        <v>9486</v>
      </c>
      <c r="AA2771" s="74" t="s">
        <v>9501</v>
      </c>
      <c r="AB2771" s="73" t="s">
        <v>9486</v>
      </c>
      <c r="AC2771" s="74" t="s">
        <v>9562</v>
      </c>
      <c r="AD2771" s="73" t="s">
        <v>9578</v>
      </c>
      <c r="AE2771" s="74" t="s">
        <v>9665</v>
      </c>
    </row>
    <row r="2772" spans="1:31" ht="8.65" customHeight="1" x14ac:dyDescent="0.2">
      <c r="A2772" s="76">
        <v>2772</v>
      </c>
      <c r="B2772" s="67" t="str">
        <f>MID(C2772, FIND("Ifc.", C2772) + 4, 4) &amp; "_" &amp; TEXT(COUNTIF($C$2:C2772, C2772),"0000")</f>
        <v>Enum_0172</v>
      </c>
      <c r="C2772" s="23" t="s">
        <v>873</v>
      </c>
      <c r="D2772" s="69" t="s">
        <v>9453</v>
      </c>
      <c r="E2772" s="70" t="s">
        <v>9455</v>
      </c>
      <c r="F2772" s="26" t="s">
        <v>798</v>
      </c>
      <c r="G2772" s="15" t="s">
        <v>798</v>
      </c>
      <c r="H2772" s="14" t="s">
        <v>798</v>
      </c>
      <c r="I2772" s="15" t="s">
        <v>798</v>
      </c>
      <c r="J2772" s="12" t="s">
        <v>9436</v>
      </c>
      <c r="K2772" s="16" t="s">
        <v>2844</v>
      </c>
      <c r="L2772" s="12" t="s">
        <v>800</v>
      </c>
      <c r="M2772" s="16" t="s">
        <v>5746</v>
      </c>
      <c r="N2772" s="19" t="s">
        <v>798</v>
      </c>
      <c r="O2772" s="20" t="s">
        <v>798</v>
      </c>
      <c r="P2772" s="17" t="s">
        <v>802</v>
      </c>
      <c r="Q2772" s="21" t="s">
        <v>8396</v>
      </c>
      <c r="R2772" s="19" t="s">
        <v>798</v>
      </c>
      <c r="S2772" s="20" t="s">
        <v>798</v>
      </c>
      <c r="T2772" s="17" t="s">
        <v>798</v>
      </c>
      <c r="U2772" s="20" t="s">
        <v>798</v>
      </c>
      <c r="V2772" s="26" t="s">
        <v>798</v>
      </c>
      <c r="W2772" s="20" t="s">
        <v>798</v>
      </c>
      <c r="X2772" s="26" t="s">
        <v>798</v>
      </c>
      <c r="Y2772" s="20" t="s">
        <v>798</v>
      </c>
      <c r="Z2772" s="73" t="s">
        <v>9486</v>
      </c>
      <c r="AA2772" s="74" t="s">
        <v>9501</v>
      </c>
      <c r="AB2772" s="73" t="s">
        <v>9486</v>
      </c>
      <c r="AC2772" s="74" t="s">
        <v>9562</v>
      </c>
      <c r="AD2772" s="73" t="s">
        <v>9578</v>
      </c>
      <c r="AE2772" s="74" t="s">
        <v>9666</v>
      </c>
    </row>
    <row r="2773" spans="1:31" ht="8.65" customHeight="1" x14ac:dyDescent="0.2">
      <c r="A2773" s="76">
        <v>2773</v>
      </c>
      <c r="B2773" s="67" t="str">
        <f>MID(C2773, FIND("Ifc.", C2773) + 4, 4) &amp; "_" &amp; TEXT(COUNTIF($C$2:C2773, C2773),"0000")</f>
        <v>Enum_0173</v>
      </c>
      <c r="C2773" s="23" t="s">
        <v>873</v>
      </c>
      <c r="D2773" s="69" t="s">
        <v>9453</v>
      </c>
      <c r="E2773" s="70" t="s">
        <v>9455</v>
      </c>
      <c r="F2773" s="26" t="s">
        <v>798</v>
      </c>
      <c r="G2773" s="15" t="s">
        <v>798</v>
      </c>
      <c r="H2773" s="14" t="s">
        <v>798</v>
      </c>
      <c r="I2773" s="15" t="s">
        <v>798</v>
      </c>
      <c r="J2773" s="12" t="s">
        <v>9436</v>
      </c>
      <c r="K2773" s="16" t="s">
        <v>2845</v>
      </c>
      <c r="L2773" s="12" t="s">
        <v>800</v>
      </c>
      <c r="M2773" s="16" t="s">
        <v>5747</v>
      </c>
      <c r="N2773" s="19" t="s">
        <v>798</v>
      </c>
      <c r="O2773" s="20" t="s">
        <v>798</v>
      </c>
      <c r="P2773" s="17" t="s">
        <v>802</v>
      </c>
      <c r="Q2773" s="21" t="s">
        <v>8397</v>
      </c>
      <c r="R2773" s="19" t="s">
        <v>798</v>
      </c>
      <c r="S2773" s="20" t="s">
        <v>798</v>
      </c>
      <c r="T2773" s="17" t="s">
        <v>798</v>
      </c>
      <c r="U2773" s="20" t="s">
        <v>798</v>
      </c>
      <c r="V2773" s="26" t="s">
        <v>798</v>
      </c>
      <c r="W2773" s="20" t="s">
        <v>798</v>
      </c>
      <c r="X2773" s="26" t="s">
        <v>798</v>
      </c>
      <c r="Y2773" s="20" t="s">
        <v>798</v>
      </c>
      <c r="Z2773" s="73" t="s">
        <v>9486</v>
      </c>
      <c r="AA2773" s="74" t="s">
        <v>9501</v>
      </c>
      <c r="AB2773" s="73" t="s">
        <v>9486</v>
      </c>
      <c r="AC2773" s="74" t="s">
        <v>9562</v>
      </c>
      <c r="AD2773" s="73" t="s">
        <v>9578</v>
      </c>
      <c r="AE2773" s="74" t="s">
        <v>9664</v>
      </c>
    </row>
    <row r="2774" spans="1:31" ht="8.65" customHeight="1" x14ac:dyDescent="0.2">
      <c r="A2774" s="76">
        <v>2774</v>
      </c>
      <c r="B2774" s="67" t="str">
        <f>MID(C2774, FIND("Ifc.", C2774) + 4, 4) &amp; "_" &amp; TEXT(COUNTIF($C$2:C2774, C2774),"0000")</f>
        <v>Enum_0174</v>
      </c>
      <c r="C2774" s="23" t="s">
        <v>873</v>
      </c>
      <c r="D2774" s="69" t="s">
        <v>9453</v>
      </c>
      <c r="E2774" s="70" t="s">
        <v>9455</v>
      </c>
      <c r="F2774" s="26" t="s">
        <v>798</v>
      </c>
      <c r="G2774" s="15" t="s">
        <v>798</v>
      </c>
      <c r="H2774" s="14" t="s">
        <v>798</v>
      </c>
      <c r="I2774" s="15" t="s">
        <v>798</v>
      </c>
      <c r="J2774" s="12" t="s">
        <v>9436</v>
      </c>
      <c r="K2774" s="16" t="s">
        <v>2846</v>
      </c>
      <c r="L2774" s="12" t="s">
        <v>800</v>
      </c>
      <c r="M2774" s="16" t="s">
        <v>5748</v>
      </c>
      <c r="N2774" s="19" t="s">
        <v>798</v>
      </c>
      <c r="O2774" s="20" t="s">
        <v>798</v>
      </c>
      <c r="P2774" s="17" t="s">
        <v>802</v>
      </c>
      <c r="Q2774" s="21" t="s">
        <v>8398</v>
      </c>
      <c r="R2774" s="19" t="s">
        <v>798</v>
      </c>
      <c r="S2774" s="20" t="s">
        <v>798</v>
      </c>
      <c r="T2774" s="17" t="s">
        <v>798</v>
      </c>
      <c r="U2774" s="20" t="s">
        <v>798</v>
      </c>
      <c r="V2774" s="26" t="s">
        <v>798</v>
      </c>
      <c r="W2774" s="20" t="s">
        <v>798</v>
      </c>
      <c r="X2774" s="26" t="s">
        <v>798</v>
      </c>
      <c r="Y2774" s="20" t="s">
        <v>798</v>
      </c>
      <c r="Z2774" s="73" t="s">
        <v>9486</v>
      </c>
      <c r="AA2774" s="74" t="s">
        <v>9501</v>
      </c>
      <c r="AB2774" s="73" t="s">
        <v>9486</v>
      </c>
      <c r="AC2774" s="74" t="s">
        <v>9562</v>
      </c>
      <c r="AD2774" s="73" t="s">
        <v>9578</v>
      </c>
      <c r="AE2774" s="74" t="s">
        <v>9579</v>
      </c>
    </row>
    <row r="2775" spans="1:31" ht="8.65" customHeight="1" x14ac:dyDescent="0.2">
      <c r="A2775" s="76">
        <v>2775</v>
      </c>
      <c r="B2775" s="67" t="str">
        <f>MID(C2775, FIND("Ifc.", C2775) + 4, 4) &amp; "_" &amp; TEXT(COUNTIF($C$2:C2775, C2775),"0000")</f>
        <v>Enum_0175</v>
      </c>
      <c r="C2775" s="23" t="s">
        <v>873</v>
      </c>
      <c r="D2775" s="69" t="s">
        <v>9453</v>
      </c>
      <c r="E2775" s="70" t="s">
        <v>9455</v>
      </c>
      <c r="F2775" s="26" t="s">
        <v>798</v>
      </c>
      <c r="G2775" s="15" t="s">
        <v>798</v>
      </c>
      <c r="H2775" s="14" t="s">
        <v>798</v>
      </c>
      <c r="I2775" s="15" t="s">
        <v>798</v>
      </c>
      <c r="J2775" s="12" t="s">
        <v>9436</v>
      </c>
      <c r="K2775" s="16" t="s">
        <v>2847</v>
      </c>
      <c r="L2775" s="12" t="s">
        <v>800</v>
      </c>
      <c r="M2775" s="16" t="s">
        <v>5775</v>
      </c>
      <c r="N2775" s="19" t="s">
        <v>798</v>
      </c>
      <c r="O2775" s="20" t="s">
        <v>798</v>
      </c>
      <c r="P2775" s="17" t="s">
        <v>802</v>
      </c>
      <c r="Q2775" s="21" t="s">
        <v>8399</v>
      </c>
      <c r="R2775" s="19" t="s">
        <v>798</v>
      </c>
      <c r="S2775" s="20" t="s">
        <v>798</v>
      </c>
      <c r="T2775" s="17" t="s">
        <v>798</v>
      </c>
      <c r="U2775" s="20" t="s">
        <v>798</v>
      </c>
      <c r="V2775" s="26" t="s">
        <v>798</v>
      </c>
      <c r="W2775" s="20" t="s">
        <v>798</v>
      </c>
      <c r="X2775" s="26" t="s">
        <v>798</v>
      </c>
      <c r="Y2775" s="20" t="s">
        <v>798</v>
      </c>
      <c r="Z2775" s="73" t="s">
        <v>9486</v>
      </c>
      <c r="AA2775" s="74" t="s">
        <v>9501</v>
      </c>
      <c r="AB2775" s="73" t="s">
        <v>9486</v>
      </c>
      <c r="AC2775" s="74" t="s">
        <v>9562</v>
      </c>
      <c r="AD2775" s="73" t="s">
        <v>9578</v>
      </c>
      <c r="AE2775" s="74" t="s">
        <v>9579</v>
      </c>
    </row>
    <row r="2776" spans="1:31" ht="8.65" customHeight="1" x14ac:dyDescent="0.2">
      <c r="A2776" s="76">
        <v>2776</v>
      </c>
      <c r="B2776" s="67" t="str">
        <f>MID(C2776, FIND("Ifc.", C2776) + 4, 4) &amp; "_" &amp; TEXT(COUNTIF($C$2:C2776, C2776),"0000")</f>
        <v>Enum_0176</v>
      </c>
      <c r="C2776" s="23" t="s">
        <v>873</v>
      </c>
      <c r="D2776" s="69" t="s">
        <v>9453</v>
      </c>
      <c r="E2776" s="70" t="s">
        <v>9455</v>
      </c>
      <c r="F2776" s="26" t="s">
        <v>798</v>
      </c>
      <c r="G2776" s="15" t="s">
        <v>798</v>
      </c>
      <c r="H2776" s="14" t="s">
        <v>798</v>
      </c>
      <c r="I2776" s="15" t="s">
        <v>798</v>
      </c>
      <c r="J2776" s="12" t="s">
        <v>9436</v>
      </c>
      <c r="K2776" s="16" t="s">
        <v>2848</v>
      </c>
      <c r="L2776" s="12" t="s">
        <v>800</v>
      </c>
      <c r="M2776" s="16" t="s">
        <v>5776</v>
      </c>
      <c r="N2776" s="19" t="s">
        <v>798</v>
      </c>
      <c r="O2776" s="20" t="s">
        <v>798</v>
      </c>
      <c r="P2776" s="17" t="s">
        <v>802</v>
      </c>
      <c r="Q2776" s="21" t="s">
        <v>8400</v>
      </c>
      <c r="R2776" s="19" t="s">
        <v>798</v>
      </c>
      <c r="S2776" s="20" t="s">
        <v>798</v>
      </c>
      <c r="T2776" s="17" t="s">
        <v>798</v>
      </c>
      <c r="U2776" s="20" t="s">
        <v>798</v>
      </c>
      <c r="V2776" s="26" t="s">
        <v>798</v>
      </c>
      <c r="W2776" s="20" t="s">
        <v>798</v>
      </c>
      <c r="X2776" s="26" t="s">
        <v>798</v>
      </c>
      <c r="Y2776" s="20" t="s">
        <v>798</v>
      </c>
      <c r="Z2776" s="73" t="s">
        <v>9486</v>
      </c>
      <c r="AA2776" s="74" t="s">
        <v>9501</v>
      </c>
      <c r="AB2776" s="73" t="s">
        <v>9486</v>
      </c>
      <c r="AC2776" s="74" t="s">
        <v>9562</v>
      </c>
      <c r="AD2776" s="73" t="s">
        <v>9578</v>
      </c>
      <c r="AE2776" s="74" t="s">
        <v>9579</v>
      </c>
    </row>
    <row r="2777" spans="1:31" ht="8.65" customHeight="1" x14ac:dyDescent="0.2">
      <c r="A2777" s="76">
        <v>2777</v>
      </c>
      <c r="B2777" s="67" t="str">
        <f>MID(C2777, FIND("Ifc.", C2777) + 4, 4) &amp; "_" &amp; TEXT(COUNTIF($C$2:C2777, C2777),"0000")</f>
        <v>Enum_0177</v>
      </c>
      <c r="C2777" s="23" t="s">
        <v>873</v>
      </c>
      <c r="D2777" s="69" t="s">
        <v>9453</v>
      </c>
      <c r="E2777" s="70" t="s">
        <v>9455</v>
      </c>
      <c r="F2777" s="26" t="s">
        <v>798</v>
      </c>
      <c r="G2777" s="15" t="s">
        <v>798</v>
      </c>
      <c r="H2777" s="14" t="s">
        <v>798</v>
      </c>
      <c r="I2777" s="15" t="s">
        <v>798</v>
      </c>
      <c r="J2777" s="12" t="s">
        <v>9436</v>
      </c>
      <c r="K2777" s="16" t="s">
        <v>2849</v>
      </c>
      <c r="L2777" s="12" t="s">
        <v>800</v>
      </c>
      <c r="M2777" s="16" t="s">
        <v>5777</v>
      </c>
      <c r="N2777" s="19" t="s">
        <v>798</v>
      </c>
      <c r="O2777" s="20" t="s">
        <v>798</v>
      </c>
      <c r="P2777" s="17" t="s">
        <v>802</v>
      </c>
      <c r="Q2777" s="21" t="s">
        <v>8401</v>
      </c>
      <c r="R2777" s="19" t="s">
        <v>798</v>
      </c>
      <c r="S2777" s="20" t="s">
        <v>798</v>
      </c>
      <c r="T2777" s="17" t="s">
        <v>798</v>
      </c>
      <c r="U2777" s="20" t="s">
        <v>798</v>
      </c>
      <c r="V2777" s="26" t="s">
        <v>798</v>
      </c>
      <c r="W2777" s="20" t="s">
        <v>798</v>
      </c>
      <c r="X2777" s="26" t="s">
        <v>798</v>
      </c>
      <c r="Y2777" s="20" t="s">
        <v>798</v>
      </c>
      <c r="Z2777" s="73" t="s">
        <v>9486</v>
      </c>
      <c r="AA2777" s="74" t="s">
        <v>9501</v>
      </c>
      <c r="AB2777" s="73" t="s">
        <v>9486</v>
      </c>
      <c r="AC2777" s="74" t="s">
        <v>9562</v>
      </c>
      <c r="AD2777" s="73" t="s">
        <v>9578</v>
      </c>
      <c r="AE2777" s="74" t="s">
        <v>9579</v>
      </c>
    </row>
    <row r="2778" spans="1:31" ht="8.65" customHeight="1" x14ac:dyDescent="0.2">
      <c r="A2778" s="76">
        <v>2778</v>
      </c>
      <c r="B2778" s="67" t="str">
        <f>MID(C2778, FIND("Ifc.", C2778) + 4, 4) &amp; "_" &amp; TEXT(COUNTIF($C$2:C2778, C2778),"0000")</f>
        <v>Enum_0178</v>
      </c>
      <c r="C2778" s="23" t="s">
        <v>873</v>
      </c>
      <c r="D2778" s="69" t="s">
        <v>9453</v>
      </c>
      <c r="E2778" s="70" t="s">
        <v>9455</v>
      </c>
      <c r="F2778" s="26" t="s">
        <v>798</v>
      </c>
      <c r="G2778" s="15" t="s">
        <v>798</v>
      </c>
      <c r="H2778" s="14" t="s">
        <v>798</v>
      </c>
      <c r="I2778" s="15" t="s">
        <v>798</v>
      </c>
      <c r="J2778" s="12" t="s">
        <v>9436</v>
      </c>
      <c r="K2778" s="16" t="s">
        <v>2850</v>
      </c>
      <c r="L2778" s="12" t="s">
        <v>800</v>
      </c>
      <c r="M2778" s="16" t="s">
        <v>5749</v>
      </c>
      <c r="N2778" s="19" t="s">
        <v>798</v>
      </c>
      <c r="O2778" s="20" t="s">
        <v>798</v>
      </c>
      <c r="P2778" s="17" t="s">
        <v>802</v>
      </c>
      <c r="Q2778" s="21" t="s">
        <v>8402</v>
      </c>
      <c r="R2778" s="19" t="s">
        <v>798</v>
      </c>
      <c r="S2778" s="20" t="s">
        <v>798</v>
      </c>
      <c r="T2778" s="17" t="s">
        <v>798</v>
      </c>
      <c r="U2778" s="20" t="s">
        <v>798</v>
      </c>
      <c r="V2778" s="26" t="s">
        <v>798</v>
      </c>
      <c r="W2778" s="20" t="s">
        <v>798</v>
      </c>
      <c r="X2778" s="26" t="s">
        <v>798</v>
      </c>
      <c r="Y2778" s="20" t="s">
        <v>798</v>
      </c>
      <c r="Z2778" s="73" t="s">
        <v>9486</v>
      </c>
      <c r="AA2778" s="74" t="s">
        <v>9501</v>
      </c>
      <c r="AB2778" s="73" t="s">
        <v>9486</v>
      </c>
      <c r="AC2778" s="74" t="s">
        <v>9562</v>
      </c>
      <c r="AD2778" s="73" t="s">
        <v>9578</v>
      </c>
      <c r="AE2778" s="74" t="s">
        <v>9579</v>
      </c>
    </row>
    <row r="2779" spans="1:31" ht="8.65" customHeight="1" x14ac:dyDescent="0.2">
      <c r="A2779" s="76">
        <v>2779</v>
      </c>
      <c r="B2779" s="67" t="str">
        <f>MID(C2779, FIND("Ifc.", C2779) + 4, 4) &amp; "_" &amp; TEXT(COUNTIF($C$2:C2779, C2779),"0000")</f>
        <v>Enum_0179</v>
      </c>
      <c r="C2779" s="23" t="s">
        <v>873</v>
      </c>
      <c r="D2779" s="69" t="s">
        <v>9453</v>
      </c>
      <c r="E2779" s="70" t="s">
        <v>9455</v>
      </c>
      <c r="F2779" s="26" t="s">
        <v>798</v>
      </c>
      <c r="G2779" s="15" t="s">
        <v>798</v>
      </c>
      <c r="H2779" s="14" t="s">
        <v>798</v>
      </c>
      <c r="I2779" s="15" t="s">
        <v>798</v>
      </c>
      <c r="J2779" s="12" t="s">
        <v>9436</v>
      </c>
      <c r="K2779" s="16" t="s">
        <v>2851</v>
      </c>
      <c r="L2779" s="12" t="s">
        <v>800</v>
      </c>
      <c r="M2779" s="16" t="s">
        <v>5750</v>
      </c>
      <c r="N2779" s="19" t="s">
        <v>798</v>
      </c>
      <c r="O2779" s="20" t="s">
        <v>798</v>
      </c>
      <c r="P2779" s="17" t="s">
        <v>802</v>
      </c>
      <c r="Q2779" s="21" t="s">
        <v>8403</v>
      </c>
      <c r="R2779" s="19" t="s">
        <v>798</v>
      </c>
      <c r="S2779" s="20" t="s">
        <v>798</v>
      </c>
      <c r="T2779" s="17" t="s">
        <v>798</v>
      </c>
      <c r="U2779" s="20" t="s">
        <v>798</v>
      </c>
      <c r="V2779" s="26" t="s">
        <v>798</v>
      </c>
      <c r="W2779" s="20" t="s">
        <v>798</v>
      </c>
      <c r="X2779" s="26" t="s">
        <v>798</v>
      </c>
      <c r="Y2779" s="20" t="s">
        <v>798</v>
      </c>
      <c r="Z2779" s="73" t="s">
        <v>9486</v>
      </c>
      <c r="AA2779" s="74" t="s">
        <v>9501</v>
      </c>
      <c r="AB2779" s="73" t="s">
        <v>9486</v>
      </c>
      <c r="AC2779" s="74" t="s">
        <v>9562</v>
      </c>
      <c r="AD2779" s="73" t="s">
        <v>9578</v>
      </c>
      <c r="AE2779" s="74" t="s">
        <v>9665</v>
      </c>
    </row>
    <row r="2780" spans="1:31" ht="8.65" customHeight="1" x14ac:dyDescent="0.2">
      <c r="A2780" s="76">
        <v>2780</v>
      </c>
      <c r="B2780" s="67" t="str">
        <f>MID(C2780, FIND("Ifc.", C2780) + 4, 4) &amp; "_" &amp; TEXT(COUNTIF($C$2:C2780, C2780),"0000")</f>
        <v>Enum_0180</v>
      </c>
      <c r="C2780" s="23" t="s">
        <v>873</v>
      </c>
      <c r="D2780" s="69" t="s">
        <v>9453</v>
      </c>
      <c r="E2780" s="70" t="s">
        <v>9455</v>
      </c>
      <c r="F2780" s="26" t="s">
        <v>798</v>
      </c>
      <c r="G2780" s="15" t="s">
        <v>798</v>
      </c>
      <c r="H2780" s="14" t="s">
        <v>798</v>
      </c>
      <c r="I2780" s="15" t="s">
        <v>798</v>
      </c>
      <c r="J2780" s="12" t="s">
        <v>9436</v>
      </c>
      <c r="K2780" s="16" t="s">
        <v>2852</v>
      </c>
      <c r="L2780" s="12" t="s">
        <v>800</v>
      </c>
      <c r="M2780" s="16" t="s">
        <v>5751</v>
      </c>
      <c r="N2780" s="19" t="s">
        <v>798</v>
      </c>
      <c r="O2780" s="20" t="s">
        <v>798</v>
      </c>
      <c r="P2780" s="17" t="s">
        <v>802</v>
      </c>
      <c r="Q2780" s="21" t="s">
        <v>8404</v>
      </c>
      <c r="R2780" s="19" t="s">
        <v>798</v>
      </c>
      <c r="S2780" s="20" t="s">
        <v>798</v>
      </c>
      <c r="T2780" s="17" t="s">
        <v>798</v>
      </c>
      <c r="U2780" s="20" t="s">
        <v>798</v>
      </c>
      <c r="V2780" s="26" t="s">
        <v>798</v>
      </c>
      <c r="W2780" s="20" t="s">
        <v>798</v>
      </c>
      <c r="X2780" s="26" t="s">
        <v>798</v>
      </c>
      <c r="Y2780" s="20" t="s">
        <v>798</v>
      </c>
      <c r="Z2780" s="73" t="s">
        <v>9486</v>
      </c>
      <c r="AA2780" s="74" t="s">
        <v>9501</v>
      </c>
      <c r="AB2780" s="73" t="s">
        <v>9486</v>
      </c>
      <c r="AC2780" s="74" t="s">
        <v>9562</v>
      </c>
      <c r="AD2780" s="73" t="s">
        <v>9578</v>
      </c>
      <c r="AE2780" s="74" t="s">
        <v>9579</v>
      </c>
    </row>
    <row r="2781" spans="1:31" ht="8.65" customHeight="1" x14ac:dyDescent="0.2">
      <c r="A2781" s="76">
        <v>2781</v>
      </c>
      <c r="B2781" s="67" t="str">
        <f>MID(C2781, FIND("Ifc.", C2781) + 4, 4) &amp; "_" &amp; TEXT(COUNTIF($C$2:C2781, C2781),"0000")</f>
        <v>Enum_0181</v>
      </c>
      <c r="C2781" s="23" t="s">
        <v>873</v>
      </c>
      <c r="D2781" s="69" t="s">
        <v>9453</v>
      </c>
      <c r="E2781" s="70" t="s">
        <v>9455</v>
      </c>
      <c r="F2781" s="26" t="s">
        <v>798</v>
      </c>
      <c r="G2781" s="15" t="s">
        <v>798</v>
      </c>
      <c r="H2781" s="14" t="s">
        <v>798</v>
      </c>
      <c r="I2781" s="15" t="s">
        <v>798</v>
      </c>
      <c r="J2781" s="12" t="s">
        <v>9436</v>
      </c>
      <c r="K2781" s="16" t="s">
        <v>2853</v>
      </c>
      <c r="L2781" s="12" t="s">
        <v>800</v>
      </c>
      <c r="M2781" s="16" t="s">
        <v>5752</v>
      </c>
      <c r="N2781" s="19" t="s">
        <v>798</v>
      </c>
      <c r="O2781" s="20" t="s">
        <v>798</v>
      </c>
      <c r="P2781" s="17" t="s">
        <v>802</v>
      </c>
      <c r="Q2781" s="21" t="s">
        <v>8405</v>
      </c>
      <c r="R2781" s="19" t="s">
        <v>798</v>
      </c>
      <c r="S2781" s="20" t="s">
        <v>798</v>
      </c>
      <c r="T2781" s="17" t="s">
        <v>798</v>
      </c>
      <c r="U2781" s="20" t="s">
        <v>798</v>
      </c>
      <c r="V2781" s="26" t="s">
        <v>798</v>
      </c>
      <c r="W2781" s="20" t="s">
        <v>798</v>
      </c>
      <c r="X2781" s="26" t="s">
        <v>798</v>
      </c>
      <c r="Y2781" s="20" t="s">
        <v>798</v>
      </c>
      <c r="Z2781" s="73" t="s">
        <v>9486</v>
      </c>
      <c r="AA2781" s="74" t="s">
        <v>9501</v>
      </c>
      <c r="AB2781" s="73" t="s">
        <v>9486</v>
      </c>
      <c r="AC2781" s="74" t="s">
        <v>9562</v>
      </c>
      <c r="AD2781" s="73" t="s">
        <v>9578</v>
      </c>
      <c r="AE2781" s="74" t="s">
        <v>9579</v>
      </c>
    </row>
    <row r="2782" spans="1:31" ht="8.65" customHeight="1" x14ac:dyDescent="0.2">
      <c r="A2782" s="76">
        <v>2782</v>
      </c>
      <c r="B2782" s="67" t="str">
        <f>MID(C2782, FIND("Ifc.", C2782) + 4, 4) &amp; "_" &amp; TEXT(COUNTIF($C$2:C2782, C2782),"0000")</f>
        <v>Enum_0182</v>
      </c>
      <c r="C2782" s="23" t="s">
        <v>873</v>
      </c>
      <c r="D2782" s="69" t="s">
        <v>9453</v>
      </c>
      <c r="E2782" s="70" t="s">
        <v>9455</v>
      </c>
      <c r="F2782" s="26" t="s">
        <v>798</v>
      </c>
      <c r="G2782" s="15" t="s">
        <v>798</v>
      </c>
      <c r="H2782" s="14" t="s">
        <v>798</v>
      </c>
      <c r="I2782" s="15" t="s">
        <v>798</v>
      </c>
      <c r="J2782" s="12" t="s">
        <v>9436</v>
      </c>
      <c r="K2782" s="16" t="s">
        <v>2854</v>
      </c>
      <c r="L2782" s="12" t="s">
        <v>800</v>
      </c>
      <c r="M2782" s="16" t="s">
        <v>5753</v>
      </c>
      <c r="N2782" s="19" t="s">
        <v>798</v>
      </c>
      <c r="O2782" s="20" t="s">
        <v>798</v>
      </c>
      <c r="P2782" s="17" t="s">
        <v>802</v>
      </c>
      <c r="Q2782" s="21" t="s">
        <v>8406</v>
      </c>
      <c r="R2782" s="19" t="s">
        <v>798</v>
      </c>
      <c r="S2782" s="20" t="s">
        <v>798</v>
      </c>
      <c r="T2782" s="17" t="s">
        <v>798</v>
      </c>
      <c r="U2782" s="20" t="s">
        <v>798</v>
      </c>
      <c r="V2782" s="26" t="s">
        <v>798</v>
      </c>
      <c r="W2782" s="20" t="s">
        <v>798</v>
      </c>
      <c r="X2782" s="26" t="s">
        <v>798</v>
      </c>
      <c r="Y2782" s="20" t="s">
        <v>798</v>
      </c>
      <c r="Z2782" s="73" t="s">
        <v>9486</v>
      </c>
      <c r="AA2782" s="74" t="s">
        <v>9501</v>
      </c>
      <c r="AB2782" s="73" t="s">
        <v>9486</v>
      </c>
      <c r="AC2782" s="74" t="s">
        <v>9562</v>
      </c>
      <c r="AD2782" s="73" t="s">
        <v>9578</v>
      </c>
      <c r="AE2782" s="74" t="s">
        <v>9579</v>
      </c>
    </row>
    <row r="2783" spans="1:31" ht="8.65" customHeight="1" x14ac:dyDescent="0.2">
      <c r="A2783" s="76">
        <v>2783</v>
      </c>
      <c r="B2783" s="67" t="str">
        <f>MID(C2783, FIND("Ifc.", C2783) + 4, 4) &amp; "_" &amp; TEXT(COUNTIF($C$2:C2783, C2783),"0000")</f>
        <v>Enum_0183</v>
      </c>
      <c r="C2783" s="23" t="s">
        <v>873</v>
      </c>
      <c r="D2783" s="69" t="s">
        <v>9453</v>
      </c>
      <c r="E2783" s="70" t="s">
        <v>9455</v>
      </c>
      <c r="F2783" s="26" t="s">
        <v>798</v>
      </c>
      <c r="G2783" s="15" t="s">
        <v>798</v>
      </c>
      <c r="H2783" s="14" t="s">
        <v>798</v>
      </c>
      <c r="I2783" s="15" t="s">
        <v>798</v>
      </c>
      <c r="J2783" s="12" t="s">
        <v>9436</v>
      </c>
      <c r="K2783" s="16" t="s">
        <v>2855</v>
      </c>
      <c r="L2783" s="12" t="s">
        <v>800</v>
      </c>
      <c r="M2783" s="16" t="s">
        <v>5882</v>
      </c>
      <c r="N2783" s="19" t="s">
        <v>798</v>
      </c>
      <c r="O2783" s="20" t="s">
        <v>798</v>
      </c>
      <c r="P2783" s="17" t="s">
        <v>802</v>
      </c>
      <c r="Q2783" s="21" t="s">
        <v>8407</v>
      </c>
      <c r="R2783" s="19" t="s">
        <v>798</v>
      </c>
      <c r="S2783" s="20" t="s">
        <v>798</v>
      </c>
      <c r="T2783" s="17" t="s">
        <v>798</v>
      </c>
      <c r="U2783" s="20" t="s">
        <v>798</v>
      </c>
      <c r="V2783" s="26" t="s">
        <v>798</v>
      </c>
      <c r="W2783" s="20" t="s">
        <v>798</v>
      </c>
      <c r="X2783" s="26" t="s">
        <v>798</v>
      </c>
      <c r="Y2783" s="20" t="s">
        <v>798</v>
      </c>
      <c r="Z2783" s="73" t="s">
        <v>9486</v>
      </c>
      <c r="AA2783" s="74" t="s">
        <v>9501</v>
      </c>
      <c r="AB2783" s="73" t="s">
        <v>9486</v>
      </c>
      <c r="AC2783" s="74" t="s">
        <v>9562</v>
      </c>
      <c r="AD2783" s="73" t="s">
        <v>9578</v>
      </c>
      <c r="AE2783" s="74" t="s">
        <v>9579</v>
      </c>
    </row>
    <row r="2784" spans="1:31" ht="8.65" customHeight="1" x14ac:dyDescent="0.2">
      <c r="A2784" s="76">
        <v>2784</v>
      </c>
      <c r="B2784" s="67" t="str">
        <f>MID(C2784, FIND("Ifc.", C2784) + 4, 4) &amp; "_" &amp; TEXT(COUNTIF($C$2:C2784, C2784),"0000")</f>
        <v>Enum_0184</v>
      </c>
      <c r="C2784" s="23" t="s">
        <v>873</v>
      </c>
      <c r="D2784" s="69" t="s">
        <v>9453</v>
      </c>
      <c r="E2784" s="70" t="s">
        <v>9455</v>
      </c>
      <c r="F2784" s="26" t="s">
        <v>798</v>
      </c>
      <c r="G2784" s="15" t="s">
        <v>798</v>
      </c>
      <c r="H2784" s="14" t="s">
        <v>798</v>
      </c>
      <c r="I2784" s="15" t="s">
        <v>798</v>
      </c>
      <c r="J2784" s="12" t="s">
        <v>9436</v>
      </c>
      <c r="K2784" s="16" t="s">
        <v>2856</v>
      </c>
      <c r="L2784" s="12" t="s">
        <v>800</v>
      </c>
      <c r="M2784" s="16" t="s">
        <v>5754</v>
      </c>
      <c r="N2784" s="19" t="s">
        <v>798</v>
      </c>
      <c r="O2784" s="20" t="s">
        <v>798</v>
      </c>
      <c r="P2784" s="17" t="s">
        <v>802</v>
      </c>
      <c r="Q2784" s="21" t="s">
        <v>8408</v>
      </c>
      <c r="R2784" s="19" t="s">
        <v>798</v>
      </c>
      <c r="S2784" s="20" t="s">
        <v>798</v>
      </c>
      <c r="T2784" s="17" t="s">
        <v>798</v>
      </c>
      <c r="U2784" s="20" t="s">
        <v>798</v>
      </c>
      <c r="V2784" s="26" t="s">
        <v>798</v>
      </c>
      <c r="W2784" s="20" t="s">
        <v>798</v>
      </c>
      <c r="X2784" s="26" t="s">
        <v>798</v>
      </c>
      <c r="Y2784" s="20" t="s">
        <v>798</v>
      </c>
      <c r="Z2784" s="73" t="s">
        <v>9486</v>
      </c>
      <c r="AA2784" s="74" t="s">
        <v>9501</v>
      </c>
      <c r="AB2784" s="73" t="s">
        <v>9486</v>
      </c>
      <c r="AC2784" s="74" t="s">
        <v>9562</v>
      </c>
      <c r="AD2784" s="73" t="s">
        <v>9578</v>
      </c>
      <c r="AE2784" s="74" t="s">
        <v>9579</v>
      </c>
    </row>
    <row r="2785" spans="1:31" ht="8.65" customHeight="1" x14ac:dyDescent="0.2">
      <c r="A2785" s="76">
        <v>2785</v>
      </c>
      <c r="B2785" s="67" t="str">
        <f>MID(C2785, FIND("Ifc.", C2785) + 4, 4) &amp; "_" &amp; TEXT(COUNTIF($C$2:C2785, C2785),"0000")</f>
        <v>Enum_0185</v>
      </c>
      <c r="C2785" s="23" t="s">
        <v>873</v>
      </c>
      <c r="D2785" s="69" t="s">
        <v>9453</v>
      </c>
      <c r="E2785" s="70" t="s">
        <v>9455</v>
      </c>
      <c r="F2785" s="26" t="s">
        <v>798</v>
      </c>
      <c r="G2785" s="15" t="s">
        <v>798</v>
      </c>
      <c r="H2785" s="14" t="s">
        <v>798</v>
      </c>
      <c r="I2785" s="15" t="s">
        <v>798</v>
      </c>
      <c r="J2785" s="12" t="s">
        <v>9436</v>
      </c>
      <c r="K2785" s="16" t="s">
        <v>2857</v>
      </c>
      <c r="L2785" s="12" t="s">
        <v>800</v>
      </c>
      <c r="M2785" s="16" t="s">
        <v>5755</v>
      </c>
      <c r="N2785" s="19" t="s">
        <v>798</v>
      </c>
      <c r="O2785" s="20" t="s">
        <v>798</v>
      </c>
      <c r="P2785" s="17" t="s">
        <v>802</v>
      </c>
      <c r="Q2785" s="21" t="s">
        <v>8409</v>
      </c>
      <c r="R2785" s="19" t="s">
        <v>798</v>
      </c>
      <c r="S2785" s="20" t="s">
        <v>798</v>
      </c>
      <c r="T2785" s="17" t="s">
        <v>798</v>
      </c>
      <c r="U2785" s="20" t="s">
        <v>798</v>
      </c>
      <c r="V2785" s="26" t="s">
        <v>798</v>
      </c>
      <c r="W2785" s="20" t="s">
        <v>798</v>
      </c>
      <c r="X2785" s="26" t="s">
        <v>798</v>
      </c>
      <c r="Y2785" s="20" t="s">
        <v>798</v>
      </c>
      <c r="Z2785" s="73" t="s">
        <v>9486</v>
      </c>
      <c r="AA2785" s="74" t="s">
        <v>9501</v>
      </c>
      <c r="AB2785" s="73" t="s">
        <v>9486</v>
      </c>
      <c r="AC2785" s="74" t="s">
        <v>9562</v>
      </c>
      <c r="AD2785" s="73" t="s">
        <v>9578</v>
      </c>
      <c r="AE2785" s="74" t="s">
        <v>9579</v>
      </c>
    </row>
    <row r="2786" spans="1:31" ht="8.65" customHeight="1" x14ac:dyDescent="0.2">
      <c r="A2786" s="76">
        <v>2786</v>
      </c>
      <c r="B2786" s="67" t="str">
        <f>MID(C2786, FIND("Ifc.", C2786) + 4, 4) &amp; "_" &amp; TEXT(COUNTIF($C$2:C2786, C2786),"0000")</f>
        <v>Enum_0186</v>
      </c>
      <c r="C2786" s="23" t="s">
        <v>873</v>
      </c>
      <c r="D2786" s="69" t="s">
        <v>9453</v>
      </c>
      <c r="E2786" s="70" t="s">
        <v>9455</v>
      </c>
      <c r="F2786" s="26" t="s">
        <v>798</v>
      </c>
      <c r="G2786" s="15" t="s">
        <v>798</v>
      </c>
      <c r="H2786" s="14" t="s">
        <v>798</v>
      </c>
      <c r="I2786" s="15" t="s">
        <v>798</v>
      </c>
      <c r="J2786" s="12" t="s">
        <v>9436</v>
      </c>
      <c r="K2786" s="16" t="s">
        <v>2858</v>
      </c>
      <c r="L2786" s="12" t="s">
        <v>800</v>
      </c>
      <c r="M2786" s="16" t="s">
        <v>5756</v>
      </c>
      <c r="N2786" s="19" t="s">
        <v>798</v>
      </c>
      <c r="O2786" s="20" t="s">
        <v>798</v>
      </c>
      <c r="P2786" s="17" t="s">
        <v>802</v>
      </c>
      <c r="Q2786" s="21" t="s">
        <v>8410</v>
      </c>
      <c r="R2786" s="19" t="s">
        <v>798</v>
      </c>
      <c r="S2786" s="20" t="s">
        <v>798</v>
      </c>
      <c r="T2786" s="17" t="s">
        <v>798</v>
      </c>
      <c r="U2786" s="20" t="s">
        <v>798</v>
      </c>
      <c r="V2786" s="26" t="s">
        <v>798</v>
      </c>
      <c r="W2786" s="20" t="s">
        <v>798</v>
      </c>
      <c r="X2786" s="26" t="s">
        <v>798</v>
      </c>
      <c r="Y2786" s="20" t="s">
        <v>798</v>
      </c>
      <c r="Z2786" s="73" t="s">
        <v>9486</v>
      </c>
      <c r="AA2786" s="74" t="s">
        <v>9501</v>
      </c>
      <c r="AB2786" s="73" t="s">
        <v>9486</v>
      </c>
      <c r="AC2786" s="74" t="s">
        <v>9562</v>
      </c>
      <c r="AD2786" s="73" t="s">
        <v>9578</v>
      </c>
      <c r="AE2786" s="74" t="s">
        <v>9579</v>
      </c>
    </row>
    <row r="2787" spans="1:31" ht="8.65" customHeight="1" x14ac:dyDescent="0.2">
      <c r="A2787" s="76">
        <v>2787</v>
      </c>
      <c r="B2787" s="67" t="str">
        <f>MID(C2787, FIND("Ifc.", C2787) + 4, 4) &amp; "_" &amp; TEXT(COUNTIF($C$2:C2787, C2787),"0000")</f>
        <v>Enum_0187</v>
      </c>
      <c r="C2787" s="23" t="s">
        <v>873</v>
      </c>
      <c r="D2787" s="69" t="s">
        <v>9453</v>
      </c>
      <c r="E2787" s="70" t="s">
        <v>9455</v>
      </c>
      <c r="F2787" s="26" t="s">
        <v>798</v>
      </c>
      <c r="G2787" s="15" t="s">
        <v>798</v>
      </c>
      <c r="H2787" s="14" t="s">
        <v>798</v>
      </c>
      <c r="I2787" s="15" t="s">
        <v>798</v>
      </c>
      <c r="J2787" s="12" t="s">
        <v>9436</v>
      </c>
      <c r="K2787" s="16" t="s">
        <v>2859</v>
      </c>
      <c r="L2787" s="12" t="s">
        <v>800</v>
      </c>
      <c r="M2787" s="16" t="s">
        <v>5757</v>
      </c>
      <c r="N2787" s="19" t="s">
        <v>798</v>
      </c>
      <c r="O2787" s="20" t="s">
        <v>798</v>
      </c>
      <c r="P2787" s="17" t="s">
        <v>802</v>
      </c>
      <c r="Q2787" s="21" t="s">
        <v>8411</v>
      </c>
      <c r="R2787" s="19" t="s">
        <v>798</v>
      </c>
      <c r="S2787" s="20" t="s">
        <v>798</v>
      </c>
      <c r="T2787" s="17" t="s">
        <v>798</v>
      </c>
      <c r="U2787" s="20" t="s">
        <v>798</v>
      </c>
      <c r="V2787" s="26" t="s">
        <v>798</v>
      </c>
      <c r="W2787" s="20" t="s">
        <v>798</v>
      </c>
      <c r="X2787" s="26" t="s">
        <v>798</v>
      </c>
      <c r="Y2787" s="20" t="s">
        <v>798</v>
      </c>
      <c r="Z2787" s="73" t="s">
        <v>9486</v>
      </c>
      <c r="AA2787" s="74" t="s">
        <v>9501</v>
      </c>
      <c r="AB2787" s="73" t="s">
        <v>9486</v>
      </c>
      <c r="AC2787" s="74" t="s">
        <v>9562</v>
      </c>
      <c r="AD2787" s="73" t="s">
        <v>9578</v>
      </c>
      <c r="AE2787" s="74" t="s">
        <v>9579</v>
      </c>
    </row>
    <row r="2788" spans="1:31" ht="8.65" customHeight="1" x14ac:dyDescent="0.2">
      <c r="A2788" s="76">
        <v>2788</v>
      </c>
      <c r="B2788" s="67" t="str">
        <f>MID(C2788, FIND("Ifc.", C2788) + 4, 4) &amp; "_" &amp; TEXT(COUNTIF($C$2:C2788, C2788),"0000")</f>
        <v>Enum_0188</v>
      </c>
      <c r="C2788" s="23" t="s">
        <v>873</v>
      </c>
      <c r="D2788" s="69" t="s">
        <v>9453</v>
      </c>
      <c r="E2788" s="70" t="s">
        <v>9455</v>
      </c>
      <c r="F2788" s="26" t="s">
        <v>798</v>
      </c>
      <c r="G2788" s="15" t="s">
        <v>798</v>
      </c>
      <c r="H2788" s="14" t="s">
        <v>798</v>
      </c>
      <c r="I2788" s="15" t="s">
        <v>798</v>
      </c>
      <c r="J2788" s="12" t="s">
        <v>9436</v>
      </c>
      <c r="K2788" s="16" t="s">
        <v>2860</v>
      </c>
      <c r="L2788" s="12" t="s">
        <v>800</v>
      </c>
      <c r="M2788" s="16" t="s">
        <v>5758</v>
      </c>
      <c r="N2788" s="19" t="s">
        <v>798</v>
      </c>
      <c r="O2788" s="20" t="s">
        <v>798</v>
      </c>
      <c r="P2788" s="17" t="s">
        <v>802</v>
      </c>
      <c r="Q2788" s="21" t="s">
        <v>8412</v>
      </c>
      <c r="R2788" s="19" t="s">
        <v>798</v>
      </c>
      <c r="S2788" s="20" t="s">
        <v>798</v>
      </c>
      <c r="T2788" s="17" t="s">
        <v>798</v>
      </c>
      <c r="U2788" s="20" t="s">
        <v>798</v>
      </c>
      <c r="V2788" s="26" t="s">
        <v>798</v>
      </c>
      <c r="W2788" s="20" t="s">
        <v>798</v>
      </c>
      <c r="X2788" s="26" t="s">
        <v>798</v>
      </c>
      <c r="Y2788" s="20" t="s">
        <v>798</v>
      </c>
      <c r="Z2788" s="73" t="s">
        <v>9486</v>
      </c>
      <c r="AA2788" s="74" t="s">
        <v>9501</v>
      </c>
      <c r="AB2788" s="73" t="s">
        <v>9486</v>
      </c>
      <c r="AC2788" s="74" t="s">
        <v>9562</v>
      </c>
      <c r="AD2788" s="73" t="s">
        <v>9578</v>
      </c>
      <c r="AE2788" s="74" t="s">
        <v>9579</v>
      </c>
    </row>
    <row r="2789" spans="1:31" ht="8.65" customHeight="1" x14ac:dyDescent="0.2">
      <c r="A2789" s="76">
        <v>2789</v>
      </c>
      <c r="B2789" s="67" t="str">
        <f>MID(C2789, FIND("Ifc.", C2789) + 4, 4) &amp; "_" &amp; TEXT(COUNTIF($C$2:C2789, C2789),"0000")</f>
        <v>Enum_0189</v>
      </c>
      <c r="C2789" s="23" t="s">
        <v>873</v>
      </c>
      <c r="D2789" s="69" t="s">
        <v>9453</v>
      </c>
      <c r="E2789" s="70" t="s">
        <v>9455</v>
      </c>
      <c r="F2789" s="26" t="s">
        <v>798</v>
      </c>
      <c r="G2789" s="15" t="s">
        <v>798</v>
      </c>
      <c r="H2789" s="14" t="s">
        <v>798</v>
      </c>
      <c r="I2789" s="15" t="s">
        <v>798</v>
      </c>
      <c r="J2789" s="12" t="s">
        <v>9436</v>
      </c>
      <c r="K2789" s="16" t="s">
        <v>2861</v>
      </c>
      <c r="L2789" s="12" t="s">
        <v>800</v>
      </c>
      <c r="M2789" s="16" t="s">
        <v>5759</v>
      </c>
      <c r="N2789" s="19" t="s">
        <v>798</v>
      </c>
      <c r="O2789" s="20" t="s">
        <v>798</v>
      </c>
      <c r="P2789" s="17" t="s">
        <v>802</v>
      </c>
      <c r="Q2789" s="21" t="s">
        <v>8413</v>
      </c>
      <c r="R2789" s="19" t="s">
        <v>798</v>
      </c>
      <c r="S2789" s="20" t="s">
        <v>798</v>
      </c>
      <c r="T2789" s="17" t="s">
        <v>798</v>
      </c>
      <c r="U2789" s="20" t="s">
        <v>798</v>
      </c>
      <c r="V2789" s="26" t="s">
        <v>798</v>
      </c>
      <c r="W2789" s="20" t="s">
        <v>798</v>
      </c>
      <c r="X2789" s="26" t="s">
        <v>798</v>
      </c>
      <c r="Y2789" s="20" t="s">
        <v>798</v>
      </c>
      <c r="Z2789" s="73" t="s">
        <v>9486</v>
      </c>
      <c r="AA2789" s="74" t="s">
        <v>9501</v>
      </c>
      <c r="AB2789" s="73" t="s">
        <v>9486</v>
      </c>
      <c r="AC2789" s="74" t="s">
        <v>9562</v>
      </c>
      <c r="AD2789" s="73" t="s">
        <v>9578</v>
      </c>
      <c r="AE2789" s="74" t="s">
        <v>9579</v>
      </c>
    </row>
    <row r="2790" spans="1:31" ht="8.65" customHeight="1" x14ac:dyDescent="0.2">
      <c r="A2790" s="76">
        <v>2790</v>
      </c>
      <c r="B2790" s="67" t="str">
        <f>MID(C2790, FIND("Ifc.", C2790) + 4, 4) &amp; "_" &amp; TEXT(COUNTIF($C$2:C2790, C2790),"0000")</f>
        <v>Enum_0190</v>
      </c>
      <c r="C2790" s="23" t="s">
        <v>873</v>
      </c>
      <c r="D2790" s="69" t="s">
        <v>9453</v>
      </c>
      <c r="E2790" s="70" t="s">
        <v>9455</v>
      </c>
      <c r="F2790" s="26" t="s">
        <v>798</v>
      </c>
      <c r="G2790" s="15" t="s">
        <v>798</v>
      </c>
      <c r="H2790" s="14" t="s">
        <v>798</v>
      </c>
      <c r="I2790" s="15" t="s">
        <v>798</v>
      </c>
      <c r="J2790" s="12" t="s">
        <v>9436</v>
      </c>
      <c r="K2790" s="16" t="s">
        <v>2862</v>
      </c>
      <c r="L2790" s="12" t="s">
        <v>800</v>
      </c>
      <c r="M2790" s="16" t="s">
        <v>5806</v>
      </c>
      <c r="N2790" s="19" t="s">
        <v>798</v>
      </c>
      <c r="O2790" s="20" t="s">
        <v>798</v>
      </c>
      <c r="P2790" s="17" t="s">
        <v>802</v>
      </c>
      <c r="Q2790" s="21" t="s">
        <v>8414</v>
      </c>
      <c r="R2790" s="19" t="s">
        <v>798</v>
      </c>
      <c r="S2790" s="20" t="s">
        <v>798</v>
      </c>
      <c r="T2790" s="17" t="s">
        <v>798</v>
      </c>
      <c r="U2790" s="20" t="s">
        <v>798</v>
      </c>
      <c r="V2790" s="26" t="s">
        <v>798</v>
      </c>
      <c r="W2790" s="20" t="s">
        <v>798</v>
      </c>
      <c r="X2790" s="26" t="s">
        <v>798</v>
      </c>
      <c r="Y2790" s="20" t="s">
        <v>798</v>
      </c>
      <c r="Z2790" s="73" t="s">
        <v>9486</v>
      </c>
      <c r="AA2790" s="74" t="s">
        <v>9501</v>
      </c>
      <c r="AB2790" s="73" t="s">
        <v>9486</v>
      </c>
      <c r="AC2790" s="74" t="s">
        <v>9562</v>
      </c>
      <c r="AD2790" s="73" t="s">
        <v>9578</v>
      </c>
      <c r="AE2790" s="74" t="s">
        <v>9579</v>
      </c>
    </row>
    <row r="2791" spans="1:31" ht="8.65" customHeight="1" x14ac:dyDescent="0.2">
      <c r="A2791" s="76">
        <v>2791</v>
      </c>
      <c r="B2791" s="67" t="str">
        <f>MID(C2791, FIND("Ifc.", C2791) + 4, 4) &amp; "_" &amp; TEXT(COUNTIF($C$2:C2791, C2791),"0000")</f>
        <v>Enum_0191</v>
      </c>
      <c r="C2791" s="23" t="s">
        <v>873</v>
      </c>
      <c r="D2791" s="69" t="s">
        <v>9453</v>
      </c>
      <c r="E2791" s="70" t="s">
        <v>9455</v>
      </c>
      <c r="F2791" s="26" t="s">
        <v>798</v>
      </c>
      <c r="G2791" s="15" t="s">
        <v>798</v>
      </c>
      <c r="H2791" s="14" t="s">
        <v>798</v>
      </c>
      <c r="I2791" s="15" t="s">
        <v>798</v>
      </c>
      <c r="J2791" s="12" t="s">
        <v>9436</v>
      </c>
      <c r="K2791" s="16" t="s">
        <v>2863</v>
      </c>
      <c r="L2791" s="12" t="s">
        <v>800</v>
      </c>
      <c r="M2791" s="16" t="s">
        <v>5807</v>
      </c>
      <c r="N2791" s="19" t="s">
        <v>798</v>
      </c>
      <c r="O2791" s="20" t="s">
        <v>798</v>
      </c>
      <c r="P2791" s="17" t="s">
        <v>802</v>
      </c>
      <c r="Q2791" s="21" t="s">
        <v>8415</v>
      </c>
      <c r="R2791" s="19" t="s">
        <v>798</v>
      </c>
      <c r="S2791" s="20" t="s">
        <v>798</v>
      </c>
      <c r="T2791" s="17" t="s">
        <v>798</v>
      </c>
      <c r="U2791" s="20" t="s">
        <v>798</v>
      </c>
      <c r="V2791" s="26" t="s">
        <v>798</v>
      </c>
      <c r="W2791" s="20" t="s">
        <v>798</v>
      </c>
      <c r="X2791" s="26" t="s">
        <v>798</v>
      </c>
      <c r="Y2791" s="20" t="s">
        <v>798</v>
      </c>
      <c r="Z2791" s="73" t="s">
        <v>9486</v>
      </c>
      <c r="AA2791" s="74" t="s">
        <v>9501</v>
      </c>
      <c r="AB2791" s="73" t="s">
        <v>9486</v>
      </c>
      <c r="AC2791" s="74" t="s">
        <v>9562</v>
      </c>
      <c r="AD2791" s="73" t="s">
        <v>9578</v>
      </c>
      <c r="AE2791" s="74" t="s">
        <v>9579</v>
      </c>
    </row>
    <row r="2792" spans="1:31" ht="8.65" customHeight="1" x14ac:dyDescent="0.2">
      <c r="A2792" s="76">
        <v>2792</v>
      </c>
      <c r="B2792" s="67" t="str">
        <f>MID(C2792, FIND("Ifc.", C2792) + 4, 4) &amp; "_" &amp; TEXT(COUNTIF($C$2:C2792, C2792),"0000")</f>
        <v>Enum_0192</v>
      </c>
      <c r="C2792" s="23" t="s">
        <v>873</v>
      </c>
      <c r="D2792" s="69" t="s">
        <v>9453</v>
      </c>
      <c r="E2792" s="70" t="s">
        <v>9455</v>
      </c>
      <c r="F2792" s="26" t="s">
        <v>798</v>
      </c>
      <c r="G2792" s="15" t="s">
        <v>798</v>
      </c>
      <c r="H2792" s="14" t="s">
        <v>798</v>
      </c>
      <c r="I2792" s="15" t="s">
        <v>798</v>
      </c>
      <c r="J2792" s="12" t="s">
        <v>9436</v>
      </c>
      <c r="K2792" s="16" t="s">
        <v>2864</v>
      </c>
      <c r="L2792" s="12" t="s">
        <v>800</v>
      </c>
      <c r="M2792" s="16" t="s">
        <v>5760</v>
      </c>
      <c r="N2792" s="19" t="s">
        <v>798</v>
      </c>
      <c r="O2792" s="20" t="s">
        <v>798</v>
      </c>
      <c r="P2792" s="17" t="s">
        <v>802</v>
      </c>
      <c r="Q2792" s="21" t="s">
        <v>8416</v>
      </c>
      <c r="R2792" s="19" t="s">
        <v>798</v>
      </c>
      <c r="S2792" s="20" t="s">
        <v>798</v>
      </c>
      <c r="T2792" s="17" t="s">
        <v>798</v>
      </c>
      <c r="U2792" s="20" t="s">
        <v>798</v>
      </c>
      <c r="V2792" s="26" t="s">
        <v>798</v>
      </c>
      <c r="W2792" s="20" t="s">
        <v>798</v>
      </c>
      <c r="X2792" s="26" t="s">
        <v>798</v>
      </c>
      <c r="Y2792" s="20" t="s">
        <v>798</v>
      </c>
      <c r="Z2792" s="73" t="s">
        <v>9486</v>
      </c>
      <c r="AA2792" s="74" t="s">
        <v>9501</v>
      </c>
      <c r="AB2792" s="73" t="s">
        <v>9486</v>
      </c>
      <c r="AC2792" s="74" t="s">
        <v>9562</v>
      </c>
      <c r="AD2792" s="73" t="s">
        <v>9578</v>
      </c>
      <c r="AE2792" s="74" t="s">
        <v>9579</v>
      </c>
    </row>
    <row r="2793" spans="1:31" ht="8.65" customHeight="1" x14ac:dyDescent="0.2">
      <c r="A2793" s="76">
        <v>2793</v>
      </c>
      <c r="B2793" s="67" t="str">
        <f>MID(C2793, FIND("Ifc.", C2793) + 4, 4) &amp; "_" &amp; TEXT(COUNTIF($C$2:C2793, C2793),"0000")</f>
        <v>Enum_0193</v>
      </c>
      <c r="C2793" s="23" t="s">
        <v>873</v>
      </c>
      <c r="D2793" s="69" t="s">
        <v>9453</v>
      </c>
      <c r="E2793" s="70" t="s">
        <v>9455</v>
      </c>
      <c r="F2793" s="26" t="s">
        <v>798</v>
      </c>
      <c r="G2793" s="15" t="s">
        <v>798</v>
      </c>
      <c r="H2793" s="14" t="s">
        <v>798</v>
      </c>
      <c r="I2793" s="15" t="s">
        <v>798</v>
      </c>
      <c r="J2793" s="12" t="s">
        <v>9436</v>
      </c>
      <c r="K2793" s="16" t="s">
        <v>2865</v>
      </c>
      <c r="L2793" s="12" t="s">
        <v>800</v>
      </c>
      <c r="M2793" s="16" t="s">
        <v>5808</v>
      </c>
      <c r="N2793" s="19" t="s">
        <v>798</v>
      </c>
      <c r="O2793" s="20" t="s">
        <v>798</v>
      </c>
      <c r="P2793" s="17" t="s">
        <v>802</v>
      </c>
      <c r="Q2793" s="21" t="s">
        <v>8417</v>
      </c>
      <c r="R2793" s="19" t="s">
        <v>798</v>
      </c>
      <c r="S2793" s="20" t="s">
        <v>798</v>
      </c>
      <c r="T2793" s="17" t="s">
        <v>798</v>
      </c>
      <c r="U2793" s="20" t="s">
        <v>798</v>
      </c>
      <c r="V2793" s="26" t="s">
        <v>798</v>
      </c>
      <c r="W2793" s="20" t="s">
        <v>798</v>
      </c>
      <c r="X2793" s="26" t="s">
        <v>798</v>
      </c>
      <c r="Y2793" s="20" t="s">
        <v>798</v>
      </c>
      <c r="Z2793" s="73" t="s">
        <v>9486</v>
      </c>
      <c r="AA2793" s="74" t="s">
        <v>9501</v>
      </c>
      <c r="AB2793" s="73" t="s">
        <v>9486</v>
      </c>
      <c r="AC2793" s="74" t="s">
        <v>9562</v>
      </c>
      <c r="AD2793" s="73" t="s">
        <v>9578</v>
      </c>
      <c r="AE2793" s="74" t="s">
        <v>9579</v>
      </c>
    </row>
    <row r="2794" spans="1:31" ht="8.65" customHeight="1" x14ac:dyDescent="0.2">
      <c r="A2794" s="76">
        <v>2794</v>
      </c>
      <c r="B2794" s="67" t="str">
        <f>MID(C2794, FIND("Ifc.", C2794) + 4, 4) &amp; "_" &amp; TEXT(COUNTIF($C$2:C2794, C2794),"0000")</f>
        <v>Enum_0194</v>
      </c>
      <c r="C2794" s="23" t="s">
        <v>873</v>
      </c>
      <c r="D2794" s="69" t="s">
        <v>9453</v>
      </c>
      <c r="E2794" s="70" t="s">
        <v>9455</v>
      </c>
      <c r="F2794" s="26" t="s">
        <v>798</v>
      </c>
      <c r="G2794" s="15" t="s">
        <v>798</v>
      </c>
      <c r="H2794" s="14" t="s">
        <v>798</v>
      </c>
      <c r="I2794" s="15" t="s">
        <v>798</v>
      </c>
      <c r="J2794" s="12" t="s">
        <v>9436</v>
      </c>
      <c r="K2794" s="16" t="s">
        <v>2866</v>
      </c>
      <c r="L2794" s="12" t="s">
        <v>800</v>
      </c>
      <c r="M2794" s="16" t="s">
        <v>5761</v>
      </c>
      <c r="N2794" s="19" t="s">
        <v>798</v>
      </c>
      <c r="O2794" s="20" t="s">
        <v>798</v>
      </c>
      <c r="P2794" s="17" t="s">
        <v>802</v>
      </c>
      <c r="Q2794" s="21" t="s">
        <v>8418</v>
      </c>
      <c r="R2794" s="19" t="s">
        <v>798</v>
      </c>
      <c r="S2794" s="20" t="s">
        <v>798</v>
      </c>
      <c r="T2794" s="17" t="s">
        <v>798</v>
      </c>
      <c r="U2794" s="20" t="s">
        <v>798</v>
      </c>
      <c r="V2794" s="26" t="s">
        <v>798</v>
      </c>
      <c r="W2794" s="20" t="s">
        <v>798</v>
      </c>
      <c r="X2794" s="26" t="s">
        <v>798</v>
      </c>
      <c r="Y2794" s="20" t="s">
        <v>798</v>
      </c>
      <c r="Z2794" s="73" t="s">
        <v>9486</v>
      </c>
      <c r="AA2794" s="74" t="s">
        <v>9501</v>
      </c>
      <c r="AB2794" s="73" t="s">
        <v>9486</v>
      </c>
      <c r="AC2794" s="74" t="s">
        <v>9562</v>
      </c>
      <c r="AD2794" s="73" t="s">
        <v>9578</v>
      </c>
      <c r="AE2794" s="74" t="s">
        <v>9579</v>
      </c>
    </row>
    <row r="2795" spans="1:31" ht="8.65" customHeight="1" x14ac:dyDescent="0.2">
      <c r="A2795" s="76">
        <v>2795</v>
      </c>
      <c r="B2795" s="67" t="str">
        <f>MID(C2795, FIND("Ifc.", C2795) + 4, 4) &amp; "_" &amp; TEXT(COUNTIF($C$2:C2795, C2795),"0000")</f>
        <v>Enum_0195</v>
      </c>
      <c r="C2795" s="23" t="s">
        <v>873</v>
      </c>
      <c r="D2795" s="69" t="s">
        <v>9453</v>
      </c>
      <c r="E2795" s="70" t="s">
        <v>9455</v>
      </c>
      <c r="F2795" s="26" t="s">
        <v>798</v>
      </c>
      <c r="G2795" s="15" t="s">
        <v>798</v>
      </c>
      <c r="H2795" s="14" t="s">
        <v>798</v>
      </c>
      <c r="I2795" s="15" t="s">
        <v>798</v>
      </c>
      <c r="J2795" s="12" t="s">
        <v>9436</v>
      </c>
      <c r="K2795" s="16" t="s">
        <v>2867</v>
      </c>
      <c r="L2795" s="12" t="s">
        <v>800</v>
      </c>
      <c r="M2795" s="16" t="s">
        <v>5762</v>
      </c>
      <c r="N2795" s="19" t="s">
        <v>798</v>
      </c>
      <c r="O2795" s="20" t="s">
        <v>798</v>
      </c>
      <c r="P2795" s="17" t="s">
        <v>802</v>
      </c>
      <c r="Q2795" s="21" t="s">
        <v>8419</v>
      </c>
      <c r="R2795" s="19" t="s">
        <v>798</v>
      </c>
      <c r="S2795" s="20" t="s">
        <v>798</v>
      </c>
      <c r="T2795" s="17" t="s">
        <v>798</v>
      </c>
      <c r="U2795" s="20" t="s">
        <v>798</v>
      </c>
      <c r="V2795" s="26" t="s">
        <v>798</v>
      </c>
      <c r="W2795" s="20" t="s">
        <v>798</v>
      </c>
      <c r="X2795" s="26" t="s">
        <v>798</v>
      </c>
      <c r="Y2795" s="20" t="s">
        <v>798</v>
      </c>
      <c r="Z2795" s="73" t="s">
        <v>9486</v>
      </c>
      <c r="AA2795" s="74" t="s">
        <v>9501</v>
      </c>
      <c r="AB2795" s="73" t="s">
        <v>9486</v>
      </c>
      <c r="AC2795" s="74" t="s">
        <v>9562</v>
      </c>
      <c r="AD2795" s="73" t="s">
        <v>9578</v>
      </c>
      <c r="AE2795" s="74" t="s">
        <v>9579</v>
      </c>
    </row>
    <row r="2796" spans="1:31" ht="8.65" customHeight="1" x14ac:dyDescent="0.2">
      <c r="A2796" s="76">
        <v>2796</v>
      </c>
      <c r="B2796" s="67" t="str">
        <f>MID(C2796, FIND("Ifc.", C2796) + 4, 4) &amp; "_" &amp; TEXT(COUNTIF($C$2:C2796, C2796),"0000")</f>
        <v>Enum_0196</v>
      </c>
      <c r="C2796" s="23" t="s">
        <v>873</v>
      </c>
      <c r="D2796" s="69" t="s">
        <v>9453</v>
      </c>
      <c r="E2796" s="70" t="s">
        <v>9455</v>
      </c>
      <c r="F2796" s="26" t="s">
        <v>798</v>
      </c>
      <c r="G2796" s="15" t="s">
        <v>798</v>
      </c>
      <c r="H2796" s="14" t="s">
        <v>798</v>
      </c>
      <c r="I2796" s="15" t="s">
        <v>798</v>
      </c>
      <c r="J2796" s="12" t="s">
        <v>9436</v>
      </c>
      <c r="K2796" s="16" t="s">
        <v>2868</v>
      </c>
      <c r="L2796" s="12" t="s">
        <v>800</v>
      </c>
      <c r="M2796" s="16" t="s">
        <v>5763</v>
      </c>
      <c r="N2796" s="19" t="s">
        <v>798</v>
      </c>
      <c r="O2796" s="20" t="s">
        <v>798</v>
      </c>
      <c r="P2796" s="17" t="s">
        <v>802</v>
      </c>
      <c r="Q2796" s="21" t="s">
        <v>8420</v>
      </c>
      <c r="R2796" s="19" t="s">
        <v>798</v>
      </c>
      <c r="S2796" s="20" t="s">
        <v>798</v>
      </c>
      <c r="T2796" s="17" t="s">
        <v>798</v>
      </c>
      <c r="U2796" s="20" t="s">
        <v>798</v>
      </c>
      <c r="V2796" s="26" t="s">
        <v>798</v>
      </c>
      <c r="W2796" s="20" t="s">
        <v>798</v>
      </c>
      <c r="X2796" s="26" t="s">
        <v>798</v>
      </c>
      <c r="Y2796" s="20" t="s">
        <v>798</v>
      </c>
      <c r="Z2796" s="73" t="s">
        <v>9486</v>
      </c>
      <c r="AA2796" s="74" t="s">
        <v>9501</v>
      </c>
      <c r="AB2796" s="73" t="s">
        <v>9486</v>
      </c>
      <c r="AC2796" s="74" t="s">
        <v>9562</v>
      </c>
      <c r="AD2796" s="73" t="s">
        <v>9578</v>
      </c>
      <c r="AE2796" s="74" t="s">
        <v>9579</v>
      </c>
    </row>
    <row r="2797" spans="1:31" ht="8.65" customHeight="1" x14ac:dyDescent="0.2">
      <c r="A2797" s="76">
        <v>2797</v>
      </c>
      <c r="B2797" s="67" t="str">
        <f>MID(C2797, FIND("Ifc.", C2797) + 4, 4) &amp; "_" &amp; TEXT(COUNTIF($C$2:C2797, C2797),"0000")</f>
        <v>Enum_0197</v>
      </c>
      <c r="C2797" s="23" t="s">
        <v>873</v>
      </c>
      <c r="D2797" s="69" t="s">
        <v>9453</v>
      </c>
      <c r="E2797" s="70" t="s">
        <v>9455</v>
      </c>
      <c r="F2797" s="26" t="s">
        <v>798</v>
      </c>
      <c r="G2797" s="15" t="s">
        <v>798</v>
      </c>
      <c r="H2797" s="14" t="s">
        <v>798</v>
      </c>
      <c r="I2797" s="15" t="s">
        <v>798</v>
      </c>
      <c r="J2797" s="12" t="s">
        <v>9436</v>
      </c>
      <c r="K2797" s="16" t="s">
        <v>2869</v>
      </c>
      <c r="L2797" s="12" t="s">
        <v>800</v>
      </c>
      <c r="M2797" s="16" t="s">
        <v>5764</v>
      </c>
      <c r="N2797" s="19" t="s">
        <v>798</v>
      </c>
      <c r="O2797" s="20" t="s">
        <v>798</v>
      </c>
      <c r="P2797" s="17" t="s">
        <v>802</v>
      </c>
      <c r="Q2797" s="21" t="s">
        <v>8421</v>
      </c>
      <c r="R2797" s="19" t="s">
        <v>798</v>
      </c>
      <c r="S2797" s="20" t="s">
        <v>798</v>
      </c>
      <c r="T2797" s="17" t="s">
        <v>798</v>
      </c>
      <c r="U2797" s="20" t="s">
        <v>798</v>
      </c>
      <c r="V2797" s="26" t="s">
        <v>798</v>
      </c>
      <c r="W2797" s="20" t="s">
        <v>798</v>
      </c>
      <c r="X2797" s="26" t="s">
        <v>798</v>
      </c>
      <c r="Y2797" s="20" t="s">
        <v>798</v>
      </c>
      <c r="Z2797" s="73" t="s">
        <v>9486</v>
      </c>
      <c r="AA2797" s="74" t="s">
        <v>9501</v>
      </c>
      <c r="AB2797" s="73" t="s">
        <v>9486</v>
      </c>
      <c r="AC2797" s="74" t="s">
        <v>9562</v>
      </c>
      <c r="AD2797" s="73" t="s">
        <v>9578</v>
      </c>
      <c r="AE2797" s="74" t="s">
        <v>9579</v>
      </c>
    </row>
    <row r="2798" spans="1:31" ht="8.65" customHeight="1" x14ac:dyDescent="0.2">
      <c r="A2798" s="76">
        <v>2798</v>
      </c>
      <c r="B2798" s="67" t="str">
        <f>MID(C2798, FIND("Ifc.", C2798) + 4, 4) &amp; "_" &amp; TEXT(COUNTIF($C$2:C2798, C2798),"0000")</f>
        <v>Enum_0198</v>
      </c>
      <c r="C2798" s="23" t="s">
        <v>873</v>
      </c>
      <c r="D2798" s="69" t="s">
        <v>9453</v>
      </c>
      <c r="E2798" s="70" t="s">
        <v>9455</v>
      </c>
      <c r="F2798" s="26" t="s">
        <v>798</v>
      </c>
      <c r="G2798" s="15" t="s">
        <v>798</v>
      </c>
      <c r="H2798" s="14" t="s">
        <v>798</v>
      </c>
      <c r="I2798" s="15" t="s">
        <v>798</v>
      </c>
      <c r="J2798" s="12" t="s">
        <v>9436</v>
      </c>
      <c r="K2798" s="16" t="s">
        <v>2870</v>
      </c>
      <c r="L2798" s="12" t="s">
        <v>800</v>
      </c>
      <c r="M2798" s="16" t="s">
        <v>5765</v>
      </c>
      <c r="N2798" s="19" t="s">
        <v>798</v>
      </c>
      <c r="O2798" s="20" t="s">
        <v>798</v>
      </c>
      <c r="P2798" s="17" t="s">
        <v>802</v>
      </c>
      <c r="Q2798" s="21" t="s">
        <v>8422</v>
      </c>
      <c r="R2798" s="19" t="s">
        <v>798</v>
      </c>
      <c r="S2798" s="20" t="s">
        <v>798</v>
      </c>
      <c r="T2798" s="17" t="s">
        <v>798</v>
      </c>
      <c r="U2798" s="20" t="s">
        <v>798</v>
      </c>
      <c r="V2798" s="26" t="s">
        <v>798</v>
      </c>
      <c r="W2798" s="20" t="s">
        <v>798</v>
      </c>
      <c r="X2798" s="26" t="s">
        <v>798</v>
      </c>
      <c r="Y2798" s="20" t="s">
        <v>798</v>
      </c>
      <c r="Z2798" s="73" t="s">
        <v>9486</v>
      </c>
      <c r="AA2798" s="74" t="s">
        <v>9501</v>
      </c>
      <c r="AB2798" s="73" t="s">
        <v>9486</v>
      </c>
      <c r="AC2798" s="74" t="s">
        <v>9562</v>
      </c>
      <c r="AD2798" s="73" t="s">
        <v>9578</v>
      </c>
      <c r="AE2798" s="74" t="s">
        <v>9579</v>
      </c>
    </row>
    <row r="2799" spans="1:31" ht="8.65" customHeight="1" x14ac:dyDescent="0.2">
      <c r="A2799" s="76">
        <v>2799</v>
      </c>
      <c r="B2799" s="67" t="str">
        <f>MID(C2799, FIND("Ifc.", C2799) + 4, 4) &amp; "_" &amp; TEXT(COUNTIF($C$2:C2799, C2799),"0000")</f>
        <v>Enum_0199</v>
      </c>
      <c r="C2799" s="23" t="s">
        <v>873</v>
      </c>
      <c r="D2799" s="69" t="s">
        <v>9453</v>
      </c>
      <c r="E2799" s="70" t="s">
        <v>9455</v>
      </c>
      <c r="F2799" s="26" t="s">
        <v>798</v>
      </c>
      <c r="G2799" s="15" t="s">
        <v>798</v>
      </c>
      <c r="H2799" s="14" t="s">
        <v>798</v>
      </c>
      <c r="I2799" s="15" t="s">
        <v>798</v>
      </c>
      <c r="J2799" s="12" t="s">
        <v>9436</v>
      </c>
      <c r="K2799" s="16" t="s">
        <v>2871</v>
      </c>
      <c r="L2799" s="12" t="s">
        <v>800</v>
      </c>
      <c r="M2799" s="16" t="s">
        <v>5766</v>
      </c>
      <c r="N2799" s="19" t="s">
        <v>798</v>
      </c>
      <c r="O2799" s="20" t="s">
        <v>798</v>
      </c>
      <c r="P2799" s="17" t="s">
        <v>802</v>
      </c>
      <c r="Q2799" s="21" t="s">
        <v>8423</v>
      </c>
      <c r="R2799" s="19" t="s">
        <v>798</v>
      </c>
      <c r="S2799" s="20" t="s">
        <v>798</v>
      </c>
      <c r="T2799" s="17" t="s">
        <v>798</v>
      </c>
      <c r="U2799" s="20" t="s">
        <v>798</v>
      </c>
      <c r="V2799" s="26" t="s">
        <v>798</v>
      </c>
      <c r="W2799" s="20" t="s">
        <v>798</v>
      </c>
      <c r="X2799" s="26" t="s">
        <v>798</v>
      </c>
      <c r="Y2799" s="20" t="s">
        <v>798</v>
      </c>
      <c r="Z2799" s="73" t="s">
        <v>9486</v>
      </c>
      <c r="AA2799" s="74" t="s">
        <v>9501</v>
      </c>
      <c r="AB2799" s="73" t="s">
        <v>9486</v>
      </c>
      <c r="AC2799" s="74" t="s">
        <v>9562</v>
      </c>
      <c r="AD2799" s="73" t="s">
        <v>9578</v>
      </c>
      <c r="AE2799" s="74" t="s">
        <v>9579</v>
      </c>
    </row>
    <row r="2800" spans="1:31" ht="8.65" customHeight="1" x14ac:dyDescent="0.2">
      <c r="A2800" s="76">
        <v>2800</v>
      </c>
      <c r="B2800" s="67" t="str">
        <f>MID(C2800, FIND("Ifc.", C2800) + 4, 4) &amp; "_" &amp; TEXT(COUNTIF($C$2:C2800, C2800),"0000")</f>
        <v>Enum_0200</v>
      </c>
      <c r="C2800" s="23" t="s">
        <v>873</v>
      </c>
      <c r="D2800" s="69" t="s">
        <v>9453</v>
      </c>
      <c r="E2800" s="70" t="s">
        <v>9455</v>
      </c>
      <c r="F2800" s="26" t="s">
        <v>798</v>
      </c>
      <c r="G2800" s="15" t="s">
        <v>798</v>
      </c>
      <c r="H2800" s="14" t="s">
        <v>798</v>
      </c>
      <c r="I2800" s="15" t="s">
        <v>798</v>
      </c>
      <c r="J2800" s="12" t="s">
        <v>9436</v>
      </c>
      <c r="K2800" s="16" t="s">
        <v>2872</v>
      </c>
      <c r="L2800" s="12" t="s">
        <v>800</v>
      </c>
      <c r="M2800" s="16" t="s">
        <v>5767</v>
      </c>
      <c r="N2800" s="19" t="s">
        <v>798</v>
      </c>
      <c r="O2800" s="20" t="s">
        <v>798</v>
      </c>
      <c r="P2800" s="17" t="s">
        <v>802</v>
      </c>
      <c r="Q2800" s="21" t="s">
        <v>8424</v>
      </c>
      <c r="R2800" s="19" t="s">
        <v>798</v>
      </c>
      <c r="S2800" s="20" t="s">
        <v>798</v>
      </c>
      <c r="T2800" s="17" t="s">
        <v>798</v>
      </c>
      <c r="U2800" s="20" t="s">
        <v>798</v>
      </c>
      <c r="V2800" s="26" t="s">
        <v>798</v>
      </c>
      <c r="W2800" s="20" t="s">
        <v>798</v>
      </c>
      <c r="X2800" s="26" t="s">
        <v>798</v>
      </c>
      <c r="Y2800" s="20" t="s">
        <v>798</v>
      </c>
      <c r="Z2800" s="73" t="s">
        <v>9486</v>
      </c>
      <c r="AA2800" s="74" t="s">
        <v>9501</v>
      </c>
      <c r="AB2800" s="73" t="s">
        <v>9486</v>
      </c>
      <c r="AC2800" s="74" t="s">
        <v>9562</v>
      </c>
      <c r="AD2800" s="73" t="s">
        <v>9578</v>
      </c>
      <c r="AE2800" s="74" t="s">
        <v>9579</v>
      </c>
    </row>
    <row r="2801" spans="1:31" ht="8.65" customHeight="1" x14ac:dyDescent="0.2">
      <c r="A2801" s="76">
        <v>2801</v>
      </c>
      <c r="B2801" s="67" t="str">
        <f>MID(C2801, FIND("Ifc.", C2801) + 4, 4) &amp; "_" &amp; TEXT(COUNTIF($C$2:C2801, C2801),"0000")</f>
        <v>Enum_0201</v>
      </c>
      <c r="C2801" s="23" t="s">
        <v>873</v>
      </c>
      <c r="D2801" s="69" t="s">
        <v>9453</v>
      </c>
      <c r="E2801" s="70" t="s">
        <v>9455</v>
      </c>
      <c r="F2801" s="26" t="s">
        <v>798</v>
      </c>
      <c r="G2801" s="15" t="s">
        <v>798</v>
      </c>
      <c r="H2801" s="14" t="s">
        <v>798</v>
      </c>
      <c r="I2801" s="15" t="s">
        <v>798</v>
      </c>
      <c r="J2801" s="12" t="s">
        <v>9436</v>
      </c>
      <c r="K2801" s="16" t="s">
        <v>2873</v>
      </c>
      <c r="L2801" s="12" t="s">
        <v>800</v>
      </c>
      <c r="M2801" s="16" t="s">
        <v>5768</v>
      </c>
      <c r="N2801" s="19" t="s">
        <v>798</v>
      </c>
      <c r="O2801" s="20" t="s">
        <v>798</v>
      </c>
      <c r="P2801" s="17" t="s">
        <v>802</v>
      </c>
      <c r="Q2801" s="21" t="s">
        <v>8425</v>
      </c>
      <c r="R2801" s="19" t="s">
        <v>798</v>
      </c>
      <c r="S2801" s="20" t="s">
        <v>798</v>
      </c>
      <c r="T2801" s="17" t="s">
        <v>798</v>
      </c>
      <c r="U2801" s="20" t="s">
        <v>798</v>
      </c>
      <c r="V2801" s="26" t="s">
        <v>798</v>
      </c>
      <c r="W2801" s="20" t="s">
        <v>798</v>
      </c>
      <c r="X2801" s="26" t="s">
        <v>798</v>
      </c>
      <c r="Y2801" s="20" t="s">
        <v>798</v>
      </c>
      <c r="Z2801" s="73" t="s">
        <v>9486</v>
      </c>
      <c r="AA2801" s="74" t="s">
        <v>9501</v>
      </c>
      <c r="AB2801" s="73" t="s">
        <v>9486</v>
      </c>
      <c r="AC2801" s="74" t="s">
        <v>9562</v>
      </c>
      <c r="AD2801" s="73" t="s">
        <v>9578</v>
      </c>
      <c r="AE2801" s="74" t="s">
        <v>9579</v>
      </c>
    </row>
    <row r="2802" spans="1:31" ht="8.65" customHeight="1" x14ac:dyDescent="0.2">
      <c r="A2802" s="76">
        <v>2802</v>
      </c>
      <c r="B2802" s="67" t="str">
        <f>MID(C2802, FIND("Ifc.", C2802) + 4, 4) &amp; "_" &amp; TEXT(COUNTIF($C$2:C2802, C2802),"0000")</f>
        <v>Enum_0202</v>
      </c>
      <c r="C2802" s="23" t="s">
        <v>873</v>
      </c>
      <c r="D2802" s="69" t="s">
        <v>9453</v>
      </c>
      <c r="E2802" s="70" t="s">
        <v>9455</v>
      </c>
      <c r="F2802" s="26" t="s">
        <v>798</v>
      </c>
      <c r="G2802" s="15" t="s">
        <v>798</v>
      </c>
      <c r="H2802" s="14" t="s">
        <v>798</v>
      </c>
      <c r="I2802" s="15" t="s">
        <v>798</v>
      </c>
      <c r="J2802" s="12" t="s">
        <v>9436</v>
      </c>
      <c r="K2802" s="16" t="s">
        <v>2874</v>
      </c>
      <c r="L2802" s="12" t="s">
        <v>800</v>
      </c>
      <c r="M2802" s="16" t="s">
        <v>5769</v>
      </c>
      <c r="N2802" s="19" t="s">
        <v>798</v>
      </c>
      <c r="O2802" s="20" t="s">
        <v>798</v>
      </c>
      <c r="P2802" s="17" t="s">
        <v>802</v>
      </c>
      <c r="Q2802" s="21" t="s">
        <v>8426</v>
      </c>
      <c r="R2802" s="19" t="s">
        <v>798</v>
      </c>
      <c r="S2802" s="20" t="s">
        <v>798</v>
      </c>
      <c r="T2802" s="17" t="s">
        <v>798</v>
      </c>
      <c r="U2802" s="20" t="s">
        <v>798</v>
      </c>
      <c r="V2802" s="26" t="s">
        <v>798</v>
      </c>
      <c r="W2802" s="20" t="s">
        <v>798</v>
      </c>
      <c r="X2802" s="26" t="s">
        <v>798</v>
      </c>
      <c r="Y2802" s="20" t="s">
        <v>798</v>
      </c>
      <c r="Z2802" s="73" t="s">
        <v>9486</v>
      </c>
      <c r="AA2802" s="74" t="s">
        <v>9501</v>
      </c>
      <c r="AB2802" s="73" t="s">
        <v>9486</v>
      </c>
      <c r="AC2802" s="74" t="s">
        <v>9562</v>
      </c>
      <c r="AD2802" s="73" t="s">
        <v>9578</v>
      </c>
      <c r="AE2802" s="74" t="s">
        <v>9579</v>
      </c>
    </row>
    <row r="2803" spans="1:31" ht="8.65" customHeight="1" x14ac:dyDescent="0.2">
      <c r="A2803" s="76">
        <v>2803</v>
      </c>
      <c r="B2803" s="67" t="str">
        <f>MID(C2803, FIND("Ifc.", C2803) + 4, 4) &amp; "_" &amp; TEXT(COUNTIF($C$2:C2803, C2803),"0000")</f>
        <v>Enum_0203</v>
      </c>
      <c r="C2803" s="23" t="s">
        <v>873</v>
      </c>
      <c r="D2803" s="69" t="s">
        <v>9453</v>
      </c>
      <c r="E2803" s="70" t="s">
        <v>9455</v>
      </c>
      <c r="F2803" s="26" t="s">
        <v>798</v>
      </c>
      <c r="G2803" s="15" t="s">
        <v>798</v>
      </c>
      <c r="H2803" s="14" t="s">
        <v>798</v>
      </c>
      <c r="I2803" s="15" t="s">
        <v>798</v>
      </c>
      <c r="J2803" s="12" t="s">
        <v>9436</v>
      </c>
      <c r="K2803" s="16" t="s">
        <v>2875</v>
      </c>
      <c r="L2803" s="12" t="s">
        <v>800</v>
      </c>
      <c r="M2803" s="16" t="s">
        <v>5770</v>
      </c>
      <c r="N2803" s="19" t="s">
        <v>798</v>
      </c>
      <c r="O2803" s="20" t="s">
        <v>798</v>
      </c>
      <c r="P2803" s="17" t="s">
        <v>802</v>
      </c>
      <c r="Q2803" s="21" t="s">
        <v>8427</v>
      </c>
      <c r="R2803" s="19" t="s">
        <v>798</v>
      </c>
      <c r="S2803" s="20" t="s">
        <v>798</v>
      </c>
      <c r="T2803" s="17" t="s">
        <v>798</v>
      </c>
      <c r="U2803" s="20" t="s">
        <v>798</v>
      </c>
      <c r="V2803" s="26" t="s">
        <v>798</v>
      </c>
      <c r="W2803" s="20" t="s">
        <v>798</v>
      </c>
      <c r="X2803" s="26" t="s">
        <v>798</v>
      </c>
      <c r="Y2803" s="20" t="s">
        <v>798</v>
      </c>
      <c r="Z2803" s="73" t="s">
        <v>9486</v>
      </c>
      <c r="AA2803" s="74" t="s">
        <v>9501</v>
      </c>
      <c r="AB2803" s="73" t="s">
        <v>9486</v>
      </c>
      <c r="AC2803" s="74" t="s">
        <v>9562</v>
      </c>
      <c r="AD2803" s="73" t="s">
        <v>9578</v>
      </c>
      <c r="AE2803" s="74" t="s">
        <v>9579</v>
      </c>
    </row>
    <row r="2804" spans="1:31" ht="8.65" customHeight="1" x14ac:dyDescent="0.2">
      <c r="A2804" s="76">
        <v>2804</v>
      </c>
      <c r="B2804" s="67" t="str">
        <f>MID(C2804, FIND("Ifc.", C2804) + 4, 4) &amp; "_" &amp; TEXT(COUNTIF($C$2:C2804, C2804),"0000")</f>
        <v>Enum_0204</v>
      </c>
      <c r="C2804" s="23" t="s">
        <v>873</v>
      </c>
      <c r="D2804" s="69" t="s">
        <v>9453</v>
      </c>
      <c r="E2804" s="70" t="s">
        <v>9455</v>
      </c>
      <c r="F2804" s="26" t="s">
        <v>798</v>
      </c>
      <c r="G2804" s="15" t="s">
        <v>798</v>
      </c>
      <c r="H2804" s="14" t="s">
        <v>798</v>
      </c>
      <c r="I2804" s="15" t="s">
        <v>798</v>
      </c>
      <c r="J2804" s="12" t="s">
        <v>9436</v>
      </c>
      <c r="K2804" s="16" t="s">
        <v>2876</v>
      </c>
      <c r="L2804" s="12" t="s">
        <v>800</v>
      </c>
      <c r="M2804" s="16" t="s">
        <v>5771</v>
      </c>
      <c r="N2804" s="19" t="s">
        <v>798</v>
      </c>
      <c r="O2804" s="20" t="s">
        <v>798</v>
      </c>
      <c r="P2804" s="17" t="s">
        <v>802</v>
      </c>
      <c r="Q2804" s="21" t="s">
        <v>8428</v>
      </c>
      <c r="R2804" s="19" t="s">
        <v>798</v>
      </c>
      <c r="S2804" s="20" t="s">
        <v>798</v>
      </c>
      <c r="T2804" s="17" t="s">
        <v>798</v>
      </c>
      <c r="U2804" s="20" t="s">
        <v>798</v>
      </c>
      <c r="V2804" s="26" t="s">
        <v>798</v>
      </c>
      <c r="W2804" s="20" t="s">
        <v>798</v>
      </c>
      <c r="X2804" s="26" t="s">
        <v>798</v>
      </c>
      <c r="Y2804" s="20" t="s">
        <v>798</v>
      </c>
      <c r="Z2804" s="73" t="s">
        <v>9486</v>
      </c>
      <c r="AA2804" s="74" t="s">
        <v>9501</v>
      </c>
      <c r="AB2804" s="73" t="s">
        <v>9486</v>
      </c>
      <c r="AC2804" s="74" t="s">
        <v>9562</v>
      </c>
      <c r="AD2804" s="73" t="s">
        <v>9578</v>
      </c>
      <c r="AE2804" s="74" t="s">
        <v>9579</v>
      </c>
    </row>
    <row r="2805" spans="1:31" ht="8.65" customHeight="1" x14ac:dyDescent="0.2">
      <c r="A2805" s="76">
        <v>2805</v>
      </c>
      <c r="B2805" s="67" t="str">
        <f>MID(C2805, FIND("Ifc.", C2805) + 4, 4) &amp; "_" &amp; TEXT(COUNTIF($C$2:C2805, C2805),"0000")</f>
        <v>Enum_0205</v>
      </c>
      <c r="C2805" s="23" t="s">
        <v>873</v>
      </c>
      <c r="D2805" s="69" t="s">
        <v>9453</v>
      </c>
      <c r="E2805" s="70" t="s">
        <v>9455</v>
      </c>
      <c r="F2805" s="26" t="s">
        <v>798</v>
      </c>
      <c r="G2805" s="15" t="s">
        <v>798</v>
      </c>
      <c r="H2805" s="14" t="s">
        <v>798</v>
      </c>
      <c r="I2805" s="15" t="s">
        <v>798</v>
      </c>
      <c r="J2805" s="12" t="s">
        <v>9436</v>
      </c>
      <c r="K2805" s="16" t="s">
        <v>2877</v>
      </c>
      <c r="L2805" s="12" t="s">
        <v>800</v>
      </c>
      <c r="M2805" s="16" t="s">
        <v>5772</v>
      </c>
      <c r="N2805" s="19" t="s">
        <v>798</v>
      </c>
      <c r="O2805" s="20" t="s">
        <v>798</v>
      </c>
      <c r="P2805" s="17" t="s">
        <v>802</v>
      </c>
      <c r="Q2805" s="21" t="s">
        <v>8429</v>
      </c>
      <c r="R2805" s="19" t="s">
        <v>798</v>
      </c>
      <c r="S2805" s="20" t="s">
        <v>798</v>
      </c>
      <c r="T2805" s="17" t="s">
        <v>798</v>
      </c>
      <c r="U2805" s="20" t="s">
        <v>798</v>
      </c>
      <c r="V2805" s="26" t="s">
        <v>798</v>
      </c>
      <c r="W2805" s="20" t="s">
        <v>798</v>
      </c>
      <c r="X2805" s="26" t="s">
        <v>798</v>
      </c>
      <c r="Y2805" s="20" t="s">
        <v>798</v>
      </c>
      <c r="Z2805" s="73" t="s">
        <v>9486</v>
      </c>
      <c r="AA2805" s="74" t="s">
        <v>9501</v>
      </c>
      <c r="AB2805" s="73" t="s">
        <v>9486</v>
      </c>
      <c r="AC2805" s="74" t="s">
        <v>9562</v>
      </c>
      <c r="AD2805" s="73" t="s">
        <v>9578</v>
      </c>
      <c r="AE2805" s="74" t="s">
        <v>9579</v>
      </c>
    </row>
    <row r="2806" spans="1:31" ht="8.65" customHeight="1" x14ac:dyDescent="0.2">
      <c r="A2806" s="76">
        <v>2806</v>
      </c>
      <c r="B2806" s="67" t="str">
        <f>MID(C2806, FIND("Ifc.", C2806) + 4, 4) &amp; "_" &amp; TEXT(COUNTIF($C$2:C2806, C2806),"0000")</f>
        <v>Enum_0206</v>
      </c>
      <c r="C2806" s="23" t="s">
        <v>873</v>
      </c>
      <c r="D2806" s="69" t="s">
        <v>9453</v>
      </c>
      <c r="E2806" s="70" t="s">
        <v>9455</v>
      </c>
      <c r="F2806" s="26" t="s">
        <v>798</v>
      </c>
      <c r="G2806" s="15" t="s">
        <v>798</v>
      </c>
      <c r="H2806" s="14" t="s">
        <v>798</v>
      </c>
      <c r="I2806" s="15" t="s">
        <v>798</v>
      </c>
      <c r="J2806" s="12" t="s">
        <v>9436</v>
      </c>
      <c r="K2806" s="16" t="s">
        <v>2878</v>
      </c>
      <c r="L2806" s="12" t="s">
        <v>800</v>
      </c>
      <c r="M2806" s="16" t="s">
        <v>5773</v>
      </c>
      <c r="N2806" s="19" t="s">
        <v>798</v>
      </c>
      <c r="O2806" s="20" t="s">
        <v>798</v>
      </c>
      <c r="P2806" s="17" t="s">
        <v>802</v>
      </c>
      <c r="Q2806" s="21" t="s">
        <v>8430</v>
      </c>
      <c r="R2806" s="19" t="s">
        <v>798</v>
      </c>
      <c r="S2806" s="20" t="s">
        <v>798</v>
      </c>
      <c r="T2806" s="17" t="s">
        <v>798</v>
      </c>
      <c r="U2806" s="20" t="s">
        <v>798</v>
      </c>
      <c r="V2806" s="26" t="s">
        <v>798</v>
      </c>
      <c r="W2806" s="20" t="s">
        <v>798</v>
      </c>
      <c r="X2806" s="26" t="s">
        <v>798</v>
      </c>
      <c r="Y2806" s="20" t="s">
        <v>798</v>
      </c>
      <c r="Z2806" s="73" t="s">
        <v>9486</v>
      </c>
      <c r="AA2806" s="74" t="s">
        <v>9501</v>
      </c>
      <c r="AB2806" s="73" t="s">
        <v>9486</v>
      </c>
      <c r="AC2806" s="74" t="s">
        <v>9562</v>
      </c>
      <c r="AD2806" s="73" t="s">
        <v>9578</v>
      </c>
      <c r="AE2806" s="74" t="s">
        <v>9579</v>
      </c>
    </row>
    <row r="2807" spans="1:31" ht="8.65" customHeight="1" x14ac:dyDescent="0.2">
      <c r="A2807" s="76">
        <v>2807</v>
      </c>
      <c r="B2807" s="67" t="str">
        <f>MID(C2807, FIND("Ifc.", C2807) + 4, 4) &amp; "_" &amp; TEXT(COUNTIF($C$2:C2807, C2807),"0000")</f>
        <v>Enum_0207</v>
      </c>
      <c r="C2807" s="23" t="s">
        <v>873</v>
      </c>
      <c r="D2807" s="69" t="s">
        <v>9453</v>
      </c>
      <c r="E2807" s="70" t="s">
        <v>9455</v>
      </c>
      <c r="F2807" s="26" t="s">
        <v>798</v>
      </c>
      <c r="G2807" s="15" t="s">
        <v>798</v>
      </c>
      <c r="H2807" s="14" t="s">
        <v>798</v>
      </c>
      <c r="I2807" s="15" t="s">
        <v>798</v>
      </c>
      <c r="J2807" s="12" t="s">
        <v>9436</v>
      </c>
      <c r="K2807" s="16" t="s">
        <v>2879</v>
      </c>
      <c r="L2807" s="12" t="s">
        <v>800</v>
      </c>
      <c r="M2807" s="16" t="s">
        <v>5774</v>
      </c>
      <c r="N2807" s="19" t="s">
        <v>798</v>
      </c>
      <c r="O2807" s="20" t="s">
        <v>798</v>
      </c>
      <c r="P2807" s="17" t="s">
        <v>802</v>
      </c>
      <c r="Q2807" s="21" t="s">
        <v>8431</v>
      </c>
      <c r="R2807" s="19" t="s">
        <v>798</v>
      </c>
      <c r="S2807" s="20" t="s">
        <v>798</v>
      </c>
      <c r="T2807" s="17" t="s">
        <v>798</v>
      </c>
      <c r="U2807" s="20" t="s">
        <v>798</v>
      </c>
      <c r="V2807" s="26" t="s">
        <v>798</v>
      </c>
      <c r="W2807" s="20" t="s">
        <v>798</v>
      </c>
      <c r="X2807" s="26" t="s">
        <v>798</v>
      </c>
      <c r="Y2807" s="20" t="s">
        <v>798</v>
      </c>
      <c r="Z2807" s="73" t="s">
        <v>9486</v>
      </c>
      <c r="AA2807" s="74" t="s">
        <v>9501</v>
      </c>
      <c r="AB2807" s="73" t="s">
        <v>9486</v>
      </c>
      <c r="AC2807" s="74" t="s">
        <v>9562</v>
      </c>
      <c r="AD2807" s="73" t="s">
        <v>9578</v>
      </c>
      <c r="AE2807" s="74" t="s">
        <v>9579</v>
      </c>
    </row>
    <row r="2808" spans="1:31" ht="8.65" customHeight="1" x14ac:dyDescent="0.2">
      <c r="A2808" s="76">
        <v>2808</v>
      </c>
      <c r="B2808" s="67" t="str">
        <f>MID(C2808, FIND("Ifc.", C2808) + 4, 4) &amp; "_" &amp; TEXT(COUNTIF($C$2:C2808, C2808),"0000")</f>
        <v>Sele_0001</v>
      </c>
      <c r="C2808" s="24" t="s">
        <v>877</v>
      </c>
      <c r="D2808" s="69" t="s">
        <v>9453</v>
      </c>
      <c r="E2808" s="70" t="s">
        <v>9456</v>
      </c>
      <c r="F2808" s="26" t="s">
        <v>798</v>
      </c>
      <c r="G2808" s="15" t="s">
        <v>798</v>
      </c>
      <c r="H2808" s="14" t="s">
        <v>798</v>
      </c>
      <c r="I2808" s="15" t="s">
        <v>798</v>
      </c>
      <c r="J2808" s="12" t="s">
        <v>9437</v>
      </c>
      <c r="K2808" s="16" t="s">
        <v>2880</v>
      </c>
      <c r="L2808" s="12" t="s">
        <v>800</v>
      </c>
      <c r="M2808" s="16" t="s">
        <v>3855</v>
      </c>
      <c r="N2808" s="19" t="s">
        <v>798</v>
      </c>
      <c r="O2808" s="20" t="s">
        <v>798</v>
      </c>
      <c r="P2808" s="17" t="s">
        <v>802</v>
      </c>
      <c r="Q2808" s="21" t="s">
        <v>8432</v>
      </c>
      <c r="R2808" s="19" t="s">
        <v>798</v>
      </c>
      <c r="S2808" s="20" t="s">
        <v>798</v>
      </c>
      <c r="T2808" s="17" t="s">
        <v>798</v>
      </c>
      <c r="U2808" s="20" t="s">
        <v>798</v>
      </c>
      <c r="V2808" s="26" t="s">
        <v>798</v>
      </c>
      <c r="W2808" s="20" t="s">
        <v>798</v>
      </c>
      <c r="X2808" s="26" t="s">
        <v>798</v>
      </c>
      <c r="Y2808" s="20" t="s">
        <v>798</v>
      </c>
      <c r="Z2808" s="73" t="s">
        <v>9486</v>
      </c>
      <c r="AA2808" s="74" t="s">
        <v>9509</v>
      </c>
      <c r="AB2808" s="73" t="s">
        <v>9486</v>
      </c>
      <c r="AC2808" s="74" t="s">
        <v>9566</v>
      </c>
      <c r="AD2808" s="73" t="s">
        <v>9578</v>
      </c>
      <c r="AE2808" s="74" t="s">
        <v>9579</v>
      </c>
    </row>
    <row r="2809" spans="1:31" ht="8.65" customHeight="1" x14ac:dyDescent="0.2">
      <c r="A2809" s="76">
        <v>2809</v>
      </c>
      <c r="B2809" s="67" t="str">
        <f>MID(C2809, FIND("Ifc.", C2809) + 4, 4) &amp; "_" &amp; TEXT(COUNTIF($C$2:C2809, C2809),"0000")</f>
        <v>Sele_0002</v>
      </c>
      <c r="C2809" s="24" t="s">
        <v>877</v>
      </c>
      <c r="D2809" s="69" t="s">
        <v>9453</v>
      </c>
      <c r="E2809" s="70" t="s">
        <v>9456</v>
      </c>
      <c r="F2809" s="26" t="s">
        <v>798</v>
      </c>
      <c r="G2809" s="15" t="s">
        <v>798</v>
      </c>
      <c r="H2809" s="14" t="s">
        <v>798</v>
      </c>
      <c r="I2809" s="15" t="s">
        <v>798</v>
      </c>
      <c r="J2809" s="12" t="s">
        <v>9437</v>
      </c>
      <c r="K2809" s="16" t="s">
        <v>2881</v>
      </c>
      <c r="L2809" s="12" t="s">
        <v>800</v>
      </c>
      <c r="M2809" s="16" t="s">
        <v>3856</v>
      </c>
      <c r="N2809" s="19" t="s">
        <v>798</v>
      </c>
      <c r="O2809" s="20" t="s">
        <v>798</v>
      </c>
      <c r="P2809" s="17" t="s">
        <v>802</v>
      </c>
      <c r="Q2809" s="21" t="s">
        <v>8433</v>
      </c>
      <c r="R2809" s="19" t="s">
        <v>798</v>
      </c>
      <c r="S2809" s="20" t="s">
        <v>798</v>
      </c>
      <c r="T2809" s="17" t="s">
        <v>798</v>
      </c>
      <c r="U2809" s="20" t="s">
        <v>798</v>
      </c>
      <c r="V2809" s="26" t="s">
        <v>798</v>
      </c>
      <c r="W2809" s="20" t="s">
        <v>798</v>
      </c>
      <c r="X2809" s="26" t="s">
        <v>798</v>
      </c>
      <c r="Y2809" s="20" t="s">
        <v>798</v>
      </c>
      <c r="Z2809" s="73" t="s">
        <v>9486</v>
      </c>
      <c r="AA2809" s="74" t="s">
        <v>9509</v>
      </c>
      <c r="AB2809" s="73" t="s">
        <v>9486</v>
      </c>
      <c r="AC2809" s="74" t="s">
        <v>9566</v>
      </c>
      <c r="AD2809" s="73" t="s">
        <v>9578</v>
      </c>
      <c r="AE2809" s="74" t="s">
        <v>9579</v>
      </c>
    </row>
    <row r="2810" spans="1:31" ht="8.65" customHeight="1" x14ac:dyDescent="0.2">
      <c r="A2810" s="76">
        <v>2810</v>
      </c>
      <c r="B2810" s="67" t="str">
        <f>MID(C2810, FIND("Ifc.", C2810) + 4, 4) &amp; "_" &amp; TEXT(COUNTIF($C$2:C2810, C2810),"0000")</f>
        <v>Sele_0003</v>
      </c>
      <c r="C2810" s="24" t="s">
        <v>877</v>
      </c>
      <c r="D2810" s="69" t="s">
        <v>9453</v>
      </c>
      <c r="E2810" s="70" t="s">
        <v>9456</v>
      </c>
      <c r="F2810" s="26" t="s">
        <v>798</v>
      </c>
      <c r="G2810" s="15" t="s">
        <v>798</v>
      </c>
      <c r="H2810" s="14" t="s">
        <v>798</v>
      </c>
      <c r="I2810" s="15" t="s">
        <v>798</v>
      </c>
      <c r="J2810" s="12" t="s">
        <v>9437</v>
      </c>
      <c r="K2810" s="16" t="s">
        <v>2882</v>
      </c>
      <c r="L2810" s="12" t="s">
        <v>800</v>
      </c>
      <c r="M2810" s="16" t="s">
        <v>3857</v>
      </c>
      <c r="N2810" s="19" t="s">
        <v>798</v>
      </c>
      <c r="O2810" s="20" t="s">
        <v>798</v>
      </c>
      <c r="P2810" s="17" t="s">
        <v>802</v>
      </c>
      <c r="Q2810" s="21" t="s">
        <v>8434</v>
      </c>
      <c r="R2810" s="19" t="s">
        <v>798</v>
      </c>
      <c r="S2810" s="20" t="s">
        <v>798</v>
      </c>
      <c r="T2810" s="17" t="s">
        <v>798</v>
      </c>
      <c r="U2810" s="20" t="s">
        <v>798</v>
      </c>
      <c r="V2810" s="26" t="s">
        <v>798</v>
      </c>
      <c r="W2810" s="20" t="s">
        <v>798</v>
      </c>
      <c r="X2810" s="26" t="s">
        <v>798</v>
      </c>
      <c r="Y2810" s="20" t="s">
        <v>798</v>
      </c>
      <c r="Z2810" s="73" t="s">
        <v>9486</v>
      </c>
      <c r="AA2810" s="74" t="s">
        <v>9509</v>
      </c>
      <c r="AB2810" s="73" t="s">
        <v>9486</v>
      </c>
      <c r="AC2810" s="74" t="s">
        <v>9566</v>
      </c>
      <c r="AD2810" s="73" t="s">
        <v>9578</v>
      </c>
      <c r="AE2810" s="74" t="s">
        <v>9579</v>
      </c>
    </row>
    <row r="2811" spans="1:31" ht="8.65" customHeight="1" x14ac:dyDescent="0.2">
      <c r="A2811" s="76">
        <v>2811</v>
      </c>
      <c r="B2811" s="67" t="str">
        <f>MID(C2811, FIND("Ifc.", C2811) + 4, 4) &amp; "_" &amp; TEXT(COUNTIF($C$2:C2811, C2811),"0000")</f>
        <v>Sele_0004</v>
      </c>
      <c r="C2811" s="24" t="s">
        <v>877</v>
      </c>
      <c r="D2811" s="69" t="s">
        <v>9453</v>
      </c>
      <c r="E2811" s="70" t="s">
        <v>9456</v>
      </c>
      <c r="F2811" s="26" t="s">
        <v>798</v>
      </c>
      <c r="G2811" s="15" t="s">
        <v>798</v>
      </c>
      <c r="H2811" s="14" t="s">
        <v>798</v>
      </c>
      <c r="I2811" s="15" t="s">
        <v>798</v>
      </c>
      <c r="J2811" s="12" t="s">
        <v>9437</v>
      </c>
      <c r="K2811" s="16" t="s">
        <v>2883</v>
      </c>
      <c r="L2811" s="12" t="s">
        <v>800</v>
      </c>
      <c r="M2811" s="16" t="s">
        <v>3858</v>
      </c>
      <c r="N2811" s="19" t="s">
        <v>798</v>
      </c>
      <c r="O2811" s="20" t="s">
        <v>798</v>
      </c>
      <c r="P2811" s="17" t="s">
        <v>802</v>
      </c>
      <c r="Q2811" s="21" t="s">
        <v>8435</v>
      </c>
      <c r="R2811" s="19" t="s">
        <v>798</v>
      </c>
      <c r="S2811" s="20" t="s">
        <v>798</v>
      </c>
      <c r="T2811" s="17" t="s">
        <v>798</v>
      </c>
      <c r="U2811" s="20" t="s">
        <v>798</v>
      </c>
      <c r="V2811" s="26" t="s">
        <v>798</v>
      </c>
      <c r="W2811" s="20" t="s">
        <v>798</v>
      </c>
      <c r="X2811" s="26" t="s">
        <v>798</v>
      </c>
      <c r="Y2811" s="20" t="s">
        <v>798</v>
      </c>
      <c r="Z2811" s="73" t="s">
        <v>9486</v>
      </c>
      <c r="AA2811" s="74" t="s">
        <v>9509</v>
      </c>
      <c r="AB2811" s="73" t="s">
        <v>9486</v>
      </c>
      <c r="AC2811" s="74" t="s">
        <v>9566</v>
      </c>
      <c r="AD2811" s="73" t="s">
        <v>9578</v>
      </c>
      <c r="AE2811" s="74" t="s">
        <v>9579</v>
      </c>
    </row>
    <row r="2812" spans="1:31" ht="8.65" customHeight="1" x14ac:dyDescent="0.2">
      <c r="A2812" s="76">
        <v>2812</v>
      </c>
      <c r="B2812" s="67" t="str">
        <f>MID(C2812, FIND("Ifc.", C2812) + 4, 4) &amp; "_" &amp; TEXT(COUNTIF($C$2:C2812, C2812),"0000")</f>
        <v>Sele_0005</v>
      </c>
      <c r="C2812" s="24" t="s">
        <v>877</v>
      </c>
      <c r="D2812" s="69" t="s">
        <v>9453</v>
      </c>
      <c r="E2812" s="70" t="s">
        <v>9456</v>
      </c>
      <c r="F2812" s="26" t="s">
        <v>798</v>
      </c>
      <c r="G2812" s="15" t="s">
        <v>798</v>
      </c>
      <c r="H2812" s="14" t="s">
        <v>798</v>
      </c>
      <c r="I2812" s="15" t="s">
        <v>798</v>
      </c>
      <c r="J2812" s="12" t="s">
        <v>9437</v>
      </c>
      <c r="K2812" s="16" t="s">
        <v>2884</v>
      </c>
      <c r="L2812" s="12" t="s">
        <v>800</v>
      </c>
      <c r="M2812" s="16" t="s">
        <v>3859</v>
      </c>
      <c r="N2812" s="19" t="s">
        <v>798</v>
      </c>
      <c r="O2812" s="20" t="s">
        <v>798</v>
      </c>
      <c r="P2812" s="17" t="s">
        <v>802</v>
      </c>
      <c r="Q2812" s="21" t="s">
        <v>8436</v>
      </c>
      <c r="R2812" s="19" t="s">
        <v>798</v>
      </c>
      <c r="S2812" s="20" t="s">
        <v>798</v>
      </c>
      <c r="T2812" s="17" t="s">
        <v>798</v>
      </c>
      <c r="U2812" s="20" t="s">
        <v>798</v>
      </c>
      <c r="V2812" s="26" t="s">
        <v>798</v>
      </c>
      <c r="W2812" s="20" t="s">
        <v>798</v>
      </c>
      <c r="X2812" s="26" t="s">
        <v>798</v>
      </c>
      <c r="Y2812" s="20" t="s">
        <v>798</v>
      </c>
      <c r="Z2812" s="73" t="s">
        <v>9486</v>
      </c>
      <c r="AA2812" s="74" t="s">
        <v>9509</v>
      </c>
      <c r="AB2812" s="73" t="s">
        <v>9486</v>
      </c>
      <c r="AC2812" s="74" t="s">
        <v>9566</v>
      </c>
      <c r="AD2812" s="73" t="s">
        <v>9578</v>
      </c>
      <c r="AE2812" s="74" t="s">
        <v>9579</v>
      </c>
    </row>
    <row r="2813" spans="1:31" ht="8.65" customHeight="1" x14ac:dyDescent="0.2">
      <c r="A2813" s="76">
        <v>2813</v>
      </c>
      <c r="B2813" s="67" t="str">
        <f>MID(C2813, FIND("Ifc.", C2813) + 4, 4) &amp; "_" &amp; TEXT(COUNTIF($C$2:C2813, C2813),"0000")</f>
        <v>Sele_0006</v>
      </c>
      <c r="C2813" s="24" t="s">
        <v>877</v>
      </c>
      <c r="D2813" s="69" t="s">
        <v>9453</v>
      </c>
      <c r="E2813" s="70" t="s">
        <v>9456</v>
      </c>
      <c r="F2813" s="26" t="s">
        <v>798</v>
      </c>
      <c r="G2813" s="15" t="s">
        <v>798</v>
      </c>
      <c r="H2813" s="14" t="s">
        <v>798</v>
      </c>
      <c r="I2813" s="15" t="s">
        <v>798</v>
      </c>
      <c r="J2813" s="12" t="s">
        <v>9437</v>
      </c>
      <c r="K2813" s="16" t="s">
        <v>2885</v>
      </c>
      <c r="L2813" s="12" t="s">
        <v>800</v>
      </c>
      <c r="M2813" s="16" t="s">
        <v>3860</v>
      </c>
      <c r="N2813" s="19" t="s">
        <v>798</v>
      </c>
      <c r="O2813" s="20" t="s">
        <v>798</v>
      </c>
      <c r="P2813" s="17" t="s">
        <v>802</v>
      </c>
      <c r="Q2813" s="21" t="s">
        <v>8437</v>
      </c>
      <c r="R2813" s="19" t="s">
        <v>798</v>
      </c>
      <c r="S2813" s="20" t="s">
        <v>798</v>
      </c>
      <c r="T2813" s="17" t="s">
        <v>798</v>
      </c>
      <c r="U2813" s="20" t="s">
        <v>798</v>
      </c>
      <c r="V2813" s="26" t="s">
        <v>798</v>
      </c>
      <c r="W2813" s="20" t="s">
        <v>798</v>
      </c>
      <c r="X2813" s="26" t="s">
        <v>798</v>
      </c>
      <c r="Y2813" s="20" t="s">
        <v>798</v>
      </c>
      <c r="Z2813" s="73" t="s">
        <v>9486</v>
      </c>
      <c r="AA2813" s="74" t="s">
        <v>9509</v>
      </c>
      <c r="AB2813" s="73" t="s">
        <v>9486</v>
      </c>
      <c r="AC2813" s="74" t="s">
        <v>9566</v>
      </c>
      <c r="AD2813" s="73" t="s">
        <v>9578</v>
      </c>
      <c r="AE2813" s="74" t="s">
        <v>9579</v>
      </c>
    </row>
    <row r="2814" spans="1:31" ht="8.65" customHeight="1" x14ac:dyDescent="0.2">
      <c r="A2814" s="76">
        <v>2814</v>
      </c>
      <c r="B2814" s="67" t="str">
        <f>MID(C2814, FIND("Ifc.", C2814) + 4, 4) &amp; "_" &amp; TEXT(COUNTIF($C$2:C2814, C2814),"0000")</f>
        <v>Sele_0007</v>
      </c>
      <c r="C2814" s="24" t="s">
        <v>877</v>
      </c>
      <c r="D2814" s="69" t="s">
        <v>9453</v>
      </c>
      <c r="E2814" s="70" t="s">
        <v>9456</v>
      </c>
      <c r="F2814" s="26" t="s">
        <v>798</v>
      </c>
      <c r="G2814" s="15" t="s">
        <v>798</v>
      </c>
      <c r="H2814" s="14" t="s">
        <v>798</v>
      </c>
      <c r="I2814" s="15" t="s">
        <v>798</v>
      </c>
      <c r="J2814" s="12" t="s">
        <v>9437</v>
      </c>
      <c r="K2814" s="16" t="s">
        <v>2886</v>
      </c>
      <c r="L2814" s="12" t="s">
        <v>800</v>
      </c>
      <c r="M2814" s="16" t="s">
        <v>3861</v>
      </c>
      <c r="N2814" s="19" t="s">
        <v>798</v>
      </c>
      <c r="O2814" s="20" t="s">
        <v>798</v>
      </c>
      <c r="P2814" s="17" t="s">
        <v>802</v>
      </c>
      <c r="Q2814" s="21" t="s">
        <v>8438</v>
      </c>
      <c r="R2814" s="19" t="s">
        <v>798</v>
      </c>
      <c r="S2814" s="20" t="s">
        <v>798</v>
      </c>
      <c r="T2814" s="17" t="s">
        <v>798</v>
      </c>
      <c r="U2814" s="20" t="s">
        <v>798</v>
      </c>
      <c r="V2814" s="26" t="s">
        <v>798</v>
      </c>
      <c r="W2814" s="20" t="s">
        <v>798</v>
      </c>
      <c r="X2814" s="26" t="s">
        <v>798</v>
      </c>
      <c r="Y2814" s="20" t="s">
        <v>798</v>
      </c>
      <c r="Z2814" s="73" t="s">
        <v>9486</v>
      </c>
      <c r="AA2814" s="74" t="s">
        <v>9509</v>
      </c>
      <c r="AB2814" s="73" t="s">
        <v>9486</v>
      </c>
      <c r="AC2814" s="74" t="s">
        <v>9566</v>
      </c>
      <c r="AD2814" s="73" t="s">
        <v>9578</v>
      </c>
      <c r="AE2814" s="74" t="s">
        <v>9579</v>
      </c>
    </row>
    <row r="2815" spans="1:31" ht="8.65" customHeight="1" x14ac:dyDescent="0.2">
      <c r="A2815" s="76">
        <v>2815</v>
      </c>
      <c r="B2815" s="67" t="str">
        <f>MID(C2815, FIND("Ifc.", C2815) + 4, 4) &amp; "_" &amp; TEXT(COUNTIF($C$2:C2815, C2815),"0000")</f>
        <v>Sele_0008</v>
      </c>
      <c r="C2815" s="24" t="s">
        <v>877</v>
      </c>
      <c r="D2815" s="69" t="s">
        <v>9453</v>
      </c>
      <c r="E2815" s="70" t="s">
        <v>9456</v>
      </c>
      <c r="F2815" s="26" t="s">
        <v>798</v>
      </c>
      <c r="G2815" s="15" t="s">
        <v>798</v>
      </c>
      <c r="H2815" s="14" t="s">
        <v>798</v>
      </c>
      <c r="I2815" s="15" t="s">
        <v>798</v>
      </c>
      <c r="J2815" s="12" t="s">
        <v>9437</v>
      </c>
      <c r="K2815" s="16" t="s">
        <v>2887</v>
      </c>
      <c r="L2815" s="12" t="s">
        <v>800</v>
      </c>
      <c r="M2815" s="16" t="s">
        <v>3862</v>
      </c>
      <c r="N2815" s="19" t="s">
        <v>798</v>
      </c>
      <c r="O2815" s="20" t="s">
        <v>798</v>
      </c>
      <c r="P2815" s="17" t="s">
        <v>802</v>
      </c>
      <c r="Q2815" s="21" t="s">
        <v>8439</v>
      </c>
      <c r="R2815" s="19" t="s">
        <v>798</v>
      </c>
      <c r="S2815" s="20" t="s">
        <v>798</v>
      </c>
      <c r="T2815" s="17" t="s">
        <v>798</v>
      </c>
      <c r="U2815" s="20" t="s">
        <v>798</v>
      </c>
      <c r="V2815" s="26" t="s">
        <v>798</v>
      </c>
      <c r="W2815" s="20" t="s">
        <v>798</v>
      </c>
      <c r="X2815" s="26" t="s">
        <v>798</v>
      </c>
      <c r="Y2815" s="20" t="s">
        <v>798</v>
      </c>
      <c r="Z2815" s="73" t="s">
        <v>9486</v>
      </c>
      <c r="AA2815" s="74" t="s">
        <v>9509</v>
      </c>
      <c r="AB2815" s="73" t="s">
        <v>9486</v>
      </c>
      <c r="AC2815" s="74" t="s">
        <v>9566</v>
      </c>
      <c r="AD2815" s="73" t="s">
        <v>9578</v>
      </c>
      <c r="AE2815" s="74" t="s">
        <v>9579</v>
      </c>
    </row>
    <row r="2816" spans="1:31" ht="8.65" customHeight="1" x14ac:dyDescent="0.2">
      <c r="A2816" s="76">
        <v>2816</v>
      </c>
      <c r="B2816" s="67" t="str">
        <f>MID(C2816, FIND("Ifc.", C2816) + 4, 4) &amp; "_" &amp; TEXT(COUNTIF($C$2:C2816, C2816),"0000")</f>
        <v>Sele_0009</v>
      </c>
      <c r="C2816" s="24" t="s">
        <v>877</v>
      </c>
      <c r="D2816" s="69" t="s">
        <v>9453</v>
      </c>
      <c r="E2816" s="70" t="s">
        <v>9456</v>
      </c>
      <c r="F2816" s="26" t="s">
        <v>798</v>
      </c>
      <c r="G2816" s="15" t="s">
        <v>798</v>
      </c>
      <c r="H2816" s="14" t="s">
        <v>798</v>
      </c>
      <c r="I2816" s="15" t="s">
        <v>798</v>
      </c>
      <c r="J2816" s="12" t="s">
        <v>9437</v>
      </c>
      <c r="K2816" s="16" t="s">
        <v>2888</v>
      </c>
      <c r="L2816" s="12" t="s">
        <v>800</v>
      </c>
      <c r="M2816" s="16" t="s">
        <v>3863</v>
      </c>
      <c r="N2816" s="19" t="s">
        <v>798</v>
      </c>
      <c r="O2816" s="20" t="s">
        <v>798</v>
      </c>
      <c r="P2816" s="17" t="s">
        <v>802</v>
      </c>
      <c r="Q2816" s="21" t="s">
        <v>8440</v>
      </c>
      <c r="R2816" s="19" t="s">
        <v>798</v>
      </c>
      <c r="S2816" s="20" t="s">
        <v>798</v>
      </c>
      <c r="T2816" s="17" t="s">
        <v>798</v>
      </c>
      <c r="U2816" s="20" t="s">
        <v>798</v>
      </c>
      <c r="V2816" s="26" t="s">
        <v>798</v>
      </c>
      <c r="W2816" s="20" t="s">
        <v>798</v>
      </c>
      <c r="X2816" s="26" t="s">
        <v>798</v>
      </c>
      <c r="Y2816" s="20" t="s">
        <v>798</v>
      </c>
      <c r="Z2816" s="73" t="s">
        <v>9486</v>
      </c>
      <c r="AA2816" s="74" t="s">
        <v>9509</v>
      </c>
      <c r="AB2816" s="73" t="s">
        <v>9486</v>
      </c>
      <c r="AC2816" s="74" t="s">
        <v>9566</v>
      </c>
      <c r="AD2816" s="73" t="s">
        <v>9578</v>
      </c>
      <c r="AE2816" s="74" t="s">
        <v>9579</v>
      </c>
    </row>
    <row r="2817" spans="1:31" ht="8.65" customHeight="1" x14ac:dyDescent="0.2">
      <c r="A2817" s="76">
        <v>2817</v>
      </c>
      <c r="B2817" s="67" t="str">
        <f>MID(C2817, FIND("Ifc.", C2817) + 4, 4) &amp; "_" &amp; TEXT(COUNTIF($C$2:C2817, C2817),"0000")</f>
        <v>Sele_0010</v>
      </c>
      <c r="C2817" s="24" t="s">
        <v>877</v>
      </c>
      <c r="D2817" s="69" t="s">
        <v>9453</v>
      </c>
      <c r="E2817" s="70" t="s">
        <v>9456</v>
      </c>
      <c r="F2817" s="26" t="s">
        <v>798</v>
      </c>
      <c r="G2817" s="15" t="s">
        <v>798</v>
      </c>
      <c r="H2817" s="14" t="s">
        <v>798</v>
      </c>
      <c r="I2817" s="15" t="s">
        <v>798</v>
      </c>
      <c r="J2817" s="12" t="s">
        <v>9437</v>
      </c>
      <c r="K2817" s="16" t="s">
        <v>2889</v>
      </c>
      <c r="L2817" s="12" t="s">
        <v>800</v>
      </c>
      <c r="M2817" s="16" t="s">
        <v>3864</v>
      </c>
      <c r="N2817" s="19" t="s">
        <v>798</v>
      </c>
      <c r="O2817" s="20" t="s">
        <v>798</v>
      </c>
      <c r="P2817" s="17" t="s">
        <v>802</v>
      </c>
      <c r="Q2817" s="21" t="s">
        <v>8441</v>
      </c>
      <c r="R2817" s="19" t="s">
        <v>798</v>
      </c>
      <c r="S2817" s="20" t="s">
        <v>798</v>
      </c>
      <c r="T2817" s="17" t="s">
        <v>798</v>
      </c>
      <c r="U2817" s="20" t="s">
        <v>798</v>
      </c>
      <c r="V2817" s="26" t="s">
        <v>798</v>
      </c>
      <c r="W2817" s="20" t="s">
        <v>798</v>
      </c>
      <c r="X2817" s="26" t="s">
        <v>798</v>
      </c>
      <c r="Y2817" s="20" t="s">
        <v>798</v>
      </c>
      <c r="Z2817" s="73" t="s">
        <v>9486</v>
      </c>
      <c r="AA2817" s="74" t="s">
        <v>9509</v>
      </c>
      <c r="AB2817" s="73" t="s">
        <v>9486</v>
      </c>
      <c r="AC2817" s="74" t="s">
        <v>9566</v>
      </c>
      <c r="AD2817" s="73" t="s">
        <v>9578</v>
      </c>
      <c r="AE2817" s="74" t="s">
        <v>9579</v>
      </c>
    </row>
    <row r="2818" spans="1:31" ht="8.65" customHeight="1" x14ac:dyDescent="0.2">
      <c r="A2818" s="76">
        <v>2818</v>
      </c>
      <c r="B2818" s="67" t="str">
        <f>MID(C2818, FIND("Ifc.", C2818) + 4, 4) &amp; "_" &amp; TEXT(COUNTIF($C$2:C2818, C2818),"0000")</f>
        <v>Sele_0011</v>
      </c>
      <c r="C2818" s="24" t="s">
        <v>877</v>
      </c>
      <c r="D2818" s="69" t="s">
        <v>9453</v>
      </c>
      <c r="E2818" s="70" t="s">
        <v>9456</v>
      </c>
      <c r="F2818" s="26" t="s">
        <v>798</v>
      </c>
      <c r="G2818" s="15" t="s">
        <v>798</v>
      </c>
      <c r="H2818" s="14" t="s">
        <v>798</v>
      </c>
      <c r="I2818" s="15" t="s">
        <v>798</v>
      </c>
      <c r="J2818" s="12" t="s">
        <v>9437</v>
      </c>
      <c r="K2818" s="16" t="s">
        <v>2890</v>
      </c>
      <c r="L2818" s="12" t="s">
        <v>800</v>
      </c>
      <c r="M2818" s="16" t="s">
        <v>3865</v>
      </c>
      <c r="N2818" s="19" t="s">
        <v>798</v>
      </c>
      <c r="O2818" s="20" t="s">
        <v>798</v>
      </c>
      <c r="P2818" s="17" t="s">
        <v>802</v>
      </c>
      <c r="Q2818" s="21" t="s">
        <v>8442</v>
      </c>
      <c r="R2818" s="19" t="s">
        <v>798</v>
      </c>
      <c r="S2818" s="20" t="s">
        <v>798</v>
      </c>
      <c r="T2818" s="17" t="s">
        <v>798</v>
      </c>
      <c r="U2818" s="20" t="s">
        <v>798</v>
      </c>
      <c r="V2818" s="26" t="s">
        <v>798</v>
      </c>
      <c r="W2818" s="20" t="s">
        <v>798</v>
      </c>
      <c r="X2818" s="26" t="s">
        <v>798</v>
      </c>
      <c r="Y2818" s="20" t="s">
        <v>798</v>
      </c>
      <c r="Z2818" s="73" t="s">
        <v>9486</v>
      </c>
      <c r="AA2818" s="74" t="s">
        <v>9509</v>
      </c>
      <c r="AB2818" s="73" t="s">
        <v>9486</v>
      </c>
      <c r="AC2818" s="74" t="s">
        <v>9566</v>
      </c>
      <c r="AD2818" s="73" t="s">
        <v>9578</v>
      </c>
      <c r="AE2818" s="74" t="s">
        <v>9579</v>
      </c>
    </row>
    <row r="2819" spans="1:31" ht="8.65" customHeight="1" x14ac:dyDescent="0.2">
      <c r="A2819" s="76">
        <v>2819</v>
      </c>
      <c r="B2819" s="67" t="str">
        <f>MID(C2819, FIND("Ifc.", C2819) + 4, 4) &amp; "_" &amp; TEXT(COUNTIF($C$2:C2819, C2819),"0000")</f>
        <v>Sele_0012</v>
      </c>
      <c r="C2819" s="24" t="s">
        <v>877</v>
      </c>
      <c r="D2819" s="69" t="s">
        <v>9453</v>
      </c>
      <c r="E2819" s="70" t="s">
        <v>9456</v>
      </c>
      <c r="F2819" s="26" t="s">
        <v>798</v>
      </c>
      <c r="G2819" s="15" t="s">
        <v>798</v>
      </c>
      <c r="H2819" s="14" t="s">
        <v>798</v>
      </c>
      <c r="I2819" s="15" t="s">
        <v>798</v>
      </c>
      <c r="J2819" s="12" t="s">
        <v>9437</v>
      </c>
      <c r="K2819" s="16" t="s">
        <v>2891</v>
      </c>
      <c r="L2819" s="12" t="s">
        <v>800</v>
      </c>
      <c r="M2819" s="16" t="s">
        <v>3866</v>
      </c>
      <c r="N2819" s="19" t="s">
        <v>798</v>
      </c>
      <c r="O2819" s="20" t="s">
        <v>798</v>
      </c>
      <c r="P2819" s="17" t="s">
        <v>802</v>
      </c>
      <c r="Q2819" s="21" t="s">
        <v>8443</v>
      </c>
      <c r="R2819" s="19" t="s">
        <v>798</v>
      </c>
      <c r="S2819" s="20" t="s">
        <v>798</v>
      </c>
      <c r="T2819" s="17" t="s">
        <v>798</v>
      </c>
      <c r="U2819" s="20" t="s">
        <v>798</v>
      </c>
      <c r="V2819" s="26" t="s">
        <v>798</v>
      </c>
      <c r="W2819" s="20" t="s">
        <v>798</v>
      </c>
      <c r="X2819" s="26" t="s">
        <v>798</v>
      </c>
      <c r="Y2819" s="20" t="s">
        <v>798</v>
      </c>
      <c r="Z2819" s="73" t="s">
        <v>9486</v>
      </c>
      <c r="AA2819" s="74" t="s">
        <v>9509</v>
      </c>
      <c r="AB2819" s="73" t="s">
        <v>9486</v>
      </c>
      <c r="AC2819" s="74" t="s">
        <v>9566</v>
      </c>
      <c r="AD2819" s="73" t="s">
        <v>9578</v>
      </c>
      <c r="AE2819" s="74" t="s">
        <v>9579</v>
      </c>
    </row>
    <row r="2820" spans="1:31" ht="8.65" customHeight="1" x14ac:dyDescent="0.2">
      <c r="A2820" s="76">
        <v>2820</v>
      </c>
      <c r="B2820" s="67" t="str">
        <f>MID(C2820, FIND("Ifc.", C2820) + 4, 4) &amp; "_" &amp; TEXT(COUNTIF($C$2:C2820, C2820),"0000")</f>
        <v>Sele_0013</v>
      </c>
      <c r="C2820" s="24" t="s">
        <v>877</v>
      </c>
      <c r="D2820" s="69" t="s">
        <v>9453</v>
      </c>
      <c r="E2820" s="70" t="s">
        <v>9456</v>
      </c>
      <c r="F2820" s="26" t="s">
        <v>798</v>
      </c>
      <c r="G2820" s="15" t="s">
        <v>798</v>
      </c>
      <c r="H2820" s="14" t="s">
        <v>798</v>
      </c>
      <c r="I2820" s="15" t="s">
        <v>798</v>
      </c>
      <c r="J2820" s="12" t="s">
        <v>9437</v>
      </c>
      <c r="K2820" s="16" t="s">
        <v>2892</v>
      </c>
      <c r="L2820" s="12" t="s">
        <v>800</v>
      </c>
      <c r="M2820" s="16" t="s">
        <v>5883</v>
      </c>
      <c r="N2820" s="19" t="s">
        <v>798</v>
      </c>
      <c r="O2820" s="20" t="s">
        <v>798</v>
      </c>
      <c r="P2820" s="17" t="s">
        <v>802</v>
      </c>
      <c r="Q2820" s="21" t="s">
        <v>8444</v>
      </c>
      <c r="R2820" s="19" t="s">
        <v>798</v>
      </c>
      <c r="S2820" s="20" t="s">
        <v>798</v>
      </c>
      <c r="T2820" s="17" t="s">
        <v>798</v>
      </c>
      <c r="U2820" s="20" t="s">
        <v>798</v>
      </c>
      <c r="V2820" s="26" t="s">
        <v>798</v>
      </c>
      <c r="W2820" s="20" t="s">
        <v>798</v>
      </c>
      <c r="X2820" s="26" t="s">
        <v>798</v>
      </c>
      <c r="Y2820" s="20" t="s">
        <v>798</v>
      </c>
      <c r="Z2820" s="73" t="s">
        <v>9486</v>
      </c>
      <c r="AA2820" s="74" t="s">
        <v>9509</v>
      </c>
      <c r="AB2820" s="73" t="s">
        <v>9486</v>
      </c>
      <c r="AC2820" s="74" t="s">
        <v>9566</v>
      </c>
      <c r="AD2820" s="73" t="s">
        <v>9578</v>
      </c>
      <c r="AE2820" s="74" t="s">
        <v>9579</v>
      </c>
    </row>
    <row r="2821" spans="1:31" ht="8.65" customHeight="1" x14ac:dyDescent="0.2">
      <c r="A2821" s="76">
        <v>2821</v>
      </c>
      <c r="B2821" s="67" t="str">
        <f>MID(C2821, FIND("Ifc.", C2821) + 4, 4) &amp; "_" &amp; TEXT(COUNTIF($C$2:C2821, C2821),"0000")</f>
        <v>Sele_0014</v>
      </c>
      <c r="C2821" s="24" t="s">
        <v>877</v>
      </c>
      <c r="D2821" s="69" t="s">
        <v>9453</v>
      </c>
      <c r="E2821" s="70" t="s">
        <v>9456</v>
      </c>
      <c r="F2821" s="26" t="s">
        <v>798</v>
      </c>
      <c r="G2821" s="15" t="s">
        <v>798</v>
      </c>
      <c r="H2821" s="14" t="s">
        <v>798</v>
      </c>
      <c r="I2821" s="15" t="s">
        <v>798</v>
      </c>
      <c r="J2821" s="12" t="s">
        <v>9437</v>
      </c>
      <c r="K2821" s="16" t="s">
        <v>2893</v>
      </c>
      <c r="L2821" s="12" t="s">
        <v>800</v>
      </c>
      <c r="M2821" s="16" t="s">
        <v>3867</v>
      </c>
      <c r="N2821" s="19" t="s">
        <v>798</v>
      </c>
      <c r="O2821" s="20" t="s">
        <v>798</v>
      </c>
      <c r="P2821" s="17" t="s">
        <v>802</v>
      </c>
      <c r="Q2821" s="21" t="s">
        <v>8445</v>
      </c>
      <c r="R2821" s="19" t="s">
        <v>798</v>
      </c>
      <c r="S2821" s="20" t="s">
        <v>798</v>
      </c>
      <c r="T2821" s="17" t="s">
        <v>798</v>
      </c>
      <c r="U2821" s="20" t="s">
        <v>798</v>
      </c>
      <c r="V2821" s="26" t="s">
        <v>798</v>
      </c>
      <c r="W2821" s="20" t="s">
        <v>798</v>
      </c>
      <c r="X2821" s="26" t="s">
        <v>798</v>
      </c>
      <c r="Y2821" s="20" t="s">
        <v>798</v>
      </c>
      <c r="Z2821" s="73" t="s">
        <v>9486</v>
      </c>
      <c r="AA2821" s="74" t="s">
        <v>9509</v>
      </c>
      <c r="AB2821" s="73" t="s">
        <v>9486</v>
      </c>
      <c r="AC2821" s="74" t="s">
        <v>9566</v>
      </c>
      <c r="AD2821" s="73" t="s">
        <v>9578</v>
      </c>
      <c r="AE2821" s="74" t="s">
        <v>9579</v>
      </c>
    </row>
    <row r="2822" spans="1:31" ht="8.65" customHeight="1" x14ac:dyDescent="0.2">
      <c r="A2822" s="76">
        <v>2822</v>
      </c>
      <c r="B2822" s="67" t="str">
        <f>MID(C2822, FIND("Ifc.", C2822) + 4, 4) &amp; "_" &amp; TEXT(COUNTIF($C$2:C2822, C2822),"0000")</f>
        <v>Sele_0015</v>
      </c>
      <c r="C2822" s="24" t="s">
        <v>877</v>
      </c>
      <c r="D2822" s="69" t="s">
        <v>9453</v>
      </c>
      <c r="E2822" s="70" t="s">
        <v>9456</v>
      </c>
      <c r="F2822" s="26" t="s">
        <v>798</v>
      </c>
      <c r="G2822" s="15" t="s">
        <v>798</v>
      </c>
      <c r="H2822" s="14" t="s">
        <v>798</v>
      </c>
      <c r="I2822" s="15" t="s">
        <v>798</v>
      </c>
      <c r="J2822" s="12" t="s">
        <v>9437</v>
      </c>
      <c r="K2822" s="16" t="s">
        <v>2894</v>
      </c>
      <c r="L2822" s="12" t="s">
        <v>800</v>
      </c>
      <c r="M2822" s="16" t="s">
        <v>3868</v>
      </c>
      <c r="N2822" s="19" t="s">
        <v>798</v>
      </c>
      <c r="O2822" s="20" t="s">
        <v>798</v>
      </c>
      <c r="P2822" s="17" t="s">
        <v>802</v>
      </c>
      <c r="Q2822" s="21" t="s">
        <v>8446</v>
      </c>
      <c r="R2822" s="19" t="s">
        <v>798</v>
      </c>
      <c r="S2822" s="20" t="s">
        <v>798</v>
      </c>
      <c r="T2822" s="17" t="s">
        <v>798</v>
      </c>
      <c r="U2822" s="20" t="s">
        <v>798</v>
      </c>
      <c r="V2822" s="26" t="s">
        <v>798</v>
      </c>
      <c r="W2822" s="20" t="s">
        <v>798</v>
      </c>
      <c r="X2822" s="26" t="s">
        <v>798</v>
      </c>
      <c r="Y2822" s="20" t="s">
        <v>798</v>
      </c>
      <c r="Z2822" s="73" t="s">
        <v>9486</v>
      </c>
      <c r="AA2822" s="74" t="s">
        <v>9509</v>
      </c>
      <c r="AB2822" s="73" t="s">
        <v>9486</v>
      </c>
      <c r="AC2822" s="74" t="s">
        <v>9566</v>
      </c>
      <c r="AD2822" s="73" t="s">
        <v>9578</v>
      </c>
      <c r="AE2822" s="74" t="s">
        <v>9579</v>
      </c>
    </row>
    <row r="2823" spans="1:31" ht="8.65" customHeight="1" x14ac:dyDescent="0.2">
      <c r="A2823" s="76">
        <v>2823</v>
      </c>
      <c r="B2823" s="67" t="str">
        <f>MID(C2823, FIND("Ifc.", C2823) + 4, 4) &amp; "_" &amp; TEXT(COUNTIF($C$2:C2823, C2823),"0000")</f>
        <v>Sele_0016</v>
      </c>
      <c r="C2823" s="24" t="s">
        <v>877</v>
      </c>
      <c r="D2823" s="69" t="s">
        <v>9453</v>
      </c>
      <c r="E2823" s="70" t="s">
        <v>9456</v>
      </c>
      <c r="F2823" s="26" t="s">
        <v>798</v>
      </c>
      <c r="G2823" s="15" t="s">
        <v>798</v>
      </c>
      <c r="H2823" s="14" t="s">
        <v>798</v>
      </c>
      <c r="I2823" s="15" t="s">
        <v>798</v>
      </c>
      <c r="J2823" s="12" t="s">
        <v>9437</v>
      </c>
      <c r="K2823" s="16" t="s">
        <v>2895</v>
      </c>
      <c r="L2823" s="12" t="s">
        <v>800</v>
      </c>
      <c r="M2823" s="16" t="s">
        <v>5919</v>
      </c>
      <c r="N2823" s="19" t="s">
        <v>798</v>
      </c>
      <c r="O2823" s="20" t="s">
        <v>798</v>
      </c>
      <c r="P2823" s="17" t="s">
        <v>802</v>
      </c>
      <c r="Q2823" s="21" t="s">
        <v>8447</v>
      </c>
      <c r="R2823" s="19" t="s">
        <v>798</v>
      </c>
      <c r="S2823" s="20" t="s">
        <v>798</v>
      </c>
      <c r="T2823" s="17" t="s">
        <v>798</v>
      </c>
      <c r="U2823" s="20" t="s">
        <v>798</v>
      </c>
      <c r="V2823" s="26" t="s">
        <v>798</v>
      </c>
      <c r="W2823" s="20" t="s">
        <v>798</v>
      </c>
      <c r="X2823" s="26" t="s">
        <v>798</v>
      </c>
      <c r="Y2823" s="20" t="s">
        <v>798</v>
      </c>
      <c r="Z2823" s="73" t="s">
        <v>9486</v>
      </c>
      <c r="AA2823" s="74" t="s">
        <v>9509</v>
      </c>
      <c r="AB2823" s="73" t="s">
        <v>9486</v>
      </c>
      <c r="AC2823" s="74" t="s">
        <v>9566</v>
      </c>
      <c r="AD2823" s="73" t="s">
        <v>9578</v>
      </c>
      <c r="AE2823" s="74" t="s">
        <v>9579</v>
      </c>
    </row>
    <row r="2824" spans="1:31" ht="8.65" customHeight="1" x14ac:dyDescent="0.2">
      <c r="A2824" s="76">
        <v>2824</v>
      </c>
      <c r="B2824" s="67" t="str">
        <f>MID(C2824, FIND("Ifc.", C2824) + 4, 4) &amp; "_" &amp; TEXT(COUNTIF($C$2:C2824, C2824),"0000")</f>
        <v>Sele_0017</v>
      </c>
      <c r="C2824" s="24" t="s">
        <v>877</v>
      </c>
      <c r="D2824" s="69" t="s">
        <v>9453</v>
      </c>
      <c r="E2824" s="70" t="s">
        <v>9456</v>
      </c>
      <c r="F2824" s="26" t="s">
        <v>798</v>
      </c>
      <c r="G2824" s="15" t="s">
        <v>798</v>
      </c>
      <c r="H2824" s="14" t="s">
        <v>798</v>
      </c>
      <c r="I2824" s="15" t="s">
        <v>798</v>
      </c>
      <c r="J2824" s="12" t="s">
        <v>9437</v>
      </c>
      <c r="K2824" s="16" t="s">
        <v>2896</v>
      </c>
      <c r="L2824" s="12" t="s">
        <v>800</v>
      </c>
      <c r="M2824" s="16" t="s">
        <v>5920</v>
      </c>
      <c r="N2824" s="19" t="s">
        <v>798</v>
      </c>
      <c r="O2824" s="20" t="s">
        <v>798</v>
      </c>
      <c r="P2824" s="17" t="s">
        <v>802</v>
      </c>
      <c r="Q2824" s="21" t="s">
        <v>8448</v>
      </c>
      <c r="R2824" s="19" t="s">
        <v>798</v>
      </c>
      <c r="S2824" s="20" t="s">
        <v>798</v>
      </c>
      <c r="T2824" s="17" t="s">
        <v>798</v>
      </c>
      <c r="U2824" s="20" t="s">
        <v>798</v>
      </c>
      <c r="V2824" s="26" t="s">
        <v>798</v>
      </c>
      <c r="W2824" s="20" t="s">
        <v>798</v>
      </c>
      <c r="X2824" s="26" t="s">
        <v>798</v>
      </c>
      <c r="Y2824" s="20" t="s">
        <v>798</v>
      </c>
      <c r="Z2824" s="73" t="s">
        <v>9486</v>
      </c>
      <c r="AA2824" s="74" t="s">
        <v>9509</v>
      </c>
      <c r="AB2824" s="73" t="s">
        <v>9486</v>
      </c>
      <c r="AC2824" s="74" t="s">
        <v>9566</v>
      </c>
      <c r="AD2824" s="73" t="s">
        <v>9578</v>
      </c>
      <c r="AE2824" s="74" t="s">
        <v>9579</v>
      </c>
    </row>
    <row r="2825" spans="1:31" ht="8.65" customHeight="1" x14ac:dyDescent="0.2">
      <c r="A2825" s="76">
        <v>2825</v>
      </c>
      <c r="B2825" s="67" t="str">
        <f>MID(C2825, FIND("Ifc.", C2825) + 4, 4) &amp; "_" &amp; TEXT(COUNTIF($C$2:C2825, C2825),"0000")</f>
        <v>Sele_0018</v>
      </c>
      <c r="C2825" s="24" t="s">
        <v>877</v>
      </c>
      <c r="D2825" s="69" t="s">
        <v>9453</v>
      </c>
      <c r="E2825" s="70" t="s">
        <v>9456</v>
      </c>
      <c r="F2825" s="26" t="s">
        <v>798</v>
      </c>
      <c r="G2825" s="15" t="s">
        <v>798</v>
      </c>
      <c r="H2825" s="14" t="s">
        <v>798</v>
      </c>
      <c r="I2825" s="15" t="s">
        <v>798</v>
      </c>
      <c r="J2825" s="12" t="s">
        <v>9437</v>
      </c>
      <c r="K2825" s="16" t="s">
        <v>2897</v>
      </c>
      <c r="L2825" s="12" t="s">
        <v>800</v>
      </c>
      <c r="M2825" s="16" t="s">
        <v>3869</v>
      </c>
      <c r="N2825" s="19" t="s">
        <v>798</v>
      </c>
      <c r="O2825" s="20" t="s">
        <v>798</v>
      </c>
      <c r="P2825" s="17" t="s">
        <v>802</v>
      </c>
      <c r="Q2825" s="21" t="s">
        <v>8449</v>
      </c>
      <c r="R2825" s="19" t="s">
        <v>798</v>
      </c>
      <c r="S2825" s="20" t="s">
        <v>798</v>
      </c>
      <c r="T2825" s="17" t="s">
        <v>798</v>
      </c>
      <c r="U2825" s="20" t="s">
        <v>798</v>
      </c>
      <c r="V2825" s="26" t="s">
        <v>798</v>
      </c>
      <c r="W2825" s="20" t="s">
        <v>798</v>
      </c>
      <c r="X2825" s="26" t="s">
        <v>798</v>
      </c>
      <c r="Y2825" s="20" t="s">
        <v>798</v>
      </c>
      <c r="Z2825" s="73" t="s">
        <v>9486</v>
      </c>
      <c r="AA2825" s="74" t="s">
        <v>9509</v>
      </c>
      <c r="AB2825" s="73" t="s">
        <v>9486</v>
      </c>
      <c r="AC2825" s="74" t="s">
        <v>9566</v>
      </c>
      <c r="AD2825" s="73" t="s">
        <v>9578</v>
      </c>
      <c r="AE2825" s="74" t="s">
        <v>9579</v>
      </c>
    </row>
    <row r="2826" spans="1:31" ht="8.65" customHeight="1" x14ac:dyDescent="0.2">
      <c r="A2826" s="76">
        <v>2826</v>
      </c>
      <c r="B2826" s="67" t="str">
        <f>MID(C2826, FIND("Ifc.", C2826) + 4, 4) &amp; "_" &amp; TEXT(COUNTIF($C$2:C2826, C2826),"0000")</f>
        <v>Sele_0019</v>
      </c>
      <c r="C2826" s="24" t="s">
        <v>877</v>
      </c>
      <c r="D2826" s="69" t="s">
        <v>9453</v>
      </c>
      <c r="E2826" s="70" t="s">
        <v>9456</v>
      </c>
      <c r="F2826" s="26" t="s">
        <v>798</v>
      </c>
      <c r="G2826" s="15" t="s">
        <v>798</v>
      </c>
      <c r="H2826" s="14" t="s">
        <v>798</v>
      </c>
      <c r="I2826" s="15" t="s">
        <v>798</v>
      </c>
      <c r="J2826" s="12" t="s">
        <v>9437</v>
      </c>
      <c r="K2826" s="16" t="s">
        <v>2898</v>
      </c>
      <c r="L2826" s="12" t="s">
        <v>800</v>
      </c>
      <c r="M2826" s="16" t="s">
        <v>3870</v>
      </c>
      <c r="N2826" s="19" t="s">
        <v>798</v>
      </c>
      <c r="O2826" s="20" t="s">
        <v>798</v>
      </c>
      <c r="P2826" s="17" t="s">
        <v>802</v>
      </c>
      <c r="Q2826" s="21" t="s">
        <v>8450</v>
      </c>
      <c r="R2826" s="19" t="s">
        <v>798</v>
      </c>
      <c r="S2826" s="20" t="s">
        <v>798</v>
      </c>
      <c r="T2826" s="17" t="s">
        <v>798</v>
      </c>
      <c r="U2826" s="20" t="s">
        <v>798</v>
      </c>
      <c r="V2826" s="26" t="s">
        <v>798</v>
      </c>
      <c r="W2826" s="20" t="s">
        <v>798</v>
      </c>
      <c r="X2826" s="26" t="s">
        <v>798</v>
      </c>
      <c r="Y2826" s="20" t="s">
        <v>798</v>
      </c>
      <c r="Z2826" s="73" t="s">
        <v>9486</v>
      </c>
      <c r="AA2826" s="74" t="s">
        <v>9509</v>
      </c>
      <c r="AB2826" s="73" t="s">
        <v>9486</v>
      </c>
      <c r="AC2826" s="74" t="s">
        <v>9566</v>
      </c>
      <c r="AD2826" s="73" t="s">
        <v>9578</v>
      </c>
      <c r="AE2826" s="74" t="s">
        <v>9579</v>
      </c>
    </row>
    <row r="2827" spans="1:31" ht="8.65" customHeight="1" x14ac:dyDescent="0.2">
      <c r="A2827" s="76">
        <v>2827</v>
      </c>
      <c r="B2827" s="67" t="str">
        <f>MID(C2827, FIND("Ifc.", C2827) + 4, 4) &amp; "_" &amp; TEXT(COUNTIF($C$2:C2827, C2827),"0000")</f>
        <v>Sele_0020</v>
      </c>
      <c r="C2827" s="24" t="s">
        <v>877</v>
      </c>
      <c r="D2827" s="69" t="s">
        <v>9453</v>
      </c>
      <c r="E2827" s="70" t="s">
        <v>9456</v>
      </c>
      <c r="F2827" s="26" t="s">
        <v>798</v>
      </c>
      <c r="G2827" s="15" t="s">
        <v>798</v>
      </c>
      <c r="H2827" s="14" t="s">
        <v>798</v>
      </c>
      <c r="I2827" s="15" t="s">
        <v>798</v>
      </c>
      <c r="J2827" s="12" t="s">
        <v>9437</v>
      </c>
      <c r="K2827" s="16" t="s">
        <v>2899</v>
      </c>
      <c r="L2827" s="12" t="s">
        <v>800</v>
      </c>
      <c r="M2827" s="16" t="s">
        <v>3871</v>
      </c>
      <c r="N2827" s="19" t="s">
        <v>798</v>
      </c>
      <c r="O2827" s="20" t="s">
        <v>798</v>
      </c>
      <c r="P2827" s="17" t="s">
        <v>802</v>
      </c>
      <c r="Q2827" s="21" t="s">
        <v>8451</v>
      </c>
      <c r="R2827" s="19" t="s">
        <v>798</v>
      </c>
      <c r="S2827" s="20" t="s">
        <v>798</v>
      </c>
      <c r="T2827" s="17" t="s">
        <v>798</v>
      </c>
      <c r="U2827" s="20" t="s">
        <v>798</v>
      </c>
      <c r="V2827" s="26" t="s">
        <v>798</v>
      </c>
      <c r="W2827" s="20" t="s">
        <v>798</v>
      </c>
      <c r="X2827" s="26" t="s">
        <v>798</v>
      </c>
      <c r="Y2827" s="20" t="s">
        <v>798</v>
      </c>
      <c r="Z2827" s="73" t="s">
        <v>9486</v>
      </c>
      <c r="AA2827" s="74" t="s">
        <v>9509</v>
      </c>
      <c r="AB2827" s="73" t="s">
        <v>9486</v>
      </c>
      <c r="AC2827" s="74" t="s">
        <v>9566</v>
      </c>
      <c r="AD2827" s="73" t="s">
        <v>9578</v>
      </c>
      <c r="AE2827" s="74" t="s">
        <v>9579</v>
      </c>
    </row>
    <row r="2828" spans="1:31" ht="8.65" customHeight="1" x14ac:dyDescent="0.2">
      <c r="A2828" s="76">
        <v>2828</v>
      </c>
      <c r="B2828" s="67" t="str">
        <f>MID(C2828, FIND("Ifc.", C2828) + 4, 4) &amp; "_" &amp; TEXT(COUNTIF($C$2:C2828, C2828),"0000")</f>
        <v>Sele_0021</v>
      </c>
      <c r="C2828" s="24" t="s">
        <v>877</v>
      </c>
      <c r="D2828" s="69" t="s">
        <v>9453</v>
      </c>
      <c r="E2828" s="70" t="s">
        <v>9456</v>
      </c>
      <c r="F2828" s="26" t="s">
        <v>798</v>
      </c>
      <c r="G2828" s="15" t="s">
        <v>798</v>
      </c>
      <c r="H2828" s="14" t="s">
        <v>798</v>
      </c>
      <c r="I2828" s="15" t="s">
        <v>798</v>
      </c>
      <c r="J2828" s="12" t="s">
        <v>9437</v>
      </c>
      <c r="K2828" s="16" t="s">
        <v>2900</v>
      </c>
      <c r="L2828" s="12" t="s">
        <v>800</v>
      </c>
      <c r="M2828" s="16" t="s">
        <v>3872</v>
      </c>
      <c r="N2828" s="19" t="s">
        <v>798</v>
      </c>
      <c r="O2828" s="20" t="s">
        <v>798</v>
      </c>
      <c r="P2828" s="17" t="s">
        <v>802</v>
      </c>
      <c r="Q2828" s="21" t="s">
        <v>8452</v>
      </c>
      <c r="R2828" s="19" t="s">
        <v>798</v>
      </c>
      <c r="S2828" s="20" t="s">
        <v>798</v>
      </c>
      <c r="T2828" s="17" t="s">
        <v>798</v>
      </c>
      <c r="U2828" s="20" t="s">
        <v>798</v>
      </c>
      <c r="V2828" s="26" t="s">
        <v>798</v>
      </c>
      <c r="W2828" s="20" t="s">
        <v>798</v>
      </c>
      <c r="X2828" s="26" t="s">
        <v>798</v>
      </c>
      <c r="Y2828" s="20" t="s">
        <v>798</v>
      </c>
      <c r="Z2828" s="73" t="s">
        <v>9486</v>
      </c>
      <c r="AA2828" s="74" t="s">
        <v>9509</v>
      </c>
      <c r="AB2828" s="73" t="s">
        <v>9486</v>
      </c>
      <c r="AC2828" s="74" t="s">
        <v>9566</v>
      </c>
      <c r="AD2828" s="73" t="s">
        <v>9578</v>
      </c>
      <c r="AE2828" s="74" t="s">
        <v>9579</v>
      </c>
    </row>
    <row r="2829" spans="1:31" ht="8.65" customHeight="1" x14ac:dyDescent="0.2">
      <c r="A2829" s="76">
        <v>2829</v>
      </c>
      <c r="B2829" s="67" t="str">
        <f>MID(C2829, FIND("Ifc.", C2829) + 4, 4) &amp; "_" &amp; TEXT(COUNTIF($C$2:C2829, C2829),"0000")</f>
        <v>Sele_0022</v>
      </c>
      <c r="C2829" s="24" t="s">
        <v>877</v>
      </c>
      <c r="D2829" s="69" t="s">
        <v>9453</v>
      </c>
      <c r="E2829" s="70" t="s">
        <v>9456</v>
      </c>
      <c r="F2829" s="26" t="s">
        <v>798</v>
      </c>
      <c r="G2829" s="15" t="s">
        <v>798</v>
      </c>
      <c r="H2829" s="14" t="s">
        <v>798</v>
      </c>
      <c r="I2829" s="15" t="s">
        <v>798</v>
      </c>
      <c r="J2829" s="12" t="s">
        <v>9437</v>
      </c>
      <c r="K2829" s="16" t="s">
        <v>2901</v>
      </c>
      <c r="L2829" s="12" t="s">
        <v>800</v>
      </c>
      <c r="M2829" s="16" t="s">
        <v>3873</v>
      </c>
      <c r="N2829" s="19" t="s">
        <v>798</v>
      </c>
      <c r="O2829" s="20" t="s">
        <v>798</v>
      </c>
      <c r="P2829" s="17" t="s">
        <v>802</v>
      </c>
      <c r="Q2829" s="21" t="s">
        <v>8453</v>
      </c>
      <c r="R2829" s="19" t="s">
        <v>798</v>
      </c>
      <c r="S2829" s="20" t="s">
        <v>798</v>
      </c>
      <c r="T2829" s="17" t="s">
        <v>798</v>
      </c>
      <c r="U2829" s="20" t="s">
        <v>798</v>
      </c>
      <c r="V2829" s="26" t="s">
        <v>798</v>
      </c>
      <c r="W2829" s="20" t="s">
        <v>798</v>
      </c>
      <c r="X2829" s="26" t="s">
        <v>798</v>
      </c>
      <c r="Y2829" s="20" t="s">
        <v>798</v>
      </c>
      <c r="Z2829" s="73" t="s">
        <v>9486</v>
      </c>
      <c r="AA2829" s="74" t="s">
        <v>9509</v>
      </c>
      <c r="AB2829" s="73" t="s">
        <v>9486</v>
      </c>
      <c r="AC2829" s="74" t="s">
        <v>9566</v>
      </c>
      <c r="AD2829" s="73" t="s">
        <v>9578</v>
      </c>
      <c r="AE2829" s="74" t="s">
        <v>9579</v>
      </c>
    </row>
    <row r="2830" spans="1:31" ht="8.65" customHeight="1" x14ac:dyDescent="0.2">
      <c r="A2830" s="76">
        <v>2830</v>
      </c>
      <c r="B2830" s="67" t="str">
        <f>MID(C2830, FIND("Ifc.", C2830) + 4, 4) &amp; "_" &amp; TEXT(COUNTIF($C$2:C2830, C2830),"0000")</f>
        <v>Sele_0023</v>
      </c>
      <c r="C2830" s="24" t="s">
        <v>877</v>
      </c>
      <c r="D2830" s="69" t="s">
        <v>9453</v>
      </c>
      <c r="E2830" s="70" t="s">
        <v>9456</v>
      </c>
      <c r="F2830" s="26" t="s">
        <v>798</v>
      </c>
      <c r="G2830" s="15" t="s">
        <v>798</v>
      </c>
      <c r="H2830" s="14" t="s">
        <v>798</v>
      </c>
      <c r="I2830" s="15" t="s">
        <v>798</v>
      </c>
      <c r="J2830" s="12" t="s">
        <v>9437</v>
      </c>
      <c r="K2830" s="16" t="s">
        <v>2902</v>
      </c>
      <c r="L2830" s="12" t="s">
        <v>800</v>
      </c>
      <c r="M2830" s="16" t="s">
        <v>3874</v>
      </c>
      <c r="N2830" s="19" t="s">
        <v>798</v>
      </c>
      <c r="O2830" s="20" t="s">
        <v>798</v>
      </c>
      <c r="P2830" s="17" t="s">
        <v>802</v>
      </c>
      <c r="Q2830" s="21" t="s">
        <v>8454</v>
      </c>
      <c r="R2830" s="19" t="s">
        <v>798</v>
      </c>
      <c r="S2830" s="20" t="s">
        <v>798</v>
      </c>
      <c r="T2830" s="17" t="s">
        <v>798</v>
      </c>
      <c r="U2830" s="20" t="s">
        <v>798</v>
      </c>
      <c r="V2830" s="26" t="s">
        <v>798</v>
      </c>
      <c r="W2830" s="20" t="s">
        <v>798</v>
      </c>
      <c r="X2830" s="26" t="s">
        <v>798</v>
      </c>
      <c r="Y2830" s="20" t="s">
        <v>798</v>
      </c>
      <c r="Z2830" s="73" t="s">
        <v>9486</v>
      </c>
      <c r="AA2830" s="74" t="s">
        <v>9509</v>
      </c>
      <c r="AB2830" s="73" t="s">
        <v>9486</v>
      </c>
      <c r="AC2830" s="74" t="s">
        <v>9566</v>
      </c>
      <c r="AD2830" s="73" t="s">
        <v>9578</v>
      </c>
      <c r="AE2830" s="74" t="s">
        <v>9579</v>
      </c>
    </row>
    <row r="2831" spans="1:31" ht="8.65" customHeight="1" x14ac:dyDescent="0.2">
      <c r="A2831" s="76">
        <v>2831</v>
      </c>
      <c r="B2831" s="67" t="str">
        <f>MID(C2831, FIND("Ifc.", C2831) + 4, 4) &amp; "_" &amp; TEXT(COUNTIF($C$2:C2831, C2831),"0000")</f>
        <v>Sele_0024</v>
      </c>
      <c r="C2831" s="24" t="s">
        <v>877</v>
      </c>
      <c r="D2831" s="69" t="s">
        <v>9453</v>
      </c>
      <c r="E2831" s="70" t="s">
        <v>9456</v>
      </c>
      <c r="F2831" s="26" t="s">
        <v>798</v>
      </c>
      <c r="G2831" s="15" t="s">
        <v>798</v>
      </c>
      <c r="H2831" s="14" t="s">
        <v>798</v>
      </c>
      <c r="I2831" s="15" t="s">
        <v>798</v>
      </c>
      <c r="J2831" s="12" t="s">
        <v>9437</v>
      </c>
      <c r="K2831" s="16" t="s">
        <v>2903</v>
      </c>
      <c r="L2831" s="12" t="s">
        <v>800</v>
      </c>
      <c r="M2831" s="16" t="s">
        <v>5884</v>
      </c>
      <c r="N2831" s="19" t="s">
        <v>798</v>
      </c>
      <c r="O2831" s="20" t="s">
        <v>798</v>
      </c>
      <c r="P2831" s="17" t="s">
        <v>802</v>
      </c>
      <c r="Q2831" s="21" t="s">
        <v>8455</v>
      </c>
      <c r="R2831" s="19" t="s">
        <v>798</v>
      </c>
      <c r="S2831" s="20" t="s">
        <v>798</v>
      </c>
      <c r="T2831" s="17" t="s">
        <v>798</v>
      </c>
      <c r="U2831" s="20" t="s">
        <v>798</v>
      </c>
      <c r="V2831" s="26" t="s">
        <v>798</v>
      </c>
      <c r="W2831" s="20" t="s">
        <v>798</v>
      </c>
      <c r="X2831" s="26" t="s">
        <v>798</v>
      </c>
      <c r="Y2831" s="20" t="s">
        <v>798</v>
      </c>
      <c r="Z2831" s="73" t="s">
        <v>9486</v>
      </c>
      <c r="AA2831" s="74" t="s">
        <v>9509</v>
      </c>
      <c r="AB2831" s="73" t="s">
        <v>9486</v>
      </c>
      <c r="AC2831" s="74" t="s">
        <v>9566</v>
      </c>
      <c r="AD2831" s="73" t="s">
        <v>9578</v>
      </c>
      <c r="AE2831" s="74" t="s">
        <v>9579</v>
      </c>
    </row>
    <row r="2832" spans="1:31" ht="8.65" customHeight="1" x14ac:dyDescent="0.2">
      <c r="A2832" s="76">
        <v>2832</v>
      </c>
      <c r="B2832" s="67" t="str">
        <f>MID(C2832, FIND("Ifc.", C2832) + 4, 4) &amp; "_" &amp; TEXT(COUNTIF($C$2:C2832, C2832),"0000")</f>
        <v>Sele_0025</v>
      </c>
      <c r="C2832" s="24" t="s">
        <v>877</v>
      </c>
      <c r="D2832" s="69" t="s">
        <v>9453</v>
      </c>
      <c r="E2832" s="70" t="s">
        <v>9456</v>
      </c>
      <c r="F2832" s="26" t="s">
        <v>798</v>
      </c>
      <c r="G2832" s="15" t="s">
        <v>798</v>
      </c>
      <c r="H2832" s="14" t="s">
        <v>798</v>
      </c>
      <c r="I2832" s="15" t="s">
        <v>798</v>
      </c>
      <c r="J2832" s="12" t="s">
        <v>9437</v>
      </c>
      <c r="K2832" s="16" t="s">
        <v>2904</v>
      </c>
      <c r="L2832" s="12" t="s">
        <v>800</v>
      </c>
      <c r="M2832" s="16" t="s">
        <v>3875</v>
      </c>
      <c r="N2832" s="19" t="s">
        <v>798</v>
      </c>
      <c r="O2832" s="20" t="s">
        <v>798</v>
      </c>
      <c r="P2832" s="17" t="s">
        <v>802</v>
      </c>
      <c r="Q2832" s="21" t="s">
        <v>8456</v>
      </c>
      <c r="R2832" s="19" t="s">
        <v>798</v>
      </c>
      <c r="S2832" s="20" t="s">
        <v>798</v>
      </c>
      <c r="T2832" s="17" t="s">
        <v>798</v>
      </c>
      <c r="U2832" s="20" t="s">
        <v>798</v>
      </c>
      <c r="V2832" s="26" t="s">
        <v>798</v>
      </c>
      <c r="W2832" s="20" t="s">
        <v>798</v>
      </c>
      <c r="X2832" s="26" t="s">
        <v>798</v>
      </c>
      <c r="Y2832" s="20" t="s">
        <v>798</v>
      </c>
      <c r="Z2832" s="73" t="s">
        <v>9486</v>
      </c>
      <c r="AA2832" s="74" t="s">
        <v>9509</v>
      </c>
      <c r="AB2832" s="73" t="s">
        <v>9486</v>
      </c>
      <c r="AC2832" s="74" t="s">
        <v>9566</v>
      </c>
      <c r="AD2832" s="73" t="s">
        <v>9578</v>
      </c>
      <c r="AE2832" s="74" t="s">
        <v>9579</v>
      </c>
    </row>
    <row r="2833" spans="1:31" ht="8.65" customHeight="1" x14ac:dyDescent="0.2">
      <c r="A2833" s="76">
        <v>2833</v>
      </c>
      <c r="B2833" s="67" t="str">
        <f>MID(C2833, FIND("Ifc.", C2833) + 4, 4) &amp; "_" &amp; TEXT(COUNTIF($C$2:C2833, C2833),"0000")</f>
        <v>Sele_0026</v>
      </c>
      <c r="C2833" s="24" t="s">
        <v>877</v>
      </c>
      <c r="D2833" s="69" t="s">
        <v>9453</v>
      </c>
      <c r="E2833" s="70" t="s">
        <v>9456</v>
      </c>
      <c r="F2833" s="26" t="s">
        <v>798</v>
      </c>
      <c r="G2833" s="15" t="s">
        <v>798</v>
      </c>
      <c r="H2833" s="14" t="s">
        <v>798</v>
      </c>
      <c r="I2833" s="15" t="s">
        <v>798</v>
      </c>
      <c r="J2833" s="12" t="s">
        <v>9437</v>
      </c>
      <c r="K2833" s="16" t="s">
        <v>2905</v>
      </c>
      <c r="L2833" s="12" t="s">
        <v>800</v>
      </c>
      <c r="M2833" s="16" t="s">
        <v>3876</v>
      </c>
      <c r="N2833" s="19" t="s">
        <v>798</v>
      </c>
      <c r="O2833" s="20" t="s">
        <v>798</v>
      </c>
      <c r="P2833" s="17" t="s">
        <v>802</v>
      </c>
      <c r="Q2833" s="21" t="s">
        <v>8457</v>
      </c>
      <c r="R2833" s="19" t="s">
        <v>798</v>
      </c>
      <c r="S2833" s="20" t="s">
        <v>798</v>
      </c>
      <c r="T2833" s="17" t="s">
        <v>798</v>
      </c>
      <c r="U2833" s="20" t="s">
        <v>798</v>
      </c>
      <c r="V2833" s="26" t="s">
        <v>798</v>
      </c>
      <c r="W2833" s="20" t="s">
        <v>798</v>
      </c>
      <c r="X2833" s="26" t="s">
        <v>798</v>
      </c>
      <c r="Y2833" s="20" t="s">
        <v>798</v>
      </c>
      <c r="Z2833" s="73" t="s">
        <v>9486</v>
      </c>
      <c r="AA2833" s="74" t="s">
        <v>9509</v>
      </c>
      <c r="AB2833" s="73" t="s">
        <v>9486</v>
      </c>
      <c r="AC2833" s="74" t="s">
        <v>9566</v>
      </c>
      <c r="AD2833" s="73" t="s">
        <v>9578</v>
      </c>
      <c r="AE2833" s="74" t="s">
        <v>9579</v>
      </c>
    </row>
    <row r="2834" spans="1:31" ht="8.65" customHeight="1" x14ac:dyDescent="0.2">
      <c r="A2834" s="76">
        <v>2834</v>
      </c>
      <c r="B2834" s="67" t="str">
        <f>MID(C2834, FIND("Ifc.", C2834) + 4, 4) &amp; "_" &amp; TEXT(COUNTIF($C$2:C2834, C2834),"0000")</f>
        <v>Sele_0027</v>
      </c>
      <c r="C2834" s="24" t="s">
        <v>877</v>
      </c>
      <c r="D2834" s="69" t="s">
        <v>9453</v>
      </c>
      <c r="E2834" s="70" t="s">
        <v>9456</v>
      </c>
      <c r="F2834" s="26" t="s">
        <v>798</v>
      </c>
      <c r="G2834" s="15" t="s">
        <v>798</v>
      </c>
      <c r="H2834" s="14" t="s">
        <v>798</v>
      </c>
      <c r="I2834" s="15" t="s">
        <v>798</v>
      </c>
      <c r="J2834" s="12" t="s">
        <v>9437</v>
      </c>
      <c r="K2834" s="16" t="s">
        <v>2906</v>
      </c>
      <c r="L2834" s="12" t="s">
        <v>800</v>
      </c>
      <c r="M2834" s="16" t="s">
        <v>3877</v>
      </c>
      <c r="N2834" s="19" t="s">
        <v>798</v>
      </c>
      <c r="O2834" s="20" t="s">
        <v>798</v>
      </c>
      <c r="P2834" s="17" t="s">
        <v>802</v>
      </c>
      <c r="Q2834" s="21" t="s">
        <v>8458</v>
      </c>
      <c r="R2834" s="19" t="s">
        <v>798</v>
      </c>
      <c r="S2834" s="20" t="s">
        <v>798</v>
      </c>
      <c r="T2834" s="17" t="s">
        <v>798</v>
      </c>
      <c r="U2834" s="20" t="s">
        <v>798</v>
      </c>
      <c r="V2834" s="26" t="s">
        <v>798</v>
      </c>
      <c r="W2834" s="20" t="s">
        <v>798</v>
      </c>
      <c r="X2834" s="26" t="s">
        <v>798</v>
      </c>
      <c r="Y2834" s="20" t="s">
        <v>798</v>
      </c>
      <c r="Z2834" s="73" t="s">
        <v>9486</v>
      </c>
      <c r="AA2834" s="74" t="s">
        <v>9509</v>
      </c>
      <c r="AB2834" s="73" t="s">
        <v>9486</v>
      </c>
      <c r="AC2834" s="74" t="s">
        <v>9566</v>
      </c>
      <c r="AD2834" s="73" t="s">
        <v>9578</v>
      </c>
      <c r="AE2834" s="74" t="s">
        <v>9579</v>
      </c>
    </row>
    <row r="2835" spans="1:31" ht="8.65" customHeight="1" x14ac:dyDescent="0.2">
      <c r="A2835" s="76">
        <v>2835</v>
      </c>
      <c r="B2835" s="67" t="str">
        <f>MID(C2835, FIND("Ifc.", C2835) + 4, 4) &amp; "_" &amp; TEXT(COUNTIF($C$2:C2835, C2835),"0000")</f>
        <v>Sele_0028</v>
      </c>
      <c r="C2835" s="24" t="s">
        <v>877</v>
      </c>
      <c r="D2835" s="69" t="s">
        <v>9453</v>
      </c>
      <c r="E2835" s="70" t="s">
        <v>9456</v>
      </c>
      <c r="F2835" s="26" t="s">
        <v>798</v>
      </c>
      <c r="G2835" s="15" t="s">
        <v>798</v>
      </c>
      <c r="H2835" s="14" t="s">
        <v>798</v>
      </c>
      <c r="I2835" s="15" t="s">
        <v>798</v>
      </c>
      <c r="J2835" s="12" t="s">
        <v>9437</v>
      </c>
      <c r="K2835" s="16" t="s">
        <v>2907</v>
      </c>
      <c r="L2835" s="12" t="s">
        <v>800</v>
      </c>
      <c r="M2835" s="16" t="s">
        <v>3878</v>
      </c>
      <c r="N2835" s="19" t="s">
        <v>798</v>
      </c>
      <c r="O2835" s="20" t="s">
        <v>798</v>
      </c>
      <c r="P2835" s="17" t="s">
        <v>802</v>
      </c>
      <c r="Q2835" s="21" t="s">
        <v>8459</v>
      </c>
      <c r="R2835" s="19" t="s">
        <v>798</v>
      </c>
      <c r="S2835" s="20" t="s">
        <v>798</v>
      </c>
      <c r="T2835" s="17" t="s">
        <v>798</v>
      </c>
      <c r="U2835" s="20" t="s">
        <v>798</v>
      </c>
      <c r="V2835" s="26" t="s">
        <v>798</v>
      </c>
      <c r="W2835" s="20" t="s">
        <v>798</v>
      </c>
      <c r="X2835" s="26" t="s">
        <v>798</v>
      </c>
      <c r="Y2835" s="20" t="s">
        <v>798</v>
      </c>
      <c r="Z2835" s="73" t="s">
        <v>9486</v>
      </c>
      <c r="AA2835" s="74" t="s">
        <v>9509</v>
      </c>
      <c r="AB2835" s="73" t="s">
        <v>9486</v>
      </c>
      <c r="AC2835" s="74" t="s">
        <v>9566</v>
      </c>
      <c r="AD2835" s="73" t="s">
        <v>9578</v>
      </c>
      <c r="AE2835" s="74" t="s">
        <v>9579</v>
      </c>
    </row>
    <row r="2836" spans="1:31" ht="8.65" customHeight="1" x14ac:dyDescent="0.2">
      <c r="A2836" s="76">
        <v>2836</v>
      </c>
      <c r="B2836" s="67" t="str">
        <f>MID(C2836, FIND("Ifc.", C2836) + 4, 4) &amp; "_" &amp; TEXT(COUNTIF($C$2:C2836, C2836),"0000")</f>
        <v>Sele_0029</v>
      </c>
      <c r="C2836" s="24" t="s">
        <v>877</v>
      </c>
      <c r="D2836" s="69" t="s">
        <v>9453</v>
      </c>
      <c r="E2836" s="70" t="s">
        <v>9456</v>
      </c>
      <c r="F2836" s="26" t="s">
        <v>798</v>
      </c>
      <c r="G2836" s="15" t="s">
        <v>798</v>
      </c>
      <c r="H2836" s="14" t="s">
        <v>798</v>
      </c>
      <c r="I2836" s="15" t="s">
        <v>798</v>
      </c>
      <c r="J2836" s="12" t="s">
        <v>9437</v>
      </c>
      <c r="K2836" s="16" t="s">
        <v>2908</v>
      </c>
      <c r="L2836" s="12" t="s">
        <v>800</v>
      </c>
      <c r="M2836" s="16" t="s">
        <v>3879</v>
      </c>
      <c r="N2836" s="19" t="s">
        <v>798</v>
      </c>
      <c r="O2836" s="20" t="s">
        <v>798</v>
      </c>
      <c r="P2836" s="17" t="s">
        <v>802</v>
      </c>
      <c r="Q2836" s="21" t="s">
        <v>8460</v>
      </c>
      <c r="R2836" s="19" t="s">
        <v>798</v>
      </c>
      <c r="S2836" s="20" t="s">
        <v>798</v>
      </c>
      <c r="T2836" s="17" t="s">
        <v>798</v>
      </c>
      <c r="U2836" s="20" t="s">
        <v>798</v>
      </c>
      <c r="V2836" s="26" t="s">
        <v>798</v>
      </c>
      <c r="W2836" s="20" t="s">
        <v>798</v>
      </c>
      <c r="X2836" s="26" t="s">
        <v>798</v>
      </c>
      <c r="Y2836" s="20" t="s">
        <v>798</v>
      </c>
      <c r="Z2836" s="73" t="s">
        <v>9486</v>
      </c>
      <c r="AA2836" s="74" t="s">
        <v>9509</v>
      </c>
      <c r="AB2836" s="73" t="s">
        <v>9486</v>
      </c>
      <c r="AC2836" s="74" t="s">
        <v>9566</v>
      </c>
      <c r="AD2836" s="73" t="s">
        <v>9578</v>
      </c>
      <c r="AE2836" s="74" t="s">
        <v>9579</v>
      </c>
    </row>
    <row r="2837" spans="1:31" ht="8.65" customHeight="1" x14ac:dyDescent="0.2">
      <c r="A2837" s="76">
        <v>2837</v>
      </c>
      <c r="B2837" s="67" t="str">
        <f>MID(C2837, FIND("Ifc.", C2837) + 4, 4) &amp; "_" &amp; TEXT(COUNTIF($C$2:C2837, C2837),"0000")</f>
        <v>Sele_0030</v>
      </c>
      <c r="C2837" s="24" t="s">
        <v>877</v>
      </c>
      <c r="D2837" s="69" t="s">
        <v>9453</v>
      </c>
      <c r="E2837" s="70" t="s">
        <v>9456</v>
      </c>
      <c r="F2837" s="26" t="s">
        <v>798</v>
      </c>
      <c r="G2837" s="15" t="s">
        <v>798</v>
      </c>
      <c r="H2837" s="14" t="s">
        <v>798</v>
      </c>
      <c r="I2837" s="15" t="s">
        <v>798</v>
      </c>
      <c r="J2837" s="12" t="s">
        <v>9437</v>
      </c>
      <c r="K2837" s="16" t="s">
        <v>2909</v>
      </c>
      <c r="L2837" s="12" t="s">
        <v>800</v>
      </c>
      <c r="M2837" s="16" t="s">
        <v>3880</v>
      </c>
      <c r="N2837" s="19" t="s">
        <v>798</v>
      </c>
      <c r="O2837" s="20" t="s">
        <v>798</v>
      </c>
      <c r="P2837" s="17" t="s">
        <v>802</v>
      </c>
      <c r="Q2837" s="21" t="s">
        <v>8461</v>
      </c>
      <c r="R2837" s="19" t="s">
        <v>798</v>
      </c>
      <c r="S2837" s="20" t="s">
        <v>798</v>
      </c>
      <c r="T2837" s="17" t="s">
        <v>798</v>
      </c>
      <c r="U2837" s="20" t="s">
        <v>798</v>
      </c>
      <c r="V2837" s="26" t="s">
        <v>798</v>
      </c>
      <c r="W2837" s="20" t="s">
        <v>798</v>
      </c>
      <c r="X2837" s="26" t="s">
        <v>798</v>
      </c>
      <c r="Y2837" s="20" t="s">
        <v>798</v>
      </c>
      <c r="Z2837" s="73" t="s">
        <v>9486</v>
      </c>
      <c r="AA2837" s="74" t="s">
        <v>9509</v>
      </c>
      <c r="AB2837" s="73" t="s">
        <v>9486</v>
      </c>
      <c r="AC2837" s="74" t="s">
        <v>9566</v>
      </c>
      <c r="AD2837" s="73" t="s">
        <v>9578</v>
      </c>
      <c r="AE2837" s="74" t="s">
        <v>9579</v>
      </c>
    </row>
    <row r="2838" spans="1:31" ht="8.65" customHeight="1" x14ac:dyDescent="0.2">
      <c r="A2838" s="76">
        <v>2838</v>
      </c>
      <c r="B2838" s="67" t="str">
        <f>MID(C2838, FIND("Ifc.", C2838) + 4, 4) &amp; "_" &amp; TEXT(COUNTIF($C$2:C2838, C2838),"0000")</f>
        <v>Sele_0031</v>
      </c>
      <c r="C2838" s="24" t="s">
        <v>877</v>
      </c>
      <c r="D2838" s="69" t="s">
        <v>9453</v>
      </c>
      <c r="E2838" s="70" t="s">
        <v>9456</v>
      </c>
      <c r="F2838" s="26" t="s">
        <v>798</v>
      </c>
      <c r="G2838" s="15" t="s">
        <v>798</v>
      </c>
      <c r="H2838" s="14" t="s">
        <v>798</v>
      </c>
      <c r="I2838" s="15" t="s">
        <v>798</v>
      </c>
      <c r="J2838" s="12" t="s">
        <v>9437</v>
      </c>
      <c r="K2838" s="16" t="s">
        <v>2910</v>
      </c>
      <c r="L2838" s="12" t="s">
        <v>800</v>
      </c>
      <c r="M2838" s="16" t="s">
        <v>5885</v>
      </c>
      <c r="N2838" s="19" t="s">
        <v>798</v>
      </c>
      <c r="O2838" s="20" t="s">
        <v>798</v>
      </c>
      <c r="P2838" s="17" t="s">
        <v>802</v>
      </c>
      <c r="Q2838" s="21" t="s">
        <v>8462</v>
      </c>
      <c r="R2838" s="19" t="s">
        <v>798</v>
      </c>
      <c r="S2838" s="20" t="s">
        <v>798</v>
      </c>
      <c r="T2838" s="17" t="s">
        <v>798</v>
      </c>
      <c r="U2838" s="20" t="s">
        <v>798</v>
      </c>
      <c r="V2838" s="26" t="s">
        <v>798</v>
      </c>
      <c r="W2838" s="20" t="s">
        <v>798</v>
      </c>
      <c r="X2838" s="26" t="s">
        <v>798</v>
      </c>
      <c r="Y2838" s="20" t="s">
        <v>798</v>
      </c>
      <c r="Z2838" s="73" t="s">
        <v>9486</v>
      </c>
      <c r="AA2838" s="74" t="s">
        <v>9509</v>
      </c>
      <c r="AB2838" s="73" t="s">
        <v>9486</v>
      </c>
      <c r="AC2838" s="74" t="s">
        <v>9566</v>
      </c>
      <c r="AD2838" s="73" t="s">
        <v>9578</v>
      </c>
      <c r="AE2838" s="74" t="s">
        <v>9579</v>
      </c>
    </row>
    <row r="2839" spans="1:31" ht="8.65" customHeight="1" x14ac:dyDescent="0.2">
      <c r="A2839" s="76">
        <v>2839</v>
      </c>
      <c r="B2839" s="67" t="str">
        <f>MID(C2839, FIND("Ifc.", C2839) + 4, 4) &amp; "_" &amp; TEXT(COUNTIF($C$2:C2839, C2839),"0000")</f>
        <v>Sele_0032</v>
      </c>
      <c r="C2839" s="24" t="s">
        <v>877</v>
      </c>
      <c r="D2839" s="69" t="s">
        <v>9453</v>
      </c>
      <c r="E2839" s="70" t="s">
        <v>9456</v>
      </c>
      <c r="F2839" s="26" t="s">
        <v>798</v>
      </c>
      <c r="G2839" s="15" t="s">
        <v>798</v>
      </c>
      <c r="H2839" s="14" t="s">
        <v>798</v>
      </c>
      <c r="I2839" s="15" t="s">
        <v>798</v>
      </c>
      <c r="J2839" s="12" t="s">
        <v>9437</v>
      </c>
      <c r="K2839" s="16" t="s">
        <v>2911</v>
      </c>
      <c r="L2839" s="12" t="s">
        <v>800</v>
      </c>
      <c r="M2839" s="16" t="s">
        <v>3881</v>
      </c>
      <c r="N2839" s="19" t="s">
        <v>798</v>
      </c>
      <c r="O2839" s="20" t="s">
        <v>798</v>
      </c>
      <c r="P2839" s="17" t="s">
        <v>802</v>
      </c>
      <c r="Q2839" s="21" t="s">
        <v>8463</v>
      </c>
      <c r="R2839" s="19" t="s">
        <v>798</v>
      </c>
      <c r="S2839" s="20" t="s">
        <v>798</v>
      </c>
      <c r="T2839" s="17" t="s">
        <v>798</v>
      </c>
      <c r="U2839" s="20" t="s">
        <v>798</v>
      </c>
      <c r="V2839" s="26" t="s">
        <v>798</v>
      </c>
      <c r="W2839" s="20" t="s">
        <v>798</v>
      </c>
      <c r="X2839" s="26" t="s">
        <v>798</v>
      </c>
      <c r="Y2839" s="20" t="s">
        <v>798</v>
      </c>
      <c r="Z2839" s="73" t="s">
        <v>9486</v>
      </c>
      <c r="AA2839" s="74" t="s">
        <v>9509</v>
      </c>
      <c r="AB2839" s="73" t="s">
        <v>9486</v>
      </c>
      <c r="AC2839" s="74" t="s">
        <v>9566</v>
      </c>
      <c r="AD2839" s="73" t="s">
        <v>9578</v>
      </c>
      <c r="AE2839" s="74" t="s">
        <v>9579</v>
      </c>
    </row>
    <row r="2840" spans="1:31" ht="8.65" customHeight="1" x14ac:dyDescent="0.2">
      <c r="A2840" s="76">
        <v>2840</v>
      </c>
      <c r="B2840" s="67" t="str">
        <f>MID(C2840, FIND("Ifc.", C2840) + 4, 4) &amp; "_" &amp; TEXT(COUNTIF($C$2:C2840, C2840),"0000")</f>
        <v>Sele_0033</v>
      </c>
      <c r="C2840" s="24" t="s">
        <v>877</v>
      </c>
      <c r="D2840" s="69" t="s">
        <v>9453</v>
      </c>
      <c r="E2840" s="70" t="s">
        <v>9456</v>
      </c>
      <c r="F2840" s="26" t="s">
        <v>798</v>
      </c>
      <c r="G2840" s="15" t="s">
        <v>798</v>
      </c>
      <c r="H2840" s="14" t="s">
        <v>798</v>
      </c>
      <c r="I2840" s="15" t="s">
        <v>798</v>
      </c>
      <c r="J2840" s="12" t="s">
        <v>9437</v>
      </c>
      <c r="K2840" s="16" t="s">
        <v>2912</v>
      </c>
      <c r="L2840" s="12" t="s">
        <v>800</v>
      </c>
      <c r="M2840" s="16" t="s">
        <v>3882</v>
      </c>
      <c r="N2840" s="19" t="s">
        <v>798</v>
      </c>
      <c r="O2840" s="20" t="s">
        <v>798</v>
      </c>
      <c r="P2840" s="17" t="s">
        <v>802</v>
      </c>
      <c r="Q2840" s="21" t="s">
        <v>8464</v>
      </c>
      <c r="R2840" s="19" t="s">
        <v>798</v>
      </c>
      <c r="S2840" s="20" t="s">
        <v>798</v>
      </c>
      <c r="T2840" s="17" t="s">
        <v>798</v>
      </c>
      <c r="U2840" s="20" t="s">
        <v>798</v>
      </c>
      <c r="V2840" s="26" t="s">
        <v>798</v>
      </c>
      <c r="W2840" s="20" t="s">
        <v>798</v>
      </c>
      <c r="X2840" s="26" t="s">
        <v>798</v>
      </c>
      <c r="Y2840" s="20" t="s">
        <v>798</v>
      </c>
      <c r="Z2840" s="73" t="s">
        <v>9486</v>
      </c>
      <c r="AA2840" s="74" t="s">
        <v>9509</v>
      </c>
      <c r="AB2840" s="73" t="s">
        <v>9486</v>
      </c>
      <c r="AC2840" s="74" t="s">
        <v>9566</v>
      </c>
      <c r="AD2840" s="73" t="s">
        <v>9578</v>
      </c>
      <c r="AE2840" s="74" t="s">
        <v>9579</v>
      </c>
    </row>
    <row r="2841" spans="1:31" ht="8.65" customHeight="1" x14ac:dyDescent="0.2">
      <c r="A2841" s="76">
        <v>2841</v>
      </c>
      <c r="B2841" s="67" t="str">
        <f>MID(C2841, FIND("Ifc.", C2841) + 4, 4) &amp; "_" &amp; TEXT(COUNTIF($C$2:C2841, C2841),"0000")</f>
        <v>Sele_0034</v>
      </c>
      <c r="C2841" s="24" t="s">
        <v>877</v>
      </c>
      <c r="D2841" s="69" t="s">
        <v>9453</v>
      </c>
      <c r="E2841" s="70" t="s">
        <v>9456</v>
      </c>
      <c r="F2841" s="26" t="s">
        <v>798</v>
      </c>
      <c r="G2841" s="15" t="s">
        <v>798</v>
      </c>
      <c r="H2841" s="14" t="s">
        <v>798</v>
      </c>
      <c r="I2841" s="15" t="s">
        <v>798</v>
      </c>
      <c r="J2841" s="12" t="s">
        <v>9437</v>
      </c>
      <c r="K2841" s="16" t="s">
        <v>2913</v>
      </c>
      <c r="L2841" s="12" t="s">
        <v>800</v>
      </c>
      <c r="M2841" s="16" t="s">
        <v>3883</v>
      </c>
      <c r="N2841" s="19" t="s">
        <v>798</v>
      </c>
      <c r="O2841" s="20" t="s">
        <v>798</v>
      </c>
      <c r="P2841" s="17" t="s">
        <v>802</v>
      </c>
      <c r="Q2841" s="21" t="s">
        <v>8465</v>
      </c>
      <c r="R2841" s="19" t="s">
        <v>798</v>
      </c>
      <c r="S2841" s="20" t="s">
        <v>798</v>
      </c>
      <c r="T2841" s="17" t="s">
        <v>798</v>
      </c>
      <c r="U2841" s="20" t="s">
        <v>798</v>
      </c>
      <c r="V2841" s="26" t="s">
        <v>798</v>
      </c>
      <c r="W2841" s="20" t="s">
        <v>798</v>
      </c>
      <c r="X2841" s="26" t="s">
        <v>798</v>
      </c>
      <c r="Y2841" s="20" t="s">
        <v>798</v>
      </c>
      <c r="Z2841" s="73" t="s">
        <v>9486</v>
      </c>
      <c r="AA2841" s="74" t="s">
        <v>9509</v>
      </c>
      <c r="AB2841" s="73" t="s">
        <v>9486</v>
      </c>
      <c r="AC2841" s="74" t="s">
        <v>9566</v>
      </c>
      <c r="AD2841" s="73" t="s">
        <v>9578</v>
      </c>
      <c r="AE2841" s="74" t="s">
        <v>9579</v>
      </c>
    </row>
    <row r="2842" spans="1:31" ht="8.65" customHeight="1" x14ac:dyDescent="0.2">
      <c r="A2842" s="76">
        <v>2842</v>
      </c>
      <c r="B2842" s="67" t="str">
        <f>MID(C2842, FIND("Ifc.", C2842) + 4, 4) &amp; "_" &amp; TEXT(COUNTIF($C$2:C2842, C2842),"0000")</f>
        <v>Sele_0035</v>
      </c>
      <c r="C2842" s="24" t="s">
        <v>877</v>
      </c>
      <c r="D2842" s="69" t="s">
        <v>9453</v>
      </c>
      <c r="E2842" s="70" t="s">
        <v>9456</v>
      </c>
      <c r="F2842" s="26" t="s">
        <v>798</v>
      </c>
      <c r="G2842" s="15" t="s">
        <v>798</v>
      </c>
      <c r="H2842" s="14" t="s">
        <v>798</v>
      </c>
      <c r="I2842" s="15" t="s">
        <v>798</v>
      </c>
      <c r="J2842" s="12" t="s">
        <v>9437</v>
      </c>
      <c r="K2842" s="16" t="s">
        <v>2914</v>
      </c>
      <c r="L2842" s="12" t="s">
        <v>800</v>
      </c>
      <c r="M2842" s="16" t="s">
        <v>3884</v>
      </c>
      <c r="N2842" s="19" t="s">
        <v>798</v>
      </c>
      <c r="O2842" s="20" t="s">
        <v>798</v>
      </c>
      <c r="P2842" s="17" t="s">
        <v>802</v>
      </c>
      <c r="Q2842" s="21" t="s">
        <v>8466</v>
      </c>
      <c r="R2842" s="19" t="s">
        <v>798</v>
      </c>
      <c r="S2842" s="20" t="s">
        <v>798</v>
      </c>
      <c r="T2842" s="17" t="s">
        <v>798</v>
      </c>
      <c r="U2842" s="20" t="s">
        <v>798</v>
      </c>
      <c r="V2842" s="26" t="s">
        <v>798</v>
      </c>
      <c r="W2842" s="20" t="s">
        <v>798</v>
      </c>
      <c r="X2842" s="26" t="s">
        <v>798</v>
      </c>
      <c r="Y2842" s="20" t="s">
        <v>798</v>
      </c>
      <c r="Z2842" s="73" t="s">
        <v>9486</v>
      </c>
      <c r="AA2842" s="74" t="s">
        <v>9509</v>
      </c>
      <c r="AB2842" s="73" t="s">
        <v>9486</v>
      </c>
      <c r="AC2842" s="74" t="s">
        <v>9566</v>
      </c>
      <c r="AD2842" s="73" t="s">
        <v>9578</v>
      </c>
      <c r="AE2842" s="74" t="s">
        <v>9579</v>
      </c>
    </row>
    <row r="2843" spans="1:31" ht="8.65" customHeight="1" x14ac:dyDescent="0.2">
      <c r="A2843" s="76">
        <v>2843</v>
      </c>
      <c r="B2843" s="67" t="str">
        <f>MID(C2843, FIND("Ifc.", C2843) + 4, 4) &amp; "_" &amp; TEXT(COUNTIF($C$2:C2843, C2843),"0000")</f>
        <v>Sele_0036</v>
      </c>
      <c r="C2843" s="24" t="s">
        <v>877</v>
      </c>
      <c r="D2843" s="69" t="s">
        <v>9453</v>
      </c>
      <c r="E2843" s="70" t="s">
        <v>9456</v>
      </c>
      <c r="F2843" s="26" t="s">
        <v>798</v>
      </c>
      <c r="G2843" s="15" t="s">
        <v>798</v>
      </c>
      <c r="H2843" s="14" t="s">
        <v>798</v>
      </c>
      <c r="I2843" s="15" t="s">
        <v>798</v>
      </c>
      <c r="J2843" s="12" t="s">
        <v>9437</v>
      </c>
      <c r="K2843" s="16" t="s">
        <v>2915</v>
      </c>
      <c r="L2843" s="12" t="s">
        <v>800</v>
      </c>
      <c r="M2843" s="16" t="s">
        <v>3885</v>
      </c>
      <c r="N2843" s="19" t="s">
        <v>798</v>
      </c>
      <c r="O2843" s="20" t="s">
        <v>798</v>
      </c>
      <c r="P2843" s="17" t="s">
        <v>802</v>
      </c>
      <c r="Q2843" s="21" t="s">
        <v>8467</v>
      </c>
      <c r="R2843" s="19" t="s">
        <v>798</v>
      </c>
      <c r="S2843" s="20" t="s">
        <v>798</v>
      </c>
      <c r="T2843" s="17" t="s">
        <v>798</v>
      </c>
      <c r="U2843" s="20" t="s">
        <v>798</v>
      </c>
      <c r="V2843" s="26" t="s">
        <v>798</v>
      </c>
      <c r="W2843" s="20" t="s">
        <v>798</v>
      </c>
      <c r="X2843" s="26" t="s">
        <v>798</v>
      </c>
      <c r="Y2843" s="20" t="s">
        <v>798</v>
      </c>
      <c r="Z2843" s="73" t="s">
        <v>9486</v>
      </c>
      <c r="AA2843" s="74" t="s">
        <v>9509</v>
      </c>
      <c r="AB2843" s="73" t="s">
        <v>9486</v>
      </c>
      <c r="AC2843" s="74" t="s">
        <v>9566</v>
      </c>
      <c r="AD2843" s="73" t="s">
        <v>9578</v>
      </c>
      <c r="AE2843" s="74" t="s">
        <v>9579</v>
      </c>
    </row>
    <row r="2844" spans="1:31" ht="8.65" customHeight="1" x14ac:dyDescent="0.2">
      <c r="A2844" s="76">
        <v>2844</v>
      </c>
      <c r="B2844" s="67" t="str">
        <f>MID(C2844, FIND("Ifc.", C2844) + 4, 4) &amp; "_" &amp; TEXT(COUNTIF($C$2:C2844, C2844),"0000")</f>
        <v>Sele_0037</v>
      </c>
      <c r="C2844" s="24" t="s">
        <v>877</v>
      </c>
      <c r="D2844" s="69" t="s">
        <v>9453</v>
      </c>
      <c r="E2844" s="70" t="s">
        <v>9456</v>
      </c>
      <c r="F2844" s="26" t="s">
        <v>798</v>
      </c>
      <c r="G2844" s="15" t="s">
        <v>798</v>
      </c>
      <c r="H2844" s="14" t="s">
        <v>798</v>
      </c>
      <c r="I2844" s="15" t="s">
        <v>798</v>
      </c>
      <c r="J2844" s="12" t="s">
        <v>9437</v>
      </c>
      <c r="K2844" s="16" t="s">
        <v>2916</v>
      </c>
      <c r="L2844" s="12" t="s">
        <v>800</v>
      </c>
      <c r="M2844" s="16" t="s">
        <v>3886</v>
      </c>
      <c r="N2844" s="19" t="s">
        <v>798</v>
      </c>
      <c r="O2844" s="20" t="s">
        <v>798</v>
      </c>
      <c r="P2844" s="17" t="s">
        <v>802</v>
      </c>
      <c r="Q2844" s="21" t="s">
        <v>8468</v>
      </c>
      <c r="R2844" s="19" t="s">
        <v>798</v>
      </c>
      <c r="S2844" s="20" t="s">
        <v>798</v>
      </c>
      <c r="T2844" s="17" t="s">
        <v>798</v>
      </c>
      <c r="U2844" s="20" t="s">
        <v>798</v>
      </c>
      <c r="V2844" s="26" t="s">
        <v>798</v>
      </c>
      <c r="W2844" s="20" t="s">
        <v>798</v>
      </c>
      <c r="X2844" s="26" t="s">
        <v>798</v>
      </c>
      <c r="Y2844" s="20" t="s">
        <v>798</v>
      </c>
      <c r="Z2844" s="73" t="s">
        <v>9486</v>
      </c>
      <c r="AA2844" s="74" t="s">
        <v>9509</v>
      </c>
      <c r="AB2844" s="73" t="s">
        <v>9486</v>
      </c>
      <c r="AC2844" s="74" t="s">
        <v>9566</v>
      </c>
      <c r="AD2844" s="73" t="s">
        <v>9578</v>
      </c>
      <c r="AE2844" s="74" t="s">
        <v>9579</v>
      </c>
    </row>
    <row r="2845" spans="1:31" ht="8.65" customHeight="1" x14ac:dyDescent="0.2">
      <c r="A2845" s="76">
        <v>2845</v>
      </c>
      <c r="B2845" s="67" t="str">
        <f>MID(C2845, FIND("Ifc.", C2845) + 4, 4) &amp; "_" &amp; TEXT(COUNTIF($C$2:C2845, C2845),"0000")</f>
        <v>Sele_0038</v>
      </c>
      <c r="C2845" s="24" t="s">
        <v>877</v>
      </c>
      <c r="D2845" s="69" t="s">
        <v>9453</v>
      </c>
      <c r="E2845" s="70" t="s">
        <v>9456</v>
      </c>
      <c r="F2845" s="26" t="s">
        <v>798</v>
      </c>
      <c r="G2845" s="15" t="s">
        <v>798</v>
      </c>
      <c r="H2845" s="14" t="s">
        <v>798</v>
      </c>
      <c r="I2845" s="15" t="s">
        <v>798</v>
      </c>
      <c r="J2845" s="12" t="s">
        <v>9437</v>
      </c>
      <c r="K2845" s="16" t="s">
        <v>2917</v>
      </c>
      <c r="L2845" s="12" t="s">
        <v>800</v>
      </c>
      <c r="M2845" s="16" t="s">
        <v>3887</v>
      </c>
      <c r="N2845" s="19" t="s">
        <v>798</v>
      </c>
      <c r="O2845" s="20" t="s">
        <v>798</v>
      </c>
      <c r="P2845" s="17" t="s">
        <v>802</v>
      </c>
      <c r="Q2845" s="21" t="s">
        <v>8469</v>
      </c>
      <c r="R2845" s="19" t="s">
        <v>798</v>
      </c>
      <c r="S2845" s="20" t="s">
        <v>798</v>
      </c>
      <c r="T2845" s="17" t="s">
        <v>798</v>
      </c>
      <c r="U2845" s="20" t="s">
        <v>798</v>
      </c>
      <c r="V2845" s="26" t="s">
        <v>798</v>
      </c>
      <c r="W2845" s="20" t="s">
        <v>798</v>
      </c>
      <c r="X2845" s="26" t="s">
        <v>798</v>
      </c>
      <c r="Y2845" s="20" t="s">
        <v>798</v>
      </c>
      <c r="Z2845" s="73" t="s">
        <v>9486</v>
      </c>
      <c r="AA2845" s="74" t="s">
        <v>9509</v>
      </c>
      <c r="AB2845" s="73" t="s">
        <v>9486</v>
      </c>
      <c r="AC2845" s="74" t="s">
        <v>9566</v>
      </c>
      <c r="AD2845" s="73" t="s">
        <v>9578</v>
      </c>
      <c r="AE2845" s="74" t="s">
        <v>9579</v>
      </c>
    </row>
    <row r="2846" spans="1:31" ht="8.65" customHeight="1" x14ac:dyDescent="0.2">
      <c r="A2846" s="76">
        <v>2846</v>
      </c>
      <c r="B2846" s="67" t="str">
        <f>MID(C2846, FIND("Ifc.", C2846) + 4, 4) &amp; "_" &amp; TEXT(COUNTIF($C$2:C2846, C2846),"0000")</f>
        <v>Sele_0039</v>
      </c>
      <c r="C2846" s="24" t="s">
        <v>877</v>
      </c>
      <c r="D2846" s="69" t="s">
        <v>9453</v>
      </c>
      <c r="E2846" s="70" t="s">
        <v>9456</v>
      </c>
      <c r="F2846" s="26" t="s">
        <v>798</v>
      </c>
      <c r="G2846" s="15" t="s">
        <v>798</v>
      </c>
      <c r="H2846" s="14" t="s">
        <v>798</v>
      </c>
      <c r="I2846" s="15" t="s">
        <v>798</v>
      </c>
      <c r="J2846" s="12" t="s">
        <v>9437</v>
      </c>
      <c r="K2846" s="16" t="s">
        <v>2918</v>
      </c>
      <c r="L2846" s="12" t="s">
        <v>800</v>
      </c>
      <c r="M2846" s="16" t="s">
        <v>3888</v>
      </c>
      <c r="N2846" s="19" t="s">
        <v>798</v>
      </c>
      <c r="O2846" s="20" t="s">
        <v>798</v>
      </c>
      <c r="P2846" s="17" t="s">
        <v>802</v>
      </c>
      <c r="Q2846" s="21" t="s">
        <v>8470</v>
      </c>
      <c r="R2846" s="19" t="s">
        <v>798</v>
      </c>
      <c r="S2846" s="20" t="s">
        <v>798</v>
      </c>
      <c r="T2846" s="17" t="s">
        <v>798</v>
      </c>
      <c r="U2846" s="20" t="s">
        <v>798</v>
      </c>
      <c r="V2846" s="26" t="s">
        <v>798</v>
      </c>
      <c r="W2846" s="20" t="s">
        <v>798</v>
      </c>
      <c r="X2846" s="26" t="s">
        <v>798</v>
      </c>
      <c r="Y2846" s="20" t="s">
        <v>798</v>
      </c>
      <c r="Z2846" s="73" t="s">
        <v>9486</v>
      </c>
      <c r="AA2846" s="74" t="s">
        <v>9509</v>
      </c>
      <c r="AB2846" s="73" t="s">
        <v>9486</v>
      </c>
      <c r="AC2846" s="74" t="s">
        <v>9566</v>
      </c>
      <c r="AD2846" s="73" t="s">
        <v>9578</v>
      </c>
      <c r="AE2846" s="74" t="s">
        <v>9579</v>
      </c>
    </row>
    <row r="2847" spans="1:31" ht="8.65" customHeight="1" x14ac:dyDescent="0.2">
      <c r="A2847" s="76">
        <v>2847</v>
      </c>
      <c r="B2847" s="67" t="str">
        <f>MID(C2847, FIND("Ifc.", C2847) + 4, 4) &amp; "_" &amp; TEXT(COUNTIF($C$2:C2847, C2847),"0000")</f>
        <v>Sele_0040</v>
      </c>
      <c r="C2847" s="24" t="s">
        <v>877</v>
      </c>
      <c r="D2847" s="69" t="s">
        <v>9453</v>
      </c>
      <c r="E2847" s="70" t="s">
        <v>9456</v>
      </c>
      <c r="F2847" s="26" t="s">
        <v>798</v>
      </c>
      <c r="G2847" s="15" t="s">
        <v>798</v>
      </c>
      <c r="H2847" s="14" t="s">
        <v>798</v>
      </c>
      <c r="I2847" s="15" t="s">
        <v>798</v>
      </c>
      <c r="J2847" s="12" t="s">
        <v>9437</v>
      </c>
      <c r="K2847" s="16" t="s">
        <v>2919</v>
      </c>
      <c r="L2847" s="12" t="s">
        <v>800</v>
      </c>
      <c r="M2847" s="16" t="s">
        <v>3889</v>
      </c>
      <c r="N2847" s="19" t="s">
        <v>798</v>
      </c>
      <c r="O2847" s="20" t="s">
        <v>798</v>
      </c>
      <c r="P2847" s="17" t="s">
        <v>802</v>
      </c>
      <c r="Q2847" s="21" t="s">
        <v>8471</v>
      </c>
      <c r="R2847" s="19" t="s">
        <v>798</v>
      </c>
      <c r="S2847" s="20" t="s">
        <v>798</v>
      </c>
      <c r="T2847" s="17" t="s">
        <v>798</v>
      </c>
      <c r="U2847" s="20" t="s">
        <v>798</v>
      </c>
      <c r="V2847" s="26" t="s">
        <v>798</v>
      </c>
      <c r="W2847" s="20" t="s">
        <v>798</v>
      </c>
      <c r="X2847" s="26" t="s">
        <v>798</v>
      </c>
      <c r="Y2847" s="20" t="s">
        <v>798</v>
      </c>
      <c r="Z2847" s="73" t="s">
        <v>9486</v>
      </c>
      <c r="AA2847" s="74" t="s">
        <v>9509</v>
      </c>
      <c r="AB2847" s="73" t="s">
        <v>9486</v>
      </c>
      <c r="AC2847" s="74" t="s">
        <v>9566</v>
      </c>
      <c r="AD2847" s="73" t="s">
        <v>9578</v>
      </c>
      <c r="AE2847" s="74" t="s">
        <v>9579</v>
      </c>
    </row>
    <row r="2848" spans="1:31" ht="8.65" customHeight="1" x14ac:dyDescent="0.2">
      <c r="A2848" s="76">
        <v>2848</v>
      </c>
      <c r="B2848" s="67" t="str">
        <f>MID(C2848, FIND("Ifc.", C2848) + 4, 4) &amp; "_" &amp; TEXT(COUNTIF($C$2:C2848, C2848),"0000")</f>
        <v>Sele_0041</v>
      </c>
      <c r="C2848" s="24" t="s">
        <v>877</v>
      </c>
      <c r="D2848" s="69" t="s">
        <v>9453</v>
      </c>
      <c r="E2848" s="70" t="s">
        <v>9456</v>
      </c>
      <c r="F2848" s="26" t="s">
        <v>798</v>
      </c>
      <c r="G2848" s="15" t="s">
        <v>798</v>
      </c>
      <c r="H2848" s="14" t="s">
        <v>798</v>
      </c>
      <c r="I2848" s="15" t="s">
        <v>798</v>
      </c>
      <c r="J2848" s="12" t="s">
        <v>9437</v>
      </c>
      <c r="K2848" s="16" t="s">
        <v>2920</v>
      </c>
      <c r="L2848" s="12" t="s">
        <v>800</v>
      </c>
      <c r="M2848" s="16" t="s">
        <v>3890</v>
      </c>
      <c r="N2848" s="19" t="s">
        <v>798</v>
      </c>
      <c r="O2848" s="20" t="s">
        <v>798</v>
      </c>
      <c r="P2848" s="17" t="s">
        <v>802</v>
      </c>
      <c r="Q2848" s="21" t="s">
        <v>8472</v>
      </c>
      <c r="R2848" s="19" t="s">
        <v>798</v>
      </c>
      <c r="S2848" s="20" t="s">
        <v>798</v>
      </c>
      <c r="T2848" s="17" t="s">
        <v>798</v>
      </c>
      <c r="U2848" s="20" t="s">
        <v>798</v>
      </c>
      <c r="V2848" s="26" t="s">
        <v>798</v>
      </c>
      <c r="W2848" s="20" t="s">
        <v>798</v>
      </c>
      <c r="X2848" s="26" t="s">
        <v>798</v>
      </c>
      <c r="Y2848" s="20" t="s">
        <v>798</v>
      </c>
      <c r="Z2848" s="73" t="s">
        <v>9486</v>
      </c>
      <c r="AA2848" s="74" t="s">
        <v>9509</v>
      </c>
      <c r="AB2848" s="73" t="s">
        <v>9486</v>
      </c>
      <c r="AC2848" s="74" t="s">
        <v>9566</v>
      </c>
      <c r="AD2848" s="73" t="s">
        <v>9578</v>
      </c>
      <c r="AE2848" s="74" t="s">
        <v>9579</v>
      </c>
    </row>
    <row r="2849" spans="1:31" ht="8.65" customHeight="1" x14ac:dyDescent="0.2">
      <c r="A2849" s="76">
        <v>2849</v>
      </c>
      <c r="B2849" s="67" t="str">
        <f>MID(C2849, FIND("Ifc.", C2849) + 4, 4) &amp; "_" &amp; TEXT(COUNTIF($C$2:C2849, C2849),"0000")</f>
        <v>Sele_0042</v>
      </c>
      <c r="C2849" s="24" t="s">
        <v>877</v>
      </c>
      <c r="D2849" s="69" t="s">
        <v>9453</v>
      </c>
      <c r="E2849" s="70" t="s">
        <v>9456</v>
      </c>
      <c r="F2849" s="26" t="s">
        <v>798</v>
      </c>
      <c r="G2849" s="15" t="s">
        <v>798</v>
      </c>
      <c r="H2849" s="14" t="s">
        <v>798</v>
      </c>
      <c r="I2849" s="15" t="s">
        <v>798</v>
      </c>
      <c r="J2849" s="12" t="s">
        <v>9437</v>
      </c>
      <c r="K2849" s="16" t="s">
        <v>2921</v>
      </c>
      <c r="L2849" s="12" t="s">
        <v>800</v>
      </c>
      <c r="M2849" s="16" t="s">
        <v>5886</v>
      </c>
      <c r="N2849" s="19" t="s">
        <v>798</v>
      </c>
      <c r="O2849" s="20" t="s">
        <v>798</v>
      </c>
      <c r="P2849" s="17" t="s">
        <v>802</v>
      </c>
      <c r="Q2849" s="21" t="s">
        <v>8473</v>
      </c>
      <c r="R2849" s="19" t="s">
        <v>798</v>
      </c>
      <c r="S2849" s="20" t="s">
        <v>798</v>
      </c>
      <c r="T2849" s="17" t="s">
        <v>798</v>
      </c>
      <c r="U2849" s="20" t="s">
        <v>798</v>
      </c>
      <c r="V2849" s="26" t="s">
        <v>798</v>
      </c>
      <c r="W2849" s="20" t="s">
        <v>798</v>
      </c>
      <c r="X2849" s="26" t="s">
        <v>798</v>
      </c>
      <c r="Y2849" s="20" t="s">
        <v>798</v>
      </c>
      <c r="Z2849" s="73" t="s">
        <v>9486</v>
      </c>
      <c r="AA2849" s="74" t="s">
        <v>9509</v>
      </c>
      <c r="AB2849" s="73" t="s">
        <v>9486</v>
      </c>
      <c r="AC2849" s="74" t="s">
        <v>9566</v>
      </c>
      <c r="AD2849" s="73" t="s">
        <v>9578</v>
      </c>
      <c r="AE2849" s="74" t="s">
        <v>9579</v>
      </c>
    </row>
    <row r="2850" spans="1:31" ht="8.65" customHeight="1" x14ac:dyDescent="0.2">
      <c r="A2850" s="76">
        <v>2850</v>
      </c>
      <c r="B2850" s="67" t="str">
        <f>MID(C2850, FIND("Ifc.", C2850) + 4, 4) &amp; "_" &amp; TEXT(COUNTIF($C$2:C2850, C2850),"0000")</f>
        <v>Sele_0043</v>
      </c>
      <c r="C2850" s="24" t="s">
        <v>877</v>
      </c>
      <c r="D2850" s="69" t="s">
        <v>9453</v>
      </c>
      <c r="E2850" s="70" t="s">
        <v>9456</v>
      </c>
      <c r="F2850" s="26" t="s">
        <v>798</v>
      </c>
      <c r="G2850" s="15" t="s">
        <v>798</v>
      </c>
      <c r="H2850" s="14" t="s">
        <v>798</v>
      </c>
      <c r="I2850" s="15" t="s">
        <v>798</v>
      </c>
      <c r="J2850" s="12" t="s">
        <v>9437</v>
      </c>
      <c r="K2850" s="16" t="s">
        <v>2922</v>
      </c>
      <c r="L2850" s="12" t="s">
        <v>800</v>
      </c>
      <c r="M2850" s="16" t="s">
        <v>3891</v>
      </c>
      <c r="N2850" s="19" t="s">
        <v>798</v>
      </c>
      <c r="O2850" s="20" t="s">
        <v>798</v>
      </c>
      <c r="P2850" s="17" t="s">
        <v>802</v>
      </c>
      <c r="Q2850" s="21" t="s">
        <v>8474</v>
      </c>
      <c r="R2850" s="19" t="s">
        <v>798</v>
      </c>
      <c r="S2850" s="20" t="s">
        <v>798</v>
      </c>
      <c r="T2850" s="17" t="s">
        <v>798</v>
      </c>
      <c r="U2850" s="20" t="s">
        <v>798</v>
      </c>
      <c r="V2850" s="26" t="s">
        <v>798</v>
      </c>
      <c r="W2850" s="20" t="s">
        <v>798</v>
      </c>
      <c r="X2850" s="26" t="s">
        <v>798</v>
      </c>
      <c r="Y2850" s="20" t="s">
        <v>798</v>
      </c>
      <c r="Z2850" s="73" t="s">
        <v>9486</v>
      </c>
      <c r="AA2850" s="74" t="s">
        <v>9509</v>
      </c>
      <c r="AB2850" s="73" t="s">
        <v>9486</v>
      </c>
      <c r="AC2850" s="74" t="s">
        <v>9566</v>
      </c>
      <c r="AD2850" s="73" t="s">
        <v>9578</v>
      </c>
      <c r="AE2850" s="74" t="s">
        <v>9579</v>
      </c>
    </row>
    <row r="2851" spans="1:31" ht="8.65" customHeight="1" x14ac:dyDescent="0.2">
      <c r="A2851" s="76">
        <v>2851</v>
      </c>
      <c r="B2851" s="67" t="str">
        <f>MID(C2851, FIND("Ifc.", C2851) + 4, 4) &amp; "_" &amp; TEXT(COUNTIF($C$2:C2851, C2851),"0000")</f>
        <v>Sele_0044</v>
      </c>
      <c r="C2851" s="24" t="s">
        <v>877</v>
      </c>
      <c r="D2851" s="69" t="s">
        <v>9453</v>
      </c>
      <c r="E2851" s="70" t="s">
        <v>9456</v>
      </c>
      <c r="F2851" s="26" t="s">
        <v>798</v>
      </c>
      <c r="G2851" s="15" t="s">
        <v>798</v>
      </c>
      <c r="H2851" s="14" t="s">
        <v>798</v>
      </c>
      <c r="I2851" s="15" t="s">
        <v>798</v>
      </c>
      <c r="J2851" s="12" t="s">
        <v>9437</v>
      </c>
      <c r="K2851" s="16" t="s">
        <v>2923</v>
      </c>
      <c r="L2851" s="12" t="s">
        <v>800</v>
      </c>
      <c r="M2851" s="16" t="s">
        <v>3892</v>
      </c>
      <c r="N2851" s="19" t="s">
        <v>798</v>
      </c>
      <c r="O2851" s="20" t="s">
        <v>798</v>
      </c>
      <c r="P2851" s="17" t="s">
        <v>802</v>
      </c>
      <c r="Q2851" s="21" t="s">
        <v>8475</v>
      </c>
      <c r="R2851" s="19" t="s">
        <v>798</v>
      </c>
      <c r="S2851" s="20" t="s">
        <v>798</v>
      </c>
      <c r="T2851" s="17" t="s">
        <v>798</v>
      </c>
      <c r="U2851" s="20" t="s">
        <v>798</v>
      </c>
      <c r="V2851" s="26" t="s">
        <v>798</v>
      </c>
      <c r="W2851" s="20" t="s">
        <v>798</v>
      </c>
      <c r="X2851" s="26" t="s">
        <v>798</v>
      </c>
      <c r="Y2851" s="20" t="s">
        <v>798</v>
      </c>
      <c r="Z2851" s="73" t="s">
        <v>9486</v>
      </c>
      <c r="AA2851" s="74" t="s">
        <v>9509</v>
      </c>
      <c r="AB2851" s="73" t="s">
        <v>9486</v>
      </c>
      <c r="AC2851" s="74" t="s">
        <v>9566</v>
      </c>
      <c r="AD2851" s="73" t="s">
        <v>9578</v>
      </c>
      <c r="AE2851" s="74" t="s">
        <v>9579</v>
      </c>
    </row>
    <row r="2852" spans="1:31" ht="8.65" customHeight="1" x14ac:dyDescent="0.2">
      <c r="A2852" s="76">
        <v>2852</v>
      </c>
      <c r="B2852" s="67" t="str">
        <f>MID(C2852, FIND("Ifc.", C2852) + 4, 4) &amp; "_" &amp; TEXT(COUNTIF($C$2:C2852, C2852),"0000")</f>
        <v>Sele_0045</v>
      </c>
      <c r="C2852" s="24" t="s">
        <v>877</v>
      </c>
      <c r="D2852" s="69" t="s">
        <v>9453</v>
      </c>
      <c r="E2852" s="70" t="s">
        <v>9456</v>
      </c>
      <c r="F2852" s="26" t="s">
        <v>798</v>
      </c>
      <c r="G2852" s="15" t="s">
        <v>798</v>
      </c>
      <c r="H2852" s="14" t="s">
        <v>798</v>
      </c>
      <c r="I2852" s="15" t="s">
        <v>798</v>
      </c>
      <c r="J2852" s="12" t="s">
        <v>9437</v>
      </c>
      <c r="K2852" s="16" t="s">
        <v>2924</v>
      </c>
      <c r="L2852" s="12" t="s">
        <v>800</v>
      </c>
      <c r="M2852" s="16" t="s">
        <v>3893</v>
      </c>
      <c r="N2852" s="19" t="s">
        <v>798</v>
      </c>
      <c r="O2852" s="20" t="s">
        <v>798</v>
      </c>
      <c r="P2852" s="17" t="s">
        <v>802</v>
      </c>
      <c r="Q2852" s="21" t="s">
        <v>8476</v>
      </c>
      <c r="R2852" s="19" t="s">
        <v>798</v>
      </c>
      <c r="S2852" s="20" t="s">
        <v>798</v>
      </c>
      <c r="T2852" s="17" t="s">
        <v>798</v>
      </c>
      <c r="U2852" s="20" t="s">
        <v>798</v>
      </c>
      <c r="V2852" s="26" t="s">
        <v>798</v>
      </c>
      <c r="W2852" s="20" t="s">
        <v>798</v>
      </c>
      <c r="X2852" s="26" t="s">
        <v>798</v>
      </c>
      <c r="Y2852" s="20" t="s">
        <v>798</v>
      </c>
      <c r="Z2852" s="73" t="s">
        <v>9486</v>
      </c>
      <c r="AA2852" s="74" t="s">
        <v>9509</v>
      </c>
      <c r="AB2852" s="73" t="s">
        <v>9486</v>
      </c>
      <c r="AC2852" s="74" t="s">
        <v>9566</v>
      </c>
      <c r="AD2852" s="73" t="s">
        <v>9578</v>
      </c>
      <c r="AE2852" s="74" t="s">
        <v>9579</v>
      </c>
    </row>
    <row r="2853" spans="1:31" ht="8.65" customHeight="1" x14ac:dyDescent="0.2">
      <c r="A2853" s="76">
        <v>2853</v>
      </c>
      <c r="B2853" s="67" t="str">
        <f>MID(C2853, FIND("Ifc.", C2853) + 4, 4) &amp; "_" &amp; TEXT(COUNTIF($C$2:C2853, C2853),"0000")</f>
        <v>Sele_0046</v>
      </c>
      <c r="C2853" s="24" t="s">
        <v>877</v>
      </c>
      <c r="D2853" s="69" t="s">
        <v>9453</v>
      </c>
      <c r="E2853" s="70" t="s">
        <v>9456</v>
      </c>
      <c r="F2853" s="26" t="s">
        <v>798</v>
      </c>
      <c r="G2853" s="15" t="s">
        <v>798</v>
      </c>
      <c r="H2853" s="14" t="s">
        <v>798</v>
      </c>
      <c r="I2853" s="15" t="s">
        <v>798</v>
      </c>
      <c r="J2853" s="12" t="s">
        <v>9437</v>
      </c>
      <c r="K2853" s="16" t="s">
        <v>2925</v>
      </c>
      <c r="L2853" s="12" t="s">
        <v>800</v>
      </c>
      <c r="M2853" s="16" t="s">
        <v>3894</v>
      </c>
      <c r="N2853" s="19" t="s">
        <v>798</v>
      </c>
      <c r="O2853" s="20" t="s">
        <v>798</v>
      </c>
      <c r="P2853" s="17" t="s">
        <v>802</v>
      </c>
      <c r="Q2853" s="21" t="s">
        <v>8477</v>
      </c>
      <c r="R2853" s="19" t="s">
        <v>798</v>
      </c>
      <c r="S2853" s="20" t="s">
        <v>798</v>
      </c>
      <c r="T2853" s="17" t="s">
        <v>798</v>
      </c>
      <c r="U2853" s="20" t="s">
        <v>798</v>
      </c>
      <c r="V2853" s="26" t="s">
        <v>798</v>
      </c>
      <c r="W2853" s="20" t="s">
        <v>798</v>
      </c>
      <c r="X2853" s="26" t="s">
        <v>798</v>
      </c>
      <c r="Y2853" s="20" t="s">
        <v>798</v>
      </c>
      <c r="Z2853" s="73" t="s">
        <v>9486</v>
      </c>
      <c r="AA2853" s="74" t="s">
        <v>9509</v>
      </c>
      <c r="AB2853" s="73" t="s">
        <v>9486</v>
      </c>
      <c r="AC2853" s="74" t="s">
        <v>9566</v>
      </c>
      <c r="AD2853" s="73" t="s">
        <v>9578</v>
      </c>
      <c r="AE2853" s="74" t="s">
        <v>9579</v>
      </c>
    </row>
    <row r="2854" spans="1:31" ht="8.65" customHeight="1" x14ac:dyDescent="0.2">
      <c r="A2854" s="76">
        <v>2854</v>
      </c>
      <c r="B2854" s="67" t="str">
        <f>MID(C2854, FIND("Ifc.", C2854) + 4, 4) &amp; "_" &amp; TEXT(COUNTIF($C$2:C2854, C2854),"0000")</f>
        <v>Sele_0047</v>
      </c>
      <c r="C2854" s="24" t="s">
        <v>877</v>
      </c>
      <c r="D2854" s="69" t="s">
        <v>9453</v>
      </c>
      <c r="E2854" s="70" t="s">
        <v>9456</v>
      </c>
      <c r="F2854" s="26" t="s">
        <v>798</v>
      </c>
      <c r="G2854" s="15" t="s">
        <v>798</v>
      </c>
      <c r="H2854" s="14" t="s">
        <v>798</v>
      </c>
      <c r="I2854" s="15" t="s">
        <v>798</v>
      </c>
      <c r="J2854" s="12" t="s">
        <v>9437</v>
      </c>
      <c r="K2854" s="16" t="s">
        <v>2926</v>
      </c>
      <c r="L2854" s="12" t="s">
        <v>800</v>
      </c>
      <c r="M2854" s="16" t="s">
        <v>3895</v>
      </c>
      <c r="N2854" s="19" t="s">
        <v>798</v>
      </c>
      <c r="O2854" s="20" t="s">
        <v>798</v>
      </c>
      <c r="P2854" s="17" t="s">
        <v>802</v>
      </c>
      <c r="Q2854" s="21" t="s">
        <v>8478</v>
      </c>
      <c r="R2854" s="19" t="s">
        <v>798</v>
      </c>
      <c r="S2854" s="20" t="s">
        <v>798</v>
      </c>
      <c r="T2854" s="17" t="s">
        <v>798</v>
      </c>
      <c r="U2854" s="20" t="s">
        <v>798</v>
      </c>
      <c r="V2854" s="26" t="s">
        <v>798</v>
      </c>
      <c r="W2854" s="20" t="s">
        <v>798</v>
      </c>
      <c r="X2854" s="26" t="s">
        <v>798</v>
      </c>
      <c r="Y2854" s="20" t="s">
        <v>798</v>
      </c>
      <c r="Z2854" s="73" t="s">
        <v>9486</v>
      </c>
      <c r="AA2854" s="74" t="s">
        <v>9509</v>
      </c>
      <c r="AB2854" s="73" t="s">
        <v>9486</v>
      </c>
      <c r="AC2854" s="74" t="s">
        <v>9566</v>
      </c>
      <c r="AD2854" s="73" t="s">
        <v>9578</v>
      </c>
      <c r="AE2854" s="74" t="s">
        <v>9579</v>
      </c>
    </row>
    <row r="2855" spans="1:31" ht="8.65" customHeight="1" x14ac:dyDescent="0.2">
      <c r="A2855" s="76">
        <v>2855</v>
      </c>
      <c r="B2855" s="67" t="str">
        <f>MID(C2855, FIND("Ifc.", C2855) + 4, 4) &amp; "_" &amp; TEXT(COUNTIF($C$2:C2855, C2855),"0000")</f>
        <v>Sele_0048</v>
      </c>
      <c r="C2855" s="24" t="s">
        <v>877</v>
      </c>
      <c r="D2855" s="69" t="s">
        <v>9453</v>
      </c>
      <c r="E2855" s="70" t="s">
        <v>9456</v>
      </c>
      <c r="F2855" s="26" t="s">
        <v>798</v>
      </c>
      <c r="G2855" s="15" t="s">
        <v>798</v>
      </c>
      <c r="H2855" s="14" t="s">
        <v>798</v>
      </c>
      <c r="I2855" s="15" t="s">
        <v>798</v>
      </c>
      <c r="J2855" s="12" t="s">
        <v>9437</v>
      </c>
      <c r="K2855" s="16" t="s">
        <v>2927</v>
      </c>
      <c r="L2855" s="12" t="s">
        <v>800</v>
      </c>
      <c r="M2855" s="16" t="s">
        <v>3896</v>
      </c>
      <c r="N2855" s="19" t="s">
        <v>798</v>
      </c>
      <c r="O2855" s="20" t="s">
        <v>798</v>
      </c>
      <c r="P2855" s="17" t="s">
        <v>802</v>
      </c>
      <c r="Q2855" s="21" t="s">
        <v>8479</v>
      </c>
      <c r="R2855" s="19" t="s">
        <v>798</v>
      </c>
      <c r="S2855" s="20" t="s">
        <v>798</v>
      </c>
      <c r="T2855" s="17" t="s">
        <v>798</v>
      </c>
      <c r="U2855" s="20" t="s">
        <v>798</v>
      </c>
      <c r="V2855" s="26" t="s">
        <v>798</v>
      </c>
      <c r="W2855" s="20" t="s">
        <v>798</v>
      </c>
      <c r="X2855" s="26" t="s">
        <v>798</v>
      </c>
      <c r="Y2855" s="20" t="s">
        <v>798</v>
      </c>
      <c r="Z2855" s="73" t="s">
        <v>9486</v>
      </c>
      <c r="AA2855" s="74" t="s">
        <v>9509</v>
      </c>
      <c r="AB2855" s="73" t="s">
        <v>9486</v>
      </c>
      <c r="AC2855" s="74" t="s">
        <v>9566</v>
      </c>
      <c r="AD2855" s="73" t="s">
        <v>9578</v>
      </c>
      <c r="AE2855" s="74" t="s">
        <v>9579</v>
      </c>
    </row>
    <row r="2856" spans="1:31" ht="8.65" customHeight="1" x14ac:dyDescent="0.2">
      <c r="A2856" s="76">
        <v>2856</v>
      </c>
      <c r="B2856" s="67" t="str">
        <f>MID(C2856, FIND("Ifc.", C2856) + 4, 4) &amp; "_" &amp; TEXT(COUNTIF($C$2:C2856, C2856),"0000")</f>
        <v>Sele_0049</v>
      </c>
      <c r="C2856" s="24" t="s">
        <v>877</v>
      </c>
      <c r="D2856" s="69" t="s">
        <v>9453</v>
      </c>
      <c r="E2856" s="70" t="s">
        <v>9456</v>
      </c>
      <c r="F2856" s="26" t="s">
        <v>798</v>
      </c>
      <c r="G2856" s="15" t="s">
        <v>798</v>
      </c>
      <c r="H2856" s="14" t="s">
        <v>798</v>
      </c>
      <c r="I2856" s="15" t="s">
        <v>798</v>
      </c>
      <c r="J2856" s="12" t="s">
        <v>9437</v>
      </c>
      <c r="K2856" s="16" t="s">
        <v>2928</v>
      </c>
      <c r="L2856" s="12" t="s">
        <v>800</v>
      </c>
      <c r="M2856" s="16" t="s">
        <v>3897</v>
      </c>
      <c r="N2856" s="19" t="s">
        <v>798</v>
      </c>
      <c r="O2856" s="20" t="s">
        <v>798</v>
      </c>
      <c r="P2856" s="17" t="s">
        <v>802</v>
      </c>
      <c r="Q2856" s="21" t="s">
        <v>8480</v>
      </c>
      <c r="R2856" s="19" t="s">
        <v>798</v>
      </c>
      <c r="S2856" s="20" t="s">
        <v>798</v>
      </c>
      <c r="T2856" s="17" t="s">
        <v>798</v>
      </c>
      <c r="U2856" s="20" t="s">
        <v>798</v>
      </c>
      <c r="V2856" s="26" t="s">
        <v>798</v>
      </c>
      <c r="W2856" s="20" t="s">
        <v>798</v>
      </c>
      <c r="X2856" s="26" t="s">
        <v>798</v>
      </c>
      <c r="Y2856" s="20" t="s">
        <v>798</v>
      </c>
      <c r="Z2856" s="73" t="s">
        <v>9486</v>
      </c>
      <c r="AA2856" s="74" t="s">
        <v>9509</v>
      </c>
      <c r="AB2856" s="73" t="s">
        <v>9486</v>
      </c>
      <c r="AC2856" s="74" t="s">
        <v>9566</v>
      </c>
      <c r="AD2856" s="73" t="s">
        <v>9578</v>
      </c>
      <c r="AE2856" s="74" t="s">
        <v>9579</v>
      </c>
    </row>
    <row r="2857" spans="1:31" ht="8.65" customHeight="1" x14ac:dyDescent="0.2">
      <c r="A2857" s="76">
        <v>2857</v>
      </c>
      <c r="B2857" s="67" t="str">
        <f>MID(C2857, FIND("Ifc.", C2857) + 4, 4) &amp; "_" &amp; TEXT(COUNTIF($C$2:C2857, C2857),"0000")</f>
        <v>Sele_0050</v>
      </c>
      <c r="C2857" s="24" t="s">
        <v>877</v>
      </c>
      <c r="D2857" s="69" t="s">
        <v>9453</v>
      </c>
      <c r="E2857" s="70" t="s">
        <v>9456</v>
      </c>
      <c r="F2857" s="26" t="s">
        <v>798</v>
      </c>
      <c r="G2857" s="15" t="s">
        <v>798</v>
      </c>
      <c r="H2857" s="14" t="s">
        <v>798</v>
      </c>
      <c r="I2857" s="15" t="s">
        <v>798</v>
      </c>
      <c r="J2857" s="12" t="s">
        <v>9437</v>
      </c>
      <c r="K2857" s="16" t="s">
        <v>2929</v>
      </c>
      <c r="L2857" s="12" t="s">
        <v>800</v>
      </c>
      <c r="M2857" s="16" t="s">
        <v>5921</v>
      </c>
      <c r="N2857" s="19" t="s">
        <v>798</v>
      </c>
      <c r="O2857" s="20" t="s">
        <v>798</v>
      </c>
      <c r="P2857" s="17" t="s">
        <v>802</v>
      </c>
      <c r="Q2857" s="21" t="s">
        <v>8481</v>
      </c>
      <c r="R2857" s="19" t="s">
        <v>798</v>
      </c>
      <c r="S2857" s="20" t="s">
        <v>798</v>
      </c>
      <c r="T2857" s="17" t="s">
        <v>798</v>
      </c>
      <c r="U2857" s="20" t="s">
        <v>798</v>
      </c>
      <c r="V2857" s="26" t="s">
        <v>798</v>
      </c>
      <c r="W2857" s="20" t="s">
        <v>798</v>
      </c>
      <c r="X2857" s="26" t="s">
        <v>798</v>
      </c>
      <c r="Y2857" s="20" t="s">
        <v>798</v>
      </c>
      <c r="Z2857" s="73" t="s">
        <v>9486</v>
      </c>
      <c r="AA2857" s="74" t="s">
        <v>9509</v>
      </c>
      <c r="AB2857" s="73" t="s">
        <v>9486</v>
      </c>
      <c r="AC2857" s="74" t="s">
        <v>9566</v>
      </c>
      <c r="AD2857" s="73" t="s">
        <v>9578</v>
      </c>
      <c r="AE2857" s="74" t="s">
        <v>9579</v>
      </c>
    </row>
    <row r="2858" spans="1:31" ht="8.65" customHeight="1" x14ac:dyDescent="0.2">
      <c r="A2858" s="76">
        <v>2858</v>
      </c>
      <c r="B2858" s="67" t="str">
        <f>MID(C2858, FIND("Ifc.", C2858) + 4, 4) &amp; "_" &amp; TEXT(COUNTIF($C$2:C2858, C2858),"0000")</f>
        <v>Sele_0051</v>
      </c>
      <c r="C2858" s="24" t="s">
        <v>877</v>
      </c>
      <c r="D2858" s="69" t="s">
        <v>9453</v>
      </c>
      <c r="E2858" s="70" t="s">
        <v>9456</v>
      </c>
      <c r="F2858" s="26" t="s">
        <v>798</v>
      </c>
      <c r="G2858" s="15" t="s">
        <v>798</v>
      </c>
      <c r="H2858" s="14" t="s">
        <v>798</v>
      </c>
      <c r="I2858" s="15" t="s">
        <v>798</v>
      </c>
      <c r="J2858" s="12" t="s">
        <v>9437</v>
      </c>
      <c r="K2858" s="16" t="s">
        <v>2930</v>
      </c>
      <c r="L2858" s="12" t="s">
        <v>800</v>
      </c>
      <c r="M2858" s="16" t="s">
        <v>3898</v>
      </c>
      <c r="N2858" s="19" t="s">
        <v>798</v>
      </c>
      <c r="O2858" s="20" t="s">
        <v>798</v>
      </c>
      <c r="P2858" s="17" t="s">
        <v>802</v>
      </c>
      <c r="Q2858" s="21" t="s">
        <v>8482</v>
      </c>
      <c r="R2858" s="19" t="s">
        <v>798</v>
      </c>
      <c r="S2858" s="20" t="s">
        <v>798</v>
      </c>
      <c r="T2858" s="17" t="s">
        <v>798</v>
      </c>
      <c r="U2858" s="20" t="s">
        <v>798</v>
      </c>
      <c r="V2858" s="26" t="s">
        <v>798</v>
      </c>
      <c r="W2858" s="20" t="s">
        <v>798</v>
      </c>
      <c r="X2858" s="26" t="s">
        <v>798</v>
      </c>
      <c r="Y2858" s="20" t="s">
        <v>798</v>
      </c>
      <c r="Z2858" s="73" t="s">
        <v>9486</v>
      </c>
      <c r="AA2858" s="74" t="s">
        <v>9509</v>
      </c>
      <c r="AB2858" s="73" t="s">
        <v>9486</v>
      </c>
      <c r="AC2858" s="74" t="s">
        <v>9566</v>
      </c>
      <c r="AD2858" s="73" t="s">
        <v>9578</v>
      </c>
      <c r="AE2858" s="74" t="s">
        <v>9579</v>
      </c>
    </row>
    <row r="2859" spans="1:31" ht="8.65" customHeight="1" x14ac:dyDescent="0.2">
      <c r="A2859" s="76">
        <v>2859</v>
      </c>
      <c r="B2859" s="67" t="str">
        <f>MID(C2859, FIND("Ifc.", C2859) + 4, 4) &amp; "_" &amp; TEXT(COUNTIF($C$2:C2859, C2859),"0000")</f>
        <v>Sele_0052</v>
      </c>
      <c r="C2859" s="24" t="s">
        <v>877</v>
      </c>
      <c r="D2859" s="69" t="s">
        <v>9453</v>
      </c>
      <c r="E2859" s="70" t="s">
        <v>9456</v>
      </c>
      <c r="F2859" s="26" t="s">
        <v>798</v>
      </c>
      <c r="G2859" s="15" t="s">
        <v>798</v>
      </c>
      <c r="H2859" s="14" t="s">
        <v>798</v>
      </c>
      <c r="I2859" s="15" t="s">
        <v>798</v>
      </c>
      <c r="J2859" s="12" t="s">
        <v>9437</v>
      </c>
      <c r="K2859" s="16" t="s">
        <v>2931</v>
      </c>
      <c r="L2859" s="12" t="s">
        <v>800</v>
      </c>
      <c r="M2859" s="16" t="s">
        <v>3899</v>
      </c>
      <c r="N2859" s="19" t="s">
        <v>798</v>
      </c>
      <c r="O2859" s="20" t="s">
        <v>798</v>
      </c>
      <c r="P2859" s="17" t="s">
        <v>802</v>
      </c>
      <c r="Q2859" s="21" t="s">
        <v>8483</v>
      </c>
      <c r="R2859" s="19" t="s">
        <v>798</v>
      </c>
      <c r="S2859" s="20" t="s">
        <v>798</v>
      </c>
      <c r="T2859" s="17" t="s">
        <v>798</v>
      </c>
      <c r="U2859" s="20" t="s">
        <v>798</v>
      </c>
      <c r="V2859" s="26" t="s">
        <v>798</v>
      </c>
      <c r="W2859" s="20" t="s">
        <v>798</v>
      </c>
      <c r="X2859" s="26" t="s">
        <v>798</v>
      </c>
      <c r="Y2859" s="20" t="s">
        <v>798</v>
      </c>
      <c r="Z2859" s="73" t="s">
        <v>9486</v>
      </c>
      <c r="AA2859" s="74" t="s">
        <v>9509</v>
      </c>
      <c r="AB2859" s="73" t="s">
        <v>9486</v>
      </c>
      <c r="AC2859" s="74" t="s">
        <v>9566</v>
      </c>
      <c r="AD2859" s="73" t="s">
        <v>9578</v>
      </c>
      <c r="AE2859" s="74" t="s">
        <v>9579</v>
      </c>
    </row>
    <row r="2860" spans="1:31" ht="8.65" customHeight="1" x14ac:dyDescent="0.2">
      <c r="A2860" s="76">
        <v>2860</v>
      </c>
      <c r="B2860" s="67" t="str">
        <f>MID(C2860, FIND("Ifc.", C2860) + 4, 4) &amp; "_" &amp; TEXT(COUNTIF($C$2:C2860, C2860),"0000")</f>
        <v>Sele_0053</v>
      </c>
      <c r="C2860" s="24" t="s">
        <v>877</v>
      </c>
      <c r="D2860" s="69" t="s">
        <v>9453</v>
      </c>
      <c r="E2860" s="70" t="s">
        <v>9456</v>
      </c>
      <c r="F2860" s="26" t="s">
        <v>798</v>
      </c>
      <c r="G2860" s="15" t="s">
        <v>798</v>
      </c>
      <c r="H2860" s="14" t="s">
        <v>798</v>
      </c>
      <c r="I2860" s="15" t="s">
        <v>798</v>
      </c>
      <c r="J2860" s="12" t="s">
        <v>9437</v>
      </c>
      <c r="K2860" s="16" t="s">
        <v>2932</v>
      </c>
      <c r="L2860" s="12" t="s">
        <v>800</v>
      </c>
      <c r="M2860" s="16" t="s">
        <v>3900</v>
      </c>
      <c r="N2860" s="19" t="s">
        <v>798</v>
      </c>
      <c r="O2860" s="20" t="s">
        <v>798</v>
      </c>
      <c r="P2860" s="17" t="s">
        <v>802</v>
      </c>
      <c r="Q2860" s="21" t="s">
        <v>8484</v>
      </c>
      <c r="R2860" s="19" t="s">
        <v>798</v>
      </c>
      <c r="S2860" s="20" t="s">
        <v>798</v>
      </c>
      <c r="T2860" s="17" t="s">
        <v>798</v>
      </c>
      <c r="U2860" s="20" t="s">
        <v>798</v>
      </c>
      <c r="V2860" s="26" t="s">
        <v>798</v>
      </c>
      <c r="W2860" s="20" t="s">
        <v>798</v>
      </c>
      <c r="X2860" s="26" t="s">
        <v>798</v>
      </c>
      <c r="Y2860" s="20" t="s">
        <v>798</v>
      </c>
      <c r="Z2860" s="73" t="s">
        <v>9486</v>
      </c>
      <c r="AA2860" s="74" t="s">
        <v>9509</v>
      </c>
      <c r="AB2860" s="73" t="s">
        <v>9486</v>
      </c>
      <c r="AC2860" s="74" t="s">
        <v>9566</v>
      </c>
      <c r="AD2860" s="73" t="s">
        <v>9578</v>
      </c>
      <c r="AE2860" s="74" t="s">
        <v>9579</v>
      </c>
    </row>
    <row r="2861" spans="1:31" ht="8.65" customHeight="1" x14ac:dyDescent="0.2">
      <c r="A2861" s="76">
        <v>2861</v>
      </c>
      <c r="B2861" s="67" t="str">
        <f>MID(C2861, FIND("Ifc.", C2861) + 4, 4) &amp; "_" &amp; TEXT(COUNTIF($C$2:C2861, C2861),"0000")</f>
        <v>Sele_0054</v>
      </c>
      <c r="C2861" s="24" t="s">
        <v>877</v>
      </c>
      <c r="D2861" s="69" t="s">
        <v>9453</v>
      </c>
      <c r="E2861" s="70" t="s">
        <v>9456</v>
      </c>
      <c r="F2861" s="26" t="s">
        <v>798</v>
      </c>
      <c r="G2861" s="15" t="s">
        <v>798</v>
      </c>
      <c r="H2861" s="14" t="s">
        <v>798</v>
      </c>
      <c r="I2861" s="15" t="s">
        <v>798</v>
      </c>
      <c r="J2861" s="12" t="s">
        <v>9437</v>
      </c>
      <c r="K2861" s="16" t="s">
        <v>2933</v>
      </c>
      <c r="L2861" s="12" t="s">
        <v>800</v>
      </c>
      <c r="M2861" s="16" t="s">
        <v>3901</v>
      </c>
      <c r="N2861" s="19" t="s">
        <v>798</v>
      </c>
      <c r="O2861" s="20" t="s">
        <v>798</v>
      </c>
      <c r="P2861" s="17" t="s">
        <v>802</v>
      </c>
      <c r="Q2861" s="21" t="s">
        <v>8485</v>
      </c>
      <c r="R2861" s="19" t="s">
        <v>798</v>
      </c>
      <c r="S2861" s="20" t="s">
        <v>798</v>
      </c>
      <c r="T2861" s="17" t="s">
        <v>798</v>
      </c>
      <c r="U2861" s="20" t="s">
        <v>798</v>
      </c>
      <c r="V2861" s="26" t="s">
        <v>798</v>
      </c>
      <c r="W2861" s="20" t="s">
        <v>798</v>
      </c>
      <c r="X2861" s="26" t="s">
        <v>798</v>
      </c>
      <c r="Y2861" s="20" t="s">
        <v>798</v>
      </c>
      <c r="Z2861" s="73" t="s">
        <v>9486</v>
      </c>
      <c r="AA2861" s="74" t="s">
        <v>9509</v>
      </c>
      <c r="AB2861" s="73" t="s">
        <v>9486</v>
      </c>
      <c r="AC2861" s="74" t="s">
        <v>9566</v>
      </c>
      <c r="AD2861" s="73" t="s">
        <v>9578</v>
      </c>
      <c r="AE2861" s="74" t="s">
        <v>9579</v>
      </c>
    </row>
    <row r="2862" spans="1:31" ht="8.65" customHeight="1" x14ac:dyDescent="0.2">
      <c r="A2862" s="76">
        <v>2862</v>
      </c>
      <c r="B2862" s="67" t="str">
        <f>MID(C2862, FIND("Ifc.", C2862) + 4, 4) &amp; "_" &amp; TEXT(COUNTIF($C$2:C2862, C2862),"0000")</f>
        <v>Sele_0055</v>
      </c>
      <c r="C2862" s="24" t="s">
        <v>877</v>
      </c>
      <c r="D2862" s="69" t="s">
        <v>9453</v>
      </c>
      <c r="E2862" s="70" t="s">
        <v>9456</v>
      </c>
      <c r="F2862" s="26" t="s">
        <v>798</v>
      </c>
      <c r="G2862" s="15" t="s">
        <v>798</v>
      </c>
      <c r="H2862" s="14" t="s">
        <v>798</v>
      </c>
      <c r="I2862" s="15" t="s">
        <v>798</v>
      </c>
      <c r="J2862" s="12" t="s">
        <v>9437</v>
      </c>
      <c r="K2862" s="16" t="s">
        <v>2934</v>
      </c>
      <c r="L2862" s="12" t="s">
        <v>800</v>
      </c>
      <c r="M2862" s="16" t="s">
        <v>3902</v>
      </c>
      <c r="N2862" s="19" t="s">
        <v>798</v>
      </c>
      <c r="O2862" s="20" t="s">
        <v>798</v>
      </c>
      <c r="P2862" s="17" t="s">
        <v>802</v>
      </c>
      <c r="Q2862" s="21" t="s">
        <v>8486</v>
      </c>
      <c r="R2862" s="19" t="s">
        <v>798</v>
      </c>
      <c r="S2862" s="20" t="s">
        <v>798</v>
      </c>
      <c r="T2862" s="17" t="s">
        <v>798</v>
      </c>
      <c r="U2862" s="20" t="s">
        <v>798</v>
      </c>
      <c r="V2862" s="26" t="s">
        <v>798</v>
      </c>
      <c r="W2862" s="20" t="s">
        <v>798</v>
      </c>
      <c r="X2862" s="26" t="s">
        <v>798</v>
      </c>
      <c r="Y2862" s="20" t="s">
        <v>798</v>
      </c>
      <c r="Z2862" s="73" t="s">
        <v>9486</v>
      </c>
      <c r="AA2862" s="74" t="s">
        <v>9509</v>
      </c>
      <c r="AB2862" s="73" t="s">
        <v>9486</v>
      </c>
      <c r="AC2862" s="74" t="s">
        <v>9566</v>
      </c>
      <c r="AD2862" s="73" t="s">
        <v>9578</v>
      </c>
      <c r="AE2862" s="74" t="s">
        <v>9579</v>
      </c>
    </row>
    <row r="2863" spans="1:31" ht="8.65" customHeight="1" x14ac:dyDescent="0.2">
      <c r="A2863" s="76">
        <v>2863</v>
      </c>
      <c r="B2863" s="67" t="str">
        <f>MID(C2863, FIND("Ifc.", C2863) + 4, 4) &amp; "_" &amp; TEXT(COUNTIF($C$2:C2863, C2863),"0000")</f>
        <v>Sele_0056</v>
      </c>
      <c r="C2863" s="24" t="s">
        <v>877</v>
      </c>
      <c r="D2863" s="69" t="s">
        <v>9453</v>
      </c>
      <c r="E2863" s="70" t="s">
        <v>9456</v>
      </c>
      <c r="F2863" s="26" t="s">
        <v>798</v>
      </c>
      <c r="G2863" s="15" t="s">
        <v>798</v>
      </c>
      <c r="H2863" s="14" t="s">
        <v>798</v>
      </c>
      <c r="I2863" s="15" t="s">
        <v>798</v>
      </c>
      <c r="J2863" s="12" t="s">
        <v>9437</v>
      </c>
      <c r="K2863" s="16" t="s">
        <v>2935</v>
      </c>
      <c r="L2863" s="12" t="s">
        <v>800</v>
      </c>
      <c r="M2863" s="16" t="s">
        <v>5922</v>
      </c>
      <c r="N2863" s="19" t="s">
        <v>798</v>
      </c>
      <c r="O2863" s="20" t="s">
        <v>798</v>
      </c>
      <c r="P2863" s="17" t="s">
        <v>802</v>
      </c>
      <c r="Q2863" s="21" t="s">
        <v>8487</v>
      </c>
      <c r="R2863" s="19" t="s">
        <v>798</v>
      </c>
      <c r="S2863" s="20" t="s">
        <v>798</v>
      </c>
      <c r="T2863" s="17" t="s">
        <v>798</v>
      </c>
      <c r="U2863" s="20" t="s">
        <v>798</v>
      </c>
      <c r="V2863" s="26" t="s">
        <v>798</v>
      </c>
      <c r="W2863" s="20" t="s">
        <v>798</v>
      </c>
      <c r="X2863" s="26" t="s">
        <v>798</v>
      </c>
      <c r="Y2863" s="20" t="s">
        <v>798</v>
      </c>
      <c r="Z2863" s="73" t="s">
        <v>9486</v>
      </c>
      <c r="AA2863" s="74" t="s">
        <v>9509</v>
      </c>
      <c r="AB2863" s="73" t="s">
        <v>9486</v>
      </c>
      <c r="AC2863" s="74" t="s">
        <v>9566</v>
      </c>
      <c r="AD2863" s="73" t="s">
        <v>9578</v>
      </c>
      <c r="AE2863" s="74" t="s">
        <v>9579</v>
      </c>
    </row>
    <row r="2864" spans="1:31" ht="8.65" customHeight="1" x14ac:dyDescent="0.2">
      <c r="A2864" s="76">
        <v>2864</v>
      </c>
      <c r="B2864" s="67" t="str">
        <f>MID(C2864, FIND("Ifc.", C2864) + 4, 4) &amp; "_" &amp; TEXT(COUNTIF($C$2:C2864, C2864),"0000")</f>
        <v>Sele_0057</v>
      </c>
      <c r="C2864" s="24" t="s">
        <v>877</v>
      </c>
      <c r="D2864" s="69" t="s">
        <v>9453</v>
      </c>
      <c r="E2864" s="70" t="s">
        <v>9456</v>
      </c>
      <c r="F2864" s="26" t="s">
        <v>798</v>
      </c>
      <c r="G2864" s="15" t="s">
        <v>798</v>
      </c>
      <c r="H2864" s="14" t="s">
        <v>798</v>
      </c>
      <c r="I2864" s="15" t="s">
        <v>798</v>
      </c>
      <c r="J2864" s="12" t="s">
        <v>9437</v>
      </c>
      <c r="K2864" s="16" t="s">
        <v>2936</v>
      </c>
      <c r="L2864" s="12" t="s">
        <v>800</v>
      </c>
      <c r="M2864" s="16" t="s">
        <v>3903</v>
      </c>
      <c r="N2864" s="19" t="s">
        <v>798</v>
      </c>
      <c r="O2864" s="20" t="s">
        <v>798</v>
      </c>
      <c r="P2864" s="17" t="s">
        <v>802</v>
      </c>
      <c r="Q2864" s="21" t="s">
        <v>8488</v>
      </c>
      <c r="R2864" s="19" t="s">
        <v>798</v>
      </c>
      <c r="S2864" s="20" t="s">
        <v>798</v>
      </c>
      <c r="T2864" s="17" t="s">
        <v>798</v>
      </c>
      <c r="U2864" s="20" t="s">
        <v>798</v>
      </c>
      <c r="V2864" s="26" t="s">
        <v>798</v>
      </c>
      <c r="W2864" s="20" t="s">
        <v>798</v>
      </c>
      <c r="X2864" s="26" t="s">
        <v>798</v>
      </c>
      <c r="Y2864" s="20" t="s">
        <v>798</v>
      </c>
      <c r="Z2864" s="73" t="s">
        <v>9486</v>
      </c>
      <c r="AA2864" s="74" t="s">
        <v>9509</v>
      </c>
      <c r="AB2864" s="73" t="s">
        <v>9486</v>
      </c>
      <c r="AC2864" s="74" t="s">
        <v>9566</v>
      </c>
      <c r="AD2864" s="73" t="s">
        <v>9578</v>
      </c>
      <c r="AE2864" s="74" t="s">
        <v>9579</v>
      </c>
    </row>
    <row r="2865" spans="1:31" ht="8.65" customHeight="1" x14ac:dyDescent="0.2">
      <c r="A2865" s="76">
        <v>2865</v>
      </c>
      <c r="B2865" s="67" t="str">
        <f>MID(C2865, FIND("Ifc.", C2865) + 4, 4) &amp; "_" &amp; TEXT(COUNTIF($C$2:C2865, C2865),"0000")</f>
        <v>Sele_0058</v>
      </c>
      <c r="C2865" s="24" t="s">
        <v>877</v>
      </c>
      <c r="D2865" s="69" t="s">
        <v>9453</v>
      </c>
      <c r="E2865" s="70" t="s">
        <v>9456</v>
      </c>
      <c r="F2865" s="26" t="s">
        <v>798</v>
      </c>
      <c r="G2865" s="15" t="s">
        <v>798</v>
      </c>
      <c r="H2865" s="14" t="s">
        <v>798</v>
      </c>
      <c r="I2865" s="15" t="s">
        <v>798</v>
      </c>
      <c r="J2865" s="12" t="s">
        <v>9437</v>
      </c>
      <c r="K2865" s="16" t="s">
        <v>2937</v>
      </c>
      <c r="L2865" s="12" t="s">
        <v>800</v>
      </c>
      <c r="M2865" s="16" t="s">
        <v>3904</v>
      </c>
      <c r="N2865" s="19" t="s">
        <v>798</v>
      </c>
      <c r="O2865" s="20" t="s">
        <v>798</v>
      </c>
      <c r="P2865" s="17" t="s">
        <v>802</v>
      </c>
      <c r="Q2865" s="21" t="s">
        <v>8489</v>
      </c>
      <c r="R2865" s="19" t="s">
        <v>798</v>
      </c>
      <c r="S2865" s="20" t="s">
        <v>798</v>
      </c>
      <c r="T2865" s="17" t="s">
        <v>798</v>
      </c>
      <c r="U2865" s="20" t="s">
        <v>798</v>
      </c>
      <c r="V2865" s="26" t="s">
        <v>798</v>
      </c>
      <c r="W2865" s="20" t="s">
        <v>798</v>
      </c>
      <c r="X2865" s="26" t="s">
        <v>798</v>
      </c>
      <c r="Y2865" s="20" t="s">
        <v>798</v>
      </c>
      <c r="Z2865" s="73" t="s">
        <v>9486</v>
      </c>
      <c r="AA2865" s="74" t="s">
        <v>9509</v>
      </c>
      <c r="AB2865" s="73" t="s">
        <v>9486</v>
      </c>
      <c r="AC2865" s="74" t="s">
        <v>9566</v>
      </c>
      <c r="AD2865" s="73" t="s">
        <v>9578</v>
      </c>
      <c r="AE2865" s="74" t="s">
        <v>9579</v>
      </c>
    </row>
    <row r="2866" spans="1:31" ht="8.65" customHeight="1" x14ac:dyDescent="0.2">
      <c r="A2866" s="76">
        <v>2866</v>
      </c>
      <c r="B2866" s="67" t="str">
        <f>MID(C2866, FIND("Ifc.", C2866) + 4, 4) &amp; "_" &amp; TEXT(COUNTIF($C$2:C2866, C2866),"0000")</f>
        <v>Sele_0059</v>
      </c>
      <c r="C2866" s="24" t="s">
        <v>877</v>
      </c>
      <c r="D2866" s="69" t="s">
        <v>9453</v>
      </c>
      <c r="E2866" s="70" t="s">
        <v>9456</v>
      </c>
      <c r="F2866" s="26" t="s">
        <v>798</v>
      </c>
      <c r="G2866" s="15" t="s">
        <v>798</v>
      </c>
      <c r="H2866" s="14" t="s">
        <v>798</v>
      </c>
      <c r="I2866" s="15" t="s">
        <v>798</v>
      </c>
      <c r="J2866" s="12" t="s">
        <v>9437</v>
      </c>
      <c r="K2866" s="16" t="s">
        <v>2938</v>
      </c>
      <c r="L2866" s="12" t="s">
        <v>800</v>
      </c>
      <c r="M2866" s="16" t="s">
        <v>3905</v>
      </c>
      <c r="N2866" s="19" t="s">
        <v>798</v>
      </c>
      <c r="O2866" s="20" t="s">
        <v>798</v>
      </c>
      <c r="P2866" s="17" t="s">
        <v>802</v>
      </c>
      <c r="Q2866" s="21" t="s">
        <v>8490</v>
      </c>
      <c r="R2866" s="19" t="s">
        <v>798</v>
      </c>
      <c r="S2866" s="20" t="s">
        <v>798</v>
      </c>
      <c r="T2866" s="17" t="s">
        <v>798</v>
      </c>
      <c r="U2866" s="20" t="s">
        <v>798</v>
      </c>
      <c r="V2866" s="26" t="s">
        <v>798</v>
      </c>
      <c r="W2866" s="20" t="s">
        <v>798</v>
      </c>
      <c r="X2866" s="26" t="s">
        <v>798</v>
      </c>
      <c r="Y2866" s="20" t="s">
        <v>798</v>
      </c>
      <c r="Z2866" s="73" t="s">
        <v>9486</v>
      </c>
      <c r="AA2866" s="74" t="s">
        <v>9509</v>
      </c>
      <c r="AB2866" s="73" t="s">
        <v>9486</v>
      </c>
      <c r="AC2866" s="74" t="s">
        <v>9566</v>
      </c>
      <c r="AD2866" s="73" t="s">
        <v>9578</v>
      </c>
      <c r="AE2866" s="74" t="s">
        <v>9579</v>
      </c>
    </row>
    <row r="2867" spans="1:31" ht="8.65" customHeight="1" x14ac:dyDescent="0.2">
      <c r="A2867" s="76">
        <v>2867</v>
      </c>
      <c r="B2867" s="67" t="str">
        <f>MID(C2867, FIND("Ifc.", C2867) + 4, 4) &amp; "_" &amp; TEXT(COUNTIF($C$2:C2867, C2867),"0000")</f>
        <v>Sele_0060</v>
      </c>
      <c r="C2867" s="24" t="s">
        <v>877</v>
      </c>
      <c r="D2867" s="69" t="s">
        <v>9453</v>
      </c>
      <c r="E2867" s="70" t="s">
        <v>9456</v>
      </c>
      <c r="F2867" s="26" t="s">
        <v>798</v>
      </c>
      <c r="G2867" s="15" t="s">
        <v>798</v>
      </c>
      <c r="H2867" s="14" t="s">
        <v>798</v>
      </c>
      <c r="I2867" s="15" t="s">
        <v>798</v>
      </c>
      <c r="J2867" s="12" t="s">
        <v>9437</v>
      </c>
      <c r="K2867" s="16" t="s">
        <v>2939</v>
      </c>
      <c r="L2867" s="12" t="s">
        <v>800</v>
      </c>
      <c r="M2867" s="16" t="s">
        <v>3906</v>
      </c>
      <c r="N2867" s="19" t="s">
        <v>798</v>
      </c>
      <c r="O2867" s="20" t="s">
        <v>798</v>
      </c>
      <c r="P2867" s="17" t="s">
        <v>802</v>
      </c>
      <c r="Q2867" s="21" t="s">
        <v>8491</v>
      </c>
      <c r="R2867" s="19" t="s">
        <v>798</v>
      </c>
      <c r="S2867" s="20" t="s">
        <v>798</v>
      </c>
      <c r="T2867" s="17" t="s">
        <v>798</v>
      </c>
      <c r="U2867" s="20" t="s">
        <v>798</v>
      </c>
      <c r="V2867" s="26" t="s">
        <v>798</v>
      </c>
      <c r="W2867" s="20" t="s">
        <v>798</v>
      </c>
      <c r="X2867" s="26" t="s">
        <v>798</v>
      </c>
      <c r="Y2867" s="20" t="s">
        <v>798</v>
      </c>
      <c r="Z2867" s="73" t="s">
        <v>9486</v>
      </c>
      <c r="AA2867" s="74" t="s">
        <v>9509</v>
      </c>
      <c r="AB2867" s="73" t="s">
        <v>9486</v>
      </c>
      <c r="AC2867" s="74" t="s">
        <v>9566</v>
      </c>
      <c r="AD2867" s="73" t="s">
        <v>9578</v>
      </c>
      <c r="AE2867" s="74" t="s">
        <v>9579</v>
      </c>
    </row>
    <row r="2868" spans="1:31" ht="8.65" customHeight="1" x14ac:dyDescent="0.2">
      <c r="A2868" s="76">
        <v>2868</v>
      </c>
      <c r="B2868" s="67" t="str">
        <f>MID(C2868, FIND("Ifc.", C2868) + 4, 4) &amp; "_" &amp; TEXT(COUNTIF($C$2:C2868, C2868),"0000")</f>
        <v>Enti_0001</v>
      </c>
      <c r="C2868" s="25" t="s">
        <v>874</v>
      </c>
      <c r="D2868" s="69" t="s">
        <v>9453</v>
      </c>
      <c r="E2868" s="70" t="s">
        <v>9457</v>
      </c>
      <c r="F2868" s="26" t="s">
        <v>798</v>
      </c>
      <c r="G2868" s="15" t="s">
        <v>798</v>
      </c>
      <c r="H2868" s="14" t="s">
        <v>798</v>
      </c>
      <c r="I2868" s="15" t="s">
        <v>798</v>
      </c>
      <c r="J2868" s="12" t="s">
        <v>9438</v>
      </c>
      <c r="K2868" s="16" t="s">
        <v>2940</v>
      </c>
      <c r="L2868" s="12" t="s">
        <v>800</v>
      </c>
      <c r="M2868" s="16" t="s">
        <v>3907</v>
      </c>
      <c r="N2868" s="19" t="s">
        <v>798</v>
      </c>
      <c r="O2868" s="20" t="s">
        <v>798</v>
      </c>
      <c r="P2868" s="17" t="s">
        <v>802</v>
      </c>
      <c r="Q2868" s="21" t="s">
        <v>8492</v>
      </c>
      <c r="R2868" s="19" t="s">
        <v>798</v>
      </c>
      <c r="S2868" s="20" t="s">
        <v>798</v>
      </c>
      <c r="T2868" s="17" t="s">
        <v>798</v>
      </c>
      <c r="U2868" s="20" t="s">
        <v>798</v>
      </c>
      <c r="V2868" s="26" t="s">
        <v>798</v>
      </c>
      <c r="W2868" s="20" t="s">
        <v>798</v>
      </c>
      <c r="X2868" s="26" t="s">
        <v>798</v>
      </c>
      <c r="Y2868" s="20" t="s">
        <v>798</v>
      </c>
      <c r="Z2868" s="69" t="s">
        <v>9486</v>
      </c>
      <c r="AA2868" s="72" t="s">
        <v>9476</v>
      </c>
      <c r="AB2868" s="73" t="s">
        <v>9486</v>
      </c>
      <c r="AC2868" s="74" t="s">
        <v>9566</v>
      </c>
      <c r="AD2868" s="73" t="s">
        <v>9578</v>
      </c>
      <c r="AE2868" s="74" t="s">
        <v>9579</v>
      </c>
    </row>
    <row r="2869" spans="1:31" ht="8.65" customHeight="1" x14ac:dyDescent="0.2">
      <c r="A2869" s="76">
        <v>2869</v>
      </c>
      <c r="B2869" s="67" t="str">
        <f>MID(C2869, FIND("Ifc.", C2869) + 4, 4) &amp; "_" &amp; TEXT(COUNTIF($C$2:C2869, C2869),"0000")</f>
        <v>Enti_0002</v>
      </c>
      <c r="C2869" s="25" t="s">
        <v>874</v>
      </c>
      <c r="D2869" s="69" t="s">
        <v>9453</v>
      </c>
      <c r="E2869" s="70" t="s">
        <v>9457</v>
      </c>
      <c r="F2869" s="26" t="s">
        <v>798</v>
      </c>
      <c r="G2869" s="15" t="s">
        <v>798</v>
      </c>
      <c r="H2869" s="14" t="s">
        <v>798</v>
      </c>
      <c r="I2869" s="15" t="s">
        <v>798</v>
      </c>
      <c r="J2869" s="12" t="s">
        <v>9438</v>
      </c>
      <c r="K2869" s="16" t="s">
        <v>2941</v>
      </c>
      <c r="L2869" s="12" t="s">
        <v>800</v>
      </c>
      <c r="M2869" s="16" t="s">
        <v>3908</v>
      </c>
      <c r="N2869" s="19" t="s">
        <v>798</v>
      </c>
      <c r="O2869" s="20" t="s">
        <v>798</v>
      </c>
      <c r="P2869" s="17" t="s">
        <v>802</v>
      </c>
      <c r="Q2869" s="21" t="s">
        <v>8493</v>
      </c>
      <c r="R2869" s="19" t="s">
        <v>798</v>
      </c>
      <c r="S2869" s="20" t="s">
        <v>798</v>
      </c>
      <c r="T2869" s="17" t="s">
        <v>798</v>
      </c>
      <c r="U2869" s="20" t="s">
        <v>798</v>
      </c>
      <c r="V2869" s="26" t="s">
        <v>798</v>
      </c>
      <c r="W2869" s="20" t="s">
        <v>798</v>
      </c>
      <c r="X2869" s="26" t="s">
        <v>798</v>
      </c>
      <c r="Y2869" s="20" t="s">
        <v>798</v>
      </c>
      <c r="Z2869" s="69" t="s">
        <v>9486</v>
      </c>
      <c r="AA2869" s="72" t="s">
        <v>9476</v>
      </c>
      <c r="AB2869" s="73" t="s">
        <v>9486</v>
      </c>
      <c r="AC2869" s="74" t="s">
        <v>9566</v>
      </c>
      <c r="AD2869" s="73" t="s">
        <v>9578</v>
      </c>
      <c r="AE2869" s="74" t="s">
        <v>9579</v>
      </c>
    </row>
    <row r="2870" spans="1:31" ht="8.65" customHeight="1" x14ac:dyDescent="0.2">
      <c r="A2870" s="76">
        <v>2870</v>
      </c>
      <c r="B2870" s="67" t="str">
        <f>MID(C2870, FIND("Ifc.", C2870) + 4, 4) &amp; "_" &amp; TEXT(COUNTIF($C$2:C2870, C2870),"0000")</f>
        <v>Enti_0003</v>
      </c>
      <c r="C2870" s="25" t="s">
        <v>874</v>
      </c>
      <c r="D2870" s="69" t="s">
        <v>9453</v>
      </c>
      <c r="E2870" s="70" t="s">
        <v>9457</v>
      </c>
      <c r="F2870" s="26" t="s">
        <v>798</v>
      </c>
      <c r="G2870" s="15" t="s">
        <v>798</v>
      </c>
      <c r="H2870" s="14" t="s">
        <v>798</v>
      </c>
      <c r="I2870" s="15" t="s">
        <v>798</v>
      </c>
      <c r="J2870" s="12" t="s">
        <v>9438</v>
      </c>
      <c r="K2870" s="16" t="s">
        <v>2942</v>
      </c>
      <c r="L2870" s="12" t="s">
        <v>800</v>
      </c>
      <c r="M2870" s="16" t="s">
        <v>3909</v>
      </c>
      <c r="N2870" s="19" t="s">
        <v>798</v>
      </c>
      <c r="O2870" s="20" t="s">
        <v>798</v>
      </c>
      <c r="P2870" s="17" t="s">
        <v>802</v>
      </c>
      <c r="Q2870" s="21" t="s">
        <v>8494</v>
      </c>
      <c r="R2870" s="19" t="s">
        <v>798</v>
      </c>
      <c r="S2870" s="20" t="s">
        <v>798</v>
      </c>
      <c r="T2870" s="17" t="s">
        <v>798</v>
      </c>
      <c r="U2870" s="20" t="s">
        <v>798</v>
      </c>
      <c r="V2870" s="26" t="s">
        <v>798</v>
      </c>
      <c r="W2870" s="20" t="s">
        <v>798</v>
      </c>
      <c r="X2870" s="26" t="s">
        <v>798</v>
      </c>
      <c r="Y2870" s="20" t="s">
        <v>798</v>
      </c>
      <c r="Z2870" s="69" t="s">
        <v>9486</v>
      </c>
      <c r="AA2870" s="72" t="s">
        <v>9477</v>
      </c>
      <c r="AB2870" s="73" t="s">
        <v>9486</v>
      </c>
      <c r="AC2870" s="74" t="s">
        <v>9566</v>
      </c>
      <c r="AD2870" s="73" t="s">
        <v>9578</v>
      </c>
      <c r="AE2870" s="74" t="s">
        <v>9579</v>
      </c>
    </row>
    <row r="2871" spans="1:31" ht="8.65" customHeight="1" x14ac:dyDescent="0.2">
      <c r="A2871" s="76">
        <v>2871</v>
      </c>
      <c r="B2871" s="67" t="str">
        <f>MID(C2871, FIND("Ifc.", C2871) + 4, 4) &amp; "_" &amp; TEXT(COUNTIF($C$2:C2871, C2871),"0000")</f>
        <v>Enti_0004</v>
      </c>
      <c r="C2871" s="25" t="s">
        <v>874</v>
      </c>
      <c r="D2871" s="69" t="s">
        <v>9453</v>
      </c>
      <c r="E2871" s="70" t="s">
        <v>9457</v>
      </c>
      <c r="F2871" s="26" t="s">
        <v>798</v>
      </c>
      <c r="G2871" s="15" t="s">
        <v>798</v>
      </c>
      <c r="H2871" s="14" t="s">
        <v>798</v>
      </c>
      <c r="I2871" s="15" t="s">
        <v>798</v>
      </c>
      <c r="J2871" s="12" t="s">
        <v>9438</v>
      </c>
      <c r="K2871" s="16" t="s">
        <v>2943</v>
      </c>
      <c r="L2871" s="12" t="s">
        <v>800</v>
      </c>
      <c r="M2871" s="16" t="s">
        <v>3910</v>
      </c>
      <c r="N2871" s="19" t="s">
        <v>798</v>
      </c>
      <c r="O2871" s="20" t="s">
        <v>798</v>
      </c>
      <c r="P2871" s="17" t="s">
        <v>802</v>
      </c>
      <c r="Q2871" s="21" t="s">
        <v>8495</v>
      </c>
      <c r="R2871" s="19" t="s">
        <v>798</v>
      </c>
      <c r="S2871" s="20" t="s">
        <v>798</v>
      </c>
      <c r="T2871" s="17" t="s">
        <v>798</v>
      </c>
      <c r="U2871" s="20" t="s">
        <v>798</v>
      </c>
      <c r="V2871" s="26" t="s">
        <v>798</v>
      </c>
      <c r="W2871" s="20" t="s">
        <v>798</v>
      </c>
      <c r="X2871" s="26" t="s">
        <v>798</v>
      </c>
      <c r="Y2871" s="20" t="s">
        <v>798</v>
      </c>
      <c r="Z2871" s="69" t="s">
        <v>9486</v>
      </c>
      <c r="AA2871" s="72" t="s">
        <v>9476</v>
      </c>
      <c r="AB2871" s="73" t="s">
        <v>9486</v>
      </c>
      <c r="AC2871" s="74" t="s">
        <v>9566</v>
      </c>
      <c r="AD2871" s="73" t="s">
        <v>9578</v>
      </c>
      <c r="AE2871" s="74" t="s">
        <v>9579</v>
      </c>
    </row>
    <row r="2872" spans="1:31" ht="8.65" customHeight="1" x14ac:dyDescent="0.2">
      <c r="A2872" s="76">
        <v>2872</v>
      </c>
      <c r="B2872" s="67" t="str">
        <f>MID(C2872, FIND("Ifc.", C2872) + 4, 4) &amp; "_" &amp; TEXT(COUNTIF($C$2:C2872, C2872),"0000")</f>
        <v>Enti_0005</v>
      </c>
      <c r="C2872" s="25" t="s">
        <v>874</v>
      </c>
      <c r="D2872" s="69" t="s">
        <v>9453</v>
      </c>
      <c r="E2872" s="70" t="s">
        <v>9457</v>
      </c>
      <c r="F2872" s="26" t="s">
        <v>798</v>
      </c>
      <c r="G2872" s="15" t="s">
        <v>798</v>
      </c>
      <c r="H2872" s="14" t="s">
        <v>798</v>
      </c>
      <c r="I2872" s="15" t="s">
        <v>798</v>
      </c>
      <c r="J2872" s="12" t="s">
        <v>9438</v>
      </c>
      <c r="K2872" s="16" t="s">
        <v>2944</v>
      </c>
      <c r="L2872" s="12" t="s">
        <v>800</v>
      </c>
      <c r="M2872" s="16" t="s">
        <v>3911</v>
      </c>
      <c r="N2872" s="19" t="s">
        <v>798</v>
      </c>
      <c r="O2872" s="20" t="s">
        <v>798</v>
      </c>
      <c r="P2872" s="17" t="s">
        <v>802</v>
      </c>
      <c r="Q2872" s="21" t="s">
        <v>8496</v>
      </c>
      <c r="R2872" s="19" t="s">
        <v>798</v>
      </c>
      <c r="S2872" s="20" t="s">
        <v>798</v>
      </c>
      <c r="T2872" s="17" t="s">
        <v>798</v>
      </c>
      <c r="U2872" s="20" t="s">
        <v>798</v>
      </c>
      <c r="V2872" s="26" t="s">
        <v>798</v>
      </c>
      <c r="W2872" s="20" t="s">
        <v>798</v>
      </c>
      <c r="X2872" s="26" t="s">
        <v>798</v>
      </c>
      <c r="Y2872" s="20" t="s">
        <v>798</v>
      </c>
      <c r="Z2872" s="69" t="s">
        <v>9486</v>
      </c>
      <c r="AA2872" s="72" t="s">
        <v>9477</v>
      </c>
      <c r="AB2872" s="73" t="s">
        <v>9486</v>
      </c>
      <c r="AC2872" s="74" t="s">
        <v>9566</v>
      </c>
      <c r="AD2872" s="73" t="s">
        <v>9578</v>
      </c>
      <c r="AE2872" s="74" t="s">
        <v>9579</v>
      </c>
    </row>
    <row r="2873" spans="1:31" ht="8.65" customHeight="1" x14ac:dyDescent="0.2">
      <c r="A2873" s="76">
        <v>2873</v>
      </c>
      <c r="B2873" s="67" t="str">
        <f>MID(C2873, FIND("Ifc.", C2873) + 4, 4) &amp; "_" &amp; TEXT(COUNTIF($C$2:C2873, C2873),"0000")</f>
        <v>Enti_0006</v>
      </c>
      <c r="C2873" s="25" t="s">
        <v>874</v>
      </c>
      <c r="D2873" s="69" t="s">
        <v>9453</v>
      </c>
      <c r="E2873" s="70" t="s">
        <v>9457</v>
      </c>
      <c r="F2873" s="26" t="s">
        <v>798</v>
      </c>
      <c r="G2873" s="15" t="s">
        <v>798</v>
      </c>
      <c r="H2873" s="14" t="s">
        <v>798</v>
      </c>
      <c r="I2873" s="15" t="s">
        <v>798</v>
      </c>
      <c r="J2873" s="12" t="s">
        <v>9438</v>
      </c>
      <c r="K2873" s="16" t="s">
        <v>2945</v>
      </c>
      <c r="L2873" s="12" t="s">
        <v>800</v>
      </c>
      <c r="M2873" s="16" t="s">
        <v>3912</v>
      </c>
      <c r="N2873" s="19" t="s">
        <v>798</v>
      </c>
      <c r="O2873" s="20" t="s">
        <v>798</v>
      </c>
      <c r="P2873" s="17" t="s">
        <v>802</v>
      </c>
      <c r="Q2873" s="21" t="s">
        <v>8497</v>
      </c>
      <c r="R2873" s="19" t="s">
        <v>798</v>
      </c>
      <c r="S2873" s="20" t="s">
        <v>798</v>
      </c>
      <c r="T2873" s="17" t="s">
        <v>798</v>
      </c>
      <c r="U2873" s="20" t="s">
        <v>798</v>
      </c>
      <c r="V2873" s="26" t="s">
        <v>798</v>
      </c>
      <c r="W2873" s="20" t="s">
        <v>798</v>
      </c>
      <c r="X2873" s="26" t="s">
        <v>798</v>
      </c>
      <c r="Y2873" s="20" t="s">
        <v>798</v>
      </c>
      <c r="Z2873" s="69" t="s">
        <v>9486</v>
      </c>
      <c r="AA2873" s="72" t="s">
        <v>9476</v>
      </c>
      <c r="AB2873" s="73" t="s">
        <v>9486</v>
      </c>
      <c r="AC2873" s="74" t="s">
        <v>9566</v>
      </c>
      <c r="AD2873" s="73" t="s">
        <v>9578</v>
      </c>
      <c r="AE2873" s="74" t="s">
        <v>9579</v>
      </c>
    </row>
    <row r="2874" spans="1:31" ht="8.65" customHeight="1" x14ac:dyDescent="0.2">
      <c r="A2874" s="76">
        <v>2874</v>
      </c>
      <c r="B2874" s="67" t="str">
        <f>MID(C2874, FIND("Ifc.", C2874) + 4, 4) &amp; "_" &amp; TEXT(COUNTIF($C$2:C2874, C2874),"0000")</f>
        <v>Enti_0007</v>
      </c>
      <c r="C2874" s="25" t="s">
        <v>874</v>
      </c>
      <c r="D2874" s="69" t="s">
        <v>9453</v>
      </c>
      <c r="E2874" s="70" t="s">
        <v>9457</v>
      </c>
      <c r="F2874" s="26" t="s">
        <v>798</v>
      </c>
      <c r="G2874" s="15" t="s">
        <v>798</v>
      </c>
      <c r="H2874" s="14" t="s">
        <v>798</v>
      </c>
      <c r="I2874" s="15" t="s">
        <v>798</v>
      </c>
      <c r="J2874" s="12" t="s">
        <v>9438</v>
      </c>
      <c r="K2874" s="16" t="s">
        <v>2946</v>
      </c>
      <c r="L2874" s="12" t="s">
        <v>800</v>
      </c>
      <c r="M2874" s="16" t="s">
        <v>3913</v>
      </c>
      <c r="N2874" s="19" t="s">
        <v>798</v>
      </c>
      <c r="O2874" s="20" t="s">
        <v>798</v>
      </c>
      <c r="P2874" s="17" t="s">
        <v>802</v>
      </c>
      <c r="Q2874" s="21" t="s">
        <v>8498</v>
      </c>
      <c r="R2874" s="19" t="s">
        <v>798</v>
      </c>
      <c r="S2874" s="20" t="s">
        <v>798</v>
      </c>
      <c r="T2874" s="17" t="s">
        <v>798</v>
      </c>
      <c r="U2874" s="20" t="s">
        <v>798</v>
      </c>
      <c r="V2874" s="26" t="s">
        <v>798</v>
      </c>
      <c r="W2874" s="20" t="s">
        <v>798</v>
      </c>
      <c r="X2874" s="26" t="s">
        <v>798</v>
      </c>
      <c r="Y2874" s="20" t="s">
        <v>798</v>
      </c>
      <c r="Z2874" s="69" t="s">
        <v>9486</v>
      </c>
      <c r="AA2874" s="72" t="s">
        <v>9476</v>
      </c>
      <c r="AB2874" s="73" t="s">
        <v>9486</v>
      </c>
      <c r="AC2874" s="74" t="s">
        <v>9566</v>
      </c>
      <c r="AD2874" s="73" t="s">
        <v>9578</v>
      </c>
      <c r="AE2874" s="74" t="s">
        <v>9579</v>
      </c>
    </row>
    <row r="2875" spans="1:31" ht="8.65" customHeight="1" x14ac:dyDescent="0.2">
      <c r="A2875" s="76">
        <v>2875</v>
      </c>
      <c r="B2875" s="67" t="str">
        <f>MID(C2875, FIND("Ifc.", C2875) + 4, 4) &amp; "_" &amp; TEXT(COUNTIF($C$2:C2875, C2875),"0000")</f>
        <v>Enti_0008</v>
      </c>
      <c r="C2875" s="25" t="s">
        <v>874</v>
      </c>
      <c r="D2875" s="69" t="s">
        <v>9453</v>
      </c>
      <c r="E2875" s="70" t="s">
        <v>9457</v>
      </c>
      <c r="F2875" s="26" t="s">
        <v>798</v>
      </c>
      <c r="G2875" s="15" t="s">
        <v>798</v>
      </c>
      <c r="H2875" s="14" t="s">
        <v>798</v>
      </c>
      <c r="I2875" s="15" t="s">
        <v>798</v>
      </c>
      <c r="J2875" s="12" t="s">
        <v>9438</v>
      </c>
      <c r="K2875" s="16" t="s">
        <v>2947</v>
      </c>
      <c r="L2875" s="12" t="s">
        <v>800</v>
      </c>
      <c r="M2875" s="16" t="s">
        <v>3914</v>
      </c>
      <c r="N2875" s="19" t="s">
        <v>798</v>
      </c>
      <c r="O2875" s="20" t="s">
        <v>798</v>
      </c>
      <c r="P2875" s="17" t="s">
        <v>802</v>
      </c>
      <c r="Q2875" s="21" t="s">
        <v>8499</v>
      </c>
      <c r="R2875" s="19" t="s">
        <v>798</v>
      </c>
      <c r="S2875" s="20" t="s">
        <v>798</v>
      </c>
      <c r="T2875" s="17" t="s">
        <v>798</v>
      </c>
      <c r="U2875" s="20" t="s">
        <v>798</v>
      </c>
      <c r="V2875" s="26" t="s">
        <v>798</v>
      </c>
      <c r="W2875" s="20" t="s">
        <v>798</v>
      </c>
      <c r="X2875" s="26" t="s">
        <v>798</v>
      </c>
      <c r="Y2875" s="20" t="s">
        <v>798</v>
      </c>
      <c r="Z2875" s="69" t="s">
        <v>9486</v>
      </c>
      <c r="AA2875" s="72" t="s">
        <v>9477</v>
      </c>
      <c r="AB2875" s="73" t="s">
        <v>9486</v>
      </c>
      <c r="AC2875" s="74" t="s">
        <v>9566</v>
      </c>
      <c r="AD2875" s="73" t="s">
        <v>9578</v>
      </c>
      <c r="AE2875" s="74" t="s">
        <v>9579</v>
      </c>
    </row>
    <row r="2876" spans="1:31" ht="8.65" customHeight="1" x14ac:dyDescent="0.2">
      <c r="A2876" s="76">
        <v>2876</v>
      </c>
      <c r="B2876" s="67" t="str">
        <f>MID(C2876, FIND("Ifc.", C2876) + 4, 4) &amp; "_" &amp; TEXT(COUNTIF($C$2:C2876, C2876),"0000")</f>
        <v>Enti_0009</v>
      </c>
      <c r="C2876" s="25" t="s">
        <v>874</v>
      </c>
      <c r="D2876" s="69" t="s">
        <v>9453</v>
      </c>
      <c r="E2876" s="70" t="s">
        <v>9457</v>
      </c>
      <c r="F2876" s="26" t="s">
        <v>798</v>
      </c>
      <c r="G2876" s="15" t="s">
        <v>798</v>
      </c>
      <c r="H2876" s="14" t="s">
        <v>798</v>
      </c>
      <c r="I2876" s="15" t="s">
        <v>798</v>
      </c>
      <c r="J2876" s="12" t="s">
        <v>9438</v>
      </c>
      <c r="K2876" s="16" t="s">
        <v>2948</v>
      </c>
      <c r="L2876" s="12" t="s">
        <v>800</v>
      </c>
      <c r="M2876" s="16" t="s">
        <v>3915</v>
      </c>
      <c r="N2876" s="19" t="s">
        <v>798</v>
      </c>
      <c r="O2876" s="20" t="s">
        <v>798</v>
      </c>
      <c r="P2876" s="17" t="s">
        <v>802</v>
      </c>
      <c r="Q2876" s="21" t="s">
        <v>8500</v>
      </c>
      <c r="R2876" s="19" t="s">
        <v>798</v>
      </c>
      <c r="S2876" s="20" t="s">
        <v>798</v>
      </c>
      <c r="T2876" s="17" t="s">
        <v>798</v>
      </c>
      <c r="U2876" s="20" t="s">
        <v>798</v>
      </c>
      <c r="V2876" s="26" t="s">
        <v>798</v>
      </c>
      <c r="W2876" s="20" t="s">
        <v>798</v>
      </c>
      <c r="X2876" s="26" t="s">
        <v>798</v>
      </c>
      <c r="Y2876" s="20" t="s">
        <v>798</v>
      </c>
      <c r="Z2876" s="69" t="s">
        <v>9486</v>
      </c>
      <c r="AA2876" s="72" t="s">
        <v>9476</v>
      </c>
      <c r="AB2876" s="73" t="s">
        <v>9486</v>
      </c>
      <c r="AC2876" s="74" t="s">
        <v>9566</v>
      </c>
      <c r="AD2876" s="73" t="s">
        <v>9578</v>
      </c>
      <c r="AE2876" s="74" t="s">
        <v>9579</v>
      </c>
    </row>
    <row r="2877" spans="1:31" ht="8.65" customHeight="1" x14ac:dyDescent="0.2">
      <c r="A2877" s="76">
        <v>2877</v>
      </c>
      <c r="B2877" s="67" t="str">
        <f>MID(C2877, FIND("Ifc.", C2877) + 4, 4) &amp; "_" &amp; TEXT(COUNTIF($C$2:C2877, C2877),"0000")</f>
        <v>Enti_0010</v>
      </c>
      <c r="C2877" s="25" t="s">
        <v>874</v>
      </c>
      <c r="D2877" s="69" t="s">
        <v>9453</v>
      </c>
      <c r="E2877" s="70" t="s">
        <v>9457</v>
      </c>
      <c r="F2877" s="26" t="s">
        <v>798</v>
      </c>
      <c r="G2877" s="15" t="s">
        <v>798</v>
      </c>
      <c r="H2877" s="14" t="s">
        <v>798</v>
      </c>
      <c r="I2877" s="15" t="s">
        <v>798</v>
      </c>
      <c r="J2877" s="12" t="s">
        <v>9438</v>
      </c>
      <c r="K2877" s="16" t="s">
        <v>2949</v>
      </c>
      <c r="L2877" s="12" t="s">
        <v>800</v>
      </c>
      <c r="M2877" s="16" t="s">
        <v>3916</v>
      </c>
      <c r="N2877" s="19" t="s">
        <v>798</v>
      </c>
      <c r="O2877" s="20" t="s">
        <v>798</v>
      </c>
      <c r="P2877" s="17" t="s">
        <v>802</v>
      </c>
      <c r="Q2877" s="21" t="s">
        <v>8501</v>
      </c>
      <c r="R2877" s="19" t="s">
        <v>798</v>
      </c>
      <c r="S2877" s="20" t="s">
        <v>798</v>
      </c>
      <c r="T2877" s="17" t="s">
        <v>798</v>
      </c>
      <c r="U2877" s="20" t="s">
        <v>798</v>
      </c>
      <c r="V2877" s="26" t="s">
        <v>798</v>
      </c>
      <c r="W2877" s="20" t="s">
        <v>798</v>
      </c>
      <c r="X2877" s="26" t="s">
        <v>798</v>
      </c>
      <c r="Y2877" s="20" t="s">
        <v>798</v>
      </c>
      <c r="Z2877" s="69" t="s">
        <v>9486</v>
      </c>
      <c r="AA2877" s="72" t="s">
        <v>9477</v>
      </c>
      <c r="AB2877" s="73" t="s">
        <v>9486</v>
      </c>
      <c r="AC2877" s="74" t="s">
        <v>9566</v>
      </c>
      <c r="AD2877" s="73" t="s">
        <v>9578</v>
      </c>
      <c r="AE2877" s="74" t="s">
        <v>9579</v>
      </c>
    </row>
    <row r="2878" spans="1:31" ht="8.65" customHeight="1" x14ac:dyDescent="0.2">
      <c r="A2878" s="76">
        <v>2878</v>
      </c>
      <c r="B2878" s="67" t="str">
        <f>MID(C2878, FIND("Ifc.", C2878) + 4, 4) &amp; "_" &amp; TEXT(COUNTIF($C$2:C2878, C2878),"0000")</f>
        <v>Enti_0011</v>
      </c>
      <c r="C2878" s="25" t="s">
        <v>874</v>
      </c>
      <c r="D2878" s="69" t="s">
        <v>9453</v>
      </c>
      <c r="E2878" s="70" t="s">
        <v>9457</v>
      </c>
      <c r="F2878" s="26" t="s">
        <v>798</v>
      </c>
      <c r="G2878" s="15" t="s">
        <v>798</v>
      </c>
      <c r="H2878" s="14" t="s">
        <v>798</v>
      </c>
      <c r="I2878" s="15" t="s">
        <v>798</v>
      </c>
      <c r="J2878" s="12" t="s">
        <v>9438</v>
      </c>
      <c r="K2878" s="16" t="s">
        <v>2950</v>
      </c>
      <c r="L2878" s="12" t="s">
        <v>800</v>
      </c>
      <c r="M2878" s="16" t="s">
        <v>3917</v>
      </c>
      <c r="N2878" s="19" t="s">
        <v>798</v>
      </c>
      <c r="O2878" s="20" t="s">
        <v>798</v>
      </c>
      <c r="P2878" s="17" t="s">
        <v>802</v>
      </c>
      <c r="Q2878" s="21" t="s">
        <v>8502</v>
      </c>
      <c r="R2878" s="19" t="s">
        <v>798</v>
      </c>
      <c r="S2878" s="20" t="s">
        <v>798</v>
      </c>
      <c r="T2878" s="17" t="s">
        <v>798</v>
      </c>
      <c r="U2878" s="20" t="s">
        <v>798</v>
      </c>
      <c r="V2878" s="26" t="s">
        <v>798</v>
      </c>
      <c r="W2878" s="20" t="s">
        <v>798</v>
      </c>
      <c r="X2878" s="26" t="s">
        <v>798</v>
      </c>
      <c r="Y2878" s="20" t="s">
        <v>798</v>
      </c>
      <c r="Z2878" s="69" t="s">
        <v>9486</v>
      </c>
      <c r="AA2878" s="72" t="s">
        <v>9476</v>
      </c>
      <c r="AB2878" s="73" t="s">
        <v>9486</v>
      </c>
      <c r="AC2878" s="74" t="s">
        <v>9566</v>
      </c>
      <c r="AD2878" s="73" t="s">
        <v>9578</v>
      </c>
      <c r="AE2878" s="74" t="s">
        <v>9579</v>
      </c>
    </row>
    <row r="2879" spans="1:31" ht="8.65" customHeight="1" x14ac:dyDescent="0.2">
      <c r="A2879" s="76">
        <v>2879</v>
      </c>
      <c r="B2879" s="67" t="str">
        <f>MID(C2879, FIND("Ifc.", C2879) + 4, 4) &amp; "_" &amp; TEXT(COUNTIF($C$2:C2879, C2879),"0000")</f>
        <v>Enti_0012</v>
      </c>
      <c r="C2879" s="25" t="s">
        <v>874</v>
      </c>
      <c r="D2879" s="69" t="s">
        <v>9453</v>
      </c>
      <c r="E2879" s="70" t="s">
        <v>9457</v>
      </c>
      <c r="F2879" s="26" t="s">
        <v>798</v>
      </c>
      <c r="G2879" s="15" t="s">
        <v>798</v>
      </c>
      <c r="H2879" s="14" t="s">
        <v>798</v>
      </c>
      <c r="I2879" s="15" t="s">
        <v>798</v>
      </c>
      <c r="J2879" s="12" t="s">
        <v>9438</v>
      </c>
      <c r="K2879" s="16" t="s">
        <v>2951</v>
      </c>
      <c r="L2879" s="12" t="s">
        <v>800</v>
      </c>
      <c r="M2879" s="16" t="s">
        <v>3918</v>
      </c>
      <c r="N2879" s="19" t="s">
        <v>798</v>
      </c>
      <c r="O2879" s="20" t="s">
        <v>798</v>
      </c>
      <c r="P2879" s="17" t="s">
        <v>802</v>
      </c>
      <c r="Q2879" s="21" t="s">
        <v>8503</v>
      </c>
      <c r="R2879" s="19" t="s">
        <v>798</v>
      </c>
      <c r="S2879" s="20" t="s">
        <v>798</v>
      </c>
      <c r="T2879" s="17" t="s">
        <v>798</v>
      </c>
      <c r="U2879" s="20" t="s">
        <v>798</v>
      </c>
      <c r="V2879" s="26" t="s">
        <v>798</v>
      </c>
      <c r="W2879" s="20" t="s">
        <v>798</v>
      </c>
      <c r="X2879" s="26" t="s">
        <v>798</v>
      </c>
      <c r="Y2879" s="20" t="s">
        <v>798</v>
      </c>
      <c r="Z2879" s="69" t="s">
        <v>9486</v>
      </c>
      <c r="AA2879" s="72" t="s">
        <v>9476</v>
      </c>
      <c r="AB2879" s="73" t="s">
        <v>9486</v>
      </c>
      <c r="AC2879" s="74" t="s">
        <v>9566</v>
      </c>
      <c r="AD2879" s="73" t="s">
        <v>9578</v>
      </c>
      <c r="AE2879" s="74" t="s">
        <v>9579</v>
      </c>
    </row>
    <row r="2880" spans="1:31" ht="8.65" customHeight="1" x14ac:dyDescent="0.2">
      <c r="A2880" s="76">
        <v>2880</v>
      </c>
      <c r="B2880" s="67" t="str">
        <f>MID(C2880, FIND("Ifc.", C2880) + 4, 4) &amp; "_" &amp; TEXT(COUNTIF($C$2:C2880, C2880),"0000")</f>
        <v>Enti_0013</v>
      </c>
      <c r="C2880" s="25" t="s">
        <v>874</v>
      </c>
      <c r="D2880" s="69" t="s">
        <v>9453</v>
      </c>
      <c r="E2880" s="70" t="s">
        <v>9457</v>
      </c>
      <c r="F2880" s="26" t="s">
        <v>798</v>
      </c>
      <c r="G2880" s="15" t="s">
        <v>798</v>
      </c>
      <c r="H2880" s="14" t="s">
        <v>798</v>
      </c>
      <c r="I2880" s="15" t="s">
        <v>798</v>
      </c>
      <c r="J2880" s="12" t="s">
        <v>9438</v>
      </c>
      <c r="K2880" s="16" t="s">
        <v>2952</v>
      </c>
      <c r="L2880" s="12" t="s">
        <v>800</v>
      </c>
      <c r="M2880" s="16" t="s">
        <v>3919</v>
      </c>
      <c r="N2880" s="19" t="s">
        <v>798</v>
      </c>
      <c r="O2880" s="20" t="s">
        <v>798</v>
      </c>
      <c r="P2880" s="17" t="s">
        <v>802</v>
      </c>
      <c r="Q2880" s="21" t="s">
        <v>8504</v>
      </c>
      <c r="R2880" s="19" t="s">
        <v>798</v>
      </c>
      <c r="S2880" s="20" t="s">
        <v>798</v>
      </c>
      <c r="T2880" s="17" t="s">
        <v>798</v>
      </c>
      <c r="U2880" s="20" t="s">
        <v>798</v>
      </c>
      <c r="V2880" s="26" t="s">
        <v>798</v>
      </c>
      <c r="W2880" s="20" t="s">
        <v>798</v>
      </c>
      <c r="X2880" s="26" t="s">
        <v>798</v>
      </c>
      <c r="Y2880" s="20" t="s">
        <v>798</v>
      </c>
      <c r="Z2880" s="69" t="s">
        <v>9486</v>
      </c>
      <c r="AA2880" s="72" t="s">
        <v>9476</v>
      </c>
      <c r="AB2880" s="73" t="s">
        <v>9486</v>
      </c>
      <c r="AC2880" s="74" t="s">
        <v>9566</v>
      </c>
      <c r="AD2880" s="73" t="s">
        <v>9578</v>
      </c>
      <c r="AE2880" s="74" t="s">
        <v>9579</v>
      </c>
    </row>
    <row r="2881" spans="1:31" ht="8.65" customHeight="1" x14ac:dyDescent="0.2">
      <c r="A2881" s="76">
        <v>2881</v>
      </c>
      <c r="B2881" s="67" t="str">
        <f>MID(C2881, FIND("Ifc.", C2881) + 4, 4) &amp; "_" &amp; TEXT(COUNTIF($C$2:C2881, C2881),"0000")</f>
        <v>Enti_0014</v>
      </c>
      <c r="C2881" s="25" t="s">
        <v>874</v>
      </c>
      <c r="D2881" s="69" t="s">
        <v>9453</v>
      </c>
      <c r="E2881" s="70" t="s">
        <v>9457</v>
      </c>
      <c r="F2881" s="26" t="s">
        <v>798</v>
      </c>
      <c r="G2881" s="15" t="s">
        <v>798</v>
      </c>
      <c r="H2881" s="14" t="s">
        <v>798</v>
      </c>
      <c r="I2881" s="15" t="s">
        <v>798</v>
      </c>
      <c r="J2881" s="12" t="s">
        <v>9438</v>
      </c>
      <c r="K2881" s="16" t="s">
        <v>2953</v>
      </c>
      <c r="L2881" s="12" t="s">
        <v>800</v>
      </c>
      <c r="M2881" s="16" t="s">
        <v>3920</v>
      </c>
      <c r="N2881" s="19" t="s">
        <v>798</v>
      </c>
      <c r="O2881" s="20" t="s">
        <v>798</v>
      </c>
      <c r="P2881" s="17" t="s">
        <v>802</v>
      </c>
      <c r="Q2881" s="21" t="s">
        <v>8505</v>
      </c>
      <c r="R2881" s="19" t="s">
        <v>798</v>
      </c>
      <c r="S2881" s="20" t="s">
        <v>798</v>
      </c>
      <c r="T2881" s="17" t="s">
        <v>798</v>
      </c>
      <c r="U2881" s="20" t="s">
        <v>798</v>
      </c>
      <c r="V2881" s="26" t="s">
        <v>798</v>
      </c>
      <c r="W2881" s="20" t="s">
        <v>798</v>
      </c>
      <c r="X2881" s="26" t="s">
        <v>798</v>
      </c>
      <c r="Y2881" s="20" t="s">
        <v>798</v>
      </c>
      <c r="Z2881" s="69" t="s">
        <v>9486</v>
      </c>
      <c r="AA2881" s="72" t="s">
        <v>9476</v>
      </c>
      <c r="AB2881" s="73" t="s">
        <v>9486</v>
      </c>
      <c r="AC2881" s="74" t="s">
        <v>9566</v>
      </c>
      <c r="AD2881" s="73" t="s">
        <v>9578</v>
      </c>
      <c r="AE2881" s="74" t="s">
        <v>9579</v>
      </c>
    </row>
    <row r="2882" spans="1:31" ht="8.65" customHeight="1" x14ac:dyDescent="0.2">
      <c r="A2882" s="76">
        <v>2882</v>
      </c>
      <c r="B2882" s="67" t="str">
        <f>MID(C2882, FIND("Ifc.", C2882) + 4, 4) &amp; "_" &amp; TEXT(COUNTIF($C$2:C2882, C2882),"0000")</f>
        <v>Enti_0015</v>
      </c>
      <c r="C2882" s="25" t="s">
        <v>874</v>
      </c>
      <c r="D2882" s="69" t="s">
        <v>9453</v>
      </c>
      <c r="E2882" s="70" t="s">
        <v>9457</v>
      </c>
      <c r="F2882" s="26" t="s">
        <v>798</v>
      </c>
      <c r="G2882" s="15" t="s">
        <v>798</v>
      </c>
      <c r="H2882" s="14" t="s">
        <v>798</v>
      </c>
      <c r="I2882" s="15" t="s">
        <v>798</v>
      </c>
      <c r="J2882" s="12" t="s">
        <v>9438</v>
      </c>
      <c r="K2882" s="16" t="s">
        <v>2954</v>
      </c>
      <c r="L2882" s="12" t="s">
        <v>800</v>
      </c>
      <c r="M2882" s="16" t="s">
        <v>3921</v>
      </c>
      <c r="N2882" s="19" t="s">
        <v>798</v>
      </c>
      <c r="O2882" s="20" t="s">
        <v>798</v>
      </c>
      <c r="P2882" s="17" t="s">
        <v>802</v>
      </c>
      <c r="Q2882" s="21" t="s">
        <v>8506</v>
      </c>
      <c r="R2882" s="19" t="s">
        <v>798</v>
      </c>
      <c r="S2882" s="20" t="s">
        <v>798</v>
      </c>
      <c r="T2882" s="17" t="s">
        <v>798</v>
      </c>
      <c r="U2882" s="20" t="s">
        <v>798</v>
      </c>
      <c r="V2882" s="26" t="s">
        <v>798</v>
      </c>
      <c r="W2882" s="20" t="s">
        <v>798</v>
      </c>
      <c r="X2882" s="26" t="s">
        <v>798</v>
      </c>
      <c r="Y2882" s="20" t="s">
        <v>798</v>
      </c>
      <c r="Z2882" s="69" t="s">
        <v>9486</v>
      </c>
      <c r="AA2882" s="72" t="s">
        <v>9476</v>
      </c>
      <c r="AB2882" s="73" t="s">
        <v>9486</v>
      </c>
      <c r="AC2882" s="74" t="s">
        <v>9566</v>
      </c>
      <c r="AD2882" s="73" t="s">
        <v>9578</v>
      </c>
      <c r="AE2882" s="74" t="s">
        <v>9579</v>
      </c>
    </row>
    <row r="2883" spans="1:31" ht="8.65" customHeight="1" x14ac:dyDescent="0.2">
      <c r="A2883" s="76">
        <v>2883</v>
      </c>
      <c r="B2883" s="67" t="str">
        <f>MID(C2883, FIND("Ifc.", C2883) + 4, 4) &amp; "_" &amp; TEXT(COUNTIF($C$2:C2883, C2883),"0000")</f>
        <v>Enti_0016</v>
      </c>
      <c r="C2883" s="25" t="s">
        <v>874</v>
      </c>
      <c r="D2883" s="69" t="s">
        <v>9453</v>
      </c>
      <c r="E2883" s="70" t="s">
        <v>9457</v>
      </c>
      <c r="F2883" s="26" t="s">
        <v>798</v>
      </c>
      <c r="G2883" s="15" t="s">
        <v>798</v>
      </c>
      <c r="H2883" s="14" t="s">
        <v>798</v>
      </c>
      <c r="I2883" s="15" t="s">
        <v>798</v>
      </c>
      <c r="J2883" s="12" t="s">
        <v>9438</v>
      </c>
      <c r="K2883" s="16" t="s">
        <v>2955</v>
      </c>
      <c r="L2883" s="12" t="s">
        <v>800</v>
      </c>
      <c r="M2883" s="16" t="s">
        <v>3922</v>
      </c>
      <c r="N2883" s="19" t="s">
        <v>798</v>
      </c>
      <c r="O2883" s="20" t="s">
        <v>798</v>
      </c>
      <c r="P2883" s="17" t="s">
        <v>802</v>
      </c>
      <c r="Q2883" s="21" t="s">
        <v>8507</v>
      </c>
      <c r="R2883" s="19" t="s">
        <v>798</v>
      </c>
      <c r="S2883" s="20" t="s">
        <v>798</v>
      </c>
      <c r="T2883" s="17" t="s">
        <v>798</v>
      </c>
      <c r="U2883" s="20" t="s">
        <v>798</v>
      </c>
      <c r="V2883" s="26" t="s">
        <v>798</v>
      </c>
      <c r="W2883" s="20" t="s">
        <v>798</v>
      </c>
      <c r="X2883" s="26" t="s">
        <v>798</v>
      </c>
      <c r="Y2883" s="20" t="s">
        <v>798</v>
      </c>
      <c r="Z2883" s="69" t="s">
        <v>9486</v>
      </c>
      <c r="AA2883" s="72" t="s">
        <v>9476</v>
      </c>
      <c r="AB2883" s="73" t="s">
        <v>9486</v>
      </c>
      <c r="AC2883" s="74" t="s">
        <v>9566</v>
      </c>
      <c r="AD2883" s="73" t="s">
        <v>9578</v>
      </c>
      <c r="AE2883" s="74" t="s">
        <v>9579</v>
      </c>
    </row>
    <row r="2884" spans="1:31" ht="8.65" customHeight="1" x14ac:dyDescent="0.2">
      <c r="A2884" s="76">
        <v>2884</v>
      </c>
      <c r="B2884" s="67" t="str">
        <f>MID(C2884, FIND("Ifc.", C2884) + 4, 4) &amp; "_" &amp; TEXT(COUNTIF($C$2:C2884, C2884),"0000")</f>
        <v>Enti_0017</v>
      </c>
      <c r="C2884" s="25" t="s">
        <v>874</v>
      </c>
      <c r="D2884" s="69" t="s">
        <v>9453</v>
      </c>
      <c r="E2884" s="70" t="s">
        <v>9457</v>
      </c>
      <c r="F2884" s="26" t="s">
        <v>798</v>
      </c>
      <c r="G2884" s="15" t="s">
        <v>798</v>
      </c>
      <c r="H2884" s="14" t="s">
        <v>798</v>
      </c>
      <c r="I2884" s="15" t="s">
        <v>798</v>
      </c>
      <c r="J2884" s="12" t="s">
        <v>9438</v>
      </c>
      <c r="K2884" s="16" t="s">
        <v>2956</v>
      </c>
      <c r="L2884" s="12" t="s">
        <v>800</v>
      </c>
      <c r="M2884" s="16" t="s">
        <v>3923</v>
      </c>
      <c r="N2884" s="19" t="s">
        <v>798</v>
      </c>
      <c r="O2884" s="20" t="s">
        <v>798</v>
      </c>
      <c r="P2884" s="17" t="s">
        <v>802</v>
      </c>
      <c r="Q2884" s="21" t="s">
        <v>8508</v>
      </c>
      <c r="R2884" s="19" t="s">
        <v>798</v>
      </c>
      <c r="S2884" s="20" t="s">
        <v>798</v>
      </c>
      <c r="T2884" s="17" t="s">
        <v>798</v>
      </c>
      <c r="U2884" s="20" t="s">
        <v>798</v>
      </c>
      <c r="V2884" s="26" t="s">
        <v>798</v>
      </c>
      <c r="W2884" s="20" t="s">
        <v>798</v>
      </c>
      <c r="X2884" s="26" t="s">
        <v>798</v>
      </c>
      <c r="Y2884" s="20" t="s">
        <v>798</v>
      </c>
      <c r="Z2884" s="69" t="s">
        <v>9486</v>
      </c>
      <c r="AA2884" s="72" t="s">
        <v>9476</v>
      </c>
      <c r="AB2884" s="73" t="s">
        <v>9486</v>
      </c>
      <c r="AC2884" s="74" t="s">
        <v>9566</v>
      </c>
      <c r="AD2884" s="73" t="s">
        <v>9578</v>
      </c>
      <c r="AE2884" s="74" t="s">
        <v>9579</v>
      </c>
    </row>
    <row r="2885" spans="1:31" ht="8.65" customHeight="1" x14ac:dyDescent="0.2">
      <c r="A2885" s="76">
        <v>2885</v>
      </c>
      <c r="B2885" s="67" t="str">
        <f>MID(C2885, FIND("Ifc.", C2885) + 4, 4) &amp; "_" &amp; TEXT(COUNTIF($C$2:C2885, C2885),"0000")</f>
        <v>Enti_0018</v>
      </c>
      <c r="C2885" s="25" t="s">
        <v>874</v>
      </c>
      <c r="D2885" s="69" t="s">
        <v>9453</v>
      </c>
      <c r="E2885" s="70" t="s">
        <v>9457</v>
      </c>
      <c r="F2885" s="26" t="s">
        <v>798</v>
      </c>
      <c r="G2885" s="15" t="s">
        <v>798</v>
      </c>
      <c r="H2885" s="14" t="s">
        <v>798</v>
      </c>
      <c r="I2885" s="15" t="s">
        <v>798</v>
      </c>
      <c r="J2885" s="12" t="s">
        <v>9438</v>
      </c>
      <c r="K2885" s="16" t="s">
        <v>2957</v>
      </c>
      <c r="L2885" s="12" t="s">
        <v>800</v>
      </c>
      <c r="M2885" s="16" t="s">
        <v>3924</v>
      </c>
      <c r="N2885" s="19" t="s">
        <v>798</v>
      </c>
      <c r="O2885" s="20" t="s">
        <v>798</v>
      </c>
      <c r="P2885" s="17" t="s">
        <v>802</v>
      </c>
      <c r="Q2885" s="21" t="s">
        <v>8509</v>
      </c>
      <c r="R2885" s="19" t="s">
        <v>798</v>
      </c>
      <c r="S2885" s="20" t="s">
        <v>798</v>
      </c>
      <c r="T2885" s="17" t="s">
        <v>798</v>
      </c>
      <c r="U2885" s="20" t="s">
        <v>798</v>
      </c>
      <c r="V2885" s="26" t="s">
        <v>798</v>
      </c>
      <c r="W2885" s="20" t="s">
        <v>798</v>
      </c>
      <c r="X2885" s="26" t="s">
        <v>798</v>
      </c>
      <c r="Y2885" s="20" t="s">
        <v>798</v>
      </c>
      <c r="Z2885" s="69" t="s">
        <v>9486</v>
      </c>
      <c r="AA2885" s="72" t="s">
        <v>9476</v>
      </c>
      <c r="AB2885" s="73" t="s">
        <v>9486</v>
      </c>
      <c r="AC2885" s="74" t="s">
        <v>9566</v>
      </c>
      <c r="AD2885" s="73" t="s">
        <v>9578</v>
      </c>
      <c r="AE2885" s="74" t="s">
        <v>9579</v>
      </c>
    </row>
    <row r="2886" spans="1:31" ht="8.65" customHeight="1" x14ac:dyDescent="0.2">
      <c r="A2886" s="76">
        <v>2886</v>
      </c>
      <c r="B2886" s="67" t="str">
        <f>MID(C2886, FIND("Ifc.", C2886) + 4, 4) &amp; "_" &amp; TEXT(COUNTIF($C$2:C2886, C2886),"0000")</f>
        <v>Enti_0019</v>
      </c>
      <c r="C2886" s="25" t="s">
        <v>874</v>
      </c>
      <c r="D2886" s="69" t="s">
        <v>9453</v>
      </c>
      <c r="E2886" s="70" t="s">
        <v>9457</v>
      </c>
      <c r="F2886" s="26" t="s">
        <v>798</v>
      </c>
      <c r="G2886" s="15" t="s">
        <v>798</v>
      </c>
      <c r="H2886" s="14" t="s">
        <v>798</v>
      </c>
      <c r="I2886" s="15" t="s">
        <v>798</v>
      </c>
      <c r="J2886" s="12" t="s">
        <v>9438</v>
      </c>
      <c r="K2886" s="16" t="s">
        <v>2958</v>
      </c>
      <c r="L2886" s="12" t="s">
        <v>800</v>
      </c>
      <c r="M2886" s="16" t="s">
        <v>3925</v>
      </c>
      <c r="N2886" s="19" t="s">
        <v>798</v>
      </c>
      <c r="O2886" s="20" t="s">
        <v>798</v>
      </c>
      <c r="P2886" s="17" t="s">
        <v>802</v>
      </c>
      <c r="Q2886" s="21" t="s">
        <v>8510</v>
      </c>
      <c r="R2886" s="19" t="s">
        <v>798</v>
      </c>
      <c r="S2886" s="20" t="s">
        <v>798</v>
      </c>
      <c r="T2886" s="17" t="s">
        <v>798</v>
      </c>
      <c r="U2886" s="20" t="s">
        <v>798</v>
      </c>
      <c r="V2886" s="26" t="s">
        <v>798</v>
      </c>
      <c r="W2886" s="20" t="s">
        <v>798</v>
      </c>
      <c r="X2886" s="26" t="s">
        <v>798</v>
      </c>
      <c r="Y2886" s="20" t="s">
        <v>798</v>
      </c>
      <c r="Z2886" s="69" t="s">
        <v>9486</v>
      </c>
      <c r="AA2886" s="72" t="s">
        <v>9476</v>
      </c>
      <c r="AB2886" s="73" t="s">
        <v>9486</v>
      </c>
      <c r="AC2886" s="74" t="s">
        <v>9566</v>
      </c>
      <c r="AD2886" s="73" t="s">
        <v>9578</v>
      </c>
      <c r="AE2886" s="74" t="s">
        <v>9579</v>
      </c>
    </row>
    <row r="2887" spans="1:31" ht="8.65" customHeight="1" x14ac:dyDescent="0.2">
      <c r="A2887" s="76">
        <v>2887</v>
      </c>
      <c r="B2887" s="67" t="str">
        <f>MID(C2887, FIND("Ifc.", C2887) + 4, 4) &amp; "_" &amp; TEXT(COUNTIF($C$2:C2887, C2887),"0000")</f>
        <v>Enti_0020</v>
      </c>
      <c r="C2887" s="25" t="s">
        <v>874</v>
      </c>
      <c r="D2887" s="69" t="s">
        <v>9453</v>
      </c>
      <c r="E2887" s="70" t="s">
        <v>9457</v>
      </c>
      <c r="F2887" s="26" t="s">
        <v>798</v>
      </c>
      <c r="G2887" s="15" t="s">
        <v>798</v>
      </c>
      <c r="H2887" s="14" t="s">
        <v>798</v>
      </c>
      <c r="I2887" s="15" t="s">
        <v>798</v>
      </c>
      <c r="J2887" s="12" t="s">
        <v>9438</v>
      </c>
      <c r="K2887" s="16" t="s">
        <v>2959</v>
      </c>
      <c r="L2887" s="12" t="s">
        <v>800</v>
      </c>
      <c r="M2887" s="16" t="s">
        <v>3926</v>
      </c>
      <c r="N2887" s="19" t="s">
        <v>798</v>
      </c>
      <c r="O2887" s="20" t="s">
        <v>798</v>
      </c>
      <c r="P2887" s="17" t="s">
        <v>802</v>
      </c>
      <c r="Q2887" s="21" t="s">
        <v>8511</v>
      </c>
      <c r="R2887" s="19" t="s">
        <v>798</v>
      </c>
      <c r="S2887" s="20" t="s">
        <v>798</v>
      </c>
      <c r="T2887" s="17" t="s">
        <v>798</v>
      </c>
      <c r="U2887" s="20" t="s">
        <v>798</v>
      </c>
      <c r="V2887" s="26" t="s">
        <v>798</v>
      </c>
      <c r="W2887" s="20" t="s">
        <v>798</v>
      </c>
      <c r="X2887" s="26" t="s">
        <v>798</v>
      </c>
      <c r="Y2887" s="20" t="s">
        <v>798</v>
      </c>
      <c r="Z2887" s="69" t="s">
        <v>9486</v>
      </c>
      <c r="AA2887" s="72" t="s">
        <v>9476</v>
      </c>
      <c r="AB2887" s="73" t="s">
        <v>9486</v>
      </c>
      <c r="AC2887" s="74" t="s">
        <v>9566</v>
      </c>
      <c r="AD2887" s="73" t="s">
        <v>9578</v>
      </c>
      <c r="AE2887" s="74" t="s">
        <v>9579</v>
      </c>
    </row>
    <row r="2888" spans="1:31" ht="8.65" customHeight="1" x14ac:dyDescent="0.2">
      <c r="A2888" s="76">
        <v>2888</v>
      </c>
      <c r="B2888" s="67" t="str">
        <f>MID(C2888, FIND("Ifc.", C2888) + 4, 4) &amp; "_" &amp; TEXT(COUNTIF($C$2:C2888, C2888),"0000")</f>
        <v>Enti_0021</v>
      </c>
      <c r="C2888" s="25" t="s">
        <v>874</v>
      </c>
      <c r="D2888" s="69" t="s">
        <v>9453</v>
      </c>
      <c r="E2888" s="70" t="s">
        <v>9457</v>
      </c>
      <c r="F2888" s="26" t="s">
        <v>798</v>
      </c>
      <c r="G2888" s="15" t="s">
        <v>798</v>
      </c>
      <c r="H2888" s="14" t="s">
        <v>798</v>
      </c>
      <c r="I2888" s="15" t="s">
        <v>798</v>
      </c>
      <c r="J2888" s="12" t="s">
        <v>9438</v>
      </c>
      <c r="K2888" s="16" t="s">
        <v>2960</v>
      </c>
      <c r="L2888" s="12" t="s">
        <v>800</v>
      </c>
      <c r="M2888" s="16" t="s">
        <v>3927</v>
      </c>
      <c r="N2888" s="19" t="s">
        <v>798</v>
      </c>
      <c r="O2888" s="20" t="s">
        <v>798</v>
      </c>
      <c r="P2888" s="17" t="s">
        <v>802</v>
      </c>
      <c r="Q2888" s="21" t="s">
        <v>8512</v>
      </c>
      <c r="R2888" s="19" t="s">
        <v>798</v>
      </c>
      <c r="S2888" s="20" t="s">
        <v>798</v>
      </c>
      <c r="T2888" s="17" t="s">
        <v>798</v>
      </c>
      <c r="U2888" s="20" t="s">
        <v>798</v>
      </c>
      <c r="V2888" s="26" t="s">
        <v>798</v>
      </c>
      <c r="W2888" s="20" t="s">
        <v>798</v>
      </c>
      <c r="X2888" s="26" t="s">
        <v>798</v>
      </c>
      <c r="Y2888" s="20" t="s">
        <v>798</v>
      </c>
      <c r="Z2888" s="69" t="s">
        <v>9486</v>
      </c>
      <c r="AA2888" s="72" t="s">
        <v>9476</v>
      </c>
      <c r="AB2888" s="73" t="s">
        <v>9486</v>
      </c>
      <c r="AC2888" s="74" t="s">
        <v>9566</v>
      </c>
      <c r="AD2888" s="73" t="s">
        <v>9578</v>
      </c>
      <c r="AE2888" s="74" t="s">
        <v>9579</v>
      </c>
    </row>
    <row r="2889" spans="1:31" ht="8.65" customHeight="1" x14ac:dyDescent="0.2">
      <c r="A2889" s="76">
        <v>2889</v>
      </c>
      <c r="B2889" s="67" t="str">
        <f>MID(C2889, FIND("Ifc.", C2889) + 4, 4) &amp; "_" &amp; TEXT(COUNTIF($C$2:C2889, C2889),"0000")</f>
        <v>Enti_0022</v>
      </c>
      <c r="C2889" s="25" t="s">
        <v>874</v>
      </c>
      <c r="D2889" s="69" t="s">
        <v>9453</v>
      </c>
      <c r="E2889" s="70" t="s">
        <v>9457</v>
      </c>
      <c r="F2889" s="26" t="s">
        <v>798</v>
      </c>
      <c r="G2889" s="15" t="s">
        <v>798</v>
      </c>
      <c r="H2889" s="14" t="s">
        <v>798</v>
      </c>
      <c r="I2889" s="15" t="s">
        <v>798</v>
      </c>
      <c r="J2889" s="12" t="s">
        <v>9438</v>
      </c>
      <c r="K2889" s="16" t="s">
        <v>2961</v>
      </c>
      <c r="L2889" s="12" t="s">
        <v>800</v>
      </c>
      <c r="M2889" s="16" t="s">
        <v>3928</v>
      </c>
      <c r="N2889" s="19" t="s">
        <v>798</v>
      </c>
      <c r="O2889" s="20" t="s">
        <v>798</v>
      </c>
      <c r="P2889" s="17" t="s">
        <v>802</v>
      </c>
      <c r="Q2889" s="21" t="s">
        <v>8513</v>
      </c>
      <c r="R2889" s="19" t="s">
        <v>798</v>
      </c>
      <c r="S2889" s="20" t="s">
        <v>798</v>
      </c>
      <c r="T2889" s="17" t="s">
        <v>798</v>
      </c>
      <c r="U2889" s="20" t="s">
        <v>798</v>
      </c>
      <c r="V2889" s="26" t="s">
        <v>798</v>
      </c>
      <c r="W2889" s="20" t="s">
        <v>798</v>
      </c>
      <c r="X2889" s="26" t="s">
        <v>798</v>
      </c>
      <c r="Y2889" s="20" t="s">
        <v>798</v>
      </c>
      <c r="Z2889" s="69" t="s">
        <v>9486</v>
      </c>
      <c r="AA2889" s="72" t="s">
        <v>9476</v>
      </c>
      <c r="AB2889" s="73" t="s">
        <v>9486</v>
      </c>
      <c r="AC2889" s="74" t="s">
        <v>9566</v>
      </c>
      <c r="AD2889" s="73" t="s">
        <v>9578</v>
      </c>
      <c r="AE2889" s="74" t="s">
        <v>9579</v>
      </c>
    </row>
    <row r="2890" spans="1:31" ht="8.65" customHeight="1" x14ac:dyDescent="0.2">
      <c r="A2890" s="76">
        <v>2890</v>
      </c>
      <c r="B2890" s="67" t="str">
        <f>MID(C2890, FIND("Ifc.", C2890) + 4, 4) &amp; "_" &amp; TEXT(COUNTIF($C$2:C2890, C2890),"0000")</f>
        <v>Enti_0023</v>
      </c>
      <c r="C2890" s="25" t="s">
        <v>874</v>
      </c>
      <c r="D2890" s="69" t="s">
        <v>9453</v>
      </c>
      <c r="E2890" s="70" t="s">
        <v>9457</v>
      </c>
      <c r="F2890" s="26" t="s">
        <v>798</v>
      </c>
      <c r="G2890" s="15" t="s">
        <v>798</v>
      </c>
      <c r="H2890" s="14" t="s">
        <v>798</v>
      </c>
      <c r="I2890" s="15" t="s">
        <v>798</v>
      </c>
      <c r="J2890" s="12" t="s">
        <v>9438</v>
      </c>
      <c r="K2890" s="16" t="s">
        <v>2962</v>
      </c>
      <c r="L2890" s="12" t="s">
        <v>800</v>
      </c>
      <c r="M2890" s="16" t="s">
        <v>3929</v>
      </c>
      <c r="N2890" s="19" t="s">
        <v>798</v>
      </c>
      <c r="O2890" s="20" t="s">
        <v>798</v>
      </c>
      <c r="P2890" s="17" t="s">
        <v>802</v>
      </c>
      <c r="Q2890" s="21" t="s">
        <v>8514</v>
      </c>
      <c r="R2890" s="19" t="s">
        <v>798</v>
      </c>
      <c r="S2890" s="20" t="s">
        <v>798</v>
      </c>
      <c r="T2890" s="17" t="s">
        <v>798</v>
      </c>
      <c r="U2890" s="20" t="s">
        <v>798</v>
      </c>
      <c r="V2890" s="26" t="s">
        <v>798</v>
      </c>
      <c r="W2890" s="20" t="s">
        <v>798</v>
      </c>
      <c r="X2890" s="26" t="s">
        <v>798</v>
      </c>
      <c r="Y2890" s="20" t="s">
        <v>798</v>
      </c>
      <c r="Z2890" s="69" t="s">
        <v>9486</v>
      </c>
      <c r="AA2890" s="72" t="s">
        <v>9476</v>
      </c>
      <c r="AB2890" s="73" t="s">
        <v>9486</v>
      </c>
      <c r="AC2890" s="74" t="s">
        <v>9566</v>
      </c>
      <c r="AD2890" s="73" t="s">
        <v>9578</v>
      </c>
      <c r="AE2890" s="74" t="s">
        <v>9579</v>
      </c>
    </row>
    <row r="2891" spans="1:31" ht="8.65" customHeight="1" x14ac:dyDescent="0.2">
      <c r="A2891" s="76">
        <v>2891</v>
      </c>
      <c r="B2891" s="67" t="str">
        <f>MID(C2891, FIND("Ifc.", C2891) + 4, 4) &amp; "_" &amp; TEXT(COUNTIF($C$2:C2891, C2891),"0000")</f>
        <v>Enti_0024</v>
      </c>
      <c r="C2891" s="25" t="s">
        <v>874</v>
      </c>
      <c r="D2891" s="69" t="s">
        <v>9453</v>
      </c>
      <c r="E2891" s="70" t="s">
        <v>9457</v>
      </c>
      <c r="F2891" s="26" t="s">
        <v>798</v>
      </c>
      <c r="G2891" s="15" t="s">
        <v>798</v>
      </c>
      <c r="H2891" s="14" t="s">
        <v>798</v>
      </c>
      <c r="I2891" s="15" t="s">
        <v>798</v>
      </c>
      <c r="J2891" s="12" t="s">
        <v>9438</v>
      </c>
      <c r="K2891" s="16" t="s">
        <v>2963</v>
      </c>
      <c r="L2891" s="12" t="s">
        <v>800</v>
      </c>
      <c r="M2891" s="16" t="s">
        <v>3930</v>
      </c>
      <c r="N2891" s="19" t="s">
        <v>798</v>
      </c>
      <c r="O2891" s="20" t="s">
        <v>798</v>
      </c>
      <c r="P2891" s="17" t="s">
        <v>802</v>
      </c>
      <c r="Q2891" s="21" t="s">
        <v>8515</v>
      </c>
      <c r="R2891" s="19" t="s">
        <v>798</v>
      </c>
      <c r="S2891" s="20" t="s">
        <v>798</v>
      </c>
      <c r="T2891" s="17" t="s">
        <v>798</v>
      </c>
      <c r="U2891" s="20" t="s">
        <v>798</v>
      </c>
      <c r="V2891" s="26" t="s">
        <v>798</v>
      </c>
      <c r="W2891" s="20" t="s">
        <v>798</v>
      </c>
      <c r="X2891" s="26" t="s">
        <v>798</v>
      </c>
      <c r="Y2891" s="20" t="s">
        <v>798</v>
      </c>
      <c r="Z2891" s="69" t="s">
        <v>9486</v>
      </c>
      <c r="AA2891" s="72" t="s">
        <v>9476</v>
      </c>
      <c r="AB2891" s="73" t="s">
        <v>9486</v>
      </c>
      <c r="AC2891" s="74" t="s">
        <v>9566</v>
      </c>
      <c r="AD2891" s="73" t="s">
        <v>9578</v>
      </c>
      <c r="AE2891" s="74" t="s">
        <v>9579</v>
      </c>
    </row>
    <row r="2892" spans="1:31" ht="8.65" customHeight="1" x14ac:dyDescent="0.2">
      <c r="A2892" s="76">
        <v>2892</v>
      </c>
      <c r="B2892" s="67" t="str">
        <f>MID(C2892, FIND("Ifc.", C2892) + 4, 4) &amp; "_" &amp; TEXT(COUNTIF($C$2:C2892, C2892),"0000")</f>
        <v>Enti_0025</v>
      </c>
      <c r="C2892" s="25" t="s">
        <v>874</v>
      </c>
      <c r="D2892" s="69" t="s">
        <v>9453</v>
      </c>
      <c r="E2892" s="70" t="s">
        <v>9457</v>
      </c>
      <c r="F2892" s="26" t="s">
        <v>798</v>
      </c>
      <c r="G2892" s="15" t="s">
        <v>798</v>
      </c>
      <c r="H2892" s="14" t="s">
        <v>798</v>
      </c>
      <c r="I2892" s="15" t="s">
        <v>798</v>
      </c>
      <c r="J2892" s="12" t="s">
        <v>9438</v>
      </c>
      <c r="K2892" s="16" t="s">
        <v>2964</v>
      </c>
      <c r="L2892" s="12" t="s">
        <v>800</v>
      </c>
      <c r="M2892" s="16" t="s">
        <v>3931</v>
      </c>
      <c r="N2892" s="19" t="s">
        <v>798</v>
      </c>
      <c r="O2892" s="20" t="s">
        <v>798</v>
      </c>
      <c r="P2892" s="17" t="s">
        <v>802</v>
      </c>
      <c r="Q2892" s="21" t="s">
        <v>8516</v>
      </c>
      <c r="R2892" s="19" t="s">
        <v>798</v>
      </c>
      <c r="S2892" s="20" t="s">
        <v>798</v>
      </c>
      <c r="T2892" s="17" t="s">
        <v>798</v>
      </c>
      <c r="U2892" s="20" t="s">
        <v>798</v>
      </c>
      <c r="V2892" s="26" t="s">
        <v>798</v>
      </c>
      <c r="W2892" s="20" t="s">
        <v>798</v>
      </c>
      <c r="X2892" s="26" t="s">
        <v>798</v>
      </c>
      <c r="Y2892" s="20" t="s">
        <v>798</v>
      </c>
      <c r="Z2892" s="69" t="s">
        <v>9486</v>
      </c>
      <c r="AA2892" s="72" t="s">
        <v>9476</v>
      </c>
      <c r="AB2892" s="73" t="s">
        <v>9486</v>
      </c>
      <c r="AC2892" s="74" t="s">
        <v>9566</v>
      </c>
      <c r="AD2892" s="73" t="s">
        <v>9578</v>
      </c>
      <c r="AE2892" s="74" t="s">
        <v>9579</v>
      </c>
    </row>
    <row r="2893" spans="1:31" ht="8.65" customHeight="1" x14ac:dyDescent="0.2">
      <c r="A2893" s="76">
        <v>2893</v>
      </c>
      <c r="B2893" s="67" t="str">
        <f>MID(C2893, FIND("Ifc.", C2893) + 4, 4) &amp; "_" &amp; TEXT(COUNTIF($C$2:C2893, C2893),"0000")</f>
        <v>Enti_0026</v>
      </c>
      <c r="C2893" s="25" t="s">
        <v>874</v>
      </c>
      <c r="D2893" s="69" t="s">
        <v>9453</v>
      </c>
      <c r="E2893" s="70" t="s">
        <v>9457</v>
      </c>
      <c r="F2893" s="26" t="s">
        <v>798</v>
      </c>
      <c r="G2893" s="15" t="s">
        <v>798</v>
      </c>
      <c r="H2893" s="14" t="s">
        <v>798</v>
      </c>
      <c r="I2893" s="15" t="s">
        <v>798</v>
      </c>
      <c r="J2893" s="12" t="s">
        <v>9438</v>
      </c>
      <c r="K2893" s="16" t="s">
        <v>2965</v>
      </c>
      <c r="L2893" s="12" t="s">
        <v>800</v>
      </c>
      <c r="M2893" s="16" t="s">
        <v>3932</v>
      </c>
      <c r="N2893" s="19" t="s">
        <v>798</v>
      </c>
      <c r="O2893" s="20" t="s">
        <v>798</v>
      </c>
      <c r="P2893" s="17" t="s">
        <v>802</v>
      </c>
      <c r="Q2893" s="21" t="s">
        <v>8517</v>
      </c>
      <c r="R2893" s="19" t="s">
        <v>798</v>
      </c>
      <c r="S2893" s="20" t="s">
        <v>798</v>
      </c>
      <c r="T2893" s="17" t="s">
        <v>798</v>
      </c>
      <c r="U2893" s="20" t="s">
        <v>798</v>
      </c>
      <c r="V2893" s="26" t="s">
        <v>798</v>
      </c>
      <c r="W2893" s="20" t="s">
        <v>798</v>
      </c>
      <c r="X2893" s="26" t="s">
        <v>798</v>
      </c>
      <c r="Y2893" s="20" t="s">
        <v>798</v>
      </c>
      <c r="Z2893" s="69" t="s">
        <v>9486</v>
      </c>
      <c r="AA2893" s="72" t="s">
        <v>9476</v>
      </c>
      <c r="AB2893" s="73" t="s">
        <v>9486</v>
      </c>
      <c r="AC2893" s="74" t="s">
        <v>9566</v>
      </c>
      <c r="AD2893" s="73" t="s">
        <v>9578</v>
      </c>
      <c r="AE2893" s="74" t="s">
        <v>9579</v>
      </c>
    </row>
    <row r="2894" spans="1:31" ht="8.65" customHeight="1" x14ac:dyDescent="0.2">
      <c r="A2894" s="76">
        <v>2894</v>
      </c>
      <c r="B2894" s="67" t="str">
        <f>MID(C2894, FIND("Ifc.", C2894) + 4, 4) &amp; "_" &amp; TEXT(COUNTIF($C$2:C2894, C2894),"0000")</f>
        <v>Enti_0027</v>
      </c>
      <c r="C2894" s="25" t="s">
        <v>874</v>
      </c>
      <c r="D2894" s="69" t="s">
        <v>9453</v>
      </c>
      <c r="E2894" s="70" t="s">
        <v>9457</v>
      </c>
      <c r="F2894" s="26" t="s">
        <v>798</v>
      </c>
      <c r="G2894" s="15" t="s">
        <v>798</v>
      </c>
      <c r="H2894" s="14" t="s">
        <v>798</v>
      </c>
      <c r="I2894" s="15" t="s">
        <v>798</v>
      </c>
      <c r="J2894" s="12" t="s">
        <v>9438</v>
      </c>
      <c r="K2894" s="16" t="s">
        <v>2966</v>
      </c>
      <c r="L2894" s="12" t="s">
        <v>800</v>
      </c>
      <c r="M2894" s="16" t="s">
        <v>3933</v>
      </c>
      <c r="N2894" s="19" t="s">
        <v>798</v>
      </c>
      <c r="O2894" s="20" t="s">
        <v>798</v>
      </c>
      <c r="P2894" s="17" t="s">
        <v>802</v>
      </c>
      <c r="Q2894" s="21" t="s">
        <v>8518</v>
      </c>
      <c r="R2894" s="19" t="s">
        <v>798</v>
      </c>
      <c r="S2894" s="20" t="s">
        <v>798</v>
      </c>
      <c r="T2894" s="17" t="s">
        <v>798</v>
      </c>
      <c r="U2894" s="20" t="s">
        <v>798</v>
      </c>
      <c r="V2894" s="26" t="s">
        <v>798</v>
      </c>
      <c r="W2894" s="20" t="s">
        <v>798</v>
      </c>
      <c r="X2894" s="26" t="s">
        <v>798</v>
      </c>
      <c r="Y2894" s="20" t="s">
        <v>798</v>
      </c>
      <c r="Z2894" s="69" t="s">
        <v>9486</v>
      </c>
      <c r="AA2894" s="72" t="s">
        <v>9476</v>
      </c>
      <c r="AB2894" s="73" t="s">
        <v>9486</v>
      </c>
      <c r="AC2894" s="74" t="s">
        <v>9566</v>
      </c>
      <c r="AD2894" s="73" t="s">
        <v>9578</v>
      </c>
      <c r="AE2894" s="74" t="s">
        <v>9579</v>
      </c>
    </row>
    <row r="2895" spans="1:31" ht="8.65" customHeight="1" x14ac:dyDescent="0.2">
      <c r="A2895" s="76">
        <v>2895</v>
      </c>
      <c r="B2895" s="67" t="str">
        <f>MID(C2895, FIND("Ifc.", C2895) + 4, 4) &amp; "_" &amp; TEXT(COUNTIF($C$2:C2895, C2895),"0000")</f>
        <v>Enti_0028</v>
      </c>
      <c r="C2895" s="25" t="s">
        <v>874</v>
      </c>
      <c r="D2895" s="69" t="s">
        <v>9453</v>
      </c>
      <c r="E2895" s="70" t="s">
        <v>9457</v>
      </c>
      <c r="F2895" s="26" t="s">
        <v>798</v>
      </c>
      <c r="G2895" s="15" t="s">
        <v>798</v>
      </c>
      <c r="H2895" s="14" t="s">
        <v>798</v>
      </c>
      <c r="I2895" s="15" t="s">
        <v>798</v>
      </c>
      <c r="J2895" s="12" t="s">
        <v>9438</v>
      </c>
      <c r="K2895" s="16" t="s">
        <v>2967</v>
      </c>
      <c r="L2895" s="12" t="s">
        <v>800</v>
      </c>
      <c r="M2895" s="16" t="s">
        <v>3934</v>
      </c>
      <c r="N2895" s="19" t="s">
        <v>798</v>
      </c>
      <c r="O2895" s="20" t="s">
        <v>798</v>
      </c>
      <c r="P2895" s="17" t="s">
        <v>802</v>
      </c>
      <c r="Q2895" s="21" t="s">
        <v>8519</v>
      </c>
      <c r="R2895" s="19" t="s">
        <v>798</v>
      </c>
      <c r="S2895" s="20" t="s">
        <v>798</v>
      </c>
      <c r="T2895" s="17" t="s">
        <v>798</v>
      </c>
      <c r="U2895" s="20" t="s">
        <v>798</v>
      </c>
      <c r="V2895" s="26" t="s">
        <v>798</v>
      </c>
      <c r="W2895" s="20" t="s">
        <v>798</v>
      </c>
      <c r="X2895" s="26" t="s">
        <v>798</v>
      </c>
      <c r="Y2895" s="20" t="s">
        <v>798</v>
      </c>
      <c r="Z2895" s="69" t="s">
        <v>9486</v>
      </c>
      <c r="AA2895" s="72" t="s">
        <v>9476</v>
      </c>
      <c r="AB2895" s="73" t="s">
        <v>9486</v>
      </c>
      <c r="AC2895" s="74" t="s">
        <v>9566</v>
      </c>
      <c r="AD2895" s="73" t="s">
        <v>9578</v>
      </c>
      <c r="AE2895" s="74" t="s">
        <v>9579</v>
      </c>
    </row>
    <row r="2896" spans="1:31" ht="8.65" customHeight="1" x14ac:dyDescent="0.2">
      <c r="A2896" s="76">
        <v>2896</v>
      </c>
      <c r="B2896" s="67" t="str">
        <f>MID(C2896, FIND("Ifc.", C2896) + 4, 4) &amp; "_" &amp; TEXT(COUNTIF($C$2:C2896, C2896),"0000")</f>
        <v>Enti_0029</v>
      </c>
      <c r="C2896" s="25" t="s">
        <v>874</v>
      </c>
      <c r="D2896" s="69" t="s">
        <v>9453</v>
      </c>
      <c r="E2896" s="70" t="s">
        <v>9457</v>
      </c>
      <c r="F2896" s="26" t="s">
        <v>798</v>
      </c>
      <c r="G2896" s="15" t="s">
        <v>798</v>
      </c>
      <c r="H2896" s="14" t="s">
        <v>798</v>
      </c>
      <c r="I2896" s="15" t="s">
        <v>798</v>
      </c>
      <c r="J2896" s="12" t="s">
        <v>9438</v>
      </c>
      <c r="K2896" s="16" t="s">
        <v>2968</v>
      </c>
      <c r="L2896" s="12" t="s">
        <v>800</v>
      </c>
      <c r="M2896" s="16" t="s">
        <v>3935</v>
      </c>
      <c r="N2896" s="19" t="s">
        <v>798</v>
      </c>
      <c r="O2896" s="20" t="s">
        <v>798</v>
      </c>
      <c r="P2896" s="17" t="s">
        <v>802</v>
      </c>
      <c r="Q2896" s="21" t="s">
        <v>8520</v>
      </c>
      <c r="R2896" s="19" t="s">
        <v>798</v>
      </c>
      <c r="S2896" s="20" t="s">
        <v>798</v>
      </c>
      <c r="T2896" s="17" t="s">
        <v>798</v>
      </c>
      <c r="U2896" s="20" t="s">
        <v>798</v>
      </c>
      <c r="V2896" s="26" t="s">
        <v>798</v>
      </c>
      <c r="W2896" s="20" t="s">
        <v>798</v>
      </c>
      <c r="X2896" s="26" t="s">
        <v>798</v>
      </c>
      <c r="Y2896" s="20" t="s">
        <v>798</v>
      </c>
      <c r="Z2896" s="69" t="s">
        <v>9486</v>
      </c>
      <c r="AA2896" s="72" t="s">
        <v>9476</v>
      </c>
      <c r="AB2896" s="73" t="s">
        <v>9486</v>
      </c>
      <c r="AC2896" s="74" t="s">
        <v>9566</v>
      </c>
      <c r="AD2896" s="73" t="s">
        <v>9578</v>
      </c>
      <c r="AE2896" s="74" t="s">
        <v>9579</v>
      </c>
    </row>
    <row r="2897" spans="1:31" ht="8.65" customHeight="1" x14ac:dyDescent="0.2">
      <c r="A2897" s="76">
        <v>2897</v>
      </c>
      <c r="B2897" s="67" t="str">
        <f>MID(C2897, FIND("Ifc.", C2897) + 4, 4) &amp; "_" &amp; TEXT(COUNTIF($C$2:C2897, C2897),"0000")</f>
        <v>Enti_0030</v>
      </c>
      <c r="C2897" s="25" t="s">
        <v>874</v>
      </c>
      <c r="D2897" s="69" t="s">
        <v>9453</v>
      </c>
      <c r="E2897" s="70" t="s">
        <v>9457</v>
      </c>
      <c r="F2897" s="26" t="s">
        <v>798</v>
      </c>
      <c r="G2897" s="15" t="s">
        <v>798</v>
      </c>
      <c r="H2897" s="14" t="s">
        <v>798</v>
      </c>
      <c r="I2897" s="15" t="s">
        <v>798</v>
      </c>
      <c r="J2897" s="12" t="s">
        <v>9438</v>
      </c>
      <c r="K2897" s="16" t="s">
        <v>2969</v>
      </c>
      <c r="L2897" s="12" t="s">
        <v>800</v>
      </c>
      <c r="M2897" s="16" t="s">
        <v>3936</v>
      </c>
      <c r="N2897" s="19" t="s">
        <v>798</v>
      </c>
      <c r="O2897" s="20" t="s">
        <v>798</v>
      </c>
      <c r="P2897" s="17" t="s">
        <v>802</v>
      </c>
      <c r="Q2897" s="21" t="s">
        <v>8521</v>
      </c>
      <c r="R2897" s="19" t="s">
        <v>798</v>
      </c>
      <c r="S2897" s="20" t="s">
        <v>798</v>
      </c>
      <c r="T2897" s="17" t="s">
        <v>798</v>
      </c>
      <c r="U2897" s="20" t="s">
        <v>798</v>
      </c>
      <c r="V2897" s="26" t="s">
        <v>798</v>
      </c>
      <c r="W2897" s="20" t="s">
        <v>798</v>
      </c>
      <c r="X2897" s="26" t="s">
        <v>798</v>
      </c>
      <c r="Y2897" s="20" t="s">
        <v>798</v>
      </c>
      <c r="Z2897" s="69" t="s">
        <v>9486</v>
      </c>
      <c r="AA2897" s="72" t="s">
        <v>9476</v>
      </c>
      <c r="AB2897" s="73" t="s">
        <v>9486</v>
      </c>
      <c r="AC2897" s="74" t="s">
        <v>9566</v>
      </c>
      <c r="AD2897" s="73" t="s">
        <v>9578</v>
      </c>
      <c r="AE2897" s="74" t="s">
        <v>9579</v>
      </c>
    </row>
    <row r="2898" spans="1:31" ht="8.65" customHeight="1" x14ac:dyDescent="0.2">
      <c r="A2898" s="76">
        <v>2898</v>
      </c>
      <c r="B2898" s="67" t="str">
        <f>MID(C2898, FIND("Ifc.", C2898) + 4, 4) &amp; "_" &amp; TEXT(COUNTIF($C$2:C2898, C2898),"0000")</f>
        <v>Enti_0031</v>
      </c>
      <c r="C2898" s="25" t="s">
        <v>874</v>
      </c>
      <c r="D2898" s="69" t="s">
        <v>9453</v>
      </c>
      <c r="E2898" s="70" t="s">
        <v>9457</v>
      </c>
      <c r="F2898" s="26" t="s">
        <v>798</v>
      </c>
      <c r="G2898" s="15" t="s">
        <v>798</v>
      </c>
      <c r="H2898" s="14" t="s">
        <v>798</v>
      </c>
      <c r="I2898" s="15" t="s">
        <v>798</v>
      </c>
      <c r="J2898" s="12" t="s">
        <v>9438</v>
      </c>
      <c r="K2898" s="16" t="s">
        <v>2970</v>
      </c>
      <c r="L2898" s="12" t="s">
        <v>800</v>
      </c>
      <c r="M2898" s="16" t="s">
        <v>3937</v>
      </c>
      <c r="N2898" s="19" t="s">
        <v>798</v>
      </c>
      <c r="O2898" s="20" t="s">
        <v>798</v>
      </c>
      <c r="P2898" s="17" t="s">
        <v>802</v>
      </c>
      <c r="Q2898" s="21" t="s">
        <v>8522</v>
      </c>
      <c r="R2898" s="19" t="s">
        <v>798</v>
      </c>
      <c r="S2898" s="20" t="s">
        <v>798</v>
      </c>
      <c r="T2898" s="17" t="s">
        <v>798</v>
      </c>
      <c r="U2898" s="20" t="s">
        <v>798</v>
      </c>
      <c r="V2898" s="26" t="s">
        <v>798</v>
      </c>
      <c r="W2898" s="20" t="s">
        <v>798</v>
      </c>
      <c r="X2898" s="26" t="s">
        <v>798</v>
      </c>
      <c r="Y2898" s="20" t="s">
        <v>798</v>
      </c>
      <c r="Z2898" s="69" t="s">
        <v>9486</v>
      </c>
      <c r="AA2898" s="72" t="s">
        <v>9476</v>
      </c>
      <c r="AB2898" s="73" t="s">
        <v>9486</v>
      </c>
      <c r="AC2898" s="74" t="s">
        <v>9566</v>
      </c>
      <c r="AD2898" s="73" t="s">
        <v>9578</v>
      </c>
      <c r="AE2898" s="74" t="s">
        <v>9579</v>
      </c>
    </row>
    <row r="2899" spans="1:31" ht="8.65" customHeight="1" x14ac:dyDescent="0.2">
      <c r="A2899" s="76">
        <v>2899</v>
      </c>
      <c r="B2899" s="67" t="str">
        <f>MID(C2899, FIND("Ifc.", C2899) + 4, 4) &amp; "_" &amp; TEXT(COUNTIF($C$2:C2899, C2899),"0000")</f>
        <v>Enti_0032</v>
      </c>
      <c r="C2899" s="25" t="s">
        <v>874</v>
      </c>
      <c r="D2899" s="69" t="s">
        <v>9453</v>
      </c>
      <c r="E2899" s="70" t="s">
        <v>9457</v>
      </c>
      <c r="F2899" s="26" t="s">
        <v>798</v>
      </c>
      <c r="G2899" s="15" t="s">
        <v>798</v>
      </c>
      <c r="H2899" s="14" t="s">
        <v>798</v>
      </c>
      <c r="I2899" s="15" t="s">
        <v>798</v>
      </c>
      <c r="J2899" s="12" t="s">
        <v>9438</v>
      </c>
      <c r="K2899" s="16" t="s">
        <v>2971</v>
      </c>
      <c r="L2899" s="12" t="s">
        <v>800</v>
      </c>
      <c r="M2899" s="16" t="s">
        <v>3938</v>
      </c>
      <c r="N2899" s="19" t="s">
        <v>798</v>
      </c>
      <c r="O2899" s="20" t="s">
        <v>798</v>
      </c>
      <c r="P2899" s="17" t="s">
        <v>802</v>
      </c>
      <c r="Q2899" s="21" t="s">
        <v>8523</v>
      </c>
      <c r="R2899" s="19" t="s">
        <v>798</v>
      </c>
      <c r="S2899" s="20" t="s">
        <v>798</v>
      </c>
      <c r="T2899" s="17" t="s">
        <v>798</v>
      </c>
      <c r="U2899" s="20" t="s">
        <v>798</v>
      </c>
      <c r="V2899" s="26" t="s">
        <v>798</v>
      </c>
      <c r="W2899" s="20" t="s">
        <v>798</v>
      </c>
      <c r="X2899" s="26" t="s">
        <v>798</v>
      </c>
      <c r="Y2899" s="20" t="s">
        <v>798</v>
      </c>
      <c r="Z2899" s="69" t="s">
        <v>9486</v>
      </c>
      <c r="AA2899" s="72" t="s">
        <v>9476</v>
      </c>
      <c r="AB2899" s="73" t="s">
        <v>9486</v>
      </c>
      <c r="AC2899" s="74" t="s">
        <v>9566</v>
      </c>
      <c r="AD2899" s="73" t="s">
        <v>9578</v>
      </c>
      <c r="AE2899" s="74" t="s">
        <v>9579</v>
      </c>
    </row>
    <row r="2900" spans="1:31" ht="8.65" customHeight="1" x14ac:dyDescent="0.2">
      <c r="A2900" s="76">
        <v>2900</v>
      </c>
      <c r="B2900" s="67" t="str">
        <f>MID(C2900, FIND("Ifc.", C2900) + 4, 4) &amp; "_" &amp; TEXT(COUNTIF($C$2:C2900, C2900),"0000")</f>
        <v>Enti_0033</v>
      </c>
      <c r="C2900" s="25" t="s">
        <v>874</v>
      </c>
      <c r="D2900" s="69" t="s">
        <v>9453</v>
      </c>
      <c r="E2900" s="70" t="s">
        <v>9457</v>
      </c>
      <c r="F2900" s="26" t="s">
        <v>798</v>
      </c>
      <c r="G2900" s="15" t="s">
        <v>798</v>
      </c>
      <c r="H2900" s="14" t="s">
        <v>798</v>
      </c>
      <c r="I2900" s="15" t="s">
        <v>798</v>
      </c>
      <c r="J2900" s="12" t="s">
        <v>9438</v>
      </c>
      <c r="K2900" s="16" t="s">
        <v>2972</v>
      </c>
      <c r="L2900" s="12" t="s">
        <v>800</v>
      </c>
      <c r="M2900" s="16" t="s">
        <v>3939</v>
      </c>
      <c r="N2900" s="19" t="s">
        <v>798</v>
      </c>
      <c r="O2900" s="20" t="s">
        <v>798</v>
      </c>
      <c r="P2900" s="17" t="s">
        <v>802</v>
      </c>
      <c r="Q2900" s="21" t="s">
        <v>8524</v>
      </c>
      <c r="R2900" s="19" t="s">
        <v>798</v>
      </c>
      <c r="S2900" s="20" t="s">
        <v>798</v>
      </c>
      <c r="T2900" s="17" t="s">
        <v>798</v>
      </c>
      <c r="U2900" s="20" t="s">
        <v>798</v>
      </c>
      <c r="V2900" s="26" t="s">
        <v>798</v>
      </c>
      <c r="W2900" s="20" t="s">
        <v>798</v>
      </c>
      <c r="X2900" s="26" t="s">
        <v>798</v>
      </c>
      <c r="Y2900" s="20" t="s">
        <v>798</v>
      </c>
      <c r="Z2900" s="69" t="s">
        <v>9486</v>
      </c>
      <c r="AA2900" s="72" t="s">
        <v>9476</v>
      </c>
      <c r="AB2900" s="73" t="s">
        <v>9486</v>
      </c>
      <c r="AC2900" s="74" t="s">
        <v>9566</v>
      </c>
      <c r="AD2900" s="73" t="s">
        <v>9578</v>
      </c>
      <c r="AE2900" s="74" t="s">
        <v>9579</v>
      </c>
    </row>
    <row r="2901" spans="1:31" ht="8.65" customHeight="1" x14ac:dyDescent="0.2">
      <c r="A2901" s="76">
        <v>2901</v>
      </c>
      <c r="B2901" s="67" t="str">
        <f>MID(C2901, FIND("Ifc.", C2901) + 4, 4) &amp; "_" &amp; TEXT(COUNTIF($C$2:C2901, C2901),"0000")</f>
        <v>Enti_0034</v>
      </c>
      <c r="C2901" s="25" t="s">
        <v>874</v>
      </c>
      <c r="D2901" s="69" t="s">
        <v>9453</v>
      </c>
      <c r="E2901" s="70" t="s">
        <v>9457</v>
      </c>
      <c r="F2901" s="26" t="s">
        <v>798</v>
      </c>
      <c r="G2901" s="15" t="s">
        <v>798</v>
      </c>
      <c r="H2901" s="14" t="s">
        <v>798</v>
      </c>
      <c r="I2901" s="15" t="s">
        <v>798</v>
      </c>
      <c r="J2901" s="12" t="s">
        <v>9438</v>
      </c>
      <c r="K2901" s="16" t="s">
        <v>2973</v>
      </c>
      <c r="L2901" s="12" t="s">
        <v>800</v>
      </c>
      <c r="M2901" s="16" t="s">
        <v>3940</v>
      </c>
      <c r="N2901" s="19" t="s">
        <v>798</v>
      </c>
      <c r="O2901" s="20" t="s">
        <v>798</v>
      </c>
      <c r="P2901" s="17" t="s">
        <v>802</v>
      </c>
      <c r="Q2901" s="21" t="s">
        <v>8525</v>
      </c>
      <c r="R2901" s="19" t="s">
        <v>798</v>
      </c>
      <c r="S2901" s="20" t="s">
        <v>798</v>
      </c>
      <c r="T2901" s="17" t="s">
        <v>798</v>
      </c>
      <c r="U2901" s="20" t="s">
        <v>798</v>
      </c>
      <c r="V2901" s="26" t="s">
        <v>798</v>
      </c>
      <c r="W2901" s="20" t="s">
        <v>798</v>
      </c>
      <c r="X2901" s="26" t="s">
        <v>798</v>
      </c>
      <c r="Y2901" s="20" t="s">
        <v>798</v>
      </c>
      <c r="Z2901" s="69" t="s">
        <v>9486</v>
      </c>
      <c r="AA2901" s="72" t="s">
        <v>9476</v>
      </c>
      <c r="AB2901" s="73" t="s">
        <v>9486</v>
      </c>
      <c r="AC2901" s="74" t="s">
        <v>9566</v>
      </c>
      <c r="AD2901" s="73" t="s">
        <v>9578</v>
      </c>
      <c r="AE2901" s="74" t="s">
        <v>9579</v>
      </c>
    </row>
    <row r="2902" spans="1:31" ht="8.65" customHeight="1" x14ac:dyDescent="0.2">
      <c r="A2902" s="76">
        <v>2902</v>
      </c>
      <c r="B2902" s="67" t="str">
        <f>MID(C2902, FIND("Ifc.", C2902) + 4, 4) &amp; "_" &amp; TEXT(COUNTIF($C$2:C2902, C2902),"0000")</f>
        <v>Enti_0035</v>
      </c>
      <c r="C2902" s="25" t="s">
        <v>874</v>
      </c>
      <c r="D2902" s="69" t="s">
        <v>9453</v>
      </c>
      <c r="E2902" s="70" t="s">
        <v>9457</v>
      </c>
      <c r="F2902" s="26" t="s">
        <v>798</v>
      </c>
      <c r="G2902" s="15" t="s">
        <v>798</v>
      </c>
      <c r="H2902" s="14" t="s">
        <v>798</v>
      </c>
      <c r="I2902" s="15" t="s">
        <v>798</v>
      </c>
      <c r="J2902" s="12" t="s">
        <v>9438</v>
      </c>
      <c r="K2902" s="16" t="s">
        <v>2974</v>
      </c>
      <c r="L2902" s="12" t="s">
        <v>800</v>
      </c>
      <c r="M2902" s="16" t="s">
        <v>3941</v>
      </c>
      <c r="N2902" s="19" t="s">
        <v>798</v>
      </c>
      <c r="O2902" s="20" t="s">
        <v>798</v>
      </c>
      <c r="P2902" s="17" t="s">
        <v>802</v>
      </c>
      <c r="Q2902" s="21" t="s">
        <v>8526</v>
      </c>
      <c r="R2902" s="19" t="s">
        <v>798</v>
      </c>
      <c r="S2902" s="20" t="s">
        <v>798</v>
      </c>
      <c r="T2902" s="17" t="s">
        <v>798</v>
      </c>
      <c r="U2902" s="20" t="s">
        <v>798</v>
      </c>
      <c r="V2902" s="26" t="s">
        <v>798</v>
      </c>
      <c r="W2902" s="20" t="s">
        <v>798</v>
      </c>
      <c r="X2902" s="26" t="s">
        <v>798</v>
      </c>
      <c r="Y2902" s="20" t="s">
        <v>798</v>
      </c>
      <c r="Z2902" s="69" t="s">
        <v>9486</v>
      </c>
      <c r="AA2902" s="72" t="s">
        <v>9476</v>
      </c>
      <c r="AB2902" s="73" t="s">
        <v>9486</v>
      </c>
      <c r="AC2902" s="74" t="s">
        <v>9566</v>
      </c>
      <c r="AD2902" s="73" t="s">
        <v>9578</v>
      </c>
      <c r="AE2902" s="74" t="s">
        <v>9579</v>
      </c>
    </row>
    <row r="2903" spans="1:31" ht="8.65" customHeight="1" x14ac:dyDescent="0.2">
      <c r="A2903" s="76">
        <v>2903</v>
      </c>
      <c r="B2903" s="67" t="str">
        <f>MID(C2903, FIND("Ifc.", C2903) + 4, 4) &amp; "_" &amp; TEXT(COUNTIF($C$2:C2903, C2903),"0000")</f>
        <v>Enti_0036</v>
      </c>
      <c r="C2903" s="25" t="s">
        <v>874</v>
      </c>
      <c r="D2903" s="69" t="s">
        <v>9453</v>
      </c>
      <c r="E2903" s="70" t="s">
        <v>9457</v>
      </c>
      <c r="F2903" s="26" t="s">
        <v>798</v>
      </c>
      <c r="G2903" s="15" t="s">
        <v>798</v>
      </c>
      <c r="H2903" s="14" t="s">
        <v>798</v>
      </c>
      <c r="I2903" s="15" t="s">
        <v>798</v>
      </c>
      <c r="J2903" s="12" t="s">
        <v>9438</v>
      </c>
      <c r="K2903" s="16" t="s">
        <v>2975</v>
      </c>
      <c r="L2903" s="12" t="s">
        <v>800</v>
      </c>
      <c r="M2903" s="16" t="s">
        <v>3942</v>
      </c>
      <c r="N2903" s="19" t="s">
        <v>798</v>
      </c>
      <c r="O2903" s="20" t="s">
        <v>798</v>
      </c>
      <c r="P2903" s="17" t="s">
        <v>802</v>
      </c>
      <c r="Q2903" s="21" t="s">
        <v>8527</v>
      </c>
      <c r="R2903" s="19" t="s">
        <v>798</v>
      </c>
      <c r="S2903" s="20" t="s">
        <v>798</v>
      </c>
      <c r="T2903" s="17" t="s">
        <v>798</v>
      </c>
      <c r="U2903" s="20" t="s">
        <v>798</v>
      </c>
      <c r="V2903" s="26" t="s">
        <v>798</v>
      </c>
      <c r="W2903" s="20" t="s">
        <v>798</v>
      </c>
      <c r="X2903" s="26" t="s">
        <v>798</v>
      </c>
      <c r="Y2903" s="20" t="s">
        <v>798</v>
      </c>
      <c r="Z2903" s="69" t="s">
        <v>9486</v>
      </c>
      <c r="AA2903" s="72" t="s">
        <v>9476</v>
      </c>
      <c r="AB2903" s="73" t="s">
        <v>9486</v>
      </c>
      <c r="AC2903" s="74" t="s">
        <v>9566</v>
      </c>
      <c r="AD2903" s="73" t="s">
        <v>9578</v>
      </c>
      <c r="AE2903" s="74" t="s">
        <v>9579</v>
      </c>
    </row>
    <row r="2904" spans="1:31" ht="8.65" customHeight="1" x14ac:dyDescent="0.2">
      <c r="A2904" s="76">
        <v>2904</v>
      </c>
      <c r="B2904" s="67" t="str">
        <f>MID(C2904, FIND("Ifc.", C2904) + 4, 4) &amp; "_" &amp; TEXT(COUNTIF($C$2:C2904, C2904),"0000")</f>
        <v>Enti_0037</v>
      </c>
      <c r="C2904" s="25" t="s">
        <v>874</v>
      </c>
      <c r="D2904" s="69" t="s">
        <v>9453</v>
      </c>
      <c r="E2904" s="70" t="s">
        <v>9457</v>
      </c>
      <c r="F2904" s="26" t="s">
        <v>798</v>
      </c>
      <c r="G2904" s="15" t="s">
        <v>798</v>
      </c>
      <c r="H2904" s="14" t="s">
        <v>798</v>
      </c>
      <c r="I2904" s="15" t="s">
        <v>798</v>
      </c>
      <c r="J2904" s="12" t="s">
        <v>9438</v>
      </c>
      <c r="K2904" s="16" t="s">
        <v>2976</v>
      </c>
      <c r="L2904" s="12" t="s">
        <v>800</v>
      </c>
      <c r="M2904" s="16" t="s">
        <v>3943</v>
      </c>
      <c r="N2904" s="19" t="s">
        <v>798</v>
      </c>
      <c r="O2904" s="20" t="s">
        <v>798</v>
      </c>
      <c r="P2904" s="17" t="s">
        <v>802</v>
      </c>
      <c r="Q2904" s="21" t="s">
        <v>8528</v>
      </c>
      <c r="R2904" s="19" t="s">
        <v>798</v>
      </c>
      <c r="S2904" s="20" t="s">
        <v>798</v>
      </c>
      <c r="T2904" s="17" t="s">
        <v>798</v>
      </c>
      <c r="U2904" s="20" t="s">
        <v>798</v>
      </c>
      <c r="V2904" s="26" t="s">
        <v>798</v>
      </c>
      <c r="W2904" s="20" t="s">
        <v>798</v>
      </c>
      <c r="X2904" s="26" t="s">
        <v>798</v>
      </c>
      <c r="Y2904" s="20" t="s">
        <v>798</v>
      </c>
      <c r="Z2904" s="69" t="s">
        <v>9486</v>
      </c>
      <c r="AA2904" s="72" t="s">
        <v>9476</v>
      </c>
      <c r="AB2904" s="73" t="s">
        <v>9486</v>
      </c>
      <c r="AC2904" s="74" t="s">
        <v>9566</v>
      </c>
      <c r="AD2904" s="73" t="s">
        <v>9578</v>
      </c>
      <c r="AE2904" s="74" t="s">
        <v>9579</v>
      </c>
    </row>
    <row r="2905" spans="1:31" ht="8.65" customHeight="1" x14ac:dyDescent="0.2">
      <c r="A2905" s="76">
        <v>2905</v>
      </c>
      <c r="B2905" s="67" t="str">
        <f>MID(C2905, FIND("Ifc.", C2905) + 4, 4) &amp; "_" &amp; TEXT(COUNTIF($C$2:C2905, C2905),"0000")</f>
        <v>Enti_0038</v>
      </c>
      <c r="C2905" s="25" t="s">
        <v>874</v>
      </c>
      <c r="D2905" s="69" t="s">
        <v>9453</v>
      </c>
      <c r="E2905" s="70" t="s">
        <v>9457</v>
      </c>
      <c r="F2905" s="26" t="s">
        <v>798</v>
      </c>
      <c r="G2905" s="15" t="s">
        <v>798</v>
      </c>
      <c r="H2905" s="14" t="s">
        <v>798</v>
      </c>
      <c r="I2905" s="15" t="s">
        <v>798</v>
      </c>
      <c r="J2905" s="12" t="s">
        <v>9438</v>
      </c>
      <c r="K2905" s="16" t="s">
        <v>2977</v>
      </c>
      <c r="L2905" s="12" t="s">
        <v>800</v>
      </c>
      <c r="M2905" s="16" t="s">
        <v>3944</v>
      </c>
      <c r="N2905" s="19" t="s">
        <v>798</v>
      </c>
      <c r="O2905" s="20" t="s">
        <v>798</v>
      </c>
      <c r="P2905" s="17" t="s">
        <v>802</v>
      </c>
      <c r="Q2905" s="21" t="s">
        <v>8529</v>
      </c>
      <c r="R2905" s="19" t="s">
        <v>798</v>
      </c>
      <c r="S2905" s="20" t="s">
        <v>798</v>
      </c>
      <c r="T2905" s="17" t="s">
        <v>798</v>
      </c>
      <c r="U2905" s="20" t="s">
        <v>798</v>
      </c>
      <c r="V2905" s="26" t="s">
        <v>798</v>
      </c>
      <c r="W2905" s="20" t="s">
        <v>798</v>
      </c>
      <c r="X2905" s="26" t="s">
        <v>798</v>
      </c>
      <c r="Y2905" s="20" t="s">
        <v>798</v>
      </c>
      <c r="Z2905" s="69" t="s">
        <v>9486</v>
      </c>
      <c r="AA2905" s="72" t="s">
        <v>9476</v>
      </c>
      <c r="AB2905" s="73" t="s">
        <v>9486</v>
      </c>
      <c r="AC2905" s="74" t="s">
        <v>9566</v>
      </c>
      <c r="AD2905" s="73" t="s">
        <v>9578</v>
      </c>
      <c r="AE2905" s="74" t="s">
        <v>9579</v>
      </c>
    </row>
    <row r="2906" spans="1:31" ht="8.65" customHeight="1" x14ac:dyDescent="0.2">
      <c r="A2906" s="76">
        <v>2906</v>
      </c>
      <c r="B2906" s="67" t="str">
        <f>MID(C2906, FIND("Ifc.", C2906) + 4, 4) &amp; "_" &amp; TEXT(COUNTIF($C$2:C2906, C2906),"0000")</f>
        <v>Enti_0039</v>
      </c>
      <c r="C2906" s="25" t="s">
        <v>874</v>
      </c>
      <c r="D2906" s="69" t="s">
        <v>9453</v>
      </c>
      <c r="E2906" s="70" t="s">
        <v>9457</v>
      </c>
      <c r="F2906" s="26" t="s">
        <v>798</v>
      </c>
      <c r="G2906" s="15" t="s">
        <v>798</v>
      </c>
      <c r="H2906" s="14" t="s">
        <v>798</v>
      </c>
      <c r="I2906" s="15" t="s">
        <v>798</v>
      </c>
      <c r="J2906" s="12" t="s">
        <v>9438</v>
      </c>
      <c r="K2906" s="16" t="s">
        <v>2978</v>
      </c>
      <c r="L2906" s="12" t="s">
        <v>800</v>
      </c>
      <c r="M2906" s="16" t="s">
        <v>3945</v>
      </c>
      <c r="N2906" s="19" t="s">
        <v>798</v>
      </c>
      <c r="O2906" s="20" t="s">
        <v>798</v>
      </c>
      <c r="P2906" s="17" t="s">
        <v>802</v>
      </c>
      <c r="Q2906" s="21" t="s">
        <v>8530</v>
      </c>
      <c r="R2906" s="19" t="s">
        <v>798</v>
      </c>
      <c r="S2906" s="20" t="s">
        <v>798</v>
      </c>
      <c r="T2906" s="17" t="s">
        <v>798</v>
      </c>
      <c r="U2906" s="20" t="s">
        <v>798</v>
      </c>
      <c r="V2906" s="26" t="s">
        <v>798</v>
      </c>
      <c r="W2906" s="20" t="s">
        <v>798</v>
      </c>
      <c r="X2906" s="26" t="s">
        <v>798</v>
      </c>
      <c r="Y2906" s="20" t="s">
        <v>798</v>
      </c>
      <c r="Z2906" s="69" t="s">
        <v>9486</v>
      </c>
      <c r="AA2906" s="72" t="s">
        <v>9476</v>
      </c>
      <c r="AB2906" s="73" t="s">
        <v>9486</v>
      </c>
      <c r="AC2906" s="74" t="s">
        <v>9566</v>
      </c>
      <c r="AD2906" s="73" t="s">
        <v>9578</v>
      </c>
      <c r="AE2906" s="74" t="s">
        <v>9579</v>
      </c>
    </row>
    <row r="2907" spans="1:31" ht="8.65" customHeight="1" x14ac:dyDescent="0.2">
      <c r="A2907" s="76">
        <v>2907</v>
      </c>
      <c r="B2907" s="67" t="str">
        <f>MID(C2907, FIND("Ifc.", C2907) + 4, 4) &amp; "_" &amp; TEXT(COUNTIF($C$2:C2907, C2907),"0000")</f>
        <v>Enti_0040</v>
      </c>
      <c r="C2907" s="25" t="s">
        <v>874</v>
      </c>
      <c r="D2907" s="69" t="s">
        <v>9453</v>
      </c>
      <c r="E2907" s="70" t="s">
        <v>9457</v>
      </c>
      <c r="F2907" s="26" t="s">
        <v>798</v>
      </c>
      <c r="G2907" s="15" t="s">
        <v>798</v>
      </c>
      <c r="H2907" s="14" t="s">
        <v>798</v>
      </c>
      <c r="I2907" s="15" t="s">
        <v>798</v>
      </c>
      <c r="J2907" s="12" t="s">
        <v>9438</v>
      </c>
      <c r="K2907" s="16" t="s">
        <v>2979</v>
      </c>
      <c r="L2907" s="12" t="s">
        <v>800</v>
      </c>
      <c r="M2907" s="16" t="s">
        <v>3946</v>
      </c>
      <c r="N2907" s="19" t="s">
        <v>798</v>
      </c>
      <c r="O2907" s="20" t="s">
        <v>798</v>
      </c>
      <c r="P2907" s="17" t="s">
        <v>802</v>
      </c>
      <c r="Q2907" s="21" t="s">
        <v>8531</v>
      </c>
      <c r="R2907" s="19" t="s">
        <v>798</v>
      </c>
      <c r="S2907" s="20" t="s">
        <v>798</v>
      </c>
      <c r="T2907" s="17" t="s">
        <v>798</v>
      </c>
      <c r="U2907" s="20" t="s">
        <v>798</v>
      </c>
      <c r="V2907" s="26" t="s">
        <v>798</v>
      </c>
      <c r="W2907" s="20" t="s">
        <v>798</v>
      </c>
      <c r="X2907" s="26" t="s">
        <v>798</v>
      </c>
      <c r="Y2907" s="20" t="s">
        <v>798</v>
      </c>
      <c r="Z2907" s="69" t="s">
        <v>9486</v>
      </c>
      <c r="AA2907" s="72" t="s">
        <v>9476</v>
      </c>
      <c r="AB2907" s="73" t="s">
        <v>9486</v>
      </c>
      <c r="AC2907" s="74" t="s">
        <v>9566</v>
      </c>
      <c r="AD2907" s="73" t="s">
        <v>9578</v>
      </c>
      <c r="AE2907" s="74" t="s">
        <v>9579</v>
      </c>
    </row>
    <row r="2908" spans="1:31" ht="8.65" customHeight="1" x14ac:dyDescent="0.2">
      <c r="A2908" s="76">
        <v>2908</v>
      </c>
      <c r="B2908" s="67" t="str">
        <f>MID(C2908, FIND("Ifc.", C2908) + 4, 4) &amp; "_" &amp; TEXT(COUNTIF($C$2:C2908, C2908),"0000")</f>
        <v>Enti_0041</v>
      </c>
      <c r="C2908" s="25" t="s">
        <v>874</v>
      </c>
      <c r="D2908" s="69" t="s">
        <v>9453</v>
      </c>
      <c r="E2908" s="70" t="s">
        <v>9457</v>
      </c>
      <c r="F2908" s="26" t="s">
        <v>798</v>
      </c>
      <c r="G2908" s="15" t="s">
        <v>798</v>
      </c>
      <c r="H2908" s="14" t="s">
        <v>798</v>
      </c>
      <c r="I2908" s="15" t="s">
        <v>798</v>
      </c>
      <c r="J2908" s="12" t="s">
        <v>9438</v>
      </c>
      <c r="K2908" s="16" t="s">
        <v>2980</v>
      </c>
      <c r="L2908" s="12" t="s">
        <v>800</v>
      </c>
      <c r="M2908" s="16" t="s">
        <v>3947</v>
      </c>
      <c r="N2908" s="19" t="s">
        <v>798</v>
      </c>
      <c r="O2908" s="20" t="s">
        <v>798</v>
      </c>
      <c r="P2908" s="17" t="s">
        <v>802</v>
      </c>
      <c r="Q2908" s="21" t="s">
        <v>8532</v>
      </c>
      <c r="R2908" s="19" t="s">
        <v>798</v>
      </c>
      <c r="S2908" s="20" t="s">
        <v>798</v>
      </c>
      <c r="T2908" s="17" t="s">
        <v>798</v>
      </c>
      <c r="U2908" s="20" t="s">
        <v>798</v>
      </c>
      <c r="V2908" s="26" t="s">
        <v>798</v>
      </c>
      <c r="W2908" s="20" t="s">
        <v>798</v>
      </c>
      <c r="X2908" s="26" t="s">
        <v>798</v>
      </c>
      <c r="Y2908" s="20" t="s">
        <v>798</v>
      </c>
      <c r="Z2908" s="69" t="s">
        <v>9486</v>
      </c>
      <c r="AA2908" s="72" t="s">
        <v>9476</v>
      </c>
      <c r="AB2908" s="73" t="s">
        <v>9486</v>
      </c>
      <c r="AC2908" s="74" t="s">
        <v>9566</v>
      </c>
      <c r="AD2908" s="73" t="s">
        <v>9578</v>
      </c>
      <c r="AE2908" s="74" t="s">
        <v>9579</v>
      </c>
    </row>
    <row r="2909" spans="1:31" ht="8.65" customHeight="1" x14ac:dyDescent="0.2">
      <c r="A2909" s="76">
        <v>2909</v>
      </c>
      <c r="B2909" s="67" t="str">
        <f>MID(C2909, FIND("Ifc.", C2909) + 4, 4) &amp; "_" &amp; TEXT(COUNTIF($C$2:C2909, C2909),"0000")</f>
        <v>Enti_0042</v>
      </c>
      <c r="C2909" s="25" t="s">
        <v>874</v>
      </c>
      <c r="D2909" s="69" t="s">
        <v>9453</v>
      </c>
      <c r="E2909" s="70" t="s">
        <v>9457</v>
      </c>
      <c r="F2909" s="26" t="s">
        <v>798</v>
      </c>
      <c r="G2909" s="15" t="s">
        <v>798</v>
      </c>
      <c r="H2909" s="14" t="s">
        <v>798</v>
      </c>
      <c r="I2909" s="15" t="s">
        <v>798</v>
      </c>
      <c r="J2909" s="12" t="s">
        <v>9438</v>
      </c>
      <c r="K2909" s="16" t="s">
        <v>2981</v>
      </c>
      <c r="L2909" s="12" t="s">
        <v>800</v>
      </c>
      <c r="M2909" s="16" t="s">
        <v>3948</v>
      </c>
      <c r="N2909" s="19" t="s">
        <v>798</v>
      </c>
      <c r="O2909" s="20" t="s">
        <v>798</v>
      </c>
      <c r="P2909" s="17" t="s">
        <v>802</v>
      </c>
      <c r="Q2909" s="21" t="s">
        <v>8533</v>
      </c>
      <c r="R2909" s="19" t="s">
        <v>798</v>
      </c>
      <c r="S2909" s="20" t="s">
        <v>798</v>
      </c>
      <c r="T2909" s="17" t="s">
        <v>798</v>
      </c>
      <c r="U2909" s="20" t="s">
        <v>798</v>
      </c>
      <c r="V2909" s="26" t="s">
        <v>798</v>
      </c>
      <c r="W2909" s="20" t="s">
        <v>798</v>
      </c>
      <c r="X2909" s="26" t="s">
        <v>798</v>
      </c>
      <c r="Y2909" s="20" t="s">
        <v>798</v>
      </c>
      <c r="Z2909" s="69" t="s">
        <v>9486</v>
      </c>
      <c r="AA2909" s="72" t="s">
        <v>9476</v>
      </c>
      <c r="AB2909" s="73" t="s">
        <v>9486</v>
      </c>
      <c r="AC2909" s="74" t="s">
        <v>9566</v>
      </c>
      <c r="AD2909" s="73" t="s">
        <v>9578</v>
      </c>
      <c r="AE2909" s="74" t="s">
        <v>9579</v>
      </c>
    </row>
    <row r="2910" spans="1:31" ht="8.65" customHeight="1" x14ac:dyDescent="0.2">
      <c r="A2910" s="76">
        <v>2910</v>
      </c>
      <c r="B2910" s="67" t="str">
        <f>MID(C2910, FIND("Ifc.", C2910) + 4, 4) &amp; "_" &amp; TEXT(COUNTIF($C$2:C2910, C2910),"0000")</f>
        <v>Enti_0043</v>
      </c>
      <c r="C2910" s="25" t="s">
        <v>874</v>
      </c>
      <c r="D2910" s="69" t="s">
        <v>9453</v>
      </c>
      <c r="E2910" s="70" t="s">
        <v>9457</v>
      </c>
      <c r="F2910" s="26" t="s">
        <v>798</v>
      </c>
      <c r="G2910" s="15" t="s">
        <v>798</v>
      </c>
      <c r="H2910" s="14" t="s">
        <v>798</v>
      </c>
      <c r="I2910" s="15" t="s">
        <v>798</v>
      </c>
      <c r="J2910" s="12" t="s">
        <v>9438</v>
      </c>
      <c r="K2910" s="16" t="s">
        <v>2982</v>
      </c>
      <c r="L2910" s="12" t="s">
        <v>800</v>
      </c>
      <c r="M2910" s="16" t="s">
        <v>3949</v>
      </c>
      <c r="N2910" s="19" t="s">
        <v>798</v>
      </c>
      <c r="O2910" s="20" t="s">
        <v>798</v>
      </c>
      <c r="P2910" s="17" t="s">
        <v>802</v>
      </c>
      <c r="Q2910" s="21" t="s">
        <v>8534</v>
      </c>
      <c r="R2910" s="19" t="s">
        <v>798</v>
      </c>
      <c r="S2910" s="20" t="s">
        <v>798</v>
      </c>
      <c r="T2910" s="17" t="s">
        <v>798</v>
      </c>
      <c r="U2910" s="20" t="s">
        <v>798</v>
      </c>
      <c r="V2910" s="26" t="s">
        <v>798</v>
      </c>
      <c r="W2910" s="20" t="s">
        <v>798</v>
      </c>
      <c r="X2910" s="26" t="s">
        <v>798</v>
      </c>
      <c r="Y2910" s="20" t="s">
        <v>798</v>
      </c>
      <c r="Z2910" s="69" t="s">
        <v>9486</v>
      </c>
      <c r="AA2910" s="72" t="s">
        <v>9476</v>
      </c>
      <c r="AB2910" s="73" t="s">
        <v>9486</v>
      </c>
      <c r="AC2910" s="74" t="s">
        <v>9566</v>
      </c>
      <c r="AD2910" s="73" t="s">
        <v>9578</v>
      </c>
      <c r="AE2910" s="74" t="s">
        <v>9579</v>
      </c>
    </row>
    <row r="2911" spans="1:31" ht="8.65" customHeight="1" x14ac:dyDescent="0.2">
      <c r="A2911" s="76">
        <v>2911</v>
      </c>
      <c r="B2911" s="67" t="str">
        <f>MID(C2911, FIND("Ifc.", C2911) + 4, 4) &amp; "_" &amp; TEXT(COUNTIF($C$2:C2911, C2911),"0000")</f>
        <v>Enti_0044</v>
      </c>
      <c r="C2911" s="25" t="s">
        <v>874</v>
      </c>
      <c r="D2911" s="69" t="s">
        <v>9453</v>
      </c>
      <c r="E2911" s="70" t="s">
        <v>9457</v>
      </c>
      <c r="F2911" s="26" t="s">
        <v>798</v>
      </c>
      <c r="G2911" s="15" t="s">
        <v>798</v>
      </c>
      <c r="H2911" s="14" t="s">
        <v>798</v>
      </c>
      <c r="I2911" s="15" t="s">
        <v>798</v>
      </c>
      <c r="J2911" s="12" t="s">
        <v>9438</v>
      </c>
      <c r="K2911" s="16" t="s">
        <v>2983</v>
      </c>
      <c r="L2911" s="12" t="s">
        <v>800</v>
      </c>
      <c r="M2911" s="16" t="s">
        <v>3950</v>
      </c>
      <c r="N2911" s="19" t="s">
        <v>798</v>
      </c>
      <c r="O2911" s="20" t="s">
        <v>798</v>
      </c>
      <c r="P2911" s="17" t="s">
        <v>802</v>
      </c>
      <c r="Q2911" s="21" t="s">
        <v>8535</v>
      </c>
      <c r="R2911" s="19" t="s">
        <v>798</v>
      </c>
      <c r="S2911" s="20" t="s">
        <v>798</v>
      </c>
      <c r="T2911" s="17" t="s">
        <v>798</v>
      </c>
      <c r="U2911" s="20" t="s">
        <v>798</v>
      </c>
      <c r="V2911" s="26" t="s">
        <v>798</v>
      </c>
      <c r="W2911" s="20" t="s">
        <v>798</v>
      </c>
      <c r="X2911" s="26" t="s">
        <v>798</v>
      </c>
      <c r="Y2911" s="20" t="s">
        <v>798</v>
      </c>
      <c r="Z2911" s="69" t="s">
        <v>9486</v>
      </c>
      <c r="AA2911" s="72" t="s">
        <v>9476</v>
      </c>
      <c r="AB2911" s="73" t="s">
        <v>9486</v>
      </c>
      <c r="AC2911" s="74" t="s">
        <v>9566</v>
      </c>
      <c r="AD2911" s="73" t="s">
        <v>9578</v>
      </c>
      <c r="AE2911" s="74" t="s">
        <v>9579</v>
      </c>
    </row>
    <row r="2912" spans="1:31" ht="8.65" customHeight="1" x14ac:dyDescent="0.2">
      <c r="A2912" s="76">
        <v>2912</v>
      </c>
      <c r="B2912" s="67" t="str">
        <f>MID(C2912, FIND("Ifc.", C2912) + 4, 4) &amp; "_" &amp; TEXT(COUNTIF($C$2:C2912, C2912),"0000")</f>
        <v>Enti_0045</v>
      </c>
      <c r="C2912" s="25" t="s">
        <v>874</v>
      </c>
      <c r="D2912" s="69" t="s">
        <v>9453</v>
      </c>
      <c r="E2912" s="70" t="s">
        <v>9457</v>
      </c>
      <c r="F2912" s="26" t="s">
        <v>798</v>
      </c>
      <c r="G2912" s="15" t="s">
        <v>798</v>
      </c>
      <c r="H2912" s="14" t="s">
        <v>798</v>
      </c>
      <c r="I2912" s="15" t="s">
        <v>798</v>
      </c>
      <c r="J2912" s="12" t="s">
        <v>9438</v>
      </c>
      <c r="K2912" s="16" t="s">
        <v>2984</v>
      </c>
      <c r="L2912" s="12" t="s">
        <v>800</v>
      </c>
      <c r="M2912" s="16" t="s">
        <v>3951</v>
      </c>
      <c r="N2912" s="19" t="s">
        <v>798</v>
      </c>
      <c r="O2912" s="20" t="s">
        <v>798</v>
      </c>
      <c r="P2912" s="17" t="s">
        <v>802</v>
      </c>
      <c r="Q2912" s="21" t="s">
        <v>8536</v>
      </c>
      <c r="R2912" s="19" t="s">
        <v>798</v>
      </c>
      <c r="S2912" s="20" t="s">
        <v>798</v>
      </c>
      <c r="T2912" s="17" t="s">
        <v>798</v>
      </c>
      <c r="U2912" s="20" t="s">
        <v>798</v>
      </c>
      <c r="V2912" s="26" t="s">
        <v>798</v>
      </c>
      <c r="W2912" s="20" t="s">
        <v>798</v>
      </c>
      <c r="X2912" s="26" t="s">
        <v>798</v>
      </c>
      <c r="Y2912" s="20" t="s">
        <v>798</v>
      </c>
      <c r="Z2912" s="69" t="s">
        <v>9486</v>
      </c>
      <c r="AA2912" s="72" t="s">
        <v>9476</v>
      </c>
      <c r="AB2912" s="73" t="s">
        <v>9486</v>
      </c>
      <c r="AC2912" s="74" t="s">
        <v>9566</v>
      </c>
      <c r="AD2912" s="73" t="s">
        <v>9578</v>
      </c>
      <c r="AE2912" s="74" t="s">
        <v>9579</v>
      </c>
    </row>
    <row r="2913" spans="1:31" ht="8.65" customHeight="1" x14ac:dyDescent="0.2">
      <c r="A2913" s="76">
        <v>2913</v>
      </c>
      <c r="B2913" s="67" t="str">
        <f>MID(C2913, FIND("Ifc.", C2913) + 4, 4) &amp; "_" &amp; TEXT(COUNTIF($C$2:C2913, C2913),"0000")</f>
        <v>Enti_0046</v>
      </c>
      <c r="C2913" s="25" t="s">
        <v>874</v>
      </c>
      <c r="D2913" s="69" t="s">
        <v>9453</v>
      </c>
      <c r="E2913" s="70" t="s">
        <v>9457</v>
      </c>
      <c r="F2913" s="26" t="s">
        <v>798</v>
      </c>
      <c r="G2913" s="15" t="s">
        <v>798</v>
      </c>
      <c r="H2913" s="14" t="s">
        <v>798</v>
      </c>
      <c r="I2913" s="15" t="s">
        <v>798</v>
      </c>
      <c r="J2913" s="12" t="s">
        <v>9438</v>
      </c>
      <c r="K2913" s="16" t="s">
        <v>2985</v>
      </c>
      <c r="L2913" s="12" t="s">
        <v>800</v>
      </c>
      <c r="M2913" s="16" t="s">
        <v>3952</v>
      </c>
      <c r="N2913" s="19" t="s">
        <v>798</v>
      </c>
      <c r="O2913" s="20" t="s">
        <v>798</v>
      </c>
      <c r="P2913" s="17" t="s">
        <v>802</v>
      </c>
      <c r="Q2913" s="21" t="s">
        <v>8537</v>
      </c>
      <c r="R2913" s="19" t="s">
        <v>798</v>
      </c>
      <c r="S2913" s="20" t="s">
        <v>798</v>
      </c>
      <c r="T2913" s="17" t="s">
        <v>798</v>
      </c>
      <c r="U2913" s="20" t="s">
        <v>798</v>
      </c>
      <c r="V2913" s="26" t="s">
        <v>798</v>
      </c>
      <c r="W2913" s="20" t="s">
        <v>798</v>
      </c>
      <c r="X2913" s="26" t="s">
        <v>798</v>
      </c>
      <c r="Y2913" s="20" t="s">
        <v>798</v>
      </c>
      <c r="Z2913" s="69" t="s">
        <v>9486</v>
      </c>
      <c r="AA2913" s="72" t="s">
        <v>9476</v>
      </c>
      <c r="AB2913" s="73" t="s">
        <v>9486</v>
      </c>
      <c r="AC2913" s="74" t="s">
        <v>9566</v>
      </c>
      <c r="AD2913" s="73" t="s">
        <v>9578</v>
      </c>
      <c r="AE2913" s="74" t="s">
        <v>9579</v>
      </c>
    </row>
    <row r="2914" spans="1:31" ht="8.65" customHeight="1" x14ac:dyDescent="0.2">
      <c r="A2914" s="76">
        <v>2914</v>
      </c>
      <c r="B2914" s="67" t="str">
        <f>MID(C2914, FIND("Ifc.", C2914) + 4, 4) &amp; "_" &amp; TEXT(COUNTIF($C$2:C2914, C2914),"0000")</f>
        <v>Enti_0047</v>
      </c>
      <c r="C2914" s="25" t="s">
        <v>874</v>
      </c>
      <c r="D2914" s="69" t="s">
        <v>9453</v>
      </c>
      <c r="E2914" s="70" t="s">
        <v>9457</v>
      </c>
      <c r="F2914" s="26" t="s">
        <v>798</v>
      </c>
      <c r="G2914" s="15" t="s">
        <v>798</v>
      </c>
      <c r="H2914" s="14" t="s">
        <v>798</v>
      </c>
      <c r="I2914" s="15" t="s">
        <v>798</v>
      </c>
      <c r="J2914" s="12" t="s">
        <v>9438</v>
      </c>
      <c r="K2914" s="16" t="s">
        <v>2986</v>
      </c>
      <c r="L2914" s="12" t="s">
        <v>800</v>
      </c>
      <c r="M2914" s="16" t="s">
        <v>3953</v>
      </c>
      <c r="N2914" s="19" t="s">
        <v>798</v>
      </c>
      <c r="O2914" s="20" t="s">
        <v>798</v>
      </c>
      <c r="P2914" s="17" t="s">
        <v>802</v>
      </c>
      <c r="Q2914" s="21" t="s">
        <v>8538</v>
      </c>
      <c r="R2914" s="19" t="s">
        <v>798</v>
      </c>
      <c r="S2914" s="20" t="s">
        <v>798</v>
      </c>
      <c r="T2914" s="17" t="s">
        <v>798</v>
      </c>
      <c r="U2914" s="20" t="s">
        <v>798</v>
      </c>
      <c r="V2914" s="26" t="s">
        <v>798</v>
      </c>
      <c r="W2914" s="20" t="s">
        <v>798</v>
      </c>
      <c r="X2914" s="26" t="s">
        <v>798</v>
      </c>
      <c r="Y2914" s="20" t="s">
        <v>798</v>
      </c>
      <c r="Z2914" s="69" t="s">
        <v>9486</v>
      </c>
      <c r="AA2914" s="72" t="s">
        <v>9476</v>
      </c>
      <c r="AB2914" s="73" t="s">
        <v>9486</v>
      </c>
      <c r="AC2914" s="74" t="s">
        <v>9566</v>
      </c>
      <c r="AD2914" s="73" t="s">
        <v>9578</v>
      </c>
      <c r="AE2914" s="74" t="s">
        <v>9579</v>
      </c>
    </row>
    <row r="2915" spans="1:31" ht="8.65" customHeight="1" x14ac:dyDescent="0.2">
      <c r="A2915" s="76">
        <v>2915</v>
      </c>
      <c r="B2915" s="67" t="str">
        <f>MID(C2915, FIND("Ifc.", C2915) + 4, 4) &amp; "_" &amp; TEXT(COUNTIF($C$2:C2915, C2915),"0000")</f>
        <v>Enti_0048</v>
      </c>
      <c r="C2915" s="25" t="s">
        <v>874</v>
      </c>
      <c r="D2915" s="69" t="s">
        <v>9453</v>
      </c>
      <c r="E2915" s="70" t="s">
        <v>9457</v>
      </c>
      <c r="F2915" s="26" t="s">
        <v>798</v>
      </c>
      <c r="G2915" s="15" t="s">
        <v>798</v>
      </c>
      <c r="H2915" s="14" t="s">
        <v>798</v>
      </c>
      <c r="I2915" s="15" t="s">
        <v>798</v>
      </c>
      <c r="J2915" s="12" t="s">
        <v>9438</v>
      </c>
      <c r="K2915" s="16" t="s">
        <v>2987</v>
      </c>
      <c r="L2915" s="12" t="s">
        <v>800</v>
      </c>
      <c r="M2915" s="16" t="s">
        <v>3954</v>
      </c>
      <c r="N2915" s="19" t="s">
        <v>798</v>
      </c>
      <c r="O2915" s="20" t="s">
        <v>798</v>
      </c>
      <c r="P2915" s="17" t="s">
        <v>802</v>
      </c>
      <c r="Q2915" s="21" t="s">
        <v>8539</v>
      </c>
      <c r="R2915" s="19" t="s">
        <v>798</v>
      </c>
      <c r="S2915" s="20" t="s">
        <v>798</v>
      </c>
      <c r="T2915" s="17" t="s">
        <v>798</v>
      </c>
      <c r="U2915" s="20" t="s">
        <v>798</v>
      </c>
      <c r="V2915" s="26" t="s">
        <v>798</v>
      </c>
      <c r="W2915" s="20" t="s">
        <v>798</v>
      </c>
      <c r="X2915" s="26" t="s">
        <v>798</v>
      </c>
      <c r="Y2915" s="20" t="s">
        <v>798</v>
      </c>
      <c r="Z2915" s="69" t="s">
        <v>9486</v>
      </c>
      <c r="AA2915" s="72" t="s">
        <v>9476</v>
      </c>
      <c r="AB2915" s="73" t="s">
        <v>9486</v>
      </c>
      <c r="AC2915" s="74" t="s">
        <v>9566</v>
      </c>
      <c r="AD2915" s="73" t="s">
        <v>9578</v>
      </c>
      <c r="AE2915" s="74" t="s">
        <v>9579</v>
      </c>
    </row>
    <row r="2916" spans="1:31" ht="8.65" customHeight="1" x14ac:dyDescent="0.2">
      <c r="A2916" s="76">
        <v>2916</v>
      </c>
      <c r="B2916" s="67" t="str">
        <f>MID(C2916, FIND("Ifc.", C2916) + 4, 4) &amp; "_" &amp; TEXT(COUNTIF($C$2:C2916, C2916),"0000")</f>
        <v>Enti_0049</v>
      </c>
      <c r="C2916" s="25" t="s">
        <v>874</v>
      </c>
      <c r="D2916" s="69" t="s">
        <v>9453</v>
      </c>
      <c r="E2916" s="70" t="s">
        <v>9457</v>
      </c>
      <c r="F2916" s="26" t="s">
        <v>798</v>
      </c>
      <c r="G2916" s="15" t="s">
        <v>798</v>
      </c>
      <c r="H2916" s="14" t="s">
        <v>798</v>
      </c>
      <c r="I2916" s="15" t="s">
        <v>798</v>
      </c>
      <c r="J2916" s="12" t="s">
        <v>9438</v>
      </c>
      <c r="K2916" s="16" t="s">
        <v>2988</v>
      </c>
      <c r="L2916" s="12" t="s">
        <v>800</v>
      </c>
      <c r="M2916" s="16" t="s">
        <v>3955</v>
      </c>
      <c r="N2916" s="19" t="s">
        <v>798</v>
      </c>
      <c r="O2916" s="20" t="s">
        <v>798</v>
      </c>
      <c r="P2916" s="17" t="s">
        <v>802</v>
      </c>
      <c r="Q2916" s="21" t="s">
        <v>8540</v>
      </c>
      <c r="R2916" s="19" t="s">
        <v>798</v>
      </c>
      <c r="S2916" s="20" t="s">
        <v>798</v>
      </c>
      <c r="T2916" s="17" t="s">
        <v>798</v>
      </c>
      <c r="U2916" s="20" t="s">
        <v>798</v>
      </c>
      <c r="V2916" s="26" t="s">
        <v>798</v>
      </c>
      <c r="W2916" s="20" t="s">
        <v>798</v>
      </c>
      <c r="X2916" s="26" t="s">
        <v>798</v>
      </c>
      <c r="Y2916" s="20" t="s">
        <v>798</v>
      </c>
      <c r="Z2916" s="69" t="s">
        <v>9486</v>
      </c>
      <c r="AA2916" s="72" t="s">
        <v>9477</v>
      </c>
      <c r="AB2916" s="73" t="s">
        <v>9486</v>
      </c>
      <c r="AC2916" s="74" t="s">
        <v>9566</v>
      </c>
      <c r="AD2916" s="73" t="s">
        <v>9578</v>
      </c>
      <c r="AE2916" s="74" t="s">
        <v>9579</v>
      </c>
    </row>
    <row r="2917" spans="1:31" ht="8.65" customHeight="1" x14ac:dyDescent="0.2">
      <c r="A2917" s="76">
        <v>2917</v>
      </c>
      <c r="B2917" s="67" t="str">
        <f>MID(C2917, FIND("Ifc.", C2917) + 4, 4) &amp; "_" &amp; TEXT(COUNTIF($C$2:C2917, C2917),"0000")</f>
        <v>Enti_0050</v>
      </c>
      <c r="C2917" s="25" t="s">
        <v>874</v>
      </c>
      <c r="D2917" s="69" t="s">
        <v>9453</v>
      </c>
      <c r="E2917" s="70" t="s">
        <v>9457</v>
      </c>
      <c r="F2917" s="26" t="s">
        <v>798</v>
      </c>
      <c r="G2917" s="15" t="s">
        <v>798</v>
      </c>
      <c r="H2917" s="14" t="s">
        <v>798</v>
      </c>
      <c r="I2917" s="15" t="s">
        <v>798</v>
      </c>
      <c r="J2917" s="12" t="s">
        <v>9438</v>
      </c>
      <c r="K2917" s="16" t="s">
        <v>2989</v>
      </c>
      <c r="L2917" s="12" t="s">
        <v>800</v>
      </c>
      <c r="M2917" s="16" t="s">
        <v>3956</v>
      </c>
      <c r="N2917" s="19" t="s">
        <v>798</v>
      </c>
      <c r="O2917" s="20" t="s">
        <v>798</v>
      </c>
      <c r="P2917" s="17" t="s">
        <v>802</v>
      </c>
      <c r="Q2917" s="21" t="s">
        <v>8541</v>
      </c>
      <c r="R2917" s="19" t="s">
        <v>798</v>
      </c>
      <c r="S2917" s="20" t="s">
        <v>798</v>
      </c>
      <c r="T2917" s="17" t="s">
        <v>798</v>
      </c>
      <c r="U2917" s="20" t="s">
        <v>798</v>
      </c>
      <c r="V2917" s="26" t="s">
        <v>798</v>
      </c>
      <c r="W2917" s="20" t="s">
        <v>798</v>
      </c>
      <c r="X2917" s="26" t="s">
        <v>798</v>
      </c>
      <c r="Y2917" s="20" t="s">
        <v>798</v>
      </c>
      <c r="Z2917" s="69" t="s">
        <v>9486</v>
      </c>
      <c r="AA2917" s="72" t="s">
        <v>9476</v>
      </c>
      <c r="AB2917" s="73" t="s">
        <v>9486</v>
      </c>
      <c r="AC2917" s="74" t="s">
        <v>9566</v>
      </c>
      <c r="AD2917" s="73" t="s">
        <v>9578</v>
      </c>
      <c r="AE2917" s="74" t="s">
        <v>9579</v>
      </c>
    </row>
    <row r="2918" spans="1:31" ht="8.65" customHeight="1" x14ac:dyDescent="0.2">
      <c r="A2918" s="76">
        <v>2918</v>
      </c>
      <c r="B2918" s="67" t="str">
        <f>MID(C2918, FIND("Ifc.", C2918) + 4, 4) &amp; "_" &amp; TEXT(COUNTIF($C$2:C2918, C2918),"0000")</f>
        <v>Enti_0051</v>
      </c>
      <c r="C2918" s="25" t="s">
        <v>874</v>
      </c>
      <c r="D2918" s="69" t="s">
        <v>9453</v>
      </c>
      <c r="E2918" s="70" t="s">
        <v>9457</v>
      </c>
      <c r="F2918" s="26" t="s">
        <v>798</v>
      </c>
      <c r="G2918" s="15" t="s">
        <v>798</v>
      </c>
      <c r="H2918" s="14" t="s">
        <v>798</v>
      </c>
      <c r="I2918" s="15" t="s">
        <v>798</v>
      </c>
      <c r="J2918" s="12" t="s">
        <v>9438</v>
      </c>
      <c r="K2918" s="16" t="s">
        <v>2990</v>
      </c>
      <c r="L2918" s="12" t="s">
        <v>800</v>
      </c>
      <c r="M2918" s="16" t="s">
        <v>3957</v>
      </c>
      <c r="N2918" s="19" t="s">
        <v>798</v>
      </c>
      <c r="O2918" s="20" t="s">
        <v>798</v>
      </c>
      <c r="P2918" s="17" t="s">
        <v>802</v>
      </c>
      <c r="Q2918" s="21" t="s">
        <v>8542</v>
      </c>
      <c r="R2918" s="19" t="s">
        <v>798</v>
      </c>
      <c r="S2918" s="20" t="s">
        <v>798</v>
      </c>
      <c r="T2918" s="17" t="s">
        <v>798</v>
      </c>
      <c r="U2918" s="20" t="s">
        <v>798</v>
      </c>
      <c r="V2918" s="26" t="s">
        <v>798</v>
      </c>
      <c r="W2918" s="20" t="s">
        <v>798</v>
      </c>
      <c r="X2918" s="26" t="s">
        <v>798</v>
      </c>
      <c r="Y2918" s="20" t="s">
        <v>798</v>
      </c>
      <c r="Z2918" s="69" t="s">
        <v>9486</v>
      </c>
      <c r="AA2918" s="72" t="s">
        <v>9476</v>
      </c>
      <c r="AB2918" s="73" t="s">
        <v>9486</v>
      </c>
      <c r="AC2918" s="74" t="s">
        <v>9566</v>
      </c>
      <c r="AD2918" s="73" t="s">
        <v>9578</v>
      </c>
      <c r="AE2918" s="74" t="s">
        <v>9579</v>
      </c>
    </row>
    <row r="2919" spans="1:31" ht="8.65" customHeight="1" x14ac:dyDescent="0.2">
      <c r="A2919" s="76">
        <v>2919</v>
      </c>
      <c r="B2919" s="67" t="str">
        <f>MID(C2919, FIND("Ifc.", C2919) + 4, 4) &amp; "_" &amp; TEXT(COUNTIF($C$2:C2919, C2919),"0000")</f>
        <v>Enti_0052</v>
      </c>
      <c r="C2919" s="25" t="s">
        <v>874</v>
      </c>
      <c r="D2919" s="69" t="s">
        <v>9453</v>
      </c>
      <c r="E2919" s="70" t="s">
        <v>9457</v>
      </c>
      <c r="F2919" s="26" t="s">
        <v>798</v>
      </c>
      <c r="G2919" s="15" t="s">
        <v>798</v>
      </c>
      <c r="H2919" s="14" t="s">
        <v>798</v>
      </c>
      <c r="I2919" s="15" t="s">
        <v>798</v>
      </c>
      <c r="J2919" s="12" t="s">
        <v>9438</v>
      </c>
      <c r="K2919" s="16" t="s">
        <v>2991</v>
      </c>
      <c r="L2919" s="12" t="s">
        <v>800</v>
      </c>
      <c r="M2919" s="16" t="s">
        <v>3958</v>
      </c>
      <c r="N2919" s="19" t="s">
        <v>798</v>
      </c>
      <c r="O2919" s="20" t="s">
        <v>798</v>
      </c>
      <c r="P2919" s="17" t="s">
        <v>802</v>
      </c>
      <c r="Q2919" s="21" t="s">
        <v>8543</v>
      </c>
      <c r="R2919" s="19" t="s">
        <v>798</v>
      </c>
      <c r="S2919" s="20" t="s">
        <v>798</v>
      </c>
      <c r="T2919" s="17" t="s">
        <v>798</v>
      </c>
      <c r="U2919" s="20" t="s">
        <v>798</v>
      </c>
      <c r="V2919" s="26" t="s">
        <v>798</v>
      </c>
      <c r="W2919" s="20" t="s">
        <v>798</v>
      </c>
      <c r="X2919" s="26" t="s">
        <v>798</v>
      </c>
      <c r="Y2919" s="20" t="s">
        <v>798</v>
      </c>
      <c r="Z2919" s="69" t="s">
        <v>9486</v>
      </c>
      <c r="AA2919" s="72" t="s">
        <v>9477</v>
      </c>
      <c r="AB2919" s="73" t="s">
        <v>9486</v>
      </c>
      <c r="AC2919" s="74" t="s">
        <v>9566</v>
      </c>
      <c r="AD2919" s="73" t="s">
        <v>9578</v>
      </c>
      <c r="AE2919" s="74" t="s">
        <v>9579</v>
      </c>
    </row>
    <row r="2920" spans="1:31" ht="8.65" customHeight="1" x14ac:dyDescent="0.2">
      <c r="A2920" s="76">
        <v>2920</v>
      </c>
      <c r="B2920" s="67" t="str">
        <f>MID(C2920, FIND("Ifc.", C2920) + 4, 4) &amp; "_" &amp; TEXT(COUNTIF($C$2:C2920, C2920),"0000")</f>
        <v>Enti_0053</v>
      </c>
      <c r="C2920" s="25" t="s">
        <v>874</v>
      </c>
      <c r="D2920" s="69" t="s">
        <v>9453</v>
      </c>
      <c r="E2920" s="70" t="s">
        <v>9457</v>
      </c>
      <c r="F2920" s="26" t="s">
        <v>798</v>
      </c>
      <c r="G2920" s="15" t="s">
        <v>798</v>
      </c>
      <c r="H2920" s="14" t="s">
        <v>798</v>
      </c>
      <c r="I2920" s="15" t="s">
        <v>798</v>
      </c>
      <c r="J2920" s="12" t="s">
        <v>9438</v>
      </c>
      <c r="K2920" s="16" t="s">
        <v>2992</v>
      </c>
      <c r="L2920" s="12" t="s">
        <v>800</v>
      </c>
      <c r="M2920" s="16" t="s">
        <v>3959</v>
      </c>
      <c r="N2920" s="19" t="s">
        <v>798</v>
      </c>
      <c r="O2920" s="20" t="s">
        <v>798</v>
      </c>
      <c r="P2920" s="17" t="s">
        <v>802</v>
      </c>
      <c r="Q2920" s="21" t="s">
        <v>8544</v>
      </c>
      <c r="R2920" s="19" t="s">
        <v>798</v>
      </c>
      <c r="S2920" s="20" t="s">
        <v>798</v>
      </c>
      <c r="T2920" s="17" t="s">
        <v>798</v>
      </c>
      <c r="U2920" s="20" t="s">
        <v>798</v>
      </c>
      <c r="V2920" s="26" t="s">
        <v>798</v>
      </c>
      <c r="W2920" s="20" t="s">
        <v>798</v>
      </c>
      <c r="X2920" s="26" t="s">
        <v>798</v>
      </c>
      <c r="Y2920" s="20" t="s">
        <v>798</v>
      </c>
      <c r="Z2920" s="69" t="s">
        <v>9486</v>
      </c>
      <c r="AA2920" s="72" t="s">
        <v>9476</v>
      </c>
      <c r="AB2920" s="73" t="s">
        <v>9486</v>
      </c>
      <c r="AC2920" s="74" t="s">
        <v>9566</v>
      </c>
      <c r="AD2920" s="73" t="s">
        <v>9578</v>
      </c>
      <c r="AE2920" s="74" t="s">
        <v>9579</v>
      </c>
    </row>
    <row r="2921" spans="1:31" ht="8.65" customHeight="1" x14ac:dyDescent="0.2">
      <c r="A2921" s="76">
        <v>2921</v>
      </c>
      <c r="B2921" s="67" t="str">
        <f>MID(C2921, FIND("Ifc.", C2921) + 4, 4) &amp; "_" &amp; TEXT(COUNTIF($C$2:C2921, C2921),"0000")</f>
        <v>Enti_0054</v>
      </c>
      <c r="C2921" s="25" t="s">
        <v>874</v>
      </c>
      <c r="D2921" s="69" t="s">
        <v>9453</v>
      </c>
      <c r="E2921" s="70" t="s">
        <v>9457</v>
      </c>
      <c r="F2921" s="26" t="s">
        <v>798</v>
      </c>
      <c r="G2921" s="15" t="s">
        <v>798</v>
      </c>
      <c r="H2921" s="14" t="s">
        <v>798</v>
      </c>
      <c r="I2921" s="15" t="s">
        <v>798</v>
      </c>
      <c r="J2921" s="12" t="s">
        <v>9438</v>
      </c>
      <c r="K2921" s="16" t="s">
        <v>2993</v>
      </c>
      <c r="L2921" s="12" t="s">
        <v>800</v>
      </c>
      <c r="M2921" s="16" t="s">
        <v>3960</v>
      </c>
      <c r="N2921" s="19" t="s">
        <v>798</v>
      </c>
      <c r="O2921" s="20" t="s">
        <v>798</v>
      </c>
      <c r="P2921" s="17" t="s">
        <v>802</v>
      </c>
      <c r="Q2921" s="21" t="s">
        <v>8545</v>
      </c>
      <c r="R2921" s="19" t="s">
        <v>798</v>
      </c>
      <c r="S2921" s="20" t="s">
        <v>798</v>
      </c>
      <c r="T2921" s="17" t="s">
        <v>798</v>
      </c>
      <c r="U2921" s="20" t="s">
        <v>798</v>
      </c>
      <c r="V2921" s="26" t="s">
        <v>798</v>
      </c>
      <c r="W2921" s="20" t="s">
        <v>798</v>
      </c>
      <c r="X2921" s="26" t="s">
        <v>798</v>
      </c>
      <c r="Y2921" s="20" t="s">
        <v>798</v>
      </c>
      <c r="Z2921" s="69" t="s">
        <v>9486</v>
      </c>
      <c r="AA2921" s="72" t="s">
        <v>9477</v>
      </c>
      <c r="AB2921" s="73" t="s">
        <v>9486</v>
      </c>
      <c r="AC2921" s="74" t="s">
        <v>9566</v>
      </c>
      <c r="AD2921" s="73" t="s">
        <v>9578</v>
      </c>
      <c r="AE2921" s="74" t="s">
        <v>9579</v>
      </c>
    </row>
    <row r="2922" spans="1:31" ht="8.65" customHeight="1" x14ac:dyDescent="0.2">
      <c r="A2922" s="76">
        <v>2922</v>
      </c>
      <c r="B2922" s="67" t="str">
        <f>MID(C2922, FIND("Ifc.", C2922) + 4, 4) &amp; "_" &amp; TEXT(COUNTIF($C$2:C2922, C2922),"0000")</f>
        <v>Enti_0055</v>
      </c>
      <c r="C2922" s="25" t="s">
        <v>874</v>
      </c>
      <c r="D2922" s="69" t="s">
        <v>9453</v>
      </c>
      <c r="E2922" s="70" t="s">
        <v>9457</v>
      </c>
      <c r="F2922" s="26" t="s">
        <v>798</v>
      </c>
      <c r="G2922" s="15" t="s">
        <v>798</v>
      </c>
      <c r="H2922" s="14" t="s">
        <v>798</v>
      </c>
      <c r="I2922" s="15" t="s">
        <v>798</v>
      </c>
      <c r="J2922" s="12" t="s">
        <v>9438</v>
      </c>
      <c r="K2922" s="16" t="s">
        <v>2994</v>
      </c>
      <c r="L2922" s="12" t="s">
        <v>800</v>
      </c>
      <c r="M2922" s="16" t="s">
        <v>3961</v>
      </c>
      <c r="N2922" s="19" t="s">
        <v>798</v>
      </c>
      <c r="O2922" s="20" t="s">
        <v>798</v>
      </c>
      <c r="P2922" s="17" t="s">
        <v>802</v>
      </c>
      <c r="Q2922" s="21" t="s">
        <v>8546</v>
      </c>
      <c r="R2922" s="19" t="s">
        <v>798</v>
      </c>
      <c r="S2922" s="20" t="s">
        <v>798</v>
      </c>
      <c r="T2922" s="17" t="s">
        <v>798</v>
      </c>
      <c r="U2922" s="20" t="s">
        <v>798</v>
      </c>
      <c r="V2922" s="26" t="s">
        <v>798</v>
      </c>
      <c r="W2922" s="20" t="s">
        <v>798</v>
      </c>
      <c r="X2922" s="26" t="s">
        <v>798</v>
      </c>
      <c r="Y2922" s="20" t="s">
        <v>798</v>
      </c>
      <c r="Z2922" s="69" t="s">
        <v>9486</v>
      </c>
      <c r="AA2922" s="72" t="s">
        <v>9476</v>
      </c>
      <c r="AB2922" s="73" t="s">
        <v>9486</v>
      </c>
      <c r="AC2922" s="74" t="s">
        <v>9566</v>
      </c>
      <c r="AD2922" s="73" t="s">
        <v>9578</v>
      </c>
      <c r="AE2922" s="74" t="s">
        <v>9579</v>
      </c>
    </row>
    <row r="2923" spans="1:31" ht="8.65" customHeight="1" x14ac:dyDescent="0.2">
      <c r="A2923" s="76">
        <v>2923</v>
      </c>
      <c r="B2923" s="67" t="str">
        <f>MID(C2923, FIND("Ifc.", C2923) + 4, 4) &amp; "_" &amp; TEXT(COUNTIF($C$2:C2923, C2923),"0000")</f>
        <v>Enti_0056</v>
      </c>
      <c r="C2923" s="25" t="s">
        <v>874</v>
      </c>
      <c r="D2923" s="69" t="s">
        <v>9453</v>
      </c>
      <c r="E2923" s="70" t="s">
        <v>9457</v>
      </c>
      <c r="F2923" s="26" t="s">
        <v>798</v>
      </c>
      <c r="G2923" s="15" t="s">
        <v>798</v>
      </c>
      <c r="H2923" s="14" t="s">
        <v>798</v>
      </c>
      <c r="I2923" s="15" t="s">
        <v>798</v>
      </c>
      <c r="J2923" s="12" t="s">
        <v>9438</v>
      </c>
      <c r="K2923" s="16" t="s">
        <v>2995</v>
      </c>
      <c r="L2923" s="12" t="s">
        <v>800</v>
      </c>
      <c r="M2923" s="16" t="s">
        <v>3962</v>
      </c>
      <c r="N2923" s="19" t="s">
        <v>798</v>
      </c>
      <c r="O2923" s="20" t="s">
        <v>798</v>
      </c>
      <c r="P2923" s="17" t="s">
        <v>802</v>
      </c>
      <c r="Q2923" s="21" t="s">
        <v>8547</v>
      </c>
      <c r="R2923" s="19" t="s">
        <v>798</v>
      </c>
      <c r="S2923" s="20" t="s">
        <v>798</v>
      </c>
      <c r="T2923" s="17" t="s">
        <v>798</v>
      </c>
      <c r="U2923" s="20" t="s">
        <v>798</v>
      </c>
      <c r="V2923" s="26" t="s">
        <v>798</v>
      </c>
      <c r="W2923" s="20" t="s">
        <v>798</v>
      </c>
      <c r="X2923" s="26" t="s">
        <v>798</v>
      </c>
      <c r="Y2923" s="20" t="s">
        <v>798</v>
      </c>
      <c r="Z2923" s="69" t="s">
        <v>9486</v>
      </c>
      <c r="AA2923" s="72" t="s">
        <v>9476</v>
      </c>
      <c r="AB2923" s="73" t="s">
        <v>9486</v>
      </c>
      <c r="AC2923" s="74" t="s">
        <v>9566</v>
      </c>
      <c r="AD2923" s="73" t="s">
        <v>9578</v>
      </c>
      <c r="AE2923" s="74" t="s">
        <v>9579</v>
      </c>
    </row>
    <row r="2924" spans="1:31" ht="8.65" customHeight="1" x14ac:dyDescent="0.2">
      <c r="A2924" s="76">
        <v>2924</v>
      </c>
      <c r="B2924" s="67" t="str">
        <f>MID(C2924, FIND("Ifc.", C2924) + 4, 4) &amp; "_" &amp; TEXT(COUNTIF($C$2:C2924, C2924),"0000")</f>
        <v>Enti_0057</v>
      </c>
      <c r="C2924" s="25" t="s">
        <v>874</v>
      </c>
      <c r="D2924" s="69" t="s">
        <v>9453</v>
      </c>
      <c r="E2924" s="70" t="s">
        <v>9457</v>
      </c>
      <c r="F2924" s="26" t="s">
        <v>798</v>
      </c>
      <c r="G2924" s="15" t="s">
        <v>798</v>
      </c>
      <c r="H2924" s="14" t="s">
        <v>798</v>
      </c>
      <c r="I2924" s="15" t="s">
        <v>798</v>
      </c>
      <c r="J2924" s="12" t="s">
        <v>9438</v>
      </c>
      <c r="K2924" s="16" t="s">
        <v>2996</v>
      </c>
      <c r="L2924" s="12" t="s">
        <v>800</v>
      </c>
      <c r="M2924" s="16" t="s">
        <v>3963</v>
      </c>
      <c r="N2924" s="19" t="s">
        <v>798</v>
      </c>
      <c r="O2924" s="20" t="s">
        <v>798</v>
      </c>
      <c r="P2924" s="17" t="s">
        <v>802</v>
      </c>
      <c r="Q2924" s="21" t="s">
        <v>8548</v>
      </c>
      <c r="R2924" s="19" t="s">
        <v>798</v>
      </c>
      <c r="S2924" s="20" t="s">
        <v>798</v>
      </c>
      <c r="T2924" s="17" t="s">
        <v>798</v>
      </c>
      <c r="U2924" s="20" t="s">
        <v>798</v>
      </c>
      <c r="V2924" s="26" t="s">
        <v>798</v>
      </c>
      <c r="W2924" s="20" t="s">
        <v>798</v>
      </c>
      <c r="X2924" s="26" t="s">
        <v>798</v>
      </c>
      <c r="Y2924" s="20" t="s">
        <v>798</v>
      </c>
      <c r="Z2924" s="69" t="s">
        <v>9486</v>
      </c>
      <c r="AA2924" s="72" t="s">
        <v>9476</v>
      </c>
      <c r="AB2924" s="73" t="s">
        <v>9486</v>
      </c>
      <c r="AC2924" s="74" t="s">
        <v>9566</v>
      </c>
      <c r="AD2924" s="73" t="s">
        <v>9578</v>
      </c>
      <c r="AE2924" s="74" t="s">
        <v>9579</v>
      </c>
    </row>
    <row r="2925" spans="1:31" ht="8.65" customHeight="1" x14ac:dyDescent="0.2">
      <c r="A2925" s="76">
        <v>2925</v>
      </c>
      <c r="B2925" s="67" t="str">
        <f>MID(C2925, FIND("Ifc.", C2925) + 4, 4) &amp; "_" &amp; TEXT(COUNTIF($C$2:C2925, C2925),"0000")</f>
        <v>Enti_0058</v>
      </c>
      <c r="C2925" s="25" t="s">
        <v>874</v>
      </c>
      <c r="D2925" s="69" t="s">
        <v>9453</v>
      </c>
      <c r="E2925" s="70" t="s">
        <v>9457</v>
      </c>
      <c r="F2925" s="26" t="s">
        <v>798</v>
      </c>
      <c r="G2925" s="15" t="s">
        <v>798</v>
      </c>
      <c r="H2925" s="14" t="s">
        <v>798</v>
      </c>
      <c r="I2925" s="15" t="s">
        <v>798</v>
      </c>
      <c r="J2925" s="12" t="s">
        <v>9438</v>
      </c>
      <c r="K2925" s="16" t="s">
        <v>2997</v>
      </c>
      <c r="L2925" s="12" t="s">
        <v>800</v>
      </c>
      <c r="M2925" s="16" t="s">
        <v>3964</v>
      </c>
      <c r="N2925" s="19" t="s">
        <v>798</v>
      </c>
      <c r="O2925" s="20" t="s">
        <v>798</v>
      </c>
      <c r="P2925" s="17" t="s">
        <v>802</v>
      </c>
      <c r="Q2925" s="21" t="s">
        <v>8549</v>
      </c>
      <c r="R2925" s="19" t="s">
        <v>798</v>
      </c>
      <c r="S2925" s="20" t="s">
        <v>798</v>
      </c>
      <c r="T2925" s="17" t="s">
        <v>798</v>
      </c>
      <c r="U2925" s="20" t="s">
        <v>798</v>
      </c>
      <c r="V2925" s="26" t="s">
        <v>798</v>
      </c>
      <c r="W2925" s="20" t="s">
        <v>798</v>
      </c>
      <c r="X2925" s="26" t="s">
        <v>798</v>
      </c>
      <c r="Y2925" s="20" t="s">
        <v>798</v>
      </c>
      <c r="Z2925" s="69" t="s">
        <v>9486</v>
      </c>
      <c r="AA2925" s="72" t="s">
        <v>9477</v>
      </c>
      <c r="AB2925" s="73" t="s">
        <v>9486</v>
      </c>
      <c r="AC2925" s="74" t="s">
        <v>9566</v>
      </c>
      <c r="AD2925" s="73" t="s">
        <v>9578</v>
      </c>
      <c r="AE2925" s="74" t="s">
        <v>9579</v>
      </c>
    </row>
    <row r="2926" spans="1:31" ht="8.65" customHeight="1" x14ac:dyDescent="0.2">
      <c r="A2926" s="76">
        <v>2926</v>
      </c>
      <c r="B2926" s="67" t="str">
        <f>MID(C2926, FIND("Ifc.", C2926) + 4, 4) &amp; "_" &amp; TEXT(COUNTIF($C$2:C2926, C2926),"0000")</f>
        <v>Enti_0059</v>
      </c>
      <c r="C2926" s="25" t="s">
        <v>874</v>
      </c>
      <c r="D2926" s="69" t="s">
        <v>9453</v>
      </c>
      <c r="E2926" s="70" t="s">
        <v>9457</v>
      </c>
      <c r="F2926" s="26" t="s">
        <v>798</v>
      </c>
      <c r="G2926" s="15" t="s">
        <v>798</v>
      </c>
      <c r="H2926" s="14" t="s">
        <v>798</v>
      </c>
      <c r="I2926" s="15" t="s">
        <v>798</v>
      </c>
      <c r="J2926" s="12" t="s">
        <v>9438</v>
      </c>
      <c r="K2926" s="16" t="s">
        <v>2998</v>
      </c>
      <c r="L2926" s="12" t="s">
        <v>800</v>
      </c>
      <c r="M2926" s="16" t="s">
        <v>3965</v>
      </c>
      <c r="N2926" s="19" t="s">
        <v>798</v>
      </c>
      <c r="O2926" s="20" t="s">
        <v>798</v>
      </c>
      <c r="P2926" s="17" t="s">
        <v>802</v>
      </c>
      <c r="Q2926" s="21" t="s">
        <v>8550</v>
      </c>
      <c r="R2926" s="19" t="s">
        <v>798</v>
      </c>
      <c r="S2926" s="20" t="s">
        <v>798</v>
      </c>
      <c r="T2926" s="17" t="s">
        <v>798</v>
      </c>
      <c r="U2926" s="20" t="s">
        <v>798</v>
      </c>
      <c r="V2926" s="26" t="s">
        <v>798</v>
      </c>
      <c r="W2926" s="20" t="s">
        <v>798</v>
      </c>
      <c r="X2926" s="26" t="s">
        <v>798</v>
      </c>
      <c r="Y2926" s="20" t="s">
        <v>798</v>
      </c>
      <c r="Z2926" s="69" t="s">
        <v>9486</v>
      </c>
      <c r="AA2926" s="72" t="s">
        <v>9476</v>
      </c>
      <c r="AB2926" s="73" t="s">
        <v>9486</v>
      </c>
      <c r="AC2926" s="74" t="s">
        <v>9566</v>
      </c>
      <c r="AD2926" s="73" t="s">
        <v>9578</v>
      </c>
      <c r="AE2926" s="74" t="s">
        <v>9579</v>
      </c>
    </row>
    <row r="2927" spans="1:31" ht="8.65" customHeight="1" x14ac:dyDescent="0.2">
      <c r="A2927" s="76">
        <v>2927</v>
      </c>
      <c r="B2927" s="67" t="str">
        <f>MID(C2927, FIND("Ifc.", C2927) + 4, 4) &amp; "_" &amp; TEXT(COUNTIF($C$2:C2927, C2927),"0000")</f>
        <v>Enti_0060</v>
      </c>
      <c r="C2927" s="25" t="s">
        <v>874</v>
      </c>
      <c r="D2927" s="69" t="s">
        <v>9453</v>
      </c>
      <c r="E2927" s="70" t="s">
        <v>9457</v>
      </c>
      <c r="F2927" s="26" t="s">
        <v>798</v>
      </c>
      <c r="G2927" s="15" t="s">
        <v>798</v>
      </c>
      <c r="H2927" s="14" t="s">
        <v>798</v>
      </c>
      <c r="I2927" s="15" t="s">
        <v>798</v>
      </c>
      <c r="J2927" s="12" t="s">
        <v>9438</v>
      </c>
      <c r="K2927" s="16" t="s">
        <v>2999</v>
      </c>
      <c r="L2927" s="12" t="s">
        <v>800</v>
      </c>
      <c r="M2927" s="16" t="s">
        <v>3966</v>
      </c>
      <c r="N2927" s="19" t="s">
        <v>798</v>
      </c>
      <c r="O2927" s="20" t="s">
        <v>798</v>
      </c>
      <c r="P2927" s="17" t="s">
        <v>802</v>
      </c>
      <c r="Q2927" s="21" t="s">
        <v>8551</v>
      </c>
      <c r="R2927" s="19" t="s">
        <v>798</v>
      </c>
      <c r="S2927" s="20" t="s">
        <v>798</v>
      </c>
      <c r="T2927" s="17" t="s">
        <v>798</v>
      </c>
      <c r="U2927" s="20" t="s">
        <v>798</v>
      </c>
      <c r="V2927" s="26" t="s">
        <v>798</v>
      </c>
      <c r="W2927" s="20" t="s">
        <v>798</v>
      </c>
      <c r="X2927" s="26" t="s">
        <v>798</v>
      </c>
      <c r="Y2927" s="20" t="s">
        <v>798</v>
      </c>
      <c r="Z2927" s="69" t="s">
        <v>9486</v>
      </c>
      <c r="AA2927" s="72" t="s">
        <v>9476</v>
      </c>
      <c r="AB2927" s="73" t="s">
        <v>9486</v>
      </c>
      <c r="AC2927" s="74" t="s">
        <v>9566</v>
      </c>
      <c r="AD2927" s="73" t="s">
        <v>9578</v>
      </c>
      <c r="AE2927" s="74" t="s">
        <v>9579</v>
      </c>
    </row>
    <row r="2928" spans="1:31" ht="8.65" customHeight="1" x14ac:dyDescent="0.2">
      <c r="A2928" s="76">
        <v>2928</v>
      </c>
      <c r="B2928" s="67" t="str">
        <f>MID(C2928, FIND("Ifc.", C2928) + 4, 4) &amp; "_" &amp; TEXT(COUNTIF($C$2:C2928, C2928),"0000")</f>
        <v>Enti_0061</v>
      </c>
      <c r="C2928" s="25" t="s">
        <v>874</v>
      </c>
      <c r="D2928" s="69" t="s">
        <v>9453</v>
      </c>
      <c r="E2928" s="70" t="s">
        <v>9457</v>
      </c>
      <c r="F2928" s="26" t="s">
        <v>798</v>
      </c>
      <c r="G2928" s="15" t="s">
        <v>798</v>
      </c>
      <c r="H2928" s="14" t="s">
        <v>798</v>
      </c>
      <c r="I2928" s="15" t="s">
        <v>798</v>
      </c>
      <c r="J2928" s="12" t="s">
        <v>9438</v>
      </c>
      <c r="K2928" s="16" t="s">
        <v>3000</v>
      </c>
      <c r="L2928" s="12" t="s">
        <v>800</v>
      </c>
      <c r="M2928" s="16" t="s">
        <v>3967</v>
      </c>
      <c r="N2928" s="19" t="s">
        <v>798</v>
      </c>
      <c r="O2928" s="20" t="s">
        <v>798</v>
      </c>
      <c r="P2928" s="17" t="s">
        <v>802</v>
      </c>
      <c r="Q2928" s="21" t="s">
        <v>8552</v>
      </c>
      <c r="R2928" s="19" t="s">
        <v>798</v>
      </c>
      <c r="S2928" s="20" t="s">
        <v>798</v>
      </c>
      <c r="T2928" s="17" t="s">
        <v>798</v>
      </c>
      <c r="U2928" s="20" t="s">
        <v>798</v>
      </c>
      <c r="V2928" s="26" t="s">
        <v>798</v>
      </c>
      <c r="W2928" s="20" t="s">
        <v>798</v>
      </c>
      <c r="X2928" s="26" t="s">
        <v>798</v>
      </c>
      <c r="Y2928" s="20" t="s">
        <v>798</v>
      </c>
      <c r="Z2928" s="69" t="s">
        <v>9486</v>
      </c>
      <c r="AA2928" s="72" t="s">
        <v>9476</v>
      </c>
      <c r="AB2928" s="73" t="s">
        <v>9486</v>
      </c>
      <c r="AC2928" s="74" t="s">
        <v>9566</v>
      </c>
      <c r="AD2928" s="73" t="s">
        <v>9578</v>
      </c>
      <c r="AE2928" s="74" t="s">
        <v>9579</v>
      </c>
    </row>
    <row r="2929" spans="1:31" ht="8.65" customHeight="1" x14ac:dyDescent="0.2">
      <c r="A2929" s="76">
        <v>2929</v>
      </c>
      <c r="B2929" s="67" t="str">
        <f>MID(C2929, FIND("Ifc.", C2929) + 4, 4) &amp; "_" &amp; TEXT(COUNTIF($C$2:C2929, C2929),"0000")</f>
        <v>Enti_0062</v>
      </c>
      <c r="C2929" s="25" t="s">
        <v>874</v>
      </c>
      <c r="D2929" s="69" t="s">
        <v>9453</v>
      </c>
      <c r="E2929" s="70" t="s">
        <v>9457</v>
      </c>
      <c r="F2929" s="26" t="s">
        <v>798</v>
      </c>
      <c r="G2929" s="15" t="s">
        <v>798</v>
      </c>
      <c r="H2929" s="14" t="s">
        <v>798</v>
      </c>
      <c r="I2929" s="15" t="s">
        <v>798</v>
      </c>
      <c r="J2929" s="12" t="s">
        <v>9438</v>
      </c>
      <c r="K2929" s="16" t="s">
        <v>3001</v>
      </c>
      <c r="L2929" s="12" t="s">
        <v>800</v>
      </c>
      <c r="M2929" s="16" t="s">
        <v>3968</v>
      </c>
      <c r="N2929" s="19" t="s">
        <v>798</v>
      </c>
      <c r="O2929" s="20" t="s">
        <v>798</v>
      </c>
      <c r="P2929" s="17" t="s">
        <v>802</v>
      </c>
      <c r="Q2929" s="21" t="s">
        <v>8553</v>
      </c>
      <c r="R2929" s="19" t="s">
        <v>798</v>
      </c>
      <c r="S2929" s="20" t="s">
        <v>798</v>
      </c>
      <c r="T2929" s="17" t="s">
        <v>798</v>
      </c>
      <c r="U2929" s="20" t="s">
        <v>798</v>
      </c>
      <c r="V2929" s="26" t="s">
        <v>798</v>
      </c>
      <c r="W2929" s="20" t="s">
        <v>798</v>
      </c>
      <c r="X2929" s="26" t="s">
        <v>798</v>
      </c>
      <c r="Y2929" s="20" t="s">
        <v>798</v>
      </c>
      <c r="Z2929" s="69" t="s">
        <v>9486</v>
      </c>
      <c r="AA2929" s="72" t="s">
        <v>9476</v>
      </c>
      <c r="AB2929" s="73" t="s">
        <v>9486</v>
      </c>
      <c r="AC2929" s="74" t="s">
        <v>9566</v>
      </c>
      <c r="AD2929" s="73" t="s">
        <v>9578</v>
      </c>
      <c r="AE2929" s="74" t="s">
        <v>9579</v>
      </c>
    </row>
    <row r="2930" spans="1:31" ht="8.65" customHeight="1" x14ac:dyDescent="0.2">
      <c r="A2930" s="76">
        <v>2930</v>
      </c>
      <c r="B2930" s="67" t="str">
        <f>MID(C2930, FIND("Ifc.", C2930) + 4, 4) &amp; "_" &amp; TEXT(COUNTIF($C$2:C2930, C2930),"0000")</f>
        <v>Enti_0063</v>
      </c>
      <c r="C2930" s="25" t="s">
        <v>874</v>
      </c>
      <c r="D2930" s="69" t="s">
        <v>9453</v>
      </c>
      <c r="E2930" s="70" t="s">
        <v>9457</v>
      </c>
      <c r="F2930" s="26" t="s">
        <v>798</v>
      </c>
      <c r="G2930" s="15" t="s">
        <v>798</v>
      </c>
      <c r="H2930" s="14" t="s">
        <v>798</v>
      </c>
      <c r="I2930" s="15" t="s">
        <v>798</v>
      </c>
      <c r="J2930" s="12" t="s">
        <v>9438</v>
      </c>
      <c r="K2930" s="16" t="s">
        <v>3002</v>
      </c>
      <c r="L2930" s="12" t="s">
        <v>800</v>
      </c>
      <c r="M2930" s="16" t="s">
        <v>3969</v>
      </c>
      <c r="N2930" s="19" t="s">
        <v>798</v>
      </c>
      <c r="O2930" s="20" t="s">
        <v>798</v>
      </c>
      <c r="P2930" s="17" t="s">
        <v>802</v>
      </c>
      <c r="Q2930" s="21" t="s">
        <v>8554</v>
      </c>
      <c r="R2930" s="19" t="s">
        <v>798</v>
      </c>
      <c r="S2930" s="20" t="s">
        <v>798</v>
      </c>
      <c r="T2930" s="17" t="s">
        <v>798</v>
      </c>
      <c r="U2930" s="20" t="s">
        <v>798</v>
      </c>
      <c r="V2930" s="26" t="s">
        <v>798</v>
      </c>
      <c r="W2930" s="20" t="s">
        <v>798</v>
      </c>
      <c r="X2930" s="26" t="s">
        <v>798</v>
      </c>
      <c r="Y2930" s="20" t="s">
        <v>798</v>
      </c>
      <c r="Z2930" s="69" t="s">
        <v>9486</v>
      </c>
      <c r="AA2930" s="72" t="s">
        <v>9476</v>
      </c>
      <c r="AB2930" s="73" t="s">
        <v>9486</v>
      </c>
      <c r="AC2930" s="74" t="s">
        <v>9566</v>
      </c>
      <c r="AD2930" s="73" t="s">
        <v>9578</v>
      </c>
      <c r="AE2930" s="74" t="s">
        <v>9579</v>
      </c>
    </row>
    <row r="2931" spans="1:31" ht="8.65" customHeight="1" x14ac:dyDescent="0.2">
      <c r="A2931" s="76">
        <v>2931</v>
      </c>
      <c r="B2931" s="67" t="str">
        <f>MID(C2931, FIND("Ifc.", C2931) + 4, 4) &amp; "_" &amp; TEXT(COUNTIF($C$2:C2931, C2931),"0000")</f>
        <v>Enti_0064</v>
      </c>
      <c r="C2931" s="25" t="s">
        <v>874</v>
      </c>
      <c r="D2931" s="69" t="s">
        <v>9453</v>
      </c>
      <c r="E2931" s="70" t="s">
        <v>9457</v>
      </c>
      <c r="F2931" s="26" t="s">
        <v>798</v>
      </c>
      <c r="G2931" s="15" t="s">
        <v>798</v>
      </c>
      <c r="H2931" s="14" t="s">
        <v>798</v>
      </c>
      <c r="I2931" s="15" t="s">
        <v>798</v>
      </c>
      <c r="J2931" s="12" t="s">
        <v>9438</v>
      </c>
      <c r="K2931" s="16" t="s">
        <v>3003</v>
      </c>
      <c r="L2931" s="12" t="s">
        <v>800</v>
      </c>
      <c r="M2931" s="16" t="s">
        <v>3970</v>
      </c>
      <c r="N2931" s="19" t="s">
        <v>798</v>
      </c>
      <c r="O2931" s="20" t="s">
        <v>798</v>
      </c>
      <c r="P2931" s="17" t="s">
        <v>802</v>
      </c>
      <c r="Q2931" s="21" t="s">
        <v>8555</v>
      </c>
      <c r="R2931" s="19" t="s">
        <v>798</v>
      </c>
      <c r="S2931" s="20" t="s">
        <v>798</v>
      </c>
      <c r="T2931" s="17" t="s">
        <v>798</v>
      </c>
      <c r="U2931" s="20" t="s">
        <v>798</v>
      </c>
      <c r="V2931" s="26" t="s">
        <v>798</v>
      </c>
      <c r="W2931" s="20" t="s">
        <v>798</v>
      </c>
      <c r="X2931" s="26" t="s">
        <v>798</v>
      </c>
      <c r="Y2931" s="20" t="s">
        <v>798</v>
      </c>
      <c r="Z2931" s="69" t="s">
        <v>9486</v>
      </c>
      <c r="AA2931" s="72" t="s">
        <v>9476</v>
      </c>
      <c r="AB2931" s="73" t="s">
        <v>9486</v>
      </c>
      <c r="AC2931" s="74" t="s">
        <v>9566</v>
      </c>
      <c r="AD2931" s="73" t="s">
        <v>9578</v>
      </c>
      <c r="AE2931" s="74" t="s">
        <v>9579</v>
      </c>
    </row>
    <row r="2932" spans="1:31" ht="8.65" customHeight="1" x14ac:dyDescent="0.2">
      <c r="A2932" s="76">
        <v>2932</v>
      </c>
      <c r="B2932" s="67" t="str">
        <f>MID(C2932, FIND("Ifc.", C2932) + 4, 4) &amp; "_" &amp; TEXT(COUNTIF($C$2:C2932, C2932),"0000")</f>
        <v>Enti_0065</v>
      </c>
      <c r="C2932" s="25" t="s">
        <v>874</v>
      </c>
      <c r="D2932" s="69" t="s">
        <v>9453</v>
      </c>
      <c r="E2932" s="70" t="s">
        <v>9457</v>
      </c>
      <c r="F2932" s="26" t="s">
        <v>798</v>
      </c>
      <c r="G2932" s="15" t="s">
        <v>798</v>
      </c>
      <c r="H2932" s="14" t="s">
        <v>798</v>
      </c>
      <c r="I2932" s="15" t="s">
        <v>798</v>
      </c>
      <c r="J2932" s="12" t="s">
        <v>9438</v>
      </c>
      <c r="K2932" s="16" t="s">
        <v>3004</v>
      </c>
      <c r="L2932" s="12" t="s">
        <v>800</v>
      </c>
      <c r="M2932" s="16" t="s">
        <v>3971</v>
      </c>
      <c r="N2932" s="19" t="s">
        <v>798</v>
      </c>
      <c r="O2932" s="20" t="s">
        <v>798</v>
      </c>
      <c r="P2932" s="17" t="s">
        <v>802</v>
      </c>
      <c r="Q2932" s="21" t="s">
        <v>8556</v>
      </c>
      <c r="R2932" s="19" t="s">
        <v>798</v>
      </c>
      <c r="S2932" s="20" t="s">
        <v>798</v>
      </c>
      <c r="T2932" s="17" t="s">
        <v>798</v>
      </c>
      <c r="U2932" s="20" t="s">
        <v>798</v>
      </c>
      <c r="V2932" s="26" t="s">
        <v>798</v>
      </c>
      <c r="W2932" s="20" t="s">
        <v>798</v>
      </c>
      <c r="X2932" s="26" t="s">
        <v>798</v>
      </c>
      <c r="Y2932" s="20" t="s">
        <v>798</v>
      </c>
      <c r="Z2932" s="69" t="s">
        <v>9486</v>
      </c>
      <c r="AA2932" s="72" t="s">
        <v>9476</v>
      </c>
      <c r="AB2932" s="73" t="s">
        <v>9486</v>
      </c>
      <c r="AC2932" s="74" t="s">
        <v>9566</v>
      </c>
      <c r="AD2932" s="73" t="s">
        <v>9578</v>
      </c>
      <c r="AE2932" s="74" t="s">
        <v>9579</v>
      </c>
    </row>
    <row r="2933" spans="1:31" ht="8.65" customHeight="1" x14ac:dyDescent="0.2">
      <c r="A2933" s="76">
        <v>2933</v>
      </c>
      <c r="B2933" s="67" t="str">
        <f>MID(C2933, FIND("Ifc.", C2933) + 4, 4) &amp; "_" &amp; TEXT(COUNTIF($C$2:C2933, C2933),"0000")</f>
        <v>Enti_0066</v>
      </c>
      <c r="C2933" s="25" t="s">
        <v>874</v>
      </c>
      <c r="D2933" s="69" t="s">
        <v>9453</v>
      </c>
      <c r="E2933" s="70" t="s">
        <v>9457</v>
      </c>
      <c r="F2933" s="26" t="s">
        <v>798</v>
      </c>
      <c r="G2933" s="15" t="s">
        <v>798</v>
      </c>
      <c r="H2933" s="14" t="s">
        <v>798</v>
      </c>
      <c r="I2933" s="15" t="s">
        <v>798</v>
      </c>
      <c r="J2933" s="12" t="s">
        <v>9438</v>
      </c>
      <c r="K2933" s="16" t="s">
        <v>3005</v>
      </c>
      <c r="L2933" s="12" t="s">
        <v>800</v>
      </c>
      <c r="M2933" s="16" t="s">
        <v>3972</v>
      </c>
      <c r="N2933" s="19" t="s">
        <v>798</v>
      </c>
      <c r="O2933" s="20" t="s">
        <v>798</v>
      </c>
      <c r="P2933" s="17" t="s">
        <v>802</v>
      </c>
      <c r="Q2933" s="21" t="s">
        <v>8557</v>
      </c>
      <c r="R2933" s="19" t="s">
        <v>798</v>
      </c>
      <c r="S2933" s="20" t="s">
        <v>798</v>
      </c>
      <c r="T2933" s="17" t="s">
        <v>798</v>
      </c>
      <c r="U2933" s="20" t="s">
        <v>798</v>
      </c>
      <c r="V2933" s="26" t="s">
        <v>798</v>
      </c>
      <c r="W2933" s="20" t="s">
        <v>798</v>
      </c>
      <c r="X2933" s="26" t="s">
        <v>798</v>
      </c>
      <c r="Y2933" s="20" t="s">
        <v>798</v>
      </c>
      <c r="Z2933" s="69" t="s">
        <v>9486</v>
      </c>
      <c r="AA2933" s="72" t="s">
        <v>9476</v>
      </c>
      <c r="AB2933" s="73" t="s">
        <v>9486</v>
      </c>
      <c r="AC2933" s="74" t="s">
        <v>9562</v>
      </c>
      <c r="AD2933" s="73" t="s">
        <v>9578</v>
      </c>
      <c r="AE2933" s="74" t="s">
        <v>9579</v>
      </c>
    </row>
    <row r="2934" spans="1:31" ht="8.65" customHeight="1" x14ac:dyDescent="0.2">
      <c r="A2934" s="76">
        <v>2934</v>
      </c>
      <c r="B2934" s="67" t="str">
        <f>MID(C2934, FIND("Ifc.", C2934) + 4, 4) &amp; "_" &amp; TEXT(COUNTIF($C$2:C2934, C2934),"0000")</f>
        <v>Enti_0067</v>
      </c>
      <c r="C2934" s="25" t="s">
        <v>874</v>
      </c>
      <c r="D2934" s="69" t="s">
        <v>9453</v>
      </c>
      <c r="E2934" s="70" t="s">
        <v>9457</v>
      </c>
      <c r="F2934" s="26" t="s">
        <v>798</v>
      </c>
      <c r="G2934" s="15" t="s">
        <v>798</v>
      </c>
      <c r="H2934" s="14" t="s">
        <v>798</v>
      </c>
      <c r="I2934" s="15" t="s">
        <v>798</v>
      </c>
      <c r="J2934" s="12" t="s">
        <v>9438</v>
      </c>
      <c r="K2934" s="16" t="s">
        <v>3006</v>
      </c>
      <c r="L2934" s="12" t="s">
        <v>800</v>
      </c>
      <c r="M2934" s="16" t="s">
        <v>3973</v>
      </c>
      <c r="N2934" s="19" t="s">
        <v>798</v>
      </c>
      <c r="O2934" s="20" t="s">
        <v>798</v>
      </c>
      <c r="P2934" s="17" t="s">
        <v>802</v>
      </c>
      <c r="Q2934" s="21" t="s">
        <v>8558</v>
      </c>
      <c r="R2934" s="19" t="s">
        <v>798</v>
      </c>
      <c r="S2934" s="20" t="s">
        <v>798</v>
      </c>
      <c r="T2934" s="17" t="s">
        <v>798</v>
      </c>
      <c r="U2934" s="20" t="s">
        <v>798</v>
      </c>
      <c r="V2934" s="26" t="s">
        <v>798</v>
      </c>
      <c r="W2934" s="20" t="s">
        <v>798</v>
      </c>
      <c r="X2934" s="26" t="s">
        <v>798</v>
      </c>
      <c r="Y2934" s="20" t="s">
        <v>798</v>
      </c>
      <c r="Z2934" s="69" t="s">
        <v>9486</v>
      </c>
      <c r="AA2934" s="72" t="s">
        <v>9476</v>
      </c>
      <c r="AB2934" s="73" t="s">
        <v>9486</v>
      </c>
      <c r="AC2934" s="74" t="s">
        <v>9566</v>
      </c>
      <c r="AD2934" s="73" t="s">
        <v>9578</v>
      </c>
      <c r="AE2934" s="74" t="s">
        <v>9579</v>
      </c>
    </row>
    <row r="2935" spans="1:31" ht="8.65" customHeight="1" x14ac:dyDescent="0.2">
      <c r="A2935" s="76">
        <v>2935</v>
      </c>
      <c r="B2935" s="67" t="str">
        <f>MID(C2935, FIND("Ifc.", C2935) + 4, 4) &amp; "_" &amp; TEXT(COUNTIF($C$2:C2935, C2935),"0000")</f>
        <v>Enti_0068</v>
      </c>
      <c r="C2935" s="25" t="s">
        <v>874</v>
      </c>
      <c r="D2935" s="69" t="s">
        <v>9453</v>
      </c>
      <c r="E2935" s="70" t="s">
        <v>9457</v>
      </c>
      <c r="F2935" s="26" t="s">
        <v>798</v>
      </c>
      <c r="G2935" s="15" t="s">
        <v>798</v>
      </c>
      <c r="H2935" s="14" t="s">
        <v>798</v>
      </c>
      <c r="I2935" s="15" t="s">
        <v>798</v>
      </c>
      <c r="J2935" s="12" t="s">
        <v>9438</v>
      </c>
      <c r="K2935" s="16" t="s">
        <v>3007</v>
      </c>
      <c r="L2935" s="12" t="s">
        <v>800</v>
      </c>
      <c r="M2935" s="16" t="s">
        <v>3974</v>
      </c>
      <c r="N2935" s="19" t="s">
        <v>798</v>
      </c>
      <c r="O2935" s="20" t="s">
        <v>798</v>
      </c>
      <c r="P2935" s="17" t="s">
        <v>802</v>
      </c>
      <c r="Q2935" s="21" t="s">
        <v>8559</v>
      </c>
      <c r="R2935" s="19" t="s">
        <v>798</v>
      </c>
      <c r="S2935" s="20" t="s">
        <v>798</v>
      </c>
      <c r="T2935" s="17" t="s">
        <v>798</v>
      </c>
      <c r="U2935" s="20" t="s">
        <v>798</v>
      </c>
      <c r="V2935" s="26" t="s">
        <v>798</v>
      </c>
      <c r="W2935" s="20" t="s">
        <v>798</v>
      </c>
      <c r="X2935" s="26" t="s">
        <v>798</v>
      </c>
      <c r="Y2935" s="20" t="s">
        <v>798</v>
      </c>
      <c r="Z2935" s="69" t="s">
        <v>9486</v>
      </c>
      <c r="AA2935" s="72" t="s">
        <v>9477</v>
      </c>
      <c r="AB2935" s="73" t="s">
        <v>9486</v>
      </c>
      <c r="AC2935" s="74" t="s">
        <v>9566</v>
      </c>
      <c r="AD2935" s="73" t="s">
        <v>9578</v>
      </c>
      <c r="AE2935" s="74" t="s">
        <v>9579</v>
      </c>
    </row>
    <row r="2936" spans="1:31" ht="8.65" customHeight="1" x14ac:dyDescent="0.2">
      <c r="A2936" s="76">
        <v>2936</v>
      </c>
      <c r="B2936" s="67" t="str">
        <f>MID(C2936, FIND("Ifc.", C2936) + 4, 4) &amp; "_" &amp; TEXT(COUNTIF($C$2:C2936, C2936),"0000")</f>
        <v>Enti_0069</v>
      </c>
      <c r="C2936" s="25" t="s">
        <v>874</v>
      </c>
      <c r="D2936" s="69" t="s">
        <v>9453</v>
      </c>
      <c r="E2936" s="70" t="s">
        <v>9457</v>
      </c>
      <c r="F2936" s="26" t="s">
        <v>798</v>
      </c>
      <c r="G2936" s="15" t="s">
        <v>798</v>
      </c>
      <c r="H2936" s="14" t="s">
        <v>798</v>
      </c>
      <c r="I2936" s="15" t="s">
        <v>798</v>
      </c>
      <c r="J2936" s="12" t="s">
        <v>9438</v>
      </c>
      <c r="K2936" s="16" t="s">
        <v>3008</v>
      </c>
      <c r="L2936" s="12" t="s">
        <v>800</v>
      </c>
      <c r="M2936" s="16" t="s">
        <v>3975</v>
      </c>
      <c r="N2936" s="19" t="s">
        <v>798</v>
      </c>
      <c r="O2936" s="20" t="s">
        <v>798</v>
      </c>
      <c r="P2936" s="17" t="s">
        <v>802</v>
      </c>
      <c r="Q2936" s="21" t="s">
        <v>8560</v>
      </c>
      <c r="R2936" s="19" t="s">
        <v>798</v>
      </c>
      <c r="S2936" s="20" t="s">
        <v>798</v>
      </c>
      <c r="T2936" s="17" t="s">
        <v>798</v>
      </c>
      <c r="U2936" s="20" t="s">
        <v>798</v>
      </c>
      <c r="V2936" s="26" t="s">
        <v>798</v>
      </c>
      <c r="W2936" s="20" t="s">
        <v>798</v>
      </c>
      <c r="X2936" s="26" t="s">
        <v>798</v>
      </c>
      <c r="Y2936" s="20" t="s">
        <v>798</v>
      </c>
      <c r="Z2936" s="69" t="s">
        <v>9486</v>
      </c>
      <c r="AA2936" s="72" t="s">
        <v>9476</v>
      </c>
      <c r="AB2936" s="73" t="s">
        <v>9486</v>
      </c>
      <c r="AC2936" s="74" t="s">
        <v>9562</v>
      </c>
      <c r="AD2936" s="73" t="s">
        <v>9578</v>
      </c>
      <c r="AE2936" s="74" t="s">
        <v>9579</v>
      </c>
    </row>
    <row r="2937" spans="1:31" ht="8.65" customHeight="1" x14ac:dyDescent="0.2">
      <c r="A2937" s="76">
        <v>2937</v>
      </c>
      <c r="B2937" s="67" t="str">
        <f>MID(C2937, FIND("Ifc.", C2937) + 4, 4) &amp; "_" &amp; TEXT(COUNTIF($C$2:C2937, C2937),"0000")</f>
        <v>Enti_0070</v>
      </c>
      <c r="C2937" s="25" t="s">
        <v>874</v>
      </c>
      <c r="D2937" s="69" t="s">
        <v>9453</v>
      </c>
      <c r="E2937" s="70" t="s">
        <v>9457</v>
      </c>
      <c r="F2937" s="26" t="s">
        <v>798</v>
      </c>
      <c r="G2937" s="15" t="s">
        <v>798</v>
      </c>
      <c r="H2937" s="14" t="s">
        <v>798</v>
      </c>
      <c r="I2937" s="15" t="s">
        <v>798</v>
      </c>
      <c r="J2937" s="12" t="s">
        <v>9438</v>
      </c>
      <c r="K2937" s="16" t="s">
        <v>3009</v>
      </c>
      <c r="L2937" s="12" t="s">
        <v>800</v>
      </c>
      <c r="M2937" s="16" t="s">
        <v>3976</v>
      </c>
      <c r="N2937" s="19" t="s">
        <v>798</v>
      </c>
      <c r="O2937" s="20" t="s">
        <v>798</v>
      </c>
      <c r="P2937" s="17" t="s">
        <v>802</v>
      </c>
      <c r="Q2937" s="21" t="s">
        <v>8561</v>
      </c>
      <c r="R2937" s="19" t="s">
        <v>798</v>
      </c>
      <c r="S2937" s="20" t="s">
        <v>798</v>
      </c>
      <c r="T2937" s="17" t="s">
        <v>798</v>
      </c>
      <c r="U2937" s="20" t="s">
        <v>798</v>
      </c>
      <c r="V2937" s="26" t="s">
        <v>798</v>
      </c>
      <c r="W2937" s="20" t="s">
        <v>798</v>
      </c>
      <c r="X2937" s="26" t="s">
        <v>798</v>
      </c>
      <c r="Y2937" s="20" t="s">
        <v>798</v>
      </c>
      <c r="Z2937" s="69" t="s">
        <v>9486</v>
      </c>
      <c r="AA2937" s="72" t="s">
        <v>9476</v>
      </c>
      <c r="AB2937" s="73" t="s">
        <v>9486</v>
      </c>
      <c r="AC2937" s="74" t="s">
        <v>9566</v>
      </c>
      <c r="AD2937" s="73" t="s">
        <v>9578</v>
      </c>
      <c r="AE2937" s="74" t="s">
        <v>9579</v>
      </c>
    </row>
    <row r="2938" spans="1:31" ht="8.65" customHeight="1" x14ac:dyDescent="0.2">
      <c r="A2938" s="76">
        <v>2938</v>
      </c>
      <c r="B2938" s="67" t="str">
        <f>MID(C2938, FIND("Ifc.", C2938) + 4, 4) &amp; "_" &amp; TEXT(COUNTIF($C$2:C2938, C2938),"0000")</f>
        <v>Enti_0071</v>
      </c>
      <c r="C2938" s="25" t="s">
        <v>874</v>
      </c>
      <c r="D2938" s="69" t="s">
        <v>9453</v>
      </c>
      <c r="E2938" s="70" t="s">
        <v>9457</v>
      </c>
      <c r="F2938" s="26" t="s">
        <v>798</v>
      </c>
      <c r="G2938" s="15" t="s">
        <v>798</v>
      </c>
      <c r="H2938" s="14" t="s">
        <v>798</v>
      </c>
      <c r="I2938" s="15" t="s">
        <v>798</v>
      </c>
      <c r="J2938" s="12" t="s">
        <v>9438</v>
      </c>
      <c r="K2938" s="16" t="s">
        <v>3010</v>
      </c>
      <c r="L2938" s="12" t="s">
        <v>800</v>
      </c>
      <c r="M2938" s="16" t="s">
        <v>3977</v>
      </c>
      <c r="N2938" s="19" t="s">
        <v>798</v>
      </c>
      <c r="O2938" s="20" t="s">
        <v>798</v>
      </c>
      <c r="P2938" s="17" t="s">
        <v>802</v>
      </c>
      <c r="Q2938" s="21" t="s">
        <v>8562</v>
      </c>
      <c r="R2938" s="19" t="s">
        <v>798</v>
      </c>
      <c r="S2938" s="20" t="s">
        <v>798</v>
      </c>
      <c r="T2938" s="17" t="s">
        <v>798</v>
      </c>
      <c r="U2938" s="20" t="s">
        <v>798</v>
      </c>
      <c r="V2938" s="26" t="s">
        <v>798</v>
      </c>
      <c r="W2938" s="20" t="s">
        <v>798</v>
      </c>
      <c r="X2938" s="26" t="s">
        <v>798</v>
      </c>
      <c r="Y2938" s="20" t="s">
        <v>798</v>
      </c>
      <c r="Z2938" s="69" t="s">
        <v>9486</v>
      </c>
      <c r="AA2938" s="72" t="s">
        <v>9476</v>
      </c>
      <c r="AB2938" s="73" t="s">
        <v>9486</v>
      </c>
      <c r="AC2938" s="74" t="s">
        <v>9566</v>
      </c>
      <c r="AD2938" s="73" t="s">
        <v>9578</v>
      </c>
      <c r="AE2938" s="74" t="s">
        <v>9579</v>
      </c>
    </row>
    <row r="2939" spans="1:31" ht="8.65" customHeight="1" x14ac:dyDescent="0.2">
      <c r="A2939" s="76">
        <v>2939</v>
      </c>
      <c r="B2939" s="67" t="str">
        <f>MID(C2939, FIND("Ifc.", C2939) + 4, 4) &amp; "_" &amp; TEXT(COUNTIF($C$2:C2939, C2939),"0000")</f>
        <v>Enti_0072</v>
      </c>
      <c r="C2939" s="25" t="s">
        <v>874</v>
      </c>
      <c r="D2939" s="69" t="s">
        <v>9453</v>
      </c>
      <c r="E2939" s="70" t="s">
        <v>9457</v>
      </c>
      <c r="F2939" s="26" t="s">
        <v>798</v>
      </c>
      <c r="G2939" s="15" t="s">
        <v>798</v>
      </c>
      <c r="H2939" s="14" t="s">
        <v>798</v>
      </c>
      <c r="I2939" s="15" t="s">
        <v>798</v>
      </c>
      <c r="J2939" s="12" t="s">
        <v>9438</v>
      </c>
      <c r="K2939" s="16" t="s">
        <v>3011</v>
      </c>
      <c r="L2939" s="12" t="s">
        <v>800</v>
      </c>
      <c r="M2939" s="16" t="s">
        <v>3978</v>
      </c>
      <c r="N2939" s="19" t="s">
        <v>798</v>
      </c>
      <c r="O2939" s="20" t="s">
        <v>798</v>
      </c>
      <c r="P2939" s="17" t="s">
        <v>802</v>
      </c>
      <c r="Q2939" s="21" t="s">
        <v>8563</v>
      </c>
      <c r="R2939" s="19" t="s">
        <v>798</v>
      </c>
      <c r="S2939" s="20" t="s">
        <v>798</v>
      </c>
      <c r="T2939" s="17" t="s">
        <v>798</v>
      </c>
      <c r="U2939" s="20" t="s">
        <v>798</v>
      </c>
      <c r="V2939" s="26" t="s">
        <v>798</v>
      </c>
      <c r="W2939" s="20" t="s">
        <v>798</v>
      </c>
      <c r="X2939" s="26" t="s">
        <v>798</v>
      </c>
      <c r="Y2939" s="20" t="s">
        <v>798</v>
      </c>
      <c r="Z2939" s="69" t="s">
        <v>9486</v>
      </c>
      <c r="AA2939" s="72" t="s">
        <v>9477</v>
      </c>
      <c r="AB2939" s="73" t="s">
        <v>9486</v>
      </c>
      <c r="AC2939" s="74" t="s">
        <v>9566</v>
      </c>
      <c r="AD2939" s="73" t="s">
        <v>9578</v>
      </c>
      <c r="AE2939" s="74" t="s">
        <v>9579</v>
      </c>
    </row>
    <row r="2940" spans="1:31" ht="8.65" customHeight="1" x14ac:dyDescent="0.2">
      <c r="A2940" s="76">
        <v>2940</v>
      </c>
      <c r="B2940" s="67" t="str">
        <f>MID(C2940, FIND("Ifc.", C2940) + 4, 4) &amp; "_" &amp; TEXT(COUNTIF($C$2:C2940, C2940),"0000")</f>
        <v>Enti_0073</v>
      </c>
      <c r="C2940" s="25" t="s">
        <v>874</v>
      </c>
      <c r="D2940" s="69" t="s">
        <v>9453</v>
      </c>
      <c r="E2940" s="70" t="s">
        <v>9457</v>
      </c>
      <c r="F2940" s="26" t="s">
        <v>798</v>
      </c>
      <c r="G2940" s="15" t="s">
        <v>798</v>
      </c>
      <c r="H2940" s="14" t="s">
        <v>798</v>
      </c>
      <c r="I2940" s="15" t="s">
        <v>798</v>
      </c>
      <c r="J2940" s="12" t="s">
        <v>9438</v>
      </c>
      <c r="K2940" s="16" t="s">
        <v>3012</v>
      </c>
      <c r="L2940" s="12" t="s">
        <v>800</v>
      </c>
      <c r="M2940" s="16" t="s">
        <v>3979</v>
      </c>
      <c r="N2940" s="19" t="s">
        <v>798</v>
      </c>
      <c r="O2940" s="20" t="s">
        <v>798</v>
      </c>
      <c r="P2940" s="17" t="s">
        <v>802</v>
      </c>
      <c r="Q2940" s="21" t="s">
        <v>8564</v>
      </c>
      <c r="R2940" s="19" t="s">
        <v>798</v>
      </c>
      <c r="S2940" s="20" t="s">
        <v>798</v>
      </c>
      <c r="T2940" s="17" t="s">
        <v>798</v>
      </c>
      <c r="U2940" s="20" t="s">
        <v>798</v>
      </c>
      <c r="V2940" s="26" t="s">
        <v>798</v>
      </c>
      <c r="W2940" s="20" t="s">
        <v>798</v>
      </c>
      <c r="X2940" s="26" t="s">
        <v>798</v>
      </c>
      <c r="Y2940" s="20" t="s">
        <v>798</v>
      </c>
      <c r="Z2940" s="69" t="s">
        <v>9486</v>
      </c>
      <c r="AA2940" s="72" t="s">
        <v>9476</v>
      </c>
      <c r="AB2940" s="73" t="s">
        <v>9486</v>
      </c>
      <c r="AC2940" s="74" t="s">
        <v>9566</v>
      </c>
      <c r="AD2940" s="73" t="s">
        <v>9578</v>
      </c>
      <c r="AE2940" s="74" t="s">
        <v>9579</v>
      </c>
    </row>
    <row r="2941" spans="1:31" ht="8.65" customHeight="1" x14ac:dyDescent="0.2">
      <c r="A2941" s="76">
        <v>2941</v>
      </c>
      <c r="B2941" s="67" t="str">
        <f>MID(C2941, FIND("Ifc.", C2941) + 4, 4) &amp; "_" &amp; TEXT(COUNTIF($C$2:C2941, C2941),"0000")</f>
        <v>Enti_0074</v>
      </c>
      <c r="C2941" s="25" t="s">
        <v>874</v>
      </c>
      <c r="D2941" s="69" t="s">
        <v>9453</v>
      </c>
      <c r="E2941" s="70" t="s">
        <v>9457</v>
      </c>
      <c r="F2941" s="26" t="s">
        <v>798</v>
      </c>
      <c r="G2941" s="15" t="s">
        <v>798</v>
      </c>
      <c r="H2941" s="14" t="s">
        <v>798</v>
      </c>
      <c r="I2941" s="15" t="s">
        <v>798</v>
      </c>
      <c r="J2941" s="12" t="s">
        <v>9438</v>
      </c>
      <c r="K2941" s="16" t="s">
        <v>3013</v>
      </c>
      <c r="L2941" s="12" t="s">
        <v>800</v>
      </c>
      <c r="M2941" s="16" t="s">
        <v>3980</v>
      </c>
      <c r="N2941" s="19" t="s">
        <v>798</v>
      </c>
      <c r="O2941" s="20" t="s">
        <v>798</v>
      </c>
      <c r="P2941" s="17" t="s">
        <v>802</v>
      </c>
      <c r="Q2941" s="21" t="s">
        <v>8565</v>
      </c>
      <c r="R2941" s="19" t="s">
        <v>798</v>
      </c>
      <c r="S2941" s="20" t="s">
        <v>798</v>
      </c>
      <c r="T2941" s="17" t="s">
        <v>798</v>
      </c>
      <c r="U2941" s="20" t="s">
        <v>798</v>
      </c>
      <c r="V2941" s="26" t="s">
        <v>798</v>
      </c>
      <c r="W2941" s="20" t="s">
        <v>798</v>
      </c>
      <c r="X2941" s="26" t="s">
        <v>798</v>
      </c>
      <c r="Y2941" s="20" t="s">
        <v>798</v>
      </c>
      <c r="Z2941" s="69" t="s">
        <v>9486</v>
      </c>
      <c r="AA2941" s="72" t="s">
        <v>9477</v>
      </c>
      <c r="AB2941" s="73" t="s">
        <v>9486</v>
      </c>
      <c r="AC2941" s="74" t="s">
        <v>9566</v>
      </c>
      <c r="AD2941" s="73" t="s">
        <v>9578</v>
      </c>
      <c r="AE2941" s="74" t="s">
        <v>9579</v>
      </c>
    </row>
    <row r="2942" spans="1:31" ht="8.65" customHeight="1" x14ac:dyDescent="0.2">
      <c r="A2942" s="76">
        <v>2942</v>
      </c>
      <c r="B2942" s="67" t="str">
        <f>MID(C2942, FIND("Ifc.", C2942) + 4, 4) &amp; "_" &amp; TEXT(COUNTIF($C$2:C2942, C2942),"0000")</f>
        <v>Enti_0075</v>
      </c>
      <c r="C2942" s="25" t="s">
        <v>874</v>
      </c>
      <c r="D2942" s="69" t="s">
        <v>9453</v>
      </c>
      <c r="E2942" s="70" t="s">
        <v>9457</v>
      </c>
      <c r="F2942" s="26" t="s">
        <v>798</v>
      </c>
      <c r="G2942" s="15" t="s">
        <v>798</v>
      </c>
      <c r="H2942" s="14" t="s">
        <v>798</v>
      </c>
      <c r="I2942" s="15" t="s">
        <v>798</v>
      </c>
      <c r="J2942" s="12" t="s">
        <v>9438</v>
      </c>
      <c r="K2942" s="16" t="s">
        <v>3014</v>
      </c>
      <c r="L2942" s="12" t="s">
        <v>800</v>
      </c>
      <c r="M2942" s="16" t="s">
        <v>3981</v>
      </c>
      <c r="N2942" s="19" t="s">
        <v>798</v>
      </c>
      <c r="O2942" s="20" t="s">
        <v>798</v>
      </c>
      <c r="P2942" s="17" t="s">
        <v>802</v>
      </c>
      <c r="Q2942" s="21" t="s">
        <v>8566</v>
      </c>
      <c r="R2942" s="19" t="s">
        <v>798</v>
      </c>
      <c r="S2942" s="20" t="s">
        <v>798</v>
      </c>
      <c r="T2942" s="17" t="s">
        <v>798</v>
      </c>
      <c r="U2942" s="20" t="s">
        <v>798</v>
      </c>
      <c r="V2942" s="26" t="s">
        <v>798</v>
      </c>
      <c r="W2942" s="20" t="s">
        <v>798</v>
      </c>
      <c r="X2942" s="26" t="s">
        <v>798</v>
      </c>
      <c r="Y2942" s="20" t="s">
        <v>798</v>
      </c>
      <c r="Z2942" s="69" t="s">
        <v>9486</v>
      </c>
      <c r="AA2942" s="72" t="s">
        <v>9476</v>
      </c>
      <c r="AB2942" s="73" t="s">
        <v>9486</v>
      </c>
      <c r="AC2942" s="74" t="s">
        <v>9566</v>
      </c>
      <c r="AD2942" s="73" t="s">
        <v>9578</v>
      </c>
      <c r="AE2942" s="74" t="s">
        <v>9579</v>
      </c>
    </row>
    <row r="2943" spans="1:31" ht="8.65" customHeight="1" x14ac:dyDescent="0.2">
      <c r="A2943" s="76">
        <v>2943</v>
      </c>
      <c r="B2943" s="67" t="str">
        <f>MID(C2943, FIND("Ifc.", C2943) + 4, 4) &amp; "_" &amp; TEXT(COUNTIF($C$2:C2943, C2943),"0000")</f>
        <v>Enti_0076</v>
      </c>
      <c r="C2943" s="25" t="s">
        <v>874</v>
      </c>
      <c r="D2943" s="69" t="s">
        <v>9453</v>
      </c>
      <c r="E2943" s="70" t="s">
        <v>9457</v>
      </c>
      <c r="F2943" s="26" t="s">
        <v>798</v>
      </c>
      <c r="G2943" s="15" t="s">
        <v>798</v>
      </c>
      <c r="H2943" s="14" t="s">
        <v>798</v>
      </c>
      <c r="I2943" s="15" t="s">
        <v>798</v>
      </c>
      <c r="J2943" s="12" t="s">
        <v>9438</v>
      </c>
      <c r="K2943" s="16" t="s">
        <v>3015</v>
      </c>
      <c r="L2943" s="12" t="s">
        <v>800</v>
      </c>
      <c r="M2943" s="16" t="s">
        <v>3982</v>
      </c>
      <c r="N2943" s="19" t="s">
        <v>798</v>
      </c>
      <c r="O2943" s="20" t="s">
        <v>798</v>
      </c>
      <c r="P2943" s="17" t="s">
        <v>802</v>
      </c>
      <c r="Q2943" s="21" t="s">
        <v>8567</v>
      </c>
      <c r="R2943" s="19" t="s">
        <v>798</v>
      </c>
      <c r="S2943" s="20" t="s">
        <v>798</v>
      </c>
      <c r="T2943" s="17" t="s">
        <v>798</v>
      </c>
      <c r="U2943" s="20" t="s">
        <v>798</v>
      </c>
      <c r="V2943" s="26" t="s">
        <v>798</v>
      </c>
      <c r="W2943" s="20" t="s">
        <v>798</v>
      </c>
      <c r="X2943" s="26" t="s">
        <v>798</v>
      </c>
      <c r="Y2943" s="20" t="s">
        <v>798</v>
      </c>
      <c r="Z2943" s="69" t="s">
        <v>9486</v>
      </c>
      <c r="AA2943" s="72" t="s">
        <v>9477</v>
      </c>
      <c r="AB2943" s="73" t="s">
        <v>9486</v>
      </c>
      <c r="AC2943" s="74" t="s">
        <v>9566</v>
      </c>
      <c r="AD2943" s="73" t="s">
        <v>9578</v>
      </c>
      <c r="AE2943" s="74" t="s">
        <v>9579</v>
      </c>
    </row>
    <row r="2944" spans="1:31" ht="8.65" customHeight="1" x14ac:dyDescent="0.2">
      <c r="A2944" s="76">
        <v>2944</v>
      </c>
      <c r="B2944" s="67" t="str">
        <f>MID(C2944, FIND("Ifc.", C2944) + 4, 4) &amp; "_" &amp; TEXT(COUNTIF($C$2:C2944, C2944),"0000")</f>
        <v>Enti_0077</v>
      </c>
      <c r="C2944" s="25" t="s">
        <v>874</v>
      </c>
      <c r="D2944" s="69" t="s">
        <v>9453</v>
      </c>
      <c r="E2944" s="70" t="s">
        <v>9457</v>
      </c>
      <c r="F2944" s="26" t="s">
        <v>798</v>
      </c>
      <c r="G2944" s="15" t="s">
        <v>798</v>
      </c>
      <c r="H2944" s="14" t="s">
        <v>798</v>
      </c>
      <c r="I2944" s="15" t="s">
        <v>798</v>
      </c>
      <c r="J2944" s="12" t="s">
        <v>9438</v>
      </c>
      <c r="K2944" s="16" t="s">
        <v>3016</v>
      </c>
      <c r="L2944" s="12" t="s">
        <v>800</v>
      </c>
      <c r="M2944" s="16" t="s">
        <v>3983</v>
      </c>
      <c r="N2944" s="19" t="s">
        <v>798</v>
      </c>
      <c r="O2944" s="20" t="s">
        <v>798</v>
      </c>
      <c r="P2944" s="17" t="s">
        <v>802</v>
      </c>
      <c r="Q2944" s="21" t="s">
        <v>8568</v>
      </c>
      <c r="R2944" s="19" t="s">
        <v>798</v>
      </c>
      <c r="S2944" s="20" t="s">
        <v>798</v>
      </c>
      <c r="T2944" s="17" t="s">
        <v>798</v>
      </c>
      <c r="U2944" s="20" t="s">
        <v>798</v>
      </c>
      <c r="V2944" s="26" t="s">
        <v>798</v>
      </c>
      <c r="W2944" s="20" t="s">
        <v>798</v>
      </c>
      <c r="X2944" s="26" t="s">
        <v>798</v>
      </c>
      <c r="Y2944" s="20" t="s">
        <v>798</v>
      </c>
      <c r="Z2944" s="69" t="s">
        <v>9486</v>
      </c>
      <c r="AA2944" s="72" t="s">
        <v>9476</v>
      </c>
      <c r="AB2944" s="73" t="s">
        <v>9486</v>
      </c>
      <c r="AC2944" s="74" t="s">
        <v>9566</v>
      </c>
      <c r="AD2944" s="73" t="s">
        <v>9578</v>
      </c>
      <c r="AE2944" s="74" t="s">
        <v>9579</v>
      </c>
    </row>
    <row r="2945" spans="1:31" ht="8.65" customHeight="1" x14ac:dyDescent="0.2">
      <c r="A2945" s="76">
        <v>2945</v>
      </c>
      <c r="B2945" s="67" t="str">
        <f>MID(C2945, FIND("Ifc.", C2945) + 4, 4) &amp; "_" &amp; TEXT(COUNTIF($C$2:C2945, C2945),"0000")</f>
        <v>Enti_0078</v>
      </c>
      <c r="C2945" s="25" t="s">
        <v>874</v>
      </c>
      <c r="D2945" s="69" t="s">
        <v>9453</v>
      </c>
      <c r="E2945" s="70" t="s">
        <v>9457</v>
      </c>
      <c r="F2945" s="26" t="s">
        <v>798</v>
      </c>
      <c r="G2945" s="15" t="s">
        <v>798</v>
      </c>
      <c r="H2945" s="14" t="s">
        <v>798</v>
      </c>
      <c r="I2945" s="15" t="s">
        <v>798</v>
      </c>
      <c r="J2945" s="12" t="s">
        <v>9438</v>
      </c>
      <c r="K2945" s="16" t="s">
        <v>3017</v>
      </c>
      <c r="L2945" s="12" t="s">
        <v>800</v>
      </c>
      <c r="M2945" s="16" t="s">
        <v>3984</v>
      </c>
      <c r="N2945" s="19" t="s">
        <v>798</v>
      </c>
      <c r="O2945" s="20" t="s">
        <v>798</v>
      </c>
      <c r="P2945" s="17" t="s">
        <v>802</v>
      </c>
      <c r="Q2945" s="21" t="s">
        <v>8569</v>
      </c>
      <c r="R2945" s="19" t="s">
        <v>798</v>
      </c>
      <c r="S2945" s="20" t="s">
        <v>798</v>
      </c>
      <c r="T2945" s="17" t="s">
        <v>798</v>
      </c>
      <c r="U2945" s="20" t="s">
        <v>798</v>
      </c>
      <c r="V2945" s="26" t="s">
        <v>798</v>
      </c>
      <c r="W2945" s="20" t="s">
        <v>798</v>
      </c>
      <c r="X2945" s="26" t="s">
        <v>798</v>
      </c>
      <c r="Y2945" s="20" t="s">
        <v>798</v>
      </c>
      <c r="Z2945" s="69" t="s">
        <v>9486</v>
      </c>
      <c r="AA2945" s="72" t="s">
        <v>9476</v>
      </c>
      <c r="AB2945" s="73" t="s">
        <v>9486</v>
      </c>
      <c r="AC2945" s="74" t="s">
        <v>9566</v>
      </c>
      <c r="AD2945" s="73" t="s">
        <v>9578</v>
      </c>
      <c r="AE2945" s="74" t="s">
        <v>9579</v>
      </c>
    </row>
    <row r="2946" spans="1:31" ht="8.65" customHeight="1" x14ac:dyDescent="0.2">
      <c r="A2946" s="76">
        <v>2946</v>
      </c>
      <c r="B2946" s="67" t="str">
        <f>MID(C2946, FIND("Ifc.", C2946) + 4, 4) &amp; "_" &amp; TEXT(COUNTIF($C$2:C2946, C2946),"0000")</f>
        <v>Enti_0079</v>
      </c>
      <c r="C2946" s="25" t="s">
        <v>874</v>
      </c>
      <c r="D2946" s="69" t="s">
        <v>9453</v>
      </c>
      <c r="E2946" s="70" t="s">
        <v>9457</v>
      </c>
      <c r="F2946" s="26" t="s">
        <v>798</v>
      </c>
      <c r="G2946" s="15" t="s">
        <v>798</v>
      </c>
      <c r="H2946" s="14" t="s">
        <v>798</v>
      </c>
      <c r="I2946" s="15" t="s">
        <v>798</v>
      </c>
      <c r="J2946" s="12" t="s">
        <v>9438</v>
      </c>
      <c r="K2946" s="16" t="s">
        <v>3018</v>
      </c>
      <c r="L2946" s="12" t="s">
        <v>800</v>
      </c>
      <c r="M2946" s="16" t="s">
        <v>3985</v>
      </c>
      <c r="N2946" s="19" t="s">
        <v>798</v>
      </c>
      <c r="O2946" s="20" t="s">
        <v>798</v>
      </c>
      <c r="P2946" s="17" t="s">
        <v>802</v>
      </c>
      <c r="Q2946" s="21" t="s">
        <v>8570</v>
      </c>
      <c r="R2946" s="19" t="s">
        <v>798</v>
      </c>
      <c r="S2946" s="20" t="s">
        <v>798</v>
      </c>
      <c r="T2946" s="17" t="s">
        <v>798</v>
      </c>
      <c r="U2946" s="20" t="s">
        <v>798</v>
      </c>
      <c r="V2946" s="26" t="s">
        <v>798</v>
      </c>
      <c r="W2946" s="20" t="s">
        <v>798</v>
      </c>
      <c r="X2946" s="26" t="s">
        <v>798</v>
      </c>
      <c r="Y2946" s="20" t="s">
        <v>798</v>
      </c>
      <c r="Z2946" s="69" t="s">
        <v>9486</v>
      </c>
      <c r="AA2946" s="72" t="s">
        <v>9476</v>
      </c>
      <c r="AB2946" s="73" t="s">
        <v>9486</v>
      </c>
      <c r="AC2946" s="74" t="s">
        <v>9566</v>
      </c>
      <c r="AD2946" s="73" t="s">
        <v>9578</v>
      </c>
      <c r="AE2946" s="74" t="s">
        <v>9667</v>
      </c>
    </row>
    <row r="2947" spans="1:31" ht="8.65" customHeight="1" x14ac:dyDescent="0.2">
      <c r="A2947" s="76">
        <v>2947</v>
      </c>
      <c r="B2947" s="67" t="str">
        <f>MID(C2947, FIND("Ifc.", C2947) + 4, 4) &amp; "_" &amp; TEXT(COUNTIF($C$2:C2947, C2947),"0000")</f>
        <v>Enti_0080</v>
      </c>
      <c r="C2947" s="25" t="s">
        <v>874</v>
      </c>
      <c r="D2947" s="69" t="s">
        <v>9453</v>
      </c>
      <c r="E2947" s="70" t="s">
        <v>9457</v>
      </c>
      <c r="F2947" s="26" t="s">
        <v>798</v>
      </c>
      <c r="G2947" s="15" t="s">
        <v>798</v>
      </c>
      <c r="H2947" s="14" t="s">
        <v>798</v>
      </c>
      <c r="I2947" s="15" t="s">
        <v>798</v>
      </c>
      <c r="J2947" s="12" t="s">
        <v>9438</v>
      </c>
      <c r="K2947" s="16" t="s">
        <v>3019</v>
      </c>
      <c r="L2947" s="12" t="s">
        <v>800</v>
      </c>
      <c r="M2947" s="16" t="s">
        <v>3986</v>
      </c>
      <c r="N2947" s="19" t="s">
        <v>798</v>
      </c>
      <c r="O2947" s="20" t="s">
        <v>798</v>
      </c>
      <c r="P2947" s="17" t="s">
        <v>802</v>
      </c>
      <c r="Q2947" s="21" t="s">
        <v>8571</v>
      </c>
      <c r="R2947" s="19" t="s">
        <v>798</v>
      </c>
      <c r="S2947" s="20" t="s">
        <v>798</v>
      </c>
      <c r="T2947" s="17" t="s">
        <v>798</v>
      </c>
      <c r="U2947" s="20" t="s">
        <v>798</v>
      </c>
      <c r="V2947" s="26" t="s">
        <v>798</v>
      </c>
      <c r="W2947" s="20" t="s">
        <v>798</v>
      </c>
      <c r="X2947" s="26" t="s">
        <v>798</v>
      </c>
      <c r="Y2947" s="20" t="s">
        <v>798</v>
      </c>
      <c r="Z2947" s="69" t="s">
        <v>9486</v>
      </c>
      <c r="AA2947" s="72" t="s">
        <v>9476</v>
      </c>
      <c r="AB2947" s="73" t="s">
        <v>9486</v>
      </c>
      <c r="AC2947" s="74" t="s">
        <v>9566</v>
      </c>
      <c r="AD2947" s="73" t="s">
        <v>9578</v>
      </c>
      <c r="AE2947" s="74" t="s">
        <v>9595</v>
      </c>
    </row>
    <row r="2948" spans="1:31" ht="8.65" customHeight="1" x14ac:dyDescent="0.2">
      <c r="A2948" s="76">
        <v>2948</v>
      </c>
      <c r="B2948" s="67" t="str">
        <f>MID(C2948, FIND("Ifc.", C2948) + 4, 4) &amp; "_" &amp; TEXT(COUNTIF($C$2:C2948, C2948),"0000")</f>
        <v>Enti_0081</v>
      </c>
      <c r="C2948" s="25" t="s">
        <v>874</v>
      </c>
      <c r="D2948" s="69" t="s">
        <v>9453</v>
      </c>
      <c r="E2948" s="70" t="s">
        <v>9457</v>
      </c>
      <c r="F2948" s="26" t="s">
        <v>798</v>
      </c>
      <c r="G2948" s="15" t="s">
        <v>798</v>
      </c>
      <c r="H2948" s="14" t="s">
        <v>798</v>
      </c>
      <c r="I2948" s="15" t="s">
        <v>798</v>
      </c>
      <c r="J2948" s="12" t="s">
        <v>9438</v>
      </c>
      <c r="K2948" s="16" t="s">
        <v>3020</v>
      </c>
      <c r="L2948" s="12" t="s">
        <v>800</v>
      </c>
      <c r="M2948" s="16" t="s">
        <v>3987</v>
      </c>
      <c r="N2948" s="19" t="s">
        <v>798</v>
      </c>
      <c r="O2948" s="20" t="s">
        <v>798</v>
      </c>
      <c r="P2948" s="17" t="s">
        <v>802</v>
      </c>
      <c r="Q2948" s="21" t="s">
        <v>8572</v>
      </c>
      <c r="R2948" s="19" t="s">
        <v>798</v>
      </c>
      <c r="S2948" s="20" t="s">
        <v>798</v>
      </c>
      <c r="T2948" s="17" t="s">
        <v>798</v>
      </c>
      <c r="U2948" s="20" t="s">
        <v>798</v>
      </c>
      <c r="V2948" s="26" t="s">
        <v>798</v>
      </c>
      <c r="W2948" s="20" t="s">
        <v>798</v>
      </c>
      <c r="X2948" s="26" t="s">
        <v>798</v>
      </c>
      <c r="Y2948" s="20" t="s">
        <v>798</v>
      </c>
      <c r="Z2948" s="69" t="s">
        <v>9486</v>
      </c>
      <c r="AA2948" s="72" t="s">
        <v>9476</v>
      </c>
      <c r="AB2948" s="73" t="s">
        <v>9486</v>
      </c>
      <c r="AC2948" s="74" t="s">
        <v>9566</v>
      </c>
      <c r="AD2948" s="73" t="s">
        <v>9578</v>
      </c>
      <c r="AE2948" s="74" t="s">
        <v>9579</v>
      </c>
    </row>
    <row r="2949" spans="1:31" ht="8.65" customHeight="1" x14ac:dyDescent="0.2">
      <c r="A2949" s="76">
        <v>2949</v>
      </c>
      <c r="B2949" s="67" t="str">
        <f>MID(C2949, FIND("Ifc.", C2949) + 4, 4) &amp; "_" &amp; TEXT(COUNTIF($C$2:C2949, C2949),"0000")</f>
        <v>Enti_0082</v>
      </c>
      <c r="C2949" s="25" t="s">
        <v>874</v>
      </c>
      <c r="D2949" s="69" t="s">
        <v>9453</v>
      </c>
      <c r="E2949" s="70" t="s">
        <v>9457</v>
      </c>
      <c r="F2949" s="26" t="s">
        <v>798</v>
      </c>
      <c r="G2949" s="15" t="s">
        <v>798</v>
      </c>
      <c r="H2949" s="14" t="s">
        <v>798</v>
      </c>
      <c r="I2949" s="15" t="s">
        <v>798</v>
      </c>
      <c r="J2949" s="12" t="s">
        <v>9438</v>
      </c>
      <c r="K2949" s="16" t="s">
        <v>3021</v>
      </c>
      <c r="L2949" s="12" t="s">
        <v>800</v>
      </c>
      <c r="M2949" s="16" t="s">
        <v>3988</v>
      </c>
      <c r="N2949" s="19" t="s">
        <v>798</v>
      </c>
      <c r="O2949" s="20" t="s">
        <v>798</v>
      </c>
      <c r="P2949" s="17" t="s">
        <v>802</v>
      </c>
      <c r="Q2949" s="21" t="s">
        <v>8573</v>
      </c>
      <c r="R2949" s="19" t="s">
        <v>798</v>
      </c>
      <c r="S2949" s="20" t="s">
        <v>798</v>
      </c>
      <c r="T2949" s="17" t="s">
        <v>798</v>
      </c>
      <c r="U2949" s="20" t="s">
        <v>798</v>
      </c>
      <c r="V2949" s="26" t="s">
        <v>798</v>
      </c>
      <c r="W2949" s="20" t="s">
        <v>798</v>
      </c>
      <c r="X2949" s="26" t="s">
        <v>798</v>
      </c>
      <c r="Y2949" s="20" t="s">
        <v>798</v>
      </c>
      <c r="Z2949" s="69" t="s">
        <v>9486</v>
      </c>
      <c r="AA2949" s="72" t="s">
        <v>9476</v>
      </c>
      <c r="AB2949" s="73" t="s">
        <v>9486</v>
      </c>
      <c r="AC2949" s="74" t="s">
        <v>9566</v>
      </c>
      <c r="AD2949" s="73" t="s">
        <v>9578</v>
      </c>
      <c r="AE2949" s="74" t="s">
        <v>9679</v>
      </c>
    </row>
    <row r="2950" spans="1:31" ht="8.65" customHeight="1" x14ac:dyDescent="0.2">
      <c r="A2950" s="76">
        <v>2950</v>
      </c>
      <c r="B2950" s="67" t="str">
        <f>MID(C2950, FIND("Ifc.", C2950) + 4, 4) &amp; "_" &amp; TEXT(COUNTIF($C$2:C2950, C2950),"0000")</f>
        <v>Enti_0083</v>
      </c>
      <c r="C2950" s="25" t="s">
        <v>874</v>
      </c>
      <c r="D2950" s="69" t="s">
        <v>9453</v>
      </c>
      <c r="E2950" s="70" t="s">
        <v>9457</v>
      </c>
      <c r="F2950" s="26" t="s">
        <v>798</v>
      </c>
      <c r="G2950" s="15" t="s">
        <v>798</v>
      </c>
      <c r="H2950" s="14" t="s">
        <v>798</v>
      </c>
      <c r="I2950" s="15" t="s">
        <v>798</v>
      </c>
      <c r="J2950" s="12" t="s">
        <v>9438</v>
      </c>
      <c r="K2950" s="16" t="s">
        <v>3022</v>
      </c>
      <c r="L2950" s="12" t="s">
        <v>800</v>
      </c>
      <c r="M2950" s="16" t="s">
        <v>3989</v>
      </c>
      <c r="N2950" s="19" t="s">
        <v>798</v>
      </c>
      <c r="O2950" s="20" t="s">
        <v>798</v>
      </c>
      <c r="P2950" s="17" t="s">
        <v>802</v>
      </c>
      <c r="Q2950" s="21" t="s">
        <v>8574</v>
      </c>
      <c r="R2950" s="19" t="s">
        <v>798</v>
      </c>
      <c r="S2950" s="20" t="s">
        <v>798</v>
      </c>
      <c r="T2950" s="17" t="s">
        <v>798</v>
      </c>
      <c r="U2950" s="20" t="s">
        <v>798</v>
      </c>
      <c r="V2950" s="26" t="s">
        <v>798</v>
      </c>
      <c r="W2950" s="20" t="s">
        <v>798</v>
      </c>
      <c r="X2950" s="26" t="s">
        <v>798</v>
      </c>
      <c r="Y2950" s="20" t="s">
        <v>798</v>
      </c>
      <c r="Z2950" s="69" t="s">
        <v>9486</v>
      </c>
      <c r="AA2950" s="72" t="s">
        <v>9476</v>
      </c>
      <c r="AB2950" s="73" t="s">
        <v>9486</v>
      </c>
      <c r="AC2950" s="74" t="s">
        <v>9566</v>
      </c>
      <c r="AD2950" s="73" t="s">
        <v>9578</v>
      </c>
      <c r="AE2950" s="74" t="s">
        <v>9579</v>
      </c>
    </row>
    <row r="2951" spans="1:31" ht="8.65" customHeight="1" x14ac:dyDescent="0.2">
      <c r="A2951" s="76">
        <v>2951</v>
      </c>
      <c r="B2951" s="67" t="str">
        <f>MID(C2951, FIND("Ifc.", C2951) + 4, 4) &amp; "_" &amp; TEXT(COUNTIF($C$2:C2951, C2951),"0000")</f>
        <v>Enti_0084</v>
      </c>
      <c r="C2951" s="25" t="s">
        <v>874</v>
      </c>
      <c r="D2951" s="69" t="s">
        <v>9453</v>
      </c>
      <c r="E2951" s="70" t="s">
        <v>9457</v>
      </c>
      <c r="F2951" s="26" t="s">
        <v>798</v>
      </c>
      <c r="G2951" s="15" t="s">
        <v>798</v>
      </c>
      <c r="H2951" s="14" t="s">
        <v>798</v>
      </c>
      <c r="I2951" s="15" t="s">
        <v>798</v>
      </c>
      <c r="J2951" s="12" t="s">
        <v>9438</v>
      </c>
      <c r="K2951" s="16" t="s">
        <v>3023</v>
      </c>
      <c r="L2951" s="12" t="s">
        <v>800</v>
      </c>
      <c r="M2951" s="16" t="s">
        <v>3990</v>
      </c>
      <c r="N2951" s="19" t="s">
        <v>798</v>
      </c>
      <c r="O2951" s="20" t="s">
        <v>798</v>
      </c>
      <c r="P2951" s="17" t="s">
        <v>802</v>
      </c>
      <c r="Q2951" s="21" t="s">
        <v>8575</v>
      </c>
      <c r="R2951" s="19" t="s">
        <v>798</v>
      </c>
      <c r="S2951" s="20" t="s">
        <v>798</v>
      </c>
      <c r="T2951" s="17" t="s">
        <v>798</v>
      </c>
      <c r="U2951" s="20" t="s">
        <v>798</v>
      </c>
      <c r="V2951" s="26" t="s">
        <v>798</v>
      </c>
      <c r="W2951" s="20" t="s">
        <v>798</v>
      </c>
      <c r="X2951" s="26" t="s">
        <v>798</v>
      </c>
      <c r="Y2951" s="20" t="s">
        <v>798</v>
      </c>
      <c r="Z2951" s="69" t="s">
        <v>9486</v>
      </c>
      <c r="AA2951" s="72" t="s">
        <v>9476</v>
      </c>
      <c r="AB2951" s="73" t="s">
        <v>9486</v>
      </c>
      <c r="AC2951" s="74" t="s">
        <v>9566</v>
      </c>
      <c r="AD2951" s="73" t="s">
        <v>9578</v>
      </c>
      <c r="AE2951" s="74" t="s">
        <v>9667</v>
      </c>
    </row>
    <row r="2952" spans="1:31" ht="8.65" customHeight="1" x14ac:dyDescent="0.2">
      <c r="A2952" s="76">
        <v>2952</v>
      </c>
      <c r="B2952" s="67" t="str">
        <f>MID(C2952, FIND("Ifc.", C2952) + 4, 4) &amp; "_" &amp; TEXT(COUNTIF($C$2:C2952, C2952),"0000")</f>
        <v>Enti_0085</v>
      </c>
      <c r="C2952" s="25" t="s">
        <v>874</v>
      </c>
      <c r="D2952" s="69" t="s">
        <v>9453</v>
      </c>
      <c r="E2952" s="70" t="s">
        <v>9457</v>
      </c>
      <c r="F2952" s="26" t="s">
        <v>798</v>
      </c>
      <c r="G2952" s="15" t="s">
        <v>798</v>
      </c>
      <c r="H2952" s="14" t="s">
        <v>798</v>
      </c>
      <c r="I2952" s="15" t="s">
        <v>798</v>
      </c>
      <c r="J2952" s="12" t="s">
        <v>9438</v>
      </c>
      <c r="K2952" s="16" t="s">
        <v>3024</v>
      </c>
      <c r="L2952" s="12" t="s">
        <v>800</v>
      </c>
      <c r="M2952" s="16" t="s">
        <v>3991</v>
      </c>
      <c r="N2952" s="19" t="s">
        <v>798</v>
      </c>
      <c r="O2952" s="20" t="s">
        <v>798</v>
      </c>
      <c r="P2952" s="17" t="s">
        <v>802</v>
      </c>
      <c r="Q2952" s="21" t="s">
        <v>8576</v>
      </c>
      <c r="R2952" s="19" t="s">
        <v>798</v>
      </c>
      <c r="S2952" s="20" t="s">
        <v>798</v>
      </c>
      <c r="T2952" s="17" t="s">
        <v>798</v>
      </c>
      <c r="U2952" s="20" t="s">
        <v>798</v>
      </c>
      <c r="V2952" s="26" t="s">
        <v>798</v>
      </c>
      <c r="W2952" s="20" t="s">
        <v>798</v>
      </c>
      <c r="X2952" s="26" t="s">
        <v>798</v>
      </c>
      <c r="Y2952" s="20" t="s">
        <v>798</v>
      </c>
      <c r="Z2952" s="69" t="s">
        <v>9486</v>
      </c>
      <c r="AA2952" s="72" t="s">
        <v>9476</v>
      </c>
      <c r="AB2952" s="73" t="s">
        <v>9486</v>
      </c>
      <c r="AC2952" s="74" t="s">
        <v>9566</v>
      </c>
      <c r="AD2952" s="73" t="s">
        <v>9578</v>
      </c>
      <c r="AE2952" s="74" t="s">
        <v>9579</v>
      </c>
    </row>
    <row r="2953" spans="1:31" ht="8.65" customHeight="1" x14ac:dyDescent="0.2">
      <c r="A2953" s="76">
        <v>2953</v>
      </c>
      <c r="B2953" s="67" t="str">
        <f>MID(C2953, FIND("Ifc.", C2953) + 4, 4) &amp; "_" &amp; TEXT(COUNTIF($C$2:C2953, C2953),"0000")</f>
        <v>Enti_0086</v>
      </c>
      <c r="C2953" s="25" t="s">
        <v>874</v>
      </c>
      <c r="D2953" s="69" t="s">
        <v>9453</v>
      </c>
      <c r="E2953" s="70" t="s">
        <v>9457</v>
      </c>
      <c r="F2953" s="26" t="s">
        <v>798</v>
      </c>
      <c r="G2953" s="15" t="s">
        <v>798</v>
      </c>
      <c r="H2953" s="14" t="s">
        <v>798</v>
      </c>
      <c r="I2953" s="15" t="s">
        <v>798</v>
      </c>
      <c r="J2953" s="12" t="s">
        <v>9438</v>
      </c>
      <c r="K2953" s="16" t="s">
        <v>3025</v>
      </c>
      <c r="L2953" s="12" t="s">
        <v>800</v>
      </c>
      <c r="M2953" s="16" t="s">
        <v>3992</v>
      </c>
      <c r="N2953" s="19" t="s">
        <v>798</v>
      </c>
      <c r="O2953" s="20" t="s">
        <v>798</v>
      </c>
      <c r="P2953" s="17" t="s">
        <v>802</v>
      </c>
      <c r="Q2953" s="21" t="s">
        <v>8577</v>
      </c>
      <c r="R2953" s="19" t="s">
        <v>798</v>
      </c>
      <c r="S2953" s="20" t="s">
        <v>798</v>
      </c>
      <c r="T2953" s="17" t="s">
        <v>798</v>
      </c>
      <c r="U2953" s="20" t="s">
        <v>798</v>
      </c>
      <c r="V2953" s="26" t="s">
        <v>798</v>
      </c>
      <c r="W2953" s="20" t="s">
        <v>798</v>
      </c>
      <c r="X2953" s="26" t="s">
        <v>798</v>
      </c>
      <c r="Y2953" s="20" t="s">
        <v>798</v>
      </c>
      <c r="Z2953" s="69" t="s">
        <v>9486</v>
      </c>
      <c r="AA2953" s="72" t="s">
        <v>9477</v>
      </c>
      <c r="AB2953" s="73" t="s">
        <v>9486</v>
      </c>
      <c r="AC2953" s="74" t="s">
        <v>9566</v>
      </c>
      <c r="AD2953" s="73" t="s">
        <v>9578</v>
      </c>
      <c r="AE2953" s="74" t="s">
        <v>9579</v>
      </c>
    </row>
    <row r="2954" spans="1:31" ht="8.65" customHeight="1" x14ac:dyDescent="0.2">
      <c r="A2954" s="76">
        <v>2954</v>
      </c>
      <c r="B2954" s="67" t="str">
        <f>MID(C2954, FIND("Ifc.", C2954) + 4, 4) &amp; "_" &amp; TEXT(COUNTIF($C$2:C2954, C2954),"0000")</f>
        <v>Enti_0087</v>
      </c>
      <c r="C2954" s="25" t="s">
        <v>874</v>
      </c>
      <c r="D2954" s="69" t="s">
        <v>9453</v>
      </c>
      <c r="E2954" s="70" t="s">
        <v>9457</v>
      </c>
      <c r="F2954" s="26" t="s">
        <v>798</v>
      </c>
      <c r="G2954" s="15" t="s">
        <v>798</v>
      </c>
      <c r="H2954" s="14" t="s">
        <v>798</v>
      </c>
      <c r="I2954" s="15" t="s">
        <v>798</v>
      </c>
      <c r="J2954" s="12" t="s">
        <v>9438</v>
      </c>
      <c r="K2954" s="16" t="s">
        <v>3026</v>
      </c>
      <c r="L2954" s="12" t="s">
        <v>800</v>
      </c>
      <c r="M2954" s="16" t="s">
        <v>3993</v>
      </c>
      <c r="N2954" s="19" t="s">
        <v>798</v>
      </c>
      <c r="O2954" s="20" t="s">
        <v>798</v>
      </c>
      <c r="P2954" s="17" t="s">
        <v>802</v>
      </c>
      <c r="Q2954" s="21" t="s">
        <v>8578</v>
      </c>
      <c r="R2954" s="19" t="s">
        <v>798</v>
      </c>
      <c r="S2954" s="20" t="s">
        <v>798</v>
      </c>
      <c r="T2954" s="17" t="s">
        <v>798</v>
      </c>
      <c r="U2954" s="20" t="s">
        <v>798</v>
      </c>
      <c r="V2954" s="26" t="s">
        <v>798</v>
      </c>
      <c r="W2954" s="20" t="s">
        <v>798</v>
      </c>
      <c r="X2954" s="26" t="s">
        <v>798</v>
      </c>
      <c r="Y2954" s="20" t="s">
        <v>798</v>
      </c>
      <c r="Z2954" s="69" t="s">
        <v>9486</v>
      </c>
      <c r="AA2954" s="72" t="s">
        <v>9476</v>
      </c>
      <c r="AB2954" s="73" t="s">
        <v>9486</v>
      </c>
      <c r="AC2954" s="74" t="s">
        <v>9566</v>
      </c>
      <c r="AD2954" s="73" t="s">
        <v>9578</v>
      </c>
      <c r="AE2954" s="74" t="s">
        <v>9579</v>
      </c>
    </row>
    <row r="2955" spans="1:31" ht="8.65" customHeight="1" x14ac:dyDescent="0.2">
      <c r="A2955" s="76">
        <v>2955</v>
      </c>
      <c r="B2955" s="67" t="str">
        <f>MID(C2955, FIND("Ifc.", C2955) + 4, 4) &amp; "_" &amp; TEXT(COUNTIF($C$2:C2955, C2955),"0000")</f>
        <v>Enti_0088</v>
      </c>
      <c r="C2955" s="25" t="s">
        <v>874</v>
      </c>
      <c r="D2955" s="69" t="s">
        <v>9453</v>
      </c>
      <c r="E2955" s="70" t="s">
        <v>9457</v>
      </c>
      <c r="F2955" s="26" t="s">
        <v>798</v>
      </c>
      <c r="G2955" s="15" t="s">
        <v>798</v>
      </c>
      <c r="H2955" s="14" t="s">
        <v>798</v>
      </c>
      <c r="I2955" s="15" t="s">
        <v>798</v>
      </c>
      <c r="J2955" s="12" t="s">
        <v>9438</v>
      </c>
      <c r="K2955" s="16" t="s">
        <v>3027</v>
      </c>
      <c r="L2955" s="12" t="s">
        <v>800</v>
      </c>
      <c r="M2955" s="16" t="s">
        <v>3994</v>
      </c>
      <c r="N2955" s="19" t="s">
        <v>798</v>
      </c>
      <c r="O2955" s="20" t="s">
        <v>798</v>
      </c>
      <c r="P2955" s="17" t="s">
        <v>802</v>
      </c>
      <c r="Q2955" s="21" t="s">
        <v>8579</v>
      </c>
      <c r="R2955" s="19" t="s">
        <v>798</v>
      </c>
      <c r="S2955" s="20" t="s">
        <v>798</v>
      </c>
      <c r="T2955" s="17" t="s">
        <v>798</v>
      </c>
      <c r="U2955" s="20" t="s">
        <v>798</v>
      </c>
      <c r="V2955" s="26" t="s">
        <v>798</v>
      </c>
      <c r="W2955" s="20" t="s">
        <v>798</v>
      </c>
      <c r="X2955" s="26" t="s">
        <v>798</v>
      </c>
      <c r="Y2955" s="20" t="s">
        <v>798</v>
      </c>
      <c r="Z2955" s="69" t="s">
        <v>9486</v>
      </c>
      <c r="AA2955" s="72" t="s">
        <v>9477</v>
      </c>
      <c r="AB2955" s="73" t="s">
        <v>9486</v>
      </c>
      <c r="AC2955" s="74" t="s">
        <v>9566</v>
      </c>
      <c r="AD2955" s="73" t="s">
        <v>9578</v>
      </c>
      <c r="AE2955" s="74" t="s">
        <v>9579</v>
      </c>
    </row>
    <row r="2956" spans="1:31" ht="8.65" customHeight="1" x14ac:dyDescent="0.2">
      <c r="A2956" s="76">
        <v>2956</v>
      </c>
      <c r="B2956" s="67" t="str">
        <f>MID(C2956, FIND("Ifc.", C2956) + 4, 4) &amp; "_" &amp; TEXT(COUNTIF($C$2:C2956, C2956),"0000")</f>
        <v>Enti_0089</v>
      </c>
      <c r="C2956" s="25" t="s">
        <v>874</v>
      </c>
      <c r="D2956" s="69" t="s">
        <v>9453</v>
      </c>
      <c r="E2956" s="70" t="s">
        <v>9457</v>
      </c>
      <c r="F2956" s="26" t="s">
        <v>798</v>
      </c>
      <c r="G2956" s="15" t="s">
        <v>798</v>
      </c>
      <c r="H2956" s="14" t="s">
        <v>798</v>
      </c>
      <c r="I2956" s="15" t="s">
        <v>798</v>
      </c>
      <c r="J2956" s="12" t="s">
        <v>9438</v>
      </c>
      <c r="K2956" s="16" t="s">
        <v>3028</v>
      </c>
      <c r="L2956" s="12" t="s">
        <v>800</v>
      </c>
      <c r="M2956" s="16" t="s">
        <v>3995</v>
      </c>
      <c r="N2956" s="19" t="s">
        <v>798</v>
      </c>
      <c r="O2956" s="20" t="s">
        <v>798</v>
      </c>
      <c r="P2956" s="17" t="s">
        <v>802</v>
      </c>
      <c r="Q2956" s="21" t="s">
        <v>8580</v>
      </c>
      <c r="R2956" s="19" t="s">
        <v>798</v>
      </c>
      <c r="S2956" s="20" t="s">
        <v>798</v>
      </c>
      <c r="T2956" s="17" t="s">
        <v>798</v>
      </c>
      <c r="U2956" s="20" t="s">
        <v>798</v>
      </c>
      <c r="V2956" s="26" t="s">
        <v>798</v>
      </c>
      <c r="W2956" s="20" t="s">
        <v>798</v>
      </c>
      <c r="X2956" s="26" t="s">
        <v>798</v>
      </c>
      <c r="Y2956" s="20" t="s">
        <v>798</v>
      </c>
      <c r="Z2956" s="69" t="s">
        <v>9486</v>
      </c>
      <c r="AA2956" s="72" t="s">
        <v>9476</v>
      </c>
      <c r="AB2956" s="73" t="s">
        <v>9486</v>
      </c>
      <c r="AC2956" s="74" t="s">
        <v>9566</v>
      </c>
      <c r="AD2956" s="73" t="s">
        <v>9578</v>
      </c>
      <c r="AE2956" s="74" t="s">
        <v>9579</v>
      </c>
    </row>
    <row r="2957" spans="1:31" ht="8.65" customHeight="1" x14ac:dyDescent="0.2">
      <c r="A2957" s="76">
        <v>2957</v>
      </c>
      <c r="B2957" s="67" t="str">
        <f>MID(C2957, FIND("Ifc.", C2957) + 4, 4) &amp; "_" &amp; TEXT(COUNTIF($C$2:C2957, C2957),"0000")</f>
        <v>Enti_0090</v>
      </c>
      <c r="C2957" s="25" t="s">
        <v>874</v>
      </c>
      <c r="D2957" s="69" t="s">
        <v>9453</v>
      </c>
      <c r="E2957" s="70" t="s">
        <v>9457</v>
      </c>
      <c r="F2957" s="26" t="s">
        <v>798</v>
      </c>
      <c r="G2957" s="15" t="s">
        <v>798</v>
      </c>
      <c r="H2957" s="14" t="s">
        <v>798</v>
      </c>
      <c r="I2957" s="15" t="s">
        <v>798</v>
      </c>
      <c r="J2957" s="12" t="s">
        <v>9438</v>
      </c>
      <c r="K2957" s="16" t="s">
        <v>3029</v>
      </c>
      <c r="L2957" s="12" t="s">
        <v>800</v>
      </c>
      <c r="M2957" s="16" t="s">
        <v>3996</v>
      </c>
      <c r="N2957" s="19" t="s">
        <v>798</v>
      </c>
      <c r="O2957" s="20" t="s">
        <v>798</v>
      </c>
      <c r="P2957" s="17" t="s">
        <v>802</v>
      </c>
      <c r="Q2957" s="21" t="s">
        <v>8581</v>
      </c>
      <c r="R2957" s="19" t="s">
        <v>798</v>
      </c>
      <c r="S2957" s="20" t="s">
        <v>798</v>
      </c>
      <c r="T2957" s="17" t="s">
        <v>798</v>
      </c>
      <c r="U2957" s="20" t="s">
        <v>798</v>
      </c>
      <c r="V2957" s="26" t="s">
        <v>798</v>
      </c>
      <c r="W2957" s="20" t="s">
        <v>798</v>
      </c>
      <c r="X2957" s="26" t="s">
        <v>798</v>
      </c>
      <c r="Y2957" s="20" t="s">
        <v>798</v>
      </c>
      <c r="Z2957" s="69" t="s">
        <v>9486</v>
      </c>
      <c r="AA2957" s="72" t="s">
        <v>9476</v>
      </c>
      <c r="AB2957" s="73" t="s">
        <v>9486</v>
      </c>
      <c r="AC2957" s="74" t="s">
        <v>9566</v>
      </c>
      <c r="AD2957" s="73" t="s">
        <v>9578</v>
      </c>
      <c r="AE2957" s="74" t="s">
        <v>9572</v>
      </c>
    </row>
    <row r="2958" spans="1:31" ht="8.65" customHeight="1" x14ac:dyDescent="0.2">
      <c r="A2958" s="76">
        <v>2958</v>
      </c>
      <c r="B2958" s="67" t="str">
        <f>MID(C2958, FIND("Ifc.", C2958) + 4, 4) &amp; "_" &amp; TEXT(COUNTIF($C$2:C2958, C2958),"0000")</f>
        <v>Enti_0091</v>
      </c>
      <c r="C2958" s="25" t="s">
        <v>874</v>
      </c>
      <c r="D2958" s="69" t="s">
        <v>9453</v>
      </c>
      <c r="E2958" s="70" t="s">
        <v>9457</v>
      </c>
      <c r="F2958" s="26" t="s">
        <v>798</v>
      </c>
      <c r="G2958" s="15" t="s">
        <v>798</v>
      </c>
      <c r="H2958" s="14" t="s">
        <v>798</v>
      </c>
      <c r="I2958" s="15" t="s">
        <v>798</v>
      </c>
      <c r="J2958" s="12" t="s">
        <v>9438</v>
      </c>
      <c r="K2958" s="16" t="s">
        <v>3030</v>
      </c>
      <c r="L2958" s="12" t="s">
        <v>800</v>
      </c>
      <c r="M2958" s="16" t="s">
        <v>3997</v>
      </c>
      <c r="N2958" s="19" t="s">
        <v>798</v>
      </c>
      <c r="O2958" s="20" t="s">
        <v>798</v>
      </c>
      <c r="P2958" s="17" t="s">
        <v>802</v>
      </c>
      <c r="Q2958" s="21" t="s">
        <v>8582</v>
      </c>
      <c r="R2958" s="19" t="s">
        <v>798</v>
      </c>
      <c r="S2958" s="20" t="s">
        <v>798</v>
      </c>
      <c r="T2958" s="17" t="s">
        <v>798</v>
      </c>
      <c r="U2958" s="20" t="s">
        <v>798</v>
      </c>
      <c r="V2958" s="26" t="s">
        <v>798</v>
      </c>
      <c r="W2958" s="20" t="s">
        <v>798</v>
      </c>
      <c r="X2958" s="26" t="s">
        <v>798</v>
      </c>
      <c r="Y2958" s="20" t="s">
        <v>798</v>
      </c>
      <c r="Z2958" s="69" t="s">
        <v>9486</v>
      </c>
      <c r="AA2958" s="72" t="s">
        <v>9477</v>
      </c>
      <c r="AB2958" s="73" t="s">
        <v>9486</v>
      </c>
      <c r="AC2958" s="74" t="s">
        <v>9566</v>
      </c>
      <c r="AD2958" s="73" t="s">
        <v>9578</v>
      </c>
      <c r="AE2958" s="74" t="s">
        <v>9572</v>
      </c>
    </row>
    <row r="2959" spans="1:31" ht="8.65" customHeight="1" x14ac:dyDescent="0.2">
      <c r="A2959" s="76">
        <v>2959</v>
      </c>
      <c r="B2959" s="67" t="str">
        <f>MID(C2959, FIND("Ifc.", C2959) + 4, 4) &amp; "_" &amp; TEXT(COUNTIF($C$2:C2959, C2959),"0000")</f>
        <v>Enti_0092</v>
      </c>
      <c r="C2959" s="25" t="s">
        <v>874</v>
      </c>
      <c r="D2959" s="69" t="s">
        <v>9453</v>
      </c>
      <c r="E2959" s="70" t="s">
        <v>9457</v>
      </c>
      <c r="F2959" s="26" t="s">
        <v>798</v>
      </c>
      <c r="G2959" s="15" t="s">
        <v>798</v>
      </c>
      <c r="H2959" s="14" t="s">
        <v>798</v>
      </c>
      <c r="I2959" s="15" t="s">
        <v>798</v>
      </c>
      <c r="J2959" s="12" t="s">
        <v>9438</v>
      </c>
      <c r="K2959" s="16" t="s">
        <v>3031</v>
      </c>
      <c r="L2959" s="12" t="s">
        <v>800</v>
      </c>
      <c r="M2959" s="16" t="s">
        <v>3998</v>
      </c>
      <c r="N2959" s="19" t="s">
        <v>798</v>
      </c>
      <c r="O2959" s="20" t="s">
        <v>798</v>
      </c>
      <c r="P2959" s="17" t="s">
        <v>802</v>
      </c>
      <c r="Q2959" s="21" t="s">
        <v>8583</v>
      </c>
      <c r="R2959" s="19" t="s">
        <v>798</v>
      </c>
      <c r="S2959" s="20" t="s">
        <v>798</v>
      </c>
      <c r="T2959" s="17" t="s">
        <v>798</v>
      </c>
      <c r="U2959" s="20" t="s">
        <v>798</v>
      </c>
      <c r="V2959" s="26" t="s">
        <v>798</v>
      </c>
      <c r="W2959" s="20" t="s">
        <v>798</v>
      </c>
      <c r="X2959" s="26" t="s">
        <v>798</v>
      </c>
      <c r="Y2959" s="20" t="s">
        <v>798</v>
      </c>
      <c r="Z2959" s="69" t="s">
        <v>9486</v>
      </c>
      <c r="AA2959" s="72" t="s">
        <v>9476</v>
      </c>
      <c r="AB2959" s="73" t="s">
        <v>9486</v>
      </c>
      <c r="AC2959" s="74" t="s">
        <v>9566</v>
      </c>
      <c r="AD2959" s="73" t="s">
        <v>9578</v>
      </c>
      <c r="AE2959" s="74" t="s">
        <v>9572</v>
      </c>
    </row>
    <row r="2960" spans="1:31" ht="8.65" customHeight="1" x14ac:dyDescent="0.2">
      <c r="A2960" s="76">
        <v>2960</v>
      </c>
      <c r="B2960" s="67" t="str">
        <f>MID(C2960, FIND("Ifc.", C2960) + 4, 4) &amp; "_" &amp; TEXT(COUNTIF($C$2:C2960, C2960),"0000")</f>
        <v>Enti_0093</v>
      </c>
      <c r="C2960" s="25" t="s">
        <v>874</v>
      </c>
      <c r="D2960" s="69" t="s">
        <v>9453</v>
      </c>
      <c r="E2960" s="70" t="s">
        <v>9457</v>
      </c>
      <c r="F2960" s="26" t="s">
        <v>798</v>
      </c>
      <c r="G2960" s="15" t="s">
        <v>798</v>
      </c>
      <c r="H2960" s="14" t="s">
        <v>798</v>
      </c>
      <c r="I2960" s="15" t="s">
        <v>798</v>
      </c>
      <c r="J2960" s="12" t="s">
        <v>9438</v>
      </c>
      <c r="K2960" s="16" t="s">
        <v>3032</v>
      </c>
      <c r="L2960" s="12" t="s">
        <v>800</v>
      </c>
      <c r="M2960" s="16" t="s">
        <v>3999</v>
      </c>
      <c r="N2960" s="19" t="s">
        <v>798</v>
      </c>
      <c r="O2960" s="20" t="s">
        <v>798</v>
      </c>
      <c r="P2960" s="17" t="s">
        <v>802</v>
      </c>
      <c r="Q2960" s="21" t="s">
        <v>8584</v>
      </c>
      <c r="R2960" s="19" t="s">
        <v>798</v>
      </c>
      <c r="S2960" s="20" t="s">
        <v>798</v>
      </c>
      <c r="T2960" s="17" t="s">
        <v>798</v>
      </c>
      <c r="U2960" s="20" t="s">
        <v>798</v>
      </c>
      <c r="V2960" s="26" t="s">
        <v>798</v>
      </c>
      <c r="W2960" s="20" t="s">
        <v>798</v>
      </c>
      <c r="X2960" s="26" t="s">
        <v>798</v>
      </c>
      <c r="Y2960" s="20" t="s">
        <v>798</v>
      </c>
      <c r="Z2960" s="69" t="s">
        <v>9486</v>
      </c>
      <c r="AA2960" s="72" t="s">
        <v>9477</v>
      </c>
      <c r="AB2960" s="73" t="s">
        <v>9486</v>
      </c>
      <c r="AC2960" s="74" t="s">
        <v>9566</v>
      </c>
      <c r="AD2960" s="73" t="s">
        <v>9578</v>
      </c>
      <c r="AE2960" s="74" t="s">
        <v>9572</v>
      </c>
    </row>
    <row r="2961" spans="1:31" ht="8.65" customHeight="1" x14ac:dyDescent="0.2">
      <c r="A2961" s="76">
        <v>2961</v>
      </c>
      <c r="B2961" s="67" t="str">
        <f>MID(C2961, FIND("Ifc.", C2961) + 4, 4) &amp; "_" &amp; TEXT(COUNTIF($C$2:C2961, C2961),"0000")</f>
        <v>Enti_0094</v>
      </c>
      <c r="C2961" s="25" t="s">
        <v>874</v>
      </c>
      <c r="D2961" s="69" t="s">
        <v>9453</v>
      </c>
      <c r="E2961" s="70" t="s">
        <v>9457</v>
      </c>
      <c r="F2961" s="26" t="s">
        <v>798</v>
      </c>
      <c r="G2961" s="15" t="s">
        <v>798</v>
      </c>
      <c r="H2961" s="14" t="s">
        <v>798</v>
      </c>
      <c r="I2961" s="15" t="s">
        <v>798</v>
      </c>
      <c r="J2961" s="12" t="s">
        <v>9438</v>
      </c>
      <c r="K2961" s="16" t="s">
        <v>3033</v>
      </c>
      <c r="L2961" s="12" t="s">
        <v>800</v>
      </c>
      <c r="M2961" s="16" t="s">
        <v>4000</v>
      </c>
      <c r="N2961" s="19" t="s">
        <v>798</v>
      </c>
      <c r="O2961" s="20" t="s">
        <v>798</v>
      </c>
      <c r="P2961" s="17" t="s">
        <v>802</v>
      </c>
      <c r="Q2961" s="21" t="s">
        <v>8585</v>
      </c>
      <c r="R2961" s="19" t="s">
        <v>798</v>
      </c>
      <c r="S2961" s="20" t="s">
        <v>798</v>
      </c>
      <c r="T2961" s="17" t="s">
        <v>798</v>
      </c>
      <c r="U2961" s="20" t="s">
        <v>798</v>
      </c>
      <c r="V2961" s="26" t="s">
        <v>798</v>
      </c>
      <c r="W2961" s="20" t="s">
        <v>798</v>
      </c>
      <c r="X2961" s="26" t="s">
        <v>798</v>
      </c>
      <c r="Y2961" s="20" t="s">
        <v>798</v>
      </c>
      <c r="Z2961" s="69" t="s">
        <v>9486</v>
      </c>
      <c r="AA2961" s="72" t="s">
        <v>9476</v>
      </c>
      <c r="AB2961" s="73" t="s">
        <v>9486</v>
      </c>
      <c r="AC2961" s="74" t="s">
        <v>9566</v>
      </c>
      <c r="AD2961" s="73" t="s">
        <v>9578</v>
      </c>
      <c r="AE2961" s="74" t="s">
        <v>9572</v>
      </c>
    </row>
    <row r="2962" spans="1:31" ht="8.65" customHeight="1" x14ac:dyDescent="0.2">
      <c r="A2962" s="76">
        <v>2962</v>
      </c>
      <c r="B2962" s="67" t="str">
        <f>MID(C2962, FIND("Ifc.", C2962) + 4, 4) &amp; "_" &amp; TEXT(COUNTIF($C$2:C2962, C2962),"0000")</f>
        <v>Enti_0095</v>
      </c>
      <c r="C2962" s="25" t="s">
        <v>874</v>
      </c>
      <c r="D2962" s="69" t="s">
        <v>9453</v>
      </c>
      <c r="E2962" s="70" t="s">
        <v>9457</v>
      </c>
      <c r="F2962" s="26" t="s">
        <v>798</v>
      </c>
      <c r="G2962" s="15" t="s">
        <v>798</v>
      </c>
      <c r="H2962" s="14" t="s">
        <v>798</v>
      </c>
      <c r="I2962" s="15" t="s">
        <v>798</v>
      </c>
      <c r="J2962" s="12" t="s">
        <v>9438</v>
      </c>
      <c r="K2962" s="16" t="s">
        <v>3034</v>
      </c>
      <c r="L2962" s="12" t="s">
        <v>800</v>
      </c>
      <c r="M2962" s="16" t="s">
        <v>4001</v>
      </c>
      <c r="N2962" s="19" t="s">
        <v>798</v>
      </c>
      <c r="O2962" s="20" t="s">
        <v>798</v>
      </c>
      <c r="P2962" s="17" t="s">
        <v>802</v>
      </c>
      <c r="Q2962" s="21" t="s">
        <v>8586</v>
      </c>
      <c r="R2962" s="19" t="s">
        <v>798</v>
      </c>
      <c r="S2962" s="20" t="s">
        <v>798</v>
      </c>
      <c r="T2962" s="17" t="s">
        <v>798</v>
      </c>
      <c r="U2962" s="20" t="s">
        <v>798</v>
      </c>
      <c r="V2962" s="26" t="s">
        <v>798</v>
      </c>
      <c r="W2962" s="20" t="s">
        <v>798</v>
      </c>
      <c r="X2962" s="26" t="s">
        <v>798</v>
      </c>
      <c r="Y2962" s="20" t="s">
        <v>798</v>
      </c>
      <c r="Z2962" s="69" t="s">
        <v>9486</v>
      </c>
      <c r="AA2962" s="72" t="s">
        <v>9477</v>
      </c>
      <c r="AB2962" s="73" t="s">
        <v>9486</v>
      </c>
      <c r="AC2962" s="74" t="s">
        <v>9566</v>
      </c>
      <c r="AD2962" s="73" t="s">
        <v>9578</v>
      </c>
      <c r="AE2962" s="74" t="s">
        <v>9572</v>
      </c>
    </row>
    <row r="2963" spans="1:31" ht="8.65" customHeight="1" x14ac:dyDescent="0.2">
      <c r="A2963" s="76">
        <v>2963</v>
      </c>
      <c r="B2963" s="67" t="str">
        <f>MID(C2963, FIND("Ifc.", C2963) + 4, 4) &amp; "_" &amp; TEXT(COUNTIF($C$2:C2963, C2963),"0000")</f>
        <v>Enti_0096</v>
      </c>
      <c r="C2963" s="25" t="s">
        <v>874</v>
      </c>
      <c r="D2963" s="69" t="s">
        <v>9453</v>
      </c>
      <c r="E2963" s="70" t="s">
        <v>9457</v>
      </c>
      <c r="F2963" s="26" t="s">
        <v>798</v>
      </c>
      <c r="G2963" s="15" t="s">
        <v>798</v>
      </c>
      <c r="H2963" s="14" t="s">
        <v>798</v>
      </c>
      <c r="I2963" s="15" t="s">
        <v>798</v>
      </c>
      <c r="J2963" s="12" t="s">
        <v>9438</v>
      </c>
      <c r="K2963" s="16" t="s">
        <v>3035</v>
      </c>
      <c r="L2963" s="12" t="s">
        <v>800</v>
      </c>
      <c r="M2963" s="16" t="s">
        <v>4002</v>
      </c>
      <c r="N2963" s="19" t="s">
        <v>798</v>
      </c>
      <c r="O2963" s="20" t="s">
        <v>798</v>
      </c>
      <c r="P2963" s="17" t="s">
        <v>802</v>
      </c>
      <c r="Q2963" s="21" t="s">
        <v>8587</v>
      </c>
      <c r="R2963" s="19" t="s">
        <v>798</v>
      </c>
      <c r="S2963" s="20" t="s">
        <v>798</v>
      </c>
      <c r="T2963" s="17" t="s">
        <v>798</v>
      </c>
      <c r="U2963" s="20" t="s">
        <v>798</v>
      </c>
      <c r="V2963" s="26" t="s">
        <v>798</v>
      </c>
      <c r="W2963" s="20" t="s">
        <v>798</v>
      </c>
      <c r="X2963" s="26" t="s">
        <v>798</v>
      </c>
      <c r="Y2963" s="20" t="s">
        <v>798</v>
      </c>
      <c r="Z2963" s="69" t="s">
        <v>9486</v>
      </c>
      <c r="AA2963" s="72" t="s">
        <v>9476</v>
      </c>
      <c r="AB2963" s="73" t="s">
        <v>9486</v>
      </c>
      <c r="AC2963" s="74" t="s">
        <v>9566</v>
      </c>
      <c r="AD2963" s="73" t="s">
        <v>9578</v>
      </c>
      <c r="AE2963" s="74" t="s">
        <v>9572</v>
      </c>
    </row>
    <row r="2964" spans="1:31" ht="8.65" customHeight="1" x14ac:dyDescent="0.2">
      <c r="A2964" s="76">
        <v>2964</v>
      </c>
      <c r="B2964" s="67" t="str">
        <f>MID(C2964, FIND("Ifc.", C2964) + 4, 4) &amp; "_" &amp; TEXT(COUNTIF($C$2:C2964, C2964),"0000")</f>
        <v>Enti_0097</v>
      </c>
      <c r="C2964" s="25" t="s">
        <v>874</v>
      </c>
      <c r="D2964" s="69" t="s">
        <v>9453</v>
      </c>
      <c r="E2964" s="70" t="s">
        <v>9457</v>
      </c>
      <c r="F2964" s="26" t="s">
        <v>798</v>
      </c>
      <c r="G2964" s="15" t="s">
        <v>798</v>
      </c>
      <c r="H2964" s="14" t="s">
        <v>798</v>
      </c>
      <c r="I2964" s="15" t="s">
        <v>798</v>
      </c>
      <c r="J2964" s="12" t="s">
        <v>9438</v>
      </c>
      <c r="K2964" s="16" t="s">
        <v>3036</v>
      </c>
      <c r="L2964" s="12" t="s">
        <v>800</v>
      </c>
      <c r="M2964" s="16" t="s">
        <v>4003</v>
      </c>
      <c r="N2964" s="19" t="s">
        <v>798</v>
      </c>
      <c r="O2964" s="20" t="s">
        <v>798</v>
      </c>
      <c r="P2964" s="17" t="s">
        <v>802</v>
      </c>
      <c r="Q2964" s="21" t="s">
        <v>8588</v>
      </c>
      <c r="R2964" s="19" t="s">
        <v>798</v>
      </c>
      <c r="S2964" s="20" t="s">
        <v>798</v>
      </c>
      <c r="T2964" s="17" t="s">
        <v>798</v>
      </c>
      <c r="U2964" s="20" t="s">
        <v>798</v>
      </c>
      <c r="V2964" s="26" t="s">
        <v>798</v>
      </c>
      <c r="W2964" s="20" t="s">
        <v>798</v>
      </c>
      <c r="X2964" s="26" t="s">
        <v>798</v>
      </c>
      <c r="Y2964" s="20" t="s">
        <v>798</v>
      </c>
      <c r="Z2964" s="69" t="s">
        <v>9486</v>
      </c>
      <c r="AA2964" s="72" t="s">
        <v>9477</v>
      </c>
      <c r="AB2964" s="73" t="s">
        <v>9486</v>
      </c>
      <c r="AC2964" s="74" t="s">
        <v>9566</v>
      </c>
      <c r="AD2964" s="73" t="s">
        <v>9578</v>
      </c>
      <c r="AE2964" s="74" t="s">
        <v>9572</v>
      </c>
    </row>
    <row r="2965" spans="1:31" ht="8.65" customHeight="1" x14ac:dyDescent="0.2">
      <c r="A2965" s="76">
        <v>2965</v>
      </c>
      <c r="B2965" s="67" t="str">
        <f>MID(C2965, FIND("Ifc.", C2965) + 4, 4) &amp; "_" &amp; TEXT(COUNTIF($C$2:C2965, C2965),"0000")</f>
        <v>Enti_0098</v>
      </c>
      <c r="C2965" s="25" t="s">
        <v>874</v>
      </c>
      <c r="D2965" s="69" t="s">
        <v>9453</v>
      </c>
      <c r="E2965" s="70" t="s">
        <v>9457</v>
      </c>
      <c r="F2965" s="26" t="s">
        <v>798</v>
      </c>
      <c r="G2965" s="15" t="s">
        <v>798</v>
      </c>
      <c r="H2965" s="14" t="s">
        <v>798</v>
      </c>
      <c r="I2965" s="15" t="s">
        <v>798</v>
      </c>
      <c r="J2965" s="12" t="s">
        <v>9438</v>
      </c>
      <c r="K2965" s="16" t="s">
        <v>3037</v>
      </c>
      <c r="L2965" s="12" t="s">
        <v>800</v>
      </c>
      <c r="M2965" s="16" t="s">
        <v>4004</v>
      </c>
      <c r="N2965" s="19" t="s">
        <v>798</v>
      </c>
      <c r="O2965" s="20" t="s">
        <v>798</v>
      </c>
      <c r="P2965" s="17" t="s">
        <v>802</v>
      </c>
      <c r="Q2965" s="21" t="s">
        <v>8589</v>
      </c>
      <c r="R2965" s="19" t="s">
        <v>798</v>
      </c>
      <c r="S2965" s="20" t="s">
        <v>798</v>
      </c>
      <c r="T2965" s="17" t="s">
        <v>798</v>
      </c>
      <c r="U2965" s="20" t="s">
        <v>798</v>
      </c>
      <c r="V2965" s="26" t="s">
        <v>798</v>
      </c>
      <c r="W2965" s="20" t="s">
        <v>798</v>
      </c>
      <c r="X2965" s="26" t="s">
        <v>798</v>
      </c>
      <c r="Y2965" s="20" t="s">
        <v>798</v>
      </c>
      <c r="Z2965" s="69" t="s">
        <v>9486</v>
      </c>
      <c r="AA2965" s="72" t="s">
        <v>9476</v>
      </c>
      <c r="AB2965" s="73" t="s">
        <v>9486</v>
      </c>
      <c r="AC2965" s="74" t="s">
        <v>9562</v>
      </c>
      <c r="AD2965" s="73" t="s">
        <v>9578</v>
      </c>
      <c r="AE2965" s="74" t="s">
        <v>9579</v>
      </c>
    </row>
    <row r="2966" spans="1:31" ht="8.65" customHeight="1" x14ac:dyDescent="0.2">
      <c r="A2966" s="76">
        <v>2966</v>
      </c>
      <c r="B2966" s="67" t="str">
        <f>MID(C2966, FIND("Ifc.", C2966) + 4, 4) &amp; "_" &amp; TEXT(COUNTIF($C$2:C2966, C2966),"0000")</f>
        <v>Enti_0099</v>
      </c>
      <c r="C2966" s="25" t="s">
        <v>874</v>
      </c>
      <c r="D2966" s="69" t="s">
        <v>9453</v>
      </c>
      <c r="E2966" s="70" t="s">
        <v>9457</v>
      </c>
      <c r="F2966" s="26" t="s">
        <v>798</v>
      </c>
      <c r="G2966" s="15" t="s">
        <v>798</v>
      </c>
      <c r="H2966" s="14" t="s">
        <v>798</v>
      </c>
      <c r="I2966" s="15" t="s">
        <v>798</v>
      </c>
      <c r="J2966" s="12" t="s">
        <v>9438</v>
      </c>
      <c r="K2966" s="16" t="s">
        <v>3038</v>
      </c>
      <c r="L2966" s="12" t="s">
        <v>800</v>
      </c>
      <c r="M2966" s="16" t="s">
        <v>4005</v>
      </c>
      <c r="N2966" s="19" t="s">
        <v>798</v>
      </c>
      <c r="O2966" s="20" t="s">
        <v>798</v>
      </c>
      <c r="P2966" s="17" t="s">
        <v>802</v>
      </c>
      <c r="Q2966" s="21" t="s">
        <v>8590</v>
      </c>
      <c r="R2966" s="19" t="s">
        <v>798</v>
      </c>
      <c r="S2966" s="20" t="s">
        <v>798</v>
      </c>
      <c r="T2966" s="17" t="s">
        <v>798</v>
      </c>
      <c r="U2966" s="20" t="s">
        <v>798</v>
      </c>
      <c r="V2966" s="26" t="s">
        <v>798</v>
      </c>
      <c r="W2966" s="20" t="s">
        <v>798</v>
      </c>
      <c r="X2966" s="26" t="s">
        <v>798</v>
      </c>
      <c r="Y2966" s="20" t="s">
        <v>798</v>
      </c>
      <c r="Z2966" s="69" t="s">
        <v>9486</v>
      </c>
      <c r="AA2966" s="72" t="s">
        <v>9476</v>
      </c>
      <c r="AB2966" s="73" t="s">
        <v>9486</v>
      </c>
      <c r="AC2966" s="74" t="s">
        <v>9566</v>
      </c>
      <c r="AD2966" s="73" t="s">
        <v>9578</v>
      </c>
      <c r="AE2966" s="74" t="s">
        <v>9667</v>
      </c>
    </row>
    <row r="2967" spans="1:31" ht="8.65" customHeight="1" x14ac:dyDescent="0.2">
      <c r="A2967" s="76">
        <v>2967</v>
      </c>
      <c r="B2967" s="67" t="str">
        <f>MID(C2967, FIND("Ifc.", C2967) + 4, 4) &amp; "_" &amp; TEXT(COUNTIF($C$2:C2967, C2967),"0000")</f>
        <v>Enti_0100</v>
      </c>
      <c r="C2967" s="25" t="s">
        <v>874</v>
      </c>
      <c r="D2967" s="69" t="s">
        <v>9453</v>
      </c>
      <c r="E2967" s="70" t="s">
        <v>9457</v>
      </c>
      <c r="F2967" s="26" t="s">
        <v>798</v>
      </c>
      <c r="G2967" s="15" t="s">
        <v>798</v>
      </c>
      <c r="H2967" s="14" t="s">
        <v>798</v>
      </c>
      <c r="I2967" s="15" t="s">
        <v>798</v>
      </c>
      <c r="J2967" s="12" t="s">
        <v>9438</v>
      </c>
      <c r="K2967" s="16" t="s">
        <v>3039</v>
      </c>
      <c r="L2967" s="12" t="s">
        <v>800</v>
      </c>
      <c r="M2967" s="16" t="s">
        <v>4006</v>
      </c>
      <c r="N2967" s="19" t="s">
        <v>798</v>
      </c>
      <c r="O2967" s="20" t="s">
        <v>798</v>
      </c>
      <c r="P2967" s="17" t="s">
        <v>802</v>
      </c>
      <c r="Q2967" s="21" t="s">
        <v>8591</v>
      </c>
      <c r="R2967" s="19" t="s">
        <v>798</v>
      </c>
      <c r="S2967" s="20" t="s">
        <v>798</v>
      </c>
      <c r="T2967" s="17" t="s">
        <v>798</v>
      </c>
      <c r="U2967" s="20" t="s">
        <v>798</v>
      </c>
      <c r="V2967" s="26" t="s">
        <v>798</v>
      </c>
      <c r="W2967" s="20" t="s">
        <v>798</v>
      </c>
      <c r="X2967" s="26" t="s">
        <v>798</v>
      </c>
      <c r="Y2967" s="20" t="s">
        <v>798</v>
      </c>
      <c r="Z2967" s="69" t="s">
        <v>9486</v>
      </c>
      <c r="AA2967" s="72" t="s">
        <v>9477</v>
      </c>
      <c r="AB2967" s="73" t="s">
        <v>9486</v>
      </c>
      <c r="AC2967" s="74" t="s">
        <v>9566</v>
      </c>
      <c r="AD2967" s="73" t="s">
        <v>9578</v>
      </c>
      <c r="AE2967" s="74" t="s">
        <v>9667</v>
      </c>
    </row>
    <row r="2968" spans="1:31" ht="8.65" customHeight="1" x14ac:dyDescent="0.2">
      <c r="A2968" s="76">
        <v>2968</v>
      </c>
      <c r="B2968" s="67" t="str">
        <f>MID(C2968, FIND("Ifc.", C2968) + 4, 4) &amp; "_" &amp; TEXT(COUNTIF($C$2:C2968, C2968),"0000")</f>
        <v>Enti_0101</v>
      </c>
      <c r="C2968" s="25" t="s">
        <v>874</v>
      </c>
      <c r="D2968" s="69" t="s">
        <v>9453</v>
      </c>
      <c r="E2968" s="70" t="s">
        <v>9457</v>
      </c>
      <c r="F2968" s="26" t="s">
        <v>798</v>
      </c>
      <c r="G2968" s="15" t="s">
        <v>798</v>
      </c>
      <c r="H2968" s="14" t="s">
        <v>798</v>
      </c>
      <c r="I2968" s="15" t="s">
        <v>798</v>
      </c>
      <c r="J2968" s="12" t="s">
        <v>9438</v>
      </c>
      <c r="K2968" s="16" t="s">
        <v>3040</v>
      </c>
      <c r="L2968" s="12" t="s">
        <v>800</v>
      </c>
      <c r="M2968" s="16" t="s">
        <v>4007</v>
      </c>
      <c r="N2968" s="19" t="s">
        <v>798</v>
      </c>
      <c r="O2968" s="20" t="s">
        <v>798</v>
      </c>
      <c r="P2968" s="17" t="s">
        <v>802</v>
      </c>
      <c r="Q2968" s="21" t="s">
        <v>8592</v>
      </c>
      <c r="R2968" s="19" t="s">
        <v>798</v>
      </c>
      <c r="S2968" s="20" t="s">
        <v>798</v>
      </c>
      <c r="T2968" s="17" t="s">
        <v>798</v>
      </c>
      <c r="U2968" s="20" t="s">
        <v>798</v>
      </c>
      <c r="V2968" s="26" t="s">
        <v>798</v>
      </c>
      <c r="W2968" s="20" t="s">
        <v>798</v>
      </c>
      <c r="X2968" s="26" t="s">
        <v>798</v>
      </c>
      <c r="Y2968" s="20" t="s">
        <v>798</v>
      </c>
      <c r="Z2968" s="69" t="s">
        <v>9486</v>
      </c>
      <c r="AA2968" s="72" t="s">
        <v>9476</v>
      </c>
      <c r="AB2968" s="73" t="s">
        <v>9486</v>
      </c>
      <c r="AC2968" s="74" t="s">
        <v>9566</v>
      </c>
      <c r="AD2968" s="73" t="s">
        <v>9578</v>
      </c>
      <c r="AE2968" s="74" t="s">
        <v>9579</v>
      </c>
    </row>
    <row r="2969" spans="1:31" ht="8.65" customHeight="1" x14ac:dyDescent="0.2">
      <c r="A2969" s="76">
        <v>2969</v>
      </c>
      <c r="B2969" s="67" t="str">
        <f>MID(C2969, FIND("Ifc.", C2969) + 4, 4) &amp; "_" &amp; TEXT(COUNTIF($C$2:C2969, C2969),"0000")</f>
        <v>Enti_0102</v>
      </c>
      <c r="C2969" s="25" t="s">
        <v>874</v>
      </c>
      <c r="D2969" s="69" t="s">
        <v>9453</v>
      </c>
      <c r="E2969" s="70" t="s">
        <v>9457</v>
      </c>
      <c r="F2969" s="26" t="s">
        <v>798</v>
      </c>
      <c r="G2969" s="15" t="s">
        <v>798</v>
      </c>
      <c r="H2969" s="14" t="s">
        <v>798</v>
      </c>
      <c r="I2969" s="15" t="s">
        <v>798</v>
      </c>
      <c r="J2969" s="12" t="s">
        <v>9438</v>
      </c>
      <c r="K2969" s="16" t="s">
        <v>3041</v>
      </c>
      <c r="L2969" s="12" t="s">
        <v>800</v>
      </c>
      <c r="M2969" s="16" t="s">
        <v>4008</v>
      </c>
      <c r="N2969" s="19" t="s">
        <v>798</v>
      </c>
      <c r="O2969" s="20" t="s">
        <v>798</v>
      </c>
      <c r="P2969" s="17" t="s">
        <v>802</v>
      </c>
      <c r="Q2969" s="21" t="s">
        <v>8593</v>
      </c>
      <c r="R2969" s="19" t="s">
        <v>798</v>
      </c>
      <c r="S2969" s="20" t="s">
        <v>798</v>
      </c>
      <c r="T2969" s="17" t="s">
        <v>798</v>
      </c>
      <c r="U2969" s="20" t="s">
        <v>798</v>
      </c>
      <c r="V2969" s="26" t="s">
        <v>798</v>
      </c>
      <c r="W2969" s="20" t="s">
        <v>798</v>
      </c>
      <c r="X2969" s="26" t="s">
        <v>798</v>
      </c>
      <c r="Y2969" s="20" t="s">
        <v>798</v>
      </c>
      <c r="Z2969" s="69" t="s">
        <v>9486</v>
      </c>
      <c r="AA2969" s="72" t="s">
        <v>9476</v>
      </c>
      <c r="AB2969" s="73" t="s">
        <v>9486</v>
      </c>
      <c r="AC2969" s="74" t="s">
        <v>9566</v>
      </c>
      <c r="AD2969" s="73" t="s">
        <v>9578</v>
      </c>
      <c r="AE2969" s="74" t="s">
        <v>9579</v>
      </c>
    </row>
    <row r="2970" spans="1:31" ht="8.65" customHeight="1" x14ac:dyDescent="0.2">
      <c r="A2970" s="76">
        <v>2970</v>
      </c>
      <c r="B2970" s="67" t="str">
        <f>MID(C2970, FIND("Ifc.", C2970) + 4, 4) &amp; "_" &amp; TEXT(COUNTIF($C$2:C2970, C2970),"0000")</f>
        <v>Enti_0103</v>
      </c>
      <c r="C2970" s="25" t="s">
        <v>874</v>
      </c>
      <c r="D2970" s="69" t="s">
        <v>9453</v>
      </c>
      <c r="E2970" s="70" t="s">
        <v>9457</v>
      </c>
      <c r="F2970" s="26" t="s">
        <v>798</v>
      </c>
      <c r="G2970" s="15" t="s">
        <v>798</v>
      </c>
      <c r="H2970" s="14" t="s">
        <v>798</v>
      </c>
      <c r="I2970" s="15" t="s">
        <v>798</v>
      </c>
      <c r="J2970" s="12" t="s">
        <v>9438</v>
      </c>
      <c r="K2970" s="16" t="s">
        <v>3042</v>
      </c>
      <c r="L2970" s="12" t="s">
        <v>800</v>
      </c>
      <c r="M2970" s="16" t="s">
        <v>4009</v>
      </c>
      <c r="N2970" s="19" t="s">
        <v>798</v>
      </c>
      <c r="O2970" s="20" t="s">
        <v>798</v>
      </c>
      <c r="P2970" s="17" t="s">
        <v>802</v>
      </c>
      <c r="Q2970" s="21" t="s">
        <v>8594</v>
      </c>
      <c r="R2970" s="19" t="s">
        <v>798</v>
      </c>
      <c r="S2970" s="20" t="s">
        <v>798</v>
      </c>
      <c r="T2970" s="17" t="s">
        <v>798</v>
      </c>
      <c r="U2970" s="20" t="s">
        <v>798</v>
      </c>
      <c r="V2970" s="26" t="s">
        <v>798</v>
      </c>
      <c r="W2970" s="20" t="s">
        <v>798</v>
      </c>
      <c r="X2970" s="26" t="s">
        <v>798</v>
      </c>
      <c r="Y2970" s="20" t="s">
        <v>798</v>
      </c>
      <c r="Z2970" s="69" t="s">
        <v>9486</v>
      </c>
      <c r="AA2970" s="72" t="s">
        <v>9477</v>
      </c>
      <c r="AB2970" s="73" t="s">
        <v>9486</v>
      </c>
      <c r="AC2970" s="74" t="s">
        <v>9566</v>
      </c>
      <c r="AD2970" s="73" t="s">
        <v>9578</v>
      </c>
      <c r="AE2970" s="74" t="s">
        <v>9579</v>
      </c>
    </row>
    <row r="2971" spans="1:31" ht="8.65" customHeight="1" x14ac:dyDescent="0.2">
      <c r="A2971" s="76">
        <v>2971</v>
      </c>
      <c r="B2971" s="67" t="str">
        <f>MID(C2971, FIND("Ifc.", C2971) + 4, 4) &amp; "_" &amp; TEXT(COUNTIF($C$2:C2971, C2971),"0000")</f>
        <v>Enti_0104</v>
      </c>
      <c r="C2971" s="25" t="s">
        <v>874</v>
      </c>
      <c r="D2971" s="69" t="s">
        <v>9453</v>
      </c>
      <c r="E2971" s="70" t="s">
        <v>9457</v>
      </c>
      <c r="F2971" s="26" t="s">
        <v>798</v>
      </c>
      <c r="G2971" s="15" t="s">
        <v>798</v>
      </c>
      <c r="H2971" s="14" t="s">
        <v>798</v>
      </c>
      <c r="I2971" s="15" t="s">
        <v>798</v>
      </c>
      <c r="J2971" s="12" t="s">
        <v>9438</v>
      </c>
      <c r="K2971" s="16" t="s">
        <v>3043</v>
      </c>
      <c r="L2971" s="12" t="s">
        <v>800</v>
      </c>
      <c r="M2971" s="16" t="s">
        <v>4010</v>
      </c>
      <c r="N2971" s="19" t="s">
        <v>798</v>
      </c>
      <c r="O2971" s="20" t="s">
        <v>798</v>
      </c>
      <c r="P2971" s="17" t="s">
        <v>802</v>
      </c>
      <c r="Q2971" s="21" t="s">
        <v>8595</v>
      </c>
      <c r="R2971" s="19" t="s">
        <v>798</v>
      </c>
      <c r="S2971" s="20" t="s">
        <v>798</v>
      </c>
      <c r="T2971" s="17" t="s">
        <v>798</v>
      </c>
      <c r="U2971" s="20" t="s">
        <v>798</v>
      </c>
      <c r="V2971" s="26" t="s">
        <v>798</v>
      </c>
      <c r="W2971" s="20" t="s">
        <v>798</v>
      </c>
      <c r="X2971" s="26" t="s">
        <v>798</v>
      </c>
      <c r="Y2971" s="20" t="s">
        <v>798</v>
      </c>
      <c r="Z2971" s="69" t="s">
        <v>9486</v>
      </c>
      <c r="AA2971" s="72" t="s">
        <v>9476</v>
      </c>
      <c r="AB2971" s="73" t="s">
        <v>9486</v>
      </c>
      <c r="AC2971" s="74" t="s">
        <v>9566</v>
      </c>
      <c r="AD2971" s="73" t="s">
        <v>9578</v>
      </c>
      <c r="AE2971" s="74" t="s">
        <v>9579</v>
      </c>
    </row>
    <row r="2972" spans="1:31" ht="8.65" customHeight="1" x14ac:dyDescent="0.2">
      <c r="A2972" s="76">
        <v>2972</v>
      </c>
      <c r="B2972" s="67" t="str">
        <f>MID(C2972, FIND("Ifc.", C2972) + 4, 4) &amp; "_" &amp; TEXT(COUNTIF($C$2:C2972, C2972),"0000")</f>
        <v>Enti_0105</v>
      </c>
      <c r="C2972" s="25" t="s">
        <v>874</v>
      </c>
      <c r="D2972" s="69" t="s">
        <v>9453</v>
      </c>
      <c r="E2972" s="70" t="s">
        <v>9457</v>
      </c>
      <c r="F2972" s="26" t="s">
        <v>798</v>
      </c>
      <c r="G2972" s="15" t="s">
        <v>798</v>
      </c>
      <c r="H2972" s="14" t="s">
        <v>798</v>
      </c>
      <c r="I2972" s="15" t="s">
        <v>798</v>
      </c>
      <c r="J2972" s="12" t="s">
        <v>9438</v>
      </c>
      <c r="K2972" s="16" t="s">
        <v>3044</v>
      </c>
      <c r="L2972" s="12" t="s">
        <v>800</v>
      </c>
      <c r="M2972" s="16" t="s">
        <v>4011</v>
      </c>
      <c r="N2972" s="19" t="s">
        <v>798</v>
      </c>
      <c r="O2972" s="20" t="s">
        <v>798</v>
      </c>
      <c r="P2972" s="17" t="s">
        <v>802</v>
      </c>
      <c r="Q2972" s="21" t="s">
        <v>8596</v>
      </c>
      <c r="R2972" s="19" t="s">
        <v>798</v>
      </c>
      <c r="S2972" s="20" t="s">
        <v>798</v>
      </c>
      <c r="T2972" s="17" t="s">
        <v>798</v>
      </c>
      <c r="U2972" s="20" t="s">
        <v>798</v>
      </c>
      <c r="V2972" s="26" t="s">
        <v>798</v>
      </c>
      <c r="W2972" s="20" t="s">
        <v>798</v>
      </c>
      <c r="X2972" s="26" t="s">
        <v>798</v>
      </c>
      <c r="Y2972" s="20" t="s">
        <v>798</v>
      </c>
      <c r="Z2972" s="69" t="s">
        <v>9486</v>
      </c>
      <c r="AA2972" s="72" t="s">
        <v>9477</v>
      </c>
      <c r="AB2972" s="73" t="s">
        <v>9486</v>
      </c>
      <c r="AC2972" s="74" t="s">
        <v>9566</v>
      </c>
      <c r="AD2972" s="73" t="s">
        <v>9578</v>
      </c>
      <c r="AE2972" s="74" t="s">
        <v>9579</v>
      </c>
    </row>
    <row r="2973" spans="1:31" ht="8.65" customHeight="1" x14ac:dyDescent="0.2">
      <c r="A2973" s="76">
        <v>2973</v>
      </c>
      <c r="B2973" s="67" t="str">
        <f>MID(C2973, FIND("Ifc.", C2973) + 4, 4) &amp; "_" &amp; TEXT(COUNTIF($C$2:C2973, C2973),"0000")</f>
        <v>Enti_0106</v>
      </c>
      <c r="C2973" s="25" t="s">
        <v>874</v>
      </c>
      <c r="D2973" s="69" t="s">
        <v>9453</v>
      </c>
      <c r="E2973" s="70" t="s">
        <v>9457</v>
      </c>
      <c r="F2973" s="26" t="s">
        <v>798</v>
      </c>
      <c r="G2973" s="15" t="s">
        <v>798</v>
      </c>
      <c r="H2973" s="14" t="s">
        <v>798</v>
      </c>
      <c r="I2973" s="15" t="s">
        <v>798</v>
      </c>
      <c r="J2973" s="12" t="s">
        <v>9438</v>
      </c>
      <c r="K2973" s="16" t="s">
        <v>3045</v>
      </c>
      <c r="L2973" s="12" t="s">
        <v>800</v>
      </c>
      <c r="M2973" s="16" t="s">
        <v>4012</v>
      </c>
      <c r="N2973" s="19" t="s">
        <v>798</v>
      </c>
      <c r="O2973" s="20" t="s">
        <v>798</v>
      </c>
      <c r="P2973" s="17" t="s">
        <v>802</v>
      </c>
      <c r="Q2973" s="21" t="s">
        <v>8597</v>
      </c>
      <c r="R2973" s="19" t="s">
        <v>798</v>
      </c>
      <c r="S2973" s="20" t="s">
        <v>798</v>
      </c>
      <c r="T2973" s="17" t="s">
        <v>798</v>
      </c>
      <c r="U2973" s="20" t="s">
        <v>798</v>
      </c>
      <c r="V2973" s="26" t="s">
        <v>798</v>
      </c>
      <c r="W2973" s="20" t="s">
        <v>798</v>
      </c>
      <c r="X2973" s="26" t="s">
        <v>798</v>
      </c>
      <c r="Y2973" s="20" t="s">
        <v>798</v>
      </c>
      <c r="Z2973" s="69" t="s">
        <v>9486</v>
      </c>
      <c r="AA2973" s="72" t="s">
        <v>9476</v>
      </c>
      <c r="AB2973" s="73" t="s">
        <v>9486</v>
      </c>
      <c r="AC2973" s="74" t="s">
        <v>9566</v>
      </c>
      <c r="AD2973" s="73" t="s">
        <v>9578</v>
      </c>
      <c r="AE2973" s="74" t="s">
        <v>9579</v>
      </c>
    </row>
    <row r="2974" spans="1:31" ht="8.65" customHeight="1" x14ac:dyDescent="0.2">
      <c r="A2974" s="76">
        <v>2974</v>
      </c>
      <c r="B2974" s="67" t="str">
        <f>MID(C2974, FIND("Ifc.", C2974) + 4, 4) &amp; "_" &amp; TEXT(COUNTIF($C$2:C2974, C2974),"0000")</f>
        <v>Enti_0107</v>
      </c>
      <c r="C2974" s="25" t="s">
        <v>874</v>
      </c>
      <c r="D2974" s="69" t="s">
        <v>9453</v>
      </c>
      <c r="E2974" s="70" t="s">
        <v>9457</v>
      </c>
      <c r="F2974" s="26" t="s">
        <v>798</v>
      </c>
      <c r="G2974" s="15" t="s">
        <v>798</v>
      </c>
      <c r="H2974" s="14" t="s">
        <v>798</v>
      </c>
      <c r="I2974" s="15" t="s">
        <v>798</v>
      </c>
      <c r="J2974" s="12" t="s">
        <v>9438</v>
      </c>
      <c r="K2974" s="16" t="s">
        <v>3046</v>
      </c>
      <c r="L2974" s="12" t="s">
        <v>800</v>
      </c>
      <c r="M2974" s="16" t="s">
        <v>4013</v>
      </c>
      <c r="N2974" s="19" t="s">
        <v>798</v>
      </c>
      <c r="O2974" s="20" t="s">
        <v>798</v>
      </c>
      <c r="P2974" s="17" t="s">
        <v>802</v>
      </c>
      <c r="Q2974" s="21" t="s">
        <v>8598</v>
      </c>
      <c r="R2974" s="19" t="s">
        <v>798</v>
      </c>
      <c r="S2974" s="20" t="s">
        <v>798</v>
      </c>
      <c r="T2974" s="17" t="s">
        <v>798</v>
      </c>
      <c r="U2974" s="20" t="s">
        <v>798</v>
      </c>
      <c r="V2974" s="26" t="s">
        <v>798</v>
      </c>
      <c r="W2974" s="20" t="s">
        <v>798</v>
      </c>
      <c r="X2974" s="26" t="s">
        <v>798</v>
      </c>
      <c r="Y2974" s="20" t="s">
        <v>798</v>
      </c>
      <c r="Z2974" s="69" t="s">
        <v>9486</v>
      </c>
      <c r="AA2974" s="72" t="s">
        <v>9477</v>
      </c>
      <c r="AB2974" s="73" t="s">
        <v>9486</v>
      </c>
      <c r="AC2974" s="74" t="s">
        <v>9566</v>
      </c>
      <c r="AD2974" s="73" t="s">
        <v>9578</v>
      </c>
      <c r="AE2974" s="74" t="s">
        <v>9579</v>
      </c>
    </row>
    <row r="2975" spans="1:31" ht="8.65" customHeight="1" x14ac:dyDescent="0.2">
      <c r="A2975" s="76">
        <v>2975</v>
      </c>
      <c r="B2975" s="67" t="str">
        <f>MID(C2975, FIND("Ifc.", C2975) + 4, 4) &amp; "_" &amp; TEXT(COUNTIF($C$2:C2975, C2975),"0000")</f>
        <v>Enti_0108</v>
      </c>
      <c r="C2975" s="25" t="s">
        <v>874</v>
      </c>
      <c r="D2975" s="69" t="s">
        <v>9453</v>
      </c>
      <c r="E2975" s="70" t="s">
        <v>9457</v>
      </c>
      <c r="F2975" s="26" t="s">
        <v>798</v>
      </c>
      <c r="G2975" s="15" t="s">
        <v>798</v>
      </c>
      <c r="H2975" s="14" t="s">
        <v>798</v>
      </c>
      <c r="I2975" s="15" t="s">
        <v>798</v>
      </c>
      <c r="J2975" s="12" t="s">
        <v>9438</v>
      </c>
      <c r="K2975" s="16" t="s">
        <v>3047</v>
      </c>
      <c r="L2975" s="12" t="s">
        <v>800</v>
      </c>
      <c r="M2975" s="16" t="s">
        <v>4014</v>
      </c>
      <c r="N2975" s="19" t="s">
        <v>798</v>
      </c>
      <c r="O2975" s="20" t="s">
        <v>798</v>
      </c>
      <c r="P2975" s="17" t="s">
        <v>802</v>
      </c>
      <c r="Q2975" s="21" t="s">
        <v>8599</v>
      </c>
      <c r="R2975" s="19" t="s">
        <v>798</v>
      </c>
      <c r="S2975" s="20" t="s">
        <v>798</v>
      </c>
      <c r="T2975" s="17" t="s">
        <v>798</v>
      </c>
      <c r="U2975" s="20" t="s">
        <v>798</v>
      </c>
      <c r="V2975" s="26" t="s">
        <v>798</v>
      </c>
      <c r="W2975" s="20" t="s">
        <v>798</v>
      </c>
      <c r="X2975" s="26" t="s">
        <v>798</v>
      </c>
      <c r="Y2975" s="20" t="s">
        <v>798</v>
      </c>
      <c r="Z2975" s="69" t="s">
        <v>9486</v>
      </c>
      <c r="AA2975" s="72" t="s">
        <v>9476</v>
      </c>
      <c r="AB2975" s="73" t="s">
        <v>9486</v>
      </c>
      <c r="AC2975" s="74" t="s">
        <v>9566</v>
      </c>
      <c r="AD2975" s="73" t="s">
        <v>9578</v>
      </c>
      <c r="AE2975" s="74" t="s">
        <v>9579</v>
      </c>
    </row>
    <row r="2976" spans="1:31" ht="8.65" customHeight="1" x14ac:dyDescent="0.2">
      <c r="A2976" s="76">
        <v>2976</v>
      </c>
      <c r="B2976" s="67" t="str">
        <f>MID(C2976, FIND("Ifc.", C2976) + 4, 4) &amp; "_" &amp; TEXT(COUNTIF($C$2:C2976, C2976),"0000")</f>
        <v>Enti_0109</v>
      </c>
      <c r="C2976" s="25" t="s">
        <v>874</v>
      </c>
      <c r="D2976" s="69" t="s">
        <v>9453</v>
      </c>
      <c r="E2976" s="70" t="s">
        <v>9457</v>
      </c>
      <c r="F2976" s="26" t="s">
        <v>798</v>
      </c>
      <c r="G2976" s="15" t="s">
        <v>798</v>
      </c>
      <c r="H2976" s="14" t="s">
        <v>798</v>
      </c>
      <c r="I2976" s="15" t="s">
        <v>798</v>
      </c>
      <c r="J2976" s="12" t="s">
        <v>9438</v>
      </c>
      <c r="K2976" s="16" t="s">
        <v>3048</v>
      </c>
      <c r="L2976" s="12" t="s">
        <v>800</v>
      </c>
      <c r="M2976" s="16" t="s">
        <v>4015</v>
      </c>
      <c r="N2976" s="19" t="s">
        <v>798</v>
      </c>
      <c r="O2976" s="20" t="s">
        <v>798</v>
      </c>
      <c r="P2976" s="17" t="s">
        <v>802</v>
      </c>
      <c r="Q2976" s="21" t="s">
        <v>8600</v>
      </c>
      <c r="R2976" s="19" t="s">
        <v>798</v>
      </c>
      <c r="S2976" s="20" t="s">
        <v>798</v>
      </c>
      <c r="T2976" s="17" t="s">
        <v>798</v>
      </c>
      <c r="U2976" s="20" t="s">
        <v>798</v>
      </c>
      <c r="V2976" s="26" t="s">
        <v>798</v>
      </c>
      <c r="W2976" s="20" t="s">
        <v>798</v>
      </c>
      <c r="X2976" s="26" t="s">
        <v>798</v>
      </c>
      <c r="Y2976" s="20" t="s">
        <v>798</v>
      </c>
      <c r="Z2976" s="69" t="s">
        <v>9486</v>
      </c>
      <c r="AA2976" s="72" t="s">
        <v>9476</v>
      </c>
      <c r="AB2976" s="73" t="s">
        <v>9486</v>
      </c>
      <c r="AC2976" s="74" t="s">
        <v>9566</v>
      </c>
      <c r="AD2976" s="73" t="s">
        <v>9578</v>
      </c>
      <c r="AE2976" s="74" t="s">
        <v>9579</v>
      </c>
    </row>
    <row r="2977" spans="1:31" ht="8.65" customHeight="1" x14ac:dyDescent="0.2">
      <c r="A2977" s="76">
        <v>2977</v>
      </c>
      <c r="B2977" s="67" t="str">
        <f>MID(C2977, FIND("Ifc.", C2977) + 4, 4) &amp; "_" &amp; TEXT(COUNTIF($C$2:C2977, C2977),"0000")</f>
        <v>Enti_0110</v>
      </c>
      <c r="C2977" s="25" t="s">
        <v>874</v>
      </c>
      <c r="D2977" s="69" t="s">
        <v>9453</v>
      </c>
      <c r="E2977" s="70" t="s">
        <v>9457</v>
      </c>
      <c r="F2977" s="26" t="s">
        <v>798</v>
      </c>
      <c r="G2977" s="15" t="s">
        <v>798</v>
      </c>
      <c r="H2977" s="14" t="s">
        <v>798</v>
      </c>
      <c r="I2977" s="15" t="s">
        <v>798</v>
      </c>
      <c r="J2977" s="12" t="s">
        <v>9438</v>
      </c>
      <c r="K2977" s="16" t="s">
        <v>3049</v>
      </c>
      <c r="L2977" s="12" t="s">
        <v>800</v>
      </c>
      <c r="M2977" s="16" t="s">
        <v>4016</v>
      </c>
      <c r="N2977" s="19" t="s">
        <v>798</v>
      </c>
      <c r="O2977" s="20" t="s">
        <v>798</v>
      </c>
      <c r="P2977" s="17" t="s">
        <v>802</v>
      </c>
      <c r="Q2977" s="21" t="s">
        <v>8601</v>
      </c>
      <c r="R2977" s="19" t="s">
        <v>798</v>
      </c>
      <c r="S2977" s="20" t="s">
        <v>798</v>
      </c>
      <c r="T2977" s="17" t="s">
        <v>798</v>
      </c>
      <c r="U2977" s="20" t="s">
        <v>798</v>
      </c>
      <c r="V2977" s="26" t="s">
        <v>798</v>
      </c>
      <c r="W2977" s="20" t="s">
        <v>798</v>
      </c>
      <c r="X2977" s="26" t="s">
        <v>798</v>
      </c>
      <c r="Y2977" s="20" t="s">
        <v>798</v>
      </c>
      <c r="Z2977" s="69" t="s">
        <v>9486</v>
      </c>
      <c r="AA2977" s="72" t="s">
        <v>9476</v>
      </c>
      <c r="AB2977" s="73" t="s">
        <v>9486</v>
      </c>
      <c r="AC2977" s="74" t="s">
        <v>9566</v>
      </c>
      <c r="AD2977" s="73" t="s">
        <v>9578</v>
      </c>
      <c r="AE2977" s="74" t="s">
        <v>9666</v>
      </c>
    </row>
    <row r="2978" spans="1:31" ht="8.65" customHeight="1" x14ac:dyDescent="0.2">
      <c r="A2978" s="76">
        <v>2978</v>
      </c>
      <c r="B2978" s="67" t="str">
        <f>MID(C2978, FIND("Ifc.", C2978) + 4, 4) &amp; "_" &amp; TEXT(COUNTIF($C$2:C2978, C2978),"0000")</f>
        <v>Enti_0111</v>
      </c>
      <c r="C2978" s="25" t="s">
        <v>874</v>
      </c>
      <c r="D2978" s="69" t="s">
        <v>9453</v>
      </c>
      <c r="E2978" s="70" t="s">
        <v>9457</v>
      </c>
      <c r="F2978" s="26" t="s">
        <v>798</v>
      </c>
      <c r="G2978" s="15" t="s">
        <v>798</v>
      </c>
      <c r="H2978" s="14" t="s">
        <v>798</v>
      </c>
      <c r="I2978" s="15" t="s">
        <v>798</v>
      </c>
      <c r="J2978" s="12" t="s">
        <v>9438</v>
      </c>
      <c r="K2978" s="16" t="s">
        <v>3050</v>
      </c>
      <c r="L2978" s="12" t="s">
        <v>800</v>
      </c>
      <c r="M2978" s="16" t="s">
        <v>4017</v>
      </c>
      <c r="N2978" s="19" t="s">
        <v>798</v>
      </c>
      <c r="O2978" s="20" t="s">
        <v>798</v>
      </c>
      <c r="P2978" s="17" t="s">
        <v>802</v>
      </c>
      <c r="Q2978" s="21" t="s">
        <v>8602</v>
      </c>
      <c r="R2978" s="19" t="s">
        <v>798</v>
      </c>
      <c r="S2978" s="20" t="s">
        <v>798</v>
      </c>
      <c r="T2978" s="17" t="s">
        <v>798</v>
      </c>
      <c r="U2978" s="20" t="s">
        <v>798</v>
      </c>
      <c r="V2978" s="26" t="s">
        <v>798</v>
      </c>
      <c r="W2978" s="20" t="s">
        <v>798</v>
      </c>
      <c r="X2978" s="26" t="s">
        <v>798</v>
      </c>
      <c r="Y2978" s="20" t="s">
        <v>798</v>
      </c>
      <c r="Z2978" s="69" t="s">
        <v>9486</v>
      </c>
      <c r="AA2978" s="72" t="s">
        <v>9477</v>
      </c>
      <c r="AB2978" s="73" t="s">
        <v>9486</v>
      </c>
      <c r="AC2978" s="74" t="s">
        <v>9566</v>
      </c>
      <c r="AD2978" s="73" t="s">
        <v>9578</v>
      </c>
      <c r="AE2978" s="74" t="s">
        <v>9666</v>
      </c>
    </row>
    <row r="2979" spans="1:31" ht="8.65" customHeight="1" x14ac:dyDescent="0.2">
      <c r="A2979" s="76">
        <v>2979</v>
      </c>
      <c r="B2979" s="67" t="str">
        <f>MID(C2979, FIND("Ifc.", C2979) + 4, 4) &amp; "_" &amp; TEXT(COUNTIF($C$2:C2979, C2979),"0000")</f>
        <v>Enti_0112</v>
      </c>
      <c r="C2979" s="25" t="s">
        <v>874</v>
      </c>
      <c r="D2979" s="69" t="s">
        <v>9453</v>
      </c>
      <c r="E2979" s="70" t="s">
        <v>9457</v>
      </c>
      <c r="F2979" s="26" t="s">
        <v>798</v>
      </c>
      <c r="G2979" s="15" t="s">
        <v>798</v>
      </c>
      <c r="H2979" s="14" t="s">
        <v>798</v>
      </c>
      <c r="I2979" s="15" t="s">
        <v>798</v>
      </c>
      <c r="J2979" s="12" t="s">
        <v>9438</v>
      </c>
      <c r="K2979" s="16" t="s">
        <v>3051</v>
      </c>
      <c r="L2979" s="12" t="s">
        <v>800</v>
      </c>
      <c r="M2979" s="16" t="s">
        <v>4018</v>
      </c>
      <c r="N2979" s="19" t="s">
        <v>798</v>
      </c>
      <c r="O2979" s="20" t="s">
        <v>798</v>
      </c>
      <c r="P2979" s="17" t="s">
        <v>802</v>
      </c>
      <c r="Q2979" s="21" t="s">
        <v>8603</v>
      </c>
      <c r="R2979" s="19" t="s">
        <v>798</v>
      </c>
      <c r="S2979" s="20" t="s">
        <v>798</v>
      </c>
      <c r="T2979" s="17" t="s">
        <v>798</v>
      </c>
      <c r="U2979" s="20" t="s">
        <v>798</v>
      </c>
      <c r="V2979" s="26" t="s">
        <v>798</v>
      </c>
      <c r="W2979" s="20" t="s">
        <v>798</v>
      </c>
      <c r="X2979" s="26" t="s">
        <v>798</v>
      </c>
      <c r="Y2979" s="20" t="s">
        <v>798</v>
      </c>
      <c r="Z2979" s="69" t="s">
        <v>9486</v>
      </c>
      <c r="AA2979" s="72" t="s">
        <v>9476</v>
      </c>
      <c r="AB2979" s="73" t="s">
        <v>9486</v>
      </c>
      <c r="AC2979" s="74" t="s">
        <v>9566</v>
      </c>
      <c r="AD2979" s="73" t="s">
        <v>9578</v>
      </c>
      <c r="AE2979" s="74" t="s">
        <v>9665</v>
      </c>
    </row>
    <row r="2980" spans="1:31" ht="8.65" customHeight="1" x14ac:dyDescent="0.2">
      <c r="A2980" s="76">
        <v>2980</v>
      </c>
      <c r="B2980" s="67" t="str">
        <f>MID(C2980, FIND("Ifc.", C2980) + 4, 4) &amp; "_" &amp; TEXT(COUNTIF($C$2:C2980, C2980),"0000")</f>
        <v>Enti_0113</v>
      </c>
      <c r="C2980" s="25" t="s">
        <v>874</v>
      </c>
      <c r="D2980" s="69" t="s">
        <v>9453</v>
      </c>
      <c r="E2980" s="70" t="s">
        <v>9457</v>
      </c>
      <c r="F2980" s="26" t="s">
        <v>798</v>
      </c>
      <c r="G2980" s="15" t="s">
        <v>798</v>
      </c>
      <c r="H2980" s="14" t="s">
        <v>798</v>
      </c>
      <c r="I2980" s="15" t="s">
        <v>798</v>
      </c>
      <c r="J2980" s="12" t="s">
        <v>9438</v>
      </c>
      <c r="K2980" s="16" t="s">
        <v>3052</v>
      </c>
      <c r="L2980" s="12" t="s">
        <v>800</v>
      </c>
      <c r="M2980" s="16" t="s">
        <v>4019</v>
      </c>
      <c r="N2980" s="19" t="s">
        <v>798</v>
      </c>
      <c r="O2980" s="20" t="s">
        <v>798</v>
      </c>
      <c r="P2980" s="17" t="s">
        <v>802</v>
      </c>
      <c r="Q2980" s="21" t="s">
        <v>8604</v>
      </c>
      <c r="R2980" s="19" t="s">
        <v>798</v>
      </c>
      <c r="S2980" s="20" t="s">
        <v>798</v>
      </c>
      <c r="T2980" s="17" t="s">
        <v>798</v>
      </c>
      <c r="U2980" s="20" t="s">
        <v>798</v>
      </c>
      <c r="V2980" s="26" t="s">
        <v>798</v>
      </c>
      <c r="W2980" s="20" t="s">
        <v>798</v>
      </c>
      <c r="X2980" s="26" t="s">
        <v>798</v>
      </c>
      <c r="Y2980" s="20" t="s">
        <v>798</v>
      </c>
      <c r="Z2980" s="69" t="s">
        <v>9486</v>
      </c>
      <c r="AA2980" s="72" t="s">
        <v>9477</v>
      </c>
      <c r="AB2980" s="73" t="s">
        <v>9486</v>
      </c>
      <c r="AC2980" s="74" t="s">
        <v>9566</v>
      </c>
      <c r="AD2980" s="73" t="s">
        <v>9578</v>
      </c>
      <c r="AE2980" s="74" t="s">
        <v>9665</v>
      </c>
    </row>
    <row r="2981" spans="1:31" ht="8.65" customHeight="1" x14ac:dyDescent="0.2">
      <c r="A2981" s="76">
        <v>2981</v>
      </c>
      <c r="B2981" s="67" t="str">
        <f>MID(C2981, FIND("Ifc.", C2981) + 4, 4) &amp; "_" &amp; TEXT(COUNTIF($C$2:C2981, C2981),"0000")</f>
        <v>Enti_0114</v>
      </c>
      <c r="C2981" s="25" t="s">
        <v>874</v>
      </c>
      <c r="D2981" s="69" t="s">
        <v>9453</v>
      </c>
      <c r="E2981" s="70" t="s">
        <v>9457</v>
      </c>
      <c r="F2981" s="26" t="s">
        <v>798</v>
      </c>
      <c r="G2981" s="15" t="s">
        <v>798</v>
      </c>
      <c r="H2981" s="14" t="s">
        <v>798</v>
      </c>
      <c r="I2981" s="15" t="s">
        <v>798</v>
      </c>
      <c r="J2981" s="12" t="s">
        <v>9438</v>
      </c>
      <c r="K2981" s="16" t="s">
        <v>3053</v>
      </c>
      <c r="L2981" s="12" t="s">
        <v>800</v>
      </c>
      <c r="M2981" s="16" t="s">
        <v>4020</v>
      </c>
      <c r="N2981" s="19" t="s">
        <v>798</v>
      </c>
      <c r="O2981" s="20" t="s">
        <v>798</v>
      </c>
      <c r="P2981" s="17" t="s">
        <v>802</v>
      </c>
      <c r="Q2981" s="21" t="s">
        <v>8605</v>
      </c>
      <c r="R2981" s="19" t="s">
        <v>798</v>
      </c>
      <c r="S2981" s="20" t="s">
        <v>798</v>
      </c>
      <c r="T2981" s="17" t="s">
        <v>798</v>
      </c>
      <c r="U2981" s="20" t="s">
        <v>798</v>
      </c>
      <c r="V2981" s="26" t="s">
        <v>798</v>
      </c>
      <c r="W2981" s="20" t="s">
        <v>798</v>
      </c>
      <c r="X2981" s="26" t="s">
        <v>798</v>
      </c>
      <c r="Y2981" s="20" t="s">
        <v>798</v>
      </c>
      <c r="Z2981" s="69" t="s">
        <v>9486</v>
      </c>
      <c r="AA2981" s="72" t="s">
        <v>9476</v>
      </c>
      <c r="AB2981" s="73" t="s">
        <v>9486</v>
      </c>
      <c r="AC2981" s="74" t="s">
        <v>9566</v>
      </c>
      <c r="AD2981" s="73" t="s">
        <v>9578</v>
      </c>
      <c r="AE2981" s="74" t="s">
        <v>9579</v>
      </c>
    </row>
    <row r="2982" spans="1:31" ht="8.65" customHeight="1" x14ac:dyDescent="0.2">
      <c r="A2982" s="76">
        <v>2982</v>
      </c>
      <c r="B2982" s="67" t="str">
        <f>MID(C2982, FIND("Ifc.", C2982) + 4, 4) &amp; "_" &amp; TEXT(COUNTIF($C$2:C2982, C2982),"0000")</f>
        <v>Enti_0115</v>
      </c>
      <c r="C2982" s="25" t="s">
        <v>874</v>
      </c>
      <c r="D2982" s="69" t="s">
        <v>9453</v>
      </c>
      <c r="E2982" s="70" t="s">
        <v>9457</v>
      </c>
      <c r="F2982" s="26" t="s">
        <v>798</v>
      </c>
      <c r="G2982" s="15" t="s">
        <v>798</v>
      </c>
      <c r="H2982" s="14" t="s">
        <v>798</v>
      </c>
      <c r="I2982" s="15" t="s">
        <v>798</v>
      </c>
      <c r="J2982" s="12" t="s">
        <v>9438</v>
      </c>
      <c r="K2982" s="16" t="s">
        <v>3054</v>
      </c>
      <c r="L2982" s="12" t="s">
        <v>800</v>
      </c>
      <c r="M2982" s="16" t="s">
        <v>4021</v>
      </c>
      <c r="N2982" s="19" t="s">
        <v>798</v>
      </c>
      <c r="O2982" s="20" t="s">
        <v>798</v>
      </c>
      <c r="P2982" s="17" t="s">
        <v>802</v>
      </c>
      <c r="Q2982" s="21" t="s">
        <v>8606</v>
      </c>
      <c r="R2982" s="19" t="s">
        <v>798</v>
      </c>
      <c r="S2982" s="20" t="s">
        <v>798</v>
      </c>
      <c r="T2982" s="17" t="s">
        <v>798</v>
      </c>
      <c r="U2982" s="20" t="s">
        <v>798</v>
      </c>
      <c r="V2982" s="26" t="s">
        <v>798</v>
      </c>
      <c r="W2982" s="20" t="s">
        <v>798</v>
      </c>
      <c r="X2982" s="26" t="s">
        <v>798</v>
      </c>
      <c r="Y2982" s="20" t="s">
        <v>798</v>
      </c>
      <c r="Z2982" s="69" t="s">
        <v>9486</v>
      </c>
      <c r="AA2982" s="72" t="s">
        <v>9477</v>
      </c>
      <c r="AB2982" s="73" t="s">
        <v>9486</v>
      </c>
      <c r="AC2982" s="74" t="s">
        <v>9566</v>
      </c>
      <c r="AD2982" s="73" t="s">
        <v>9578</v>
      </c>
      <c r="AE2982" s="74" t="s">
        <v>9579</v>
      </c>
    </row>
    <row r="2983" spans="1:31" ht="8.65" customHeight="1" x14ac:dyDescent="0.2">
      <c r="A2983" s="76">
        <v>2983</v>
      </c>
      <c r="B2983" s="67" t="str">
        <f>MID(C2983, FIND("Ifc.", C2983) + 4, 4) &amp; "_" &amp; TEXT(COUNTIF($C$2:C2983, C2983),"0000")</f>
        <v>Enti_0116</v>
      </c>
      <c r="C2983" s="25" t="s">
        <v>874</v>
      </c>
      <c r="D2983" s="69" t="s">
        <v>9453</v>
      </c>
      <c r="E2983" s="70" t="s">
        <v>9457</v>
      </c>
      <c r="F2983" s="26" t="s">
        <v>798</v>
      </c>
      <c r="G2983" s="15" t="s">
        <v>798</v>
      </c>
      <c r="H2983" s="14" t="s">
        <v>798</v>
      </c>
      <c r="I2983" s="15" t="s">
        <v>798</v>
      </c>
      <c r="J2983" s="12" t="s">
        <v>9438</v>
      </c>
      <c r="K2983" s="16" t="s">
        <v>3055</v>
      </c>
      <c r="L2983" s="12" t="s">
        <v>800</v>
      </c>
      <c r="M2983" s="16" t="s">
        <v>4022</v>
      </c>
      <c r="N2983" s="19" t="s">
        <v>798</v>
      </c>
      <c r="O2983" s="20" t="s">
        <v>798</v>
      </c>
      <c r="P2983" s="17" t="s">
        <v>802</v>
      </c>
      <c r="Q2983" s="21" t="s">
        <v>8607</v>
      </c>
      <c r="R2983" s="19" t="s">
        <v>798</v>
      </c>
      <c r="S2983" s="20" t="s">
        <v>798</v>
      </c>
      <c r="T2983" s="17" t="s">
        <v>798</v>
      </c>
      <c r="U2983" s="20" t="s">
        <v>798</v>
      </c>
      <c r="V2983" s="26" t="s">
        <v>798</v>
      </c>
      <c r="W2983" s="20" t="s">
        <v>798</v>
      </c>
      <c r="X2983" s="26" t="s">
        <v>798</v>
      </c>
      <c r="Y2983" s="20" t="s">
        <v>798</v>
      </c>
      <c r="Z2983" s="69" t="s">
        <v>9486</v>
      </c>
      <c r="AA2983" s="72" t="s">
        <v>9476</v>
      </c>
      <c r="AB2983" s="73" t="s">
        <v>9486</v>
      </c>
      <c r="AC2983" s="74" t="s">
        <v>9566</v>
      </c>
      <c r="AD2983" s="73" t="s">
        <v>9578</v>
      </c>
      <c r="AE2983" s="74" t="s">
        <v>9579</v>
      </c>
    </row>
    <row r="2984" spans="1:31" ht="8.65" customHeight="1" x14ac:dyDescent="0.2">
      <c r="A2984" s="76">
        <v>2984</v>
      </c>
      <c r="B2984" s="67" t="str">
        <f>MID(C2984, FIND("Ifc.", C2984) + 4, 4) &amp; "_" &amp; TEXT(COUNTIF($C$2:C2984, C2984),"0000")</f>
        <v>Enti_0117</v>
      </c>
      <c r="C2984" s="25" t="s">
        <v>874</v>
      </c>
      <c r="D2984" s="69" t="s">
        <v>9453</v>
      </c>
      <c r="E2984" s="70" t="s">
        <v>9457</v>
      </c>
      <c r="F2984" s="26" t="s">
        <v>798</v>
      </c>
      <c r="G2984" s="15" t="s">
        <v>798</v>
      </c>
      <c r="H2984" s="14" t="s">
        <v>798</v>
      </c>
      <c r="I2984" s="15" t="s">
        <v>798</v>
      </c>
      <c r="J2984" s="12" t="s">
        <v>9438</v>
      </c>
      <c r="K2984" s="16" t="s">
        <v>3056</v>
      </c>
      <c r="L2984" s="12" t="s">
        <v>800</v>
      </c>
      <c r="M2984" s="16" t="s">
        <v>4023</v>
      </c>
      <c r="N2984" s="19" t="s">
        <v>798</v>
      </c>
      <c r="O2984" s="20" t="s">
        <v>798</v>
      </c>
      <c r="P2984" s="17" t="s">
        <v>802</v>
      </c>
      <c r="Q2984" s="21" t="s">
        <v>8608</v>
      </c>
      <c r="R2984" s="19" t="s">
        <v>798</v>
      </c>
      <c r="S2984" s="20" t="s">
        <v>798</v>
      </c>
      <c r="T2984" s="17" t="s">
        <v>798</v>
      </c>
      <c r="U2984" s="20" t="s">
        <v>798</v>
      </c>
      <c r="V2984" s="26" t="s">
        <v>798</v>
      </c>
      <c r="W2984" s="20" t="s">
        <v>798</v>
      </c>
      <c r="X2984" s="26" t="s">
        <v>798</v>
      </c>
      <c r="Y2984" s="20" t="s">
        <v>798</v>
      </c>
      <c r="Z2984" s="69" t="s">
        <v>9486</v>
      </c>
      <c r="AA2984" s="72" t="s">
        <v>9476</v>
      </c>
      <c r="AB2984" s="73" t="s">
        <v>9486</v>
      </c>
      <c r="AC2984" s="74" t="s">
        <v>9566</v>
      </c>
      <c r="AD2984" s="73" t="s">
        <v>9578</v>
      </c>
      <c r="AE2984" s="74" t="s">
        <v>9664</v>
      </c>
    </row>
    <row r="2985" spans="1:31" ht="8.65" customHeight="1" x14ac:dyDescent="0.2">
      <c r="A2985" s="76">
        <v>2985</v>
      </c>
      <c r="B2985" s="67" t="str">
        <f>MID(C2985, FIND("Ifc.", C2985) + 4, 4) &amp; "_" &amp; TEXT(COUNTIF($C$2:C2985, C2985),"0000")</f>
        <v>Enti_0118</v>
      </c>
      <c r="C2985" s="25" t="s">
        <v>874</v>
      </c>
      <c r="D2985" s="69" t="s">
        <v>9453</v>
      </c>
      <c r="E2985" s="70" t="s">
        <v>9457</v>
      </c>
      <c r="F2985" s="26" t="s">
        <v>798</v>
      </c>
      <c r="G2985" s="15" t="s">
        <v>798</v>
      </c>
      <c r="H2985" s="14" t="s">
        <v>798</v>
      </c>
      <c r="I2985" s="15" t="s">
        <v>798</v>
      </c>
      <c r="J2985" s="12" t="s">
        <v>9438</v>
      </c>
      <c r="K2985" s="16" t="s">
        <v>3057</v>
      </c>
      <c r="L2985" s="12" t="s">
        <v>800</v>
      </c>
      <c r="M2985" s="16" t="s">
        <v>4024</v>
      </c>
      <c r="N2985" s="19" t="s">
        <v>798</v>
      </c>
      <c r="O2985" s="20" t="s">
        <v>798</v>
      </c>
      <c r="P2985" s="17" t="s">
        <v>802</v>
      </c>
      <c r="Q2985" s="21" t="s">
        <v>8609</v>
      </c>
      <c r="R2985" s="19" t="s">
        <v>798</v>
      </c>
      <c r="S2985" s="20" t="s">
        <v>798</v>
      </c>
      <c r="T2985" s="17" t="s">
        <v>798</v>
      </c>
      <c r="U2985" s="20" t="s">
        <v>798</v>
      </c>
      <c r="V2985" s="26" t="s">
        <v>798</v>
      </c>
      <c r="W2985" s="20" t="s">
        <v>798</v>
      </c>
      <c r="X2985" s="26" t="s">
        <v>798</v>
      </c>
      <c r="Y2985" s="20" t="s">
        <v>798</v>
      </c>
      <c r="Z2985" s="69" t="s">
        <v>9486</v>
      </c>
      <c r="AA2985" s="72" t="s">
        <v>9477</v>
      </c>
      <c r="AB2985" s="73" t="s">
        <v>9486</v>
      </c>
      <c r="AC2985" s="74" t="s">
        <v>9566</v>
      </c>
      <c r="AD2985" s="73" t="s">
        <v>9578</v>
      </c>
      <c r="AE2985" s="74" t="s">
        <v>9664</v>
      </c>
    </row>
    <row r="2986" spans="1:31" ht="8.65" customHeight="1" x14ac:dyDescent="0.2">
      <c r="A2986" s="76">
        <v>2986</v>
      </c>
      <c r="B2986" s="67" t="str">
        <f>MID(C2986, FIND("Ifc.", C2986) + 4, 4) &amp; "_" &amp; TEXT(COUNTIF($C$2:C2986, C2986),"0000")</f>
        <v>Enti_0119</v>
      </c>
      <c r="C2986" s="25" t="s">
        <v>874</v>
      </c>
      <c r="D2986" s="69" t="s">
        <v>9453</v>
      </c>
      <c r="E2986" s="70" t="s">
        <v>9457</v>
      </c>
      <c r="F2986" s="26" t="s">
        <v>798</v>
      </c>
      <c r="G2986" s="15" t="s">
        <v>798</v>
      </c>
      <c r="H2986" s="14" t="s">
        <v>798</v>
      </c>
      <c r="I2986" s="15" t="s">
        <v>798</v>
      </c>
      <c r="J2986" s="12" t="s">
        <v>9438</v>
      </c>
      <c r="K2986" s="16" t="s">
        <v>3058</v>
      </c>
      <c r="L2986" s="12" t="s">
        <v>800</v>
      </c>
      <c r="M2986" s="16" t="s">
        <v>4025</v>
      </c>
      <c r="N2986" s="19" t="s">
        <v>798</v>
      </c>
      <c r="O2986" s="20" t="s">
        <v>798</v>
      </c>
      <c r="P2986" s="17" t="s">
        <v>802</v>
      </c>
      <c r="Q2986" s="21" t="s">
        <v>8610</v>
      </c>
      <c r="R2986" s="19" t="s">
        <v>798</v>
      </c>
      <c r="S2986" s="20" t="s">
        <v>798</v>
      </c>
      <c r="T2986" s="17" t="s">
        <v>798</v>
      </c>
      <c r="U2986" s="20" t="s">
        <v>798</v>
      </c>
      <c r="V2986" s="26" t="s">
        <v>798</v>
      </c>
      <c r="W2986" s="20" t="s">
        <v>798</v>
      </c>
      <c r="X2986" s="26" t="s">
        <v>798</v>
      </c>
      <c r="Y2986" s="20" t="s">
        <v>798</v>
      </c>
      <c r="Z2986" s="69" t="s">
        <v>9486</v>
      </c>
      <c r="AA2986" s="72" t="s">
        <v>9476</v>
      </c>
      <c r="AB2986" s="73" t="s">
        <v>9486</v>
      </c>
      <c r="AC2986" s="74" t="s">
        <v>9566</v>
      </c>
      <c r="AD2986" s="73" t="s">
        <v>9578</v>
      </c>
      <c r="AE2986" s="74" t="s">
        <v>9579</v>
      </c>
    </row>
    <row r="2987" spans="1:31" ht="8.65" customHeight="1" x14ac:dyDescent="0.2">
      <c r="A2987" s="76">
        <v>2987</v>
      </c>
      <c r="B2987" s="67" t="str">
        <f>MID(C2987, FIND("Ifc.", C2987) + 4, 4) &amp; "_" &amp; TEXT(COUNTIF($C$2:C2987, C2987),"0000")</f>
        <v>Enti_0120</v>
      </c>
      <c r="C2987" s="25" t="s">
        <v>874</v>
      </c>
      <c r="D2987" s="69" t="s">
        <v>9453</v>
      </c>
      <c r="E2987" s="70" t="s">
        <v>9457</v>
      </c>
      <c r="F2987" s="26" t="s">
        <v>798</v>
      </c>
      <c r="G2987" s="15" t="s">
        <v>798</v>
      </c>
      <c r="H2987" s="14" t="s">
        <v>798</v>
      </c>
      <c r="I2987" s="15" t="s">
        <v>798</v>
      </c>
      <c r="J2987" s="12" t="s">
        <v>9438</v>
      </c>
      <c r="K2987" s="16" t="s">
        <v>3059</v>
      </c>
      <c r="L2987" s="12" t="s">
        <v>800</v>
      </c>
      <c r="M2987" s="16" t="s">
        <v>4026</v>
      </c>
      <c r="N2987" s="19" t="s">
        <v>798</v>
      </c>
      <c r="O2987" s="20" t="s">
        <v>798</v>
      </c>
      <c r="P2987" s="17" t="s">
        <v>802</v>
      </c>
      <c r="Q2987" s="21" t="s">
        <v>8611</v>
      </c>
      <c r="R2987" s="19" t="s">
        <v>798</v>
      </c>
      <c r="S2987" s="20" t="s">
        <v>798</v>
      </c>
      <c r="T2987" s="17" t="s">
        <v>798</v>
      </c>
      <c r="U2987" s="20" t="s">
        <v>798</v>
      </c>
      <c r="V2987" s="26" t="s">
        <v>798</v>
      </c>
      <c r="W2987" s="20" t="s">
        <v>798</v>
      </c>
      <c r="X2987" s="26" t="s">
        <v>798</v>
      </c>
      <c r="Y2987" s="20" t="s">
        <v>798</v>
      </c>
      <c r="Z2987" s="69" t="s">
        <v>9486</v>
      </c>
      <c r="AA2987" s="72" t="s">
        <v>9476</v>
      </c>
      <c r="AB2987" s="73" t="s">
        <v>9486</v>
      </c>
      <c r="AC2987" s="74" t="s">
        <v>9566</v>
      </c>
      <c r="AD2987" s="73" t="s">
        <v>9578</v>
      </c>
      <c r="AE2987" s="74" t="s">
        <v>9579</v>
      </c>
    </row>
    <row r="2988" spans="1:31" ht="8.65" customHeight="1" x14ac:dyDescent="0.2">
      <c r="A2988" s="76">
        <v>2988</v>
      </c>
      <c r="B2988" s="67" t="str">
        <f>MID(C2988, FIND("Ifc.", C2988) + 4, 4) &amp; "_" &amp; TEXT(COUNTIF($C$2:C2988, C2988),"0000")</f>
        <v>Enti_0121</v>
      </c>
      <c r="C2988" s="25" t="s">
        <v>874</v>
      </c>
      <c r="D2988" s="69" t="s">
        <v>9453</v>
      </c>
      <c r="E2988" s="70" t="s">
        <v>9457</v>
      </c>
      <c r="F2988" s="26" t="s">
        <v>798</v>
      </c>
      <c r="G2988" s="15" t="s">
        <v>798</v>
      </c>
      <c r="H2988" s="14" t="s">
        <v>798</v>
      </c>
      <c r="I2988" s="15" t="s">
        <v>798</v>
      </c>
      <c r="J2988" s="12" t="s">
        <v>9438</v>
      </c>
      <c r="K2988" s="16" t="s">
        <v>3060</v>
      </c>
      <c r="L2988" s="12" t="s">
        <v>800</v>
      </c>
      <c r="M2988" s="16" t="s">
        <v>4027</v>
      </c>
      <c r="N2988" s="19" t="s">
        <v>798</v>
      </c>
      <c r="O2988" s="20" t="s">
        <v>798</v>
      </c>
      <c r="P2988" s="17" t="s">
        <v>802</v>
      </c>
      <c r="Q2988" s="21" t="s">
        <v>8612</v>
      </c>
      <c r="R2988" s="19" t="s">
        <v>798</v>
      </c>
      <c r="S2988" s="20" t="s">
        <v>798</v>
      </c>
      <c r="T2988" s="17" t="s">
        <v>798</v>
      </c>
      <c r="U2988" s="20" t="s">
        <v>798</v>
      </c>
      <c r="V2988" s="26" t="s">
        <v>798</v>
      </c>
      <c r="W2988" s="20" t="s">
        <v>798</v>
      </c>
      <c r="X2988" s="26" t="s">
        <v>798</v>
      </c>
      <c r="Y2988" s="20" t="s">
        <v>798</v>
      </c>
      <c r="Z2988" s="69" t="s">
        <v>9486</v>
      </c>
      <c r="AA2988" s="72" t="s">
        <v>9476</v>
      </c>
      <c r="AB2988" s="73" t="s">
        <v>9486</v>
      </c>
      <c r="AC2988" s="74" t="s">
        <v>9566</v>
      </c>
      <c r="AD2988" s="73" t="s">
        <v>9578</v>
      </c>
      <c r="AE2988" s="74" t="s">
        <v>9579</v>
      </c>
    </row>
    <row r="2989" spans="1:31" ht="8.65" customHeight="1" x14ac:dyDescent="0.2">
      <c r="A2989" s="76">
        <v>2989</v>
      </c>
      <c r="B2989" s="67" t="str">
        <f>MID(C2989, FIND("Ifc.", C2989) + 4, 4) &amp; "_" &amp; TEXT(COUNTIF($C$2:C2989, C2989),"0000")</f>
        <v>Enti_0122</v>
      </c>
      <c r="C2989" s="25" t="s">
        <v>874</v>
      </c>
      <c r="D2989" s="69" t="s">
        <v>9453</v>
      </c>
      <c r="E2989" s="70" t="s">
        <v>9457</v>
      </c>
      <c r="F2989" s="26" t="s">
        <v>798</v>
      </c>
      <c r="G2989" s="15" t="s">
        <v>798</v>
      </c>
      <c r="H2989" s="14" t="s">
        <v>798</v>
      </c>
      <c r="I2989" s="15" t="s">
        <v>798</v>
      </c>
      <c r="J2989" s="12" t="s">
        <v>9438</v>
      </c>
      <c r="K2989" s="16" t="s">
        <v>3061</v>
      </c>
      <c r="L2989" s="12" t="s">
        <v>800</v>
      </c>
      <c r="M2989" s="16" t="s">
        <v>4028</v>
      </c>
      <c r="N2989" s="19" t="s">
        <v>798</v>
      </c>
      <c r="O2989" s="20" t="s">
        <v>798</v>
      </c>
      <c r="P2989" s="17" t="s">
        <v>802</v>
      </c>
      <c r="Q2989" s="21" t="s">
        <v>8613</v>
      </c>
      <c r="R2989" s="19" t="s">
        <v>798</v>
      </c>
      <c r="S2989" s="20" t="s">
        <v>798</v>
      </c>
      <c r="T2989" s="17" t="s">
        <v>798</v>
      </c>
      <c r="U2989" s="20" t="s">
        <v>798</v>
      </c>
      <c r="V2989" s="26" t="s">
        <v>798</v>
      </c>
      <c r="W2989" s="20" t="s">
        <v>798</v>
      </c>
      <c r="X2989" s="26" t="s">
        <v>798</v>
      </c>
      <c r="Y2989" s="20" t="s">
        <v>798</v>
      </c>
      <c r="Z2989" s="69" t="s">
        <v>9486</v>
      </c>
      <c r="AA2989" s="72" t="s">
        <v>9477</v>
      </c>
      <c r="AB2989" s="73" t="s">
        <v>9486</v>
      </c>
      <c r="AC2989" s="74" t="s">
        <v>9566</v>
      </c>
      <c r="AD2989" s="73" t="s">
        <v>9578</v>
      </c>
      <c r="AE2989" s="74" t="s">
        <v>9579</v>
      </c>
    </row>
    <row r="2990" spans="1:31" ht="8.65" customHeight="1" x14ac:dyDescent="0.2">
      <c r="A2990" s="76">
        <v>2990</v>
      </c>
      <c r="B2990" s="67" t="str">
        <f>MID(C2990, FIND("Ifc.", C2990) + 4, 4) &amp; "_" &amp; TEXT(COUNTIF($C$2:C2990, C2990),"0000")</f>
        <v>Enti_0123</v>
      </c>
      <c r="C2990" s="25" t="s">
        <v>874</v>
      </c>
      <c r="D2990" s="69" t="s">
        <v>9453</v>
      </c>
      <c r="E2990" s="70" t="s">
        <v>9457</v>
      </c>
      <c r="F2990" s="26" t="s">
        <v>798</v>
      </c>
      <c r="G2990" s="15" t="s">
        <v>798</v>
      </c>
      <c r="H2990" s="14" t="s">
        <v>798</v>
      </c>
      <c r="I2990" s="15" t="s">
        <v>798</v>
      </c>
      <c r="J2990" s="12" t="s">
        <v>9438</v>
      </c>
      <c r="K2990" s="16" t="s">
        <v>3062</v>
      </c>
      <c r="L2990" s="12" t="s">
        <v>800</v>
      </c>
      <c r="M2990" s="16" t="s">
        <v>4029</v>
      </c>
      <c r="N2990" s="19" t="s">
        <v>798</v>
      </c>
      <c r="O2990" s="20" t="s">
        <v>798</v>
      </c>
      <c r="P2990" s="17" t="s">
        <v>802</v>
      </c>
      <c r="Q2990" s="21" t="s">
        <v>8614</v>
      </c>
      <c r="R2990" s="19" t="s">
        <v>798</v>
      </c>
      <c r="S2990" s="20" t="s">
        <v>798</v>
      </c>
      <c r="T2990" s="17" t="s">
        <v>798</v>
      </c>
      <c r="U2990" s="20" t="s">
        <v>798</v>
      </c>
      <c r="V2990" s="26" t="s">
        <v>798</v>
      </c>
      <c r="W2990" s="20" t="s">
        <v>798</v>
      </c>
      <c r="X2990" s="26" t="s">
        <v>798</v>
      </c>
      <c r="Y2990" s="20" t="s">
        <v>798</v>
      </c>
      <c r="Z2990" s="69" t="s">
        <v>9486</v>
      </c>
      <c r="AA2990" s="72" t="s">
        <v>9476</v>
      </c>
      <c r="AB2990" s="73" t="s">
        <v>9486</v>
      </c>
      <c r="AC2990" s="74" t="s">
        <v>9566</v>
      </c>
      <c r="AD2990" s="73" t="s">
        <v>9578</v>
      </c>
      <c r="AE2990" s="74" t="s">
        <v>9666</v>
      </c>
    </row>
    <row r="2991" spans="1:31" ht="8.65" customHeight="1" x14ac:dyDescent="0.2">
      <c r="A2991" s="76">
        <v>2991</v>
      </c>
      <c r="B2991" s="67" t="str">
        <f>MID(C2991, FIND("Ifc.", C2991) + 4, 4) &amp; "_" &amp; TEXT(COUNTIF($C$2:C2991, C2991),"0000")</f>
        <v>Enti_0124</v>
      </c>
      <c r="C2991" s="25" t="s">
        <v>874</v>
      </c>
      <c r="D2991" s="69" t="s">
        <v>9453</v>
      </c>
      <c r="E2991" s="70" t="s">
        <v>9457</v>
      </c>
      <c r="F2991" s="26" t="s">
        <v>798</v>
      </c>
      <c r="G2991" s="15" t="s">
        <v>798</v>
      </c>
      <c r="H2991" s="14" t="s">
        <v>798</v>
      </c>
      <c r="I2991" s="15" t="s">
        <v>798</v>
      </c>
      <c r="J2991" s="12" t="s">
        <v>9438</v>
      </c>
      <c r="K2991" s="16" t="s">
        <v>3063</v>
      </c>
      <c r="L2991" s="12" t="s">
        <v>800</v>
      </c>
      <c r="M2991" s="16" t="s">
        <v>4030</v>
      </c>
      <c r="N2991" s="19" t="s">
        <v>798</v>
      </c>
      <c r="O2991" s="20" t="s">
        <v>798</v>
      </c>
      <c r="P2991" s="17" t="s">
        <v>802</v>
      </c>
      <c r="Q2991" s="21" t="s">
        <v>8615</v>
      </c>
      <c r="R2991" s="19" t="s">
        <v>798</v>
      </c>
      <c r="S2991" s="20" t="s">
        <v>798</v>
      </c>
      <c r="T2991" s="17" t="s">
        <v>798</v>
      </c>
      <c r="U2991" s="20" t="s">
        <v>798</v>
      </c>
      <c r="V2991" s="26" t="s">
        <v>798</v>
      </c>
      <c r="W2991" s="20" t="s">
        <v>798</v>
      </c>
      <c r="X2991" s="26" t="s">
        <v>798</v>
      </c>
      <c r="Y2991" s="20" t="s">
        <v>798</v>
      </c>
      <c r="Z2991" s="69" t="s">
        <v>9486</v>
      </c>
      <c r="AA2991" s="72" t="s">
        <v>9477</v>
      </c>
      <c r="AB2991" s="73" t="s">
        <v>9486</v>
      </c>
      <c r="AC2991" s="74" t="s">
        <v>9566</v>
      </c>
      <c r="AD2991" s="73" t="s">
        <v>9578</v>
      </c>
      <c r="AE2991" s="74" t="s">
        <v>9666</v>
      </c>
    </row>
    <row r="2992" spans="1:31" ht="8.65" customHeight="1" x14ac:dyDescent="0.2">
      <c r="A2992" s="76">
        <v>2992</v>
      </c>
      <c r="B2992" s="67" t="str">
        <f>MID(C2992, FIND("Ifc.", C2992) + 4, 4) &amp; "_" &amp; TEXT(COUNTIF($C$2:C2992, C2992),"0000")</f>
        <v>Enti_0125</v>
      </c>
      <c r="C2992" s="25" t="s">
        <v>874</v>
      </c>
      <c r="D2992" s="69" t="s">
        <v>9453</v>
      </c>
      <c r="E2992" s="70" t="s">
        <v>9457</v>
      </c>
      <c r="F2992" s="26" t="s">
        <v>798</v>
      </c>
      <c r="G2992" s="15" t="s">
        <v>798</v>
      </c>
      <c r="H2992" s="14" t="s">
        <v>798</v>
      </c>
      <c r="I2992" s="15" t="s">
        <v>798</v>
      </c>
      <c r="J2992" s="12" t="s">
        <v>9438</v>
      </c>
      <c r="K2992" s="16" t="s">
        <v>3064</v>
      </c>
      <c r="L2992" s="12" t="s">
        <v>800</v>
      </c>
      <c r="M2992" s="16" t="s">
        <v>4031</v>
      </c>
      <c r="N2992" s="19" t="s">
        <v>798</v>
      </c>
      <c r="O2992" s="20" t="s">
        <v>798</v>
      </c>
      <c r="P2992" s="17" t="s">
        <v>802</v>
      </c>
      <c r="Q2992" s="21" t="s">
        <v>8616</v>
      </c>
      <c r="R2992" s="19" t="s">
        <v>798</v>
      </c>
      <c r="S2992" s="20" t="s">
        <v>798</v>
      </c>
      <c r="T2992" s="17" t="s">
        <v>798</v>
      </c>
      <c r="U2992" s="20" t="s">
        <v>798</v>
      </c>
      <c r="V2992" s="26" t="s">
        <v>798</v>
      </c>
      <c r="W2992" s="20" t="s">
        <v>798</v>
      </c>
      <c r="X2992" s="26" t="s">
        <v>798</v>
      </c>
      <c r="Y2992" s="20" t="s">
        <v>798</v>
      </c>
      <c r="Z2992" s="69" t="s">
        <v>9486</v>
      </c>
      <c r="AA2992" s="72" t="s">
        <v>9488</v>
      </c>
      <c r="AB2992" s="73" t="s">
        <v>9486</v>
      </c>
      <c r="AC2992" s="74" t="s">
        <v>9566</v>
      </c>
      <c r="AD2992" s="73" t="s">
        <v>9578</v>
      </c>
      <c r="AE2992" s="74" t="s">
        <v>9579</v>
      </c>
    </row>
    <row r="2993" spans="1:31" ht="8.65" customHeight="1" x14ac:dyDescent="0.2">
      <c r="A2993" s="76">
        <v>2993</v>
      </c>
      <c r="B2993" s="67" t="str">
        <f>MID(C2993, FIND("Ifc.", C2993) + 4, 4) &amp; "_" &amp; TEXT(COUNTIF($C$2:C2993, C2993),"0000")</f>
        <v>Enti_0126</v>
      </c>
      <c r="C2993" s="25" t="s">
        <v>874</v>
      </c>
      <c r="D2993" s="69" t="s">
        <v>9453</v>
      </c>
      <c r="E2993" s="70" t="s">
        <v>9457</v>
      </c>
      <c r="F2993" s="26" t="s">
        <v>798</v>
      </c>
      <c r="G2993" s="15" t="s">
        <v>798</v>
      </c>
      <c r="H2993" s="14" t="s">
        <v>798</v>
      </c>
      <c r="I2993" s="15" t="s">
        <v>798</v>
      </c>
      <c r="J2993" s="12" t="s">
        <v>9438</v>
      </c>
      <c r="K2993" s="16" t="s">
        <v>3065</v>
      </c>
      <c r="L2993" s="12" t="s">
        <v>800</v>
      </c>
      <c r="M2993" s="16" t="s">
        <v>4032</v>
      </c>
      <c r="N2993" s="19" t="s">
        <v>798</v>
      </c>
      <c r="O2993" s="20" t="s">
        <v>798</v>
      </c>
      <c r="P2993" s="17" t="s">
        <v>802</v>
      </c>
      <c r="Q2993" s="21" t="s">
        <v>8617</v>
      </c>
      <c r="R2993" s="19" t="s">
        <v>798</v>
      </c>
      <c r="S2993" s="20" t="s">
        <v>798</v>
      </c>
      <c r="T2993" s="17" t="s">
        <v>798</v>
      </c>
      <c r="U2993" s="20" t="s">
        <v>798</v>
      </c>
      <c r="V2993" s="26" t="s">
        <v>798</v>
      </c>
      <c r="W2993" s="20" t="s">
        <v>798</v>
      </c>
      <c r="X2993" s="26" t="s">
        <v>798</v>
      </c>
      <c r="Y2993" s="20" t="s">
        <v>798</v>
      </c>
      <c r="Z2993" s="69" t="s">
        <v>9486</v>
      </c>
      <c r="AA2993" s="72" t="s">
        <v>9488</v>
      </c>
      <c r="AB2993" s="73" t="s">
        <v>9486</v>
      </c>
      <c r="AC2993" s="74" t="s">
        <v>9566</v>
      </c>
      <c r="AD2993" s="73" t="s">
        <v>9578</v>
      </c>
      <c r="AE2993" s="74" t="s">
        <v>9579</v>
      </c>
    </row>
    <row r="2994" spans="1:31" ht="8.65" customHeight="1" x14ac:dyDescent="0.2">
      <c r="A2994" s="76">
        <v>2994</v>
      </c>
      <c r="B2994" s="67" t="str">
        <f>MID(C2994, FIND("Ifc.", C2994) + 4, 4) &amp; "_" &amp; TEXT(COUNTIF($C$2:C2994, C2994),"0000")</f>
        <v>Enti_0127</v>
      </c>
      <c r="C2994" s="25" t="s">
        <v>874</v>
      </c>
      <c r="D2994" s="69" t="s">
        <v>9453</v>
      </c>
      <c r="E2994" s="70" t="s">
        <v>9457</v>
      </c>
      <c r="F2994" s="26" t="s">
        <v>798</v>
      </c>
      <c r="G2994" s="15" t="s">
        <v>798</v>
      </c>
      <c r="H2994" s="14" t="s">
        <v>798</v>
      </c>
      <c r="I2994" s="15" t="s">
        <v>798</v>
      </c>
      <c r="J2994" s="12" t="s">
        <v>9438</v>
      </c>
      <c r="K2994" s="16" t="s">
        <v>3066</v>
      </c>
      <c r="L2994" s="12" t="s">
        <v>800</v>
      </c>
      <c r="M2994" s="16" t="s">
        <v>4033</v>
      </c>
      <c r="N2994" s="19" t="s">
        <v>798</v>
      </c>
      <c r="O2994" s="20" t="s">
        <v>798</v>
      </c>
      <c r="P2994" s="17" t="s">
        <v>802</v>
      </c>
      <c r="Q2994" s="21" t="s">
        <v>8618</v>
      </c>
      <c r="R2994" s="19" t="s">
        <v>798</v>
      </c>
      <c r="S2994" s="20" t="s">
        <v>798</v>
      </c>
      <c r="T2994" s="17" t="s">
        <v>798</v>
      </c>
      <c r="U2994" s="20" t="s">
        <v>798</v>
      </c>
      <c r="V2994" s="26" t="s">
        <v>798</v>
      </c>
      <c r="W2994" s="20" t="s">
        <v>798</v>
      </c>
      <c r="X2994" s="26" t="s">
        <v>798</v>
      </c>
      <c r="Y2994" s="20" t="s">
        <v>798</v>
      </c>
      <c r="Z2994" s="69" t="s">
        <v>9486</v>
      </c>
      <c r="AA2994" s="72" t="s">
        <v>9476</v>
      </c>
      <c r="AB2994" s="73" t="s">
        <v>9486</v>
      </c>
      <c r="AC2994" s="74" t="s">
        <v>9566</v>
      </c>
      <c r="AD2994" s="73" t="s">
        <v>9578</v>
      </c>
      <c r="AE2994" s="74" t="s">
        <v>9579</v>
      </c>
    </row>
    <row r="2995" spans="1:31" ht="8.65" customHeight="1" x14ac:dyDescent="0.2">
      <c r="A2995" s="76">
        <v>2995</v>
      </c>
      <c r="B2995" s="67" t="str">
        <f>MID(C2995, FIND("Ifc.", C2995) + 4, 4) &amp; "_" &amp; TEXT(COUNTIF($C$2:C2995, C2995),"0000")</f>
        <v>Enti_0128</v>
      </c>
      <c r="C2995" s="25" t="s">
        <v>874</v>
      </c>
      <c r="D2995" s="69" t="s">
        <v>9453</v>
      </c>
      <c r="E2995" s="70" t="s">
        <v>9457</v>
      </c>
      <c r="F2995" s="26" t="s">
        <v>798</v>
      </c>
      <c r="G2995" s="15" t="s">
        <v>798</v>
      </c>
      <c r="H2995" s="14" t="s">
        <v>798</v>
      </c>
      <c r="I2995" s="15" t="s">
        <v>798</v>
      </c>
      <c r="J2995" s="12" t="s">
        <v>9438</v>
      </c>
      <c r="K2995" s="16" t="s">
        <v>3067</v>
      </c>
      <c r="L2995" s="12" t="s">
        <v>800</v>
      </c>
      <c r="M2995" s="16" t="s">
        <v>4034</v>
      </c>
      <c r="N2995" s="19" t="s">
        <v>798</v>
      </c>
      <c r="O2995" s="20" t="s">
        <v>798</v>
      </c>
      <c r="P2995" s="17" t="s">
        <v>802</v>
      </c>
      <c r="Q2995" s="21" t="s">
        <v>8619</v>
      </c>
      <c r="R2995" s="19" t="s">
        <v>798</v>
      </c>
      <c r="S2995" s="20" t="s">
        <v>798</v>
      </c>
      <c r="T2995" s="17" t="s">
        <v>798</v>
      </c>
      <c r="U2995" s="20" t="s">
        <v>798</v>
      </c>
      <c r="V2995" s="26" t="s">
        <v>798</v>
      </c>
      <c r="W2995" s="20" t="s">
        <v>798</v>
      </c>
      <c r="X2995" s="26" t="s">
        <v>798</v>
      </c>
      <c r="Y2995" s="20" t="s">
        <v>798</v>
      </c>
      <c r="Z2995" s="69" t="s">
        <v>9486</v>
      </c>
      <c r="AA2995" s="72" t="s">
        <v>9476</v>
      </c>
      <c r="AB2995" s="73" t="s">
        <v>9486</v>
      </c>
      <c r="AC2995" s="74" t="s">
        <v>9566</v>
      </c>
      <c r="AD2995" s="73" t="s">
        <v>9578</v>
      </c>
      <c r="AE2995" s="74" t="s">
        <v>9579</v>
      </c>
    </row>
    <row r="2996" spans="1:31" ht="8.65" customHeight="1" x14ac:dyDescent="0.2">
      <c r="A2996" s="76">
        <v>2996</v>
      </c>
      <c r="B2996" s="67" t="str">
        <f>MID(C2996, FIND("Ifc.", C2996) + 4, 4) &amp; "_" &amp; TEXT(COUNTIF($C$2:C2996, C2996),"0000")</f>
        <v>Enti_0129</v>
      </c>
      <c r="C2996" s="25" t="s">
        <v>874</v>
      </c>
      <c r="D2996" s="69" t="s">
        <v>9453</v>
      </c>
      <c r="E2996" s="70" t="s">
        <v>9457</v>
      </c>
      <c r="F2996" s="26" t="s">
        <v>798</v>
      </c>
      <c r="G2996" s="15" t="s">
        <v>798</v>
      </c>
      <c r="H2996" s="14" t="s">
        <v>798</v>
      </c>
      <c r="I2996" s="15" t="s">
        <v>798</v>
      </c>
      <c r="J2996" s="12" t="s">
        <v>9438</v>
      </c>
      <c r="K2996" s="16" t="s">
        <v>3068</v>
      </c>
      <c r="L2996" s="12" t="s">
        <v>800</v>
      </c>
      <c r="M2996" s="16" t="s">
        <v>4035</v>
      </c>
      <c r="N2996" s="19" t="s">
        <v>798</v>
      </c>
      <c r="O2996" s="20" t="s">
        <v>798</v>
      </c>
      <c r="P2996" s="17" t="s">
        <v>802</v>
      </c>
      <c r="Q2996" s="21" t="s">
        <v>8620</v>
      </c>
      <c r="R2996" s="19" t="s">
        <v>798</v>
      </c>
      <c r="S2996" s="20" t="s">
        <v>798</v>
      </c>
      <c r="T2996" s="17" t="s">
        <v>798</v>
      </c>
      <c r="U2996" s="20" t="s">
        <v>798</v>
      </c>
      <c r="V2996" s="26" t="s">
        <v>798</v>
      </c>
      <c r="W2996" s="20" t="s">
        <v>798</v>
      </c>
      <c r="X2996" s="26" t="s">
        <v>798</v>
      </c>
      <c r="Y2996" s="20" t="s">
        <v>798</v>
      </c>
      <c r="Z2996" s="69" t="s">
        <v>9486</v>
      </c>
      <c r="AA2996" s="72" t="s">
        <v>9476</v>
      </c>
      <c r="AB2996" s="73" t="s">
        <v>9486</v>
      </c>
      <c r="AC2996" s="74" t="s">
        <v>9566</v>
      </c>
      <c r="AD2996" s="73" t="s">
        <v>9578</v>
      </c>
      <c r="AE2996" s="74" t="s">
        <v>9579</v>
      </c>
    </row>
    <row r="2997" spans="1:31" ht="8.65" customHeight="1" x14ac:dyDescent="0.2">
      <c r="A2997" s="76">
        <v>2997</v>
      </c>
      <c r="B2997" s="67" t="str">
        <f>MID(C2997, FIND("Ifc.", C2997) + 4, 4) &amp; "_" &amp; TEXT(COUNTIF($C$2:C2997, C2997),"0000")</f>
        <v>Enti_0130</v>
      </c>
      <c r="C2997" s="25" t="s">
        <v>874</v>
      </c>
      <c r="D2997" s="69" t="s">
        <v>9453</v>
      </c>
      <c r="E2997" s="70" t="s">
        <v>9457</v>
      </c>
      <c r="F2997" s="26" t="s">
        <v>798</v>
      </c>
      <c r="G2997" s="15" t="s">
        <v>798</v>
      </c>
      <c r="H2997" s="14" t="s">
        <v>798</v>
      </c>
      <c r="I2997" s="15" t="s">
        <v>798</v>
      </c>
      <c r="J2997" s="12" t="s">
        <v>9438</v>
      </c>
      <c r="K2997" s="16" t="s">
        <v>3069</v>
      </c>
      <c r="L2997" s="12" t="s">
        <v>800</v>
      </c>
      <c r="M2997" s="16" t="s">
        <v>4036</v>
      </c>
      <c r="N2997" s="19" t="s">
        <v>798</v>
      </c>
      <c r="O2997" s="20" t="s">
        <v>798</v>
      </c>
      <c r="P2997" s="17" t="s">
        <v>802</v>
      </c>
      <c r="Q2997" s="21" t="s">
        <v>8621</v>
      </c>
      <c r="R2997" s="19" t="s">
        <v>798</v>
      </c>
      <c r="S2997" s="20" t="s">
        <v>798</v>
      </c>
      <c r="T2997" s="17" t="s">
        <v>798</v>
      </c>
      <c r="U2997" s="20" t="s">
        <v>798</v>
      </c>
      <c r="V2997" s="26" t="s">
        <v>798</v>
      </c>
      <c r="W2997" s="20" t="s">
        <v>798</v>
      </c>
      <c r="X2997" s="26" t="s">
        <v>798</v>
      </c>
      <c r="Y2997" s="20" t="s">
        <v>798</v>
      </c>
      <c r="Z2997" s="69" t="s">
        <v>9486</v>
      </c>
      <c r="AA2997" s="72" t="s">
        <v>9476</v>
      </c>
      <c r="AB2997" s="73" t="s">
        <v>9486</v>
      </c>
      <c r="AC2997" s="74" t="s">
        <v>9562</v>
      </c>
      <c r="AD2997" s="73" t="s">
        <v>9578</v>
      </c>
      <c r="AE2997" s="74" t="s">
        <v>9579</v>
      </c>
    </row>
    <row r="2998" spans="1:31" ht="8.65" customHeight="1" x14ac:dyDescent="0.2">
      <c r="A2998" s="76">
        <v>2998</v>
      </c>
      <c r="B2998" s="67" t="str">
        <f>MID(C2998, FIND("Ifc.", C2998) + 4, 4) &amp; "_" &amp; TEXT(COUNTIF($C$2:C2998, C2998),"0000")</f>
        <v>Enti_0131</v>
      </c>
      <c r="C2998" s="25" t="s">
        <v>874</v>
      </c>
      <c r="D2998" s="69" t="s">
        <v>9453</v>
      </c>
      <c r="E2998" s="70" t="s">
        <v>9457</v>
      </c>
      <c r="F2998" s="26" t="s">
        <v>798</v>
      </c>
      <c r="G2998" s="15" t="s">
        <v>798</v>
      </c>
      <c r="H2998" s="14" t="s">
        <v>798</v>
      </c>
      <c r="I2998" s="15" t="s">
        <v>798</v>
      </c>
      <c r="J2998" s="12" t="s">
        <v>9438</v>
      </c>
      <c r="K2998" s="16" t="s">
        <v>3070</v>
      </c>
      <c r="L2998" s="12" t="s">
        <v>800</v>
      </c>
      <c r="M2998" s="16" t="s">
        <v>4037</v>
      </c>
      <c r="N2998" s="19" t="s">
        <v>798</v>
      </c>
      <c r="O2998" s="20" t="s">
        <v>798</v>
      </c>
      <c r="P2998" s="17" t="s">
        <v>802</v>
      </c>
      <c r="Q2998" s="21" t="s">
        <v>8622</v>
      </c>
      <c r="R2998" s="19" t="s">
        <v>798</v>
      </c>
      <c r="S2998" s="20" t="s">
        <v>798</v>
      </c>
      <c r="T2998" s="17" t="s">
        <v>798</v>
      </c>
      <c r="U2998" s="20" t="s">
        <v>798</v>
      </c>
      <c r="V2998" s="26" t="s">
        <v>798</v>
      </c>
      <c r="W2998" s="20" t="s">
        <v>798</v>
      </c>
      <c r="X2998" s="26" t="s">
        <v>798</v>
      </c>
      <c r="Y2998" s="20" t="s">
        <v>798</v>
      </c>
      <c r="Z2998" s="69" t="s">
        <v>9486</v>
      </c>
      <c r="AA2998" s="72" t="s">
        <v>9476</v>
      </c>
      <c r="AB2998" s="73" t="s">
        <v>9486</v>
      </c>
      <c r="AC2998" s="74" t="s">
        <v>9562</v>
      </c>
      <c r="AD2998" s="73" t="s">
        <v>9578</v>
      </c>
      <c r="AE2998" s="74" t="s">
        <v>9579</v>
      </c>
    </row>
    <row r="2999" spans="1:31" ht="8.65" customHeight="1" x14ac:dyDescent="0.2">
      <c r="A2999" s="76">
        <v>2999</v>
      </c>
      <c r="B2999" s="67" t="str">
        <f>MID(C2999, FIND("Ifc.", C2999) + 4, 4) &amp; "_" &amp; TEXT(COUNTIF($C$2:C2999, C2999),"0000")</f>
        <v>Enti_0132</v>
      </c>
      <c r="C2999" s="25" t="s">
        <v>874</v>
      </c>
      <c r="D2999" s="69" t="s">
        <v>9453</v>
      </c>
      <c r="E2999" s="70" t="s">
        <v>9457</v>
      </c>
      <c r="F2999" s="26" t="s">
        <v>798</v>
      </c>
      <c r="G2999" s="15" t="s">
        <v>798</v>
      </c>
      <c r="H2999" s="14" t="s">
        <v>798</v>
      </c>
      <c r="I2999" s="15" t="s">
        <v>798</v>
      </c>
      <c r="J2999" s="12" t="s">
        <v>9438</v>
      </c>
      <c r="K2999" s="16" t="s">
        <v>3071</v>
      </c>
      <c r="L2999" s="12" t="s">
        <v>800</v>
      </c>
      <c r="M2999" s="16" t="s">
        <v>4038</v>
      </c>
      <c r="N2999" s="19" t="s">
        <v>798</v>
      </c>
      <c r="O2999" s="20" t="s">
        <v>798</v>
      </c>
      <c r="P2999" s="17" t="s">
        <v>802</v>
      </c>
      <c r="Q2999" s="21" t="s">
        <v>8623</v>
      </c>
      <c r="R2999" s="19" t="s">
        <v>798</v>
      </c>
      <c r="S2999" s="20" t="s">
        <v>798</v>
      </c>
      <c r="T2999" s="17" t="s">
        <v>798</v>
      </c>
      <c r="U2999" s="20" t="s">
        <v>798</v>
      </c>
      <c r="V2999" s="26" t="s">
        <v>798</v>
      </c>
      <c r="W2999" s="20" t="s">
        <v>798</v>
      </c>
      <c r="X2999" s="26" t="s">
        <v>798</v>
      </c>
      <c r="Y2999" s="20" t="s">
        <v>798</v>
      </c>
      <c r="Z2999" s="69" t="s">
        <v>9486</v>
      </c>
      <c r="AA2999" s="72" t="s">
        <v>9476</v>
      </c>
      <c r="AB2999" s="73" t="s">
        <v>9486</v>
      </c>
      <c r="AC2999" s="74" t="s">
        <v>9566</v>
      </c>
      <c r="AD2999" s="73" t="s">
        <v>9578</v>
      </c>
      <c r="AE2999" s="74" t="s">
        <v>9579</v>
      </c>
    </row>
    <row r="3000" spans="1:31" ht="8.65" customHeight="1" x14ac:dyDescent="0.2">
      <c r="A3000" s="76">
        <v>3000</v>
      </c>
      <c r="B3000" s="67" t="str">
        <f>MID(C3000, FIND("Ifc.", C3000) + 4, 4) &amp; "_" &amp; TEXT(COUNTIF($C$2:C3000, C3000),"0000")</f>
        <v>Enti_0133</v>
      </c>
      <c r="C3000" s="25" t="s">
        <v>874</v>
      </c>
      <c r="D3000" s="69" t="s">
        <v>9453</v>
      </c>
      <c r="E3000" s="70" t="s">
        <v>9457</v>
      </c>
      <c r="F3000" s="26" t="s">
        <v>798</v>
      </c>
      <c r="G3000" s="15" t="s">
        <v>798</v>
      </c>
      <c r="H3000" s="14" t="s">
        <v>798</v>
      </c>
      <c r="I3000" s="15" t="s">
        <v>798</v>
      </c>
      <c r="J3000" s="12" t="s">
        <v>9438</v>
      </c>
      <c r="K3000" s="16" t="s">
        <v>3072</v>
      </c>
      <c r="L3000" s="12" t="s">
        <v>800</v>
      </c>
      <c r="M3000" s="16" t="s">
        <v>4039</v>
      </c>
      <c r="N3000" s="19" t="s">
        <v>798</v>
      </c>
      <c r="O3000" s="20" t="s">
        <v>798</v>
      </c>
      <c r="P3000" s="17" t="s">
        <v>802</v>
      </c>
      <c r="Q3000" s="21" t="s">
        <v>8624</v>
      </c>
      <c r="R3000" s="19" t="s">
        <v>798</v>
      </c>
      <c r="S3000" s="20" t="s">
        <v>798</v>
      </c>
      <c r="T3000" s="17" t="s">
        <v>798</v>
      </c>
      <c r="U3000" s="20" t="s">
        <v>798</v>
      </c>
      <c r="V3000" s="26" t="s">
        <v>798</v>
      </c>
      <c r="W3000" s="20" t="s">
        <v>798</v>
      </c>
      <c r="X3000" s="26" t="s">
        <v>798</v>
      </c>
      <c r="Y3000" s="20" t="s">
        <v>798</v>
      </c>
      <c r="Z3000" s="69" t="s">
        <v>9486</v>
      </c>
      <c r="AA3000" s="72" t="s">
        <v>9476</v>
      </c>
      <c r="AB3000" s="73" t="s">
        <v>9486</v>
      </c>
      <c r="AC3000" s="74" t="s">
        <v>9566</v>
      </c>
      <c r="AD3000" s="73" t="s">
        <v>9578</v>
      </c>
      <c r="AE3000" s="74" t="s">
        <v>9579</v>
      </c>
    </row>
    <row r="3001" spans="1:31" ht="8.65" customHeight="1" x14ac:dyDescent="0.2">
      <c r="A3001" s="76">
        <v>3001</v>
      </c>
      <c r="B3001" s="67" t="str">
        <f>MID(C3001, FIND("Ifc.", C3001) + 4, 4) &amp; "_" &amp; TEXT(COUNTIF($C$2:C3001, C3001),"0000")</f>
        <v>Enti_0134</v>
      </c>
      <c r="C3001" s="25" t="s">
        <v>874</v>
      </c>
      <c r="D3001" s="69" t="s">
        <v>9453</v>
      </c>
      <c r="E3001" s="70" t="s">
        <v>9457</v>
      </c>
      <c r="F3001" s="26" t="s">
        <v>798</v>
      </c>
      <c r="G3001" s="15" t="s">
        <v>798</v>
      </c>
      <c r="H3001" s="14" t="s">
        <v>798</v>
      </c>
      <c r="I3001" s="15" t="s">
        <v>798</v>
      </c>
      <c r="J3001" s="12" t="s">
        <v>9438</v>
      </c>
      <c r="K3001" s="16" t="s">
        <v>3073</v>
      </c>
      <c r="L3001" s="12" t="s">
        <v>800</v>
      </c>
      <c r="M3001" s="16" t="s">
        <v>4040</v>
      </c>
      <c r="N3001" s="19" t="s">
        <v>798</v>
      </c>
      <c r="O3001" s="20" t="s">
        <v>798</v>
      </c>
      <c r="P3001" s="17" t="s">
        <v>802</v>
      </c>
      <c r="Q3001" s="21" t="s">
        <v>8625</v>
      </c>
      <c r="R3001" s="19" t="s">
        <v>798</v>
      </c>
      <c r="S3001" s="20" t="s">
        <v>798</v>
      </c>
      <c r="T3001" s="17" t="s">
        <v>798</v>
      </c>
      <c r="U3001" s="20" t="s">
        <v>798</v>
      </c>
      <c r="V3001" s="26" t="s">
        <v>798</v>
      </c>
      <c r="W3001" s="20" t="s">
        <v>798</v>
      </c>
      <c r="X3001" s="26" t="s">
        <v>798</v>
      </c>
      <c r="Y3001" s="20" t="s">
        <v>798</v>
      </c>
      <c r="Z3001" s="69" t="s">
        <v>9486</v>
      </c>
      <c r="AA3001" s="72" t="s">
        <v>9477</v>
      </c>
      <c r="AB3001" s="73" t="s">
        <v>9486</v>
      </c>
      <c r="AC3001" s="74" t="s">
        <v>9566</v>
      </c>
      <c r="AD3001" s="73" t="s">
        <v>9578</v>
      </c>
      <c r="AE3001" s="74" t="s">
        <v>9579</v>
      </c>
    </row>
    <row r="3002" spans="1:31" ht="8.65" customHeight="1" x14ac:dyDescent="0.2">
      <c r="A3002" s="76">
        <v>3002</v>
      </c>
      <c r="B3002" s="67" t="str">
        <f>MID(C3002, FIND("Ifc.", C3002) + 4, 4) &amp; "_" &amp; TEXT(COUNTIF($C$2:C3002, C3002),"0000")</f>
        <v>Enti_0135</v>
      </c>
      <c r="C3002" s="25" t="s">
        <v>874</v>
      </c>
      <c r="D3002" s="69" t="s">
        <v>9453</v>
      </c>
      <c r="E3002" s="70" t="s">
        <v>9457</v>
      </c>
      <c r="F3002" s="26" t="s">
        <v>798</v>
      </c>
      <c r="G3002" s="15" t="s">
        <v>798</v>
      </c>
      <c r="H3002" s="14" t="s">
        <v>798</v>
      </c>
      <c r="I3002" s="15" t="s">
        <v>798</v>
      </c>
      <c r="J3002" s="12" t="s">
        <v>9438</v>
      </c>
      <c r="K3002" s="16" t="s">
        <v>3074</v>
      </c>
      <c r="L3002" s="12" t="s">
        <v>800</v>
      </c>
      <c r="M3002" s="16" t="s">
        <v>4041</v>
      </c>
      <c r="N3002" s="19" t="s">
        <v>798</v>
      </c>
      <c r="O3002" s="20" t="s">
        <v>798</v>
      </c>
      <c r="P3002" s="17" t="s">
        <v>802</v>
      </c>
      <c r="Q3002" s="21" t="s">
        <v>8626</v>
      </c>
      <c r="R3002" s="19" t="s">
        <v>798</v>
      </c>
      <c r="S3002" s="20" t="s">
        <v>798</v>
      </c>
      <c r="T3002" s="17" t="s">
        <v>798</v>
      </c>
      <c r="U3002" s="20" t="s">
        <v>798</v>
      </c>
      <c r="V3002" s="26" t="s">
        <v>798</v>
      </c>
      <c r="W3002" s="20" t="s">
        <v>798</v>
      </c>
      <c r="X3002" s="26" t="s">
        <v>798</v>
      </c>
      <c r="Y3002" s="20" t="s">
        <v>798</v>
      </c>
      <c r="Z3002" s="69" t="s">
        <v>9486</v>
      </c>
      <c r="AA3002" s="72" t="s">
        <v>9476</v>
      </c>
      <c r="AB3002" s="73" t="s">
        <v>9486</v>
      </c>
      <c r="AC3002" s="74" t="s">
        <v>9566</v>
      </c>
      <c r="AD3002" s="73" t="s">
        <v>9578</v>
      </c>
      <c r="AE3002" s="74" t="s">
        <v>9579</v>
      </c>
    </row>
    <row r="3003" spans="1:31" ht="8.65" customHeight="1" x14ac:dyDescent="0.2">
      <c r="A3003" s="76">
        <v>3003</v>
      </c>
      <c r="B3003" s="67" t="str">
        <f>MID(C3003, FIND("Ifc.", C3003) + 4, 4) &amp; "_" &amp; TEXT(COUNTIF($C$2:C3003, C3003),"0000")</f>
        <v>Enti_0136</v>
      </c>
      <c r="C3003" s="25" t="s">
        <v>874</v>
      </c>
      <c r="D3003" s="69" t="s">
        <v>9453</v>
      </c>
      <c r="E3003" s="70" t="s">
        <v>9457</v>
      </c>
      <c r="F3003" s="26" t="s">
        <v>798</v>
      </c>
      <c r="G3003" s="15" t="s">
        <v>798</v>
      </c>
      <c r="H3003" s="14" t="s">
        <v>798</v>
      </c>
      <c r="I3003" s="15" t="s">
        <v>798</v>
      </c>
      <c r="J3003" s="12" t="s">
        <v>9438</v>
      </c>
      <c r="K3003" s="16" t="s">
        <v>3075</v>
      </c>
      <c r="L3003" s="12" t="s">
        <v>800</v>
      </c>
      <c r="M3003" s="16" t="s">
        <v>4042</v>
      </c>
      <c r="N3003" s="19" t="s">
        <v>798</v>
      </c>
      <c r="O3003" s="20" t="s">
        <v>798</v>
      </c>
      <c r="P3003" s="17" t="s">
        <v>802</v>
      </c>
      <c r="Q3003" s="21" t="s">
        <v>8627</v>
      </c>
      <c r="R3003" s="19" t="s">
        <v>798</v>
      </c>
      <c r="S3003" s="20" t="s">
        <v>798</v>
      </c>
      <c r="T3003" s="17" t="s">
        <v>798</v>
      </c>
      <c r="U3003" s="20" t="s">
        <v>798</v>
      </c>
      <c r="V3003" s="26" t="s">
        <v>798</v>
      </c>
      <c r="W3003" s="20" t="s">
        <v>798</v>
      </c>
      <c r="X3003" s="26" t="s">
        <v>798</v>
      </c>
      <c r="Y3003" s="20" t="s">
        <v>798</v>
      </c>
      <c r="Z3003" s="69" t="s">
        <v>9486</v>
      </c>
      <c r="AA3003" s="72" t="s">
        <v>9477</v>
      </c>
      <c r="AB3003" s="73" t="s">
        <v>9486</v>
      </c>
      <c r="AC3003" s="74" t="s">
        <v>9566</v>
      </c>
      <c r="AD3003" s="73" t="s">
        <v>9578</v>
      </c>
      <c r="AE3003" s="74" t="s">
        <v>9579</v>
      </c>
    </row>
    <row r="3004" spans="1:31" ht="8.65" customHeight="1" x14ac:dyDescent="0.2">
      <c r="A3004" s="76">
        <v>3004</v>
      </c>
      <c r="B3004" s="67" t="str">
        <f>MID(C3004, FIND("Ifc.", C3004) + 4, 4) &amp; "_" &amp; TEXT(COUNTIF($C$2:C3004, C3004),"0000")</f>
        <v>Enti_0137</v>
      </c>
      <c r="C3004" s="25" t="s">
        <v>874</v>
      </c>
      <c r="D3004" s="69" t="s">
        <v>9453</v>
      </c>
      <c r="E3004" s="70" t="s">
        <v>9457</v>
      </c>
      <c r="F3004" s="26" t="s">
        <v>798</v>
      </c>
      <c r="G3004" s="15" t="s">
        <v>798</v>
      </c>
      <c r="H3004" s="14" t="s">
        <v>798</v>
      </c>
      <c r="I3004" s="15" t="s">
        <v>798</v>
      </c>
      <c r="J3004" s="12" t="s">
        <v>9438</v>
      </c>
      <c r="K3004" s="16" t="s">
        <v>3076</v>
      </c>
      <c r="L3004" s="12" t="s">
        <v>800</v>
      </c>
      <c r="M3004" s="16" t="s">
        <v>4043</v>
      </c>
      <c r="N3004" s="19" t="s">
        <v>798</v>
      </c>
      <c r="O3004" s="20" t="s">
        <v>798</v>
      </c>
      <c r="P3004" s="17" t="s">
        <v>802</v>
      </c>
      <c r="Q3004" s="21" t="s">
        <v>8628</v>
      </c>
      <c r="R3004" s="19" t="s">
        <v>798</v>
      </c>
      <c r="S3004" s="20" t="s">
        <v>798</v>
      </c>
      <c r="T3004" s="17" t="s">
        <v>798</v>
      </c>
      <c r="U3004" s="20" t="s">
        <v>798</v>
      </c>
      <c r="V3004" s="26" t="s">
        <v>798</v>
      </c>
      <c r="W3004" s="20" t="s">
        <v>798</v>
      </c>
      <c r="X3004" s="26" t="s">
        <v>798</v>
      </c>
      <c r="Y3004" s="20" t="s">
        <v>798</v>
      </c>
      <c r="Z3004" s="69" t="s">
        <v>9486</v>
      </c>
      <c r="AA3004" s="72" t="s">
        <v>9477</v>
      </c>
      <c r="AB3004" s="73" t="s">
        <v>9486</v>
      </c>
      <c r="AC3004" s="74" t="s">
        <v>9566</v>
      </c>
      <c r="AD3004" s="73" t="s">
        <v>9578</v>
      </c>
      <c r="AE3004" s="74" t="s">
        <v>9579</v>
      </c>
    </row>
    <row r="3005" spans="1:31" ht="8.65" customHeight="1" x14ac:dyDescent="0.2">
      <c r="A3005" s="76">
        <v>3005</v>
      </c>
      <c r="B3005" s="67" t="str">
        <f>MID(C3005, FIND("Ifc.", C3005) + 4, 4) &amp; "_" &amp; TEXT(COUNTIF($C$2:C3005, C3005),"0000")</f>
        <v>Enti_0138</v>
      </c>
      <c r="C3005" s="25" t="s">
        <v>874</v>
      </c>
      <c r="D3005" s="69" t="s">
        <v>9453</v>
      </c>
      <c r="E3005" s="70" t="s">
        <v>9457</v>
      </c>
      <c r="F3005" s="26" t="s">
        <v>798</v>
      </c>
      <c r="G3005" s="15" t="s">
        <v>798</v>
      </c>
      <c r="H3005" s="14" t="s">
        <v>798</v>
      </c>
      <c r="I3005" s="15" t="s">
        <v>798</v>
      </c>
      <c r="J3005" s="12" t="s">
        <v>9438</v>
      </c>
      <c r="K3005" s="16" t="s">
        <v>3077</v>
      </c>
      <c r="L3005" s="12" t="s">
        <v>800</v>
      </c>
      <c r="M3005" s="16" t="s">
        <v>4044</v>
      </c>
      <c r="N3005" s="19" t="s">
        <v>798</v>
      </c>
      <c r="O3005" s="20" t="s">
        <v>798</v>
      </c>
      <c r="P3005" s="17" t="s">
        <v>802</v>
      </c>
      <c r="Q3005" s="21" t="s">
        <v>8629</v>
      </c>
      <c r="R3005" s="19" t="s">
        <v>798</v>
      </c>
      <c r="S3005" s="20" t="s">
        <v>798</v>
      </c>
      <c r="T3005" s="17" t="s">
        <v>798</v>
      </c>
      <c r="U3005" s="20" t="s">
        <v>798</v>
      </c>
      <c r="V3005" s="26" t="s">
        <v>798</v>
      </c>
      <c r="W3005" s="20" t="s">
        <v>798</v>
      </c>
      <c r="X3005" s="26" t="s">
        <v>798</v>
      </c>
      <c r="Y3005" s="20" t="s">
        <v>798</v>
      </c>
      <c r="Z3005" s="69" t="s">
        <v>9486</v>
      </c>
      <c r="AA3005" s="72" t="s">
        <v>9476</v>
      </c>
      <c r="AB3005" s="73" t="s">
        <v>9486</v>
      </c>
      <c r="AC3005" s="74" t="s">
        <v>9566</v>
      </c>
      <c r="AD3005" s="73" t="s">
        <v>9578</v>
      </c>
      <c r="AE3005" s="74" t="s">
        <v>9579</v>
      </c>
    </row>
    <row r="3006" spans="1:31" ht="8.65" customHeight="1" x14ac:dyDescent="0.2">
      <c r="A3006" s="76">
        <v>3006</v>
      </c>
      <c r="B3006" s="67" t="str">
        <f>MID(C3006, FIND("Ifc.", C3006) + 4, 4) &amp; "_" &amp; TEXT(COUNTIF($C$2:C3006, C3006),"0000")</f>
        <v>Enti_0139</v>
      </c>
      <c r="C3006" s="25" t="s">
        <v>874</v>
      </c>
      <c r="D3006" s="69" t="s">
        <v>9453</v>
      </c>
      <c r="E3006" s="70" t="s">
        <v>9457</v>
      </c>
      <c r="F3006" s="26" t="s">
        <v>798</v>
      </c>
      <c r="G3006" s="15" t="s">
        <v>798</v>
      </c>
      <c r="H3006" s="14" t="s">
        <v>798</v>
      </c>
      <c r="I3006" s="15" t="s">
        <v>798</v>
      </c>
      <c r="J3006" s="12" t="s">
        <v>9438</v>
      </c>
      <c r="K3006" s="16" t="s">
        <v>3078</v>
      </c>
      <c r="L3006" s="12" t="s">
        <v>800</v>
      </c>
      <c r="M3006" s="16" t="s">
        <v>4045</v>
      </c>
      <c r="N3006" s="19" t="s">
        <v>798</v>
      </c>
      <c r="O3006" s="20" t="s">
        <v>798</v>
      </c>
      <c r="P3006" s="17" t="s">
        <v>802</v>
      </c>
      <c r="Q3006" s="21" t="s">
        <v>8630</v>
      </c>
      <c r="R3006" s="19" t="s">
        <v>798</v>
      </c>
      <c r="S3006" s="20" t="s">
        <v>798</v>
      </c>
      <c r="T3006" s="17" t="s">
        <v>798</v>
      </c>
      <c r="U3006" s="20" t="s">
        <v>798</v>
      </c>
      <c r="V3006" s="26" t="s">
        <v>798</v>
      </c>
      <c r="W3006" s="20" t="s">
        <v>798</v>
      </c>
      <c r="X3006" s="26" t="s">
        <v>798</v>
      </c>
      <c r="Y3006" s="20" t="s">
        <v>798</v>
      </c>
      <c r="Z3006" s="69" t="s">
        <v>9486</v>
      </c>
      <c r="AA3006" s="72" t="s">
        <v>9476</v>
      </c>
      <c r="AB3006" s="73" t="s">
        <v>9486</v>
      </c>
      <c r="AC3006" s="74" t="s">
        <v>9566</v>
      </c>
      <c r="AD3006" s="73" t="s">
        <v>9578</v>
      </c>
      <c r="AE3006" s="74" t="s">
        <v>9579</v>
      </c>
    </row>
    <row r="3007" spans="1:31" ht="8.65" customHeight="1" x14ac:dyDescent="0.2">
      <c r="A3007" s="76">
        <v>3007</v>
      </c>
      <c r="B3007" s="67" t="str">
        <f>MID(C3007, FIND("Ifc.", C3007) + 4, 4) &amp; "_" &amp; TEXT(COUNTIF($C$2:C3007, C3007),"0000")</f>
        <v>Enti_0140</v>
      </c>
      <c r="C3007" s="25" t="s">
        <v>874</v>
      </c>
      <c r="D3007" s="69" t="s">
        <v>9453</v>
      </c>
      <c r="E3007" s="70" t="s">
        <v>9457</v>
      </c>
      <c r="F3007" s="26" t="s">
        <v>798</v>
      </c>
      <c r="G3007" s="15" t="s">
        <v>798</v>
      </c>
      <c r="H3007" s="14" t="s">
        <v>798</v>
      </c>
      <c r="I3007" s="15" t="s">
        <v>798</v>
      </c>
      <c r="J3007" s="12" t="s">
        <v>9438</v>
      </c>
      <c r="K3007" s="16" t="s">
        <v>3079</v>
      </c>
      <c r="L3007" s="12" t="s">
        <v>800</v>
      </c>
      <c r="M3007" s="16" t="s">
        <v>4046</v>
      </c>
      <c r="N3007" s="19" t="s">
        <v>798</v>
      </c>
      <c r="O3007" s="20" t="s">
        <v>798</v>
      </c>
      <c r="P3007" s="17" t="s">
        <v>802</v>
      </c>
      <c r="Q3007" s="21" t="s">
        <v>8631</v>
      </c>
      <c r="R3007" s="19" t="s">
        <v>798</v>
      </c>
      <c r="S3007" s="20" t="s">
        <v>798</v>
      </c>
      <c r="T3007" s="17" t="s">
        <v>798</v>
      </c>
      <c r="U3007" s="20" t="s">
        <v>798</v>
      </c>
      <c r="V3007" s="26" t="s">
        <v>798</v>
      </c>
      <c r="W3007" s="20" t="s">
        <v>798</v>
      </c>
      <c r="X3007" s="26" t="s">
        <v>798</v>
      </c>
      <c r="Y3007" s="20" t="s">
        <v>798</v>
      </c>
      <c r="Z3007" s="69" t="s">
        <v>9486</v>
      </c>
      <c r="AA3007" s="72" t="s">
        <v>9476</v>
      </c>
      <c r="AB3007" s="73" t="s">
        <v>9486</v>
      </c>
      <c r="AC3007" s="74" t="s">
        <v>9566</v>
      </c>
      <c r="AD3007" s="73" t="s">
        <v>9578</v>
      </c>
      <c r="AE3007" s="74" t="s">
        <v>9572</v>
      </c>
    </row>
    <row r="3008" spans="1:31" ht="8.65" customHeight="1" x14ac:dyDescent="0.2">
      <c r="A3008" s="76">
        <v>3008</v>
      </c>
      <c r="B3008" s="67" t="str">
        <f>MID(C3008, FIND("Ifc.", C3008) + 4, 4) &amp; "_" &amp; TEXT(COUNTIF($C$2:C3008, C3008),"0000")</f>
        <v>Enti_0141</v>
      </c>
      <c r="C3008" s="25" t="s">
        <v>874</v>
      </c>
      <c r="D3008" s="69" t="s">
        <v>9453</v>
      </c>
      <c r="E3008" s="70" t="s">
        <v>9457</v>
      </c>
      <c r="F3008" s="26" t="s">
        <v>798</v>
      </c>
      <c r="G3008" s="15" t="s">
        <v>798</v>
      </c>
      <c r="H3008" s="14" t="s">
        <v>798</v>
      </c>
      <c r="I3008" s="15" t="s">
        <v>798</v>
      </c>
      <c r="J3008" s="12" t="s">
        <v>9438</v>
      </c>
      <c r="K3008" s="16" t="s">
        <v>3080</v>
      </c>
      <c r="L3008" s="12" t="s">
        <v>800</v>
      </c>
      <c r="M3008" s="16" t="s">
        <v>4047</v>
      </c>
      <c r="N3008" s="19" t="s">
        <v>798</v>
      </c>
      <c r="O3008" s="20" t="s">
        <v>798</v>
      </c>
      <c r="P3008" s="17" t="s">
        <v>802</v>
      </c>
      <c r="Q3008" s="21" t="s">
        <v>8632</v>
      </c>
      <c r="R3008" s="19" t="s">
        <v>798</v>
      </c>
      <c r="S3008" s="20" t="s">
        <v>798</v>
      </c>
      <c r="T3008" s="17" t="s">
        <v>798</v>
      </c>
      <c r="U3008" s="20" t="s">
        <v>798</v>
      </c>
      <c r="V3008" s="26" t="s">
        <v>798</v>
      </c>
      <c r="W3008" s="20" t="s">
        <v>798</v>
      </c>
      <c r="X3008" s="26" t="s">
        <v>798</v>
      </c>
      <c r="Y3008" s="20" t="s">
        <v>798</v>
      </c>
      <c r="Z3008" s="69" t="s">
        <v>9486</v>
      </c>
      <c r="AA3008" s="72" t="s">
        <v>9477</v>
      </c>
      <c r="AB3008" s="73" t="s">
        <v>9486</v>
      </c>
      <c r="AC3008" s="74" t="s">
        <v>9566</v>
      </c>
      <c r="AD3008" s="73" t="s">
        <v>9578</v>
      </c>
      <c r="AE3008" s="74" t="s">
        <v>9572</v>
      </c>
    </row>
    <row r="3009" spans="1:31" ht="8.65" customHeight="1" x14ac:dyDescent="0.2">
      <c r="A3009" s="76">
        <v>3009</v>
      </c>
      <c r="B3009" s="67" t="str">
        <f>MID(C3009, FIND("Ifc.", C3009) + 4, 4) &amp; "_" &amp; TEXT(COUNTIF($C$2:C3009, C3009),"0000")</f>
        <v>Enti_0142</v>
      </c>
      <c r="C3009" s="25" t="s">
        <v>874</v>
      </c>
      <c r="D3009" s="69" t="s">
        <v>9453</v>
      </c>
      <c r="E3009" s="70" t="s">
        <v>9457</v>
      </c>
      <c r="F3009" s="26" t="s">
        <v>798</v>
      </c>
      <c r="G3009" s="15" t="s">
        <v>798</v>
      </c>
      <c r="H3009" s="14" t="s">
        <v>798</v>
      </c>
      <c r="I3009" s="15" t="s">
        <v>798</v>
      </c>
      <c r="J3009" s="12" t="s">
        <v>9438</v>
      </c>
      <c r="K3009" s="16" t="s">
        <v>3081</v>
      </c>
      <c r="L3009" s="12" t="s">
        <v>800</v>
      </c>
      <c r="M3009" s="16" t="s">
        <v>4048</v>
      </c>
      <c r="N3009" s="19" t="s">
        <v>798</v>
      </c>
      <c r="O3009" s="20" t="s">
        <v>798</v>
      </c>
      <c r="P3009" s="17" t="s">
        <v>802</v>
      </c>
      <c r="Q3009" s="21" t="s">
        <v>8633</v>
      </c>
      <c r="R3009" s="19" t="s">
        <v>798</v>
      </c>
      <c r="S3009" s="20" t="s">
        <v>798</v>
      </c>
      <c r="T3009" s="17" t="s">
        <v>798</v>
      </c>
      <c r="U3009" s="20" t="s">
        <v>798</v>
      </c>
      <c r="V3009" s="26" t="s">
        <v>798</v>
      </c>
      <c r="W3009" s="20" t="s">
        <v>798</v>
      </c>
      <c r="X3009" s="26" t="s">
        <v>798</v>
      </c>
      <c r="Y3009" s="20" t="s">
        <v>798</v>
      </c>
      <c r="Z3009" s="69" t="s">
        <v>9486</v>
      </c>
      <c r="AA3009" s="72" t="s">
        <v>9488</v>
      </c>
      <c r="AB3009" s="73" t="s">
        <v>9486</v>
      </c>
      <c r="AC3009" s="74" t="s">
        <v>9562</v>
      </c>
      <c r="AD3009" s="73" t="s">
        <v>9578</v>
      </c>
      <c r="AE3009" s="74" t="s">
        <v>9579</v>
      </c>
    </row>
    <row r="3010" spans="1:31" ht="8.65" customHeight="1" x14ac:dyDescent="0.2">
      <c r="A3010" s="76">
        <v>3010</v>
      </c>
      <c r="B3010" s="67" t="str">
        <f>MID(C3010, FIND("Ifc.", C3010) + 4, 4) &amp; "_" &amp; TEXT(COUNTIF($C$2:C3010, C3010),"0000")</f>
        <v>Enti_0143</v>
      </c>
      <c r="C3010" s="25" t="s">
        <v>874</v>
      </c>
      <c r="D3010" s="69" t="s">
        <v>9453</v>
      </c>
      <c r="E3010" s="70" t="s">
        <v>9457</v>
      </c>
      <c r="F3010" s="26" t="s">
        <v>798</v>
      </c>
      <c r="G3010" s="15" t="s">
        <v>798</v>
      </c>
      <c r="H3010" s="14" t="s">
        <v>798</v>
      </c>
      <c r="I3010" s="15" t="s">
        <v>798</v>
      </c>
      <c r="J3010" s="12" t="s">
        <v>9438</v>
      </c>
      <c r="K3010" s="16" t="s">
        <v>3082</v>
      </c>
      <c r="L3010" s="12" t="s">
        <v>800</v>
      </c>
      <c r="M3010" s="16" t="s">
        <v>4049</v>
      </c>
      <c r="N3010" s="19" t="s">
        <v>798</v>
      </c>
      <c r="O3010" s="20" t="s">
        <v>798</v>
      </c>
      <c r="P3010" s="17" t="s">
        <v>802</v>
      </c>
      <c r="Q3010" s="21" t="s">
        <v>8634</v>
      </c>
      <c r="R3010" s="19" t="s">
        <v>798</v>
      </c>
      <c r="S3010" s="20" t="s">
        <v>798</v>
      </c>
      <c r="T3010" s="17" t="s">
        <v>798</v>
      </c>
      <c r="U3010" s="20" t="s">
        <v>798</v>
      </c>
      <c r="V3010" s="26" t="s">
        <v>798</v>
      </c>
      <c r="W3010" s="20" t="s">
        <v>798</v>
      </c>
      <c r="X3010" s="26" t="s">
        <v>798</v>
      </c>
      <c r="Y3010" s="20" t="s">
        <v>798</v>
      </c>
      <c r="Z3010" s="69" t="s">
        <v>9486</v>
      </c>
      <c r="AA3010" s="72" t="s">
        <v>9488</v>
      </c>
      <c r="AB3010" s="73" t="s">
        <v>9486</v>
      </c>
      <c r="AC3010" s="74" t="s">
        <v>9562</v>
      </c>
      <c r="AD3010" s="73" t="s">
        <v>9578</v>
      </c>
      <c r="AE3010" s="74" t="s">
        <v>9579</v>
      </c>
    </row>
    <row r="3011" spans="1:31" ht="8.65" customHeight="1" x14ac:dyDescent="0.2">
      <c r="A3011" s="76">
        <v>3011</v>
      </c>
      <c r="B3011" s="67" t="str">
        <f>MID(C3011, FIND("Ifc.", C3011) + 4, 4) &amp; "_" &amp; TEXT(COUNTIF($C$2:C3011, C3011),"0000")</f>
        <v>Enti_0144</v>
      </c>
      <c r="C3011" s="25" t="s">
        <v>874</v>
      </c>
      <c r="D3011" s="69" t="s">
        <v>9453</v>
      </c>
      <c r="E3011" s="70" t="s">
        <v>9457</v>
      </c>
      <c r="F3011" s="26" t="s">
        <v>798</v>
      </c>
      <c r="G3011" s="15" t="s">
        <v>798</v>
      </c>
      <c r="H3011" s="14" t="s">
        <v>798</v>
      </c>
      <c r="I3011" s="15" t="s">
        <v>798</v>
      </c>
      <c r="J3011" s="12" t="s">
        <v>9438</v>
      </c>
      <c r="K3011" s="16" t="s">
        <v>3083</v>
      </c>
      <c r="L3011" s="12" t="s">
        <v>800</v>
      </c>
      <c r="M3011" s="16" t="s">
        <v>4050</v>
      </c>
      <c r="N3011" s="19" t="s">
        <v>798</v>
      </c>
      <c r="O3011" s="20" t="s">
        <v>798</v>
      </c>
      <c r="P3011" s="17" t="s">
        <v>802</v>
      </c>
      <c r="Q3011" s="21" t="s">
        <v>8635</v>
      </c>
      <c r="R3011" s="19" t="s">
        <v>798</v>
      </c>
      <c r="S3011" s="20" t="s">
        <v>798</v>
      </c>
      <c r="T3011" s="17" t="s">
        <v>798</v>
      </c>
      <c r="U3011" s="20" t="s">
        <v>798</v>
      </c>
      <c r="V3011" s="26" t="s">
        <v>798</v>
      </c>
      <c r="W3011" s="20" t="s">
        <v>798</v>
      </c>
      <c r="X3011" s="26" t="s">
        <v>798</v>
      </c>
      <c r="Y3011" s="20" t="s">
        <v>798</v>
      </c>
      <c r="Z3011" s="69" t="s">
        <v>9486</v>
      </c>
      <c r="AA3011" s="72" t="s">
        <v>9479</v>
      </c>
      <c r="AB3011" s="73" t="s">
        <v>9486</v>
      </c>
      <c r="AC3011" s="74" t="s">
        <v>9562</v>
      </c>
      <c r="AD3011" s="73" t="s">
        <v>9578</v>
      </c>
      <c r="AE3011" s="74" t="s">
        <v>9579</v>
      </c>
    </row>
    <row r="3012" spans="1:31" ht="8.65" customHeight="1" x14ac:dyDescent="0.2">
      <c r="A3012" s="76">
        <v>3012</v>
      </c>
      <c r="B3012" s="67" t="str">
        <f>MID(C3012, FIND("Ifc.", C3012) + 4, 4) &amp; "_" &amp; TEXT(COUNTIF($C$2:C3012, C3012),"0000")</f>
        <v>Enti_0145</v>
      </c>
      <c r="C3012" s="25" t="s">
        <v>874</v>
      </c>
      <c r="D3012" s="69" t="s">
        <v>9453</v>
      </c>
      <c r="E3012" s="70" t="s">
        <v>9457</v>
      </c>
      <c r="F3012" s="26" t="s">
        <v>798</v>
      </c>
      <c r="G3012" s="15" t="s">
        <v>798</v>
      </c>
      <c r="H3012" s="14" t="s">
        <v>798</v>
      </c>
      <c r="I3012" s="15" t="s">
        <v>798</v>
      </c>
      <c r="J3012" s="12" t="s">
        <v>9438</v>
      </c>
      <c r="K3012" s="16" t="s">
        <v>3084</v>
      </c>
      <c r="L3012" s="12" t="s">
        <v>800</v>
      </c>
      <c r="M3012" s="16" t="s">
        <v>4051</v>
      </c>
      <c r="N3012" s="19" t="s">
        <v>798</v>
      </c>
      <c r="O3012" s="20" t="s">
        <v>798</v>
      </c>
      <c r="P3012" s="17" t="s">
        <v>802</v>
      </c>
      <c r="Q3012" s="21" t="s">
        <v>8636</v>
      </c>
      <c r="R3012" s="19" t="s">
        <v>798</v>
      </c>
      <c r="S3012" s="20" t="s">
        <v>798</v>
      </c>
      <c r="T3012" s="17" t="s">
        <v>798</v>
      </c>
      <c r="U3012" s="20" t="s">
        <v>798</v>
      </c>
      <c r="V3012" s="26" t="s">
        <v>798</v>
      </c>
      <c r="W3012" s="20" t="s">
        <v>798</v>
      </c>
      <c r="X3012" s="26" t="s">
        <v>798</v>
      </c>
      <c r="Y3012" s="20" t="s">
        <v>798</v>
      </c>
      <c r="Z3012" s="69" t="s">
        <v>9486</v>
      </c>
      <c r="AA3012" s="72" t="s">
        <v>9496</v>
      </c>
      <c r="AB3012" s="73" t="s">
        <v>9486</v>
      </c>
      <c r="AC3012" s="74" t="s">
        <v>9562</v>
      </c>
      <c r="AD3012" s="73" t="s">
        <v>9578</v>
      </c>
      <c r="AE3012" s="74" t="s">
        <v>9579</v>
      </c>
    </row>
    <row r="3013" spans="1:31" ht="8.65" customHeight="1" x14ac:dyDescent="0.2">
      <c r="A3013" s="76">
        <v>3013</v>
      </c>
      <c r="B3013" s="67" t="str">
        <f>MID(C3013, FIND("Ifc.", C3013) + 4, 4) &amp; "_" &amp; TEXT(COUNTIF($C$2:C3013, C3013),"0000")</f>
        <v>Enti_0146</v>
      </c>
      <c r="C3013" s="25" t="s">
        <v>874</v>
      </c>
      <c r="D3013" s="69" t="s">
        <v>9453</v>
      </c>
      <c r="E3013" s="70" t="s">
        <v>9457</v>
      </c>
      <c r="F3013" s="26" t="s">
        <v>798</v>
      </c>
      <c r="G3013" s="15" t="s">
        <v>798</v>
      </c>
      <c r="H3013" s="14" t="s">
        <v>798</v>
      </c>
      <c r="I3013" s="15" t="s">
        <v>798</v>
      </c>
      <c r="J3013" s="12" t="s">
        <v>9438</v>
      </c>
      <c r="K3013" s="16" t="s">
        <v>3085</v>
      </c>
      <c r="L3013" s="12" t="s">
        <v>800</v>
      </c>
      <c r="M3013" s="16" t="s">
        <v>4052</v>
      </c>
      <c r="N3013" s="19" t="s">
        <v>798</v>
      </c>
      <c r="O3013" s="20" t="s">
        <v>798</v>
      </c>
      <c r="P3013" s="17" t="s">
        <v>802</v>
      </c>
      <c r="Q3013" s="21" t="s">
        <v>8637</v>
      </c>
      <c r="R3013" s="19" t="s">
        <v>798</v>
      </c>
      <c r="S3013" s="20" t="s">
        <v>798</v>
      </c>
      <c r="T3013" s="17" t="s">
        <v>798</v>
      </c>
      <c r="U3013" s="20" t="s">
        <v>798</v>
      </c>
      <c r="V3013" s="26" t="s">
        <v>798</v>
      </c>
      <c r="W3013" s="20" t="s">
        <v>798</v>
      </c>
      <c r="X3013" s="26" t="s">
        <v>798</v>
      </c>
      <c r="Y3013" s="20" t="s">
        <v>798</v>
      </c>
      <c r="Z3013" s="69" t="s">
        <v>9486</v>
      </c>
      <c r="AA3013" s="72" t="s">
        <v>9496</v>
      </c>
      <c r="AB3013" s="73" t="s">
        <v>9486</v>
      </c>
      <c r="AC3013" s="74" t="s">
        <v>9562</v>
      </c>
      <c r="AD3013" s="73" t="s">
        <v>9578</v>
      </c>
      <c r="AE3013" s="74" t="s">
        <v>9579</v>
      </c>
    </row>
    <row r="3014" spans="1:31" ht="8.65" customHeight="1" x14ac:dyDescent="0.2">
      <c r="A3014" s="76">
        <v>3014</v>
      </c>
      <c r="B3014" s="67" t="str">
        <f>MID(C3014, FIND("Ifc.", C3014) + 4, 4) &amp; "_" &amp; TEXT(COUNTIF($C$2:C3014, C3014),"0000")</f>
        <v>Enti_0147</v>
      </c>
      <c r="C3014" s="25" t="s">
        <v>874</v>
      </c>
      <c r="D3014" s="69" t="s">
        <v>9453</v>
      </c>
      <c r="E3014" s="70" t="s">
        <v>9457</v>
      </c>
      <c r="F3014" s="26" t="s">
        <v>798</v>
      </c>
      <c r="G3014" s="15" t="s">
        <v>798</v>
      </c>
      <c r="H3014" s="14" t="s">
        <v>798</v>
      </c>
      <c r="I3014" s="15" t="s">
        <v>798</v>
      </c>
      <c r="J3014" s="12" t="s">
        <v>9438</v>
      </c>
      <c r="K3014" s="16" t="s">
        <v>3086</v>
      </c>
      <c r="L3014" s="12" t="s">
        <v>800</v>
      </c>
      <c r="M3014" s="16" t="s">
        <v>4053</v>
      </c>
      <c r="N3014" s="19" t="s">
        <v>798</v>
      </c>
      <c r="O3014" s="20" t="s">
        <v>798</v>
      </c>
      <c r="P3014" s="17" t="s">
        <v>802</v>
      </c>
      <c r="Q3014" s="21" t="s">
        <v>8638</v>
      </c>
      <c r="R3014" s="19" t="s">
        <v>798</v>
      </c>
      <c r="S3014" s="20" t="s">
        <v>798</v>
      </c>
      <c r="T3014" s="17" t="s">
        <v>798</v>
      </c>
      <c r="U3014" s="20" t="s">
        <v>798</v>
      </c>
      <c r="V3014" s="26" t="s">
        <v>798</v>
      </c>
      <c r="W3014" s="20" t="s">
        <v>798</v>
      </c>
      <c r="X3014" s="26" t="s">
        <v>798</v>
      </c>
      <c r="Y3014" s="20" t="s">
        <v>798</v>
      </c>
      <c r="Z3014" s="69" t="s">
        <v>9486</v>
      </c>
      <c r="AA3014" s="72" t="s">
        <v>9496</v>
      </c>
      <c r="AB3014" s="73" t="s">
        <v>9486</v>
      </c>
      <c r="AC3014" s="74" t="s">
        <v>9562</v>
      </c>
      <c r="AD3014" s="73" t="s">
        <v>9578</v>
      </c>
      <c r="AE3014" s="74" t="s">
        <v>9579</v>
      </c>
    </row>
    <row r="3015" spans="1:31" ht="8.65" customHeight="1" x14ac:dyDescent="0.2">
      <c r="A3015" s="76">
        <v>3015</v>
      </c>
      <c r="B3015" s="67" t="str">
        <f>MID(C3015, FIND("Ifc.", C3015) + 4, 4) &amp; "_" &amp; TEXT(COUNTIF($C$2:C3015, C3015),"0000")</f>
        <v>Enti_0148</v>
      </c>
      <c r="C3015" s="25" t="s">
        <v>874</v>
      </c>
      <c r="D3015" s="69" t="s">
        <v>9453</v>
      </c>
      <c r="E3015" s="70" t="s">
        <v>9457</v>
      </c>
      <c r="F3015" s="26" t="s">
        <v>798</v>
      </c>
      <c r="G3015" s="15" t="s">
        <v>798</v>
      </c>
      <c r="H3015" s="14" t="s">
        <v>798</v>
      </c>
      <c r="I3015" s="15" t="s">
        <v>798</v>
      </c>
      <c r="J3015" s="12" t="s">
        <v>9438</v>
      </c>
      <c r="K3015" s="16" t="s">
        <v>3087</v>
      </c>
      <c r="L3015" s="12" t="s">
        <v>800</v>
      </c>
      <c r="M3015" s="16" t="s">
        <v>4054</v>
      </c>
      <c r="N3015" s="19" t="s">
        <v>798</v>
      </c>
      <c r="O3015" s="20" t="s">
        <v>798</v>
      </c>
      <c r="P3015" s="17" t="s">
        <v>802</v>
      </c>
      <c r="Q3015" s="21" t="s">
        <v>8639</v>
      </c>
      <c r="R3015" s="19" t="s">
        <v>798</v>
      </c>
      <c r="S3015" s="20" t="s">
        <v>798</v>
      </c>
      <c r="T3015" s="17" t="s">
        <v>798</v>
      </c>
      <c r="U3015" s="20" t="s">
        <v>798</v>
      </c>
      <c r="V3015" s="26" t="s">
        <v>798</v>
      </c>
      <c r="W3015" s="20" t="s">
        <v>798</v>
      </c>
      <c r="X3015" s="26" t="s">
        <v>798</v>
      </c>
      <c r="Y3015" s="20" t="s">
        <v>798</v>
      </c>
      <c r="Z3015" s="69" t="s">
        <v>9486</v>
      </c>
      <c r="AA3015" s="72" t="s">
        <v>9496</v>
      </c>
      <c r="AB3015" s="73" t="s">
        <v>9486</v>
      </c>
      <c r="AC3015" s="74" t="s">
        <v>9562</v>
      </c>
      <c r="AD3015" s="73" t="s">
        <v>9578</v>
      </c>
      <c r="AE3015" s="74" t="s">
        <v>9579</v>
      </c>
    </row>
    <row r="3016" spans="1:31" ht="8.65" customHeight="1" x14ac:dyDescent="0.2">
      <c r="A3016" s="76">
        <v>3016</v>
      </c>
      <c r="B3016" s="67" t="str">
        <f>MID(C3016, FIND("Ifc.", C3016) + 4, 4) &amp; "_" &amp; TEXT(COUNTIF($C$2:C3016, C3016),"0000")</f>
        <v>Enti_0149</v>
      </c>
      <c r="C3016" s="25" t="s">
        <v>874</v>
      </c>
      <c r="D3016" s="69" t="s">
        <v>9453</v>
      </c>
      <c r="E3016" s="70" t="s">
        <v>9457</v>
      </c>
      <c r="F3016" s="26" t="s">
        <v>798</v>
      </c>
      <c r="G3016" s="15" t="s">
        <v>798</v>
      </c>
      <c r="H3016" s="14" t="s">
        <v>798</v>
      </c>
      <c r="I3016" s="15" t="s">
        <v>798</v>
      </c>
      <c r="J3016" s="12" t="s">
        <v>9438</v>
      </c>
      <c r="K3016" s="16" t="s">
        <v>3088</v>
      </c>
      <c r="L3016" s="12" t="s">
        <v>800</v>
      </c>
      <c r="M3016" s="16" t="s">
        <v>4055</v>
      </c>
      <c r="N3016" s="19" t="s">
        <v>798</v>
      </c>
      <c r="O3016" s="20" t="s">
        <v>798</v>
      </c>
      <c r="P3016" s="17" t="s">
        <v>802</v>
      </c>
      <c r="Q3016" s="21" t="s">
        <v>8640</v>
      </c>
      <c r="R3016" s="19" t="s">
        <v>798</v>
      </c>
      <c r="S3016" s="20" t="s">
        <v>798</v>
      </c>
      <c r="T3016" s="17" t="s">
        <v>798</v>
      </c>
      <c r="U3016" s="20" t="s">
        <v>798</v>
      </c>
      <c r="V3016" s="26" t="s">
        <v>798</v>
      </c>
      <c r="W3016" s="20" t="s">
        <v>798</v>
      </c>
      <c r="X3016" s="26" t="s">
        <v>798</v>
      </c>
      <c r="Y3016" s="20" t="s">
        <v>798</v>
      </c>
      <c r="Z3016" s="69" t="s">
        <v>9486</v>
      </c>
      <c r="AA3016" s="72" t="s">
        <v>9496</v>
      </c>
      <c r="AB3016" s="73" t="s">
        <v>9486</v>
      </c>
      <c r="AC3016" s="74" t="s">
        <v>9562</v>
      </c>
      <c r="AD3016" s="73" t="s">
        <v>9578</v>
      </c>
      <c r="AE3016" s="74" t="s">
        <v>9579</v>
      </c>
    </row>
    <row r="3017" spans="1:31" ht="8.65" customHeight="1" x14ac:dyDescent="0.2">
      <c r="A3017" s="76">
        <v>3017</v>
      </c>
      <c r="B3017" s="67" t="str">
        <f>MID(C3017, FIND("Ifc.", C3017) + 4, 4) &amp; "_" &amp; TEXT(COUNTIF($C$2:C3017, C3017),"0000")</f>
        <v>Enti_0150</v>
      </c>
      <c r="C3017" s="25" t="s">
        <v>874</v>
      </c>
      <c r="D3017" s="69" t="s">
        <v>9453</v>
      </c>
      <c r="E3017" s="70" t="s">
        <v>9457</v>
      </c>
      <c r="F3017" s="26" t="s">
        <v>798</v>
      </c>
      <c r="G3017" s="15" t="s">
        <v>798</v>
      </c>
      <c r="H3017" s="14" t="s">
        <v>798</v>
      </c>
      <c r="I3017" s="15" t="s">
        <v>798</v>
      </c>
      <c r="J3017" s="12" t="s">
        <v>9438</v>
      </c>
      <c r="K3017" s="16" t="s">
        <v>3089</v>
      </c>
      <c r="L3017" s="12" t="s">
        <v>800</v>
      </c>
      <c r="M3017" s="16" t="s">
        <v>4056</v>
      </c>
      <c r="N3017" s="19" t="s">
        <v>798</v>
      </c>
      <c r="O3017" s="20" t="s">
        <v>798</v>
      </c>
      <c r="P3017" s="17" t="s">
        <v>802</v>
      </c>
      <c r="Q3017" s="21" t="s">
        <v>8641</v>
      </c>
      <c r="R3017" s="19" t="s">
        <v>798</v>
      </c>
      <c r="S3017" s="20" t="s">
        <v>798</v>
      </c>
      <c r="T3017" s="17" t="s">
        <v>798</v>
      </c>
      <c r="U3017" s="20" t="s">
        <v>798</v>
      </c>
      <c r="V3017" s="26" t="s">
        <v>798</v>
      </c>
      <c r="W3017" s="20" t="s">
        <v>798</v>
      </c>
      <c r="X3017" s="26" t="s">
        <v>798</v>
      </c>
      <c r="Y3017" s="20" t="s">
        <v>798</v>
      </c>
      <c r="Z3017" s="69" t="s">
        <v>9486</v>
      </c>
      <c r="AA3017" s="72" t="s">
        <v>9496</v>
      </c>
      <c r="AB3017" s="73" t="s">
        <v>9486</v>
      </c>
      <c r="AC3017" s="74" t="s">
        <v>9562</v>
      </c>
      <c r="AD3017" s="73" t="s">
        <v>9578</v>
      </c>
      <c r="AE3017" s="74" t="s">
        <v>9579</v>
      </c>
    </row>
    <row r="3018" spans="1:31" ht="8.65" customHeight="1" x14ac:dyDescent="0.2">
      <c r="A3018" s="76">
        <v>3018</v>
      </c>
      <c r="B3018" s="67" t="str">
        <f>MID(C3018, FIND("Ifc.", C3018) + 4, 4) &amp; "_" &amp; TEXT(COUNTIF($C$2:C3018, C3018),"0000")</f>
        <v>Enti_0151</v>
      </c>
      <c r="C3018" s="25" t="s">
        <v>874</v>
      </c>
      <c r="D3018" s="69" t="s">
        <v>9453</v>
      </c>
      <c r="E3018" s="70" t="s">
        <v>9457</v>
      </c>
      <c r="F3018" s="26" t="s">
        <v>798</v>
      </c>
      <c r="G3018" s="15" t="s">
        <v>798</v>
      </c>
      <c r="H3018" s="14" t="s">
        <v>798</v>
      </c>
      <c r="I3018" s="15" t="s">
        <v>798</v>
      </c>
      <c r="J3018" s="12" t="s">
        <v>9438</v>
      </c>
      <c r="K3018" s="16" t="s">
        <v>3090</v>
      </c>
      <c r="L3018" s="12" t="s">
        <v>800</v>
      </c>
      <c r="M3018" s="16" t="s">
        <v>4057</v>
      </c>
      <c r="N3018" s="19" t="s">
        <v>798</v>
      </c>
      <c r="O3018" s="20" t="s">
        <v>798</v>
      </c>
      <c r="P3018" s="17" t="s">
        <v>802</v>
      </c>
      <c r="Q3018" s="21" t="s">
        <v>8642</v>
      </c>
      <c r="R3018" s="19" t="s">
        <v>798</v>
      </c>
      <c r="S3018" s="20" t="s">
        <v>798</v>
      </c>
      <c r="T3018" s="17" t="s">
        <v>798</v>
      </c>
      <c r="U3018" s="20" t="s">
        <v>798</v>
      </c>
      <c r="V3018" s="26" t="s">
        <v>798</v>
      </c>
      <c r="W3018" s="20" t="s">
        <v>798</v>
      </c>
      <c r="X3018" s="26" t="s">
        <v>798</v>
      </c>
      <c r="Y3018" s="20" t="s">
        <v>798</v>
      </c>
      <c r="Z3018" s="69" t="s">
        <v>9486</v>
      </c>
      <c r="AA3018" s="72" t="s">
        <v>9496</v>
      </c>
      <c r="AB3018" s="73" t="s">
        <v>9486</v>
      </c>
      <c r="AC3018" s="74" t="s">
        <v>9562</v>
      </c>
      <c r="AD3018" s="73" t="s">
        <v>9578</v>
      </c>
      <c r="AE3018" s="74" t="s">
        <v>9579</v>
      </c>
    </row>
    <row r="3019" spans="1:31" ht="8.65" customHeight="1" x14ac:dyDescent="0.2">
      <c r="A3019" s="76">
        <v>3019</v>
      </c>
      <c r="B3019" s="67" t="str">
        <f>MID(C3019, FIND("Ifc.", C3019) + 4, 4) &amp; "_" &amp; TEXT(COUNTIF($C$2:C3019, C3019),"0000")</f>
        <v>Enti_0152</v>
      </c>
      <c r="C3019" s="25" t="s">
        <v>874</v>
      </c>
      <c r="D3019" s="69" t="s">
        <v>9453</v>
      </c>
      <c r="E3019" s="70" t="s">
        <v>9457</v>
      </c>
      <c r="F3019" s="26" t="s">
        <v>798</v>
      </c>
      <c r="G3019" s="15" t="s">
        <v>798</v>
      </c>
      <c r="H3019" s="14" t="s">
        <v>798</v>
      </c>
      <c r="I3019" s="15" t="s">
        <v>798</v>
      </c>
      <c r="J3019" s="12" t="s">
        <v>9438</v>
      </c>
      <c r="K3019" s="16" t="s">
        <v>3091</v>
      </c>
      <c r="L3019" s="12" t="s">
        <v>800</v>
      </c>
      <c r="M3019" s="16" t="s">
        <v>4058</v>
      </c>
      <c r="N3019" s="19" t="s">
        <v>798</v>
      </c>
      <c r="O3019" s="20" t="s">
        <v>798</v>
      </c>
      <c r="P3019" s="17" t="s">
        <v>802</v>
      </c>
      <c r="Q3019" s="21" t="s">
        <v>8643</v>
      </c>
      <c r="R3019" s="19" t="s">
        <v>798</v>
      </c>
      <c r="S3019" s="20" t="s">
        <v>798</v>
      </c>
      <c r="T3019" s="17" t="s">
        <v>798</v>
      </c>
      <c r="U3019" s="20" t="s">
        <v>798</v>
      </c>
      <c r="V3019" s="26" t="s">
        <v>798</v>
      </c>
      <c r="W3019" s="20" t="s">
        <v>798</v>
      </c>
      <c r="X3019" s="26" t="s">
        <v>798</v>
      </c>
      <c r="Y3019" s="20" t="s">
        <v>798</v>
      </c>
      <c r="Z3019" s="69" t="s">
        <v>9486</v>
      </c>
      <c r="AA3019" s="72" t="s">
        <v>9496</v>
      </c>
      <c r="AB3019" s="73" t="s">
        <v>9486</v>
      </c>
      <c r="AC3019" s="74" t="s">
        <v>9562</v>
      </c>
      <c r="AD3019" s="73" t="s">
        <v>9578</v>
      </c>
      <c r="AE3019" s="74" t="s">
        <v>9579</v>
      </c>
    </row>
    <row r="3020" spans="1:31" ht="8.65" customHeight="1" x14ac:dyDescent="0.2">
      <c r="A3020" s="76">
        <v>3020</v>
      </c>
      <c r="B3020" s="67" t="str">
        <f>MID(C3020, FIND("Ifc.", C3020) + 4, 4) &amp; "_" &amp; TEXT(COUNTIF($C$2:C3020, C3020),"0000")</f>
        <v>Enti_0153</v>
      </c>
      <c r="C3020" s="25" t="s">
        <v>874</v>
      </c>
      <c r="D3020" s="69" t="s">
        <v>9453</v>
      </c>
      <c r="E3020" s="70" t="s">
        <v>9457</v>
      </c>
      <c r="F3020" s="26" t="s">
        <v>798</v>
      </c>
      <c r="G3020" s="15" t="s">
        <v>798</v>
      </c>
      <c r="H3020" s="14" t="s">
        <v>798</v>
      </c>
      <c r="I3020" s="15" t="s">
        <v>798</v>
      </c>
      <c r="J3020" s="12" t="s">
        <v>9438</v>
      </c>
      <c r="K3020" s="16" t="s">
        <v>3092</v>
      </c>
      <c r="L3020" s="12" t="s">
        <v>800</v>
      </c>
      <c r="M3020" s="16" t="s">
        <v>4059</v>
      </c>
      <c r="N3020" s="19" t="s">
        <v>798</v>
      </c>
      <c r="O3020" s="20" t="s">
        <v>798</v>
      </c>
      <c r="P3020" s="17" t="s">
        <v>802</v>
      </c>
      <c r="Q3020" s="21" t="s">
        <v>8644</v>
      </c>
      <c r="R3020" s="19" t="s">
        <v>798</v>
      </c>
      <c r="S3020" s="20" t="s">
        <v>798</v>
      </c>
      <c r="T3020" s="17" t="s">
        <v>798</v>
      </c>
      <c r="U3020" s="20" t="s">
        <v>798</v>
      </c>
      <c r="V3020" s="26" t="s">
        <v>798</v>
      </c>
      <c r="W3020" s="20" t="s">
        <v>798</v>
      </c>
      <c r="X3020" s="26" t="s">
        <v>798</v>
      </c>
      <c r="Y3020" s="20" t="s">
        <v>798</v>
      </c>
      <c r="Z3020" s="69" t="s">
        <v>9486</v>
      </c>
      <c r="AA3020" s="72" t="s">
        <v>9496</v>
      </c>
      <c r="AB3020" s="73" t="s">
        <v>9486</v>
      </c>
      <c r="AC3020" s="74" t="s">
        <v>9562</v>
      </c>
      <c r="AD3020" s="73" t="s">
        <v>9578</v>
      </c>
      <c r="AE3020" s="74" t="s">
        <v>9579</v>
      </c>
    </row>
    <row r="3021" spans="1:31" ht="8.65" customHeight="1" x14ac:dyDescent="0.2">
      <c r="A3021" s="76">
        <v>3021</v>
      </c>
      <c r="B3021" s="67" t="str">
        <f>MID(C3021, FIND("Ifc.", C3021) + 4, 4) &amp; "_" &amp; TEXT(COUNTIF($C$2:C3021, C3021),"0000")</f>
        <v>Enti_0154</v>
      </c>
      <c r="C3021" s="25" t="s">
        <v>874</v>
      </c>
      <c r="D3021" s="69" t="s">
        <v>9453</v>
      </c>
      <c r="E3021" s="70" t="s">
        <v>9457</v>
      </c>
      <c r="F3021" s="26" t="s">
        <v>798</v>
      </c>
      <c r="G3021" s="15" t="s">
        <v>798</v>
      </c>
      <c r="H3021" s="14" t="s">
        <v>798</v>
      </c>
      <c r="I3021" s="15" t="s">
        <v>798</v>
      </c>
      <c r="J3021" s="12" t="s">
        <v>9438</v>
      </c>
      <c r="K3021" s="16" t="s">
        <v>3093</v>
      </c>
      <c r="L3021" s="12" t="s">
        <v>800</v>
      </c>
      <c r="M3021" s="16" t="s">
        <v>4060</v>
      </c>
      <c r="N3021" s="19" t="s">
        <v>798</v>
      </c>
      <c r="O3021" s="20" t="s">
        <v>798</v>
      </c>
      <c r="P3021" s="17" t="s">
        <v>802</v>
      </c>
      <c r="Q3021" s="21" t="s">
        <v>8645</v>
      </c>
      <c r="R3021" s="19" t="s">
        <v>798</v>
      </c>
      <c r="S3021" s="20" t="s">
        <v>798</v>
      </c>
      <c r="T3021" s="17" t="s">
        <v>798</v>
      </c>
      <c r="U3021" s="20" t="s">
        <v>798</v>
      </c>
      <c r="V3021" s="26" t="s">
        <v>798</v>
      </c>
      <c r="W3021" s="20" t="s">
        <v>798</v>
      </c>
      <c r="X3021" s="26" t="s">
        <v>798</v>
      </c>
      <c r="Y3021" s="20" t="s">
        <v>798</v>
      </c>
      <c r="Z3021" s="69" t="s">
        <v>9486</v>
      </c>
      <c r="AA3021" s="72" t="s">
        <v>9496</v>
      </c>
      <c r="AB3021" s="73" t="s">
        <v>9486</v>
      </c>
      <c r="AC3021" s="74" t="s">
        <v>9562</v>
      </c>
      <c r="AD3021" s="73" t="s">
        <v>9578</v>
      </c>
      <c r="AE3021" s="74" t="s">
        <v>9579</v>
      </c>
    </row>
    <row r="3022" spans="1:31" ht="8.65" customHeight="1" x14ac:dyDescent="0.2">
      <c r="A3022" s="76">
        <v>3022</v>
      </c>
      <c r="B3022" s="67" t="str">
        <f>MID(C3022, FIND("Ifc.", C3022) + 4, 4) &amp; "_" &amp; TEXT(COUNTIF($C$2:C3022, C3022),"0000")</f>
        <v>Enti_0155</v>
      </c>
      <c r="C3022" s="25" t="s">
        <v>874</v>
      </c>
      <c r="D3022" s="69" t="s">
        <v>9453</v>
      </c>
      <c r="E3022" s="70" t="s">
        <v>9457</v>
      </c>
      <c r="F3022" s="26" t="s">
        <v>798</v>
      </c>
      <c r="G3022" s="15" t="s">
        <v>798</v>
      </c>
      <c r="H3022" s="14" t="s">
        <v>798</v>
      </c>
      <c r="I3022" s="15" t="s">
        <v>798</v>
      </c>
      <c r="J3022" s="12" t="s">
        <v>9438</v>
      </c>
      <c r="K3022" s="16" t="s">
        <v>3094</v>
      </c>
      <c r="L3022" s="12" t="s">
        <v>800</v>
      </c>
      <c r="M3022" s="16" t="s">
        <v>4061</v>
      </c>
      <c r="N3022" s="19" t="s">
        <v>798</v>
      </c>
      <c r="O3022" s="20" t="s">
        <v>798</v>
      </c>
      <c r="P3022" s="17" t="s">
        <v>802</v>
      </c>
      <c r="Q3022" s="21" t="s">
        <v>8646</v>
      </c>
      <c r="R3022" s="19" t="s">
        <v>798</v>
      </c>
      <c r="S3022" s="20" t="s">
        <v>798</v>
      </c>
      <c r="T3022" s="17" t="s">
        <v>798</v>
      </c>
      <c r="U3022" s="20" t="s">
        <v>798</v>
      </c>
      <c r="V3022" s="26" t="s">
        <v>798</v>
      </c>
      <c r="W3022" s="20" t="s">
        <v>798</v>
      </c>
      <c r="X3022" s="26" t="s">
        <v>798</v>
      </c>
      <c r="Y3022" s="20" t="s">
        <v>798</v>
      </c>
      <c r="Z3022" s="69" t="s">
        <v>9486</v>
      </c>
      <c r="AA3022" s="72" t="s">
        <v>9496</v>
      </c>
      <c r="AB3022" s="73" t="s">
        <v>9486</v>
      </c>
      <c r="AC3022" s="74" t="s">
        <v>9562</v>
      </c>
      <c r="AD3022" s="73" t="s">
        <v>9578</v>
      </c>
      <c r="AE3022" s="74" t="s">
        <v>9579</v>
      </c>
    </row>
    <row r="3023" spans="1:31" ht="8.65" customHeight="1" x14ac:dyDescent="0.2">
      <c r="A3023" s="76">
        <v>3023</v>
      </c>
      <c r="B3023" s="67" t="str">
        <f>MID(C3023, FIND("Ifc.", C3023) + 4, 4) &amp; "_" &amp; TEXT(COUNTIF($C$2:C3023, C3023),"0000")</f>
        <v>Enti_0156</v>
      </c>
      <c r="C3023" s="25" t="s">
        <v>874</v>
      </c>
      <c r="D3023" s="69" t="s">
        <v>9453</v>
      </c>
      <c r="E3023" s="70" t="s">
        <v>9457</v>
      </c>
      <c r="F3023" s="26" t="s">
        <v>798</v>
      </c>
      <c r="G3023" s="15" t="s">
        <v>798</v>
      </c>
      <c r="H3023" s="14" t="s">
        <v>798</v>
      </c>
      <c r="I3023" s="15" t="s">
        <v>798</v>
      </c>
      <c r="J3023" s="12" t="s">
        <v>9438</v>
      </c>
      <c r="K3023" s="16" t="s">
        <v>3095</v>
      </c>
      <c r="L3023" s="12" t="s">
        <v>800</v>
      </c>
      <c r="M3023" s="16" t="s">
        <v>4062</v>
      </c>
      <c r="N3023" s="19" t="s">
        <v>798</v>
      </c>
      <c r="O3023" s="20" t="s">
        <v>798</v>
      </c>
      <c r="P3023" s="17" t="s">
        <v>802</v>
      </c>
      <c r="Q3023" s="21" t="s">
        <v>8647</v>
      </c>
      <c r="R3023" s="19" t="s">
        <v>798</v>
      </c>
      <c r="S3023" s="20" t="s">
        <v>798</v>
      </c>
      <c r="T3023" s="17" t="s">
        <v>798</v>
      </c>
      <c r="U3023" s="20" t="s">
        <v>798</v>
      </c>
      <c r="V3023" s="26" t="s">
        <v>798</v>
      </c>
      <c r="W3023" s="20" t="s">
        <v>798</v>
      </c>
      <c r="X3023" s="26" t="s">
        <v>798</v>
      </c>
      <c r="Y3023" s="20" t="s">
        <v>798</v>
      </c>
      <c r="Z3023" s="69" t="s">
        <v>9486</v>
      </c>
      <c r="AA3023" s="72" t="s">
        <v>9496</v>
      </c>
      <c r="AB3023" s="73" t="s">
        <v>9486</v>
      </c>
      <c r="AC3023" s="74" t="s">
        <v>9562</v>
      </c>
      <c r="AD3023" s="73" t="s">
        <v>9578</v>
      </c>
      <c r="AE3023" s="74" t="s">
        <v>9579</v>
      </c>
    </row>
    <row r="3024" spans="1:31" ht="8.65" customHeight="1" x14ac:dyDescent="0.2">
      <c r="A3024" s="76">
        <v>3024</v>
      </c>
      <c r="B3024" s="67" t="str">
        <f>MID(C3024, FIND("Ifc.", C3024) + 4, 4) &amp; "_" &amp; TEXT(COUNTIF($C$2:C3024, C3024),"0000")</f>
        <v>Enti_0157</v>
      </c>
      <c r="C3024" s="25" t="s">
        <v>874</v>
      </c>
      <c r="D3024" s="69" t="s">
        <v>9453</v>
      </c>
      <c r="E3024" s="70" t="s">
        <v>9457</v>
      </c>
      <c r="F3024" s="26" t="s">
        <v>798</v>
      </c>
      <c r="G3024" s="15" t="s">
        <v>798</v>
      </c>
      <c r="H3024" s="14" t="s">
        <v>798</v>
      </c>
      <c r="I3024" s="15" t="s">
        <v>798</v>
      </c>
      <c r="J3024" s="12" t="s">
        <v>9438</v>
      </c>
      <c r="K3024" s="16" t="s">
        <v>3096</v>
      </c>
      <c r="L3024" s="12" t="s">
        <v>800</v>
      </c>
      <c r="M3024" s="16" t="s">
        <v>4063</v>
      </c>
      <c r="N3024" s="19" t="s">
        <v>798</v>
      </c>
      <c r="O3024" s="20" t="s">
        <v>798</v>
      </c>
      <c r="P3024" s="17" t="s">
        <v>802</v>
      </c>
      <c r="Q3024" s="21" t="s">
        <v>8648</v>
      </c>
      <c r="R3024" s="19" t="s">
        <v>798</v>
      </c>
      <c r="S3024" s="20" t="s">
        <v>798</v>
      </c>
      <c r="T3024" s="17" t="s">
        <v>798</v>
      </c>
      <c r="U3024" s="20" t="s">
        <v>798</v>
      </c>
      <c r="V3024" s="26" t="s">
        <v>798</v>
      </c>
      <c r="W3024" s="20" t="s">
        <v>798</v>
      </c>
      <c r="X3024" s="26" t="s">
        <v>798</v>
      </c>
      <c r="Y3024" s="20" t="s">
        <v>798</v>
      </c>
      <c r="Z3024" s="69" t="s">
        <v>9486</v>
      </c>
      <c r="AA3024" s="72" t="s">
        <v>9496</v>
      </c>
      <c r="AB3024" s="73" t="s">
        <v>9486</v>
      </c>
      <c r="AC3024" s="74" t="s">
        <v>9562</v>
      </c>
      <c r="AD3024" s="73" t="s">
        <v>9578</v>
      </c>
      <c r="AE3024" s="74" t="s">
        <v>9579</v>
      </c>
    </row>
    <row r="3025" spans="1:31" ht="8.65" customHeight="1" x14ac:dyDescent="0.2">
      <c r="A3025" s="76">
        <v>3025</v>
      </c>
      <c r="B3025" s="67" t="str">
        <f>MID(C3025, FIND("Ifc.", C3025) + 4, 4) &amp; "_" &amp; TEXT(COUNTIF($C$2:C3025, C3025),"0000")</f>
        <v>Enti_0158</v>
      </c>
      <c r="C3025" s="25" t="s">
        <v>874</v>
      </c>
      <c r="D3025" s="69" t="s">
        <v>9453</v>
      </c>
      <c r="E3025" s="70" t="s">
        <v>9457</v>
      </c>
      <c r="F3025" s="26" t="s">
        <v>798</v>
      </c>
      <c r="G3025" s="15" t="s">
        <v>798</v>
      </c>
      <c r="H3025" s="14" t="s">
        <v>798</v>
      </c>
      <c r="I3025" s="15" t="s">
        <v>798</v>
      </c>
      <c r="J3025" s="12" t="s">
        <v>9438</v>
      </c>
      <c r="K3025" s="16" t="s">
        <v>3097</v>
      </c>
      <c r="L3025" s="12" t="s">
        <v>800</v>
      </c>
      <c r="M3025" s="16" t="s">
        <v>4064</v>
      </c>
      <c r="N3025" s="19" t="s">
        <v>798</v>
      </c>
      <c r="O3025" s="20" t="s">
        <v>798</v>
      </c>
      <c r="P3025" s="17" t="s">
        <v>802</v>
      </c>
      <c r="Q3025" s="21" t="s">
        <v>8649</v>
      </c>
      <c r="R3025" s="19" t="s">
        <v>798</v>
      </c>
      <c r="S3025" s="20" t="s">
        <v>798</v>
      </c>
      <c r="T3025" s="17" t="s">
        <v>798</v>
      </c>
      <c r="U3025" s="20" t="s">
        <v>798</v>
      </c>
      <c r="V3025" s="26" t="s">
        <v>798</v>
      </c>
      <c r="W3025" s="20" t="s">
        <v>798</v>
      </c>
      <c r="X3025" s="26" t="s">
        <v>798</v>
      </c>
      <c r="Y3025" s="20" t="s">
        <v>798</v>
      </c>
      <c r="Z3025" s="69" t="s">
        <v>9486</v>
      </c>
      <c r="AA3025" s="72" t="s">
        <v>9496</v>
      </c>
      <c r="AB3025" s="73" t="s">
        <v>9486</v>
      </c>
      <c r="AC3025" s="74" t="s">
        <v>9562</v>
      </c>
      <c r="AD3025" s="73" t="s">
        <v>9578</v>
      </c>
      <c r="AE3025" s="74" t="s">
        <v>9579</v>
      </c>
    </row>
    <row r="3026" spans="1:31" ht="8.65" customHeight="1" x14ac:dyDescent="0.2">
      <c r="A3026" s="76">
        <v>3026</v>
      </c>
      <c r="B3026" s="67" t="str">
        <f>MID(C3026, FIND("Ifc.", C3026) + 4, 4) &amp; "_" &amp; TEXT(COUNTIF($C$2:C3026, C3026),"0000")</f>
        <v>Enti_0159</v>
      </c>
      <c r="C3026" s="25" t="s">
        <v>874</v>
      </c>
      <c r="D3026" s="69" t="s">
        <v>9453</v>
      </c>
      <c r="E3026" s="70" t="s">
        <v>9457</v>
      </c>
      <c r="F3026" s="26" t="s">
        <v>798</v>
      </c>
      <c r="G3026" s="15" t="s">
        <v>798</v>
      </c>
      <c r="H3026" s="14" t="s">
        <v>798</v>
      </c>
      <c r="I3026" s="15" t="s">
        <v>798</v>
      </c>
      <c r="J3026" s="12" t="s">
        <v>9438</v>
      </c>
      <c r="K3026" s="16" t="s">
        <v>3098</v>
      </c>
      <c r="L3026" s="12" t="s">
        <v>800</v>
      </c>
      <c r="M3026" s="16" t="s">
        <v>4065</v>
      </c>
      <c r="N3026" s="19" t="s">
        <v>798</v>
      </c>
      <c r="O3026" s="20" t="s">
        <v>798</v>
      </c>
      <c r="P3026" s="17" t="s">
        <v>802</v>
      </c>
      <c r="Q3026" s="21" t="s">
        <v>8650</v>
      </c>
      <c r="R3026" s="19" t="s">
        <v>798</v>
      </c>
      <c r="S3026" s="20" t="s">
        <v>798</v>
      </c>
      <c r="T3026" s="17" t="s">
        <v>798</v>
      </c>
      <c r="U3026" s="20" t="s">
        <v>798</v>
      </c>
      <c r="V3026" s="26" t="s">
        <v>798</v>
      </c>
      <c r="W3026" s="20" t="s">
        <v>798</v>
      </c>
      <c r="X3026" s="26" t="s">
        <v>798</v>
      </c>
      <c r="Y3026" s="20" t="s">
        <v>798</v>
      </c>
      <c r="Z3026" s="69" t="s">
        <v>9486</v>
      </c>
      <c r="AA3026" s="72" t="s">
        <v>9496</v>
      </c>
      <c r="AB3026" s="73" t="s">
        <v>9486</v>
      </c>
      <c r="AC3026" s="74" t="s">
        <v>9562</v>
      </c>
      <c r="AD3026" s="73" t="s">
        <v>9578</v>
      </c>
      <c r="AE3026" s="74" t="s">
        <v>9579</v>
      </c>
    </row>
    <row r="3027" spans="1:31" ht="8.65" customHeight="1" x14ac:dyDescent="0.2">
      <c r="A3027" s="76">
        <v>3027</v>
      </c>
      <c r="B3027" s="67" t="str">
        <f>MID(C3027, FIND("Ifc.", C3027) + 4, 4) &amp; "_" &amp; TEXT(COUNTIF($C$2:C3027, C3027),"0000")</f>
        <v>Enti_0160</v>
      </c>
      <c r="C3027" s="25" t="s">
        <v>874</v>
      </c>
      <c r="D3027" s="69" t="s">
        <v>9453</v>
      </c>
      <c r="E3027" s="70" t="s">
        <v>9457</v>
      </c>
      <c r="F3027" s="26" t="s">
        <v>798</v>
      </c>
      <c r="G3027" s="15" t="s">
        <v>798</v>
      </c>
      <c r="H3027" s="14" t="s">
        <v>798</v>
      </c>
      <c r="I3027" s="15" t="s">
        <v>798</v>
      </c>
      <c r="J3027" s="12" t="s">
        <v>9438</v>
      </c>
      <c r="K3027" s="16" t="s">
        <v>3099</v>
      </c>
      <c r="L3027" s="12" t="s">
        <v>800</v>
      </c>
      <c r="M3027" s="16" t="s">
        <v>4066</v>
      </c>
      <c r="N3027" s="19" t="s">
        <v>798</v>
      </c>
      <c r="O3027" s="20" t="s">
        <v>798</v>
      </c>
      <c r="P3027" s="17" t="s">
        <v>802</v>
      </c>
      <c r="Q3027" s="21" t="s">
        <v>8651</v>
      </c>
      <c r="R3027" s="19" t="s">
        <v>798</v>
      </c>
      <c r="S3027" s="20" t="s">
        <v>798</v>
      </c>
      <c r="T3027" s="17" t="s">
        <v>798</v>
      </c>
      <c r="U3027" s="20" t="s">
        <v>798</v>
      </c>
      <c r="V3027" s="26" t="s">
        <v>798</v>
      </c>
      <c r="W3027" s="20" t="s">
        <v>798</v>
      </c>
      <c r="X3027" s="26" t="s">
        <v>798</v>
      </c>
      <c r="Y3027" s="20" t="s">
        <v>798</v>
      </c>
      <c r="Z3027" s="69" t="s">
        <v>9486</v>
      </c>
      <c r="AA3027" s="72" t="s">
        <v>9496</v>
      </c>
      <c r="AB3027" s="73" t="s">
        <v>9486</v>
      </c>
      <c r="AC3027" s="74" t="s">
        <v>9562</v>
      </c>
      <c r="AD3027" s="73" t="s">
        <v>9578</v>
      </c>
      <c r="AE3027" s="74" t="s">
        <v>9579</v>
      </c>
    </row>
    <row r="3028" spans="1:31" ht="8.65" customHeight="1" x14ac:dyDescent="0.2">
      <c r="A3028" s="76">
        <v>3028</v>
      </c>
      <c r="B3028" s="67" t="str">
        <f>MID(C3028, FIND("Ifc.", C3028) + 4, 4) &amp; "_" &amp; TEXT(COUNTIF($C$2:C3028, C3028),"0000")</f>
        <v>Enti_0161</v>
      </c>
      <c r="C3028" s="25" t="s">
        <v>874</v>
      </c>
      <c r="D3028" s="69" t="s">
        <v>9453</v>
      </c>
      <c r="E3028" s="70" t="s">
        <v>9457</v>
      </c>
      <c r="F3028" s="26" t="s">
        <v>798</v>
      </c>
      <c r="G3028" s="15" t="s">
        <v>798</v>
      </c>
      <c r="H3028" s="14" t="s">
        <v>798</v>
      </c>
      <c r="I3028" s="15" t="s">
        <v>798</v>
      </c>
      <c r="J3028" s="12" t="s">
        <v>9438</v>
      </c>
      <c r="K3028" s="16" t="s">
        <v>3100</v>
      </c>
      <c r="L3028" s="12" t="s">
        <v>800</v>
      </c>
      <c r="M3028" s="16" t="s">
        <v>4067</v>
      </c>
      <c r="N3028" s="19" t="s">
        <v>798</v>
      </c>
      <c r="O3028" s="20" t="s">
        <v>798</v>
      </c>
      <c r="P3028" s="17" t="s">
        <v>802</v>
      </c>
      <c r="Q3028" s="21" t="s">
        <v>8652</v>
      </c>
      <c r="R3028" s="19" t="s">
        <v>798</v>
      </c>
      <c r="S3028" s="20" t="s">
        <v>798</v>
      </c>
      <c r="T3028" s="17" t="s">
        <v>798</v>
      </c>
      <c r="U3028" s="20" t="s">
        <v>798</v>
      </c>
      <c r="V3028" s="26" t="s">
        <v>798</v>
      </c>
      <c r="W3028" s="20" t="s">
        <v>798</v>
      </c>
      <c r="X3028" s="26" t="s">
        <v>798</v>
      </c>
      <c r="Y3028" s="20" t="s">
        <v>798</v>
      </c>
      <c r="Z3028" s="69" t="s">
        <v>9486</v>
      </c>
      <c r="AA3028" s="72" t="s">
        <v>9496</v>
      </c>
      <c r="AB3028" s="73" t="s">
        <v>9486</v>
      </c>
      <c r="AC3028" s="74" t="s">
        <v>9562</v>
      </c>
      <c r="AD3028" s="73" t="s">
        <v>9578</v>
      </c>
      <c r="AE3028" s="74" t="s">
        <v>9579</v>
      </c>
    </row>
    <row r="3029" spans="1:31" ht="8.65" customHeight="1" x14ac:dyDescent="0.2">
      <c r="A3029" s="76">
        <v>3029</v>
      </c>
      <c r="B3029" s="67" t="str">
        <f>MID(C3029, FIND("Ifc.", C3029) + 4, 4) &amp; "_" &amp; TEXT(COUNTIF($C$2:C3029, C3029),"0000")</f>
        <v>Enti_0162</v>
      </c>
      <c r="C3029" s="25" t="s">
        <v>874</v>
      </c>
      <c r="D3029" s="69" t="s">
        <v>9453</v>
      </c>
      <c r="E3029" s="70" t="s">
        <v>9457</v>
      </c>
      <c r="F3029" s="26" t="s">
        <v>798</v>
      </c>
      <c r="G3029" s="15" t="s">
        <v>798</v>
      </c>
      <c r="H3029" s="14" t="s">
        <v>798</v>
      </c>
      <c r="I3029" s="15" t="s">
        <v>798</v>
      </c>
      <c r="J3029" s="12" t="s">
        <v>9438</v>
      </c>
      <c r="K3029" s="16" t="s">
        <v>3101</v>
      </c>
      <c r="L3029" s="12" t="s">
        <v>800</v>
      </c>
      <c r="M3029" s="16" t="s">
        <v>4068</v>
      </c>
      <c r="N3029" s="19" t="s">
        <v>798</v>
      </c>
      <c r="O3029" s="20" t="s">
        <v>798</v>
      </c>
      <c r="P3029" s="17" t="s">
        <v>802</v>
      </c>
      <c r="Q3029" s="21" t="s">
        <v>8653</v>
      </c>
      <c r="R3029" s="19" t="s">
        <v>798</v>
      </c>
      <c r="S3029" s="20" t="s">
        <v>798</v>
      </c>
      <c r="T3029" s="17" t="s">
        <v>798</v>
      </c>
      <c r="U3029" s="20" t="s">
        <v>798</v>
      </c>
      <c r="V3029" s="26" t="s">
        <v>798</v>
      </c>
      <c r="W3029" s="20" t="s">
        <v>798</v>
      </c>
      <c r="X3029" s="26" t="s">
        <v>798</v>
      </c>
      <c r="Y3029" s="20" t="s">
        <v>798</v>
      </c>
      <c r="Z3029" s="69" t="s">
        <v>9486</v>
      </c>
      <c r="AA3029" s="72" t="s">
        <v>9496</v>
      </c>
      <c r="AB3029" s="73" t="s">
        <v>9486</v>
      </c>
      <c r="AC3029" s="74" t="s">
        <v>9562</v>
      </c>
      <c r="AD3029" s="73" t="s">
        <v>9578</v>
      </c>
      <c r="AE3029" s="74" t="s">
        <v>9579</v>
      </c>
    </row>
    <row r="3030" spans="1:31" ht="8.65" customHeight="1" x14ac:dyDescent="0.2">
      <c r="A3030" s="76">
        <v>3030</v>
      </c>
      <c r="B3030" s="67" t="str">
        <f>MID(C3030, FIND("Ifc.", C3030) + 4, 4) &amp; "_" &amp; TEXT(COUNTIF($C$2:C3030, C3030),"0000")</f>
        <v>Enti_0163</v>
      </c>
      <c r="C3030" s="25" t="s">
        <v>874</v>
      </c>
      <c r="D3030" s="69" t="s">
        <v>9453</v>
      </c>
      <c r="E3030" s="70" t="s">
        <v>9457</v>
      </c>
      <c r="F3030" s="26" t="s">
        <v>798</v>
      </c>
      <c r="G3030" s="15" t="s">
        <v>798</v>
      </c>
      <c r="H3030" s="14" t="s">
        <v>798</v>
      </c>
      <c r="I3030" s="15" t="s">
        <v>798</v>
      </c>
      <c r="J3030" s="12" t="s">
        <v>9438</v>
      </c>
      <c r="K3030" s="16" t="s">
        <v>3102</v>
      </c>
      <c r="L3030" s="12" t="s">
        <v>800</v>
      </c>
      <c r="M3030" s="16" t="s">
        <v>4069</v>
      </c>
      <c r="N3030" s="19" t="s">
        <v>798</v>
      </c>
      <c r="O3030" s="20" t="s">
        <v>798</v>
      </c>
      <c r="P3030" s="17" t="s">
        <v>802</v>
      </c>
      <c r="Q3030" s="21" t="s">
        <v>8654</v>
      </c>
      <c r="R3030" s="19" t="s">
        <v>798</v>
      </c>
      <c r="S3030" s="20" t="s">
        <v>798</v>
      </c>
      <c r="T3030" s="17" t="s">
        <v>798</v>
      </c>
      <c r="U3030" s="20" t="s">
        <v>798</v>
      </c>
      <c r="V3030" s="26" t="s">
        <v>798</v>
      </c>
      <c r="W3030" s="20" t="s">
        <v>798</v>
      </c>
      <c r="X3030" s="26" t="s">
        <v>798</v>
      </c>
      <c r="Y3030" s="20" t="s">
        <v>798</v>
      </c>
      <c r="Z3030" s="69" t="s">
        <v>9486</v>
      </c>
      <c r="AA3030" s="72" t="s">
        <v>9496</v>
      </c>
      <c r="AB3030" s="73" t="s">
        <v>9486</v>
      </c>
      <c r="AC3030" s="74" t="s">
        <v>9562</v>
      </c>
      <c r="AD3030" s="73" t="s">
        <v>9578</v>
      </c>
      <c r="AE3030" s="74" t="s">
        <v>9579</v>
      </c>
    </row>
    <row r="3031" spans="1:31" ht="8.65" customHeight="1" x14ac:dyDescent="0.2">
      <c r="A3031" s="76">
        <v>3031</v>
      </c>
      <c r="B3031" s="67" t="str">
        <f>MID(C3031, FIND("Ifc.", C3031) + 4, 4) &amp; "_" &amp; TEXT(COUNTIF($C$2:C3031, C3031),"0000")</f>
        <v>Enti_0164</v>
      </c>
      <c r="C3031" s="25" t="s">
        <v>874</v>
      </c>
      <c r="D3031" s="69" t="s">
        <v>9453</v>
      </c>
      <c r="E3031" s="70" t="s">
        <v>9457</v>
      </c>
      <c r="F3031" s="26" t="s">
        <v>798</v>
      </c>
      <c r="G3031" s="15" t="s">
        <v>798</v>
      </c>
      <c r="H3031" s="14" t="s">
        <v>798</v>
      </c>
      <c r="I3031" s="15" t="s">
        <v>798</v>
      </c>
      <c r="J3031" s="12" t="s">
        <v>9438</v>
      </c>
      <c r="K3031" s="16" t="s">
        <v>3103</v>
      </c>
      <c r="L3031" s="12" t="s">
        <v>800</v>
      </c>
      <c r="M3031" s="16" t="s">
        <v>4070</v>
      </c>
      <c r="N3031" s="19" t="s">
        <v>798</v>
      </c>
      <c r="O3031" s="20" t="s">
        <v>798</v>
      </c>
      <c r="P3031" s="17" t="s">
        <v>802</v>
      </c>
      <c r="Q3031" s="21" t="s">
        <v>8655</v>
      </c>
      <c r="R3031" s="19" t="s">
        <v>798</v>
      </c>
      <c r="S3031" s="20" t="s">
        <v>798</v>
      </c>
      <c r="T3031" s="17" t="s">
        <v>798</v>
      </c>
      <c r="U3031" s="20" t="s">
        <v>798</v>
      </c>
      <c r="V3031" s="26" t="s">
        <v>798</v>
      </c>
      <c r="W3031" s="20" t="s">
        <v>798</v>
      </c>
      <c r="X3031" s="26" t="s">
        <v>798</v>
      </c>
      <c r="Y3031" s="20" t="s">
        <v>798</v>
      </c>
      <c r="Z3031" s="69" t="s">
        <v>9486</v>
      </c>
      <c r="AA3031" s="72" t="s">
        <v>9496</v>
      </c>
      <c r="AB3031" s="73" t="s">
        <v>9486</v>
      </c>
      <c r="AC3031" s="74" t="s">
        <v>9562</v>
      </c>
      <c r="AD3031" s="73" t="s">
        <v>9578</v>
      </c>
      <c r="AE3031" s="74" t="s">
        <v>9579</v>
      </c>
    </row>
    <row r="3032" spans="1:31" ht="8.65" customHeight="1" x14ac:dyDescent="0.2">
      <c r="A3032" s="76">
        <v>3032</v>
      </c>
      <c r="B3032" s="67" t="str">
        <f>MID(C3032, FIND("Ifc.", C3032) + 4, 4) &amp; "_" &amp; TEXT(COUNTIF($C$2:C3032, C3032),"0000")</f>
        <v>Enti_0165</v>
      </c>
      <c r="C3032" s="25" t="s">
        <v>874</v>
      </c>
      <c r="D3032" s="69" t="s">
        <v>9453</v>
      </c>
      <c r="E3032" s="70" t="s">
        <v>9457</v>
      </c>
      <c r="F3032" s="26" t="s">
        <v>798</v>
      </c>
      <c r="G3032" s="15" t="s">
        <v>798</v>
      </c>
      <c r="H3032" s="14" t="s">
        <v>798</v>
      </c>
      <c r="I3032" s="15" t="s">
        <v>798</v>
      </c>
      <c r="J3032" s="12" t="s">
        <v>9438</v>
      </c>
      <c r="K3032" s="16" t="s">
        <v>3104</v>
      </c>
      <c r="L3032" s="12" t="s">
        <v>800</v>
      </c>
      <c r="M3032" s="16" t="s">
        <v>4071</v>
      </c>
      <c r="N3032" s="19" t="s">
        <v>798</v>
      </c>
      <c r="O3032" s="20" t="s">
        <v>798</v>
      </c>
      <c r="P3032" s="17" t="s">
        <v>802</v>
      </c>
      <c r="Q3032" s="21" t="s">
        <v>8656</v>
      </c>
      <c r="R3032" s="19" t="s">
        <v>798</v>
      </c>
      <c r="S3032" s="20" t="s">
        <v>798</v>
      </c>
      <c r="T3032" s="17" t="s">
        <v>798</v>
      </c>
      <c r="U3032" s="20" t="s">
        <v>798</v>
      </c>
      <c r="V3032" s="26" t="s">
        <v>798</v>
      </c>
      <c r="W3032" s="20" t="s">
        <v>798</v>
      </c>
      <c r="X3032" s="26" t="s">
        <v>798</v>
      </c>
      <c r="Y3032" s="20" t="s">
        <v>798</v>
      </c>
      <c r="Z3032" s="69" t="s">
        <v>9486</v>
      </c>
      <c r="AA3032" s="72" t="s">
        <v>9496</v>
      </c>
      <c r="AB3032" s="73" t="s">
        <v>9486</v>
      </c>
      <c r="AC3032" s="74" t="s">
        <v>9562</v>
      </c>
      <c r="AD3032" s="73" t="s">
        <v>9578</v>
      </c>
      <c r="AE3032" s="74" t="s">
        <v>9579</v>
      </c>
    </row>
    <row r="3033" spans="1:31" ht="8.65" customHeight="1" x14ac:dyDescent="0.2">
      <c r="A3033" s="76">
        <v>3033</v>
      </c>
      <c r="B3033" s="67" t="str">
        <f>MID(C3033, FIND("Ifc.", C3033) + 4, 4) &amp; "_" &amp; TEXT(COUNTIF($C$2:C3033, C3033),"0000")</f>
        <v>Enti_0166</v>
      </c>
      <c r="C3033" s="25" t="s">
        <v>874</v>
      </c>
      <c r="D3033" s="69" t="s">
        <v>9453</v>
      </c>
      <c r="E3033" s="70" t="s">
        <v>9457</v>
      </c>
      <c r="F3033" s="26" t="s">
        <v>798</v>
      </c>
      <c r="G3033" s="15" t="s">
        <v>798</v>
      </c>
      <c r="H3033" s="14" t="s">
        <v>798</v>
      </c>
      <c r="I3033" s="15" t="s">
        <v>798</v>
      </c>
      <c r="J3033" s="12" t="s">
        <v>9438</v>
      </c>
      <c r="K3033" s="16" t="s">
        <v>3105</v>
      </c>
      <c r="L3033" s="12" t="s">
        <v>800</v>
      </c>
      <c r="M3033" s="16" t="s">
        <v>4072</v>
      </c>
      <c r="N3033" s="19" t="s">
        <v>798</v>
      </c>
      <c r="O3033" s="20" t="s">
        <v>798</v>
      </c>
      <c r="P3033" s="17" t="s">
        <v>802</v>
      </c>
      <c r="Q3033" s="21" t="s">
        <v>8657</v>
      </c>
      <c r="R3033" s="19" t="s">
        <v>798</v>
      </c>
      <c r="S3033" s="20" t="s">
        <v>798</v>
      </c>
      <c r="T3033" s="17" t="s">
        <v>798</v>
      </c>
      <c r="U3033" s="20" t="s">
        <v>798</v>
      </c>
      <c r="V3033" s="26" t="s">
        <v>798</v>
      </c>
      <c r="W3033" s="20" t="s">
        <v>798</v>
      </c>
      <c r="X3033" s="26" t="s">
        <v>798</v>
      </c>
      <c r="Y3033" s="20" t="s">
        <v>798</v>
      </c>
      <c r="Z3033" s="69" t="s">
        <v>9486</v>
      </c>
      <c r="AA3033" s="72" t="s">
        <v>9496</v>
      </c>
      <c r="AB3033" s="73" t="s">
        <v>9486</v>
      </c>
      <c r="AC3033" s="74" t="s">
        <v>9562</v>
      </c>
      <c r="AD3033" s="73" t="s">
        <v>9578</v>
      </c>
      <c r="AE3033" s="74" t="s">
        <v>9579</v>
      </c>
    </row>
    <row r="3034" spans="1:31" ht="8.65" customHeight="1" x14ac:dyDescent="0.2">
      <c r="A3034" s="76">
        <v>3034</v>
      </c>
      <c r="B3034" s="67" t="str">
        <f>MID(C3034, FIND("Ifc.", C3034) + 4, 4) &amp; "_" &amp; TEXT(COUNTIF($C$2:C3034, C3034),"0000")</f>
        <v>Enti_0167</v>
      </c>
      <c r="C3034" s="25" t="s">
        <v>874</v>
      </c>
      <c r="D3034" s="69" t="s">
        <v>9453</v>
      </c>
      <c r="E3034" s="70" t="s">
        <v>9457</v>
      </c>
      <c r="F3034" s="26" t="s">
        <v>798</v>
      </c>
      <c r="G3034" s="15" t="s">
        <v>798</v>
      </c>
      <c r="H3034" s="14" t="s">
        <v>798</v>
      </c>
      <c r="I3034" s="15" t="s">
        <v>798</v>
      </c>
      <c r="J3034" s="12" t="s">
        <v>9438</v>
      </c>
      <c r="K3034" s="16" t="s">
        <v>3106</v>
      </c>
      <c r="L3034" s="12" t="s">
        <v>800</v>
      </c>
      <c r="M3034" s="16" t="s">
        <v>4073</v>
      </c>
      <c r="N3034" s="19" t="s">
        <v>798</v>
      </c>
      <c r="O3034" s="20" t="s">
        <v>798</v>
      </c>
      <c r="P3034" s="17" t="s">
        <v>802</v>
      </c>
      <c r="Q3034" s="21" t="s">
        <v>8658</v>
      </c>
      <c r="R3034" s="19" t="s">
        <v>798</v>
      </c>
      <c r="S3034" s="20" t="s">
        <v>798</v>
      </c>
      <c r="T3034" s="17" t="s">
        <v>798</v>
      </c>
      <c r="U3034" s="20" t="s">
        <v>798</v>
      </c>
      <c r="V3034" s="26" t="s">
        <v>798</v>
      </c>
      <c r="W3034" s="20" t="s">
        <v>798</v>
      </c>
      <c r="X3034" s="26" t="s">
        <v>798</v>
      </c>
      <c r="Y3034" s="20" t="s">
        <v>798</v>
      </c>
      <c r="Z3034" s="69" t="s">
        <v>9486</v>
      </c>
      <c r="AA3034" s="72" t="s">
        <v>9496</v>
      </c>
      <c r="AB3034" s="73" t="s">
        <v>9486</v>
      </c>
      <c r="AC3034" s="74" t="s">
        <v>9562</v>
      </c>
      <c r="AD3034" s="73" t="s">
        <v>9578</v>
      </c>
      <c r="AE3034" s="74" t="s">
        <v>9579</v>
      </c>
    </row>
    <row r="3035" spans="1:31" ht="8.65" customHeight="1" x14ac:dyDescent="0.2">
      <c r="A3035" s="76">
        <v>3035</v>
      </c>
      <c r="B3035" s="67" t="str">
        <f>MID(C3035, FIND("Ifc.", C3035) + 4, 4) &amp; "_" &amp; TEXT(COUNTIF($C$2:C3035, C3035),"0000")</f>
        <v>Enti_0168</v>
      </c>
      <c r="C3035" s="25" t="s">
        <v>874</v>
      </c>
      <c r="D3035" s="69" t="s">
        <v>9453</v>
      </c>
      <c r="E3035" s="70" t="s">
        <v>9457</v>
      </c>
      <c r="F3035" s="26" t="s">
        <v>798</v>
      </c>
      <c r="G3035" s="15" t="s">
        <v>798</v>
      </c>
      <c r="H3035" s="14" t="s">
        <v>798</v>
      </c>
      <c r="I3035" s="15" t="s">
        <v>798</v>
      </c>
      <c r="J3035" s="12" t="s">
        <v>9438</v>
      </c>
      <c r="K3035" s="16" t="s">
        <v>3107</v>
      </c>
      <c r="L3035" s="12" t="s">
        <v>800</v>
      </c>
      <c r="M3035" s="16" t="s">
        <v>4074</v>
      </c>
      <c r="N3035" s="19" t="s">
        <v>798</v>
      </c>
      <c r="O3035" s="20" t="s">
        <v>798</v>
      </c>
      <c r="P3035" s="17" t="s">
        <v>802</v>
      </c>
      <c r="Q3035" s="21" t="s">
        <v>8659</v>
      </c>
      <c r="R3035" s="19" t="s">
        <v>798</v>
      </c>
      <c r="S3035" s="20" t="s">
        <v>798</v>
      </c>
      <c r="T3035" s="17" t="s">
        <v>798</v>
      </c>
      <c r="U3035" s="20" t="s">
        <v>798</v>
      </c>
      <c r="V3035" s="26" t="s">
        <v>798</v>
      </c>
      <c r="W3035" s="20" t="s">
        <v>798</v>
      </c>
      <c r="X3035" s="26" t="s">
        <v>798</v>
      </c>
      <c r="Y3035" s="20" t="s">
        <v>798</v>
      </c>
      <c r="Z3035" s="69" t="s">
        <v>9486</v>
      </c>
      <c r="AA3035" s="72" t="s">
        <v>9496</v>
      </c>
      <c r="AB3035" s="73" t="s">
        <v>9486</v>
      </c>
      <c r="AC3035" s="74" t="s">
        <v>9562</v>
      </c>
      <c r="AD3035" s="73" t="s">
        <v>9578</v>
      </c>
      <c r="AE3035" s="74" t="s">
        <v>9579</v>
      </c>
    </row>
    <row r="3036" spans="1:31" ht="8.65" customHeight="1" x14ac:dyDescent="0.2">
      <c r="A3036" s="76">
        <v>3036</v>
      </c>
      <c r="B3036" s="67" t="str">
        <f>MID(C3036, FIND("Ifc.", C3036) + 4, 4) &amp; "_" &amp; TEXT(COUNTIF($C$2:C3036, C3036),"0000")</f>
        <v>Enti_0169</v>
      </c>
      <c r="C3036" s="25" t="s">
        <v>874</v>
      </c>
      <c r="D3036" s="69" t="s">
        <v>9453</v>
      </c>
      <c r="E3036" s="70" t="s">
        <v>9457</v>
      </c>
      <c r="F3036" s="26" t="s">
        <v>798</v>
      </c>
      <c r="G3036" s="15" t="s">
        <v>798</v>
      </c>
      <c r="H3036" s="14" t="s">
        <v>798</v>
      </c>
      <c r="I3036" s="15" t="s">
        <v>798</v>
      </c>
      <c r="J3036" s="12" t="s">
        <v>9438</v>
      </c>
      <c r="K3036" s="16" t="s">
        <v>3108</v>
      </c>
      <c r="L3036" s="12" t="s">
        <v>800</v>
      </c>
      <c r="M3036" s="16" t="s">
        <v>4075</v>
      </c>
      <c r="N3036" s="19" t="s">
        <v>798</v>
      </c>
      <c r="O3036" s="20" t="s">
        <v>798</v>
      </c>
      <c r="P3036" s="17" t="s">
        <v>802</v>
      </c>
      <c r="Q3036" s="21" t="s">
        <v>8660</v>
      </c>
      <c r="R3036" s="19" t="s">
        <v>798</v>
      </c>
      <c r="S3036" s="20" t="s">
        <v>798</v>
      </c>
      <c r="T3036" s="17" t="s">
        <v>798</v>
      </c>
      <c r="U3036" s="20" t="s">
        <v>798</v>
      </c>
      <c r="V3036" s="26" t="s">
        <v>798</v>
      </c>
      <c r="W3036" s="20" t="s">
        <v>798</v>
      </c>
      <c r="X3036" s="26" t="s">
        <v>798</v>
      </c>
      <c r="Y3036" s="20" t="s">
        <v>798</v>
      </c>
      <c r="Z3036" s="69" t="s">
        <v>9486</v>
      </c>
      <c r="AA3036" s="72" t="s">
        <v>9479</v>
      </c>
      <c r="AB3036" s="73" t="s">
        <v>9486</v>
      </c>
      <c r="AC3036" s="74" t="s">
        <v>9562</v>
      </c>
      <c r="AD3036" s="73" t="s">
        <v>9578</v>
      </c>
      <c r="AE3036" s="74" t="s">
        <v>9579</v>
      </c>
    </row>
    <row r="3037" spans="1:31" ht="8.65" customHeight="1" x14ac:dyDescent="0.2">
      <c r="A3037" s="76">
        <v>3037</v>
      </c>
      <c r="B3037" s="67" t="str">
        <f>MID(C3037, FIND("Ifc.", C3037) + 4, 4) &amp; "_" &amp; TEXT(COUNTIF($C$2:C3037, C3037),"0000")</f>
        <v>Enti_0170</v>
      </c>
      <c r="C3037" s="25" t="s">
        <v>874</v>
      </c>
      <c r="D3037" s="69" t="s">
        <v>9453</v>
      </c>
      <c r="E3037" s="70" t="s">
        <v>9457</v>
      </c>
      <c r="F3037" s="26" t="s">
        <v>798</v>
      </c>
      <c r="G3037" s="15" t="s">
        <v>798</v>
      </c>
      <c r="H3037" s="14" t="s">
        <v>798</v>
      </c>
      <c r="I3037" s="15" t="s">
        <v>798</v>
      </c>
      <c r="J3037" s="12" t="s">
        <v>9438</v>
      </c>
      <c r="K3037" s="16" t="s">
        <v>3109</v>
      </c>
      <c r="L3037" s="12" t="s">
        <v>800</v>
      </c>
      <c r="M3037" s="16" t="s">
        <v>4076</v>
      </c>
      <c r="N3037" s="19" t="s">
        <v>798</v>
      </c>
      <c r="O3037" s="20" t="s">
        <v>798</v>
      </c>
      <c r="P3037" s="17" t="s">
        <v>802</v>
      </c>
      <c r="Q3037" s="21" t="s">
        <v>8661</v>
      </c>
      <c r="R3037" s="19" t="s">
        <v>798</v>
      </c>
      <c r="S3037" s="20" t="s">
        <v>798</v>
      </c>
      <c r="T3037" s="17" t="s">
        <v>798</v>
      </c>
      <c r="U3037" s="20" t="s">
        <v>798</v>
      </c>
      <c r="V3037" s="26" t="s">
        <v>798</v>
      </c>
      <c r="W3037" s="20" t="s">
        <v>798</v>
      </c>
      <c r="X3037" s="26" t="s">
        <v>798</v>
      </c>
      <c r="Y3037" s="20" t="s">
        <v>798</v>
      </c>
      <c r="Z3037" s="69" t="s">
        <v>9486</v>
      </c>
      <c r="AA3037" s="72" t="s">
        <v>9476</v>
      </c>
      <c r="AB3037" s="73" t="s">
        <v>9486</v>
      </c>
      <c r="AC3037" s="74" t="s">
        <v>9566</v>
      </c>
      <c r="AD3037" s="73" t="s">
        <v>9578</v>
      </c>
      <c r="AE3037" s="74" t="s">
        <v>9579</v>
      </c>
    </row>
    <row r="3038" spans="1:31" ht="8.65" customHeight="1" x14ac:dyDescent="0.2">
      <c r="A3038" s="76">
        <v>3038</v>
      </c>
      <c r="B3038" s="67" t="str">
        <f>MID(C3038, FIND("Ifc.", C3038) + 4, 4) &amp; "_" &amp; TEXT(COUNTIF($C$2:C3038, C3038),"0000")</f>
        <v>Enti_0171</v>
      </c>
      <c r="C3038" s="25" t="s">
        <v>874</v>
      </c>
      <c r="D3038" s="69" t="s">
        <v>9453</v>
      </c>
      <c r="E3038" s="70" t="s">
        <v>9457</v>
      </c>
      <c r="F3038" s="26" t="s">
        <v>798</v>
      </c>
      <c r="G3038" s="15" t="s">
        <v>798</v>
      </c>
      <c r="H3038" s="14" t="s">
        <v>798</v>
      </c>
      <c r="I3038" s="15" t="s">
        <v>798</v>
      </c>
      <c r="J3038" s="12" t="s">
        <v>9438</v>
      </c>
      <c r="K3038" s="16" t="s">
        <v>3110</v>
      </c>
      <c r="L3038" s="12" t="s">
        <v>800</v>
      </c>
      <c r="M3038" s="16" t="s">
        <v>4077</v>
      </c>
      <c r="N3038" s="19" t="s">
        <v>798</v>
      </c>
      <c r="O3038" s="20" t="s">
        <v>798</v>
      </c>
      <c r="P3038" s="17" t="s">
        <v>802</v>
      </c>
      <c r="Q3038" s="21" t="s">
        <v>8662</v>
      </c>
      <c r="R3038" s="19" t="s">
        <v>798</v>
      </c>
      <c r="S3038" s="20" t="s">
        <v>798</v>
      </c>
      <c r="T3038" s="17" t="s">
        <v>798</v>
      </c>
      <c r="U3038" s="20" t="s">
        <v>798</v>
      </c>
      <c r="V3038" s="26" t="s">
        <v>798</v>
      </c>
      <c r="W3038" s="20" t="s">
        <v>798</v>
      </c>
      <c r="X3038" s="26" t="s">
        <v>798</v>
      </c>
      <c r="Y3038" s="20" t="s">
        <v>798</v>
      </c>
      <c r="Z3038" s="69" t="s">
        <v>9486</v>
      </c>
      <c r="AA3038" s="72" t="s">
        <v>9476</v>
      </c>
      <c r="AB3038" s="73" t="s">
        <v>9486</v>
      </c>
      <c r="AC3038" s="74" t="s">
        <v>9566</v>
      </c>
      <c r="AD3038" s="73" t="s">
        <v>9578</v>
      </c>
      <c r="AE3038" s="74" t="s">
        <v>9579</v>
      </c>
    </row>
    <row r="3039" spans="1:31" ht="8.65" customHeight="1" x14ac:dyDescent="0.2">
      <c r="A3039" s="76">
        <v>3039</v>
      </c>
      <c r="B3039" s="67" t="str">
        <f>MID(C3039, FIND("Ifc.", C3039) + 4, 4) &amp; "_" &amp; TEXT(COUNTIF($C$2:C3039, C3039),"0000")</f>
        <v>Enti_0172</v>
      </c>
      <c r="C3039" s="25" t="s">
        <v>874</v>
      </c>
      <c r="D3039" s="69" t="s">
        <v>9453</v>
      </c>
      <c r="E3039" s="70" t="s">
        <v>9457</v>
      </c>
      <c r="F3039" s="26" t="s">
        <v>798</v>
      </c>
      <c r="G3039" s="15" t="s">
        <v>798</v>
      </c>
      <c r="H3039" s="14" t="s">
        <v>798</v>
      </c>
      <c r="I3039" s="15" t="s">
        <v>798</v>
      </c>
      <c r="J3039" s="12" t="s">
        <v>9438</v>
      </c>
      <c r="K3039" s="16" t="s">
        <v>3111</v>
      </c>
      <c r="L3039" s="12" t="s">
        <v>800</v>
      </c>
      <c r="M3039" s="16" t="s">
        <v>4078</v>
      </c>
      <c r="N3039" s="19" t="s">
        <v>798</v>
      </c>
      <c r="O3039" s="20" t="s">
        <v>798</v>
      </c>
      <c r="P3039" s="17" t="s">
        <v>802</v>
      </c>
      <c r="Q3039" s="21" t="s">
        <v>8663</v>
      </c>
      <c r="R3039" s="19" t="s">
        <v>798</v>
      </c>
      <c r="S3039" s="20" t="s">
        <v>798</v>
      </c>
      <c r="T3039" s="17" t="s">
        <v>798</v>
      </c>
      <c r="U3039" s="20" t="s">
        <v>798</v>
      </c>
      <c r="V3039" s="26" t="s">
        <v>798</v>
      </c>
      <c r="W3039" s="20" t="s">
        <v>798</v>
      </c>
      <c r="X3039" s="26" t="s">
        <v>798</v>
      </c>
      <c r="Y3039" s="20" t="s">
        <v>798</v>
      </c>
      <c r="Z3039" s="69" t="s">
        <v>9486</v>
      </c>
      <c r="AA3039" s="72" t="s">
        <v>9477</v>
      </c>
      <c r="AB3039" s="73" t="s">
        <v>9486</v>
      </c>
      <c r="AC3039" s="74" t="s">
        <v>9566</v>
      </c>
      <c r="AD3039" s="73" t="s">
        <v>9578</v>
      </c>
      <c r="AE3039" s="74" t="s">
        <v>9579</v>
      </c>
    </row>
    <row r="3040" spans="1:31" ht="8.65" customHeight="1" x14ac:dyDescent="0.2">
      <c r="A3040" s="76">
        <v>3040</v>
      </c>
      <c r="B3040" s="67" t="str">
        <f>MID(C3040, FIND("Ifc.", C3040) + 4, 4) &amp; "_" &amp; TEXT(COUNTIF($C$2:C3040, C3040),"0000")</f>
        <v>Enti_0173</v>
      </c>
      <c r="C3040" s="25" t="s">
        <v>874</v>
      </c>
      <c r="D3040" s="69" t="s">
        <v>9453</v>
      </c>
      <c r="E3040" s="70" t="s">
        <v>9457</v>
      </c>
      <c r="F3040" s="26" t="s">
        <v>798</v>
      </c>
      <c r="G3040" s="15" t="s">
        <v>798</v>
      </c>
      <c r="H3040" s="14" t="s">
        <v>798</v>
      </c>
      <c r="I3040" s="15" t="s">
        <v>798</v>
      </c>
      <c r="J3040" s="12" t="s">
        <v>9438</v>
      </c>
      <c r="K3040" s="16" t="s">
        <v>3112</v>
      </c>
      <c r="L3040" s="12" t="s">
        <v>800</v>
      </c>
      <c r="M3040" s="16" t="s">
        <v>4079</v>
      </c>
      <c r="N3040" s="19" t="s">
        <v>798</v>
      </c>
      <c r="O3040" s="20" t="s">
        <v>798</v>
      </c>
      <c r="P3040" s="17" t="s">
        <v>802</v>
      </c>
      <c r="Q3040" s="21" t="s">
        <v>8664</v>
      </c>
      <c r="R3040" s="19" t="s">
        <v>798</v>
      </c>
      <c r="S3040" s="20" t="s">
        <v>798</v>
      </c>
      <c r="T3040" s="17" t="s">
        <v>798</v>
      </c>
      <c r="U3040" s="20" t="s">
        <v>798</v>
      </c>
      <c r="V3040" s="26" t="s">
        <v>798</v>
      </c>
      <c r="W3040" s="20" t="s">
        <v>798</v>
      </c>
      <c r="X3040" s="26" t="s">
        <v>798</v>
      </c>
      <c r="Y3040" s="20" t="s">
        <v>798</v>
      </c>
      <c r="Z3040" s="69" t="s">
        <v>9486</v>
      </c>
      <c r="AA3040" s="72" t="s">
        <v>9476</v>
      </c>
      <c r="AB3040" s="73" t="s">
        <v>9486</v>
      </c>
      <c r="AC3040" s="74" t="s">
        <v>9566</v>
      </c>
      <c r="AD3040" s="73" t="s">
        <v>9578</v>
      </c>
      <c r="AE3040" s="74" t="s">
        <v>9579</v>
      </c>
    </row>
    <row r="3041" spans="1:31" ht="8.65" customHeight="1" x14ac:dyDescent="0.2">
      <c r="A3041" s="76">
        <v>3041</v>
      </c>
      <c r="B3041" s="67" t="str">
        <f>MID(C3041, FIND("Ifc.", C3041) + 4, 4) &amp; "_" &amp; TEXT(COUNTIF($C$2:C3041, C3041),"0000")</f>
        <v>Enti_0174</v>
      </c>
      <c r="C3041" s="25" t="s">
        <v>874</v>
      </c>
      <c r="D3041" s="69" t="s">
        <v>9453</v>
      </c>
      <c r="E3041" s="70" t="s">
        <v>9457</v>
      </c>
      <c r="F3041" s="26" t="s">
        <v>798</v>
      </c>
      <c r="G3041" s="15" t="s">
        <v>798</v>
      </c>
      <c r="H3041" s="14" t="s">
        <v>798</v>
      </c>
      <c r="I3041" s="15" t="s">
        <v>798</v>
      </c>
      <c r="J3041" s="12" t="s">
        <v>9438</v>
      </c>
      <c r="K3041" s="16" t="s">
        <v>3113</v>
      </c>
      <c r="L3041" s="12" t="s">
        <v>800</v>
      </c>
      <c r="M3041" s="16" t="s">
        <v>4080</v>
      </c>
      <c r="N3041" s="19" t="s">
        <v>798</v>
      </c>
      <c r="O3041" s="20" t="s">
        <v>798</v>
      </c>
      <c r="P3041" s="17" t="s">
        <v>802</v>
      </c>
      <c r="Q3041" s="21" t="s">
        <v>8665</v>
      </c>
      <c r="R3041" s="19" t="s">
        <v>798</v>
      </c>
      <c r="S3041" s="20" t="s">
        <v>798</v>
      </c>
      <c r="T3041" s="17" t="s">
        <v>798</v>
      </c>
      <c r="U3041" s="20" t="s">
        <v>798</v>
      </c>
      <c r="V3041" s="26" t="s">
        <v>798</v>
      </c>
      <c r="W3041" s="20" t="s">
        <v>798</v>
      </c>
      <c r="X3041" s="26" t="s">
        <v>798</v>
      </c>
      <c r="Y3041" s="20" t="s">
        <v>798</v>
      </c>
      <c r="Z3041" s="69" t="s">
        <v>9486</v>
      </c>
      <c r="AA3041" s="72" t="s">
        <v>9477</v>
      </c>
      <c r="AB3041" s="73" t="s">
        <v>9486</v>
      </c>
      <c r="AC3041" s="74" t="s">
        <v>9566</v>
      </c>
      <c r="AD3041" s="73" t="s">
        <v>9578</v>
      </c>
      <c r="AE3041" s="74" t="s">
        <v>9579</v>
      </c>
    </row>
    <row r="3042" spans="1:31" ht="8.65" customHeight="1" x14ac:dyDescent="0.2">
      <c r="A3042" s="76">
        <v>3042</v>
      </c>
      <c r="B3042" s="67" t="str">
        <f>MID(C3042, FIND("Ifc.", C3042) + 4, 4) &amp; "_" &amp; TEXT(COUNTIF($C$2:C3042, C3042),"0000")</f>
        <v>Enti_0175</v>
      </c>
      <c r="C3042" s="25" t="s">
        <v>874</v>
      </c>
      <c r="D3042" s="69" t="s">
        <v>9453</v>
      </c>
      <c r="E3042" s="70" t="s">
        <v>9457</v>
      </c>
      <c r="F3042" s="26" t="s">
        <v>798</v>
      </c>
      <c r="G3042" s="15" t="s">
        <v>798</v>
      </c>
      <c r="H3042" s="14" t="s">
        <v>798</v>
      </c>
      <c r="I3042" s="15" t="s">
        <v>798</v>
      </c>
      <c r="J3042" s="12" t="s">
        <v>9438</v>
      </c>
      <c r="K3042" s="16" t="s">
        <v>3114</v>
      </c>
      <c r="L3042" s="12" t="s">
        <v>800</v>
      </c>
      <c r="M3042" s="16" t="s">
        <v>4081</v>
      </c>
      <c r="N3042" s="19" t="s">
        <v>798</v>
      </c>
      <c r="O3042" s="20" t="s">
        <v>798</v>
      </c>
      <c r="P3042" s="17" t="s">
        <v>802</v>
      </c>
      <c r="Q3042" s="21" t="s">
        <v>8666</v>
      </c>
      <c r="R3042" s="19" t="s">
        <v>798</v>
      </c>
      <c r="S3042" s="20" t="s">
        <v>798</v>
      </c>
      <c r="T3042" s="17" t="s">
        <v>798</v>
      </c>
      <c r="U3042" s="20" t="s">
        <v>798</v>
      </c>
      <c r="V3042" s="26" t="s">
        <v>798</v>
      </c>
      <c r="W3042" s="20" t="s">
        <v>798</v>
      </c>
      <c r="X3042" s="26" t="s">
        <v>798</v>
      </c>
      <c r="Y3042" s="20" t="s">
        <v>798</v>
      </c>
      <c r="Z3042" s="69" t="s">
        <v>9486</v>
      </c>
      <c r="AA3042" s="72" t="s">
        <v>9476</v>
      </c>
      <c r="AB3042" s="73" t="s">
        <v>9486</v>
      </c>
      <c r="AC3042" s="74" t="s">
        <v>9566</v>
      </c>
      <c r="AD3042" s="73" t="s">
        <v>9578</v>
      </c>
      <c r="AE3042" s="74" t="s">
        <v>9579</v>
      </c>
    </row>
    <row r="3043" spans="1:31" ht="8.65" customHeight="1" x14ac:dyDescent="0.2">
      <c r="A3043" s="76">
        <v>3043</v>
      </c>
      <c r="B3043" s="67" t="str">
        <f>MID(C3043, FIND("Ifc.", C3043) + 4, 4) &amp; "_" &amp; TEXT(COUNTIF($C$2:C3043, C3043),"0000")</f>
        <v>Enti_0176</v>
      </c>
      <c r="C3043" s="25" t="s">
        <v>874</v>
      </c>
      <c r="D3043" s="69" t="s">
        <v>9453</v>
      </c>
      <c r="E3043" s="70" t="s">
        <v>9457</v>
      </c>
      <c r="F3043" s="26" t="s">
        <v>798</v>
      </c>
      <c r="G3043" s="15" t="s">
        <v>798</v>
      </c>
      <c r="H3043" s="14" t="s">
        <v>798</v>
      </c>
      <c r="I3043" s="15" t="s">
        <v>798</v>
      </c>
      <c r="J3043" s="12" t="s">
        <v>9438</v>
      </c>
      <c r="K3043" s="16" t="s">
        <v>3115</v>
      </c>
      <c r="L3043" s="12" t="s">
        <v>800</v>
      </c>
      <c r="M3043" s="16" t="s">
        <v>4082</v>
      </c>
      <c r="N3043" s="19" t="s">
        <v>798</v>
      </c>
      <c r="O3043" s="20" t="s">
        <v>798</v>
      </c>
      <c r="P3043" s="17" t="s">
        <v>802</v>
      </c>
      <c r="Q3043" s="21" t="s">
        <v>8667</v>
      </c>
      <c r="R3043" s="19" t="s">
        <v>798</v>
      </c>
      <c r="S3043" s="20" t="s">
        <v>798</v>
      </c>
      <c r="T3043" s="17" t="s">
        <v>798</v>
      </c>
      <c r="U3043" s="20" t="s">
        <v>798</v>
      </c>
      <c r="V3043" s="26" t="s">
        <v>798</v>
      </c>
      <c r="W3043" s="20" t="s">
        <v>798</v>
      </c>
      <c r="X3043" s="26" t="s">
        <v>798</v>
      </c>
      <c r="Y3043" s="20" t="s">
        <v>798</v>
      </c>
      <c r="Z3043" s="69" t="s">
        <v>9486</v>
      </c>
      <c r="AA3043" s="72" t="s">
        <v>9477</v>
      </c>
      <c r="AB3043" s="73" t="s">
        <v>9486</v>
      </c>
      <c r="AC3043" s="74" t="s">
        <v>9566</v>
      </c>
      <c r="AD3043" s="73" t="s">
        <v>9578</v>
      </c>
      <c r="AE3043" s="74" t="s">
        <v>9579</v>
      </c>
    </row>
    <row r="3044" spans="1:31" ht="8.65" customHeight="1" x14ac:dyDescent="0.2">
      <c r="A3044" s="76">
        <v>3044</v>
      </c>
      <c r="B3044" s="67" t="str">
        <f>MID(C3044, FIND("Ifc.", C3044) + 4, 4) &amp; "_" &amp; TEXT(COUNTIF($C$2:C3044, C3044),"0000")</f>
        <v>Enti_0177</v>
      </c>
      <c r="C3044" s="25" t="s">
        <v>874</v>
      </c>
      <c r="D3044" s="69" t="s">
        <v>9453</v>
      </c>
      <c r="E3044" s="70" t="s">
        <v>9457</v>
      </c>
      <c r="F3044" s="26" t="s">
        <v>798</v>
      </c>
      <c r="G3044" s="15" t="s">
        <v>798</v>
      </c>
      <c r="H3044" s="14" t="s">
        <v>798</v>
      </c>
      <c r="I3044" s="15" t="s">
        <v>798</v>
      </c>
      <c r="J3044" s="12" t="s">
        <v>9438</v>
      </c>
      <c r="K3044" s="16" t="s">
        <v>3116</v>
      </c>
      <c r="L3044" s="12" t="s">
        <v>800</v>
      </c>
      <c r="M3044" s="16" t="s">
        <v>4083</v>
      </c>
      <c r="N3044" s="19" t="s">
        <v>798</v>
      </c>
      <c r="O3044" s="20" t="s">
        <v>798</v>
      </c>
      <c r="P3044" s="17" t="s">
        <v>802</v>
      </c>
      <c r="Q3044" s="21" t="s">
        <v>8668</v>
      </c>
      <c r="R3044" s="19" t="s">
        <v>798</v>
      </c>
      <c r="S3044" s="20" t="s">
        <v>798</v>
      </c>
      <c r="T3044" s="17" t="s">
        <v>798</v>
      </c>
      <c r="U3044" s="20" t="s">
        <v>798</v>
      </c>
      <c r="V3044" s="26" t="s">
        <v>798</v>
      </c>
      <c r="W3044" s="20" t="s">
        <v>798</v>
      </c>
      <c r="X3044" s="26" t="s">
        <v>798</v>
      </c>
      <c r="Y3044" s="20" t="s">
        <v>798</v>
      </c>
      <c r="Z3044" s="69" t="s">
        <v>9486</v>
      </c>
      <c r="AA3044" s="72" t="s">
        <v>9476</v>
      </c>
      <c r="AB3044" s="73" t="s">
        <v>9486</v>
      </c>
      <c r="AC3044" s="74" t="s">
        <v>9566</v>
      </c>
      <c r="AD3044" s="73" t="s">
        <v>9578</v>
      </c>
      <c r="AE3044" s="74" t="s">
        <v>9579</v>
      </c>
    </row>
    <row r="3045" spans="1:31" ht="8.65" customHeight="1" x14ac:dyDescent="0.2">
      <c r="A3045" s="76">
        <v>3045</v>
      </c>
      <c r="B3045" s="67" t="str">
        <f>MID(C3045, FIND("Ifc.", C3045) + 4, 4) &amp; "_" &amp; TEXT(COUNTIF($C$2:C3045, C3045),"0000")</f>
        <v>Enti_0178</v>
      </c>
      <c r="C3045" s="25" t="s">
        <v>874</v>
      </c>
      <c r="D3045" s="69" t="s">
        <v>9453</v>
      </c>
      <c r="E3045" s="70" t="s">
        <v>9457</v>
      </c>
      <c r="F3045" s="26" t="s">
        <v>798</v>
      </c>
      <c r="G3045" s="15" t="s">
        <v>798</v>
      </c>
      <c r="H3045" s="14" t="s">
        <v>798</v>
      </c>
      <c r="I3045" s="15" t="s">
        <v>798</v>
      </c>
      <c r="J3045" s="12" t="s">
        <v>9438</v>
      </c>
      <c r="K3045" s="16" t="s">
        <v>3117</v>
      </c>
      <c r="L3045" s="12" t="s">
        <v>800</v>
      </c>
      <c r="M3045" s="16" t="s">
        <v>4084</v>
      </c>
      <c r="N3045" s="19" t="s">
        <v>798</v>
      </c>
      <c r="O3045" s="20" t="s">
        <v>798</v>
      </c>
      <c r="P3045" s="17" t="s">
        <v>802</v>
      </c>
      <c r="Q3045" s="21" t="s">
        <v>8669</v>
      </c>
      <c r="R3045" s="19" t="s">
        <v>798</v>
      </c>
      <c r="S3045" s="20" t="s">
        <v>798</v>
      </c>
      <c r="T3045" s="17" t="s">
        <v>798</v>
      </c>
      <c r="U3045" s="20" t="s">
        <v>798</v>
      </c>
      <c r="V3045" s="26" t="s">
        <v>798</v>
      </c>
      <c r="W3045" s="20" t="s">
        <v>798</v>
      </c>
      <c r="X3045" s="26" t="s">
        <v>798</v>
      </c>
      <c r="Y3045" s="20" t="s">
        <v>798</v>
      </c>
      <c r="Z3045" s="69" t="s">
        <v>9486</v>
      </c>
      <c r="AA3045" s="72" t="s">
        <v>9477</v>
      </c>
      <c r="AB3045" s="73" t="s">
        <v>9486</v>
      </c>
      <c r="AC3045" s="74" t="s">
        <v>9566</v>
      </c>
      <c r="AD3045" s="73" t="s">
        <v>9578</v>
      </c>
      <c r="AE3045" s="74" t="s">
        <v>9579</v>
      </c>
    </row>
    <row r="3046" spans="1:31" ht="8.65" customHeight="1" x14ac:dyDescent="0.2">
      <c r="A3046" s="76">
        <v>3046</v>
      </c>
      <c r="B3046" s="67" t="str">
        <f>MID(C3046, FIND("Ifc.", C3046) + 4, 4) &amp; "_" &amp; TEXT(COUNTIF($C$2:C3046, C3046),"0000")</f>
        <v>Enti_0179</v>
      </c>
      <c r="C3046" s="25" t="s">
        <v>874</v>
      </c>
      <c r="D3046" s="69" t="s">
        <v>9453</v>
      </c>
      <c r="E3046" s="70" t="s">
        <v>9457</v>
      </c>
      <c r="F3046" s="26" t="s">
        <v>798</v>
      </c>
      <c r="G3046" s="15" t="s">
        <v>798</v>
      </c>
      <c r="H3046" s="14" t="s">
        <v>798</v>
      </c>
      <c r="I3046" s="15" t="s">
        <v>798</v>
      </c>
      <c r="J3046" s="12" t="s">
        <v>9438</v>
      </c>
      <c r="K3046" s="16" t="s">
        <v>3118</v>
      </c>
      <c r="L3046" s="12" t="s">
        <v>800</v>
      </c>
      <c r="M3046" s="16" t="s">
        <v>4085</v>
      </c>
      <c r="N3046" s="19" t="s">
        <v>798</v>
      </c>
      <c r="O3046" s="20" t="s">
        <v>798</v>
      </c>
      <c r="P3046" s="17" t="s">
        <v>802</v>
      </c>
      <c r="Q3046" s="21" t="s">
        <v>8670</v>
      </c>
      <c r="R3046" s="19" t="s">
        <v>798</v>
      </c>
      <c r="S3046" s="20" t="s">
        <v>798</v>
      </c>
      <c r="T3046" s="17" t="s">
        <v>798</v>
      </c>
      <c r="U3046" s="20" t="s">
        <v>798</v>
      </c>
      <c r="V3046" s="26" t="s">
        <v>798</v>
      </c>
      <c r="W3046" s="20" t="s">
        <v>798</v>
      </c>
      <c r="X3046" s="26" t="s">
        <v>798</v>
      </c>
      <c r="Y3046" s="20" t="s">
        <v>798</v>
      </c>
      <c r="Z3046" s="69" t="s">
        <v>9486</v>
      </c>
      <c r="AA3046" s="72" t="s">
        <v>9476</v>
      </c>
      <c r="AB3046" s="73" t="s">
        <v>9486</v>
      </c>
      <c r="AC3046" s="74" t="s">
        <v>9566</v>
      </c>
      <c r="AD3046" s="73" t="s">
        <v>9578</v>
      </c>
      <c r="AE3046" s="74" t="s">
        <v>9579</v>
      </c>
    </row>
    <row r="3047" spans="1:31" ht="8.65" customHeight="1" x14ac:dyDescent="0.2">
      <c r="A3047" s="76">
        <v>3047</v>
      </c>
      <c r="B3047" s="67" t="str">
        <f>MID(C3047, FIND("Ifc.", C3047) + 4, 4) &amp; "_" &amp; TEXT(COUNTIF($C$2:C3047, C3047),"0000")</f>
        <v>Enti_0180</v>
      </c>
      <c r="C3047" s="25" t="s">
        <v>874</v>
      </c>
      <c r="D3047" s="69" t="s">
        <v>9453</v>
      </c>
      <c r="E3047" s="70" t="s">
        <v>9457</v>
      </c>
      <c r="F3047" s="26" t="s">
        <v>798</v>
      </c>
      <c r="G3047" s="15" t="s">
        <v>798</v>
      </c>
      <c r="H3047" s="14" t="s">
        <v>798</v>
      </c>
      <c r="I3047" s="15" t="s">
        <v>798</v>
      </c>
      <c r="J3047" s="12" t="s">
        <v>9438</v>
      </c>
      <c r="K3047" s="16" t="s">
        <v>3119</v>
      </c>
      <c r="L3047" s="12" t="s">
        <v>800</v>
      </c>
      <c r="M3047" s="16" t="s">
        <v>4086</v>
      </c>
      <c r="N3047" s="19" t="s">
        <v>798</v>
      </c>
      <c r="O3047" s="20" t="s">
        <v>798</v>
      </c>
      <c r="P3047" s="17" t="s">
        <v>802</v>
      </c>
      <c r="Q3047" s="21" t="s">
        <v>8671</v>
      </c>
      <c r="R3047" s="19" t="s">
        <v>798</v>
      </c>
      <c r="S3047" s="20" t="s">
        <v>798</v>
      </c>
      <c r="T3047" s="17" t="s">
        <v>798</v>
      </c>
      <c r="U3047" s="20" t="s">
        <v>798</v>
      </c>
      <c r="V3047" s="26" t="s">
        <v>798</v>
      </c>
      <c r="W3047" s="20" t="s">
        <v>798</v>
      </c>
      <c r="X3047" s="26" t="s">
        <v>798</v>
      </c>
      <c r="Y3047" s="20" t="s">
        <v>798</v>
      </c>
      <c r="Z3047" s="69" t="s">
        <v>9486</v>
      </c>
      <c r="AA3047" s="72" t="s">
        <v>9477</v>
      </c>
      <c r="AB3047" s="73" t="s">
        <v>9486</v>
      </c>
      <c r="AC3047" s="74" t="s">
        <v>9566</v>
      </c>
      <c r="AD3047" s="73" t="s">
        <v>9578</v>
      </c>
      <c r="AE3047" s="74" t="s">
        <v>9579</v>
      </c>
    </row>
    <row r="3048" spans="1:31" ht="8.65" customHeight="1" x14ac:dyDescent="0.2">
      <c r="A3048" s="76">
        <v>3048</v>
      </c>
      <c r="B3048" s="67" t="str">
        <f>MID(C3048, FIND("Ifc.", C3048) + 4, 4) &amp; "_" &amp; TEXT(COUNTIF($C$2:C3048, C3048),"0000")</f>
        <v>Enti_0181</v>
      </c>
      <c r="C3048" s="25" t="s">
        <v>874</v>
      </c>
      <c r="D3048" s="69" t="s">
        <v>9453</v>
      </c>
      <c r="E3048" s="70" t="s">
        <v>9457</v>
      </c>
      <c r="F3048" s="26" t="s">
        <v>798</v>
      </c>
      <c r="G3048" s="15" t="s">
        <v>798</v>
      </c>
      <c r="H3048" s="14" t="s">
        <v>798</v>
      </c>
      <c r="I3048" s="15" t="s">
        <v>798</v>
      </c>
      <c r="J3048" s="12" t="s">
        <v>9438</v>
      </c>
      <c r="K3048" s="16" t="s">
        <v>3120</v>
      </c>
      <c r="L3048" s="12" t="s">
        <v>800</v>
      </c>
      <c r="M3048" s="16" t="s">
        <v>4087</v>
      </c>
      <c r="N3048" s="19" t="s">
        <v>798</v>
      </c>
      <c r="O3048" s="20" t="s">
        <v>798</v>
      </c>
      <c r="P3048" s="17" t="s">
        <v>802</v>
      </c>
      <c r="Q3048" s="21" t="s">
        <v>8672</v>
      </c>
      <c r="R3048" s="19" t="s">
        <v>798</v>
      </c>
      <c r="S3048" s="20" t="s">
        <v>798</v>
      </c>
      <c r="T3048" s="17" t="s">
        <v>798</v>
      </c>
      <c r="U3048" s="20" t="s">
        <v>798</v>
      </c>
      <c r="V3048" s="26" t="s">
        <v>798</v>
      </c>
      <c r="W3048" s="20" t="s">
        <v>798</v>
      </c>
      <c r="X3048" s="26" t="s">
        <v>798</v>
      </c>
      <c r="Y3048" s="20" t="s">
        <v>798</v>
      </c>
      <c r="Z3048" s="69" t="s">
        <v>9486</v>
      </c>
      <c r="AA3048" s="72" t="s">
        <v>9476</v>
      </c>
      <c r="AB3048" s="73" t="s">
        <v>9486</v>
      </c>
      <c r="AC3048" s="74" t="s">
        <v>9566</v>
      </c>
      <c r="AD3048" s="73" t="s">
        <v>9578</v>
      </c>
      <c r="AE3048" s="74" t="s">
        <v>9579</v>
      </c>
    </row>
    <row r="3049" spans="1:31" ht="8.65" customHeight="1" x14ac:dyDescent="0.2">
      <c r="A3049" s="76">
        <v>3049</v>
      </c>
      <c r="B3049" s="67" t="str">
        <f>MID(C3049, FIND("Ifc.", C3049) + 4, 4) &amp; "_" &amp; TEXT(COUNTIF($C$2:C3049, C3049),"0000")</f>
        <v>Enti_0182</v>
      </c>
      <c r="C3049" s="25" t="s">
        <v>874</v>
      </c>
      <c r="D3049" s="69" t="s">
        <v>9453</v>
      </c>
      <c r="E3049" s="70" t="s">
        <v>9457</v>
      </c>
      <c r="F3049" s="26" t="s">
        <v>798</v>
      </c>
      <c r="G3049" s="15" t="s">
        <v>798</v>
      </c>
      <c r="H3049" s="14" t="s">
        <v>798</v>
      </c>
      <c r="I3049" s="15" t="s">
        <v>798</v>
      </c>
      <c r="J3049" s="12" t="s">
        <v>9438</v>
      </c>
      <c r="K3049" s="16" t="s">
        <v>3121</v>
      </c>
      <c r="L3049" s="12" t="s">
        <v>800</v>
      </c>
      <c r="M3049" s="16" t="s">
        <v>4088</v>
      </c>
      <c r="N3049" s="19" t="s">
        <v>798</v>
      </c>
      <c r="O3049" s="20" t="s">
        <v>798</v>
      </c>
      <c r="P3049" s="17" t="s">
        <v>802</v>
      </c>
      <c r="Q3049" s="21" t="s">
        <v>8673</v>
      </c>
      <c r="R3049" s="19" t="s">
        <v>798</v>
      </c>
      <c r="S3049" s="20" t="s">
        <v>798</v>
      </c>
      <c r="T3049" s="17" t="s">
        <v>798</v>
      </c>
      <c r="U3049" s="20" t="s">
        <v>798</v>
      </c>
      <c r="V3049" s="26" t="s">
        <v>798</v>
      </c>
      <c r="W3049" s="20" t="s">
        <v>798</v>
      </c>
      <c r="X3049" s="26" t="s">
        <v>798</v>
      </c>
      <c r="Y3049" s="20" t="s">
        <v>798</v>
      </c>
      <c r="Z3049" s="69" t="s">
        <v>9486</v>
      </c>
      <c r="AA3049" s="72" t="s">
        <v>9477</v>
      </c>
      <c r="AB3049" s="73" t="s">
        <v>9486</v>
      </c>
      <c r="AC3049" s="74" t="s">
        <v>9566</v>
      </c>
      <c r="AD3049" s="73" t="s">
        <v>9578</v>
      </c>
      <c r="AE3049" s="74" t="s">
        <v>9579</v>
      </c>
    </row>
    <row r="3050" spans="1:31" ht="8.65" customHeight="1" x14ac:dyDescent="0.2">
      <c r="A3050" s="76">
        <v>3050</v>
      </c>
      <c r="B3050" s="67" t="str">
        <f>MID(C3050, FIND("Ifc.", C3050) + 4, 4) &amp; "_" &amp; TEXT(COUNTIF($C$2:C3050, C3050),"0000")</f>
        <v>Enti_0183</v>
      </c>
      <c r="C3050" s="25" t="s">
        <v>874</v>
      </c>
      <c r="D3050" s="69" t="s">
        <v>9453</v>
      </c>
      <c r="E3050" s="70" t="s">
        <v>9457</v>
      </c>
      <c r="F3050" s="26" t="s">
        <v>798</v>
      </c>
      <c r="G3050" s="15" t="s">
        <v>798</v>
      </c>
      <c r="H3050" s="14" t="s">
        <v>798</v>
      </c>
      <c r="I3050" s="15" t="s">
        <v>798</v>
      </c>
      <c r="J3050" s="12" t="s">
        <v>9438</v>
      </c>
      <c r="K3050" s="16" t="s">
        <v>3122</v>
      </c>
      <c r="L3050" s="12" t="s">
        <v>800</v>
      </c>
      <c r="M3050" s="16" t="s">
        <v>4089</v>
      </c>
      <c r="N3050" s="19" t="s">
        <v>798</v>
      </c>
      <c r="O3050" s="20" t="s">
        <v>798</v>
      </c>
      <c r="P3050" s="17" t="s">
        <v>802</v>
      </c>
      <c r="Q3050" s="21" t="s">
        <v>8674</v>
      </c>
      <c r="R3050" s="19" t="s">
        <v>798</v>
      </c>
      <c r="S3050" s="20" t="s">
        <v>798</v>
      </c>
      <c r="T3050" s="17" t="s">
        <v>798</v>
      </c>
      <c r="U3050" s="20" t="s">
        <v>798</v>
      </c>
      <c r="V3050" s="26" t="s">
        <v>798</v>
      </c>
      <c r="W3050" s="20" t="s">
        <v>798</v>
      </c>
      <c r="X3050" s="26" t="s">
        <v>798</v>
      </c>
      <c r="Y3050" s="20" t="s">
        <v>798</v>
      </c>
      <c r="Z3050" s="69" t="s">
        <v>9486</v>
      </c>
      <c r="AA3050" s="72" t="s">
        <v>9476</v>
      </c>
      <c r="AB3050" s="73" t="s">
        <v>9486</v>
      </c>
      <c r="AC3050" s="74" t="s">
        <v>9566</v>
      </c>
      <c r="AD3050" s="73" t="s">
        <v>9578</v>
      </c>
      <c r="AE3050" s="74" t="s">
        <v>9579</v>
      </c>
    </row>
    <row r="3051" spans="1:31" ht="8.65" customHeight="1" x14ac:dyDescent="0.2">
      <c r="A3051" s="76">
        <v>3051</v>
      </c>
      <c r="B3051" s="67" t="str">
        <f>MID(C3051, FIND("Ifc.", C3051) + 4, 4) &amp; "_" &amp; TEXT(COUNTIF($C$2:C3051, C3051),"0000")</f>
        <v>Enti_0184</v>
      </c>
      <c r="C3051" s="25" t="s">
        <v>874</v>
      </c>
      <c r="D3051" s="69" t="s">
        <v>9453</v>
      </c>
      <c r="E3051" s="70" t="s">
        <v>9457</v>
      </c>
      <c r="F3051" s="26" t="s">
        <v>798</v>
      </c>
      <c r="G3051" s="15" t="s">
        <v>798</v>
      </c>
      <c r="H3051" s="14" t="s">
        <v>798</v>
      </c>
      <c r="I3051" s="15" t="s">
        <v>798</v>
      </c>
      <c r="J3051" s="12" t="s">
        <v>9438</v>
      </c>
      <c r="K3051" s="16" t="s">
        <v>3123</v>
      </c>
      <c r="L3051" s="12" t="s">
        <v>800</v>
      </c>
      <c r="M3051" s="16" t="s">
        <v>4090</v>
      </c>
      <c r="N3051" s="19" t="s">
        <v>798</v>
      </c>
      <c r="O3051" s="20" t="s">
        <v>798</v>
      </c>
      <c r="P3051" s="17" t="s">
        <v>802</v>
      </c>
      <c r="Q3051" s="21" t="s">
        <v>8675</v>
      </c>
      <c r="R3051" s="19" t="s">
        <v>798</v>
      </c>
      <c r="S3051" s="20" t="s">
        <v>798</v>
      </c>
      <c r="T3051" s="17" t="s">
        <v>798</v>
      </c>
      <c r="U3051" s="20" t="s">
        <v>798</v>
      </c>
      <c r="V3051" s="26" t="s">
        <v>798</v>
      </c>
      <c r="W3051" s="20" t="s">
        <v>798</v>
      </c>
      <c r="X3051" s="26" t="s">
        <v>798</v>
      </c>
      <c r="Y3051" s="20" t="s">
        <v>798</v>
      </c>
      <c r="Z3051" s="69" t="s">
        <v>9486</v>
      </c>
      <c r="AA3051" s="72" t="s">
        <v>9477</v>
      </c>
      <c r="AB3051" s="73" t="s">
        <v>9486</v>
      </c>
      <c r="AC3051" s="74" t="s">
        <v>9566</v>
      </c>
      <c r="AD3051" s="73" t="s">
        <v>9578</v>
      </c>
      <c r="AE3051" s="74" t="s">
        <v>9579</v>
      </c>
    </row>
    <row r="3052" spans="1:31" ht="8.65" customHeight="1" x14ac:dyDescent="0.2">
      <c r="A3052" s="76">
        <v>3052</v>
      </c>
      <c r="B3052" s="67" t="str">
        <f>MID(C3052, FIND("Ifc.", C3052) + 4, 4) &amp; "_" &amp; TEXT(COUNTIF($C$2:C3052, C3052),"0000")</f>
        <v>Enti_0185</v>
      </c>
      <c r="C3052" s="25" t="s">
        <v>874</v>
      </c>
      <c r="D3052" s="69" t="s">
        <v>9453</v>
      </c>
      <c r="E3052" s="70" t="s">
        <v>9457</v>
      </c>
      <c r="F3052" s="26" t="s">
        <v>798</v>
      </c>
      <c r="G3052" s="15" t="s">
        <v>798</v>
      </c>
      <c r="H3052" s="14" t="s">
        <v>798</v>
      </c>
      <c r="I3052" s="15" t="s">
        <v>798</v>
      </c>
      <c r="J3052" s="12" t="s">
        <v>9438</v>
      </c>
      <c r="K3052" s="16" t="s">
        <v>3124</v>
      </c>
      <c r="L3052" s="12" t="s">
        <v>800</v>
      </c>
      <c r="M3052" s="16" t="s">
        <v>4091</v>
      </c>
      <c r="N3052" s="19" t="s">
        <v>798</v>
      </c>
      <c r="O3052" s="20" t="s">
        <v>798</v>
      </c>
      <c r="P3052" s="17" t="s">
        <v>802</v>
      </c>
      <c r="Q3052" s="21" t="s">
        <v>8676</v>
      </c>
      <c r="R3052" s="19" t="s">
        <v>798</v>
      </c>
      <c r="S3052" s="20" t="s">
        <v>798</v>
      </c>
      <c r="T3052" s="17" t="s">
        <v>798</v>
      </c>
      <c r="U3052" s="20" t="s">
        <v>798</v>
      </c>
      <c r="V3052" s="26" t="s">
        <v>798</v>
      </c>
      <c r="W3052" s="20" t="s">
        <v>798</v>
      </c>
      <c r="X3052" s="26" t="s">
        <v>798</v>
      </c>
      <c r="Y3052" s="20" t="s">
        <v>798</v>
      </c>
      <c r="Z3052" s="69" t="s">
        <v>9486</v>
      </c>
      <c r="AA3052" s="72" t="s">
        <v>9476</v>
      </c>
      <c r="AB3052" s="73" t="s">
        <v>9486</v>
      </c>
      <c r="AC3052" s="74" t="s">
        <v>9566</v>
      </c>
      <c r="AD3052" s="73" t="s">
        <v>9578</v>
      </c>
      <c r="AE3052" s="74" t="s">
        <v>9579</v>
      </c>
    </row>
    <row r="3053" spans="1:31" ht="8.65" customHeight="1" x14ac:dyDescent="0.2">
      <c r="A3053" s="76">
        <v>3053</v>
      </c>
      <c r="B3053" s="67" t="str">
        <f>MID(C3053, FIND("Ifc.", C3053) + 4, 4) &amp; "_" &amp; TEXT(COUNTIF($C$2:C3053, C3053),"0000")</f>
        <v>Enti_0186</v>
      </c>
      <c r="C3053" s="25" t="s">
        <v>874</v>
      </c>
      <c r="D3053" s="69" t="s">
        <v>9453</v>
      </c>
      <c r="E3053" s="70" t="s">
        <v>9457</v>
      </c>
      <c r="F3053" s="26" t="s">
        <v>798</v>
      </c>
      <c r="G3053" s="15" t="s">
        <v>798</v>
      </c>
      <c r="H3053" s="14" t="s">
        <v>798</v>
      </c>
      <c r="I3053" s="15" t="s">
        <v>798</v>
      </c>
      <c r="J3053" s="12" t="s">
        <v>9438</v>
      </c>
      <c r="K3053" s="16" t="s">
        <v>3125</v>
      </c>
      <c r="L3053" s="12" t="s">
        <v>800</v>
      </c>
      <c r="M3053" s="16" t="s">
        <v>4092</v>
      </c>
      <c r="N3053" s="19" t="s">
        <v>798</v>
      </c>
      <c r="O3053" s="20" t="s">
        <v>798</v>
      </c>
      <c r="P3053" s="17" t="s">
        <v>802</v>
      </c>
      <c r="Q3053" s="21" t="s">
        <v>8677</v>
      </c>
      <c r="R3053" s="19" t="s">
        <v>798</v>
      </c>
      <c r="S3053" s="20" t="s">
        <v>798</v>
      </c>
      <c r="T3053" s="17" t="s">
        <v>798</v>
      </c>
      <c r="U3053" s="20" t="s">
        <v>798</v>
      </c>
      <c r="V3053" s="26" t="s">
        <v>798</v>
      </c>
      <c r="W3053" s="20" t="s">
        <v>798</v>
      </c>
      <c r="X3053" s="26" t="s">
        <v>798</v>
      </c>
      <c r="Y3053" s="20" t="s">
        <v>798</v>
      </c>
      <c r="Z3053" s="69" t="s">
        <v>9486</v>
      </c>
      <c r="AA3053" s="72" t="s">
        <v>9477</v>
      </c>
      <c r="AB3053" s="73" t="s">
        <v>9486</v>
      </c>
      <c r="AC3053" s="74" t="s">
        <v>9566</v>
      </c>
      <c r="AD3053" s="73" t="s">
        <v>9578</v>
      </c>
      <c r="AE3053" s="74" t="s">
        <v>9579</v>
      </c>
    </row>
    <row r="3054" spans="1:31" ht="8.65" customHeight="1" x14ac:dyDescent="0.2">
      <c r="A3054" s="76">
        <v>3054</v>
      </c>
      <c r="B3054" s="67" t="str">
        <f>MID(C3054, FIND("Ifc.", C3054) + 4, 4) &amp; "_" &amp; TEXT(COUNTIF($C$2:C3054, C3054),"0000")</f>
        <v>Enti_0187</v>
      </c>
      <c r="C3054" s="25" t="s">
        <v>874</v>
      </c>
      <c r="D3054" s="69" t="s">
        <v>9453</v>
      </c>
      <c r="E3054" s="70" t="s">
        <v>9457</v>
      </c>
      <c r="F3054" s="26" t="s">
        <v>798</v>
      </c>
      <c r="G3054" s="15" t="s">
        <v>798</v>
      </c>
      <c r="H3054" s="14" t="s">
        <v>798</v>
      </c>
      <c r="I3054" s="15" t="s">
        <v>798</v>
      </c>
      <c r="J3054" s="12" t="s">
        <v>9438</v>
      </c>
      <c r="K3054" s="16" t="s">
        <v>3126</v>
      </c>
      <c r="L3054" s="12" t="s">
        <v>800</v>
      </c>
      <c r="M3054" s="16" t="s">
        <v>4093</v>
      </c>
      <c r="N3054" s="19" t="s">
        <v>798</v>
      </c>
      <c r="O3054" s="20" t="s">
        <v>798</v>
      </c>
      <c r="P3054" s="17" t="s">
        <v>802</v>
      </c>
      <c r="Q3054" s="21" t="s">
        <v>8678</v>
      </c>
      <c r="R3054" s="19" t="s">
        <v>798</v>
      </c>
      <c r="S3054" s="20" t="s">
        <v>798</v>
      </c>
      <c r="T3054" s="17" t="s">
        <v>798</v>
      </c>
      <c r="U3054" s="20" t="s">
        <v>798</v>
      </c>
      <c r="V3054" s="26" t="s">
        <v>798</v>
      </c>
      <c r="W3054" s="20" t="s">
        <v>798</v>
      </c>
      <c r="X3054" s="26" t="s">
        <v>798</v>
      </c>
      <c r="Y3054" s="20" t="s">
        <v>798</v>
      </c>
      <c r="Z3054" s="69" t="s">
        <v>9486</v>
      </c>
      <c r="AA3054" s="72" t="s">
        <v>9476</v>
      </c>
      <c r="AB3054" s="73" t="s">
        <v>9486</v>
      </c>
      <c r="AC3054" s="74" t="s">
        <v>9566</v>
      </c>
      <c r="AD3054" s="73" t="s">
        <v>9578</v>
      </c>
      <c r="AE3054" s="74" t="s">
        <v>9579</v>
      </c>
    </row>
    <row r="3055" spans="1:31" ht="8.65" customHeight="1" x14ac:dyDescent="0.2">
      <c r="A3055" s="76">
        <v>3055</v>
      </c>
      <c r="B3055" s="67" t="str">
        <f>MID(C3055, FIND("Ifc.", C3055) + 4, 4) &amp; "_" &amp; TEXT(COUNTIF($C$2:C3055, C3055),"0000")</f>
        <v>Enti_0188</v>
      </c>
      <c r="C3055" s="25" t="s">
        <v>874</v>
      </c>
      <c r="D3055" s="69" t="s">
        <v>9453</v>
      </c>
      <c r="E3055" s="70" t="s">
        <v>9457</v>
      </c>
      <c r="F3055" s="26" t="s">
        <v>798</v>
      </c>
      <c r="G3055" s="15" t="s">
        <v>798</v>
      </c>
      <c r="H3055" s="14" t="s">
        <v>798</v>
      </c>
      <c r="I3055" s="15" t="s">
        <v>798</v>
      </c>
      <c r="J3055" s="12" t="s">
        <v>9438</v>
      </c>
      <c r="K3055" s="16" t="s">
        <v>3127</v>
      </c>
      <c r="L3055" s="12" t="s">
        <v>800</v>
      </c>
      <c r="M3055" s="16" t="s">
        <v>4094</v>
      </c>
      <c r="N3055" s="19" t="s">
        <v>798</v>
      </c>
      <c r="O3055" s="20" t="s">
        <v>798</v>
      </c>
      <c r="P3055" s="17" t="s">
        <v>802</v>
      </c>
      <c r="Q3055" s="21" t="s">
        <v>8679</v>
      </c>
      <c r="R3055" s="19" t="s">
        <v>798</v>
      </c>
      <c r="S3055" s="20" t="s">
        <v>798</v>
      </c>
      <c r="T3055" s="17" t="s">
        <v>798</v>
      </c>
      <c r="U3055" s="20" t="s">
        <v>798</v>
      </c>
      <c r="V3055" s="26" t="s">
        <v>798</v>
      </c>
      <c r="W3055" s="20" t="s">
        <v>798</v>
      </c>
      <c r="X3055" s="26" t="s">
        <v>798</v>
      </c>
      <c r="Y3055" s="20" t="s">
        <v>798</v>
      </c>
      <c r="Z3055" s="69" t="s">
        <v>9486</v>
      </c>
      <c r="AA3055" s="72" t="s">
        <v>9477</v>
      </c>
      <c r="AB3055" s="73" t="s">
        <v>9486</v>
      </c>
      <c r="AC3055" s="74" t="s">
        <v>9566</v>
      </c>
      <c r="AD3055" s="73" t="s">
        <v>9578</v>
      </c>
      <c r="AE3055" s="74" t="s">
        <v>9579</v>
      </c>
    </row>
    <row r="3056" spans="1:31" ht="8.65" customHeight="1" x14ac:dyDescent="0.2">
      <c r="A3056" s="76">
        <v>3056</v>
      </c>
      <c r="B3056" s="67" t="str">
        <f>MID(C3056, FIND("Ifc.", C3056) + 4, 4) &amp; "_" &amp; TEXT(COUNTIF($C$2:C3056, C3056),"0000")</f>
        <v>Enti_0189</v>
      </c>
      <c r="C3056" s="25" t="s">
        <v>874</v>
      </c>
      <c r="D3056" s="69" t="s">
        <v>9453</v>
      </c>
      <c r="E3056" s="70" t="s">
        <v>9457</v>
      </c>
      <c r="F3056" s="26" t="s">
        <v>798</v>
      </c>
      <c r="G3056" s="15" t="s">
        <v>798</v>
      </c>
      <c r="H3056" s="14" t="s">
        <v>798</v>
      </c>
      <c r="I3056" s="15" t="s">
        <v>798</v>
      </c>
      <c r="J3056" s="12" t="s">
        <v>9438</v>
      </c>
      <c r="K3056" s="16" t="s">
        <v>3128</v>
      </c>
      <c r="L3056" s="12" t="s">
        <v>800</v>
      </c>
      <c r="M3056" s="16" t="s">
        <v>4095</v>
      </c>
      <c r="N3056" s="19" t="s">
        <v>798</v>
      </c>
      <c r="O3056" s="20" t="s">
        <v>798</v>
      </c>
      <c r="P3056" s="17" t="s">
        <v>802</v>
      </c>
      <c r="Q3056" s="21" t="s">
        <v>8680</v>
      </c>
      <c r="R3056" s="19" t="s">
        <v>798</v>
      </c>
      <c r="S3056" s="20" t="s">
        <v>798</v>
      </c>
      <c r="T3056" s="17" t="s">
        <v>798</v>
      </c>
      <c r="U3056" s="20" t="s">
        <v>798</v>
      </c>
      <c r="V3056" s="26" t="s">
        <v>798</v>
      </c>
      <c r="W3056" s="20" t="s">
        <v>798</v>
      </c>
      <c r="X3056" s="26" t="s">
        <v>798</v>
      </c>
      <c r="Y3056" s="20" t="s">
        <v>798</v>
      </c>
      <c r="Z3056" s="69" t="s">
        <v>9486</v>
      </c>
      <c r="AA3056" s="72" t="s">
        <v>9476</v>
      </c>
      <c r="AB3056" s="73" t="s">
        <v>9486</v>
      </c>
      <c r="AC3056" s="74" t="s">
        <v>9566</v>
      </c>
      <c r="AD3056" s="73" t="s">
        <v>9578</v>
      </c>
      <c r="AE3056" s="74" t="s">
        <v>9579</v>
      </c>
    </row>
    <row r="3057" spans="1:31" ht="8.65" customHeight="1" x14ac:dyDescent="0.2">
      <c r="A3057" s="76">
        <v>3057</v>
      </c>
      <c r="B3057" s="67" t="str">
        <f>MID(C3057, FIND("Ifc.", C3057) + 4, 4) &amp; "_" &amp; TEXT(COUNTIF($C$2:C3057, C3057),"0000")</f>
        <v>Enti_0190</v>
      </c>
      <c r="C3057" s="25" t="s">
        <v>874</v>
      </c>
      <c r="D3057" s="69" t="s">
        <v>9453</v>
      </c>
      <c r="E3057" s="70" t="s">
        <v>9457</v>
      </c>
      <c r="F3057" s="26" t="s">
        <v>798</v>
      </c>
      <c r="G3057" s="15" t="s">
        <v>798</v>
      </c>
      <c r="H3057" s="14" t="s">
        <v>798</v>
      </c>
      <c r="I3057" s="15" t="s">
        <v>798</v>
      </c>
      <c r="J3057" s="12" t="s">
        <v>9438</v>
      </c>
      <c r="K3057" s="16" t="s">
        <v>3129</v>
      </c>
      <c r="L3057" s="12" t="s">
        <v>800</v>
      </c>
      <c r="M3057" s="16" t="s">
        <v>4096</v>
      </c>
      <c r="N3057" s="19" t="s">
        <v>798</v>
      </c>
      <c r="O3057" s="20" t="s">
        <v>798</v>
      </c>
      <c r="P3057" s="17" t="s">
        <v>802</v>
      </c>
      <c r="Q3057" s="21" t="s">
        <v>8681</v>
      </c>
      <c r="R3057" s="19" t="s">
        <v>798</v>
      </c>
      <c r="S3057" s="20" t="s">
        <v>798</v>
      </c>
      <c r="T3057" s="17" t="s">
        <v>798</v>
      </c>
      <c r="U3057" s="20" t="s">
        <v>798</v>
      </c>
      <c r="V3057" s="26" t="s">
        <v>798</v>
      </c>
      <c r="W3057" s="20" t="s">
        <v>798</v>
      </c>
      <c r="X3057" s="26" t="s">
        <v>798</v>
      </c>
      <c r="Y3057" s="20" t="s">
        <v>798</v>
      </c>
      <c r="Z3057" s="69" t="s">
        <v>9486</v>
      </c>
      <c r="AA3057" s="72" t="s">
        <v>9477</v>
      </c>
      <c r="AB3057" s="73" t="s">
        <v>9486</v>
      </c>
      <c r="AC3057" s="74" t="s">
        <v>9566</v>
      </c>
      <c r="AD3057" s="73" t="s">
        <v>9578</v>
      </c>
      <c r="AE3057" s="74" t="s">
        <v>9579</v>
      </c>
    </row>
    <row r="3058" spans="1:31" ht="8.65" customHeight="1" x14ac:dyDescent="0.2">
      <c r="A3058" s="76">
        <v>3058</v>
      </c>
      <c r="B3058" s="67" t="str">
        <f>MID(C3058, FIND("Ifc.", C3058) + 4, 4) &amp; "_" &amp; TEXT(COUNTIF($C$2:C3058, C3058),"0000")</f>
        <v>Enti_0191</v>
      </c>
      <c r="C3058" s="25" t="s">
        <v>874</v>
      </c>
      <c r="D3058" s="69" t="s">
        <v>9453</v>
      </c>
      <c r="E3058" s="70" t="s">
        <v>9457</v>
      </c>
      <c r="F3058" s="26" t="s">
        <v>798</v>
      </c>
      <c r="G3058" s="15" t="s">
        <v>798</v>
      </c>
      <c r="H3058" s="14" t="s">
        <v>798</v>
      </c>
      <c r="I3058" s="15" t="s">
        <v>798</v>
      </c>
      <c r="J3058" s="12" t="s">
        <v>9438</v>
      </c>
      <c r="K3058" s="16" t="s">
        <v>3130</v>
      </c>
      <c r="L3058" s="12" t="s">
        <v>800</v>
      </c>
      <c r="M3058" s="16" t="s">
        <v>4097</v>
      </c>
      <c r="N3058" s="19" t="s">
        <v>798</v>
      </c>
      <c r="O3058" s="20" t="s">
        <v>798</v>
      </c>
      <c r="P3058" s="17" t="s">
        <v>802</v>
      </c>
      <c r="Q3058" s="21" t="s">
        <v>8682</v>
      </c>
      <c r="R3058" s="19" t="s">
        <v>798</v>
      </c>
      <c r="S3058" s="20" t="s">
        <v>798</v>
      </c>
      <c r="T3058" s="17" t="s">
        <v>798</v>
      </c>
      <c r="U3058" s="20" t="s">
        <v>798</v>
      </c>
      <c r="V3058" s="26" t="s">
        <v>798</v>
      </c>
      <c r="W3058" s="20" t="s">
        <v>798</v>
      </c>
      <c r="X3058" s="26" t="s">
        <v>798</v>
      </c>
      <c r="Y3058" s="20" t="s">
        <v>798</v>
      </c>
      <c r="Z3058" s="69" t="s">
        <v>9486</v>
      </c>
      <c r="AA3058" s="72" t="s">
        <v>9476</v>
      </c>
      <c r="AB3058" s="73" t="s">
        <v>9486</v>
      </c>
      <c r="AC3058" s="74" t="s">
        <v>9566</v>
      </c>
      <c r="AD3058" s="73" t="s">
        <v>9578</v>
      </c>
      <c r="AE3058" s="74" t="s">
        <v>9579</v>
      </c>
    </row>
    <row r="3059" spans="1:31" ht="8.65" customHeight="1" x14ac:dyDescent="0.2">
      <c r="A3059" s="76">
        <v>3059</v>
      </c>
      <c r="B3059" s="67" t="str">
        <f>MID(C3059, FIND("Ifc.", C3059) + 4, 4) &amp; "_" &amp; TEXT(COUNTIF($C$2:C3059, C3059),"0000")</f>
        <v>Enti_0192</v>
      </c>
      <c r="C3059" s="25" t="s">
        <v>874</v>
      </c>
      <c r="D3059" s="69" t="s">
        <v>9453</v>
      </c>
      <c r="E3059" s="70" t="s">
        <v>9457</v>
      </c>
      <c r="F3059" s="26" t="s">
        <v>798</v>
      </c>
      <c r="G3059" s="15" t="s">
        <v>798</v>
      </c>
      <c r="H3059" s="14" t="s">
        <v>798</v>
      </c>
      <c r="I3059" s="15" t="s">
        <v>798</v>
      </c>
      <c r="J3059" s="12" t="s">
        <v>9438</v>
      </c>
      <c r="K3059" s="16" t="s">
        <v>3131</v>
      </c>
      <c r="L3059" s="12" t="s">
        <v>800</v>
      </c>
      <c r="M3059" s="16" t="s">
        <v>4098</v>
      </c>
      <c r="N3059" s="19" t="s">
        <v>798</v>
      </c>
      <c r="O3059" s="20" t="s">
        <v>798</v>
      </c>
      <c r="P3059" s="17" t="s">
        <v>802</v>
      </c>
      <c r="Q3059" s="21" t="s">
        <v>8683</v>
      </c>
      <c r="R3059" s="19" t="s">
        <v>798</v>
      </c>
      <c r="S3059" s="20" t="s">
        <v>798</v>
      </c>
      <c r="T3059" s="17" t="s">
        <v>798</v>
      </c>
      <c r="U3059" s="20" t="s">
        <v>798</v>
      </c>
      <c r="V3059" s="26" t="s">
        <v>798</v>
      </c>
      <c r="W3059" s="20" t="s">
        <v>798</v>
      </c>
      <c r="X3059" s="26" t="s">
        <v>798</v>
      </c>
      <c r="Y3059" s="20" t="s">
        <v>798</v>
      </c>
      <c r="Z3059" s="69" t="s">
        <v>9486</v>
      </c>
      <c r="AA3059" s="72" t="s">
        <v>9476</v>
      </c>
      <c r="AB3059" s="73" t="s">
        <v>9486</v>
      </c>
      <c r="AC3059" s="74" t="s">
        <v>9566</v>
      </c>
      <c r="AD3059" s="73" t="s">
        <v>9578</v>
      </c>
      <c r="AE3059" s="74" t="s">
        <v>9579</v>
      </c>
    </row>
    <row r="3060" spans="1:31" ht="8.65" customHeight="1" x14ac:dyDescent="0.2">
      <c r="A3060" s="76">
        <v>3060</v>
      </c>
      <c r="B3060" s="67" t="str">
        <f>MID(C3060, FIND("Ifc.", C3060) + 4, 4) &amp; "_" &amp; TEXT(COUNTIF($C$2:C3060, C3060),"0000")</f>
        <v>Enti_0193</v>
      </c>
      <c r="C3060" s="25" t="s">
        <v>874</v>
      </c>
      <c r="D3060" s="69" t="s">
        <v>9453</v>
      </c>
      <c r="E3060" s="70" t="s">
        <v>9457</v>
      </c>
      <c r="F3060" s="26" t="s">
        <v>798</v>
      </c>
      <c r="G3060" s="15" t="s">
        <v>798</v>
      </c>
      <c r="H3060" s="14" t="s">
        <v>798</v>
      </c>
      <c r="I3060" s="15" t="s">
        <v>798</v>
      </c>
      <c r="J3060" s="12" t="s">
        <v>9438</v>
      </c>
      <c r="K3060" s="16" t="s">
        <v>3132</v>
      </c>
      <c r="L3060" s="12" t="s">
        <v>800</v>
      </c>
      <c r="M3060" s="16" t="s">
        <v>4099</v>
      </c>
      <c r="N3060" s="19" t="s">
        <v>798</v>
      </c>
      <c r="O3060" s="20" t="s">
        <v>798</v>
      </c>
      <c r="P3060" s="17" t="s">
        <v>802</v>
      </c>
      <c r="Q3060" s="21" t="s">
        <v>8684</v>
      </c>
      <c r="R3060" s="19" t="s">
        <v>798</v>
      </c>
      <c r="S3060" s="20" t="s">
        <v>798</v>
      </c>
      <c r="T3060" s="17" t="s">
        <v>798</v>
      </c>
      <c r="U3060" s="20" t="s">
        <v>798</v>
      </c>
      <c r="V3060" s="26" t="s">
        <v>798</v>
      </c>
      <c r="W3060" s="20" t="s">
        <v>798</v>
      </c>
      <c r="X3060" s="26" t="s">
        <v>798</v>
      </c>
      <c r="Y3060" s="20" t="s">
        <v>798</v>
      </c>
      <c r="Z3060" s="69" t="s">
        <v>9486</v>
      </c>
      <c r="AA3060" s="72" t="s">
        <v>9476</v>
      </c>
      <c r="AB3060" s="73" t="s">
        <v>9486</v>
      </c>
      <c r="AC3060" s="74" t="s">
        <v>9566</v>
      </c>
      <c r="AD3060" s="73" t="s">
        <v>9578</v>
      </c>
      <c r="AE3060" s="74" t="s">
        <v>9579</v>
      </c>
    </row>
    <row r="3061" spans="1:31" ht="8.65" customHeight="1" x14ac:dyDescent="0.2">
      <c r="A3061" s="76">
        <v>3061</v>
      </c>
      <c r="B3061" s="67" t="str">
        <f>MID(C3061, FIND("Ifc.", C3061) + 4, 4) &amp; "_" &amp; TEXT(COUNTIF($C$2:C3061, C3061),"0000")</f>
        <v>Enti_0194</v>
      </c>
      <c r="C3061" s="25" t="s">
        <v>874</v>
      </c>
      <c r="D3061" s="69" t="s">
        <v>9453</v>
      </c>
      <c r="E3061" s="70" t="s">
        <v>9457</v>
      </c>
      <c r="F3061" s="26" t="s">
        <v>798</v>
      </c>
      <c r="G3061" s="15" t="s">
        <v>798</v>
      </c>
      <c r="H3061" s="14" t="s">
        <v>798</v>
      </c>
      <c r="I3061" s="15" t="s">
        <v>798</v>
      </c>
      <c r="J3061" s="12" t="s">
        <v>9438</v>
      </c>
      <c r="K3061" s="16" t="s">
        <v>3133</v>
      </c>
      <c r="L3061" s="12" t="s">
        <v>800</v>
      </c>
      <c r="M3061" s="16" t="s">
        <v>4100</v>
      </c>
      <c r="N3061" s="19" t="s">
        <v>798</v>
      </c>
      <c r="O3061" s="20" t="s">
        <v>798</v>
      </c>
      <c r="P3061" s="17" t="s">
        <v>802</v>
      </c>
      <c r="Q3061" s="21" t="s">
        <v>8685</v>
      </c>
      <c r="R3061" s="19" t="s">
        <v>798</v>
      </c>
      <c r="S3061" s="20" t="s">
        <v>798</v>
      </c>
      <c r="T3061" s="17" t="s">
        <v>798</v>
      </c>
      <c r="U3061" s="20" t="s">
        <v>798</v>
      </c>
      <c r="V3061" s="26" t="s">
        <v>798</v>
      </c>
      <c r="W3061" s="20" t="s">
        <v>798</v>
      </c>
      <c r="X3061" s="26" t="s">
        <v>798</v>
      </c>
      <c r="Y3061" s="20" t="s">
        <v>798</v>
      </c>
      <c r="Z3061" s="69" t="s">
        <v>9486</v>
      </c>
      <c r="AA3061" s="72" t="s">
        <v>9476</v>
      </c>
      <c r="AB3061" s="73" t="s">
        <v>9486</v>
      </c>
      <c r="AC3061" s="74" t="s">
        <v>9566</v>
      </c>
      <c r="AD3061" s="73" t="s">
        <v>9578</v>
      </c>
      <c r="AE3061" s="74" t="s">
        <v>9579</v>
      </c>
    </row>
    <row r="3062" spans="1:31" ht="8.65" customHeight="1" x14ac:dyDescent="0.2">
      <c r="A3062" s="76">
        <v>3062</v>
      </c>
      <c r="B3062" s="67" t="str">
        <f>MID(C3062, FIND("Ifc.", C3062) + 4, 4) &amp; "_" &amp; TEXT(COUNTIF($C$2:C3062, C3062),"0000")</f>
        <v>Enti_0195</v>
      </c>
      <c r="C3062" s="25" t="s">
        <v>874</v>
      </c>
      <c r="D3062" s="69" t="s">
        <v>9453</v>
      </c>
      <c r="E3062" s="70" t="s">
        <v>9457</v>
      </c>
      <c r="F3062" s="26" t="s">
        <v>798</v>
      </c>
      <c r="G3062" s="15" t="s">
        <v>798</v>
      </c>
      <c r="H3062" s="14" t="s">
        <v>798</v>
      </c>
      <c r="I3062" s="15" t="s">
        <v>798</v>
      </c>
      <c r="J3062" s="12" t="s">
        <v>9438</v>
      </c>
      <c r="K3062" s="16" t="s">
        <v>3134</v>
      </c>
      <c r="L3062" s="12" t="s">
        <v>800</v>
      </c>
      <c r="M3062" s="16" t="s">
        <v>4101</v>
      </c>
      <c r="N3062" s="19" t="s">
        <v>798</v>
      </c>
      <c r="O3062" s="20" t="s">
        <v>798</v>
      </c>
      <c r="P3062" s="17" t="s">
        <v>802</v>
      </c>
      <c r="Q3062" s="21" t="s">
        <v>8686</v>
      </c>
      <c r="R3062" s="19" t="s">
        <v>798</v>
      </c>
      <c r="S3062" s="20" t="s">
        <v>798</v>
      </c>
      <c r="T3062" s="17" t="s">
        <v>798</v>
      </c>
      <c r="U3062" s="20" t="s">
        <v>798</v>
      </c>
      <c r="V3062" s="26" t="s">
        <v>798</v>
      </c>
      <c r="W3062" s="20" t="s">
        <v>798</v>
      </c>
      <c r="X3062" s="26" t="s">
        <v>798</v>
      </c>
      <c r="Y3062" s="20" t="s">
        <v>798</v>
      </c>
      <c r="Z3062" s="69" t="s">
        <v>9486</v>
      </c>
      <c r="AA3062" s="72" t="s">
        <v>9476</v>
      </c>
      <c r="AB3062" s="73" t="s">
        <v>9486</v>
      </c>
      <c r="AC3062" s="74" t="s">
        <v>9566</v>
      </c>
      <c r="AD3062" s="73" t="s">
        <v>9578</v>
      </c>
      <c r="AE3062" s="74" t="s">
        <v>9579</v>
      </c>
    </row>
    <row r="3063" spans="1:31" ht="8.65" customHeight="1" x14ac:dyDescent="0.2">
      <c r="A3063" s="76">
        <v>3063</v>
      </c>
      <c r="B3063" s="67" t="str">
        <f>MID(C3063, FIND("Ifc.", C3063) + 4, 4) &amp; "_" &amp; TEXT(COUNTIF($C$2:C3063, C3063),"0000")</f>
        <v>Enti_0196</v>
      </c>
      <c r="C3063" s="25" t="s">
        <v>874</v>
      </c>
      <c r="D3063" s="69" t="s">
        <v>9453</v>
      </c>
      <c r="E3063" s="70" t="s">
        <v>9457</v>
      </c>
      <c r="F3063" s="26" t="s">
        <v>798</v>
      </c>
      <c r="G3063" s="15" t="s">
        <v>798</v>
      </c>
      <c r="H3063" s="14" t="s">
        <v>798</v>
      </c>
      <c r="I3063" s="15" t="s">
        <v>798</v>
      </c>
      <c r="J3063" s="12" t="s">
        <v>9438</v>
      </c>
      <c r="K3063" s="16" t="s">
        <v>3135</v>
      </c>
      <c r="L3063" s="12" t="s">
        <v>800</v>
      </c>
      <c r="M3063" s="16" t="s">
        <v>4102</v>
      </c>
      <c r="N3063" s="19" t="s">
        <v>798</v>
      </c>
      <c r="O3063" s="20" t="s">
        <v>798</v>
      </c>
      <c r="P3063" s="17" t="s">
        <v>802</v>
      </c>
      <c r="Q3063" s="21" t="s">
        <v>8687</v>
      </c>
      <c r="R3063" s="19" t="s">
        <v>798</v>
      </c>
      <c r="S3063" s="20" t="s">
        <v>798</v>
      </c>
      <c r="T3063" s="17" t="s">
        <v>798</v>
      </c>
      <c r="U3063" s="20" t="s">
        <v>798</v>
      </c>
      <c r="V3063" s="26" t="s">
        <v>798</v>
      </c>
      <c r="W3063" s="20" t="s">
        <v>798</v>
      </c>
      <c r="X3063" s="26" t="s">
        <v>798</v>
      </c>
      <c r="Y3063" s="20" t="s">
        <v>798</v>
      </c>
      <c r="Z3063" s="69" t="s">
        <v>9486</v>
      </c>
      <c r="AA3063" s="72" t="s">
        <v>9476</v>
      </c>
      <c r="AB3063" s="73" t="s">
        <v>9486</v>
      </c>
      <c r="AC3063" s="74" t="s">
        <v>9566</v>
      </c>
      <c r="AD3063" s="73" t="s">
        <v>9578</v>
      </c>
      <c r="AE3063" s="74" t="s">
        <v>9579</v>
      </c>
    </row>
    <row r="3064" spans="1:31" ht="8.65" customHeight="1" x14ac:dyDescent="0.2">
      <c r="A3064" s="76">
        <v>3064</v>
      </c>
      <c r="B3064" s="67" t="str">
        <f>MID(C3064, FIND("Ifc.", C3064) + 4, 4) &amp; "_" &amp; TEXT(COUNTIF($C$2:C3064, C3064),"0000")</f>
        <v>Enti_0197</v>
      </c>
      <c r="C3064" s="25" t="s">
        <v>874</v>
      </c>
      <c r="D3064" s="69" t="s">
        <v>9453</v>
      </c>
      <c r="E3064" s="70" t="s">
        <v>9457</v>
      </c>
      <c r="F3064" s="26" t="s">
        <v>798</v>
      </c>
      <c r="G3064" s="15" t="s">
        <v>798</v>
      </c>
      <c r="H3064" s="14" t="s">
        <v>798</v>
      </c>
      <c r="I3064" s="15" t="s">
        <v>798</v>
      </c>
      <c r="J3064" s="12" t="s">
        <v>9438</v>
      </c>
      <c r="K3064" s="16" t="s">
        <v>3136</v>
      </c>
      <c r="L3064" s="12" t="s">
        <v>800</v>
      </c>
      <c r="M3064" s="16" t="s">
        <v>4103</v>
      </c>
      <c r="N3064" s="19" t="s">
        <v>798</v>
      </c>
      <c r="O3064" s="20" t="s">
        <v>798</v>
      </c>
      <c r="P3064" s="17" t="s">
        <v>802</v>
      </c>
      <c r="Q3064" s="21" t="s">
        <v>8688</v>
      </c>
      <c r="R3064" s="19" t="s">
        <v>798</v>
      </c>
      <c r="S3064" s="20" t="s">
        <v>798</v>
      </c>
      <c r="T3064" s="17" t="s">
        <v>798</v>
      </c>
      <c r="U3064" s="20" t="s">
        <v>798</v>
      </c>
      <c r="V3064" s="26" t="s">
        <v>798</v>
      </c>
      <c r="W3064" s="20" t="s">
        <v>798</v>
      </c>
      <c r="X3064" s="26" t="s">
        <v>798</v>
      </c>
      <c r="Y3064" s="20" t="s">
        <v>798</v>
      </c>
      <c r="Z3064" s="69" t="s">
        <v>9486</v>
      </c>
      <c r="AA3064" s="72" t="s">
        <v>9477</v>
      </c>
      <c r="AB3064" s="73" t="s">
        <v>9486</v>
      </c>
      <c r="AC3064" s="74" t="s">
        <v>9566</v>
      </c>
      <c r="AD3064" s="73" t="s">
        <v>9578</v>
      </c>
      <c r="AE3064" s="74" t="s">
        <v>9579</v>
      </c>
    </row>
    <row r="3065" spans="1:31" ht="8.65" customHeight="1" x14ac:dyDescent="0.2">
      <c r="A3065" s="76">
        <v>3065</v>
      </c>
      <c r="B3065" s="67" t="str">
        <f>MID(C3065, FIND("Ifc.", C3065) + 4, 4) &amp; "_" &amp; TEXT(COUNTIF($C$2:C3065, C3065),"0000")</f>
        <v>Enti_0198</v>
      </c>
      <c r="C3065" s="25" t="s">
        <v>874</v>
      </c>
      <c r="D3065" s="69" t="s">
        <v>9453</v>
      </c>
      <c r="E3065" s="70" t="s">
        <v>9457</v>
      </c>
      <c r="F3065" s="26" t="s">
        <v>798</v>
      </c>
      <c r="G3065" s="15" t="s">
        <v>798</v>
      </c>
      <c r="H3065" s="14" t="s">
        <v>798</v>
      </c>
      <c r="I3065" s="15" t="s">
        <v>798</v>
      </c>
      <c r="J3065" s="12" t="s">
        <v>9438</v>
      </c>
      <c r="K3065" s="16" t="s">
        <v>3137</v>
      </c>
      <c r="L3065" s="12" t="s">
        <v>800</v>
      </c>
      <c r="M3065" s="16" t="s">
        <v>4104</v>
      </c>
      <c r="N3065" s="19" t="s">
        <v>798</v>
      </c>
      <c r="O3065" s="20" t="s">
        <v>798</v>
      </c>
      <c r="P3065" s="17" t="s">
        <v>802</v>
      </c>
      <c r="Q3065" s="21" t="s">
        <v>8689</v>
      </c>
      <c r="R3065" s="19" t="s">
        <v>798</v>
      </c>
      <c r="S3065" s="20" t="s">
        <v>798</v>
      </c>
      <c r="T3065" s="17" t="s">
        <v>798</v>
      </c>
      <c r="U3065" s="20" t="s">
        <v>798</v>
      </c>
      <c r="V3065" s="26" t="s">
        <v>798</v>
      </c>
      <c r="W3065" s="20" t="s">
        <v>798</v>
      </c>
      <c r="X3065" s="26" t="s">
        <v>798</v>
      </c>
      <c r="Y3065" s="20" t="s">
        <v>798</v>
      </c>
      <c r="Z3065" s="69" t="s">
        <v>9486</v>
      </c>
      <c r="AA3065" s="72" t="s">
        <v>9476</v>
      </c>
      <c r="AB3065" s="73" t="s">
        <v>9486</v>
      </c>
      <c r="AC3065" s="74" t="s">
        <v>9566</v>
      </c>
      <c r="AD3065" s="73" t="s">
        <v>9578</v>
      </c>
      <c r="AE3065" s="74" t="s">
        <v>9579</v>
      </c>
    </row>
    <row r="3066" spans="1:31" ht="8.65" customHeight="1" x14ac:dyDescent="0.2">
      <c r="A3066" s="76">
        <v>3066</v>
      </c>
      <c r="B3066" s="67" t="str">
        <f>MID(C3066, FIND("Ifc.", C3066) + 4, 4) &amp; "_" &amp; TEXT(COUNTIF($C$2:C3066, C3066),"0000")</f>
        <v>Enti_0199</v>
      </c>
      <c r="C3066" s="25" t="s">
        <v>874</v>
      </c>
      <c r="D3066" s="69" t="s">
        <v>9453</v>
      </c>
      <c r="E3066" s="70" t="s">
        <v>9457</v>
      </c>
      <c r="F3066" s="26" t="s">
        <v>798</v>
      </c>
      <c r="G3066" s="15" t="s">
        <v>798</v>
      </c>
      <c r="H3066" s="14" t="s">
        <v>798</v>
      </c>
      <c r="I3066" s="15" t="s">
        <v>798</v>
      </c>
      <c r="J3066" s="12" t="s">
        <v>9438</v>
      </c>
      <c r="K3066" s="16" t="s">
        <v>3138</v>
      </c>
      <c r="L3066" s="12" t="s">
        <v>800</v>
      </c>
      <c r="M3066" s="16" t="s">
        <v>4105</v>
      </c>
      <c r="N3066" s="19" t="s">
        <v>798</v>
      </c>
      <c r="O3066" s="20" t="s">
        <v>798</v>
      </c>
      <c r="P3066" s="17" t="s">
        <v>802</v>
      </c>
      <c r="Q3066" s="21" t="s">
        <v>8690</v>
      </c>
      <c r="R3066" s="19" t="s">
        <v>798</v>
      </c>
      <c r="S3066" s="20" t="s">
        <v>798</v>
      </c>
      <c r="T3066" s="17" t="s">
        <v>798</v>
      </c>
      <c r="U3066" s="20" t="s">
        <v>798</v>
      </c>
      <c r="V3066" s="26" t="s">
        <v>798</v>
      </c>
      <c r="W3066" s="20" t="s">
        <v>798</v>
      </c>
      <c r="X3066" s="26" t="s">
        <v>798</v>
      </c>
      <c r="Y3066" s="20" t="s">
        <v>798</v>
      </c>
      <c r="Z3066" s="69" t="s">
        <v>9486</v>
      </c>
      <c r="AA3066" s="72" t="s">
        <v>9476</v>
      </c>
      <c r="AB3066" s="73" t="s">
        <v>9486</v>
      </c>
      <c r="AC3066" s="74" t="s">
        <v>9566</v>
      </c>
      <c r="AD3066" s="73" t="s">
        <v>9578</v>
      </c>
      <c r="AE3066" s="74" t="s">
        <v>9579</v>
      </c>
    </row>
    <row r="3067" spans="1:31" ht="8.65" customHeight="1" x14ac:dyDescent="0.2">
      <c r="A3067" s="76">
        <v>3067</v>
      </c>
      <c r="B3067" s="67" t="str">
        <f>MID(C3067, FIND("Ifc.", C3067) + 4, 4) &amp; "_" &amp; TEXT(COUNTIF($C$2:C3067, C3067),"0000")</f>
        <v>Enti_0200</v>
      </c>
      <c r="C3067" s="25" t="s">
        <v>874</v>
      </c>
      <c r="D3067" s="69" t="s">
        <v>9453</v>
      </c>
      <c r="E3067" s="70" t="s">
        <v>9457</v>
      </c>
      <c r="F3067" s="26" t="s">
        <v>798</v>
      </c>
      <c r="G3067" s="15" t="s">
        <v>798</v>
      </c>
      <c r="H3067" s="14" t="s">
        <v>798</v>
      </c>
      <c r="I3067" s="15" t="s">
        <v>798</v>
      </c>
      <c r="J3067" s="12" t="s">
        <v>9438</v>
      </c>
      <c r="K3067" s="16" t="s">
        <v>3139</v>
      </c>
      <c r="L3067" s="12" t="s">
        <v>800</v>
      </c>
      <c r="M3067" s="16" t="s">
        <v>4106</v>
      </c>
      <c r="N3067" s="19" t="s">
        <v>798</v>
      </c>
      <c r="O3067" s="20" t="s">
        <v>798</v>
      </c>
      <c r="P3067" s="17" t="s">
        <v>802</v>
      </c>
      <c r="Q3067" s="21" t="s">
        <v>8691</v>
      </c>
      <c r="R3067" s="19" t="s">
        <v>798</v>
      </c>
      <c r="S3067" s="20" t="s">
        <v>798</v>
      </c>
      <c r="T3067" s="17" t="s">
        <v>798</v>
      </c>
      <c r="U3067" s="20" t="s">
        <v>798</v>
      </c>
      <c r="V3067" s="26" t="s">
        <v>798</v>
      </c>
      <c r="W3067" s="20" t="s">
        <v>798</v>
      </c>
      <c r="X3067" s="26" t="s">
        <v>798</v>
      </c>
      <c r="Y3067" s="20" t="s">
        <v>798</v>
      </c>
      <c r="Z3067" s="69" t="s">
        <v>9486</v>
      </c>
      <c r="AA3067" s="72" t="s">
        <v>9477</v>
      </c>
      <c r="AB3067" s="73" t="s">
        <v>9486</v>
      </c>
      <c r="AC3067" s="74" t="s">
        <v>9566</v>
      </c>
      <c r="AD3067" s="73" t="s">
        <v>9578</v>
      </c>
      <c r="AE3067" s="74" t="s">
        <v>9579</v>
      </c>
    </row>
    <row r="3068" spans="1:31" ht="8.65" customHeight="1" x14ac:dyDescent="0.2">
      <c r="A3068" s="76">
        <v>3068</v>
      </c>
      <c r="B3068" s="67" t="str">
        <f>MID(C3068, FIND("Ifc.", C3068) + 4, 4) &amp; "_" &amp; TEXT(COUNTIF($C$2:C3068, C3068),"0000")</f>
        <v>Enti_0201</v>
      </c>
      <c r="C3068" s="25" t="s">
        <v>874</v>
      </c>
      <c r="D3068" s="69" t="s">
        <v>9453</v>
      </c>
      <c r="E3068" s="70" t="s">
        <v>9457</v>
      </c>
      <c r="F3068" s="26" t="s">
        <v>798</v>
      </c>
      <c r="G3068" s="15" t="s">
        <v>798</v>
      </c>
      <c r="H3068" s="14" t="s">
        <v>798</v>
      </c>
      <c r="I3068" s="15" t="s">
        <v>798</v>
      </c>
      <c r="J3068" s="12" t="s">
        <v>9438</v>
      </c>
      <c r="K3068" s="16" t="s">
        <v>3140</v>
      </c>
      <c r="L3068" s="12" t="s">
        <v>800</v>
      </c>
      <c r="M3068" s="16" t="s">
        <v>4107</v>
      </c>
      <c r="N3068" s="19" t="s">
        <v>798</v>
      </c>
      <c r="O3068" s="20" t="s">
        <v>798</v>
      </c>
      <c r="P3068" s="17" t="s">
        <v>802</v>
      </c>
      <c r="Q3068" s="21" t="s">
        <v>8692</v>
      </c>
      <c r="R3068" s="19" t="s">
        <v>798</v>
      </c>
      <c r="S3068" s="20" t="s">
        <v>798</v>
      </c>
      <c r="T3068" s="17" t="s">
        <v>798</v>
      </c>
      <c r="U3068" s="20" t="s">
        <v>798</v>
      </c>
      <c r="V3068" s="26" t="s">
        <v>798</v>
      </c>
      <c r="W3068" s="20" t="s">
        <v>798</v>
      </c>
      <c r="X3068" s="26" t="s">
        <v>798</v>
      </c>
      <c r="Y3068" s="20" t="s">
        <v>798</v>
      </c>
      <c r="Z3068" s="69" t="s">
        <v>9486</v>
      </c>
      <c r="AA3068" s="72" t="s">
        <v>9476</v>
      </c>
      <c r="AB3068" s="73" t="s">
        <v>9486</v>
      </c>
      <c r="AC3068" s="74" t="s">
        <v>9566</v>
      </c>
      <c r="AD3068" s="73" t="s">
        <v>9578</v>
      </c>
      <c r="AE3068" s="74" t="s">
        <v>9579</v>
      </c>
    </row>
    <row r="3069" spans="1:31" ht="8.65" customHeight="1" x14ac:dyDescent="0.2">
      <c r="A3069" s="76">
        <v>3069</v>
      </c>
      <c r="B3069" s="67" t="str">
        <f>MID(C3069, FIND("Ifc.", C3069) + 4, 4) &amp; "_" &amp; TEXT(COUNTIF($C$2:C3069, C3069),"0000")</f>
        <v>Enti_0202</v>
      </c>
      <c r="C3069" s="25" t="s">
        <v>874</v>
      </c>
      <c r="D3069" s="69" t="s">
        <v>9453</v>
      </c>
      <c r="E3069" s="70" t="s">
        <v>9457</v>
      </c>
      <c r="F3069" s="26" t="s">
        <v>798</v>
      </c>
      <c r="G3069" s="15" t="s">
        <v>798</v>
      </c>
      <c r="H3069" s="14" t="s">
        <v>798</v>
      </c>
      <c r="I3069" s="15" t="s">
        <v>798</v>
      </c>
      <c r="J3069" s="12" t="s">
        <v>9438</v>
      </c>
      <c r="K3069" s="16" t="s">
        <v>3141</v>
      </c>
      <c r="L3069" s="12" t="s">
        <v>800</v>
      </c>
      <c r="M3069" s="16" t="s">
        <v>4108</v>
      </c>
      <c r="N3069" s="19" t="s">
        <v>798</v>
      </c>
      <c r="O3069" s="20" t="s">
        <v>798</v>
      </c>
      <c r="P3069" s="17" t="s">
        <v>802</v>
      </c>
      <c r="Q3069" s="21" t="s">
        <v>8693</v>
      </c>
      <c r="R3069" s="19" t="s">
        <v>798</v>
      </c>
      <c r="S3069" s="20" t="s">
        <v>798</v>
      </c>
      <c r="T3069" s="17" t="s">
        <v>798</v>
      </c>
      <c r="U3069" s="20" t="s">
        <v>798</v>
      </c>
      <c r="V3069" s="26" t="s">
        <v>798</v>
      </c>
      <c r="W3069" s="20" t="s">
        <v>798</v>
      </c>
      <c r="X3069" s="26" t="s">
        <v>798</v>
      </c>
      <c r="Y3069" s="20" t="s">
        <v>798</v>
      </c>
      <c r="Z3069" s="69" t="s">
        <v>9486</v>
      </c>
      <c r="AA3069" s="72" t="s">
        <v>9483</v>
      </c>
      <c r="AB3069" s="73" t="s">
        <v>9486</v>
      </c>
      <c r="AC3069" s="74" t="s">
        <v>9566</v>
      </c>
      <c r="AD3069" s="73" t="s">
        <v>9578</v>
      </c>
      <c r="AE3069" s="74" t="s">
        <v>9579</v>
      </c>
    </row>
    <row r="3070" spans="1:31" ht="8.65" customHeight="1" x14ac:dyDescent="0.2">
      <c r="A3070" s="76">
        <v>3070</v>
      </c>
      <c r="B3070" s="67" t="str">
        <f>MID(C3070, FIND("Ifc.", C3070) + 4, 4) &amp; "_" &amp; TEXT(COUNTIF($C$2:C3070, C3070),"0000")</f>
        <v>Enti_0203</v>
      </c>
      <c r="C3070" s="25" t="s">
        <v>874</v>
      </c>
      <c r="D3070" s="69" t="s">
        <v>9453</v>
      </c>
      <c r="E3070" s="70" t="s">
        <v>9457</v>
      </c>
      <c r="F3070" s="26" t="s">
        <v>798</v>
      </c>
      <c r="G3070" s="15" t="s">
        <v>798</v>
      </c>
      <c r="H3070" s="14" t="s">
        <v>798</v>
      </c>
      <c r="I3070" s="15" t="s">
        <v>798</v>
      </c>
      <c r="J3070" s="12" t="s">
        <v>9438</v>
      </c>
      <c r="K3070" s="16" t="s">
        <v>3142</v>
      </c>
      <c r="L3070" s="12" t="s">
        <v>800</v>
      </c>
      <c r="M3070" s="16" t="s">
        <v>4109</v>
      </c>
      <c r="N3070" s="19" t="s">
        <v>798</v>
      </c>
      <c r="O3070" s="20" t="s">
        <v>798</v>
      </c>
      <c r="P3070" s="17" t="s">
        <v>802</v>
      </c>
      <c r="Q3070" s="21" t="s">
        <v>8694</v>
      </c>
      <c r="R3070" s="19" t="s">
        <v>798</v>
      </c>
      <c r="S3070" s="20" t="s">
        <v>798</v>
      </c>
      <c r="T3070" s="17" t="s">
        <v>798</v>
      </c>
      <c r="U3070" s="20" t="s">
        <v>798</v>
      </c>
      <c r="V3070" s="26" t="s">
        <v>798</v>
      </c>
      <c r="W3070" s="20" t="s">
        <v>798</v>
      </c>
      <c r="X3070" s="26" t="s">
        <v>798</v>
      </c>
      <c r="Y3070" s="20" t="s">
        <v>798</v>
      </c>
      <c r="Z3070" s="69" t="s">
        <v>9486</v>
      </c>
      <c r="AA3070" s="72" t="s">
        <v>9477</v>
      </c>
      <c r="AB3070" s="73" t="s">
        <v>9486</v>
      </c>
      <c r="AC3070" s="74" t="s">
        <v>9566</v>
      </c>
      <c r="AD3070" s="73" t="s">
        <v>9578</v>
      </c>
      <c r="AE3070" s="74" t="s">
        <v>9579</v>
      </c>
    </row>
    <row r="3071" spans="1:31" ht="8.65" customHeight="1" x14ac:dyDescent="0.2">
      <c r="A3071" s="76">
        <v>3071</v>
      </c>
      <c r="B3071" s="67" t="str">
        <f>MID(C3071, FIND("Ifc.", C3071) + 4, 4) &amp; "_" &amp; TEXT(COUNTIF($C$2:C3071, C3071),"0000")</f>
        <v>Enti_0204</v>
      </c>
      <c r="C3071" s="25" t="s">
        <v>874</v>
      </c>
      <c r="D3071" s="69" t="s">
        <v>9453</v>
      </c>
      <c r="E3071" s="70" t="s">
        <v>9457</v>
      </c>
      <c r="F3071" s="26" t="s">
        <v>798</v>
      </c>
      <c r="G3071" s="15" t="s">
        <v>798</v>
      </c>
      <c r="H3071" s="14" t="s">
        <v>798</v>
      </c>
      <c r="I3071" s="15" t="s">
        <v>798</v>
      </c>
      <c r="J3071" s="12" t="s">
        <v>9438</v>
      </c>
      <c r="K3071" s="16" t="s">
        <v>3143</v>
      </c>
      <c r="L3071" s="12" t="s">
        <v>800</v>
      </c>
      <c r="M3071" s="16" t="s">
        <v>4110</v>
      </c>
      <c r="N3071" s="19" t="s">
        <v>798</v>
      </c>
      <c r="O3071" s="20" t="s">
        <v>798</v>
      </c>
      <c r="P3071" s="17" t="s">
        <v>802</v>
      </c>
      <c r="Q3071" s="21" t="s">
        <v>8695</v>
      </c>
      <c r="R3071" s="19" t="s">
        <v>798</v>
      </c>
      <c r="S3071" s="20" t="s">
        <v>798</v>
      </c>
      <c r="T3071" s="17" t="s">
        <v>798</v>
      </c>
      <c r="U3071" s="20" t="s">
        <v>798</v>
      </c>
      <c r="V3071" s="26" t="s">
        <v>798</v>
      </c>
      <c r="W3071" s="20" t="s">
        <v>798</v>
      </c>
      <c r="X3071" s="26" t="s">
        <v>798</v>
      </c>
      <c r="Y3071" s="20" t="s">
        <v>798</v>
      </c>
      <c r="Z3071" s="69" t="s">
        <v>9486</v>
      </c>
      <c r="AA3071" s="72" t="s">
        <v>9476</v>
      </c>
      <c r="AB3071" s="73" t="s">
        <v>9486</v>
      </c>
      <c r="AC3071" s="74" t="s">
        <v>9566</v>
      </c>
      <c r="AD3071" s="73" t="s">
        <v>9578</v>
      </c>
      <c r="AE3071" s="74" t="s">
        <v>9579</v>
      </c>
    </row>
    <row r="3072" spans="1:31" ht="8.65" customHeight="1" x14ac:dyDescent="0.2">
      <c r="A3072" s="76">
        <v>3072</v>
      </c>
      <c r="B3072" s="67" t="str">
        <f>MID(C3072, FIND("Ifc.", C3072) + 4, 4) &amp; "_" &amp; TEXT(COUNTIF($C$2:C3072, C3072),"0000")</f>
        <v>Enti_0205</v>
      </c>
      <c r="C3072" s="25" t="s">
        <v>874</v>
      </c>
      <c r="D3072" s="69" t="s">
        <v>9453</v>
      </c>
      <c r="E3072" s="70" t="s">
        <v>9457</v>
      </c>
      <c r="F3072" s="26" t="s">
        <v>798</v>
      </c>
      <c r="G3072" s="15" t="s">
        <v>798</v>
      </c>
      <c r="H3072" s="14" t="s">
        <v>798</v>
      </c>
      <c r="I3072" s="15" t="s">
        <v>798</v>
      </c>
      <c r="J3072" s="12" t="s">
        <v>9438</v>
      </c>
      <c r="K3072" s="16" t="s">
        <v>3144</v>
      </c>
      <c r="L3072" s="12" t="s">
        <v>800</v>
      </c>
      <c r="M3072" s="16" t="s">
        <v>4111</v>
      </c>
      <c r="N3072" s="19" t="s">
        <v>798</v>
      </c>
      <c r="O3072" s="20" t="s">
        <v>798</v>
      </c>
      <c r="P3072" s="17" t="s">
        <v>802</v>
      </c>
      <c r="Q3072" s="21" t="s">
        <v>8696</v>
      </c>
      <c r="R3072" s="19" t="s">
        <v>798</v>
      </c>
      <c r="S3072" s="20" t="s">
        <v>798</v>
      </c>
      <c r="T3072" s="17" t="s">
        <v>798</v>
      </c>
      <c r="U3072" s="20" t="s">
        <v>798</v>
      </c>
      <c r="V3072" s="26" t="s">
        <v>798</v>
      </c>
      <c r="W3072" s="20" t="s">
        <v>798</v>
      </c>
      <c r="X3072" s="26" t="s">
        <v>798</v>
      </c>
      <c r="Y3072" s="20" t="s">
        <v>798</v>
      </c>
      <c r="Z3072" s="69" t="s">
        <v>9486</v>
      </c>
      <c r="AA3072" s="72" t="s">
        <v>9477</v>
      </c>
      <c r="AB3072" s="73" t="s">
        <v>9486</v>
      </c>
      <c r="AC3072" s="74" t="s">
        <v>9566</v>
      </c>
      <c r="AD3072" s="73" t="s">
        <v>9578</v>
      </c>
      <c r="AE3072" s="74" t="s">
        <v>9579</v>
      </c>
    </row>
    <row r="3073" spans="1:31" ht="8.65" customHeight="1" x14ac:dyDescent="0.2">
      <c r="A3073" s="76">
        <v>3073</v>
      </c>
      <c r="B3073" s="67" t="str">
        <f>MID(C3073, FIND("Ifc.", C3073) + 4, 4) &amp; "_" &amp; TEXT(COUNTIF($C$2:C3073, C3073),"0000")</f>
        <v>Enti_0206</v>
      </c>
      <c r="C3073" s="25" t="s">
        <v>874</v>
      </c>
      <c r="D3073" s="69" t="s">
        <v>9453</v>
      </c>
      <c r="E3073" s="70" t="s">
        <v>9457</v>
      </c>
      <c r="F3073" s="26" t="s">
        <v>798</v>
      </c>
      <c r="G3073" s="15" t="s">
        <v>798</v>
      </c>
      <c r="H3073" s="14" t="s">
        <v>798</v>
      </c>
      <c r="I3073" s="15" t="s">
        <v>798</v>
      </c>
      <c r="J3073" s="12" t="s">
        <v>9438</v>
      </c>
      <c r="K3073" s="16" t="s">
        <v>3145</v>
      </c>
      <c r="L3073" s="12" t="s">
        <v>800</v>
      </c>
      <c r="M3073" s="16" t="s">
        <v>4112</v>
      </c>
      <c r="N3073" s="19" t="s">
        <v>798</v>
      </c>
      <c r="O3073" s="20" t="s">
        <v>798</v>
      </c>
      <c r="P3073" s="17" t="s">
        <v>802</v>
      </c>
      <c r="Q3073" s="21" t="s">
        <v>8697</v>
      </c>
      <c r="R3073" s="19" t="s">
        <v>798</v>
      </c>
      <c r="S3073" s="20" t="s">
        <v>798</v>
      </c>
      <c r="T3073" s="17" t="s">
        <v>798</v>
      </c>
      <c r="U3073" s="20" t="s">
        <v>798</v>
      </c>
      <c r="V3073" s="26" t="s">
        <v>798</v>
      </c>
      <c r="W3073" s="20" t="s">
        <v>798</v>
      </c>
      <c r="X3073" s="26" t="s">
        <v>798</v>
      </c>
      <c r="Y3073" s="20" t="s">
        <v>798</v>
      </c>
      <c r="Z3073" s="69" t="s">
        <v>9486</v>
      </c>
      <c r="AA3073" s="72" t="s">
        <v>9476</v>
      </c>
      <c r="AB3073" s="73" t="s">
        <v>9486</v>
      </c>
      <c r="AC3073" s="74" t="s">
        <v>9566</v>
      </c>
      <c r="AD3073" s="73" t="s">
        <v>9578</v>
      </c>
      <c r="AE3073" s="74" t="s">
        <v>9579</v>
      </c>
    </row>
    <row r="3074" spans="1:31" ht="8.65" customHeight="1" x14ac:dyDescent="0.2">
      <c r="A3074" s="76">
        <v>3074</v>
      </c>
      <c r="B3074" s="67" t="str">
        <f>MID(C3074, FIND("Ifc.", C3074) + 4, 4) &amp; "_" &amp; TEXT(COUNTIF($C$2:C3074, C3074),"0000")</f>
        <v>Enti_0207</v>
      </c>
      <c r="C3074" s="25" t="s">
        <v>874</v>
      </c>
      <c r="D3074" s="69" t="s">
        <v>9453</v>
      </c>
      <c r="E3074" s="70" t="s">
        <v>9457</v>
      </c>
      <c r="F3074" s="26" t="s">
        <v>798</v>
      </c>
      <c r="G3074" s="15" t="s">
        <v>798</v>
      </c>
      <c r="H3074" s="14" t="s">
        <v>798</v>
      </c>
      <c r="I3074" s="15" t="s">
        <v>798</v>
      </c>
      <c r="J3074" s="12" t="s">
        <v>9438</v>
      </c>
      <c r="K3074" s="16" t="s">
        <v>3146</v>
      </c>
      <c r="L3074" s="12" t="s">
        <v>800</v>
      </c>
      <c r="M3074" s="16" t="s">
        <v>4113</v>
      </c>
      <c r="N3074" s="19" t="s">
        <v>798</v>
      </c>
      <c r="O3074" s="20" t="s">
        <v>798</v>
      </c>
      <c r="P3074" s="17" t="s">
        <v>802</v>
      </c>
      <c r="Q3074" s="21" t="s">
        <v>8698</v>
      </c>
      <c r="R3074" s="19" t="s">
        <v>798</v>
      </c>
      <c r="S3074" s="20" t="s">
        <v>798</v>
      </c>
      <c r="T3074" s="17" t="s">
        <v>798</v>
      </c>
      <c r="U3074" s="20" t="s">
        <v>798</v>
      </c>
      <c r="V3074" s="26" t="s">
        <v>798</v>
      </c>
      <c r="W3074" s="20" t="s">
        <v>798</v>
      </c>
      <c r="X3074" s="26" t="s">
        <v>798</v>
      </c>
      <c r="Y3074" s="20" t="s">
        <v>798</v>
      </c>
      <c r="Z3074" s="69" t="s">
        <v>9486</v>
      </c>
      <c r="AA3074" s="72" t="s">
        <v>9476</v>
      </c>
      <c r="AB3074" s="73" t="s">
        <v>9486</v>
      </c>
      <c r="AC3074" s="74" t="s">
        <v>9566</v>
      </c>
      <c r="AD3074" s="73" t="s">
        <v>9578</v>
      </c>
      <c r="AE3074" s="74" t="s">
        <v>9579</v>
      </c>
    </row>
    <row r="3075" spans="1:31" ht="8.65" customHeight="1" x14ac:dyDescent="0.2">
      <c r="A3075" s="76">
        <v>3075</v>
      </c>
      <c r="B3075" s="67" t="str">
        <f>MID(C3075, FIND("Ifc.", C3075) + 4, 4) &amp; "_" &amp; TEXT(COUNTIF($C$2:C3075, C3075),"0000")</f>
        <v>Enti_0208</v>
      </c>
      <c r="C3075" s="25" t="s">
        <v>874</v>
      </c>
      <c r="D3075" s="69" t="s">
        <v>9453</v>
      </c>
      <c r="E3075" s="70" t="s">
        <v>9457</v>
      </c>
      <c r="F3075" s="26" t="s">
        <v>798</v>
      </c>
      <c r="G3075" s="15" t="s">
        <v>798</v>
      </c>
      <c r="H3075" s="14" t="s">
        <v>798</v>
      </c>
      <c r="I3075" s="15" t="s">
        <v>798</v>
      </c>
      <c r="J3075" s="12" t="s">
        <v>9438</v>
      </c>
      <c r="K3075" s="16" t="s">
        <v>3147</v>
      </c>
      <c r="L3075" s="12" t="s">
        <v>800</v>
      </c>
      <c r="M3075" s="16" t="s">
        <v>4114</v>
      </c>
      <c r="N3075" s="19" t="s">
        <v>798</v>
      </c>
      <c r="O3075" s="20" t="s">
        <v>798</v>
      </c>
      <c r="P3075" s="17" t="s">
        <v>802</v>
      </c>
      <c r="Q3075" s="21" t="s">
        <v>8699</v>
      </c>
      <c r="R3075" s="19" t="s">
        <v>798</v>
      </c>
      <c r="S3075" s="20" t="s">
        <v>798</v>
      </c>
      <c r="T3075" s="17" t="s">
        <v>798</v>
      </c>
      <c r="U3075" s="20" t="s">
        <v>798</v>
      </c>
      <c r="V3075" s="26" t="s">
        <v>798</v>
      </c>
      <c r="W3075" s="20" t="s">
        <v>798</v>
      </c>
      <c r="X3075" s="26" t="s">
        <v>798</v>
      </c>
      <c r="Y3075" s="20" t="s">
        <v>798</v>
      </c>
      <c r="Z3075" s="69" t="s">
        <v>9486</v>
      </c>
      <c r="AA3075" s="72" t="s">
        <v>9477</v>
      </c>
      <c r="AB3075" s="73" t="s">
        <v>9486</v>
      </c>
      <c r="AC3075" s="74" t="s">
        <v>9566</v>
      </c>
      <c r="AD3075" s="73" t="s">
        <v>9578</v>
      </c>
      <c r="AE3075" s="74" t="s">
        <v>9579</v>
      </c>
    </row>
    <row r="3076" spans="1:31" ht="8.65" customHeight="1" x14ac:dyDescent="0.2">
      <c r="A3076" s="76">
        <v>3076</v>
      </c>
      <c r="B3076" s="67" t="str">
        <f>MID(C3076, FIND("Ifc.", C3076) + 4, 4) &amp; "_" &amp; TEXT(COUNTIF($C$2:C3076, C3076),"0000")</f>
        <v>Enti_0209</v>
      </c>
      <c r="C3076" s="25" t="s">
        <v>874</v>
      </c>
      <c r="D3076" s="69" t="s">
        <v>9453</v>
      </c>
      <c r="E3076" s="70" t="s">
        <v>9457</v>
      </c>
      <c r="F3076" s="26" t="s">
        <v>798</v>
      </c>
      <c r="G3076" s="15" t="s">
        <v>798</v>
      </c>
      <c r="H3076" s="14" t="s">
        <v>798</v>
      </c>
      <c r="I3076" s="15" t="s">
        <v>798</v>
      </c>
      <c r="J3076" s="12" t="s">
        <v>9438</v>
      </c>
      <c r="K3076" s="16" t="s">
        <v>3148</v>
      </c>
      <c r="L3076" s="12" t="s">
        <v>800</v>
      </c>
      <c r="M3076" s="16" t="s">
        <v>4115</v>
      </c>
      <c r="N3076" s="19" t="s">
        <v>798</v>
      </c>
      <c r="O3076" s="20" t="s">
        <v>798</v>
      </c>
      <c r="P3076" s="17" t="s">
        <v>802</v>
      </c>
      <c r="Q3076" s="21" t="s">
        <v>8700</v>
      </c>
      <c r="R3076" s="19" t="s">
        <v>798</v>
      </c>
      <c r="S3076" s="20" t="s">
        <v>798</v>
      </c>
      <c r="T3076" s="17" t="s">
        <v>798</v>
      </c>
      <c r="U3076" s="20" t="s">
        <v>798</v>
      </c>
      <c r="V3076" s="26" t="s">
        <v>798</v>
      </c>
      <c r="W3076" s="20" t="s">
        <v>798</v>
      </c>
      <c r="X3076" s="26" t="s">
        <v>798</v>
      </c>
      <c r="Y3076" s="20" t="s">
        <v>798</v>
      </c>
      <c r="Z3076" s="69" t="s">
        <v>9486</v>
      </c>
      <c r="AA3076" s="72" t="s">
        <v>9477</v>
      </c>
      <c r="AB3076" s="73" t="s">
        <v>9486</v>
      </c>
      <c r="AC3076" s="74" t="s">
        <v>9566</v>
      </c>
      <c r="AD3076" s="73" t="s">
        <v>9578</v>
      </c>
      <c r="AE3076" s="74" t="s">
        <v>9579</v>
      </c>
    </row>
    <row r="3077" spans="1:31" ht="8.65" customHeight="1" x14ac:dyDescent="0.2">
      <c r="A3077" s="76">
        <v>3077</v>
      </c>
      <c r="B3077" s="67" t="str">
        <f>MID(C3077, FIND("Ifc.", C3077) + 4, 4) &amp; "_" &amp; TEXT(COUNTIF($C$2:C3077, C3077),"0000")</f>
        <v>Enti_0210</v>
      </c>
      <c r="C3077" s="25" t="s">
        <v>874</v>
      </c>
      <c r="D3077" s="69" t="s">
        <v>9453</v>
      </c>
      <c r="E3077" s="70" t="s">
        <v>9457</v>
      </c>
      <c r="F3077" s="26" t="s">
        <v>798</v>
      </c>
      <c r="G3077" s="15" t="s">
        <v>798</v>
      </c>
      <c r="H3077" s="14" t="s">
        <v>798</v>
      </c>
      <c r="I3077" s="15" t="s">
        <v>798</v>
      </c>
      <c r="J3077" s="12" t="s">
        <v>9438</v>
      </c>
      <c r="K3077" s="16" t="s">
        <v>3149</v>
      </c>
      <c r="L3077" s="12" t="s">
        <v>800</v>
      </c>
      <c r="M3077" s="16" t="s">
        <v>4116</v>
      </c>
      <c r="N3077" s="19" t="s">
        <v>798</v>
      </c>
      <c r="O3077" s="20" t="s">
        <v>798</v>
      </c>
      <c r="P3077" s="17" t="s">
        <v>802</v>
      </c>
      <c r="Q3077" s="21" t="s">
        <v>8701</v>
      </c>
      <c r="R3077" s="19" t="s">
        <v>798</v>
      </c>
      <c r="S3077" s="20" t="s">
        <v>798</v>
      </c>
      <c r="T3077" s="17" t="s">
        <v>798</v>
      </c>
      <c r="U3077" s="20" t="s">
        <v>798</v>
      </c>
      <c r="V3077" s="26" t="s">
        <v>798</v>
      </c>
      <c r="W3077" s="20" t="s">
        <v>798</v>
      </c>
      <c r="X3077" s="26" t="s">
        <v>798</v>
      </c>
      <c r="Y3077" s="20" t="s">
        <v>798</v>
      </c>
      <c r="Z3077" s="69" t="s">
        <v>9486</v>
      </c>
      <c r="AA3077" s="72" t="s">
        <v>9498</v>
      </c>
      <c r="AB3077" s="73" t="s">
        <v>9486</v>
      </c>
      <c r="AC3077" s="74" t="s">
        <v>9566</v>
      </c>
      <c r="AD3077" s="73" t="s">
        <v>9578</v>
      </c>
      <c r="AE3077" s="74" t="s">
        <v>9579</v>
      </c>
    </row>
    <row r="3078" spans="1:31" ht="8.65" customHeight="1" x14ac:dyDescent="0.2">
      <c r="A3078" s="76">
        <v>3078</v>
      </c>
      <c r="B3078" s="67" t="str">
        <f>MID(C3078, FIND("Ifc.", C3078) + 4, 4) &amp; "_" &amp; TEXT(COUNTIF($C$2:C3078, C3078),"0000")</f>
        <v>Enti_0211</v>
      </c>
      <c r="C3078" s="25" t="s">
        <v>874</v>
      </c>
      <c r="D3078" s="69" t="s">
        <v>9453</v>
      </c>
      <c r="E3078" s="70" t="s">
        <v>9457</v>
      </c>
      <c r="F3078" s="26" t="s">
        <v>798</v>
      </c>
      <c r="G3078" s="15" t="s">
        <v>798</v>
      </c>
      <c r="H3078" s="14" t="s">
        <v>798</v>
      </c>
      <c r="I3078" s="15" t="s">
        <v>798</v>
      </c>
      <c r="J3078" s="12" t="s">
        <v>9438</v>
      </c>
      <c r="K3078" s="16" t="s">
        <v>3150</v>
      </c>
      <c r="L3078" s="12" t="s">
        <v>800</v>
      </c>
      <c r="M3078" s="16" t="s">
        <v>4117</v>
      </c>
      <c r="N3078" s="19" t="s">
        <v>798</v>
      </c>
      <c r="O3078" s="20" t="s">
        <v>798</v>
      </c>
      <c r="P3078" s="17" t="s">
        <v>802</v>
      </c>
      <c r="Q3078" s="21" t="s">
        <v>8702</v>
      </c>
      <c r="R3078" s="19" t="s">
        <v>798</v>
      </c>
      <c r="S3078" s="20" t="s">
        <v>798</v>
      </c>
      <c r="T3078" s="17" t="s">
        <v>798</v>
      </c>
      <c r="U3078" s="20" t="s">
        <v>798</v>
      </c>
      <c r="V3078" s="26" t="s">
        <v>798</v>
      </c>
      <c r="W3078" s="20" t="s">
        <v>798</v>
      </c>
      <c r="X3078" s="26" t="s">
        <v>798</v>
      </c>
      <c r="Y3078" s="20" t="s">
        <v>798</v>
      </c>
      <c r="Z3078" s="69" t="s">
        <v>9486</v>
      </c>
      <c r="AA3078" s="72" t="s">
        <v>9498</v>
      </c>
      <c r="AB3078" s="73" t="s">
        <v>9486</v>
      </c>
      <c r="AC3078" s="74" t="s">
        <v>9566</v>
      </c>
      <c r="AD3078" s="73" t="s">
        <v>9578</v>
      </c>
      <c r="AE3078" s="74" t="s">
        <v>9579</v>
      </c>
    </row>
    <row r="3079" spans="1:31" ht="8.65" customHeight="1" x14ac:dyDescent="0.2">
      <c r="A3079" s="76">
        <v>3079</v>
      </c>
      <c r="B3079" s="67" t="str">
        <f>MID(C3079, FIND("Ifc.", C3079) + 4, 4) &amp; "_" &amp; TEXT(COUNTIF($C$2:C3079, C3079),"0000")</f>
        <v>Enti_0212</v>
      </c>
      <c r="C3079" s="25" t="s">
        <v>874</v>
      </c>
      <c r="D3079" s="69" t="s">
        <v>9453</v>
      </c>
      <c r="E3079" s="70" t="s">
        <v>9457</v>
      </c>
      <c r="F3079" s="26" t="s">
        <v>798</v>
      </c>
      <c r="G3079" s="15" t="s">
        <v>798</v>
      </c>
      <c r="H3079" s="14" t="s">
        <v>798</v>
      </c>
      <c r="I3079" s="15" t="s">
        <v>798</v>
      </c>
      <c r="J3079" s="12" t="s">
        <v>9438</v>
      </c>
      <c r="K3079" s="16" t="s">
        <v>3151</v>
      </c>
      <c r="L3079" s="12" t="s">
        <v>800</v>
      </c>
      <c r="M3079" s="16" t="s">
        <v>4118</v>
      </c>
      <c r="N3079" s="19" t="s">
        <v>798</v>
      </c>
      <c r="O3079" s="20" t="s">
        <v>798</v>
      </c>
      <c r="P3079" s="17" t="s">
        <v>802</v>
      </c>
      <c r="Q3079" s="21" t="s">
        <v>8703</v>
      </c>
      <c r="R3079" s="19" t="s">
        <v>798</v>
      </c>
      <c r="S3079" s="20" t="s">
        <v>798</v>
      </c>
      <c r="T3079" s="17" t="s">
        <v>798</v>
      </c>
      <c r="U3079" s="20" t="s">
        <v>798</v>
      </c>
      <c r="V3079" s="26" t="s">
        <v>798</v>
      </c>
      <c r="W3079" s="20" t="s">
        <v>798</v>
      </c>
      <c r="X3079" s="26" t="s">
        <v>798</v>
      </c>
      <c r="Y3079" s="20" t="s">
        <v>798</v>
      </c>
      <c r="Z3079" s="69" t="s">
        <v>9486</v>
      </c>
      <c r="AA3079" s="72" t="s">
        <v>9499</v>
      </c>
      <c r="AB3079" s="73" t="s">
        <v>9486</v>
      </c>
      <c r="AC3079" s="74" t="s">
        <v>9566</v>
      </c>
      <c r="AD3079" s="73" t="s">
        <v>9578</v>
      </c>
      <c r="AE3079" s="74" t="s">
        <v>9579</v>
      </c>
    </row>
    <row r="3080" spans="1:31" ht="8.65" customHeight="1" x14ac:dyDescent="0.2">
      <c r="A3080" s="76">
        <v>3080</v>
      </c>
      <c r="B3080" s="67" t="str">
        <f>MID(C3080, FIND("Ifc.", C3080) + 4, 4) &amp; "_" &amp; TEXT(COUNTIF($C$2:C3080, C3080),"0000")</f>
        <v>Enti_0213</v>
      </c>
      <c r="C3080" s="25" t="s">
        <v>874</v>
      </c>
      <c r="D3080" s="69" t="s">
        <v>9453</v>
      </c>
      <c r="E3080" s="70" t="s">
        <v>9457</v>
      </c>
      <c r="F3080" s="26" t="s">
        <v>798</v>
      </c>
      <c r="G3080" s="15" t="s">
        <v>798</v>
      </c>
      <c r="H3080" s="14" t="s">
        <v>798</v>
      </c>
      <c r="I3080" s="15" t="s">
        <v>798</v>
      </c>
      <c r="J3080" s="12" t="s">
        <v>9438</v>
      </c>
      <c r="K3080" s="16" t="s">
        <v>3152</v>
      </c>
      <c r="L3080" s="12" t="s">
        <v>800</v>
      </c>
      <c r="M3080" s="16" t="s">
        <v>4119</v>
      </c>
      <c r="N3080" s="19" t="s">
        <v>798</v>
      </c>
      <c r="O3080" s="20" t="s">
        <v>798</v>
      </c>
      <c r="P3080" s="17" t="s">
        <v>802</v>
      </c>
      <c r="Q3080" s="21" t="s">
        <v>8704</v>
      </c>
      <c r="R3080" s="19" t="s">
        <v>798</v>
      </c>
      <c r="S3080" s="20" t="s">
        <v>798</v>
      </c>
      <c r="T3080" s="17" t="s">
        <v>798</v>
      </c>
      <c r="U3080" s="20" t="s">
        <v>798</v>
      </c>
      <c r="V3080" s="26" t="s">
        <v>798</v>
      </c>
      <c r="W3080" s="20" t="s">
        <v>798</v>
      </c>
      <c r="X3080" s="26" t="s">
        <v>798</v>
      </c>
      <c r="Y3080" s="20" t="s">
        <v>798</v>
      </c>
      <c r="Z3080" s="69" t="s">
        <v>9486</v>
      </c>
      <c r="AA3080" s="72" t="s">
        <v>9476</v>
      </c>
      <c r="AB3080" s="73" t="s">
        <v>9486</v>
      </c>
      <c r="AC3080" s="74" t="s">
        <v>9566</v>
      </c>
      <c r="AD3080" s="73" t="s">
        <v>9578</v>
      </c>
      <c r="AE3080" s="74" t="s">
        <v>9579</v>
      </c>
    </row>
    <row r="3081" spans="1:31" ht="8.65" customHeight="1" x14ac:dyDescent="0.2">
      <c r="A3081" s="76">
        <v>3081</v>
      </c>
      <c r="B3081" s="67" t="str">
        <f>MID(C3081, FIND("Ifc.", C3081) + 4, 4) &amp; "_" &amp; TEXT(COUNTIF($C$2:C3081, C3081),"0000")</f>
        <v>Enti_0214</v>
      </c>
      <c r="C3081" s="25" t="s">
        <v>874</v>
      </c>
      <c r="D3081" s="69" t="s">
        <v>9453</v>
      </c>
      <c r="E3081" s="70" t="s">
        <v>9457</v>
      </c>
      <c r="F3081" s="26" t="s">
        <v>798</v>
      </c>
      <c r="G3081" s="15" t="s">
        <v>798</v>
      </c>
      <c r="H3081" s="14" t="s">
        <v>798</v>
      </c>
      <c r="I3081" s="15" t="s">
        <v>798</v>
      </c>
      <c r="J3081" s="12" t="s">
        <v>9438</v>
      </c>
      <c r="K3081" s="16" t="s">
        <v>3153</v>
      </c>
      <c r="L3081" s="12" t="s">
        <v>800</v>
      </c>
      <c r="M3081" s="16" t="s">
        <v>4120</v>
      </c>
      <c r="N3081" s="19" t="s">
        <v>798</v>
      </c>
      <c r="O3081" s="20" t="s">
        <v>798</v>
      </c>
      <c r="P3081" s="17" t="s">
        <v>802</v>
      </c>
      <c r="Q3081" s="21" t="s">
        <v>8705</v>
      </c>
      <c r="R3081" s="19" t="s">
        <v>798</v>
      </c>
      <c r="S3081" s="20" t="s">
        <v>798</v>
      </c>
      <c r="T3081" s="17" t="s">
        <v>798</v>
      </c>
      <c r="U3081" s="20" t="s">
        <v>798</v>
      </c>
      <c r="V3081" s="26" t="s">
        <v>798</v>
      </c>
      <c r="W3081" s="20" t="s">
        <v>798</v>
      </c>
      <c r="X3081" s="26" t="s">
        <v>798</v>
      </c>
      <c r="Y3081" s="20" t="s">
        <v>798</v>
      </c>
      <c r="Z3081" s="69" t="s">
        <v>9486</v>
      </c>
      <c r="AA3081" s="72" t="s">
        <v>9476</v>
      </c>
      <c r="AB3081" s="73" t="s">
        <v>9486</v>
      </c>
      <c r="AC3081" s="74" t="s">
        <v>9566</v>
      </c>
      <c r="AD3081" s="73" t="s">
        <v>9578</v>
      </c>
      <c r="AE3081" s="74" t="s">
        <v>9579</v>
      </c>
    </row>
    <row r="3082" spans="1:31" ht="8.65" customHeight="1" x14ac:dyDescent="0.2">
      <c r="A3082" s="76">
        <v>3082</v>
      </c>
      <c r="B3082" s="67" t="str">
        <f>MID(C3082, FIND("Ifc.", C3082) + 4, 4) &amp; "_" &amp; TEXT(COUNTIF($C$2:C3082, C3082),"0000")</f>
        <v>Enti_0215</v>
      </c>
      <c r="C3082" s="25" t="s">
        <v>874</v>
      </c>
      <c r="D3082" s="69" t="s">
        <v>9453</v>
      </c>
      <c r="E3082" s="70" t="s">
        <v>9457</v>
      </c>
      <c r="F3082" s="26" t="s">
        <v>798</v>
      </c>
      <c r="G3082" s="15" t="s">
        <v>798</v>
      </c>
      <c r="H3082" s="14" t="s">
        <v>798</v>
      </c>
      <c r="I3082" s="15" t="s">
        <v>798</v>
      </c>
      <c r="J3082" s="12" t="s">
        <v>9438</v>
      </c>
      <c r="K3082" s="16" t="s">
        <v>3154</v>
      </c>
      <c r="L3082" s="12" t="s">
        <v>800</v>
      </c>
      <c r="M3082" s="16" t="s">
        <v>4121</v>
      </c>
      <c r="N3082" s="19" t="s">
        <v>798</v>
      </c>
      <c r="O3082" s="20" t="s">
        <v>798</v>
      </c>
      <c r="P3082" s="17" t="s">
        <v>802</v>
      </c>
      <c r="Q3082" s="21" t="s">
        <v>8706</v>
      </c>
      <c r="R3082" s="19" t="s">
        <v>798</v>
      </c>
      <c r="S3082" s="20" t="s">
        <v>798</v>
      </c>
      <c r="T3082" s="17" t="s">
        <v>798</v>
      </c>
      <c r="U3082" s="20" t="s">
        <v>798</v>
      </c>
      <c r="V3082" s="26" t="s">
        <v>798</v>
      </c>
      <c r="W3082" s="20" t="s">
        <v>798</v>
      </c>
      <c r="X3082" s="26" t="s">
        <v>798</v>
      </c>
      <c r="Y3082" s="20" t="s">
        <v>798</v>
      </c>
      <c r="Z3082" s="69" t="s">
        <v>9486</v>
      </c>
      <c r="AA3082" s="72" t="s">
        <v>9477</v>
      </c>
      <c r="AB3082" s="73" t="s">
        <v>9486</v>
      </c>
      <c r="AC3082" s="74" t="s">
        <v>9566</v>
      </c>
      <c r="AD3082" s="73" t="s">
        <v>9578</v>
      </c>
      <c r="AE3082" s="74" t="s">
        <v>9579</v>
      </c>
    </row>
    <row r="3083" spans="1:31" ht="8.65" customHeight="1" x14ac:dyDescent="0.2">
      <c r="A3083" s="76">
        <v>3083</v>
      </c>
      <c r="B3083" s="67" t="str">
        <f>MID(C3083, FIND("Ifc.", C3083) + 4, 4) &amp; "_" &amp; TEXT(COUNTIF($C$2:C3083, C3083),"0000")</f>
        <v>Enti_0216</v>
      </c>
      <c r="C3083" s="25" t="s">
        <v>874</v>
      </c>
      <c r="D3083" s="69" t="s">
        <v>9453</v>
      </c>
      <c r="E3083" s="70" t="s">
        <v>9457</v>
      </c>
      <c r="F3083" s="26" t="s">
        <v>798</v>
      </c>
      <c r="G3083" s="15" t="s">
        <v>798</v>
      </c>
      <c r="H3083" s="14" t="s">
        <v>798</v>
      </c>
      <c r="I3083" s="15" t="s">
        <v>798</v>
      </c>
      <c r="J3083" s="12" t="s">
        <v>9438</v>
      </c>
      <c r="K3083" s="16" t="s">
        <v>3155</v>
      </c>
      <c r="L3083" s="12" t="s">
        <v>800</v>
      </c>
      <c r="M3083" s="16" t="s">
        <v>4122</v>
      </c>
      <c r="N3083" s="19" t="s">
        <v>798</v>
      </c>
      <c r="O3083" s="20" t="s">
        <v>798</v>
      </c>
      <c r="P3083" s="17" t="s">
        <v>802</v>
      </c>
      <c r="Q3083" s="21" t="s">
        <v>8707</v>
      </c>
      <c r="R3083" s="19" t="s">
        <v>798</v>
      </c>
      <c r="S3083" s="20" t="s">
        <v>798</v>
      </c>
      <c r="T3083" s="17" t="s">
        <v>798</v>
      </c>
      <c r="U3083" s="20" t="s">
        <v>798</v>
      </c>
      <c r="V3083" s="26" t="s">
        <v>798</v>
      </c>
      <c r="W3083" s="20" t="s">
        <v>798</v>
      </c>
      <c r="X3083" s="26" t="s">
        <v>798</v>
      </c>
      <c r="Y3083" s="20" t="s">
        <v>798</v>
      </c>
      <c r="Z3083" s="69" t="s">
        <v>9486</v>
      </c>
      <c r="AA3083" s="72" t="s">
        <v>9498</v>
      </c>
      <c r="AB3083" s="73" t="s">
        <v>9486</v>
      </c>
      <c r="AC3083" s="74" t="s">
        <v>9566</v>
      </c>
      <c r="AD3083" s="73" t="s">
        <v>9578</v>
      </c>
      <c r="AE3083" s="74" t="s">
        <v>9579</v>
      </c>
    </row>
    <row r="3084" spans="1:31" ht="8.65" customHeight="1" x14ac:dyDescent="0.2">
      <c r="A3084" s="76">
        <v>3084</v>
      </c>
      <c r="B3084" s="67" t="str">
        <f>MID(C3084, FIND("Ifc.", C3084) + 4, 4) &amp; "_" &amp; TEXT(COUNTIF($C$2:C3084, C3084),"0000")</f>
        <v>Enti_0217</v>
      </c>
      <c r="C3084" s="25" t="s">
        <v>874</v>
      </c>
      <c r="D3084" s="69" t="s">
        <v>9453</v>
      </c>
      <c r="E3084" s="70" t="s">
        <v>9457</v>
      </c>
      <c r="F3084" s="26" t="s">
        <v>798</v>
      </c>
      <c r="G3084" s="15" t="s">
        <v>798</v>
      </c>
      <c r="H3084" s="14" t="s">
        <v>798</v>
      </c>
      <c r="I3084" s="15" t="s">
        <v>798</v>
      </c>
      <c r="J3084" s="12" t="s">
        <v>9438</v>
      </c>
      <c r="K3084" s="16" t="s">
        <v>3156</v>
      </c>
      <c r="L3084" s="12" t="s">
        <v>800</v>
      </c>
      <c r="M3084" s="16" t="s">
        <v>4123</v>
      </c>
      <c r="N3084" s="19" t="s">
        <v>798</v>
      </c>
      <c r="O3084" s="20" t="s">
        <v>798</v>
      </c>
      <c r="P3084" s="17" t="s">
        <v>802</v>
      </c>
      <c r="Q3084" s="21" t="s">
        <v>8708</v>
      </c>
      <c r="R3084" s="19" t="s">
        <v>798</v>
      </c>
      <c r="S3084" s="20" t="s">
        <v>798</v>
      </c>
      <c r="T3084" s="17" t="s">
        <v>798</v>
      </c>
      <c r="U3084" s="20" t="s">
        <v>798</v>
      </c>
      <c r="V3084" s="26" t="s">
        <v>798</v>
      </c>
      <c r="W3084" s="20" t="s">
        <v>798</v>
      </c>
      <c r="X3084" s="26" t="s">
        <v>798</v>
      </c>
      <c r="Y3084" s="20" t="s">
        <v>798</v>
      </c>
      <c r="Z3084" s="69" t="s">
        <v>9486</v>
      </c>
      <c r="AA3084" s="72" t="s">
        <v>9482</v>
      </c>
      <c r="AB3084" s="73" t="s">
        <v>9486</v>
      </c>
      <c r="AC3084" s="74" t="s">
        <v>9566</v>
      </c>
      <c r="AD3084" s="73" t="s">
        <v>9578</v>
      </c>
      <c r="AE3084" s="74" t="s">
        <v>9579</v>
      </c>
    </row>
    <row r="3085" spans="1:31" ht="8.65" customHeight="1" x14ac:dyDescent="0.2">
      <c r="A3085" s="76">
        <v>3085</v>
      </c>
      <c r="B3085" s="67" t="str">
        <f>MID(C3085, FIND("Ifc.", C3085) + 4, 4) &amp; "_" &amp; TEXT(COUNTIF($C$2:C3085, C3085),"0000")</f>
        <v>Enti_0218</v>
      </c>
      <c r="C3085" s="25" t="s">
        <v>874</v>
      </c>
      <c r="D3085" s="69" t="s">
        <v>9453</v>
      </c>
      <c r="E3085" s="70" t="s">
        <v>9457</v>
      </c>
      <c r="F3085" s="26" t="s">
        <v>798</v>
      </c>
      <c r="G3085" s="15" t="s">
        <v>798</v>
      </c>
      <c r="H3085" s="14" t="s">
        <v>798</v>
      </c>
      <c r="I3085" s="15" t="s">
        <v>798</v>
      </c>
      <c r="J3085" s="12" t="s">
        <v>9438</v>
      </c>
      <c r="K3085" s="16" t="s">
        <v>3157</v>
      </c>
      <c r="L3085" s="12" t="s">
        <v>800</v>
      </c>
      <c r="M3085" s="16" t="s">
        <v>4124</v>
      </c>
      <c r="N3085" s="19" t="s">
        <v>798</v>
      </c>
      <c r="O3085" s="20" t="s">
        <v>798</v>
      </c>
      <c r="P3085" s="17" t="s">
        <v>802</v>
      </c>
      <c r="Q3085" s="21" t="s">
        <v>8709</v>
      </c>
      <c r="R3085" s="19" t="s">
        <v>798</v>
      </c>
      <c r="S3085" s="20" t="s">
        <v>798</v>
      </c>
      <c r="T3085" s="17" t="s">
        <v>798</v>
      </c>
      <c r="U3085" s="20" t="s">
        <v>798</v>
      </c>
      <c r="V3085" s="26" t="s">
        <v>798</v>
      </c>
      <c r="W3085" s="20" t="s">
        <v>798</v>
      </c>
      <c r="X3085" s="26" t="s">
        <v>798</v>
      </c>
      <c r="Y3085" s="20" t="s">
        <v>798</v>
      </c>
      <c r="Z3085" s="69" t="s">
        <v>9486</v>
      </c>
      <c r="AA3085" s="72" t="s">
        <v>9499</v>
      </c>
      <c r="AB3085" s="73" t="s">
        <v>9486</v>
      </c>
      <c r="AC3085" s="74" t="s">
        <v>9566</v>
      </c>
      <c r="AD3085" s="73" t="s">
        <v>9578</v>
      </c>
      <c r="AE3085" s="74" t="s">
        <v>9579</v>
      </c>
    </row>
    <row r="3086" spans="1:31" ht="8.65" customHeight="1" x14ac:dyDescent="0.2">
      <c r="A3086" s="76">
        <v>3086</v>
      </c>
      <c r="B3086" s="67" t="str">
        <f>MID(C3086, FIND("Ifc.", C3086) + 4, 4) &amp; "_" &amp; TEXT(COUNTIF($C$2:C3086, C3086),"0000")</f>
        <v>Enti_0219</v>
      </c>
      <c r="C3086" s="25" t="s">
        <v>874</v>
      </c>
      <c r="D3086" s="69" t="s">
        <v>9453</v>
      </c>
      <c r="E3086" s="70" t="s">
        <v>9457</v>
      </c>
      <c r="F3086" s="26" t="s">
        <v>798</v>
      </c>
      <c r="G3086" s="15" t="s">
        <v>798</v>
      </c>
      <c r="H3086" s="14" t="s">
        <v>798</v>
      </c>
      <c r="I3086" s="15" t="s">
        <v>798</v>
      </c>
      <c r="J3086" s="12" t="s">
        <v>9438</v>
      </c>
      <c r="K3086" s="16" t="s">
        <v>3158</v>
      </c>
      <c r="L3086" s="12" t="s">
        <v>800</v>
      </c>
      <c r="M3086" s="16" t="s">
        <v>4125</v>
      </c>
      <c r="N3086" s="19" t="s">
        <v>798</v>
      </c>
      <c r="O3086" s="20" t="s">
        <v>798</v>
      </c>
      <c r="P3086" s="17" t="s">
        <v>802</v>
      </c>
      <c r="Q3086" s="21" t="s">
        <v>8710</v>
      </c>
      <c r="R3086" s="19" t="s">
        <v>798</v>
      </c>
      <c r="S3086" s="20" t="s">
        <v>798</v>
      </c>
      <c r="T3086" s="17" t="s">
        <v>798</v>
      </c>
      <c r="U3086" s="20" t="s">
        <v>798</v>
      </c>
      <c r="V3086" s="26" t="s">
        <v>798</v>
      </c>
      <c r="W3086" s="20" t="s">
        <v>798</v>
      </c>
      <c r="X3086" s="26" t="s">
        <v>798</v>
      </c>
      <c r="Y3086" s="20" t="s">
        <v>798</v>
      </c>
      <c r="Z3086" s="69" t="s">
        <v>9486</v>
      </c>
      <c r="AA3086" s="72" t="s">
        <v>9476</v>
      </c>
      <c r="AB3086" s="73" t="s">
        <v>9486</v>
      </c>
      <c r="AC3086" s="74" t="s">
        <v>9566</v>
      </c>
      <c r="AD3086" s="73" t="s">
        <v>9578</v>
      </c>
      <c r="AE3086" s="74" t="s">
        <v>9579</v>
      </c>
    </row>
    <row r="3087" spans="1:31" ht="8.65" customHeight="1" x14ac:dyDescent="0.2">
      <c r="A3087" s="76">
        <v>3087</v>
      </c>
      <c r="B3087" s="67" t="str">
        <f>MID(C3087, FIND("Ifc.", C3087) + 4, 4) &amp; "_" &amp; TEXT(COUNTIF($C$2:C3087, C3087),"0000")</f>
        <v>Enti_0220</v>
      </c>
      <c r="C3087" s="25" t="s">
        <v>874</v>
      </c>
      <c r="D3087" s="69" t="s">
        <v>9453</v>
      </c>
      <c r="E3087" s="70" t="s">
        <v>9457</v>
      </c>
      <c r="F3087" s="26" t="s">
        <v>798</v>
      </c>
      <c r="G3087" s="15" t="s">
        <v>798</v>
      </c>
      <c r="H3087" s="14" t="s">
        <v>798</v>
      </c>
      <c r="I3087" s="15" t="s">
        <v>798</v>
      </c>
      <c r="J3087" s="12" t="s">
        <v>9438</v>
      </c>
      <c r="K3087" s="16" t="s">
        <v>3159</v>
      </c>
      <c r="L3087" s="12" t="s">
        <v>800</v>
      </c>
      <c r="M3087" s="16" t="s">
        <v>4126</v>
      </c>
      <c r="N3087" s="19" t="s">
        <v>798</v>
      </c>
      <c r="O3087" s="20" t="s">
        <v>798</v>
      </c>
      <c r="P3087" s="17" t="s">
        <v>802</v>
      </c>
      <c r="Q3087" s="21" t="s">
        <v>8711</v>
      </c>
      <c r="R3087" s="19" t="s">
        <v>798</v>
      </c>
      <c r="S3087" s="20" t="s">
        <v>798</v>
      </c>
      <c r="T3087" s="17" t="s">
        <v>798</v>
      </c>
      <c r="U3087" s="20" t="s">
        <v>798</v>
      </c>
      <c r="V3087" s="26" t="s">
        <v>798</v>
      </c>
      <c r="W3087" s="20" t="s">
        <v>798</v>
      </c>
      <c r="X3087" s="26" t="s">
        <v>798</v>
      </c>
      <c r="Y3087" s="20" t="s">
        <v>798</v>
      </c>
      <c r="Z3087" s="69" t="s">
        <v>9486</v>
      </c>
      <c r="AA3087" s="72" t="s">
        <v>9476</v>
      </c>
      <c r="AB3087" s="73" t="s">
        <v>9486</v>
      </c>
      <c r="AC3087" s="74" t="s">
        <v>9566</v>
      </c>
      <c r="AD3087" s="73" t="s">
        <v>9578</v>
      </c>
      <c r="AE3087" s="74" t="s">
        <v>9579</v>
      </c>
    </row>
    <row r="3088" spans="1:31" ht="8.65" customHeight="1" x14ac:dyDescent="0.2">
      <c r="A3088" s="76">
        <v>3088</v>
      </c>
      <c r="B3088" s="67" t="str">
        <f>MID(C3088, FIND("Ifc.", C3088) + 4, 4) &amp; "_" &amp; TEXT(COUNTIF($C$2:C3088, C3088),"0000")</f>
        <v>Enti_0221</v>
      </c>
      <c r="C3088" s="25" t="s">
        <v>874</v>
      </c>
      <c r="D3088" s="69" t="s">
        <v>9453</v>
      </c>
      <c r="E3088" s="70" t="s">
        <v>9457</v>
      </c>
      <c r="F3088" s="26" t="s">
        <v>798</v>
      </c>
      <c r="G3088" s="15" t="s">
        <v>798</v>
      </c>
      <c r="H3088" s="14" t="s">
        <v>798</v>
      </c>
      <c r="I3088" s="15" t="s">
        <v>798</v>
      </c>
      <c r="J3088" s="12" t="s">
        <v>9438</v>
      </c>
      <c r="K3088" s="16" t="s">
        <v>3160</v>
      </c>
      <c r="L3088" s="12" t="s">
        <v>800</v>
      </c>
      <c r="M3088" s="16" t="s">
        <v>4127</v>
      </c>
      <c r="N3088" s="19" t="s">
        <v>798</v>
      </c>
      <c r="O3088" s="20" t="s">
        <v>798</v>
      </c>
      <c r="P3088" s="17" t="s">
        <v>802</v>
      </c>
      <c r="Q3088" s="21" t="s">
        <v>8712</v>
      </c>
      <c r="R3088" s="19" t="s">
        <v>798</v>
      </c>
      <c r="S3088" s="20" t="s">
        <v>798</v>
      </c>
      <c r="T3088" s="17" t="s">
        <v>798</v>
      </c>
      <c r="U3088" s="20" t="s">
        <v>798</v>
      </c>
      <c r="V3088" s="26" t="s">
        <v>798</v>
      </c>
      <c r="W3088" s="20" t="s">
        <v>798</v>
      </c>
      <c r="X3088" s="26" t="s">
        <v>798</v>
      </c>
      <c r="Y3088" s="20" t="s">
        <v>798</v>
      </c>
      <c r="Z3088" s="69" t="s">
        <v>9486</v>
      </c>
      <c r="AA3088" s="72" t="s">
        <v>9477</v>
      </c>
      <c r="AB3088" s="73" t="s">
        <v>9486</v>
      </c>
      <c r="AC3088" s="74" t="s">
        <v>9566</v>
      </c>
      <c r="AD3088" s="73" t="s">
        <v>9578</v>
      </c>
      <c r="AE3088" s="74" t="s">
        <v>9579</v>
      </c>
    </row>
    <row r="3089" spans="1:31" ht="8.65" customHeight="1" x14ac:dyDescent="0.2">
      <c r="A3089" s="76">
        <v>3089</v>
      </c>
      <c r="B3089" s="67" t="str">
        <f>MID(C3089, FIND("Ifc.", C3089) + 4, 4) &amp; "_" &amp; TEXT(COUNTIF($C$2:C3089, C3089),"0000")</f>
        <v>Enti_0222</v>
      </c>
      <c r="C3089" s="25" t="s">
        <v>874</v>
      </c>
      <c r="D3089" s="69" t="s">
        <v>9453</v>
      </c>
      <c r="E3089" s="70" t="s">
        <v>9457</v>
      </c>
      <c r="F3089" s="26" t="s">
        <v>798</v>
      </c>
      <c r="G3089" s="15" t="s">
        <v>798</v>
      </c>
      <c r="H3089" s="14" t="s">
        <v>798</v>
      </c>
      <c r="I3089" s="15" t="s">
        <v>798</v>
      </c>
      <c r="J3089" s="12" t="s">
        <v>9438</v>
      </c>
      <c r="K3089" s="16" t="s">
        <v>3161</v>
      </c>
      <c r="L3089" s="12" t="s">
        <v>800</v>
      </c>
      <c r="M3089" s="16" t="s">
        <v>4128</v>
      </c>
      <c r="N3089" s="19" t="s">
        <v>798</v>
      </c>
      <c r="O3089" s="20" t="s">
        <v>798</v>
      </c>
      <c r="P3089" s="17" t="s">
        <v>802</v>
      </c>
      <c r="Q3089" s="21" t="s">
        <v>8713</v>
      </c>
      <c r="R3089" s="19" t="s">
        <v>798</v>
      </c>
      <c r="S3089" s="20" t="s">
        <v>798</v>
      </c>
      <c r="T3089" s="17" t="s">
        <v>798</v>
      </c>
      <c r="U3089" s="20" t="s">
        <v>798</v>
      </c>
      <c r="V3089" s="26" t="s">
        <v>798</v>
      </c>
      <c r="W3089" s="20" t="s">
        <v>798</v>
      </c>
      <c r="X3089" s="26" t="s">
        <v>798</v>
      </c>
      <c r="Y3089" s="20" t="s">
        <v>798</v>
      </c>
      <c r="Z3089" s="69" t="s">
        <v>9486</v>
      </c>
      <c r="AA3089" s="72" t="s">
        <v>9476</v>
      </c>
      <c r="AB3089" s="73" t="s">
        <v>9486</v>
      </c>
      <c r="AC3089" s="74" t="s">
        <v>9562</v>
      </c>
      <c r="AD3089" s="73" t="s">
        <v>9578</v>
      </c>
      <c r="AE3089" s="74" t="s">
        <v>9579</v>
      </c>
    </row>
    <row r="3090" spans="1:31" ht="8.65" customHeight="1" x14ac:dyDescent="0.2">
      <c r="A3090" s="76">
        <v>3090</v>
      </c>
      <c r="B3090" s="67" t="str">
        <f>MID(C3090, FIND("Ifc.", C3090) + 4, 4) &amp; "_" &amp; TEXT(COUNTIF($C$2:C3090, C3090),"0000")</f>
        <v>Enti_0223</v>
      </c>
      <c r="C3090" s="25" t="s">
        <v>874</v>
      </c>
      <c r="D3090" s="69" t="s">
        <v>9453</v>
      </c>
      <c r="E3090" s="70" t="s">
        <v>9457</v>
      </c>
      <c r="F3090" s="26" t="s">
        <v>798</v>
      </c>
      <c r="G3090" s="15" t="s">
        <v>798</v>
      </c>
      <c r="H3090" s="14" t="s">
        <v>798</v>
      </c>
      <c r="I3090" s="15" t="s">
        <v>798</v>
      </c>
      <c r="J3090" s="12" t="s">
        <v>9438</v>
      </c>
      <c r="K3090" s="16" t="s">
        <v>3162</v>
      </c>
      <c r="L3090" s="12" t="s">
        <v>800</v>
      </c>
      <c r="M3090" s="16" t="s">
        <v>4129</v>
      </c>
      <c r="N3090" s="19" t="s">
        <v>798</v>
      </c>
      <c r="O3090" s="20" t="s">
        <v>798</v>
      </c>
      <c r="P3090" s="17" t="s">
        <v>802</v>
      </c>
      <c r="Q3090" s="21" t="s">
        <v>8714</v>
      </c>
      <c r="R3090" s="19" t="s">
        <v>798</v>
      </c>
      <c r="S3090" s="20" t="s">
        <v>798</v>
      </c>
      <c r="T3090" s="17" t="s">
        <v>798</v>
      </c>
      <c r="U3090" s="20" t="s">
        <v>798</v>
      </c>
      <c r="V3090" s="26" t="s">
        <v>798</v>
      </c>
      <c r="W3090" s="20" t="s">
        <v>798</v>
      </c>
      <c r="X3090" s="26" t="s">
        <v>798</v>
      </c>
      <c r="Y3090" s="20" t="s">
        <v>798</v>
      </c>
      <c r="Z3090" s="69" t="s">
        <v>9486</v>
      </c>
      <c r="AA3090" s="72" t="s">
        <v>9476</v>
      </c>
      <c r="AB3090" s="73" t="s">
        <v>9486</v>
      </c>
      <c r="AC3090" s="74" t="s">
        <v>9566</v>
      </c>
      <c r="AD3090" s="73" t="s">
        <v>9578</v>
      </c>
      <c r="AE3090" s="74" t="s">
        <v>9579</v>
      </c>
    </row>
    <row r="3091" spans="1:31" ht="8.65" customHeight="1" x14ac:dyDescent="0.2">
      <c r="A3091" s="76">
        <v>3091</v>
      </c>
      <c r="B3091" s="67" t="str">
        <f>MID(C3091, FIND("Ifc.", C3091) + 4, 4) &amp; "_" &amp; TEXT(COUNTIF($C$2:C3091, C3091),"0000")</f>
        <v>Enti_0224</v>
      </c>
      <c r="C3091" s="25" t="s">
        <v>874</v>
      </c>
      <c r="D3091" s="69" t="s">
        <v>9453</v>
      </c>
      <c r="E3091" s="70" t="s">
        <v>9457</v>
      </c>
      <c r="F3091" s="26" t="s">
        <v>798</v>
      </c>
      <c r="G3091" s="15" t="s">
        <v>798</v>
      </c>
      <c r="H3091" s="14" t="s">
        <v>798</v>
      </c>
      <c r="I3091" s="15" t="s">
        <v>798</v>
      </c>
      <c r="J3091" s="12" t="s">
        <v>9438</v>
      </c>
      <c r="K3091" s="16" t="s">
        <v>3163</v>
      </c>
      <c r="L3091" s="12" t="s">
        <v>800</v>
      </c>
      <c r="M3091" s="16" t="s">
        <v>4130</v>
      </c>
      <c r="N3091" s="19" t="s">
        <v>798</v>
      </c>
      <c r="O3091" s="20" t="s">
        <v>798</v>
      </c>
      <c r="P3091" s="17" t="s">
        <v>802</v>
      </c>
      <c r="Q3091" s="21" t="s">
        <v>8715</v>
      </c>
      <c r="R3091" s="19" t="s">
        <v>798</v>
      </c>
      <c r="S3091" s="20" t="s">
        <v>798</v>
      </c>
      <c r="T3091" s="17" t="s">
        <v>798</v>
      </c>
      <c r="U3091" s="20" t="s">
        <v>798</v>
      </c>
      <c r="V3091" s="26" t="s">
        <v>798</v>
      </c>
      <c r="W3091" s="20" t="s">
        <v>798</v>
      </c>
      <c r="X3091" s="26" t="s">
        <v>798</v>
      </c>
      <c r="Y3091" s="20" t="s">
        <v>798</v>
      </c>
      <c r="Z3091" s="69" t="s">
        <v>9486</v>
      </c>
      <c r="AA3091" s="72" t="s">
        <v>9477</v>
      </c>
      <c r="AB3091" s="73" t="s">
        <v>9486</v>
      </c>
      <c r="AC3091" s="74" t="s">
        <v>9566</v>
      </c>
      <c r="AD3091" s="73" t="s">
        <v>9578</v>
      </c>
      <c r="AE3091" s="74" t="s">
        <v>9579</v>
      </c>
    </row>
    <row r="3092" spans="1:31" ht="8.65" customHeight="1" x14ac:dyDescent="0.2">
      <c r="A3092" s="76">
        <v>3092</v>
      </c>
      <c r="B3092" s="67" t="str">
        <f>MID(C3092, FIND("Ifc.", C3092) + 4, 4) &amp; "_" &amp; TEXT(COUNTIF($C$2:C3092, C3092),"0000")</f>
        <v>Enti_0225</v>
      </c>
      <c r="C3092" s="25" t="s">
        <v>874</v>
      </c>
      <c r="D3092" s="69" t="s">
        <v>9453</v>
      </c>
      <c r="E3092" s="70" t="s">
        <v>9457</v>
      </c>
      <c r="F3092" s="26" t="s">
        <v>798</v>
      </c>
      <c r="G3092" s="15" t="s">
        <v>798</v>
      </c>
      <c r="H3092" s="14" t="s">
        <v>798</v>
      </c>
      <c r="I3092" s="15" t="s">
        <v>798</v>
      </c>
      <c r="J3092" s="12" t="s">
        <v>9438</v>
      </c>
      <c r="K3092" s="16" t="s">
        <v>3164</v>
      </c>
      <c r="L3092" s="12" t="s">
        <v>800</v>
      </c>
      <c r="M3092" s="16" t="s">
        <v>4131</v>
      </c>
      <c r="N3092" s="19" t="s">
        <v>798</v>
      </c>
      <c r="O3092" s="20" t="s">
        <v>798</v>
      </c>
      <c r="P3092" s="17" t="s">
        <v>802</v>
      </c>
      <c r="Q3092" s="21" t="s">
        <v>8716</v>
      </c>
      <c r="R3092" s="19" t="s">
        <v>798</v>
      </c>
      <c r="S3092" s="20" t="s">
        <v>798</v>
      </c>
      <c r="T3092" s="17" t="s">
        <v>798</v>
      </c>
      <c r="U3092" s="20" t="s">
        <v>798</v>
      </c>
      <c r="V3092" s="26" t="s">
        <v>798</v>
      </c>
      <c r="W3092" s="20" t="s">
        <v>798</v>
      </c>
      <c r="X3092" s="26" t="s">
        <v>798</v>
      </c>
      <c r="Y3092" s="20" t="s">
        <v>798</v>
      </c>
      <c r="Z3092" s="69" t="s">
        <v>9486</v>
      </c>
      <c r="AA3092" s="72" t="s">
        <v>9476</v>
      </c>
      <c r="AB3092" s="73" t="s">
        <v>9486</v>
      </c>
      <c r="AC3092" s="74" t="s">
        <v>9562</v>
      </c>
      <c r="AD3092" s="73" t="s">
        <v>9578</v>
      </c>
      <c r="AE3092" s="74" t="s">
        <v>9579</v>
      </c>
    </row>
    <row r="3093" spans="1:31" ht="8.65" customHeight="1" x14ac:dyDescent="0.2">
      <c r="A3093" s="76">
        <v>3093</v>
      </c>
      <c r="B3093" s="67" t="str">
        <f>MID(C3093, FIND("Ifc.", C3093) + 4, 4) &amp; "_" &amp; TEXT(COUNTIF($C$2:C3093, C3093),"0000")</f>
        <v>Enti_0226</v>
      </c>
      <c r="C3093" s="25" t="s">
        <v>874</v>
      </c>
      <c r="D3093" s="69" t="s">
        <v>9453</v>
      </c>
      <c r="E3093" s="70" t="s">
        <v>9457</v>
      </c>
      <c r="F3093" s="26" t="s">
        <v>798</v>
      </c>
      <c r="G3093" s="15" t="s">
        <v>798</v>
      </c>
      <c r="H3093" s="14" t="s">
        <v>798</v>
      </c>
      <c r="I3093" s="15" t="s">
        <v>798</v>
      </c>
      <c r="J3093" s="12" t="s">
        <v>9438</v>
      </c>
      <c r="K3093" s="16" t="s">
        <v>3165</v>
      </c>
      <c r="L3093" s="12" t="s">
        <v>800</v>
      </c>
      <c r="M3093" s="16" t="s">
        <v>4132</v>
      </c>
      <c r="N3093" s="19" t="s">
        <v>798</v>
      </c>
      <c r="O3093" s="20" t="s">
        <v>798</v>
      </c>
      <c r="P3093" s="17" t="s">
        <v>802</v>
      </c>
      <c r="Q3093" s="21" t="s">
        <v>8717</v>
      </c>
      <c r="R3093" s="19" t="s">
        <v>798</v>
      </c>
      <c r="S3093" s="20" t="s">
        <v>798</v>
      </c>
      <c r="T3093" s="17" t="s">
        <v>798</v>
      </c>
      <c r="U3093" s="20" t="s">
        <v>798</v>
      </c>
      <c r="V3093" s="26" t="s">
        <v>798</v>
      </c>
      <c r="W3093" s="20" t="s">
        <v>798</v>
      </c>
      <c r="X3093" s="26" t="s">
        <v>798</v>
      </c>
      <c r="Y3093" s="20" t="s">
        <v>798</v>
      </c>
      <c r="Z3093" s="69" t="s">
        <v>9486</v>
      </c>
      <c r="AA3093" s="72" t="s">
        <v>9476</v>
      </c>
      <c r="AB3093" s="73" t="s">
        <v>9486</v>
      </c>
      <c r="AC3093" s="74" t="s">
        <v>9562</v>
      </c>
      <c r="AD3093" s="73" t="s">
        <v>9578</v>
      </c>
      <c r="AE3093" s="74" t="s">
        <v>9579</v>
      </c>
    </row>
    <row r="3094" spans="1:31" ht="8.65" customHeight="1" x14ac:dyDescent="0.2">
      <c r="A3094" s="76">
        <v>3094</v>
      </c>
      <c r="B3094" s="67" t="str">
        <f>MID(C3094, FIND("Ifc.", C3094) + 4, 4) &amp; "_" &amp; TEXT(COUNTIF($C$2:C3094, C3094),"0000")</f>
        <v>Enti_0227</v>
      </c>
      <c r="C3094" s="25" t="s">
        <v>874</v>
      </c>
      <c r="D3094" s="69" t="s">
        <v>9453</v>
      </c>
      <c r="E3094" s="70" t="s">
        <v>9457</v>
      </c>
      <c r="F3094" s="26" t="s">
        <v>798</v>
      </c>
      <c r="G3094" s="15" t="s">
        <v>798</v>
      </c>
      <c r="H3094" s="14" t="s">
        <v>798</v>
      </c>
      <c r="I3094" s="15" t="s">
        <v>798</v>
      </c>
      <c r="J3094" s="12" t="s">
        <v>9438</v>
      </c>
      <c r="K3094" s="16" t="s">
        <v>3166</v>
      </c>
      <c r="L3094" s="12" t="s">
        <v>800</v>
      </c>
      <c r="M3094" s="16" t="s">
        <v>4133</v>
      </c>
      <c r="N3094" s="19" t="s">
        <v>798</v>
      </c>
      <c r="O3094" s="20" t="s">
        <v>798</v>
      </c>
      <c r="P3094" s="17" t="s">
        <v>802</v>
      </c>
      <c r="Q3094" s="21" t="s">
        <v>8718</v>
      </c>
      <c r="R3094" s="19" t="s">
        <v>798</v>
      </c>
      <c r="S3094" s="20" t="s">
        <v>798</v>
      </c>
      <c r="T3094" s="17" t="s">
        <v>798</v>
      </c>
      <c r="U3094" s="20" t="s">
        <v>798</v>
      </c>
      <c r="V3094" s="26" t="s">
        <v>798</v>
      </c>
      <c r="W3094" s="20" t="s">
        <v>798</v>
      </c>
      <c r="X3094" s="26" t="s">
        <v>798</v>
      </c>
      <c r="Y3094" s="20" t="s">
        <v>798</v>
      </c>
      <c r="Z3094" s="69" t="s">
        <v>9486</v>
      </c>
      <c r="AA3094" s="72" t="s">
        <v>9476</v>
      </c>
      <c r="AB3094" s="73" t="s">
        <v>9486</v>
      </c>
      <c r="AC3094" s="74" t="s">
        <v>9562</v>
      </c>
      <c r="AD3094" s="73" t="s">
        <v>9578</v>
      </c>
      <c r="AE3094" s="74" t="s">
        <v>9579</v>
      </c>
    </row>
    <row r="3095" spans="1:31" ht="8.65" customHeight="1" x14ac:dyDescent="0.2">
      <c r="A3095" s="76">
        <v>3095</v>
      </c>
      <c r="B3095" s="67" t="str">
        <f>MID(C3095, FIND("Ifc.", C3095) + 4, 4) &amp; "_" &amp; TEXT(COUNTIF($C$2:C3095, C3095),"0000")</f>
        <v>Enti_0228</v>
      </c>
      <c r="C3095" s="25" t="s">
        <v>874</v>
      </c>
      <c r="D3095" s="69" t="s">
        <v>9453</v>
      </c>
      <c r="E3095" s="70" t="s">
        <v>9457</v>
      </c>
      <c r="F3095" s="26" t="s">
        <v>798</v>
      </c>
      <c r="G3095" s="15" t="s">
        <v>798</v>
      </c>
      <c r="H3095" s="14" t="s">
        <v>798</v>
      </c>
      <c r="I3095" s="15" t="s">
        <v>798</v>
      </c>
      <c r="J3095" s="12" t="s">
        <v>9438</v>
      </c>
      <c r="K3095" s="16" t="s">
        <v>3167</v>
      </c>
      <c r="L3095" s="12" t="s">
        <v>800</v>
      </c>
      <c r="M3095" s="16" t="s">
        <v>4134</v>
      </c>
      <c r="N3095" s="19" t="s">
        <v>798</v>
      </c>
      <c r="O3095" s="20" t="s">
        <v>798</v>
      </c>
      <c r="P3095" s="17" t="s">
        <v>802</v>
      </c>
      <c r="Q3095" s="21" t="s">
        <v>8719</v>
      </c>
      <c r="R3095" s="19" t="s">
        <v>798</v>
      </c>
      <c r="S3095" s="20" t="s">
        <v>798</v>
      </c>
      <c r="T3095" s="17" t="s">
        <v>798</v>
      </c>
      <c r="U3095" s="20" t="s">
        <v>798</v>
      </c>
      <c r="V3095" s="26" t="s">
        <v>798</v>
      </c>
      <c r="W3095" s="20" t="s">
        <v>798</v>
      </c>
      <c r="X3095" s="26" t="s">
        <v>798</v>
      </c>
      <c r="Y3095" s="20" t="s">
        <v>798</v>
      </c>
      <c r="Z3095" s="69" t="s">
        <v>9486</v>
      </c>
      <c r="AA3095" s="72" t="s">
        <v>9488</v>
      </c>
      <c r="AB3095" s="73" t="s">
        <v>9486</v>
      </c>
      <c r="AC3095" s="74" t="s">
        <v>9562</v>
      </c>
      <c r="AD3095" s="73" t="s">
        <v>9578</v>
      </c>
      <c r="AE3095" s="74" t="s">
        <v>9579</v>
      </c>
    </row>
    <row r="3096" spans="1:31" ht="8.65" customHeight="1" x14ac:dyDescent="0.2">
      <c r="A3096" s="76">
        <v>3096</v>
      </c>
      <c r="B3096" s="67" t="str">
        <f>MID(C3096, FIND("Ifc.", C3096) + 4, 4) &amp; "_" &amp; TEXT(COUNTIF($C$2:C3096, C3096),"0000")</f>
        <v>Enti_0229</v>
      </c>
      <c r="C3096" s="25" t="s">
        <v>874</v>
      </c>
      <c r="D3096" s="69" t="s">
        <v>9453</v>
      </c>
      <c r="E3096" s="70" t="s">
        <v>9457</v>
      </c>
      <c r="F3096" s="26" t="s">
        <v>798</v>
      </c>
      <c r="G3096" s="15" t="s">
        <v>798</v>
      </c>
      <c r="H3096" s="14" t="s">
        <v>798</v>
      </c>
      <c r="I3096" s="15" t="s">
        <v>798</v>
      </c>
      <c r="J3096" s="12" t="s">
        <v>9438</v>
      </c>
      <c r="K3096" s="16" t="s">
        <v>3168</v>
      </c>
      <c r="L3096" s="12" t="s">
        <v>800</v>
      </c>
      <c r="M3096" s="16" t="s">
        <v>4135</v>
      </c>
      <c r="N3096" s="19" t="s">
        <v>798</v>
      </c>
      <c r="O3096" s="20" t="s">
        <v>798</v>
      </c>
      <c r="P3096" s="17" t="s">
        <v>802</v>
      </c>
      <c r="Q3096" s="21" t="s">
        <v>8720</v>
      </c>
      <c r="R3096" s="19" t="s">
        <v>798</v>
      </c>
      <c r="S3096" s="20" t="s">
        <v>798</v>
      </c>
      <c r="T3096" s="17" t="s">
        <v>798</v>
      </c>
      <c r="U3096" s="20" t="s">
        <v>798</v>
      </c>
      <c r="V3096" s="26" t="s">
        <v>798</v>
      </c>
      <c r="W3096" s="20" t="s">
        <v>798</v>
      </c>
      <c r="X3096" s="26" t="s">
        <v>798</v>
      </c>
      <c r="Y3096" s="20" t="s">
        <v>798</v>
      </c>
      <c r="Z3096" s="69" t="s">
        <v>9486</v>
      </c>
      <c r="AA3096" s="72" t="s">
        <v>9476</v>
      </c>
      <c r="AB3096" s="73" t="s">
        <v>9486</v>
      </c>
      <c r="AC3096" s="74" t="s">
        <v>9566</v>
      </c>
      <c r="AD3096" s="73" t="s">
        <v>9578</v>
      </c>
      <c r="AE3096" s="74" t="s">
        <v>9579</v>
      </c>
    </row>
    <row r="3097" spans="1:31" ht="8.65" customHeight="1" x14ac:dyDescent="0.2">
      <c r="A3097" s="76">
        <v>3097</v>
      </c>
      <c r="B3097" s="67" t="str">
        <f>MID(C3097, FIND("Ifc.", C3097) + 4, 4) &amp; "_" &amp; TEXT(COUNTIF($C$2:C3097, C3097),"0000")</f>
        <v>Enti_0230</v>
      </c>
      <c r="C3097" s="25" t="s">
        <v>874</v>
      </c>
      <c r="D3097" s="69" t="s">
        <v>9453</v>
      </c>
      <c r="E3097" s="70" t="s">
        <v>9457</v>
      </c>
      <c r="F3097" s="26" t="s">
        <v>798</v>
      </c>
      <c r="G3097" s="15" t="s">
        <v>798</v>
      </c>
      <c r="H3097" s="14" t="s">
        <v>798</v>
      </c>
      <c r="I3097" s="15" t="s">
        <v>798</v>
      </c>
      <c r="J3097" s="12" t="s">
        <v>9438</v>
      </c>
      <c r="K3097" s="16" t="s">
        <v>3169</v>
      </c>
      <c r="L3097" s="12" t="s">
        <v>800</v>
      </c>
      <c r="M3097" s="16" t="s">
        <v>4136</v>
      </c>
      <c r="N3097" s="19" t="s">
        <v>798</v>
      </c>
      <c r="O3097" s="20" t="s">
        <v>798</v>
      </c>
      <c r="P3097" s="17" t="s">
        <v>802</v>
      </c>
      <c r="Q3097" s="21" t="s">
        <v>8721</v>
      </c>
      <c r="R3097" s="19" t="s">
        <v>798</v>
      </c>
      <c r="S3097" s="20" t="s">
        <v>798</v>
      </c>
      <c r="T3097" s="17" t="s">
        <v>798</v>
      </c>
      <c r="U3097" s="20" t="s">
        <v>798</v>
      </c>
      <c r="V3097" s="26" t="s">
        <v>798</v>
      </c>
      <c r="W3097" s="20" t="s">
        <v>798</v>
      </c>
      <c r="X3097" s="26" t="s">
        <v>798</v>
      </c>
      <c r="Y3097" s="20" t="s">
        <v>798</v>
      </c>
      <c r="Z3097" s="69" t="s">
        <v>9486</v>
      </c>
      <c r="AA3097" s="72" t="s">
        <v>9476</v>
      </c>
      <c r="AB3097" s="73" t="s">
        <v>9486</v>
      </c>
      <c r="AC3097" s="74" t="s">
        <v>9566</v>
      </c>
      <c r="AD3097" s="73" t="s">
        <v>9578</v>
      </c>
      <c r="AE3097" s="74" t="s">
        <v>9579</v>
      </c>
    </row>
    <row r="3098" spans="1:31" ht="8.65" customHeight="1" x14ac:dyDescent="0.2">
      <c r="A3098" s="76">
        <v>3098</v>
      </c>
      <c r="B3098" s="67" t="str">
        <f>MID(C3098, FIND("Ifc.", C3098) + 4, 4) &amp; "_" &amp; TEXT(COUNTIF($C$2:C3098, C3098),"0000")</f>
        <v>Enti_0231</v>
      </c>
      <c r="C3098" s="25" t="s">
        <v>874</v>
      </c>
      <c r="D3098" s="69" t="s">
        <v>9453</v>
      </c>
      <c r="E3098" s="70" t="s">
        <v>9457</v>
      </c>
      <c r="F3098" s="26" t="s">
        <v>798</v>
      </c>
      <c r="G3098" s="15" t="s">
        <v>798</v>
      </c>
      <c r="H3098" s="14" t="s">
        <v>798</v>
      </c>
      <c r="I3098" s="15" t="s">
        <v>798</v>
      </c>
      <c r="J3098" s="12" t="s">
        <v>9438</v>
      </c>
      <c r="K3098" s="16" t="s">
        <v>3170</v>
      </c>
      <c r="L3098" s="12" t="s">
        <v>800</v>
      </c>
      <c r="M3098" s="16" t="s">
        <v>4137</v>
      </c>
      <c r="N3098" s="19" t="s">
        <v>798</v>
      </c>
      <c r="O3098" s="20" t="s">
        <v>798</v>
      </c>
      <c r="P3098" s="17" t="s">
        <v>802</v>
      </c>
      <c r="Q3098" s="21" t="s">
        <v>8722</v>
      </c>
      <c r="R3098" s="19" t="s">
        <v>798</v>
      </c>
      <c r="S3098" s="20" t="s">
        <v>798</v>
      </c>
      <c r="T3098" s="17" t="s">
        <v>798</v>
      </c>
      <c r="U3098" s="20" t="s">
        <v>798</v>
      </c>
      <c r="V3098" s="26" t="s">
        <v>798</v>
      </c>
      <c r="W3098" s="20" t="s">
        <v>798</v>
      </c>
      <c r="X3098" s="26" t="s">
        <v>798</v>
      </c>
      <c r="Y3098" s="20" t="s">
        <v>798</v>
      </c>
      <c r="Z3098" s="69" t="s">
        <v>9486</v>
      </c>
      <c r="AA3098" s="72" t="s">
        <v>9477</v>
      </c>
      <c r="AB3098" s="73" t="s">
        <v>9486</v>
      </c>
      <c r="AC3098" s="74" t="s">
        <v>9566</v>
      </c>
      <c r="AD3098" s="73" t="s">
        <v>9578</v>
      </c>
      <c r="AE3098" s="74" t="s">
        <v>9579</v>
      </c>
    </row>
    <row r="3099" spans="1:31" ht="8.65" customHeight="1" x14ac:dyDescent="0.2">
      <c r="A3099" s="76">
        <v>3099</v>
      </c>
      <c r="B3099" s="67" t="str">
        <f>MID(C3099, FIND("Ifc.", C3099) + 4, 4) &amp; "_" &amp; TEXT(COUNTIF($C$2:C3099, C3099),"0000")</f>
        <v>Enti_0232</v>
      </c>
      <c r="C3099" s="25" t="s">
        <v>874</v>
      </c>
      <c r="D3099" s="69" t="s">
        <v>9453</v>
      </c>
      <c r="E3099" s="70" t="s">
        <v>9457</v>
      </c>
      <c r="F3099" s="26" t="s">
        <v>798</v>
      </c>
      <c r="G3099" s="15" t="s">
        <v>798</v>
      </c>
      <c r="H3099" s="14" t="s">
        <v>798</v>
      </c>
      <c r="I3099" s="15" t="s">
        <v>798</v>
      </c>
      <c r="J3099" s="12" t="s">
        <v>9438</v>
      </c>
      <c r="K3099" s="16" t="s">
        <v>3171</v>
      </c>
      <c r="L3099" s="12" t="s">
        <v>800</v>
      </c>
      <c r="M3099" s="16" t="s">
        <v>4138</v>
      </c>
      <c r="N3099" s="19" t="s">
        <v>798</v>
      </c>
      <c r="O3099" s="20" t="s">
        <v>798</v>
      </c>
      <c r="P3099" s="17" t="s">
        <v>802</v>
      </c>
      <c r="Q3099" s="21" t="s">
        <v>8723</v>
      </c>
      <c r="R3099" s="19" t="s">
        <v>798</v>
      </c>
      <c r="S3099" s="20" t="s">
        <v>798</v>
      </c>
      <c r="T3099" s="17" t="s">
        <v>798</v>
      </c>
      <c r="U3099" s="20" t="s">
        <v>798</v>
      </c>
      <c r="V3099" s="26" t="s">
        <v>798</v>
      </c>
      <c r="W3099" s="20" t="s">
        <v>798</v>
      </c>
      <c r="X3099" s="26" t="s">
        <v>798</v>
      </c>
      <c r="Y3099" s="20" t="s">
        <v>798</v>
      </c>
      <c r="Z3099" s="69" t="s">
        <v>9486</v>
      </c>
      <c r="AA3099" s="72" t="s">
        <v>9477</v>
      </c>
      <c r="AB3099" s="73" t="s">
        <v>9486</v>
      </c>
      <c r="AC3099" s="74" t="s">
        <v>9566</v>
      </c>
      <c r="AD3099" s="73" t="s">
        <v>9578</v>
      </c>
      <c r="AE3099" s="74" t="s">
        <v>9579</v>
      </c>
    </row>
    <row r="3100" spans="1:31" ht="8.65" customHeight="1" x14ac:dyDescent="0.2">
      <c r="A3100" s="76">
        <v>3100</v>
      </c>
      <c r="B3100" s="67" t="str">
        <f>MID(C3100, FIND("Ifc.", C3100) + 4, 4) &amp; "_" &amp; TEXT(COUNTIF($C$2:C3100, C3100),"0000")</f>
        <v>Enti_0233</v>
      </c>
      <c r="C3100" s="25" t="s">
        <v>874</v>
      </c>
      <c r="D3100" s="69" t="s">
        <v>9453</v>
      </c>
      <c r="E3100" s="70" t="s">
        <v>9457</v>
      </c>
      <c r="F3100" s="26" t="s">
        <v>798</v>
      </c>
      <c r="G3100" s="15" t="s">
        <v>798</v>
      </c>
      <c r="H3100" s="14" t="s">
        <v>798</v>
      </c>
      <c r="I3100" s="15" t="s">
        <v>798</v>
      </c>
      <c r="J3100" s="12" t="s">
        <v>9438</v>
      </c>
      <c r="K3100" s="16" t="s">
        <v>3172</v>
      </c>
      <c r="L3100" s="12" t="s">
        <v>800</v>
      </c>
      <c r="M3100" s="16" t="s">
        <v>4139</v>
      </c>
      <c r="N3100" s="19" t="s">
        <v>798</v>
      </c>
      <c r="O3100" s="20" t="s">
        <v>798</v>
      </c>
      <c r="P3100" s="17" t="s">
        <v>802</v>
      </c>
      <c r="Q3100" s="21" t="s">
        <v>8724</v>
      </c>
      <c r="R3100" s="19" t="s">
        <v>798</v>
      </c>
      <c r="S3100" s="20" t="s">
        <v>798</v>
      </c>
      <c r="T3100" s="17" t="s">
        <v>798</v>
      </c>
      <c r="U3100" s="20" t="s">
        <v>798</v>
      </c>
      <c r="V3100" s="26" t="s">
        <v>798</v>
      </c>
      <c r="W3100" s="20" t="s">
        <v>798</v>
      </c>
      <c r="X3100" s="26" t="s">
        <v>798</v>
      </c>
      <c r="Y3100" s="20" t="s">
        <v>798</v>
      </c>
      <c r="Z3100" s="69" t="s">
        <v>9486</v>
      </c>
      <c r="AA3100" s="72" t="s">
        <v>9476</v>
      </c>
      <c r="AB3100" s="73" t="s">
        <v>9486</v>
      </c>
      <c r="AC3100" s="74" t="s">
        <v>9566</v>
      </c>
      <c r="AD3100" s="73" t="s">
        <v>9578</v>
      </c>
      <c r="AE3100" s="74" t="s">
        <v>9579</v>
      </c>
    </row>
    <row r="3101" spans="1:31" ht="8.65" customHeight="1" x14ac:dyDescent="0.2">
      <c r="A3101" s="76">
        <v>3101</v>
      </c>
      <c r="B3101" s="67" t="str">
        <f>MID(C3101, FIND("Ifc.", C3101) + 4, 4) &amp; "_" &amp; TEXT(COUNTIF($C$2:C3101, C3101),"0000")</f>
        <v>Enti_0234</v>
      </c>
      <c r="C3101" s="25" t="s">
        <v>874</v>
      </c>
      <c r="D3101" s="69" t="s">
        <v>9453</v>
      </c>
      <c r="E3101" s="70" t="s">
        <v>9457</v>
      </c>
      <c r="F3101" s="26" t="s">
        <v>798</v>
      </c>
      <c r="G3101" s="15" t="s">
        <v>798</v>
      </c>
      <c r="H3101" s="14" t="s">
        <v>798</v>
      </c>
      <c r="I3101" s="15" t="s">
        <v>798</v>
      </c>
      <c r="J3101" s="12" t="s">
        <v>9438</v>
      </c>
      <c r="K3101" s="16" t="s">
        <v>3173</v>
      </c>
      <c r="L3101" s="12" t="s">
        <v>800</v>
      </c>
      <c r="M3101" s="16" t="s">
        <v>4140</v>
      </c>
      <c r="N3101" s="19" t="s">
        <v>798</v>
      </c>
      <c r="O3101" s="20" t="s">
        <v>798</v>
      </c>
      <c r="P3101" s="17" t="s">
        <v>802</v>
      </c>
      <c r="Q3101" s="21" t="s">
        <v>8725</v>
      </c>
      <c r="R3101" s="19" t="s">
        <v>798</v>
      </c>
      <c r="S3101" s="20" t="s">
        <v>798</v>
      </c>
      <c r="T3101" s="17" t="s">
        <v>798</v>
      </c>
      <c r="U3101" s="20" t="s">
        <v>798</v>
      </c>
      <c r="V3101" s="26" t="s">
        <v>798</v>
      </c>
      <c r="W3101" s="20" t="s">
        <v>798</v>
      </c>
      <c r="X3101" s="26" t="s">
        <v>798</v>
      </c>
      <c r="Y3101" s="20" t="s">
        <v>798</v>
      </c>
      <c r="Z3101" s="69" t="s">
        <v>9486</v>
      </c>
      <c r="AA3101" s="72" t="s">
        <v>9477</v>
      </c>
      <c r="AB3101" s="73" t="s">
        <v>9486</v>
      </c>
      <c r="AC3101" s="74" t="s">
        <v>9566</v>
      </c>
      <c r="AD3101" s="73" t="s">
        <v>9578</v>
      </c>
      <c r="AE3101" s="74" t="s">
        <v>9579</v>
      </c>
    </row>
    <row r="3102" spans="1:31" ht="8.65" customHeight="1" x14ac:dyDescent="0.2">
      <c r="A3102" s="76">
        <v>3102</v>
      </c>
      <c r="B3102" s="67" t="str">
        <f>MID(C3102, FIND("Ifc.", C3102) + 4, 4) &amp; "_" &amp; TEXT(COUNTIF($C$2:C3102, C3102),"0000")</f>
        <v>Enti_0235</v>
      </c>
      <c r="C3102" s="25" t="s">
        <v>874</v>
      </c>
      <c r="D3102" s="69" t="s">
        <v>9453</v>
      </c>
      <c r="E3102" s="70" t="s">
        <v>9457</v>
      </c>
      <c r="F3102" s="26" t="s">
        <v>798</v>
      </c>
      <c r="G3102" s="15" t="s">
        <v>798</v>
      </c>
      <c r="H3102" s="14" t="s">
        <v>798</v>
      </c>
      <c r="I3102" s="15" t="s">
        <v>798</v>
      </c>
      <c r="J3102" s="12" t="s">
        <v>9438</v>
      </c>
      <c r="K3102" s="16" t="s">
        <v>3174</v>
      </c>
      <c r="L3102" s="12" t="s">
        <v>800</v>
      </c>
      <c r="M3102" s="16" t="s">
        <v>4141</v>
      </c>
      <c r="N3102" s="19" t="s">
        <v>798</v>
      </c>
      <c r="O3102" s="20" t="s">
        <v>798</v>
      </c>
      <c r="P3102" s="17" t="s">
        <v>802</v>
      </c>
      <c r="Q3102" s="21" t="s">
        <v>8726</v>
      </c>
      <c r="R3102" s="19" t="s">
        <v>798</v>
      </c>
      <c r="S3102" s="20" t="s">
        <v>798</v>
      </c>
      <c r="T3102" s="17" t="s">
        <v>798</v>
      </c>
      <c r="U3102" s="20" t="s">
        <v>798</v>
      </c>
      <c r="V3102" s="26" t="s">
        <v>798</v>
      </c>
      <c r="W3102" s="20" t="s">
        <v>798</v>
      </c>
      <c r="X3102" s="26" t="s">
        <v>798</v>
      </c>
      <c r="Y3102" s="20" t="s">
        <v>798</v>
      </c>
      <c r="Z3102" s="69" t="s">
        <v>9486</v>
      </c>
      <c r="AA3102" s="72" t="s">
        <v>9476</v>
      </c>
      <c r="AB3102" s="73" t="s">
        <v>9486</v>
      </c>
      <c r="AC3102" s="74" t="s">
        <v>9562</v>
      </c>
      <c r="AD3102" s="73" t="s">
        <v>9578</v>
      </c>
      <c r="AE3102" s="74" t="s">
        <v>9579</v>
      </c>
    </row>
    <row r="3103" spans="1:31" ht="8.65" customHeight="1" x14ac:dyDescent="0.2">
      <c r="A3103" s="76">
        <v>3103</v>
      </c>
      <c r="B3103" s="67" t="str">
        <f>MID(C3103, FIND("Ifc.", C3103) + 4, 4) &amp; "_" &amp; TEXT(COUNTIF($C$2:C3103, C3103),"0000")</f>
        <v>Enti_0236</v>
      </c>
      <c r="C3103" s="25" t="s">
        <v>874</v>
      </c>
      <c r="D3103" s="69" t="s">
        <v>9453</v>
      </c>
      <c r="E3103" s="70" t="s">
        <v>9457</v>
      </c>
      <c r="F3103" s="26" t="s">
        <v>798</v>
      </c>
      <c r="G3103" s="15" t="s">
        <v>798</v>
      </c>
      <c r="H3103" s="14" t="s">
        <v>798</v>
      </c>
      <c r="I3103" s="15" t="s">
        <v>798</v>
      </c>
      <c r="J3103" s="12" t="s">
        <v>9438</v>
      </c>
      <c r="K3103" s="16" t="s">
        <v>3175</v>
      </c>
      <c r="L3103" s="12" t="s">
        <v>800</v>
      </c>
      <c r="M3103" s="16" t="s">
        <v>4142</v>
      </c>
      <c r="N3103" s="19" t="s">
        <v>798</v>
      </c>
      <c r="O3103" s="20" t="s">
        <v>798</v>
      </c>
      <c r="P3103" s="17" t="s">
        <v>802</v>
      </c>
      <c r="Q3103" s="21" t="s">
        <v>8727</v>
      </c>
      <c r="R3103" s="19" t="s">
        <v>798</v>
      </c>
      <c r="S3103" s="20" t="s">
        <v>798</v>
      </c>
      <c r="T3103" s="17" t="s">
        <v>798</v>
      </c>
      <c r="U3103" s="20" t="s">
        <v>798</v>
      </c>
      <c r="V3103" s="26" t="s">
        <v>798</v>
      </c>
      <c r="W3103" s="20" t="s">
        <v>798</v>
      </c>
      <c r="X3103" s="26" t="s">
        <v>798</v>
      </c>
      <c r="Y3103" s="20" t="s">
        <v>798</v>
      </c>
      <c r="Z3103" s="69" t="s">
        <v>9486</v>
      </c>
      <c r="AA3103" s="72" t="s">
        <v>9476</v>
      </c>
      <c r="AB3103" s="73" t="s">
        <v>9486</v>
      </c>
      <c r="AC3103" s="74" t="s">
        <v>9562</v>
      </c>
      <c r="AD3103" s="73" t="s">
        <v>9578</v>
      </c>
      <c r="AE3103" s="74" t="s">
        <v>9579</v>
      </c>
    </row>
    <row r="3104" spans="1:31" ht="8.65" customHeight="1" x14ac:dyDescent="0.2">
      <c r="A3104" s="76">
        <v>3104</v>
      </c>
      <c r="B3104" s="67" t="str">
        <f>MID(C3104, FIND("Ifc.", C3104) + 4, 4) &amp; "_" &amp; TEXT(COUNTIF($C$2:C3104, C3104),"0000")</f>
        <v>Enti_0237</v>
      </c>
      <c r="C3104" s="25" t="s">
        <v>874</v>
      </c>
      <c r="D3104" s="69" t="s">
        <v>9453</v>
      </c>
      <c r="E3104" s="70" t="s">
        <v>9457</v>
      </c>
      <c r="F3104" s="26" t="s">
        <v>798</v>
      </c>
      <c r="G3104" s="15" t="s">
        <v>798</v>
      </c>
      <c r="H3104" s="14" t="s">
        <v>798</v>
      </c>
      <c r="I3104" s="15" t="s">
        <v>798</v>
      </c>
      <c r="J3104" s="12" t="s">
        <v>9438</v>
      </c>
      <c r="K3104" s="16" t="s">
        <v>3176</v>
      </c>
      <c r="L3104" s="12" t="s">
        <v>800</v>
      </c>
      <c r="M3104" s="16" t="s">
        <v>4143</v>
      </c>
      <c r="N3104" s="19" t="s">
        <v>798</v>
      </c>
      <c r="O3104" s="20" t="s">
        <v>798</v>
      </c>
      <c r="P3104" s="17" t="s">
        <v>802</v>
      </c>
      <c r="Q3104" s="21" t="s">
        <v>8728</v>
      </c>
      <c r="R3104" s="19" t="s">
        <v>798</v>
      </c>
      <c r="S3104" s="20" t="s">
        <v>798</v>
      </c>
      <c r="T3104" s="17" t="s">
        <v>798</v>
      </c>
      <c r="U3104" s="20" t="s">
        <v>798</v>
      </c>
      <c r="V3104" s="26" t="s">
        <v>798</v>
      </c>
      <c r="W3104" s="20" t="s">
        <v>798</v>
      </c>
      <c r="X3104" s="26" t="s">
        <v>798</v>
      </c>
      <c r="Y3104" s="20" t="s">
        <v>798</v>
      </c>
      <c r="Z3104" s="69" t="s">
        <v>9486</v>
      </c>
      <c r="AA3104" s="72" t="s">
        <v>9476</v>
      </c>
      <c r="AB3104" s="73" t="s">
        <v>9486</v>
      </c>
      <c r="AC3104" s="74" t="s">
        <v>9562</v>
      </c>
      <c r="AD3104" s="73" t="s">
        <v>9578</v>
      </c>
      <c r="AE3104" s="74" t="s">
        <v>9579</v>
      </c>
    </row>
    <row r="3105" spans="1:31" ht="8.65" customHeight="1" x14ac:dyDescent="0.2">
      <c r="A3105" s="76">
        <v>3105</v>
      </c>
      <c r="B3105" s="67" t="str">
        <f>MID(C3105, FIND("Ifc.", C3105) + 4, 4) &amp; "_" &amp; TEXT(COUNTIF($C$2:C3105, C3105),"0000")</f>
        <v>Enti_0238</v>
      </c>
      <c r="C3105" s="25" t="s">
        <v>874</v>
      </c>
      <c r="D3105" s="69" t="s">
        <v>9453</v>
      </c>
      <c r="E3105" s="70" t="s">
        <v>9457</v>
      </c>
      <c r="F3105" s="26" t="s">
        <v>798</v>
      </c>
      <c r="G3105" s="15" t="s">
        <v>798</v>
      </c>
      <c r="H3105" s="14" t="s">
        <v>798</v>
      </c>
      <c r="I3105" s="15" t="s">
        <v>798</v>
      </c>
      <c r="J3105" s="12" t="s">
        <v>9438</v>
      </c>
      <c r="K3105" s="16" t="s">
        <v>3177</v>
      </c>
      <c r="L3105" s="12" t="s">
        <v>800</v>
      </c>
      <c r="M3105" s="16" t="s">
        <v>4144</v>
      </c>
      <c r="N3105" s="19" t="s">
        <v>798</v>
      </c>
      <c r="O3105" s="20" t="s">
        <v>798</v>
      </c>
      <c r="P3105" s="17" t="s">
        <v>802</v>
      </c>
      <c r="Q3105" s="21" t="s">
        <v>8729</v>
      </c>
      <c r="R3105" s="19" t="s">
        <v>798</v>
      </c>
      <c r="S3105" s="20" t="s">
        <v>798</v>
      </c>
      <c r="T3105" s="17" t="s">
        <v>798</v>
      </c>
      <c r="U3105" s="20" t="s">
        <v>798</v>
      </c>
      <c r="V3105" s="26" t="s">
        <v>798</v>
      </c>
      <c r="W3105" s="20" t="s">
        <v>798</v>
      </c>
      <c r="X3105" s="26" t="s">
        <v>798</v>
      </c>
      <c r="Y3105" s="20" t="s">
        <v>798</v>
      </c>
      <c r="Z3105" s="69" t="s">
        <v>9486</v>
      </c>
      <c r="AA3105" s="72" t="s">
        <v>9476</v>
      </c>
      <c r="AB3105" s="73" t="s">
        <v>9486</v>
      </c>
      <c r="AC3105" s="74" t="s">
        <v>9562</v>
      </c>
      <c r="AD3105" s="73" t="s">
        <v>9578</v>
      </c>
      <c r="AE3105" s="74" t="s">
        <v>9579</v>
      </c>
    </row>
    <row r="3106" spans="1:31" ht="8.65" customHeight="1" x14ac:dyDescent="0.2">
      <c r="A3106" s="76">
        <v>3106</v>
      </c>
      <c r="B3106" s="67" t="str">
        <f>MID(C3106, FIND("Ifc.", C3106) + 4, 4) &amp; "_" &amp; TEXT(COUNTIF($C$2:C3106, C3106),"0000")</f>
        <v>Enti_0239</v>
      </c>
      <c r="C3106" s="25" t="s">
        <v>874</v>
      </c>
      <c r="D3106" s="69" t="s">
        <v>9453</v>
      </c>
      <c r="E3106" s="70" t="s">
        <v>9457</v>
      </c>
      <c r="F3106" s="26" t="s">
        <v>798</v>
      </c>
      <c r="G3106" s="15" t="s">
        <v>798</v>
      </c>
      <c r="H3106" s="14" t="s">
        <v>798</v>
      </c>
      <c r="I3106" s="15" t="s">
        <v>798</v>
      </c>
      <c r="J3106" s="12" t="s">
        <v>9438</v>
      </c>
      <c r="K3106" s="16" t="s">
        <v>3178</v>
      </c>
      <c r="L3106" s="12" t="s">
        <v>800</v>
      </c>
      <c r="M3106" s="16" t="s">
        <v>4145</v>
      </c>
      <c r="N3106" s="19" t="s">
        <v>798</v>
      </c>
      <c r="O3106" s="20" t="s">
        <v>798</v>
      </c>
      <c r="P3106" s="17" t="s">
        <v>802</v>
      </c>
      <c r="Q3106" s="21" t="s">
        <v>8730</v>
      </c>
      <c r="R3106" s="19" t="s">
        <v>798</v>
      </c>
      <c r="S3106" s="20" t="s">
        <v>798</v>
      </c>
      <c r="T3106" s="17" t="s">
        <v>798</v>
      </c>
      <c r="U3106" s="20" t="s">
        <v>798</v>
      </c>
      <c r="V3106" s="26" t="s">
        <v>798</v>
      </c>
      <c r="W3106" s="20" t="s">
        <v>798</v>
      </c>
      <c r="X3106" s="26" t="s">
        <v>798</v>
      </c>
      <c r="Y3106" s="20" t="s">
        <v>798</v>
      </c>
      <c r="Z3106" s="69" t="s">
        <v>9486</v>
      </c>
      <c r="AA3106" s="72" t="s">
        <v>9476</v>
      </c>
      <c r="AB3106" s="73" t="s">
        <v>9486</v>
      </c>
      <c r="AC3106" s="74" t="s">
        <v>9562</v>
      </c>
      <c r="AD3106" s="73" t="s">
        <v>9578</v>
      </c>
      <c r="AE3106" s="74" t="s">
        <v>9579</v>
      </c>
    </row>
    <row r="3107" spans="1:31" ht="8.65" customHeight="1" x14ac:dyDescent="0.2">
      <c r="A3107" s="76">
        <v>3107</v>
      </c>
      <c r="B3107" s="67" t="str">
        <f>MID(C3107, FIND("Ifc.", C3107) + 4, 4) &amp; "_" &amp; TEXT(COUNTIF($C$2:C3107, C3107),"0000")</f>
        <v>Enti_0240</v>
      </c>
      <c r="C3107" s="25" t="s">
        <v>874</v>
      </c>
      <c r="D3107" s="69" t="s">
        <v>9453</v>
      </c>
      <c r="E3107" s="70" t="s">
        <v>9457</v>
      </c>
      <c r="F3107" s="26" t="s">
        <v>798</v>
      </c>
      <c r="G3107" s="15" t="s">
        <v>798</v>
      </c>
      <c r="H3107" s="14" t="s">
        <v>798</v>
      </c>
      <c r="I3107" s="15" t="s">
        <v>798</v>
      </c>
      <c r="J3107" s="12" t="s">
        <v>9438</v>
      </c>
      <c r="K3107" s="16" t="s">
        <v>3179</v>
      </c>
      <c r="L3107" s="12" t="s">
        <v>800</v>
      </c>
      <c r="M3107" s="16" t="s">
        <v>4146</v>
      </c>
      <c r="N3107" s="19" t="s">
        <v>798</v>
      </c>
      <c r="O3107" s="20" t="s">
        <v>798</v>
      </c>
      <c r="P3107" s="17" t="s">
        <v>802</v>
      </c>
      <c r="Q3107" s="21" t="s">
        <v>8731</v>
      </c>
      <c r="R3107" s="19" t="s">
        <v>798</v>
      </c>
      <c r="S3107" s="20" t="s">
        <v>798</v>
      </c>
      <c r="T3107" s="17" t="s">
        <v>798</v>
      </c>
      <c r="U3107" s="20" t="s">
        <v>798</v>
      </c>
      <c r="V3107" s="26" t="s">
        <v>798</v>
      </c>
      <c r="W3107" s="20" t="s">
        <v>798</v>
      </c>
      <c r="X3107" s="26" t="s">
        <v>798</v>
      </c>
      <c r="Y3107" s="20" t="s">
        <v>798</v>
      </c>
      <c r="Z3107" s="69" t="s">
        <v>9486</v>
      </c>
      <c r="AA3107" s="72" t="s">
        <v>9476</v>
      </c>
      <c r="AB3107" s="73" t="s">
        <v>9486</v>
      </c>
      <c r="AC3107" s="74" t="s">
        <v>9562</v>
      </c>
      <c r="AD3107" s="73" t="s">
        <v>9578</v>
      </c>
      <c r="AE3107" s="74" t="s">
        <v>9579</v>
      </c>
    </row>
    <row r="3108" spans="1:31" ht="8.65" customHeight="1" x14ac:dyDescent="0.2">
      <c r="A3108" s="76">
        <v>3108</v>
      </c>
      <c r="B3108" s="67" t="str">
        <f>MID(C3108, FIND("Ifc.", C3108) + 4, 4) &amp; "_" &amp; TEXT(COUNTIF($C$2:C3108, C3108),"0000")</f>
        <v>Enti_0241</v>
      </c>
      <c r="C3108" s="25" t="s">
        <v>874</v>
      </c>
      <c r="D3108" s="69" t="s">
        <v>9453</v>
      </c>
      <c r="E3108" s="70" t="s">
        <v>9457</v>
      </c>
      <c r="F3108" s="26" t="s">
        <v>798</v>
      </c>
      <c r="G3108" s="15" t="s">
        <v>798</v>
      </c>
      <c r="H3108" s="14" t="s">
        <v>798</v>
      </c>
      <c r="I3108" s="15" t="s">
        <v>798</v>
      </c>
      <c r="J3108" s="12" t="s">
        <v>9438</v>
      </c>
      <c r="K3108" s="16" t="s">
        <v>3180</v>
      </c>
      <c r="L3108" s="12" t="s">
        <v>800</v>
      </c>
      <c r="M3108" s="16" t="s">
        <v>4147</v>
      </c>
      <c r="N3108" s="19" t="s">
        <v>798</v>
      </c>
      <c r="O3108" s="20" t="s">
        <v>798</v>
      </c>
      <c r="P3108" s="17" t="s">
        <v>802</v>
      </c>
      <c r="Q3108" s="21" t="s">
        <v>8732</v>
      </c>
      <c r="R3108" s="19" t="s">
        <v>798</v>
      </c>
      <c r="S3108" s="20" t="s">
        <v>798</v>
      </c>
      <c r="T3108" s="17" t="s">
        <v>798</v>
      </c>
      <c r="U3108" s="20" t="s">
        <v>798</v>
      </c>
      <c r="V3108" s="26" t="s">
        <v>798</v>
      </c>
      <c r="W3108" s="20" t="s">
        <v>798</v>
      </c>
      <c r="X3108" s="26" t="s">
        <v>798</v>
      </c>
      <c r="Y3108" s="20" t="s">
        <v>798</v>
      </c>
      <c r="Z3108" s="69" t="s">
        <v>9486</v>
      </c>
      <c r="AA3108" s="72" t="s">
        <v>9476</v>
      </c>
      <c r="AB3108" s="73" t="s">
        <v>9486</v>
      </c>
      <c r="AC3108" s="74" t="s">
        <v>9562</v>
      </c>
      <c r="AD3108" s="73" t="s">
        <v>9578</v>
      </c>
      <c r="AE3108" s="74" t="s">
        <v>9579</v>
      </c>
    </row>
    <row r="3109" spans="1:31" ht="8.65" customHeight="1" x14ac:dyDescent="0.2">
      <c r="A3109" s="76">
        <v>3109</v>
      </c>
      <c r="B3109" s="67" t="str">
        <f>MID(C3109, FIND("Ifc.", C3109) + 4, 4) &amp; "_" &amp; TEXT(COUNTIF($C$2:C3109, C3109),"0000")</f>
        <v>Enti_0242</v>
      </c>
      <c r="C3109" s="25" t="s">
        <v>874</v>
      </c>
      <c r="D3109" s="69" t="s">
        <v>9453</v>
      </c>
      <c r="E3109" s="70" t="s">
        <v>9457</v>
      </c>
      <c r="F3109" s="26" t="s">
        <v>798</v>
      </c>
      <c r="G3109" s="15" t="s">
        <v>798</v>
      </c>
      <c r="H3109" s="14" t="s">
        <v>798</v>
      </c>
      <c r="I3109" s="15" t="s">
        <v>798</v>
      </c>
      <c r="J3109" s="12" t="s">
        <v>9438</v>
      </c>
      <c r="K3109" s="16" t="s">
        <v>3181</v>
      </c>
      <c r="L3109" s="12" t="s">
        <v>800</v>
      </c>
      <c r="M3109" s="16" t="s">
        <v>4148</v>
      </c>
      <c r="N3109" s="19" t="s">
        <v>798</v>
      </c>
      <c r="O3109" s="20" t="s">
        <v>798</v>
      </c>
      <c r="P3109" s="17" t="s">
        <v>802</v>
      </c>
      <c r="Q3109" s="21" t="s">
        <v>8733</v>
      </c>
      <c r="R3109" s="19" t="s">
        <v>798</v>
      </c>
      <c r="S3109" s="20" t="s">
        <v>798</v>
      </c>
      <c r="T3109" s="17" t="s">
        <v>798</v>
      </c>
      <c r="U3109" s="20" t="s">
        <v>798</v>
      </c>
      <c r="V3109" s="26" t="s">
        <v>798</v>
      </c>
      <c r="W3109" s="20" t="s">
        <v>798</v>
      </c>
      <c r="X3109" s="26" t="s">
        <v>798</v>
      </c>
      <c r="Y3109" s="20" t="s">
        <v>798</v>
      </c>
      <c r="Z3109" s="69" t="s">
        <v>9486</v>
      </c>
      <c r="AA3109" s="72" t="s">
        <v>9476</v>
      </c>
      <c r="AB3109" s="73" t="s">
        <v>9486</v>
      </c>
      <c r="AC3109" s="74" t="s">
        <v>9562</v>
      </c>
      <c r="AD3109" s="73" t="s">
        <v>9578</v>
      </c>
      <c r="AE3109" s="74" t="s">
        <v>9579</v>
      </c>
    </row>
    <row r="3110" spans="1:31" ht="8.65" customHeight="1" x14ac:dyDescent="0.2">
      <c r="A3110" s="76">
        <v>3110</v>
      </c>
      <c r="B3110" s="67" t="str">
        <f>MID(C3110, FIND("Ifc.", C3110) + 4, 4) &amp; "_" &amp; TEXT(COUNTIF($C$2:C3110, C3110),"0000")</f>
        <v>Enti_0243</v>
      </c>
      <c r="C3110" s="25" t="s">
        <v>874</v>
      </c>
      <c r="D3110" s="69" t="s">
        <v>9453</v>
      </c>
      <c r="E3110" s="70" t="s">
        <v>9457</v>
      </c>
      <c r="F3110" s="26" t="s">
        <v>798</v>
      </c>
      <c r="G3110" s="15" t="s">
        <v>798</v>
      </c>
      <c r="H3110" s="14" t="s">
        <v>798</v>
      </c>
      <c r="I3110" s="15" t="s">
        <v>798</v>
      </c>
      <c r="J3110" s="12" t="s">
        <v>9438</v>
      </c>
      <c r="K3110" s="16" t="s">
        <v>3182</v>
      </c>
      <c r="L3110" s="12" t="s">
        <v>800</v>
      </c>
      <c r="M3110" s="16" t="s">
        <v>4149</v>
      </c>
      <c r="N3110" s="19" t="s">
        <v>798</v>
      </c>
      <c r="O3110" s="20" t="s">
        <v>798</v>
      </c>
      <c r="P3110" s="17" t="s">
        <v>802</v>
      </c>
      <c r="Q3110" s="21" t="s">
        <v>8734</v>
      </c>
      <c r="R3110" s="19" t="s">
        <v>798</v>
      </c>
      <c r="S3110" s="20" t="s">
        <v>798</v>
      </c>
      <c r="T3110" s="17" t="s">
        <v>798</v>
      </c>
      <c r="U3110" s="20" t="s">
        <v>798</v>
      </c>
      <c r="V3110" s="26" t="s">
        <v>798</v>
      </c>
      <c r="W3110" s="20" t="s">
        <v>798</v>
      </c>
      <c r="X3110" s="26" t="s">
        <v>798</v>
      </c>
      <c r="Y3110" s="20" t="s">
        <v>798</v>
      </c>
      <c r="Z3110" s="69" t="s">
        <v>9486</v>
      </c>
      <c r="AA3110" s="72" t="s">
        <v>9496</v>
      </c>
      <c r="AB3110" s="73" t="s">
        <v>9486</v>
      </c>
      <c r="AC3110" s="74" t="s">
        <v>9562</v>
      </c>
      <c r="AD3110" s="73" t="s">
        <v>9578</v>
      </c>
      <c r="AE3110" s="74" t="s">
        <v>9579</v>
      </c>
    </row>
    <row r="3111" spans="1:31" ht="8.65" customHeight="1" x14ac:dyDescent="0.2">
      <c r="A3111" s="76">
        <v>3111</v>
      </c>
      <c r="B3111" s="67" t="str">
        <f>MID(C3111, FIND("Ifc.", C3111) + 4, 4) &amp; "_" &amp; TEXT(COUNTIF($C$2:C3111, C3111),"0000")</f>
        <v>Enti_0244</v>
      </c>
      <c r="C3111" s="25" t="s">
        <v>874</v>
      </c>
      <c r="D3111" s="69" t="s">
        <v>9453</v>
      </c>
      <c r="E3111" s="70" t="s">
        <v>9457</v>
      </c>
      <c r="F3111" s="26" t="s">
        <v>798</v>
      </c>
      <c r="G3111" s="15" t="s">
        <v>798</v>
      </c>
      <c r="H3111" s="14" t="s">
        <v>798</v>
      </c>
      <c r="I3111" s="15" t="s">
        <v>798</v>
      </c>
      <c r="J3111" s="12" t="s">
        <v>9438</v>
      </c>
      <c r="K3111" s="16" t="s">
        <v>3183</v>
      </c>
      <c r="L3111" s="12" t="s">
        <v>800</v>
      </c>
      <c r="M3111" s="16" t="s">
        <v>4150</v>
      </c>
      <c r="N3111" s="19" t="s">
        <v>798</v>
      </c>
      <c r="O3111" s="20" t="s">
        <v>798</v>
      </c>
      <c r="P3111" s="17" t="s">
        <v>802</v>
      </c>
      <c r="Q3111" s="21" t="s">
        <v>8735</v>
      </c>
      <c r="R3111" s="19" t="s">
        <v>798</v>
      </c>
      <c r="S3111" s="20" t="s">
        <v>798</v>
      </c>
      <c r="T3111" s="17" t="s">
        <v>798</v>
      </c>
      <c r="U3111" s="20" t="s">
        <v>798</v>
      </c>
      <c r="V3111" s="26" t="s">
        <v>798</v>
      </c>
      <c r="W3111" s="20" t="s">
        <v>798</v>
      </c>
      <c r="X3111" s="26" t="s">
        <v>798</v>
      </c>
      <c r="Y3111" s="20" t="s">
        <v>798</v>
      </c>
      <c r="Z3111" s="69" t="s">
        <v>9486</v>
      </c>
      <c r="AA3111" s="72" t="s">
        <v>9496</v>
      </c>
      <c r="AB3111" s="73" t="s">
        <v>9486</v>
      </c>
      <c r="AC3111" s="74" t="s">
        <v>9562</v>
      </c>
      <c r="AD3111" s="73" t="s">
        <v>9578</v>
      </c>
      <c r="AE3111" s="74" t="s">
        <v>9579</v>
      </c>
    </row>
    <row r="3112" spans="1:31" ht="8.65" customHeight="1" x14ac:dyDescent="0.2">
      <c r="A3112" s="76">
        <v>3112</v>
      </c>
      <c r="B3112" s="67" t="str">
        <f>MID(C3112, FIND("Ifc.", C3112) + 4, 4) &amp; "_" &amp; TEXT(COUNTIF($C$2:C3112, C3112),"0000")</f>
        <v>Enti_0245</v>
      </c>
      <c r="C3112" s="25" t="s">
        <v>874</v>
      </c>
      <c r="D3112" s="69" t="s">
        <v>9453</v>
      </c>
      <c r="E3112" s="70" t="s">
        <v>9457</v>
      </c>
      <c r="F3112" s="26" t="s">
        <v>798</v>
      </c>
      <c r="G3112" s="15" t="s">
        <v>798</v>
      </c>
      <c r="H3112" s="14" t="s">
        <v>798</v>
      </c>
      <c r="I3112" s="15" t="s">
        <v>798</v>
      </c>
      <c r="J3112" s="12" t="s">
        <v>9438</v>
      </c>
      <c r="K3112" s="16" t="s">
        <v>3184</v>
      </c>
      <c r="L3112" s="12" t="s">
        <v>800</v>
      </c>
      <c r="M3112" s="16" t="s">
        <v>4151</v>
      </c>
      <c r="N3112" s="19" t="s">
        <v>798</v>
      </c>
      <c r="O3112" s="20" t="s">
        <v>798</v>
      </c>
      <c r="P3112" s="17" t="s">
        <v>802</v>
      </c>
      <c r="Q3112" s="21" t="s">
        <v>8736</v>
      </c>
      <c r="R3112" s="19" t="s">
        <v>798</v>
      </c>
      <c r="S3112" s="20" t="s">
        <v>798</v>
      </c>
      <c r="T3112" s="17" t="s">
        <v>798</v>
      </c>
      <c r="U3112" s="20" t="s">
        <v>798</v>
      </c>
      <c r="V3112" s="26" t="s">
        <v>798</v>
      </c>
      <c r="W3112" s="20" t="s">
        <v>798</v>
      </c>
      <c r="X3112" s="26" t="s">
        <v>798</v>
      </c>
      <c r="Y3112" s="20" t="s">
        <v>798</v>
      </c>
      <c r="Z3112" s="69" t="s">
        <v>9486</v>
      </c>
      <c r="AA3112" s="72" t="s">
        <v>9476</v>
      </c>
      <c r="AB3112" s="73" t="s">
        <v>9486</v>
      </c>
      <c r="AC3112" s="74" t="s">
        <v>9562</v>
      </c>
      <c r="AD3112" s="73" t="s">
        <v>9578</v>
      </c>
      <c r="AE3112" s="74" t="s">
        <v>9579</v>
      </c>
    </row>
    <row r="3113" spans="1:31" ht="8.65" customHeight="1" x14ac:dyDescent="0.2">
      <c r="A3113" s="76">
        <v>3113</v>
      </c>
      <c r="B3113" s="67" t="str">
        <f>MID(C3113, FIND("Ifc.", C3113) + 4, 4) &amp; "_" &amp; TEXT(COUNTIF($C$2:C3113, C3113),"0000")</f>
        <v>Enti_0246</v>
      </c>
      <c r="C3113" s="25" t="s">
        <v>874</v>
      </c>
      <c r="D3113" s="69" t="s">
        <v>9453</v>
      </c>
      <c r="E3113" s="70" t="s">
        <v>9457</v>
      </c>
      <c r="F3113" s="26" t="s">
        <v>798</v>
      </c>
      <c r="G3113" s="15" t="s">
        <v>798</v>
      </c>
      <c r="H3113" s="14" t="s">
        <v>798</v>
      </c>
      <c r="I3113" s="15" t="s">
        <v>798</v>
      </c>
      <c r="J3113" s="12" t="s">
        <v>9438</v>
      </c>
      <c r="K3113" s="16" t="s">
        <v>3185</v>
      </c>
      <c r="L3113" s="12" t="s">
        <v>800</v>
      </c>
      <c r="M3113" s="16" t="s">
        <v>4152</v>
      </c>
      <c r="N3113" s="19" t="s">
        <v>798</v>
      </c>
      <c r="O3113" s="20" t="s">
        <v>798</v>
      </c>
      <c r="P3113" s="17" t="s">
        <v>802</v>
      </c>
      <c r="Q3113" s="21" t="s">
        <v>8737</v>
      </c>
      <c r="R3113" s="19" t="s">
        <v>798</v>
      </c>
      <c r="S3113" s="20" t="s">
        <v>798</v>
      </c>
      <c r="T3113" s="17" t="s">
        <v>798</v>
      </c>
      <c r="U3113" s="20" t="s">
        <v>798</v>
      </c>
      <c r="V3113" s="26" t="s">
        <v>798</v>
      </c>
      <c r="W3113" s="20" t="s">
        <v>798</v>
      </c>
      <c r="X3113" s="26" t="s">
        <v>798</v>
      </c>
      <c r="Y3113" s="20" t="s">
        <v>798</v>
      </c>
      <c r="Z3113" s="69" t="s">
        <v>9486</v>
      </c>
      <c r="AA3113" s="72" t="s">
        <v>9476</v>
      </c>
      <c r="AB3113" s="73" t="s">
        <v>9486</v>
      </c>
      <c r="AC3113" s="74" t="s">
        <v>9562</v>
      </c>
      <c r="AD3113" s="73" t="s">
        <v>9578</v>
      </c>
      <c r="AE3113" s="74" t="s">
        <v>9579</v>
      </c>
    </row>
    <row r="3114" spans="1:31" ht="8.65" customHeight="1" x14ac:dyDescent="0.2">
      <c r="A3114" s="76">
        <v>3114</v>
      </c>
      <c r="B3114" s="67" t="str">
        <f>MID(C3114, FIND("Ifc.", C3114) + 4, 4) &amp; "_" &amp; TEXT(COUNTIF($C$2:C3114, C3114),"0000")</f>
        <v>Enti_0247</v>
      </c>
      <c r="C3114" s="25" t="s">
        <v>874</v>
      </c>
      <c r="D3114" s="69" t="s">
        <v>9453</v>
      </c>
      <c r="E3114" s="70" t="s">
        <v>9457</v>
      </c>
      <c r="F3114" s="26" t="s">
        <v>798</v>
      </c>
      <c r="G3114" s="15" t="s">
        <v>798</v>
      </c>
      <c r="H3114" s="14" t="s">
        <v>798</v>
      </c>
      <c r="I3114" s="15" t="s">
        <v>798</v>
      </c>
      <c r="J3114" s="12" t="s">
        <v>9438</v>
      </c>
      <c r="K3114" s="16" t="s">
        <v>3186</v>
      </c>
      <c r="L3114" s="12" t="s">
        <v>800</v>
      </c>
      <c r="M3114" s="16" t="s">
        <v>4153</v>
      </c>
      <c r="N3114" s="19" t="s">
        <v>798</v>
      </c>
      <c r="O3114" s="20" t="s">
        <v>798</v>
      </c>
      <c r="P3114" s="17" t="s">
        <v>802</v>
      </c>
      <c r="Q3114" s="21" t="s">
        <v>8738</v>
      </c>
      <c r="R3114" s="19" t="s">
        <v>798</v>
      </c>
      <c r="S3114" s="20" t="s">
        <v>798</v>
      </c>
      <c r="T3114" s="17" t="s">
        <v>798</v>
      </c>
      <c r="U3114" s="20" t="s">
        <v>798</v>
      </c>
      <c r="V3114" s="26" t="s">
        <v>798</v>
      </c>
      <c r="W3114" s="20" t="s">
        <v>798</v>
      </c>
      <c r="X3114" s="26" t="s">
        <v>798</v>
      </c>
      <c r="Y3114" s="20" t="s">
        <v>798</v>
      </c>
      <c r="Z3114" s="69" t="s">
        <v>9486</v>
      </c>
      <c r="AA3114" s="72" t="s">
        <v>9476</v>
      </c>
      <c r="AB3114" s="73" t="s">
        <v>9486</v>
      </c>
      <c r="AC3114" s="74" t="s">
        <v>9562</v>
      </c>
      <c r="AD3114" s="73" t="s">
        <v>9578</v>
      </c>
      <c r="AE3114" s="74" t="s">
        <v>9579</v>
      </c>
    </row>
    <row r="3115" spans="1:31" ht="8.65" customHeight="1" x14ac:dyDescent="0.2">
      <c r="A3115" s="76">
        <v>3115</v>
      </c>
      <c r="B3115" s="67" t="str">
        <f>MID(C3115, FIND("Ifc.", C3115) + 4, 4) &amp; "_" &amp; TEXT(COUNTIF($C$2:C3115, C3115),"0000")</f>
        <v>Enti_0248</v>
      </c>
      <c r="C3115" s="25" t="s">
        <v>874</v>
      </c>
      <c r="D3115" s="69" t="s">
        <v>9453</v>
      </c>
      <c r="E3115" s="70" t="s">
        <v>9457</v>
      </c>
      <c r="F3115" s="26" t="s">
        <v>798</v>
      </c>
      <c r="G3115" s="15" t="s">
        <v>798</v>
      </c>
      <c r="H3115" s="14" t="s">
        <v>798</v>
      </c>
      <c r="I3115" s="15" t="s">
        <v>798</v>
      </c>
      <c r="J3115" s="12" t="s">
        <v>9438</v>
      </c>
      <c r="K3115" s="16" t="s">
        <v>3187</v>
      </c>
      <c r="L3115" s="12" t="s">
        <v>800</v>
      </c>
      <c r="M3115" s="16" t="s">
        <v>4154</v>
      </c>
      <c r="N3115" s="19" t="s">
        <v>798</v>
      </c>
      <c r="O3115" s="20" t="s">
        <v>798</v>
      </c>
      <c r="P3115" s="17" t="s">
        <v>802</v>
      </c>
      <c r="Q3115" s="21" t="s">
        <v>8739</v>
      </c>
      <c r="R3115" s="19" t="s">
        <v>798</v>
      </c>
      <c r="S3115" s="20" t="s">
        <v>798</v>
      </c>
      <c r="T3115" s="17" t="s">
        <v>798</v>
      </c>
      <c r="U3115" s="20" t="s">
        <v>798</v>
      </c>
      <c r="V3115" s="26" t="s">
        <v>798</v>
      </c>
      <c r="W3115" s="20" t="s">
        <v>798</v>
      </c>
      <c r="X3115" s="26" t="s">
        <v>798</v>
      </c>
      <c r="Y3115" s="20" t="s">
        <v>798</v>
      </c>
      <c r="Z3115" s="69" t="s">
        <v>9486</v>
      </c>
      <c r="AA3115" s="72" t="s">
        <v>9476</v>
      </c>
      <c r="AB3115" s="73" t="s">
        <v>9486</v>
      </c>
      <c r="AC3115" s="74" t="s">
        <v>9562</v>
      </c>
      <c r="AD3115" s="73" t="s">
        <v>9578</v>
      </c>
      <c r="AE3115" s="74" t="s">
        <v>9595</v>
      </c>
    </row>
    <row r="3116" spans="1:31" ht="8.65" customHeight="1" x14ac:dyDescent="0.2">
      <c r="A3116" s="76">
        <v>3116</v>
      </c>
      <c r="B3116" s="67" t="str">
        <f>MID(C3116, FIND("Ifc.", C3116) + 4, 4) &amp; "_" &amp; TEXT(COUNTIF($C$2:C3116, C3116),"0000")</f>
        <v>Enti_0249</v>
      </c>
      <c r="C3116" s="25" t="s">
        <v>874</v>
      </c>
      <c r="D3116" s="69" t="s">
        <v>9453</v>
      </c>
      <c r="E3116" s="70" t="s">
        <v>9457</v>
      </c>
      <c r="F3116" s="26" t="s">
        <v>798</v>
      </c>
      <c r="G3116" s="15" t="s">
        <v>798</v>
      </c>
      <c r="H3116" s="14" t="s">
        <v>798</v>
      </c>
      <c r="I3116" s="15" t="s">
        <v>798</v>
      </c>
      <c r="J3116" s="12" t="s">
        <v>9438</v>
      </c>
      <c r="K3116" s="16" t="s">
        <v>3188</v>
      </c>
      <c r="L3116" s="12" t="s">
        <v>800</v>
      </c>
      <c r="M3116" s="16" t="s">
        <v>4155</v>
      </c>
      <c r="N3116" s="19" t="s">
        <v>798</v>
      </c>
      <c r="O3116" s="20" t="s">
        <v>798</v>
      </c>
      <c r="P3116" s="17" t="s">
        <v>802</v>
      </c>
      <c r="Q3116" s="21" t="s">
        <v>8740</v>
      </c>
      <c r="R3116" s="19" t="s">
        <v>798</v>
      </c>
      <c r="S3116" s="20" t="s">
        <v>798</v>
      </c>
      <c r="T3116" s="17" t="s">
        <v>798</v>
      </c>
      <c r="U3116" s="20" t="s">
        <v>798</v>
      </c>
      <c r="V3116" s="26" t="s">
        <v>798</v>
      </c>
      <c r="W3116" s="20" t="s">
        <v>798</v>
      </c>
      <c r="X3116" s="26" t="s">
        <v>798</v>
      </c>
      <c r="Y3116" s="20" t="s">
        <v>798</v>
      </c>
      <c r="Z3116" s="69" t="s">
        <v>9486</v>
      </c>
      <c r="AA3116" s="72" t="s">
        <v>9476</v>
      </c>
      <c r="AB3116" s="73" t="s">
        <v>9486</v>
      </c>
      <c r="AC3116" s="74" t="s">
        <v>9562</v>
      </c>
      <c r="AD3116" s="73" t="s">
        <v>9578</v>
      </c>
      <c r="AE3116" s="74" t="s">
        <v>9579</v>
      </c>
    </row>
    <row r="3117" spans="1:31" ht="8.65" customHeight="1" x14ac:dyDescent="0.2">
      <c r="A3117" s="76">
        <v>3117</v>
      </c>
      <c r="B3117" s="67" t="str">
        <f>MID(C3117, FIND("Ifc.", C3117) + 4, 4) &amp; "_" &amp; TEXT(COUNTIF($C$2:C3117, C3117),"0000")</f>
        <v>Enti_0250</v>
      </c>
      <c r="C3117" s="25" t="s">
        <v>874</v>
      </c>
      <c r="D3117" s="69" t="s">
        <v>9453</v>
      </c>
      <c r="E3117" s="70" t="s">
        <v>9457</v>
      </c>
      <c r="F3117" s="26" t="s">
        <v>798</v>
      </c>
      <c r="G3117" s="15" t="s">
        <v>798</v>
      </c>
      <c r="H3117" s="14" t="s">
        <v>798</v>
      </c>
      <c r="I3117" s="15" t="s">
        <v>798</v>
      </c>
      <c r="J3117" s="12" t="s">
        <v>9438</v>
      </c>
      <c r="K3117" s="16" t="s">
        <v>3189</v>
      </c>
      <c r="L3117" s="12" t="s">
        <v>800</v>
      </c>
      <c r="M3117" s="16" t="s">
        <v>4155</v>
      </c>
      <c r="N3117" s="19" t="s">
        <v>798</v>
      </c>
      <c r="O3117" s="20" t="s">
        <v>798</v>
      </c>
      <c r="P3117" s="17" t="s">
        <v>802</v>
      </c>
      <c r="Q3117" s="21" t="s">
        <v>8741</v>
      </c>
      <c r="R3117" s="19" t="s">
        <v>798</v>
      </c>
      <c r="S3117" s="20" t="s">
        <v>798</v>
      </c>
      <c r="T3117" s="17" t="s">
        <v>798</v>
      </c>
      <c r="U3117" s="20" t="s">
        <v>798</v>
      </c>
      <c r="V3117" s="26" t="s">
        <v>798</v>
      </c>
      <c r="W3117" s="20" t="s">
        <v>798</v>
      </c>
      <c r="X3117" s="26" t="s">
        <v>798</v>
      </c>
      <c r="Y3117" s="20" t="s">
        <v>798</v>
      </c>
      <c r="Z3117" s="69" t="s">
        <v>9486</v>
      </c>
      <c r="AA3117" s="72" t="s">
        <v>9476</v>
      </c>
      <c r="AB3117" s="73" t="s">
        <v>9486</v>
      </c>
      <c r="AC3117" s="74" t="s">
        <v>9562</v>
      </c>
      <c r="AD3117" s="73" t="s">
        <v>9578</v>
      </c>
      <c r="AE3117" s="74" t="s">
        <v>9579</v>
      </c>
    </row>
    <row r="3118" spans="1:31" ht="8.65" customHeight="1" x14ac:dyDescent="0.2">
      <c r="A3118" s="76">
        <v>3118</v>
      </c>
      <c r="B3118" s="67" t="str">
        <f>MID(C3118, FIND("Ifc.", C3118) + 4, 4) &amp; "_" &amp; TEXT(COUNTIF($C$2:C3118, C3118),"0000")</f>
        <v>Enti_0251</v>
      </c>
      <c r="C3118" s="25" t="s">
        <v>874</v>
      </c>
      <c r="D3118" s="69" t="s">
        <v>9453</v>
      </c>
      <c r="E3118" s="70" t="s">
        <v>9457</v>
      </c>
      <c r="F3118" s="26" t="s">
        <v>798</v>
      </c>
      <c r="G3118" s="15" t="s">
        <v>798</v>
      </c>
      <c r="H3118" s="14" t="s">
        <v>798</v>
      </c>
      <c r="I3118" s="15" t="s">
        <v>798</v>
      </c>
      <c r="J3118" s="12" t="s">
        <v>9438</v>
      </c>
      <c r="K3118" s="16" t="s">
        <v>3190</v>
      </c>
      <c r="L3118" s="12" t="s">
        <v>800</v>
      </c>
      <c r="M3118" s="16" t="s">
        <v>4156</v>
      </c>
      <c r="N3118" s="19" t="s">
        <v>798</v>
      </c>
      <c r="O3118" s="20" t="s">
        <v>798</v>
      </c>
      <c r="P3118" s="17" t="s">
        <v>802</v>
      </c>
      <c r="Q3118" s="21" t="s">
        <v>8742</v>
      </c>
      <c r="R3118" s="19" t="s">
        <v>798</v>
      </c>
      <c r="S3118" s="20" t="s">
        <v>798</v>
      </c>
      <c r="T3118" s="17" t="s">
        <v>798</v>
      </c>
      <c r="U3118" s="20" t="s">
        <v>798</v>
      </c>
      <c r="V3118" s="26" t="s">
        <v>798</v>
      </c>
      <c r="W3118" s="20" t="s">
        <v>798</v>
      </c>
      <c r="X3118" s="26" t="s">
        <v>798</v>
      </c>
      <c r="Y3118" s="20" t="s">
        <v>798</v>
      </c>
      <c r="Z3118" s="69" t="s">
        <v>9486</v>
      </c>
      <c r="AA3118" s="72" t="s">
        <v>9476</v>
      </c>
      <c r="AB3118" s="73" t="s">
        <v>9486</v>
      </c>
      <c r="AC3118" s="74" t="s">
        <v>9562</v>
      </c>
      <c r="AD3118" s="73" t="s">
        <v>9578</v>
      </c>
      <c r="AE3118" s="74" t="s">
        <v>9579</v>
      </c>
    </row>
    <row r="3119" spans="1:31" ht="8.65" customHeight="1" x14ac:dyDescent="0.2">
      <c r="A3119" s="76">
        <v>3119</v>
      </c>
      <c r="B3119" s="67" t="str">
        <f>MID(C3119, FIND("Ifc.", C3119) + 4, 4) &amp; "_" &amp; TEXT(COUNTIF($C$2:C3119, C3119),"0000")</f>
        <v>Enti_0252</v>
      </c>
      <c r="C3119" s="25" t="s">
        <v>874</v>
      </c>
      <c r="D3119" s="69" t="s">
        <v>9453</v>
      </c>
      <c r="E3119" s="70" t="s">
        <v>9457</v>
      </c>
      <c r="F3119" s="26" t="s">
        <v>798</v>
      </c>
      <c r="G3119" s="15" t="s">
        <v>798</v>
      </c>
      <c r="H3119" s="14" t="s">
        <v>798</v>
      </c>
      <c r="I3119" s="15" t="s">
        <v>798</v>
      </c>
      <c r="J3119" s="12" t="s">
        <v>9438</v>
      </c>
      <c r="K3119" s="16" t="s">
        <v>3191</v>
      </c>
      <c r="L3119" s="12" t="s">
        <v>800</v>
      </c>
      <c r="M3119" s="16" t="s">
        <v>4157</v>
      </c>
      <c r="N3119" s="19" t="s">
        <v>798</v>
      </c>
      <c r="O3119" s="20" t="s">
        <v>798</v>
      </c>
      <c r="P3119" s="17" t="s">
        <v>802</v>
      </c>
      <c r="Q3119" s="21" t="s">
        <v>8743</v>
      </c>
      <c r="R3119" s="19" t="s">
        <v>798</v>
      </c>
      <c r="S3119" s="20" t="s">
        <v>798</v>
      </c>
      <c r="T3119" s="17" t="s">
        <v>798</v>
      </c>
      <c r="U3119" s="20" t="s">
        <v>798</v>
      </c>
      <c r="V3119" s="26" t="s">
        <v>798</v>
      </c>
      <c r="W3119" s="20" t="s">
        <v>798</v>
      </c>
      <c r="X3119" s="26" t="s">
        <v>798</v>
      </c>
      <c r="Y3119" s="20" t="s">
        <v>798</v>
      </c>
      <c r="Z3119" s="69" t="s">
        <v>9486</v>
      </c>
      <c r="AA3119" s="72" t="s">
        <v>9476</v>
      </c>
      <c r="AB3119" s="73" t="s">
        <v>9486</v>
      </c>
      <c r="AC3119" s="74" t="s">
        <v>9562</v>
      </c>
      <c r="AD3119" s="73" t="s">
        <v>9578</v>
      </c>
      <c r="AE3119" s="74" t="s">
        <v>9579</v>
      </c>
    </row>
    <row r="3120" spans="1:31" ht="8.65" customHeight="1" x14ac:dyDescent="0.2">
      <c r="A3120" s="76">
        <v>3120</v>
      </c>
      <c r="B3120" s="67" t="str">
        <f>MID(C3120, FIND("Ifc.", C3120) + 4, 4) &amp; "_" &amp; TEXT(COUNTIF($C$2:C3120, C3120),"0000")</f>
        <v>Enti_0253</v>
      </c>
      <c r="C3120" s="25" t="s">
        <v>874</v>
      </c>
      <c r="D3120" s="69" t="s">
        <v>9453</v>
      </c>
      <c r="E3120" s="70" t="s">
        <v>9457</v>
      </c>
      <c r="F3120" s="26" t="s">
        <v>798</v>
      </c>
      <c r="G3120" s="15" t="s">
        <v>798</v>
      </c>
      <c r="H3120" s="14" t="s">
        <v>798</v>
      </c>
      <c r="I3120" s="15" t="s">
        <v>798</v>
      </c>
      <c r="J3120" s="12" t="s">
        <v>9438</v>
      </c>
      <c r="K3120" s="16" t="s">
        <v>3192</v>
      </c>
      <c r="L3120" s="12" t="s">
        <v>800</v>
      </c>
      <c r="M3120" s="16" t="s">
        <v>4158</v>
      </c>
      <c r="N3120" s="19" t="s">
        <v>798</v>
      </c>
      <c r="O3120" s="20" t="s">
        <v>798</v>
      </c>
      <c r="P3120" s="17" t="s">
        <v>802</v>
      </c>
      <c r="Q3120" s="21" t="s">
        <v>8744</v>
      </c>
      <c r="R3120" s="19" t="s">
        <v>798</v>
      </c>
      <c r="S3120" s="20" t="s">
        <v>798</v>
      </c>
      <c r="T3120" s="17" t="s">
        <v>798</v>
      </c>
      <c r="U3120" s="20" t="s">
        <v>798</v>
      </c>
      <c r="V3120" s="26" t="s">
        <v>798</v>
      </c>
      <c r="W3120" s="20" t="s">
        <v>798</v>
      </c>
      <c r="X3120" s="26" t="s">
        <v>798</v>
      </c>
      <c r="Y3120" s="20" t="s">
        <v>798</v>
      </c>
      <c r="Z3120" s="69" t="s">
        <v>9486</v>
      </c>
      <c r="AA3120" s="72" t="s">
        <v>9476</v>
      </c>
      <c r="AB3120" s="73" t="s">
        <v>9486</v>
      </c>
      <c r="AC3120" s="74" t="s">
        <v>9562</v>
      </c>
      <c r="AD3120" s="73" t="s">
        <v>9578</v>
      </c>
      <c r="AE3120" s="74" t="s">
        <v>9579</v>
      </c>
    </row>
    <row r="3121" spans="1:31" ht="8.65" customHeight="1" x14ac:dyDescent="0.2">
      <c r="A3121" s="76">
        <v>3121</v>
      </c>
      <c r="B3121" s="67" t="str">
        <f>MID(C3121, FIND("Ifc.", C3121) + 4, 4) &amp; "_" &amp; TEXT(COUNTIF($C$2:C3121, C3121),"0000")</f>
        <v>Enti_0254</v>
      </c>
      <c r="C3121" s="25" t="s">
        <v>874</v>
      </c>
      <c r="D3121" s="69" t="s">
        <v>9453</v>
      </c>
      <c r="E3121" s="70" t="s">
        <v>9457</v>
      </c>
      <c r="F3121" s="26" t="s">
        <v>798</v>
      </c>
      <c r="G3121" s="15" t="s">
        <v>798</v>
      </c>
      <c r="H3121" s="14" t="s">
        <v>798</v>
      </c>
      <c r="I3121" s="15" t="s">
        <v>798</v>
      </c>
      <c r="J3121" s="12" t="s">
        <v>9438</v>
      </c>
      <c r="K3121" s="16" t="s">
        <v>3193</v>
      </c>
      <c r="L3121" s="12" t="s">
        <v>800</v>
      </c>
      <c r="M3121" s="16" t="s">
        <v>4159</v>
      </c>
      <c r="N3121" s="19" t="s">
        <v>798</v>
      </c>
      <c r="O3121" s="20" t="s">
        <v>798</v>
      </c>
      <c r="P3121" s="17" t="s">
        <v>802</v>
      </c>
      <c r="Q3121" s="21" t="s">
        <v>8745</v>
      </c>
      <c r="R3121" s="19" t="s">
        <v>798</v>
      </c>
      <c r="S3121" s="20" t="s">
        <v>798</v>
      </c>
      <c r="T3121" s="17" t="s">
        <v>798</v>
      </c>
      <c r="U3121" s="20" t="s">
        <v>798</v>
      </c>
      <c r="V3121" s="26" t="s">
        <v>798</v>
      </c>
      <c r="W3121" s="20" t="s">
        <v>798</v>
      </c>
      <c r="X3121" s="26" t="s">
        <v>798</v>
      </c>
      <c r="Y3121" s="20" t="s">
        <v>798</v>
      </c>
      <c r="Z3121" s="69" t="s">
        <v>9486</v>
      </c>
      <c r="AA3121" s="72" t="s">
        <v>9496</v>
      </c>
      <c r="AB3121" s="73" t="s">
        <v>9486</v>
      </c>
      <c r="AC3121" s="74" t="s">
        <v>9562</v>
      </c>
      <c r="AD3121" s="73" t="s">
        <v>9578</v>
      </c>
      <c r="AE3121" s="74" t="s">
        <v>9579</v>
      </c>
    </row>
    <row r="3122" spans="1:31" ht="8.65" customHeight="1" x14ac:dyDescent="0.2">
      <c r="A3122" s="76">
        <v>3122</v>
      </c>
      <c r="B3122" s="67" t="str">
        <f>MID(C3122, FIND("Ifc.", C3122) + 4, 4) &amp; "_" &amp; TEXT(COUNTIF($C$2:C3122, C3122),"0000")</f>
        <v>Enti_0255</v>
      </c>
      <c r="C3122" s="25" t="s">
        <v>874</v>
      </c>
      <c r="D3122" s="69" t="s">
        <v>9453</v>
      </c>
      <c r="E3122" s="70" t="s">
        <v>9457</v>
      </c>
      <c r="F3122" s="26" t="s">
        <v>798</v>
      </c>
      <c r="G3122" s="15" t="s">
        <v>798</v>
      </c>
      <c r="H3122" s="14" t="s">
        <v>798</v>
      </c>
      <c r="I3122" s="15" t="s">
        <v>798</v>
      </c>
      <c r="J3122" s="12" t="s">
        <v>9438</v>
      </c>
      <c r="K3122" s="16" t="s">
        <v>3194</v>
      </c>
      <c r="L3122" s="12" t="s">
        <v>800</v>
      </c>
      <c r="M3122" s="16" t="s">
        <v>4160</v>
      </c>
      <c r="N3122" s="19" t="s">
        <v>798</v>
      </c>
      <c r="O3122" s="20" t="s">
        <v>798</v>
      </c>
      <c r="P3122" s="17" t="s">
        <v>802</v>
      </c>
      <c r="Q3122" s="21" t="s">
        <v>8746</v>
      </c>
      <c r="R3122" s="19" t="s">
        <v>798</v>
      </c>
      <c r="S3122" s="20" t="s">
        <v>798</v>
      </c>
      <c r="T3122" s="17" t="s">
        <v>798</v>
      </c>
      <c r="U3122" s="20" t="s">
        <v>798</v>
      </c>
      <c r="V3122" s="26" t="s">
        <v>798</v>
      </c>
      <c r="W3122" s="20" t="s">
        <v>798</v>
      </c>
      <c r="X3122" s="26" t="s">
        <v>798</v>
      </c>
      <c r="Y3122" s="20" t="s">
        <v>798</v>
      </c>
      <c r="Z3122" s="69" t="s">
        <v>9486</v>
      </c>
      <c r="AA3122" s="72" t="s">
        <v>9496</v>
      </c>
      <c r="AB3122" s="73" t="s">
        <v>9486</v>
      </c>
      <c r="AC3122" s="74" t="s">
        <v>9562</v>
      </c>
      <c r="AD3122" s="73" t="s">
        <v>9578</v>
      </c>
      <c r="AE3122" s="74" t="s">
        <v>9579</v>
      </c>
    </row>
    <row r="3123" spans="1:31" ht="8.65" customHeight="1" x14ac:dyDescent="0.2">
      <c r="A3123" s="76">
        <v>3123</v>
      </c>
      <c r="B3123" s="67" t="str">
        <f>MID(C3123, FIND("Ifc.", C3123) + 4, 4) &amp; "_" &amp; TEXT(COUNTIF($C$2:C3123, C3123),"0000")</f>
        <v>Enti_0256</v>
      </c>
      <c r="C3123" s="25" t="s">
        <v>874</v>
      </c>
      <c r="D3123" s="69" t="s">
        <v>9453</v>
      </c>
      <c r="E3123" s="70" t="s">
        <v>9457</v>
      </c>
      <c r="F3123" s="26" t="s">
        <v>798</v>
      </c>
      <c r="G3123" s="15" t="s">
        <v>798</v>
      </c>
      <c r="H3123" s="14" t="s">
        <v>798</v>
      </c>
      <c r="I3123" s="15" t="s">
        <v>798</v>
      </c>
      <c r="J3123" s="12" t="s">
        <v>9438</v>
      </c>
      <c r="K3123" s="16" t="s">
        <v>3195</v>
      </c>
      <c r="L3123" s="12" t="s">
        <v>800</v>
      </c>
      <c r="M3123" s="16" t="s">
        <v>4161</v>
      </c>
      <c r="N3123" s="19" t="s">
        <v>798</v>
      </c>
      <c r="O3123" s="20" t="s">
        <v>798</v>
      </c>
      <c r="P3123" s="17" t="s">
        <v>802</v>
      </c>
      <c r="Q3123" s="21" t="s">
        <v>8747</v>
      </c>
      <c r="R3123" s="19" t="s">
        <v>798</v>
      </c>
      <c r="S3123" s="20" t="s">
        <v>798</v>
      </c>
      <c r="T3123" s="17" t="s">
        <v>798</v>
      </c>
      <c r="U3123" s="20" t="s">
        <v>798</v>
      </c>
      <c r="V3123" s="26" t="s">
        <v>798</v>
      </c>
      <c r="W3123" s="20" t="s">
        <v>798</v>
      </c>
      <c r="X3123" s="26" t="s">
        <v>798</v>
      </c>
      <c r="Y3123" s="20" t="s">
        <v>798</v>
      </c>
      <c r="Z3123" s="69" t="s">
        <v>9486</v>
      </c>
      <c r="AA3123" s="72" t="s">
        <v>9476</v>
      </c>
      <c r="AB3123" s="73" t="s">
        <v>9486</v>
      </c>
      <c r="AC3123" s="74" t="s">
        <v>9562</v>
      </c>
      <c r="AD3123" s="73" t="s">
        <v>9578</v>
      </c>
      <c r="AE3123" s="74" t="s">
        <v>9579</v>
      </c>
    </row>
    <row r="3124" spans="1:31" ht="8.65" customHeight="1" x14ac:dyDescent="0.2">
      <c r="A3124" s="76">
        <v>3124</v>
      </c>
      <c r="B3124" s="67" t="str">
        <f>MID(C3124, FIND("Ifc.", C3124) + 4, 4) &amp; "_" &amp; TEXT(COUNTIF($C$2:C3124, C3124),"0000")</f>
        <v>Enti_0257</v>
      </c>
      <c r="C3124" s="25" t="s">
        <v>874</v>
      </c>
      <c r="D3124" s="69" t="s">
        <v>9453</v>
      </c>
      <c r="E3124" s="70" t="s">
        <v>9457</v>
      </c>
      <c r="F3124" s="26" t="s">
        <v>798</v>
      </c>
      <c r="G3124" s="15" t="s">
        <v>798</v>
      </c>
      <c r="H3124" s="14" t="s">
        <v>798</v>
      </c>
      <c r="I3124" s="15" t="s">
        <v>798</v>
      </c>
      <c r="J3124" s="12" t="s">
        <v>9438</v>
      </c>
      <c r="K3124" s="16" t="s">
        <v>3196</v>
      </c>
      <c r="L3124" s="12" t="s">
        <v>800</v>
      </c>
      <c r="M3124" s="16" t="s">
        <v>4162</v>
      </c>
      <c r="N3124" s="19" t="s">
        <v>798</v>
      </c>
      <c r="O3124" s="20" t="s">
        <v>798</v>
      </c>
      <c r="P3124" s="17" t="s">
        <v>802</v>
      </c>
      <c r="Q3124" s="21" t="s">
        <v>8748</v>
      </c>
      <c r="R3124" s="19" t="s">
        <v>798</v>
      </c>
      <c r="S3124" s="20" t="s">
        <v>798</v>
      </c>
      <c r="T3124" s="17" t="s">
        <v>798</v>
      </c>
      <c r="U3124" s="20" t="s">
        <v>798</v>
      </c>
      <c r="V3124" s="26" t="s">
        <v>798</v>
      </c>
      <c r="W3124" s="20" t="s">
        <v>798</v>
      </c>
      <c r="X3124" s="26" t="s">
        <v>798</v>
      </c>
      <c r="Y3124" s="20" t="s">
        <v>798</v>
      </c>
      <c r="Z3124" s="69" t="s">
        <v>9486</v>
      </c>
      <c r="AA3124" s="72" t="s">
        <v>9496</v>
      </c>
      <c r="AB3124" s="73" t="s">
        <v>9486</v>
      </c>
      <c r="AC3124" s="74" t="s">
        <v>9562</v>
      </c>
      <c r="AD3124" s="73" t="s">
        <v>9578</v>
      </c>
      <c r="AE3124" s="74" t="s">
        <v>9579</v>
      </c>
    </row>
    <row r="3125" spans="1:31" ht="8.65" customHeight="1" x14ac:dyDescent="0.2">
      <c r="A3125" s="76">
        <v>3125</v>
      </c>
      <c r="B3125" s="67" t="str">
        <f>MID(C3125, FIND("Ifc.", C3125) + 4, 4) &amp; "_" &amp; TEXT(COUNTIF($C$2:C3125, C3125),"0000")</f>
        <v>Enti_0258</v>
      </c>
      <c r="C3125" s="25" t="s">
        <v>874</v>
      </c>
      <c r="D3125" s="69" t="s">
        <v>9453</v>
      </c>
      <c r="E3125" s="70" t="s">
        <v>9457</v>
      </c>
      <c r="F3125" s="26" t="s">
        <v>798</v>
      </c>
      <c r="G3125" s="15" t="s">
        <v>798</v>
      </c>
      <c r="H3125" s="14" t="s">
        <v>798</v>
      </c>
      <c r="I3125" s="15" t="s">
        <v>798</v>
      </c>
      <c r="J3125" s="12" t="s">
        <v>9438</v>
      </c>
      <c r="K3125" s="16" t="s">
        <v>3197</v>
      </c>
      <c r="L3125" s="12" t="s">
        <v>800</v>
      </c>
      <c r="M3125" s="16" t="s">
        <v>4163</v>
      </c>
      <c r="N3125" s="19" t="s">
        <v>798</v>
      </c>
      <c r="O3125" s="20" t="s">
        <v>798</v>
      </c>
      <c r="P3125" s="17" t="s">
        <v>802</v>
      </c>
      <c r="Q3125" s="21" t="s">
        <v>8749</v>
      </c>
      <c r="R3125" s="19" t="s">
        <v>798</v>
      </c>
      <c r="S3125" s="20" t="s">
        <v>798</v>
      </c>
      <c r="T3125" s="17" t="s">
        <v>798</v>
      </c>
      <c r="U3125" s="20" t="s">
        <v>798</v>
      </c>
      <c r="V3125" s="26" t="s">
        <v>798</v>
      </c>
      <c r="W3125" s="20" t="s">
        <v>798</v>
      </c>
      <c r="X3125" s="26" t="s">
        <v>798</v>
      </c>
      <c r="Y3125" s="20" t="s">
        <v>798</v>
      </c>
      <c r="Z3125" s="69" t="s">
        <v>9486</v>
      </c>
      <c r="AA3125" s="72" t="s">
        <v>9476</v>
      </c>
      <c r="AB3125" s="73" t="s">
        <v>9486</v>
      </c>
      <c r="AC3125" s="74" t="s">
        <v>9562</v>
      </c>
      <c r="AD3125" s="73" t="s">
        <v>9578</v>
      </c>
      <c r="AE3125" s="74" t="s">
        <v>9595</v>
      </c>
    </row>
    <row r="3126" spans="1:31" ht="8.65" customHeight="1" x14ac:dyDescent="0.2">
      <c r="A3126" s="76">
        <v>3126</v>
      </c>
      <c r="B3126" s="67" t="str">
        <f>MID(C3126, FIND("Ifc.", C3126) + 4, 4) &amp; "_" &amp; TEXT(COUNTIF($C$2:C3126, C3126),"0000")</f>
        <v>Enti_0259</v>
      </c>
      <c r="C3126" s="25" t="s">
        <v>874</v>
      </c>
      <c r="D3126" s="69" t="s">
        <v>9453</v>
      </c>
      <c r="E3126" s="70" t="s">
        <v>9457</v>
      </c>
      <c r="F3126" s="26" t="s">
        <v>798</v>
      </c>
      <c r="G3126" s="15" t="s">
        <v>798</v>
      </c>
      <c r="H3126" s="14" t="s">
        <v>798</v>
      </c>
      <c r="I3126" s="15" t="s">
        <v>798</v>
      </c>
      <c r="J3126" s="12" t="s">
        <v>9438</v>
      </c>
      <c r="K3126" s="16" t="s">
        <v>3198</v>
      </c>
      <c r="L3126" s="12" t="s">
        <v>800</v>
      </c>
      <c r="M3126" s="16" t="s">
        <v>4164</v>
      </c>
      <c r="N3126" s="19" t="s">
        <v>798</v>
      </c>
      <c r="O3126" s="20" t="s">
        <v>798</v>
      </c>
      <c r="P3126" s="17" t="s">
        <v>802</v>
      </c>
      <c r="Q3126" s="21" t="s">
        <v>8750</v>
      </c>
      <c r="R3126" s="19" t="s">
        <v>798</v>
      </c>
      <c r="S3126" s="20" t="s">
        <v>798</v>
      </c>
      <c r="T3126" s="17" t="s">
        <v>798</v>
      </c>
      <c r="U3126" s="20" t="s">
        <v>798</v>
      </c>
      <c r="V3126" s="26" t="s">
        <v>798</v>
      </c>
      <c r="W3126" s="20" t="s">
        <v>798</v>
      </c>
      <c r="X3126" s="26" t="s">
        <v>798</v>
      </c>
      <c r="Y3126" s="20" t="s">
        <v>798</v>
      </c>
      <c r="Z3126" s="69" t="s">
        <v>9486</v>
      </c>
      <c r="AA3126" s="72" t="s">
        <v>9476</v>
      </c>
      <c r="AB3126" s="73" t="s">
        <v>9486</v>
      </c>
      <c r="AC3126" s="74" t="s">
        <v>9562</v>
      </c>
      <c r="AD3126" s="73" t="s">
        <v>9578</v>
      </c>
      <c r="AE3126" s="74" t="s">
        <v>9579</v>
      </c>
    </row>
    <row r="3127" spans="1:31" ht="8.65" customHeight="1" x14ac:dyDescent="0.2">
      <c r="A3127" s="76">
        <v>3127</v>
      </c>
      <c r="B3127" s="67" t="str">
        <f>MID(C3127, FIND("Ifc.", C3127) + 4, 4) &amp; "_" &amp; TEXT(COUNTIF($C$2:C3127, C3127),"0000")</f>
        <v>Enti_0260</v>
      </c>
      <c r="C3127" s="25" t="s">
        <v>874</v>
      </c>
      <c r="D3127" s="69" t="s">
        <v>9453</v>
      </c>
      <c r="E3127" s="70" t="s">
        <v>9457</v>
      </c>
      <c r="F3127" s="26" t="s">
        <v>798</v>
      </c>
      <c r="G3127" s="15" t="s">
        <v>798</v>
      </c>
      <c r="H3127" s="14" t="s">
        <v>798</v>
      </c>
      <c r="I3127" s="15" t="s">
        <v>798</v>
      </c>
      <c r="J3127" s="12" t="s">
        <v>9438</v>
      </c>
      <c r="K3127" s="16" t="s">
        <v>3199</v>
      </c>
      <c r="L3127" s="12" t="s">
        <v>800</v>
      </c>
      <c r="M3127" s="16" t="s">
        <v>4165</v>
      </c>
      <c r="N3127" s="19" t="s">
        <v>798</v>
      </c>
      <c r="O3127" s="20" t="s">
        <v>798</v>
      </c>
      <c r="P3127" s="17" t="s">
        <v>802</v>
      </c>
      <c r="Q3127" s="21" t="s">
        <v>8751</v>
      </c>
      <c r="R3127" s="19" t="s">
        <v>798</v>
      </c>
      <c r="S3127" s="20" t="s">
        <v>798</v>
      </c>
      <c r="T3127" s="17" t="s">
        <v>798</v>
      </c>
      <c r="U3127" s="20" t="s">
        <v>798</v>
      </c>
      <c r="V3127" s="26" t="s">
        <v>798</v>
      </c>
      <c r="W3127" s="20" t="s">
        <v>798</v>
      </c>
      <c r="X3127" s="26" t="s">
        <v>798</v>
      </c>
      <c r="Y3127" s="20" t="s">
        <v>798</v>
      </c>
      <c r="Z3127" s="69" t="s">
        <v>9486</v>
      </c>
      <c r="AA3127" s="72" t="s">
        <v>9496</v>
      </c>
      <c r="AB3127" s="73" t="s">
        <v>9486</v>
      </c>
      <c r="AC3127" s="74" t="s">
        <v>9562</v>
      </c>
      <c r="AD3127" s="73" t="s">
        <v>9578</v>
      </c>
      <c r="AE3127" s="74" t="s">
        <v>9579</v>
      </c>
    </row>
    <row r="3128" spans="1:31" ht="8.65" customHeight="1" x14ac:dyDescent="0.2">
      <c r="A3128" s="76">
        <v>3128</v>
      </c>
      <c r="B3128" s="67" t="str">
        <f>MID(C3128, FIND("Ifc.", C3128) + 4, 4) &amp; "_" &amp; TEXT(COUNTIF($C$2:C3128, C3128),"0000")</f>
        <v>Enti_0261</v>
      </c>
      <c r="C3128" s="25" t="s">
        <v>874</v>
      </c>
      <c r="D3128" s="69" t="s">
        <v>9453</v>
      </c>
      <c r="E3128" s="70" t="s">
        <v>9457</v>
      </c>
      <c r="F3128" s="26" t="s">
        <v>798</v>
      </c>
      <c r="G3128" s="15" t="s">
        <v>798</v>
      </c>
      <c r="H3128" s="14" t="s">
        <v>798</v>
      </c>
      <c r="I3128" s="15" t="s">
        <v>798</v>
      </c>
      <c r="J3128" s="12" t="s">
        <v>9438</v>
      </c>
      <c r="K3128" s="16" t="s">
        <v>3200</v>
      </c>
      <c r="L3128" s="12" t="s">
        <v>800</v>
      </c>
      <c r="M3128" s="16" t="s">
        <v>4166</v>
      </c>
      <c r="N3128" s="19" t="s">
        <v>798</v>
      </c>
      <c r="O3128" s="20" t="s">
        <v>798</v>
      </c>
      <c r="P3128" s="17" t="s">
        <v>802</v>
      </c>
      <c r="Q3128" s="21" t="s">
        <v>8752</v>
      </c>
      <c r="R3128" s="19" t="s">
        <v>798</v>
      </c>
      <c r="S3128" s="20" t="s">
        <v>798</v>
      </c>
      <c r="T3128" s="17" t="s">
        <v>798</v>
      </c>
      <c r="U3128" s="20" t="s">
        <v>798</v>
      </c>
      <c r="V3128" s="26" t="s">
        <v>798</v>
      </c>
      <c r="W3128" s="20" t="s">
        <v>798</v>
      </c>
      <c r="X3128" s="26" t="s">
        <v>798</v>
      </c>
      <c r="Y3128" s="20" t="s">
        <v>798</v>
      </c>
      <c r="Z3128" s="69" t="s">
        <v>9486</v>
      </c>
      <c r="AA3128" s="72" t="s">
        <v>9476</v>
      </c>
      <c r="AB3128" s="73" t="s">
        <v>9486</v>
      </c>
      <c r="AC3128" s="74" t="s">
        <v>9562</v>
      </c>
      <c r="AD3128" s="73" t="s">
        <v>9578</v>
      </c>
      <c r="AE3128" s="74" t="s">
        <v>9579</v>
      </c>
    </row>
    <row r="3129" spans="1:31" ht="8.65" customHeight="1" x14ac:dyDescent="0.2">
      <c r="A3129" s="76">
        <v>3129</v>
      </c>
      <c r="B3129" s="67" t="str">
        <f>MID(C3129, FIND("Ifc.", C3129) + 4, 4) &amp; "_" &amp; TEXT(COUNTIF($C$2:C3129, C3129),"0000")</f>
        <v>Enti_0262</v>
      </c>
      <c r="C3129" s="25" t="s">
        <v>874</v>
      </c>
      <c r="D3129" s="69" t="s">
        <v>9453</v>
      </c>
      <c r="E3129" s="70" t="s">
        <v>9457</v>
      </c>
      <c r="F3129" s="26" t="s">
        <v>798</v>
      </c>
      <c r="G3129" s="15" t="s">
        <v>798</v>
      </c>
      <c r="H3129" s="14" t="s">
        <v>798</v>
      </c>
      <c r="I3129" s="15" t="s">
        <v>798</v>
      </c>
      <c r="J3129" s="12" t="s">
        <v>9438</v>
      </c>
      <c r="K3129" s="16" t="s">
        <v>3201</v>
      </c>
      <c r="L3129" s="12" t="s">
        <v>800</v>
      </c>
      <c r="M3129" s="16" t="s">
        <v>4167</v>
      </c>
      <c r="N3129" s="19" t="s">
        <v>798</v>
      </c>
      <c r="O3129" s="20" t="s">
        <v>798</v>
      </c>
      <c r="P3129" s="17" t="s">
        <v>802</v>
      </c>
      <c r="Q3129" s="21" t="s">
        <v>8753</v>
      </c>
      <c r="R3129" s="19" t="s">
        <v>798</v>
      </c>
      <c r="S3129" s="20" t="s">
        <v>798</v>
      </c>
      <c r="T3129" s="17" t="s">
        <v>798</v>
      </c>
      <c r="U3129" s="20" t="s">
        <v>798</v>
      </c>
      <c r="V3129" s="26" t="s">
        <v>798</v>
      </c>
      <c r="W3129" s="20" t="s">
        <v>798</v>
      </c>
      <c r="X3129" s="26" t="s">
        <v>798</v>
      </c>
      <c r="Y3129" s="20" t="s">
        <v>798</v>
      </c>
      <c r="Z3129" s="69" t="s">
        <v>9486</v>
      </c>
      <c r="AA3129" s="72" t="s">
        <v>9476</v>
      </c>
      <c r="AB3129" s="73" t="s">
        <v>9486</v>
      </c>
      <c r="AC3129" s="74" t="s">
        <v>9562</v>
      </c>
      <c r="AD3129" s="73" t="s">
        <v>9578</v>
      </c>
      <c r="AE3129" s="74" t="s">
        <v>9579</v>
      </c>
    </row>
    <row r="3130" spans="1:31" ht="8.65" customHeight="1" x14ac:dyDescent="0.2">
      <c r="A3130" s="76">
        <v>3130</v>
      </c>
      <c r="B3130" s="67" t="str">
        <f>MID(C3130, FIND("Ifc.", C3130) + 4, 4) &amp; "_" &amp; TEXT(COUNTIF($C$2:C3130, C3130),"0000")</f>
        <v>Enti_0263</v>
      </c>
      <c r="C3130" s="25" t="s">
        <v>874</v>
      </c>
      <c r="D3130" s="69" t="s">
        <v>9453</v>
      </c>
      <c r="E3130" s="70" t="s">
        <v>9457</v>
      </c>
      <c r="F3130" s="26" t="s">
        <v>798</v>
      </c>
      <c r="G3130" s="15" t="s">
        <v>798</v>
      </c>
      <c r="H3130" s="14" t="s">
        <v>798</v>
      </c>
      <c r="I3130" s="15" t="s">
        <v>798</v>
      </c>
      <c r="J3130" s="12" t="s">
        <v>9438</v>
      </c>
      <c r="K3130" s="16" t="s">
        <v>3202</v>
      </c>
      <c r="L3130" s="12" t="s">
        <v>800</v>
      </c>
      <c r="M3130" s="16" t="s">
        <v>4168</v>
      </c>
      <c r="N3130" s="19" t="s">
        <v>798</v>
      </c>
      <c r="O3130" s="20" t="s">
        <v>798</v>
      </c>
      <c r="P3130" s="17" t="s">
        <v>802</v>
      </c>
      <c r="Q3130" s="21" t="s">
        <v>8754</v>
      </c>
      <c r="R3130" s="19" t="s">
        <v>798</v>
      </c>
      <c r="S3130" s="20" t="s">
        <v>798</v>
      </c>
      <c r="T3130" s="17" t="s">
        <v>798</v>
      </c>
      <c r="U3130" s="20" t="s">
        <v>798</v>
      </c>
      <c r="V3130" s="26" t="s">
        <v>798</v>
      </c>
      <c r="W3130" s="20" t="s">
        <v>798</v>
      </c>
      <c r="X3130" s="26" t="s">
        <v>798</v>
      </c>
      <c r="Y3130" s="20" t="s">
        <v>798</v>
      </c>
      <c r="Z3130" s="69" t="s">
        <v>9486</v>
      </c>
      <c r="AA3130" s="72" t="s">
        <v>9476</v>
      </c>
      <c r="AB3130" s="73" t="s">
        <v>9486</v>
      </c>
      <c r="AC3130" s="74" t="s">
        <v>9562</v>
      </c>
      <c r="AD3130" s="73" t="s">
        <v>9578</v>
      </c>
      <c r="AE3130" s="74" t="s">
        <v>9579</v>
      </c>
    </row>
    <row r="3131" spans="1:31" ht="8.65" customHeight="1" x14ac:dyDescent="0.2">
      <c r="A3131" s="76">
        <v>3131</v>
      </c>
      <c r="B3131" s="67" t="str">
        <f>MID(C3131, FIND("Ifc.", C3131) + 4, 4) &amp; "_" &amp; TEXT(COUNTIF($C$2:C3131, C3131),"0000")</f>
        <v>Enti_0264</v>
      </c>
      <c r="C3131" s="25" t="s">
        <v>874</v>
      </c>
      <c r="D3131" s="69" t="s">
        <v>9453</v>
      </c>
      <c r="E3131" s="70" t="s">
        <v>9457</v>
      </c>
      <c r="F3131" s="26" t="s">
        <v>798</v>
      </c>
      <c r="G3131" s="15" t="s">
        <v>798</v>
      </c>
      <c r="H3131" s="14" t="s">
        <v>798</v>
      </c>
      <c r="I3131" s="15" t="s">
        <v>798</v>
      </c>
      <c r="J3131" s="12" t="s">
        <v>9438</v>
      </c>
      <c r="K3131" s="16" t="s">
        <v>3203</v>
      </c>
      <c r="L3131" s="12" t="s">
        <v>800</v>
      </c>
      <c r="M3131" s="16" t="s">
        <v>4169</v>
      </c>
      <c r="N3131" s="19" t="s">
        <v>798</v>
      </c>
      <c r="O3131" s="20" t="s">
        <v>798</v>
      </c>
      <c r="P3131" s="17" t="s">
        <v>802</v>
      </c>
      <c r="Q3131" s="21" t="s">
        <v>8755</v>
      </c>
      <c r="R3131" s="19" t="s">
        <v>798</v>
      </c>
      <c r="S3131" s="20" t="s">
        <v>798</v>
      </c>
      <c r="T3131" s="17" t="s">
        <v>798</v>
      </c>
      <c r="U3131" s="20" t="s">
        <v>798</v>
      </c>
      <c r="V3131" s="26" t="s">
        <v>798</v>
      </c>
      <c r="W3131" s="20" t="s">
        <v>798</v>
      </c>
      <c r="X3131" s="26" t="s">
        <v>798</v>
      </c>
      <c r="Y3131" s="20" t="s">
        <v>798</v>
      </c>
      <c r="Z3131" s="69" t="s">
        <v>9486</v>
      </c>
      <c r="AA3131" s="72" t="s">
        <v>9476</v>
      </c>
      <c r="AB3131" s="73" t="s">
        <v>9486</v>
      </c>
      <c r="AC3131" s="74" t="s">
        <v>9562</v>
      </c>
      <c r="AD3131" s="73" t="s">
        <v>9578</v>
      </c>
      <c r="AE3131" s="74" t="s">
        <v>9579</v>
      </c>
    </row>
    <row r="3132" spans="1:31" ht="8.65" customHeight="1" x14ac:dyDescent="0.2">
      <c r="A3132" s="76">
        <v>3132</v>
      </c>
      <c r="B3132" s="67" t="str">
        <f>MID(C3132, FIND("Ifc.", C3132) + 4, 4) &amp; "_" &amp; TEXT(COUNTIF($C$2:C3132, C3132),"0000")</f>
        <v>Enti_0265</v>
      </c>
      <c r="C3132" s="25" t="s">
        <v>874</v>
      </c>
      <c r="D3132" s="69" t="s">
        <v>9453</v>
      </c>
      <c r="E3132" s="70" t="s">
        <v>9457</v>
      </c>
      <c r="F3132" s="26" t="s">
        <v>798</v>
      </c>
      <c r="G3132" s="15" t="s">
        <v>798</v>
      </c>
      <c r="H3132" s="14" t="s">
        <v>798</v>
      </c>
      <c r="I3132" s="15" t="s">
        <v>798</v>
      </c>
      <c r="J3132" s="12" t="s">
        <v>9438</v>
      </c>
      <c r="K3132" s="16" t="s">
        <v>3204</v>
      </c>
      <c r="L3132" s="12" t="s">
        <v>800</v>
      </c>
      <c r="M3132" s="16" t="s">
        <v>4170</v>
      </c>
      <c r="N3132" s="19" t="s">
        <v>798</v>
      </c>
      <c r="O3132" s="20" t="s">
        <v>798</v>
      </c>
      <c r="P3132" s="17" t="s">
        <v>802</v>
      </c>
      <c r="Q3132" s="21" t="s">
        <v>8756</v>
      </c>
      <c r="R3132" s="19" t="s">
        <v>798</v>
      </c>
      <c r="S3132" s="20" t="s">
        <v>798</v>
      </c>
      <c r="T3132" s="17" t="s">
        <v>798</v>
      </c>
      <c r="U3132" s="20" t="s">
        <v>798</v>
      </c>
      <c r="V3132" s="26" t="s">
        <v>798</v>
      </c>
      <c r="W3132" s="20" t="s">
        <v>798</v>
      </c>
      <c r="X3132" s="26" t="s">
        <v>798</v>
      </c>
      <c r="Y3132" s="20" t="s">
        <v>798</v>
      </c>
      <c r="Z3132" s="69" t="s">
        <v>9486</v>
      </c>
      <c r="AA3132" s="72" t="s">
        <v>9476</v>
      </c>
      <c r="AB3132" s="73" t="s">
        <v>9486</v>
      </c>
      <c r="AC3132" s="74" t="s">
        <v>9562</v>
      </c>
      <c r="AD3132" s="73" t="s">
        <v>9578</v>
      </c>
      <c r="AE3132" s="74" t="s">
        <v>9579</v>
      </c>
    </row>
    <row r="3133" spans="1:31" ht="8.65" customHeight="1" x14ac:dyDescent="0.2">
      <c r="A3133" s="76">
        <v>3133</v>
      </c>
      <c r="B3133" s="67" t="str">
        <f>MID(C3133, FIND("Ifc.", C3133) + 4, 4) &amp; "_" &amp; TEXT(COUNTIF($C$2:C3133, C3133),"0000")</f>
        <v>Enti_0266</v>
      </c>
      <c r="C3133" s="25" t="s">
        <v>874</v>
      </c>
      <c r="D3133" s="69" t="s">
        <v>9453</v>
      </c>
      <c r="E3133" s="70" t="s">
        <v>9457</v>
      </c>
      <c r="F3133" s="26" t="s">
        <v>798</v>
      </c>
      <c r="G3133" s="15" t="s">
        <v>798</v>
      </c>
      <c r="H3133" s="14" t="s">
        <v>798</v>
      </c>
      <c r="I3133" s="15" t="s">
        <v>798</v>
      </c>
      <c r="J3133" s="12" t="s">
        <v>9438</v>
      </c>
      <c r="K3133" s="16" t="s">
        <v>3205</v>
      </c>
      <c r="L3133" s="12" t="s">
        <v>800</v>
      </c>
      <c r="M3133" s="16" t="s">
        <v>4171</v>
      </c>
      <c r="N3133" s="19" t="s">
        <v>798</v>
      </c>
      <c r="O3133" s="20" t="s">
        <v>798</v>
      </c>
      <c r="P3133" s="17" t="s">
        <v>802</v>
      </c>
      <c r="Q3133" s="21" t="s">
        <v>8757</v>
      </c>
      <c r="R3133" s="19" t="s">
        <v>798</v>
      </c>
      <c r="S3133" s="20" t="s">
        <v>798</v>
      </c>
      <c r="T3133" s="17" t="s">
        <v>798</v>
      </c>
      <c r="U3133" s="20" t="s">
        <v>798</v>
      </c>
      <c r="V3133" s="26" t="s">
        <v>798</v>
      </c>
      <c r="W3133" s="20" t="s">
        <v>798</v>
      </c>
      <c r="X3133" s="26" t="s">
        <v>798</v>
      </c>
      <c r="Y3133" s="20" t="s">
        <v>798</v>
      </c>
      <c r="Z3133" s="69" t="s">
        <v>9486</v>
      </c>
      <c r="AA3133" s="72" t="s">
        <v>9476</v>
      </c>
      <c r="AB3133" s="73" t="s">
        <v>9486</v>
      </c>
      <c r="AC3133" s="74" t="s">
        <v>9562</v>
      </c>
      <c r="AD3133" s="73" t="s">
        <v>9578</v>
      </c>
      <c r="AE3133" s="74" t="s">
        <v>9579</v>
      </c>
    </row>
    <row r="3134" spans="1:31" ht="8.65" customHeight="1" x14ac:dyDescent="0.2">
      <c r="A3134" s="76">
        <v>3134</v>
      </c>
      <c r="B3134" s="67" t="str">
        <f>MID(C3134, FIND("Ifc.", C3134) + 4, 4) &amp; "_" &amp; TEXT(COUNTIF($C$2:C3134, C3134),"0000")</f>
        <v>Enti_0267</v>
      </c>
      <c r="C3134" s="25" t="s">
        <v>874</v>
      </c>
      <c r="D3134" s="69" t="s">
        <v>9453</v>
      </c>
      <c r="E3134" s="70" t="s">
        <v>9457</v>
      </c>
      <c r="F3134" s="26" t="s">
        <v>798</v>
      </c>
      <c r="G3134" s="15" t="s">
        <v>798</v>
      </c>
      <c r="H3134" s="14" t="s">
        <v>798</v>
      </c>
      <c r="I3134" s="15" t="s">
        <v>798</v>
      </c>
      <c r="J3134" s="12" t="s">
        <v>9438</v>
      </c>
      <c r="K3134" s="16" t="s">
        <v>3206</v>
      </c>
      <c r="L3134" s="12" t="s">
        <v>800</v>
      </c>
      <c r="M3134" s="16" t="s">
        <v>4172</v>
      </c>
      <c r="N3134" s="19" t="s">
        <v>798</v>
      </c>
      <c r="O3134" s="20" t="s">
        <v>798</v>
      </c>
      <c r="P3134" s="17" t="s">
        <v>802</v>
      </c>
      <c r="Q3134" s="21" t="s">
        <v>8758</v>
      </c>
      <c r="R3134" s="19" t="s">
        <v>798</v>
      </c>
      <c r="S3134" s="20" t="s">
        <v>798</v>
      </c>
      <c r="T3134" s="17" t="s">
        <v>798</v>
      </c>
      <c r="U3134" s="20" t="s">
        <v>798</v>
      </c>
      <c r="V3134" s="26" t="s">
        <v>798</v>
      </c>
      <c r="W3134" s="20" t="s">
        <v>798</v>
      </c>
      <c r="X3134" s="26" t="s">
        <v>798</v>
      </c>
      <c r="Y3134" s="20" t="s">
        <v>798</v>
      </c>
      <c r="Z3134" s="69" t="s">
        <v>9486</v>
      </c>
      <c r="AA3134" s="72" t="s">
        <v>9496</v>
      </c>
      <c r="AB3134" s="73" t="s">
        <v>9486</v>
      </c>
      <c r="AC3134" s="74" t="s">
        <v>9562</v>
      </c>
      <c r="AD3134" s="73" t="s">
        <v>9578</v>
      </c>
      <c r="AE3134" s="74" t="s">
        <v>9579</v>
      </c>
    </row>
    <row r="3135" spans="1:31" ht="8.65" customHeight="1" x14ac:dyDescent="0.2">
      <c r="A3135" s="76">
        <v>3135</v>
      </c>
      <c r="B3135" s="67" t="str">
        <f>MID(C3135, FIND("Ifc.", C3135) + 4, 4) &amp; "_" &amp; TEXT(COUNTIF($C$2:C3135, C3135),"0000")</f>
        <v>Enti_0268</v>
      </c>
      <c r="C3135" s="25" t="s">
        <v>874</v>
      </c>
      <c r="D3135" s="69" t="s">
        <v>9453</v>
      </c>
      <c r="E3135" s="70" t="s">
        <v>9457</v>
      </c>
      <c r="F3135" s="26" t="s">
        <v>798</v>
      </c>
      <c r="G3135" s="15" t="s">
        <v>798</v>
      </c>
      <c r="H3135" s="14" t="s">
        <v>798</v>
      </c>
      <c r="I3135" s="15" t="s">
        <v>798</v>
      </c>
      <c r="J3135" s="12" t="s">
        <v>9438</v>
      </c>
      <c r="K3135" s="16" t="s">
        <v>3207</v>
      </c>
      <c r="L3135" s="12" t="s">
        <v>800</v>
      </c>
      <c r="M3135" s="16" t="s">
        <v>4173</v>
      </c>
      <c r="N3135" s="19" t="s">
        <v>798</v>
      </c>
      <c r="O3135" s="20" t="s">
        <v>798</v>
      </c>
      <c r="P3135" s="17" t="s">
        <v>802</v>
      </c>
      <c r="Q3135" s="21" t="s">
        <v>8759</v>
      </c>
      <c r="R3135" s="19" t="s">
        <v>798</v>
      </c>
      <c r="S3135" s="20" t="s">
        <v>798</v>
      </c>
      <c r="T3135" s="17" t="s">
        <v>798</v>
      </c>
      <c r="U3135" s="20" t="s">
        <v>798</v>
      </c>
      <c r="V3135" s="26" t="s">
        <v>798</v>
      </c>
      <c r="W3135" s="20" t="s">
        <v>798</v>
      </c>
      <c r="X3135" s="26" t="s">
        <v>798</v>
      </c>
      <c r="Y3135" s="20" t="s">
        <v>798</v>
      </c>
      <c r="Z3135" s="69" t="s">
        <v>9486</v>
      </c>
      <c r="AA3135" s="72" t="s">
        <v>9476</v>
      </c>
      <c r="AB3135" s="73" t="s">
        <v>9486</v>
      </c>
      <c r="AC3135" s="74" t="s">
        <v>9562</v>
      </c>
      <c r="AD3135" s="73" t="s">
        <v>9578</v>
      </c>
      <c r="AE3135" s="74" t="s">
        <v>9579</v>
      </c>
    </row>
    <row r="3136" spans="1:31" ht="8.65" customHeight="1" x14ac:dyDescent="0.2">
      <c r="A3136" s="76">
        <v>3136</v>
      </c>
      <c r="B3136" s="67" t="str">
        <f>MID(C3136, FIND("Ifc.", C3136) + 4, 4) &amp; "_" &amp; TEXT(COUNTIF($C$2:C3136, C3136),"0000")</f>
        <v>Enti_0269</v>
      </c>
      <c r="C3136" s="25" t="s">
        <v>874</v>
      </c>
      <c r="D3136" s="69" t="s">
        <v>9453</v>
      </c>
      <c r="E3136" s="70" t="s">
        <v>9457</v>
      </c>
      <c r="F3136" s="26" t="s">
        <v>798</v>
      </c>
      <c r="G3136" s="15" t="s">
        <v>798</v>
      </c>
      <c r="H3136" s="14" t="s">
        <v>798</v>
      </c>
      <c r="I3136" s="15" t="s">
        <v>798</v>
      </c>
      <c r="J3136" s="12" t="s">
        <v>9438</v>
      </c>
      <c r="K3136" s="16" t="s">
        <v>3208</v>
      </c>
      <c r="L3136" s="12" t="s">
        <v>800</v>
      </c>
      <c r="M3136" s="16" t="s">
        <v>4174</v>
      </c>
      <c r="N3136" s="19" t="s">
        <v>798</v>
      </c>
      <c r="O3136" s="20" t="s">
        <v>798</v>
      </c>
      <c r="P3136" s="17" t="s">
        <v>802</v>
      </c>
      <c r="Q3136" s="21" t="s">
        <v>8760</v>
      </c>
      <c r="R3136" s="19" t="s">
        <v>798</v>
      </c>
      <c r="S3136" s="20" t="s">
        <v>798</v>
      </c>
      <c r="T3136" s="17" t="s">
        <v>798</v>
      </c>
      <c r="U3136" s="20" t="s">
        <v>798</v>
      </c>
      <c r="V3136" s="26" t="s">
        <v>798</v>
      </c>
      <c r="W3136" s="20" t="s">
        <v>798</v>
      </c>
      <c r="X3136" s="26" t="s">
        <v>798</v>
      </c>
      <c r="Y3136" s="20" t="s">
        <v>798</v>
      </c>
      <c r="Z3136" s="69" t="s">
        <v>9486</v>
      </c>
      <c r="AA3136" s="72" t="s">
        <v>9476</v>
      </c>
      <c r="AB3136" s="73" t="s">
        <v>9486</v>
      </c>
      <c r="AC3136" s="74" t="s">
        <v>9562</v>
      </c>
      <c r="AD3136" s="73" t="s">
        <v>9578</v>
      </c>
      <c r="AE3136" s="74" t="s">
        <v>9579</v>
      </c>
    </row>
    <row r="3137" spans="1:31" ht="8.65" customHeight="1" x14ac:dyDescent="0.2">
      <c r="A3137" s="76">
        <v>3137</v>
      </c>
      <c r="B3137" s="67" t="str">
        <f>MID(C3137, FIND("Ifc.", C3137) + 4, 4) &amp; "_" &amp; TEXT(COUNTIF($C$2:C3137, C3137),"0000")</f>
        <v>Enti_0270</v>
      </c>
      <c r="C3137" s="25" t="s">
        <v>874</v>
      </c>
      <c r="D3137" s="69" t="s">
        <v>9453</v>
      </c>
      <c r="E3137" s="70" t="s">
        <v>9457</v>
      </c>
      <c r="F3137" s="26" t="s">
        <v>798</v>
      </c>
      <c r="G3137" s="15" t="s">
        <v>798</v>
      </c>
      <c r="H3137" s="14" t="s">
        <v>798</v>
      </c>
      <c r="I3137" s="15" t="s">
        <v>798</v>
      </c>
      <c r="J3137" s="12" t="s">
        <v>9438</v>
      </c>
      <c r="K3137" s="16" t="s">
        <v>3209</v>
      </c>
      <c r="L3137" s="12" t="s">
        <v>800</v>
      </c>
      <c r="M3137" s="16" t="s">
        <v>4175</v>
      </c>
      <c r="N3137" s="19" t="s">
        <v>798</v>
      </c>
      <c r="O3137" s="20" t="s">
        <v>798</v>
      </c>
      <c r="P3137" s="17" t="s">
        <v>802</v>
      </c>
      <c r="Q3137" s="21" t="s">
        <v>8761</v>
      </c>
      <c r="R3137" s="19" t="s">
        <v>798</v>
      </c>
      <c r="S3137" s="20" t="s">
        <v>798</v>
      </c>
      <c r="T3137" s="17" t="s">
        <v>798</v>
      </c>
      <c r="U3137" s="20" t="s">
        <v>798</v>
      </c>
      <c r="V3137" s="26" t="s">
        <v>798</v>
      </c>
      <c r="W3137" s="20" t="s">
        <v>798</v>
      </c>
      <c r="X3137" s="26" t="s">
        <v>798</v>
      </c>
      <c r="Y3137" s="20" t="s">
        <v>798</v>
      </c>
      <c r="Z3137" s="69" t="s">
        <v>9486</v>
      </c>
      <c r="AA3137" s="72" t="s">
        <v>9476</v>
      </c>
      <c r="AB3137" s="73" t="s">
        <v>9486</v>
      </c>
      <c r="AC3137" s="74" t="s">
        <v>9562</v>
      </c>
      <c r="AD3137" s="73" t="s">
        <v>9578</v>
      </c>
      <c r="AE3137" s="74" t="s">
        <v>9579</v>
      </c>
    </row>
    <row r="3138" spans="1:31" ht="8.65" customHeight="1" x14ac:dyDescent="0.2">
      <c r="A3138" s="76">
        <v>3138</v>
      </c>
      <c r="B3138" s="67" t="str">
        <f>MID(C3138, FIND("Ifc.", C3138) + 4, 4) &amp; "_" &amp; TEXT(COUNTIF($C$2:C3138, C3138),"0000")</f>
        <v>Enti_0271</v>
      </c>
      <c r="C3138" s="25" t="s">
        <v>874</v>
      </c>
      <c r="D3138" s="69" t="s">
        <v>9453</v>
      </c>
      <c r="E3138" s="70" t="s">
        <v>9457</v>
      </c>
      <c r="F3138" s="26" t="s">
        <v>798</v>
      </c>
      <c r="G3138" s="15" t="s">
        <v>798</v>
      </c>
      <c r="H3138" s="14" t="s">
        <v>798</v>
      </c>
      <c r="I3138" s="15" t="s">
        <v>798</v>
      </c>
      <c r="J3138" s="12" t="s">
        <v>9438</v>
      </c>
      <c r="K3138" s="16" t="s">
        <v>3210</v>
      </c>
      <c r="L3138" s="12" t="s">
        <v>800</v>
      </c>
      <c r="M3138" s="16" t="s">
        <v>4176</v>
      </c>
      <c r="N3138" s="19" t="s">
        <v>798</v>
      </c>
      <c r="O3138" s="20" t="s">
        <v>798</v>
      </c>
      <c r="P3138" s="17" t="s">
        <v>802</v>
      </c>
      <c r="Q3138" s="21" t="s">
        <v>8762</v>
      </c>
      <c r="R3138" s="19" t="s">
        <v>798</v>
      </c>
      <c r="S3138" s="20" t="s">
        <v>798</v>
      </c>
      <c r="T3138" s="17" t="s">
        <v>798</v>
      </c>
      <c r="U3138" s="20" t="s">
        <v>798</v>
      </c>
      <c r="V3138" s="26" t="s">
        <v>798</v>
      </c>
      <c r="W3138" s="20" t="s">
        <v>798</v>
      </c>
      <c r="X3138" s="26" t="s">
        <v>798</v>
      </c>
      <c r="Y3138" s="20" t="s">
        <v>798</v>
      </c>
      <c r="Z3138" s="69" t="s">
        <v>9486</v>
      </c>
      <c r="AA3138" s="72" t="s">
        <v>9476</v>
      </c>
      <c r="AB3138" s="73" t="s">
        <v>9486</v>
      </c>
      <c r="AC3138" s="74" t="s">
        <v>9562</v>
      </c>
      <c r="AD3138" s="73" t="s">
        <v>9578</v>
      </c>
      <c r="AE3138" s="74" t="s">
        <v>9579</v>
      </c>
    </row>
    <row r="3139" spans="1:31" ht="8.65" customHeight="1" x14ac:dyDescent="0.2">
      <c r="A3139" s="76">
        <v>3139</v>
      </c>
      <c r="B3139" s="67" t="str">
        <f>MID(C3139, FIND("Ifc.", C3139) + 4, 4) &amp; "_" &amp; TEXT(COUNTIF($C$2:C3139, C3139),"0000")</f>
        <v>Enti_0272</v>
      </c>
      <c r="C3139" s="25" t="s">
        <v>874</v>
      </c>
      <c r="D3139" s="69" t="s">
        <v>9453</v>
      </c>
      <c r="E3139" s="70" t="s">
        <v>9457</v>
      </c>
      <c r="F3139" s="26" t="s">
        <v>798</v>
      </c>
      <c r="G3139" s="15" t="s">
        <v>798</v>
      </c>
      <c r="H3139" s="14" t="s">
        <v>798</v>
      </c>
      <c r="I3139" s="15" t="s">
        <v>798</v>
      </c>
      <c r="J3139" s="12" t="s">
        <v>9438</v>
      </c>
      <c r="K3139" s="16" t="s">
        <v>3211</v>
      </c>
      <c r="L3139" s="12" t="s">
        <v>800</v>
      </c>
      <c r="M3139" s="16" t="s">
        <v>4177</v>
      </c>
      <c r="N3139" s="19" t="s">
        <v>798</v>
      </c>
      <c r="O3139" s="20" t="s">
        <v>798</v>
      </c>
      <c r="P3139" s="17" t="s">
        <v>802</v>
      </c>
      <c r="Q3139" s="21" t="s">
        <v>8763</v>
      </c>
      <c r="R3139" s="19" t="s">
        <v>798</v>
      </c>
      <c r="S3139" s="20" t="s">
        <v>798</v>
      </c>
      <c r="T3139" s="17" t="s">
        <v>798</v>
      </c>
      <c r="U3139" s="20" t="s">
        <v>798</v>
      </c>
      <c r="V3139" s="26" t="s">
        <v>798</v>
      </c>
      <c r="W3139" s="20" t="s">
        <v>798</v>
      </c>
      <c r="X3139" s="26" t="s">
        <v>798</v>
      </c>
      <c r="Y3139" s="20" t="s">
        <v>798</v>
      </c>
      <c r="Z3139" s="69" t="s">
        <v>9486</v>
      </c>
      <c r="AA3139" s="72" t="s">
        <v>9476</v>
      </c>
      <c r="AB3139" s="73" t="s">
        <v>9486</v>
      </c>
      <c r="AC3139" s="74" t="s">
        <v>9566</v>
      </c>
      <c r="AD3139" s="73" t="s">
        <v>9578</v>
      </c>
      <c r="AE3139" s="74" t="s">
        <v>9579</v>
      </c>
    </row>
    <row r="3140" spans="1:31" ht="8.65" customHeight="1" x14ac:dyDescent="0.2">
      <c r="A3140" s="76">
        <v>3140</v>
      </c>
      <c r="B3140" s="67" t="str">
        <f>MID(C3140, FIND("Ifc.", C3140) + 4, 4) &amp; "_" &amp; TEXT(COUNTIF($C$2:C3140, C3140),"0000")</f>
        <v>Enti_0273</v>
      </c>
      <c r="C3140" s="25" t="s">
        <v>874</v>
      </c>
      <c r="D3140" s="69" t="s">
        <v>9453</v>
      </c>
      <c r="E3140" s="70" t="s">
        <v>9457</v>
      </c>
      <c r="F3140" s="26" t="s">
        <v>798</v>
      </c>
      <c r="G3140" s="15" t="s">
        <v>798</v>
      </c>
      <c r="H3140" s="14" t="s">
        <v>798</v>
      </c>
      <c r="I3140" s="15" t="s">
        <v>798</v>
      </c>
      <c r="J3140" s="12" t="s">
        <v>9438</v>
      </c>
      <c r="K3140" s="16" t="s">
        <v>3212</v>
      </c>
      <c r="L3140" s="12" t="s">
        <v>800</v>
      </c>
      <c r="M3140" s="16" t="s">
        <v>4178</v>
      </c>
      <c r="N3140" s="19" t="s">
        <v>798</v>
      </c>
      <c r="O3140" s="20" t="s">
        <v>798</v>
      </c>
      <c r="P3140" s="17" t="s">
        <v>802</v>
      </c>
      <c r="Q3140" s="21" t="s">
        <v>8764</v>
      </c>
      <c r="R3140" s="19" t="s">
        <v>798</v>
      </c>
      <c r="S3140" s="20" t="s">
        <v>798</v>
      </c>
      <c r="T3140" s="17" t="s">
        <v>798</v>
      </c>
      <c r="U3140" s="20" t="s">
        <v>798</v>
      </c>
      <c r="V3140" s="26" t="s">
        <v>798</v>
      </c>
      <c r="W3140" s="20" t="s">
        <v>798</v>
      </c>
      <c r="X3140" s="26" t="s">
        <v>798</v>
      </c>
      <c r="Y3140" s="20" t="s">
        <v>798</v>
      </c>
      <c r="Z3140" s="69" t="s">
        <v>9486</v>
      </c>
      <c r="AA3140" s="72" t="s">
        <v>9477</v>
      </c>
      <c r="AB3140" s="73" t="s">
        <v>9486</v>
      </c>
      <c r="AC3140" s="74" t="s">
        <v>9566</v>
      </c>
      <c r="AD3140" s="73" t="s">
        <v>9578</v>
      </c>
      <c r="AE3140" s="74" t="s">
        <v>9579</v>
      </c>
    </row>
    <row r="3141" spans="1:31" ht="8.65" customHeight="1" x14ac:dyDescent="0.2">
      <c r="A3141" s="76">
        <v>3141</v>
      </c>
      <c r="B3141" s="67" t="str">
        <f>MID(C3141, FIND("Ifc.", C3141) + 4, 4) &amp; "_" &amp; TEXT(COUNTIF($C$2:C3141, C3141),"0000")</f>
        <v>Enti_0274</v>
      </c>
      <c r="C3141" s="25" t="s">
        <v>874</v>
      </c>
      <c r="D3141" s="69" t="s">
        <v>9453</v>
      </c>
      <c r="E3141" s="70" t="s">
        <v>9457</v>
      </c>
      <c r="F3141" s="26" t="s">
        <v>798</v>
      </c>
      <c r="G3141" s="15" t="s">
        <v>798</v>
      </c>
      <c r="H3141" s="14" t="s">
        <v>798</v>
      </c>
      <c r="I3141" s="15" t="s">
        <v>798</v>
      </c>
      <c r="J3141" s="12" t="s">
        <v>9438</v>
      </c>
      <c r="K3141" s="16" t="s">
        <v>3213</v>
      </c>
      <c r="L3141" s="12" t="s">
        <v>800</v>
      </c>
      <c r="M3141" s="16" t="s">
        <v>4179</v>
      </c>
      <c r="N3141" s="19" t="s">
        <v>798</v>
      </c>
      <c r="O3141" s="20" t="s">
        <v>798</v>
      </c>
      <c r="P3141" s="17" t="s">
        <v>802</v>
      </c>
      <c r="Q3141" s="21" t="s">
        <v>8765</v>
      </c>
      <c r="R3141" s="19" t="s">
        <v>798</v>
      </c>
      <c r="S3141" s="20" t="s">
        <v>798</v>
      </c>
      <c r="T3141" s="17" t="s">
        <v>798</v>
      </c>
      <c r="U3141" s="20" t="s">
        <v>798</v>
      </c>
      <c r="V3141" s="26" t="s">
        <v>798</v>
      </c>
      <c r="W3141" s="20" t="s">
        <v>798</v>
      </c>
      <c r="X3141" s="26" t="s">
        <v>798</v>
      </c>
      <c r="Y3141" s="20" t="s">
        <v>798</v>
      </c>
      <c r="Z3141" s="69" t="s">
        <v>9486</v>
      </c>
      <c r="AA3141" s="72" t="s">
        <v>9476</v>
      </c>
      <c r="AB3141" s="73" t="s">
        <v>9486</v>
      </c>
      <c r="AC3141" s="74" t="s">
        <v>9566</v>
      </c>
      <c r="AD3141" s="73" t="s">
        <v>9578</v>
      </c>
      <c r="AE3141" s="74" t="s">
        <v>9579</v>
      </c>
    </row>
    <row r="3142" spans="1:31" ht="8.65" customHeight="1" x14ac:dyDescent="0.2">
      <c r="A3142" s="76">
        <v>3142</v>
      </c>
      <c r="B3142" s="67" t="str">
        <f>MID(C3142, FIND("Ifc.", C3142) + 4, 4) &amp; "_" &amp; TEXT(COUNTIF($C$2:C3142, C3142),"0000")</f>
        <v>Enti_0275</v>
      </c>
      <c r="C3142" s="25" t="s">
        <v>874</v>
      </c>
      <c r="D3142" s="69" t="s">
        <v>9453</v>
      </c>
      <c r="E3142" s="70" t="s">
        <v>9457</v>
      </c>
      <c r="F3142" s="26" t="s">
        <v>798</v>
      </c>
      <c r="G3142" s="15" t="s">
        <v>798</v>
      </c>
      <c r="H3142" s="14" t="s">
        <v>798</v>
      </c>
      <c r="I3142" s="15" t="s">
        <v>798</v>
      </c>
      <c r="J3142" s="12" t="s">
        <v>9438</v>
      </c>
      <c r="K3142" s="16" t="s">
        <v>3214</v>
      </c>
      <c r="L3142" s="12" t="s">
        <v>800</v>
      </c>
      <c r="M3142" s="16" t="s">
        <v>4180</v>
      </c>
      <c r="N3142" s="19" t="s">
        <v>798</v>
      </c>
      <c r="O3142" s="20" t="s">
        <v>798</v>
      </c>
      <c r="P3142" s="17" t="s">
        <v>802</v>
      </c>
      <c r="Q3142" s="21" t="s">
        <v>8766</v>
      </c>
      <c r="R3142" s="19" t="s">
        <v>798</v>
      </c>
      <c r="S3142" s="20" t="s">
        <v>798</v>
      </c>
      <c r="T3142" s="17" t="s">
        <v>798</v>
      </c>
      <c r="U3142" s="20" t="s">
        <v>798</v>
      </c>
      <c r="V3142" s="26" t="s">
        <v>798</v>
      </c>
      <c r="W3142" s="20" t="s">
        <v>798</v>
      </c>
      <c r="X3142" s="26" t="s">
        <v>798</v>
      </c>
      <c r="Y3142" s="20" t="s">
        <v>798</v>
      </c>
      <c r="Z3142" s="69" t="s">
        <v>9486</v>
      </c>
      <c r="AA3142" s="72" t="s">
        <v>9477</v>
      </c>
      <c r="AB3142" s="73" t="s">
        <v>9486</v>
      </c>
      <c r="AC3142" s="74" t="s">
        <v>9566</v>
      </c>
      <c r="AD3142" s="73" t="s">
        <v>9578</v>
      </c>
      <c r="AE3142" s="74" t="s">
        <v>9579</v>
      </c>
    </row>
    <row r="3143" spans="1:31" ht="8.65" customHeight="1" x14ac:dyDescent="0.2">
      <c r="A3143" s="76">
        <v>3143</v>
      </c>
      <c r="B3143" s="67" t="str">
        <f>MID(C3143, FIND("Ifc.", C3143) + 4, 4) &amp; "_" &amp; TEXT(COUNTIF($C$2:C3143, C3143),"0000")</f>
        <v>Enti_0276</v>
      </c>
      <c r="C3143" s="25" t="s">
        <v>874</v>
      </c>
      <c r="D3143" s="69" t="s">
        <v>9453</v>
      </c>
      <c r="E3143" s="70" t="s">
        <v>9457</v>
      </c>
      <c r="F3143" s="26" t="s">
        <v>798</v>
      </c>
      <c r="G3143" s="15" t="s">
        <v>798</v>
      </c>
      <c r="H3143" s="14" t="s">
        <v>798</v>
      </c>
      <c r="I3143" s="15" t="s">
        <v>798</v>
      </c>
      <c r="J3143" s="12" t="s">
        <v>9438</v>
      </c>
      <c r="K3143" s="16" t="s">
        <v>3215</v>
      </c>
      <c r="L3143" s="12" t="s">
        <v>800</v>
      </c>
      <c r="M3143" s="16" t="s">
        <v>4181</v>
      </c>
      <c r="N3143" s="19" t="s">
        <v>798</v>
      </c>
      <c r="O3143" s="20" t="s">
        <v>798</v>
      </c>
      <c r="P3143" s="17" t="s">
        <v>802</v>
      </c>
      <c r="Q3143" s="21" t="s">
        <v>8767</v>
      </c>
      <c r="R3143" s="19" t="s">
        <v>798</v>
      </c>
      <c r="S3143" s="20" t="s">
        <v>798</v>
      </c>
      <c r="T3143" s="17" t="s">
        <v>798</v>
      </c>
      <c r="U3143" s="20" t="s">
        <v>798</v>
      </c>
      <c r="V3143" s="26" t="s">
        <v>798</v>
      </c>
      <c r="W3143" s="20" t="s">
        <v>798</v>
      </c>
      <c r="X3143" s="26" t="s">
        <v>798</v>
      </c>
      <c r="Y3143" s="20" t="s">
        <v>798</v>
      </c>
      <c r="Z3143" s="69" t="s">
        <v>9486</v>
      </c>
      <c r="AA3143" s="72" t="s">
        <v>9476</v>
      </c>
      <c r="AB3143" s="73" t="s">
        <v>9486</v>
      </c>
      <c r="AC3143" s="74" t="s">
        <v>9566</v>
      </c>
      <c r="AD3143" s="73" t="s">
        <v>9578</v>
      </c>
      <c r="AE3143" s="74" t="s">
        <v>9579</v>
      </c>
    </row>
    <row r="3144" spans="1:31" ht="8.65" customHeight="1" x14ac:dyDescent="0.2">
      <c r="A3144" s="76">
        <v>3144</v>
      </c>
      <c r="B3144" s="67" t="str">
        <f>MID(C3144, FIND("Ifc.", C3144) + 4, 4) &amp; "_" &amp; TEXT(COUNTIF($C$2:C3144, C3144),"0000")</f>
        <v>Enti_0277</v>
      </c>
      <c r="C3144" s="25" t="s">
        <v>874</v>
      </c>
      <c r="D3144" s="69" t="s">
        <v>9453</v>
      </c>
      <c r="E3144" s="70" t="s">
        <v>9457</v>
      </c>
      <c r="F3144" s="26" t="s">
        <v>798</v>
      </c>
      <c r="G3144" s="15" t="s">
        <v>798</v>
      </c>
      <c r="H3144" s="14" t="s">
        <v>798</v>
      </c>
      <c r="I3144" s="15" t="s">
        <v>798</v>
      </c>
      <c r="J3144" s="12" t="s">
        <v>9438</v>
      </c>
      <c r="K3144" s="16" t="s">
        <v>3216</v>
      </c>
      <c r="L3144" s="12" t="s">
        <v>800</v>
      </c>
      <c r="M3144" s="16" t="s">
        <v>4182</v>
      </c>
      <c r="N3144" s="19" t="s">
        <v>798</v>
      </c>
      <c r="O3144" s="20" t="s">
        <v>798</v>
      </c>
      <c r="P3144" s="17" t="s">
        <v>802</v>
      </c>
      <c r="Q3144" s="21" t="s">
        <v>8768</v>
      </c>
      <c r="R3144" s="19" t="s">
        <v>798</v>
      </c>
      <c r="S3144" s="20" t="s">
        <v>798</v>
      </c>
      <c r="T3144" s="17" t="s">
        <v>798</v>
      </c>
      <c r="U3144" s="20" t="s">
        <v>798</v>
      </c>
      <c r="V3144" s="26" t="s">
        <v>798</v>
      </c>
      <c r="W3144" s="20" t="s">
        <v>798</v>
      </c>
      <c r="X3144" s="26" t="s">
        <v>798</v>
      </c>
      <c r="Y3144" s="20" t="s">
        <v>798</v>
      </c>
      <c r="Z3144" s="69" t="s">
        <v>9486</v>
      </c>
      <c r="AA3144" s="72" t="s">
        <v>9477</v>
      </c>
      <c r="AB3144" s="73" t="s">
        <v>9486</v>
      </c>
      <c r="AC3144" s="74" t="s">
        <v>9566</v>
      </c>
      <c r="AD3144" s="73" t="s">
        <v>9578</v>
      </c>
      <c r="AE3144" s="74" t="s">
        <v>9579</v>
      </c>
    </row>
    <row r="3145" spans="1:31" ht="8.65" customHeight="1" x14ac:dyDescent="0.2">
      <c r="A3145" s="76">
        <v>3145</v>
      </c>
      <c r="B3145" s="67" t="str">
        <f>MID(C3145, FIND("Ifc.", C3145) + 4, 4) &amp; "_" &amp; TEXT(COUNTIF($C$2:C3145, C3145),"0000")</f>
        <v>Enti_0278</v>
      </c>
      <c r="C3145" s="25" t="s">
        <v>874</v>
      </c>
      <c r="D3145" s="69" t="s">
        <v>9453</v>
      </c>
      <c r="E3145" s="70" t="s">
        <v>9457</v>
      </c>
      <c r="F3145" s="26" t="s">
        <v>798</v>
      </c>
      <c r="G3145" s="15" t="s">
        <v>798</v>
      </c>
      <c r="H3145" s="14" t="s">
        <v>798</v>
      </c>
      <c r="I3145" s="15" t="s">
        <v>798</v>
      </c>
      <c r="J3145" s="12" t="s">
        <v>9438</v>
      </c>
      <c r="K3145" s="16" t="s">
        <v>3217</v>
      </c>
      <c r="L3145" s="12" t="s">
        <v>800</v>
      </c>
      <c r="M3145" s="16" t="s">
        <v>4183</v>
      </c>
      <c r="N3145" s="19" t="s">
        <v>798</v>
      </c>
      <c r="O3145" s="20" t="s">
        <v>798</v>
      </c>
      <c r="P3145" s="17" t="s">
        <v>802</v>
      </c>
      <c r="Q3145" s="21" t="s">
        <v>8769</v>
      </c>
      <c r="R3145" s="19" t="s">
        <v>798</v>
      </c>
      <c r="S3145" s="20" t="s">
        <v>798</v>
      </c>
      <c r="T3145" s="17" t="s">
        <v>798</v>
      </c>
      <c r="U3145" s="20" t="s">
        <v>798</v>
      </c>
      <c r="V3145" s="26" t="s">
        <v>798</v>
      </c>
      <c r="W3145" s="20" t="s">
        <v>798</v>
      </c>
      <c r="X3145" s="26" t="s">
        <v>798</v>
      </c>
      <c r="Y3145" s="20" t="s">
        <v>798</v>
      </c>
      <c r="Z3145" s="69" t="s">
        <v>9486</v>
      </c>
      <c r="AA3145" s="72" t="s">
        <v>9476</v>
      </c>
      <c r="AB3145" s="73" t="s">
        <v>9486</v>
      </c>
      <c r="AC3145" s="74" t="s">
        <v>9566</v>
      </c>
      <c r="AD3145" s="73" t="s">
        <v>9578</v>
      </c>
      <c r="AE3145" s="74" t="s">
        <v>9579</v>
      </c>
    </row>
    <row r="3146" spans="1:31" ht="8.65" customHeight="1" x14ac:dyDescent="0.2">
      <c r="A3146" s="76">
        <v>3146</v>
      </c>
      <c r="B3146" s="67" t="str">
        <f>MID(C3146, FIND("Ifc.", C3146) + 4, 4) &amp; "_" &amp; TEXT(COUNTIF($C$2:C3146, C3146),"0000")</f>
        <v>Enti_0279</v>
      </c>
      <c r="C3146" s="25" t="s">
        <v>874</v>
      </c>
      <c r="D3146" s="69" t="s">
        <v>9453</v>
      </c>
      <c r="E3146" s="70" t="s">
        <v>9457</v>
      </c>
      <c r="F3146" s="26" t="s">
        <v>798</v>
      </c>
      <c r="G3146" s="15" t="s">
        <v>798</v>
      </c>
      <c r="H3146" s="14" t="s">
        <v>798</v>
      </c>
      <c r="I3146" s="15" t="s">
        <v>798</v>
      </c>
      <c r="J3146" s="12" t="s">
        <v>9438</v>
      </c>
      <c r="K3146" s="16" t="s">
        <v>3218</v>
      </c>
      <c r="L3146" s="12" t="s">
        <v>800</v>
      </c>
      <c r="M3146" s="16" t="s">
        <v>4184</v>
      </c>
      <c r="N3146" s="19" t="s">
        <v>798</v>
      </c>
      <c r="O3146" s="20" t="s">
        <v>798</v>
      </c>
      <c r="P3146" s="17" t="s">
        <v>802</v>
      </c>
      <c r="Q3146" s="21" t="s">
        <v>8770</v>
      </c>
      <c r="R3146" s="19" t="s">
        <v>798</v>
      </c>
      <c r="S3146" s="20" t="s">
        <v>798</v>
      </c>
      <c r="T3146" s="17" t="s">
        <v>798</v>
      </c>
      <c r="U3146" s="20" t="s">
        <v>798</v>
      </c>
      <c r="V3146" s="26" t="s">
        <v>798</v>
      </c>
      <c r="W3146" s="20" t="s">
        <v>798</v>
      </c>
      <c r="X3146" s="26" t="s">
        <v>798</v>
      </c>
      <c r="Y3146" s="20" t="s">
        <v>798</v>
      </c>
      <c r="Z3146" s="69" t="s">
        <v>9486</v>
      </c>
      <c r="AA3146" s="72" t="s">
        <v>9477</v>
      </c>
      <c r="AB3146" s="73" t="s">
        <v>9486</v>
      </c>
      <c r="AC3146" s="74" t="s">
        <v>9566</v>
      </c>
      <c r="AD3146" s="73" t="s">
        <v>9578</v>
      </c>
      <c r="AE3146" s="74" t="s">
        <v>9579</v>
      </c>
    </row>
    <row r="3147" spans="1:31" ht="8.65" customHeight="1" x14ac:dyDescent="0.2">
      <c r="A3147" s="76">
        <v>3147</v>
      </c>
      <c r="B3147" s="67" t="str">
        <f>MID(C3147, FIND("Ifc.", C3147) + 4, 4) &amp; "_" &amp; TEXT(COUNTIF($C$2:C3147, C3147),"0000")</f>
        <v>Enti_0280</v>
      </c>
      <c r="C3147" s="25" t="s">
        <v>874</v>
      </c>
      <c r="D3147" s="69" t="s">
        <v>9453</v>
      </c>
      <c r="E3147" s="70" t="s">
        <v>9457</v>
      </c>
      <c r="F3147" s="26" t="s">
        <v>798</v>
      </c>
      <c r="G3147" s="15" t="s">
        <v>798</v>
      </c>
      <c r="H3147" s="14" t="s">
        <v>798</v>
      </c>
      <c r="I3147" s="15" t="s">
        <v>798</v>
      </c>
      <c r="J3147" s="12" t="s">
        <v>9438</v>
      </c>
      <c r="K3147" s="16" t="s">
        <v>3219</v>
      </c>
      <c r="L3147" s="12" t="s">
        <v>800</v>
      </c>
      <c r="M3147" s="16" t="s">
        <v>4185</v>
      </c>
      <c r="N3147" s="19" t="s">
        <v>798</v>
      </c>
      <c r="O3147" s="20" t="s">
        <v>798</v>
      </c>
      <c r="P3147" s="17" t="s">
        <v>802</v>
      </c>
      <c r="Q3147" s="21" t="s">
        <v>8771</v>
      </c>
      <c r="R3147" s="19" t="s">
        <v>798</v>
      </c>
      <c r="S3147" s="20" t="s">
        <v>798</v>
      </c>
      <c r="T3147" s="17" t="s">
        <v>798</v>
      </c>
      <c r="U3147" s="20" t="s">
        <v>798</v>
      </c>
      <c r="V3147" s="26" t="s">
        <v>798</v>
      </c>
      <c r="W3147" s="20" t="s">
        <v>798</v>
      </c>
      <c r="X3147" s="26" t="s">
        <v>798</v>
      </c>
      <c r="Y3147" s="20" t="s">
        <v>798</v>
      </c>
      <c r="Z3147" s="69" t="s">
        <v>9486</v>
      </c>
      <c r="AA3147" s="72" t="s">
        <v>9476</v>
      </c>
      <c r="AB3147" s="73" t="s">
        <v>9486</v>
      </c>
      <c r="AC3147" s="74" t="s">
        <v>9566</v>
      </c>
      <c r="AD3147" s="73" t="s">
        <v>9578</v>
      </c>
      <c r="AE3147" s="74" t="s">
        <v>9579</v>
      </c>
    </row>
    <row r="3148" spans="1:31" ht="8.65" customHeight="1" x14ac:dyDescent="0.2">
      <c r="A3148" s="76">
        <v>3148</v>
      </c>
      <c r="B3148" s="67" t="str">
        <f>MID(C3148, FIND("Ifc.", C3148) + 4, 4) &amp; "_" &amp; TEXT(COUNTIF($C$2:C3148, C3148),"0000")</f>
        <v>Enti_0281</v>
      </c>
      <c r="C3148" s="25" t="s">
        <v>874</v>
      </c>
      <c r="D3148" s="69" t="s">
        <v>9453</v>
      </c>
      <c r="E3148" s="70" t="s">
        <v>9457</v>
      </c>
      <c r="F3148" s="26" t="s">
        <v>798</v>
      </c>
      <c r="G3148" s="15" t="s">
        <v>798</v>
      </c>
      <c r="H3148" s="14" t="s">
        <v>798</v>
      </c>
      <c r="I3148" s="15" t="s">
        <v>798</v>
      </c>
      <c r="J3148" s="12" t="s">
        <v>9438</v>
      </c>
      <c r="K3148" s="16" t="s">
        <v>3220</v>
      </c>
      <c r="L3148" s="12" t="s">
        <v>800</v>
      </c>
      <c r="M3148" s="16" t="s">
        <v>4186</v>
      </c>
      <c r="N3148" s="19" t="s">
        <v>798</v>
      </c>
      <c r="O3148" s="20" t="s">
        <v>798</v>
      </c>
      <c r="P3148" s="17" t="s">
        <v>802</v>
      </c>
      <c r="Q3148" s="21" t="s">
        <v>8772</v>
      </c>
      <c r="R3148" s="19" t="s">
        <v>798</v>
      </c>
      <c r="S3148" s="20" t="s">
        <v>798</v>
      </c>
      <c r="T3148" s="17" t="s">
        <v>798</v>
      </c>
      <c r="U3148" s="20" t="s">
        <v>798</v>
      </c>
      <c r="V3148" s="26" t="s">
        <v>798</v>
      </c>
      <c r="W3148" s="20" t="s">
        <v>798</v>
      </c>
      <c r="X3148" s="26" t="s">
        <v>798</v>
      </c>
      <c r="Y3148" s="20" t="s">
        <v>798</v>
      </c>
      <c r="Z3148" s="69" t="s">
        <v>9486</v>
      </c>
      <c r="AA3148" s="72" t="s">
        <v>9477</v>
      </c>
      <c r="AB3148" s="73" t="s">
        <v>9486</v>
      </c>
      <c r="AC3148" s="74" t="s">
        <v>9566</v>
      </c>
      <c r="AD3148" s="73" t="s">
        <v>9578</v>
      </c>
      <c r="AE3148" s="74" t="s">
        <v>9579</v>
      </c>
    </row>
    <row r="3149" spans="1:31" ht="8.65" customHeight="1" x14ac:dyDescent="0.2">
      <c r="A3149" s="76">
        <v>3149</v>
      </c>
      <c r="B3149" s="67" t="str">
        <f>MID(C3149, FIND("Ifc.", C3149) + 4, 4) &amp; "_" &amp; TEXT(COUNTIF($C$2:C3149, C3149),"0000")</f>
        <v>Enti_0282</v>
      </c>
      <c r="C3149" s="25" t="s">
        <v>874</v>
      </c>
      <c r="D3149" s="69" t="s">
        <v>9453</v>
      </c>
      <c r="E3149" s="70" t="s">
        <v>9457</v>
      </c>
      <c r="F3149" s="26" t="s">
        <v>798</v>
      </c>
      <c r="G3149" s="15" t="s">
        <v>798</v>
      </c>
      <c r="H3149" s="14" t="s">
        <v>798</v>
      </c>
      <c r="I3149" s="15" t="s">
        <v>798</v>
      </c>
      <c r="J3149" s="12" t="s">
        <v>9438</v>
      </c>
      <c r="K3149" s="16" t="s">
        <v>3221</v>
      </c>
      <c r="L3149" s="12" t="s">
        <v>800</v>
      </c>
      <c r="M3149" s="16" t="s">
        <v>4187</v>
      </c>
      <c r="N3149" s="19" t="s">
        <v>798</v>
      </c>
      <c r="O3149" s="20" t="s">
        <v>798</v>
      </c>
      <c r="P3149" s="17" t="s">
        <v>802</v>
      </c>
      <c r="Q3149" s="21" t="s">
        <v>8773</v>
      </c>
      <c r="R3149" s="19" t="s">
        <v>798</v>
      </c>
      <c r="S3149" s="20" t="s">
        <v>798</v>
      </c>
      <c r="T3149" s="17" t="s">
        <v>798</v>
      </c>
      <c r="U3149" s="20" t="s">
        <v>798</v>
      </c>
      <c r="V3149" s="26" t="s">
        <v>798</v>
      </c>
      <c r="W3149" s="20" t="s">
        <v>798</v>
      </c>
      <c r="X3149" s="26" t="s">
        <v>798</v>
      </c>
      <c r="Y3149" s="20" t="s">
        <v>798</v>
      </c>
      <c r="Z3149" s="69" t="s">
        <v>9486</v>
      </c>
      <c r="AA3149" s="72" t="s">
        <v>9476</v>
      </c>
      <c r="AB3149" s="73" t="s">
        <v>9486</v>
      </c>
      <c r="AC3149" s="74" t="s">
        <v>9566</v>
      </c>
      <c r="AD3149" s="73" t="s">
        <v>9578</v>
      </c>
      <c r="AE3149" s="74" t="s">
        <v>9579</v>
      </c>
    </row>
    <row r="3150" spans="1:31" ht="8.65" customHeight="1" x14ac:dyDescent="0.2">
      <c r="A3150" s="76">
        <v>3150</v>
      </c>
      <c r="B3150" s="67" t="str">
        <f>MID(C3150, FIND("Ifc.", C3150) + 4, 4) &amp; "_" &amp; TEXT(COUNTIF($C$2:C3150, C3150),"0000")</f>
        <v>Enti_0283</v>
      </c>
      <c r="C3150" s="25" t="s">
        <v>874</v>
      </c>
      <c r="D3150" s="69" t="s">
        <v>9453</v>
      </c>
      <c r="E3150" s="70" t="s">
        <v>9457</v>
      </c>
      <c r="F3150" s="26" t="s">
        <v>798</v>
      </c>
      <c r="G3150" s="15" t="s">
        <v>798</v>
      </c>
      <c r="H3150" s="14" t="s">
        <v>798</v>
      </c>
      <c r="I3150" s="15" t="s">
        <v>798</v>
      </c>
      <c r="J3150" s="12" t="s">
        <v>9438</v>
      </c>
      <c r="K3150" s="16" t="s">
        <v>3222</v>
      </c>
      <c r="L3150" s="12" t="s">
        <v>800</v>
      </c>
      <c r="M3150" s="16" t="s">
        <v>4188</v>
      </c>
      <c r="N3150" s="19" t="s">
        <v>798</v>
      </c>
      <c r="O3150" s="20" t="s">
        <v>798</v>
      </c>
      <c r="P3150" s="17" t="s">
        <v>802</v>
      </c>
      <c r="Q3150" s="21" t="s">
        <v>8774</v>
      </c>
      <c r="R3150" s="19" t="s">
        <v>798</v>
      </c>
      <c r="S3150" s="20" t="s">
        <v>798</v>
      </c>
      <c r="T3150" s="17" t="s">
        <v>798</v>
      </c>
      <c r="U3150" s="20" t="s">
        <v>798</v>
      </c>
      <c r="V3150" s="26" t="s">
        <v>798</v>
      </c>
      <c r="W3150" s="20" t="s">
        <v>798</v>
      </c>
      <c r="X3150" s="26" t="s">
        <v>798</v>
      </c>
      <c r="Y3150" s="20" t="s">
        <v>798</v>
      </c>
      <c r="Z3150" s="69" t="s">
        <v>9486</v>
      </c>
      <c r="AA3150" s="72" t="s">
        <v>9476</v>
      </c>
      <c r="AB3150" s="73" t="s">
        <v>9486</v>
      </c>
      <c r="AC3150" s="74" t="s">
        <v>9566</v>
      </c>
      <c r="AD3150" s="73" t="s">
        <v>9578</v>
      </c>
      <c r="AE3150" s="74" t="s">
        <v>9579</v>
      </c>
    </row>
    <row r="3151" spans="1:31" ht="8.65" customHeight="1" x14ac:dyDescent="0.2">
      <c r="A3151" s="76">
        <v>3151</v>
      </c>
      <c r="B3151" s="67" t="str">
        <f>MID(C3151, FIND("Ifc.", C3151) + 4, 4) &amp; "_" &amp; TEXT(COUNTIF($C$2:C3151, C3151),"0000")</f>
        <v>Enti_0284</v>
      </c>
      <c r="C3151" s="25" t="s">
        <v>874</v>
      </c>
      <c r="D3151" s="69" t="s">
        <v>9453</v>
      </c>
      <c r="E3151" s="70" t="s">
        <v>9457</v>
      </c>
      <c r="F3151" s="26" t="s">
        <v>798</v>
      </c>
      <c r="G3151" s="15" t="s">
        <v>798</v>
      </c>
      <c r="H3151" s="14" t="s">
        <v>798</v>
      </c>
      <c r="I3151" s="15" t="s">
        <v>798</v>
      </c>
      <c r="J3151" s="12" t="s">
        <v>9438</v>
      </c>
      <c r="K3151" s="16" t="s">
        <v>3223</v>
      </c>
      <c r="L3151" s="12" t="s">
        <v>800</v>
      </c>
      <c r="M3151" s="16" t="s">
        <v>4189</v>
      </c>
      <c r="N3151" s="19" t="s">
        <v>798</v>
      </c>
      <c r="O3151" s="20" t="s">
        <v>798</v>
      </c>
      <c r="P3151" s="17" t="s">
        <v>802</v>
      </c>
      <c r="Q3151" s="21" t="s">
        <v>8775</v>
      </c>
      <c r="R3151" s="19" t="s">
        <v>798</v>
      </c>
      <c r="S3151" s="20" t="s">
        <v>798</v>
      </c>
      <c r="T3151" s="17" t="s">
        <v>798</v>
      </c>
      <c r="U3151" s="20" t="s">
        <v>798</v>
      </c>
      <c r="V3151" s="26" t="s">
        <v>798</v>
      </c>
      <c r="W3151" s="20" t="s">
        <v>798</v>
      </c>
      <c r="X3151" s="26" t="s">
        <v>798</v>
      </c>
      <c r="Y3151" s="20" t="s">
        <v>798</v>
      </c>
      <c r="Z3151" s="69" t="s">
        <v>9486</v>
      </c>
      <c r="AA3151" s="72" t="s">
        <v>9476</v>
      </c>
      <c r="AB3151" s="73" t="s">
        <v>9486</v>
      </c>
      <c r="AC3151" s="74" t="s">
        <v>9566</v>
      </c>
      <c r="AD3151" s="73" t="s">
        <v>9578</v>
      </c>
      <c r="AE3151" s="74" t="s">
        <v>9579</v>
      </c>
    </row>
    <row r="3152" spans="1:31" ht="8.65" customHeight="1" x14ac:dyDescent="0.2">
      <c r="A3152" s="76">
        <v>3152</v>
      </c>
      <c r="B3152" s="67" t="str">
        <f>MID(C3152, FIND("Ifc.", C3152) + 4, 4) &amp; "_" &amp; TEXT(COUNTIF($C$2:C3152, C3152),"0000")</f>
        <v>Enti_0285</v>
      </c>
      <c r="C3152" s="25" t="s">
        <v>874</v>
      </c>
      <c r="D3152" s="69" t="s">
        <v>9453</v>
      </c>
      <c r="E3152" s="70" t="s">
        <v>9457</v>
      </c>
      <c r="F3152" s="26" t="s">
        <v>798</v>
      </c>
      <c r="G3152" s="15" t="s">
        <v>798</v>
      </c>
      <c r="H3152" s="14" t="s">
        <v>798</v>
      </c>
      <c r="I3152" s="15" t="s">
        <v>798</v>
      </c>
      <c r="J3152" s="12" t="s">
        <v>9438</v>
      </c>
      <c r="K3152" s="16" t="s">
        <v>3224</v>
      </c>
      <c r="L3152" s="12" t="s">
        <v>800</v>
      </c>
      <c r="M3152" s="16" t="s">
        <v>4190</v>
      </c>
      <c r="N3152" s="19" t="s">
        <v>798</v>
      </c>
      <c r="O3152" s="20" t="s">
        <v>798</v>
      </c>
      <c r="P3152" s="17" t="s">
        <v>802</v>
      </c>
      <c r="Q3152" s="21" t="s">
        <v>8776</v>
      </c>
      <c r="R3152" s="19" t="s">
        <v>798</v>
      </c>
      <c r="S3152" s="20" t="s">
        <v>798</v>
      </c>
      <c r="T3152" s="17" t="s">
        <v>798</v>
      </c>
      <c r="U3152" s="20" t="s">
        <v>798</v>
      </c>
      <c r="V3152" s="26" t="s">
        <v>798</v>
      </c>
      <c r="W3152" s="20" t="s">
        <v>798</v>
      </c>
      <c r="X3152" s="26" t="s">
        <v>798</v>
      </c>
      <c r="Y3152" s="20" t="s">
        <v>798</v>
      </c>
      <c r="Z3152" s="69" t="s">
        <v>9486</v>
      </c>
      <c r="AA3152" s="72" t="s">
        <v>9476</v>
      </c>
      <c r="AB3152" s="73" t="s">
        <v>9486</v>
      </c>
      <c r="AC3152" s="74" t="s">
        <v>9566</v>
      </c>
      <c r="AD3152" s="73" t="s">
        <v>9578</v>
      </c>
      <c r="AE3152" s="74" t="s">
        <v>9579</v>
      </c>
    </row>
    <row r="3153" spans="1:31" ht="8.65" customHeight="1" x14ac:dyDescent="0.2">
      <c r="A3153" s="76">
        <v>3153</v>
      </c>
      <c r="B3153" s="67" t="str">
        <f>MID(C3153, FIND("Ifc.", C3153) + 4, 4) &amp; "_" &amp; TEXT(COUNTIF($C$2:C3153, C3153),"0000")</f>
        <v>Enti_0286</v>
      </c>
      <c r="C3153" s="25" t="s">
        <v>874</v>
      </c>
      <c r="D3153" s="69" t="s">
        <v>9453</v>
      </c>
      <c r="E3153" s="70" t="s">
        <v>9457</v>
      </c>
      <c r="F3153" s="26" t="s">
        <v>798</v>
      </c>
      <c r="G3153" s="15" t="s">
        <v>798</v>
      </c>
      <c r="H3153" s="14" t="s">
        <v>798</v>
      </c>
      <c r="I3153" s="15" t="s">
        <v>798</v>
      </c>
      <c r="J3153" s="12" t="s">
        <v>9438</v>
      </c>
      <c r="K3153" s="16" t="s">
        <v>3225</v>
      </c>
      <c r="L3153" s="12" t="s">
        <v>800</v>
      </c>
      <c r="M3153" s="16" t="s">
        <v>4191</v>
      </c>
      <c r="N3153" s="19" t="s">
        <v>798</v>
      </c>
      <c r="O3153" s="20" t="s">
        <v>798</v>
      </c>
      <c r="P3153" s="17" t="s">
        <v>802</v>
      </c>
      <c r="Q3153" s="21" t="s">
        <v>8777</v>
      </c>
      <c r="R3153" s="19" t="s">
        <v>798</v>
      </c>
      <c r="S3153" s="20" t="s">
        <v>798</v>
      </c>
      <c r="T3153" s="17" t="s">
        <v>798</v>
      </c>
      <c r="U3153" s="20" t="s">
        <v>798</v>
      </c>
      <c r="V3153" s="26" t="s">
        <v>798</v>
      </c>
      <c r="W3153" s="20" t="s">
        <v>798</v>
      </c>
      <c r="X3153" s="26" t="s">
        <v>798</v>
      </c>
      <c r="Y3153" s="20" t="s">
        <v>798</v>
      </c>
      <c r="Z3153" s="69" t="s">
        <v>9486</v>
      </c>
      <c r="AA3153" s="72" t="s">
        <v>9476</v>
      </c>
      <c r="AB3153" s="73" t="s">
        <v>9486</v>
      </c>
      <c r="AC3153" s="74" t="s">
        <v>9566</v>
      </c>
      <c r="AD3153" s="73" t="s">
        <v>9578</v>
      </c>
      <c r="AE3153" s="74" t="s">
        <v>9579</v>
      </c>
    </row>
    <row r="3154" spans="1:31" ht="8.65" customHeight="1" x14ac:dyDescent="0.2">
      <c r="A3154" s="76">
        <v>3154</v>
      </c>
      <c r="B3154" s="67" t="str">
        <f>MID(C3154, FIND("Ifc.", C3154) + 4, 4) &amp; "_" &amp; TEXT(COUNTIF($C$2:C3154, C3154),"0000")</f>
        <v>Enti_0287</v>
      </c>
      <c r="C3154" s="25" t="s">
        <v>874</v>
      </c>
      <c r="D3154" s="69" t="s">
        <v>9453</v>
      </c>
      <c r="E3154" s="70" t="s">
        <v>9457</v>
      </c>
      <c r="F3154" s="26" t="s">
        <v>798</v>
      </c>
      <c r="G3154" s="15" t="s">
        <v>798</v>
      </c>
      <c r="H3154" s="14" t="s">
        <v>798</v>
      </c>
      <c r="I3154" s="15" t="s">
        <v>798</v>
      </c>
      <c r="J3154" s="12" t="s">
        <v>9438</v>
      </c>
      <c r="K3154" s="16" t="s">
        <v>3226</v>
      </c>
      <c r="L3154" s="12" t="s">
        <v>800</v>
      </c>
      <c r="M3154" s="16" t="s">
        <v>4192</v>
      </c>
      <c r="N3154" s="19" t="s">
        <v>798</v>
      </c>
      <c r="O3154" s="20" t="s">
        <v>798</v>
      </c>
      <c r="P3154" s="17" t="s">
        <v>802</v>
      </c>
      <c r="Q3154" s="21" t="s">
        <v>8778</v>
      </c>
      <c r="R3154" s="19" t="s">
        <v>798</v>
      </c>
      <c r="S3154" s="20" t="s">
        <v>798</v>
      </c>
      <c r="T3154" s="17" t="s">
        <v>798</v>
      </c>
      <c r="U3154" s="20" t="s">
        <v>798</v>
      </c>
      <c r="V3154" s="26" t="s">
        <v>798</v>
      </c>
      <c r="W3154" s="20" t="s">
        <v>798</v>
      </c>
      <c r="X3154" s="26" t="s">
        <v>798</v>
      </c>
      <c r="Y3154" s="20" t="s">
        <v>798</v>
      </c>
      <c r="Z3154" s="69" t="s">
        <v>9486</v>
      </c>
      <c r="AA3154" s="72" t="s">
        <v>9477</v>
      </c>
      <c r="AB3154" s="73" t="s">
        <v>9486</v>
      </c>
      <c r="AC3154" s="74" t="s">
        <v>9566</v>
      </c>
      <c r="AD3154" s="73" t="s">
        <v>9578</v>
      </c>
      <c r="AE3154" s="74" t="s">
        <v>9579</v>
      </c>
    </row>
    <row r="3155" spans="1:31" ht="8.65" customHeight="1" x14ac:dyDescent="0.2">
      <c r="A3155" s="76">
        <v>3155</v>
      </c>
      <c r="B3155" s="67" t="str">
        <f>MID(C3155, FIND("Ifc.", C3155) + 4, 4) &amp; "_" &amp; TEXT(COUNTIF($C$2:C3155, C3155),"0000")</f>
        <v>Enti_0288</v>
      </c>
      <c r="C3155" s="25" t="s">
        <v>874</v>
      </c>
      <c r="D3155" s="69" t="s">
        <v>9453</v>
      </c>
      <c r="E3155" s="70" t="s">
        <v>9457</v>
      </c>
      <c r="F3155" s="26" t="s">
        <v>798</v>
      </c>
      <c r="G3155" s="15" t="s">
        <v>798</v>
      </c>
      <c r="H3155" s="14" t="s">
        <v>798</v>
      </c>
      <c r="I3155" s="15" t="s">
        <v>798</v>
      </c>
      <c r="J3155" s="12" t="s">
        <v>9438</v>
      </c>
      <c r="K3155" s="16" t="s">
        <v>3227</v>
      </c>
      <c r="L3155" s="12" t="s">
        <v>800</v>
      </c>
      <c r="M3155" s="16" t="s">
        <v>4193</v>
      </c>
      <c r="N3155" s="19" t="s">
        <v>798</v>
      </c>
      <c r="O3155" s="20" t="s">
        <v>798</v>
      </c>
      <c r="P3155" s="17" t="s">
        <v>802</v>
      </c>
      <c r="Q3155" s="21" t="s">
        <v>8779</v>
      </c>
      <c r="R3155" s="19" t="s">
        <v>798</v>
      </c>
      <c r="S3155" s="20" t="s">
        <v>798</v>
      </c>
      <c r="T3155" s="17" t="s">
        <v>798</v>
      </c>
      <c r="U3155" s="20" t="s">
        <v>798</v>
      </c>
      <c r="V3155" s="26" t="s">
        <v>798</v>
      </c>
      <c r="W3155" s="20" t="s">
        <v>798</v>
      </c>
      <c r="X3155" s="26" t="s">
        <v>798</v>
      </c>
      <c r="Y3155" s="20" t="s">
        <v>798</v>
      </c>
      <c r="Z3155" s="69" t="s">
        <v>9486</v>
      </c>
      <c r="AA3155" s="72" t="s">
        <v>9476</v>
      </c>
      <c r="AB3155" s="73" t="s">
        <v>9486</v>
      </c>
      <c r="AC3155" s="74" t="s">
        <v>9566</v>
      </c>
      <c r="AD3155" s="73" t="s">
        <v>9578</v>
      </c>
      <c r="AE3155" s="74" t="s">
        <v>9668</v>
      </c>
    </row>
    <row r="3156" spans="1:31" ht="8.65" customHeight="1" x14ac:dyDescent="0.2">
      <c r="A3156" s="76">
        <v>3156</v>
      </c>
      <c r="B3156" s="67" t="str">
        <f>MID(C3156, FIND("Ifc.", C3156) + 4, 4) &amp; "_" &amp; TEXT(COUNTIF($C$2:C3156, C3156),"0000")</f>
        <v>Enti_0289</v>
      </c>
      <c r="C3156" s="25" t="s">
        <v>874</v>
      </c>
      <c r="D3156" s="69" t="s">
        <v>9453</v>
      </c>
      <c r="E3156" s="70" t="s">
        <v>9457</v>
      </c>
      <c r="F3156" s="26" t="s">
        <v>798</v>
      </c>
      <c r="G3156" s="15" t="s">
        <v>798</v>
      </c>
      <c r="H3156" s="14" t="s">
        <v>798</v>
      </c>
      <c r="I3156" s="15" t="s">
        <v>798</v>
      </c>
      <c r="J3156" s="12" t="s">
        <v>9438</v>
      </c>
      <c r="K3156" s="16" t="s">
        <v>3228</v>
      </c>
      <c r="L3156" s="12" t="s">
        <v>800</v>
      </c>
      <c r="M3156" s="16" t="s">
        <v>4194</v>
      </c>
      <c r="N3156" s="19" t="s">
        <v>798</v>
      </c>
      <c r="O3156" s="20" t="s">
        <v>798</v>
      </c>
      <c r="P3156" s="17" t="s">
        <v>802</v>
      </c>
      <c r="Q3156" s="21" t="s">
        <v>8780</v>
      </c>
      <c r="R3156" s="19" t="s">
        <v>798</v>
      </c>
      <c r="S3156" s="20" t="s">
        <v>798</v>
      </c>
      <c r="T3156" s="17" t="s">
        <v>798</v>
      </c>
      <c r="U3156" s="20" t="s">
        <v>798</v>
      </c>
      <c r="V3156" s="26" t="s">
        <v>798</v>
      </c>
      <c r="W3156" s="20" t="s">
        <v>798</v>
      </c>
      <c r="X3156" s="26" t="s">
        <v>798</v>
      </c>
      <c r="Y3156" s="20" t="s">
        <v>798</v>
      </c>
      <c r="Z3156" s="69" t="s">
        <v>9486</v>
      </c>
      <c r="AA3156" s="72" t="s">
        <v>9477</v>
      </c>
      <c r="AB3156" s="73" t="s">
        <v>9486</v>
      </c>
      <c r="AC3156" s="74" t="s">
        <v>9566</v>
      </c>
      <c r="AD3156" s="73" t="s">
        <v>9578</v>
      </c>
      <c r="AE3156" s="74" t="s">
        <v>9668</v>
      </c>
    </row>
    <row r="3157" spans="1:31" ht="8.65" customHeight="1" x14ac:dyDescent="0.2">
      <c r="A3157" s="76">
        <v>3157</v>
      </c>
      <c r="B3157" s="67" t="str">
        <f>MID(C3157, FIND("Ifc.", C3157) + 4, 4) &amp; "_" &amp; TEXT(COUNTIF($C$2:C3157, C3157),"0000")</f>
        <v>Enti_0290</v>
      </c>
      <c r="C3157" s="25" t="s">
        <v>874</v>
      </c>
      <c r="D3157" s="69" t="s">
        <v>9453</v>
      </c>
      <c r="E3157" s="70" t="s">
        <v>9457</v>
      </c>
      <c r="F3157" s="26" t="s">
        <v>798</v>
      </c>
      <c r="G3157" s="15" t="s">
        <v>798</v>
      </c>
      <c r="H3157" s="14" t="s">
        <v>798</v>
      </c>
      <c r="I3157" s="15" t="s">
        <v>798</v>
      </c>
      <c r="J3157" s="12" t="s">
        <v>9438</v>
      </c>
      <c r="K3157" s="16" t="s">
        <v>3229</v>
      </c>
      <c r="L3157" s="12" t="s">
        <v>800</v>
      </c>
      <c r="M3157" s="16" t="s">
        <v>4195</v>
      </c>
      <c r="N3157" s="19" t="s">
        <v>798</v>
      </c>
      <c r="O3157" s="20" t="s">
        <v>798</v>
      </c>
      <c r="P3157" s="17" t="s">
        <v>802</v>
      </c>
      <c r="Q3157" s="21" t="s">
        <v>8781</v>
      </c>
      <c r="R3157" s="19" t="s">
        <v>798</v>
      </c>
      <c r="S3157" s="20" t="s">
        <v>798</v>
      </c>
      <c r="T3157" s="17" t="s">
        <v>798</v>
      </c>
      <c r="U3157" s="20" t="s">
        <v>798</v>
      </c>
      <c r="V3157" s="26" t="s">
        <v>798</v>
      </c>
      <c r="W3157" s="20" t="s">
        <v>798</v>
      </c>
      <c r="X3157" s="26" t="s">
        <v>798</v>
      </c>
      <c r="Y3157" s="20" t="s">
        <v>798</v>
      </c>
      <c r="Z3157" s="69" t="s">
        <v>9486</v>
      </c>
      <c r="AA3157" s="72" t="s">
        <v>9497</v>
      </c>
      <c r="AB3157" s="73" t="s">
        <v>9486</v>
      </c>
      <c r="AC3157" s="74" t="s">
        <v>9562</v>
      </c>
      <c r="AD3157" s="73" t="s">
        <v>9578</v>
      </c>
      <c r="AE3157" s="74" t="s">
        <v>9579</v>
      </c>
    </row>
    <row r="3158" spans="1:31" ht="8.65" customHeight="1" x14ac:dyDescent="0.2">
      <c r="A3158" s="76">
        <v>3158</v>
      </c>
      <c r="B3158" s="67" t="str">
        <f>MID(C3158, FIND("Ifc.", C3158) + 4, 4) &amp; "_" &amp; TEXT(COUNTIF($C$2:C3158, C3158),"0000")</f>
        <v>Enti_0291</v>
      </c>
      <c r="C3158" s="25" t="s">
        <v>874</v>
      </c>
      <c r="D3158" s="69" t="s">
        <v>9453</v>
      </c>
      <c r="E3158" s="70" t="s">
        <v>9457</v>
      </c>
      <c r="F3158" s="26" t="s">
        <v>798</v>
      </c>
      <c r="G3158" s="15" t="s">
        <v>798</v>
      </c>
      <c r="H3158" s="14" t="s">
        <v>798</v>
      </c>
      <c r="I3158" s="15" t="s">
        <v>798</v>
      </c>
      <c r="J3158" s="12" t="s">
        <v>9438</v>
      </c>
      <c r="K3158" s="16" t="s">
        <v>3230</v>
      </c>
      <c r="L3158" s="12" t="s">
        <v>800</v>
      </c>
      <c r="M3158" s="16" t="s">
        <v>4196</v>
      </c>
      <c r="N3158" s="19" t="s">
        <v>798</v>
      </c>
      <c r="O3158" s="20" t="s">
        <v>798</v>
      </c>
      <c r="P3158" s="17" t="s">
        <v>802</v>
      </c>
      <c r="Q3158" s="21" t="s">
        <v>8782</v>
      </c>
      <c r="R3158" s="19" t="s">
        <v>798</v>
      </c>
      <c r="S3158" s="20" t="s">
        <v>798</v>
      </c>
      <c r="T3158" s="17" t="s">
        <v>798</v>
      </c>
      <c r="U3158" s="20" t="s">
        <v>798</v>
      </c>
      <c r="V3158" s="26" t="s">
        <v>798</v>
      </c>
      <c r="W3158" s="20" t="s">
        <v>798</v>
      </c>
      <c r="X3158" s="26" t="s">
        <v>798</v>
      </c>
      <c r="Y3158" s="20" t="s">
        <v>798</v>
      </c>
      <c r="Z3158" s="69" t="s">
        <v>9486</v>
      </c>
      <c r="AA3158" s="72" t="s">
        <v>9497</v>
      </c>
      <c r="AB3158" s="73" t="s">
        <v>9486</v>
      </c>
      <c r="AC3158" s="74" t="s">
        <v>9562</v>
      </c>
      <c r="AD3158" s="73" t="s">
        <v>9578</v>
      </c>
      <c r="AE3158" s="74" t="s">
        <v>9579</v>
      </c>
    </row>
    <row r="3159" spans="1:31" ht="8.65" customHeight="1" x14ac:dyDescent="0.2">
      <c r="A3159" s="76">
        <v>3159</v>
      </c>
      <c r="B3159" s="67" t="str">
        <f>MID(C3159, FIND("Ifc.", C3159) + 4, 4) &amp; "_" &amp; TEXT(COUNTIF($C$2:C3159, C3159),"0000")</f>
        <v>Enti_0292</v>
      </c>
      <c r="C3159" s="25" t="s">
        <v>874</v>
      </c>
      <c r="D3159" s="69" t="s">
        <v>9453</v>
      </c>
      <c r="E3159" s="70" t="s">
        <v>9457</v>
      </c>
      <c r="F3159" s="26" t="s">
        <v>798</v>
      </c>
      <c r="G3159" s="15" t="s">
        <v>798</v>
      </c>
      <c r="H3159" s="14" t="s">
        <v>798</v>
      </c>
      <c r="I3159" s="15" t="s">
        <v>798</v>
      </c>
      <c r="J3159" s="12" t="s">
        <v>9438</v>
      </c>
      <c r="K3159" s="16" t="s">
        <v>3231</v>
      </c>
      <c r="L3159" s="12" t="s">
        <v>800</v>
      </c>
      <c r="M3159" s="16" t="s">
        <v>4197</v>
      </c>
      <c r="N3159" s="19" t="s">
        <v>798</v>
      </c>
      <c r="O3159" s="20" t="s">
        <v>798</v>
      </c>
      <c r="P3159" s="17" t="s">
        <v>802</v>
      </c>
      <c r="Q3159" s="21" t="s">
        <v>8783</v>
      </c>
      <c r="R3159" s="19" t="s">
        <v>798</v>
      </c>
      <c r="S3159" s="20" t="s">
        <v>798</v>
      </c>
      <c r="T3159" s="17" t="s">
        <v>798</v>
      </c>
      <c r="U3159" s="20" t="s">
        <v>798</v>
      </c>
      <c r="V3159" s="26" t="s">
        <v>798</v>
      </c>
      <c r="W3159" s="20" t="s">
        <v>798</v>
      </c>
      <c r="X3159" s="26" t="s">
        <v>798</v>
      </c>
      <c r="Y3159" s="20" t="s">
        <v>798</v>
      </c>
      <c r="Z3159" s="69" t="s">
        <v>9486</v>
      </c>
      <c r="AA3159" s="72" t="s">
        <v>9497</v>
      </c>
      <c r="AB3159" s="73" t="s">
        <v>9486</v>
      </c>
      <c r="AC3159" s="74" t="s">
        <v>9562</v>
      </c>
      <c r="AD3159" s="73" t="s">
        <v>9578</v>
      </c>
      <c r="AE3159" s="74" t="s">
        <v>9579</v>
      </c>
    </row>
    <row r="3160" spans="1:31" ht="8.65" customHeight="1" x14ac:dyDescent="0.2">
      <c r="A3160" s="76">
        <v>3160</v>
      </c>
      <c r="B3160" s="67" t="str">
        <f>MID(C3160, FIND("Ifc.", C3160) + 4, 4) &amp; "_" &amp; TEXT(COUNTIF($C$2:C3160, C3160),"0000")</f>
        <v>Enti_0293</v>
      </c>
      <c r="C3160" s="25" t="s">
        <v>874</v>
      </c>
      <c r="D3160" s="69" t="s">
        <v>9453</v>
      </c>
      <c r="E3160" s="70" t="s">
        <v>9457</v>
      </c>
      <c r="F3160" s="26" t="s">
        <v>798</v>
      </c>
      <c r="G3160" s="15" t="s">
        <v>798</v>
      </c>
      <c r="H3160" s="14" t="s">
        <v>798</v>
      </c>
      <c r="I3160" s="15" t="s">
        <v>798</v>
      </c>
      <c r="J3160" s="12" t="s">
        <v>9438</v>
      </c>
      <c r="K3160" s="16" t="s">
        <v>3232</v>
      </c>
      <c r="L3160" s="12" t="s">
        <v>800</v>
      </c>
      <c r="M3160" s="16" t="s">
        <v>4198</v>
      </c>
      <c r="N3160" s="19" t="s">
        <v>798</v>
      </c>
      <c r="O3160" s="20" t="s">
        <v>798</v>
      </c>
      <c r="P3160" s="17" t="s">
        <v>802</v>
      </c>
      <c r="Q3160" s="21" t="s">
        <v>8784</v>
      </c>
      <c r="R3160" s="19" t="s">
        <v>798</v>
      </c>
      <c r="S3160" s="20" t="s">
        <v>798</v>
      </c>
      <c r="T3160" s="17" t="s">
        <v>798</v>
      </c>
      <c r="U3160" s="20" t="s">
        <v>798</v>
      </c>
      <c r="V3160" s="26" t="s">
        <v>798</v>
      </c>
      <c r="W3160" s="20" t="s">
        <v>798</v>
      </c>
      <c r="X3160" s="26" t="s">
        <v>798</v>
      </c>
      <c r="Y3160" s="20" t="s">
        <v>798</v>
      </c>
      <c r="Z3160" s="69" t="s">
        <v>9486</v>
      </c>
      <c r="AA3160" s="72" t="s">
        <v>9497</v>
      </c>
      <c r="AB3160" s="73" t="s">
        <v>9486</v>
      </c>
      <c r="AC3160" s="74" t="s">
        <v>9562</v>
      </c>
      <c r="AD3160" s="73" t="s">
        <v>9578</v>
      </c>
      <c r="AE3160" s="74" t="s">
        <v>9579</v>
      </c>
    </row>
    <row r="3161" spans="1:31" ht="8.65" customHeight="1" x14ac:dyDescent="0.2">
      <c r="A3161" s="76">
        <v>3161</v>
      </c>
      <c r="B3161" s="67" t="str">
        <f>MID(C3161, FIND("Ifc.", C3161) + 4, 4) &amp; "_" &amp; TEXT(COUNTIF($C$2:C3161, C3161),"0000")</f>
        <v>Enti_0294</v>
      </c>
      <c r="C3161" s="25" t="s">
        <v>874</v>
      </c>
      <c r="D3161" s="69" t="s">
        <v>9453</v>
      </c>
      <c r="E3161" s="70" t="s">
        <v>9457</v>
      </c>
      <c r="F3161" s="26" t="s">
        <v>798</v>
      </c>
      <c r="G3161" s="15" t="s">
        <v>798</v>
      </c>
      <c r="H3161" s="14" t="s">
        <v>798</v>
      </c>
      <c r="I3161" s="15" t="s">
        <v>798</v>
      </c>
      <c r="J3161" s="12" t="s">
        <v>9438</v>
      </c>
      <c r="K3161" s="16" t="s">
        <v>3233</v>
      </c>
      <c r="L3161" s="12" t="s">
        <v>800</v>
      </c>
      <c r="M3161" s="16" t="s">
        <v>4199</v>
      </c>
      <c r="N3161" s="19" t="s">
        <v>798</v>
      </c>
      <c r="O3161" s="20" t="s">
        <v>798</v>
      </c>
      <c r="P3161" s="17" t="s">
        <v>802</v>
      </c>
      <c r="Q3161" s="21" t="s">
        <v>8785</v>
      </c>
      <c r="R3161" s="19" t="s">
        <v>798</v>
      </c>
      <c r="S3161" s="20" t="s">
        <v>798</v>
      </c>
      <c r="T3161" s="17" t="s">
        <v>798</v>
      </c>
      <c r="U3161" s="20" t="s">
        <v>798</v>
      </c>
      <c r="V3161" s="26" t="s">
        <v>798</v>
      </c>
      <c r="W3161" s="20" t="s">
        <v>798</v>
      </c>
      <c r="X3161" s="26" t="s">
        <v>798</v>
      </c>
      <c r="Y3161" s="20" t="s">
        <v>798</v>
      </c>
      <c r="Z3161" s="69" t="s">
        <v>9486</v>
      </c>
      <c r="AA3161" s="72" t="s">
        <v>9497</v>
      </c>
      <c r="AB3161" s="73" t="s">
        <v>9486</v>
      </c>
      <c r="AC3161" s="74" t="s">
        <v>9562</v>
      </c>
      <c r="AD3161" s="73" t="s">
        <v>9578</v>
      </c>
      <c r="AE3161" s="74" t="s">
        <v>9579</v>
      </c>
    </row>
    <row r="3162" spans="1:31" ht="8.65" customHeight="1" x14ac:dyDescent="0.2">
      <c r="A3162" s="76">
        <v>3162</v>
      </c>
      <c r="B3162" s="67" t="str">
        <f>MID(C3162, FIND("Ifc.", C3162) + 4, 4) &amp; "_" &amp; TEXT(COUNTIF($C$2:C3162, C3162),"0000")</f>
        <v>Enti_0295</v>
      </c>
      <c r="C3162" s="25" t="s">
        <v>874</v>
      </c>
      <c r="D3162" s="69" t="s">
        <v>9453</v>
      </c>
      <c r="E3162" s="70" t="s">
        <v>9457</v>
      </c>
      <c r="F3162" s="26" t="s">
        <v>798</v>
      </c>
      <c r="G3162" s="15" t="s">
        <v>798</v>
      </c>
      <c r="H3162" s="14" t="s">
        <v>798</v>
      </c>
      <c r="I3162" s="15" t="s">
        <v>798</v>
      </c>
      <c r="J3162" s="12" t="s">
        <v>9438</v>
      </c>
      <c r="K3162" s="16" t="s">
        <v>3234</v>
      </c>
      <c r="L3162" s="12" t="s">
        <v>800</v>
      </c>
      <c r="M3162" s="16" t="s">
        <v>4200</v>
      </c>
      <c r="N3162" s="19" t="s">
        <v>798</v>
      </c>
      <c r="O3162" s="20" t="s">
        <v>798</v>
      </c>
      <c r="P3162" s="17" t="s">
        <v>802</v>
      </c>
      <c r="Q3162" s="21" t="s">
        <v>8786</v>
      </c>
      <c r="R3162" s="19" t="s">
        <v>798</v>
      </c>
      <c r="S3162" s="20" t="s">
        <v>798</v>
      </c>
      <c r="T3162" s="17" t="s">
        <v>798</v>
      </c>
      <c r="U3162" s="20" t="s">
        <v>798</v>
      </c>
      <c r="V3162" s="26" t="s">
        <v>798</v>
      </c>
      <c r="W3162" s="20" t="s">
        <v>798</v>
      </c>
      <c r="X3162" s="26" t="s">
        <v>798</v>
      </c>
      <c r="Y3162" s="20" t="s">
        <v>798</v>
      </c>
      <c r="Z3162" s="69" t="s">
        <v>9486</v>
      </c>
      <c r="AA3162" s="72" t="s">
        <v>9497</v>
      </c>
      <c r="AB3162" s="73" t="s">
        <v>9486</v>
      </c>
      <c r="AC3162" s="74" t="s">
        <v>9562</v>
      </c>
      <c r="AD3162" s="73" t="s">
        <v>9578</v>
      </c>
      <c r="AE3162" s="74" t="s">
        <v>9579</v>
      </c>
    </row>
    <row r="3163" spans="1:31" ht="8.65" customHeight="1" x14ac:dyDescent="0.2">
      <c r="A3163" s="76">
        <v>3163</v>
      </c>
      <c r="B3163" s="67" t="str">
        <f>MID(C3163, FIND("Ifc.", C3163) + 4, 4) &amp; "_" &amp; TEXT(COUNTIF($C$2:C3163, C3163),"0000")</f>
        <v>Enti_0296</v>
      </c>
      <c r="C3163" s="25" t="s">
        <v>874</v>
      </c>
      <c r="D3163" s="69" t="s">
        <v>9453</v>
      </c>
      <c r="E3163" s="70" t="s">
        <v>9457</v>
      </c>
      <c r="F3163" s="26" t="s">
        <v>798</v>
      </c>
      <c r="G3163" s="15" t="s">
        <v>798</v>
      </c>
      <c r="H3163" s="14" t="s">
        <v>798</v>
      </c>
      <c r="I3163" s="15" t="s">
        <v>798</v>
      </c>
      <c r="J3163" s="12" t="s">
        <v>9438</v>
      </c>
      <c r="K3163" s="16" t="s">
        <v>3235</v>
      </c>
      <c r="L3163" s="12" t="s">
        <v>800</v>
      </c>
      <c r="M3163" s="16" t="s">
        <v>4201</v>
      </c>
      <c r="N3163" s="19" t="s">
        <v>798</v>
      </c>
      <c r="O3163" s="20" t="s">
        <v>798</v>
      </c>
      <c r="P3163" s="17" t="s">
        <v>802</v>
      </c>
      <c r="Q3163" s="21" t="s">
        <v>8787</v>
      </c>
      <c r="R3163" s="19" t="s">
        <v>798</v>
      </c>
      <c r="S3163" s="20" t="s">
        <v>798</v>
      </c>
      <c r="T3163" s="17" t="s">
        <v>798</v>
      </c>
      <c r="U3163" s="20" t="s">
        <v>798</v>
      </c>
      <c r="V3163" s="26" t="s">
        <v>798</v>
      </c>
      <c r="W3163" s="20" t="s">
        <v>798</v>
      </c>
      <c r="X3163" s="26" t="s">
        <v>798</v>
      </c>
      <c r="Y3163" s="20" t="s">
        <v>798</v>
      </c>
      <c r="Z3163" s="69" t="s">
        <v>9486</v>
      </c>
      <c r="AA3163" s="72" t="s">
        <v>9497</v>
      </c>
      <c r="AB3163" s="73" t="s">
        <v>9486</v>
      </c>
      <c r="AC3163" s="74" t="s">
        <v>9562</v>
      </c>
      <c r="AD3163" s="73" t="s">
        <v>9578</v>
      </c>
      <c r="AE3163" s="74" t="s">
        <v>9579</v>
      </c>
    </row>
    <row r="3164" spans="1:31" ht="8.65" customHeight="1" x14ac:dyDescent="0.2">
      <c r="A3164" s="76">
        <v>3164</v>
      </c>
      <c r="B3164" s="67" t="str">
        <f>MID(C3164, FIND("Ifc.", C3164) + 4, 4) &amp; "_" &amp; TEXT(COUNTIF($C$2:C3164, C3164),"0000")</f>
        <v>Enti_0297</v>
      </c>
      <c r="C3164" s="25" t="s">
        <v>874</v>
      </c>
      <c r="D3164" s="69" t="s">
        <v>9453</v>
      </c>
      <c r="E3164" s="70" t="s">
        <v>9457</v>
      </c>
      <c r="F3164" s="26" t="s">
        <v>798</v>
      </c>
      <c r="G3164" s="15" t="s">
        <v>798</v>
      </c>
      <c r="H3164" s="14" t="s">
        <v>798</v>
      </c>
      <c r="I3164" s="15" t="s">
        <v>798</v>
      </c>
      <c r="J3164" s="12" t="s">
        <v>9438</v>
      </c>
      <c r="K3164" s="16" t="s">
        <v>3236</v>
      </c>
      <c r="L3164" s="12" t="s">
        <v>800</v>
      </c>
      <c r="M3164" s="16" t="s">
        <v>4202</v>
      </c>
      <c r="N3164" s="19" t="s">
        <v>798</v>
      </c>
      <c r="O3164" s="20" t="s">
        <v>798</v>
      </c>
      <c r="P3164" s="17" t="s">
        <v>802</v>
      </c>
      <c r="Q3164" s="21" t="s">
        <v>8788</v>
      </c>
      <c r="R3164" s="19" t="s">
        <v>798</v>
      </c>
      <c r="S3164" s="20" t="s">
        <v>798</v>
      </c>
      <c r="T3164" s="17" t="s">
        <v>798</v>
      </c>
      <c r="U3164" s="20" t="s">
        <v>798</v>
      </c>
      <c r="V3164" s="26" t="s">
        <v>798</v>
      </c>
      <c r="W3164" s="20" t="s">
        <v>798</v>
      </c>
      <c r="X3164" s="26" t="s">
        <v>798</v>
      </c>
      <c r="Y3164" s="20" t="s">
        <v>798</v>
      </c>
      <c r="Z3164" s="69" t="s">
        <v>9486</v>
      </c>
      <c r="AA3164" s="72" t="s">
        <v>9497</v>
      </c>
      <c r="AB3164" s="73" t="s">
        <v>9486</v>
      </c>
      <c r="AC3164" s="74" t="s">
        <v>9562</v>
      </c>
      <c r="AD3164" s="73" t="s">
        <v>9578</v>
      </c>
      <c r="AE3164" s="74" t="s">
        <v>9579</v>
      </c>
    </row>
    <row r="3165" spans="1:31" ht="8.65" customHeight="1" x14ac:dyDescent="0.2">
      <c r="A3165" s="76">
        <v>3165</v>
      </c>
      <c r="B3165" s="67" t="str">
        <f>MID(C3165, FIND("Ifc.", C3165) + 4, 4) &amp; "_" &amp; TEXT(COUNTIF($C$2:C3165, C3165),"0000")</f>
        <v>Enti_0298</v>
      </c>
      <c r="C3165" s="25" t="s">
        <v>874</v>
      </c>
      <c r="D3165" s="69" t="s">
        <v>9453</v>
      </c>
      <c r="E3165" s="70" t="s">
        <v>9457</v>
      </c>
      <c r="F3165" s="26" t="s">
        <v>798</v>
      </c>
      <c r="G3165" s="15" t="s">
        <v>798</v>
      </c>
      <c r="H3165" s="14" t="s">
        <v>798</v>
      </c>
      <c r="I3165" s="15" t="s">
        <v>798</v>
      </c>
      <c r="J3165" s="12" t="s">
        <v>9438</v>
      </c>
      <c r="K3165" s="16" t="s">
        <v>3237</v>
      </c>
      <c r="L3165" s="12" t="s">
        <v>800</v>
      </c>
      <c r="M3165" s="16" t="s">
        <v>4203</v>
      </c>
      <c r="N3165" s="19" t="s">
        <v>798</v>
      </c>
      <c r="O3165" s="20" t="s">
        <v>798</v>
      </c>
      <c r="P3165" s="17" t="s">
        <v>802</v>
      </c>
      <c r="Q3165" s="21" t="s">
        <v>8789</v>
      </c>
      <c r="R3165" s="19" t="s">
        <v>798</v>
      </c>
      <c r="S3165" s="20" t="s">
        <v>798</v>
      </c>
      <c r="T3165" s="17" t="s">
        <v>798</v>
      </c>
      <c r="U3165" s="20" t="s">
        <v>798</v>
      </c>
      <c r="V3165" s="26" t="s">
        <v>798</v>
      </c>
      <c r="W3165" s="20" t="s">
        <v>798</v>
      </c>
      <c r="X3165" s="26" t="s">
        <v>798</v>
      </c>
      <c r="Y3165" s="20" t="s">
        <v>798</v>
      </c>
      <c r="Z3165" s="69" t="s">
        <v>9486</v>
      </c>
      <c r="AA3165" s="72" t="s">
        <v>9497</v>
      </c>
      <c r="AB3165" s="73" t="s">
        <v>9486</v>
      </c>
      <c r="AC3165" s="74" t="s">
        <v>9562</v>
      </c>
      <c r="AD3165" s="73" t="s">
        <v>9578</v>
      </c>
      <c r="AE3165" s="74" t="s">
        <v>9579</v>
      </c>
    </row>
    <row r="3166" spans="1:31" ht="8.65" customHeight="1" x14ac:dyDescent="0.2">
      <c r="A3166" s="76">
        <v>3166</v>
      </c>
      <c r="B3166" s="67" t="str">
        <f>MID(C3166, FIND("Ifc.", C3166) + 4, 4) &amp; "_" &amp; TEXT(COUNTIF($C$2:C3166, C3166),"0000")</f>
        <v>Enti_0299</v>
      </c>
      <c r="C3166" s="25" t="s">
        <v>874</v>
      </c>
      <c r="D3166" s="69" t="s">
        <v>9453</v>
      </c>
      <c r="E3166" s="70" t="s">
        <v>9457</v>
      </c>
      <c r="F3166" s="26" t="s">
        <v>798</v>
      </c>
      <c r="G3166" s="15" t="s">
        <v>798</v>
      </c>
      <c r="H3166" s="14" t="s">
        <v>798</v>
      </c>
      <c r="I3166" s="15" t="s">
        <v>798</v>
      </c>
      <c r="J3166" s="12" t="s">
        <v>9438</v>
      </c>
      <c r="K3166" s="16" t="s">
        <v>3238</v>
      </c>
      <c r="L3166" s="12" t="s">
        <v>800</v>
      </c>
      <c r="M3166" s="16" t="s">
        <v>4204</v>
      </c>
      <c r="N3166" s="19" t="s">
        <v>798</v>
      </c>
      <c r="O3166" s="20" t="s">
        <v>798</v>
      </c>
      <c r="P3166" s="17" t="s">
        <v>802</v>
      </c>
      <c r="Q3166" s="21" t="s">
        <v>8790</v>
      </c>
      <c r="R3166" s="19" t="s">
        <v>798</v>
      </c>
      <c r="S3166" s="20" t="s">
        <v>798</v>
      </c>
      <c r="T3166" s="17" t="s">
        <v>798</v>
      </c>
      <c r="U3166" s="20" t="s">
        <v>798</v>
      </c>
      <c r="V3166" s="26" t="s">
        <v>798</v>
      </c>
      <c r="W3166" s="20" t="s">
        <v>798</v>
      </c>
      <c r="X3166" s="26" t="s">
        <v>798</v>
      </c>
      <c r="Y3166" s="20" t="s">
        <v>798</v>
      </c>
      <c r="Z3166" s="69" t="s">
        <v>9486</v>
      </c>
      <c r="AA3166" s="72" t="s">
        <v>9497</v>
      </c>
      <c r="AB3166" s="73" t="s">
        <v>9486</v>
      </c>
      <c r="AC3166" s="74" t="s">
        <v>9562</v>
      </c>
      <c r="AD3166" s="73" t="s">
        <v>9578</v>
      </c>
      <c r="AE3166" s="74" t="s">
        <v>9579</v>
      </c>
    </row>
    <row r="3167" spans="1:31" ht="8.65" customHeight="1" x14ac:dyDescent="0.2">
      <c r="A3167" s="76">
        <v>3167</v>
      </c>
      <c r="B3167" s="67" t="str">
        <f>MID(C3167, FIND("Ifc.", C3167) + 4, 4) &amp; "_" &amp; TEXT(COUNTIF($C$2:C3167, C3167),"0000")</f>
        <v>Enti_0300</v>
      </c>
      <c r="C3167" s="25" t="s">
        <v>874</v>
      </c>
      <c r="D3167" s="69" t="s">
        <v>9453</v>
      </c>
      <c r="E3167" s="70" t="s">
        <v>9457</v>
      </c>
      <c r="F3167" s="26" t="s">
        <v>798</v>
      </c>
      <c r="G3167" s="15" t="s">
        <v>798</v>
      </c>
      <c r="H3167" s="14" t="s">
        <v>798</v>
      </c>
      <c r="I3167" s="15" t="s">
        <v>798</v>
      </c>
      <c r="J3167" s="12" t="s">
        <v>9438</v>
      </c>
      <c r="K3167" s="16" t="s">
        <v>3239</v>
      </c>
      <c r="L3167" s="12" t="s">
        <v>800</v>
      </c>
      <c r="M3167" s="16" t="s">
        <v>4205</v>
      </c>
      <c r="N3167" s="19" t="s">
        <v>798</v>
      </c>
      <c r="O3167" s="20" t="s">
        <v>798</v>
      </c>
      <c r="P3167" s="17" t="s">
        <v>802</v>
      </c>
      <c r="Q3167" s="21" t="s">
        <v>8791</v>
      </c>
      <c r="R3167" s="19" t="s">
        <v>798</v>
      </c>
      <c r="S3167" s="20" t="s">
        <v>798</v>
      </c>
      <c r="T3167" s="17" t="s">
        <v>798</v>
      </c>
      <c r="U3167" s="20" t="s">
        <v>798</v>
      </c>
      <c r="V3167" s="26" t="s">
        <v>798</v>
      </c>
      <c r="W3167" s="20" t="s">
        <v>798</v>
      </c>
      <c r="X3167" s="26" t="s">
        <v>798</v>
      </c>
      <c r="Y3167" s="20" t="s">
        <v>798</v>
      </c>
      <c r="Z3167" s="69" t="s">
        <v>9486</v>
      </c>
      <c r="AA3167" s="72" t="s">
        <v>9497</v>
      </c>
      <c r="AB3167" s="73" t="s">
        <v>9486</v>
      </c>
      <c r="AC3167" s="74" t="s">
        <v>9562</v>
      </c>
      <c r="AD3167" s="73" t="s">
        <v>9578</v>
      </c>
      <c r="AE3167" s="74" t="s">
        <v>9579</v>
      </c>
    </row>
    <row r="3168" spans="1:31" ht="8.65" customHeight="1" x14ac:dyDescent="0.2">
      <c r="A3168" s="76">
        <v>3168</v>
      </c>
      <c r="B3168" s="67" t="str">
        <f>MID(C3168, FIND("Ifc.", C3168) + 4, 4) &amp; "_" &amp; TEXT(COUNTIF($C$2:C3168, C3168),"0000")</f>
        <v>Enti_0301</v>
      </c>
      <c r="C3168" s="25" t="s">
        <v>874</v>
      </c>
      <c r="D3168" s="69" t="s">
        <v>9453</v>
      </c>
      <c r="E3168" s="70" t="s">
        <v>9457</v>
      </c>
      <c r="F3168" s="26" t="s">
        <v>798</v>
      </c>
      <c r="G3168" s="15" t="s">
        <v>798</v>
      </c>
      <c r="H3168" s="14" t="s">
        <v>798</v>
      </c>
      <c r="I3168" s="15" t="s">
        <v>798</v>
      </c>
      <c r="J3168" s="12" t="s">
        <v>9438</v>
      </c>
      <c r="K3168" s="16" t="s">
        <v>3240</v>
      </c>
      <c r="L3168" s="12" t="s">
        <v>800</v>
      </c>
      <c r="M3168" s="16" t="s">
        <v>4206</v>
      </c>
      <c r="N3168" s="19" t="s">
        <v>798</v>
      </c>
      <c r="O3168" s="20" t="s">
        <v>798</v>
      </c>
      <c r="P3168" s="17" t="s">
        <v>802</v>
      </c>
      <c r="Q3168" s="21" t="s">
        <v>8792</v>
      </c>
      <c r="R3168" s="19" t="s">
        <v>798</v>
      </c>
      <c r="S3168" s="20" t="s">
        <v>798</v>
      </c>
      <c r="T3168" s="17" t="s">
        <v>798</v>
      </c>
      <c r="U3168" s="20" t="s">
        <v>798</v>
      </c>
      <c r="V3168" s="26" t="s">
        <v>798</v>
      </c>
      <c r="W3168" s="20" t="s">
        <v>798</v>
      </c>
      <c r="X3168" s="26" t="s">
        <v>798</v>
      </c>
      <c r="Y3168" s="20" t="s">
        <v>798</v>
      </c>
      <c r="Z3168" s="69" t="s">
        <v>9486</v>
      </c>
      <c r="AA3168" s="72" t="s">
        <v>9497</v>
      </c>
      <c r="AB3168" s="73" t="s">
        <v>9486</v>
      </c>
      <c r="AC3168" s="74" t="s">
        <v>9562</v>
      </c>
      <c r="AD3168" s="73" t="s">
        <v>9578</v>
      </c>
      <c r="AE3168" s="74" t="s">
        <v>9579</v>
      </c>
    </row>
    <row r="3169" spans="1:31" ht="8.65" customHeight="1" x14ac:dyDescent="0.2">
      <c r="A3169" s="76">
        <v>3169</v>
      </c>
      <c r="B3169" s="67" t="str">
        <f>MID(C3169, FIND("Ifc.", C3169) + 4, 4) &amp; "_" &amp; TEXT(COUNTIF($C$2:C3169, C3169),"0000")</f>
        <v>Enti_0302</v>
      </c>
      <c r="C3169" s="25" t="s">
        <v>874</v>
      </c>
      <c r="D3169" s="69" t="s">
        <v>9453</v>
      </c>
      <c r="E3169" s="70" t="s">
        <v>9457</v>
      </c>
      <c r="F3169" s="26" t="s">
        <v>798</v>
      </c>
      <c r="G3169" s="15" t="s">
        <v>798</v>
      </c>
      <c r="H3169" s="14" t="s">
        <v>798</v>
      </c>
      <c r="I3169" s="15" t="s">
        <v>798</v>
      </c>
      <c r="J3169" s="12" t="s">
        <v>9438</v>
      </c>
      <c r="K3169" s="16" t="s">
        <v>3241</v>
      </c>
      <c r="L3169" s="12" t="s">
        <v>800</v>
      </c>
      <c r="M3169" s="16" t="s">
        <v>4207</v>
      </c>
      <c r="N3169" s="19" t="s">
        <v>798</v>
      </c>
      <c r="O3169" s="20" t="s">
        <v>798</v>
      </c>
      <c r="P3169" s="17" t="s">
        <v>802</v>
      </c>
      <c r="Q3169" s="21" t="s">
        <v>8793</v>
      </c>
      <c r="R3169" s="19" t="s">
        <v>798</v>
      </c>
      <c r="S3169" s="20" t="s">
        <v>798</v>
      </c>
      <c r="T3169" s="17" t="s">
        <v>798</v>
      </c>
      <c r="U3169" s="20" t="s">
        <v>798</v>
      </c>
      <c r="V3169" s="26" t="s">
        <v>798</v>
      </c>
      <c r="W3169" s="20" t="s">
        <v>798</v>
      </c>
      <c r="X3169" s="26" t="s">
        <v>798</v>
      </c>
      <c r="Y3169" s="20" t="s">
        <v>798</v>
      </c>
      <c r="Z3169" s="69" t="s">
        <v>9486</v>
      </c>
      <c r="AA3169" s="72" t="s">
        <v>9497</v>
      </c>
      <c r="AB3169" s="73" t="s">
        <v>9486</v>
      </c>
      <c r="AC3169" s="74" t="s">
        <v>9562</v>
      </c>
      <c r="AD3169" s="73" t="s">
        <v>9578</v>
      </c>
      <c r="AE3169" s="74" t="s">
        <v>9579</v>
      </c>
    </row>
    <row r="3170" spans="1:31" ht="8.65" customHeight="1" x14ac:dyDescent="0.2">
      <c r="A3170" s="76">
        <v>3170</v>
      </c>
      <c r="B3170" s="67" t="str">
        <f>MID(C3170, FIND("Ifc.", C3170) + 4, 4) &amp; "_" &amp; TEXT(COUNTIF($C$2:C3170, C3170),"0000")</f>
        <v>Enti_0303</v>
      </c>
      <c r="C3170" s="25" t="s">
        <v>874</v>
      </c>
      <c r="D3170" s="69" t="s">
        <v>9453</v>
      </c>
      <c r="E3170" s="70" t="s">
        <v>9457</v>
      </c>
      <c r="F3170" s="26" t="s">
        <v>798</v>
      </c>
      <c r="G3170" s="15" t="s">
        <v>798</v>
      </c>
      <c r="H3170" s="14" t="s">
        <v>798</v>
      </c>
      <c r="I3170" s="15" t="s">
        <v>798</v>
      </c>
      <c r="J3170" s="12" t="s">
        <v>9438</v>
      </c>
      <c r="K3170" s="16" t="s">
        <v>3242</v>
      </c>
      <c r="L3170" s="12" t="s">
        <v>800</v>
      </c>
      <c r="M3170" s="16" t="s">
        <v>4208</v>
      </c>
      <c r="N3170" s="19" t="s">
        <v>798</v>
      </c>
      <c r="O3170" s="20" t="s">
        <v>798</v>
      </c>
      <c r="P3170" s="17" t="s">
        <v>802</v>
      </c>
      <c r="Q3170" s="21" t="s">
        <v>8794</v>
      </c>
      <c r="R3170" s="19" t="s">
        <v>798</v>
      </c>
      <c r="S3170" s="20" t="s">
        <v>798</v>
      </c>
      <c r="T3170" s="17" t="s">
        <v>798</v>
      </c>
      <c r="U3170" s="20" t="s">
        <v>798</v>
      </c>
      <c r="V3170" s="26" t="s">
        <v>798</v>
      </c>
      <c r="W3170" s="20" t="s">
        <v>798</v>
      </c>
      <c r="X3170" s="26" t="s">
        <v>798</v>
      </c>
      <c r="Y3170" s="20" t="s">
        <v>798</v>
      </c>
      <c r="Z3170" s="69" t="s">
        <v>9486</v>
      </c>
      <c r="AA3170" s="72" t="s">
        <v>9497</v>
      </c>
      <c r="AB3170" s="73" t="s">
        <v>9486</v>
      </c>
      <c r="AC3170" s="74" t="s">
        <v>9562</v>
      </c>
      <c r="AD3170" s="73" t="s">
        <v>9578</v>
      </c>
      <c r="AE3170" s="74" t="s">
        <v>9579</v>
      </c>
    </row>
    <row r="3171" spans="1:31" ht="8.65" customHeight="1" x14ac:dyDescent="0.2">
      <c r="A3171" s="76">
        <v>3171</v>
      </c>
      <c r="B3171" s="67" t="str">
        <f>MID(C3171, FIND("Ifc.", C3171) + 4, 4) &amp; "_" &amp; TEXT(COUNTIF($C$2:C3171, C3171),"0000")</f>
        <v>Enti_0304</v>
      </c>
      <c r="C3171" s="25" t="s">
        <v>874</v>
      </c>
      <c r="D3171" s="69" t="s">
        <v>9453</v>
      </c>
      <c r="E3171" s="70" t="s">
        <v>9457</v>
      </c>
      <c r="F3171" s="26" t="s">
        <v>798</v>
      </c>
      <c r="G3171" s="15" t="s">
        <v>798</v>
      </c>
      <c r="H3171" s="14" t="s">
        <v>798</v>
      </c>
      <c r="I3171" s="15" t="s">
        <v>798</v>
      </c>
      <c r="J3171" s="12" t="s">
        <v>9438</v>
      </c>
      <c r="K3171" s="16" t="s">
        <v>3243</v>
      </c>
      <c r="L3171" s="12" t="s">
        <v>800</v>
      </c>
      <c r="M3171" s="16" t="s">
        <v>4209</v>
      </c>
      <c r="N3171" s="19" t="s">
        <v>798</v>
      </c>
      <c r="O3171" s="20" t="s">
        <v>798</v>
      </c>
      <c r="P3171" s="17" t="s">
        <v>802</v>
      </c>
      <c r="Q3171" s="21" t="s">
        <v>8795</v>
      </c>
      <c r="R3171" s="19" t="s">
        <v>798</v>
      </c>
      <c r="S3171" s="20" t="s">
        <v>798</v>
      </c>
      <c r="T3171" s="17" t="s">
        <v>798</v>
      </c>
      <c r="U3171" s="20" t="s">
        <v>798</v>
      </c>
      <c r="V3171" s="26" t="s">
        <v>798</v>
      </c>
      <c r="W3171" s="20" t="s">
        <v>798</v>
      </c>
      <c r="X3171" s="26" t="s">
        <v>798</v>
      </c>
      <c r="Y3171" s="20" t="s">
        <v>798</v>
      </c>
      <c r="Z3171" s="69" t="s">
        <v>9486</v>
      </c>
      <c r="AA3171" s="72" t="s">
        <v>9497</v>
      </c>
      <c r="AB3171" s="73" t="s">
        <v>9486</v>
      </c>
      <c r="AC3171" s="74" t="s">
        <v>9562</v>
      </c>
      <c r="AD3171" s="73" t="s">
        <v>9578</v>
      </c>
      <c r="AE3171" s="74" t="s">
        <v>9579</v>
      </c>
    </row>
    <row r="3172" spans="1:31" ht="8.65" customHeight="1" x14ac:dyDescent="0.2">
      <c r="A3172" s="76">
        <v>3172</v>
      </c>
      <c r="B3172" s="67" t="str">
        <f>MID(C3172, FIND("Ifc.", C3172) + 4, 4) &amp; "_" &amp; TEXT(COUNTIF($C$2:C3172, C3172),"0000")</f>
        <v>Enti_0305</v>
      </c>
      <c r="C3172" s="25" t="s">
        <v>874</v>
      </c>
      <c r="D3172" s="69" t="s">
        <v>9453</v>
      </c>
      <c r="E3172" s="70" t="s">
        <v>9457</v>
      </c>
      <c r="F3172" s="26" t="s">
        <v>798</v>
      </c>
      <c r="G3172" s="15" t="s">
        <v>798</v>
      </c>
      <c r="H3172" s="14" t="s">
        <v>798</v>
      </c>
      <c r="I3172" s="15" t="s">
        <v>798</v>
      </c>
      <c r="J3172" s="12" t="s">
        <v>9438</v>
      </c>
      <c r="K3172" s="16" t="s">
        <v>3244</v>
      </c>
      <c r="L3172" s="12" t="s">
        <v>800</v>
      </c>
      <c r="M3172" s="16" t="s">
        <v>4210</v>
      </c>
      <c r="N3172" s="19" t="s">
        <v>798</v>
      </c>
      <c r="O3172" s="20" t="s">
        <v>798</v>
      </c>
      <c r="P3172" s="17" t="s">
        <v>802</v>
      </c>
      <c r="Q3172" s="21" t="s">
        <v>8796</v>
      </c>
      <c r="R3172" s="19" t="s">
        <v>798</v>
      </c>
      <c r="S3172" s="20" t="s">
        <v>798</v>
      </c>
      <c r="T3172" s="17" t="s">
        <v>798</v>
      </c>
      <c r="U3172" s="20" t="s">
        <v>798</v>
      </c>
      <c r="V3172" s="26" t="s">
        <v>798</v>
      </c>
      <c r="W3172" s="20" t="s">
        <v>798</v>
      </c>
      <c r="X3172" s="26" t="s">
        <v>798</v>
      </c>
      <c r="Y3172" s="20" t="s">
        <v>798</v>
      </c>
      <c r="Z3172" s="69" t="s">
        <v>9486</v>
      </c>
      <c r="AA3172" s="72" t="s">
        <v>9497</v>
      </c>
      <c r="AB3172" s="73" t="s">
        <v>9486</v>
      </c>
      <c r="AC3172" s="74" t="s">
        <v>9562</v>
      </c>
      <c r="AD3172" s="73" t="s">
        <v>9578</v>
      </c>
      <c r="AE3172" s="74" t="s">
        <v>9579</v>
      </c>
    </row>
    <row r="3173" spans="1:31" ht="8.65" customHeight="1" x14ac:dyDescent="0.2">
      <c r="A3173" s="76">
        <v>3173</v>
      </c>
      <c r="B3173" s="67" t="str">
        <f>MID(C3173, FIND("Ifc.", C3173) + 4, 4) &amp; "_" &amp; TEXT(COUNTIF($C$2:C3173, C3173),"0000")</f>
        <v>Enti_0306</v>
      </c>
      <c r="C3173" s="25" t="s">
        <v>874</v>
      </c>
      <c r="D3173" s="69" t="s">
        <v>9453</v>
      </c>
      <c r="E3173" s="70" t="s">
        <v>9457</v>
      </c>
      <c r="F3173" s="26" t="s">
        <v>798</v>
      </c>
      <c r="G3173" s="15" t="s">
        <v>798</v>
      </c>
      <c r="H3173" s="14" t="s">
        <v>798</v>
      </c>
      <c r="I3173" s="15" t="s">
        <v>798</v>
      </c>
      <c r="J3173" s="12" t="s">
        <v>9438</v>
      </c>
      <c r="K3173" s="16" t="s">
        <v>3245</v>
      </c>
      <c r="L3173" s="12" t="s">
        <v>800</v>
      </c>
      <c r="M3173" s="16" t="s">
        <v>4211</v>
      </c>
      <c r="N3173" s="19" t="s">
        <v>798</v>
      </c>
      <c r="O3173" s="20" t="s">
        <v>798</v>
      </c>
      <c r="P3173" s="17" t="s">
        <v>802</v>
      </c>
      <c r="Q3173" s="21" t="s">
        <v>8797</v>
      </c>
      <c r="R3173" s="19" t="s">
        <v>798</v>
      </c>
      <c r="S3173" s="20" t="s">
        <v>798</v>
      </c>
      <c r="T3173" s="17" t="s">
        <v>798</v>
      </c>
      <c r="U3173" s="20" t="s">
        <v>798</v>
      </c>
      <c r="V3173" s="26" t="s">
        <v>798</v>
      </c>
      <c r="W3173" s="20" t="s">
        <v>798</v>
      </c>
      <c r="X3173" s="26" t="s">
        <v>798</v>
      </c>
      <c r="Y3173" s="20" t="s">
        <v>798</v>
      </c>
      <c r="Z3173" s="69" t="s">
        <v>9486</v>
      </c>
      <c r="AA3173" s="72" t="s">
        <v>9497</v>
      </c>
      <c r="AB3173" s="73" t="s">
        <v>9486</v>
      </c>
      <c r="AC3173" s="74" t="s">
        <v>9562</v>
      </c>
      <c r="AD3173" s="73" t="s">
        <v>9578</v>
      </c>
      <c r="AE3173" s="74" t="s">
        <v>9579</v>
      </c>
    </row>
    <row r="3174" spans="1:31" ht="8.65" customHeight="1" x14ac:dyDescent="0.2">
      <c r="A3174" s="76">
        <v>3174</v>
      </c>
      <c r="B3174" s="67" t="str">
        <f>MID(C3174, FIND("Ifc.", C3174) + 4, 4) &amp; "_" &amp; TEXT(COUNTIF($C$2:C3174, C3174),"0000")</f>
        <v>Enti_0307</v>
      </c>
      <c r="C3174" s="25" t="s">
        <v>874</v>
      </c>
      <c r="D3174" s="69" t="s">
        <v>9453</v>
      </c>
      <c r="E3174" s="70" t="s">
        <v>9457</v>
      </c>
      <c r="F3174" s="26" t="s">
        <v>798</v>
      </c>
      <c r="G3174" s="15" t="s">
        <v>798</v>
      </c>
      <c r="H3174" s="14" t="s">
        <v>798</v>
      </c>
      <c r="I3174" s="15" t="s">
        <v>798</v>
      </c>
      <c r="J3174" s="12" t="s">
        <v>9438</v>
      </c>
      <c r="K3174" s="16" t="s">
        <v>3246</v>
      </c>
      <c r="L3174" s="12" t="s">
        <v>800</v>
      </c>
      <c r="M3174" s="16" t="s">
        <v>4212</v>
      </c>
      <c r="N3174" s="19" t="s">
        <v>798</v>
      </c>
      <c r="O3174" s="20" t="s">
        <v>798</v>
      </c>
      <c r="P3174" s="17" t="s">
        <v>802</v>
      </c>
      <c r="Q3174" s="21" t="s">
        <v>8798</v>
      </c>
      <c r="R3174" s="19" t="s">
        <v>798</v>
      </c>
      <c r="S3174" s="20" t="s">
        <v>798</v>
      </c>
      <c r="T3174" s="17" t="s">
        <v>798</v>
      </c>
      <c r="U3174" s="20" t="s">
        <v>798</v>
      </c>
      <c r="V3174" s="26" t="s">
        <v>798</v>
      </c>
      <c r="W3174" s="20" t="s">
        <v>798</v>
      </c>
      <c r="X3174" s="26" t="s">
        <v>798</v>
      </c>
      <c r="Y3174" s="20" t="s">
        <v>798</v>
      </c>
      <c r="Z3174" s="69" t="s">
        <v>9486</v>
      </c>
      <c r="AA3174" s="72" t="s">
        <v>9497</v>
      </c>
      <c r="AB3174" s="73" t="s">
        <v>9486</v>
      </c>
      <c r="AC3174" s="74" t="s">
        <v>9562</v>
      </c>
      <c r="AD3174" s="73" t="s">
        <v>9578</v>
      </c>
      <c r="AE3174" s="74" t="s">
        <v>9579</v>
      </c>
    </row>
    <row r="3175" spans="1:31" ht="8.65" customHeight="1" x14ac:dyDescent="0.2">
      <c r="A3175" s="76">
        <v>3175</v>
      </c>
      <c r="B3175" s="67" t="str">
        <f>MID(C3175, FIND("Ifc.", C3175) + 4, 4) &amp; "_" &amp; TEXT(COUNTIF($C$2:C3175, C3175),"0000")</f>
        <v>Enti_0308</v>
      </c>
      <c r="C3175" s="25" t="s">
        <v>874</v>
      </c>
      <c r="D3175" s="69" t="s">
        <v>9453</v>
      </c>
      <c r="E3175" s="70" t="s">
        <v>9457</v>
      </c>
      <c r="F3175" s="26" t="s">
        <v>798</v>
      </c>
      <c r="G3175" s="15" t="s">
        <v>798</v>
      </c>
      <c r="H3175" s="14" t="s">
        <v>798</v>
      </c>
      <c r="I3175" s="15" t="s">
        <v>798</v>
      </c>
      <c r="J3175" s="12" t="s">
        <v>9438</v>
      </c>
      <c r="K3175" s="16" t="s">
        <v>3247</v>
      </c>
      <c r="L3175" s="12" t="s">
        <v>800</v>
      </c>
      <c r="M3175" s="16" t="s">
        <v>4213</v>
      </c>
      <c r="N3175" s="19" t="s">
        <v>798</v>
      </c>
      <c r="O3175" s="20" t="s">
        <v>798</v>
      </c>
      <c r="P3175" s="17" t="s">
        <v>802</v>
      </c>
      <c r="Q3175" s="21" t="s">
        <v>8799</v>
      </c>
      <c r="R3175" s="19" t="s">
        <v>798</v>
      </c>
      <c r="S3175" s="20" t="s">
        <v>798</v>
      </c>
      <c r="T3175" s="17" t="s">
        <v>798</v>
      </c>
      <c r="U3175" s="20" t="s">
        <v>798</v>
      </c>
      <c r="V3175" s="26" t="s">
        <v>798</v>
      </c>
      <c r="W3175" s="20" t="s">
        <v>798</v>
      </c>
      <c r="X3175" s="26" t="s">
        <v>798</v>
      </c>
      <c r="Y3175" s="20" t="s">
        <v>798</v>
      </c>
      <c r="Z3175" s="69" t="s">
        <v>9486</v>
      </c>
      <c r="AA3175" s="72" t="s">
        <v>9497</v>
      </c>
      <c r="AB3175" s="73" t="s">
        <v>9486</v>
      </c>
      <c r="AC3175" s="74" t="s">
        <v>9562</v>
      </c>
      <c r="AD3175" s="73" t="s">
        <v>9578</v>
      </c>
      <c r="AE3175" s="74" t="s">
        <v>9579</v>
      </c>
    </row>
    <row r="3176" spans="1:31" ht="8.65" customHeight="1" x14ac:dyDescent="0.2">
      <c r="A3176" s="76">
        <v>3176</v>
      </c>
      <c r="B3176" s="67" t="str">
        <f>MID(C3176, FIND("Ifc.", C3176) + 4, 4) &amp; "_" &amp; TEXT(COUNTIF($C$2:C3176, C3176),"0000")</f>
        <v>Enti_0309</v>
      </c>
      <c r="C3176" s="25" t="s">
        <v>874</v>
      </c>
      <c r="D3176" s="69" t="s">
        <v>9453</v>
      </c>
      <c r="E3176" s="70" t="s">
        <v>9457</v>
      </c>
      <c r="F3176" s="26" t="s">
        <v>798</v>
      </c>
      <c r="G3176" s="15" t="s">
        <v>798</v>
      </c>
      <c r="H3176" s="14" t="s">
        <v>798</v>
      </c>
      <c r="I3176" s="15" t="s">
        <v>798</v>
      </c>
      <c r="J3176" s="12" t="s">
        <v>9438</v>
      </c>
      <c r="K3176" s="16" t="s">
        <v>3248</v>
      </c>
      <c r="L3176" s="12" t="s">
        <v>800</v>
      </c>
      <c r="M3176" s="16" t="s">
        <v>4214</v>
      </c>
      <c r="N3176" s="19" t="s">
        <v>798</v>
      </c>
      <c r="O3176" s="20" t="s">
        <v>798</v>
      </c>
      <c r="P3176" s="17" t="s">
        <v>802</v>
      </c>
      <c r="Q3176" s="21" t="s">
        <v>8800</v>
      </c>
      <c r="R3176" s="19" t="s">
        <v>798</v>
      </c>
      <c r="S3176" s="20" t="s">
        <v>798</v>
      </c>
      <c r="T3176" s="17" t="s">
        <v>798</v>
      </c>
      <c r="U3176" s="20" t="s">
        <v>798</v>
      </c>
      <c r="V3176" s="26" t="s">
        <v>798</v>
      </c>
      <c r="W3176" s="20" t="s">
        <v>798</v>
      </c>
      <c r="X3176" s="26" t="s">
        <v>798</v>
      </c>
      <c r="Y3176" s="20" t="s">
        <v>798</v>
      </c>
      <c r="Z3176" s="69" t="s">
        <v>9486</v>
      </c>
      <c r="AA3176" s="72" t="s">
        <v>9497</v>
      </c>
      <c r="AB3176" s="73" t="s">
        <v>9486</v>
      </c>
      <c r="AC3176" s="74" t="s">
        <v>9562</v>
      </c>
      <c r="AD3176" s="73" t="s">
        <v>9578</v>
      </c>
      <c r="AE3176" s="74" t="s">
        <v>9579</v>
      </c>
    </row>
    <row r="3177" spans="1:31" ht="8.65" customHeight="1" x14ac:dyDescent="0.2">
      <c r="A3177" s="76">
        <v>3177</v>
      </c>
      <c r="B3177" s="67" t="str">
        <f>MID(C3177, FIND("Ifc.", C3177) + 4, 4) &amp; "_" &amp; TEXT(COUNTIF($C$2:C3177, C3177),"0000")</f>
        <v>Enti_0310</v>
      </c>
      <c r="C3177" s="25" t="s">
        <v>874</v>
      </c>
      <c r="D3177" s="69" t="s">
        <v>9453</v>
      </c>
      <c r="E3177" s="70" t="s">
        <v>9457</v>
      </c>
      <c r="F3177" s="26" t="s">
        <v>798</v>
      </c>
      <c r="G3177" s="15" t="s">
        <v>798</v>
      </c>
      <c r="H3177" s="14" t="s">
        <v>798</v>
      </c>
      <c r="I3177" s="15" t="s">
        <v>798</v>
      </c>
      <c r="J3177" s="12" t="s">
        <v>9438</v>
      </c>
      <c r="K3177" s="16" t="s">
        <v>3249</v>
      </c>
      <c r="L3177" s="12" t="s">
        <v>800</v>
      </c>
      <c r="M3177" s="16" t="s">
        <v>4215</v>
      </c>
      <c r="N3177" s="19" t="s">
        <v>798</v>
      </c>
      <c r="O3177" s="20" t="s">
        <v>798</v>
      </c>
      <c r="P3177" s="17" t="s">
        <v>802</v>
      </c>
      <c r="Q3177" s="21" t="s">
        <v>8801</v>
      </c>
      <c r="R3177" s="19" t="s">
        <v>798</v>
      </c>
      <c r="S3177" s="20" t="s">
        <v>798</v>
      </c>
      <c r="T3177" s="17" t="s">
        <v>798</v>
      </c>
      <c r="U3177" s="20" t="s">
        <v>798</v>
      </c>
      <c r="V3177" s="26" t="s">
        <v>798</v>
      </c>
      <c r="W3177" s="20" t="s">
        <v>798</v>
      </c>
      <c r="X3177" s="26" t="s">
        <v>798</v>
      </c>
      <c r="Y3177" s="20" t="s">
        <v>798</v>
      </c>
      <c r="Z3177" s="69" t="s">
        <v>9486</v>
      </c>
      <c r="AA3177" s="72" t="s">
        <v>9497</v>
      </c>
      <c r="AB3177" s="73" t="s">
        <v>9486</v>
      </c>
      <c r="AC3177" s="74" t="s">
        <v>9562</v>
      </c>
      <c r="AD3177" s="73" t="s">
        <v>9578</v>
      </c>
      <c r="AE3177" s="74" t="s">
        <v>9579</v>
      </c>
    </row>
    <row r="3178" spans="1:31" ht="8.65" customHeight="1" x14ac:dyDescent="0.2">
      <c r="A3178" s="76">
        <v>3178</v>
      </c>
      <c r="B3178" s="67" t="str">
        <f>MID(C3178, FIND("Ifc.", C3178) + 4, 4) &amp; "_" &amp; TEXT(COUNTIF($C$2:C3178, C3178),"0000")</f>
        <v>Enti_0311</v>
      </c>
      <c r="C3178" s="25" t="s">
        <v>874</v>
      </c>
      <c r="D3178" s="69" t="s">
        <v>9453</v>
      </c>
      <c r="E3178" s="70" t="s">
        <v>9457</v>
      </c>
      <c r="F3178" s="26" t="s">
        <v>798</v>
      </c>
      <c r="G3178" s="15" t="s">
        <v>798</v>
      </c>
      <c r="H3178" s="14" t="s">
        <v>798</v>
      </c>
      <c r="I3178" s="15" t="s">
        <v>798</v>
      </c>
      <c r="J3178" s="12" t="s">
        <v>9438</v>
      </c>
      <c r="K3178" s="16" t="s">
        <v>3250</v>
      </c>
      <c r="L3178" s="12" t="s">
        <v>800</v>
      </c>
      <c r="M3178" s="16" t="s">
        <v>4216</v>
      </c>
      <c r="N3178" s="19" t="s">
        <v>798</v>
      </c>
      <c r="O3178" s="20" t="s">
        <v>798</v>
      </c>
      <c r="P3178" s="17" t="s">
        <v>802</v>
      </c>
      <c r="Q3178" s="21" t="s">
        <v>8802</v>
      </c>
      <c r="R3178" s="19" t="s">
        <v>798</v>
      </c>
      <c r="S3178" s="20" t="s">
        <v>798</v>
      </c>
      <c r="T3178" s="17" t="s">
        <v>798</v>
      </c>
      <c r="U3178" s="20" t="s">
        <v>798</v>
      </c>
      <c r="V3178" s="26" t="s">
        <v>798</v>
      </c>
      <c r="W3178" s="20" t="s">
        <v>798</v>
      </c>
      <c r="X3178" s="26" t="s">
        <v>798</v>
      </c>
      <c r="Y3178" s="20" t="s">
        <v>798</v>
      </c>
      <c r="Z3178" s="69" t="s">
        <v>9486</v>
      </c>
      <c r="AA3178" s="72" t="s">
        <v>9497</v>
      </c>
      <c r="AB3178" s="73" t="s">
        <v>9486</v>
      </c>
      <c r="AC3178" s="74" t="s">
        <v>9562</v>
      </c>
      <c r="AD3178" s="73" t="s">
        <v>9578</v>
      </c>
      <c r="AE3178" s="74" t="s">
        <v>9579</v>
      </c>
    </row>
    <row r="3179" spans="1:31" ht="8.65" customHeight="1" x14ac:dyDescent="0.2">
      <c r="A3179" s="76">
        <v>3179</v>
      </c>
      <c r="B3179" s="67" t="str">
        <f>MID(C3179, FIND("Ifc.", C3179) + 4, 4) &amp; "_" &amp; TEXT(COUNTIF($C$2:C3179, C3179),"0000")</f>
        <v>Enti_0312</v>
      </c>
      <c r="C3179" s="25" t="s">
        <v>874</v>
      </c>
      <c r="D3179" s="69" t="s">
        <v>9453</v>
      </c>
      <c r="E3179" s="70" t="s">
        <v>9457</v>
      </c>
      <c r="F3179" s="26" t="s">
        <v>798</v>
      </c>
      <c r="G3179" s="15" t="s">
        <v>798</v>
      </c>
      <c r="H3179" s="14" t="s">
        <v>798</v>
      </c>
      <c r="I3179" s="15" t="s">
        <v>798</v>
      </c>
      <c r="J3179" s="12" t="s">
        <v>9438</v>
      </c>
      <c r="K3179" s="16" t="s">
        <v>3251</v>
      </c>
      <c r="L3179" s="12" t="s">
        <v>800</v>
      </c>
      <c r="M3179" s="16" t="s">
        <v>4217</v>
      </c>
      <c r="N3179" s="19" t="s">
        <v>798</v>
      </c>
      <c r="O3179" s="20" t="s">
        <v>798</v>
      </c>
      <c r="P3179" s="17" t="s">
        <v>802</v>
      </c>
      <c r="Q3179" s="21" t="s">
        <v>8803</v>
      </c>
      <c r="R3179" s="19" t="s">
        <v>798</v>
      </c>
      <c r="S3179" s="20" t="s">
        <v>798</v>
      </c>
      <c r="T3179" s="17" t="s">
        <v>798</v>
      </c>
      <c r="U3179" s="20" t="s">
        <v>798</v>
      </c>
      <c r="V3179" s="26" t="s">
        <v>798</v>
      </c>
      <c r="W3179" s="20" t="s">
        <v>798</v>
      </c>
      <c r="X3179" s="26" t="s">
        <v>798</v>
      </c>
      <c r="Y3179" s="20" t="s">
        <v>798</v>
      </c>
      <c r="Z3179" s="69" t="s">
        <v>9486</v>
      </c>
      <c r="AA3179" s="72" t="s">
        <v>9497</v>
      </c>
      <c r="AB3179" s="73" t="s">
        <v>9486</v>
      </c>
      <c r="AC3179" s="74" t="s">
        <v>9562</v>
      </c>
      <c r="AD3179" s="73" t="s">
        <v>9578</v>
      </c>
      <c r="AE3179" s="74" t="s">
        <v>9579</v>
      </c>
    </row>
    <row r="3180" spans="1:31" ht="8.65" customHeight="1" x14ac:dyDescent="0.2">
      <c r="A3180" s="76">
        <v>3180</v>
      </c>
      <c r="B3180" s="67" t="str">
        <f>MID(C3180, FIND("Ifc.", C3180) + 4, 4) &amp; "_" &amp; TEXT(COUNTIF($C$2:C3180, C3180),"0000")</f>
        <v>Enti_0313</v>
      </c>
      <c r="C3180" s="25" t="s">
        <v>874</v>
      </c>
      <c r="D3180" s="69" t="s">
        <v>9453</v>
      </c>
      <c r="E3180" s="70" t="s">
        <v>9457</v>
      </c>
      <c r="F3180" s="26" t="s">
        <v>798</v>
      </c>
      <c r="G3180" s="15" t="s">
        <v>798</v>
      </c>
      <c r="H3180" s="14" t="s">
        <v>798</v>
      </c>
      <c r="I3180" s="15" t="s">
        <v>798</v>
      </c>
      <c r="J3180" s="12" t="s">
        <v>9438</v>
      </c>
      <c r="K3180" s="16" t="s">
        <v>3252</v>
      </c>
      <c r="L3180" s="12" t="s">
        <v>800</v>
      </c>
      <c r="M3180" s="16" t="s">
        <v>4218</v>
      </c>
      <c r="N3180" s="19" t="s">
        <v>798</v>
      </c>
      <c r="O3180" s="20" t="s">
        <v>798</v>
      </c>
      <c r="P3180" s="17" t="s">
        <v>802</v>
      </c>
      <c r="Q3180" s="21" t="s">
        <v>8804</v>
      </c>
      <c r="R3180" s="19" t="s">
        <v>798</v>
      </c>
      <c r="S3180" s="20" t="s">
        <v>798</v>
      </c>
      <c r="T3180" s="17" t="s">
        <v>798</v>
      </c>
      <c r="U3180" s="20" t="s">
        <v>798</v>
      </c>
      <c r="V3180" s="26" t="s">
        <v>798</v>
      </c>
      <c r="W3180" s="20" t="s">
        <v>798</v>
      </c>
      <c r="X3180" s="26" t="s">
        <v>798</v>
      </c>
      <c r="Y3180" s="20" t="s">
        <v>798</v>
      </c>
      <c r="Z3180" s="69" t="s">
        <v>9486</v>
      </c>
      <c r="AA3180" s="72" t="s">
        <v>9497</v>
      </c>
      <c r="AB3180" s="73" t="s">
        <v>9486</v>
      </c>
      <c r="AC3180" s="74" t="s">
        <v>9562</v>
      </c>
      <c r="AD3180" s="73" t="s">
        <v>9578</v>
      </c>
      <c r="AE3180" s="74" t="s">
        <v>9579</v>
      </c>
    </row>
    <row r="3181" spans="1:31" ht="8.65" customHeight="1" x14ac:dyDescent="0.2">
      <c r="A3181" s="76">
        <v>3181</v>
      </c>
      <c r="B3181" s="67" t="str">
        <f>MID(C3181, FIND("Ifc.", C3181) + 4, 4) &amp; "_" &amp; TEXT(COUNTIF($C$2:C3181, C3181),"0000")</f>
        <v>Enti_0314</v>
      </c>
      <c r="C3181" s="25" t="s">
        <v>874</v>
      </c>
      <c r="D3181" s="69" t="s">
        <v>9453</v>
      </c>
      <c r="E3181" s="70" t="s">
        <v>9457</v>
      </c>
      <c r="F3181" s="26" t="s">
        <v>798</v>
      </c>
      <c r="G3181" s="15" t="s">
        <v>798</v>
      </c>
      <c r="H3181" s="14" t="s">
        <v>798</v>
      </c>
      <c r="I3181" s="15" t="s">
        <v>798</v>
      </c>
      <c r="J3181" s="12" t="s">
        <v>9438</v>
      </c>
      <c r="K3181" s="16" t="s">
        <v>3253</v>
      </c>
      <c r="L3181" s="12" t="s">
        <v>800</v>
      </c>
      <c r="M3181" s="16" t="s">
        <v>4219</v>
      </c>
      <c r="N3181" s="19" t="s">
        <v>798</v>
      </c>
      <c r="O3181" s="20" t="s">
        <v>798</v>
      </c>
      <c r="P3181" s="17" t="s">
        <v>802</v>
      </c>
      <c r="Q3181" s="21" t="s">
        <v>8805</v>
      </c>
      <c r="R3181" s="19" t="s">
        <v>798</v>
      </c>
      <c r="S3181" s="20" t="s">
        <v>798</v>
      </c>
      <c r="T3181" s="17" t="s">
        <v>798</v>
      </c>
      <c r="U3181" s="20" t="s">
        <v>798</v>
      </c>
      <c r="V3181" s="26" t="s">
        <v>798</v>
      </c>
      <c r="W3181" s="20" t="s">
        <v>798</v>
      </c>
      <c r="X3181" s="26" t="s">
        <v>798</v>
      </c>
      <c r="Y3181" s="20" t="s">
        <v>798</v>
      </c>
      <c r="Z3181" s="69" t="s">
        <v>9486</v>
      </c>
      <c r="AA3181" s="72" t="s">
        <v>9497</v>
      </c>
      <c r="AB3181" s="73" t="s">
        <v>9486</v>
      </c>
      <c r="AC3181" s="74" t="s">
        <v>9562</v>
      </c>
      <c r="AD3181" s="73" t="s">
        <v>9578</v>
      </c>
      <c r="AE3181" s="74" t="s">
        <v>9579</v>
      </c>
    </row>
    <row r="3182" spans="1:31" ht="8.65" customHeight="1" x14ac:dyDescent="0.2">
      <c r="A3182" s="76">
        <v>3182</v>
      </c>
      <c r="B3182" s="67" t="str">
        <f>MID(C3182, FIND("Ifc.", C3182) + 4, 4) &amp; "_" &amp; TEXT(COUNTIF($C$2:C3182, C3182),"0000")</f>
        <v>Enti_0315</v>
      </c>
      <c r="C3182" s="25" t="s">
        <v>874</v>
      </c>
      <c r="D3182" s="69" t="s">
        <v>9453</v>
      </c>
      <c r="E3182" s="70" t="s">
        <v>9457</v>
      </c>
      <c r="F3182" s="26" t="s">
        <v>798</v>
      </c>
      <c r="G3182" s="15" t="s">
        <v>798</v>
      </c>
      <c r="H3182" s="14" t="s">
        <v>798</v>
      </c>
      <c r="I3182" s="15" t="s">
        <v>798</v>
      </c>
      <c r="J3182" s="12" t="s">
        <v>9438</v>
      </c>
      <c r="K3182" s="16" t="s">
        <v>3254</v>
      </c>
      <c r="L3182" s="12" t="s">
        <v>800</v>
      </c>
      <c r="M3182" s="16" t="s">
        <v>4220</v>
      </c>
      <c r="N3182" s="19" t="s">
        <v>798</v>
      </c>
      <c r="O3182" s="20" t="s">
        <v>798</v>
      </c>
      <c r="P3182" s="17" t="s">
        <v>802</v>
      </c>
      <c r="Q3182" s="21" t="s">
        <v>8806</v>
      </c>
      <c r="R3182" s="19" t="s">
        <v>798</v>
      </c>
      <c r="S3182" s="20" t="s">
        <v>798</v>
      </c>
      <c r="T3182" s="17" t="s">
        <v>798</v>
      </c>
      <c r="U3182" s="20" t="s">
        <v>798</v>
      </c>
      <c r="V3182" s="26" t="s">
        <v>798</v>
      </c>
      <c r="W3182" s="20" t="s">
        <v>798</v>
      </c>
      <c r="X3182" s="26" t="s">
        <v>798</v>
      </c>
      <c r="Y3182" s="20" t="s">
        <v>798</v>
      </c>
      <c r="Z3182" s="69" t="s">
        <v>9486</v>
      </c>
      <c r="AA3182" s="72" t="s">
        <v>9497</v>
      </c>
      <c r="AB3182" s="73" t="s">
        <v>9486</v>
      </c>
      <c r="AC3182" s="74" t="s">
        <v>9562</v>
      </c>
      <c r="AD3182" s="73" t="s">
        <v>9578</v>
      </c>
      <c r="AE3182" s="74" t="s">
        <v>9579</v>
      </c>
    </row>
    <row r="3183" spans="1:31" ht="8.65" customHeight="1" x14ac:dyDescent="0.2">
      <c r="A3183" s="76">
        <v>3183</v>
      </c>
      <c r="B3183" s="67" t="str">
        <f>MID(C3183, FIND("Ifc.", C3183) + 4, 4) &amp; "_" &amp; TEXT(COUNTIF($C$2:C3183, C3183),"0000")</f>
        <v>Enti_0316</v>
      </c>
      <c r="C3183" s="25" t="s">
        <v>874</v>
      </c>
      <c r="D3183" s="69" t="s">
        <v>9453</v>
      </c>
      <c r="E3183" s="70" t="s">
        <v>9457</v>
      </c>
      <c r="F3183" s="26" t="s">
        <v>798</v>
      </c>
      <c r="G3183" s="15" t="s">
        <v>798</v>
      </c>
      <c r="H3183" s="14" t="s">
        <v>798</v>
      </c>
      <c r="I3183" s="15" t="s">
        <v>798</v>
      </c>
      <c r="J3183" s="12" t="s">
        <v>9438</v>
      </c>
      <c r="K3183" s="16" t="s">
        <v>3255</v>
      </c>
      <c r="L3183" s="12" t="s">
        <v>800</v>
      </c>
      <c r="M3183" s="16" t="s">
        <v>4221</v>
      </c>
      <c r="N3183" s="19" t="s">
        <v>798</v>
      </c>
      <c r="O3183" s="20" t="s">
        <v>798</v>
      </c>
      <c r="P3183" s="17" t="s">
        <v>802</v>
      </c>
      <c r="Q3183" s="21" t="s">
        <v>8807</v>
      </c>
      <c r="R3183" s="19" t="s">
        <v>798</v>
      </c>
      <c r="S3183" s="20" t="s">
        <v>798</v>
      </c>
      <c r="T3183" s="17" t="s">
        <v>798</v>
      </c>
      <c r="U3183" s="20" t="s">
        <v>798</v>
      </c>
      <c r="V3183" s="26" t="s">
        <v>798</v>
      </c>
      <c r="W3183" s="20" t="s">
        <v>798</v>
      </c>
      <c r="X3183" s="26" t="s">
        <v>798</v>
      </c>
      <c r="Y3183" s="20" t="s">
        <v>798</v>
      </c>
      <c r="Z3183" s="69" t="s">
        <v>9486</v>
      </c>
      <c r="AA3183" s="72" t="s">
        <v>9497</v>
      </c>
      <c r="AB3183" s="73" t="s">
        <v>9486</v>
      </c>
      <c r="AC3183" s="74" t="s">
        <v>9562</v>
      </c>
      <c r="AD3183" s="73" t="s">
        <v>9578</v>
      </c>
      <c r="AE3183" s="74" t="s">
        <v>9579</v>
      </c>
    </row>
    <row r="3184" spans="1:31" ht="8.65" customHeight="1" x14ac:dyDescent="0.2">
      <c r="A3184" s="76">
        <v>3184</v>
      </c>
      <c r="B3184" s="67" t="str">
        <f>MID(C3184, FIND("Ifc.", C3184) + 4, 4) &amp; "_" &amp; TEXT(COUNTIF($C$2:C3184, C3184),"0000")</f>
        <v>Enti_0317</v>
      </c>
      <c r="C3184" s="25" t="s">
        <v>874</v>
      </c>
      <c r="D3184" s="69" t="s">
        <v>9453</v>
      </c>
      <c r="E3184" s="70" t="s">
        <v>9457</v>
      </c>
      <c r="F3184" s="26" t="s">
        <v>798</v>
      </c>
      <c r="G3184" s="15" t="s">
        <v>798</v>
      </c>
      <c r="H3184" s="14" t="s">
        <v>798</v>
      </c>
      <c r="I3184" s="15" t="s">
        <v>798</v>
      </c>
      <c r="J3184" s="12" t="s">
        <v>9438</v>
      </c>
      <c r="K3184" s="16" t="s">
        <v>3256</v>
      </c>
      <c r="L3184" s="12" t="s">
        <v>800</v>
      </c>
      <c r="M3184" s="16" t="s">
        <v>4222</v>
      </c>
      <c r="N3184" s="19" t="s">
        <v>798</v>
      </c>
      <c r="O3184" s="20" t="s">
        <v>798</v>
      </c>
      <c r="P3184" s="17" t="s">
        <v>802</v>
      </c>
      <c r="Q3184" s="21" t="s">
        <v>8808</v>
      </c>
      <c r="R3184" s="19" t="s">
        <v>798</v>
      </c>
      <c r="S3184" s="20" t="s">
        <v>798</v>
      </c>
      <c r="T3184" s="17" t="s">
        <v>798</v>
      </c>
      <c r="U3184" s="20" t="s">
        <v>798</v>
      </c>
      <c r="V3184" s="26" t="s">
        <v>798</v>
      </c>
      <c r="W3184" s="20" t="s">
        <v>798</v>
      </c>
      <c r="X3184" s="26" t="s">
        <v>798</v>
      </c>
      <c r="Y3184" s="20" t="s">
        <v>798</v>
      </c>
      <c r="Z3184" s="69" t="s">
        <v>9486</v>
      </c>
      <c r="AA3184" s="72" t="s">
        <v>9497</v>
      </c>
      <c r="AB3184" s="73" t="s">
        <v>9486</v>
      </c>
      <c r="AC3184" s="74" t="s">
        <v>9562</v>
      </c>
      <c r="AD3184" s="73" t="s">
        <v>9578</v>
      </c>
      <c r="AE3184" s="74" t="s">
        <v>9579</v>
      </c>
    </row>
    <row r="3185" spans="1:31" ht="8.65" customHeight="1" x14ac:dyDescent="0.2">
      <c r="A3185" s="76">
        <v>3185</v>
      </c>
      <c r="B3185" s="67" t="str">
        <f>MID(C3185, FIND("Ifc.", C3185) + 4, 4) &amp; "_" &amp; TEXT(COUNTIF($C$2:C3185, C3185),"0000")</f>
        <v>Enti_0318</v>
      </c>
      <c r="C3185" s="25" t="s">
        <v>874</v>
      </c>
      <c r="D3185" s="69" t="s">
        <v>9453</v>
      </c>
      <c r="E3185" s="70" t="s">
        <v>9457</v>
      </c>
      <c r="F3185" s="26" t="s">
        <v>798</v>
      </c>
      <c r="G3185" s="15" t="s">
        <v>798</v>
      </c>
      <c r="H3185" s="14" t="s">
        <v>798</v>
      </c>
      <c r="I3185" s="15" t="s">
        <v>798</v>
      </c>
      <c r="J3185" s="12" t="s">
        <v>9438</v>
      </c>
      <c r="K3185" s="16" t="s">
        <v>3257</v>
      </c>
      <c r="L3185" s="12" t="s">
        <v>800</v>
      </c>
      <c r="M3185" s="16" t="s">
        <v>4223</v>
      </c>
      <c r="N3185" s="19" t="s">
        <v>798</v>
      </c>
      <c r="O3185" s="20" t="s">
        <v>798</v>
      </c>
      <c r="P3185" s="17" t="s">
        <v>802</v>
      </c>
      <c r="Q3185" s="21" t="s">
        <v>8809</v>
      </c>
      <c r="R3185" s="19" t="s">
        <v>798</v>
      </c>
      <c r="S3185" s="20" t="s">
        <v>798</v>
      </c>
      <c r="T3185" s="17" t="s">
        <v>798</v>
      </c>
      <c r="U3185" s="20" t="s">
        <v>798</v>
      </c>
      <c r="V3185" s="26" t="s">
        <v>798</v>
      </c>
      <c r="W3185" s="20" t="s">
        <v>798</v>
      </c>
      <c r="X3185" s="26" t="s">
        <v>798</v>
      </c>
      <c r="Y3185" s="20" t="s">
        <v>798</v>
      </c>
      <c r="Z3185" s="69" t="s">
        <v>9486</v>
      </c>
      <c r="AA3185" s="72" t="s">
        <v>9497</v>
      </c>
      <c r="AB3185" s="73" t="s">
        <v>9486</v>
      </c>
      <c r="AC3185" s="74" t="s">
        <v>9562</v>
      </c>
      <c r="AD3185" s="73" t="s">
        <v>9578</v>
      </c>
      <c r="AE3185" s="74" t="s">
        <v>9579</v>
      </c>
    </row>
    <row r="3186" spans="1:31" ht="8.65" customHeight="1" x14ac:dyDescent="0.2">
      <c r="A3186" s="76">
        <v>3186</v>
      </c>
      <c r="B3186" s="67" t="str">
        <f>MID(C3186, FIND("Ifc.", C3186) + 4, 4) &amp; "_" &amp; TEXT(COUNTIF($C$2:C3186, C3186),"0000")</f>
        <v>Enti_0319</v>
      </c>
      <c r="C3186" s="25" t="s">
        <v>874</v>
      </c>
      <c r="D3186" s="69" t="s">
        <v>9453</v>
      </c>
      <c r="E3186" s="70" t="s">
        <v>9457</v>
      </c>
      <c r="F3186" s="26" t="s">
        <v>798</v>
      </c>
      <c r="G3186" s="15" t="s">
        <v>798</v>
      </c>
      <c r="H3186" s="14" t="s">
        <v>798</v>
      </c>
      <c r="I3186" s="15" t="s">
        <v>798</v>
      </c>
      <c r="J3186" s="12" t="s">
        <v>9438</v>
      </c>
      <c r="K3186" s="16" t="s">
        <v>3258</v>
      </c>
      <c r="L3186" s="12" t="s">
        <v>800</v>
      </c>
      <c r="M3186" s="16" t="s">
        <v>4224</v>
      </c>
      <c r="N3186" s="19" t="s">
        <v>798</v>
      </c>
      <c r="O3186" s="20" t="s">
        <v>798</v>
      </c>
      <c r="P3186" s="17" t="s">
        <v>802</v>
      </c>
      <c r="Q3186" s="21" t="s">
        <v>8810</v>
      </c>
      <c r="R3186" s="19" t="s">
        <v>798</v>
      </c>
      <c r="S3186" s="20" t="s">
        <v>798</v>
      </c>
      <c r="T3186" s="17" t="s">
        <v>798</v>
      </c>
      <c r="U3186" s="20" t="s">
        <v>798</v>
      </c>
      <c r="V3186" s="26" t="s">
        <v>798</v>
      </c>
      <c r="W3186" s="20" t="s">
        <v>798</v>
      </c>
      <c r="X3186" s="26" t="s">
        <v>798</v>
      </c>
      <c r="Y3186" s="20" t="s">
        <v>798</v>
      </c>
      <c r="Z3186" s="69" t="s">
        <v>9486</v>
      </c>
      <c r="AA3186" s="72" t="s">
        <v>9497</v>
      </c>
      <c r="AB3186" s="73" t="s">
        <v>9486</v>
      </c>
      <c r="AC3186" s="74" t="s">
        <v>9562</v>
      </c>
      <c r="AD3186" s="73" t="s">
        <v>9578</v>
      </c>
      <c r="AE3186" s="74" t="s">
        <v>9579</v>
      </c>
    </row>
    <row r="3187" spans="1:31" ht="8.65" customHeight="1" x14ac:dyDescent="0.2">
      <c r="A3187" s="76">
        <v>3187</v>
      </c>
      <c r="B3187" s="67" t="str">
        <f>MID(C3187, FIND("Ifc.", C3187) + 4, 4) &amp; "_" &amp; TEXT(COUNTIF($C$2:C3187, C3187),"0000")</f>
        <v>Enti_0320</v>
      </c>
      <c r="C3187" s="25" t="s">
        <v>874</v>
      </c>
      <c r="D3187" s="69" t="s">
        <v>9453</v>
      </c>
      <c r="E3187" s="70" t="s">
        <v>9457</v>
      </c>
      <c r="F3187" s="26" t="s">
        <v>798</v>
      </c>
      <c r="G3187" s="15" t="s">
        <v>798</v>
      </c>
      <c r="H3187" s="14" t="s">
        <v>798</v>
      </c>
      <c r="I3187" s="15" t="s">
        <v>798</v>
      </c>
      <c r="J3187" s="12" t="s">
        <v>9438</v>
      </c>
      <c r="K3187" s="16" t="s">
        <v>3259</v>
      </c>
      <c r="L3187" s="12" t="s">
        <v>800</v>
      </c>
      <c r="M3187" s="16" t="s">
        <v>4225</v>
      </c>
      <c r="N3187" s="19" t="s">
        <v>798</v>
      </c>
      <c r="O3187" s="20" t="s">
        <v>798</v>
      </c>
      <c r="P3187" s="17" t="s">
        <v>802</v>
      </c>
      <c r="Q3187" s="21" t="s">
        <v>8811</v>
      </c>
      <c r="R3187" s="19" t="s">
        <v>798</v>
      </c>
      <c r="S3187" s="20" t="s">
        <v>798</v>
      </c>
      <c r="T3187" s="17" t="s">
        <v>798</v>
      </c>
      <c r="U3187" s="20" t="s">
        <v>798</v>
      </c>
      <c r="V3187" s="26" t="s">
        <v>798</v>
      </c>
      <c r="W3187" s="20" t="s">
        <v>798</v>
      </c>
      <c r="X3187" s="26" t="s">
        <v>798</v>
      </c>
      <c r="Y3187" s="20" t="s">
        <v>798</v>
      </c>
      <c r="Z3187" s="69" t="s">
        <v>9486</v>
      </c>
      <c r="AA3187" s="72" t="s">
        <v>9497</v>
      </c>
      <c r="AB3187" s="73" t="s">
        <v>9486</v>
      </c>
      <c r="AC3187" s="74" t="s">
        <v>9562</v>
      </c>
      <c r="AD3187" s="73" t="s">
        <v>9578</v>
      </c>
      <c r="AE3187" s="74" t="s">
        <v>9579</v>
      </c>
    </row>
    <row r="3188" spans="1:31" ht="8.65" customHeight="1" x14ac:dyDescent="0.2">
      <c r="A3188" s="76">
        <v>3188</v>
      </c>
      <c r="B3188" s="67" t="str">
        <f>MID(C3188, FIND("Ifc.", C3188) + 4, 4) &amp; "_" &amp; TEXT(COUNTIF($C$2:C3188, C3188),"0000")</f>
        <v>Enti_0321</v>
      </c>
      <c r="C3188" s="25" t="s">
        <v>874</v>
      </c>
      <c r="D3188" s="69" t="s">
        <v>9453</v>
      </c>
      <c r="E3188" s="70" t="s">
        <v>9457</v>
      </c>
      <c r="F3188" s="26" t="s">
        <v>798</v>
      </c>
      <c r="G3188" s="15" t="s">
        <v>798</v>
      </c>
      <c r="H3188" s="14" t="s">
        <v>798</v>
      </c>
      <c r="I3188" s="15" t="s">
        <v>798</v>
      </c>
      <c r="J3188" s="12" t="s">
        <v>9438</v>
      </c>
      <c r="K3188" s="16" t="s">
        <v>3260</v>
      </c>
      <c r="L3188" s="12" t="s">
        <v>800</v>
      </c>
      <c r="M3188" s="16" t="s">
        <v>4226</v>
      </c>
      <c r="N3188" s="19" t="s">
        <v>798</v>
      </c>
      <c r="O3188" s="20" t="s">
        <v>798</v>
      </c>
      <c r="P3188" s="17" t="s">
        <v>802</v>
      </c>
      <c r="Q3188" s="21" t="s">
        <v>8812</v>
      </c>
      <c r="R3188" s="19" t="s">
        <v>798</v>
      </c>
      <c r="S3188" s="20" t="s">
        <v>798</v>
      </c>
      <c r="T3188" s="17" t="s">
        <v>798</v>
      </c>
      <c r="U3188" s="20" t="s">
        <v>798</v>
      </c>
      <c r="V3188" s="26" t="s">
        <v>798</v>
      </c>
      <c r="W3188" s="20" t="s">
        <v>798</v>
      </c>
      <c r="X3188" s="26" t="s">
        <v>798</v>
      </c>
      <c r="Y3188" s="20" t="s">
        <v>798</v>
      </c>
      <c r="Z3188" s="69" t="s">
        <v>9486</v>
      </c>
      <c r="AA3188" s="72" t="s">
        <v>9497</v>
      </c>
      <c r="AB3188" s="73" t="s">
        <v>9486</v>
      </c>
      <c r="AC3188" s="74" t="s">
        <v>9562</v>
      </c>
      <c r="AD3188" s="73" t="s">
        <v>9578</v>
      </c>
      <c r="AE3188" s="74" t="s">
        <v>9579</v>
      </c>
    </row>
    <row r="3189" spans="1:31" ht="8.65" customHeight="1" x14ac:dyDescent="0.2">
      <c r="A3189" s="76">
        <v>3189</v>
      </c>
      <c r="B3189" s="67" t="str">
        <f>MID(C3189, FIND("Ifc.", C3189) + 4, 4) &amp; "_" &amp; TEXT(COUNTIF($C$2:C3189, C3189),"0000")</f>
        <v>Enti_0322</v>
      </c>
      <c r="C3189" s="25" t="s">
        <v>874</v>
      </c>
      <c r="D3189" s="69" t="s">
        <v>9453</v>
      </c>
      <c r="E3189" s="70" t="s">
        <v>9457</v>
      </c>
      <c r="F3189" s="26" t="s">
        <v>798</v>
      </c>
      <c r="G3189" s="15" t="s">
        <v>798</v>
      </c>
      <c r="H3189" s="14" t="s">
        <v>798</v>
      </c>
      <c r="I3189" s="15" t="s">
        <v>798</v>
      </c>
      <c r="J3189" s="12" t="s">
        <v>9438</v>
      </c>
      <c r="K3189" s="16" t="s">
        <v>3261</v>
      </c>
      <c r="L3189" s="12" t="s">
        <v>800</v>
      </c>
      <c r="M3189" s="16" t="s">
        <v>4227</v>
      </c>
      <c r="N3189" s="19" t="s">
        <v>798</v>
      </c>
      <c r="O3189" s="20" t="s">
        <v>798</v>
      </c>
      <c r="P3189" s="17" t="s">
        <v>802</v>
      </c>
      <c r="Q3189" s="21" t="s">
        <v>8813</v>
      </c>
      <c r="R3189" s="19" t="s">
        <v>798</v>
      </c>
      <c r="S3189" s="20" t="s">
        <v>798</v>
      </c>
      <c r="T3189" s="17" t="s">
        <v>798</v>
      </c>
      <c r="U3189" s="20" t="s">
        <v>798</v>
      </c>
      <c r="V3189" s="26" t="s">
        <v>798</v>
      </c>
      <c r="W3189" s="20" t="s">
        <v>798</v>
      </c>
      <c r="X3189" s="26" t="s">
        <v>798</v>
      </c>
      <c r="Y3189" s="20" t="s">
        <v>798</v>
      </c>
      <c r="Z3189" s="69" t="s">
        <v>9486</v>
      </c>
      <c r="AA3189" s="72" t="s">
        <v>9497</v>
      </c>
      <c r="AB3189" s="73" t="s">
        <v>9486</v>
      </c>
      <c r="AC3189" s="74" t="s">
        <v>9562</v>
      </c>
      <c r="AD3189" s="73" t="s">
        <v>9578</v>
      </c>
      <c r="AE3189" s="74" t="s">
        <v>9579</v>
      </c>
    </row>
    <row r="3190" spans="1:31" ht="8.65" customHeight="1" x14ac:dyDescent="0.2">
      <c r="A3190" s="76">
        <v>3190</v>
      </c>
      <c r="B3190" s="67" t="str">
        <f>MID(C3190, FIND("Ifc.", C3190) + 4, 4) &amp; "_" &amp; TEXT(COUNTIF($C$2:C3190, C3190),"0000")</f>
        <v>Enti_0323</v>
      </c>
      <c r="C3190" s="25" t="s">
        <v>874</v>
      </c>
      <c r="D3190" s="69" t="s">
        <v>9453</v>
      </c>
      <c r="E3190" s="70" t="s">
        <v>9457</v>
      </c>
      <c r="F3190" s="26" t="s">
        <v>798</v>
      </c>
      <c r="G3190" s="15" t="s">
        <v>798</v>
      </c>
      <c r="H3190" s="14" t="s">
        <v>798</v>
      </c>
      <c r="I3190" s="15" t="s">
        <v>798</v>
      </c>
      <c r="J3190" s="12" t="s">
        <v>9438</v>
      </c>
      <c r="K3190" s="16" t="s">
        <v>3262</v>
      </c>
      <c r="L3190" s="12" t="s">
        <v>800</v>
      </c>
      <c r="M3190" s="16" t="s">
        <v>4228</v>
      </c>
      <c r="N3190" s="19" t="s">
        <v>798</v>
      </c>
      <c r="O3190" s="20" t="s">
        <v>798</v>
      </c>
      <c r="P3190" s="17" t="s">
        <v>802</v>
      </c>
      <c r="Q3190" s="21" t="s">
        <v>8814</v>
      </c>
      <c r="R3190" s="19" t="s">
        <v>798</v>
      </c>
      <c r="S3190" s="20" t="s">
        <v>798</v>
      </c>
      <c r="T3190" s="17" t="s">
        <v>798</v>
      </c>
      <c r="U3190" s="20" t="s">
        <v>798</v>
      </c>
      <c r="V3190" s="26" t="s">
        <v>798</v>
      </c>
      <c r="W3190" s="20" t="s">
        <v>798</v>
      </c>
      <c r="X3190" s="26" t="s">
        <v>798</v>
      </c>
      <c r="Y3190" s="20" t="s">
        <v>798</v>
      </c>
      <c r="Z3190" s="69" t="s">
        <v>9486</v>
      </c>
      <c r="AA3190" s="72" t="s">
        <v>9497</v>
      </c>
      <c r="AB3190" s="73" t="s">
        <v>9486</v>
      </c>
      <c r="AC3190" s="74" t="s">
        <v>9562</v>
      </c>
      <c r="AD3190" s="73" t="s">
        <v>9578</v>
      </c>
      <c r="AE3190" s="74" t="s">
        <v>9579</v>
      </c>
    </row>
    <row r="3191" spans="1:31" ht="8.65" customHeight="1" x14ac:dyDescent="0.2">
      <c r="A3191" s="76">
        <v>3191</v>
      </c>
      <c r="B3191" s="67" t="str">
        <f>MID(C3191, FIND("Ifc.", C3191) + 4, 4) &amp; "_" &amp; TEXT(COUNTIF($C$2:C3191, C3191),"0000")</f>
        <v>Enti_0324</v>
      </c>
      <c r="C3191" s="25" t="s">
        <v>874</v>
      </c>
      <c r="D3191" s="69" t="s">
        <v>9453</v>
      </c>
      <c r="E3191" s="70" t="s">
        <v>9457</v>
      </c>
      <c r="F3191" s="26" t="s">
        <v>798</v>
      </c>
      <c r="G3191" s="15" t="s">
        <v>798</v>
      </c>
      <c r="H3191" s="14" t="s">
        <v>798</v>
      </c>
      <c r="I3191" s="15" t="s">
        <v>798</v>
      </c>
      <c r="J3191" s="12" t="s">
        <v>9438</v>
      </c>
      <c r="K3191" s="16" t="s">
        <v>3263</v>
      </c>
      <c r="L3191" s="12" t="s">
        <v>800</v>
      </c>
      <c r="M3191" s="16" t="s">
        <v>4229</v>
      </c>
      <c r="N3191" s="19" t="s">
        <v>798</v>
      </c>
      <c r="O3191" s="20" t="s">
        <v>798</v>
      </c>
      <c r="P3191" s="17" t="s">
        <v>802</v>
      </c>
      <c r="Q3191" s="21" t="s">
        <v>8815</v>
      </c>
      <c r="R3191" s="19" t="s">
        <v>798</v>
      </c>
      <c r="S3191" s="20" t="s">
        <v>798</v>
      </c>
      <c r="T3191" s="17" t="s">
        <v>798</v>
      </c>
      <c r="U3191" s="20" t="s">
        <v>798</v>
      </c>
      <c r="V3191" s="26" t="s">
        <v>798</v>
      </c>
      <c r="W3191" s="20" t="s">
        <v>798</v>
      </c>
      <c r="X3191" s="26" t="s">
        <v>798</v>
      </c>
      <c r="Y3191" s="20" t="s">
        <v>798</v>
      </c>
      <c r="Z3191" s="69" t="s">
        <v>9486</v>
      </c>
      <c r="AA3191" s="72" t="s">
        <v>9497</v>
      </c>
      <c r="AB3191" s="73" t="s">
        <v>9486</v>
      </c>
      <c r="AC3191" s="74" t="s">
        <v>9562</v>
      </c>
      <c r="AD3191" s="73" t="s">
        <v>9578</v>
      </c>
      <c r="AE3191" s="74" t="s">
        <v>9579</v>
      </c>
    </row>
    <row r="3192" spans="1:31" ht="8.65" customHeight="1" x14ac:dyDescent="0.2">
      <c r="A3192" s="76">
        <v>3192</v>
      </c>
      <c r="B3192" s="67" t="str">
        <f>MID(C3192, FIND("Ifc.", C3192) + 4, 4) &amp; "_" &amp; TEXT(COUNTIF($C$2:C3192, C3192),"0000")</f>
        <v>Enti_0325</v>
      </c>
      <c r="C3192" s="25" t="s">
        <v>874</v>
      </c>
      <c r="D3192" s="69" t="s">
        <v>9453</v>
      </c>
      <c r="E3192" s="70" t="s">
        <v>9457</v>
      </c>
      <c r="F3192" s="26" t="s">
        <v>798</v>
      </c>
      <c r="G3192" s="15" t="s">
        <v>798</v>
      </c>
      <c r="H3192" s="14" t="s">
        <v>798</v>
      </c>
      <c r="I3192" s="15" t="s">
        <v>798</v>
      </c>
      <c r="J3192" s="12" t="s">
        <v>9438</v>
      </c>
      <c r="K3192" s="16" t="s">
        <v>3264</v>
      </c>
      <c r="L3192" s="12" t="s">
        <v>800</v>
      </c>
      <c r="M3192" s="16" t="s">
        <v>4230</v>
      </c>
      <c r="N3192" s="19" t="s">
        <v>798</v>
      </c>
      <c r="O3192" s="20" t="s">
        <v>798</v>
      </c>
      <c r="P3192" s="17" t="s">
        <v>802</v>
      </c>
      <c r="Q3192" s="21" t="s">
        <v>8816</v>
      </c>
      <c r="R3192" s="19" t="s">
        <v>798</v>
      </c>
      <c r="S3192" s="20" t="s">
        <v>798</v>
      </c>
      <c r="T3192" s="17" t="s">
        <v>798</v>
      </c>
      <c r="U3192" s="20" t="s">
        <v>798</v>
      </c>
      <c r="V3192" s="26" t="s">
        <v>798</v>
      </c>
      <c r="W3192" s="20" t="s">
        <v>798</v>
      </c>
      <c r="X3192" s="26" t="s">
        <v>798</v>
      </c>
      <c r="Y3192" s="20" t="s">
        <v>798</v>
      </c>
      <c r="Z3192" s="69" t="s">
        <v>9486</v>
      </c>
      <c r="AA3192" s="72" t="s">
        <v>9497</v>
      </c>
      <c r="AB3192" s="73" t="s">
        <v>9486</v>
      </c>
      <c r="AC3192" s="74" t="s">
        <v>9562</v>
      </c>
      <c r="AD3192" s="73" t="s">
        <v>9578</v>
      </c>
      <c r="AE3192" s="74" t="s">
        <v>9579</v>
      </c>
    </row>
    <row r="3193" spans="1:31" ht="8.65" customHeight="1" x14ac:dyDescent="0.2">
      <c r="A3193" s="76">
        <v>3193</v>
      </c>
      <c r="B3193" s="67" t="str">
        <f>MID(C3193, FIND("Ifc.", C3193) + 4, 4) &amp; "_" &amp; TEXT(COUNTIF($C$2:C3193, C3193),"0000")</f>
        <v>Enti_0326</v>
      </c>
      <c r="C3193" s="25" t="s">
        <v>874</v>
      </c>
      <c r="D3193" s="69" t="s">
        <v>9453</v>
      </c>
      <c r="E3193" s="70" t="s">
        <v>9457</v>
      </c>
      <c r="F3193" s="26" t="s">
        <v>798</v>
      </c>
      <c r="G3193" s="15" t="s">
        <v>798</v>
      </c>
      <c r="H3193" s="14" t="s">
        <v>798</v>
      </c>
      <c r="I3193" s="15" t="s">
        <v>798</v>
      </c>
      <c r="J3193" s="12" t="s">
        <v>9438</v>
      </c>
      <c r="K3193" s="16" t="s">
        <v>3265</v>
      </c>
      <c r="L3193" s="12" t="s">
        <v>800</v>
      </c>
      <c r="M3193" s="16" t="s">
        <v>4231</v>
      </c>
      <c r="N3193" s="19" t="s">
        <v>798</v>
      </c>
      <c r="O3193" s="20" t="s">
        <v>798</v>
      </c>
      <c r="P3193" s="17" t="s">
        <v>802</v>
      </c>
      <c r="Q3193" s="21" t="s">
        <v>8817</v>
      </c>
      <c r="R3193" s="19" t="s">
        <v>798</v>
      </c>
      <c r="S3193" s="20" t="s">
        <v>798</v>
      </c>
      <c r="T3193" s="17" t="s">
        <v>798</v>
      </c>
      <c r="U3193" s="20" t="s">
        <v>798</v>
      </c>
      <c r="V3193" s="26" t="s">
        <v>798</v>
      </c>
      <c r="W3193" s="20" t="s">
        <v>798</v>
      </c>
      <c r="X3193" s="26" t="s">
        <v>798</v>
      </c>
      <c r="Y3193" s="20" t="s">
        <v>798</v>
      </c>
      <c r="Z3193" s="69" t="s">
        <v>9486</v>
      </c>
      <c r="AA3193" s="72" t="s">
        <v>9497</v>
      </c>
      <c r="AB3193" s="73" t="s">
        <v>9486</v>
      </c>
      <c r="AC3193" s="74" t="s">
        <v>9562</v>
      </c>
      <c r="AD3193" s="73" t="s">
        <v>9578</v>
      </c>
      <c r="AE3193" s="74" t="s">
        <v>9579</v>
      </c>
    </row>
    <row r="3194" spans="1:31" ht="8.65" customHeight="1" x14ac:dyDescent="0.2">
      <c r="A3194" s="76">
        <v>3194</v>
      </c>
      <c r="B3194" s="67" t="str">
        <f>MID(C3194, FIND("Ifc.", C3194) + 4, 4) &amp; "_" &amp; TEXT(COUNTIF($C$2:C3194, C3194),"0000")</f>
        <v>Enti_0327</v>
      </c>
      <c r="C3194" s="25" t="s">
        <v>874</v>
      </c>
      <c r="D3194" s="69" t="s">
        <v>9453</v>
      </c>
      <c r="E3194" s="70" t="s">
        <v>9457</v>
      </c>
      <c r="F3194" s="26" t="s">
        <v>798</v>
      </c>
      <c r="G3194" s="15" t="s">
        <v>798</v>
      </c>
      <c r="H3194" s="14" t="s">
        <v>798</v>
      </c>
      <c r="I3194" s="15" t="s">
        <v>798</v>
      </c>
      <c r="J3194" s="12" t="s">
        <v>9438</v>
      </c>
      <c r="K3194" s="16" t="s">
        <v>3266</v>
      </c>
      <c r="L3194" s="12" t="s">
        <v>800</v>
      </c>
      <c r="M3194" s="16" t="s">
        <v>4232</v>
      </c>
      <c r="N3194" s="19" t="s">
        <v>798</v>
      </c>
      <c r="O3194" s="20" t="s">
        <v>798</v>
      </c>
      <c r="P3194" s="17" t="s">
        <v>802</v>
      </c>
      <c r="Q3194" s="21" t="s">
        <v>8818</v>
      </c>
      <c r="R3194" s="19" t="s">
        <v>798</v>
      </c>
      <c r="S3194" s="20" t="s">
        <v>798</v>
      </c>
      <c r="T3194" s="17" t="s">
        <v>798</v>
      </c>
      <c r="U3194" s="20" t="s">
        <v>798</v>
      </c>
      <c r="V3194" s="26" t="s">
        <v>798</v>
      </c>
      <c r="W3194" s="20" t="s">
        <v>798</v>
      </c>
      <c r="X3194" s="26" t="s">
        <v>798</v>
      </c>
      <c r="Y3194" s="20" t="s">
        <v>798</v>
      </c>
      <c r="Z3194" s="69" t="s">
        <v>9486</v>
      </c>
      <c r="AA3194" s="72" t="s">
        <v>9497</v>
      </c>
      <c r="AB3194" s="73" t="s">
        <v>9486</v>
      </c>
      <c r="AC3194" s="74" t="s">
        <v>9562</v>
      </c>
      <c r="AD3194" s="73" t="s">
        <v>9578</v>
      </c>
      <c r="AE3194" s="74" t="s">
        <v>9579</v>
      </c>
    </row>
    <row r="3195" spans="1:31" ht="8.65" customHeight="1" x14ac:dyDescent="0.2">
      <c r="A3195" s="76">
        <v>3195</v>
      </c>
      <c r="B3195" s="67" t="str">
        <f>MID(C3195, FIND("Ifc.", C3195) + 4, 4) &amp; "_" &amp; TEXT(COUNTIF($C$2:C3195, C3195),"0000")</f>
        <v>Enti_0328</v>
      </c>
      <c r="C3195" s="25" t="s">
        <v>874</v>
      </c>
      <c r="D3195" s="69" t="s">
        <v>9453</v>
      </c>
      <c r="E3195" s="70" t="s">
        <v>9457</v>
      </c>
      <c r="F3195" s="26" t="s">
        <v>798</v>
      </c>
      <c r="G3195" s="15" t="s">
        <v>798</v>
      </c>
      <c r="H3195" s="14" t="s">
        <v>798</v>
      </c>
      <c r="I3195" s="15" t="s">
        <v>798</v>
      </c>
      <c r="J3195" s="12" t="s">
        <v>9438</v>
      </c>
      <c r="K3195" s="16" t="s">
        <v>3267</v>
      </c>
      <c r="L3195" s="12" t="s">
        <v>800</v>
      </c>
      <c r="M3195" s="16" t="s">
        <v>4233</v>
      </c>
      <c r="N3195" s="19" t="s">
        <v>798</v>
      </c>
      <c r="O3195" s="20" t="s">
        <v>798</v>
      </c>
      <c r="P3195" s="17" t="s">
        <v>802</v>
      </c>
      <c r="Q3195" s="21" t="s">
        <v>8819</v>
      </c>
      <c r="R3195" s="19" t="s">
        <v>798</v>
      </c>
      <c r="S3195" s="20" t="s">
        <v>798</v>
      </c>
      <c r="T3195" s="17" t="s">
        <v>798</v>
      </c>
      <c r="U3195" s="20" t="s">
        <v>798</v>
      </c>
      <c r="V3195" s="26" t="s">
        <v>798</v>
      </c>
      <c r="W3195" s="20" t="s">
        <v>798</v>
      </c>
      <c r="X3195" s="26" t="s">
        <v>798</v>
      </c>
      <c r="Y3195" s="20" t="s">
        <v>798</v>
      </c>
      <c r="Z3195" s="69" t="s">
        <v>9486</v>
      </c>
      <c r="AA3195" s="72" t="s">
        <v>9497</v>
      </c>
      <c r="AB3195" s="73" t="s">
        <v>9486</v>
      </c>
      <c r="AC3195" s="74" t="s">
        <v>9562</v>
      </c>
      <c r="AD3195" s="73" t="s">
        <v>9578</v>
      </c>
      <c r="AE3195" s="74" t="s">
        <v>9579</v>
      </c>
    </row>
    <row r="3196" spans="1:31" ht="8.65" customHeight="1" x14ac:dyDescent="0.2">
      <c r="A3196" s="76">
        <v>3196</v>
      </c>
      <c r="B3196" s="67" t="str">
        <f>MID(C3196, FIND("Ifc.", C3196) + 4, 4) &amp; "_" &amp; TEXT(COUNTIF($C$2:C3196, C3196),"0000")</f>
        <v>Enti_0329</v>
      </c>
      <c r="C3196" s="25" t="s">
        <v>874</v>
      </c>
      <c r="D3196" s="69" t="s">
        <v>9453</v>
      </c>
      <c r="E3196" s="70" t="s">
        <v>9457</v>
      </c>
      <c r="F3196" s="26" t="s">
        <v>798</v>
      </c>
      <c r="G3196" s="15" t="s">
        <v>798</v>
      </c>
      <c r="H3196" s="14" t="s">
        <v>798</v>
      </c>
      <c r="I3196" s="15" t="s">
        <v>798</v>
      </c>
      <c r="J3196" s="12" t="s">
        <v>9438</v>
      </c>
      <c r="K3196" s="16" t="s">
        <v>3268</v>
      </c>
      <c r="L3196" s="12" t="s">
        <v>800</v>
      </c>
      <c r="M3196" s="16" t="s">
        <v>4234</v>
      </c>
      <c r="N3196" s="19" t="s">
        <v>798</v>
      </c>
      <c r="O3196" s="20" t="s">
        <v>798</v>
      </c>
      <c r="P3196" s="17" t="s">
        <v>802</v>
      </c>
      <c r="Q3196" s="21" t="s">
        <v>8820</v>
      </c>
      <c r="R3196" s="19" t="s">
        <v>798</v>
      </c>
      <c r="S3196" s="20" t="s">
        <v>798</v>
      </c>
      <c r="T3196" s="17" t="s">
        <v>798</v>
      </c>
      <c r="U3196" s="20" t="s">
        <v>798</v>
      </c>
      <c r="V3196" s="26" t="s">
        <v>798</v>
      </c>
      <c r="W3196" s="20" t="s">
        <v>798</v>
      </c>
      <c r="X3196" s="26" t="s">
        <v>798</v>
      </c>
      <c r="Y3196" s="20" t="s">
        <v>798</v>
      </c>
      <c r="Z3196" s="69" t="s">
        <v>9486</v>
      </c>
      <c r="AA3196" s="72" t="s">
        <v>9497</v>
      </c>
      <c r="AB3196" s="73" t="s">
        <v>9486</v>
      </c>
      <c r="AC3196" s="74" t="s">
        <v>9562</v>
      </c>
      <c r="AD3196" s="73" t="s">
        <v>9578</v>
      </c>
      <c r="AE3196" s="74" t="s">
        <v>9579</v>
      </c>
    </row>
    <row r="3197" spans="1:31" ht="8.65" customHeight="1" x14ac:dyDescent="0.2">
      <c r="A3197" s="76">
        <v>3197</v>
      </c>
      <c r="B3197" s="67" t="str">
        <f>MID(C3197, FIND("Ifc.", C3197) + 4, 4) &amp; "_" &amp; TEXT(COUNTIF($C$2:C3197, C3197),"0000")</f>
        <v>Enti_0330</v>
      </c>
      <c r="C3197" s="25" t="s">
        <v>874</v>
      </c>
      <c r="D3197" s="69" t="s">
        <v>9453</v>
      </c>
      <c r="E3197" s="70" t="s">
        <v>9457</v>
      </c>
      <c r="F3197" s="26" t="s">
        <v>798</v>
      </c>
      <c r="G3197" s="15" t="s">
        <v>798</v>
      </c>
      <c r="H3197" s="14" t="s">
        <v>798</v>
      </c>
      <c r="I3197" s="15" t="s">
        <v>798</v>
      </c>
      <c r="J3197" s="12" t="s">
        <v>9438</v>
      </c>
      <c r="K3197" s="16" t="s">
        <v>3269</v>
      </c>
      <c r="L3197" s="12" t="s">
        <v>800</v>
      </c>
      <c r="M3197" s="16" t="s">
        <v>4235</v>
      </c>
      <c r="N3197" s="19" t="s">
        <v>798</v>
      </c>
      <c r="O3197" s="20" t="s">
        <v>798</v>
      </c>
      <c r="P3197" s="17" t="s">
        <v>802</v>
      </c>
      <c r="Q3197" s="21" t="s">
        <v>8821</v>
      </c>
      <c r="R3197" s="19" t="s">
        <v>798</v>
      </c>
      <c r="S3197" s="20" t="s">
        <v>798</v>
      </c>
      <c r="T3197" s="17" t="s">
        <v>798</v>
      </c>
      <c r="U3197" s="20" t="s">
        <v>798</v>
      </c>
      <c r="V3197" s="26" t="s">
        <v>798</v>
      </c>
      <c r="W3197" s="20" t="s">
        <v>798</v>
      </c>
      <c r="X3197" s="26" t="s">
        <v>798</v>
      </c>
      <c r="Y3197" s="20" t="s">
        <v>798</v>
      </c>
      <c r="Z3197" s="69" t="s">
        <v>9486</v>
      </c>
      <c r="AA3197" s="72" t="s">
        <v>9497</v>
      </c>
      <c r="AB3197" s="73" t="s">
        <v>9486</v>
      </c>
      <c r="AC3197" s="74" t="s">
        <v>9562</v>
      </c>
      <c r="AD3197" s="73" t="s">
        <v>9578</v>
      </c>
      <c r="AE3197" s="74" t="s">
        <v>9579</v>
      </c>
    </row>
    <row r="3198" spans="1:31" ht="8.65" customHeight="1" x14ac:dyDescent="0.2">
      <c r="A3198" s="76">
        <v>3198</v>
      </c>
      <c r="B3198" s="67" t="str">
        <f>MID(C3198, FIND("Ifc.", C3198) + 4, 4) &amp; "_" &amp; TEXT(COUNTIF($C$2:C3198, C3198),"0000")</f>
        <v>Enti_0331</v>
      </c>
      <c r="C3198" s="25" t="s">
        <v>874</v>
      </c>
      <c r="D3198" s="69" t="s">
        <v>9453</v>
      </c>
      <c r="E3198" s="70" t="s">
        <v>9457</v>
      </c>
      <c r="F3198" s="26" t="s">
        <v>798</v>
      </c>
      <c r="G3198" s="15" t="s">
        <v>798</v>
      </c>
      <c r="H3198" s="14" t="s">
        <v>798</v>
      </c>
      <c r="I3198" s="15" t="s">
        <v>798</v>
      </c>
      <c r="J3198" s="12" t="s">
        <v>9438</v>
      </c>
      <c r="K3198" s="16" t="s">
        <v>3270</v>
      </c>
      <c r="L3198" s="12" t="s">
        <v>800</v>
      </c>
      <c r="M3198" s="16" t="s">
        <v>4236</v>
      </c>
      <c r="N3198" s="19" t="s">
        <v>798</v>
      </c>
      <c r="O3198" s="20" t="s">
        <v>798</v>
      </c>
      <c r="P3198" s="17" t="s">
        <v>802</v>
      </c>
      <c r="Q3198" s="21" t="s">
        <v>8822</v>
      </c>
      <c r="R3198" s="19" t="s">
        <v>798</v>
      </c>
      <c r="S3198" s="20" t="s">
        <v>798</v>
      </c>
      <c r="T3198" s="17" t="s">
        <v>798</v>
      </c>
      <c r="U3198" s="20" t="s">
        <v>798</v>
      </c>
      <c r="V3198" s="26" t="s">
        <v>798</v>
      </c>
      <c r="W3198" s="20" t="s">
        <v>798</v>
      </c>
      <c r="X3198" s="26" t="s">
        <v>798</v>
      </c>
      <c r="Y3198" s="20" t="s">
        <v>798</v>
      </c>
      <c r="Z3198" s="69" t="s">
        <v>9486</v>
      </c>
      <c r="AA3198" s="72" t="s">
        <v>9497</v>
      </c>
      <c r="AB3198" s="73" t="s">
        <v>9486</v>
      </c>
      <c r="AC3198" s="74" t="s">
        <v>9562</v>
      </c>
      <c r="AD3198" s="73" t="s">
        <v>9578</v>
      </c>
      <c r="AE3198" s="74" t="s">
        <v>9579</v>
      </c>
    </row>
    <row r="3199" spans="1:31" ht="8.65" customHeight="1" x14ac:dyDescent="0.2">
      <c r="A3199" s="76">
        <v>3199</v>
      </c>
      <c r="B3199" s="67" t="str">
        <f>MID(C3199, FIND("Ifc.", C3199) + 4, 4) &amp; "_" &amp; TEXT(COUNTIF($C$2:C3199, C3199),"0000")</f>
        <v>Enti_0332</v>
      </c>
      <c r="C3199" s="25" t="s">
        <v>874</v>
      </c>
      <c r="D3199" s="69" t="s">
        <v>9453</v>
      </c>
      <c r="E3199" s="70" t="s">
        <v>9457</v>
      </c>
      <c r="F3199" s="26" t="s">
        <v>798</v>
      </c>
      <c r="G3199" s="15" t="s">
        <v>798</v>
      </c>
      <c r="H3199" s="14" t="s">
        <v>798</v>
      </c>
      <c r="I3199" s="15" t="s">
        <v>798</v>
      </c>
      <c r="J3199" s="12" t="s">
        <v>9438</v>
      </c>
      <c r="K3199" s="16" t="s">
        <v>3271</v>
      </c>
      <c r="L3199" s="12" t="s">
        <v>800</v>
      </c>
      <c r="M3199" s="16" t="s">
        <v>4237</v>
      </c>
      <c r="N3199" s="19" t="s">
        <v>798</v>
      </c>
      <c r="O3199" s="20" t="s">
        <v>798</v>
      </c>
      <c r="P3199" s="17" t="s">
        <v>802</v>
      </c>
      <c r="Q3199" s="21" t="s">
        <v>8823</v>
      </c>
      <c r="R3199" s="19" t="s">
        <v>798</v>
      </c>
      <c r="S3199" s="20" t="s">
        <v>798</v>
      </c>
      <c r="T3199" s="17" t="s">
        <v>798</v>
      </c>
      <c r="U3199" s="20" t="s">
        <v>798</v>
      </c>
      <c r="V3199" s="26" t="s">
        <v>798</v>
      </c>
      <c r="W3199" s="20" t="s">
        <v>798</v>
      </c>
      <c r="X3199" s="26" t="s">
        <v>798</v>
      </c>
      <c r="Y3199" s="20" t="s">
        <v>798</v>
      </c>
      <c r="Z3199" s="69" t="s">
        <v>9486</v>
      </c>
      <c r="AA3199" s="72" t="s">
        <v>9497</v>
      </c>
      <c r="AB3199" s="73" t="s">
        <v>9486</v>
      </c>
      <c r="AC3199" s="74" t="s">
        <v>9562</v>
      </c>
      <c r="AD3199" s="73" t="s">
        <v>9578</v>
      </c>
      <c r="AE3199" s="74" t="s">
        <v>9579</v>
      </c>
    </row>
    <row r="3200" spans="1:31" ht="8.65" customHeight="1" x14ac:dyDescent="0.2">
      <c r="A3200" s="76">
        <v>3200</v>
      </c>
      <c r="B3200" s="67" t="str">
        <f>MID(C3200, FIND("Ifc.", C3200) + 4, 4) &amp; "_" &amp; TEXT(COUNTIF($C$2:C3200, C3200),"0000")</f>
        <v>Enti_0333</v>
      </c>
      <c r="C3200" s="25" t="s">
        <v>874</v>
      </c>
      <c r="D3200" s="69" t="s">
        <v>9453</v>
      </c>
      <c r="E3200" s="70" t="s">
        <v>9457</v>
      </c>
      <c r="F3200" s="26" t="s">
        <v>798</v>
      </c>
      <c r="G3200" s="15" t="s">
        <v>798</v>
      </c>
      <c r="H3200" s="14" t="s">
        <v>798</v>
      </c>
      <c r="I3200" s="15" t="s">
        <v>798</v>
      </c>
      <c r="J3200" s="12" t="s">
        <v>9438</v>
      </c>
      <c r="K3200" s="16" t="s">
        <v>3272</v>
      </c>
      <c r="L3200" s="12" t="s">
        <v>800</v>
      </c>
      <c r="M3200" s="16" t="s">
        <v>4238</v>
      </c>
      <c r="N3200" s="19" t="s">
        <v>798</v>
      </c>
      <c r="O3200" s="20" t="s">
        <v>798</v>
      </c>
      <c r="P3200" s="17" t="s">
        <v>802</v>
      </c>
      <c r="Q3200" s="21" t="s">
        <v>8824</v>
      </c>
      <c r="R3200" s="19" t="s">
        <v>798</v>
      </c>
      <c r="S3200" s="20" t="s">
        <v>798</v>
      </c>
      <c r="T3200" s="17" t="s">
        <v>798</v>
      </c>
      <c r="U3200" s="20" t="s">
        <v>798</v>
      </c>
      <c r="V3200" s="26" t="s">
        <v>798</v>
      </c>
      <c r="W3200" s="20" t="s">
        <v>798</v>
      </c>
      <c r="X3200" s="26" t="s">
        <v>798</v>
      </c>
      <c r="Y3200" s="20" t="s">
        <v>798</v>
      </c>
      <c r="Z3200" s="69" t="s">
        <v>9486</v>
      </c>
      <c r="AA3200" s="72" t="s">
        <v>9497</v>
      </c>
      <c r="AB3200" s="73" t="s">
        <v>9486</v>
      </c>
      <c r="AC3200" s="74" t="s">
        <v>9562</v>
      </c>
      <c r="AD3200" s="73" t="s">
        <v>9578</v>
      </c>
      <c r="AE3200" s="74" t="s">
        <v>9579</v>
      </c>
    </row>
    <row r="3201" spans="1:31" ht="8.65" customHeight="1" x14ac:dyDescent="0.2">
      <c r="A3201" s="76">
        <v>3201</v>
      </c>
      <c r="B3201" s="67" t="str">
        <f>MID(C3201, FIND("Ifc.", C3201) + 4, 4) &amp; "_" &amp; TEXT(COUNTIF($C$2:C3201, C3201),"0000")</f>
        <v>Enti_0334</v>
      </c>
      <c r="C3201" s="25" t="s">
        <v>874</v>
      </c>
      <c r="D3201" s="69" t="s">
        <v>9453</v>
      </c>
      <c r="E3201" s="70" t="s">
        <v>9457</v>
      </c>
      <c r="F3201" s="26" t="s">
        <v>798</v>
      </c>
      <c r="G3201" s="15" t="s">
        <v>798</v>
      </c>
      <c r="H3201" s="14" t="s">
        <v>798</v>
      </c>
      <c r="I3201" s="15" t="s">
        <v>798</v>
      </c>
      <c r="J3201" s="12" t="s">
        <v>9438</v>
      </c>
      <c r="K3201" s="16" t="s">
        <v>3273</v>
      </c>
      <c r="L3201" s="12" t="s">
        <v>800</v>
      </c>
      <c r="M3201" s="16" t="s">
        <v>4239</v>
      </c>
      <c r="N3201" s="19" t="s">
        <v>798</v>
      </c>
      <c r="O3201" s="20" t="s">
        <v>798</v>
      </c>
      <c r="P3201" s="17" t="s">
        <v>802</v>
      </c>
      <c r="Q3201" s="21" t="s">
        <v>8825</v>
      </c>
      <c r="R3201" s="19" t="s">
        <v>798</v>
      </c>
      <c r="S3201" s="20" t="s">
        <v>798</v>
      </c>
      <c r="T3201" s="17" t="s">
        <v>798</v>
      </c>
      <c r="U3201" s="20" t="s">
        <v>798</v>
      </c>
      <c r="V3201" s="26" t="s">
        <v>798</v>
      </c>
      <c r="W3201" s="20" t="s">
        <v>798</v>
      </c>
      <c r="X3201" s="26" t="s">
        <v>798</v>
      </c>
      <c r="Y3201" s="20" t="s">
        <v>798</v>
      </c>
      <c r="Z3201" s="69" t="s">
        <v>9486</v>
      </c>
      <c r="AA3201" s="72" t="s">
        <v>9497</v>
      </c>
      <c r="AB3201" s="73" t="s">
        <v>9486</v>
      </c>
      <c r="AC3201" s="74" t="s">
        <v>9562</v>
      </c>
      <c r="AD3201" s="73" t="s">
        <v>9578</v>
      </c>
      <c r="AE3201" s="74" t="s">
        <v>9579</v>
      </c>
    </row>
    <row r="3202" spans="1:31" ht="8.65" customHeight="1" x14ac:dyDescent="0.2">
      <c r="A3202" s="76">
        <v>3202</v>
      </c>
      <c r="B3202" s="67" t="str">
        <f>MID(C3202, FIND("Ifc.", C3202) + 4, 4) &amp; "_" &amp; TEXT(COUNTIF($C$2:C3202, C3202),"0000")</f>
        <v>Enti_0335</v>
      </c>
      <c r="C3202" s="25" t="s">
        <v>874</v>
      </c>
      <c r="D3202" s="69" t="s">
        <v>9453</v>
      </c>
      <c r="E3202" s="70" t="s">
        <v>9457</v>
      </c>
      <c r="F3202" s="26" t="s">
        <v>798</v>
      </c>
      <c r="G3202" s="15" t="s">
        <v>798</v>
      </c>
      <c r="H3202" s="14" t="s">
        <v>798</v>
      </c>
      <c r="I3202" s="15" t="s">
        <v>798</v>
      </c>
      <c r="J3202" s="12" t="s">
        <v>9438</v>
      </c>
      <c r="K3202" s="16" t="s">
        <v>3274</v>
      </c>
      <c r="L3202" s="12" t="s">
        <v>800</v>
      </c>
      <c r="M3202" s="16" t="s">
        <v>4240</v>
      </c>
      <c r="N3202" s="19" t="s">
        <v>798</v>
      </c>
      <c r="O3202" s="20" t="s">
        <v>798</v>
      </c>
      <c r="P3202" s="17" t="s">
        <v>802</v>
      </c>
      <c r="Q3202" s="21" t="s">
        <v>8826</v>
      </c>
      <c r="R3202" s="19" t="s">
        <v>798</v>
      </c>
      <c r="S3202" s="20" t="s">
        <v>798</v>
      </c>
      <c r="T3202" s="17" t="s">
        <v>798</v>
      </c>
      <c r="U3202" s="20" t="s">
        <v>798</v>
      </c>
      <c r="V3202" s="26" t="s">
        <v>798</v>
      </c>
      <c r="W3202" s="20" t="s">
        <v>798</v>
      </c>
      <c r="X3202" s="26" t="s">
        <v>798</v>
      </c>
      <c r="Y3202" s="20" t="s">
        <v>798</v>
      </c>
      <c r="Z3202" s="69" t="s">
        <v>9486</v>
      </c>
      <c r="AA3202" s="72" t="s">
        <v>9497</v>
      </c>
      <c r="AB3202" s="73" t="s">
        <v>9486</v>
      </c>
      <c r="AC3202" s="74" t="s">
        <v>9562</v>
      </c>
      <c r="AD3202" s="73" t="s">
        <v>9578</v>
      </c>
      <c r="AE3202" s="74" t="s">
        <v>9579</v>
      </c>
    </row>
    <row r="3203" spans="1:31" ht="8.65" customHeight="1" x14ac:dyDescent="0.2">
      <c r="A3203" s="76">
        <v>3203</v>
      </c>
      <c r="B3203" s="67" t="str">
        <f>MID(C3203, FIND("Ifc.", C3203) + 4, 4) &amp; "_" &amp; TEXT(COUNTIF($C$2:C3203, C3203),"0000")</f>
        <v>Enti_0336</v>
      </c>
      <c r="C3203" s="25" t="s">
        <v>874</v>
      </c>
      <c r="D3203" s="69" t="s">
        <v>9453</v>
      </c>
      <c r="E3203" s="70" t="s">
        <v>9457</v>
      </c>
      <c r="F3203" s="26" t="s">
        <v>798</v>
      </c>
      <c r="G3203" s="15" t="s">
        <v>798</v>
      </c>
      <c r="H3203" s="14" t="s">
        <v>798</v>
      </c>
      <c r="I3203" s="15" t="s">
        <v>798</v>
      </c>
      <c r="J3203" s="12" t="s">
        <v>9438</v>
      </c>
      <c r="K3203" s="16" t="s">
        <v>3275</v>
      </c>
      <c r="L3203" s="12" t="s">
        <v>800</v>
      </c>
      <c r="M3203" s="16" t="s">
        <v>4241</v>
      </c>
      <c r="N3203" s="19" t="s">
        <v>798</v>
      </c>
      <c r="O3203" s="20" t="s">
        <v>798</v>
      </c>
      <c r="P3203" s="17" t="s">
        <v>802</v>
      </c>
      <c r="Q3203" s="21" t="s">
        <v>8827</v>
      </c>
      <c r="R3203" s="19" t="s">
        <v>798</v>
      </c>
      <c r="S3203" s="20" t="s">
        <v>798</v>
      </c>
      <c r="T3203" s="17" t="s">
        <v>798</v>
      </c>
      <c r="U3203" s="20" t="s">
        <v>798</v>
      </c>
      <c r="V3203" s="26" t="s">
        <v>798</v>
      </c>
      <c r="W3203" s="20" t="s">
        <v>798</v>
      </c>
      <c r="X3203" s="26" t="s">
        <v>798</v>
      </c>
      <c r="Y3203" s="20" t="s">
        <v>798</v>
      </c>
      <c r="Z3203" s="69" t="s">
        <v>9486</v>
      </c>
      <c r="AA3203" s="72" t="s">
        <v>9497</v>
      </c>
      <c r="AB3203" s="73" t="s">
        <v>9486</v>
      </c>
      <c r="AC3203" s="74" t="s">
        <v>9562</v>
      </c>
      <c r="AD3203" s="73" t="s">
        <v>9578</v>
      </c>
      <c r="AE3203" s="74" t="s">
        <v>9579</v>
      </c>
    </row>
    <row r="3204" spans="1:31" ht="8.65" customHeight="1" x14ac:dyDescent="0.2">
      <c r="A3204" s="76">
        <v>3204</v>
      </c>
      <c r="B3204" s="67" t="str">
        <f>MID(C3204, FIND("Ifc.", C3204) + 4, 4) &amp; "_" &amp; TEXT(COUNTIF($C$2:C3204, C3204),"0000")</f>
        <v>Enti_0337</v>
      </c>
      <c r="C3204" s="25" t="s">
        <v>874</v>
      </c>
      <c r="D3204" s="69" t="s">
        <v>9453</v>
      </c>
      <c r="E3204" s="70" t="s">
        <v>9457</v>
      </c>
      <c r="F3204" s="26" t="s">
        <v>798</v>
      </c>
      <c r="G3204" s="15" t="s">
        <v>798</v>
      </c>
      <c r="H3204" s="14" t="s">
        <v>798</v>
      </c>
      <c r="I3204" s="15" t="s">
        <v>798</v>
      </c>
      <c r="J3204" s="12" t="s">
        <v>9438</v>
      </c>
      <c r="K3204" s="16" t="s">
        <v>3276</v>
      </c>
      <c r="L3204" s="12" t="s">
        <v>800</v>
      </c>
      <c r="M3204" s="16" t="s">
        <v>4242</v>
      </c>
      <c r="N3204" s="19" t="s">
        <v>798</v>
      </c>
      <c r="O3204" s="20" t="s">
        <v>798</v>
      </c>
      <c r="P3204" s="17" t="s">
        <v>802</v>
      </c>
      <c r="Q3204" s="21" t="s">
        <v>8828</v>
      </c>
      <c r="R3204" s="19" t="s">
        <v>798</v>
      </c>
      <c r="S3204" s="20" t="s">
        <v>798</v>
      </c>
      <c r="T3204" s="17" t="s">
        <v>798</v>
      </c>
      <c r="U3204" s="20" t="s">
        <v>798</v>
      </c>
      <c r="V3204" s="26" t="s">
        <v>798</v>
      </c>
      <c r="W3204" s="20" t="s">
        <v>798</v>
      </c>
      <c r="X3204" s="26" t="s">
        <v>798</v>
      </c>
      <c r="Y3204" s="20" t="s">
        <v>798</v>
      </c>
      <c r="Z3204" s="69" t="s">
        <v>9486</v>
      </c>
      <c r="AA3204" s="72" t="s">
        <v>9497</v>
      </c>
      <c r="AB3204" s="73" t="s">
        <v>9486</v>
      </c>
      <c r="AC3204" s="74" t="s">
        <v>9562</v>
      </c>
      <c r="AD3204" s="73" t="s">
        <v>9578</v>
      </c>
      <c r="AE3204" s="74" t="s">
        <v>9579</v>
      </c>
    </row>
    <row r="3205" spans="1:31" ht="8.65" customHeight="1" x14ac:dyDescent="0.2">
      <c r="A3205" s="76">
        <v>3205</v>
      </c>
      <c r="B3205" s="67" t="str">
        <f>MID(C3205, FIND("Ifc.", C3205) + 4, 4) &amp; "_" &amp; TEXT(COUNTIF($C$2:C3205, C3205),"0000")</f>
        <v>Enti_0338</v>
      </c>
      <c r="C3205" s="25" t="s">
        <v>874</v>
      </c>
      <c r="D3205" s="69" t="s">
        <v>9453</v>
      </c>
      <c r="E3205" s="70" t="s">
        <v>9457</v>
      </c>
      <c r="F3205" s="26" t="s">
        <v>798</v>
      </c>
      <c r="G3205" s="15" t="s">
        <v>798</v>
      </c>
      <c r="H3205" s="14" t="s">
        <v>798</v>
      </c>
      <c r="I3205" s="15" t="s">
        <v>798</v>
      </c>
      <c r="J3205" s="12" t="s">
        <v>9438</v>
      </c>
      <c r="K3205" s="16" t="s">
        <v>3277</v>
      </c>
      <c r="L3205" s="12" t="s">
        <v>800</v>
      </c>
      <c r="M3205" s="16" t="s">
        <v>4243</v>
      </c>
      <c r="N3205" s="19" t="s">
        <v>798</v>
      </c>
      <c r="O3205" s="20" t="s">
        <v>798</v>
      </c>
      <c r="P3205" s="17" t="s">
        <v>802</v>
      </c>
      <c r="Q3205" s="21" t="s">
        <v>8829</v>
      </c>
      <c r="R3205" s="19" t="s">
        <v>798</v>
      </c>
      <c r="S3205" s="20" t="s">
        <v>798</v>
      </c>
      <c r="T3205" s="17" t="s">
        <v>798</v>
      </c>
      <c r="U3205" s="20" t="s">
        <v>798</v>
      </c>
      <c r="V3205" s="26" t="s">
        <v>798</v>
      </c>
      <c r="W3205" s="20" t="s">
        <v>798</v>
      </c>
      <c r="X3205" s="26" t="s">
        <v>798</v>
      </c>
      <c r="Y3205" s="20" t="s">
        <v>798</v>
      </c>
      <c r="Z3205" s="69" t="s">
        <v>9486</v>
      </c>
      <c r="AA3205" s="72" t="s">
        <v>9497</v>
      </c>
      <c r="AB3205" s="73" t="s">
        <v>9486</v>
      </c>
      <c r="AC3205" s="74" t="s">
        <v>9562</v>
      </c>
      <c r="AD3205" s="73" t="s">
        <v>9578</v>
      </c>
      <c r="AE3205" s="74" t="s">
        <v>9579</v>
      </c>
    </row>
    <row r="3206" spans="1:31" ht="8.65" customHeight="1" x14ac:dyDescent="0.2">
      <c r="A3206" s="76">
        <v>3206</v>
      </c>
      <c r="B3206" s="67" t="str">
        <f>MID(C3206, FIND("Ifc.", C3206) + 4, 4) &amp; "_" &amp; TEXT(COUNTIF($C$2:C3206, C3206),"0000")</f>
        <v>Enti_0339</v>
      </c>
      <c r="C3206" s="25" t="s">
        <v>874</v>
      </c>
      <c r="D3206" s="69" t="s">
        <v>9453</v>
      </c>
      <c r="E3206" s="70" t="s">
        <v>9457</v>
      </c>
      <c r="F3206" s="26" t="s">
        <v>798</v>
      </c>
      <c r="G3206" s="15" t="s">
        <v>798</v>
      </c>
      <c r="H3206" s="14" t="s">
        <v>798</v>
      </c>
      <c r="I3206" s="15" t="s">
        <v>798</v>
      </c>
      <c r="J3206" s="12" t="s">
        <v>9438</v>
      </c>
      <c r="K3206" s="16" t="s">
        <v>3278</v>
      </c>
      <c r="L3206" s="12" t="s">
        <v>800</v>
      </c>
      <c r="M3206" s="16" t="s">
        <v>4244</v>
      </c>
      <c r="N3206" s="19" t="s">
        <v>798</v>
      </c>
      <c r="O3206" s="20" t="s">
        <v>798</v>
      </c>
      <c r="P3206" s="17" t="s">
        <v>802</v>
      </c>
      <c r="Q3206" s="21" t="s">
        <v>8830</v>
      </c>
      <c r="R3206" s="19" t="s">
        <v>798</v>
      </c>
      <c r="S3206" s="20" t="s">
        <v>798</v>
      </c>
      <c r="T3206" s="17" t="s">
        <v>798</v>
      </c>
      <c r="U3206" s="20" t="s">
        <v>798</v>
      </c>
      <c r="V3206" s="26" t="s">
        <v>798</v>
      </c>
      <c r="W3206" s="20" t="s">
        <v>798</v>
      </c>
      <c r="X3206" s="26" t="s">
        <v>798</v>
      </c>
      <c r="Y3206" s="20" t="s">
        <v>798</v>
      </c>
      <c r="Z3206" s="69" t="s">
        <v>9486</v>
      </c>
      <c r="AA3206" s="72" t="s">
        <v>9497</v>
      </c>
      <c r="AB3206" s="73" t="s">
        <v>9486</v>
      </c>
      <c r="AC3206" s="74" t="s">
        <v>9562</v>
      </c>
      <c r="AD3206" s="73" t="s">
        <v>9578</v>
      </c>
      <c r="AE3206" s="74" t="s">
        <v>9579</v>
      </c>
    </row>
    <row r="3207" spans="1:31" ht="8.65" customHeight="1" x14ac:dyDescent="0.2">
      <c r="A3207" s="76">
        <v>3207</v>
      </c>
      <c r="B3207" s="67" t="str">
        <f>MID(C3207, FIND("Ifc.", C3207) + 4, 4) &amp; "_" &amp; TEXT(COUNTIF($C$2:C3207, C3207),"0000")</f>
        <v>Enti_0340</v>
      </c>
      <c r="C3207" s="25" t="s">
        <v>874</v>
      </c>
      <c r="D3207" s="69" t="s">
        <v>9453</v>
      </c>
      <c r="E3207" s="70" t="s">
        <v>9457</v>
      </c>
      <c r="F3207" s="26" t="s">
        <v>798</v>
      </c>
      <c r="G3207" s="15" t="s">
        <v>798</v>
      </c>
      <c r="H3207" s="14" t="s">
        <v>798</v>
      </c>
      <c r="I3207" s="15" t="s">
        <v>798</v>
      </c>
      <c r="J3207" s="12" t="s">
        <v>9438</v>
      </c>
      <c r="K3207" s="16" t="s">
        <v>3279</v>
      </c>
      <c r="L3207" s="12" t="s">
        <v>800</v>
      </c>
      <c r="M3207" s="16" t="s">
        <v>4245</v>
      </c>
      <c r="N3207" s="19" t="s">
        <v>798</v>
      </c>
      <c r="O3207" s="20" t="s">
        <v>798</v>
      </c>
      <c r="P3207" s="17" t="s">
        <v>802</v>
      </c>
      <c r="Q3207" s="21" t="s">
        <v>8831</v>
      </c>
      <c r="R3207" s="19" t="s">
        <v>798</v>
      </c>
      <c r="S3207" s="20" t="s">
        <v>798</v>
      </c>
      <c r="T3207" s="17" t="s">
        <v>798</v>
      </c>
      <c r="U3207" s="20" t="s">
        <v>798</v>
      </c>
      <c r="V3207" s="26" t="s">
        <v>798</v>
      </c>
      <c r="W3207" s="20" t="s">
        <v>798</v>
      </c>
      <c r="X3207" s="26" t="s">
        <v>798</v>
      </c>
      <c r="Y3207" s="20" t="s">
        <v>798</v>
      </c>
      <c r="Z3207" s="69" t="s">
        <v>9486</v>
      </c>
      <c r="AA3207" s="72" t="s">
        <v>9497</v>
      </c>
      <c r="AB3207" s="73" t="s">
        <v>9486</v>
      </c>
      <c r="AC3207" s="74" t="s">
        <v>9562</v>
      </c>
      <c r="AD3207" s="73" t="s">
        <v>9578</v>
      </c>
      <c r="AE3207" s="74" t="s">
        <v>9579</v>
      </c>
    </row>
    <row r="3208" spans="1:31" ht="8.65" customHeight="1" x14ac:dyDescent="0.2">
      <c r="A3208" s="76">
        <v>3208</v>
      </c>
      <c r="B3208" s="67" t="str">
        <f>MID(C3208, FIND("Ifc.", C3208) + 4, 4) &amp; "_" &amp; TEXT(COUNTIF($C$2:C3208, C3208),"0000")</f>
        <v>Enti_0341</v>
      </c>
      <c r="C3208" s="25" t="s">
        <v>874</v>
      </c>
      <c r="D3208" s="69" t="s">
        <v>9453</v>
      </c>
      <c r="E3208" s="70" t="s">
        <v>9457</v>
      </c>
      <c r="F3208" s="26" t="s">
        <v>798</v>
      </c>
      <c r="G3208" s="15" t="s">
        <v>798</v>
      </c>
      <c r="H3208" s="14" t="s">
        <v>798</v>
      </c>
      <c r="I3208" s="15" t="s">
        <v>798</v>
      </c>
      <c r="J3208" s="12" t="s">
        <v>9438</v>
      </c>
      <c r="K3208" s="16" t="s">
        <v>3280</v>
      </c>
      <c r="L3208" s="12" t="s">
        <v>800</v>
      </c>
      <c r="M3208" s="16" t="s">
        <v>4246</v>
      </c>
      <c r="N3208" s="19" t="s">
        <v>798</v>
      </c>
      <c r="O3208" s="20" t="s">
        <v>798</v>
      </c>
      <c r="P3208" s="17" t="s">
        <v>802</v>
      </c>
      <c r="Q3208" s="21" t="s">
        <v>8832</v>
      </c>
      <c r="R3208" s="19" t="s">
        <v>798</v>
      </c>
      <c r="S3208" s="20" t="s">
        <v>798</v>
      </c>
      <c r="T3208" s="17" t="s">
        <v>798</v>
      </c>
      <c r="U3208" s="20" t="s">
        <v>798</v>
      </c>
      <c r="V3208" s="26" t="s">
        <v>798</v>
      </c>
      <c r="W3208" s="20" t="s">
        <v>798</v>
      </c>
      <c r="X3208" s="26" t="s">
        <v>798</v>
      </c>
      <c r="Y3208" s="20" t="s">
        <v>798</v>
      </c>
      <c r="Z3208" s="69" t="s">
        <v>9486</v>
      </c>
      <c r="AA3208" s="72" t="s">
        <v>9497</v>
      </c>
      <c r="AB3208" s="73" t="s">
        <v>9486</v>
      </c>
      <c r="AC3208" s="74" t="s">
        <v>9562</v>
      </c>
      <c r="AD3208" s="73" t="s">
        <v>9578</v>
      </c>
      <c r="AE3208" s="74" t="s">
        <v>9579</v>
      </c>
    </row>
    <row r="3209" spans="1:31" ht="8.65" customHeight="1" x14ac:dyDescent="0.2">
      <c r="A3209" s="76">
        <v>3209</v>
      </c>
      <c r="B3209" s="67" t="str">
        <f>MID(C3209, FIND("Ifc.", C3209) + 4, 4) &amp; "_" &amp; TEXT(COUNTIF($C$2:C3209, C3209),"0000")</f>
        <v>Enti_0342</v>
      </c>
      <c r="C3209" s="25" t="s">
        <v>874</v>
      </c>
      <c r="D3209" s="69" t="s">
        <v>9453</v>
      </c>
      <c r="E3209" s="70" t="s">
        <v>9457</v>
      </c>
      <c r="F3209" s="26" t="s">
        <v>798</v>
      </c>
      <c r="G3209" s="15" t="s">
        <v>798</v>
      </c>
      <c r="H3209" s="14" t="s">
        <v>798</v>
      </c>
      <c r="I3209" s="15" t="s">
        <v>798</v>
      </c>
      <c r="J3209" s="12" t="s">
        <v>9438</v>
      </c>
      <c r="K3209" s="16" t="s">
        <v>3281</v>
      </c>
      <c r="L3209" s="12" t="s">
        <v>800</v>
      </c>
      <c r="M3209" s="16" t="s">
        <v>4247</v>
      </c>
      <c r="N3209" s="19" t="s">
        <v>798</v>
      </c>
      <c r="O3209" s="20" t="s">
        <v>798</v>
      </c>
      <c r="P3209" s="17" t="s">
        <v>802</v>
      </c>
      <c r="Q3209" s="21" t="s">
        <v>8833</v>
      </c>
      <c r="R3209" s="19" t="s">
        <v>798</v>
      </c>
      <c r="S3209" s="20" t="s">
        <v>798</v>
      </c>
      <c r="T3209" s="17" t="s">
        <v>798</v>
      </c>
      <c r="U3209" s="20" t="s">
        <v>798</v>
      </c>
      <c r="V3209" s="26" t="s">
        <v>798</v>
      </c>
      <c r="W3209" s="20" t="s">
        <v>798</v>
      </c>
      <c r="X3209" s="26" t="s">
        <v>798</v>
      </c>
      <c r="Y3209" s="20" t="s">
        <v>798</v>
      </c>
      <c r="Z3209" s="69" t="s">
        <v>9486</v>
      </c>
      <c r="AA3209" s="72" t="s">
        <v>9497</v>
      </c>
      <c r="AB3209" s="73" t="s">
        <v>9486</v>
      </c>
      <c r="AC3209" s="74" t="s">
        <v>9562</v>
      </c>
      <c r="AD3209" s="73" t="s">
        <v>9578</v>
      </c>
      <c r="AE3209" s="74" t="s">
        <v>9579</v>
      </c>
    </row>
    <row r="3210" spans="1:31" ht="8.65" customHeight="1" x14ac:dyDescent="0.2">
      <c r="A3210" s="76">
        <v>3210</v>
      </c>
      <c r="B3210" s="67" t="str">
        <f>MID(C3210, FIND("Ifc.", C3210) + 4, 4) &amp; "_" &amp; TEXT(COUNTIF($C$2:C3210, C3210),"0000")</f>
        <v>Enti_0343</v>
      </c>
      <c r="C3210" s="25" t="s">
        <v>874</v>
      </c>
      <c r="D3210" s="69" t="s">
        <v>9453</v>
      </c>
      <c r="E3210" s="70" t="s">
        <v>9457</v>
      </c>
      <c r="F3210" s="26" t="s">
        <v>798</v>
      </c>
      <c r="G3210" s="15" t="s">
        <v>798</v>
      </c>
      <c r="H3210" s="14" t="s">
        <v>798</v>
      </c>
      <c r="I3210" s="15" t="s">
        <v>798</v>
      </c>
      <c r="J3210" s="12" t="s">
        <v>9438</v>
      </c>
      <c r="K3210" s="16" t="s">
        <v>3282</v>
      </c>
      <c r="L3210" s="12" t="s">
        <v>800</v>
      </c>
      <c r="M3210" s="16" t="s">
        <v>4248</v>
      </c>
      <c r="N3210" s="19" t="s">
        <v>798</v>
      </c>
      <c r="O3210" s="20" t="s">
        <v>798</v>
      </c>
      <c r="P3210" s="17" t="s">
        <v>802</v>
      </c>
      <c r="Q3210" s="21" t="s">
        <v>8834</v>
      </c>
      <c r="R3210" s="19" t="s">
        <v>798</v>
      </c>
      <c r="S3210" s="20" t="s">
        <v>798</v>
      </c>
      <c r="T3210" s="17" t="s">
        <v>798</v>
      </c>
      <c r="U3210" s="20" t="s">
        <v>798</v>
      </c>
      <c r="V3210" s="26" t="s">
        <v>798</v>
      </c>
      <c r="W3210" s="20" t="s">
        <v>798</v>
      </c>
      <c r="X3210" s="26" t="s">
        <v>798</v>
      </c>
      <c r="Y3210" s="20" t="s">
        <v>798</v>
      </c>
      <c r="Z3210" s="69" t="s">
        <v>9486</v>
      </c>
      <c r="AA3210" s="72" t="s">
        <v>9497</v>
      </c>
      <c r="AB3210" s="73" t="s">
        <v>9486</v>
      </c>
      <c r="AC3210" s="74" t="s">
        <v>9562</v>
      </c>
      <c r="AD3210" s="73" t="s">
        <v>9578</v>
      </c>
      <c r="AE3210" s="74" t="s">
        <v>9579</v>
      </c>
    </row>
    <row r="3211" spans="1:31" ht="8.65" customHeight="1" x14ac:dyDescent="0.2">
      <c r="A3211" s="76">
        <v>3211</v>
      </c>
      <c r="B3211" s="67" t="str">
        <f>MID(C3211, FIND("Ifc.", C3211) + 4, 4) &amp; "_" &amp; TEXT(COUNTIF($C$2:C3211, C3211),"0000")</f>
        <v>Enti_0344</v>
      </c>
      <c r="C3211" s="25" t="s">
        <v>874</v>
      </c>
      <c r="D3211" s="69" t="s">
        <v>9453</v>
      </c>
      <c r="E3211" s="70" t="s">
        <v>9457</v>
      </c>
      <c r="F3211" s="26" t="s">
        <v>798</v>
      </c>
      <c r="G3211" s="15" t="s">
        <v>798</v>
      </c>
      <c r="H3211" s="14" t="s">
        <v>798</v>
      </c>
      <c r="I3211" s="15" t="s">
        <v>798</v>
      </c>
      <c r="J3211" s="12" t="s">
        <v>9438</v>
      </c>
      <c r="K3211" s="16" t="s">
        <v>3283</v>
      </c>
      <c r="L3211" s="12" t="s">
        <v>800</v>
      </c>
      <c r="M3211" s="16" t="s">
        <v>4249</v>
      </c>
      <c r="N3211" s="19" t="s">
        <v>798</v>
      </c>
      <c r="O3211" s="20" t="s">
        <v>798</v>
      </c>
      <c r="P3211" s="17" t="s">
        <v>802</v>
      </c>
      <c r="Q3211" s="21" t="s">
        <v>8835</v>
      </c>
      <c r="R3211" s="19" t="s">
        <v>798</v>
      </c>
      <c r="S3211" s="20" t="s">
        <v>798</v>
      </c>
      <c r="T3211" s="17" t="s">
        <v>798</v>
      </c>
      <c r="U3211" s="20" t="s">
        <v>798</v>
      </c>
      <c r="V3211" s="26" t="s">
        <v>798</v>
      </c>
      <c r="W3211" s="20" t="s">
        <v>798</v>
      </c>
      <c r="X3211" s="26" t="s">
        <v>798</v>
      </c>
      <c r="Y3211" s="20" t="s">
        <v>798</v>
      </c>
      <c r="Z3211" s="69" t="s">
        <v>9486</v>
      </c>
      <c r="AA3211" s="72" t="s">
        <v>9497</v>
      </c>
      <c r="AB3211" s="73" t="s">
        <v>9486</v>
      </c>
      <c r="AC3211" s="74" t="s">
        <v>9562</v>
      </c>
      <c r="AD3211" s="73" t="s">
        <v>9578</v>
      </c>
      <c r="AE3211" s="74" t="s">
        <v>9579</v>
      </c>
    </row>
    <row r="3212" spans="1:31" ht="8.65" customHeight="1" x14ac:dyDescent="0.2">
      <c r="A3212" s="76">
        <v>3212</v>
      </c>
      <c r="B3212" s="67" t="str">
        <f>MID(C3212, FIND("Ifc.", C3212) + 4, 4) &amp; "_" &amp; TEXT(COUNTIF($C$2:C3212, C3212),"0000")</f>
        <v>Enti_0345</v>
      </c>
      <c r="C3212" s="25" t="s">
        <v>874</v>
      </c>
      <c r="D3212" s="69" t="s">
        <v>9453</v>
      </c>
      <c r="E3212" s="70" t="s">
        <v>9457</v>
      </c>
      <c r="F3212" s="26" t="s">
        <v>798</v>
      </c>
      <c r="G3212" s="15" t="s">
        <v>798</v>
      </c>
      <c r="H3212" s="14" t="s">
        <v>798</v>
      </c>
      <c r="I3212" s="15" t="s">
        <v>798</v>
      </c>
      <c r="J3212" s="12" t="s">
        <v>9438</v>
      </c>
      <c r="K3212" s="16" t="s">
        <v>3284</v>
      </c>
      <c r="L3212" s="12" t="s">
        <v>800</v>
      </c>
      <c r="M3212" s="16" t="s">
        <v>4250</v>
      </c>
      <c r="N3212" s="19" t="s">
        <v>798</v>
      </c>
      <c r="O3212" s="20" t="s">
        <v>798</v>
      </c>
      <c r="P3212" s="17" t="s">
        <v>802</v>
      </c>
      <c r="Q3212" s="21" t="s">
        <v>8836</v>
      </c>
      <c r="R3212" s="19" t="s">
        <v>798</v>
      </c>
      <c r="S3212" s="20" t="s">
        <v>798</v>
      </c>
      <c r="T3212" s="17" t="s">
        <v>798</v>
      </c>
      <c r="U3212" s="20" t="s">
        <v>798</v>
      </c>
      <c r="V3212" s="26" t="s">
        <v>798</v>
      </c>
      <c r="W3212" s="20" t="s">
        <v>798</v>
      </c>
      <c r="X3212" s="26" t="s">
        <v>798</v>
      </c>
      <c r="Y3212" s="20" t="s">
        <v>798</v>
      </c>
      <c r="Z3212" s="69" t="s">
        <v>9486</v>
      </c>
      <c r="AA3212" s="72" t="s">
        <v>9497</v>
      </c>
      <c r="AB3212" s="73" t="s">
        <v>9486</v>
      </c>
      <c r="AC3212" s="74" t="s">
        <v>9562</v>
      </c>
      <c r="AD3212" s="73" t="s">
        <v>9578</v>
      </c>
      <c r="AE3212" s="74" t="s">
        <v>9579</v>
      </c>
    </row>
    <row r="3213" spans="1:31" ht="8.65" customHeight="1" x14ac:dyDescent="0.2">
      <c r="A3213" s="76">
        <v>3213</v>
      </c>
      <c r="B3213" s="67" t="str">
        <f>MID(C3213, FIND("Ifc.", C3213) + 4, 4) &amp; "_" &amp; TEXT(COUNTIF($C$2:C3213, C3213),"0000")</f>
        <v>Enti_0346</v>
      </c>
      <c r="C3213" s="25" t="s">
        <v>874</v>
      </c>
      <c r="D3213" s="69" t="s">
        <v>9453</v>
      </c>
      <c r="E3213" s="70" t="s">
        <v>9457</v>
      </c>
      <c r="F3213" s="26" t="s">
        <v>798</v>
      </c>
      <c r="G3213" s="15" t="s">
        <v>798</v>
      </c>
      <c r="H3213" s="14" t="s">
        <v>798</v>
      </c>
      <c r="I3213" s="15" t="s">
        <v>798</v>
      </c>
      <c r="J3213" s="12" t="s">
        <v>9438</v>
      </c>
      <c r="K3213" s="16" t="s">
        <v>3285</v>
      </c>
      <c r="L3213" s="12" t="s">
        <v>800</v>
      </c>
      <c r="M3213" s="16" t="s">
        <v>4251</v>
      </c>
      <c r="N3213" s="19" t="s">
        <v>798</v>
      </c>
      <c r="O3213" s="20" t="s">
        <v>798</v>
      </c>
      <c r="P3213" s="17" t="s">
        <v>802</v>
      </c>
      <c r="Q3213" s="21" t="s">
        <v>8837</v>
      </c>
      <c r="R3213" s="19" t="s">
        <v>798</v>
      </c>
      <c r="S3213" s="20" t="s">
        <v>798</v>
      </c>
      <c r="T3213" s="17" t="s">
        <v>798</v>
      </c>
      <c r="U3213" s="20" t="s">
        <v>798</v>
      </c>
      <c r="V3213" s="26" t="s">
        <v>798</v>
      </c>
      <c r="W3213" s="20" t="s">
        <v>798</v>
      </c>
      <c r="X3213" s="26" t="s">
        <v>798</v>
      </c>
      <c r="Y3213" s="20" t="s">
        <v>798</v>
      </c>
      <c r="Z3213" s="69" t="s">
        <v>9486</v>
      </c>
      <c r="AA3213" s="72" t="s">
        <v>9497</v>
      </c>
      <c r="AB3213" s="73" t="s">
        <v>9486</v>
      </c>
      <c r="AC3213" s="74" t="s">
        <v>9562</v>
      </c>
      <c r="AD3213" s="73" t="s">
        <v>9578</v>
      </c>
      <c r="AE3213" s="74" t="s">
        <v>9579</v>
      </c>
    </row>
    <row r="3214" spans="1:31" ht="8.65" customHeight="1" x14ac:dyDescent="0.2">
      <c r="A3214" s="76">
        <v>3214</v>
      </c>
      <c r="B3214" s="67" t="str">
        <f>MID(C3214, FIND("Ifc.", C3214) + 4, 4) &amp; "_" &amp; TEXT(COUNTIF($C$2:C3214, C3214),"0000")</f>
        <v>Enti_0347</v>
      </c>
      <c r="C3214" s="25" t="s">
        <v>874</v>
      </c>
      <c r="D3214" s="69" t="s">
        <v>9453</v>
      </c>
      <c r="E3214" s="70" t="s">
        <v>9457</v>
      </c>
      <c r="F3214" s="26" t="s">
        <v>798</v>
      </c>
      <c r="G3214" s="15" t="s">
        <v>798</v>
      </c>
      <c r="H3214" s="14" t="s">
        <v>798</v>
      </c>
      <c r="I3214" s="15" t="s">
        <v>798</v>
      </c>
      <c r="J3214" s="12" t="s">
        <v>9438</v>
      </c>
      <c r="K3214" s="16" t="s">
        <v>3286</v>
      </c>
      <c r="L3214" s="12" t="s">
        <v>800</v>
      </c>
      <c r="M3214" s="16" t="s">
        <v>4252</v>
      </c>
      <c r="N3214" s="19" t="s">
        <v>798</v>
      </c>
      <c r="O3214" s="20" t="s">
        <v>798</v>
      </c>
      <c r="P3214" s="17" t="s">
        <v>802</v>
      </c>
      <c r="Q3214" s="21" t="s">
        <v>8838</v>
      </c>
      <c r="R3214" s="19" t="s">
        <v>798</v>
      </c>
      <c r="S3214" s="20" t="s">
        <v>798</v>
      </c>
      <c r="T3214" s="17" t="s">
        <v>798</v>
      </c>
      <c r="U3214" s="20" t="s">
        <v>798</v>
      </c>
      <c r="V3214" s="26" t="s">
        <v>798</v>
      </c>
      <c r="W3214" s="20" t="s">
        <v>798</v>
      </c>
      <c r="X3214" s="26" t="s">
        <v>798</v>
      </c>
      <c r="Y3214" s="20" t="s">
        <v>798</v>
      </c>
      <c r="Z3214" s="69" t="s">
        <v>9486</v>
      </c>
      <c r="AA3214" s="72" t="s">
        <v>9497</v>
      </c>
      <c r="AB3214" s="73" t="s">
        <v>9486</v>
      </c>
      <c r="AC3214" s="74" t="s">
        <v>9562</v>
      </c>
      <c r="AD3214" s="73" t="s">
        <v>9578</v>
      </c>
      <c r="AE3214" s="74" t="s">
        <v>9579</v>
      </c>
    </row>
    <row r="3215" spans="1:31" ht="8.65" customHeight="1" x14ac:dyDescent="0.2">
      <c r="A3215" s="76">
        <v>3215</v>
      </c>
      <c r="B3215" s="67" t="str">
        <f>MID(C3215, FIND("Ifc.", C3215) + 4, 4) &amp; "_" &amp; TEXT(COUNTIF($C$2:C3215, C3215),"0000")</f>
        <v>Enti_0348</v>
      </c>
      <c r="C3215" s="25" t="s">
        <v>874</v>
      </c>
      <c r="D3215" s="69" t="s">
        <v>9453</v>
      </c>
      <c r="E3215" s="70" t="s">
        <v>9457</v>
      </c>
      <c r="F3215" s="26" t="s">
        <v>798</v>
      </c>
      <c r="G3215" s="15" t="s">
        <v>798</v>
      </c>
      <c r="H3215" s="14" t="s">
        <v>798</v>
      </c>
      <c r="I3215" s="15" t="s">
        <v>798</v>
      </c>
      <c r="J3215" s="12" t="s">
        <v>9438</v>
      </c>
      <c r="K3215" s="16" t="s">
        <v>3287</v>
      </c>
      <c r="L3215" s="12" t="s">
        <v>800</v>
      </c>
      <c r="M3215" s="16" t="s">
        <v>4253</v>
      </c>
      <c r="N3215" s="19" t="s">
        <v>798</v>
      </c>
      <c r="O3215" s="20" t="s">
        <v>798</v>
      </c>
      <c r="P3215" s="17" t="s">
        <v>802</v>
      </c>
      <c r="Q3215" s="21" t="s">
        <v>8839</v>
      </c>
      <c r="R3215" s="19" t="s">
        <v>798</v>
      </c>
      <c r="S3215" s="20" t="s">
        <v>798</v>
      </c>
      <c r="T3215" s="17" t="s">
        <v>798</v>
      </c>
      <c r="U3215" s="20" t="s">
        <v>798</v>
      </c>
      <c r="V3215" s="26" t="s">
        <v>798</v>
      </c>
      <c r="W3215" s="20" t="s">
        <v>798</v>
      </c>
      <c r="X3215" s="26" t="s">
        <v>798</v>
      </c>
      <c r="Y3215" s="20" t="s">
        <v>798</v>
      </c>
      <c r="Z3215" s="69" t="s">
        <v>9486</v>
      </c>
      <c r="AA3215" s="72" t="s">
        <v>9497</v>
      </c>
      <c r="AB3215" s="73" t="s">
        <v>9486</v>
      </c>
      <c r="AC3215" s="74" t="s">
        <v>9562</v>
      </c>
      <c r="AD3215" s="73" t="s">
        <v>9578</v>
      </c>
      <c r="AE3215" s="74" t="s">
        <v>9579</v>
      </c>
    </row>
    <row r="3216" spans="1:31" ht="8.65" customHeight="1" x14ac:dyDescent="0.2">
      <c r="A3216" s="76">
        <v>3216</v>
      </c>
      <c r="B3216" s="67" t="str">
        <f>MID(C3216, FIND("Ifc.", C3216) + 4, 4) &amp; "_" &amp; TEXT(COUNTIF($C$2:C3216, C3216),"0000")</f>
        <v>Enti_0349</v>
      </c>
      <c r="C3216" s="25" t="s">
        <v>874</v>
      </c>
      <c r="D3216" s="69" t="s">
        <v>9453</v>
      </c>
      <c r="E3216" s="70" t="s">
        <v>9457</v>
      </c>
      <c r="F3216" s="26" t="s">
        <v>798</v>
      </c>
      <c r="G3216" s="15" t="s">
        <v>798</v>
      </c>
      <c r="H3216" s="14" t="s">
        <v>798</v>
      </c>
      <c r="I3216" s="15" t="s">
        <v>798</v>
      </c>
      <c r="J3216" s="12" t="s">
        <v>9438</v>
      </c>
      <c r="K3216" s="16" t="s">
        <v>3288</v>
      </c>
      <c r="L3216" s="12" t="s">
        <v>800</v>
      </c>
      <c r="M3216" s="16" t="s">
        <v>4254</v>
      </c>
      <c r="N3216" s="19" t="s">
        <v>798</v>
      </c>
      <c r="O3216" s="20" t="s">
        <v>798</v>
      </c>
      <c r="P3216" s="17" t="s">
        <v>802</v>
      </c>
      <c r="Q3216" s="21" t="s">
        <v>8840</v>
      </c>
      <c r="R3216" s="19" t="s">
        <v>798</v>
      </c>
      <c r="S3216" s="20" t="s">
        <v>798</v>
      </c>
      <c r="T3216" s="17" t="s">
        <v>798</v>
      </c>
      <c r="U3216" s="20" t="s">
        <v>798</v>
      </c>
      <c r="V3216" s="26" t="s">
        <v>798</v>
      </c>
      <c r="W3216" s="20" t="s">
        <v>798</v>
      </c>
      <c r="X3216" s="26" t="s">
        <v>798</v>
      </c>
      <c r="Y3216" s="20" t="s">
        <v>798</v>
      </c>
      <c r="Z3216" s="69" t="s">
        <v>9486</v>
      </c>
      <c r="AA3216" s="72" t="s">
        <v>9497</v>
      </c>
      <c r="AB3216" s="73" t="s">
        <v>9486</v>
      </c>
      <c r="AC3216" s="74" t="s">
        <v>9562</v>
      </c>
      <c r="AD3216" s="73" t="s">
        <v>9578</v>
      </c>
      <c r="AE3216" s="74" t="s">
        <v>9579</v>
      </c>
    </row>
    <row r="3217" spans="1:31" ht="8.65" customHeight="1" x14ac:dyDescent="0.2">
      <c r="A3217" s="76">
        <v>3217</v>
      </c>
      <c r="B3217" s="67" t="str">
        <f>MID(C3217, FIND("Ifc.", C3217) + 4, 4) &amp; "_" &amp; TEXT(COUNTIF($C$2:C3217, C3217),"0000")</f>
        <v>Enti_0350</v>
      </c>
      <c r="C3217" s="25" t="s">
        <v>874</v>
      </c>
      <c r="D3217" s="69" t="s">
        <v>9453</v>
      </c>
      <c r="E3217" s="70" t="s">
        <v>9457</v>
      </c>
      <c r="F3217" s="26" t="s">
        <v>798</v>
      </c>
      <c r="G3217" s="15" t="s">
        <v>798</v>
      </c>
      <c r="H3217" s="14" t="s">
        <v>798</v>
      </c>
      <c r="I3217" s="15" t="s">
        <v>798</v>
      </c>
      <c r="J3217" s="12" t="s">
        <v>9438</v>
      </c>
      <c r="K3217" s="16" t="s">
        <v>3289</v>
      </c>
      <c r="L3217" s="12" t="s">
        <v>800</v>
      </c>
      <c r="M3217" s="16" t="s">
        <v>4255</v>
      </c>
      <c r="N3217" s="19" t="s">
        <v>798</v>
      </c>
      <c r="O3217" s="20" t="s">
        <v>798</v>
      </c>
      <c r="P3217" s="17" t="s">
        <v>802</v>
      </c>
      <c r="Q3217" s="21" t="s">
        <v>8841</v>
      </c>
      <c r="R3217" s="19" t="s">
        <v>798</v>
      </c>
      <c r="S3217" s="20" t="s">
        <v>798</v>
      </c>
      <c r="T3217" s="17" t="s">
        <v>798</v>
      </c>
      <c r="U3217" s="20" t="s">
        <v>798</v>
      </c>
      <c r="V3217" s="26" t="s">
        <v>798</v>
      </c>
      <c r="W3217" s="20" t="s">
        <v>798</v>
      </c>
      <c r="X3217" s="26" t="s">
        <v>798</v>
      </c>
      <c r="Y3217" s="20" t="s">
        <v>798</v>
      </c>
      <c r="Z3217" s="69" t="s">
        <v>9486</v>
      </c>
      <c r="AA3217" s="72" t="s">
        <v>9497</v>
      </c>
      <c r="AB3217" s="73" t="s">
        <v>9486</v>
      </c>
      <c r="AC3217" s="74" t="s">
        <v>9562</v>
      </c>
      <c r="AD3217" s="73" t="s">
        <v>9578</v>
      </c>
      <c r="AE3217" s="74" t="s">
        <v>9579</v>
      </c>
    </row>
    <row r="3218" spans="1:31" ht="8.65" customHeight="1" x14ac:dyDescent="0.2">
      <c r="A3218" s="76">
        <v>3218</v>
      </c>
      <c r="B3218" s="67" t="str">
        <f>MID(C3218, FIND("Ifc.", C3218) + 4, 4) &amp; "_" &amp; TEXT(COUNTIF($C$2:C3218, C3218),"0000")</f>
        <v>Enti_0351</v>
      </c>
      <c r="C3218" s="25" t="s">
        <v>874</v>
      </c>
      <c r="D3218" s="69" t="s">
        <v>9453</v>
      </c>
      <c r="E3218" s="70" t="s">
        <v>9457</v>
      </c>
      <c r="F3218" s="26" t="s">
        <v>798</v>
      </c>
      <c r="G3218" s="15" t="s">
        <v>798</v>
      </c>
      <c r="H3218" s="14" t="s">
        <v>798</v>
      </c>
      <c r="I3218" s="15" t="s">
        <v>798</v>
      </c>
      <c r="J3218" s="12" t="s">
        <v>9438</v>
      </c>
      <c r="K3218" s="16" t="s">
        <v>3290</v>
      </c>
      <c r="L3218" s="12" t="s">
        <v>800</v>
      </c>
      <c r="M3218" s="16" t="s">
        <v>4256</v>
      </c>
      <c r="N3218" s="19" t="s">
        <v>798</v>
      </c>
      <c r="O3218" s="20" t="s">
        <v>798</v>
      </c>
      <c r="P3218" s="17" t="s">
        <v>802</v>
      </c>
      <c r="Q3218" s="21" t="s">
        <v>8842</v>
      </c>
      <c r="R3218" s="19" t="s">
        <v>798</v>
      </c>
      <c r="S3218" s="20" t="s">
        <v>798</v>
      </c>
      <c r="T3218" s="17" t="s">
        <v>798</v>
      </c>
      <c r="U3218" s="20" t="s">
        <v>798</v>
      </c>
      <c r="V3218" s="26" t="s">
        <v>798</v>
      </c>
      <c r="W3218" s="20" t="s">
        <v>798</v>
      </c>
      <c r="X3218" s="26" t="s">
        <v>798</v>
      </c>
      <c r="Y3218" s="20" t="s">
        <v>798</v>
      </c>
      <c r="Z3218" s="69" t="s">
        <v>9486</v>
      </c>
      <c r="AA3218" s="72" t="s">
        <v>9497</v>
      </c>
      <c r="AB3218" s="73" t="s">
        <v>9486</v>
      </c>
      <c r="AC3218" s="74" t="s">
        <v>9562</v>
      </c>
      <c r="AD3218" s="73" t="s">
        <v>9578</v>
      </c>
      <c r="AE3218" s="74" t="s">
        <v>9579</v>
      </c>
    </row>
    <row r="3219" spans="1:31" ht="8.65" customHeight="1" x14ac:dyDescent="0.2">
      <c r="A3219" s="76">
        <v>3219</v>
      </c>
      <c r="B3219" s="67" t="str">
        <f>MID(C3219, FIND("Ifc.", C3219) + 4, 4) &amp; "_" &amp; TEXT(COUNTIF($C$2:C3219, C3219),"0000")</f>
        <v>Enti_0352</v>
      </c>
      <c r="C3219" s="25" t="s">
        <v>874</v>
      </c>
      <c r="D3219" s="69" t="s">
        <v>9453</v>
      </c>
      <c r="E3219" s="70" t="s">
        <v>9457</v>
      </c>
      <c r="F3219" s="26" t="s">
        <v>798</v>
      </c>
      <c r="G3219" s="15" t="s">
        <v>798</v>
      </c>
      <c r="H3219" s="14" t="s">
        <v>798</v>
      </c>
      <c r="I3219" s="15" t="s">
        <v>798</v>
      </c>
      <c r="J3219" s="12" t="s">
        <v>9438</v>
      </c>
      <c r="K3219" s="16" t="s">
        <v>3291</v>
      </c>
      <c r="L3219" s="12" t="s">
        <v>800</v>
      </c>
      <c r="M3219" s="16" t="s">
        <v>4257</v>
      </c>
      <c r="N3219" s="19" t="s">
        <v>798</v>
      </c>
      <c r="O3219" s="20" t="s">
        <v>798</v>
      </c>
      <c r="P3219" s="17" t="s">
        <v>802</v>
      </c>
      <c r="Q3219" s="21" t="s">
        <v>8843</v>
      </c>
      <c r="R3219" s="19" t="s">
        <v>798</v>
      </c>
      <c r="S3219" s="20" t="s">
        <v>798</v>
      </c>
      <c r="T3219" s="17" t="s">
        <v>798</v>
      </c>
      <c r="U3219" s="20" t="s">
        <v>798</v>
      </c>
      <c r="V3219" s="26" t="s">
        <v>798</v>
      </c>
      <c r="W3219" s="20" t="s">
        <v>798</v>
      </c>
      <c r="X3219" s="26" t="s">
        <v>798</v>
      </c>
      <c r="Y3219" s="20" t="s">
        <v>798</v>
      </c>
      <c r="Z3219" s="69" t="s">
        <v>9486</v>
      </c>
      <c r="AA3219" s="72" t="s">
        <v>9497</v>
      </c>
      <c r="AB3219" s="73" t="s">
        <v>9486</v>
      </c>
      <c r="AC3219" s="74" t="s">
        <v>9562</v>
      </c>
      <c r="AD3219" s="73" t="s">
        <v>9578</v>
      </c>
      <c r="AE3219" s="74" t="s">
        <v>9579</v>
      </c>
    </row>
    <row r="3220" spans="1:31" ht="8.65" customHeight="1" x14ac:dyDescent="0.2">
      <c r="A3220" s="76">
        <v>3220</v>
      </c>
      <c r="B3220" s="67" t="str">
        <f>MID(C3220, FIND("Ifc.", C3220) + 4, 4) &amp; "_" &amp; TEXT(COUNTIF($C$2:C3220, C3220),"0000")</f>
        <v>Enti_0353</v>
      </c>
      <c r="C3220" s="25" t="s">
        <v>874</v>
      </c>
      <c r="D3220" s="69" t="s">
        <v>9453</v>
      </c>
      <c r="E3220" s="70" t="s">
        <v>9457</v>
      </c>
      <c r="F3220" s="26" t="s">
        <v>798</v>
      </c>
      <c r="G3220" s="15" t="s">
        <v>798</v>
      </c>
      <c r="H3220" s="14" t="s">
        <v>798</v>
      </c>
      <c r="I3220" s="15" t="s">
        <v>798</v>
      </c>
      <c r="J3220" s="12" t="s">
        <v>9438</v>
      </c>
      <c r="K3220" s="16" t="s">
        <v>3292</v>
      </c>
      <c r="L3220" s="12" t="s">
        <v>800</v>
      </c>
      <c r="M3220" s="16" t="s">
        <v>4258</v>
      </c>
      <c r="N3220" s="19" t="s">
        <v>798</v>
      </c>
      <c r="O3220" s="20" t="s">
        <v>798</v>
      </c>
      <c r="P3220" s="17" t="s">
        <v>802</v>
      </c>
      <c r="Q3220" s="21" t="s">
        <v>8844</v>
      </c>
      <c r="R3220" s="19" t="s">
        <v>798</v>
      </c>
      <c r="S3220" s="20" t="s">
        <v>798</v>
      </c>
      <c r="T3220" s="17" t="s">
        <v>798</v>
      </c>
      <c r="U3220" s="20" t="s">
        <v>798</v>
      </c>
      <c r="V3220" s="26" t="s">
        <v>798</v>
      </c>
      <c r="W3220" s="20" t="s">
        <v>798</v>
      </c>
      <c r="X3220" s="26" t="s">
        <v>798</v>
      </c>
      <c r="Y3220" s="20" t="s">
        <v>798</v>
      </c>
      <c r="Z3220" s="69" t="s">
        <v>9486</v>
      </c>
      <c r="AA3220" s="72" t="s">
        <v>9497</v>
      </c>
      <c r="AB3220" s="73" t="s">
        <v>9486</v>
      </c>
      <c r="AC3220" s="74" t="s">
        <v>9562</v>
      </c>
      <c r="AD3220" s="73" t="s">
        <v>9578</v>
      </c>
      <c r="AE3220" s="74" t="s">
        <v>9579</v>
      </c>
    </row>
    <row r="3221" spans="1:31" ht="8.65" customHeight="1" x14ac:dyDescent="0.2">
      <c r="A3221" s="76">
        <v>3221</v>
      </c>
      <c r="B3221" s="67" t="str">
        <f>MID(C3221, FIND("Ifc.", C3221) + 4, 4) &amp; "_" &amp; TEXT(COUNTIF($C$2:C3221, C3221),"0000")</f>
        <v>Enti_0354</v>
      </c>
      <c r="C3221" s="25" t="s">
        <v>874</v>
      </c>
      <c r="D3221" s="69" t="s">
        <v>9453</v>
      </c>
      <c r="E3221" s="70" t="s">
        <v>9457</v>
      </c>
      <c r="F3221" s="26" t="s">
        <v>798</v>
      </c>
      <c r="G3221" s="15" t="s">
        <v>798</v>
      </c>
      <c r="H3221" s="14" t="s">
        <v>798</v>
      </c>
      <c r="I3221" s="15" t="s">
        <v>798</v>
      </c>
      <c r="J3221" s="12" t="s">
        <v>9438</v>
      </c>
      <c r="K3221" s="16" t="s">
        <v>3293</v>
      </c>
      <c r="L3221" s="12" t="s">
        <v>800</v>
      </c>
      <c r="M3221" s="16" t="s">
        <v>4259</v>
      </c>
      <c r="N3221" s="19" t="s">
        <v>798</v>
      </c>
      <c r="O3221" s="20" t="s">
        <v>798</v>
      </c>
      <c r="P3221" s="17" t="s">
        <v>802</v>
      </c>
      <c r="Q3221" s="21" t="s">
        <v>8845</v>
      </c>
      <c r="R3221" s="19" t="s">
        <v>798</v>
      </c>
      <c r="S3221" s="20" t="s">
        <v>798</v>
      </c>
      <c r="T3221" s="17" t="s">
        <v>798</v>
      </c>
      <c r="U3221" s="20" t="s">
        <v>798</v>
      </c>
      <c r="V3221" s="26" t="s">
        <v>798</v>
      </c>
      <c r="W3221" s="20" t="s">
        <v>798</v>
      </c>
      <c r="X3221" s="26" t="s">
        <v>798</v>
      </c>
      <c r="Y3221" s="20" t="s">
        <v>798</v>
      </c>
      <c r="Z3221" s="69" t="s">
        <v>9486</v>
      </c>
      <c r="AA3221" s="72" t="s">
        <v>9497</v>
      </c>
      <c r="AB3221" s="73" t="s">
        <v>9486</v>
      </c>
      <c r="AC3221" s="74" t="s">
        <v>9562</v>
      </c>
      <c r="AD3221" s="73" t="s">
        <v>9578</v>
      </c>
      <c r="AE3221" s="74" t="s">
        <v>9579</v>
      </c>
    </row>
    <row r="3222" spans="1:31" ht="8.65" customHeight="1" x14ac:dyDescent="0.2">
      <c r="A3222" s="76">
        <v>3222</v>
      </c>
      <c r="B3222" s="67" t="str">
        <f>MID(C3222, FIND("Ifc.", C3222) + 4, 4) &amp; "_" &amp; TEXT(COUNTIF($C$2:C3222, C3222),"0000")</f>
        <v>Enti_0355</v>
      </c>
      <c r="C3222" s="25" t="s">
        <v>874</v>
      </c>
      <c r="D3222" s="69" t="s">
        <v>9453</v>
      </c>
      <c r="E3222" s="70" t="s">
        <v>9457</v>
      </c>
      <c r="F3222" s="26" t="s">
        <v>798</v>
      </c>
      <c r="G3222" s="15" t="s">
        <v>798</v>
      </c>
      <c r="H3222" s="14" t="s">
        <v>798</v>
      </c>
      <c r="I3222" s="15" t="s">
        <v>798</v>
      </c>
      <c r="J3222" s="12" t="s">
        <v>9438</v>
      </c>
      <c r="K3222" s="16" t="s">
        <v>3294</v>
      </c>
      <c r="L3222" s="12" t="s">
        <v>800</v>
      </c>
      <c r="M3222" s="16" t="s">
        <v>4260</v>
      </c>
      <c r="N3222" s="19" t="s">
        <v>798</v>
      </c>
      <c r="O3222" s="20" t="s">
        <v>798</v>
      </c>
      <c r="P3222" s="17" t="s">
        <v>802</v>
      </c>
      <c r="Q3222" s="21" t="s">
        <v>8846</v>
      </c>
      <c r="R3222" s="19" t="s">
        <v>798</v>
      </c>
      <c r="S3222" s="20" t="s">
        <v>798</v>
      </c>
      <c r="T3222" s="17" t="s">
        <v>798</v>
      </c>
      <c r="U3222" s="20" t="s">
        <v>798</v>
      </c>
      <c r="V3222" s="26" t="s">
        <v>798</v>
      </c>
      <c r="W3222" s="20" t="s">
        <v>798</v>
      </c>
      <c r="X3222" s="26" t="s">
        <v>798</v>
      </c>
      <c r="Y3222" s="20" t="s">
        <v>798</v>
      </c>
      <c r="Z3222" s="69" t="s">
        <v>9486</v>
      </c>
      <c r="AA3222" s="72" t="s">
        <v>9497</v>
      </c>
      <c r="AB3222" s="73" t="s">
        <v>9486</v>
      </c>
      <c r="AC3222" s="74" t="s">
        <v>9562</v>
      </c>
      <c r="AD3222" s="73" t="s">
        <v>9578</v>
      </c>
      <c r="AE3222" s="74" t="s">
        <v>9579</v>
      </c>
    </row>
    <row r="3223" spans="1:31" ht="8.65" customHeight="1" x14ac:dyDescent="0.2">
      <c r="A3223" s="76">
        <v>3223</v>
      </c>
      <c r="B3223" s="67" t="str">
        <f>MID(C3223, FIND("Ifc.", C3223) + 4, 4) &amp; "_" &amp; TEXT(COUNTIF($C$2:C3223, C3223),"0000")</f>
        <v>Enti_0356</v>
      </c>
      <c r="C3223" s="25" t="s">
        <v>874</v>
      </c>
      <c r="D3223" s="69" t="s">
        <v>9453</v>
      </c>
      <c r="E3223" s="70" t="s">
        <v>9457</v>
      </c>
      <c r="F3223" s="26" t="s">
        <v>798</v>
      </c>
      <c r="G3223" s="15" t="s">
        <v>798</v>
      </c>
      <c r="H3223" s="14" t="s">
        <v>798</v>
      </c>
      <c r="I3223" s="15" t="s">
        <v>798</v>
      </c>
      <c r="J3223" s="12" t="s">
        <v>9438</v>
      </c>
      <c r="K3223" s="16" t="s">
        <v>3295</v>
      </c>
      <c r="L3223" s="12" t="s">
        <v>800</v>
      </c>
      <c r="M3223" s="16" t="s">
        <v>4261</v>
      </c>
      <c r="N3223" s="19" t="s">
        <v>798</v>
      </c>
      <c r="O3223" s="20" t="s">
        <v>798</v>
      </c>
      <c r="P3223" s="17" t="s">
        <v>802</v>
      </c>
      <c r="Q3223" s="21" t="s">
        <v>8847</v>
      </c>
      <c r="R3223" s="19" t="s">
        <v>798</v>
      </c>
      <c r="S3223" s="20" t="s">
        <v>798</v>
      </c>
      <c r="T3223" s="17" t="s">
        <v>798</v>
      </c>
      <c r="U3223" s="20" t="s">
        <v>798</v>
      </c>
      <c r="V3223" s="26" t="s">
        <v>798</v>
      </c>
      <c r="W3223" s="20" t="s">
        <v>798</v>
      </c>
      <c r="X3223" s="26" t="s">
        <v>798</v>
      </c>
      <c r="Y3223" s="20" t="s">
        <v>798</v>
      </c>
      <c r="Z3223" s="69" t="s">
        <v>9486</v>
      </c>
      <c r="AA3223" s="72" t="s">
        <v>9497</v>
      </c>
      <c r="AB3223" s="73" t="s">
        <v>9486</v>
      </c>
      <c r="AC3223" s="74" t="s">
        <v>9562</v>
      </c>
      <c r="AD3223" s="73" t="s">
        <v>9578</v>
      </c>
      <c r="AE3223" s="74" t="s">
        <v>9579</v>
      </c>
    </row>
    <row r="3224" spans="1:31" ht="8.65" customHeight="1" x14ac:dyDescent="0.2">
      <c r="A3224" s="76">
        <v>3224</v>
      </c>
      <c r="B3224" s="67" t="str">
        <f>MID(C3224, FIND("Ifc.", C3224) + 4, 4) &amp; "_" &amp; TEXT(COUNTIF($C$2:C3224, C3224),"0000")</f>
        <v>Enti_0357</v>
      </c>
      <c r="C3224" s="25" t="s">
        <v>874</v>
      </c>
      <c r="D3224" s="69" t="s">
        <v>9453</v>
      </c>
      <c r="E3224" s="70" t="s">
        <v>9457</v>
      </c>
      <c r="F3224" s="26" t="s">
        <v>798</v>
      </c>
      <c r="G3224" s="15" t="s">
        <v>798</v>
      </c>
      <c r="H3224" s="14" t="s">
        <v>798</v>
      </c>
      <c r="I3224" s="15" t="s">
        <v>798</v>
      </c>
      <c r="J3224" s="12" t="s">
        <v>9438</v>
      </c>
      <c r="K3224" s="16" t="s">
        <v>3296</v>
      </c>
      <c r="L3224" s="12" t="s">
        <v>800</v>
      </c>
      <c r="M3224" s="16" t="s">
        <v>4262</v>
      </c>
      <c r="N3224" s="19" t="s">
        <v>798</v>
      </c>
      <c r="O3224" s="20" t="s">
        <v>798</v>
      </c>
      <c r="P3224" s="17" t="s">
        <v>802</v>
      </c>
      <c r="Q3224" s="21" t="s">
        <v>8848</v>
      </c>
      <c r="R3224" s="19" t="s">
        <v>798</v>
      </c>
      <c r="S3224" s="20" t="s">
        <v>798</v>
      </c>
      <c r="T3224" s="17" t="s">
        <v>798</v>
      </c>
      <c r="U3224" s="20" t="s">
        <v>798</v>
      </c>
      <c r="V3224" s="26" t="s">
        <v>798</v>
      </c>
      <c r="W3224" s="20" t="s">
        <v>798</v>
      </c>
      <c r="X3224" s="26" t="s">
        <v>798</v>
      </c>
      <c r="Y3224" s="20" t="s">
        <v>798</v>
      </c>
      <c r="Z3224" s="69" t="s">
        <v>9486</v>
      </c>
      <c r="AA3224" s="72" t="s">
        <v>9497</v>
      </c>
      <c r="AB3224" s="73" t="s">
        <v>9486</v>
      </c>
      <c r="AC3224" s="74" t="s">
        <v>9562</v>
      </c>
      <c r="AD3224" s="73" t="s">
        <v>9578</v>
      </c>
      <c r="AE3224" s="74" t="s">
        <v>9579</v>
      </c>
    </row>
    <row r="3225" spans="1:31" ht="8.65" customHeight="1" x14ac:dyDescent="0.2">
      <c r="A3225" s="76">
        <v>3225</v>
      </c>
      <c r="B3225" s="67" t="str">
        <f>MID(C3225, FIND("Ifc.", C3225) + 4, 4) &amp; "_" &amp; TEXT(COUNTIF($C$2:C3225, C3225),"0000")</f>
        <v>Enti_0358</v>
      </c>
      <c r="C3225" s="25" t="s">
        <v>874</v>
      </c>
      <c r="D3225" s="69" t="s">
        <v>9453</v>
      </c>
      <c r="E3225" s="70" t="s">
        <v>9457</v>
      </c>
      <c r="F3225" s="26" t="s">
        <v>798</v>
      </c>
      <c r="G3225" s="15" t="s">
        <v>798</v>
      </c>
      <c r="H3225" s="14" t="s">
        <v>798</v>
      </c>
      <c r="I3225" s="15" t="s">
        <v>798</v>
      </c>
      <c r="J3225" s="12" t="s">
        <v>9438</v>
      </c>
      <c r="K3225" s="16" t="s">
        <v>3297</v>
      </c>
      <c r="L3225" s="12" t="s">
        <v>800</v>
      </c>
      <c r="M3225" s="16" t="s">
        <v>4263</v>
      </c>
      <c r="N3225" s="19" t="s">
        <v>798</v>
      </c>
      <c r="O3225" s="20" t="s">
        <v>798</v>
      </c>
      <c r="P3225" s="17" t="s">
        <v>802</v>
      </c>
      <c r="Q3225" s="21" t="s">
        <v>8849</v>
      </c>
      <c r="R3225" s="19" t="s">
        <v>798</v>
      </c>
      <c r="S3225" s="20" t="s">
        <v>798</v>
      </c>
      <c r="T3225" s="17" t="s">
        <v>798</v>
      </c>
      <c r="U3225" s="20" t="s">
        <v>798</v>
      </c>
      <c r="V3225" s="26" t="s">
        <v>798</v>
      </c>
      <c r="W3225" s="20" t="s">
        <v>798</v>
      </c>
      <c r="X3225" s="26" t="s">
        <v>798</v>
      </c>
      <c r="Y3225" s="20" t="s">
        <v>798</v>
      </c>
      <c r="Z3225" s="69" t="s">
        <v>9486</v>
      </c>
      <c r="AA3225" s="72" t="s">
        <v>9497</v>
      </c>
      <c r="AB3225" s="73" t="s">
        <v>9486</v>
      </c>
      <c r="AC3225" s="74" t="s">
        <v>9562</v>
      </c>
      <c r="AD3225" s="73" t="s">
        <v>9578</v>
      </c>
      <c r="AE3225" s="74" t="s">
        <v>9579</v>
      </c>
    </row>
    <row r="3226" spans="1:31" ht="8.65" customHeight="1" x14ac:dyDescent="0.2">
      <c r="A3226" s="76">
        <v>3226</v>
      </c>
      <c r="B3226" s="67" t="str">
        <f>MID(C3226, FIND("Ifc.", C3226) + 4, 4) &amp; "_" &amp; TEXT(COUNTIF($C$2:C3226, C3226),"0000")</f>
        <v>Enti_0359</v>
      </c>
      <c r="C3226" s="25" t="s">
        <v>874</v>
      </c>
      <c r="D3226" s="69" t="s">
        <v>9453</v>
      </c>
      <c r="E3226" s="70" t="s">
        <v>9457</v>
      </c>
      <c r="F3226" s="26" t="s">
        <v>798</v>
      </c>
      <c r="G3226" s="15" t="s">
        <v>798</v>
      </c>
      <c r="H3226" s="14" t="s">
        <v>798</v>
      </c>
      <c r="I3226" s="15" t="s">
        <v>798</v>
      </c>
      <c r="J3226" s="12" t="s">
        <v>9438</v>
      </c>
      <c r="K3226" s="16" t="s">
        <v>3298</v>
      </c>
      <c r="L3226" s="12" t="s">
        <v>800</v>
      </c>
      <c r="M3226" s="16" t="s">
        <v>4264</v>
      </c>
      <c r="N3226" s="19" t="s">
        <v>798</v>
      </c>
      <c r="O3226" s="20" t="s">
        <v>798</v>
      </c>
      <c r="P3226" s="17" t="s">
        <v>802</v>
      </c>
      <c r="Q3226" s="21" t="s">
        <v>8850</v>
      </c>
      <c r="R3226" s="19" t="s">
        <v>798</v>
      </c>
      <c r="S3226" s="20" t="s">
        <v>798</v>
      </c>
      <c r="T3226" s="17" t="s">
        <v>798</v>
      </c>
      <c r="U3226" s="20" t="s">
        <v>798</v>
      </c>
      <c r="V3226" s="26" t="s">
        <v>798</v>
      </c>
      <c r="W3226" s="20" t="s">
        <v>798</v>
      </c>
      <c r="X3226" s="26" t="s">
        <v>798</v>
      </c>
      <c r="Y3226" s="20" t="s">
        <v>798</v>
      </c>
      <c r="Z3226" s="69" t="s">
        <v>9486</v>
      </c>
      <c r="AA3226" s="72" t="s">
        <v>9497</v>
      </c>
      <c r="AB3226" s="73" t="s">
        <v>9486</v>
      </c>
      <c r="AC3226" s="74" t="s">
        <v>9562</v>
      </c>
      <c r="AD3226" s="73" t="s">
        <v>9578</v>
      </c>
      <c r="AE3226" s="74" t="s">
        <v>9579</v>
      </c>
    </row>
    <row r="3227" spans="1:31" ht="8.65" customHeight="1" x14ac:dyDescent="0.2">
      <c r="A3227" s="76">
        <v>3227</v>
      </c>
      <c r="B3227" s="67" t="str">
        <f>MID(C3227, FIND("Ifc.", C3227) + 4, 4) &amp; "_" &amp; TEXT(COUNTIF($C$2:C3227, C3227),"0000")</f>
        <v>Enti_0360</v>
      </c>
      <c r="C3227" s="25" t="s">
        <v>874</v>
      </c>
      <c r="D3227" s="69" t="s">
        <v>9453</v>
      </c>
      <c r="E3227" s="70" t="s">
        <v>9457</v>
      </c>
      <c r="F3227" s="26" t="s">
        <v>798</v>
      </c>
      <c r="G3227" s="15" t="s">
        <v>798</v>
      </c>
      <c r="H3227" s="14" t="s">
        <v>798</v>
      </c>
      <c r="I3227" s="15" t="s">
        <v>798</v>
      </c>
      <c r="J3227" s="12" t="s">
        <v>9438</v>
      </c>
      <c r="K3227" s="16" t="s">
        <v>3299</v>
      </c>
      <c r="L3227" s="12" t="s">
        <v>800</v>
      </c>
      <c r="M3227" s="16" t="s">
        <v>4265</v>
      </c>
      <c r="N3227" s="19" t="s">
        <v>798</v>
      </c>
      <c r="O3227" s="20" t="s">
        <v>798</v>
      </c>
      <c r="P3227" s="17" t="s">
        <v>802</v>
      </c>
      <c r="Q3227" s="21" t="s">
        <v>8851</v>
      </c>
      <c r="R3227" s="19" t="s">
        <v>798</v>
      </c>
      <c r="S3227" s="20" t="s">
        <v>798</v>
      </c>
      <c r="T3227" s="17" t="s">
        <v>798</v>
      </c>
      <c r="U3227" s="20" t="s">
        <v>798</v>
      </c>
      <c r="V3227" s="26" t="s">
        <v>798</v>
      </c>
      <c r="W3227" s="20" t="s">
        <v>798</v>
      </c>
      <c r="X3227" s="26" t="s">
        <v>798</v>
      </c>
      <c r="Y3227" s="20" t="s">
        <v>798</v>
      </c>
      <c r="Z3227" s="69" t="s">
        <v>9486</v>
      </c>
      <c r="AA3227" s="72" t="s">
        <v>9497</v>
      </c>
      <c r="AB3227" s="73" t="s">
        <v>9486</v>
      </c>
      <c r="AC3227" s="74" t="s">
        <v>9562</v>
      </c>
      <c r="AD3227" s="73" t="s">
        <v>9578</v>
      </c>
      <c r="AE3227" s="74" t="s">
        <v>9579</v>
      </c>
    </row>
    <row r="3228" spans="1:31" ht="8.65" customHeight="1" x14ac:dyDescent="0.2">
      <c r="A3228" s="76">
        <v>3228</v>
      </c>
      <c r="B3228" s="67" t="str">
        <f>MID(C3228, FIND("Ifc.", C3228) + 4, 4) &amp; "_" &amp; TEXT(COUNTIF($C$2:C3228, C3228),"0000")</f>
        <v>Enti_0361</v>
      </c>
      <c r="C3228" s="25" t="s">
        <v>874</v>
      </c>
      <c r="D3228" s="69" t="s">
        <v>9453</v>
      </c>
      <c r="E3228" s="70" t="s">
        <v>9457</v>
      </c>
      <c r="F3228" s="26" t="s">
        <v>798</v>
      </c>
      <c r="G3228" s="15" t="s">
        <v>798</v>
      </c>
      <c r="H3228" s="14" t="s">
        <v>798</v>
      </c>
      <c r="I3228" s="15" t="s">
        <v>798</v>
      </c>
      <c r="J3228" s="12" t="s">
        <v>9438</v>
      </c>
      <c r="K3228" s="16" t="s">
        <v>3300</v>
      </c>
      <c r="L3228" s="12" t="s">
        <v>800</v>
      </c>
      <c r="M3228" s="16" t="s">
        <v>4266</v>
      </c>
      <c r="N3228" s="19" t="s">
        <v>798</v>
      </c>
      <c r="O3228" s="20" t="s">
        <v>798</v>
      </c>
      <c r="P3228" s="17" t="s">
        <v>802</v>
      </c>
      <c r="Q3228" s="21" t="s">
        <v>8852</v>
      </c>
      <c r="R3228" s="19" t="s">
        <v>798</v>
      </c>
      <c r="S3228" s="20" t="s">
        <v>798</v>
      </c>
      <c r="T3228" s="17" t="s">
        <v>798</v>
      </c>
      <c r="U3228" s="20" t="s">
        <v>798</v>
      </c>
      <c r="V3228" s="26" t="s">
        <v>798</v>
      </c>
      <c r="W3228" s="20" t="s">
        <v>798</v>
      </c>
      <c r="X3228" s="26" t="s">
        <v>798</v>
      </c>
      <c r="Y3228" s="20" t="s">
        <v>798</v>
      </c>
      <c r="Z3228" s="69" t="s">
        <v>9486</v>
      </c>
      <c r="AA3228" s="72" t="s">
        <v>9497</v>
      </c>
      <c r="AB3228" s="73" t="s">
        <v>9486</v>
      </c>
      <c r="AC3228" s="74" t="s">
        <v>9562</v>
      </c>
      <c r="AD3228" s="73" t="s">
        <v>9578</v>
      </c>
      <c r="AE3228" s="74" t="s">
        <v>9579</v>
      </c>
    </row>
    <row r="3229" spans="1:31" ht="8.65" customHeight="1" x14ac:dyDescent="0.2">
      <c r="A3229" s="76">
        <v>3229</v>
      </c>
      <c r="B3229" s="67" t="str">
        <f>MID(C3229, FIND("Ifc.", C3229) + 4, 4) &amp; "_" &amp; TEXT(COUNTIF($C$2:C3229, C3229),"0000")</f>
        <v>Enti_0362</v>
      </c>
      <c r="C3229" s="25" t="s">
        <v>874</v>
      </c>
      <c r="D3229" s="69" t="s">
        <v>9453</v>
      </c>
      <c r="E3229" s="70" t="s">
        <v>9457</v>
      </c>
      <c r="F3229" s="26" t="s">
        <v>798</v>
      </c>
      <c r="G3229" s="15" t="s">
        <v>798</v>
      </c>
      <c r="H3229" s="14" t="s">
        <v>798</v>
      </c>
      <c r="I3229" s="15" t="s">
        <v>798</v>
      </c>
      <c r="J3229" s="12" t="s">
        <v>9438</v>
      </c>
      <c r="K3229" s="16" t="s">
        <v>3301</v>
      </c>
      <c r="L3229" s="12" t="s">
        <v>800</v>
      </c>
      <c r="M3229" s="16" t="s">
        <v>4267</v>
      </c>
      <c r="N3229" s="19" t="s">
        <v>798</v>
      </c>
      <c r="O3229" s="20" t="s">
        <v>798</v>
      </c>
      <c r="P3229" s="17" t="s">
        <v>802</v>
      </c>
      <c r="Q3229" s="21" t="s">
        <v>8853</v>
      </c>
      <c r="R3229" s="19" t="s">
        <v>798</v>
      </c>
      <c r="S3229" s="20" t="s">
        <v>798</v>
      </c>
      <c r="T3229" s="17" t="s">
        <v>798</v>
      </c>
      <c r="U3229" s="20" t="s">
        <v>798</v>
      </c>
      <c r="V3229" s="26" t="s">
        <v>798</v>
      </c>
      <c r="W3229" s="20" t="s">
        <v>798</v>
      </c>
      <c r="X3229" s="26" t="s">
        <v>798</v>
      </c>
      <c r="Y3229" s="20" t="s">
        <v>798</v>
      </c>
      <c r="Z3229" s="69" t="s">
        <v>9486</v>
      </c>
      <c r="AA3229" s="72" t="s">
        <v>9497</v>
      </c>
      <c r="AB3229" s="73" t="s">
        <v>9486</v>
      </c>
      <c r="AC3229" s="74" t="s">
        <v>9562</v>
      </c>
      <c r="AD3229" s="73" t="s">
        <v>9578</v>
      </c>
      <c r="AE3229" s="74" t="s">
        <v>9579</v>
      </c>
    </row>
    <row r="3230" spans="1:31" ht="8.65" customHeight="1" x14ac:dyDescent="0.2">
      <c r="A3230" s="76">
        <v>3230</v>
      </c>
      <c r="B3230" s="67" t="str">
        <f>MID(C3230, FIND("Ifc.", C3230) + 4, 4) &amp; "_" &amp; TEXT(COUNTIF($C$2:C3230, C3230),"0000")</f>
        <v>Enti_0363</v>
      </c>
      <c r="C3230" s="25" t="s">
        <v>874</v>
      </c>
      <c r="D3230" s="69" t="s">
        <v>9453</v>
      </c>
      <c r="E3230" s="70" t="s">
        <v>9457</v>
      </c>
      <c r="F3230" s="26" t="s">
        <v>798</v>
      </c>
      <c r="G3230" s="15" t="s">
        <v>798</v>
      </c>
      <c r="H3230" s="14" t="s">
        <v>798</v>
      </c>
      <c r="I3230" s="15" t="s">
        <v>798</v>
      </c>
      <c r="J3230" s="12" t="s">
        <v>9438</v>
      </c>
      <c r="K3230" s="16" t="s">
        <v>3302</v>
      </c>
      <c r="L3230" s="12" t="s">
        <v>800</v>
      </c>
      <c r="M3230" s="16" t="s">
        <v>4268</v>
      </c>
      <c r="N3230" s="19" t="s">
        <v>798</v>
      </c>
      <c r="O3230" s="20" t="s">
        <v>798</v>
      </c>
      <c r="P3230" s="17" t="s">
        <v>802</v>
      </c>
      <c r="Q3230" s="21" t="s">
        <v>8854</v>
      </c>
      <c r="R3230" s="19" t="s">
        <v>798</v>
      </c>
      <c r="S3230" s="20" t="s">
        <v>798</v>
      </c>
      <c r="T3230" s="17" t="s">
        <v>798</v>
      </c>
      <c r="U3230" s="20" t="s">
        <v>798</v>
      </c>
      <c r="V3230" s="26" t="s">
        <v>798</v>
      </c>
      <c r="W3230" s="20" t="s">
        <v>798</v>
      </c>
      <c r="X3230" s="26" t="s">
        <v>798</v>
      </c>
      <c r="Y3230" s="20" t="s">
        <v>798</v>
      </c>
      <c r="Z3230" s="69" t="s">
        <v>9486</v>
      </c>
      <c r="AA3230" s="72" t="s">
        <v>9497</v>
      </c>
      <c r="AB3230" s="73" t="s">
        <v>9486</v>
      </c>
      <c r="AC3230" s="74" t="s">
        <v>9562</v>
      </c>
      <c r="AD3230" s="73" t="s">
        <v>9578</v>
      </c>
      <c r="AE3230" s="74" t="s">
        <v>9579</v>
      </c>
    </row>
    <row r="3231" spans="1:31" ht="8.65" customHeight="1" x14ac:dyDescent="0.2">
      <c r="A3231" s="76">
        <v>3231</v>
      </c>
      <c r="B3231" s="67" t="str">
        <f>MID(C3231, FIND("Ifc.", C3231) + 4, 4) &amp; "_" &amp; TEXT(COUNTIF($C$2:C3231, C3231),"0000")</f>
        <v>Enti_0364</v>
      </c>
      <c r="C3231" s="25" t="s">
        <v>874</v>
      </c>
      <c r="D3231" s="69" t="s">
        <v>9453</v>
      </c>
      <c r="E3231" s="70" t="s">
        <v>9457</v>
      </c>
      <c r="F3231" s="26" t="s">
        <v>798</v>
      </c>
      <c r="G3231" s="15" t="s">
        <v>798</v>
      </c>
      <c r="H3231" s="14" t="s">
        <v>798</v>
      </c>
      <c r="I3231" s="15" t="s">
        <v>798</v>
      </c>
      <c r="J3231" s="12" t="s">
        <v>9438</v>
      </c>
      <c r="K3231" s="16" t="s">
        <v>3303</v>
      </c>
      <c r="L3231" s="12" t="s">
        <v>800</v>
      </c>
      <c r="M3231" s="16" t="s">
        <v>4269</v>
      </c>
      <c r="N3231" s="19" t="s">
        <v>798</v>
      </c>
      <c r="O3231" s="20" t="s">
        <v>798</v>
      </c>
      <c r="P3231" s="17" t="s">
        <v>802</v>
      </c>
      <c r="Q3231" s="21" t="s">
        <v>8855</v>
      </c>
      <c r="R3231" s="19" t="s">
        <v>798</v>
      </c>
      <c r="S3231" s="20" t="s">
        <v>798</v>
      </c>
      <c r="T3231" s="17" t="s">
        <v>798</v>
      </c>
      <c r="U3231" s="20" t="s">
        <v>798</v>
      </c>
      <c r="V3231" s="26" t="s">
        <v>798</v>
      </c>
      <c r="W3231" s="20" t="s">
        <v>798</v>
      </c>
      <c r="X3231" s="26" t="s">
        <v>798</v>
      </c>
      <c r="Y3231" s="20" t="s">
        <v>798</v>
      </c>
      <c r="Z3231" s="69" t="s">
        <v>9486</v>
      </c>
      <c r="AA3231" s="72" t="s">
        <v>9497</v>
      </c>
      <c r="AB3231" s="73" t="s">
        <v>9486</v>
      </c>
      <c r="AC3231" s="74" t="s">
        <v>9562</v>
      </c>
      <c r="AD3231" s="73" t="s">
        <v>9578</v>
      </c>
      <c r="AE3231" s="74" t="s">
        <v>9579</v>
      </c>
    </row>
    <row r="3232" spans="1:31" ht="8.65" customHeight="1" x14ac:dyDescent="0.2">
      <c r="A3232" s="76">
        <v>3232</v>
      </c>
      <c r="B3232" s="67" t="str">
        <f>MID(C3232, FIND("Ifc.", C3232) + 4, 4) &amp; "_" &amp; TEXT(COUNTIF($C$2:C3232, C3232),"0000")</f>
        <v>Enti_0365</v>
      </c>
      <c r="C3232" s="25" t="s">
        <v>874</v>
      </c>
      <c r="D3232" s="69" t="s">
        <v>9453</v>
      </c>
      <c r="E3232" s="70" t="s">
        <v>9457</v>
      </c>
      <c r="F3232" s="26" t="s">
        <v>798</v>
      </c>
      <c r="G3232" s="15" t="s">
        <v>798</v>
      </c>
      <c r="H3232" s="14" t="s">
        <v>798</v>
      </c>
      <c r="I3232" s="15" t="s">
        <v>798</v>
      </c>
      <c r="J3232" s="12" t="s">
        <v>9438</v>
      </c>
      <c r="K3232" s="16" t="s">
        <v>3304</v>
      </c>
      <c r="L3232" s="12" t="s">
        <v>800</v>
      </c>
      <c r="M3232" s="16" t="s">
        <v>4270</v>
      </c>
      <c r="N3232" s="19" t="s">
        <v>798</v>
      </c>
      <c r="O3232" s="20" t="s">
        <v>798</v>
      </c>
      <c r="P3232" s="17" t="s">
        <v>802</v>
      </c>
      <c r="Q3232" s="21" t="s">
        <v>8856</v>
      </c>
      <c r="R3232" s="19" t="s">
        <v>798</v>
      </c>
      <c r="S3232" s="20" t="s">
        <v>798</v>
      </c>
      <c r="T3232" s="17" t="s">
        <v>798</v>
      </c>
      <c r="U3232" s="20" t="s">
        <v>798</v>
      </c>
      <c r="V3232" s="26" t="s">
        <v>798</v>
      </c>
      <c r="W3232" s="20" t="s">
        <v>798</v>
      </c>
      <c r="X3232" s="26" t="s">
        <v>798</v>
      </c>
      <c r="Y3232" s="20" t="s">
        <v>798</v>
      </c>
      <c r="Z3232" s="69" t="s">
        <v>9486</v>
      </c>
      <c r="AA3232" s="72" t="s">
        <v>9497</v>
      </c>
      <c r="AB3232" s="73" t="s">
        <v>9486</v>
      </c>
      <c r="AC3232" s="74" t="s">
        <v>9562</v>
      </c>
      <c r="AD3232" s="73" t="s">
        <v>9578</v>
      </c>
      <c r="AE3232" s="74" t="s">
        <v>9579</v>
      </c>
    </row>
    <row r="3233" spans="1:31" ht="8.65" customHeight="1" x14ac:dyDescent="0.2">
      <c r="A3233" s="76">
        <v>3233</v>
      </c>
      <c r="B3233" s="67" t="str">
        <f>MID(C3233, FIND("Ifc.", C3233) + 4, 4) &amp; "_" &amp; TEXT(COUNTIF($C$2:C3233, C3233),"0000")</f>
        <v>Enti_0366</v>
      </c>
      <c r="C3233" s="25" t="s">
        <v>874</v>
      </c>
      <c r="D3233" s="69" t="s">
        <v>9453</v>
      </c>
      <c r="E3233" s="70" t="s">
        <v>9457</v>
      </c>
      <c r="F3233" s="26" t="s">
        <v>798</v>
      </c>
      <c r="G3233" s="15" t="s">
        <v>798</v>
      </c>
      <c r="H3233" s="14" t="s">
        <v>798</v>
      </c>
      <c r="I3233" s="15" t="s">
        <v>798</v>
      </c>
      <c r="J3233" s="12" t="s">
        <v>9438</v>
      </c>
      <c r="K3233" s="16" t="s">
        <v>3305</v>
      </c>
      <c r="L3233" s="12" t="s">
        <v>800</v>
      </c>
      <c r="M3233" s="16" t="s">
        <v>4271</v>
      </c>
      <c r="N3233" s="19" t="s">
        <v>798</v>
      </c>
      <c r="O3233" s="20" t="s">
        <v>798</v>
      </c>
      <c r="P3233" s="17" t="s">
        <v>802</v>
      </c>
      <c r="Q3233" s="21" t="s">
        <v>8857</v>
      </c>
      <c r="R3233" s="19" t="s">
        <v>798</v>
      </c>
      <c r="S3233" s="20" t="s">
        <v>798</v>
      </c>
      <c r="T3233" s="17" t="s">
        <v>798</v>
      </c>
      <c r="U3233" s="20" t="s">
        <v>798</v>
      </c>
      <c r="V3233" s="26" t="s">
        <v>798</v>
      </c>
      <c r="W3233" s="20" t="s">
        <v>798</v>
      </c>
      <c r="X3233" s="26" t="s">
        <v>798</v>
      </c>
      <c r="Y3233" s="20" t="s">
        <v>798</v>
      </c>
      <c r="Z3233" s="69" t="s">
        <v>9486</v>
      </c>
      <c r="AA3233" s="72" t="s">
        <v>9497</v>
      </c>
      <c r="AB3233" s="73" t="s">
        <v>9486</v>
      </c>
      <c r="AC3233" s="74" t="s">
        <v>9562</v>
      </c>
      <c r="AD3233" s="73" t="s">
        <v>9578</v>
      </c>
      <c r="AE3233" s="74" t="s">
        <v>9579</v>
      </c>
    </row>
    <row r="3234" spans="1:31" ht="8.65" customHeight="1" x14ac:dyDescent="0.2">
      <c r="A3234" s="76">
        <v>3234</v>
      </c>
      <c r="B3234" s="67" t="str">
        <f>MID(C3234, FIND("Ifc.", C3234) + 4, 4) &amp; "_" &amp; TEXT(COUNTIF($C$2:C3234, C3234),"0000")</f>
        <v>Enti_0367</v>
      </c>
      <c r="C3234" s="25" t="s">
        <v>874</v>
      </c>
      <c r="D3234" s="69" t="s">
        <v>9453</v>
      </c>
      <c r="E3234" s="70" t="s">
        <v>9457</v>
      </c>
      <c r="F3234" s="26" t="s">
        <v>798</v>
      </c>
      <c r="G3234" s="15" t="s">
        <v>798</v>
      </c>
      <c r="H3234" s="14" t="s">
        <v>798</v>
      </c>
      <c r="I3234" s="15" t="s">
        <v>798</v>
      </c>
      <c r="J3234" s="12" t="s">
        <v>9438</v>
      </c>
      <c r="K3234" s="16" t="s">
        <v>3306</v>
      </c>
      <c r="L3234" s="12" t="s">
        <v>800</v>
      </c>
      <c r="M3234" s="16" t="s">
        <v>4272</v>
      </c>
      <c r="N3234" s="19" t="s">
        <v>798</v>
      </c>
      <c r="O3234" s="20" t="s">
        <v>798</v>
      </c>
      <c r="P3234" s="17" t="s">
        <v>802</v>
      </c>
      <c r="Q3234" s="21" t="s">
        <v>8858</v>
      </c>
      <c r="R3234" s="19" t="s">
        <v>798</v>
      </c>
      <c r="S3234" s="20" t="s">
        <v>798</v>
      </c>
      <c r="T3234" s="17" t="s">
        <v>798</v>
      </c>
      <c r="U3234" s="20" t="s">
        <v>798</v>
      </c>
      <c r="V3234" s="26" t="s">
        <v>798</v>
      </c>
      <c r="W3234" s="20" t="s">
        <v>798</v>
      </c>
      <c r="X3234" s="26" t="s">
        <v>798</v>
      </c>
      <c r="Y3234" s="20" t="s">
        <v>798</v>
      </c>
      <c r="Z3234" s="69" t="s">
        <v>9486</v>
      </c>
      <c r="AA3234" s="72" t="s">
        <v>9497</v>
      </c>
      <c r="AB3234" s="73" t="s">
        <v>9486</v>
      </c>
      <c r="AC3234" s="74" t="s">
        <v>9562</v>
      </c>
      <c r="AD3234" s="73" t="s">
        <v>9578</v>
      </c>
      <c r="AE3234" s="74" t="s">
        <v>9579</v>
      </c>
    </row>
    <row r="3235" spans="1:31" ht="8.65" customHeight="1" x14ac:dyDescent="0.2">
      <c r="A3235" s="76">
        <v>3235</v>
      </c>
      <c r="B3235" s="67" t="str">
        <f>MID(C3235, FIND("Ifc.", C3235) + 4, 4) &amp; "_" &amp; TEXT(COUNTIF($C$2:C3235, C3235),"0000")</f>
        <v>Enti_0368</v>
      </c>
      <c r="C3235" s="25" t="s">
        <v>874</v>
      </c>
      <c r="D3235" s="69" t="s">
        <v>9453</v>
      </c>
      <c r="E3235" s="70" t="s">
        <v>9457</v>
      </c>
      <c r="F3235" s="26" t="s">
        <v>798</v>
      </c>
      <c r="G3235" s="15" t="s">
        <v>798</v>
      </c>
      <c r="H3235" s="14" t="s">
        <v>798</v>
      </c>
      <c r="I3235" s="15" t="s">
        <v>798</v>
      </c>
      <c r="J3235" s="12" t="s">
        <v>9438</v>
      </c>
      <c r="K3235" s="16" t="s">
        <v>3307</v>
      </c>
      <c r="L3235" s="12" t="s">
        <v>800</v>
      </c>
      <c r="M3235" s="16" t="s">
        <v>4273</v>
      </c>
      <c r="N3235" s="19" t="s">
        <v>798</v>
      </c>
      <c r="O3235" s="20" t="s">
        <v>798</v>
      </c>
      <c r="P3235" s="17" t="s">
        <v>802</v>
      </c>
      <c r="Q3235" s="21" t="s">
        <v>8859</v>
      </c>
      <c r="R3235" s="19" t="s">
        <v>798</v>
      </c>
      <c r="S3235" s="20" t="s">
        <v>798</v>
      </c>
      <c r="T3235" s="17" t="s">
        <v>798</v>
      </c>
      <c r="U3235" s="20" t="s">
        <v>798</v>
      </c>
      <c r="V3235" s="26" t="s">
        <v>798</v>
      </c>
      <c r="W3235" s="20" t="s">
        <v>798</v>
      </c>
      <c r="X3235" s="26" t="s">
        <v>798</v>
      </c>
      <c r="Y3235" s="20" t="s">
        <v>798</v>
      </c>
      <c r="Z3235" s="69" t="s">
        <v>9486</v>
      </c>
      <c r="AA3235" s="72" t="s">
        <v>9497</v>
      </c>
      <c r="AB3235" s="73" t="s">
        <v>9486</v>
      </c>
      <c r="AC3235" s="74" t="s">
        <v>9562</v>
      </c>
      <c r="AD3235" s="73" t="s">
        <v>9578</v>
      </c>
      <c r="AE3235" s="74" t="s">
        <v>9579</v>
      </c>
    </row>
    <row r="3236" spans="1:31" ht="8.65" customHeight="1" x14ac:dyDescent="0.2">
      <c r="A3236" s="76">
        <v>3236</v>
      </c>
      <c r="B3236" s="67" t="str">
        <f>MID(C3236, FIND("Ifc.", C3236) + 4, 4) &amp; "_" &amp; TEXT(COUNTIF($C$2:C3236, C3236),"0000")</f>
        <v>Enti_0369</v>
      </c>
      <c r="C3236" s="25" t="s">
        <v>874</v>
      </c>
      <c r="D3236" s="69" t="s">
        <v>9453</v>
      </c>
      <c r="E3236" s="70" t="s">
        <v>9457</v>
      </c>
      <c r="F3236" s="26" t="s">
        <v>798</v>
      </c>
      <c r="G3236" s="15" t="s">
        <v>798</v>
      </c>
      <c r="H3236" s="14" t="s">
        <v>798</v>
      </c>
      <c r="I3236" s="15" t="s">
        <v>798</v>
      </c>
      <c r="J3236" s="12" t="s">
        <v>9438</v>
      </c>
      <c r="K3236" s="16" t="s">
        <v>3308</v>
      </c>
      <c r="L3236" s="12" t="s">
        <v>800</v>
      </c>
      <c r="M3236" s="16" t="s">
        <v>4274</v>
      </c>
      <c r="N3236" s="19" t="s">
        <v>798</v>
      </c>
      <c r="O3236" s="20" t="s">
        <v>798</v>
      </c>
      <c r="P3236" s="17" t="s">
        <v>802</v>
      </c>
      <c r="Q3236" s="21" t="s">
        <v>8860</v>
      </c>
      <c r="R3236" s="19" t="s">
        <v>798</v>
      </c>
      <c r="S3236" s="20" t="s">
        <v>798</v>
      </c>
      <c r="T3236" s="17" t="s">
        <v>798</v>
      </c>
      <c r="U3236" s="20" t="s">
        <v>798</v>
      </c>
      <c r="V3236" s="26" t="s">
        <v>798</v>
      </c>
      <c r="W3236" s="20" t="s">
        <v>798</v>
      </c>
      <c r="X3236" s="26" t="s">
        <v>798</v>
      </c>
      <c r="Y3236" s="20" t="s">
        <v>798</v>
      </c>
      <c r="Z3236" s="69" t="s">
        <v>9486</v>
      </c>
      <c r="AA3236" s="72" t="s">
        <v>9497</v>
      </c>
      <c r="AB3236" s="73" t="s">
        <v>9486</v>
      </c>
      <c r="AC3236" s="74" t="s">
        <v>9562</v>
      </c>
      <c r="AD3236" s="73" t="s">
        <v>9578</v>
      </c>
      <c r="AE3236" s="74" t="s">
        <v>9579</v>
      </c>
    </row>
    <row r="3237" spans="1:31" ht="8.65" customHeight="1" x14ac:dyDescent="0.2">
      <c r="A3237" s="76">
        <v>3237</v>
      </c>
      <c r="B3237" s="67" t="str">
        <f>MID(C3237, FIND("Ifc.", C3237) + 4, 4) &amp; "_" &amp; TEXT(COUNTIF($C$2:C3237, C3237),"0000")</f>
        <v>Enti_0370</v>
      </c>
      <c r="C3237" s="25" t="s">
        <v>874</v>
      </c>
      <c r="D3237" s="69" t="s">
        <v>9453</v>
      </c>
      <c r="E3237" s="70" t="s">
        <v>9457</v>
      </c>
      <c r="F3237" s="26" t="s">
        <v>798</v>
      </c>
      <c r="G3237" s="15" t="s">
        <v>798</v>
      </c>
      <c r="H3237" s="14" t="s">
        <v>798</v>
      </c>
      <c r="I3237" s="15" t="s">
        <v>798</v>
      </c>
      <c r="J3237" s="12" t="s">
        <v>9438</v>
      </c>
      <c r="K3237" s="16" t="s">
        <v>3309</v>
      </c>
      <c r="L3237" s="12" t="s">
        <v>800</v>
      </c>
      <c r="M3237" s="16" t="s">
        <v>4275</v>
      </c>
      <c r="N3237" s="19" t="s">
        <v>798</v>
      </c>
      <c r="O3237" s="20" t="s">
        <v>798</v>
      </c>
      <c r="P3237" s="17" t="s">
        <v>802</v>
      </c>
      <c r="Q3237" s="21" t="s">
        <v>8861</v>
      </c>
      <c r="R3237" s="19" t="s">
        <v>798</v>
      </c>
      <c r="S3237" s="20" t="s">
        <v>798</v>
      </c>
      <c r="T3237" s="17" t="s">
        <v>798</v>
      </c>
      <c r="U3237" s="20" t="s">
        <v>798</v>
      </c>
      <c r="V3237" s="26" t="s">
        <v>798</v>
      </c>
      <c r="W3237" s="20" t="s">
        <v>798</v>
      </c>
      <c r="X3237" s="26" t="s">
        <v>798</v>
      </c>
      <c r="Y3237" s="20" t="s">
        <v>798</v>
      </c>
      <c r="Z3237" s="69" t="s">
        <v>9486</v>
      </c>
      <c r="AA3237" s="72" t="s">
        <v>9497</v>
      </c>
      <c r="AB3237" s="73" t="s">
        <v>9486</v>
      </c>
      <c r="AC3237" s="74" t="s">
        <v>9562</v>
      </c>
      <c r="AD3237" s="73" t="s">
        <v>9578</v>
      </c>
      <c r="AE3237" s="74" t="s">
        <v>9579</v>
      </c>
    </row>
    <row r="3238" spans="1:31" ht="8.65" customHeight="1" x14ac:dyDescent="0.2">
      <c r="A3238" s="76">
        <v>3238</v>
      </c>
      <c r="B3238" s="67" t="str">
        <f>MID(C3238, FIND("Ifc.", C3238) + 4, 4) &amp; "_" &amp; TEXT(COUNTIF($C$2:C3238, C3238),"0000")</f>
        <v>Enti_0371</v>
      </c>
      <c r="C3238" s="25" t="s">
        <v>874</v>
      </c>
      <c r="D3238" s="69" t="s">
        <v>9453</v>
      </c>
      <c r="E3238" s="70" t="s">
        <v>9457</v>
      </c>
      <c r="F3238" s="26" t="s">
        <v>798</v>
      </c>
      <c r="G3238" s="15" t="s">
        <v>798</v>
      </c>
      <c r="H3238" s="14" t="s">
        <v>798</v>
      </c>
      <c r="I3238" s="15" t="s">
        <v>798</v>
      </c>
      <c r="J3238" s="12" t="s">
        <v>9438</v>
      </c>
      <c r="K3238" s="16" t="s">
        <v>3310</v>
      </c>
      <c r="L3238" s="12" t="s">
        <v>800</v>
      </c>
      <c r="M3238" s="16" t="s">
        <v>4276</v>
      </c>
      <c r="N3238" s="19" t="s">
        <v>798</v>
      </c>
      <c r="O3238" s="20" t="s">
        <v>798</v>
      </c>
      <c r="P3238" s="17" t="s">
        <v>802</v>
      </c>
      <c r="Q3238" s="21" t="s">
        <v>8862</v>
      </c>
      <c r="R3238" s="19" t="s">
        <v>798</v>
      </c>
      <c r="S3238" s="20" t="s">
        <v>798</v>
      </c>
      <c r="T3238" s="17" t="s">
        <v>798</v>
      </c>
      <c r="U3238" s="20" t="s">
        <v>798</v>
      </c>
      <c r="V3238" s="26" t="s">
        <v>798</v>
      </c>
      <c r="W3238" s="20" t="s">
        <v>798</v>
      </c>
      <c r="X3238" s="26" t="s">
        <v>798</v>
      </c>
      <c r="Y3238" s="20" t="s">
        <v>798</v>
      </c>
      <c r="Z3238" s="69" t="s">
        <v>9486</v>
      </c>
      <c r="AA3238" s="72" t="s">
        <v>9497</v>
      </c>
      <c r="AB3238" s="73" t="s">
        <v>9486</v>
      </c>
      <c r="AC3238" s="74" t="s">
        <v>9562</v>
      </c>
      <c r="AD3238" s="73" t="s">
        <v>9578</v>
      </c>
      <c r="AE3238" s="74" t="s">
        <v>9579</v>
      </c>
    </row>
    <row r="3239" spans="1:31" ht="8.65" customHeight="1" x14ac:dyDescent="0.2">
      <c r="A3239" s="76">
        <v>3239</v>
      </c>
      <c r="B3239" s="67" t="str">
        <f>MID(C3239, FIND("Ifc.", C3239) + 4, 4) &amp; "_" &amp; TEXT(COUNTIF($C$2:C3239, C3239),"0000")</f>
        <v>Enti_0372</v>
      </c>
      <c r="C3239" s="25" t="s">
        <v>874</v>
      </c>
      <c r="D3239" s="69" t="s">
        <v>9453</v>
      </c>
      <c r="E3239" s="70" t="s">
        <v>9457</v>
      </c>
      <c r="F3239" s="26" t="s">
        <v>798</v>
      </c>
      <c r="G3239" s="15" t="s">
        <v>798</v>
      </c>
      <c r="H3239" s="14" t="s">
        <v>798</v>
      </c>
      <c r="I3239" s="15" t="s">
        <v>798</v>
      </c>
      <c r="J3239" s="12" t="s">
        <v>9438</v>
      </c>
      <c r="K3239" s="16" t="s">
        <v>3311</v>
      </c>
      <c r="L3239" s="12" t="s">
        <v>800</v>
      </c>
      <c r="M3239" s="16" t="s">
        <v>4277</v>
      </c>
      <c r="N3239" s="19" t="s">
        <v>798</v>
      </c>
      <c r="O3239" s="20" t="s">
        <v>798</v>
      </c>
      <c r="P3239" s="17" t="s">
        <v>802</v>
      </c>
      <c r="Q3239" s="21" t="s">
        <v>8863</v>
      </c>
      <c r="R3239" s="19" t="s">
        <v>798</v>
      </c>
      <c r="S3239" s="20" t="s">
        <v>798</v>
      </c>
      <c r="T3239" s="17" t="s">
        <v>798</v>
      </c>
      <c r="U3239" s="20" t="s">
        <v>798</v>
      </c>
      <c r="V3239" s="26" t="s">
        <v>798</v>
      </c>
      <c r="W3239" s="20" t="s">
        <v>798</v>
      </c>
      <c r="X3239" s="26" t="s">
        <v>798</v>
      </c>
      <c r="Y3239" s="20" t="s">
        <v>798</v>
      </c>
      <c r="Z3239" s="69" t="s">
        <v>9486</v>
      </c>
      <c r="AA3239" s="72" t="s">
        <v>9497</v>
      </c>
      <c r="AB3239" s="73" t="s">
        <v>9486</v>
      </c>
      <c r="AC3239" s="74" t="s">
        <v>9562</v>
      </c>
      <c r="AD3239" s="73" t="s">
        <v>9578</v>
      </c>
      <c r="AE3239" s="74" t="s">
        <v>9579</v>
      </c>
    </row>
    <row r="3240" spans="1:31" ht="8.65" customHeight="1" x14ac:dyDescent="0.2">
      <c r="A3240" s="76">
        <v>3240</v>
      </c>
      <c r="B3240" s="67" t="str">
        <f>MID(C3240, FIND("Ifc.", C3240) + 4, 4) &amp; "_" &amp; TEXT(COUNTIF($C$2:C3240, C3240),"0000")</f>
        <v>Enti_0373</v>
      </c>
      <c r="C3240" s="25" t="s">
        <v>874</v>
      </c>
      <c r="D3240" s="69" t="s">
        <v>9453</v>
      </c>
      <c r="E3240" s="70" t="s">
        <v>9457</v>
      </c>
      <c r="F3240" s="26" t="s">
        <v>798</v>
      </c>
      <c r="G3240" s="15" t="s">
        <v>798</v>
      </c>
      <c r="H3240" s="14" t="s">
        <v>798</v>
      </c>
      <c r="I3240" s="15" t="s">
        <v>798</v>
      </c>
      <c r="J3240" s="12" t="s">
        <v>9438</v>
      </c>
      <c r="K3240" s="16" t="s">
        <v>3312</v>
      </c>
      <c r="L3240" s="12" t="s">
        <v>800</v>
      </c>
      <c r="M3240" s="16" t="s">
        <v>4278</v>
      </c>
      <c r="N3240" s="19" t="s">
        <v>798</v>
      </c>
      <c r="O3240" s="20" t="s">
        <v>798</v>
      </c>
      <c r="P3240" s="17" t="s">
        <v>802</v>
      </c>
      <c r="Q3240" s="21" t="s">
        <v>8864</v>
      </c>
      <c r="R3240" s="19" t="s">
        <v>798</v>
      </c>
      <c r="S3240" s="20" t="s">
        <v>798</v>
      </c>
      <c r="T3240" s="17" t="s">
        <v>798</v>
      </c>
      <c r="U3240" s="20" t="s">
        <v>798</v>
      </c>
      <c r="V3240" s="26" t="s">
        <v>798</v>
      </c>
      <c r="W3240" s="20" t="s">
        <v>798</v>
      </c>
      <c r="X3240" s="26" t="s">
        <v>798</v>
      </c>
      <c r="Y3240" s="20" t="s">
        <v>798</v>
      </c>
      <c r="Z3240" s="69" t="s">
        <v>9486</v>
      </c>
      <c r="AA3240" s="72" t="s">
        <v>9497</v>
      </c>
      <c r="AB3240" s="73" t="s">
        <v>9486</v>
      </c>
      <c r="AC3240" s="74" t="s">
        <v>9562</v>
      </c>
      <c r="AD3240" s="73" t="s">
        <v>9578</v>
      </c>
      <c r="AE3240" s="74" t="s">
        <v>9579</v>
      </c>
    </row>
    <row r="3241" spans="1:31" ht="8.65" customHeight="1" x14ac:dyDescent="0.2">
      <c r="A3241" s="76">
        <v>3241</v>
      </c>
      <c r="B3241" s="67" t="str">
        <f>MID(C3241, FIND("Ifc.", C3241) + 4, 4) &amp; "_" &amp; TEXT(COUNTIF($C$2:C3241, C3241),"0000")</f>
        <v>Enti_0374</v>
      </c>
      <c r="C3241" s="25" t="s">
        <v>874</v>
      </c>
      <c r="D3241" s="69" t="s">
        <v>9453</v>
      </c>
      <c r="E3241" s="70" t="s">
        <v>9457</v>
      </c>
      <c r="F3241" s="26" t="s">
        <v>798</v>
      </c>
      <c r="G3241" s="15" t="s">
        <v>798</v>
      </c>
      <c r="H3241" s="14" t="s">
        <v>798</v>
      </c>
      <c r="I3241" s="15" t="s">
        <v>798</v>
      </c>
      <c r="J3241" s="12" t="s">
        <v>9438</v>
      </c>
      <c r="K3241" s="16" t="s">
        <v>3313</v>
      </c>
      <c r="L3241" s="12" t="s">
        <v>800</v>
      </c>
      <c r="M3241" s="16" t="s">
        <v>4279</v>
      </c>
      <c r="N3241" s="19" t="s">
        <v>798</v>
      </c>
      <c r="O3241" s="20" t="s">
        <v>798</v>
      </c>
      <c r="P3241" s="17" t="s">
        <v>802</v>
      </c>
      <c r="Q3241" s="21" t="s">
        <v>8865</v>
      </c>
      <c r="R3241" s="19" t="s">
        <v>798</v>
      </c>
      <c r="S3241" s="20" t="s">
        <v>798</v>
      </c>
      <c r="T3241" s="17" t="s">
        <v>798</v>
      </c>
      <c r="U3241" s="20" t="s">
        <v>798</v>
      </c>
      <c r="V3241" s="26" t="s">
        <v>798</v>
      </c>
      <c r="W3241" s="20" t="s">
        <v>798</v>
      </c>
      <c r="X3241" s="26" t="s">
        <v>798</v>
      </c>
      <c r="Y3241" s="20" t="s">
        <v>798</v>
      </c>
      <c r="Z3241" s="69" t="s">
        <v>9486</v>
      </c>
      <c r="AA3241" s="72" t="s">
        <v>9497</v>
      </c>
      <c r="AB3241" s="73" t="s">
        <v>9486</v>
      </c>
      <c r="AC3241" s="74" t="s">
        <v>9562</v>
      </c>
      <c r="AD3241" s="73" t="s">
        <v>9578</v>
      </c>
      <c r="AE3241" s="74" t="s">
        <v>9579</v>
      </c>
    </row>
    <row r="3242" spans="1:31" ht="8.65" customHeight="1" x14ac:dyDescent="0.2">
      <c r="A3242" s="76">
        <v>3242</v>
      </c>
      <c r="B3242" s="67" t="str">
        <f>MID(C3242, FIND("Ifc.", C3242) + 4, 4) &amp; "_" &amp; TEXT(COUNTIF($C$2:C3242, C3242),"0000")</f>
        <v>Enti_0375</v>
      </c>
      <c r="C3242" s="25" t="s">
        <v>874</v>
      </c>
      <c r="D3242" s="69" t="s">
        <v>9453</v>
      </c>
      <c r="E3242" s="70" t="s">
        <v>9457</v>
      </c>
      <c r="F3242" s="26" t="s">
        <v>798</v>
      </c>
      <c r="G3242" s="15" t="s">
        <v>798</v>
      </c>
      <c r="H3242" s="14" t="s">
        <v>798</v>
      </c>
      <c r="I3242" s="15" t="s">
        <v>798</v>
      </c>
      <c r="J3242" s="12" t="s">
        <v>9438</v>
      </c>
      <c r="K3242" s="16" t="s">
        <v>3314</v>
      </c>
      <c r="L3242" s="12" t="s">
        <v>800</v>
      </c>
      <c r="M3242" s="16" t="s">
        <v>4280</v>
      </c>
      <c r="N3242" s="19" t="s">
        <v>798</v>
      </c>
      <c r="O3242" s="20" t="s">
        <v>798</v>
      </c>
      <c r="P3242" s="17" t="s">
        <v>802</v>
      </c>
      <c r="Q3242" s="21" t="s">
        <v>8866</v>
      </c>
      <c r="R3242" s="19" t="s">
        <v>798</v>
      </c>
      <c r="S3242" s="20" t="s">
        <v>798</v>
      </c>
      <c r="T3242" s="17" t="s">
        <v>798</v>
      </c>
      <c r="U3242" s="20" t="s">
        <v>798</v>
      </c>
      <c r="V3242" s="26" t="s">
        <v>798</v>
      </c>
      <c r="W3242" s="20" t="s">
        <v>798</v>
      </c>
      <c r="X3242" s="26" t="s">
        <v>798</v>
      </c>
      <c r="Y3242" s="20" t="s">
        <v>798</v>
      </c>
      <c r="Z3242" s="69" t="s">
        <v>9486</v>
      </c>
      <c r="AA3242" s="72" t="s">
        <v>9497</v>
      </c>
      <c r="AB3242" s="73" t="s">
        <v>9486</v>
      </c>
      <c r="AC3242" s="74" t="s">
        <v>9562</v>
      </c>
      <c r="AD3242" s="73" t="s">
        <v>9578</v>
      </c>
      <c r="AE3242" s="74" t="s">
        <v>9579</v>
      </c>
    </row>
    <row r="3243" spans="1:31" ht="8.65" customHeight="1" x14ac:dyDescent="0.2">
      <c r="A3243" s="76">
        <v>3243</v>
      </c>
      <c r="B3243" s="67" t="str">
        <f>MID(C3243, FIND("Ifc.", C3243) + 4, 4) &amp; "_" &amp; TEXT(COUNTIF($C$2:C3243, C3243),"0000")</f>
        <v>Enti_0376</v>
      </c>
      <c r="C3243" s="25" t="s">
        <v>874</v>
      </c>
      <c r="D3243" s="69" t="s">
        <v>9453</v>
      </c>
      <c r="E3243" s="70" t="s">
        <v>9457</v>
      </c>
      <c r="F3243" s="26" t="s">
        <v>798</v>
      </c>
      <c r="G3243" s="15" t="s">
        <v>798</v>
      </c>
      <c r="H3243" s="14" t="s">
        <v>798</v>
      </c>
      <c r="I3243" s="15" t="s">
        <v>798</v>
      </c>
      <c r="J3243" s="12" t="s">
        <v>9438</v>
      </c>
      <c r="K3243" s="16" t="s">
        <v>3315</v>
      </c>
      <c r="L3243" s="12" t="s">
        <v>800</v>
      </c>
      <c r="M3243" s="16" t="s">
        <v>4281</v>
      </c>
      <c r="N3243" s="19" t="s">
        <v>798</v>
      </c>
      <c r="O3243" s="20" t="s">
        <v>798</v>
      </c>
      <c r="P3243" s="17" t="s">
        <v>802</v>
      </c>
      <c r="Q3243" s="21" t="s">
        <v>8867</v>
      </c>
      <c r="R3243" s="19" t="s">
        <v>798</v>
      </c>
      <c r="S3243" s="20" t="s">
        <v>798</v>
      </c>
      <c r="T3243" s="17" t="s">
        <v>798</v>
      </c>
      <c r="U3243" s="20" t="s">
        <v>798</v>
      </c>
      <c r="V3243" s="26" t="s">
        <v>798</v>
      </c>
      <c r="W3243" s="20" t="s">
        <v>798</v>
      </c>
      <c r="X3243" s="26" t="s">
        <v>798</v>
      </c>
      <c r="Y3243" s="20" t="s">
        <v>798</v>
      </c>
      <c r="Z3243" s="69" t="s">
        <v>9486</v>
      </c>
      <c r="AA3243" s="72" t="s">
        <v>9497</v>
      </c>
      <c r="AB3243" s="73" t="s">
        <v>9486</v>
      </c>
      <c r="AC3243" s="74" t="s">
        <v>9562</v>
      </c>
      <c r="AD3243" s="73" t="s">
        <v>9578</v>
      </c>
      <c r="AE3243" s="74" t="s">
        <v>9579</v>
      </c>
    </row>
    <row r="3244" spans="1:31" ht="8.65" customHeight="1" x14ac:dyDescent="0.2">
      <c r="A3244" s="76">
        <v>3244</v>
      </c>
      <c r="B3244" s="67" t="str">
        <f>MID(C3244, FIND("Ifc.", C3244) + 4, 4) &amp; "_" &amp; TEXT(COUNTIF($C$2:C3244, C3244),"0000")</f>
        <v>Enti_0377</v>
      </c>
      <c r="C3244" s="25" t="s">
        <v>874</v>
      </c>
      <c r="D3244" s="69" t="s">
        <v>9453</v>
      </c>
      <c r="E3244" s="70" t="s">
        <v>9457</v>
      </c>
      <c r="F3244" s="26" t="s">
        <v>798</v>
      </c>
      <c r="G3244" s="15" t="s">
        <v>798</v>
      </c>
      <c r="H3244" s="14" t="s">
        <v>798</v>
      </c>
      <c r="I3244" s="15" t="s">
        <v>798</v>
      </c>
      <c r="J3244" s="12" t="s">
        <v>9438</v>
      </c>
      <c r="K3244" s="16" t="s">
        <v>3316</v>
      </c>
      <c r="L3244" s="12" t="s">
        <v>800</v>
      </c>
      <c r="M3244" s="16" t="s">
        <v>4282</v>
      </c>
      <c r="N3244" s="19" t="s">
        <v>798</v>
      </c>
      <c r="O3244" s="20" t="s">
        <v>798</v>
      </c>
      <c r="P3244" s="17" t="s">
        <v>802</v>
      </c>
      <c r="Q3244" s="21" t="s">
        <v>8868</v>
      </c>
      <c r="R3244" s="19" t="s">
        <v>798</v>
      </c>
      <c r="S3244" s="20" t="s">
        <v>798</v>
      </c>
      <c r="T3244" s="17" t="s">
        <v>798</v>
      </c>
      <c r="U3244" s="20" t="s">
        <v>798</v>
      </c>
      <c r="V3244" s="26" t="s">
        <v>798</v>
      </c>
      <c r="W3244" s="20" t="s">
        <v>798</v>
      </c>
      <c r="X3244" s="26" t="s">
        <v>798</v>
      </c>
      <c r="Y3244" s="20" t="s">
        <v>798</v>
      </c>
      <c r="Z3244" s="69" t="s">
        <v>9486</v>
      </c>
      <c r="AA3244" s="72" t="s">
        <v>9497</v>
      </c>
      <c r="AB3244" s="73" t="s">
        <v>9486</v>
      </c>
      <c r="AC3244" s="74" t="s">
        <v>9562</v>
      </c>
      <c r="AD3244" s="73" t="s">
        <v>9578</v>
      </c>
      <c r="AE3244" s="74" t="s">
        <v>9579</v>
      </c>
    </row>
    <row r="3245" spans="1:31" ht="8.65" customHeight="1" x14ac:dyDescent="0.2">
      <c r="A3245" s="76">
        <v>3245</v>
      </c>
      <c r="B3245" s="67" t="str">
        <f>MID(C3245, FIND("Ifc.", C3245) + 4, 4) &amp; "_" &amp; TEXT(COUNTIF($C$2:C3245, C3245),"0000")</f>
        <v>Enti_0378</v>
      </c>
      <c r="C3245" s="25" t="s">
        <v>874</v>
      </c>
      <c r="D3245" s="69" t="s">
        <v>9453</v>
      </c>
      <c r="E3245" s="70" t="s">
        <v>9457</v>
      </c>
      <c r="F3245" s="26" t="s">
        <v>798</v>
      </c>
      <c r="G3245" s="15" t="s">
        <v>798</v>
      </c>
      <c r="H3245" s="14" t="s">
        <v>798</v>
      </c>
      <c r="I3245" s="15" t="s">
        <v>798</v>
      </c>
      <c r="J3245" s="12" t="s">
        <v>9438</v>
      </c>
      <c r="K3245" s="16" t="s">
        <v>3317</v>
      </c>
      <c r="L3245" s="12" t="s">
        <v>800</v>
      </c>
      <c r="M3245" s="16" t="s">
        <v>4283</v>
      </c>
      <c r="N3245" s="19" t="s">
        <v>798</v>
      </c>
      <c r="O3245" s="20" t="s">
        <v>798</v>
      </c>
      <c r="P3245" s="17" t="s">
        <v>802</v>
      </c>
      <c r="Q3245" s="21" t="s">
        <v>8869</v>
      </c>
      <c r="R3245" s="19" t="s">
        <v>798</v>
      </c>
      <c r="S3245" s="20" t="s">
        <v>798</v>
      </c>
      <c r="T3245" s="17" t="s">
        <v>798</v>
      </c>
      <c r="U3245" s="20" t="s">
        <v>798</v>
      </c>
      <c r="V3245" s="26" t="s">
        <v>798</v>
      </c>
      <c r="W3245" s="20" t="s">
        <v>798</v>
      </c>
      <c r="X3245" s="26" t="s">
        <v>798</v>
      </c>
      <c r="Y3245" s="20" t="s">
        <v>798</v>
      </c>
      <c r="Z3245" s="69" t="s">
        <v>9486</v>
      </c>
      <c r="AA3245" s="72" t="s">
        <v>9497</v>
      </c>
      <c r="AB3245" s="73" t="s">
        <v>9486</v>
      </c>
      <c r="AC3245" s="74" t="s">
        <v>9562</v>
      </c>
      <c r="AD3245" s="73" t="s">
        <v>9578</v>
      </c>
      <c r="AE3245" s="74" t="s">
        <v>9579</v>
      </c>
    </row>
    <row r="3246" spans="1:31" ht="8.65" customHeight="1" x14ac:dyDescent="0.2">
      <c r="A3246" s="76">
        <v>3246</v>
      </c>
      <c r="B3246" s="67" t="str">
        <f>MID(C3246, FIND("Ifc.", C3246) + 4, 4) &amp; "_" &amp; TEXT(COUNTIF($C$2:C3246, C3246),"0000")</f>
        <v>Enti_0379</v>
      </c>
      <c r="C3246" s="25" t="s">
        <v>874</v>
      </c>
      <c r="D3246" s="69" t="s">
        <v>9453</v>
      </c>
      <c r="E3246" s="70" t="s">
        <v>9457</v>
      </c>
      <c r="F3246" s="26" t="s">
        <v>798</v>
      </c>
      <c r="G3246" s="15" t="s">
        <v>798</v>
      </c>
      <c r="H3246" s="14" t="s">
        <v>798</v>
      </c>
      <c r="I3246" s="15" t="s">
        <v>798</v>
      </c>
      <c r="J3246" s="12" t="s">
        <v>9438</v>
      </c>
      <c r="K3246" s="16" t="s">
        <v>3318</v>
      </c>
      <c r="L3246" s="12" t="s">
        <v>800</v>
      </c>
      <c r="M3246" s="16" t="s">
        <v>4284</v>
      </c>
      <c r="N3246" s="19" t="s">
        <v>798</v>
      </c>
      <c r="O3246" s="20" t="s">
        <v>798</v>
      </c>
      <c r="P3246" s="17" t="s">
        <v>802</v>
      </c>
      <c r="Q3246" s="21" t="s">
        <v>8870</v>
      </c>
      <c r="R3246" s="19" t="s">
        <v>798</v>
      </c>
      <c r="S3246" s="20" t="s">
        <v>798</v>
      </c>
      <c r="T3246" s="17" t="s">
        <v>798</v>
      </c>
      <c r="U3246" s="20" t="s">
        <v>798</v>
      </c>
      <c r="V3246" s="26" t="s">
        <v>798</v>
      </c>
      <c r="W3246" s="20" t="s">
        <v>798</v>
      </c>
      <c r="X3246" s="26" t="s">
        <v>798</v>
      </c>
      <c r="Y3246" s="20" t="s">
        <v>798</v>
      </c>
      <c r="Z3246" s="69" t="s">
        <v>9486</v>
      </c>
      <c r="AA3246" s="72" t="s">
        <v>9497</v>
      </c>
      <c r="AB3246" s="73" t="s">
        <v>9486</v>
      </c>
      <c r="AC3246" s="74" t="s">
        <v>9562</v>
      </c>
      <c r="AD3246" s="73" t="s">
        <v>9578</v>
      </c>
      <c r="AE3246" s="74" t="s">
        <v>9579</v>
      </c>
    </row>
    <row r="3247" spans="1:31" ht="8.65" customHeight="1" x14ac:dyDescent="0.2">
      <c r="A3247" s="76">
        <v>3247</v>
      </c>
      <c r="B3247" s="67" t="str">
        <f>MID(C3247, FIND("Ifc.", C3247) + 4, 4) &amp; "_" &amp; TEXT(COUNTIF($C$2:C3247, C3247),"0000")</f>
        <v>Enti_0380</v>
      </c>
      <c r="C3247" s="25" t="s">
        <v>874</v>
      </c>
      <c r="D3247" s="69" t="s">
        <v>9453</v>
      </c>
      <c r="E3247" s="70" t="s">
        <v>9457</v>
      </c>
      <c r="F3247" s="26" t="s">
        <v>798</v>
      </c>
      <c r="G3247" s="15" t="s">
        <v>798</v>
      </c>
      <c r="H3247" s="14" t="s">
        <v>798</v>
      </c>
      <c r="I3247" s="15" t="s">
        <v>798</v>
      </c>
      <c r="J3247" s="12" t="s">
        <v>9438</v>
      </c>
      <c r="K3247" s="16" t="s">
        <v>3319</v>
      </c>
      <c r="L3247" s="12" t="s">
        <v>800</v>
      </c>
      <c r="M3247" s="16" t="s">
        <v>4285</v>
      </c>
      <c r="N3247" s="19" t="s">
        <v>798</v>
      </c>
      <c r="O3247" s="20" t="s">
        <v>798</v>
      </c>
      <c r="P3247" s="17" t="s">
        <v>802</v>
      </c>
      <c r="Q3247" s="21" t="s">
        <v>8871</v>
      </c>
      <c r="R3247" s="19" t="s">
        <v>798</v>
      </c>
      <c r="S3247" s="20" t="s">
        <v>798</v>
      </c>
      <c r="T3247" s="17" t="s">
        <v>798</v>
      </c>
      <c r="U3247" s="20" t="s">
        <v>798</v>
      </c>
      <c r="V3247" s="26" t="s">
        <v>798</v>
      </c>
      <c r="W3247" s="20" t="s">
        <v>798</v>
      </c>
      <c r="X3247" s="26" t="s">
        <v>798</v>
      </c>
      <c r="Y3247" s="20" t="s">
        <v>798</v>
      </c>
      <c r="Z3247" s="69" t="s">
        <v>9486</v>
      </c>
      <c r="AA3247" s="72" t="s">
        <v>9497</v>
      </c>
      <c r="AB3247" s="73" t="s">
        <v>9486</v>
      </c>
      <c r="AC3247" s="74" t="s">
        <v>9562</v>
      </c>
      <c r="AD3247" s="73" t="s">
        <v>9578</v>
      </c>
      <c r="AE3247" s="74" t="s">
        <v>9579</v>
      </c>
    </row>
    <row r="3248" spans="1:31" ht="8.65" customHeight="1" x14ac:dyDescent="0.2">
      <c r="A3248" s="76">
        <v>3248</v>
      </c>
      <c r="B3248" s="67" t="str">
        <f>MID(C3248, FIND("Ifc.", C3248) + 4, 4) &amp; "_" &amp; TEXT(COUNTIF($C$2:C3248, C3248),"0000")</f>
        <v>Enti_0381</v>
      </c>
      <c r="C3248" s="25" t="s">
        <v>874</v>
      </c>
      <c r="D3248" s="69" t="s">
        <v>9453</v>
      </c>
      <c r="E3248" s="70" t="s">
        <v>9457</v>
      </c>
      <c r="F3248" s="26" t="s">
        <v>798</v>
      </c>
      <c r="G3248" s="15" t="s">
        <v>798</v>
      </c>
      <c r="H3248" s="14" t="s">
        <v>798</v>
      </c>
      <c r="I3248" s="15" t="s">
        <v>798</v>
      </c>
      <c r="J3248" s="12" t="s">
        <v>9438</v>
      </c>
      <c r="K3248" s="16" t="s">
        <v>3320</v>
      </c>
      <c r="L3248" s="12" t="s">
        <v>800</v>
      </c>
      <c r="M3248" s="16" t="s">
        <v>4286</v>
      </c>
      <c r="N3248" s="19" t="s">
        <v>798</v>
      </c>
      <c r="O3248" s="20" t="s">
        <v>798</v>
      </c>
      <c r="P3248" s="17" t="s">
        <v>802</v>
      </c>
      <c r="Q3248" s="21" t="s">
        <v>8872</v>
      </c>
      <c r="R3248" s="19" t="s">
        <v>798</v>
      </c>
      <c r="S3248" s="20" t="s">
        <v>798</v>
      </c>
      <c r="T3248" s="17" t="s">
        <v>798</v>
      </c>
      <c r="U3248" s="20" t="s">
        <v>798</v>
      </c>
      <c r="V3248" s="26" t="s">
        <v>798</v>
      </c>
      <c r="W3248" s="20" t="s">
        <v>798</v>
      </c>
      <c r="X3248" s="26" t="s">
        <v>798</v>
      </c>
      <c r="Y3248" s="20" t="s">
        <v>798</v>
      </c>
      <c r="Z3248" s="69" t="s">
        <v>9486</v>
      </c>
      <c r="AA3248" s="72" t="s">
        <v>9497</v>
      </c>
      <c r="AB3248" s="73" t="s">
        <v>9486</v>
      </c>
      <c r="AC3248" s="74" t="s">
        <v>9562</v>
      </c>
      <c r="AD3248" s="73" t="s">
        <v>9578</v>
      </c>
      <c r="AE3248" s="74" t="s">
        <v>9579</v>
      </c>
    </row>
    <row r="3249" spans="1:31" ht="8.65" customHeight="1" x14ac:dyDescent="0.2">
      <c r="A3249" s="76">
        <v>3249</v>
      </c>
      <c r="B3249" s="67" t="str">
        <f>MID(C3249, FIND("Ifc.", C3249) + 4, 4) &amp; "_" &amp; TEXT(COUNTIF($C$2:C3249, C3249),"0000")</f>
        <v>Enti_0382</v>
      </c>
      <c r="C3249" s="25" t="s">
        <v>874</v>
      </c>
      <c r="D3249" s="69" t="s">
        <v>9453</v>
      </c>
      <c r="E3249" s="70" t="s">
        <v>9457</v>
      </c>
      <c r="F3249" s="26" t="s">
        <v>798</v>
      </c>
      <c r="G3249" s="15" t="s">
        <v>798</v>
      </c>
      <c r="H3249" s="14" t="s">
        <v>798</v>
      </c>
      <c r="I3249" s="15" t="s">
        <v>798</v>
      </c>
      <c r="J3249" s="12" t="s">
        <v>9438</v>
      </c>
      <c r="K3249" s="16" t="s">
        <v>3321</v>
      </c>
      <c r="L3249" s="12" t="s">
        <v>800</v>
      </c>
      <c r="M3249" s="16" t="s">
        <v>4287</v>
      </c>
      <c r="N3249" s="19" t="s">
        <v>798</v>
      </c>
      <c r="O3249" s="20" t="s">
        <v>798</v>
      </c>
      <c r="P3249" s="17" t="s">
        <v>802</v>
      </c>
      <c r="Q3249" s="21" t="s">
        <v>8873</v>
      </c>
      <c r="R3249" s="19" t="s">
        <v>798</v>
      </c>
      <c r="S3249" s="20" t="s">
        <v>798</v>
      </c>
      <c r="T3249" s="17" t="s">
        <v>798</v>
      </c>
      <c r="U3249" s="20" t="s">
        <v>798</v>
      </c>
      <c r="V3249" s="26" t="s">
        <v>798</v>
      </c>
      <c r="W3249" s="20" t="s">
        <v>798</v>
      </c>
      <c r="X3249" s="26" t="s">
        <v>798</v>
      </c>
      <c r="Y3249" s="20" t="s">
        <v>798</v>
      </c>
      <c r="Z3249" s="69" t="s">
        <v>9486</v>
      </c>
      <c r="AA3249" s="72" t="s">
        <v>9497</v>
      </c>
      <c r="AB3249" s="73" t="s">
        <v>9486</v>
      </c>
      <c r="AC3249" s="74" t="s">
        <v>9562</v>
      </c>
      <c r="AD3249" s="73" t="s">
        <v>9578</v>
      </c>
      <c r="AE3249" s="74" t="s">
        <v>9579</v>
      </c>
    </row>
    <row r="3250" spans="1:31" ht="8.65" customHeight="1" x14ac:dyDescent="0.2">
      <c r="A3250" s="76">
        <v>3250</v>
      </c>
      <c r="B3250" s="67" t="str">
        <f>MID(C3250, FIND("Ifc.", C3250) + 4, 4) &amp; "_" &amp; TEXT(COUNTIF($C$2:C3250, C3250),"0000")</f>
        <v>Enti_0383</v>
      </c>
      <c r="C3250" s="25" t="s">
        <v>874</v>
      </c>
      <c r="D3250" s="69" t="s">
        <v>9453</v>
      </c>
      <c r="E3250" s="70" t="s">
        <v>9457</v>
      </c>
      <c r="F3250" s="26" t="s">
        <v>798</v>
      </c>
      <c r="G3250" s="15" t="s">
        <v>798</v>
      </c>
      <c r="H3250" s="14" t="s">
        <v>798</v>
      </c>
      <c r="I3250" s="15" t="s">
        <v>798</v>
      </c>
      <c r="J3250" s="12" t="s">
        <v>9438</v>
      </c>
      <c r="K3250" s="16" t="s">
        <v>3322</v>
      </c>
      <c r="L3250" s="12" t="s">
        <v>800</v>
      </c>
      <c r="M3250" s="16" t="s">
        <v>4288</v>
      </c>
      <c r="N3250" s="19" t="s">
        <v>798</v>
      </c>
      <c r="O3250" s="20" t="s">
        <v>798</v>
      </c>
      <c r="P3250" s="17" t="s">
        <v>802</v>
      </c>
      <c r="Q3250" s="21" t="s">
        <v>8874</v>
      </c>
      <c r="R3250" s="19" t="s">
        <v>798</v>
      </c>
      <c r="S3250" s="20" t="s">
        <v>798</v>
      </c>
      <c r="T3250" s="17" t="s">
        <v>798</v>
      </c>
      <c r="U3250" s="20" t="s">
        <v>798</v>
      </c>
      <c r="V3250" s="26" t="s">
        <v>798</v>
      </c>
      <c r="W3250" s="20" t="s">
        <v>798</v>
      </c>
      <c r="X3250" s="26" t="s">
        <v>798</v>
      </c>
      <c r="Y3250" s="20" t="s">
        <v>798</v>
      </c>
      <c r="Z3250" s="69" t="s">
        <v>9486</v>
      </c>
      <c r="AA3250" s="72" t="s">
        <v>9497</v>
      </c>
      <c r="AB3250" s="73" t="s">
        <v>9486</v>
      </c>
      <c r="AC3250" s="74" t="s">
        <v>9562</v>
      </c>
      <c r="AD3250" s="73" t="s">
        <v>9578</v>
      </c>
      <c r="AE3250" s="74" t="s">
        <v>9579</v>
      </c>
    </row>
    <row r="3251" spans="1:31" ht="8.65" customHeight="1" x14ac:dyDescent="0.2">
      <c r="A3251" s="76">
        <v>3251</v>
      </c>
      <c r="B3251" s="67" t="str">
        <f>MID(C3251, FIND("Ifc.", C3251) + 4, 4) &amp; "_" &amp; TEXT(COUNTIF($C$2:C3251, C3251),"0000")</f>
        <v>Enti_0384</v>
      </c>
      <c r="C3251" s="25" t="s">
        <v>874</v>
      </c>
      <c r="D3251" s="69" t="s">
        <v>9453</v>
      </c>
      <c r="E3251" s="70" t="s">
        <v>9457</v>
      </c>
      <c r="F3251" s="26" t="s">
        <v>798</v>
      </c>
      <c r="G3251" s="15" t="s">
        <v>798</v>
      </c>
      <c r="H3251" s="14" t="s">
        <v>798</v>
      </c>
      <c r="I3251" s="15" t="s">
        <v>798</v>
      </c>
      <c r="J3251" s="12" t="s">
        <v>9438</v>
      </c>
      <c r="K3251" s="16" t="s">
        <v>3323</v>
      </c>
      <c r="L3251" s="12" t="s">
        <v>800</v>
      </c>
      <c r="M3251" s="16" t="s">
        <v>4289</v>
      </c>
      <c r="N3251" s="19" t="s">
        <v>798</v>
      </c>
      <c r="O3251" s="20" t="s">
        <v>798</v>
      </c>
      <c r="P3251" s="17" t="s">
        <v>802</v>
      </c>
      <c r="Q3251" s="21" t="s">
        <v>8875</v>
      </c>
      <c r="R3251" s="19" t="s">
        <v>798</v>
      </c>
      <c r="S3251" s="20" t="s">
        <v>798</v>
      </c>
      <c r="T3251" s="17" t="s">
        <v>798</v>
      </c>
      <c r="U3251" s="20" t="s">
        <v>798</v>
      </c>
      <c r="V3251" s="26" t="s">
        <v>798</v>
      </c>
      <c r="W3251" s="20" t="s">
        <v>798</v>
      </c>
      <c r="X3251" s="26" t="s">
        <v>798</v>
      </c>
      <c r="Y3251" s="20" t="s">
        <v>798</v>
      </c>
      <c r="Z3251" s="69" t="s">
        <v>9486</v>
      </c>
      <c r="AA3251" s="72" t="s">
        <v>9497</v>
      </c>
      <c r="AB3251" s="73" t="s">
        <v>9486</v>
      </c>
      <c r="AC3251" s="74" t="s">
        <v>9562</v>
      </c>
      <c r="AD3251" s="73" t="s">
        <v>9578</v>
      </c>
      <c r="AE3251" s="74" t="s">
        <v>9579</v>
      </c>
    </row>
    <row r="3252" spans="1:31" ht="8.65" customHeight="1" x14ac:dyDescent="0.2">
      <c r="A3252" s="76">
        <v>3252</v>
      </c>
      <c r="B3252" s="67" t="str">
        <f>MID(C3252, FIND("Ifc.", C3252) + 4, 4) &amp; "_" &amp; TEXT(COUNTIF($C$2:C3252, C3252),"0000")</f>
        <v>Enti_0385</v>
      </c>
      <c r="C3252" s="25" t="s">
        <v>874</v>
      </c>
      <c r="D3252" s="69" t="s">
        <v>9453</v>
      </c>
      <c r="E3252" s="70" t="s">
        <v>9457</v>
      </c>
      <c r="F3252" s="26" t="s">
        <v>798</v>
      </c>
      <c r="G3252" s="15" t="s">
        <v>798</v>
      </c>
      <c r="H3252" s="14" t="s">
        <v>798</v>
      </c>
      <c r="I3252" s="15" t="s">
        <v>798</v>
      </c>
      <c r="J3252" s="12" t="s">
        <v>9438</v>
      </c>
      <c r="K3252" s="16" t="s">
        <v>3324</v>
      </c>
      <c r="L3252" s="12" t="s">
        <v>800</v>
      </c>
      <c r="M3252" s="16" t="s">
        <v>4290</v>
      </c>
      <c r="N3252" s="19" t="s">
        <v>798</v>
      </c>
      <c r="O3252" s="20" t="s">
        <v>798</v>
      </c>
      <c r="P3252" s="17" t="s">
        <v>802</v>
      </c>
      <c r="Q3252" s="21" t="s">
        <v>8876</v>
      </c>
      <c r="R3252" s="19" t="s">
        <v>798</v>
      </c>
      <c r="S3252" s="20" t="s">
        <v>798</v>
      </c>
      <c r="T3252" s="17" t="s">
        <v>798</v>
      </c>
      <c r="U3252" s="20" t="s">
        <v>798</v>
      </c>
      <c r="V3252" s="26" t="s">
        <v>798</v>
      </c>
      <c r="W3252" s="20" t="s">
        <v>798</v>
      </c>
      <c r="X3252" s="26" t="s">
        <v>798</v>
      </c>
      <c r="Y3252" s="20" t="s">
        <v>798</v>
      </c>
      <c r="Z3252" s="69" t="s">
        <v>9486</v>
      </c>
      <c r="AA3252" s="72" t="s">
        <v>9497</v>
      </c>
      <c r="AB3252" s="73" t="s">
        <v>9486</v>
      </c>
      <c r="AC3252" s="74" t="s">
        <v>9562</v>
      </c>
      <c r="AD3252" s="73" t="s">
        <v>9578</v>
      </c>
      <c r="AE3252" s="74" t="s">
        <v>9579</v>
      </c>
    </row>
    <row r="3253" spans="1:31" ht="8.65" customHeight="1" x14ac:dyDescent="0.2">
      <c r="A3253" s="76">
        <v>3253</v>
      </c>
      <c r="B3253" s="67" t="str">
        <f>MID(C3253, FIND("Ifc.", C3253) + 4, 4) &amp; "_" &amp; TEXT(COUNTIF($C$2:C3253, C3253),"0000")</f>
        <v>Enti_0386</v>
      </c>
      <c r="C3253" s="25" t="s">
        <v>874</v>
      </c>
      <c r="D3253" s="69" t="s">
        <v>9453</v>
      </c>
      <c r="E3253" s="70" t="s">
        <v>9457</v>
      </c>
      <c r="F3253" s="26" t="s">
        <v>798</v>
      </c>
      <c r="G3253" s="15" t="s">
        <v>798</v>
      </c>
      <c r="H3253" s="14" t="s">
        <v>798</v>
      </c>
      <c r="I3253" s="15" t="s">
        <v>798</v>
      </c>
      <c r="J3253" s="12" t="s">
        <v>9438</v>
      </c>
      <c r="K3253" s="16" t="s">
        <v>3325</v>
      </c>
      <c r="L3253" s="12" t="s">
        <v>800</v>
      </c>
      <c r="M3253" s="16" t="s">
        <v>4291</v>
      </c>
      <c r="N3253" s="19" t="s">
        <v>798</v>
      </c>
      <c r="O3253" s="20" t="s">
        <v>798</v>
      </c>
      <c r="P3253" s="17" t="s">
        <v>802</v>
      </c>
      <c r="Q3253" s="21" t="s">
        <v>8877</v>
      </c>
      <c r="R3253" s="19" t="s">
        <v>798</v>
      </c>
      <c r="S3253" s="20" t="s">
        <v>798</v>
      </c>
      <c r="T3253" s="17" t="s">
        <v>798</v>
      </c>
      <c r="U3253" s="20" t="s">
        <v>798</v>
      </c>
      <c r="V3253" s="26" t="s">
        <v>798</v>
      </c>
      <c r="W3253" s="20" t="s">
        <v>798</v>
      </c>
      <c r="X3253" s="26" t="s">
        <v>798</v>
      </c>
      <c r="Y3253" s="20" t="s">
        <v>798</v>
      </c>
      <c r="Z3253" s="69" t="s">
        <v>9486</v>
      </c>
      <c r="AA3253" s="72" t="s">
        <v>9497</v>
      </c>
      <c r="AB3253" s="73" t="s">
        <v>9486</v>
      </c>
      <c r="AC3253" s="74" t="s">
        <v>9562</v>
      </c>
      <c r="AD3253" s="73" t="s">
        <v>9578</v>
      </c>
      <c r="AE3253" s="74" t="s">
        <v>9579</v>
      </c>
    </row>
    <row r="3254" spans="1:31" ht="8.65" customHeight="1" x14ac:dyDescent="0.2">
      <c r="A3254" s="76">
        <v>3254</v>
      </c>
      <c r="B3254" s="67" t="str">
        <f>MID(C3254, FIND("Ifc.", C3254) + 4, 4) &amp; "_" &amp; TEXT(COUNTIF($C$2:C3254, C3254),"0000")</f>
        <v>Enti_0387</v>
      </c>
      <c r="C3254" s="25" t="s">
        <v>874</v>
      </c>
      <c r="D3254" s="69" t="s">
        <v>9453</v>
      </c>
      <c r="E3254" s="70" t="s">
        <v>9457</v>
      </c>
      <c r="F3254" s="26" t="s">
        <v>798</v>
      </c>
      <c r="G3254" s="15" t="s">
        <v>798</v>
      </c>
      <c r="H3254" s="14" t="s">
        <v>798</v>
      </c>
      <c r="I3254" s="15" t="s">
        <v>798</v>
      </c>
      <c r="J3254" s="12" t="s">
        <v>9438</v>
      </c>
      <c r="K3254" s="16" t="s">
        <v>3326</v>
      </c>
      <c r="L3254" s="12" t="s">
        <v>800</v>
      </c>
      <c r="M3254" s="16" t="s">
        <v>4292</v>
      </c>
      <c r="N3254" s="19" t="s">
        <v>798</v>
      </c>
      <c r="O3254" s="20" t="s">
        <v>798</v>
      </c>
      <c r="P3254" s="17" t="s">
        <v>802</v>
      </c>
      <c r="Q3254" s="21" t="s">
        <v>8878</v>
      </c>
      <c r="R3254" s="19" t="s">
        <v>798</v>
      </c>
      <c r="S3254" s="20" t="s">
        <v>798</v>
      </c>
      <c r="T3254" s="17" t="s">
        <v>798</v>
      </c>
      <c r="U3254" s="20" t="s">
        <v>798</v>
      </c>
      <c r="V3254" s="26" t="s">
        <v>798</v>
      </c>
      <c r="W3254" s="20" t="s">
        <v>798</v>
      </c>
      <c r="X3254" s="26" t="s">
        <v>798</v>
      </c>
      <c r="Y3254" s="20" t="s">
        <v>798</v>
      </c>
      <c r="Z3254" s="69" t="s">
        <v>9486</v>
      </c>
      <c r="AA3254" s="72" t="s">
        <v>9497</v>
      </c>
      <c r="AB3254" s="73" t="s">
        <v>9486</v>
      </c>
      <c r="AC3254" s="74" t="s">
        <v>9562</v>
      </c>
      <c r="AD3254" s="73" t="s">
        <v>9578</v>
      </c>
      <c r="AE3254" s="74" t="s">
        <v>9579</v>
      </c>
    </row>
    <row r="3255" spans="1:31" ht="8.65" customHeight="1" x14ac:dyDescent="0.2">
      <c r="A3255" s="76">
        <v>3255</v>
      </c>
      <c r="B3255" s="67" t="str">
        <f>MID(C3255, FIND("Ifc.", C3255) + 4, 4) &amp; "_" &amp; TEXT(COUNTIF($C$2:C3255, C3255),"0000")</f>
        <v>Enti_0388</v>
      </c>
      <c r="C3255" s="25" t="s">
        <v>874</v>
      </c>
      <c r="D3255" s="69" t="s">
        <v>9453</v>
      </c>
      <c r="E3255" s="70" t="s">
        <v>9457</v>
      </c>
      <c r="F3255" s="26" t="s">
        <v>798</v>
      </c>
      <c r="G3255" s="15" t="s">
        <v>798</v>
      </c>
      <c r="H3255" s="14" t="s">
        <v>798</v>
      </c>
      <c r="I3255" s="15" t="s">
        <v>798</v>
      </c>
      <c r="J3255" s="12" t="s">
        <v>9438</v>
      </c>
      <c r="K3255" s="16" t="s">
        <v>3327</v>
      </c>
      <c r="L3255" s="12" t="s">
        <v>800</v>
      </c>
      <c r="M3255" s="16" t="s">
        <v>4293</v>
      </c>
      <c r="N3255" s="19" t="s">
        <v>798</v>
      </c>
      <c r="O3255" s="20" t="s">
        <v>798</v>
      </c>
      <c r="P3255" s="17" t="s">
        <v>802</v>
      </c>
      <c r="Q3255" s="21" t="s">
        <v>8879</v>
      </c>
      <c r="R3255" s="19" t="s">
        <v>798</v>
      </c>
      <c r="S3255" s="20" t="s">
        <v>798</v>
      </c>
      <c r="T3255" s="17" t="s">
        <v>798</v>
      </c>
      <c r="U3255" s="20" t="s">
        <v>798</v>
      </c>
      <c r="V3255" s="26" t="s">
        <v>798</v>
      </c>
      <c r="W3255" s="20" t="s">
        <v>798</v>
      </c>
      <c r="X3255" s="26" t="s">
        <v>798</v>
      </c>
      <c r="Y3255" s="20" t="s">
        <v>798</v>
      </c>
      <c r="Z3255" s="69" t="s">
        <v>9486</v>
      </c>
      <c r="AA3255" s="72" t="s">
        <v>9497</v>
      </c>
      <c r="AB3255" s="73" t="s">
        <v>9486</v>
      </c>
      <c r="AC3255" s="74" t="s">
        <v>9562</v>
      </c>
      <c r="AD3255" s="73" t="s">
        <v>9578</v>
      </c>
      <c r="AE3255" s="74" t="s">
        <v>9579</v>
      </c>
    </row>
    <row r="3256" spans="1:31" ht="8.65" customHeight="1" x14ac:dyDescent="0.2">
      <c r="A3256" s="76">
        <v>3256</v>
      </c>
      <c r="B3256" s="67" t="str">
        <f>MID(C3256, FIND("Ifc.", C3256) + 4, 4) &amp; "_" &amp; TEXT(COUNTIF($C$2:C3256, C3256),"0000")</f>
        <v>Enti_0389</v>
      </c>
      <c r="C3256" s="25" t="s">
        <v>874</v>
      </c>
      <c r="D3256" s="69" t="s">
        <v>9453</v>
      </c>
      <c r="E3256" s="70" t="s">
        <v>9457</v>
      </c>
      <c r="F3256" s="26" t="s">
        <v>798</v>
      </c>
      <c r="G3256" s="15" t="s">
        <v>798</v>
      </c>
      <c r="H3256" s="14" t="s">
        <v>798</v>
      </c>
      <c r="I3256" s="15" t="s">
        <v>798</v>
      </c>
      <c r="J3256" s="12" t="s">
        <v>9438</v>
      </c>
      <c r="K3256" s="16" t="s">
        <v>3328</v>
      </c>
      <c r="L3256" s="12" t="s">
        <v>800</v>
      </c>
      <c r="M3256" s="16" t="s">
        <v>4294</v>
      </c>
      <c r="N3256" s="19" t="s">
        <v>798</v>
      </c>
      <c r="O3256" s="20" t="s">
        <v>798</v>
      </c>
      <c r="P3256" s="17" t="s">
        <v>802</v>
      </c>
      <c r="Q3256" s="21" t="s">
        <v>8880</v>
      </c>
      <c r="R3256" s="19" t="s">
        <v>798</v>
      </c>
      <c r="S3256" s="20" t="s">
        <v>798</v>
      </c>
      <c r="T3256" s="17" t="s">
        <v>798</v>
      </c>
      <c r="U3256" s="20" t="s">
        <v>798</v>
      </c>
      <c r="V3256" s="26" t="s">
        <v>798</v>
      </c>
      <c r="W3256" s="20" t="s">
        <v>798</v>
      </c>
      <c r="X3256" s="26" t="s">
        <v>798</v>
      </c>
      <c r="Y3256" s="20" t="s">
        <v>798</v>
      </c>
      <c r="Z3256" s="69" t="s">
        <v>9486</v>
      </c>
      <c r="AA3256" s="72" t="s">
        <v>9497</v>
      </c>
      <c r="AB3256" s="73" t="s">
        <v>9486</v>
      </c>
      <c r="AC3256" s="74" t="s">
        <v>9562</v>
      </c>
      <c r="AD3256" s="73" t="s">
        <v>9578</v>
      </c>
      <c r="AE3256" s="74" t="s">
        <v>9579</v>
      </c>
    </row>
    <row r="3257" spans="1:31" ht="8.65" customHeight="1" x14ac:dyDescent="0.2">
      <c r="A3257" s="76">
        <v>3257</v>
      </c>
      <c r="B3257" s="67" t="str">
        <f>MID(C3257, FIND("Ifc.", C3257) + 4, 4) &amp; "_" &amp; TEXT(COUNTIF($C$2:C3257, C3257),"0000")</f>
        <v>Enti_0390</v>
      </c>
      <c r="C3257" s="25" t="s">
        <v>874</v>
      </c>
      <c r="D3257" s="69" t="s">
        <v>9453</v>
      </c>
      <c r="E3257" s="70" t="s">
        <v>9457</v>
      </c>
      <c r="F3257" s="26" t="s">
        <v>798</v>
      </c>
      <c r="G3257" s="15" t="s">
        <v>798</v>
      </c>
      <c r="H3257" s="14" t="s">
        <v>798</v>
      </c>
      <c r="I3257" s="15" t="s">
        <v>798</v>
      </c>
      <c r="J3257" s="12" t="s">
        <v>9438</v>
      </c>
      <c r="K3257" s="16" t="s">
        <v>3329</v>
      </c>
      <c r="L3257" s="12" t="s">
        <v>800</v>
      </c>
      <c r="M3257" s="16" t="s">
        <v>4295</v>
      </c>
      <c r="N3257" s="19" t="s">
        <v>798</v>
      </c>
      <c r="O3257" s="20" t="s">
        <v>798</v>
      </c>
      <c r="P3257" s="17" t="s">
        <v>802</v>
      </c>
      <c r="Q3257" s="21" t="s">
        <v>8881</v>
      </c>
      <c r="R3257" s="19" t="s">
        <v>798</v>
      </c>
      <c r="S3257" s="20" t="s">
        <v>798</v>
      </c>
      <c r="T3257" s="17" t="s">
        <v>798</v>
      </c>
      <c r="U3257" s="20" t="s">
        <v>798</v>
      </c>
      <c r="V3257" s="26" t="s">
        <v>798</v>
      </c>
      <c r="W3257" s="20" t="s">
        <v>798</v>
      </c>
      <c r="X3257" s="26" t="s">
        <v>798</v>
      </c>
      <c r="Y3257" s="20" t="s">
        <v>798</v>
      </c>
      <c r="Z3257" s="69" t="s">
        <v>9486</v>
      </c>
      <c r="AA3257" s="72" t="s">
        <v>9497</v>
      </c>
      <c r="AB3257" s="73" t="s">
        <v>9486</v>
      </c>
      <c r="AC3257" s="74" t="s">
        <v>9562</v>
      </c>
      <c r="AD3257" s="73" t="s">
        <v>9578</v>
      </c>
      <c r="AE3257" s="74" t="s">
        <v>9579</v>
      </c>
    </row>
    <row r="3258" spans="1:31" ht="8.65" customHeight="1" x14ac:dyDescent="0.2">
      <c r="A3258" s="76">
        <v>3258</v>
      </c>
      <c r="B3258" s="67" t="str">
        <f>MID(C3258, FIND("Ifc.", C3258) + 4, 4) &amp; "_" &amp; TEXT(COUNTIF($C$2:C3258, C3258),"0000")</f>
        <v>Enti_0391</v>
      </c>
      <c r="C3258" s="25" t="s">
        <v>874</v>
      </c>
      <c r="D3258" s="69" t="s">
        <v>9453</v>
      </c>
      <c r="E3258" s="70" t="s">
        <v>9457</v>
      </c>
      <c r="F3258" s="26" t="s">
        <v>798</v>
      </c>
      <c r="G3258" s="15" t="s">
        <v>798</v>
      </c>
      <c r="H3258" s="14" t="s">
        <v>798</v>
      </c>
      <c r="I3258" s="15" t="s">
        <v>798</v>
      </c>
      <c r="J3258" s="12" t="s">
        <v>9438</v>
      </c>
      <c r="K3258" s="16" t="s">
        <v>3330</v>
      </c>
      <c r="L3258" s="12" t="s">
        <v>800</v>
      </c>
      <c r="M3258" s="16" t="s">
        <v>4296</v>
      </c>
      <c r="N3258" s="19" t="s">
        <v>798</v>
      </c>
      <c r="O3258" s="20" t="s">
        <v>798</v>
      </c>
      <c r="P3258" s="17" t="s">
        <v>802</v>
      </c>
      <c r="Q3258" s="21" t="s">
        <v>8882</v>
      </c>
      <c r="R3258" s="19" t="s">
        <v>798</v>
      </c>
      <c r="S3258" s="20" t="s">
        <v>798</v>
      </c>
      <c r="T3258" s="17" t="s">
        <v>798</v>
      </c>
      <c r="U3258" s="20" t="s">
        <v>798</v>
      </c>
      <c r="V3258" s="26" t="s">
        <v>798</v>
      </c>
      <c r="W3258" s="20" t="s">
        <v>798</v>
      </c>
      <c r="X3258" s="26" t="s">
        <v>798</v>
      </c>
      <c r="Y3258" s="20" t="s">
        <v>798</v>
      </c>
      <c r="Z3258" s="69" t="s">
        <v>9486</v>
      </c>
      <c r="AA3258" s="72" t="s">
        <v>9497</v>
      </c>
      <c r="AB3258" s="73" t="s">
        <v>9486</v>
      </c>
      <c r="AC3258" s="74" t="s">
        <v>9562</v>
      </c>
      <c r="AD3258" s="73" t="s">
        <v>9578</v>
      </c>
      <c r="AE3258" s="74" t="s">
        <v>9579</v>
      </c>
    </row>
    <row r="3259" spans="1:31" ht="8.65" customHeight="1" x14ac:dyDescent="0.2">
      <c r="A3259" s="76">
        <v>3259</v>
      </c>
      <c r="B3259" s="67" t="str">
        <f>MID(C3259, FIND("Ifc.", C3259) + 4, 4) &amp; "_" &amp; TEXT(COUNTIF($C$2:C3259, C3259),"0000")</f>
        <v>Enti_0392</v>
      </c>
      <c r="C3259" s="25" t="s">
        <v>874</v>
      </c>
      <c r="D3259" s="69" t="s">
        <v>9453</v>
      </c>
      <c r="E3259" s="70" t="s">
        <v>9457</v>
      </c>
      <c r="F3259" s="26" t="s">
        <v>798</v>
      </c>
      <c r="G3259" s="15" t="s">
        <v>798</v>
      </c>
      <c r="H3259" s="14" t="s">
        <v>798</v>
      </c>
      <c r="I3259" s="15" t="s">
        <v>798</v>
      </c>
      <c r="J3259" s="12" t="s">
        <v>9438</v>
      </c>
      <c r="K3259" s="16" t="s">
        <v>3331</v>
      </c>
      <c r="L3259" s="12" t="s">
        <v>800</v>
      </c>
      <c r="M3259" s="16" t="s">
        <v>4297</v>
      </c>
      <c r="N3259" s="19" t="s">
        <v>798</v>
      </c>
      <c r="O3259" s="20" t="s">
        <v>798</v>
      </c>
      <c r="P3259" s="17" t="s">
        <v>802</v>
      </c>
      <c r="Q3259" s="21" t="s">
        <v>8883</v>
      </c>
      <c r="R3259" s="19" t="s">
        <v>798</v>
      </c>
      <c r="S3259" s="20" t="s">
        <v>798</v>
      </c>
      <c r="T3259" s="17" t="s">
        <v>798</v>
      </c>
      <c r="U3259" s="20" t="s">
        <v>798</v>
      </c>
      <c r="V3259" s="26" t="s">
        <v>798</v>
      </c>
      <c r="W3259" s="20" t="s">
        <v>798</v>
      </c>
      <c r="X3259" s="26" t="s">
        <v>798</v>
      </c>
      <c r="Y3259" s="20" t="s">
        <v>798</v>
      </c>
      <c r="Z3259" s="69" t="s">
        <v>9486</v>
      </c>
      <c r="AA3259" s="72" t="s">
        <v>9497</v>
      </c>
      <c r="AB3259" s="73" t="s">
        <v>9486</v>
      </c>
      <c r="AC3259" s="74" t="s">
        <v>9562</v>
      </c>
      <c r="AD3259" s="73" t="s">
        <v>9578</v>
      </c>
      <c r="AE3259" s="74" t="s">
        <v>9579</v>
      </c>
    </row>
    <row r="3260" spans="1:31" ht="8.65" customHeight="1" x14ac:dyDescent="0.2">
      <c r="A3260" s="76">
        <v>3260</v>
      </c>
      <c r="B3260" s="67" t="str">
        <f>MID(C3260, FIND("Ifc.", C3260) + 4, 4) &amp; "_" &amp; TEXT(COUNTIF($C$2:C3260, C3260),"0000")</f>
        <v>Enti_0393</v>
      </c>
      <c r="C3260" s="25" t="s">
        <v>874</v>
      </c>
      <c r="D3260" s="69" t="s">
        <v>9453</v>
      </c>
      <c r="E3260" s="70" t="s">
        <v>9457</v>
      </c>
      <c r="F3260" s="26" t="s">
        <v>798</v>
      </c>
      <c r="G3260" s="15" t="s">
        <v>798</v>
      </c>
      <c r="H3260" s="14" t="s">
        <v>798</v>
      </c>
      <c r="I3260" s="15" t="s">
        <v>798</v>
      </c>
      <c r="J3260" s="12" t="s">
        <v>9438</v>
      </c>
      <c r="K3260" s="16" t="s">
        <v>3332</v>
      </c>
      <c r="L3260" s="12" t="s">
        <v>800</v>
      </c>
      <c r="M3260" s="16" t="s">
        <v>4298</v>
      </c>
      <c r="N3260" s="19" t="s">
        <v>798</v>
      </c>
      <c r="O3260" s="20" t="s">
        <v>798</v>
      </c>
      <c r="P3260" s="17" t="s">
        <v>802</v>
      </c>
      <c r="Q3260" s="21" t="s">
        <v>8884</v>
      </c>
      <c r="R3260" s="19" t="s">
        <v>798</v>
      </c>
      <c r="S3260" s="20" t="s">
        <v>798</v>
      </c>
      <c r="T3260" s="17" t="s">
        <v>798</v>
      </c>
      <c r="U3260" s="20" t="s">
        <v>798</v>
      </c>
      <c r="V3260" s="26" t="s">
        <v>798</v>
      </c>
      <c r="W3260" s="20" t="s">
        <v>798</v>
      </c>
      <c r="X3260" s="26" t="s">
        <v>798</v>
      </c>
      <c r="Y3260" s="20" t="s">
        <v>798</v>
      </c>
      <c r="Z3260" s="69" t="s">
        <v>9486</v>
      </c>
      <c r="AA3260" s="72" t="s">
        <v>9497</v>
      </c>
      <c r="AB3260" s="73" t="s">
        <v>9486</v>
      </c>
      <c r="AC3260" s="74" t="s">
        <v>9562</v>
      </c>
      <c r="AD3260" s="73" t="s">
        <v>9578</v>
      </c>
      <c r="AE3260" s="74" t="s">
        <v>9579</v>
      </c>
    </row>
    <row r="3261" spans="1:31" ht="8.65" customHeight="1" x14ac:dyDescent="0.2">
      <c r="A3261" s="76">
        <v>3261</v>
      </c>
      <c r="B3261" s="67" t="str">
        <f>MID(C3261, FIND("Ifc.", C3261) + 4, 4) &amp; "_" &amp; TEXT(COUNTIF($C$2:C3261, C3261),"0000")</f>
        <v>Enti_0394</v>
      </c>
      <c r="C3261" s="25" t="s">
        <v>874</v>
      </c>
      <c r="D3261" s="69" t="s">
        <v>9453</v>
      </c>
      <c r="E3261" s="70" t="s">
        <v>9457</v>
      </c>
      <c r="F3261" s="26" t="s">
        <v>798</v>
      </c>
      <c r="G3261" s="15" t="s">
        <v>798</v>
      </c>
      <c r="H3261" s="14" t="s">
        <v>798</v>
      </c>
      <c r="I3261" s="15" t="s">
        <v>798</v>
      </c>
      <c r="J3261" s="12" t="s">
        <v>9438</v>
      </c>
      <c r="K3261" s="16" t="s">
        <v>3333</v>
      </c>
      <c r="L3261" s="12" t="s">
        <v>800</v>
      </c>
      <c r="M3261" s="16" t="s">
        <v>4299</v>
      </c>
      <c r="N3261" s="19" t="s">
        <v>798</v>
      </c>
      <c r="O3261" s="20" t="s">
        <v>798</v>
      </c>
      <c r="P3261" s="17" t="s">
        <v>802</v>
      </c>
      <c r="Q3261" s="21" t="s">
        <v>8885</v>
      </c>
      <c r="R3261" s="19" t="s">
        <v>798</v>
      </c>
      <c r="S3261" s="20" t="s">
        <v>798</v>
      </c>
      <c r="T3261" s="17" t="s">
        <v>798</v>
      </c>
      <c r="U3261" s="20" t="s">
        <v>798</v>
      </c>
      <c r="V3261" s="26" t="s">
        <v>798</v>
      </c>
      <c r="W3261" s="20" t="s">
        <v>798</v>
      </c>
      <c r="X3261" s="26" t="s">
        <v>798</v>
      </c>
      <c r="Y3261" s="20" t="s">
        <v>798</v>
      </c>
      <c r="Z3261" s="69" t="s">
        <v>9486</v>
      </c>
      <c r="AA3261" s="72" t="s">
        <v>9497</v>
      </c>
      <c r="AB3261" s="73" t="s">
        <v>9486</v>
      </c>
      <c r="AC3261" s="74" t="s">
        <v>9562</v>
      </c>
      <c r="AD3261" s="73" t="s">
        <v>9578</v>
      </c>
      <c r="AE3261" s="74" t="s">
        <v>9579</v>
      </c>
    </row>
    <row r="3262" spans="1:31" ht="8.65" customHeight="1" x14ac:dyDescent="0.2">
      <c r="A3262" s="76">
        <v>3262</v>
      </c>
      <c r="B3262" s="67" t="str">
        <f>MID(C3262, FIND("Ifc.", C3262) + 4, 4) &amp; "_" &amp; TEXT(COUNTIF($C$2:C3262, C3262),"0000")</f>
        <v>Enti_0395</v>
      </c>
      <c r="C3262" s="25" t="s">
        <v>874</v>
      </c>
      <c r="D3262" s="69" t="s">
        <v>9453</v>
      </c>
      <c r="E3262" s="70" t="s">
        <v>9457</v>
      </c>
      <c r="F3262" s="26" t="s">
        <v>798</v>
      </c>
      <c r="G3262" s="15" t="s">
        <v>798</v>
      </c>
      <c r="H3262" s="14" t="s">
        <v>798</v>
      </c>
      <c r="I3262" s="15" t="s">
        <v>798</v>
      </c>
      <c r="J3262" s="12" t="s">
        <v>9438</v>
      </c>
      <c r="K3262" s="16" t="s">
        <v>3334</v>
      </c>
      <c r="L3262" s="12" t="s">
        <v>800</v>
      </c>
      <c r="M3262" s="16" t="s">
        <v>4300</v>
      </c>
      <c r="N3262" s="19" t="s">
        <v>798</v>
      </c>
      <c r="O3262" s="20" t="s">
        <v>798</v>
      </c>
      <c r="P3262" s="17" t="s">
        <v>802</v>
      </c>
      <c r="Q3262" s="21" t="s">
        <v>8886</v>
      </c>
      <c r="R3262" s="19" t="s">
        <v>798</v>
      </c>
      <c r="S3262" s="20" t="s">
        <v>798</v>
      </c>
      <c r="T3262" s="17" t="s">
        <v>798</v>
      </c>
      <c r="U3262" s="20" t="s">
        <v>798</v>
      </c>
      <c r="V3262" s="26" t="s">
        <v>798</v>
      </c>
      <c r="W3262" s="20" t="s">
        <v>798</v>
      </c>
      <c r="X3262" s="26" t="s">
        <v>798</v>
      </c>
      <c r="Y3262" s="20" t="s">
        <v>798</v>
      </c>
      <c r="Z3262" s="69" t="s">
        <v>9486</v>
      </c>
      <c r="AA3262" s="72" t="s">
        <v>9497</v>
      </c>
      <c r="AB3262" s="73" t="s">
        <v>9486</v>
      </c>
      <c r="AC3262" s="74" t="s">
        <v>9562</v>
      </c>
      <c r="AD3262" s="73" t="s">
        <v>9578</v>
      </c>
      <c r="AE3262" s="74" t="s">
        <v>9579</v>
      </c>
    </row>
    <row r="3263" spans="1:31" ht="8.65" customHeight="1" x14ac:dyDescent="0.2">
      <c r="A3263" s="76">
        <v>3263</v>
      </c>
      <c r="B3263" s="67" t="str">
        <f>MID(C3263, FIND("Ifc.", C3263) + 4, 4) &amp; "_" &amp; TEXT(COUNTIF($C$2:C3263, C3263),"0000")</f>
        <v>Enti_0396</v>
      </c>
      <c r="C3263" s="25" t="s">
        <v>874</v>
      </c>
      <c r="D3263" s="69" t="s">
        <v>9453</v>
      </c>
      <c r="E3263" s="70" t="s">
        <v>9457</v>
      </c>
      <c r="F3263" s="26" t="s">
        <v>798</v>
      </c>
      <c r="G3263" s="15" t="s">
        <v>798</v>
      </c>
      <c r="H3263" s="14" t="s">
        <v>798</v>
      </c>
      <c r="I3263" s="15" t="s">
        <v>798</v>
      </c>
      <c r="J3263" s="12" t="s">
        <v>9438</v>
      </c>
      <c r="K3263" s="16" t="s">
        <v>3335</v>
      </c>
      <c r="L3263" s="12" t="s">
        <v>800</v>
      </c>
      <c r="M3263" s="16" t="s">
        <v>4301</v>
      </c>
      <c r="N3263" s="19" t="s">
        <v>798</v>
      </c>
      <c r="O3263" s="20" t="s">
        <v>798</v>
      </c>
      <c r="P3263" s="17" t="s">
        <v>802</v>
      </c>
      <c r="Q3263" s="21" t="s">
        <v>8887</v>
      </c>
      <c r="R3263" s="19" t="s">
        <v>798</v>
      </c>
      <c r="S3263" s="20" t="s">
        <v>798</v>
      </c>
      <c r="T3263" s="17" t="s">
        <v>798</v>
      </c>
      <c r="U3263" s="20" t="s">
        <v>798</v>
      </c>
      <c r="V3263" s="26" t="s">
        <v>798</v>
      </c>
      <c r="W3263" s="20" t="s">
        <v>798</v>
      </c>
      <c r="X3263" s="26" t="s">
        <v>798</v>
      </c>
      <c r="Y3263" s="20" t="s">
        <v>798</v>
      </c>
      <c r="Z3263" s="69" t="s">
        <v>9486</v>
      </c>
      <c r="AA3263" s="72" t="s">
        <v>9497</v>
      </c>
      <c r="AB3263" s="73" t="s">
        <v>9486</v>
      </c>
      <c r="AC3263" s="74" t="s">
        <v>9562</v>
      </c>
      <c r="AD3263" s="73" t="s">
        <v>9578</v>
      </c>
      <c r="AE3263" s="74" t="s">
        <v>9579</v>
      </c>
    </row>
    <row r="3264" spans="1:31" ht="8.65" customHeight="1" x14ac:dyDescent="0.2">
      <c r="A3264" s="76">
        <v>3264</v>
      </c>
      <c r="B3264" s="67" t="str">
        <f>MID(C3264, FIND("Ifc.", C3264) + 4, 4) &amp; "_" &amp; TEXT(COUNTIF($C$2:C3264, C3264),"0000")</f>
        <v>Enti_0397</v>
      </c>
      <c r="C3264" s="25" t="s">
        <v>874</v>
      </c>
      <c r="D3264" s="69" t="s">
        <v>9453</v>
      </c>
      <c r="E3264" s="70" t="s">
        <v>9457</v>
      </c>
      <c r="F3264" s="26" t="s">
        <v>798</v>
      </c>
      <c r="G3264" s="15" t="s">
        <v>798</v>
      </c>
      <c r="H3264" s="14" t="s">
        <v>798</v>
      </c>
      <c r="I3264" s="15" t="s">
        <v>798</v>
      </c>
      <c r="J3264" s="12" t="s">
        <v>9438</v>
      </c>
      <c r="K3264" s="16" t="s">
        <v>3336</v>
      </c>
      <c r="L3264" s="12" t="s">
        <v>800</v>
      </c>
      <c r="M3264" s="16" t="s">
        <v>4302</v>
      </c>
      <c r="N3264" s="19" t="s">
        <v>798</v>
      </c>
      <c r="O3264" s="20" t="s">
        <v>798</v>
      </c>
      <c r="P3264" s="17" t="s">
        <v>802</v>
      </c>
      <c r="Q3264" s="21" t="s">
        <v>8888</v>
      </c>
      <c r="R3264" s="19" t="s">
        <v>798</v>
      </c>
      <c r="S3264" s="20" t="s">
        <v>798</v>
      </c>
      <c r="T3264" s="17" t="s">
        <v>798</v>
      </c>
      <c r="U3264" s="20" t="s">
        <v>798</v>
      </c>
      <c r="V3264" s="26" t="s">
        <v>798</v>
      </c>
      <c r="W3264" s="20" t="s">
        <v>798</v>
      </c>
      <c r="X3264" s="26" t="s">
        <v>798</v>
      </c>
      <c r="Y3264" s="20" t="s">
        <v>798</v>
      </c>
      <c r="Z3264" s="69" t="s">
        <v>9486</v>
      </c>
      <c r="AA3264" s="72" t="s">
        <v>9497</v>
      </c>
      <c r="AB3264" s="73" t="s">
        <v>9486</v>
      </c>
      <c r="AC3264" s="74" t="s">
        <v>9562</v>
      </c>
      <c r="AD3264" s="73" t="s">
        <v>9578</v>
      </c>
      <c r="AE3264" s="74" t="s">
        <v>9579</v>
      </c>
    </row>
    <row r="3265" spans="1:31" ht="8.65" customHeight="1" x14ac:dyDescent="0.2">
      <c r="A3265" s="76">
        <v>3265</v>
      </c>
      <c r="B3265" s="67" t="str">
        <f>MID(C3265, FIND("Ifc.", C3265) + 4, 4) &amp; "_" &amp; TEXT(COUNTIF($C$2:C3265, C3265),"0000")</f>
        <v>Enti_0398</v>
      </c>
      <c r="C3265" s="25" t="s">
        <v>874</v>
      </c>
      <c r="D3265" s="69" t="s">
        <v>9453</v>
      </c>
      <c r="E3265" s="70" t="s">
        <v>9457</v>
      </c>
      <c r="F3265" s="26" t="s">
        <v>798</v>
      </c>
      <c r="G3265" s="15" t="s">
        <v>798</v>
      </c>
      <c r="H3265" s="14" t="s">
        <v>798</v>
      </c>
      <c r="I3265" s="15" t="s">
        <v>798</v>
      </c>
      <c r="J3265" s="12" t="s">
        <v>9438</v>
      </c>
      <c r="K3265" s="16" t="s">
        <v>3337</v>
      </c>
      <c r="L3265" s="12" t="s">
        <v>800</v>
      </c>
      <c r="M3265" s="16" t="s">
        <v>4303</v>
      </c>
      <c r="N3265" s="19" t="s">
        <v>798</v>
      </c>
      <c r="O3265" s="20" t="s">
        <v>798</v>
      </c>
      <c r="P3265" s="17" t="s">
        <v>802</v>
      </c>
      <c r="Q3265" s="21" t="s">
        <v>8889</v>
      </c>
      <c r="R3265" s="19" t="s">
        <v>798</v>
      </c>
      <c r="S3265" s="20" t="s">
        <v>798</v>
      </c>
      <c r="T3265" s="17" t="s">
        <v>798</v>
      </c>
      <c r="U3265" s="20" t="s">
        <v>798</v>
      </c>
      <c r="V3265" s="26" t="s">
        <v>798</v>
      </c>
      <c r="W3265" s="20" t="s">
        <v>798</v>
      </c>
      <c r="X3265" s="26" t="s">
        <v>798</v>
      </c>
      <c r="Y3265" s="20" t="s">
        <v>798</v>
      </c>
      <c r="Z3265" s="69" t="s">
        <v>9486</v>
      </c>
      <c r="AA3265" s="72" t="s">
        <v>9497</v>
      </c>
      <c r="AB3265" s="73" t="s">
        <v>9486</v>
      </c>
      <c r="AC3265" s="74" t="s">
        <v>9562</v>
      </c>
      <c r="AD3265" s="73" t="s">
        <v>9578</v>
      </c>
      <c r="AE3265" s="74" t="s">
        <v>9579</v>
      </c>
    </row>
    <row r="3266" spans="1:31" ht="8.65" customHeight="1" x14ac:dyDescent="0.2">
      <c r="A3266" s="76">
        <v>3266</v>
      </c>
      <c r="B3266" s="67" t="str">
        <f>MID(C3266, FIND("Ifc.", C3266) + 4, 4) &amp; "_" &amp; TEXT(COUNTIF($C$2:C3266, C3266),"0000")</f>
        <v>Enti_0399</v>
      </c>
      <c r="C3266" s="25" t="s">
        <v>874</v>
      </c>
      <c r="D3266" s="69" t="s">
        <v>9453</v>
      </c>
      <c r="E3266" s="70" t="s">
        <v>9457</v>
      </c>
      <c r="F3266" s="26" t="s">
        <v>798</v>
      </c>
      <c r="G3266" s="15" t="s">
        <v>798</v>
      </c>
      <c r="H3266" s="14" t="s">
        <v>798</v>
      </c>
      <c r="I3266" s="15" t="s">
        <v>798</v>
      </c>
      <c r="J3266" s="12" t="s">
        <v>9438</v>
      </c>
      <c r="K3266" s="16" t="s">
        <v>3338</v>
      </c>
      <c r="L3266" s="12" t="s">
        <v>800</v>
      </c>
      <c r="M3266" s="16" t="s">
        <v>4304</v>
      </c>
      <c r="N3266" s="19" t="s">
        <v>798</v>
      </c>
      <c r="O3266" s="20" t="s">
        <v>798</v>
      </c>
      <c r="P3266" s="17" t="s">
        <v>802</v>
      </c>
      <c r="Q3266" s="21" t="s">
        <v>8890</v>
      </c>
      <c r="R3266" s="19" t="s">
        <v>798</v>
      </c>
      <c r="S3266" s="20" t="s">
        <v>798</v>
      </c>
      <c r="T3266" s="17" t="s">
        <v>798</v>
      </c>
      <c r="U3266" s="20" t="s">
        <v>798</v>
      </c>
      <c r="V3266" s="26" t="s">
        <v>798</v>
      </c>
      <c r="W3266" s="20" t="s">
        <v>798</v>
      </c>
      <c r="X3266" s="26" t="s">
        <v>798</v>
      </c>
      <c r="Y3266" s="20" t="s">
        <v>798</v>
      </c>
      <c r="Z3266" s="69" t="s">
        <v>9486</v>
      </c>
      <c r="AA3266" s="72" t="s">
        <v>9497</v>
      </c>
      <c r="AB3266" s="73" t="s">
        <v>9486</v>
      </c>
      <c r="AC3266" s="74" t="s">
        <v>9562</v>
      </c>
      <c r="AD3266" s="73" t="s">
        <v>9578</v>
      </c>
      <c r="AE3266" s="74" t="s">
        <v>9579</v>
      </c>
    </row>
    <row r="3267" spans="1:31" ht="8.65" customHeight="1" x14ac:dyDescent="0.2">
      <c r="A3267" s="76">
        <v>3267</v>
      </c>
      <c r="B3267" s="67" t="str">
        <f>MID(C3267, FIND("Ifc.", C3267) + 4, 4) &amp; "_" &amp; TEXT(COUNTIF($C$2:C3267, C3267),"0000")</f>
        <v>Enti_0400</v>
      </c>
      <c r="C3267" s="25" t="s">
        <v>874</v>
      </c>
      <c r="D3267" s="69" t="s">
        <v>9453</v>
      </c>
      <c r="E3267" s="70" t="s">
        <v>9457</v>
      </c>
      <c r="F3267" s="26" t="s">
        <v>798</v>
      </c>
      <c r="G3267" s="15" t="s">
        <v>798</v>
      </c>
      <c r="H3267" s="14" t="s">
        <v>798</v>
      </c>
      <c r="I3267" s="15" t="s">
        <v>798</v>
      </c>
      <c r="J3267" s="12" t="s">
        <v>9438</v>
      </c>
      <c r="K3267" s="16" t="s">
        <v>3339</v>
      </c>
      <c r="L3267" s="12" t="s">
        <v>800</v>
      </c>
      <c r="M3267" s="16" t="s">
        <v>4305</v>
      </c>
      <c r="N3267" s="19" t="s">
        <v>798</v>
      </c>
      <c r="O3267" s="20" t="s">
        <v>798</v>
      </c>
      <c r="P3267" s="17" t="s">
        <v>802</v>
      </c>
      <c r="Q3267" s="21" t="s">
        <v>8891</v>
      </c>
      <c r="R3267" s="19" t="s">
        <v>798</v>
      </c>
      <c r="S3267" s="20" t="s">
        <v>798</v>
      </c>
      <c r="T3267" s="17" t="s">
        <v>798</v>
      </c>
      <c r="U3267" s="20" t="s">
        <v>798</v>
      </c>
      <c r="V3267" s="26" t="s">
        <v>798</v>
      </c>
      <c r="W3267" s="20" t="s">
        <v>798</v>
      </c>
      <c r="X3267" s="26" t="s">
        <v>798</v>
      </c>
      <c r="Y3267" s="20" t="s">
        <v>798</v>
      </c>
      <c r="Z3267" s="69" t="s">
        <v>9486</v>
      </c>
      <c r="AA3267" s="72" t="s">
        <v>9497</v>
      </c>
      <c r="AB3267" s="73" t="s">
        <v>9486</v>
      </c>
      <c r="AC3267" s="74" t="s">
        <v>9562</v>
      </c>
      <c r="AD3267" s="73" t="s">
        <v>9578</v>
      </c>
      <c r="AE3267" s="74" t="s">
        <v>9579</v>
      </c>
    </row>
    <row r="3268" spans="1:31" ht="8.65" customHeight="1" x14ac:dyDescent="0.2">
      <c r="A3268" s="76">
        <v>3268</v>
      </c>
      <c r="B3268" s="67" t="str">
        <f>MID(C3268, FIND("Ifc.", C3268) + 4, 4) &amp; "_" &amp; TEXT(COUNTIF($C$2:C3268, C3268),"0000")</f>
        <v>Enti_0401</v>
      </c>
      <c r="C3268" s="25" t="s">
        <v>874</v>
      </c>
      <c r="D3268" s="69" t="s">
        <v>9453</v>
      </c>
      <c r="E3268" s="70" t="s">
        <v>9457</v>
      </c>
      <c r="F3268" s="26" t="s">
        <v>798</v>
      </c>
      <c r="G3268" s="15" t="s">
        <v>798</v>
      </c>
      <c r="H3268" s="14" t="s">
        <v>798</v>
      </c>
      <c r="I3268" s="15" t="s">
        <v>798</v>
      </c>
      <c r="J3268" s="12" t="s">
        <v>9438</v>
      </c>
      <c r="K3268" s="16" t="s">
        <v>3340</v>
      </c>
      <c r="L3268" s="12" t="s">
        <v>800</v>
      </c>
      <c r="M3268" s="16" t="s">
        <v>4306</v>
      </c>
      <c r="N3268" s="19" t="s">
        <v>798</v>
      </c>
      <c r="O3268" s="20" t="s">
        <v>798</v>
      </c>
      <c r="P3268" s="17" t="s">
        <v>802</v>
      </c>
      <c r="Q3268" s="21" t="s">
        <v>8892</v>
      </c>
      <c r="R3268" s="19" t="s">
        <v>798</v>
      </c>
      <c r="S3268" s="20" t="s">
        <v>798</v>
      </c>
      <c r="T3268" s="17" t="s">
        <v>798</v>
      </c>
      <c r="U3268" s="20" t="s">
        <v>798</v>
      </c>
      <c r="V3268" s="26" t="s">
        <v>798</v>
      </c>
      <c r="W3268" s="20" t="s">
        <v>798</v>
      </c>
      <c r="X3268" s="26" t="s">
        <v>798</v>
      </c>
      <c r="Y3268" s="20" t="s">
        <v>798</v>
      </c>
      <c r="Z3268" s="69" t="s">
        <v>9486</v>
      </c>
      <c r="AA3268" s="72" t="s">
        <v>9497</v>
      </c>
      <c r="AB3268" s="73" t="s">
        <v>9486</v>
      </c>
      <c r="AC3268" s="74" t="s">
        <v>9562</v>
      </c>
      <c r="AD3268" s="73" t="s">
        <v>9578</v>
      </c>
      <c r="AE3268" s="74" t="s">
        <v>9579</v>
      </c>
    </row>
    <row r="3269" spans="1:31" ht="8.65" customHeight="1" x14ac:dyDescent="0.2">
      <c r="A3269" s="76">
        <v>3269</v>
      </c>
      <c r="B3269" s="67" t="str">
        <f>MID(C3269, FIND("Ifc.", C3269) + 4, 4) &amp; "_" &amp; TEXT(COUNTIF($C$2:C3269, C3269),"0000")</f>
        <v>Enti_0402</v>
      </c>
      <c r="C3269" s="25" t="s">
        <v>874</v>
      </c>
      <c r="D3269" s="69" t="s">
        <v>9453</v>
      </c>
      <c r="E3269" s="70" t="s">
        <v>9457</v>
      </c>
      <c r="F3269" s="26" t="s">
        <v>798</v>
      </c>
      <c r="G3269" s="15" t="s">
        <v>798</v>
      </c>
      <c r="H3269" s="14" t="s">
        <v>798</v>
      </c>
      <c r="I3269" s="15" t="s">
        <v>798</v>
      </c>
      <c r="J3269" s="12" t="s">
        <v>9438</v>
      </c>
      <c r="K3269" s="16" t="s">
        <v>3341</v>
      </c>
      <c r="L3269" s="12" t="s">
        <v>800</v>
      </c>
      <c r="M3269" s="16" t="s">
        <v>4307</v>
      </c>
      <c r="N3269" s="19" t="s">
        <v>798</v>
      </c>
      <c r="O3269" s="20" t="s">
        <v>798</v>
      </c>
      <c r="P3269" s="17" t="s">
        <v>802</v>
      </c>
      <c r="Q3269" s="21" t="s">
        <v>8893</v>
      </c>
      <c r="R3269" s="19" t="s">
        <v>798</v>
      </c>
      <c r="S3269" s="20" t="s">
        <v>798</v>
      </c>
      <c r="T3269" s="17" t="s">
        <v>798</v>
      </c>
      <c r="U3269" s="20" t="s">
        <v>798</v>
      </c>
      <c r="V3269" s="26" t="s">
        <v>798</v>
      </c>
      <c r="W3269" s="20" t="s">
        <v>798</v>
      </c>
      <c r="X3269" s="26" t="s">
        <v>798</v>
      </c>
      <c r="Y3269" s="20" t="s">
        <v>798</v>
      </c>
      <c r="Z3269" s="69" t="s">
        <v>9486</v>
      </c>
      <c r="AA3269" s="72" t="s">
        <v>9497</v>
      </c>
      <c r="AB3269" s="73" t="s">
        <v>9486</v>
      </c>
      <c r="AC3269" s="74" t="s">
        <v>9562</v>
      </c>
      <c r="AD3269" s="73" t="s">
        <v>9578</v>
      </c>
      <c r="AE3269" s="74" t="s">
        <v>9579</v>
      </c>
    </row>
    <row r="3270" spans="1:31" ht="8.65" customHeight="1" x14ac:dyDescent="0.2">
      <c r="A3270" s="76">
        <v>3270</v>
      </c>
      <c r="B3270" s="67" t="str">
        <f>MID(C3270, FIND("Ifc.", C3270) + 4, 4) &amp; "_" &amp; TEXT(COUNTIF($C$2:C3270, C3270),"0000")</f>
        <v>Enti_0403</v>
      </c>
      <c r="C3270" s="25" t="s">
        <v>874</v>
      </c>
      <c r="D3270" s="69" t="s">
        <v>9453</v>
      </c>
      <c r="E3270" s="70" t="s">
        <v>9457</v>
      </c>
      <c r="F3270" s="26" t="s">
        <v>798</v>
      </c>
      <c r="G3270" s="15" t="s">
        <v>798</v>
      </c>
      <c r="H3270" s="14" t="s">
        <v>798</v>
      </c>
      <c r="I3270" s="15" t="s">
        <v>798</v>
      </c>
      <c r="J3270" s="12" t="s">
        <v>9438</v>
      </c>
      <c r="K3270" s="16" t="s">
        <v>3342</v>
      </c>
      <c r="L3270" s="12" t="s">
        <v>800</v>
      </c>
      <c r="M3270" s="16" t="s">
        <v>4308</v>
      </c>
      <c r="N3270" s="19" t="s">
        <v>798</v>
      </c>
      <c r="O3270" s="20" t="s">
        <v>798</v>
      </c>
      <c r="P3270" s="17" t="s">
        <v>802</v>
      </c>
      <c r="Q3270" s="21" t="s">
        <v>8894</v>
      </c>
      <c r="R3270" s="19" t="s">
        <v>798</v>
      </c>
      <c r="S3270" s="20" t="s">
        <v>798</v>
      </c>
      <c r="T3270" s="17" t="s">
        <v>798</v>
      </c>
      <c r="U3270" s="20" t="s">
        <v>798</v>
      </c>
      <c r="V3270" s="26" t="s">
        <v>798</v>
      </c>
      <c r="W3270" s="20" t="s">
        <v>798</v>
      </c>
      <c r="X3270" s="26" t="s">
        <v>798</v>
      </c>
      <c r="Y3270" s="20" t="s">
        <v>798</v>
      </c>
      <c r="Z3270" s="69" t="s">
        <v>9486</v>
      </c>
      <c r="AA3270" s="72" t="s">
        <v>9497</v>
      </c>
      <c r="AB3270" s="73" t="s">
        <v>9486</v>
      </c>
      <c r="AC3270" s="74" t="s">
        <v>9562</v>
      </c>
      <c r="AD3270" s="73" t="s">
        <v>9578</v>
      </c>
      <c r="AE3270" s="74" t="s">
        <v>9579</v>
      </c>
    </row>
    <row r="3271" spans="1:31" ht="8.65" customHeight="1" x14ac:dyDescent="0.2">
      <c r="A3271" s="76">
        <v>3271</v>
      </c>
      <c r="B3271" s="67" t="str">
        <f>MID(C3271, FIND("Ifc.", C3271) + 4, 4) &amp; "_" &amp; TEXT(COUNTIF($C$2:C3271, C3271),"0000")</f>
        <v>Enti_0404</v>
      </c>
      <c r="C3271" s="25" t="s">
        <v>874</v>
      </c>
      <c r="D3271" s="69" t="s">
        <v>9453</v>
      </c>
      <c r="E3271" s="70" t="s">
        <v>9457</v>
      </c>
      <c r="F3271" s="26" t="s">
        <v>798</v>
      </c>
      <c r="G3271" s="15" t="s">
        <v>798</v>
      </c>
      <c r="H3271" s="14" t="s">
        <v>798</v>
      </c>
      <c r="I3271" s="15" t="s">
        <v>798</v>
      </c>
      <c r="J3271" s="12" t="s">
        <v>9438</v>
      </c>
      <c r="K3271" s="16" t="s">
        <v>3343</v>
      </c>
      <c r="L3271" s="12" t="s">
        <v>800</v>
      </c>
      <c r="M3271" s="16" t="s">
        <v>4309</v>
      </c>
      <c r="N3271" s="19" t="s">
        <v>798</v>
      </c>
      <c r="O3271" s="20" t="s">
        <v>798</v>
      </c>
      <c r="P3271" s="17" t="s">
        <v>802</v>
      </c>
      <c r="Q3271" s="21" t="s">
        <v>8895</v>
      </c>
      <c r="R3271" s="19" t="s">
        <v>798</v>
      </c>
      <c r="S3271" s="20" t="s">
        <v>798</v>
      </c>
      <c r="T3271" s="17" t="s">
        <v>798</v>
      </c>
      <c r="U3271" s="20" t="s">
        <v>798</v>
      </c>
      <c r="V3271" s="26" t="s">
        <v>798</v>
      </c>
      <c r="W3271" s="20" t="s">
        <v>798</v>
      </c>
      <c r="X3271" s="26" t="s">
        <v>798</v>
      </c>
      <c r="Y3271" s="20" t="s">
        <v>798</v>
      </c>
      <c r="Z3271" s="69" t="s">
        <v>9486</v>
      </c>
      <c r="AA3271" s="72" t="s">
        <v>9497</v>
      </c>
      <c r="AB3271" s="73" t="s">
        <v>9486</v>
      </c>
      <c r="AC3271" s="74" t="s">
        <v>9562</v>
      </c>
      <c r="AD3271" s="73" t="s">
        <v>9578</v>
      </c>
      <c r="AE3271" s="74" t="s">
        <v>9579</v>
      </c>
    </row>
    <row r="3272" spans="1:31" ht="8.65" customHeight="1" x14ac:dyDescent="0.2">
      <c r="A3272" s="76">
        <v>3272</v>
      </c>
      <c r="B3272" s="67" t="str">
        <f>MID(C3272, FIND("Ifc.", C3272) + 4, 4) &amp; "_" &amp; TEXT(COUNTIF($C$2:C3272, C3272),"0000")</f>
        <v>Enti_0405</v>
      </c>
      <c r="C3272" s="25" t="s">
        <v>874</v>
      </c>
      <c r="D3272" s="69" t="s">
        <v>9453</v>
      </c>
      <c r="E3272" s="70" t="s">
        <v>9457</v>
      </c>
      <c r="F3272" s="26" t="s">
        <v>798</v>
      </c>
      <c r="G3272" s="15" t="s">
        <v>798</v>
      </c>
      <c r="H3272" s="14" t="s">
        <v>798</v>
      </c>
      <c r="I3272" s="15" t="s">
        <v>798</v>
      </c>
      <c r="J3272" s="12" t="s">
        <v>9438</v>
      </c>
      <c r="K3272" s="16" t="s">
        <v>3344</v>
      </c>
      <c r="L3272" s="12" t="s">
        <v>800</v>
      </c>
      <c r="M3272" s="16" t="s">
        <v>4310</v>
      </c>
      <c r="N3272" s="19" t="s">
        <v>798</v>
      </c>
      <c r="O3272" s="20" t="s">
        <v>798</v>
      </c>
      <c r="P3272" s="17" t="s">
        <v>802</v>
      </c>
      <c r="Q3272" s="21" t="s">
        <v>8896</v>
      </c>
      <c r="R3272" s="19" t="s">
        <v>798</v>
      </c>
      <c r="S3272" s="20" t="s">
        <v>798</v>
      </c>
      <c r="T3272" s="17" t="s">
        <v>798</v>
      </c>
      <c r="U3272" s="20" t="s">
        <v>798</v>
      </c>
      <c r="V3272" s="26" t="s">
        <v>798</v>
      </c>
      <c r="W3272" s="20" t="s">
        <v>798</v>
      </c>
      <c r="X3272" s="26" t="s">
        <v>798</v>
      </c>
      <c r="Y3272" s="20" t="s">
        <v>798</v>
      </c>
      <c r="Z3272" s="69" t="s">
        <v>9486</v>
      </c>
      <c r="AA3272" s="72" t="s">
        <v>9497</v>
      </c>
      <c r="AB3272" s="73" t="s">
        <v>9486</v>
      </c>
      <c r="AC3272" s="74" t="s">
        <v>9562</v>
      </c>
      <c r="AD3272" s="73" t="s">
        <v>9578</v>
      </c>
      <c r="AE3272" s="74" t="s">
        <v>9579</v>
      </c>
    </row>
    <row r="3273" spans="1:31" ht="8.65" customHeight="1" x14ac:dyDescent="0.2">
      <c r="A3273" s="76">
        <v>3273</v>
      </c>
      <c r="B3273" s="67" t="str">
        <f>MID(C3273, FIND("Ifc.", C3273) + 4, 4) &amp; "_" &amp; TEXT(COUNTIF($C$2:C3273, C3273),"0000")</f>
        <v>Enti_0406</v>
      </c>
      <c r="C3273" s="25" t="s">
        <v>874</v>
      </c>
      <c r="D3273" s="69" t="s">
        <v>9453</v>
      </c>
      <c r="E3273" s="70" t="s">
        <v>9457</v>
      </c>
      <c r="F3273" s="26" t="s">
        <v>798</v>
      </c>
      <c r="G3273" s="15" t="s">
        <v>798</v>
      </c>
      <c r="H3273" s="14" t="s">
        <v>798</v>
      </c>
      <c r="I3273" s="15" t="s">
        <v>798</v>
      </c>
      <c r="J3273" s="12" t="s">
        <v>9438</v>
      </c>
      <c r="K3273" s="16" t="s">
        <v>3345</v>
      </c>
      <c r="L3273" s="12" t="s">
        <v>800</v>
      </c>
      <c r="M3273" s="16" t="s">
        <v>4311</v>
      </c>
      <c r="N3273" s="19" t="s">
        <v>798</v>
      </c>
      <c r="O3273" s="20" t="s">
        <v>798</v>
      </c>
      <c r="P3273" s="17" t="s">
        <v>802</v>
      </c>
      <c r="Q3273" s="21" t="s">
        <v>8897</v>
      </c>
      <c r="R3273" s="19" t="s">
        <v>798</v>
      </c>
      <c r="S3273" s="20" t="s">
        <v>798</v>
      </c>
      <c r="T3273" s="17" t="s">
        <v>798</v>
      </c>
      <c r="U3273" s="20" t="s">
        <v>798</v>
      </c>
      <c r="V3273" s="26" t="s">
        <v>798</v>
      </c>
      <c r="W3273" s="20" t="s">
        <v>798</v>
      </c>
      <c r="X3273" s="26" t="s">
        <v>798</v>
      </c>
      <c r="Y3273" s="20" t="s">
        <v>798</v>
      </c>
      <c r="Z3273" s="69" t="s">
        <v>9486</v>
      </c>
      <c r="AA3273" s="72" t="s">
        <v>9497</v>
      </c>
      <c r="AB3273" s="73" t="s">
        <v>9486</v>
      </c>
      <c r="AC3273" s="74" t="s">
        <v>9562</v>
      </c>
      <c r="AD3273" s="73" t="s">
        <v>9578</v>
      </c>
      <c r="AE3273" s="74" t="s">
        <v>9579</v>
      </c>
    </row>
    <row r="3274" spans="1:31" ht="8.65" customHeight="1" x14ac:dyDescent="0.2">
      <c r="A3274" s="76">
        <v>3274</v>
      </c>
      <c r="B3274" s="67" t="str">
        <f>MID(C3274, FIND("Ifc.", C3274) + 4, 4) &amp; "_" &amp; TEXT(COUNTIF($C$2:C3274, C3274),"0000")</f>
        <v>Enti_0407</v>
      </c>
      <c r="C3274" s="25" t="s">
        <v>874</v>
      </c>
      <c r="D3274" s="69" t="s">
        <v>9453</v>
      </c>
      <c r="E3274" s="70" t="s">
        <v>9457</v>
      </c>
      <c r="F3274" s="26" t="s">
        <v>798</v>
      </c>
      <c r="G3274" s="15" t="s">
        <v>798</v>
      </c>
      <c r="H3274" s="14" t="s">
        <v>798</v>
      </c>
      <c r="I3274" s="15" t="s">
        <v>798</v>
      </c>
      <c r="J3274" s="12" t="s">
        <v>9438</v>
      </c>
      <c r="K3274" s="16" t="s">
        <v>3346</v>
      </c>
      <c r="L3274" s="12" t="s">
        <v>800</v>
      </c>
      <c r="M3274" s="16" t="s">
        <v>4312</v>
      </c>
      <c r="N3274" s="19" t="s">
        <v>798</v>
      </c>
      <c r="O3274" s="20" t="s">
        <v>798</v>
      </c>
      <c r="P3274" s="17" t="s">
        <v>802</v>
      </c>
      <c r="Q3274" s="21" t="s">
        <v>8898</v>
      </c>
      <c r="R3274" s="19" t="s">
        <v>798</v>
      </c>
      <c r="S3274" s="20" t="s">
        <v>798</v>
      </c>
      <c r="T3274" s="17" t="s">
        <v>798</v>
      </c>
      <c r="U3274" s="20" t="s">
        <v>798</v>
      </c>
      <c r="V3274" s="26" t="s">
        <v>798</v>
      </c>
      <c r="W3274" s="20" t="s">
        <v>798</v>
      </c>
      <c r="X3274" s="26" t="s">
        <v>798</v>
      </c>
      <c r="Y3274" s="20" t="s">
        <v>798</v>
      </c>
      <c r="Z3274" s="69" t="s">
        <v>9486</v>
      </c>
      <c r="AA3274" s="72" t="s">
        <v>9497</v>
      </c>
      <c r="AB3274" s="73" t="s">
        <v>9486</v>
      </c>
      <c r="AC3274" s="74" t="s">
        <v>9562</v>
      </c>
      <c r="AD3274" s="73" t="s">
        <v>9578</v>
      </c>
      <c r="AE3274" s="74" t="s">
        <v>9579</v>
      </c>
    </row>
    <row r="3275" spans="1:31" ht="8.65" customHeight="1" x14ac:dyDescent="0.2">
      <c r="A3275" s="76">
        <v>3275</v>
      </c>
      <c r="B3275" s="67" t="str">
        <f>MID(C3275, FIND("Ifc.", C3275) + 4, 4) &amp; "_" &amp; TEXT(COUNTIF($C$2:C3275, C3275),"0000")</f>
        <v>Enti_0408</v>
      </c>
      <c r="C3275" s="25" t="s">
        <v>874</v>
      </c>
      <c r="D3275" s="69" t="s">
        <v>9453</v>
      </c>
      <c r="E3275" s="70" t="s">
        <v>9457</v>
      </c>
      <c r="F3275" s="26" t="s">
        <v>798</v>
      </c>
      <c r="G3275" s="15" t="s">
        <v>798</v>
      </c>
      <c r="H3275" s="14" t="s">
        <v>798</v>
      </c>
      <c r="I3275" s="15" t="s">
        <v>798</v>
      </c>
      <c r="J3275" s="12" t="s">
        <v>9438</v>
      </c>
      <c r="K3275" s="16" t="s">
        <v>3347</v>
      </c>
      <c r="L3275" s="12" t="s">
        <v>800</v>
      </c>
      <c r="M3275" s="16" t="s">
        <v>4313</v>
      </c>
      <c r="N3275" s="19" t="s">
        <v>798</v>
      </c>
      <c r="O3275" s="20" t="s">
        <v>798</v>
      </c>
      <c r="P3275" s="17" t="s">
        <v>802</v>
      </c>
      <c r="Q3275" s="21" t="s">
        <v>8899</v>
      </c>
      <c r="R3275" s="19" t="s">
        <v>798</v>
      </c>
      <c r="S3275" s="20" t="s">
        <v>798</v>
      </c>
      <c r="T3275" s="17" t="s">
        <v>798</v>
      </c>
      <c r="U3275" s="20" t="s">
        <v>798</v>
      </c>
      <c r="V3275" s="26" t="s">
        <v>798</v>
      </c>
      <c r="W3275" s="20" t="s">
        <v>798</v>
      </c>
      <c r="X3275" s="26" t="s">
        <v>798</v>
      </c>
      <c r="Y3275" s="20" t="s">
        <v>798</v>
      </c>
      <c r="Z3275" s="69" t="s">
        <v>9486</v>
      </c>
      <c r="AA3275" s="72" t="s">
        <v>9497</v>
      </c>
      <c r="AB3275" s="73" t="s">
        <v>9486</v>
      </c>
      <c r="AC3275" s="74" t="s">
        <v>9562</v>
      </c>
      <c r="AD3275" s="73" t="s">
        <v>9578</v>
      </c>
      <c r="AE3275" s="74" t="s">
        <v>9579</v>
      </c>
    </row>
    <row r="3276" spans="1:31" ht="8.65" customHeight="1" x14ac:dyDescent="0.2">
      <c r="A3276" s="76">
        <v>3276</v>
      </c>
      <c r="B3276" s="67" t="str">
        <f>MID(C3276, FIND("Ifc.", C3276) + 4, 4) &amp; "_" &amp; TEXT(COUNTIF($C$2:C3276, C3276),"0000")</f>
        <v>Enti_0409</v>
      </c>
      <c r="C3276" s="25" t="s">
        <v>874</v>
      </c>
      <c r="D3276" s="69" t="s">
        <v>9453</v>
      </c>
      <c r="E3276" s="70" t="s">
        <v>9457</v>
      </c>
      <c r="F3276" s="26" t="s">
        <v>798</v>
      </c>
      <c r="G3276" s="15" t="s">
        <v>798</v>
      </c>
      <c r="H3276" s="14" t="s">
        <v>798</v>
      </c>
      <c r="I3276" s="15" t="s">
        <v>798</v>
      </c>
      <c r="J3276" s="12" t="s">
        <v>9438</v>
      </c>
      <c r="K3276" s="16" t="s">
        <v>3348</v>
      </c>
      <c r="L3276" s="12" t="s">
        <v>800</v>
      </c>
      <c r="M3276" s="16" t="s">
        <v>4314</v>
      </c>
      <c r="N3276" s="19" t="s">
        <v>798</v>
      </c>
      <c r="O3276" s="20" t="s">
        <v>798</v>
      </c>
      <c r="P3276" s="17" t="s">
        <v>802</v>
      </c>
      <c r="Q3276" s="21" t="s">
        <v>8900</v>
      </c>
      <c r="R3276" s="19" t="s">
        <v>798</v>
      </c>
      <c r="S3276" s="20" t="s">
        <v>798</v>
      </c>
      <c r="T3276" s="17" t="s">
        <v>798</v>
      </c>
      <c r="U3276" s="20" t="s">
        <v>798</v>
      </c>
      <c r="V3276" s="26" t="s">
        <v>798</v>
      </c>
      <c r="W3276" s="20" t="s">
        <v>798</v>
      </c>
      <c r="X3276" s="26" t="s">
        <v>798</v>
      </c>
      <c r="Y3276" s="20" t="s">
        <v>798</v>
      </c>
      <c r="Z3276" s="69" t="s">
        <v>9486</v>
      </c>
      <c r="AA3276" s="72" t="s">
        <v>9497</v>
      </c>
      <c r="AB3276" s="73" t="s">
        <v>9486</v>
      </c>
      <c r="AC3276" s="74" t="s">
        <v>9562</v>
      </c>
      <c r="AD3276" s="73" t="s">
        <v>9578</v>
      </c>
      <c r="AE3276" s="74" t="s">
        <v>9579</v>
      </c>
    </row>
    <row r="3277" spans="1:31" ht="8.65" customHeight="1" x14ac:dyDescent="0.2">
      <c r="A3277" s="76">
        <v>3277</v>
      </c>
      <c r="B3277" s="67" t="str">
        <f>MID(C3277, FIND("Ifc.", C3277) + 4, 4) &amp; "_" &amp; TEXT(COUNTIF($C$2:C3277, C3277),"0000")</f>
        <v>Enti_0410</v>
      </c>
      <c r="C3277" s="25" t="s">
        <v>874</v>
      </c>
      <c r="D3277" s="69" t="s">
        <v>9453</v>
      </c>
      <c r="E3277" s="70" t="s">
        <v>9457</v>
      </c>
      <c r="F3277" s="26" t="s">
        <v>798</v>
      </c>
      <c r="G3277" s="15" t="s">
        <v>798</v>
      </c>
      <c r="H3277" s="14" t="s">
        <v>798</v>
      </c>
      <c r="I3277" s="15" t="s">
        <v>798</v>
      </c>
      <c r="J3277" s="12" t="s">
        <v>9438</v>
      </c>
      <c r="K3277" s="16" t="s">
        <v>3349</v>
      </c>
      <c r="L3277" s="12" t="s">
        <v>800</v>
      </c>
      <c r="M3277" s="16" t="s">
        <v>4315</v>
      </c>
      <c r="N3277" s="19" t="s">
        <v>798</v>
      </c>
      <c r="O3277" s="20" t="s">
        <v>798</v>
      </c>
      <c r="P3277" s="17" t="s">
        <v>802</v>
      </c>
      <c r="Q3277" s="21" t="s">
        <v>8901</v>
      </c>
      <c r="R3277" s="19" t="s">
        <v>798</v>
      </c>
      <c r="S3277" s="20" t="s">
        <v>798</v>
      </c>
      <c r="T3277" s="17" t="s">
        <v>798</v>
      </c>
      <c r="U3277" s="20" t="s">
        <v>798</v>
      </c>
      <c r="V3277" s="26" t="s">
        <v>798</v>
      </c>
      <c r="W3277" s="20" t="s">
        <v>798</v>
      </c>
      <c r="X3277" s="26" t="s">
        <v>798</v>
      </c>
      <c r="Y3277" s="20" t="s">
        <v>798</v>
      </c>
      <c r="Z3277" s="69" t="s">
        <v>9486</v>
      </c>
      <c r="AA3277" s="72" t="s">
        <v>9497</v>
      </c>
      <c r="AB3277" s="73" t="s">
        <v>9486</v>
      </c>
      <c r="AC3277" s="74" t="s">
        <v>9562</v>
      </c>
      <c r="AD3277" s="73" t="s">
        <v>9578</v>
      </c>
      <c r="AE3277" s="74" t="s">
        <v>9579</v>
      </c>
    </row>
    <row r="3278" spans="1:31" ht="8.65" customHeight="1" x14ac:dyDescent="0.2">
      <c r="A3278" s="76">
        <v>3278</v>
      </c>
      <c r="B3278" s="67" t="str">
        <f>MID(C3278, FIND("Ifc.", C3278) + 4, 4) &amp; "_" &amp; TEXT(COUNTIF($C$2:C3278, C3278),"0000")</f>
        <v>Enti_0411</v>
      </c>
      <c r="C3278" s="25" t="s">
        <v>874</v>
      </c>
      <c r="D3278" s="69" t="s">
        <v>9453</v>
      </c>
      <c r="E3278" s="70" t="s">
        <v>9457</v>
      </c>
      <c r="F3278" s="26" t="s">
        <v>798</v>
      </c>
      <c r="G3278" s="15" t="s">
        <v>798</v>
      </c>
      <c r="H3278" s="14" t="s">
        <v>798</v>
      </c>
      <c r="I3278" s="15" t="s">
        <v>798</v>
      </c>
      <c r="J3278" s="12" t="s">
        <v>9438</v>
      </c>
      <c r="K3278" s="16" t="s">
        <v>3350</v>
      </c>
      <c r="L3278" s="12" t="s">
        <v>800</v>
      </c>
      <c r="M3278" s="16" t="s">
        <v>4316</v>
      </c>
      <c r="N3278" s="19" t="s">
        <v>798</v>
      </c>
      <c r="O3278" s="20" t="s">
        <v>798</v>
      </c>
      <c r="P3278" s="17" t="s">
        <v>802</v>
      </c>
      <c r="Q3278" s="21" t="s">
        <v>8902</v>
      </c>
      <c r="R3278" s="19" t="s">
        <v>798</v>
      </c>
      <c r="S3278" s="20" t="s">
        <v>798</v>
      </c>
      <c r="T3278" s="17" t="s">
        <v>798</v>
      </c>
      <c r="U3278" s="20" t="s">
        <v>798</v>
      </c>
      <c r="V3278" s="26" t="s">
        <v>798</v>
      </c>
      <c r="W3278" s="20" t="s">
        <v>798</v>
      </c>
      <c r="X3278" s="26" t="s">
        <v>798</v>
      </c>
      <c r="Y3278" s="20" t="s">
        <v>798</v>
      </c>
      <c r="Z3278" s="69" t="s">
        <v>9486</v>
      </c>
      <c r="AA3278" s="72" t="s">
        <v>9497</v>
      </c>
      <c r="AB3278" s="73" t="s">
        <v>9486</v>
      </c>
      <c r="AC3278" s="74" t="s">
        <v>9562</v>
      </c>
      <c r="AD3278" s="73" t="s">
        <v>9578</v>
      </c>
      <c r="AE3278" s="74" t="s">
        <v>9579</v>
      </c>
    </row>
    <row r="3279" spans="1:31" ht="8.65" customHeight="1" x14ac:dyDescent="0.2">
      <c r="A3279" s="76">
        <v>3279</v>
      </c>
      <c r="B3279" s="67" t="str">
        <f>MID(C3279, FIND("Ifc.", C3279) + 4, 4) &amp; "_" &amp; TEXT(COUNTIF($C$2:C3279, C3279),"0000")</f>
        <v>Enti_0412</v>
      </c>
      <c r="C3279" s="25" t="s">
        <v>874</v>
      </c>
      <c r="D3279" s="69" t="s">
        <v>9453</v>
      </c>
      <c r="E3279" s="70" t="s">
        <v>9457</v>
      </c>
      <c r="F3279" s="26" t="s">
        <v>798</v>
      </c>
      <c r="G3279" s="15" t="s">
        <v>798</v>
      </c>
      <c r="H3279" s="14" t="s">
        <v>798</v>
      </c>
      <c r="I3279" s="15" t="s">
        <v>798</v>
      </c>
      <c r="J3279" s="12" t="s">
        <v>9438</v>
      </c>
      <c r="K3279" s="16" t="s">
        <v>3351</v>
      </c>
      <c r="L3279" s="12" t="s">
        <v>800</v>
      </c>
      <c r="M3279" s="16" t="s">
        <v>4317</v>
      </c>
      <c r="N3279" s="19" t="s">
        <v>798</v>
      </c>
      <c r="O3279" s="20" t="s">
        <v>798</v>
      </c>
      <c r="P3279" s="17" t="s">
        <v>802</v>
      </c>
      <c r="Q3279" s="21" t="s">
        <v>8903</v>
      </c>
      <c r="R3279" s="19" t="s">
        <v>798</v>
      </c>
      <c r="S3279" s="20" t="s">
        <v>798</v>
      </c>
      <c r="T3279" s="17" t="s">
        <v>798</v>
      </c>
      <c r="U3279" s="20" t="s">
        <v>798</v>
      </c>
      <c r="V3279" s="26" t="s">
        <v>798</v>
      </c>
      <c r="W3279" s="20" t="s">
        <v>798</v>
      </c>
      <c r="X3279" s="26" t="s">
        <v>798</v>
      </c>
      <c r="Y3279" s="20" t="s">
        <v>798</v>
      </c>
      <c r="Z3279" s="69" t="s">
        <v>9486</v>
      </c>
      <c r="AA3279" s="72" t="s">
        <v>9497</v>
      </c>
      <c r="AB3279" s="73" t="s">
        <v>9486</v>
      </c>
      <c r="AC3279" s="74" t="s">
        <v>9562</v>
      </c>
      <c r="AD3279" s="73" t="s">
        <v>9578</v>
      </c>
      <c r="AE3279" s="74" t="s">
        <v>9579</v>
      </c>
    </row>
    <row r="3280" spans="1:31" ht="8.65" customHeight="1" x14ac:dyDescent="0.2">
      <c r="A3280" s="76">
        <v>3280</v>
      </c>
      <c r="B3280" s="67" t="str">
        <f>MID(C3280, FIND("Ifc.", C3280) + 4, 4) &amp; "_" &amp; TEXT(COUNTIF($C$2:C3280, C3280),"0000")</f>
        <v>Enti_0413</v>
      </c>
      <c r="C3280" s="25" t="s">
        <v>874</v>
      </c>
      <c r="D3280" s="69" t="s">
        <v>9453</v>
      </c>
      <c r="E3280" s="70" t="s">
        <v>9457</v>
      </c>
      <c r="F3280" s="26" t="s">
        <v>798</v>
      </c>
      <c r="G3280" s="15" t="s">
        <v>798</v>
      </c>
      <c r="H3280" s="14" t="s">
        <v>798</v>
      </c>
      <c r="I3280" s="15" t="s">
        <v>798</v>
      </c>
      <c r="J3280" s="12" t="s">
        <v>9438</v>
      </c>
      <c r="K3280" s="16" t="s">
        <v>3352</v>
      </c>
      <c r="L3280" s="12" t="s">
        <v>800</v>
      </c>
      <c r="M3280" s="16" t="s">
        <v>4318</v>
      </c>
      <c r="N3280" s="19" t="s">
        <v>798</v>
      </c>
      <c r="O3280" s="20" t="s">
        <v>798</v>
      </c>
      <c r="P3280" s="17" t="s">
        <v>802</v>
      </c>
      <c r="Q3280" s="21" t="s">
        <v>8904</v>
      </c>
      <c r="R3280" s="19" t="s">
        <v>798</v>
      </c>
      <c r="S3280" s="20" t="s">
        <v>798</v>
      </c>
      <c r="T3280" s="17" t="s">
        <v>798</v>
      </c>
      <c r="U3280" s="20" t="s">
        <v>798</v>
      </c>
      <c r="V3280" s="26" t="s">
        <v>798</v>
      </c>
      <c r="W3280" s="20" t="s">
        <v>798</v>
      </c>
      <c r="X3280" s="26" t="s">
        <v>798</v>
      </c>
      <c r="Y3280" s="20" t="s">
        <v>798</v>
      </c>
      <c r="Z3280" s="69" t="s">
        <v>9486</v>
      </c>
      <c r="AA3280" s="72" t="s">
        <v>9497</v>
      </c>
      <c r="AB3280" s="73" t="s">
        <v>9486</v>
      </c>
      <c r="AC3280" s="74" t="s">
        <v>9562</v>
      </c>
      <c r="AD3280" s="73" t="s">
        <v>9578</v>
      </c>
      <c r="AE3280" s="74" t="s">
        <v>9579</v>
      </c>
    </row>
    <row r="3281" spans="1:31" ht="8.65" customHeight="1" x14ac:dyDescent="0.2">
      <c r="A3281" s="76">
        <v>3281</v>
      </c>
      <c r="B3281" s="67" t="str">
        <f>MID(C3281, FIND("Ifc.", C3281) + 4, 4) &amp; "_" &amp; TEXT(COUNTIF($C$2:C3281, C3281),"0000")</f>
        <v>Enti_0414</v>
      </c>
      <c r="C3281" s="25" t="s">
        <v>874</v>
      </c>
      <c r="D3281" s="69" t="s">
        <v>9453</v>
      </c>
      <c r="E3281" s="70" t="s">
        <v>9457</v>
      </c>
      <c r="F3281" s="26" t="s">
        <v>798</v>
      </c>
      <c r="G3281" s="15" t="s">
        <v>798</v>
      </c>
      <c r="H3281" s="14" t="s">
        <v>798</v>
      </c>
      <c r="I3281" s="15" t="s">
        <v>798</v>
      </c>
      <c r="J3281" s="12" t="s">
        <v>9438</v>
      </c>
      <c r="K3281" s="16" t="s">
        <v>3353</v>
      </c>
      <c r="L3281" s="12" t="s">
        <v>800</v>
      </c>
      <c r="M3281" s="16" t="s">
        <v>4319</v>
      </c>
      <c r="N3281" s="19" t="s">
        <v>798</v>
      </c>
      <c r="O3281" s="20" t="s">
        <v>798</v>
      </c>
      <c r="P3281" s="17" t="s">
        <v>802</v>
      </c>
      <c r="Q3281" s="21" t="s">
        <v>8905</v>
      </c>
      <c r="R3281" s="19" t="s">
        <v>798</v>
      </c>
      <c r="S3281" s="20" t="s">
        <v>798</v>
      </c>
      <c r="T3281" s="17" t="s">
        <v>798</v>
      </c>
      <c r="U3281" s="20" t="s">
        <v>798</v>
      </c>
      <c r="V3281" s="26" t="s">
        <v>798</v>
      </c>
      <c r="W3281" s="20" t="s">
        <v>798</v>
      </c>
      <c r="X3281" s="26" t="s">
        <v>798</v>
      </c>
      <c r="Y3281" s="20" t="s">
        <v>798</v>
      </c>
      <c r="Z3281" s="69" t="s">
        <v>9486</v>
      </c>
      <c r="AA3281" s="72" t="s">
        <v>9497</v>
      </c>
      <c r="AB3281" s="73" t="s">
        <v>9486</v>
      </c>
      <c r="AC3281" s="74" t="s">
        <v>9562</v>
      </c>
      <c r="AD3281" s="73" t="s">
        <v>9578</v>
      </c>
      <c r="AE3281" s="74" t="s">
        <v>9579</v>
      </c>
    </row>
    <row r="3282" spans="1:31" ht="8.65" customHeight="1" x14ac:dyDescent="0.2">
      <c r="A3282" s="76">
        <v>3282</v>
      </c>
      <c r="B3282" s="67" t="str">
        <f>MID(C3282, FIND("Ifc.", C3282) + 4, 4) &amp; "_" &amp; TEXT(COUNTIF($C$2:C3282, C3282),"0000")</f>
        <v>Enti_0415</v>
      </c>
      <c r="C3282" s="25" t="s">
        <v>874</v>
      </c>
      <c r="D3282" s="69" t="s">
        <v>9453</v>
      </c>
      <c r="E3282" s="70" t="s">
        <v>9457</v>
      </c>
      <c r="F3282" s="26" t="s">
        <v>798</v>
      </c>
      <c r="G3282" s="15" t="s">
        <v>798</v>
      </c>
      <c r="H3282" s="14" t="s">
        <v>798</v>
      </c>
      <c r="I3282" s="15" t="s">
        <v>798</v>
      </c>
      <c r="J3282" s="12" t="s">
        <v>9438</v>
      </c>
      <c r="K3282" s="16" t="s">
        <v>3354</v>
      </c>
      <c r="L3282" s="12" t="s">
        <v>800</v>
      </c>
      <c r="M3282" s="16" t="s">
        <v>4320</v>
      </c>
      <c r="N3282" s="19" t="s">
        <v>798</v>
      </c>
      <c r="O3282" s="20" t="s">
        <v>798</v>
      </c>
      <c r="P3282" s="17" t="s">
        <v>802</v>
      </c>
      <c r="Q3282" s="21" t="s">
        <v>8906</v>
      </c>
      <c r="R3282" s="19" t="s">
        <v>798</v>
      </c>
      <c r="S3282" s="20" t="s">
        <v>798</v>
      </c>
      <c r="T3282" s="17" t="s">
        <v>798</v>
      </c>
      <c r="U3282" s="20" t="s">
        <v>798</v>
      </c>
      <c r="V3282" s="26" t="s">
        <v>798</v>
      </c>
      <c r="W3282" s="20" t="s">
        <v>798</v>
      </c>
      <c r="X3282" s="26" t="s">
        <v>798</v>
      </c>
      <c r="Y3282" s="20" t="s">
        <v>798</v>
      </c>
      <c r="Z3282" s="69" t="s">
        <v>9486</v>
      </c>
      <c r="AA3282" s="72" t="s">
        <v>9497</v>
      </c>
      <c r="AB3282" s="73" t="s">
        <v>9486</v>
      </c>
      <c r="AC3282" s="74" t="s">
        <v>9562</v>
      </c>
      <c r="AD3282" s="73" t="s">
        <v>9578</v>
      </c>
      <c r="AE3282" s="74" t="s">
        <v>9579</v>
      </c>
    </row>
    <row r="3283" spans="1:31" ht="8.65" customHeight="1" x14ac:dyDescent="0.2">
      <c r="A3283" s="76">
        <v>3283</v>
      </c>
      <c r="B3283" s="67" t="str">
        <f>MID(C3283, FIND("Ifc.", C3283) + 4, 4) &amp; "_" &amp; TEXT(COUNTIF($C$2:C3283, C3283),"0000")</f>
        <v>Enti_0416</v>
      </c>
      <c r="C3283" s="25" t="s">
        <v>874</v>
      </c>
      <c r="D3283" s="69" t="s">
        <v>9453</v>
      </c>
      <c r="E3283" s="70" t="s">
        <v>9457</v>
      </c>
      <c r="F3283" s="26" t="s">
        <v>798</v>
      </c>
      <c r="G3283" s="15" t="s">
        <v>798</v>
      </c>
      <c r="H3283" s="14" t="s">
        <v>798</v>
      </c>
      <c r="I3283" s="15" t="s">
        <v>798</v>
      </c>
      <c r="J3283" s="12" t="s">
        <v>9438</v>
      </c>
      <c r="K3283" s="16" t="s">
        <v>3355</v>
      </c>
      <c r="L3283" s="12" t="s">
        <v>800</v>
      </c>
      <c r="M3283" s="16" t="s">
        <v>4321</v>
      </c>
      <c r="N3283" s="19" t="s">
        <v>798</v>
      </c>
      <c r="O3283" s="20" t="s">
        <v>798</v>
      </c>
      <c r="P3283" s="17" t="s">
        <v>802</v>
      </c>
      <c r="Q3283" s="21" t="s">
        <v>8907</v>
      </c>
      <c r="R3283" s="19" t="s">
        <v>798</v>
      </c>
      <c r="S3283" s="20" t="s">
        <v>798</v>
      </c>
      <c r="T3283" s="17" t="s">
        <v>798</v>
      </c>
      <c r="U3283" s="20" t="s">
        <v>798</v>
      </c>
      <c r="V3283" s="26" t="s">
        <v>798</v>
      </c>
      <c r="W3283" s="20" t="s">
        <v>798</v>
      </c>
      <c r="X3283" s="26" t="s">
        <v>798</v>
      </c>
      <c r="Y3283" s="20" t="s">
        <v>798</v>
      </c>
      <c r="Z3283" s="69" t="s">
        <v>9486</v>
      </c>
      <c r="AA3283" s="72" t="s">
        <v>9497</v>
      </c>
      <c r="AB3283" s="73" t="s">
        <v>9486</v>
      </c>
      <c r="AC3283" s="74" t="s">
        <v>9562</v>
      </c>
      <c r="AD3283" s="73" t="s">
        <v>9578</v>
      </c>
      <c r="AE3283" s="74" t="s">
        <v>9579</v>
      </c>
    </row>
    <row r="3284" spans="1:31" ht="8.65" customHeight="1" x14ac:dyDescent="0.2">
      <c r="A3284" s="76">
        <v>3284</v>
      </c>
      <c r="B3284" s="67" t="str">
        <f>MID(C3284, FIND("Ifc.", C3284) + 4, 4) &amp; "_" &amp; TEXT(COUNTIF($C$2:C3284, C3284),"0000")</f>
        <v>Enti_0417</v>
      </c>
      <c r="C3284" s="25" t="s">
        <v>874</v>
      </c>
      <c r="D3284" s="69" t="s">
        <v>9453</v>
      </c>
      <c r="E3284" s="70" t="s">
        <v>9457</v>
      </c>
      <c r="F3284" s="26" t="s">
        <v>798</v>
      </c>
      <c r="G3284" s="15" t="s">
        <v>798</v>
      </c>
      <c r="H3284" s="14" t="s">
        <v>798</v>
      </c>
      <c r="I3284" s="15" t="s">
        <v>798</v>
      </c>
      <c r="J3284" s="12" t="s">
        <v>9438</v>
      </c>
      <c r="K3284" s="16" t="s">
        <v>3356</v>
      </c>
      <c r="L3284" s="12" t="s">
        <v>800</v>
      </c>
      <c r="M3284" s="16" t="s">
        <v>4322</v>
      </c>
      <c r="N3284" s="19" t="s">
        <v>798</v>
      </c>
      <c r="O3284" s="20" t="s">
        <v>798</v>
      </c>
      <c r="P3284" s="17" t="s">
        <v>802</v>
      </c>
      <c r="Q3284" s="21" t="s">
        <v>8908</v>
      </c>
      <c r="R3284" s="19" t="s">
        <v>798</v>
      </c>
      <c r="S3284" s="20" t="s">
        <v>798</v>
      </c>
      <c r="T3284" s="17" t="s">
        <v>798</v>
      </c>
      <c r="U3284" s="20" t="s">
        <v>798</v>
      </c>
      <c r="V3284" s="26" t="s">
        <v>798</v>
      </c>
      <c r="W3284" s="20" t="s">
        <v>798</v>
      </c>
      <c r="X3284" s="26" t="s">
        <v>798</v>
      </c>
      <c r="Y3284" s="20" t="s">
        <v>798</v>
      </c>
      <c r="Z3284" s="69" t="s">
        <v>9486</v>
      </c>
      <c r="AA3284" s="72" t="s">
        <v>9497</v>
      </c>
      <c r="AB3284" s="73" t="s">
        <v>9486</v>
      </c>
      <c r="AC3284" s="74" t="s">
        <v>9562</v>
      </c>
      <c r="AD3284" s="73" t="s">
        <v>9578</v>
      </c>
      <c r="AE3284" s="74" t="s">
        <v>9579</v>
      </c>
    </row>
    <row r="3285" spans="1:31" ht="8.65" customHeight="1" x14ac:dyDescent="0.2">
      <c r="A3285" s="76">
        <v>3285</v>
      </c>
      <c r="B3285" s="67" t="str">
        <f>MID(C3285, FIND("Ifc.", C3285) + 4, 4) &amp; "_" &amp; TEXT(COUNTIF($C$2:C3285, C3285),"0000")</f>
        <v>Enti_0418</v>
      </c>
      <c r="C3285" s="25" t="s">
        <v>874</v>
      </c>
      <c r="D3285" s="69" t="s">
        <v>9453</v>
      </c>
      <c r="E3285" s="70" t="s">
        <v>9457</v>
      </c>
      <c r="F3285" s="26" t="s">
        <v>798</v>
      </c>
      <c r="G3285" s="15" t="s">
        <v>798</v>
      </c>
      <c r="H3285" s="14" t="s">
        <v>798</v>
      </c>
      <c r="I3285" s="15" t="s">
        <v>798</v>
      </c>
      <c r="J3285" s="12" t="s">
        <v>9438</v>
      </c>
      <c r="K3285" s="16" t="s">
        <v>3357</v>
      </c>
      <c r="L3285" s="12" t="s">
        <v>800</v>
      </c>
      <c r="M3285" s="16" t="s">
        <v>4323</v>
      </c>
      <c r="N3285" s="19" t="s">
        <v>798</v>
      </c>
      <c r="O3285" s="20" t="s">
        <v>798</v>
      </c>
      <c r="P3285" s="17" t="s">
        <v>802</v>
      </c>
      <c r="Q3285" s="21" t="s">
        <v>8909</v>
      </c>
      <c r="R3285" s="19" t="s">
        <v>798</v>
      </c>
      <c r="S3285" s="20" t="s">
        <v>798</v>
      </c>
      <c r="T3285" s="17" t="s">
        <v>798</v>
      </c>
      <c r="U3285" s="20" t="s">
        <v>798</v>
      </c>
      <c r="V3285" s="26" t="s">
        <v>798</v>
      </c>
      <c r="W3285" s="20" t="s">
        <v>798</v>
      </c>
      <c r="X3285" s="26" t="s">
        <v>798</v>
      </c>
      <c r="Y3285" s="20" t="s">
        <v>798</v>
      </c>
      <c r="Z3285" s="69" t="s">
        <v>9486</v>
      </c>
      <c r="AA3285" s="72" t="s">
        <v>9497</v>
      </c>
      <c r="AB3285" s="73" t="s">
        <v>9486</v>
      </c>
      <c r="AC3285" s="74" t="s">
        <v>9562</v>
      </c>
      <c r="AD3285" s="73" t="s">
        <v>9578</v>
      </c>
      <c r="AE3285" s="74" t="s">
        <v>9579</v>
      </c>
    </row>
    <row r="3286" spans="1:31" ht="8.65" customHeight="1" x14ac:dyDescent="0.2">
      <c r="A3286" s="76">
        <v>3286</v>
      </c>
      <c r="B3286" s="67" t="str">
        <f>MID(C3286, FIND("Ifc.", C3286) + 4, 4) &amp; "_" &amp; TEXT(COUNTIF($C$2:C3286, C3286),"0000")</f>
        <v>Enti_0419</v>
      </c>
      <c r="C3286" s="25" t="s">
        <v>874</v>
      </c>
      <c r="D3286" s="69" t="s">
        <v>9453</v>
      </c>
      <c r="E3286" s="70" t="s">
        <v>9457</v>
      </c>
      <c r="F3286" s="26" t="s">
        <v>798</v>
      </c>
      <c r="G3286" s="15" t="s">
        <v>798</v>
      </c>
      <c r="H3286" s="14" t="s">
        <v>798</v>
      </c>
      <c r="I3286" s="15" t="s">
        <v>798</v>
      </c>
      <c r="J3286" s="12" t="s">
        <v>9438</v>
      </c>
      <c r="K3286" s="16" t="s">
        <v>3358</v>
      </c>
      <c r="L3286" s="12" t="s">
        <v>800</v>
      </c>
      <c r="M3286" s="16" t="s">
        <v>4324</v>
      </c>
      <c r="N3286" s="19" t="s">
        <v>798</v>
      </c>
      <c r="O3286" s="20" t="s">
        <v>798</v>
      </c>
      <c r="P3286" s="17" t="s">
        <v>802</v>
      </c>
      <c r="Q3286" s="21" t="s">
        <v>8910</v>
      </c>
      <c r="R3286" s="19" t="s">
        <v>798</v>
      </c>
      <c r="S3286" s="20" t="s">
        <v>798</v>
      </c>
      <c r="T3286" s="17" t="s">
        <v>798</v>
      </c>
      <c r="U3286" s="20" t="s">
        <v>798</v>
      </c>
      <c r="V3286" s="26" t="s">
        <v>798</v>
      </c>
      <c r="W3286" s="20" t="s">
        <v>798</v>
      </c>
      <c r="X3286" s="26" t="s">
        <v>798</v>
      </c>
      <c r="Y3286" s="20" t="s">
        <v>798</v>
      </c>
      <c r="Z3286" s="69" t="s">
        <v>9486</v>
      </c>
      <c r="AA3286" s="72" t="s">
        <v>9497</v>
      </c>
      <c r="AB3286" s="73" t="s">
        <v>9486</v>
      </c>
      <c r="AC3286" s="74" t="s">
        <v>9562</v>
      </c>
      <c r="AD3286" s="73" t="s">
        <v>9578</v>
      </c>
      <c r="AE3286" s="74" t="s">
        <v>9579</v>
      </c>
    </row>
    <row r="3287" spans="1:31" ht="8.65" customHeight="1" x14ac:dyDescent="0.2">
      <c r="A3287" s="76">
        <v>3287</v>
      </c>
      <c r="B3287" s="67" t="str">
        <f>MID(C3287, FIND("Ifc.", C3287) + 4, 4) &amp; "_" &amp; TEXT(COUNTIF($C$2:C3287, C3287),"0000")</f>
        <v>Enti_0420</v>
      </c>
      <c r="C3287" s="25" t="s">
        <v>874</v>
      </c>
      <c r="D3287" s="69" t="s">
        <v>9453</v>
      </c>
      <c r="E3287" s="70" t="s">
        <v>9457</v>
      </c>
      <c r="F3287" s="26" t="s">
        <v>798</v>
      </c>
      <c r="G3287" s="15" t="s">
        <v>798</v>
      </c>
      <c r="H3287" s="14" t="s">
        <v>798</v>
      </c>
      <c r="I3287" s="15" t="s">
        <v>798</v>
      </c>
      <c r="J3287" s="12" t="s">
        <v>9438</v>
      </c>
      <c r="K3287" s="16" t="s">
        <v>3359</v>
      </c>
      <c r="L3287" s="12" t="s">
        <v>800</v>
      </c>
      <c r="M3287" s="16" t="s">
        <v>4325</v>
      </c>
      <c r="N3287" s="19" t="s">
        <v>798</v>
      </c>
      <c r="O3287" s="20" t="s">
        <v>798</v>
      </c>
      <c r="P3287" s="17" t="s">
        <v>802</v>
      </c>
      <c r="Q3287" s="21" t="s">
        <v>8911</v>
      </c>
      <c r="R3287" s="19" t="s">
        <v>798</v>
      </c>
      <c r="S3287" s="20" t="s">
        <v>798</v>
      </c>
      <c r="T3287" s="17" t="s">
        <v>798</v>
      </c>
      <c r="U3287" s="20" t="s">
        <v>798</v>
      </c>
      <c r="V3287" s="26" t="s">
        <v>798</v>
      </c>
      <c r="W3287" s="20" t="s">
        <v>798</v>
      </c>
      <c r="X3287" s="26" t="s">
        <v>798</v>
      </c>
      <c r="Y3287" s="20" t="s">
        <v>798</v>
      </c>
      <c r="Z3287" s="69" t="s">
        <v>9486</v>
      </c>
      <c r="AA3287" s="72" t="s">
        <v>9497</v>
      </c>
      <c r="AB3287" s="73" t="s">
        <v>9486</v>
      </c>
      <c r="AC3287" s="74" t="s">
        <v>9562</v>
      </c>
      <c r="AD3287" s="73" t="s">
        <v>9578</v>
      </c>
      <c r="AE3287" s="74" t="s">
        <v>9579</v>
      </c>
    </row>
    <row r="3288" spans="1:31" ht="8.65" customHeight="1" x14ac:dyDescent="0.2">
      <c r="A3288" s="76">
        <v>3288</v>
      </c>
      <c r="B3288" s="67" t="str">
        <f>MID(C3288, FIND("Ifc.", C3288) + 4, 4) &amp; "_" &amp; TEXT(COUNTIF($C$2:C3288, C3288),"0000")</f>
        <v>Enti_0421</v>
      </c>
      <c r="C3288" s="25" t="s">
        <v>874</v>
      </c>
      <c r="D3288" s="69" t="s">
        <v>9453</v>
      </c>
      <c r="E3288" s="70" t="s">
        <v>9457</v>
      </c>
      <c r="F3288" s="26" t="s">
        <v>798</v>
      </c>
      <c r="G3288" s="15" t="s">
        <v>798</v>
      </c>
      <c r="H3288" s="14" t="s">
        <v>798</v>
      </c>
      <c r="I3288" s="15" t="s">
        <v>798</v>
      </c>
      <c r="J3288" s="12" t="s">
        <v>9438</v>
      </c>
      <c r="K3288" s="16" t="s">
        <v>3360</v>
      </c>
      <c r="L3288" s="12" t="s">
        <v>800</v>
      </c>
      <c r="M3288" s="16" t="s">
        <v>4326</v>
      </c>
      <c r="N3288" s="19" t="s">
        <v>798</v>
      </c>
      <c r="O3288" s="20" t="s">
        <v>798</v>
      </c>
      <c r="P3288" s="17" t="s">
        <v>802</v>
      </c>
      <c r="Q3288" s="21" t="s">
        <v>8912</v>
      </c>
      <c r="R3288" s="19" t="s">
        <v>798</v>
      </c>
      <c r="S3288" s="20" t="s">
        <v>798</v>
      </c>
      <c r="T3288" s="17" t="s">
        <v>798</v>
      </c>
      <c r="U3288" s="20" t="s">
        <v>798</v>
      </c>
      <c r="V3288" s="26" t="s">
        <v>798</v>
      </c>
      <c r="W3288" s="20" t="s">
        <v>798</v>
      </c>
      <c r="X3288" s="26" t="s">
        <v>798</v>
      </c>
      <c r="Y3288" s="20" t="s">
        <v>798</v>
      </c>
      <c r="Z3288" s="69" t="s">
        <v>9486</v>
      </c>
      <c r="AA3288" s="72" t="s">
        <v>9476</v>
      </c>
      <c r="AB3288" s="73" t="s">
        <v>9486</v>
      </c>
      <c r="AC3288" s="74" t="s">
        <v>9566</v>
      </c>
      <c r="AD3288" s="73" t="s">
        <v>9578</v>
      </c>
      <c r="AE3288" s="74" t="s">
        <v>9579</v>
      </c>
    </row>
    <row r="3289" spans="1:31" ht="8.65" customHeight="1" x14ac:dyDescent="0.2">
      <c r="A3289" s="76">
        <v>3289</v>
      </c>
      <c r="B3289" s="67" t="str">
        <f>MID(C3289, FIND("Ifc.", C3289) + 4, 4) &amp; "_" &amp; TEXT(COUNTIF($C$2:C3289, C3289),"0000")</f>
        <v>Enti_0422</v>
      </c>
      <c r="C3289" s="25" t="s">
        <v>874</v>
      </c>
      <c r="D3289" s="69" t="s">
        <v>9453</v>
      </c>
      <c r="E3289" s="70" t="s">
        <v>9457</v>
      </c>
      <c r="F3289" s="26" t="s">
        <v>798</v>
      </c>
      <c r="G3289" s="15" t="s">
        <v>798</v>
      </c>
      <c r="H3289" s="14" t="s">
        <v>798</v>
      </c>
      <c r="I3289" s="15" t="s">
        <v>798</v>
      </c>
      <c r="J3289" s="12" t="s">
        <v>9438</v>
      </c>
      <c r="K3289" s="16" t="s">
        <v>3361</v>
      </c>
      <c r="L3289" s="12" t="s">
        <v>800</v>
      </c>
      <c r="M3289" s="16" t="s">
        <v>4327</v>
      </c>
      <c r="N3289" s="19" t="s">
        <v>798</v>
      </c>
      <c r="O3289" s="20" t="s">
        <v>798</v>
      </c>
      <c r="P3289" s="17" t="s">
        <v>802</v>
      </c>
      <c r="Q3289" s="21" t="s">
        <v>8913</v>
      </c>
      <c r="R3289" s="19" t="s">
        <v>798</v>
      </c>
      <c r="S3289" s="20" t="s">
        <v>798</v>
      </c>
      <c r="T3289" s="17" t="s">
        <v>798</v>
      </c>
      <c r="U3289" s="20" t="s">
        <v>798</v>
      </c>
      <c r="V3289" s="26" t="s">
        <v>798</v>
      </c>
      <c r="W3289" s="20" t="s">
        <v>798</v>
      </c>
      <c r="X3289" s="26" t="s">
        <v>798</v>
      </c>
      <c r="Y3289" s="20" t="s">
        <v>798</v>
      </c>
      <c r="Z3289" s="69" t="s">
        <v>9486</v>
      </c>
      <c r="AA3289" s="72" t="s">
        <v>9477</v>
      </c>
      <c r="AB3289" s="73" t="s">
        <v>9486</v>
      </c>
      <c r="AC3289" s="74" t="s">
        <v>9566</v>
      </c>
      <c r="AD3289" s="73" t="s">
        <v>9578</v>
      </c>
      <c r="AE3289" s="74" t="s">
        <v>9579</v>
      </c>
    </row>
    <row r="3290" spans="1:31" ht="8.65" customHeight="1" x14ac:dyDescent="0.2">
      <c r="A3290" s="76">
        <v>3290</v>
      </c>
      <c r="B3290" s="67" t="str">
        <f>MID(C3290, FIND("Ifc.", C3290) + 4, 4) &amp; "_" &amp; TEXT(COUNTIF($C$2:C3290, C3290),"0000")</f>
        <v>Enti_0423</v>
      </c>
      <c r="C3290" s="25" t="s">
        <v>874</v>
      </c>
      <c r="D3290" s="69" t="s">
        <v>9453</v>
      </c>
      <c r="E3290" s="70" t="s">
        <v>9457</v>
      </c>
      <c r="F3290" s="26" t="s">
        <v>798</v>
      </c>
      <c r="G3290" s="15" t="s">
        <v>798</v>
      </c>
      <c r="H3290" s="14" t="s">
        <v>798</v>
      </c>
      <c r="I3290" s="15" t="s">
        <v>798</v>
      </c>
      <c r="J3290" s="12" t="s">
        <v>9438</v>
      </c>
      <c r="K3290" s="16" t="s">
        <v>3362</v>
      </c>
      <c r="L3290" s="12" t="s">
        <v>800</v>
      </c>
      <c r="M3290" s="16" t="s">
        <v>4328</v>
      </c>
      <c r="N3290" s="19" t="s">
        <v>798</v>
      </c>
      <c r="O3290" s="20" t="s">
        <v>798</v>
      </c>
      <c r="P3290" s="17" t="s">
        <v>802</v>
      </c>
      <c r="Q3290" s="21" t="s">
        <v>8914</v>
      </c>
      <c r="R3290" s="19" t="s">
        <v>798</v>
      </c>
      <c r="S3290" s="20" t="s">
        <v>798</v>
      </c>
      <c r="T3290" s="17" t="s">
        <v>798</v>
      </c>
      <c r="U3290" s="20" t="s">
        <v>798</v>
      </c>
      <c r="V3290" s="26" t="s">
        <v>798</v>
      </c>
      <c r="W3290" s="20" t="s">
        <v>798</v>
      </c>
      <c r="X3290" s="26" t="s">
        <v>798</v>
      </c>
      <c r="Y3290" s="20" t="s">
        <v>798</v>
      </c>
      <c r="Z3290" s="69" t="s">
        <v>9486</v>
      </c>
      <c r="AA3290" s="72" t="s">
        <v>9476</v>
      </c>
      <c r="AB3290" s="73" t="s">
        <v>9486</v>
      </c>
      <c r="AC3290" s="74" t="s">
        <v>9562</v>
      </c>
      <c r="AD3290" s="73" t="s">
        <v>9578</v>
      </c>
      <c r="AE3290" s="74" t="s">
        <v>9579</v>
      </c>
    </row>
    <row r="3291" spans="1:31" ht="8.65" customHeight="1" x14ac:dyDescent="0.2">
      <c r="A3291" s="76">
        <v>3291</v>
      </c>
      <c r="B3291" s="67" t="str">
        <f>MID(C3291, FIND("Ifc.", C3291) + 4, 4) &amp; "_" &amp; TEXT(COUNTIF($C$2:C3291, C3291),"0000")</f>
        <v>Enti_0424</v>
      </c>
      <c r="C3291" s="25" t="s">
        <v>874</v>
      </c>
      <c r="D3291" s="69" t="s">
        <v>9453</v>
      </c>
      <c r="E3291" s="70" t="s">
        <v>9457</v>
      </c>
      <c r="F3291" s="26" t="s">
        <v>798</v>
      </c>
      <c r="G3291" s="15" t="s">
        <v>798</v>
      </c>
      <c r="H3291" s="14" t="s">
        <v>798</v>
      </c>
      <c r="I3291" s="15" t="s">
        <v>798</v>
      </c>
      <c r="J3291" s="12" t="s">
        <v>9438</v>
      </c>
      <c r="K3291" s="16" t="s">
        <v>3363</v>
      </c>
      <c r="L3291" s="12" t="s">
        <v>800</v>
      </c>
      <c r="M3291" s="16" t="s">
        <v>4329</v>
      </c>
      <c r="N3291" s="19" t="s">
        <v>798</v>
      </c>
      <c r="O3291" s="20" t="s">
        <v>798</v>
      </c>
      <c r="P3291" s="17" t="s">
        <v>802</v>
      </c>
      <c r="Q3291" s="21" t="s">
        <v>8915</v>
      </c>
      <c r="R3291" s="19" t="s">
        <v>798</v>
      </c>
      <c r="S3291" s="20" t="s">
        <v>798</v>
      </c>
      <c r="T3291" s="17" t="s">
        <v>798</v>
      </c>
      <c r="U3291" s="20" t="s">
        <v>798</v>
      </c>
      <c r="V3291" s="26" t="s">
        <v>798</v>
      </c>
      <c r="W3291" s="20" t="s">
        <v>798</v>
      </c>
      <c r="X3291" s="26" t="s">
        <v>798</v>
      </c>
      <c r="Y3291" s="20" t="s">
        <v>798</v>
      </c>
      <c r="Z3291" s="69" t="s">
        <v>9486</v>
      </c>
      <c r="AA3291" s="72" t="s">
        <v>9476</v>
      </c>
      <c r="AB3291" s="73" t="s">
        <v>9486</v>
      </c>
      <c r="AC3291" s="74" t="s">
        <v>9562</v>
      </c>
      <c r="AD3291" s="73" t="s">
        <v>9578</v>
      </c>
      <c r="AE3291" s="74" t="s">
        <v>9579</v>
      </c>
    </row>
    <row r="3292" spans="1:31" ht="8.65" customHeight="1" x14ac:dyDescent="0.2">
      <c r="A3292" s="76">
        <v>3292</v>
      </c>
      <c r="B3292" s="67" t="str">
        <f>MID(C3292, FIND("Ifc.", C3292) + 4, 4) &amp; "_" &amp; TEXT(COUNTIF($C$2:C3292, C3292),"0000")</f>
        <v>Enti_0425</v>
      </c>
      <c r="C3292" s="25" t="s">
        <v>874</v>
      </c>
      <c r="D3292" s="69" t="s">
        <v>9453</v>
      </c>
      <c r="E3292" s="70" t="s">
        <v>9457</v>
      </c>
      <c r="F3292" s="26" t="s">
        <v>798</v>
      </c>
      <c r="G3292" s="15" t="s">
        <v>798</v>
      </c>
      <c r="H3292" s="14" t="s">
        <v>798</v>
      </c>
      <c r="I3292" s="15" t="s">
        <v>798</v>
      </c>
      <c r="J3292" s="12" t="s">
        <v>9438</v>
      </c>
      <c r="K3292" s="16" t="s">
        <v>3364</v>
      </c>
      <c r="L3292" s="12" t="s">
        <v>800</v>
      </c>
      <c r="M3292" s="16" t="s">
        <v>4330</v>
      </c>
      <c r="N3292" s="19" t="s">
        <v>798</v>
      </c>
      <c r="O3292" s="20" t="s">
        <v>798</v>
      </c>
      <c r="P3292" s="17" t="s">
        <v>802</v>
      </c>
      <c r="Q3292" s="21" t="s">
        <v>8916</v>
      </c>
      <c r="R3292" s="19" t="s">
        <v>798</v>
      </c>
      <c r="S3292" s="20" t="s">
        <v>798</v>
      </c>
      <c r="T3292" s="17" t="s">
        <v>798</v>
      </c>
      <c r="U3292" s="20" t="s">
        <v>798</v>
      </c>
      <c r="V3292" s="26" t="s">
        <v>798</v>
      </c>
      <c r="W3292" s="20" t="s">
        <v>798</v>
      </c>
      <c r="X3292" s="26" t="s">
        <v>798</v>
      </c>
      <c r="Y3292" s="20" t="s">
        <v>798</v>
      </c>
      <c r="Z3292" s="69" t="s">
        <v>9486</v>
      </c>
      <c r="AA3292" s="72" t="s">
        <v>9476</v>
      </c>
      <c r="AB3292" s="73" t="s">
        <v>9486</v>
      </c>
      <c r="AC3292" s="74" t="s">
        <v>9562</v>
      </c>
      <c r="AD3292" s="73" t="s">
        <v>9578</v>
      </c>
      <c r="AE3292" s="74" t="s">
        <v>9579</v>
      </c>
    </row>
    <row r="3293" spans="1:31" ht="8.65" customHeight="1" x14ac:dyDescent="0.2">
      <c r="A3293" s="76">
        <v>3293</v>
      </c>
      <c r="B3293" s="67" t="str">
        <f>MID(C3293, FIND("Ifc.", C3293) + 4, 4) &amp; "_" &amp; TEXT(COUNTIF($C$2:C3293, C3293),"0000")</f>
        <v>Enti_0426</v>
      </c>
      <c r="C3293" s="25" t="s">
        <v>874</v>
      </c>
      <c r="D3293" s="69" t="s">
        <v>9453</v>
      </c>
      <c r="E3293" s="70" t="s">
        <v>9457</v>
      </c>
      <c r="F3293" s="26" t="s">
        <v>798</v>
      </c>
      <c r="G3293" s="15" t="s">
        <v>798</v>
      </c>
      <c r="H3293" s="14" t="s">
        <v>798</v>
      </c>
      <c r="I3293" s="15" t="s">
        <v>798</v>
      </c>
      <c r="J3293" s="12" t="s">
        <v>9438</v>
      </c>
      <c r="K3293" s="16" t="s">
        <v>3365</v>
      </c>
      <c r="L3293" s="12" t="s">
        <v>800</v>
      </c>
      <c r="M3293" s="16" t="s">
        <v>4331</v>
      </c>
      <c r="N3293" s="19" t="s">
        <v>798</v>
      </c>
      <c r="O3293" s="20" t="s">
        <v>798</v>
      </c>
      <c r="P3293" s="17" t="s">
        <v>802</v>
      </c>
      <c r="Q3293" s="21" t="s">
        <v>8917</v>
      </c>
      <c r="R3293" s="19" t="s">
        <v>798</v>
      </c>
      <c r="S3293" s="20" t="s">
        <v>798</v>
      </c>
      <c r="T3293" s="17" t="s">
        <v>798</v>
      </c>
      <c r="U3293" s="20" t="s">
        <v>798</v>
      </c>
      <c r="V3293" s="26" t="s">
        <v>798</v>
      </c>
      <c r="W3293" s="20" t="s">
        <v>798</v>
      </c>
      <c r="X3293" s="26" t="s">
        <v>798</v>
      </c>
      <c r="Y3293" s="20" t="s">
        <v>798</v>
      </c>
      <c r="Z3293" s="69" t="s">
        <v>9486</v>
      </c>
      <c r="AA3293" s="72" t="s">
        <v>9476</v>
      </c>
      <c r="AB3293" s="73" t="s">
        <v>9486</v>
      </c>
      <c r="AC3293" s="74" t="s">
        <v>9562</v>
      </c>
      <c r="AD3293" s="73" t="s">
        <v>9578</v>
      </c>
      <c r="AE3293" s="74" t="s">
        <v>9579</v>
      </c>
    </row>
    <row r="3294" spans="1:31" ht="8.65" customHeight="1" x14ac:dyDescent="0.2">
      <c r="A3294" s="76">
        <v>3294</v>
      </c>
      <c r="B3294" s="67" t="str">
        <f>MID(C3294, FIND("Ifc.", C3294) + 4, 4) &amp; "_" &amp; TEXT(COUNTIF($C$2:C3294, C3294),"0000")</f>
        <v>Enti_0427</v>
      </c>
      <c r="C3294" s="25" t="s">
        <v>874</v>
      </c>
      <c r="D3294" s="69" t="s">
        <v>9453</v>
      </c>
      <c r="E3294" s="70" t="s">
        <v>9457</v>
      </c>
      <c r="F3294" s="26" t="s">
        <v>798</v>
      </c>
      <c r="G3294" s="15" t="s">
        <v>798</v>
      </c>
      <c r="H3294" s="14" t="s">
        <v>798</v>
      </c>
      <c r="I3294" s="15" t="s">
        <v>798</v>
      </c>
      <c r="J3294" s="12" t="s">
        <v>9438</v>
      </c>
      <c r="K3294" s="16" t="s">
        <v>3366</v>
      </c>
      <c r="L3294" s="12" t="s">
        <v>800</v>
      </c>
      <c r="M3294" s="16" t="s">
        <v>4332</v>
      </c>
      <c r="N3294" s="19" t="s">
        <v>798</v>
      </c>
      <c r="O3294" s="20" t="s">
        <v>798</v>
      </c>
      <c r="P3294" s="17" t="s">
        <v>802</v>
      </c>
      <c r="Q3294" s="21" t="s">
        <v>8918</v>
      </c>
      <c r="R3294" s="19" t="s">
        <v>798</v>
      </c>
      <c r="S3294" s="20" t="s">
        <v>798</v>
      </c>
      <c r="T3294" s="17" t="s">
        <v>798</v>
      </c>
      <c r="U3294" s="20" t="s">
        <v>798</v>
      </c>
      <c r="V3294" s="26" t="s">
        <v>798</v>
      </c>
      <c r="W3294" s="20" t="s">
        <v>798</v>
      </c>
      <c r="X3294" s="26" t="s">
        <v>798</v>
      </c>
      <c r="Y3294" s="20" t="s">
        <v>798</v>
      </c>
      <c r="Z3294" s="69" t="s">
        <v>9486</v>
      </c>
      <c r="AA3294" s="72" t="s">
        <v>9476</v>
      </c>
      <c r="AB3294" s="73" t="s">
        <v>9486</v>
      </c>
      <c r="AC3294" s="74" t="s">
        <v>9562</v>
      </c>
      <c r="AD3294" s="73" t="s">
        <v>9578</v>
      </c>
      <c r="AE3294" s="74" t="s">
        <v>9579</v>
      </c>
    </row>
    <row r="3295" spans="1:31" ht="8.65" customHeight="1" x14ac:dyDescent="0.2">
      <c r="A3295" s="76">
        <v>3295</v>
      </c>
      <c r="B3295" s="67" t="str">
        <f>MID(C3295, FIND("Ifc.", C3295) + 4, 4) &amp; "_" &amp; TEXT(COUNTIF($C$2:C3295, C3295),"0000")</f>
        <v>Enti_0428</v>
      </c>
      <c r="C3295" s="25" t="s">
        <v>874</v>
      </c>
      <c r="D3295" s="69" t="s">
        <v>9453</v>
      </c>
      <c r="E3295" s="70" t="s">
        <v>9457</v>
      </c>
      <c r="F3295" s="26" t="s">
        <v>798</v>
      </c>
      <c r="G3295" s="15" t="s">
        <v>798</v>
      </c>
      <c r="H3295" s="14" t="s">
        <v>798</v>
      </c>
      <c r="I3295" s="15" t="s">
        <v>798</v>
      </c>
      <c r="J3295" s="12" t="s">
        <v>9438</v>
      </c>
      <c r="K3295" s="16" t="s">
        <v>3367</v>
      </c>
      <c r="L3295" s="12" t="s">
        <v>800</v>
      </c>
      <c r="M3295" s="16" t="s">
        <v>4333</v>
      </c>
      <c r="N3295" s="19" t="s">
        <v>798</v>
      </c>
      <c r="O3295" s="20" t="s">
        <v>798</v>
      </c>
      <c r="P3295" s="17" t="s">
        <v>802</v>
      </c>
      <c r="Q3295" s="21" t="s">
        <v>8919</v>
      </c>
      <c r="R3295" s="19" t="s">
        <v>798</v>
      </c>
      <c r="S3295" s="20" t="s">
        <v>798</v>
      </c>
      <c r="T3295" s="17" t="s">
        <v>798</v>
      </c>
      <c r="U3295" s="20" t="s">
        <v>798</v>
      </c>
      <c r="V3295" s="26" t="s">
        <v>798</v>
      </c>
      <c r="W3295" s="20" t="s">
        <v>798</v>
      </c>
      <c r="X3295" s="26" t="s">
        <v>798</v>
      </c>
      <c r="Y3295" s="20" t="s">
        <v>798</v>
      </c>
      <c r="Z3295" s="69" t="s">
        <v>9486</v>
      </c>
      <c r="AA3295" s="72" t="s">
        <v>9476</v>
      </c>
      <c r="AB3295" s="73" t="s">
        <v>9486</v>
      </c>
      <c r="AC3295" s="74" t="s">
        <v>9566</v>
      </c>
      <c r="AD3295" s="73" t="s">
        <v>9578</v>
      </c>
      <c r="AE3295" s="74" t="s">
        <v>9579</v>
      </c>
    </row>
    <row r="3296" spans="1:31" ht="8.65" customHeight="1" x14ac:dyDescent="0.2">
      <c r="A3296" s="76">
        <v>3296</v>
      </c>
      <c r="B3296" s="67" t="str">
        <f>MID(C3296, FIND("Ifc.", C3296) + 4, 4) &amp; "_" &amp; TEXT(COUNTIF($C$2:C3296, C3296),"0000")</f>
        <v>Enti_0429</v>
      </c>
      <c r="C3296" s="25" t="s">
        <v>874</v>
      </c>
      <c r="D3296" s="69" t="s">
        <v>9453</v>
      </c>
      <c r="E3296" s="70" t="s">
        <v>9457</v>
      </c>
      <c r="F3296" s="26" t="s">
        <v>798</v>
      </c>
      <c r="G3296" s="15" t="s">
        <v>798</v>
      </c>
      <c r="H3296" s="14" t="s">
        <v>798</v>
      </c>
      <c r="I3296" s="15" t="s">
        <v>798</v>
      </c>
      <c r="J3296" s="12" t="s">
        <v>9438</v>
      </c>
      <c r="K3296" s="16" t="s">
        <v>3368</v>
      </c>
      <c r="L3296" s="12" t="s">
        <v>800</v>
      </c>
      <c r="M3296" s="16" t="s">
        <v>4334</v>
      </c>
      <c r="N3296" s="19" t="s">
        <v>798</v>
      </c>
      <c r="O3296" s="20" t="s">
        <v>798</v>
      </c>
      <c r="P3296" s="17" t="s">
        <v>802</v>
      </c>
      <c r="Q3296" s="21" t="s">
        <v>8920</v>
      </c>
      <c r="R3296" s="19" t="s">
        <v>798</v>
      </c>
      <c r="S3296" s="20" t="s">
        <v>798</v>
      </c>
      <c r="T3296" s="17" t="s">
        <v>798</v>
      </c>
      <c r="U3296" s="20" t="s">
        <v>798</v>
      </c>
      <c r="V3296" s="26" t="s">
        <v>798</v>
      </c>
      <c r="W3296" s="20" t="s">
        <v>798</v>
      </c>
      <c r="X3296" s="26" t="s">
        <v>798</v>
      </c>
      <c r="Y3296" s="20" t="s">
        <v>798</v>
      </c>
      <c r="Z3296" s="69" t="s">
        <v>9486</v>
      </c>
      <c r="AA3296" s="72" t="s">
        <v>9477</v>
      </c>
      <c r="AB3296" s="73" t="s">
        <v>9486</v>
      </c>
      <c r="AC3296" s="74" t="s">
        <v>9566</v>
      </c>
      <c r="AD3296" s="73" t="s">
        <v>9578</v>
      </c>
      <c r="AE3296" s="74" t="s">
        <v>9579</v>
      </c>
    </row>
    <row r="3297" spans="1:31" ht="8.65" customHeight="1" x14ac:dyDescent="0.2">
      <c r="A3297" s="76">
        <v>3297</v>
      </c>
      <c r="B3297" s="67" t="str">
        <f>MID(C3297, FIND("Ifc.", C3297) + 4, 4) &amp; "_" &amp; TEXT(COUNTIF($C$2:C3297, C3297),"0000")</f>
        <v>Enti_0430</v>
      </c>
      <c r="C3297" s="25" t="s">
        <v>874</v>
      </c>
      <c r="D3297" s="69" t="s">
        <v>9453</v>
      </c>
      <c r="E3297" s="70" t="s">
        <v>9457</v>
      </c>
      <c r="F3297" s="26" t="s">
        <v>798</v>
      </c>
      <c r="G3297" s="15" t="s">
        <v>798</v>
      </c>
      <c r="H3297" s="14" t="s">
        <v>798</v>
      </c>
      <c r="I3297" s="15" t="s">
        <v>798</v>
      </c>
      <c r="J3297" s="12" t="s">
        <v>9438</v>
      </c>
      <c r="K3297" s="16" t="s">
        <v>3369</v>
      </c>
      <c r="L3297" s="12" t="s">
        <v>800</v>
      </c>
      <c r="M3297" s="16" t="s">
        <v>4335</v>
      </c>
      <c r="N3297" s="19" t="s">
        <v>798</v>
      </c>
      <c r="O3297" s="20" t="s">
        <v>798</v>
      </c>
      <c r="P3297" s="17" t="s">
        <v>802</v>
      </c>
      <c r="Q3297" s="21" t="s">
        <v>8921</v>
      </c>
      <c r="R3297" s="19" t="s">
        <v>798</v>
      </c>
      <c r="S3297" s="20" t="s">
        <v>798</v>
      </c>
      <c r="T3297" s="17" t="s">
        <v>798</v>
      </c>
      <c r="U3297" s="20" t="s">
        <v>798</v>
      </c>
      <c r="V3297" s="26" t="s">
        <v>798</v>
      </c>
      <c r="W3297" s="20" t="s">
        <v>798</v>
      </c>
      <c r="X3297" s="26" t="s">
        <v>798</v>
      </c>
      <c r="Y3297" s="20" t="s">
        <v>798</v>
      </c>
      <c r="Z3297" s="69" t="s">
        <v>9486</v>
      </c>
      <c r="AA3297" s="72" t="s">
        <v>9476</v>
      </c>
      <c r="AB3297" s="73" t="s">
        <v>9486</v>
      </c>
      <c r="AC3297" s="74" t="s">
        <v>9566</v>
      </c>
      <c r="AD3297" s="73" t="s">
        <v>9578</v>
      </c>
      <c r="AE3297" s="74" t="s">
        <v>9579</v>
      </c>
    </row>
    <row r="3298" spans="1:31" ht="8.65" customHeight="1" x14ac:dyDescent="0.2">
      <c r="A3298" s="76">
        <v>3298</v>
      </c>
      <c r="B3298" s="67" t="str">
        <f>MID(C3298, FIND("Ifc.", C3298) + 4, 4) &amp; "_" &amp; TEXT(COUNTIF($C$2:C3298, C3298),"0000")</f>
        <v>Enti_0431</v>
      </c>
      <c r="C3298" s="25" t="s">
        <v>874</v>
      </c>
      <c r="D3298" s="69" t="s">
        <v>9453</v>
      </c>
      <c r="E3298" s="70" t="s">
        <v>9457</v>
      </c>
      <c r="F3298" s="26" t="s">
        <v>798</v>
      </c>
      <c r="G3298" s="15" t="s">
        <v>798</v>
      </c>
      <c r="H3298" s="14" t="s">
        <v>798</v>
      </c>
      <c r="I3298" s="15" t="s">
        <v>798</v>
      </c>
      <c r="J3298" s="12" t="s">
        <v>9438</v>
      </c>
      <c r="K3298" s="16" t="s">
        <v>3370</v>
      </c>
      <c r="L3298" s="12" t="s">
        <v>800</v>
      </c>
      <c r="M3298" s="16" t="s">
        <v>4336</v>
      </c>
      <c r="N3298" s="19" t="s">
        <v>798</v>
      </c>
      <c r="O3298" s="20" t="s">
        <v>798</v>
      </c>
      <c r="P3298" s="17" t="s">
        <v>802</v>
      </c>
      <c r="Q3298" s="21" t="s">
        <v>8922</v>
      </c>
      <c r="R3298" s="19" t="s">
        <v>798</v>
      </c>
      <c r="S3298" s="20" t="s">
        <v>798</v>
      </c>
      <c r="T3298" s="17" t="s">
        <v>798</v>
      </c>
      <c r="U3298" s="20" t="s">
        <v>798</v>
      </c>
      <c r="V3298" s="26" t="s">
        <v>798</v>
      </c>
      <c r="W3298" s="20" t="s">
        <v>798</v>
      </c>
      <c r="X3298" s="26" t="s">
        <v>798</v>
      </c>
      <c r="Y3298" s="20" t="s">
        <v>798</v>
      </c>
      <c r="Z3298" s="69" t="s">
        <v>9486</v>
      </c>
      <c r="AA3298" s="72" t="s">
        <v>9477</v>
      </c>
      <c r="AB3298" s="73" t="s">
        <v>9486</v>
      </c>
      <c r="AC3298" s="74" t="s">
        <v>9566</v>
      </c>
      <c r="AD3298" s="73" t="s">
        <v>9578</v>
      </c>
      <c r="AE3298" s="74" t="s">
        <v>9579</v>
      </c>
    </row>
    <row r="3299" spans="1:31" ht="8.65" customHeight="1" x14ac:dyDescent="0.2">
      <c r="A3299" s="76">
        <v>3299</v>
      </c>
      <c r="B3299" s="67" t="str">
        <f>MID(C3299, FIND("Ifc.", C3299) + 4, 4) &amp; "_" &amp; TEXT(COUNTIF($C$2:C3299, C3299),"0000")</f>
        <v>Enti_0432</v>
      </c>
      <c r="C3299" s="25" t="s">
        <v>874</v>
      </c>
      <c r="D3299" s="69" t="s">
        <v>9453</v>
      </c>
      <c r="E3299" s="70" t="s">
        <v>9457</v>
      </c>
      <c r="F3299" s="26" t="s">
        <v>798</v>
      </c>
      <c r="G3299" s="15" t="s">
        <v>798</v>
      </c>
      <c r="H3299" s="14" t="s">
        <v>798</v>
      </c>
      <c r="I3299" s="15" t="s">
        <v>798</v>
      </c>
      <c r="J3299" s="12" t="s">
        <v>9438</v>
      </c>
      <c r="K3299" s="16" t="s">
        <v>3371</v>
      </c>
      <c r="L3299" s="12" t="s">
        <v>800</v>
      </c>
      <c r="M3299" s="16" t="s">
        <v>4337</v>
      </c>
      <c r="N3299" s="19" t="s">
        <v>798</v>
      </c>
      <c r="O3299" s="20" t="s">
        <v>798</v>
      </c>
      <c r="P3299" s="17" t="s">
        <v>802</v>
      </c>
      <c r="Q3299" s="21" t="s">
        <v>8923</v>
      </c>
      <c r="R3299" s="19" t="s">
        <v>798</v>
      </c>
      <c r="S3299" s="20" t="s">
        <v>798</v>
      </c>
      <c r="T3299" s="17" t="s">
        <v>798</v>
      </c>
      <c r="U3299" s="20" t="s">
        <v>798</v>
      </c>
      <c r="V3299" s="26" t="s">
        <v>798</v>
      </c>
      <c r="W3299" s="20" t="s">
        <v>798</v>
      </c>
      <c r="X3299" s="26" t="s">
        <v>798</v>
      </c>
      <c r="Y3299" s="20" t="s">
        <v>798</v>
      </c>
      <c r="Z3299" s="69" t="s">
        <v>9486</v>
      </c>
      <c r="AA3299" s="72" t="s">
        <v>9476</v>
      </c>
      <c r="AB3299" s="73" t="s">
        <v>9486</v>
      </c>
      <c r="AC3299" s="74" t="s">
        <v>9562</v>
      </c>
      <c r="AD3299" s="73" t="s">
        <v>9578</v>
      </c>
      <c r="AE3299" s="74" t="s">
        <v>9579</v>
      </c>
    </row>
    <row r="3300" spans="1:31" ht="8.65" customHeight="1" x14ac:dyDescent="0.2">
      <c r="A3300" s="76">
        <v>3300</v>
      </c>
      <c r="B3300" s="67" t="str">
        <f>MID(C3300, FIND("Ifc.", C3300) + 4, 4) &amp; "_" &amp; TEXT(COUNTIF($C$2:C3300, C3300),"0000")</f>
        <v>Enti_0433</v>
      </c>
      <c r="C3300" s="25" t="s">
        <v>874</v>
      </c>
      <c r="D3300" s="69" t="s">
        <v>9453</v>
      </c>
      <c r="E3300" s="70" t="s">
        <v>9457</v>
      </c>
      <c r="F3300" s="26" t="s">
        <v>798</v>
      </c>
      <c r="G3300" s="15" t="s">
        <v>798</v>
      </c>
      <c r="H3300" s="14" t="s">
        <v>798</v>
      </c>
      <c r="I3300" s="15" t="s">
        <v>798</v>
      </c>
      <c r="J3300" s="12" t="s">
        <v>9438</v>
      </c>
      <c r="K3300" s="16" t="s">
        <v>3372</v>
      </c>
      <c r="L3300" s="12" t="s">
        <v>800</v>
      </c>
      <c r="M3300" s="16" t="s">
        <v>4338</v>
      </c>
      <c r="N3300" s="19" t="s">
        <v>798</v>
      </c>
      <c r="O3300" s="20" t="s">
        <v>798</v>
      </c>
      <c r="P3300" s="17" t="s">
        <v>802</v>
      </c>
      <c r="Q3300" s="21" t="s">
        <v>8924</v>
      </c>
      <c r="R3300" s="19" t="s">
        <v>798</v>
      </c>
      <c r="S3300" s="20" t="s">
        <v>798</v>
      </c>
      <c r="T3300" s="17" t="s">
        <v>798</v>
      </c>
      <c r="U3300" s="20" t="s">
        <v>798</v>
      </c>
      <c r="V3300" s="26" t="s">
        <v>798</v>
      </c>
      <c r="W3300" s="20" t="s">
        <v>798</v>
      </c>
      <c r="X3300" s="26" t="s">
        <v>798</v>
      </c>
      <c r="Y3300" s="20" t="s">
        <v>798</v>
      </c>
      <c r="Z3300" s="69" t="s">
        <v>9486</v>
      </c>
      <c r="AA3300" s="72" t="s">
        <v>9476</v>
      </c>
      <c r="AB3300" s="73" t="s">
        <v>9486</v>
      </c>
      <c r="AC3300" s="74" t="s">
        <v>9566</v>
      </c>
      <c r="AD3300" s="73" t="s">
        <v>9578</v>
      </c>
      <c r="AE3300" s="74" t="s">
        <v>9579</v>
      </c>
    </row>
    <row r="3301" spans="1:31" ht="8.65" customHeight="1" x14ac:dyDescent="0.2">
      <c r="A3301" s="76">
        <v>3301</v>
      </c>
      <c r="B3301" s="67" t="str">
        <f>MID(C3301, FIND("Ifc.", C3301) + 4, 4) &amp; "_" &amp; TEXT(COUNTIF($C$2:C3301, C3301),"0000")</f>
        <v>Enti_0434</v>
      </c>
      <c r="C3301" s="25" t="s">
        <v>874</v>
      </c>
      <c r="D3301" s="69" t="s">
        <v>9453</v>
      </c>
      <c r="E3301" s="70" t="s">
        <v>9457</v>
      </c>
      <c r="F3301" s="26" t="s">
        <v>798</v>
      </c>
      <c r="G3301" s="15" t="s">
        <v>798</v>
      </c>
      <c r="H3301" s="14" t="s">
        <v>798</v>
      </c>
      <c r="I3301" s="15" t="s">
        <v>798</v>
      </c>
      <c r="J3301" s="12" t="s">
        <v>9438</v>
      </c>
      <c r="K3301" s="16" t="s">
        <v>3373</v>
      </c>
      <c r="L3301" s="12" t="s">
        <v>800</v>
      </c>
      <c r="M3301" s="16" t="s">
        <v>4339</v>
      </c>
      <c r="N3301" s="19" t="s">
        <v>798</v>
      </c>
      <c r="O3301" s="20" t="s">
        <v>798</v>
      </c>
      <c r="P3301" s="17" t="s">
        <v>802</v>
      </c>
      <c r="Q3301" s="21" t="s">
        <v>8925</v>
      </c>
      <c r="R3301" s="19" t="s">
        <v>798</v>
      </c>
      <c r="S3301" s="20" t="s">
        <v>798</v>
      </c>
      <c r="T3301" s="17" t="s">
        <v>798</v>
      </c>
      <c r="U3301" s="20" t="s">
        <v>798</v>
      </c>
      <c r="V3301" s="26" t="s">
        <v>798</v>
      </c>
      <c r="W3301" s="20" t="s">
        <v>798</v>
      </c>
      <c r="X3301" s="26" t="s">
        <v>798</v>
      </c>
      <c r="Y3301" s="20" t="s">
        <v>798</v>
      </c>
      <c r="Z3301" s="69" t="s">
        <v>9486</v>
      </c>
      <c r="AA3301" s="72" t="s">
        <v>9477</v>
      </c>
      <c r="AB3301" s="73" t="s">
        <v>9486</v>
      </c>
      <c r="AC3301" s="74" t="s">
        <v>9566</v>
      </c>
      <c r="AD3301" s="73" t="s">
        <v>9578</v>
      </c>
      <c r="AE3301" s="74" t="s">
        <v>9579</v>
      </c>
    </row>
    <row r="3302" spans="1:31" ht="8.65" customHeight="1" x14ac:dyDescent="0.2">
      <c r="A3302" s="76">
        <v>3302</v>
      </c>
      <c r="B3302" s="67" t="str">
        <f>MID(C3302, FIND("Ifc.", C3302) + 4, 4) &amp; "_" &amp; TEXT(COUNTIF($C$2:C3302, C3302),"0000")</f>
        <v>Enti_0435</v>
      </c>
      <c r="C3302" s="25" t="s">
        <v>874</v>
      </c>
      <c r="D3302" s="69" t="s">
        <v>9453</v>
      </c>
      <c r="E3302" s="70" t="s">
        <v>9457</v>
      </c>
      <c r="F3302" s="26" t="s">
        <v>798</v>
      </c>
      <c r="G3302" s="15" t="s">
        <v>798</v>
      </c>
      <c r="H3302" s="14" t="s">
        <v>798</v>
      </c>
      <c r="I3302" s="15" t="s">
        <v>798</v>
      </c>
      <c r="J3302" s="12" t="s">
        <v>9438</v>
      </c>
      <c r="K3302" s="16" t="s">
        <v>3374</v>
      </c>
      <c r="L3302" s="12" t="s">
        <v>800</v>
      </c>
      <c r="M3302" s="16" t="s">
        <v>4340</v>
      </c>
      <c r="N3302" s="19" t="s">
        <v>798</v>
      </c>
      <c r="O3302" s="20" t="s">
        <v>798</v>
      </c>
      <c r="P3302" s="17" t="s">
        <v>802</v>
      </c>
      <c r="Q3302" s="21" t="s">
        <v>8926</v>
      </c>
      <c r="R3302" s="19" t="s">
        <v>798</v>
      </c>
      <c r="S3302" s="20" t="s">
        <v>798</v>
      </c>
      <c r="T3302" s="17" t="s">
        <v>798</v>
      </c>
      <c r="U3302" s="20" t="s">
        <v>798</v>
      </c>
      <c r="V3302" s="26" t="s">
        <v>798</v>
      </c>
      <c r="W3302" s="20" t="s">
        <v>798</v>
      </c>
      <c r="X3302" s="26" t="s">
        <v>798</v>
      </c>
      <c r="Y3302" s="20" t="s">
        <v>798</v>
      </c>
      <c r="Z3302" s="69" t="s">
        <v>9486</v>
      </c>
      <c r="AA3302" s="72" t="s">
        <v>9476</v>
      </c>
      <c r="AB3302" s="73" t="s">
        <v>9486</v>
      </c>
      <c r="AC3302" s="74" t="s">
        <v>9562</v>
      </c>
      <c r="AD3302" s="73" t="s">
        <v>9578</v>
      </c>
      <c r="AE3302" s="74" t="s">
        <v>9579</v>
      </c>
    </row>
    <row r="3303" spans="1:31" ht="8.65" customHeight="1" x14ac:dyDescent="0.2">
      <c r="A3303" s="76">
        <v>3303</v>
      </c>
      <c r="B3303" s="67" t="str">
        <f>MID(C3303, FIND("Ifc.", C3303) + 4, 4) &amp; "_" &amp; TEXT(COUNTIF($C$2:C3303, C3303),"0000")</f>
        <v>Enti_0436</v>
      </c>
      <c r="C3303" s="25" t="s">
        <v>874</v>
      </c>
      <c r="D3303" s="69" t="s">
        <v>9453</v>
      </c>
      <c r="E3303" s="70" t="s">
        <v>9457</v>
      </c>
      <c r="F3303" s="26" t="s">
        <v>798</v>
      </c>
      <c r="G3303" s="15" t="s">
        <v>798</v>
      </c>
      <c r="H3303" s="14" t="s">
        <v>798</v>
      </c>
      <c r="I3303" s="15" t="s">
        <v>798</v>
      </c>
      <c r="J3303" s="12" t="s">
        <v>9438</v>
      </c>
      <c r="K3303" s="16" t="s">
        <v>3375</v>
      </c>
      <c r="L3303" s="12" t="s">
        <v>800</v>
      </c>
      <c r="M3303" s="16" t="s">
        <v>4341</v>
      </c>
      <c r="N3303" s="19" t="s">
        <v>798</v>
      </c>
      <c r="O3303" s="20" t="s">
        <v>798</v>
      </c>
      <c r="P3303" s="17" t="s">
        <v>802</v>
      </c>
      <c r="Q3303" s="21" t="s">
        <v>8927</v>
      </c>
      <c r="R3303" s="19" t="s">
        <v>798</v>
      </c>
      <c r="S3303" s="20" t="s">
        <v>798</v>
      </c>
      <c r="T3303" s="17" t="s">
        <v>798</v>
      </c>
      <c r="U3303" s="20" t="s">
        <v>798</v>
      </c>
      <c r="V3303" s="26" t="s">
        <v>798</v>
      </c>
      <c r="W3303" s="20" t="s">
        <v>798</v>
      </c>
      <c r="X3303" s="26" t="s">
        <v>798</v>
      </c>
      <c r="Y3303" s="20" t="s">
        <v>798</v>
      </c>
      <c r="Z3303" s="69" t="s">
        <v>9486</v>
      </c>
      <c r="AA3303" s="72" t="s">
        <v>9476</v>
      </c>
      <c r="AB3303" s="73" t="s">
        <v>9486</v>
      </c>
      <c r="AC3303" s="74" t="s">
        <v>9562</v>
      </c>
      <c r="AD3303" s="73" t="s">
        <v>9578</v>
      </c>
      <c r="AE3303" s="74" t="s">
        <v>9579</v>
      </c>
    </row>
    <row r="3304" spans="1:31" ht="8.65" customHeight="1" x14ac:dyDescent="0.2">
      <c r="A3304" s="76">
        <v>3304</v>
      </c>
      <c r="B3304" s="67" t="str">
        <f>MID(C3304, FIND("Ifc.", C3304) + 4, 4) &amp; "_" &amp; TEXT(COUNTIF($C$2:C3304, C3304),"0000")</f>
        <v>Enti_0437</v>
      </c>
      <c r="C3304" s="25" t="s">
        <v>874</v>
      </c>
      <c r="D3304" s="69" t="s">
        <v>9453</v>
      </c>
      <c r="E3304" s="70" t="s">
        <v>9457</v>
      </c>
      <c r="F3304" s="26" t="s">
        <v>798</v>
      </c>
      <c r="G3304" s="15" t="s">
        <v>798</v>
      </c>
      <c r="H3304" s="14" t="s">
        <v>798</v>
      </c>
      <c r="I3304" s="15" t="s">
        <v>798</v>
      </c>
      <c r="J3304" s="12" t="s">
        <v>9438</v>
      </c>
      <c r="K3304" s="16" t="s">
        <v>3376</v>
      </c>
      <c r="L3304" s="12" t="s">
        <v>800</v>
      </c>
      <c r="M3304" s="16" t="s">
        <v>4342</v>
      </c>
      <c r="N3304" s="19" t="s">
        <v>798</v>
      </c>
      <c r="O3304" s="20" t="s">
        <v>798</v>
      </c>
      <c r="P3304" s="17" t="s">
        <v>802</v>
      </c>
      <c r="Q3304" s="21" t="s">
        <v>8928</v>
      </c>
      <c r="R3304" s="19" t="s">
        <v>798</v>
      </c>
      <c r="S3304" s="20" t="s">
        <v>798</v>
      </c>
      <c r="T3304" s="17" t="s">
        <v>798</v>
      </c>
      <c r="U3304" s="20" t="s">
        <v>798</v>
      </c>
      <c r="V3304" s="26" t="s">
        <v>798</v>
      </c>
      <c r="W3304" s="20" t="s">
        <v>798</v>
      </c>
      <c r="X3304" s="26" t="s">
        <v>798</v>
      </c>
      <c r="Y3304" s="20" t="s">
        <v>798</v>
      </c>
      <c r="Z3304" s="69" t="s">
        <v>9486</v>
      </c>
      <c r="AA3304" s="72" t="s">
        <v>9476</v>
      </c>
      <c r="AB3304" s="73" t="s">
        <v>9486</v>
      </c>
      <c r="AC3304" s="74" t="s">
        <v>9562</v>
      </c>
      <c r="AD3304" s="73" t="s">
        <v>9578</v>
      </c>
      <c r="AE3304" s="74" t="s">
        <v>9579</v>
      </c>
    </row>
    <row r="3305" spans="1:31" ht="8.65" customHeight="1" x14ac:dyDescent="0.2">
      <c r="A3305" s="76">
        <v>3305</v>
      </c>
      <c r="B3305" s="67" t="str">
        <f>MID(C3305, FIND("Ifc.", C3305) + 4, 4) &amp; "_" &amp; TEXT(COUNTIF($C$2:C3305, C3305),"0000")</f>
        <v>Enti_0438</v>
      </c>
      <c r="C3305" s="25" t="s">
        <v>874</v>
      </c>
      <c r="D3305" s="69" t="s">
        <v>9453</v>
      </c>
      <c r="E3305" s="70" t="s">
        <v>9457</v>
      </c>
      <c r="F3305" s="26" t="s">
        <v>798</v>
      </c>
      <c r="G3305" s="15" t="s">
        <v>798</v>
      </c>
      <c r="H3305" s="14" t="s">
        <v>798</v>
      </c>
      <c r="I3305" s="15" t="s">
        <v>798</v>
      </c>
      <c r="J3305" s="12" t="s">
        <v>9438</v>
      </c>
      <c r="K3305" s="16" t="s">
        <v>3377</v>
      </c>
      <c r="L3305" s="12" t="s">
        <v>800</v>
      </c>
      <c r="M3305" s="16" t="s">
        <v>4343</v>
      </c>
      <c r="N3305" s="19" t="s">
        <v>798</v>
      </c>
      <c r="O3305" s="20" t="s">
        <v>798</v>
      </c>
      <c r="P3305" s="17" t="s">
        <v>802</v>
      </c>
      <c r="Q3305" s="21" t="s">
        <v>8929</v>
      </c>
      <c r="R3305" s="19" t="s">
        <v>798</v>
      </c>
      <c r="S3305" s="20" t="s">
        <v>798</v>
      </c>
      <c r="T3305" s="17" t="s">
        <v>798</v>
      </c>
      <c r="U3305" s="20" t="s">
        <v>798</v>
      </c>
      <c r="V3305" s="26" t="s">
        <v>798</v>
      </c>
      <c r="W3305" s="20" t="s">
        <v>798</v>
      </c>
      <c r="X3305" s="26" t="s">
        <v>798</v>
      </c>
      <c r="Y3305" s="20" t="s">
        <v>798</v>
      </c>
      <c r="Z3305" s="69" t="s">
        <v>9486</v>
      </c>
      <c r="AA3305" s="72" t="s">
        <v>9497</v>
      </c>
      <c r="AB3305" s="73" t="s">
        <v>9486</v>
      </c>
      <c r="AC3305" s="74" t="s">
        <v>9562</v>
      </c>
      <c r="AD3305" s="73" t="s">
        <v>9578</v>
      </c>
      <c r="AE3305" s="74" t="s">
        <v>9579</v>
      </c>
    </row>
    <row r="3306" spans="1:31" ht="8.65" customHeight="1" x14ac:dyDescent="0.2">
      <c r="A3306" s="76">
        <v>3306</v>
      </c>
      <c r="B3306" s="67" t="str">
        <f>MID(C3306, FIND("Ifc.", C3306) + 4, 4) &amp; "_" &amp; TEXT(COUNTIF($C$2:C3306, C3306),"0000")</f>
        <v>Enti_0439</v>
      </c>
      <c r="C3306" s="25" t="s">
        <v>874</v>
      </c>
      <c r="D3306" s="69" t="s">
        <v>9453</v>
      </c>
      <c r="E3306" s="70" t="s">
        <v>9457</v>
      </c>
      <c r="F3306" s="26" t="s">
        <v>798</v>
      </c>
      <c r="G3306" s="15" t="s">
        <v>798</v>
      </c>
      <c r="H3306" s="14" t="s">
        <v>798</v>
      </c>
      <c r="I3306" s="15" t="s">
        <v>798</v>
      </c>
      <c r="J3306" s="12" t="s">
        <v>9438</v>
      </c>
      <c r="K3306" s="16" t="s">
        <v>3378</v>
      </c>
      <c r="L3306" s="12" t="s">
        <v>800</v>
      </c>
      <c r="M3306" s="16" t="s">
        <v>4344</v>
      </c>
      <c r="N3306" s="19" t="s">
        <v>798</v>
      </c>
      <c r="O3306" s="20" t="s">
        <v>798</v>
      </c>
      <c r="P3306" s="17" t="s">
        <v>802</v>
      </c>
      <c r="Q3306" s="21" t="s">
        <v>8930</v>
      </c>
      <c r="R3306" s="19" t="s">
        <v>798</v>
      </c>
      <c r="S3306" s="20" t="s">
        <v>798</v>
      </c>
      <c r="T3306" s="17" t="s">
        <v>798</v>
      </c>
      <c r="U3306" s="20" t="s">
        <v>798</v>
      </c>
      <c r="V3306" s="26" t="s">
        <v>798</v>
      </c>
      <c r="W3306" s="20" t="s">
        <v>798</v>
      </c>
      <c r="X3306" s="26" t="s">
        <v>798</v>
      </c>
      <c r="Y3306" s="20" t="s">
        <v>798</v>
      </c>
      <c r="Z3306" s="69" t="s">
        <v>9486</v>
      </c>
      <c r="AA3306" s="72" t="s">
        <v>9476</v>
      </c>
      <c r="AB3306" s="73" t="s">
        <v>9486</v>
      </c>
      <c r="AC3306" s="74" t="s">
        <v>9562</v>
      </c>
      <c r="AD3306" s="73" t="s">
        <v>9578</v>
      </c>
      <c r="AE3306" s="74" t="s">
        <v>9579</v>
      </c>
    </row>
    <row r="3307" spans="1:31" ht="8.65" customHeight="1" x14ac:dyDescent="0.2">
      <c r="A3307" s="76">
        <v>3307</v>
      </c>
      <c r="B3307" s="67" t="str">
        <f>MID(C3307, FIND("Ifc.", C3307) + 4, 4) &amp; "_" &amp; TEXT(COUNTIF($C$2:C3307, C3307),"0000")</f>
        <v>Enti_0440</v>
      </c>
      <c r="C3307" s="25" t="s">
        <v>874</v>
      </c>
      <c r="D3307" s="69" t="s">
        <v>9453</v>
      </c>
      <c r="E3307" s="70" t="s">
        <v>9457</v>
      </c>
      <c r="F3307" s="26" t="s">
        <v>798</v>
      </c>
      <c r="G3307" s="15" t="s">
        <v>798</v>
      </c>
      <c r="H3307" s="14" t="s">
        <v>798</v>
      </c>
      <c r="I3307" s="15" t="s">
        <v>798</v>
      </c>
      <c r="J3307" s="12" t="s">
        <v>9438</v>
      </c>
      <c r="K3307" s="16" t="s">
        <v>3379</v>
      </c>
      <c r="L3307" s="12" t="s">
        <v>800</v>
      </c>
      <c r="M3307" s="16" t="s">
        <v>4345</v>
      </c>
      <c r="N3307" s="19" t="s">
        <v>798</v>
      </c>
      <c r="O3307" s="20" t="s">
        <v>798</v>
      </c>
      <c r="P3307" s="17" t="s">
        <v>802</v>
      </c>
      <c r="Q3307" s="21" t="s">
        <v>8931</v>
      </c>
      <c r="R3307" s="19" t="s">
        <v>798</v>
      </c>
      <c r="S3307" s="20" t="s">
        <v>798</v>
      </c>
      <c r="T3307" s="17" t="s">
        <v>798</v>
      </c>
      <c r="U3307" s="20" t="s">
        <v>798</v>
      </c>
      <c r="V3307" s="26" t="s">
        <v>798</v>
      </c>
      <c r="W3307" s="20" t="s">
        <v>798</v>
      </c>
      <c r="X3307" s="26" t="s">
        <v>798</v>
      </c>
      <c r="Y3307" s="20" t="s">
        <v>798</v>
      </c>
      <c r="Z3307" s="69" t="s">
        <v>9486</v>
      </c>
      <c r="AA3307" s="72" t="s">
        <v>9476</v>
      </c>
      <c r="AB3307" s="73" t="s">
        <v>9486</v>
      </c>
      <c r="AC3307" s="74" t="s">
        <v>9562</v>
      </c>
      <c r="AD3307" s="73" t="s">
        <v>9578</v>
      </c>
      <c r="AE3307" s="74" t="s">
        <v>9579</v>
      </c>
    </row>
    <row r="3308" spans="1:31" ht="8.65" customHeight="1" x14ac:dyDescent="0.2">
      <c r="A3308" s="76">
        <v>3308</v>
      </c>
      <c r="B3308" s="67" t="str">
        <f>MID(C3308, FIND("Ifc.", C3308) + 4, 4) &amp; "_" &amp; TEXT(COUNTIF($C$2:C3308, C3308),"0000")</f>
        <v>Enti_0441</v>
      </c>
      <c r="C3308" s="25" t="s">
        <v>874</v>
      </c>
      <c r="D3308" s="69" t="s">
        <v>9453</v>
      </c>
      <c r="E3308" s="70" t="s">
        <v>9457</v>
      </c>
      <c r="F3308" s="26" t="s">
        <v>798</v>
      </c>
      <c r="G3308" s="15" t="s">
        <v>798</v>
      </c>
      <c r="H3308" s="14" t="s">
        <v>798</v>
      </c>
      <c r="I3308" s="15" t="s">
        <v>798</v>
      </c>
      <c r="J3308" s="12" t="s">
        <v>9438</v>
      </c>
      <c r="K3308" s="16" t="s">
        <v>3380</v>
      </c>
      <c r="L3308" s="12" t="s">
        <v>800</v>
      </c>
      <c r="M3308" s="16" t="s">
        <v>4346</v>
      </c>
      <c r="N3308" s="19" t="s">
        <v>798</v>
      </c>
      <c r="O3308" s="20" t="s">
        <v>798</v>
      </c>
      <c r="P3308" s="17" t="s">
        <v>802</v>
      </c>
      <c r="Q3308" s="21" t="s">
        <v>8932</v>
      </c>
      <c r="R3308" s="19" t="s">
        <v>798</v>
      </c>
      <c r="S3308" s="20" t="s">
        <v>798</v>
      </c>
      <c r="T3308" s="17" t="s">
        <v>798</v>
      </c>
      <c r="U3308" s="20" t="s">
        <v>798</v>
      </c>
      <c r="V3308" s="26" t="s">
        <v>798</v>
      </c>
      <c r="W3308" s="20" t="s">
        <v>798</v>
      </c>
      <c r="X3308" s="26" t="s">
        <v>798</v>
      </c>
      <c r="Y3308" s="20" t="s">
        <v>798</v>
      </c>
      <c r="Z3308" s="69" t="s">
        <v>9486</v>
      </c>
      <c r="AA3308" s="72" t="s">
        <v>9476</v>
      </c>
      <c r="AB3308" s="73" t="s">
        <v>9486</v>
      </c>
      <c r="AC3308" s="74" t="s">
        <v>9562</v>
      </c>
      <c r="AD3308" s="73" t="s">
        <v>9578</v>
      </c>
      <c r="AE3308" s="74" t="s">
        <v>9579</v>
      </c>
    </row>
    <row r="3309" spans="1:31" ht="8.65" customHeight="1" x14ac:dyDescent="0.2">
      <c r="A3309" s="76">
        <v>3309</v>
      </c>
      <c r="B3309" s="67" t="str">
        <f>MID(C3309, FIND("Ifc.", C3309) + 4, 4) &amp; "_" &amp; TEXT(COUNTIF($C$2:C3309, C3309),"0000")</f>
        <v>Enti_0442</v>
      </c>
      <c r="C3309" s="25" t="s">
        <v>874</v>
      </c>
      <c r="D3309" s="69" t="s">
        <v>9453</v>
      </c>
      <c r="E3309" s="70" t="s">
        <v>9457</v>
      </c>
      <c r="F3309" s="26" t="s">
        <v>798</v>
      </c>
      <c r="G3309" s="15" t="s">
        <v>798</v>
      </c>
      <c r="H3309" s="14" t="s">
        <v>798</v>
      </c>
      <c r="I3309" s="15" t="s">
        <v>798</v>
      </c>
      <c r="J3309" s="12" t="s">
        <v>9438</v>
      </c>
      <c r="K3309" s="16" t="s">
        <v>3381</v>
      </c>
      <c r="L3309" s="12" t="s">
        <v>800</v>
      </c>
      <c r="M3309" s="16" t="s">
        <v>4347</v>
      </c>
      <c r="N3309" s="19" t="s">
        <v>798</v>
      </c>
      <c r="O3309" s="20" t="s">
        <v>798</v>
      </c>
      <c r="P3309" s="17" t="s">
        <v>802</v>
      </c>
      <c r="Q3309" s="21" t="s">
        <v>8933</v>
      </c>
      <c r="R3309" s="19" t="s">
        <v>798</v>
      </c>
      <c r="S3309" s="20" t="s">
        <v>798</v>
      </c>
      <c r="T3309" s="17" t="s">
        <v>798</v>
      </c>
      <c r="U3309" s="20" t="s">
        <v>798</v>
      </c>
      <c r="V3309" s="26" t="s">
        <v>798</v>
      </c>
      <c r="W3309" s="20" t="s">
        <v>798</v>
      </c>
      <c r="X3309" s="26" t="s">
        <v>798</v>
      </c>
      <c r="Y3309" s="20" t="s">
        <v>798</v>
      </c>
      <c r="Z3309" s="69" t="s">
        <v>9486</v>
      </c>
      <c r="AA3309" s="72" t="s">
        <v>9476</v>
      </c>
      <c r="AB3309" s="73" t="s">
        <v>9486</v>
      </c>
      <c r="AC3309" s="74" t="s">
        <v>9562</v>
      </c>
      <c r="AD3309" s="73" t="s">
        <v>9578</v>
      </c>
      <c r="AE3309" s="74" t="s">
        <v>9579</v>
      </c>
    </row>
    <row r="3310" spans="1:31" ht="8.65" customHeight="1" x14ac:dyDescent="0.2">
      <c r="A3310" s="76">
        <v>3310</v>
      </c>
      <c r="B3310" s="67" t="str">
        <f>MID(C3310, FIND("Ifc.", C3310) + 4, 4) &amp; "_" &amp; TEXT(COUNTIF($C$2:C3310, C3310),"0000")</f>
        <v>Enti_0443</v>
      </c>
      <c r="C3310" s="25" t="s">
        <v>874</v>
      </c>
      <c r="D3310" s="69" t="s">
        <v>9453</v>
      </c>
      <c r="E3310" s="70" t="s">
        <v>9457</v>
      </c>
      <c r="F3310" s="26" t="s">
        <v>798</v>
      </c>
      <c r="G3310" s="15" t="s">
        <v>798</v>
      </c>
      <c r="H3310" s="14" t="s">
        <v>798</v>
      </c>
      <c r="I3310" s="15" t="s">
        <v>798</v>
      </c>
      <c r="J3310" s="12" t="s">
        <v>9438</v>
      </c>
      <c r="K3310" s="16" t="s">
        <v>3382</v>
      </c>
      <c r="L3310" s="12" t="s">
        <v>800</v>
      </c>
      <c r="M3310" s="16" t="s">
        <v>4348</v>
      </c>
      <c r="N3310" s="19" t="s">
        <v>798</v>
      </c>
      <c r="O3310" s="20" t="s">
        <v>798</v>
      </c>
      <c r="P3310" s="17" t="s">
        <v>802</v>
      </c>
      <c r="Q3310" s="21" t="s">
        <v>8934</v>
      </c>
      <c r="R3310" s="19" t="s">
        <v>798</v>
      </c>
      <c r="S3310" s="20" t="s">
        <v>798</v>
      </c>
      <c r="T3310" s="17" t="s">
        <v>798</v>
      </c>
      <c r="U3310" s="20" t="s">
        <v>798</v>
      </c>
      <c r="V3310" s="26" t="s">
        <v>798</v>
      </c>
      <c r="W3310" s="20" t="s">
        <v>798</v>
      </c>
      <c r="X3310" s="26" t="s">
        <v>798</v>
      </c>
      <c r="Y3310" s="20" t="s">
        <v>798</v>
      </c>
      <c r="Z3310" s="69" t="s">
        <v>9486</v>
      </c>
      <c r="AA3310" s="72" t="s">
        <v>9496</v>
      </c>
      <c r="AB3310" s="73" t="s">
        <v>9486</v>
      </c>
      <c r="AC3310" s="74" t="s">
        <v>9562</v>
      </c>
      <c r="AD3310" s="73" t="s">
        <v>9578</v>
      </c>
      <c r="AE3310" s="74" t="s">
        <v>9579</v>
      </c>
    </row>
    <row r="3311" spans="1:31" ht="8.65" customHeight="1" x14ac:dyDescent="0.2">
      <c r="A3311" s="76">
        <v>3311</v>
      </c>
      <c r="B3311" s="67" t="str">
        <f>MID(C3311, FIND("Ifc.", C3311) + 4, 4) &amp; "_" &amp; TEXT(COUNTIF($C$2:C3311, C3311),"0000")</f>
        <v>Enti_0444</v>
      </c>
      <c r="C3311" s="25" t="s">
        <v>874</v>
      </c>
      <c r="D3311" s="69" t="s">
        <v>9453</v>
      </c>
      <c r="E3311" s="70" t="s">
        <v>9457</v>
      </c>
      <c r="F3311" s="26" t="s">
        <v>798</v>
      </c>
      <c r="G3311" s="15" t="s">
        <v>798</v>
      </c>
      <c r="H3311" s="14" t="s">
        <v>798</v>
      </c>
      <c r="I3311" s="15" t="s">
        <v>798</v>
      </c>
      <c r="J3311" s="12" t="s">
        <v>9438</v>
      </c>
      <c r="K3311" s="16" t="s">
        <v>3383</v>
      </c>
      <c r="L3311" s="12" t="s">
        <v>800</v>
      </c>
      <c r="M3311" s="16" t="s">
        <v>4349</v>
      </c>
      <c r="N3311" s="19" t="s">
        <v>798</v>
      </c>
      <c r="O3311" s="20" t="s">
        <v>798</v>
      </c>
      <c r="P3311" s="17" t="s">
        <v>802</v>
      </c>
      <c r="Q3311" s="21" t="s">
        <v>8935</v>
      </c>
      <c r="R3311" s="19" t="s">
        <v>798</v>
      </c>
      <c r="S3311" s="20" t="s">
        <v>798</v>
      </c>
      <c r="T3311" s="17" t="s">
        <v>798</v>
      </c>
      <c r="U3311" s="20" t="s">
        <v>798</v>
      </c>
      <c r="V3311" s="26" t="s">
        <v>798</v>
      </c>
      <c r="W3311" s="20" t="s">
        <v>798</v>
      </c>
      <c r="X3311" s="26" t="s">
        <v>798</v>
      </c>
      <c r="Y3311" s="20" t="s">
        <v>798</v>
      </c>
      <c r="Z3311" s="69" t="s">
        <v>9486</v>
      </c>
      <c r="AA3311" s="72" t="s">
        <v>9476</v>
      </c>
      <c r="AB3311" s="73" t="s">
        <v>9486</v>
      </c>
      <c r="AC3311" s="74" t="s">
        <v>9562</v>
      </c>
      <c r="AD3311" s="73" t="s">
        <v>9578</v>
      </c>
      <c r="AE3311" s="74" t="s">
        <v>9579</v>
      </c>
    </row>
    <row r="3312" spans="1:31" ht="8.65" customHeight="1" x14ac:dyDescent="0.2">
      <c r="A3312" s="76">
        <v>3312</v>
      </c>
      <c r="B3312" s="67" t="str">
        <f>MID(C3312, FIND("Ifc.", C3312) + 4, 4) &amp; "_" &amp; TEXT(COUNTIF($C$2:C3312, C3312),"0000")</f>
        <v>Enti_0445</v>
      </c>
      <c r="C3312" s="25" t="s">
        <v>874</v>
      </c>
      <c r="D3312" s="69" t="s">
        <v>9453</v>
      </c>
      <c r="E3312" s="70" t="s">
        <v>9457</v>
      </c>
      <c r="F3312" s="26" t="s">
        <v>798</v>
      </c>
      <c r="G3312" s="15" t="s">
        <v>798</v>
      </c>
      <c r="H3312" s="14" t="s">
        <v>798</v>
      </c>
      <c r="I3312" s="15" t="s">
        <v>798</v>
      </c>
      <c r="J3312" s="12" t="s">
        <v>9438</v>
      </c>
      <c r="K3312" s="16" t="s">
        <v>3384</v>
      </c>
      <c r="L3312" s="12" t="s">
        <v>800</v>
      </c>
      <c r="M3312" s="16" t="s">
        <v>4350</v>
      </c>
      <c r="N3312" s="19" t="s">
        <v>798</v>
      </c>
      <c r="O3312" s="20" t="s">
        <v>798</v>
      </c>
      <c r="P3312" s="17" t="s">
        <v>802</v>
      </c>
      <c r="Q3312" s="21" t="s">
        <v>8936</v>
      </c>
      <c r="R3312" s="19" t="s">
        <v>798</v>
      </c>
      <c r="S3312" s="20" t="s">
        <v>798</v>
      </c>
      <c r="T3312" s="17" t="s">
        <v>798</v>
      </c>
      <c r="U3312" s="20" t="s">
        <v>798</v>
      </c>
      <c r="V3312" s="26" t="s">
        <v>798</v>
      </c>
      <c r="W3312" s="20" t="s">
        <v>798</v>
      </c>
      <c r="X3312" s="26" t="s">
        <v>798</v>
      </c>
      <c r="Y3312" s="20" t="s">
        <v>798</v>
      </c>
      <c r="Z3312" s="69" t="s">
        <v>9486</v>
      </c>
      <c r="AA3312" s="72" t="s">
        <v>9476</v>
      </c>
      <c r="AB3312" s="73" t="s">
        <v>9486</v>
      </c>
      <c r="AC3312" s="74" t="s">
        <v>9566</v>
      </c>
      <c r="AD3312" s="73" t="s">
        <v>9578</v>
      </c>
      <c r="AE3312" s="74" t="s">
        <v>9595</v>
      </c>
    </row>
    <row r="3313" spans="1:31" ht="8.65" customHeight="1" x14ac:dyDescent="0.2">
      <c r="A3313" s="76">
        <v>3313</v>
      </c>
      <c r="B3313" s="67" t="str">
        <f>MID(C3313, FIND("Ifc.", C3313) + 4, 4) &amp; "_" &amp; TEXT(COUNTIF($C$2:C3313, C3313),"0000")</f>
        <v>Enti_0446</v>
      </c>
      <c r="C3313" s="25" t="s">
        <v>874</v>
      </c>
      <c r="D3313" s="69" t="s">
        <v>9453</v>
      </c>
      <c r="E3313" s="70" t="s">
        <v>9457</v>
      </c>
      <c r="F3313" s="26" t="s">
        <v>798</v>
      </c>
      <c r="G3313" s="15" t="s">
        <v>798</v>
      </c>
      <c r="H3313" s="14" t="s">
        <v>798</v>
      </c>
      <c r="I3313" s="15" t="s">
        <v>798</v>
      </c>
      <c r="J3313" s="12" t="s">
        <v>9438</v>
      </c>
      <c r="K3313" s="16" t="s">
        <v>3385</v>
      </c>
      <c r="L3313" s="12" t="s">
        <v>800</v>
      </c>
      <c r="M3313" s="16" t="s">
        <v>4351</v>
      </c>
      <c r="N3313" s="19" t="s">
        <v>798</v>
      </c>
      <c r="O3313" s="20" t="s">
        <v>798</v>
      </c>
      <c r="P3313" s="17" t="s">
        <v>802</v>
      </c>
      <c r="Q3313" s="21" t="s">
        <v>8937</v>
      </c>
      <c r="R3313" s="19" t="s">
        <v>798</v>
      </c>
      <c r="S3313" s="20" t="s">
        <v>798</v>
      </c>
      <c r="T3313" s="17" t="s">
        <v>798</v>
      </c>
      <c r="U3313" s="20" t="s">
        <v>798</v>
      </c>
      <c r="V3313" s="26" t="s">
        <v>798</v>
      </c>
      <c r="W3313" s="20" t="s">
        <v>798</v>
      </c>
      <c r="X3313" s="26" t="s">
        <v>798</v>
      </c>
      <c r="Y3313" s="20" t="s">
        <v>798</v>
      </c>
      <c r="Z3313" s="69" t="s">
        <v>9486</v>
      </c>
      <c r="AA3313" s="72" t="s">
        <v>9488</v>
      </c>
      <c r="AB3313" s="73" t="s">
        <v>9486</v>
      </c>
      <c r="AC3313" s="74" t="s">
        <v>9566</v>
      </c>
      <c r="AD3313" s="73" t="s">
        <v>9578</v>
      </c>
      <c r="AE3313" s="74" t="s">
        <v>9595</v>
      </c>
    </row>
    <row r="3314" spans="1:31" ht="8.65" customHeight="1" x14ac:dyDescent="0.2">
      <c r="A3314" s="76">
        <v>3314</v>
      </c>
      <c r="B3314" s="67" t="str">
        <f>MID(C3314, FIND("Ifc.", C3314) + 4, 4) &amp; "_" &amp; TEXT(COUNTIF($C$2:C3314, C3314),"0000")</f>
        <v>Enti_0447</v>
      </c>
      <c r="C3314" s="25" t="s">
        <v>874</v>
      </c>
      <c r="D3314" s="69" t="s">
        <v>9453</v>
      </c>
      <c r="E3314" s="70" t="s">
        <v>9457</v>
      </c>
      <c r="F3314" s="26" t="s">
        <v>798</v>
      </c>
      <c r="G3314" s="15" t="s">
        <v>798</v>
      </c>
      <c r="H3314" s="14" t="s">
        <v>798</v>
      </c>
      <c r="I3314" s="15" t="s">
        <v>798</v>
      </c>
      <c r="J3314" s="12" t="s">
        <v>9438</v>
      </c>
      <c r="K3314" s="16" t="s">
        <v>3386</v>
      </c>
      <c r="L3314" s="12" t="s">
        <v>800</v>
      </c>
      <c r="M3314" s="16" t="s">
        <v>4352</v>
      </c>
      <c r="N3314" s="19" t="s">
        <v>798</v>
      </c>
      <c r="O3314" s="20" t="s">
        <v>798</v>
      </c>
      <c r="P3314" s="17" t="s">
        <v>802</v>
      </c>
      <c r="Q3314" s="21" t="s">
        <v>8938</v>
      </c>
      <c r="R3314" s="19" t="s">
        <v>798</v>
      </c>
      <c r="S3314" s="20" t="s">
        <v>798</v>
      </c>
      <c r="T3314" s="17" t="s">
        <v>798</v>
      </c>
      <c r="U3314" s="20" t="s">
        <v>798</v>
      </c>
      <c r="V3314" s="26" t="s">
        <v>798</v>
      </c>
      <c r="W3314" s="20" t="s">
        <v>798</v>
      </c>
      <c r="X3314" s="26" t="s">
        <v>798</v>
      </c>
      <c r="Y3314" s="20" t="s">
        <v>798</v>
      </c>
      <c r="Z3314" s="69" t="s">
        <v>9486</v>
      </c>
      <c r="AA3314" s="72" t="s">
        <v>9488</v>
      </c>
      <c r="AB3314" s="73" t="s">
        <v>9486</v>
      </c>
      <c r="AC3314" s="74" t="s">
        <v>9566</v>
      </c>
      <c r="AD3314" s="73" t="s">
        <v>9578</v>
      </c>
      <c r="AE3314" s="74" t="s">
        <v>9595</v>
      </c>
    </row>
    <row r="3315" spans="1:31" ht="8.65" customHeight="1" x14ac:dyDescent="0.2">
      <c r="A3315" s="76">
        <v>3315</v>
      </c>
      <c r="B3315" s="67" t="str">
        <f>MID(C3315, FIND("Ifc.", C3315) + 4, 4) &amp; "_" &amp; TEXT(COUNTIF($C$2:C3315, C3315),"0000")</f>
        <v>Enti_0448</v>
      </c>
      <c r="C3315" s="25" t="s">
        <v>874</v>
      </c>
      <c r="D3315" s="69" t="s">
        <v>9453</v>
      </c>
      <c r="E3315" s="70" t="s">
        <v>9457</v>
      </c>
      <c r="F3315" s="26" t="s">
        <v>798</v>
      </c>
      <c r="G3315" s="15" t="s">
        <v>798</v>
      </c>
      <c r="H3315" s="14" t="s">
        <v>798</v>
      </c>
      <c r="I3315" s="15" t="s">
        <v>798</v>
      </c>
      <c r="J3315" s="12" t="s">
        <v>9438</v>
      </c>
      <c r="K3315" s="16" t="s">
        <v>3387</v>
      </c>
      <c r="L3315" s="12" t="s">
        <v>800</v>
      </c>
      <c r="M3315" s="16" t="s">
        <v>4353</v>
      </c>
      <c r="N3315" s="19" t="s">
        <v>798</v>
      </c>
      <c r="O3315" s="20" t="s">
        <v>798</v>
      </c>
      <c r="P3315" s="17" t="s">
        <v>802</v>
      </c>
      <c r="Q3315" s="21" t="s">
        <v>8939</v>
      </c>
      <c r="R3315" s="19" t="s">
        <v>798</v>
      </c>
      <c r="S3315" s="20" t="s">
        <v>798</v>
      </c>
      <c r="T3315" s="17" t="s">
        <v>798</v>
      </c>
      <c r="U3315" s="20" t="s">
        <v>798</v>
      </c>
      <c r="V3315" s="26" t="s">
        <v>798</v>
      </c>
      <c r="W3315" s="20" t="s">
        <v>798</v>
      </c>
      <c r="X3315" s="26" t="s">
        <v>798</v>
      </c>
      <c r="Y3315" s="20" t="s">
        <v>798</v>
      </c>
      <c r="Z3315" s="69" t="s">
        <v>9486</v>
      </c>
      <c r="AA3315" s="72" t="s">
        <v>9477</v>
      </c>
      <c r="AB3315" s="73" t="s">
        <v>9486</v>
      </c>
      <c r="AC3315" s="74" t="s">
        <v>9566</v>
      </c>
      <c r="AD3315" s="73" t="s">
        <v>9578</v>
      </c>
      <c r="AE3315" s="74" t="s">
        <v>9595</v>
      </c>
    </row>
    <row r="3316" spans="1:31" ht="8.65" customHeight="1" x14ac:dyDescent="0.2">
      <c r="A3316" s="76">
        <v>3316</v>
      </c>
      <c r="B3316" s="67" t="str">
        <f>MID(C3316, FIND("Ifc.", C3316) + 4, 4) &amp; "_" &amp; TEXT(COUNTIF($C$2:C3316, C3316),"0000")</f>
        <v>Enti_0449</v>
      </c>
      <c r="C3316" s="25" t="s">
        <v>874</v>
      </c>
      <c r="D3316" s="69" t="s">
        <v>9453</v>
      </c>
      <c r="E3316" s="70" t="s">
        <v>9457</v>
      </c>
      <c r="F3316" s="26" t="s">
        <v>798</v>
      </c>
      <c r="G3316" s="15" t="s">
        <v>798</v>
      </c>
      <c r="H3316" s="14" t="s">
        <v>798</v>
      </c>
      <c r="I3316" s="15" t="s">
        <v>798</v>
      </c>
      <c r="J3316" s="12" t="s">
        <v>9438</v>
      </c>
      <c r="K3316" s="16" t="s">
        <v>3388</v>
      </c>
      <c r="L3316" s="12" t="s">
        <v>800</v>
      </c>
      <c r="M3316" s="16" t="s">
        <v>4354</v>
      </c>
      <c r="N3316" s="19" t="s">
        <v>798</v>
      </c>
      <c r="O3316" s="20" t="s">
        <v>798</v>
      </c>
      <c r="P3316" s="17" t="s">
        <v>802</v>
      </c>
      <c r="Q3316" s="21" t="s">
        <v>8940</v>
      </c>
      <c r="R3316" s="19" t="s">
        <v>798</v>
      </c>
      <c r="S3316" s="20" t="s">
        <v>798</v>
      </c>
      <c r="T3316" s="17" t="s">
        <v>798</v>
      </c>
      <c r="U3316" s="20" t="s">
        <v>798</v>
      </c>
      <c r="V3316" s="26" t="s">
        <v>798</v>
      </c>
      <c r="W3316" s="20" t="s">
        <v>798</v>
      </c>
      <c r="X3316" s="26" t="s">
        <v>798</v>
      </c>
      <c r="Y3316" s="20" t="s">
        <v>798</v>
      </c>
      <c r="Z3316" s="69" t="s">
        <v>9486</v>
      </c>
      <c r="AA3316" s="72" t="s">
        <v>9476</v>
      </c>
      <c r="AB3316" s="73" t="s">
        <v>9486</v>
      </c>
      <c r="AC3316" s="74" t="s">
        <v>9566</v>
      </c>
      <c r="AD3316" s="73" t="s">
        <v>9578</v>
      </c>
      <c r="AE3316" s="74" t="s">
        <v>9579</v>
      </c>
    </row>
    <row r="3317" spans="1:31" ht="8.65" customHeight="1" x14ac:dyDescent="0.2">
      <c r="A3317" s="76">
        <v>3317</v>
      </c>
      <c r="B3317" s="67" t="str">
        <f>MID(C3317, FIND("Ifc.", C3317) + 4, 4) &amp; "_" &amp; TEXT(COUNTIF($C$2:C3317, C3317),"0000")</f>
        <v>Enti_0450</v>
      </c>
      <c r="C3317" s="25" t="s">
        <v>874</v>
      </c>
      <c r="D3317" s="69" t="s">
        <v>9453</v>
      </c>
      <c r="E3317" s="70" t="s">
        <v>9457</v>
      </c>
      <c r="F3317" s="26" t="s">
        <v>798</v>
      </c>
      <c r="G3317" s="15" t="s">
        <v>798</v>
      </c>
      <c r="H3317" s="14" t="s">
        <v>798</v>
      </c>
      <c r="I3317" s="15" t="s">
        <v>798</v>
      </c>
      <c r="J3317" s="12" t="s">
        <v>9438</v>
      </c>
      <c r="K3317" s="16" t="s">
        <v>3389</v>
      </c>
      <c r="L3317" s="12" t="s">
        <v>800</v>
      </c>
      <c r="M3317" s="16" t="s">
        <v>4355</v>
      </c>
      <c r="N3317" s="19" t="s">
        <v>798</v>
      </c>
      <c r="O3317" s="20" t="s">
        <v>798</v>
      </c>
      <c r="P3317" s="17" t="s">
        <v>802</v>
      </c>
      <c r="Q3317" s="21" t="s">
        <v>8941</v>
      </c>
      <c r="R3317" s="19" t="s">
        <v>798</v>
      </c>
      <c r="S3317" s="20" t="s">
        <v>798</v>
      </c>
      <c r="T3317" s="17" t="s">
        <v>798</v>
      </c>
      <c r="U3317" s="20" t="s">
        <v>798</v>
      </c>
      <c r="V3317" s="26" t="s">
        <v>798</v>
      </c>
      <c r="W3317" s="20" t="s">
        <v>798</v>
      </c>
      <c r="X3317" s="26" t="s">
        <v>798</v>
      </c>
      <c r="Y3317" s="20" t="s">
        <v>798</v>
      </c>
      <c r="Z3317" s="69" t="s">
        <v>9486</v>
      </c>
      <c r="AA3317" s="72" t="s">
        <v>9476</v>
      </c>
      <c r="AB3317" s="73" t="s">
        <v>9486</v>
      </c>
      <c r="AC3317" s="74" t="s">
        <v>9566</v>
      </c>
      <c r="AD3317" s="73" t="s">
        <v>9578</v>
      </c>
      <c r="AE3317" s="74" t="s">
        <v>9579</v>
      </c>
    </row>
    <row r="3318" spans="1:31" ht="8.65" customHeight="1" x14ac:dyDescent="0.2">
      <c r="A3318" s="76">
        <v>3318</v>
      </c>
      <c r="B3318" s="67" t="str">
        <f>MID(C3318, FIND("Ifc.", C3318) + 4, 4) &amp; "_" &amp; TEXT(COUNTIF($C$2:C3318, C3318),"0000")</f>
        <v>Enti_0451</v>
      </c>
      <c r="C3318" s="25" t="s">
        <v>874</v>
      </c>
      <c r="D3318" s="69" t="s">
        <v>9453</v>
      </c>
      <c r="E3318" s="70" t="s">
        <v>9457</v>
      </c>
      <c r="F3318" s="26" t="s">
        <v>798</v>
      </c>
      <c r="G3318" s="15" t="s">
        <v>798</v>
      </c>
      <c r="H3318" s="14" t="s">
        <v>798</v>
      </c>
      <c r="I3318" s="15" t="s">
        <v>798</v>
      </c>
      <c r="J3318" s="12" t="s">
        <v>9438</v>
      </c>
      <c r="K3318" s="16" t="s">
        <v>3390</v>
      </c>
      <c r="L3318" s="12" t="s">
        <v>800</v>
      </c>
      <c r="M3318" s="16" t="s">
        <v>4356</v>
      </c>
      <c r="N3318" s="19" t="s">
        <v>798</v>
      </c>
      <c r="O3318" s="20" t="s">
        <v>798</v>
      </c>
      <c r="P3318" s="17" t="s">
        <v>802</v>
      </c>
      <c r="Q3318" s="21" t="s">
        <v>8942</v>
      </c>
      <c r="R3318" s="19" t="s">
        <v>798</v>
      </c>
      <c r="S3318" s="20" t="s">
        <v>798</v>
      </c>
      <c r="T3318" s="17" t="s">
        <v>798</v>
      </c>
      <c r="U3318" s="20" t="s">
        <v>798</v>
      </c>
      <c r="V3318" s="26" t="s">
        <v>798</v>
      </c>
      <c r="W3318" s="20" t="s">
        <v>798</v>
      </c>
      <c r="X3318" s="26" t="s">
        <v>798</v>
      </c>
      <c r="Y3318" s="20" t="s">
        <v>798</v>
      </c>
      <c r="Z3318" s="69" t="s">
        <v>9486</v>
      </c>
      <c r="AA3318" s="72" t="s">
        <v>9476</v>
      </c>
      <c r="AB3318" s="73" t="s">
        <v>9486</v>
      </c>
      <c r="AC3318" s="74" t="s">
        <v>9566</v>
      </c>
      <c r="AD3318" s="73" t="s">
        <v>9578</v>
      </c>
      <c r="AE3318" s="74" t="s">
        <v>9579</v>
      </c>
    </row>
    <row r="3319" spans="1:31" ht="8.65" customHeight="1" x14ac:dyDescent="0.2">
      <c r="A3319" s="76">
        <v>3319</v>
      </c>
      <c r="B3319" s="67" t="str">
        <f>MID(C3319, FIND("Ifc.", C3319) + 4, 4) &amp; "_" &amp; TEXT(COUNTIF($C$2:C3319, C3319),"0000")</f>
        <v>Enti_0452</v>
      </c>
      <c r="C3319" s="25" t="s">
        <v>874</v>
      </c>
      <c r="D3319" s="69" t="s">
        <v>9453</v>
      </c>
      <c r="E3319" s="70" t="s">
        <v>9457</v>
      </c>
      <c r="F3319" s="26" t="s">
        <v>798</v>
      </c>
      <c r="G3319" s="15" t="s">
        <v>798</v>
      </c>
      <c r="H3319" s="14" t="s">
        <v>798</v>
      </c>
      <c r="I3319" s="15" t="s">
        <v>798</v>
      </c>
      <c r="J3319" s="12" t="s">
        <v>9438</v>
      </c>
      <c r="K3319" s="16" t="s">
        <v>3391</v>
      </c>
      <c r="L3319" s="12" t="s">
        <v>800</v>
      </c>
      <c r="M3319" s="16" t="s">
        <v>4357</v>
      </c>
      <c r="N3319" s="19" t="s">
        <v>798</v>
      </c>
      <c r="O3319" s="20" t="s">
        <v>798</v>
      </c>
      <c r="P3319" s="17" t="s">
        <v>802</v>
      </c>
      <c r="Q3319" s="21" t="s">
        <v>8943</v>
      </c>
      <c r="R3319" s="19" t="s">
        <v>798</v>
      </c>
      <c r="S3319" s="20" t="s">
        <v>798</v>
      </c>
      <c r="T3319" s="17" t="s">
        <v>798</v>
      </c>
      <c r="U3319" s="20" t="s">
        <v>798</v>
      </c>
      <c r="V3319" s="26" t="s">
        <v>798</v>
      </c>
      <c r="W3319" s="20" t="s">
        <v>798</v>
      </c>
      <c r="X3319" s="26" t="s">
        <v>798</v>
      </c>
      <c r="Y3319" s="20" t="s">
        <v>798</v>
      </c>
      <c r="Z3319" s="69" t="s">
        <v>9486</v>
      </c>
      <c r="AA3319" s="72" t="s">
        <v>9477</v>
      </c>
      <c r="AB3319" s="73" t="s">
        <v>9486</v>
      </c>
      <c r="AC3319" s="74" t="s">
        <v>9566</v>
      </c>
      <c r="AD3319" s="73" t="s">
        <v>9578</v>
      </c>
      <c r="AE3319" s="74" t="s">
        <v>9579</v>
      </c>
    </row>
    <row r="3320" spans="1:31" ht="8.65" customHeight="1" x14ac:dyDescent="0.2">
      <c r="A3320" s="76">
        <v>3320</v>
      </c>
      <c r="B3320" s="67" t="str">
        <f>MID(C3320, FIND("Ifc.", C3320) + 4, 4) &amp; "_" &amp; TEXT(COUNTIF($C$2:C3320, C3320),"0000")</f>
        <v>Enti_0453</v>
      </c>
      <c r="C3320" s="25" t="s">
        <v>874</v>
      </c>
      <c r="D3320" s="69" t="s">
        <v>9453</v>
      </c>
      <c r="E3320" s="70" t="s">
        <v>9457</v>
      </c>
      <c r="F3320" s="26" t="s">
        <v>798</v>
      </c>
      <c r="G3320" s="15" t="s">
        <v>798</v>
      </c>
      <c r="H3320" s="14" t="s">
        <v>798</v>
      </c>
      <c r="I3320" s="15" t="s">
        <v>798</v>
      </c>
      <c r="J3320" s="12" t="s">
        <v>9438</v>
      </c>
      <c r="K3320" s="16" t="s">
        <v>3392</v>
      </c>
      <c r="L3320" s="12" t="s">
        <v>800</v>
      </c>
      <c r="M3320" s="16" t="s">
        <v>4358</v>
      </c>
      <c r="N3320" s="19" t="s">
        <v>798</v>
      </c>
      <c r="O3320" s="20" t="s">
        <v>798</v>
      </c>
      <c r="P3320" s="17" t="s">
        <v>802</v>
      </c>
      <c r="Q3320" s="21" t="s">
        <v>8944</v>
      </c>
      <c r="R3320" s="19" t="s">
        <v>798</v>
      </c>
      <c r="S3320" s="20" t="s">
        <v>798</v>
      </c>
      <c r="T3320" s="17" t="s">
        <v>798</v>
      </c>
      <c r="U3320" s="20" t="s">
        <v>798</v>
      </c>
      <c r="V3320" s="26" t="s">
        <v>798</v>
      </c>
      <c r="W3320" s="20" t="s">
        <v>798</v>
      </c>
      <c r="X3320" s="26" t="s">
        <v>798</v>
      </c>
      <c r="Y3320" s="20" t="s">
        <v>798</v>
      </c>
      <c r="Z3320" s="69" t="s">
        <v>9486</v>
      </c>
      <c r="AA3320" s="72" t="s">
        <v>9476</v>
      </c>
      <c r="AB3320" s="73" t="s">
        <v>9486</v>
      </c>
      <c r="AC3320" s="74" t="s">
        <v>9566</v>
      </c>
      <c r="AD3320" s="73" t="s">
        <v>9578</v>
      </c>
      <c r="AE3320" s="74" t="s">
        <v>9579</v>
      </c>
    </row>
    <row r="3321" spans="1:31" ht="8.65" customHeight="1" x14ac:dyDescent="0.2">
      <c r="A3321" s="76">
        <v>3321</v>
      </c>
      <c r="B3321" s="67" t="str">
        <f>MID(C3321, FIND("Ifc.", C3321) + 4, 4) &amp; "_" &amp; TEXT(COUNTIF($C$2:C3321, C3321),"0000")</f>
        <v>Enti_0454</v>
      </c>
      <c r="C3321" s="25" t="s">
        <v>874</v>
      </c>
      <c r="D3321" s="69" t="s">
        <v>9453</v>
      </c>
      <c r="E3321" s="70" t="s">
        <v>9457</v>
      </c>
      <c r="F3321" s="26" t="s">
        <v>798</v>
      </c>
      <c r="G3321" s="15" t="s">
        <v>798</v>
      </c>
      <c r="H3321" s="14" t="s">
        <v>798</v>
      </c>
      <c r="I3321" s="15" t="s">
        <v>798</v>
      </c>
      <c r="J3321" s="12" t="s">
        <v>9438</v>
      </c>
      <c r="K3321" s="16" t="s">
        <v>3393</v>
      </c>
      <c r="L3321" s="12" t="s">
        <v>800</v>
      </c>
      <c r="M3321" s="16" t="s">
        <v>4359</v>
      </c>
      <c r="N3321" s="19" t="s">
        <v>798</v>
      </c>
      <c r="O3321" s="20" t="s">
        <v>798</v>
      </c>
      <c r="P3321" s="17" t="s">
        <v>802</v>
      </c>
      <c r="Q3321" s="21" t="s">
        <v>8945</v>
      </c>
      <c r="R3321" s="19" t="s">
        <v>798</v>
      </c>
      <c r="S3321" s="20" t="s">
        <v>798</v>
      </c>
      <c r="T3321" s="17" t="s">
        <v>798</v>
      </c>
      <c r="U3321" s="20" t="s">
        <v>798</v>
      </c>
      <c r="V3321" s="26" t="s">
        <v>798</v>
      </c>
      <c r="W3321" s="20" t="s">
        <v>798</v>
      </c>
      <c r="X3321" s="26" t="s">
        <v>798</v>
      </c>
      <c r="Y3321" s="20" t="s">
        <v>798</v>
      </c>
      <c r="Z3321" s="69" t="s">
        <v>9486</v>
      </c>
      <c r="AA3321" s="72" t="s">
        <v>9477</v>
      </c>
      <c r="AB3321" s="73" t="s">
        <v>9486</v>
      </c>
      <c r="AC3321" s="74" t="s">
        <v>9566</v>
      </c>
      <c r="AD3321" s="73" t="s">
        <v>9578</v>
      </c>
      <c r="AE3321" s="74" t="s">
        <v>9579</v>
      </c>
    </row>
    <row r="3322" spans="1:31" ht="8.65" customHeight="1" x14ac:dyDescent="0.2">
      <c r="A3322" s="76">
        <v>3322</v>
      </c>
      <c r="B3322" s="67" t="str">
        <f>MID(C3322, FIND("Ifc.", C3322) + 4, 4) &amp; "_" &amp; TEXT(COUNTIF($C$2:C3322, C3322),"0000")</f>
        <v>Enti_0455</v>
      </c>
      <c r="C3322" s="25" t="s">
        <v>874</v>
      </c>
      <c r="D3322" s="69" t="s">
        <v>9453</v>
      </c>
      <c r="E3322" s="70" t="s">
        <v>9457</v>
      </c>
      <c r="F3322" s="26" t="s">
        <v>798</v>
      </c>
      <c r="G3322" s="15" t="s">
        <v>798</v>
      </c>
      <c r="H3322" s="14" t="s">
        <v>798</v>
      </c>
      <c r="I3322" s="15" t="s">
        <v>798</v>
      </c>
      <c r="J3322" s="12" t="s">
        <v>9438</v>
      </c>
      <c r="K3322" s="16" t="s">
        <v>3394</v>
      </c>
      <c r="L3322" s="12" t="s">
        <v>800</v>
      </c>
      <c r="M3322" s="16" t="s">
        <v>4360</v>
      </c>
      <c r="N3322" s="19" t="s">
        <v>798</v>
      </c>
      <c r="O3322" s="20" t="s">
        <v>798</v>
      </c>
      <c r="P3322" s="17" t="s">
        <v>802</v>
      </c>
      <c r="Q3322" s="21" t="s">
        <v>8946</v>
      </c>
      <c r="R3322" s="19" t="s">
        <v>798</v>
      </c>
      <c r="S3322" s="20" t="s">
        <v>798</v>
      </c>
      <c r="T3322" s="17" t="s">
        <v>798</v>
      </c>
      <c r="U3322" s="20" t="s">
        <v>798</v>
      </c>
      <c r="V3322" s="26" t="s">
        <v>798</v>
      </c>
      <c r="W3322" s="20" t="s">
        <v>798</v>
      </c>
      <c r="X3322" s="26" t="s">
        <v>798</v>
      </c>
      <c r="Y3322" s="20" t="s">
        <v>798</v>
      </c>
      <c r="Z3322" s="69" t="s">
        <v>9486</v>
      </c>
      <c r="AA3322" s="72" t="s">
        <v>9476</v>
      </c>
      <c r="AB3322" s="73" t="s">
        <v>9486</v>
      </c>
      <c r="AC3322" s="74" t="s">
        <v>9566</v>
      </c>
      <c r="AD3322" s="73" t="s">
        <v>9578</v>
      </c>
      <c r="AE3322" s="74" t="s">
        <v>9579</v>
      </c>
    </row>
    <row r="3323" spans="1:31" ht="8.65" customHeight="1" x14ac:dyDescent="0.2">
      <c r="A3323" s="76">
        <v>3323</v>
      </c>
      <c r="B3323" s="67" t="str">
        <f>MID(C3323, FIND("Ifc.", C3323) + 4, 4) &amp; "_" &amp; TEXT(COUNTIF($C$2:C3323, C3323),"0000")</f>
        <v>Enti_0456</v>
      </c>
      <c r="C3323" s="25" t="s">
        <v>874</v>
      </c>
      <c r="D3323" s="69" t="s">
        <v>9453</v>
      </c>
      <c r="E3323" s="70" t="s">
        <v>9457</v>
      </c>
      <c r="F3323" s="26" t="s">
        <v>798</v>
      </c>
      <c r="G3323" s="15" t="s">
        <v>798</v>
      </c>
      <c r="H3323" s="14" t="s">
        <v>798</v>
      </c>
      <c r="I3323" s="15" t="s">
        <v>798</v>
      </c>
      <c r="J3323" s="12" t="s">
        <v>9438</v>
      </c>
      <c r="K3323" s="16" t="s">
        <v>3395</v>
      </c>
      <c r="L3323" s="12" t="s">
        <v>800</v>
      </c>
      <c r="M3323" s="16" t="s">
        <v>4361</v>
      </c>
      <c r="N3323" s="19" t="s">
        <v>798</v>
      </c>
      <c r="O3323" s="20" t="s">
        <v>798</v>
      </c>
      <c r="P3323" s="17" t="s">
        <v>802</v>
      </c>
      <c r="Q3323" s="21" t="s">
        <v>8947</v>
      </c>
      <c r="R3323" s="19" t="s">
        <v>798</v>
      </c>
      <c r="S3323" s="20" t="s">
        <v>798</v>
      </c>
      <c r="T3323" s="17" t="s">
        <v>798</v>
      </c>
      <c r="U3323" s="20" t="s">
        <v>798</v>
      </c>
      <c r="V3323" s="26" t="s">
        <v>798</v>
      </c>
      <c r="W3323" s="20" t="s">
        <v>798</v>
      </c>
      <c r="X3323" s="26" t="s">
        <v>798</v>
      </c>
      <c r="Y3323" s="20" t="s">
        <v>798</v>
      </c>
      <c r="Z3323" s="69" t="s">
        <v>9486</v>
      </c>
      <c r="AA3323" s="72" t="s">
        <v>9477</v>
      </c>
      <c r="AB3323" s="73" t="s">
        <v>9486</v>
      </c>
      <c r="AC3323" s="74" t="s">
        <v>9566</v>
      </c>
      <c r="AD3323" s="73" t="s">
        <v>9578</v>
      </c>
      <c r="AE3323" s="74" t="s">
        <v>9579</v>
      </c>
    </row>
    <row r="3324" spans="1:31" ht="8.65" customHeight="1" x14ac:dyDescent="0.2">
      <c r="A3324" s="76">
        <v>3324</v>
      </c>
      <c r="B3324" s="67" t="str">
        <f>MID(C3324, FIND("Ifc.", C3324) + 4, 4) &amp; "_" &amp; TEXT(COUNTIF($C$2:C3324, C3324),"0000")</f>
        <v>Enti_0457</v>
      </c>
      <c r="C3324" s="25" t="s">
        <v>874</v>
      </c>
      <c r="D3324" s="69" t="s">
        <v>9453</v>
      </c>
      <c r="E3324" s="70" t="s">
        <v>9457</v>
      </c>
      <c r="F3324" s="26" t="s">
        <v>798</v>
      </c>
      <c r="G3324" s="15" t="s">
        <v>798</v>
      </c>
      <c r="H3324" s="14" t="s">
        <v>798</v>
      </c>
      <c r="I3324" s="15" t="s">
        <v>798</v>
      </c>
      <c r="J3324" s="12" t="s">
        <v>9438</v>
      </c>
      <c r="K3324" s="16" t="s">
        <v>3396</v>
      </c>
      <c r="L3324" s="12" t="s">
        <v>800</v>
      </c>
      <c r="M3324" s="16" t="s">
        <v>4362</v>
      </c>
      <c r="N3324" s="19" t="s">
        <v>798</v>
      </c>
      <c r="O3324" s="20" t="s">
        <v>798</v>
      </c>
      <c r="P3324" s="17" t="s">
        <v>802</v>
      </c>
      <c r="Q3324" s="21" t="s">
        <v>8948</v>
      </c>
      <c r="R3324" s="19" t="s">
        <v>798</v>
      </c>
      <c r="S3324" s="20" t="s">
        <v>798</v>
      </c>
      <c r="T3324" s="17" t="s">
        <v>798</v>
      </c>
      <c r="U3324" s="20" t="s">
        <v>798</v>
      </c>
      <c r="V3324" s="26" t="s">
        <v>798</v>
      </c>
      <c r="W3324" s="20" t="s">
        <v>798</v>
      </c>
      <c r="X3324" s="26" t="s">
        <v>798</v>
      </c>
      <c r="Y3324" s="20" t="s">
        <v>798</v>
      </c>
      <c r="Z3324" s="69" t="s">
        <v>9486</v>
      </c>
      <c r="AA3324" s="72" t="s">
        <v>9476</v>
      </c>
      <c r="AB3324" s="73" t="s">
        <v>9486</v>
      </c>
      <c r="AC3324" s="74" t="s">
        <v>9566</v>
      </c>
      <c r="AD3324" s="73" t="s">
        <v>9578</v>
      </c>
      <c r="AE3324" s="74" t="s">
        <v>9579</v>
      </c>
    </row>
    <row r="3325" spans="1:31" ht="8.65" customHeight="1" x14ac:dyDescent="0.2">
      <c r="A3325" s="76">
        <v>3325</v>
      </c>
      <c r="B3325" s="67" t="str">
        <f>MID(C3325, FIND("Ifc.", C3325) + 4, 4) &amp; "_" &amp; TEXT(COUNTIF($C$2:C3325, C3325),"0000")</f>
        <v>Enti_0458</v>
      </c>
      <c r="C3325" s="25" t="s">
        <v>874</v>
      </c>
      <c r="D3325" s="69" t="s">
        <v>9453</v>
      </c>
      <c r="E3325" s="70" t="s">
        <v>9457</v>
      </c>
      <c r="F3325" s="26" t="s">
        <v>798</v>
      </c>
      <c r="G3325" s="15" t="s">
        <v>798</v>
      </c>
      <c r="H3325" s="14" t="s">
        <v>798</v>
      </c>
      <c r="I3325" s="15" t="s">
        <v>798</v>
      </c>
      <c r="J3325" s="12" t="s">
        <v>9438</v>
      </c>
      <c r="K3325" s="16" t="s">
        <v>3397</v>
      </c>
      <c r="L3325" s="12" t="s">
        <v>800</v>
      </c>
      <c r="M3325" s="16" t="s">
        <v>4363</v>
      </c>
      <c r="N3325" s="19" t="s">
        <v>798</v>
      </c>
      <c r="O3325" s="20" t="s">
        <v>798</v>
      </c>
      <c r="P3325" s="17" t="s">
        <v>802</v>
      </c>
      <c r="Q3325" s="21" t="s">
        <v>8949</v>
      </c>
      <c r="R3325" s="19" t="s">
        <v>798</v>
      </c>
      <c r="S3325" s="20" t="s">
        <v>798</v>
      </c>
      <c r="T3325" s="17" t="s">
        <v>798</v>
      </c>
      <c r="U3325" s="20" t="s">
        <v>798</v>
      </c>
      <c r="V3325" s="26" t="s">
        <v>798</v>
      </c>
      <c r="W3325" s="20" t="s">
        <v>798</v>
      </c>
      <c r="X3325" s="26" t="s">
        <v>798</v>
      </c>
      <c r="Y3325" s="20" t="s">
        <v>798</v>
      </c>
      <c r="Z3325" s="69" t="s">
        <v>9486</v>
      </c>
      <c r="AA3325" s="72" t="s">
        <v>9476</v>
      </c>
      <c r="AB3325" s="73" t="s">
        <v>9486</v>
      </c>
      <c r="AC3325" s="74" t="s">
        <v>9566</v>
      </c>
      <c r="AD3325" s="73" t="s">
        <v>9578</v>
      </c>
      <c r="AE3325" s="74" t="s">
        <v>9579</v>
      </c>
    </row>
    <row r="3326" spans="1:31" ht="8.65" customHeight="1" x14ac:dyDescent="0.2">
      <c r="A3326" s="76">
        <v>3326</v>
      </c>
      <c r="B3326" s="67" t="str">
        <f>MID(C3326, FIND("Ifc.", C3326) + 4, 4) &amp; "_" &amp; TEXT(COUNTIF($C$2:C3326, C3326),"0000")</f>
        <v>Enti_0459</v>
      </c>
      <c r="C3326" s="25" t="s">
        <v>874</v>
      </c>
      <c r="D3326" s="69" t="s">
        <v>9453</v>
      </c>
      <c r="E3326" s="70" t="s">
        <v>9457</v>
      </c>
      <c r="F3326" s="26" t="s">
        <v>798</v>
      </c>
      <c r="G3326" s="15" t="s">
        <v>798</v>
      </c>
      <c r="H3326" s="14" t="s">
        <v>798</v>
      </c>
      <c r="I3326" s="15" t="s">
        <v>798</v>
      </c>
      <c r="J3326" s="12" t="s">
        <v>9438</v>
      </c>
      <c r="K3326" s="16" t="s">
        <v>3398</v>
      </c>
      <c r="L3326" s="12" t="s">
        <v>800</v>
      </c>
      <c r="M3326" s="16" t="s">
        <v>4364</v>
      </c>
      <c r="N3326" s="19" t="s">
        <v>798</v>
      </c>
      <c r="O3326" s="20" t="s">
        <v>798</v>
      </c>
      <c r="P3326" s="17" t="s">
        <v>802</v>
      </c>
      <c r="Q3326" s="21" t="s">
        <v>8950</v>
      </c>
      <c r="R3326" s="19" t="s">
        <v>798</v>
      </c>
      <c r="S3326" s="20" t="s">
        <v>798</v>
      </c>
      <c r="T3326" s="17" t="s">
        <v>798</v>
      </c>
      <c r="U3326" s="20" t="s">
        <v>798</v>
      </c>
      <c r="V3326" s="26" t="s">
        <v>798</v>
      </c>
      <c r="W3326" s="20" t="s">
        <v>798</v>
      </c>
      <c r="X3326" s="26" t="s">
        <v>798</v>
      </c>
      <c r="Y3326" s="20" t="s">
        <v>798</v>
      </c>
      <c r="Z3326" s="69" t="s">
        <v>9486</v>
      </c>
      <c r="AA3326" s="72" t="s">
        <v>9476</v>
      </c>
      <c r="AB3326" s="73" t="s">
        <v>9486</v>
      </c>
      <c r="AC3326" s="74" t="s">
        <v>9566</v>
      </c>
      <c r="AD3326" s="73" t="s">
        <v>9578</v>
      </c>
      <c r="AE3326" s="74" t="s">
        <v>9579</v>
      </c>
    </row>
    <row r="3327" spans="1:31" ht="8.65" customHeight="1" x14ac:dyDescent="0.2">
      <c r="A3327" s="76">
        <v>3327</v>
      </c>
      <c r="B3327" s="67" t="str">
        <f>MID(C3327, FIND("Ifc.", C3327) + 4, 4) &amp; "_" &amp; TEXT(COUNTIF($C$2:C3327, C3327),"0000")</f>
        <v>Enti_0460</v>
      </c>
      <c r="C3327" s="25" t="s">
        <v>874</v>
      </c>
      <c r="D3327" s="69" t="s">
        <v>9453</v>
      </c>
      <c r="E3327" s="70" t="s">
        <v>9457</v>
      </c>
      <c r="F3327" s="26" t="s">
        <v>798</v>
      </c>
      <c r="G3327" s="15" t="s">
        <v>798</v>
      </c>
      <c r="H3327" s="14" t="s">
        <v>798</v>
      </c>
      <c r="I3327" s="15" t="s">
        <v>798</v>
      </c>
      <c r="J3327" s="12" t="s">
        <v>9438</v>
      </c>
      <c r="K3327" s="16" t="s">
        <v>3399</v>
      </c>
      <c r="L3327" s="12" t="s">
        <v>800</v>
      </c>
      <c r="M3327" s="16" t="s">
        <v>4365</v>
      </c>
      <c r="N3327" s="19" t="s">
        <v>798</v>
      </c>
      <c r="O3327" s="20" t="s">
        <v>798</v>
      </c>
      <c r="P3327" s="17" t="s">
        <v>802</v>
      </c>
      <c r="Q3327" s="21" t="s">
        <v>8951</v>
      </c>
      <c r="R3327" s="19" t="s">
        <v>798</v>
      </c>
      <c r="S3327" s="20" t="s">
        <v>798</v>
      </c>
      <c r="T3327" s="17" t="s">
        <v>798</v>
      </c>
      <c r="U3327" s="20" t="s">
        <v>798</v>
      </c>
      <c r="V3327" s="26" t="s">
        <v>798</v>
      </c>
      <c r="W3327" s="20" t="s">
        <v>798</v>
      </c>
      <c r="X3327" s="26" t="s">
        <v>798</v>
      </c>
      <c r="Y3327" s="20" t="s">
        <v>798</v>
      </c>
      <c r="Z3327" s="69" t="s">
        <v>9486</v>
      </c>
      <c r="AA3327" s="72" t="s">
        <v>9477</v>
      </c>
      <c r="AB3327" s="73" t="s">
        <v>9486</v>
      </c>
      <c r="AC3327" s="74" t="s">
        <v>9566</v>
      </c>
      <c r="AD3327" s="73" t="s">
        <v>9578</v>
      </c>
      <c r="AE3327" s="74" t="s">
        <v>9579</v>
      </c>
    </row>
    <row r="3328" spans="1:31" ht="8.65" customHeight="1" x14ac:dyDescent="0.2">
      <c r="A3328" s="76">
        <v>3328</v>
      </c>
      <c r="B3328" s="67" t="str">
        <f>MID(C3328, FIND("Ifc.", C3328) + 4, 4) &amp; "_" &amp; TEXT(COUNTIF($C$2:C3328, C3328),"0000")</f>
        <v>Enti_0461</v>
      </c>
      <c r="C3328" s="25" t="s">
        <v>874</v>
      </c>
      <c r="D3328" s="69" t="s">
        <v>9453</v>
      </c>
      <c r="E3328" s="70" t="s">
        <v>9457</v>
      </c>
      <c r="F3328" s="26" t="s">
        <v>798</v>
      </c>
      <c r="G3328" s="15" t="s">
        <v>798</v>
      </c>
      <c r="H3328" s="14" t="s">
        <v>798</v>
      </c>
      <c r="I3328" s="15" t="s">
        <v>798</v>
      </c>
      <c r="J3328" s="12" t="s">
        <v>9438</v>
      </c>
      <c r="K3328" s="16" t="s">
        <v>3400</v>
      </c>
      <c r="L3328" s="12" t="s">
        <v>800</v>
      </c>
      <c r="M3328" s="16" t="s">
        <v>4366</v>
      </c>
      <c r="N3328" s="19" t="s">
        <v>798</v>
      </c>
      <c r="O3328" s="20" t="s">
        <v>798</v>
      </c>
      <c r="P3328" s="17" t="s">
        <v>802</v>
      </c>
      <c r="Q3328" s="21" t="s">
        <v>8952</v>
      </c>
      <c r="R3328" s="19" t="s">
        <v>798</v>
      </c>
      <c r="S3328" s="20" t="s">
        <v>798</v>
      </c>
      <c r="T3328" s="17" t="s">
        <v>798</v>
      </c>
      <c r="U3328" s="20" t="s">
        <v>798</v>
      </c>
      <c r="V3328" s="26" t="s">
        <v>798</v>
      </c>
      <c r="W3328" s="20" t="s">
        <v>798</v>
      </c>
      <c r="X3328" s="26" t="s">
        <v>798</v>
      </c>
      <c r="Y3328" s="20" t="s">
        <v>798</v>
      </c>
      <c r="Z3328" s="69" t="s">
        <v>9486</v>
      </c>
      <c r="AA3328" s="72" t="s">
        <v>9476</v>
      </c>
      <c r="AB3328" s="73" t="s">
        <v>9486</v>
      </c>
      <c r="AC3328" s="74" t="s">
        <v>9566</v>
      </c>
      <c r="AD3328" s="73" t="s">
        <v>9578</v>
      </c>
      <c r="AE3328" s="74" t="s">
        <v>9579</v>
      </c>
    </row>
    <row r="3329" spans="1:31" ht="8.65" customHeight="1" x14ac:dyDescent="0.2">
      <c r="A3329" s="76">
        <v>3329</v>
      </c>
      <c r="B3329" s="67" t="str">
        <f>MID(C3329, FIND("Ifc.", C3329) + 4, 4) &amp; "_" &amp; TEXT(COUNTIF($C$2:C3329, C3329),"0000")</f>
        <v>Enti_0462</v>
      </c>
      <c r="C3329" s="25" t="s">
        <v>874</v>
      </c>
      <c r="D3329" s="69" t="s">
        <v>9453</v>
      </c>
      <c r="E3329" s="70" t="s">
        <v>9457</v>
      </c>
      <c r="F3329" s="26" t="s">
        <v>798</v>
      </c>
      <c r="G3329" s="15" t="s">
        <v>798</v>
      </c>
      <c r="H3329" s="14" t="s">
        <v>798</v>
      </c>
      <c r="I3329" s="15" t="s">
        <v>798</v>
      </c>
      <c r="J3329" s="12" t="s">
        <v>9438</v>
      </c>
      <c r="K3329" s="16" t="s">
        <v>3401</v>
      </c>
      <c r="L3329" s="12" t="s">
        <v>800</v>
      </c>
      <c r="M3329" s="16" t="s">
        <v>4367</v>
      </c>
      <c r="N3329" s="19" t="s">
        <v>798</v>
      </c>
      <c r="O3329" s="20" t="s">
        <v>798</v>
      </c>
      <c r="P3329" s="17" t="s">
        <v>802</v>
      </c>
      <c r="Q3329" s="21" t="s">
        <v>8953</v>
      </c>
      <c r="R3329" s="19" t="s">
        <v>798</v>
      </c>
      <c r="S3329" s="20" t="s">
        <v>798</v>
      </c>
      <c r="T3329" s="17" t="s">
        <v>798</v>
      </c>
      <c r="U3329" s="20" t="s">
        <v>798</v>
      </c>
      <c r="V3329" s="26" t="s">
        <v>798</v>
      </c>
      <c r="W3329" s="20" t="s">
        <v>798</v>
      </c>
      <c r="X3329" s="26" t="s">
        <v>798</v>
      </c>
      <c r="Y3329" s="20" t="s">
        <v>798</v>
      </c>
      <c r="Z3329" s="69" t="s">
        <v>9486</v>
      </c>
      <c r="AA3329" s="72" t="s">
        <v>9476</v>
      </c>
      <c r="AB3329" s="73" t="s">
        <v>9486</v>
      </c>
      <c r="AC3329" s="74" t="s">
        <v>9566</v>
      </c>
      <c r="AD3329" s="73" t="s">
        <v>9578</v>
      </c>
      <c r="AE3329" s="74" t="s">
        <v>9579</v>
      </c>
    </row>
    <row r="3330" spans="1:31" ht="8.65" customHeight="1" x14ac:dyDescent="0.2">
      <c r="A3330" s="76">
        <v>3330</v>
      </c>
      <c r="B3330" s="67" t="str">
        <f>MID(C3330, FIND("Ifc.", C3330) + 4, 4) &amp; "_" &amp; TEXT(COUNTIF($C$2:C3330, C3330),"0000")</f>
        <v>Enti_0463</v>
      </c>
      <c r="C3330" s="25" t="s">
        <v>874</v>
      </c>
      <c r="D3330" s="69" t="s">
        <v>9453</v>
      </c>
      <c r="E3330" s="70" t="s">
        <v>9457</v>
      </c>
      <c r="F3330" s="26" t="s">
        <v>798</v>
      </c>
      <c r="G3330" s="15" t="s">
        <v>798</v>
      </c>
      <c r="H3330" s="14" t="s">
        <v>798</v>
      </c>
      <c r="I3330" s="15" t="s">
        <v>798</v>
      </c>
      <c r="J3330" s="12" t="s">
        <v>9438</v>
      </c>
      <c r="K3330" s="16" t="s">
        <v>3402</v>
      </c>
      <c r="L3330" s="12" t="s">
        <v>800</v>
      </c>
      <c r="M3330" s="16" t="s">
        <v>4368</v>
      </c>
      <c r="N3330" s="19" t="s">
        <v>798</v>
      </c>
      <c r="O3330" s="20" t="s">
        <v>798</v>
      </c>
      <c r="P3330" s="17" t="s">
        <v>802</v>
      </c>
      <c r="Q3330" s="21" t="s">
        <v>8954</v>
      </c>
      <c r="R3330" s="19" t="s">
        <v>798</v>
      </c>
      <c r="S3330" s="20" t="s">
        <v>798</v>
      </c>
      <c r="T3330" s="17" t="s">
        <v>798</v>
      </c>
      <c r="U3330" s="20" t="s">
        <v>798</v>
      </c>
      <c r="V3330" s="26" t="s">
        <v>798</v>
      </c>
      <c r="W3330" s="20" t="s">
        <v>798</v>
      </c>
      <c r="X3330" s="26" t="s">
        <v>798</v>
      </c>
      <c r="Y3330" s="20" t="s">
        <v>798</v>
      </c>
      <c r="Z3330" s="69" t="s">
        <v>9486</v>
      </c>
      <c r="AA3330" s="72" t="s">
        <v>9476</v>
      </c>
      <c r="AB3330" s="73" t="s">
        <v>9486</v>
      </c>
      <c r="AC3330" s="74" t="s">
        <v>9566</v>
      </c>
      <c r="AD3330" s="73" t="s">
        <v>9578</v>
      </c>
      <c r="AE3330" s="74" t="s">
        <v>9579</v>
      </c>
    </row>
    <row r="3331" spans="1:31" ht="8.65" customHeight="1" x14ac:dyDescent="0.2">
      <c r="A3331" s="76">
        <v>3331</v>
      </c>
      <c r="B3331" s="67" t="str">
        <f>MID(C3331, FIND("Ifc.", C3331) + 4, 4) &amp; "_" &amp; TEXT(COUNTIF($C$2:C3331, C3331),"0000")</f>
        <v>Enti_0464</v>
      </c>
      <c r="C3331" s="25" t="s">
        <v>874</v>
      </c>
      <c r="D3331" s="69" t="s">
        <v>9453</v>
      </c>
      <c r="E3331" s="70" t="s">
        <v>9457</v>
      </c>
      <c r="F3331" s="26" t="s">
        <v>798</v>
      </c>
      <c r="G3331" s="15" t="s">
        <v>798</v>
      </c>
      <c r="H3331" s="14" t="s">
        <v>798</v>
      </c>
      <c r="I3331" s="15" t="s">
        <v>798</v>
      </c>
      <c r="J3331" s="12" t="s">
        <v>9438</v>
      </c>
      <c r="K3331" s="16" t="s">
        <v>3403</v>
      </c>
      <c r="L3331" s="12" t="s">
        <v>800</v>
      </c>
      <c r="M3331" s="16" t="s">
        <v>4369</v>
      </c>
      <c r="N3331" s="19" t="s">
        <v>798</v>
      </c>
      <c r="O3331" s="20" t="s">
        <v>798</v>
      </c>
      <c r="P3331" s="17" t="s">
        <v>802</v>
      </c>
      <c r="Q3331" s="21" t="s">
        <v>8955</v>
      </c>
      <c r="R3331" s="19" t="s">
        <v>798</v>
      </c>
      <c r="S3331" s="20" t="s">
        <v>798</v>
      </c>
      <c r="T3331" s="17" t="s">
        <v>798</v>
      </c>
      <c r="U3331" s="20" t="s">
        <v>798</v>
      </c>
      <c r="V3331" s="26" t="s">
        <v>798</v>
      </c>
      <c r="W3331" s="20" t="s">
        <v>798</v>
      </c>
      <c r="X3331" s="26" t="s">
        <v>798</v>
      </c>
      <c r="Y3331" s="20" t="s">
        <v>798</v>
      </c>
      <c r="Z3331" s="69" t="s">
        <v>9486</v>
      </c>
      <c r="AA3331" s="72" t="s">
        <v>9476</v>
      </c>
      <c r="AB3331" s="73" t="s">
        <v>9486</v>
      </c>
      <c r="AC3331" s="74" t="s">
        <v>9566</v>
      </c>
      <c r="AD3331" s="73" t="s">
        <v>9578</v>
      </c>
      <c r="AE3331" s="74" t="s">
        <v>9579</v>
      </c>
    </row>
    <row r="3332" spans="1:31" ht="8.65" customHeight="1" x14ac:dyDescent="0.2">
      <c r="A3332" s="76">
        <v>3332</v>
      </c>
      <c r="B3332" s="67" t="str">
        <f>MID(C3332, FIND("Ifc.", C3332) + 4, 4) &amp; "_" &amp; TEXT(COUNTIF($C$2:C3332, C3332),"0000")</f>
        <v>Enti_0465</v>
      </c>
      <c r="C3332" s="25" t="s">
        <v>874</v>
      </c>
      <c r="D3332" s="69" t="s">
        <v>9453</v>
      </c>
      <c r="E3332" s="70" t="s">
        <v>9457</v>
      </c>
      <c r="F3332" s="26" t="s">
        <v>798</v>
      </c>
      <c r="G3332" s="15" t="s">
        <v>798</v>
      </c>
      <c r="H3332" s="14" t="s">
        <v>798</v>
      </c>
      <c r="I3332" s="15" t="s">
        <v>798</v>
      </c>
      <c r="J3332" s="12" t="s">
        <v>9438</v>
      </c>
      <c r="K3332" s="16" t="s">
        <v>3404</v>
      </c>
      <c r="L3332" s="12" t="s">
        <v>800</v>
      </c>
      <c r="M3332" s="16" t="s">
        <v>4370</v>
      </c>
      <c r="N3332" s="19" t="s">
        <v>798</v>
      </c>
      <c r="O3332" s="20" t="s">
        <v>798</v>
      </c>
      <c r="P3332" s="17" t="s">
        <v>802</v>
      </c>
      <c r="Q3332" s="21" t="s">
        <v>8956</v>
      </c>
      <c r="R3332" s="19" t="s">
        <v>798</v>
      </c>
      <c r="S3332" s="20" t="s">
        <v>798</v>
      </c>
      <c r="T3332" s="17" t="s">
        <v>798</v>
      </c>
      <c r="U3332" s="20" t="s">
        <v>798</v>
      </c>
      <c r="V3332" s="26" t="s">
        <v>798</v>
      </c>
      <c r="W3332" s="20" t="s">
        <v>798</v>
      </c>
      <c r="X3332" s="26" t="s">
        <v>798</v>
      </c>
      <c r="Y3332" s="20" t="s">
        <v>798</v>
      </c>
      <c r="Z3332" s="69" t="s">
        <v>9486</v>
      </c>
      <c r="AA3332" s="72" t="s">
        <v>9476</v>
      </c>
      <c r="AB3332" s="73" t="s">
        <v>9486</v>
      </c>
      <c r="AC3332" s="74" t="s">
        <v>9566</v>
      </c>
      <c r="AD3332" s="73" t="s">
        <v>9578</v>
      </c>
      <c r="AE3332" s="74" t="s">
        <v>9579</v>
      </c>
    </row>
    <row r="3333" spans="1:31" ht="8.65" customHeight="1" x14ac:dyDescent="0.2">
      <c r="A3333" s="76">
        <v>3333</v>
      </c>
      <c r="B3333" s="67" t="str">
        <f>MID(C3333, FIND("Ifc.", C3333) + 4, 4) &amp; "_" &amp; TEXT(COUNTIF($C$2:C3333, C3333),"0000")</f>
        <v>Enti_0466</v>
      </c>
      <c r="C3333" s="25" t="s">
        <v>874</v>
      </c>
      <c r="D3333" s="69" t="s">
        <v>9453</v>
      </c>
      <c r="E3333" s="70" t="s">
        <v>9457</v>
      </c>
      <c r="F3333" s="26" t="s">
        <v>798</v>
      </c>
      <c r="G3333" s="15" t="s">
        <v>798</v>
      </c>
      <c r="H3333" s="14" t="s">
        <v>798</v>
      </c>
      <c r="I3333" s="15" t="s">
        <v>798</v>
      </c>
      <c r="J3333" s="12" t="s">
        <v>9438</v>
      </c>
      <c r="K3333" s="16" t="s">
        <v>3405</v>
      </c>
      <c r="L3333" s="12" t="s">
        <v>800</v>
      </c>
      <c r="M3333" s="16" t="s">
        <v>4371</v>
      </c>
      <c r="N3333" s="19" t="s">
        <v>798</v>
      </c>
      <c r="O3333" s="20" t="s">
        <v>798</v>
      </c>
      <c r="P3333" s="17" t="s">
        <v>802</v>
      </c>
      <c r="Q3333" s="21" t="s">
        <v>8957</v>
      </c>
      <c r="R3333" s="19" t="s">
        <v>798</v>
      </c>
      <c r="S3333" s="20" t="s">
        <v>798</v>
      </c>
      <c r="T3333" s="17" t="s">
        <v>798</v>
      </c>
      <c r="U3333" s="20" t="s">
        <v>798</v>
      </c>
      <c r="V3333" s="26" t="s">
        <v>798</v>
      </c>
      <c r="W3333" s="20" t="s">
        <v>798</v>
      </c>
      <c r="X3333" s="26" t="s">
        <v>798</v>
      </c>
      <c r="Y3333" s="20" t="s">
        <v>798</v>
      </c>
      <c r="Z3333" s="69" t="s">
        <v>9486</v>
      </c>
      <c r="AA3333" s="72" t="s">
        <v>9476</v>
      </c>
      <c r="AB3333" s="73" t="s">
        <v>9486</v>
      </c>
      <c r="AC3333" s="74" t="s">
        <v>9566</v>
      </c>
      <c r="AD3333" s="73" t="s">
        <v>9578</v>
      </c>
      <c r="AE3333" s="74" t="s">
        <v>9579</v>
      </c>
    </row>
    <row r="3334" spans="1:31" ht="8.65" customHeight="1" x14ac:dyDescent="0.2">
      <c r="A3334" s="76">
        <v>3334</v>
      </c>
      <c r="B3334" s="67" t="str">
        <f>MID(C3334, FIND("Ifc.", C3334) + 4, 4) &amp; "_" &amp; TEXT(COUNTIF($C$2:C3334, C3334),"0000")</f>
        <v>Enti_0467</v>
      </c>
      <c r="C3334" s="25" t="s">
        <v>874</v>
      </c>
      <c r="D3334" s="69" t="s">
        <v>9453</v>
      </c>
      <c r="E3334" s="70" t="s">
        <v>9457</v>
      </c>
      <c r="F3334" s="26" t="s">
        <v>798</v>
      </c>
      <c r="G3334" s="15" t="s">
        <v>798</v>
      </c>
      <c r="H3334" s="14" t="s">
        <v>798</v>
      </c>
      <c r="I3334" s="15" t="s">
        <v>798</v>
      </c>
      <c r="J3334" s="12" t="s">
        <v>9438</v>
      </c>
      <c r="K3334" s="16" t="s">
        <v>3406</v>
      </c>
      <c r="L3334" s="12" t="s">
        <v>800</v>
      </c>
      <c r="M3334" s="16" t="s">
        <v>4372</v>
      </c>
      <c r="N3334" s="19" t="s">
        <v>798</v>
      </c>
      <c r="O3334" s="20" t="s">
        <v>798</v>
      </c>
      <c r="P3334" s="17" t="s">
        <v>802</v>
      </c>
      <c r="Q3334" s="21" t="s">
        <v>8958</v>
      </c>
      <c r="R3334" s="19" t="s">
        <v>798</v>
      </c>
      <c r="S3334" s="20" t="s">
        <v>798</v>
      </c>
      <c r="T3334" s="17" t="s">
        <v>798</v>
      </c>
      <c r="U3334" s="20" t="s">
        <v>798</v>
      </c>
      <c r="V3334" s="26" t="s">
        <v>798</v>
      </c>
      <c r="W3334" s="20" t="s">
        <v>798</v>
      </c>
      <c r="X3334" s="26" t="s">
        <v>798</v>
      </c>
      <c r="Y3334" s="20" t="s">
        <v>798</v>
      </c>
      <c r="Z3334" s="69" t="s">
        <v>9486</v>
      </c>
      <c r="AA3334" s="72" t="s">
        <v>9476</v>
      </c>
      <c r="AB3334" s="73" t="s">
        <v>9486</v>
      </c>
      <c r="AC3334" s="74" t="s">
        <v>9566</v>
      </c>
      <c r="AD3334" s="73" t="s">
        <v>9578</v>
      </c>
      <c r="AE3334" s="74" t="s">
        <v>9579</v>
      </c>
    </row>
    <row r="3335" spans="1:31" ht="8.65" customHeight="1" x14ac:dyDescent="0.2">
      <c r="A3335" s="76">
        <v>3335</v>
      </c>
      <c r="B3335" s="67" t="str">
        <f>MID(C3335, FIND("Ifc.", C3335) + 4, 4) &amp; "_" &amp; TEXT(COUNTIF($C$2:C3335, C3335),"0000")</f>
        <v>Enti_0468</v>
      </c>
      <c r="C3335" s="25" t="s">
        <v>874</v>
      </c>
      <c r="D3335" s="69" t="s">
        <v>9453</v>
      </c>
      <c r="E3335" s="70" t="s">
        <v>9457</v>
      </c>
      <c r="F3335" s="26" t="s">
        <v>798</v>
      </c>
      <c r="G3335" s="15" t="s">
        <v>798</v>
      </c>
      <c r="H3335" s="14" t="s">
        <v>798</v>
      </c>
      <c r="I3335" s="15" t="s">
        <v>798</v>
      </c>
      <c r="J3335" s="12" t="s">
        <v>9438</v>
      </c>
      <c r="K3335" s="16" t="s">
        <v>3407</v>
      </c>
      <c r="L3335" s="12" t="s">
        <v>800</v>
      </c>
      <c r="M3335" s="16" t="s">
        <v>4373</v>
      </c>
      <c r="N3335" s="19" t="s">
        <v>798</v>
      </c>
      <c r="O3335" s="20" t="s">
        <v>798</v>
      </c>
      <c r="P3335" s="17" t="s">
        <v>802</v>
      </c>
      <c r="Q3335" s="21" t="s">
        <v>8959</v>
      </c>
      <c r="R3335" s="19" t="s">
        <v>798</v>
      </c>
      <c r="S3335" s="20" t="s">
        <v>798</v>
      </c>
      <c r="T3335" s="17" t="s">
        <v>798</v>
      </c>
      <c r="U3335" s="20" t="s">
        <v>798</v>
      </c>
      <c r="V3335" s="26" t="s">
        <v>798</v>
      </c>
      <c r="W3335" s="20" t="s">
        <v>798</v>
      </c>
      <c r="X3335" s="26" t="s">
        <v>798</v>
      </c>
      <c r="Y3335" s="20" t="s">
        <v>798</v>
      </c>
      <c r="Z3335" s="69" t="s">
        <v>9486</v>
      </c>
      <c r="AA3335" s="72" t="s">
        <v>9496</v>
      </c>
      <c r="AB3335" s="73" t="s">
        <v>9486</v>
      </c>
      <c r="AC3335" s="74" t="s">
        <v>9566</v>
      </c>
      <c r="AD3335" s="73" t="s">
        <v>9578</v>
      </c>
      <c r="AE3335" s="74" t="s">
        <v>9579</v>
      </c>
    </row>
    <row r="3336" spans="1:31" ht="8.65" customHeight="1" x14ac:dyDescent="0.2">
      <c r="A3336" s="76">
        <v>3336</v>
      </c>
      <c r="B3336" s="67" t="str">
        <f>MID(C3336, FIND("Ifc.", C3336) + 4, 4) &amp; "_" &amp; TEXT(COUNTIF($C$2:C3336, C3336),"0000")</f>
        <v>Enti_0469</v>
      </c>
      <c r="C3336" s="25" t="s">
        <v>874</v>
      </c>
      <c r="D3336" s="69" t="s">
        <v>9453</v>
      </c>
      <c r="E3336" s="70" t="s">
        <v>9457</v>
      </c>
      <c r="F3336" s="26" t="s">
        <v>798</v>
      </c>
      <c r="G3336" s="15" t="s">
        <v>798</v>
      </c>
      <c r="H3336" s="14" t="s">
        <v>798</v>
      </c>
      <c r="I3336" s="15" t="s">
        <v>798</v>
      </c>
      <c r="J3336" s="12" t="s">
        <v>9438</v>
      </c>
      <c r="K3336" s="16" t="s">
        <v>3408</v>
      </c>
      <c r="L3336" s="12" t="s">
        <v>800</v>
      </c>
      <c r="M3336" s="16" t="s">
        <v>4374</v>
      </c>
      <c r="N3336" s="19" t="s">
        <v>798</v>
      </c>
      <c r="O3336" s="20" t="s">
        <v>798</v>
      </c>
      <c r="P3336" s="17" t="s">
        <v>802</v>
      </c>
      <c r="Q3336" s="21" t="s">
        <v>8960</v>
      </c>
      <c r="R3336" s="19" t="s">
        <v>798</v>
      </c>
      <c r="S3336" s="20" t="s">
        <v>798</v>
      </c>
      <c r="T3336" s="17" t="s">
        <v>798</v>
      </c>
      <c r="U3336" s="20" t="s">
        <v>798</v>
      </c>
      <c r="V3336" s="26" t="s">
        <v>798</v>
      </c>
      <c r="W3336" s="20" t="s">
        <v>798</v>
      </c>
      <c r="X3336" s="26" t="s">
        <v>798</v>
      </c>
      <c r="Y3336" s="20" t="s">
        <v>798</v>
      </c>
      <c r="Z3336" s="69" t="s">
        <v>9486</v>
      </c>
      <c r="AA3336" s="72" t="s">
        <v>9496</v>
      </c>
      <c r="AB3336" s="73" t="s">
        <v>9486</v>
      </c>
      <c r="AC3336" s="74" t="s">
        <v>9566</v>
      </c>
      <c r="AD3336" s="73" t="s">
        <v>9578</v>
      </c>
      <c r="AE3336" s="74" t="s">
        <v>9579</v>
      </c>
    </row>
    <row r="3337" spans="1:31" ht="8.65" customHeight="1" x14ac:dyDescent="0.2">
      <c r="A3337" s="76">
        <v>3337</v>
      </c>
      <c r="B3337" s="67" t="str">
        <f>MID(C3337, FIND("Ifc.", C3337) + 4, 4) &amp; "_" &amp; TEXT(COUNTIF($C$2:C3337, C3337),"0000")</f>
        <v>Enti_0470</v>
      </c>
      <c r="C3337" s="25" t="s">
        <v>874</v>
      </c>
      <c r="D3337" s="69" t="s">
        <v>9453</v>
      </c>
      <c r="E3337" s="70" t="s">
        <v>9457</v>
      </c>
      <c r="F3337" s="26" t="s">
        <v>798</v>
      </c>
      <c r="G3337" s="15" t="s">
        <v>798</v>
      </c>
      <c r="H3337" s="14" t="s">
        <v>798</v>
      </c>
      <c r="I3337" s="15" t="s">
        <v>798</v>
      </c>
      <c r="J3337" s="12" t="s">
        <v>9438</v>
      </c>
      <c r="K3337" s="16" t="s">
        <v>3409</v>
      </c>
      <c r="L3337" s="12" t="s">
        <v>800</v>
      </c>
      <c r="M3337" s="16" t="s">
        <v>4375</v>
      </c>
      <c r="N3337" s="19" t="s">
        <v>798</v>
      </c>
      <c r="O3337" s="20" t="s">
        <v>798</v>
      </c>
      <c r="P3337" s="17" t="s">
        <v>802</v>
      </c>
      <c r="Q3337" s="21" t="s">
        <v>8961</v>
      </c>
      <c r="R3337" s="19" t="s">
        <v>798</v>
      </c>
      <c r="S3337" s="20" t="s">
        <v>798</v>
      </c>
      <c r="T3337" s="17" t="s">
        <v>798</v>
      </c>
      <c r="U3337" s="20" t="s">
        <v>798</v>
      </c>
      <c r="V3337" s="26" t="s">
        <v>798</v>
      </c>
      <c r="W3337" s="20" t="s">
        <v>798</v>
      </c>
      <c r="X3337" s="26" t="s">
        <v>798</v>
      </c>
      <c r="Y3337" s="20" t="s">
        <v>798</v>
      </c>
      <c r="Z3337" s="69" t="s">
        <v>9486</v>
      </c>
      <c r="AA3337" s="72" t="s">
        <v>9476</v>
      </c>
      <c r="AB3337" s="73" t="s">
        <v>9486</v>
      </c>
      <c r="AC3337" s="74" t="s">
        <v>9566</v>
      </c>
      <c r="AD3337" s="73" t="s">
        <v>9578</v>
      </c>
      <c r="AE3337" s="74" t="s">
        <v>9579</v>
      </c>
    </row>
    <row r="3338" spans="1:31" ht="8.65" customHeight="1" x14ac:dyDescent="0.2">
      <c r="A3338" s="76">
        <v>3338</v>
      </c>
      <c r="B3338" s="67" t="str">
        <f>MID(C3338, FIND("Ifc.", C3338) + 4, 4) &amp; "_" &amp; TEXT(COUNTIF($C$2:C3338, C3338),"0000")</f>
        <v>Enti_0471</v>
      </c>
      <c r="C3338" s="25" t="s">
        <v>874</v>
      </c>
      <c r="D3338" s="69" t="s">
        <v>9453</v>
      </c>
      <c r="E3338" s="70" t="s">
        <v>9457</v>
      </c>
      <c r="F3338" s="26" t="s">
        <v>798</v>
      </c>
      <c r="G3338" s="15" t="s">
        <v>798</v>
      </c>
      <c r="H3338" s="14" t="s">
        <v>798</v>
      </c>
      <c r="I3338" s="15" t="s">
        <v>798</v>
      </c>
      <c r="J3338" s="12" t="s">
        <v>9438</v>
      </c>
      <c r="K3338" s="16" t="s">
        <v>3410</v>
      </c>
      <c r="L3338" s="12" t="s">
        <v>800</v>
      </c>
      <c r="M3338" s="16" t="s">
        <v>4376</v>
      </c>
      <c r="N3338" s="19" t="s">
        <v>798</v>
      </c>
      <c r="O3338" s="20" t="s">
        <v>798</v>
      </c>
      <c r="P3338" s="17" t="s">
        <v>802</v>
      </c>
      <c r="Q3338" s="21" t="s">
        <v>8962</v>
      </c>
      <c r="R3338" s="19" t="s">
        <v>798</v>
      </c>
      <c r="S3338" s="20" t="s">
        <v>798</v>
      </c>
      <c r="T3338" s="17" t="s">
        <v>798</v>
      </c>
      <c r="U3338" s="20" t="s">
        <v>798</v>
      </c>
      <c r="V3338" s="26" t="s">
        <v>798</v>
      </c>
      <c r="W3338" s="20" t="s">
        <v>798</v>
      </c>
      <c r="X3338" s="26" t="s">
        <v>798</v>
      </c>
      <c r="Y3338" s="20" t="s">
        <v>798</v>
      </c>
      <c r="Z3338" s="69" t="s">
        <v>9486</v>
      </c>
      <c r="AA3338" s="72" t="s">
        <v>9476</v>
      </c>
      <c r="AB3338" s="73" t="s">
        <v>9486</v>
      </c>
      <c r="AC3338" s="74" t="s">
        <v>9566</v>
      </c>
      <c r="AD3338" s="73" t="s">
        <v>9578</v>
      </c>
      <c r="AE3338" s="74" t="s">
        <v>9579</v>
      </c>
    </row>
    <row r="3339" spans="1:31" ht="8.65" customHeight="1" x14ac:dyDescent="0.2">
      <c r="A3339" s="76">
        <v>3339</v>
      </c>
      <c r="B3339" s="67" t="str">
        <f>MID(C3339, FIND("Ifc.", C3339) + 4, 4) &amp; "_" &amp; TEXT(COUNTIF($C$2:C3339, C3339),"0000")</f>
        <v>Enti_0472</v>
      </c>
      <c r="C3339" s="25" t="s">
        <v>874</v>
      </c>
      <c r="D3339" s="69" t="s">
        <v>9453</v>
      </c>
      <c r="E3339" s="70" t="s">
        <v>9457</v>
      </c>
      <c r="F3339" s="26" t="s">
        <v>798</v>
      </c>
      <c r="G3339" s="15" t="s">
        <v>798</v>
      </c>
      <c r="H3339" s="14" t="s">
        <v>798</v>
      </c>
      <c r="I3339" s="15" t="s">
        <v>798</v>
      </c>
      <c r="J3339" s="12" t="s">
        <v>9438</v>
      </c>
      <c r="K3339" s="16" t="s">
        <v>3411</v>
      </c>
      <c r="L3339" s="12" t="s">
        <v>800</v>
      </c>
      <c r="M3339" s="16" t="s">
        <v>4377</v>
      </c>
      <c r="N3339" s="19" t="s">
        <v>798</v>
      </c>
      <c r="O3339" s="20" t="s">
        <v>798</v>
      </c>
      <c r="P3339" s="17" t="s">
        <v>802</v>
      </c>
      <c r="Q3339" s="21" t="s">
        <v>8963</v>
      </c>
      <c r="R3339" s="19" t="s">
        <v>798</v>
      </c>
      <c r="S3339" s="20" t="s">
        <v>798</v>
      </c>
      <c r="T3339" s="17" t="s">
        <v>798</v>
      </c>
      <c r="U3339" s="20" t="s">
        <v>798</v>
      </c>
      <c r="V3339" s="26" t="s">
        <v>798</v>
      </c>
      <c r="W3339" s="20" t="s">
        <v>798</v>
      </c>
      <c r="X3339" s="26" t="s">
        <v>798</v>
      </c>
      <c r="Y3339" s="20" t="s">
        <v>798</v>
      </c>
      <c r="Z3339" s="69" t="s">
        <v>9486</v>
      </c>
      <c r="AA3339" s="72" t="s">
        <v>9476</v>
      </c>
      <c r="AB3339" s="73" t="s">
        <v>9486</v>
      </c>
      <c r="AC3339" s="74" t="s">
        <v>9566</v>
      </c>
      <c r="AD3339" s="73" t="s">
        <v>9578</v>
      </c>
      <c r="AE3339" s="74" t="s">
        <v>9579</v>
      </c>
    </row>
    <row r="3340" spans="1:31" ht="8.65" customHeight="1" x14ac:dyDescent="0.2">
      <c r="A3340" s="76">
        <v>3340</v>
      </c>
      <c r="B3340" s="67" t="str">
        <f>MID(C3340, FIND("Ifc.", C3340) + 4, 4) &amp; "_" &amp; TEXT(COUNTIF($C$2:C3340, C3340),"0000")</f>
        <v>Enti_0473</v>
      </c>
      <c r="C3340" s="25" t="s">
        <v>874</v>
      </c>
      <c r="D3340" s="69" t="s">
        <v>9453</v>
      </c>
      <c r="E3340" s="70" t="s">
        <v>9457</v>
      </c>
      <c r="F3340" s="26" t="s">
        <v>798</v>
      </c>
      <c r="G3340" s="15" t="s">
        <v>798</v>
      </c>
      <c r="H3340" s="14" t="s">
        <v>798</v>
      </c>
      <c r="I3340" s="15" t="s">
        <v>798</v>
      </c>
      <c r="J3340" s="12" t="s">
        <v>9438</v>
      </c>
      <c r="K3340" s="16" t="s">
        <v>3412</v>
      </c>
      <c r="L3340" s="12" t="s">
        <v>800</v>
      </c>
      <c r="M3340" s="16" t="s">
        <v>4378</v>
      </c>
      <c r="N3340" s="19" t="s">
        <v>798</v>
      </c>
      <c r="O3340" s="20" t="s">
        <v>798</v>
      </c>
      <c r="P3340" s="17" t="s">
        <v>802</v>
      </c>
      <c r="Q3340" s="21" t="s">
        <v>8964</v>
      </c>
      <c r="R3340" s="19" t="s">
        <v>798</v>
      </c>
      <c r="S3340" s="20" t="s">
        <v>798</v>
      </c>
      <c r="T3340" s="17" t="s">
        <v>798</v>
      </c>
      <c r="U3340" s="20" t="s">
        <v>798</v>
      </c>
      <c r="V3340" s="26" t="s">
        <v>798</v>
      </c>
      <c r="W3340" s="20" t="s">
        <v>798</v>
      </c>
      <c r="X3340" s="26" t="s">
        <v>798</v>
      </c>
      <c r="Y3340" s="20" t="s">
        <v>798</v>
      </c>
      <c r="Z3340" s="69" t="s">
        <v>9486</v>
      </c>
      <c r="AA3340" s="72" t="s">
        <v>9476</v>
      </c>
      <c r="AB3340" s="73" t="s">
        <v>9486</v>
      </c>
      <c r="AC3340" s="74" t="s">
        <v>9566</v>
      </c>
      <c r="AD3340" s="73" t="s">
        <v>9578</v>
      </c>
      <c r="AE3340" s="74" t="s">
        <v>9579</v>
      </c>
    </row>
    <row r="3341" spans="1:31" ht="8.65" customHeight="1" x14ac:dyDescent="0.2">
      <c r="A3341" s="76">
        <v>3341</v>
      </c>
      <c r="B3341" s="67" t="str">
        <f>MID(C3341, FIND("Ifc.", C3341) + 4, 4) &amp; "_" &amp; TEXT(COUNTIF($C$2:C3341, C3341),"0000")</f>
        <v>Enti_0474</v>
      </c>
      <c r="C3341" s="25" t="s">
        <v>874</v>
      </c>
      <c r="D3341" s="69" t="s">
        <v>9453</v>
      </c>
      <c r="E3341" s="70" t="s">
        <v>9457</v>
      </c>
      <c r="F3341" s="26" t="s">
        <v>798</v>
      </c>
      <c r="G3341" s="15" t="s">
        <v>798</v>
      </c>
      <c r="H3341" s="14" t="s">
        <v>798</v>
      </c>
      <c r="I3341" s="15" t="s">
        <v>798</v>
      </c>
      <c r="J3341" s="12" t="s">
        <v>9438</v>
      </c>
      <c r="K3341" s="16" t="s">
        <v>3413</v>
      </c>
      <c r="L3341" s="12" t="s">
        <v>800</v>
      </c>
      <c r="M3341" s="16" t="s">
        <v>4379</v>
      </c>
      <c r="N3341" s="19" t="s">
        <v>798</v>
      </c>
      <c r="O3341" s="20" t="s">
        <v>798</v>
      </c>
      <c r="P3341" s="17" t="s">
        <v>802</v>
      </c>
      <c r="Q3341" s="21" t="s">
        <v>8965</v>
      </c>
      <c r="R3341" s="19" t="s">
        <v>798</v>
      </c>
      <c r="S3341" s="20" t="s">
        <v>798</v>
      </c>
      <c r="T3341" s="17" t="s">
        <v>798</v>
      </c>
      <c r="U3341" s="20" t="s">
        <v>798</v>
      </c>
      <c r="V3341" s="26" t="s">
        <v>798</v>
      </c>
      <c r="W3341" s="20" t="s">
        <v>798</v>
      </c>
      <c r="X3341" s="26" t="s">
        <v>798</v>
      </c>
      <c r="Y3341" s="20" t="s">
        <v>798</v>
      </c>
      <c r="Z3341" s="69" t="s">
        <v>9486</v>
      </c>
      <c r="AA3341" s="72" t="s">
        <v>9476</v>
      </c>
      <c r="AB3341" s="73" t="s">
        <v>9486</v>
      </c>
      <c r="AC3341" s="74" t="s">
        <v>9566</v>
      </c>
      <c r="AD3341" s="73" t="s">
        <v>9578</v>
      </c>
      <c r="AE3341" s="74" t="s">
        <v>9579</v>
      </c>
    </row>
    <row r="3342" spans="1:31" ht="8.65" customHeight="1" x14ac:dyDescent="0.2">
      <c r="A3342" s="76">
        <v>3342</v>
      </c>
      <c r="B3342" s="67" t="str">
        <f>MID(C3342, FIND("Ifc.", C3342) + 4, 4) &amp; "_" &amp; TEXT(COUNTIF($C$2:C3342, C3342),"0000")</f>
        <v>Enti_0475</v>
      </c>
      <c r="C3342" s="25" t="s">
        <v>874</v>
      </c>
      <c r="D3342" s="69" t="s">
        <v>9453</v>
      </c>
      <c r="E3342" s="70" t="s">
        <v>9457</v>
      </c>
      <c r="F3342" s="26" t="s">
        <v>798</v>
      </c>
      <c r="G3342" s="15" t="s">
        <v>798</v>
      </c>
      <c r="H3342" s="14" t="s">
        <v>798</v>
      </c>
      <c r="I3342" s="15" t="s">
        <v>798</v>
      </c>
      <c r="J3342" s="12" t="s">
        <v>9438</v>
      </c>
      <c r="K3342" s="16" t="s">
        <v>3414</v>
      </c>
      <c r="L3342" s="12" t="s">
        <v>800</v>
      </c>
      <c r="M3342" s="16" t="s">
        <v>4380</v>
      </c>
      <c r="N3342" s="19" t="s">
        <v>798</v>
      </c>
      <c r="O3342" s="20" t="s">
        <v>798</v>
      </c>
      <c r="P3342" s="17" t="s">
        <v>802</v>
      </c>
      <c r="Q3342" s="21" t="s">
        <v>8966</v>
      </c>
      <c r="R3342" s="19" t="s">
        <v>798</v>
      </c>
      <c r="S3342" s="20" t="s">
        <v>798</v>
      </c>
      <c r="T3342" s="17" t="s">
        <v>798</v>
      </c>
      <c r="U3342" s="20" t="s">
        <v>798</v>
      </c>
      <c r="V3342" s="26" t="s">
        <v>798</v>
      </c>
      <c r="W3342" s="20" t="s">
        <v>798</v>
      </c>
      <c r="X3342" s="26" t="s">
        <v>798</v>
      </c>
      <c r="Y3342" s="20" t="s">
        <v>798</v>
      </c>
      <c r="Z3342" s="69" t="s">
        <v>9486</v>
      </c>
      <c r="AA3342" s="72" t="s">
        <v>9476</v>
      </c>
      <c r="AB3342" s="73" t="s">
        <v>9486</v>
      </c>
      <c r="AC3342" s="74" t="s">
        <v>9566</v>
      </c>
      <c r="AD3342" s="73" t="s">
        <v>9578</v>
      </c>
      <c r="AE3342" s="74" t="s">
        <v>9579</v>
      </c>
    </row>
    <row r="3343" spans="1:31" ht="8.65" customHeight="1" x14ac:dyDescent="0.2">
      <c r="A3343" s="76">
        <v>3343</v>
      </c>
      <c r="B3343" s="67" t="str">
        <f>MID(C3343, FIND("Ifc.", C3343) + 4, 4) &amp; "_" &amp; TEXT(COUNTIF($C$2:C3343, C3343),"0000")</f>
        <v>Enti_0476</v>
      </c>
      <c r="C3343" s="25" t="s">
        <v>874</v>
      </c>
      <c r="D3343" s="69" t="s">
        <v>9453</v>
      </c>
      <c r="E3343" s="70" t="s">
        <v>9457</v>
      </c>
      <c r="F3343" s="26" t="s">
        <v>798</v>
      </c>
      <c r="G3343" s="15" t="s">
        <v>798</v>
      </c>
      <c r="H3343" s="14" t="s">
        <v>798</v>
      </c>
      <c r="I3343" s="15" t="s">
        <v>798</v>
      </c>
      <c r="J3343" s="12" t="s">
        <v>9438</v>
      </c>
      <c r="K3343" s="16" t="s">
        <v>3415</v>
      </c>
      <c r="L3343" s="12" t="s">
        <v>800</v>
      </c>
      <c r="M3343" s="16" t="s">
        <v>4381</v>
      </c>
      <c r="N3343" s="19" t="s">
        <v>798</v>
      </c>
      <c r="O3343" s="20" t="s">
        <v>798</v>
      </c>
      <c r="P3343" s="17" t="s">
        <v>802</v>
      </c>
      <c r="Q3343" s="21" t="s">
        <v>8967</v>
      </c>
      <c r="R3343" s="19" t="s">
        <v>798</v>
      </c>
      <c r="S3343" s="20" t="s">
        <v>798</v>
      </c>
      <c r="T3343" s="17" t="s">
        <v>798</v>
      </c>
      <c r="U3343" s="20" t="s">
        <v>798</v>
      </c>
      <c r="V3343" s="26" t="s">
        <v>798</v>
      </c>
      <c r="W3343" s="20" t="s">
        <v>798</v>
      </c>
      <c r="X3343" s="26" t="s">
        <v>798</v>
      </c>
      <c r="Y3343" s="20" t="s">
        <v>798</v>
      </c>
      <c r="Z3343" s="69" t="s">
        <v>9486</v>
      </c>
      <c r="AA3343" s="72" t="s">
        <v>9488</v>
      </c>
      <c r="AB3343" s="73" t="s">
        <v>9486</v>
      </c>
      <c r="AC3343" s="74" t="s">
        <v>9566</v>
      </c>
      <c r="AD3343" s="73" t="s">
        <v>9578</v>
      </c>
      <c r="AE3343" s="74" t="s">
        <v>9579</v>
      </c>
    </row>
    <row r="3344" spans="1:31" ht="8.65" customHeight="1" x14ac:dyDescent="0.2">
      <c r="A3344" s="76">
        <v>3344</v>
      </c>
      <c r="B3344" s="67" t="str">
        <f>MID(C3344, FIND("Ifc.", C3344) + 4, 4) &amp; "_" &amp; TEXT(COUNTIF($C$2:C3344, C3344),"0000")</f>
        <v>Enti_0477</v>
      </c>
      <c r="C3344" s="25" t="s">
        <v>874</v>
      </c>
      <c r="D3344" s="69" t="s">
        <v>9453</v>
      </c>
      <c r="E3344" s="70" t="s">
        <v>9457</v>
      </c>
      <c r="F3344" s="26" t="s">
        <v>798</v>
      </c>
      <c r="G3344" s="15" t="s">
        <v>798</v>
      </c>
      <c r="H3344" s="14" t="s">
        <v>798</v>
      </c>
      <c r="I3344" s="15" t="s">
        <v>798</v>
      </c>
      <c r="J3344" s="12" t="s">
        <v>9438</v>
      </c>
      <c r="K3344" s="16" t="s">
        <v>3416</v>
      </c>
      <c r="L3344" s="12" t="s">
        <v>800</v>
      </c>
      <c r="M3344" s="16" t="s">
        <v>4382</v>
      </c>
      <c r="N3344" s="19" t="s">
        <v>798</v>
      </c>
      <c r="O3344" s="20" t="s">
        <v>798</v>
      </c>
      <c r="P3344" s="17" t="s">
        <v>802</v>
      </c>
      <c r="Q3344" s="21" t="s">
        <v>8968</v>
      </c>
      <c r="R3344" s="19" t="s">
        <v>798</v>
      </c>
      <c r="S3344" s="20" t="s">
        <v>798</v>
      </c>
      <c r="T3344" s="17" t="s">
        <v>798</v>
      </c>
      <c r="U3344" s="20" t="s">
        <v>798</v>
      </c>
      <c r="V3344" s="26" t="s">
        <v>798</v>
      </c>
      <c r="W3344" s="20" t="s">
        <v>798</v>
      </c>
      <c r="X3344" s="26" t="s">
        <v>798</v>
      </c>
      <c r="Y3344" s="20" t="s">
        <v>798</v>
      </c>
      <c r="Z3344" s="69" t="s">
        <v>9486</v>
      </c>
      <c r="AA3344" s="72" t="s">
        <v>9476</v>
      </c>
      <c r="AB3344" s="73" t="s">
        <v>9486</v>
      </c>
      <c r="AC3344" s="74" t="s">
        <v>9566</v>
      </c>
      <c r="AD3344" s="73" t="s">
        <v>9578</v>
      </c>
      <c r="AE3344" s="74" t="s">
        <v>9579</v>
      </c>
    </row>
    <row r="3345" spans="1:31" ht="8.65" customHeight="1" x14ac:dyDescent="0.2">
      <c r="A3345" s="76">
        <v>3345</v>
      </c>
      <c r="B3345" s="67" t="str">
        <f>MID(C3345, FIND("Ifc.", C3345) + 4, 4) &amp; "_" &amp; TEXT(COUNTIF($C$2:C3345, C3345),"0000")</f>
        <v>Enti_0478</v>
      </c>
      <c r="C3345" s="25" t="s">
        <v>874</v>
      </c>
      <c r="D3345" s="69" t="s">
        <v>9453</v>
      </c>
      <c r="E3345" s="70" t="s">
        <v>9457</v>
      </c>
      <c r="F3345" s="26" t="s">
        <v>798</v>
      </c>
      <c r="G3345" s="15" t="s">
        <v>798</v>
      </c>
      <c r="H3345" s="14" t="s">
        <v>798</v>
      </c>
      <c r="I3345" s="15" t="s">
        <v>798</v>
      </c>
      <c r="J3345" s="12" t="s">
        <v>9438</v>
      </c>
      <c r="K3345" s="16" t="s">
        <v>3417</v>
      </c>
      <c r="L3345" s="12" t="s">
        <v>800</v>
      </c>
      <c r="M3345" s="16" t="s">
        <v>4383</v>
      </c>
      <c r="N3345" s="19" t="s">
        <v>798</v>
      </c>
      <c r="O3345" s="20" t="s">
        <v>798</v>
      </c>
      <c r="P3345" s="17" t="s">
        <v>802</v>
      </c>
      <c r="Q3345" s="21" t="s">
        <v>8969</v>
      </c>
      <c r="R3345" s="19" t="s">
        <v>798</v>
      </c>
      <c r="S3345" s="20" t="s">
        <v>798</v>
      </c>
      <c r="T3345" s="17" t="s">
        <v>798</v>
      </c>
      <c r="U3345" s="20" t="s">
        <v>798</v>
      </c>
      <c r="V3345" s="26" t="s">
        <v>798</v>
      </c>
      <c r="W3345" s="20" t="s">
        <v>798</v>
      </c>
      <c r="X3345" s="26" t="s">
        <v>798</v>
      </c>
      <c r="Y3345" s="20" t="s">
        <v>798</v>
      </c>
      <c r="Z3345" s="69" t="s">
        <v>9486</v>
      </c>
      <c r="AA3345" s="72" t="s">
        <v>9496</v>
      </c>
      <c r="AB3345" s="73" t="s">
        <v>9486</v>
      </c>
      <c r="AC3345" s="74" t="s">
        <v>9566</v>
      </c>
      <c r="AD3345" s="73" t="s">
        <v>9578</v>
      </c>
      <c r="AE3345" s="74" t="s">
        <v>9579</v>
      </c>
    </row>
    <row r="3346" spans="1:31" ht="8.65" customHeight="1" x14ac:dyDescent="0.2">
      <c r="A3346" s="76">
        <v>3346</v>
      </c>
      <c r="B3346" s="67" t="str">
        <f>MID(C3346, FIND("Ifc.", C3346) + 4, 4) &amp; "_" &amp; TEXT(COUNTIF($C$2:C3346, C3346),"0000")</f>
        <v>Enti_0479</v>
      </c>
      <c r="C3346" s="25" t="s">
        <v>874</v>
      </c>
      <c r="D3346" s="69" t="s">
        <v>9453</v>
      </c>
      <c r="E3346" s="70" t="s">
        <v>9457</v>
      </c>
      <c r="F3346" s="26" t="s">
        <v>798</v>
      </c>
      <c r="G3346" s="15" t="s">
        <v>798</v>
      </c>
      <c r="H3346" s="14" t="s">
        <v>798</v>
      </c>
      <c r="I3346" s="15" t="s">
        <v>798</v>
      </c>
      <c r="J3346" s="12" t="s">
        <v>9438</v>
      </c>
      <c r="K3346" s="16" t="s">
        <v>3418</v>
      </c>
      <c r="L3346" s="12" t="s">
        <v>800</v>
      </c>
      <c r="M3346" s="16" t="s">
        <v>4384</v>
      </c>
      <c r="N3346" s="19" t="s">
        <v>798</v>
      </c>
      <c r="O3346" s="20" t="s">
        <v>798</v>
      </c>
      <c r="P3346" s="17" t="s">
        <v>802</v>
      </c>
      <c r="Q3346" s="21" t="s">
        <v>8970</v>
      </c>
      <c r="R3346" s="19" t="s">
        <v>798</v>
      </c>
      <c r="S3346" s="20" t="s">
        <v>798</v>
      </c>
      <c r="T3346" s="17" t="s">
        <v>798</v>
      </c>
      <c r="U3346" s="20" t="s">
        <v>798</v>
      </c>
      <c r="V3346" s="26" t="s">
        <v>798</v>
      </c>
      <c r="W3346" s="20" t="s">
        <v>798</v>
      </c>
      <c r="X3346" s="26" t="s">
        <v>798</v>
      </c>
      <c r="Y3346" s="20" t="s">
        <v>798</v>
      </c>
      <c r="Z3346" s="69" t="s">
        <v>9486</v>
      </c>
      <c r="AA3346" s="72" t="s">
        <v>9476</v>
      </c>
      <c r="AB3346" s="73" t="s">
        <v>9486</v>
      </c>
      <c r="AC3346" s="74" t="s">
        <v>9566</v>
      </c>
      <c r="AD3346" s="73" t="s">
        <v>9578</v>
      </c>
      <c r="AE3346" s="74" t="s">
        <v>9579</v>
      </c>
    </row>
    <row r="3347" spans="1:31" ht="8.65" customHeight="1" x14ac:dyDescent="0.2">
      <c r="A3347" s="76">
        <v>3347</v>
      </c>
      <c r="B3347" s="67" t="str">
        <f>MID(C3347, FIND("Ifc.", C3347) + 4, 4) &amp; "_" &amp; TEXT(COUNTIF($C$2:C3347, C3347),"0000")</f>
        <v>Enti_0480</v>
      </c>
      <c r="C3347" s="25" t="s">
        <v>874</v>
      </c>
      <c r="D3347" s="69" t="s">
        <v>9453</v>
      </c>
      <c r="E3347" s="70" t="s">
        <v>9457</v>
      </c>
      <c r="F3347" s="26" t="s">
        <v>798</v>
      </c>
      <c r="G3347" s="15" t="s">
        <v>798</v>
      </c>
      <c r="H3347" s="14" t="s">
        <v>798</v>
      </c>
      <c r="I3347" s="15" t="s">
        <v>798</v>
      </c>
      <c r="J3347" s="12" t="s">
        <v>9438</v>
      </c>
      <c r="K3347" s="16" t="s">
        <v>3419</v>
      </c>
      <c r="L3347" s="12" t="s">
        <v>800</v>
      </c>
      <c r="M3347" s="16" t="s">
        <v>4385</v>
      </c>
      <c r="N3347" s="19" t="s">
        <v>798</v>
      </c>
      <c r="O3347" s="20" t="s">
        <v>798</v>
      </c>
      <c r="P3347" s="17" t="s">
        <v>802</v>
      </c>
      <c r="Q3347" s="21" t="s">
        <v>8971</v>
      </c>
      <c r="R3347" s="19" t="s">
        <v>798</v>
      </c>
      <c r="S3347" s="20" t="s">
        <v>798</v>
      </c>
      <c r="T3347" s="17" t="s">
        <v>798</v>
      </c>
      <c r="U3347" s="20" t="s">
        <v>798</v>
      </c>
      <c r="V3347" s="26" t="s">
        <v>798</v>
      </c>
      <c r="W3347" s="20" t="s">
        <v>798</v>
      </c>
      <c r="X3347" s="26" t="s">
        <v>798</v>
      </c>
      <c r="Y3347" s="20" t="s">
        <v>798</v>
      </c>
      <c r="Z3347" s="69" t="s">
        <v>9486</v>
      </c>
      <c r="AA3347" s="72" t="s">
        <v>9476</v>
      </c>
      <c r="AB3347" s="73" t="s">
        <v>9486</v>
      </c>
      <c r="AC3347" s="74" t="s">
        <v>9566</v>
      </c>
      <c r="AD3347" s="73" t="s">
        <v>9578</v>
      </c>
      <c r="AE3347" s="74" t="s">
        <v>9579</v>
      </c>
    </row>
    <row r="3348" spans="1:31" ht="8.65" customHeight="1" x14ac:dyDescent="0.2">
      <c r="A3348" s="76">
        <v>3348</v>
      </c>
      <c r="B3348" s="67" t="str">
        <f>MID(C3348, FIND("Ifc.", C3348) + 4, 4) &amp; "_" &amp; TEXT(COUNTIF($C$2:C3348, C3348),"0000")</f>
        <v>Enti_0481</v>
      </c>
      <c r="C3348" s="25" t="s">
        <v>874</v>
      </c>
      <c r="D3348" s="69" t="s">
        <v>9453</v>
      </c>
      <c r="E3348" s="70" t="s">
        <v>9457</v>
      </c>
      <c r="F3348" s="26" t="s">
        <v>798</v>
      </c>
      <c r="G3348" s="15" t="s">
        <v>798</v>
      </c>
      <c r="H3348" s="14" t="s">
        <v>798</v>
      </c>
      <c r="I3348" s="15" t="s">
        <v>798</v>
      </c>
      <c r="J3348" s="12" t="s">
        <v>9438</v>
      </c>
      <c r="K3348" s="16" t="s">
        <v>3420</v>
      </c>
      <c r="L3348" s="12" t="s">
        <v>800</v>
      </c>
      <c r="M3348" s="16" t="s">
        <v>4386</v>
      </c>
      <c r="N3348" s="19" t="s">
        <v>798</v>
      </c>
      <c r="O3348" s="20" t="s">
        <v>798</v>
      </c>
      <c r="P3348" s="17" t="s">
        <v>802</v>
      </c>
      <c r="Q3348" s="21" t="s">
        <v>8972</v>
      </c>
      <c r="R3348" s="19" t="s">
        <v>798</v>
      </c>
      <c r="S3348" s="20" t="s">
        <v>798</v>
      </c>
      <c r="T3348" s="17" t="s">
        <v>798</v>
      </c>
      <c r="U3348" s="20" t="s">
        <v>798</v>
      </c>
      <c r="V3348" s="26" t="s">
        <v>798</v>
      </c>
      <c r="W3348" s="20" t="s">
        <v>798</v>
      </c>
      <c r="X3348" s="26" t="s">
        <v>798</v>
      </c>
      <c r="Y3348" s="20" t="s">
        <v>798</v>
      </c>
      <c r="Z3348" s="69" t="s">
        <v>9486</v>
      </c>
      <c r="AA3348" s="72" t="s">
        <v>9477</v>
      </c>
      <c r="AB3348" s="73" t="s">
        <v>9486</v>
      </c>
      <c r="AC3348" s="74" t="s">
        <v>9566</v>
      </c>
      <c r="AD3348" s="73" t="s">
        <v>9578</v>
      </c>
      <c r="AE3348" s="74" t="s">
        <v>9579</v>
      </c>
    </row>
    <row r="3349" spans="1:31" ht="8.65" customHeight="1" x14ac:dyDescent="0.2">
      <c r="A3349" s="76">
        <v>3349</v>
      </c>
      <c r="B3349" s="67" t="str">
        <f>MID(C3349, FIND("Ifc.", C3349) + 4, 4) &amp; "_" &amp; TEXT(COUNTIF($C$2:C3349, C3349),"0000")</f>
        <v>Enti_0482</v>
      </c>
      <c r="C3349" s="25" t="s">
        <v>874</v>
      </c>
      <c r="D3349" s="69" t="s">
        <v>9453</v>
      </c>
      <c r="E3349" s="70" t="s">
        <v>9457</v>
      </c>
      <c r="F3349" s="26" t="s">
        <v>798</v>
      </c>
      <c r="G3349" s="15" t="s">
        <v>798</v>
      </c>
      <c r="H3349" s="14" t="s">
        <v>798</v>
      </c>
      <c r="I3349" s="15" t="s">
        <v>798</v>
      </c>
      <c r="J3349" s="12" t="s">
        <v>9438</v>
      </c>
      <c r="K3349" s="16" t="s">
        <v>3421</v>
      </c>
      <c r="L3349" s="12" t="s">
        <v>800</v>
      </c>
      <c r="M3349" s="16" t="s">
        <v>4387</v>
      </c>
      <c r="N3349" s="19" t="s">
        <v>798</v>
      </c>
      <c r="O3349" s="20" t="s">
        <v>798</v>
      </c>
      <c r="P3349" s="17" t="s">
        <v>802</v>
      </c>
      <c r="Q3349" s="21" t="s">
        <v>8973</v>
      </c>
      <c r="R3349" s="19" t="s">
        <v>798</v>
      </c>
      <c r="S3349" s="20" t="s">
        <v>798</v>
      </c>
      <c r="T3349" s="17" t="s">
        <v>798</v>
      </c>
      <c r="U3349" s="20" t="s">
        <v>798</v>
      </c>
      <c r="V3349" s="26" t="s">
        <v>798</v>
      </c>
      <c r="W3349" s="20" t="s">
        <v>798</v>
      </c>
      <c r="X3349" s="26" t="s">
        <v>798</v>
      </c>
      <c r="Y3349" s="20" t="s">
        <v>798</v>
      </c>
      <c r="Z3349" s="69" t="s">
        <v>9486</v>
      </c>
      <c r="AA3349" s="72" t="s">
        <v>9476</v>
      </c>
      <c r="AB3349" s="73" t="s">
        <v>9486</v>
      </c>
      <c r="AC3349" s="74" t="s">
        <v>9566</v>
      </c>
      <c r="AD3349" s="73" t="s">
        <v>9578</v>
      </c>
      <c r="AE3349" s="74" t="s">
        <v>9579</v>
      </c>
    </row>
    <row r="3350" spans="1:31" ht="8.65" customHeight="1" x14ac:dyDescent="0.2">
      <c r="A3350" s="76">
        <v>3350</v>
      </c>
      <c r="B3350" s="67" t="str">
        <f>MID(C3350, FIND("Ifc.", C3350) + 4, 4) &amp; "_" &amp; TEXT(COUNTIF($C$2:C3350, C3350),"0000")</f>
        <v>Enti_0483</v>
      </c>
      <c r="C3350" s="25" t="s">
        <v>874</v>
      </c>
      <c r="D3350" s="69" t="s">
        <v>9453</v>
      </c>
      <c r="E3350" s="70" t="s">
        <v>9457</v>
      </c>
      <c r="F3350" s="26" t="s">
        <v>798</v>
      </c>
      <c r="G3350" s="15" t="s">
        <v>798</v>
      </c>
      <c r="H3350" s="14" t="s">
        <v>798</v>
      </c>
      <c r="I3350" s="15" t="s">
        <v>798</v>
      </c>
      <c r="J3350" s="12" t="s">
        <v>9438</v>
      </c>
      <c r="K3350" s="16" t="s">
        <v>3422</v>
      </c>
      <c r="L3350" s="12" t="s">
        <v>800</v>
      </c>
      <c r="M3350" s="16" t="s">
        <v>4388</v>
      </c>
      <c r="N3350" s="19" t="s">
        <v>798</v>
      </c>
      <c r="O3350" s="20" t="s">
        <v>798</v>
      </c>
      <c r="P3350" s="17" t="s">
        <v>802</v>
      </c>
      <c r="Q3350" s="21" t="s">
        <v>8974</v>
      </c>
      <c r="R3350" s="19" t="s">
        <v>798</v>
      </c>
      <c r="S3350" s="20" t="s">
        <v>798</v>
      </c>
      <c r="T3350" s="17" t="s">
        <v>798</v>
      </c>
      <c r="U3350" s="20" t="s">
        <v>798</v>
      </c>
      <c r="V3350" s="26" t="s">
        <v>798</v>
      </c>
      <c r="W3350" s="20" t="s">
        <v>798</v>
      </c>
      <c r="X3350" s="26" t="s">
        <v>798</v>
      </c>
      <c r="Y3350" s="20" t="s">
        <v>798</v>
      </c>
      <c r="Z3350" s="69" t="s">
        <v>9486</v>
      </c>
      <c r="AA3350" s="72" t="s">
        <v>9476</v>
      </c>
      <c r="AB3350" s="73" t="s">
        <v>9486</v>
      </c>
      <c r="AC3350" s="74" t="s">
        <v>9566</v>
      </c>
      <c r="AD3350" s="73" t="s">
        <v>9578</v>
      </c>
      <c r="AE3350" s="74" t="s">
        <v>9579</v>
      </c>
    </row>
    <row r="3351" spans="1:31" ht="8.65" customHeight="1" x14ac:dyDescent="0.2">
      <c r="A3351" s="76">
        <v>3351</v>
      </c>
      <c r="B3351" s="67" t="str">
        <f>MID(C3351, FIND("Ifc.", C3351) + 4, 4) &amp; "_" &amp; TEXT(COUNTIF($C$2:C3351, C3351),"0000")</f>
        <v>Enti_0484</v>
      </c>
      <c r="C3351" s="25" t="s">
        <v>874</v>
      </c>
      <c r="D3351" s="69" t="s">
        <v>9453</v>
      </c>
      <c r="E3351" s="70" t="s">
        <v>9457</v>
      </c>
      <c r="F3351" s="26" t="s">
        <v>798</v>
      </c>
      <c r="G3351" s="15" t="s">
        <v>798</v>
      </c>
      <c r="H3351" s="14" t="s">
        <v>798</v>
      </c>
      <c r="I3351" s="15" t="s">
        <v>798</v>
      </c>
      <c r="J3351" s="12" t="s">
        <v>9438</v>
      </c>
      <c r="K3351" s="16" t="s">
        <v>3423</v>
      </c>
      <c r="L3351" s="12" t="s">
        <v>800</v>
      </c>
      <c r="M3351" s="16" t="s">
        <v>4389</v>
      </c>
      <c r="N3351" s="19" t="s">
        <v>798</v>
      </c>
      <c r="O3351" s="20" t="s">
        <v>798</v>
      </c>
      <c r="P3351" s="17" t="s">
        <v>802</v>
      </c>
      <c r="Q3351" s="21" t="s">
        <v>8975</v>
      </c>
      <c r="R3351" s="19" t="s">
        <v>798</v>
      </c>
      <c r="S3351" s="20" t="s">
        <v>798</v>
      </c>
      <c r="T3351" s="17" t="s">
        <v>798</v>
      </c>
      <c r="U3351" s="20" t="s">
        <v>798</v>
      </c>
      <c r="V3351" s="26" t="s">
        <v>798</v>
      </c>
      <c r="W3351" s="20" t="s">
        <v>798</v>
      </c>
      <c r="X3351" s="26" t="s">
        <v>798</v>
      </c>
      <c r="Y3351" s="20" t="s">
        <v>798</v>
      </c>
      <c r="Z3351" s="69" t="s">
        <v>9486</v>
      </c>
      <c r="AA3351" s="72" t="s">
        <v>9477</v>
      </c>
      <c r="AB3351" s="73" t="s">
        <v>9486</v>
      </c>
      <c r="AC3351" s="74" t="s">
        <v>9566</v>
      </c>
      <c r="AD3351" s="73" t="s">
        <v>9578</v>
      </c>
      <c r="AE3351" s="74" t="s">
        <v>9579</v>
      </c>
    </row>
    <row r="3352" spans="1:31" ht="8.65" customHeight="1" x14ac:dyDescent="0.2">
      <c r="A3352" s="76">
        <v>3352</v>
      </c>
      <c r="B3352" s="67" t="str">
        <f>MID(C3352, FIND("Ifc.", C3352) + 4, 4) &amp; "_" &amp; TEXT(COUNTIF($C$2:C3352, C3352),"0000")</f>
        <v>Enti_0485</v>
      </c>
      <c r="C3352" s="25" t="s">
        <v>874</v>
      </c>
      <c r="D3352" s="69" t="s">
        <v>9453</v>
      </c>
      <c r="E3352" s="70" t="s">
        <v>9457</v>
      </c>
      <c r="F3352" s="26" t="s">
        <v>798</v>
      </c>
      <c r="G3352" s="15" t="s">
        <v>798</v>
      </c>
      <c r="H3352" s="14" t="s">
        <v>798</v>
      </c>
      <c r="I3352" s="15" t="s">
        <v>798</v>
      </c>
      <c r="J3352" s="12" t="s">
        <v>9438</v>
      </c>
      <c r="K3352" s="16" t="s">
        <v>3424</v>
      </c>
      <c r="L3352" s="12" t="s">
        <v>800</v>
      </c>
      <c r="M3352" s="16" t="s">
        <v>4390</v>
      </c>
      <c r="N3352" s="19" t="s">
        <v>798</v>
      </c>
      <c r="O3352" s="20" t="s">
        <v>798</v>
      </c>
      <c r="P3352" s="17" t="s">
        <v>802</v>
      </c>
      <c r="Q3352" s="21" t="s">
        <v>8976</v>
      </c>
      <c r="R3352" s="19" t="s">
        <v>798</v>
      </c>
      <c r="S3352" s="20" t="s">
        <v>798</v>
      </c>
      <c r="T3352" s="17" t="s">
        <v>798</v>
      </c>
      <c r="U3352" s="20" t="s">
        <v>798</v>
      </c>
      <c r="V3352" s="26" t="s">
        <v>798</v>
      </c>
      <c r="W3352" s="20" t="s">
        <v>798</v>
      </c>
      <c r="X3352" s="26" t="s">
        <v>798</v>
      </c>
      <c r="Y3352" s="20" t="s">
        <v>798</v>
      </c>
      <c r="Z3352" s="69" t="s">
        <v>9486</v>
      </c>
      <c r="AA3352" s="72" t="s">
        <v>9476</v>
      </c>
      <c r="AB3352" s="73" t="s">
        <v>9486</v>
      </c>
      <c r="AC3352" s="74" t="s">
        <v>9566</v>
      </c>
      <c r="AD3352" s="73" t="s">
        <v>9578</v>
      </c>
      <c r="AE3352" s="74" t="s">
        <v>9579</v>
      </c>
    </row>
    <row r="3353" spans="1:31" ht="8.65" customHeight="1" x14ac:dyDescent="0.2">
      <c r="A3353" s="76">
        <v>3353</v>
      </c>
      <c r="B3353" s="67" t="str">
        <f>MID(C3353, FIND("Ifc.", C3353) + 4, 4) &amp; "_" &amp; TEXT(COUNTIF($C$2:C3353, C3353),"0000")</f>
        <v>Enti_0486</v>
      </c>
      <c r="C3353" s="25" t="s">
        <v>874</v>
      </c>
      <c r="D3353" s="69" t="s">
        <v>9453</v>
      </c>
      <c r="E3353" s="70" t="s">
        <v>9457</v>
      </c>
      <c r="F3353" s="26" t="s">
        <v>798</v>
      </c>
      <c r="G3353" s="15" t="s">
        <v>798</v>
      </c>
      <c r="H3353" s="14" t="s">
        <v>798</v>
      </c>
      <c r="I3353" s="15" t="s">
        <v>798</v>
      </c>
      <c r="J3353" s="12" t="s">
        <v>9438</v>
      </c>
      <c r="K3353" s="16" t="s">
        <v>3425</v>
      </c>
      <c r="L3353" s="12" t="s">
        <v>800</v>
      </c>
      <c r="M3353" s="16" t="s">
        <v>4391</v>
      </c>
      <c r="N3353" s="19" t="s">
        <v>798</v>
      </c>
      <c r="O3353" s="20" t="s">
        <v>798</v>
      </c>
      <c r="P3353" s="17" t="s">
        <v>802</v>
      </c>
      <c r="Q3353" s="21" t="s">
        <v>8977</v>
      </c>
      <c r="R3353" s="19" t="s">
        <v>798</v>
      </c>
      <c r="S3353" s="20" t="s">
        <v>798</v>
      </c>
      <c r="T3353" s="17" t="s">
        <v>798</v>
      </c>
      <c r="U3353" s="20" t="s">
        <v>798</v>
      </c>
      <c r="V3353" s="26" t="s">
        <v>798</v>
      </c>
      <c r="W3353" s="20" t="s">
        <v>798</v>
      </c>
      <c r="X3353" s="26" t="s">
        <v>798</v>
      </c>
      <c r="Y3353" s="20" t="s">
        <v>798</v>
      </c>
      <c r="Z3353" s="69" t="s">
        <v>9486</v>
      </c>
      <c r="AA3353" s="72" t="s">
        <v>9477</v>
      </c>
      <c r="AB3353" s="73" t="s">
        <v>9486</v>
      </c>
      <c r="AC3353" s="74" t="s">
        <v>9566</v>
      </c>
      <c r="AD3353" s="73" t="s">
        <v>9578</v>
      </c>
      <c r="AE3353" s="74" t="s">
        <v>9579</v>
      </c>
    </row>
    <row r="3354" spans="1:31" ht="8.65" customHeight="1" x14ac:dyDescent="0.2">
      <c r="A3354" s="76">
        <v>3354</v>
      </c>
      <c r="B3354" s="67" t="str">
        <f>MID(C3354, FIND("Ifc.", C3354) + 4, 4) &amp; "_" &amp; TEXT(COUNTIF($C$2:C3354, C3354),"0000")</f>
        <v>Enti_0487</v>
      </c>
      <c r="C3354" s="25" t="s">
        <v>874</v>
      </c>
      <c r="D3354" s="69" t="s">
        <v>9453</v>
      </c>
      <c r="E3354" s="70" t="s">
        <v>9457</v>
      </c>
      <c r="F3354" s="26" t="s">
        <v>798</v>
      </c>
      <c r="G3354" s="15" t="s">
        <v>798</v>
      </c>
      <c r="H3354" s="14" t="s">
        <v>798</v>
      </c>
      <c r="I3354" s="15" t="s">
        <v>798</v>
      </c>
      <c r="J3354" s="12" t="s">
        <v>9438</v>
      </c>
      <c r="K3354" s="16" t="s">
        <v>3426</v>
      </c>
      <c r="L3354" s="12" t="s">
        <v>800</v>
      </c>
      <c r="M3354" s="16" t="s">
        <v>4392</v>
      </c>
      <c r="N3354" s="19" t="s">
        <v>798</v>
      </c>
      <c r="O3354" s="20" t="s">
        <v>798</v>
      </c>
      <c r="P3354" s="17" t="s">
        <v>802</v>
      </c>
      <c r="Q3354" s="21" t="s">
        <v>8978</v>
      </c>
      <c r="R3354" s="19" t="s">
        <v>798</v>
      </c>
      <c r="S3354" s="20" t="s">
        <v>798</v>
      </c>
      <c r="T3354" s="17" t="s">
        <v>798</v>
      </c>
      <c r="U3354" s="20" t="s">
        <v>798</v>
      </c>
      <c r="V3354" s="26" t="s">
        <v>798</v>
      </c>
      <c r="W3354" s="20" t="s">
        <v>798</v>
      </c>
      <c r="X3354" s="26" t="s">
        <v>798</v>
      </c>
      <c r="Y3354" s="20" t="s">
        <v>798</v>
      </c>
      <c r="Z3354" s="69" t="s">
        <v>9486</v>
      </c>
      <c r="AA3354" s="72" t="s">
        <v>9476</v>
      </c>
      <c r="AB3354" s="73" t="s">
        <v>9486</v>
      </c>
      <c r="AC3354" s="74" t="s">
        <v>9566</v>
      </c>
      <c r="AD3354" s="73" t="s">
        <v>9578</v>
      </c>
      <c r="AE3354" s="74" t="s">
        <v>9579</v>
      </c>
    </row>
    <row r="3355" spans="1:31" ht="8.65" customHeight="1" x14ac:dyDescent="0.2">
      <c r="A3355" s="76">
        <v>3355</v>
      </c>
      <c r="B3355" s="67" t="str">
        <f>MID(C3355, FIND("Ifc.", C3355) + 4, 4) &amp; "_" &amp; TEXT(COUNTIF($C$2:C3355, C3355),"0000")</f>
        <v>Enti_0488</v>
      </c>
      <c r="C3355" s="25" t="s">
        <v>874</v>
      </c>
      <c r="D3355" s="69" t="s">
        <v>9453</v>
      </c>
      <c r="E3355" s="70" t="s">
        <v>9457</v>
      </c>
      <c r="F3355" s="26" t="s">
        <v>798</v>
      </c>
      <c r="G3355" s="15" t="s">
        <v>798</v>
      </c>
      <c r="H3355" s="14" t="s">
        <v>798</v>
      </c>
      <c r="I3355" s="15" t="s">
        <v>798</v>
      </c>
      <c r="J3355" s="12" t="s">
        <v>9438</v>
      </c>
      <c r="K3355" s="16" t="s">
        <v>3427</v>
      </c>
      <c r="L3355" s="12" t="s">
        <v>800</v>
      </c>
      <c r="M3355" s="16" t="s">
        <v>4393</v>
      </c>
      <c r="N3355" s="19" t="s">
        <v>798</v>
      </c>
      <c r="O3355" s="20" t="s">
        <v>798</v>
      </c>
      <c r="P3355" s="17" t="s">
        <v>802</v>
      </c>
      <c r="Q3355" s="21" t="s">
        <v>8979</v>
      </c>
      <c r="R3355" s="19" t="s">
        <v>798</v>
      </c>
      <c r="S3355" s="20" t="s">
        <v>798</v>
      </c>
      <c r="T3355" s="17" t="s">
        <v>798</v>
      </c>
      <c r="U3355" s="20" t="s">
        <v>798</v>
      </c>
      <c r="V3355" s="26" t="s">
        <v>798</v>
      </c>
      <c r="W3355" s="20" t="s">
        <v>798</v>
      </c>
      <c r="X3355" s="26" t="s">
        <v>798</v>
      </c>
      <c r="Y3355" s="20" t="s">
        <v>798</v>
      </c>
      <c r="Z3355" s="69" t="s">
        <v>9486</v>
      </c>
      <c r="AA3355" s="72" t="s">
        <v>9477</v>
      </c>
      <c r="AB3355" s="73" t="s">
        <v>9486</v>
      </c>
      <c r="AC3355" s="74" t="s">
        <v>9566</v>
      </c>
      <c r="AD3355" s="73" t="s">
        <v>9578</v>
      </c>
      <c r="AE3355" s="74" t="s">
        <v>9579</v>
      </c>
    </row>
    <row r="3356" spans="1:31" ht="8.65" customHeight="1" x14ac:dyDescent="0.2">
      <c r="A3356" s="76">
        <v>3356</v>
      </c>
      <c r="B3356" s="67" t="str">
        <f>MID(C3356, FIND("Ifc.", C3356) + 4, 4) &amp; "_" &amp; TEXT(COUNTIF($C$2:C3356, C3356),"0000")</f>
        <v>Enti_0489</v>
      </c>
      <c r="C3356" s="25" t="s">
        <v>874</v>
      </c>
      <c r="D3356" s="69" t="s">
        <v>9453</v>
      </c>
      <c r="E3356" s="70" t="s">
        <v>9457</v>
      </c>
      <c r="F3356" s="26" t="s">
        <v>798</v>
      </c>
      <c r="G3356" s="15" t="s">
        <v>798</v>
      </c>
      <c r="H3356" s="14" t="s">
        <v>798</v>
      </c>
      <c r="I3356" s="15" t="s">
        <v>798</v>
      </c>
      <c r="J3356" s="12" t="s">
        <v>9438</v>
      </c>
      <c r="K3356" s="16" t="s">
        <v>3428</v>
      </c>
      <c r="L3356" s="12" t="s">
        <v>800</v>
      </c>
      <c r="M3356" s="16" t="s">
        <v>4394</v>
      </c>
      <c r="N3356" s="19" t="s">
        <v>798</v>
      </c>
      <c r="O3356" s="20" t="s">
        <v>798</v>
      </c>
      <c r="P3356" s="17" t="s">
        <v>802</v>
      </c>
      <c r="Q3356" s="21" t="s">
        <v>8980</v>
      </c>
      <c r="R3356" s="19" t="s">
        <v>798</v>
      </c>
      <c r="S3356" s="20" t="s">
        <v>798</v>
      </c>
      <c r="T3356" s="17" t="s">
        <v>798</v>
      </c>
      <c r="U3356" s="20" t="s">
        <v>798</v>
      </c>
      <c r="V3356" s="26" t="s">
        <v>798</v>
      </c>
      <c r="W3356" s="20" t="s">
        <v>798</v>
      </c>
      <c r="X3356" s="26" t="s">
        <v>798</v>
      </c>
      <c r="Y3356" s="20" t="s">
        <v>798</v>
      </c>
      <c r="Z3356" s="69" t="s">
        <v>9486</v>
      </c>
      <c r="AA3356" s="72" t="s">
        <v>9488</v>
      </c>
      <c r="AB3356" s="73" t="s">
        <v>9486</v>
      </c>
      <c r="AC3356" s="74" t="s">
        <v>9562</v>
      </c>
      <c r="AD3356" s="73" t="s">
        <v>9578</v>
      </c>
      <c r="AE3356" s="74" t="s">
        <v>9579</v>
      </c>
    </row>
    <row r="3357" spans="1:31" ht="8.65" customHeight="1" x14ac:dyDescent="0.2">
      <c r="A3357" s="76">
        <v>3357</v>
      </c>
      <c r="B3357" s="67" t="str">
        <f>MID(C3357, FIND("Ifc.", C3357) + 4, 4) &amp; "_" &amp; TEXT(COUNTIF($C$2:C3357, C3357),"0000")</f>
        <v>Enti_0490</v>
      </c>
      <c r="C3357" s="25" t="s">
        <v>874</v>
      </c>
      <c r="D3357" s="69" t="s">
        <v>9453</v>
      </c>
      <c r="E3357" s="70" t="s">
        <v>9457</v>
      </c>
      <c r="F3357" s="26" t="s">
        <v>798</v>
      </c>
      <c r="G3357" s="15" t="s">
        <v>798</v>
      </c>
      <c r="H3357" s="14" t="s">
        <v>798</v>
      </c>
      <c r="I3357" s="15" t="s">
        <v>798</v>
      </c>
      <c r="J3357" s="12" t="s">
        <v>9438</v>
      </c>
      <c r="K3357" s="16" t="s">
        <v>3429</v>
      </c>
      <c r="L3357" s="12" t="s">
        <v>800</v>
      </c>
      <c r="M3357" s="16" t="s">
        <v>4395</v>
      </c>
      <c r="N3357" s="19" t="s">
        <v>798</v>
      </c>
      <c r="O3357" s="20" t="s">
        <v>798</v>
      </c>
      <c r="P3357" s="17" t="s">
        <v>802</v>
      </c>
      <c r="Q3357" s="21" t="s">
        <v>8981</v>
      </c>
      <c r="R3357" s="19" t="s">
        <v>798</v>
      </c>
      <c r="S3357" s="20" t="s">
        <v>798</v>
      </c>
      <c r="T3357" s="17" t="s">
        <v>798</v>
      </c>
      <c r="U3357" s="20" t="s">
        <v>798</v>
      </c>
      <c r="V3357" s="26" t="s">
        <v>798</v>
      </c>
      <c r="W3357" s="20" t="s">
        <v>798</v>
      </c>
      <c r="X3357" s="26" t="s">
        <v>798</v>
      </c>
      <c r="Y3357" s="20" t="s">
        <v>798</v>
      </c>
      <c r="Z3357" s="69" t="s">
        <v>9486</v>
      </c>
      <c r="AA3357" s="72" t="s">
        <v>9476</v>
      </c>
      <c r="AB3357" s="73" t="s">
        <v>9486</v>
      </c>
      <c r="AC3357" s="74" t="s">
        <v>9562</v>
      </c>
      <c r="AD3357" s="73" t="s">
        <v>9578</v>
      </c>
      <c r="AE3357" s="74" t="s">
        <v>9579</v>
      </c>
    </row>
    <row r="3358" spans="1:31" ht="8.65" customHeight="1" x14ac:dyDescent="0.2">
      <c r="A3358" s="76">
        <v>3358</v>
      </c>
      <c r="B3358" s="67" t="str">
        <f>MID(C3358, FIND("Ifc.", C3358) + 4, 4) &amp; "_" &amp; TEXT(COUNTIF($C$2:C3358, C3358),"0000")</f>
        <v>Enti_0491</v>
      </c>
      <c r="C3358" s="25" t="s">
        <v>874</v>
      </c>
      <c r="D3358" s="69" t="s">
        <v>9453</v>
      </c>
      <c r="E3358" s="70" t="s">
        <v>9457</v>
      </c>
      <c r="F3358" s="26" t="s">
        <v>798</v>
      </c>
      <c r="G3358" s="15" t="s">
        <v>798</v>
      </c>
      <c r="H3358" s="14" t="s">
        <v>798</v>
      </c>
      <c r="I3358" s="15" t="s">
        <v>798</v>
      </c>
      <c r="J3358" s="12" t="s">
        <v>9438</v>
      </c>
      <c r="K3358" s="16" t="s">
        <v>3430</v>
      </c>
      <c r="L3358" s="12" t="s">
        <v>800</v>
      </c>
      <c r="M3358" s="16" t="s">
        <v>4396</v>
      </c>
      <c r="N3358" s="19" t="s">
        <v>798</v>
      </c>
      <c r="O3358" s="20" t="s">
        <v>798</v>
      </c>
      <c r="P3358" s="17" t="s">
        <v>802</v>
      </c>
      <c r="Q3358" s="21" t="s">
        <v>8982</v>
      </c>
      <c r="R3358" s="19" t="s">
        <v>798</v>
      </c>
      <c r="S3358" s="20" t="s">
        <v>798</v>
      </c>
      <c r="T3358" s="17" t="s">
        <v>798</v>
      </c>
      <c r="U3358" s="20" t="s">
        <v>798</v>
      </c>
      <c r="V3358" s="26" t="s">
        <v>798</v>
      </c>
      <c r="W3358" s="20" t="s">
        <v>798</v>
      </c>
      <c r="X3358" s="26" t="s">
        <v>798</v>
      </c>
      <c r="Y3358" s="20" t="s">
        <v>798</v>
      </c>
      <c r="Z3358" s="69" t="s">
        <v>9486</v>
      </c>
      <c r="AA3358" s="72" t="s">
        <v>9488</v>
      </c>
      <c r="AB3358" s="73" t="s">
        <v>9486</v>
      </c>
      <c r="AC3358" s="74" t="s">
        <v>9562</v>
      </c>
      <c r="AD3358" s="73" t="s">
        <v>9578</v>
      </c>
      <c r="AE3358" s="74" t="s">
        <v>9579</v>
      </c>
    </row>
    <row r="3359" spans="1:31" ht="9.9499999999999993" customHeight="1" x14ac:dyDescent="0.2">
      <c r="A3359" s="76">
        <v>3359</v>
      </c>
      <c r="B3359" s="67" t="str">
        <f>MID(C3359, FIND("Ifc.", C3359) + 4, 4) &amp; "_" &amp; TEXT(COUNTIF($C$2:C3359, C3359),"0000")</f>
        <v>Enti_0492</v>
      </c>
      <c r="C3359" s="25" t="s">
        <v>874</v>
      </c>
      <c r="D3359" s="69" t="s">
        <v>9453</v>
      </c>
      <c r="E3359" s="70" t="s">
        <v>9457</v>
      </c>
      <c r="F3359" s="26" t="s">
        <v>798</v>
      </c>
      <c r="G3359" s="15" t="s">
        <v>798</v>
      </c>
      <c r="H3359" s="14" t="s">
        <v>798</v>
      </c>
      <c r="I3359" s="15" t="s">
        <v>798</v>
      </c>
      <c r="J3359" s="12" t="s">
        <v>9438</v>
      </c>
      <c r="K3359" s="16" t="s">
        <v>9426</v>
      </c>
      <c r="L3359" s="12" t="s">
        <v>800</v>
      </c>
      <c r="M3359" s="16" t="s">
        <v>9427</v>
      </c>
      <c r="N3359" s="19" t="s">
        <v>798</v>
      </c>
      <c r="O3359" s="20" t="s">
        <v>798</v>
      </c>
      <c r="P3359" s="17" t="s">
        <v>802</v>
      </c>
      <c r="Q3359" s="21" t="s">
        <v>9428</v>
      </c>
      <c r="R3359" s="19" t="s">
        <v>798</v>
      </c>
      <c r="S3359" s="20" t="s">
        <v>798</v>
      </c>
      <c r="T3359" s="17" t="s">
        <v>798</v>
      </c>
      <c r="U3359" s="20" t="s">
        <v>798</v>
      </c>
      <c r="V3359" s="17" t="s">
        <v>798</v>
      </c>
      <c r="W3359" s="20" t="s">
        <v>798</v>
      </c>
      <c r="X3359" s="17" t="s">
        <v>798</v>
      </c>
      <c r="Y3359" s="20" t="s">
        <v>798</v>
      </c>
      <c r="Z3359" s="69" t="s">
        <v>9486</v>
      </c>
      <c r="AA3359" s="72" t="s">
        <v>9488</v>
      </c>
      <c r="AB3359" s="73" t="s">
        <v>9486</v>
      </c>
      <c r="AC3359" s="74" t="s">
        <v>9562</v>
      </c>
      <c r="AD3359" s="73" t="s">
        <v>9578</v>
      </c>
      <c r="AE3359" s="74" t="s">
        <v>9579</v>
      </c>
    </row>
    <row r="3360" spans="1:31" ht="8.65" customHeight="1" x14ac:dyDescent="0.2">
      <c r="A3360" s="76">
        <v>3360</v>
      </c>
      <c r="B3360" s="67" t="str">
        <f>MID(C3360, FIND("Ifc.", C3360) + 4, 4) &amp; "_" &amp; TEXT(COUNTIF($C$2:C3360, C3360),"0000")</f>
        <v>Enti_0493</v>
      </c>
      <c r="C3360" s="25" t="s">
        <v>874</v>
      </c>
      <c r="D3360" s="69" t="s">
        <v>9453</v>
      </c>
      <c r="E3360" s="70" t="s">
        <v>9457</v>
      </c>
      <c r="F3360" s="26" t="s">
        <v>798</v>
      </c>
      <c r="G3360" s="15" t="s">
        <v>798</v>
      </c>
      <c r="H3360" s="14" t="s">
        <v>798</v>
      </c>
      <c r="I3360" s="15" t="s">
        <v>798</v>
      </c>
      <c r="J3360" s="12" t="s">
        <v>9438</v>
      </c>
      <c r="K3360" s="16" t="s">
        <v>3431</v>
      </c>
      <c r="L3360" s="12" t="s">
        <v>800</v>
      </c>
      <c r="M3360" s="16" t="s">
        <v>4397</v>
      </c>
      <c r="N3360" s="19" t="s">
        <v>798</v>
      </c>
      <c r="O3360" s="20" t="s">
        <v>798</v>
      </c>
      <c r="P3360" s="17" t="s">
        <v>802</v>
      </c>
      <c r="Q3360" s="21" t="s">
        <v>8983</v>
      </c>
      <c r="R3360" s="19" t="s">
        <v>798</v>
      </c>
      <c r="S3360" s="20" t="s">
        <v>798</v>
      </c>
      <c r="T3360" s="17" t="s">
        <v>798</v>
      </c>
      <c r="U3360" s="20" t="s">
        <v>798</v>
      </c>
      <c r="V3360" s="26" t="s">
        <v>798</v>
      </c>
      <c r="W3360" s="20" t="s">
        <v>798</v>
      </c>
      <c r="X3360" s="26" t="s">
        <v>798</v>
      </c>
      <c r="Y3360" s="20" t="s">
        <v>798</v>
      </c>
      <c r="Z3360" s="69" t="s">
        <v>9486</v>
      </c>
      <c r="AA3360" s="72" t="s">
        <v>9476</v>
      </c>
      <c r="AB3360" s="73" t="s">
        <v>9486</v>
      </c>
      <c r="AC3360" s="74" t="s">
        <v>9562</v>
      </c>
      <c r="AD3360" s="73" t="s">
        <v>9578</v>
      </c>
      <c r="AE3360" s="74" t="s">
        <v>9579</v>
      </c>
    </row>
    <row r="3361" spans="1:31" ht="8.65" customHeight="1" x14ac:dyDescent="0.2">
      <c r="A3361" s="76">
        <v>3361</v>
      </c>
      <c r="B3361" s="67" t="str">
        <f>MID(C3361, FIND("Ifc.", C3361) + 4, 4) &amp; "_" &amp; TEXT(COUNTIF($C$2:C3361, C3361),"0000")</f>
        <v>Enti_0494</v>
      </c>
      <c r="C3361" s="25" t="s">
        <v>874</v>
      </c>
      <c r="D3361" s="69" t="s">
        <v>9453</v>
      </c>
      <c r="E3361" s="70" t="s">
        <v>9457</v>
      </c>
      <c r="F3361" s="26" t="s">
        <v>798</v>
      </c>
      <c r="G3361" s="15" t="s">
        <v>798</v>
      </c>
      <c r="H3361" s="14" t="s">
        <v>798</v>
      </c>
      <c r="I3361" s="15" t="s">
        <v>798</v>
      </c>
      <c r="J3361" s="12" t="s">
        <v>9438</v>
      </c>
      <c r="K3361" s="16" t="s">
        <v>3432</v>
      </c>
      <c r="L3361" s="12" t="s">
        <v>800</v>
      </c>
      <c r="M3361" s="16" t="s">
        <v>4398</v>
      </c>
      <c r="N3361" s="19" t="s">
        <v>798</v>
      </c>
      <c r="O3361" s="20" t="s">
        <v>798</v>
      </c>
      <c r="P3361" s="17" t="s">
        <v>802</v>
      </c>
      <c r="Q3361" s="21" t="s">
        <v>8984</v>
      </c>
      <c r="R3361" s="19" t="s">
        <v>798</v>
      </c>
      <c r="S3361" s="20" t="s">
        <v>798</v>
      </c>
      <c r="T3361" s="17" t="s">
        <v>798</v>
      </c>
      <c r="U3361" s="20" t="s">
        <v>798</v>
      </c>
      <c r="V3361" s="26" t="s">
        <v>798</v>
      </c>
      <c r="W3361" s="20" t="s">
        <v>798</v>
      </c>
      <c r="X3361" s="26" t="s">
        <v>798</v>
      </c>
      <c r="Y3361" s="20" t="s">
        <v>798</v>
      </c>
      <c r="Z3361" s="69" t="s">
        <v>9486</v>
      </c>
      <c r="AA3361" s="72" t="s">
        <v>9476</v>
      </c>
      <c r="AB3361" s="73" t="s">
        <v>9486</v>
      </c>
      <c r="AC3361" s="74" t="s">
        <v>9562</v>
      </c>
      <c r="AD3361" s="73" t="s">
        <v>9578</v>
      </c>
      <c r="AE3361" s="74" t="s">
        <v>9579</v>
      </c>
    </row>
    <row r="3362" spans="1:31" ht="8.65" customHeight="1" x14ac:dyDescent="0.2">
      <c r="A3362" s="76">
        <v>3362</v>
      </c>
      <c r="B3362" s="67" t="str">
        <f>MID(C3362, FIND("Ifc.", C3362) + 4, 4) &amp; "_" &amp; TEXT(COUNTIF($C$2:C3362, C3362),"0000")</f>
        <v>Enti_0495</v>
      </c>
      <c r="C3362" s="25" t="s">
        <v>874</v>
      </c>
      <c r="D3362" s="69" t="s">
        <v>9453</v>
      </c>
      <c r="E3362" s="70" t="s">
        <v>9457</v>
      </c>
      <c r="F3362" s="26" t="s">
        <v>798</v>
      </c>
      <c r="G3362" s="15" t="s">
        <v>798</v>
      </c>
      <c r="H3362" s="14" t="s">
        <v>798</v>
      </c>
      <c r="I3362" s="15" t="s">
        <v>798</v>
      </c>
      <c r="J3362" s="12" t="s">
        <v>9438</v>
      </c>
      <c r="K3362" s="16" t="s">
        <v>3433</v>
      </c>
      <c r="L3362" s="12" t="s">
        <v>800</v>
      </c>
      <c r="M3362" s="16" t="s">
        <v>4399</v>
      </c>
      <c r="N3362" s="19" t="s">
        <v>798</v>
      </c>
      <c r="O3362" s="20" t="s">
        <v>798</v>
      </c>
      <c r="P3362" s="17" t="s">
        <v>802</v>
      </c>
      <c r="Q3362" s="21" t="s">
        <v>8985</v>
      </c>
      <c r="R3362" s="19" t="s">
        <v>798</v>
      </c>
      <c r="S3362" s="20" t="s">
        <v>798</v>
      </c>
      <c r="T3362" s="17" t="s">
        <v>798</v>
      </c>
      <c r="U3362" s="20" t="s">
        <v>798</v>
      </c>
      <c r="V3362" s="26" t="s">
        <v>798</v>
      </c>
      <c r="W3362" s="20" t="s">
        <v>798</v>
      </c>
      <c r="X3362" s="26" t="s">
        <v>798</v>
      </c>
      <c r="Y3362" s="20" t="s">
        <v>798</v>
      </c>
      <c r="Z3362" s="69" t="s">
        <v>9486</v>
      </c>
      <c r="AA3362" s="72" t="s">
        <v>9488</v>
      </c>
      <c r="AB3362" s="73" t="s">
        <v>9486</v>
      </c>
      <c r="AC3362" s="74" t="s">
        <v>9562</v>
      </c>
      <c r="AD3362" s="73" t="s">
        <v>9578</v>
      </c>
      <c r="AE3362" s="74" t="s">
        <v>9579</v>
      </c>
    </row>
    <row r="3363" spans="1:31" ht="8.65" customHeight="1" x14ac:dyDescent="0.2">
      <c r="A3363" s="76">
        <v>3363</v>
      </c>
      <c r="B3363" s="67" t="str">
        <f>MID(C3363, FIND("Ifc.", C3363) + 4, 4) &amp; "_" &amp; TEXT(COUNTIF($C$2:C3363, C3363),"0000")</f>
        <v>Enti_0496</v>
      </c>
      <c r="C3363" s="25" t="s">
        <v>874</v>
      </c>
      <c r="D3363" s="69" t="s">
        <v>9453</v>
      </c>
      <c r="E3363" s="70" t="s">
        <v>9457</v>
      </c>
      <c r="F3363" s="26" t="s">
        <v>798</v>
      </c>
      <c r="G3363" s="15" t="s">
        <v>798</v>
      </c>
      <c r="H3363" s="14" t="s">
        <v>798</v>
      </c>
      <c r="I3363" s="15" t="s">
        <v>798</v>
      </c>
      <c r="J3363" s="12" t="s">
        <v>9438</v>
      </c>
      <c r="K3363" s="16" t="s">
        <v>3434</v>
      </c>
      <c r="L3363" s="12" t="s">
        <v>800</v>
      </c>
      <c r="M3363" s="16" t="s">
        <v>4400</v>
      </c>
      <c r="N3363" s="19" t="s">
        <v>798</v>
      </c>
      <c r="O3363" s="20" t="s">
        <v>798</v>
      </c>
      <c r="P3363" s="17" t="s">
        <v>802</v>
      </c>
      <c r="Q3363" s="21" t="s">
        <v>8986</v>
      </c>
      <c r="R3363" s="19" t="s">
        <v>798</v>
      </c>
      <c r="S3363" s="20" t="s">
        <v>798</v>
      </c>
      <c r="T3363" s="17" t="s">
        <v>798</v>
      </c>
      <c r="U3363" s="20" t="s">
        <v>798</v>
      </c>
      <c r="V3363" s="26" t="s">
        <v>798</v>
      </c>
      <c r="W3363" s="20" t="s">
        <v>798</v>
      </c>
      <c r="X3363" s="26" t="s">
        <v>798</v>
      </c>
      <c r="Y3363" s="20" t="s">
        <v>798</v>
      </c>
      <c r="Z3363" s="69" t="s">
        <v>9486</v>
      </c>
      <c r="AA3363" s="72" t="s">
        <v>9476</v>
      </c>
      <c r="AB3363" s="73" t="s">
        <v>9486</v>
      </c>
      <c r="AC3363" s="74" t="s">
        <v>9566</v>
      </c>
      <c r="AD3363" s="73" t="s">
        <v>9578</v>
      </c>
      <c r="AE3363" s="74" t="s">
        <v>9579</v>
      </c>
    </row>
    <row r="3364" spans="1:31" ht="8.65" customHeight="1" x14ac:dyDescent="0.2">
      <c r="A3364" s="76">
        <v>3364</v>
      </c>
      <c r="B3364" s="67" t="str">
        <f>MID(C3364, FIND("Ifc.", C3364) + 4, 4) &amp; "_" &amp; TEXT(COUNTIF($C$2:C3364, C3364),"0000")</f>
        <v>Enti_0497</v>
      </c>
      <c r="C3364" s="25" t="s">
        <v>874</v>
      </c>
      <c r="D3364" s="69" t="s">
        <v>9453</v>
      </c>
      <c r="E3364" s="70" t="s">
        <v>9457</v>
      </c>
      <c r="F3364" s="26" t="s">
        <v>798</v>
      </c>
      <c r="G3364" s="15" t="s">
        <v>798</v>
      </c>
      <c r="H3364" s="14" t="s">
        <v>798</v>
      </c>
      <c r="I3364" s="15" t="s">
        <v>798</v>
      </c>
      <c r="J3364" s="12" t="s">
        <v>9438</v>
      </c>
      <c r="K3364" s="16" t="s">
        <v>3435</v>
      </c>
      <c r="L3364" s="12" t="s">
        <v>800</v>
      </c>
      <c r="M3364" s="16" t="s">
        <v>4401</v>
      </c>
      <c r="N3364" s="19" t="s">
        <v>798</v>
      </c>
      <c r="O3364" s="20" t="s">
        <v>798</v>
      </c>
      <c r="P3364" s="17" t="s">
        <v>802</v>
      </c>
      <c r="Q3364" s="21" t="s">
        <v>8987</v>
      </c>
      <c r="R3364" s="19" t="s">
        <v>798</v>
      </c>
      <c r="S3364" s="20" t="s">
        <v>798</v>
      </c>
      <c r="T3364" s="17" t="s">
        <v>798</v>
      </c>
      <c r="U3364" s="20" t="s">
        <v>798</v>
      </c>
      <c r="V3364" s="26" t="s">
        <v>798</v>
      </c>
      <c r="W3364" s="20" t="s">
        <v>798</v>
      </c>
      <c r="X3364" s="26" t="s">
        <v>798</v>
      </c>
      <c r="Y3364" s="20" t="s">
        <v>798</v>
      </c>
      <c r="Z3364" s="69" t="s">
        <v>9486</v>
      </c>
      <c r="AA3364" s="72" t="s">
        <v>9477</v>
      </c>
      <c r="AB3364" s="73" t="s">
        <v>9486</v>
      </c>
      <c r="AC3364" s="74" t="s">
        <v>9566</v>
      </c>
      <c r="AD3364" s="73" t="s">
        <v>9578</v>
      </c>
      <c r="AE3364" s="74" t="s">
        <v>9579</v>
      </c>
    </row>
    <row r="3365" spans="1:31" ht="8.65" customHeight="1" x14ac:dyDescent="0.2">
      <c r="A3365" s="76">
        <v>3365</v>
      </c>
      <c r="B3365" s="67" t="str">
        <f>MID(C3365, FIND("Ifc.", C3365) + 4, 4) &amp; "_" &amp; TEXT(COUNTIF($C$2:C3365, C3365),"0000")</f>
        <v>Enti_0498</v>
      </c>
      <c r="C3365" s="25" t="s">
        <v>874</v>
      </c>
      <c r="D3365" s="69" t="s">
        <v>9453</v>
      </c>
      <c r="E3365" s="70" t="s">
        <v>9457</v>
      </c>
      <c r="F3365" s="26" t="s">
        <v>798</v>
      </c>
      <c r="G3365" s="15" t="s">
        <v>798</v>
      </c>
      <c r="H3365" s="14" t="s">
        <v>798</v>
      </c>
      <c r="I3365" s="15" t="s">
        <v>798</v>
      </c>
      <c r="J3365" s="12" t="s">
        <v>9438</v>
      </c>
      <c r="K3365" s="16" t="s">
        <v>3436</v>
      </c>
      <c r="L3365" s="12" t="s">
        <v>800</v>
      </c>
      <c r="M3365" s="16" t="s">
        <v>4402</v>
      </c>
      <c r="N3365" s="19" t="s">
        <v>798</v>
      </c>
      <c r="O3365" s="20" t="s">
        <v>798</v>
      </c>
      <c r="P3365" s="17" t="s">
        <v>802</v>
      </c>
      <c r="Q3365" s="21" t="s">
        <v>8988</v>
      </c>
      <c r="R3365" s="19" t="s">
        <v>798</v>
      </c>
      <c r="S3365" s="20" t="s">
        <v>798</v>
      </c>
      <c r="T3365" s="17" t="s">
        <v>798</v>
      </c>
      <c r="U3365" s="20" t="s">
        <v>798</v>
      </c>
      <c r="V3365" s="26" t="s">
        <v>798</v>
      </c>
      <c r="W3365" s="20" t="s">
        <v>798</v>
      </c>
      <c r="X3365" s="26" t="s">
        <v>798</v>
      </c>
      <c r="Y3365" s="20" t="s">
        <v>798</v>
      </c>
      <c r="Z3365" s="69" t="s">
        <v>9486</v>
      </c>
      <c r="AA3365" s="72" t="s">
        <v>9476</v>
      </c>
      <c r="AB3365" s="73" t="s">
        <v>9486</v>
      </c>
      <c r="AC3365" s="74" t="s">
        <v>9566</v>
      </c>
      <c r="AD3365" s="73" t="s">
        <v>9578</v>
      </c>
      <c r="AE3365" s="74" t="s">
        <v>9579</v>
      </c>
    </row>
    <row r="3366" spans="1:31" ht="8.65" customHeight="1" x14ac:dyDescent="0.2">
      <c r="A3366" s="76">
        <v>3366</v>
      </c>
      <c r="B3366" s="67" t="str">
        <f>MID(C3366, FIND("Ifc.", C3366) + 4, 4) &amp; "_" &amp; TEXT(COUNTIF($C$2:C3366, C3366),"0000")</f>
        <v>Enti_0499</v>
      </c>
      <c r="C3366" s="25" t="s">
        <v>874</v>
      </c>
      <c r="D3366" s="69" t="s">
        <v>9453</v>
      </c>
      <c r="E3366" s="70" t="s">
        <v>9457</v>
      </c>
      <c r="F3366" s="26" t="s">
        <v>798</v>
      </c>
      <c r="G3366" s="15" t="s">
        <v>798</v>
      </c>
      <c r="H3366" s="14" t="s">
        <v>798</v>
      </c>
      <c r="I3366" s="15" t="s">
        <v>798</v>
      </c>
      <c r="J3366" s="12" t="s">
        <v>9438</v>
      </c>
      <c r="K3366" s="16" t="s">
        <v>3437</v>
      </c>
      <c r="L3366" s="12" t="s">
        <v>800</v>
      </c>
      <c r="M3366" s="16" t="s">
        <v>4403</v>
      </c>
      <c r="N3366" s="19" t="s">
        <v>798</v>
      </c>
      <c r="O3366" s="20" t="s">
        <v>798</v>
      </c>
      <c r="P3366" s="17" t="s">
        <v>802</v>
      </c>
      <c r="Q3366" s="21" t="s">
        <v>8989</v>
      </c>
      <c r="R3366" s="19" t="s">
        <v>798</v>
      </c>
      <c r="S3366" s="20" t="s">
        <v>798</v>
      </c>
      <c r="T3366" s="17" t="s">
        <v>798</v>
      </c>
      <c r="U3366" s="20" t="s">
        <v>798</v>
      </c>
      <c r="V3366" s="26" t="s">
        <v>798</v>
      </c>
      <c r="W3366" s="20" t="s">
        <v>798</v>
      </c>
      <c r="X3366" s="26" t="s">
        <v>798</v>
      </c>
      <c r="Y3366" s="20" t="s">
        <v>798</v>
      </c>
      <c r="Z3366" s="69" t="s">
        <v>9486</v>
      </c>
      <c r="AA3366" s="72" t="s">
        <v>9477</v>
      </c>
      <c r="AB3366" s="73" t="s">
        <v>9486</v>
      </c>
      <c r="AC3366" s="74" t="s">
        <v>9566</v>
      </c>
      <c r="AD3366" s="73" t="s">
        <v>9578</v>
      </c>
      <c r="AE3366" s="74" t="s">
        <v>9579</v>
      </c>
    </row>
    <row r="3367" spans="1:31" ht="8.65" customHeight="1" x14ac:dyDescent="0.2">
      <c r="A3367" s="76">
        <v>3367</v>
      </c>
      <c r="B3367" s="67" t="str">
        <f>MID(C3367, FIND("Ifc.", C3367) + 4, 4) &amp; "_" &amp; TEXT(COUNTIF($C$2:C3367, C3367),"0000")</f>
        <v>Enti_0500</v>
      </c>
      <c r="C3367" s="25" t="s">
        <v>874</v>
      </c>
      <c r="D3367" s="69" t="s">
        <v>9453</v>
      </c>
      <c r="E3367" s="70" t="s">
        <v>9457</v>
      </c>
      <c r="F3367" s="26" t="s">
        <v>798</v>
      </c>
      <c r="G3367" s="15" t="s">
        <v>798</v>
      </c>
      <c r="H3367" s="14" t="s">
        <v>798</v>
      </c>
      <c r="I3367" s="15" t="s">
        <v>798</v>
      </c>
      <c r="J3367" s="12" t="s">
        <v>9438</v>
      </c>
      <c r="K3367" s="16" t="s">
        <v>3438</v>
      </c>
      <c r="L3367" s="12" t="s">
        <v>800</v>
      </c>
      <c r="M3367" s="16" t="s">
        <v>4404</v>
      </c>
      <c r="N3367" s="19" t="s">
        <v>798</v>
      </c>
      <c r="O3367" s="20" t="s">
        <v>798</v>
      </c>
      <c r="P3367" s="17" t="s">
        <v>802</v>
      </c>
      <c r="Q3367" s="21" t="s">
        <v>8990</v>
      </c>
      <c r="R3367" s="19" t="s">
        <v>798</v>
      </c>
      <c r="S3367" s="20" t="s">
        <v>798</v>
      </c>
      <c r="T3367" s="17" t="s">
        <v>798</v>
      </c>
      <c r="U3367" s="20" t="s">
        <v>798</v>
      </c>
      <c r="V3367" s="26" t="s">
        <v>798</v>
      </c>
      <c r="W3367" s="20" t="s">
        <v>798</v>
      </c>
      <c r="X3367" s="26" t="s">
        <v>798</v>
      </c>
      <c r="Y3367" s="20" t="s">
        <v>798</v>
      </c>
      <c r="Z3367" s="69" t="s">
        <v>9486</v>
      </c>
      <c r="AA3367" s="72" t="s">
        <v>9476</v>
      </c>
      <c r="AB3367" s="73" t="s">
        <v>9486</v>
      </c>
      <c r="AC3367" s="74" t="s">
        <v>9566</v>
      </c>
      <c r="AD3367" s="73" t="s">
        <v>9578</v>
      </c>
      <c r="AE3367" s="74" t="s">
        <v>9579</v>
      </c>
    </row>
    <row r="3368" spans="1:31" ht="8.65" customHeight="1" x14ac:dyDescent="0.2">
      <c r="A3368" s="76">
        <v>3368</v>
      </c>
      <c r="B3368" s="67" t="str">
        <f>MID(C3368, FIND("Ifc.", C3368) + 4, 4) &amp; "_" &amp; TEXT(COUNTIF($C$2:C3368, C3368),"0000")</f>
        <v>Enti_0501</v>
      </c>
      <c r="C3368" s="25" t="s">
        <v>874</v>
      </c>
      <c r="D3368" s="69" t="s">
        <v>9453</v>
      </c>
      <c r="E3368" s="70" t="s">
        <v>9457</v>
      </c>
      <c r="F3368" s="26" t="s">
        <v>798</v>
      </c>
      <c r="G3368" s="15" t="s">
        <v>798</v>
      </c>
      <c r="H3368" s="14" t="s">
        <v>798</v>
      </c>
      <c r="I3368" s="15" t="s">
        <v>798</v>
      </c>
      <c r="J3368" s="12" t="s">
        <v>9438</v>
      </c>
      <c r="K3368" s="16" t="s">
        <v>3439</v>
      </c>
      <c r="L3368" s="12" t="s">
        <v>800</v>
      </c>
      <c r="M3368" s="16" t="s">
        <v>4405</v>
      </c>
      <c r="N3368" s="19" t="s">
        <v>798</v>
      </c>
      <c r="O3368" s="20" t="s">
        <v>798</v>
      </c>
      <c r="P3368" s="17" t="s">
        <v>802</v>
      </c>
      <c r="Q3368" s="21" t="s">
        <v>8991</v>
      </c>
      <c r="R3368" s="19" t="s">
        <v>798</v>
      </c>
      <c r="S3368" s="20" t="s">
        <v>798</v>
      </c>
      <c r="T3368" s="17" t="s">
        <v>798</v>
      </c>
      <c r="U3368" s="20" t="s">
        <v>798</v>
      </c>
      <c r="V3368" s="26" t="s">
        <v>798</v>
      </c>
      <c r="W3368" s="20" t="s">
        <v>798</v>
      </c>
      <c r="X3368" s="26" t="s">
        <v>798</v>
      </c>
      <c r="Y3368" s="20" t="s">
        <v>798</v>
      </c>
      <c r="Z3368" s="69" t="s">
        <v>9486</v>
      </c>
      <c r="AA3368" s="72" t="s">
        <v>9477</v>
      </c>
      <c r="AB3368" s="73" t="s">
        <v>9486</v>
      </c>
      <c r="AC3368" s="74" t="s">
        <v>9566</v>
      </c>
      <c r="AD3368" s="73" t="s">
        <v>9578</v>
      </c>
      <c r="AE3368" s="74" t="s">
        <v>9579</v>
      </c>
    </row>
    <row r="3369" spans="1:31" ht="8.65" customHeight="1" x14ac:dyDescent="0.2">
      <c r="A3369" s="76">
        <v>3369</v>
      </c>
      <c r="B3369" s="67" t="str">
        <f>MID(C3369, FIND("Ifc.", C3369) + 4, 4) &amp; "_" &amp; TEXT(COUNTIF($C$2:C3369, C3369),"0000")</f>
        <v>Enti_0502</v>
      </c>
      <c r="C3369" s="25" t="s">
        <v>874</v>
      </c>
      <c r="D3369" s="69" t="s">
        <v>9453</v>
      </c>
      <c r="E3369" s="70" t="s">
        <v>9457</v>
      </c>
      <c r="F3369" s="26" t="s">
        <v>798</v>
      </c>
      <c r="G3369" s="15" t="s">
        <v>798</v>
      </c>
      <c r="H3369" s="14" t="s">
        <v>798</v>
      </c>
      <c r="I3369" s="15" t="s">
        <v>798</v>
      </c>
      <c r="J3369" s="12" t="s">
        <v>9438</v>
      </c>
      <c r="K3369" s="16" t="s">
        <v>3440</v>
      </c>
      <c r="L3369" s="12" t="s">
        <v>800</v>
      </c>
      <c r="M3369" s="16" t="s">
        <v>4406</v>
      </c>
      <c r="N3369" s="19" t="s">
        <v>798</v>
      </c>
      <c r="O3369" s="20" t="s">
        <v>798</v>
      </c>
      <c r="P3369" s="17" t="s">
        <v>802</v>
      </c>
      <c r="Q3369" s="21" t="s">
        <v>8992</v>
      </c>
      <c r="R3369" s="19" t="s">
        <v>798</v>
      </c>
      <c r="S3369" s="20" t="s">
        <v>798</v>
      </c>
      <c r="T3369" s="17" t="s">
        <v>798</v>
      </c>
      <c r="U3369" s="20" t="s">
        <v>798</v>
      </c>
      <c r="V3369" s="26" t="s">
        <v>798</v>
      </c>
      <c r="W3369" s="20" t="s">
        <v>798</v>
      </c>
      <c r="X3369" s="26" t="s">
        <v>798</v>
      </c>
      <c r="Y3369" s="20" t="s">
        <v>798</v>
      </c>
      <c r="Z3369" s="69" t="s">
        <v>9486</v>
      </c>
      <c r="AA3369" s="72" t="s">
        <v>9476</v>
      </c>
      <c r="AB3369" s="73" t="s">
        <v>9486</v>
      </c>
      <c r="AC3369" s="74" t="s">
        <v>9562</v>
      </c>
      <c r="AD3369" s="73" t="s">
        <v>9578</v>
      </c>
      <c r="AE3369" s="74" t="s">
        <v>9579</v>
      </c>
    </row>
    <row r="3370" spans="1:31" ht="8.65" customHeight="1" x14ac:dyDescent="0.2">
      <c r="A3370" s="76">
        <v>3370</v>
      </c>
      <c r="B3370" s="67" t="str">
        <f>MID(C3370, FIND("Ifc.", C3370) + 4, 4) &amp; "_" &amp; TEXT(COUNTIF($C$2:C3370, C3370),"0000")</f>
        <v>Enti_0503</v>
      </c>
      <c r="C3370" s="25" t="s">
        <v>874</v>
      </c>
      <c r="D3370" s="69" t="s">
        <v>9453</v>
      </c>
      <c r="E3370" s="70" t="s">
        <v>9457</v>
      </c>
      <c r="F3370" s="26" t="s">
        <v>798</v>
      </c>
      <c r="G3370" s="15" t="s">
        <v>798</v>
      </c>
      <c r="H3370" s="14" t="s">
        <v>798</v>
      </c>
      <c r="I3370" s="15" t="s">
        <v>798</v>
      </c>
      <c r="J3370" s="12" t="s">
        <v>9438</v>
      </c>
      <c r="K3370" s="16" t="s">
        <v>3441</v>
      </c>
      <c r="L3370" s="12" t="s">
        <v>800</v>
      </c>
      <c r="M3370" s="16" t="s">
        <v>4407</v>
      </c>
      <c r="N3370" s="19" t="s">
        <v>798</v>
      </c>
      <c r="O3370" s="20" t="s">
        <v>798</v>
      </c>
      <c r="P3370" s="17" t="s">
        <v>802</v>
      </c>
      <c r="Q3370" s="21" t="s">
        <v>8993</v>
      </c>
      <c r="R3370" s="19" t="s">
        <v>798</v>
      </c>
      <c r="S3370" s="20" t="s">
        <v>798</v>
      </c>
      <c r="T3370" s="17" t="s">
        <v>798</v>
      </c>
      <c r="U3370" s="20" t="s">
        <v>798</v>
      </c>
      <c r="V3370" s="26" t="s">
        <v>798</v>
      </c>
      <c r="W3370" s="20" t="s">
        <v>798</v>
      </c>
      <c r="X3370" s="26" t="s">
        <v>798</v>
      </c>
      <c r="Y3370" s="20" t="s">
        <v>798</v>
      </c>
      <c r="Z3370" s="69" t="s">
        <v>9486</v>
      </c>
      <c r="AA3370" s="72" t="s">
        <v>9480</v>
      </c>
      <c r="AB3370" s="73" t="s">
        <v>9486</v>
      </c>
      <c r="AC3370" s="74" t="s">
        <v>9562</v>
      </c>
      <c r="AD3370" s="73" t="s">
        <v>9578</v>
      </c>
      <c r="AE3370" s="74" t="s">
        <v>9579</v>
      </c>
    </row>
    <row r="3371" spans="1:31" ht="8.65" customHeight="1" x14ac:dyDescent="0.2">
      <c r="A3371" s="76">
        <v>3371</v>
      </c>
      <c r="B3371" s="67" t="str">
        <f>MID(C3371, FIND("Ifc.", C3371) + 4, 4) &amp; "_" &amp; TEXT(COUNTIF($C$2:C3371, C3371),"0000")</f>
        <v>Enti_0504</v>
      </c>
      <c r="C3371" s="25" t="s">
        <v>874</v>
      </c>
      <c r="D3371" s="69" t="s">
        <v>9453</v>
      </c>
      <c r="E3371" s="70" t="s">
        <v>9457</v>
      </c>
      <c r="F3371" s="26" t="s">
        <v>798</v>
      </c>
      <c r="G3371" s="15" t="s">
        <v>798</v>
      </c>
      <c r="H3371" s="14" t="s">
        <v>798</v>
      </c>
      <c r="I3371" s="15" t="s">
        <v>798</v>
      </c>
      <c r="J3371" s="12" t="s">
        <v>9438</v>
      </c>
      <c r="K3371" s="16" t="s">
        <v>3442</v>
      </c>
      <c r="L3371" s="12" t="s">
        <v>800</v>
      </c>
      <c r="M3371" s="16" t="s">
        <v>4408</v>
      </c>
      <c r="N3371" s="19" t="s">
        <v>798</v>
      </c>
      <c r="O3371" s="20" t="s">
        <v>798</v>
      </c>
      <c r="P3371" s="17" t="s">
        <v>802</v>
      </c>
      <c r="Q3371" s="21" t="s">
        <v>8994</v>
      </c>
      <c r="R3371" s="19" t="s">
        <v>798</v>
      </c>
      <c r="S3371" s="20" t="s">
        <v>798</v>
      </c>
      <c r="T3371" s="17" t="s">
        <v>798</v>
      </c>
      <c r="U3371" s="20" t="s">
        <v>798</v>
      </c>
      <c r="V3371" s="26" t="s">
        <v>798</v>
      </c>
      <c r="W3371" s="20" t="s">
        <v>798</v>
      </c>
      <c r="X3371" s="26" t="s">
        <v>798</v>
      </c>
      <c r="Y3371" s="20" t="s">
        <v>798</v>
      </c>
      <c r="Z3371" s="69" t="s">
        <v>9486</v>
      </c>
      <c r="AA3371" s="72" t="s">
        <v>9476</v>
      </c>
      <c r="AB3371" s="73" t="s">
        <v>9486</v>
      </c>
      <c r="AC3371" s="74" t="s">
        <v>9562</v>
      </c>
      <c r="AD3371" s="73" t="s">
        <v>9578</v>
      </c>
      <c r="AE3371" s="74" t="s">
        <v>9579</v>
      </c>
    </row>
    <row r="3372" spans="1:31" ht="8.65" customHeight="1" x14ac:dyDescent="0.2">
      <c r="A3372" s="76">
        <v>3372</v>
      </c>
      <c r="B3372" s="67" t="str">
        <f>MID(C3372, FIND("Ifc.", C3372) + 4, 4) &amp; "_" &amp; TEXT(COUNTIF($C$2:C3372, C3372),"0000")</f>
        <v>Enti_0505</v>
      </c>
      <c r="C3372" s="25" t="s">
        <v>874</v>
      </c>
      <c r="D3372" s="69" t="s">
        <v>9453</v>
      </c>
      <c r="E3372" s="70" t="s">
        <v>9457</v>
      </c>
      <c r="F3372" s="26" t="s">
        <v>798</v>
      </c>
      <c r="G3372" s="15" t="s">
        <v>798</v>
      </c>
      <c r="H3372" s="14" t="s">
        <v>798</v>
      </c>
      <c r="I3372" s="15" t="s">
        <v>798</v>
      </c>
      <c r="J3372" s="12" t="s">
        <v>9438</v>
      </c>
      <c r="K3372" s="16" t="s">
        <v>3443</v>
      </c>
      <c r="L3372" s="12" t="s">
        <v>800</v>
      </c>
      <c r="M3372" s="16" t="s">
        <v>4409</v>
      </c>
      <c r="N3372" s="19" t="s">
        <v>798</v>
      </c>
      <c r="O3372" s="20" t="s">
        <v>798</v>
      </c>
      <c r="P3372" s="17" t="s">
        <v>802</v>
      </c>
      <c r="Q3372" s="21" t="s">
        <v>8995</v>
      </c>
      <c r="R3372" s="19" t="s">
        <v>798</v>
      </c>
      <c r="S3372" s="20" t="s">
        <v>798</v>
      </c>
      <c r="T3372" s="17" t="s">
        <v>798</v>
      </c>
      <c r="U3372" s="20" t="s">
        <v>798</v>
      </c>
      <c r="V3372" s="26" t="s">
        <v>798</v>
      </c>
      <c r="W3372" s="20" t="s">
        <v>798</v>
      </c>
      <c r="X3372" s="26" t="s">
        <v>798</v>
      </c>
      <c r="Y3372" s="20" t="s">
        <v>798</v>
      </c>
      <c r="Z3372" s="69" t="s">
        <v>9486</v>
      </c>
      <c r="AA3372" s="72" t="s">
        <v>9476</v>
      </c>
      <c r="AB3372" s="73" t="s">
        <v>9486</v>
      </c>
      <c r="AC3372" s="74" t="s">
        <v>9562</v>
      </c>
      <c r="AD3372" s="73" t="s">
        <v>9578</v>
      </c>
      <c r="AE3372" s="74" t="s">
        <v>9579</v>
      </c>
    </row>
    <row r="3373" spans="1:31" ht="8.65" customHeight="1" x14ac:dyDescent="0.2">
      <c r="A3373" s="76">
        <v>3373</v>
      </c>
      <c r="B3373" s="67" t="str">
        <f>MID(C3373, FIND("Ifc.", C3373) + 4, 4) &amp; "_" &amp; TEXT(COUNTIF($C$2:C3373, C3373),"0000")</f>
        <v>Enti_0506</v>
      </c>
      <c r="C3373" s="25" t="s">
        <v>874</v>
      </c>
      <c r="D3373" s="69" t="s">
        <v>9453</v>
      </c>
      <c r="E3373" s="70" t="s">
        <v>9457</v>
      </c>
      <c r="F3373" s="26" t="s">
        <v>798</v>
      </c>
      <c r="G3373" s="15" t="s">
        <v>798</v>
      </c>
      <c r="H3373" s="14" t="s">
        <v>798</v>
      </c>
      <c r="I3373" s="15" t="s">
        <v>798</v>
      </c>
      <c r="J3373" s="12" t="s">
        <v>9438</v>
      </c>
      <c r="K3373" s="16" t="s">
        <v>3444</v>
      </c>
      <c r="L3373" s="12" t="s">
        <v>800</v>
      </c>
      <c r="M3373" s="16" t="s">
        <v>4410</v>
      </c>
      <c r="N3373" s="19" t="s">
        <v>798</v>
      </c>
      <c r="O3373" s="20" t="s">
        <v>798</v>
      </c>
      <c r="P3373" s="17" t="s">
        <v>802</v>
      </c>
      <c r="Q3373" s="21" t="s">
        <v>8996</v>
      </c>
      <c r="R3373" s="19" t="s">
        <v>798</v>
      </c>
      <c r="S3373" s="20" t="s">
        <v>798</v>
      </c>
      <c r="T3373" s="17" t="s">
        <v>798</v>
      </c>
      <c r="U3373" s="20" t="s">
        <v>798</v>
      </c>
      <c r="V3373" s="26" t="s">
        <v>798</v>
      </c>
      <c r="W3373" s="20" t="s">
        <v>798</v>
      </c>
      <c r="X3373" s="26" t="s">
        <v>798</v>
      </c>
      <c r="Y3373" s="20" t="s">
        <v>798</v>
      </c>
      <c r="Z3373" s="69" t="s">
        <v>9486</v>
      </c>
      <c r="AA3373" s="72" t="s">
        <v>9476</v>
      </c>
      <c r="AB3373" s="73" t="s">
        <v>9486</v>
      </c>
      <c r="AC3373" s="74" t="s">
        <v>9562</v>
      </c>
      <c r="AD3373" s="73" t="s">
        <v>9578</v>
      </c>
      <c r="AE3373" s="74" t="s">
        <v>9579</v>
      </c>
    </row>
    <row r="3374" spans="1:31" ht="8.65" customHeight="1" x14ac:dyDescent="0.2">
      <c r="A3374" s="76">
        <v>3374</v>
      </c>
      <c r="B3374" s="67" t="str">
        <f>MID(C3374, FIND("Ifc.", C3374) + 4, 4) &amp; "_" &amp; TEXT(COUNTIF($C$2:C3374, C3374),"0000")</f>
        <v>Enti_0507</v>
      </c>
      <c r="C3374" s="25" t="s">
        <v>874</v>
      </c>
      <c r="D3374" s="69" t="s">
        <v>9453</v>
      </c>
      <c r="E3374" s="70" t="s">
        <v>9457</v>
      </c>
      <c r="F3374" s="26" t="s">
        <v>798</v>
      </c>
      <c r="G3374" s="15" t="s">
        <v>798</v>
      </c>
      <c r="H3374" s="14" t="s">
        <v>798</v>
      </c>
      <c r="I3374" s="15" t="s">
        <v>798</v>
      </c>
      <c r="J3374" s="12" t="s">
        <v>9438</v>
      </c>
      <c r="K3374" s="16" t="s">
        <v>3445</v>
      </c>
      <c r="L3374" s="12" t="s">
        <v>800</v>
      </c>
      <c r="M3374" s="16" t="s">
        <v>4411</v>
      </c>
      <c r="N3374" s="19" t="s">
        <v>798</v>
      </c>
      <c r="O3374" s="20" t="s">
        <v>798</v>
      </c>
      <c r="P3374" s="17" t="s">
        <v>802</v>
      </c>
      <c r="Q3374" s="21" t="s">
        <v>8997</v>
      </c>
      <c r="R3374" s="19" t="s">
        <v>798</v>
      </c>
      <c r="S3374" s="20" t="s">
        <v>798</v>
      </c>
      <c r="T3374" s="17" t="s">
        <v>798</v>
      </c>
      <c r="U3374" s="20" t="s">
        <v>798</v>
      </c>
      <c r="V3374" s="26" t="s">
        <v>798</v>
      </c>
      <c r="W3374" s="20" t="s">
        <v>798</v>
      </c>
      <c r="X3374" s="26" t="s">
        <v>798</v>
      </c>
      <c r="Y3374" s="20" t="s">
        <v>798</v>
      </c>
      <c r="Z3374" s="69" t="s">
        <v>9486</v>
      </c>
      <c r="AA3374" s="72" t="s">
        <v>9476</v>
      </c>
      <c r="AB3374" s="73" t="s">
        <v>9486</v>
      </c>
      <c r="AC3374" s="74" t="s">
        <v>9562</v>
      </c>
      <c r="AD3374" s="73" t="s">
        <v>9578</v>
      </c>
      <c r="AE3374" s="74" t="s">
        <v>9579</v>
      </c>
    </row>
    <row r="3375" spans="1:31" ht="8.65" customHeight="1" x14ac:dyDescent="0.2">
      <c r="A3375" s="76">
        <v>3375</v>
      </c>
      <c r="B3375" s="67" t="str">
        <f>MID(C3375, FIND("Ifc.", C3375) + 4, 4) &amp; "_" &amp; TEXT(COUNTIF($C$2:C3375, C3375),"0000")</f>
        <v>Enti_0508</v>
      </c>
      <c r="C3375" s="25" t="s">
        <v>874</v>
      </c>
      <c r="D3375" s="69" t="s">
        <v>9453</v>
      </c>
      <c r="E3375" s="70" t="s">
        <v>9457</v>
      </c>
      <c r="F3375" s="26" t="s">
        <v>798</v>
      </c>
      <c r="G3375" s="15" t="s">
        <v>798</v>
      </c>
      <c r="H3375" s="14" t="s">
        <v>798</v>
      </c>
      <c r="I3375" s="15" t="s">
        <v>798</v>
      </c>
      <c r="J3375" s="12" t="s">
        <v>9438</v>
      </c>
      <c r="K3375" s="16" t="s">
        <v>3446</v>
      </c>
      <c r="L3375" s="12" t="s">
        <v>800</v>
      </c>
      <c r="M3375" s="16" t="s">
        <v>4412</v>
      </c>
      <c r="N3375" s="19" t="s">
        <v>798</v>
      </c>
      <c r="O3375" s="20" t="s">
        <v>798</v>
      </c>
      <c r="P3375" s="17" t="s">
        <v>802</v>
      </c>
      <c r="Q3375" s="21" t="s">
        <v>8998</v>
      </c>
      <c r="R3375" s="19" t="s">
        <v>798</v>
      </c>
      <c r="S3375" s="20" t="s">
        <v>798</v>
      </c>
      <c r="T3375" s="17" t="s">
        <v>798</v>
      </c>
      <c r="U3375" s="20" t="s">
        <v>798</v>
      </c>
      <c r="V3375" s="26" t="s">
        <v>798</v>
      </c>
      <c r="W3375" s="20" t="s">
        <v>798</v>
      </c>
      <c r="X3375" s="26" t="s">
        <v>798</v>
      </c>
      <c r="Y3375" s="20" t="s">
        <v>798</v>
      </c>
      <c r="Z3375" s="69" t="s">
        <v>9486</v>
      </c>
      <c r="AA3375" s="72" t="s">
        <v>9476</v>
      </c>
      <c r="AB3375" s="73" t="s">
        <v>9486</v>
      </c>
      <c r="AC3375" s="74" t="s">
        <v>9566</v>
      </c>
      <c r="AD3375" s="73" t="s">
        <v>9578</v>
      </c>
      <c r="AE3375" s="74" t="s">
        <v>9579</v>
      </c>
    </row>
    <row r="3376" spans="1:31" ht="8.65" customHeight="1" x14ac:dyDescent="0.2">
      <c r="A3376" s="76">
        <v>3376</v>
      </c>
      <c r="B3376" s="67" t="str">
        <f>MID(C3376, FIND("Ifc.", C3376) + 4, 4) &amp; "_" &amp; TEXT(COUNTIF($C$2:C3376, C3376),"0000")</f>
        <v>Enti_0509</v>
      </c>
      <c r="C3376" s="25" t="s">
        <v>874</v>
      </c>
      <c r="D3376" s="69" t="s">
        <v>9453</v>
      </c>
      <c r="E3376" s="70" t="s">
        <v>9457</v>
      </c>
      <c r="F3376" s="26" t="s">
        <v>798</v>
      </c>
      <c r="G3376" s="15" t="s">
        <v>798</v>
      </c>
      <c r="H3376" s="14" t="s">
        <v>798</v>
      </c>
      <c r="I3376" s="15" t="s">
        <v>798</v>
      </c>
      <c r="J3376" s="12" t="s">
        <v>9438</v>
      </c>
      <c r="K3376" s="16" t="s">
        <v>3447</v>
      </c>
      <c r="L3376" s="12" t="s">
        <v>800</v>
      </c>
      <c r="M3376" s="16" t="s">
        <v>9570</v>
      </c>
      <c r="N3376" s="19" t="s">
        <v>798</v>
      </c>
      <c r="O3376" s="20" t="s">
        <v>798</v>
      </c>
      <c r="P3376" s="17" t="s">
        <v>802</v>
      </c>
      <c r="Q3376" s="21" t="s">
        <v>8999</v>
      </c>
      <c r="R3376" s="19" t="s">
        <v>798</v>
      </c>
      <c r="S3376" s="20" t="s">
        <v>798</v>
      </c>
      <c r="T3376" s="17" t="s">
        <v>798</v>
      </c>
      <c r="U3376" s="20" t="s">
        <v>798</v>
      </c>
      <c r="V3376" s="26" t="s">
        <v>798</v>
      </c>
      <c r="W3376" s="20" t="s">
        <v>798</v>
      </c>
      <c r="X3376" s="26" t="s">
        <v>798</v>
      </c>
      <c r="Y3376" s="20" t="s">
        <v>798</v>
      </c>
      <c r="Z3376" s="69" t="s">
        <v>9486</v>
      </c>
      <c r="AA3376" s="72" t="s">
        <v>9476</v>
      </c>
      <c r="AB3376" s="73" t="s">
        <v>9486</v>
      </c>
      <c r="AC3376" s="74" t="s">
        <v>9566</v>
      </c>
      <c r="AD3376" s="73" t="s">
        <v>9578</v>
      </c>
      <c r="AE3376" s="74" t="s">
        <v>9679</v>
      </c>
    </row>
    <row r="3377" spans="1:31" ht="8.65" customHeight="1" x14ac:dyDescent="0.2">
      <c r="A3377" s="76">
        <v>3377</v>
      </c>
      <c r="B3377" s="67" t="str">
        <f>MID(C3377, FIND("Ifc.", C3377) + 4, 4) &amp; "_" &amp; TEXT(COUNTIF($C$2:C3377, C3377),"0000")</f>
        <v>Enti_0510</v>
      </c>
      <c r="C3377" s="25" t="s">
        <v>874</v>
      </c>
      <c r="D3377" s="69" t="s">
        <v>9453</v>
      </c>
      <c r="E3377" s="70" t="s">
        <v>9457</v>
      </c>
      <c r="F3377" s="26" t="s">
        <v>798</v>
      </c>
      <c r="G3377" s="15" t="s">
        <v>798</v>
      </c>
      <c r="H3377" s="14" t="s">
        <v>798</v>
      </c>
      <c r="I3377" s="15" t="s">
        <v>798</v>
      </c>
      <c r="J3377" s="12" t="s">
        <v>9438</v>
      </c>
      <c r="K3377" s="16" t="s">
        <v>3448</v>
      </c>
      <c r="L3377" s="12" t="s">
        <v>800</v>
      </c>
      <c r="M3377" s="16" t="s">
        <v>4413</v>
      </c>
      <c r="N3377" s="19" t="s">
        <v>798</v>
      </c>
      <c r="O3377" s="20" t="s">
        <v>798</v>
      </c>
      <c r="P3377" s="17" t="s">
        <v>802</v>
      </c>
      <c r="Q3377" s="21" t="s">
        <v>9000</v>
      </c>
      <c r="R3377" s="19" t="s">
        <v>798</v>
      </c>
      <c r="S3377" s="20" t="s">
        <v>798</v>
      </c>
      <c r="T3377" s="17" t="s">
        <v>798</v>
      </c>
      <c r="U3377" s="20" t="s">
        <v>798</v>
      </c>
      <c r="V3377" s="26" t="s">
        <v>798</v>
      </c>
      <c r="W3377" s="20" t="s">
        <v>798</v>
      </c>
      <c r="X3377" s="26" t="s">
        <v>798</v>
      </c>
      <c r="Y3377" s="20" t="s">
        <v>798</v>
      </c>
      <c r="Z3377" s="69" t="s">
        <v>9486</v>
      </c>
      <c r="AA3377" s="72" t="s">
        <v>9476</v>
      </c>
      <c r="AB3377" s="73" t="s">
        <v>9486</v>
      </c>
      <c r="AC3377" s="74" t="s">
        <v>9566</v>
      </c>
      <c r="AD3377" s="73" t="s">
        <v>9578</v>
      </c>
      <c r="AE3377" s="74" t="s">
        <v>9679</v>
      </c>
    </row>
    <row r="3378" spans="1:31" ht="8.65" customHeight="1" x14ac:dyDescent="0.2">
      <c r="A3378" s="76">
        <v>3378</v>
      </c>
      <c r="B3378" s="67" t="str">
        <f>MID(C3378, FIND("Ifc.", C3378) + 4, 4) &amp; "_" &amp; TEXT(COUNTIF($C$2:C3378, C3378),"0000")</f>
        <v>Enti_0511</v>
      </c>
      <c r="C3378" s="25" t="s">
        <v>874</v>
      </c>
      <c r="D3378" s="69" t="s">
        <v>9453</v>
      </c>
      <c r="E3378" s="70" t="s">
        <v>9457</v>
      </c>
      <c r="F3378" s="26" t="s">
        <v>798</v>
      </c>
      <c r="G3378" s="15" t="s">
        <v>798</v>
      </c>
      <c r="H3378" s="14" t="s">
        <v>798</v>
      </c>
      <c r="I3378" s="15" t="s">
        <v>798</v>
      </c>
      <c r="J3378" s="12" t="s">
        <v>9438</v>
      </c>
      <c r="K3378" s="16" t="s">
        <v>3449</v>
      </c>
      <c r="L3378" s="12" t="s">
        <v>800</v>
      </c>
      <c r="M3378" s="16" t="s">
        <v>4414</v>
      </c>
      <c r="N3378" s="19" t="s">
        <v>798</v>
      </c>
      <c r="O3378" s="20" t="s">
        <v>798</v>
      </c>
      <c r="P3378" s="17" t="s">
        <v>802</v>
      </c>
      <c r="Q3378" s="21" t="s">
        <v>9001</v>
      </c>
      <c r="R3378" s="19" t="s">
        <v>798</v>
      </c>
      <c r="S3378" s="20" t="s">
        <v>798</v>
      </c>
      <c r="T3378" s="17" t="s">
        <v>798</v>
      </c>
      <c r="U3378" s="20" t="s">
        <v>798</v>
      </c>
      <c r="V3378" s="26" t="s">
        <v>798</v>
      </c>
      <c r="W3378" s="20" t="s">
        <v>798</v>
      </c>
      <c r="X3378" s="26" t="s">
        <v>798</v>
      </c>
      <c r="Y3378" s="20" t="s">
        <v>798</v>
      </c>
      <c r="Z3378" s="69" t="s">
        <v>9486</v>
      </c>
      <c r="AA3378" s="72" t="s">
        <v>9477</v>
      </c>
      <c r="AB3378" s="73" t="s">
        <v>9486</v>
      </c>
      <c r="AC3378" s="74" t="s">
        <v>9566</v>
      </c>
      <c r="AD3378" s="73" t="s">
        <v>9578</v>
      </c>
      <c r="AE3378" s="74" t="s">
        <v>9679</v>
      </c>
    </row>
    <row r="3379" spans="1:31" ht="8.65" customHeight="1" x14ac:dyDescent="0.2">
      <c r="A3379" s="76">
        <v>3379</v>
      </c>
      <c r="B3379" s="67" t="str">
        <f>MID(C3379, FIND("Ifc.", C3379) + 4, 4) &amp; "_" &amp; TEXT(COUNTIF($C$2:C3379, C3379),"0000")</f>
        <v>Enti_0512</v>
      </c>
      <c r="C3379" s="25" t="s">
        <v>874</v>
      </c>
      <c r="D3379" s="69" t="s">
        <v>9453</v>
      </c>
      <c r="E3379" s="70" t="s">
        <v>9457</v>
      </c>
      <c r="F3379" s="26" t="s">
        <v>798</v>
      </c>
      <c r="G3379" s="15" t="s">
        <v>798</v>
      </c>
      <c r="H3379" s="14" t="s">
        <v>798</v>
      </c>
      <c r="I3379" s="15" t="s">
        <v>798</v>
      </c>
      <c r="J3379" s="12" t="s">
        <v>9438</v>
      </c>
      <c r="K3379" s="16" t="s">
        <v>3450</v>
      </c>
      <c r="L3379" s="12" t="s">
        <v>800</v>
      </c>
      <c r="M3379" s="16" t="s">
        <v>4415</v>
      </c>
      <c r="N3379" s="19" t="s">
        <v>798</v>
      </c>
      <c r="O3379" s="20" t="s">
        <v>798</v>
      </c>
      <c r="P3379" s="17" t="s">
        <v>802</v>
      </c>
      <c r="Q3379" s="21" t="s">
        <v>9002</v>
      </c>
      <c r="R3379" s="19" t="s">
        <v>798</v>
      </c>
      <c r="S3379" s="20" t="s">
        <v>798</v>
      </c>
      <c r="T3379" s="17" t="s">
        <v>798</v>
      </c>
      <c r="U3379" s="20" t="s">
        <v>798</v>
      </c>
      <c r="V3379" s="26" t="s">
        <v>798</v>
      </c>
      <c r="W3379" s="20" t="s">
        <v>798</v>
      </c>
      <c r="X3379" s="26" t="s">
        <v>798</v>
      </c>
      <c r="Y3379" s="20" t="s">
        <v>798</v>
      </c>
      <c r="Z3379" s="69" t="s">
        <v>9486</v>
      </c>
      <c r="AA3379" s="72" t="s">
        <v>9476</v>
      </c>
      <c r="AB3379" s="73" t="s">
        <v>9486</v>
      </c>
      <c r="AC3379" s="74" t="s">
        <v>9566</v>
      </c>
      <c r="AD3379" s="73" t="s">
        <v>9578</v>
      </c>
      <c r="AE3379" s="74" t="s">
        <v>9679</v>
      </c>
    </row>
    <row r="3380" spans="1:31" ht="8.65" customHeight="1" x14ac:dyDescent="0.2">
      <c r="A3380" s="76">
        <v>3380</v>
      </c>
      <c r="B3380" s="67" t="str">
        <f>MID(C3380, FIND("Ifc.", C3380) + 4, 4) &amp; "_" &amp; TEXT(COUNTIF($C$2:C3380, C3380),"0000")</f>
        <v>Enti_0513</v>
      </c>
      <c r="C3380" s="25" t="s">
        <v>874</v>
      </c>
      <c r="D3380" s="69" t="s">
        <v>9453</v>
      </c>
      <c r="E3380" s="70" t="s">
        <v>9457</v>
      </c>
      <c r="F3380" s="26" t="s">
        <v>798</v>
      </c>
      <c r="G3380" s="15" t="s">
        <v>798</v>
      </c>
      <c r="H3380" s="14" t="s">
        <v>798</v>
      </c>
      <c r="I3380" s="15" t="s">
        <v>798</v>
      </c>
      <c r="J3380" s="12" t="s">
        <v>9438</v>
      </c>
      <c r="K3380" s="16" t="s">
        <v>3451</v>
      </c>
      <c r="L3380" s="12" t="s">
        <v>800</v>
      </c>
      <c r="M3380" s="16" t="s">
        <v>4416</v>
      </c>
      <c r="N3380" s="19" t="s">
        <v>798</v>
      </c>
      <c r="O3380" s="20" t="s">
        <v>798</v>
      </c>
      <c r="P3380" s="17" t="s">
        <v>802</v>
      </c>
      <c r="Q3380" s="21" t="s">
        <v>9003</v>
      </c>
      <c r="R3380" s="19" t="s">
        <v>798</v>
      </c>
      <c r="S3380" s="20" t="s">
        <v>798</v>
      </c>
      <c r="T3380" s="17" t="s">
        <v>798</v>
      </c>
      <c r="U3380" s="20" t="s">
        <v>798</v>
      </c>
      <c r="V3380" s="26" t="s">
        <v>798</v>
      </c>
      <c r="W3380" s="20" t="s">
        <v>798</v>
      </c>
      <c r="X3380" s="26" t="s">
        <v>798</v>
      </c>
      <c r="Y3380" s="20" t="s">
        <v>798</v>
      </c>
      <c r="Z3380" s="69" t="s">
        <v>9486</v>
      </c>
      <c r="AA3380" s="72" t="s">
        <v>9477</v>
      </c>
      <c r="AB3380" s="73" t="s">
        <v>9486</v>
      </c>
      <c r="AC3380" s="74" t="s">
        <v>9566</v>
      </c>
      <c r="AD3380" s="73" t="s">
        <v>9578</v>
      </c>
      <c r="AE3380" s="74" t="s">
        <v>9679</v>
      </c>
    </row>
    <row r="3381" spans="1:31" ht="8.65" customHeight="1" x14ac:dyDescent="0.2">
      <c r="A3381" s="76">
        <v>3381</v>
      </c>
      <c r="B3381" s="67" t="str">
        <f>MID(C3381, FIND("Ifc.", C3381) + 4, 4) &amp; "_" &amp; TEXT(COUNTIF($C$2:C3381, C3381),"0000")</f>
        <v>Enti_0514</v>
      </c>
      <c r="C3381" s="25" t="s">
        <v>874</v>
      </c>
      <c r="D3381" s="69" t="s">
        <v>9453</v>
      </c>
      <c r="E3381" s="70" t="s">
        <v>9457</v>
      </c>
      <c r="F3381" s="26" t="s">
        <v>798</v>
      </c>
      <c r="G3381" s="15" t="s">
        <v>798</v>
      </c>
      <c r="H3381" s="14" t="s">
        <v>798</v>
      </c>
      <c r="I3381" s="15" t="s">
        <v>798</v>
      </c>
      <c r="J3381" s="12" t="s">
        <v>9438</v>
      </c>
      <c r="K3381" s="16" t="s">
        <v>3452</v>
      </c>
      <c r="L3381" s="12" t="s">
        <v>800</v>
      </c>
      <c r="M3381" s="16" t="s">
        <v>4417</v>
      </c>
      <c r="N3381" s="19" t="s">
        <v>798</v>
      </c>
      <c r="O3381" s="20" t="s">
        <v>798</v>
      </c>
      <c r="P3381" s="17" t="s">
        <v>802</v>
      </c>
      <c r="Q3381" s="21" t="s">
        <v>9004</v>
      </c>
      <c r="R3381" s="19" t="s">
        <v>798</v>
      </c>
      <c r="S3381" s="20" t="s">
        <v>798</v>
      </c>
      <c r="T3381" s="17" t="s">
        <v>798</v>
      </c>
      <c r="U3381" s="20" t="s">
        <v>798</v>
      </c>
      <c r="V3381" s="26" t="s">
        <v>798</v>
      </c>
      <c r="W3381" s="20" t="s">
        <v>798</v>
      </c>
      <c r="X3381" s="26" t="s">
        <v>798</v>
      </c>
      <c r="Y3381" s="20" t="s">
        <v>798</v>
      </c>
      <c r="Z3381" s="69" t="s">
        <v>9486</v>
      </c>
      <c r="AA3381" s="72" t="s">
        <v>9476</v>
      </c>
      <c r="AB3381" s="73" t="s">
        <v>9486</v>
      </c>
      <c r="AC3381" s="74" t="s">
        <v>9566</v>
      </c>
      <c r="AD3381" s="73" t="s">
        <v>9578</v>
      </c>
      <c r="AE3381" s="74" t="s">
        <v>9579</v>
      </c>
    </row>
    <row r="3382" spans="1:31" ht="8.65" customHeight="1" x14ac:dyDescent="0.2">
      <c r="A3382" s="76">
        <v>3382</v>
      </c>
      <c r="B3382" s="67" t="str">
        <f>MID(C3382, FIND("Ifc.", C3382) + 4, 4) &amp; "_" &amp; TEXT(COUNTIF($C$2:C3382, C3382),"0000")</f>
        <v>Enti_0515</v>
      </c>
      <c r="C3382" s="25" t="s">
        <v>874</v>
      </c>
      <c r="D3382" s="69" t="s">
        <v>9453</v>
      </c>
      <c r="E3382" s="70" t="s">
        <v>9457</v>
      </c>
      <c r="F3382" s="26" t="s">
        <v>798</v>
      </c>
      <c r="G3382" s="15" t="s">
        <v>798</v>
      </c>
      <c r="H3382" s="14" t="s">
        <v>798</v>
      </c>
      <c r="I3382" s="15" t="s">
        <v>798</v>
      </c>
      <c r="J3382" s="12" t="s">
        <v>9438</v>
      </c>
      <c r="K3382" s="16" t="s">
        <v>3453</v>
      </c>
      <c r="L3382" s="12" t="s">
        <v>800</v>
      </c>
      <c r="M3382" s="16" t="s">
        <v>4418</v>
      </c>
      <c r="N3382" s="19" t="s">
        <v>798</v>
      </c>
      <c r="O3382" s="20" t="s">
        <v>798</v>
      </c>
      <c r="P3382" s="17" t="s">
        <v>802</v>
      </c>
      <c r="Q3382" s="21" t="s">
        <v>9005</v>
      </c>
      <c r="R3382" s="19" t="s">
        <v>798</v>
      </c>
      <c r="S3382" s="20" t="s">
        <v>798</v>
      </c>
      <c r="T3382" s="17" t="s">
        <v>798</v>
      </c>
      <c r="U3382" s="20" t="s">
        <v>798</v>
      </c>
      <c r="V3382" s="26" t="s">
        <v>798</v>
      </c>
      <c r="W3382" s="20" t="s">
        <v>798</v>
      </c>
      <c r="X3382" s="26" t="s">
        <v>798</v>
      </c>
      <c r="Y3382" s="20" t="s">
        <v>798</v>
      </c>
      <c r="Z3382" s="69" t="s">
        <v>9486</v>
      </c>
      <c r="AA3382" s="72" t="s">
        <v>9477</v>
      </c>
      <c r="AB3382" s="73" t="s">
        <v>9486</v>
      </c>
      <c r="AC3382" s="74" t="s">
        <v>9566</v>
      </c>
      <c r="AD3382" s="73" t="s">
        <v>9578</v>
      </c>
      <c r="AE3382" s="74" t="s">
        <v>9579</v>
      </c>
    </row>
    <row r="3383" spans="1:31" ht="8.65" customHeight="1" x14ac:dyDescent="0.2">
      <c r="A3383" s="76">
        <v>3383</v>
      </c>
      <c r="B3383" s="67" t="str">
        <f>MID(C3383, FIND("Ifc.", C3383) + 4, 4) &amp; "_" &amp; TEXT(COUNTIF($C$2:C3383, C3383),"0000")</f>
        <v>Enti_0516</v>
      </c>
      <c r="C3383" s="25" t="s">
        <v>874</v>
      </c>
      <c r="D3383" s="69" t="s">
        <v>9453</v>
      </c>
      <c r="E3383" s="70" t="s">
        <v>9457</v>
      </c>
      <c r="F3383" s="26" t="s">
        <v>798</v>
      </c>
      <c r="G3383" s="15" t="s">
        <v>798</v>
      </c>
      <c r="H3383" s="14" t="s">
        <v>798</v>
      </c>
      <c r="I3383" s="15" t="s">
        <v>798</v>
      </c>
      <c r="J3383" s="12" t="s">
        <v>9438</v>
      </c>
      <c r="K3383" s="16" t="s">
        <v>3454</v>
      </c>
      <c r="L3383" s="12" t="s">
        <v>800</v>
      </c>
      <c r="M3383" s="16" t="s">
        <v>4419</v>
      </c>
      <c r="N3383" s="19" t="s">
        <v>798</v>
      </c>
      <c r="O3383" s="20" t="s">
        <v>798</v>
      </c>
      <c r="P3383" s="17" t="s">
        <v>802</v>
      </c>
      <c r="Q3383" s="21" t="s">
        <v>9006</v>
      </c>
      <c r="R3383" s="19" t="s">
        <v>798</v>
      </c>
      <c r="S3383" s="20" t="s">
        <v>798</v>
      </c>
      <c r="T3383" s="17" t="s">
        <v>798</v>
      </c>
      <c r="U3383" s="20" t="s">
        <v>798</v>
      </c>
      <c r="V3383" s="26" t="s">
        <v>798</v>
      </c>
      <c r="W3383" s="20" t="s">
        <v>798</v>
      </c>
      <c r="X3383" s="26" t="s">
        <v>798</v>
      </c>
      <c r="Y3383" s="20" t="s">
        <v>798</v>
      </c>
      <c r="Z3383" s="69" t="s">
        <v>9486</v>
      </c>
      <c r="AA3383" s="72" t="s">
        <v>9476</v>
      </c>
      <c r="AB3383" s="73" t="s">
        <v>9486</v>
      </c>
      <c r="AC3383" s="74" t="s">
        <v>9562</v>
      </c>
      <c r="AD3383" s="73" t="s">
        <v>9578</v>
      </c>
      <c r="AE3383" s="74" t="s">
        <v>9579</v>
      </c>
    </row>
    <row r="3384" spans="1:31" ht="8.65" customHeight="1" x14ac:dyDescent="0.2">
      <c r="A3384" s="76">
        <v>3384</v>
      </c>
      <c r="B3384" s="67" t="str">
        <f>MID(C3384, FIND("Ifc.", C3384) + 4, 4) &amp; "_" &amp; TEXT(COUNTIF($C$2:C3384, C3384),"0000")</f>
        <v>Enti_0517</v>
      </c>
      <c r="C3384" s="25" t="s">
        <v>874</v>
      </c>
      <c r="D3384" s="69" t="s">
        <v>9453</v>
      </c>
      <c r="E3384" s="70" t="s">
        <v>9457</v>
      </c>
      <c r="F3384" s="26" t="s">
        <v>798</v>
      </c>
      <c r="G3384" s="15" t="s">
        <v>798</v>
      </c>
      <c r="H3384" s="14" t="s">
        <v>798</v>
      </c>
      <c r="I3384" s="15" t="s">
        <v>798</v>
      </c>
      <c r="J3384" s="12" t="s">
        <v>9438</v>
      </c>
      <c r="K3384" s="16" t="s">
        <v>3455</v>
      </c>
      <c r="L3384" s="12" t="s">
        <v>800</v>
      </c>
      <c r="M3384" s="16" t="s">
        <v>4420</v>
      </c>
      <c r="N3384" s="19" t="s">
        <v>798</v>
      </c>
      <c r="O3384" s="20" t="s">
        <v>798</v>
      </c>
      <c r="P3384" s="17" t="s">
        <v>802</v>
      </c>
      <c r="Q3384" s="21" t="s">
        <v>9007</v>
      </c>
      <c r="R3384" s="19" t="s">
        <v>798</v>
      </c>
      <c r="S3384" s="20" t="s">
        <v>798</v>
      </c>
      <c r="T3384" s="17" t="s">
        <v>798</v>
      </c>
      <c r="U3384" s="20" t="s">
        <v>798</v>
      </c>
      <c r="V3384" s="26" t="s">
        <v>798</v>
      </c>
      <c r="W3384" s="20" t="s">
        <v>798</v>
      </c>
      <c r="X3384" s="26" t="s">
        <v>798</v>
      </c>
      <c r="Y3384" s="20" t="s">
        <v>798</v>
      </c>
      <c r="Z3384" s="69" t="s">
        <v>9486</v>
      </c>
      <c r="AA3384" s="72" t="s">
        <v>9476</v>
      </c>
      <c r="AB3384" s="73" t="s">
        <v>9486</v>
      </c>
      <c r="AC3384" s="74" t="s">
        <v>9566</v>
      </c>
      <c r="AD3384" s="73" t="s">
        <v>9578</v>
      </c>
      <c r="AE3384" s="74" t="s">
        <v>9579</v>
      </c>
    </row>
    <row r="3385" spans="1:31" ht="8.65" customHeight="1" x14ac:dyDescent="0.2">
      <c r="A3385" s="76">
        <v>3385</v>
      </c>
      <c r="B3385" s="67" t="str">
        <f>MID(C3385, FIND("Ifc.", C3385) + 4, 4) &amp; "_" &amp; TEXT(COUNTIF($C$2:C3385, C3385),"0000")</f>
        <v>Enti_0518</v>
      </c>
      <c r="C3385" s="25" t="s">
        <v>874</v>
      </c>
      <c r="D3385" s="69" t="s">
        <v>9453</v>
      </c>
      <c r="E3385" s="70" t="s">
        <v>9457</v>
      </c>
      <c r="F3385" s="26" t="s">
        <v>798</v>
      </c>
      <c r="G3385" s="15" t="s">
        <v>798</v>
      </c>
      <c r="H3385" s="14" t="s">
        <v>798</v>
      </c>
      <c r="I3385" s="15" t="s">
        <v>798</v>
      </c>
      <c r="J3385" s="12" t="s">
        <v>9438</v>
      </c>
      <c r="K3385" s="16" t="s">
        <v>3456</v>
      </c>
      <c r="L3385" s="12" t="s">
        <v>800</v>
      </c>
      <c r="M3385" s="16" t="s">
        <v>4421</v>
      </c>
      <c r="N3385" s="19" t="s">
        <v>798</v>
      </c>
      <c r="O3385" s="20" t="s">
        <v>798</v>
      </c>
      <c r="P3385" s="17" t="s">
        <v>802</v>
      </c>
      <c r="Q3385" s="21" t="s">
        <v>9008</v>
      </c>
      <c r="R3385" s="19" t="s">
        <v>798</v>
      </c>
      <c r="S3385" s="20" t="s">
        <v>798</v>
      </c>
      <c r="T3385" s="17" t="s">
        <v>798</v>
      </c>
      <c r="U3385" s="20" t="s">
        <v>798</v>
      </c>
      <c r="V3385" s="26" t="s">
        <v>798</v>
      </c>
      <c r="W3385" s="20" t="s">
        <v>798</v>
      </c>
      <c r="X3385" s="26" t="s">
        <v>798</v>
      </c>
      <c r="Y3385" s="20" t="s">
        <v>798</v>
      </c>
      <c r="Z3385" s="69" t="s">
        <v>9486</v>
      </c>
      <c r="AA3385" s="72" t="s">
        <v>9476</v>
      </c>
      <c r="AB3385" s="73" t="s">
        <v>9486</v>
      </c>
      <c r="AC3385" s="74" t="s">
        <v>9562</v>
      </c>
      <c r="AD3385" s="73" t="s">
        <v>9578</v>
      </c>
      <c r="AE3385" s="74" t="s">
        <v>9579</v>
      </c>
    </row>
    <row r="3386" spans="1:31" ht="8.65" customHeight="1" x14ac:dyDescent="0.2">
      <c r="A3386" s="76">
        <v>3386</v>
      </c>
      <c r="B3386" s="67" t="str">
        <f>MID(C3386, FIND("Ifc.", C3386) + 4, 4) &amp; "_" &amp; TEXT(COUNTIF($C$2:C3386, C3386),"0000")</f>
        <v>Enti_0519</v>
      </c>
      <c r="C3386" s="25" t="s">
        <v>874</v>
      </c>
      <c r="D3386" s="69" t="s">
        <v>9453</v>
      </c>
      <c r="E3386" s="70" t="s">
        <v>9457</v>
      </c>
      <c r="F3386" s="26" t="s">
        <v>798</v>
      </c>
      <c r="G3386" s="15" t="s">
        <v>798</v>
      </c>
      <c r="H3386" s="14" t="s">
        <v>798</v>
      </c>
      <c r="I3386" s="15" t="s">
        <v>798</v>
      </c>
      <c r="J3386" s="12" t="s">
        <v>9438</v>
      </c>
      <c r="K3386" s="16" t="s">
        <v>3457</v>
      </c>
      <c r="L3386" s="12" t="s">
        <v>800</v>
      </c>
      <c r="M3386" s="16" t="s">
        <v>4422</v>
      </c>
      <c r="N3386" s="19" t="s">
        <v>798</v>
      </c>
      <c r="O3386" s="20" t="s">
        <v>798</v>
      </c>
      <c r="P3386" s="17" t="s">
        <v>802</v>
      </c>
      <c r="Q3386" s="21" t="s">
        <v>9009</v>
      </c>
      <c r="R3386" s="19" t="s">
        <v>798</v>
      </c>
      <c r="S3386" s="20" t="s">
        <v>798</v>
      </c>
      <c r="T3386" s="17" t="s">
        <v>798</v>
      </c>
      <c r="U3386" s="20" t="s">
        <v>798</v>
      </c>
      <c r="V3386" s="26" t="s">
        <v>798</v>
      </c>
      <c r="W3386" s="20" t="s">
        <v>798</v>
      </c>
      <c r="X3386" s="26" t="s">
        <v>798</v>
      </c>
      <c r="Y3386" s="20" t="s">
        <v>798</v>
      </c>
      <c r="Z3386" s="69" t="s">
        <v>9486</v>
      </c>
      <c r="AA3386" s="72" t="s">
        <v>9476</v>
      </c>
      <c r="AB3386" s="73" t="s">
        <v>9486</v>
      </c>
      <c r="AC3386" s="74" t="s">
        <v>9562</v>
      </c>
      <c r="AD3386" s="73" t="s">
        <v>9578</v>
      </c>
      <c r="AE3386" s="74" t="s">
        <v>9579</v>
      </c>
    </row>
    <row r="3387" spans="1:31" ht="8.65" customHeight="1" x14ac:dyDescent="0.2">
      <c r="A3387" s="76">
        <v>3387</v>
      </c>
      <c r="B3387" s="67" t="str">
        <f>MID(C3387, FIND("Ifc.", C3387) + 4, 4) &amp; "_" &amp; TEXT(COUNTIF($C$2:C3387, C3387),"0000")</f>
        <v>Enti_0520</v>
      </c>
      <c r="C3387" s="25" t="s">
        <v>874</v>
      </c>
      <c r="D3387" s="69" t="s">
        <v>9453</v>
      </c>
      <c r="E3387" s="70" t="s">
        <v>9457</v>
      </c>
      <c r="F3387" s="26" t="s">
        <v>798</v>
      </c>
      <c r="G3387" s="15" t="s">
        <v>798</v>
      </c>
      <c r="H3387" s="14" t="s">
        <v>798</v>
      </c>
      <c r="I3387" s="15" t="s">
        <v>798</v>
      </c>
      <c r="J3387" s="12" t="s">
        <v>9438</v>
      </c>
      <c r="K3387" s="16" t="s">
        <v>3458</v>
      </c>
      <c r="L3387" s="12" t="s">
        <v>800</v>
      </c>
      <c r="M3387" s="16" t="s">
        <v>4423</v>
      </c>
      <c r="N3387" s="19" t="s">
        <v>798</v>
      </c>
      <c r="O3387" s="20" t="s">
        <v>798</v>
      </c>
      <c r="P3387" s="17" t="s">
        <v>802</v>
      </c>
      <c r="Q3387" s="21" t="s">
        <v>9010</v>
      </c>
      <c r="R3387" s="19" t="s">
        <v>798</v>
      </c>
      <c r="S3387" s="20" t="s">
        <v>798</v>
      </c>
      <c r="T3387" s="17" t="s">
        <v>798</v>
      </c>
      <c r="U3387" s="20" t="s">
        <v>798</v>
      </c>
      <c r="V3387" s="26" t="s">
        <v>798</v>
      </c>
      <c r="W3387" s="20" t="s">
        <v>798</v>
      </c>
      <c r="X3387" s="26" t="s">
        <v>798</v>
      </c>
      <c r="Y3387" s="20" t="s">
        <v>798</v>
      </c>
      <c r="Z3387" s="69" t="s">
        <v>9486</v>
      </c>
      <c r="AA3387" s="72" t="s">
        <v>9476</v>
      </c>
      <c r="AB3387" s="73" t="s">
        <v>9486</v>
      </c>
      <c r="AC3387" s="74" t="s">
        <v>9566</v>
      </c>
      <c r="AD3387" s="73" t="s">
        <v>9578</v>
      </c>
      <c r="AE3387" s="74" t="s">
        <v>9579</v>
      </c>
    </row>
    <row r="3388" spans="1:31" ht="8.65" customHeight="1" x14ac:dyDescent="0.2">
      <c r="A3388" s="76">
        <v>3388</v>
      </c>
      <c r="B3388" s="67" t="str">
        <f>MID(C3388, FIND("Ifc.", C3388) + 4, 4) &amp; "_" &amp; TEXT(COUNTIF($C$2:C3388, C3388),"0000")</f>
        <v>Enti_0521</v>
      </c>
      <c r="C3388" s="25" t="s">
        <v>874</v>
      </c>
      <c r="D3388" s="69" t="s">
        <v>9453</v>
      </c>
      <c r="E3388" s="70" t="s">
        <v>9457</v>
      </c>
      <c r="F3388" s="26" t="s">
        <v>798</v>
      </c>
      <c r="G3388" s="15" t="s">
        <v>798</v>
      </c>
      <c r="H3388" s="14" t="s">
        <v>798</v>
      </c>
      <c r="I3388" s="15" t="s">
        <v>798</v>
      </c>
      <c r="J3388" s="12" t="s">
        <v>9438</v>
      </c>
      <c r="K3388" s="16" t="s">
        <v>3459</v>
      </c>
      <c r="L3388" s="12" t="s">
        <v>800</v>
      </c>
      <c r="M3388" s="16" t="s">
        <v>4424</v>
      </c>
      <c r="N3388" s="19" t="s">
        <v>798</v>
      </c>
      <c r="O3388" s="20" t="s">
        <v>798</v>
      </c>
      <c r="P3388" s="17" t="s">
        <v>802</v>
      </c>
      <c r="Q3388" s="21" t="s">
        <v>9011</v>
      </c>
      <c r="R3388" s="19" t="s">
        <v>798</v>
      </c>
      <c r="S3388" s="20" t="s">
        <v>798</v>
      </c>
      <c r="T3388" s="17" t="s">
        <v>798</v>
      </c>
      <c r="U3388" s="20" t="s">
        <v>798</v>
      </c>
      <c r="V3388" s="26" t="s">
        <v>798</v>
      </c>
      <c r="W3388" s="20" t="s">
        <v>798</v>
      </c>
      <c r="X3388" s="26" t="s">
        <v>798</v>
      </c>
      <c r="Y3388" s="20" t="s">
        <v>798</v>
      </c>
      <c r="Z3388" s="69" t="s">
        <v>9486</v>
      </c>
      <c r="AA3388" s="72" t="s">
        <v>9477</v>
      </c>
      <c r="AB3388" s="73" t="s">
        <v>9486</v>
      </c>
      <c r="AC3388" s="74" t="s">
        <v>9566</v>
      </c>
      <c r="AD3388" s="73" t="s">
        <v>9578</v>
      </c>
      <c r="AE3388" s="74" t="s">
        <v>9579</v>
      </c>
    </row>
    <row r="3389" spans="1:31" ht="8.65" customHeight="1" x14ac:dyDescent="0.2">
      <c r="A3389" s="76">
        <v>3389</v>
      </c>
      <c r="B3389" s="67" t="str">
        <f>MID(C3389, FIND("Ifc.", C3389) + 4, 4) &amp; "_" &amp; TEXT(COUNTIF($C$2:C3389, C3389),"0000")</f>
        <v>Enti_0522</v>
      </c>
      <c r="C3389" s="25" t="s">
        <v>874</v>
      </c>
      <c r="D3389" s="69" t="s">
        <v>9453</v>
      </c>
      <c r="E3389" s="70" t="s">
        <v>9457</v>
      </c>
      <c r="F3389" s="26" t="s">
        <v>798</v>
      </c>
      <c r="G3389" s="15" t="s">
        <v>798</v>
      </c>
      <c r="H3389" s="14" t="s">
        <v>798</v>
      </c>
      <c r="I3389" s="15" t="s">
        <v>798</v>
      </c>
      <c r="J3389" s="12" t="s">
        <v>9438</v>
      </c>
      <c r="K3389" s="16" t="s">
        <v>3460</v>
      </c>
      <c r="L3389" s="12" t="s">
        <v>800</v>
      </c>
      <c r="M3389" s="16" t="s">
        <v>4425</v>
      </c>
      <c r="N3389" s="19" t="s">
        <v>798</v>
      </c>
      <c r="O3389" s="20" t="s">
        <v>798</v>
      </c>
      <c r="P3389" s="17" t="s">
        <v>802</v>
      </c>
      <c r="Q3389" s="21" t="s">
        <v>9012</v>
      </c>
      <c r="R3389" s="19" t="s">
        <v>798</v>
      </c>
      <c r="S3389" s="20" t="s">
        <v>798</v>
      </c>
      <c r="T3389" s="17" t="s">
        <v>798</v>
      </c>
      <c r="U3389" s="20" t="s">
        <v>798</v>
      </c>
      <c r="V3389" s="26" t="s">
        <v>798</v>
      </c>
      <c r="W3389" s="20" t="s">
        <v>798</v>
      </c>
      <c r="X3389" s="26" t="s">
        <v>798</v>
      </c>
      <c r="Y3389" s="20" t="s">
        <v>798</v>
      </c>
      <c r="Z3389" s="69" t="s">
        <v>9486</v>
      </c>
      <c r="AA3389" s="72" t="s">
        <v>9476</v>
      </c>
      <c r="AB3389" s="73" t="s">
        <v>9486</v>
      </c>
      <c r="AC3389" s="74" t="s">
        <v>9566</v>
      </c>
      <c r="AD3389" s="73" t="s">
        <v>9578</v>
      </c>
      <c r="AE3389" s="74" t="s">
        <v>9579</v>
      </c>
    </row>
    <row r="3390" spans="1:31" ht="8.65" customHeight="1" x14ac:dyDescent="0.2">
      <c r="A3390" s="76">
        <v>3390</v>
      </c>
      <c r="B3390" s="67" t="str">
        <f>MID(C3390, FIND("Ifc.", C3390) + 4, 4) &amp; "_" &amp; TEXT(COUNTIF($C$2:C3390, C3390),"0000")</f>
        <v>Enti_0523</v>
      </c>
      <c r="C3390" s="25" t="s">
        <v>874</v>
      </c>
      <c r="D3390" s="69" t="s">
        <v>9453</v>
      </c>
      <c r="E3390" s="70" t="s">
        <v>9457</v>
      </c>
      <c r="F3390" s="26" t="s">
        <v>798</v>
      </c>
      <c r="G3390" s="15" t="s">
        <v>798</v>
      </c>
      <c r="H3390" s="14" t="s">
        <v>798</v>
      </c>
      <c r="I3390" s="15" t="s">
        <v>798</v>
      </c>
      <c r="J3390" s="12" t="s">
        <v>9438</v>
      </c>
      <c r="K3390" s="16" t="s">
        <v>3461</v>
      </c>
      <c r="L3390" s="12" t="s">
        <v>800</v>
      </c>
      <c r="M3390" s="16" t="s">
        <v>4426</v>
      </c>
      <c r="N3390" s="19" t="s">
        <v>798</v>
      </c>
      <c r="O3390" s="20" t="s">
        <v>798</v>
      </c>
      <c r="P3390" s="17" t="s">
        <v>802</v>
      </c>
      <c r="Q3390" s="21" t="s">
        <v>9013</v>
      </c>
      <c r="R3390" s="19" t="s">
        <v>798</v>
      </c>
      <c r="S3390" s="20" t="s">
        <v>798</v>
      </c>
      <c r="T3390" s="17" t="s">
        <v>798</v>
      </c>
      <c r="U3390" s="20" t="s">
        <v>798</v>
      </c>
      <c r="V3390" s="26" t="s">
        <v>798</v>
      </c>
      <c r="W3390" s="20" t="s">
        <v>798</v>
      </c>
      <c r="X3390" s="26" t="s">
        <v>798</v>
      </c>
      <c r="Y3390" s="20" t="s">
        <v>798</v>
      </c>
      <c r="Z3390" s="69" t="s">
        <v>9486</v>
      </c>
      <c r="AA3390" s="72" t="s">
        <v>9476</v>
      </c>
      <c r="AB3390" s="73" t="s">
        <v>9486</v>
      </c>
      <c r="AC3390" s="74" t="s">
        <v>9566</v>
      </c>
      <c r="AD3390" s="73" t="s">
        <v>9578</v>
      </c>
      <c r="AE3390" s="74" t="s">
        <v>9595</v>
      </c>
    </row>
    <row r="3391" spans="1:31" ht="8.65" customHeight="1" x14ac:dyDescent="0.2">
      <c r="A3391" s="76">
        <v>3391</v>
      </c>
      <c r="B3391" s="67" t="str">
        <f>MID(C3391, FIND("Ifc.", C3391) + 4, 4) &amp; "_" &amp; TEXT(COUNTIF($C$2:C3391, C3391),"0000")</f>
        <v>Enti_0524</v>
      </c>
      <c r="C3391" s="25" t="s">
        <v>874</v>
      </c>
      <c r="D3391" s="69" t="s">
        <v>9453</v>
      </c>
      <c r="E3391" s="70" t="s">
        <v>9457</v>
      </c>
      <c r="F3391" s="26" t="s">
        <v>798</v>
      </c>
      <c r="G3391" s="15" t="s">
        <v>798</v>
      </c>
      <c r="H3391" s="14" t="s">
        <v>798</v>
      </c>
      <c r="I3391" s="15" t="s">
        <v>798</v>
      </c>
      <c r="J3391" s="12" t="s">
        <v>9438</v>
      </c>
      <c r="K3391" s="16" t="s">
        <v>3462</v>
      </c>
      <c r="L3391" s="12" t="s">
        <v>800</v>
      </c>
      <c r="M3391" s="16" t="s">
        <v>4427</v>
      </c>
      <c r="N3391" s="19" t="s">
        <v>798</v>
      </c>
      <c r="O3391" s="20" t="s">
        <v>798</v>
      </c>
      <c r="P3391" s="17" t="s">
        <v>802</v>
      </c>
      <c r="Q3391" s="21" t="s">
        <v>9014</v>
      </c>
      <c r="R3391" s="19" t="s">
        <v>798</v>
      </c>
      <c r="S3391" s="20" t="s">
        <v>798</v>
      </c>
      <c r="T3391" s="17" t="s">
        <v>798</v>
      </c>
      <c r="U3391" s="20" t="s">
        <v>798</v>
      </c>
      <c r="V3391" s="26" t="s">
        <v>798</v>
      </c>
      <c r="W3391" s="20" t="s">
        <v>798</v>
      </c>
      <c r="X3391" s="26" t="s">
        <v>798</v>
      </c>
      <c r="Y3391" s="20" t="s">
        <v>798</v>
      </c>
      <c r="Z3391" s="69" t="s">
        <v>9486</v>
      </c>
      <c r="AA3391" s="72" t="s">
        <v>9476</v>
      </c>
      <c r="AB3391" s="73" t="s">
        <v>9486</v>
      </c>
      <c r="AC3391" s="74" t="s">
        <v>9566</v>
      </c>
      <c r="AD3391" s="73" t="s">
        <v>9578</v>
      </c>
      <c r="AE3391" s="74" t="s">
        <v>9595</v>
      </c>
    </row>
    <row r="3392" spans="1:31" ht="8.65" customHeight="1" x14ac:dyDescent="0.2">
      <c r="A3392" s="76">
        <v>3392</v>
      </c>
      <c r="B3392" s="67" t="str">
        <f>MID(C3392, FIND("Ifc.", C3392) + 4, 4) &amp; "_" &amp; TEXT(COUNTIF($C$2:C3392, C3392),"0000")</f>
        <v>Enti_0525</v>
      </c>
      <c r="C3392" s="25" t="s">
        <v>874</v>
      </c>
      <c r="D3392" s="69" t="s">
        <v>9453</v>
      </c>
      <c r="E3392" s="70" t="s">
        <v>9457</v>
      </c>
      <c r="F3392" s="26" t="s">
        <v>798</v>
      </c>
      <c r="G3392" s="15" t="s">
        <v>798</v>
      </c>
      <c r="H3392" s="14" t="s">
        <v>798</v>
      </c>
      <c r="I3392" s="15" t="s">
        <v>798</v>
      </c>
      <c r="J3392" s="12" t="s">
        <v>9438</v>
      </c>
      <c r="K3392" s="16" t="s">
        <v>3463</v>
      </c>
      <c r="L3392" s="12" t="s">
        <v>800</v>
      </c>
      <c r="M3392" s="16" t="s">
        <v>4428</v>
      </c>
      <c r="N3392" s="19" t="s">
        <v>798</v>
      </c>
      <c r="O3392" s="20" t="s">
        <v>798</v>
      </c>
      <c r="P3392" s="17" t="s">
        <v>802</v>
      </c>
      <c r="Q3392" s="21" t="s">
        <v>9015</v>
      </c>
      <c r="R3392" s="19" t="s">
        <v>798</v>
      </c>
      <c r="S3392" s="20" t="s">
        <v>798</v>
      </c>
      <c r="T3392" s="17" t="s">
        <v>798</v>
      </c>
      <c r="U3392" s="20" t="s">
        <v>798</v>
      </c>
      <c r="V3392" s="26" t="s">
        <v>798</v>
      </c>
      <c r="W3392" s="20" t="s">
        <v>798</v>
      </c>
      <c r="X3392" s="26" t="s">
        <v>798</v>
      </c>
      <c r="Y3392" s="20" t="s">
        <v>798</v>
      </c>
      <c r="Z3392" s="69" t="s">
        <v>9486</v>
      </c>
      <c r="AA3392" s="72" t="s">
        <v>9488</v>
      </c>
      <c r="AB3392" s="73" t="s">
        <v>9486</v>
      </c>
      <c r="AC3392" s="74" t="s">
        <v>9566</v>
      </c>
      <c r="AD3392" s="73" t="s">
        <v>9578</v>
      </c>
      <c r="AE3392" s="74" t="s">
        <v>9595</v>
      </c>
    </row>
    <row r="3393" spans="1:31" ht="8.65" customHeight="1" x14ac:dyDescent="0.2">
      <c r="A3393" s="76">
        <v>3393</v>
      </c>
      <c r="B3393" s="67" t="str">
        <f>MID(C3393, FIND("Ifc.", C3393) + 4, 4) &amp; "_" &amp; TEXT(COUNTIF($C$2:C3393, C3393),"0000")</f>
        <v>Enti_0526</v>
      </c>
      <c r="C3393" s="25" t="s">
        <v>874</v>
      </c>
      <c r="D3393" s="69" t="s">
        <v>9453</v>
      </c>
      <c r="E3393" s="70" t="s">
        <v>9457</v>
      </c>
      <c r="F3393" s="26" t="s">
        <v>798</v>
      </c>
      <c r="G3393" s="15" t="s">
        <v>798</v>
      </c>
      <c r="H3393" s="14" t="s">
        <v>798</v>
      </c>
      <c r="I3393" s="15" t="s">
        <v>798</v>
      </c>
      <c r="J3393" s="12" t="s">
        <v>9438</v>
      </c>
      <c r="K3393" s="16" t="s">
        <v>3464</v>
      </c>
      <c r="L3393" s="12" t="s">
        <v>800</v>
      </c>
      <c r="M3393" s="16" t="s">
        <v>4429</v>
      </c>
      <c r="N3393" s="19" t="s">
        <v>798</v>
      </c>
      <c r="O3393" s="20" t="s">
        <v>798</v>
      </c>
      <c r="P3393" s="17" t="s">
        <v>802</v>
      </c>
      <c r="Q3393" s="21" t="s">
        <v>9016</v>
      </c>
      <c r="R3393" s="19" t="s">
        <v>798</v>
      </c>
      <c r="S3393" s="20" t="s">
        <v>798</v>
      </c>
      <c r="T3393" s="17" t="s">
        <v>798</v>
      </c>
      <c r="U3393" s="20" t="s">
        <v>798</v>
      </c>
      <c r="V3393" s="26" t="s">
        <v>798</v>
      </c>
      <c r="W3393" s="20" t="s">
        <v>798</v>
      </c>
      <c r="X3393" s="26" t="s">
        <v>798</v>
      </c>
      <c r="Y3393" s="20" t="s">
        <v>798</v>
      </c>
      <c r="Z3393" s="69" t="s">
        <v>9486</v>
      </c>
      <c r="AA3393" s="72" t="s">
        <v>9488</v>
      </c>
      <c r="AB3393" s="73" t="s">
        <v>9486</v>
      </c>
      <c r="AC3393" s="74" t="s">
        <v>9566</v>
      </c>
      <c r="AD3393" s="73" t="s">
        <v>9578</v>
      </c>
      <c r="AE3393" s="74" t="s">
        <v>9595</v>
      </c>
    </row>
    <row r="3394" spans="1:31" ht="8.65" customHeight="1" x14ac:dyDescent="0.2">
      <c r="A3394" s="76">
        <v>3394</v>
      </c>
      <c r="B3394" s="67" t="str">
        <f>MID(C3394, FIND("Ifc.", C3394) + 4, 4) &amp; "_" &amp; TEXT(COUNTIF($C$2:C3394, C3394),"0000")</f>
        <v>Enti_0527</v>
      </c>
      <c r="C3394" s="25" t="s">
        <v>874</v>
      </c>
      <c r="D3394" s="69" t="s">
        <v>9453</v>
      </c>
      <c r="E3394" s="70" t="s">
        <v>9457</v>
      </c>
      <c r="F3394" s="26" t="s">
        <v>798</v>
      </c>
      <c r="G3394" s="15" t="s">
        <v>798</v>
      </c>
      <c r="H3394" s="14" t="s">
        <v>798</v>
      </c>
      <c r="I3394" s="15" t="s">
        <v>798</v>
      </c>
      <c r="J3394" s="12" t="s">
        <v>9438</v>
      </c>
      <c r="K3394" s="16" t="s">
        <v>3465</v>
      </c>
      <c r="L3394" s="12" t="s">
        <v>800</v>
      </c>
      <c r="M3394" s="16" t="s">
        <v>4430</v>
      </c>
      <c r="N3394" s="19" t="s">
        <v>798</v>
      </c>
      <c r="O3394" s="20" t="s">
        <v>798</v>
      </c>
      <c r="P3394" s="17" t="s">
        <v>802</v>
      </c>
      <c r="Q3394" s="21" t="s">
        <v>9017</v>
      </c>
      <c r="R3394" s="19" t="s">
        <v>798</v>
      </c>
      <c r="S3394" s="20" t="s">
        <v>798</v>
      </c>
      <c r="T3394" s="17" t="s">
        <v>798</v>
      </c>
      <c r="U3394" s="20" t="s">
        <v>798</v>
      </c>
      <c r="V3394" s="26" t="s">
        <v>798</v>
      </c>
      <c r="W3394" s="20" t="s">
        <v>798</v>
      </c>
      <c r="X3394" s="26" t="s">
        <v>798</v>
      </c>
      <c r="Y3394" s="20" t="s">
        <v>798</v>
      </c>
      <c r="Z3394" s="69" t="s">
        <v>9486</v>
      </c>
      <c r="AA3394" s="72" t="s">
        <v>9477</v>
      </c>
      <c r="AB3394" s="73" t="s">
        <v>9486</v>
      </c>
      <c r="AC3394" s="74" t="s">
        <v>9566</v>
      </c>
      <c r="AD3394" s="73" t="s">
        <v>9578</v>
      </c>
      <c r="AE3394" s="74" t="s">
        <v>9595</v>
      </c>
    </row>
    <row r="3395" spans="1:31" ht="8.65" customHeight="1" x14ac:dyDescent="0.2">
      <c r="A3395" s="76">
        <v>3395</v>
      </c>
      <c r="B3395" s="67" t="str">
        <f>MID(C3395, FIND("Ifc.", C3395) + 4, 4) &amp; "_" &amp; TEXT(COUNTIF($C$2:C3395, C3395),"0000")</f>
        <v>Enti_0528</v>
      </c>
      <c r="C3395" s="25" t="s">
        <v>874</v>
      </c>
      <c r="D3395" s="69" t="s">
        <v>9453</v>
      </c>
      <c r="E3395" s="70" t="s">
        <v>9457</v>
      </c>
      <c r="F3395" s="26" t="s">
        <v>798</v>
      </c>
      <c r="G3395" s="15" t="s">
        <v>798</v>
      </c>
      <c r="H3395" s="14" t="s">
        <v>798</v>
      </c>
      <c r="I3395" s="15" t="s">
        <v>798</v>
      </c>
      <c r="J3395" s="12" t="s">
        <v>9438</v>
      </c>
      <c r="K3395" s="16" t="s">
        <v>3466</v>
      </c>
      <c r="L3395" s="12" t="s">
        <v>800</v>
      </c>
      <c r="M3395" s="16" t="s">
        <v>4431</v>
      </c>
      <c r="N3395" s="19" t="s">
        <v>798</v>
      </c>
      <c r="O3395" s="20" t="s">
        <v>798</v>
      </c>
      <c r="P3395" s="17" t="s">
        <v>802</v>
      </c>
      <c r="Q3395" s="21" t="s">
        <v>9018</v>
      </c>
      <c r="R3395" s="19" t="s">
        <v>798</v>
      </c>
      <c r="S3395" s="20" t="s">
        <v>798</v>
      </c>
      <c r="T3395" s="17" t="s">
        <v>798</v>
      </c>
      <c r="U3395" s="20" t="s">
        <v>798</v>
      </c>
      <c r="V3395" s="26" t="s">
        <v>798</v>
      </c>
      <c r="W3395" s="20" t="s">
        <v>798</v>
      </c>
      <c r="X3395" s="26" t="s">
        <v>798</v>
      </c>
      <c r="Y3395" s="20" t="s">
        <v>798</v>
      </c>
      <c r="Z3395" s="69" t="s">
        <v>9486</v>
      </c>
      <c r="AA3395" s="72" t="s">
        <v>9476</v>
      </c>
      <c r="AB3395" s="73" t="s">
        <v>9486</v>
      </c>
      <c r="AC3395" s="74" t="s">
        <v>9562</v>
      </c>
      <c r="AD3395" s="73" t="s">
        <v>9578</v>
      </c>
      <c r="AE3395" s="74" t="s">
        <v>9579</v>
      </c>
    </row>
    <row r="3396" spans="1:31" ht="8.65" customHeight="1" x14ac:dyDescent="0.2">
      <c r="A3396" s="76">
        <v>3396</v>
      </c>
      <c r="B3396" s="67" t="str">
        <f>MID(C3396, FIND("Ifc.", C3396) + 4, 4) &amp; "_" &amp; TEXT(COUNTIF($C$2:C3396, C3396),"0000")</f>
        <v>Enti_0529</v>
      </c>
      <c r="C3396" s="25" t="s">
        <v>874</v>
      </c>
      <c r="D3396" s="69" t="s">
        <v>9453</v>
      </c>
      <c r="E3396" s="70" t="s">
        <v>9457</v>
      </c>
      <c r="F3396" s="26" t="s">
        <v>798</v>
      </c>
      <c r="G3396" s="15" t="s">
        <v>798</v>
      </c>
      <c r="H3396" s="14" t="s">
        <v>798</v>
      </c>
      <c r="I3396" s="15" t="s">
        <v>798</v>
      </c>
      <c r="J3396" s="12" t="s">
        <v>9438</v>
      </c>
      <c r="K3396" s="16" t="s">
        <v>3467</v>
      </c>
      <c r="L3396" s="12" t="s">
        <v>800</v>
      </c>
      <c r="M3396" s="16" t="s">
        <v>4432</v>
      </c>
      <c r="N3396" s="19" t="s">
        <v>798</v>
      </c>
      <c r="O3396" s="20" t="s">
        <v>798</v>
      </c>
      <c r="P3396" s="17" t="s">
        <v>802</v>
      </c>
      <c r="Q3396" s="21" t="s">
        <v>9019</v>
      </c>
      <c r="R3396" s="19" t="s">
        <v>798</v>
      </c>
      <c r="S3396" s="20" t="s">
        <v>798</v>
      </c>
      <c r="T3396" s="17" t="s">
        <v>798</v>
      </c>
      <c r="U3396" s="20" t="s">
        <v>798</v>
      </c>
      <c r="V3396" s="26" t="s">
        <v>798</v>
      </c>
      <c r="W3396" s="20" t="s">
        <v>798</v>
      </c>
      <c r="X3396" s="26" t="s">
        <v>798</v>
      </c>
      <c r="Y3396" s="20" t="s">
        <v>798</v>
      </c>
      <c r="Z3396" s="69" t="s">
        <v>9486</v>
      </c>
      <c r="AA3396" s="72" t="s">
        <v>9477</v>
      </c>
      <c r="AB3396" s="73" t="s">
        <v>9486</v>
      </c>
      <c r="AC3396" s="74" t="s">
        <v>9562</v>
      </c>
      <c r="AD3396" s="73" t="s">
        <v>9578</v>
      </c>
      <c r="AE3396" s="74" t="s">
        <v>9579</v>
      </c>
    </row>
    <row r="3397" spans="1:31" ht="8.65" customHeight="1" x14ac:dyDescent="0.2">
      <c r="A3397" s="76">
        <v>3397</v>
      </c>
      <c r="B3397" s="67" t="str">
        <f>MID(C3397, FIND("Ifc.", C3397) + 4, 4) &amp; "_" &amp; TEXT(COUNTIF($C$2:C3397, C3397),"0000")</f>
        <v>Enti_0530</v>
      </c>
      <c r="C3397" s="25" t="s">
        <v>874</v>
      </c>
      <c r="D3397" s="69" t="s">
        <v>9453</v>
      </c>
      <c r="E3397" s="70" t="s">
        <v>9457</v>
      </c>
      <c r="F3397" s="26" t="s">
        <v>798</v>
      </c>
      <c r="G3397" s="15" t="s">
        <v>798</v>
      </c>
      <c r="H3397" s="14" t="s">
        <v>798</v>
      </c>
      <c r="I3397" s="15" t="s">
        <v>798</v>
      </c>
      <c r="J3397" s="12" t="s">
        <v>9438</v>
      </c>
      <c r="K3397" s="16" t="s">
        <v>3468</v>
      </c>
      <c r="L3397" s="12" t="s">
        <v>800</v>
      </c>
      <c r="M3397" s="16" t="s">
        <v>4433</v>
      </c>
      <c r="N3397" s="19" t="s">
        <v>798</v>
      </c>
      <c r="O3397" s="20" t="s">
        <v>798</v>
      </c>
      <c r="P3397" s="17" t="s">
        <v>802</v>
      </c>
      <c r="Q3397" s="21" t="s">
        <v>9020</v>
      </c>
      <c r="R3397" s="19" t="s">
        <v>798</v>
      </c>
      <c r="S3397" s="20" t="s">
        <v>798</v>
      </c>
      <c r="T3397" s="17" t="s">
        <v>798</v>
      </c>
      <c r="U3397" s="20" t="s">
        <v>798</v>
      </c>
      <c r="V3397" s="26" t="s">
        <v>798</v>
      </c>
      <c r="W3397" s="20" t="s">
        <v>798</v>
      </c>
      <c r="X3397" s="26" t="s">
        <v>798</v>
      </c>
      <c r="Y3397" s="20" t="s">
        <v>798</v>
      </c>
      <c r="Z3397" s="69" t="s">
        <v>9486</v>
      </c>
      <c r="AA3397" s="72" t="s">
        <v>9476</v>
      </c>
      <c r="AB3397" s="73" t="s">
        <v>9486</v>
      </c>
      <c r="AC3397" s="74" t="s">
        <v>9562</v>
      </c>
      <c r="AD3397" s="73" t="s">
        <v>9578</v>
      </c>
      <c r="AE3397" s="74" t="s">
        <v>9579</v>
      </c>
    </row>
    <row r="3398" spans="1:31" ht="8.65" customHeight="1" x14ac:dyDescent="0.2">
      <c r="A3398" s="76">
        <v>3398</v>
      </c>
      <c r="B3398" s="67" t="str">
        <f>MID(C3398, FIND("Ifc.", C3398) + 4, 4) &amp; "_" &amp; TEXT(COUNTIF($C$2:C3398, C3398),"0000")</f>
        <v>Enti_0531</v>
      </c>
      <c r="C3398" s="25" t="s">
        <v>874</v>
      </c>
      <c r="D3398" s="69" t="s">
        <v>9453</v>
      </c>
      <c r="E3398" s="70" t="s">
        <v>9457</v>
      </c>
      <c r="F3398" s="26" t="s">
        <v>798</v>
      </c>
      <c r="G3398" s="15" t="s">
        <v>798</v>
      </c>
      <c r="H3398" s="14" t="s">
        <v>798</v>
      </c>
      <c r="I3398" s="15" t="s">
        <v>798</v>
      </c>
      <c r="J3398" s="12" t="s">
        <v>9438</v>
      </c>
      <c r="K3398" s="16" t="s">
        <v>3469</v>
      </c>
      <c r="L3398" s="12" t="s">
        <v>800</v>
      </c>
      <c r="M3398" s="16" t="s">
        <v>4434</v>
      </c>
      <c r="N3398" s="19" t="s">
        <v>798</v>
      </c>
      <c r="O3398" s="20" t="s">
        <v>798</v>
      </c>
      <c r="P3398" s="17" t="s">
        <v>802</v>
      </c>
      <c r="Q3398" s="21" t="s">
        <v>9021</v>
      </c>
      <c r="R3398" s="19" t="s">
        <v>798</v>
      </c>
      <c r="S3398" s="20" t="s">
        <v>798</v>
      </c>
      <c r="T3398" s="17" t="s">
        <v>798</v>
      </c>
      <c r="U3398" s="20" t="s">
        <v>798</v>
      </c>
      <c r="V3398" s="26" t="s">
        <v>798</v>
      </c>
      <c r="W3398" s="20" t="s">
        <v>798</v>
      </c>
      <c r="X3398" s="26" t="s">
        <v>798</v>
      </c>
      <c r="Y3398" s="20" t="s">
        <v>798</v>
      </c>
      <c r="Z3398" s="69" t="s">
        <v>9486</v>
      </c>
      <c r="AA3398" s="72" t="s">
        <v>9477</v>
      </c>
      <c r="AB3398" s="73" t="s">
        <v>9486</v>
      </c>
      <c r="AC3398" s="74" t="s">
        <v>9562</v>
      </c>
      <c r="AD3398" s="73" t="s">
        <v>9578</v>
      </c>
      <c r="AE3398" s="74" t="s">
        <v>9579</v>
      </c>
    </row>
    <row r="3399" spans="1:31" ht="8.65" customHeight="1" x14ac:dyDescent="0.2">
      <c r="A3399" s="76">
        <v>3399</v>
      </c>
      <c r="B3399" s="67" t="str">
        <f>MID(C3399, FIND("Ifc.", C3399) + 4, 4) &amp; "_" &amp; TEXT(COUNTIF($C$2:C3399, C3399),"0000")</f>
        <v>Enti_0532</v>
      </c>
      <c r="C3399" s="25" t="s">
        <v>874</v>
      </c>
      <c r="D3399" s="69" t="s">
        <v>9453</v>
      </c>
      <c r="E3399" s="70" t="s">
        <v>9457</v>
      </c>
      <c r="F3399" s="26" t="s">
        <v>798</v>
      </c>
      <c r="G3399" s="15" t="s">
        <v>798</v>
      </c>
      <c r="H3399" s="14" t="s">
        <v>798</v>
      </c>
      <c r="I3399" s="15" t="s">
        <v>798</v>
      </c>
      <c r="J3399" s="12" t="s">
        <v>9438</v>
      </c>
      <c r="K3399" s="16" t="s">
        <v>3470</v>
      </c>
      <c r="L3399" s="12" t="s">
        <v>800</v>
      </c>
      <c r="M3399" s="16" t="s">
        <v>4435</v>
      </c>
      <c r="N3399" s="19" t="s">
        <v>798</v>
      </c>
      <c r="O3399" s="20" t="s">
        <v>798</v>
      </c>
      <c r="P3399" s="17" t="s">
        <v>802</v>
      </c>
      <c r="Q3399" s="21" t="s">
        <v>9022</v>
      </c>
      <c r="R3399" s="19" t="s">
        <v>798</v>
      </c>
      <c r="S3399" s="20" t="s">
        <v>798</v>
      </c>
      <c r="T3399" s="17" t="s">
        <v>798</v>
      </c>
      <c r="U3399" s="20" t="s">
        <v>798</v>
      </c>
      <c r="V3399" s="26" t="s">
        <v>798</v>
      </c>
      <c r="W3399" s="20" t="s">
        <v>798</v>
      </c>
      <c r="X3399" s="26" t="s">
        <v>798</v>
      </c>
      <c r="Y3399" s="20" t="s">
        <v>798</v>
      </c>
      <c r="Z3399" s="69" t="s">
        <v>9486</v>
      </c>
      <c r="AA3399" s="72" t="s">
        <v>9481</v>
      </c>
      <c r="AB3399" s="73" t="s">
        <v>9486</v>
      </c>
      <c r="AC3399" s="74" t="s">
        <v>9562</v>
      </c>
      <c r="AD3399" s="73" t="s">
        <v>9578</v>
      </c>
      <c r="AE3399" s="74" t="s">
        <v>9579</v>
      </c>
    </row>
    <row r="3400" spans="1:31" ht="8.65" customHeight="1" x14ac:dyDescent="0.2">
      <c r="A3400" s="76">
        <v>3400</v>
      </c>
      <c r="B3400" s="67" t="str">
        <f>MID(C3400, FIND("Ifc.", C3400) + 4, 4) &amp; "_" &amp; TEXT(COUNTIF($C$2:C3400, C3400),"0000")</f>
        <v>Enti_0533</v>
      </c>
      <c r="C3400" s="25" t="s">
        <v>874</v>
      </c>
      <c r="D3400" s="69" t="s">
        <v>9453</v>
      </c>
      <c r="E3400" s="70" t="s">
        <v>9457</v>
      </c>
      <c r="F3400" s="26" t="s">
        <v>798</v>
      </c>
      <c r="G3400" s="15" t="s">
        <v>798</v>
      </c>
      <c r="H3400" s="14" t="s">
        <v>798</v>
      </c>
      <c r="I3400" s="15" t="s">
        <v>798</v>
      </c>
      <c r="J3400" s="12" t="s">
        <v>9438</v>
      </c>
      <c r="K3400" s="16" t="s">
        <v>3471</v>
      </c>
      <c r="L3400" s="12" t="s">
        <v>800</v>
      </c>
      <c r="M3400" s="16" t="s">
        <v>4436</v>
      </c>
      <c r="N3400" s="19" t="s">
        <v>798</v>
      </c>
      <c r="O3400" s="20" t="s">
        <v>798</v>
      </c>
      <c r="P3400" s="17" t="s">
        <v>802</v>
      </c>
      <c r="Q3400" s="21" t="s">
        <v>9023</v>
      </c>
      <c r="R3400" s="19" t="s">
        <v>798</v>
      </c>
      <c r="S3400" s="20" t="s">
        <v>798</v>
      </c>
      <c r="T3400" s="17" t="s">
        <v>798</v>
      </c>
      <c r="U3400" s="20" t="s">
        <v>798</v>
      </c>
      <c r="V3400" s="26" t="s">
        <v>798</v>
      </c>
      <c r="W3400" s="20" t="s">
        <v>798</v>
      </c>
      <c r="X3400" s="26" t="s">
        <v>798</v>
      </c>
      <c r="Y3400" s="20" t="s">
        <v>798</v>
      </c>
      <c r="Z3400" s="69" t="s">
        <v>9486</v>
      </c>
      <c r="AA3400" s="72" t="s">
        <v>9477</v>
      </c>
      <c r="AB3400" s="73" t="s">
        <v>9486</v>
      </c>
      <c r="AC3400" s="74" t="s">
        <v>9562</v>
      </c>
      <c r="AD3400" s="73" t="s">
        <v>9578</v>
      </c>
      <c r="AE3400" s="74" t="s">
        <v>9579</v>
      </c>
    </row>
    <row r="3401" spans="1:31" ht="8.65" customHeight="1" x14ac:dyDescent="0.2">
      <c r="A3401" s="76">
        <v>3401</v>
      </c>
      <c r="B3401" s="67" t="str">
        <f>MID(C3401, FIND("Ifc.", C3401) + 4, 4) &amp; "_" &amp; TEXT(COUNTIF($C$2:C3401, C3401),"0000")</f>
        <v>Enti_0534</v>
      </c>
      <c r="C3401" s="25" t="s">
        <v>874</v>
      </c>
      <c r="D3401" s="69" t="s">
        <v>9453</v>
      </c>
      <c r="E3401" s="70" t="s">
        <v>9457</v>
      </c>
      <c r="F3401" s="26" t="s">
        <v>798</v>
      </c>
      <c r="G3401" s="15" t="s">
        <v>798</v>
      </c>
      <c r="H3401" s="14" t="s">
        <v>798</v>
      </c>
      <c r="I3401" s="15" t="s">
        <v>798</v>
      </c>
      <c r="J3401" s="12" t="s">
        <v>9438</v>
      </c>
      <c r="K3401" s="16" t="s">
        <v>3472</v>
      </c>
      <c r="L3401" s="12" t="s">
        <v>800</v>
      </c>
      <c r="M3401" s="16" t="s">
        <v>4437</v>
      </c>
      <c r="N3401" s="19" t="s">
        <v>798</v>
      </c>
      <c r="O3401" s="20" t="s">
        <v>798</v>
      </c>
      <c r="P3401" s="17" t="s">
        <v>802</v>
      </c>
      <c r="Q3401" s="21" t="s">
        <v>9024</v>
      </c>
      <c r="R3401" s="19" t="s">
        <v>798</v>
      </c>
      <c r="S3401" s="20" t="s">
        <v>798</v>
      </c>
      <c r="T3401" s="17" t="s">
        <v>798</v>
      </c>
      <c r="U3401" s="20" t="s">
        <v>798</v>
      </c>
      <c r="V3401" s="26" t="s">
        <v>798</v>
      </c>
      <c r="W3401" s="20" t="s">
        <v>798</v>
      </c>
      <c r="X3401" s="26" t="s">
        <v>798</v>
      </c>
      <c r="Y3401" s="20" t="s">
        <v>798</v>
      </c>
      <c r="Z3401" s="69" t="s">
        <v>9486</v>
      </c>
      <c r="AA3401" s="72" t="s">
        <v>9476</v>
      </c>
      <c r="AB3401" s="73" t="s">
        <v>9486</v>
      </c>
      <c r="AC3401" s="74" t="s">
        <v>9562</v>
      </c>
      <c r="AD3401" s="73" t="s">
        <v>9578</v>
      </c>
      <c r="AE3401" s="74" t="s">
        <v>9579</v>
      </c>
    </row>
    <row r="3402" spans="1:31" ht="8.65" customHeight="1" x14ac:dyDescent="0.2">
      <c r="A3402" s="76">
        <v>3402</v>
      </c>
      <c r="B3402" s="67" t="str">
        <f>MID(C3402, FIND("Ifc.", C3402) + 4, 4) &amp; "_" &amp; TEXT(COUNTIF($C$2:C3402, C3402),"0000")</f>
        <v>Enti_0535</v>
      </c>
      <c r="C3402" s="25" t="s">
        <v>874</v>
      </c>
      <c r="D3402" s="69" t="s">
        <v>9453</v>
      </c>
      <c r="E3402" s="70" t="s">
        <v>9457</v>
      </c>
      <c r="F3402" s="26" t="s">
        <v>798</v>
      </c>
      <c r="G3402" s="15" t="s">
        <v>798</v>
      </c>
      <c r="H3402" s="14" t="s">
        <v>798</v>
      </c>
      <c r="I3402" s="15" t="s">
        <v>798</v>
      </c>
      <c r="J3402" s="12" t="s">
        <v>9438</v>
      </c>
      <c r="K3402" s="16" t="s">
        <v>3473</v>
      </c>
      <c r="L3402" s="12" t="s">
        <v>800</v>
      </c>
      <c r="M3402" s="16" t="s">
        <v>4438</v>
      </c>
      <c r="N3402" s="19" t="s">
        <v>798</v>
      </c>
      <c r="O3402" s="20" t="s">
        <v>798</v>
      </c>
      <c r="P3402" s="17" t="s">
        <v>802</v>
      </c>
      <c r="Q3402" s="21" t="s">
        <v>9025</v>
      </c>
      <c r="R3402" s="19" t="s">
        <v>798</v>
      </c>
      <c r="S3402" s="20" t="s">
        <v>798</v>
      </c>
      <c r="T3402" s="17" t="s">
        <v>798</v>
      </c>
      <c r="U3402" s="20" t="s">
        <v>798</v>
      </c>
      <c r="V3402" s="26" t="s">
        <v>798</v>
      </c>
      <c r="W3402" s="20" t="s">
        <v>798</v>
      </c>
      <c r="X3402" s="26" t="s">
        <v>798</v>
      </c>
      <c r="Y3402" s="20" t="s">
        <v>798</v>
      </c>
      <c r="Z3402" s="69" t="s">
        <v>9486</v>
      </c>
      <c r="AA3402" s="72" t="s">
        <v>9488</v>
      </c>
      <c r="AB3402" s="73" t="s">
        <v>9486</v>
      </c>
      <c r="AC3402" s="74" t="s">
        <v>9562</v>
      </c>
      <c r="AD3402" s="73" t="s">
        <v>9578</v>
      </c>
      <c r="AE3402" s="74" t="s">
        <v>9579</v>
      </c>
    </row>
    <row r="3403" spans="1:31" ht="8.65" customHeight="1" x14ac:dyDescent="0.2">
      <c r="A3403" s="76">
        <v>3403</v>
      </c>
      <c r="B3403" s="67" t="str">
        <f>MID(C3403, FIND("Ifc.", C3403) + 4, 4) &amp; "_" &amp; TEXT(COUNTIF($C$2:C3403, C3403),"0000")</f>
        <v>Enti_0536</v>
      </c>
      <c r="C3403" s="25" t="s">
        <v>874</v>
      </c>
      <c r="D3403" s="69" t="s">
        <v>9453</v>
      </c>
      <c r="E3403" s="70" t="s">
        <v>9457</v>
      </c>
      <c r="F3403" s="26" t="s">
        <v>798</v>
      </c>
      <c r="G3403" s="15" t="s">
        <v>798</v>
      </c>
      <c r="H3403" s="14" t="s">
        <v>798</v>
      </c>
      <c r="I3403" s="15" t="s">
        <v>798</v>
      </c>
      <c r="J3403" s="12" t="s">
        <v>9438</v>
      </c>
      <c r="K3403" s="16" t="s">
        <v>3474</v>
      </c>
      <c r="L3403" s="12" t="s">
        <v>800</v>
      </c>
      <c r="M3403" s="16" t="s">
        <v>4439</v>
      </c>
      <c r="N3403" s="19" t="s">
        <v>798</v>
      </c>
      <c r="O3403" s="20" t="s">
        <v>798</v>
      </c>
      <c r="P3403" s="17" t="s">
        <v>802</v>
      </c>
      <c r="Q3403" s="21" t="s">
        <v>9026</v>
      </c>
      <c r="R3403" s="19" t="s">
        <v>798</v>
      </c>
      <c r="S3403" s="20" t="s">
        <v>798</v>
      </c>
      <c r="T3403" s="17" t="s">
        <v>798</v>
      </c>
      <c r="U3403" s="20" t="s">
        <v>798</v>
      </c>
      <c r="V3403" s="26" t="s">
        <v>798</v>
      </c>
      <c r="W3403" s="20" t="s">
        <v>798</v>
      </c>
      <c r="X3403" s="26" t="s">
        <v>798</v>
      </c>
      <c r="Y3403" s="20" t="s">
        <v>798</v>
      </c>
      <c r="Z3403" s="69" t="s">
        <v>9486</v>
      </c>
      <c r="AA3403" s="72" t="s">
        <v>9488</v>
      </c>
      <c r="AB3403" s="73" t="s">
        <v>9486</v>
      </c>
      <c r="AC3403" s="74" t="s">
        <v>9562</v>
      </c>
      <c r="AD3403" s="73" t="s">
        <v>9578</v>
      </c>
      <c r="AE3403" s="74" t="s">
        <v>9579</v>
      </c>
    </row>
    <row r="3404" spans="1:31" ht="9.9499999999999993" customHeight="1" x14ac:dyDescent="0.2">
      <c r="A3404" s="76">
        <v>3404</v>
      </c>
      <c r="B3404" s="67" t="str">
        <f>MID(C3404, FIND("Ifc.", C3404) + 4, 4) &amp; "_" &amp; TEXT(COUNTIF($C$2:C3404, C3404),"0000")</f>
        <v>Enti_0537</v>
      </c>
      <c r="C3404" s="25" t="s">
        <v>874</v>
      </c>
      <c r="D3404" s="69" t="s">
        <v>9453</v>
      </c>
      <c r="E3404" s="70" t="s">
        <v>9457</v>
      </c>
      <c r="F3404" s="26" t="s">
        <v>798</v>
      </c>
      <c r="G3404" s="15" t="s">
        <v>798</v>
      </c>
      <c r="H3404" s="14" t="s">
        <v>798</v>
      </c>
      <c r="I3404" s="15" t="s">
        <v>798</v>
      </c>
      <c r="J3404" s="12" t="s">
        <v>9438</v>
      </c>
      <c r="K3404" s="16" t="s">
        <v>9429</v>
      </c>
      <c r="L3404" s="12" t="s">
        <v>800</v>
      </c>
      <c r="M3404" s="16" t="s">
        <v>9430</v>
      </c>
      <c r="N3404" s="19" t="s">
        <v>798</v>
      </c>
      <c r="O3404" s="20" t="s">
        <v>798</v>
      </c>
      <c r="P3404" s="17" t="s">
        <v>802</v>
      </c>
      <c r="Q3404" s="21" t="s">
        <v>9431</v>
      </c>
      <c r="R3404" s="19" t="s">
        <v>798</v>
      </c>
      <c r="S3404" s="20" t="s">
        <v>798</v>
      </c>
      <c r="T3404" s="17" t="s">
        <v>798</v>
      </c>
      <c r="U3404" s="20" t="s">
        <v>798</v>
      </c>
      <c r="V3404" s="17" t="s">
        <v>798</v>
      </c>
      <c r="W3404" s="20" t="s">
        <v>798</v>
      </c>
      <c r="X3404" s="17" t="s">
        <v>798</v>
      </c>
      <c r="Y3404" s="20" t="s">
        <v>798</v>
      </c>
      <c r="Z3404" s="69" t="s">
        <v>9486</v>
      </c>
      <c r="AA3404" s="72" t="s">
        <v>9488</v>
      </c>
      <c r="AB3404" s="73" t="s">
        <v>9486</v>
      </c>
      <c r="AC3404" s="74" t="s">
        <v>9562</v>
      </c>
      <c r="AD3404" s="73" t="s">
        <v>9578</v>
      </c>
      <c r="AE3404" s="74" t="s">
        <v>9579</v>
      </c>
    </row>
    <row r="3405" spans="1:31" ht="8.65" customHeight="1" x14ac:dyDescent="0.2">
      <c r="A3405" s="76">
        <v>3405</v>
      </c>
      <c r="B3405" s="67" t="str">
        <f>MID(C3405, FIND("Ifc.", C3405) + 4, 4) &amp; "_" &amp; TEXT(COUNTIF($C$2:C3405, C3405),"0000")</f>
        <v>Enti_0538</v>
      </c>
      <c r="C3405" s="25" t="s">
        <v>874</v>
      </c>
      <c r="D3405" s="69" t="s">
        <v>9453</v>
      </c>
      <c r="E3405" s="70" t="s">
        <v>9457</v>
      </c>
      <c r="F3405" s="26" t="s">
        <v>798</v>
      </c>
      <c r="G3405" s="15" t="s">
        <v>798</v>
      </c>
      <c r="H3405" s="14" t="s">
        <v>798</v>
      </c>
      <c r="I3405" s="15" t="s">
        <v>798</v>
      </c>
      <c r="J3405" s="12" t="s">
        <v>9438</v>
      </c>
      <c r="K3405" s="16" t="s">
        <v>3475</v>
      </c>
      <c r="L3405" s="12" t="s">
        <v>800</v>
      </c>
      <c r="M3405" s="16" t="s">
        <v>4440</v>
      </c>
      <c r="N3405" s="19" t="s">
        <v>798</v>
      </c>
      <c r="O3405" s="20" t="s">
        <v>798</v>
      </c>
      <c r="P3405" s="17" t="s">
        <v>802</v>
      </c>
      <c r="Q3405" s="21" t="s">
        <v>9027</v>
      </c>
      <c r="R3405" s="19" t="s">
        <v>798</v>
      </c>
      <c r="S3405" s="20" t="s">
        <v>798</v>
      </c>
      <c r="T3405" s="17" t="s">
        <v>798</v>
      </c>
      <c r="U3405" s="20" t="s">
        <v>798</v>
      </c>
      <c r="V3405" s="26" t="s">
        <v>798</v>
      </c>
      <c r="W3405" s="20" t="s">
        <v>798</v>
      </c>
      <c r="X3405" s="26" t="s">
        <v>798</v>
      </c>
      <c r="Y3405" s="20" t="s">
        <v>798</v>
      </c>
      <c r="Z3405" s="69" t="s">
        <v>9486</v>
      </c>
      <c r="AA3405" s="72" t="s">
        <v>9488</v>
      </c>
      <c r="AB3405" s="73" t="s">
        <v>9486</v>
      </c>
      <c r="AC3405" s="74" t="s">
        <v>9562</v>
      </c>
      <c r="AD3405" s="73" t="s">
        <v>9578</v>
      </c>
      <c r="AE3405" s="74" t="s">
        <v>9579</v>
      </c>
    </row>
    <row r="3406" spans="1:31" ht="8.65" customHeight="1" x14ac:dyDescent="0.2">
      <c r="A3406" s="76">
        <v>3406</v>
      </c>
      <c r="B3406" s="67" t="str">
        <f>MID(C3406, FIND("Ifc.", C3406) + 4, 4) &amp; "_" &amp; TEXT(COUNTIF($C$2:C3406, C3406),"0000")</f>
        <v>Enti_0539</v>
      </c>
      <c r="C3406" s="25" t="s">
        <v>874</v>
      </c>
      <c r="D3406" s="69" t="s">
        <v>9453</v>
      </c>
      <c r="E3406" s="70" t="s">
        <v>9457</v>
      </c>
      <c r="F3406" s="26" t="s">
        <v>798</v>
      </c>
      <c r="G3406" s="15" t="s">
        <v>798</v>
      </c>
      <c r="H3406" s="14" t="s">
        <v>798</v>
      </c>
      <c r="I3406" s="15" t="s">
        <v>798</v>
      </c>
      <c r="J3406" s="12" t="s">
        <v>9438</v>
      </c>
      <c r="K3406" s="16" t="s">
        <v>3476</v>
      </c>
      <c r="L3406" s="12" t="s">
        <v>800</v>
      </c>
      <c r="M3406" s="16" t="s">
        <v>4441</v>
      </c>
      <c r="N3406" s="19" t="s">
        <v>798</v>
      </c>
      <c r="O3406" s="20" t="s">
        <v>798</v>
      </c>
      <c r="P3406" s="17" t="s">
        <v>802</v>
      </c>
      <c r="Q3406" s="21" t="s">
        <v>9028</v>
      </c>
      <c r="R3406" s="19" t="s">
        <v>798</v>
      </c>
      <c r="S3406" s="20" t="s">
        <v>798</v>
      </c>
      <c r="T3406" s="17" t="s">
        <v>798</v>
      </c>
      <c r="U3406" s="20" t="s">
        <v>798</v>
      </c>
      <c r="V3406" s="26" t="s">
        <v>798</v>
      </c>
      <c r="W3406" s="20" t="s">
        <v>798</v>
      </c>
      <c r="X3406" s="26" t="s">
        <v>798</v>
      </c>
      <c r="Y3406" s="20" t="s">
        <v>798</v>
      </c>
      <c r="Z3406" s="69" t="s">
        <v>9486</v>
      </c>
      <c r="AA3406" s="72" t="s">
        <v>9488</v>
      </c>
      <c r="AB3406" s="73" t="s">
        <v>9486</v>
      </c>
      <c r="AC3406" s="74" t="s">
        <v>9566</v>
      </c>
      <c r="AD3406" s="73" t="s">
        <v>9578</v>
      </c>
      <c r="AE3406" s="74" t="s">
        <v>9579</v>
      </c>
    </row>
    <row r="3407" spans="1:31" ht="8.65" customHeight="1" x14ac:dyDescent="0.2">
      <c r="A3407" s="76">
        <v>3407</v>
      </c>
      <c r="B3407" s="67" t="str">
        <f>MID(C3407, FIND("Ifc.", C3407) + 4, 4) &amp; "_" &amp; TEXT(COUNTIF($C$2:C3407, C3407),"0000")</f>
        <v>Enti_0540</v>
      </c>
      <c r="C3407" s="25" t="s">
        <v>874</v>
      </c>
      <c r="D3407" s="69" t="s">
        <v>9453</v>
      </c>
      <c r="E3407" s="70" t="s">
        <v>9457</v>
      </c>
      <c r="F3407" s="26" t="s">
        <v>798</v>
      </c>
      <c r="G3407" s="15" t="s">
        <v>798</v>
      </c>
      <c r="H3407" s="14" t="s">
        <v>798</v>
      </c>
      <c r="I3407" s="15" t="s">
        <v>798</v>
      </c>
      <c r="J3407" s="12" t="s">
        <v>9438</v>
      </c>
      <c r="K3407" s="16" t="s">
        <v>3477</v>
      </c>
      <c r="L3407" s="12" t="s">
        <v>800</v>
      </c>
      <c r="M3407" s="16" t="s">
        <v>4442</v>
      </c>
      <c r="N3407" s="19" t="s">
        <v>798</v>
      </c>
      <c r="O3407" s="20" t="s">
        <v>798</v>
      </c>
      <c r="P3407" s="17" t="s">
        <v>802</v>
      </c>
      <c r="Q3407" s="21" t="s">
        <v>9029</v>
      </c>
      <c r="R3407" s="19" t="s">
        <v>798</v>
      </c>
      <c r="S3407" s="20" t="s">
        <v>798</v>
      </c>
      <c r="T3407" s="17" t="s">
        <v>798</v>
      </c>
      <c r="U3407" s="20" t="s">
        <v>798</v>
      </c>
      <c r="V3407" s="26" t="s">
        <v>798</v>
      </c>
      <c r="W3407" s="20" t="s">
        <v>798</v>
      </c>
      <c r="X3407" s="26" t="s">
        <v>798</v>
      </c>
      <c r="Y3407" s="20" t="s">
        <v>798</v>
      </c>
      <c r="Z3407" s="69" t="s">
        <v>9486</v>
      </c>
      <c r="AA3407" s="72" t="s">
        <v>9488</v>
      </c>
      <c r="AB3407" s="73" t="s">
        <v>9486</v>
      </c>
      <c r="AC3407" s="74" t="s">
        <v>9562</v>
      </c>
      <c r="AD3407" s="73" t="s">
        <v>9578</v>
      </c>
      <c r="AE3407" s="74" t="s">
        <v>9579</v>
      </c>
    </row>
    <row r="3408" spans="1:31" ht="8.65" customHeight="1" x14ac:dyDescent="0.2">
      <c r="A3408" s="76">
        <v>3408</v>
      </c>
      <c r="B3408" s="67" t="str">
        <f>MID(C3408, FIND("Ifc.", C3408) + 4, 4) &amp; "_" &amp; TEXT(COUNTIF($C$2:C3408, C3408),"0000")</f>
        <v>Enti_0541</v>
      </c>
      <c r="C3408" s="25" t="s">
        <v>874</v>
      </c>
      <c r="D3408" s="69" t="s">
        <v>9453</v>
      </c>
      <c r="E3408" s="70" t="s">
        <v>9457</v>
      </c>
      <c r="F3408" s="26" t="s">
        <v>798</v>
      </c>
      <c r="G3408" s="15" t="s">
        <v>798</v>
      </c>
      <c r="H3408" s="14" t="s">
        <v>798</v>
      </c>
      <c r="I3408" s="15" t="s">
        <v>798</v>
      </c>
      <c r="J3408" s="12" t="s">
        <v>9438</v>
      </c>
      <c r="K3408" s="16" t="s">
        <v>3478</v>
      </c>
      <c r="L3408" s="12" t="s">
        <v>800</v>
      </c>
      <c r="M3408" s="16" t="s">
        <v>4443</v>
      </c>
      <c r="N3408" s="19" t="s">
        <v>798</v>
      </c>
      <c r="O3408" s="20" t="s">
        <v>798</v>
      </c>
      <c r="P3408" s="17" t="s">
        <v>802</v>
      </c>
      <c r="Q3408" s="21" t="s">
        <v>9030</v>
      </c>
      <c r="R3408" s="19" t="s">
        <v>798</v>
      </c>
      <c r="S3408" s="20" t="s">
        <v>798</v>
      </c>
      <c r="T3408" s="17" t="s">
        <v>798</v>
      </c>
      <c r="U3408" s="20" t="s">
        <v>798</v>
      </c>
      <c r="V3408" s="26" t="s">
        <v>798</v>
      </c>
      <c r="W3408" s="20" t="s">
        <v>798</v>
      </c>
      <c r="X3408" s="26" t="s">
        <v>798</v>
      </c>
      <c r="Y3408" s="20" t="s">
        <v>798</v>
      </c>
      <c r="Z3408" s="69" t="s">
        <v>9486</v>
      </c>
      <c r="AA3408" s="72" t="s">
        <v>9488</v>
      </c>
      <c r="AB3408" s="73" t="s">
        <v>9486</v>
      </c>
      <c r="AC3408" s="74" t="s">
        <v>9562</v>
      </c>
      <c r="AD3408" s="73" t="s">
        <v>9578</v>
      </c>
      <c r="AE3408" s="74" t="s">
        <v>9579</v>
      </c>
    </row>
    <row r="3409" spans="1:31" ht="8.65" customHeight="1" x14ac:dyDescent="0.2">
      <c r="A3409" s="76">
        <v>3409</v>
      </c>
      <c r="B3409" s="67" t="str">
        <f>MID(C3409, FIND("Ifc.", C3409) + 4, 4) &amp; "_" &amp; TEXT(COUNTIF($C$2:C3409, C3409),"0000")</f>
        <v>Enti_0542</v>
      </c>
      <c r="C3409" s="25" t="s">
        <v>874</v>
      </c>
      <c r="D3409" s="69" t="s">
        <v>9453</v>
      </c>
      <c r="E3409" s="70" t="s">
        <v>9457</v>
      </c>
      <c r="F3409" s="26" t="s">
        <v>798</v>
      </c>
      <c r="G3409" s="15" t="s">
        <v>798</v>
      </c>
      <c r="H3409" s="14" t="s">
        <v>798</v>
      </c>
      <c r="I3409" s="15" t="s">
        <v>798</v>
      </c>
      <c r="J3409" s="12" t="s">
        <v>9438</v>
      </c>
      <c r="K3409" s="16" t="s">
        <v>3479</v>
      </c>
      <c r="L3409" s="12" t="s">
        <v>800</v>
      </c>
      <c r="M3409" s="16" t="s">
        <v>4444</v>
      </c>
      <c r="N3409" s="19" t="s">
        <v>798</v>
      </c>
      <c r="O3409" s="20" t="s">
        <v>798</v>
      </c>
      <c r="P3409" s="17" t="s">
        <v>802</v>
      </c>
      <c r="Q3409" s="21" t="s">
        <v>9031</v>
      </c>
      <c r="R3409" s="19" t="s">
        <v>798</v>
      </c>
      <c r="S3409" s="20" t="s">
        <v>798</v>
      </c>
      <c r="T3409" s="17" t="s">
        <v>798</v>
      </c>
      <c r="U3409" s="20" t="s">
        <v>798</v>
      </c>
      <c r="V3409" s="26" t="s">
        <v>798</v>
      </c>
      <c r="W3409" s="20" t="s">
        <v>798</v>
      </c>
      <c r="X3409" s="26" t="s">
        <v>798</v>
      </c>
      <c r="Y3409" s="20" t="s">
        <v>798</v>
      </c>
      <c r="Z3409" s="69" t="s">
        <v>9486</v>
      </c>
      <c r="AA3409" s="72" t="s">
        <v>9488</v>
      </c>
      <c r="AB3409" s="73" t="s">
        <v>9486</v>
      </c>
      <c r="AC3409" s="74" t="s">
        <v>9562</v>
      </c>
      <c r="AD3409" s="73" t="s">
        <v>9578</v>
      </c>
      <c r="AE3409" s="74" t="s">
        <v>9579</v>
      </c>
    </row>
    <row r="3410" spans="1:31" ht="8.65" customHeight="1" x14ac:dyDescent="0.2">
      <c r="A3410" s="76">
        <v>3410</v>
      </c>
      <c r="B3410" s="67" t="str">
        <f>MID(C3410, FIND("Ifc.", C3410) + 4, 4) &amp; "_" &amp; TEXT(COUNTIF($C$2:C3410, C3410),"0000")</f>
        <v>Enti_0543</v>
      </c>
      <c r="C3410" s="25" t="s">
        <v>874</v>
      </c>
      <c r="D3410" s="69" t="s">
        <v>9453</v>
      </c>
      <c r="E3410" s="70" t="s">
        <v>9457</v>
      </c>
      <c r="F3410" s="26" t="s">
        <v>798</v>
      </c>
      <c r="G3410" s="15" t="s">
        <v>798</v>
      </c>
      <c r="H3410" s="14" t="s">
        <v>798</v>
      </c>
      <c r="I3410" s="15" t="s">
        <v>798</v>
      </c>
      <c r="J3410" s="12" t="s">
        <v>9438</v>
      </c>
      <c r="K3410" s="16" t="s">
        <v>3480</v>
      </c>
      <c r="L3410" s="12" t="s">
        <v>800</v>
      </c>
      <c r="M3410" s="16" t="s">
        <v>4445</v>
      </c>
      <c r="N3410" s="19" t="s">
        <v>798</v>
      </c>
      <c r="O3410" s="20" t="s">
        <v>798</v>
      </c>
      <c r="P3410" s="17" t="s">
        <v>802</v>
      </c>
      <c r="Q3410" s="21" t="s">
        <v>9032</v>
      </c>
      <c r="R3410" s="19" t="s">
        <v>798</v>
      </c>
      <c r="S3410" s="20" t="s">
        <v>798</v>
      </c>
      <c r="T3410" s="17" t="s">
        <v>798</v>
      </c>
      <c r="U3410" s="20" t="s">
        <v>798</v>
      </c>
      <c r="V3410" s="26" t="s">
        <v>798</v>
      </c>
      <c r="W3410" s="20" t="s">
        <v>798</v>
      </c>
      <c r="X3410" s="26" t="s">
        <v>798</v>
      </c>
      <c r="Y3410" s="20" t="s">
        <v>798</v>
      </c>
      <c r="Z3410" s="69" t="s">
        <v>9486</v>
      </c>
      <c r="AA3410" s="72" t="s">
        <v>9476</v>
      </c>
      <c r="AB3410" s="73" t="s">
        <v>9486</v>
      </c>
      <c r="AC3410" s="74" t="s">
        <v>9562</v>
      </c>
      <c r="AD3410" s="73" t="s">
        <v>9578</v>
      </c>
      <c r="AE3410" s="74" t="s">
        <v>9579</v>
      </c>
    </row>
    <row r="3411" spans="1:31" ht="8.65" customHeight="1" x14ac:dyDescent="0.2">
      <c r="A3411" s="76">
        <v>3411</v>
      </c>
      <c r="B3411" s="67" t="str">
        <f>MID(C3411, FIND("Ifc.", C3411) + 4, 4) &amp; "_" &amp; TEXT(COUNTIF($C$2:C3411, C3411),"0000")</f>
        <v>Enti_0544</v>
      </c>
      <c r="C3411" s="25" t="s">
        <v>874</v>
      </c>
      <c r="D3411" s="69" t="s">
        <v>9453</v>
      </c>
      <c r="E3411" s="70" t="s">
        <v>9457</v>
      </c>
      <c r="F3411" s="26" t="s">
        <v>798</v>
      </c>
      <c r="G3411" s="15" t="s">
        <v>798</v>
      </c>
      <c r="H3411" s="14" t="s">
        <v>798</v>
      </c>
      <c r="I3411" s="15" t="s">
        <v>798</v>
      </c>
      <c r="J3411" s="12" t="s">
        <v>9438</v>
      </c>
      <c r="K3411" s="16" t="s">
        <v>3481</v>
      </c>
      <c r="L3411" s="12" t="s">
        <v>800</v>
      </c>
      <c r="M3411" s="16" t="s">
        <v>4446</v>
      </c>
      <c r="N3411" s="19" t="s">
        <v>798</v>
      </c>
      <c r="O3411" s="20" t="s">
        <v>798</v>
      </c>
      <c r="P3411" s="17" t="s">
        <v>802</v>
      </c>
      <c r="Q3411" s="21" t="s">
        <v>9033</v>
      </c>
      <c r="R3411" s="19" t="s">
        <v>798</v>
      </c>
      <c r="S3411" s="20" t="s">
        <v>798</v>
      </c>
      <c r="T3411" s="17" t="s">
        <v>798</v>
      </c>
      <c r="U3411" s="20" t="s">
        <v>798</v>
      </c>
      <c r="V3411" s="26" t="s">
        <v>798</v>
      </c>
      <c r="W3411" s="20" t="s">
        <v>798</v>
      </c>
      <c r="X3411" s="26" t="s">
        <v>798</v>
      </c>
      <c r="Y3411" s="20" t="s">
        <v>798</v>
      </c>
      <c r="Z3411" s="69" t="s">
        <v>9486</v>
      </c>
      <c r="AA3411" s="72" t="s">
        <v>9476</v>
      </c>
      <c r="AB3411" s="73" t="s">
        <v>9486</v>
      </c>
      <c r="AC3411" s="74" t="s">
        <v>9562</v>
      </c>
      <c r="AD3411" s="73" t="s">
        <v>9578</v>
      </c>
      <c r="AE3411" s="74" t="s">
        <v>9579</v>
      </c>
    </row>
    <row r="3412" spans="1:31" ht="8.65" customHeight="1" x14ac:dyDescent="0.2">
      <c r="A3412" s="76">
        <v>3412</v>
      </c>
      <c r="B3412" s="67" t="str">
        <f>MID(C3412, FIND("Ifc.", C3412) + 4, 4) &amp; "_" &amp; TEXT(COUNTIF($C$2:C3412, C3412),"0000")</f>
        <v>Enti_0545</v>
      </c>
      <c r="C3412" s="25" t="s">
        <v>874</v>
      </c>
      <c r="D3412" s="69" t="s">
        <v>9453</v>
      </c>
      <c r="E3412" s="70" t="s">
        <v>9457</v>
      </c>
      <c r="F3412" s="26" t="s">
        <v>798</v>
      </c>
      <c r="G3412" s="15" t="s">
        <v>798</v>
      </c>
      <c r="H3412" s="14" t="s">
        <v>798</v>
      </c>
      <c r="I3412" s="15" t="s">
        <v>798</v>
      </c>
      <c r="J3412" s="12" t="s">
        <v>9438</v>
      </c>
      <c r="K3412" s="16" t="s">
        <v>3482</v>
      </c>
      <c r="L3412" s="12" t="s">
        <v>800</v>
      </c>
      <c r="M3412" s="16" t="s">
        <v>4447</v>
      </c>
      <c r="N3412" s="19" t="s">
        <v>798</v>
      </c>
      <c r="O3412" s="20" t="s">
        <v>798</v>
      </c>
      <c r="P3412" s="17" t="s">
        <v>802</v>
      </c>
      <c r="Q3412" s="21" t="s">
        <v>9034</v>
      </c>
      <c r="R3412" s="19" t="s">
        <v>798</v>
      </c>
      <c r="S3412" s="20" t="s">
        <v>798</v>
      </c>
      <c r="T3412" s="17" t="s">
        <v>798</v>
      </c>
      <c r="U3412" s="20" t="s">
        <v>798</v>
      </c>
      <c r="V3412" s="26" t="s">
        <v>798</v>
      </c>
      <c r="W3412" s="20" t="s">
        <v>798</v>
      </c>
      <c r="X3412" s="26" t="s">
        <v>798</v>
      </c>
      <c r="Y3412" s="20" t="s">
        <v>798</v>
      </c>
      <c r="Z3412" s="69" t="s">
        <v>9486</v>
      </c>
      <c r="AA3412" s="72" t="s">
        <v>9477</v>
      </c>
      <c r="AB3412" s="73" t="s">
        <v>9486</v>
      </c>
      <c r="AC3412" s="74" t="s">
        <v>9562</v>
      </c>
      <c r="AD3412" s="73" t="s">
        <v>9578</v>
      </c>
      <c r="AE3412" s="74" t="s">
        <v>9579</v>
      </c>
    </row>
    <row r="3413" spans="1:31" ht="8.65" customHeight="1" x14ac:dyDescent="0.2">
      <c r="A3413" s="76">
        <v>3413</v>
      </c>
      <c r="B3413" s="67" t="str">
        <f>MID(C3413, FIND("Ifc.", C3413) + 4, 4) &amp; "_" &amp; TEXT(COUNTIF($C$2:C3413, C3413),"0000")</f>
        <v>Enti_0546</v>
      </c>
      <c r="C3413" s="25" t="s">
        <v>874</v>
      </c>
      <c r="D3413" s="69" t="s">
        <v>9453</v>
      </c>
      <c r="E3413" s="70" t="s">
        <v>9457</v>
      </c>
      <c r="F3413" s="26" t="s">
        <v>798</v>
      </c>
      <c r="G3413" s="15" t="s">
        <v>798</v>
      </c>
      <c r="H3413" s="14" t="s">
        <v>798</v>
      </c>
      <c r="I3413" s="15" t="s">
        <v>798</v>
      </c>
      <c r="J3413" s="12" t="s">
        <v>9438</v>
      </c>
      <c r="K3413" s="16" t="s">
        <v>3483</v>
      </c>
      <c r="L3413" s="12" t="s">
        <v>800</v>
      </c>
      <c r="M3413" s="16" t="s">
        <v>4448</v>
      </c>
      <c r="N3413" s="19" t="s">
        <v>798</v>
      </c>
      <c r="O3413" s="20" t="s">
        <v>798</v>
      </c>
      <c r="P3413" s="17" t="s">
        <v>802</v>
      </c>
      <c r="Q3413" s="21" t="s">
        <v>9035</v>
      </c>
      <c r="R3413" s="19" t="s">
        <v>798</v>
      </c>
      <c r="S3413" s="20" t="s">
        <v>798</v>
      </c>
      <c r="T3413" s="17" t="s">
        <v>798</v>
      </c>
      <c r="U3413" s="20" t="s">
        <v>798</v>
      </c>
      <c r="V3413" s="26" t="s">
        <v>798</v>
      </c>
      <c r="W3413" s="20" t="s">
        <v>798</v>
      </c>
      <c r="X3413" s="26" t="s">
        <v>798</v>
      </c>
      <c r="Y3413" s="20" t="s">
        <v>798</v>
      </c>
      <c r="Z3413" s="69" t="s">
        <v>9486</v>
      </c>
      <c r="AA3413" s="72" t="s">
        <v>9476</v>
      </c>
      <c r="AB3413" s="73" t="s">
        <v>9486</v>
      </c>
      <c r="AC3413" s="74" t="s">
        <v>9566</v>
      </c>
      <c r="AD3413" s="73" t="s">
        <v>9578</v>
      </c>
      <c r="AE3413" s="74" t="s">
        <v>9579</v>
      </c>
    </row>
    <row r="3414" spans="1:31" ht="8.65" customHeight="1" x14ac:dyDescent="0.2">
      <c r="A3414" s="76">
        <v>3414</v>
      </c>
      <c r="B3414" s="67" t="str">
        <f>MID(C3414, FIND("Ifc.", C3414) + 4, 4) &amp; "_" &amp; TEXT(COUNTIF($C$2:C3414, C3414),"0000")</f>
        <v>Enti_0547</v>
      </c>
      <c r="C3414" s="25" t="s">
        <v>874</v>
      </c>
      <c r="D3414" s="69" t="s">
        <v>9453</v>
      </c>
      <c r="E3414" s="70" t="s">
        <v>9457</v>
      </c>
      <c r="F3414" s="26" t="s">
        <v>798</v>
      </c>
      <c r="G3414" s="15" t="s">
        <v>798</v>
      </c>
      <c r="H3414" s="14" t="s">
        <v>798</v>
      </c>
      <c r="I3414" s="15" t="s">
        <v>798</v>
      </c>
      <c r="J3414" s="12" t="s">
        <v>9438</v>
      </c>
      <c r="K3414" s="16" t="s">
        <v>3484</v>
      </c>
      <c r="L3414" s="12" t="s">
        <v>800</v>
      </c>
      <c r="M3414" s="16" t="s">
        <v>4449</v>
      </c>
      <c r="N3414" s="19" t="s">
        <v>798</v>
      </c>
      <c r="O3414" s="20" t="s">
        <v>798</v>
      </c>
      <c r="P3414" s="17" t="s">
        <v>802</v>
      </c>
      <c r="Q3414" s="21" t="s">
        <v>9036</v>
      </c>
      <c r="R3414" s="19" t="s">
        <v>798</v>
      </c>
      <c r="S3414" s="20" t="s">
        <v>798</v>
      </c>
      <c r="T3414" s="17" t="s">
        <v>798</v>
      </c>
      <c r="U3414" s="20" t="s">
        <v>798</v>
      </c>
      <c r="V3414" s="26" t="s">
        <v>798</v>
      </c>
      <c r="W3414" s="20" t="s">
        <v>798</v>
      </c>
      <c r="X3414" s="26" t="s">
        <v>798</v>
      </c>
      <c r="Y3414" s="20" t="s">
        <v>798</v>
      </c>
      <c r="Z3414" s="69" t="s">
        <v>9486</v>
      </c>
      <c r="AA3414" s="72" t="s">
        <v>9477</v>
      </c>
      <c r="AB3414" s="73" t="s">
        <v>9486</v>
      </c>
      <c r="AC3414" s="74" t="s">
        <v>9566</v>
      </c>
      <c r="AD3414" s="73" t="s">
        <v>9578</v>
      </c>
      <c r="AE3414" s="74" t="s">
        <v>9579</v>
      </c>
    </row>
    <row r="3415" spans="1:31" ht="8.65" customHeight="1" x14ac:dyDescent="0.2">
      <c r="A3415" s="76">
        <v>3415</v>
      </c>
      <c r="B3415" s="67" t="str">
        <f>MID(C3415, FIND("Ifc.", C3415) + 4, 4) &amp; "_" &amp; TEXT(COUNTIF($C$2:C3415, C3415),"0000")</f>
        <v>Enti_0548</v>
      </c>
      <c r="C3415" s="25" t="s">
        <v>874</v>
      </c>
      <c r="D3415" s="69" t="s">
        <v>9453</v>
      </c>
      <c r="E3415" s="70" t="s">
        <v>9457</v>
      </c>
      <c r="F3415" s="26" t="s">
        <v>798</v>
      </c>
      <c r="G3415" s="15" t="s">
        <v>798</v>
      </c>
      <c r="H3415" s="14" t="s">
        <v>798</v>
      </c>
      <c r="I3415" s="15" t="s">
        <v>798</v>
      </c>
      <c r="J3415" s="12" t="s">
        <v>9438</v>
      </c>
      <c r="K3415" s="16" t="s">
        <v>3485</v>
      </c>
      <c r="L3415" s="12" t="s">
        <v>800</v>
      </c>
      <c r="M3415" s="16" t="s">
        <v>4450</v>
      </c>
      <c r="N3415" s="19" t="s">
        <v>798</v>
      </c>
      <c r="O3415" s="20" t="s">
        <v>798</v>
      </c>
      <c r="P3415" s="17" t="s">
        <v>802</v>
      </c>
      <c r="Q3415" s="21" t="s">
        <v>9037</v>
      </c>
      <c r="R3415" s="19" t="s">
        <v>798</v>
      </c>
      <c r="S3415" s="20" t="s">
        <v>798</v>
      </c>
      <c r="T3415" s="17" t="s">
        <v>798</v>
      </c>
      <c r="U3415" s="20" t="s">
        <v>798</v>
      </c>
      <c r="V3415" s="26" t="s">
        <v>798</v>
      </c>
      <c r="W3415" s="20" t="s">
        <v>798</v>
      </c>
      <c r="X3415" s="26" t="s">
        <v>798</v>
      </c>
      <c r="Y3415" s="20" t="s">
        <v>798</v>
      </c>
      <c r="Z3415" s="69" t="s">
        <v>9486</v>
      </c>
      <c r="AA3415" s="72" t="s">
        <v>9476</v>
      </c>
      <c r="AB3415" s="73" t="s">
        <v>9486</v>
      </c>
      <c r="AC3415" s="74" t="s">
        <v>9566</v>
      </c>
      <c r="AD3415" s="73" t="s">
        <v>9578</v>
      </c>
      <c r="AE3415" s="74" t="s">
        <v>9579</v>
      </c>
    </row>
    <row r="3416" spans="1:31" ht="9.9499999999999993" customHeight="1" x14ac:dyDescent="0.2">
      <c r="A3416" s="76">
        <v>3416</v>
      </c>
      <c r="B3416" s="67" t="str">
        <f>MID(C3416, FIND("Ifc.", C3416) + 4, 4) &amp; "_" &amp; TEXT(COUNTIF($C$2:C3416, C3416),"0000")</f>
        <v>Enti_0549</v>
      </c>
      <c r="C3416" s="25" t="s">
        <v>874</v>
      </c>
      <c r="D3416" s="69" t="s">
        <v>9453</v>
      </c>
      <c r="E3416" s="70" t="s">
        <v>9457</v>
      </c>
      <c r="F3416" s="26" t="s">
        <v>798</v>
      </c>
      <c r="G3416" s="15" t="s">
        <v>798</v>
      </c>
      <c r="H3416" s="14" t="s">
        <v>798</v>
      </c>
      <c r="I3416" s="15" t="s">
        <v>798</v>
      </c>
      <c r="J3416" s="12" t="s">
        <v>9438</v>
      </c>
      <c r="K3416" s="16" t="s">
        <v>9432</v>
      </c>
      <c r="L3416" s="12" t="s">
        <v>800</v>
      </c>
      <c r="M3416" s="16" t="s">
        <v>9433</v>
      </c>
      <c r="N3416" s="19" t="s">
        <v>798</v>
      </c>
      <c r="O3416" s="20" t="s">
        <v>798</v>
      </c>
      <c r="P3416" s="17" t="s">
        <v>802</v>
      </c>
      <c r="Q3416" s="21" t="s">
        <v>9434</v>
      </c>
      <c r="R3416" s="19" t="s">
        <v>798</v>
      </c>
      <c r="S3416" s="20" t="s">
        <v>798</v>
      </c>
      <c r="T3416" s="17" t="s">
        <v>798</v>
      </c>
      <c r="U3416" s="20" t="s">
        <v>798</v>
      </c>
      <c r="V3416" s="17" t="s">
        <v>798</v>
      </c>
      <c r="W3416" s="20" t="s">
        <v>798</v>
      </c>
      <c r="X3416" s="17" t="s">
        <v>798</v>
      </c>
      <c r="Y3416" s="20" t="s">
        <v>798</v>
      </c>
      <c r="Z3416" s="69" t="s">
        <v>9486</v>
      </c>
      <c r="AA3416" s="72" t="s">
        <v>9476</v>
      </c>
      <c r="AB3416" s="73" t="s">
        <v>9486</v>
      </c>
      <c r="AC3416" s="74" t="s">
        <v>9566</v>
      </c>
      <c r="AD3416" s="73" t="s">
        <v>9578</v>
      </c>
      <c r="AE3416" s="74" t="s">
        <v>9579</v>
      </c>
    </row>
    <row r="3417" spans="1:31" ht="8.65" customHeight="1" x14ac:dyDescent="0.2">
      <c r="A3417" s="76">
        <v>3417</v>
      </c>
      <c r="B3417" s="67" t="str">
        <f>MID(C3417, FIND("Ifc.", C3417) + 4, 4) &amp; "_" &amp; TEXT(COUNTIF($C$2:C3417, C3417),"0000")</f>
        <v>Enti_0550</v>
      </c>
      <c r="C3417" s="25" t="s">
        <v>874</v>
      </c>
      <c r="D3417" s="69" t="s">
        <v>9453</v>
      </c>
      <c r="E3417" s="70" t="s">
        <v>9457</v>
      </c>
      <c r="F3417" s="26" t="s">
        <v>798</v>
      </c>
      <c r="G3417" s="15" t="s">
        <v>798</v>
      </c>
      <c r="H3417" s="14" t="s">
        <v>798</v>
      </c>
      <c r="I3417" s="15" t="s">
        <v>798</v>
      </c>
      <c r="J3417" s="12" t="s">
        <v>9438</v>
      </c>
      <c r="K3417" s="16" t="s">
        <v>3486</v>
      </c>
      <c r="L3417" s="12" t="s">
        <v>800</v>
      </c>
      <c r="M3417" s="16" t="s">
        <v>4451</v>
      </c>
      <c r="N3417" s="19" t="s">
        <v>798</v>
      </c>
      <c r="O3417" s="20" t="s">
        <v>798</v>
      </c>
      <c r="P3417" s="17" t="s">
        <v>802</v>
      </c>
      <c r="Q3417" s="21" t="s">
        <v>9038</v>
      </c>
      <c r="R3417" s="19" t="s">
        <v>798</v>
      </c>
      <c r="S3417" s="20" t="s">
        <v>798</v>
      </c>
      <c r="T3417" s="17" t="s">
        <v>798</v>
      </c>
      <c r="U3417" s="20" t="s">
        <v>798</v>
      </c>
      <c r="V3417" s="26" t="s">
        <v>798</v>
      </c>
      <c r="W3417" s="20" t="s">
        <v>798</v>
      </c>
      <c r="X3417" s="26" t="s">
        <v>798</v>
      </c>
      <c r="Y3417" s="20" t="s">
        <v>798</v>
      </c>
      <c r="Z3417" s="69" t="s">
        <v>9486</v>
      </c>
      <c r="AA3417" s="72" t="s">
        <v>9476</v>
      </c>
      <c r="AB3417" s="73" t="s">
        <v>9486</v>
      </c>
      <c r="AC3417" s="74" t="s">
        <v>9566</v>
      </c>
      <c r="AD3417" s="73" t="s">
        <v>9578</v>
      </c>
      <c r="AE3417" s="74" t="s">
        <v>9579</v>
      </c>
    </row>
    <row r="3418" spans="1:31" ht="8.65" customHeight="1" x14ac:dyDescent="0.2">
      <c r="A3418" s="76">
        <v>3418</v>
      </c>
      <c r="B3418" s="67" t="str">
        <f>MID(C3418, FIND("Ifc.", C3418) + 4, 4) &amp; "_" &amp; TEXT(COUNTIF($C$2:C3418, C3418),"0000")</f>
        <v>Enti_0551</v>
      </c>
      <c r="C3418" s="25" t="s">
        <v>874</v>
      </c>
      <c r="D3418" s="69" t="s">
        <v>9453</v>
      </c>
      <c r="E3418" s="70" t="s">
        <v>9457</v>
      </c>
      <c r="F3418" s="26" t="s">
        <v>798</v>
      </c>
      <c r="G3418" s="15" t="s">
        <v>798</v>
      </c>
      <c r="H3418" s="14" t="s">
        <v>798</v>
      </c>
      <c r="I3418" s="15" t="s">
        <v>798</v>
      </c>
      <c r="J3418" s="12" t="s">
        <v>9438</v>
      </c>
      <c r="K3418" s="16" t="s">
        <v>3487</v>
      </c>
      <c r="L3418" s="12" t="s">
        <v>800</v>
      </c>
      <c r="M3418" s="16" t="s">
        <v>4452</v>
      </c>
      <c r="N3418" s="19" t="s">
        <v>798</v>
      </c>
      <c r="O3418" s="20" t="s">
        <v>798</v>
      </c>
      <c r="P3418" s="17" t="s">
        <v>802</v>
      </c>
      <c r="Q3418" s="21" t="s">
        <v>9039</v>
      </c>
      <c r="R3418" s="19" t="s">
        <v>798</v>
      </c>
      <c r="S3418" s="20" t="s">
        <v>798</v>
      </c>
      <c r="T3418" s="17" t="s">
        <v>798</v>
      </c>
      <c r="U3418" s="20" t="s">
        <v>798</v>
      </c>
      <c r="V3418" s="26" t="s">
        <v>798</v>
      </c>
      <c r="W3418" s="20" t="s">
        <v>798</v>
      </c>
      <c r="X3418" s="26" t="s">
        <v>798</v>
      </c>
      <c r="Y3418" s="20" t="s">
        <v>798</v>
      </c>
      <c r="Z3418" s="69" t="s">
        <v>9486</v>
      </c>
      <c r="AA3418" s="72" t="s">
        <v>9476</v>
      </c>
      <c r="AB3418" s="73" t="s">
        <v>9486</v>
      </c>
      <c r="AC3418" s="74" t="s">
        <v>9566</v>
      </c>
      <c r="AD3418" s="73" t="s">
        <v>9578</v>
      </c>
      <c r="AE3418" s="74" t="s">
        <v>9579</v>
      </c>
    </row>
    <row r="3419" spans="1:31" ht="8.65" customHeight="1" x14ac:dyDescent="0.2">
      <c r="A3419" s="76">
        <v>3419</v>
      </c>
      <c r="B3419" s="67" t="str">
        <f>MID(C3419, FIND("Ifc.", C3419) + 4, 4) &amp; "_" &amp; TEXT(COUNTIF($C$2:C3419, C3419),"0000")</f>
        <v>Enti_0552</v>
      </c>
      <c r="C3419" s="25" t="s">
        <v>874</v>
      </c>
      <c r="D3419" s="69" t="s">
        <v>9453</v>
      </c>
      <c r="E3419" s="70" t="s">
        <v>9457</v>
      </c>
      <c r="F3419" s="26" t="s">
        <v>798</v>
      </c>
      <c r="G3419" s="15" t="s">
        <v>798</v>
      </c>
      <c r="H3419" s="14" t="s">
        <v>798</v>
      </c>
      <c r="I3419" s="15" t="s">
        <v>798</v>
      </c>
      <c r="J3419" s="12" t="s">
        <v>9438</v>
      </c>
      <c r="K3419" s="16" t="s">
        <v>3488</v>
      </c>
      <c r="L3419" s="12" t="s">
        <v>800</v>
      </c>
      <c r="M3419" s="16" t="s">
        <v>4453</v>
      </c>
      <c r="N3419" s="19" t="s">
        <v>798</v>
      </c>
      <c r="O3419" s="20" t="s">
        <v>798</v>
      </c>
      <c r="P3419" s="17" t="s">
        <v>802</v>
      </c>
      <c r="Q3419" s="21" t="s">
        <v>9040</v>
      </c>
      <c r="R3419" s="19" t="s">
        <v>798</v>
      </c>
      <c r="S3419" s="20" t="s">
        <v>798</v>
      </c>
      <c r="T3419" s="17" t="s">
        <v>798</v>
      </c>
      <c r="U3419" s="20" t="s">
        <v>798</v>
      </c>
      <c r="V3419" s="26" t="s">
        <v>798</v>
      </c>
      <c r="W3419" s="20" t="s">
        <v>798</v>
      </c>
      <c r="X3419" s="26" t="s">
        <v>798</v>
      </c>
      <c r="Y3419" s="20" t="s">
        <v>798</v>
      </c>
      <c r="Z3419" s="69" t="s">
        <v>9486</v>
      </c>
      <c r="AA3419" s="72" t="s">
        <v>9477</v>
      </c>
      <c r="AB3419" s="73" t="s">
        <v>9486</v>
      </c>
      <c r="AC3419" s="74" t="s">
        <v>9566</v>
      </c>
      <c r="AD3419" s="73" t="s">
        <v>9578</v>
      </c>
      <c r="AE3419" s="74" t="s">
        <v>9579</v>
      </c>
    </row>
    <row r="3420" spans="1:31" ht="8.65" customHeight="1" x14ac:dyDescent="0.2">
      <c r="A3420" s="76">
        <v>3420</v>
      </c>
      <c r="B3420" s="67" t="str">
        <f>MID(C3420, FIND("Ifc.", C3420) + 4, 4) &amp; "_" &amp; TEXT(COUNTIF($C$2:C3420, C3420),"0000")</f>
        <v>Enti_0553</v>
      </c>
      <c r="C3420" s="25" t="s">
        <v>874</v>
      </c>
      <c r="D3420" s="69" t="s">
        <v>9453</v>
      </c>
      <c r="E3420" s="70" t="s">
        <v>9457</v>
      </c>
      <c r="F3420" s="26" t="s">
        <v>798</v>
      </c>
      <c r="G3420" s="15" t="s">
        <v>798</v>
      </c>
      <c r="H3420" s="14" t="s">
        <v>798</v>
      </c>
      <c r="I3420" s="15" t="s">
        <v>798</v>
      </c>
      <c r="J3420" s="12" t="s">
        <v>9438</v>
      </c>
      <c r="K3420" s="16" t="s">
        <v>3489</v>
      </c>
      <c r="L3420" s="12" t="s">
        <v>800</v>
      </c>
      <c r="M3420" s="16" t="s">
        <v>4454</v>
      </c>
      <c r="N3420" s="19" t="s">
        <v>798</v>
      </c>
      <c r="O3420" s="20" t="s">
        <v>798</v>
      </c>
      <c r="P3420" s="17" t="s">
        <v>802</v>
      </c>
      <c r="Q3420" s="21" t="s">
        <v>9041</v>
      </c>
      <c r="R3420" s="19" t="s">
        <v>798</v>
      </c>
      <c r="S3420" s="20" t="s">
        <v>798</v>
      </c>
      <c r="T3420" s="17" t="s">
        <v>798</v>
      </c>
      <c r="U3420" s="20" t="s">
        <v>798</v>
      </c>
      <c r="V3420" s="26" t="s">
        <v>798</v>
      </c>
      <c r="W3420" s="20" t="s">
        <v>798</v>
      </c>
      <c r="X3420" s="26" t="s">
        <v>798</v>
      </c>
      <c r="Y3420" s="20" t="s">
        <v>798</v>
      </c>
      <c r="Z3420" s="69" t="s">
        <v>9486</v>
      </c>
      <c r="AA3420" s="72" t="s">
        <v>9478</v>
      </c>
      <c r="AB3420" s="73" t="s">
        <v>9486</v>
      </c>
      <c r="AC3420" s="74" t="s">
        <v>9562</v>
      </c>
      <c r="AD3420" s="73" t="s">
        <v>9578</v>
      </c>
      <c r="AE3420" s="74" t="s">
        <v>9579</v>
      </c>
    </row>
    <row r="3421" spans="1:31" ht="8.65" customHeight="1" x14ac:dyDescent="0.2">
      <c r="A3421" s="76">
        <v>3421</v>
      </c>
      <c r="B3421" s="67" t="str">
        <f>MID(C3421, FIND("Ifc.", C3421) + 4, 4) &amp; "_" &amp; TEXT(COUNTIF($C$2:C3421, C3421),"0000")</f>
        <v>Enti_0554</v>
      </c>
      <c r="C3421" s="25" t="s">
        <v>874</v>
      </c>
      <c r="D3421" s="69" t="s">
        <v>9453</v>
      </c>
      <c r="E3421" s="70" t="s">
        <v>9457</v>
      </c>
      <c r="F3421" s="26" t="s">
        <v>798</v>
      </c>
      <c r="G3421" s="15" t="s">
        <v>798</v>
      </c>
      <c r="H3421" s="14" t="s">
        <v>798</v>
      </c>
      <c r="I3421" s="15" t="s">
        <v>798</v>
      </c>
      <c r="J3421" s="12" t="s">
        <v>9438</v>
      </c>
      <c r="K3421" s="16" t="s">
        <v>3490</v>
      </c>
      <c r="L3421" s="12" t="s">
        <v>800</v>
      </c>
      <c r="M3421" s="16" t="s">
        <v>4455</v>
      </c>
      <c r="N3421" s="19" t="s">
        <v>798</v>
      </c>
      <c r="O3421" s="20" t="s">
        <v>798</v>
      </c>
      <c r="P3421" s="17" t="s">
        <v>802</v>
      </c>
      <c r="Q3421" s="21" t="s">
        <v>9042</v>
      </c>
      <c r="R3421" s="19" t="s">
        <v>798</v>
      </c>
      <c r="S3421" s="20" t="s">
        <v>798</v>
      </c>
      <c r="T3421" s="17" t="s">
        <v>798</v>
      </c>
      <c r="U3421" s="20" t="s">
        <v>798</v>
      </c>
      <c r="V3421" s="26" t="s">
        <v>798</v>
      </c>
      <c r="W3421" s="20" t="s">
        <v>798</v>
      </c>
      <c r="X3421" s="26" t="s">
        <v>798</v>
      </c>
      <c r="Y3421" s="20" t="s">
        <v>798</v>
      </c>
      <c r="Z3421" s="69" t="s">
        <v>9486</v>
      </c>
      <c r="AA3421" s="72" t="s">
        <v>9488</v>
      </c>
      <c r="AB3421" s="73" t="s">
        <v>9486</v>
      </c>
      <c r="AC3421" s="74" t="s">
        <v>9562</v>
      </c>
      <c r="AD3421" s="73" t="s">
        <v>9578</v>
      </c>
      <c r="AE3421" s="74" t="s">
        <v>9579</v>
      </c>
    </row>
    <row r="3422" spans="1:31" ht="8.65" customHeight="1" x14ac:dyDescent="0.2">
      <c r="A3422" s="76">
        <v>3422</v>
      </c>
      <c r="B3422" s="67" t="str">
        <f>MID(C3422, FIND("Ifc.", C3422) + 4, 4) &amp; "_" &amp; TEXT(COUNTIF($C$2:C3422, C3422),"0000")</f>
        <v>Enti_0555</v>
      </c>
      <c r="C3422" s="25" t="s">
        <v>874</v>
      </c>
      <c r="D3422" s="69" t="s">
        <v>9453</v>
      </c>
      <c r="E3422" s="70" t="s">
        <v>9457</v>
      </c>
      <c r="F3422" s="26" t="s">
        <v>798</v>
      </c>
      <c r="G3422" s="15" t="s">
        <v>798</v>
      </c>
      <c r="H3422" s="14" t="s">
        <v>798</v>
      </c>
      <c r="I3422" s="15" t="s">
        <v>798</v>
      </c>
      <c r="J3422" s="12" t="s">
        <v>9438</v>
      </c>
      <c r="K3422" s="16" t="s">
        <v>3491</v>
      </c>
      <c r="L3422" s="12" t="s">
        <v>800</v>
      </c>
      <c r="M3422" s="16" t="s">
        <v>4456</v>
      </c>
      <c r="N3422" s="19" t="s">
        <v>798</v>
      </c>
      <c r="O3422" s="20" t="s">
        <v>798</v>
      </c>
      <c r="P3422" s="17" t="s">
        <v>802</v>
      </c>
      <c r="Q3422" s="21" t="s">
        <v>9043</v>
      </c>
      <c r="R3422" s="19" t="s">
        <v>798</v>
      </c>
      <c r="S3422" s="20" t="s">
        <v>798</v>
      </c>
      <c r="T3422" s="17" t="s">
        <v>798</v>
      </c>
      <c r="U3422" s="20" t="s">
        <v>798</v>
      </c>
      <c r="V3422" s="26" t="s">
        <v>798</v>
      </c>
      <c r="W3422" s="20" t="s">
        <v>798</v>
      </c>
      <c r="X3422" s="26" t="s">
        <v>798</v>
      </c>
      <c r="Y3422" s="20" t="s">
        <v>798</v>
      </c>
      <c r="Z3422" s="69" t="s">
        <v>9486</v>
      </c>
      <c r="AA3422" s="72" t="s">
        <v>9482</v>
      </c>
      <c r="AB3422" s="73" t="s">
        <v>9486</v>
      </c>
      <c r="AC3422" s="74" t="s">
        <v>9562</v>
      </c>
      <c r="AD3422" s="73" t="s">
        <v>9578</v>
      </c>
      <c r="AE3422" s="74" t="s">
        <v>9579</v>
      </c>
    </row>
    <row r="3423" spans="1:31" ht="8.65" customHeight="1" x14ac:dyDescent="0.2">
      <c r="A3423" s="76">
        <v>3423</v>
      </c>
      <c r="B3423" s="67" t="str">
        <f>MID(C3423, FIND("Ifc.", C3423) + 4, 4) &amp; "_" &amp; TEXT(COUNTIF($C$2:C3423, C3423),"0000")</f>
        <v>Enti_0556</v>
      </c>
      <c r="C3423" s="25" t="s">
        <v>874</v>
      </c>
      <c r="D3423" s="69" t="s">
        <v>9453</v>
      </c>
      <c r="E3423" s="70" t="s">
        <v>9457</v>
      </c>
      <c r="F3423" s="26" t="s">
        <v>798</v>
      </c>
      <c r="G3423" s="15" t="s">
        <v>798</v>
      </c>
      <c r="H3423" s="14" t="s">
        <v>798</v>
      </c>
      <c r="I3423" s="15" t="s">
        <v>798</v>
      </c>
      <c r="J3423" s="12" t="s">
        <v>9438</v>
      </c>
      <c r="K3423" s="16" t="s">
        <v>3492</v>
      </c>
      <c r="L3423" s="12" t="s">
        <v>800</v>
      </c>
      <c r="M3423" s="16" t="s">
        <v>4457</v>
      </c>
      <c r="N3423" s="19" t="s">
        <v>798</v>
      </c>
      <c r="O3423" s="20" t="s">
        <v>798</v>
      </c>
      <c r="P3423" s="17" t="s">
        <v>802</v>
      </c>
      <c r="Q3423" s="21" t="s">
        <v>9044</v>
      </c>
      <c r="R3423" s="19" t="s">
        <v>798</v>
      </c>
      <c r="S3423" s="20" t="s">
        <v>798</v>
      </c>
      <c r="T3423" s="17" t="s">
        <v>798</v>
      </c>
      <c r="U3423" s="20" t="s">
        <v>798</v>
      </c>
      <c r="V3423" s="26" t="s">
        <v>798</v>
      </c>
      <c r="W3423" s="20" t="s">
        <v>798</v>
      </c>
      <c r="X3423" s="26" t="s">
        <v>798</v>
      </c>
      <c r="Y3423" s="20" t="s">
        <v>798</v>
      </c>
      <c r="Z3423" s="69" t="s">
        <v>9486</v>
      </c>
      <c r="AA3423" s="72" t="s">
        <v>9477</v>
      </c>
      <c r="AB3423" s="73" t="s">
        <v>9486</v>
      </c>
      <c r="AC3423" s="74" t="s">
        <v>9562</v>
      </c>
      <c r="AD3423" s="73" t="s">
        <v>9578</v>
      </c>
      <c r="AE3423" s="74" t="s">
        <v>9579</v>
      </c>
    </row>
    <row r="3424" spans="1:31" ht="8.65" customHeight="1" x14ac:dyDescent="0.2">
      <c r="A3424" s="76">
        <v>3424</v>
      </c>
      <c r="B3424" s="67" t="str">
        <f>MID(C3424, FIND("Ifc.", C3424) + 4, 4) &amp; "_" &amp; TEXT(COUNTIF($C$2:C3424, C3424),"0000")</f>
        <v>Enti_0557</v>
      </c>
      <c r="C3424" s="25" t="s">
        <v>874</v>
      </c>
      <c r="D3424" s="69" t="s">
        <v>9453</v>
      </c>
      <c r="E3424" s="70" t="s">
        <v>9457</v>
      </c>
      <c r="F3424" s="26" t="s">
        <v>798</v>
      </c>
      <c r="G3424" s="15" t="s">
        <v>798</v>
      </c>
      <c r="H3424" s="14" t="s">
        <v>798</v>
      </c>
      <c r="I3424" s="15" t="s">
        <v>798</v>
      </c>
      <c r="J3424" s="12" t="s">
        <v>9438</v>
      </c>
      <c r="K3424" s="16" t="s">
        <v>3493</v>
      </c>
      <c r="L3424" s="12" t="s">
        <v>800</v>
      </c>
      <c r="M3424" s="16" t="s">
        <v>4458</v>
      </c>
      <c r="N3424" s="19" t="s">
        <v>798</v>
      </c>
      <c r="O3424" s="20" t="s">
        <v>798</v>
      </c>
      <c r="P3424" s="17" t="s">
        <v>802</v>
      </c>
      <c r="Q3424" s="21" t="s">
        <v>9045</v>
      </c>
      <c r="R3424" s="19" t="s">
        <v>798</v>
      </c>
      <c r="S3424" s="20" t="s">
        <v>798</v>
      </c>
      <c r="T3424" s="17" t="s">
        <v>798</v>
      </c>
      <c r="U3424" s="20" t="s">
        <v>798</v>
      </c>
      <c r="V3424" s="26" t="s">
        <v>798</v>
      </c>
      <c r="W3424" s="20" t="s">
        <v>798</v>
      </c>
      <c r="X3424" s="26" t="s">
        <v>798</v>
      </c>
      <c r="Y3424" s="20" t="s">
        <v>798</v>
      </c>
      <c r="Z3424" s="69" t="s">
        <v>9486</v>
      </c>
      <c r="AA3424" s="72" t="s">
        <v>9476</v>
      </c>
      <c r="AB3424" s="73" t="s">
        <v>9486</v>
      </c>
      <c r="AC3424" s="74" t="s">
        <v>9566</v>
      </c>
      <c r="AD3424" s="73" t="s">
        <v>9578</v>
      </c>
      <c r="AE3424" s="74" t="s">
        <v>9579</v>
      </c>
    </row>
    <row r="3425" spans="1:31" ht="8.65" customHeight="1" x14ac:dyDescent="0.2">
      <c r="A3425" s="76">
        <v>3425</v>
      </c>
      <c r="B3425" s="67" t="str">
        <f>MID(C3425, FIND("Ifc.", C3425) + 4, 4) &amp; "_" &amp; TEXT(COUNTIF($C$2:C3425, C3425),"0000")</f>
        <v>Enti_0558</v>
      </c>
      <c r="C3425" s="25" t="s">
        <v>874</v>
      </c>
      <c r="D3425" s="69" t="s">
        <v>9453</v>
      </c>
      <c r="E3425" s="70" t="s">
        <v>9457</v>
      </c>
      <c r="F3425" s="26" t="s">
        <v>798</v>
      </c>
      <c r="G3425" s="15" t="s">
        <v>798</v>
      </c>
      <c r="H3425" s="14" t="s">
        <v>798</v>
      </c>
      <c r="I3425" s="15" t="s">
        <v>798</v>
      </c>
      <c r="J3425" s="12" t="s">
        <v>9438</v>
      </c>
      <c r="K3425" s="16" t="s">
        <v>3494</v>
      </c>
      <c r="L3425" s="12" t="s">
        <v>800</v>
      </c>
      <c r="M3425" s="16" t="s">
        <v>4459</v>
      </c>
      <c r="N3425" s="19" t="s">
        <v>798</v>
      </c>
      <c r="O3425" s="20" t="s">
        <v>798</v>
      </c>
      <c r="P3425" s="17" t="s">
        <v>802</v>
      </c>
      <c r="Q3425" s="21" t="s">
        <v>9046</v>
      </c>
      <c r="R3425" s="19" t="s">
        <v>798</v>
      </c>
      <c r="S3425" s="20" t="s">
        <v>798</v>
      </c>
      <c r="T3425" s="17" t="s">
        <v>798</v>
      </c>
      <c r="U3425" s="20" t="s">
        <v>798</v>
      </c>
      <c r="V3425" s="26" t="s">
        <v>798</v>
      </c>
      <c r="W3425" s="20" t="s">
        <v>798</v>
      </c>
      <c r="X3425" s="26" t="s">
        <v>798</v>
      </c>
      <c r="Y3425" s="20" t="s">
        <v>798</v>
      </c>
      <c r="Z3425" s="69" t="s">
        <v>9486</v>
      </c>
      <c r="AA3425" s="72" t="s">
        <v>9477</v>
      </c>
      <c r="AB3425" s="73" t="s">
        <v>9486</v>
      </c>
      <c r="AC3425" s="74" t="s">
        <v>9566</v>
      </c>
      <c r="AD3425" s="73" t="s">
        <v>9578</v>
      </c>
      <c r="AE3425" s="74" t="s">
        <v>9579</v>
      </c>
    </row>
    <row r="3426" spans="1:31" ht="8.65" customHeight="1" x14ac:dyDescent="0.2">
      <c r="A3426" s="76">
        <v>3426</v>
      </c>
      <c r="B3426" s="67" t="str">
        <f>MID(C3426, FIND("Ifc.", C3426) + 4, 4) &amp; "_" &amp; TEXT(COUNTIF($C$2:C3426, C3426),"0000")</f>
        <v>Enti_0559</v>
      </c>
      <c r="C3426" s="25" t="s">
        <v>874</v>
      </c>
      <c r="D3426" s="69" t="s">
        <v>9453</v>
      </c>
      <c r="E3426" s="70" t="s">
        <v>9457</v>
      </c>
      <c r="F3426" s="26" t="s">
        <v>798</v>
      </c>
      <c r="G3426" s="15" t="s">
        <v>798</v>
      </c>
      <c r="H3426" s="14" t="s">
        <v>798</v>
      </c>
      <c r="I3426" s="15" t="s">
        <v>798</v>
      </c>
      <c r="J3426" s="12" t="s">
        <v>9438</v>
      </c>
      <c r="K3426" s="16" t="s">
        <v>3495</v>
      </c>
      <c r="L3426" s="12" t="s">
        <v>800</v>
      </c>
      <c r="M3426" s="16" t="s">
        <v>4460</v>
      </c>
      <c r="N3426" s="19" t="s">
        <v>798</v>
      </c>
      <c r="O3426" s="20" t="s">
        <v>798</v>
      </c>
      <c r="P3426" s="17" t="s">
        <v>802</v>
      </c>
      <c r="Q3426" s="21" t="s">
        <v>9047</v>
      </c>
      <c r="R3426" s="19" t="s">
        <v>798</v>
      </c>
      <c r="S3426" s="20" t="s">
        <v>798</v>
      </c>
      <c r="T3426" s="17" t="s">
        <v>798</v>
      </c>
      <c r="U3426" s="20" t="s">
        <v>798</v>
      </c>
      <c r="V3426" s="26" t="s">
        <v>798</v>
      </c>
      <c r="W3426" s="20" t="s">
        <v>798</v>
      </c>
      <c r="X3426" s="26" t="s">
        <v>798</v>
      </c>
      <c r="Y3426" s="20" t="s">
        <v>798</v>
      </c>
      <c r="Z3426" s="69" t="s">
        <v>9486</v>
      </c>
      <c r="AA3426" s="72" t="s">
        <v>9476</v>
      </c>
      <c r="AB3426" s="73" t="s">
        <v>9486</v>
      </c>
      <c r="AC3426" s="74" t="s">
        <v>9562</v>
      </c>
      <c r="AD3426" s="73" t="s">
        <v>9578</v>
      </c>
      <c r="AE3426" s="74" t="s">
        <v>9579</v>
      </c>
    </row>
    <row r="3427" spans="1:31" ht="8.65" customHeight="1" x14ac:dyDescent="0.2">
      <c r="A3427" s="76">
        <v>3427</v>
      </c>
      <c r="B3427" s="67" t="str">
        <f>MID(C3427, FIND("Ifc.", C3427) + 4, 4) &amp; "_" &amp; TEXT(COUNTIF($C$2:C3427, C3427),"0000")</f>
        <v>Enti_0560</v>
      </c>
      <c r="C3427" s="25" t="s">
        <v>874</v>
      </c>
      <c r="D3427" s="69" t="s">
        <v>9453</v>
      </c>
      <c r="E3427" s="70" t="s">
        <v>9457</v>
      </c>
      <c r="F3427" s="26" t="s">
        <v>798</v>
      </c>
      <c r="G3427" s="15" t="s">
        <v>798</v>
      </c>
      <c r="H3427" s="14" t="s">
        <v>798</v>
      </c>
      <c r="I3427" s="15" t="s">
        <v>798</v>
      </c>
      <c r="J3427" s="12" t="s">
        <v>9438</v>
      </c>
      <c r="K3427" s="16" t="s">
        <v>3496</v>
      </c>
      <c r="L3427" s="12" t="s">
        <v>800</v>
      </c>
      <c r="M3427" s="16" t="s">
        <v>4461</v>
      </c>
      <c r="N3427" s="19" t="s">
        <v>798</v>
      </c>
      <c r="O3427" s="20" t="s">
        <v>798</v>
      </c>
      <c r="P3427" s="17" t="s">
        <v>802</v>
      </c>
      <c r="Q3427" s="21" t="s">
        <v>9048</v>
      </c>
      <c r="R3427" s="19" t="s">
        <v>798</v>
      </c>
      <c r="S3427" s="20" t="s">
        <v>798</v>
      </c>
      <c r="T3427" s="17" t="s">
        <v>798</v>
      </c>
      <c r="U3427" s="20" t="s">
        <v>798</v>
      </c>
      <c r="V3427" s="26" t="s">
        <v>798</v>
      </c>
      <c r="W3427" s="20" t="s">
        <v>798</v>
      </c>
      <c r="X3427" s="26" t="s">
        <v>798</v>
      </c>
      <c r="Y3427" s="20" t="s">
        <v>798</v>
      </c>
      <c r="Z3427" s="69" t="s">
        <v>9486</v>
      </c>
      <c r="AA3427" s="72" t="s">
        <v>9476</v>
      </c>
      <c r="AB3427" s="73" t="s">
        <v>9486</v>
      </c>
      <c r="AC3427" s="74" t="s">
        <v>9566</v>
      </c>
      <c r="AD3427" s="73" t="s">
        <v>9578</v>
      </c>
      <c r="AE3427" s="74" t="s">
        <v>9579</v>
      </c>
    </row>
    <row r="3428" spans="1:31" ht="8.65" customHeight="1" x14ac:dyDescent="0.2">
      <c r="A3428" s="76">
        <v>3428</v>
      </c>
      <c r="B3428" s="67" t="str">
        <f>MID(C3428, FIND("Ifc.", C3428) + 4, 4) &amp; "_" &amp; TEXT(COUNTIF($C$2:C3428, C3428),"0000")</f>
        <v>Enti_0561</v>
      </c>
      <c r="C3428" s="25" t="s">
        <v>874</v>
      </c>
      <c r="D3428" s="69" t="s">
        <v>9453</v>
      </c>
      <c r="E3428" s="70" t="s">
        <v>9457</v>
      </c>
      <c r="F3428" s="26" t="s">
        <v>798</v>
      </c>
      <c r="G3428" s="15" t="s">
        <v>798</v>
      </c>
      <c r="H3428" s="14" t="s">
        <v>798</v>
      </c>
      <c r="I3428" s="15" t="s">
        <v>798</v>
      </c>
      <c r="J3428" s="12" t="s">
        <v>9438</v>
      </c>
      <c r="K3428" s="16" t="s">
        <v>3497</v>
      </c>
      <c r="L3428" s="12" t="s">
        <v>800</v>
      </c>
      <c r="M3428" s="16" t="s">
        <v>4462</v>
      </c>
      <c r="N3428" s="19" t="s">
        <v>798</v>
      </c>
      <c r="O3428" s="20" t="s">
        <v>798</v>
      </c>
      <c r="P3428" s="17" t="s">
        <v>802</v>
      </c>
      <c r="Q3428" s="21" t="s">
        <v>9049</v>
      </c>
      <c r="R3428" s="19" t="s">
        <v>798</v>
      </c>
      <c r="S3428" s="20" t="s">
        <v>798</v>
      </c>
      <c r="T3428" s="17" t="s">
        <v>798</v>
      </c>
      <c r="U3428" s="20" t="s">
        <v>798</v>
      </c>
      <c r="V3428" s="26" t="s">
        <v>798</v>
      </c>
      <c r="W3428" s="20" t="s">
        <v>798</v>
      </c>
      <c r="X3428" s="26" t="s">
        <v>798</v>
      </c>
      <c r="Y3428" s="20" t="s">
        <v>798</v>
      </c>
      <c r="Z3428" s="69" t="s">
        <v>9486</v>
      </c>
      <c r="AA3428" s="72" t="s">
        <v>9477</v>
      </c>
      <c r="AB3428" s="73" t="s">
        <v>9486</v>
      </c>
      <c r="AC3428" s="74" t="s">
        <v>9566</v>
      </c>
      <c r="AD3428" s="73" t="s">
        <v>9578</v>
      </c>
      <c r="AE3428" s="74" t="s">
        <v>9579</v>
      </c>
    </row>
    <row r="3429" spans="1:31" ht="8.65" customHeight="1" x14ac:dyDescent="0.2">
      <c r="A3429" s="76">
        <v>3429</v>
      </c>
      <c r="B3429" s="67" t="str">
        <f>MID(C3429, FIND("Ifc.", C3429) + 4, 4) &amp; "_" &amp; TEXT(COUNTIF($C$2:C3429, C3429),"0000")</f>
        <v>Enti_0562</v>
      </c>
      <c r="C3429" s="25" t="s">
        <v>874</v>
      </c>
      <c r="D3429" s="69" t="s">
        <v>9453</v>
      </c>
      <c r="E3429" s="70" t="s">
        <v>9457</v>
      </c>
      <c r="F3429" s="26" t="s">
        <v>798</v>
      </c>
      <c r="G3429" s="15" t="s">
        <v>798</v>
      </c>
      <c r="H3429" s="14" t="s">
        <v>798</v>
      </c>
      <c r="I3429" s="15" t="s">
        <v>798</v>
      </c>
      <c r="J3429" s="12" t="s">
        <v>9438</v>
      </c>
      <c r="K3429" s="16" t="s">
        <v>3498</v>
      </c>
      <c r="L3429" s="12" t="s">
        <v>800</v>
      </c>
      <c r="M3429" s="16" t="s">
        <v>4463</v>
      </c>
      <c r="N3429" s="19" t="s">
        <v>798</v>
      </c>
      <c r="O3429" s="20" t="s">
        <v>798</v>
      </c>
      <c r="P3429" s="17" t="s">
        <v>802</v>
      </c>
      <c r="Q3429" s="21" t="s">
        <v>9050</v>
      </c>
      <c r="R3429" s="19" t="s">
        <v>798</v>
      </c>
      <c r="S3429" s="20" t="s">
        <v>798</v>
      </c>
      <c r="T3429" s="17" t="s">
        <v>798</v>
      </c>
      <c r="U3429" s="20" t="s">
        <v>798</v>
      </c>
      <c r="V3429" s="26" t="s">
        <v>798</v>
      </c>
      <c r="W3429" s="20" t="s">
        <v>798</v>
      </c>
      <c r="X3429" s="26" t="s">
        <v>798</v>
      </c>
      <c r="Y3429" s="20" t="s">
        <v>798</v>
      </c>
      <c r="Z3429" s="69" t="s">
        <v>9486</v>
      </c>
      <c r="AA3429" s="72" t="s">
        <v>9477</v>
      </c>
      <c r="AB3429" s="73" t="s">
        <v>9486</v>
      </c>
      <c r="AC3429" s="74" t="s">
        <v>9566</v>
      </c>
      <c r="AD3429" s="73" t="s">
        <v>9578</v>
      </c>
      <c r="AE3429" s="74" t="s">
        <v>9579</v>
      </c>
    </row>
    <row r="3430" spans="1:31" ht="8.65" customHeight="1" x14ac:dyDescent="0.2">
      <c r="A3430" s="76">
        <v>3430</v>
      </c>
      <c r="B3430" s="67" t="str">
        <f>MID(C3430, FIND("Ifc.", C3430) + 4, 4) &amp; "_" &amp; TEXT(COUNTIF($C$2:C3430, C3430),"0000")</f>
        <v>Enti_0563</v>
      </c>
      <c r="C3430" s="25" t="s">
        <v>874</v>
      </c>
      <c r="D3430" s="69" t="s">
        <v>9453</v>
      </c>
      <c r="E3430" s="70" t="s">
        <v>9457</v>
      </c>
      <c r="F3430" s="26" t="s">
        <v>798</v>
      </c>
      <c r="G3430" s="15" t="s">
        <v>798</v>
      </c>
      <c r="H3430" s="14" t="s">
        <v>798</v>
      </c>
      <c r="I3430" s="15" t="s">
        <v>798</v>
      </c>
      <c r="J3430" s="12" t="s">
        <v>9438</v>
      </c>
      <c r="K3430" s="16" t="s">
        <v>3499</v>
      </c>
      <c r="L3430" s="12" t="s">
        <v>800</v>
      </c>
      <c r="M3430" s="16" t="s">
        <v>4464</v>
      </c>
      <c r="N3430" s="19" t="s">
        <v>798</v>
      </c>
      <c r="O3430" s="20" t="s">
        <v>798</v>
      </c>
      <c r="P3430" s="17" t="s">
        <v>802</v>
      </c>
      <c r="Q3430" s="21" t="s">
        <v>9051</v>
      </c>
      <c r="R3430" s="19" t="s">
        <v>798</v>
      </c>
      <c r="S3430" s="20" t="s">
        <v>798</v>
      </c>
      <c r="T3430" s="17" t="s">
        <v>798</v>
      </c>
      <c r="U3430" s="20" t="s">
        <v>798</v>
      </c>
      <c r="V3430" s="26" t="s">
        <v>798</v>
      </c>
      <c r="W3430" s="20" t="s">
        <v>798</v>
      </c>
      <c r="X3430" s="26" t="s">
        <v>798</v>
      </c>
      <c r="Y3430" s="20" t="s">
        <v>798</v>
      </c>
      <c r="Z3430" s="69" t="s">
        <v>9486</v>
      </c>
      <c r="AA3430" s="72" t="s">
        <v>9476</v>
      </c>
      <c r="AB3430" s="73" t="s">
        <v>9486</v>
      </c>
      <c r="AC3430" s="74" t="s">
        <v>9562</v>
      </c>
      <c r="AD3430" s="73" t="s">
        <v>9578</v>
      </c>
      <c r="AE3430" s="74" t="s">
        <v>9579</v>
      </c>
    </row>
    <row r="3431" spans="1:31" ht="8.65" customHeight="1" x14ac:dyDescent="0.2">
      <c r="A3431" s="76">
        <v>3431</v>
      </c>
      <c r="B3431" s="67" t="str">
        <f>MID(C3431, FIND("Ifc.", C3431) + 4, 4) &amp; "_" &amp; TEXT(COUNTIF($C$2:C3431, C3431),"0000")</f>
        <v>Enti_0564</v>
      </c>
      <c r="C3431" s="25" t="s">
        <v>874</v>
      </c>
      <c r="D3431" s="69" t="s">
        <v>9453</v>
      </c>
      <c r="E3431" s="70" t="s">
        <v>9457</v>
      </c>
      <c r="F3431" s="26" t="s">
        <v>798</v>
      </c>
      <c r="G3431" s="15" t="s">
        <v>798</v>
      </c>
      <c r="H3431" s="14" t="s">
        <v>798</v>
      </c>
      <c r="I3431" s="15" t="s">
        <v>798</v>
      </c>
      <c r="J3431" s="12" t="s">
        <v>9438</v>
      </c>
      <c r="K3431" s="16" t="s">
        <v>3500</v>
      </c>
      <c r="L3431" s="12" t="s">
        <v>800</v>
      </c>
      <c r="M3431" s="16" t="s">
        <v>4465</v>
      </c>
      <c r="N3431" s="19" t="s">
        <v>798</v>
      </c>
      <c r="O3431" s="20" t="s">
        <v>798</v>
      </c>
      <c r="P3431" s="17" t="s">
        <v>802</v>
      </c>
      <c r="Q3431" s="21" t="s">
        <v>9052</v>
      </c>
      <c r="R3431" s="19" t="s">
        <v>798</v>
      </c>
      <c r="S3431" s="20" t="s">
        <v>798</v>
      </c>
      <c r="T3431" s="17" t="s">
        <v>798</v>
      </c>
      <c r="U3431" s="20" t="s">
        <v>798</v>
      </c>
      <c r="V3431" s="26" t="s">
        <v>798</v>
      </c>
      <c r="W3431" s="20" t="s">
        <v>798</v>
      </c>
      <c r="X3431" s="26" t="s">
        <v>798</v>
      </c>
      <c r="Y3431" s="20" t="s">
        <v>798</v>
      </c>
      <c r="Z3431" s="69" t="s">
        <v>9486</v>
      </c>
      <c r="AA3431" s="72" t="s">
        <v>9477</v>
      </c>
      <c r="AB3431" s="73" t="s">
        <v>9486</v>
      </c>
      <c r="AC3431" s="74" t="s">
        <v>9562</v>
      </c>
      <c r="AD3431" s="73" t="s">
        <v>9578</v>
      </c>
      <c r="AE3431" s="74" t="s">
        <v>9579</v>
      </c>
    </row>
    <row r="3432" spans="1:31" ht="8.65" customHeight="1" x14ac:dyDescent="0.2">
      <c r="A3432" s="76">
        <v>3432</v>
      </c>
      <c r="B3432" s="67" t="str">
        <f>MID(C3432, FIND("Ifc.", C3432) + 4, 4) &amp; "_" &amp; TEXT(COUNTIF($C$2:C3432, C3432),"0000")</f>
        <v>Enti_0565</v>
      </c>
      <c r="C3432" s="25" t="s">
        <v>874</v>
      </c>
      <c r="D3432" s="69" t="s">
        <v>9453</v>
      </c>
      <c r="E3432" s="70" t="s">
        <v>9457</v>
      </c>
      <c r="F3432" s="26" t="s">
        <v>798</v>
      </c>
      <c r="G3432" s="15" t="s">
        <v>798</v>
      </c>
      <c r="H3432" s="14" t="s">
        <v>798</v>
      </c>
      <c r="I3432" s="15" t="s">
        <v>798</v>
      </c>
      <c r="J3432" s="12" t="s">
        <v>9438</v>
      </c>
      <c r="K3432" s="16" t="s">
        <v>3501</v>
      </c>
      <c r="L3432" s="12" t="s">
        <v>800</v>
      </c>
      <c r="M3432" s="16" t="s">
        <v>4466</v>
      </c>
      <c r="N3432" s="19" t="s">
        <v>798</v>
      </c>
      <c r="O3432" s="20" t="s">
        <v>798</v>
      </c>
      <c r="P3432" s="17" t="s">
        <v>802</v>
      </c>
      <c r="Q3432" s="21" t="s">
        <v>9053</v>
      </c>
      <c r="R3432" s="19" t="s">
        <v>798</v>
      </c>
      <c r="S3432" s="20" t="s">
        <v>798</v>
      </c>
      <c r="T3432" s="17" t="s">
        <v>798</v>
      </c>
      <c r="U3432" s="20" t="s">
        <v>798</v>
      </c>
      <c r="V3432" s="26" t="s">
        <v>798</v>
      </c>
      <c r="W3432" s="20" t="s">
        <v>798</v>
      </c>
      <c r="X3432" s="26" t="s">
        <v>798</v>
      </c>
      <c r="Y3432" s="20" t="s">
        <v>798</v>
      </c>
      <c r="Z3432" s="69" t="s">
        <v>9486</v>
      </c>
      <c r="AA3432" s="72" t="s">
        <v>9477</v>
      </c>
      <c r="AB3432" s="73" t="s">
        <v>9486</v>
      </c>
      <c r="AC3432" s="74" t="s">
        <v>9562</v>
      </c>
      <c r="AD3432" s="73" t="s">
        <v>9578</v>
      </c>
      <c r="AE3432" s="74" t="s">
        <v>9579</v>
      </c>
    </row>
    <row r="3433" spans="1:31" ht="8.65" customHeight="1" x14ac:dyDescent="0.2">
      <c r="A3433" s="76">
        <v>3433</v>
      </c>
      <c r="B3433" s="67" t="str">
        <f>MID(C3433, FIND("Ifc.", C3433) + 4, 4) &amp; "_" &amp; TEXT(COUNTIF($C$2:C3433, C3433),"0000")</f>
        <v>Enti_0566</v>
      </c>
      <c r="C3433" s="25" t="s">
        <v>874</v>
      </c>
      <c r="D3433" s="69" t="s">
        <v>9453</v>
      </c>
      <c r="E3433" s="70" t="s">
        <v>9457</v>
      </c>
      <c r="F3433" s="26" t="s">
        <v>798</v>
      </c>
      <c r="G3433" s="15" t="s">
        <v>798</v>
      </c>
      <c r="H3433" s="14" t="s">
        <v>798</v>
      </c>
      <c r="I3433" s="15" t="s">
        <v>798</v>
      </c>
      <c r="J3433" s="12" t="s">
        <v>9438</v>
      </c>
      <c r="K3433" s="16" t="s">
        <v>3502</v>
      </c>
      <c r="L3433" s="12" t="s">
        <v>800</v>
      </c>
      <c r="M3433" s="16" t="s">
        <v>4467</v>
      </c>
      <c r="N3433" s="19" t="s">
        <v>798</v>
      </c>
      <c r="O3433" s="20" t="s">
        <v>798</v>
      </c>
      <c r="P3433" s="17" t="s">
        <v>802</v>
      </c>
      <c r="Q3433" s="21" t="s">
        <v>9054</v>
      </c>
      <c r="R3433" s="19" t="s">
        <v>798</v>
      </c>
      <c r="S3433" s="20" t="s">
        <v>798</v>
      </c>
      <c r="T3433" s="17" t="s">
        <v>798</v>
      </c>
      <c r="U3433" s="20" t="s">
        <v>798</v>
      </c>
      <c r="V3433" s="26" t="s">
        <v>798</v>
      </c>
      <c r="W3433" s="20" t="s">
        <v>798</v>
      </c>
      <c r="X3433" s="26" t="s">
        <v>798</v>
      </c>
      <c r="Y3433" s="20" t="s">
        <v>798</v>
      </c>
      <c r="Z3433" s="69" t="s">
        <v>9486</v>
      </c>
      <c r="AA3433" s="72" t="s">
        <v>9477</v>
      </c>
      <c r="AB3433" s="73" t="s">
        <v>9486</v>
      </c>
      <c r="AC3433" s="74" t="s">
        <v>9562</v>
      </c>
      <c r="AD3433" s="73" t="s">
        <v>9578</v>
      </c>
      <c r="AE3433" s="74" t="s">
        <v>9579</v>
      </c>
    </row>
    <row r="3434" spans="1:31" ht="8.65" customHeight="1" x14ac:dyDescent="0.2">
      <c r="A3434" s="76">
        <v>3434</v>
      </c>
      <c r="B3434" s="67" t="str">
        <f>MID(C3434, FIND("Ifc.", C3434) + 4, 4) &amp; "_" &amp; TEXT(COUNTIF($C$2:C3434, C3434),"0000")</f>
        <v>Enti_0567</v>
      </c>
      <c r="C3434" s="25" t="s">
        <v>874</v>
      </c>
      <c r="D3434" s="69" t="s">
        <v>9453</v>
      </c>
      <c r="E3434" s="70" t="s">
        <v>9457</v>
      </c>
      <c r="F3434" s="26" t="s">
        <v>798</v>
      </c>
      <c r="G3434" s="15" t="s">
        <v>798</v>
      </c>
      <c r="H3434" s="14" t="s">
        <v>798</v>
      </c>
      <c r="I3434" s="15" t="s">
        <v>798</v>
      </c>
      <c r="J3434" s="12" t="s">
        <v>9438</v>
      </c>
      <c r="K3434" s="16" t="s">
        <v>3503</v>
      </c>
      <c r="L3434" s="12" t="s">
        <v>800</v>
      </c>
      <c r="M3434" s="16" t="s">
        <v>4468</v>
      </c>
      <c r="N3434" s="19" t="s">
        <v>798</v>
      </c>
      <c r="O3434" s="20" t="s">
        <v>798</v>
      </c>
      <c r="P3434" s="17" t="s">
        <v>802</v>
      </c>
      <c r="Q3434" s="21" t="s">
        <v>9055</v>
      </c>
      <c r="R3434" s="19" t="s">
        <v>798</v>
      </c>
      <c r="S3434" s="20" t="s">
        <v>798</v>
      </c>
      <c r="T3434" s="17" t="s">
        <v>798</v>
      </c>
      <c r="U3434" s="20" t="s">
        <v>798</v>
      </c>
      <c r="V3434" s="26" t="s">
        <v>798</v>
      </c>
      <c r="W3434" s="20" t="s">
        <v>798</v>
      </c>
      <c r="X3434" s="26" t="s">
        <v>798</v>
      </c>
      <c r="Y3434" s="20" t="s">
        <v>798</v>
      </c>
      <c r="Z3434" s="69" t="s">
        <v>9486</v>
      </c>
      <c r="AA3434" s="72" t="s">
        <v>9476</v>
      </c>
      <c r="AB3434" s="73" t="s">
        <v>9486</v>
      </c>
      <c r="AC3434" s="74" t="s">
        <v>9562</v>
      </c>
      <c r="AD3434" s="73" t="s">
        <v>9578</v>
      </c>
      <c r="AE3434" s="74" t="s">
        <v>9579</v>
      </c>
    </row>
    <row r="3435" spans="1:31" ht="8.65" customHeight="1" x14ac:dyDescent="0.2">
      <c r="A3435" s="76">
        <v>3435</v>
      </c>
      <c r="B3435" s="67" t="str">
        <f>MID(C3435, FIND("Ifc.", C3435) + 4, 4) &amp; "_" &amp; TEXT(COUNTIF($C$2:C3435, C3435),"0000")</f>
        <v>Enti_0568</v>
      </c>
      <c r="C3435" s="25" t="s">
        <v>874</v>
      </c>
      <c r="D3435" s="69" t="s">
        <v>9453</v>
      </c>
      <c r="E3435" s="70" t="s">
        <v>9457</v>
      </c>
      <c r="F3435" s="26" t="s">
        <v>798</v>
      </c>
      <c r="G3435" s="15" t="s">
        <v>798</v>
      </c>
      <c r="H3435" s="14" t="s">
        <v>798</v>
      </c>
      <c r="I3435" s="15" t="s">
        <v>798</v>
      </c>
      <c r="J3435" s="12" t="s">
        <v>9438</v>
      </c>
      <c r="K3435" s="16" t="s">
        <v>3504</v>
      </c>
      <c r="L3435" s="12" t="s">
        <v>800</v>
      </c>
      <c r="M3435" s="16" t="s">
        <v>4469</v>
      </c>
      <c r="N3435" s="19" t="s">
        <v>798</v>
      </c>
      <c r="O3435" s="20" t="s">
        <v>798</v>
      </c>
      <c r="P3435" s="17" t="s">
        <v>802</v>
      </c>
      <c r="Q3435" s="21" t="s">
        <v>9056</v>
      </c>
      <c r="R3435" s="19" t="s">
        <v>798</v>
      </c>
      <c r="S3435" s="20" t="s">
        <v>798</v>
      </c>
      <c r="T3435" s="17" t="s">
        <v>798</v>
      </c>
      <c r="U3435" s="20" t="s">
        <v>798</v>
      </c>
      <c r="V3435" s="26" t="s">
        <v>798</v>
      </c>
      <c r="W3435" s="20" t="s">
        <v>798</v>
      </c>
      <c r="X3435" s="26" t="s">
        <v>798</v>
      </c>
      <c r="Y3435" s="20" t="s">
        <v>798</v>
      </c>
      <c r="Z3435" s="69" t="s">
        <v>9486</v>
      </c>
      <c r="AA3435" s="72" t="s">
        <v>9476</v>
      </c>
      <c r="AB3435" s="73" t="s">
        <v>9486</v>
      </c>
      <c r="AC3435" s="74" t="s">
        <v>9562</v>
      </c>
      <c r="AD3435" s="73" t="s">
        <v>9578</v>
      </c>
      <c r="AE3435" s="74" t="s">
        <v>9579</v>
      </c>
    </row>
    <row r="3436" spans="1:31" ht="8.65" customHeight="1" x14ac:dyDescent="0.2">
      <c r="A3436" s="76">
        <v>3436</v>
      </c>
      <c r="B3436" s="67" t="str">
        <f>MID(C3436, FIND("Ifc.", C3436) + 4, 4) &amp; "_" &amp; TEXT(COUNTIF($C$2:C3436, C3436),"0000")</f>
        <v>Enti_0569</v>
      </c>
      <c r="C3436" s="25" t="s">
        <v>874</v>
      </c>
      <c r="D3436" s="69" t="s">
        <v>9453</v>
      </c>
      <c r="E3436" s="70" t="s">
        <v>9457</v>
      </c>
      <c r="F3436" s="26" t="s">
        <v>798</v>
      </c>
      <c r="G3436" s="15" t="s">
        <v>798</v>
      </c>
      <c r="H3436" s="14" t="s">
        <v>798</v>
      </c>
      <c r="I3436" s="15" t="s">
        <v>798</v>
      </c>
      <c r="J3436" s="12" t="s">
        <v>9438</v>
      </c>
      <c r="K3436" s="16" t="s">
        <v>3505</v>
      </c>
      <c r="L3436" s="12" t="s">
        <v>800</v>
      </c>
      <c r="M3436" s="16" t="s">
        <v>4470</v>
      </c>
      <c r="N3436" s="19" t="s">
        <v>798</v>
      </c>
      <c r="O3436" s="20" t="s">
        <v>798</v>
      </c>
      <c r="P3436" s="17" t="s">
        <v>802</v>
      </c>
      <c r="Q3436" s="21" t="s">
        <v>9057</v>
      </c>
      <c r="R3436" s="19" t="s">
        <v>798</v>
      </c>
      <c r="S3436" s="20" t="s">
        <v>798</v>
      </c>
      <c r="T3436" s="17" t="s">
        <v>798</v>
      </c>
      <c r="U3436" s="20" t="s">
        <v>798</v>
      </c>
      <c r="V3436" s="26" t="s">
        <v>798</v>
      </c>
      <c r="W3436" s="20" t="s">
        <v>798</v>
      </c>
      <c r="X3436" s="26" t="s">
        <v>798</v>
      </c>
      <c r="Y3436" s="20" t="s">
        <v>798</v>
      </c>
      <c r="Z3436" s="69" t="s">
        <v>9486</v>
      </c>
      <c r="AA3436" s="72" t="s">
        <v>9477</v>
      </c>
      <c r="AB3436" s="73" t="s">
        <v>9486</v>
      </c>
      <c r="AC3436" s="74" t="s">
        <v>9562</v>
      </c>
      <c r="AD3436" s="73" t="s">
        <v>9578</v>
      </c>
      <c r="AE3436" s="74" t="s">
        <v>9579</v>
      </c>
    </row>
    <row r="3437" spans="1:31" ht="8.65" customHeight="1" x14ac:dyDescent="0.2">
      <c r="A3437" s="76">
        <v>3437</v>
      </c>
      <c r="B3437" s="67" t="str">
        <f>MID(C3437, FIND("Ifc.", C3437) + 4, 4) &amp; "_" &amp; TEXT(COUNTIF($C$2:C3437, C3437),"0000")</f>
        <v>Enti_0570</v>
      </c>
      <c r="C3437" s="25" t="s">
        <v>874</v>
      </c>
      <c r="D3437" s="69" t="s">
        <v>9453</v>
      </c>
      <c r="E3437" s="70" t="s">
        <v>9457</v>
      </c>
      <c r="F3437" s="26" t="s">
        <v>798</v>
      </c>
      <c r="G3437" s="15" t="s">
        <v>798</v>
      </c>
      <c r="H3437" s="14" t="s">
        <v>798</v>
      </c>
      <c r="I3437" s="15" t="s">
        <v>798</v>
      </c>
      <c r="J3437" s="12" t="s">
        <v>9438</v>
      </c>
      <c r="K3437" s="16" t="s">
        <v>3506</v>
      </c>
      <c r="L3437" s="12" t="s">
        <v>800</v>
      </c>
      <c r="M3437" s="16" t="s">
        <v>4471</v>
      </c>
      <c r="N3437" s="19" t="s">
        <v>798</v>
      </c>
      <c r="O3437" s="20" t="s">
        <v>798</v>
      </c>
      <c r="P3437" s="17" t="s">
        <v>802</v>
      </c>
      <c r="Q3437" s="21" t="s">
        <v>9058</v>
      </c>
      <c r="R3437" s="19" t="s">
        <v>798</v>
      </c>
      <c r="S3437" s="20" t="s">
        <v>798</v>
      </c>
      <c r="T3437" s="17" t="s">
        <v>798</v>
      </c>
      <c r="U3437" s="20" t="s">
        <v>798</v>
      </c>
      <c r="V3437" s="26" t="s">
        <v>798</v>
      </c>
      <c r="W3437" s="20" t="s">
        <v>798</v>
      </c>
      <c r="X3437" s="26" t="s">
        <v>798</v>
      </c>
      <c r="Y3437" s="20" t="s">
        <v>798</v>
      </c>
      <c r="Z3437" s="69" t="s">
        <v>9486</v>
      </c>
      <c r="AA3437" s="72" t="s">
        <v>9477</v>
      </c>
      <c r="AB3437" s="73" t="s">
        <v>9486</v>
      </c>
      <c r="AC3437" s="74" t="s">
        <v>9562</v>
      </c>
      <c r="AD3437" s="73" t="s">
        <v>9578</v>
      </c>
      <c r="AE3437" s="74" t="s">
        <v>9579</v>
      </c>
    </row>
    <row r="3438" spans="1:31" ht="8.65" customHeight="1" x14ac:dyDescent="0.2">
      <c r="A3438" s="76">
        <v>3438</v>
      </c>
      <c r="B3438" s="67" t="str">
        <f>MID(C3438, FIND("Ifc.", C3438) + 4, 4) &amp; "_" &amp; TEXT(COUNTIF($C$2:C3438, C3438),"0000")</f>
        <v>Enti_0571</v>
      </c>
      <c r="C3438" s="25" t="s">
        <v>874</v>
      </c>
      <c r="D3438" s="69" t="s">
        <v>9453</v>
      </c>
      <c r="E3438" s="70" t="s">
        <v>9457</v>
      </c>
      <c r="F3438" s="26" t="s">
        <v>798</v>
      </c>
      <c r="G3438" s="15" t="s">
        <v>798</v>
      </c>
      <c r="H3438" s="14" t="s">
        <v>798</v>
      </c>
      <c r="I3438" s="15" t="s">
        <v>798</v>
      </c>
      <c r="J3438" s="12" t="s">
        <v>9438</v>
      </c>
      <c r="K3438" s="16" t="s">
        <v>3507</v>
      </c>
      <c r="L3438" s="12" t="s">
        <v>800</v>
      </c>
      <c r="M3438" s="16" t="s">
        <v>4472</v>
      </c>
      <c r="N3438" s="19" t="s">
        <v>798</v>
      </c>
      <c r="O3438" s="20" t="s">
        <v>798</v>
      </c>
      <c r="P3438" s="17" t="s">
        <v>802</v>
      </c>
      <c r="Q3438" s="21" t="s">
        <v>9059</v>
      </c>
      <c r="R3438" s="19" t="s">
        <v>798</v>
      </c>
      <c r="S3438" s="20" t="s">
        <v>798</v>
      </c>
      <c r="T3438" s="17" t="s">
        <v>798</v>
      </c>
      <c r="U3438" s="20" t="s">
        <v>798</v>
      </c>
      <c r="V3438" s="26" t="s">
        <v>798</v>
      </c>
      <c r="W3438" s="20" t="s">
        <v>798</v>
      </c>
      <c r="X3438" s="26" t="s">
        <v>798</v>
      </c>
      <c r="Y3438" s="20" t="s">
        <v>798</v>
      </c>
      <c r="Z3438" s="69" t="s">
        <v>9486</v>
      </c>
      <c r="AA3438" s="72" t="s">
        <v>9477</v>
      </c>
      <c r="AB3438" s="73" t="s">
        <v>9486</v>
      </c>
      <c r="AC3438" s="74" t="s">
        <v>9562</v>
      </c>
      <c r="AD3438" s="73" t="s">
        <v>9578</v>
      </c>
      <c r="AE3438" s="74" t="s">
        <v>9579</v>
      </c>
    </row>
    <row r="3439" spans="1:31" ht="8.65" customHeight="1" x14ac:dyDescent="0.2">
      <c r="A3439" s="76">
        <v>3439</v>
      </c>
      <c r="B3439" s="67" t="str">
        <f>MID(C3439, FIND("Ifc.", C3439) + 4, 4) &amp; "_" &amp; TEXT(COUNTIF($C$2:C3439, C3439),"0000")</f>
        <v>Enti_0572</v>
      </c>
      <c r="C3439" s="25" t="s">
        <v>874</v>
      </c>
      <c r="D3439" s="69" t="s">
        <v>9453</v>
      </c>
      <c r="E3439" s="70" t="s">
        <v>9457</v>
      </c>
      <c r="F3439" s="26" t="s">
        <v>798</v>
      </c>
      <c r="G3439" s="15" t="s">
        <v>798</v>
      </c>
      <c r="H3439" s="14" t="s">
        <v>798</v>
      </c>
      <c r="I3439" s="15" t="s">
        <v>798</v>
      </c>
      <c r="J3439" s="12" t="s">
        <v>9438</v>
      </c>
      <c r="K3439" s="16" t="s">
        <v>3508</v>
      </c>
      <c r="L3439" s="12" t="s">
        <v>800</v>
      </c>
      <c r="M3439" s="16" t="s">
        <v>4473</v>
      </c>
      <c r="N3439" s="19" t="s">
        <v>798</v>
      </c>
      <c r="O3439" s="20" t="s">
        <v>798</v>
      </c>
      <c r="P3439" s="17" t="s">
        <v>802</v>
      </c>
      <c r="Q3439" s="21" t="s">
        <v>9060</v>
      </c>
      <c r="R3439" s="19" t="s">
        <v>798</v>
      </c>
      <c r="S3439" s="20" t="s">
        <v>798</v>
      </c>
      <c r="T3439" s="17" t="s">
        <v>798</v>
      </c>
      <c r="U3439" s="20" t="s">
        <v>798</v>
      </c>
      <c r="V3439" s="26" t="s">
        <v>798</v>
      </c>
      <c r="W3439" s="20" t="s">
        <v>798</v>
      </c>
      <c r="X3439" s="26" t="s">
        <v>798</v>
      </c>
      <c r="Y3439" s="20" t="s">
        <v>798</v>
      </c>
      <c r="Z3439" s="69" t="s">
        <v>9486</v>
      </c>
      <c r="AA3439" s="72" t="s">
        <v>9476</v>
      </c>
      <c r="AB3439" s="73" t="s">
        <v>9486</v>
      </c>
      <c r="AC3439" s="74" t="s">
        <v>9562</v>
      </c>
      <c r="AD3439" s="73" t="s">
        <v>9578</v>
      </c>
      <c r="AE3439" s="74" t="s">
        <v>9579</v>
      </c>
    </row>
    <row r="3440" spans="1:31" ht="8.65" customHeight="1" x14ac:dyDescent="0.2">
      <c r="A3440" s="76">
        <v>3440</v>
      </c>
      <c r="B3440" s="67" t="str">
        <f>MID(C3440, FIND("Ifc.", C3440) + 4, 4) &amp; "_" &amp; TEXT(COUNTIF($C$2:C3440, C3440),"0000")</f>
        <v>Enti_0573</v>
      </c>
      <c r="C3440" s="25" t="s">
        <v>874</v>
      </c>
      <c r="D3440" s="69" t="s">
        <v>9453</v>
      </c>
      <c r="E3440" s="70" t="s">
        <v>9457</v>
      </c>
      <c r="F3440" s="26" t="s">
        <v>798</v>
      </c>
      <c r="G3440" s="15" t="s">
        <v>798</v>
      </c>
      <c r="H3440" s="14" t="s">
        <v>798</v>
      </c>
      <c r="I3440" s="15" t="s">
        <v>798</v>
      </c>
      <c r="J3440" s="12" t="s">
        <v>9438</v>
      </c>
      <c r="K3440" s="16" t="s">
        <v>3509</v>
      </c>
      <c r="L3440" s="12" t="s">
        <v>800</v>
      </c>
      <c r="M3440" s="16" t="s">
        <v>4474</v>
      </c>
      <c r="N3440" s="19" t="s">
        <v>798</v>
      </c>
      <c r="O3440" s="20" t="s">
        <v>798</v>
      </c>
      <c r="P3440" s="17" t="s">
        <v>802</v>
      </c>
      <c r="Q3440" s="21" t="s">
        <v>9061</v>
      </c>
      <c r="R3440" s="19" t="s">
        <v>798</v>
      </c>
      <c r="S3440" s="20" t="s">
        <v>798</v>
      </c>
      <c r="T3440" s="17" t="s">
        <v>798</v>
      </c>
      <c r="U3440" s="20" t="s">
        <v>798</v>
      </c>
      <c r="V3440" s="26" t="s">
        <v>798</v>
      </c>
      <c r="W3440" s="20" t="s">
        <v>798</v>
      </c>
      <c r="X3440" s="26" t="s">
        <v>798</v>
      </c>
      <c r="Y3440" s="20" t="s">
        <v>798</v>
      </c>
      <c r="Z3440" s="69" t="s">
        <v>9486</v>
      </c>
      <c r="AA3440" s="72" t="s">
        <v>9476</v>
      </c>
      <c r="AB3440" s="73" t="s">
        <v>9486</v>
      </c>
      <c r="AC3440" s="74" t="s">
        <v>9562</v>
      </c>
      <c r="AD3440" s="73" t="s">
        <v>9578</v>
      </c>
      <c r="AE3440" s="74" t="s">
        <v>9579</v>
      </c>
    </row>
    <row r="3441" spans="1:31" ht="8.65" customHeight="1" x14ac:dyDescent="0.2">
      <c r="A3441" s="76">
        <v>3441</v>
      </c>
      <c r="B3441" s="67" t="str">
        <f>MID(C3441, FIND("Ifc.", C3441) + 4, 4) &amp; "_" &amp; TEXT(COUNTIF($C$2:C3441, C3441),"0000")</f>
        <v>Enti_0574</v>
      </c>
      <c r="C3441" s="25" t="s">
        <v>874</v>
      </c>
      <c r="D3441" s="69" t="s">
        <v>9453</v>
      </c>
      <c r="E3441" s="70" t="s">
        <v>9457</v>
      </c>
      <c r="F3441" s="26" t="s">
        <v>798</v>
      </c>
      <c r="G3441" s="15" t="s">
        <v>798</v>
      </c>
      <c r="H3441" s="14" t="s">
        <v>798</v>
      </c>
      <c r="I3441" s="15" t="s">
        <v>798</v>
      </c>
      <c r="J3441" s="12" t="s">
        <v>9438</v>
      </c>
      <c r="K3441" s="16" t="s">
        <v>3510</v>
      </c>
      <c r="L3441" s="12" t="s">
        <v>800</v>
      </c>
      <c r="M3441" s="16" t="s">
        <v>4475</v>
      </c>
      <c r="N3441" s="19" t="s">
        <v>798</v>
      </c>
      <c r="O3441" s="20" t="s">
        <v>798</v>
      </c>
      <c r="P3441" s="17" t="s">
        <v>802</v>
      </c>
      <c r="Q3441" s="21" t="s">
        <v>9062</v>
      </c>
      <c r="R3441" s="19" t="s">
        <v>798</v>
      </c>
      <c r="S3441" s="20" t="s">
        <v>798</v>
      </c>
      <c r="T3441" s="17" t="s">
        <v>798</v>
      </c>
      <c r="U3441" s="20" t="s">
        <v>798</v>
      </c>
      <c r="V3441" s="26" t="s">
        <v>798</v>
      </c>
      <c r="W3441" s="20" t="s">
        <v>798</v>
      </c>
      <c r="X3441" s="26" t="s">
        <v>798</v>
      </c>
      <c r="Y3441" s="20" t="s">
        <v>798</v>
      </c>
      <c r="Z3441" s="69" t="s">
        <v>9486</v>
      </c>
      <c r="AA3441" s="72" t="s">
        <v>9476</v>
      </c>
      <c r="AB3441" s="73" t="s">
        <v>9486</v>
      </c>
      <c r="AC3441" s="74" t="s">
        <v>9562</v>
      </c>
      <c r="AD3441" s="73" t="s">
        <v>9578</v>
      </c>
      <c r="AE3441" s="74" t="s">
        <v>9579</v>
      </c>
    </row>
    <row r="3442" spans="1:31" ht="8.65" customHeight="1" x14ac:dyDescent="0.2">
      <c r="A3442" s="76">
        <v>3442</v>
      </c>
      <c r="B3442" s="67" t="str">
        <f>MID(C3442, FIND("Ifc.", C3442) + 4, 4) &amp; "_" &amp; TEXT(COUNTIF($C$2:C3442, C3442),"0000")</f>
        <v>Enti_0575</v>
      </c>
      <c r="C3442" s="25" t="s">
        <v>874</v>
      </c>
      <c r="D3442" s="69" t="s">
        <v>9453</v>
      </c>
      <c r="E3442" s="70" t="s">
        <v>9457</v>
      </c>
      <c r="F3442" s="26" t="s">
        <v>798</v>
      </c>
      <c r="G3442" s="15" t="s">
        <v>798</v>
      </c>
      <c r="H3442" s="14" t="s">
        <v>798</v>
      </c>
      <c r="I3442" s="15" t="s">
        <v>798</v>
      </c>
      <c r="J3442" s="12" t="s">
        <v>9438</v>
      </c>
      <c r="K3442" s="16" t="s">
        <v>3511</v>
      </c>
      <c r="L3442" s="12" t="s">
        <v>800</v>
      </c>
      <c r="M3442" s="16" t="s">
        <v>4476</v>
      </c>
      <c r="N3442" s="19" t="s">
        <v>798</v>
      </c>
      <c r="O3442" s="20" t="s">
        <v>798</v>
      </c>
      <c r="P3442" s="17" t="s">
        <v>802</v>
      </c>
      <c r="Q3442" s="21" t="s">
        <v>9063</v>
      </c>
      <c r="R3442" s="19" t="s">
        <v>798</v>
      </c>
      <c r="S3442" s="20" t="s">
        <v>798</v>
      </c>
      <c r="T3442" s="17" t="s">
        <v>798</v>
      </c>
      <c r="U3442" s="20" t="s">
        <v>798</v>
      </c>
      <c r="V3442" s="26" t="s">
        <v>798</v>
      </c>
      <c r="W3442" s="20" t="s">
        <v>798</v>
      </c>
      <c r="X3442" s="26" t="s">
        <v>798</v>
      </c>
      <c r="Y3442" s="20" t="s">
        <v>798</v>
      </c>
      <c r="Z3442" s="69" t="s">
        <v>9486</v>
      </c>
      <c r="AA3442" s="72" t="s">
        <v>9476</v>
      </c>
      <c r="AB3442" s="73" t="s">
        <v>9486</v>
      </c>
      <c r="AC3442" s="74" t="s">
        <v>9562</v>
      </c>
      <c r="AD3442" s="73" t="s">
        <v>9578</v>
      </c>
      <c r="AE3442" s="74" t="s">
        <v>9579</v>
      </c>
    </row>
    <row r="3443" spans="1:31" ht="8.65" customHeight="1" x14ac:dyDescent="0.2">
      <c r="A3443" s="76">
        <v>3443</v>
      </c>
      <c r="B3443" s="67" t="str">
        <f>MID(C3443, FIND("Ifc.", C3443) + 4, 4) &amp; "_" &amp; TEXT(COUNTIF($C$2:C3443, C3443),"0000")</f>
        <v>Enti_0576</v>
      </c>
      <c r="C3443" s="25" t="s">
        <v>874</v>
      </c>
      <c r="D3443" s="69" t="s">
        <v>9453</v>
      </c>
      <c r="E3443" s="70" t="s">
        <v>9457</v>
      </c>
      <c r="F3443" s="26" t="s">
        <v>798</v>
      </c>
      <c r="G3443" s="15" t="s">
        <v>798</v>
      </c>
      <c r="H3443" s="14" t="s">
        <v>798</v>
      </c>
      <c r="I3443" s="15" t="s">
        <v>798</v>
      </c>
      <c r="J3443" s="12" t="s">
        <v>9438</v>
      </c>
      <c r="K3443" s="16" t="s">
        <v>3512</v>
      </c>
      <c r="L3443" s="12" t="s">
        <v>800</v>
      </c>
      <c r="M3443" s="16" t="s">
        <v>4477</v>
      </c>
      <c r="N3443" s="19" t="s">
        <v>798</v>
      </c>
      <c r="O3443" s="20" t="s">
        <v>798</v>
      </c>
      <c r="P3443" s="17" t="s">
        <v>802</v>
      </c>
      <c r="Q3443" s="21" t="s">
        <v>9064</v>
      </c>
      <c r="R3443" s="19" t="s">
        <v>798</v>
      </c>
      <c r="S3443" s="20" t="s">
        <v>798</v>
      </c>
      <c r="T3443" s="17" t="s">
        <v>798</v>
      </c>
      <c r="U3443" s="20" t="s">
        <v>798</v>
      </c>
      <c r="V3443" s="26" t="s">
        <v>798</v>
      </c>
      <c r="W3443" s="20" t="s">
        <v>798</v>
      </c>
      <c r="X3443" s="26" t="s">
        <v>798</v>
      </c>
      <c r="Y3443" s="20" t="s">
        <v>798</v>
      </c>
      <c r="Z3443" s="69" t="s">
        <v>9486</v>
      </c>
      <c r="AA3443" s="72" t="s">
        <v>9476</v>
      </c>
      <c r="AB3443" s="73" t="s">
        <v>9486</v>
      </c>
      <c r="AC3443" s="74" t="s">
        <v>9562</v>
      </c>
      <c r="AD3443" s="73" t="s">
        <v>9578</v>
      </c>
      <c r="AE3443" s="74" t="s">
        <v>9579</v>
      </c>
    </row>
    <row r="3444" spans="1:31" ht="8.65" customHeight="1" x14ac:dyDescent="0.2">
      <c r="A3444" s="76">
        <v>3444</v>
      </c>
      <c r="B3444" s="67" t="str">
        <f>MID(C3444, FIND("Ifc.", C3444) + 4, 4) &amp; "_" &amp; TEXT(COUNTIF($C$2:C3444, C3444),"0000")</f>
        <v>Enti_0577</v>
      </c>
      <c r="C3444" s="25" t="s">
        <v>874</v>
      </c>
      <c r="D3444" s="69" t="s">
        <v>9453</v>
      </c>
      <c r="E3444" s="70" t="s">
        <v>9457</v>
      </c>
      <c r="F3444" s="26" t="s">
        <v>798</v>
      </c>
      <c r="G3444" s="15" t="s">
        <v>798</v>
      </c>
      <c r="H3444" s="14" t="s">
        <v>798</v>
      </c>
      <c r="I3444" s="15" t="s">
        <v>798</v>
      </c>
      <c r="J3444" s="12" t="s">
        <v>9438</v>
      </c>
      <c r="K3444" s="16" t="s">
        <v>3513</v>
      </c>
      <c r="L3444" s="12" t="s">
        <v>800</v>
      </c>
      <c r="M3444" s="16" t="s">
        <v>4478</v>
      </c>
      <c r="N3444" s="19" t="s">
        <v>798</v>
      </c>
      <c r="O3444" s="20" t="s">
        <v>798</v>
      </c>
      <c r="P3444" s="17" t="s">
        <v>802</v>
      </c>
      <c r="Q3444" s="21" t="s">
        <v>9065</v>
      </c>
      <c r="R3444" s="19" t="s">
        <v>798</v>
      </c>
      <c r="S3444" s="20" t="s">
        <v>798</v>
      </c>
      <c r="T3444" s="17" t="s">
        <v>798</v>
      </c>
      <c r="U3444" s="20" t="s">
        <v>798</v>
      </c>
      <c r="V3444" s="26" t="s">
        <v>798</v>
      </c>
      <c r="W3444" s="20" t="s">
        <v>798</v>
      </c>
      <c r="X3444" s="26" t="s">
        <v>798</v>
      </c>
      <c r="Y3444" s="20" t="s">
        <v>798</v>
      </c>
      <c r="Z3444" s="69" t="s">
        <v>9486</v>
      </c>
      <c r="AA3444" s="72" t="s">
        <v>9476</v>
      </c>
      <c r="AB3444" s="73" t="s">
        <v>9486</v>
      </c>
      <c r="AC3444" s="74" t="s">
        <v>9562</v>
      </c>
      <c r="AD3444" s="73" t="s">
        <v>9578</v>
      </c>
      <c r="AE3444" s="74" t="s">
        <v>9579</v>
      </c>
    </row>
    <row r="3445" spans="1:31" ht="8.65" customHeight="1" x14ac:dyDescent="0.2">
      <c r="A3445" s="76">
        <v>3445</v>
      </c>
      <c r="B3445" s="67" t="str">
        <f>MID(C3445, FIND("Ifc.", C3445) + 4, 4) &amp; "_" &amp; TEXT(COUNTIF($C$2:C3445, C3445),"0000")</f>
        <v>Enti_0578</v>
      </c>
      <c r="C3445" s="25" t="s">
        <v>874</v>
      </c>
      <c r="D3445" s="69" t="s">
        <v>9453</v>
      </c>
      <c r="E3445" s="70" t="s">
        <v>9457</v>
      </c>
      <c r="F3445" s="26" t="s">
        <v>798</v>
      </c>
      <c r="G3445" s="15" t="s">
        <v>798</v>
      </c>
      <c r="H3445" s="14" t="s">
        <v>798</v>
      </c>
      <c r="I3445" s="15" t="s">
        <v>798</v>
      </c>
      <c r="J3445" s="12" t="s">
        <v>9438</v>
      </c>
      <c r="K3445" s="16" t="s">
        <v>3514</v>
      </c>
      <c r="L3445" s="12" t="s">
        <v>800</v>
      </c>
      <c r="M3445" s="16" t="s">
        <v>4479</v>
      </c>
      <c r="N3445" s="19" t="s">
        <v>798</v>
      </c>
      <c r="O3445" s="20" t="s">
        <v>798</v>
      </c>
      <c r="P3445" s="17" t="s">
        <v>802</v>
      </c>
      <c r="Q3445" s="21" t="s">
        <v>9066</v>
      </c>
      <c r="R3445" s="19" t="s">
        <v>798</v>
      </c>
      <c r="S3445" s="20" t="s">
        <v>798</v>
      </c>
      <c r="T3445" s="17" t="s">
        <v>798</v>
      </c>
      <c r="U3445" s="20" t="s">
        <v>798</v>
      </c>
      <c r="V3445" s="26" t="s">
        <v>798</v>
      </c>
      <c r="W3445" s="20" t="s">
        <v>798</v>
      </c>
      <c r="X3445" s="26" t="s">
        <v>798</v>
      </c>
      <c r="Y3445" s="20" t="s">
        <v>798</v>
      </c>
      <c r="Z3445" s="69" t="s">
        <v>9486</v>
      </c>
      <c r="AA3445" s="72" t="s">
        <v>9476</v>
      </c>
      <c r="AB3445" s="73" t="s">
        <v>9486</v>
      </c>
      <c r="AC3445" s="74" t="s">
        <v>9562</v>
      </c>
      <c r="AD3445" s="73" t="s">
        <v>9578</v>
      </c>
      <c r="AE3445" s="74" t="s">
        <v>9579</v>
      </c>
    </row>
    <row r="3446" spans="1:31" ht="8.65" customHeight="1" x14ac:dyDescent="0.2">
      <c r="A3446" s="76">
        <v>3446</v>
      </c>
      <c r="B3446" s="67" t="str">
        <f>MID(C3446, FIND("Ifc.", C3446) + 4, 4) &amp; "_" &amp; TEXT(COUNTIF($C$2:C3446, C3446),"0000")</f>
        <v>Enti_0579</v>
      </c>
      <c r="C3446" s="25" t="s">
        <v>874</v>
      </c>
      <c r="D3446" s="69" t="s">
        <v>9453</v>
      </c>
      <c r="E3446" s="70" t="s">
        <v>9457</v>
      </c>
      <c r="F3446" s="26" t="s">
        <v>798</v>
      </c>
      <c r="G3446" s="15" t="s">
        <v>798</v>
      </c>
      <c r="H3446" s="14" t="s">
        <v>798</v>
      </c>
      <c r="I3446" s="15" t="s">
        <v>798</v>
      </c>
      <c r="J3446" s="12" t="s">
        <v>9438</v>
      </c>
      <c r="K3446" s="16" t="s">
        <v>3515</v>
      </c>
      <c r="L3446" s="12" t="s">
        <v>800</v>
      </c>
      <c r="M3446" s="16" t="s">
        <v>4480</v>
      </c>
      <c r="N3446" s="19" t="s">
        <v>798</v>
      </c>
      <c r="O3446" s="20" t="s">
        <v>798</v>
      </c>
      <c r="P3446" s="17" t="s">
        <v>802</v>
      </c>
      <c r="Q3446" s="21" t="s">
        <v>9067</v>
      </c>
      <c r="R3446" s="19" t="s">
        <v>798</v>
      </c>
      <c r="S3446" s="20" t="s">
        <v>798</v>
      </c>
      <c r="T3446" s="17" t="s">
        <v>798</v>
      </c>
      <c r="U3446" s="20" t="s">
        <v>798</v>
      </c>
      <c r="V3446" s="26" t="s">
        <v>798</v>
      </c>
      <c r="W3446" s="20" t="s">
        <v>798</v>
      </c>
      <c r="X3446" s="26" t="s">
        <v>798</v>
      </c>
      <c r="Y3446" s="20" t="s">
        <v>798</v>
      </c>
      <c r="Z3446" s="69" t="s">
        <v>9486</v>
      </c>
      <c r="AA3446" s="72" t="s">
        <v>9476</v>
      </c>
      <c r="AB3446" s="73" t="s">
        <v>9486</v>
      </c>
      <c r="AC3446" s="74" t="s">
        <v>9562</v>
      </c>
      <c r="AD3446" s="73" t="s">
        <v>9578</v>
      </c>
      <c r="AE3446" s="74" t="s">
        <v>9579</v>
      </c>
    </row>
    <row r="3447" spans="1:31" ht="8.65" customHeight="1" x14ac:dyDescent="0.2">
      <c r="A3447" s="76">
        <v>3447</v>
      </c>
      <c r="B3447" s="67" t="str">
        <f>MID(C3447, FIND("Ifc.", C3447) + 4, 4) &amp; "_" &amp; TEXT(COUNTIF($C$2:C3447, C3447),"0000")</f>
        <v>Enti_0580</v>
      </c>
      <c r="C3447" s="25" t="s">
        <v>874</v>
      </c>
      <c r="D3447" s="69" t="s">
        <v>9453</v>
      </c>
      <c r="E3447" s="70" t="s">
        <v>9457</v>
      </c>
      <c r="F3447" s="26" t="s">
        <v>798</v>
      </c>
      <c r="G3447" s="15" t="s">
        <v>798</v>
      </c>
      <c r="H3447" s="14" t="s">
        <v>798</v>
      </c>
      <c r="I3447" s="15" t="s">
        <v>798</v>
      </c>
      <c r="J3447" s="12" t="s">
        <v>9438</v>
      </c>
      <c r="K3447" s="16" t="s">
        <v>3516</v>
      </c>
      <c r="L3447" s="12" t="s">
        <v>800</v>
      </c>
      <c r="M3447" s="16" t="s">
        <v>4481</v>
      </c>
      <c r="N3447" s="19" t="s">
        <v>798</v>
      </c>
      <c r="O3447" s="20" t="s">
        <v>798</v>
      </c>
      <c r="P3447" s="17" t="s">
        <v>802</v>
      </c>
      <c r="Q3447" s="21" t="s">
        <v>9068</v>
      </c>
      <c r="R3447" s="19" t="s">
        <v>798</v>
      </c>
      <c r="S3447" s="20" t="s">
        <v>798</v>
      </c>
      <c r="T3447" s="17" t="s">
        <v>798</v>
      </c>
      <c r="U3447" s="20" t="s">
        <v>798</v>
      </c>
      <c r="V3447" s="26" t="s">
        <v>798</v>
      </c>
      <c r="W3447" s="20" t="s">
        <v>798</v>
      </c>
      <c r="X3447" s="26" t="s">
        <v>798</v>
      </c>
      <c r="Y3447" s="20" t="s">
        <v>798</v>
      </c>
      <c r="Z3447" s="69" t="s">
        <v>9486</v>
      </c>
      <c r="AA3447" s="72" t="s">
        <v>9476</v>
      </c>
      <c r="AB3447" s="73" t="s">
        <v>9486</v>
      </c>
      <c r="AC3447" s="74" t="s">
        <v>9566</v>
      </c>
      <c r="AD3447" s="73" t="s">
        <v>9578</v>
      </c>
      <c r="AE3447" s="74" t="s">
        <v>9579</v>
      </c>
    </row>
    <row r="3448" spans="1:31" ht="8.65" customHeight="1" x14ac:dyDescent="0.2">
      <c r="A3448" s="76">
        <v>3448</v>
      </c>
      <c r="B3448" s="67" t="str">
        <f>MID(C3448, FIND("Ifc.", C3448) + 4, 4) &amp; "_" &amp; TEXT(COUNTIF($C$2:C3448, C3448),"0000")</f>
        <v>Enti_0581</v>
      </c>
      <c r="C3448" s="25" t="s">
        <v>874</v>
      </c>
      <c r="D3448" s="69" t="s">
        <v>9453</v>
      </c>
      <c r="E3448" s="70" t="s">
        <v>9457</v>
      </c>
      <c r="F3448" s="26" t="s">
        <v>798</v>
      </c>
      <c r="G3448" s="15" t="s">
        <v>798</v>
      </c>
      <c r="H3448" s="14" t="s">
        <v>798</v>
      </c>
      <c r="I3448" s="15" t="s">
        <v>798</v>
      </c>
      <c r="J3448" s="12" t="s">
        <v>9438</v>
      </c>
      <c r="K3448" s="16" t="s">
        <v>3517</v>
      </c>
      <c r="L3448" s="12" t="s">
        <v>800</v>
      </c>
      <c r="M3448" s="16" t="s">
        <v>4482</v>
      </c>
      <c r="N3448" s="19" t="s">
        <v>798</v>
      </c>
      <c r="O3448" s="20" t="s">
        <v>798</v>
      </c>
      <c r="P3448" s="17" t="s">
        <v>802</v>
      </c>
      <c r="Q3448" s="21" t="s">
        <v>9069</v>
      </c>
      <c r="R3448" s="19" t="s">
        <v>798</v>
      </c>
      <c r="S3448" s="20" t="s">
        <v>798</v>
      </c>
      <c r="T3448" s="17" t="s">
        <v>798</v>
      </c>
      <c r="U3448" s="20" t="s">
        <v>798</v>
      </c>
      <c r="V3448" s="26" t="s">
        <v>798</v>
      </c>
      <c r="W3448" s="20" t="s">
        <v>798</v>
      </c>
      <c r="X3448" s="26" t="s">
        <v>798</v>
      </c>
      <c r="Y3448" s="20" t="s">
        <v>798</v>
      </c>
      <c r="Z3448" s="69" t="s">
        <v>9486</v>
      </c>
      <c r="AA3448" s="72" t="s">
        <v>9476</v>
      </c>
      <c r="AB3448" s="73" t="s">
        <v>9486</v>
      </c>
      <c r="AC3448" s="74" t="s">
        <v>9566</v>
      </c>
      <c r="AD3448" s="73" t="s">
        <v>9578</v>
      </c>
      <c r="AE3448" s="74" t="s">
        <v>9579</v>
      </c>
    </row>
    <row r="3449" spans="1:31" ht="8.65" customHeight="1" x14ac:dyDescent="0.2">
      <c r="A3449" s="76">
        <v>3449</v>
      </c>
      <c r="B3449" s="67" t="str">
        <f>MID(C3449, FIND("Ifc.", C3449) + 4, 4) &amp; "_" &amp; TEXT(COUNTIF($C$2:C3449, C3449),"0000")</f>
        <v>Enti_0582</v>
      </c>
      <c r="C3449" s="25" t="s">
        <v>874</v>
      </c>
      <c r="D3449" s="69" t="s">
        <v>9453</v>
      </c>
      <c r="E3449" s="70" t="s">
        <v>9457</v>
      </c>
      <c r="F3449" s="26" t="s">
        <v>798</v>
      </c>
      <c r="G3449" s="15" t="s">
        <v>798</v>
      </c>
      <c r="H3449" s="14" t="s">
        <v>798</v>
      </c>
      <c r="I3449" s="15" t="s">
        <v>798</v>
      </c>
      <c r="J3449" s="12" t="s">
        <v>9438</v>
      </c>
      <c r="K3449" s="16" t="s">
        <v>3518</v>
      </c>
      <c r="L3449" s="12" t="s">
        <v>800</v>
      </c>
      <c r="M3449" s="16" t="s">
        <v>4483</v>
      </c>
      <c r="N3449" s="19" t="s">
        <v>798</v>
      </c>
      <c r="O3449" s="20" t="s">
        <v>798</v>
      </c>
      <c r="P3449" s="17" t="s">
        <v>802</v>
      </c>
      <c r="Q3449" s="21" t="s">
        <v>9070</v>
      </c>
      <c r="R3449" s="19" t="s">
        <v>798</v>
      </c>
      <c r="S3449" s="20" t="s">
        <v>798</v>
      </c>
      <c r="T3449" s="17" t="s">
        <v>798</v>
      </c>
      <c r="U3449" s="20" t="s">
        <v>798</v>
      </c>
      <c r="V3449" s="26" t="s">
        <v>798</v>
      </c>
      <c r="W3449" s="20" t="s">
        <v>798</v>
      </c>
      <c r="X3449" s="26" t="s">
        <v>798</v>
      </c>
      <c r="Y3449" s="20" t="s">
        <v>798</v>
      </c>
      <c r="Z3449" s="69" t="s">
        <v>9486</v>
      </c>
      <c r="AA3449" s="72" t="s">
        <v>9488</v>
      </c>
      <c r="AB3449" s="73" t="s">
        <v>9486</v>
      </c>
      <c r="AC3449" s="74" t="s">
        <v>9566</v>
      </c>
      <c r="AD3449" s="73" t="s">
        <v>9578</v>
      </c>
      <c r="AE3449" s="74" t="s">
        <v>9579</v>
      </c>
    </row>
    <row r="3450" spans="1:31" ht="8.65" customHeight="1" x14ac:dyDescent="0.2">
      <c r="A3450" s="76">
        <v>3450</v>
      </c>
      <c r="B3450" s="67" t="str">
        <f>MID(C3450, FIND("Ifc.", C3450) + 4, 4) &amp; "_" &amp; TEXT(COUNTIF($C$2:C3450, C3450),"0000")</f>
        <v>Enti_0583</v>
      </c>
      <c r="C3450" s="25" t="s">
        <v>874</v>
      </c>
      <c r="D3450" s="69" t="s">
        <v>9453</v>
      </c>
      <c r="E3450" s="70" t="s">
        <v>9457</v>
      </c>
      <c r="F3450" s="26" t="s">
        <v>798</v>
      </c>
      <c r="G3450" s="15" t="s">
        <v>798</v>
      </c>
      <c r="H3450" s="14" t="s">
        <v>798</v>
      </c>
      <c r="I3450" s="15" t="s">
        <v>798</v>
      </c>
      <c r="J3450" s="12" t="s">
        <v>9438</v>
      </c>
      <c r="K3450" s="16" t="s">
        <v>3519</v>
      </c>
      <c r="L3450" s="12" t="s">
        <v>800</v>
      </c>
      <c r="M3450" s="16" t="s">
        <v>4484</v>
      </c>
      <c r="N3450" s="19" t="s">
        <v>798</v>
      </c>
      <c r="O3450" s="20" t="s">
        <v>798</v>
      </c>
      <c r="P3450" s="17" t="s">
        <v>802</v>
      </c>
      <c r="Q3450" s="21" t="s">
        <v>9071</v>
      </c>
      <c r="R3450" s="19" t="s">
        <v>798</v>
      </c>
      <c r="S3450" s="20" t="s">
        <v>798</v>
      </c>
      <c r="T3450" s="17" t="s">
        <v>798</v>
      </c>
      <c r="U3450" s="20" t="s">
        <v>798</v>
      </c>
      <c r="V3450" s="26" t="s">
        <v>798</v>
      </c>
      <c r="W3450" s="20" t="s">
        <v>798</v>
      </c>
      <c r="X3450" s="26" t="s">
        <v>798</v>
      </c>
      <c r="Y3450" s="20" t="s">
        <v>798</v>
      </c>
      <c r="Z3450" s="69" t="s">
        <v>9486</v>
      </c>
      <c r="AA3450" s="72" t="s">
        <v>9476</v>
      </c>
      <c r="AB3450" s="73" t="s">
        <v>9486</v>
      </c>
      <c r="AC3450" s="74" t="s">
        <v>9566</v>
      </c>
      <c r="AD3450" s="73" t="s">
        <v>9578</v>
      </c>
      <c r="AE3450" s="74" t="s">
        <v>9579</v>
      </c>
    </row>
    <row r="3451" spans="1:31" ht="8.65" customHeight="1" x14ac:dyDescent="0.2">
      <c r="A3451" s="76">
        <v>3451</v>
      </c>
      <c r="B3451" s="67" t="str">
        <f>MID(C3451, FIND("Ifc.", C3451) + 4, 4) &amp; "_" &amp; TEXT(COUNTIF($C$2:C3451, C3451),"0000")</f>
        <v>Enti_0584</v>
      </c>
      <c r="C3451" s="25" t="s">
        <v>874</v>
      </c>
      <c r="D3451" s="69" t="s">
        <v>9453</v>
      </c>
      <c r="E3451" s="70" t="s">
        <v>9457</v>
      </c>
      <c r="F3451" s="26" t="s">
        <v>798</v>
      </c>
      <c r="G3451" s="15" t="s">
        <v>798</v>
      </c>
      <c r="H3451" s="14" t="s">
        <v>798</v>
      </c>
      <c r="I3451" s="15" t="s">
        <v>798</v>
      </c>
      <c r="J3451" s="12" t="s">
        <v>9438</v>
      </c>
      <c r="K3451" s="16" t="s">
        <v>3520</v>
      </c>
      <c r="L3451" s="12" t="s">
        <v>800</v>
      </c>
      <c r="M3451" s="16" t="s">
        <v>4485</v>
      </c>
      <c r="N3451" s="19" t="s">
        <v>798</v>
      </c>
      <c r="O3451" s="20" t="s">
        <v>798</v>
      </c>
      <c r="P3451" s="17" t="s">
        <v>802</v>
      </c>
      <c r="Q3451" s="21" t="s">
        <v>9072</v>
      </c>
      <c r="R3451" s="19" t="s">
        <v>798</v>
      </c>
      <c r="S3451" s="20" t="s">
        <v>798</v>
      </c>
      <c r="T3451" s="17" t="s">
        <v>798</v>
      </c>
      <c r="U3451" s="20" t="s">
        <v>798</v>
      </c>
      <c r="V3451" s="26" t="s">
        <v>798</v>
      </c>
      <c r="W3451" s="20" t="s">
        <v>798</v>
      </c>
      <c r="X3451" s="26" t="s">
        <v>798</v>
      </c>
      <c r="Y3451" s="20" t="s">
        <v>798</v>
      </c>
      <c r="Z3451" s="69" t="s">
        <v>9486</v>
      </c>
      <c r="AA3451" s="72" t="s">
        <v>9476</v>
      </c>
      <c r="AB3451" s="73" t="s">
        <v>9486</v>
      </c>
      <c r="AC3451" s="74" t="s">
        <v>9566</v>
      </c>
      <c r="AD3451" s="73" t="s">
        <v>9578</v>
      </c>
      <c r="AE3451" s="74" t="s">
        <v>9579</v>
      </c>
    </row>
    <row r="3452" spans="1:31" ht="8.65" customHeight="1" x14ac:dyDescent="0.2">
      <c r="A3452" s="76">
        <v>3452</v>
      </c>
      <c r="B3452" s="67" t="str">
        <f>MID(C3452, FIND("Ifc.", C3452) + 4, 4) &amp; "_" &amp; TEXT(COUNTIF($C$2:C3452, C3452),"0000")</f>
        <v>Enti_0585</v>
      </c>
      <c r="C3452" s="25" t="s">
        <v>874</v>
      </c>
      <c r="D3452" s="69" t="s">
        <v>9453</v>
      </c>
      <c r="E3452" s="70" t="s">
        <v>9457</v>
      </c>
      <c r="F3452" s="26" t="s">
        <v>798</v>
      </c>
      <c r="G3452" s="15" t="s">
        <v>798</v>
      </c>
      <c r="H3452" s="14" t="s">
        <v>798</v>
      </c>
      <c r="I3452" s="15" t="s">
        <v>798</v>
      </c>
      <c r="J3452" s="12" t="s">
        <v>9438</v>
      </c>
      <c r="K3452" s="16" t="s">
        <v>3521</v>
      </c>
      <c r="L3452" s="12" t="s">
        <v>800</v>
      </c>
      <c r="M3452" s="16" t="s">
        <v>4486</v>
      </c>
      <c r="N3452" s="19" t="s">
        <v>798</v>
      </c>
      <c r="O3452" s="20" t="s">
        <v>798</v>
      </c>
      <c r="P3452" s="17" t="s">
        <v>802</v>
      </c>
      <c r="Q3452" s="21" t="s">
        <v>9073</v>
      </c>
      <c r="R3452" s="19" t="s">
        <v>798</v>
      </c>
      <c r="S3452" s="20" t="s">
        <v>798</v>
      </c>
      <c r="T3452" s="17" t="s">
        <v>798</v>
      </c>
      <c r="U3452" s="20" t="s">
        <v>798</v>
      </c>
      <c r="V3452" s="26" t="s">
        <v>798</v>
      </c>
      <c r="W3452" s="20" t="s">
        <v>798</v>
      </c>
      <c r="X3452" s="26" t="s">
        <v>798</v>
      </c>
      <c r="Y3452" s="20" t="s">
        <v>798</v>
      </c>
      <c r="Z3452" s="69" t="s">
        <v>9486</v>
      </c>
      <c r="AA3452" s="72" t="s">
        <v>9488</v>
      </c>
      <c r="AB3452" s="73" t="s">
        <v>9486</v>
      </c>
      <c r="AC3452" s="74" t="s">
        <v>9566</v>
      </c>
      <c r="AD3452" s="73" t="s">
        <v>9578</v>
      </c>
      <c r="AE3452" s="74" t="s">
        <v>9579</v>
      </c>
    </row>
    <row r="3453" spans="1:31" ht="8.65" customHeight="1" x14ac:dyDescent="0.2">
      <c r="A3453" s="76">
        <v>3453</v>
      </c>
      <c r="B3453" s="67" t="str">
        <f>MID(C3453, FIND("Ifc.", C3453) + 4, 4) &amp; "_" &amp; TEXT(COUNTIF($C$2:C3453, C3453),"0000")</f>
        <v>Enti_0586</v>
      </c>
      <c r="C3453" s="25" t="s">
        <v>874</v>
      </c>
      <c r="D3453" s="69" t="s">
        <v>9453</v>
      </c>
      <c r="E3453" s="70" t="s">
        <v>9457</v>
      </c>
      <c r="F3453" s="26" t="s">
        <v>798</v>
      </c>
      <c r="G3453" s="15" t="s">
        <v>798</v>
      </c>
      <c r="H3453" s="14" t="s">
        <v>798</v>
      </c>
      <c r="I3453" s="15" t="s">
        <v>798</v>
      </c>
      <c r="J3453" s="12" t="s">
        <v>9438</v>
      </c>
      <c r="K3453" s="16" t="s">
        <v>3522</v>
      </c>
      <c r="L3453" s="12" t="s">
        <v>800</v>
      </c>
      <c r="M3453" s="16" t="s">
        <v>4487</v>
      </c>
      <c r="N3453" s="19" t="s">
        <v>798</v>
      </c>
      <c r="O3453" s="20" t="s">
        <v>798</v>
      </c>
      <c r="P3453" s="17" t="s">
        <v>802</v>
      </c>
      <c r="Q3453" s="21" t="s">
        <v>9074</v>
      </c>
      <c r="R3453" s="19" t="s">
        <v>798</v>
      </c>
      <c r="S3453" s="20" t="s">
        <v>798</v>
      </c>
      <c r="T3453" s="17" t="s">
        <v>798</v>
      </c>
      <c r="U3453" s="20" t="s">
        <v>798</v>
      </c>
      <c r="V3453" s="26" t="s">
        <v>798</v>
      </c>
      <c r="W3453" s="20" t="s">
        <v>798</v>
      </c>
      <c r="X3453" s="26" t="s">
        <v>798</v>
      </c>
      <c r="Y3453" s="20" t="s">
        <v>798</v>
      </c>
      <c r="Z3453" s="69" t="s">
        <v>9486</v>
      </c>
      <c r="AA3453" s="72" t="s">
        <v>9488</v>
      </c>
      <c r="AB3453" s="73" t="s">
        <v>9486</v>
      </c>
      <c r="AC3453" s="74" t="s">
        <v>9566</v>
      </c>
      <c r="AD3453" s="73" t="s">
        <v>9578</v>
      </c>
      <c r="AE3453" s="74" t="s">
        <v>9579</v>
      </c>
    </row>
    <row r="3454" spans="1:31" ht="8.65" customHeight="1" x14ac:dyDescent="0.2">
      <c r="A3454" s="76">
        <v>3454</v>
      </c>
      <c r="B3454" s="67" t="str">
        <f>MID(C3454, FIND("Ifc.", C3454) + 4, 4) &amp; "_" &amp; TEXT(COUNTIF($C$2:C3454, C3454),"0000")</f>
        <v>Enti_0587</v>
      </c>
      <c r="C3454" s="25" t="s">
        <v>874</v>
      </c>
      <c r="D3454" s="69" t="s">
        <v>9453</v>
      </c>
      <c r="E3454" s="70" t="s">
        <v>9457</v>
      </c>
      <c r="F3454" s="26" t="s">
        <v>798</v>
      </c>
      <c r="G3454" s="15" t="s">
        <v>798</v>
      </c>
      <c r="H3454" s="14" t="s">
        <v>798</v>
      </c>
      <c r="I3454" s="15" t="s">
        <v>798</v>
      </c>
      <c r="J3454" s="12" t="s">
        <v>9438</v>
      </c>
      <c r="K3454" s="16" t="s">
        <v>3523</v>
      </c>
      <c r="L3454" s="12" t="s">
        <v>800</v>
      </c>
      <c r="M3454" s="16" t="s">
        <v>4488</v>
      </c>
      <c r="N3454" s="19" t="s">
        <v>798</v>
      </c>
      <c r="O3454" s="20" t="s">
        <v>798</v>
      </c>
      <c r="P3454" s="17" t="s">
        <v>802</v>
      </c>
      <c r="Q3454" s="21" t="s">
        <v>9075</v>
      </c>
      <c r="R3454" s="19" t="s">
        <v>798</v>
      </c>
      <c r="S3454" s="20" t="s">
        <v>798</v>
      </c>
      <c r="T3454" s="17" t="s">
        <v>798</v>
      </c>
      <c r="U3454" s="20" t="s">
        <v>798</v>
      </c>
      <c r="V3454" s="26" t="s">
        <v>798</v>
      </c>
      <c r="W3454" s="20" t="s">
        <v>798</v>
      </c>
      <c r="X3454" s="26" t="s">
        <v>798</v>
      </c>
      <c r="Y3454" s="20" t="s">
        <v>798</v>
      </c>
      <c r="Z3454" s="69" t="s">
        <v>9486</v>
      </c>
      <c r="AA3454" s="72" t="s">
        <v>9476</v>
      </c>
      <c r="AB3454" s="73" t="s">
        <v>9486</v>
      </c>
      <c r="AC3454" s="74" t="s">
        <v>9566</v>
      </c>
      <c r="AD3454" s="73" t="s">
        <v>9578</v>
      </c>
      <c r="AE3454" s="74" t="s">
        <v>9579</v>
      </c>
    </row>
    <row r="3455" spans="1:31" ht="8.65" customHeight="1" x14ac:dyDescent="0.2">
      <c r="A3455" s="76">
        <v>3455</v>
      </c>
      <c r="B3455" s="67" t="str">
        <f>MID(C3455, FIND("Ifc.", C3455) + 4, 4) &amp; "_" &amp; TEXT(COUNTIF($C$2:C3455, C3455),"0000")</f>
        <v>Enti_0588</v>
      </c>
      <c r="C3455" s="25" t="s">
        <v>874</v>
      </c>
      <c r="D3455" s="69" t="s">
        <v>9453</v>
      </c>
      <c r="E3455" s="70" t="s">
        <v>9457</v>
      </c>
      <c r="F3455" s="26" t="s">
        <v>798</v>
      </c>
      <c r="G3455" s="15" t="s">
        <v>798</v>
      </c>
      <c r="H3455" s="14" t="s">
        <v>798</v>
      </c>
      <c r="I3455" s="15" t="s">
        <v>798</v>
      </c>
      <c r="J3455" s="12" t="s">
        <v>9438</v>
      </c>
      <c r="K3455" s="16" t="s">
        <v>3524</v>
      </c>
      <c r="L3455" s="12" t="s">
        <v>800</v>
      </c>
      <c r="M3455" s="16" t="s">
        <v>4489</v>
      </c>
      <c r="N3455" s="19" t="s">
        <v>798</v>
      </c>
      <c r="O3455" s="20" t="s">
        <v>798</v>
      </c>
      <c r="P3455" s="17" t="s">
        <v>802</v>
      </c>
      <c r="Q3455" s="21" t="s">
        <v>9076</v>
      </c>
      <c r="R3455" s="19" t="s">
        <v>798</v>
      </c>
      <c r="S3455" s="20" t="s">
        <v>798</v>
      </c>
      <c r="T3455" s="17" t="s">
        <v>798</v>
      </c>
      <c r="U3455" s="20" t="s">
        <v>798</v>
      </c>
      <c r="V3455" s="26" t="s">
        <v>798</v>
      </c>
      <c r="W3455" s="20" t="s">
        <v>798</v>
      </c>
      <c r="X3455" s="26" t="s">
        <v>798</v>
      </c>
      <c r="Y3455" s="20" t="s">
        <v>798</v>
      </c>
      <c r="Z3455" s="69" t="s">
        <v>9486</v>
      </c>
      <c r="AA3455" s="72" t="s">
        <v>9476</v>
      </c>
      <c r="AB3455" s="73" t="s">
        <v>9486</v>
      </c>
      <c r="AC3455" s="74" t="s">
        <v>9566</v>
      </c>
      <c r="AD3455" s="73" t="s">
        <v>9578</v>
      </c>
      <c r="AE3455" s="74" t="s">
        <v>9579</v>
      </c>
    </row>
    <row r="3456" spans="1:31" ht="8.65" customHeight="1" x14ac:dyDescent="0.2">
      <c r="A3456" s="76">
        <v>3456</v>
      </c>
      <c r="B3456" s="67" t="str">
        <f>MID(C3456, FIND("Ifc.", C3456) + 4, 4) &amp; "_" &amp; TEXT(COUNTIF($C$2:C3456, C3456),"0000")</f>
        <v>Enti_0589</v>
      </c>
      <c r="C3456" s="25" t="s">
        <v>874</v>
      </c>
      <c r="D3456" s="69" t="s">
        <v>9453</v>
      </c>
      <c r="E3456" s="70" t="s">
        <v>9457</v>
      </c>
      <c r="F3456" s="26" t="s">
        <v>798</v>
      </c>
      <c r="G3456" s="15" t="s">
        <v>798</v>
      </c>
      <c r="H3456" s="14" t="s">
        <v>798</v>
      </c>
      <c r="I3456" s="15" t="s">
        <v>798</v>
      </c>
      <c r="J3456" s="12" t="s">
        <v>9438</v>
      </c>
      <c r="K3456" s="16" t="s">
        <v>3525</v>
      </c>
      <c r="L3456" s="12" t="s">
        <v>800</v>
      </c>
      <c r="M3456" s="16" t="s">
        <v>4490</v>
      </c>
      <c r="N3456" s="19" t="s">
        <v>798</v>
      </c>
      <c r="O3456" s="20" t="s">
        <v>798</v>
      </c>
      <c r="P3456" s="17" t="s">
        <v>802</v>
      </c>
      <c r="Q3456" s="21" t="s">
        <v>9077</v>
      </c>
      <c r="R3456" s="19" t="s">
        <v>798</v>
      </c>
      <c r="S3456" s="20" t="s">
        <v>798</v>
      </c>
      <c r="T3456" s="17" t="s">
        <v>798</v>
      </c>
      <c r="U3456" s="20" t="s">
        <v>798</v>
      </c>
      <c r="V3456" s="26" t="s">
        <v>798</v>
      </c>
      <c r="W3456" s="20" t="s">
        <v>798</v>
      </c>
      <c r="X3456" s="26" t="s">
        <v>798</v>
      </c>
      <c r="Y3456" s="20" t="s">
        <v>798</v>
      </c>
      <c r="Z3456" s="69" t="s">
        <v>9486</v>
      </c>
      <c r="AA3456" s="72" t="s">
        <v>9476</v>
      </c>
      <c r="AB3456" s="73" t="s">
        <v>9486</v>
      </c>
      <c r="AC3456" s="74" t="s">
        <v>9566</v>
      </c>
      <c r="AD3456" s="73" t="s">
        <v>9578</v>
      </c>
      <c r="AE3456" s="74" t="s">
        <v>9579</v>
      </c>
    </row>
    <row r="3457" spans="1:31" ht="8.65" customHeight="1" x14ac:dyDescent="0.2">
      <c r="A3457" s="76">
        <v>3457</v>
      </c>
      <c r="B3457" s="67" t="str">
        <f>MID(C3457, FIND("Ifc.", C3457) + 4, 4) &amp; "_" &amp; TEXT(COUNTIF($C$2:C3457, C3457),"0000")</f>
        <v>Enti_0590</v>
      </c>
      <c r="C3457" s="25" t="s">
        <v>874</v>
      </c>
      <c r="D3457" s="69" t="s">
        <v>9453</v>
      </c>
      <c r="E3457" s="70" t="s">
        <v>9457</v>
      </c>
      <c r="F3457" s="26" t="s">
        <v>798</v>
      </c>
      <c r="G3457" s="15" t="s">
        <v>798</v>
      </c>
      <c r="H3457" s="14" t="s">
        <v>798</v>
      </c>
      <c r="I3457" s="15" t="s">
        <v>798</v>
      </c>
      <c r="J3457" s="12" t="s">
        <v>9438</v>
      </c>
      <c r="K3457" s="16" t="s">
        <v>3526</v>
      </c>
      <c r="L3457" s="12" t="s">
        <v>800</v>
      </c>
      <c r="M3457" s="16" t="s">
        <v>4491</v>
      </c>
      <c r="N3457" s="19" t="s">
        <v>798</v>
      </c>
      <c r="O3457" s="20" t="s">
        <v>798</v>
      </c>
      <c r="P3457" s="17" t="s">
        <v>802</v>
      </c>
      <c r="Q3457" s="21" t="s">
        <v>9078</v>
      </c>
      <c r="R3457" s="19" t="s">
        <v>798</v>
      </c>
      <c r="S3457" s="20" t="s">
        <v>798</v>
      </c>
      <c r="T3457" s="17" t="s">
        <v>798</v>
      </c>
      <c r="U3457" s="20" t="s">
        <v>798</v>
      </c>
      <c r="V3457" s="26" t="s">
        <v>798</v>
      </c>
      <c r="W3457" s="20" t="s">
        <v>798</v>
      </c>
      <c r="X3457" s="26" t="s">
        <v>798</v>
      </c>
      <c r="Y3457" s="20" t="s">
        <v>798</v>
      </c>
      <c r="Z3457" s="69" t="s">
        <v>9486</v>
      </c>
      <c r="AA3457" s="72" t="s">
        <v>9476</v>
      </c>
      <c r="AB3457" s="73" t="s">
        <v>9486</v>
      </c>
      <c r="AC3457" s="74" t="s">
        <v>9562</v>
      </c>
      <c r="AD3457" s="73" t="s">
        <v>9578</v>
      </c>
      <c r="AE3457" s="74" t="s">
        <v>9579</v>
      </c>
    </row>
    <row r="3458" spans="1:31" ht="8.65" customHeight="1" x14ac:dyDescent="0.2">
      <c r="A3458" s="76">
        <v>3458</v>
      </c>
      <c r="B3458" s="67" t="str">
        <f>MID(C3458, FIND("Ifc.", C3458) + 4, 4) &amp; "_" &amp; TEXT(COUNTIF($C$2:C3458, C3458),"0000")</f>
        <v>Enti_0591</v>
      </c>
      <c r="C3458" s="25" t="s">
        <v>874</v>
      </c>
      <c r="D3458" s="69" t="s">
        <v>9453</v>
      </c>
      <c r="E3458" s="70" t="s">
        <v>9457</v>
      </c>
      <c r="F3458" s="26" t="s">
        <v>798</v>
      </c>
      <c r="G3458" s="15" t="s">
        <v>798</v>
      </c>
      <c r="H3458" s="14" t="s">
        <v>798</v>
      </c>
      <c r="I3458" s="15" t="s">
        <v>798</v>
      </c>
      <c r="J3458" s="12" t="s">
        <v>9438</v>
      </c>
      <c r="K3458" s="16" t="s">
        <v>3527</v>
      </c>
      <c r="L3458" s="12" t="s">
        <v>800</v>
      </c>
      <c r="M3458" s="16" t="s">
        <v>4492</v>
      </c>
      <c r="N3458" s="19" t="s">
        <v>798</v>
      </c>
      <c r="O3458" s="20" t="s">
        <v>798</v>
      </c>
      <c r="P3458" s="17" t="s">
        <v>802</v>
      </c>
      <c r="Q3458" s="21" t="s">
        <v>9079</v>
      </c>
      <c r="R3458" s="19" t="s">
        <v>798</v>
      </c>
      <c r="S3458" s="20" t="s">
        <v>798</v>
      </c>
      <c r="T3458" s="17" t="s">
        <v>798</v>
      </c>
      <c r="U3458" s="20" t="s">
        <v>798</v>
      </c>
      <c r="V3458" s="26" t="s">
        <v>798</v>
      </c>
      <c r="W3458" s="20" t="s">
        <v>798</v>
      </c>
      <c r="X3458" s="26" t="s">
        <v>798</v>
      </c>
      <c r="Y3458" s="20" t="s">
        <v>798</v>
      </c>
      <c r="Z3458" s="69" t="s">
        <v>9486</v>
      </c>
      <c r="AA3458" s="72" t="s">
        <v>9476</v>
      </c>
      <c r="AB3458" s="73" t="s">
        <v>9486</v>
      </c>
      <c r="AC3458" s="74" t="s">
        <v>9562</v>
      </c>
      <c r="AD3458" s="73" t="s">
        <v>9578</v>
      </c>
      <c r="AE3458" s="74" t="s">
        <v>9579</v>
      </c>
    </row>
    <row r="3459" spans="1:31" ht="8.65" customHeight="1" x14ac:dyDescent="0.2">
      <c r="A3459" s="76">
        <v>3459</v>
      </c>
      <c r="B3459" s="67" t="str">
        <f>MID(C3459, FIND("Ifc.", C3459) + 4, 4) &amp; "_" &amp; TEXT(COUNTIF($C$2:C3459, C3459),"0000")</f>
        <v>Enti_0592</v>
      </c>
      <c r="C3459" s="25" t="s">
        <v>874</v>
      </c>
      <c r="D3459" s="69" t="s">
        <v>9453</v>
      </c>
      <c r="E3459" s="70" t="s">
        <v>9457</v>
      </c>
      <c r="F3459" s="26" t="s">
        <v>798</v>
      </c>
      <c r="G3459" s="15" t="s">
        <v>798</v>
      </c>
      <c r="H3459" s="14" t="s">
        <v>798</v>
      </c>
      <c r="I3459" s="15" t="s">
        <v>798</v>
      </c>
      <c r="J3459" s="12" t="s">
        <v>9438</v>
      </c>
      <c r="K3459" s="16" t="s">
        <v>3528</v>
      </c>
      <c r="L3459" s="12" t="s">
        <v>800</v>
      </c>
      <c r="M3459" s="16" t="s">
        <v>4492</v>
      </c>
      <c r="N3459" s="19" t="s">
        <v>798</v>
      </c>
      <c r="O3459" s="20" t="s">
        <v>798</v>
      </c>
      <c r="P3459" s="17" t="s">
        <v>802</v>
      </c>
      <c r="Q3459" s="21" t="s">
        <v>9080</v>
      </c>
      <c r="R3459" s="19" t="s">
        <v>798</v>
      </c>
      <c r="S3459" s="20" t="s">
        <v>798</v>
      </c>
      <c r="T3459" s="17" t="s">
        <v>798</v>
      </c>
      <c r="U3459" s="20" t="s">
        <v>798</v>
      </c>
      <c r="V3459" s="26" t="s">
        <v>798</v>
      </c>
      <c r="W3459" s="20" t="s">
        <v>798</v>
      </c>
      <c r="X3459" s="26" t="s">
        <v>798</v>
      </c>
      <c r="Y3459" s="20" t="s">
        <v>798</v>
      </c>
      <c r="Z3459" s="69" t="s">
        <v>9486</v>
      </c>
      <c r="AA3459" s="72" t="s">
        <v>9476</v>
      </c>
      <c r="AB3459" s="73" t="s">
        <v>9486</v>
      </c>
      <c r="AC3459" s="74" t="s">
        <v>9562</v>
      </c>
      <c r="AD3459" s="73" t="s">
        <v>9578</v>
      </c>
      <c r="AE3459" s="74" t="s">
        <v>9579</v>
      </c>
    </row>
    <row r="3460" spans="1:31" ht="8.65" customHeight="1" x14ac:dyDescent="0.2">
      <c r="A3460" s="76">
        <v>3460</v>
      </c>
      <c r="B3460" s="67" t="str">
        <f>MID(C3460, FIND("Ifc.", C3460) + 4, 4) &amp; "_" &amp; TEXT(COUNTIF($C$2:C3460, C3460),"0000")</f>
        <v>Enti_0593</v>
      </c>
      <c r="C3460" s="25" t="s">
        <v>874</v>
      </c>
      <c r="D3460" s="69" t="s">
        <v>9453</v>
      </c>
      <c r="E3460" s="70" t="s">
        <v>9457</v>
      </c>
      <c r="F3460" s="26" t="s">
        <v>798</v>
      </c>
      <c r="G3460" s="15" t="s">
        <v>798</v>
      </c>
      <c r="H3460" s="14" t="s">
        <v>798</v>
      </c>
      <c r="I3460" s="15" t="s">
        <v>798</v>
      </c>
      <c r="J3460" s="12" t="s">
        <v>9438</v>
      </c>
      <c r="K3460" s="16" t="s">
        <v>3529</v>
      </c>
      <c r="L3460" s="12" t="s">
        <v>800</v>
      </c>
      <c r="M3460" s="16" t="s">
        <v>4493</v>
      </c>
      <c r="N3460" s="19" t="s">
        <v>798</v>
      </c>
      <c r="O3460" s="20" t="s">
        <v>798</v>
      </c>
      <c r="P3460" s="17" t="s">
        <v>802</v>
      </c>
      <c r="Q3460" s="21" t="s">
        <v>9081</v>
      </c>
      <c r="R3460" s="19" t="s">
        <v>798</v>
      </c>
      <c r="S3460" s="20" t="s">
        <v>798</v>
      </c>
      <c r="T3460" s="17" t="s">
        <v>798</v>
      </c>
      <c r="U3460" s="20" t="s">
        <v>798</v>
      </c>
      <c r="V3460" s="26" t="s">
        <v>798</v>
      </c>
      <c r="W3460" s="20" t="s">
        <v>798</v>
      </c>
      <c r="X3460" s="26" t="s">
        <v>798</v>
      </c>
      <c r="Y3460" s="20" t="s">
        <v>798</v>
      </c>
      <c r="Z3460" s="69" t="s">
        <v>9486</v>
      </c>
      <c r="AA3460" s="72" t="s">
        <v>9476</v>
      </c>
      <c r="AB3460" s="73" t="s">
        <v>9486</v>
      </c>
      <c r="AC3460" s="74" t="s">
        <v>9562</v>
      </c>
      <c r="AD3460" s="73" t="s">
        <v>9578</v>
      </c>
      <c r="AE3460" s="74" t="s">
        <v>9579</v>
      </c>
    </row>
    <row r="3461" spans="1:31" ht="8.65" customHeight="1" x14ac:dyDescent="0.2">
      <c r="A3461" s="76">
        <v>3461</v>
      </c>
      <c r="B3461" s="67" t="str">
        <f>MID(C3461, FIND("Ifc.", C3461) + 4, 4) &amp; "_" &amp; TEXT(COUNTIF($C$2:C3461, C3461),"0000")</f>
        <v>Enti_0594</v>
      </c>
      <c r="C3461" s="25" t="s">
        <v>874</v>
      </c>
      <c r="D3461" s="69" t="s">
        <v>9453</v>
      </c>
      <c r="E3461" s="70" t="s">
        <v>9457</v>
      </c>
      <c r="F3461" s="26" t="s">
        <v>798</v>
      </c>
      <c r="G3461" s="15" t="s">
        <v>798</v>
      </c>
      <c r="H3461" s="14" t="s">
        <v>798</v>
      </c>
      <c r="I3461" s="15" t="s">
        <v>798</v>
      </c>
      <c r="J3461" s="12" t="s">
        <v>9438</v>
      </c>
      <c r="K3461" s="16" t="s">
        <v>3530</v>
      </c>
      <c r="L3461" s="12" t="s">
        <v>800</v>
      </c>
      <c r="M3461" s="16" t="s">
        <v>4494</v>
      </c>
      <c r="N3461" s="19" t="s">
        <v>798</v>
      </c>
      <c r="O3461" s="20" t="s">
        <v>798</v>
      </c>
      <c r="P3461" s="17" t="s">
        <v>802</v>
      </c>
      <c r="Q3461" s="21" t="s">
        <v>9082</v>
      </c>
      <c r="R3461" s="19" t="s">
        <v>798</v>
      </c>
      <c r="S3461" s="20" t="s">
        <v>798</v>
      </c>
      <c r="T3461" s="17" t="s">
        <v>798</v>
      </c>
      <c r="U3461" s="20" t="s">
        <v>798</v>
      </c>
      <c r="V3461" s="26" t="s">
        <v>798</v>
      </c>
      <c r="W3461" s="20" t="s">
        <v>798</v>
      </c>
      <c r="X3461" s="26" t="s">
        <v>798</v>
      </c>
      <c r="Y3461" s="20" t="s">
        <v>798</v>
      </c>
      <c r="Z3461" s="69" t="s">
        <v>9486</v>
      </c>
      <c r="AA3461" s="72" t="s">
        <v>9476</v>
      </c>
      <c r="AB3461" s="73" t="s">
        <v>9486</v>
      </c>
      <c r="AC3461" s="74" t="s">
        <v>9562</v>
      </c>
      <c r="AD3461" s="73" t="s">
        <v>9578</v>
      </c>
      <c r="AE3461" s="74" t="s">
        <v>9579</v>
      </c>
    </row>
    <row r="3462" spans="1:31" ht="8.65" customHeight="1" x14ac:dyDescent="0.2">
      <c r="A3462" s="76">
        <v>3462</v>
      </c>
      <c r="B3462" s="67" t="str">
        <f>MID(C3462, FIND("Ifc.", C3462) + 4, 4) &amp; "_" &amp; TEXT(COUNTIF($C$2:C3462, C3462),"0000")</f>
        <v>Enti_0595</v>
      </c>
      <c r="C3462" s="25" t="s">
        <v>874</v>
      </c>
      <c r="D3462" s="69" t="s">
        <v>9453</v>
      </c>
      <c r="E3462" s="70" t="s">
        <v>9457</v>
      </c>
      <c r="F3462" s="26" t="s">
        <v>798</v>
      </c>
      <c r="G3462" s="15" t="s">
        <v>798</v>
      </c>
      <c r="H3462" s="14" t="s">
        <v>798</v>
      </c>
      <c r="I3462" s="15" t="s">
        <v>798</v>
      </c>
      <c r="J3462" s="12" t="s">
        <v>9438</v>
      </c>
      <c r="K3462" s="16" t="s">
        <v>3531</v>
      </c>
      <c r="L3462" s="12" t="s">
        <v>800</v>
      </c>
      <c r="M3462" s="16" t="s">
        <v>4495</v>
      </c>
      <c r="N3462" s="19" t="s">
        <v>798</v>
      </c>
      <c r="O3462" s="20" t="s">
        <v>798</v>
      </c>
      <c r="P3462" s="17" t="s">
        <v>802</v>
      </c>
      <c r="Q3462" s="21" t="s">
        <v>9083</v>
      </c>
      <c r="R3462" s="19" t="s">
        <v>798</v>
      </c>
      <c r="S3462" s="20" t="s">
        <v>798</v>
      </c>
      <c r="T3462" s="17" t="s">
        <v>798</v>
      </c>
      <c r="U3462" s="20" t="s">
        <v>798</v>
      </c>
      <c r="V3462" s="26" t="s">
        <v>798</v>
      </c>
      <c r="W3462" s="20" t="s">
        <v>798</v>
      </c>
      <c r="X3462" s="26" t="s">
        <v>798</v>
      </c>
      <c r="Y3462" s="20" t="s">
        <v>798</v>
      </c>
      <c r="Z3462" s="69" t="s">
        <v>9486</v>
      </c>
      <c r="AA3462" s="72" t="s">
        <v>9476</v>
      </c>
      <c r="AB3462" s="73" t="s">
        <v>9486</v>
      </c>
      <c r="AC3462" s="74" t="s">
        <v>9562</v>
      </c>
      <c r="AD3462" s="73" t="s">
        <v>9578</v>
      </c>
      <c r="AE3462" s="74" t="s">
        <v>9579</v>
      </c>
    </row>
    <row r="3463" spans="1:31" ht="8.65" customHeight="1" x14ac:dyDescent="0.2">
      <c r="A3463" s="76">
        <v>3463</v>
      </c>
      <c r="B3463" s="67" t="str">
        <f>MID(C3463, FIND("Ifc.", C3463) + 4, 4) &amp; "_" &amp; TEXT(COUNTIF($C$2:C3463, C3463),"0000")</f>
        <v>Enti_0596</v>
      </c>
      <c r="C3463" s="25" t="s">
        <v>874</v>
      </c>
      <c r="D3463" s="69" t="s">
        <v>9453</v>
      </c>
      <c r="E3463" s="70" t="s">
        <v>9457</v>
      </c>
      <c r="F3463" s="26" t="s">
        <v>798</v>
      </c>
      <c r="G3463" s="15" t="s">
        <v>798</v>
      </c>
      <c r="H3463" s="14" t="s">
        <v>798</v>
      </c>
      <c r="I3463" s="15" t="s">
        <v>798</v>
      </c>
      <c r="J3463" s="12" t="s">
        <v>9438</v>
      </c>
      <c r="K3463" s="16" t="s">
        <v>3532</v>
      </c>
      <c r="L3463" s="12" t="s">
        <v>800</v>
      </c>
      <c r="M3463" s="16" t="s">
        <v>4496</v>
      </c>
      <c r="N3463" s="19" t="s">
        <v>798</v>
      </c>
      <c r="O3463" s="20" t="s">
        <v>798</v>
      </c>
      <c r="P3463" s="17" t="s">
        <v>802</v>
      </c>
      <c r="Q3463" s="21" t="s">
        <v>9084</v>
      </c>
      <c r="R3463" s="19" t="s">
        <v>798</v>
      </c>
      <c r="S3463" s="20" t="s">
        <v>798</v>
      </c>
      <c r="T3463" s="17" t="s">
        <v>798</v>
      </c>
      <c r="U3463" s="20" t="s">
        <v>798</v>
      </c>
      <c r="V3463" s="26" t="s">
        <v>798</v>
      </c>
      <c r="W3463" s="20" t="s">
        <v>798</v>
      </c>
      <c r="X3463" s="26" t="s">
        <v>798</v>
      </c>
      <c r="Y3463" s="20" t="s">
        <v>798</v>
      </c>
      <c r="Z3463" s="69" t="s">
        <v>9486</v>
      </c>
      <c r="AA3463" s="72" t="s">
        <v>9476</v>
      </c>
      <c r="AB3463" s="73" t="s">
        <v>9486</v>
      </c>
      <c r="AC3463" s="74" t="s">
        <v>9562</v>
      </c>
      <c r="AD3463" s="73" t="s">
        <v>9578</v>
      </c>
      <c r="AE3463" s="74" t="s">
        <v>9579</v>
      </c>
    </row>
    <row r="3464" spans="1:31" ht="8.65" customHeight="1" x14ac:dyDescent="0.2">
      <c r="A3464" s="76">
        <v>3464</v>
      </c>
      <c r="B3464" s="67" t="str">
        <f>MID(C3464, FIND("Ifc.", C3464) + 4, 4) &amp; "_" &amp; TEXT(COUNTIF($C$2:C3464, C3464),"0000")</f>
        <v>Enti_0597</v>
      </c>
      <c r="C3464" s="25" t="s">
        <v>874</v>
      </c>
      <c r="D3464" s="69" t="s">
        <v>9453</v>
      </c>
      <c r="E3464" s="70" t="s">
        <v>9457</v>
      </c>
      <c r="F3464" s="26" t="s">
        <v>798</v>
      </c>
      <c r="G3464" s="15" t="s">
        <v>798</v>
      </c>
      <c r="H3464" s="14" t="s">
        <v>798</v>
      </c>
      <c r="I3464" s="15" t="s">
        <v>798</v>
      </c>
      <c r="J3464" s="12" t="s">
        <v>9438</v>
      </c>
      <c r="K3464" s="16" t="s">
        <v>3533</v>
      </c>
      <c r="L3464" s="12" t="s">
        <v>800</v>
      </c>
      <c r="M3464" s="16" t="s">
        <v>4497</v>
      </c>
      <c r="N3464" s="19" t="s">
        <v>798</v>
      </c>
      <c r="O3464" s="20" t="s">
        <v>798</v>
      </c>
      <c r="P3464" s="17" t="s">
        <v>802</v>
      </c>
      <c r="Q3464" s="21" t="s">
        <v>9085</v>
      </c>
      <c r="R3464" s="19" t="s">
        <v>798</v>
      </c>
      <c r="S3464" s="20" t="s">
        <v>798</v>
      </c>
      <c r="T3464" s="17" t="s">
        <v>798</v>
      </c>
      <c r="U3464" s="20" t="s">
        <v>798</v>
      </c>
      <c r="V3464" s="26" t="s">
        <v>798</v>
      </c>
      <c r="W3464" s="20" t="s">
        <v>798</v>
      </c>
      <c r="X3464" s="26" t="s">
        <v>798</v>
      </c>
      <c r="Y3464" s="20" t="s">
        <v>798</v>
      </c>
      <c r="Z3464" s="69" t="s">
        <v>9486</v>
      </c>
      <c r="AA3464" s="72" t="s">
        <v>9476</v>
      </c>
      <c r="AB3464" s="73" t="s">
        <v>9486</v>
      </c>
      <c r="AC3464" s="74" t="s">
        <v>9562</v>
      </c>
      <c r="AD3464" s="73" t="s">
        <v>9578</v>
      </c>
      <c r="AE3464" s="74" t="s">
        <v>9579</v>
      </c>
    </row>
    <row r="3465" spans="1:31" ht="8.65" customHeight="1" x14ac:dyDescent="0.2">
      <c r="A3465" s="76">
        <v>3465</v>
      </c>
      <c r="B3465" s="67" t="str">
        <f>MID(C3465, FIND("Ifc.", C3465) + 4, 4) &amp; "_" &amp; TEXT(COUNTIF($C$2:C3465, C3465),"0000")</f>
        <v>Enti_0598</v>
      </c>
      <c r="C3465" s="25" t="s">
        <v>874</v>
      </c>
      <c r="D3465" s="69" t="s">
        <v>9453</v>
      </c>
      <c r="E3465" s="70" t="s">
        <v>9457</v>
      </c>
      <c r="F3465" s="26" t="s">
        <v>798</v>
      </c>
      <c r="G3465" s="15" t="s">
        <v>798</v>
      </c>
      <c r="H3465" s="14" t="s">
        <v>798</v>
      </c>
      <c r="I3465" s="15" t="s">
        <v>798</v>
      </c>
      <c r="J3465" s="12" t="s">
        <v>9438</v>
      </c>
      <c r="K3465" s="16" t="s">
        <v>3534</v>
      </c>
      <c r="L3465" s="12" t="s">
        <v>800</v>
      </c>
      <c r="M3465" s="16" t="s">
        <v>4498</v>
      </c>
      <c r="N3465" s="19" t="s">
        <v>798</v>
      </c>
      <c r="O3465" s="20" t="s">
        <v>798</v>
      </c>
      <c r="P3465" s="17" t="s">
        <v>802</v>
      </c>
      <c r="Q3465" s="21" t="s">
        <v>9086</v>
      </c>
      <c r="R3465" s="19" t="s">
        <v>798</v>
      </c>
      <c r="S3465" s="20" t="s">
        <v>798</v>
      </c>
      <c r="T3465" s="17" t="s">
        <v>798</v>
      </c>
      <c r="U3465" s="20" t="s">
        <v>798</v>
      </c>
      <c r="V3465" s="26" t="s">
        <v>798</v>
      </c>
      <c r="W3465" s="20" t="s">
        <v>798</v>
      </c>
      <c r="X3465" s="26" t="s">
        <v>798</v>
      </c>
      <c r="Y3465" s="20" t="s">
        <v>798</v>
      </c>
      <c r="Z3465" s="69" t="s">
        <v>9486</v>
      </c>
      <c r="AA3465" s="72" t="s">
        <v>9476</v>
      </c>
      <c r="AB3465" s="73" t="s">
        <v>9486</v>
      </c>
      <c r="AC3465" s="74" t="s">
        <v>9562</v>
      </c>
      <c r="AD3465" s="73" t="s">
        <v>9578</v>
      </c>
      <c r="AE3465" s="74" t="s">
        <v>9579</v>
      </c>
    </row>
    <row r="3466" spans="1:31" ht="8.65" customHeight="1" x14ac:dyDescent="0.2">
      <c r="A3466" s="76">
        <v>3466</v>
      </c>
      <c r="B3466" s="67" t="str">
        <f>MID(C3466, FIND("Ifc.", C3466) + 4, 4) &amp; "_" &amp; TEXT(COUNTIF($C$2:C3466, C3466),"0000")</f>
        <v>Enti_0599</v>
      </c>
      <c r="C3466" s="25" t="s">
        <v>874</v>
      </c>
      <c r="D3466" s="69" t="s">
        <v>9453</v>
      </c>
      <c r="E3466" s="70" t="s">
        <v>9457</v>
      </c>
      <c r="F3466" s="26" t="s">
        <v>798</v>
      </c>
      <c r="G3466" s="15" t="s">
        <v>798</v>
      </c>
      <c r="H3466" s="14" t="s">
        <v>798</v>
      </c>
      <c r="I3466" s="15" t="s">
        <v>798</v>
      </c>
      <c r="J3466" s="12" t="s">
        <v>9438</v>
      </c>
      <c r="K3466" s="16" t="s">
        <v>3535</v>
      </c>
      <c r="L3466" s="12" t="s">
        <v>800</v>
      </c>
      <c r="M3466" s="16" t="s">
        <v>4499</v>
      </c>
      <c r="N3466" s="19" t="s">
        <v>798</v>
      </c>
      <c r="O3466" s="20" t="s">
        <v>798</v>
      </c>
      <c r="P3466" s="17" t="s">
        <v>802</v>
      </c>
      <c r="Q3466" s="21" t="s">
        <v>9087</v>
      </c>
      <c r="R3466" s="19" t="s">
        <v>798</v>
      </c>
      <c r="S3466" s="20" t="s">
        <v>798</v>
      </c>
      <c r="T3466" s="17" t="s">
        <v>798</v>
      </c>
      <c r="U3466" s="20" t="s">
        <v>798</v>
      </c>
      <c r="V3466" s="26" t="s">
        <v>798</v>
      </c>
      <c r="W3466" s="20" t="s">
        <v>798</v>
      </c>
      <c r="X3466" s="26" t="s">
        <v>798</v>
      </c>
      <c r="Y3466" s="20" t="s">
        <v>798</v>
      </c>
      <c r="Z3466" s="69" t="s">
        <v>9486</v>
      </c>
      <c r="AA3466" s="72" t="s">
        <v>9476</v>
      </c>
      <c r="AB3466" s="73" t="s">
        <v>9486</v>
      </c>
      <c r="AC3466" s="74" t="s">
        <v>9562</v>
      </c>
      <c r="AD3466" s="73" t="s">
        <v>9578</v>
      </c>
      <c r="AE3466" s="74" t="s">
        <v>9579</v>
      </c>
    </row>
    <row r="3467" spans="1:31" ht="8.65" customHeight="1" x14ac:dyDescent="0.2">
      <c r="A3467" s="76">
        <v>3467</v>
      </c>
      <c r="B3467" s="67" t="str">
        <f>MID(C3467, FIND("Ifc.", C3467) + 4, 4) &amp; "_" &amp; TEXT(COUNTIF($C$2:C3467, C3467),"0000")</f>
        <v>Enti_0600</v>
      </c>
      <c r="C3467" s="25" t="s">
        <v>874</v>
      </c>
      <c r="D3467" s="69" t="s">
        <v>9453</v>
      </c>
      <c r="E3467" s="70" t="s">
        <v>9457</v>
      </c>
      <c r="F3467" s="26" t="s">
        <v>798</v>
      </c>
      <c r="G3467" s="15" t="s">
        <v>798</v>
      </c>
      <c r="H3467" s="14" t="s">
        <v>798</v>
      </c>
      <c r="I3467" s="15" t="s">
        <v>798</v>
      </c>
      <c r="J3467" s="12" t="s">
        <v>9438</v>
      </c>
      <c r="K3467" s="16" t="s">
        <v>3536</v>
      </c>
      <c r="L3467" s="12" t="s">
        <v>800</v>
      </c>
      <c r="M3467" s="16" t="s">
        <v>4500</v>
      </c>
      <c r="N3467" s="19" t="s">
        <v>798</v>
      </c>
      <c r="O3467" s="20" t="s">
        <v>798</v>
      </c>
      <c r="P3467" s="17" t="s">
        <v>802</v>
      </c>
      <c r="Q3467" s="21" t="s">
        <v>9088</v>
      </c>
      <c r="R3467" s="19" t="s">
        <v>798</v>
      </c>
      <c r="S3467" s="20" t="s">
        <v>798</v>
      </c>
      <c r="T3467" s="17" t="s">
        <v>798</v>
      </c>
      <c r="U3467" s="20" t="s">
        <v>798</v>
      </c>
      <c r="V3467" s="26" t="s">
        <v>798</v>
      </c>
      <c r="W3467" s="20" t="s">
        <v>798</v>
      </c>
      <c r="X3467" s="26" t="s">
        <v>798</v>
      </c>
      <c r="Y3467" s="20" t="s">
        <v>798</v>
      </c>
      <c r="Z3467" s="69" t="s">
        <v>9486</v>
      </c>
      <c r="AA3467" s="72" t="s">
        <v>9476</v>
      </c>
      <c r="AB3467" s="73" t="s">
        <v>9486</v>
      </c>
      <c r="AC3467" s="74" t="s">
        <v>9562</v>
      </c>
      <c r="AD3467" s="73" t="s">
        <v>9578</v>
      </c>
      <c r="AE3467" s="74" t="s">
        <v>9579</v>
      </c>
    </row>
    <row r="3468" spans="1:31" ht="8.65" customHeight="1" x14ac:dyDescent="0.2">
      <c r="A3468" s="76">
        <v>3468</v>
      </c>
      <c r="B3468" s="67" t="str">
        <f>MID(C3468, FIND("Ifc.", C3468) + 4, 4) &amp; "_" &amp; TEXT(COUNTIF($C$2:C3468, C3468),"0000")</f>
        <v>Enti_0601</v>
      </c>
      <c r="C3468" s="25" t="s">
        <v>874</v>
      </c>
      <c r="D3468" s="69" t="s">
        <v>9453</v>
      </c>
      <c r="E3468" s="70" t="s">
        <v>9457</v>
      </c>
      <c r="F3468" s="26" t="s">
        <v>798</v>
      </c>
      <c r="G3468" s="15" t="s">
        <v>798</v>
      </c>
      <c r="H3468" s="14" t="s">
        <v>798</v>
      </c>
      <c r="I3468" s="15" t="s">
        <v>798</v>
      </c>
      <c r="J3468" s="12" t="s">
        <v>9438</v>
      </c>
      <c r="K3468" s="16" t="s">
        <v>3537</v>
      </c>
      <c r="L3468" s="12" t="s">
        <v>800</v>
      </c>
      <c r="M3468" s="16" t="s">
        <v>4501</v>
      </c>
      <c r="N3468" s="19" t="s">
        <v>798</v>
      </c>
      <c r="O3468" s="20" t="s">
        <v>798</v>
      </c>
      <c r="P3468" s="17" t="s">
        <v>802</v>
      </c>
      <c r="Q3468" s="21" t="s">
        <v>9089</v>
      </c>
      <c r="R3468" s="19" t="s">
        <v>798</v>
      </c>
      <c r="S3468" s="20" t="s">
        <v>798</v>
      </c>
      <c r="T3468" s="17" t="s">
        <v>798</v>
      </c>
      <c r="U3468" s="20" t="s">
        <v>798</v>
      </c>
      <c r="V3468" s="26" t="s">
        <v>798</v>
      </c>
      <c r="W3468" s="20" t="s">
        <v>798</v>
      </c>
      <c r="X3468" s="26" t="s">
        <v>798</v>
      </c>
      <c r="Y3468" s="20" t="s">
        <v>798</v>
      </c>
      <c r="Z3468" s="69" t="s">
        <v>9486</v>
      </c>
      <c r="AA3468" s="72" t="s">
        <v>9476</v>
      </c>
      <c r="AB3468" s="73" t="s">
        <v>9486</v>
      </c>
      <c r="AC3468" s="74" t="s">
        <v>9562</v>
      </c>
      <c r="AD3468" s="73" t="s">
        <v>9578</v>
      </c>
      <c r="AE3468" s="74" t="s">
        <v>9579</v>
      </c>
    </row>
    <row r="3469" spans="1:31" ht="8.65" customHeight="1" x14ac:dyDescent="0.2">
      <c r="A3469" s="76">
        <v>3469</v>
      </c>
      <c r="B3469" s="67" t="str">
        <f>MID(C3469, FIND("Ifc.", C3469) + 4, 4) &amp; "_" &amp; TEXT(COUNTIF($C$2:C3469, C3469),"0000")</f>
        <v>Enti_0602</v>
      </c>
      <c r="C3469" s="25" t="s">
        <v>874</v>
      </c>
      <c r="D3469" s="69" t="s">
        <v>9453</v>
      </c>
      <c r="E3469" s="70" t="s">
        <v>9457</v>
      </c>
      <c r="F3469" s="26" t="s">
        <v>798</v>
      </c>
      <c r="G3469" s="15" t="s">
        <v>798</v>
      </c>
      <c r="H3469" s="14" t="s">
        <v>798</v>
      </c>
      <c r="I3469" s="15" t="s">
        <v>798</v>
      </c>
      <c r="J3469" s="12" t="s">
        <v>9438</v>
      </c>
      <c r="K3469" s="16" t="s">
        <v>3538</v>
      </c>
      <c r="L3469" s="12" t="s">
        <v>800</v>
      </c>
      <c r="M3469" s="16" t="s">
        <v>4502</v>
      </c>
      <c r="N3469" s="19" t="s">
        <v>798</v>
      </c>
      <c r="O3469" s="20" t="s">
        <v>798</v>
      </c>
      <c r="P3469" s="17" t="s">
        <v>802</v>
      </c>
      <c r="Q3469" s="21" t="s">
        <v>9090</v>
      </c>
      <c r="R3469" s="19" t="s">
        <v>798</v>
      </c>
      <c r="S3469" s="20" t="s">
        <v>798</v>
      </c>
      <c r="T3469" s="17" t="s">
        <v>798</v>
      </c>
      <c r="U3469" s="20" t="s">
        <v>798</v>
      </c>
      <c r="V3469" s="26" t="s">
        <v>798</v>
      </c>
      <c r="W3469" s="20" t="s">
        <v>798</v>
      </c>
      <c r="X3469" s="26" t="s">
        <v>798</v>
      </c>
      <c r="Y3469" s="20" t="s">
        <v>798</v>
      </c>
      <c r="Z3469" s="69" t="s">
        <v>9486</v>
      </c>
      <c r="AA3469" s="72" t="s">
        <v>9476</v>
      </c>
      <c r="AB3469" s="73" t="s">
        <v>9486</v>
      </c>
      <c r="AC3469" s="74" t="s">
        <v>9562</v>
      </c>
      <c r="AD3469" s="73" t="s">
        <v>9578</v>
      </c>
      <c r="AE3469" s="74" t="s">
        <v>9579</v>
      </c>
    </row>
    <row r="3470" spans="1:31" ht="8.65" customHeight="1" x14ac:dyDescent="0.2">
      <c r="A3470" s="76">
        <v>3470</v>
      </c>
      <c r="B3470" s="67" t="str">
        <f>MID(C3470, FIND("Ifc.", C3470) + 4, 4) &amp; "_" &amp; TEXT(COUNTIF($C$2:C3470, C3470),"0000")</f>
        <v>Enti_0603</v>
      </c>
      <c r="C3470" s="25" t="s">
        <v>874</v>
      </c>
      <c r="D3470" s="69" t="s">
        <v>9453</v>
      </c>
      <c r="E3470" s="70" t="s">
        <v>9457</v>
      </c>
      <c r="F3470" s="26" t="s">
        <v>798</v>
      </c>
      <c r="G3470" s="15" t="s">
        <v>798</v>
      </c>
      <c r="H3470" s="14" t="s">
        <v>798</v>
      </c>
      <c r="I3470" s="15" t="s">
        <v>798</v>
      </c>
      <c r="J3470" s="12" t="s">
        <v>9438</v>
      </c>
      <c r="K3470" s="16" t="s">
        <v>3539</v>
      </c>
      <c r="L3470" s="12" t="s">
        <v>800</v>
      </c>
      <c r="M3470" s="16" t="s">
        <v>4503</v>
      </c>
      <c r="N3470" s="19" t="s">
        <v>798</v>
      </c>
      <c r="O3470" s="20" t="s">
        <v>798</v>
      </c>
      <c r="P3470" s="17" t="s">
        <v>802</v>
      </c>
      <c r="Q3470" s="21" t="s">
        <v>9091</v>
      </c>
      <c r="R3470" s="19" t="s">
        <v>798</v>
      </c>
      <c r="S3470" s="20" t="s">
        <v>798</v>
      </c>
      <c r="T3470" s="17" t="s">
        <v>798</v>
      </c>
      <c r="U3470" s="20" t="s">
        <v>798</v>
      </c>
      <c r="V3470" s="26" t="s">
        <v>798</v>
      </c>
      <c r="W3470" s="20" t="s">
        <v>798</v>
      </c>
      <c r="X3470" s="26" t="s">
        <v>798</v>
      </c>
      <c r="Y3470" s="20" t="s">
        <v>798</v>
      </c>
      <c r="Z3470" s="69" t="s">
        <v>9486</v>
      </c>
      <c r="AA3470" s="72" t="s">
        <v>9476</v>
      </c>
      <c r="AB3470" s="73" t="s">
        <v>9486</v>
      </c>
      <c r="AC3470" s="74" t="s">
        <v>9562</v>
      </c>
      <c r="AD3470" s="73" t="s">
        <v>9578</v>
      </c>
      <c r="AE3470" s="74" t="s">
        <v>9579</v>
      </c>
    </row>
    <row r="3471" spans="1:31" ht="8.65" customHeight="1" x14ac:dyDescent="0.2">
      <c r="A3471" s="76">
        <v>3471</v>
      </c>
      <c r="B3471" s="67" t="str">
        <f>MID(C3471, FIND("Ifc.", C3471) + 4, 4) &amp; "_" &amp; TEXT(COUNTIF($C$2:C3471, C3471),"0000")</f>
        <v>Enti_0604</v>
      </c>
      <c r="C3471" s="25" t="s">
        <v>874</v>
      </c>
      <c r="D3471" s="69" t="s">
        <v>9453</v>
      </c>
      <c r="E3471" s="70" t="s">
        <v>9457</v>
      </c>
      <c r="F3471" s="26" t="s">
        <v>798</v>
      </c>
      <c r="G3471" s="15" t="s">
        <v>798</v>
      </c>
      <c r="H3471" s="14" t="s">
        <v>798</v>
      </c>
      <c r="I3471" s="15" t="s">
        <v>798</v>
      </c>
      <c r="J3471" s="12" t="s">
        <v>9438</v>
      </c>
      <c r="K3471" s="16" t="s">
        <v>3540</v>
      </c>
      <c r="L3471" s="12" t="s">
        <v>800</v>
      </c>
      <c r="M3471" s="16" t="s">
        <v>4504</v>
      </c>
      <c r="N3471" s="19" t="s">
        <v>798</v>
      </c>
      <c r="O3471" s="20" t="s">
        <v>798</v>
      </c>
      <c r="P3471" s="17" t="s">
        <v>802</v>
      </c>
      <c r="Q3471" s="21" t="s">
        <v>9092</v>
      </c>
      <c r="R3471" s="19" t="s">
        <v>798</v>
      </c>
      <c r="S3471" s="20" t="s">
        <v>798</v>
      </c>
      <c r="T3471" s="17" t="s">
        <v>798</v>
      </c>
      <c r="U3471" s="20" t="s">
        <v>798</v>
      </c>
      <c r="V3471" s="26" t="s">
        <v>798</v>
      </c>
      <c r="W3471" s="20" t="s">
        <v>798</v>
      </c>
      <c r="X3471" s="26" t="s">
        <v>798</v>
      </c>
      <c r="Y3471" s="20" t="s">
        <v>798</v>
      </c>
      <c r="Z3471" s="69" t="s">
        <v>9486</v>
      </c>
      <c r="AA3471" s="72" t="s">
        <v>9476</v>
      </c>
      <c r="AB3471" s="73" t="s">
        <v>9486</v>
      </c>
      <c r="AC3471" s="74" t="s">
        <v>9562</v>
      </c>
      <c r="AD3471" s="73" t="s">
        <v>9578</v>
      </c>
      <c r="AE3471" s="74" t="s">
        <v>9579</v>
      </c>
    </row>
    <row r="3472" spans="1:31" ht="8.65" customHeight="1" x14ac:dyDescent="0.2">
      <c r="A3472" s="76">
        <v>3472</v>
      </c>
      <c r="B3472" s="67" t="str">
        <f>MID(C3472, FIND("Ifc.", C3472) + 4, 4) &amp; "_" &amp; TEXT(COUNTIF($C$2:C3472, C3472),"0000")</f>
        <v>Enti_0605</v>
      </c>
      <c r="C3472" s="25" t="s">
        <v>874</v>
      </c>
      <c r="D3472" s="69" t="s">
        <v>9453</v>
      </c>
      <c r="E3472" s="70" t="s">
        <v>9457</v>
      </c>
      <c r="F3472" s="26" t="s">
        <v>798</v>
      </c>
      <c r="G3472" s="15" t="s">
        <v>798</v>
      </c>
      <c r="H3472" s="14" t="s">
        <v>798</v>
      </c>
      <c r="I3472" s="15" t="s">
        <v>798</v>
      </c>
      <c r="J3472" s="12" t="s">
        <v>9438</v>
      </c>
      <c r="K3472" s="16" t="s">
        <v>3541</v>
      </c>
      <c r="L3472" s="12" t="s">
        <v>800</v>
      </c>
      <c r="M3472" s="16" t="s">
        <v>4505</v>
      </c>
      <c r="N3472" s="19" t="s">
        <v>798</v>
      </c>
      <c r="O3472" s="20" t="s">
        <v>798</v>
      </c>
      <c r="P3472" s="17" t="s">
        <v>802</v>
      </c>
      <c r="Q3472" s="21" t="s">
        <v>9093</v>
      </c>
      <c r="R3472" s="19" t="s">
        <v>798</v>
      </c>
      <c r="S3472" s="20" t="s">
        <v>798</v>
      </c>
      <c r="T3472" s="17" t="s">
        <v>798</v>
      </c>
      <c r="U3472" s="20" t="s">
        <v>798</v>
      </c>
      <c r="V3472" s="26" t="s">
        <v>798</v>
      </c>
      <c r="W3472" s="20" t="s">
        <v>798</v>
      </c>
      <c r="X3472" s="26" t="s">
        <v>798</v>
      </c>
      <c r="Y3472" s="20" t="s">
        <v>798</v>
      </c>
      <c r="Z3472" s="69" t="s">
        <v>9486</v>
      </c>
      <c r="AA3472" s="72" t="s">
        <v>9496</v>
      </c>
      <c r="AB3472" s="73" t="s">
        <v>9486</v>
      </c>
      <c r="AC3472" s="74" t="s">
        <v>9562</v>
      </c>
      <c r="AD3472" s="73" t="s">
        <v>9578</v>
      </c>
      <c r="AE3472" s="74" t="s">
        <v>9579</v>
      </c>
    </row>
    <row r="3473" spans="1:31" ht="8.65" customHeight="1" x14ac:dyDescent="0.2">
      <c r="A3473" s="76">
        <v>3473</v>
      </c>
      <c r="B3473" s="67" t="str">
        <f>MID(C3473, FIND("Ifc.", C3473) + 4, 4) &amp; "_" &amp; TEXT(COUNTIF($C$2:C3473, C3473),"0000")</f>
        <v>Enti_0606</v>
      </c>
      <c r="C3473" s="25" t="s">
        <v>874</v>
      </c>
      <c r="D3473" s="69" t="s">
        <v>9453</v>
      </c>
      <c r="E3473" s="70" t="s">
        <v>9457</v>
      </c>
      <c r="F3473" s="26" t="s">
        <v>798</v>
      </c>
      <c r="G3473" s="15" t="s">
        <v>798</v>
      </c>
      <c r="H3473" s="14" t="s">
        <v>798</v>
      </c>
      <c r="I3473" s="15" t="s">
        <v>798</v>
      </c>
      <c r="J3473" s="12" t="s">
        <v>9438</v>
      </c>
      <c r="K3473" s="16" t="s">
        <v>3542</v>
      </c>
      <c r="L3473" s="12" t="s">
        <v>800</v>
      </c>
      <c r="M3473" s="16" t="s">
        <v>4506</v>
      </c>
      <c r="N3473" s="19" t="s">
        <v>798</v>
      </c>
      <c r="O3473" s="20" t="s">
        <v>798</v>
      </c>
      <c r="P3473" s="17" t="s">
        <v>802</v>
      </c>
      <c r="Q3473" s="21" t="s">
        <v>9094</v>
      </c>
      <c r="R3473" s="19" t="s">
        <v>798</v>
      </c>
      <c r="S3473" s="20" t="s">
        <v>798</v>
      </c>
      <c r="T3473" s="17" t="s">
        <v>798</v>
      </c>
      <c r="U3473" s="20" t="s">
        <v>798</v>
      </c>
      <c r="V3473" s="26" t="s">
        <v>798</v>
      </c>
      <c r="W3473" s="20" t="s">
        <v>798</v>
      </c>
      <c r="X3473" s="26" t="s">
        <v>798</v>
      </c>
      <c r="Y3473" s="20" t="s">
        <v>798</v>
      </c>
      <c r="Z3473" s="69" t="s">
        <v>9486</v>
      </c>
      <c r="AA3473" s="72" t="s">
        <v>9488</v>
      </c>
      <c r="AB3473" s="73" t="s">
        <v>9486</v>
      </c>
      <c r="AC3473" s="74" t="s">
        <v>9562</v>
      </c>
      <c r="AD3473" s="73" t="s">
        <v>9578</v>
      </c>
      <c r="AE3473" s="74" t="s">
        <v>9579</v>
      </c>
    </row>
    <row r="3474" spans="1:31" ht="8.65" customHeight="1" x14ac:dyDescent="0.2">
      <c r="A3474" s="76">
        <v>3474</v>
      </c>
      <c r="B3474" s="67" t="str">
        <f>MID(C3474, FIND("Ifc.", C3474) + 4, 4) &amp; "_" &amp; TEXT(COUNTIF($C$2:C3474, C3474),"0000")</f>
        <v>Enti_0607</v>
      </c>
      <c r="C3474" s="25" t="s">
        <v>874</v>
      </c>
      <c r="D3474" s="69" t="s">
        <v>9453</v>
      </c>
      <c r="E3474" s="70" t="s">
        <v>9457</v>
      </c>
      <c r="F3474" s="26" t="s">
        <v>798</v>
      </c>
      <c r="G3474" s="15" t="s">
        <v>798</v>
      </c>
      <c r="H3474" s="14" t="s">
        <v>798</v>
      </c>
      <c r="I3474" s="15" t="s">
        <v>798</v>
      </c>
      <c r="J3474" s="12" t="s">
        <v>9438</v>
      </c>
      <c r="K3474" s="16" t="s">
        <v>3543</v>
      </c>
      <c r="L3474" s="12" t="s">
        <v>800</v>
      </c>
      <c r="M3474" s="16" t="s">
        <v>4507</v>
      </c>
      <c r="N3474" s="19" t="s">
        <v>798</v>
      </c>
      <c r="O3474" s="20" t="s">
        <v>798</v>
      </c>
      <c r="P3474" s="17" t="s">
        <v>802</v>
      </c>
      <c r="Q3474" s="21" t="s">
        <v>9095</v>
      </c>
      <c r="R3474" s="19" t="s">
        <v>798</v>
      </c>
      <c r="S3474" s="20" t="s">
        <v>798</v>
      </c>
      <c r="T3474" s="17" t="s">
        <v>798</v>
      </c>
      <c r="U3474" s="20" t="s">
        <v>798</v>
      </c>
      <c r="V3474" s="26" t="s">
        <v>798</v>
      </c>
      <c r="W3474" s="20" t="s">
        <v>798</v>
      </c>
      <c r="X3474" s="26" t="s">
        <v>798</v>
      </c>
      <c r="Y3474" s="20" t="s">
        <v>798</v>
      </c>
      <c r="Z3474" s="69" t="s">
        <v>9486</v>
      </c>
      <c r="AA3474" s="72" t="s">
        <v>9496</v>
      </c>
      <c r="AB3474" s="73" t="s">
        <v>9486</v>
      </c>
      <c r="AC3474" s="74" t="s">
        <v>9562</v>
      </c>
      <c r="AD3474" s="73" t="s">
        <v>9578</v>
      </c>
      <c r="AE3474" s="74" t="s">
        <v>9579</v>
      </c>
    </row>
    <row r="3475" spans="1:31" ht="8.65" customHeight="1" x14ac:dyDescent="0.2">
      <c r="A3475" s="76">
        <v>3475</v>
      </c>
      <c r="B3475" s="67" t="str">
        <f>MID(C3475, FIND("Ifc.", C3475) + 4, 4) &amp; "_" &amp; TEXT(COUNTIF($C$2:C3475, C3475),"0000")</f>
        <v>Enti_0608</v>
      </c>
      <c r="C3475" s="25" t="s">
        <v>874</v>
      </c>
      <c r="D3475" s="69" t="s">
        <v>9453</v>
      </c>
      <c r="E3475" s="70" t="s">
        <v>9457</v>
      </c>
      <c r="F3475" s="26" t="s">
        <v>798</v>
      </c>
      <c r="G3475" s="15" t="s">
        <v>798</v>
      </c>
      <c r="H3475" s="14" t="s">
        <v>798</v>
      </c>
      <c r="I3475" s="15" t="s">
        <v>798</v>
      </c>
      <c r="J3475" s="12" t="s">
        <v>9438</v>
      </c>
      <c r="K3475" s="16" t="s">
        <v>3544</v>
      </c>
      <c r="L3475" s="12" t="s">
        <v>800</v>
      </c>
      <c r="M3475" s="16" t="s">
        <v>4508</v>
      </c>
      <c r="N3475" s="19" t="s">
        <v>798</v>
      </c>
      <c r="O3475" s="20" t="s">
        <v>798</v>
      </c>
      <c r="P3475" s="17" t="s">
        <v>802</v>
      </c>
      <c r="Q3475" s="21" t="s">
        <v>9096</v>
      </c>
      <c r="R3475" s="19" t="s">
        <v>798</v>
      </c>
      <c r="S3475" s="20" t="s">
        <v>798</v>
      </c>
      <c r="T3475" s="17" t="s">
        <v>798</v>
      </c>
      <c r="U3475" s="20" t="s">
        <v>798</v>
      </c>
      <c r="V3475" s="26" t="s">
        <v>798</v>
      </c>
      <c r="W3475" s="20" t="s">
        <v>798</v>
      </c>
      <c r="X3475" s="26" t="s">
        <v>798</v>
      </c>
      <c r="Y3475" s="20" t="s">
        <v>798</v>
      </c>
      <c r="Z3475" s="69" t="s">
        <v>9486</v>
      </c>
      <c r="AA3475" s="72" t="s">
        <v>9496</v>
      </c>
      <c r="AB3475" s="73" t="s">
        <v>9486</v>
      </c>
      <c r="AC3475" s="74" t="s">
        <v>9562</v>
      </c>
      <c r="AD3475" s="73" t="s">
        <v>9578</v>
      </c>
      <c r="AE3475" s="74" t="s">
        <v>9579</v>
      </c>
    </row>
    <row r="3476" spans="1:31" ht="8.65" customHeight="1" x14ac:dyDescent="0.2">
      <c r="A3476" s="76">
        <v>3476</v>
      </c>
      <c r="B3476" s="67" t="str">
        <f>MID(C3476, FIND("Ifc.", C3476) + 4, 4) &amp; "_" &amp; TEXT(COUNTIF($C$2:C3476, C3476),"0000")</f>
        <v>Enti_0609</v>
      </c>
      <c r="C3476" s="25" t="s">
        <v>874</v>
      </c>
      <c r="D3476" s="69" t="s">
        <v>9453</v>
      </c>
      <c r="E3476" s="70" t="s">
        <v>9457</v>
      </c>
      <c r="F3476" s="26" t="s">
        <v>798</v>
      </c>
      <c r="G3476" s="15" t="s">
        <v>798</v>
      </c>
      <c r="H3476" s="14" t="s">
        <v>798</v>
      </c>
      <c r="I3476" s="15" t="s">
        <v>798</v>
      </c>
      <c r="J3476" s="12" t="s">
        <v>9438</v>
      </c>
      <c r="K3476" s="16" t="s">
        <v>3545</v>
      </c>
      <c r="L3476" s="12" t="s">
        <v>800</v>
      </c>
      <c r="M3476" s="16" t="s">
        <v>4509</v>
      </c>
      <c r="N3476" s="19" t="s">
        <v>798</v>
      </c>
      <c r="O3476" s="20" t="s">
        <v>798</v>
      </c>
      <c r="P3476" s="17" t="s">
        <v>802</v>
      </c>
      <c r="Q3476" s="21" t="s">
        <v>9097</v>
      </c>
      <c r="R3476" s="19" t="s">
        <v>798</v>
      </c>
      <c r="S3476" s="20" t="s">
        <v>798</v>
      </c>
      <c r="T3476" s="17" t="s">
        <v>798</v>
      </c>
      <c r="U3476" s="20" t="s">
        <v>798</v>
      </c>
      <c r="V3476" s="26" t="s">
        <v>798</v>
      </c>
      <c r="W3476" s="20" t="s">
        <v>798</v>
      </c>
      <c r="X3476" s="26" t="s">
        <v>798</v>
      </c>
      <c r="Y3476" s="20" t="s">
        <v>798</v>
      </c>
      <c r="Z3476" s="69" t="s">
        <v>9486</v>
      </c>
      <c r="AA3476" s="72" t="s">
        <v>9476</v>
      </c>
      <c r="AB3476" s="73" t="s">
        <v>9486</v>
      </c>
      <c r="AC3476" s="74" t="s">
        <v>9562</v>
      </c>
      <c r="AD3476" s="73" t="s">
        <v>9578</v>
      </c>
      <c r="AE3476" s="74" t="s">
        <v>9579</v>
      </c>
    </row>
    <row r="3477" spans="1:31" ht="8.65" customHeight="1" x14ac:dyDescent="0.2">
      <c r="A3477" s="76">
        <v>3477</v>
      </c>
      <c r="B3477" s="67" t="str">
        <f>MID(C3477, FIND("Ifc.", C3477) + 4, 4) &amp; "_" &amp; TEXT(COUNTIF($C$2:C3477, C3477),"0000")</f>
        <v>Enti_0610</v>
      </c>
      <c r="C3477" s="25" t="s">
        <v>874</v>
      </c>
      <c r="D3477" s="69" t="s">
        <v>9453</v>
      </c>
      <c r="E3477" s="70" t="s">
        <v>9457</v>
      </c>
      <c r="F3477" s="26" t="s">
        <v>798</v>
      </c>
      <c r="G3477" s="15" t="s">
        <v>798</v>
      </c>
      <c r="H3477" s="14" t="s">
        <v>798</v>
      </c>
      <c r="I3477" s="15" t="s">
        <v>798</v>
      </c>
      <c r="J3477" s="12" t="s">
        <v>9438</v>
      </c>
      <c r="K3477" s="16" t="s">
        <v>3546</v>
      </c>
      <c r="L3477" s="12" t="s">
        <v>800</v>
      </c>
      <c r="M3477" s="16" t="s">
        <v>4510</v>
      </c>
      <c r="N3477" s="19" t="s">
        <v>798</v>
      </c>
      <c r="O3477" s="20" t="s">
        <v>798</v>
      </c>
      <c r="P3477" s="17" t="s">
        <v>802</v>
      </c>
      <c r="Q3477" s="21" t="s">
        <v>9098</v>
      </c>
      <c r="R3477" s="19" t="s">
        <v>798</v>
      </c>
      <c r="S3477" s="20" t="s">
        <v>798</v>
      </c>
      <c r="T3477" s="17" t="s">
        <v>798</v>
      </c>
      <c r="U3477" s="20" t="s">
        <v>798</v>
      </c>
      <c r="V3477" s="26" t="s">
        <v>798</v>
      </c>
      <c r="W3477" s="20" t="s">
        <v>798</v>
      </c>
      <c r="X3477" s="26" t="s">
        <v>798</v>
      </c>
      <c r="Y3477" s="20" t="s">
        <v>798</v>
      </c>
      <c r="Z3477" s="69" t="s">
        <v>9486</v>
      </c>
      <c r="AA3477" s="72" t="s">
        <v>9488</v>
      </c>
      <c r="AB3477" s="73" t="s">
        <v>9486</v>
      </c>
      <c r="AC3477" s="74" t="s">
        <v>9562</v>
      </c>
      <c r="AD3477" s="73" t="s">
        <v>9578</v>
      </c>
      <c r="AE3477" s="74" t="s">
        <v>9579</v>
      </c>
    </row>
    <row r="3478" spans="1:31" ht="8.65" customHeight="1" x14ac:dyDescent="0.2">
      <c r="A3478" s="76">
        <v>3478</v>
      </c>
      <c r="B3478" s="67" t="str">
        <f>MID(C3478, FIND("Ifc.", C3478) + 4, 4) &amp; "_" &amp; TEXT(COUNTIF($C$2:C3478, C3478),"0000")</f>
        <v>Enti_0611</v>
      </c>
      <c r="C3478" s="25" t="s">
        <v>874</v>
      </c>
      <c r="D3478" s="69" t="s">
        <v>9453</v>
      </c>
      <c r="E3478" s="70" t="s">
        <v>9457</v>
      </c>
      <c r="F3478" s="26" t="s">
        <v>798</v>
      </c>
      <c r="G3478" s="15" t="s">
        <v>798</v>
      </c>
      <c r="H3478" s="14" t="s">
        <v>798</v>
      </c>
      <c r="I3478" s="15" t="s">
        <v>798</v>
      </c>
      <c r="J3478" s="12" t="s">
        <v>9438</v>
      </c>
      <c r="K3478" s="16" t="s">
        <v>3547</v>
      </c>
      <c r="L3478" s="12" t="s">
        <v>800</v>
      </c>
      <c r="M3478" s="16" t="s">
        <v>4511</v>
      </c>
      <c r="N3478" s="19" t="s">
        <v>798</v>
      </c>
      <c r="O3478" s="20" t="s">
        <v>798</v>
      </c>
      <c r="P3478" s="17" t="s">
        <v>802</v>
      </c>
      <c r="Q3478" s="21" t="s">
        <v>9099</v>
      </c>
      <c r="R3478" s="19" t="s">
        <v>798</v>
      </c>
      <c r="S3478" s="20" t="s">
        <v>798</v>
      </c>
      <c r="T3478" s="17" t="s">
        <v>798</v>
      </c>
      <c r="U3478" s="20" t="s">
        <v>798</v>
      </c>
      <c r="V3478" s="26" t="s">
        <v>798</v>
      </c>
      <c r="W3478" s="20" t="s">
        <v>798</v>
      </c>
      <c r="X3478" s="26" t="s">
        <v>798</v>
      </c>
      <c r="Y3478" s="20" t="s">
        <v>798</v>
      </c>
      <c r="Z3478" s="69" t="s">
        <v>9486</v>
      </c>
      <c r="AA3478" s="72" t="s">
        <v>9476</v>
      </c>
      <c r="AB3478" s="73" t="s">
        <v>9486</v>
      </c>
      <c r="AC3478" s="74" t="s">
        <v>9562</v>
      </c>
      <c r="AD3478" s="73" t="s">
        <v>9578</v>
      </c>
      <c r="AE3478" s="74" t="s">
        <v>9579</v>
      </c>
    </row>
    <row r="3479" spans="1:31" ht="8.65" customHeight="1" x14ac:dyDescent="0.2">
      <c r="A3479" s="76">
        <v>3479</v>
      </c>
      <c r="B3479" s="67" t="str">
        <f>MID(C3479, FIND("Ifc.", C3479) + 4, 4) &amp; "_" &amp; TEXT(COUNTIF($C$2:C3479, C3479),"0000")</f>
        <v>Enti_0612</v>
      </c>
      <c r="C3479" s="25" t="s">
        <v>874</v>
      </c>
      <c r="D3479" s="69" t="s">
        <v>9453</v>
      </c>
      <c r="E3479" s="70" t="s">
        <v>9457</v>
      </c>
      <c r="F3479" s="26" t="s">
        <v>798</v>
      </c>
      <c r="G3479" s="15" t="s">
        <v>798</v>
      </c>
      <c r="H3479" s="14" t="s">
        <v>798</v>
      </c>
      <c r="I3479" s="15" t="s">
        <v>798</v>
      </c>
      <c r="J3479" s="12" t="s">
        <v>9438</v>
      </c>
      <c r="K3479" s="16" t="s">
        <v>3548</v>
      </c>
      <c r="L3479" s="12" t="s">
        <v>800</v>
      </c>
      <c r="M3479" s="16" t="s">
        <v>4512</v>
      </c>
      <c r="N3479" s="19" t="s">
        <v>798</v>
      </c>
      <c r="O3479" s="20" t="s">
        <v>798</v>
      </c>
      <c r="P3479" s="17" t="s">
        <v>802</v>
      </c>
      <c r="Q3479" s="21" t="s">
        <v>9100</v>
      </c>
      <c r="R3479" s="19" t="s">
        <v>798</v>
      </c>
      <c r="S3479" s="20" t="s">
        <v>798</v>
      </c>
      <c r="T3479" s="17" t="s">
        <v>798</v>
      </c>
      <c r="U3479" s="20" t="s">
        <v>798</v>
      </c>
      <c r="V3479" s="26" t="s">
        <v>798</v>
      </c>
      <c r="W3479" s="20" t="s">
        <v>798</v>
      </c>
      <c r="X3479" s="26" t="s">
        <v>798</v>
      </c>
      <c r="Y3479" s="20" t="s">
        <v>798</v>
      </c>
      <c r="Z3479" s="69" t="s">
        <v>9486</v>
      </c>
      <c r="AA3479" s="72" t="s">
        <v>9476</v>
      </c>
      <c r="AB3479" s="73" t="s">
        <v>9486</v>
      </c>
      <c r="AC3479" s="74" t="s">
        <v>9562</v>
      </c>
      <c r="AD3479" s="73" t="s">
        <v>9578</v>
      </c>
      <c r="AE3479" s="74" t="s">
        <v>9579</v>
      </c>
    </row>
    <row r="3480" spans="1:31" ht="8.65" customHeight="1" x14ac:dyDescent="0.2">
      <c r="A3480" s="76">
        <v>3480</v>
      </c>
      <c r="B3480" s="67" t="str">
        <f>MID(C3480, FIND("Ifc.", C3480) + 4, 4) &amp; "_" &amp; TEXT(COUNTIF($C$2:C3480, C3480),"0000")</f>
        <v>Enti_0613</v>
      </c>
      <c r="C3480" s="25" t="s">
        <v>874</v>
      </c>
      <c r="D3480" s="69" t="s">
        <v>9453</v>
      </c>
      <c r="E3480" s="70" t="s">
        <v>9457</v>
      </c>
      <c r="F3480" s="26" t="s">
        <v>798</v>
      </c>
      <c r="G3480" s="15" t="s">
        <v>798</v>
      </c>
      <c r="H3480" s="14" t="s">
        <v>798</v>
      </c>
      <c r="I3480" s="15" t="s">
        <v>798</v>
      </c>
      <c r="J3480" s="12" t="s">
        <v>9438</v>
      </c>
      <c r="K3480" s="16" t="s">
        <v>3549</v>
      </c>
      <c r="L3480" s="12" t="s">
        <v>800</v>
      </c>
      <c r="M3480" s="16" t="s">
        <v>4513</v>
      </c>
      <c r="N3480" s="19" t="s">
        <v>798</v>
      </c>
      <c r="O3480" s="20" t="s">
        <v>798</v>
      </c>
      <c r="P3480" s="17" t="s">
        <v>802</v>
      </c>
      <c r="Q3480" s="21" t="s">
        <v>9101</v>
      </c>
      <c r="R3480" s="19" t="s">
        <v>798</v>
      </c>
      <c r="S3480" s="20" t="s">
        <v>798</v>
      </c>
      <c r="T3480" s="17" t="s">
        <v>798</v>
      </c>
      <c r="U3480" s="20" t="s">
        <v>798</v>
      </c>
      <c r="V3480" s="26" t="s">
        <v>798</v>
      </c>
      <c r="W3480" s="20" t="s">
        <v>798</v>
      </c>
      <c r="X3480" s="26" t="s">
        <v>798</v>
      </c>
      <c r="Y3480" s="20" t="s">
        <v>798</v>
      </c>
      <c r="Z3480" s="69" t="s">
        <v>9486</v>
      </c>
      <c r="AA3480" s="72" t="s">
        <v>9476</v>
      </c>
      <c r="AB3480" s="73" t="s">
        <v>9486</v>
      </c>
      <c r="AC3480" s="74" t="s">
        <v>9562</v>
      </c>
      <c r="AD3480" s="73" t="s">
        <v>9578</v>
      </c>
      <c r="AE3480" s="74" t="s">
        <v>9579</v>
      </c>
    </row>
    <row r="3481" spans="1:31" ht="8.65" customHeight="1" x14ac:dyDescent="0.2">
      <c r="A3481" s="76">
        <v>3481</v>
      </c>
      <c r="B3481" s="67" t="str">
        <f>MID(C3481, FIND("Ifc.", C3481) + 4, 4) &amp; "_" &amp; TEXT(COUNTIF($C$2:C3481, C3481),"0000")</f>
        <v>Enti_0614</v>
      </c>
      <c r="C3481" s="25" t="s">
        <v>874</v>
      </c>
      <c r="D3481" s="69" t="s">
        <v>9453</v>
      </c>
      <c r="E3481" s="70" t="s">
        <v>9457</v>
      </c>
      <c r="F3481" s="26" t="s">
        <v>798</v>
      </c>
      <c r="G3481" s="15" t="s">
        <v>798</v>
      </c>
      <c r="H3481" s="14" t="s">
        <v>798</v>
      </c>
      <c r="I3481" s="15" t="s">
        <v>798</v>
      </c>
      <c r="J3481" s="12" t="s">
        <v>9438</v>
      </c>
      <c r="K3481" s="16" t="s">
        <v>3550</v>
      </c>
      <c r="L3481" s="12" t="s">
        <v>800</v>
      </c>
      <c r="M3481" s="16" t="s">
        <v>4514</v>
      </c>
      <c r="N3481" s="19" t="s">
        <v>798</v>
      </c>
      <c r="O3481" s="20" t="s">
        <v>798</v>
      </c>
      <c r="P3481" s="17" t="s">
        <v>802</v>
      </c>
      <c r="Q3481" s="21" t="s">
        <v>9102</v>
      </c>
      <c r="R3481" s="19" t="s">
        <v>798</v>
      </c>
      <c r="S3481" s="20" t="s">
        <v>798</v>
      </c>
      <c r="T3481" s="17" t="s">
        <v>798</v>
      </c>
      <c r="U3481" s="20" t="s">
        <v>798</v>
      </c>
      <c r="V3481" s="26" t="s">
        <v>798</v>
      </c>
      <c r="W3481" s="20" t="s">
        <v>798</v>
      </c>
      <c r="X3481" s="26" t="s">
        <v>798</v>
      </c>
      <c r="Y3481" s="20" t="s">
        <v>798</v>
      </c>
      <c r="Z3481" s="69" t="s">
        <v>9486</v>
      </c>
      <c r="AA3481" s="72" t="s">
        <v>9476</v>
      </c>
      <c r="AB3481" s="73" t="s">
        <v>9486</v>
      </c>
      <c r="AC3481" s="74" t="s">
        <v>9562</v>
      </c>
      <c r="AD3481" s="73" t="s">
        <v>9578</v>
      </c>
      <c r="AE3481" s="74" t="s">
        <v>9579</v>
      </c>
    </row>
    <row r="3482" spans="1:31" ht="8.65" customHeight="1" x14ac:dyDescent="0.2">
      <c r="A3482" s="76">
        <v>3482</v>
      </c>
      <c r="B3482" s="67" t="str">
        <f>MID(C3482, FIND("Ifc.", C3482) + 4, 4) &amp; "_" &amp; TEXT(COUNTIF($C$2:C3482, C3482),"0000")</f>
        <v>Enti_0615</v>
      </c>
      <c r="C3482" s="25" t="s">
        <v>874</v>
      </c>
      <c r="D3482" s="69" t="s">
        <v>9453</v>
      </c>
      <c r="E3482" s="70" t="s">
        <v>9457</v>
      </c>
      <c r="F3482" s="26" t="s">
        <v>798</v>
      </c>
      <c r="G3482" s="15" t="s">
        <v>798</v>
      </c>
      <c r="H3482" s="14" t="s">
        <v>798</v>
      </c>
      <c r="I3482" s="15" t="s">
        <v>798</v>
      </c>
      <c r="J3482" s="12" t="s">
        <v>9438</v>
      </c>
      <c r="K3482" s="16" t="s">
        <v>3551</v>
      </c>
      <c r="L3482" s="12" t="s">
        <v>800</v>
      </c>
      <c r="M3482" s="16" t="s">
        <v>4515</v>
      </c>
      <c r="N3482" s="19" t="s">
        <v>798</v>
      </c>
      <c r="O3482" s="20" t="s">
        <v>798</v>
      </c>
      <c r="P3482" s="17" t="s">
        <v>802</v>
      </c>
      <c r="Q3482" s="21" t="s">
        <v>9103</v>
      </c>
      <c r="R3482" s="19" t="s">
        <v>798</v>
      </c>
      <c r="S3482" s="20" t="s">
        <v>798</v>
      </c>
      <c r="T3482" s="17" t="s">
        <v>798</v>
      </c>
      <c r="U3482" s="20" t="s">
        <v>798</v>
      </c>
      <c r="V3482" s="26" t="s">
        <v>798</v>
      </c>
      <c r="W3482" s="20" t="s">
        <v>798</v>
      </c>
      <c r="X3482" s="26" t="s">
        <v>798</v>
      </c>
      <c r="Y3482" s="20" t="s">
        <v>798</v>
      </c>
      <c r="Z3482" s="69" t="s">
        <v>9486</v>
      </c>
      <c r="AA3482" s="72" t="s">
        <v>9496</v>
      </c>
      <c r="AB3482" s="73" t="s">
        <v>9486</v>
      </c>
      <c r="AC3482" s="74" t="s">
        <v>9562</v>
      </c>
      <c r="AD3482" s="73" t="s">
        <v>9578</v>
      </c>
      <c r="AE3482" s="74" t="s">
        <v>9579</v>
      </c>
    </row>
    <row r="3483" spans="1:31" ht="8.65" customHeight="1" x14ac:dyDescent="0.2">
      <c r="A3483" s="76">
        <v>3483</v>
      </c>
      <c r="B3483" s="67" t="str">
        <f>MID(C3483, FIND("Ifc.", C3483) + 4, 4) &amp; "_" &amp; TEXT(COUNTIF($C$2:C3483, C3483),"0000")</f>
        <v>Enti_0616</v>
      </c>
      <c r="C3483" s="25" t="s">
        <v>874</v>
      </c>
      <c r="D3483" s="69" t="s">
        <v>9453</v>
      </c>
      <c r="E3483" s="70" t="s">
        <v>9457</v>
      </c>
      <c r="F3483" s="26" t="s">
        <v>798</v>
      </c>
      <c r="G3483" s="15" t="s">
        <v>798</v>
      </c>
      <c r="H3483" s="14" t="s">
        <v>798</v>
      </c>
      <c r="I3483" s="15" t="s">
        <v>798</v>
      </c>
      <c r="J3483" s="12" t="s">
        <v>9438</v>
      </c>
      <c r="K3483" s="16" t="s">
        <v>3552</v>
      </c>
      <c r="L3483" s="12" t="s">
        <v>800</v>
      </c>
      <c r="M3483" s="16" t="s">
        <v>4516</v>
      </c>
      <c r="N3483" s="19" t="s">
        <v>798</v>
      </c>
      <c r="O3483" s="20" t="s">
        <v>798</v>
      </c>
      <c r="P3483" s="17" t="s">
        <v>802</v>
      </c>
      <c r="Q3483" s="21" t="s">
        <v>9104</v>
      </c>
      <c r="R3483" s="19" t="s">
        <v>798</v>
      </c>
      <c r="S3483" s="20" t="s">
        <v>798</v>
      </c>
      <c r="T3483" s="17" t="s">
        <v>798</v>
      </c>
      <c r="U3483" s="20" t="s">
        <v>798</v>
      </c>
      <c r="V3483" s="26" t="s">
        <v>798</v>
      </c>
      <c r="W3483" s="20" t="s">
        <v>798</v>
      </c>
      <c r="X3483" s="26" t="s">
        <v>798</v>
      </c>
      <c r="Y3483" s="20" t="s">
        <v>798</v>
      </c>
      <c r="Z3483" s="69" t="s">
        <v>9486</v>
      </c>
      <c r="AA3483" s="72" t="s">
        <v>9500</v>
      </c>
      <c r="AB3483" s="73" t="s">
        <v>9486</v>
      </c>
      <c r="AC3483" s="74" t="s">
        <v>9562</v>
      </c>
      <c r="AD3483" s="73" t="s">
        <v>9578</v>
      </c>
      <c r="AE3483" s="74" t="s">
        <v>9579</v>
      </c>
    </row>
    <row r="3484" spans="1:31" ht="8.65" customHeight="1" x14ac:dyDescent="0.2">
      <c r="A3484" s="76">
        <v>3484</v>
      </c>
      <c r="B3484" s="67" t="str">
        <f>MID(C3484, FIND("Ifc.", C3484) + 4, 4) &amp; "_" &amp; TEXT(COUNTIF($C$2:C3484, C3484),"0000")</f>
        <v>Enti_0617</v>
      </c>
      <c r="C3484" s="25" t="s">
        <v>874</v>
      </c>
      <c r="D3484" s="69" t="s">
        <v>9453</v>
      </c>
      <c r="E3484" s="70" t="s">
        <v>9457</v>
      </c>
      <c r="F3484" s="26" t="s">
        <v>798</v>
      </c>
      <c r="G3484" s="15" t="s">
        <v>798</v>
      </c>
      <c r="H3484" s="14" t="s">
        <v>798</v>
      </c>
      <c r="I3484" s="15" t="s">
        <v>798</v>
      </c>
      <c r="J3484" s="12" t="s">
        <v>9438</v>
      </c>
      <c r="K3484" s="16" t="s">
        <v>3553</v>
      </c>
      <c r="L3484" s="12" t="s">
        <v>800</v>
      </c>
      <c r="M3484" s="16" t="s">
        <v>4517</v>
      </c>
      <c r="N3484" s="19" t="s">
        <v>798</v>
      </c>
      <c r="O3484" s="20" t="s">
        <v>798</v>
      </c>
      <c r="P3484" s="17" t="s">
        <v>802</v>
      </c>
      <c r="Q3484" s="21" t="s">
        <v>9105</v>
      </c>
      <c r="R3484" s="19" t="s">
        <v>798</v>
      </c>
      <c r="S3484" s="20" t="s">
        <v>798</v>
      </c>
      <c r="T3484" s="17" t="s">
        <v>798</v>
      </c>
      <c r="U3484" s="20" t="s">
        <v>798</v>
      </c>
      <c r="V3484" s="26" t="s">
        <v>798</v>
      </c>
      <c r="W3484" s="20" t="s">
        <v>798</v>
      </c>
      <c r="X3484" s="26" t="s">
        <v>798</v>
      </c>
      <c r="Y3484" s="20" t="s">
        <v>798</v>
      </c>
      <c r="Z3484" s="69" t="s">
        <v>9486</v>
      </c>
      <c r="AA3484" s="72" t="s">
        <v>9500</v>
      </c>
      <c r="AB3484" s="73" t="s">
        <v>9486</v>
      </c>
      <c r="AC3484" s="74" t="s">
        <v>9562</v>
      </c>
      <c r="AD3484" s="73" t="s">
        <v>9578</v>
      </c>
      <c r="AE3484" s="74" t="s">
        <v>9579</v>
      </c>
    </row>
    <row r="3485" spans="1:31" ht="8.65" customHeight="1" x14ac:dyDescent="0.2">
      <c r="A3485" s="76">
        <v>3485</v>
      </c>
      <c r="B3485" s="67" t="str">
        <f>MID(C3485, FIND("Ifc.", C3485) + 4, 4) &amp; "_" &amp; TEXT(COUNTIF($C$2:C3485, C3485),"0000")</f>
        <v>Enti_0618</v>
      </c>
      <c r="C3485" s="25" t="s">
        <v>874</v>
      </c>
      <c r="D3485" s="69" t="s">
        <v>9453</v>
      </c>
      <c r="E3485" s="70" t="s">
        <v>9457</v>
      </c>
      <c r="F3485" s="26" t="s">
        <v>798</v>
      </c>
      <c r="G3485" s="15" t="s">
        <v>798</v>
      </c>
      <c r="H3485" s="14" t="s">
        <v>798</v>
      </c>
      <c r="I3485" s="15" t="s">
        <v>798</v>
      </c>
      <c r="J3485" s="12" t="s">
        <v>9438</v>
      </c>
      <c r="K3485" s="16" t="s">
        <v>3554</v>
      </c>
      <c r="L3485" s="12" t="s">
        <v>800</v>
      </c>
      <c r="M3485" s="16" t="s">
        <v>4518</v>
      </c>
      <c r="N3485" s="19" t="s">
        <v>798</v>
      </c>
      <c r="O3485" s="20" t="s">
        <v>798</v>
      </c>
      <c r="P3485" s="17" t="s">
        <v>802</v>
      </c>
      <c r="Q3485" s="21" t="s">
        <v>9106</v>
      </c>
      <c r="R3485" s="19" t="s">
        <v>798</v>
      </c>
      <c r="S3485" s="20" t="s">
        <v>798</v>
      </c>
      <c r="T3485" s="17" t="s">
        <v>798</v>
      </c>
      <c r="U3485" s="20" t="s">
        <v>798</v>
      </c>
      <c r="V3485" s="26" t="s">
        <v>798</v>
      </c>
      <c r="W3485" s="20" t="s">
        <v>798</v>
      </c>
      <c r="X3485" s="26" t="s">
        <v>798</v>
      </c>
      <c r="Y3485" s="20" t="s">
        <v>798</v>
      </c>
      <c r="Z3485" s="69" t="s">
        <v>9486</v>
      </c>
      <c r="AA3485" s="72" t="s">
        <v>9476</v>
      </c>
      <c r="AB3485" s="73" t="s">
        <v>9486</v>
      </c>
      <c r="AC3485" s="74" t="s">
        <v>9562</v>
      </c>
      <c r="AD3485" s="73" t="s">
        <v>9578</v>
      </c>
      <c r="AE3485" s="74" t="s">
        <v>9579</v>
      </c>
    </row>
    <row r="3486" spans="1:31" ht="8.65" customHeight="1" x14ac:dyDescent="0.2">
      <c r="A3486" s="76">
        <v>3486</v>
      </c>
      <c r="B3486" s="67" t="str">
        <f>MID(C3486, FIND("Ifc.", C3486) + 4, 4) &amp; "_" &amp; TEXT(COUNTIF($C$2:C3486, C3486),"0000")</f>
        <v>Enti_0619</v>
      </c>
      <c r="C3486" s="25" t="s">
        <v>874</v>
      </c>
      <c r="D3486" s="69" t="s">
        <v>9453</v>
      </c>
      <c r="E3486" s="70" t="s">
        <v>9457</v>
      </c>
      <c r="F3486" s="26" t="s">
        <v>798</v>
      </c>
      <c r="G3486" s="15" t="s">
        <v>798</v>
      </c>
      <c r="H3486" s="14" t="s">
        <v>798</v>
      </c>
      <c r="I3486" s="15" t="s">
        <v>798</v>
      </c>
      <c r="J3486" s="12" t="s">
        <v>9438</v>
      </c>
      <c r="K3486" s="16" t="s">
        <v>3555</v>
      </c>
      <c r="L3486" s="12" t="s">
        <v>800</v>
      </c>
      <c r="M3486" s="16" t="s">
        <v>4519</v>
      </c>
      <c r="N3486" s="19" t="s">
        <v>798</v>
      </c>
      <c r="O3486" s="20" t="s">
        <v>798</v>
      </c>
      <c r="P3486" s="17" t="s">
        <v>802</v>
      </c>
      <c r="Q3486" s="21" t="s">
        <v>9107</v>
      </c>
      <c r="R3486" s="19" t="s">
        <v>798</v>
      </c>
      <c r="S3486" s="20" t="s">
        <v>798</v>
      </c>
      <c r="T3486" s="17" t="s">
        <v>798</v>
      </c>
      <c r="U3486" s="20" t="s">
        <v>798</v>
      </c>
      <c r="V3486" s="26" t="s">
        <v>798</v>
      </c>
      <c r="W3486" s="20" t="s">
        <v>798</v>
      </c>
      <c r="X3486" s="26" t="s">
        <v>798</v>
      </c>
      <c r="Y3486" s="20" t="s">
        <v>798</v>
      </c>
      <c r="Z3486" s="69" t="s">
        <v>9486</v>
      </c>
      <c r="AA3486" s="72" t="s">
        <v>9476</v>
      </c>
      <c r="AB3486" s="73" t="s">
        <v>9486</v>
      </c>
      <c r="AC3486" s="74" t="s">
        <v>9562</v>
      </c>
      <c r="AD3486" s="73" t="s">
        <v>9578</v>
      </c>
      <c r="AE3486" s="74" t="s">
        <v>9579</v>
      </c>
    </row>
    <row r="3487" spans="1:31" ht="8.65" customHeight="1" x14ac:dyDescent="0.2">
      <c r="A3487" s="76">
        <v>3487</v>
      </c>
      <c r="B3487" s="67" t="str">
        <f>MID(C3487, FIND("Ifc.", C3487) + 4, 4) &amp; "_" &amp; TEXT(COUNTIF($C$2:C3487, C3487),"0000")</f>
        <v>Enti_0620</v>
      </c>
      <c r="C3487" s="25" t="s">
        <v>874</v>
      </c>
      <c r="D3487" s="69" t="s">
        <v>9453</v>
      </c>
      <c r="E3487" s="70" t="s">
        <v>9457</v>
      </c>
      <c r="F3487" s="26" t="s">
        <v>798</v>
      </c>
      <c r="G3487" s="15" t="s">
        <v>798</v>
      </c>
      <c r="H3487" s="14" t="s">
        <v>798</v>
      </c>
      <c r="I3487" s="15" t="s">
        <v>798</v>
      </c>
      <c r="J3487" s="12" t="s">
        <v>9438</v>
      </c>
      <c r="K3487" s="16" t="s">
        <v>3556</v>
      </c>
      <c r="L3487" s="12" t="s">
        <v>800</v>
      </c>
      <c r="M3487" s="16" t="s">
        <v>4520</v>
      </c>
      <c r="N3487" s="19" t="s">
        <v>798</v>
      </c>
      <c r="O3487" s="20" t="s">
        <v>798</v>
      </c>
      <c r="P3487" s="17" t="s">
        <v>802</v>
      </c>
      <c r="Q3487" s="21" t="s">
        <v>9108</v>
      </c>
      <c r="R3487" s="19" t="s">
        <v>798</v>
      </c>
      <c r="S3487" s="20" t="s">
        <v>798</v>
      </c>
      <c r="T3487" s="17" t="s">
        <v>798</v>
      </c>
      <c r="U3487" s="20" t="s">
        <v>798</v>
      </c>
      <c r="V3487" s="26" t="s">
        <v>798</v>
      </c>
      <c r="W3487" s="20" t="s">
        <v>798</v>
      </c>
      <c r="X3487" s="26" t="s">
        <v>798</v>
      </c>
      <c r="Y3487" s="20" t="s">
        <v>798</v>
      </c>
      <c r="Z3487" s="69" t="s">
        <v>9486</v>
      </c>
      <c r="AA3487" s="72" t="s">
        <v>9476</v>
      </c>
      <c r="AB3487" s="73" t="s">
        <v>9486</v>
      </c>
      <c r="AC3487" s="74" t="s">
        <v>9562</v>
      </c>
      <c r="AD3487" s="73" t="s">
        <v>9578</v>
      </c>
      <c r="AE3487" s="74" t="s">
        <v>9579</v>
      </c>
    </row>
    <row r="3488" spans="1:31" ht="8.65" customHeight="1" x14ac:dyDescent="0.2">
      <c r="A3488" s="76">
        <v>3488</v>
      </c>
      <c r="B3488" s="67" t="str">
        <f>MID(C3488, FIND("Ifc.", C3488) + 4, 4) &amp; "_" &amp; TEXT(COUNTIF($C$2:C3488, C3488),"0000")</f>
        <v>Enti_0621</v>
      </c>
      <c r="C3488" s="25" t="s">
        <v>874</v>
      </c>
      <c r="D3488" s="69" t="s">
        <v>9453</v>
      </c>
      <c r="E3488" s="70" t="s">
        <v>9457</v>
      </c>
      <c r="F3488" s="26" t="s">
        <v>798</v>
      </c>
      <c r="G3488" s="15" t="s">
        <v>798</v>
      </c>
      <c r="H3488" s="14" t="s">
        <v>798</v>
      </c>
      <c r="I3488" s="15" t="s">
        <v>798</v>
      </c>
      <c r="J3488" s="12" t="s">
        <v>9438</v>
      </c>
      <c r="K3488" s="16" t="s">
        <v>3557</v>
      </c>
      <c r="L3488" s="12" t="s">
        <v>800</v>
      </c>
      <c r="M3488" s="16" t="s">
        <v>4521</v>
      </c>
      <c r="N3488" s="19" t="s">
        <v>798</v>
      </c>
      <c r="O3488" s="20" t="s">
        <v>798</v>
      </c>
      <c r="P3488" s="17" t="s">
        <v>802</v>
      </c>
      <c r="Q3488" s="21" t="s">
        <v>9109</v>
      </c>
      <c r="R3488" s="19" t="s">
        <v>798</v>
      </c>
      <c r="S3488" s="20" t="s">
        <v>798</v>
      </c>
      <c r="T3488" s="17" t="s">
        <v>798</v>
      </c>
      <c r="U3488" s="20" t="s">
        <v>798</v>
      </c>
      <c r="V3488" s="26" t="s">
        <v>798</v>
      </c>
      <c r="W3488" s="20" t="s">
        <v>798</v>
      </c>
      <c r="X3488" s="26" t="s">
        <v>798</v>
      </c>
      <c r="Y3488" s="20" t="s">
        <v>798</v>
      </c>
      <c r="Z3488" s="69" t="s">
        <v>9486</v>
      </c>
      <c r="AA3488" s="72" t="s">
        <v>9476</v>
      </c>
      <c r="AB3488" s="73" t="s">
        <v>9486</v>
      </c>
      <c r="AC3488" s="74" t="s">
        <v>9562</v>
      </c>
      <c r="AD3488" s="73" t="s">
        <v>9578</v>
      </c>
      <c r="AE3488" s="74" t="s">
        <v>9579</v>
      </c>
    </row>
    <row r="3489" spans="1:31" ht="8.65" customHeight="1" x14ac:dyDescent="0.2">
      <c r="A3489" s="76">
        <v>3489</v>
      </c>
      <c r="B3489" s="67" t="str">
        <f>MID(C3489, FIND("Ifc.", C3489) + 4, 4) &amp; "_" &amp; TEXT(COUNTIF($C$2:C3489, C3489),"0000")</f>
        <v>Enti_0622</v>
      </c>
      <c r="C3489" s="25" t="s">
        <v>874</v>
      </c>
      <c r="D3489" s="69" t="s">
        <v>9453</v>
      </c>
      <c r="E3489" s="70" t="s">
        <v>9457</v>
      </c>
      <c r="F3489" s="26" t="s">
        <v>798</v>
      </c>
      <c r="G3489" s="15" t="s">
        <v>798</v>
      </c>
      <c r="H3489" s="14" t="s">
        <v>798</v>
      </c>
      <c r="I3489" s="15" t="s">
        <v>798</v>
      </c>
      <c r="J3489" s="12" t="s">
        <v>9438</v>
      </c>
      <c r="K3489" s="16" t="s">
        <v>3558</v>
      </c>
      <c r="L3489" s="12" t="s">
        <v>800</v>
      </c>
      <c r="M3489" s="16" t="s">
        <v>4522</v>
      </c>
      <c r="N3489" s="19" t="s">
        <v>798</v>
      </c>
      <c r="O3489" s="20" t="s">
        <v>798</v>
      </c>
      <c r="P3489" s="17" t="s">
        <v>802</v>
      </c>
      <c r="Q3489" s="21" t="s">
        <v>9110</v>
      </c>
      <c r="R3489" s="19" t="s">
        <v>798</v>
      </c>
      <c r="S3489" s="20" t="s">
        <v>798</v>
      </c>
      <c r="T3489" s="17" t="s">
        <v>798</v>
      </c>
      <c r="U3489" s="20" t="s">
        <v>798</v>
      </c>
      <c r="V3489" s="26" t="s">
        <v>798</v>
      </c>
      <c r="W3489" s="20" t="s">
        <v>798</v>
      </c>
      <c r="X3489" s="26" t="s">
        <v>798</v>
      </c>
      <c r="Y3489" s="20" t="s">
        <v>798</v>
      </c>
      <c r="Z3489" s="69" t="s">
        <v>9486</v>
      </c>
      <c r="AA3489" s="72" t="s">
        <v>9476</v>
      </c>
      <c r="AB3489" s="73" t="s">
        <v>9486</v>
      </c>
      <c r="AC3489" s="74" t="s">
        <v>9562</v>
      </c>
      <c r="AD3489" s="73" t="s">
        <v>9578</v>
      </c>
      <c r="AE3489" s="74" t="s">
        <v>9579</v>
      </c>
    </row>
    <row r="3490" spans="1:31" ht="8.65" customHeight="1" x14ac:dyDescent="0.2">
      <c r="A3490" s="76">
        <v>3490</v>
      </c>
      <c r="B3490" s="67" t="str">
        <f>MID(C3490, FIND("Ifc.", C3490) + 4, 4) &amp; "_" &amp; TEXT(COUNTIF($C$2:C3490, C3490),"0000")</f>
        <v>Enti_0623</v>
      </c>
      <c r="C3490" s="25" t="s">
        <v>874</v>
      </c>
      <c r="D3490" s="69" t="s">
        <v>9453</v>
      </c>
      <c r="E3490" s="70" t="s">
        <v>9457</v>
      </c>
      <c r="F3490" s="26" t="s">
        <v>798</v>
      </c>
      <c r="G3490" s="15" t="s">
        <v>798</v>
      </c>
      <c r="H3490" s="14" t="s">
        <v>798</v>
      </c>
      <c r="I3490" s="15" t="s">
        <v>798</v>
      </c>
      <c r="J3490" s="12" t="s">
        <v>9438</v>
      </c>
      <c r="K3490" s="16" t="s">
        <v>3559</v>
      </c>
      <c r="L3490" s="12" t="s">
        <v>800</v>
      </c>
      <c r="M3490" s="16" t="s">
        <v>4523</v>
      </c>
      <c r="N3490" s="19" t="s">
        <v>798</v>
      </c>
      <c r="O3490" s="20" t="s">
        <v>798</v>
      </c>
      <c r="P3490" s="17" t="s">
        <v>802</v>
      </c>
      <c r="Q3490" s="21" t="s">
        <v>9111</v>
      </c>
      <c r="R3490" s="19" t="s">
        <v>798</v>
      </c>
      <c r="S3490" s="20" t="s">
        <v>798</v>
      </c>
      <c r="T3490" s="17" t="s">
        <v>798</v>
      </c>
      <c r="U3490" s="20" t="s">
        <v>798</v>
      </c>
      <c r="V3490" s="26" t="s">
        <v>798</v>
      </c>
      <c r="W3490" s="20" t="s">
        <v>798</v>
      </c>
      <c r="X3490" s="26" t="s">
        <v>798</v>
      </c>
      <c r="Y3490" s="20" t="s">
        <v>798</v>
      </c>
      <c r="Z3490" s="69" t="s">
        <v>9486</v>
      </c>
      <c r="AA3490" s="72" t="s">
        <v>9476</v>
      </c>
      <c r="AB3490" s="73" t="s">
        <v>9486</v>
      </c>
      <c r="AC3490" s="74" t="s">
        <v>9562</v>
      </c>
      <c r="AD3490" s="73" t="s">
        <v>9578</v>
      </c>
      <c r="AE3490" s="74" t="s">
        <v>9579</v>
      </c>
    </row>
    <row r="3491" spans="1:31" ht="8.65" customHeight="1" x14ac:dyDescent="0.2">
      <c r="A3491" s="76">
        <v>3491</v>
      </c>
      <c r="B3491" s="67" t="str">
        <f>MID(C3491, FIND("Ifc.", C3491) + 4, 4) &amp; "_" &amp; TEXT(COUNTIF($C$2:C3491, C3491),"0000")</f>
        <v>Enti_0624</v>
      </c>
      <c r="C3491" s="25" t="s">
        <v>874</v>
      </c>
      <c r="D3491" s="69" t="s">
        <v>9453</v>
      </c>
      <c r="E3491" s="70" t="s">
        <v>9457</v>
      </c>
      <c r="F3491" s="26" t="s">
        <v>798</v>
      </c>
      <c r="G3491" s="15" t="s">
        <v>798</v>
      </c>
      <c r="H3491" s="14" t="s">
        <v>798</v>
      </c>
      <c r="I3491" s="15" t="s">
        <v>798</v>
      </c>
      <c r="J3491" s="12" t="s">
        <v>9438</v>
      </c>
      <c r="K3491" s="16" t="s">
        <v>3560</v>
      </c>
      <c r="L3491" s="12" t="s">
        <v>800</v>
      </c>
      <c r="M3491" s="16" t="s">
        <v>4524</v>
      </c>
      <c r="N3491" s="19" t="s">
        <v>798</v>
      </c>
      <c r="O3491" s="20" t="s">
        <v>798</v>
      </c>
      <c r="P3491" s="17" t="s">
        <v>802</v>
      </c>
      <c r="Q3491" s="21" t="s">
        <v>9112</v>
      </c>
      <c r="R3491" s="19" t="s">
        <v>798</v>
      </c>
      <c r="S3491" s="20" t="s">
        <v>798</v>
      </c>
      <c r="T3491" s="17" t="s">
        <v>798</v>
      </c>
      <c r="U3491" s="20" t="s">
        <v>798</v>
      </c>
      <c r="V3491" s="26" t="s">
        <v>798</v>
      </c>
      <c r="W3491" s="20" t="s">
        <v>798</v>
      </c>
      <c r="X3491" s="26" t="s">
        <v>798</v>
      </c>
      <c r="Y3491" s="20" t="s">
        <v>798</v>
      </c>
      <c r="Z3491" s="69" t="s">
        <v>9486</v>
      </c>
      <c r="AA3491" s="72" t="s">
        <v>9476</v>
      </c>
      <c r="AB3491" s="73" t="s">
        <v>9486</v>
      </c>
      <c r="AC3491" s="74" t="s">
        <v>9562</v>
      </c>
      <c r="AD3491" s="73" t="s">
        <v>9578</v>
      </c>
      <c r="AE3491" s="74" t="s">
        <v>9579</v>
      </c>
    </row>
    <row r="3492" spans="1:31" ht="8.65" customHeight="1" x14ac:dyDescent="0.2">
      <c r="A3492" s="76">
        <v>3492</v>
      </c>
      <c r="B3492" s="67" t="str">
        <f>MID(C3492, FIND("Ifc.", C3492) + 4, 4) &amp; "_" &amp; TEXT(COUNTIF($C$2:C3492, C3492),"0000")</f>
        <v>Enti_0625</v>
      </c>
      <c r="C3492" s="25" t="s">
        <v>874</v>
      </c>
      <c r="D3492" s="69" t="s">
        <v>9453</v>
      </c>
      <c r="E3492" s="70" t="s">
        <v>9457</v>
      </c>
      <c r="F3492" s="26" t="s">
        <v>798</v>
      </c>
      <c r="G3492" s="15" t="s">
        <v>798</v>
      </c>
      <c r="H3492" s="14" t="s">
        <v>798</v>
      </c>
      <c r="I3492" s="15" t="s">
        <v>798</v>
      </c>
      <c r="J3492" s="12" t="s">
        <v>9438</v>
      </c>
      <c r="K3492" s="16" t="s">
        <v>3561</v>
      </c>
      <c r="L3492" s="12" t="s">
        <v>800</v>
      </c>
      <c r="M3492" s="16" t="s">
        <v>4525</v>
      </c>
      <c r="N3492" s="19" t="s">
        <v>798</v>
      </c>
      <c r="O3492" s="20" t="s">
        <v>798</v>
      </c>
      <c r="P3492" s="17" t="s">
        <v>802</v>
      </c>
      <c r="Q3492" s="21" t="s">
        <v>9113</v>
      </c>
      <c r="R3492" s="19" t="s">
        <v>798</v>
      </c>
      <c r="S3492" s="20" t="s">
        <v>798</v>
      </c>
      <c r="T3492" s="17" t="s">
        <v>798</v>
      </c>
      <c r="U3492" s="20" t="s">
        <v>798</v>
      </c>
      <c r="V3492" s="26" t="s">
        <v>798</v>
      </c>
      <c r="W3492" s="20" t="s">
        <v>798</v>
      </c>
      <c r="X3492" s="26" t="s">
        <v>798</v>
      </c>
      <c r="Y3492" s="20" t="s">
        <v>798</v>
      </c>
      <c r="Z3492" s="69" t="s">
        <v>9486</v>
      </c>
      <c r="AA3492" s="72" t="s">
        <v>9476</v>
      </c>
      <c r="AB3492" s="73" t="s">
        <v>9486</v>
      </c>
      <c r="AC3492" s="74" t="s">
        <v>9562</v>
      </c>
      <c r="AD3492" s="73" t="s">
        <v>9578</v>
      </c>
      <c r="AE3492" s="74" t="s">
        <v>9579</v>
      </c>
    </row>
    <row r="3493" spans="1:31" ht="8.65" customHeight="1" x14ac:dyDescent="0.2">
      <c r="A3493" s="76">
        <v>3493</v>
      </c>
      <c r="B3493" s="67" t="str">
        <f>MID(C3493, FIND("Ifc.", C3493) + 4, 4) &amp; "_" &amp; TEXT(COUNTIF($C$2:C3493, C3493),"0000")</f>
        <v>Enti_0626</v>
      </c>
      <c r="C3493" s="25" t="s">
        <v>874</v>
      </c>
      <c r="D3493" s="69" t="s">
        <v>9453</v>
      </c>
      <c r="E3493" s="70" t="s">
        <v>9457</v>
      </c>
      <c r="F3493" s="26" t="s">
        <v>798</v>
      </c>
      <c r="G3493" s="15" t="s">
        <v>798</v>
      </c>
      <c r="H3493" s="14" t="s">
        <v>798</v>
      </c>
      <c r="I3493" s="15" t="s">
        <v>798</v>
      </c>
      <c r="J3493" s="12" t="s">
        <v>9438</v>
      </c>
      <c r="K3493" s="16" t="s">
        <v>3562</v>
      </c>
      <c r="L3493" s="12" t="s">
        <v>800</v>
      </c>
      <c r="M3493" s="16" t="s">
        <v>4526</v>
      </c>
      <c r="N3493" s="19" t="s">
        <v>798</v>
      </c>
      <c r="O3493" s="20" t="s">
        <v>798</v>
      </c>
      <c r="P3493" s="17" t="s">
        <v>802</v>
      </c>
      <c r="Q3493" s="21" t="s">
        <v>9114</v>
      </c>
      <c r="R3493" s="19" t="s">
        <v>798</v>
      </c>
      <c r="S3493" s="20" t="s">
        <v>798</v>
      </c>
      <c r="T3493" s="17" t="s">
        <v>798</v>
      </c>
      <c r="U3493" s="20" t="s">
        <v>798</v>
      </c>
      <c r="V3493" s="26" t="s">
        <v>798</v>
      </c>
      <c r="W3493" s="20" t="s">
        <v>798</v>
      </c>
      <c r="X3493" s="26" t="s">
        <v>798</v>
      </c>
      <c r="Y3493" s="20" t="s">
        <v>798</v>
      </c>
      <c r="Z3493" s="69" t="s">
        <v>9486</v>
      </c>
      <c r="AA3493" s="72" t="s">
        <v>9476</v>
      </c>
      <c r="AB3493" s="73" t="s">
        <v>9486</v>
      </c>
      <c r="AC3493" s="74" t="s">
        <v>9562</v>
      </c>
      <c r="AD3493" s="73" t="s">
        <v>9578</v>
      </c>
      <c r="AE3493" s="74" t="s">
        <v>9579</v>
      </c>
    </row>
    <row r="3494" spans="1:31" ht="8.65" customHeight="1" x14ac:dyDescent="0.2">
      <c r="A3494" s="76">
        <v>3494</v>
      </c>
      <c r="B3494" s="67" t="str">
        <f>MID(C3494, FIND("Ifc.", C3494) + 4, 4) &amp; "_" &amp; TEXT(COUNTIF($C$2:C3494, C3494),"0000")</f>
        <v>Enti_0627</v>
      </c>
      <c r="C3494" s="25" t="s">
        <v>874</v>
      </c>
      <c r="D3494" s="69" t="s">
        <v>9453</v>
      </c>
      <c r="E3494" s="70" t="s">
        <v>9457</v>
      </c>
      <c r="F3494" s="26" t="s">
        <v>798</v>
      </c>
      <c r="G3494" s="15" t="s">
        <v>798</v>
      </c>
      <c r="H3494" s="14" t="s">
        <v>798</v>
      </c>
      <c r="I3494" s="15" t="s">
        <v>798</v>
      </c>
      <c r="J3494" s="12" t="s">
        <v>9438</v>
      </c>
      <c r="K3494" s="16" t="s">
        <v>3563</v>
      </c>
      <c r="L3494" s="12" t="s">
        <v>800</v>
      </c>
      <c r="M3494" s="16" t="s">
        <v>4527</v>
      </c>
      <c r="N3494" s="19" t="s">
        <v>798</v>
      </c>
      <c r="O3494" s="20" t="s">
        <v>798</v>
      </c>
      <c r="P3494" s="17" t="s">
        <v>802</v>
      </c>
      <c r="Q3494" s="21" t="s">
        <v>9115</v>
      </c>
      <c r="R3494" s="19" t="s">
        <v>798</v>
      </c>
      <c r="S3494" s="20" t="s">
        <v>798</v>
      </c>
      <c r="T3494" s="17" t="s">
        <v>798</v>
      </c>
      <c r="U3494" s="20" t="s">
        <v>798</v>
      </c>
      <c r="V3494" s="26" t="s">
        <v>798</v>
      </c>
      <c r="W3494" s="20" t="s">
        <v>798</v>
      </c>
      <c r="X3494" s="26" t="s">
        <v>798</v>
      </c>
      <c r="Y3494" s="20" t="s">
        <v>798</v>
      </c>
      <c r="Z3494" s="69" t="s">
        <v>9486</v>
      </c>
      <c r="AA3494" s="72" t="s">
        <v>9476</v>
      </c>
      <c r="AB3494" s="73" t="s">
        <v>9486</v>
      </c>
      <c r="AC3494" s="74" t="s">
        <v>9562</v>
      </c>
      <c r="AD3494" s="73" t="s">
        <v>9578</v>
      </c>
      <c r="AE3494" s="74" t="s">
        <v>9579</v>
      </c>
    </row>
    <row r="3495" spans="1:31" ht="8.65" customHeight="1" x14ac:dyDescent="0.2">
      <c r="A3495" s="76">
        <v>3495</v>
      </c>
      <c r="B3495" s="67" t="str">
        <f>MID(C3495, FIND("Ifc.", C3495) + 4, 4) &amp; "_" &amp; TEXT(COUNTIF($C$2:C3495, C3495),"0000")</f>
        <v>Enti_0628</v>
      </c>
      <c r="C3495" s="25" t="s">
        <v>874</v>
      </c>
      <c r="D3495" s="69" t="s">
        <v>9453</v>
      </c>
      <c r="E3495" s="70" t="s">
        <v>9457</v>
      </c>
      <c r="F3495" s="26" t="s">
        <v>798</v>
      </c>
      <c r="G3495" s="15" t="s">
        <v>798</v>
      </c>
      <c r="H3495" s="14" t="s">
        <v>798</v>
      </c>
      <c r="I3495" s="15" t="s">
        <v>798</v>
      </c>
      <c r="J3495" s="12" t="s">
        <v>9438</v>
      </c>
      <c r="K3495" s="16" t="s">
        <v>3564</v>
      </c>
      <c r="L3495" s="12" t="s">
        <v>800</v>
      </c>
      <c r="M3495" s="16" t="s">
        <v>4528</v>
      </c>
      <c r="N3495" s="19" t="s">
        <v>798</v>
      </c>
      <c r="O3495" s="20" t="s">
        <v>798</v>
      </c>
      <c r="P3495" s="17" t="s">
        <v>802</v>
      </c>
      <c r="Q3495" s="21" t="s">
        <v>9116</v>
      </c>
      <c r="R3495" s="19" t="s">
        <v>798</v>
      </c>
      <c r="S3495" s="20" t="s">
        <v>798</v>
      </c>
      <c r="T3495" s="17" t="s">
        <v>798</v>
      </c>
      <c r="U3495" s="20" t="s">
        <v>798</v>
      </c>
      <c r="V3495" s="26" t="s">
        <v>798</v>
      </c>
      <c r="W3495" s="20" t="s">
        <v>798</v>
      </c>
      <c r="X3495" s="26" t="s">
        <v>798</v>
      </c>
      <c r="Y3495" s="20" t="s">
        <v>798</v>
      </c>
      <c r="Z3495" s="69" t="s">
        <v>9486</v>
      </c>
      <c r="AA3495" s="72" t="s">
        <v>9476</v>
      </c>
      <c r="AB3495" s="73" t="s">
        <v>9486</v>
      </c>
      <c r="AC3495" s="74" t="s">
        <v>9562</v>
      </c>
      <c r="AD3495" s="73" t="s">
        <v>9578</v>
      </c>
      <c r="AE3495" s="74" t="s">
        <v>9579</v>
      </c>
    </row>
    <row r="3496" spans="1:31" ht="8.65" customHeight="1" x14ac:dyDescent="0.2">
      <c r="A3496" s="76">
        <v>3496</v>
      </c>
      <c r="B3496" s="67" t="str">
        <f>MID(C3496, FIND("Ifc.", C3496) + 4, 4) &amp; "_" &amp; TEXT(COUNTIF($C$2:C3496, C3496),"0000")</f>
        <v>Enti_0629</v>
      </c>
      <c r="C3496" s="25" t="s">
        <v>874</v>
      </c>
      <c r="D3496" s="69" t="s">
        <v>9453</v>
      </c>
      <c r="E3496" s="70" t="s">
        <v>9457</v>
      </c>
      <c r="F3496" s="26" t="s">
        <v>798</v>
      </c>
      <c r="G3496" s="15" t="s">
        <v>798</v>
      </c>
      <c r="H3496" s="14" t="s">
        <v>798</v>
      </c>
      <c r="I3496" s="15" t="s">
        <v>798</v>
      </c>
      <c r="J3496" s="12" t="s">
        <v>9438</v>
      </c>
      <c r="K3496" s="16" t="s">
        <v>3565</v>
      </c>
      <c r="L3496" s="12" t="s">
        <v>800</v>
      </c>
      <c r="M3496" s="16" t="s">
        <v>4529</v>
      </c>
      <c r="N3496" s="19" t="s">
        <v>798</v>
      </c>
      <c r="O3496" s="20" t="s">
        <v>798</v>
      </c>
      <c r="P3496" s="17" t="s">
        <v>802</v>
      </c>
      <c r="Q3496" s="21" t="s">
        <v>9117</v>
      </c>
      <c r="R3496" s="19" t="s">
        <v>798</v>
      </c>
      <c r="S3496" s="20" t="s">
        <v>798</v>
      </c>
      <c r="T3496" s="17" t="s">
        <v>798</v>
      </c>
      <c r="U3496" s="20" t="s">
        <v>798</v>
      </c>
      <c r="V3496" s="26" t="s">
        <v>798</v>
      </c>
      <c r="W3496" s="20" t="s">
        <v>798</v>
      </c>
      <c r="X3496" s="26" t="s">
        <v>798</v>
      </c>
      <c r="Y3496" s="20" t="s">
        <v>798</v>
      </c>
      <c r="Z3496" s="69" t="s">
        <v>9486</v>
      </c>
      <c r="AA3496" s="72" t="s">
        <v>9476</v>
      </c>
      <c r="AB3496" s="73" t="s">
        <v>9486</v>
      </c>
      <c r="AC3496" s="74" t="s">
        <v>9562</v>
      </c>
      <c r="AD3496" s="73" t="s">
        <v>9578</v>
      </c>
      <c r="AE3496" s="74" t="s">
        <v>9579</v>
      </c>
    </row>
    <row r="3497" spans="1:31" ht="8.65" customHeight="1" x14ac:dyDescent="0.2">
      <c r="A3497" s="76">
        <v>3497</v>
      </c>
      <c r="B3497" s="67" t="str">
        <f>MID(C3497, FIND("Ifc.", C3497) + 4, 4) &amp; "_" &amp; TEXT(COUNTIF($C$2:C3497, C3497),"0000")</f>
        <v>Enti_0630</v>
      </c>
      <c r="C3497" s="25" t="s">
        <v>874</v>
      </c>
      <c r="D3497" s="69" t="s">
        <v>9453</v>
      </c>
      <c r="E3497" s="70" t="s">
        <v>9457</v>
      </c>
      <c r="F3497" s="26" t="s">
        <v>798</v>
      </c>
      <c r="G3497" s="15" t="s">
        <v>798</v>
      </c>
      <c r="H3497" s="14" t="s">
        <v>798</v>
      </c>
      <c r="I3497" s="15" t="s">
        <v>798</v>
      </c>
      <c r="J3497" s="12" t="s">
        <v>9438</v>
      </c>
      <c r="K3497" s="16" t="s">
        <v>3566</v>
      </c>
      <c r="L3497" s="12" t="s">
        <v>800</v>
      </c>
      <c r="M3497" s="16" t="s">
        <v>4530</v>
      </c>
      <c r="N3497" s="19" t="s">
        <v>798</v>
      </c>
      <c r="O3497" s="20" t="s">
        <v>798</v>
      </c>
      <c r="P3497" s="17" t="s">
        <v>802</v>
      </c>
      <c r="Q3497" s="21" t="s">
        <v>9118</v>
      </c>
      <c r="R3497" s="19" t="s">
        <v>798</v>
      </c>
      <c r="S3497" s="20" t="s">
        <v>798</v>
      </c>
      <c r="T3497" s="17" t="s">
        <v>798</v>
      </c>
      <c r="U3497" s="20" t="s">
        <v>798</v>
      </c>
      <c r="V3497" s="26" t="s">
        <v>798</v>
      </c>
      <c r="W3497" s="20" t="s">
        <v>798</v>
      </c>
      <c r="X3497" s="26" t="s">
        <v>798</v>
      </c>
      <c r="Y3497" s="20" t="s">
        <v>798</v>
      </c>
      <c r="Z3497" s="69" t="s">
        <v>9486</v>
      </c>
      <c r="AA3497" s="72" t="s">
        <v>9476</v>
      </c>
      <c r="AB3497" s="73" t="s">
        <v>9486</v>
      </c>
      <c r="AC3497" s="74" t="s">
        <v>9562</v>
      </c>
      <c r="AD3497" s="73" t="s">
        <v>9578</v>
      </c>
      <c r="AE3497" s="74" t="s">
        <v>9579</v>
      </c>
    </row>
    <row r="3498" spans="1:31" ht="8.65" customHeight="1" x14ac:dyDescent="0.2">
      <c r="A3498" s="76">
        <v>3498</v>
      </c>
      <c r="B3498" s="67" t="str">
        <f>MID(C3498, FIND("Ifc.", C3498) + 4, 4) &amp; "_" &amp; TEXT(COUNTIF($C$2:C3498, C3498),"0000")</f>
        <v>Enti_0631</v>
      </c>
      <c r="C3498" s="25" t="s">
        <v>874</v>
      </c>
      <c r="D3498" s="69" t="s">
        <v>9453</v>
      </c>
      <c r="E3498" s="70" t="s">
        <v>9457</v>
      </c>
      <c r="F3498" s="26" t="s">
        <v>798</v>
      </c>
      <c r="G3498" s="15" t="s">
        <v>798</v>
      </c>
      <c r="H3498" s="14" t="s">
        <v>798</v>
      </c>
      <c r="I3498" s="15" t="s">
        <v>798</v>
      </c>
      <c r="J3498" s="12" t="s">
        <v>9438</v>
      </c>
      <c r="K3498" s="16" t="s">
        <v>3567</v>
      </c>
      <c r="L3498" s="12" t="s">
        <v>800</v>
      </c>
      <c r="M3498" s="16" t="s">
        <v>4531</v>
      </c>
      <c r="N3498" s="19" t="s">
        <v>798</v>
      </c>
      <c r="O3498" s="20" t="s">
        <v>798</v>
      </c>
      <c r="P3498" s="17" t="s">
        <v>802</v>
      </c>
      <c r="Q3498" s="21" t="s">
        <v>9119</v>
      </c>
      <c r="R3498" s="19" t="s">
        <v>798</v>
      </c>
      <c r="S3498" s="20" t="s">
        <v>798</v>
      </c>
      <c r="T3498" s="17" t="s">
        <v>798</v>
      </c>
      <c r="U3498" s="20" t="s">
        <v>798</v>
      </c>
      <c r="V3498" s="26" t="s">
        <v>798</v>
      </c>
      <c r="W3498" s="20" t="s">
        <v>798</v>
      </c>
      <c r="X3498" s="26" t="s">
        <v>798</v>
      </c>
      <c r="Y3498" s="20" t="s">
        <v>798</v>
      </c>
      <c r="Z3498" s="69" t="s">
        <v>9486</v>
      </c>
      <c r="AA3498" s="72" t="s">
        <v>9479</v>
      </c>
      <c r="AB3498" s="73" t="s">
        <v>9486</v>
      </c>
      <c r="AC3498" s="74" t="s">
        <v>9562</v>
      </c>
      <c r="AD3498" s="73" t="s">
        <v>9578</v>
      </c>
      <c r="AE3498" s="74" t="s">
        <v>9579</v>
      </c>
    </row>
    <row r="3499" spans="1:31" ht="8.65" customHeight="1" x14ac:dyDescent="0.2">
      <c r="A3499" s="76">
        <v>3499</v>
      </c>
      <c r="B3499" s="67" t="str">
        <f>MID(C3499, FIND("Ifc.", C3499) + 4, 4) &amp; "_" &amp; TEXT(COUNTIF($C$2:C3499, C3499),"0000")</f>
        <v>Enti_0632</v>
      </c>
      <c r="C3499" s="25" t="s">
        <v>874</v>
      </c>
      <c r="D3499" s="69" t="s">
        <v>9453</v>
      </c>
      <c r="E3499" s="70" t="s">
        <v>9457</v>
      </c>
      <c r="F3499" s="26" t="s">
        <v>798</v>
      </c>
      <c r="G3499" s="15" t="s">
        <v>798</v>
      </c>
      <c r="H3499" s="14" t="s">
        <v>798</v>
      </c>
      <c r="I3499" s="15" t="s">
        <v>798</v>
      </c>
      <c r="J3499" s="12" t="s">
        <v>9438</v>
      </c>
      <c r="K3499" s="16" t="s">
        <v>3568</v>
      </c>
      <c r="L3499" s="12" t="s">
        <v>800</v>
      </c>
      <c r="M3499" s="16" t="s">
        <v>4532</v>
      </c>
      <c r="N3499" s="19" t="s">
        <v>798</v>
      </c>
      <c r="O3499" s="20" t="s">
        <v>798</v>
      </c>
      <c r="P3499" s="17" t="s">
        <v>802</v>
      </c>
      <c r="Q3499" s="21" t="s">
        <v>9120</v>
      </c>
      <c r="R3499" s="19" t="s">
        <v>798</v>
      </c>
      <c r="S3499" s="20" t="s">
        <v>798</v>
      </c>
      <c r="T3499" s="17" t="s">
        <v>798</v>
      </c>
      <c r="U3499" s="20" t="s">
        <v>798</v>
      </c>
      <c r="V3499" s="26" t="s">
        <v>798</v>
      </c>
      <c r="W3499" s="20" t="s">
        <v>798</v>
      </c>
      <c r="X3499" s="26" t="s">
        <v>798</v>
      </c>
      <c r="Y3499" s="20" t="s">
        <v>798</v>
      </c>
      <c r="Z3499" s="69" t="s">
        <v>9486</v>
      </c>
      <c r="AA3499" s="72" t="s">
        <v>9476</v>
      </c>
      <c r="AB3499" s="73" t="s">
        <v>9486</v>
      </c>
      <c r="AC3499" s="74" t="s">
        <v>9562</v>
      </c>
      <c r="AD3499" s="73" t="s">
        <v>9578</v>
      </c>
      <c r="AE3499" s="74" t="s">
        <v>9579</v>
      </c>
    </row>
    <row r="3500" spans="1:31" ht="8.65" customHeight="1" x14ac:dyDescent="0.2">
      <c r="A3500" s="76">
        <v>3500</v>
      </c>
      <c r="B3500" s="67" t="str">
        <f>MID(C3500, FIND("Ifc.", C3500) + 4, 4) &amp; "_" &amp; TEXT(COUNTIF($C$2:C3500, C3500),"0000")</f>
        <v>Enti_0633</v>
      </c>
      <c r="C3500" s="25" t="s">
        <v>874</v>
      </c>
      <c r="D3500" s="69" t="s">
        <v>9453</v>
      </c>
      <c r="E3500" s="70" t="s">
        <v>9457</v>
      </c>
      <c r="F3500" s="26" t="s">
        <v>798</v>
      </c>
      <c r="G3500" s="15" t="s">
        <v>798</v>
      </c>
      <c r="H3500" s="14" t="s">
        <v>798</v>
      </c>
      <c r="I3500" s="15" t="s">
        <v>798</v>
      </c>
      <c r="J3500" s="12" t="s">
        <v>9438</v>
      </c>
      <c r="K3500" s="16" t="s">
        <v>3569</v>
      </c>
      <c r="L3500" s="12" t="s">
        <v>800</v>
      </c>
      <c r="M3500" s="16" t="s">
        <v>4533</v>
      </c>
      <c r="N3500" s="19" t="s">
        <v>798</v>
      </c>
      <c r="O3500" s="20" t="s">
        <v>798</v>
      </c>
      <c r="P3500" s="17" t="s">
        <v>802</v>
      </c>
      <c r="Q3500" s="21" t="s">
        <v>9121</v>
      </c>
      <c r="R3500" s="19" t="s">
        <v>798</v>
      </c>
      <c r="S3500" s="20" t="s">
        <v>798</v>
      </c>
      <c r="T3500" s="17" t="s">
        <v>798</v>
      </c>
      <c r="U3500" s="20" t="s">
        <v>798</v>
      </c>
      <c r="V3500" s="26" t="s">
        <v>798</v>
      </c>
      <c r="W3500" s="20" t="s">
        <v>798</v>
      </c>
      <c r="X3500" s="26" t="s">
        <v>798</v>
      </c>
      <c r="Y3500" s="20" t="s">
        <v>798</v>
      </c>
      <c r="Z3500" s="69" t="s">
        <v>9486</v>
      </c>
      <c r="AA3500" s="72" t="s">
        <v>9476</v>
      </c>
      <c r="AB3500" s="73" t="s">
        <v>9486</v>
      </c>
      <c r="AC3500" s="74" t="s">
        <v>9562</v>
      </c>
      <c r="AD3500" s="73" t="s">
        <v>9578</v>
      </c>
      <c r="AE3500" s="74" t="s">
        <v>9579</v>
      </c>
    </row>
    <row r="3501" spans="1:31" ht="8.65" customHeight="1" x14ac:dyDescent="0.2">
      <c r="A3501" s="76">
        <v>3501</v>
      </c>
      <c r="B3501" s="67" t="str">
        <f>MID(C3501, FIND("Ifc.", C3501) + 4, 4) &amp; "_" &amp; TEXT(COUNTIF($C$2:C3501, C3501),"0000")</f>
        <v>Enti_0634</v>
      </c>
      <c r="C3501" s="25" t="s">
        <v>874</v>
      </c>
      <c r="D3501" s="69" t="s">
        <v>9453</v>
      </c>
      <c r="E3501" s="70" t="s">
        <v>9457</v>
      </c>
      <c r="F3501" s="26" t="s">
        <v>798</v>
      </c>
      <c r="G3501" s="15" t="s">
        <v>798</v>
      </c>
      <c r="H3501" s="14" t="s">
        <v>798</v>
      </c>
      <c r="I3501" s="15" t="s">
        <v>798</v>
      </c>
      <c r="J3501" s="12" t="s">
        <v>9438</v>
      </c>
      <c r="K3501" s="16" t="s">
        <v>3570</v>
      </c>
      <c r="L3501" s="12" t="s">
        <v>800</v>
      </c>
      <c r="M3501" s="16" t="s">
        <v>4534</v>
      </c>
      <c r="N3501" s="19" t="s">
        <v>798</v>
      </c>
      <c r="O3501" s="20" t="s">
        <v>798</v>
      </c>
      <c r="P3501" s="17" t="s">
        <v>802</v>
      </c>
      <c r="Q3501" s="21" t="s">
        <v>9122</v>
      </c>
      <c r="R3501" s="19" t="s">
        <v>798</v>
      </c>
      <c r="S3501" s="20" t="s">
        <v>798</v>
      </c>
      <c r="T3501" s="17" t="s">
        <v>798</v>
      </c>
      <c r="U3501" s="20" t="s">
        <v>798</v>
      </c>
      <c r="V3501" s="26" t="s">
        <v>798</v>
      </c>
      <c r="W3501" s="20" t="s">
        <v>798</v>
      </c>
      <c r="X3501" s="26" t="s">
        <v>798</v>
      </c>
      <c r="Y3501" s="20" t="s">
        <v>798</v>
      </c>
      <c r="Z3501" s="69" t="s">
        <v>9486</v>
      </c>
      <c r="AA3501" s="72" t="s">
        <v>9476</v>
      </c>
      <c r="AB3501" s="73" t="s">
        <v>9486</v>
      </c>
      <c r="AC3501" s="74" t="s">
        <v>9562</v>
      </c>
      <c r="AD3501" s="73" t="s">
        <v>9578</v>
      </c>
      <c r="AE3501" s="74" t="s">
        <v>9579</v>
      </c>
    </row>
    <row r="3502" spans="1:31" ht="8.65" customHeight="1" x14ac:dyDescent="0.2">
      <c r="A3502" s="76">
        <v>3502</v>
      </c>
      <c r="B3502" s="67" t="str">
        <f>MID(C3502, FIND("Ifc.", C3502) + 4, 4) &amp; "_" &amp; TEXT(COUNTIF($C$2:C3502, C3502),"0000")</f>
        <v>Enti_0635</v>
      </c>
      <c r="C3502" s="25" t="s">
        <v>874</v>
      </c>
      <c r="D3502" s="69" t="s">
        <v>9453</v>
      </c>
      <c r="E3502" s="70" t="s">
        <v>9457</v>
      </c>
      <c r="F3502" s="26" t="s">
        <v>798</v>
      </c>
      <c r="G3502" s="15" t="s">
        <v>798</v>
      </c>
      <c r="H3502" s="14" t="s">
        <v>798</v>
      </c>
      <c r="I3502" s="15" t="s">
        <v>798</v>
      </c>
      <c r="J3502" s="12" t="s">
        <v>9438</v>
      </c>
      <c r="K3502" s="16" t="s">
        <v>3571</v>
      </c>
      <c r="L3502" s="12" t="s">
        <v>800</v>
      </c>
      <c r="M3502" s="16" t="s">
        <v>4535</v>
      </c>
      <c r="N3502" s="19" t="s">
        <v>798</v>
      </c>
      <c r="O3502" s="20" t="s">
        <v>798</v>
      </c>
      <c r="P3502" s="17" t="s">
        <v>802</v>
      </c>
      <c r="Q3502" s="21" t="s">
        <v>9123</v>
      </c>
      <c r="R3502" s="19" t="s">
        <v>798</v>
      </c>
      <c r="S3502" s="20" t="s">
        <v>798</v>
      </c>
      <c r="T3502" s="17" t="s">
        <v>798</v>
      </c>
      <c r="U3502" s="20" t="s">
        <v>798</v>
      </c>
      <c r="V3502" s="26" t="s">
        <v>798</v>
      </c>
      <c r="W3502" s="20" t="s">
        <v>798</v>
      </c>
      <c r="X3502" s="26" t="s">
        <v>798</v>
      </c>
      <c r="Y3502" s="20" t="s">
        <v>798</v>
      </c>
      <c r="Z3502" s="69" t="s">
        <v>9486</v>
      </c>
      <c r="AA3502" s="72" t="s">
        <v>9476</v>
      </c>
      <c r="AB3502" s="73" t="s">
        <v>9486</v>
      </c>
      <c r="AC3502" s="74" t="s">
        <v>9562</v>
      </c>
      <c r="AD3502" s="73" t="s">
        <v>9578</v>
      </c>
      <c r="AE3502" s="74" t="s">
        <v>9579</v>
      </c>
    </row>
    <row r="3503" spans="1:31" ht="8.65" customHeight="1" x14ac:dyDescent="0.2">
      <c r="A3503" s="76">
        <v>3503</v>
      </c>
      <c r="B3503" s="67" t="str">
        <f>MID(C3503, FIND("Ifc.", C3503) + 4, 4) &amp; "_" &amp; TEXT(COUNTIF($C$2:C3503, C3503),"0000")</f>
        <v>Enti_0636</v>
      </c>
      <c r="C3503" s="25" t="s">
        <v>874</v>
      </c>
      <c r="D3503" s="69" t="s">
        <v>9453</v>
      </c>
      <c r="E3503" s="70" t="s">
        <v>9457</v>
      </c>
      <c r="F3503" s="26" t="s">
        <v>798</v>
      </c>
      <c r="G3503" s="15" t="s">
        <v>798</v>
      </c>
      <c r="H3503" s="14" t="s">
        <v>798</v>
      </c>
      <c r="I3503" s="15" t="s">
        <v>798</v>
      </c>
      <c r="J3503" s="12" t="s">
        <v>9438</v>
      </c>
      <c r="K3503" s="16" t="s">
        <v>3572</v>
      </c>
      <c r="L3503" s="12" t="s">
        <v>800</v>
      </c>
      <c r="M3503" s="16" t="s">
        <v>4536</v>
      </c>
      <c r="N3503" s="19" t="s">
        <v>798</v>
      </c>
      <c r="O3503" s="20" t="s">
        <v>798</v>
      </c>
      <c r="P3503" s="17" t="s">
        <v>802</v>
      </c>
      <c r="Q3503" s="21" t="s">
        <v>9124</v>
      </c>
      <c r="R3503" s="19" t="s">
        <v>798</v>
      </c>
      <c r="S3503" s="20" t="s">
        <v>798</v>
      </c>
      <c r="T3503" s="17" t="s">
        <v>798</v>
      </c>
      <c r="U3503" s="20" t="s">
        <v>798</v>
      </c>
      <c r="V3503" s="26" t="s">
        <v>798</v>
      </c>
      <c r="W3503" s="20" t="s">
        <v>798</v>
      </c>
      <c r="X3503" s="26" t="s">
        <v>798</v>
      </c>
      <c r="Y3503" s="20" t="s">
        <v>798</v>
      </c>
      <c r="Z3503" s="69" t="s">
        <v>9486</v>
      </c>
      <c r="AA3503" s="72" t="s">
        <v>9476</v>
      </c>
      <c r="AB3503" s="73" t="s">
        <v>9486</v>
      </c>
      <c r="AC3503" s="74" t="s">
        <v>9562</v>
      </c>
      <c r="AD3503" s="73" t="s">
        <v>9578</v>
      </c>
      <c r="AE3503" s="74" t="s">
        <v>9579</v>
      </c>
    </row>
    <row r="3504" spans="1:31" ht="8.65" customHeight="1" x14ac:dyDescent="0.2">
      <c r="A3504" s="76">
        <v>3504</v>
      </c>
      <c r="B3504" s="67" t="str">
        <f>MID(C3504, FIND("Ifc.", C3504) + 4, 4) &amp; "_" &amp; TEXT(COUNTIF($C$2:C3504, C3504),"0000")</f>
        <v>Enti_0637</v>
      </c>
      <c r="C3504" s="25" t="s">
        <v>874</v>
      </c>
      <c r="D3504" s="69" t="s">
        <v>9453</v>
      </c>
      <c r="E3504" s="70" t="s">
        <v>9457</v>
      </c>
      <c r="F3504" s="26" t="s">
        <v>798</v>
      </c>
      <c r="G3504" s="15" t="s">
        <v>798</v>
      </c>
      <c r="H3504" s="14" t="s">
        <v>798</v>
      </c>
      <c r="I3504" s="15" t="s">
        <v>798</v>
      </c>
      <c r="J3504" s="12" t="s">
        <v>9438</v>
      </c>
      <c r="K3504" s="16" t="s">
        <v>3573</v>
      </c>
      <c r="L3504" s="12" t="s">
        <v>800</v>
      </c>
      <c r="M3504" s="16" t="s">
        <v>4537</v>
      </c>
      <c r="N3504" s="19" t="s">
        <v>798</v>
      </c>
      <c r="O3504" s="20" t="s">
        <v>798</v>
      </c>
      <c r="P3504" s="17" t="s">
        <v>802</v>
      </c>
      <c r="Q3504" s="21" t="s">
        <v>9125</v>
      </c>
      <c r="R3504" s="19" t="s">
        <v>798</v>
      </c>
      <c r="S3504" s="20" t="s">
        <v>798</v>
      </c>
      <c r="T3504" s="17" t="s">
        <v>798</v>
      </c>
      <c r="U3504" s="20" t="s">
        <v>798</v>
      </c>
      <c r="V3504" s="26" t="s">
        <v>798</v>
      </c>
      <c r="W3504" s="20" t="s">
        <v>798</v>
      </c>
      <c r="X3504" s="26" t="s">
        <v>798</v>
      </c>
      <c r="Y3504" s="20" t="s">
        <v>798</v>
      </c>
      <c r="Z3504" s="69" t="s">
        <v>9486</v>
      </c>
      <c r="AA3504" s="72" t="s">
        <v>9476</v>
      </c>
      <c r="AB3504" s="73" t="s">
        <v>9486</v>
      </c>
      <c r="AC3504" s="74" t="s">
        <v>9562</v>
      </c>
      <c r="AD3504" s="73" t="s">
        <v>9578</v>
      </c>
      <c r="AE3504" s="74" t="s">
        <v>9579</v>
      </c>
    </row>
    <row r="3505" spans="1:31" ht="8.65" customHeight="1" x14ac:dyDescent="0.2">
      <c r="A3505" s="76">
        <v>3505</v>
      </c>
      <c r="B3505" s="67" t="str">
        <f>MID(C3505, FIND("Ifc.", C3505) + 4, 4) &amp; "_" &amp; TEXT(COUNTIF($C$2:C3505, C3505),"0000")</f>
        <v>Enti_0638</v>
      </c>
      <c r="C3505" s="25" t="s">
        <v>874</v>
      </c>
      <c r="D3505" s="69" t="s">
        <v>9453</v>
      </c>
      <c r="E3505" s="70" t="s">
        <v>9457</v>
      </c>
      <c r="F3505" s="26" t="s">
        <v>798</v>
      </c>
      <c r="G3505" s="15" t="s">
        <v>798</v>
      </c>
      <c r="H3505" s="14" t="s">
        <v>798</v>
      </c>
      <c r="I3505" s="15" t="s">
        <v>798</v>
      </c>
      <c r="J3505" s="12" t="s">
        <v>9438</v>
      </c>
      <c r="K3505" s="16" t="s">
        <v>3574</v>
      </c>
      <c r="L3505" s="12" t="s">
        <v>800</v>
      </c>
      <c r="M3505" s="16" t="s">
        <v>4538</v>
      </c>
      <c r="N3505" s="19" t="s">
        <v>798</v>
      </c>
      <c r="O3505" s="20" t="s">
        <v>798</v>
      </c>
      <c r="P3505" s="17" t="s">
        <v>802</v>
      </c>
      <c r="Q3505" s="21" t="s">
        <v>9126</v>
      </c>
      <c r="R3505" s="19" t="s">
        <v>798</v>
      </c>
      <c r="S3505" s="20" t="s">
        <v>798</v>
      </c>
      <c r="T3505" s="17" t="s">
        <v>798</v>
      </c>
      <c r="U3505" s="20" t="s">
        <v>798</v>
      </c>
      <c r="V3505" s="26" t="s">
        <v>798</v>
      </c>
      <c r="W3505" s="20" t="s">
        <v>798</v>
      </c>
      <c r="X3505" s="26" t="s">
        <v>798</v>
      </c>
      <c r="Y3505" s="20" t="s">
        <v>798</v>
      </c>
      <c r="Z3505" s="69" t="s">
        <v>9486</v>
      </c>
      <c r="AA3505" s="72" t="s">
        <v>9476</v>
      </c>
      <c r="AB3505" s="73" t="s">
        <v>9486</v>
      </c>
      <c r="AC3505" s="74" t="s">
        <v>9562</v>
      </c>
      <c r="AD3505" s="73" t="s">
        <v>9578</v>
      </c>
      <c r="AE3505" s="74" t="s">
        <v>9579</v>
      </c>
    </row>
    <row r="3506" spans="1:31" ht="8.65" customHeight="1" x14ac:dyDescent="0.2">
      <c r="A3506" s="76">
        <v>3506</v>
      </c>
      <c r="B3506" s="67" t="str">
        <f>MID(C3506, FIND("Ifc.", C3506) + 4, 4) &amp; "_" &amp; TEXT(COUNTIF($C$2:C3506, C3506),"0000")</f>
        <v>Enti_0639</v>
      </c>
      <c r="C3506" s="25" t="s">
        <v>874</v>
      </c>
      <c r="D3506" s="69" t="s">
        <v>9453</v>
      </c>
      <c r="E3506" s="70" t="s">
        <v>9457</v>
      </c>
      <c r="F3506" s="26" t="s">
        <v>798</v>
      </c>
      <c r="G3506" s="15" t="s">
        <v>798</v>
      </c>
      <c r="H3506" s="14" t="s">
        <v>798</v>
      </c>
      <c r="I3506" s="15" t="s">
        <v>798</v>
      </c>
      <c r="J3506" s="12" t="s">
        <v>9438</v>
      </c>
      <c r="K3506" s="16" t="s">
        <v>3575</v>
      </c>
      <c r="L3506" s="12" t="s">
        <v>800</v>
      </c>
      <c r="M3506" s="16" t="s">
        <v>4539</v>
      </c>
      <c r="N3506" s="19" t="s">
        <v>798</v>
      </c>
      <c r="O3506" s="20" t="s">
        <v>798</v>
      </c>
      <c r="P3506" s="17" t="s">
        <v>802</v>
      </c>
      <c r="Q3506" s="21" t="s">
        <v>9127</v>
      </c>
      <c r="R3506" s="19" t="s">
        <v>798</v>
      </c>
      <c r="S3506" s="20" t="s">
        <v>798</v>
      </c>
      <c r="T3506" s="17" t="s">
        <v>798</v>
      </c>
      <c r="U3506" s="20" t="s">
        <v>798</v>
      </c>
      <c r="V3506" s="26" t="s">
        <v>798</v>
      </c>
      <c r="W3506" s="20" t="s">
        <v>798</v>
      </c>
      <c r="X3506" s="26" t="s">
        <v>798</v>
      </c>
      <c r="Y3506" s="20" t="s">
        <v>798</v>
      </c>
      <c r="Z3506" s="69" t="s">
        <v>9486</v>
      </c>
      <c r="AA3506" s="72" t="s">
        <v>9476</v>
      </c>
      <c r="AB3506" s="73" t="s">
        <v>9486</v>
      </c>
      <c r="AC3506" s="74" t="s">
        <v>9562</v>
      </c>
      <c r="AD3506" s="73" t="s">
        <v>9578</v>
      </c>
      <c r="AE3506" s="74" t="s">
        <v>9579</v>
      </c>
    </row>
    <row r="3507" spans="1:31" ht="8.65" customHeight="1" x14ac:dyDescent="0.2">
      <c r="A3507" s="76">
        <v>3507</v>
      </c>
      <c r="B3507" s="67" t="str">
        <f>MID(C3507, FIND("Ifc.", C3507) + 4, 4) &amp; "_" &amp; TEXT(COUNTIF($C$2:C3507, C3507),"0000")</f>
        <v>Enti_0640</v>
      </c>
      <c r="C3507" s="25" t="s">
        <v>874</v>
      </c>
      <c r="D3507" s="69" t="s">
        <v>9453</v>
      </c>
      <c r="E3507" s="70" t="s">
        <v>9457</v>
      </c>
      <c r="F3507" s="26" t="s">
        <v>798</v>
      </c>
      <c r="G3507" s="15" t="s">
        <v>798</v>
      </c>
      <c r="H3507" s="14" t="s">
        <v>798</v>
      </c>
      <c r="I3507" s="15" t="s">
        <v>798</v>
      </c>
      <c r="J3507" s="12" t="s">
        <v>9438</v>
      </c>
      <c r="K3507" s="16" t="s">
        <v>3576</v>
      </c>
      <c r="L3507" s="12" t="s">
        <v>800</v>
      </c>
      <c r="M3507" s="16" t="s">
        <v>4540</v>
      </c>
      <c r="N3507" s="19" t="s">
        <v>798</v>
      </c>
      <c r="O3507" s="20" t="s">
        <v>798</v>
      </c>
      <c r="P3507" s="17" t="s">
        <v>802</v>
      </c>
      <c r="Q3507" s="21" t="s">
        <v>9128</v>
      </c>
      <c r="R3507" s="19" t="s">
        <v>798</v>
      </c>
      <c r="S3507" s="20" t="s">
        <v>798</v>
      </c>
      <c r="T3507" s="17" t="s">
        <v>798</v>
      </c>
      <c r="U3507" s="20" t="s">
        <v>798</v>
      </c>
      <c r="V3507" s="26" t="s">
        <v>798</v>
      </c>
      <c r="W3507" s="20" t="s">
        <v>798</v>
      </c>
      <c r="X3507" s="26" t="s">
        <v>798</v>
      </c>
      <c r="Y3507" s="20" t="s">
        <v>798</v>
      </c>
      <c r="Z3507" s="69" t="s">
        <v>9486</v>
      </c>
      <c r="AA3507" s="72" t="s">
        <v>9476</v>
      </c>
      <c r="AB3507" s="73" t="s">
        <v>9486</v>
      </c>
      <c r="AC3507" s="74" t="s">
        <v>9562</v>
      </c>
      <c r="AD3507" s="73" t="s">
        <v>9578</v>
      </c>
      <c r="AE3507" s="74" t="s">
        <v>9579</v>
      </c>
    </row>
    <row r="3508" spans="1:31" ht="8.65" customHeight="1" x14ac:dyDescent="0.2">
      <c r="A3508" s="76">
        <v>3508</v>
      </c>
      <c r="B3508" s="67" t="str">
        <f>MID(C3508, FIND("Ifc.", C3508) + 4, 4) &amp; "_" &amp; TEXT(COUNTIF($C$2:C3508, C3508),"0000")</f>
        <v>Enti_0641</v>
      </c>
      <c r="C3508" s="25" t="s">
        <v>874</v>
      </c>
      <c r="D3508" s="69" t="s">
        <v>9453</v>
      </c>
      <c r="E3508" s="70" t="s">
        <v>9457</v>
      </c>
      <c r="F3508" s="26" t="s">
        <v>798</v>
      </c>
      <c r="G3508" s="15" t="s">
        <v>798</v>
      </c>
      <c r="H3508" s="14" t="s">
        <v>798</v>
      </c>
      <c r="I3508" s="15" t="s">
        <v>798</v>
      </c>
      <c r="J3508" s="12" t="s">
        <v>9438</v>
      </c>
      <c r="K3508" s="16" t="s">
        <v>3577</v>
      </c>
      <c r="L3508" s="12" t="s">
        <v>800</v>
      </c>
      <c r="M3508" s="16" t="s">
        <v>4541</v>
      </c>
      <c r="N3508" s="19" t="s">
        <v>798</v>
      </c>
      <c r="O3508" s="20" t="s">
        <v>798</v>
      </c>
      <c r="P3508" s="17" t="s">
        <v>802</v>
      </c>
      <c r="Q3508" s="21" t="s">
        <v>9129</v>
      </c>
      <c r="R3508" s="19" t="s">
        <v>798</v>
      </c>
      <c r="S3508" s="20" t="s">
        <v>798</v>
      </c>
      <c r="T3508" s="17" t="s">
        <v>798</v>
      </c>
      <c r="U3508" s="20" t="s">
        <v>798</v>
      </c>
      <c r="V3508" s="26" t="s">
        <v>798</v>
      </c>
      <c r="W3508" s="20" t="s">
        <v>798</v>
      </c>
      <c r="X3508" s="26" t="s">
        <v>798</v>
      </c>
      <c r="Y3508" s="20" t="s">
        <v>798</v>
      </c>
      <c r="Z3508" s="69" t="s">
        <v>9486</v>
      </c>
      <c r="AA3508" s="72" t="s">
        <v>9476</v>
      </c>
      <c r="AB3508" s="73" t="s">
        <v>9486</v>
      </c>
      <c r="AC3508" s="74" t="s">
        <v>9562</v>
      </c>
      <c r="AD3508" s="73" t="s">
        <v>9578</v>
      </c>
      <c r="AE3508" s="74" t="s">
        <v>9579</v>
      </c>
    </row>
    <row r="3509" spans="1:31" ht="8.65" customHeight="1" x14ac:dyDescent="0.2">
      <c r="A3509" s="76">
        <v>3509</v>
      </c>
      <c r="B3509" s="67" t="str">
        <f>MID(C3509, FIND("Ifc.", C3509) + 4, 4) &amp; "_" &amp; TEXT(COUNTIF($C$2:C3509, C3509),"0000")</f>
        <v>Enti_0642</v>
      </c>
      <c r="C3509" s="25" t="s">
        <v>874</v>
      </c>
      <c r="D3509" s="69" t="s">
        <v>9453</v>
      </c>
      <c r="E3509" s="70" t="s">
        <v>9457</v>
      </c>
      <c r="F3509" s="26" t="s">
        <v>798</v>
      </c>
      <c r="G3509" s="15" t="s">
        <v>798</v>
      </c>
      <c r="H3509" s="14" t="s">
        <v>798</v>
      </c>
      <c r="I3509" s="15" t="s">
        <v>798</v>
      </c>
      <c r="J3509" s="12" t="s">
        <v>9438</v>
      </c>
      <c r="K3509" s="16" t="s">
        <v>3578</v>
      </c>
      <c r="L3509" s="12" t="s">
        <v>800</v>
      </c>
      <c r="M3509" s="16" t="s">
        <v>4542</v>
      </c>
      <c r="N3509" s="19" t="s">
        <v>798</v>
      </c>
      <c r="O3509" s="20" t="s">
        <v>798</v>
      </c>
      <c r="P3509" s="17" t="s">
        <v>802</v>
      </c>
      <c r="Q3509" s="21" t="s">
        <v>9130</v>
      </c>
      <c r="R3509" s="19" t="s">
        <v>798</v>
      </c>
      <c r="S3509" s="20" t="s">
        <v>798</v>
      </c>
      <c r="T3509" s="17" t="s">
        <v>798</v>
      </c>
      <c r="U3509" s="20" t="s">
        <v>798</v>
      </c>
      <c r="V3509" s="26" t="s">
        <v>798</v>
      </c>
      <c r="W3509" s="20" t="s">
        <v>798</v>
      </c>
      <c r="X3509" s="26" t="s">
        <v>798</v>
      </c>
      <c r="Y3509" s="20" t="s">
        <v>798</v>
      </c>
      <c r="Z3509" s="69" t="s">
        <v>9486</v>
      </c>
      <c r="AA3509" s="72" t="s">
        <v>9476</v>
      </c>
      <c r="AB3509" s="73" t="s">
        <v>9486</v>
      </c>
      <c r="AC3509" s="74" t="s">
        <v>9562</v>
      </c>
      <c r="AD3509" s="73" t="s">
        <v>9578</v>
      </c>
      <c r="AE3509" s="74" t="s">
        <v>9579</v>
      </c>
    </row>
    <row r="3510" spans="1:31" ht="8.65" customHeight="1" x14ac:dyDescent="0.2">
      <c r="A3510" s="76">
        <v>3510</v>
      </c>
      <c r="B3510" s="67" t="str">
        <f>MID(C3510, FIND("Ifc.", C3510) + 4, 4) &amp; "_" &amp; TEXT(COUNTIF($C$2:C3510, C3510),"0000")</f>
        <v>Enti_0643</v>
      </c>
      <c r="C3510" s="25" t="s">
        <v>874</v>
      </c>
      <c r="D3510" s="69" t="s">
        <v>9453</v>
      </c>
      <c r="E3510" s="70" t="s">
        <v>9457</v>
      </c>
      <c r="F3510" s="26" t="s">
        <v>798</v>
      </c>
      <c r="G3510" s="15" t="s">
        <v>798</v>
      </c>
      <c r="H3510" s="14" t="s">
        <v>798</v>
      </c>
      <c r="I3510" s="15" t="s">
        <v>798</v>
      </c>
      <c r="J3510" s="12" t="s">
        <v>9438</v>
      </c>
      <c r="K3510" s="16" t="s">
        <v>3579</v>
      </c>
      <c r="L3510" s="12" t="s">
        <v>800</v>
      </c>
      <c r="M3510" s="16" t="s">
        <v>4543</v>
      </c>
      <c r="N3510" s="19" t="s">
        <v>798</v>
      </c>
      <c r="O3510" s="20" t="s">
        <v>798</v>
      </c>
      <c r="P3510" s="17" t="s">
        <v>802</v>
      </c>
      <c r="Q3510" s="21" t="s">
        <v>9131</v>
      </c>
      <c r="R3510" s="19" t="s">
        <v>798</v>
      </c>
      <c r="S3510" s="20" t="s">
        <v>798</v>
      </c>
      <c r="T3510" s="17" t="s">
        <v>798</v>
      </c>
      <c r="U3510" s="20" t="s">
        <v>798</v>
      </c>
      <c r="V3510" s="26" t="s">
        <v>798</v>
      </c>
      <c r="W3510" s="20" t="s">
        <v>798</v>
      </c>
      <c r="X3510" s="26" t="s">
        <v>798</v>
      </c>
      <c r="Y3510" s="20" t="s">
        <v>798</v>
      </c>
      <c r="Z3510" s="69" t="s">
        <v>9486</v>
      </c>
      <c r="AA3510" s="72" t="s">
        <v>9476</v>
      </c>
      <c r="AB3510" s="73" t="s">
        <v>9486</v>
      </c>
      <c r="AC3510" s="74" t="s">
        <v>9562</v>
      </c>
      <c r="AD3510" s="73" t="s">
        <v>9578</v>
      </c>
      <c r="AE3510" s="74" t="s">
        <v>9579</v>
      </c>
    </row>
    <row r="3511" spans="1:31" ht="8.65" customHeight="1" x14ac:dyDescent="0.2">
      <c r="A3511" s="76">
        <v>3511</v>
      </c>
      <c r="B3511" s="67" t="str">
        <f>MID(C3511, FIND("Ifc.", C3511) + 4, 4) &amp; "_" &amp; TEXT(COUNTIF($C$2:C3511, C3511),"0000")</f>
        <v>Enti_0644</v>
      </c>
      <c r="C3511" s="25" t="s">
        <v>874</v>
      </c>
      <c r="D3511" s="69" t="s">
        <v>9453</v>
      </c>
      <c r="E3511" s="70" t="s">
        <v>9457</v>
      </c>
      <c r="F3511" s="26" t="s">
        <v>798</v>
      </c>
      <c r="G3511" s="15" t="s">
        <v>798</v>
      </c>
      <c r="H3511" s="14" t="s">
        <v>798</v>
      </c>
      <c r="I3511" s="15" t="s">
        <v>798</v>
      </c>
      <c r="J3511" s="12" t="s">
        <v>9438</v>
      </c>
      <c r="K3511" s="16" t="s">
        <v>3580</v>
      </c>
      <c r="L3511" s="12" t="s">
        <v>800</v>
      </c>
      <c r="M3511" s="16" t="s">
        <v>4543</v>
      </c>
      <c r="N3511" s="19" t="s">
        <v>798</v>
      </c>
      <c r="O3511" s="20" t="s">
        <v>798</v>
      </c>
      <c r="P3511" s="17" t="s">
        <v>802</v>
      </c>
      <c r="Q3511" s="21" t="s">
        <v>9132</v>
      </c>
      <c r="R3511" s="19" t="s">
        <v>798</v>
      </c>
      <c r="S3511" s="20" t="s">
        <v>798</v>
      </c>
      <c r="T3511" s="17" t="s">
        <v>798</v>
      </c>
      <c r="U3511" s="20" t="s">
        <v>798</v>
      </c>
      <c r="V3511" s="26" t="s">
        <v>798</v>
      </c>
      <c r="W3511" s="20" t="s">
        <v>798</v>
      </c>
      <c r="X3511" s="26" t="s">
        <v>798</v>
      </c>
      <c r="Y3511" s="20" t="s">
        <v>798</v>
      </c>
      <c r="Z3511" s="69" t="s">
        <v>9486</v>
      </c>
      <c r="AA3511" s="72" t="s">
        <v>9476</v>
      </c>
      <c r="AB3511" s="73" t="s">
        <v>9486</v>
      </c>
      <c r="AC3511" s="74" t="s">
        <v>9562</v>
      </c>
      <c r="AD3511" s="73" t="s">
        <v>9578</v>
      </c>
      <c r="AE3511" s="74" t="s">
        <v>9579</v>
      </c>
    </row>
    <row r="3512" spans="1:31" ht="8.65" customHeight="1" x14ac:dyDescent="0.2">
      <c r="A3512" s="76">
        <v>3512</v>
      </c>
      <c r="B3512" s="67" t="str">
        <f>MID(C3512, FIND("Ifc.", C3512) + 4, 4) &amp; "_" &amp; TEXT(COUNTIF($C$2:C3512, C3512),"0000")</f>
        <v>Enti_0645</v>
      </c>
      <c r="C3512" s="25" t="s">
        <v>874</v>
      </c>
      <c r="D3512" s="69" t="s">
        <v>9453</v>
      </c>
      <c r="E3512" s="70" t="s">
        <v>9457</v>
      </c>
      <c r="F3512" s="26" t="s">
        <v>798</v>
      </c>
      <c r="G3512" s="15" t="s">
        <v>798</v>
      </c>
      <c r="H3512" s="14" t="s">
        <v>798</v>
      </c>
      <c r="I3512" s="15" t="s">
        <v>798</v>
      </c>
      <c r="J3512" s="12" t="s">
        <v>9438</v>
      </c>
      <c r="K3512" s="16" t="s">
        <v>3581</v>
      </c>
      <c r="L3512" s="12" t="s">
        <v>800</v>
      </c>
      <c r="M3512" s="16" t="s">
        <v>4544</v>
      </c>
      <c r="N3512" s="19" t="s">
        <v>798</v>
      </c>
      <c r="O3512" s="20" t="s">
        <v>798</v>
      </c>
      <c r="P3512" s="17" t="s">
        <v>802</v>
      </c>
      <c r="Q3512" s="21" t="s">
        <v>9133</v>
      </c>
      <c r="R3512" s="19" t="s">
        <v>798</v>
      </c>
      <c r="S3512" s="20" t="s">
        <v>798</v>
      </c>
      <c r="T3512" s="17" t="s">
        <v>798</v>
      </c>
      <c r="U3512" s="20" t="s">
        <v>798</v>
      </c>
      <c r="V3512" s="26" t="s">
        <v>798</v>
      </c>
      <c r="W3512" s="20" t="s">
        <v>798</v>
      </c>
      <c r="X3512" s="26" t="s">
        <v>798</v>
      </c>
      <c r="Y3512" s="20" t="s">
        <v>798</v>
      </c>
      <c r="Z3512" s="69" t="s">
        <v>9486</v>
      </c>
      <c r="AA3512" s="72" t="s">
        <v>9500</v>
      </c>
      <c r="AB3512" s="73" t="s">
        <v>9486</v>
      </c>
      <c r="AC3512" s="74" t="s">
        <v>9562</v>
      </c>
      <c r="AD3512" s="73" t="s">
        <v>9578</v>
      </c>
      <c r="AE3512" s="74" t="s">
        <v>9579</v>
      </c>
    </row>
    <row r="3513" spans="1:31" ht="8.65" customHeight="1" x14ac:dyDescent="0.2">
      <c r="A3513" s="76">
        <v>3513</v>
      </c>
      <c r="B3513" s="67" t="str">
        <f>MID(C3513, FIND("Ifc.", C3513) + 4, 4) &amp; "_" &amp; TEXT(COUNTIF($C$2:C3513, C3513),"0000")</f>
        <v>Enti_0646</v>
      </c>
      <c r="C3513" s="25" t="s">
        <v>874</v>
      </c>
      <c r="D3513" s="69" t="s">
        <v>9453</v>
      </c>
      <c r="E3513" s="70" t="s">
        <v>9457</v>
      </c>
      <c r="F3513" s="26" t="s">
        <v>798</v>
      </c>
      <c r="G3513" s="15" t="s">
        <v>798</v>
      </c>
      <c r="H3513" s="14" t="s">
        <v>798</v>
      </c>
      <c r="I3513" s="15" t="s">
        <v>798</v>
      </c>
      <c r="J3513" s="12" t="s">
        <v>9438</v>
      </c>
      <c r="K3513" s="16" t="s">
        <v>3582</v>
      </c>
      <c r="L3513" s="12" t="s">
        <v>800</v>
      </c>
      <c r="M3513" s="16" t="s">
        <v>4545</v>
      </c>
      <c r="N3513" s="19" t="s">
        <v>798</v>
      </c>
      <c r="O3513" s="20" t="s">
        <v>798</v>
      </c>
      <c r="P3513" s="17" t="s">
        <v>802</v>
      </c>
      <c r="Q3513" s="21" t="s">
        <v>9134</v>
      </c>
      <c r="R3513" s="19" t="s">
        <v>798</v>
      </c>
      <c r="S3513" s="20" t="s">
        <v>798</v>
      </c>
      <c r="T3513" s="17" t="s">
        <v>798</v>
      </c>
      <c r="U3513" s="20" t="s">
        <v>798</v>
      </c>
      <c r="V3513" s="26" t="s">
        <v>798</v>
      </c>
      <c r="W3513" s="20" t="s">
        <v>798</v>
      </c>
      <c r="X3513" s="26" t="s">
        <v>798</v>
      </c>
      <c r="Y3513" s="20" t="s">
        <v>798</v>
      </c>
      <c r="Z3513" s="69" t="s">
        <v>9486</v>
      </c>
      <c r="AA3513" s="72" t="s">
        <v>9476</v>
      </c>
      <c r="AB3513" s="73" t="s">
        <v>9486</v>
      </c>
      <c r="AC3513" s="74" t="s">
        <v>9562</v>
      </c>
      <c r="AD3513" s="73" t="s">
        <v>9578</v>
      </c>
      <c r="AE3513" s="74" t="s">
        <v>9579</v>
      </c>
    </row>
    <row r="3514" spans="1:31" ht="8.65" customHeight="1" x14ac:dyDescent="0.2">
      <c r="A3514" s="76">
        <v>3514</v>
      </c>
      <c r="B3514" s="67" t="str">
        <f>MID(C3514, FIND("Ifc.", C3514) + 4, 4) &amp; "_" &amp; TEXT(COUNTIF($C$2:C3514, C3514),"0000")</f>
        <v>Enti_0647</v>
      </c>
      <c r="C3514" s="25" t="s">
        <v>874</v>
      </c>
      <c r="D3514" s="69" t="s">
        <v>9453</v>
      </c>
      <c r="E3514" s="70" t="s">
        <v>9457</v>
      </c>
      <c r="F3514" s="26" t="s">
        <v>798</v>
      </c>
      <c r="G3514" s="15" t="s">
        <v>798</v>
      </c>
      <c r="H3514" s="14" t="s">
        <v>798</v>
      </c>
      <c r="I3514" s="15" t="s">
        <v>798</v>
      </c>
      <c r="J3514" s="12" t="s">
        <v>9438</v>
      </c>
      <c r="K3514" s="16" t="s">
        <v>3583</v>
      </c>
      <c r="L3514" s="12" t="s">
        <v>800</v>
      </c>
      <c r="M3514" s="16" t="s">
        <v>4546</v>
      </c>
      <c r="N3514" s="19" t="s">
        <v>798</v>
      </c>
      <c r="O3514" s="20" t="s">
        <v>798</v>
      </c>
      <c r="P3514" s="17" t="s">
        <v>802</v>
      </c>
      <c r="Q3514" s="21" t="s">
        <v>9135</v>
      </c>
      <c r="R3514" s="19" t="s">
        <v>798</v>
      </c>
      <c r="S3514" s="20" t="s">
        <v>798</v>
      </c>
      <c r="T3514" s="17" t="s">
        <v>798</v>
      </c>
      <c r="U3514" s="20" t="s">
        <v>798</v>
      </c>
      <c r="V3514" s="26" t="s">
        <v>798</v>
      </c>
      <c r="W3514" s="20" t="s">
        <v>798</v>
      </c>
      <c r="X3514" s="26" t="s">
        <v>798</v>
      </c>
      <c r="Y3514" s="20" t="s">
        <v>798</v>
      </c>
      <c r="Z3514" s="69" t="s">
        <v>9486</v>
      </c>
      <c r="AA3514" s="72" t="s">
        <v>9476</v>
      </c>
      <c r="AB3514" s="73" t="s">
        <v>9486</v>
      </c>
      <c r="AC3514" s="74" t="s">
        <v>9562</v>
      </c>
      <c r="AD3514" s="73" t="s">
        <v>9578</v>
      </c>
      <c r="AE3514" s="74" t="s">
        <v>9579</v>
      </c>
    </row>
    <row r="3515" spans="1:31" ht="8.65" customHeight="1" x14ac:dyDescent="0.2">
      <c r="A3515" s="76">
        <v>3515</v>
      </c>
      <c r="B3515" s="67" t="str">
        <f>MID(C3515, FIND("Ifc.", C3515) + 4, 4) &amp; "_" &amp; TEXT(COUNTIF($C$2:C3515, C3515),"0000")</f>
        <v>Enti_0648</v>
      </c>
      <c r="C3515" s="25" t="s">
        <v>874</v>
      </c>
      <c r="D3515" s="69" t="s">
        <v>9453</v>
      </c>
      <c r="E3515" s="70" t="s">
        <v>9457</v>
      </c>
      <c r="F3515" s="26" t="s">
        <v>798</v>
      </c>
      <c r="G3515" s="15" t="s">
        <v>798</v>
      </c>
      <c r="H3515" s="14" t="s">
        <v>798</v>
      </c>
      <c r="I3515" s="15" t="s">
        <v>798</v>
      </c>
      <c r="J3515" s="12" t="s">
        <v>9438</v>
      </c>
      <c r="K3515" s="16" t="s">
        <v>3584</v>
      </c>
      <c r="L3515" s="12" t="s">
        <v>800</v>
      </c>
      <c r="M3515" s="16" t="s">
        <v>4547</v>
      </c>
      <c r="N3515" s="19" t="s">
        <v>798</v>
      </c>
      <c r="O3515" s="20" t="s">
        <v>798</v>
      </c>
      <c r="P3515" s="17" t="s">
        <v>802</v>
      </c>
      <c r="Q3515" s="21" t="s">
        <v>9136</v>
      </c>
      <c r="R3515" s="19" t="s">
        <v>798</v>
      </c>
      <c r="S3515" s="20" t="s">
        <v>798</v>
      </c>
      <c r="T3515" s="17" t="s">
        <v>798</v>
      </c>
      <c r="U3515" s="20" t="s">
        <v>798</v>
      </c>
      <c r="V3515" s="26" t="s">
        <v>798</v>
      </c>
      <c r="W3515" s="20" t="s">
        <v>798</v>
      </c>
      <c r="X3515" s="26" t="s">
        <v>798</v>
      </c>
      <c r="Y3515" s="20" t="s">
        <v>798</v>
      </c>
      <c r="Z3515" s="69" t="s">
        <v>9486</v>
      </c>
      <c r="AA3515" s="72" t="s">
        <v>9476</v>
      </c>
      <c r="AB3515" s="73" t="s">
        <v>9486</v>
      </c>
      <c r="AC3515" s="74" t="s">
        <v>9562</v>
      </c>
      <c r="AD3515" s="73" t="s">
        <v>9578</v>
      </c>
      <c r="AE3515" s="74" t="s">
        <v>9579</v>
      </c>
    </row>
    <row r="3516" spans="1:31" ht="8.65" customHeight="1" x14ac:dyDescent="0.2">
      <c r="A3516" s="76">
        <v>3516</v>
      </c>
      <c r="B3516" s="67" t="str">
        <f>MID(C3516, FIND("Ifc.", C3516) + 4, 4) &amp; "_" &amp; TEXT(COUNTIF($C$2:C3516, C3516),"0000")</f>
        <v>Enti_0649</v>
      </c>
      <c r="C3516" s="25" t="s">
        <v>874</v>
      </c>
      <c r="D3516" s="69" t="s">
        <v>9453</v>
      </c>
      <c r="E3516" s="70" t="s">
        <v>9457</v>
      </c>
      <c r="F3516" s="26" t="s">
        <v>798</v>
      </c>
      <c r="G3516" s="15" t="s">
        <v>798</v>
      </c>
      <c r="H3516" s="14" t="s">
        <v>798</v>
      </c>
      <c r="I3516" s="15" t="s">
        <v>798</v>
      </c>
      <c r="J3516" s="12" t="s">
        <v>9438</v>
      </c>
      <c r="K3516" s="16" t="s">
        <v>3585</v>
      </c>
      <c r="L3516" s="12" t="s">
        <v>800</v>
      </c>
      <c r="M3516" s="16" t="s">
        <v>4548</v>
      </c>
      <c r="N3516" s="19" t="s">
        <v>798</v>
      </c>
      <c r="O3516" s="20" t="s">
        <v>798</v>
      </c>
      <c r="P3516" s="17" t="s">
        <v>802</v>
      </c>
      <c r="Q3516" s="21" t="s">
        <v>9137</v>
      </c>
      <c r="R3516" s="19" t="s">
        <v>798</v>
      </c>
      <c r="S3516" s="20" t="s">
        <v>798</v>
      </c>
      <c r="T3516" s="17" t="s">
        <v>798</v>
      </c>
      <c r="U3516" s="20" t="s">
        <v>798</v>
      </c>
      <c r="V3516" s="26" t="s">
        <v>798</v>
      </c>
      <c r="W3516" s="20" t="s">
        <v>798</v>
      </c>
      <c r="X3516" s="26" t="s">
        <v>798</v>
      </c>
      <c r="Y3516" s="20" t="s">
        <v>798</v>
      </c>
      <c r="Z3516" s="69" t="s">
        <v>9486</v>
      </c>
      <c r="AA3516" s="72" t="s">
        <v>9476</v>
      </c>
      <c r="AB3516" s="73" t="s">
        <v>9486</v>
      </c>
      <c r="AC3516" s="74" t="s">
        <v>9562</v>
      </c>
      <c r="AD3516" s="73" t="s">
        <v>9578</v>
      </c>
      <c r="AE3516" s="74" t="s">
        <v>9579</v>
      </c>
    </row>
    <row r="3517" spans="1:31" ht="8.65" customHeight="1" x14ac:dyDescent="0.2">
      <c r="A3517" s="76">
        <v>3517</v>
      </c>
      <c r="B3517" s="67" t="str">
        <f>MID(C3517, FIND("Ifc.", C3517) + 4, 4) &amp; "_" &amp; TEXT(COUNTIF($C$2:C3517, C3517),"0000")</f>
        <v>Enti_0650</v>
      </c>
      <c r="C3517" s="25" t="s">
        <v>874</v>
      </c>
      <c r="D3517" s="69" t="s">
        <v>9453</v>
      </c>
      <c r="E3517" s="70" t="s">
        <v>9457</v>
      </c>
      <c r="F3517" s="26" t="s">
        <v>798</v>
      </c>
      <c r="G3517" s="15" t="s">
        <v>798</v>
      </c>
      <c r="H3517" s="14" t="s">
        <v>798</v>
      </c>
      <c r="I3517" s="15" t="s">
        <v>798</v>
      </c>
      <c r="J3517" s="12" t="s">
        <v>9438</v>
      </c>
      <c r="K3517" s="16" t="s">
        <v>3586</v>
      </c>
      <c r="L3517" s="12" t="s">
        <v>800</v>
      </c>
      <c r="M3517" s="16" t="s">
        <v>4549</v>
      </c>
      <c r="N3517" s="19" t="s">
        <v>798</v>
      </c>
      <c r="O3517" s="20" t="s">
        <v>798</v>
      </c>
      <c r="P3517" s="17" t="s">
        <v>802</v>
      </c>
      <c r="Q3517" s="21" t="s">
        <v>9138</v>
      </c>
      <c r="R3517" s="19" t="s">
        <v>798</v>
      </c>
      <c r="S3517" s="20" t="s">
        <v>798</v>
      </c>
      <c r="T3517" s="17" t="s">
        <v>798</v>
      </c>
      <c r="U3517" s="20" t="s">
        <v>798</v>
      </c>
      <c r="V3517" s="26" t="s">
        <v>798</v>
      </c>
      <c r="W3517" s="20" t="s">
        <v>798</v>
      </c>
      <c r="X3517" s="26" t="s">
        <v>798</v>
      </c>
      <c r="Y3517" s="20" t="s">
        <v>798</v>
      </c>
      <c r="Z3517" s="69" t="s">
        <v>9486</v>
      </c>
      <c r="AA3517" s="72" t="s">
        <v>9476</v>
      </c>
      <c r="AB3517" s="73" t="s">
        <v>9486</v>
      </c>
      <c r="AC3517" s="74" t="s">
        <v>9562</v>
      </c>
      <c r="AD3517" s="73" t="s">
        <v>9578</v>
      </c>
      <c r="AE3517" s="74" t="s">
        <v>9579</v>
      </c>
    </row>
    <row r="3518" spans="1:31" ht="8.65" customHeight="1" x14ac:dyDescent="0.2">
      <c r="A3518" s="76">
        <v>3518</v>
      </c>
      <c r="B3518" s="67" t="str">
        <f>MID(C3518, FIND("Ifc.", C3518) + 4, 4) &amp; "_" &amp; TEXT(COUNTIF($C$2:C3518, C3518),"0000")</f>
        <v>Enti_0651</v>
      </c>
      <c r="C3518" s="25" t="s">
        <v>874</v>
      </c>
      <c r="D3518" s="69" t="s">
        <v>9453</v>
      </c>
      <c r="E3518" s="70" t="s">
        <v>9457</v>
      </c>
      <c r="F3518" s="26" t="s">
        <v>798</v>
      </c>
      <c r="G3518" s="15" t="s">
        <v>798</v>
      </c>
      <c r="H3518" s="14" t="s">
        <v>798</v>
      </c>
      <c r="I3518" s="15" t="s">
        <v>798</v>
      </c>
      <c r="J3518" s="12" t="s">
        <v>9438</v>
      </c>
      <c r="K3518" s="16" t="s">
        <v>3587</v>
      </c>
      <c r="L3518" s="12" t="s">
        <v>800</v>
      </c>
      <c r="M3518" s="16" t="s">
        <v>4550</v>
      </c>
      <c r="N3518" s="19" t="s">
        <v>798</v>
      </c>
      <c r="O3518" s="20" t="s">
        <v>798</v>
      </c>
      <c r="P3518" s="17" t="s">
        <v>802</v>
      </c>
      <c r="Q3518" s="21" t="s">
        <v>9139</v>
      </c>
      <c r="R3518" s="19" t="s">
        <v>798</v>
      </c>
      <c r="S3518" s="20" t="s">
        <v>798</v>
      </c>
      <c r="T3518" s="17" t="s">
        <v>798</v>
      </c>
      <c r="U3518" s="20" t="s">
        <v>798</v>
      </c>
      <c r="V3518" s="26" t="s">
        <v>798</v>
      </c>
      <c r="W3518" s="20" t="s">
        <v>798</v>
      </c>
      <c r="X3518" s="26" t="s">
        <v>798</v>
      </c>
      <c r="Y3518" s="20" t="s">
        <v>798</v>
      </c>
      <c r="Z3518" s="69" t="s">
        <v>9486</v>
      </c>
      <c r="AA3518" s="72" t="s">
        <v>9476</v>
      </c>
      <c r="AB3518" s="73" t="s">
        <v>9486</v>
      </c>
      <c r="AC3518" s="74" t="s">
        <v>9562</v>
      </c>
      <c r="AD3518" s="73" t="s">
        <v>9578</v>
      </c>
      <c r="AE3518" s="74" t="s">
        <v>9579</v>
      </c>
    </row>
    <row r="3519" spans="1:31" ht="8.65" customHeight="1" x14ac:dyDescent="0.2">
      <c r="A3519" s="76">
        <v>3519</v>
      </c>
      <c r="B3519" s="67" t="str">
        <f>MID(C3519, FIND("Ifc.", C3519) + 4, 4) &amp; "_" &amp; TEXT(COUNTIF($C$2:C3519, C3519),"0000")</f>
        <v>Enti_0652</v>
      </c>
      <c r="C3519" s="25" t="s">
        <v>874</v>
      </c>
      <c r="D3519" s="69" t="s">
        <v>9453</v>
      </c>
      <c r="E3519" s="70" t="s">
        <v>9457</v>
      </c>
      <c r="F3519" s="26" t="s">
        <v>798</v>
      </c>
      <c r="G3519" s="15" t="s">
        <v>798</v>
      </c>
      <c r="H3519" s="14" t="s">
        <v>798</v>
      </c>
      <c r="I3519" s="15" t="s">
        <v>798</v>
      </c>
      <c r="J3519" s="12" t="s">
        <v>9438</v>
      </c>
      <c r="K3519" s="16" t="s">
        <v>3588</v>
      </c>
      <c r="L3519" s="12" t="s">
        <v>800</v>
      </c>
      <c r="M3519" s="16" t="s">
        <v>4551</v>
      </c>
      <c r="N3519" s="19" t="s">
        <v>798</v>
      </c>
      <c r="O3519" s="20" t="s">
        <v>798</v>
      </c>
      <c r="P3519" s="17" t="s">
        <v>802</v>
      </c>
      <c r="Q3519" s="21" t="s">
        <v>9140</v>
      </c>
      <c r="R3519" s="19" t="s">
        <v>798</v>
      </c>
      <c r="S3519" s="20" t="s">
        <v>798</v>
      </c>
      <c r="T3519" s="17" t="s">
        <v>798</v>
      </c>
      <c r="U3519" s="20" t="s">
        <v>798</v>
      </c>
      <c r="V3519" s="26" t="s">
        <v>798</v>
      </c>
      <c r="W3519" s="20" t="s">
        <v>798</v>
      </c>
      <c r="X3519" s="26" t="s">
        <v>798</v>
      </c>
      <c r="Y3519" s="20" t="s">
        <v>798</v>
      </c>
      <c r="Z3519" s="69" t="s">
        <v>9486</v>
      </c>
      <c r="AA3519" s="72" t="s">
        <v>9476</v>
      </c>
      <c r="AB3519" s="73" t="s">
        <v>9486</v>
      </c>
      <c r="AC3519" s="74" t="s">
        <v>9562</v>
      </c>
      <c r="AD3519" s="73" t="s">
        <v>9578</v>
      </c>
      <c r="AE3519" s="74" t="s">
        <v>9579</v>
      </c>
    </row>
    <row r="3520" spans="1:31" ht="8.65" customHeight="1" x14ac:dyDescent="0.2">
      <c r="A3520" s="76">
        <v>3520</v>
      </c>
      <c r="B3520" s="67" t="str">
        <f>MID(C3520, FIND("Ifc.", C3520) + 4, 4) &amp; "_" &amp; TEXT(COUNTIF($C$2:C3520, C3520),"0000")</f>
        <v>Enti_0653</v>
      </c>
      <c r="C3520" s="25" t="s">
        <v>874</v>
      </c>
      <c r="D3520" s="69" t="s">
        <v>9453</v>
      </c>
      <c r="E3520" s="70" t="s">
        <v>9457</v>
      </c>
      <c r="F3520" s="26" t="s">
        <v>798</v>
      </c>
      <c r="G3520" s="15" t="s">
        <v>798</v>
      </c>
      <c r="H3520" s="14" t="s">
        <v>798</v>
      </c>
      <c r="I3520" s="15" t="s">
        <v>798</v>
      </c>
      <c r="J3520" s="12" t="s">
        <v>9438</v>
      </c>
      <c r="K3520" s="16" t="s">
        <v>3589</v>
      </c>
      <c r="L3520" s="12" t="s">
        <v>800</v>
      </c>
      <c r="M3520" s="16" t="s">
        <v>4552</v>
      </c>
      <c r="N3520" s="19" t="s">
        <v>798</v>
      </c>
      <c r="O3520" s="20" t="s">
        <v>798</v>
      </c>
      <c r="P3520" s="17" t="s">
        <v>802</v>
      </c>
      <c r="Q3520" s="21" t="s">
        <v>9141</v>
      </c>
      <c r="R3520" s="19" t="s">
        <v>798</v>
      </c>
      <c r="S3520" s="20" t="s">
        <v>798</v>
      </c>
      <c r="T3520" s="17" t="s">
        <v>798</v>
      </c>
      <c r="U3520" s="20" t="s">
        <v>798</v>
      </c>
      <c r="V3520" s="26" t="s">
        <v>798</v>
      </c>
      <c r="W3520" s="20" t="s">
        <v>798</v>
      </c>
      <c r="X3520" s="26" t="s">
        <v>798</v>
      </c>
      <c r="Y3520" s="20" t="s">
        <v>798</v>
      </c>
      <c r="Z3520" s="69" t="s">
        <v>9486</v>
      </c>
      <c r="AA3520" s="72" t="s">
        <v>9476</v>
      </c>
      <c r="AB3520" s="73" t="s">
        <v>9486</v>
      </c>
      <c r="AC3520" s="74" t="s">
        <v>9566</v>
      </c>
      <c r="AD3520" s="73" t="s">
        <v>9578</v>
      </c>
      <c r="AE3520" s="74" t="s">
        <v>9579</v>
      </c>
    </row>
    <row r="3521" spans="1:31" ht="8.65" customHeight="1" x14ac:dyDescent="0.2">
      <c r="A3521" s="76">
        <v>3521</v>
      </c>
      <c r="B3521" s="67" t="str">
        <f>MID(C3521, FIND("Ifc.", C3521) + 4, 4) &amp; "_" &amp; TEXT(COUNTIF($C$2:C3521, C3521),"0000")</f>
        <v>Enti_0654</v>
      </c>
      <c r="C3521" s="25" t="s">
        <v>874</v>
      </c>
      <c r="D3521" s="69" t="s">
        <v>9453</v>
      </c>
      <c r="E3521" s="70" t="s">
        <v>9457</v>
      </c>
      <c r="F3521" s="26" t="s">
        <v>798</v>
      </c>
      <c r="G3521" s="15" t="s">
        <v>798</v>
      </c>
      <c r="H3521" s="14" t="s">
        <v>798</v>
      </c>
      <c r="I3521" s="15" t="s">
        <v>798</v>
      </c>
      <c r="J3521" s="12" t="s">
        <v>9438</v>
      </c>
      <c r="K3521" s="16" t="s">
        <v>3590</v>
      </c>
      <c r="L3521" s="12" t="s">
        <v>800</v>
      </c>
      <c r="M3521" s="16" t="s">
        <v>4553</v>
      </c>
      <c r="N3521" s="19" t="s">
        <v>798</v>
      </c>
      <c r="O3521" s="20" t="s">
        <v>798</v>
      </c>
      <c r="P3521" s="17" t="s">
        <v>802</v>
      </c>
      <c r="Q3521" s="21" t="s">
        <v>9142</v>
      </c>
      <c r="R3521" s="19" t="s">
        <v>798</v>
      </c>
      <c r="S3521" s="20" t="s">
        <v>798</v>
      </c>
      <c r="T3521" s="17" t="s">
        <v>798</v>
      </c>
      <c r="U3521" s="20" t="s">
        <v>798</v>
      </c>
      <c r="V3521" s="26" t="s">
        <v>798</v>
      </c>
      <c r="W3521" s="20" t="s">
        <v>798</v>
      </c>
      <c r="X3521" s="26" t="s">
        <v>798</v>
      </c>
      <c r="Y3521" s="20" t="s">
        <v>798</v>
      </c>
      <c r="Z3521" s="69" t="s">
        <v>9486</v>
      </c>
      <c r="AA3521" s="72" t="s">
        <v>9477</v>
      </c>
      <c r="AB3521" s="73" t="s">
        <v>9486</v>
      </c>
      <c r="AC3521" s="74" t="s">
        <v>9566</v>
      </c>
      <c r="AD3521" s="73" t="s">
        <v>9578</v>
      </c>
      <c r="AE3521" s="74" t="s">
        <v>9579</v>
      </c>
    </row>
    <row r="3522" spans="1:31" ht="8.65" customHeight="1" x14ac:dyDescent="0.2">
      <c r="A3522" s="76">
        <v>3522</v>
      </c>
      <c r="B3522" s="67" t="str">
        <f>MID(C3522, FIND("Ifc.", C3522) + 4, 4) &amp; "_" &amp; TEXT(COUNTIF($C$2:C3522, C3522),"0000")</f>
        <v>Enti_0655</v>
      </c>
      <c r="C3522" s="25" t="s">
        <v>874</v>
      </c>
      <c r="D3522" s="69" t="s">
        <v>9453</v>
      </c>
      <c r="E3522" s="70" t="s">
        <v>9457</v>
      </c>
      <c r="F3522" s="26" t="s">
        <v>798</v>
      </c>
      <c r="G3522" s="15" t="s">
        <v>798</v>
      </c>
      <c r="H3522" s="14" t="s">
        <v>798</v>
      </c>
      <c r="I3522" s="15" t="s">
        <v>798</v>
      </c>
      <c r="J3522" s="12" t="s">
        <v>9438</v>
      </c>
      <c r="K3522" s="16" t="s">
        <v>3591</v>
      </c>
      <c r="L3522" s="12" t="s">
        <v>800</v>
      </c>
      <c r="M3522" s="16" t="s">
        <v>4554</v>
      </c>
      <c r="N3522" s="19" t="s">
        <v>798</v>
      </c>
      <c r="O3522" s="20" t="s">
        <v>798</v>
      </c>
      <c r="P3522" s="17" t="s">
        <v>802</v>
      </c>
      <c r="Q3522" s="21" t="s">
        <v>9143</v>
      </c>
      <c r="R3522" s="19" t="s">
        <v>798</v>
      </c>
      <c r="S3522" s="20" t="s">
        <v>798</v>
      </c>
      <c r="T3522" s="17" t="s">
        <v>798</v>
      </c>
      <c r="U3522" s="20" t="s">
        <v>798</v>
      </c>
      <c r="V3522" s="26" t="s">
        <v>798</v>
      </c>
      <c r="W3522" s="20" t="s">
        <v>798</v>
      </c>
      <c r="X3522" s="26" t="s">
        <v>798</v>
      </c>
      <c r="Y3522" s="20" t="s">
        <v>798</v>
      </c>
      <c r="Z3522" s="69" t="s">
        <v>9486</v>
      </c>
      <c r="AA3522" s="72" t="s">
        <v>9476</v>
      </c>
      <c r="AB3522" s="73" t="s">
        <v>9486</v>
      </c>
      <c r="AC3522" s="74" t="s">
        <v>9562</v>
      </c>
      <c r="AD3522" s="73" t="s">
        <v>9578</v>
      </c>
      <c r="AE3522" s="74" t="s">
        <v>9579</v>
      </c>
    </row>
    <row r="3523" spans="1:31" ht="8.65" customHeight="1" x14ac:dyDescent="0.2">
      <c r="A3523" s="76">
        <v>3523</v>
      </c>
      <c r="B3523" s="67" t="str">
        <f>MID(C3523, FIND("Ifc.", C3523) + 4, 4) &amp; "_" &amp; TEXT(COUNTIF($C$2:C3523, C3523),"0000")</f>
        <v>Enti_0656</v>
      </c>
      <c r="C3523" s="25" t="s">
        <v>874</v>
      </c>
      <c r="D3523" s="69" t="s">
        <v>9453</v>
      </c>
      <c r="E3523" s="70" t="s">
        <v>9457</v>
      </c>
      <c r="F3523" s="26" t="s">
        <v>798</v>
      </c>
      <c r="G3523" s="15" t="s">
        <v>798</v>
      </c>
      <c r="H3523" s="14" t="s">
        <v>798</v>
      </c>
      <c r="I3523" s="15" t="s">
        <v>798</v>
      </c>
      <c r="J3523" s="12" t="s">
        <v>9438</v>
      </c>
      <c r="K3523" s="16" t="s">
        <v>3592</v>
      </c>
      <c r="L3523" s="12" t="s">
        <v>800</v>
      </c>
      <c r="M3523" s="16" t="s">
        <v>4555</v>
      </c>
      <c r="N3523" s="19" t="s">
        <v>798</v>
      </c>
      <c r="O3523" s="20" t="s">
        <v>798</v>
      </c>
      <c r="P3523" s="17" t="s">
        <v>802</v>
      </c>
      <c r="Q3523" s="21" t="s">
        <v>9144</v>
      </c>
      <c r="R3523" s="19" t="s">
        <v>798</v>
      </c>
      <c r="S3523" s="20" t="s">
        <v>798</v>
      </c>
      <c r="T3523" s="17" t="s">
        <v>798</v>
      </c>
      <c r="U3523" s="20" t="s">
        <v>798</v>
      </c>
      <c r="V3523" s="26" t="s">
        <v>798</v>
      </c>
      <c r="W3523" s="20" t="s">
        <v>798</v>
      </c>
      <c r="X3523" s="26" t="s">
        <v>798</v>
      </c>
      <c r="Y3523" s="20" t="s">
        <v>798</v>
      </c>
      <c r="Z3523" s="69" t="s">
        <v>9486</v>
      </c>
      <c r="AA3523" s="72" t="s">
        <v>9476</v>
      </c>
      <c r="AB3523" s="73" t="s">
        <v>9486</v>
      </c>
      <c r="AC3523" s="74" t="s">
        <v>9562</v>
      </c>
      <c r="AD3523" s="73" t="s">
        <v>9578</v>
      </c>
      <c r="AE3523" s="74" t="s">
        <v>9579</v>
      </c>
    </row>
    <row r="3524" spans="1:31" ht="8.65" customHeight="1" x14ac:dyDescent="0.2">
      <c r="A3524" s="76">
        <v>3524</v>
      </c>
      <c r="B3524" s="67" t="str">
        <f>MID(C3524, FIND("Ifc.", C3524) + 4, 4) &amp; "_" &amp; TEXT(COUNTIF($C$2:C3524, C3524),"0000")</f>
        <v>Enti_0657</v>
      </c>
      <c r="C3524" s="25" t="s">
        <v>874</v>
      </c>
      <c r="D3524" s="69" t="s">
        <v>9453</v>
      </c>
      <c r="E3524" s="70" t="s">
        <v>9457</v>
      </c>
      <c r="F3524" s="26" t="s">
        <v>798</v>
      </c>
      <c r="G3524" s="15" t="s">
        <v>798</v>
      </c>
      <c r="H3524" s="14" t="s">
        <v>798</v>
      </c>
      <c r="I3524" s="15" t="s">
        <v>798</v>
      </c>
      <c r="J3524" s="12" t="s">
        <v>9438</v>
      </c>
      <c r="K3524" s="16" t="s">
        <v>3593</v>
      </c>
      <c r="L3524" s="12" t="s">
        <v>800</v>
      </c>
      <c r="M3524" s="16" t="s">
        <v>4556</v>
      </c>
      <c r="N3524" s="19" t="s">
        <v>798</v>
      </c>
      <c r="O3524" s="20" t="s">
        <v>798</v>
      </c>
      <c r="P3524" s="17" t="s">
        <v>802</v>
      </c>
      <c r="Q3524" s="21" t="s">
        <v>9145</v>
      </c>
      <c r="R3524" s="19" t="s">
        <v>798</v>
      </c>
      <c r="S3524" s="20" t="s">
        <v>798</v>
      </c>
      <c r="T3524" s="17" t="s">
        <v>798</v>
      </c>
      <c r="U3524" s="20" t="s">
        <v>798</v>
      </c>
      <c r="V3524" s="26" t="s">
        <v>798</v>
      </c>
      <c r="W3524" s="20" t="s">
        <v>798</v>
      </c>
      <c r="X3524" s="26" t="s">
        <v>798</v>
      </c>
      <c r="Y3524" s="20" t="s">
        <v>798</v>
      </c>
      <c r="Z3524" s="69" t="s">
        <v>9486</v>
      </c>
      <c r="AA3524" s="72" t="s">
        <v>9476</v>
      </c>
      <c r="AB3524" s="73" t="s">
        <v>9486</v>
      </c>
      <c r="AC3524" s="74" t="s">
        <v>9562</v>
      </c>
      <c r="AD3524" s="73" t="s">
        <v>9578</v>
      </c>
      <c r="AE3524" s="74" t="s">
        <v>9579</v>
      </c>
    </row>
    <row r="3525" spans="1:31" ht="8.65" customHeight="1" x14ac:dyDescent="0.2">
      <c r="A3525" s="76">
        <v>3525</v>
      </c>
      <c r="B3525" s="67" t="str">
        <f>MID(C3525, FIND("Ifc.", C3525) + 4, 4) &amp; "_" &amp; TEXT(COUNTIF($C$2:C3525, C3525),"0000")</f>
        <v>Enti_0658</v>
      </c>
      <c r="C3525" s="25" t="s">
        <v>874</v>
      </c>
      <c r="D3525" s="69" t="s">
        <v>9453</v>
      </c>
      <c r="E3525" s="70" t="s">
        <v>9457</v>
      </c>
      <c r="F3525" s="26" t="s">
        <v>798</v>
      </c>
      <c r="G3525" s="15" t="s">
        <v>798</v>
      </c>
      <c r="H3525" s="14" t="s">
        <v>798</v>
      </c>
      <c r="I3525" s="15" t="s">
        <v>798</v>
      </c>
      <c r="J3525" s="12" t="s">
        <v>9438</v>
      </c>
      <c r="K3525" s="16" t="s">
        <v>3594</v>
      </c>
      <c r="L3525" s="12" t="s">
        <v>800</v>
      </c>
      <c r="M3525" s="16" t="s">
        <v>4557</v>
      </c>
      <c r="N3525" s="19" t="s">
        <v>798</v>
      </c>
      <c r="O3525" s="20" t="s">
        <v>798</v>
      </c>
      <c r="P3525" s="17" t="s">
        <v>802</v>
      </c>
      <c r="Q3525" s="21" t="s">
        <v>9146</v>
      </c>
      <c r="R3525" s="19" t="s">
        <v>798</v>
      </c>
      <c r="S3525" s="20" t="s">
        <v>798</v>
      </c>
      <c r="T3525" s="17" t="s">
        <v>798</v>
      </c>
      <c r="U3525" s="20" t="s">
        <v>798</v>
      </c>
      <c r="V3525" s="26" t="s">
        <v>798</v>
      </c>
      <c r="W3525" s="20" t="s">
        <v>798</v>
      </c>
      <c r="X3525" s="26" t="s">
        <v>798</v>
      </c>
      <c r="Y3525" s="20" t="s">
        <v>798</v>
      </c>
      <c r="Z3525" s="69" t="s">
        <v>9486</v>
      </c>
      <c r="AA3525" s="72" t="s">
        <v>9476</v>
      </c>
      <c r="AB3525" s="73" t="s">
        <v>9486</v>
      </c>
      <c r="AC3525" s="74" t="s">
        <v>9562</v>
      </c>
      <c r="AD3525" s="73" t="s">
        <v>9578</v>
      </c>
      <c r="AE3525" s="74" t="s">
        <v>9579</v>
      </c>
    </row>
    <row r="3526" spans="1:31" ht="8.65" customHeight="1" x14ac:dyDescent="0.2">
      <c r="A3526" s="76">
        <v>3526</v>
      </c>
      <c r="B3526" s="67" t="str">
        <f>MID(C3526, FIND("Ifc.", C3526) + 4, 4) &amp; "_" &amp; TEXT(COUNTIF($C$2:C3526, C3526),"0000")</f>
        <v>Enti_0659</v>
      </c>
      <c r="C3526" s="25" t="s">
        <v>874</v>
      </c>
      <c r="D3526" s="69" t="s">
        <v>9453</v>
      </c>
      <c r="E3526" s="70" t="s">
        <v>9457</v>
      </c>
      <c r="F3526" s="26" t="s">
        <v>798</v>
      </c>
      <c r="G3526" s="15" t="s">
        <v>798</v>
      </c>
      <c r="H3526" s="14" t="s">
        <v>798</v>
      </c>
      <c r="I3526" s="15" t="s">
        <v>798</v>
      </c>
      <c r="J3526" s="12" t="s">
        <v>9438</v>
      </c>
      <c r="K3526" s="16" t="s">
        <v>3595</v>
      </c>
      <c r="L3526" s="12" t="s">
        <v>800</v>
      </c>
      <c r="M3526" s="16" t="s">
        <v>4558</v>
      </c>
      <c r="N3526" s="19" t="s">
        <v>798</v>
      </c>
      <c r="O3526" s="20" t="s">
        <v>798</v>
      </c>
      <c r="P3526" s="17" t="s">
        <v>802</v>
      </c>
      <c r="Q3526" s="21" t="s">
        <v>9147</v>
      </c>
      <c r="R3526" s="19" t="s">
        <v>798</v>
      </c>
      <c r="S3526" s="20" t="s">
        <v>798</v>
      </c>
      <c r="T3526" s="17" t="s">
        <v>798</v>
      </c>
      <c r="U3526" s="20" t="s">
        <v>798</v>
      </c>
      <c r="V3526" s="26" t="s">
        <v>798</v>
      </c>
      <c r="W3526" s="20" t="s">
        <v>798</v>
      </c>
      <c r="X3526" s="26" t="s">
        <v>798</v>
      </c>
      <c r="Y3526" s="20" t="s">
        <v>798</v>
      </c>
      <c r="Z3526" s="69" t="s">
        <v>9486</v>
      </c>
      <c r="AA3526" s="72" t="s">
        <v>9476</v>
      </c>
      <c r="AB3526" s="73" t="s">
        <v>9486</v>
      </c>
      <c r="AC3526" s="74" t="s">
        <v>9566</v>
      </c>
      <c r="AD3526" s="73" t="s">
        <v>9578</v>
      </c>
      <c r="AE3526" s="74" t="s">
        <v>9666</v>
      </c>
    </row>
    <row r="3527" spans="1:31" ht="8.65" customHeight="1" x14ac:dyDescent="0.2">
      <c r="A3527" s="76">
        <v>3527</v>
      </c>
      <c r="B3527" s="67" t="str">
        <f>MID(C3527, FIND("Ifc.", C3527) + 4, 4) &amp; "_" &amp; TEXT(COUNTIF($C$2:C3527, C3527),"0000")</f>
        <v>Enti_0660</v>
      </c>
      <c r="C3527" s="25" t="s">
        <v>874</v>
      </c>
      <c r="D3527" s="69" t="s">
        <v>9453</v>
      </c>
      <c r="E3527" s="70" t="s">
        <v>9457</v>
      </c>
      <c r="F3527" s="26" t="s">
        <v>798</v>
      </c>
      <c r="G3527" s="15" t="s">
        <v>798</v>
      </c>
      <c r="H3527" s="14" t="s">
        <v>798</v>
      </c>
      <c r="I3527" s="15" t="s">
        <v>798</v>
      </c>
      <c r="J3527" s="12" t="s">
        <v>9438</v>
      </c>
      <c r="K3527" s="16" t="s">
        <v>3596</v>
      </c>
      <c r="L3527" s="12" t="s">
        <v>800</v>
      </c>
      <c r="M3527" s="16" t="s">
        <v>4559</v>
      </c>
      <c r="N3527" s="19" t="s">
        <v>798</v>
      </c>
      <c r="O3527" s="20" t="s">
        <v>798</v>
      </c>
      <c r="P3527" s="17" t="s">
        <v>802</v>
      </c>
      <c r="Q3527" s="21" t="s">
        <v>9148</v>
      </c>
      <c r="R3527" s="19" t="s">
        <v>798</v>
      </c>
      <c r="S3527" s="20" t="s">
        <v>798</v>
      </c>
      <c r="T3527" s="17" t="s">
        <v>798</v>
      </c>
      <c r="U3527" s="20" t="s">
        <v>798</v>
      </c>
      <c r="V3527" s="26" t="s">
        <v>798</v>
      </c>
      <c r="W3527" s="20" t="s">
        <v>798</v>
      </c>
      <c r="X3527" s="26" t="s">
        <v>798</v>
      </c>
      <c r="Y3527" s="20" t="s">
        <v>798</v>
      </c>
      <c r="Z3527" s="69" t="s">
        <v>9486</v>
      </c>
      <c r="AA3527" s="72" t="s">
        <v>9477</v>
      </c>
      <c r="AB3527" s="73" t="s">
        <v>9486</v>
      </c>
      <c r="AC3527" s="74" t="s">
        <v>9566</v>
      </c>
      <c r="AD3527" s="73" t="s">
        <v>9578</v>
      </c>
      <c r="AE3527" s="74" t="s">
        <v>9666</v>
      </c>
    </row>
    <row r="3528" spans="1:31" ht="8.65" customHeight="1" x14ac:dyDescent="0.2">
      <c r="A3528" s="76">
        <v>3528</v>
      </c>
      <c r="B3528" s="67" t="str">
        <f>MID(C3528, FIND("Ifc.", C3528) + 4, 4) &amp; "_" &amp; TEXT(COUNTIF($C$2:C3528, C3528),"0000")</f>
        <v>Enti_0661</v>
      </c>
      <c r="C3528" s="25" t="s">
        <v>874</v>
      </c>
      <c r="D3528" s="69" t="s">
        <v>9453</v>
      </c>
      <c r="E3528" s="70" t="s">
        <v>9457</v>
      </c>
      <c r="F3528" s="26" t="s">
        <v>798</v>
      </c>
      <c r="G3528" s="15" t="s">
        <v>798</v>
      </c>
      <c r="H3528" s="14" t="s">
        <v>798</v>
      </c>
      <c r="I3528" s="15" t="s">
        <v>798</v>
      </c>
      <c r="J3528" s="12" t="s">
        <v>9438</v>
      </c>
      <c r="K3528" s="16" t="s">
        <v>3597</v>
      </c>
      <c r="L3528" s="12" t="s">
        <v>800</v>
      </c>
      <c r="M3528" s="16" t="s">
        <v>4560</v>
      </c>
      <c r="N3528" s="19" t="s">
        <v>798</v>
      </c>
      <c r="O3528" s="20" t="s">
        <v>798</v>
      </c>
      <c r="P3528" s="17" t="s">
        <v>802</v>
      </c>
      <c r="Q3528" s="21" t="s">
        <v>9149</v>
      </c>
      <c r="R3528" s="19" t="s">
        <v>798</v>
      </c>
      <c r="S3528" s="20" t="s">
        <v>798</v>
      </c>
      <c r="T3528" s="17" t="s">
        <v>798</v>
      </c>
      <c r="U3528" s="20" t="s">
        <v>798</v>
      </c>
      <c r="V3528" s="26" t="s">
        <v>798</v>
      </c>
      <c r="W3528" s="20" t="s">
        <v>798</v>
      </c>
      <c r="X3528" s="26" t="s">
        <v>798</v>
      </c>
      <c r="Y3528" s="20" t="s">
        <v>798</v>
      </c>
      <c r="Z3528" s="69" t="s">
        <v>9486</v>
      </c>
      <c r="AA3528" s="72" t="s">
        <v>9476</v>
      </c>
      <c r="AB3528" s="73" t="s">
        <v>9486</v>
      </c>
      <c r="AC3528" s="74" t="s">
        <v>9566</v>
      </c>
      <c r="AD3528" s="73" t="s">
        <v>9578</v>
      </c>
      <c r="AE3528" s="74" t="s">
        <v>9579</v>
      </c>
    </row>
    <row r="3529" spans="1:31" ht="8.65" customHeight="1" x14ac:dyDescent="0.2">
      <c r="A3529" s="76">
        <v>3529</v>
      </c>
      <c r="B3529" s="67" t="str">
        <f>MID(C3529, FIND("Ifc.", C3529) + 4, 4) &amp; "_" &amp; TEXT(COUNTIF($C$2:C3529, C3529),"0000")</f>
        <v>Enti_0662</v>
      </c>
      <c r="C3529" s="25" t="s">
        <v>874</v>
      </c>
      <c r="D3529" s="69" t="s">
        <v>9453</v>
      </c>
      <c r="E3529" s="70" t="s">
        <v>9457</v>
      </c>
      <c r="F3529" s="26" t="s">
        <v>798</v>
      </c>
      <c r="G3529" s="15" t="s">
        <v>798</v>
      </c>
      <c r="H3529" s="14" t="s">
        <v>798</v>
      </c>
      <c r="I3529" s="15" t="s">
        <v>798</v>
      </c>
      <c r="J3529" s="12" t="s">
        <v>9438</v>
      </c>
      <c r="K3529" s="16" t="s">
        <v>3598</v>
      </c>
      <c r="L3529" s="12" t="s">
        <v>800</v>
      </c>
      <c r="M3529" s="16" t="s">
        <v>4561</v>
      </c>
      <c r="N3529" s="19" t="s">
        <v>798</v>
      </c>
      <c r="O3529" s="20" t="s">
        <v>798</v>
      </c>
      <c r="P3529" s="17" t="s">
        <v>802</v>
      </c>
      <c r="Q3529" s="21" t="s">
        <v>9150</v>
      </c>
      <c r="R3529" s="19" t="s">
        <v>798</v>
      </c>
      <c r="S3529" s="20" t="s">
        <v>798</v>
      </c>
      <c r="T3529" s="17" t="s">
        <v>798</v>
      </c>
      <c r="U3529" s="20" t="s">
        <v>798</v>
      </c>
      <c r="V3529" s="26" t="s">
        <v>798</v>
      </c>
      <c r="W3529" s="20" t="s">
        <v>798</v>
      </c>
      <c r="X3529" s="26" t="s">
        <v>798</v>
      </c>
      <c r="Y3529" s="20" t="s">
        <v>798</v>
      </c>
      <c r="Z3529" s="69" t="s">
        <v>9486</v>
      </c>
      <c r="AA3529" s="72" t="s">
        <v>9477</v>
      </c>
      <c r="AB3529" s="73" t="s">
        <v>9486</v>
      </c>
      <c r="AC3529" s="74" t="s">
        <v>9566</v>
      </c>
      <c r="AD3529" s="73" t="s">
        <v>9578</v>
      </c>
      <c r="AE3529" s="74" t="s">
        <v>9579</v>
      </c>
    </row>
    <row r="3530" spans="1:31" ht="8.65" customHeight="1" x14ac:dyDescent="0.2">
      <c r="A3530" s="76">
        <v>3530</v>
      </c>
      <c r="B3530" s="67" t="str">
        <f>MID(C3530, FIND("Ifc.", C3530) + 4, 4) &amp; "_" &amp; TEXT(COUNTIF($C$2:C3530, C3530),"0000")</f>
        <v>Enti_0663</v>
      </c>
      <c r="C3530" s="25" t="s">
        <v>874</v>
      </c>
      <c r="D3530" s="69" t="s">
        <v>9453</v>
      </c>
      <c r="E3530" s="70" t="s">
        <v>9457</v>
      </c>
      <c r="F3530" s="26" t="s">
        <v>798</v>
      </c>
      <c r="G3530" s="15" t="s">
        <v>798</v>
      </c>
      <c r="H3530" s="14" t="s">
        <v>798</v>
      </c>
      <c r="I3530" s="15" t="s">
        <v>798</v>
      </c>
      <c r="J3530" s="12" t="s">
        <v>9438</v>
      </c>
      <c r="K3530" s="16" t="s">
        <v>3599</v>
      </c>
      <c r="L3530" s="12" t="s">
        <v>800</v>
      </c>
      <c r="M3530" s="16" t="s">
        <v>4562</v>
      </c>
      <c r="N3530" s="19" t="s">
        <v>798</v>
      </c>
      <c r="O3530" s="20" t="s">
        <v>798</v>
      </c>
      <c r="P3530" s="17" t="s">
        <v>802</v>
      </c>
      <c r="Q3530" s="21" t="s">
        <v>9151</v>
      </c>
      <c r="R3530" s="19" t="s">
        <v>798</v>
      </c>
      <c r="S3530" s="20" t="s">
        <v>798</v>
      </c>
      <c r="T3530" s="17" t="s">
        <v>798</v>
      </c>
      <c r="U3530" s="20" t="s">
        <v>798</v>
      </c>
      <c r="V3530" s="26" t="s">
        <v>798</v>
      </c>
      <c r="W3530" s="20" t="s">
        <v>798</v>
      </c>
      <c r="X3530" s="26" t="s">
        <v>798</v>
      </c>
      <c r="Y3530" s="20" t="s">
        <v>798</v>
      </c>
      <c r="Z3530" s="69" t="s">
        <v>9486</v>
      </c>
      <c r="AA3530" s="72" t="s">
        <v>9476</v>
      </c>
      <c r="AB3530" s="73" t="s">
        <v>9486</v>
      </c>
      <c r="AC3530" s="74" t="s">
        <v>9566</v>
      </c>
      <c r="AD3530" s="73" t="s">
        <v>9578</v>
      </c>
      <c r="AE3530" s="74" t="s">
        <v>9665</v>
      </c>
    </row>
    <row r="3531" spans="1:31" ht="8.65" customHeight="1" x14ac:dyDescent="0.2">
      <c r="A3531" s="76">
        <v>3531</v>
      </c>
      <c r="B3531" s="67" t="str">
        <f>MID(C3531, FIND("Ifc.", C3531) + 4, 4) &amp; "_" &amp; TEXT(COUNTIF($C$2:C3531, C3531),"0000")</f>
        <v>Enti_0664</v>
      </c>
      <c r="C3531" s="25" t="s">
        <v>874</v>
      </c>
      <c r="D3531" s="69" t="s">
        <v>9453</v>
      </c>
      <c r="E3531" s="70" t="s">
        <v>9457</v>
      </c>
      <c r="F3531" s="26" t="s">
        <v>798</v>
      </c>
      <c r="G3531" s="15" t="s">
        <v>798</v>
      </c>
      <c r="H3531" s="14" t="s">
        <v>798</v>
      </c>
      <c r="I3531" s="15" t="s">
        <v>798</v>
      </c>
      <c r="J3531" s="12" t="s">
        <v>9438</v>
      </c>
      <c r="K3531" s="16" t="s">
        <v>3600</v>
      </c>
      <c r="L3531" s="12" t="s">
        <v>800</v>
      </c>
      <c r="M3531" s="16" t="s">
        <v>4563</v>
      </c>
      <c r="N3531" s="19" t="s">
        <v>798</v>
      </c>
      <c r="O3531" s="20" t="s">
        <v>798</v>
      </c>
      <c r="P3531" s="17" t="s">
        <v>802</v>
      </c>
      <c r="Q3531" s="21" t="s">
        <v>9152</v>
      </c>
      <c r="R3531" s="19" t="s">
        <v>798</v>
      </c>
      <c r="S3531" s="20" t="s">
        <v>798</v>
      </c>
      <c r="T3531" s="17" t="s">
        <v>798</v>
      </c>
      <c r="U3531" s="20" t="s">
        <v>798</v>
      </c>
      <c r="V3531" s="26" t="s">
        <v>798</v>
      </c>
      <c r="W3531" s="20" t="s">
        <v>798</v>
      </c>
      <c r="X3531" s="26" t="s">
        <v>798</v>
      </c>
      <c r="Y3531" s="20" t="s">
        <v>798</v>
      </c>
      <c r="Z3531" s="69" t="s">
        <v>9486</v>
      </c>
      <c r="AA3531" s="72" t="s">
        <v>9477</v>
      </c>
      <c r="AB3531" s="73" t="s">
        <v>9486</v>
      </c>
      <c r="AC3531" s="74" t="s">
        <v>9566</v>
      </c>
      <c r="AD3531" s="73" t="s">
        <v>9578</v>
      </c>
      <c r="AE3531" s="74" t="s">
        <v>9665</v>
      </c>
    </row>
    <row r="3532" spans="1:31" ht="8.65" customHeight="1" x14ac:dyDescent="0.2">
      <c r="A3532" s="76">
        <v>3532</v>
      </c>
      <c r="B3532" s="67" t="str">
        <f>MID(C3532, FIND("Ifc.", C3532) + 4, 4) &amp; "_" &amp; TEXT(COUNTIF($C$2:C3532, C3532),"0000")</f>
        <v>Enti_0665</v>
      </c>
      <c r="C3532" s="25" t="s">
        <v>874</v>
      </c>
      <c r="D3532" s="69" t="s">
        <v>9453</v>
      </c>
      <c r="E3532" s="70" t="s">
        <v>9457</v>
      </c>
      <c r="F3532" s="26" t="s">
        <v>798</v>
      </c>
      <c r="G3532" s="15" t="s">
        <v>798</v>
      </c>
      <c r="H3532" s="14" t="s">
        <v>798</v>
      </c>
      <c r="I3532" s="15" t="s">
        <v>798</v>
      </c>
      <c r="J3532" s="12" t="s">
        <v>9438</v>
      </c>
      <c r="K3532" s="16" t="s">
        <v>3601</v>
      </c>
      <c r="L3532" s="12" t="s">
        <v>800</v>
      </c>
      <c r="M3532" s="16" t="s">
        <v>4564</v>
      </c>
      <c r="N3532" s="19" t="s">
        <v>798</v>
      </c>
      <c r="O3532" s="20" t="s">
        <v>798</v>
      </c>
      <c r="P3532" s="17" t="s">
        <v>802</v>
      </c>
      <c r="Q3532" s="21" t="s">
        <v>9153</v>
      </c>
      <c r="R3532" s="19" t="s">
        <v>798</v>
      </c>
      <c r="S3532" s="20" t="s">
        <v>798</v>
      </c>
      <c r="T3532" s="17" t="s">
        <v>798</v>
      </c>
      <c r="U3532" s="20" t="s">
        <v>798</v>
      </c>
      <c r="V3532" s="26" t="s">
        <v>798</v>
      </c>
      <c r="W3532" s="20" t="s">
        <v>798</v>
      </c>
      <c r="X3532" s="26" t="s">
        <v>798</v>
      </c>
      <c r="Y3532" s="20" t="s">
        <v>798</v>
      </c>
      <c r="Z3532" s="69" t="s">
        <v>9486</v>
      </c>
      <c r="AA3532" s="72" t="s">
        <v>9476</v>
      </c>
      <c r="AB3532" s="73" t="s">
        <v>9486</v>
      </c>
      <c r="AC3532" s="74" t="s">
        <v>9566</v>
      </c>
      <c r="AD3532" s="73" t="s">
        <v>9578</v>
      </c>
      <c r="AE3532" s="74" t="s">
        <v>9666</v>
      </c>
    </row>
    <row r="3533" spans="1:31" ht="8.65" customHeight="1" x14ac:dyDescent="0.2">
      <c r="A3533" s="76">
        <v>3533</v>
      </c>
      <c r="B3533" s="67" t="str">
        <f>MID(C3533, FIND("Ifc.", C3533) + 4, 4) &amp; "_" &amp; TEXT(COUNTIF($C$2:C3533, C3533),"0000")</f>
        <v>Enti_0666</v>
      </c>
      <c r="C3533" s="25" t="s">
        <v>874</v>
      </c>
      <c r="D3533" s="69" t="s">
        <v>9453</v>
      </c>
      <c r="E3533" s="70" t="s">
        <v>9457</v>
      </c>
      <c r="F3533" s="26" t="s">
        <v>798</v>
      </c>
      <c r="G3533" s="15" t="s">
        <v>798</v>
      </c>
      <c r="H3533" s="14" t="s">
        <v>798</v>
      </c>
      <c r="I3533" s="15" t="s">
        <v>798</v>
      </c>
      <c r="J3533" s="12" t="s">
        <v>9438</v>
      </c>
      <c r="K3533" s="16" t="s">
        <v>3602</v>
      </c>
      <c r="L3533" s="12" t="s">
        <v>800</v>
      </c>
      <c r="M3533" s="16" t="s">
        <v>4565</v>
      </c>
      <c r="N3533" s="19" t="s">
        <v>798</v>
      </c>
      <c r="O3533" s="20" t="s">
        <v>798</v>
      </c>
      <c r="P3533" s="17" t="s">
        <v>802</v>
      </c>
      <c r="Q3533" s="21" t="s">
        <v>9154</v>
      </c>
      <c r="R3533" s="19" t="s">
        <v>798</v>
      </c>
      <c r="S3533" s="20" t="s">
        <v>798</v>
      </c>
      <c r="T3533" s="17" t="s">
        <v>798</v>
      </c>
      <c r="U3533" s="20" t="s">
        <v>798</v>
      </c>
      <c r="V3533" s="26" t="s">
        <v>798</v>
      </c>
      <c r="W3533" s="20" t="s">
        <v>798</v>
      </c>
      <c r="X3533" s="26" t="s">
        <v>798</v>
      </c>
      <c r="Y3533" s="20" t="s">
        <v>798</v>
      </c>
      <c r="Z3533" s="69" t="s">
        <v>9486</v>
      </c>
      <c r="AA3533" s="72" t="s">
        <v>9477</v>
      </c>
      <c r="AB3533" s="73" t="s">
        <v>9486</v>
      </c>
      <c r="AC3533" s="74" t="s">
        <v>9566</v>
      </c>
      <c r="AD3533" s="73" t="s">
        <v>9578</v>
      </c>
      <c r="AE3533" s="74" t="s">
        <v>9666</v>
      </c>
    </row>
    <row r="3534" spans="1:31" ht="8.65" customHeight="1" x14ac:dyDescent="0.2">
      <c r="A3534" s="76">
        <v>3534</v>
      </c>
      <c r="B3534" s="67" t="str">
        <f>MID(C3534, FIND("Ifc.", C3534) + 4, 4) &amp; "_" &amp; TEXT(COUNTIF($C$2:C3534, C3534),"0000")</f>
        <v>Enti_0667</v>
      </c>
      <c r="C3534" s="25" t="s">
        <v>874</v>
      </c>
      <c r="D3534" s="69" t="s">
        <v>9453</v>
      </c>
      <c r="E3534" s="70" t="s">
        <v>9457</v>
      </c>
      <c r="F3534" s="26" t="s">
        <v>798</v>
      </c>
      <c r="G3534" s="15" t="s">
        <v>798</v>
      </c>
      <c r="H3534" s="14" t="s">
        <v>798</v>
      </c>
      <c r="I3534" s="15" t="s">
        <v>798</v>
      </c>
      <c r="J3534" s="12" t="s">
        <v>9438</v>
      </c>
      <c r="K3534" s="16" t="s">
        <v>3603</v>
      </c>
      <c r="L3534" s="12" t="s">
        <v>800</v>
      </c>
      <c r="M3534" s="16" t="s">
        <v>4566</v>
      </c>
      <c r="N3534" s="19" t="s">
        <v>798</v>
      </c>
      <c r="O3534" s="20" t="s">
        <v>798</v>
      </c>
      <c r="P3534" s="17" t="s">
        <v>802</v>
      </c>
      <c r="Q3534" s="21" t="s">
        <v>9155</v>
      </c>
      <c r="R3534" s="19" t="s">
        <v>798</v>
      </c>
      <c r="S3534" s="20" t="s">
        <v>798</v>
      </c>
      <c r="T3534" s="17" t="s">
        <v>798</v>
      </c>
      <c r="U3534" s="20" t="s">
        <v>798</v>
      </c>
      <c r="V3534" s="26" t="s">
        <v>798</v>
      </c>
      <c r="W3534" s="20" t="s">
        <v>798</v>
      </c>
      <c r="X3534" s="26" t="s">
        <v>798</v>
      </c>
      <c r="Y3534" s="20" t="s">
        <v>798</v>
      </c>
      <c r="Z3534" s="69" t="s">
        <v>9486</v>
      </c>
      <c r="AA3534" s="72" t="s">
        <v>9476</v>
      </c>
      <c r="AB3534" s="73" t="s">
        <v>9486</v>
      </c>
      <c r="AC3534" s="74" t="s">
        <v>9566</v>
      </c>
      <c r="AD3534" s="73" t="s">
        <v>9578</v>
      </c>
      <c r="AE3534" s="74" t="s">
        <v>9664</v>
      </c>
    </row>
    <row r="3535" spans="1:31" ht="8.65" customHeight="1" x14ac:dyDescent="0.2">
      <c r="A3535" s="76">
        <v>3535</v>
      </c>
      <c r="B3535" s="67" t="str">
        <f>MID(C3535, FIND("Ifc.", C3535) + 4, 4) &amp; "_" &amp; TEXT(COUNTIF($C$2:C3535, C3535),"0000")</f>
        <v>Enti_0668</v>
      </c>
      <c r="C3535" s="25" t="s">
        <v>874</v>
      </c>
      <c r="D3535" s="69" t="s">
        <v>9453</v>
      </c>
      <c r="E3535" s="70" t="s">
        <v>9457</v>
      </c>
      <c r="F3535" s="26" t="s">
        <v>798</v>
      </c>
      <c r="G3535" s="15" t="s">
        <v>798</v>
      </c>
      <c r="H3535" s="14" t="s">
        <v>798</v>
      </c>
      <c r="I3535" s="15" t="s">
        <v>798</v>
      </c>
      <c r="J3535" s="12" t="s">
        <v>9438</v>
      </c>
      <c r="K3535" s="16" t="s">
        <v>3604</v>
      </c>
      <c r="L3535" s="12" t="s">
        <v>800</v>
      </c>
      <c r="M3535" s="16" t="s">
        <v>4567</v>
      </c>
      <c r="N3535" s="19" t="s">
        <v>798</v>
      </c>
      <c r="O3535" s="20" t="s">
        <v>798</v>
      </c>
      <c r="P3535" s="17" t="s">
        <v>802</v>
      </c>
      <c r="Q3535" s="21" t="s">
        <v>9156</v>
      </c>
      <c r="R3535" s="19" t="s">
        <v>798</v>
      </c>
      <c r="S3535" s="20" t="s">
        <v>798</v>
      </c>
      <c r="T3535" s="17" t="s">
        <v>798</v>
      </c>
      <c r="U3535" s="20" t="s">
        <v>798</v>
      </c>
      <c r="V3535" s="26" t="s">
        <v>798</v>
      </c>
      <c r="W3535" s="20" t="s">
        <v>798</v>
      </c>
      <c r="X3535" s="26" t="s">
        <v>798</v>
      </c>
      <c r="Y3535" s="20" t="s">
        <v>798</v>
      </c>
      <c r="Z3535" s="69" t="s">
        <v>9486</v>
      </c>
      <c r="AA3535" s="72" t="s">
        <v>9477</v>
      </c>
      <c r="AB3535" s="73" t="s">
        <v>9486</v>
      </c>
      <c r="AC3535" s="74" t="s">
        <v>9566</v>
      </c>
      <c r="AD3535" s="73" t="s">
        <v>9578</v>
      </c>
      <c r="AE3535" s="74" t="s">
        <v>9664</v>
      </c>
    </row>
    <row r="3536" spans="1:31" ht="8.65" customHeight="1" x14ac:dyDescent="0.2">
      <c r="A3536" s="76">
        <v>3536</v>
      </c>
      <c r="B3536" s="67" t="str">
        <f>MID(C3536, FIND("Ifc.", C3536) + 4, 4) &amp; "_" &amp; TEXT(COUNTIF($C$2:C3536, C3536),"0000")</f>
        <v>Enti_0669</v>
      </c>
      <c r="C3536" s="25" t="s">
        <v>874</v>
      </c>
      <c r="D3536" s="69" t="s">
        <v>9453</v>
      </c>
      <c r="E3536" s="70" t="s">
        <v>9457</v>
      </c>
      <c r="F3536" s="26" t="s">
        <v>798</v>
      </c>
      <c r="G3536" s="15" t="s">
        <v>798</v>
      </c>
      <c r="H3536" s="14" t="s">
        <v>798</v>
      </c>
      <c r="I3536" s="15" t="s">
        <v>798</v>
      </c>
      <c r="J3536" s="12" t="s">
        <v>9438</v>
      </c>
      <c r="K3536" s="16" t="s">
        <v>3605</v>
      </c>
      <c r="L3536" s="12" t="s">
        <v>800</v>
      </c>
      <c r="M3536" s="16" t="s">
        <v>4568</v>
      </c>
      <c r="N3536" s="19" t="s">
        <v>798</v>
      </c>
      <c r="O3536" s="20" t="s">
        <v>798</v>
      </c>
      <c r="P3536" s="17" t="s">
        <v>802</v>
      </c>
      <c r="Q3536" s="21" t="s">
        <v>9157</v>
      </c>
      <c r="R3536" s="19" t="s">
        <v>798</v>
      </c>
      <c r="S3536" s="20" t="s">
        <v>798</v>
      </c>
      <c r="T3536" s="17" t="s">
        <v>798</v>
      </c>
      <c r="U3536" s="20" t="s">
        <v>798</v>
      </c>
      <c r="V3536" s="26" t="s">
        <v>798</v>
      </c>
      <c r="W3536" s="20" t="s">
        <v>798</v>
      </c>
      <c r="X3536" s="26" t="s">
        <v>798</v>
      </c>
      <c r="Y3536" s="20" t="s">
        <v>798</v>
      </c>
      <c r="Z3536" s="69" t="s">
        <v>9486</v>
      </c>
      <c r="AA3536" s="72" t="s">
        <v>9476</v>
      </c>
      <c r="AB3536" s="73" t="s">
        <v>9486</v>
      </c>
      <c r="AC3536" s="74" t="s">
        <v>9566</v>
      </c>
      <c r="AD3536" s="73" t="s">
        <v>9578</v>
      </c>
      <c r="AE3536" s="74" t="s">
        <v>9579</v>
      </c>
    </row>
    <row r="3537" spans="1:31" ht="8.65" customHeight="1" x14ac:dyDescent="0.2">
      <c r="A3537" s="76">
        <v>3537</v>
      </c>
      <c r="B3537" s="67" t="str">
        <f>MID(C3537, FIND("Ifc.", C3537) + 4, 4) &amp; "_" &amp; TEXT(COUNTIF($C$2:C3537, C3537),"0000")</f>
        <v>Enti_0670</v>
      </c>
      <c r="C3537" s="25" t="s">
        <v>874</v>
      </c>
      <c r="D3537" s="69" t="s">
        <v>9453</v>
      </c>
      <c r="E3537" s="70" t="s">
        <v>9457</v>
      </c>
      <c r="F3537" s="26" t="s">
        <v>798</v>
      </c>
      <c r="G3537" s="15" t="s">
        <v>798</v>
      </c>
      <c r="H3537" s="14" t="s">
        <v>798</v>
      </c>
      <c r="I3537" s="15" t="s">
        <v>798</v>
      </c>
      <c r="J3537" s="12" t="s">
        <v>9438</v>
      </c>
      <c r="K3537" s="16" t="s">
        <v>3606</v>
      </c>
      <c r="L3537" s="12" t="s">
        <v>800</v>
      </c>
      <c r="M3537" s="16" t="s">
        <v>4569</v>
      </c>
      <c r="N3537" s="19" t="s">
        <v>798</v>
      </c>
      <c r="O3537" s="20" t="s">
        <v>798</v>
      </c>
      <c r="P3537" s="17" t="s">
        <v>802</v>
      </c>
      <c r="Q3537" s="21" t="s">
        <v>9158</v>
      </c>
      <c r="R3537" s="19" t="s">
        <v>798</v>
      </c>
      <c r="S3537" s="20" t="s">
        <v>798</v>
      </c>
      <c r="T3537" s="17" t="s">
        <v>798</v>
      </c>
      <c r="U3537" s="20" t="s">
        <v>798</v>
      </c>
      <c r="V3537" s="26" t="s">
        <v>798</v>
      </c>
      <c r="W3537" s="20" t="s">
        <v>798</v>
      </c>
      <c r="X3537" s="26" t="s">
        <v>798</v>
      </c>
      <c r="Y3537" s="20" t="s">
        <v>798</v>
      </c>
      <c r="Z3537" s="69" t="s">
        <v>9486</v>
      </c>
      <c r="AA3537" s="72" t="s">
        <v>9477</v>
      </c>
      <c r="AB3537" s="73" t="s">
        <v>9486</v>
      </c>
      <c r="AC3537" s="74" t="s">
        <v>9566</v>
      </c>
      <c r="AD3537" s="73" t="s">
        <v>9578</v>
      </c>
      <c r="AE3537" s="74" t="s">
        <v>9579</v>
      </c>
    </row>
    <row r="3538" spans="1:31" ht="8.65" customHeight="1" x14ac:dyDescent="0.2">
      <c r="A3538" s="76">
        <v>3538</v>
      </c>
      <c r="B3538" s="67" t="str">
        <f>MID(C3538, FIND("Ifc.", C3538) + 4, 4) &amp; "_" &amp; TEXT(COUNTIF($C$2:C3538, C3538),"0000")</f>
        <v>Enti_0671</v>
      </c>
      <c r="C3538" s="25" t="s">
        <v>874</v>
      </c>
      <c r="D3538" s="69" t="s">
        <v>9453</v>
      </c>
      <c r="E3538" s="70" t="s">
        <v>9457</v>
      </c>
      <c r="F3538" s="26" t="s">
        <v>798</v>
      </c>
      <c r="G3538" s="15" t="s">
        <v>798</v>
      </c>
      <c r="H3538" s="14" t="s">
        <v>798</v>
      </c>
      <c r="I3538" s="15" t="s">
        <v>798</v>
      </c>
      <c r="J3538" s="12" t="s">
        <v>9438</v>
      </c>
      <c r="K3538" s="16" t="s">
        <v>3607</v>
      </c>
      <c r="L3538" s="12" t="s">
        <v>800</v>
      </c>
      <c r="M3538" s="16" t="s">
        <v>4570</v>
      </c>
      <c r="N3538" s="19" t="s">
        <v>798</v>
      </c>
      <c r="O3538" s="20" t="s">
        <v>798</v>
      </c>
      <c r="P3538" s="17" t="s">
        <v>802</v>
      </c>
      <c r="Q3538" s="21" t="s">
        <v>9159</v>
      </c>
      <c r="R3538" s="19" t="s">
        <v>798</v>
      </c>
      <c r="S3538" s="20" t="s">
        <v>798</v>
      </c>
      <c r="T3538" s="17" t="s">
        <v>798</v>
      </c>
      <c r="U3538" s="20" t="s">
        <v>798</v>
      </c>
      <c r="V3538" s="26" t="s">
        <v>798</v>
      </c>
      <c r="W3538" s="20" t="s">
        <v>798</v>
      </c>
      <c r="X3538" s="26" t="s">
        <v>798</v>
      </c>
      <c r="Y3538" s="20" t="s">
        <v>798</v>
      </c>
      <c r="Z3538" s="69" t="s">
        <v>9486</v>
      </c>
      <c r="AA3538" s="72" t="s">
        <v>9476</v>
      </c>
      <c r="AB3538" s="73" t="s">
        <v>9486</v>
      </c>
      <c r="AC3538" s="74" t="s">
        <v>9566</v>
      </c>
      <c r="AD3538" s="73" t="s">
        <v>9578</v>
      </c>
      <c r="AE3538" s="74" t="s">
        <v>9579</v>
      </c>
    </row>
    <row r="3539" spans="1:31" ht="8.65" customHeight="1" x14ac:dyDescent="0.2">
      <c r="A3539" s="76">
        <v>3539</v>
      </c>
      <c r="B3539" s="67" t="str">
        <f>MID(C3539, FIND("Ifc.", C3539) + 4, 4) &amp; "_" &amp; TEXT(COUNTIF($C$2:C3539, C3539),"0000")</f>
        <v>Enti_0672</v>
      </c>
      <c r="C3539" s="25" t="s">
        <v>874</v>
      </c>
      <c r="D3539" s="69" t="s">
        <v>9453</v>
      </c>
      <c r="E3539" s="70" t="s">
        <v>9457</v>
      </c>
      <c r="F3539" s="26" t="s">
        <v>798</v>
      </c>
      <c r="G3539" s="15" t="s">
        <v>798</v>
      </c>
      <c r="H3539" s="14" t="s">
        <v>798</v>
      </c>
      <c r="I3539" s="15" t="s">
        <v>798</v>
      </c>
      <c r="J3539" s="12" t="s">
        <v>9438</v>
      </c>
      <c r="K3539" s="16" t="s">
        <v>3608</v>
      </c>
      <c r="L3539" s="12" t="s">
        <v>800</v>
      </c>
      <c r="M3539" s="16" t="s">
        <v>4571</v>
      </c>
      <c r="N3539" s="19" t="s">
        <v>798</v>
      </c>
      <c r="O3539" s="20" t="s">
        <v>798</v>
      </c>
      <c r="P3539" s="17" t="s">
        <v>802</v>
      </c>
      <c r="Q3539" s="21" t="s">
        <v>9160</v>
      </c>
      <c r="R3539" s="19" t="s">
        <v>798</v>
      </c>
      <c r="S3539" s="20" t="s">
        <v>798</v>
      </c>
      <c r="T3539" s="17" t="s">
        <v>798</v>
      </c>
      <c r="U3539" s="20" t="s">
        <v>798</v>
      </c>
      <c r="V3539" s="26" t="s">
        <v>798</v>
      </c>
      <c r="W3539" s="20" t="s">
        <v>798</v>
      </c>
      <c r="X3539" s="26" t="s">
        <v>798</v>
      </c>
      <c r="Y3539" s="20" t="s">
        <v>798</v>
      </c>
      <c r="Z3539" s="69" t="s">
        <v>9486</v>
      </c>
      <c r="AA3539" s="72" t="s">
        <v>9477</v>
      </c>
      <c r="AB3539" s="73" t="s">
        <v>9486</v>
      </c>
      <c r="AC3539" s="74" t="s">
        <v>9566</v>
      </c>
      <c r="AD3539" s="73" t="s">
        <v>9578</v>
      </c>
      <c r="AE3539" s="74" t="s">
        <v>9579</v>
      </c>
    </row>
    <row r="3540" spans="1:31" ht="8.65" customHeight="1" x14ac:dyDescent="0.2">
      <c r="A3540" s="76">
        <v>3540</v>
      </c>
      <c r="B3540" s="67" t="str">
        <f>MID(C3540, FIND("Ifc.", C3540) + 4, 4) &amp; "_" &amp; TEXT(COUNTIF($C$2:C3540, C3540),"0000")</f>
        <v>Enti_0673</v>
      </c>
      <c r="C3540" s="25" t="s">
        <v>874</v>
      </c>
      <c r="D3540" s="69" t="s">
        <v>9453</v>
      </c>
      <c r="E3540" s="70" t="s">
        <v>9457</v>
      </c>
      <c r="F3540" s="26" t="s">
        <v>798</v>
      </c>
      <c r="G3540" s="15" t="s">
        <v>798</v>
      </c>
      <c r="H3540" s="14" t="s">
        <v>798</v>
      </c>
      <c r="I3540" s="15" t="s">
        <v>798</v>
      </c>
      <c r="J3540" s="12" t="s">
        <v>9438</v>
      </c>
      <c r="K3540" s="16" t="s">
        <v>3609</v>
      </c>
      <c r="L3540" s="12" t="s">
        <v>800</v>
      </c>
      <c r="M3540" s="16" t="s">
        <v>4572</v>
      </c>
      <c r="N3540" s="19" t="s">
        <v>798</v>
      </c>
      <c r="O3540" s="20" t="s">
        <v>798</v>
      </c>
      <c r="P3540" s="17" t="s">
        <v>802</v>
      </c>
      <c r="Q3540" s="21" t="s">
        <v>9161</v>
      </c>
      <c r="R3540" s="19" t="s">
        <v>798</v>
      </c>
      <c r="S3540" s="20" t="s">
        <v>798</v>
      </c>
      <c r="T3540" s="17" t="s">
        <v>798</v>
      </c>
      <c r="U3540" s="20" t="s">
        <v>798</v>
      </c>
      <c r="V3540" s="26" t="s">
        <v>798</v>
      </c>
      <c r="W3540" s="20" t="s">
        <v>798</v>
      </c>
      <c r="X3540" s="26" t="s">
        <v>798</v>
      </c>
      <c r="Y3540" s="20" t="s">
        <v>798</v>
      </c>
      <c r="Z3540" s="69" t="s">
        <v>9486</v>
      </c>
      <c r="AA3540" s="72" t="s">
        <v>9476</v>
      </c>
      <c r="AB3540" s="73" t="s">
        <v>9486</v>
      </c>
      <c r="AC3540" s="74" t="s">
        <v>9566</v>
      </c>
      <c r="AD3540" s="73" t="s">
        <v>9578</v>
      </c>
      <c r="AE3540" s="74" t="s">
        <v>9665</v>
      </c>
    </row>
    <row r="3541" spans="1:31" ht="8.65" customHeight="1" x14ac:dyDescent="0.2">
      <c r="A3541" s="76">
        <v>3541</v>
      </c>
      <c r="B3541" s="67" t="str">
        <f>MID(C3541, FIND("Ifc.", C3541) + 4, 4) &amp; "_" &amp; TEXT(COUNTIF($C$2:C3541, C3541),"0000")</f>
        <v>Enti_0674</v>
      </c>
      <c r="C3541" s="25" t="s">
        <v>874</v>
      </c>
      <c r="D3541" s="69" t="s">
        <v>9453</v>
      </c>
      <c r="E3541" s="70" t="s">
        <v>9457</v>
      </c>
      <c r="F3541" s="26" t="s">
        <v>798</v>
      </c>
      <c r="G3541" s="15" t="s">
        <v>798</v>
      </c>
      <c r="H3541" s="14" t="s">
        <v>798</v>
      </c>
      <c r="I3541" s="15" t="s">
        <v>798</v>
      </c>
      <c r="J3541" s="12" t="s">
        <v>9438</v>
      </c>
      <c r="K3541" s="16" t="s">
        <v>3610</v>
      </c>
      <c r="L3541" s="12" t="s">
        <v>800</v>
      </c>
      <c r="M3541" s="16" t="s">
        <v>4573</v>
      </c>
      <c r="N3541" s="19" t="s">
        <v>798</v>
      </c>
      <c r="O3541" s="20" t="s">
        <v>798</v>
      </c>
      <c r="P3541" s="17" t="s">
        <v>802</v>
      </c>
      <c r="Q3541" s="21" t="s">
        <v>9162</v>
      </c>
      <c r="R3541" s="19" t="s">
        <v>798</v>
      </c>
      <c r="S3541" s="20" t="s">
        <v>798</v>
      </c>
      <c r="T3541" s="17" t="s">
        <v>798</v>
      </c>
      <c r="U3541" s="20" t="s">
        <v>798</v>
      </c>
      <c r="V3541" s="26" t="s">
        <v>798</v>
      </c>
      <c r="W3541" s="20" t="s">
        <v>798</v>
      </c>
      <c r="X3541" s="26" t="s">
        <v>798</v>
      </c>
      <c r="Y3541" s="20" t="s">
        <v>798</v>
      </c>
      <c r="Z3541" s="69" t="s">
        <v>9486</v>
      </c>
      <c r="AA3541" s="72" t="s">
        <v>9477</v>
      </c>
      <c r="AB3541" s="73" t="s">
        <v>9486</v>
      </c>
      <c r="AC3541" s="74" t="s">
        <v>9566</v>
      </c>
      <c r="AD3541" s="73" t="s">
        <v>9578</v>
      </c>
      <c r="AE3541" s="74" t="s">
        <v>9665</v>
      </c>
    </row>
    <row r="3542" spans="1:31" ht="8.65" customHeight="1" x14ac:dyDescent="0.2">
      <c r="A3542" s="76">
        <v>3542</v>
      </c>
      <c r="B3542" s="67" t="str">
        <f>MID(C3542, FIND("Ifc.", C3542) + 4, 4) &amp; "_" &amp; TEXT(COUNTIF($C$2:C3542, C3542),"0000")</f>
        <v>Enti_0675</v>
      </c>
      <c r="C3542" s="25" t="s">
        <v>874</v>
      </c>
      <c r="D3542" s="69" t="s">
        <v>9453</v>
      </c>
      <c r="E3542" s="70" t="s">
        <v>9457</v>
      </c>
      <c r="F3542" s="26" t="s">
        <v>798</v>
      </c>
      <c r="G3542" s="15" t="s">
        <v>798</v>
      </c>
      <c r="H3542" s="14" t="s">
        <v>798</v>
      </c>
      <c r="I3542" s="15" t="s">
        <v>798</v>
      </c>
      <c r="J3542" s="12" t="s">
        <v>9438</v>
      </c>
      <c r="K3542" s="16" t="s">
        <v>3611</v>
      </c>
      <c r="L3542" s="12" t="s">
        <v>800</v>
      </c>
      <c r="M3542" s="16" t="s">
        <v>4574</v>
      </c>
      <c r="N3542" s="19" t="s">
        <v>798</v>
      </c>
      <c r="O3542" s="20" t="s">
        <v>798</v>
      </c>
      <c r="P3542" s="17" t="s">
        <v>802</v>
      </c>
      <c r="Q3542" s="21" t="s">
        <v>9163</v>
      </c>
      <c r="R3542" s="19" t="s">
        <v>798</v>
      </c>
      <c r="S3542" s="20" t="s">
        <v>798</v>
      </c>
      <c r="T3542" s="17" t="s">
        <v>798</v>
      </c>
      <c r="U3542" s="20" t="s">
        <v>798</v>
      </c>
      <c r="V3542" s="26" t="s">
        <v>798</v>
      </c>
      <c r="W3542" s="20" t="s">
        <v>798</v>
      </c>
      <c r="X3542" s="26" t="s">
        <v>798</v>
      </c>
      <c r="Y3542" s="20" t="s">
        <v>798</v>
      </c>
      <c r="Z3542" s="69" t="s">
        <v>9486</v>
      </c>
      <c r="AA3542" s="72" t="s">
        <v>9476</v>
      </c>
      <c r="AB3542" s="73" t="s">
        <v>9486</v>
      </c>
      <c r="AC3542" s="74" t="s">
        <v>9566</v>
      </c>
      <c r="AD3542" s="73" t="s">
        <v>9578</v>
      </c>
      <c r="AE3542" s="74" t="s">
        <v>9579</v>
      </c>
    </row>
    <row r="3543" spans="1:31" ht="8.65" customHeight="1" x14ac:dyDescent="0.2">
      <c r="A3543" s="76">
        <v>3543</v>
      </c>
      <c r="B3543" s="67" t="str">
        <f>MID(C3543, FIND("Ifc.", C3543) + 4, 4) &amp; "_" &amp; TEXT(COUNTIF($C$2:C3543, C3543),"0000")</f>
        <v>Enti_0676</v>
      </c>
      <c r="C3543" s="25" t="s">
        <v>874</v>
      </c>
      <c r="D3543" s="69" t="s">
        <v>9453</v>
      </c>
      <c r="E3543" s="70" t="s">
        <v>9457</v>
      </c>
      <c r="F3543" s="26" t="s">
        <v>798</v>
      </c>
      <c r="G3543" s="15" t="s">
        <v>798</v>
      </c>
      <c r="H3543" s="14" t="s">
        <v>798</v>
      </c>
      <c r="I3543" s="15" t="s">
        <v>798</v>
      </c>
      <c r="J3543" s="12" t="s">
        <v>9438</v>
      </c>
      <c r="K3543" s="16" t="s">
        <v>3612</v>
      </c>
      <c r="L3543" s="12" t="s">
        <v>800</v>
      </c>
      <c r="M3543" s="16" t="s">
        <v>4575</v>
      </c>
      <c r="N3543" s="19" t="s">
        <v>798</v>
      </c>
      <c r="O3543" s="20" t="s">
        <v>798</v>
      </c>
      <c r="P3543" s="17" t="s">
        <v>802</v>
      </c>
      <c r="Q3543" s="21" t="s">
        <v>9164</v>
      </c>
      <c r="R3543" s="19" t="s">
        <v>798</v>
      </c>
      <c r="S3543" s="20" t="s">
        <v>798</v>
      </c>
      <c r="T3543" s="17" t="s">
        <v>798</v>
      </c>
      <c r="U3543" s="20" t="s">
        <v>798</v>
      </c>
      <c r="V3543" s="26" t="s">
        <v>798</v>
      </c>
      <c r="W3543" s="20" t="s">
        <v>798</v>
      </c>
      <c r="X3543" s="26" t="s">
        <v>798</v>
      </c>
      <c r="Y3543" s="20" t="s">
        <v>798</v>
      </c>
      <c r="Z3543" s="69" t="s">
        <v>9486</v>
      </c>
      <c r="AA3543" s="72" t="s">
        <v>9476</v>
      </c>
      <c r="AB3543" s="73" t="s">
        <v>9486</v>
      </c>
      <c r="AC3543" s="74" t="s">
        <v>9566</v>
      </c>
      <c r="AD3543" s="73" t="s">
        <v>9578</v>
      </c>
      <c r="AE3543" s="74" t="s">
        <v>9579</v>
      </c>
    </row>
    <row r="3544" spans="1:31" ht="8.65" customHeight="1" x14ac:dyDescent="0.2">
      <c r="A3544" s="76">
        <v>3544</v>
      </c>
      <c r="B3544" s="67" t="str">
        <f>MID(C3544, FIND("Ifc.", C3544) + 4, 4) &amp; "_" &amp; TEXT(COUNTIF($C$2:C3544, C3544),"0000")</f>
        <v>Enti_0677</v>
      </c>
      <c r="C3544" s="25" t="s">
        <v>874</v>
      </c>
      <c r="D3544" s="69" t="s">
        <v>9453</v>
      </c>
      <c r="E3544" s="70" t="s">
        <v>9457</v>
      </c>
      <c r="F3544" s="26" t="s">
        <v>798</v>
      </c>
      <c r="G3544" s="15" t="s">
        <v>798</v>
      </c>
      <c r="H3544" s="14" t="s">
        <v>798</v>
      </c>
      <c r="I3544" s="15" t="s">
        <v>798</v>
      </c>
      <c r="J3544" s="12" t="s">
        <v>9438</v>
      </c>
      <c r="K3544" s="16" t="s">
        <v>3613</v>
      </c>
      <c r="L3544" s="12" t="s">
        <v>800</v>
      </c>
      <c r="M3544" s="16" t="s">
        <v>4576</v>
      </c>
      <c r="N3544" s="19" t="s">
        <v>798</v>
      </c>
      <c r="O3544" s="20" t="s">
        <v>798</v>
      </c>
      <c r="P3544" s="17" t="s">
        <v>802</v>
      </c>
      <c r="Q3544" s="21" t="s">
        <v>9165</v>
      </c>
      <c r="R3544" s="19" t="s">
        <v>798</v>
      </c>
      <c r="S3544" s="20" t="s">
        <v>798</v>
      </c>
      <c r="T3544" s="17" t="s">
        <v>798</v>
      </c>
      <c r="U3544" s="20" t="s">
        <v>798</v>
      </c>
      <c r="V3544" s="26" t="s">
        <v>798</v>
      </c>
      <c r="W3544" s="20" t="s">
        <v>798</v>
      </c>
      <c r="X3544" s="26" t="s">
        <v>798</v>
      </c>
      <c r="Y3544" s="20" t="s">
        <v>798</v>
      </c>
      <c r="Z3544" s="69" t="s">
        <v>9486</v>
      </c>
      <c r="AA3544" s="72" t="s">
        <v>9476</v>
      </c>
      <c r="AB3544" s="73" t="s">
        <v>9486</v>
      </c>
      <c r="AC3544" s="74" t="s">
        <v>9566</v>
      </c>
      <c r="AD3544" s="73" t="s">
        <v>9578</v>
      </c>
      <c r="AE3544" s="74" t="s">
        <v>9579</v>
      </c>
    </row>
    <row r="3545" spans="1:31" ht="8.65" customHeight="1" x14ac:dyDescent="0.2">
      <c r="A3545" s="76">
        <v>3545</v>
      </c>
      <c r="B3545" s="67" t="str">
        <f>MID(C3545, FIND("Ifc.", C3545) + 4, 4) &amp; "_" &amp; TEXT(COUNTIF($C$2:C3545, C3545),"0000")</f>
        <v>Enti_0678</v>
      </c>
      <c r="C3545" s="25" t="s">
        <v>874</v>
      </c>
      <c r="D3545" s="69" t="s">
        <v>9453</v>
      </c>
      <c r="E3545" s="70" t="s">
        <v>9457</v>
      </c>
      <c r="F3545" s="26" t="s">
        <v>798</v>
      </c>
      <c r="G3545" s="15" t="s">
        <v>798</v>
      </c>
      <c r="H3545" s="14" t="s">
        <v>798</v>
      </c>
      <c r="I3545" s="15" t="s">
        <v>798</v>
      </c>
      <c r="J3545" s="12" t="s">
        <v>9438</v>
      </c>
      <c r="K3545" s="16" t="s">
        <v>3614</v>
      </c>
      <c r="L3545" s="12" t="s">
        <v>800</v>
      </c>
      <c r="M3545" s="16" t="s">
        <v>4577</v>
      </c>
      <c r="N3545" s="19" t="s">
        <v>798</v>
      </c>
      <c r="O3545" s="20" t="s">
        <v>798</v>
      </c>
      <c r="P3545" s="17" t="s">
        <v>802</v>
      </c>
      <c r="Q3545" s="21" t="s">
        <v>9166</v>
      </c>
      <c r="R3545" s="19" t="s">
        <v>798</v>
      </c>
      <c r="S3545" s="20" t="s">
        <v>798</v>
      </c>
      <c r="T3545" s="17" t="s">
        <v>798</v>
      </c>
      <c r="U3545" s="20" t="s">
        <v>798</v>
      </c>
      <c r="V3545" s="26" t="s">
        <v>798</v>
      </c>
      <c r="W3545" s="20" t="s">
        <v>798</v>
      </c>
      <c r="X3545" s="26" t="s">
        <v>798</v>
      </c>
      <c r="Y3545" s="20" t="s">
        <v>798</v>
      </c>
      <c r="Z3545" s="69" t="s">
        <v>9486</v>
      </c>
      <c r="AA3545" s="72" t="s">
        <v>9476</v>
      </c>
      <c r="AB3545" s="73" t="s">
        <v>9486</v>
      </c>
      <c r="AC3545" s="74" t="s">
        <v>9566</v>
      </c>
      <c r="AD3545" s="73" t="s">
        <v>9578</v>
      </c>
      <c r="AE3545" s="74" t="s">
        <v>9579</v>
      </c>
    </row>
    <row r="3546" spans="1:31" ht="8.65" customHeight="1" x14ac:dyDescent="0.2">
      <c r="A3546" s="76">
        <v>3546</v>
      </c>
      <c r="B3546" s="67" t="str">
        <f>MID(C3546, FIND("Ifc.", C3546) + 4, 4) &amp; "_" &amp; TEXT(COUNTIF($C$2:C3546, C3546),"0000")</f>
        <v>Enti_0679</v>
      </c>
      <c r="C3546" s="25" t="s">
        <v>874</v>
      </c>
      <c r="D3546" s="69" t="s">
        <v>9453</v>
      </c>
      <c r="E3546" s="70" t="s">
        <v>9457</v>
      </c>
      <c r="F3546" s="26" t="s">
        <v>798</v>
      </c>
      <c r="G3546" s="15" t="s">
        <v>798</v>
      </c>
      <c r="H3546" s="14" t="s">
        <v>798</v>
      </c>
      <c r="I3546" s="15" t="s">
        <v>798</v>
      </c>
      <c r="J3546" s="12" t="s">
        <v>9438</v>
      </c>
      <c r="K3546" s="16" t="s">
        <v>3615</v>
      </c>
      <c r="L3546" s="12" t="s">
        <v>800</v>
      </c>
      <c r="M3546" s="16" t="s">
        <v>4578</v>
      </c>
      <c r="N3546" s="19" t="s">
        <v>798</v>
      </c>
      <c r="O3546" s="20" t="s">
        <v>798</v>
      </c>
      <c r="P3546" s="17" t="s">
        <v>802</v>
      </c>
      <c r="Q3546" s="21" t="s">
        <v>9167</v>
      </c>
      <c r="R3546" s="19" t="s">
        <v>798</v>
      </c>
      <c r="S3546" s="20" t="s">
        <v>798</v>
      </c>
      <c r="T3546" s="17" t="s">
        <v>798</v>
      </c>
      <c r="U3546" s="20" t="s">
        <v>798</v>
      </c>
      <c r="V3546" s="26" t="s">
        <v>798</v>
      </c>
      <c r="W3546" s="20" t="s">
        <v>798</v>
      </c>
      <c r="X3546" s="26" t="s">
        <v>798</v>
      </c>
      <c r="Y3546" s="20" t="s">
        <v>798</v>
      </c>
      <c r="Z3546" s="69" t="s">
        <v>9486</v>
      </c>
      <c r="AA3546" s="72" t="s">
        <v>9476</v>
      </c>
      <c r="AB3546" s="73" t="s">
        <v>9486</v>
      </c>
      <c r="AC3546" s="74" t="s">
        <v>9566</v>
      </c>
      <c r="AD3546" s="73" t="s">
        <v>9578</v>
      </c>
      <c r="AE3546" s="74" t="s">
        <v>9579</v>
      </c>
    </row>
    <row r="3547" spans="1:31" ht="8.65" customHeight="1" x14ac:dyDescent="0.2">
      <c r="A3547" s="76">
        <v>3547</v>
      </c>
      <c r="B3547" s="67" t="str">
        <f>MID(C3547, FIND("Ifc.", C3547) + 4, 4) &amp; "_" &amp; TEXT(COUNTIF($C$2:C3547, C3547),"0000")</f>
        <v>Enti_0680</v>
      </c>
      <c r="C3547" s="25" t="s">
        <v>874</v>
      </c>
      <c r="D3547" s="69" t="s">
        <v>9453</v>
      </c>
      <c r="E3547" s="70" t="s">
        <v>9457</v>
      </c>
      <c r="F3547" s="26" t="s">
        <v>798</v>
      </c>
      <c r="G3547" s="15" t="s">
        <v>798</v>
      </c>
      <c r="H3547" s="14" t="s">
        <v>798</v>
      </c>
      <c r="I3547" s="15" t="s">
        <v>798</v>
      </c>
      <c r="J3547" s="12" t="s">
        <v>9438</v>
      </c>
      <c r="K3547" s="16" t="s">
        <v>3616</v>
      </c>
      <c r="L3547" s="12" t="s">
        <v>800</v>
      </c>
      <c r="M3547" s="16" t="s">
        <v>4579</v>
      </c>
      <c r="N3547" s="19" t="s">
        <v>798</v>
      </c>
      <c r="O3547" s="20" t="s">
        <v>798</v>
      </c>
      <c r="P3547" s="17" t="s">
        <v>802</v>
      </c>
      <c r="Q3547" s="21" t="s">
        <v>9168</v>
      </c>
      <c r="R3547" s="19" t="s">
        <v>798</v>
      </c>
      <c r="S3547" s="20" t="s">
        <v>798</v>
      </c>
      <c r="T3547" s="17" t="s">
        <v>798</v>
      </c>
      <c r="U3547" s="20" t="s">
        <v>798</v>
      </c>
      <c r="V3547" s="26" t="s">
        <v>798</v>
      </c>
      <c r="W3547" s="20" t="s">
        <v>798</v>
      </c>
      <c r="X3547" s="26" t="s">
        <v>798</v>
      </c>
      <c r="Y3547" s="20" t="s">
        <v>798</v>
      </c>
      <c r="Z3547" s="69" t="s">
        <v>9486</v>
      </c>
      <c r="AA3547" s="72" t="s">
        <v>9476</v>
      </c>
      <c r="AB3547" s="73" t="s">
        <v>9486</v>
      </c>
      <c r="AC3547" s="74" t="s">
        <v>9566</v>
      </c>
      <c r="AD3547" s="73" t="s">
        <v>9578</v>
      </c>
      <c r="AE3547" s="74" t="s">
        <v>9579</v>
      </c>
    </row>
    <row r="3548" spans="1:31" ht="8.65" customHeight="1" x14ac:dyDescent="0.2">
      <c r="A3548" s="76">
        <v>3548</v>
      </c>
      <c r="B3548" s="67" t="str">
        <f>MID(C3548, FIND("Ifc.", C3548) + 4, 4) &amp; "_" &amp; TEXT(COUNTIF($C$2:C3548, C3548),"0000")</f>
        <v>Enti_0681</v>
      </c>
      <c r="C3548" s="25" t="s">
        <v>874</v>
      </c>
      <c r="D3548" s="69" t="s">
        <v>9453</v>
      </c>
      <c r="E3548" s="70" t="s">
        <v>9457</v>
      </c>
      <c r="F3548" s="26" t="s">
        <v>798</v>
      </c>
      <c r="G3548" s="15" t="s">
        <v>798</v>
      </c>
      <c r="H3548" s="14" t="s">
        <v>798</v>
      </c>
      <c r="I3548" s="15" t="s">
        <v>798</v>
      </c>
      <c r="J3548" s="12" t="s">
        <v>9438</v>
      </c>
      <c r="K3548" s="16" t="s">
        <v>3617</v>
      </c>
      <c r="L3548" s="12" t="s">
        <v>800</v>
      </c>
      <c r="M3548" s="16" t="s">
        <v>4580</v>
      </c>
      <c r="N3548" s="19" t="s">
        <v>798</v>
      </c>
      <c r="O3548" s="20" t="s">
        <v>798</v>
      </c>
      <c r="P3548" s="17" t="s">
        <v>802</v>
      </c>
      <c r="Q3548" s="21" t="s">
        <v>9169</v>
      </c>
      <c r="R3548" s="19" t="s">
        <v>798</v>
      </c>
      <c r="S3548" s="20" t="s">
        <v>798</v>
      </c>
      <c r="T3548" s="17" t="s">
        <v>798</v>
      </c>
      <c r="U3548" s="20" t="s">
        <v>798</v>
      </c>
      <c r="V3548" s="26" t="s">
        <v>798</v>
      </c>
      <c r="W3548" s="20" t="s">
        <v>798</v>
      </c>
      <c r="X3548" s="26" t="s">
        <v>798</v>
      </c>
      <c r="Y3548" s="20" t="s">
        <v>798</v>
      </c>
      <c r="Z3548" s="69" t="s">
        <v>9486</v>
      </c>
      <c r="AA3548" s="72" t="s">
        <v>9476</v>
      </c>
      <c r="AB3548" s="73" t="s">
        <v>9486</v>
      </c>
      <c r="AC3548" s="74" t="s">
        <v>9566</v>
      </c>
      <c r="AD3548" s="73" t="s">
        <v>9578</v>
      </c>
      <c r="AE3548" s="74" t="s">
        <v>9667</v>
      </c>
    </row>
    <row r="3549" spans="1:31" ht="8.65" customHeight="1" x14ac:dyDescent="0.2">
      <c r="A3549" s="76">
        <v>3549</v>
      </c>
      <c r="B3549" s="67" t="str">
        <f>MID(C3549, FIND("Ifc.", C3549) + 4, 4) &amp; "_" &amp; TEXT(COUNTIF($C$2:C3549, C3549),"0000")</f>
        <v>Enti_0682</v>
      </c>
      <c r="C3549" s="25" t="s">
        <v>874</v>
      </c>
      <c r="D3549" s="69" t="s">
        <v>9453</v>
      </c>
      <c r="E3549" s="70" t="s">
        <v>9457</v>
      </c>
      <c r="F3549" s="26" t="s">
        <v>798</v>
      </c>
      <c r="G3549" s="15" t="s">
        <v>798</v>
      </c>
      <c r="H3549" s="14" t="s">
        <v>798</v>
      </c>
      <c r="I3549" s="15" t="s">
        <v>798</v>
      </c>
      <c r="J3549" s="12" t="s">
        <v>9438</v>
      </c>
      <c r="K3549" s="16" t="s">
        <v>3618</v>
      </c>
      <c r="L3549" s="12" t="s">
        <v>800</v>
      </c>
      <c r="M3549" s="16" t="s">
        <v>4581</v>
      </c>
      <c r="N3549" s="19" t="s">
        <v>798</v>
      </c>
      <c r="O3549" s="20" t="s">
        <v>798</v>
      </c>
      <c r="P3549" s="17" t="s">
        <v>802</v>
      </c>
      <c r="Q3549" s="21" t="s">
        <v>9170</v>
      </c>
      <c r="R3549" s="19" t="s">
        <v>798</v>
      </c>
      <c r="S3549" s="20" t="s">
        <v>798</v>
      </c>
      <c r="T3549" s="17" t="s">
        <v>798</v>
      </c>
      <c r="U3549" s="20" t="s">
        <v>798</v>
      </c>
      <c r="V3549" s="26" t="s">
        <v>798</v>
      </c>
      <c r="W3549" s="20" t="s">
        <v>798</v>
      </c>
      <c r="X3549" s="26" t="s">
        <v>798</v>
      </c>
      <c r="Y3549" s="20" t="s">
        <v>798</v>
      </c>
      <c r="Z3549" s="69" t="s">
        <v>9486</v>
      </c>
      <c r="AA3549" s="72" t="s">
        <v>9476</v>
      </c>
      <c r="AB3549" s="73" t="s">
        <v>9486</v>
      </c>
      <c r="AC3549" s="74" t="s">
        <v>9566</v>
      </c>
      <c r="AD3549" s="73" t="s">
        <v>9578</v>
      </c>
      <c r="AE3549" s="74" t="s">
        <v>9579</v>
      </c>
    </row>
    <row r="3550" spans="1:31" ht="8.65" customHeight="1" x14ac:dyDescent="0.2">
      <c r="A3550" s="76">
        <v>3550</v>
      </c>
      <c r="B3550" s="67" t="str">
        <f>MID(C3550, FIND("Ifc.", C3550) + 4, 4) &amp; "_" &amp; TEXT(COUNTIF($C$2:C3550, C3550),"0000")</f>
        <v>Enti_0683</v>
      </c>
      <c r="C3550" s="25" t="s">
        <v>874</v>
      </c>
      <c r="D3550" s="69" t="s">
        <v>9453</v>
      </c>
      <c r="E3550" s="70" t="s">
        <v>9457</v>
      </c>
      <c r="F3550" s="26" t="s">
        <v>798</v>
      </c>
      <c r="G3550" s="15" t="s">
        <v>798</v>
      </c>
      <c r="H3550" s="14" t="s">
        <v>798</v>
      </c>
      <c r="I3550" s="15" t="s">
        <v>798</v>
      </c>
      <c r="J3550" s="12" t="s">
        <v>9438</v>
      </c>
      <c r="K3550" s="16" t="s">
        <v>3619</v>
      </c>
      <c r="L3550" s="12" t="s">
        <v>800</v>
      </c>
      <c r="M3550" s="16" t="s">
        <v>4582</v>
      </c>
      <c r="N3550" s="19" t="s">
        <v>798</v>
      </c>
      <c r="O3550" s="20" t="s">
        <v>798</v>
      </c>
      <c r="P3550" s="17" t="s">
        <v>802</v>
      </c>
      <c r="Q3550" s="21" t="s">
        <v>9171</v>
      </c>
      <c r="R3550" s="19" t="s">
        <v>798</v>
      </c>
      <c r="S3550" s="20" t="s">
        <v>798</v>
      </c>
      <c r="T3550" s="17" t="s">
        <v>798</v>
      </c>
      <c r="U3550" s="20" t="s">
        <v>798</v>
      </c>
      <c r="V3550" s="26" t="s">
        <v>798</v>
      </c>
      <c r="W3550" s="20" t="s">
        <v>798</v>
      </c>
      <c r="X3550" s="26" t="s">
        <v>798</v>
      </c>
      <c r="Y3550" s="20" t="s">
        <v>798</v>
      </c>
      <c r="Z3550" s="69" t="s">
        <v>9486</v>
      </c>
      <c r="AA3550" s="72" t="s">
        <v>9476</v>
      </c>
      <c r="AB3550" s="73" t="s">
        <v>9486</v>
      </c>
      <c r="AC3550" s="74" t="s">
        <v>9566</v>
      </c>
      <c r="AD3550" s="73" t="s">
        <v>9578</v>
      </c>
      <c r="AE3550" s="74" t="s">
        <v>9579</v>
      </c>
    </row>
    <row r="3551" spans="1:31" ht="8.65" customHeight="1" x14ac:dyDescent="0.2">
      <c r="A3551" s="76">
        <v>3551</v>
      </c>
      <c r="B3551" s="67" t="str">
        <f>MID(C3551, FIND("Ifc.", C3551) + 4, 4) &amp; "_" &amp; TEXT(COUNTIF($C$2:C3551, C3551),"0000")</f>
        <v>Enti_0684</v>
      </c>
      <c r="C3551" s="25" t="s">
        <v>874</v>
      </c>
      <c r="D3551" s="69" t="s">
        <v>9453</v>
      </c>
      <c r="E3551" s="70" t="s">
        <v>9457</v>
      </c>
      <c r="F3551" s="26" t="s">
        <v>798</v>
      </c>
      <c r="G3551" s="15" t="s">
        <v>798</v>
      </c>
      <c r="H3551" s="14" t="s">
        <v>798</v>
      </c>
      <c r="I3551" s="15" t="s">
        <v>798</v>
      </c>
      <c r="J3551" s="12" t="s">
        <v>9438</v>
      </c>
      <c r="K3551" s="16" t="s">
        <v>3620</v>
      </c>
      <c r="L3551" s="12" t="s">
        <v>800</v>
      </c>
      <c r="M3551" s="16" t="s">
        <v>4583</v>
      </c>
      <c r="N3551" s="19" t="s">
        <v>798</v>
      </c>
      <c r="O3551" s="20" t="s">
        <v>798</v>
      </c>
      <c r="P3551" s="17" t="s">
        <v>802</v>
      </c>
      <c r="Q3551" s="21" t="s">
        <v>9172</v>
      </c>
      <c r="R3551" s="19" t="s">
        <v>798</v>
      </c>
      <c r="S3551" s="20" t="s">
        <v>798</v>
      </c>
      <c r="T3551" s="17" t="s">
        <v>798</v>
      </c>
      <c r="U3551" s="20" t="s">
        <v>798</v>
      </c>
      <c r="V3551" s="26" t="s">
        <v>798</v>
      </c>
      <c r="W3551" s="20" t="s">
        <v>798</v>
      </c>
      <c r="X3551" s="26" t="s">
        <v>798</v>
      </c>
      <c r="Y3551" s="20" t="s">
        <v>798</v>
      </c>
      <c r="Z3551" s="69" t="s">
        <v>9486</v>
      </c>
      <c r="AA3551" s="72" t="s">
        <v>9476</v>
      </c>
      <c r="AB3551" s="73" t="s">
        <v>9486</v>
      </c>
      <c r="AC3551" s="74" t="s">
        <v>9566</v>
      </c>
      <c r="AD3551" s="73" t="s">
        <v>9578</v>
      </c>
      <c r="AE3551" s="74" t="s">
        <v>9579</v>
      </c>
    </row>
    <row r="3552" spans="1:31" ht="8.65" customHeight="1" x14ac:dyDescent="0.2">
      <c r="A3552" s="76">
        <v>3552</v>
      </c>
      <c r="B3552" s="67" t="str">
        <f>MID(C3552, FIND("Ifc.", C3552) + 4, 4) &amp; "_" &amp; TEXT(COUNTIF($C$2:C3552, C3552),"0000")</f>
        <v>Enti_0685</v>
      </c>
      <c r="C3552" s="25" t="s">
        <v>874</v>
      </c>
      <c r="D3552" s="69" t="s">
        <v>9453</v>
      </c>
      <c r="E3552" s="70" t="s">
        <v>9457</v>
      </c>
      <c r="F3552" s="26" t="s">
        <v>798</v>
      </c>
      <c r="G3552" s="15" t="s">
        <v>798</v>
      </c>
      <c r="H3552" s="14" t="s">
        <v>798</v>
      </c>
      <c r="I3552" s="15" t="s">
        <v>798</v>
      </c>
      <c r="J3552" s="12" t="s">
        <v>9438</v>
      </c>
      <c r="K3552" s="16" t="s">
        <v>3621</v>
      </c>
      <c r="L3552" s="12" t="s">
        <v>800</v>
      </c>
      <c r="M3552" s="16" t="s">
        <v>4584</v>
      </c>
      <c r="N3552" s="19" t="s">
        <v>798</v>
      </c>
      <c r="O3552" s="20" t="s">
        <v>798</v>
      </c>
      <c r="P3552" s="17" t="s">
        <v>802</v>
      </c>
      <c r="Q3552" s="21" t="s">
        <v>9173</v>
      </c>
      <c r="R3552" s="19" t="s">
        <v>798</v>
      </c>
      <c r="S3552" s="20" t="s">
        <v>798</v>
      </c>
      <c r="T3552" s="17" t="s">
        <v>798</v>
      </c>
      <c r="U3552" s="20" t="s">
        <v>798</v>
      </c>
      <c r="V3552" s="26" t="s">
        <v>798</v>
      </c>
      <c r="W3552" s="20" t="s">
        <v>798</v>
      </c>
      <c r="X3552" s="26" t="s">
        <v>798</v>
      </c>
      <c r="Y3552" s="20" t="s">
        <v>798</v>
      </c>
      <c r="Z3552" s="69" t="s">
        <v>9486</v>
      </c>
      <c r="AA3552" s="72" t="s">
        <v>9477</v>
      </c>
      <c r="AB3552" s="73" t="s">
        <v>9486</v>
      </c>
      <c r="AC3552" s="74" t="s">
        <v>9566</v>
      </c>
      <c r="AD3552" s="73" t="s">
        <v>9578</v>
      </c>
      <c r="AE3552" s="74" t="s">
        <v>9579</v>
      </c>
    </row>
    <row r="3553" spans="1:31" ht="8.65" customHeight="1" x14ac:dyDescent="0.2">
      <c r="A3553" s="76">
        <v>3553</v>
      </c>
      <c r="B3553" s="67" t="str">
        <f>MID(C3553, FIND("Ifc.", C3553) + 4, 4) &amp; "_" &amp; TEXT(COUNTIF($C$2:C3553, C3553),"0000")</f>
        <v>Enti_0686</v>
      </c>
      <c r="C3553" s="25" t="s">
        <v>874</v>
      </c>
      <c r="D3553" s="69" t="s">
        <v>9453</v>
      </c>
      <c r="E3553" s="70" t="s">
        <v>9457</v>
      </c>
      <c r="F3553" s="26" t="s">
        <v>798</v>
      </c>
      <c r="G3553" s="15" t="s">
        <v>798</v>
      </c>
      <c r="H3553" s="14" t="s">
        <v>798</v>
      </c>
      <c r="I3553" s="15" t="s">
        <v>798</v>
      </c>
      <c r="J3553" s="12" t="s">
        <v>9438</v>
      </c>
      <c r="K3553" s="16" t="s">
        <v>3622</v>
      </c>
      <c r="L3553" s="12" t="s">
        <v>800</v>
      </c>
      <c r="M3553" s="16" t="s">
        <v>4585</v>
      </c>
      <c r="N3553" s="19" t="s">
        <v>798</v>
      </c>
      <c r="O3553" s="20" t="s">
        <v>798</v>
      </c>
      <c r="P3553" s="17" t="s">
        <v>802</v>
      </c>
      <c r="Q3553" s="21" t="s">
        <v>9174</v>
      </c>
      <c r="R3553" s="19" t="s">
        <v>798</v>
      </c>
      <c r="S3553" s="20" t="s">
        <v>798</v>
      </c>
      <c r="T3553" s="17" t="s">
        <v>798</v>
      </c>
      <c r="U3553" s="20" t="s">
        <v>798</v>
      </c>
      <c r="V3553" s="26" t="s">
        <v>798</v>
      </c>
      <c r="W3553" s="20" t="s">
        <v>798</v>
      </c>
      <c r="X3553" s="26" t="s">
        <v>798</v>
      </c>
      <c r="Y3553" s="20" t="s">
        <v>798</v>
      </c>
      <c r="Z3553" s="69" t="s">
        <v>9486</v>
      </c>
      <c r="AA3553" s="72" t="s">
        <v>9476</v>
      </c>
      <c r="AB3553" s="73" t="s">
        <v>9486</v>
      </c>
      <c r="AC3553" s="74" t="s">
        <v>9566</v>
      </c>
      <c r="AD3553" s="73" t="s">
        <v>9578</v>
      </c>
      <c r="AE3553" s="74" t="s">
        <v>9579</v>
      </c>
    </row>
    <row r="3554" spans="1:31" ht="8.65" customHeight="1" x14ac:dyDescent="0.2">
      <c r="A3554" s="76">
        <v>3554</v>
      </c>
      <c r="B3554" s="67" t="str">
        <f>MID(C3554, FIND("Ifc.", C3554) + 4, 4) &amp; "_" &amp; TEXT(COUNTIF($C$2:C3554, C3554),"0000")</f>
        <v>Enti_0687</v>
      </c>
      <c r="C3554" s="25" t="s">
        <v>874</v>
      </c>
      <c r="D3554" s="69" t="s">
        <v>9453</v>
      </c>
      <c r="E3554" s="70" t="s">
        <v>9457</v>
      </c>
      <c r="F3554" s="26" t="s">
        <v>798</v>
      </c>
      <c r="G3554" s="15" t="s">
        <v>798</v>
      </c>
      <c r="H3554" s="14" t="s">
        <v>798</v>
      </c>
      <c r="I3554" s="15" t="s">
        <v>798</v>
      </c>
      <c r="J3554" s="12" t="s">
        <v>9438</v>
      </c>
      <c r="K3554" s="16" t="s">
        <v>3623</v>
      </c>
      <c r="L3554" s="12" t="s">
        <v>800</v>
      </c>
      <c r="M3554" s="16" t="s">
        <v>4586</v>
      </c>
      <c r="N3554" s="19" t="s">
        <v>798</v>
      </c>
      <c r="O3554" s="20" t="s">
        <v>798</v>
      </c>
      <c r="P3554" s="17" t="s">
        <v>802</v>
      </c>
      <c r="Q3554" s="21" t="s">
        <v>9175</v>
      </c>
      <c r="R3554" s="19" t="s">
        <v>798</v>
      </c>
      <c r="S3554" s="20" t="s">
        <v>798</v>
      </c>
      <c r="T3554" s="17" t="s">
        <v>798</v>
      </c>
      <c r="U3554" s="20" t="s">
        <v>798</v>
      </c>
      <c r="V3554" s="26" t="s">
        <v>798</v>
      </c>
      <c r="W3554" s="20" t="s">
        <v>798</v>
      </c>
      <c r="X3554" s="26" t="s">
        <v>798</v>
      </c>
      <c r="Y3554" s="20" t="s">
        <v>798</v>
      </c>
      <c r="Z3554" s="69" t="s">
        <v>9486</v>
      </c>
      <c r="AA3554" s="72" t="s">
        <v>9477</v>
      </c>
      <c r="AB3554" s="73" t="s">
        <v>9486</v>
      </c>
      <c r="AC3554" s="74" t="s">
        <v>9566</v>
      </c>
      <c r="AD3554" s="73" t="s">
        <v>9578</v>
      </c>
      <c r="AE3554" s="74" t="s">
        <v>9579</v>
      </c>
    </row>
    <row r="3555" spans="1:31" ht="8.65" customHeight="1" x14ac:dyDescent="0.2">
      <c r="A3555" s="76">
        <v>3555</v>
      </c>
      <c r="B3555" s="67" t="str">
        <f>MID(C3555, FIND("Ifc.", C3555) + 4, 4) &amp; "_" &amp; TEXT(COUNTIF($C$2:C3555, C3555),"0000")</f>
        <v>Enti_0688</v>
      </c>
      <c r="C3555" s="25" t="s">
        <v>874</v>
      </c>
      <c r="D3555" s="69" t="s">
        <v>9453</v>
      </c>
      <c r="E3555" s="70" t="s">
        <v>9457</v>
      </c>
      <c r="F3555" s="26" t="s">
        <v>798</v>
      </c>
      <c r="G3555" s="15" t="s">
        <v>798</v>
      </c>
      <c r="H3555" s="14" t="s">
        <v>798</v>
      </c>
      <c r="I3555" s="15" t="s">
        <v>798</v>
      </c>
      <c r="J3555" s="12" t="s">
        <v>9438</v>
      </c>
      <c r="K3555" s="16" t="s">
        <v>3624</v>
      </c>
      <c r="L3555" s="12" t="s">
        <v>800</v>
      </c>
      <c r="M3555" s="16" t="s">
        <v>4587</v>
      </c>
      <c r="N3555" s="19" t="s">
        <v>798</v>
      </c>
      <c r="O3555" s="20" t="s">
        <v>798</v>
      </c>
      <c r="P3555" s="17" t="s">
        <v>802</v>
      </c>
      <c r="Q3555" s="21" t="s">
        <v>9176</v>
      </c>
      <c r="R3555" s="19" t="s">
        <v>798</v>
      </c>
      <c r="S3555" s="20" t="s">
        <v>798</v>
      </c>
      <c r="T3555" s="17" t="s">
        <v>798</v>
      </c>
      <c r="U3555" s="20" t="s">
        <v>798</v>
      </c>
      <c r="V3555" s="26" t="s">
        <v>798</v>
      </c>
      <c r="W3555" s="20" t="s">
        <v>798</v>
      </c>
      <c r="X3555" s="26" t="s">
        <v>798</v>
      </c>
      <c r="Y3555" s="20" t="s">
        <v>798</v>
      </c>
      <c r="Z3555" s="69" t="s">
        <v>9486</v>
      </c>
      <c r="AA3555" s="72" t="s">
        <v>9476</v>
      </c>
      <c r="AB3555" s="73" t="s">
        <v>9486</v>
      </c>
      <c r="AC3555" s="74" t="s">
        <v>9561</v>
      </c>
      <c r="AD3555" s="73" t="s">
        <v>9578</v>
      </c>
      <c r="AE3555" s="74" t="s">
        <v>9579</v>
      </c>
    </row>
    <row r="3556" spans="1:31" ht="8.65" customHeight="1" x14ac:dyDescent="0.2">
      <c r="A3556" s="76">
        <v>3556</v>
      </c>
      <c r="B3556" s="67" t="str">
        <f>MID(C3556, FIND("Ifc.", C3556) + 4, 4) &amp; "_" &amp; TEXT(COUNTIF($C$2:C3556, C3556),"0000")</f>
        <v>Enti_0689</v>
      </c>
      <c r="C3556" s="25" t="s">
        <v>874</v>
      </c>
      <c r="D3556" s="69" t="s">
        <v>9453</v>
      </c>
      <c r="E3556" s="70" t="s">
        <v>9457</v>
      </c>
      <c r="F3556" s="26" t="s">
        <v>798</v>
      </c>
      <c r="G3556" s="15" t="s">
        <v>798</v>
      </c>
      <c r="H3556" s="14" t="s">
        <v>798</v>
      </c>
      <c r="I3556" s="15" t="s">
        <v>798</v>
      </c>
      <c r="J3556" s="12" t="s">
        <v>9438</v>
      </c>
      <c r="K3556" s="16" t="s">
        <v>3625</v>
      </c>
      <c r="L3556" s="12" t="s">
        <v>800</v>
      </c>
      <c r="M3556" s="16" t="s">
        <v>4588</v>
      </c>
      <c r="N3556" s="19" t="s">
        <v>798</v>
      </c>
      <c r="O3556" s="20" t="s">
        <v>798</v>
      </c>
      <c r="P3556" s="17" t="s">
        <v>802</v>
      </c>
      <c r="Q3556" s="21" t="s">
        <v>9177</v>
      </c>
      <c r="R3556" s="19" t="s">
        <v>798</v>
      </c>
      <c r="S3556" s="20" t="s">
        <v>798</v>
      </c>
      <c r="T3556" s="17" t="s">
        <v>798</v>
      </c>
      <c r="U3556" s="20" t="s">
        <v>798</v>
      </c>
      <c r="V3556" s="26" t="s">
        <v>798</v>
      </c>
      <c r="W3556" s="20" t="s">
        <v>798</v>
      </c>
      <c r="X3556" s="26" t="s">
        <v>798</v>
      </c>
      <c r="Y3556" s="20" t="s">
        <v>798</v>
      </c>
      <c r="Z3556" s="69" t="s">
        <v>9486</v>
      </c>
      <c r="AA3556" s="72" t="s">
        <v>9476</v>
      </c>
      <c r="AB3556" s="73" t="s">
        <v>9486</v>
      </c>
      <c r="AC3556" s="74" t="s">
        <v>9561</v>
      </c>
      <c r="AD3556" s="73" t="s">
        <v>9578</v>
      </c>
      <c r="AE3556" s="74" t="s">
        <v>9579</v>
      </c>
    </row>
    <row r="3557" spans="1:31" ht="8.65" customHeight="1" x14ac:dyDescent="0.2">
      <c r="A3557" s="76">
        <v>3557</v>
      </c>
      <c r="B3557" s="67" t="str">
        <f>MID(C3557, FIND("Ifc.", C3557) + 4, 4) &amp; "_" &amp; TEXT(COUNTIF($C$2:C3557, C3557),"0000")</f>
        <v>Enti_0690</v>
      </c>
      <c r="C3557" s="25" t="s">
        <v>874</v>
      </c>
      <c r="D3557" s="69" t="s">
        <v>9453</v>
      </c>
      <c r="E3557" s="70" t="s">
        <v>9457</v>
      </c>
      <c r="F3557" s="26" t="s">
        <v>798</v>
      </c>
      <c r="G3557" s="15" t="s">
        <v>798</v>
      </c>
      <c r="H3557" s="14" t="s">
        <v>798</v>
      </c>
      <c r="I3557" s="15" t="s">
        <v>798</v>
      </c>
      <c r="J3557" s="12" t="s">
        <v>9438</v>
      </c>
      <c r="K3557" s="16" t="s">
        <v>3626</v>
      </c>
      <c r="L3557" s="12" t="s">
        <v>800</v>
      </c>
      <c r="M3557" s="16" t="s">
        <v>4589</v>
      </c>
      <c r="N3557" s="19" t="s">
        <v>798</v>
      </c>
      <c r="O3557" s="20" t="s">
        <v>798</v>
      </c>
      <c r="P3557" s="17" t="s">
        <v>802</v>
      </c>
      <c r="Q3557" s="21" t="s">
        <v>9178</v>
      </c>
      <c r="R3557" s="19" t="s">
        <v>798</v>
      </c>
      <c r="S3557" s="20" t="s">
        <v>798</v>
      </c>
      <c r="T3557" s="17" t="s">
        <v>798</v>
      </c>
      <c r="U3557" s="20" t="s">
        <v>798</v>
      </c>
      <c r="V3557" s="26" t="s">
        <v>798</v>
      </c>
      <c r="W3557" s="20" t="s">
        <v>798</v>
      </c>
      <c r="X3557" s="26" t="s">
        <v>798</v>
      </c>
      <c r="Y3557" s="20" t="s">
        <v>798</v>
      </c>
      <c r="Z3557" s="69" t="s">
        <v>9486</v>
      </c>
      <c r="AA3557" s="72" t="s">
        <v>9476</v>
      </c>
      <c r="AB3557" s="73" t="s">
        <v>9486</v>
      </c>
      <c r="AC3557" s="74" t="s">
        <v>9561</v>
      </c>
      <c r="AD3557" s="73" t="s">
        <v>9578</v>
      </c>
      <c r="AE3557" s="74" t="s">
        <v>9579</v>
      </c>
    </row>
    <row r="3558" spans="1:31" ht="8.65" customHeight="1" x14ac:dyDescent="0.2">
      <c r="A3558" s="76">
        <v>3558</v>
      </c>
      <c r="B3558" s="67" t="str">
        <f>MID(C3558, FIND("Ifc.", C3558) + 4, 4) &amp; "_" &amp; TEXT(COUNTIF($C$2:C3558, C3558),"0000")</f>
        <v>Enti_0691</v>
      </c>
      <c r="C3558" s="25" t="s">
        <v>874</v>
      </c>
      <c r="D3558" s="69" t="s">
        <v>9453</v>
      </c>
      <c r="E3558" s="70" t="s">
        <v>9457</v>
      </c>
      <c r="F3558" s="26" t="s">
        <v>798</v>
      </c>
      <c r="G3558" s="15" t="s">
        <v>798</v>
      </c>
      <c r="H3558" s="14" t="s">
        <v>798</v>
      </c>
      <c r="I3558" s="15" t="s">
        <v>798</v>
      </c>
      <c r="J3558" s="12" t="s">
        <v>9438</v>
      </c>
      <c r="K3558" s="16" t="s">
        <v>3627</v>
      </c>
      <c r="L3558" s="12" t="s">
        <v>800</v>
      </c>
      <c r="M3558" s="16" t="s">
        <v>4590</v>
      </c>
      <c r="N3558" s="19" t="s">
        <v>798</v>
      </c>
      <c r="O3558" s="20" t="s">
        <v>798</v>
      </c>
      <c r="P3558" s="17" t="s">
        <v>802</v>
      </c>
      <c r="Q3558" s="21" t="s">
        <v>9179</v>
      </c>
      <c r="R3558" s="19" t="s">
        <v>798</v>
      </c>
      <c r="S3558" s="20" t="s">
        <v>798</v>
      </c>
      <c r="T3558" s="17" t="s">
        <v>798</v>
      </c>
      <c r="U3558" s="20" t="s">
        <v>798</v>
      </c>
      <c r="V3558" s="26" t="s">
        <v>798</v>
      </c>
      <c r="W3558" s="20" t="s">
        <v>798</v>
      </c>
      <c r="X3558" s="26" t="s">
        <v>798</v>
      </c>
      <c r="Y3558" s="20" t="s">
        <v>798</v>
      </c>
      <c r="Z3558" s="69" t="s">
        <v>9486</v>
      </c>
      <c r="AA3558" s="72" t="s">
        <v>9476</v>
      </c>
      <c r="AB3558" s="73" t="s">
        <v>9486</v>
      </c>
      <c r="AC3558" s="74" t="s">
        <v>9561</v>
      </c>
      <c r="AD3558" s="73" t="s">
        <v>9578</v>
      </c>
      <c r="AE3558" s="74" t="s">
        <v>9579</v>
      </c>
    </row>
    <row r="3559" spans="1:31" ht="8.65" customHeight="1" x14ac:dyDescent="0.2">
      <c r="A3559" s="76">
        <v>3559</v>
      </c>
      <c r="B3559" s="67" t="str">
        <f>MID(C3559, FIND("Ifc.", C3559) + 4, 4) &amp; "_" &amp; TEXT(COUNTIF($C$2:C3559, C3559),"0000")</f>
        <v>Enti_0692</v>
      </c>
      <c r="C3559" s="25" t="s">
        <v>874</v>
      </c>
      <c r="D3559" s="69" t="s">
        <v>9453</v>
      </c>
      <c r="E3559" s="70" t="s">
        <v>9457</v>
      </c>
      <c r="F3559" s="26" t="s">
        <v>798</v>
      </c>
      <c r="G3559" s="15" t="s">
        <v>798</v>
      </c>
      <c r="H3559" s="14" t="s">
        <v>798</v>
      </c>
      <c r="I3559" s="15" t="s">
        <v>798</v>
      </c>
      <c r="J3559" s="12" t="s">
        <v>9438</v>
      </c>
      <c r="K3559" s="16" t="s">
        <v>3628</v>
      </c>
      <c r="L3559" s="12" t="s">
        <v>800</v>
      </c>
      <c r="M3559" s="16" t="s">
        <v>4591</v>
      </c>
      <c r="N3559" s="19" t="s">
        <v>798</v>
      </c>
      <c r="O3559" s="20" t="s">
        <v>798</v>
      </c>
      <c r="P3559" s="17" t="s">
        <v>802</v>
      </c>
      <c r="Q3559" s="21" t="s">
        <v>9180</v>
      </c>
      <c r="R3559" s="19" t="s">
        <v>798</v>
      </c>
      <c r="S3559" s="20" t="s">
        <v>798</v>
      </c>
      <c r="T3559" s="17" t="s">
        <v>798</v>
      </c>
      <c r="U3559" s="20" t="s">
        <v>798</v>
      </c>
      <c r="V3559" s="26" t="s">
        <v>798</v>
      </c>
      <c r="W3559" s="20" t="s">
        <v>798</v>
      </c>
      <c r="X3559" s="26" t="s">
        <v>798</v>
      </c>
      <c r="Y3559" s="20" t="s">
        <v>798</v>
      </c>
      <c r="Z3559" s="69" t="s">
        <v>9486</v>
      </c>
      <c r="AA3559" s="72" t="s">
        <v>9476</v>
      </c>
      <c r="AB3559" s="73" t="s">
        <v>9486</v>
      </c>
      <c r="AC3559" s="74" t="s">
        <v>9561</v>
      </c>
      <c r="AD3559" s="73" t="s">
        <v>9578</v>
      </c>
      <c r="AE3559" s="74" t="s">
        <v>9579</v>
      </c>
    </row>
    <row r="3560" spans="1:31" ht="8.65" customHeight="1" x14ac:dyDescent="0.2">
      <c r="A3560" s="76">
        <v>3560</v>
      </c>
      <c r="B3560" s="67" t="str">
        <f>MID(C3560, FIND("Ifc.", C3560) + 4, 4) &amp; "_" &amp; TEXT(COUNTIF($C$2:C3560, C3560),"0000")</f>
        <v>Enti_0693</v>
      </c>
      <c r="C3560" s="25" t="s">
        <v>874</v>
      </c>
      <c r="D3560" s="69" t="s">
        <v>9453</v>
      </c>
      <c r="E3560" s="70" t="s">
        <v>9457</v>
      </c>
      <c r="F3560" s="26" t="s">
        <v>798</v>
      </c>
      <c r="G3560" s="15" t="s">
        <v>798</v>
      </c>
      <c r="H3560" s="14" t="s">
        <v>798</v>
      </c>
      <c r="I3560" s="15" t="s">
        <v>798</v>
      </c>
      <c r="J3560" s="12" t="s">
        <v>9438</v>
      </c>
      <c r="K3560" s="16" t="s">
        <v>3629</v>
      </c>
      <c r="L3560" s="12" t="s">
        <v>800</v>
      </c>
      <c r="M3560" s="16" t="s">
        <v>4592</v>
      </c>
      <c r="N3560" s="19" t="s">
        <v>798</v>
      </c>
      <c r="O3560" s="20" t="s">
        <v>798</v>
      </c>
      <c r="P3560" s="17" t="s">
        <v>802</v>
      </c>
      <c r="Q3560" s="21" t="s">
        <v>9181</v>
      </c>
      <c r="R3560" s="19" t="s">
        <v>798</v>
      </c>
      <c r="S3560" s="20" t="s">
        <v>798</v>
      </c>
      <c r="T3560" s="17" t="s">
        <v>798</v>
      </c>
      <c r="U3560" s="20" t="s">
        <v>798</v>
      </c>
      <c r="V3560" s="26" t="s">
        <v>798</v>
      </c>
      <c r="W3560" s="20" t="s">
        <v>798</v>
      </c>
      <c r="X3560" s="26" t="s">
        <v>798</v>
      </c>
      <c r="Y3560" s="20" t="s">
        <v>798</v>
      </c>
      <c r="Z3560" s="69" t="s">
        <v>9486</v>
      </c>
      <c r="AA3560" s="72" t="s">
        <v>9477</v>
      </c>
      <c r="AB3560" s="73" t="s">
        <v>9486</v>
      </c>
      <c r="AC3560" s="74" t="s">
        <v>9561</v>
      </c>
      <c r="AD3560" s="73" t="s">
        <v>9578</v>
      </c>
      <c r="AE3560" s="74" t="s">
        <v>9579</v>
      </c>
    </row>
    <row r="3561" spans="1:31" ht="8.65" customHeight="1" x14ac:dyDescent="0.2">
      <c r="A3561" s="76">
        <v>3561</v>
      </c>
      <c r="B3561" s="67" t="str">
        <f>MID(C3561, FIND("Ifc.", C3561) + 4, 4) &amp; "_" &amp; TEXT(COUNTIF($C$2:C3561, C3561),"0000")</f>
        <v>Enti_0694</v>
      </c>
      <c r="C3561" s="25" t="s">
        <v>874</v>
      </c>
      <c r="D3561" s="69" t="s">
        <v>9453</v>
      </c>
      <c r="E3561" s="70" t="s">
        <v>9457</v>
      </c>
      <c r="F3561" s="26" t="s">
        <v>798</v>
      </c>
      <c r="G3561" s="15" t="s">
        <v>798</v>
      </c>
      <c r="H3561" s="14" t="s">
        <v>798</v>
      </c>
      <c r="I3561" s="15" t="s">
        <v>798</v>
      </c>
      <c r="J3561" s="12" t="s">
        <v>9438</v>
      </c>
      <c r="K3561" s="16" t="s">
        <v>3630</v>
      </c>
      <c r="L3561" s="12" t="s">
        <v>800</v>
      </c>
      <c r="M3561" s="16" t="s">
        <v>4593</v>
      </c>
      <c r="N3561" s="19" t="s">
        <v>798</v>
      </c>
      <c r="O3561" s="20" t="s">
        <v>798</v>
      </c>
      <c r="P3561" s="17" t="s">
        <v>802</v>
      </c>
      <c r="Q3561" s="21" t="s">
        <v>9182</v>
      </c>
      <c r="R3561" s="19" t="s">
        <v>798</v>
      </c>
      <c r="S3561" s="20" t="s">
        <v>798</v>
      </c>
      <c r="T3561" s="17" t="s">
        <v>798</v>
      </c>
      <c r="U3561" s="20" t="s">
        <v>798</v>
      </c>
      <c r="V3561" s="26" t="s">
        <v>798</v>
      </c>
      <c r="W3561" s="20" t="s">
        <v>798</v>
      </c>
      <c r="X3561" s="26" t="s">
        <v>798</v>
      </c>
      <c r="Y3561" s="20" t="s">
        <v>798</v>
      </c>
      <c r="Z3561" s="69" t="s">
        <v>9486</v>
      </c>
      <c r="AA3561" s="72" t="s">
        <v>9476</v>
      </c>
      <c r="AB3561" s="73" t="s">
        <v>9486</v>
      </c>
      <c r="AC3561" s="74" t="s">
        <v>9561</v>
      </c>
      <c r="AD3561" s="73" t="s">
        <v>9578</v>
      </c>
      <c r="AE3561" s="74" t="s">
        <v>9579</v>
      </c>
    </row>
    <row r="3562" spans="1:31" ht="8.65" customHeight="1" x14ac:dyDescent="0.2">
      <c r="A3562" s="76">
        <v>3562</v>
      </c>
      <c r="B3562" s="67" t="str">
        <f>MID(C3562, FIND("Ifc.", C3562) + 4, 4) &amp; "_" &amp; TEXT(COUNTIF($C$2:C3562, C3562),"0000")</f>
        <v>Enti_0695</v>
      </c>
      <c r="C3562" s="25" t="s">
        <v>874</v>
      </c>
      <c r="D3562" s="69" t="s">
        <v>9453</v>
      </c>
      <c r="E3562" s="70" t="s">
        <v>9457</v>
      </c>
      <c r="F3562" s="26" t="s">
        <v>798</v>
      </c>
      <c r="G3562" s="15" t="s">
        <v>798</v>
      </c>
      <c r="H3562" s="14" t="s">
        <v>798</v>
      </c>
      <c r="I3562" s="15" t="s">
        <v>798</v>
      </c>
      <c r="J3562" s="12" t="s">
        <v>9438</v>
      </c>
      <c r="K3562" s="16" t="s">
        <v>3631</v>
      </c>
      <c r="L3562" s="12" t="s">
        <v>800</v>
      </c>
      <c r="M3562" s="16" t="s">
        <v>4594</v>
      </c>
      <c r="N3562" s="19" t="s">
        <v>798</v>
      </c>
      <c r="O3562" s="20" t="s">
        <v>798</v>
      </c>
      <c r="P3562" s="17" t="s">
        <v>802</v>
      </c>
      <c r="Q3562" s="21" t="s">
        <v>9183</v>
      </c>
      <c r="R3562" s="19" t="s">
        <v>798</v>
      </c>
      <c r="S3562" s="20" t="s">
        <v>798</v>
      </c>
      <c r="T3562" s="17" t="s">
        <v>798</v>
      </c>
      <c r="U3562" s="20" t="s">
        <v>798</v>
      </c>
      <c r="V3562" s="26" t="s">
        <v>798</v>
      </c>
      <c r="W3562" s="20" t="s">
        <v>798</v>
      </c>
      <c r="X3562" s="26" t="s">
        <v>798</v>
      </c>
      <c r="Y3562" s="20" t="s">
        <v>798</v>
      </c>
      <c r="Z3562" s="69" t="s">
        <v>9486</v>
      </c>
      <c r="AA3562" s="72" t="s">
        <v>9476</v>
      </c>
      <c r="AB3562" s="73" t="s">
        <v>9486</v>
      </c>
      <c r="AC3562" s="74" t="s">
        <v>9561</v>
      </c>
      <c r="AD3562" s="73" t="s">
        <v>9578</v>
      </c>
      <c r="AE3562" s="74" t="s">
        <v>9579</v>
      </c>
    </row>
    <row r="3563" spans="1:31" ht="8.65" customHeight="1" x14ac:dyDescent="0.2">
      <c r="A3563" s="76">
        <v>3563</v>
      </c>
      <c r="B3563" s="67" t="str">
        <f>MID(C3563, FIND("Ifc.", C3563) + 4, 4) &amp; "_" &amp; TEXT(COUNTIF($C$2:C3563, C3563),"0000")</f>
        <v>Enti_0696</v>
      </c>
      <c r="C3563" s="25" t="s">
        <v>874</v>
      </c>
      <c r="D3563" s="69" t="s">
        <v>9453</v>
      </c>
      <c r="E3563" s="70" t="s">
        <v>9457</v>
      </c>
      <c r="F3563" s="26" t="s">
        <v>798</v>
      </c>
      <c r="G3563" s="15" t="s">
        <v>798</v>
      </c>
      <c r="H3563" s="14" t="s">
        <v>798</v>
      </c>
      <c r="I3563" s="15" t="s">
        <v>798</v>
      </c>
      <c r="J3563" s="12" t="s">
        <v>9438</v>
      </c>
      <c r="K3563" s="16" t="s">
        <v>3632</v>
      </c>
      <c r="L3563" s="12" t="s">
        <v>800</v>
      </c>
      <c r="M3563" s="16" t="s">
        <v>4595</v>
      </c>
      <c r="N3563" s="19" t="s">
        <v>798</v>
      </c>
      <c r="O3563" s="20" t="s">
        <v>798</v>
      </c>
      <c r="P3563" s="17" t="s">
        <v>802</v>
      </c>
      <c r="Q3563" s="21" t="s">
        <v>9184</v>
      </c>
      <c r="R3563" s="19" t="s">
        <v>798</v>
      </c>
      <c r="S3563" s="20" t="s">
        <v>798</v>
      </c>
      <c r="T3563" s="17" t="s">
        <v>798</v>
      </c>
      <c r="U3563" s="20" t="s">
        <v>798</v>
      </c>
      <c r="V3563" s="26" t="s">
        <v>798</v>
      </c>
      <c r="W3563" s="20" t="s">
        <v>798</v>
      </c>
      <c r="X3563" s="26" t="s">
        <v>798</v>
      </c>
      <c r="Y3563" s="20" t="s">
        <v>798</v>
      </c>
      <c r="Z3563" s="69" t="s">
        <v>9486</v>
      </c>
      <c r="AA3563" s="72" t="s">
        <v>9476</v>
      </c>
      <c r="AB3563" s="73" t="s">
        <v>9486</v>
      </c>
      <c r="AC3563" s="74" t="s">
        <v>9561</v>
      </c>
      <c r="AD3563" s="73" t="s">
        <v>9578</v>
      </c>
      <c r="AE3563" s="74" t="s">
        <v>9579</v>
      </c>
    </row>
    <row r="3564" spans="1:31" ht="8.65" customHeight="1" x14ac:dyDescent="0.2">
      <c r="A3564" s="76">
        <v>3564</v>
      </c>
      <c r="B3564" s="67" t="str">
        <f>MID(C3564, FIND("Ifc.", C3564) + 4, 4) &amp; "_" &amp; TEXT(COUNTIF($C$2:C3564, C3564),"0000")</f>
        <v>Enti_0697</v>
      </c>
      <c r="C3564" s="25" t="s">
        <v>874</v>
      </c>
      <c r="D3564" s="69" t="s">
        <v>9453</v>
      </c>
      <c r="E3564" s="70" t="s">
        <v>9457</v>
      </c>
      <c r="F3564" s="26" t="s">
        <v>798</v>
      </c>
      <c r="G3564" s="15" t="s">
        <v>798</v>
      </c>
      <c r="H3564" s="14" t="s">
        <v>798</v>
      </c>
      <c r="I3564" s="15" t="s">
        <v>798</v>
      </c>
      <c r="J3564" s="12" t="s">
        <v>9438</v>
      </c>
      <c r="K3564" s="16" t="s">
        <v>3633</v>
      </c>
      <c r="L3564" s="12" t="s">
        <v>800</v>
      </c>
      <c r="M3564" s="16" t="s">
        <v>4596</v>
      </c>
      <c r="N3564" s="19" t="s">
        <v>798</v>
      </c>
      <c r="O3564" s="20" t="s">
        <v>798</v>
      </c>
      <c r="P3564" s="17" t="s">
        <v>802</v>
      </c>
      <c r="Q3564" s="21" t="s">
        <v>9185</v>
      </c>
      <c r="R3564" s="19" t="s">
        <v>798</v>
      </c>
      <c r="S3564" s="20" t="s">
        <v>798</v>
      </c>
      <c r="T3564" s="17" t="s">
        <v>798</v>
      </c>
      <c r="U3564" s="20" t="s">
        <v>798</v>
      </c>
      <c r="V3564" s="26" t="s">
        <v>798</v>
      </c>
      <c r="W3564" s="20" t="s">
        <v>798</v>
      </c>
      <c r="X3564" s="26" t="s">
        <v>798</v>
      </c>
      <c r="Y3564" s="20" t="s">
        <v>798</v>
      </c>
      <c r="Z3564" s="69" t="s">
        <v>9486</v>
      </c>
      <c r="AA3564" s="72" t="s">
        <v>9476</v>
      </c>
      <c r="AB3564" s="73" t="s">
        <v>9486</v>
      </c>
      <c r="AC3564" s="74" t="s">
        <v>9561</v>
      </c>
      <c r="AD3564" s="73" t="s">
        <v>9578</v>
      </c>
      <c r="AE3564" s="74" t="s">
        <v>9579</v>
      </c>
    </row>
    <row r="3565" spans="1:31" ht="8.65" customHeight="1" x14ac:dyDescent="0.2">
      <c r="A3565" s="76">
        <v>3565</v>
      </c>
      <c r="B3565" s="67" t="str">
        <f>MID(C3565, FIND("Ifc.", C3565) + 4, 4) &amp; "_" &amp; TEXT(COUNTIF($C$2:C3565, C3565),"0000")</f>
        <v>Enti_0698</v>
      </c>
      <c r="C3565" s="25" t="s">
        <v>874</v>
      </c>
      <c r="D3565" s="69" t="s">
        <v>9453</v>
      </c>
      <c r="E3565" s="70" t="s">
        <v>9457</v>
      </c>
      <c r="F3565" s="26" t="s">
        <v>798</v>
      </c>
      <c r="G3565" s="15" t="s">
        <v>798</v>
      </c>
      <c r="H3565" s="14" t="s">
        <v>798</v>
      </c>
      <c r="I3565" s="15" t="s">
        <v>798</v>
      </c>
      <c r="J3565" s="12" t="s">
        <v>9438</v>
      </c>
      <c r="K3565" s="16" t="s">
        <v>3634</v>
      </c>
      <c r="L3565" s="12" t="s">
        <v>800</v>
      </c>
      <c r="M3565" s="16" t="s">
        <v>4597</v>
      </c>
      <c r="N3565" s="19" t="s">
        <v>798</v>
      </c>
      <c r="O3565" s="20" t="s">
        <v>798</v>
      </c>
      <c r="P3565" s="17" t="s">
        <v>802</v>
      </c>
      <c r="Q3565" s="21" t="s">
        <v>9186</v>
      </c>
      <c r="R3565" s="19" t="s">
        <v>798</v>
      </c>
      <c r="S3565" s="20" t="s">
        <v>798</v>
      </c>
      <c r="T3565" s="17" t="s">
        <v>798</v>
      </c>
      <c r="U3565" s="20" t="s">
        <v>798</v>
      </c>
      <c r="V3565" s="26" t="s">
        <v>798</v>
      </c>
      <c r="W3565" s="20" t="s">
        <v>798</v>
      </c>
      <c r="X3565" s="26" t="s">
        <v>798</v>
      </c>
      <c r="Y3565" s="20" t="s">
        <v>798</v>
      </c>
      <c r="Z3565" s="69" t="s">
        <v>9486</v>
      </c>
      <c r="AA3565" s="72" t="s">
        <v>9476</v>
      </c>
      <c r="AB3565" s="73" t="s">
        <v>9486</v>
      </c>
      <c r="AC3565" s="74" t="s">
        <v>9561</v>
      </c>
      <c r="AD3565" s="73" t="s">
        <v>9578</v>
      </c>
      <c r="AE3565" s="74" t="s">
        <v>9579</v>
      </c>
    </row>
    <row r="3566" spans="1:31" ht="8.65" customHeight="1" x14ac:dyDescent="0.2">
      <c r="A3566" s="76">
        <v>3566</v>
      </c>
      <c r="B3566" s="67" t="str">
        <f>MID(C3566, FIND("Ifc.", C3566) + 4, 4) &amp; "_" &amp; TEXT(COUNTIF($C$2:C3566, C3566),"0000")</f>
        <v>Enti_0699</v>
      </c>
      <c r="C3566" s="25" t="s">
        <v>874</v>
      </c>
      <c r="D3566" s="69" t="s">
        <v>9453</v>
      </c>
      <c r="E3566" s="70" t="s">
        <v>9457</v>
      </c>
      <c r="F3566" s="26" t="s">
        <v>798</v>
      </c>
      <c r="G3566" s="15" t="s">
        <v>798</v>
      </c>
      <c r="H3566" s="14" t="s">
        <v>798</v>
      </c>
      <c r="I3566" s="15" t="s">
        <v>798</v>
      </c>
      <c r="J3566" s="12" t="s">
        <v>9438</v>
      </c>
      <c r="K3566" s="16" t="s">
        <v>3635</v>
      </c>
      <c r="L3566" s="12" t="s">
        <v>800</v>
      </c>
      <c r="M3566" s="16" t="s">
        <v>4598</v>
      </c>
      <c r="N3566" s="19" t="s">
        <v>798</v>
      </c>
      <c r="O3566" s="20" t="s">
        <v>798</v>
      </c>
      <c r="P3566" s="17" t="s">
        <v>802</v>
      </c>
      <c r="Q3566" s="21" t="s">
        <v>9187</v>
      </c>
      <c r="R3566" s="19" t="s">
        <v>798</v>
      </c>
      <c r="S3566" s="20" t="s">
        <v>798</v>
      </c>
      <c r="T3566" s="17" t="s">
        <v>798</v>
      </c>
      <c r="U3566" s="20" t="s">
        <v>798</v>
      </c>
      <c r="V3566" s="26" t="s">
        <v>798</v>
      </c>
      <c r="W3566" s="20" t="s">
        <v>798</v>
      </c>
      <c r="X3566" s="26" t="s">
        <v>798</v>
      </c>
      <c r="Y3566" s="20" t="s">
        <v>798</v>
      </c>
      <c r="Z3566" s="69" t="s">
        <v>9486</v>
      </c>
      <c r="AA3566" s="72" t="s">
        <v>9476</v>
      </c>
      <c r="AB3566" s="73" t="s">
        <v>9486</v>
      </c>
      <c r="AC3566" s="74" t="s">
        <v>9561</v>
      </c>
      <c r="AD3566" s="73" t="s">
        <v>9578</v>
      </c>
      <c r="AE3566" s="74" t="s">
        <v>9579</v>
      </c>
    </row>
    <row r="3567" spans="1:31" ht="8.65" customHeight="1" x14ac:dyDescent="0.2">
      <c r="A3567" s="76">
        <v>3567</v>
      </c>
      <c r="B3567" s="67" t="str">
        <f>MID(C3567, FIND("Ifc.", C3567) + 4, 4) &amp; "_" &amp; TEXT(COUNTIF($C$2:C3567, C3567),"0000")</f>
        <v>Enti_0700</v>
      </c>
      <c r="C3567" s="25" t="s">
        <v>874</v>
      </c>
      <c r="D3567" s="69" t="s">
        <v>9453</v>
      </c>
      <c r="E3567" s="70" t="s">
        <v>9457</v>
      </c>
      <c r="F3567" s="26" t="s">
        <v>798</v>
      </c>
      <c r="G3567" s="15" t="s">
        <v>798</v>
      </c>
      <c r="H3567" s="14" t="s">
        <v>798</v>
      </c>
      <c r="I3567" s="15" t="s">
        <v>798</v>
      </c>
      <c r="J3567" s="12" t="s">
        <v>9438</v>
      </c>
      <c r="K3567" s="16" t="s">
        <v>3636</v>
      </c>
      <c r="L3567" s="12" t="s">
        <v>800</v>
      </c>
      <c r="M3567" s="16" t="s">
        <v>4599</v>
      </c>
      <c r="N3567" s="19" t="s">
        <v>798</v>
      </c>
      <c r="O3567" s="20" t="s">
        <v>798</v>
      </c>
      <c r="P3567" s="17" t="s">
        <v>802</v>
      </c>
      <c r="Q3567" s="21" t="s">
        <v>9188</v>
      </c>
      <c r="R3567" s="19" t="s">
        <v>798</v>
      </c>
      <c r="S3567" s="20" t="s">
        <v>798</v>
      </c>
      <c r="T3567" s="17" t="s">
        <v>798</v>
      </c>
      <c r="U3567" s="20" t="s">
        <v>798</v>
      </c>
      <c r="V3567" s="26" t="s">
        <v>798</v>
      </c>
      <c r="W3567" s="20" t="s">
        <v>798</v>
      </c>
      <c r="X3567" s="26" t="s">
        <v>798</v>
      </c>
      <c r="Y3567" s="20" t="s">
        <v>798</v>
      </c>
      <c r="Z3567" s="69" t="s">
        <v>9486</v>
      </c>
      <c r="AA3567" s="72" t="s">
        <v>9476</v>
      </c>
      <c r="AB3567" s="73" t="s">
        <v>9486</v>
      </c>
      <c r="AC3567" s="74" t="s">
        <v>9561</v>
      </c>
      <c r="AD3567" s="73" t="s">
        <v>9578</v>
      </c>
      <c r="AE3567" s="74" t="s">
        <v>9579</v>
      </c>
    </row>
    <row r="3568" spans="1:31" ht="8.65" customHeight="1" x14ac:dyDescent="0.2">
      <c r="A3568" s="76">
        <v>3568</v>
      </c>
      <c r="B3568" s="67" t="str">
        <f>MID(C3568, FIND("Ifc.", C3568) + 4, 4) &amp; "_" &amp; TEXT(COUNTIF($C$2:C3568, C3568),"0000")</f>
        <v>Enti_0701</v>
      </c>
      <c r="C3568" s="25" t="s">
        <v>874</v>
      </c>
      <c r="D3568" s="69" t="s">
        <v>9453</v>
      </c>
      <c r="E3568" s="70" t="s">
        <v>9457</v>
      </c>
      <c r="F3568" s="26" t="s">
        <v>798</v>
      </c>
      <c r="G3568" s="15" t="s">
        <v>798</v>
      </c>
      <c r="H3568" s="14" t="s">
        <v>798</v>
      </c>
      <c r="I3568" s="15" t="s">
        <v>798</v>
      </c>
      <c r="J3568" s="12" t="s">
        <v>9438</v>
      </c>
      <c r="K3568" s="16" t="s">
        <v>3637</v>
      </c>
      <c r="L3568" s="12" t="s">
        <v>800</v>
      </c>
      <c r="M3568" s="16" t="s">
        <v>4600</v>
      </c>
      <c r="N3568" s="19" t="s">
        <v>798</v>
      </c>
      <c r="O3568" s="20" t="s">
        <v>798</v>
      </c>
      <c r="P3568" s="17" t="s">
        <v>802</v>
      </c>
      <c r="Q3568" s="21" t="s">
        <v>9189</v>
      </c>
      <c r="R3568" s="19" t="s">
        <v>798</v>
      </c>
      <c r="S3568" s="20" t="s">
        <v>798</v>
      </c>
      <c r="T3568" s="17" t="s">
        <v>798</v>
      </c>
      <c r="U3568" s="20" t="s">
        <v>798</v>
      </c>
      <c r="V3568" s="26" t="s">
        <v>798</v>
      </c>
      <c r="W3568" s="20" t="s">
        <v>798</v>
      </c>
      <c r="X3568" s="26" t="s">
        <v>798</v>
      </c>
      <c r="Y3568" s="20" t="s">
        <v>798</v>
      </c>
      <c r="Z3568" s="69" t="s">
        <v>9486</v>
      </c>
      <c r="AA3568" s="72" t="s">
        <v>9476</v>
      </c>
      <c r="AB3568" s="73" t="s">
        <v>9486</v>
      </c>
      <c r="AC3568" s="74" t="s">
        <v>9561</v>
      </c>
      <c r="AD3568" s="73" t="s">
        <v>9578</v>
      </c>
      <c r="AE3568" s="74" t="s">
        <v>9579</v>
      </c>
    </row>
    <row r="3569" spans="1:31" ht="8.65" customHeight="1" x14ac:dyDescent="0.2">
      <c r="A3569" s="76">
        <v>3569</v>
      </c>
      <c r="B3569" s="67" t="str">
        <f>MID(C3569, FIND("Ifc.", C3569) + 4, 4) &amp; "_" &amp; TEXT(COUNTIF($C$2:C3569, C3569),"0000")</f>
        <v>Enti_0702</v>
      </c>
      <c r="C3569" s="25" t="s">
        <v>874</v>
      </c>
      <c r="D3569" s="69" t="s">
        <v>9453</v>
      </c>
      <c r="E3569" s="70" t="s">
        <v>9457</v>
      </c>
      <c r="F3569" s="26" t="s">
        <v>798</v>
      </c>
      <c r="G3569" s="15" t="s">
        <v>798</v>
      </c>
      <c r="H3569" s="14" t="s">
        <v>798</v>
      </c>
      <c r="I3569" s="15" t="s">
        <v>798</v>
      </c>
      <c r="J3569" s="12" t="s">
        <v>9438</v>
      </c>
      <c r="K3569" s="16" t="s">
        <v>3638</v>
      </c>
      <c r="L3569" s="12" t="s">
        <v>800</v>
      </c>
      <c r="M3569" s="16" t="s">
        <v>4601</v>
      </c>
      <c r="N3569" s="19" t="s">
        <v>798</v>
      </c>
      <c r="O3569" s="20" t="s">
        <v>798</v>
      </c>
      <c r="P3569" s="17" t="s">
        <v>802</v>
      </c>
      <c r="Q3569" s="21" t="s">
        <v>9190</v>
      </c>
      <c r="R3569" s="19" t="s">
        <v>798</v>
      </c>
      <c r="S3569" s="20" t="s">
        <v>798</v>
      </c>
      <c r="T3569" s="17" t="s">
        <v>798</v>
      </c>
      <c r="U3569" s="20" t="s">
        <v>798</v>
      </c>
      <c r="V3569" s="26" t="s">
        <v>798</v>
      </c>
      <c r="W3569" s="20" t="s">
        <v>798</v>
      </c>
      <c r="X3569" s="26" t="s">
        <v>798</v>
      </c>
      <c r="Y3569" s="20" t="s">
        <v>798</v>
      </c>
      <c r="Z3569" s="69" t="s">
        <v>9486</v>
      </c>
      <c r="AA3569" s="72" t="s">
        <v>9476</v>
      </c>
      <c r="AB3569" s="73" t="s">
        <v>9486</v>
      </c>
      <c r="AC3569" s="74" t="s">
        <v>9561</v>
      </c>
      <c r="AD3569" s="73" t="s">
        <v>9578</v>
      </c>
      <c r="AE3569" s="74" t="s">
        <v>9579</v>
      </c>
    </row>
    <row r="3570" spans="1:31" ht="8.65" customHeight="1" x14ac:dyDescent="0.2">
      <c r="A3570" s="76">
        <v>3570</v>
      </c>
      <c r="B3570" s="67" t="str">
        <f>MID(C3570, FIND("Ifc.", C3570) + 4, 4) &amp; "_" &amp; TEXT(COUNTIF($C$2:C3570, C3570),"0000")</f>
        <v>Enti_0703</v>
      </c>
      <c r="C3570" s="25" t="s">
        <v>874</v>
      </c>
      <c r="D3570" s="69" t="s">
        <v>9453</v>
      </c>
      <c r="E3570" s="70" t="s">
        <v>9457</v>
      </c>
      <c r="F3570" s="26" t="s">
        <v>798</v>
      </c>
      <c r="G3570" s="15" t="s">
        <v>798</v>
      </c>
      <c r="H3570" s="14" t="s">
        <v>798</v>
      </c>
      <c r="I3570" s="15" t="s">
        <v>798</v>
      </c>
      <c r="J3570" s="12" t="s">
        <v>9438</v>
      </c>
      <c r="K3570" s="16" t="s">
        <v>3639</v>
      </c>
      <c r="L3570" s="12" t="s">
        <v>800</v>
      </c>
      <c r="M3570" s="16" t="s">
        <v>4602</v>
      </c>
      <c r="N3570" s="19" t="s">
        <v>798</v>
      </c>
      <c r="O3570" s="20" t="s">
        <v>798</v>
      </c>
      <c r="P3570" s="17" t="s">
        <v>802</v>
      </c>
      <c r="Q3570" s="21" t="s">
        <v>9191</v>
      </c>
      <c r="R3570" s="19" t="s">
        <v>798</v>
      </c>
      <c r="S3570" s="20" t="s">
        <v>798</v>
      </c>
      <c r="T3570" s="17" t="s">
        <v>798</v>
      </c>
      <c r="U3570" s="20" t="s">
        <v>798</v>
      </c>
      <c r="V3570" s="26" t="s">
        <v>798</v>
      </c>
      <c r="W3570" s="20" t="s">
        <v>798</v>
      </c>
      <c r="X3570" s="26" t="s">
        <v>798</v>
      </c>
      <c r="Y3570" s="20" t="s">
        <v>798</v>
      </c>
      <c r="Z3570" s="69" t="s">
        <v>9486</v>
      </c>
      <c r="AA3570" s="72" t="s">
        <v>9476</v>
      </c>
      <c r="AB3570" s="73" t="s">
        <v>9486</v>
      </c>
      <c r="AC3570" s="74" t="s">
        <v>9561</v>
      </c>
      <c r="AD3570" s="73" t="s">
        <v>9578</v>
      </c>
      <c r="AE3570" s="74" t="s">
        <v>9579</v>
      </c>
    </row>
    <row r="3571" spans="1:31" ht="8.65" customHeight="1" x14ac:dyDescent="0.2">
      <c r="A3571" s="76">
        <v>3571</v>
      </c>
      <c r="B3571" s="67" t="str">
        <f>MID(C3571, FIND("Ifc.", C3571) + 4, 4) &amp; "_" &amp; TEXT(COUNTIF($C$2:C3571, C3571),"0000")</f>
        <v>Enti_0704</v>
      </c>
      <c r="C3571" s="25" t="s">
        <v>874</v>
      </c>
      <c r="D3571" s="69" t="s">
        <v>9453</v>
      </c>
      <c r="E3571" s="70" t="s">
        <v>9457</v>
      </c>
      <c r="F3571" s="26" t="s">
        <v>798</v>
      </c>
      <c r="G3571" s="15" t="s">
        <v>798</v>
      </c>
      <c r="H3571" s="14" t="s">
        <v>798</v>
      </c>
      <c r="I3571" s="15" t="s">
        <v>798</v>
      </c>
      <c r="J3571" s="12" t="s">
        <v>9438</v>
      </c>
      <c r="K3571" s="16" t="s">
        <v>3640</v>
      </c>
      <c r="L3571" s="12" t="s">
        <v>800</v>
      </c>
      <c r="M3571" s="16" t="s">
        <v>4603</v>
      </c>
      <c r="N3571" s="19" t="s">
        <v>798</v>
      </c>
      <c r="O3571" s="20" t="s">
        <v>798</v>
      </c>
      <c r="P3571" s="17" t="s">
        <v>802</v>
      </c>
      <c r="Q3571" s="21" t="s">
        <v>9192</v>
      </c>
      <c r="R3571" s="19" t="s">
        <v>798</v>
      </c>
      <c r="S3571" s="20" t="s">
        <v>798</v>
      </c>
      <c r="T3571" s="17" t="s">
        <v>798</v>
      </c>
      <c r="U3571" s="20" t="s">
        <v>798</v>
      </c>
      <c r="V3571" s="26" t="s">
        <v>798</v>
      </c>
      <c r="W3571" s="20" t="s">
        <v>798</v>
      </c>
      <c r="X3571" s="26" t="s">
        <v>798</v>
      </c>
      <c r="Y3571" s="20" t="s">
        <v>798</v>
      </c>
      <c r="Z3571" s="69" t="s">
        <v>9486</v>
      </c>
      <c r="AA3571" s="72" t="s">
        <v>9476</v>
      </c>
      <c r="AB3571" s="73" t="s">
        <v>9486</v>
      </c>
      <c r="AC3571" s="74" t="s">
        <v>9561</v>
      </c>
      <c r="AD3571" s="73" t="s">
        <v>9578</v>
      </c>
      <c r="AE3571" s="74" t="s">
        <v>9579</v>
      </c>
    </row>
    <row r="3572" spans="1:31" ht="8.65" customHeight="1" x14ac:dyDescent="0.2">
      <c r="A3572" s="76">
        <v>3572</v>
      </c>
      <c r="B3572" s="67" t="str">
        <f>MID(C3572, FIND("Ifc.", C3572) + 4, 4) &amp; "_" &amp; TEXT(COUNTIF($C$2:C3572, C3572),"0000")</f>
        <v>Enti_0705</v>
      </c>
      <c r="C3572" s="25" t="s">
        <v>874</v>
      </c>
      <c r="D3572" s="69" t="s">
        <v>9453</v>
      </c>
      <c r="E3572" s="70" t="s">
        <v>9457</v>
      </c>
      <c r="F3572" s="26" t="s">
        <v>798</v>
      </c>
      <c r="G3572" s="15" t="s">
        <v>798</v>
      </c>
      <c r="H3572" s="14" t="s">
        <v>798</v>
      </c>
      <c r="I3572" s="15" t="s">
        <v>798</v>
      </c>
      <c r="J3572" s="12" t="s">
        <v>9438</v>
      </c>
      <c r="K3572" s="16" t="s">
        <v>3641</v>
      </c>
      <c r="L3572" s="12" t="s">
        <v>800</v>
      </c>
      <c r="M3572" s="16" t="s">
        <v>4604</v>
      </c>
      <c r="N3572" s="19" t="s">
        <v>798</v>
      </c>
      <c r="O3572" s="20" t="s">
        <v>798</v>
      </c>
      <c r="P3572" s="17" t="s">
        <v>802</v>
      </c>
      <c r="Q3572" s="21" t="s">
        <v>9193</v>
      </c>
      <c r="R3572" s="19" t="s">
        <v>798</v>
      </c>
      <c r="S3572" s="20" t="s">
        <v>798</v>
      </c>
      <c r="T3572" s="17" t="s">
        <v>798</v>
      </c>
      <c r="U3572" s="20" t="s">
        <v>798</v>
      </c>
      <c r="V3572" s="26" t="s">
        <v>798</v>
      </c>
      <c r="W3572" s="20" t="s">
        <v>798</v>
      </c>
      <c r="X3572" s="26" t="s">
        <v>798</v>
      </c>
      <c r="Y3572" s="20" t="s">
        <v>798</v>
      </c>
      <c r="Z3572" s="69" t="s">
        <v>9486</v>
      </c>
      <c r="AA3572" s="72" t="s">
        <v>9476</v>
      </c>
      <c r="AB3572" s="73" t="s">
        <v>9486</v>
      </c>
      <c r="AC3572" s="74" t="s">
        <v>9561</v>
      </c>
      <c r="AD3572" s="73" t="s">
        <v>9578</v>
      </c>
      <c r="AE3572" s="74" t="s">
        <v>9579</v>
      </c>
    </row>
    <row r="3573" spans="1:31" ht="8.65" customHeight="1" x14ac:dyDescent="0.2">
      <c r="A3573" s="76">
        <v>3573</v>
      </c>
      <c r="B3573" s="67" t="str">
        <f>MID(C3573, FIND("Ifc.", C3573) + 4, 4) &amp; "_" &amp; TEXT(COUNTIF($C$2:C3573, C3573),"0000")</f>
        <v>Enti_0706</v>
      </c>
      <c r="C3573" s="25" t="s">
        <v>874</v>
      </c>
      <c r="D3573" s="69" t="s">
        <v>9453</v>
      </c>
      <c r="E3573" s="70" t="s">
        <v>9457</v>
      </c>
      <c r="F3573" s="26" t="s">
        <v>798</v>
      </c>
      <c r="G3573" s="15" t="s">
        <v>798</v>
      </c>
      <c r="H3573" s="14" t="s">
        <v>798</v>
      </c>
      <c r="I3573" s="15" t="s">
        <v>798</v>
      </c>
      <c r="J3573" s="12" t="s">
        <v>9438</v>
      </c>
      <c r="K3573" s="16" t="s">
        <v>3642</v>
      </c>
      <c r="L3573" s="12" t="s">
        <v>800</v>
      </c>
      <c r="M3573" s="16" t="s">
        <v>4605</v>
      </c>
      <c r="N3573" s="19" t="s">
        <v>798</v>
      </c>
      <c r="O3573" s="20" t="s">
        <v>798</v>
      </c>
      <c r="P3573" s="17" t="s">
        <v>802</v>
      </c>
      <c r="Q3573" s="21" t="s">
        <v>9194</v>
      </c>
      <c r="R3573" s="19" t="s">
        <v>798</v>
      </c>
      <c r="S3573" s="20" t="s">
        <v>798</v>
      </c>
      <c r="T3573" s="17" t="s">
        <v>798</v>
      </c>
      <c r="U3573" s="20" t="s">
        <v>798</v>
      </c>
      <c r="V3573" s="26" t="s">
        <v>798</v>
      </c>
      <c r="W3573" s="20" t="s">
        <v>798</v>
      </c>
      <c r="X3573" s="26" t="s">
        <v>798</v>
      </c>
      <c r="Y3573" s="20" t="s">
        <v>798</v>
      </c>
      <c r="Z3573" s="69" t="s">
        <v>9486</v>
      </c>
      <c r="AA3573" s="72" t="s">
        <v>9476</v>
      </c>
      <c r="AB3573" s="73" t="s">
        <v>9486</v>
      </c>
      <c r="AC3573" s="74" t="s">
        <v>9561</v>
      </c>
      <c r="AD3573" s="73" t="s">
        <v>9578</v>
      </c>
      <c r="AE3573" s="74" t="s">
        <v>9579</v>
      </c>
    </row>
    <row r="3574" spans="1:31" ht="8.65" customHeight="1" x14ac:dyDescent="0.2">
      <c r="A3574" s="76">
        <v>3574</v>
      </c>
      <c r="B3574" s="67" t="str">
        <f>MID(C3574, FIND("Ifc.", C3574) + 4, 4) &amp; "_" &amp; TEXT(COUNTIF($C$2:C3574, C3574),"0000")</f>
        <v>Enti_0707</v>
      </c>
      <c r="C3574" s="25" t="s">
        <v>874</v>
      </c>
      <c r="D3574" s="69" t="s">
        <v>9453</v>
      </c>
      <c r="E3574" s="70" t="s">
        <v>9457</v>
      </c>
      <c r="F3574" s="26" t="s">
        <v>798</v>
      </c>
      <c r="G3574" s="15" t="s">
        <v>798</v>
      </c>
      <c r="H3574" s="14" t="s">
        <v>798</v>
      </c>
      <c r="I3574" s="15" t="s">
        <v>798</v>
      </c>
      <c r="J3574" s="12" t="s">
        <v>9438</v>
      </c>
      <c r="K3574" s="16" t="s">
        <v>3643</v>
      </c>
      <c r="L3574" s="12" t="s">
        <v>800</v>
      </c>
      <c r="M3574" s="16" t="s">
        <v>4606</v>
      </c>
      <c r="N3574" s="19" t="s">
        <v>798</v>
      </c>
      <c r="O3574" s="20" t="s">
        <v>798</v>
      </c>
      <c r="P3574" s="17" t="s">
        <v>802</v>
      </c>
      <c r="Q3574" s="21" t="s">
        <v>9195</v>
      </c>
      <c r="R3574" s="19" t="s">
        <v>798</v>
      </c>
      <c r="S3574" s="20" t="s">
        <v>798</v>
      </c>
      <c r="T3574" s="17" t="s">
        <v>798</v>
      </c>
      <c r="U3574" s="20" t="s">
        <v>798</v>
      </c>
      <c r="V3574" s="26" t="s">
        <v>798</v>
      </c>
      <c r="W3574" s="20" t="s">
        <v>798</v>
      </c>
      <c r="X3574" s="26" t="s">
        <v>798</v>
      </c>
      <c r="Y3574" s="20" t="s">
        <v>798</v>
      </c>
      <c r="Z3574" s="69" t="s">
        <v>9486</v>
      </c>
      <c r="AA3574" s="72" t="s">
        <v>9476</v>
      </c>
      <c r="AB3574" s="73" t="s">
        <v>9486</v>
      </c>
      <c r="AC3574" s="74" t="s">
        <v>9561</v>
      </c>
      <c r="AD3574" s="73" t="s">
        <v>9578</v>
      </c>
      <c r="AE3574" s="74" t="s">
        <v>9579</v>
      </c>
    </row>
    <row r="3575" spans="1:31" ht="8.65" customHeight="1" x14ac:dyDescent="0.2">
      <c r="A3575" s="76">
        <v>3575</v>
      </c>
      <c r="B3575" s="67" t="str">
        <f>MID(C3575, FIND("Ifc.", C3575) + 4, 4) &amp; "_" &amp; TEXT(COUNTIF($C$2:C3575, C3575),"0000")</f>
        <v>Enti_0708</v>
      </c>
      <c r="C3575" s="25" t="s">
        <v>874</v>
      </c>
      <c r="D3575" s="69" t="s">
        <v>9453</v>
      </c>
      <c r="E3575" s="70" t="s">
        <v>9457</v>
      </c>
      <c r="F3575" s="26" t="s">
        <v>798</v>
      </c>
      <c r="G3575" s="15" t="s">
        <v>798</v>
      </c>
      <c r="H3575" s="14" t="s">
        <v>798</v>
      </c>
      <c r="I3575" s="15" t="s">
        <v>798</v>
      </c>
      <c r="J3575" s="12" t="s">
        <v>9438</v>
      </c>
      <c r="K3575" s="16" t="s">
        <v>3644</v>
      </c>
      <c r="L3575" s="12" t="s">
        <v>800</v>
      </c>
      <c r="M3575" s="16" t="s">
        <v>4607</v>
      </c>
      <c r="N3575" s="19" t="s">
        <v>798</v>
      </c>
      <c r="O3575" s="20" t="s">
        <v>798</v>
      </c>
      <c r="P3575" s="17" t="s">
        <v>802</v>
      </c>
      <c r="Q3575" s="21" t="s">
        <v>9196</v>
      </c>
      <c r="R3575" s="19" t="s">
        <v>798</v>
      </c>
      <c r="S3575" s="20" t="s">
        <v>798</v>
      </c>
      <c r="T3575" s="17" t="s">
        <v>798</v>
      </c>
      <c r="U3575" s="20" t="s">
        <v>798</v>
      </c>
      <c r="V3575" s="26" t="s">
        <v>798</v>
      </c>
      <c r="W3575" s="20" t="s">
        <v>798</v>
      </c>
      <c r="X3575" s="26" t="s">
        <v>798</v>
      </c>
      <c r="Y3575" s="20" t="s">
        <v>798</v>
      </c>
      <c r="Z3575" s="69" t="s">
        <v>9486</v>
      </c>
      <c r="AA3575" s="72" t="s">
        <v>9476</v>
      </c>
      <c r="AB3575" s="73" t="s">
        <v>9486</v>
      </c>
      <c r="AC3575" s="74" t="s">
        <v>9561</v>
      </c>
      <c r="AD3575" s="73" t="s">
        <v>9578</v>
      </c>
      <c r="AE3575" s="74" t="s">
        <v>9579</v>
      </c>
    </row>
    <row r="3576" spans="1:31" ht="8.65" customHeight="1" x14ac:dyDescent="0.2">
      <c r="A3576" s="76">
        <v>3576</v>
      </c>
      <c r="B3576" s="67" t="str">
        <f>MID(C3576, FIND("Ifc.", C3576) + 4, 4) &amp; "_" &amp; TEXT(COUNTIF($C$2:C3576, C3576),"0000")</f>
        <v>Enti_0709</v>
      </c>
      <c r="C3576" s="25" t="s">
        <v>874</v>
      </c>
      <c r="D3576" s="69" t="s">
        <v>9453</v>
      </c>
      <c r="E3576" s="70" t="s">
        <v>9457</v>
      </c>
      <c r="F3576" s="26" t="s">
        <v>798</v>
      </c>
      <c r="G3576" s="15" t="s">
        <v>798</v>
      </c>
      <c r="H3576" s="14" t="s">
        <v>798</v>
      </c>
      <c r="I3576" s="15" t="s">
        <v>798</v>
      </c>
      <c r="J3576" s="12" t="s">
        <v>9438</v>
      </c>
      <c r="K3576" s="16" t="s">
        <v>3645</v>
      </c>
      <c r="L3576" s="12" t="s">
        <v>800</v>
      </c>
      <c r="M3576" s="16" t="s">
        <v>4608</v>
      </c>
      <c r="N3576" s="19" t="s">
        <v>798</v>
      </c>
      <c r="O3576" s="20" t="s">
        <v>798</v>
      </c>
      <c r="P3576" s="17" t="s">
        <v>802</v>
      </c>
      <c r="Q3576" s="21" t="s">
        <v>9197</v>
      </c>
      <c r="R3576" s="19" t="s">
        <v>798</v>
      </c>
      <c r="S3576" s="20" t="s">
        <v>798</v>
      </c>
      <c r="T3576" s="17" t="s">
        <v>798</v>
      </c>
      <c r="U3576" s="20" t="s">
        <v>798</v>
      </c>
      <c r="V3576" s="26" t="s">
        <v>798</v>
      </c>
      <c r="W3576" s="20" t="s">
        <v>798</v>
      </c>
      <c r="X3576" s="26" t="s">
        <v>798</v>
      </c>
      <c r="Y3576" s="20" t="s">
        <v>798</v>
      </c>
      <c r="Z3576" s="69" t="s">
        <v>9486</v>
      </c>
      <c r="AA3576" s="72" t="s">
        <v>9476</v>
      </c>
      <c r="AB3576" s="73" t="s">
        <v>9486</v>
      </c>
      <c r="AC3576" s="74" t="s">
        <v>9561</v>
      </c>
      <c r="AD3576" s="73" t="s">
        <v>9578</v>
      </c>
      <c r="AE3576" s="74" t="s">
        <v>9579</v>
      </c>
    </row>
    <row r="3577" spans="1:31" ht="8.65" customHeight="1" x14ac:dyDescent="0.2">
      <c r="A3577" s="76">
        <v>3577</v>
      </c>
      <c r="B3577" s="67" t="str">
        <f>MID(C3577, FIND("Ifc.", C3577) + 4, 4) &amp; "_" &amp; TEXT(COUNTIF($C$2:C3577, C3577),"0000")</f>
        <v>Enti_0710</v>
      </c>
      <c r="C3577" s="25" t="s">
        <v>874</v>
      </c>
      <c r="D3577" s="69" t="s">
        <v>9453</v>
      </c>
      <c r="E3577" s="70" t="s">
        <v>9457</v>
      </c>
      <c r="F3577" s="26" t="s">
        <v>798</v>
      </c>
      <c r="G3577" s="15" t="s">
        <v>798</v>
      </c>
      <c r="H3577" s="14" t="s">
        <v>798</v>
      </c>
      <c r="I3577" s="15" t="s">
        <v>798</v>
      </c>
      <c r="J3577" s="12" t="s">
        <v>9438</v>
      </c>
      <c r="K3577" s="16" t="s">
        <v>3646</v>
      </c>
      <c r="L3577" s="12" t="s">
        <v>800</v>
      </c>
      <c r="M3577" s="16" t="s">
        <v>4609</v>
      </c>
      <c r="N3577" s="19" t="s">
        <v>798</v>
      </c>
      <c r="O3577" s="20" t="s">
        <v>798</v>
      </c>
      <c r="P3577" s="17" t="s">
        <v>802</v>
      </c>
      <c r="Q3577" s="21" t="s">
        <v>9198</v>
      </c>
      <c r="R3577" s="19" t="s">
        <v>798</v>
      </c>
      <c r="S3577" s="20" t="s">
        <v>798</v>
      </c>
      <c r="T3577" s="17" t="s">
        <v>798</v>
      </c>
      <c r="U3577" s="20" t="s">
        <v>798</v>
      </c>
      <c r="V3577" s="26" t="s">
        <v>798</v>
      </c>
      <c r="W3577" s="20" t="s">
        <v>798</v>
      </c>
      <c r="X3577" s="26" t="s">
        <v>798</v>
      </c>
      <c r="Y3577" s="20" t="s">
        <v>798</v>
      </c>
      <c r="Z3577" s="69" t="s">
        <v>9486</v>
      </c>
      <c r="AA3577" s="72" t="s">
        <v>9477</v>
      </c>
      <c r="AB3577" s="73" t="s">
        <v>9486</v>
      </c>
      <c r="AC3577" s="74" t="s">
        <v>9561</v>
      </c>
      <c r="AD3577" s="73" t="s">
        <v>9578</v>
      </c>
      <c r="AE3577" s="74" t="s">
        <v>9579</v>
      </c>
    </row>
    <row r="3578" spans="1:31" ht="8.65" customHeight="1" x14ac:dyDescent="0.2">
      <c r="A3578" s="76">
        <v>3578</v>
      </c>
      <c r="B3578" s="67" t="str">
        <f>MID(C3578, FIND("Ifc.", C3578) + 4, 4) &amp; "_" &amp; TEXT(COUNTIF($C$2:C3578, C3578),"0000")</f>
        <v>Enti_0711</v>
      </c>
      <c r="C3578" s="25" t="s">
        <v>874</v>
      </c>
      <c r="D3578" s="69" t="s">
        <v>9453</v>
      </c>
      <c r="E3578" s="70" t="s">
        <v>9457</v>
      </c>
      <c r="F3578" s="26" t="s">
        <v>798</v>
      </c>
      <c r="G3578" s="15" t="s">
        <v>798</v>
      </c>
      <c r="H3578" s="14" t="s">
        <v>798</v>
      </c>
      <c r="I3578" s="15" t="s">
        <v>798</v>
      </c>
      <c r="J3578" s="12" t="s">
        <v>9438</v>
      </c>
      <c r="K3578" s="16" t="s">
        <v>3647</v>
      </c>
      <c r="L3578" s="12" t="s">
        <v>800</v>
      </c>
      <c r="M3578" s="16" t="s">
        <v>4610</v>
      </c>
      <c r="N3578" s="19" t="s">
        <v>798</v>
      </c>
      <c r="O3578" s="20" t="s">
        <v>798</v>
      </c>
      <c r="P3578" s="17" t="s">
        <v>802</v>
      </c>
      <c r="Q3578" s="21" t="s">
        <v>9199</v>
      </c>
      <c r="R3578" s="19" t="s">
        <v>798</v>
      </c>
      <c r="S3578" s="20" t="s">
        <v>798</v>
      </c>
      <c r="T3578" s="17" t="s">
        <v>798</v>
      </c>
      <c r="U3578" s="20" t="s">
        <v>798</v>
      </c>
      <c r="V3578" s="26" t="s">
        <v>798</v>
      </c>
      <c r="W3578" s="20" t="s">
        <v>798</v>
      </c>
      <c r="X3578" s="26" t="s">
        <v>798</v>
      </c>
      <c r="Y3578" s="20" t="s">
        <v>798</v>
      </c>
      <c r="Z3578" s="69" t="s">
        <v>9486</v>
      </c>
      <c r="AA3578" s="72" t="s">
        <v>9476</v>
      </c>
      <c r="AB3578" s="73" t="s">
        <v>9486</v>
      </c>
      <c r="AC3578" s="74" t="s">
        <v>9566</v>
      </c>
      <c r="AD3578" s="73" t="s">
        <v>9578</v>
      </c>
      <c r="AE3578" s="74" t="s">
        <v>9579</v>
      </c>
    </row>
    <row r="3579" spans="1:31" ht="8.65" customHeight="1" x14ac:dyDescent="0.2">
      <c r="A3579" s="76">
        <v>3579</v>
      </c>
      <c r="B3579" s="67" t="str">
        <f>MID(C3579, FIND("Ifc.", C3579) + 4, 4) &amp; "_" &amp; TEXT(COUNTIF($C$2:C3579, C3579),"0000")</f>
        <v>Enti_0712</v>
      </c>
      <c r="C3579" s="25" t="s">
        <v>874</v>
      </c>
      <c r="D3579" s="69" t="s">
        <v>9453</v>
      </c>
      <c r="E3579" s="70" t="s">
        <v>9457</v>
      </c>
      <c r="F3579" s="26" t="s">
        <v>798</v>
      </c>
      <c r="G3579" s="15" t="s">
        <v>798</v>
      </c>
      <c r="H3579" s="14" t="s">
        <v>798</v>
      </c>
      <c r="I3579" s="15" t="s">
        <v>798</v>
      </c>
      <c r="J3579" s="12" t="s">
        <v>9438</v>
      </c>
      <c r="K3579" s="16" t="s">
        <v>3648</v>
      </c>
      <c r="L3579" s="12" t="s">
        <v>800</v>
      </c>
      <c r="M3579" s="16" t="s">
        <v>4611</v>
      </c>
      <c r="N3579" s="19" t="s">
        <v>798</v>
      </c>
      <c r="O3579" s="20" t="s">
        <v>798</v>
      </c>
      <c r="P3579" s="17" t="s">
        <v>802</v>
      </c>
      <c r="Q3579" s="21" t="s">
        <v>9200</v>
      </c>
      <c r="R3579" s="19" t="s">
        <v>798</v>
      </c>
      <c r="S3579" s="20" t="s">
        <v>798</v>
      </c>
      <c r="T3579" s="17" t="s">
        <v>798</v>
      </c>
      <c r="U3579" s="20" t="s">
        <v>798</v>
      </c>
      <c r="V3579" s="26" t="s">
        <v>798</v>
      </c>
      <c r="W3579" s="20" t="s">
        <v>798</v>
      </c>
      <c r="X3579" s="26" t="s">
        <v>798</v>
      </c>
      <c r="Y3579" s="20" t="s">
        <v>798</v>
      </c>
      <c r="Z3579" s="69" t="s">
        <v>9486</v>
      </c>
      <c r="AA3579" s="72" t="s">
        <v>9477</v>
      </c>
      <c r="AB3579" s="73" t="s">
        <v>9486</v>
      </c>
      <c r="AC3579" s="74" t="s">
        <v>9566</v>
      </c>
      <c r="AD3579" s="73" t="s">
        <v>9578</v>
      </c>
      <c r="AE3579" s="74" t="s">
        <v>9579</v>
      </c>
    </row>
    <row r="3580" spans="1:31" ht="8.65" customHeight="1" x14ac:dyDescent="0.2">
      <c r="A3580" s="76">
        <v>3580</v>
      </c>
      <c r="B3580" s="67" t="str">
        <f>MID(C3580, FIND("Ifc.", C3580) + 4, 4) &amp; "_" &amp; TEXT(COUNTIF($C$2:C3580, C3580),"0000")</f>
        <v>Enti_0713</v>
      </c>
      <c r="C3580" s="25" t="s">
        <v>874</v>
      </c>
      <c r="D3580" s="69" t="s">
        <v>9453</v>
      </c>
      <c r="E3580" s="70" t="s">
        <v>9457</v>
      </c>
      <c r="F3580" s="26" t="s">
        <v>798</v>
      </c>
      <c r="G3580" s="15" t="s">
        <v>798</v>
      </c>
      <c r="H3580" s="14" t="s">
        <v>798</v>
      </c>
      <c r="I3580" s="15" t="s">
        <v>798</v>
      </c>
      <c r="J3580" s="12" t="s">
        <v>9438</v>
      </c>
      <c r="K3580" s="16" t="s">
        <v>3649</v>
      </c>
      <c r="L3580" s="12" t="s">
        <v>800</v>
      </c>
      <c r="M3580" s="16" t="s">
        <v>4612</v>
      </c>
      <c r="N3580" s="19" t="s">
        <v>798</v>
      </c>
      <c r="O3580" s="20" t="s">
        <v>798</v>
      </c>
      <c r="P3580" s="17" t="s">
        <v>802</v>
      </c>
      <c r="Q3580" s="21" t="s">
        <v>9201</v>
      </c>
      <c r="R3580" s="19" t="s">
        <v>798</v>
      </c>
      <c r="S3580" s="20" t="s">
        <v>798</v>
      </c>
      <c r="T3580" s="17" t="s">
        <v>798</v>
      </c>
      <c r="U3580" s="20" t="s">
        <v>798</v>
      </c>
      <c r="V3580" s="26" t="s">
        <v>798</v>
      </c>
      <c r="W3580" s="20" t="s">
        <v>798</v>
      </c>
      <c r="X3580" s="26" t="s">
        <v>798</v>
      </c>
      <c r="Y3580" s="20" t="s">
        <v>798</v>
      </c>
      <c r="Z3580" s="69" t="s">
        <v>9486</v>
      </c>
      <c r="AA3580" s="72" t="s">
        <v>9476</v>
      </c>
      <c r="AB3580" s="73" t="s">
        <v>9486</v>
      </c>
      <c r="AC3580" s="74" t="s">
        <v>9566</v>
      </c>
      <c r="AD3580" s="73" t="s">
        <v>9578</v>
      </c>
      <c r="AE3580" s="74" t="s">
        <v>9579</v>
      </c>
    </row>
    <row r="3581" spans="1:31" ht="8.65" customHeight="1" x14ac:dyDescent="0.2">
      <c r="A3581" s="76">
        <v>3581</v>
      </c>
      <c r="B3581" s="67" t="str">
        <f>MID(C3581, FIND("Ifc.", C3581) + 4, 4) &amp; "_" &amp; TEXT(COUNTIF($C$2:C3581, C3581),"0000")</f>
        <v>Enti_0714</v>
      </c>
      <c r="C3581" s="25" t="s">
        <v>874</v>
      </c>
      <c r="D3581" s="69" t="s">
        <v>9453</v>
      </c>
      <c r="E3581" s="70" t="s">
        <v>9457</v>
      </c>
      <c r="F3581" s="26" t="s">
        <v>798</v>
      </c>
      <c r="G3581" s="15" t="s">
        <v>798</v>
      </c>
      <c r="H3581" s="14" t="s">
        <v>798</v>
      </c>
      <c r="I3581" s="15" t="s">
        <v>798</v>
      </c>
      <c r="J3581" s="12" t="s">
        <v>9438</v>
      </c>
      <c r="K3581" s="16" t="s">
        <v>3650</v>
      </c>
      <c r="L3581" s="12" t="s">
        <v>800</v>
      </c>
      <c r="M3581" s="16" t="s">
        <v>4613</v>
      </c>
      <c r="N3581" s="19" t="s">
        <v>798</v>
      </c>
      <c r="O3581" s="20" t="s">
        <v>798</v>
      </c>
      <c r="P3581" s="17" t="s">
        <v>802</v>
      </c>
      <c r="Q3581" s="21" t="s">
        <v>9202</v>
      </c>
      <c r="R3581" s="19" t="s">
        <v>798</v>
      </c>
      <c r="S3581" s="20" t="s">
        <v>798</v>
      </c>
      <c r="T3581" s="17" t="s">
        <v>798</v>
      </c>
      <c r="U3581" s="20" t="s">
        <v>798</v>
      </c>
      <c r="V3581" s="26" t="s">
        <v>798</v>
      </c>
      <c r="W3581" s="20" t="s">
        <v>798</v>
      </c>
      <c r="X3581" s="26" t="s">
        <v>798</v>
      </c>
      <c r="Y3581" s="20" t="s">
        <v>798</v>
      </c>
      <c r="Z3581" s="69" t="s">
        <v>9486</v>
      </c>
      <c r="AA3581" s="72" t="s">
        <v>9477</v>
      </c>
      <c r="AB3581" s="73" t="s">
        <v>9486</v>
      </c>
      <c r="AC3581" s="74" t="s">
        <v>9566</v>
      </c>
      <c r="AD3581" s="73" t="s">
        <v>9578</v>
      </c>
      <c r="AE3581" s="74" t="s">
        <v>9579</v>
      </c>
    </row>
    <row r="3582" spans="1:31" ht="8.65" customHeight="1" x14ac:dyDescent="0.2">
      <c r="A3582" s="76">
        <v>3582</v>
      </c>
      <c r="B3582" s="67" t="str">
        <f>MID(C3582, FIND("Ifc.", C3582) + 4, 4) &amp; "_" &amp; TEXT(COUNTIF($C$2:C3582, C3582),"0000")</f>
        <v>Enti_0715</v>
      </c>
      <c r="C3582" s="25" t="s">
        <v>874</v>
      </c>
      <c r="D3582" s="69" t="s">
        <v>9453</v>
      </c>
      <c r="E3582" s="70" t="s">
        <v>9457</v>
      </c>
      <c r="F3582" s="26" t="s">
        <v>798</v>
      </c>
      <c r="G3582" s="15" t="s">
        <v>798</v>
      </c>
      <c r="H3582" s="14" t="s">
        <v>798</v>
      </c>
      <c r="I3582" s="15" t="s">
        <v>798</v>
      </c>
      <c r="J3582" s="12" t="s">
        <v>9438</v>
      </c>
      <c r="K3582" s="16" t="s">
        <v>3651</v>
      </c>
      <c r="L3582" s="12" t="s">
        <v>800</v>
      </c>
      <c r="M3582" s="16" t="s">
        <v>4614</v>
      </c>
      <c r="N3582" s="19" t="s">
        <v>798</v>
      </c>
      <c r="O3582" s="20" t="s">
        <v>798</v>
      </c>
      <c r="P3582" s="17" t="s">
        <v>802</v>
      </c>
      <c r="Q3582" s="21" t="s">
        <v>9203</v>
      </c>
      <c r="R3582" s="19" t="s">
        <v>798</v>
      </c>
      <c r="S3582" s="20" t="s">
        <v>798</v>
      </c>
      <c r="T3582" s="17" t="s">
        <v>798</v>
      </c>
      <c r="U3582" s="20" t="s">
        <v>798</v>
      </c>
      <c r="V3582" s="26" t="s">
        <v>798</v>
      </c>
      <c r="W3582" s="20" t="s">
        <v>798</v>
      </c>
      <c r="X3582" s="26" t="s">
        <v>798</v>
      </c>
      <c r="Y3582" s="20" t="s">
        <v>798</v>
      </c>
      <c r="Z3582" s="69" t="s">
        <v>9486</v>
      </c>
      <c r="AA3582" s="72" t="s">
        <v>9476</v>
      </c>
      <c r="AB3582" s="73" t="s">
        <v>9486</v>
      </c>
      <c r="AC3582" s="74" t="s">
        <v>9566</v>
      </c>
      <c r="AD3582" s="73" t="s">
        <v>9578</v>
      </c>
      <c r="AE3582" s="74" t="s">
        <v>9579</v>
      </c>
    </row>
    <row r="3583" spans="1:31" ht="8.65" customHeight="1" x14ac:dyDescent="0.2">
      <c r="A3583" s="76">
        <v>3583</v>
      </c>
      <c r="B3583" s="67" t="str">
        <f>MID(C3583, FIND("Ifc.", C3583) + 4, 4) &amp; "_" &amp; TEXT(COUNTIF($C$2:C3583, C3583),"0000")</f>
        <v>Enti_0716</v>
      </c>
      <c r="C3583" s="25" t="s">
        <v>874</v>
      </c>
      <c r="D3583" s="69" t="s">
        <v>9453</v>
      </c>
      <c r="E3583" s="70" t="s">
        <v>9457</v>
      </c>
      <c r="F3583" s="26" t="s">
        <v>798</v>
      </c>
      <c r="G3583" s="15" t="s">
        <v>798</v>
      </c>
      <c r="H3583" s="14" t="s">
        <v>798</v>
      </c>
      <c r="I3583" s="15" t="s">
        <v>798</v>
      </c>
      <c r="J3583" s="12" t="s">
        <v>9438</v>
      </c>
      <c r="K3583" s="16" t="s">
        <v>3652</v>
      </c>
      <c r="L3583" s="12" t="s">
        <v>800</v>
      </c>
      <c r="M3583" s="16" t="s">
        <v>4615</v>
      </c>
      <c r="N3583" s="19" t="s">
        <v>798</v>
      </c>
      <c r="O3583" s="20" t="s">
        <v>798</v>
      </c>
      <c r="P3583" s="17" t="s">
        <v>802</v>
      </c>
      <c r="Q3583" s="21" t="s">
        <v>9204</v>
      </c>
      <c r="R3583" s="19" t="s">
        <v>798</v>
      </c>
      <c r="S3583" s="20" t="s">
        <v>798</v>
      </c>
      <c r="T3583" s="17" t="s">
        <v>798</v>
      </c>
      <c r="U3583" s="20" t="s">
        <v>798</v>
      </c>
      <c r="V3583" s="26" t="s">
        <v>798</v>
      </c>
      <c r="W3583" s="20" t="s">
        <v>798</v>
      </c>
      <c r="X3583" s="26" t="s">
        <v>798</v>
      </c>
      <c r="Y3583" s="20" t="s">
        <v>798</v>
      </c>
      <c r="Z3583" s="69" t="s">
        <v>9486</v>
      </c>
      <c r="AA3583" s="72" t="s">
        <v>9477</v>
      </c>
      <c r="AB3583" s="73" t="s">
        <v>9486</v>
      </c>
      <c r="AC3583" s="74" t="s">
        <v>9566</v>
      </c>
      <c r="AD3583" s="73" t="s">
        <v>9578</v>
      </c>
      <c r="AE3583" s="74" t="s">
        <v>9579</v>
      </c>
    </row>
    <row r="3584" spans="1:31" ht="8.65" customHeight="1" x14ac:dyDescent="0.2">
      <c r="A3584" s="76">
        <v>3584</v>
      </c>
      <c r="B3584" s="67" t="str">
        <f>MID(C3584, FIND("Ifc.", C3584) + 4, 4) &amp; "_" &amp; TEXT(COUNTIF($C$2:C3584, C3584),"0000")</f>
        <v>Enti_0717</v>
      </c>
      <c r="C3584" s="25" t="s">
        <v>874</v>
      </c>
      <c r="D3584" s="69" t="s">
        <v>9453</v>
      </c>
      <c r="E3584" s="70" t="s">
        <v>9457</v>
      </c>
      <c r="F3584" s="26" t="s">
        <v>798</v>
      </c>
      <c r="G3584" s="15" t="s">
        <v>798</v>
      </c>
      <c r="H3584" s="14" t="s">
        <v>798</v>
      </c>
      <c r="I3584" s="15" t="s">
        <v>798</v>
      </c>
      <c r="J3584" s="12" t="s">
        <v>9438</v>
      </c>
      <c r="K3584" s="16" t="s">
        <v>3653</v>
      </c>
      <c r="L3584" s="12" t="s">
        <v>800</v>
      </c>
      <c r="M3584" s="16" t="s">
        <v>4616</v>
      </c>
      <c r="N3584" s="19" t="s">
        <v>798</v>
      </c>
      <c r="O3584" s="20" t="s">
        <v>798</v>
      </c>
      <c r="P3584" s="17" t="s">
        <v>802</v>
      </c>
      <c r="Q3584" s="21" t="s">
        <v>9205</v>
      </c>
      <c r="R3584" s="19" t="s">
        <v>798</v>
      </c>
      <c r="S3584" s="20" t="s">
        <v>798</v>
      </c>
      <c r="T3584" s="17" t="s">
        <v>798</v>
      </c>
      <c r="U3584" s="20" t="s">
        <v>798</v>
      </c>
      <c r="V3584" s="26" t="s">
        <v>798</v>
      </c>
      <c r="W3584" s="20" t="s">
        <v>798</v>
      </c>
      <c r="X3584" s="26" t="s">
        <v>798</v>
      </c>
      <c r="Y3584" s="20" t="s">
        <v>798</v>
      </c>
      <c r="Z3584" s="69" t="s">
        <v>9486</v>
      </c>
      <c r="AA3584" s="72" t="s">
        <v>9476</v>
      </c>
      <c r="AB3584" s="73" t="s">
        <v>9486</v>
      </c>
      <c r="AC3584" s="74" t="s">
        <v>9566</v>
      </c>
      <c r="AD3584" s="73" t="s">
        <v>9578</v>
      </c>
      <c r="AE3584" s="74" t="s">
        <v>9579</v>
      </c>
    </row>
    <row r="3585" spans="1:31" ht="8.65" customHeight="1" x14ac:dyDescent="0.2">
      <c r="A3585" s="76">
        <v>3585</v>
      </c>
      <c r="B3585" s="67" t="str">
        <f>MID(C3585, FIND("Ifc.", C3585) + 4, 4) &amp; "_" &amp; TEXT(COUNTIF($C$2:C3585, C3585),"0000")</f>
        <v>Enti_0718</v>
      </c>
      <c r="C3585" s="25" t="s">
        <v>874</v>
      </c>
      <c r="D3585" s="69" t="s">
        <v>9453</v>
      </c>
      <c r="E3585" s="70" t="s">
        <v>9457</v>
      </c>
      <c r="F3585" s="26" t="s">
        <v>798</v>
      </c>
      <c r="G3585" s="15" t="s">
        <v>798</v>
      </c>
      <c r="H3585" s="14" t="s">
        <v>798</v>
      </c>
      <c r="I3585" s="15" t="s">
        <v>798</v>
      </c>
      <c r="J3585" s="12" t="s">
        <v>9438</v>
      </c>
      <c r="K3585" s="16" t="s">
        <v>3654</v>
      </c>
      <c r="L3585" s="12" t="s">
        <v>800</v>
      </c>
      <c r="M3585" s="16" t="s">
        <v>4617</v>
      </c>
      <c r="N3585" s="19" t="s">
        <v>798</v>
      </c>
      <c r="O3585" s="20" t="s">
        <v>798</v>
      </c>
      <c r="P3585" s="17" t="s">
        <v>802</v>
      </c>
      <c r="Q3585" s="21" t="s">
        <v>9206</v>
      </c>
      <c r="R3585" s="19" t="s">
        <v>798</v>
      </c>
      <c r="S3585" s="20" t="s">
        <v>798</v>
      </c>
      <c r="T3585" s="17" t="s">
        <v>798</v>
      </c>
      <c r="U3585" s="20" t="s">
        <v>798</v>
      </c>
      <c r="V3585" s="26" t="s">
        <v>798</v>
      </c>
      <c r="W3585" s="20" t="s">
        <v>798</v>
      </c>
      <c r="X3585" s="26" t="s">
        <v>798</v>
      </c>
      <c r="Y3585" s="20" t="s">
        <v>798</v>
      </c>
      <c r="Z3585" s="69" t="s">
        <v>9486</v>
      </c>
      <c r="AA3585" s="72" t="s">
        <v>9477</v>
      </c>
      <c r="AB3585" s="73" t="s">
        <v>9486</v>
      </c>
      <c r="AC3585" s="74" t="s">
        <v>9566</v>
      </c>
      <c r="AD3585" s="73" t="s">
        <v>9578</v>
      </c>
      <c r="AE3585" s="74" t="s">
        <v>9579</v>
      </c>
    </row>
    <row r="3586" spans="1:31" ht="8.65" customHeight="1" x14ac:dyDescent="0.2">
      <c r="A3586" s="76">
        <v>3586</v>
      </c>
      <c r="B3586" s="67" t="str">
        <f>MID(C3586, FIND("Ifc.", C3586) + 4, 4) &amp; "_" &amp; TEXT(COUNTIF($C$2:C3586, C3586),"0000")</f>
        <v>Enti_0719</v>
      </c>
      <c r="C3586" s="25" t="s">
        <v>874</v>
      </c>
      <c r="D3586" s="69" t="s">
        <v>9453</v>
      </c>
      <c r="E3586" s="70" t="s">
        <v>9457</v>
      </c>
      <c r="F3586" s="26" t="s">
        <v>798</v>
      </c>
      <c r="G3586" s="15" t="s">
        <v>798</v>
      </c>
      <c r="H3586" s="14" t="s">
        <v>798</v>
      </c>
      <c r="I3586" s="15" t="s">
        <v>798</v>
      </c>
      <c r="J3586" s="12" t="s">
        <v>9438</v>
      </c>
      <c r="K3586" s="16" t="s">
        <v>3655</v>
      </c>
      <c r="L3586" s="12" t="s">
        <v>800</v>
      </c>
      <c r="M3586" s="16" t="s">
        <v>4618</v>
      </c>
      <c r="N3586" s="19" t="s">
        <v>798</v>
      </c>
      <c r="O3586" s="20" t="s">
        <v>798</v>
      </c>
      <c r="P3586" s="17" t="s">
        <v>802</v>
      </c>
      <c r="Q3586" s="21" t="s">
        <v>9207</v>
      </c>
      <c r="R3586" s="19" t="s">
        <v>798</v>
      </c>
      <c r="S3586" s="20" t="s">
        <v>798</v>
      </c>
      <c r="T3586" s="17" t="s">
        <v>798</v>
      </c>
      <c r="U3586" s="20" t="s">
        <v>798</v>
      </c>
      <c r="V3586" s="26" t="s">
        <v>798</v>
      </c>
      <c r="W3586" s="20" t="s">
        <v>798</v>
      </c>
      <c r="X3586" s="26" t="s">
        <v>798</v>
      </c>
      <c r="Y3586" s="20" t="s">
        <v>798</v>
      </c>
      <c r="Z3586" s="69" t="s">
        <v>9486</v>
      </c>
      <c r="AA3586" s="72" t="s">
        <v>9476</v>
      </c>
      <c r="AB3586" s="73" t="s">
        <v>9486</v>
      </c>
      <c r="AC3586" s="74" t="s">
        <v>9566</v>
      </c>
      <c r="AD3586" s="73" t="s">
        <v>9578</v>
      </c>
      <c r="AE3586" s="74" t="s">
        <v>9579</v>
      </c>
    </row>
    <row r="3587" spans="1:31" ht="8.65" customHeight="1" x14ac:dyDescent="0.2">
      <c r="A3587" s="76">
        <v>3587</v>
      </c>
      <c r="B3587" s="67" t="str">
        <f>MID(C3587, FIND("Ifc.", C3587) + 4, 4) &amp; "_" &amp; TEXT(COUNTIF($C$2:C3587, C3587),"0000")</f>
        <v>Enti_0720</v>
      </c>
      <c r="C3587" s="25" t="s">
        <v>874</v>
      </c>
      <c r="D3587" s="69" t="s">
        <v>9453</v>
      </c>
      <c r="E3587" s="70" t="s">
        <v>9457</v>
      </c>
      <c r="F3587" s="26" t="s">
        <v>798</v>
      </c>
      <c r="G3587" s="15" t="s">
        <v>798</v>
      </c>
      <c r="H3587" s="14" t="s">
        <v>798</v>
      </c>
      <c r="I3587" s="15" t="s">
        <v>798</v>
      </c>
      <c r="J3587" s="12" t="s">
        <v>9438</v>
      </c>
      <c r="K3587" s="16" t="s">
        <v>3656</v>
      </c>
      <c r="L3587" s="12" t="s">
        <v>800</v>
      </c>
      <c r="M3587" s="16" t="s">
        <v>4619</v>
      </c>
      <c r="N3587" s="19" t="s">
        <v>798</v>
      </c>
      <c r="O3587" s="20" t="s">
        <v>798</v>
      </c>
      <c r="P3587" s="17" t="s">
        <v>802</v>
      </c>
      <c r="Q3587" s="21" t="s">
        <v>9208</v>
      </c>
      <c r="R3587" s="19" t="s">
        <v>798</v>
      </c>
      <c r="S3587" s="20" t="s">
        <v>798</v>
      </c>
      <c r="T3587" s="17" t="s">
        <v>798</v>
      </c>
      <c r="U3587" s="20" t="s">
        <v>798</v>
      </c>
      <c r="V3587" s="26" t="s">
        <v>798</v>
      </c>
      <c r="W3587" s="20" t="s">
        <v>798</v>
      </c>
      <c r="X3587" s="26" t="s">
        <v>798</v>
      </c>
      <c r="Y3587" s="20" t="s">
        <v>798</v>
      </c>
      <c r="Z3587" s="69" t="s">
        <v>9486</v>
      </c>
      <c r="AA3587" s="72" t="s">
        <v>9477</v>
      </c>
      <c r="AB3587" s="73" t="s">
        <v>9486</v>
      </c>
      <c r="AC3587" s="74" t="s">
        <v>9566</v>
      </c>
      <c r="AD3587" s="73" t="s">
        <v>9578</v>
      </c>
      <c r="AE3587" s="74" t="s">
        <v>9579</v>
      </c>
    </row>
    <row r="3588" spans="1:31" ht="8.65" customHeight="1" x14ac:dyDescent="0.2">
      <c r="A3588" s="76">
        <v>3588</v>
      </c>
      <c r="B3588" s="67" t="str">
        <f>MID(C3588, FIND("Ifc.", C3588) + 4, 4) &amp; "_" &amp; TEXT(COUNTIF($C$2:C3588, C3588),"0000")</f>
        <v>Enti_0721</v>
      </c>
      <c r="C3588" s="25" t="s">
        <v>874</v>
      </c>
      <c r="D3588" s="69" t="s">
        <v>9453</v>
      </c>
      <c r="E3588" s="70" t="s">
        <v>9457</v>
      </c>
      <c r="F3588" s="26" t="s">
        <v>798</v>
      </c>
      <c r="G3588" s="15" t="s">
        <v>798</v>
      </c>
      <c r="H3588" s="14" t="s">
        <v>798</v>
      </c>
      <c r="I3588" s="15" t="s">
        <v>798</v>
      </c>
      <c r="J3588" s="12" t="s">
        <v>9438</v>
      </c>
      <c r="K3588" s="16" t="s">
        <v>3657</v>
      </c>
      <c r="L3588" s="12" t="s">
        <v>800</v>
      </c>
      <c r="M3588" s="16" t="s">
        <v>4620</v>
      </c>
      <c r="N3588" s="19" t="s">
        <v>798</v>
      </c>
      <c r="O3588" s="20" t="s">
        <v>798</v>
      </c>
      <c r="P3588" s="17" t="s">
        <v>802</v>
      </c>
      <c r="Q3588" s="21" t="s">
        <v>9209</v>
      </c>
      <c r="R3588" s="19" t="s">
        <v>798</v>
      </c>
      <c r="S3588" s="20" t="s">
        <v>798</v>
      </c>
      <c r="T3588" s="17" t="s">
        <v>798</v>
      </c>
      <c r="U3588" s="20" t="s">
        <v>798</v>
      </c>
      <c r="V3588" s="26" t="s">
        <v>798</v>
      </c>
      <c r="W3588" s="20" t="s">
        <v>798</v>
      </c>
      <c r="X3588" s="26" t="s">
        <v>798</v>
      </c>
      <c r="Y3588" s="20" t="s">
        <v>798</v>
      </c>
      <c r="Z3588" s="69" t="s">
        <v>9486</v>
      </c>
      <c r="AA3588" s="72" t="s">
        <v>9476</v>
      </c>
      <c r="AB3588" s="73" t="s">
        <v>9486</v>
      </c>
      <c r="AC3588" s="74" t="s">
        <v>9566</v>
      </c>
      <c r="AD3588" s="73" t="s">
        <v>9578</v>
      </c>
      <c r="AE3588" s="74" t="s">
        <v>9579</v>
      </c>
    </row>
    <row r="3589" spans="1:31" ht="8.65" customHeight="1" x14ac:dyDescent="0.2">
      <c r="A3589" s="76">
        <v>3589</v>
      </c>
      <c r="B3589" s="67" t="str">
        <f>MID(C3589, FIND("Ifc.", C3589) + 4, 4) &amp; "_" &amp; TEXT(COUNTIF($C$2:C3589, C3589),"0000")</f>
        <v>Enti_0722</v>
      </c>
      <c r="C3589" s="25" t="s">
        <v>874</v>
      </c>
      <c r="D3589" s="69" t="s">
        <v>9453</v>
      </c>
      <c r="E3589" s="70" t="s">
        <v>9457</v>
      </c>
      <c r="F3589" s="26" t="s">
        <v>798</v>
      </c>
      <c r="G3589" s="15" t="s">
        <v>798</v>
      </c>
      <c r="H3589" s="14" t="s">
        <v>798</v>
      </c>
      <c r="I3589" s="15" t="s">
        <v>798</v>
      </c>
      <c r="J3589" s="12" t="s">
        <v>9438</v>
      </c>
      <c r="K3589" s="16" t="s">
        <v>3658</v>
      </c>
      <c r="L3589" s="12" t="s">
        <v>800</v>
      </c>
      <c r="M3589" s="16" t="s">
        <v>4621</v>
      </c>
      <c r="N3589" s="19" t="s">
        <v>798</v>
      </c>
      <c r="O3589" s="20" t="s">
        <v>798</v>
      </c>
      <c r="P3589" s="17" t="s">
        <v>802</v>
      </c>
      <c r="Q3589" s="21" t="s">
        <v>9210</v>
      </c>
      <c r="R3589" s="19" t="s">
        <v>798</v>
      </c>
      <c r="S3589" s="20" t="s">
        <v>798</v>
      </c>
      <c r="T3589" s="17" t="s">
        <v>798</v>
      </c>
      <c r="U3589" s="20" t="s">
        <v>798</v>
      </c>
      <c r="V3589" s="26" t="s">
        <v>798</v>
      </c>
      <c r="W3589" s="20" t="s">
        <v>798</v>
      </c>
      <c r="X3589" s="26" t="s">
        <v>798</v>
      </c>
      <c r="Y3589" s="20" t="s">
        <v>798</v>
      </c>
      <c r="Z3589" s="69" t="s">
        <v>9486</v>
      </c>
      <c r="AA3589" s="72" t="s">
        <v>9477</v>
      </c>
      <c r="AB3589" s="73" t="s">
        <v>9486</v>
      </c>
      <c r="AC3589" s="74" t="s">
        <v>9566</v>
      </c>
      <c r="AD3589" s="73" t="s">
        <v>9578</v>
      </c>
      <c r="AE3589" s="74" t="s">
        <v>9579</v>
      </c>
    </row>
    <row r="3590" spans="1:31" ht="8.65" customHeight="1" x14ac:dyDescent="0.2">
      <c r="A3590" s="76">
        <v>3590</v>
      </c>
      <c r="B3590" s="67" t="str">
        <f>MID(C3590, FIND("Ifc.", C3590) + 4, 4) &amp; "_" &amp; TEXT(COUNTIF($C$2:C3590, C3590),"0000")</f>
        <v>Enti_0723</v>
      </c>
      <c r="C3590" s="25" t="s">
        <v>874</v>
      </c>
      <c r="D3590" s="69" t="s">
        <v>9453</v>
      </c>
      <c r="E3590" s="70" t="s">
        <v>9457</v>
      </c>
      <c r="F3590" s="26" t="s">
        <v>798</v>
      </c>
      <c r="G3590" s="15" t="s">
        <v>798</v>
      </c>
      <c r="H3590" s="14" t="s">
        <v>798</v>
      </c>
      <c r="I3590" s="15" t="s">
        <v>798</v>
      </c>
      <c r="J3590" s="12" t="s">
        <v>9438</v>
      </c>
      <c r="K3590" s="16" t="s">
        <v>3659</v>
      </c>
      <c r="L3590" s="12" t="s">
        <v>800</v>
      </c>
      <c r="M3590" s="16" t="s">
        <v>4622</v>
      </c>
      <c r="N3590" s="19" t="s">
        <v>798</v>
      </c>
      <c r="O3590" s="20" t="s">
        <v>798</v>
      </c>
      <c r="P3590" s="17" t="s">
        <v>802</v>
      </c>
      <c r="Q3590" s="21" t="s">
        <v>9211</v>
      </c>
      <c r="R3590" s="19" t="s">
        <v>798</v>
      </c>
      <c r="S3590" s="20" t="s">
        <v>798</v>
      </c>
      <c r="T3590" s="17" t="s">
        <v>798</v>
      </c>
      <c r="U3590" s="20" t="s">
        <v>798</v>
      </c>
      <c r="V3590" s="26" t="s">
        <v>798</v>
      </c>
      <c r="W3590" s="20" t="s">
        <v>798</v>
      </c>
      <c r="X3590" s="26" t="s">
        <v>798</v>
      </c>
      <c r="Y3590" s="20" t="s">
        <v>798</v>
      </c>
      <c r="Z3590" s="69" t="s">
        <v>9486</v>
      </c>
      <c r="AA3590" s="72" t="s">
        <v>9476</v>
      </c>
      <c r="AB3590" s="73" t="s">
        <v>9486</v>
      </c>
      <c r="AC3590" s="74" t="s">
        <v>9566</v>
      </c>
      <c r="AD3590" s="73" t="s">
        <v>9578</v>
      </c>
      <c r="AE3590" s="74" t="s">
        <v>9579</v>
      </c>
    </row>
    <row r="3591" spans="1:31" ht="8.65" customHeight="1" x14ac:dyDescent="0.2">
      <c r="A3591" s="76">
        <v>3591</v>
      </c>
      <c r="B3591" s="67" t="str">
        <f>MID(C3591, FIND("Ifc.", C3591) + 4, 4) &amp; "_" &amp; TEXT(COUNTIF($C$2:C3591, C3591),"0000")</f>
        <v>Enti_0724</v>
      </c>
      <c r="C3591" s="25" t="s">
        <v>874</v>
      </c>
      <c r="D3591" s="69" t="s">
        <v>9453</v>
      </c>
      <c r="E3591" s="70" t="s">
        <v>9457</v>
      </c>
      <c r="F3591" s="26" t="s">
        <v>798</v>
      </c>
      <c r="G3591" s="15" t="s">
        <v>798</v>
      </c>
      <c r="H3591" s="14" t="s">
        <v>798</v>
      </c>
      <c r="I3591" s="15" t="s">
        <v>798</v>
      </c>
      <c r="J3591" s="12" t="s">
        <v>9438</v>
      </c>
      <c r="K3591" s="16" t="s">
        <v>3660</v>
      </c>
      <c r="L3591" s="12" t="s">
        <v>800</v>
      </c>
      <c r="M3591" s="16" t="s">
        <v>4623</v>
      </c>
      <c r="N3591" s="19" t="s">
        <v>798</v>
      </c>
      <c r="O3591" s="20" t="s">
        <v>798</v>
      </c>
      <c r="P3591" s="17" t="s">
        <v>802</v>
      </c>
      <c r="Q3591" s="21" t="s">
        <v>9212</v>
      </c>
      <c r="R3591" s="19" t="s">
        <v>798</v>
      </c>
      <c r="S3591" s="20" t="s">
        <v>798</v>
      </c>
      <c r="T3591" s="17" t="s">
        <v>798</v>
      </c>
      <c r="U3591" s="20" t="s">
        <v>798</v>
      </c>
      <c r="V3591" s="26" t="s">
        <v>798</v>
      </c>
      <c r="W3591" s="20" t="s">
        <v>798</v>
      </c>
      <c r="X3591" s="26" t="s">
        <v>798</v>
      </c>
      <c r="Y3591" s="20" t="s">
        <v>798</v>
      </c>
      <c r="Z3591" s="69" t="s">
        <v>9486</v>
      </c>
      <c r="AA3591" s="72" t="s">
        <v>9477</v>
      </c>
      <c r="AB3591" s="73" t="s">
        <v>9486</v>
      </c>
      <c r="AC3591" s="74" t="s">
        <v>9566</v>
      </c>
      <c r="AD3591" s="73" t="s">
        <v>9578</v>
      </c>
      <c r="AE3591" s="74" t="s">
        <v>9579</v>
      </c>
    </row>
    <row r="3592" spans="1:31" ht="8.65" customHeight="1" x14ac:dyDescent="0.2">
      <c r="A3592" s="76">
        <v>3592</v>
      </c>
      <c r="B3592" s="67" t="str">
        <f>MID(C3592, FIND("Ifc.", C3592) + 4, 4) &amp; "_" &amp; TEXT(COUNTIF($C$2:C3592, C3592),"0000")</f>
        <v>Enti_0725</v>
      </c>
      <c r="C3592" s="25" t="s">
        <v>874</v>
      </c>
      <c r="D3592" s="69" t="s">
        <v>9453</v>
      </c>
      <c r="E3592" s="70" t="s">
        <v>9457</v>
      </c>
      <c r="F3592" s="26" t="s">
        <v>798</v>
      </c>
      <c r="G3592" s="15" t="s">
        <v>798</v>
      </c>
      <c r="H3592" s="14" t="s">
        <v>798</v>
      </c>
      <c r="I3592" s="15" t="s">
        <v>798</v>
      </c>
      <c r="J3592" s="12" t="s">
        <v>9438</v>
      </c>
      <c r="K3592" s="16" t="s">
        <v>3661</v>
      </c>
      <c r="L3592" s="12" t="s">
        <v>800</v>
      </c>
      <c r="M3592" s="16" t="s">
        <v>4624</v>
      </c>
      <c r="N3592" s="19" t="s">
        <v>798</v>
      </c>
      <c r="O3592" s="20" t="s">
        <v>798</v>
      </c>
      <c r="P3592" s="17" t="s">
        <v>802</v>
      </c>
      <c r="Q3592" s="21" t="s">
        <v>9213</v>
      </c>
      <c r="R3592" s="19" t="s">
        <v>798</v>
      </c>
      <c r="S3592" s="20" t="s">
        <v>798</v>
      </c>
      <c r="T3592" s="17" t="s">
        <v>798</v>
      </c>
      <c r="U3592" s="20" t="s">
        <v>798</v>
      </c>
      <c r="V3592" s="26" t="s">
        <v>798</v>
      </c>
      <c r="W3592" s="20" t="s">
        <v>798</v>
      </c>
      <c r="X3592" s="26" t="s">
        <v>798</v>
      </c>
      <c r="Y3592" s="20" t="s">
        <v>798</v>
      </c>
      <c r="Z3592" s="69" t="s">
        <v>9486</v>
      </c>
      <c r="AA3592" s="72" t="s">
        <v>9476</v>
      </c>
      <c r="AB3592" s="73" t="s">
        <v>9486</v>
      </c>
      <c r="AC3592" s="74" t="s">
        <v>9566</v>
      </c>
      <c r="AD3592" s="73" t="s">
        <v>9578</v>
      </c>
      <c r="AE3592" s="74" t="s">
        <v>9579</v>
      </c>
    </row>
    <row r="3593" spans="1:31" ht="8.65" customHeight="1" x14ac:dyDescent="0.2">
      <c r="A3593" s="76">
        <v>3593</v>
      </c>
      <c r="B3593" s="67" t="str">
        <f>MID(C3593, FIND("Ifc.", C3593) + 4, 4) &amp; "_" &amp; TEXT(COUNTIF($C$2:C3593, C3593),"0000")</f>
        <v>Enti_0726</v>
      </c>
      <c r="C3593" s="25" t="s">
        <v>874</v>
      </c>
      <c r="D3593" s="69" t="s">
        <v>9453</v>
      </c>
      <c r="E3593" s="70" t="s">
        <v>9457</v>
      </c>
      <c r="F3593" s="26" t="s">
        <v>798</v>
      </c>
      <c r="G3593" s="15" t="s">
        <v>798</v>
      </c>
      <c r="H3593" s="14" t="s">
        <v>798</v>
      </c>
      <c r="I3593" s="15" t="s">
        <v>798</v>
      </c>
      <c r="J3593" s="12" t="s">
        <v>9438</v>
      </c>
      <c r="K3593" s="16" t="s">
        <v>3662</v>
      </c>
      <c r="L3593" s="12" t="s">
        <v>800</v>
      </c>
      <c r="M3593" s="16" t="s">
        <v>4625</v>
      </c>
      <c r="N3593" s="19" t="s">
        <v>798</v>
      </c>
      <c r="O3593" s="20" t="s">
        <v>798</v>
      </c>
      <c r="P3593" s="17" t="s">
        <v>802</v>
      </c>
      <c r="Q3593" s="21" t="s">
        <v>9214</v>
      </c>
      <c r="R3593" s="19" t="s">
        <v>798</v>
      </c>
      <c r="S3593" s="20" t="s">
        <v>798</v>
      </c>
      <c r="T3593" s="17" t="s">
        <v>798</v>
      </c>
      <c r="U3593" s="20" t="s">
        <v>798</v>
      </c>
      <c r="V3593" s="26" t="s">
        <v>798</v>
      </c>
      <c r="W3593" s="20" t="s">
        <v>798</v>
      </c>
      <c r="X3593" s="26" t="s">
        <v>798</v>
      </c>
      <c r="Y3593" s="20" t="s">
        <v>798</v>
      </c>
      <c r="Z3593" s="69" t="s">
        <v>9486</v>
      </c>
      <c r="AA3593" s="72" t="s">
        <v>9477</v>
      </c>
      <c r="AB3593" s="73" t="s">
        <v>9486</v>
      </c>
      <c r="AC3593" s="74" t="s">
        <v>9566</v>
      </c>
      <c r="AD3593" s="73" t="s">
        <v>9578</v>
      </c>
      <c r="AE3593" s="74" t="s">
        <v>9579</v>
      </c>
    </row>
    <row r="3594" spans="1:31" ht="8.65" customHeight="1" x14ac:dyDescent="0.2">
      <c r="A3594" s="76">
        <v>3594</v>
      </c>
      <c r="B3594" s="67" t="str">
        <f>MID(C3594, FIND("Ifc.", C3594) + 4, 4) &amp; "_" &amp; TEXT(COUNTIF($C$2:C3594, C3594),"0000")</f>
        <v>Enti_0727</v>
      </c>
      <c r="C3594" s="25" t="s">
        <v>874</v>
      </c>
      <c r="D3594" s="69" t="s">
        <v>9453</v>
      </c>
      <c r="E3594" s="70" t="s">
        <v>9457</v>
      </c>
      <c r="F3594" s="26" t="s">
        <v>798</v>
      </c>
      <c r="G3594" s="15" t="s">
        <v>798</v>
      </c>
      <c r="H3594" s="14" t="s">
        <v>798</v>
      </c>
      <c r="I3594" s="15" t="s">
        <v>798</v>
      </c>
      <c r="J3594" s="12" t="s">
        <v>9438</v>
      </c>
      <c r="K3594" s="16" t="s">
        <v>3663</v>
      </c>
      <c r="L3594" s="12" t="s">
        <v>800</v>
      </c>
      <c r="M3594" s="16" t="s">
        <v>4626</v>
      </c>
      <c r="N3594" s="19" t="s">
        <v>798</v>
      </c>
      <c r="O3594" s="20" t="s">
        <v>798</v>
      </c>
      <c r="P3594" s="17" t="s">
        <v>802</v>
      </c>
      <c r="Q3594" s="21" t="s">
        <v>9215</v>
      </c>
      <c r="R3594" s="19" t="s">
        <v>798</v>
      </c>
      <c r="S3594" s="20" t="s">
        <v>798</v>
      </c>
      <c r="T3594" s="17" t="s">
        <v>798</v>
      </c>
      <c r="U3594" s="20" t="s">
        <v>798</v>
      </c>
      <c r="V3594" s="26" t="s">
        <v>798</v>
      </c>
      <c r="W3594" s="20" t="s">
        <v>798</v>
      </c>
      <c r="X3594" s="26" t="s">
        <v>798</v>
      </c>
      <c r="Y3594" s="20" t="s">
        <v>798</v>
      </c>
      <c r="Z3594" s="69" t="s">
        <v>9486</v>
      </c>
      <c r="AA3594" s="72" t="s">
        <v>9476</v>
      </c>
      <c r="AB3594" s="73" t="s">
        <v>9486</v>
      </c>
      <c r="AC3594" s="74" t="s">
        <v>9566</v>
      </c>
      <c r="AD3594" s="73" t="s">
        <v>9578</v>
      </c>
      <c r="AE3594" s="74" t="s">
        <v>9579</v>
      </c>
    </row>
    <row r="3595" spans="1:31" ht="8.65" customHeight="1" x14ac:dyDescent="0.2">
      <c r="A3595" s="76">
        <v>3595</v>
      </c>
      <c r="B3595" s="67" t="str">
        <f>MID(C3595, FIND("Ifc.", C3595) + 4, 4) &amp; "_" &amp; TEXT(COUNTIF($C$2:C3595, C3595),"0000")</f>
        <v>Enti_0728</v>
      </c>
      <c r="C3595" s="25" t="s">
        <v>874</v>
      </c>
      <c r="D3595" s="69" t="s">
        <v>9453</v>
      </c>
      <c r="E3595" s="70" t="s">
        <v>9457</v>
      </c>
      <c r="F3595" s="26" t="s">
        <v>798</v>
      </c>
      <c r="G3595" s="15" t="s">
        <v>798</v>
      </c>
      <c r="H3595" s="14" t="s">
        <v>798</v>
      </c>
      <c r="I3595" s="15" t="s">
        <v>798</v>
      </c>
      <c r="J3595" s="12" t="s">
        <v>9438</v>
      </c>
      <c r="K3595" s="16" t="s">
        <v>3664</v>
      </c>
      <c r="L3595" s="12" t="s">
        <v>800</v>
      </c>
      <c r="M3595" s="16" t="s">
        <v>4627</v>
      </c>
      <c r="N3595" s="19" t="s">
        <v>798</v>
      </c>
      <c r="O3595" s="20" t="s">
        <v>798</v>
      </c>
      <c r="P3595" s="17" t="s">
        <v>802</v>
      </c>
      <c r="Q3595" s="21" t="s">
        <v>9216</v>
      </c>
      <c r="R3595" s="19" t="s">
        <v>798</v>
      </c>
      <c r="S3595" s="20" t="s">
        <v>798</v>
      </c>
      <c r="T3595" s="17" t="s">
        <v>798</v>
      </c>
      <c r="U3595" s="20" t="s">
        <v>798</v>
      </c>
      <c r="V3595" s="26" t="s">
        <v>798</v>
      </c>
      <c r="W3595" s="20" t="s">
        <v>798</v>
      </c>
      <c r="X3595" s="26" t="s">
        <v>798</v>
      </c>
      <c r="Y3595" s="20" t="s">
        <v>798</v>
      </c>
      <c r="Z3595" s="69" t="s">
        <v>9486</v>
      </c>
      <c r="AA3595" s="72" t="s">
        <v>9476</v>
      </c>
      <c r="AB3595" s="73" t="s">
        <v>9486</v>
      </c>
      <c r="AC3595" s="74" t="s">
        <v>9562</v>
      </c>
      <c r="AD3595" s="73" t="s">
        <v>9578</v>
      </c>
      <c r="AE3595" s="74" t="s">
        <v>9579</v>
      </c>
    </row>
    <row r="3596" spans="1:31" ht="8.65" customHeight="1" x14ac:dyDescent="0.2">
      <c r="A3596" s="76">
        <v>3596</v>
      </c>
      <c r="B3596" s="67" t="str">
        <f>MID(C3596, FIND("Ifc.", C3596) + 4, 4) &amp; "_" &amp; TEXT(COUNTIF($C$2:C3596, C3596),"0000")</f>
        <v>Enti_0729</v>
      </c>
      <c r="C3596" s="25" t="s">
        <v>874</v>
      </c>
      <c r="D3596" s="69" t="s">
        <v>9453</v>
      </c>
      <c r="E3596" s="70" t="s">
        <v>9457</v>
      </c>
      <c r="F3596" s="26" t="s">
        <v>798</v>
      </c>
      <c r="G3596" s="15" t="s">
        <v>798</v>
      </c>
      <c r="H3596" s="14" t="s">
        <v>798</v>
      </c>
      <c r="I3596" s="15" t="s">
        <v>798</v>
      </c>
      <c r="J3596" s="12" t="s">
        <v>9438</v>
      </c>
      <c r="K3596" s="16" t="s">
        <v>3665</v>
      </c>
      <c r="L3596" s="12" t="s">
        <v>800</v>
      </c>
      <c r="M3596" s="16" t="s">
        <v>4628</v>
      </c>
      <c r="N3596" s="19" t="s">
        <v>798</v>
      </c>
      <c r="O3596" s="20" t="s">
        <v>798</v>
      </c>
      <c r="P3596" s="17" t="s">
        <v>802</v>
      </c>
      <c r="Q3596" s="21" t="s">
        <v>9217</v>
      </c>
      <c r="R3596" s="19" t="s">
        <v>798</v>
      </c>
      <c r="S3596" s="20" t="s">
        <v>798</v>
      </c>
      <c r="T3596" s="17" t="s">
        <v>798</v>
      </c>
      <c r="U3596" s="20" t="s">
        <v>798</v>
      </c>
      <c r="V3596" s="26" t="s">
        <v>798</v>
      </c>
      <c r="W3596" s="20" t="s">
        <v>798</v>
      </c>
      <c r="X3596" s="26" t="s">
        <v>798</v>
      </c>
      <c r="Y3596" s="20" t="s">
        <v>798</v>
      </c>
      <c r="Z3596" s="69" t="s">
        <v>9486</v>
      </c>
      <c r="AA3596" s="72" t="s">
        <v>9476</v>
      </c>
      <c r="AB3596" s="73" t="s">
        <v>9486</v>
      </c>
      <c r="AC3596" s="74" t="s">
        <v>9562</v>
      </c>
      <c r="AD3596" s="73" t="s">
        <v>9578</v>
      </c>
      <c r="AE3596" s="74" t="s">
        <v>9579</v>
      </c>
    </row>
    <row r="3597" spans="1:31" ht="8.65" customHeight="1" x14ac:dyDescent="0.2">
      <c r="A3597" s="76">
        <v>3597</v>
      </c>
      <c r="B3597" s="67" t="str">
        <f>MID(C3597, FIND("Ifc.", C3597) + 4, 4) &amp; "_" &amp; TEXT(COUNTIF($C$2:C3597, C3597),"0000")</f>
        <v>Enti_0730</v>
      </c>
      <c r="C3597" s="25" t="s">
        <v>874</v>
      </c>
      <c r="D3597" s="69" t="s">
        <v>9453</v>
      </c>
      <c r="E3597" s="70" t="s">
        <v>9457</v>
      </c>
      <c r="F3597" s="26" t="s">
        <v>798</v>
      </c>
      <c r="G3597" s="15" t="s">
        <v>798</v>
      </c>
      <c r="H3597" s="14" t="s">
        <v>798</v>
      </c>
      <c r="I3597" s="15" t="s">
        <v>798</v>
      </c>
      <c r="J3597" s="12" t="s">
        <v>9438</v>
      </c>
      <c r="K3597" s="16" t="s">
        <v>3666</v>
      </c>
      <c r="L3597" s="12" t="s">
        <v>800</v>
      </c>
      <c r="M3597" s="16" t="s">
        <v>4629</v>
      </c>
      <c r="N3597" s="19" t="s">
        <v>798</v>
      </c>
      <c r="O3597" s="20" t="s">
        <v>798</v>
      </c>
      <c r="P3597" s="17" t="s">
        <v>802</v>
      </c>
      <c r="Q3597" s="21" t="s">
        <v>9218</v>
      </c>
      <c r="R3597" s="19" t="s">
        <v>798</v>
      </c>
      <c r="S3597" s="20" t="s">
        <v>798</v>
      </c>
      <c r="T3597" s="17" t="s">
        <v>798</v>
      </c>
      <c r="U3597" s="20" t="s">
        <v>798</v>
      </c>
      <c r="V3597" s="26" t="s">
        <v>798</v>
      </c>
      <c r="W3597" s="20" t="s">
        <v>798</v>
      </c>
      <c r="X3597" s="26" t="s">
        <v>798</v>
      </c>
      <c r="Y3597" s="20" t="s">
        <v>798</v>
      </c>
      <c r="Z3597" s="69" t="s">
        <v>9486</v>
      </c>
      <c r="AA3597" s="72" t="s">
        <v>9476</v>
      </c>
      <c r="AB3597" s="73" t="s">
        <v>9486</v>
      </c>
      <c r="AC3597" s="74" t="s">
        <v>9566</v>
      </c>
      <c r="AD3597" s="73" t="s">
        <v>9578</v>
      </c>
      <c r="AE3597" s="74" t="s">
        <v>9579</v>
      </c>
    </row>
    <row r="3598" spans="1:31" ht="8.65" customHeight="1" x14ac:dyDescent="0.2">
      <c r="A3598" s="76">
        <v>3598</v>
      </c>
      <c r="B3598" s="67" t="str">
        <f>MID(C3598, FIND("Ifc.", C3598) + 4, 4) &amp; "_" &amp; TEXT(COUNTIF($C$2:C3598, C3598),"0000")</f>
        <v>Enti_0731</v>
      </c>
      <c r="C3598" s="25" t="s">
        <v>874</v>
      </c>
      <c r="D3598" s="69" t="s">
        <v>9453</v>
      </c>
      <c r="E3598" s="70" t="s">
        <v>9457</v>
      </c>
      <c r="F3598" s="26" t="s">
        <v>798</v>
      </c>
      <c r="G3598" s="15" t="s">
        <v>798</v>
      </c>
      <c r="H3598" s="14" t="s">
        <v>798</v>
      </c>
      <c r="I3598" s="15" t="s">
        <v>798</v>
      </c>
      <c r="J3598" s="12" t="s">
        <v>9438</v>
      </c>
      <c r="K3598" s="16" t="s">
        <v>3667</v>
      </c>
      <c r="L3598" s="12" t="s">
        <v>800</v>
      </c>
      <c r="M3598" s="16" t="s">
        <v>4630</v>
      </c>
      <c r="N3598" s="19" t="s">
        <v>798</v>
      </c>
      <c r="O3598" s="20" t="s">
        <v>798</v>
      </c>
      <c r="P3598" s="17" t="s">
        <v>802</v>
      </c>
      <c r="Q3598" s="21" t="s">
        <v>9219</v>
      </c>
      <c r="R3598" s="19" t="s">
        <v>798</v>
      </c>
      <c r="S3598" s="20" t="s">
        <v>798</v>
      </c>
      <c r="T3598" s="17" t="s">
        <v>798</v>
      </c>
      <c r="U3598" s="20" t="s">
        <v>798</v>
      </c>
      <c r="V3598" s="26" t="s">
        <v>798</v>
      </c>
      <c r="W3598" s="20" t="s">
        <v>798</v>
      </c>
      <c r="X3598" s="26" t="s">
        <v>798</v>
      </c>
      <c r="Y3598" s="20" t="s">
        <v>798</v>
      </c>
      <c r="Z3598" s="69" t="s">
        <v>9486</v>
      </c>
      <c r="AA3598" s="72" t="s">
        <v>9477</v>
      </c>
      <c r="AB3598" s="73" t="s">
        <v>9486</v>
      </c>
      <c r="AC3598" s="74" t="s">
        <v>9566</v>
      </c>
      <c r="AD3598" s="73" t="s">
        <v>9578</v>
      </c>
      <c r="AE3598" s="74" t="s">
        <v>9579</v>
      </c>
    </row>
    <row r="3599" spans="1:31" ht="8.65" customHeight="1" x14ac:dyDescent="0.2">
      <c r="A3599" s="76">
        <v>3599</v>
      </c>
      <c r="B3599" s="67" t="str">
        <f>MID(C3599, FIND("Ifc.", C3599) + 4, 4) &amp; "_" &amp; TEXT(COUNTIF($C$2:C3599, C3599),"0000")</f>
        <v>Enti_0732</v>
      </c>
      <c r="C3599" s="25" t="s">
        <v>874</v>
      </c>
      <c r="D3599" s="69" t="s">
        <v>9453</v>
      </c>
      <c r="E3599" s="70" t="s">
        <v>9457</v>
      </c>
      <c r="F3599" s="26" t="s">
        <v>798</v>
      </c>
      <c r="G3599" s="15" t="s">
        <v>798</v>
      </c>
      <c r="H3599" s="14" t="s">
        <v>798</v>
      </c>
      <c r="I3599" s="15" t="s">
        <v>798</v>
      </c>
      <c r="J3599" s="12" t="s">
        <v>9438</v>
      </c>
      <c r="K3599" s="16" t="s">
        <v>3668</v>
      </c>
      <c r="L3599" s="12" t="s">
        <v>800</v>
      </c>
      <c r="M3599" s="16" t="s">
        <v>4631</v>
      </c>
      <c r="N3599" s="19" t="s">
        <v>798</v>
      </c>
      <c r="O3599" s="20" t="s">
        <v>798</v>
      </c>
      <c r="P3599" s="17" t="s">
        <v>802</v>
      </c>
      <c r="Q3599" s="21" t="s">
        <v>9220</v>
      </c>
      <c r="R3599" s="19" t="s">
        <v>798</v>
      </c>
      <c r="S3599" s="20" t="s">
        <v>798</v>
      </c>
      <c r="T3599" s="17" t="s">
        <v>798</v>
      </c>
      <c r="U3599" s="20" t="s">
        <v>798</v>
      </c>
      <c r="V3599" s="26" t="s">
        <v>798</v>
      </c>
      <c r="W3599" s="20" t="s">
        <v>798</v>
      </c>
      <c r="X3599" s="26" t="s">
        <v>798</v>
      </c>
      <c r="Y3599" s="20" t="s">
        <v>798</v>
      </c>
      <c r="Z3599" s="69" t="s">
        <v>9486</v>
      </c>
      <c r="AA3599" s="72" t="s">
        <v>9476</v>
      </c>
      <c r="AB3599" s="73" t="s">
        <v>9486</v>
      </c>
      <c r="AC3599" s="74" t="s">
        <v>9562</v>
      </c>
      <c r="AD3599" s="73" t="s">
        <v>9578</v>
      </c>
      <c r="AE3599" s="74" t="s">
        <v>9579</v>
      </c>
    </row>
    <row r="3600" spans="1:31" ht="8.65" customHeight="1" x14ac:dyDescent="0.2">
      <c r="A3600" s="76">
        <v>3600</v>
      </c>
      <c r="B3600" s="67" t="str">
        <f>MID(C3600, FIND("Ifc.", C3600) + 4, 4) &amp; "_" &amp; TEXT(COUNTIF($C$2:C3600, C3600),"0000")</f>
        <v>Enti_0733</v>
      </c>
      <c r="C3600" s="25" t="s">
        <v>874</v>
      </c>
      <c r="D3600" s="69" t="s">
        <v>9453</v>
      </c>
      <c r="E3600" s="70" t="s">
        <v>9457</v>
      </c>
      <c r="F3600" s="26" t="s">
        <v>798</v>
      </c>
      <c r="G3600" s="15" t="s">
        <v>798</v>
      </c>
      <c r="H3600" s="14" t="s">
        <v>798</v>
      </c>
      <c r="I3600" s="15" t="s">
        <v>798</v>
      </c>
      <c r="J3600" s="12" t="s">
        <v>9438</v>
      </c>
      <c r="K3600" s="16" t="s">
        <v>3669</v>
      </c>
      <c r="L3600" s="12" t="s">
        <v>800</v>
      </c>
      <c r="M3600" s="16" t="s">
        <v>4632</v>
      </c>
      <c r="N3600" s="19" t="s">
        <v>798</v>
      </c>
      <c r="O3600" s="20" t="s">
        <v>798</v>
      </c>
      <c r="P3600" s="17" t="s">
        <v>802</v>
      </c>
      <c r="Q3600" s="21" t="s">
        <v>9221</v>
      </c>
      <c r="R3600" s="19" t="s">
        <v>798</v>
      </c>
      <c r="S3600" s="20" t="s">
        <v>798</v>
      </c>
      <c r="T3600" s="17" t="s">
        <v>798</v>
      </c>
      <c r="U3600" s="20" t="s">
        <v>798</v>
      </c>
      <c r="V3600" s="26" t="s">
        <v>798</v>
      </c>
      <c r="W3600" s="20" t="s">
        <v>798</v>
      </c>
      <c r="X3600" s="26" t="s">
        <v>798</v>
      </c>
      <c r="Y3600" s="20" t="s">
        <v>798</v>
      </c>
      <c r="Z3600" s="69" t="s">
        <v>9486</v>
      </c>
      <c r="AA3600" s="72" t="s">
        <v>9476</v>
      </c>
      <c r="AB3600" s="73" t="s">
        <v>9486</v>
      </c>
      <c r="AC3600" s="74" t="s">
        <v>9562</v>
      </c>
      <c r="AD3600" s="73" t="s">
        <v>9578</v>
      </c>
      <c r="AE3600" s="74" t="s">
        <v>9579</v>
      </c>
    </row>
    <row r="3601" spans="1:31" ht="8.65" customHeight="1" x14ac:dyDescent="0.2">
      <c r="A3601" s="76">
        <v>3601</v>
      </c>
      <c r="B3601" s="67" t="str">
        <f>MID(C3601, FIND("Ifc.", C3601) + 4, 4) &amp; "_" &amp; TEXT(COUNTIF($C$2:C3601, C3601),"0000")</f>
        <v>Enti_0734</v>
      </c>
      <c r="C3601" s="25" t="s">
        <v>874</v>
      </c>
      <c r="D3601" s="69" t="s">
        <v>9453</v>
      </c>
      <c r="E3601" s="70" t="s">
        <v>9457</v>
      </c>
      <c r="F3601" s="26" t="s">
        <v>798</v>
      </c>
      <c r="G3601" s="15" t="s">
        <v>798</v>
      </c>
      <c r="H3601" s="14" t="s">
        <v>798</v>
      </c>
      <c r="I3601" s="15" t="s">
        <v>798</v>
      </c>
      <c r="J3601" s="12" t="s">
        <v>9438</v>
      </c>
      <c r="K3601" s="16" t="s">
        <v>3670</v>
      </c>
      <c r="L3601" s="12" t="s">
        <v>800</v>
      </c>
      <c r="M3601" s="16" t="s">
        <v>4633</v>
      </c>
      <c r="N3601" s="19" t="s">
        <v>798</v>
      </c>
      <c r="O3601" s="20" t="s">
        <v>798</v>
      </c>
      <c r="P3601" s="17" t="s">
        <v>802</v>
      </c>
      <c r="Q3601" s="21" t="s">
        <v>9222</v>
      </c>
      <c r="R3601" s="19" t="s">
        <v>798</v>
      </c>
      <c r="S3601" s="20" t="s">
        <v>798</v>
      </c>
      <c r="T3601" s="17" t="s">
        <v>798</v>
      </c>
      <c r="U3601" s="20" t="s">
        <v>798</v>
      </c>
      <c r="V3601" s="26" t="s">
        <v>798</v>
      </c>
      <c r="W3601" s="20" t="s">
        <v>798</v>
      </c>
      <c r="X3601" s="26" t="s">
        <v>798</v>
      </c>
      <c r="Y3601" s="20" t="s">
        <v>798</v>
      </c>
      <c r="Z3601" s="69" t="s">
        <v>9486</v>
      </c>
      <c r="AA3601" s="72" t="s">
        <v>9476</v>
      </c>
      <c r="AB3601" s="73" t="s">
        <v>9486</v>
      </c>
      <c r="AC3601" s="74" t="s">
        <v>9562</v>
      </c>
      <c r="AD3601" s="73" t="s">
        <v>9578</v>
      </c>
      <c r="AE3601" s="74" t="s">
        <v>9579</v>
      </c>
    </row>
    <row r="3602" spans="1:31" ht="8.65" customHeight="1" x14ac:dyDescent="0.2">
      <c r="A3602" s="76">
        <v>3602</v>
      </c>
      <c r="B3602" s="67" t="str">
        <f>MID(C3602, FIND("Ifc.", C3602) + 4, 4) &amp; "_" &amp; TEXT(COUNTIF($C$2:C3602, C3602),"0000")</f>
        <v>Enti_0735</v>
      </c>
      <c r="C3602" s="25" t="s">
        <v>874</v>
      </c>
      <c r="D3602" s="69" t="s">
        <v>9453</v>
      </c>
      <c r="E3602" s="70" t="s">
        <v>9457</v>
      </c>
      <c r="F3602" s="26" t="s">
        <v>798</v>
      </c>
      <c r="G3602" s="15" t="s">
        <v>798</v>
      </c>
      <c r="H3602" s="14" t="s">
        <v>798</v>
      </c>
      <c r="I3602" s="15" t="s">
        <v>798</v>
      </c>
      <c r="J3602" s="12" t="s">
        <v>9438</v>
      </c>
      <c r="K3602" s="16" t="s">
        <v>3671</v>
      </c>
      <c r="L3602" s="12" t="s">
        <v>800</v>
      </c>
      <c r="M3602" s="16" t="s">
        <v>4634</v>
      </c>
      <c r="N3602" s="19" t="s">
        <v>798</v>
      </c>
      <c r="O3602" s="20" t="s">
        <v>798</v>
      </c>
      <c r="P3602" s="17" t="s">
        <v>802</v>
      </c>
      <c r="Q3602" s="21" t="s">
        <v>9223</v>
      </c>
      <c r="R3602" s="19" t="s">
        <v>798</v>
      </c>
      <c r="S3602" s="20" t="s">
        <v>798</v>
      </c>
      <c r="T3602" s="17" t="s">
        <v>798</v>
      </c>
      <c r="U3602" s="20" t="s">
        <v>798</v>
      </c>
      <c r="V3602" s="26" t="s">
        <v>798</v>
      </c>
      <c r="W3602" s="20" t="s">
        <v>798</v>
      </c>
      <c r="X3602" s="26" t="s">
        <v>798</v>
      </c>
      <c r="Y3602" s="20" t="s">
        <v>798</v>
      </c>
      <c r="Z3602" s="69" t="s">
        <v>9486</v>
      </c>
      <c r="AA3602" s="72" t="s">
        <v>9476</v>
      </c>
      <c r="AB3602" s="73" t="s">
        <v>9486</v>
      </c>
      <c r="AC3602" s="74" t="s">
        <v>9562</v>
      </c>
      <c r="AD3602" s="73" t="s">
        <v>9578</v>
      </c>
      <c r="AE3602" s="74" t="s">
        <v>9579</v>
      </c>
    </row>
    <row r="3603" spans="1:31" ht="8.65" customHeight="1" x14ac:dyDescent="0.2">
      <c r="A3603" s="76">
        <v>3603</v>
      </c>
      <c r="B3603" s="67" t="str">
        <f>MID(C3603, FIND("Ifc.", C3603) + 4, 4) &amp; "_" &amp; TEXT(COUNTIF($C$2:C3603, C3603),"0000")</f>
        <v>Enti_0736</v>
      </c>
      <c r="C3603" s="25" t="s">
        <v>874</v>
      </c>
      <c r="D3603" s="69" t="s">
        <v>9453</v>
      </c>
      <c r="E3603" s="70" t="s">
        <v>9457</v>
      </c>
      <c r="F3603" s="26" t="s">
        <v>798</v>
      </c>
      <c r="G3603" s="15" t="s">
        <v>798</v>
      </c>
      <c r="H3603" s="14" t="s">
        <v>798</v>
      </c>
      <c r="I3603" s="15" t="s">
        <v>798</v>
      </c>
      <c r="J3603" s="12" t="s">
        <v>9438</v>
      </c>
      <c r="K3603" s="16" t="s">
        <v>3672</v>
      </c>
      <c r="L3603" s="12" t="s">
        <v>800</v>
      </c>
      <c r="M3603" s="16" t="s">
        <v>4635</v>
      </c>
      <c r="N3603" s="19" t="s">
        <v>798</v>
      </c>
      <c r="O3603" s="20" t="s">
        <v>798</v>
      </c>
      <c r="P3603" s="17" t="s">
        <v>802</v>
      </c>
      <c r="Q3603" s="21" t="s">
        <v>9224</v>
      </c>
      <c r="R3603" s="19" t="s">
        <v>798</v>
      </c>
      <c r="S3603" s="20" t="s">
        <v>798</v>
      </c>
      <c r="T3603" s="17" t="s">
        <v>798</v>
      </c>
      <c r="U3603" s="20" t="s">
        <v>798</v>
      </c>
      <c r="V3603" s="26" t="s">
        <v>798</v>
      </c>
      <c r="W3603" s="20" t="s">
        <v>798</v>
      </c>
      <c r="X3603" s="26" t="s">
        <v>798</v>
      </c>
      <c r="Y3603" s="20" t="s">
        <v>798</v>
      </c>
      <c r="Z3603" s="69" t="s">
        <v>9486</v>
      </c>
      <c r="AA3603" s="72" t="s">
        <v>9476</v>
      </c>
      <c r="AB3603" s="73" t="s">
        <v>9486</v>
      </c>
      <c r="AC3603" s="74" t="s">
        <v>9566</v>
      </c>
      <c r="AD3603" s="73" t="s">
        <v>9578</v>
      </c>
      <c r="AE3603" s="74" t="s">
        <v>9579</v>
      </c>
    </row>
    <row r="3604" spans="1:31" ht="8.65" customHeight="1" x14ac:dyDescent="0.2">
      <c r="A3604" s="76">
        <v>3604</v>
      </c>
      <c r="B3604" s="67" t="str">
        <f>MID(C3604, FIND("Ifc.", C3604) + 4, 4) &amp; "_" &amp; TEXT(COUNTIF($C$2:C3604, C3604),"0000")</f>
        <v>Enti_0737</v>
      </c>
      <c r="C3604" s="25" t="s">
        <v>874</v>
      </c>
      <c r="D3604" s="69" t="s">
        <v>9453</v>
      </c>
      <c r="E3604" s="70" t="s">
        <v>9457</v>
      </c>
      <c r="F3604" s="26" t="s">
        <v>798</v>
      </c>
      <c r="G3604" s="15" t="s">
        <v>798</v>
      </c>
      <c r="H3604" s="14" t="s">
        <v>798</v>
      </c>
      <c r="I3604" s="15" t="s">
        <v>798</v>
      </c>
      <c r="J3604" s="12" t="s">
        <v>9438</v>
      </c>
      <c r="K3604" s="16" t="s">
        <v>3673</v>
      </c>
      <c r="L3604" s="12" t="s">
        <v>800</v>
      </c>
      <c r="M3604" s="16" t="s">
        <v>4636</v>
      </c>
      <c r="N3604" s="19" t="s">
        <v>798</v>
      </c>
      <c r="O3604" s="20" t="s">
        <v>798</v>
      </c>
      <c r="P3604" s="17" t="s">
        <v>802</v>
      </c>
      <c r="Q3604" s="21" t="s">
        <v>9225</v>
      </c>
      <c r="R3604" s="19" t="s">
        <v>798</v>
      </c>
      <c r="S3604" s="20" t="s">
        <v>798</v>
      </c>
      <c r="T3604" s="17" t="s">
        <v>798</v>
      </c>
      <c r="U3604" s="20" t="s">
        <v>798</v>
      </c>
      <c r="V3604" s="26" t="s">
        <v>798</v>
      </c>
      <c r="W3604" s="20" t="s">
        <v>798</v>
      </c>
      <c r="X3604" s="26" t="s">
        <v>798</v>
      </c>
      <c r="Y3604" s="20" t="s">
        <v>798</v>
      </c>
      <c r="Z3604" s="69" t="s">
        <v>9486</v>
      </c>
      <c r="AA3604" s="72" t="s">
        <v>9477</v>
      </c>
      <c r="AB3604" s="73" t="s">
        <v>9486</v>
      </c>
      <c r="AC3604" s="74" t="s">
        <v>9566</v>
      </c>
      <c r="AD3604" s="73" t="s">
        <v>9578</v>
      </c>
      <c r="AE3604" s="74" t="s">
        <v>9579</v>
      </c>
    </row>
    <row r="3605" spans="1:31" ht="8.65" customHeight="1" x14ac:dyDescent="0.2">
      <c r="A3605" s="76">
        <v>3605</v>
      </c>
      <c r="B3605" s="67" t="str">
        <f>MID(C3605, FIND("Ifc.", C3605) + 4, 4) &amp; "_" &amp; TEXT(COUNTIF($C$2:C3605, C3605),"0000")</f>
        <v>Enti_0738</v>
      </c>
      <c r="C3605" s="25" t="s">
        <v>874</v>
      </c>
      <c r="D3605" s="69" t="s">
        <v>9453</v>
      </c>
      <c r="E3605" s="70" t="s">
        <v>9457</v>
      </c>
      <c r="F3605" s="26" t="s">
        <v>798</v>
      </c>
      <c r="G3605" s="15" t="s">
        <v>798</v>
      </c>
      <c r="H3605" s="14" t="s">
        <v>798</v>
      </c>
      <c r="I3605" s="15" t="s">
        <v>798</v>
      </c>
      <c r="J3605" s="12" t="s">
        <v>9438</v>
      </c>
      <c r="K3605" s="16" t="s">
        <v>3674</v>
      </c>
      <c r="L3605" s="12" t="s">
        <v>800</v>
      </c>
      <c r="M3605" s="16" t="s">
        <v>4637</v>
      </c>
      <c r="N3605" s="19" t="s">
        <v>798</v>
      </c>
      <c r="O3605" s="20" t="s">
        <v>798</v>
      </c>
      <c r="P3605" s="17" t="s">
        <v>802</v>
      </c>
      <c r="Q3605" s="21" t="s">
        <v>9226</v>
      </c>
      <c r="R3605" s="19" t="s">
        <v>798</v>
      </c>
      <c r="S3605" s="20" t="s">
        <v>798</v>
      </c>
      <c r="T3605" s="17" t="s">
        <v>798</v>
      </c>
      <c r="U3605" s="20" t="s">
        <v>798</v>
      </c>
      <c r="V3605" s="26" t="s">
        <v>798</v>
      </c>
      <c r="W3605" s="20" t="s">
        <v>798</v>
      </c>
      <c r="X3605" s="26" t="s">
        <v>798</v>
      </c>
      <c r="Y3605" s="20" t="s">
        <v>798</v>
      </c>
      <c r="Z3605" s="69" t="s">
        <v>9486</v>
      </c>
      <c r="AA3605" s="72" t="s">
        <v>9476</v>
      </c>
      <c r="AB3605" s="73" t="s">
        <v>9486</v>
      </c>
      <c r="AC3605" s="74" t="s">
        <v>9566</v>
      </c>
      <c r="AD3605" s="73" t="s">
        <v>9578</v>
      </c>
      <c r="AE3605" s="74" t="s">
        <v>9579</v>
      </c>
    </row>
    <row r="3606" spans="1:31" ht="8.65" customHeight="1" x14ac:dyDescent="0.2">
      <c r="A3606" s="76">
        <v>3606</v>
      </c>
      <c r="B3606" s="67" t="str">
        <f>MID(C3606, FIND("Ifc.", C3606) + 4, 4) &amp; "_" &amp; TEXT(COUNTIF($C$2:C3606, C3606),"0000")</f>
        <v>Enti_0739</v>
      </c>
      <c r="C3606" s="25" t="s">
        <v>874</v>
      </c>
      <c r="D3606" s="69" t="s">
        <v>9453</v>
      </c>
      <c r="E3606" s="70" t="s">
        <v>9457</v>
      </c>
      <c r="F3606" s="26" t="s">
        <v>798</v>
      </c>
      <c r="G3606" s="15" t="s">
        <v>798</v>
      </c>
      <c r="H3606" s="14" t="s">
        <v>798</v>
      </c>
      <c r="I3606" s="15" t="s">
        <v>798</v>
      </c>
      <c r="J3606" s="12" t="s">
        <v>9438</v>
      </c>
      <c r="K3606" s="16" t="s">
        <v>3675</v>
      </c>
      <c r="L3606" s="12" t="s">
        <v>800</v>
      </c>
      <c r="M3606" s="16" t="s">
        <v>4638</v>
      </c>
      <c r="N3606" s="19" t="s">
        <v>798</v>
      </c>
      <c r="O3606" s="20" t="s">
        <v>798</v>
      </c>
      <c r="P3606" s="17" t="s">
        <v>802</v>
      </c>
      <c r="Q3606" s="21" t="s">
        <v>9227</v>
      </c>
      <c r="R3606" s="19" t="s">
        <v>798</v>
      </c>
      <c r="S3606" s="20" t="s">
        <v>798</v>
      </c>
      <c r="T3606" s="17" t="s">
        <v>798</v>
      </c>
      <c r="U3606" s="20" t="s">
        <v>798</v>
      </c>
      <c r="V3606" s="26" t="s">
        <v>798</v>
      </c>
      <c r="W3606" s="20" t="s">
        <v>798</v>
      </c>
      <c r="X3606" s="26" t="s">
        <v>798</v>
      </c>
      <c r="Y3606" s="20" t="s">
        <v>798</v>
      </c>
      <c r="Z3606" s="69" t="s">
        <v>9486</v>
      </c>
      <c r="AA3606" s="72" t="s">
        <v>9477</v>
      </c>
      <c r="AB3606" s="73" t="s">
        <v>9486</v>
      </c>
      <c r="AC3606" s="74" t="s">
        <v>9566</v>
      </c>
      <c r="AD3606" s="73" t="s">
        <v>9578</v>
      </c>
      <c r="AE3606" s="74" t="s">
        <v>9579</v>
      </c>
    </row>
    <row r="3607" spans="1:31" ht="8.65" customHeight="1" x14ac:dyDescent="0.2">
      <c r="A3607" s="76">
        <v>3607</v>
      </c>
      <c r="B3607" s="67" t="str">
        <f>MID(C3607, FIND("Ifc.", C3607) + 4, 4) &amp; "_" &amp; TEXT(COUNTIF($C$2:C3607, C3607),"0000")</f>
        <v>Enti_0740</v>
      </c>
      <c r="C3607" s="25" t="s">
        <v>874</v>
      </c>
      <c r="D3607" s="69" t="s">
        <v>9453</v>
      </c>
      <c r="E3607" s="70" t="s">
        <v>9457</v>
      </c>
      <c r="F3607" s="26" t="s">
        <v>798</v>
      </c>
      <c r="G3607" s="15" t="s">
        <v>798</v>
      </c>
      <c r="H3607" s="14" t="s">
        <v>798</v>
      </c>
      <c r="I3607" s="15" t="s">
        <v>798</v>
      </c>
      <c r="J3607" s="12" t="s">
        <v>9438</v>
      </c>
      <c r="K3607" s="16" t="s">
        <v>3676</v>
      </c>
      <c r="L3607" s="12" t="s">
        <v>800</v>
      </c>
      <c r="M3607" s="16" t="s">
        <v>4639</v>
      </c>
      <c r="N3607" s="19" t="s">
        <v>798</v>
      </c>
      <c r="O3607" s="20" t="s">
        <v>798</v>
      </c>
      <c r="P3607" s="17" t="s">
        <v>802</v>
      </c>
      <c r="Q3607" s="21" t="s">
        <v>9228</v>
      </c>
      <c r="R3607" s="19" t="s">
        <v>798</v>
      </c>
      <c r="S3607" s="20" t="s">
        <v>798</v>
      </c>
      <c r="T3607" s="17" t="s">
        <v>798</v>
      </c>
      <c r="U3607" s="20" t="s">
        <v>798</v>
      </c>
      <c r="V3607" s="26" t="s">
        <v>798</v>
      </c>
      <c r="W3607" s="20" t="s">
        <v>798</v>
      </c>
      <c r="X3607" s="26" t="s">
        <v>798</v>
      </c>
      <c r="Y3607" s="20" t="s">
        <v>798</v>
      </c>
      <c r="Z3607" s="69" t="s">
        <v>9486</v>
      </c>
      <c r="AA3607" s="72" t="s">
        <v>9476</v>
      </c>
      <c r="AB3607" s="73" t="s">
        <v>9486</v>
      </c>
      <c r="AC3607" s="74" t="s">
        <v>9566</v>
      </c>
      <c r="AD3607" s="73" t="s">
        <v>9578</v>
      </c>
      <c r="AE3607" s="74" t="s">
        <v>9579</v>
      </c>
    </row>
    <row r="3608" spans="1:31" ht="8.65" customHeight="1" x14ac:dyDescent="0.2">
      <c r="A3608" s="76">
        <v>3608</v>
      </c>
      <c r="B3608" s="67" t="str">
        <f>MID(C3608, FIND("Ifc.", C3608) + 4, 4) &amp; "_" &amp; TEXT(COUNTIF($C$2:C3608, C3608),"0000")</f>
        <v>Enti_0741</v>
      </c>
      <c r="C3608" s="25" t="s">
        <v>874</v>
      </c>
      <c r="D3608" s="69" t="s">
        <v>9453</v>
      </c>
      <c r="E3608" s="70" t="s">
        <v>9457</v>
      </c>
      <c r="F3608" s="26" t="s">
        <v>798</v>
      </c>
      <c r="G3608" s="15" t="s">
        <v>798</v>
      </c>
      <c r="H3608" s="14" t="s">
        <v>798</v>
      </c>
      <c r="I3608" s="15" t="s">
        <v>798</v>
      </c>
      <c r="J3608" s="12" t="s">
        <v>9438</v>
      </c>
      <c r="K3608" s="16" t="s">
        <v>3677</v>
      </c>
      <c r="L3608" s="12" t="s">
        <v>800</v>
      </c>
      <c r="M3608" s="16" t="s">
        <v>4640</v>
      </c>
      <c r="N3608" s="19" t="s">
        <v>798</v>
      </c>
      <c r="O3608" s="20" t="s">
        <v>798</v>
      </c>
      <c r="P3608" s="17" t="s">
        <v>802</v>
      </c>
      <c r="Q3608" s="21" t="s">
        <v>9229</v>
      </c>
      <c r="R3608" s="19" t="s">
        <v>798</v>
      </c>
      <c r="S3608" s="20" t="s">
        <v>798</v>
      </c>
      <c r="T3608" s="17" t="s">
        <v>798</v>
      </c>
      <c r="U3608" s="20" t="s">
        <v>798</v>
      </c>
      <c r="V3608" s="26" t="s">
        <v>798</v>
      </c>
      <c r="W3608" s="20" t="s">
        <v>798</v>
      </c>
      <c r="X3608" s="26" t="s">
        <v>798</v>
      </c>
      <c r="Y3608" s="20" t="s">
        <v>798</v>
      </c>
      <c r="Z3608" s="69" t="s">
        <v>9486</v>
      </c>
      <c r="AA3608" s="72" t="s">
        <v>9477</v>
      </c>
      <c r="AB3608" s="73" t="s">
        <v>9486</v>
      </c>
      <c r="AC3608" s="74" t="s">
        <v>9566</v>
      </c>
      <c r="AD3608" s="73" t="s">
        <v>9578</v>
      </c>
      <c r="AE3608" s="74" t="s">
        <v>9579</v>
      </c>
    </row>
    <row r="3609" spans="1:31" ht="8.65" customHeight="1" x14ac:dyDescent="0.2">
      <c r="A3609" s="76">
        <v>3609</v>
      </c>
      <c r="B3609" s="67" t="str">
        <f>MID(C3609, FIND("Ifc.", C3609) + 4, 4) &amp; "_" &amp; TEXT(COUNTIF($C$2:C3609, C3609),"0000")</f>
        <v>Enti_0742</v>
      </c>
      <c r="C3609" s="25" t="s">
        <v>874</v>
      </c>
      <c r="D3609" s="69" t="s">
        <v>9453</v>
      </c>
      <c r="E3609" s="70" t="s">
        <v>9457</v>
      </c>
      <c r="F3609" s="26" t="s">
        <v>798</v>
      </c>
      <c r="G3609" s="15" t="s">
        <v>798</v>
      </c>
      <c r="H3609" s="14" t="s">
        <v>798</v>
      </c>
      <c r="I3609" s="15" t="s">
        <v>798</v>
      </c>
      <c r="J3609" s="12" t="s">
        <v>9438</v>
      </c>
      <c r="K3609" s="16" t="s">
        <v>3678</v>
      </c>
      <c r="L3609" s="12" t="s">
        <v>800</v>
      </c>
      <c r="M3609" s="16" t="s">
        <v>4641</v>
      </c>
      <c r="N3609" s="19" t="s">
        <v>798</v>
      </c>
      <c r="O3609" s="20" t="s">
        <v>798</v>
      </c>
      <c r="P3609" s="17" t="s">
        <v>802</v>
      </c>
      <c r="Q3609" s="21" t="s">
        <v>9230</v>
      </c>
      <c r="R3609" s="19" t="s">
        <v>798</v>
      </c>
      <c r="S3609" s="20" t="s">
        <v>798</v>
      </c>
      <c r="T3609" s="17" t="s">
        <v>798</v>
      </c>
      <c r="U3609" s="20" t="s">
        <v>798</v>
      </c>
      <c r="V3609" s="26" t="s">
        <v>798</v>
      </c>
      <c r="W3609" s="20" t="s">
        <v>798</v>
      </c>
      <c r="X3609" s="26" t="s">
        <v>798</v>
      </c>
      <c r="Y3609" s="20" t="s">
        <v>798</v>
      </c>
      <c r="Z3609" s="69" t="s">
        <v>9486</v>
      </c>
      <c r="AA3609" s="72" t="s">
        <v>9476</v>
      </c>
      <c r="AB3609" s="73" t="s">
        <v>9486</v>
      </c>
      <c r="AC3609" s="74" t="s">
        <v>9566</v>
      </c>
      <c r="AD3609" s="73" t="s">
        <v>9578</v>
      </c>
      <c r="AE3609" s="74" t="s">
        <v>9579</v>
      </c>
    </row>
    <row r="3610" spans="1:31" ht="8.65" customHeight="1" x14ac:dyDescent="0.2">
      <c r="A3610" s="76">
        <v>3610</v>
      </c>
      <c r="B3610" s="67" t="str">
        <f>MID(C3610, FIND("Ifc.", C3610) + 4, 4) &amp; "_" &amp; TEXT(COUNTIF($C$2:C3610, C3610),"0000")</f>
        <v>Enti_0743</v>
      </c>
      <c r="C3610" s="25" t="s">
        <v>874</v>
      </c>
      <c r="D3610" s="69" t="s">
        <v>9453</v>
      </c>
      <c r="E3610" s="70" t="s">
        <v>9457</v>
      </c>
      <c r="F3610" s="26" t="s">
        <v>798</v>
      </c>
      <c r="G3610" s="15" t="s">
        <v>798</v>
      </c>
      <c r="H3610" s="14" t="s">
        <v>798</v>
      </c>
      <c r="I3610" s="15" t="s">
        <v>798</v>
      </c>
      <c r="J3610" s="12" t="s">
        <v>9438</v>
      </c>
      <c r="K3610" s="16" t="s">
        <v>3679</v>
      </c>
      <c r="L3610" s="12" t="s">
        <v>800</v>
      </c>
      <c r="M3610" s="16" t="s">
        <v>4642</v>
      </c>
      <c r="N3610" s="19" t="s">
        <v>798</v>
      </c>
      <c r="O3610" s="20" t="s">
        <v>798</v>
      </c>
      <c r="P3610" s="17" t="s">
        <v>802</v>
      </c>
      <c r="Q3610" s="21" t="s">
        <v>9231</v>
      </c>
      <c r="R3610" s="19" t="s">
        <v>798</v>
      </c>
      <c r="S3610" s="20" t="s">
        <v>798</v>
      </c>
      <c r="T3610" s="17" t="s">
        <v>798</v>
      </c>
      <c r="U3610" s="20" t="s">
        <v>798</v>
      </c>
      <c r="V3610" s="26" t="s">
        <v>798</v>
      </c>
      <c r="W3610" s="20" t="s">
        <v>798</v>
      </c>
      <c r="X3610" s="26" t="s">
        <v>798</v>
      </c>
      <c r="Y3610" s="20" t="s">
        <v>798</v>
      </c>
      <c r="Z3610" s="69" t="s">
        <v>9486</v>
      </c>
      <c r="AA3610" s="72" t="s">
        <v>9477</v>
      </c>
      <c r="AB3610" s="73" t="s">
        <v>9486</v>
      </c>
      <c r="AC3610" s="74" t="s">
        <v>9566</v>
      </c>
      <c r="AD3610" s="73" t="s">
        <v>9578</v>
      </c>
      <c r="AE3610" s="74" t="s">
        <v>9579</v>
      </c>
    </row>
    <row r="3611" spans="1:31" ht="8.65" customHeight="1" x14ac:dyDescent="0.2">
      <c r="A3611" s="76">
        <v>3611</v>
      </c>
      <c r="B3611" s="67" t="str">
        <f>MID(C3611, FIND("Ifc.", C3611) + 4, 4) &amp; "_" &amp; TEXT(COUNTIF($C$2:C3611, C3611),"0000")</f>
        <v>Enti_0744</v>
      </c>
      <c r="C3611" s="25" t="s">
        <v>874</v>
      </c>
      <c r="D3611" s="69" t="s">
        <v>9453</v>
      </c>
      <c r="E3611" s="70" t="s">
        <v>9457</v>
      </c>
      <c r="F3611" s="26" t="s">
        <v>798</v>
      </c>
      <c r="G3611" s="15" t="s">
        <v>798</v>
      </c>
      <c r="H3611" s="14" t="s">
        <v>798</v>
      </c>
      <c r="I3611" s="15" t="s">
        <v>798</v>
      </c>
      <c r="J3611" s="12" t="s">
        <v>9438</v>
      </c>
      <c r="K3611" s="16" t="s">
        <v>3680</v>
      </c>
      <c r="L3611" s="12" t="s">
        <v>800</v>
      </c>
      <c r="M3611" s="16" t="s">
        <v>4643</v>
      </c>
      <c r="N3611" s="19" t="s">
        <v>798</v>
      </c>
      <c r="O3611" s="20" t="s">
        <v>798</v>
      </c>
      <c r="P3611" s="17" t="s">
        <v>802</v>
      </c>
      <c r="Q3611" s="21" t="s">
        <v>9232</v>
      </c>
      <c r="R3611" s="19" t="s">
        <v>798</v>
      </c>
      <c r="S3611" s="20" t="s">
        <v>798</v>
      </c>
      <c r="T3611" s="17" t="s">
        <v>798</v>
      </c>
      <c r="U3611" s="20" t="s">
        <v>798</v>
      </c>
      <c r="V3611" s="26" t="s">
        <v>798</v>
      </c>
      <c r="W3611" s="20" t="s">
        <v>798</v>
      </c>
      <c r="X3611" s="26" t="s">
        <v>798</v>
      </c>
      <c r="Y3611" s="20" t="s">
        <v>798</v>
      </c>
      <c r="Z3611" s="69" t="s">
        <v>9486</v>
      </c>
      <c r="AA3611" s="72" t="s">
        <v>9476</v>
      </c>
      <c r="AB3611" s="73" t="s">
        <v>9486</v>
      </c>
      <c r="AC3611" s="74" t="s">
        <v>9562</v>
      </c>
      <c r="AD3611" s="73" t="s">
        <v>9578</v>
      </c>
      <c r="AE3611" s="74" t="s">
        <v>9579</v>
      </c>
    </row>
    <row r="3612" spans="1:31" ht="8.65" customHeight="1" x14ac:dyDescent="0.2">
      <c r="A3612" s="76">
        <v>3612</v>
      </c>
      <c r="B3612" s="67" t="str">
        <f>MID(C3612, FIND("Ifc.", C3612) + 4, 4) &amp; "_" &amp; TEXT(COUNTIF($C$2:C3612, C3612),"0000")</f>
        <v>Enti_0745</v>
      </c>
      <c r="C3612" s="25" t="s">
        <v>874</v>
      </c>
      <c r="D3612" s="69" t="s">
        <v>9453</v>
      </c>
      <c r="E3612" s="70" t="s">
        <v>9457</v>
      </c>
      <c r="F3612" s="26" t="s">
        <v>798</v>
      </c>
      <c r="G3612" s="15" t="s">
        <v>798</v>
      </c>
      <c r="H3612" s="14" t="s">
        <v>798</v>
      </c>
      <c r="I3612" s="15" t="s">
        <v>798</v>
      </c>
      <c r="J3612" s="12" t="s">
        <v>9438</v>
      </c>
      <c r="K3612" s="16" t="s">
        <v>3681</v>
      </c>
      <c r="L3612" s="12" t="s">
        <v>800</v>
      </c>
      <c r="M3612" s="16" t="s">
        <v>4644</v>
      </c>
      <c r="N3612" s="19" t="s">
        <v>798</v>
      </c>
      <c r="O3612" s="20" t="s">
        <v>798</v>
      </c>
      <c r="P3612" s="17" t="s">
        <v>802</v>
      </c>
      <c r="Q3612" s="21" t="s">
        <v>9233</v>
      </c>
      <c r="R3612" s="19" t="s">
        <v>798</v>
      </c>
      <c r="S3612" s="20" t="s">
        <v>798</v>
      </c>
      <c r="T3612" s="17" t="s">
        <v>798</v>
      </c>
      <c r="U3612" s="20" t="s">
        <v>798</v>
      </c>
      <c r="V3612" s="26" t="s">
        <v>798</v>
      </c>
      <c r="W3612" s="20" t="s">
        <v>798</v>
      </c>
      <c r="X3612" s="26" t="s">
        <v>798</v>
      </c>
      <c r="Y3612" s="20" t="s">
        <v>798</v>
      </c>
      <c r="Z3612" s="69" t="s">
        <v>9486</v>
      </c>
      <c r="AA3612" s="72" t="s">
        <v>9476</v>
      </c>
      <c r="AB3612" s="73" t="s">
        <v>9486</v>
      </c>
      <c r="AC3612" s="74" t="s">
        <v>9562</v>
      </c>
      <c r="AD3612" s="73" t="s">
        <v>9578</v>
      </c>
      <c r="AE3612" s="74" t="s">
        <v>9579</v>
      </c>
    </row>
    <row r="3613" spans="1:31" ht="8.65" customHeight="1" x14ac:dyDescent="0.2">
      <c r="A3613" s="76">
        <v>3613</v>
      </c>
      <c r="B3613" s="67" t="str">
        <f>MID(C3613, FIND("Ifc.", C3613) + 4, 4) &amp; "_" &amp; TEXT(COUNTIF($C$2:C3613, C3613),"0000")</f>
        <v>Enti_0746</v>
      </c>
      <c r="C3613" s="25" t="s">
        <v>874</v>
      </c>
      <c r="D3613" s="69" t="s">
        <v>9453</v>
      </c>
      <c r="E3613" s="70" t="s">
        <v>9457</v>
      </c>
      <c r="F3613" s="26" t="s">
        <v>798</v>
      </c>
      <c r="G3613" s="15" t="s">
        <v>798</v>
      </c>
      <c r="H3613" s="14" t="s">
        <v>798</v>
      </c>
      <c r="I3613" s="15" t="s">
        <v>798</v>
      </c>
      <c r="J3613" s="12" t="s">
        <v>9438</v>
      </c>
      <c r="K3613" s="16" t="s">
        <v>3682</v>
      </c>
      <c r="L3613" s="12" t="s">
        <v>800</v>
      </c>
      <c r="M3613" s="16" t="s">
        <v>4645</v>
      </c>
      <c r="N3613" s="19" t="s">
        <v>798</v>
      </c>
      <c r="O3613" s="20" t="s">
        <v>798</v>
      </c>
      <c r="P3613" s="17" t="s">
        <v>802</v>
      </c>
      <c r="Q3613" s="21" t="s">
        <v>9234</v>
      </c>
      <c r="R3613" s="19" t="s">
        <v>798</v>
      </c>
      <c r="S3613" s="20" t="s">
        <v>798</v>
      </c>
      <c r="T3613" s="17" t="s">
        <v>798</v>
      </c>
      <c r="U3613" s="20" t="s">
        <v>798</v>
      </c>
      <c r="V3613" s="26" t="s">
        <v>798</v>
      </c>
      <c r="W3613" s="20" t="s">
        <v>798</v>
      </c>
      <c r="X3613" s="26" t="s">
        <v>798</v>
      </c>
      <c r="Y3613" s="20" t="s">
        <v>798</v>
      </c>
      <c r="Z3613" s="69" t="s">
        <v>9486</v>
      </c>
      <c r="AA3613" s="72" t="s">
        <v>9476</v>
      </c>
      <c r="AB3613" s="73" t="s">
        <v>9486</v>
      </c>
      <c r="AC3613" s="74" t="s">
        <v>9566</v>
      </c>
      <c r="AD3613" s="73" t="s">
        <v>9578</v>
      </c>
      <c r="AE3613" s="74" t="s">
        <v>9579</v>
      </c>
    </row>
    <row r="3614" spans="1:31" ht="8.65" customHeight="1" x14ac:dyDescent="0.2">
      <c r="A3614" s="76">
        <v>3614</v>
      </c>
      <c r="B3614" s="67" t="str">
        <f>MID(C3614, FIND("Ifc.", C3614) + 4, 4) &amp; "_" &amp; TEXT(COUNTIF($C$2:C3614, C3614),"0000")</f>
        <v>Enti_0747</v>
      </c>
      <c r="C3614" s="25" t="s">
        <v>874</v>
      </c>
      <c r="D3614" s="69" t="s">
        <v>9453</v>
      </c>
      <c r="E3614" s="70" t="s">
        <v>9457</v>
      </c>
      <c r="F3614" s="26" t="s">
        <v>798</v>
      </c>
      <c r="G3614" s="15" t="s">
        <v>798</v>
      </c>
      <c r="H3614" s="14" t="s">
        <v>798</v>
      </c>
      <c r="I3614" s="15" t="s">
        <v>798</v>
      </c>
      <c r="J3614" s="12" t="s">
        <v>9438</v>
      </c>
      <c r="K3614" s="16" t="s">
        <v>3683</v>
      </c>
      <c r="L3614" s="12" t="s">
        <v>800</v>
      </c>
      <c r="M3614" s="16" t="s">
        <v>4646</v>
      </c>
      <c r="N3614" s="19" t="s">
        <v>798</v>
      </c>
      <c r="O3614" s="20" t="s">
        <v>798</v>
      </c>
      <c r="P3614" s="17" t="s">
        <v>802</v>
      </c>
      <c r="Q3614" s="21" t="s">
        <v>9235</v>
      </c>
      <c r="R3614" s="19" t="s">
        <v>798</v>
      </c>
      <c r="S3614" s="20" t="s">
        <v>798</v>
      </c>
      <c r="T3614" s="17" t="s">
        <v>798</v>
      </c>
      <c r="U3614" s="20" t="s">
        <v>798</v>
      </c>
      <c r="V3614" s="26" t="s">
        <v>798</v>
      </c>
      <c r="W3614" s="20" t="s">
        <v>798</v>
      </c>
      <c r="X3614" s="26" t="s">
        <v>798</v>
      </c>
      <c r="Y3614" s="20" t="s">
        <v>798</v>
      </c>
      <c r="Z3614" s="69" t="s">
        <v>9486</v>
      </c>
      <c r="AA3614" s="72" t="s">
        <v>9477</v>
      </c>
      <c r="AB3614" s="73" t="s">
        <v>9486</v>
      </c>
      <c r="AC3614" s="74" t="s">
        <v>9566</v>
      </c>
      <c r="AD3614" s="73" t="s">
        <v>9578</v>
      </c>
      <c r="AE3614" s="74" t="s">
        <v>9579</v>
      </c>
    </row>
    <row r="3615" spans="1:31" ht="8.65" customHeight="1" x14ac:dyDescent="0.2">
      <c r="A3615" s="76">
        <v>3615</v>
      </c>
      <c r="B3615" s="67" t="str">
        <f>MID(C3615, FIND("Ifc.", C3615) + 4, 4) &amp; "_" &amp; TEXT(COUNTIF($C$2:C3615, C3615),"0000")</f>
        <v>Enti_0748</v>
      </c>
      <c r="C3615" s="25" t="s">
        <v>874</v>
      </c>
      <c r="D3615" s="69" t="s">
        <v>9453</v>
      </c>
      <c r="E3615" s="70" t="s">
        <v>9457</v>
      </c>
      <c r="F3615" s="26" t="s">
        <v>798</v>
      </c>
      <c r="G3615" s="15" t="s">
        <v>798</v>
      </c>
      <c r="H3615" s="14" t="s">
        <v>798</v>
      </c>
      <c r="I3615" s="15" t="s">
        <v>798</v>
      </c>
      <c r="J3615" s="12" t="s">
        <v>9438</v>
      </c>
      <c r="K3615" s="16" t="s">
        <v>3684</v>
      </c>
      <c r="L3615" s="12" t="s">
        <v>800</v>
      </c>
      <c r="M3615" s="16" t="s">
        <v>4647</v>
      </c>
      <c r="N3615" s="19" t="s">
        <v>798</v>
      </c>
      <c r="O3615" s="20" t="s">
        <v>798</v>
      </c>
      <c r="P3615" s="17" t="s">
        <v>802</v>
      </c>
      <c r="Q3615" s="21" t="s">
        <v>9236</v>
      </c>
      <c r="R3615" s="19" t="s">
        <v>798</v>
      </c>
      <c r="S3615" s="20" t="s">
        <v>798</v>
      </c>
      <c r="T3615" s="17" t="s">
        <v>798</v>
      </c>
      <c r="U3615" s="20" t="s">
        <v>798</v>
      </c>
      <c r="V3615" s="26" t="s">
        <v>798</v>
      </c>
      <c r="W3615" s="20" t="s">
        <v>798</v>
      </c>
      <c r="X3615" s="26" t="s">
        <v>798</v>
      </c>
      <c r="Y3615" s="20" t="s">
        <v>798</v>
      </c>
      <c r="Z3615" s="69" t="s">
        <v>9486</v>
      </c>
      <c r="AA3615" s="72" t="s">
        <v>9476</v>
      </c>
      <c r="AB3615" s="73" t="s">
        <v>9486</v>
      </c>
      <c r="AC3615" s="74" t="s">
        <v>9562</v>
      </c>
      <c r="AD3615" s="73" t="s">
        <v>9578</v>
      </c>
      <c r="AE3615" s="74" t="s">
        <v>9579</v>
      </c>
    </row>
    <row r="3616" spans="1:31" ht="8.65" customHeight="1" x14ac:dyDescent="0.2">
      <c r="A3616" s="76">
        <v>3616</v>
      </c>
      <c r="B3616" s="67" t="str">
        <f>MID(C3616, FIND("Ifc.", C3616) + 4, 4) &amp; "_" &amp; TEXT(COUNTIF($C$2:C3616, C3616),"0000")</f>
        <v>Enti_0749</v>
      </c>
      <c r="C3616" s="25" t="s">
        <v>874</v>
      </c>
      <c r="D3616" s="69" t="s">
        <v>9453</v>
      </c>
      <c r="E3616" s="70" t="s">
        <v>9457</v>
      </c>
      <c r="F3616" s="26" t="s">
        <v>798</v>
      </c>
      <c r="G3616" s="15" t="s">
        <v>798</v>
      </c>
      <c r="H3616" s="14" t="s">
        <v>798</v>
      </c>
      <c r="I3616" s="15" t="s">
        <v>798</v>
      </c>
      <c r="J3616" s="12" t="s">
        <v>9438</v>
      </c>
      <c r="K3616" s="16" t="s">
        <v>3685</v>
      </c>
      <c r="L3616" s="12" t="s">
        <v>800</v>
      </c>
      <c r="M3616" s="16" t="s">
        <v>4648</v>
      </c>
      <c r="N3616" s="19" t="s">
        <v>798</v>
      </c>
      <c r="O3616" s="20" t="s">
        <v>798</v>
      </c>
      <c r="P3616" s="17" t="s">
        <v>802</v>
      </c>
      <c r="Q3616" s="21" t="s">
        <v>9237</v>
      </c>
      <c r="R3616" s="19" t="s">
        <v>798</v>
      </c>
      <c r="S3616" s="20" t="s">
        <v>798</v>
      </c>
      <c r="T3616" s="17" t="s">
        <v>798</v>
      </c>
      <c r="U3616" s="20" t="s">
        <v>798</v>
      </c>
      <c r="V3616" s="26" t="s">
        <v>798</v>
      </c>
      <c r="W3616" s="20" t="s">
        <v>798</v>
      </c>
      <c r="X3616" s="26" t="s">
        <v>798</v>
      </c>
      <c r="Y3616" s="20" t="s">
        <v>798</v>
      </c>
      <c r="Z3616" s="69" t="s">
        <v>9486</v>
      </c>
      <c r="AA3616" s="72" t="s">
        <v>9476</v>
      </c>
      <c r="AB3616" s="73" t="s">
        <v>9486</v>
      </c>
      <c r="AC3616" s="74" t="s">
        <v>9562</v>
      </c>
      <c r="AD3616" s="73" t="s">
        <v>9578</v>
      </c>
      <c r="AE3616" s="74" t="s">
        <v>9579</v>
      </c>
    </row>
    <row r="3617" spans="1:31" ht="8.65" customHeight="1" x14ac:dyDescent="0.2">
      <c r="A3617" s="76">
        <v>3617</v>
      </c>
      <c r="B3617" s="67" t="str">
        <f>MID(C3617, FIND("Ifc.", C3617) + 4, 4) &amp; "_" &amp; TEXT(COUNTIF($C$2:C3617, C3617),"0000")</f>
        <v>Enti_0750</v>
      </c>
      <c r="C3617" s="25" t="s">
        <v>874</v>
      </c>
      <c r="D3617" s="69" t="s">
        <v>9453</v>
      </c>
      <c r="E3617" s="70" t="s">
        <v>9457</v>
      </c>
      <c r="F3617" s="26" t="s">
        <v>798</v>
      </c>
      <c r="G3617" s="15" t="s">
        <v>798</v>
      </c>
      <c r="H3617" s="14" t="s">
        <v>798</v>
      </c>
      <c r="I3617" s="15" t="s">
        <v>798</v>
      </c>
      <c r="J3617" s="12" t="s">
        <v>9438</v>
      </c>
      <c r="K3617" s="16" t="s">
        <v>3686</v>
      </c>
      <c r="L3617" s="12" t="s">
        <v>800</v>
      </c>
      <c r="M3617" s="16" t="s">
        <v>4649</v>
      </c>
      <c r="N3617" s="19" t="s">
        <v>798</v>
      </c>
      <c r="O3617" s="20" t="s">
        <v>798</v>
      </c>
      <c r="P3617" s="17" t="s">
        <v>802</v>
      </c>
      <c r="Q3617" s="21" t="s">
        <v>9238</v>
      </c>
      <c r="R3617" s="19" t="s">
        <v>798</v>
      </c>
      <c r="S3617" s="20" t="s">
        <v>798</v>
      </c>
      <c r="T3617" s="17" t="s">
        <v>798</v>
      </c>
      <c r="U3617" s="20" t="s">
        <v>798</v>
      </c>
      <c r="V3617" s="26" t="s">
        <v>798</v>
      </c>
      <c r="W3617" s="20" t="s">
        <v>798</v>
      </c>
      <c r="X3617" s="26" t="s">
        <v>798</v>
      </c>
      <c r="Y3617" s="20" t="s">
        <v>798</v>
      </c>
      <c r="Z3617" s="69" t="s">
        <v>9486</v>
      </c>
      <c r="AA3617" s="72" t="s">
        <v>9476</v>
      </c>
      <c r="AB3617" s="73" t="s">
        <v>9486</v>
      </c>
      <c r="AC3617" s="74" t="s">
        <v>9562</v>
      </c>
      <c r="AD3617" s="73" t="s">
        <v>9578</v>
      </c>
      <c r="AE3617" s="74" t="s">
        <v>9579</v>
      </c>
    </row>
    <row r="3618" spans="1:31" ht="8.65" customHeight="1" x14ac:dyDescent="0.2">
      <c r="A3618" s="76">
        <v>3618</v>
      </c>
      <c r="B3618" s="67" t="str">
        <f>MID(C3618, FIND("Ifc.", C3618) + 4, 4) &amp; "_" &amp; TEXT(COUNTIF($C$2:C3618, C3618),"0000")</f>
        <v>Enti_0751</v>
      </c>
      <c r="C3618" s="25" t="s">
        <v>874</v>
      </c>
      <c r="D3618" s="69" t="s">
        <v>9453</v>
      </c>
      <c r="E3618" s="70" t="s">
        <v>9457</v>
      </c>
      <c r="F3618" s="26" t="s">
        <v>798</v>
      </c>
      <c r="G3618" s="15" t="s">
        <v>798</v>
      </c>
      <c r="H3618" s="14" t="s">
        <v>798</v>
      </c>
      <c r="I3618" s="15" t="s">
        <v>798</v>
      </c>
      <c r="J3618" s="12" t="s">
        <v>9438</v>
      </c>
      <c r="K3618" s="16" t="s">
        <v>3687</v>
      </c>
      <c r="L3618" s="12" t="s">
        <v>800</v>
      </c>
      <c r="M3618" s="16" t="s">
        <v>4649</v>
      </c>
      <c r="N3618" s="19" t="s">
        <v>798</v>
      </c>
      <c r="O3618" s="20" t="s">
        <v>798</v>
      </c>
      <c r="P3618" s="17" t="s">
        <v>802</v>
      </c>
      <c r="Q3618" s="21" t="s">
        <v>9239</v>
      </c>
      <c r="R3618" s="19" t="s">
        <v>798</v>
      </c>
      <c r="S3618" s="20" t="s">
        <v>798</v>
      </c>
      <c r="T3618" s="17" t="s">
        <v>798</v>
      </c>
      <c r="U3618" s="20" t="s">
        <v>798</v>
      </c>
      <c r="V3618" s="26" t="s">
        <v>798</v>
      </c>
      <c r="W3618" s="20" t="s">
        <v>798</v>
      </c>
      <c r="X3618" s="26" t="s">
        <v>798</v>
      </c>
      <c r="Y3618" s="20" t="s">
        <v>798</v>
      </c>
      <c r="Z3618" s="69" t="s">
        <v>9486</v>
      </c>
      <c r="AA3618" s="72" t="s">
        <v>9476</v>
      </c>
      <c r="AB3618" s="73" t="s">
        <v>9486</v>
      </c>
      <c r="AC3618" s="74" t="s">
        <v>9562</v>
      </c>
      <c r="AD3618" s="73" t="s">
        <v>9578</v>
      </c>
      <c r="AE3618" s="74" t="s">
        <v>9579</v>
      </c>
    </row>
    <row r="3619" spans="1:31" ht="8.65" customHeight="1" x14ac:dyDescent="0.2">
      <c r="A3619" s="76">
        <v>3619</v>
      </c>
      <c r="B3619" s="67" t="str">
        <f>MID(C3619, FIND("Ifc.", C3619) + 4, 4) &amp; "_" &amp; TEXT(COUNTIF($C$2:C3619, C3619),"0000")</f>
        <v>Enti_0752</v>
      </c>
      <c r="C3619" s="25" t="s">
        <v>874</v>
      </c>
      <c r="D3619" s="69" t="s">
        <v>9453</v>
      </c>
      <c r="E3619" s="70" t="s">
        <v>9457</v>
      </c>
      <c r="F3619" s="26" t="s">
        <v>798</v>
      </c>
      <c r="G3619" s="15" t="s">
        <v>798</v>
      </c>
      <c r="H3619" s="14" t="s">
        <v>798</v>
      </c>
      <c r="I3619" s="15" t="s">
        <v>798</v>
      </c>
      <c r="J3619" s="12" t="s">
        <v>9438</v>
      </c>
      <c r="K3619" s="16" t="s">
        <v>3688</v>
      </c>
      <c r="L3619" s="12" t="s">
        <v>800</v>
      </c>
      <c r="M3619" s="16" t="s">
        <v>4650</v>
      </c>
      <c r="N3619" s="19" t="s">
        <v>798</v>
      </c>
      <c r="O3619" s="20" t="s">
        <v>798</v>
      </c>
      <c r="P3619" s="17" t="s">
        <v>802</v>
      </c>
      <c r="Q3619" s="21" t="s">
        <v>9240</v>
      </c>
      <c r="R3619" s="19" t="s">
        <v>798</v>
      </c>
      <c r="S3619" s="20" t="s">
        <v>798</v>
      </c>
      <c r="T3619" s="17" t="s">
        <v>798</v>
      </c>
      <c r="U3619" s="20" t="s">
        <v>798</v>
      </c>
      <c r="V3619" s="26" t="s">
        <v>798</v>
      </c>
      <c r="W3619" s="20" t="s">
        <v>798</v>
      </c>
      <c r="X3619" s="26" t="s">
        <v>798</v>
      </c>
      <c r="Y3619" s="20" t="s">
        <v>798</v>
      </c>
      <c r="Z3619" s="69" t="s">
        <v>9486</v>
      </c>
      <c r="AA3619" s="72" t="s">
        <v>9476</v>
      </c>
      <c r="AB3619" s="73" t="s">
        <v>9486</v>
      </c>
      <c r="AC3619" s="74" t="s">
        <v>9562</v>
      </c>
      <c r="AD3619" s="73" t="s">
        <v>9578</v>
      </c>
      <c r="AE3619" s="74" t="s">
        <v>9579</v>
      </c>
    </row>
    <row r="3620" spans="1:31" ht="8.65" customHeight="1" x14ac:dyDescent="0.2">
      <c r="A3620" s="76">
        <v>3620</v>
      </c>
      <c r="B3620" s="67" t="str">
        <f>MID(C3620, FIND("Ifc.", C3620) + 4, 4) &amp; "_" &amp; TEXT(COUNTIF($C$2:C3620, C3620),"0000")</f>
        <v>Enti_0753</v>
      </c>
      <c r="C3620" s="25" t="s">
        <v>874</v>
      </c>
      <c r="D3620" s="69" t="s">
        <v>9453</v>
      </c>
      <c r="E3620" s="70" t="s">
        <v>9457</v>
      </c>
      <c r="F3620" s="26" t="s">
        <v>798</v>
      </c>
      <c r="G3620" s="15" t="s">
        <v>798</v>
      </c>
      <c r="H3620" s="14" t="s">
        <v>798</v>
      </c>
      <c r="I3620" s="15" t="s">
        <v>798</v>
      </c>
      <c r="J3620" s="12" t="s">
        <v>9438</v>
      </c>
      <c r="K3620" s="16" t="s">
        <v>3689</v>
      </c>
      <c r="L3620" s="12" t="s">
        <v>800</v>
      </c>
      <c r="M3620" s="16" t="s">
        <v>4651</v>
      </c>
      <c r="N3620" s="19" t="s">
        <v>798</v>
      </c>
      <c r="O3620" s="20" t="s">
        <v>798</v>
      </c>
      <c r="P3620" s="17" t="s">
        <v>802</v>
      </c>
      <c r="Q3620" s="21" t="s">
        <v>9241</v>
      </c>
      <c r="R3620" s="19" t="s">
        <v>798</v>
      </c>
      <c r="S3620" s="20" t="s">
        <v>798</v>
      </c>
      <c r="T3620" s="17" t="s">
        <v>798</v>
      </c>
      <c r="U3620" s="20" t="s">
        <v>798</v>
      </c>
      <c r="V3620" s="26" t="s">
        <v>798</v>
      </c>
      <c r="W3620" s="20" t="s">
        <v>798</v>
      </c>
      <c r="X3620" s="26" t="s">
        <v>798</v>
      </c>
      <c r="Y3620" s="20" t="s">
        <v>798</v>
      </c>
      <c r="Z3620" s="69" t="s">
        <v>9486</v>
      </c>
      <c r="AA3620" s="72" t="s">
        <v>9476</v>
      </c>
      <c r="AB3620" s="73" t="s">
        <v>9486</v>
      </c>
      <c r="AC3620" s="74" t="s">
        <v>9562</v>
      </c>
      <c r="AD3620" s="73" t="s">
        <v>9578</v>
      </c>
      <c r="AE3620" s="74" t="s">
        <v>9579</v>
      </c>
    </row>
    <row r="3621" spans="1:31" ht="8.65" customHeight="1" x14ac:dyDescent="0.2">
      <c r="A3621" s="76">
        <v>3621</v>
      </c>
      <c r="B3621" s="67" t="str">
        <f>MID(C3621, FIND("Ifc.", C3621) + 4, 4) &amp; "_" &amp; TEXT(COUNTIF($C$2:C3621, C3621),"0000")</f>
        <v>Enti_0754</v>
      </c>
      <c r="C3621" s="25" t="s">
        <v>874</v>
      </c>
      <c r="D3621" s="69" t="s">
        <v>9453</v>
      </c>
      <c r="E3621" s="70" t="s">
        <v>9457</v>
      </c>
      <c r="F3621" s="26" t="s">
        <v>798</v>
      </c>
      <c r="G3621" s="15" t="s">
        <v>798</v>
      </c>
      <c r="H3621" s="14" t="s">
        <v>798</v>
      </c>
      <c r="I3621" s="15" t="s">
        <v>798</v>
      </c>
      <c r="J3621" s="12" t="s">
        <v>9438</v>
      </c>
      <c r="K3621" s="16" t="s">
        <v>3690</v>
      </c>
      <c r="L3621" s="12" t="s">
        <v>800</v>
      </c>
      <c r="M3621" s="16" t="s">
        <v>4652</v>
      </c>
      <c r="N3621" s="19" t="s">
        <v>798</v>
      </c>
      <c r="O3621" s="20" t="s">
        <v>798</v>
      </c>
      <c r="P3621" s="17" t="s">
        <v>802</v>
      </c>
      <c r="Q3621" s="21" t="s">
        <v>9242</v>
      </c>
      <c r="R3621" s="19" t="s">
        <v>798</v>
      </c>
      <c r="S3621" s="20" t="s">
        <v>798</v>
      </c>
      <c r="T3621" s="17" t="s">
        <v>798</v>
      </c>
      <c r="U3621" s="20" t="s">
        <v>798</v>
      </c>
      <c r="V3621" s="26" t="s">
        <v>798</v>
      </c>
      <c r="W3621" s="20" t="s">
        <v>798</v>
      </c>
      <c r="X3621" s="26" t="s">
        <v>798</v>
      </c>
      <c r="Y3621" s="20" t="s">
        <v>798</v>
      </c>
      <c r="Z3621" s="69" t="s">
        <v>9486</v>
      </c>
      <c r="AA3621" s="72" t="s">
        <v>9476</v>
      </c>
      <c r="AB3621" s="73" t="s">
        <v>9486</v>
      </c>
      <c r="AC3621" s="74" t="s">
        <v>9562</v>
      </c>
      <c r="AD3621" s="73" t="s">
        <v>9578</v>
      </c>
      <c r="AE3621" s="74" t="s">
        <v>9579</v>
      </c>
    </row>
    <row r="3622" spans="1:31" ht="8.65" customHeight="1" x14ac:dyDescent="0.2">
      <c r="A3622" s="76">
        <v>3622</v>
      </c>
      <c r="B3622" s="67" t="str">
        <f>MID(C3622, FIND("Ifc.", C3622) + 4, 4) &amp; "_" &amp; TEXT(COUNTIF($C$2:C3622, C3622),"0000")</f>
        <v>Enti_0755</v>
      </c>
      <c r="C3622" s="25" t="s">
        <v>874</v>
      </c>
      <c r="D3622" s="69" t="s">
        <v>9453</v>
      </c>
      <c r="E3622" s="70" t="s">
        <v>9457</v>
      </c>
      <c r="F3622" s="26" t="s">
        <v>798</v>
      </c>
      <c r="G3622" s="15" t="s">
        <v>798</v>
      </c>
      <c r="H3622" s="14" t="s">
        <v>798</v>
      </c>
      <c r="I3622" s="15" t="s">
        <v>798</v>
      </c>
      <c r="J3622" s="12" t="s">
        <v>9438</v>
      </c>
      <c r="K3622" s="16" t="s">
        <v>3691</v>
      </c>
      <c r="L3622" s="12" t="s">
        <v>800</v>
      </c>
      <c r="M3622" s="16" t="s">
        <v>4653</v>
      </c>
      <c r="N3622" s="19" t="s">
        <v>798</v>
      </c>
      <c r="O3622" s="20" t="s">
        <v>798</v>
      </c>
      <c r="P3622" s="17" t="s">
        <v>802</v>
      </c>
      <c r="Q3622" s="21" t="s">
        <v>9243</v>
      </c>
      <c r="R3622" s="19" t="s">
        <v>798</v>
      </c>
      <c r="S3622" s="20" t="s">
        <v>798</v>
      </c>
      <c r="T3622" s="17" t="s">
        <v>798</v>
      </c>
      <c r="U3622" s="20" t="s">
        <v>798</v>
      </c>
      <c r="V3622" s="26" t="s">
        <v>798</v>
      </c>
      <c r="W3622" s="20" t="s">
        <v>798</v>
      </c>
      <c r="X3622" s="26" t="s">
        <v>798</v>
      </c>
      <c r="Y3622" s="20" t="s">
        <v>798</v>
      </c>
      <c r="Z3622" s="69" t="s">
        <v>9486</v>
      </c>
      <c r="AA3622" s="72" t="s">
        <v>9476</v>
      </c>
      <c r="AB3622" s="73" t="s">
        <v>9486</v>
      </c>
      <c r="AC3622" s="74" t="s">
        <v>9562</v>
      </c>
      <c r="AD3622" s="73" t="s">
        <v>9578</v>
      </c>
      <c r="AE3622" s="74" t="s">
        <v>9579</v>
      </c>
    </row>
    <row r="3623" spans="1:31" ht="8.65" customHeight="1" x14ac:dyDescent="0.2">
      <c r="A3623" s="76">
        <v>3623</v>
      </c>
      <c r="B3623" s="67" t="str">
        <f>MID(C3623, FIND("Ifc.", C3623) + 4, 4) &amp; "_" &amp; TEXT(COUNTIF($C$2:C3623, C3623),"0000")</f>
        <v>Enti_0756</v>
      </c>
      <c r="C3623" s="25" t="s">
        <v>874</v>
      </c>
      <c r="D3623" s="69" t="s">
        <v>9453</v>
      </c>
      <c r="E3623" s="70" t="s">
        <v>9457</v>
      </c>
      <c r="F3623" s="26" t="s">
        <v>798</v>
      </c>
      <c r="G3623" s="15" t="s">
        <v>798</v>
      </c>
      <c r="H3623" s="14" t="s">
        <v>798</v>
      </c>
      <c r="I3623" s="15" t="s">
        <v>798</v>
      </c>
      <c r="J3623" s="12" t="s">
        <v>9438</v>
      </c>
      <c r="K3623" s="16" t="s">
        <v>3692</v>
      </c>
      <c r="L3623" s="12" t="s">
        <v>800</v>
      </c>
      <c r="M3623" s="16" t="s">
        <v>4654</v>
      </c>
      <c r="N3623" s="19" t="s">
        <v>798</v>
      </c>
      <c r="O3623" s="20" t="s">
        <v>798</v>
      </c>
      <c r="P3623" s="17" t="s">
        <v>802</v>
      </c>
      <c r="Q3623" s="21" t="s">
        <v>9244</v>
      </c>
      <c r="R3623" s="19" t="s">
        <v>798</v>
      </c>
      <c r="S3623" s="20" t="s">
        <v>798</v>
      </c>
      <c r="T3623" s="17" t="s">
        <v>798</v>
      </c>
      <c r="U3623" s="20" t="s">
        <v>798</v>
      </c>
      <c r="V3623" s="26" t="s">
        <v>798</v>
      </c>
      <c r="W3623" s="20" t="s">
        <v>798</v>
      </c>
      <c r="X3623" s="26" t="s">
        <v>798</v>
      </c>
      <c r="Y3623" s="20" t="s">
        <v>798</v>
      </c>
      <c r="Z3623" s="69" t="s">
        <v>9486</v>
      </c>
      <c r="AA3623" s="72" t="s">
        <v>9476</v>
      </c>
      <c r="AB3623" s="73" t="s">
        <v>9486</v>
      </c>
      <c r="AC3623" s="74" t="s">
        <v>9562</v>
      </c>
      <c r="AD3623" s="73" t="s">
        <v>9578</v>
      </c>
      <c r="AE3623" s="74" t="s">
        <v>9579</v>
      </c>
    </row>
    <row r="3624" spans="1:31" ht="8.65" customHeight="1" x14ac:dyDescent="0.2">
      <c r="A3624" s="76">
        <v>3624</v>
      </c>
      <c r="B3624" s="67" t="str">
        <f>MID(C3624, FIND("Ifc.", C3624) + 4, 4) &amp; "_" &amp; TEXT(COUNTIF($C$2:C3624, C3624),"0000")</f>
        <v>Enti_0757</v>
      </c>
      <c r="C3624" s="25" t="s">
        <v>874</v>
      </c>
      <c r="D3624" s="69" t="s">
        <v>9453</v>
      </c>
      <c r="E3624" s="70" t="s">
        <v>9457</v>
      </c>
      <c r="F3624" s="26" t="s">
        <v>798</v>
      </c>
      <c r="G3624" s="15" t="s">
        <v>798</v>
      </c>
      <c r="H3624" s="14" t="s">
        <v>798</v>
      </c>
      <c r="I3624" s="15" t="s">
        <v>798</v>
      </c>
      <c r="J3624" s="12" t="s">
        <v>9438</v>
      </c>
      <c r="K3624" s="16" t="s">
        <v>3693</v>
      </c>
      <c r="L3624" s="12" t="s">
        <v>800</v>
      </c>
      <c r="M3624" s="16" t="s">
        <v>4655</v>
      </c>
      <c r="N3624" s="19" t="s">
        <v>798</v>
      </c>
      <c r="O3624" s="20" t="s">
        <v>798</v>
      </c>
      <c r="P3624" s="17" t="s">
        <v>802</v>
      </c>
      <c r="Q3624" s="21" t="s">
        <v>9245</v>
      </c>
      <c r="R3624" s="19" t="s">
        <v>798</v>
      </c>
      <c r="S3624" s="20" t="s">
        <v>798</v>
      </c>
      <c r="T3624" s="17" t="s">
        <v>798</v>
      </c>
      <c r="U3624" s="20" t="s">
        <v>798</v>
      </c>
      <c r="V3624" s="26" t="s">
        <v>798</v>
      </c>
      <c r="W3624" s="20" t="s">
        <v>798</v>
      </c>
      <c r="X3624" s="26" t="s">
        <v>798</v>
      </c>
      <c r="Y3624" s="20" t="s">
        <v>798</v>
      </c>
      <c r="Z3624" s="69" t="s">
        <v>9486</v>
      </c>
      <c r="AA3624" s="72" t="s">
        <v>9476</v>
      </c>
      <c r="AB3624" s="73" t="s">
        <v>9486</v>
      </c>
      <c r="AC3624" s="74" t="s">
        <v>9566</v>
      </c>
      <c r="AD3624" s="73" t="s">
        <v>9578</v>
      </c>
      <c r="AE3624" s="74" t="s">
        <v>9579</v>
      </c>
    </row>
    <row r="3625" spans="1:31" ht="8.65" customHeight="1" x14ac:dyDescent="0.2">
      <c r="A3625" s="76">
        <v>3625</v>
      </c>
      <c r="B3625" s="67" t="str">
        <f>MID(C3625, FIND("Ifc.", C3625) + 4, 4) &amp; "_" &amp; TEXT(COUNTIF($C$2:C3625, C3625),"0000")</f>
        <v>Enti_0758</v>
      </c>
      <c r="C3625" s="25" t="s">
        <v>874</v>
      </c>
      <c r="D3625" s="69" t="s">
        <v>9453</v>
      </c>
      <c r="E3625" s="70" t="s">
        <v>9457</v>
      </c>
      <c r="F3625" s="26" t="s">
        <v>798</v>
      </c>
      <c r="G3625" s="15" t="s">
        <v>798</v>
      </c>
      <c r="H3625" s="14" t="s">
        <v>798</v>
      </c>
      <c r="I3625" s="15" t="s">
        <v>798</v>
      </c>
      <c r="J3625" s="12" t="s">
        <v>9438</v>
      </c>
      <c r="K3625" s="16" t="s">
        <v>3694</v>
      </c>
      <c r="L3625" s="12" t="s">
        <v>800</v>
      </c>
      <c r="M3625" s="16" t="s">
        <v>4656</v>
      </c>
      <c r="N3625" s="19" t="s">
        <v>798</v>
      </c>
      <c r="O3625" s="20" t="s">
        <v>798</v>
      </c>
      <c r="P3625" s="17" t="s">
        <v>802</v>
      </c>
      <c r="Q3625" s="21" t="s">
        <v>9246</v>
      </c>
      <c r="R3625" s="19" t="s">
        <v>798</v>
      </c>
      <c r="S3625" s="20" t="s">
        <v>798</v>
      </c>
      <c r="T3625" s="17" t="s">
        <v>798</v>
      </c>
      <c r="U3625" s="20" t="s">
        <v>798</v>
      </c>
      <c r="V3625" s="26" t="s">
        <v>798</v>
      </c>
      <c r="W3625" s="20" t="s">
        <v>798</v>
      </c>
      <c r="X3625" s="26" t="s">
        <v>798</v>
      </c>
      <c r="Y3625" s="20" t="s">
        <v>798</v>
      </c>
      <c r="Z3625" s="69" t="s">
        <v>9486</v>
      </c>
      <c r="AA3625" s="72" t="s">
        <v>9476</v>
      </c>
      <c r="AB3625" s="73" t="s">
        <v>9486</v>
      </c>
      <c r="AC3625" s="74" t="s">
        <v>9566</v>
      </c>
      <c r="AD3625" s="73" t="s">
        <v>9578</v>
      </c>
      <c r="AE3625" s="74" t="s">
        <v>9579</v>
      </c>
    </row>
    <row r="3626" spans="1:31" ht="8.65" customHeight="1" x14ac:dyDescent="0.2">
      <c r="A3626" s="76">
        <v>3626</v>
      </c>
      <c r="B3626" s="67" t="str">
        <f>MID(C3626, FIND("Ifc.", C3626) + 4, 4) &amp; "_" &amp; TEXT(COUNTIF($C$2:C3626, C3626),"0000")</f>
        <v>Enti_0759</v>
      </c>
      <c r="C3626" s="25" t="s">
        <v>874</v>
      </c>
      <c r="D3626" s="69" t="s">
        <v>9453</v>
      </c>
      <c r="E3626" s="70" t="s">
        <v>9457</v>
      </c>
      <c r="F3626" s="26" t="s">
        <v>798</v>
      </c>
      <c r="G3626" s="15" t="s">
        <v>798</v>
      </c>
      <c r="H3626" s="14" t="s">
        <v>798</v>
      </c>
      <c r="I3626" s="15" t="s">
        <v>798</v>
      </c>
      <c r="J3626" s="12" t="s">
        <v>9438</v>
      </c>
      <c r="K3626" s="16" t="s">
        <v>3695</v>
      </c>
      <c r="L3626" s="12" t="s">
        <v>800</v>
      </c>
      <c r="M3626" s="16" t="s">
        <v>4657</v>
      </c>
      <c r="N3626" s="19" t="s">
        <v>798</v>
      </c>
      <c r="O3626" s="20" t="s">
        <v>798</v>
      </c>
      <c r="P3626" s="17" t="s">
        <v>802</v>
      </c>
      <c r="Q3626" s="21" t="s">
        <v>9247</v>
      </c>
      <c r="R3626" s="19" t="s">
        <v>798</v>
      </c>
      <c r="S3626" s="20" t="s">
        <v>798</v>
      </c>
      <c r="T3626" s="17" t="s">
        <v>798</v>
      </c>
      <c r="U3626" s="20" t="s">
        <v>798</v>
      </c>
      <c r="V3626" s="26" t="s">
        <v>798</v>
      </c>
      <c r="W3626" s="20" t="s">
        <v>798</v>
      </c>
      <c r="X3626" s="26" t="s">
        <v>798</v>
      </c>
      <c r="Y3626" s="20" t="s">
        <v>798</v>
      </c>
      <c r="Z3626" s="69" t="s">
        <v>9486</v>
      </c>
      <c r="AA3626" s="72" t="s">
        <v>9476</v>
      </c>
      <c r="AB3626" s="73" t="s">
        <v>9486</v>
      </c>
      <c r="AC3626" s="74" t="s">
        <v>9562</v>
      </c>
      <c r="AD3626" s="73" t="s">
        <v>9578</v>
      </c>
      <c r="AE3626" s="74" t="s">
        <v>9579</v>
      </c>
    </row>
    <row r="3627" spans="1:31" ht="8.65" customHeight="1" x14ac:dyDescent="0.2">
      <c r="A3627" s="76">
        <v>3627</v>
      </c>
      <c r="B3627" s="67" t="str">
        <f>MID(C3627, FIND("Ifc.", C3627) + 4, 4) &amp; "_" &amp; TEXT(COUNTIF($C$2:C3627, C3627),"0000")</f>
        <v>Enti_0760</v>
      </c>
      <c r="C3627" s="25" t="s">
        <v>874</v>
      </c>
      <c r="D3627" s="69" t="s">
        <v>9453</v>
      </c>
      <c r="E3627" s="70" t="s">
        <v>9457</v>
      </c>
      <c r="F3627" s="26" t="s">
        <v>798</v>
      </c>
      <c r="G3627" s="15" t="s">
        <v>798</v>
      </c>
      <c r="H3627" s="14" t="s">
        <v>798</v>
      </c>
      <c r="I3627" s="15" t="s">
        <v>798</v>
      </c>
      <c r="J3627" s="12" t="s">
        <v>9438</v>
      </c>
      <c r="K3627" s="16" t="s">
        <v>3696</v>
      </c>
      <c r="L3627" s="12" t="s">
        <v>800</v>
      </c>
      <c r="M3627" s="16" t="s">
        <v>4658</v>
      </c>
      <c r="N3627" s="19" t="s">
        <v>798</v>
      </c>
      <c r="O3627" s="20" t="s">
        <v>798</v>
      </c>
      <c r="P3627" s="17" t="s">
        <v>802</v>
      </c>
      <c r="Q3627" s="21" t="s">
        <v>9248</v>
      </c>
      <c r="R3627" s="19" t="s">
        <v>798</v>
      </c>
      <c r="S3627" s="20" t="s">
        <v>798</v>
      </c>
      <c r="T3627" s="17" t="s">
        <v>798</v>
      </c>
      <c r="U3627" s="20" t="s">
        <v>798</v>
      </c>
      <c r="V3627" s="26" t="s">
        <v>798</v>
      </c>
      <c r="W3627" s="20" t="s">
        <v>798</v>
      </c>
      <c r="X3627" s="26" t="s">
        <v>798</v>
      </c>
      <c r="Y3627" s="20" t="s">
        <v>798</v>
      </c>
      <c r="Z3627" s="69" t="s">
        <v>9486</v>
      </c>
      <c r="AA3627" s="72" t="s">
        <v>9488</v>
      </c>
      <c r="AB3627" s="73" t="s">
        <v>9486</v>
      </c>
      <c r="AC3627" s="74" t="s">
        <v>9562</v>
      </c>
      <c r="AD3627" s="73" t="s">
        <v>9578</v>
      </c>
      <c r="AE3627" s="74" t="s">
        <v>9579</v>
      </c>
    </row>
    <row r="3628" spans="1:31" ht="8.65" customHeight="1" x14ac:dyDescent="0.2">
      <c r="A3628" s="76">
        <v>3628</v>
      </c>
      <c r="B3628" s="67" t="str">
        <f>MID(C3628, FIND("Ifc.", C3628) + 4, 4) &amp; "_" &amp; TEXT(COUNTIF($C$2:C3628, C3628),"0000")</f>
        <v>Enti_0761</v>
      </c>
      <c r="C3628" s="25" t="s">
        <v>874</v>
      </c>
      <c r="D3628" s="69" t="s">
        <v>9453</v>
      </c>
      <c r="E3628" s="70" t="s">
        <v>9457</v>
      </c>
      <c r="F3628" s="26" t="s">
        <v>798</v>
      </c>
      <c r="G3628" s="15" t="s">
        <v>798</v>
      </c>
      <c r="H3628" s="14" t="s">
        <v>798</v>
      </c>
      <c r="I3628" s="15" t="s">
        <v>798</v>
      </c>
      <c r="J3628" s="12" t="s">
        <v>9438</v>
      </c>
      <c r="K3628" s="16" t="s">
        <v>3697</v>
      </c>
      <c r="L3628" s="12" t="s">
        <v>800</v>
      </c>
      <c r="M3628" s="16" t="s">
        <v>4659</v>
      </c>
      <c r="N3628" s="19" t="s">
        <v>798</v>
      </c>
      <c r="O3628" s="20" t="s">
        <v>798</v>
      </c>
      <c r="P3628" s="17" t="s">
        <v>802</v>
      </c>
      <c r="Q3628" s="21" t="s">
        <v>9249</v>
      </c>
      <c r="R3628" s="19" t="s">
        <v>798</v>
      </c>
      <c r="S3628" s="20" t="s">
        <v>798</v>
      </c>
      <c r="T3628" s="17" t="s">
        <v>798</v>
      </c>
      <c r="U3628" s="20" t="s">
        <v>798</v>
      </c>
      <c r="V3628" s="26" t="s">
        <v>798</v>
      </c>
      <c r="W3628" s="20" t="s">
        <v>798</v>
      </c>
      <c r="X3628" s="26" t="s">
        <v>798</v>
      </c>
      <c r="Y3628" s="20" t="s">
        <v>798</v>
      </c>
      <c r="Z3628" s="69" t="s">
        <v>9486</v>
      </c>
      <c r="AA3628" s="72" t="s">
        <v>9488</v>
      </c>
      <c r="AB3628" s="73" t="s">
        <v>9486</v>
      </c>
      <c r="AC3628" s="74" t="s">
        <v>9562</v>
      </c>
      <c r="AD3628" s="73" t="s">
        <v>9578</v>
      </c>
      <c r="AE3628" s="74" t="s">
        <v>9579</v>
      </c>
    </row>
    <row r="3629" spans="1:31" ht="8.65" customHeight="1" x14ac:dyDescent="0.2">
      <c r="A3629" s="76">
        <v>3629</v>
      </c>
      <c r="B3629" s="67" t="str">
        <f>MID(C3629, FIND("Ifc.", C3629) + 4, 4) &amp; "_" &amp; TEXT(COUNTIF($C$2:C3629, C3629),"0000")</f>
        <v>Enti_0762</v>
      </c>
      <c r="C3629" s="25" t="s">
        <v>874</v>
      </c>
      <c r="D3629" s="69" t="s">
        <v>9453</v>
      </c>
      <c r="E3629" s="70" t="s">
        <v>9457</v>
      </c>
      <c r="F3629" s="26" t="s">
        <v>798</v>
      </c>
      <c r="G3629" s="15" t="s">
        <v>798</v>
      </c>
      <c r="H3629" s="14" t="s">
        <v>798</v>
      </c>
      <c r="I3629" s="15" t="s">
        <v>798</v>
      </c>
      <c r="J3629" s="12" t="s">
        <v>9438</v>
      </c>
      <c r="K3629" s="16" t="s">
        <v>3698</v>
      </c>
      <c r="L3629" s="12" t="s">
        <v>800</v>
      </c>
      <c r="M3629" s="16" t="s">
        <v>4660</v>
      </c>
      <c r="N3629" s="19" t="s">
        <v>798</v>
      </c>
      <c r="O3629" s="20" t="s">
        <v>798</v>
      </c>
      <c r="P3629" s="17" t="s">
        <v>802</v>
      </c>
      <c r="Q3629" s="21" t="s">
        <v>9250</v>
      </c>
      <c r="R3629" s="19" t="s">
        <v>798</v>
      </c>
      <c r="S3629" s="20" t="s">
        <v>798</v>
      </c>
      <c r="T3629" s="17" t="s">
        <v>798</v>
      </c>
      <c r="U3629" s="20" t="s">
        <v>798</v>
      </c>
      <c r="V3629" s="26" t="s">
        <v>798</v>
      </c>
      <c r="W3629" s="20" t="s">
        <v>798</v>
      </c>
      <c r="X3629" s="26" t="s">
        <v>798</v>
      </c>
      <c r="Y3629" s="20" t="s">
        <v>798</v>
      </c>
      <c r="Z3629" s="69" t="s">
        <v>9486</v>
      </c>
      <c r="AA3629" s="72" t="s">
        <v>9488</v>
      </c>
      <c r="AB3629" s="73" t="s">
        <v>9486</v>
      </c>
      <c r="AC3629" s="74" t="s">
        <v>9562</v>
      </c>
      <c r="AD3629" s="73" t="s">
        <v>9578</v>
      </c>
      <c r="AE3629" s="74" t="s">
        <v>9579</v>
      </c>
    </row>
    <row r="3630" spans="1:31" ht="8.65" customHeight="1" x14ac:dyDescent="0.2">
      <c r="A3630" s="76">
        <v>3630</v>
      </c>
      <c r="B3630" s="67" t="str">
        <f>MID(C3630, FIND("Ifc.", C3630) + 4, 4) &amp; "_" &amp; TEXT(COUNTIF($C$2:C3630, C3630),"0000")</f>
        <v>Enti_0763</v>
      </c>
      <c r="C3630" s="25" t="s">
        <v>874</v>
      </c>
      <c r="D3630" s="69" t="s">
        <v>9453</v>
      </c>
      <c r="E3630" s="70" t="s">
        <v>9457</v>
      </c>
      <c r="F3630" s="26" t="s">
        <v>798</v>
      </c>
      <c r="G3630" s="15" t="s">
        <v>798</v>
      </c>
      <c r="H3630" s="14" t="s">
        <v>798</v>
      </c>
      <c r="I3630" s="15" t="s">
        <v>798</v>
      </c>
      <c r="J3630" s="12" t="s">
        <v>9438</v>
      </c>
      <c r="K3630" s="16" t="s">
        <v>3699</v>
      </c>
      <c r="L3630" s="12" t="s">
        <v>800</v>
      </c>
      <c r="M3630" s="16" t="s">
        <v>4661</v>
      </c>
      <c r="N3630" s="19" t="s">
        <v>798</v>
      </c>
      <c r="O3630" s="20" t="s">
        <v>798</v>
      </c>
      <c r="P3630" s="17" t="s">
        <v>802</v>
      </c>
      <c r="Q3630" s="21" t="s">
        <v>9251</v>
      </c>
      <c r="R3630" s="19" t="s">
        <v>798</v>
      </c>
      <c r="S3630" s="20" t="s">
        <v>798</v>
      </c>
      <c r="T3630" s="17" t="s">
        <v>798</v>
      </c>
      <c r="U3630" s="20" t="s">
        <v>798</v>
      </c>
      <c r="V3630" s="26" t="s">
        <v>798</v>
      </c>
      <c r="W3630" s="20" t="s">
        <v>798</v>
      </c>
      <c r="X3630" s="26" t="s">
        <v>798</v>
      </c>
      <c r="Y3630" s="20" t="s">
        <v>798</v>
      </c>
      <c r="Z3630" s="69" t="s">
        <v>9486</v>
      </c>
      <c r="AA3630" s="72" t="s">
        <v>9488</v>
      </c>
      <c r="AB3630" s="73" t="s">
        <v>9486</v>
      </c>
      <c r="AC3630" s="74" t="s">
        <v>9562</v>
      </c>
      <c r="AD3630" s="73" t="s">
        <v>9578</v>
      </c>
      <c r="AE3630" s="74" t="s">
        <v>9579</v>
      </c>
    </row>
    <row r="3631" spans="1:31" ht="8.65" customHeight="1" x14ac:dyDescent="0.2">
      <c r="A3631" s="76">
        <v>3631</v>
      </c>
      <c r="B3631" s="67" t="str">
        <f>MID(C3631, FIND("Ifc.", C3631) + 4, 4) &amp; "_" &amp; TEXT(COUNTIF($C$2:C3631, C3631),"0000")</f>
        <v>Enti_0764</v>
      </c>
      <c r="C3631" s="25" t="s">
        <v>874</v>
      </c>
      <c r="D3631" s="69" t="s">
        <v>9453</v>
      </c>
      <c r="E3631" s="70" t="s">
        <v>9457</v>
      </c>
      <c r="F3631" s="26" t="s">
        <v>798</v>
      </c>
      <c r="G3631" s="15" t="s">
        <v>798</v>
      </c>
      <c r="H3631" s="14" t="s">
        <v>798</v>
      </c>
      <c r="I3631" s="15" t="s">
        <v>798</v>
      </c>
      <c r="J3631" s="12" t="s">
        <v>9438</v>
      </c>
      <c r="K3631" s="16" t="s">
        <v>3700</v>
      </c>
      <c r="L3631" s="12" t="s">
        <v>800</v>
      </c>
      <c r="M3631" s="16" t="s">
        <v>4662</v>
      </c>
      <c r="N3631" s="19" t="s">
        <v>798</v>
      </c>
      <c r="O3631" s="20" t="s">
        <v>798</v>
      </c>
      <c r="P3631" s="17" t="s">
        <v>802</v>
      </c>
      <c r="Q3631" s="21" t="s">
        <v>9252</v>
      </c>
      <c r="R3631" s="19" t="s">
        <v>798</v>
      </c>
      <c r="S3631" s="20" t="s">
        <v>798</v>
      </c>
      <c r="T3631" s="17" t="s">
        <v>798</v>
      </c>
      <c r="U3631" s="20" t="s">
        <v>798</v>
      </c>
      <c r="V3631" s="26" t="s">
        <v>798</v>
      </c>
      <c r="W3631" s="20" t="s">
        <v>798</v>
      </c>
      <c r="X3631" s="26" t="s">
        <v>798</v>
      </c>
      <c r="Y3631" s="20" t="s">
        <v>798</v>
      </c>
      <c r="Z3631" s="69" t="s">
        <v>9486</v>
      </c>
      <c r="AA3631" s="72" t="s">
        <v>9488</v>
      </c>
      <c r="AB3631" s="73" t="s">
        <v>9486</v>
      </c>
      <c r="AC3631" s="74" t="s">
        <v>9562</v>
      </c>
      <c r="AD3631" s="73" t="s">
        <v>9578</v>
      </c>
      <c r="AE3631" s="74" t="s">
        <v>9579</v>
      </c>
    </row>
    <row r="3632" spans="1:31" ht="8.65" customHeight="1" x14ac:dyDescent="0.2">
      <c r="A3632" s="76">
        <v>3632</v>
      </c>
      <c r="B3632" s="67" t="str">
        <f>MID(C3632, FIND("Ifc.", C3632) + 4, 4) &amp; "_" &amp; TEXT(COUNTIF($C$2:C3632, C3632),"0000")</f>
        <v>Enti_0765</v>
      </c>
      <c r="C3632" s="25" t="s">
        <v>874</v>
      </c>
      <c r="D3632" s="69" t="s">
        <v>9453</v>
      </c>
      <c r="E3632" s="70" t="s">
        <v>9457</v>
      </c>
      <c r="F3632" s="26" t="s">
        <v>798</v>
      </c>
      <c r="G3632" s="15" t="s">
        <v>798</v>
      </c>
      <c r="H3632" s="14" t="s">
        <v>798</v>
      </c>
      <c r="I3632" s="15" t="s">
        <v>798</v>
      </c>
      <c r="J3632" s="12" t="s">
        <v>9438</v>
      </c>
      <c r="K3632" s="16" t="s">
        <v>3701</v>
      </c>
      <c r="L3632" s="12" t="s">
        <v>800</v>
      </c>
      <c r="M3632" s="16" t="s">
        <v>4663</v>
      </c>
      <c r="N3632" s="19" t="s">
        <v>798</v>
      </c>
      <c r="O3632" s="20" t="s">
        <v>798</v>
      </c>
      <c r="P3632" s="17" t="s">
        <v>802</v>
      </c>
      <c r="Q3632" s="21" t="s">
        <v>9253</v>
      </c>
      <c r="R3632" s="19" t="s">
        <v>798</v>
      </c>
      <c r="S3632" s="20" t="s">
        <v>798</v>
      </c>
      <c r="T3632" s="17" t="s">
        <v>798</v>
      </c>
      <c r="U3632" s="20" t="s">
        <v>798</v>
      </c>
      <c r="V3632" s="26" t="s">
        <v>798</v>
      </c>
      <c r="W3632" s="20" t="s">
        <v>798</v>
      </c>
      <c r="X3632" s="26" t="s">
        <v>798</v>
      </c>
      <c r="Y3632" s="20" t="s">
        <v>798</v>
      </c>
      <c r="Z3632" s="69" t="s">
        <v>9486</v>
      </c>
      <c r="AA3632" s="72" t="s">
        <v>9488</v>
      </c>
      <c r="AB3632" s="73" t="s">
        <v>9486</v>
      </c>
      <c r="AC3632" s="74" t="s">
        <v>9562</v>
      </c>
      <c r="AD3632" s="73" t="s">
        <v>9578</v>
      </c>
      <c r="AE3632" s="74" t="s">
        <v>9579</v>
      </c>
    </row>
    <row r="3633" spans="1:31" ht="8.65" customHeight="1" x14ac:dyDescent="0.2">
      <c r="A3633" s="76">
        <v>3633</v>
      </c>
      <c r="B3633" s="67" t="str">
        <f>MID(C3633, FIND("Ifc.", C3633) + 4, 4) &amp; "_" &amp; TEXT(COUNTIF($C$2:C3633, C3633),"0000")</f>
        <v>Enti_0766</v>
      </c>
      <c r="C3633" s="25" t="s">
        <v>874</v>
      </c>
      <c r="D3633" s="69" t="s">
        <v>9453</v>
      </c>
      <c r="E3633" s="70" t="s">
        <v>9457</v>
      </c>
      <c r="F3633" s="26" t="s">
        <v>798</v>
      </c>
      <c r="G3633" s="15" t="s">
        <v>798</v>
      </c>
      <c r="H3633" s="14" t="s">
        <v>798</v>
      </c>
      <c r="I3633" s="15" t="s">
        <v>798</v>
      </c>
      <c r="J3633" s="12" t="s">
        <v>9438</v>
      </c>
      <c r="K3633" s="16" t="s">
        <v>3702</v>
      </c>
      <c r="L3633" s="12" t="s">
        <v>800</v>
      </c>
      <c r="M3633" s="16" t="s">
        <v>4664</v>
      </c>
      <c r="N3633" s="19" t="s">
        <v>798</v>
      </c>
      <c r="O3633" s="20" t="s">
        <v>798</v>
      </c>
      <c r="P3633" s="17" t="s">
        <v>802</v>
      </c>
      <c r="Q3633" s="21" t="s">
        <v>9254</v>
      </c>
      <c r="R3633" s="19" t="s">
        <v>798</v>
      </c>
      <c r="S3633" s="20" t="s">
        <v>798</v>
      </c>
      <c r="T3633" s="17" t="s">
        <v>798</v>
      </c>
      <c r="U3633" s="20" t="s">
        <v>798</v>
      </c>
      <c r="V3633" s="26" t="s">
        <v>798</v>
      </c>
      <c r="W3633" s="20" t="s">
        <v>798</v>
      </c>
      <c r="X3633" s="26" t="s">
        <v>798</v>
      </c>
      <c r="Y3633" s="20" t="s">
        <v>798</v>
      </c>
      <c r="Z3633" s="69" t="s">
        <v>9486</v>
      </c>
      <c r="AA3633" s="72" t="s">
        <v>9476</v>
      </c>
      <c r="AB3633" s="73" t="s">
        <v>9486</v>
      </c>
      <c r="AC3633" s="74" t="s">
        <v>9566</v>
      </c>
      <c r="AD3633" s="73" t="s">
        <v>9578</v>
      </c>
      <c r="AE3633" s="74" t="s">
        <v>9579</v>
      </c>
    </row>
    <row r="3634" spans="1:31" ht="8.65" customHeight="1" x14ac:dyDescent="0.2">
      <c r="A3634" s="76">
        <v>3634</v>
      </c>
      <c r="B3634" s="67" t="str">
        <f>MID(C3634, FIND("Ifc.", C3634) + 4, 4) &amp; "_" &amp; TEXT(COUNTIF($C$2:C3634, C3634),"0000")</f>
        <v>Enti_0767</v>
      </c>
      <c r="C3634" s="25" t="s">
        <v>874</v>
      </c>
      <c r="D3634" s="69" t="s">
        <v>9453</v>
      </c>
      <c r="E3634" s="70" t="s">
        <v>9457</v>
      </c>
      <c r="F3634" s="26" t="s">
        <v>798</v>
      </c>
      <c r="G3634" s="15" t="s">
        <v>798</v>
      </c>
      <c r="H3634" s="14" t="s">
        <v>798</v>
      </c>
      <c r="I3634" s="15" t="s">
        <v>798</v>
      </c>
      <c r="J3634" s="12" t="s">
        <v>9438</v>
      </c>
      <c r="K3634" s="16" t="s">
        <v>3703</v>
      </c>
      <c r="L3634" s="12" t="s">
        <v>800</v>
      </c>
      <c r="M3634" s="16" t="s">
        <v>4665</v>
      </c>
      <c r="N3634" s="19" t="s">
        <v>798</v>
      </c>
      <c r="O3634" s="20" t="s">
        <v>798</v>
      </c>
      <c r="P3634" s="17" t="s">
        <v>802</v>
      </c>
      <c r="Q3634" s="21" t="s">
        <v>9255</v>
      </c>
      <c r="R3634" s="19" t="s">
        <v>798</v>
      </c>
      <c r="S3634" s="20" t="s">
        <v>798</v>
      </c>
      <c r="T3634" s="17" t="s">
        <v>798</v>
      </c>
      <c r="U3634" s="20" t="s">
        <v>798</v>
      </c>
      <c r="V3634" s="26" t="s">
        <v>798</v>
      </c>
      <c r="W3634" s="20" t="s">
        <v>798</v>
      </c>
      <c r="X3634" s="26" t="s">
        <v>798</v>
      </c>
      <c r="Y3634" s="20" t="s">
        <v>798</v>
      </c>
      <c r="Z3634" s="69" t="s">
        <v>9486</v>
      </c>
      <c r="AA3634" s="72" t="s">
        <v>9477</v>
      </c>
      <c r="AB3634" s="73" t="s">
        <v>9486</v>
      </c>
      <c r="AC3634" s="74" t="s">
        <v>9566</v>
      </c>
      <c r="AD3634" s="73" t="s">
        <v>9578</v>
      </c>
      <c r="AE3634" s="74" t="s">
        <v>9579</v>
      </c>
    </row>
    <row r="3635" spans="1:31" ht="8.65" customHeight="1" x14ac:dyDescent="0.2">
      <c r="A3635" s="76">
        <v>3635</v>
      </c>
      <c r="B3635" s="67" t="str">
        <f>MID(C3635, FIND("Ifc.", C3635) + 4, 4) &amp; "_" &amp; TEXT(COUNTIF($C$2:C3635, C3635),"0000")</f>
        <v>Enti_0768</v>
      </c>
      <c r="C3635" s="25" t="s">
        <v>874</v>
      </c>
      <c r="D3635" s="69" t="s">
        <v>9453</v>
      </c>
      <c r="E3635" s="70" t="s">
        <v>9457</v>
      </c>
      <c r="F3635" s="26" t="s">
        <v>798</v>
      </c>
      <c r="G3635" s="15" t="s">
        <v>798</v>
      </c>
      <c r="H3635" s="14" t="s">
        <v>798</v>
      </c>
      <c r="I3635" s="15" t="s">
        <v>798</v>
      </c>
      <c r="J3635" s="12" t="s">
        <v>9438</v>
      </c>
      <c r="K3635" s="16" t="s">
        <v>3704</v>
      </c>
      <c r="L3635" s="12" t="s">
        <v>800</v>
      </c>
      <c r="M3635" s="16" t="s">
        <v>4666</v>
      </c>
      <c r="N3635" s="19" t="s">
        <v>798</v>
      </c>
      <c r="O3635" s="20" t="s">
        <v>798</v>
      </c>
      <c r="P3635" s="17" t="s">
        <v>802</v>
      </c>
      <c r="Q3635" s="21" t="s">
        <v>9256</v>
      </c>
      <c r="R3635" s="19" t="s">
        <v>798</v>
      </c>
      <c r="S3635" s="20" t="s">
        <v>798</v>
      </c>
      <c r="T3635" s="17" t="s">
        <v>798</v>
      </c>
      <c r="U3635" s="20" t="s">
        <v>798</v>
      </c>
      <c r="V3635" s="26" t="s">
        <v>798</v>
      </c>
      <c r="W3635" s="20" t="s">
        <v>798</v>
      </c>
      <c r="X3635" s="26" t="s">
        <v>798</v>
      </c>
      <c r="Y3635" s="20" t="s">
        <v>798</v>
      </c>
      <c r="Z3635" s="69" t="s">
        <v>9486</v>
      </c>
      <c r="AA3635" s="72" t="s">
        <v>9476</v>
      </c>
      <c r="AB3635" s="73" t="s">
        <v>9486</v>
      </c>
      <c r="AC3635" s="74" t="s">
        <v>9566</v>
      </c>
      <c r="AD3635" s="73" t="s">
        <v>9578</v>
      </c>
      <c r="AE3635" s="74" t="s">
        <v>9579</v>
      </c>
    </row>
    <row r="3636" spans="1:31" ht="8.65" customHeight="1" x14ac:dyDescent="0.2">
      <c r="A3636" s="76">
        <v>3636</v>
      </c>
      <c r="B3636" s="67" t="str">
        <f>MID(C3636, FIND("Ifc.", C3636) + 4, 4) &amp; "_" &amp; TEXT(COUNTIF($C$2:C3636, C3636),"0000")</f>
        <v>Enti_0769</v>
      </c>
      <c r="C3636" s="25" t="s">
        <v>874</v>
      </c>
      <c r="D3636" s="69" t="s">
        <v>9453</v>
      </c>
      <c r="E3636" s="70" t="s">
        <v>9457</v>
      </c>
      <c r="F3636" s="26" t="s">
        <v>798</v>
      </c>
      <c r="G3636" s="15" t="s">
        <v>798</v>
      </c>
      <c r="H3636" s="14" t="s">
        <v>798</v>
      </c>
      <c r="I3636" s="15" t="s">
        <v>798</v>
      </c>
      <c r="J3636" s="12" t="s">
        <v>9438</v>
      </c>
      <c r="K3636" s="16" t="s">
        <v>3705</v>
      </c>
      <c r="L3636" s="12" t="s">
        <v>800</v>
      </c>
      <c r="M3636" s="16" t="s">
        <v>4667</v>
      </c>
      <c r="N3636" s="19" t="s">
        <v>798</v>
      </c>
      <c r="O3636" s="20" t="s">
        <v>798</v>
      </c>
      <c r="P3636" s="17" t="s">
        <v>802</v>
      </c>
      <c r="Q3636" s="21" t="s">
        <v>9257</v>
      </c>
      <c r="R3636" s="19" t="s">
        <v>798</v>
      </c>
      <c r="S3636" s="20" t="s">
        <v>798</v>
      </c>
      <c r="T3636" s="17" t="s">
        <v>798</v>
      </c>
      <c r="U3636" s="20" t="s">
        <v>798</v>
      </c>
      <c r="V3636" s="26" t="s">
        <v>798</v>
      </c>
      <c r="W3636" s="20" t="s">
        <v>798</v>
      </c>
      <c r="X3636" s="26" t="s">
        <v>798</v>
      </c>
      <c r="Y3636" s="20" t="s">
        <v>798</v>
      </c>
      <c r="Z3636" s="69" t="s">
        <v>9486</v>
      </c>
      <c r="AA3636" s="72" t="s">
        <v>9477</v>
      </c>
      <c r="AB3636" s="73" t="s">
        <v>9486</v>
      </c>
      <c r="AC3636" s="74" t="s">
        <v>9566</v>
      </c>
      <c r="AD3636" s="73" t="s">
        <v>9578</v>
      </c>
      <c r="AE3636" s="74" t="s">
        <v>9579</v>
      </c>
    </row>
    <row r="3637" spans="1:31" ht="8.65" customHeight="1" x14ac:dyDescent="0.2">
      <c r="A3637" s="76">
        <v>3637</v>
      </c>
      <c r="B3637" s="67" t="str">
        <f>MID(C3637, FIND("Ifc.", C3637) + 4, 4) &amp; "_" &amp; TEXT(COUNTIF($C$2:C3637, C3637),"0000")</f>
        <v>Enti_0770</v>
      </c>
      <c r="C3637" s="25" t="s">
        <v>874</v>
      </c>
      <c r="D3637" s="69" t="s">
        <v>9453</v>
      </c>
      <c r="E3637" s="70" t="s">
        <v>9457</v>
      </c>
      <c r="F3637" s="26" t="s">
        <v>798</v>
      </c>
      <c r="G3637" s="15" t="s">
        <v>798</v>
      </c>
      <c r="H3637" s="14" t="s">
        <v>798</v>
      </c>
      <c r="I3637" s="15" t="s">
        <v>798</v>
      </c>
      <c r="J3637" s="12" t="s">
        <v>9438</v>
      </c>
      <c r="K3637" s="16" t="s">
        <v>3706</v>
      </c>
      <c r="L3637" s="12" t="s">
        <v>800</v>
      </c>
      <c r="M3637" s="16" t="s">
        <v>4668</v>
      </c>
      <c r="N3637" s="19" t="s">
        <v>798</v>
      </c>
      <c r="O3637" s="20" t="s">
        <v>798</v>
      </c>
      <c r="P3637" s="17" t="s">
        <v>802</v>
      </c>
      <c r="Q3637" s="21" t="s">
        <v>9258</v>
      </c>
      <c r="R3637" s="19" t="s">
        <v>798</v>
      </c>
      <c r="S3637" s="20" t="s">
        <v>798</v>
      </c>
      <c r="T3637" s="17" t="s">
        <v>798</v>
      </c>
      <c r="U3637" s="20" t="s">
        <v>798</v>
      </c>
      <c r="V3637" s="26" t="s">
        <v>798</v>
      </c>
      <c r="W3637" s="20" t="s">
        <v>798</v>
      </c>
      <c r="X3637" s="26" t="s">
        <v>798</v>
      </c>
      <c r="Y3637" s="20" t="s">
        <v>798</v>
      </c>
      <c r="Z3637" s="69" t="s">
        <v>9486</v>
      </c>
      <c r="AA3637" s="72" t="s">
        <v>9476</v>
      </c>
      <c r="AB3637" s="73" t="s">
        <v>9486</v>
      </c>
      <c r="AC3637" s="74" t="s">
        <v>9566</v>
      </c>
      <c r="AD3637" s="73" t="s">
        <v>9578</v>
      </c>
      <c r="AE3637" s="74" t="s">
        <v>9579</v>
      </c>
    </row>
    <row r="3638" spans="1:31" ht="8.65" customHeight="1" x14ac:dyDescent="0.2">
      <c r="A3638" s="76">
        <v>3638</v>
      </c>
      <c r="B3638" s="67" t="str">
        <f>MID(C3638, FIND("Ifc.", C3638) + 4, 4) &amp; "_" &amp; TEXT(COUNTIF($C$2:C3638, C3638),"0000")</f>
        <v>Enti_0771</v>
      </c>
      <c r="C3638" s="25" t="s">
        <v>874</v>
      </c>
      <c r="D3638" s="69" t="s">
        <v>9453</v>
      </c>
      <c r="E3638" s="70" t="s">
        <v>9457</v>
      </c>
      <c r="F3638" s="26" t="s">
        <v>798</v>
      </c>
      <c r="G3638" s="15" t="s">
        <v>798</v>
      </c>
      <c r="H3638" s="14" t="s">
        <v>798</v>
      </c>
      <c r="I3638" s="15" t="s">
        <v>798</v>
      </c>
      <c r="J3638" s="12" t="s">
        <v>9438</v>
      </c>
      <c r="K3638" s="16" t="s">
        <v>3707</v>
      </c>
      <c r="L3638" s="12" t="s">
        <v>800</v>
      </c>
      <c r="M3638" s="16" t="s">
        <v>4669</v>
      </c>
      <c r="N3638" s="19" t="s">
        <v>798</v>
      </c>
      <c r="O3638" s="20" t="s">
        <v>798</v>
      </c>
      <c r="P3638" s="17" t="s">
        <v>802</v>
      </c>
      <c r="Q3638" s="21" t="s">
        <v>9259</v>
      </c>
      <c r="R3638" s="19" t="s">
        <v>798</v>
      </c>
      <c r="S3638" s="20" t="s">
        <v>798</v>
      </c>
      <c r="T3638" s="17" t="s">
        <v>798</v>
      </c>
      <c r="U3638" s="20" t="s">
        <v>798</v>
      </c>
      <c r="V3638" s="26" t="s">
        <v>798</v>
      </c>
      <c r="W3638" s="20" t="s">
        <v>798</v>
      </c>
      <c r="X3638" s="26" t="s">
        <v>798</v>
      </c>
      <c r="Y3638" s="20" t="s">
        <v>798</v>
      </c>
      <c r="Z3638" s="69" t="s">
        <v>9486</v>
      </c>
      <c r="AA3638" s="72" t="s">
        <v>9477</v>
      </c>
      <c r="AB3638" s="73" t="s">
        <v>9486</v>
      </c>
      <c r="AC3638" s="74" t="s">
        <v>9566</v>
      </c>
      <c r="AD3638" s="73" t="s">
        <v>9578</v>
      </c>
      <c r="AE3638" s="74" t="s">
        <v>9579</v>
      </c>
    </row>
    <row r="3639" spans="1:31" ht="8.65" customHeight="1" x14ac:dyDescent="0.2">
      <c r="A3639" s="76">
        <v>3639</v>
      </c>
      <c r="B3639" s="67" t="str">
        <f>MID(C3639, FIND("Ifc.", C3639) + 4, 4) &amp; "_" &amp; TEXT(COUNTIF($C$2:C3639, C3639),"0000")</f>
        <v>Enti_0772</v>
      </c>
      <c r="C3639" s="25" t="s">
        <v>874</v>
      </c>
      <c r="D3639" s="69" t="s">
        <v>9453</v>
      </c>
      <c r="E3639" s="70" t="s">
        <v>9457</v>
      </c>
      <c r="F3639" s="26" t="s">
        <v>798</v>
      </c>
      <c r="G3639" s="15" t="s">
        <v>798</v>
      </c>
      <c r="H3639" s="14" t="s">
        <v>798</v>
      </c>
      <c r="I3639" s="15" t="s">
        <v>798</v>
      </c>
      <c r="J3639" s="12" t="s">
        <v>9438</v>
      </c>
      <c r="K3639" s="16" t="s">
        <v>3708</v>
      </c>
      <c r="L3639" s="12" t="s">
        <v>800</v>
      </c>
      <c r="M3639" s="16" t="s">
        <v>4670</v>
      </c>
      <c r="N3639" s="19" t="s">
        <v>798</v>
      </c>
      <c r="O3639" s="20" t="s">
        <v>798</v>
      </c>
      <c r="P3639" s="17" t="s">
        <v>802</v>
      </c>
      <c r="Q3639" s="21" t="s">
        <v>9260</v>
      </c>
      <c r="R3639" s="19" t="s">
        <v>798</v>
      </c>
      <c r="S3639" s="20" t="s">
        <v>798</v>
      </c>
      <c r="T3639" s="17" t="s">
        <v>798</v>
      </c>
      <c r="U3639" s="20" t="s">
        <v>798</v>
      </c>
      <c r="V3639" s="26" t="s">
        <v>798</v>
      </c>
      <c r="W3639" s="20" t="s">
        <v>798</v>
      </c>
      <c r="X3639" s="26" t="s">
        <v>798</v>
      </c>
      <c r="Y3639" s="20" t="s">
        <v>798</v>
      </c>
      <c r="Z3639" s="69" t="s">
        <v>9486</v>
      </c>
      <c r="AA3639" s="72" t="s">
        <v>9476</v>
      </c>
      <c r="AB3639" s="73" t="s">
        <v>9486</v>
      </c>
      <c r="AC3639" s="74" t="s">
        <v>9566</v>
      </c>
      <c r="AD3639" s="73" t="s">
        <v>9578</v>
      </c>
      <c r="AE3639" s="74" t="s">
        <v>9667</v>
      </c>
    </row>
    <row r="3640" spans="1:31" ht="8.65" customHeight="1" x14ac:dyDescent="0.2">
      <c r="A3640" s="76">
        <v>3640</v>
      </c>
      <c r="B3640" s="67" t="str">
        <f>MID(C3640, FIND("Ifc.", C3640) + 4, 4) &amp; "_" &amp; TEXT(COUNTIF($C$2:C3640, C3640),"0000")</f>
        <v>Enti_0773</v>
      </c>
      <c r="C3640" s="25" t="s">
        <v>874</v>
      </c>
      <c r="D3640" s="69" t="s">
        <v>9453</v>
      </c>
      <c r="E3640" s="70" t="s">
        <v>9457</v>
      </c>
      <c r="F3640" s="26" t="s">
        <v>798</v>
      </c>
      <c r="G3640" s="15" t="s">
        <v>798</v>
      </c>
      <c r="H3640" s="14" t="s">
        <v>798</v>
      </c>
      <c r="I3640" s="15" t="s">
        <v>798</v>
      </c>
      <c r="J3640" s="12" t="s">
        <v>9438</v>
      </c>
      <c r="K3640" s="16" t="s">
        <v>3709</v>
      </c>
      <c r="L3640" s="12" t="s">
        <v>800</v>
      </c>
      <c r="M3640" s="16" t="s">
        <v>4671</v>
      </c>
      <c r="N3640" s="19" t="s">
        <v>798</v>
      </c>
      <c r="O3640" s="20" t="s">
        <v>798</v>
      </c>
      <c r="P3640" s="17" t="s">
        <v>802</v>
      </c>
      <c r="Q3640" s="21" t="s">
        <v>9261</v>
      </c>
      <c r="R3640" s="19" t="s">
        <v>798</v>
      </c>
      <c r="S3640" s="20" t="s">
        <v>798</v>
      </c>
      <c r="T3640" s="17" t="s">
        <v>798</v>
      </c>
      <c r="U3640" s="20" t="s">
        <v>798</v>
      </c>
      <c r="V3640" s="26" t="s">
        <v>798</v>
      </c>
      <c r="W3640" s="20" t="s">
        <v>798</v>
      </c>
      <c r="X3640" s="26" t="s">
        <v>798</v>
      </c>
      <c r="Y3640" s="20" t="s">
        <v>798</v>
      </c>
      <c r="Z3640" s="69" t="s">
        <v>9486</v>
      </c>
      <c r="AA3640" s="72" t="s">
        <v>9477</v>
      </c>
      <c r="AB3640" s="73" t="s">
        <v>9486</v>
      </c>
      <c r="AC3640" s="74" t="s">
        <v>9566</v>
      </c>
      <c r="AD3640" s="73" t="s">
        <v>9578</v>
      </c>
      <c r="AE3640" s="74" t="s">
        <v>9667</v>
      </c>
    </row>
    <row r="3641" spans="1:31" ht="8.65" customHeight="1" x14ac:dyDescent="0.2">
      <c r="A3641" s="76">
        <v>3641</v>
      </c>
      <c r="B3641" s="67" t="str">
        <f>MID(C3641, FIND("Ifc.", C3641) + 4, 4) &amp; "_" &amp; TEXT(COUNTIF($C$2:C3641, C3641),"0000")</f>
        <v>Enti_0774</v>
      </c>
      <c r="C3641" s="25" t="s">
        <v>874</v>
      </c>
      <c r="D3641" s="69" t="s">
        <v>9453</v>
      </c>
      <c r="E3641" s="70" t="s">
        <v>9457</v>
      </c>
      <c r="F3641" s="26" t="s">
        <v>798</v>
      </c>
      <c r="G3641" s="15" t="s">
        <v>798</v>
      </c>
      <c r="H3641" s="14" t="s">
        <v>798</v>
      </c>
      <c r="I3641" s="15" t="s">
        <v>798</v>
      </c>
      <c r="J3641" s="12" t="s">
        <v>9438</v>
      </c>
      <c r="K3641" s="16" t="s">
        <v>3710</v>
      </c>
      <c r="L3641" s="12" t="s">
        <v>800</v>
      </c>
      <c r="M3641" s="16" t="s">
        <v>4672</v>
      </c>
      <c r="N3641" s="19" t="s">
        <v>798</v>
      </c>
      <c r="O3641" s="20" t="s">
        <v>798</v>
      </c>
      <c r="P3641" s="17" t="s">
        <v>802</v>
      </c>
      <c r="Q3641" s="21" t="s">
        <v>9262</v>
      </c>
      <c r="R3641" s="19" t="s">
        <v>798</v>
      </c>
      <c r="S3641" s="20" t="s">
        <v>798</v>
      </c>
      <c r="T3641" s="17" t="s">
        <v>798</v>
      </c>
      <c r="U3641" s="20" t="s">
        <v>798</v>
      </c>
      <c r="V3641" s="26" t="s">
        <v>798</v>
      </c>
      <c r="W3641" s="20" t="s">
        <v>798</v>
      </c>
      <c r="X3641" s="26" t="s">
        <v>798</v>
      </c>
      <c r="Y3641" s="20" t="s">
        <v>798</v>
      </c>
      <c r="Z3641" s="69" t="s">
        <v>9486</v>
      </c>
      <c r="AA3641" s="72" t="s">
        <v>9498</v>
      </c>
      <c r="AB3641" s="73" t="s">
        <v>9486</v>
      </c>
      <c r="AC3641" s="74" t="s">
        <v>9566</v>
      </c>
      <c r="AD3641" s="73" t="s">
        <v>9578</v>
      </c>
      <c r="AE3641" s="74" t="s">
        <v>9579</v>
      </c>
    </row>
    <row r="3642" spans="1:31" ht="8.65" customHeight="1" x14ac:dyDescent="0.2">
      <c r="A3642" s="76">
        <v>3642</v>
      </c>
      <c r="B3642" s="67" t="str">
        <f>MID(C3642, FIND("Ifc.", C3642) + 4, 4) &amp; "_" &amp; TEXT(COUNTIF($C$2:C3642, C3642),"0000")</f>
        <v>Enti_0775</v>
      </c>
      <c r="C3642" s="25" t="s">
        <v>874</v>
      </c>
      <c r="D3642" s="69" t="s">
        <v>9453</v>
      </c>
      <c r="E3642" s="70" t="s">
        <v>9457</v>
      </c>
      <c r="F3642" s="26" t="s">
        <v>798</v>
      </c>
      <c r="G3642" s="15" t="s">
        <v>798</v>
      </c>
      <c r="H3642" s="14" t="s">
        <v>798</v>
      </c>
      <c r="I3642" s="15" t="s">
        <v>798</v>
      </c>
      <c r="J3642" s="12" t="s">
        <v>9438</v>
      </c>
      <c r="K3642" s="16" t="s">
        <v>3711</v>
      </c>
      <c r="L3642" s="12" t="s">
        <v>800</v>
      </c>
      <c r="M3642" s="16" t="s">
        <v>4673</v>
      </c>
      <c r="N3642" s="19" t="s">
        <v>798</v>
      </c>
      <c r="O3642" s="20" t="s">
        <v>798</v>
      </c>
      <c r="P3642" s="17" t="s">
        <v>802</v>
      </c>
      <c r="Q3642" s="21" t="s">
        <v>9263</v>
      </c>
      <c r="R3642" s="19" t="s">
        <v>798</v>
      </c>
      <c r="S3642" s="20" t="s">
        <v>798</v>
      </c>
      <c r="T3642" s="17" t="s">
        <v>798</v>
      </c>
      <c r="U3642" s="20" t="s">
        <v>798</v>
      </c>
      <c r="V3642" s="26" t="s">
        <v>798</v>
      </c>
      <c r="W3642" s="20" t="s">
        <v>798</v>
      </c>
      <c r="X3642" s="26" t="s">
        <v>798</v>
      </c>
      <c r="Y3642" s="20" t="s">
        <v>798</v>
      </c>
      <c r="Z3642" s="69" t="s">
        <v>9486</v>
      </c>
      <c r="AA3642" s="72" t="s">
        <v>9498</v>
      </c>
      <c r="AB3642" s="73" t="s">
        <v>9486</v>
      </c>
      <c r="AC3642" s="74" t="s">
        <v>9566</v>
      </c>
      <c r="AD3642" s="73" t="s">
        <v>9578</v>
      </c>
      <c r="AE3642" s="74" t="s">
        <v>9579</v>
      </c>
    </row>
    <row r="3643" spans="1:31" ht="8.65" customHeight="1" x14ac:dyDescent="0.2">
      <c r="A3643" s="76">
        <v>3643</v>
      </c>
      <c r="B3643" s="67" t="str">
        <f>MID(C3643, FIND("Ifc.", C3643) + 4, 4) &amp; "_" &amp; TEXT(COUNTIF($C$2:C3643, C3643),"0000")</f>
        <v>Enti_0776</v>
      </c>
      <c r="C3643" s="25" t="s">
        <v>874</v>
      </c>
      <c r="D3643" s="69" t="s">
        <v>9453</v>
      </c>
      <c r="E3643" s="70" t="s">
        <v>9457</v>
      </c>
      <c r="F3643" s="26" t="s">
        <v>798</v>
      </c>
      <c r="G3643" s="15" t="s">
        <v>798</v>
      </c>
      <c r="H3643" s="14" t="s">
        <v>798</v>
      </c>
      <c r="I3643" s="15" t="s">
        <v>798</v>
      </c>
      <c r="J3643" s="12" t="s">
        <v>9438</v>
      </c>
      <c r="K3643" s="16" t="s">
        <v>3712</v>
      </c>
      <c r="L3643" s="12" t="s">
        <v>800</v>
      </c>
      <c r="M3643" s="16" t="s">
        <v>4674</v>
      </c>
      <c r="N3643" s="19" t="s">
        <v>798</v>
      </c>
      <c r="O3643" s="20" t="s">
        <v>798</v>
      </c>
      <c r="P3643" s="17" t="s">
        <v>802</v>
      </c>
      <c r="Q3643" s="21" t="s">
        <v>9264</v>
      </c>
      <c r="R3643" s="19" t="s">
        <v>798</v>
      </c>
      <c r="S3643" s="20" t="s">
        <v>798</v>
      </c>
      <c r="T3643" s="17" t="s">
        <v>798</v>
      </c>
      <c r="U3643" s="20" t="s">
        <v>798</v>
      </c>
      <c r="V3643" s="26" t="s">
        <v>798</v>
      </c>
      <c r="W3643" s="20" t="s">
        <v>798</v>
      </c>
      <c r="X3643" s="26" t="s">
        <v>798</v>
      </c>
      <c r="Y3643" s="20" t="s">
        <v>798</v>
      </c>
      <c r="Z3643" s="69" t="s">
        <v>9486</v>
      </c>
      <c r="AA3643" s="72" t="s">
        <v>9499</v>
      </c>
      <c r="AB3643" s="73" t="s">
        <v>9486</v>
      </c>
      <c r="AC3643" s="74" t="s">
        <v>9566</v>
      </c>
      <c r="AD3643" s="73" t="s">
        <v>9578</v>
      </c>
      <c r="AE3643" s="74" t="s">
        <v>9579</v>
      </c>
    </row>
    <row r="3644" spans="1:31" ht="8.65" customHeight="1" x14ac:dyDescent="0.2">
      <c r="A3644" s="76">
        <v>3644</v>
      </c>
      <c r="B3644" s="67" t="str">
        <f>MID(C3644, FIND("Ifc.", C3644) + 4, 4) &amp; "_" &amp; TEXT(COUNTIF($C$2:C3644, C3644),"0000")</f>
        <v>Funç_0001</v>
      </c>
      <c r="C3644" s="23" t="s">
        <v>875</v>
      </c>
      <c r="D3644" s="69" t="s">
        <v>9453</v>
      </c>
      <c r="E3644" s="70" t="s">
        <v>9458</v>
      </c>
      <c r="F3644" s="26" t="s">
        <v>798</v>
      </c>
      <c r="G3644" s="15" t="s">
        <v>798</v>
      </c>
      <c r="H3644" s="14" t="s">
        <v>798</v>
      </c>
      <c r="I3644" s="15" t="s">
        <v>798</v>
      </c>
      <c r="J3644" s="12" t="s">
        <v>9439</v>
      </c>
      <c r="K3644" s="16" t="s">
        <v>3713</v>
      </c>
      <c r="L3644" s="12" t="s">
        <v>800</v>
      </c>
      <c r="M3644" s="16" t="s">
        <v>4675</v>
      </c>
      <c r="N3644" s="19" t="s">
        <v>798</v>
      </c>
      <c r="O3644" s="20" t="s">
        <v>798</v>
      </c>
      <c r="P3644" s="17" t="s">
        <v>802</v>
      </c>
      <c r="Q3644" s="21" t="s">
        <v>9265</v>
      </c>
      <c r="R3644" s="19" t="s">
        <v>798</v>
      </c>
      <c r="S3644" s="20" t="s">
        <v>798</v>
      </c>
      <c r="T3644" s="17" t="s">
        <v>798</v>
      </c>
      <c r="U3644" s="20" t="s">
        <v>798</v>
      </c>
      <c r="V3644" s="26" t="s">
        <v>798</v>
      </c>
      <c r="W3644" s="20" t="s">
        <v>798</v>
      </c>
      <c r="X3644" s="26" t="s">
        <v>798</v>
      </c>
      <c r="Y3644" s="20" t="s">
        <v>798</v>
      </c>
      <c r="Z3644" s="69" t="s">
        <v>9486</v>
      </c>
      <c r="AA3644" s="72" t="s">
        <v>9502</v>
      </c>
      <c r="AB3644" s="73" t="s">
        <v>9486</v>
      </c>
      <c r="AC3644" s="74" t="s">
        <v>9562</v>
      </c>
      <c r="AD3644" s="73" t="s">
        <v>9578</v>
      </c>
      <c r="AE3644" s="74" t="s">
        <v>9579</v>
      </c>
    </row>
    <row r="3645" spans="1:31" ht="8.65" customHeight="1" x14ac:dyDescent="0.2">
      <c r="A3645" s="76">
        <v>3645</v>
      </c>
      <c r="B3645" s="67" t="str">
        <f>MID(C3645, FIND("Ifc.", C3645) + 4, 4) &amp; "_" &amp; TEXT(COUNTIF($C$2:C3645, C3645),"0000")</f>
        <v>Funç_0002</v>
      </c>
      <c r="C3645" s="23" t="s">
        <v>875</v>
      </c>
      <c r="D3645" s="69" t="s">
        <v>9453</v>
      </c>
      <c r="E3645" s="70" t="s">
        <v>9458</v>
      </c>
      <c r="F3645" s="26" t="s">
        <v>798</v>
      </c>
      <c r="G3645" s="15" t="s">
        <v>798</v>
      </c>
      <c r="H3645" s="14" t="s">
        <v>798</v>
      </c>
      <c r="I3645" s="15" t="s">
        <v>798</v>
      </c>
      <c r="J3645" s="12" t="s">
        <v>9439</v>
      </c>
      <c r="K3645" s="16" t="s">
        <v>3714</v>
      </c>
      <c r="L3645" s="12" t="s">
        <v>800</v>
      </c>
      <c r="M3645" s="16" t="s">
        <v>4676</v>
      </c>
      <c r="N3645" s="19" t="s">
        <v>798</v>
      </c>
      <c r="O3645" s="20" t="s">
        <v>798</v>
      </c>
      <c r="P3645" s="17" t="s">
        <v>802</v>
      </c>
      <c r="Q3645" s="21" t="s">
        <v>9266</v>
      </c>
      <c r="R3645" s="19" t="s">
        <v>798</v>
      </c>
      <c r="S3645" s="20" t="s">
        <v>798</v>
      </c>
      <c r="T3645" s="17" t="s">
        <v>798</v>
      </c>
      <c r="U3645" s="20" t="s">
        <v>798</v>
      </c>
      <c r="V3645" s="26" t="s">
        <v>798</v>
      </c>
      <c r="W3645" s="20" t="s">
        <v>798</v>
      </c>
      <c r="X3645" s="26" t="s">
        <v>798</v>
      </c>
      <c r="Y3645" s="20" t="s">
        <v>798</v>
      </c>
      <c r="Z3645" s="69" t="s">
        <v>9486</v>
      </c>
      <c r="AA3645" s="72" t="s">
        <v>9502</v>
      </c>
      <c r="AB3645" s="73" t="s">
        <v>9486</v>
      </c>
      <c r="AC3645" s="74" t="s">
        <v>9562</v>
      </c>
      <c r="AD3645" s="73" t="s">
        <v>9578</v>
      </c>
      <c r="AE3645" s="74" t="s">
        <v>9579</v>
      </c>
    </row>
    <row r="3646" spans="1:31" ht="8.65" customHeight="1" x14ac:dyDescent="0.2">
      <c r="A3646" s="76">
        <v>3646</v>
      </c>
      <c r="B3646" s="67" t="str">
        <f>MID(C3646, FIND("Ifc.", C3646) + 4, 4) &amp; "_" &amp; TEXT(COUNTIF($C$2:C3646, C3646),"0000")</f>
        <v>Funç_0003</v>
      </c>
      <c r="C3646" s="23" t="s">
        <v>875</v>
      </c>
      <c r="D3646" s="69" t="s">
        <v>9453</v>
      </c>
      <c r="E3646" s="70" t="s">
        <v>9458</v>
      </c>
      <c r="F3646" s="26" t="s">
        <v>798</v>
      </c>
      <c r="G3646" s="15" t="s">
        <v>798</v>
      </c>
      <c r="H3646" s="14" t="s">
        <v>798</v>
      </c>
      <c r="I3646" s="15" t="s">
        <v>798</v>
      </c>
      <c r="J3646" s="12" t="s">
        <v>9439</v>
      </c>
      <c r="K3646" s="16" t="s">
        <v>3715</v>
      </c>
      <c r="L3646" s="12" t="s">
        <v>800</v>
      </c>
      <c r="M3646" s="16" t="s">
        <v>4677</v>
      </c>
      <c r="N3646" s="19" t="s">
        <v>798</v>
      </c>
      <c r="O3646" s="20" t="s">
        <v>798</v>
      </c>
      <c r="P3646" s="17" t="s">
        <v>802</v>
      </c>
      <c r="Q3646" s="21" t="s">
        <v>9267</v>
      </c>
      <c r="R3646" s="19" t="s">
        <v>798</v>
      </c>
      <c r="S3646" s="20" t="s">
        <v>798</v>
      </c>
      <c r="T3646" s="17" t="s">
        <v>798</v>
      </c>
      <c r="U3646" s="20" t="s">
        <v>798</v>
      </c>
      <c r="V3646" s="26" t="s">
        <v>798</v>
      </c>
      <c r="W3646" s="20" t="s">
        <v>798</v>
      </c>
      <c r="X3646" s="26" t="s">
        <v>798</v>
      </c>
      <c r="Y3646" s="20" t="s">
        <v>798</v>
      </c>
      <c r="Z3646" s="69" t="s">
        <v>9486</v>
      </c>
      <c r="AA3646" s="72" t="s">
        <v>9502</v>
      </c>
      <c r="AB3646" s="73" t="s">
        <v>9486</v>
      </c>
      <c r="AC3646" s="74" t="s">
        <v>9562</v>
      </c>
      <c r="AD3646" s="73" t="s">
        <v>9578</v>
      </c>
      <c r="AE3646" s="74" t="s">
        <v>9579</v>
      </c>
    </row>
    <row r="3647" spans="1:31" ht="8.65" customHeight="1" x14ac:dyDescent="0.2">
      <c r="A3647" s="76">
        <v>3647</v>
      </c>
      <c r="B3647" s="67" t="str">
        <f>MID(C3647, FIND("Ifc.", C3647) + 4, 4) &amp; "_" &amp; TEXT(COUNTIF($C$2:C3647, C3647),"0000")</f>
        <v>Funç_0004</v>
      </c>
      <c r="C3647" s="23" t="s">
        <v>875</v>
      </c>
      <c r="D3647" s="69" t="s">
        <v>9453</v>
      </c>
      <c r="E3647" s="70" t="s">
        <v>9458</v>
      </c>
      <c r="F3647" s="26" t="s">
        <v>798</v>
      </c>
      <c r="G3647" s="15" t="s">
        <v>798</v>
      </c>
      <c r="H3647" s="14" t="s">
        <v>798</v>
      </c>
      <c r="I3647" s="15" t="s">
        <v>798</v>
      </c>
      <c r="J3647" s="12" t="s">
        <v>9439</v>
      </c>
      <c r="K3647" s="16" t="s">
        <v>3716</v>
      </c>
      <c r="L3647" s="12" t="s">
        <v>800</v>
      </c>
      <c r="M3647" s="16" t="s">
        <v>4678</v>
      </c>
      <c r="N3647" s="19" t="s">
        <v>798</v>
      </c>
      <c r="O3647" s="20" t="s">
        <v>798</v>
      </c>
      <c r="P3647" s="17" t="s">
        <v>802</v>
      </c>
      <c r="Q3647" s="21" t="s">
        <v>9268</v>
      </c>
      <c r="R3647" s="19" t="s">
        <v>798</v>
      </c>
      <c r="S3647" s="20" t="s">
        <v>798</v>
      </c>
      <c r="T3647" s="17" t="s">
        <v>798</v>
      </c>
      <c r="U3647" s="20" t="s">
        <v>798</v>
      </c>
      <c r="V3647" s="26" t="s">
        <v>798</v>
      </c>
      <c r="W3647" s="20" t="s">
        <v>798</v>
      </c>
      <c r="X3647" s="26" t="s">
        <v>798</v>
      </c>
      <c r="Y3647" s="20" t="s">
        <v>798</v>
      </c>
      <c r="Z3647" s="69" t="s">
        <v>9486</v>
      </c>
      <c r="AA3647" s="72" t="s">
        <v>9502</v>
      </c>
      <c r="AB3647" s="73" t="s">
        <v>9486</v>
      </c>
      <c r="AC3647" s="74" t="s">
        <v>9562</v>
      </c>
      <c r="AD3647" s="73" t="s">
        <v>9578</v>
      </c>
      <c r="AE3647" s="74" t="s">
        <v>9579</v>
      </c>
    </row>
    <row r="3648" spans="1:31" ht="8.65" customHeight="1" x14ac:dyDescent="0.2">
      <c r="A3648" s="76">
        <v>3648</v>
      </c>
      <c r="B3648" s="67" t="str">
        <f>MID(C3648, FIND("Ifc.", C3648) + 4, 4) &amp; "_" &amp; TEXT(COUNTIF($C$2:C3648, C3648),"0000")</f>
        <v>Funç_0005</v>
      </c>
      <c r="C3648" s="23" t="s">
        <v>875</v>
      </c>
      <c r="D3648" s="69" t="s">
        <v>9453</v>
      </c>
      <c r="E3648" s="70" t="s">
        <v>9458</v>
      </c>
      <c r="F3648" s="26" t="s">
        <v>798</v>
      </c>
      <c r="G3648" s="15" t="s">
        <v>798</v>
      </c>
      <c r="H3648" s="14" t="s">
        <v>798</v>
      </c>
      <c r="I3648" s="15" t="s">
        <v>798</v>
      </c>
      <c r="J3648" s="12" t="s">
        <v>9439</v>
      </c>
      <c r="K3648" s="16" t="s">
        <v>3717</v>
      </c>
      <c r="L3648" s="12" t="s">
        <v>800</v>
      </c>
      <c r="M3648" s="16" t="s">
        <v>4679</v>
      </c>
      <c r="N3648" s="19" t="s">
        <v>798</v>
      </c>
      <c r="O3648" s="20" t="s">
        <v>798</v>
      </c>
      <c r="P3648" s="17" t="s">
        <v>802</v>
      </c>
      <c r="Q3648" s="21" t="s">
        <v>9269</v>
      </c>
      <c r="R3648" s="19" t="s">
        <v>798</v>
      </c>
      <c r="S3648" s="20" t="s">
        <v>798</v>
      </c>
      <c r="T3648" s="17" t="s">
        <v>798</v>
      </c>
      <c r="U3648" s="20" t="s">
        <v>798</v>
      </c>
      <c r="V3648" s="26" t="s">
        <v>798</v>
      </c>
      <c r="W3648" s="20" t="s">
        <v>798</v>
      </c>
      <c r="X3648" s="26" t="s">
        <v>798</v>
      </c>
      <c r="Y3648" s="20" t="s">
        <v>798</v>
      </c>
      <c r="Z3648" s="69" t="s">
        <v>9486</v>
      </c>
      <c r="AA3648" s="72" t="s">
        <v>9502</v>
      </c>
      <c r="AB3648" s="73" t="s">
        <v>9486</v>
      </c>
      <c r="AC3648" s="74" t="s">
        <v>9562</v>
      </c>
      <c r="AD3648" s="73" t="s">
        <v>9578</v>
      </c>
      <c r="AE3648" s="74" t="s">
        <v>9579</v>
      </c>
    </row>
    <row r="3649" spans="1:31" ht="8.65" customHeight="1" x14ac:dyDescent="0.2">
      <c r="A3649" s="76">
        <v>3649</v>
      </c>
      <c r="B3649" s="67" t="str">
        <f>MID(C3649, FIND("Ifc.", C3649) + 4, 4) &amp; "_" &amp; TEXT(COUNTIF($C$2:C3649, C3649),"0000")</f>
        <v>Funç_0006</v>
      </c>
      <c r="C3649" s="23" t="s">
        <v>875</v>
      </c>
      <c r="D3649" s="69" t="s">
        <v>9453</v>
      </c>
      <c r="E3649" s="70" t="s">
        <v>9458</v>
      </c>
      <c r="F3649" s="26" t="s">
        <v>798</v>
      </c>
      <c r="G3649" s="15" t="s">
        <v>798</v>
      </c>
      <c r="H3649" s="14" t="s">
        <v>798</v>
      </c>
      <c r="I3649" s="15" t="s">
        <v>798</v>
      </c>
      <c r="J3649" s="12" t="s">
        <v>9439</v>
      </c>
      <c r="K3649" s="16" t="s">
        <v>3718</v>
      </c>
      <c r="L3649" s="12" t="s">
        <v>800</v>
      </c>
      <c r="M3649" s="16" t="s">
        <v>4680</v>
      </c>
      <c r="N3649" s="19" t="s">
        <v>798</v>
      </c>
      <c r="O3649" s="20" t="s">
        <v>798</v>
      </c>
      <c r="P3649" s="17" t="s">
        <v>802</v>
      </c>
      <c r="Q3649" s="21" t="s">
        <v>9270</v>
      </c>
      <c r="R3649" s="19" t="s">
        <v>798</v>
      </c>
      <c r="S3649" s="20" t="s">
        <v>798</v>
      </c>
      <c r="T3649" s="17" t="s">
        <v>798</v>
      </c>
      <c r="U3649" s="20" t="s">
        <v>798</v>
      </c>
      <c r="V3649" s="26" t="s">
        <v>798</v>
      </c>
      <c r="W3649" s="20" t="s">
        <v>798</v>
      </c>
      <c r="X3649" s="26" t="s">
        <v>798</v>
      </c>
      <c r="Y3649" s="20" t="s">
        <v>798</v>
      </c>
      <c r="Z3649" s="69" t="s">
        <v>9486</v>
      </c>
      <c r="AA3649" s="72" t="s">
        <v>9502</v>
      </c>
      <c r="AB3649" s="73" t="s">
        <v>9486</v>
      </c>
      <c r="AC3649" s="74" t="s">
        <v>9562</v>
      </c>
      <c r="AD3649" s="73" t="s">
        <v>9578</v>
      </c>
      <c r="AE3649" s="74" t="s">
        <v>9579</v>
      </c>
    </row>
    <row r="3650" spans="1:31" ht="8.65" customHeight="1" x14ac:dyDescent="0.2">
      <c r="A3650" s="76">
        <v>3650</v>
      </c>
      <c r="B3650" s="67" t="str">
        <f>MID(C3650, FIND("Ifc.", C3650) + 4, 4) &amp; "_" &amp; TEXT(COUNTIF($C$2:C3650, C3650),"0000")</f>
        <v>Funç_0007</v>
      </c>
      <c r="C3650" s="23" t="s">
        <v>875</v>
      </c>
      <c r="D3650" s="69" t="s">
        <v>9453</v>
      </c>
      <c r="E3650" s="70" t="s">
        <v>9458</v>
      </c>
      <c r="F3650" s="26" t="s">
        <v>798</v>
      </c>
      <c r="G3650" s="15" t="s">
        <v>798</v>
      </c>
      <c r="H3650" s="14" t="s">
        <v>798</v>
      </c>
      <c r="I3650" s="15" t="s">
        <v>798</v>
      </c>
      <c r="J3650" s="12" t="s">
        <v>9439</v>
      </c>
      <c r="K3650" s="16" t="s">
        <v>3719</v>
      </c>
      <c r="L3650" s="12" t="s">
        <v>800</v>
      </c>
      <c r="M3650" s="16" t="s">
        <v>4681</v>
      </c>
      <c r="N3650" s="19" t="s">
        <v>798</v>
      </c>
      <c r="O3650" s="20" t="s">
        <v>798</v>
      </c>
      <c r="P3650" s="17" t="s">
        <v>802</v>
      </c>
      <c r="Q3650" s="21" t="s">
        <v>9271</v>
      </c>
      <c r="R3650" s="19" t="s">
        <v>798</v>
      </c>
      <c r="S3650" s="20" t="s">
        <v>798</v>
      </c>
      <c r="T3650" s="17" t="s">
        <v>798</v>
      </c>
      <c r="U3650" s="20" t="s">
        <v>798</v>
      </c>
      <c r="V3650" s="26" t="s">
        <v>798</v>
      </c>
      <c r="W3650" s="20" t="s">
        <v>798</v>
      </c>
      <c r="X3650" s="26" t="s">
        <v>798</v>
      </c>
      <c r="Y3650" s="20" t="s">
        <v>798</v>
      </c>
      <c r="Z3650" s="69" t="s">
        <v>9486</v>
      </c>
      <c r="AA3650" s="72" t="s">
        <v>9502</v>
      </c>
      <c r="AB3650" s="73" t="s">
        <v>9486</v>
      </c>
      <c r="AC3650" s="74" t="s">
        <v>9562</v>
      </c>
      <c r="AD3650" s="73" t="s">
        <v>9578</v>
      </c>
      <c r="AE3650" s="74" t="s">
        <v>9579</v>
      </c>
    </row>
    <row r="3651" spans="1:31" ht="8.65" customHeight="1" x14ac:dyDescent="0.2">
      <c r="A3651" s="76">
        <v>3651</v>
      </c>
      <c r="B3651" s="67" t="str">
        <f>MID(C3651, FIND("Ifc.", C3651) + 4, 4) &amp; "_" &amp; TEXT(COUNTIF($C$2:C3651, C3651),"0000")</f>
        <v>Funç_0008</v>
      </c>
      <c r="C3651" s="23" t="s">
        <v>875</v>
      </c>
      <c r="D3651" s="69" t="s">
        <v>9453</v>
      </c>
      <c r="E3651" s="70" t="s">
        <v>9458</v>
      </c>
      <c r="F3651" s="26" t="s">
        <v>798</v>
      </c>
      <c r="G3651" s="15" t="s">
        <v>798</v>
      </c>
      <c r="H3651" s="14" t="s">
        <v>798</v>
      </c>
      <c r="I3651" s="15" t="s">
        <v>798</v>
      </c>
      <c r="J3651" s="12" t="s">
        <v>9439</v>
      </c>
      <c r="K3651" s="16" t="s">
        <v>3720</v>
      </c>
      <c r="L3651" s="12" t="s">
        <v>800</v>
      </c>
      <c r="M3651" s="16" t="s">
        <v>4682</v>
      </c>
      <c r="N3651" s="19" t="s">
        <v>798</v>
      </c>
      <c r="O3651" s="20" t="s">
        <v>798</v>
      </c>
      <c r="P3651" s="17" t="s">
        <v>802</v>
      </c>
      <c r="Q3651" s="21" t="s">
        <v>9272</v>
      </c>
      <c r="R3651" s="19" t="s">
        <v>798</v>
      </c>
      <c r="S3651" s="20" t="s">
        <v>798</v>
      </c>
      <c r="T3651" s="17" t="s">
        <v>798</v>
      </c>
      <c r="U3651" s="20" t="s">
        <v>798</v>
      </c>
      <c r="V3651" s="26" t="s">
        <v>798</v>
      </c>
      <c r="W3651" s="20" t="s">
        <v>798</v>
      </c>
      <c r="X3651" s="26" t="s">
        <v>798</v>
      </c>
      <c r="Y3651" s="20" t="s">
        <v>798</v>
      </c>
      <c r="Z3651" s="69" t="s">
        <v>9486</v>
      </c>
      <c r="AA3651" s="72" t="s">
        <v>9502</v>
      </c>
      <c r="AB3651" s="73" t="s">
        <v>9486</v>
      </c>
      <c r="AC3651" s="74" t="s">
        <v>9562</v>
      </c>
      <c r="AD3651" s="73" t="s">
        <v>9578</v>
      </c>
      <c r="AE3651" s="74" t="s">
        <v>9579</v>
      </c>
    </row>
    <row r="3652" spans="1:31" ht="8.65" customHeight="1" x14ac:dyDescent="0.2">
      <c r="A3652" s="76">
        <v>3652</v>
      </c>
      <c r="B3652" s="67" t="str">
        <f>MID(C3652, FIND("Ifc.", C3652) + 4, 4) &amp; "_" &amp; TEXT(COUNTIF($C$2:C3652, C3652),"0000")</f>
        <v>Funç_0009</v>
      </c>
      <c r="C3652" s="23" t="s">
        <v>875</v>
      </c>
      <c r="D3652" s="69" t="s">
        <v>9453</v>
      </c>
      <c r="E3652" s="70" t="s">
        <v>9458</v>
      </c>
      <c r="F3652" s="26" t="s">
        <v>798</v>
      </c>
      <c r="G3652" s="15" t="s">
        <v>798</v>
      </c>
      <c r="H3652" s="14" t="s">
        <v>798</v>
      </c>
      <c r="I3652" s="15" t="s">
        <v>798</v>
      </c>
      <c r="J3652" s="12" t="s">
        <v>9439</v>
      </c>
      <c r="K3652" s="16" t="s">
        <v>3721</v>
      </c>
      <c r="L3652" s="12" t="s">
        <v>800</v>
      </c>
      <c r="M3652" s="16" t="s">
        <v>4683</v>
      </c>
      <c r="N3652" s="19" t="s">
        <v>798</v>
      </c>
      <c r="O3652" s="20" t="s">
        <v>798</v>
      </c>
      <c r="P3652" s="17" t="s">
        <v>802</v>
      </c>
      <c r="Q3652" s="21" t="s">
        <v>9273</v>
      </c>
      <c r="R3652" s="19" t="s">
        <v>798</v>
      </c>
      <c r="S3652" s="20" t="s">
        <v>798</v>
      </c>
      <c r="T3652" s="17" t="s">
        <v>798</v>
      </c>
      <c r="U3652" s="20" t="s">
        <v>798</v>
      </c>
      <c r="V3652" s="26" t="s">
        <v>798</v>
      </c>
      <c r="W3652" s="20" t="s">
        <v>798</v>
      </c>
      <c r="X3652" s="26" t="s">
        <v>798</v>
      </c>
      <c r="Y3652" s="20" t="s">
        <v>798</v>
      </c>
      <c r="Z3652" s="69" t="s">
        <v>9486</v>
      </c>
      <c r="AA3652" s="72" t="s">
        <v>9502</v>
      </c>
      <c r="AB3652" s="73" t="s">
        <v>9486</v>
      </c>
      <c r="AC3652" s="74" t="s">
        <v>9562</v>
      </c>
      <c r="AD3652" s="73" t="s">
        <v>9578</v>
      </c>
      <c r="AE3652" s="74" t="s">
        <v>9579</v>
      </c>
    </row>
    <row r="3653" spans="1:31" ht="8.65" customHeight="1" x14ac:dyDescent="0.2">
      <c r="A3653" s="76">
        <v>3653</v>
      </c>
      <c r="B3653" s="67" t="str">
        <f>MID(C3653, FIND("Ifc.", C3653) + 4, 4) &amp; "_" &amp; TEXT(COUNTIF($C$2:C3653, C3653),"0000")</f>
        <v>Funç_0010</v>
      </c>
      <c r="C3653" s="23" t="s">
        <v>875</v>
      </c>
      <c r="D3653" s="69" t="s">
        <v>9453</v>
      </c>
      <c r="E3653" s="70" t="s">
        <v>9458</v>
      </c>
      <c r="F3653" s="26" t="s">
        <v>798</v>
      </c>
      <c r="G3653" s="15" t="s">
        <v>798</v>
      </c>
      <c r="H3653" s="14" t="s">
        <v>798</v>
      </c>
      <c r="I3653" s="15" t="s">
        <v>798</v>
      </c>
      <c r="J3653" s="12" t="s">
        <v>9439</v>
      </c>
      <c r="K3653" s="16" t="s">
        <v>3722</v>
      </c>
      <c r="L3653" s="12" t="s">
        <v>800</v>
      </c>
      <c r="M3653" s="16" t="s">
        <v>4684</v>
      </c>
      <c r="N3653" s="19" t="s">
        <v>798</v>
      </c>
      <c r="O3653" s="20" t="s">
        <v>798</v>
      </c>
      <c r="P3653" s="17" t="s">
        <v>802</v>
      </c>
      <c r="Q3653" s="21" t="s">
        <v>9274</v>
      </c>
      <c r="R3653" s="19" t="s">
        <v>798</v>
      </c>
      <c r="S3653" s="20" t="s">
        <v>798</v>
      </c>
      <c r="T3653" s="17" t="s">
        <v>798</v>
      </c>
      <c r="U3653" s="20" t="s">
        <v>798</v>
      </c>
      <c r="V3653" s="26" t="s">
        <v>798</v>
      </c>
      <c r="W3653" s="20" t="s">
        <v>798</v>
      </c>
      <c r="X3653" s="26" t="s">
        <v>798</v>
      </c>
      <c r="Y3653" s="20" t="s">
        <v>798</v>
      </c>
      <c r="Z3653" s="69" t="s">
        <v>9486</v>
      </c>
      <c r="AA3653" s="72" t="s">
        <v>9502</v>
      </c>
      <c r="AB3653" s="73" t="s">
        <v>9486</v>
      </c>
      <c r="AC3653" s="74" t="s">
        <v>9562</v>
      </c>
      <c r="AD3653" s="73" t="s">
        <v>9578</v>
      </c>
      <c r="AE3653" s="74" t="s">
        <v>9579</v>
      </c>
    </row>
    <row r="3654" spans="1:31" ht="8.65" customHeight="1" x14ac:dyDescent="0.2">
      <c r="A3654" s="76">
        <v>3654</v>
      </c>
      <c r="B3654" s="67" t="str">
        <f>MID(C3654, FIND("Ifc.", C3654) + 4, 4) &amp; "_" &amp; TEXT(COUNTIF($C$2:C3654, C3654),"0000")</f>
        <v>Funç_0011</v>
      </c>
      <c r="C3654" s="23" t="s">
        <v>875</v>
      </c>
      <c r="D3654" s="69" t="s">
        <v>9453</v>
      </c>
      <c r="E3654" s="70" t="s">
        <v>9458</v>
      </c>
      <c r="F3654" s="26" t="s">
        <v>798</v>
      </c>
      <c r="G3654" s="15" t="s">
        <v>798</v>
      </c>
      <c r="H3654" s="14" t="s">
        <v>798</v>
      </c>
      <c r="I3654" s="15" t="s">
        <v>798</v>
      </c>
      <c r="J3654" s="12" t="s">
        <v>9439</v>
      </c>
      <c r="K3654" s="16" t="s">
        <v>3723</v>
      </c>
      <c r="L3654" s="12" t="s">
        <v>800</v>
      </c>
      <c r="M3654" s="16" t="s">
        <v>4685</v>
      </c>
      <c r="N3654" s="19" t="s">
        <v>798</v>
      </c>
      <c r="O3654" s="20" t="s">
        <v>798</v>
      </c>
      <c r="P3654" s="17" t="s">
        <v>802</v>
      </c>
      <c r="Q3654" s="21" t="s">
        <v>9275</v>
      </c>
      <c r="R3654" s="19" t="s">
        <v>798</v>
      </c>
      <c r="S3654" s="20" t="s">
        <v>798</v>
      </c>
      <c r="T3654" s="17" t="s">
        <v>798</v>
      </c>
      <c r="U3654" s="20" t="s">
        <v>798</v>
      </c>
      <c r="V3654" s="26" t="s">
        <v>798</v>
      </c>
      <c r="W3654" s="20" t="s">
        <v>798</v>
      </c>
      <c r="X3654" s="26" t="s">
        <v>798</v>
      </c>
      <c r="Y3654" s="20" t="s">
        <v>798</v>
      </c>
      <c r="Z3654" s="69" t="s">
        <v>9486</v>
      </c>
      <c r="AA3654" s="72" t="s">
        <v>9502</v>
      </c>
      <c r="AB3654" s="73" t="s">
        <v>9486</v>
      </c>
      <c r="AC3654" s="74" t="s">
        <v>9562</v>
      </c>
      <c r="AD3654" s="73" t="s">
        <v>9578</v>
      </c>
      <c r="AE3654" s="74" t="s">
        <v>9579</v>
      </c>
    </row>
    <row r="3655" spans="1:31" ht="8.65" customHeight="1" x14ac:dyDescent="0.2">
      <c r="A3655" s="76">
        <v>3655</v>
      </c>
      <c r="B3655" s="67" t="str">
        <f>MID(C3655, FIND("Ifc.", C3655) + 4, 4) &amp; "_" &amp; TEXT(COUNTIF($C$2:C3655, C3655),"0000")</f>
        <v>Funç_0012</v>
      </c>
      <c r="C3655" s="23" t="s">
        <v>875</v>
      </c>
      <c r="D3655" s="69" t="s">
        <v>9453</v>
      </c>
      <c r="E3655" s="70" t="s">
        <v>9458</v>
      </c>
      <c r="F3655" s="26" t="s">
        <v>798</v>
      </c>
      <c r="G3655" s="15" t="s">
        <v>798</v>
      </c>
      <c r="H3655" s="14" t="s">
        <v>798</v>
      </c>
      <c r="I3655" s="15" t="s">
        <v>798</v>
      </c>
      <c r="J3655" s="12" t="s">
        <v>9439</v>
      </c>
      <c r="K3655" s="16" t="s">
        <v>3724</v>
      </c>
      <c r="L3655" s="12" t="s">
        <v>800</v>
      </c>
      <c r="M3655" s="16" t="s">
        <v>4686</v>
      </c>
      <c r="N3655" s="19" t="s">
        <v>798</v>
      </c>
      <c r="O3655" s="20" t="s">
        <v>798</v>
      </c>
      <c r="P3655" s="17" t="s">
        <v>802</v>
      </c>
      <c r="Q3655" s="21" t="s">
        <v>9276</v>
      </c>
      <c r="R3655" s="19" t="s">
        <v>798</v>
      </c>
      <c r="S3655" s="20" t="s">
        <v>798</v>
      </c>
      <c r="T3655" s="17" t="s">
        <v>798</v>
      </c>
      <c r="U3655" s="20" t="s">
        <v>798</v>
      </c>
      <c r="V3655" s="26" t="s">
        <v>798</v>
      </c>
      <c r="W3655" s="20" t="s">
        <v>798</v>
      </c>
      <c r="X3655" s="26" t="s">
        <v>798</v>
      </c>
      <c r="Y3655" s="20" t="s">
        <v>798</v>
      </c>
      <c r="Z3655" s="69" t="s">
        <v>9486</v>
      </c>
      <c r="AA3655" s="72" t="s">
        <v>9502</v>
      </c>
      <c r="AB3655" s="73" t="s">
        <v>9486</v>
      </c>
      <c r="AC3655" s="74" t="s">
        <v>9562</v>
      </c>
      <c r="AD3655" s="73" t="s">
        <v>9578</v>
      </c>
      <c r="AE3655" s="74" t="s">
        <v>9579</v>
      </c>
    </row>
    <row r="3656" spans="1:31" ht="8.65" customHeight="1" x14ac:dyDescent="0.2">
      <c r="A3656" s="76">
        <v>3656</v>
      </c>
      <c r="B3656" s="67" t="str">
        <f>MID(C3656, FIND("Ifc.", C3656) + 4, 4) &amp; "_" &amp; TEXT(COUNTIF($C$2:C3656, C3656),"0000")</f>
        <v>Funç_0013</v>
      </c>
      <c r="C3656" s="23" t="s">
        <v>875</v>
      </c>
      <c r="D3656" s="69" t="s">
        <v>9453</v>
      </c>
      <c r="E3656" s="70" t="s">
        <v>9458</v>
      </c>
      <c r="F3656" s="26" t="s">
        <v>798</v>
      </c>
      <c r="G3656" s="15" t="s">
        <v>798</v>
      </c>
      <c r="H3656" s="14" t="s">
        <v>798</v>
      </c>
      <c r="I3656" s="15" t="s">
        <v>798</v>
      </c>
      <c r="J3656" s="12" t="s">
        <v>9439</v>
      </c>
      <c r="K3656" s="16" t="s">
        <v>3725</v>
      </c>
      <c r="L3656" s="12" t="s">
        <v>800</v>
      </c>
      <c r="M3656" s="16" t="s">
        <v>4687</v>
      </c>
      <c r="N3656" s="19" t="s">
        <v>798</v>
      </c>
      <c r="O3656" s="20" t="s">
        <v>798</v>
      </c>
      <c r="P3656" s="17" t="s">
        <v>802</v>
      </c>
      <c r="Q3656" s="21" t="s">
        <v>9277</v>
      </c>
      <c r="R3656" s="19" t="s">
        <v>798</v>
      </c>
      <c r="S3656" s="20" t="s">
        <v>798</v>
      </c>
      <c r="T3656" s="17" t="s">
        <v>798</v>
      </c>
      <c r="U3656" s="20" t="s">
        <v>798</v>
      </c>
      <c r="V3656" s="26" t="s">
        <v>798</v>
      </c>
      <c r="W3656" s="20" t="s">
        <v>798</v>
      </c>
      <c r="X3656" s="26" t="s">
        <v>798</v>
      </c>
      <c r="Y3656" s="20" t="s">
        <v>798</v>
      </c>
      <c r="Z3656" s="69" t="s">
        <v>9486</v>
      </c>
      <c r="AA3656" s="72" t="s">
        <v>9502</v>
      </c>
      <c r="AB3656" s="73" t="s">
        <v>9486</v>
      </c>
      <c r="AC3656" s="74" t="s">
        <v>9562</v>
      </c>
      <c r="AD3656" s="73" t="s">
        <v>9578</v>
      </c>
      <c r="AE3656" s="74" t="s">
        <v>9579</v>
      </c>
    </row>
    <row r="3657" spans="1:31" ht="8.65" customHeight="1" x14ac:dyDescent="0.2">
      <c r="A3657" s="76">
        <v>3657</v>
      </c>
      <c r="B3657" s="67" t="str">
        <f>MID(C3657, FIND("Ifc.", C3657) + 4, 4) &amp; "_" &amp; TEXT(COUNTIF($C$2:C3657, C3657),"0000")</f>
        <v>Funç_0014</v>
      </c>
      <c r="C3657" s="23" t="s">
        <v>875</v>
      </c>
      <c r="D3657" s="69" t="s">
        <v>9453</v>
      </c>
      <c r="E3657" s="70" t="s">
        <v>9458</v>
      </c>
      <c r="F3657" s="26" t="s">
        <v>798</v>
      </c>
      <c r="G3657" s="15" t="s">
        <v>798</v>
      </c>
      <c r="H3657" s="14" t="s">
        <v>798</v>
      </c>
      <c r="I3657" s="15" t="s">
        <v>798</v>
      </c>
      <c r="J3657" s="12" t="s">
        <v>9439</v>
      </c>
      <c r="K3657" s="16" t="s">
        <v>3726</v>
      </c>
      <c r="L3657" s="12" t="s">
        <v>800</v>
      </c>
      <c r="M3657" s="16" t="s">
        <v>4688</v>
      </c>
      <c r="N3657" s="19" t="s">
        <v>798</v>
      </c>
      <c r="O3657" s="20" t="s">
        <v>798</v>
      </c>
      <c r="P3657" s="17" t="s">
        <v>802</v>
      </c>
      <c r="Q3657" s="21" t="s">
        <v>9278</v>
      </c>
      <c r="R3657" s="19" t="s">
        <v>798</v>
      </c>
      <c r="S3657" s="20" t="s">
        <v>798</v>
      </c>
      <c r="T3657" s="17" t="s">
        <v>798</v>
      </c>
      <c r="U3657" s="20" t="s">
        <v>798</v>
      </c>
      <c r="V3657" s="26" t="s">
        <v>798</v>
      </c>
      <c r="W3657" s="20" t="s">
        <v>798</v>
      </c>
      <c r="X3657" s="26" t="s">
        <v>798</v>
      </c>
      <c r="Y3657" s="20" t="s">
        <v>798</v>
      </c>
      <c r="Z3657" s="69" t="s">
        <v>9486</v>
      </c>
      <c r="AA3657" s="72" t="s">
        <v>9502</v>
      </c>
      <c r="AB3657" s="73" t="s">
        <v>9486</v>
      </c>
      <c r="AC3657" s="74" t="s">
        <v>9562</v>
      </c>
      <c r="AD3657" s="73" t="s">
        <v>9578</v>
      </c>
      <c r="AE3657" s="74" t="s">
        <v>9579</v>
      </c>
    </row>
    <row r="3658" spans="1:31" ht="8.65" customHeight="1" x14ac:dyDescent="0.2">
      <c r="A3658" s="76">
        <v>3658</v>
      </c>
      <c r="B3658" s="67" t="str">
        <f>MID(C3658, FIND("Ifc.", C3658) + 4, 4) &amp; "_" &amp; TEXT(COUNTIF($C$2:C3658, C3658),"0000")</f>
        <v>Funç_0015</v>
      </c>
      <c r="C3658" s="23" t="s">
        <v>875</v>
      </c>
      <c r="D3658" s="69" t="s">
        <v>9453</v>
      </c>
      <c r="E3658" s="70" t="s">
        <v>9458</v>
      </c>
      <c r="F3658" s="26" t="s">
        <v>798</v>
      </c>
      <c r="G3658" s="15" t="s">
        <v>798</v>
      </c>
      <c r="H3658" s="14" t="s">
        <v>798</v>
      </c>
      <c r="I3658" s="15" t="s">
        <v>798</v>
      </c>
      <c r="J3658" s="12" t="s">
        <v>9439</v>
      </c>
      <c r="K3658" s="16" t="s">
        <v>3727</v>
      </c>
      <c r="L3658" s="12" t="s">
        <v>800</v>
      </c>
      <c r="M3658" s="16" t="s">
        <v>4689</v>
      </c>
      <c r="N3658" s="19" t="s">
        <v>798</v>
      </c>
      <c r="O3658" s="20" t="s">
        <v>798</v>
      </c>
      <c r="P3658" s="17" t="s">
        <v>802</v>
      </c>
      <c r="Q3658" s="21" t="s">
        <v>9279</v>
      </c>
      <c r="R3658" s="19" t="s">
        <v>798</v>
      </c>
      <c r="S3658" s="20" t="s">
        <v>798</v>
      </c>
      <c r="T3658" s="17" t="s">
        <v>798</v>
      </c>
      <c r="U3658" s="20" t="s">
        <v>798</v>
      </c>
      <c r="V3658" s="26" t="s">
        <v>798</v>
      </c>
      <c r="W3658" s="20" t="s">
        <v>798</v>
      </c>
      <c r="X3658" s="26" t="s">
        <v>798</v>
      </c>
      <c r="Y3658" s="20" t="s">
        <v>798</v>
      </c>
      <c r="Z3658" s="69" t="s">
        <v>9486</v>
      </c>
      <c r="AA3658" s="72" t="s">
        <v>9502</v>
      </c>
      <c r="AB3658" s="73" t="s">
        <v>9486</v>
      </c>
      <c r="AC3658" s="74" t="s">
        <v>9562</v>
      </c>
      <c r="AD3658" s="73" t="s">
        <v>9578</v>
      </c>
      <c r="AE3658" s="74" t="s">
        <v>9579</v>
      </c>
    </row>
    <row r="3659" spans="1:31" ht="8.65" customHeight="1" x14ac:dyDescent="0.2">
      <c r="A3659" s="76">
        <v>3659</v>
      </c>
      <c r="B3659" s="67" t="str">
        <f>MID(C3659, FIND("Ifc.", C3659) + 4, 4) &amp; "_" &amp; TEXT(COUNTIF($C$2:C3659, C3659),"0000")</f>
        <v>Funç_0016</v>
      </c>
      <c r="C3659" s="23" t="s">
        <v>875</v>
      </c>
      <c r="D3659" s="69" t="s">
        <v>9453</v>
      </c>
      <c r="E3659" s="70" t="s">
        <v>9458</v>
      </c>
      <c r="F3659" s="26" t="s">
        <v>798</v>
      </c>
      <c r="G3659" s="15" t="s">
        <v>798</v>
      </c>
      <c r="H3659" s="14" t="s">
        <v>798</v>
      </c>
      <c r="I3659" s="15" t="s">
        <v>798</v>
      </c>
      <c r="J3659" s="12" t="s">
        <v>9439</v>
      </c>
      <c r="K3659" s="16" t="s">
        <v>3728</v>
      </c>
      <c r="L3659" s="12" t="s">
        <v>800</v>
      </c>
      <c r="M3659" s="16" t="s">
        <v>4690</v>
      </c>
      <c r="N3659" s="19" t="s">
        <v>798</v>
      </c>
      <c r="O3659" s="20" t="s">
        <v>798</v>
      </c>
      <c r="P3659" s="17" t="s">
        <v>802</v>
      </c>
      <c r="Q3659" s="21" t="s">
        <v>9280</v>
      </c>
      <c r="R3659" s="19" t="s">
        <v>798</v>
      </c>
      <c r="S3659" s="20" t="s">
        <v>798</v>
      </c>
      <c r="T3659" s="17" t="s">
        <v>798</v>
      </c>
      <c r="U3659" s="20" t="s">
        <v>798</v>
      </c>
      <c r="V3659" s="26" t="s">
        <v>798</v>
      </c>
      <c r="W3659" s="20" t="s">
        <v>798</v>
      </c>
      <c r="X3659" s="26" t="s">
        <v>798</v>
      </c>
      <c r="Y3659" s="20" t="s">
        <v>798</v>
      </c>
      <c r="Z3659" s="69" t="s">
        <v>9486</v>
      </c>
      <c r="AA3659" s="72" t="s">
        <v>9502</v>
      </c>
      <c r="AB3659" s="73" t="s">
        <v>9486</v>
      </c>
      <c r="AC3659" s="74" t="s">
        <v>9562</v>
      </c>
      <c r="AD3659" s="73" t="s">
        <v>9578</v>
      </c>
      <c r="AE3659" s="74" t="s">
        <v>9579</v>
      </c>
    </row>
    <row r="3660" spans="1:31" ht="8.65" customHeight="1" x14ac:dyDescent="0.2">
      <c r="A3660" s="76">
        <v>3660</v>
      </c>
      <c r="B3660" s="67" t="str">
        <f>MID(C3660, FIND("Ifc.", C3660) + 4, 4) &amp; "_" &amp; TEXT(COUNTIF($C$2:C3660, C3660),"0000")</f>
        <v>Funç_0017</v>
      </c>
      <c r="C3660" s="23" t="s">
        <v>875</v>
      </c>
      <c r="D3660" s="69" t="s">
        <v>9453</v>
      </c>
      <c r="E3660" s="70" t="s">
        <v>9458</v>
      </c>
      <c r="F3660" s="26" t="s">
        <v>798</v>
      </c>
      <c r="G3660" s="15" t="s">
        <v>798</v>
      </c>
      <c r="H3660" s="14" t="s">
        <v>798</v>
      </c>
      <c r="I3660" s="15" t="s">
        <v>798</v>
      </c>
      <c r="J3660" s="12" t="s">
        <v>9439</v>
      </c>
      <c r="K3660" s="16" t="s">
        <v>3729</v>
      </c>
      <c r="L3660" s="12" t="s">
        <v>800</v>
      </c>
      <c r="M3660" s="16" t="s">
        <v>4691</v>
      </c>
      <c r="N3660" s="19" t="s">
        <v>798</v>
      </c>
      <c r="O3660" s="20" t="s">
        <v>798</v>
      </c>
      <c r="P3660" s="17" t="s">
        <v>802</v>
      </c>
      <c r="Q3660" s="21" t="s">
        <v>9281</v>
      </c>
      <c r="R3660" s="19" t="s">
        <v>798</v>
      </c>
      <c r="S3660" s="20" t="s">
        <v>798</v>
      </c>
      <c r="T3660" s="17" t="s">
        <v>798</v>
      </c>
      <c r="U3660" s="20" t="s">
        <v>798</v>
      </c>
      <c r="V3660" s="26" t="s">
        <v>798</v>
      </c>
      <c r="W3660" s="20" t="s">
        <v>798</v>
      </c>
      <c r="X3660" s="26" t="s">
        <v>798</v>
      </c>
      <c r="Y3660" s="20" t="s">
        <v>798</v>
      </c>
      <c r="Z3660" s="69" t="s">
        <v>9486</v>
      </c>
      <c r="AA3660" s="72" t="s">
        <v>9502</v>
      </c>
      <c r="AB3660" s="73" t="s">
        <v>9486</v>
      </c>
      <c r="AC3660" s="74" t="s">
        <v>9562</v>
      </c>
      <c r="AD3660" s="73" t="s">
        <v>9578</v>
      </c>
      <c r="AE3660" s="74" t="s">
        <v>9579</v>
      </c>
    </row>
    <row r="3661" spans="1:31" ht="8.65" customHeight="1" x14ac:dyDescent="0.2">
      <c r="A3661" s="76">
        <v>3661</v>
      </c>
      <c r="B3661" s="67" t="str">
        <f>MID(C3661, FIND("Ifc.", C3661) + 4, 4) &amp; "_" &amp; TEXT(COUNTIF($C$2:C3661, C3661),"0000")</f>
        <v>Funç_0018</v>
      </c>
      <c r="C3661" s="23" t="s">
        <v>875</v>
      </c>
      <c r="D3661" s="69" t="s">
        <v>9453</v>
      </c>
      <c r="E3661" s="70" t="s">
        <v>9458</v>
      </c>
      <c r="F3661" s="26" t="s">
        <v>798</v>
      </c>
      <c r="G3661" s="15" t="s">
        <v>798</v>
      </c>
      <c r="H3661" s="14" t="s">
        <v>798</v>
      </c>
      <c r="I3661" s="15" t="s">
        <v>798</v>
      </c>
      <c r="J3661" s="12" t="s">
        <v>9439</v>
      </c>
      <c r="K3661" s="16" t="s">
        <v>3730</v>
      </c>
      <c r="L3661" s="12" t="s">
        <v>800</v>
      </c>
      <c r="M3661" s="16" t="s">
        <v>4692</v>
      </c>
      <c r="N3661" s="19" t="s">
        <v>798</v>
      </c>
      <c r="O3661" s="20" t="s">
        <v>798</v>
      </c>
      <c r="P3661" s="17" t="s">
        <v>802</v>
      </c>
      <c r="Q3661" s="21" t="s">
        <v>9282</v>
      </c>
      <c r="R3661" s="19" t="s">
        <v>798</v>
      </c>
      <c r="S3661" s="20" t="s">
        <v>798</v>
      </c>
      <c r="T3661" s="17" t="s">
        <v>798</v>
      </c>
      <c r="U3661" s="20" t="s">
        <v>798</v>
      </c>
      <c r="V3661" s="26" t="s">
        <v>798</v>
      </c>
      <c r="W3661" s="20" t="s">
        <v>798</v>
      </c>
      <c r="X3661" s="26" t="s">
        <v>798</v>
      </c>
      <c r="Y3661" s="20" t="s">
        <v>798</v>
      </c>
      <c r="Z3661" s="69" t="s">
        <v>9486</v>
      </c>
      <c r="AA3661" s="72" t="s">
        <v>9502</v>
      </c>
      <c r="AB3661" s="73" t="s">
        <v>9486</v>
      </c>
      <c r="AC3661" s="74" t="s">
        <v>9562</v>
      </c>
      <c r="AD3661" s="73" t="s">
        <v>9578</v>
      </c>
      <c r="AE3661" s="74" t="s">
        <v>9579</v>
      </c>
    </row>
    <row r="3662" spans="1:31" ht="8.65" customHeight="1" x14ac:dyDescent="0.2">
      <c r="A3662" s="76">
        <v>3662</v>
      </c>
      <c r="B3662" s="67" t="str">
        <f>MID(C3662, FIND("Ifc.", C3662) + 4, 4) &amp; "_" &amp; TEXT(COUNTIF($C$2:C3662, C3662),"0000")</f>
        <v>Funç_0019</v>
      </c>
      <c r="C3662" s="23" t="s">
        <v>875</v>
      </c>
      <c r="D3662" s="69" t="s">
        <v>9453</v>
      </c>
      <c r="E3662" s="70" t="s">
        <v>9458</v>
      </c>
      <c r="F3662" s="26" t="s">
        <v>798</v>
      </c>
      <c r="G3662" s="15" t="s">
        <v>798</v>
      </c>
      <c r="H3662" s="14" t="s">
        <v>798</v>
      </c>
      <c r="I3662" s="15" t="s">
        <v>798</v>
      </c>
      <c r="J3662" s="12" t="s">
        <v>9439</v>
      </c>
      <c r="K3662" s="16" t="s">
        <v>3731</v>
      </c>
      <c r="L3662" s="12" t="s">
        <v>800</v>
      </c>
      <c r="M3662" s="16" t="s">
        <v>4693</v>
      </c>
      <c r="N3662" s="19" t="s">
        <v>798</v>
      </c>
      <c r="O3662" s="20" t="s">
        <v>798</v>
      </c>
      <c r="P3662" s="17" t="s">
        <v>802</v>
      </c>
      <c r="Q3662" s="21" t="s">
        <v>9283</v>
      </c>
      <c r="R3662" s="19" t="s">
        <v>798</v>
      </c>
      <c r="S3662" s="20" t="s">
        <v>798</v>
      </c>
      <c r="T3662" s="17" t="s">
        <v>798</v>
      </c>
      <c r="U3662" s="20" t="s">
        <v>798</v>
      </c>
      <c r="V3662" s="26" t="s">
        <v>798</v>
      </c>
      <c r="W3662" s="20" t="s">
        <v>798</v>
      </c>
      <c r="X3662" s="26" t="s">
        <v>798</v>
      </c>
      <c r="Y3662" s="20" t="s">
        <v>798</v>
      </c>
      <c r="Z3662" s="69" t="s">
        <v>9486</v>
      </c>
      <c r="AA3662" s="72" t="s">
        <v>9502</v>
      </c>
      <c r="AB3662" s="73" t="s">
        <v>9486</v>
      </c>
      <c r="AC3662" s="74" t="s">
        <v>9562</v>
      </c>
      <c r="AD3662" s="73" t="s">
        <v>9578</v>
      </c>
      <c r="AE3662" s="74" t="s">
        <v>9579</v>
      </c>
    </row>
    <row r="3663" spans="1:31" ht="8.65" customHeight="1" x14ac:dyDescent="0.2">
      <c r="A3663" s="76">
        <v>3663</v>
      </c>
      <c r="B3663" s="67" t="str">
        <f>MID(C3663, FIND("Ifc.", C3663) + 4, 4) &amp; "_" &amp; TEXT(COUNTIF($C$2:C3663, C3663),"0000")</f>
        <v>Funç_0020</v>
      </c>
      <c r="C3663" s="23" t="s">
        <v>875</v>
      </c>
      <c r="D3663" s="69" t="s">
        <v>9453</v>
      </c>
      <c r="E3663" s="70" t="s">
        <v>9458</v>
      </c>
      <c r="F3663" s="26" t="s">
        <v>798</v>
      </c>
      <c r="G3663" s="15" t="s">
        <v>798</v>
      </c>
      <c r="H3663" s="14" t="s">
        <v>798</v>
      </c>
      <c r="I3663" s="15" t="s">
        <v>798</v>
      </c>
      <c r="J3663" s="12" t="s">
        <v>9439</v>
      </c>
      <c r="K3663" s="16" t="s">
        <v>3732</v>
      </c>
      <c r="L3663" s="12" t="s">
        <v>800</v>
      </c>
      <c r="M3663" s="16" t="s">
        <v>4694</v>
      </c>
      <c r="N3663" s="19" t="s">
        <v>798</v>
      </c>
      <c r="O3663" s="20" t="s">
        <v>798</v>
      </c>
      <c r="P3663" s="17" t="s">
        <v>802</v>
      </c>
      <c r="Q3663" s="21" t="s">
        <v>9284</v>
      </c>
      <c r="R3663" s="19" t="s">
        <v>798</v>
      </c>
      <c r="S3663" s="20" t="s">
        <v>798</v>
      </c>
      <c r="T3663" s="17" t="s">
        <v>798</v>
      </c>
      <c r="U3663" s="20" t="s">
        <v>798</v>
      </c>
      <c r="V3663" s="26" t="s">
        <v>798</v>
      </c>
      <c r="W3663" s="20" t="s">
        <v>798</v>
      </c>
      <c r="X3663" s="26" t="s">
        <v>798</v>
      </c>
      <c r="Y3663" s="20" t="s">
        <v>798</v>
      </c>
      <c r="Z3663" s="69" t="s">
        <v>9486</v>
      </c>
      <c r="AA3663" s="72" t="s">
        <v>9502</v>
      </c>
      <c r="AB3663" s="73" t="s">
        <v>9486</v>
      </c>
      <c r="AC3663" s="74" t="s">
        <v>9562</v>
      </c>
      <c r="AD3663" s="73" t="s">
        <v>9578</v>
      </c>
      <c r="AE3663" s="74" t="s">
        <v>9579</v>
      </c>
    </row>
    <row r="3664" spans="1:31" ht="8.65" customHeight="1" x14ac:dyDescent="0.2">
      <c r="A3664" s="76">
        <v>3664</v>
      </c>
      <c r="B3664" s="67" t="str">
        <f>MID(C3664, FIND("Ifc.", C3664) + 4, 4) &amp; "_" &amp; TEXT(COUNTIF($C$2:C3664, C3664),"0000")</f>
        <v>Funç_0021</v>
      </c>
      <c r="C3664" s="23" t="s">
        <v>875</v>
      </c>
      <c r="D3664" s="69" t="s">
        <v>9453</v>
      </c>
      <c r="E3664" s="70" t="s">
        <v>9458</v>
      </c>
      <c r="F3664" s="26" t="s">
        <v>798</v>
      </c>
      <c r="G3664" s="15" t="s">
        <v>798</v>
      </c>
      <c r="H3664" s="14" t="s">
        <v>798</v>
      </c>
      <c r="I3664" s="15" t="s">
        <v>798</v>
      </c>
      <c r="J3664" s="12" t="s">
        <v>9439</v>
      </c>
      <c r="K3664" s="16" t="s">
        <v>3733</v>
      </c>
      <c r="L3664" s="12" t="s">
        <v>800</v>
      </c>
      <c r="M3664" s="16" t="s">
        <v>4695</v>
      </c>
      <c r="N3664" s="19" t="s">
        <v>798</v>
      </c>
      <c r="O3664" s="20" t="s">
        <v>798</v>
      </c>
      <c r="P3664" s="17" t="s">
        <v>802</v>
      </c>
      <c r="Q3664" s="21" t="s">
        <v>9285</v>
      </c>
      <c r="R3664" s="19" t="s">
        <v>798</v>
      </c>
      <c r="S3664" s="20" t="s">
        <v>798</v>
      </c>
      <c r="T3664" s="17" t="s">
        <v>798</v>
      </c>
      <c r="U3664" s="20" t="s">
        <v>798</v>
      </c>
      <c r="V3664" s="26" t="s">
        <v>798</v>
      </c>
      <c r="W3664" s="20" t="s">
        <v>798</v>
      </c>
      <c r="X3664" s="26" t="s">
        <v>798</v>
      </c>
      <c r="Y3664" s="20" t="s">
        <v>798</v>
      </c>
      <c r="Z3664" s="69" t="s">
        <v>9486</v>
      </c>
      <c r="AA3664" s="72" t="s">
        <v>9502</v>
      </c>
      <c r="AB3664" s="73" t="s">
        <v>9486</v>
      </c>
      <c r="AC3664" s="74" t="s">
        <v>9562</v>
      </c>
      <c r="AD3664" s="73" t="s">
        <v>9578</v>
      </c>
      <c r="AE3664" s="74" t="s">
        <v>9579</v>
      </c>
    </row>
    <row r="3665" spans="1:31" ht="8.65" customHeight="1" x14ac:dyDescent="0.2">
      <c r="A3665" s="76">
        <v>3665</v>
      </c>
      <c r="B3665" s="67" t="str">
        <f>MID(C3665, FIND("Ifc.", C3665) + 4, 4) &amp; "_" &amp; TEXT(COUNTIF($C$2:C3665, C3665),"0000")</f>
        <v>Funç_0022</v>
      </c>
      <c r="C3665" s="23" t="s">
        <v>875</v>
      </c>
      <c r="D3665" s="69" t="s">
        <v>9453</v>
      </c>
      <c r="E3665" s="70" t="s">
        <v>9458</v>
      </c>
      <c r="F3665" s="26" t="s">
        <v>798</v>
      </c>
      <c r="G3665" s="15" t="s">
        <v>798</v>
      </c>
      <c r="H3665" s="14" t="s">
        <v>798</v>
      </c>
      <c r="I3665" s="15" t="s">
        <v>798</v>
      </c>
      <c r="J3665" s="12" t="s">
        <v>9439</v>
      </c>
      <c r="K3665" s="16" t="s">
        <v>3734</v>
      </c>
      <c r="L3665" s="12" t="s">
        <v>800</v>
      </c>
      <c r="M3665" s="16" t="s">
        <v>4696</v>
      </c>
      <c r="N3665" s="19" t="s">
        <v>798</v>
      </c>
      <c r="O3665" s="20" t="s">
        <v>798</v>
      </c>
      <c r="P3665" s="17" t="s">
        <v>802</v>
      </c>
      <c r="Q3665" s="21" t="s">
        <v>9286</v>
      </c>
      <c r="R3665" s="19" t="s">
        <v>798</v>
      </c>
      <c r="S3665" s="20" t="s">
        <v>798</v>
      </c>
      <c r="T3665" s="17" t="s">
        <v>798</v>
      </c>
      <c r="U3665" s="20" t="s">
        <v>798</v>
      </c>
      <c r="V3665" s="26" t="s">
        <v>798</v>
      </c>
      <c r="W3665" s="20" t="s">
        <v>798</v>
      </c>
      <c r="X3665" s="26" t="s">
        <v>798</v>
      </c>
      <c r="Y3665" s="20" t="s">
        <v>798</v>
      </c>
      <c r="Z3665" s="69" t="s">
        <v>9486</v>
      </c>
      <c r="AA3665" s="72" t="s">
        <v>9502</v>
      </c>
      <c r="AB3665" s="73" t="s">
        <v>9486</v>
      </c>
      <c r="AC3665" s="74" t="s">
        <v>9562</v>
      </c>
      <c r="AD3665" s="73" t="s">
        <v>9578</v>
      </c>
      <c r="AE3665" s="74" t="s">
        <v>9579</v>
      </c>
    </row>
    <row r="3666" spans="1:31" ht="8.65" customHeight="1" x14ac:dyDescent="0.2">
      <c r="A3666" s="76">
        <v>3666</v>
      </c>
      <c r="B3666" s="67" t="str">
        <f>MID(C3666, FIND("Ifc.", C3666) + 4, 4) &amp; "_" &amp; TEXT(COUNTIF($C$2:C3666, C3666),"0000")</f>
        <v>Funç_0023</v>
      </c>
      <c r="C3666" s="23" t="s">
        <v>875</v>
      </c>
      <c r="D3666" s="69" t="s">
        <v>9453</v>
      </c>
      <c r="E3666" s="70" t="s">
        <v>9458</v>
      </c>
      <c r="F3666" s="26" t="s">
        <v>798</v>
      </c>
      <c r="G3666" s="15" t="s">
        <v>798</v>
      </c>
      <c r="H3666" s="14" t="s">
        <v>798</v>
      </c>
      <c r="I3666" s="15" t="s">
        <v>798</v>
      </c>
      <c r="J3666" s="12" t="s">
        <v>9439</v>
      </c>
      <c r="K3666" s="16" t="s">
        <v>3735</v>
      </c>
      <c r="L3666" s="12" t="s">
        <v>800</v>
      </c>
      <c r="M3666" s="16" t="s">
        <v>4697</v>
      </c>
      <c r="N3666" s="19" t="s">
        <v>798</v>
      </c>
      <c r="O3666" s="20" t="s">
        <v>798</v>
      </c>
      <c r="P3666" s="17" t="s">
        <v>802</v>
      </c>
      <c r="Q3666" s="21" t="s">
        <v>9287</v>
      </c>
      <c r="R3666" s="19" t="s">
        <v>798</v>
      </c>
      <c r="S3666" s="20" t="s">
        <v>798</v>
      </c>
      <c r="T3666" s="17" t="s">
        <v>798</v>
      </c>
      <c r="U3666" s="20" t="s">
        <v>798</v>
      </c>
      <c r="V3666" s="26" t="s">
        <v>798</v>
      </c>
      <c r="W3666" s="20" t="s">
        <v>798</v>
      </c>
      <c r="X3666" s="26" t="s">
        <v>798</v>
      </c>
      <c r="Y3666" s="20" t="s">
        <v>798</v>
      </c>
      <c r="Z3666" s="69" t="s">
        <v>9486</v>
      </c>
      <c r="AA3666" s="72" t="s">
        <v>9502</v>
      </c>
      <c r="AB3666" s="73" t="s">
        <v>9486</v>
      </c>
      <c r="AC3666" s="74" t="s">
        <v>9562</v>
      </c>
      <c r="AD3666" s="73" t="s">
        <v>9578</v>
      </c>
      <c r="AE3666" s="74" t="s">
        <v>9579</v>
      </c>
    </row>
    <row r="3667" spans="1:31" ht="8.65" customHeight="1" x14ac:dyDescent="0.2">
      <c r="A3667" s="76">
        <v>3667</v>
      </c>
      <c r="B3667" s="67" t="str">
        <f>MID(C3667, FIND("Ifc.", C3667) + 4, 4) &amp; "_" &amp; TEXT(COUNTIF($C$2:C3667, C3667),"0000")</f>
        <v>Funç_0024</v>
      </c>
      <c r="C3667" s="23" t="s">
        <v>875</v>
      </c>
      <c r="D3667" s="69" t="s">
        <v>9453</v>
      </c>
      <c r="E3667" s="70" t="s">
        <v>9458</v>
      </c>
      <c r="F3667" s="26" t="s">
        <v>798</v>
      </c>
      <c r="G3667" s="15" t="s">
        <v>798</v>
      </c>
      <c r="H3667" s="14" t="s">
        <v>798</v>
      </c>
      <c r="I3667" s="15" t="s">
        <v>798</v>
      </c>
      <c r="J3667" s="12" t="s">
        <v>9439</v>
      </c>
      <c r="K3667" s="16" t="s">
        <v>3736</v>
      </c>
      <c r="L3667" s="12" t="s">
        <v>800</v>
      </c>
      <c r="M3667" s="16" t="s">
        <v>4698</v>
      </c>
      <c r="N3667" s="19" t="s">
        <v>798</v>
      </c>
      <c r="O3667" s="20" t="s">
        <v>798</v>
      </c>
      <c r="P3667" s="17" t="s">
        <v>802</v>
      </c>
      <c r="Q3667" s="21" t="s">
        <v>9288</v>
      </c>
      <c r="R3667" s="19" t="s">
        <v>798</v>
      </c>
      <c r="S3667" s="20" t="s">
        <v>798</v>
      </c>
      <c r="T3667" s="17" t="s">
        <v>798</v>
      </c>
      <c r="U3667" s="20" t="s">
        <v>798</v>
      </c>
      <c r="V3667" s="26" t="s">
        <v>798</v>
      </c>
      <c r="W3667" s="20" t="s">
        <v>798</v>
      </c>
      <c r="X3667" s="26" t="s">
        <v>798</v>
      </c>
      <c r="Y3667" s="20" t="s">
        <v>798</v>
      </c>
      <c r="Z3667" s="69" t="s">
        <v>9486</v>
      </c>
      <c r="AA3667" s="72" t="s">
        <v>9502</v>
      </c>
      <c r="AB3667" s="73" t="s">
        <v>9486</v>
      </c>
      <c r="AC3667" s="74" t="s">
        <v>9562</v>
      </c>
      <c r="AD3667" s="73" t="s">
        <v>9578</v>
      </c>
      <c r="AE3667" s="74" t="s">
        <v>9579</v>
      </c>
    </row>
    <row r="3668" spans="1:31" ht="8.65" customHeight="1" x14ac:dyDescent="0.2">
      <c r="A3668" s="76">
        <v>3668</v>
      </c>
      <c r="B3668" s="67" t="str">
        <f>MID(C3668, FIND("Ifc.", C3668) + 4, 4) &amp; "_" &amp; TEXT(COUNTIF($C$2:C3668, C3668),"0000")</f>
        <v>Funç_0025</v>
      </c>
      <c r="C3668" s="23" t="s">
        <v>875</v>
      </c>
      <c r="D3668" s="69" t="s">
        <v>9453</v>
      </c>
      <c r="E3668" s="70" t="s">
        <v>9458</v>
      </c>
      <c r="F3668" s="26" t="s">
        <v>798</v>
      </c>
      <c r="G3668" s="15" t="s">
        <v>798</v>
      </c>
      <c r="H3668" s="14" t="s">
        <v>798</v>
      </c>
      <c r="I3668" s="15" t="s">
        <v>798</v>
      </c>
      <c r="J3668" s="12" t="s">
        <v>9439</v>
      </c>
      <c r="K3668" s="16" t="s">
        <v>3737</v>
      </c>
      <c r="L3668" s="12" t="s">
        <v>800</v>
      </c>
      <c r="M3668" s="16" t="s">
        <v>4699</v>
      </c>
      <c r="N3668" s="19" t="s">
        <v>798</v>
      </c>
      <c r="O3668" s="20" t="s">
        <v>798</v>
      </c>
      <c r="P3668" s="17" t="s">
        <v>802</v>
      </c>
      <c r="Q3668" s="21" t="s">
        <v>9289</v>
      </c>
      <c r="R3668" s="19" t="s">
        <v>798</v>
      </c>
      <c r="S3668" s="20" t="s">
        <v>798</v>
      </c>
      <c r="T3668" s="17" t="s">
        <v>798</v>
      </c>
      <c r="U3668" s="20" t="s">
        <v>798</v>
      </c>
      <c r="V3668" s="26" t="s">
        <v>798</v>
      </c>
      <c r="W3668" s="20" t="s">
        <v>798</v>
      </c>
      <c r="X3668" s="26" t="s">
        <v>798</v>
      </c>
      <c r="Y3668" s="20" t="s">
        <v>798</v>
      </c>
      <c r="Z3668" s="69" t="s">
        <v>9486</v>
      </c>
      <c r="AA3668" s="72" t="s">
        <v>9502</v>
      </c>
      <c r="AB3668" s="73" t="s">
        <v>9486</v>
      </c>
      <c r="AC3668" s="74" t="s">
        <v>9562</v>
      </c>
      <c r="AD3668" s="73" t="s">
        <v>9578</v>
      </c>
      <c r="AE3668" s="74" t="s">
        <v>9579</v>
      </c>
    </row>
    <row r="3669" spans="1:31" ht="8.65" customHeight="1" x14ac:dyDescent="0.2">
      <c r="A3669" s="76">
        <v>3669</v>
      </c>
      <c r="B3669" s="67" t="str">
        <f>MID(C3669, FIND("Ifc.", C3669) + 4, 4) &amp; "_" &amp; TEXT(COUNTIF($C$2:C3669, C3669),"0000")</f>
        <v>Funç_0026</v>
      </c>
      <c r="C3669" s="23" t="s">
        <v>875</v>
      </c>
      <c r="D3669" s="69" t="s">
        <v>9453</v>
      </c>
      <c r="E3669" s="70" t="s">
        <v>9458</v>
      </c>
      <c r="F3669" s="26" t="s">
        <v>798</v>
      </c>
      <c r="G3669" s="15" t="s">
        <v>798</v>
      </c>
      <c r="H3669" s="14" t="s">
        <v>798</v>
      </c>
      <c r="I3669" s="15" t="s">
        <v>798</v>
      </c>
      <c r="J3669" s="12" t="s">
        <v>9439</v>
      </c>
      <c r="K3669" s="16" t="s">
        <v>3738</v>
      </c>
      <c r="L3669" s="12" t="s">
        <v>800</v>
      </c>
      <c r="M3669" s="16" t="s">
        <v>4700</v>
      </c>
      <c r="N3669" s="19" t="s">
        <v>798</v>
      </c>
      <c r="O3669" s="20" t="s">
        <v>798</v>
      </c>
      <c r="P3669" s="17" t="s">
        <v>802</v>
      </c>
      <c r="Q3669" s="21" t="s">
        <v>9290</v>
      </c>
      <c r="R3669" s="19" t="s">
        <v>798</v>
      </c>
      <c r="S3669" s="20" t="s">
        <v>798</v>
      </c>
      <c r="T3669" s="17" t="s">
        <v>798</v>
      </c>
      <c r="U3669" s="20" t="s">
        <v>798</v>
      </c>
      <c r="V3669" s="26" t="s">
        <v>798</v>
      </c>
      <c r="W3669" s="20" t="s">
        <v>798</v>
      </c>
      <c r="X3669" s="26" t="s">
        <v>798</v>
      </c>
      <c r="Y3669" s="20" t="s">
        <v>798</v>
      </c>
      <c r="Z3669" s="69" t="s">
        <v>9486</v>
      </c>
      <c r="AA3669" s="72" t="s">
        <v>9502</v>
      </c>
      <c r="AB3669" s="73" t="s">
        <v>9486</v>
      </c>
      <c r="AC3669" s="74" t="s">
        <v>9562</v>
      </c>
      <c r="AD3669" s="73" t="s">
        <v>9578</v>
      </c>
      <c r="AE3669" s="74" t="s">
        <v>9579</v>
      </c>
    </row>
    <row r="3670" spans="1:31" ht="8.65" customHeight="1" x14ac:dyDescent="0.2">
      <c r="A3670" s="76">
        <v>3670</v>
      </c>
      <c r="B3670" s="67" t="str">
        <f>MID(C3670, FIND("Ifc.", C3670) + 4, 4) &amp; "_" &amp; TEXT(COUNTIF($C$2:C3670, C3670),"0000")</f>
        <v>Funç_0027</v>
      </c>
      <c r="C3670" s="23" t="s">
        <v>875</v>
      </c>
      <c r="D3670" s="69" t="s">
        <v>9453</v>
      </c>
      <c r="E3670" s="70" t="s">
        <v>9458</v>
      </c>
      <c r="F3670" s="26" t="s">
        <v>798</v>
      </c>
      <c r="G3670" s="15" t="s">
        <v>798</v>
      </c>
      <c r="H3670" s="14" t="s">
        <v>798</v>
      </c>
      <c r="I3670" s="15" t="s">
        <v>798</v>
      </c>
      <c r="J3670" s="12" t="s">
        <v>9439</v>
      </c>
      <c r="K3670" s="16" t="s">
        <v>3739</v>
      </c>
      <c r="L3670" s="12" t="s">
        <v>800</v>
      </c>
      <c r="M3670" s="16" t="s">
        <v>4701</v>
      </c>
      <c r="N3670" s="19" t="s">
        <v>798</v>
      </c>
      <c r="O3670" s="20" t="s">
        <v>798</v>
      </c>
      <c r="P3670" s="17" t="s">
        <v>802</v>
      </c>
      <c r="Q3670" s="21" t="s">
        <v>9291</v>
      </c>
      <c r="R3670" s="19" t="s">
        <v>798</v>
      </c>
      <c r="S3670" s="20" t="s">
        <v>798</v>
      </c>
      <c r="T3670" s="17" t="s">
        <v>798</v>
      </c>
      <c r="U3670" s="20" t="s">
        <v>798</v>
      </c>
      <c r="V3670" s="26" t="s">
        <v>798</v>
      </c>
      <c r="W3670" s="20" t="s">
        <v>798</v>
      </c>
      <c r="X3670" s="26" t="s">
        <v>798</v>
      </c>
      <c r="Y3670" s="20" t="s">
        <v>798</v>
      </c>
      <c r="Z3670" s="69" t="s">
        <v>9486</v>
      </c>
      <c r="AA3670" s="72" t="s">
        <v>9502</v>
      </c>
      <c r="AB3670" s="73" t="s">
        <v>9486</v>
      </c>
      <c r="AC3670" s="74" t="s">
        <v>9562</v>
      </c>
      <c r="AD3670" s="73" t="s">
        <v>9578</v>
      </c>
      <c r="AE3670" s="74" t="s">
        <v>9579</v>
      </c>
    </row>
    <row r="3671" spans="1:31" ht="8.65" customHeight="1" x14ac:dyDescent="0.2">
      <c r="A3671" s="76">
        <v>3671</v>
      </c>
      <c r="B3671" s="67" t="str">
        <f>MID(C3671, FIND("Ifc.", C3671) + 4, 4) &amp; "_" &amp; TEXT(COUNTIF($C$2:C3671, C3671),"0000")</f>
        <v>Funç_0028</v>
      </c>
      <c r="C3671" s="23" t="s">
        <v>875</v>
      </c>
      <c r="D3671" s="69" t="s">
        <v>9453</v>
      </c>
      <c r="E3671" s="70" t="s">
        <v>9458</v>
      </c>
      <c r="F3671" s="26" t="s">
        <v>798</v>
      </c>
      <c r="G3671" s="15" t="s">
        <v>798</v>
      </c>
      <c r="H3671" s="14" t="s">
        <v>798</v>
      </c>
      <c r="I3671" s="15" t="s">
        <v>798</v>
      </c>
      <c r="J3671" s="12" t="s">
        <v>9439</v>
      </c>
      <c r="K3671" s="16" t="s">
        <v>3740</v>
      </c>
      <c r="L3671" s="12" t="s">
        <v>800</v>
      </c>
      <c r="M3671" s="16" t="s">
        <v>4702</v>
      </c>
      <c r="N3671" s="19" t="s">
        <v>798</v>
      </c>
      <c r="O3671" s="20" t="s">
        <v>798</v>
      </c>
      <c r="P3671" s="17" t="s">
        <v>802</v>
      </c>
      <c r="Q3671" s="21" t="s">
        <v>9292</v>
      </c>
      <c r="R3671" s="19" t="s">
        <v>798</v>
      </c>
      <c r="S3671" s="20" t="s">
        <v>798</v>
      </c>
      <c r="T3671" s="17" t="s">
        <v>798</v>
      </c>
      <c r="U3671" s="20" t="s">
        <v>798</v>
      </c>
      <c r="V3671" s="26" t="s">
        <v>798</v>
      </c>
      <c r="W3671" s="20" t="s">
        <v>798</v>
      </c>
      <c r="X3671" s="26" t="s">
        <v>798</v>
      </c>
      <c r="Y3671" s="20" t="s">
        <v>798</v>
      </c>
      <c r="Z3671" s="69" t="s">
        <v>9486</v>
      </c>
      <c r="AA3671" s="72" t="s">
        <v>9502</v>
      </c>
      <c r="AB3671" s="73" t="s">
        <v>9486</v>
      </c>
      <c r="AC3671" s="74" t="s">
        <v>9562</v>
      </c>
      <c r="AD3671" s="73" t="s">
        <v>9578</v>
      </c>
      <c r="AE3671" s="74" t="s">
        <v>9579</v>
      </c>
    </row>
    <row r="3672" spans="1:31" ht="8.65" customHeight="1" x14ac:dyDescent="0.2">
      <c r="A3672" s="76">
        <v>3672</v>
      </c>
      <c r="B3672" s="67" t="str">
        <f>MID(C3672, FIND("Ifc.", C3672) + 4, 4) &amp; "_" &amp; TEXT(COUNTIF($C$2:C3672, C3672),"0000")</f>
        <v>Funç_0029</v>
      </c>
      <c r="C3672" s="23" t="s">
        <v>875</v>
      </c>
      <c r="D3672" s="69" t="s">
        <v>9453</v>
      </c>
      <c r="E3672" s="70" t="s">
        <v>9458</v>
      </c>
      <c r="F3672" s="26" t="s">
        <v>798</v>
      </c>
      <c r="G3672" s="15" t="s">
        <v>798</v>
      </c>
      <c r="H3672" s="14" t="s">
        <v>798</v>
      </c>
      <c r="I3672" s="15" t="s">
        <v>798</v>
      </c>
      <c r="J3672" s="12" t="s">
        <v>9439</v>
      </c>
      <c r="K3672" s="16" t="s">
        <v>3741</v>
      </c>
      <c r="L3672" s="12" t="s">
        <v>800</v>
      </c>
      <c r="M3672" s="16" t="s">
        <v>4703</v>
      </c>
      <c r="N3672" s="19" t="s">
        <v>798</v>
      </c>
      <c r="O3672" s="20" t="s">
        <v>798</v>
      </c>
      <c r="P3672" s="17" t="s">
        <v>802</v>
      </c>
      <c r="Q3672" s="21" t="s">
        <v>9293</v>
      </c>
      <c r="R3672" s="19" t="s">
        <v>798</v>
      </c>
      <c r="S3672" s="20" t="s">
        <v>798</v>
      </c>
      <c r="T3672" s="17" t="s">
        <v>798</v>
      </c>
      <c r="U3672" s="20" t="s">
        <v>798</v>
      </c>
      <c r="V3672" s="26" t="s">
        <v>798</v>
      </c>
      <c r="W3672" s="20" t="s">
        <v>798</v>
      </c>
      <c r="X3672" s="26" t="s">
        <v>798</v>
      </c>
      <c r="Y3672" s="20" t="s">
        <v>798</v>
      </c>
      <c r="Z3672" s="69" t="s">
        <v>9486</v>
      </c>
      <c r="AA3672" s="72" t="s">
        <v>9502</v>
      </c>
      <c r="AB3672" s="73" t="s">
        <v>9486</v>
      </c>
      <c r="AC3672" s="74" t="s">
        <v>9562</v>
      </c>
      <c r="AD3672" s="73" t="s">
        <v>9578</v>
      </c>
      <c r="AE3672" s="74" t="s">
        <v>9579</v>
      </c>
    </row>
    <row r="3673" spans="1:31" ht="8.65" customHeight="1" x14ac:dyDescent="0.2">
      <c r="A3673" s="76">
        <v>3673</v>
      </c>
      <c r="B3673" s="67" t="str">
        <f>MID(C3673, FIND("Ifc.", C3673) + 4, 4) &amp; "_" &amp; TEXT(COUNTIF($C$2:C3673, C3673),"0000")</f>
        <v>Funç_0030</v>
      </c>
      <c r="C3673" s="23" t="s">
        <v>875</v>
      </c>
      <c r="D3673" s="69" t="s">
        <v>9453</v>
      </c>
      <c r="E3673" s="70" t="s">
        <v>9458</v>
      </c>
      <c r="F3673" s="26" t="s">
        <v>798</v>
      </c>
      <c r="G3673" s="15" t="s">
        <v>798</v>
      </c>
      <c r="H3673" s="14" t="s">
        <v>798</v>
      </c>
      <c r="I3673" s="15" t="s">
        <v>798</v>
      </c>
      <c r="J3673" s="12" t="s">
        <v>9439</v>
      </c>
      <c r="K3673" s="16" t="s">
        <v>3742</v>
      </c>
      <c r="L3673" s="12" t="s">
        <v>800</v>
      </c>
      <c r="M3673" s="16" t="s">
        <v>4704</v>
      </c>
      <c r="N3673" s="19" t="s">
        <v>798</v>
      </c>
      <c r="O3673" s="20" t="s">
        <v>798</v>
      </c>
      <c r="P3673" s="17" t="s">
        <v>802</v>
      </c>
      <c r="Q3673" s="21" t="s">
        <v>9294</v>
      </c>
      <c r="R3673" s="19" t="s">
        <v>798</v>
      </c>
      <c r="S3673" s="20" t="s">
        <v>798</v>
      </c>
      <c r="T3673" s="17" t="s">
        <v>798</v>
      </c>
      <c r="U3673" s="20" t="s">
        <v>798</v>
      </c>
      <c r="V3673" s="26" t="s">
        <v>798</v>
      </c>
      <c r="W3673" s="20" t="s">
        <v>798</v>
      </c>
      <c r="X3673" s="26" t="s">
        <v>798</v>
      </c>
      <c r="Y3673" s="20" t="s">
        <v>798</v>
      </c>
      <c r="Z3673" s="69" t="s">
        <v>9486</v>
      </c>
      <c r="AA3673" s="72" t="s">
        <v>9502</v>
      </c>
      <c r="AB3673" s="73" t="s">
        <v>9486</v>
      </c>
      <c r="AC3673" s="74" t="s">
        <v>9562</v>
      </c>
      <c r="AD3673" s="73" t="s">
        <v>9578</v>
      </c>
      <c r="AE3673" s="74" t="s">
        <v>9579</v>
      </c>
    </row>
    <row r="3674" spans="1:31" ht="8.65" customHeight="1" x14ac:dyDescent="0.2">
      <c r="A3674" s="76">
        <v>3674</v>
      </c>
      <c r="B3674" s="67" t="str">
        <f>MID(C3674, FIND("Ifc.", C3674) + 4, 4) &amp; "_" &amp; TEXT(COUNTIF($C$2:C3674, C3674),"0000")</f>
        <v>Funç_0031</v>
      </c>
      <c r="C3674" s="23" t="s">
        <v>875</v>
      </c>
      <c r="D3674" s="69" t="s">
        <v>9453</v>
      </c>
      <c r="E3674" s="70" t="s">
        <v>9458</v>
      </c>
      <c r="F3674" s="26" t="s">
        <v>798</v>
      </c>
      <c r="G3674" s="15" t="s">
        <v>798</v>
      </c>
      <c r="H3674" s="14" t="s">
        <v>798</v>
      </c>
      <c r="I3674" s="15" t="s">
        <v>798</v>
      </c>
      <c r="J3674" s="12" t="s">
        <v>9439</v>
      </c>
      <c r="K3674" s="16" t="s">
        <v>3743</v>
      </c>
      <c r="L3674" s="12" t="s">
        <v>800</v>
      </c>
      <c r="M3674" s="16" t="s">
        <v>4705</v>
      </c>
      <c r="N3674" s="19" t="s">
        <v>798</v>
      </c>
      <c r="O3674" s="20" t="s">
        <v>798</v>
      </c>
      <c r="P3674" s="17" t="s">
        <v>802</v>
      </c>
      <c r="Q3674" s="21" t="s">
        <v>9295</v>
      </c>
      <c r="R3674" s="19" t="s">
        <v>798</v>
      </c>
      <c r="S3674" s="20" t="s">
        <v>798</v>
      </c>
      <c r="T3674" s="17" t="s">
        <v>798</v>
      </c>
      <c r="U3674" s="20" t="s">
        <v>798</v>
      </c>
      <c r="V3674" s="26" t="s">
        <v>798</v>
      </c>
      <c r="W3674" s="20" t="s">
        <v>798</v>
      </c>
      <c r="X3674" s="26" t="s">
        <v>798</v>
      </c>
      <c r="Y3674" s="20" t="s">
        <v>798</v>
      </c>
      <c r="Z3674" s="69" t="s">
        <v>9486</v>
      </c>
      <c r="AA3674" s="72" t="s">
        <v>9502</v>
      </c>
      <c r="AB3674" s="73" t="s">
        <v>9486</v>
      </c>
      <c r="AC3674" s="74" t="s">
        <v>9562</v>
      </c>
      <c r="AD3674" s="73" t="s">
        <v>9578</v>
      </c>
      <c r="AE3674" s="74" t="s">
        <v>9579</v>
      </c>
    </row>
    <row r="3675" spans="1:31" ht="8.65" customHeight="1" x14ac:dyDescent="0.2">
      <c r="A3675" s="76">
        <v>3675</v>
      </c>
      <c r="B3675" s="67" t="str">
        <f>MID(C3675, FIND("Ifc.", C3675) + 4, 4) &amp; "_" &amp; TEXT(COUNTIF($C$2:C3675, C3675),"0000")</f>
        <v>Funç_0032</v>
      </c>
      <c r="C3675" s="23" t="s">
        <v>875</v>
      </c>
      <c r="D3675" s="69" t="s">
        <v>9453</v>
      </c>
      <c r="E3675" s="70" t="s">
        <v>9458</v>
      </c>
      <c r="F3675" s="26" t="s">
        <v>798</v>
      </c>
      <c r="G3675" s="15" t="s">
        <v>798</v>
      </c>
      <c r="H3675" s="14" t="s">
        <v>798</v>
      </c>
      <c r="I3675" s="15" t="s">
        <v>798</v>
      </c>
      <c r="J3675" s="12" t="s">
        <v>9439</v>
      </c>
      <c r="K3675" s="16" t="s">
        <v>3744</v>
      </c>
      <c r="L3675" s="12" t="s">
        <v>800</v>
      </c>
      <c r="M3675" s="16" t="s">
        <v>4706</v>
      </c>
      <c r="N3675" s="19" t="s">
        <v>798</v>
      </c>
      <c r="O3675" s="20" t="s">
        <v>798</v>
      </c>
      <c r="P3675" s="17" t="s">
        <v>802</v>
      </c>
      <c r="Q3675" s="21" t="s">
        <v>9296</v>
      </c>
      <c r="R3675" s="19" t="s">
        <v>798</v>
      </c>
      <c r="S3675" s="20" t="s">
        <v>798</v>
      </c>
      <c r="T3675" s="17" t="s">
        <v>798</v>
      </c>
      <c r="U3675" s="20" t="s">
        <v>798</v>
      </c>
      <c r="V3675" s="26" t="s">
        <v>798</v>
      </c>
      <c r="W3675" s="20" t="s">
        <v>798</v>
      </c>
      <c r="X3675" s="26" t="s">
        <v>798</v>
      </c>
      <c r="Y3675" s="20" t="s">
        <v>798</v>
      </c>
      <c r="Z3675" s="69" t="s">
        <v>9486</v>
      </c>
      <c r="AA3675" s="72" t="s">
        <v>9502</v>
      </c>
      <c r="AB3675" s="73" t="s">
        <v>9486</v>
      </c>
      <c r="AC3675" s="74" t="s">
        <v>9562</v>
      </c>
      <c r="AD3675" s="73" t="s">
        <v>9578</v>
      </c>
      <c r="AE3675" s="74" t="s">
        <v>9579</v>
      </c>
    </row>
    <row r="3676" spans="1:31" ht="8.65" customHeight="1" x14ac:dyDescent="0.2">
      <c r="A3676" s="76">
        <v>3676</v>
      </c>
      <c r="B3676" s="67" t="str">
        <f>MID(C3676, FIND("Ifc.", C3676) + 4, 4) &amp; "_" &amp; TEXT(COUNTIF($C$2:C3676, C3676),"0000")</f>
        <v>Funç_0033</v>
      </c>
      <c r="C3676" s="23" t="s">
        <v>875</v>
      </c>
      <c r="D3676" s="69" t="s">
        <v>9453</v>
      </c>
      <c r="E3676" s="70" t="s">
        <v>9458</v>
      </c>
      <c r="F3676" s="26" t="s">
        <v>798</v>
      </c>
      <c r="G3676" s="15" t="s">
        <v>798</v>
      </c>
      <c r="H3676" s="14" t="s">
        <v>798</v>
      </c>
      <c r="I3676" s="15" t="s">
        <v>798</v>
      </c>
      <c r="J3676" s="12" t="s">
        <v>9439</v>
      </c>
      <c r="K3676" s="16" t="s">
        <v>3745</v>
      </c>
      <c r="L3676" s="12" t="s">
        <v>800</v>
      </c>
      <c r="M3676" s="16" t="s">
        <v>4707</v>
      </c>
      <c r="N3676" s="19" t="s">
        <v>798</v>
      </c>
      <c r="O3676" s="20" t="s">
        <v>798</v>
      </c>
      <c r="P3676" s="17" t="s">
        <v>802</v>
      </c>
      <c r="Q3676" s="21" t="s">
        <v>9297</v>
      </c>
      <c r="R3676" s="19" t="s">
        <v>798</v>
      </c>
      <c r="S3676" s="20" t="s">
        <v>798</v>
      </c>
      <c r="T3676" s="17" t="s">
        <v>798</v>
      </c>
      <c r="U3676" s="20" t="s">
        <v>798</v>
      </c>
      <c r="V3676" s="26" t="s">
        <v>798</v>
      </c>
      <c r="W3676" s="20" t="s">
        <v>798</v>
      </c>
      <c r="X3676" s="26" t="s">
        <v>798</v>
      </c>
      <c r="Y3676" s="20" t="s">
        <v>798</v>
      </c>
      <c r="Z3676" s="69" t="s">
        <v>9486</v>
      </c>
      <c r="AA3676" s="72" t="s">
        <v>9502</v>
      </c>
      <c r="AB3676" s="73" t="s">
        <v>9486</v>
      </c>
      <c r="AC3676" s="74" t="s">
        <v>9562</v>
      </c>
      <c r="AD3676" s="73" t="s">
        <v>9578</v>
      </c>
      <c r="AE3676" s="74" t="s">
        <v>9579</v>
      </c>
    </row>
    <row r="3677" spans="1:31" ht="8.65" customHeight="1" x14ac:dyDescent="0.2">
      <c r="A3677" s="76">
        <v>3677</v>
      </c>
      <c r="B3677" s="67" t="str">
        <f>MID(C3677, FIND("Ifc.", C3677) + 4, 4) &amp; "_" &amp; TEXT(COUNTIF($C$2:C3677, C3677),"0000")</f>
        <v>Funç_0034</v>
      </c>
      <c r="C3677" s="23" t="s">
        <v>875</v>
      </c>
      <c r="D3677" s="69" t="s">
        <v>9453</v>
      </c>
      <c r="E3677" s="70" t="s">
        <v>9458</v>
      </c>
      <c r="F3677" s="26" t="s">
        <v>798</v>
      </c>
      <c r="G3677" s="15" t="s">
        <v>798</v>
      </c>
      <c r="H3677" s="14" t="s">
        <v>798</v>
      </c>
      <c r="I3677" s="15" t="s">
        <v>798</v>
      </c>
      <c r="J3677" s="12" t="s">
        <v>9439</v>
      </c>
      <c r="K3677" s="16" t="s">
        <v>3746</v>
      </c>
      <c r="L3677" s="12" t="s">
        <v>800</v>
      </c>
      <c r="M3677" s="16" t="s">
        <v>4708</v>
      </c>
      <c r="N3677" s="19" t="s">
        <v>798</v>
      </c>
      <c r="O3677" s="20" t="s">
        <v>798</v>
      </c>
      <c r="P3677" s="17" t="s">
        <v>802</v>
      </c>
      <c r="Q3677" s="21" t="s">
        <v>9298</v>
      </c>
      <c r="R3677" s="19" t="s">
        <v>798</v>
      </c>
      <c r="S3677" s="20" t="s">
        <v>798</v>
      </c>
      <c r="T3677" s="17" t="s">
        <v>798</v>
      </c>
      <c r="U3677" s="20" t="s">
        <v>798</v>
      </c>
      <c r="V3677" s="26" t="s">
        <v>798</v>
      </c>
      <c r="W3677" s="20" t="s">
        <v>798</v>
      </c>
      <c r="X3677" s="26" t="s">
        <v>798</v>
      </c>
      <c r="Y3677" s="20" t="s">
        <v>798</v>
      </c>
      <c r="Z3677" s="69" t="s">
        <v>9486</v>
      </c>
      <c r="AA3677" s="72" t="s">
        <v>9502</v>
      </c>
      <c r="AB3677" s="73" t="s">
        <v>9486</v>
      </c>
      <c r="AC3677" s="74" t="s">
        <v>9562</v>
      </c>
      <c r="AD3677" s="73" t="s">
        <v>9578</v>
      </c>
      <c r="AE3677" s="74" t="s">
        <v>9579</v>
      </c>
    </row>
    <row r="3678" spans="1:31" ht="8.65" customHeight="1" x14ac:dyDescent="0.2">
      <c r="A3678" s="76">
        <v>3678</v>
      </c>
      <c r="B3678" s="67" t="str">
        <f>MID(C3678, FIND("Ifc.", C3678) + 4, 4) &amp; "_" &amp; TEXT(COUNTIF($C$2:C3678, C3678),"0000")</f>
        <v>Funç_0035</v>
      </c>
      <c r="C3678" s="23" t="s">
        <v>875</v>
      </c>
      <c r="D3678" s="69" t="s">
        <v>9453</v>
      </c>
      <c r="E3678" s="70" t="s">
        <v>9458</v>
      </c>
      <c r="F3678" s="26" t="s">
        <v>798</v>
      </c>
      <c r="G3678" s="15" t="s">
        <v>798</v>
      </c>
      <c r="H3678" s="14" t="s">
        <v>798</v>
      </c>
      <c r="I3678" s="15" t="s">
        <v>798</v>
      </c>
      <c r="J3678" s="12" t="s">
        <v>9439</v>
      </c>
      <c r="K3678" s="16" t="s">
        <v>3747</v>
      </c>
      <c r="L3678" s="12" t="s">
        <v>800</v>
      </c>
      <c r="M3678" s="16" t="s">
        <v>4709</v>
      </c>
      <c r="N3678" s="19" t="s">
        <v>798</v>
      </c>
      <c r="O3678" s="20" t="s">
        <v>798</v>
      </c>
      <c r="P3678" s="17" t="s">
        <v>802</v>
      </c>
      <c r="Q3678" s="21" t="s">
        <v>9299</v>
      </c>
      <c r="R3678" s="19" t="s">
        <v>798</v>
      </c>
      <c r="S3678" s="20" t="s">
        <v>798</v>
      </c>
      <c r="T3678" s="17" t="s">
        <v>798</v>
      </c>
      <c r="U3678" s="20" t="s">
        <v>798</v>
      </c>
      <c r="V3678" s="26" t="s">
        <v>798</v>
      </c>
      <c r="W3678" s="20" t="s">
        <v>798</v>
      </c>
      <c r="X3678" s="26" t="s">
        <v>798</v>
      </c>
      <c r="Y3678" s="20" t="s">
        <v>798</v>
      </c>
      <c r="Z3678" s="69" t="s">
        <v>9486</v>
      </c>
      <c r="AA3678" s="72" t="s">
        <v>9502</v>
      </c>
      <c r="AB3678" s="73" t="s">
        <v>9486</v>
      </c>
      <c r="AC3678" s="74" t="s">
        <v>9562</v>
      </c>
      <c r="AD3678" s="73" t="s">
        <v>9578</v>
      </c>
      <c r="AE3678" s="74" t="s">
        <v>9579</v>
      </c>
    </row>
    <row r="3679" spans="1:31" ht="8.65" customHeight="1" x14ac:dyDescent="0.2">
      <c r="A3679" s="76">
        <v>3679</v>
      </c>
      <c r="B3679" s="67" t="str">
        <f>MID(C3679, FIND("Ifc.", C3679) + 4, 4) &amp; "_" &amp; TEXT(COUNTIF($C$2:C3679, C3679),"0000")</f>
        <v>Funç_0036</v>
      </c>
      <c r="C3679" s="23" t="s">
        <v>875</v>
      </c>
      <c r="D3679" s="69" t="s">
        <v>9453</v>
      </c>
      <c r="E3679" s="70" t="s">
        <v>9458</v>
      </c>
      <c r="F3679" s="26" t="s">
        <v>798</v>
      </c>
      <c r="G3679" s="15" t="s">
        <v>798</v>
      </c>
      <c r="H3679" s="14" t="s">
        <v>798</v>
      </c>
      <c r="I3679" s="15" t="s">
        <v>798</v>
      </c>
      <c r="J3679" s="12" t="s">
        <v>9439</v>
      </c>
      <c r="K3679" s="16" t="s">
        <v>3748</v>
      </c>
      <c r="L3679" s="12" t="s">
        <v>800</v>
      </c>
      <c r="M3679" s="16" t="s">
        <v>4710</v>
      </c>
      <c r="N3679" s="19" t="s">
        <v>798</v>
      </c>
      <c r="O3679" s="20" t="s">
        <v>798</v>
      </c>
      <c r="P3679" s="17" t="s">
        <v>802</v>
      </c>
      <c r="Q3679" s="21" t="s">
        <v>9300</v>
      </c>
      <c r="R3679" s="19" t="s">
        <v>798</v>
      </c>
      <c r="S3679" s="20" t="s">
        <v>798</v>
      </c>
      <c r="T3679" s="17" t="s">
        <v>798</v>
      </c>
      <c r="U3679" s="20" t="s">
        <v>798</v>
      </c>
      <c r="V3679" s="26" t="s">
        <v>798</v>
      </c>
      <c r="W3679" s="20" t="s">
        <v>798</v>
      </c>
      <c r="X3679" s="26" t="s">
        <v>798</v>
      </c>
      <c r="Y3679" s="20" t="s">
        <v>798</v>
      </c>
      <c r="Z3679" s="69" t="s">
        <v>9486</v>
      </c>
      <c r="AA3679" s="72" t="s">
        <v>9502</v>
      </c>
      <c r="AB3679" s="73" t="s">
        <v>9486</v>
      </c>
      <c r="AC3679" s="74" t="s">
        <v>9562</v>
      </c>
      <c r="AD3679" s="73" t="s">
        <v>9578</v>
      </c>
      <c r="AE3679" s="74" t="s">
        <v>9579</v>
      </c>
    </row>
    <row r="3680" spans="1:31" ht="8.65" customHeight="1" x14ac:dyDescent="0.2">
      <c r="A3680" s="76">
        <v>3680</v>
      </c>
      <c r="B3680" s="67" t="str">
        <f>MID(C3680, FIND("Ifc.", C3680) + 4, 4) &amp; "_" &amp; TEXT(COUNTIF($C$2:C3680, C3680),"0000")</f>
        <v>Funç_0037</v>
      </c>
      <c r="C3680" s="23" t="s">
        <v>875</v>
      </c>
      <c r="D3680" s="69" t="s">
        <v>9453</v>
      </c>
      <c r="E3680" s="70" t="s">
        <v>9458</v>
      </c>
      <c r="F3680" s="26" t="s">
        <v>798</v>
      </c>
      <c r="G3680" s="15" t="s">
        <v>798</v>
      </c>
      <c r="H3680" s="14" t="s">
        <v>798</v>
      </c>
      <c r="I3680" s="15" t="s">
        <v>798</v>
      </c>
      <c r="J3680" s="12" t="s">
        <v>9439</v>
      </c>
      <c r="K3680" s="16" t="s">
        <v>3749</v>
      </c>
      <c r="L3680" s="12" t="s">
        <v>800</v>
      </c>
      <c r="M3680" s="16" t="s">
        <v>4711</v>
      </c>
      <c r="N3680" s="19" t="s">
        <v>798</v>
      </c>
      <c r="O3680" s="20" t="s">
        <v>798</v>
      </c>
      <c r="P3680" s="17" t="s">
        <v>802</v>
      </c>
      <c r="Q3680" s="21" t="s">
        <v>9301</v>
      </c>
      <c r="R3680" s="19" t="s">
        <v>798</v>
      </c>
      <c r="S3680" s="20" t="s">
        <v>798</v>
      </c>
      <c r="T3680" s="17" t="s">
        <v>798</v>
      </c>
      <c r="U3680" s="20" t="s">
        <v>798</v>
      </c>
      <c r="V3680" s="26" t="s">
        <v>798</v>
      </c>
      <c r="W3680" s="20" t="s">
        <v>798</v>
      </c>
      <c r="X3680" s="26" t="s">
        <v>798</v>
      </c>
      <c r="Y3680" s="20" t="s">
        <v>798</v>
      </c>
      <c r="Z3680" s="69" t="s">
        <v>9486</v>
      </c>
      <c r="AA3680" s="72" t="s">
        <v>9502</v>
      </c>
      <c r="AB3680" s="73" t="s">
        <v>9486</v>
      </c>
      <c r="AC3680" s="74" t="s">
        <v>9562</v>
      </c>
      <c r="AD3680" s="73" t="s">
        <v>9578</v>
      </c>
      <c r="AE3680" s="74" t="s">
        <v>9579</v>
      </c>
    </row>
    <row r="3681" spans="1:31" ht="8.65" customHeight="1" x14ac:dyDescent="0.2">
      <c r="A3681" s="76">
        <v>3681</v>
      </c>
      <c r="B3681" s="67" t="str">
        <f>MID(C3681, FIND("Ifc.", C3681) + 4, 4) &amp; "_" &amp; TEXT(COUNTIF($C$2:C3681, C3681),"0000")</f>
        <v>Funç_0038</v>
      </c>
      <c r="C3681" s="23" t="s">
        <v>875</v>
      </c>
      <c r="D3681" s="69" t="s">
        <v>9453</v>
      </c>
      <c r="E3681" s="70" t="s">
        <v>9458</v>
      </c>
      <c r="F3681" s="26" t="s">
        <v>798</v>
      </c>
      <c r="G3681" s="15" t="s">
        <v>798</v>
      </c>
      <c r="H3681" s="14" t="s">
        <v>798</v>
      </c>
      <c r="I3681" s="15" t="s">
        <v>798</v>
      </c>
      <c r="J3681" s="12" t="s">
        <v>9439</v>
      </c>
      <c r="K3681" s="16" t="s">
        <v>3750</v>
      </c>
      <c r="L3681" s="12" t="s">
        <v>800</v>
      </c>
      <c r="M3681" s="16" t="s">
        <v>4712</v>
      </c>
      <c r="N3681" s="19" t="s">
        <v>798</v>
      </c>
      <c r="O3681" s="20" t="s">
        <v>798</v>
      </c>
      <c r="P3681" s="17" t="s">
        <v>802</v>
      </c>
      <c r="Q3681" s="21" t="s">
        <v>9302</v>
      </c>
      <c r="R3681" s="19" t="s">
        <v>798</v>
      </c>
      <c r="S3681" s="20" t="s">
        <v>798</v>
      </c>
      <c r="T3681" s="17" t="s">
        <v>798</v>
      </c>
      <c r="U3681" s="20" t="s">
        <v>798</v>
      </c>
      <c r="V3681" s="26" t="s">
        <v>798</v>
      </c>
      <c r="W3681" s="20" t="s">
        <v>798</v>
      </c>
      <c r="X3681" s="26" t="s">
        <v>798</v>
      </c>
      <c r="Y3681" s="20" t="s">
        <v>798</v>
      </c>
      <c r="Z3681" s="69" t="s">
        <v>9486</v>
      </c>
      <c r="AA3681" s="72" t="s">
        <v>9502</v>
      </c>
      <c r="AB3681" s="73" t="s">
        <v>9486</v>
      </c>
      <c r="AC3681" s="74" t="s">
        <v>9562</v>
      </c>
      <c r="AD3681" s="73" t="s">
        <v>9578</v>
      </c>
      <c r="AE3681" s="74" t="s">
        <v>9579</v>
      </c>
    </row>
    <row r="3682" spans="1:31" ht="8.65" customHeight="1" x14ac:dyDescent="0.2">
      <c r="A3682" s="76">
        <v>3682</v>
      </c>
      <c r="B3682" s="67" t="str">
        <f>MID(C3682, FIND("Ifc.", C3682) + 4, 4) &amp; "_" &amp; TEXT(COUNTIF($C$2:C3682, C3682),"0000")</f>
        <v>Funç_0039</v>
      </c>
      <c r="C3682" s="23" t="s">
        <v>875</v>
      </c>
      <c r="D3682" s="69" t="s">
        <v>9453</v>
      </c>
      <c r="E3682" s="70" t="s">
        <v>9458</v>
      </c>
      <c r="F3682" s="26" t="s">
        <v>798</v>
      </c>
      <c r="G3682" s="15" t="s">
        <v>798</v>
      </c>
      <c r="H3682" s="14" t="s">
        <v>798</v>
      </c>
      <c r="I3682" s="15" t="s">
        <v>798</v>
      </c>
      <c r="J3682" s="12" t="s">
        <v>9439</v>
      </c>
      <c r="K3682" s="16" t="s">
        <v>3751</v>
      </c>
      <c r="L3682" s="12" t="s">
        <v>800</v>
      </c>
      <c r="M3682" s="16" t="s">
        <v>4713</v>
      </c>
      <c r="N3682" s="19" t="s">
        <v>798</v>
      </c>
      <c r="O3682" s="20" t="s">
        <v>798</v>
      </c>
      <c r="P3682" s="17" t="s">
        <v>802</v>
      </c>
      <c r="Q3682" s="21" t="s">
        <v>9303</v>
      </c>
      <c r="R3682" s="19" t="s">
        <v>798</v>
      </c>
      <c r="S3682" s="20" t="s">
        <v>798</v>
      </c>
      <c r="T3682" s="17" t="s">
        <v>798</v>
      </c>
      <c r="U3682" s="20" t="s">
        <v>798</v>
      </c>
      <c r="V3682" s="26" t="s">
        <v>798</v>
      </c>
      <c r="W3682" s="20" t="s">
        <v>798</v>
      </c>
      <c r="X3682" s="26" t="s">
        <v>798</v>
      </c>
      <c r="Y3682" s="20" t="s">
        <v>798</v>
      </c>
      <c r="Z3682" s="69" t="s">
        <v>9486</v>
      </c>
      <c r="AA3682" s="72" t="s">
        <v>9502</v>
      </c>
      <c r="AB3682" s="73" t="s">
        <v>9486</v>
      </c>
      <c r="AC3682" s="74" t="s">
        <v>9562</v>
      </c>
      <c r="AD3682" s="73" t="s">
        <v>9578</v>
      </c>
      <c r="AE3682" s="74" t="s">
        <v>9579</v>
      </c>
    </row>
    <row r="3683" spans="1:31" ht="8.65" customHeight="1" x14ac:dyDescent="0.2">
      <c r="A3683" s="76">
        <v>3683</v>
      </c>
      <c r="B3683" s="67" t="str">
        <f>MID(C3683, FIND("Ifc.", C3683) + 4, 4) &amp; "_" &amp; TEXT(COUNTIF($C$2:C3683, C3683),"0000")</f>
        <v>Funç_0040</v>
      </c>
      <c r="C3683" s="23" t="s">
        <v>875</v>
      </c>
      <c r="D3683" s="69" t="s">
        <v>9453</v>
      </c>
      <c r="E3683" s="70" t="s">
        <v>9458</v>
      </c>
      <c r="F3683" s="26" t="s">
        <v>798</v>
      </c>
      <c r="G3683" s="15" t="s">
        <v>798</v>
      </c>
      <c r="H3683" s="14" t="s">
        <v>798</v>
      </c>
      <c r="I3683" s="15" t="s">
        <v>798</v>
      </c>
      <c r="J3683" s="12" t="s">
        <v>9439</v>
      </c>
      <c r="K3683" s="16" t="s">
        <v>3752</v>
      </c>
      <c r="L3683" s="12" t="s">
        <v>800</v>
      </c>
      <c r="M3683" s="16" t="s">
        <v>4714</v>
      </c>
      <c r="N3683" s="19" t="s">
        <v>798</v>
      </c>
      <c r="O3683" s="20" t="s">
        <v>798</v>
      </c>
      <c r="P3683" s="17" t="s">
        <v>802</v>
      </c>
      <c r="Q3683" s="21" t="s">
        <v>9304</v>
      </c>
      <c r="R3683" s="19" t="s">
        <v>798</v>
      </c>
      <c r="S3683" s="20" t="s">
        <v>798</v>
      </c>
      <c r="T3683" s="17" t="s">
        <v>798</v>
      </c>
      <c r="U3683" s="20" t="s">
        <v>798</v>
      </c>
      <c r="V3683" s="26" t="s">
        <v>798</v>
      </c>
      <c r="W3683" s="20" t="s">
        <v>798</v>
      </c>
      <c r="X3683" s="26" t="s">
        <v>798</v>
      </c>
      <c r="Y3683" s="20" t="s">
        <v>798</v>
      </c>
      <c r="Z3683" s="69" t="s">
        <v>9486</v>
      </c>
      <c r="AA3683" s="72" t="s">
        <v>9502</v>
      </c>
      <c r="AB3683" s="73" t="s">
        <v>9486</v>
      </c>
      <c r="AC3683" s="74" t="s">
        <v>9562</v>
      </c>
      <c r="AD3683" s="73" t="s">
        <v>9578</v>
      </c>
      <c r="AE3683" s="74" t="s">
        <v>9579</v>
      </c>
    </row>
    <row r="3684" spans="1:31" ht="8.65" customHeight="1" x14ac:dyDescent="0.2">
      <c r="A3684" s="76">
        <v>3684</v>
      </c>
      <c r="B3684" s="67" t="str">
        <f>MID(C3684, FIND("Ifc.", C3684) + 4, 4) &amp; "_" &amp; TEXT(COUNTIF($C$2:C3684, C3684),"0000")</f>
        <v>Funç_0041</v>
      </c>
      <c r="C3684" s="23" t="s">
        <v>875</v>
      </c>
      <c r="D3684" s="69" t="s">
        <v>9453</v>
      </c>
      <c r="E3684" s="70" t="s">
        <v>9458</v>
      </c>
      <c r="F3684" s="26" t="s">
        <v>798</v>
      </c>
      <c r="G3684" s="15" t="s">
        <v>798</v>
      </c>
      <c r="H3684" s="14" t="s">
        <v>798</v>
      </c>
      <c r="I3684" s="15" t="s">
        <v>798</v>
      </c>
      <c r="J3684" s="12" t="s">
        <v>9439</v>
      </c>
      <c r="K3684" s="16" t="s">
        <v>3753</v>
      </c>
      <c r="L3684" s="12" t="s">
        <v>800</v>
      </c>
      <c r="M3684" s="16" t="s">
        <v>4715</v>
      </c>
      <c r="N3684" s="19" t="s">
        <v>798</v>
      </c>
      <c r="O3684" s="20" t="s">
        <v>798</v>
      </c>
      <c r="P3684" s="17" t="s">
        <v>802</v>
      </c>
      <c r="Q3684" s="21" t="s">
        <v>9305</v>
      </c>
      <c r="R3684" s="19" t="s">
        <v>798</v>
      </c>
      <c r="S3684" s="20" t="s">
        <v>798</v>
      </c>
      <c r="T3684" s="17" t="s">
        <v>798</v>
      </c>
      <c r="U3684" s="20" t="s">
        <v>798</v>
      </c>
      <c r="V3684" s="26" t="s">
        <v>798</v>
      </c>
      <c r="W3684" s="20" t="s">
        <v>798</v>
      </c>
      <c r="X3684" s="26" t="s">
        <v>798</v>
      </c>
      <c r="Y3684" s="20" t="s">
        <v>798</v>
      </c>
      <c r="Z3684" s="69" t="s">
        <v>9486</v>
      </c>
      <c r="AA3684" s="72" t="s">
        <v>9502</v>
      </c>
      <c r="AB3684" s="73" t="s">
        <v>9486</v>
      </c>
      <c r="AC3684" s="74" t="s">
        <v>9562</v>
      </c>
      <c r="AD3684" s="73" t="s">
        <v>9578</v>
      </c>
      <c r="AE3684" s="74" t="s">
        <v>9579</v>
      </c>
    </row>
    <row r="3685" spans="1:31" ht="8.65" customHeight="1" x14ac:dyDescent="0.2">
      <c r="A3685" s="76">
        <v>3685</v>
      </c>
      <c r="B3685" s="67" t="str">
        <f>MID(C3685, FIND("Ifc.", C3685) + 4, 4) &amp; "_" &amp; TEXT(COUNTIF($C$2:C3685, C3685),"0000")</f>
        <v>Funç_0042</v>
      </c>
      <c r="C3685" s="23" t="s">
        <v>875</v>
      </c>
      <c r="D3685" s="69" t="s">
        <v>9453</v>
      </c>
      <c r="E3685" s="70" t="s">
        <v>9458</v>
      </c>
      <c r="F3685" s="26" t="s">
        <v>798</v>
      </c>
      <c r="G3685" s="15" t="s">
        <v>798</v>
      </c>
      <c r="H3685" s="14" t="s">
        <v>798</v>
      </c>
      <c r="I3685" s="15" t="s">
        <v>798</v>
      </c>
      <c r="J3685" s="12" t="s">
        <v>9439</v>
      </c>
      <c r="K3685" s="16" t="s">
        <v>3754</v>
      </c>
      <c r="L3685" s="12" t="s">
        <v>800</v>
      </c>
      <c r="M3685" s="16" t="s">
        <v>4716</v>
      </c>
      <c r="N3685" s="19" t="s">
        <v>798</v>
      </c>
      <c r="O3685" s="20" t="s">
        <v>798</v>
      </c>
      <c r="P3685" s="17" t="s">
        <v>802</v>
      </c>
      <c r="Q3685" s="21" t="s">
        <v>9306</v>
      </c>
      <c r="R3685" s="19" t="s">
        <v>798</v>
      </c>
      <c r="S3685" s="20" t="s">
        <v>798</v>
      </c>
      <c r="T3685" s="17" t="s">
        <v>798</v>
      </c>
      <c r="U3685" s="20" t="s">
        <v>798</v>
      </c>
      <c r="V3685" s="26" t="s">
        <v>798</v>
      </c>
      <c r="W3685" s="20" t="s">
        <v>798</v>
      </c>
      <c r="X3685" s="26" t="s">
        <v>798</v>
      </c>
      <c r="Y3685" s="20" t="s">
        <v>798</v>
      </c>
      <c r="Z3685" s="69" t="s">
        <v>9486</v>
      </c>
      <c r="AA3685" s="72" t="s">
        <v>9502</v>
      </c>
      <c r="AB3685" s="73" t="s">
        <v>9486</v>
      </c>
      <c r="AC3685" s="74" t="s">
        <v>9562</v>
      </c>
      <c r="AD3685" s="73" t="s">
        <v>9578</v>
      </c>
      <c r="AE3685" s="74" t="s">
        <v>9579</v>
      </c>
    </row>
    <row r="3686" spans="1:31" ht="8.65" customHeight="1" x14ac:dyDescent="0.2">
      <c r="A3686" s="76">
        <v>3686</v>
      </c>
      <c r="B3686" s="67" t="str">
        <f>MID(C3686, FIND("Ifc.", C3686) + 4, 4) &amp; "_" &amp; TEXT(COUNTIF($C$2:C3686, C3686),"0000")</f>
        <v>Funç_0043</v>
      </c>
      <c r="C3686" s="23" t="s">
        <v>875</v>
      </c>
      <c r="D3686" s="69" t="s">
        <v>9453</v>
      </c>
      <c r="E3686" s="70" t="s">
        <v>9458</v>
      </c>
      <c r="F3686" s="26" t="s">
        <v>798</v>
      </c>
      <c r="G3686" s="15" t="s">
        <v>798</v>
      </c>
      <c r="H3686" s="14" t="s">
        <v>798</v>
      </c>
      <c r="I3686" s="15" t="s">
        <v>798</v>
      </c>
      <c r="J3686" s="12" t="s">
        <v>9439</v>
      </c>
      <c r="K3686" s="16" t="s">
        <v>3755</v>
      </c>
      <c r="L3686" s="12" t="s">
        <v>800</v>
      </c>
      <c r="M3686" s="16" t="s">
        <v>4717</v>
      </c>
      <c r="N3686" s="19" t="s">
        <v>798</v>
      </c>
      <c r="O3686" s="20" t="s">
        <v>798</v>
      </c>
      <c r="P3686" s="17" t="s">
        <v>802</v>
      </c>
      <c r="Q3686" s="21" t="s">
        <v>9307</v>
      </c>
      <c r="R3686" s="19" t="s">
        <v>798</v>
      </c>
      <c r="S3686" s="20" t="s">
        <v>798</v>
      </c>
      <c r="T3686" s="17" t="s">
        <v>798</v>
      </c>
      <c r="U3686" s="20" t="s">
        <v>798</v>
      </c>
      <c r="V3686" s="26" t="s">
        <v>798</v>
      </c>
      <c r="W3686" s="20" t="s">
        <v>798</v>
      </c>
      <c r="X3686" s="26" t="s">
        <v>798</v>
      </c>
      <c r="Y3686" s="20" t="s">
        <v>798</v>
      </c>
      <c r="Z3686" s="69" t="s">
        <v>9486</v>
      </c>
      <c r="AA3686" s="72" t="s">
        <v>9502</v>
      </c>
      <c r="AB3686" s="73" t="s">
        <v>9486</v>
      </c>
      <c r="AC3686" s="74" t="s">
        <v>9562</v>
      </c>
      <c r="AD3686" s="73" t="s">
        <v>9578</v>
      </c>
      <c r="AE3686" s="74" t="s">
        <v>9579</v>
      </c>
    </row>
    <row r="3687" spans="1:31" ht="8.65" customHeight="1" x14ac:dyDescent="0.2">
      <c r="A3687" s="76">
        <v>3687</v>
      </c>
      <c r="B3687" s="67" t="str">
        <f>MID(C3687, FIND("Ifc.", C3687) + 4, 4) &amp; "_" &amp; TEXT(COUNTIF($C$2:C3687, C3687),"0000")</f>
        <v>Funç_0044</v>
      </c>
      <c r="C3687" s="23" t="s">
        <v>875</v>
      </c>
      <c r="D3687" s="69" t="s">
        <v>9453</v>
      </c>
      <c r="E3687" s="70" t="s">
        <v>9458</v>
      </c>
      <c r="F3687" s="26" t="s">
        <v>798</v>
      </c>
      <c r="G3687" s="15" t="s">
        <v>798</v>
      </c>
      <c r="H3687" s="14" t="s">
        <v>798</v>
      </c>
      <c r="I3687" s="15" t="s">
        <v>798</v>
      </c>
      <c r="J3687" s="12" t="s">
        <v>9439</v>
      </c>
      <c r="K3687" s="16" t="s">
        <v>3756</v>
      </c>
      <c r="L3687" s="12" t="s">
        <v>800</v>
      </c>
      <c r="M3687" s="16" t="s">
        <v>4718</v>
      </c>
      <c r="N3687" s="19" t="s">
        <v>798</v>
      </c>
      <c r="O3687" s="20" t="s">
        <v>798</v>
      </c>
      <c r="P3687" s="17" t="s">
        <v>802</v>
      </c>
      <c r="Q3687" s="21" t="s">
        <v>9308</v>
      </c>
      <c r="R3687" s="19" t="s">
        <v>798</v>
      </c>
      <c r="S3687" s="20" t="s">
        <v>798</v>
      </c>
      <c r="T3687" s="17" t="s">
        <v>798</v>
      </c>
      <c r="U3687" s="20" t="s">
        <v>798</v>
      </c>
      <c r="V3687" s="26" t="s">
        <v>798</v>
      </c>
      <c r="W3687" s="20" t="s">
        <v>798</v>
      </c>
      <c r="X3687" s="26" t="s">
        <v>798</v>
      </c>
      <c r="Y3687" s="20" t="s">
        <v>798</v>
      </c>
      <c r="Z3687" s="69" t="s">
        <v>9486</v>
      </c>
      <c r="AA3687" s="72" t="s">
        <v>9502</v>
      </c>
      <c r="AB3687" s="73" t="s">
        <v>9486</v>
      </c>
      <c r="AC3687" s="74" t="s">
        <v>9562</v>
      </c>
      <c r="AD3687" s="73" t="s">
        <v>9578</v>
      </c>
      <c r="AE3687" s="74" t="s">
        <v>9579</v>
      </c>
    </row>
    <row r="3688" spans="1:31" ht="8.65" customHeight="1" x14ac:dyDescent="0.2">
      <c r="A3688" s="76">
        <v>3688</v>
      </c>
      <c r="B3688" s="67" t="str">
        <f>MID(C3688, FIND("Ifc.", C3688) + 4, 4) &amp; "_" &amp; TEXT(COUNTIF($C$2:C3688, C3688),"0000")</f>
        <v>Funç_0045</v>
      </c>
      <c r="C3688" s="23" t="s">
        <v>875</v>
      </c>
      <c r="D3688" s="69" t="s">
        <v>9453</v>
      </c>
      <c r="E3688" s="70" t="s">
        <v>9458</v>
      </c>
      <c r="F3688" s="26" t="s">
        <v>798</v>
      </c>
      <c r="G3688" s="15" t="s">
        <v>798</v>
      </c>
      <c r="H3688" s="14" t="s">
        <v>798</v>
      </c>
      <c r="I3688" s="15" t="s">
        <v>798</v>
      </c>
      <c r="J3688" s="12" t="s">
        <v>9439</v>
      </c>
      <c r="K3688" s="16" t="s">
        <v>3757</v>
      </c>
      <c r="L3688" s="12" t="s">
        <v>800</v>
      </c>
      <c r="M3688" s="16" t="s">
        <v>4719</v>
      </c>
      <c r="N3688" s="19" t="s">
        <v>798</v>
      </c>
      <c r="O3688" s="20" t="s">
        <v>798</v>
      </c>
      <c r="P3688" s="17" t="s">
        <v>802</v>
      </c>
      <c r="Q3688" s="21" t="s">
        <v>9309</v>
      </c>
      <c r="R3688" s="19" t="s">
        <v>798</v>
      </c>
      <c r="S3688" s="20" t="s">
        <v>798</v>
      </c>
      <c r="T3688" s="17" t="s">
        <v>798</v>
      </c>
      <c r="U3688" s="20" t="s">
        <v>798</v>
      </c>
      <c r="V3688" s="26" t="s">
        <v>798</v>
      </c>
      <c r="W3688" s="20" t="s">
        <v>798</v>
      </c>
      <c r="X3688" s="26" t="s">
        <v>798</v>
      </c>
      <c r="Y3688" s="20" t="s">
        <v>798</v>
      </c>
      <c r="Z3688" s="69" t="s">
        <v>9486</v>
      </c>
      <c r="AA3688" s="72" t="s">
        <v>9502</v>
      </c>
      <c r="AB3688" s="73" t="s">
        <v>9486</v>
      </c>
      <c r="AC3688" s="74" t="s">
        <v>9562</v>
      </c>
      <c r="AD3688" s="73" t="s">
        <v>9578</v>
      </c>
      <c r="AE3688" s="74" t="s">
        <v>9579</v>
      </c>
    </row>
    <row r="3689" spans="1:31" ht="8.65" customHeight="1" x14ac:dyDescent="0.2">
      <c r="A3689" s="76">
        <v>3689</v>
      </c>
      <c r="B3689" s="67" t="str">
        <f>MID(C3689, FIND("Ifc.", C3689) + 4, 4) &amp; "_" &amp; TEXT(COUNTIF($C$2:C3689, C3689),"0000")</f>
        <v>Funç_0046</v>
      </c>
      <c r="C3689" s="23" t="s">
        <v>875</v>
      </c>
      <c r="D3689" s="69" t="s">
        <v>9453</v>
      </c>
      <c r="E3689" s="70" t="s">
        <v>9458</v>
      </c>
      <c r="F3689" s="26" t="s">
        <v>798</v>
      </c>
      <c r="G3689" s="15" t="s">
        <v>798</v>
      </c>
      <c r="H3689" s="14" t="s">
        <v>798</v>
      </c>
      <c r="I3689" s="15" t="s">
        <v>798</v>
      </c>
      <c r="J3689" s="12" t="s">
        <v>9439</v>
      </c>
      <c r="K3689" s="16" t="s">
        <v>3758</v>
      </c>
      <c r="L3689" s="12" t="s">
        <v>800</v>
      </c>
      <c r="M3689" s="16" t="s">
        <v>4720</v>
      </c>
      <c r="N3689" s="19" t="s">
        <v>798</v>
      </c>
      <c r="O3689" s="20" t="s">
        <v>798</v>
      </c>
      <c r="P3689" s="17" t="s">
        <v>802</v>
      </c>
      <c r="Q3689" s="21" t="s">
        <v>9310</v>
      </c>
      <c r="R3689" s="19" t="s">
        <v>798</v>
      </c>
      <c r="S3689" s="20" t="s">
        <v>798</v>
      </c>
      <c r="T3689" s="17" t="s">
        <v>798</v>
      </c>
      <c r="U3689" s="20" t="s">
        <v>798</v>
      </c>
      <c r="V3689" s="26" t="s">
        <v>798</v>
      </c>
      <c r="W3689" s="20" t="s">
        <v>798</v>
      </c>
      <c r="X3689" s="26" t="s">
        <v>798</v>
      </c>
      <c r="Y3689" s="20" t="s">
        <v>798</v>
      </c>
      <c r="Z3689" s="69" t="s">
        <v>9486</v>
      </c>
      <c r="AA3689" s="72" t="s">
        <v>9502</v>
      </c>
      <c r="AB3689" s="73" t="s">
        <v>9486</v>
      </c>
      <c r="AC3689" s="74" t="s">
        <v>9562</v>
      </c>
      <c r="AD3689" s="73" t="s">
        <v>9578</v>
      </c>
      <c r="AE3689" s="74" t="s">
        <v>9579</v>
      </c>
    </row>
    <row r="3690" spans="1:31" ht="8.65" customHeight="1" x14ac:dyDescent="0.2">
      <c r="A3690" s="76">
        <v>3690</v>
      </c>
      <c r="B3690" s="67" t="str">
        <f>MID(C3690, FIND("Ifc.", C3690) + 4, 4) &amp; "_" &amp; TEXT(COUNTIF($C$2:C3690, C3690),"0000")</f>
        <v>Funç_0047</v>
      </c>
      <c r="C3690" s="23" t="s">
        <v>875</v>
      </c>
      <c r="D3690" s="69" t="s">
        <v>9453</v>
      </c>
      <c r="E3690" s="70" t="s">
        <v>9458</v>
      </c>
      <c r="F3690" s="26" t="s">
        <v>798</v>
      </c>
      <c r="G3690" s="15" t="s">
        <v>798</v>
      </c>
      <c r="H3690" s="14" t="s">
        <v>798</v>
      </c>
      <c r="I3690" s="15" t="s">
        <v>798</v>
      </c>
      <c r="J3690" s="12" t="s">
        <v>9439</v>
      </c>
      <c r="K3690" s="16" t="s">
        <v>3759</v>
      </c>
      <c r="L3690" s="12" t="s">
        <v>800</v>
      </c>
      <c r="M3690" s="16" t="s">
        <v>4721</v>
      </c>
      <c r="N3690" s="19" t="s">
        <v>798</v>
      </c>
      <c r="O3690" s="20" t="s">
        <v>798</v>
      </c>
      <c r="P3690" s="17" t="s">
        <v>802</v>
      </c>
      <c r="Q3690" s="21" t="s">
        <v>9311</v>
      </c>
      <c r="R3690" s="19" t="s">
        <v>798</v>
      </c>
      <c r="S3690" s="20" t="s">
        <v>798</v>
      </c>
      <c r="T3690" s="17" t="s">
        <v>798</v>
      </c>
      <c r="U3690" s="20" t="s">
        <v>798</v>
      </c>
      <c r="V3690" s="26" t="s">
        <v>798</v>
      </c>
      <c r="W3690" s="20" t="s">
        <v>798</v>
      </c>
      <c r="X3690" s="26" t="s">
        <v>798</v>
      </c>
      <c r="Y3690" s="20" t="s">
        <v>798</v>
      </c>
      <c r="Z3690" s="69" t="s">
        <v>9486</v>
      </c>
      <c r="AA3690" s="72" t="s">
        <v>9502</v>
      </c>
      <c r="AB3690" s="73" t="s">
        <v>9486</v>
      </c>
      <c r="AC3690" s="74" t="s">
        <v>9562</v>
      </c>
      <c r="AD3690" s="73" t="s">
        <v>9578</v>
      </c>
      <c r="AE3690" s="74" t="s">
        <v>9579</v>
      </c>
    </row>
    <row r="3691" spans="1:31" ht="8.65" customHeight="1" x14ac:dyDescent="0.2">
      <c r="A3691" s="76">
        <v>3691</v>
      </c>
      <c r="B3691" s="67" t="str">
        <f>MID(C3691, FIND("Ifc.", C3691) + 4, 4) &amp; "_" &amp; TEXT(COUNTIF($C$2:C3691, C3691),"0000")</f>
        <v>Regr_0001</v>
      </c>
      <c r="C3691" s="23" t="s">
        <v>876</v>
      </c>
      <c r="D3691" s="69" t="s">
        <v>9453</v>
      </c>
      <c r="E3691" s="70" t="s">
        <v>9459</v>
      </c>
      <c r="F3691" s="26" t="s">
        <v>798</v>
      </c>
      <c r="G3691" s="15" t="s">
        <v>798</v>
      </c>
      <c r="H3691" s="14" t="s">
        <v>798</v>
      </c>
      <c r="I3691" s="15" t="s">
        <v>798</v>
      </c>
      <c r="J3691" s="12" t="s">
        <v>9440</v>
      </c>
      <c r="K3691" s="16" t="s">
        <v>3760</v>
      </c>
      <c r="L3691" s="12" t="s">
        <v>800</v>
      </c>
      <c r="M3691" s="16" t="s">
        <v>5887</v>
      </c>
      <c r="N3691" s="19" t="s">
        <v>798</v>
      </c>
      <c r="O3691" s="20" t="s">
        <v>798</v>
      </c>
      <c r="P3691" s="17" t="s">
        <v>802</v>
      </c>
      <c r="Q3691" s="21" t="s">
        <v>9312</v>
      </c>
      <c r="R3691" s="19" t="s">
        <v>798</v>
      </c>
      <c r="S3691" s="20" t="s">
        <v>798</v>
      </c>
      <c r="T3691" s="17" t="s">
        <v>798</v>
      </c>
      <c r="U3691" s="20" t="s">
        <v>798</v>
      </c>
      <c r="V3691" s="26" t="s">
        <v>798</v>
      </c>
      <c r="W3691" s="20" t="s">
        <v>798</v>
      </c>
      <c r="X3691" s="26" t="s">
        <v>798</v>
      </c>
      <c r="Y3691" s="20" t="s">
        <v>798</v>
      </c>
      <c r="Z3691" s="69" t="s">
        <v>9486</v>
      </c>
      <c r="AA3691" s="72" t="s">
        <v>9503</v>
      </c>
      <c r="AB3691" s="73" t="s">
        <v>9486</v>
      </c>
      <c r="AC3691" s="74" t="s">
        <v>9562</v>
      </c>
      <c r="AD3691" s="73" t="s">
        <v>9578</v>
      </c>
      <c r="AE3691" s="74" t="s">
        <v>9579</v>
      </c>
    </row>
    <row r="3692" spans="1:31" ht="8.65" customHeight="1" x14ac:dyDescent="0.2">
      <c r="A3692" s="76">
        <v>3692</v>
      </c>
      <c r="B3692" s="67" t="str">
        <f>MID(C3692, FIND("Ifc.", C3692) + 4, 4) &amp; "_" &amp; TEXT(COUNTIF($C$2:C3692, C3692),"0000")</f>
        <v>Regr_0002</v>
      </c>
      <c r="C3692" s="23" t="s">
        <v>876</v>
      </c>
      <c r="D3692" s="69" t="s">
        <v>9453</v>
      </c>
      <c r="E3692" s="70" t="s">
        <v>9459</v>
      </c>
      <c r="F3692" s="26" t="s">
        <v>798</v>
      </c>
      <c r="G3692" s="15" t="s">
        <v>798</v>
      </c>
      <c r="H3692" s="14" t="s">
        <v>798</v>
      </c>
      <c r="I3692" s="15" t="s">
        <v>798</v>
      </c>
      <c r="J3692" s="12" t="s">
        <v>9440</v>
      </c>
      <c r="K3692" s="16" t="s">
        <v>3761</v>
      </c>
      <c r="L3692" s="12" t="s">
        <v>800</v>
      </c>
      <c r="M3692" s="16" t="s">
        <v>4722</v>
      </c>
      <c r="N3692" s="19" t="s">
        <v>798</v>
      </c>
      <c r="O3692" s="20" t="s">
        <v>798</v>
      </c>
      <c r="P3692" s="17" t="s">
        <v>802</v>
      </c>
      <c r="Q3692" s="21" t="s">
        <v>9313</v>
      </c>
      <c r="R3692" s="19" t="s">
        <v>798</v>
      </c>
      <c r="S3692" s="20" t="s">
        <v>798</v>
      </c>
      <c r="T3692" s="17" t="s">
        <v>798</v>
      </c>
      <c r="U3692" s="20" t="s">
        <v>798</v>
      </c>
      <c r="V3692" s="26" t="s">
        <v>798</v>
      </c>
      <c r="W3692" s="20" t="s">
        <v>798</v>
      </c>
      <c r="X3692" s="26" t="s">
        <v>798</v>
      </c>
      <c r="Y3692" s="20" t="s">
        <v>798</v>
      </c>
      <c r="Z3692" s="69" t="s">
        <v>9486</v>
      </c>
      <c r="AA3692" s="72" t="s">
        <v>9503</v>
      </c>
      <c r="AB3692" s="73" t="s">
        <v>9486</v>
      </c>
      <c r="AC3692" s="74" t="s">
        <v>9562</v>
      </c>
      <c r="AD3692" s="73" t="s">
        <v>9578</v>
      </c>
      <c r="AE3692" s="74" t="s">
        <v>9579</v>
      </c>
    </row>
    <row r="3693" spans="1:31" ht="8.65" customHeight="1" x14ac:dyDescent="0.2">
      <c r="A3693" s="76">
        <v>3693</v>
      </c>
      <c r="B3693" s="67" t="str">
        <f>MID(C3693, FIND("Ifc.", C3693) + 4, 4) &amp; "_" &amp; TEXT(COUNTIF($C$2:C3693, C3693),"0000")</f>
        <v>Quan_0001</v>
      </c>
      <c r="C3693" s="23" t="s">
        <v>878</v>
      </c>
      <c r="D3693" s="69" t="s">
        <v>9453</v>
      </c>
      <c r="E3693" s="70" t="s">
        <v>9460</v>
      </c>
      <c r="F3693" s="26" t="s">
        <v>798</v>
      </c>
      <c r="G3693" s="15" t="s">
        <v>798</v>
      </c>
      <c r="H3693" s="14" t="s">
        <v>798</v>
      </c>
      <c r="I3693" s="15" t="s">
        <v>798</v>
      </c>
      <c r="J3693" s="12" t="s">
        <v>9441</v>
      </c>
      <c r="K3693" s="16" t="s">
        <v>3762</v>
      </c>
      <c r="L3693" s="12" t="s">
        <v>800</v>
      </c>
      <c r="M3693" s="16" t="s">
        <v>4723</v>
      </c>
      <c r="N3693" s="19" t="s">
        <v>798</v>
      </c>
      <c r="O3693" s="20" t="s">
        <v>798</v>
      </c>
      <c r="P3693" s="17" t="s">
        <v>802</v>
      </c>
      <c r="Q3693" s="21" t="s">
        <v>9314</v>
      </c>
      <c r="R3693" s="19" t="s">
        <v>798</v>
      </c>
      <c r="S3693" s="20" t="s">
        <v>798</v>
      </c>
      <c r="T3693" s="17" t="s">
        <v>798</v>
      </c>
      <c r="U3693" s="20" t="s">
        <v>798</v>
      </c>
      <c r="V3693" s="26" t="s">
        <v>798</v>
      </c>
      <c r="W3693" s="20" t="s">
        <v>798</v>
      </c>
      <c r="X3693" s="26" t="s">
        <v>798</v>
      </c>
      <c r="Y3693" s="20" t="s">
        <v>798</v>
      </c>
      <c r="Z3693" s="69" t="s">
        <v>9486</v>
      </c>
      <c r="AA3693" s="72" t="s">
        <v>9505</v>
      </c>
      <c r="AB3693" s="73" t="s">
        <v>9486</v>
      </c>
      <c r="AC3693" s="74" t="s">
        <v>9562</v>
      </c>
      <c r="AD3693" s="73" t="s">
        <v>9578</v>
      </c>
      <c r="AE3693" s="74" t="s">
        <v>9579</v>
      </c>
    </row>
    <row r="3694" spans="1:31" ht="8.65" customHeight="1" x14ac:dyDescent="0.2">
      <c r="A3694" s="76">
        <v>3694</v>
      </c>
      <c r="B3694" s="67" t="str">
        <f>MID(C3694, FIND("Ifc.", C3694) + 4, 4) &amp; "_" &amp; TEXT(COUNTIF($C$2:C3694, C3694),"0000")</f>
        <v>Quan_0002</v>
      </c>
      <c r="C3694" s="23" t="s">
        <v>878</v>
      </c>
      <c r="D3694" s="69" t="s">
        <v>9453</v>
      </c>
      <c r="E3694" s="70" t="s">
        <v>9460</v>
      </c>
      <c r="F3694" s="26" t="s">
        <v>798</v>
      </c>
      <c r="G3694" s="15" t="s">
        <v>798</v>
      </c>
      <c r="H3694" s="14" t="s">
        <v>798</v>
      </c>
      <c r="I3694" s="15" t="s">
        <v>798</v>
      </c>
      <c r="J3694" s="12" t="s">
        <v>9441</v>
      </c>
      <c r="K3694" s="16" t="s">
        <v>3763</v>
      </c>
      <c r="L3694" s="12" t="s">
        <v>800</v>
      </c>
      <c r="M3694" s="16" t="s">
        <v>4724</v>
      </c>
      <c r="N3694" s="19" t="s">
        <v>798</v>
      </c>
      <c r="O3694" s="20" t="s">
        <v>798</v>
      </c>
      <c r="P3694" s="17" t="s">
        <v>802</v>
      </c>
      <c r="Q3694" s="21" t="s">
        <v>9315</v>
      </c>
      <c r="R3694" s="19" t="s">
        <v>798</v>
      </c>
      <c r="S3694" s="20" t="s">
        <v>798</v>
      </c>
      <c r="T3694" s="17" t="s">
        <v>798</v>
      </c>
      <c r="U3694" s="20" t="s">
        <v>798</v>
      </c>
      <c r="V3694" s="26" t="s">
        <v>798</v>
      </c>
      <c r="W3694" s="20" t="s">
        <v>798</v>
      </c>
      <c r="X3694" s="26" t="s">
        <v>798</v>
      </c>
      <c r="Y3694" s="20" t="s">
        <v>798</v>
      </c>
      <c r="Z3694" s="69" t="s">
        <v>9486</v>
      </c>
      <c r="AA3694" s="72" t="s">
        <v>9505</v>
      </c>
      <c r="AB3694" s="73" t="s">
        <v>9486</v>
      </c>
      <c r="AC3694" s="74" t="s">
        <v>9562</v>
      </c>
      <c r="AD3694" s="73" t="s">
        <v>9578</v>
      </c>
      <c r="AE3694" s="74" t="s">
        <v>9579</v>
      </c>
    </row>
    <row r="3695" spans="1:31" ht="8.65" customHeight="1" x14ac:dyDescent="0.2">
      <c r="A3695" s="76">
        <v>3695</v>
      </c>
      <c r="B3695" s="67" t="str">
        <f>MID(C3695, FIND("Ifc.", C3695) + 4, 4) &amp; "_" &amp; TEXT(COUNTIF($C$2:C3695, C3695),"0000")</f>
        <v>Quan_0003</v>
      </c>
      <c r="C3695" s="23" t="s">
        <v>878</v>
      </c>
      <c r="D3695" s="69" t="s">
        <v>9453</v>
      </c>
      <c r="E3695" s="70" t="s">
        <v>9460</v>
      </c>
      <c r="F3695" s="26" t="s">
        <v>798</v>
      </c>
      <c r="G3695" s="15" t="s">
        <v>798</v>
      </c>
      <c r="H3695" s="14" t="s">
        <v>798</v>
      </c>
      <c r="I3695" s="15" t="s">
        <v>798</v>
      </c>
      <c r="J3695" s="12" t="s">
        <v>9441</v>
      </c>
      <c r="K3695" s="16" t="s">
        <v>3764</v>
      </c>
      <c r="L3695" s="12" t="s">
        <v>800</v>
      </c>
      <c r="M3695" s="16" t="s">
        <v>4725</v>
      </c>
      <c r="N3695" s="19" t="s">
        <v>798</v>
      </c>
      <c r="O3695" s="20" t="s">
        <v>798</v>
      </c>
      <c r="P3695" s="17" t="s">
        <v>802</v>
      </c>
      <c r="Q3695" s="21" t="s">
        <v>9316</v>
      </c>
      <c r="R3695" s="19" t="s">
        <v>798</v>
      </c>
      <c r="S3695" s="20" t="s">
        <v>798</v>
      </c>
      <c r="T3695" s="17" t="s">
        <v>798</v>
      </c>
      <c r="U3695" s="20" t="s">
        <v>798</v>
      </c>
      <c r="V3695" s="26" t="s">
        <v>798</v>
      </c>
      <c r="W3695" s="20" t="s">
        <v>798</v>
      </c>
      <c r="X3695" s="26" t="s">
        <v>798</v>
      </c>
      <c r="Y3695" s="20" t="s">
        <v>798</v>
      </c>
      <c r="Z3695" s="69" t="s">
        <v>9486</v>
      </c>
      <c r="AA3695" s="72" t="s">
        <v>9505</v>
      </c>
      <c r="AB3695" s="73" t="s">
        <v>9486</v>
      </c>
      <c r="AC3695" s="74" t="s">
        <v>9562</v>
      </c>
      <c r="AD3695" s="73" t="s">
        <v>9578</v>
      </c>
      <c r="AE3695" s="74" t="s">
        <v>9579</v>
      </c>
    </row>
    <row r="3696" spans="1:31" ht="8.65" customHeight="1" x14ac:dyDescent="0.2">
      <c r="A3696" s="76">
        <v>3696</v>
      </c>
      <c r="B3696" s="67" t="str">
        <f>MID(C3696, FIND("Ifc.", C3696) + 4, 4) &amp; "_" &amp; TEXT(COUNTIF($C$2:C3696, C3696),"0000")</f>
        <v>Quan_0004</v>
      </c>
      <c r="C3696" s="23" t="s">
        <v>878</v>
      </c>
      <c r="D3696" s="69" t="s">
        <v>9453</v>
      </c>
      <c r="E3696" s="70" t="s">
        <v>9460</v>
      </c>
      <c r="F3696" s="26" t="s">
        <v>798</v>
      </c>
      <c r="G3696" s="15" t="s">
        <v>798</v>
      </c>
      <c r="H3696" s="14" t="s">
        <v>798</v>
      </c>
      <c r="I3696" s="15" t="s">
        <v>798</v>
      </c>
      <c r="J3696" s="12" t="s">
        <v>9441</v>
      </c>
      <c r="K3696" s="16" t="s">
        <v>3765</v>
      </c>
      <c r="L3696" s="12" t="s">
        <v>800</v>
      </c>
      <c r="M3696" s="16" t="s">
        <v>4726</v>
      </c>
      <c r="N3696" s="19" t="s">
        <v>798</v>
      </c>
      <c r="O3696" s="20" t="s">
        <v>798</v>
      </c>
      <c r="P3696" s="17" t="s">
        <v>802</v>
      </c>
      <c r="Q3696" s="21" t="s">
        <v>9317</v>
      </c>
      <c r="R3696" s="19" t="s">
        <v>798</v>
      </c>
      <c r="S3696" s="20" t="s">
        <v>798</v>
      </c>
      <c r="T3696" s="17" t="s">
        <v>798</v>
      </c>
      <c r="U3696" s="20" t="s">
        <v>798</v>
      </c>
      <c r="V3696" s="26" t="s">
        <v>798</v>
      </c>
      <c r="W3696" s="20" t="s">
        <v>798</v>
      </c>
      <c r="X3696" s="26" t="s">
        <v>798</v>
      </c>
      <c r="Y3696" s="20" t="s">
        <v>798</v>
      </c>
      <c r="Z3696" s="69" t="s">
        <v>9486</v>
      </c>
      <c r="AA3696" s="72" t="s">
        <v>9505</v>
      </c>
      <c r="AB3696" s="73" t="s">
        <v>9486</v>
      </c>
      <c r="AC3696" s="74" t="s">
        <v>9562</v>
      </c>
      <c r="AD3696" s="73" t="s">
        <v>9578</v>
      </c>
      <c r="AE3696" s="74" t="s">
        <v>9579</v>
      </c>
    </row>
    <row r="3697" spans="1:31" ht="8.65" customHeight="1" x14ac:dyDescent="0.2">
      <c r="A3697" s="76">
        <v>3697</v>
      </c>
      <c r="B3697" s="67" t="str">
        <f>MID(C3697, FIND("Ifc.", C3697) + 4, 4) &amp; "_" &amp; TEXT(COUNTIF($C$2:C3697, C3697),"0000")</f>
        <v>Quan_0005</v>
      </c>
      <c r="C3697" s="23" t="s">
        <v>878</v>
      </c>
      <c r="D3697" s="69" t="s">
        <v>9453</v>
      </c>
      <c r="E3697" s="70" t="s">
        <v>9460</v>
      </c>
      <c r="F3697" s="26" t="s">
        <v>798</v>
      </c>
      <c r="G3697" s="15" t="s">
        <v>798</v>
      </c>
      <c r="H3697" s="14" t="s">
        <v>798</v>
      </c>
      <c r="I3697" s="15" t="s">
        <v>798</v>
      </c>
      <c r="J3697" s="12" t="s">
        <v>9441</v>
      </c>
      <c r="K3697" s="16" t="s">
        <v>3766</v>
      </c>
      <c r="L3697" s="12" t="s">
        <v>800</v>
      </c>
      <c r="M3697" s="16" t="s">
        <v>4727</v>
      </c>
      <c r="N3697" s="19" t="s">
        <v>798</v>
      </c>
      <c r="O3697" s="20" t="s">
        <v>798</v>
      </c>
      <c r="P3697" s="17" t="s">
        <v>802</v>
      </c>
      <c r="Q3697" s="21" t="s">
        <v>9318</v>
      </c>
      <c r="R3697" s="19" t="s">
        <v>798</v>
      </c>
      <c r="S3697" s="20" t="s">
        <v>798</v>
      </c>
      <c r="T3697" s="17" t="s">
        <v>798</v>
      </c>
      <c r="U3697" s="20" t="s">
        <v>798</v>
      </c>
      <c r="V3697" s="26" t="s">
        <v>798</v>
      </c>
      <c r="W3697" s="20" t="s">
        <v>798</v>
      </c>
      <c r="X3697" s="26" t="s">
        <v>798</v>
      </c>
      <c r="Y3697" s="20" t="s">
        <v>798</v>
      </c>
      <c r="Z3697" s="69" t="s">
        <v>9486</v>
      </c>
      <c r="AA3697" s="72" t="s">
        <v>9505</v>
      </c>
      <c r="AB3697" s="73" t="s">
        <v>9486</v>
      </c>
      <c r="AC3697" s="74" t="s">
        <v>9562</v>
      </c>
      <c r="AD3697" s="73" t="s">
        <v>9578</v>
      </c>
      <c r="AE3697" s="74" t="s">
        <v>9579</v>
      </c>
    </row>
    <row r="3698" spans="1:31" ht="8.65" customHeight="1" x14ac:dyDescent="0.2">
      <c r="A3698" s="76">
        <v>3698</v>
      </c>
      <c r="B3698" s="67" t="str">
        <f>MID(C3698, FIND("Ifc.", C3698) + 4, 4) &amp; "_" &amp; TEXT(COUNTIF($C$2:C3698, C3698),"0000")</f>
        <v>Quan_0006</v>
      </c>
      <c r="C3698" s="23" t="s">
        <v>878</v>
      </c>
      <c r="D3698" s="69" t="s">
        <v>9453</v>
      </c>
      <c r="E3698" s="70" t="s">
        <v>9460</v>
      </c>
      <c r="F3698" s="26" t="s">
        <v>798</v>
      </c>
      <c r="G3698" s="15" t="s">
        <v>798</v>
      </c>
      <c r="H3698" s="14" t="s">
        <v>798</v>
      </c>
      <c r="I3698" s="15" t="s">
        <v>798</v>
      </c>
      <c r="J3698" s="12" t="s">
        <v>9441</v>
      </c>
      <c r="K3698" s="16" t="s">
        <v>3767</v>
      </c>
      <c r="L3698" s="12" t="s">
        <v>800</v>
      </c>
      <c r="M3698" s="16" t="s">
        <v>4728</v>
      </c>
      <c r="N3698" s="19" t="s">
        <v>798</v>
      </c>
      <c r="O3698" s="20" t="s">
        <v>798</v>
      </c>
      <c r="P3698" s="17" t="s">
        <v>802</v>
      </c>
      <c r="Q3698" s="21" t="s">
        <v>9319</v>
      </c>
      <c r="R3698" s="19" t="s">
        <v>798</v>
      </c>
      <c r="S3698" s="20" t="s">
        <v>798</v>
      </c>
      <c r="T3698" s="17" t="s">
        <v>798</v>
      </c>
      <c r="U3698" s="20" t="s">
        <v>798</v>
      </c>
      <c r="V3698" s="26" t="s">
        <v>798</v>
      </c>
      <c r="W3698" s="20" t="s">
        <v>798</v>
      </c>
      <c r="X3698" s="26" t="s">
        <v>798</v>
      </c>
      <c r="Y3698" s="20" t="s">
        <v>798</v>
      </c>
      <c r="Z3698" s="69" t="s">
        <v>9486</v>
      </c>
      <c r="AA3698" s="72" t="s">
        <v>9505</v>
      </c>
      <c r="AB3698" s="73" t="s">
        <v>9486</v>
      </c>
      <c r="AC3698" s="74" t="s">
        <v>9562</v>
      </c>
      <c r="AD3698" s="73" t="s">
        <v>9578</v>
      </c>
      <c r="AE3698" s="74" t="s">
        <v>9579</v>
      </c>
    </row>
    <row r="3699" spans="1:31" ht="8.65" customHeight="1" x14ac:dyDescent="0.2">
      <c r="A3699" s="76">
        <v>3699</v>
      </c>
      <c r="B3699" s="67" t="str">
        <f>MID(C3699, FIND("Ifc.", C3699) + 4, 4) &amp; "_" &amp; TEXT(COUNTIF($C$2:C3699, C3699),"0000")</f>
        <v>Quan_0007</v>
      </c>
      <c r="C3699" s="23" t="s">
        <v>878</v>
      </c>
      <c r="D3699" s="69" t="s">
        <v>9453</v>
      </c>
      <c r="E3699" s="70" t="s">
        <v>9460</v>
      </c>
      <c r="F3699" s="26" t="s">
        <v>798</v>
      </c>
      <c r="G3699" s="15" t="s">
        <v>798</v>
      </c>
      <c r="H3699" s="14" t="s">
        <v>798</v>
      </c>
      <c r="I3699" s="15" t="s">
        <v>798</v>
      </c>
      <c r="J3699" s="12" t="s">
        <v>9441</v>
      </c>
      <c r="K3699" s="16" t="s">
        <v>3768</v>
      </c>
      <c r="L3699" s="12" t="s">
        <v>800</v>
      </c>
      <c r="M3699" s="16" t="s">
        <v>4729</v>
      </c>
      <c r="N3699" s="19" t="s">
        <v>798</v>
      </c>
      <c r="O3699" s="20" t="s">
        <v>798</v>
      </c>
      <c r="P3699" s="17" t="s">
        <v>802</v>
      </c>
      <c r="Q3699" s="21" t="s">
        <v>9320</v>
      </c>
      <c r="R3699" s="19" t="s">
        <v>798</v>
      </c>
      <c r="S3699" s="20" t="s">
        <v>798</v>
      </c>
      <c r="T3699" s="17" t="s">
        <v>798</v>
      </c>
      <c r="U3699" s="20" t="s">
        <v>798</v>
      </c>
      <c r="V3699" s="26" t="s">
        <v>798</v>
      </c>
      <c r="W3699" s="20" t="s">
        <v>798</v>
      </c>
      <c r="X3699" s="26" t="s">
        <v>798</v>
      </c>
      <c r="Y3699" s="20" t="s">
        <v>798</v>
      </c>
      <c r="Z3699" s="69" t="s">
        <v>9486</v>
      </c>
      <c r="AA3699" s="72" t="s">
        <v>9505</v>
      </c>
      <c r="AB3699" s="73" t="s">
        <v>9486</v>
      </c>
      <c r="AC3699" s="74" t="s">
        <v>9562</v>
      </c>
      <c r="AD3699" s="73" t="s">
        <v>9578</v>
      </c>
      <c r="AE3699" s="74" t="s">
        <v>9579</v>
      </c>
    </row>
    <row r="3700" spans="1:31" ht="8.65" customHeight="1" x14ac:dyDescent="0.2">
      <c r="A3700" s="76">
        <v>3700</v>
      </c>
      <c r="B3700" s="67" t="str">
        <f>MID(C3700, FIND("Ifc.", C3700) + 4, 4) &amp; "_" &amp; TEXT(COUNTIF($C$2:C3700, C3700),"0000")</f>
        <v>Quan_0008</v>
      </c>
      <c r="C3700" s="23" t="s">
        <v>878</v>
      </c>
      <c r="D3700" s="69" t="s">
        <v>9453</v>
      </c>
      <c r="E3700" s="70" t="s">
        <v>9460</v>
      </c>
      <c r="F3700" s="26" t="s">
        <v>798</v>
      </c>
      <c r="G3700" s="15" t="s">
        <v>798</v>
      </c>
      <c r="H3700" s="14" t="s">
        <v>798</v>
      </c>
      <c r="I3700" s="15" t="s">
        <v>798</v>
      </c>
      <c r="J3700" s="12" t="s">
        <v>9441</v>
      </c>
      <c r="K3700" s="16" t="s">
        <v>3769</v>
      </c>
      <c r="L3700" s="12" t="s">
        <v>800</v>
      </c>
      <c r="M3700" s="16" t="s">
        <v>4730</v>
      </c>
      <c r="N3700" s="19" t="s">
        <v>798</v>
      </c>
      <c r="O3700" s="20" t="s">
        <v>798</v>
      </c>
      <c r="P3700" s="17" t="s">
        <v>802</v>
      </c>
      <c r="Q3700" s="21" t="s">
        <v>9321</v>
      </c>
      <c r="R3700" s="19" t="s">
        <v>798</v>
      </c>
      <c r="S3700" s="20" t="s">
        <v>798</v>
      </c>
      <c r="T3700" s="17" t="s">
        <v>798</v>
      </c>
      <c r="U3700" s="20" t="s">
        <v>798</v>
      </c>
      <c r="V3700" s="26" t="s">
        <v>798</v>
      </c>
      <c r="W3700" s="20" t="s">
        <v>798</v>
      </c>
      <c r="X3700" s="26" t="s">
        <v>798</v>
      </c>
      <c r="Y3700" s="20" t="s">
        <v>798</v>
      </c>
      <c r="Z3700" s="69" t="s">
        <v>9486</v>
      </c>
      <c r="AA3700" s="72" t="s">
        <v>9505</v>
      </c>
      <c r="AB3700" s="73" t="s">
        <v>9486</v>
      </c>
      <c r="AC3700" s="74" t="s">
        <v>9562</v>
      </c>
      <c r="AD3700" s="73" t="s">
        <v>9578</v>
      </c>
      <c r="AE3700" s="74" t="s">
        <v>9579</v>
      </c>
    </row>
    <row r="3701" spans="1:31" ht="8.65" customHeight="1" x14ac:dyDescent="0.2">
      <c r="A3701" s="76">
        <v>3701</v>
      </c>
      <c r="B3701" s="67" t="str">
        <f>MID(C3701, FIND("Ifc.", C3701) + 4, 4) &amp; "_" &amp; TEXT(COUNTIF($C$2:C3701, C3701),"0000")</f>
        <v>Quan_0009</v>
      </c>
      <c r="C3701" s="23" t="s">
        <v>878</v>
      </c>
      <c r="D3701" s="69" t="s">
        <v>9453</v>
      </c>
      <c r="E3701" s="70" t="s">
        <v>9460</v>
      </c>
      <c r="F3701" s="26" t="s">
        <v>798</v>
      </c>
      <c r="G3701" s="15" t="s">
        <v>798</v>
      </c>
      <c r="H3701" s="14" t="s">
        <v>798</v>
      </c>
      <c r="I3701" s="15" t="s">
        <v>798</v>
      </c>
      <c r="J3701" s="12" t="s">
        <v>9441</v>
      </c>
      <c r="K3701" s="16" t="s">
        <v>3770</v>
      </c>
      <c r="L3701" s="12" t="s">
        <v>800</v>
      </c>
      <c r="M3701" s="16" t="s">
        <v>4731</v>
      </c>
      <c r="N3701" s="19" t="s">
        <v>798</v>
      </c>
      <c r="O3701" s="20" t="s">
        <v>798</v>
      </c>
      <c r="P3701" s="17" t="s">
        <v>802</v>
      </c>
      <c r="Q3701" s="21" t="s">
        <v>9322</v>
      </c>
      <c r="R3701" s="19" t="s">
        <v>798</v>
      </c>
      <c r="S3701" s="20" t="s">
        <v>798</v>
      </c>
      <c r="T3701" s="17" t="s">
        <v>798</v>
      </c>
      <c r="U3701" s="20" t="s">
        <v>798</v>
      </c>
      <c r="V3701" s="26" t="s">
        <v>798</v>
      </c>
      <c r="W3701" s="20" t="s">
        <v>798</v>
      </c>
      <c r="X3701" s="26" t="s">
        <v>798</v>
      </c>
      <c r="Y3701" s="20" t="s">
        <v>798</v>
      </c>
      <c r="Z3701" s="69" t="s">
        <v>9486</v>
      </c>
      <c r="AA3701" s="72" t="s">
        <v>9505</v>
      </c>
      <c r="AB3701" s="73" t="s">
        <v>9486</v>
      </c>
      <c r="AC3701" s="74" t="s">
        <v>9562</v>
      </c>
      <c r="AD3701" s="73" t="s">
        <v>9578</v>
      </c>
      <c r="AE3701" s="74" t="s">
        <v>9579</v>
      </c>
    </row>
    <row r="3702" spans="1:31" ht="8.65" customHeight="1" x14ac:dyDescent="0.2">
      <c r="A3702" s="76">
        <v>3702</v>
      </c>
      <c r="B3702" s="67" t="str">
        <f>MID(C3702, FIND("Ifc.", C3702) + 4, 4) &amp; "_" &amp; TEXT(COUNTIF($C$2:C3702, C3702),"0000")</f>
        <v>Quan_0010</v>
      </c>
      <c r="C3702" s="23" t="s">
        <v>878</v>
      </c>
      <c r="D3702" s="69" t="s">
        <v>9453</v>
      </c>
      <c r="E3702" s="70" t="s">
        <v>9460</v>
      </c>
      <c r="F3702" s="26" t="s">
        <v>798</v>
      </c>
      <c r="G3702" s="15" t="s">
        <v>798</v>
      </c>
      <c r="H3702" s="14" t="s">
        <v>798</v>
      </c>
      <c r="I3702" s="15" t="s">
        <v>798</v>
      </c>
      <c r="J3702" s="12" t="s">
        <v>9441</v>
      </c>
      <c r="K3702" s="16" t="s">
        <v>3771</v>
      </c>
      <c r="L3702" s="12" t="s">
        <v>800</v>
      </c>
      <c r="M3702" s="16" t="s">
        <v>4732</v>
      </c>
      <c r="N3702" s="19" t="s">
        <v>798</v>
      </c>
      <c r="O3702" s="20" t="s">
        <v>798</v>
      </c>
      <c r="P3702" s="17" t="s">
        <v>802</v>
      </c>
      <c r="Q3702" s="21" t="s">
        <v>9323</v>
      </c>
      <c r="R3702" s="19" t="s">
        <v>798</v>
      </c>
      <c r="S3702" s="20" t="s">
        <v>798</v>
      </c>
      <c r="T3702" s="17" t="s">
        <v>798</v>
      </c>
      <c r="U3702" s="20" t="s">
        <v>798</v>
      </c>
      <c r="V3702" s="26" t="s">
        <v>798</v>
      </c>
      <c r="W3702" s="20" t="s">
        <v>798</v>
      </c>
      <c r="X3702" s="26" t="s">
        <v>798</v>
      </c>
      <c r="Y3702" s="20" t="s">
        <v>798</v>
      </c>
      <c r="Z3702" s="69" t="s">
        <v>9486</v>
      </c>
      <c r="AA3702" s="72" t="s">
        <v>9505</v>
      </c>
      <c r="AB3702" s="73" t="s">
        <v>9486</v>
      </c>
      <c r="AC3702" s="74" t="s">
        <v>9562</v>
      </c>
      <c r="AD3702" s="73" t="s">
        <v>9578</v>
      </c>
      <c r="AE3702" s="74" t="s">
        <v>9579</v>
      </c>
    </row>
    <row r="3703" spans="1:31" ht="8.65" customHeight="1" x14ac:dyDescent="0.2">
      <c r="A3703" s="76">
        <v>3703</v>
      </c>
      <c r="B3703" s="67" t="str">
        <f>MID(C3703, FIND("Ifc.", C3703) + 4, 4) &amp; "_" &amp; TEXT(COUNTIF($C$2:C3703, C3703),"0000")</f>
        <v>Quan_0011</v>
      </c>
      <c r="C3703" s="23" t="s">
        <v>878</v>
      </c>
      <c r="D3703" s="69" t="s">
        <v>9453</v>
      </c>
      <c r="E3703" s="70" t="s">
        <v>9460</v>
      </c>
      <c r="F3703" s="26" t="s">
        <v>798</v>
      </c>
      <c r="G3703" s="15" t="s">
        <v>798</v>
      </c>
      <c r="H3703" s="14" t="s">
        <v>798</v>
      </c>
      <c r="I3703" s="15" t="s">
        <v>798</v>
      </c>
      <c r="J3703" s="12" t="s">
        <v>9441</v>
      </c>
      <c r="K3703" s="16" t="s">
        <v>3772</v>
      </c>
      <c r="L3703" s="12" t="s">
        <v>800</v>
      </c>
      <c r="M3703" s="16" t="s">
        <v>4733</v>
      </c>
      <c r="N3703" s="19" t="s">
        <v>798</v>
      </c>
      <c r="O3703" s="20" t="s">
        <v>798</v>
      </c>
      <c r="P3703" s="17" t="s">
        <v>802</v>
      </c>
      <c r="Q3703" s="21" t="s">
        <v>9324</v>
      </c>
      <c r="R3703" s="19" t="s">
        <v>798</v>
      </c>
      <c r="S3703" s="20" t="s">
        <v>798</v>
      </c>
      <c r="T3703" s="17" t="s">
        <v>798</v>
      </c>
      <c r="U3703" s="20" t="s">
        <v>798</v>
      </c>
      <c r="V3703" s="26" t="s">
        <v>798</v>
      </c>
      <c r="W3703" s="20" t="s">
        <v>798</v>
      </c>
      <c r="X3703" s="26" t="s">
        <v>798</v>
      </c>
      <c r="Y3703" s="20" t="s">
        <v>798</v>
      </c>
      <c r="Z3703" s="69" t="s">
        <v>9486</v>
      </c>
      <c r="AA3703" s="72" t="s">
        <v>9505</v>
      </c>
      <c r="AB3703" s="73" t="s">
        <v>9486</v>
      </c>
      <c r="AC3703" s="74" t="s">
        <v>9562</v>
      </c>
      <c r="AD3703" s="73" t="s">
        <v>9578</v>
      </c>
      <c r="AE3703" s="74" t="s">
        <v>9579</v>
      </c>
    </row>
    <row r="3704" spans="1:31" ht="8.65" customHeight="1" x14ac:dyDescent="0.2">
      <c r="A3704" s="76">
        <v>3704</v>
      </c>
      <c r="B3704" s="67" t="str">
        <f>MID(C3704, FIND("Ifc.", C3704) + 4, 4) &amp; "_" &amp; TEXT(COUNTIF($C$2:C3704, C3704),"0000")</f>
        <v>Quan_0012</v>
      </c>
      <c r="C3704" s="23" t="s">
        <v>878</v>
      </c>
      <c r="D3704" s="69" t="s">
        <v>9453</v>
      </c>
      <c r="E3704" s="70" t="s">
        <v>9460</v>
      </c>
      <c r="F3704" s="26" t="s">
        <v>798</v>
      </c>
      <c r="G3704" s="15" t="s">
        <v>798</v>
      </c>
      <c r="H3704" s="14" t="s">
        <v>798</v>
      </c>
      <c r="I3704" s="15" t="s">
        <v>798</v>
      </c>
      <c r="J3704" s="12" t="s">
        <v>9441</v>
      </c>
      <c r="K3704" s="16" t="s">
        <v>3773</v>
      </c>
      <c r="L3704" s="12" t="s">
        <v>800</v>
      </c>
      <c r="M3704" s="16" t="s">
        <v>4734</v>
      </c>
      <c r="N3704" s="19" t="s">
        <v>798</v>
      </c>
      <c r="O3704" s="20" t="s">
        <v>798</v>
      </c>
      <c r="P3704" s="17" t="s">
        <v>802</v>
      </c>
      <c r="Q3704" s="21" t="s">
        <v>9325</v>
      </c>
      <c r="R3704" s="19" t="s">
        <v>798</v>
      </c>
      <c r="S3704" s="20" t="s">
        <v>798</v>
      </c>
      <c r="T3704" s="17" t="s">
        <v>798</v>
      </c>
      <c r="U3704" s="20" t="s">
        <v>798</v>
      </c>
      <c r="V3704" s="26" t="s">
        <v>798</v>
      </c>
      <c r="W3704" s="20" t="s">
        <v>798</v>
      </c>
      <c r="X3704" s="26" t="s">
        <v>798</v>
      </c>
      <c r="Y3704" s="20" t="s">
        <v>798</v>
      </c>
      <c r="Z3704" s="69" t="s">
        <v>9486</v>
      </c>
      <c r="AA3704" s="72" t="s">
        <v>9505</v>
      </c>
      <c r="AB3704" s="73" t="s">
        <v>9486</v>
      </c>
      <c r="AC3704" s="74" t="s">
        <v>9562</v>
      </c>
      <c r="AD3704" s="73" t="s">
        <v>9578</v>
      </c>
      <c r="AE3704" s="74" t="s">
        <v>9579</v>
      </c>
    </row>
    <row r="3705" spans="1:31" ht="8.65" customHeight="1" x14ac:dyDescent="0.2">
      <c r="A3705" s="76">
        <v>3705</v>
      </c>
      <c r="B3705" s="67" t="str">
        <f>MID(C3705, FIND("Ifc.", C3705) + 4, 4) &amp; "_" &amp; TEXT(COUNTIF($C$2:C3705, C3705),"0000")</f>
        <v>Quan_0013</v>
      </c>
      <c r="C3705" s="23" t="s">
        <v>878</v>
      </c>
      <c r="D3705" s="69" t="s">
        <v>9453</v>
      </c>
      <c r="E3705" s="70" t="s">
        <v>9460</v>
      </c>
      <c r="F3705" s="26" t="s">
        <v>798</v>
      </c>
      <c r="G3705" s="15" t="s">
        <v>798</v>
      </c>
      <c r="H3705" s="14" t="s">
        <v>798</v>
      </c>
      <c r="I3705" s="15" t="s">
        <v>798</v>
      </c>
      <c r="J3705" s="12" t="s">
        <v>9441</v>
      </c>
      <c r="K3705" s="16" t="s">
        <v>3774</v>
      </c>
      <c r="L3705" s="12" t="s">
        <v>800</v>
      </c>
      <c r="M3705" s="16" t="s">
        <v>4735</v>
      </c>
      <c r="N3705" s="19" t="s">
        <v>798</v>
      </c>
      <c r="O3705" s="20" t="s">
        <v>798</v>
      </c>
      <c r="P3705" s="17" t="s">
        <v>802</v>
      </c>
      <c r="Q3705" s="21" t="s">
        <v>9326</v>
      </c>
      <c r="R3705" s="19" t="s">
        <v>798</v>
      </c>
      <c r="S3705" s="20" t="s">
        <v>798</v>
      </c>
      <c r="T3705" s="17" t="s">
        <v>798</v>
      </c>
      <c r="U3705" s="20" t="s">
        <v>798</v>
      </c>
      <c r="V3705" s="26" t="s">
        <v>798</v>
      </c>
      <c r="W3705" s="20" t="s">
        <v>798</v>
      </c>
      <c r="X3705" s="26" t="s">
        <v>798</v>
      </c>
      <c r="Y3705" s="20" t="s">
        <v>798</v>
      </c>
      <c r="Z3705" s="69" t="s">
        <v>9486</v>
      </c>
      <c r="AA3705" s="72" t="s">
        <v>9505</v>
      </c>
      <c r="AB3705" s="73" t="s">
        <v>9486</v>
      </c>
      <c r="AC3705" s="74" t="s">
        <v>9562</v>
      </c>
      <c r="AD3705" s="73" t="s">
        <v>9578</v>
      </c>
      <c r="AE3705" s="74" t="s">
        <v>9579</v>
      </c>
    </row>
    <row r="3706" spans="1:31" ht="8.65" customHeight="1" x14ac:dyDescent="0.2">
      <c r="A3706" s="76">
        <v>3706</v>
      </c>
      <c r="B3706" s="67" t="str">
        <f>MID(C3706, FIND("Ifc.", C3706) + 4, 4) &amp; "_" &amp; TEXT(COUNTIF($C$2:C3706, C3706),"0000")</f>
        <v>Quan_0014</v>
      </c>
      <c r="C3706" s="23" t="s">
        <v>878</v>
      </c>
      <c r="D3706" s="69" t="s">
        <v>9453</v>
      </c>
      <c r="E3706" s="70" t="s">
        <v>9460</v>
      </c>
      <c r="F3706" s="26" t="s">
        <v>798</v>
      </c>
      <c r="G3706" s="15" t="s">
        <v>798</v>
      </c>
      <c r="H3706" s="14" t="s">
        <v>798</v>
      </c>
      <c r="I3706" s="15" t="s">
        <v>798</v>
      </c>
      <c r="J3706" s="12" t="s">
        <v>9441</v>
      </c>
      <c r="K3706" s="16" t="s">
        <v>3775</v>
      </c>
      <c r="L3706" s="12" t="s">
        <v>800</v>
      </c>
      <c r="M3706" s="16" t="s">
        <v>4736</v>
      </c>
      <c r="N3706" s="19" t="s">
        <v>798</v>
      </c>
      <c r="O3706" s="20" t="s">
        <v>798</v>
      </c>
      <c r="P3706" s="17" t="s">
        <v>802</v>
      </c>
      <c r="Q3706" s="21" t="s">
        <v>9327</v>
      </c>
      <c r="R3706" s="19" t="s">
        <v>798</v>
      </c>
      <c r="S3706" s="20" t="s">
        <v>798</v>
      </c>
      <c r="T3706" s="17" t="s">
        <v>798</v>
      </c>
      <c r="U3706" s="20" t="s">
        <v>798</v>
      </c>
      <c r="V3706" s="26" t="s">
        <v>798</v>
      </c>
      <c r="W3706" s="20" t="s">
        <v>798</v>
      </c>
      <c r="X3706" s="26" t="s">
        <v>798</v>
      </c>
      <c r="Y3706" s="20" t="s">
        <v>798</v>
      </c>
      <c r="Z3706" s="69" t="s">
        <v>9486</v>
      </c>
      <c r="AA3706" s="72" t="s">
        <v>9505</v>
      </c>
      <c r="AB3706" s="73" t="s">
        <v>9486</v>
      </c>
      <c r="AC3706" s="74" t="s">
        <v>9562</v>
      </c>
      <c r="AD3706" s="73" t="s">
        <v>9578</v>
      </c>
      <c r="AE3706" s="74" t="s">
        <v>9579</v>
      </c>
    </row>
    <row r="3707" spans="1:31" ht="8.65" customHeight="1" x14ac:dyDescent="0.2">
      <c r="A3707" s="76">
        <v>3707</v>
      </c>
      <c r="B3707" s="67" t="str">
        <f>MID(C3707, FIND("Ifc.", C3707) + 4, 4) &amp; "_" &amp; TEXT(COUNTIF($C$2:C3707, C3707),"0000")</f>
        <v>Quan_0015</v>
      </c>
      <c r="C3707" s="23" t="s">
        <v>878</v>
      </c>
      <c r="D3707" s="69" t="s">
        <v>9453</v>
      </c>
      <c r="E3707" s="70" t="s">
        <v>9460</v>
      </c>
      <c r="F3707" s="26" t="s">
        <v>798</v>
      </c>
      <c r="G3707" s="15" t="s">
        <v>798</v>
      </c>
      <c r="H3707" s="14" t="s">
        <v>798</v>
      </c>
      <c r="I3707" s="15" t="s">
        <v>798</v>
      </c>
      <c r="J3707" s="12" t="s">
        <v>9441</v>
      </c>
      <c r="K3707" s="16" t="s">
        <v>3776</v>
      </c>
      <c r="L3707" s="12" t="s">
        <v>800</v>
      </c>
      <c r="M3707" s="16" t="s">
        <v>4737</v>
      </c>
      <c r="N3707" s="19" t="s">
        <v>798</v>
      </c>
      <c r="O3707" s="20" t="s">
        <v>798</v>
      </c>
      <c r="P3707" s="17" t="s">
        <v>802</v>
      </c>
      <c r="Q3707" s="21" t="s">
        <v>9328</v>
      </c>
      <c r="R3707" s="19" t="s">
        <v>798</v>
      </c>
      <c r="S3707" s="20" t="s">
        <v>798</v>
      </c>
      <c r="T3707" s="17" t="s">
        <v>798</v>
      </c>
      <c r="U3707" s="20" t="s">
        <v>798</v>
      </c>
      <c r="V3707" s="26" t="s">
        <v>798</v>
      </c>
      <c r="W3707" s="20" t="s">
        <v>798</v>
      </c>
      <c r="X3707" s="26" t="s">
        <v>798</v>
      </c>
      <c r="Y3707" s="20" t="s">
        <v>798</v>
      </c>
      <c r="Z3707" s="69" t="s">
        <v>9486</v>
      </c>
      <c r="AA3707" s="72" t="s">
        <v>9505</v>
      </c>
      <c r="AB3707" s="73" t="s">
        <v>9486</v>
      </c>
      <c r="AC3707" s="74" t="s">
        <v>9562</v>
      </c>
      <c r="AD3707" s="73" t="s">
        <v>9578</v>
      </c>
      <c r="AE3707" s="74" t="s">
        <v>9572</v>
      </c>
    </row>
    <row r="3708" spans="1:31" ht="8.65" customHeight="1" x14ac:dyDescent="0.2">
      <c r="A3708" s="76">
        <v>3708</v>
      </c>
      <c r="B3708" s="67" t="str">
        <f>MID(C3708, FIND("Ifc.", C3708) + 4, 4) &amp; "_" &amp; TEXT(COUNTIF($C$2:C3708, C3708),"0000")</f>
        <v>Quan_0016</v>
      </c>
      <c r="C3708" s="23" t="s">
        <v>878</v>
      </c>
      <c r="D3708" s="69" t="s">
        <v>9453</v>
      </c>
      <c r="E3708" s="70" t="s">
        <v>9460</v>
      </c>
      <c r="F3708" s="26" t="s">
        <v>798</v>
      </c>
      <c r="G3708" s="15" t="s">
        <v>798</v>
      </c>
      <c r="H3708" s="14" t="s">
        <v>798</v>
      </c>
      <c r="I3708" s="15" t="s">
        <v>798</v>
      </c>
      <c r="J3708" s="12" t="s">
        <v>9441</v>
      </c>
      <c r="K3708" s="16" t="s">
        <v>3777</v>
      </c>
      <c r="L3708" s="12" t="s">
        <v>800</v>
      </c>
      <c r="M3708" s="16" t="s">
        <v>4738</v>
      </c>
      <c r="N3708" s="19" t="s">
        <v>798</v>
      </c>
      <c r="O3708" s="20" t="s">
        <v>798</v>
      </c>
      <c r="P3708" s="17" t="s">
        <v>802</v>
      </c>
      <c r="Q3708" s="21" t="s">
        <v>9329</v>
      </c>
      <c r="R3708" s="19" t="s">
        <v>798</v>
      </c>
      <c r="S3708" s="20" t="s">
        <v>798</v>
      </c>
      <c r="T3708" s="17" t="s">
        <v>798</v>
      </c>
      <c r="U3708" s="20" t="s">
        <v>798</v>
      </c>
      <c r="V3708" s="26" t="s">
        <v>798</v>
      </c>
      <c r="W3708" s="20" t="s">
        <v>798</v>
      </c>
      <c r="X3708" s="26" t="s">
        <v>798</v>
      </c>
      <c r="Y3708" s="20" t="s">
        <v>798</v>
      </c>
      <c r="Z3708" s="69" t="s">
        <v>9486</v>
      </c>
      <c r="AA3708" s="72" t="s">
        <v>9505</v>
      </c>
      <c r="AB3708" s="73" t="s">
        <v>9486</v>
      </c>
      <c r="AC3708" s="74" t="s">
        <v>9562</v>
      </c>
      <c r="AD3708" s="73" t="s">
        <v>9578</v>
      </c>
      <c r="AE3708" s="74" t="s">
        <v>9572</v>
      </c>
    </row>
    <row r="3709" spans="1:31" ht="8.65" customHeight="1" x14ac:dyDescent="0.2">
      <c r="A3709" s="76">
        <v>3709</v>
      </c>
      <c r="B3709" s="67" t="str">
        <f>MID(C3709, FIND("Ifc.", C3709) + 4, 4) &amp; "_" &amp; TEXT(COUNTIF($C$2:C3709, C3709),"0000")</f>
        <v>Quan_0017</v>
      </c>
      <c r="C3709" s="23" t="s">
        <v>878</v>
      </c>
      <c r="D3709" s="69" t="s">
        <v>9453</v>
      </c>
      <c r="E3709" s="70" t="s">
        <v>9460</v>
      </c>
      <c r="F3709" s="26" t="s">
        <v>798</v>
      </c>
      <c r="G3709" s="15" t="s">
        <v>798</v>
      </c>
      <c r="H3709" s="14" t="s">
        <v>798</v>
      </c>
      <c r="I3709" s="15" t="s">
        <v>798</v>
      </c>
      <c r="J3709" s="12" t="s">
        <v>9441</v>
      </c>
      <c r="K3709" s="16" t="s">
        <v>3778</v>
      </c>
      <c r="L3709" s="12" t="s">
        <v>800</v>
      </c>
      <c r="M3709" s="16" t="s">
        <v>4739</v>
      </c>
      <c r="N3709" s="19" t="s">
        <v>798</v>
      </c>
      <c r="O3709" s="20" t="s">
        <v>798</v>
      </c>
      <c r="P3709" s="17" t="s">
        <v>802</v>
      </c>
      <c r="Q3709" s="21" t="s">
        <v>9330</v>
      </c>
      <c r="R3709" s="19" t="s">
        <v>798</v>
      </c>
      <c r="S3709" s="20" t="s">
        <v>798</v>
      </c>
      <c r="T3709" s="17" t="s">
        <v>798</v>
      </c>
      <c r="U3709" s="20" t="s">
        <v>798</v>
      </c>
      <c r="V3709" s="26" t="s">
        <v>798</v>
      </c>
      <c r="W3709" s="20" t="s">
        <v>798</v>
      </c>
      <c r="X3709" s="26" t="s">
        <v>798</v>
      </c>
      <c r="Y3709" s="20" t="s">
        <v>798</v>
      </c>
      <c r="Z3709" s="69" t="s">
        <v>9486</v>
      </c>
      <c r="AA3709" s="72" t="s">
        <v>9505</v>
      </c>
      <c r="AB3709" s="73" t="s">
        <v>9486</v>
      </c>
      <c r="AC3709" s="74" t="s">
        <v>9562</v>
      </c>
      <c r="AD3709" s="73" t="s">
        <v>9578</v>
      </c>
      <c r="AE3709" s="74" t="s">
        <v>9572</v>
      </c>
    </row>
    <row r="3710" spans="1:31" ht="8.65" customHeight="1" x14ac:dyDescent="0.2">
      <c r="A3710" s="76">
        <v>3710</v>
      </c>
      <c r="B3710" s="67" t="str">
        <f>MID(C3710, FIND("Ifc.", C3710) + 4, 4) &amp; "_" &amp; TEXT(COUNTIF($C$2:C3710, C3710),"0000")</f>
        <v>Quan_0018</v>
      </c>
      <c r="C3710" s="23" t="s">
        <v>878</v>
      </c>
      <c r="D3710" s="69" t="s">
        <v>9453</v>
      </c>
      <c r="E3710" s="70" t="s">
        <v>9460</v>
      </c>
      <c r="F3710" s="26" t="s">
        <v>798</v>
      </c>
      <c r="G3710" s="15" t="s">
        <v>798</v>
      </c>
      <c r="H3710" s="14" t="s">
        <v>798</v>
      </c>
      <c r="I3710" s="15" t="s">
        <v>798</v>
      </c>
      <c r="J3710" s="12" t="s">
        <v>9441</v>
      </c>
      <c r="K3710" s="16" t="s">
        <v>3779</v>
      </c>
      <c r="L3710" s="12" t="s">
        <v>800</v>
      </c>
      <c r="M3710" s="16" t="s">
        <v>4740</v>
      </c>
      <c r="N3710" s="19" t="s">
        <v>798</v>
      </c>
      <c r="O3710" s="20" t="s">
        <v>798</v>
      </c>
      <c r="P3710" s="17" t="s">
        <v>802</v>
      </c>
      <c r="Q3710" s="21" t="s">
        <v>9331</v>
      </c>
      <c r="R3710" s="19" t="s">
        <v>798</v>
      </c>
      <c r="S3710" s="20" t="s">
        <v>798</v>
      </c>
      <c r="T3710" s="17" t="s">
        <v>798</v>
      </c>
      <c r="U3710" s="20" t="s">
        <v>798</v>
      </c>
      <c r="V3710" s="26" t="s">
        <v>798</v>
      </c>
      <c r="W3710" s="20" t="s">
        <v>798</v>
      </c>
      <c r="X3710" s="26" t="s">
        <v>798</v>
      </c>
      <c r="Y3710" s="20" t="s">
        <v>798</v>
      </c>
      <c r="Z3710" s="69" t="s">
        <v>9486</v>
      </c>
      <c r="AA3710" s="72" t="s">
        <v>9505</v>
      </c>
      <c r="AB3710" s="73" t="s">
        <v>9486</v>
      </c>
      <c r="AC3710" s="74" t="s">
        <v>9562</v>
      </c>
      <c r="AD3710" s="73" t="s">
        <v>9578</v>
      </c>
      <c r="AE3710" s="74" t="s">
        <v>9667</v>
      </c>
    </row>
    <row r="3711" spans="1:31" ht="8.65" customHeight="1" x14ac:dyDescent="0.2">
      <c r="A3711" s="76">
        <v>3711</v>
      </c>
      <c r="B3711" s="67" t="str">
        <f>MID(C3711, FIND("Ifc.", C3711) + 4, 4) &amp; "_" &amp; TEXT(COUNTIF($C$2:C3711, C3711),"0000")</f>
        <v>Quan_0019</v>
      </c>
      <c r="C3711" s="23" t="s">
        <v>878</v>
      </c>
      <c r="D3711" s="69" t="s">
        <v>9453</v>
      </c>
      <c r="E3711" s="70" t="s">
        <v>9460</v>
      </c>
      <c r="F3711" s="26" t="s">
        <v>798</v>
      </c>
      <c r="G3711" s="15" t="s">
        <v>798</v>
      </c>
      <c r="H3711" s="14" t="s">
        <v>798</v>
      </c>
      <c r="I3711" s="15" t="s">
        <v>798</v>
      </c>
      <c r="J3711" s="12" t="s">
        <v>9441</v>
      </c>
      <c r="K3711" s="16" t="s">
        <v>3780</v>
      </c>
      <c r="L3711" s="12" t="s">
        <v>800</v>
      </c>
      <c r="M3711" s="16" t="s">
        <v>4741</v>
      </c>
      <c r="N3711" s="19" t="s">
        <v>798</v>
      </c>
      <c r="O3711" s="20" t="s">
        <v>798</v>
      </c>
      <c r="P3711" s="17" t="s">
        <v>802</v>
      </c>
      <c r="Q3711" s="21" t="s">
        <v>9332</v>
      </c>
      <c r="R3711" s="19" t="s">
        <v>798</v>
      </c>
      <c r="S3711" s="20" t="s">
        <v>798</v>
      </c>
      <c r="T3711" s="17" t="s">
        <v>798</v>
      </c>
      <c r="U3711" s="20" t="s">
        <v>798</v>
      </c>
      <c r="V3711" s="26" t="s">
        <v>798</v>
      </c>
      <c r="W3711" s="20" t="s">
        <v>798</v>
      </c>
      <c r="X3711" s="26" t="s">
        <v>798</v>
      </c>
      <c r="Y3711" s="20" t="s">
        <v>798</v>
      </c>
      <c r="Z3711" s="69" t="s">
        <v>9486</v>
      </c>
      <c r="AA3711" s="72" t="s">
        <v>9505</v>
      </c>
      <c r="AB3711" s="73" t="s">
        <v>9486</v>
      </c>
      <c r="AC3711" s="74" t="s">
        <v>9562</v>
      </c>
      <c r="AD3711" s="73" t="s">
        <v>9578</v>
      </c>
      <c r="AE3711" s="74" t="s">
        <v>9579</v>
      </c>
    </row>
    <row r="3712" spans="1:31" ht="8.65" customHeight="1" x14ac:dyDescent="0.2">
      <c r="A3712" s="76">
        <v>3712</v>
      </c>
      <c r="B3712" s="67" t="str">
        <f>MID(C3712, FIND("Ifc.", C3712) + 4, 4) &amp; "_" &amp; TEXT(COUNTIF($C$2:C3712, C3712),"0000")</f>
        <v>Quan_0020</v>
      </c>
      <c r="C3712" s="23" t="s">
        <v>878</v>
      </c>
      <c r="D3712" s="69" t="s">
        <v>9453</v>
      </c>
      <c r="E3712" s="70" t="s">
        <v>9460</v>
      </c>
      <c r="F3712" s="26" t="s">
        <v>798</v>
      </c>
      <c r="G3712" s="15" t="s">
        <v>798</v>
      </c>
      <c r="H3712" s="14" t="s">
        <v>798</v>
      </c>
      <c r="I3712" s="15" t="s">
        <v>798</v>
      </c>
      <c r="J3712" s="12" t="s">
        <v>9441</v>
      </c>
      <c r="K3712" s="16" t="s">
        <v>3781</v>
      </c>
      <c r="L3712" s="12" t="s">
        <v>800</v>
      </c>
      <c r="M3712" s="16" t="s">
        <v>4742</v>
      </c>
      <c r="N3712" s="19" t="s">
        <v>798</v>
      </c>
      <c r="O3712" s="20" t="s">
        <v>798</v>
      </c>
      <c r="P3712" s="17" t="s">
        <v>802</v>
      </c>
      <c r="Q3712" s="21" t="s">
        <v>9333</v>
      </c>
      <c r="R3712" s="19" t="s">
        <v>798</v>
      </c>
      <c r="S3712" s="20" t="s">
        <v>798</v>
      </c>
      <c r="T3712" s="17" t="s">
        <v>798</v>
      </c>
      <c r="U3712" s="20" t="s">
        <v>798</v>
      </c>
      <c r="V3712" s="26" t="s">
        <v>798</v>
      </c>
      <c r="W3712" s="20" t="s">
        <v>798</v>
      </c>
      <c r="X3712" s="26" t="s">
        <v>798</v>
      </c>
      <c r="Y3712" s="20" t="s">
        <v>798</v>
      </c>
      <c r="Z3712" s="69" t="s">
        <v>9486</v>
      </c>
      <c r="AA3712" s="72" t="s">
        <v>9505</v>
      </c>
      <c r="AB3712" s="73" t="s">
        <v>9486</v>
      </c>
      <c r="AC3712" s="74" t="s">
        <v>9562</v>
      </c>
      <c r="AD3712" s="73" t="s">
        <v>9578</v>
      </c>
      <c r="AE3712" s="74" t="s">
        <v>9579</v>
      </c>
    </row>
    <row r="3713" spans="1:31" ht="8.65" customHeight="1" x14ac:dyDescent="0.2">
      <c r="A3713" s="76">
        <v>3713</v>
      </c>
      <c r="B3713" s="67" t="str">
        <f>MID(C3713, FIND("Ifc.", C3713) + 4, 4) &amp; "_" &amp; TEXT(COUNTIF($C$2:C3713, C3713),"0000")</f>
        <v>Quan_0021</v>
      </c>
      <c r="C3713" s="23" t="s">
        <v>878</v>
      </c>
      <c r="D3713" s="69" t="s">
        <v>9453</v>
      </c>
      <c r="E3713" s="70" t="s">
        <v>9460</v>
      </c>
      <c r="F3713" s="26" t="s">
        <v>798</v>
      </c>
      <c r="G3713" s="15" t="s">
        <v>798</v>
      </c>
      <c r="H3713" s="14" t="s">
        <v>798</v>
      </c>
      <c r="I3713" s="15" t="s">
        <v>798</v>
      </c>
      <c r="J3713" s="12" t="s">
        <v>9441</v>
      </c>
      <c r="K3713" s="16" t="s">
        <v>3782</v>
      </c>
      <c r="L3713" s="12" t="s">
        <v>800</v>
      </c>
      <c r="M3713" s="16" t="s">
        <v>4743</v>
      </c>
      <c r="N3713" s="19" t="s">
        <v>798</v>
      </c>
      <c r="O3713" s="20" t="s">
        <v>798</v>
      </c>
      <c r="P3713" s="17" t="s">
        <v>802</v>
      </c>
      <c r="Q3713" s="21" t="s">
        <v>9334</v>
      </c>
      <c r="R3713" s="19" t="s">
        <v>798</v>
      </c>
      <c r="S3713" s="20" t="s">
        <v>798</v>
      </c>
      <c r="T3713" s="17" t="s">
        <v>798</v>
      </c>
      <c r="U3713" s="20" t="s">
        <v>798</v>
      </c>
      <c r="V3713" s="26" t="s">
        <v>798</v>
      </c>
      <c r="W3713" s="20" t="s">
        <v>798</v>
      </c>
      <c r="X3713" s="26" t="s">
        <v>798</v>
      </c>
      <c r="Y3713" s="20" t="s">
        <v>798</v>
      </c>
      <c r="Z3713" s="69" t="s">
        <v>9486</v>
      </c>
      <c r="AA3713" s="72" t="s">
        <v>9505</v>
      </c>
      <c r="AB3713" s="73" t="s">
        <v>9486</v>
      </c>
      <c r="AC3713" s="74" t="s">
        <v>9562</v>
      </c>
      <c r="AD3713" s="73" t="s">
        <v>9578</v>
      </c>
      <c r="AE3713" s="74" t="s">
        <v>9666</v>
      </c>
    </row>
    <row r="3714" spans="1:31" ht="8.65" customHeight="1" x14ac:dyDescent="0.2">
      <c r="A3714" s="76">
        <v>3714</v>
      </c>
      <c r="B3714" s="67" t="str">
        <f>MID(C3714, FIND("Ifc.", C3714) + 4, 4) &amp; "_" &amp; TEXT(COUNTIF($C$2:C3714, C3714),"0000")</f>
        <v>Quan_0022</v>
      </c>
      <c r="C3714" s="23" t="s">
        <v>878</v>
      </c>
      <c r="D3714" s="69" t="s">
        <v>9453</v>
      </c>
      <c r="E3714" s="70" t="s">
        <v>9460</v>
      </c>
      <c r="F3714" s="26" t="s">
        <v>798</v>
      </c>
      <c r="G3714" s="15" t="s">
        <v>798</v>
      </c>
      <c r="H3714" s="14" t="s">
        <v>798</v>
      </c>
      <c r="I3714" s="15" t="s">
        <v>798</v>
      </c>
      <c r="J3714" s="12" t="s">
        <v>9441</v>
      </c>
      <c r="K3714" s="16" t="s">
        <v>3783</v>
      </c>
      <c r="L3714" s="12" t="s">
        <v>800</v>
      </c>
      <c r="M3714" s="16" t="s">
        <v>4744</v>
      </c>
      <c r="N3714" s="19" t="s">
        <v>798</v>
      </c>
      <c r="O3714" s="20" t="s">
        <v>798</v>
      </c>
      <c r="P3714" s="17" t="s">
        <v>802</v>
      </c>
      <c r="Q3714" s="21" t="s">
        <v>9335</v>
      </c>
      <c r="R3714" s="19" t="s">
        <v>798</v>
      </c>
      <c r="S3714" s="20" t="s">
        <v>798</v>
      </c>
      <c r="T3714" s="17" t="s">
        <v>798</v>
      </c>
      <c r="U3714" s="20" t="s">
        <v>798</v>
      </c>
      <c r="V3714" s="26" t="s">
        <v>798</v>
      </c>
      <c r="W3714" s="20" t="s">
        <v>798</v>
      </c>
      <c r="X3714" s="26" t="s">
        <v>798</v>
      </c>
      <c r="Y3714" s="20" t="s">
        <v>798</v>
      </c>
      <c r="Z3714" s="69" t="s">
        <v>9486</v>
      </c>
      <c r="AA3714" s="72" t="s">
        <v>9505</v>
      </c>
      <c r="AB3714" s="73" t="s">
        <v>9486</v>
      </c>
      <c r="AC3714" s="74" t="s">
        <v>9562</v>
      </c>
      <c r="AD3714" s="73" t="s">
        <v>9578</v>
      </c>
      <c r="AE3714" s="74" t="s">
        <v>9665</v>
      </c>
    </row>
    <row r="3715" spans="1:31" ht="8.65" customHeight="1" x14ac:dyDescent="0.2">
      <c r="A3715" s="76">
        <v>3715</v>
      </c>
      <c r="B3715" s="67" t="str">
        <f>MID(C3715, FIND("Ifc.", C3715) + 4, 4) &amp; "_" &amp; TEXT(COUNTIF($C$2:C3715, C3715),"0000")</f>
        <v>Quan_0023</v>
      </c>
      <c r="C3715" s="23" t="s">
        <v>878</v>
      </c>
      <c r="D3715" s="69" t="s">
        <v>9453</v>
      </c>
      <c r="E3715" s="70" t="s">
        <v>9460</v>
      </c>
      <c r="F3715" s="26" t="s">
        <v>798</v>
      </c>
      <c r="G3715" s="15" t="s">
        <v>798</v>
      </c>
      <c r="H3715" s="14" t="s">
        <v>798</v>
      </c>
      <c r="I3715" s="15" t="s">
        <v>798</v>
      </c>
      <c r="J3715" s="12" t="s">
        <v>9441</v>
      </c>
      <c r="K3715" s="16" t="s">
        <v>3784</v>
      </c>
      <c r="L3715" s="12" t="s">
        <v>800</v>
      </c>
      <c r="M3715" s="16" t="s">
        <v>4745</v>
      </c>
      <c r="N3715" s="19" t="s">
        <v>798</v>
      </c>
      <c r="O3715" s="20" t="s">
        <v>798</v>
      </c>
      <c r="P3715" s="17" t="s">
        <v>802</v>
      </c>
      <c r="Q3715" s="21" t="s">
        <v>9336</v>
      </c>
      <c r="R3715" s="19" t="s">
        <v>798</v>
      </c>
      <c r="S3715" s="20" t="s">
        <v>798</v>
      </c>
      <c r="T3715" s="17" t="s">
        <v>798</v>
      </c>
      <c r="U3715" s="20" t="s">
        <v>798</v>
      </c>
      <c r="V3715" s="26" t="s">
        <v>798</v>
      </c>
      <c r="W3715" s="20" t="s">
        <v>798</v>
      </c>
      <c r="X3715" s="26" t="s">
        <v>798</v>
      </c>
      <c r="Y3715" s="20" t="s">
        <v>798</v>
      </c>
      <c r="Z3715" s="69" t="s">
        <v>9486</v>
      </c>
      <c r="AA3715" s="72" t="s">
        <v>9505</v>
      </c>
      <c r="AB3715" s="73" t="s">
        <v>9486</v>
      </c>
      <c r="AC3715" s="74" t="s">
        <v>9562</v>
      </c>
      <c r="AD3715" s="73" t="s">
        <v>9578</v>
      </c>
      <c r="AE3715" s="74" t="s">
        <v>9579</v>
      </c>
    </row>
    <row r="3716" spans="1:31" ht="8.65" customHeight="1" x14ac:dyDescent="0.2">
      <c r="A3716" s="76">
        <v>3716</v>
      </c>
      <c r="B3716" s="67" t="str">
        <f>MID(C3716, FIND("Ifc.", C3716) + 4, 4) &amp; "_" &amp; TEXT(COUNTIF($C$2:C3716, C3716),"0000")</f>
        <v>Quan_0024</v>
      </c>
      <c r="C3716" s="23" t="s">
        <v>878</v>
      </c>
      <c r="D3716" s="69" t="s">
        <v>9453</v>
      </c>
      <c r="E3716" s="70" t="s">
        <v>9460</v>
      </c>
      <c r="F3716" s="26" t="s">
        <v>798</v>
      </c>
      <c r="G3716" s="15" t="s">
        <v>798</v>
      </c>
      <c r="H3716" s="14" t="s">
        <v>798</v>
      </c>
      <c r="I3716" s="15" t="s">
        <v>798</v>
      </c>
      <c r="J3716" s="12" t="s">
        <v>9441</v>
      </c>
      <c r="K3716" s="16" t="s">
        <v>3785</v>
      </c>
      <c r="L3716" s="12" t="s">
        <v>800</v>
      </c>
      <c r="M3716" s="16" t="s">
        <v>4746</v>
      </c>
      <c r="N3716" s="19" t="s">
        <v>798</v>
      </c>
      <c r="O3716" s="20" t="s">
        <v>798</v>
      </c>
      <c r="P3716" s="17" t="s">
        <v>802</v>
      </c>
      <c r="Q3716" s="21" t="s">
        <v>9337</v>
      </c>
      <c r="R3716" s="19" t="s">
        <v>798</v>
      </c>
      <c r="S3716" s="20" t="s">
        <v>798</v>
      </c>
      <c r="T3716" s="17" t="s">
        <v>798</v>
      </c>
      <c r="U3716" s="20" t="s">
        <v>798</v>
      </c>
      <c r="V3716" s="26" t="s">
        <v>798</v>
      </c>
      <c r="W3716" s="20" t="s">
        <v>798</v>
      </c>
      <c r="X3716" s="26" t="s">
        <v>798</v>
      </c>
      <c r="Y3716" s="20" t="s">
        <v>798</v>
      </c>
      <c r="Z3716" s="69" t="s">
        <v>9486</v>
      </c>
      <c r="AA3716" s="72" t="s">
        <v>9505</v>
      </c>
      <c r="AB3716" s="73" t="s">
        <v>9486</v>
      </c>
      <c r="AC3716" s="74" t="s">
        <v>9562</v>
      </c>
      <c r="AD3716" s="73" t="s">
        <v>9578</v>
      </c>
      <c r="AE3716" s="74" t="s">
        <v>9666</v>
      </c>
    </row>
    <row r="3717" spans="1:31" ht="8.65" customHeight="1" x14ac:dyDescent="0.2">
      <c r="A3717" s="76">
        <v>3717</v>
      </c>
      <c r="B3717" s="67" t="str">
        <f>MID(C3717, FIND("Ifc.", C3717) + 4, 4) &amp; "_" &amp; TEXT(COUNTIF($C$2:C3717, C3717),"0000")</f>
        <v>Quan_0025</v>
      </c>
      <c r="C3717" s="23" t="s">
        <v>878</v>
      </c>
      <c r="D3717" s="69" t="s">
        <v>9453</v>
      </c>
      <c r="E3717" s="70" t="s">
        <v>9460</v>
      </c>
      <c r="F3717" s="26" t="s">
        <v>798</v>
      </c>
      <c r="G3717" s="15" t="s">
        <v>798</v>
      </c>
      <c r="H3717" s="14" t="s">
        <v>798</v>
      </c>
      <c r="I3717" s="15" t="s">
        <v>798</v>
      </c>
      <c r="J3717" s="12" t="s">
        <v>9441</v>
      </c>
      <c r="K3717" s="16" t="s">
        <v>3786</v>
      </c>
      <c r="L3717" s="12" t="s">
        <v>800</v>
      </c>
      <c r="M3717" s="16" t="s">
        <v>4747</v>
      </c>
      <c r="N3717" s="19" t="s">
        <v>798</v>
      </c>
      <c r="O3717" s="20" t="s">
        <v>798</v>
      </c>
      <c r="P3717" s="17" t="s">
        <v>802</v>
      </c>
      <c r="Q3717" s="21" t="s">
        <v>9338</v>
      </c>
      <c r="R3717" s="19" t="s">
        <v>798</v>
      </c>
      <c r="S3717" s="20" t="s">
        <v>798</v>
      </c>
      <c r="T3717" s="17" t="s">
        <v>798</v>
      </c>
      <c r="U3717" s="20" t="s">
        <v>798</v>
      </c>
      <c r="V3717" s="26" t="s">
        <v>798</v>
      </c>
      <c r="W3717" s="20" t="s">
        <v>798</v>
      </c>
      <c r="X3717" s="26" t="s">
        <v>798</v>
      </c>
      <c r="Y3717" s="20" t="s">
        <v>798</v>
      </c>
      <c r="Z3717" s="69" t="s">
        <v>9486</v>
      </c>
      <c r="AA3717" s="72" t="s">
        <v>9505</v>
      </c>
      <c r="AB3717" s="73" t="s">
        <v>9486</v>
      </c>
      <c r="AC3717" s="74" t="s">
        <v>9562</v>
      </c>
      <c r="AD3717" s="73" t="s">
        <v>9578</v>
      </c>
      <c r="AE3717" s="74" t="s">
        <v>9664</v>
      </c>
    </row>
    <row r="3718" spans="1:31" ht="8.65" customHeight="1" x14ac:dyDescent="0.2">
      <c r="A3718" s="76">
        <v>3718</v>
      </c>
      <c r="B3718" s="67" t="str">
        <f>MID(C3718, FIND("Ifc.", C3718) + 4, 4) &amp; "_" &amp; TEXT(COUNTIF($C$2:C3718, C3718),"0000")</f>
        <v>Quan_0026</v>
      </c>
      <c r="C3718" s="23" t="s">
        <v>878</v>
      </c>
      <c r="D3718" s="69" t="s">
        <v>9453</v>
      </c>
      <c r="E3718" s="70" t="s">
        <v>9460</v>
      </c>
      <c r="F3718" s="26" t="s">
        <v>798</v>
      </c>
      <c r="G3718" s="15" t="s">
        <v>798</v>
      </c>
      <c r="H3718" s="14" t="s">
        <v>798</v>
      </c>
      <c r="I3718" s="15" t="s">
        <v>798</v>
      </c>
      <c r="J3718" s="12" t="s">
        <v>9441</v>
      </c>
      <c r="K3718" s="16" t="s">
        <v>3787</v>
      </c>
      <c r="L3718" s="12" t="s">
        <v>800</v>
      </c>
      <c r="M3718" s="16" t="s">
        <v>4748</v>
      </c>
      <c r="N3718" s="19" t="s">
        <v>798</v>
      </c>
      <c r="O3718" s="20" t="s">
        <v>798</v>
      </c>
      <c r="P3718" s="17" t="s">
        <v>802</v>
      </c>
      <c r="Q3718" s="21" t="s">
        <v>9339</v>
      </c>
      <c r="R3718" s="19" t="s">
        <v>798</v>
      </c>
      <c r="S3718" s="20" t="s">
        <v>798</v>
      </c>
      <c r="T3718" s="17" t="s">
        <v>798</v>
      </c>
      <c r="U3718" s="20" t="s">
        <v>798</v>
      </c>
      <c r="V3718" s="26" t="s">
        <v>798</v>
      </c>
      <c r="W3718" s="20" t="s">
        <v>798</v>
      </c>
      <c r="X3718" s="26" t="s">
        <v>798</v>
      </c>
      <c r="Y3718" s="20" t="s">
        <v>798</v>
      </c>
      <c r="Z3718" s="69" t="s">
        <v>9486</v>
      </c>
      <c r="AA3718" s="72" t="s">
        <v>9505</v>
      </c>
      <c r="AB3718" s="73" t="s">
        <v>9486</v>
      </c>
      <c r="AC3718" s="74" t="s">
        <v>9562</v>
      </c>
      <c r="AD3718" s="73" t="s">
        <v>9578</v>
      </c>
      <c r="AE3718" s="74" t="s">
        <v>9579</v>
      </c>
    </row>
    <row r="3719" spans="1:31" ht="8.65" customHeight="1" x14ac:dyDescent="0.2">
      <c r="A3719" s="76">
        <v>3719</v>
      </c>
      <c r="B3719" s="67" t="str">
        <f>MID(C3719, FIND("Ifc.", C3719) + 4, 4) &amp; "_" &amp; TEXT(COUNTIF($C$2:C3719, C3719),"0000")</f>
        <v>Quan_0027</v>
      </c>
      <c r="C3719" s="23" t="s">
        <v>878</v>
      </c>
      <c r="D3719" s="69" t="s">
        <v>9453</v>
      </c>
      <c r="E3719" s="70" t="s">
        <v>9460</v>
      </c>
      <c r="F3719" s="26" t="s">
        <v>798</v>
      </c>
      <c r="G3719" s="15" t="s">
        <v>798</v>
      </c>
      <c r="H3719" s="14" t="s">
        <v>798</v>
      </c>
      <c r="I3719" s="15" t="s">
        <v>798</v>
      </c>
      <c r="J3719" s="12" t="s">
        <v>9441</v>
      </c>
      <c r="K3719" s="16" t="s">
        <v>3788</v>
      </c>
      <c r="L3719" s="12" t="s">
        <v>800</v>
      </c>
      <c r="M3719" s="16" t="s">
        <v>4749</v>
      </c>
      <c r="N3719" s="19" t="s">
        <v>798</v>
      </c>
      <c r="O3719" s="20" t="s">
        <v>798</v>
      </c>
      <c r="P3719" s="17" t="s">
        <v>802</v>
      </c>
      <c r="Q3719" s="21" t="s">
        <v>9340</v>
      </c>
      <c r="R3719" s="19" t="s">
        <v>798</v>
      </c>
      <c r="S3719" s="20" t="s">
        <v>798</v>
      </c>
      <c r="T3719" s="17" t="s">
        <v>798</v>
      </c>
      <c r="U3719" s="20" t="s">
        <v>798</v>
      </c>
      <c r="V3719" s="26" t="s">
        <v>798</v>
      </c>
      <c r="W3719" s="20" t="s">
        <v>798</v>
      </c>
      <c r="X3719" s="26" t="s">
        <v>798</v>
      </c>
      <c r="Y3719" s="20" t="s">
        <v>798</v>
      </c>
      <c r="Z3719" s="69" t="s">
        <v>9486</v>
      </c>
      <c r="AA3719" s="72" t="s">
        <v>9505</v>
      </c>
      <c r="AB3719" s="73" t="s">
        <v>9486</v>
      </c>
      <c r="AC3719" s="74" t="s">
        <v>9562</v>
      </c>
      <c r="AD3719" s="73" t="s">
        <v>9578</v>
      </c>
      <c r="AE3719" s="74" t="s">
        <v>9579</v>
      </c>
    </row>
    <row r="3720" spans="1:31" ht="8.65" customHeight="1" x14ac:dyDescent="0.2">
      <c r="A3720" s="76">
        <v>3720</v>
      </c>
      <c r="B3720" s="67" t="str">
        <f>MID(C3720, FIND("Ifc.", C3720) + 4, 4) &amp; "_" &amp; TEXT(COUNTIF($C$2:C3720, C3720),"0000")</f>
        <v>Quan_0028</v>
      </c>
      <c r="C3720" s="23" t="s">
        <v>878</v>
      </c>
      <c r="D3720" s="69" t="s">
        <v>9453</v>
      </c>
      <c r="E3720" s="70" t="s">
        <v>9460</v>
      </c>
      <c r="F3720" s="26" t="s">
        <v>798</v>
      </c>
      <c r="G3720" s="15" t="s">
        <v>798</v>
      </c>
      <c r="H3720" s="14" t="s">
        <v>798</v>
      </c>
      <c r="I3720" s="15" t="s">
        <v>798</v>
      </c>
      <c r="J3720" s="12" t="s">
        <v>9441</v>
      </c>
      <c r="K3720" s="16" t="s">
        <v>3789</v>
      </c>
      <c r="L3720" s="12" t="s">
        <v>800</v>
      </c>
      <c r="M3720" s="16" t="s">
        <v>4750</v>
      </c>
      <c r="N3720" s="19" t="s">
        <v>798</v>
      </c>
      <c r="O3720" s="20" t="s">
        <v>798</v>
      </c>
      <c r="P3720" s="17" t="s">
        <v>802</v>
      </c>
      <c r="Q3720" s="21" t="s">
        <v>9341</v>
      </c>
      <c r="R3720" s="19" t="s">
        <v>798</v>
      </c>
      <c r="S3720" s="20" t="s">
        <v>798</v>
      </c>
      <c r="T3720" s="17" t="s">
        <v>798</v>
      </c>
      <c r="U3720" s="20" t="s">
        <v>798</v>
      </c>
      <c r="V3720" s="26" t="s">
        <v>798</v>
      </c>
      <c r="W3720" s="20" t="s">
        <v>798</v>
      </c>
      <c r="X3720" s="26" t="s">
        <v>798</v>
      </c>
      <c r="Y3720" s="20" t="s">
        <v>798</v>
      </c>
      <c r="Z3720" s="69" t="s">
        <v>9486</v>
      </c>
      <c r="AA3720" s="72" t="s">
        <v>9505</v>
      </c>
      <c r="AB3720" s="73" t="s">
        <v>9486</v>
      </c>
      <c r="AC3720" s="74" t="s">
        <v>9562</v>
      </c>
      <c r="AD3720" s="73" t="s">
        <v>9578</v>
      </c>
      <c r="AE3720" s="74" t="s">
        <v>9579</v>
      </c>
    </row>
    <row r="3721" spans="1:31" ht="8.65" customHeight="1" x14ac:dyDescent="0.2">
      <c r="A3721" s="76">
        <v>3721</v>
      </c>
      <c r="B3721" s="67" t="str">
        <f>MID(C3721, FIND("Ifc.", C3721) + 4, 4) &amp; "_" &amp; TEXT(COUNTIF($C$2:C3721, C3721),"0000")</f>
        <v>Quan_0029</v>
      </c>
      <c r="C3721" s="23" t="s">
        <v>878</v>
      </c>
      <c r="D3721" s="69" t="s">
        <v>9453</v>
      </c>
      <c r="E3721" s="70" t="s">
        <v>9460</v>
      </c>
      <c r="F3721" s="26" t="s">
        <v>798</v>
      </c>
      <c r="G3721" s="15" t="s">
        <v>798</v>
      </c>
      <c r="H3721" s="14" t="s">
        <v>798</v>
      </c>
      <c r="I3721" s="15" t="s">
        <v>798</v>
      </c>
      <c r="J3721" s="12" t="s">
        <v>9441</v>
      </c>
      <c r="K3721" s="16" t="s">
        <v>3790</v>
      </c>
      <c r="L3721" s="12" t="s">
        <v>800</v>
      </c>
      <c r="M3721" s="16" t="s">
        <v>4751</v>
      </c>
      <c r="N3721" s="19" t="s">
        <v>798</v>
      </c>
      <c r="O3721" s="20" t="s">
        <v>798</v>
      </c>
      <c r="P3721" s="17" t="s">
        <v>802</v>
      </c>
      <c r="Q3721" s="21" t="s">
        <v>9342</v>
      </c>
      <c r="R3721" s="19" t="s">
        <v>798</v>
      </c>
      <c r="S3721" s="20" t="s">
        <v>798</v>
      </c>
      <c r="T3721" s="17" t="s">
        <v>798</v>
      </c>
      <c r="U3721" s="20" t="s">
        <v>798</v>
      </c>
      <c r="V3721" s="26" t="s">
        <v>798</v>
      </c>
      <c r="W3721" s="20" t="s">
        <v>798</v>
      </c>
      <c r="X3721" s="26" t="s">
        <v>798</v>
      </c>
      <c r="Y3721" s="20" t="s">
        <v>798</v>
      </c>
      <c r="Z3721" s="69" t="s">
        <v>9486</v>
      </c>
      <c r="AA3721" s="72" t="s">
        <v>9505</v>
      </c>
      <c r="AB3721" s="73" t="s">
        <v>9486</v>
      </c>
      <c r="AC3721" s="74" t="s">
        <v>9562</v>
      </c>
      <c r="AD3721" s="73" t="s">
        <v>9578</v>
      </c>
      <c r="AE3721" s="74" t="s">
        <v>9579</v>
      </c>
    </row>
    <row r="3722" spans="1:31" ht="8.65" customHeight="1" x14ac:dyDescent="0.2">
      <c r="A3722" s="76">
        <v>3722</v>
      </c>
      <c r="B3722" s="67" t="str">
        <f>MID(C3722, FIND("Ifc.", C3722) + 4, 4) &amp; "_" &amp; TEXT(COUNTIF($C$2:C3722, C3722),"0000")</f>
        <v>Quan_0030</v>
      </c>
      <c r="C3722" s="23" t="s">
        <v>878</v>
      </c>
      <c r="D3722" s="69" t="s">
        <v>9453</v>
      </c>
      <c r="E3722" s="70" t="s">
        <v>9460</v>
      </c>
      <c r="F3722" s="26" t="s">
        <v>798</v>
      </c>
      <c r="G3722" s="15" t="s">
        <v>798</v>
      </c>
      <c r="H3722" s="14" t="s">
        <v>798</v>
      </c>
      <c r="I3722" s="15" t="s">
        <v>798</v>
      </c>
      <c r="J3722" s="12" t="s">
        <v>9441</v>
      </c>
      <c r="K3722" s="16" t="s">
        <v>3791</v>
      </c>
      <c r="L3722" s="12" t="s">
        <v>800</v>
      </c>
      <c r="M3722" s="16" t="s">
        <v>4752</v>
      </c>
      <c r="N3722" s="19" t="s">
        <v>798</v>
      </c>
      <c r="O3722" s="20" t="s">
        <v>798</v>
      </c>
      <c r="P3722" s="17" t="s">
        <v>802</v>
      </c>
      <c r="Q3722" s="21" t="s">
        <v>9343</v>
      </c>
      <c r="R3722" s="19" t="s">
        <v>798</v>
      </c>
      <c r="S3722" s="20" t="s">
        <v>798</v>
      </c>
      <c r="T3722" s="17" t="s">
        <v>798</v>
      </c>
      <c r="U3722" s="20" t="s">
        <v>798</v>
      </c>
      <c r="V3722" s="26" t="s">
        <v>798</v>
      </c>
      <c r="W3722" s="20" t="s">
        <v>798</v>
      </c>
      <c r="X3722" s="26" t="s">
        <v>798</v>
      </c>
      <c r="Y3722" s="20" t="s">
        <v>798</v>
      </c>
      <c r="Z3722" s="69" t="s">
        <v>9486</v>
      </c>
      <c r="AA3722" s="72" t="s">
        <v>9505</v>
      </c>
      <c r="AB3722" s="73" t="s">
        <v>9486</v>
      </c>
      <c r="AC3722" s="74" t="s">
        <v>9562</v>
      </c>
      <c r="AD3722" s="73" t="s">
        <v>9578</v>
      </c>
      <c r="AE3722" s="74" t="s">
        <v>9579</v>
      </c>
    </row>
    <row r="3723" spans="1:31" ht="8.65" customHeight="1" x14ac:dyDescent="0.2">
      <c r="A3723" s="76">
        <v>3723</v>
      </c>
      <c r="B3723" s="67" t="str">
        <f>MID(C3723, FIND("Ifc.", C3723) + 4, 4) &amp; "_" &amp; TEXT(COUNTIF($C$2:C3723, C3723),"0000")</f>
        <v>Quan_0031</v>
      </c>
      <c r="C3723" s="23" t="s">
        <v>878</v>
      </c>
      <c r="D3723" s="69" t="s">
        <v>9453</v>
      </c>
      <c r="E3723" s="70" t="s">
        <v>9460</v>
      </c>
      <c r="F3723" s="26" t="s">
        <v>798</v>
      </c>
      <c r="G3723" s="15" t="s">
        <v>798</v>
      </c>
      <c r="H3723" s="14" t="s">
        <v>798</v>
      </c>
      <c r="I3723" s="15" t="s">
        <v>798</v>
      </c>
      <c r="J3723" s="12" t="s">
        <v>9441</v>
      </c>
      <c r="K3723" s="16" t="s">
        <v>3792</v>
      </c>
      <c r="L3723" s="12" t="s">
        <v>800</v>
      </c>
      <c r="M3723" s="16" t="s">
        <v>4753</v>
      </c>
      <c r="N3723" s="19" t="s">
        <v>798</v>
      </c>
      <c r="O3723" s="20" t="s">
        <v>798</v>
      </c>
      <c r="P3723" s="17" t="s">
        <v>802</v>
      </c>
      <c r="Q3723" s="21" t="s">
        <v>9344</v>
      </c>
      <c r="R3723" s="19" t="s">
        <v>798</v>
      </c>
      <c r="S3723" s="20" t="s">
        <v>798</v>
      </c>
      <c r="T3723" s="17" t="s">
        <v>798</v>
      </c>
      <c r="U3723" s="20" t="s">
        <v>798</v>
      </c>
      <c r="V3723" s="26" t="s">
        <v>798</v>
      </c>
      <c r="W3723" s="20" t="s">
        <v>798</v>
      </c>
      <c r="X3723" s="26" t="s">
        <v>798</v>
      </c>
      <c r="Y3723" s="20" t="s">
        <v>798</v>
      </c>
      <c r="Z3723" s="69" t="s">
        <v>9486</v>
      </c>
      <c r="AA3723" s="72" t="s">
        <v>9505</v>
      </c>
      <c r="AB3723" s="73" t="s">
        <v>9486</v>
      </c>
      <c r="AC3723" s="74" t="s">
        <v>9562</v>
      </c>
      <c r="AD3723" s="73" t="s">
        <v>9578</v>
      </c>
      <c r="AE3723" s="74" t="s">
        <v>9579</v>
      </c>
    </row>
    <row r="3724" spans="1:31" ht="8.65" customHeight="1" x14ac:dyDescent="0.2">
      <c r="A3724" s="76">
        <v>3724</v>
      </c>
      <c r="B3724" s="67" t="str">
        <f>MID(C3724, FIND("Ifc.", C3724) + 4, 4) &amp; "_" &amp; TEXT(COUNTIF($C$2:C3724, C3724),"0000")</f>
        <v>Quan_0032</v>
      </c>
      <c r="C3724" s="23" t="s">
        <v>878</v>
      </c>
      <c r="D3724" s="69" t="s">
        <v>9453</v>
      </c>
      <c r="E3724" s="70" t="s">
        <v>9460</v>
      </c>
      <c r="F3724" s="26" t="s">
        <v>798</v>
      </c>
      <c r="G3724" s="15" t="s">
        <v>798</v>
      </c>
      <c r="H3724" s="14" t="s">
        <v>798</v>
      </c>
      <c r="I3724" s="15" t="s">
        <v>798</v>
      </c>
      <c r="J3724" s="12" t="s">
        <v>9441</v>
      </c>
      <c r="K3724" s="16" t="s">
        <v>3793</v>
      </c>
      <c r="L3724" s="12" t="s">
        <v>800</v>
      </c>
      <c r="M3724" s="16" t="s">
        <v>4754</v>
      </c>
      <c r="N3724" s="19" t="s">
        <v>798</v>
      </c>
      <c r="O3724" s="20" t="s">
        <v>798</v>
      </c>
      <c r="P3724" s="17" t="s">
        <v>802</v>
      </c>
      <c r="Q3724" s="21" t="s">
        <v>9345</v>
      </c>
      <c r="R3724" s="19" t="s">
        <v>798</v>
      </c>
      <c r="S3724" s="20" t="s">
        <v>798</v>
      </c>
      <c r="T3724" s="17" t="s">
        <v>798</v>
      </c>
      <c r="U3724" s="20" t="s">
        <v>798</v>
      </c>
      <c r="V3724" s="26" t="s">
        <v>798</v>
      </c>
      <c r="W3724" s="20" t="s">
        <v>798</v>
      </c>
      <c r="X3724" s="26" t="s">
        <v>798</v>
      </c>
      <c r="Y3724" s="20" t="s">
        <v>798</v>
      </c>
      <c r="Z3724" s="69" t="s">
        <v>9486</v>
      </c>
      <c r="AA3724" s="72" t="s">
        <v>9505</v>
      </c>
      <c r="AB3724" s="73" t="s">
        <v>9486</v>
      </c>
      <c r="AC3724" s="74" t="s">
        <v>9562</v>
      </c>
      <c r="AD3724" s="73" t="s">
        <v>9578</v>
      </c>
      <c r="AE3724" s="74" t="s">
        <v>9579</v>
      </c>
    </row>
    <row r="3725" spans="1:31" ht="8.65" customHeight="1" x14ac:dyDescent="0.2">
      <c r="A3725" s="76">
        <v>3725</v>
      </c>
      <c r="B3725" s="67" t="str">
        <f>MID(C3725, FIND("Ifc.", C3725) + 4, 4) &amp; "_" &amp; TEXT(COUNTIF($C$2:C3725, C3725),"0000")</f>
        <v>Quan_0033</v>
      </c>
      <c r="C3725" s="23" t="s">
        <v>878</v>
      </c>
      <c r="D3725" s="69" t="s">
        <v>9453</v>
      </c>
      <c r="E3725" s="70" t="s">
        <v>9460</v>
      </c>
      <c r="F3725" s="26" t="s">
        <v>798</v>
      </c>
      <c r="G3725" s="15" t="s">
        <v>798</v>
      </c>
      <c r="H3725" s="14" t="s">
        <v>798</v>
      </c>
      <c r="I3725" s="15" t="s">
        <v>798</v>
      </c>
      <c r="J3725" s="12" t="s">
        <v>9441</v>
      </c>
      <c r="K3725" s="16" t="s">
        <v>3794</v>
      </c>
      <c r="L3725" s="12" t="s">
        <v>800</v>
      </c>
      <c r="M3725" s="16" t="s">
        <v>4755</v>
      </c>
      <c r="N3725" s="19" t="s">
        <v>798</v>
      </c>
      <c r="O3725" s="20" t="s">
        <v>798</v>
      </c>
      <c r="P3725" s="17" t="s">
        <v>802</v>
      </c>
      <c r="Q3725" s="21" t="s">
        <v>9346</v>
      </c>
      <c r="R3725" s="19" t="s">
        <v>798</v>
      </c>
      <c r="S3725" s="20" t="s">
        <v>798</v>
      </c>
      <c r="T3725" s="17" t="s">
        <v>798</v>
      </c>
      <c r="U3725" s="20" t="s">
        <v>798</v>
      </c>
      <c r="V3725" s="26" t="s">
        <v>798</v>
      </c>
      <c r="W3725" s="20" t="s">
        <v>798</v>
      </c>
      <c r="X3725" s="26" t="s">
        <v>798</v>
      </c>
      <c r="Y3725" s="20" t="s">
        <v>798</v>
      </c>
      <c r="Z3725" s="69" t="s">
        <v>9486</v>
      </c>
      <c r="AA3725" s="72" t="s">
        <v>9505</v>
      </c>
      <c r="AB3725" s="73" t="s">
        <v>9486</v>
      </c>
      <c r="AC3725" s="74" t="s">
        <v>9562</v>
      </c>
      <c r="AD3725" s="73" t="s">
        <v>9578</v>
      </c>
      <c r="AE3725" s="74" t="s">
        <v>9579</v>
      </c>
    </row>
    <row r="3726" spans="1:31" ht="8.65" customHeight="1" x14ac:dyDescent="0.2">
      <c r="A3726" s="76">
        <v>3726</v>
      </c>
      <c r="B3726" s="67" t="str">
        <f>MID(C3726, FIND("Ifc.", C3726) + 4, 4) &amp; "_" &amp; TEXT(COUNTIF($C$2:C3726, C3726),"0000")</f>
        <v>Quan_0034</v>
      </c>
      <c r="C3726" s="23" t="s">
        <v>878</v>
      </c>
      <c r="D3726" s="69" t="s">
        <v>9453</v>
      </c>
      <c r="E3726" s="70" t="s">
        <v>9460</v>
      </c>
      <c r="F3726" s="26" t="s">
        <v>798</v>
      </c>
      <c r="G3726" s="15" t="s">
        <v>798</v>
      </c>
      <c r="H3726" s="14" t="s">
        <v>798</v>
      </c>
      <c r="I3726" s="15" t="s">
        <v>798</v>
      </c>
      <c r="J3726" s="12" t="s">
        <v>9441</v>
      </c>
      <c r="K3726" s="16" t="s">
        <v>3795</v>
      </c>
      <c r="L3726" s="12" t="s">
        <v>800</v>
      </c>
      <c r="M3726" s="16" t="s">
        <v>4756</v>
      </c>
      <c r="N3726" s="19" t="s">
        <v>798</v>
      </c>
      <c r="O3726" s="20" t="s">
        <v>798</v>
      </c>
      <c r="P3726" s="17" t="s">
        <v>802</v>
      </c>
      <c r="Q3726" s="21" t="s">
        <v>9347</v>
      </c>
      <c r="R3726" s="19" t="s">
        <v>798</v>
      </c>
      <c r="S3726" s="20" t="s">
        <v>798</v>
      </c>
      <c r="T3726" s="17" t="s">
        <v>798</v>
      </c>
      <c r="U3726" s="20" t="s">
        <v>798</v>
      </c>
      <c r="V3726" s="26" t="s">
        <v>798</v>
      </c>
      <c r="W3726" s="20" t="s">
        <v>798</v>
      </c>
      <c r="X3726" s="26" t="s">
        <v>798</v>
      </c>
      <c r="Y3726" s="20" t="s">
        <v>798</v>
      </c>
      <c r="Z3726" s="69" t="s">
        <v>9486</v>
      </c>
      <c r="AA3726" s="72" t="s">
        <v>9505</v>
      </c>
      <c r="AB3726" s="73" t="s">
        <v>9486</v>
      </c>
      <c r="AC3726" s="74" t="s">
        <v>9562</v>
      </c>
      <c r="AD3726" s="73" t="s">
        <v>9578</v>
      </c>
      <c r="AE3726" s="74" t="s">
        <v>9579</v>
      </c>
    </row>
    <row r="3727" spans="1:31" ht="8.65" customHeight="1" x14ac:dyDescent="0.2">
      <c r="A3727" s="76">
        <v>3727</v>
      </c>
      <c r="B3727" s="67" t="str">
        <f>MID(C3727, FIND("Ifc.", C3727) + 4, 4) &amp; "_" &amp; TEXT(COUNTIF($C$2:C3727, C3727),"0000")</f>
        <v>Quan_0035</v>
      </c>
      <c r="C3727" s="23" t="s">
        <v>878</v>
      </c>
      <c r="D3727" s="69" t="s">
        <v>9453</v>
      </c>
      <c r="E3727" s="70" t="s">
        <v>9460</v>
      </c>
      <c r="F3727" s="26" t="s">
        <v>798</v>
      </c>
      <c r="G3727" s="15" t="s">
        <v>798</v>
      </c>
      <c r="H3727" s="14" t="s">
        <v>798</v>
      </c>
      <c r="I3727" s="15" t="s">
        <v>798</v>
      </c>
      <c r="J3727" s="12" t="s">
        <v>9441</v>
      </c>
      <c r="K3727" s="16" t="s">
        <v>3796</v>
      </c>
      <c r="L3727" s="12" t="s">
        <v>800</v>
      </c>
      <c r="M3727" s="16" t="s">
        <v>4757</v>
      </c>
      <c r="N3727" s="19" t="s">
        <v>798</v>
      </c>
      <c r="O3727" s="20" t="s">
        <v>798</v>
      </c>
      <c r="P3727" s="17" t="s">
        <v>802</v>
      </c>
      <c r="Q3727" s="21" t="s">
        <v>9348</v>
      </c>
      <c r="R3727" s="19" t="s">
        <v>798</v>
      </c>
      <c r="S3727" s="20" t="s">
        <v>798</v>
      </c>
      <c r="T3727" s="17" t="s">
        <v>798</v>
      </c>
      <c r="U3727" s="20" t="s">
        <v>798</v>
      </c>
      <c r="V3727" s="26" t="s">
        <v>798</v>
      </c>
      <c r="W3727" s="20" t="s">
        <v>798</v>
      </c>
      <c r="X3727" s="26" t="s">
        <v>798</v>
      </c>
      <c r="Y3727" s="20" t="s">
        <v>798</v>
      </c>
      <c r="Z3727" s="69" t="s">
        <v>9486</v>
      </c>
      <c r="AA3727" s="72" t="s">
        <v>9505</v>
      </c>
      <c r="AB3727" s="73" t="s">
        <v>9486</v>
      </c>
      <c r="AC3727" s="74" t="s">
        <v>9562</v>
      </c>
      <c r="AD3727" s="73" t="s">
        <v>9578</v>
      </c>
      <c r="AE3727" s="74" t="s">
        <v>9579</v>
      </c>
    </row>
    <row r="3728" spans="1:31" ht="8.65" customHeight="1" x14ac:dyDescent="0.2">
      <c r="A3728" s="76">
        <v>3728</v>
      </c>
      <c r="B3728" s="67" t="str">
        <f>MID(C3728, FIND("Ifc.", C3728) + 4, 4) &amp; "_" &amp; TEXT(COUNTIF($C$2:C3728, C3728),"0000")</f>
        <v>Quan_0036</v>
      </c>
      <c r="C3728" s="23" t="s">
        <v>878</v>
      </c>
      <c r="D3728" s="69" t="s">
        <v>9453</v>
      </c>
      <c r="E3728" s="70" t="s">
        <v>9460</v>
      </c>
      <c r="F3728" s="26" t="s">
        <v>798</v>
      </c>
      <c r="G3728" s="15" t="s">
        <v>798</v>
      </c>
      <c r="H3728" s="14" t="s">
        <v>798</v>
      </c>
      <c r="I3728" s="15" t="s">
        <v>798</v>
      </c>
      <c r="J3728" s="12" t="s">
        <v>9441</v>
      </c>
      <c r="K3728" s="16" t="s">
        <v>3797</v>
      </c>
      <c r="L3728" s="12" t="s">
        <v>800</v>
      </c>
      <c r="M3728" s="16" t="s">
        <v>4758</v>
      </c>
      <c r="N3728" s="19" t="s">
        <v>798</v>
      </c>
      <c r="O3728" s="20" t="s">
        <v>798</v>
      </c>
      <c r="P3728" s="17" t="s">
        <v>802</v>
      </c>
      <c r="Q3728" s="21" t="s">
        <v>9349</v>
      </c>
      <c r="R3728" s="19" t="s">
        <v>798</v>
      </c>
      <c r="S3728" s="20" t="s">
        <v>798</v>
      </c>
      <c r="T3728" s="17" t="s">
        <v>798</v>
      </c>
      <c r="U3728" s="20" t="s">
        <v>798</v>
      </c>
      <c r="V3728" s="26" t="s">
        <v>798</v>
      </c>
      <c r="W3728" s="20" t="s">
        <v>798</v>
      </c>
      <c r="X3728" s="26" t="s">
        <v>798</v>
      </c>
      <c r="Y3728" s="20" t="s">
        <v>798</v>
      </c>
      <c r="Z3728" s="69" t="s">
        <v>9486</v>
      </c>
      <c r="AA3728" s="72" t="s">
        <v>9505</v>
      </c>
      <c r="AB3728" s="73" t="s">
        <v>9486</v>
      </c>
      <c r="AC3728" s="74" t="s">
        <v>9562</v>
      </c>
      <c r="AD3728" s="73" t="s">
        <v>9578</v>
      </c>
      <c r="AE3728" s="74" t="s">
        <v>9579</v>
      </c>
    </row>
    <row r="3729" spans="1:31" ht="8.65" customHeight="1" x14ac:dyDescent="0.2">
      <c r="A3729" s="76">
        <v>3729</v>
      </c>
      <c r="B3729" s="67" t="str">
        <f>MID(C3729, FIND("Ifc.", C3729) + 4, 4) &amp; "_" &amp; TEXT(COUNTIF($C$2:C3729, C3729),"0000")</f>
        <v>Quan_0037</v>
      </c>
      <c r="C3729" s="23" t="s">
        <v>878</v>
      </c>
      <c r="D3729" s="69" t="s">
        <v>9453</v>
      </c>
      <c r="E3729" s="70" t="s">
        <v>9460</v>
      </c>
      <c r="F3729" s="26" t="s">
        <v>798</v>
      </c>
      <c r="G3729" s="15" t="s">
        <v>798</v>
      </c>
      <c r="H3729" s="14" t="s">
        <v>798</v>
      </c>
      <c r="I3729" s="15" t="s">
        <v>798</v>
      </c>
      <c r="J3729" s="12" t="s">
        <v>9441</v>
      </c>
      <c r="K3729" s="16" t="s">
        <v>3798</v>
      </c>
      <c r="L3729" s="12" t="s">
        <v>800</v>
      </c>
      <c r="M3729" s="16" t="s">
        <v>4759</v>
      </c>
      <c r="N3729" s="19" t="s">
        <v>798</v>
      </c>
      <c r="O3729" s="20" t="s">
        <v>798</v>
      </c>
      <c r="P3729" s="17" t="s">
        <v>802</v>
      </c>
      <c r="Q3729" s="21" t="s">
        <v>9350</v>
      </c>
      <c r="R3729" s="19" t="s">
        <v>798</v>
      </c>
      <c r="S3729" s="20" t="s">
        <v>798</v>
      </c>
      <c r="T3729" s="17" t="s">
        <v>798</v>
      </c>
      <c r="U3729" s="20" t="s">
        <v>798</v>
      </c>
      <c r="V3729" s="26" t="s">
        <v>798</v>
      </c>
      <c r="W3729" s="20" t="s">
        <v>798</v>
      </c>
      <c r="X3729" s="26" t="s">
        <v>798</v>
      </c>
      <c r="Y3729" s="20" t="s">
        <v>798</v>
      </c>
      <c r="Z3729" s="69" t="s">
        <v>9486</v>
      </c>
      <c r="AA3729" s="72" t="s">
        <v>9505</v>
      </c>
      <c r="AB3729" s="73" t="s">
        <v>9486</v>
      </c>
      <c r="AC3729" s="74" t="s">
        <v>9562</v>
      </c>
      <c r="AD3729" s="73" t="s">
        <v>9578</v>
      </c>
      <c r="AE3729" s="74" t="s">
        <v>9579</v>
      </c>
    </row>
    <row r="3730" spans="1:31" ht="8.65" customHeight="1" x14ac:dyDescent="0.2">
      <c r="A3730" s="76">
        <v>3730</v>
      </c>
      <c r="B3730" s="67" t="str">
        <f>MID(C3730, FIND("Ifc.", C3730) + 4, 4) &amp; "_" &amp; TEXT(COUNTIF($C$2:C3730, C3730),"0000")</f>
        <v>Quan_0038</v>
      </c>
      <c r="C3730" s="23" t="s">
        <v>878</v>
      </c>
      <c r="D3730" s="69" t="s">
        <v>9453</v>
      </c>
      <c r="E3730" s="70" t="s">
        <v>9460</v>
      </c>
      <c r="F3730" s="26" t="s">
        <v>798</v>
      </c>
      <c r="G3730" s="15" t="s">
        <v>798</v>
      </c>
      <c r="H3730" s="14" t="s">
        <v>798</v>
      </c>
      <c r="I3730" s="15" t="s">
        <v>798</v>
      </c>
      <c r="J3730" s="12" t="s">
        <v>9441</v>
      </c>
      <c r="K3730" s="16" t="s">
        <v>3799</v>
      </c>
      <c r="L3730" s="12" t="s">
        <v>800</v>
      </c>
      <c r="M3730" s="16" t="s">
        <v>4760</v>
      </c>
      <c r="N3730" s="19" t="s">
        <v>798</v>
      </c>
      <c r="O3730" s="20" t="s">
        <v>798</v>
      </c>
      <c r="P3730" s="17" t="s">
        <v>802</v>
      </c>
      <c r="Q3730" s="21" t="s">
        <v>9351</v>
      </c>
      <c r="R3730" s="19" t="s">
        <v>798</v>
      </c>
      <c r="S3730" s="20" t="s">
        <v>798</v>
      </c>
      <c r="T3730" s="17" t="s">
        <v>798</v>
      </c>
      <c r="U3730" s="20" t="s">
        <v>798</v>
      </c>
      <c r="V3730" s="26" t="s">
        <v>798</v>
      </c>
      <c r="W3730" s="20" t="s">
        <v>798</v>
      </c>
      <c r="X3730" s="26" t="s">
        <v>798</v>
      </c>
      <c r="Y3730" s="20" t="s">
        <v>798</v>
      </c>
      <c r="Z3730" s="69" t="s">
        <v>9486</v>
      </c>
      <c r="AA3730" s="72" t="s">
        <v>9505</v>
      </c>
      <c r="AB3730" s="73" t="s">
        <v>9486</v>
      </c>
      <c r="AC3730" s="74" t="s">
        <v>9562</v>
      </c>
      <c r="AD3730" s="73" t="s">
        <v>9578</v>
      </c>
      <c r="AE3730" s="74" t="s">
        <v>9579</v>
      </c>
    </row>
    <row r="3731" spans="1:31" ht="8.65" customHeight="1" x14ac:dyDescent="0.2">
      <c r="A3731" s="76">
        <v>3731</v>
      </c>
      <c r="B3731" s="67" t="str">
        <f>MID(C3731, FIND("Ifc.", C3731) + 4, 4) &amp; "_" &amp; TEXT(COUNTIF($C$2:C3731, C3731),"0000")</f>
        <v>Quan_0039</v>
      </c>
      <c r="C3731" s="23" t="s">
        <v>878</v>
      </c>
      <c r="D3731" s="69" t="s">
        <v>9453</v>
      </c>
      <c r="E3731" s="70" t="s">
        <v>9460</v>
      </c>
      <c r="F3731" s="26" t="s">
        <v>798</v>
      </c>
      <c r="G3731" s="15" t="s">
        <v>798</v>
      </c>
      <c r="H3731" s="14" t="s">
        <v>798</v>
      </c>
      <c r="I3731" s="15" t="s">
        <v>798</v>
      </c>
      <c r="J3731" s="12" t="s">
        <v>9441</v>
      </c>
      <c r="K3731" s="16" t="s">
        <v>3800</v>
      </c>
      <c r="L3731" s="12" t="s">
        <v>800</v>
      </c>
      <c r="M3731" s="16" t="s">
        <v>4761</v>
      </c>
      <c r="N3731" s="19" t="s">
        <v>798</v>
      </c>
      <c r="O3731" s="20" t="s">
        <v>798</v>
      </c>
      <c r="P3731" s="17" t="s">
        <v>802</v>
      </c>
      <c r="Q3731" s="21" t="s">
        <v>9352</v>
      </c>
      <c r="R3731" s="19" t="s">
        <v>798</v>
      </c>
      <c r="S3731" s="20" t="s">
        <v>798</v>
      </c>
      <c r="T3731" s="17" t="s">
        <v>798</v>
      </c>
      <c r="U3731" s="20" t="s">
        <v>798</v>
      </c>
      <c r="V3731" s="26" t="s">
        <v>798</v>
      </c>
      <c r="W3731" s="20" t="s">
        <v>798</v>
      </c>
      <c r="X3731" s="26" t="s">
        <v>798</v>
      </c>
      <c r="Y3731" s="20" t="s">
        <v>798</v>
      </c>
      <c r="Z3731" s="69" t="s">
        <v>9486</v>
      </c>
      <c r="AA3731" s="72" t="s">
        <v>9505</v>
      </c>
      <c r="AB3731" s="73" t="s">
        <v>9486</v>
      </c>
      <c r="AC3731" s="74" t="s">
        <v>9562</v>
      </c>
      <c r="AD3731" s="73" t="s">
        <v>9578</v>
      </c>
      <c r="AE3731" s="74" t="s">
        <v>9579</v>
      </c>
    </row>
    <row r="3732" spans="1:31" ht="8.65" customHeight="1" x14ac:dyDescent="0.2">
      <c r="A3732" s="76">
        <v>3732</v>
      </c>
      <c r="B3732" s="67" t="str">
        <f>MID(C3732, FIND("Ifc.", C3732) + 4, 4) &amp; "_" &amp; TEXT(COUNTIF($C$2:C3732, C3732),"0000")</f>
        <v>Quan_0040</v>
      </c>
      <c r="C3732" s="23" t="s">
        <v>878</v>
      </c>
      <c r="D3732" s="69" t="s">
        <v>9453</v>
      </c>
      <c r="E3732" s="70" t="s">
        <v>9460</v>
      </c>
      <c r="F3732" s="26" t="s">
        <v>798</v>
      </c>
      <c r="G3732" s="15" t="s">
        <v>798</v>
      </c>
      <c r="H3732" s="14" t="s">
        <v>798</v>
      </c>
      <c r="I3732" s="15" t="s">
        <v>798</v>
      </c>
      <c r="J3732" s="12" t="s">
        <v>9441</v>
      </c>
      <c r="K3732" s="16" t="s">
        <v>3801</v>
      </c>
      <c r="L3732" s="12" t="s">
        <v>800</v>
      </c>
      <c r="M3732" s="16" t="s">
        <v>4762</v>
      </c>
      <c r="N3732" s="19" t="s">
        <v>798</v>
      </c>
      <c r="O3732" s="20" t="s">
        <v>798</v>
      </c>
      <c r="P3732" s="17" t="s">
        <v>802</v>
      </c>
      <c r="Q3732" s="21" t="s">
        <v>9353</v>
      </c>
      <c r="R3732" s="19" t="s">
        <v>798</v>
      </c>
      <c r="S3732" s="20" t="s">
        <v>798</v>
      </c>
      <c r="T3732" s="17" t="s">
        <v>798</v>
      </c>
      <c r="U3732" s="20" t="s">
        <v>798</v>
      </c>
      <c r="V3732" s="26" t="s">
        <v>798</v>
      </c>
      <c r="W3732" s="20" t="s">
        <v>798</v>
      </c>
      <c r="X3732" s="26" t="s">
        <v>798</v>
      </c>
      <c r="Y3732" s="20" t="s">
        <v>798</v>
      </c>
      <c r="Z3732" s="69" t="s">
        <v>9486</v>
      </c>
      <c r="AA3732" s="72" t="s">
        <v>9505</v>
      </c>
      <c r="AB3732" s="73" t="s">
        <v>9486</v>
      </c>
      <c r="AC3732" s="74" t="s">
        <v>9562</v>
      </c>
      <c r="AD3732" s="73" t="s">
        <v>9578</v>
      </c>
      <c r="AE3732" s="74" t="s">
        <v>9579</v>
      </c>
    </row>
    <row r="3733" spans="1:31" ht="8.65" customHeight="1" x14ac:dyDescent="0.2">
      <c r="A3733" s="76">
        <v>3733</v>
      </c>
      <c r="B3733" s="67" t="str">
        <f>MID(C3733, FIND("Ifc.", C3733) + 4, 4) &amp; "_" &amp; TEXT(COUNTIF($C$2:C3733, C3733),"0000")</f>
        <v>Quan_0041</v>
      </c>
      <c r="C3733" s="23" t="s">
        <v>878</v>
      </c>
      <c r="D3733" s="69" t="s">
        <v>9453</v>
      </c>
      <c r="E3733" s="70" t="s">
        <v>9460</v>
      </c>
      <c r="F3733" s="26" t="s">
        <v>798</v>
      </c>
      <c r="G3733" s="15" t="s">
        <v>798</v>
      </c>
      <c r="H3733" s="14" t="s">
        <v>798</v>
      </c>
      <c r="I3733" s="15" t="s">
        <v>798</v>
      </c>
      <c r="J3733" s="12" t="s">
        <v>9441</v>
      </c>
      <c r="K3733" s="16" t="s">
        <v>3802</v>
      </c>
      <c r="L3733" s="12" t="s">
        <v>800</v>
      </c>
      <c r="M3733" s="16" t="s">
        <v>4763</v>
      </c>
      <c r="N3733" s="19" t="s">
        <v>798</v>
      </c>
      <c r="O3733" s="20" t="s">
        <v>798</v>
      </c>
      <c r="P3733" s="17" t="s">
        <v>802</v>
      </c>
      <c r="Q3733" s="21" t="s">
        <v>9354</v>
      </c>
      <c r="R3733" s="19" t="s">
        <v>798</v>
      </c>
      <c r="S3733" s="20" t="s">
        <v>798</v>
      </c>
      <c r="T3733" s="17" t="s">
        <v>798</v>
      </c>
      <c r="U3733" s="20" t="s">
        <v>798</v>
      </c>
      <c r="V3733" s="26" t="s">
        <v>798</v>
      </c>
      <c r="W3733" s="20" t="s">
        <v>798</v>
      </c>
      <c r="X3733" s="26" t="s">
        <v>798</v>
      </c>
      <c r="Y3733" s="20" t="s">
        <v>798</v>
      </c>
      <c r="Z3733" s="69" t="s">
        <v>9486</v>
      </c>
      <c r="AA3733" s="72" t="s">
        <v>9505</v>
      </c>
      <c r="AB3733" s="73" t="s">
        <v>9486</v>
      </c>
      <c r="AC3733" s="74" t="s">
        <v>9562</v>
      </c>
      <c r="AD3733" s="73" t="s">
        <v>9578</v>
      </c>
      <c r="AE3733" s="74" t="s">
        <v>9579</v>
      </c>
    </row>
    <row r="3734" spans="1:31" ht="8.65" customHeight="1" x14ac:dyDescent="0.2">
      <c r="A3734" s="76">
        <v>3734</v>
      </c>
      <c r="B3734" s="67" t="str">
        <f>MID(C3734, FIND("Ifc.", C3734) + 4, 4) &amp; "_" &amp; TEXT(COUNTIF($C$2:C3734, C3734),"0000")</f>
        <v>Quan_0042</v>
      </c>
      <c r="C3734" s="23" t="s">
        <v>878</v>
      </c>
      <c r="D3734" s="69" t="s">
        <v>9453</v>
      </c>
      <c r="E3734" s="70" t="s">
        <v>9460</v>
      </c>
      <c r="F3734" s="26" t="s">
        <v>798</v>
      </c>
      <c r="G3734" s="15" t="s">
        <v>798</v>
      </c>
      <c r="H3734" s="14" t="s">
        <v>798</v>
      </c>
      <c r="I3734" s="15" t="s">
        <v>798</v>
      </c>
      <c r="J3734" s="12" t="s">
        <v>9441</v>
      </c>
      <c r="K3734" s="16" t="s">
        <v>3803</v>
      </c>
      <c r="L3734" s="12" t="s">
        <v>800</v>
      </c>
      <c r="M3734" s="16" t="s">
        <v>4764</v>
      </c>
      <c r="N3734" s="19" t="s">
        <v>798</v>
      </c>
      <c r="O3734" s="20" t="s">
        <v>798</v>
      </c>
      <c r="P3734" s="17" t="s">
        <v>802</v>
      </c>
      <c r="Q3734" s="21" t="s">
        <v>9355</v>
      </c>
      <c r="R3734" s="19" t="s">
        <v>798</v>
      </c>
      <c r="S3734" s="20" t="s">
        <v>798</v>
      </c>
      <c r="T3734" s="17" t="s">
        <v>798</v>
      </c>
      <c r="U3734" s="20" t="s">
        <v>798</v>
      </c>
      <c r="V3734" s="26" t="s">
        <v>798</v>
      </c>
      <c r="W3734" s="20" t="s">
        <v>798</v>
      </c>
      <c r="X3734" s="26" t="s">
        <v>798</v>
      </c>
      <c r="Y3734" s="20" t="s">
        <v>798</v>
      </c>
      <c r="Z3734" s="69" t="s">
        <v>9486</v>
      </c>
      <c r="AA3734" s="72" t="s">
        <v>9505</v>
      </c>
      <c r="AB3734" s="73" t="s">
        <v>9486</v>
      </c>
      <c r="AC3734" s="74" t="s">
        <v>9562</v>
      </c>
      <c r="AD3734" s="73" t="s">
        <v>9578</v>
      </c>
      <c r="AE3734" s="74" t="s">
        <v>9579</v>
      </c>
    </row>
    <row r="3735" spans="1:31" ht="8.65" customHeight="1" x14ac:dyDescent="0.2">
      <c r="A3735" s="76">
        <v>3735</v>
      </c>
      <c r="B3735" s="67" t="str">
        <f>MID(C3735, FIND("Ifc.", C3735) + 4, 4) &amp; "_" &amp; TEXT(COUNTIF($C$2:C3735, C3735),"0000")</f>
        <v>Quan_0043</v>
      </c>
      <c r="C3735" s="23" t="s">
        <v>878</v>
      </c>
      <c r="D3735" s="69" t="s">
        <v>9453</v>
      </c>
      <c r="E3735" s="70" t="s">
        <v>9460</v>
      </c>
      <c r="F3735" s="26" t="s">
        <v>798</v>
      </c>
      <c r="G3735" s="15" t="s">
        <v>798</v>
      </c>
      <c r="H3735" s="14" t="s">
        <v>798</v>
      </c>
      <c r="I3735" s="15" t="s">
        <v>798</v>
      </c>
      <c r="J3735" s="12" t="s">
        <v>9441</v>
      </c>
      <c r="K3735" s="16" t="s">
        <v>3804</v>
      </c>
      <c r="L3735" s="12" t="s">
        <v>800</v>
      </c>
      <c r="M3735" s="16" t="s">
        <v>4765</v>
      </c>
      <c r="N3735" s="19" t="s">
        <v>798</v>
      </c>
      <c r="O3735" s="20" t="s">
        <v>798</v>
      </c>
      <c r="P3735" s="17" t="s">
        <v>802</v>
      </c>
      <c r="Q3735" s="21" t="s">
        <v>9356</v>
      </c>
      <c r="R3735" s="19" t="s">
        <v>798</v>
      </c>
      <c r="S3735" s="20" t="s">
        <v>798</v>
      </c>
      <c r="T3735" s="17" t="s">
        <v>798</v>
      </c>
      <c r="U3735" s="20" t="s">
        <v>798</v>
      </c>
      <c r="V3735" s="26" t="s">
        <v>798</v>
      </c>
      <c r="W3735" s="20" t="s">
        <v>798</v>
      </c>
      <c r="X3735" s="26" t="s">
        <v>798</v>
      </c>
      <c r="Y3735" s="20" t="s">
        <v>798</v>
      </c>
      <c r="Z3735" s="69" t="s">
        <v>9486</v>
      </c>
      <c r="AA3735" s="72" t="s">
        <v>9505</v>
      </c>
      <c r="AB3735" s="73" t="s">
        <v>9486</v>
      </c>
      <c r="AC3735" s="74" t="s">
        <v>9562</v>
      </c>
      <c r="AD3735" s="73" t="s">
        <v>9578</v>
      </c>
      <c r="AE3735" s="74" t="s">
        <v>9668</v>
      </c>
    </row>
    <row r="3736" spans="1:31" ht="8.65" customHeight="1" x14ac:dyDescent="0.2">
      <c r="A3736" s="76">
        <v>3736</v>
      </c>
      <c r="B3736" s="67" t="str">
        <f>MID(C3736, FIND("Ifc.", C3736) + 4, 4) &amp; "_" &amp; TEXT(COUNTIF($C$2:C3736, C3736),"0000")</f>
        <v>Quan_0044</v>
      </c>
      <c r="C3736" s="23" t="s">
        <v>878</v>
      </c>
      <c r="D3736" s="69" t="s">
        <v>9453</v>
      </c>
      <c r="E3736" s="70" t="s">
        <v>9460</v>
      </c>
      <c r="F3736" s="26" t="s">
        <v>798</v>
      </c>
      <c r="G3736" s="15" t="s">
        <v>798</v>
      </c>
      <c r="H3736" s="14" t="s">
        <v>798</v>
      </c>
      <c r="I3736" s="15" t="s">
        <v>798</v>
      </c>
      <c r="J3736" s="12" t="s">
        <v>9441</v>
      </c>
      <c r="K3736" s="16" t="s">
        <v>3805</v>
      </c>
      <c r="L3736" s="12" t="s">
        <v>800</v>
      </c>
      <c r="M3736" s="16" t="s">
        <v>4766</v>
      </c>
      <c r="N3736" s="19" t="s">
        <v>798</v>
      </c>
      <c r="O3736" s="20" t="s">
        <v>798</v>
      </c>
      <c r="P3736" s="17" t="s">
        <v>802</v>
      </c>
      <c r="Q3736" s="21" t="s">
        <v>9357</v>
      </c>
      <c r="R3736" s="19" t="s">
        <v>798</v>
      </c>
      <c r="S3736" s="20" t="s">
        <v>798</v>
      </c>
      <c r="T3736" s="17" t="s">
        <v>798</v>
      </c>
      <c r="U3736" s="20" t="s">
        <v>798</v>
      </c>
      <c r="V3736" s="26" t="s">
        <v>798</v>
      </c>
      <c r="W3736" s="20" t="s">
        <v>798</v>
      </c>
      <c r="X3736" s="26" t="s">
        <v>798</v>
      </c>
      <c r="Y3736" s="20" t="s">
        <v>798</v>
      </c>
      <c r="Z3736" s="69" t="s">
        <v>9486</v>
      </c>
      <c r="AA3736" s="72" t="s">
        <v>9505</v>
      </c>
      <c r="AB3736" s="73" t="s">
        <v>9486</v>
      </c>
      <c r="AC3736" s="74" t="s">
        <v>9562</v>
      </c>
      <c r="AD3736" s="73" t="s">
        <v>9578</v>
      </c>
      <c r="AE3736" s="74" t="s">
        <v>9579</v>
      </c>
    </row>
    <row r="3737" spans="1:31" ht="8.65" customHeight="1" x14ac:dyDescent="0.2">
      <c r="A3737" s="76">
        <v>3737</v>
      </c>
      <c r="B3737" s="67" t="str">
        <f>MID(C3737, FIND("Ifc.", C3737) + 4, 4) &amp; "_" &amp; TEXT(COUNTIF($C$2:C3737, C3737),"0000")</f>
        <v>Quan_0045</v>
      </c>
      <c r="C3737" s="23" t="s">
        <v>878</v>
      </c>
      <c r="D3737" s="69" t="s">
        <v>9453</v>
      </c>
      <c r="E3737" s="70" t="s">
        <v>9460</v>
      </c>
      <c r="F3737" s="26" t="s">
        <v>798</v>
      </c>
      <c r="G3737" s="15" t="s">
        <v>798</v>
      </c>
      <c r="H3737" s="14" t="s">
        <v>798</v>
      </c>
      <c r="I3737" s="15" t="s">
        <v>798</v>
      </c>
      <c r="J3737" s="12" t="s">
        <v>9441</v>
      </c>
      <c r="K3737" s="16" t="s">
        <v>3806</v>
      </c>
      <c r="L3737" s="12" t="s">
        <v>800</v>
      </c>
      <c r="M3737" s="16" t="s">
        <v>4767</v>
      </c>
      <c r="N3737" s="19" t="s">
        <v>798</v>
      </c>
      <c r="O3737" s="20" t="s">
        <v>798</v>
      </c>
      <c r="P3737" s="17" t="s">
        <v>802</v>
      </c>
      <c r="Q3737" s="21" t="s">
        <v>9358</v>
      </c>
      <c r="R3737" s="19" t="s">
        <v>798</v>
      </c>
      <c r="S3737" s="20" t="s">
        <v>798</v>
      </c>
      <c r="T3737" s="17" t="s">
        <v>798</v>
      </c>
      <c r="U3737" s="20" t="s">
        <v>798</v>
      </c>
      <c r="V3737" s="26" t="s">
        <v>798</v>
      </c>
      <c r="W3737" s="20" t="s">
        <v>798</v>
      </c>
      <c r="X3737" s="26" t="s">
        <v>798</v>
      </c>
      <c r="Y3737" s="20" t="s">
        <v>798</v>
      </c>
      <c r="Z3737" s="69" t="s">
        <v>9486</v>
      </c>
      <c r="AA3737" s="72" t="s">
        <v>9505</v>
      </c>
      <c r="AB3737" s="73" t="s">
        <v>9486</v>
      </c>
      <c r="AC3737" s="74" t="s">
        <v>9562</v>
      </c>
      <c r="AD3737" s="73" t="s">
        <v>9578</v>
      </c>
      <c r="AE3737" s="74" t="s">
        <v>9579</v>
      </c>
    </row>
    <row r="3738" spans="1:31" ht="8.65" customHeight="1" x14ac:dyDescent="0.2">
      <c r="A3738" s="76">
        <v>3738</v>
      </c>
      <c r="B3738" s="67" t="str">
        <f>MID(C3738, FIND("Ifc.", C3738) + 4, 4) &amp; "_" &amp; TEXT(COUNTIF($C$2:C3738, C3738),"0000")</f>
        <v>Quan_0046</v>
      </c>
      <c r="C3738" s="23" t="s">
        <v>878</v>
      </c>
      <c r="D3738" s="69" t="s">
        <v>9453</v>
      </c>
      <c r="E3738" s="70" t="s">
        <v>9460</v>
      </c>
      <c r="F3738" s="26" t="s">
        <v>798</v>
      </c>
      <c r="G3738" s="15" t="s">
        <v>798</v>
      </c>
      <c r="H3738" s="14" t="s">
        <v>798</v>
      </c>
      <c r="I3738" s="15" t="s">
        <v>798</v>
      </c>
      <c r="J3738" s="12" t="s">
        <v>9441</v>
      </c>
      <c r="K3738" s="16" t="s">
        <v>3807</v>
      </c>
      <c r="L3738" s="12" t="s">
        <v>800</v>
      </c>
      <c r="M3738" s="16" t="s">
        <v>4768</v>
      </c>
      <c r="N3738" s="19" t="s">
        <v>798</v>
      </c>
      <c r="O3738" s="20" t="s">
        <v>798</v>
      </c>
      <c r="P3738" s="17" t="s">
        <v>802</v>
      </c>
      <c r="Q3738" s="21" t="s">
        <v>9359</v>
      </c>
      <c r="R3738" s="19" t="s">
        <v>798</v>
      </c>
      <c r="S3738" s="20" t="s">
        <v>798</v>
      </c>
      <c r="T3738" s="17" t="s">
        <v>798</v>
      </c>
      <c r="U3738" s="20" t="s">
        <v>798</v>
      </c>
      <c r="V3738" s="26" t="s">
        <v>798</v>
      </c>
      <c r="W3738" s="20" t="s">
        <v>798</v>
      </c>
      <c r="X3738" s="26" t="s">
        <v>798</v>
      </c>
      <c r="Y3738" s="20" t="s">
        <v>798</v>
      </c>
      <c r="Z3738" s="69" t="s">
        <v>9486</v>
      </c>
      <c r="AA3738" s="72" t="s">
        <v>9505</v>
      </c>
      <c r="AB3738" s="73" t="s">
        <v>9486</v>
      </c>
      <c r="AC3738" s="74" t="s">
        <v>9562</v>
      </c>
      <c r="AD3738" s="73" t="s">
        <v>9578</v>
      </c>
      <c r="AE3738" s="74" t="s">
        <v>9579</v>
      </c>
    </row>
    <row r="3739" spans="1:31" ht="8.65" customHeight="1" x14ac:dyDescent="0.2">
      <c r="A3739" s="76">
        <v>3739</v>
      </c>
      <c r="B3739" s="67" t="str">
        <f>MID(C3739, FIND("Ifc.", C3739) + 4, 4) &amp; "_" &amp; TEXT(COUNTIF($C$2:C3739, C3739),"0000")</f>
        <v>Quan_0047</v>
      </c>
      <c r="C3739" s="23" t="s">
        <v>878</v>
      </c>
      <c r="D3739" s="69" t="s">
        <v>9453</v>
      </c>
      <c r="E3739" s="70" t="s">
        <v>9460</v>
      </c>
      <c r="F3739" s="26" t="s">
        <v>798</v>
      </c>
      <c r="G3739" s="15" t="s">
        <v>798</v>
      </c>
      <c r="H3739" s="14" t="s">
        <v>798</v>
      </c>
      <c r="I3739" s="15" t="s">
        <v>798</v>
      </c>
      <c r="J3739" s="12" t="s">
        <v>9441</v>
      </c>
      <c r="K3739" s="16" t="s">
        <v>3808</v>
      </c>
      <c r="L3739" s="12" t="s">
        <v>800</v>
      </c>
      <c r="M3739" s="16" t="s">
        <v>4769</v>
      </c>
      <c r="N3739" s="19" t="s">
        <v>798</v>
      </c>
      <c r="O3739" s="20" t="s">
        <v>798</v>
      </c>
      <c r="P3739" s="17" t="s">
        <v>802</v>
      </c>
      <c r="Q3739" s="21" t="s">
        <v>9360</v>
      </c>
      <c r="R3739" s="19" t="s">
        <v>798</v>
      </c>
      <c r="S3739" s="20" t="s">
        <v>798</v>
      </c>
      <c r="T3739" s="17" t="s">
        <v>798</v>
      </c>
      <c r="U3739" s="20" t="s">
        <v>798</v>
      </c>
      <c r="V3739" s="26" t="s">
        <v>798</v>
      </c>
      <c r="W3739" s="20" t="s">
        <v>798</v>
      </c>
      <c r="X3739" s="26" t="s">
        <v>798</v>
      </c>
      <c r="Y3739" s="20" t="s">
        <v>798</v>
      </c>
      <c r="Z3739" s="69" t="s">
        <v>9486</v>
      </c>
      <c r="AA3739" s="72" t="s">
        <v>9505</v>
      </c>
      <c r="AB3739" s="73" t="s">
        <v>9486</v>
      </c>
      <c r="AC3739" s="74" t="s">
        <v>9562</v>
      </c>
      <c r="AD3739" s="73" t="s">
        <v>9578</v>
      </c>
      <c r="AE3739" s="74" t="s">
        <v>9579</v>
      </c>
    </row>
    <row r="3740" spans="1:31" ht="8.65" customHeight="1" x14ac:dyDescent="0.2">
      <c r="A3740" s="76">
        <v>3740</v>
      </c>
      <c r="B3740" s="67" t="str">
        <f>MID(C3740, FIND("Ifc.", C3740) + 4, 4) &amp; "_" &amp; TEXT(COUNTIF($C$2:C3740, C3740),"0000")</f>
        <v>Quan_0048</v>
      </c>
      <c r="C3740" s="23" t="s">
        <v>878</v>
      </c>
      <c r="D3740" s="69" t="s">
        <v>9453</v>
      </c>
      <c r="E3740" s="70" t="s">
        <v>9460</v>
      </c>
      <c r="F3740" s="26" t="s">
        <v>798</v>
      </c>
      <c r="G3740" s="15" t="s">
        <v>798</v>
      </c>
      <c r="H3740" s="14" t="s">
        <v>798</v>
      </c>
      <c r="I3740" s="15" t="s">
        <v>798</v>
      </c>
      <c r="J3740" s="12" t="s">
        <v>9441</v>
      </c>
      <c r="K3740" s="16" t="s">
        <v>3809</v>
      </c>
      <c r="L3740" s="12" t="s">
        <v>800</v>
      </c>
      <c r="M3740" s="16" t="s">
        <v>4770</v>
      </c>
      <c r="N3740" s="19" t="s">
        <v>798</v>
      </c>
      <c r="O3740" s="20" t="s">
        <v>798</v>
      </c>
      <c r="P3740" s="17" t="s">
        <v>802</v>
      </c>
      <c r="Q3740" s="21" t="s">
        <v>9361</v>
      </c>
      <c r="R3740" s="19" t="s">
        <v>798</v>
      </c>
      <c r="S3740" s="20" t="s">
        <v>798</v>
      </c>
      <c r="T3740" s="17" t="s">
        <v>798</v>
      </c>
      <c r="U3740" s="20" t="s">
        <v>798</v>
      </c>
      <c r="V3740" s="26" t="s">
        <v>798</v>
      </c>
      <c r="W3740" s="20" t="s">
        <v>798</v>
      </c>
      <c r="X3740" s="26" t="s">
        <v>798</v>
      </c>
      <c r="Y3740" s="20" t="s">
        <v>798</v>
      </c>
      <c r="Z3740" s="69" t="s">
        <v>9486</v>
      </c>
      <c r="AA3740" s="72" t="s">
        <v>9505</v>
      </c>
      <c r="AB3740" s="73" t="s">
        <v>9486</v>
      </c>
      <c r="AC3740" s="74" t="s">
        <v>9562</v>
      </c>
      <c r="AD3740" s="73" t="s">
        <v>9578</v>
      </c>
      <c r="AE3740" s="74" t="s">
        <v>9579</v>
      </c>
    </row>
    <row r="3741" spans="1:31" ht="8.65" customHeight="1" x14ac:dyDescent="0.2">
      <c r="A3741" s="76">
        <v>3741</v>
      </c>
      <c r="B3741" s="67" t="str">
        <f>MID(C3741, FIND("Ifc.", C3741) + 4, 4) &amp; "_" &amp; TEXT(COUNTIF($C$2:C3741, C3741),"0000")</f>
        <v>Quan_0049</v>
      </c>
      <c r="C3741" s="23" t="s">
        <v>878</v>
      </c>
      <c r="D3741" s="69" t="s">
        <v>9453</v>
      </c>
      <c r="E3741" s="70" t="s">
        <v>9460</v>
      </c>
      <c r="F3741" s="26" t="s">
        <v>798</v>
      </c>
      <c r="G3741" s="15" t="s">
        <v>798</v>
      </c>
      <c r="H3741" s="14" t="s">
        <v>798</v>
      </c>
      <c r="I3741" s="15" t="s">
        <v>798</v>
      </c>
      <c r="J3741" s="12" t="s">
        <v>9441</v>
      </c>
      <c r="K3741" s="16" t="s">
        <v>3810</v>
      </c>
      <c r="L3741" s="12" t="s">
        <v>800</v>
      </c>
      <c r="M3741" s="16" t="s">
        <v>4771</v>
      </c>
      <c r="N3741" s="19" t="s">
        <v>798</v>
      </c>
      <c r="O3741" s="20" t="s">
        <v>798</v>
      </c>
      <c r="P3741" s="17" t="s">
        <v>802</v>
      </c>
      <c r="Q3741" s="21" t="s">
        <v>9362</v>
      </c>
      <c r="R3741" s="19" t="s">
        <v>798</v>
      </c>
      <c r="S3741" s="20" t="s">
        <v>798</v>
      </c>
      <c r="T3741" s="17" t="s">
        <v>798</v>
      </c>
      <c r="U3741" s="20" t="s">
        <v>798</v>
      </c>
      <c r="V3741" s="26" t="s">
        <v>798</v>
      </c>
      <c r="W3741" s="20" t="s">
        <v>798</v>
      </c>
      <c r="X3741" s="26" t="s">
        <v>798</v>
      </c>
      <c r="Y3741" s="20" t="s">
        <v>798</v>
      </c>
      <c r="Z3741" s="69" t="s">
        <v>9486</v>
      </c>
      <c r="AA3741" s="72" t="s">
        <v>9505</v>
      </c>
      <c r="AB3741" s="73" t="s">
        <v>9486</v>
      </c>
      <c r="AC3741" s="74" t="s">
        <v>9562</v>
      </c>
      <c r="AD3741" s="73" t="s">
        <v>9578</v>
      </c>
      <c r="AE3741" s="74" t="s">
        <v>9595</v>
      </c>
    </row>
    <row r="3742" spans="1:31" ht="8.65" customHeight="1" x14ac:dyDescent="0.2">
      <c r="A3742" s="76">
        <v>3742</v>
      </c>
      <c r="B3742" s="67" t="str">
        <f>MID(C3742, FIND("Ifc.", C3742) + 4, 4) &amp; "_" &amp; TEXT(COUNTIF($C$2:C3742, C3742),"0000")</f>
        <v>Quan_0050</v>
      </c>
      <c r="C3742" s="23" t="s">
        <v>878</v>
      </c>
      <c r="D3742" s="69" t="s">
        <v>9453</v>
      </c>
      <c r="E3742" s="70" t="s">
        <v>9460</v>
      </c>
      <c r="F3742" s="26" t="s">
        <v>798</v>
      </c>
      <c r="G3742" s="15" t="s">
        <v>798</v>
      </c>
      <c r="H3742" s="14" t="s">
        <v>798</v>
      </c>
      <c r="I3742" s="15" t="s">
        <v>798</v>
      </c>
      <c r="J3742" s="12" t="s">
        <v>9441</v>
      </c>
      <c r="K3742" s="16" t="s">
        <v>3811</v>
      </c>
      <c r="L3742" s="12" t="s">
        <v>800</v>
      </c>
      <c r="M3742" s="16" t="s">
        <v>4772</v>
      </c>
      <c r="N3742" s="19" t="s">
        <v>798</v>
      </c>
      <c r="O3742" s="20" t="s">
        <v>798</v>
      </c>
      <c r="P3742" s="17" t="s">
        <v>802</v>
      </c>
      <c r="Q3742" s="21" t="s">
        <v>9363</v>
      </c>
      <c r="R3742" s="19" t="s">
        <v>798</v>
      </c>
      <c r="S3742" s="20" t="s">
        <v>798</v>
      </c>
      <c r="T3742" s="17" t="s">
        <v>798</v>
      </c>
      <c r="U3742" s="20" t="s">
        <v>798</v>
      </c>
      <c r="V3742" s="26" t="s">
        <v>798</v>
      </c>
      <c r="W3742" s="20" t="s">
        <v>798</v>
      </c>
      <c r="X3742" s="26" t="s">
        <v>798</v>
      </c>
      <c r="Y3742" s="20" t="s">
        <v>798</v>
      </c>
      <c r="Z3742" s="69" t="s">
        <v>9486</v>
      </c>
      <c r="AA3742" s="72" t="s">
        <v>9505</v>
      </c>
      <c r="AB3742" s="73" t="s">
        <v>9486</v>
      </c>
      <c r="AC3742" s="74" t="s">
        <v>9562</v>
      </c>
      <c r="AD3742" s="73" t="s">
        <v>9578</v>
      </c>
      <c r="AE3742" s="74" t="s">
        <v>9579</v>
      </c>
    </row>
    <row r="3743" spans="1:31" ht="8.65" customHeight="1" x14ac:dyDescent="0.2">
      <c r="A3743" s="76">
        <v>3743</v>
      </c>
      <c r="B3743" s="67" t="str">
        <f>MID(C3743, FIND("Ifc.", C3743) + 4, 4) &amp; "_" &amp; TEXT(COUNTIF($C$2:C3743, C3743),"0000")</f>
        <v>Quan_0051</v>
      </c>
      <c r="C3743" s="23" t="s">
        <v>878</v>
      </c>
      <c r="D3743" s="69" t="s">
        <v>9453</v>
      </c>
      <c r="E3743" s="70" t="s">
        <v>9460</v>
      </c>
      <c r="F3743" s="26" t="s">
        <v>798</v>
      </c>
      <c r="G3743" s="15" t="s">
        <v>798</v>
      </c>
      <c r="H3743" s="14" t="s">
        <v>798</v>
      </c>
      <c r="I3743" s="15" t="s">
        <v>798</v>
      </c>
      <c r="J3743" s="12" t="s">
        <v>9441</v>
      </c>
      <c r="K3743" s="16" t="s">
        <v>3812</v>
      </c>
      <c r="L3743" s="12" t="s">
        <v>800</v>
      </c>
      <c r="M3743" s="16" t="s">
        <v>4773</v>
      </c>
      <c r="N3743" s="19" t="s">
        <v>798</v>
      </c>
      <c r="O3743" s="20" t="s">
        <v>798</v>
      </c>
      <c r="P3743" s="17" t="s">
        <v>802</v>
      </c>
      <c r="Q3743" s="21" t="s">
        <v>9364</v>
      </c>
      <c r="R3743" s="19" t="s">
        <v>798</v>
      </c>
      <c r="S3743" s="20" t="s">
        <v>798</v>
      </c>
      <c r="T3743" s="17" t="s">
        <v>798</v>
      </c>
      <c r="U3743" s="20" t="s">
        <v>798</v>
      </c>
      <c r="V3743" s="26" t="s">
        <v>798</v>
      </c>
      <c r="W3743" s="20" t="s">
        <v>798</v>
      </c>
      <c r="X3743" s="26" t="s">
        <v>798</v>
      </c>
      <c r="Y3743" s="20" t="s">
        <v>798</v>
      </c>
      <c r="Z3743" s="69" t="s">
        <v>9486</v>
      </c>
      <c r="AA3743" s="72" t="s">
        <v>9505</v>
      </c>
      <c r="AB3743" s="73" t="s">
        <v>9486</v>
      </c>
      <c r="AC3743" s="74" t="s">
        <v>9562</v>
      </c>
      <c r="AD3743" s="73" t="s">
        <v>9578</v>
      </c>
      <c r="AE3743" s="74" t="s">
        <v>9579</v>
      </c>
    </row>
    <row r="3744" spans="1:31" ht="8.65" customHeight="1" x14ac:dyDescent="0.2">
      <c r="A3744" s="76">
        <v>3744</v>
      </c>
      <c r="B3744" s="67" t="str">
        <f>MID(C3744, FIND("Ifc.", C3744) + 4, 4) &amp; "_" &amp; TEXT(COUNTIF($C$2:C3744, C3744),"0000")</f>
        <v>Quan_0052</v>
      </c>
      <c r="C3744" s="23" t="s">
        <v>878</v>
      </c>
      <c r="D3744" s="69" t="s">
        <v>9453</v>
      </c>
      <c r="E3744" s="70" t="s">
        <v>9460</v>
      </c>
      <c r="F3744" s="26" t="s">
        <v>798</v>
      </c>
      <c r="G3744" s="15" t="s">
        <v>798</v>
      </c>
      <c r="H3744" s="14" t="s">
        <v>798</v>
      </c>
      <c r="I3744" s="15" t="s">
        <v>798</v>
      </c>
      <c r="J3744" s="12" t="s">
        <v>9441</v>
      </c>
      <c r="K3744" s="16" t="s">
        <v>3813</v>
      </c>
      <c r="L3744" s="12" t="s">
        <v>800</v>
      </c>
      <c r="M3744" s="16" t="s">
        <v>4774</v>
      </c>
      <c r="N3744" s="19" t="s">
        <v>798</v>
      </c>
      <c r="O3744" s="20" t="s">
        <v>798</v>
      </c>
      <c r="P3744" s="17" t="s">
        <v>802</v>
      </c>
      <c r="Q3744" s="21" t="s">
        <v>9365</v>
      </c>
      <c r="R3744" s="19" t="s">
        <v>798</v>
      </c>
      <c r="S3744" s="20" t="s">
        <v>798</v>
      </c>
      <c r="T3744" s="17" t="s">
        <v>798</v>
      </c>
      <c r="U3744" s="20" t="s">
        <v>798</v>
      </c>
      <c r="V3744" s="26" t="s">
        <v>798</v>
      </c>
      <c r="W3744" s="20" t="s">
        <v>798</v>
      </c>
      <c r="X3744" s="26" t="s">
        <v>798</v>
      </c>
      <c r="Y3744" s="20" t="s">
        <v>798</v>
      </c>
      <c r="Z3744" s="69" t="s">
        <v>9486</v>
      </c>
      <c r="AA3744" s="72" t="s">
        <v>9505</v>
      </c>
      <c r="AB3744" s="73" t="s">
        <v>9486</v>
      </c>
      <c r="AC3744" s="74" t="s">
        <v>9562</v>
      </c>
      <c r="AD3744" s="73" t="s">
        <v>9578</v>
      </c>
      <c r="AE3744" s="74" t="s">
        <v>9579</v>
      </c>
    </row>
    <row r="3745" spans="1:31" ht="8.65" customHeight="1" x14ac:dyDescent="0.2">
      <c r="A3745" s="76">
        <v>3745</v>
      </c>
      <c r="B3745" s="67" t="str">
        <f>MID(C3745, FIND("Ifc.", C3745) + 4, 4) &amp; "_" &amp; TEXT(COUNTIF($C$2:C3745, C3745),"0000")</f>
        <v>Quan_0053</v>
      </c>
      <c r="C3745" s="23" t="s">
        <v>878</v>
      </c>
      <c r="D3745" s="69" t="s">
        <v>9453</v>
      </c>
      <c r="E3745" s="70" t="s">
        <v>9460</v>
      </c>
      <c r="F3745" s="26" t="s">
        <v>798</v>
      </c>
      <c r="G3745" s="15" t="s">
        <v>798</v>
      </c>
      <c r="H3745" s="14" t="s">
        <v>798</v>
      </c>
      <c r="I3745" s="15" t="s">
        <v>798</v>
      </c>
      <c r="J3745" s="12" t="s">
        <v>9441</v>
      </c>
      <c r="K3745" s="16" t="s">
        <v>3814</v>
      </c>
      <c r="L3745" s="12" t="s">
        <v>800</v>
      </c>
      <c r="M3745" s="16" t="s">
        <v>4775</v>
      </c>
      <c r="N3745" s="19" t="s">
        <v>798</v>
      </c>
      <c r="O3745" s="20" t="s">
        <v>798</v>
      </c>
      <c r="P3745" s="17" t="s">
        <v>802</v>
      </c>
      <c r="Q3745" s="21" t="s">
        <v>9366</v>
      </c>
      <c r="R3745" s="19" t="s">
        <v>798</v>
      </c>
      <c r="S3745" s="20" t="s">
        <v>798</v>
      </c>
      <c r="T3745" s="17" t="s">
        <v>798</v>
      </c>
      <c r="U3745" s="20" t="s">
        <v>798</v>
      </c>
      <c r="V3745" s="26" t="s">
        <v>798</v>
      </c>
      <c r="W3745" s="20" t="s">
        <v>798</v>
      </c>
      <c r="X3745" s="26" t="s">
        <v>798</v>
      </c>
      <c r="Y3745" s="20" t="s">
        <v>798</v>
      </c>
      <c r="Z3745" s="69" t="s">
        <v>9486</v>
      </c>
      <c r="AA3745" s="72" t="s">
        <v>9505</v>
      </c>
      <c r="AB3745" s="73" t="s">
        <v>9486</v>
      </c>
      <c r="AC3745" s="74" t="s">
        <v>9562</v>
      </c>
      <c r="AD3745" s="73" t="s">
        <v>9578</v>
      </c>
      <c r="AE3745" s="74" t="s">
        <v>9579</v>
      </c>
    </row>
    <row r="3746" spans="1:31" ht="8.65" customHeight="1" x14ac:dyDescent="0.2">
      <c r="A3746" s="76">
        <v>3746</v>
      </c>
      <c r="B3746" s="67" t="str">
        <f>MID(C3746, FIND("Ifc.", C3746) + 4, 4) &amp; "_" &amp; TEXT(COUNTIF($C$2:C3746, C3746),"0000")</f>
        <v>Quan_0054</v>
      </c>
      <c r="C3746" s="23" t="s">
        <v>878</v>
      </c>
      <c r="D3746" s="69" t="s">
        <v>9453</v>
      </c>
      <c r="E3746" s="70" t="s">
        <v>9460</v>
      </c>
      <c r="F3746" s="26" t="s">
        <v>798</v>
      </c>
      <c r="G3746" s="15" t="s">
        <v>798</v>
      </c>
      <c r="H3746" s="14" t="s">
        <v>798</v>
      </c>
      <c r="I3746" s="15" t="s">
        <v>798</v>
      </c>
      <c r="J3746" s="12" t="s">
        <v>9441</v>
      </c>
      <c r="K3746" s="16" t="s">
        <v>3815</v>
      </c>
      <c r="L3746" s="12" t="s">
        <v>800</v>
      </c>
      <c r="M3746" s="16" t="s">
        <v>4776</v>
      </c>
      <c r="N3746" s="19" t="s">
        <v>798</v>
      </c>
      <c r="O3746" s="20" t="s">
        <v>798</v>
      </c>
      <c r="P3746" s="17" t="s">
        <v>802</v>
      </c>
      <c r="Q3746" s="21" t="s">
        <v>9367</v>
      </c>
      <c r="R3746" s="19" t="s">
        <v>798</v>
      </c>
      <c r="S3746" s="20" t="s">
        <v>798</v>
      </c>
      <c r="T3746" s="17" t="s">
        <v>798</v>
      </c>
      <c r="U3746" s="20" t="s">
        <v>798</v>
      </c>
      <c r="V3746" s="26" t="s">
        <v>798</v>
      </c>
      <c r="W3746" s="20" t="s">
        <v>798</v>
      </c>
      <c r="X3746" s="26" t="s">
        <v>798</v>
      </c>
      <c r="Y3746" s="20" t="s">
        <v>798</v>
      </c>
      <c r="Z3746" s="69" t="s">
        <v>9486</v>
      </c>
      <c r="AA3746" s="72" t="s">
        <v>9505</v>
      </c>
      <c r="AB3746" s="73" t="s">
        <v>9486</v>
      </c>
      <c r="AC3746" s="74" t="s">
        <v>9562</v>
      </c>
      <c r="AD3746" s="73" t="s">
        <v>9578</v>
      </c>
      <c r="AE3746" s="74" t="s">
        <v>9579</v>
      </c>
    </row>
    <row r="3747" spans="1:31" ht="8.65" customHeight="1" x14ac:dyDescent="0.2">
      <c r="A3747" s="76">
        <v>3747</v>
      </c>
      <c r="B3747" s="67" t="str">
        <f>MID(C3747, FIND("Ifc.", C3747) + 4, 4) &amp; "_" &amp; TEXT(COUNTIF($C$2:C3747, C3747),"0000")</f>
        <v>Quan_0055</v>
      </c>
      <c r="C3747" s="23" t="s">
        <v>878</v>
      </c>
      <c r="D3747" s="69" t="s">
        <v>9453</v>
      </c>
      <c r="E3747" s="70" t="s">
        <v>9460</v>
      </c>
      <c r="F3747" s="26" t="s">
        <v>798</v>
      </c>
      <c r="G3747" s="15" t="s">
        <v>798</v>
      </c>
      <c r="H3747" s="14" t="s">
        <v>798</v>
      </c>
      <c r="I3747" s="15" t="s">
        <v>798</v>
      </c>
      <c r="J3747" s="12" t="s">
        <v>9441</v>
      </c>
      <c r="K3747" s="16" t="s">
        <v>3816</v>
      </c>
      <c r="L3747" s="12" t="s">
        <v>800</v>
      </c>
      <c r="M3747" s="16" t="s">
        <v>4777</v>
      </c>
      <c r="N3747" s="19" t="s">
        <v>798</v>
      </c>
      <c r="O3747" s="20" t="s">
        <v>798</v>
      </c>
      <c r="P3747" s="17" t="s">
        <v>802</v>
      </c>
      <c r="Q3747" s="21" t="s">
        <v>9368</v>
      </c>
      <c r="R3747" s="19" t="s">
        <v>798</v>
      </c>
      <c r="S3747" s="20" t="s">
        <v>798</v>
      </c>
      <c r="T3747" s="17" t="s">
        <v>798</v>
      </c>
      <c r="U3747" s="20" t="s">
        <v>798</v>
      </c>
      <c r="V3747" s="26" t="s">
        <v>798</v>
      </c>
      <c r="W3747" s="20" t="s">
        <v>798</v>
      </c>
      <c r="X3747" s="26" t="s">
        <v>798</v>
      </c>
      <c r="Y3747" s="20" t="s">
        <v>798</v>
      </c>
      <c r="Z3747" s="69" t="s">
        <v>9486</v>
      </c>
      <c r="AA3747" s="72" t="s">
        <v>9505</v>
      </c>
      <c r="AB3747" s="73" t="s">
        <v>9486</v>
      </c>
      <c r="AC3747" s="74" t="s">
        <v>9562</v>
      </c>
      <c r="AD3747" s="73" t="s">
        <v>9578</v>
      </c>
      <c r="AE3747" s="74" t="s">
        <v>9579</v>
      </c>
    </row>
    <row r="3748" spans="1:31" ht="8.65" customHeight="1" x14ac:dyDescent="0.2">
      <c r="A3748" s="76">
        <v>3748</v>
      </c>
      <c r="B3748" s="67" t="str">
        <f>MID(C3748, FIND("Ifc.", C3748) + 4, 4) &amp; "_" &amp; TEXT(COUNTIF($C$2:C3748, C3748),"0000")</f>
        <v>Quan_0056</v>
      </c>
      <c r="C3748" s="23" t="s">
        <v>878</v>
      </c>
      <c r="D3748" s="69" t="s">
        <v>9453</v>
      </c>
      <c r="E3748" s="70" t="s">
        <v>9460</v>
      </c>
      <c r="F3748" s="26" t="s">
        <v>798</v>
      </c>
      <c r="G3748" s="15" t="s">
        <v>798</v>
      </c>
      <c r="H3748" s="14" t="s">
        <v>798</v>
      </c>
      <c r="I3748" s="15" t="s">
        <v>798</v>
      </c>
      <c r="J3748" s="12" t="s">
        <v>9441</v>
      </c>
      <c r="K3748" s="16" t="s">
        <v>3817</v>
      </c>
      <c r="L3748" s="12" t="s">
        <v>800</v>
      </c>
      <c r="M3748" s="16" t="s">
        <v>4778</v>
      </c>
      <c r="N3748" s="19" t="s">
        <v>798</v>
      </c>
      <c r="O3748" s="20" t="s">
        <v>798</v>
      </c>
      <c r="P3748" s="17" t="s">
        <v>802</v>
      </c>
      <c r="Q3748" s="21" t="s">
        <v>9369</v>
      </c>
      <c r="R3748" s="19" t="s">
        <v>798</v>
      </c>
      <c r="S3748" s="20" t="s">
        <v>798</v>
      </c>
      <c r="T3748" s="17" t="s">
        <v>798</v>
      </c>
      <c r="U3748" s="20" t="s">
        <v>798</v>
      </c>
      <c r="V3748" s="26" t="s">
        <v>798</v>
      </c>
      <c r="W3748" s="20" t="s">
        <v>798</v>
      </c>
      <c r="X3748" s="26" t="s">
        <v>798</v>
      </c>
      <c r="Y3748" s="20" t="s">
        <v>798</v>
      </c>
      <c r="Z3748" s="69" t="s">
        <v>9486</v>
      </c>
      <c r="AA3748" s="72" t="s">
        <v>9505</v>
      </c>
      <c r="AB3748" s="73" t="s">
        <v>9486</v>
      </c>
      <c r="AC3748" s="74" t="s">
        <v>9562</v>
      </c>
      <c r="AD3748" s="73" t="s">
        <v>9578</v>
      </c>
      <c r="AE3748" s="74" t="s">
        <v>9679</v>
      </c>
    </row>
    <row r="3749" spans="1:31" ht="8.65" customHeight="1" x14ac:dyDescent="0.2">
      <c r="A3749" s="76">
        <v>3749</v>
      </c>
      <c r="B3749" s="67" t="str">
        <f>MID(C3749, FIND("Ifc.", C3749) + 4, 4) &amp; "_" &amp; TEXT(COUNTIF($C$2:C3749, C3749),"0000")</f>
        <v>Quan_0057</v>
      </c>
      <c r="C3749" s="23" t="s">
        <v>878</v>
      </c>
      <c r="D3749" s="69" t="s">
        <v>9453</v>
      </c>
      <c r="E3749" s="70" t="s">
        <v>9460</v>
      </c>
      <c r="F3749" s="26" t="s">
        <v>798</v>
      </c>
      <c r="G3749" s="15" t="s">
        <v>798</v>
      </c>
      <c r="H3749" s="14" t="s">
        <v>798</v>
      </c>
      <c r="I3749" s="15" t="s">
        <v>798</v>
      </c>
      <c r="J3749" s="12" t="s">
        <v>9441</v>
      </c>
      <c r="K3749" s="16" t="s">
        <v>3818</v>
      </c>
      <c r="L3749" s="12" t="s">
        <v>800</v>
      </c>
      <c r="M3749" s="16" t="s">
        <v>4779</v>
      </c>
      <c r="N3749" s="19" t="s">
        <v>798</v>
      </c>
      <c r="O3749" s="20" t="s">
        <v>798</v>
      </c>
      <c r="P3749" s="17" t="s">
        <v>802</v>
      </c>
      <c r="Q3749" s="21" t="s">
        <v>9370</v>
      </c>
      <c r="R3749" s="19" t="s">
        <v>798</v>
      </c>
      <c r="S3749" s="20" t="s">
        <v>798</v>
      </c>
      <c r="T3749" s="17" t="s">
        <v>798</v>
      </c>
      <c r="U3749" s="20" t="s">
        <v>798</v>
      </c>
      <c r="V3749" s="26" t="s">
        <v>798</v>
      </c>
      <c r="W3749" s="20" t="s">
        <v>798</v>
      </c>
      <c r="X3749" s="26" t="s">
        <v>798</v>
      </c>
      <c r="Y3749" s="20" t="s">
        <v>798</v>
      </c>
      <c r="Z3749" s="69" t="s">
        <v>9486</v>
      </c>
      <c r="AA3749" s="72" t="s">
        <v>9505</v>
      </c>
      <c r="AB3749" s="73" t="s">
        <v>9486</v>
      </c>
      <c r="AC3749" s="74" t="s">
        <v>9562</v>
      </c>
      <c r="AD3749" s="73" t="s">
        <v>9578</v>
      </c>
      <c r="AE3749" s="74" t="s">
        <v>9679</v>
      </c>
    </row>
    <row r="3750" spans="1:31" ht="8.65" customHeight="1" x14ac:dyDescent="0.2">
      <c r="A3750" s="76">
        <v>3750</v>
      </c>
      <c r="B3750" s="67" t="str">
        <f>MID(C3750, FIND("Ifc.", C3750) + 4, 4) &amp; "_" &amp; TEXT(COUNTIF($C$2:C3750, C3750),"0000")</f>
        <v>Quan_0058</v>
      </c>
      <c r="C3750" s="23" t="s">
        <v>878</v>
      </c>
      <c r="D3750" s="69" t="s">
        <v>9453</v>
      </c>
      <c r="E3750" s="70" t="s">
        <v>9460</v>
      </c>
      <c r="F3750" s="26" t="s">
        <v>798</v>
      </c>
      <c r="G3750" s="15" t="s">
        <v>798</v>
      </c>
      <c r="H3750" s="14" t="s">
        <v>798</v>
      </c>
      <c r="I3750" s="15" t="s">
        <v>798</v>
      </c>
      <c r="J3750" s="12" t="s">
        <v>9441</v>
      </c>
      <c r="K3750" s="16" t="s">
        <v>3819</v>
      </c>
      <c r="L3750" s="12" t="s">
        <v>800</v>
      </c>
      <c r="M3750" s="16" t="s">
        <v>4780</v>
      </c>
      <c r="N3750" s="19" t="s">
        <v>798</v>
      </c>
      <c r="O3750" s="20" t="s">
        <v>798</v>
      </c>
      <c r="P3750" s="17" t="s">
        <v>802</v>
      </c>
      <c r="Q3750" s="21" t="s">
        <v>9371</v>
      </c>
      <c r="R3750" s="19" t="s">
        <v>798</v>
      </c>
      <c r="S3750" s="20" t="s">
        <v>798</v>
      </c>
      <c r="T3750" s="17" t="s">
        <v>798</v>
      </c>
      <c r="U3750" s="20" t="s">
        <v>798</v>
      </c>
      <c r="V3750" s="26" t="s">
        <v>798</v>
      </c>
      <c r="W3750" s="20" t="s">
        <v>798</v>
      </c>
      <c r="X3750" s="26" t="s">
        <v>798</v>
      </c>
      <c r="Y3750" s="20" t="s">
        <v>798</v>
      </c>
      <c r="Z3750" s="69" t="s">
        <v>9486</v>
      </c>
      <c r="AA3750" s="72" t="s">
        <v>9505</v>
      </c>
      <c r="AB3750" s="73" t="s">
        <v>9486</v>
      </c>
      <c r="AC3750" s="74" t="s">
        <v>9562</v>
      </c>
      <c r="AD3750" s="73" t="s">
        <v>9578</v>
      </c>
      <c r="AE3750" s="74" t="s">
        <v>9579</v>
      </c>
    </row>
    <row r="3751" spans="1:31" ht="8.65" customHeight="1" x14ac:dyDescent="0.2">
      <c r="A3751" s="76">
        <v>3751</v>
      </c>
      <c r="B3751" s="67" t="str">
        <f>MID(C3751, FIND("Ifc.", C3751) + 4, 4) &amp; "_" &amp; TEXT(COUNTIF($C$2:C3751, C3751),"0000")</f>
        <v>Quan_0059</v>
      </c>
      <c r="C3751" s="23" t="s">
        <v>878</v>
      </c>
      <c r="D3751" s="69" t="s">
        <v>9453</v>
      </c>
      <c r="E3751" s="70" t="s">
        <v>9460</v>
      </c>
      <c r="F3751" s="26" t="s">
        <v>798</v>
      </c>
      <c r="G3751" s="15" t="s">
        <v>798</v>
      </c>
      <c r="H3751" s="14" t="s">
        <v>798</v>
      </c>
      <c r="I3751" s="15" t="s">
        <v>798</v>
      </c>
      <c r="J3751" s="12" t="s">
        <v>9441</v>
      </c>
      <c r="K3751" s="16" t="s">
        <v>3820</v>
      </c>
      <c r="L3751" s="12" t="s">
        <v>800</v>
      </c>
      <c r="M3751" s="16" t="s">
        <v>4781</v>
      </c>
      <c r="N3751" s="19" t="s">
        <v>798</v>
      </c>
      <c r="O3751" s="20" t="s">
        <v>798</v>
      </c>
      <c r="P3751" s="17" t="s">
        <v>802</v>
      </c>
      <c r="Q3751" s="21" t="s">
        <v>9372</v>
      </c>
      <c r="R3751" s="19" t="s">
        <v>798</v>
      </c>
      <c r="S3751" s="20" t="s">
        <v>798</v>
      </c>
      <c r="T3751" s="17" t="s">
        <v>798</v>
      </c>
      <c r="U3751" s="20" t="s">
        <v>798</v>
      </c>
      <c r="V3751" s="26" t="s">
        <v>798</v>
      </c>
      <c r="W3751" s="20" t="s">
        <v>798</v>
      </c>
      <c r="X3751" s="26" t="s">
        <v>798</v>
      </c>
      <c r="Y3751" s="20" t="s">
        <v>798</v>
      </c>
      <c r="Z3751" s="69" t="s">
        <v>9486</v>
      </c>
      <c r="AA3751" s="72" t="s">
        <v>9505</v>
      </c>
      <c r="AB3751" s="73" t="s">
        <v>9486</v>
      </c>
      <c r="AC3751" s="74" t="s">
        <v>9562</v>
      </c>
      <c r="AD3751" s="73" t="s">
        <v>9578</v>
      </c>
      <c r="AE3751" s="74" t="s">
        <v>9595</v>
      </c>
    </row>
    <row r="3752" spans="1:31" ht="8.65" customHeight="1" x14ac:dyDescent="0.2">
      <c r="A3752" s="76">
        <v>3752</v>
      </c>
      <c r="B3752" s="67" t="str">
        <f>MID(C3752, FIND("Ifc.", C3752) + 4, 4) &amp; "_" &amp; TEXT(COUNTIF($C$2:C3752, C3752),"0000")</f>
        <v>Quan_0060</v>
      </c>
      <c r="C3752" s="23" t="s">
        <v>878</v>
      </c>
      <c r="D3752" s="69" t="s">
        <v>9453</v>
      </c>
      <c r="E3752" s="70" t="s">
        <v>9460</v>
      </c>
      <c r="F3752" s="26" t="s">
        <v>798</v>
      </c>
      <c r="G3752" s="15" t="s">
        <v>798</v>
      </c>
      <c r="H3752" s="14" t="s">
        <v>798</v>
      </c>
      <c r="I3752" s="15" t="s">
        <v>798</v>
      </c>
      <c r="J3752" s="12" t="s">
        <v>9441</v>
      </c>
      <c r="K3752" s="16" t="s">
        <v>3821</v>
      </c>
      <c r="L3752" s="12" t="s">
        <v>800</v>
      </c>
      <c r="M3752" s="16" t="s">
        <v>4782</v>
      </c>
      <c r="N3752" s="19" t="s">
        <v>798</v>
      </c>
      <c r="O3752" s="20" t="s">
        <v>798</v>
      </c>
      <c r="P3752" s="17" t="s">
        <v>802</v>
      </c>
      <c r="Q3752" s="21" t="s">
        <v>9373</v>
      </c>
      <c r="R3752" s="19" t="s">
        <v>798</v>
      </c>
      <c r="S3752" s="20" t="s">
        <v>798</v>
      </c>
      <c r="T3752" s="17" t="s">
        <v>798</v>
      </c>
      <c r="U3752" s="20" t="s">
        <v>798</v>
      </c>
      <c r="V3752" s="26" t="s">
        <v>798</v>
      </c>
      <c r="W3752" s="20" t="s">
        <v>798</v>
      </c>
      <c r="X3752" s="26" t="s">
        <v>798</v>
      </c>
      <c r="Y3752" s="20" t="s">
        <v>798</v>
      </c>
      <c r="Z3752" s="69" t="s">
        <v>9486</v>
      </c>
      <c r="AA3752" s="72" t="s">
        <v>9505</v>
      </c>
      <c r="AB3752" s="73" t="s">
        <v>9486</v>
      </c>
      <c r="AC3752" s="74" t="s">
        <v>9562</v>
      </c>
      <c r="AD3752" s="73" t="s">
        <v>9578</v>
      </c>
      <c r="AE3752" s="74" t="s">
        <v>9579</v>
      </c>
    </row>
    <row r="3753" spans="1:31" ht="8.65" customHeight="1" x14ac:dyDescent="0.2">
      <c r="A3753" s="76">
        <v>3753</v>
      </c>
      <c r="B3753" s="67" t="str">
        <f>MID(C3753, FIND("Ifc.", C3753) + 4, 4) &amp; "_" &amp; TEXT(COUNTIF($C$2:C3753, C3753),"0000")</f>
        <v>Quan_0061</v>
      </c>
      <c r="C3753" s="23" t="s">
        <v>878</v>
      </c>
      <c r="D3753" s="69" t="s">
        <v>9453</v>
      </c>
      <c r="E3753" s="70" t="s">
        <v>9460</v>
      </c>
      <c r="F3753" s="26" t="s">
        <v>798</v>
      </c>
      <c r="G3753" s="15" t="s">
        <v>798</v>
      </c>
      <c r="H3753" s="14" t="s">
        <v>798</v>
      </c>
      <c r="I3753" s="15" t="s">
        <v>798</v>
      </c>
      <c r="J3753" s="12" t="s">
        <v>9441</v>
      </c>
      <c r="K3753" s="16" t="s">
        <v>3822</v>
      </c>
      <c r="L3753" s="12" t="s">
        <v>800</v>
      </c>
      <c r="M3753" s="16" t="s">
        <v>4783</v>
      </c>
      <c r="N3753" s="19" t="s">
        <v>798</v>
      </c>
      <c r="O3753" s="20" t="s">
        <v>798</v>
      </c>
      <c r="P3753" s="17" t="s">
        <v>802</v>
      </c>
      <c r="Q3753" s="21" t="s">
        <v>9374</v>
      </c>
      <c r="R3753" s="19" t="s">
        <v>798</v>
      </c>
      <c r="S3753" s="20" t="s">
        <v>798</v>
      </c>
      <c r="T3753" s="17" t="s">
        <v>798</v>
      </c>
      <c r="U3753" s="20" t="s">
        <v>798</v>
      </c>
      <c r="V3753" s="26" t="s">
        <v>798</v>
      </c>
      <c r="W3753" s="20" t="s">
        <v>798</v>
      </c>
      <c r="X3753" s="26" t="s">
        <v>798</v>
      </c>
      <c r="Y3753" s="20" t="s">
        <v>798</v>
      </c>
      <c r="Z3753" s="69" t="s">
        <v>9486</v>
      </c>
      <c r="AA3753" s="72" t="s">
        <v>9505</v>
      </c>
      <c r="AB3753" s="73" t="s">
        <v>9486</v>
      </c>
      <c r="AC3753" s="74" t="s">
        <v>9562</v>
      </c>
      <c r="AD3753" s="73" t="s">
        <v>9578</v>
      </c>
      <c r="AE3753" s="74" t="s">
        <v>9579</v>
      </c>
    </row>
    <row r="3754" spans="1:31" ht="8.65" customHeight="1" x14ac:dyDescent="0.2">
      <c r="A3754" s="76">
        <v>3754</v>
      </c>
      <c r="B3754" s="67" t="str">
        <f>MID(C3754, FIND("Ifc.", C3754) + 4, 4) &amp; "_" &amp; TEXT(COUNTIF($C$2:C3754, C3754),"0000")</f>
        <v>Quan_0062</v>
      </c>
      <c r="C3754" s="23" t="s">
        <v>878</v>
      </c>
      <c r="D3754" s="69" t="s">
        <v>9453</v>
      </c>
      <c r="E3754" s="70" t="s">
        <v>9460</v>
      </c>
      <c r="F3754" s="26" t="s">
        <v>798</v>
      </c>
      <c r="G3754" s="15" t="s">
        <v>798</v>
      </c>
      <c r="H3754" s="14" t="s">
        <v>798</v>
      </c>
      <c r="I3754" s="15" t="s">
        <v>798</v>
      </c>
      <c r="J3754" s="12" t="s">
        <v>9441</v>
      </c>
      <c r="K3754" s="16" t="s">
        <v>3823</v>
      </c>
      <c r="L3754" s="12" t="s">
        <v>800</v>
      </c>
      <c r="M3754" s="16" t="s">
        <v>4784</v>
      </c>
      <c r="N3754" s="19" t="s">
        <v>798</v>
      </c>
      <c r="O3754" s="20" t="s">
        <v>798</v>
      </c>
      <c r="P3754" s="17" t="s">
        <v>802</v>
      </c>
      <c r="Q3754" s="21" t="s">
        <v>9375</v>
      </c>
      <c r="R3754" s="19" t="s">
        <v>798</v>
      </c>
      <c r="S3754" s="20" t="s">
        <v>798</v>
      </c>
      <c r="T3754" s="17" t="s">
        <v>798</v>
      </c>
      <c r="U3754" s="20" t="s">
        <v>798</v>
      </c>
      <c r="V3754" s="26" t="s">
        <v>798</v>
      </c>
      <c r="W3754" s="20" t="s">
        <v>798</v>
      </c>
      <c r="X3754" s="26" t="s">
        <v>798</v>
      </c>
      <c r="Y3754" s="20" t="s">
        <v>798</v>
      </c>
      <c r="Z3754" s="69" t="s">
        <v>9486</v>
      </c>
      <c r="AA3754" s="72" t="s">
        <v>9505</v>
      </c>
      <c r="AB3754" s="73" t="s">
        <v>9486</v>
      </c>
      <c r="AC3754" s="74" t="s">
        <v>9562</v>
      </c>
      <c r="AD3754" s="73" t="s">
        <v>9578</v>
      </c>
      <c r="AE3754" s="74" t="s">
        <v>9579</v>
      </c>
    </row>
    <row r="3755" spans="1:31" ht="8.65" customHeight="1" x14ac:dyDescent="0.2">
      <c r="A3755" s="76">
        <v>3755</v>
      </c>
      <c r="B3755" s="67" t="str">
        <f>MID(C3755, FIND("Ifc.", C3755) + 4, 4) &amp; "_" &amp; TEXT(COUNTIF($C$2:C3755, C3755),"0000")</f>
        <v>Quan_0063</v>
      </c>
      <c r="C3755" s="23" t="s">
        <v>878</v>
      </c>
      <c r="D3755" s="69" t="s">
        <v>9453</v>
      </c>
      <c r="E3755" s="70" t="s">
        <v>9460</v>
      </c>
      <c r="F3755" s="26" t="s">
        <v>798</v>
      </c>
      <c r="G3755" s="15" t="s">
        <v>798</v>
      </c>
      <c r="H3755" s="14" t="s">
        <v>798</v>
      </c>
      <c r="I3755" s="15" t="s">
        <v>798</v>
      </c>
      <c r="J3755" s="12" t="s">
        <v>9441</v>
      </c>
      <c r="K3755" s="16" t="s">
        <v>3824</v>
      </c>
      <c r="L3755" s="12" t="s">
        <v>800</v>
      </c>
      <c r="M3755" s="16" t="s">
        <v>4785</v>
      </c>
      <c r="N3755" s="19" t="s">
        <v>798</v>
      </c>
      <c r="O3755" s="20" t="s">
        <v>798</v>
      </c>
      <c r="P3755" s="17" t="s">
        <v>802</v>
      </c>
      <c r="Q3755" s="21" t="s">
        <v>9376</v>
      </c>
      <c r="R3755" s="19" t="s">
        <v>798</v>
      </c>
      <c r="S3755" s="20" t="s">
        <v>798</v>
      </c>
      <c r="T3755" s="17" t="s">
        <v>798</v>
      </c>
      <c r="U3755" s="20" t="s">
        <v>798</v>
      </c>
      <c r="V3755" s="26" t="s">
        <v>798</v>
      </c>
      <c r="W3755" s="20" t="s">
        <v>798</v>
      </c>
      <c r="X3755" s="26" t="s">
        <v>798</v>
      </c>
      <c r="Y3755" s="20" t="s">
        <v>798</v>
      </c>
      <c r="Z3755" s="69" t="s">
        <v>9486</v>
      </c>
      <c r="AA3755" s="72" t="s">
        <v>9505</v>
      </c>
      <c r="AB3755" s="73" t="s">
        <v>9486</v>
      </c>
      <c r="AC3755" s="74" t="s">
        <v>9562</v>
      </c>
      <c r="AD3755" s="73" t="s">
        <v>9578</v>
      </c>
      <c r="AE3755" s="74" t="s">
        <v>9579</v>
      </c>
    </row>
    <row r="3756" spans="1:31" ht="8.65" customHeight="1" x14ac:dyDescent="0.2">
      <c r="A3756" s="76">
        <v>3756</v>
      </c>
      <c r="B3756" s="67" t="str">
        <f>MID(C3756, FIND("Ifc.", C3756) + 4, 4) &amp; "_" &amp; TEXT(COUNTIF($C$2:C3756, C3756),"0000")</f>
        <v>Quan_0064</v>
      </c>
      <c r="C3756" s="23" t="s">
        <v>878</v>
      </c>
      <c r="D3756" s="69" t="s">
        <v>9453</v>
      </c>
      <c r="E3756" s="70" t="s">
        <v>9460</v>
      </c>
      <c r="F3756" s="26" t="s">
        <v>798</v>
      </c>
      <c r="G3756" s="15" t="s">
        <v>798</v>
      </c>
      <c r="H3756" s="14" t="s">
        <v>798</v>
      </c>
      <c r="I3756" s="15" t="s">
        <v>798</v>
      </c>
      <c r="J3756" s="12" t="s">
        <v>9441</v>
      </c>
      <c r="K3756" s="16" t="s">
        <v>3825</v>
      </c>
      <c r="L3756" s="12" t="s">
        <v>800</v>
      </c>
      <c r="M3756" s="16" t="s">
        <v>4786</v>
      </c>
      <c r="N3756" s="19" t="s">
        <v>798</v>
      </c>
      <c r="O3756" s="20" t="s">
        <v>798</v>
      </c>
      <c r="P3756" s="17" t="s">
        <v>802</v>
      </c>
      <c r="Q3756" s="21" t="s">
        <v>9377</v>
      </c>
      <c r="R3756" s="19" t="s">
        <v>798</v>
      </c>
      <c r="S3756" s="20" t="s">
        <v>798</v>
      </c>
      <c r="T3756" s="17" t="s">
        <v>798</v>
      </c>
      <c r="U3756" s="20" t="s">
        <v>798</v>
      </c>
      <c r="V3756" s="26" t="s">
        <v>798</v>
      </c>
      <c r="W3756" s="20" t="s">
        <v>798</v>
      </c>
      <c r="X3756" s="26" t="s">
        <v>798</v>
      </c>
      <c r="Y3756" s="20" t="s">
        <v>798</v>
      </c>
      <c r="Z3756" s="69" t="s">
        <v>9486</v>
      </c>
      <c r="AA3756" s="72" t="s">
        <v>9505</v>
      </c>
      <c r="AB3756" s="73" t="s">
        <v>9486</v>
      </c>
      <c r="AC3756" s="74" t="s">
        <v>9562</v>
      </c>
      <c r="AD3756" s="73" t="s">
        <v>9578</v>
      </c>
      <c r="AE3756" s="74" t="s">
        <v>9579</v>
      </c>
    </row>
    <row r="3757" spans="1:31" ht="8.65" customHeight="1" x14ac:dyDescent="0.2">
      <c r="A3757" s="76">
        <v>3757</v>
      </c>
      <c r="B3757" s="67" t="str">
        <f>MID(C3757, FIND("Ifc.", C3757) + 4, 4) &amp; "_" &amp; TEXT(COUNTIF($C$2:C3757, C3757),"0000")</f>
        <v>Quan_0065</v>
      </c>
      <c r="C3757" s="23" t="s">
        <v>878</v>
      </c>
      <c r="D3757" s="69" t="s">
        <v>9453</v>
      </c>
      <c r="E3757" s="70" t="s">
        <v>9460</v>
      </c>
      <c r="F3757" s="26" t="s">
        <v>798</v>
      </c>
      <c r="G3757" s="15" t="s">
        <v>798</v>
      </c>
      <c r="H3757" s="14" t="s">
        <v>798</v>
      </c>
      <c r="I3757" s="15" t="s">
        <v>798</v>
      </c>
      <c r="J3757" s="12" t="s">
        <v>9441</v>
      </c>
      <c r="K3757" s="16" t="s">
        <v>3826</v>
      </c>
      <c r="L3757" s="12" t="s">
        <v>800</v>
      </c>
      <c r="M3757" s="16" t="s">
        <v>4787</v>
      </c>
      <c r="N3757" s="19" t="s">
        <v>798</v>
      </c>
      <c r="O3757" s="20" t="s">
        <v>798</v>
      </c>
      <c r="P3757" s="17" t="s">
        <v>802</v>
      </c>
      <c r="Q3757" s="21" t="s">
        <v>9378</v>
      </c>
      <c r="R3757" s="19" t="s">
        <v>798</v>
      </c>
      <c r="S3757" s="20" t="s">
        <v>798</v>
      </c>
      <c r="T3757" s="17" t="s">
        <v>798</v>
      </c>
      <c r="U3757" s="20" t="s">
        <v>798</v>
      </c>
      <c r="V3757" s="26" t="s">
        <v>798</v>
      </c>
      <c r="W3757" s="20" t="s">
        <v>798</v>
      </c>
      <c r="X3757" s="26" t="s">
        <v>798</v>
      </c>
      <c r="Y3757" s="20" t="s">
        <v>798</v>
      </c>
      <c r="Z3757" s="69" t="s">
        <v>9486</v>
      </c>
      <c r="AA3757" s="72" t="s">
        <v>9505</v>
      </c>
      <c r="AB3757" s="73" t="s">
        <v>9486</v>
      </c>
      <c r="AC3757" s="74" t="s">
        <v>9562</v>
      </c>
      <c r="AD3757" s="73" t="s">
        <v>9578</v>
      </c>
      <c r="AE3757" s="74" t="s">
        <v>9579</v>
      </c>
    </row>
    <row r="3758" spans="1:31" ht="8.65" customHeight="1" x14ac:dyDescent="0.2">
      <c r="A3758" s="76">
        <v>3758</v>
      </c>
      <c r="B3758" s="67" t="str">
        <f>MID(C3758, FIND("Ifc.", C3758) + 4, 4) &amp; "_" &amp; TEXT(COUNTIF($C$2:C3758, C3758),"0000")</f>
        <v>Quan_0066</v>
      </c>
      <c r="C3758" s="23" t="s">
        <v>878</v>
      </c>
      <c r="D3758" s="69" t="s">
        <v>9453</v>
      </c>
      <c r="E3758" s="70" t="s">
        <v>9460</v>
      </c>
      <c r="F3758" s="26" t="s">
        <v>798</v>
      </c>
      <c r="G3758" s="15" t="s">
        <v>798</v>
      </c>
      <c r="H3758" s="14" t="s">
        <v>798</v>
      </c>
      <c r="I3758" s="15" t="s">
        <v>798</v>
      </c>
      <c r="J3758" s="12" t="s">
        <v>9441</v>
      </c>
      <c r="K3758" s="16" t="s">
        <v>3827</v>
      </c>
      <c r="L3758" s="12" t="s">
        <v>800</v>
      </c>
      <c r="M3758" s="16" t="s">
        <v>4788</v>
      </c>
      <c r="N3758" s="19" t="s">
        <v>798</v>
      </c>
      <c r="O3758" s="20" t="s">
        <v>798</v>
      </c>
      <c r="P3758" s="17" t="s">
        <v>802</v>
      </c>
      <c r="Q3758" s="21" t="s">
        <v>9379</v>
      </c>
      <c r="R3758" s="19" t="s">
        <v>798</v>
      </c>
      <c r="S3758" s="20" t="s">
        <v>798</v>
      </c>
      <c r="T3758" s="17" t="s">
        <v>798</v>
      </c>
      <c r="U3758" s="20" t="s">
        <v>798</v>
      </c>
      <c r="V3758" s="26" t="s">
        <v>798</v>
      </c>
      <c r="W3758" s="20" t="s">
        <v>798</v>
      </c>
      <c r="X3758" s="26" t="s">
        <v>798</v>
      </c>
      <c r="Y3758" s="20" t="s">
        <v>798</v>
      </c>
      <c r="Z3758" s="69" t="s">
        <v>9486</v>
      </c>
      <c r="AA3758" s="72" t="s">
        <v>9505</v>
      </c>
      <c r="AB3758" s="73" t="s">
        <v>9486</v>
      </c>
      <c r="AC3758" s="74" t="s">
        <v>9562</v>
      </c>
      <c r="AD3758" s="73" t="s">
        <v>9578</v>
      </c>
      <c r="AE3758" s="74" t="s">
        <v>9579</v>
      </c>
    </row>
    <row r="3759" spans="1:31" ht="8.65" customHeight="1" x14ac:dyDescent="0.2">
      <c r="A3759" s="76">
        <v>3759</v>
      </c>
      <c r="B3759" s="67" t="str">
        <f>MID(C3759, FIND("Ifc.", C3759) + 4, 4) &amp; "_" &amp; TEXT(COUNTIF($C$2:C3759, C3759),"0000")</f>
        <v>Quan_0067</v>
      </c>
      <c r="C3759" s="23" t="s">
        <v>878</v>
      </c>
      <c r="D3759" s="69" t="s">
        <v>9453</v>
      </c>
      <c r="E3759" s="70" t="s">
        <v>9460</v>
      </c>
      <c r="F3759" s="26" t="s">
        <v>798</v>
      </c>
      <c r="G3759" s="15" t="s">
        <v>798</v>
      </c>
      <c r="H3759" s="14" t="s">
        <v>798</v>
      </c>
      <c r="I3759" s="15" t="s">
        <v>798</v>
      </c>
      <c r="J3759" s="12" t="s">
        <v>9441</v>
      </c>
      <c r="K3759" s="16" t="s">
        <v>3828</v>
      </c>
      <c r="L3759" s="12" t="s">
        <v>800</v>
      </c>
      <c r="M3759" s="16" t="s">
        <v>4789</v>
      </c>
      <c r="N3759" s="19" t="s">
        <v>798</v>
      </c>
      <c r="O3759" s="20" t="s">
        <v>798</v>
      </c>
      <c r="P3759" s="17" t="s">
        <v>802</v>
      </c>
      <c r="Q3759" s="21" t="s">
        <v>9380</v>
      </c>
      <c r="R3759" s="19" t="s">
        <v>798</v>
      </c>
      <c r="S3759" s="20" t="s">
        <v>798</v>
      </c>
      <c r="T3759" s="17" t="s">
        <v>798</v>
      </c>
      <c r="U3759" s="20" t="s">
        <v>798</v>
      </c>
      <c r="V3759" s="26" t="s">
        <v>798</v>
      </c>
      <c r="W3759" s="20" t="s">
        <v>798</v>
      </c>
      <c r="X3759" s="26" t="s">
        <v>798</v>
      </c>
      <c r="Y3759" s="20" t="s">
        <v>798</v>
      </c>
      <c r="Z3759" s="69" t="s">
        <v>9486</v>
      </c>
      <c r="AA3759" s="72" t="s">
        <v>9505</v>
      </c>
      <c r="AB3759" s="73" t="s">
        <v>9486</v>
      </c>
      <c r="AC3759" s="74" t="s">
        <v>9562</v>
      </c>
      <c r="AD3759" s="73" t="s">
        <v>9578</v>
      </c>
      <c r="AE3759" s="74" t="s">
        <v>9579</v>
      </c>
    </row>
    <row r="3760" spans="1:31" ht="8.65" customHeight="1" x14ac:dyDescent="0.2">
      <c r="A3760" s="76">
        <v>3760</v>
      </c>
      <c r="B3760" s="67" t="str">
        <f>MID(C3760, FIND("Ifc.", C3760) + 4, 4) &amp; "_" &amp; TEXT(COUNTIF($C$2:C3760, C3760),"0000")</f>
        <v>Quan_0068</v>
      </c>
      <c r="C3760" s="23" t="s">
        <v>878</v>
      </c>
      <c r="D3760" s="69" t="s">
        <v>9453</v>
      </c>
      <c r="E3760" s="70" t="s">
        <v>9460</v>
      </c>
      <c r="F3760" s="26" t="s">
        <v>798</v>
      </c>
      <c r="G3760" s="15" t="s">
        <v>798</v>
      </c>
      <c r="H3760" s="14" t="s">
        <v>798</v>
      </c>
      <c r="I3760" s="15" t="s">
        <v>798</v>
      </c>
      <c r="J3760" s="12" t="s">
        <v>9441</v>
      </c>
      <c r="K3760" s="16" t="s">
        <v>3829</v>
      </c>
      <c r="L3760" s="12" t="s">
        <v>800</v>
      </c>
      <c r="M3760" s="16" t="s">
        <v>4790</v>
      </c>
      <c r="N3760" s="19" t="s">
        <v>798</v>
      </c>
      <c r="O3760" s="20" t="s">
        <v>798</v>
      </c>
      <c r="P3760" s="17" t="s">
        <v>802</v>
      </c>
      <c r="Q3760" s="21" t="s">
        <v>9381</v>
      </c>
      <c r="R3760" s="19" t="s">
        <v>798</v>
      </c>
      <c r="S3760" s="20" t="s">
        <v>798</v>
      </c>
      <c r="T3760" s="17" t="s">
        <v>798</v>
      </c>
      <c r="U3760" s="20" t="s">
        <v>798</v>
      </c>
      <c r="V3760" s="26" t="s">
        <v>798</v>
      </c>
      <c r="W3760" s="20" t="s">
        <v>798</v>
      </c>
      <c r="X3760" s="26" t="s">
        <v>798</v>
      </c>
      <c r="Y3760" s="20" t="s">
        <v>798</v>
      </c>
      <c r="Z3760" s="69" t="s">
        <v>9486</v>
      </c>
      <c r="AA3760" s="72" t="s">
        <v>9505</v>
      </c>
      <c r="AB3760" s="73" t="s">
        <v>9486</v>
      </c>
      <c r="AC3760" s="74" t="s">
        <v>9562</v>
      </c>
      <c r="AD3760" s="73" t="s">
        <v>9578</v>
      </c>
      <c r="AE3760" s="74" t="s">
        <v>9579</v>
      </c>
    </row>
    <row r="3761" spans="1:31" ht="8.65" customHeight="1" x14ac:dyDescent="0.2">
      <c r="A3761" s="76">
        <v>3761</v>
      </c>
      <c r="B3761" s="67" t="str">
        <f>MID(C3761, FIND("Ifc.", C3761) + 4, 4) &amp; "_" &amp; TEXT(COUNTIF($C$2:C3761, C3761),"0000")</f>
        <v>Quan_0069</v>
      </c>
      <c r="C3761" s="23" t="s">
        <v>878</v>
      </c>
      <c r="D3761" s="69" t="s">
        <v>9453</v>
      </c>
      <c r="E3761" s="70" t="s">
        <v>9460</v>
      </c>
      <c r="F3761" s="26" t="s">
        <v>798</v>
      </c>
      <c r="G3761" s="15" t="s">
        <v>798</v>
      </c>
      <c r="H3761" s="14" t="s">
        <v>798</v>
      </c>
      <c r="I3761" s="15" t="s">
        <v>798</v>
      </c>
      <c r="J3761" s="12" t="s">
        <v>9441</v>
      </c>
      <c r="K3761" s="16" t="s">
        <v>3830</v>
      </c>
      <c r="L3761" s="12" t="s">
        <v>800</v>
      </c>
      <c r="M3761" s="16" t="s">
        <v>4791</v>
      </c>
      <c r="N3761" s="19" t="s">
        <v>798</v>
      </c>
      <c r="O3761" s="20" t="s">
        <v>798</v>
      </c>
      <c r="P3761" s="17" t="s">
        <v>802</v>
      </c>
      <c r="Q3761" s="21" t="s">
        <v>9382</v>
      </c>
      <c r="R3761" s="19" t="s">
        <v>798</v>
      </c>
      <c r="S3761" s="20" t="s">
        <v>798</v>
      </c>
      <c r="T3761" s="17" t="s">
        <v>798</v>
      </c>
      <c r="U3761" s="20" t="s">
        <v>798</v>
      </c>
      <c r="V3761" s="26" t="s">
        <v>798</v>
      </c>
      <c r="W3761" s="20" t="s">
        <v>798</v>
      </c>
      <c r="X3761" s="26" t="s">
        <v>798</v>
      </c>
      <c r="Y3761" s="20" t="s">
        <v>798</v>
      </c>
      <c r="Z3761" s="69" t="s">
        <v>9486</v>
      </c>
      <c r="AA3761" s="72" t="s">
        <v>9505</v>
      </c>
      <c r="AB3761" s="73" t="s">
        <v>9486</v>
      </c>
      <c r="AC3761" s="74" t="s">
        <v>9562</v>
      </c>
      <c r="AD3761" s="73" t="s">
        <v>9578</v>
      </c>
      <c r="AE3761" s="74" t="s">
        <v>9666</v>
      </c>
    </row>
    <row r="3762" spans="1:31" ht="8.65" customHeight="1" x14ac:dyDescent="0.2">
      <c r="A3762" s="76">
        <v>3762</v>
      </c>
      <c r="B3762" s="67" t="str">
        <f>MID(C3762, FIND("Ifc.", C3762) + 4, 4) &amp; "_" &amp; TEXT(COUNTIF($C$2:C3762, C3762),"0000")</f>
        <v>Quan_0070</v>
      </c>
      <c r="C3762" s="23" t="s">
        <v>878</v>
      </c>
      <c r="D3762" s="69" t="s">
        <v>9453</v>
      </c>
      <c r="E3762" s="70" t="s">
        <v>9460</v>
      </c>
      <c r="F3762" s="26" t="s">
        <v>798</v>
      </c>
      <c r="G3762" s="15" t="s">
        <v>798</v>
      </c>
      <c r="H3762" s="14" t="s">
        <v>798</v>
      </c>
      <c r="I3762" s="15" t="s">
        <v>798</v>
      </c>
      <c r="J3762" s="12" t="s">
        <v>9441</v>
      </c>
      <c r="K3762" s="16" t="s">
        <v>3831</v>
      </c>
      <c r="L3762" s="12" t="s">
        <v>800</v>
      </c>
      <c r="M3762" s="16" t="s">
        <v>4792</v>
      </c>
      <c r="N3762" s="19" t="s">
        <v>798</v>
      </c>
      <c r="O3762" s="20" t="s">
        <v>798</v>
      </c>
      <c r="P3762" s="17" t="s">
        <v>802</v>
      </c>
      <c r="Q3762" s="21" t="s">
        <v>9383</v>
      </c>
      <c r="R3762" s="19" t="s">
        <v>798</v>
      </c>
      <c r="S3762" s="20" t="s">
        <v>798</v>
      </c>
      <c r="T3762" s="17" t="s">
        <v>798</v>
      </c>
      <c r="U3762" s="20" t="s">
        <v>798</v>
      </c>
      <c r="V3762" s="26" t="s">
        <v>798</v>
      </c>
      <c r="W3762" s="20" t="s">
        <v>798</v>
      </c>
      <c r="X3762" s="26" t="s">
        <v>798</v>
      </c>
      <c r="Y3762" s="20" t="s">
        <v>798</v>
      </c>
      <c r="Z3762" s="69" t="s">
        <v>9486</v>
      </c>
      <c r="AA3762" s="72" t="s">
        <v>9505</v>
      </c>
      <c r="AB3762" s="73" t="s">
        <v>9486</v>
      </c>
      <c r="AC3762" s="74" t="s">
        <v>9562</v>
      </c>
      <c r="AD3762" s="73" t="s">
        <v>9578</v>
      </c>
      <c r="AE3762" s="74" t="s">
        <v>9665</v>
      </c>
    </row>
    <row r="3763" spans="1:31" ht="8.65" customHeight="1" x14ac:dyDescent="0.2">
      <c r="A3763" s="76">
        <v>3763</v>
      </c>
      <c r="B3763" s="67" t="str">
        <f>MID(C3763, FIND("Ifc.", C3763) + 4, 4) &amp; "_" &amp; TEXT(COUNTIF($C$2:C3763, C3763),"0000")</f>
        <v>Quan_0071</v>
      </c>
      <c r="C3763" s="23" t="s">
        <v>878</v>
      </c>
      <c r="D3763" s="69" t="s">
        <v>9453</v>
      </c>
      <c r="E3763" s="70" t="s">
        <v>9460</v>
      </c>
      <c r="F3763" s="26" t="s">
        <v>798</v>
      </c>
      <c r="G3763" s="15" t="s">
        <v>798</v>
      </c>
      <c r="H3763" s="14" t="s">
        <v>798</v>
      </c>
      <c r="I3763" s="15" t="s">
        <v>798</v>
      </c>
      <c r="J3763" s="12" t="s">
        <v>9441</v>
      </c>
      <c r="K3763" s="16" t="s">
        <v>3832</v>
      </c>
      <c r="L3763" s="12" t="s">
        <v>800</v>
      </c>
      <c r="M3763" s="16" t="s">
        <v>4793</v>
      </c>
      <c r="N3763" s="19" t="s">
        <v>798</v>
      </c>
      <c r="O3763" s="20" t="s">
        <v>798</v>
      </c>
      <c r="P3763" s="17" t="s">
        <v>802</v>
      </c>
      <c r="Q3763" s="21" t="s">
        <v>9384</v>
      </c>
      <c r="R3763" s="19" t="s">
        <v>798</v>
      </c>
      <c r="S3763" s="20" t="s">
        <v>798</v>
      </c>
      <c r="T3763" s="17" t="s">
        <v>798</v>
      </c>
      <c r="U3763" s="20" t="s">
        <v>798</v>
      </c>
      <c r="V3763" s="26" t="s">
        <v>798</v>
      </c>
      <c r="W3763" s="20" t="s">
        <v>798</v>
      </c>
      <c r="X3763" s="26" t="s">
        <v>798</v>
      </c>
      <c r="Y3763" s="20" t="s">
        <v>798</v>
      </c>
      <c r="Z3763" s="69" t="s">
        <v>9486</v>
      </c>
      <c r="AA3763" s="72" t="s">
        <v>9505</v>
      </c>
      <c r="AB3763" s="73" t="s">
        <v>9486</v>
      </c>
      <c r="AC3763" s="74" t="s">
        <v>9562</v>
      </c>
      <c r="AD3763" s="73" t="s">
        <v>9578</v>
      </c>
      <c r="AE3763" s="74" t="s">
        <v>9666</v>
      </c>
    </row>
    <row r="3764" spans="1:31" ht="8.65" customHeight="1" x14ac:dyDescent="0.2">
      <c r="A3764" s="76">
        <v>3764</v>
      </c>
      <c r="B3764" s="67" t="str">
        <f>MID(C3764, FIND("Ifc.", C3764) + 4, 4) &amp; "_" &amp; TEXT(COUNTIF($C$2:C3764, C3764),"0000")</f>
        <v>Quan_0072</v>
      </c>
      <c r="C3764" s="23" t="s">
        <v>878</v>
      </c>
      <c r="D3764" s="69" t="s">
        <v>9453</v>
      </c>
      <c r="E3764" s="70" t="s">
        <v>9460</v>
      </c>
      <c r="F3764" s="26" t="s">
        <v>798</v>
      </c>
      <c r="G3764" s="15" t="s">
        <v>798</v>
      </c>
      <c r="H3764" s="14" t="s">
        <v>798</v>
      </c>
      <c r="I3764" s="15" t="s">
        <v>798</v>
      </c>
      <c r="J3764" s="12" t="s">
        <v>9441</v>
      </c>
      <c r="K3764" s="16" t="s">
        <v>3833</v>
      </c>
      <c r="L3764" s="12" t="s">
        <v>800</v>
      </c>
      <c r="M3764" s="16" t="s">
        <v>4794</v>
      </c>
      <c r="N3764" s="19" t="s">
        <v>798</v>
      </c>
      <c r="O3764" s="20" t="s">
        <v>798</v>
      </c>
      <c r="P3764" s="17" t="s">
        <v>802</v>
      </c>
      <c r="Q3764" s="21" t="s">
        <v>9385</v>
      </c>
      <c r="R3764" s="19" t="s">
        <v>798</v>
      </c>
      <c r="S3764" s="20" t="s">
        <v>798</v>
      </c>
      <c r="T3764" s="17" t="s">
        <v>798</v>
      </c>
      <c r="U3764" s="20" t="s">
        <v>798</v>
      </c>
      <c r="V3764" s="26" t="s">
        <v>798</v>
      </c>
      <c r="W3764" s="20" t="s">
        <v>798</v>
      </c>
      <c r="X3764" s="26" t="s">
        <v>798</v>
      </c>
      <c r="Y3764" s="20" t="s">
        <v>798</v>
      </c>
      <c r="Z3764" s="69" t="s">
        <v>9486</v>
      </c>
      <c r="AA3764" s="72" t="s">
        <v>9505</v>
      </c>
      <c r="AB3764" s="73" t="s">
        <v>9486</v>
      </c>
      <c r="AC3764" s="74" t="s">
        <v>9562</v>
      </c>
      <c r="AD3764" s="73" t="s">
        <v>9578</v>
      </c>
      <c r="AE3764" s="74" t="s">
        <v>9664</v>
      </c>
    </row>
    <row r="3765" spans="1:31" ht="8.65" customHeight="1" x14ac:dyDescent="0.2">
      <c r="A3765" s="76">
        <v>3765</v>
      </c>
      <c r="B3765" s="67" t="str">
        <f>MID(C3765, FIND("Ifc.", C3765) + 4, 4) &amp; "_" &amp; TEXT(COUNTIF($C$2:C3765, C3765),"0000")</f>
        <v>Quan_0073</v>
      </c>
      <c r="C3765" s="23" t="s">
        <v>878</v>
      </c>
      <c r="D3765" s="69" t="s">
        <v>9453</v>
      </c>
      <c r="E3765" s="70" t="s">
        <v>9460</v>
      </c>
      <c r="F3765" s="26" t="s">
        <v>798</v>
      </c>
      <c r="G3765" s="15" t="s">
        <v>798</v>
      </c>
      <c r="H3765" s="14" t="s">
        <v>798</v>
      </c>
      <c r="I3765" s="15" t="s">
        <v>798</v>
      </c>
      <c r="J3765" s="12" t="s">
        <v>9441</v>
      </c>
      <c r="K3765" s="16" t="s">
        <v>3834</v>
      </c>
      <c r="L3765" s="12" t="s">
        <v>800</v>
      </c>
      <c r="M3765" s="16" t="s">
        <v>4795</v>
      </c>
      <c r="N3765" s="19" t="s">
        <v>798</v>
      </c>
      <c r="O3765" s="20" t="s">
        <v>798</v>
      </c>
      <c r="P3765" s="17" t="s">
        <v>802</v>
      </c>
      <c r="Q3765" s="21" t="s">
        <v>9386</v>
      </c>
      <c r="R3765" s="19" t="s">
        <v>798</v>
      </c>
      <c r="S3765" s="20" t="s">
        <v>798</v>
      </c>
      <c r="T3765" s="17" t="s">
        <v>798</v>
      </c>
      <c r="U3765" s="20" t="s">
        <v>798</v>
      </c>
      <c r="V3765" s="26" t="s">
        <v>798</v>
      </c>
      <c r="W3765" s="20" t="s">
        <v>798</v>
      </c>
      <c r="X3765" s="26" t="s">
        <v>798</v>
      </c>
      <c r="Y3765" s="20" t="s">
        <v>798</v>
      </c>
      <c r="Z3765" s="69" t="s">
        <v>9486</v>
      </c>
      <c r="AA3765" s="72" t="s">
        <v>9505</v>
      </c>
      <c r="AB3765" s="73" t="s">
        <v>9486</v>
      </c>
      <c r="AC3765" s="74" t="s">
        <v>9562</v>
      </c>
      <c r="AD3765" s="73" t="s">
        <v>9578</v>
      </c>
      <c r="AE3765" s="74" t="s">
        <v>9579</v>
      </c>
    </row>
    <row r="3766" spans="1:31" ht="8.65" customHeight="1" x14ac:dyDescent="0.2">
      <c r="A3766" s="76">
        <v>3766</v>
      </c>
      <c r="B3766" s="67" t="str">
        <f>MID(C3766, FIND("Ifc.", C3766) + 4, 4) &amp; "_" &amp; TEXT(COUNTIF($C$2:C3766, C3766),"0000")</f>
        <v>Quan_0074</v>
      </c>
      <c r="C3766" s="23" t="s">
        <v>878</v>
      </c>
      <c r="D3766" s="69" t="s">
        <v>9453</v>
      </c>
      <c r="E3766" s="70" t="s">
        <v>9460</v>
      </c>
      <c r="F3766" s="26" t="s">
        <v>798</v>
      </c>
      <c r="G3766" s="15" t="s">
        <v>798</v>
      </c>
      <c r="H3766" s="14" t="s">
        <v>798</v>
      </c>
      <c r="I3766" s="15" t="s">
        <v>798</v>
      </c>
      <c r="J3766" s="12" t="s">
        <v>9441</v>
      </c>
      <c r="K3766" s="16" t="s">
        <v>3835</v>
      </c>
      <c r="L3766" s="12" t="s">
        <v>800</v>
      </c>
      <c r="M3766" s="16" t="s">
        <v>4796</v>
      </c>
      <c r="N3766" s="19" t="s">
        <v>798</v>
      </c>
      <c r="O3766" s="20" t="s">
        <v>798</v>
      </c>
      <c r="P3766" s="17" t="s">
        <v>802</v>
      </c>
      <c r="Q3766" s="21" t="s">
        <v>9387</v>
      </c>
      <c r="R3766" s="19" t="s">
        <v>798</v>
      </c>
      <c r="S3766" s="20" t="s">
        <v>798</v>
      </c>
      <c r="T3766" s="17" t="s">
        <v>798</v>
      </c>
      <c r="U3766" s="20" t="s">
        <v>798</v>
      </c>
      <c r="V3766" s="26" t="s">
        <v>798</v>
      </c>
      <c r="W3766" s="20" t="s">
        <v>798</v>
      </c>
      <c r="X3766" s="26" t="s">
        <v>798</v>
      </c>
      <c r="Y3766" s="20" t="s">
        <v>798</v>
      </c>
      <c r="Z3766" s="69" t="s">
        <v>9486</v>
      </c>
      <c r="AA3766" s="72" t="s">
        <v>9505</v>
      </c>
      <c r="AB3766" s="73" t="s">
        <v>9486</v>
      </c>
      <c r="AC3766" s="74" t="s">
        <v>9562</v>
      </c>
      <c r="AD3766" s="73" t="s">
        <v>9578</v>
      </c>
      <c r="AE3766" s="74" t="s">
        <v>9579</v>
      </c>
    </row>
    <row r="3767" spans="1:31" ht="8.65" customHeight="1" x14ac:dyDescent="0.2">
      <c r="A3767" s="76">
        <v>3767</v>
      </c>
      <c r="B3767" s="67" t="str">
        <f>MID(C3767, FIND("Ifc.", C3767) + 4, 4) &amp; "_" &amp; TEXT(COUNTIF($C$2:C3767, C3767),"0000")</f>
        <v>Quan_0075</v>
      </c>
      <c r="C3767" s="23" t="s">
        <v>878</v>
      </c>
      <c r="D3767" s="69" t="s">
        <v>9453</v>
      </c>
      <c r="E3767" s="70" t="s">
        <v>9460</v>
      </c>
      <c r="F3767" s="26" t="s">
        <v>798</v>
      </c>
      <c r="G3767" s="15" t="s">
        <v>798</v>
      </c>
      <c r="H3767" s="14" t="s">
        <v>798</v>
      </c>
      <c r="I3767" s="15" t="s">
        <v>798</v>
      </c>
      <c r="J3767" s="12" t="s">
        <v>9441</v>
      </c>
      <c r="K3767" s="16" t="s">
        <v>3836</v>
      </c>
      <c r="L3767" s="12" t="s">
        <v>800</v>
      </c>
      <c r="M3767" s="16" t="s">
        <v>4797</v>
      </c>
      <c r="N3767" s="19" t="s">
        <v>798</v>
      </c>
      <c r="O3767" s="20" t="s">
        <v>798</v>
      </c>
      <c r="P3767" s="17" t="s">
        <v>802</v>
      </c>
      <c r="Q3767" s="21" t="s">
        <v>9388</v>
      </c>
      <c r="R3767" s="19" t="s">
        <v>798</v>
      </c>
      <c r="S3767" s="20" t="s">
        <v>798</v>
      </c>
      <c r="T3767" s="17" t="s">
        <v>798</v>
      </c>
      <c r="U3767" s="20" t="s">
        <v>798</v>
      </c>
      <c r="V3767" s="26" t="s">
        <v>798</v>
      </c>
      <c r="W3767" s="20" t="s">
        <v>798</v>
      </c>
      <c r="X3767" s="26" t="s">
        <v>798</v>
      </c>
      <c r="Y3767" s="20" t="s">
        <v>798</v>
      </c>
      <c r="Z3767" s="69" t="s">
        <v>9486</v>
      </c>
      <c r="AA3767" s="72" t="s">
        <v>9505</v>
      </c>
      <c r="AB3767" s="73" t="s">
        <v>9486</v>
      </c>
      <c r="AC3767" s="74" t="s">
        <v>9562</v>
      </c>
      <c r="AD3767" s="73" t="s">
        <v>9578</v>
      </c>
      <c r="AE3767" s="74" t="s">
        <v>9665</v>
      </c>
    </row>
    <row r="3768" spans="1:31" ht="8.65" customHeight="1" x14ac:dyDescent="0.2">
      <c r="A3768" s="76">
        <v>3768</v>
      </c>
      <c r="B3768" s="67" t="str">
        <f>MID(C3768, FIND("Ifc.", C3768) + 4, 4) &amp; "_" &amp; TEXT(COUNTIF($C$2:C3768, C3768),"0000")</f>
        <v>Quan_0076</v>
      </c>
      <c r="C3768" s="23" t="s">
        <v>878</v>
      </c>
      <c r="D3768" s="69" t="s">
        <v>9453</v>
      </c>
      <c r="E3768" s="70" t="s">
        <v>9460</v>
      </c>
      <c r="F3768" s="26" t="s">
        <v>798</v>
      </c>
      <c r="G3768" s="15" t="s">
        <v>798</v>
      </c>
      <c r="H3768" s="14" t="s">
        <v>798</v>
      </c>
      <c r="I3768" s="15" t="s">
        <v>798</v>
      </c>
      <c r="J3768" s="12" t="s">
        <v>9441</v>
      </c>
      <c r="K3768" s="16" t="s">
        <v>3837</v>
      </c>
      <c r="L3768" s="12" t="s">
        <v>800</v>
      </c>
      <c r="M3768" s="16" t="s">
        <v>4798</v>
      </c>
      <c r="N3768" s="19" t="s">
        <v>798</v>
      </c>
      <c r="O3768" s="20" t="s">
        <v>798</v>
      </c>
      <c r="P3768" s="17" t="s">
        <v>802</v>
      </c>
      <c r="Q3768" s="21" t="s">
        <v>9389</v>
      </c>
      <c r="R3768" s="19" t="s">
        <v>798</v>
      </c>
      <c r="S3768" s="20" t="s">
        <v>798</v>
      </c>
      <c r="T3768" s="17" t="s">
        <v>798</v>
      </c>
      <c r="U3768" s="20" t="s">
        <v>798</v>
      </c>
      <c r="V3768" s="26" t="s">
        <v>798</v>
      </c>
      <c r="W3768" s="20" t="s">
        <v>798</v>
      </c>
      <c r="X3768" s="26" t="s">
        <v>798</v>
      </c>
      <c r="Y3768" s="20" t="s">
        <v>798</v>
      </c>
      <c r="Z3768" s="69" t="s">
        <v>9486</v>
      </c>
      <c r="AA3768" s="72" t="s">
        <v>9505</v>
      </c>
      <c r="AB3768" s="73" t="s">
        <v>9486</v>
      </c>
      <c r="AC3768" s="74" t="s">
        <v>9562</v>
      </c>
      <c r="AD3768" s="73" t="s">
        <v>9578</v>
      </c>
      <c r="AE3768" s="74" t="s">
        <v>9579</v>
      </c>
    </row>
    <row r="3769" spans="1:31" ht="8.65" customHeight="1" x14ac:dyDescent="0.2">
      <c r="A3769" s="76">
        <v>3769</v>
      </c>
      <c r="B3769" s="67" t="str">
        <f>MID(C3769, FIND("Ifc.", C3769) + 4, 4) &amp; "_" &amp; TEXT(COUNTIF($C$2:C3769, C3769),"0000")</f>
        <v>Quan_0077</v>
      </c>
      <c r="C3769" s="23" t="s">
        <v>878</v>
      </c>
      <c r="D3769" s="69" t="s">
        <v>9453</v>
      </c>
      <c r="E3769" s="70" t="s">
        <v>9460</v>
      </c>
      <c r="F3769" s="26" t="s">
        <v>798</v>
      </c>
      <c r="G3769" s="15" t="s">
        <v>798</v>
      </c>
      <c r="H3769" s="14" t="s">
        <v>798</v>
      </c>
      <c r="I3769" s="15" t="s">
        <v>798</v>
      </c>
      <c r="J3769" s="12" t="s">
        <v>9441</v>
      </c>
      <c r="K3769" s="16" t="s">
        <v>3838</v>
      </c>
      <c r="L3769" s="12" t="s">
        <v>800</v>
      </c>
      <c r="M3769" s="16" t="s">
        <v>4799</v>
      </c>
      <c r="N3769" s="19" t="s">
        <v>798</v>
      </c>
      <c r="O3769" s="20" t="s">
        <v>798</v>
      </c>
      <c r="P3769" s="17" t="s">
        <v>802</v>
      </c>
      <c r="Q3769" s="21" t="s">
        <v>9390</v>
      </c>
      <c r="R3769" s="19" t="s">
        <v>798</v>
      </c>
      <c r="S3769" s="20" t="s">
        <v>798</v>
      </c>
      <c r="T3769" s="17" t="s">
        <v>798</v>
      </c>
      <c r="U3769" s="20" t="s">
        <v>798</v>
      </c>
      <c r="V3769" s="26" t="s">
        <v>798</v>
      </c>
      <c r="W3769" s="20" t="s">
        <v>798</v>
      </c>
      <c r="X3769" s="26" t="s">
        <v>798</v>
      </c>
      <c r="Y3769" s="20" t="s">
        <v>798</v>
      </c>
      <c r="Z3769" s="69" t="s">
        <v>9486</v>
      </c>
      <c r="AA3769" s="72" t="s">
        <v>9505</v>
      </c>
      <c r="AB3769" s="73" t="s">
        <v>9486</v>
      </c>
      <c r="AC3769" s="74" t="s">
        <v>9562</v>
      </c>
      <c r="AD3769" s="73" t="s">
        <v>9578</v>
      </c>
      <c r="AE3769" s="74" t="s">
        <v>9579</v>
      </c>
    </row>
    <row r="3770" spans="1:31" ht="8.65" customHeight="1" x14ac:dyDescent="0.2">
      <c r="A3770" s="76">
        <v>3770</v>
      </c>
      <c r="B3770" s="67" t="str">
        <f>MID(C3770, FIND("Ifc.", C3770) + 4, 4) &amp; "_" &amp; TEXT(COUNTIF($C$2:C3770, C3770),"0000")</f>
        <v>Quan_0078</v>
      </c>
      <c r="C3770" s="23" t="s">
        <v>878</v>
      </c>
      <c r="D3770" s="69" t="s">
        <v>9453</v>
      </c>
      <c r="E3770" s="70" t="s">
        <v>9460</v>
      </c>
      <c r="F3770" s="26" t="s">
        <v>798</v>
      </c>
      <c r="G3770" s="15" t="s">
        <v>798</v>
      </c>
      <c r="H3770" s="14" t="s">
        <v>798</v>
      </c>
      <c r="I3770" s="15" t="s">
        <v>798</v>
      </c>
      <c r="J3770" s="12" t="s">
        <v>9441</v>
      </c>
      <c r="K3770" s="16" t="s">
        <v>3839</v>
      </c>
      <c r="L3770" s="12" t="s">
        <v>800</v>
      </c>
      <c r="M3770" s="16" t="s">
        <v>4800</v>
      </c>
      <c r="N3770" s="19" t="s">
        <v>798</v>
      </c>
      <c r="O3770" s="20" t="s">
        <v>798</v>
      </c>
      <c r="P3770" s="17" t="s">
        <v>802</v>
      </c>
      <c r="Q3770" s="21" t="s">
        <v>9391</v>
      </c>
      <c r="R3770" s="19" t="s">
        <v>798</v>
      </c>
      <c r="S3770" s="20" t="s">
        <v>798</v>
      </c>
      <c r="T3770" s="17" t="s">
        <v>798</v>
      </c>
      <c r="U3770" s="20" t="s">
        <v>798</v>
      </c>
      <c r="V3770" s="26" t="s">
        <v>798</v>
      </c>
      <c r="W3770" s="20" t="s">
        <v>798</v>
      </c>
      <c r="X3770" s="26" t="s">
        <v>798</v>
      </c>
      <c r="Y3770" s="20" t="s">
        <v>798</v>
      </c>
      <c r="Z3770" s="69" t="s">
        <v>9486</v>
      </c>
      <c r="AA3770" s="72" t="s">
        <v>9505</v>
      </c>
      <c r="AB3770" s="73" t="s">
        <v>9486</v>
      </c>
      <c r="AC3770" s="74" t="s">
        <v>9562</v>
      </c>
      <c r="AD3770" s="73" t="s">
        <v>9578</v>
      </c>
      <c r="AE3770" s="74" t="s">
        <v>9579</v>
      </c>
    </row>
    <row r="3771" spans="1:31" ht="8.65" customHeight="1" x14ac:dyDescent="0.2">
      <c r="A3771" s="76">
        <v>3771</v>
      </c>
      <c r="B3771" s="67" t="str">
        <f>MID(C3771, FIND("Ifc.", C3771) + 4, 4) &amp; "_" &amp; TEXT(COUNTIF($C$2:C3771, C3771),"0000")</f>
        <v>Quan_0079</v>
      </c>
      <c r="C3771" s="23" t="s">
        <v>878</v>
      </c>
      <c r="D3771" s="69" t="s">
        <v>9453</v>
      </c>
      <c r="E3771" s="70" t="s">
        <v>9460</v>
      </c>
      <c r="F3771" s="26" t="s">
        <v>798</v>
      </c>
      <c r="G3771" s="15" t="s">
        <v>798</v>
      </c>
      <c r="H3771" s="14" t="s">
        <v>798</v>
      </c>
      <c r="I3771" s="15" t="s">
        <v>798</v>
      </c>
      <c r="J3771" s="12" t="s">
        <v>9441</v>
      </c>
      <c r="K3771" s="16" t="s">
        <v>3840</v>
      </c>
      <c r="L3771" s="12" t="s">
        <v>800</v>
      </c>
      <c r="M3771" s="16" t="s">
        <v>5792</v>
      </c>
      <c r="N3771" s="19" t="s">
        <v>798</v>
      </c>
      <c r="O3771" s="20" t="s">
        <v>798</v>
      </c>
      <c r="P3771" s="17" t="s">
        <v>802</v>
      </c>
      <c r="Q3771" s="21" t="s">
        <v>9392</v>
      </c>
      <c r="R3771" s="19" t="s">
        <v>798</v>
      </c>
      <c r="S3771" s="20" t="s">
        <v>798</v>
      </c>
      <c r="T3771" s="17" t="s">
        <v>798</v>
      </c>
      <c r="U3771" s="20" t="s">
        <v>798</v>
      </c>
      <c r="V3771" s="26" t="s">
        <v>798</v>
      </c>
      <c r="W3771" s="20" t="s">
        <v>798</v>
      </c>
      <c r="X3771" s="26" t="s">
        <v>798</v>
      </c>
      <c r="Y3771" s="20" t="s">
        <v>798</v>
      </c>
      <c r="Z3771" s="69" t="s">
        <v>9486</v>
      </c>
      <c r="AA3771" s="72" t="s">
        <v>9505</v>
      </c>
      <c r="AB3771" s="73" t="s">
        <v>9486</v>
      </c>
      <c r="AC3771" s="74" t="s">
        <v>9562</v>
      </c>
      <c r="AD3771" s="73" t="s">
        <v>9578</v>
      </c>
      <c r="AE3771" s="74" t="s">
        <v>9579</v>
      </c>
    </row>
    <row r="3772" spans="1:31" ht="8.65" customHeight="1" x14ac:dyDescent="0.2">
      <c r="A3772" s="76">
        <v>3772</v>
      </c>
      <c r="B3772" s="67" t="str">
        <f>MID(C3772, FIND("Ifc.", C3772) + 4, 4) &amp; "_" &amp; TEXT(COUNTIF($C$2:C3772, C3772),"0000")</f>
        <v>Quan_0080</v>
      </c>
      <c r="C3772" s="23" t="s">
        <v>878</v>
      </c>
      <c r="D3772" s="69" t="s">
        <v>9453</v>
      </c>
      <c r="E3772" s="70" t="s">
        <v>9460</v>
      </c>
      <c r="F3772" s="26" t="s">
        <v>798</v>
      </c>
      <c r="G3772" s="15" t="s">
        <v>798</v>
      </c>
      <c r="H3772" s="14" t="s">
        <v>798</v>
      </c>
      <c r="I3772" s="15" t="s">
        <v>798</v>
      </c>
      <c r="J3772" s="12" t="s">
        <v>9441</v>
      </c>
      <c r="K3772" s="16" t="s">
        <v>3841</v>
      </c>
      <c r="L3772" s="12" t="s">
        <v>800</v>
      </c>
      <c r="M3772" s="16" t="s">
        <v>5793</v>
      </c>
      <c r="N3772" s="19" t="s">
        <v>798</v>
      </c>
      <c r="O3772" s="20" t="s">
        <v>798</v>
      </c>
      <c r="P3772" s="17" t="s">
        <v>802</v>
      </c>
      <c r="Q3772" s="21" t="s">
        <v>9393</v>
      </c>
      <c r="R3772" s="19" t="s">
        <v>798</v>
      </c>
      <c r="S3772" s="20" t="s">
        <v>798</v>
      </c>
      <c r="T3772" s="17" t="s">
        <v>798</v>
      </c>
      <c r="U3772" s="20" t="s">
        <v>798</v>
      </c>
      <c r="V3772" s="26" t="s">
        <v>798</v>
      </c>
      <c r="W3772" s="20" t="s">
        <v>798</v>
      </c>
      <c r="X3772" s="26" t="s">
        <v>798</v>
      </c>
      <c r="Y3772" s="20" t="s">
        <v>798</v>
      </c>
      <c r="Z3772" s="69" t="s">
        <v>9486</v>
      </c>
      <c r="AA3772" s="72" t="s">
        <v>9505</v>
      </c>
      <c r="AB3772" s="73" t="s">
        <v>9486</v>
      </c>
      <c r="AC3772" s="74" t="s">
        <v>9562</v>
      </c>
      <c r="AD3772" s="73" t="s">
        <v>9578</v>
      </c>
      <c r="AE3772" s="74" t="s">
        <v>9579</v>
      </c>
    </row>
    <row r="3773" spans="1:31" ht="8.65" customHeight="1" x14ac:dyDescent="0.2">
      <c r="A3773" s="76">
        <v>3773</v>
      </c>
      <c r="B3773" s="67" t="str">
        <f>MID(C3773, FIND("Ifc.", C3773) + 4, 4) &amp; "_" &amp; TEXT(COUNTIF($C$2:C3773, C3773),"0000")</f>
        <v>Quan_0081</v>
      </c>
      <c r="C3773" s="23" t="s">
        <v>878</v>
      </c>
      <c r="D3773" s="69" t="s">
        <v>9453</v>
      </c>
      <c r="E3773" s="70" t="s">
        <v>9460</v>
      </c>
      <c r="F3773" s="26" t="s">
        <v>798</v>
      </c>
      <c r="G3773" s="15" t="s">
        <v>798</v>
      </c>
      <c r="H3773" s="14" t="s">
        <v>798</v>
      </c>
      <c r="I3773" s="15" t="s">
        <v>798</v>
      </c>
      <c r="J3773" s="12" t="s">
        <v>9441</v>
      </c>
      <c r="K3773" s="16" t="s">
        <v>3842</v>
      </c>
      <c r="L3773" s="12" t="s">
        <v>800</v>
      </c>
      <c r="M3773" s="16" t="s">
        <v>5794</v>
      </c>
      <c r="N3773" s="19" t="s">
        <v>798</v>
      </c>
      <c r="O3773" s="20" t="s">
        <v>798</v>
      </c>
      <c r="P3773" s="17" t="s">
        <v>802</v>
      </c>
      <c r="Q3773" s="21" t="s">
        <v>9394</v>
      </c>
      <c r="R3773" s="19" t="s">
        <v>798</v>
      </c>
      <c r="S3773" s="20" t="s">
        <v>798</v>
      </c>
      <c r="T3773" s="17" t="s">
        <v>798</v>
      </c>
      <c r="U3773" s="20" t="s">
        <v>798</v>
      </c>
      <c r="V3773" s="26" t="s">
        <v>798</v>
      </c>
      <c r="W3773" s="20" t="s">
        <v>798</v>
      </c>
      <c r="X3773" s="26" t="s">
        <v>798</v>
      </c>
      <c r="Y3773" s="20" t="s">
        <v>798</v>
      </c>
      <c r="Z3773" s="69" t="s">
        <v>9486</v>
      </c>
      <c r="AA3773" s="72" t="s">
        <v>9505</v>
      </c>
      <c r="AB3773" s="73" t="s">
        <v>9486</v>
      </c>
      <c r="AC3773" s="74" t="s">
        <v>9562</v>
      </c>
      <c r="AD3773" s="73" t="s">
        <v>9578</v>
      </c>
      <c r="AE3773" s="74" t="s">
        <v>9579</v>
      </c>
    </row>
    <row r="3774" spans="1:31" ht="8.65" customHeight="1" x14ac:dyDescent="0.2">
      <c r="A3774" s="76">
        <v>3774</v>
      </c>
      <c r="B3774" s="67" t="str">
        <f>MID(C3774, FIND("Ifc.", C3774) + 4, 4) &amp; "_" &amp; TEXT(COUNTIF($C$2:C3774, C3774),"0000")</f>
        <v>Quan_0082</v>
      </c>
      <c r="C3774" s="23" t="s">
        <v>878</v>
      </c>
      <c r="D3774" s="69" t="s">
        <v>9453</v>
      </c>
      <c r="E3774" s="70" t="s">
        <v>9460</v>
      </c>
      <c r="F3774" s="26" t="s">
        <v>798</v>
      </c>
      <c r="G3774" s="15" t="s">
        <v>798</v>
      </c>
      <c r="H3774" s="14" t="s">
        <v>798</v>
      </c>
      <c r="I3774" s="15" t="s">
        <v>798</v>
      </c>
      <c r="J3774" s="12" t="s">
        <v>9441</v>
      </c>
      <c r="K3774" s="16" t="s">
        <v>3843</v>
      </c>
      <c r="L3774" s="12" t="s">
        <v>800</v>
      </c>
      <c r="M3774" s="16" t="s">
        <v>5795</v>
      </c>
      <c r="N3774" s="19" t="s">
        <v>798</v>
      </c>
      <c r="O3774" s="20" t="s">
        <v>798</v>
      </c>
      <c r="P3774" s="17" t="s">
        <v>802</v>
      </c>
      <c r="Q3774" s="21" t="s">
        <v>9395</v>
      </c>
      <c r="R3774" s="19" t="s">
        <v>798</v>
      </c>
      <c r="S3774" s="20" t="s">
        <v>798</v>
      </c>
      <c r="T3774" s="17" t="s">
        <v>798</v>
      </c>
      <c r="U3774" s="20" t="s">
        <v>798</v>
      </c>
      <c r="V3774" s="26" t="s">
        <v>798</v>
      </c>
      <c r="W3774" s="20" t="s">
        <v>798</v>
      </c>
      <c r="X3774" s="26" t="s">
        <v>798</v>
      </c>
      <c r="Y3774" s="20" t="s">
        <v>798</v>
      </c>
      <c r="Z3774" s="69" t="s">
        <v>9486</v>
      </c>
      <c r="AA3774" s="72" t="s">
        <v>9505</v>
      </c>
      <c r="AB3774" s="73" t="s">
        <v>9486</v>
      </c>
      <c r="AC3774" s="74" t="s">
        <v>9562</v>
      </c>
      <c r="AD3774" s="73" t="s">
        <v>9578</v>
      </c>
      <c r="AE3774" s="74" t="s">
        <v>9579</v>
      </c>
    </row>
    <row r="3775" spans="1:31" ht="8.65" customHeight="1" x14ac:dyDescent="0.2">
      <c r="A3775" s="76">
        <v>3775</v>
      </c>
      <c r="B3775" s="67" t="str">
        <f>MID(C3775, FIND("Ifc.", C3775) + 4, 4) &amp; "_" &amp; TEXT(COUNTIF($C$2:C3775, C3775),"0000")</f>
        <v>Quan_0083</v>
      </c>
      <c r="C3775" s="23" t="s">
        <v>878</v>
      </c>
      <c r="D3775" s="69" t="s">
        <v>9453</v>
      </c>
      <c r="E3775" s="70" t="s">
        <v>9460</v>
      </c>
      <c r="F3775" s="26" t="s">
        <v>798</v>
      </c>
      <c r="G3775" s="15" t="s">
        <v>798</v>
      </c>
      <c r="H3775" s="14" t="s">
        <v>798</v>
      </c>
      <c r="I3775" s="15" t="s">
        <v>798</v>
      </c>
      <c r="J3775" s="12" t="s">
        <v>9441</v>
      </c>
      <c r="K3775" s="16" t="s">
        <v>3844</v>
      </c>
      <c r="L3775" s="12" t="s">
        <v>800</v>
      </c>
      <c r="M3775" s="16" t="s">
        <v>5796</v>
      </c>
      <c r="N3775" s="19" t="s">
        <v>798</v>
      </c>
      <c r="O3775" s="20" t="s">
        <v>798</v>
      </c>
      <c r="P3775" s="17" t="s">
        <v>802</v>
      </c>
      <c r="Q3775" s="21" t="s">
        <v>9396</v>
      </c>
      <c r="R3775" s="19" t="s">
        <v>798</v>
      </c>
      <c r="S3775" s="20" t="s">
        <v>798</v>
      </c>
      <c r="T3775" s="17" t="s">
        <v>798</v>
      </c>
      <c r="U3775" s="20" t="s">
        <v>798</v>
      </c>
      <c r="V3775" s="26" t="s">
        <v>798</v>
      </c>
      <c r="W3775" s="20" t="s">
        <v>798</v>
      </c>
      <c r="X3775" s="26" t="s">
        <v>798</v>
      </c>
      <c r="Y3775" s="20" t="s">
        <v>798</v>
      </c>
      <c r="Z3775" s="69" t="s">
        <v>9486</v>
      </c>
      <c r="AA3775" s="72" t="s">
        <v>9505</v>
      </c>
      <c r="AB3775" s="73" t="s">
        <v>9486</v>
      </c>
      <c r="AC3775" s="74" t="s">
        <v>9562</v>
      </c>
      <c r="AD3775" s="73" t="s">
        <v>9578</v>
      </c>
      <c r="AE3775" s="74" t="s">
        <v>9579</v>
      </c>
    </row>
    <row r="3776" spans="1:31" ht="8.65" customHeight="1" x14ac:dyDescent="0.2">
      <c r="A3776" s="76">
        <v>3776</v>
      </c>
      <c r="B3776" s="67" t="str">
        <f>MID(C3776, FIND("Ifc.", C3776) + 4, 4) &amp; "_" &amp; TEXT(COUNTIF($C$2:C3776, C3776),"0000")</f>
        <v>Quan_0084</v>
      </c>
      <c r="C3776" s="23" t="s">
        <v>878</v>
      </c>
      <c r="D3776" s="69" t="s">
        <v>9453</v>
      </c>
      <c r="E3776" s="70" t="s">
        <v>9460</v>
      </c>
      <c r="F3776" s="26" t="s">
        <v>798</v>
      </c>
      <c r="G3776" s="15" t="s">
        <v>798</v>
      </c>
      <c r="H3776" s="14" t="s">
        <v>798</v>
      </c>
      <c r="I3776" s="15" t="s">
        <v>798</v>
      </c>
      <c r="J3776" s="12" t="s">
        <v>9441</v>
      </c>
      <c r="K3776" s="16" t="s">
        <v>3845</v>
      </c>
      <c r="L3776" s="12" t="s">
        <v>800</v>
      </c>
      <c r="M3776" s="16" t="s">
        <v>5798</v>
      </c>
      <c r="N3776" s="19" t="s">
        <v>798</v>
      </c>
      <c r="O3776" s="20" t="s">
        <v>798</v>
      </c>
      <c r="P3776" s="17" t="s">
        <v>802</v>
      </c>
      <c r="Q3776" s="21" t="s">
        <v>9397</v>
      </c>
      <c r="R3776" s="19" t="s">
        <v>798</v>
      </c>
      <c r="S3776" s="20" t="s">
        <v>798</v>
      </c>
      <c r="T3776" s="17" t="s">
        <v>798</v>
      </c>
      <c r="U3776" s="20" t="s">
        <v>798</v>
      </c>
      <c r="V3776" s="26" t="s">
        <v>798</v>
      </c>
      <c r="W3776" s="20" t="s">
        <v>798</v>
      </c>
      <c r="X3776" s="26" t="s">
        <v>798</v>
      </c>
      <c r="Y3776" s="20" t="s">
        <v>798</v>
      </c>
      <c r="Z3776" s="69" t="s">
        <v>9486</v>
      </c>
      <c r="AA3776" s="72" t="s">
        <v>9505</v>
      </c>
      <c r="AB3776" s="73" t="s">
        <v>9486</v>
      </c>
      <c r="AC3776" s="74" t="s">
        <v>9562</v>
      </c>
      <c r="AD3776" s="73" t="s">
        <v>9578</v>
      </c>
      <c r="AE3776" s="74" t="s">
        <v>9579</v>
      </c>
    </row>
    <row r="3777" spans="1:31" ht="8.65" customHeight="1" x14ac:dyDescent="0.2">
      <c r="A3777" s="76">
        <v>3777</v>
      </c>
      <c r="B3777" s="67" t="str">
        <f>MID(C3777, FIND("Ifc.", C3777) + 4, 4) &amp; "_" &amp; TEXT(COUNTIF($C$2:C3777, C3777),"0000")</f>
        <v>Quan_0085</v>
      </c>
      <c r="C3777" s="23" t="s">
        <v>878</v>
      </c>
      <c r="D3777" s="69" t="s">
        <v>9453</v>
      </c>
      <c r="E3777" s="70" t="s">
        <v>9460</v>
      </c>
      <c r="F3777" s="26" t="s">
        <v>798</v>
      </c>
      <c r="G3777" s="15" t="s">
        <v>798</v>
      </c>
      <c r="H3777" s="14" t="s">
        <v>798</v>
      </c>
      <c r="I3777" s="15" t="s">
        <v>798</v>
      </c>
      <c r="J3777" s="12" t="s">
        <v>9441</v>
      </c>
      <c r="K3777" s="16" t="s">
        <v>3846</v>
      </c>
      <c r="L3777" s="12" t="s">
        <v>800</v>
      </c>
      <c r="M3777" s="16" t="s">
        <v>4801</v>
      </c>
      <c r="N3777" s="19" t="s">
        <v>798</v>
      </c>
      <c r="O3777" s="20" t="s">
        <v>798</v>
      </c>
      <c r="P3777" s="17" t="s">
        <v>802</v>
      </c>
      <c r="Q3777" s="21" t="s">
        <v>9398</v>
      </c>
      <c r="R3777" s="19" t="s">
        <v>798</v>
      </c>
      <c r="S3777" s="20" t="s">
        <v>798</v>
      </c>
      <c r="T3777" s="17" t="s">
        <v>798</v>
      </c>
      <c r="U3777" s="20" t="s">
        <v>798</v>
      </c>
      <c r="V3777" s="26" t="s">
        <v>798</v>
      </c>
      <c r="W3777" s="20" t="s">
        <v>798</v>
      </c>
      <c r="X3777" s="26" t="s">
        <v>798</v>
      </c>
      <c r="Y3777" s="20" t="s">
        <v>798</v>
      </c>
      <c r="Z3777" s="69" t="s">
        <v>9486</v>
      </c>
      <c r="AA3777" s="72" t="s">
        <v>9505</v>
      </c>
      <c r="AB3777" s="73" t="s">
        <v>9486</v>
      </c>
      <c r="AC3777" s="74" t="s">
        <v>9562</v>
      </c>
      <c r="AD3777" s="73" t="s">
        <v>9578</v>
      </c>
      <c r="AE3777" s="74" t="s">
        <v>9579</v>
      </c>
    </row>
    <row r="3778" spans="1:31" ht="8.65" customHeight="1" x14ac:dyDescent="0.2">
      <c r="A3778" s="76">
        <v>3778</v>
      </c>
      <c r="B3778" s="67" t="str">
        <f>MID(C3778, FIND("Ifc.", C3778) + 4, 4) &amp; "_" &amp; TEXT(COUNTIF($C$2:C3778, C3778),"0000")</f>
        <v>Quan_0086</v>
      </c>
      <c r="C3778" s="23" t="s">
        <v>878</v>
      </c>
      <c r="D3778" s="69" t="s">
        <v>9453</v>
      </c>
      <c r="E3778" s="70" t="s">
        <v>9460</v>
      </c>
      <c r="F3778" s="26" t="s">
        <v>798</v>
      </c>
      <c r="G3778" s="15" t="s">
        <v>798</v>
      </c>
      <c r="H3778" s="14" t="s">
        <v>798</v>
      </c>
      <c r="I3778" s="15" t="s">
        <v>798</v>
      </c>
      <c r="J3778" s="12" t="s">
        <v>9441</v>
      </c>
      <c r="K3778" s="16" t="s">
        <v>3847</v>
      </c>
      <c r="L3778" s="12" t="s">
        <v>800</v>
      </c>
      <c r="M3778" s="16" t="s">
        <v>4802</v>
      </c>
      <c r="N3778" s="19" t="s">
        <v>798</v>
      </c>
      <c r="O3778" s="20" t="s">
        <v>798</v>
      </c>
      <c r="P3778" s="17" t="s">
        <v>802</v>
      </c>
      <c r="Q3778" s="21" t="s">
        <v>9399</v>
      </c>
      <c r="R3778" s="19" t="s">
        <v>798</v>
      </c>
      <c r="S3778" s="20" t="s">
        <v>798</v>
      </c>
      <c r="T3778" s="17" t="s">
        <v>798</v>
      </c>
      <c r="U3778" s="20" t="s">
        <v>798</v>
      </c>
      <c r="V3778" s="26" t="s">
        <v>798</v>
      </c>
      <c r="W3778" s="20" t="s">
        <v>798</v>
      </c>
      <c r="X3778" s="26" t="s">
        <v>798</v>
      </c>
      <c r="Y3778" s="20" t="s">
        <v>798</v>
      </c>
      <c r="Z3778" s="69" t="s">
        <v>9486</v>
      </c>
      <c r="AA3778" s="72" t="s">
        <v>9505</v>
      </c>
      <c r="AB3778" s="73" t="s">
        <v>9486</v>
      </c>
      <c r="AC3778" s="74" t="s">
        <v>9562</v>
      </c>
      <c r="AD3778" s="73" t="s">
        <v>9578</v>
      </c>
      <c r="AE3778" s="74" t="s">
        <v>9579</v>
      </c>
    </row>
    <row r="3779" spans="1:31" ht="8.65" customHeight="1" x14ac:dyDescent="0.2">
      <c r="A3779" s="76">
        <v>3779</v>
      </c>
      <c r="B3779" s="67" t="str">
        <f>MID(C3779, FIND("Ifc.", C3779) + 4, 4) &amp; "_" &amp; TEXT(COUNTIF($C$2:C3779, C3779),"0000")</f>
        <v>Quan_0087</v>
      </c>
      <c r="C3779" s="23" t="s">
        <v>878</v>
      </c>
      <c r="D3779" s="69" t="s">
        <v>9453</v>
      </c>
      <c r="E3779" s="70" t="s">
        <v>9460</v>
      </c>
      <c r="F3779" s="26" t="s">
        <v>798</v>
      </c>
      <c r="G3779" s="15" t="s">
        <v>798</v>
      </c>
      <c r="H3779" s="14" t="s">
        <v>798</v>
      </c>
      <c r="I3779" s="15" t="s">
        <v>798</v>
      </c>
      <c r="J3779" s="12" t="s">
        <v>9441</v>
      </c>
      <c r="K3779" s="16" t="s">
        <v>3848</v>
      </c>
      <c r="L3779" s="12" t="s">
        <v>800</v>
      </c>
      <c r="M3779" s="16" t="s">
        <v>4803</v>
      </c>
      <c r="N3779" s="19" t="s">
        <v>798</v>
      </c>
      <c r="O3779" s="20" t="s">
        <v>798</v>
      </c>
      <c r="P3779" s="17" t="s">
        <v>802</v>
      </c>
      <c r="Q3779" s="21" t="s">
        <v>9400</v>
      </c>
      <c r="R3779" s="19" t="s">
        <v>798</v>
      </c>
      <c r="S3779" s="20" t="s">
        <v>798</v>
      </c>
      <c r="T3779" s="17" t="s">
        <v>798</v>
      </c>
      <c r="U3779" s="20" t="s">
        <v>798</v>
      </c>
      <c r="V3779" s="26" t="s">
        <v>798</v>
      </c>
      <c r="W3779" s="20" t="s">
        <v>798</v>
      </c>
      <c r="X3779" s="26" t="s">
        <v>798</v>
      </c>
      <c r="Y3779" s="20" t="s">
        <v>798</v>
      </c>
      <c r="Z3779" s="69" t="s">
        <v>9486</v>
      </c>
      <c r="AA3779" s="72" t="s">
        <v>9505</v>
      </c>
      <c r="AB3779" s="73" t="s">
        <v>9486</v>
      </c>
      <c r="AC3779" s="74" t="s">
        <v>9562</v>
      </c>
      <c r="AD3779" s="73" t="s">
        <v>9578</v>
      </c>
      <c r="AE3779" s="74" t="s">
        <v>9579</v>
      </c>
    </row>
    <row r="3780" spans="1:31" ht="8.65" customHeight="1" x14ac:dyDescent="0.2">
      <c r="A3780" s="76">
        <v>3780</v>
      </c>
      <c r="B3780" s="67" t="str">
        <f>MID(C3780, FIND("Ifc.", C3780) + 4, 4) &amp; "_" &amp; TEXT(COUNTIF($C$2:C3780, C3780),"0000")</f>
        <v>Quan_0088</v>
      </c>
      <c r="C3780" s="23" t="s">
        <v>878</v>
      </c>
      <c r="D3780" s="69" t="s">
        <v>9453</v>
      </c>
      <c r="E3780" s="70" t="s">
        <v>9460</v>
      </c>
      <c r="F3780" s="26" t="s">
        <v>798</v>
      </c>
      <c r="G3780" s="15" t="s">
        <v>798</v>
      </c>
      <c r="H3780" s="14" t="s">
        <v>798</v>
      </c>
      <c r="I3780" s="15" t="s">
        <v>798</v>
      </c>
      <c r="J3780" s="12" t="s">
        <v>9441</v>
      </c>
      <c r="K3780" s="16" t="s">
        <v>3849</v>
      </c>
      <c r="L3780" s="12" t="s">
        <v>800</v>
      </c>
      <c r="M3780" s="16" t="s">
        <v>4804</v>
      </c>
      <c r="N3780" s="19" t="s">
        <v>798</v>
      </c>
      <c r="O3780" s="20" t="s">
        <v>798</v>
      </c>
      <c r="P3780" s="17" t="s">
        <v>802</v>
      </c>
      <c r="Q3780" s="21" t="s">
        <v>9401</v>
      </c>
      <c r="R3780" s="19" t="s">
        <v>798</v>
      </c>
      <c r="S3780" s="20" t="s">
        <v>798</v>
      </c>
      <c r="T3780" s="17" t="s">
        <v>798</v>
      </c>
      <c r="U3780" s="20" t="s">
        <v>798</v>
      </c>
      <c r="V3780" s="26" t="s">
        <v>798</v>
      </c>
      <c r="W3780" s="20" t="s">
        <v>798</v>
      </c>
      <c r="X3780" s="26" t="s">
        <v>798</v>
      </c>
      <c r="Y3780" s="20" t="s">
        <v>798</v>
      </c>
      <c r="Z3780" s="69" t="s">
        <v>9486</v>
      </c>
      <c r="AA3780" s="72" t="s">
        <v>9505</v>
      </c>
      <c r="AB3780" s="73" t="s">
        <v>9486</v>
      </c>
      <c r="AC3780" s="74" t="s">
        <v>9562</v>
      </c>
      <c r="AD3780" s="73" t="s">
        <v>9578</v>
      </c>
      <c r="AE3780" s="74" t="s">
        <v>9579</v>
      </c>
    </row>
    <row r="3781" spans="1:31" ht="8.65" customHeight="1" x14ac:dyDescent="0.2">
      <c r="A3781" s="76">
        <v>3781</v>
      </c>
      <c r="B3781" s="67" t="str">
        <f>MID(C3781, FIND("Ifc.", C3781) + 4, 4) &amp; "_" &amp; TEXT(COUNTIF($C$2:C3781, C3781),"0000")</f>
        <v>Quan_0089</v>
      </c>
      <c r="C3781" s="23" t="s">
        <v>878</v>
      </c>
      <c r="D3781" s="69" t="s">
        <v>9453</v>
      </c>
      <c r="E3781" s="70" t="s">
        <v>9460</v>
      </c>
      <c r="F3781" s="26" t="s">
        <v>798</v>
      </c>
      <c r="G3781" s="15" t="s">
        <v>798</v>
      </c>
      <c r="H3781" s="14" t="s">
        <v>798</v>
      </c>
      <c r="I3781" s="15" t="s">
        <v>798</v>
      </c>
      <c r="J3781" s="12" t="s">
        <v>9441</v>
      </c>
      <c r="K3781" s="16" t="s">
        <v>3850</v>
      </c>
      <c r="L3781" s="12" t="s">
        <v>800</v>
      </c>
      <c r="M3781" s="16" t="s">
        <v>4805</v>
      </c>
      <c r="N3781" s="19" t="s">
        <v>798</v>
      </c>
      <c r="O3781" s="20" t="s">
        <v>798</v>
      </c>
      <c r="P3781" s="17" t="s">
        <v>802</v>
      </c>
      <c r="Q3781" s="21" t="s">
        <v>9402</v>
      </c>
      <c r="R3781" s="19" t="s">
        <v>798</v>
      </c>
      <c r="S3781" s="20" t="s">
        <v>798</v>
      </c>
      <c r="T3781" s="17" t="s">
        <v>798</v>
      </c>
      <c r="U3781" s="20" t="s">
        <v>798</v>
      </c>
      <c r="V3781" s="26" t="s">
        <v>798</v>
      </c>
      <c r="W3781" s="20" t="s">
        <v>798</v>
      </c>
      <c r="X3781" s="26" t="s">
        <v>798</v>
      </c>
      <c r="Y3781" s="20" t="s">
        <v>798</v>
      </c>
      <c r="Z3781" s="69" t="s">
        <v>9486</v>
      </c>
      <c r="AA3781" s="72" t="s">
        <v>9505</v>
      </c>
      <c r="AB3781" s="73" t="s">
        <v>9486</v>
      </c>
      <c r="AC3781" s="74" t="s">
        <v>9562</v>
      </c>
      <c r="AD3781" s="73" t="s">
        <v>9578</v>
      </c>
      <c r="AE3781" s="74" t="s">
        <v>9579</v>
      </c>
    </row>
    <row r="3782" spans="1:31" ht="8.65" customHeight="1" x14ac:dyDescent="0.2">
      <c r="A3782" s="76">
        <v>3782</v>
      </c>
      <c r="B3782" s="67" t="str">
        <f>MID(C3782, FIND("Ifc.", C3782) + 4, 4) &amp; "_" &amp; TEXT(COUNTIF($C$2:C3782, C3782),"0000")</f>
        <v>Quan_0090</v>
      </c>
      <c r="C3782" s="23" t="s">
        <v>878</v>
      </c>
      <c r="D3782" s="69" t="s">
        <v>9453</v>
      </c>
      <c r="E3782" s="70" t="s">
        <v>9460</v>
      </c>
      <c r="F3782" s="26" t="s">
        <v>798</v>
      </c>
      <c r="G3782" s="15" t="s">
        <v>798</v>
      </c>
      <c r="H3782" s="14" t="s">
        <v>798</v>
      </c>
      <c r="I3782" s="15" t="s">
        <v>798</v>
      </c>
      <c r="J3782" s="12" t="s">
        <v>9441</v>
      </c>
      <c r="K3782" s="16" t="s">
        <v>3851</v>
      </c>
      <c r="L3782" s="12" t="s">
        <v>800</v>
      </c>
      <c r="M3782" s="16" t="s">
        <v>4806</v>
      </c>
      <c r="N3782" s="19" t="s">
        <v>798</v>
      </c>
      <c r="O3782" s="20" t="s">
        <v>798</v>
      </c>
      <c r="P3782" s="17" t="s">
        <v>802</v>
      </c>
      <c r="Q3782" s="21" t="s">
        <v>9403</v>
      </c>
      <c r="R3782" s="19" t="s">
        <v>798</v>
      </c>
      <c r="S3782" s="20" t="s">
        <v>798</v>
      </c>
      <c r="T3782" s="17" t="s">
        <v>798</v>
      </c>
      <c r="U3782" s="20" t="s">
        <v>798</v>
      </c>
      <c r="V3782" s="26" t="s">
        <v>798</v>
      </c>
      <c r="W3782" s="20" t="s">
        <v>798</v>
      </c>
      <c r="X3782" s="26" t="s">
        <v>798</v>
      </c>
      <c r="Y3782" s="20" t="s">
        <v>798</v>
      </c>
      <c r="Z3782" s="69" t="s">
        <v>9486</v>
      </c>
      <c r="AA3782" s="72" t="s">
        <v>9505</v>
      </c>
      <c r="AB3782" s="73" t="s">
        <v>9486</v>
      </c>
      <c r="AC3782" s="74" t="s">
        <v>9562</v>
      </c>
      <c r="AD3782" s="73" t="s">
        <v>9578</v>
      </c>
      <c r="AE3782" s="74" t="s">
        <v>9579</v>
      </c>
    </row>
    <row r="3783" spans="1:31" ht="8.65" customHeight="1" x14ac:dyDescent="0.2">
      <c r="A3783" s="76">
        <v>3783</v>
      </c>
      <c r="B3783" s="67" t="str">
        <f>MID(C3783, FIND("Ifc.", C3783) + 4, 4) &amp; "_" &amp; TEXT(COUNTIF($C$2:C3783, C3783),"0000")</f>
        <v>Quan_0091</v>
      </c>
      <c r="C3783" s="23" t="s">
        <v>878</v>
      </c>
      <c r="D3783" s="69" t="s">
        <v>9453</v>
      </c>
      <c r="E3783" s="70" t="s">
        <v>9460</v>
      </c>
      <c r="F3783" s="26" t="s">
        <v>798</v>
      </c>
      <c r="G3783" s="15" t="s">
        <v>798</v>
      </c>
      <c r="H3783" s="14" t="s">
        <v>798</v>
      </c>
      <c r="I3783" s="15" t="s">
        <v>798</v>
      </c>
      <c r="J3783" s="12" t="s">
        <v>9441</v>
      </c>
      <c r="K3783" s="16" t="s">
        <v>3852</v>
      </c>
      <c r="L3783" s="12" t="s">
        <v>800</v>
      </c>
      <c r="M3783" s="16" t="s">
        <v>4807</v>
      </c>
      <c r="N3783" s="19" t="s">
        <v>798</v>
      </c>
      <c r="O3783" s="20" t="s">
        <v>798</v>
      </c>
      <c r="P3783" s="17" t="s">
        <v>802</v>
      </c>
      <c r="Q3783" s="21" t="s">
        <v>9404</v>
      </c>
      <c r="R3783" s="19" t="s">
        <v>798</v>
      </c>
      <c r="S3783" s="20" t="s">
        <v>798</v>
      </c>
      <c r="T3783" s="17" t="s">
        <v>798</v>
      </c>
      <c r="U3783" s="20" t="s">
        <v>798</v>
      </c>
      <c r="V3783" s="26" t="s">
        <v>798</v>
      </c>
      <c r="W3783" s="20" t="s">
        <v>798</v>
      </c>
      <c r="X3783" s="26" t="s">
        <v>798</v>
      </c>
      <c r="Y3783" s="20" t="s">
        <v>798</v>
      </c>
      <c r="Z3783" s="69" t="s">
        <v>9486</v>
      </c>
      <c r="AA3783" s="72" t="s">
        <v>9505</v>
      </c>
      <c r="AB3783" s="73" t="s">
        <v>9486</v>
      </c>
      <c r="AC3783" s="74" t="s">
        <v>9562</v>
      </c>
      <c r="AD3783" s="73" t="s">
        <v>9578</v>
      </c>
      <c r="AE3783" s="74" t="s">
        <v>9579</v>
      </c>
    </row>
    <row r="3784" spans="1:31" ht="8.65" customHeight="1" x14ac:dyDescent="0.2">
      <c r="A3784" s="76">
        <v>3784</v>
      </c>
      <c r="B3784" s="67" t="str">
        <f>MID(C3784, FIND("Ifc.", C3784) + 4, 4) &amp; "_" &amp; TEXT(COUNTIF($C$2:C3784, C3784),"0000")</f>
        <v>Quan_0092</v>
      </c>
      <c r="C3784" s="23" t="s">
        <v>878</v>
      </c>
      <c r="D3784" s="69" t="s">
        <v>9453</v>
      </c>
      <c r="E3784" s="70" t="s">
        <v>9460</v>
      </c>
      <c r="F3784" s="26" t="s">
        <v>798</v>
      </c>
      <c r="G3784" s="15" t="s">
        <v>798</v>
      </c>
      <c r="H3784" s="14" t="s">
        <v>798</v>
      </c>
      <c r="I3784" s="15" t="s">
        <v>798</v>
      </c>
      <c r="J3784" s="12" t="s">
        <v>9441</v>
      </c>
      <c r="K3784" s="16" t="s">
        <v>3853</v>
      </c>
      <c r="L3784" s="12" t="s">
        <v>800</v>
      </c>
      <c r="M3784" s="16" t="s">
        <v>4808</v>
      </c>
      <c r="N3784" s="19" t="s">
        <v>798</v>
      </c>
      <c r="O3784" s="20" t="s">
        <v>798</v>
      </c>
      <c r="P3784" s="17" t="s">
        <v>802</v>
      </c>
      <c r="Q3784" s="21" t="s">
        <v>9405</v>
      </c>
      <c r="R3784" s="19" t="s">
        <v>798</v>
      </c>
      <c r="S3784" s="20" t="s">
        <v>798</v>
      </c>
      <c r="T3784" s="17" t="s">
        <v>798</v>
      </c>
      <c r="U3784" s="20" t="s">
        <v>798</v>
      </c>
      <c r="V3784" s="26" t="s">
        <v>798</v>
      </c>
      <c r="W3784" s="20" t="s">
        <v>798</v>
      </c>
      <c r="X3784" s="26" t="s">
        <v>798</v>
      </c>
      <c r="Y3784" s="20" t="s">
        <v>798</v>
      </c>
      <c r="Z3784" s="69" t="s">
        <v>9486</v>
      </c>
      <c r="AA3784" s="72" t="s">
        <v>9505</v>
      </c>
      <c r="AB3784" s="73" t="s">
        <v>9486</v>
      </c>
      <c r="AC3784" s="74" t="s">
        <v>9562</v>
      </c>
      <c r="AD3784" s="73" t="s">
        <v>9578</v>
      </c>
      <c r="AE3784" s="74" t="s">
        <v>9667</v>
      </c>
    </row>
    <row r="3785" spans="1:31" ht="8.65" customHeight="1" x14ac:dyDescent="0.2">
      <c r="A3785" s="76">
        <v>3785</v>
      </c>
      <c r="B3785" s="67" t="str">
        <f>MID(C3785, FIND("Ifc.", C3785) + 4, 4) &amp; "_" &amp; TEXT(COUNTIF($C$2:C3785, C3785),"0000")</f>
        <v>Quan_0093</v>
      </c>
      <c r="C3785" s="23" t="s">
        <v>878</v>
      </c>
      <c r="D3785" s="69" t="s">
        <v>9453</v>
      </c>
      <c r="E3785" s="70" t="s">
        <v>9460</v>
      </c>
      <c r="F3785" s="26" t="s">
        <v>798</v>
      </c>
      <c r="G3785" s="15" t="s">
        <v>798</v>
      </c>
      <c r="H3785" s="14" t="s">
        <v>798</v>
      </c>
      <c r="I3785" s="15" t="s">
        <v>798</v>
      </c>
      <c r="J3785" s="12" t="s">
        <v>9441</v>
      </c>
      <c r="K3785" s="16" t="s">
        <v>3854</v>
      </c>
      <c r="L3785" s="12" t="s">
        <v>800</v>
      </c>
      <c r="M3785" s="16" t="s">
        <v>4809</v>
      </c>
      <c r="N3785" s="19" t="s">
        <v>798</v>
      </c>
      <c r="O3785" s="20" t="s">
        <v>798</v>
      </c>
      <c r="P3785" s="17" t="s">
        <v>802</v>
      </c>
      <c r="Q3785" s="21" t="s">
        <v>9406</v>
      </c>
      <c r="R3785" s="19" t="s">
        <v>798</v>
      </c>
      <c r="S3785" s="20" t="s">
        <v>798</v>
      </c>
      <c r="T3785" s="17" t="s">
        <v>798</v>
      </c>
      <c r="U3785" s="20" t="s">
        <v>798</v>
      </c>
      <c r="V3785" s="26" t="s">
        <v>798</v>
      </c>
      <c r="W3785" s="20" t="s">
        <v>798</v>
      </c>
      <c r="X3785" s="26" t="s">
        <v>798</v>
      </c>
      <c r="Y3785" s="20" t="s">
        <v>798</v>
      </c>
      <c r="Z3785" s="69" t="s">
        <v>9486</v>
      </c>
      <c r="AA3785" s="72" t="s">
        <v>9505</v>
      </c>
      <c r="AB3785" s="73" t="s">
        <v>9486</v>
      </c>
      <c r="AC3785" s="74" t="s">
        <v>9562</v>
      </c>
      <c r="AD3785" s="73" t="s">
        <v>9578</v>
      </c>
      <c r="AE3785" s="74" t="s">
        <v>9579</v>
      </c>
    </row>
    <row r="3786" spans="1:31" customFormat="1" ht="8.65" customHeight="1" x14ac:dyDescent="0.2">
      <c r="A3786" s="76">
        <v>3786</v>
      </c>
      <c r="B3786" s="70" t="s">
        <v>9462</v>
      </c>
      <c r="C3786" s="24" t="s">
        <v>9452</v>
      </c>
      <c r="D3786" s="69" t="s">
        <v>798</v>
      </c>
      <c r="E3786" s="71" t="s">
        <v>798</v>
      </c>
      <c r="F3786" s="26" t="s">
        <v>798</v>
      </c>
      <c r="G3786" s="15" t="s">
        <v>798</v>
      </c>
      <c r="H3786" s="14" t="s">
        <v>798</v>
      </c>
      <c r="I3786" s="15" t="s">
        <v>798</v>
      </c>
      <c r="J3786" s="17" t="s">
        <v>9418</v>
      </c>
      <c r="K3786" s="18" t="s">
        <v>5309</v>
      </c>
      <c r="L3786" s="12" t="s">
        <v>800</v>
      </c>
      <c r="M3786" s="13" t="s">
        <v>9442</v>
      </c>
      <c r="N3786" s="12" t="s">
        <v>800</v>
      </c>
      <c r="O3786" s="13" t="s">
        <v>9449</v>
      </c>
      <c r="P3786" s="14" t="s">
        <v>798</v>
      </c>
      <c r="Q3786" s="15" t="s">
        <v>798</v>
      </c>
      <c r="R3786" s="14" t="s">
        <v>798</v>
      </c>
      <c r="S3786" s="15" t="s">
        <v>798</v>
      </c>
      <c r="T3786" s="14" t="s">
        <v>798</v>
      </c>
      <c r="U3786" s="15" t="s">
        <v>798</v>
      </c>
      <c r="V3786" s="14" t="s">
        <v>798</v>
      </c>
      <c r="W3786" s="15" t="s">
        <v>798</v>
      </c>
      <c r="X3786" s="14" t="s">
        <v>798</v>
      </c>
      <c r="Y3786" s="15" t="s">
        <v>798</v>
      </c>
      <c r="Z3786" s="26" t="s">
        <v>798</v>
      </c>
      <c r="AA3786" s="20" t="s">
        <v>798</v>
      </c>
      <c r="AB3786" s="26" t="s">
        <v>798</v>
      </c>
      <c r="AC3786" s="20" t="s">
        <v>798</v>
      </c>
      <c r="AD3786" s="26" t="s">
        <v>798</v>
      </c>
      <c r="AE3786" s="20" t="s">
        <v>798</v>
      </c>
    </row>
    <row r="3787" spans="1:31" customFormat="1" ht="8.65" customHeight="1" x14ac:dyDescent="0.2">
      <c r="A3787" s="76">
        <v>3787</v>
      </c>
      <c r="B3787" s="70" t="s">
        <v>9463</v>
      </c>
      <c r="C3787" s="24" t="s">
        <v>9452</v>
      </c>
      <c r="D3787" s="69" t="s">
        <v>798</v>
      </c>
      <c r="E3787" s="71" t="s">
        <v>798</v>
      </c>
      <c r="F3787" s="26" t="s">
        <v>798</v>
      </c>
      <c r="G3787" s="15" t="s">
        <v>798</v>
      </c>
      <c r="H3787" s="14" t="s">
        <v>798</v>
      </c>
      <c r="I3787" s="15" t="s">
        <v>798</v>
      </c>
      <c r="J3787" s="17" t="s">
        <v>9418</v>
      </c>
      <c r="K3787" s="18" t="s">
        <v>5310</v>
      </c>
      <c r="L3787" s="12" t="s">
        <v>800</v>
      </c>
      <c r="M3787" s="13" t="s">
        <v>9448</v>
      </c>
      <c r="N3787" s="12" t="s">
        <v>800</v>
      </c>
      <c r="O3787" s="13" t="s">
        <v>9450</v>
      </c>
      <c r="P3787" s="14" t="s">
        <v>798</v>
      </c>
      <c r="Q3787" s="15" t="s">
        <v>798</v>
      </c>
      <c r="R3787" s="14" t="s">
        <v>798</v>
      </c>
      <c r="S3787" s="15" t="s">
        <v>798</v>
      </c>
      <c r="T3787" s="14" t="s">
        <v>798</v>
      </c>
      <c r="U3787" s="15" t="s">
        <v>798</v>
      </c>
      <c r="V3787" s="14" t="s">
        <v>798</v>
      </c>
      <c r="W3787" s="15" t="s">
        <v>798</v>
      </c>
      <c r="X3787" s="14" t="s">
        <v>798</v>
      </c>
      <c r="Y3787" s="15" t="s">
        <v>798</v>
      </c>
      <c r="Z3787" s="26" t="s">
        <v>798</v>
      </c>
      <c r="AA3787" s="20" t="s">
        <v>798</v>
      </c>
      <c r="AB3787" s="26" t="s">
        <v>798</v>
      </c>
      <c r="AC3787" s="20" t="s">
        <v>798</v>
      </c>
      <c r="AD3787" s="26" t="s">
        <v>798</v>
      </c>
      <c r="AE3787" s="20" t="s">
        <v>798</v>
      </c>
    </row>
    <row r="3788" spans="1:31" customFormat="1" ht="8.65" customHeight="1" x14ac:dyDescent="0.2">
      <c r="A3788" s="76">
        <v>3788</v>
      </c>
      <c r="B3788" s="70" t="s">
        <v>9464</v>
      </c>
      <c r="C3788" s="24" t="s">
        <v>9452</v>
      </c>
      <c r="D3788" s="69" t="s">
        <v>798</v>
      </c>
      <c r="E3788" s="71" t="s">
        <v>798</v>
      </c>
      <c r="F3788" s="26" t="s">
        <v>798</v>
      </c>
      <c r="G3788" s="15" t="s">
        <v>798</v>
      </c>
      <c r="H3788" s="14" t="s">
        <v>798</v>
      </c>
      <c r="I3788" s="15" t="s">
        <v>798</v>
      </c>
      <c r="J3788" s="17" t="s">
        <v>9418</v>
      </c>
      <c r="K3788" s="18" t="s">
        <v>5314</v>
      </c>
      <c r="L3788" s="12" t="s">
        <v>800</v>
      </c>
      <c r="M3788" s="13" t="s">
        <v>9443</v>
      </c>
      <c r="N3788" s="19" t="s">
        <v>798</v>
      </c>
      <c r="O3788" s="15" t="s">
        <v>798</v>
      </c>
      <c r="P3788" s="14" t="s">
        <v>798</v>
      </c>
      <c r="Q3788" s="15" t="s">
        <v>798</v>
      </c>
      <c r="R3788" s="14" t="s">
        <v>798</v>
      </c>
      <c r="S3788" s="15" t="s">
        <v>798</v>
      </c>
      <c r="T3788" s="14" t="s">
        <v>798</v>
      </c>
      <c r="U3788" s="15" t="s">
        <v>798</v>
      </c>
      <c r="V3788" s="14" t="s">
        <v>798</v>
      </c>
      <c r="W3788" s="15" t="s">
        <v>798</v>
      </c>
      <c r="X3788" s="14" t="s">
        <v>798</v>
      </c>
      <c r="Y3788" s="15" t="s">
        <v>798</v>
      </c>
      <c r="Z3788" s="26" t="s">
        <v>798</v>
      </c>
      <c r="AA3788" s="20" t="s">
        <v>798</v>
      </c>
      <c r="AB3788" s="26" t="s">
        <v>798</v>
      </c>
      <c r="AC3788" s="20" t="s">
        <v>798</v>
      </c>
      <c r="AD3788" s="26" t="s">
        <v>798</v>
      </c>
      <c r="AE3788" s="20" t="s">
        <v>798</v>
      </c>
    </row>
    <row r="3789" spans="1:31" customFormat="1" ht="8.65" customHeight="1" x14ac:dyDescent="0.2">
      <c r="A3789" s="76">
        <v>3789</v>
      </c>
      <c r="B3789" s="70" t="s">
        <v>9465</v>
      </c>
      <c r="C3789" s="24" t="s">
        <v>9452</v>
      </c>
      <c r="D3789" s="69" t="s">
        <v>798</v>
      </c>
      <c r="E3789" s="71" t="s">
        <v>798</v>
      </c>
      <c r="F3789" s="26" t="s">
        <v>798</v>
      </c>
      <c r="G3789" s="15" t="s">
        <v>798</v>
      </c>
      <c r="H3789" s="14" t="s">
        <v>798</v>
      </c>
      <c r="I3789" s="15" t="s">
        <v>798</v>
      </c>
      <c r="J3789" s="17" t="s">
        <v>9418</v>
      </c>
      <c r="K3789" s="18" t="s">
        <v>5312</v>
      </c>
      <c r="L3789" s="12" t="s">
        <v>800</v>
      </c>
      <c r="M3789" s="13" t="s">
        <v>9444</v>
      </c>
      <c r="N3789" s="19" t="s">
        <v>798</v>
      </c>
      <c r="O3789" s="15" t="s">
        <v>798</v>
      </c>
      <c r="P3789" s="14" t="s">
        <v>798</v>
      </c>
      <c r="Q3789" s="15" t="s">
        <v>798</v>
      </c>
      <c r="R3789" s="14" t="s">
        <v>798</v>
      </c>
      <c r="S3789" s="15" t="s">
        <v>798</v>
      </c>
      <c r="T3789" s="14" t="s">
        <v>798</v>
      </c>
      <c r="U3789" s="15" t="s">
        <v>798</v>
      </c>
      <c r="V3789" s="14" t="s">
        <v>798</v>
      </c>
      <c r="W3789" s="15" t="s">
        <v>798</v>
      </c>
      <c r="X3789" s="14" t="s">
        <v>798</v>
      </c>
      <c r="Y3789" s="15" t="s">
        <v>798</v>
      </c>
      <c r="Z3789" s="26" t="s">
        <v>798</v>
      </c>
      <c r="AA3789" s="20" t="s">
        <v>798</v>
      </c>
      <c r="AB3789" s="26" t="s">
        <v>798</v>
      </c>
      <c r="AC3789" s="20" t="s">
        <v>798</v>
      </c>
      <c r="AD3789" s="26" t="s">
        <v>798</v>
      </c>
      <c r="AE3789" s="20" t="s">
        <v>798</v>
      </c>
    </row>
    <row r="3790" spans="1:31" customFormat="1" ht="8.65" customHeight="1" x14ac:dyDescent="0.2">
      <c r="A3790" s="76">
        <v>3790</v>
      </c>
      <c r="B3790" s="70" t="s">
        <v>9466</v>
      </c>
      <c r="C3790" s="24" t="s">
        <v>9452</v>
      </c>
      <c r="D3790" s="69" t="s">
        <v>798</v>
      </c>
      <c r="E3790" s="71" t="s">
        <v>798</v>
      </c>
      <c r="F3790" s="26" t="s">
        <v>798</v>
      </c>
      <c r="G3790" s="15" t="s">
        <v>798</v>
      </c>
      <c r="H3790" s="14" t="s">
        <v>798</v>
      </c>
      <c r="I3790" s="15" t="s">
        <v>798</v>
      </c>
      <c r="J3790" s="17" t="s">
        <v>9418</v>
      </c>
      <c r="K3790" s="18" t="s">
        <v>5311</v>
      </c>
      <c r="L3790" s="12" t="s">
        <v>800</v>
      </c>
      <c r="M3790" s="13" t="s">
        <v>9445</v>
      </c>
      <c r="N3790" s="19" t="s">
        <v>798</v>
      </c>
      <c r="O3790" s="15" t="s">
        <v>798</v>
      </c>
      <c r="P3790" s="14" t="s">
        <v>798</v>
      </c>
      <c r="Q3790" s="15" t="s">
        <v>798</v>
      </c>
      <c r="R3790" s="14" t="s">
        <v>798</v>
      </c>
      <c r="S3790" s="15" t="s">
        <v>798</v>
      </c>
      <c r="T3790" s="14" t="s">
        <v>798</v>
      </c>
      <c r="U3790" s="15" t="s">
        <v>798</v>
      </c>
      <c r="V3790" s="14" t="s">
        <v>798</v>
      </c>
      <c r="W3790" s="15" t="s">
        <v>798</v>
      </c>
      <c r="X3790" s="14" t="s">
        <v>798</v>
      </c>
      <c r="Y3790" s="15" t="s">
        <v>798</v>
      </c>
      <c r="Z3790" s="26" t="s">
        <v>798</v>
      </c>
      <c r="AA3790" s="20" t="s">
        <v>798</v>
      </c>
      <c r="AB3790" s="26" t="s">
        <v>798</v>
      </c>
      <c r="AC3790" s="20" t="s">
        <v>798</v>
      </c>
      <c r="AD3790" s="26" t="s">
        <v>798</v>
      </c>
      <c r="AE3790" s="20" t="s">
        <v>798</v>
      </c>
    </row>
    <row r="3791" spans="1:31" customFormat="1" ht="8.65" customHeight="1" x14ac:dyDescent="0.2">
      <c r="A3791" s="76">
        <v>3791</v>
      </c>
      <c r="B3791" s="70" t="s">
        <v>9467</v>
      </c>
      <c r="C3791" s="24" t="s">
        <v>9452</v>
      </c>
      <c r="D3791" s="69" t="s">
        <v>798</v>
      </c>
      <c r="E3791" s="71" t="s">
        <v>798</v>
      </c>
      <c r="F3791" s="26" t="s">
        <v>798</v>
      </c>
      <c r="G3791" s="15" t="s">
        <v>798</v>
      </c>
      <c r="H3791" s="14" t="s">
        <v>798</v>
      </c>
      <c r="I3791" s="15" t="s">
        <v>798</v>
      </c>
      <c r="J3791" s="17" t="s">
        <v>9418</v>
      </c>
      <c r="K3791" s="18" t="s">
        <v>5313</v>
      </c>
      <c r="L3791" s="12" t="s">
        <v>800</v>
      </c>
      <c r="M3791" s="13" t="s">
        <v>9446</v>
      </c>
      <c r="N3791" s="19" t="s">
        <v>798</v>
      </c>
      <c r="O3791" s="15" t="s">
        <v>798</v>
      </c>
      <c r="P3791" s="14" t="s">
        <v>798</v>
      </c>
      <c r="Q3791" s="15" t="s">
        <v>798</v>
      </c>
      <c r="R3791" s="14" t="s">
        <v>798</v>
      </c>
      <c r="S3791" s="15" t="s">
        <v>798</v>
      </c>
      <c r="T3791" s="14" t="s">
        <v>798</v>
      </c>
      <c r="U3791" s="15" t="s">
        <v>798</v>
      </c>
      <c r="V3791" s="14" t="s">
        <v>798</v>
      </c>
      <c r="W3791" s="15" t="s">
        <v>798</v>
      </c>
      <c r="X3791" s="14" t="s">
        <v>798</v>
      </c>
      <c r="Y3791" s="15" t="s">
        <v>798</v>
      </c>
      <c r="Z3791" s="26" t="s">
        <v>798</v>
      </c>
      <c r="AA3791" s="20" t="s">
        <v>798</v>
      </c>
      <c r="AB3791" s="26" t="s">
        <v>798</v>
      </c>
      <c r="AC3791" s="20" t="s">
        <v>798</v>
      </c>
      <c r="AD3791" s="26" t="s">
        <v>798</v>
      </c>
      <c r="AE3791" s="20" t="s">
        <v>798</v>
      </c>
    </row>
    <row r="3792" spans="1:31" customFormat="1" ht="8.65" customHeight="1" x14ac:dyDescent="0.2">
      <c r="A3792" s="76">
        <v>3792</v>
      </c>
      <c r="B3792" s="70" t="s">
        <v>9468</v>
      </c>
      <c r="C3792" s="24" t="s">
        <v>9452</v>
      </c>
      <c r="D3792" s="69" t="s">
        <v>798</v>
      </c>
      <c r="E3792" s="71" t="s">
        <v>798</v>
      </c>
      <c r="F3792" s="26" t="s">
        <v>798</v>
      </c>
      <c r="G3792" s="15" t="s">
        <v>798</v>
      </c>
      <c r="H3792" s="14" t="s">
        <v>798</v>
      </c>
      <c r="I3792" s="15" t="s">
        <v>798</v>
      </c>
      <c r="J3792" s="17" t="s">
        <v>9418</v>
      </c>
      <c r="K3792" s="18" t="s">
        <v>9419</v>
      </c>
      <c r="L3792" s="12" t="s">
        <v>800</v>
      </c>
      <c r="M3792" s="13" t="s">
        <v>9447</v>
      </c>
      <c r="N3792" s="19" t="s">
        <v>798</v>
      </c>
      <c r="O3792" s="15" t="s">
        <v>798</v>
      </c>
      <c r="P3792" s="14" t="s">
        <v>798</v>
      </c>
      <c r="Q3792" s="15" t="s">
        <v>798</v>
      </c>
      <c r="R3792" s="14" t="s">
        <v>798</v>
      </c>
      <c r="S3792" s="15" t="s">
        <v>798</v>
      </c>
      <c r="T3792" s="14" t="s">
        <v>798</v>
      </c>
      <c r="U3792" s="15" t="s">
        <v>798</v>
      </c>
      <c r="V3792" s="14" t="s">
        <v>798</v>
      </c>
      <c r="W3792" s="15" t="s">
        <v>798</v>
      </c>
      <c r="X3792" s="14" t="s">
        <v>798</v>
      </c>
      <c r="Y3792" s="15" t="s">
        <v>798</v>
      </c>
      <c r="Z3792" s="26" t="s">
        <v>798</v>
      </c>
      <c r="AA3792" s="20" t="s">
        <v>798</v>
      </c>
      <c r="AB3792" s="26" t="s">
        <v>798</v>
      </c>
      <c r="AC3792" s="20" t="s">
        <v>798</v>
      </c>
      <c r="AD3792" s="26" t="s">
        <v>798</v>
      </c>
      <c r="AE3792" s="20" t="s">
        <v>798</v>
      </c>
    </row>
    <row r="3793" spans="1:31" ht="8.65" customHeight="1" x14ac:dyDescent="0.2">
      <c r="A3793" s="76">
        <v>3793</v>
      </c>
      <c r="B3793" s="70" t="s">
        <v>9454</v>
      </c>
      <c r="C3793" s="24" t="s">
        <v>9452</v>
      </c>
      <c r="D3793" s="69" t="s">
        <v>798</v>
      </c>
      <c r="E3793" s="71" t="s">
        <v>798</v>
      </c>
      <c r="F3793" s="14" t="s">
        <v>798</v>
      </c>
      <c r="G3793" s="15" t="s">
        <v>798</v>
      </c>
      <c r="H3793" s="14" t="s">
        <v>798</v>
      </c>
      <c r="I3793" s="15" t="s">
        <v>798</v>
      </c>
      <c r="J3793" s="14" t="s">
        <v>798</v>
      </c>
      <c r="K3793" s="15" t="s">
        <v>798</v>
      </c>
      <c r="L3793" s="12" t="s">
        <v>800</v>
      </c>
      <c r="M3793" s="18" t="s">
        <v>9487</v>
      </c>
      <c r="N3793" s="19" t="s">
        <v>798</v>
      </c>
      <c r="O3793" s="15" t="s">
        <v>798</v>
      </c>
      <c r="P3793" s="14" t="s">
        <v>798</v>
      </c>
      <c r="Q3793" s="15" t="s">
        <v>798</v>
      </c>
      <c r="R3793" s="14" t="s">
        <v>798</v>
      </c>
      <c r="S3793" s="15" t="s">
        <v>798</v>
      </c>
      <c r="T3793" s="14" t="s">
        <v>798</v>
      </c>
      <c r="U3793" s="15" t="s">
        <v>798</v>
      </c>
      <c r="V3793" s="14" t="s">
        <v>798</v>
      </c>
      <c r="W3793" s="15" t="s">
        <v>798</v>
      </c>
      <c r="X3793" s="14" t="s">
        <v>798</v>
      </c>
      <c r="Y3793" s="15" t="s">
        <v>798</v>
      </c>
      <c r="Z3793" s="26" t="s">
        <v>798</v>
      </c>
      <c r="AA3793" s="20" t="s">
        <v>798</v>
      </c>
      <c r="AB3793" s="26" t="s">
        <v>798</v>
      </c>
      <c r="AC3793" s="20" t="s">
        <v>798</v>
      </c>
      <c r="AD3793" s="26" t="s">
        <v>798</v>
      </c>
      <c r="AE3793" s="20" t="s">
        <v>798</v>
      </c>
    </row>
    <row r="3794" spans="1:31" ht="8.65" customHeight="1" x14ac:dyDescent="0.2">
      <c r="A3794" s="76">
        <v>3794</v>
      </c>
      <c r="B3794" s="70" t="s">
        <v>9457</v>
      </c>
      <c r="C3794" s="24" t="s">
        <v>9452</v>
      </c>
      <c r="D3794" s="69" t="s">
        <v>798</v>
      </c>
      <c r="E3794" s="71" t="s">
        <v>798</v>
      </c>
      <c r="F3794" s="14" t="s">
        <v>798</v>
      </c>
      <c r="G3794" s="15" t="s">
        <v>798</v>
      </c>
      <c r="H3794" s="14" t="s">
        <v>798</v>
      </c>
      <c r="I3794" s="15" t="s">
        <v>798</v>
      </c>
      <c r="J3794" s="14" t="s">
        <v>798</v>
      </c>
      <c r="K3794" s="15" t="s">
        <v>798</v>
      </c>
      <c r="L3794" s="12" t="s">
        <v>800</v>
      </c>
      <c r="M3794" s="18" t="s">
        <v>9495</v>
      </c>
      <c r="N3794" s="19" t="s">
        <v>798</v>
      </c>
      <c r="O3794" s="15" t="s">
        <v>798</v>
      </c>
      <c r="P3794" s="14" t="s">
        <v>798</v>
      </c>
      <c r="Q3794" s="15" t="s">
        <v>798</v>
      </c>
      <c r="R3794" s="14" t="s">
        <v>798</v>
      </c>
      <c r="S3794" s="15" t="s">
        <v>798</v>
      </c>
      <c r="T3794" s="14" t="s">
        <v>798</v>
      </c>
      <c r="U3794" s="15" t="s">
        <v>798</v>
      </c>
      <c r="V3794" s="14" t="s">
        <v>798</v>
      </c>
      <c r="W3794" s="15" t="s">
        <v>798</v>
      </c>
      <c r="X3794" s="14" t="s">
        <v>798</v>
      </c>
      <c r="Y3794" s="15" t="s">
        <v>798</v>
      </c>
      <c r="Z3794" s="26" t="s">
        <v>798</v>
      </c>
      <c r="AA3794" s="20" t="s">
        <v>798</v>
      </c>
      <c r="AB3794" s="26" t="s">
        <v>798</v>
      </c>
      <c r="AC3794" s="20" t="s">
        <v>798</v>
      </c>
      <c r="AD3794" s="26" t="s">
        <v>798</v>
      </c>
      <c r="AE3794" s="20" t="s">
        <v>798</v>
      </c>
    </row>
    <row r="3795" spans="1:31" ht="8.65" customHeight="1" x14ac:dyDescent="0.2">
      <c r="A3795" s="76">
        <v>3795</v>
      </c>
      <c r="B3795" s="70" t="s">
        <v>9507</v>
      </c>
      <c r="C3795" s="24" t="s">
        <v>9452</v>
      </c>
      <c r="D3795" s="69" t="s">
        <v>798</v>
      </c>
      <c r="E3795" s="71" t="s">
        <v>798</v>
      </c>
      <c r="F3795" s="14" t="s">
        <v>798</v>
      </c>
      <c r="G3795" s="15" t="s">
        <v>798</v>
      </c>
      <c r="H3795" s="14" t="s">
        <v>798</v>
      </c>
      <c r="I3795" s="15" t="s">
        <v>798</v>
      </c>
      <c r="J3795" s="14" t="s">
        <v>798</v>
      </c>
      <c r="K3795" s="15" t="s">
        <v>798</v>
      </c>
      <c r="L3795" s="12" t="s">
        <v>800</v>
      </c>
      <c r="M3795" s="18" t="s">
        <v>9524</v>
      </c>
      <c r="N3795" s="19" t="s">
        <v>798</v>
      </c>
      <c r="O3795" s="15" t="s">
        <v>798</v>
      </c>
      <c r="P3795" s="14" t="s">
        <v>798</v>
      </c>
      <c r="Q3795" s="15" t="s">
        <v>798</v>
      </c>
      <c r="R3795" s="14" t="s">
        <v>798</v>
      </c>
      <c r="S3795" s="15" t="s">
        <v>798</v>
      </c>
      <c r="T3795" s="14" t="s">
        <v>798</v>
      </c>
      <c r="U3795" s="15" t="s">
        <v>798</v>
      </c>
      <c r="V3795" s="14" t="s">
        <v>798</v>
      </c>
      <c r="W3795" s="15" t="s">
        <v>798</v>
      </c>
      <c r="X3795" s="14" t="s">
        <v>798</v>
      </c>
      <c r="Y3795" s="15" t="s">
        <v>798</v>
      </c>
      <c r="Z3795" s="26" t="s">
        <v>798</v>
      </c>
      <c r="AA3795" s="20" t="s">
        <v>798</v>
      </c>
      <c r="AB3795" s="26" t="s">
        <v>798</v>
      </c>
      <c r="AC3795" s="20" t="s">
        <v>798</v>
      </c>
      <c r="AD3795" s="26" t="s">
        <v>798</v>
      </c>
      <c r="AE3795" s="20" t="s">
        <v>798</v>
      </c>
    </row>
    <row r="3796" spans="1:31" ht="8.65" customHeight="1" x14ac:dyDescent="0.2">
      <c r="A3796" s="76">
        <v>3796</v>
      </c>
      <c r="B3796" s="70" t="s">
        <v>9456</v>
      </c>
      <c r="C3796" s="24" t="s">
        <v>9452</v>
      </c>
      <c r="D3796" s="69" t="s">
        <v>798</v>
      </c>
      <c r="E3796" s="71" t="s">
        <v>798</v>
      </c>
      <c r="F3796" s="14" t="s">
        <v>798</v>
      </c>
      <c r="G3796" s="15" t="s">
        <v>798</v>
      </c>
      <c r="H3796" s="14" t="s">
        <v>798</v>
      </c>
      <c r="I3796" s="15" t="s">
        <v>798</v>
      </c>
      <c r="J3796" s="14" t="s">
        <v>798</v>
      </c>
      <c r="K3796" s="15" t="s">
        <v>798</v>
      </c>
      <c r="L3796" s="12" t="s">
        <v>800</v>
      </c>
      <c r="M3796" s="18" t="s">
        <v>9461</v>
      </c>
      <c r="N3796" s="19" t="s">
        <v>798</v>
      </c>
      <c r="O3796" s="15" t="s">
        <v>798</v>
      </c>
      <c r="P3796" s="14" t="s">
        <v>798</v>
      </c>
      <c r="Q3796" s="15" t="s">
        <v>798</v>
      </c>
      <c r="R3796" s="14" t="s">
        <v>798</v>
      </c>
      <c r="S3796" s="15" t="s">
        <v>798</v>
      </c>
      <c r="T3796" s="14" t="s">
        <v>798</v>
      </c>
      <c r="U3796" s="15" t="s">
        <v>798</v>
      </c>
      <c r="V3796" s="14" t="s">
        <v>798</v>
      </c>
      <c r="W3796" s="15" t="s">
        <v>798</v>
      </c>
      <c r="X3796" s="14" t="s">
        <v>798</v>
      </c>
      <c r="Y3796" s="15" t="s">
        <v>798</v>
      </c>
      <c r="Z3796" s="26" t="s">
        <v>798</v>
      </c>
      <c r="AA3796" s="20" t="s">
        <v>798</v>
      </c>
      <c r="AB3796" s="26" t="s">
        <v>798</v>
      </c>
      <c r="AC3796" s="20" t="s">
        <v>798</v>
      </c>
      <c r="AD3796" s="26" t="s">
        <v>798</v>
      </c>
      <c r="AE3796" s="20" t="s">
        <v>798</v>
      </c>
    </row>
    <row r="3797" spans="1:31" ht="8.65" customHeight="1" x14ac:dyDescent="0.2">
      <c r="A3797" s="76">
        <v>3797</v>
      </c>
      <c r="B3797" s="70" t="s">
        <v>9455</v>
      </c>
      <c r="C3797" s="24" t="s">
        <v>9452</v>
      </c>
      <c r="D3797" s="69" t="s">
        <v>798</v>
      </c>
      <c r="E3797" s="71" t="s">
        <v>798</v>
      </c>
      <c r="F3797" s="14" t="s">
        <v>798</v>
      </c>
      <c r="G3797" s="15" t="s">
        <v>798</v>
      </c>
      <c r="H3797" s="14" t="s">
        <v>798</v>
      </c>
      <c r="I3797" s="15" t="s">
        <v>798</v>
      </c>
      <c r="J3797" s="14" t="s">
        <v>798</v>
      </c>
      <c r="K3797" s="15" t="s">
        <v>798</v>
      </c>
      <c r="L3797" s="12" t="s">
        <v>800</v>
      </c>
      <c r="M3797" s="18" t="s">
        <v>9525</v>
      </c>
      <c r="N3797" s="19" t="s">
        <v>798</v>
      </c>
      <c r="O3797" s="15" t="s">
        <v>798</v>
      </c>
      <c r="P3797" s="14" t="s">
        <v>798</v>
      </c>
      <c r="Q3797" s="15" t="s">
        <v>798</v>
      </c>
      <c r="R3797" s="14" t="s">
        <v>798</v>
      </c>
      <c r="S3797" s="15" t="s">
        <v>798</v>
      </c>
      <c r="T3797" s="14" t="s">
        <v>798</v>
      </c>
      <c r="U3797" s="15" t="s">
        <v>798</v>
      </c>
      <c r="V3797" s="14" t="s">
        <v>798</v>
      </c>
      <c r="W3797" s="15" t="s">
        <v>798</v>
      </c>
      <c r="X3797" s="14" t="s">
        <v>798</v>
      </c>
      <c r="Y3797" s="15" t="s">
        <v>798</v>
      </c>
      <c r="Z3797" s="26" t="s">
        <v>798</v>
      </c>
      <c r="AA3797" s="20" t="s">
        <v>798</v>
      </c>
      <c r="AB3797" s="26" t="s">
        <v>798</v>
      </c>
      <c r="AC3797" s="20" t="s">
        <v>798</v>
      </c>
      <c r="AD3797" s="26" t="s">
        <v>798</v>
      </c>
      <c r="AE3797" s="20" t="s">
        <v>798</v>
      </c>
    </row>
    <row r="3798" spans="1:31" ht="8.65" customHeight="1" x14ac:dyDescent="0.2">
      <c r="A3798" s="76">
        <v>3798</v>
      </c>
      <c r="B3798" s="70" t="s">
        <v>9459</v>
      </c>
      <c r="C3798" s="24" t="s">
        <v>9452</v>
      </c>
      <c r="D3798" s="69" t="s">
        <v>798</v>
      </c>
      <c r="E3798" s="71" t="s">
        <v>798</v>
      </c>
      <c r="F3798" s="14" t="s">
        <v>798</v>
      </c>
      <c r="G3798" s="15" t="s">
        <v>798</v>
      </c>
      <c r="H3798" s="14" t="s">
        <v>798</v>
      </c>
      <c r="I3798" s="15" t="s">
        <v>798</v>
      </c>
      <c r="J3798" s="14" t="s">
        <v>798</v>
      </c>
      <c r="K3798" s="15" t="s">
        <v>798</v>
      </c>
      <c r="L3798" s="12" t="s">
        <v>800</v>
      </c>
      <c r="M3798" s="18" t="s">
        <v>9526</v>
      </c>
      <c r="N3798" s="19" t="s">
        <v>798</v>
      </c>
      <c r="O3798" s="15" t="s">
        <v>798</v>
      </c>
      <c r="P3798" s="14" t="s">
        <v>798</v>
      </c>
      <c r="Q3798" s="15" t="s">
        <v>798</v>
      </c>
      <c r="R3798" s="14" t="s">
        <v>798</v>
      </c>
      <c r="S3798" s="15" t="s">
        <v>798</v>
      </c>
      <c r="T3798" s="14" t="s">
        <v>798</v>
      </c>
      <c r="U3798" s="15" t="s">
        <v>798</v>
      </c>
      <c r="V3798" s="14" t="s">
        <v>798</v>
      </c>
      <c r="W3798" s="15" t="s">
        <v>798</v>
      </c>
      <c r="X3798" s="14" t="s">
        <v>798</v>
      </c>
      <c r="Y3798" s="15" t="s">
        <v>798</v>
      </c>
      <c r="Z3798" s="26" t="s">
        <v>798</v>
      </c>
      <c r="AA3798" s="20" t="s">
        <v>798</v>
      </c>
      <c r="AB3798" s="26" t="s">
        <v>798</v>
      </c>
      <c r="AC3798" s="20" t="s">
        <v>798</v>
      </c>
      <c r="AD3798" s="26" t="s">
        <v>798</v>
      </c>
      <c r="AE3798" s="20" t="s">
        <v>798</v>
      </c>
    </row>
    <row r="3799" spans="1:31" ht="8.65" customHeight="1" x14ac:dyDescent="0.2">
      <c r="A3799" s="76">
        <v>3799</v>
      </c>
      <c r="B3799" s="70" t="s">
        <v>9458</v>
      </c>
      <c r="C3799" s="24" t="s">
        <v>9452</v>
      </c>
      <c r="D3799" s="69" t="s">
        <v>798</v>
      </c>
      <c r="E3799" s="71" t="s">
        <v>798</v>
      </c>
      <c r="F3799" s="14" t="s">
        <v>798</v>
      </c>
      <c r="G3799" s="15" t="s">
        <v>798</v>
      </c>
      <c r="H3799" s="14" t="s">
        <v>798</v>
      </c>
      <c r="I3799" s="15" t="s">
        <v>798</v>
      </c>
      <c r="J3799" s="14" t="s">
        <v>798</v>
      </c>
      <c r="K3799" s="15" t="s">
        <v>798</v>
      </c>
      <c r="L3799" s="12" t="s">
        <v>800</v>
      </c>
      <c r="M3799" s="18" t="s">
        <v>9527</v>
      </c>
      <c r="N3799" s="19" t="s">
        <v>798</v>
      </c>
      <c r="O3799" s="15" t="s">
        <v>798</v>
      </c>
      <c r="P3799" s="14" t="s">
        <v>798</v>
      </c>
      <c r="Q3799" s="15" t="s">
        <v>798</v>
      </c>
      <c r="R3799" s="14" t="s">
        <v>798</v>
      </c>
      <c r="S3799" s="15" t="s">
        <v>798</v>
      </c>
      <c r="T3799" s="14" t="s">
        <v>798</v>
      </c>
      <c r="U3799" s="15" t="s">
        <v>798</v>
      </c>
      <c r="V3799" s="14" t="s">
        <v>798</v>
      </c>
      <c r="W3799" s="15" t="s">
        <v>798</v>
      </c>
      <c r="X3799" s="14" t="s">
        <v>798</v>
      </c>
      <c r="Y3799" s="15" t="s">
        <v>798</v>
      </c>
      <c r="Z3799" s="26" t="s">
        <v>798</v>
      </c>
      <c r="AA3799" s="20" t="s">
        <v>798</v>
      </c>
      <c r="AB3799" s="26" t="s">
        <v>798</v>
      </c>
      <c r="AC3799" s="20" t="s">
        <v>798</v>
      </c>
      <c r="AD3799" s="26" t="s">
        <v>798</v>
      </c>
      <c r="AE3799" s="20" t="s">
        <v>798</v>
      </c>
    </row>
    <row r="3800" spans="1:31" ht="8.65" customHeight="1" x14ac:dyDescent="0.2">
      <c r="A3800" s="76">
        <v>3800</v>
      </c>
      <c r="B3800" s="70" t="s">
        <v>9460</v>
      </c>
      <c r="C3800" s="24" t="s">
        <v>9452</v>
      </c>
      <c r="D3800" s="69" t="s">
        <v>798</v>
      </c>
      <c r="E3800" s="71" t="s">
        <v>798</v>
      </c>
      <c r="F3800" s="14" t="s">
        <v>798</v>
      </c>
      <c r="G3800" s="15" t="s">
        <v>798</v>
      </c>
      <c r="H3800" s="14" t="s">
        <v>798</v>
      </c>
      <c r="I3800" s="15" t="s">
        <v>798</v>
      </c>
      <c r="J3800" s="14" t="s">
        <v>798</v>
      </c>
      <c r="K3800" s="15" t="s">
        <v>798</v>
      </c>
      <c r="L3800" s="12" t="s">
        <v>800</v>
      </c>
      <c r="M3800" s="13" t="s">
        <v>9451</v>
      </c>
      <c r="N3800" s="19" t="s">
        <v>798</v>
      </c>
      <c r="O3800" s="15" t="s">
        <v>798</v>
      </c>
      <c r="P3800" s="14" t="s">
        <v>798</v>
      </c>
      <c r="Q3800" s="15" t="s">
        <v>798</v>
      </c>
      <c r="R3800" s="14" t="s">
        <v>798</v>
      </c>
      <c r="S3800" s="15" t="s">
        <v>798</v>
      </c>
      <c r="T3800" s="14" t="s">
        <v>798</v>
      </c>
      <c r="U3800" s="15" t="s">
        <v>798</v>
      </c>
      <c r="V3800" s="14" t="s">
        <v>798</v>
      </c>
      <c r="W3800" s="15" t="s">
        <v>798</v>
      </c>
      <c r="X3800" s="14" t="s">
        <v>798</v>
      </c>
      <c r="Y3800" s="15" t="s">
        <v>798</v>
      </c>
      <c r="Z3800" s="26" t="s">
        <v>798</v>
      </c>
      <c r="AA3800" s="20" t="s">
        <v>798</v>
      </c>
      <c r="AB3800" s="26" t="s">
        <v>798</v>
      </c>
      <c r="AC3800" s="20" t="s">
        <v>798</v>
      </c>
      <c r="AD3800" s="26" t="s">
        <v>798</v>
      </c>
      <c r="AE3800" s="20" t="s">
        <v>798</v>
      </c>
    </row>
    <row r="3801" spans="1:31" ht="8.65" customHeight="1" x14ac:dyDescent="0.2">
      <c r="A3801" s="76">
        <v>3801</v>
      </c>
      <c r="B3801" s="70" t="s">
        <v>9478</v>
      </c>
      <c r="C3801" s="24" t="s">
        <v>9484</v>
      </c>
      <c r="D3801" s="69" t="s">
        <v>798</v>
      </c>
      <c r="E3801" s="71" t="s">
        <v>798</v>
      </c>
      <c r="F3801" s="14" t="s">
        <v>798</v>
      </c>
      <c r="G3801" s="15" t="s">
        <v>798</v>
      </c>
      <c r="H3801" s="14" t="s">
        <v>798</v>
      </c>
      <c r="I3801" s="15" t="s">
        <v>798</v>
      </c>
      <c r="J3801" s="14" t="s">
        <v>798</v>
      </c>
      <c r="K3801" s="15" t="s">
        <v>798</v>
      </c>
      <c r="L3801" s="12" t="s">
        <v>800</v>
      </c>
      <c r="M3801" s="18" t="s">
        <v>9494</v>
      </c>
      <c r="N3801" s="19" t="s">
        <v>798</v>
      </c>
      <c r="O3801" s="15" t="s">
        <v>798</v>
      </c>
      <c r="P3801" s="14" t="s">
        <v>798</v>
      </c>
      <c r="Q3801" s="15" t="s">
        <v>798</v>
      </c>
      <c r="R3801" s="14" t="s">
        <v>798</v>
      </c>
      <c r="S3801" s="15" t="s">
        <v>798</v>
      </c>
      <c r="T3801" s="14" t="s">
        <v>798</v>
      </c>
      <c r="U3801" s="15" t="s">
        <v>798</v>
      </c>
      <c r="V3801" s="14" t="s">
        <v>798</v>
      </c>
      <c r="W3801" s="15" t="s">
        <v>798</v>
      </c>
      <c r="X3801" s="14" t="s">
        <v>798</v>
      </c>
      <c r="Y3801" s="15" t="s">
        <v>798</v>
      </c>
      <c r="Z3801" s="26" t="s">
        <v>798</v>
      </c>
      <c r="AA3801" s="20" t="s">
        <v>798</v>
      </c>
      <c r="AB3801" s="26" t="s">
        <v>798</v>
      </c>
      <c r="AC3801" s="20" t="s">
        <v>798</v>
      </c>
      <c r="AD3801" s="26" t="s">
        <v>798</v>
      </c>
      <c r="AE3801" s="20" t="s">
        <v>798</v>
      </c>
    </row>
    <row r="3802" spans="1:31" ht="8.65" customHeight="1" x14ac:dyDescent="0.2">
      <c r="A3802" s="76">
        <v>3802</v>
      </c>
      <c r="B3802" s="70" t="s">
        <v>9479</v>
      </c>
      <c r="C3802" s="24" t="s">
        <v>9484</v>
      </c>
      <c r="D3802" s="69" t="s">
        <v>9485</v>
      </c>
      <c r="E3802" s="70" t="s">
        <v>9478</v>
      </c>
      <c r="F3802" s="14" t="s">
        <v>798</v>
      </c>
      <c r="G3802" s="15" t="s">
        <v>798</v>
      </c>
      <c r="H3802" s="14" t="s">
        <v>798</v>
      </c>
      <c r="I3802" s="15" t="s">
        <v>798</v>
      </c>
      <c r="J3802" s="14" t="s">
        <v>798</v>
      </c>
      <c r="K3802" s="15" t="s">
        <v>798</v>
      </c>
      <c r="L3802" s="12" t="s">
        <v>800</v>
      </c>
      <c r="M3802" s="18" t="s">
        <v>9491</v>
      </c>
      <c r="N3802" s="19" t="s">
        <v>798</v>
      </c>
      <c r="O3802" s="15" t="s">
        <v>798</v>
      </c>
      <c r="P3802" s="14" t="s">
        <v>798</v>
      </c>
      <c r="Q3802" s="15" t="s">
        <v>798</v>
      </c>
      <c r="R3802" s="14" t="s">
        <v>798</v>
      </c>
      <c r="S3802" s="15" t="s">
        <v>798</v>
      </c>
      <c r="T3802" s="14" t="s">
        <v>798</v>
      </c>
      <c r="U3802" s="15" t="s">
        <v>798</v>
      </c>
      <c r="V3802" s="14" t="s">
        <v>798</v>
      </c>
      <c r="W3802" s="15" t="s">
        <v>798</v>
      </c>
      <c r="X3802" s="14" t="s">
        <v>798</v>
      </c>
      <c r="Y3802" s="15" t="s">
        <v>798</v>
      </c>
      <c r="Z3802" s="26" t="s">
        <v>798</v>
      </c>
      <c r="AA3802" s="20" t="s">
        <v>798</v>
      </c>
      <c r="AB3802" s="26" t="s">
        <v>798</v>
      </c>
      <c r="AC3802" s="20" t="s">
        <v>798</v>
      </c>
      <c r="AD3802" s="26" t="s">
        <v>798</v>
      </c>
      <c r="AE3802" s="20" t="s">
        <v>798</v>
      </c>
    </row>
    <row r="3803" spans="1:31" ht="8.65" customHeight="1" x14ac:dyDescent="0.2">
      <c r="A3803" s="76">
        <v>3803</v>
      </c>
      <c r="B3803" s="70" t="s">
        <v>9480</v>
      </c>
      <c r="C3803" s="24" t="s">
        <v>9484</v>
      </c>
      <c r="D3803" s="69" t="s">
        <v>9485</v>
      </c>
      <c r="E3803" s="70" t="s">
        <v>9479</v>
      </c>
      <c r="F3803" s="14" t="s">
        <v>798</v>
      </c>
      <c r="G3803" s="15" t="s">
        <v>798</v>
      </c>
      <c r="H3803" s="14" t="s">
        <v>798</v>
      </c>
      <c r="I3803" s="15" t="s">
        <v>798</v>
      </c>
      <c r="J3803" s="14" t="s">
        <v>798</v>
      </c>
      <c r="K3803" s="15" t="s">
        <v>798</v>
      </c>
      <c r="L3803" s="12" t="s">
        <v>800</v>
      </c>
      <c r="M3803" s="18" t="s">
        <v>9492</v>
      </c>
      <c r="N3803" s="19" t="s">
        <v>798</v>
      </c>
      <c r="O3803" s="15" t="s">
        <v>798</v>
      </c>
      <c r="P3803" s="14" t="s">
        <v>798</v>
      </c>
      <c r="Q3803" s="15" t="s">
        <v>798</v>
      </c>
      <c r="R3803" s="14" t="s">
        <v>798</v>
      </c>
      <c r="S3803" s="15" t="s">
        <v>798</v>
      </c>
      <c r="T3803" s="14" t="s">
        <v>798</v>
      </c>
      <c r="U3803" s="15" t="s">
        <v>798</v>
      </c>
      <c r="V3803" s="14" t="s">
        <v>798</v>
      </c>
      <c r="W3803" s="15" t="s">
        <v>798</v>
      </c>
      <c r="X3803" s="14" t="s">
        <v>798</v>
      </c>
      <c r="Y3803" s="15" t="s">
        <v>798</v>
      </c>
      <c r="Z3803" s="26" t="s">
        <v>798</v>
      </c>
      <c r="AA3803" s="20" t="s">
        <v>798</v>
      </c>
      <c r="AB3803" s="26" t="s">
        <v>798</v>
      </c>
      <c r="AC3803" s="20" t="s">
        <v>798</v>
      </c>
      <c r="AD3803" s="26" t="s">
        <v>798</v>
      </c>
      <c r="AE3803" s="20" t="s">
        <v>798</v>
      </c>
    </row>
    <row r="3804" spans="1:31" ht="8.65" customHeight="1" x14ac:dyDescent="0.2">
      <c r="A3804" s="76">
        <v>3804</v>
      </c>
      <c r="B3804" s="70" t="s">
        <v>9481</v>
      </c>
      <c r="C3804" s="24" t="s">
        <v>9484</v>
      </c>
      <c r="D3804" s="69" t="s">
        <v>9485</v>
      </c>
      <c r="E3804" s="70" t="s">
        <v>9480</v>
      </c>
      <c r="F3804" s="14" t="s">
        <v>798</v>
      </c>
      <c r="G3804" s="15" t="s">
        <v>798</v>
      </c>
      <c r="H3804" s="14" t="s">
        <v>798</v>
      </c>
      <c r="I3804" s="15" t="s">
        <v>798</v>
      </c>
      <c r="J3804" s="14" t="s">
        <v>798</v>
      </c>
      <c r="K3804" s="15" t="s">
        <v>798</v>
      </c>
      <c r="L3804" s="12" t="s">
        <v>800</v>
      </c>
      <c r="M3804" s="18" t="s">
        <v>9490</v>
      </c>
      <c r="N3804" s="19" t="s">
        <v>798</v>
      </c>
      <c r="O3804" s="15" t="s">
        <v>798</v>
      </c>
      <c r="P3804" s="14" t="s">
        <v>798</v>
      </c>
      <c r="Q3804" s="15" t="s">
        <v>798</v>
      </c>
      <c r="R3804" s="14" t="s">
        <v>798</v>
      </c>
      <c r="S3804" s="15" t="s">
        <v>798</v>
      </c>
      <c r="T3804" s="14" t="s">
        <v>798</v>
      </c>
      <c r="U3804" s="15" t="s">
        <v>798</v>
      </c>
      <c r="V3804" s="14" t="s">
        <v>798</v>
      </c>
      <c r="W3804" s="15" t="s">
        <v>798</v>
      </c>
      <c r="X3804" s="14" t="s">
        <v>798</v>
      </c>
      <c r="Y3804" s="15" t="s">
        <v>798</v>
      </c>
      <c r="Z3804" s="26" t="s">
        <v>798</v>
      </c>
      <c r="AA3804" s="20" t="s">
        <v>798</v>
      </c>
      <c r="AB3804" s="26" t="s">
        <v>798</v>
      </c>
      <c r="AC3804" s="20" t="s">
        <v>798</v>
      </c>
      <c r="AD3804" s="26" t="s">
        <v>798</v>
      </c>
      <c r="AE3804" s="20" t="s">
        <v>798</v>
      </c>
    </row>
    <row r="3805" spans="1:31" ht="8.65" customHeight="1" x14ac:dyDescent="0.2">
      <c r="A3805" s="76">
        <v>3805</v>
      </c>
      <c r="B3805" s="70" t="s">
        <v>9482</v>
      </c>
      <c r="C3805" s="24" t="s">
        <v>9484</v>
      </c>
      <c r="D3805" s="69" t="s">
        <v>9485</v>
      </c>
      <c r="E3805" s="70" t="s">
        <v>9481</v>
      </c>
      <c r="F3805" s="14" t="s">
        <v>798</v>
      </c>
      <c r="G3805" s="15" t="s">
        <v>798</v>
      </c>
      <c r="H3805" s="14" t="s">
        <v>798</v>
      </c>
      <c r="I3805" s="15" t="s">
        <v>798</v>
      </c>
      <c r="J3805" s="14" t="s">
        <v>798</v>
      </c>
      <c r="K3805" s="15" t="s">
        <v>798</v>
      </c>
      <c r="L3805" s="12" t="s">
        <v>800</v>
      </c>
      <c r="M3805" s="18" t="s">
        <v>9493</v>
      </c>
      <c r="N3805" s="19" t="s">
        <v>798</v>
      </c>
      <c r="O3805" s="15" t="s">
        <v>798</v>
      </c>
      <c r="P3805" s="14" t="s">
        <v>798</v>
      </c>
      <c r="Q3805" s="15" t="s">
        <v>798</v>
      </c>
      <c r="R3805" s="14" t="s">
        <v>798</v>
      </c>
      <c r="S3805" s="15" t="s">
        <v>798</v>
      </c>
      <c r="T3805" s="14" t="s">
        <v>798</v>
      </c>
      <c r="U3805" s="15" t="s">
        <v>798</v>
      </c>
      <c r="V3805" s="14" t="s">
        <v>798</v>
      </c>
      <c r="W3805" s="15" t="s">
        <v>798</v>
      </c>
      <c r="X3805" s="14" t="s">
        <v>798</v>
      </c>
      <c r="Y3805" s="15" t="s">
        <v>798</v>
      </c>
      <c r="Z3805" s="26" t="s">
        <v>798</v>
      </c>
      <c r="AA3805" s="20" t="s">
        <v>798</v>
      </c>
      <c r="AB3805" s="26" t="s">
        <v>798</v>
      </c>
      <c r="AC3805" s="20" t="s">
        <v>798</v>
      </c>
      <c r="AD3805" s="26" t="s">
        <v>798</v>
      </c>
      <c r="AE3805" s="20" t="s">
        <v>798</v>
      </c>
    </row>
    <row r="3806" spans="1:31" ht="8.65" customHeight="1" x14ac:dyDescent="0.2">
      <c r="A3806" s="76">
        <v>3806</v>
      </c>
      <c r="B3806" s="70" t="s">
        <v>9483</v>
      </c>
      <c r="C3806" s="24" t="s">
        <v>9484</v>
      </c>
      <c r="D3806" s="69" t="s">
        <v>9485</v>
      </c>
      <c r="E3806" s="70" t="s">
        <v>9482</v>
      </c>
      <c r="F3806" s="14" t="s">
        <v>798</v>
      </c>
      <c r="G3806" s="15" t="s">
        <v>798</v>
      </c>
      <c r="H3806" s="14" t="s">
        <v>798</v>
      </c>
      <c r="I3806" s="15" t="s">
        <v>798</v>
      </c>
      <c r="J3806" s="14" t="s">
        <v>798</v>
      </c>
      <c r="K3806" s="15" t="s">
        <v>798</v>
      </c>
      <c r="L3806" s="12" t="s">
        <v>800</v>
      </c>
      <c r="M3806" s="18" t="s">
        <v>9489</v>
      </c>
      <c r="N3806" s="19" t="s">
        <v>798</v>
      </c>
      <c r="O3806" s="15" t="s">
        <v>798</v>
      </c>
      <c r="P3806" s="14" t="s">
        <v>798</v>
      </c>
      <c r="Q3806" s="15" t="s">
        <v>798</v>
      </c>
      <c r="R3806" s="14" t="s">
        <v>798</v>
      </c>
      <c r="S3806" s="15" t="s">
        <v>798</v>
      </c>
      <c r="T3806" s="14" t="s">
        <v>798</v>
      </c>
      <c r="U3806" s="15" t="s">
        <v>798</v>
      </c>
      <c r="V3806" s="14" t="s">
        <v>798</v>
      </c>
      <c r="W3806" s="15" t="s">
        <v>798</v>
      </c>
      <c r="X3806" s="14" t="s">
        <v>798</v>
      </c>
      <c r="Y3806" s="15" t="s">
        <v>798</v>
      </c>
      <c r="Z3806" s="26" t="s">
        <v>798</v>
      </c>
      <c r="AA3806" s="20" t="s">
        <v>798</v>
      </c>
      <c r="AB3806" s="26" t="s">
        <v>798</v>
      </c>
      <c r="AC3806" s="20" t="s">
        <v>798</v>
      </c>
      <c r="AD3806" s="26" t="s">
        <v>798</v>
      </c>
      <c r="AE3806" s="20" t="s">
        <v>798</v>
      </c>
    </row>
    <row r="3807" spans="1:31" ht="8.65" customHeight="1" x14ac:dyDescent="0.2">
      <c r="A3807" s="76">
        <v>3807</v>
      </c>
      <c r="B3807" s="70" t="s">
        <v>9476</v>
      </c>
      <c r="C3807" s="24" t="s">
        <v>9560</v>
      </c>
      <c r="D3807" s="69" t="s">
        <v>798</v>
      </c>
      <c r="E3807" s="71" t="s">
        <v>798</v>
      </c>
      <c r="F3807" s="14" t="s">
        <v>798</v>
      </c>
      <c r="G3807" s="15" t="s">
        <v>798</v>
      </c>
      <c r="H3807" s="14" t="s">
        <v>798</v>
      </c>
      <c r="I3807" s="15" t="s">
        <v>798</v>
      </c>
      <c r="J3807" s="14" t="s">
        <v>798</v>
      </c>
      <c r="K3807" s="15" t="s">
        <v>798</v>
      </c>
      <c r="L3807" s="12" t="s">
        <v>800</v>
      </c>
      <c r="M3807" s="13" t="s">
        <v>9510</v>
      </c>
      <c r="N3807" s="19" t="s">
        <v>798</v>
      </c>
      <c r="O3807" s="15" t="s">
        <v>798</v>
      </c>
      <c r="P3807" s="14" t="s">
        <v>798</v>
      </c>
      <c r="Q3807" s="15" t="s">
        <v>798</v>
      </c>
      <c r="R3807" s="14" t="s">
        <v>798</v>
      </c>
      <c r="S3807" s="15" t="s">
        <v>798</v>
      </c>
      <c r="T3807" s="14" t="s">
        <v>798</v>
      </c>
      <c r="U3807" s="15" t="s">
        <v>798</v>
      </c>
      <c r="V3807" s="14" t="s">
        <v>798</v>
      </c>
      <c r="W3807" s="15" t="s">
        <v>798</v>
      </c>
      <c r="X3807" s="14" t="s">
        <v>798</v>
      </c>
      <c r="Y3807" s="15" t="s">
        <v>798</v>
      </c>
      <c r="Z3807" s="26" t="s">
        <v>798</v>
      </c>
      <c r="AA3807" s="20" t="s">
        <v>798</v>
      </c>
      <c r="AB3807" s="26" t="s">
        <v>798</v>
      </c>
      <c r="AC3807" s="20" t="s">
        <v>798</v>
      </c>
      <c r="AD3807" s="26" t="s">
        <v>798</v>
      </c>
      <c r="AE3807" s="20" t="s">
        <v>798</v>
      </c>
    </row>
    <row r="3808" spans="1:31" ht="8.65" customHeight="1" x14ac:dyDescent="0.2">
      <c r="A3808" s="76">
        <v>3808</v>
      </c>
      <c r="B3808" s="70" t="s">
        <v>9498</v>
      </c>
      <c r="C3808" s="24" t="s">
        <v>9560</v>
      </c>
      <c r="D3808" s="69" t="s">
        <v>798</v>
      </c>
      <c r="E3808" s="71" t="s">
        <v>798</v>
      </c>
      <c r="F3808" s="14" t="s">
        <v>798</v>
      </c>
      <c r="G3808" s="15" t="s">
        <v>798</v>
      </c>
      <c r="H3808" s="14" t="s">
        <v>798</v>
      </c>
      <c r="I3808" s="15" t="s">
        <v>798</v>
      </c>
      <c r="J3808" s="14" t="s">
        <v>798</v>
      </c>
      <c r="K3808" s="15" t="s">
        <v>798</v>
      </c>
      <c r="L3808" s="12" t="s">
        <v>800</v>
      </c>
      <c r="M3808" s="13" t="s">
        <v>9511</v>
      </c>
      <c r="N3808" s="19" t="s">
        <v>798</v>
      </c>
      <c r="O3808" s="15" t="s">
        <v>798</v>
      </c>
      <c r="P3808" s="14" t="s">
        <v>798</v>
      </c>
      <c r="Q3808" s="15" t="s">
        <v>798</v>
      </c>
      <c r="R3808" s="14" t="s">
        <v>798</v>
      </c>
      <c r="S3808" s="15" t="s">
        <v>798</v>
      </c>
      <c r="T3808" s="14" t="s">
        <v>798</v>
      </c>
      <c r="U3808" s="15" t="s">
        <v>798</v>
      </c>
      <c r="V3808" s="14" t="s">
        <v>798</v>
      </c>
      <c r="W3808" s="15" t="s">
        <v>798</v>
      </c>
      <c r="X3808" s="14" t="s">
        <v>798</v>
      </c>
      <c r="Y3808" s="15" t="s">
        <v>798</v>
      </c>
      <c r="Z3808" s="26" t="s">
        <v>798</v>
      </c>
      <c r="AA3808" s="20" t="s">
        <v>798</v>
      </c>
      <c r="AB3808" s="26" t="s">
        <v>798</v>
      </c>
      <c r="AC3808" s="20" t="s">
        <v>798</v>
      </c>
      <c r="AD3808" s="26" t="s">
        <v>798</v>
      </c>
      <c r="AE3808" s="20" t="s">
        <v>798</v>
      </c>
    </row>
    <row r="3809" spans="1:31" ht="8.65" customHeight="1" x14ac:dyDescent="0.2">
      <c r="A3809" s="76">
        <v>3809</v>
      </c>
      <c r="B3809" s="70" t="s">
        <v>9477</v>
      </c>
      <c r="C3809" s="24" t="s">
        <v>9560</v>
      </c>
      <c r="D3809" s="69" t="s">
        <v>798</v>
      </c>
      <c r="E3809" s="71" t="s">
        <v>798</v>
      </c>
      <c r="F3809" s="14" t="s">
        <v>798</v>
      </c>
      <c r="G3809" s="15" t="s">
        <v>798</v>
      </c>
      <c r="H3809" s="14" t="s">
        <v>798</v>
      </c>
      <c r="I3809" s="15" t="s">
        <v>798</v>
      </c>
      <c r="J3809" s="14" t="s">
        <v>798</v>
      </c>
      <c r="K3809" s="15" t="s">
        <v>798</v>
      </c>
      <c r="L3809" s="12" t="s">
        <v>800</v>
      </c>
      <c r="M3809" s="13" t="s">
        <v>9512</v>
      </c>
      <c r="N3809" s="19" t="s">
        <v>798</v>
      </c>
      <c r="O3809" s="15" t="s">
        <v>798</v>
      </c>
      <c r="P3809" s="14" t="s">
        <v>798</v>
      </c>
      <c r="Q3809" s="15" t="s">
        <v>798</v>
      </c>
      <c r="R3809" s="14" t="s">
        <v>798</v>
      </c>
      <c r="S3809" s="15" t="s">
        <v>798</v>
      </c>
      <c r="T3809" s="14" t="s">
        <v>798</v>
      </c>
      <c r="U3809" s="15" t="s">
        <v>798</v>
      </c>
      <c r="V3809" s="14" t="s">
        <v>798</v>
      </c>
      <c r="W3809" s="15" t="s">
        <v>798</v>
      </c>
      <c r="X3809" s="14" t="s">
        <v>798</v>
      </c>
      <c r="Y3809" s="15" t="s">
        <v>798</v>
      </c>
      <c r="Z3809" s="26" t="s">
        <v>798</v>
      </c>
      <c r="AA3809" s="20" t="s">
        <v>798</v>
      </c>
      <c r="AB3809" s="26" t="s">
        <v>798</v>
      </c>
      <c r="AC3809" s="20" t="s">
        <v>798</v>
      </c>
      <c r="AD3809" s="26" t="s">
        <v>798</v>
      </c>
      <c r="AE3809" s="20" t="s">
        <v>798</v>
      </c>
    </row>
    <row r="3810" spans="1:31" ht="8.65" customHeight="1" x14ac:dyDescent="0.2">
      <c r="A3810" s="76">
        <v>3810</v>
      </c>
      <c r="B3810" s="70" t="s">
        <v>9499</v>
      </c>
      <c r="C3810" s="24" t="s">
        <v>9560</v>
      </c>
      <c r="D3810" s="69" t="s">
        <v>798</v>
      </c>
      <c r="E3810" s="71" t="s">
        <v>798</v>
      </c>
      <c r="F3810" s="14" t="s">
        <v>798</v>
      </c>
      <c r="G3810" s="15" t="s">
        <v>798</v>
      </c>
      <c r="H3810" s="14" t="s">
        <v>798</v>
      </c>
      <c r="I3810" s="15" t="s">
        <v>798</v>
      </c>
      <c r="J3810" s="14" t="s">
        <v>798</v>
      </c>
      <c r="K3810" s="15" t="s">
        <v>798</v>
      </c>
      <c r="L3810" s="12" t="s">
        <v>800</v>
      </c>
      <c r="M3810" s="13" t="s">
        <v>9513</v>
      </c>
      <c r="N3810" s="19" t="s">
        <v>798</v>
      </c>
      <c r="O3810" s="15" t="s">
        <v>798</v>
      </c>
      <c r="P3810" s="14" t="s">
        <v>798</v>
      </c>
      <c r="Q3810" s="15" t="s">
        <v>798</v>
      </c>
      <c r="R3810" s="14" t="s">
        <v>798</v>
      </c>
      <c r="S3810" s="15" t="s">
        <v>798</v>
      </c>
      <c r="T3810" s="14" t="s">
        <v>798</v>
      </c>
      <c r="U3810" s="15" t="s">
        <v>798</v>
      </c>
      <c r="V3810" s="14" t="s">
        <v>798</v>
      </c>
      <c r="W3810" s="15" t="s">
        <v>798</v>
      </c>
      <c r="X3810" s="14" t="s">
        <v>798</v>
      </c>
      <c r="Y3810" s="15" t="s">
        <v>798</v>
      </c>
      <c r="Z3810" s="26" t="s">
        <v>798</v>
      </c>
      <c r="AA3810" s="20" t="s">
        <v>798</v>
      </c>
      <c r="AB3810" s="26" t="s">
        <v>798</v>
      </c>
      <c r="AC3810" s="20" t="s">
        <v>798</v>
      </c>
      <c r="AD3810" s="26" t="s">
        <v>798</v>
      </c>
      <c r="AE3810" s="20" t="s">
        <v>798</v>
      </c>
    </row>
    <row r="3811" spans="1:31" ht="8.65" customHeight="1" x14ac:dyDescent="0.2">
      <c r="A3811" s="76">
        <v>3811</v>
      </c>
      <c r="B3811" s="70" t="s">
        <v>9504</v>
      </c>
      <c r="C3811" s="24" t="s">
        <v>9560</v>
      </c>
      <c r="D3811" s="69" t="s">
        <v>798</v>
      </c>
      <c r="E3811" s="71" t="s">
        <v>798</v>
      </c>
      <c r="F3811" s="14" t="s">
        <v>798</v>
      </c>
      <c r="G3811" s="15" t="s">
        <v>798</v>
      </c>
      <c r="H3811" s="14" t="s">
        <v>798</v>
      </c>
      <c r="I3811" s="15" t="s">
        <v>798</v>
      </c>
      <c r="J3811" s="14" t="s">
        <v>798</v>
      </c>
      <c r="K3811" s="15" t="s">
        <v>798</v>
      </c>
      <c r="L3811" s="12" t="s">
        <v>800</v>
      </c>
      <c r="M3811" s="13" t="s">
        <v>9514</v>
      </c>
      <c r="N3811" s="19" t="s">
        <v>798</v>
      </c>
      <c r="O3811" s="15" t="s">
        <v>798</v>
      </c>
      <c r="P3811" s="14" t="s">
        <v>798</v>
      </c>
      <c r="Q3811" s="15" t="s">
        <v>798</v>
      </c>
      <c r="R3811" s="14" t="s">
        <v>798</v>
      </c>
      <c r="S3811" s="15" t="s">
        <v>798</v>
      </c>
      <c r="T3811" s="14" t="s">
        <v>798</v>
      </c>
      <c r="U3811" s="15" t="s">
        <v>798</v>
      </c>
      <c r="V3811" s="14" t="s">
        <v>798</v>
      </c>
      <c r="W3811" s="15" t="s">
        <v>798</v>
      </c>
      <c r="X3811" s="14" t="s">
        <v>798</v>
      </c>
      <c r="Y3811" s="15" t="s">
        <v>798</v>
      </c>
      <c r="Z3811" s="26" t="s">
        <v>798</v>
      </c>
      <c r="AA3811" s="20" t="s">
        <v>798</v>
      </c>
      <c r="AB3811" s="26" t="s">
        <v>798</v>
      </c>
      <c r="AC3811" s="20" t="s">
        <v>798</v>
      </c>
      <c r="AD3811" s="26" t="s">
        <v>798</v>
      </c>
      <c r="AE3811" s="20" t="s">
        <v>798</v>
      </c>
    </row>
    <row r="3812" spans="1:31" ht="8.65" customHeight="1" x14ac:dyDescent="0.2">
      <c r="A3812" s="76">
        <v>3812</v>
      </c>
      <c r="B3812" s="70" t="s">
        <v>9496</v>
      </c>
      <c r="C3812" s="24" t="s">
        <v>9560</v>
      </c>
      <c r="D3812" s="69" t="s">
        <v>798</v>
      </c>
      <c r="E3812" s="71" t="s">
        <v>798</v>
      </c>
      <c r="F3812" s="14" t="s">
        <v>798</v>
      </c>
      <c r="G3812" s="15" t="s">
        <v>798</v>
      </c>
      <c r="H3812" s="14" t="s">
        <v>798</v>
      </c>
      <c r="I3812" s="15" t="s">
        <v>798</v>
      </c>
      <c r="J3812" s="14" t="s">
        <v>798</v>
      </c>
      <c r="K3812" s="15" t="s">
        <v>798</v>
      </c>
      <c r="L3812" s="12" t="s">
        <v>800</v>
      </c>
      <c r="M3812" s="13" t="s">
        <v>9515</v>
      </c>
      <c r="N3812" s="19" t="s">
        <v>798</v>
      </c>
      <c r="O3812" s="15" t="s">
        <v>798</v>
      </c>
      <c r="P3812" s="14" t="s">
        <v>798</v>
      </c>
      <c r="Q3812" s="15" t="s">
        <v>798</v>
      </c>
      <c r="R3812" s="14" t="s">
        <v>798</v>
      </c>
      <c r="S3812" s="15" t="s">
        <v>798</v>
      </c>
      <c r="T3812" s="14" t="s">
        <v>798</v>
      </c>
      <c r="U3812" s="15" t="s">
        <v>798</v>
      </c>
      <c r="V3812" s="14" t="s">
        <v>798</v>
      </c>
      <c r="W3812" s="15" t="s">
        <v>798</v>
      </c>
      <c r="X3812" s="14" t="s">
        <v>798</v>
      </c>
      <c r="Y3812" s="15" t="s">
        <v>798</v>
      </c>
      <c r="Z3812" s="26" t="s">
        <v>798</v>
      </c>
      <c r="AA3812" s="20" t="s">
        <v>798</v>
      </c>
      <c r="AB3812" s="26" t="s">
        <v>798</v>
      </c>
      <c r="AC3812" s="20" t="s">
        <v>798</v>
      </c>
      <c r="AD3812" s="26" t="s">
        <v>798</v>
      </c>
      <c r="AE3812" s="20" t="s">
        <v>798</v>
      </c>
    </row>
    <row r="3813" spans="1:31" ht="8.65" customHeight="1" x14ac:dyDescent="0.2">
      <c r="A3813" s="76">
        <v>3813</v>
      </c>
      <c r="B3813" s="70" t="s">
        <v>9497</v>
      </c>
      <c r="C3813" s="24" t="s">
        <v>9560</v>
      </c>
      <c r="D3813" s="69" t="s">
        <v>798</v>
      </c>
      <c r="E3813" s="71" t="s">
        <v>798</v>
      </c>
      <c r="F3813" s="14" t="s">
        <v>798</v>
      </c>
      <c r="G3813" s="15" t="s">
        <v>798</v>
      </c>
      <c r="H3813" s="14" t="s">
        <v>798</v>
      </c>
      <c r="I3813" s="15" t="s">
        <v>798</v>
      </c>
      <c r="J3813" s="14" t="s">
        <v>798</v>
      </c>
      <c r="K3813" s="15" t="s">
        <v>798</v>
      </c>
      <c r="L3813" s="12" t="s">
        <v>800</v>
      </c>
      <c r="M3813" s="13" t="s">
        <v>9516</v>
      </c>
      <c r="N3813" s="19" t="s">
        <v>798</v>
      </c>
      <c r="O3813" s="15" t="s">
        <v>798</v>
      </c>
      <c r="P3813" s="14" t="s">
        <v>798</v>
      </c>
      <c r="Q3813" s="15" t="s">
        <v>798</v>
      </c>
      <c r="R3813" s="14" t="s">
        <v>798</v>
      </c>
      <c r="S3813" s="15" t="s">
        <v>798</v>
      </c>
      <c r="T3813" s="14" t="s">
        <v>798</v>
      </c>
      <c r="U3813" s="15" t="s">
        <v>798</v>
      </c>
      <c r="V3813" s="14" t="s">
        <v>798</v>
      </c>
      <c r="W3813" s="15" t="s">
        <v>798</v>
      </c>
      <c r="X3813" s="14" t="s">
        <v>798</v>
      </c>
      <c r="Y3813" s="15" t="s">
        <v>798</v>
      </c>
      <c r="Z3813" s="26" t="s">
        <v>798</v>
      </c>
      <c r="AA3813" s="20" t="s">
        <v>798</v>
      </c>
      <c r="AB3813" s="26" t="s">
        <v>798</v>
      </c>
      <c r="AC3813" s="20" t="s">
        <v>798</v>
      </c>
      <c r="AD3813" s="26" t="s">
        <v>798</v>
      </c>
      <c r="AE3813" s="20" t="s">
        <v>798</v>
      </c>
    </row>
    <row r="3814" spans="1:31" ht="8.65" customHeight="1" x14ac:dyDescent="0.2">
      <c r="A3814" s="76">
        <v>3814</v>
      </c>
      <c r="B3814" s="70" t="s">
        <v>9500</v>
      </c>
      <c r="C3814" s="24" t="s">
        <v>9560</v>
      </c>
      <c r="D3814" s="69" t="s">
        <v>798</v>
      </c>
      <c r="E3814" s="71" t="s">
        <v>798</v>
      </c>
      <c r="F3814" s="14" t="s">
        <v>798</v>
      </c>
      <c r="G3814" s="15" t="s">
        <v>798</v>
      </c>
      <c r="H3814" s="14" t="s">
        <v>798</v>
      </c>
      <c r="I3814" s="15" t="s">
        <v>798</v>
      </c>
      <c r="J3814" s="14" t="s">
        <v>798</v>
      </c>
      <c r="K3814" s="15" t="s">
        <v>798</v>
      </c>
      <c r="L3814" s="12" t="s">
        <v>800</v>
      </c>
      <c r="M3814" s="13" t="s">
        <v>9517</v>
      </c>
      <c r="N3814" s="19" t="s">
        <v>798</v>
      </c>
      <c r="O3814" s="15" t="s">
        <v>798</v>
      </c>
      <c r="P3814" s="14" t="s">
        <v>798</v>
      </c>
      <c r="Q3814" s="15" t="s">
        <v>798</v>
      </c>
      <c r="R3814" s="14" t="s">
        <v>798</v>
      </c>
      <c r="S3814" s="15" t="s">
        <v>798</v>
      </c>
      <c r="T3814" s="14" t="s">
        <v>798</v>
      </c>
      <c r="U3814" s="15" t="s">
        <v>798</v>
      </c>
      <c r="V3814" s="14" t="s">
        <v>798</v>
      </c>
      <c r="W3814" s="15" t="s">
        <v>798</v>
      </c>
      <c r="X3814" s="14" t="s">
        <v>798</v>
      </c>
      <c r="Y3814" s="15" t="s">
        <v>798</v>
      </c>
      <c r="Z3814" s="26" t="s">
        <v>798</v>
      </c>
      <c r="AA3814" s="20" t="s">
        <v>798</v>
      </c>
      <c r="AB3814" s="26" t="s">
        <v>798</v>
      </c>
      <c r="AC3814" s="20" t="s">
        <v>798</v>
      </c>
      <c r="AD3814" s="26" t="s">
        <v>798</v>
      </c>
      <c r="AE3814" s="20" t="s">
        <v>798</v>
      </c>
    </row>
    <row r="3815" spans="1:31" ht="8.65" customHeight="1" x14ac:dyDescent="0.2">
      <c r="A3815" s="76">
        <v>3815</v>
      </c>
      <c r="B3815" s="70" t="s">
        <v>9501</v>
      </c>
      <c r="C3815" s="24" t="s">
        <v>9560</v>
      </c>
      <c r="D3815" s="69" t="s">
        <v>798</v>
      </c>
      <c r="E3815" s="71" t="s">
        <v>798</v>
      </c>
      <c r="F3815" s="14" t="s">
        <v>798</v>
      </c>
      <c r="G3815" s="15" t="s">
        <v>798</v>
      </c>
      <c r="H3815" s="14" t="s">
        <v>798</v>
      </c>
      <c r="I3815" s="15" t="s">
        <v>798</v>
      </c>
      <c r="J3815" s="14" t="s">
        <v>798</v>
      </c>
      <c r="K3815" s="15" t="s">
        <v>798</v>
      </c>
      <c r="L3815" s="12" t="s">
        <v>800</v>
      </c>
      <c r="M3815" s="13" t="s">
        <v>9518</v>
      </c>
      <c r="N3815" s="19" t="s">
        <v>798</v>
      </c>
      <c r="O3815" s="15" t="s">
        <v>798</v>
      </c>
      <c r="P3815" s="14" t="s">
        <v>798</v>
      </c>
      <c r="Q3815" s="15" t="s">
        <v>798</v>
      </c>
      <c r="R3815" s="14" t="s">
        <v>798</v>
      </c>
      <c r="S3815" s="15" t="s">
        <v>798</v>
      </c>
      <c r="T3815" s="14" t="s">
        <v>798</v>
      </c>
      <c r="U3815" s="15" t="s">
        <v>798</v>
      </c>
      <c r="V3815" s="14" t="s">
        <v>798</v>
      </c>
      <c r="W3815" s="15" t="s">
        <v>798</v>
      </c>
      <c r="X3815" s="14" t="s">
        <v>798</v>
      </c>
      <c r="Y3815" s="15" t="s">
        <v>798</v>
      </c>
      <c r="Z3815" s="26" t="s">
        <v>798</v>
      </c>
      <c r="AA3815" s="20" t="s">
        <v>798</v>
      </c>
      <c r="AB3815" s="26" t="s">
        <v>798</v>
      </c>
      <c r="AC3815" s="20" t="s">
        <v>798</v>
      </c>
      <c r="AD3815" s="26" t="s">
        <v>798</v>
      </c>
      <c r="AE3815" s="20" t="s">
        <v>798</v>
      </c>
    </row>
    <row r="3816" spans="1:31" ht="8.65" customHeight="1" x14ac:dyDescent="0.2">
      <c r="A3816" s="76">
        <v>3816</v>
      </c>
      <c r="B3816" s="70" t="s">
        <v>9503</v>
      </c>
      <c r="C3816" s="24" t="s">
        <v>9560</v>
      </c>
      <c r="D3816" s="69" t="s">
        <v>798</v>
      </c>
      <c r="E3816" s="71" t="s">
        <v>798</v>
      </c>
      <c r="F3816" s="14" t="s">
        <v>798</v>
      </c>
      <c r="G3816" s="15" t="s">
        <v>798</v>
      </c>
      <c r="H3816" s="14" t="s">
        <v>798</v>
      </c>
      <c r="I3816" s="15" t="s">
        <v>798</v>
      </c>
      <c r="J3816" s="14" t="s">
        <v>798</v>
      </c>
      <c r="K3816" s="15" t="s">
        <v>798</v>
      </c>
      <c r="L3816" s="12" t="s">
        <v>800</v>
      </c>
      <c r="M3816" s="13" t="s">
        <v>9519</v>
      </c>
      <c r="N3816" s="19" t="s">
        <v>798</v>
      </c>
      <c r="O3816" s="15" t="s">
        <v>798</v>
      </c>
      <c r="P3816" s="14" t="s">
        <v>798</v>
      </c>
      <c r="Q3816" s="15" t="s">
        <v>798</v>
      </c>
      <c r="R3816" s="14" t="s">
        <v>798</v>
      </c>
      <c r="S3816" s="15" t="s">
        <v>798</v>
      </c>
      <c r="T3816" s="14" t="s">
        <v>798</v>
      </c>
      <c r="U3816" s="15" t="s">
        <v>798</v>
      </c>
      <c r="V3816" s="14" t="s">
        <v>798</v>
      </c>
      <c r="W3816" s="15" t="s">
        <v>798</v>
      </c>
      <c r="X3816" s="14" t="s">
        <v>798</v>
      </c>
      <c r="Y3816" s="15" t="s">
        <v>798</v>
      </c>
      <c r="Z3816" s="26" t="s">
        <v>798</v>
      </c>
      <c r="AA3816" s="20" t="s">
        <v>798</v>
      </c>
      <c r="AB3816" s="26" t="s">
        <v>798</v>
      </c>
      <c r="AC3816" s="20" t="s">
        <v>798</v>
      </c>
      <c r="AD3816" s="26" t="s">
        <v>798</v>
      </c>
      <c r="AE3816" s="20" t="s">
        <v>798</v>
      </c>
    </row>
    <row r="3817" spans="1:31" ht="8.65" customHeight="1" x14ac:dyDescent="0.2">
      <c r="A3817" s="76">
        <v>3817</v>
      </c>
      <c r="B3817" s="70" t="s">
        <v>9502</v>
      </c>
      <c r="C3817" s="24" t="s">
        <v>9560</v>
      </c>
      <c r="D3817" s="69" t="s">
        <v>798</v>
      </c>
      <c r="E3817" s="71" t="s">
        <v>798</v>
      </c>
      <c r="F3817" s="14" t="s">
        <v>798</v>
      </c>
      <c r="G3817" s="15" t="s">
        <v>798</v>
      </c>
      <c r="H3817" s="14" t="s">
        <v>798</v>
      </c>
      <c r="I3817" s="15" t="s">
        <v>798</v>
      </c>
      <c r="J3817" s="14" t="s">
        <v>798</v>
      </c>
      <c r="K3817" s="15" t="s">
        <v>798</v>
      </c>
      <c r="L3817" s="12" t="s">
        <v>800</v>
      </c>
      <c r="M3817" s="13" t="s">
        <v>9520</v>
      </c>
      <c r="N3817" s="19" t="s">
        <v>798</v>
      </c>
      <c r="O3817" s="15" t="s">
        <v>798</v>
      </c>
      <c r="P3817" s="14" t="s">
        <v>798</v>
      </c>
      <c r="Q3817" s="15" t="s">
        <v>798</v>
      </c>
      <c r="R3817" s="14" t="s">
        <v>798</v>
      </c>
      <c r="S3817" s="15" t="s">
        <v>798</v>
      </c>
      <c r="T3817" s="14" t="s">
        <v>798</v>
      </c>
      <c r="U3817" s="15" t="s">
        <v>798</v>
      </c>
      <c r="V3817" s="14" t="s">
        <v>798</v>
      </c>
      <c r="W3817" s="15" t="s">
        <v>798</v>
      </c>
      <c r="X3817" s="14" t="s">
        <v>798</v>
      </c>
      <c r="Y3817" s="15" t="s">
        <v>798</v>
      </c>
      <c r="Z3817" s="26" t="s">
        <v>798</v>
      </c>
      <c r="AA3817" s="20" t="s">
        <v>798</v>
      </c>
      <c r="AB3817" s="26" t="s">
        <v>798</v>
      </c>
      <c r="AC3817" s="20" t="s">
        <v>798</v>
      </c>
      <c r="AD3817" s="26" t="s">
        <v>798</v>
      </c>
      <c r="AE3817" s="20" t="s">
        <v>798</v>
      </c>
    </row>
    <row r="3818" spans="1:31" ht="8.65" customHeight="1" x14ac:dyDescent="0.2">
      <c r="A3818" s="76">
        <v>3818</v>
      </c>
      <c r="B3818" s="70" t="s">
        <v>9508</v>
      </c>
      <c r="C3818" s="24" t="s">
        <v>9560</v>
      </c>
      <c r="D3818" s="69" t="s">
        <v>798</v>
      </c>
      <c r="E3818" s="71" t="s">
        <v>798</v>
      </c>
      <c r="F3818" s="14" t="s">
        <v>798</v>
      </c>
      <c r="G3818" s="15" t="s">
        <v>798</v>
      </c>
      <c r="H3818" s="14" t="s">
        <v>798</v>
      </c>
      <c r="I3818" s="15" t="s">
        <v>798</v>
      </c>
      <c r="J3818" s="14" t="s">
        <v>798</v>
      </c>
      <c r="K3818" s="15" t="s">
        <v>798</v>
      </c>
      <c r="L3818" s="12" t="s">
        <v>800</v>
      </c>
      <c r="M3818" s="13" t="s">
        <v>9521</v>
      </c>
      <c r="N3818" s="19" t="s">
        <v>798</v>
      </c>
      <c r="O3818" s="15" t="s">
        <v>798</v>
      </c>
      <c r="P3818" s="14" t="s">
        <v>798</v>
      </c>
      <c r="Q3818" s="15" t="s">
        <v>798</v>
      </c>
      <c r="R3818" s="14" t="s">
        <v>798</v>
      </c>
      <c r="S3818" s="15" t="s">
        <v>798</v>
      </c>
      <c r="T3818" s="14" t="s">
        <v>798</v>
      </c>
      <c r="U3818" s="15" t="s">
        <v>798</v>
      </c>
      <c r="V3818" s="14" t="s">
        <v>798</v>
      </c>
      <c r="W3818" s="15" t="s">
        <v>798</v>
      </c>
      <c r="X3818" s="14" t="s">
        <v>798</v>
      </c>
      <c r="Y3818" s="15" t="s">
        <v>798</v>
      </c>
      <c r="Z3818" s="26" t="s">
        <v>798</v>
      </c>
      <c r="AA3818" s="20" t="s">
        <v>798</v>
      </c>
      <c r="AB3818" s="26" t="s">
        <v>798</v>
      </c>
      <c r="AC3818" s="20" t="s">
        <v>798</v>
      </c>
      <c r="AD3818" s="26" t="s">
        <v>798</v>
      </c>
      <c r="AE3818" s="20" t="s">
        <v>798</v>
      </c>
    </row>
    <row r="3819" spans="1:31" ht="8.65" customHeight="1" x14ac:dyDescent="0.2">
      <c r="A3819" s="76">
        <v>3819</v>
      </c>
      <c r="B3819" s="70" t="s">
        <v>9505</v>
      </c>
      <c r="C3819" s="24" t="s">
        <v>9560</v>
      </c>
      <c r="D3819" s="69" t="s">
        <v>798</v>
      </c>
      <c r="E3819" s="71" t="s">
        <v>798</v>
      </c>
      <c r="F3819" s="14" t="s">
        <v>798</v>
      </c>
      <c r="G3819" s="15" t="s">
        <v>798</v>
      </c>
      <c r="H3819" s="14" t="s">
        <v>798</v>
      </c>
      <c r="I3819" s="15" t="s">
        <v>798</v>
      </c>
      <c r="J3819" s="14" t="s">
        <v>798</v>
      </c>
      <c r="K3819" s="15" t="s">
        <v>798</v>
      </c>
      <c r="L3819" s="12" t="s">
        <v>800</v>
      </c>
      <c r="M3819" s="13" t="s">
        <v>9522</v>
      </c>
      <c r="N3819" s="19" t="s">
        <v>798</v>
      </c>
      <c r="O3819" s="15" t="s">
        <v>798</v>
      </c>
      <c r="P3819" s="14" t="s">
        <v>798</v>
      </c>
      <c r="Q3819" s="15" t="s">
        <v>798</v>
      </c>
      <c r="R3819" s="14" t="s">
        <v>798</v>
      </c>
      <c r="S3819" s="15" t="s">
        <v>798</v>
      </c>
      <c r="T3819" s="14" t="s">
        <v>798</v>
      </c>
      <c r="U3819" s="15" t="s">
        <v>798</v>
      </c>
      <c r="V3819" s="14" t="s">
        <v>798</v>
      </c>
      <c r="W3819" s="15" t="s">
        <v>798</v>
      </c>
      <c r="X3819" s="14" t="s">
        <v>798</v>
      </c>
      <c r="Y3819" s="15" t="s">
        <v>798</v>
      </c>
      <c r="Z3819" s="26" t="s">
        <v>798</v>
      </c>
      <c r="AA3819" s="20" t="s">
        <v>798</v>
      </c>
      <c r="AB3819" s="26" t="s">
        <v>798</v>
      </c>
      <c r="AC3819" s="20" t="s">
        <v>798</v>
      </c>
      <c r="AD3819" s="26" t="s">
        <v>798</v>
      </c>
      <c r="AE3819" s="20" t="s">
        <v>798</v>
      </c>
    </row>
    <row r="3820" spans="1:31" ht="8.65" customHeight="1" x14ac:dyDescent="0.2">
      <c r="A3820" s="76">
        <v>3820</v>
      </c>
      <c r="B3820" s="70" t="s">
        <v>9509</v>
      </c>
      <c r="C3820" s="24" t="s">
        <v>9560</v>
      </c>
      <c r="D3820" s="69" t="s">
        <v>798</v>
      </c>
      <c r="E3820" s="71" t="s">
        <v>798</v>
      </c>
      <c r="F3820" s="14" t="s">
        <v>798</v>
      </c>
      <c r="G3820" s="15" t="s">
        <v>798</v>
      </c>
      <c r="H3820" s="14" t="s">
        <v>798</v>
      </c>
      <c r="I3820" s="15" t="s">
        <v>798</v>
      </c>
      <c r="J3820" s="14" t="s">
        <v>798</v>
      </c>
      <c r="K3820" s="15" t="s">
        <v>798</v>
      </c>
      <c r="L3820" s="12" t="s">
        <v>800</v>
      </c>
      <c r="M3820" s="13" t="s">
        <v>9523</v>
      </c>
      <c r="N3820" s="19" t="s">
        <v>798</v>
      </c>
      <c r="O3820" s="15" t="s">
        <v>798</v>
      </c>
      <c r="P3820" s="14" t="s">
        <v>798</v>
      </c>
      <c r="Q3820" s="15" t="s">
        <v>798</v>
      </c>
      <c r="R3820" s="14" t="s">
        <v>798</v>
      </c>
      <c r="S3820" s="15" t="s">
        <v>798</v>
      </c>
      <c r="T3820" s="14" t="s">
        <v>798</v>
      </c>
      <c r="U3820" s="15" t="s">
        <v>798</v>
      </c>
      <c r="V3820" s="14" t="s">
        <v>798</v>
      </c>
      <c r="W3820" s="15" t="s">
        <v>798</v>
      </c>
      <c r="X3820" s="14" t="s">
        <v>798</v>
      </c>
      <c r="Y3820" s="15" t="s">
        <v>798</v>
      </c>
      <c r="Z3820" s="26" t="s">
        <v>798</v>
      </c>
      <c r="AA3820" s="20" t="s">
        <v>798</v>
      </c>
      <c r="AB3820" s="26" t="s">
        <v>798</v>
      </c>
      <c r="AC3820" s="20" t="s">
        <v>798</v>
      </c>
      <c r="AD3820" s="26" t="s">
        <v>798</v>
      </c>
      <c r="AE3820" s="20" t="s">
        <v>798</v>
      </c>
    </row>
    <row r="3821" spans="1:31" ht="8.65" customHeight="1" x14ac:dyDescent="0.2">
      <c r="A3821" s="76">
        <v>3821</v>
      </c>
      <c r="B3821" s="70" t="s">
        <v>9488</v>
      </c>
      <c r="C3821" s="24" t="s">
        <v>9560</v>
      </c>
      <c r="D3821" s="69" t="s">
        <v>798</v>
      </c>
      <c r="E3821" s="71" t="s">
        <v>798</v>
      </c>
      <c r="F3821" s="14" t="s">
        <v>798</v>
      </c>
      <c r="G3821" s="15" t="s">
        <v>798</v>
      </c>
      <c r="H3821" s="14" t="s">
        <v>798</v>
      </c>
      <c r="I3821" s="15" t="s">
        <v>798</v>
      </c>
      <c r="J3821" s="14" t="s">
        <v>798</v>
      </c>
      <c r="K3821" s="15" t="s">
        <v>798</v>
      </c>
      <c r="L3821" s="12" t="s">
        <v>800</v>
      </c>
      <c r="M3821" s="13" t="s">
        <v>9528</v>
      </c>
      <c r="N3821" s="19" t="s">
        <v>798</v>
      </c>
      <c r="O3821" s="15" t="s">
        <v>798</v>
      </c>
      <c r="P3821" s="14" t="s">
        <v>798</v>
      </c>
      <c r="Q3821" s="15" t="s">
        <v>798</v>
      </c>
      <c r="R3821" s="14" t="s">
        <v>798</v>
      </c>
      <c r="S3821" s="15" t="s">
        <v>798</v>
      </c>
      <c r="T3821" s="14" t="s">
        <v>798</v>
      </c>
      <c r="U3821" s="15" t="s">
        <v>798</v>
      </c>
      <c r="V3821" s="14" t="s">
        <v>798</v>
      </c>
      <c r="W3821" s="15" t="s">
        <v>798</v>
      </c>
      <c r="X3821" s="14" t="s">
        <v>798</v>
      </c>
      <c r="Y3821" s="15" t="s">
        <v>798</v>
      </c>
      <c r="Z3821" s="26" t="s">
        <v>798</v>
      </c>
      <c r="AA3821" s="20" t="s">
        <v>798</v>
      </c>
      <c r="AB3821" s="26" t="s">
        <v>798</v>
      </c>
      <c r="AC3821" s="20" t="s">
        <v>798</v>
      </c>
      <c r="AD3821" s="26" t="s">
        <v>798</v>
      </c>
      <c r="AE3821" s="20" t="s">
        <v>798</v>
      </c>
    </row>
    <row r="3822" spans="1:31" ht="8.65" customHeight="1" x14ac:dyDescent="0.2">
      <c r="A3822" s="76">
        <v>3822</v>
      </c>
      <c r="B3822" s="70" t="s">
        <v>9561</v>
      </c>
      <c r="C3822" s="24" t="s">
        <v>9560</v>
      </c>
      <c r="D3822" s="69" t="s">
        <v>798</v>
      </c>
      <c r="E3822" s="71" t="s">
        <v>798</v>
      </c>
      <c r="F3822" s="14" t="s">
        <v>798</v>
      </c>
      <c r="G3822" s="15" t="s">
        <v>798</v>
      </c>
      <c r="H3822" s="14" t="s">
        <v>798</v>
      </c>
      <c r="I3822" s="15" t="s">
        <v>798</v>
      </c>
      <c r="J3822" s="14" t="s">
        <v>798</v>
      </c>
      <c r="K3822" s="15" t="s">
        <v>798</v>
      </c>
      <c r="L3822" s="12" t="s">
        <v>800</v>
      </c>
      <c r="M3822" s="13" t="s">
        <v>9563</v>
      </c>
      <c r="N3822" s="19" t="s">
        <v>798</v>
      </c>
      <c r="O3822" s="15" t="s">
        <v>798</v>
      </c>
      <c r="P3822" s="14" t="s">
        <v>798</v>
      </c>
      <c r="Q3822" s="15" t="s">
        <v>798</v>
      </c>
      <c r="R3822" s="14" t="s">
        <v>798</v>
      </c>
      <c r="S3822" s="15" t="s">
        <v>798</v>
      </c>
      <c r="T3822" s="14" t="s">
        <v>798</v>
      </c>
      <c r="U3822" s="15" t="s">
        <v>798</v>
      </c>
      <c r="V3822" s="14" t="s">
        <v>798</v>
      </c>
      <c r="W3822" s="15" t="s">
        <v>798</v>
      </c>
      <c r="X3822" s="14" t="s">
        <v>798</v>
      </c>
      <c r="Y3822" s="15" t="s">
        <v>798</v>
      </c>
      <c r="Z3822" s="26" t="s">
        <v>798</v>
      </c>
      <c r="AA3822" s="20" t="s">
        <v>798</v>
      </c>
      <c r="AB3822" s="26" t="s">
        <v>798</v>
      </c>
      <c r="AC3822" s="20" t="s">
        <v>798</v>
      </c>
      <c r="AD3822" s="26" t="s">
        <v>798</v>
      </c>
      <c r="AE3822" s="20" t="s">
        <v>798</v>
      </c>
    </row>
    <row r="3823" spans="1:31" ht="8.65" customHeight="1" x14ac:dyDescent="0.2">
      <c r="A3823" s="76">
        <v>3823</v>
      </c>
      <c r="B3823" s="70" t="s">
        <v>9566</v>
      </c>
      <c r="C3823" s="24" t="s">
        <v>9560</v>
      </c>
      <c r="D3823" s="69" t="s">
        <v>798</v>
      </c>
      <c r="E3823" s="71" t="s">
        <v>798</v>
      </c>
      <c r="F3823" s="14" t="s">
        <v>798</v>
      </c>
      <c r="G3823" s="15" t="s">
        <v>798</v>
      </c>
      <c r="H3823" s="14" t="s">
        <v>798</v>
      </c>
      <c r="I3823" s="15" t="s">
        <v>798</v>
      </c>
      <c r="J3823" s="14" t="s">
        <v>798</v>
      </c>
      <c r="K3823" s="15" t="s">
        <v>798</v>
      </c>
      <c r="L3823" s="12" t="s">
        <v>800</v>
      </c>
      <c r="M3823" s="13" t="s">
        <v>9564</v>
      </c>
      <c r="N3823" s="19" t="s">
        <v>798</v>
      </c>
      <c r="O3823" s="15" t="s">
        <v>798</v>
      </c>
      <c r="P3823" s="14" t="s">
        <v>798</v>
      </c>
      <c r="Q3823" s="15" t="s">
        <v>798</v>
      </c>
      <c r="R3823" s="14" t="s">
        <v>798</v>
      </c>
      <c r="S3823" s="15" t="s">
        <v>798</v>
      </c>
      <c r="T3823" s="14" t="s">
        <v>798</v>
      </c>
      <c r="U3823" s="15" t="s">
        <v>798</v>
      </c>
      <c r="V3823" s="14" t="s">
        <v>798</v>
      </c>
      <c r="W3823" s="15" t="s">
        <v>798</v>
      </c>
      <c r="X3823" s="14" t="s">
        <v>798</v>
      </c>
      <c r="Y3823" s="15" t="s">
        <v>798</v>
      </c>
      <c r="Z3823" s="26" t="s">
        <v>798</v>
      </c>
      <c r="AA3823" s="20" t="s">
        <v>798</v>
      </c>
      <c r="AB3823" s="26" t="s">
        <v>798</v>
      </c>
      <c r="AC3823" s="20" t="s">
        <v>798</v>
      </c>
      <c r="AD3823" s="26" t="s">
        <v>798</v>
      </c>
      <c r="AE3823" s="20" t="s">
        <v>798</v>
      </c>
    </row>
    <row r="3824" spans="1:31" ht="8.65" customHeight="1" x14ac:dyDescent="0.2">
      <c r="A3824" s="76">
        <v>3824</v>
      </c>
      <c r="B3824" s="70" t="s">
        <v>9562</v>
      </c>
      <c r="C3824" s="24" t="s">
        <v>9560</v>
      </c>
      <c r="D3824" s="69" t="s">
        <v>798</v>
      </c>
      <c r="E3824" s="71" t="s">
        <v>798</v>
      </c>
      <c r="F3824" s="14" t="s">
        <v>798</v>
      </c>
      <c r="G3824" s="15" t="s">
        <v>798</v>
      </c>
      <c r="H3824" s="14" t="s">
        <v>798</v>
      </c>
      <c r="I3824" s="15" t="s">
        <v>798</v>
      </c>
      <c r="J3824" s="14" t="s">
        <v>798</v>
      </c>
      <c r="K3824" s="15" t="s">
        <v>798</v>
      </c>
      <c r="L3824" s="12" t="s">
        <v>800</v>
      </c>
      <c r="M3824" s="13" t="s">
        <v>9565</v>
      </c>
      <c r="N3824" s="19" t="s">
        <v>798</v>
      </c>
      <c r="O3824" s="15" t="s">
        <v>798</v>
      </c>
      <c r="P3824" s="14" t="s">
        <v>798</v>
      </c>
      <c r="Q3824" s="15" t="s">
        <v>798</v>
      </c>
      <c r="R3824" s="14" t="s">
        <v>798</v>
      </c>
      <c r="S3824" s="15" t="s">
        <v>798</v>
      </c>
      <c r="T3824" s="14" t="s">
        <v>798</v>
      </c>
      <c r="U3824" s="15" t="s">
        <v>798</v>
      </c>
      <c r="V3824" s="14" t="s">
        <v>798</v>
      </c>
      <c r="W3824" s="15" t="s">
        <v>798</v>
      </c>
      <c r="X3824" s="14" t="s">
        <v>798</v>
      </c>
      <c r="Y3824" s="15" t="s">
        <v>798</v>
      </c>
      <c r="Z3824" s="26" t="s">
        <v>798</v>
      </c>
      <c r="AA3824" s="20" t="s">
        <v>798</v>
      </c>
      <c r="AB3824" s="26" t="s">
        <v>798</v>
      </c>
      <c r="AC3824" s="20" t="s">
        <v>798</v>
      </c>
      <c r="AD3824" s="26" t="s">
        <v>798</v>
      </c>
      <c r="AE3824" s="20" t="s">
        <v>798</v>
      </c>
    </row>
    <row r="3825" spans="1:31" ht="8.65" customHeight="1" x14ac:dyDescent="0.2">
      <c r="A3825" s="76">
        <v>3825</v>
      </c>
      <c r="B3825" s="70" t="s">
        <v>9672</v>
      </c>
      <c r="C3825" s="24" t="s">
        <v>9574</v>
      </c>
      <c r="D3825" s="69" t="s">
        <v>798</v>
      </c>
      <c r="E3825" s="71" t="s">
        <v>798</v>
      </c>
      <c r="F3825" s="12" t="s">
        <v>9620</v>
      </c>
      <c r="G3825" s="13" t="s">
        <v>9673</v>
      </c>
      <c r="H3825" s="14" t="s">
        <v>798</v>
      </c>
      <c r="I3825" s="15" t="s">
        <v>798</v>
      </c>
      <c r="J3825" s="14" t="s">
        <v>798</v>
      </c>
      <c r="K3825" s="15" t="s">
        <v>798</v>
      </c>
      <c r="L3825" s="12" t="s">
        <v>800</v>
      </c>
      <c r="M3825" s="13" t="s">
        <v>9674</v>
      </c>
      <c r="N3825" s="19" t="s">
        <v>798</v>
      </c>
      <c r="O3825" s="15" t="s">
        <v>798</v>
      </c>
      <c r="P3825" s="14" t="s">
        <v>798</v>
      </c>
      <c r="Q3825" s="15" t="s">
        <v>798</v>
      </c>
      <c r="R3825" s="14" t="s">
        <v>798</v>
      </c>
      <c r="S3825" s="15" t="s">
        <v>798</v>
      </c>
      <c r="T3825" s="14" t="s">
        <v>798</v>
      </c>
      <c r="U3825" s="15" t="s">
        <v>798</v>
      </c>
      <c r="V3825" s="14" t="s">
        <v>798</v>
      </c>
      <c r="W3825" s="15" t="s">
        <v>798</v>
      </c>
      <c r="X3825" s="14" t="s">
        <v>798</v>
      </c>
      <c r="Y3825" s="15" t="s">
        <v>798</v>
      </c>
      <c r="Z3825" s="26" t="s">
        <v>798</v>
      </c>
      <c r="AA3825" s="20" t="s">
        <v>798</v>
      </c>
      <c r="AB3825" s="26" t="s">
        <v>798</v>
      </c>
      <c r="AC3825" s="20" t="s">
        <v>798</v>
      </c>
      <c r="AD3825" s="26" t="s">
        <v>798</v>
      </c>
      <c r="AE3825" s="20" t="s">
        <v>798</v>
      </c>
    </row>
    <row r="3826" spans="1:31" ht="8.65" customHeight="1" x14ac:dyDescent="0.2">
      <c r="A3826" s="76">
        <v>3826</v>
      </c>
      <c r="B3826" s="70" t="s">
        <v>9631</v>
      </c>
      <c r="C3826" s="24" t="s">
        <v>9574</v>
      </c>
      <c r="D3826" s="69" t="s">
        <v>798</v>
      </c>
      <c r="E3826" s="71" t="s">
        <v>798</v>
      </c>
      <c r="F3826" s="12" t="s">
        <v>9620</v>
      </c>
      <c r="G3826" s="13" t="s">
        <v>9627</v>
      </c>
      <c r="H3826" s="14" t="s">
        <v>798</v>
      </c>
      <c r="I3826" s="15" t="s">
        <v>798</v>
      </c>
      <c r="J3826" s="14" t="s">
        <v>798</v>
      </c>
      <c r="K3826" s="15" t="s">
        <v>798</v>
      </c>
      <c r="L3826" s="12" t="s">
        <v>800</v>
      </c>
      <c r="M3826" s="13" t="s">
        <v>9645</v>
      </c>
      <c r="N3826" s="19" t="s">
        <v>798</v>
      </c>
      <c r="O3826" s="15" t="s">
        <v>798</v>
      </c>
      <c r="P3826" s="14" t="s">
        <v>798</v>
      </c>
      <c r="Q3826" s="15" t="s">
        <v>798</v>
      </c>
      <c r="R3826" s="14" t="s">
        <v>798</v>
      </c>
      <c r="S3826" s="15" t="s">
        <v>798</v>
      </c>
      <c r="T3826" s="14" t="s">
        <v>798</v>
      </c>
      <c r="U3826" s="15" t="s">
        <v>798</v>
      </c>
      <c r="V3826" s="14" t="s">
        <v>798</v>
      </c>
      <c r="W3826" s="15" t="s">
        <v>798</v>
      </c>
      <c r="X3826" s="14" t="s">
        <v>798</v>
      </c>
      <c r="Y3826" s="15" t="s">
        <v>798</v>
      </c>
      <c r="Z3826" s="26" t="s">
        <v>798</v>
      </c>
      <c r="AA3826" s="20" t="s">
        <v>798</v>
      </c>
      <c r="AB3826" s="26" t="s">
        <v>798</v>
      </c>
      <c r="AC3826" s="20" t="s">
        <v>798</v>
      </c>
      <c r="AD3826" s="26" t="s">
        <v>798</v>
      </c>
      <c r="AE3826" s="20" t="s">
        <v>798</v>
      </c>
    </row>
    <row r="3827" spans="1:31" ht="8.65" customHeight="1" x14ac:dyDescent="0.2">
      <c r="A3827" s="76">
        <v>3827</v>
      </c>
      <c r="B3827" s="70" t="s">
        <v>9632</v>
      </c>
      <c r="C3827" s="24" t="s">
        <v>9574</v>
      </c>
      <c r="D3827" s="69" t="s">
        <v>798</v>
      </c>
      <c r="E3827" s="71" t="s">
        <v>798</v>
      </c>
      <c r="F3827" s="12" t="s">
        <v>9620</v>
      </c>
      <c r="G3827" s="13" t="s">
        <v>9628</v>
      </c>
      <c r="H3827" s="14" t="s">
        <v>798</v>
      </c>
      <c r="I3827" s="15" t="s">
        <v>798</v>
      </c>
      <c r="J3827" s="14" t="s">
        <v>798</v>
      </c>
      <c r="K3827" s="15" t="s">
        <v>798</v>
      </c>
      <c r="L3827" s="12" t="s">
        <v>800</v>
      </c>
      <c r="M3827" s="13" t="s">
        <v>9650</v>
      </c>
      <c r="N3827" s="19" t="s">
        <v>798</v>
      </c>
      <c r="O3827" s="15" t="s">
        <v>798</v>
      </c>
      <c r="P3827" s="14" t="s">
        <v>798</v>
      </c>
      <c r="Q3827" s="15" t="s">
        <v>798</v>
      </c>
      <c r="R3827" s="14" t="s">
        <v>798</v>
      </c>
      <c r="S3827" s="15" t="s">
        <v>798</v>
      </c>
      <c r="T3827" s="14" t="s">
        <v>798</v>
      </c>
      <c r="U3827" s="15" t="s">
        <v>798</v>
      </c>
      <c r="V3827" s="14" t="s">
        <v>798</v>
      </c>
      <c r="W3827" s="15" t="s">
        <v>798</v>
      </c>
      <c r="X3827" s="14" t="s">
        <v>798</v>
      </c>
      <c r="Y3827" s="15" t="s">
        <v>798</v>
      </c>
      <c r="Z3827" s="26" t="s">
        <v>798</v>
      </c>
      <c r="AA3827" s="20" t="s">
        <v>798</v>
      </c>
      <c r="AB3827" s="26" t="s">
        <v>798</v>
      </c>
      <c r="AC3827" s="20" t="s">
        <v>798</v>
      </c>
      <c r="AD3827" s="26" t="s">
        <v>798</v>
      </c>
      <c r="AE3827" s="20" t="s">
        <v>798</v>
      </c>
    </row>
    <row r="3828" spans="1:31" ht="8.65" customHeight="1" x14ac:dyDescent="0.2">
      <c r="A3828" s="76">
        <v>3828</v>
      </c>
      <c r="B3828" s="70" t="s">
        <v>9633</v>
      </c>
      <c r="C3828" s="24" t="s">
        <v>9574</v>
      </c>
      <c r="D3828" s="69" t="s">
        <v>798</v>
      </c>
      <c r="E3828" s="71" t="s">
        <v>798</v>
      </c>
      <c r="F3828" s="12" t="s">
        <v>9620</v>
      </c>
      <c r="G3828" s="13" t="s">
        <v>9626</v>
      </c>
      <c r="H3828" s="14" t="s">
        <v>798</v>
      </c>
      <c r="I3828" s="15" t="s">
        <v>798</v>
      </c>
      <c r="J3828" s="14" t="s">
        <v>798</v>
      </c>
      <c r="K3828" s="15" t="s">
        <v>798</v>
      </c>
      <c r="L3828" s="12" t="s">
        <v>800</v>
      </c>
      <c r="M3828" s="13" t="s">
        <v>9649</v>
      </c>
      <c r="N3828" s="19" t="s">
        <v>798</v>
      </c>
      <c r="O3828" s="15" t="s">
        <v>798</v>
      </c>
      <c r="P3828" s="14" t="s">
        <v>798</v>
      </c>
      <c r="Q3828" s="15" t="s">
        <v>798</v>
      </c>
      <c r="R3828" s="14" t="s">
        <v>798</v>
      </c>
      <c r="S3828" s="15" t="s">
        <v>798</v>
      </c>
      <c r="T3828" s="14" t="s">
        <v>798</v>
      </c>
      <c r="U3828" s="15" t="s">
        <v>798</v>
      </c>
      <c r="V3828" s="14" t="s">
        <v>798</v>
      </c>
      <c r="W3828" s="15" t="s">
        <v>798</v>
      </c>
      <c r="X3828" s="14" t="s">
        <v>798</v>
      </c>
      <c r="Y3828" s="15" t="s">
        <v>798</v>
      </c>
      <c r="Z3828" s="26" t="s">
        <v>798</v>
      </c>
      <c r="AA3828" s="20" t="s">
        <v>798</v>
      </c>
      <c r="AB3828" s="26" t="s">
        <v>798</v>
      </c>
      <c r="AC3828" s="20" t="s">
        <v>798</v>
      </c>
      <c r="AD3828" s="26" t="s">
        <v>798</v>
      </c>
      <c r="AE3828" s="20" t="s">
        <v>798</v>
      </c>
    </row>
    <row r="3829" spans="1:31" ht="8.65" customHeight="1" x14ac:dyDescent="0.2">
      <c r="A3829" s="76">
        <v>3829</v>
      </c>
      <c r="B3829" s="70" t="s">
        <v>9634</v>
      </c>
      <c r="C3829" s="24" t="s">
        <v>9574</v>
      </c>
      <c r="D3829" s="69" t="s">
        <v>798</v>
      </c>
      <c r="E3829" s="71" t="s">
        <v>798</v>
      </c>
      <c r="F3829" s="12" t="s">
        <v>9620</v>
      </c>
      <c r="G3829" s="13" t="s">
        <v>9629</v>
      </c>
      <c r="H3829" s="14" t="s">
        <v>798</v>
      </c>
      <c r="I3829" s="15" t="s">
        <v>798</v>
      </c>
      <c r="J3829" s="14" t="s">
        <v>798</v>
      </c>
      <c r="K3829" s="15" t="s">
        <v>798</v>
      </c>
      <c r="L3829" s="12" t="s">
        <v>800</v>
      </c>
      <c r="M3829" s="13" t="s">
        <v>9646</v>
      </c>
      <c r="N3829" s="19" t="s">
        <v>798</v>
      </c>
      <c r="O3829" s="15" t="s">
        <v>798</v>
      </c>
      <c r="P3829" s="14" t="s">
        <v>798</v>
      </c>
      <c r="Q3829" s="15" t="s">
        <v>798</v>
      </c>
      <c r="R3829" s="14" t="s">
        <v>798</v>
      </c>
      <c r="S3829" s="15" t="s">
        <v>798</v>
      </c>
      <c r="T3829" s="14" t="s">
        <v>798</v>
      </c>
      <c r="U3829" s="15" t="s">
        <v>798</v>
      </c>
      <c r="V3829" s="14" t="s">
        <v>798</v>
      </c>
      <c r="W3829" s="15" t="s">
        <v>798</v>
      </c>
      <c r="X3829" s="14" t="s">
        <v>798</v>
      </c>
      <c r="Y3829" s="15" t="s">
        <v>798</v>
      </c>
      <c r="Z3829" s="26" t="s">
        <v>798</v>
      </c>
      <c r="AA3829" s="20" t="s">
        <v>798</v>
      </c>
      <c r="AB3829" s="26" t="s">
        <v>798</v>
      </c>
      <c r="AC3829" s="20" t="s">
        <v>798</v>
      </c>
      <c r="AD3829" s="26" t="s">
        <v>798</v>
      </c>
      <c r="AE3829" s="20" t="s">
        <v>798</v>
      </c>
    </row>
    <row r="3830" spans="1:31" ht="8.65" customHeight="1" x14ac:dyDescent="0.2">
      <c r="A3830" s="76">
        <v>3830</v>
      </c>
      <c r="B3830" s="70" t="s">
        <v>9636</v>
      </c>
      <c r="C3830" s="24" t="s">
        <v>9574</v>
      </c>
      <c r="D3830" s="69" t="s">
        <v>798</v>
      </c>
      <c r="E3830" s="71" t="s">
        <v>798</v>
      </c>
      <c r="F3830" s="12" t="s">
        <v>9620</v>
      </c>
      <c r="G3830" s="13" t="s">
        <v>9637</v>
      </c>
      <c r="H3830" s="14" t="s">
        <v>798</v>
      </c>
      <c r="I3830" s="15" t="s">
        <v>798</v>
      </c>
      <c r="J3830" s="14" t="s">
        <v>798</v>
      </c>
      <c r="K3830" s="15" t="s">
        <v>798</v>
      </c>
      <c r="L3830" s="12" t="s">
        <v>800</v>
      </c>
      <c r="M3830" s="13" t="s">
        <v>9647</v>
      </c>
      <c r="N3830" s="19" t="s">
        <v>798</v>
      </c>
      <c r="O3830" s="15" t="s">
        <v>798</v>
      </c>
      <c r="P3830" s="14" t="s">
        <v>798</v>
      </c>
      <c r="Q3830" s="15" t="s">
        <v>798</v>
      </c>
      <c r="R3830" s="14" t="s">
        <v>798</v>
      </c>
      <c r="S3830" s="15" t="s">
        <v>798</v>
      </c>
      <c r="T3830" s="14" t="s">
        <v>798</v>
      </c>
      <c r="U3830" s="15" t="s">
        <v>798</v>
      </c>
      <c r="V3830" s="14" t="s">
        <v>798</v>
      </c>
      <c r="W3830" s="15" t="s">
        <v>798</v>
      </c>
      <c r="X3830" s="14" t="s">
        <v>798</v>
      </c>
      <c r="Y3830" s="15" t="s">
        <v>798</v>
      </c>
      <c r="Z3830" s="26" t="s">
        <v>798</v>
      </c>
      <c r="AA3830" s="20" t="s">
        <v>798</v>
      </c>
      <c r="AB3830" s="26" t="s">
        <v>798</v>
      </c>
      <c r="AC3830" s="20" t="s">
        <v>798</v>
      </c>
      <c r="AD3830" s="26" t="s">
        <v>798</v>
      </c>
      <c r="AE3830" s="20" t="s">
        <v>798</v>
      </c>
    </row>
    <row r="3831" spans="1:31" ht="8.65" customHeight="1" x14ac:dyDescent="0.2">
      <c r="A3831" s="76">
        <v>3831</v>
      </c>
      <c r="B3831" s="70" t="s">
        <v>9635</v>
      </c>
      <c r="C3831" s="24" t="s">
        <v>9574</v>
      </c>
      <c r="D3831" s="69" t="s">
        <v>798</v>
      </c>
      <c r="E3831" s="71" t="s">
        <v>798</v>
      </c>
      <c r="F3831" s="12" t="s">
        <v>9620</v>
      </c>
      <c r="G3831" s="13" t="s">
        <v>9630</v>
      </c>
      <c r="H3831" s="14" t="s">
        <v>798</v>
      </c>
      <c r="I3831" s="15" t="s">
        <v>798</v>
      </c>
      <c r="J3831" s="14" t="s">
        <v>798</v>
      </c>
      <c r="K3831" s="15" t="s">
        <v>798</v>
      </c>
      <c r="L3831" s="12" t="s">
        <v>800</v>
      </c>
      <c r="M3831" s="13" t="s">
        <v>9648</v>
      </c>
      <c r="N3831" s="19" t="s">
        <v>798</v>
      </c>
      <c r="O3831" s="15" t="s">
        <v>798</v>
      </c>
      <c r="P3831" s="14" t="s">
        <v>798</v>
      </c>
      <c r="Q3831" s="15" t="s">
        <v>798</v>
      </c>
      <c r="R3831" s="14" t="s">
        <v>798</v>
      </c>
      <c r="S3831" s="15" t="s">
        <v>798</v>
      </c>
      <c r="T3831" s="14" t="s">
        <v>798</v>
      </c>
      <c r="U3831" s="15" t="s">
        <v>798</v>
      </c>
      <c r="V3831" s="14" t="s">
        <v>798</v>
      </c>
      <c r="W3831" s="15" t="s">
        <v>798</v>
      </c>
      <c r="X3831" s="14" t="s">
        <v>798</v>
      </c>
      <c r="Y3831" s="15" t="s">
        <v>798</v>
      </c>
      <c r="Z3831" s="26" t="s">
        <v>798</v>
      </c>
      <c r="AA3831" s="20" t="s">
        <v>798</v>
      </c>
      <c r="AB3831" s="26" t="s">
        <v>798</v>
      </c>
      <c r="AC3831" s="20" t="s">
        <v>798</v>
      </c>
      <c r="AD3831" s="26" t="s">
        <v>798</v>
      </c>
      <c r="AE3831" s="20" t="s">
        <v>798</v>
      </c>
    </row>
    <row r="3832" spans="1:31" ht="8.65" customHeight="1" x14ac:dyDescent="0.2">
      <c r="A3832" s="76">
        <v>3832</v>
      </c>
      <c r="B3832" s="70" t="s">
        <v>9653</v>
      </c>
      <c r="C3832" s="24" t="s">
        <v>9574</v>
      </c>
      <c r="D3832" s="69" t="s">
        <v>798</v>
      </c>
      <c r="E3832" s="71" t="s">
        <v>798</v>
      </c>
      <c r="F3832" s="12" t="s">
        <v>9620</v>
      </c>
      <c r="G3832" s="13" t="s">
        <v>9651</v>
      </c>
      <c r="H3832" s="14" t="s">
        <v>798</v>
      </c>
      <c r="I3832" s="15" t="s">
        <v>798</v>
      </c>
      <c r="J3832" s="14" t="s">
        <v>798</v>
      </c>
      <c r="K3832" s="15" t="s">
        <v>798</v>
      </c>
      <c r="L3832" s="12" t="s">
        <v>800</v>
      </c>
      <c r="M3832" s="13" t="s">
        <v>9656</v>
      </c>
      <c r="N3832" s="19" t="s">
        <v>798</v>
      </c>
      <c r="O3832" s="15" t="s">
        <v>798</v>
      </c>
      <c r="P3832" s="14" t="s">
        <v>798</v>
      </c>
      <c r="Q3832" s="15" t="s">
        <v>798</v>
      </c>
      <c r="R3832" s="14" t="s">
        <v>798</v>
      </c>
      <c r="S3832" s="15" t="s">
        <v>798</v>
      </c>
      <c r="T3832" s="14" t="s">
        <v>798</v>
      </c>
      <c r="U3832" s="15" t="s">
        <v>798</v>
      </c>
      <c r="V3832" s="14" t="s">
        <v>798</v>
      </c>
      <c r="W3832" s="15" t="s">
        <v>798</v>
      </c>
      <c r="X3832" s="14" t="s">
        <v>798</v>
      </c>
      <c r="Y3832" s="15" t="s">
        <v>798</v>
      </c>
      <c r="Z3832" s="26" t="s">
        <v>798</v>
      </c>
      <c r="AA3832" s="20" t="s">
        <v>798</v>
      </c>
      <c r="AB3832" s="26" t="s">
        <v>798</v>
      </c>
      <c r="AC3832" s="20" t="s">
        <v>798</v>
      </c>
      <c r="AD3832" s="26" t="s">
        <v>798</v>
      </c>
      <c r="AE3832" s="20" t="s">
        <v>798</v>
      </c>
    </row>
    <row r="3833" spans="1:31" ht="8.65" customHeight="1" x14ac:dyDescent="0.2">
      <c r="A3833" s="76">
        <v>3833</v>
      </c>
      <c r="B3833" s="70" t="s">
        <v>9654</v>
      </c>
      <c r="C3833" s="24" t="s">
        <v>9574</v>
      </c>
      <c r="D3833" s="69" t="s">
        <v>798</v>
      </c>
      <c r="E3833" s="71" t="s">
        <v>798</v>
      </c>
      <c r="F3833" s="12" t="s">
        <v>9620</v>
      </c>
      <c r="G3833" s="13" t="s">
        <v>9652</v>
      </c>
      <c r="H3833" s="14" t="s">
        <v>798</v>
      </c>
      <c r="I3833" s="15" t="s">
        <v>798</v>
      </c>
      <c r="J3833" s="14" t="s">
        <v>798</v>
      </c>
      <c r="K3833" s="15" t="s">
        <v>798</v>
      </c>
      <c r="L3833" s="12" t="s">
        <v>800</v>
      </c>
      <c r="M3833" s="13" t="s">
        <v>9655</v>
      </c>
      <c r="N3833" s="19" t="s">
        <v>798</v>
      </c>
      <c r="O3833" s="15" t="s">
        <v>798</v>
      </c>
      <c r="P3833" s="14" t="s">
        <v>798</v>
      </c>
      <c r="Q3833" s="15" t="s">
        <v>798</v>
      </c>
      <c r="R3833" s="14" t="s">
        <v>798</v>
      </c>
      <c r="S3833" s="15" t="s">
        <v>798</v>
      </c>
      <c r="T3833" s="14" t="s">
        <v>798</v>
      </c>
      <c r="U3833" s="15" t="s">
        <v>798</v>
      </c>
      <c r="V3833" s="14" t="s">
        <v>798</v>
      </c>
      <c r="W3833" s="15" t="s">
        <v>798</v>
      </c>
      <c r="X3833" s="14" t="s">
        <v>798</v>
      </c>
      <c r="Y3833" s="15" t="s">
        <v>798</v>
      </c>
      <c r="Z3833" s="26" t="s">
        <v>798</v>
      </c>
      <c r="AA3833" s="20" t="s">
        <v>798</v>
      </c>
      <c r="AB3833" s="26" t="s">
        <v>798</v>
      </c>
      <c r="AC3833" s="20" t="s">
        <v>798</v>
      </c>
      <c r="AD3833" s="26" t="s">
        <v>798</v>
      </c>
      <c r="AE3833" s="20" t="s">
        <v>798</v>
      </c>
    </row>
    <row r="3834" spans="1:31" ht="8.65" customHeight="1" x14ac:dyDescent="0.2">
      <c r="A3834" s="76">
        <v>3834</v>
      </c>
      <c r="B3834" s="70" t="s">
        <v>9571</v>
      </c>
      <c r="C3834" s="24" t="s">
        <v>9574</v>
      </c>
      <c r="D3834" s="69" t="s">
        <v>798</v>
      </c>
      <c r="E3834" s="71" t="s">
        <v>798</v>
      </c>
      <c r="F3834" s="12" t="s">
        <v>9620</v>
      </c>
      <c r="G3834" s="13" t="s">
        <v>9621</v>
      </c>
      <c r="H3834" s="14" t="s">
        <v>798</v>
      </c>
      <c r="I3834" s="15" t="s">
        <v>798</v>
      </c>
      <c r="J3834" s="14" t="s">
        <v>798</v>
      </c>
      <c r="K3834" s="15" t="s">
        <v>798</v>
      </c>
      <c r="L3834" s="12" t="s">
        <v>800</v>
      </c>
      <c r="M3834" s="13" t="s">
        <v>9581</v>
      </c>
      <c r="N3834" s="19" t="s">
        <v>798</v>
      </c>
      <c r="O3834" s="15" t="s">
        <v>798</v>
      </c>
      <c r="P3834" s="14" t="s">
        <v>798</v>
      </c>
      <c r="Q3834" s="15" t="s">
        <v>798</v>
      </c>
      <c r="R3834" s="14" t="s">
        <v>798</v>
      </c>
      <c r="S3834" s="15" t="s">
        <v>798</v>
      </c>
      <c r="T3834" s="14" t="s">
        <v>798</v>
      </c>
      <c r="U3834" s="15" t="s">
        <v>798</v>
      </c>
      <c r="V3834" s="14" t="s">
        <v>798</v>
      </c>
      <c r="W3834" s="15" t="s">
        <v>798</v>
      </c>
      <c r="X3834" s="14" t="s">
        <v>798</v>
      </c>
      <c r="Y3834" s="15" t="s">
        <v>798</v>
      </c>
      <c r="Z3834" s="26" t="s">
        <v>798</v>
      </c>
      <c r="AA3834" s="20" t="s">
        <v>798</v>
      </c>
      <c r="AB3834" s="26" t="s">
        <v>798</v>
      </c>
      <c r="AC3834" s="20" t="s">
        <v>798</v>
      </c>
      <c r="AD3834" s="26" t="s">
        <v>798</v>
      </c>
      <c r="AE3834" s="20" t="s">
        <v>798</v>
      </c>
    </row>
    <row r="3835" spans="1:31" ht="8.65" customHeight="1" x14ac:dyDescent="0.2">
      <c r="A3835" s="76">
        <v>3835</v>
      </c>
      <c r="B3835" s="70" t="s">
        <v>9595</v>
      </c>
      <c r="C3835" s="24" t="s">
        <v>9574</v>
      </c>
      <c r="D3835" s="69" t="s">
        <v>798</v>
      </c>
      <c r="E3835" s="71" t="s">
        <v>798</v>
      </c>
      <c r="F3835" s="12" t="s">
        <v>9620</v>
      </c>
      <c r="G3835" s="13" t="s">
        <v>9622</v>
      </c>
      <c r="H3835" s="14" t="s">
        <v>798</v>
      </c>
      <c r="I3835" s="15" t="s">
        <v>798</v>
      </c>
      <c r="J3835" s="14" t="s">
        <v>798</v>
      </c>
      <c r="K3835" s="15" t="s">
        <v>798</v>
      </c>
      <c r="L3835" s="12" t="s">
        <v>800</v>
      </c>
      <c r="M3835" s="13" t="s">
        <v>9697</v>
      </c>
      <c r="N3835" s="19" t="s">
        <v>798</v>
      </c>
      <c r="O3835" s="15" t="s">
        <v>798</v>
      </c>
      <c r="P3835" s="14" t="s">
        <v>798</v>
      </c>
      <c r="Q3835" s="15" t="s">
        <v>798</v>
      </c>
      <c r="R3835" s="14" t="s">
        <v>798</v>
      </c>
      <c r="S3835" s="15" t="s">
        <v>798</v>
      </c>
      <c r="T3835" s="14" t="s">
        <v>798</v>
      </c>
      <c r="U3835" s="15" t="s">
        <v>798</v>
      </c>
      <c r="V3835" s="14" t="s">
        <v>798</v>
      </c>
      <c r="W3835" s="15" t="s">
        <v>798</v>
      </c>
      <c r="X3835" s="14" t="s">
        <v>798</v>
      </c>
      <c r="Y3835" s="15" t="s">
        <v>798</v>
      </c>
      <c r="Z3835" s="26" t="s">
        <v>798</v>
      </c>
      <c r="AA3835" s="20" t="s">
        <v>798</v>
      </c>
      <c r="AB3835" s="26" t="s">
        <v>798</v>
      </c>
      <c r="AC3835" s="20" t="s">
        <v>798</v>
      </c>
      <c r="AD3835" s="26" t="s">
        <v>798</v>
      </c>
      <c r="AE3835" s="20" t="s">
        <v>798</v>
      </c>
    </row>
    <row r="3836" spans="1:31" ht="8.65" customHeight="1" x14ac:dyDescent="0.2">
      <c r="A3836" s="76">
        <v>3836</v>
      </c>
      <c r="B3836" s="70" t="s">
        <v>9603</v>
      </c>
      <c r="C3836" s="24" t="s">
        <v>9574</v>
      </c>
      <c r="D3836" s="69" t="s">
        <v>798</v>
      </c>
      <c r="E3836" s="71" t="s">
        <v>798</v>
      </c>
      <c r="F3836" s="12" t="s">
        <v>9620</v>
      </c>
      <c r="G3836" s="13" t="s">
        <v>9675</v>
      </c>
      <c r="H3836" s="14" t="s">
        <v>798</v>
      </c>
      <c r="I3836" s="15" t="s">
        <v>798</v>
      </c>
      <c r="J3836" s="14" t="s">
        <v>798</v>
      </c>
      <c r="K3836" s="15" t="s">
        <v>798</v>
      </c>
      <c r="L3836" s="12" t="s">
        <v>800</v>
      </c>
      <c r="M3836" s="13" t="s">
        <v>9698</v>
      </c>
      <c r="N3836" s="19" t="s">
        <v>798</v>
      </c>
      <c r="O3836" s="15" t="s">
        <v>798</v>
      </c>
      <c r="P3836" s="14" t="s">
        <v>798</v>
      </c>
      <c r="Q3836" s="15" t="s">
        <v>798</v>
      </c>
      <c r="R3836" s="14" t="s">
        <v>798</v>
      </c>
      <c r="S3836" s="15" t="s">
        <v>798</v>
      </c>
      <c r="T3836" s="14" t="s">
        <v>798</v>
      </c>
      <c r="U3836" s="15" t="s">
        <v>798</v>
      </c>
      <c r="V3836" s="14" t="s">
        <v>798</v>
      </c>
      <c r="W3836" s="15" t="s">
        <v>798</v>
      </c>
      <c r="X3836" s="14" t="s">
        <v>798</v>
      </c>
      <c r="Y3836" s="15" t="s">
        <v>798</v>
      </c>
      <c r="Z3836" s="26" t="s">
        <v>798</v>
      </c>
      <c r="AA3836" s="20" t="s">
        <v>798</v>
      </c>
      <c r="AB3836" s="26" t="s">
        <v>798</v>
      </c>
      <c r="AC3836" s="20" t="s">
        <v>798</v>
      </c>
      <c r="AD3836" s="26" t="s">
        <v>798</v>
      </c>
      <c r="AE3836" s="20" t="s">
        <v>798</v>
      </c>
    </row>
    <row r="3837" spans="1:31" ht="8.65" customHeight="1" x14ac:dyDescent="0.2">
      <c r="A3837" s="76">
        <v>3837</v>
      </c>
      <c r="B3837" s="70" t="s">
        <v>9602</v>
      </c>
      <c r="C3837" s="24" t="s">
        <v>9574</v>
      </c>
      <c r="D3837" s="69" t="s">
        <v>798</v>
      </c>
      <c r="E3837" s="71" t="s">
        <v>798</v>
      </c>
      <c r="F3837" s="12" t="s">
        <v>9620</v>
      </c>
      <c r="G3837" s="13" t="s">
        <v>9676</v>
      </c>
      <c r="H3837" s="14" t="s">
        <v>798</v>
      </c>
      <c r="I3837" s="15" t="s">
        <v>798</v>
      </c>
      <c r="J3837" s="14" t="s">
        <v>798</v>
      </c>
      <c r="K3837" s="15" t="s">
        <v>798</v>
      </c>
      <c r="L3837" s="12" t="s">
        <v>800</v>
      </c>
      <c r="M3837" s="13" t="s">
        <v>9699</v>
      </c>
      <c r="N3837" s="19" t="s">
        <v>798</v>
      </c>
      <c r="O3837" s="15" t="s">
        <v>798</v>
      </c>
      <c r="P3837" s="14" t="s">
        <v>798</v>
      </c>
      <c r="Q3837" s="15" t="s">
        <v>798</v>
      </c>
      <c r="R3837" s="14" t="s">
        <v>798</v>
      </c>
      <c r="S3837" s="15" t="s">
        <v>798</v>
      </c>
      <c r="T3837" s="14" t="s">
        <v>798</v>
      </c>
      <c r="U3837" s="15" t="s">
        <v>798</v>
      </c>
      <c r="V3837" s="14" t="s">
        <v>798</v>
      </c>
      <c r="W3837" s="15" t="s">
        <v>798</v>
      </c>
      <c r="X3837" s="14" t="s">
        <v>798</v>
      </c>
      <c r="Y3837" s="15" t="s">
        <v>798</v>
      </c>
      <c r="Z3837" s="26" t="s">
        <v>798</v>
      </c>
      <c r="AA3837" s="20" t="s">
        <v>798</v>
      </c>
      <c r="AB3837" s="26" t="s">
        <v>798</v>
      </c>
      <c r="AC3837" s="20" t="s">
        <v>798</v>
      </c>
      <c r="AD3837" s="26" t="s">
        <v>798</v>
      </c>
      <c r="AE3837" s="20" t="s">
        <v>798</v>
      </c>
    </row>
    <row r="3838" spans="1:31" ht="8.65" customHeight="1" x14ac:dyDescent="0.2">
      <c r="A3838" s="76">
        <v>3838</v>
      </c>
      <c r="B3838" s="70" t="s">
        <v>9679</v>
      </c>
      <c r="C3838" s="24" t="s">
        <v>9574</v>
      </c>
      <c r="D3838" s="69" t="s">
        <v>798</v>
      </c>
      <c r="E3838" s="71" t="s">
        <v>798</v>
      </c>
      <c r="F3838" s="12" t="s">
        <v>9620</v>
      </c>
      <c r="G3838" s="13" t="s">
        <v>9681</v>
      </c>
      <c r="H3838" s="14" t="s">
        <v>798</v>
      </c>
      <c r="I3838" s="15" t="s">
        <v>798</v>
      </c>
      <c r="J3838" s="14" t="s">
        <v>798</v>
      </c>
      <c r="K3838" s="15" t="s">
        <v>798</v>
      </c>
      <c r="L3838" s="12" t="s">
        <v>800</v>
      </c>
      <c r="M3838" s="13" t="s">
        <v>9689</v>
      </c>
      <c r="N3838" s="19" t="s">
        <v>798</v>
      </c>
      <c r="O3838" s="15" t="s">
        <v>798</v>
      </c>
      <c r="P3838" s="14" t="s">
        <v>798</v>
      </c>
      <c r="Q3838" s="15" t="s">
        <v>798</v>
      </c>
      <c r="R3838" s="14" t="s">
        <v>798</v>
      </c>
      <c r="S3838" s="15" t="s">
        <v>798</v>
      </c>
      <c r="T3838" s="14" t="s">
        <v>798</v>
      </c>
      <c r="U3838" s="15" t="s">
        <v>798</v>
      </c>
      <c r="V3838" s="14" t="s">
        <v>798</v>
      </c>
      <c r="W3838" s="15" t="s">
        <v>798</v>
      </c>
      <c r="X3838" s="14" t="s">
        <v>798</v>
      </c>
      <c r="Y3838" s="15" t="s">
        <v>798</v>
      </c>
      <c r="Z3838" s="26" t="s">
        <v>798</v>
      </c>
      <c r="AA3838" s="20" t="s">
        <v>798</v>
      </c>
      <c r="AB3838" s="26" t="s">
        <v>798</v>
      </c>
      <c r="AC3838" s="20" t="s">
        <v>798</v>
      </c>
      <c r="AD3838" s="26" t="s">
        <v>798</v>
      </c>
      <c r="AE3838" s="20" t="s">
        <v>798</v>
      </c>
    </row>
    <row r="3839" spans="1:31" ht="8.65" customHeight="1" x14ac:dyDescent="0.2">
      <c r="A3839" s="76">
        <v>3839</v>
      </c>
      <c r="B3839" s="70" t="s">
        <v>9680</v>
      </c>
      <c r="C3839" s="24" t="s">
        <v>9574</v>
      </c>
      <c r="D3839" s="69" t="s">
        <v>798</v>
      </c>
      <c r="E3839" s="71" t="s">
        <v>798</v>
      </c>
      <c r="F3839" s="12" t="s">
        <v>9620</v>
      </c>
      <c r="G3839" s="13" t="s">
        <v>9682</v>
      </c>
      <c r="H3839" s="14" t="s">
        <v>798</v>
      </c>
      <c r="I3839" s="15" t="s">
        <v>798</v>
      </c>
      <c r="J3839" s="14" t="s">
        <v>798</v>
      </c>
      <c r="K3839" s="15" t="s">
        <v>798</v>
      </c>
      <c r="L3839" s="12" t="s">
        <v>800</v>
      </c>
      <c r="M3839" s="13" t="s">
        <v>9688</v>
      </c>
      <c r="N3839" s="19" t="s">
        <v>798</v>
      </c>
      <c r="O3839" s="15" t="s">
        <v>798</v>
      </c>
      <c r="P3839" s="14" t="s">
        <v>798</v>
      </c>
      <c r="Q3839" s="15" t="s">
        <v>798</v>
      </c>
      <c r="R3839" s="14" t="s">
        <v>798</v>
      </c>
      <c r="S3839" s="15" t="s">
        <v>798</v>
      </c>
      <c r="T3839" s="14" t="s">
        <v>798</v>
      </c>
      <c r="U3839" s="15" t="s">
        <v>798</v>
      </c>
      <c r="V3839" s="14" t="s">
        <v>798</v>
      </c>
      <c r="W3839" s="15" t="s">
        <v>798</v>
      </c>
      <c r="X3839" s="14" t="s">
        <v>798</v>
      </c>
      <c r="Y3839" s="15" t="s">
        <v>798</v>
      </c>
      <c r="Z3839" s="26" t="s">
        <v>798</v>
      </c>
      <c r="AA3839" s="20" t="s">
        <v>798</v>
      </c>
      <c r="AB3839" s="26" t="s">
        <v>798</v>
      </c>
      <c r="AC3839" s="20" t="s">
        <v>798</v>
      </c>
      <c r="AD3839" s="26" t="s">
        <v>798</v>
      </c>
      <c r="AE3839" s="20" t="s">
        <v>798</v>
      </c>
    </row>
    <row r="3840" spans="1:31" ht="8.65" customHeight="1" x14ac:dyDescent="0.2">
      <c r="A3840" s="76">
        <v>3840</v>
      </c>
      <c r="B3840" s="70" t="s">
        <v>9683</v>
      </c>
      <c r="C3840" s="24" t="s">
        <v>9574</v>
      </c>
      <c r="D3840" s="69" t="s">
        <v>798</v>
      </c>
      <c r="E3840" s="71" t="s">
        <v>798</v>
      </c>
      <c r="F3840" s="12" t="s">
        <v>9620</v>
      </c>
      <c r="G3840" s="13" t="s">
        <v>9684</v>
      </c>
      <c r="H3840" s="14" t="s">
        <v>798</v>
      </c>
      <c r="I3840" s="15" t="s">
        <v>798</v>
      </c>
      <c r="J3840" s="14" t="s">
        <v>798</v>
      </c>
      <c r="K3840" s="15" t="s">
        <v>798</v>
      </c>
      <c r="L3840" s="12" t="s">
        <v>800</v>
      </c>
      <c r="M3840" s="13" t="s">
        <v>9690</v>
      </c>
      <c r="N3840" s="19" t="s">
        <v>798</v>
      </c>
      <c r="O3840" s="15" t="s">
        <v>798</v>
      </c>
      <c r="P3840" s="14" t="s">
        <v>798</v>
      </c>
      <c r="Q3840" s="15" t="s">
        <v>798</v>
      </c>
      <c r="R3840" s="14" t="s">
        <v>798</v>
      </c>
      <c r="S3840" s="15" t="s">
        <v>798</v>
      </c>
      <c r="T3840" s="14" t="s">
        <v>798</v>
      </c>
      <c r="U3840" s="15" t="s">
        <v>798</v>
      </c>
      <c r="V3840" s="14" t="s">
        <v>798</v>
      </c>
      <c r="W3840" s="15" t="s">
        <v>798</v>
      </c>
      <c r="X3840" s="14" t="s">
        <v>798</v>
      </c>
      <c r="Y3840" s="15" t="s">
        <v>798</v>
      </c>
      <c r="Z3840" s="26" t="s">
        <v>798</v>
      </c>
      <c r="AA3840" s="20" t="s">
        <v>798</v>
      </c>
      <c r="AB3840" s="26" t="s">
        <v>798</v>
      </c>
      <c r="AC3840" s="20" t="s">
        <v>798</v>
      </c>
      <c r="AD3840" s="26" t="s">
        <v>798</v>
      </c>
      <c r="AE3840" s="20" t="s">
        <v>798</v>
      </c>
    </row>
    <row r="3841" spans="1:31" ht="8.65" customHeight="1" x14ac:dyDescent="0.2">
      <c r="A3841" s="76">
        <v>3841</v>
      </c>
      <c r="B3841" s="70" t="s">
        <v>9685</v>
      </c>
      <c r="C3841" s="24" t="s">
        <v>9574</v>
      </c>
      <c r="D3841" s="69" t="s">
        <v>798</v>
      </c>
      <c r="E3841" s="71" t="s">
        <v>798</v>
      </c>
      <c r="F3841" s="12" t="s">
        <v>9620</v>
      </c>
      <c r="G3841" s="13" t="s">
        <v>9686</v>
      </c>
      <c r="H3841" s="14" t="s">
        <v>798</v>
      </c>
      <c r="I3841" s="15" t="s">
        <v>798</v>
      </c>
      <c r="J3841" s="14" t="s">
        <v>798</v>
      </c>
      <c r="K3841" s="15" t="s">
        <v>798</v>
      </c>
      <c r="L3841" s="12" t="s">
        <v>800</v>
      </c>
      <c r="M3841" s="13" t="s">
        <v>9687</v>
      </c>
      <c r="N3841" s="19" t="s">
        <v>798</v>
      </c>
      <c r="O3841" s="15" t="s">
        <v>798</v>
      </c>
      <c r="P3841" s="14" t="s">
        <v>798</v>
      </c>
      <c r="Q3841" s="15" t="s">
        <v>798</v>
      </c>
      <c r="R3841" s="14" t="s">
        <v>798</v>
      </c>
      <c r="S3841" s="15" t="s">
        <v>798</v>
      </c>
      <c r="T3841" s="14" t="s">
        <v>798</v>
      </c>
      <c r="U3841" s="15" t="s">
        <v>798</v>
      </c>
      <c r="V3841" s="14" t="s">
        <v>798</v>
      </c>
      <c r="W3841" s="15" t="s">
        <v>798</v>
      </c>
      <c r="X3841" s="14" t="s">
        <v>798</v>
      </c>
      <c r="Y3841" s="15" t="s">
        <v>798</v>
      </c>
      <c r="Z3841" s="26" t="s">
        <v>798</v>
      </c>
      <c r="AA3841" s="20" t="s">
        <v>798</v>
      </c>
      <c r="AB3841" s="26" t="s">
        <v>798</v>
      </c>
      <c r="AC3841" s="20" t="s">
        <v>798</v>
      </c>
      <c r="AD3841" s="26" t="s">
        <v>798</v>
      </c>
      <c r="AE3841" s="20" t="s">
        <v>798</v>
      </c>
    </row>
    <row r="3842" spans="1:31" ht="8.65" customHeight="1" x14ac:dyDescent="0.2">
      <c r="A3842" s="76">
        <v>3842</v>
      </c>
      <c r="B3842" s="70" t="s">
        <v>9668</v>
      </c>
      <c r="C3842" s="24" t="s">
        <v>9574</v>
      </c>
      <c r="D3842" s="69" t="s">
        <v>798</v>
      </c>
      <c r="E3842" s="71" t="s">
        <v>798</v>
      </c>
      <c r="F3842" s="12" t="s">
        <v>9620</v>
      </c>
      <c r="G3842" s="13" t="s">
        <v>9728</v>
      </c>
      <c r="H3842" s="14" t="s">
        <v>798</v>
      </c>
      <c r="I3842" s="15" t="s">
        <v>798</v>
      </c>
      <c r="J3842" s="14" t="s">
        <v>798</v>
      </c>
      <c r="K3842" s="15" t="s">
        <v>798</v>
      </c>
      <c r="L3842" s="12" t="s">
        <v>800</v>
      </c>
      <c r="M3842" s="13" t="s">
        <v>9597</v>
      </c>
      <c r="N3842" s="19" t="s">
        <v>798</v>
      </c>
      <c r="O3842" s="15" t="s">
        <v>798</v>
      </c>
      <c r="P3842" s="14" t="s">
        <v>798</v>
      </c>
      <c r="Q3842" s="15" t="s">
        <v>798</v>
      </c>
      <c r="R3842" s="14" t="s">
        <v>798</v>
      </c>
      <c r="S3842" s="15" t="s">
        <v>798</v>
      </c>
      <c r="T3842" s="14" t="s">
        <v>798</v>
      </c>
      <c r="U3842" s="15" t="s">
        <v>798</v>
      </c>
      <c r="V3842" s="14" t="s">
        <v>798</v>
      </c>
      <c r="W3842" s="15" t="s">
        <v>798</v>
      </c>
      <c r="X3842" s="14" t="s">
        <v>798</v>
      </c>
      <c r="Y3842" s="15" t="s">
        <v>798</v>
      </c>
      <c r="Z3842" s="26" t="s">
        <v>798</v>
      </c>
      <c r="AA3842" s="20" t="s">
        <v>798</v>
      </c>
      <c r="AB3842" s="26" t="s">
        <v>798</v>
      </c>
      <c r="AC3842" s="20" t="s">
        <v>798</v>
      </c>
      <c r="AD3842" s="26" t="s">
        <v>798</v>
      </c>
      <c r="AE3842" s="20" t="s">
        <v>798</v>
      </c>
    </row>
    <row r="3843" spans="1:31" ht="8.65" customHeight="1" x14ac:dyDescent="0.2">
      <c r="A3843" s="76">
        <v>3843</v>
      </c>
      <c r="B3843" s="70" t="s">
        <v>9667</v>
      </c>
      <c r="C3843" s="24" t="s">
        <v>9574</v>
      </c>
      <c r="D3843" s="69" t="s">
        <v>798</v>
      </c>
      <c r="E3843" s="71" t="s">
        <v>798</v>
      </c>
      <c r="F3843" s="12" t="s">
        <v>9620</v>
      </c>
      <c r="G3843" s="13" t="s">
        <v>9677</v>
      </c>
      <c r="H3843" s="14" t="s">
        <v>798</v>
      </c>
      <c r="I3843" s="15" t="s">
        <v>798</v>
      </c>
      <c r="J3843" s="14" t="s">
        <v>798</v>
      </c>
      <c r="K3843" s="15" t="s">
        <v>798</v>
      </c>
      <c r="L3843" s="12" t="s">
        <v>800</v>
      </c>
      <c r="M3843" s="13" t="s">
        <v>9598</v>
      </c>
      <c r="N3843" s="19" t="s">
        <v>798</v>
      </c>
      <c r="O3843" s="15" t="s">
        <v>798</v>
      </c>
      <c r="P3843" s="14" t="s">
        <v>798</v>
      </c>
      <c r="Q3843" s="15" t="s">
        <v>798</v>
      </c>
      <c r="R3843" s="14" t="s">
        <v>798</v>
      </c>
      <c r="S3843" s="15" t="s">
        <v>798</v>
      </c>
      <c r="T3843" s="14" t="s">
        <v>798</v>
      </c>
      <c r="U3843" s="15" t="s">
        <v>798</v>
      </c>
      <c r="V3843" s="14" t="s">
        <v>798</v>
      </c>
      <c r="W3843" s="15" t="s">
        <v>798</v>
      </c>
      <c r="X3843" s="14" t="s">
        <v>798</v>
      </c>
      <c r="Y3843" s="15" t="s">
        <v>798</v>
      </c>
      <c r="Z3843" s="26" t="s">
        <v>798</v>
      </c>
      <c r="AA3843" s="20" t="s">
        <v>798</v>
      </c>
      <c r="AB3843" s="26" t="s">
        <v>798</v>
      </c>
      <c r="AC3843" s="20" t="s">
        <v>798</v>
      </c>
      <c r="AD3843" s="26" t="s">
        <v>798</v>
      </c>
      <c r="AE3843" s="20" t="s">
        <v>798</v>
      </c>
    </row>
    <row r="3844" spans="1:31" ht="8.65" customHeight="1" x14ac:dyDescent="0.2">
      <c r="A3844" s="76">
        <v>3844</v>
      </c>
      <c r="B3844" s="70" t="s">
        <v>9596</v>
      </c>
      <c r="C3844" s="24" t="s">
        <v>9574</v>
      </c>
      <c r="D3844" s="69" t="s">
        <v>798</v>
      </c>
      <c r="E3844" s="71" t="s">
        <v>798</v>
      </c>
      <c r="F3844" s="12" t="s">
        <v>9620</v>
      </c>
      <c r="G3844" s="13" t="s">
        <v>9678</v>
      </c>
      <c r="H3844" s="14" t="s">
        <v>798</v>
      </c>
      <c r="I3844" s="15" t="s">
        <v>798</v>
      </c>
      <c r="J3844" s="14" t="s">
        <v>798</v>
      </c>
      <c r="K3844" s="15" t="s">
        <v>798</v>
      </c>
      <c r="L3844" s="12" t="s">
        <v>800</v>
      </c>
      <c r="M3844" s="13" t="s">
        <v>9599</v>
      </c>
      <c r="N3844" s="19" t="s">
        <v>798</v>
      </c>
      <c r="O3844" s="15" t="s">
        <v>798</v>
      </c>
      <c r="P3844" s="14" t="s">
        <v>798</v>
      </c>
      <c r="Q3844" s="15" t="s">
        <v>798</v>
      </c>
      <c r="R3844" s="14" t="s">
        <v>798</v>
      </c>
      <c r="S3844" s="15" t="s">
        <v>798</v>
      </c>
      <c r="T3844" s="14" t="s">
        <v>798</v>
      </c>
      <c r="U3844" s="15" t="s">
        <v>798</v>
      </c>
      <c r="V3844" s="14" t="s">
        <v>798</v>
      </c>
      <c r="W3844" s="15" t="s">
        <v>798</v>
      </c>
      <c r="X3844" s="14" t="s">
        <v>798</v>
      </c>
      <c r="Y3844" s="15" t="s">
        <v>798</v>
      </c>
      <c r="Z3844" s="26" t="s">
        <v>798</v>
      </c>
      <c r="AA3844" s="20" t="s">
        <v>798</v>
      </c>
      <c r="AB3844" s="26" t="s">
        <v>798</v>
      </c>
      <c r="AC3844" s="20" t="s">
        <v>798</v>
      </c>
      <c r="AD3844" s="26" t="s">
        <v>798</v>
      </c>
      <c r="AE3844" s="20" t="s">
        <v>798</v>
      </c>
    </row>
    <row r="3845" spans="1:31" ht="8.65" customHeight="1" x14ac:dyDescent="0.2">
      <c r="A3845" s="76">
        <v>3845</v>
      </c>
      <c r="B3845" s="70" t="s">
        <v>9604</v>
      </c>
      <c r="C3845" s="24" t="s">
        <v>9574</v>
      </c>
      <c r="D3845" s="69" t="s">
        <v>798</v>
      </c>
      <c r="E3845" s="71" t="s">
        <v>798</v>
      </c>
      <c r="F3845" s="12" t="s">
        <v>9620</v>
      </c>
      <c r="G3845" s="13" t="s">
        <v>9691</v>
      </c>
      <c r="H3845" s="14" t="s">
        <v>798</v>
      </c>
      <c r="I3845" s="15" t="s">
        <v>798</v>
      </c>
      <c r="J3845" s="14" t="s">
        <v>798</v>
      </c>
      <c r="K3845" s="15" t="s">
        <v>798</v>
      </c>
      <c r="L3845" s="12" t="s">
        <v>800</v>
      </c>
      <c r="M3845" s="13" t="s">
        <v>9608</v>
      </c>
      <c r="N3845" s="19" t="s">
        <v>798</v>
      </c>
      <c r="O3845" s="15" t="s">
        <v>798</v>
      </c>
      <c r="P3845" s="14" t="s">
        <v>798</v>
      </c>
      <c r="Q3845" s="15" t="s">
        <v>798</v>
      </c>
      <c r="R3845" s="14" t="s">
        <v>798</v>
      </c>
      <c r="S3845" s="15" t="s">
        <v>798</v>
      </c>
      <c r="T3845" s="14" t="s">
        <v>798</v>
      </c>
      <c r="U3845" s="15" t="s">
        <v>798</v>
      </c>
      <c r="V3845" s="14" t="s">
        <v>798</v>
      </c>
      <c r="W3845" s="15" t="s">
        <v>798</v>
      </c>
      <c r="X3845" s="14" t="s">
        <v>798</v>
      </c>
      <c r="Y3845" s="15" t="s">
        <v>798</v>
      </c>
      <c r="Z3845" s="26" t="s">
        <v>798</v>
      </c>
      <c r="AA3845" s="20" t="s">
        <v>798</v>
      </c>
      <c r="AB3845" s="26" t="s">
        <v>798</v>
      </c>
      <c r="AC3845" s="20" t="s">
        <v>798</v>
      </c>
      <c r="AD3845" s="26" t="s">
        <v>798</v>
      </c>
      <c r="AE3845" s="20" t="s">
        <v>798</v>
      </c>
    </row>
    <row r="3846" spans="1:31" ht="8.65" customHeight="1" x14ac:dyDescent="0.2">
      <c r="A3846" s="76">
        <v>3846</v>
      </c>
      <c r="B3846" s="70" t="s">
        <v>9605</v>
      </c>
      <c r="C3846" s="24" t="s">
        <v>9574</v>
      </c>
      <c r="D3846" s="69" t="s">
        <v>798</v>
      </c>
      <c r="E3846" s="71" t="s">
        <v>798</v>
      </c>
      <c r="F3846" s="12" t="s">
        <v>9620</v>
      </c>
      <c r="G3846" s="13" t="s">
        <v>9692</v>
      </c>
      <c r="H3846" s="14" t="s">
        <v>798</v>
      </c>
      <c r="I3846" s="15" t="s">
        <v>798</v>
      </c>
      <c r="J3846" s="14" t="s">
        <v>798</v>
      </c>
      <c r="K3846" s="15" t="s">
        <v>798</v>
      </c>
      <c r="L3846" s="12" t="s">
        <v>800</v>
      </c>
      <c r="M3846" s="13" t="s">
        <v>9607</v>
      </c>
      <c r="N3846" s="19" t="s">
        <v>798</v>
      </c>
      <c r="O3846" s="15" t="s">
        <v>798</v>
      </c>
      <c r="P3846" s="14" t="s">
        <v>798</v>
      </c>
      <c r="Q3846" s="15" t="s">
        <v>798</v>
      </c>
      <c r="R3846" s="14" t="s">
        <v>798</v>
      </c>
      <c r="S3846" s="15" t="s">
        <v>798</v>
      </c>
      <c r="T3846" s="14" t="s">
        <v>798</v>
      </c>
      <c r="U3846" s="15" t="s">
        <v>798</v>
      </c>
      <c r="V3846" s="14" t="s">
        <v>798</v>
      </c>
      <c r="W3846" s="15" t="s">
        <v>798</v>
      </c>
      <c r="X3846" s="14" t="s">
        <v>798</v>
      </c>
      <c r="Y3846" s="15" t="s">
        <v>798</v>
      </c>
      <c r="Z3846" s="26" t="s">
        <v>798</v>
      </c>
      <c r="AA3846" s="20" t="s">
        <v>798</v>
      </c>
      <c r="AB3846" s="26" t="s">
        <v>798</v>
      </c>
      <c r="AC3846" s="20" t="s">
        <v>798</v>
      </c>
      <c r="AD3846" s="26" t="s">
        <v>798</v>
      </c>
      <c r="AE3846" s="20" t="s">
        <v>798</v>
      </c>
    </row>
    <row r="3847" spans="1:31" ht="8.65" customHeight="1" x14ac:dyDescent="0.2">
      <c r="A3847" s="76">
        <v>3847</v>
      </c>
      <c r="B3847" s="70" t="s">
        <v>9606</v>
      </c>
      <c r="C3847" s="24" t="s">
        <v>9574</v>
      </c>
      <c r="D3847" s="69" t="s">
        <v>798</v>
      </c>
      <c r="E3847" s="71" t="s">
        <v>798</v>
      </c>
      <c r="F3847" s="12" t="s">
        <v>9620</v>
      </c>
      <c r="G3847" s="13" t="s">
        <v>9693</v>
      </c>
      <c r="H3847" s="14" t="s">
        <v>798</v>
      </c>
      <c r="I3847" s="15" t="s">
        <v>798</v>
      </c>
      <c r="J3847" s="14" t="s">
        <v>798</v>
      </c>
      <c r="K3847" s="15" t="s">
        <v>798</v>
      </c>
      <c r="L3847" s="12" t="s">
        <v>800</v>
      </c>
      <c r="M3847" s="13" t="s">
        <v>9609</v>
      </c>
      <c r="N3847" s="19" t="s">
        <v>798</v>
      </c>
      <c r="O3847" s="15" t="s">
        <v>798</v>
      </c>
      <c r="P3847" s="14" t="s">
        <v>798</v>
      </c>
      <c r="Q3847" s="15" t="s">
        <v>798</v>
      </c>
      <c r="R3847" s="14" t="s">
        <v>798</v>
      </c>
      <c r="S3847" s="15" t="s">
        <v>798</v>
      </c>
      <c r="T3847" s="14" t="s">
        <v>798</v>
      </c>
      <c r="U3847" s="15" t="s">
        <v>798</v>
      </c>
      <c r="V3847" s="14" t="s">
        <v>798</v>
      </c>
      <c r="W3847" s="15" t="s">
        <v>798</v>
      </c>
      <c r="X3847" s="14" t="s">
        <v>798</v>
      </c>
      <c r="Y3847" s="15" t="s">
        <v>798</v>
      </c>
      <c r="Z3847" s="26" t="s">
        <v>798</v>
      </c>
      <c r="AA3847" s="20" t="s">
        <v>798</v>
      </c>
      <c r="AB3847" s="26" t="s">
        <v>798</v>
      </c>
      <c r="AC3847" s="20" t="s">
        <v>798</v>
      </c>
      <c r="AD3847" s="26" t="s">
        <v>798</v>
      </c>
      <c r="AE3847" s="20" t="s">
        <v>798</v>
      </c>
    </row>
    <row r="3848" spans="1:31" ht="8.65" customHeight="1" x14ac:dyDescent="0.2">
      <c r="A3848" s="76">
        <v>3848</v>
      </c>
      <c r="B3848" s="70" t="s">
        <v>9695</v>
      </c>
      <c r="C3848" s="24" t="s">
        <v>9574</v>
      </c>
      <c r="D3848" s="69" t="s">
        <v>798</v>
      </c>
      <c r="E3848" s="71" t="s">
        <v>798</v>
      </c>
      <c r="F3848" s="12" t="s">
        <v>9620</v>
      </c>
      <c r="G3848" s="13" t="s">
        <v>9694</v>
      </c>
      <c r="H3848" s="14" t="s">
        <v>798</v>
      </c>
      <c r="I3848" s="15" t="s">
        <v>798</v>
      </c>
      <c r="J3848" s="14" t="s">
        <v>798</v>
      </c>
      <c r="K3848" s="15" t="s">
        <v>798</v>
      </c>
      <c r="L3848" s="12" t="s">
        <v>800</v>
      </c>
      <c r="M3848" s="13" t="s">
        <v>9696</v>
      </c>
      <c r="N3848" s="19" t="s">
        <v>798</v>
      </c>
      <c r="O3848" s="15" t="s">
        <v>798</v>
      </c>
      <c r="P3848" s="14" t="s">
        <v>798</v>
      </c>
      <c r="Q3848" s="15" t="s">
        <v>798</v>
      </c>
      <c r="R3848" s="14" t="s">
        <v>798</v>
      </c>
      <c r="S3848" s="15" t="s">
        <v>798</v>
      </c>
      <c r="T3848" s="14" t="s">
        <v>798</v>
      </c>
      <c r="U3848" s="15" t="s">
        <v>798</v>
      </c>
      <c r="V3848" s="14" t="s">
        <v>798</v>
      </c>
      <c r="W3848" s="15" t="s">
        <v>798</v>
      </c>
      <c r="X3848" s="14" t="s">
        <v>798</v>
      </c>
      <c r="Y3848" s="15" t="s">
        <v>798</v>
      </c>
      <c r="Z3848" s="26" t="s">
        <v>798</v>
      </c>
      <c r="AA3848" s="20" t="s">
        <v>798</v>
      </c>
      <c r="AB3848" s="26" t="s">
        <v>798</v>
      </c>
      <c r="AC3848" s="20" t="s">
        <v>798</v>
      </c>
      <c r="AD3848" s="26" t="s">
        <v>798</v>
      </c>
      <c r="AE3848" s="20" t="s">
        <v>798</v>
      </c>
    </row>
    <row r="3849" spans="1:31" ht="8.65" customHeight="1" x14ac:dyDescent="0.2">
      <c r="A3849" s="76">
        <v>3849</v>
      </c>
      <c r="B3849" s="70" t="s">
        <v>9586</v>
      </c>
      <c r="C3849" s="24" t="s">
        <v>9574</v>
      </c>
      <c r="D3849" s="69" t="s">
        <v>798</v>
      </c>
      <c r="E3849" s="71" t="s">
        <v>798</v>
      </c>
      <c r="F3849" s="12" t="s">
        <v>9620</v>
      </c>
      <c r="G3849" s="13" t="s">
        <v>9709</v>
      </c>
      <c r="H3849" s="14" t="s">
        <v>798</v>
      </c>
      <c r="I3849" s="15" t="s">
        <v>798</v>
      </c>
      <c r="J3849" s="14" t="s">
        <v>798</v>
      </c>
      <c r="K3849" s="15" t="s">
        <v>798</v>
      </c>
      <c r="L3849" s="12" t="s">
        <v>800</v>
      </c>
      <c r="M3849" s="13" t="s">
        <v>9588</v>
      </c>
      <c r="N3849" s="19" t="s">
        <v>798</v>
      </c>
      <c r="O3849" s="15" t="s">
        <v>798</v>
      </c>
      <c r="P3849" s="14" t="s">
        <v>798</v>
      </c>
      <c r="Q3849" s="15" t="s">
        <v>798</v>
      </c>
      <c r="R3849" s="14" t="s">
        <v>798</v>
      </c>
      <c r="S3849" s="15" t="s">
        <v>798</v>
      </c>
      <c r="T3849" s="14" t="s">
        <v>798</v>
      </c>
      <c r="U3849" s="15" t="s">
        <v>798</v>
      </c>
      <c r="V3849" s="14" t="s">
        <v>798</v>
      </c>
      <c r="W3849" s="15" t="s">
        <v>798</v>
      </c>
      <c r="X3849" s="14" t="s">
        <v>798</v>
      </c>
      <c r="Y3849" s="15" t="s">
        <v>798</v>
      </c>
      <c r="Z3849" s="26" t="s">
        <v>798</v>
      </c>
      <c r="AA3849" s="20" t="s">
        <v>798</v>
      </c>
      <c r="AB3849" s="26" t="s">
        <v>798</v>
      </c>
      <c r="AC3849" s="20" t="s">
        <v>798</v>
      </c>
      <c r="AD3849" s="26" t="s">
        <v>798</v>
      </c>
      <c r="AE3849" s="20" t="s">
        <v>798</v>
      </c>
    </row>
    <row r="3850" spans="1:31" ht="8.65" customHeight="1" x14ac:dyDescent="0.2">
      <c r="A3850" s="76">
        <v>3850</v>
      </c>
      <c r="B3850" s="70" t="s">
        <v>9587</v>
      </c>
      <c r="C3850" s="24" t="s">
        <v>9574</v>
      </c>
      <c r="D3850" s="69" t="s">
        <v>798</v>
      </c>
      <c r="E3850" s="71" t="s">
        <v>798</v>
      </c>
      <c r="F3850" s="12" t="s">
        <v>9620</v>
      </c>
      <c r="G3850" s="13" t="s">
        <v>9710</v>
      </c>
      <c r="H3850" s="14" t="s">
        <v>798</v>
      </c>
      <c r="I3850" s="15" t="s">
        <v>798</v>
      </c>
      <c r="J3850" s="14" t="s">
        <v>798</v>
      </c>
      <c r="K3850" s="15" t="s">
        <v>798</v>
      </c>
      <c r="L3850" s="12" t="s">
        <v>800</v>
      </c>
      <c r="M3850" s="13" t="s">
        <v>9589</v>
      </c>
      <c r="N3850" s="19" t="s">
        <v>798</v>
      </c>
      <c r="O3850" s="15" t="s">
        <v>798</v>
      </c>
      <c r="P3850" s="14" t="s">
        <v>798</v>
      </c>
      <c r="Q3850" s="15" t="s">
        <v>798</v>
      </c>
      <c r="R3850" s="14" t="s">
        <v>798</v>
      </c>
      <c r="S3850" s="15" t="s">
        <v>798</v>
      </c>
      <c r="T3850" s="14" t="s">
        <v>798</v>
      </c>
      <c r="U3850" s="15" t="s">
        <v>798</v>
      </c>
      <c r="V3850" s="14" t="s">
        <v>798</v>
      </c>
      <c r="W3850" s="15" t="s">
        <v>798</v>
      </c>
      <c r="X3850" s="14" t="s">
        <v>798</v>
      </c>
      <c r="Y3850" s="15" t="s">
        <v>798</v>
      </c>
      <c r="Z3850" s="26" t="s">
        <v>798</v>
      </c>
      <c r="AA3850" s="20" t="s">
        <v>798</v>
      </c>
      <c r="AB3850" s="26" t="s">
        <v>798</v>
      </c>
      <c r="AC3850" s="20" t="s">
        <v>798</v>
      </c>
      <c r="AD3850" s="26" t="s">
        <v>798</v>
      </c>
      <c r="AE3850" s="20" t="s">
        <v>798</v>
      </c>
    </row>
    <row r="3851" spans="1:31" ht="8.65" customHeight="1" x14ac:dyDescent="0.2">
      <c r="A3851" s="76">
        <v>3851</v>
      </c>
      <c r="B3851" s="70" t="s">
        <v>9585</v>
      </c>
      <c r="C3851" s="24" t="s">
        <v>9574</v>
      </c>
      <c r="D3851" s="69" t="s">
        <v>798</v>
      </c>
      <c r="E3851" s="71" t="s">
        <v>798</v>
      </c>
      <c r="F3851" s="12" t="s">
        <v>9620</v>
      </c>
      <c r="G3851" s="13" t="s">
        <v>9711</v>
      </c>
      <c r="H3851" s="14" t="s">
        <v>798</v>
      </c>
      <c r="I3851" s="15" t="s">
        <v>798</v>
      </c>
      <c r="J3851" s="14" t="s">
        <v>798</v>
      </c>
      <c r="K3851" s="15" t="s">
        <v>798</v>
      </c>
      <c r="L3851" s="12" t="s">
        <v>800</v>
      </c>
      <c r="M3851" s="13" t="s">
        <v>9590</v>
      </c>
      <c r="N3851" s="19" t="s">
        <v>798</v>
      </c>
      <c r="O3851" s="15" t="s">
        <v>798</v>
      </c>
      <c r="P3851" s="14" t="s">
        <v>798</v>
      </c>
      <c r="Q3851" s="15" t="s">
        <v>798</v>
      </c>
      <c r="R3851" s="14" t="s">
        <v>798</v>
      </c>
      <c r="S3851" s="15" t="s">
        <v>798</v>
      </c>
      <c r="T3851" s="14" t="s">
        <v>798</v>
      </c>
      <c r="U3851" s="15" t="s">
        <v>798</v>
      </c>
      <c r="V3851" s="14" t="s">
        <v>798</v>
      </c>
      <c r="W3851" s="15" t="s">
        <v>798</v>
      </c>
      <c r="X3851" s="14" t="s">
        <v>798</v>
      </c>
      <c r="Y3851" s="15" t="s">
        <v>798</v>
      </c>
      <c r="Z3851" s="26" t="s">
        <v>798</v>
      </c>
      <c r="AA3851" s="20" t="s">
        <v>798</v>
      </c>
      <c r="AB3851" s="26" t="s">
        <v>798</v>
      </c>
      <c r="AC3851" s="20" t="s">
        <v>798</v>
      </c>
      <c r="AD3851" s="26" t="s">
        <v>798</v>
      </c>
      <c r="AE3851" s="20" t="s">
        <v>798</v>
      </c>
    </row>
    <row r="3852" spans="1:31" ht="8.65" customHeight="1" x14ac:dyDescent="0.2">
      <c r="A3852" s="76">
        <v>3852</v>
      </c>
      <c r="B3852" s="70" t="s">
        <v>9643</v>
      </c>
      <c r="C3852" s="24" t="s">
        <v>9574</v>
      </c>
      <c r="D3852" s="69" t="s">
        <v>798</v>
      </c>
      <c r="E3852" s="71" t="s">
        <v>798</v>
      </c>
      <c r="F3852" s="12" t="s">
        <v>9620</v>
      </c>
      <c r="G3852" s="13" t="s">
        <v>9712</v>
      </c>
      <c r="H3852" s="14" t="s">
        <v>798</v>
      </c>
      <c r="I3852" s="15" t="s">
        <v>798</v>
      </c>
      <c r="J3852" s="14" t="s">
        <v>798</v>
      </c>
      <c r="K3852" s="15" t="s">
        <v>798</v>
      </c>
      <c r="L3852" s="12" t="s">
        <v>800</v>
      </c>
      <c r="M3852" s="13" t="s">
        <v>9591</v>
      </c>
      <c r="N3852" s="19" t="s">
        <v>798</v>
      </c>
      <c r="O3852" s="15" t="s">
        <v>798</v>
      </c>
      <c r="P3852" s="14" t="s">
        <v>798</v>
      </c>
      <c r="Q3852" s="15" t="s">
        <v>798</v>
      </c>
      <c r="R3852" s="14" t="s">
        <v>798</v>
      </c>
      <c r="S3852" s="15" t="s">
        <v>798</v>
      </c>
      <c r="T3852" s="14" t="s">
        <v>798</v>
      </c>
      <c r="U3852" s="15" t="s">
        <v>798</v>
      </c>
      <c r="V3852" s="14" t="s">
        <v>798</v>
      </c>
      <c r="W3852" s="15" t="s">
        <v>798</v>
      </c>
      <c r="X3852" s="14" t="s">
        <v>798</v>
      </c>
      <c r="Y3852" s="15" t="s">
        <v>798</v>
      </c>
      <c r="Z3852" s="26" t="s">
        <v>798</v>
      </c>
      <c r="AA3852" s="20" t="s">
        <v>798</v>
      </c>
      <c r="AB3852" s="26" t="s">
        <v>798</v>
      </c>
      <c r="AC3852" s="20" t="s">
        <v>798</v>
      </c>
      <c r="AD3852" s="26" t="s">
        <v>798</v>
      </c>
      <c r="AE3852" s="20" t="s">
        <v>798</v>
      </c>
    </row>
    <row r="3853" spans="1:31" ht="8.65" customHeight="1" x14ac:dyDescent="0.2">
      <c r="A3853" s="76">
        <v>3853</v>
      </c>
      <c r="B3853" s="70" t="s">
        <v>9618</v>
      </c>
      <c r="C3853" s="24" t="s">
        <v>9574</v>
      </c>
      <c r="D3853" s="69" t="s">
        <v>798</v>
      </c>
      <c r="E3853" s="71" t="s">
        <v>798</v>
      </c>
      <c r="F3853" s="12" t="s">
        <v>9620</v>
      </c>
      <c r="G3853" s="13" t="s">
        <v>9713</v>
      </c>
      <c r="H3853" s="14" t="s">
        <v>798</v>
      </c>
      <c r="I3853" s="15" t="s">
        <v>798</v>
      </c>
      <c r="J3853" s="14" t="s">
        <v>798</v>
      </c>
      <c r="K3853" s="15" t="s">
        <v>798</v>
      </c>
      <c r="L3853" s="12" t="s">
        <v>800</v>
      </c>
      <c r="M3853" s="13" t="s">
        <v>9619</v>
      </c>
      <c r="N3853" s="19" t="s">
        <v>798</v>
      </c>
      <c r="O3853" s="15" t="s">
        <v>798</v>
      </c>
      <c r="P3853" s="14" t="s">
        <v>798</v>
      </c>
      <c r="Q3853" s="15" t="s">
        <v>798</v>
      </c>
      <c r="R3853" s="14" t="s">
        <v>798</v>
      </c>
      <c r="S3853" s="15" t="s">
        <v>798</v>
      </c>
      <c r="T3853" s="14" t="s">
        <v>798</v>
      </c>
      <c r="U3853" s="15" t="s">
        <v>798</v>
      </c>
      <c r="V3853" s="14" t="s">
        <v>798</v>
      </c>
      <c r="W3853" s="15" t="s">
        <v>798</v>
      </c>
      <c r="X3853" s="14" t="s">
        <v>798</v>
      </c>
      <c r="Y3853" s="15" t="s">
        <v>798</v>
      </c>
      <c r="Z3853" s="26" t="s">
        <v>798</v>
      </c>
      <c r="AA3853" s="20" t="s">
        <v>798</v>
      </c>
      <c r="AB3853" s="26" t="s">
        <v>798</v>
      </c>
      <c r="AC3853" s="20" t="s">
        <v>798</v>
      </c>
      <c r="AD3853" s="26" t="s">
        <v>798</v>
      </c>
      <c r="AE3853" s="20" t="s">
        <v>798</v>
      </c>
    </row>
    <row r="3854" spans="1:31" ht="8.65" customHeight="1" x14ac:dyDescent="0.2">
      <c r="A3854" s="76">
        <v>3854</v>
      </c>
      <c r="B3854" s="70" t="s">
        <v>9644</v>
      </c>
      <c r="C3854" s="24" t="s">
        <v>9574</v>
      </c>
      <c r="D3854" s="69" t="s">
        <v>798</v>
      </c>
      <c r="E3854" s="71" t="s">
        <v>798</v>
      </c>
      <c r="F3854" s="12" t="s">
        <v>9620</v>
      </c>
      <c r="G3854" s="13" t="s">
        <v>9714</v>
      </c>
      <c r="H3854" s="14" t="s">
        <v>798</v>
      </c>
      <c r="I3854" s="15" t="s">
        <v>798</v>
      </c>
      <c r="J3854" s="14" t="s">
        <v>798</v>
      </c>
      <c r="K3854" s="15" t="s">
        <v>798</v>
      </c>
      <c r="L3854" s="12" t="s">
        <v>800</v>
      </c>
      <c r="M3854" s="13" t="s">
        <v>9592</v>
      </c>
      <c r="N3854" s="19" t="s">
        <v>798</v>
      </c>
      <c r="O3854" s="15" t="s">
        <v>798</v>
      </c>
      <c r="P3854" s="14" t="s">
        <v>798</v>
      </c>
      <c r="Q3854" s="15" t="s">
        <v>798</v>
      </c>
      <c r="R3854" s="14" t="s">
        <v>798</v>
      </c>
      <c r="S3854" s="15" t="s">
        <v>798</v>
      </c>
      <c r="T3854" s="14" t="s">
        <v>798</v>
      </c>
      <c r="U3854" s="15" t="s">
        <v>798</v>
      </c>
      <c r="V3854" s="14" t="s">
        <v>798</v>
      </c>
      <c r="W3854" s="15" t="s">
        <v>798</v>
      </c>
      <c r="X3854" s="14" t="s">
        <v>798</v>
      </c>
      <c r="Y3854" s="15" t="s">
        <v>798</v>
      </c>
      <c r="Z3854" s="26" t="s">
        <v>798</v>
      </c>
      <c r="AA3854" s="20" t="s">
        <v>798</v>
      </c>
      <c r="AB3854" s="26" t="s">
        <v>798</v>
      </c>
      <c r="AC3854" s="20" t="s">
        <v>798</v>
      </c>
      <c r="AD3854" s="26" t="s">
        <v>798</v>
      </c>
      <c r="AE3854" s="20" t="s">
        <v>798</v>
      </c>
    </row>
    <row r="3855" spans="1:31" ht="8.65" customHeight="1" x14ac:dyDescent="0.2">
      <c r="A3855" s="76">
        <v>3855</v>
      </c>
      <c r="B3855" s="70" t="s">
        <v>9657</v>
      </c>
      <c r="C3855" s="24" t="s">
        <v>9574</v>
      </c>
      <c r="D3855" s="69" t="s">
        <v>798</v>
      </c>
      <c r="E3855" s="71" t="s">
        <v>798</v>
      </c>
      <c r="F3855" s="12" t="s">
        <v>9620</v>
      </c>
      <c r="G3855" s="13" t="s">
        <v>9715</v>
      </c>
      <c r="H3855" s="14" t="s">
        <v>798</v>
      </c>
      <c r="I3855" s="15" t="s">
        <v>798</v>
      </c>
      <c r="J3855" s="14" t="s">
        <v>798</v>
      </c>
      <c r="K3855" s="15" t="s">
        <v>798</v>
      </c>
      <c r="L3855" s="12" t="s">
        <v>800</v>
      </c>
      <c r="M3855" s="13" t="s">
        <v>9660</v>
      </c>
      <c r="N3855" s="19" t="s">
        <v>798</v>
      </c>
      <c r="O3855" s="15" t="s">
        <v>798</v>
      </c>
      <c r="P3855" s="14" t="s">
        <v>798</v>
      </c>
      <c r="Q3855" s="15" t="s">
        <v>798</v>
      </c>
      <c r="R3855" s="14" t="s">
        <v>798</v>
      </c>
      <c r="S3855" s="15" t="s">
        <v>798</v>
      </c>
      <c r="T3855" s="14" t="s">
        <v>798</v>
      </c>
      <c r="U3855" s="15" t="s">
        <v>798</v>
      </c>
      <c r="V3855" s="14" t="s">
        <v>798</v>
      </c>
      <c r="W3855" s="15" t="s">
        <v>798</v>
      </c>
      <c r="X3855" s="14" t="s">
        <v>798</v>
      </c>
      <c r="Y3855" s="15" t="s">
        <v>798</v>
      </c>
      <c r="Z3855" s="26" t="s">
        <v>798</v>
      </c>
      <c r="AA3855" s="20" t="s">
        <v>798</v>
      </c>
      <c r="AB3855" s="26" t="s">
        <v>798</v>
      </c>
      <c r="AC3855" s="20" t="s">
        <v>798</v>
      </c>
      <c r="AD3855" s="26" t="s">
        <v>798</v>
      </c>
      <c r="AE3855" s="20" t="s">
        <v>798</v>
      </c>
    </row>
    <row r="3856" spans="1:31" ht="8.65" customHeight="1" x14ac:dyDescent="0.2">
      <c r="A3856" s="76">
        <v>3856</v>
      </c>
      <c r="B3856" s="70" t="s">
        <v>9658</v>
      </c>
      <c r="C3856" s="24" t="s">
        <v>9574</v>
      </c>
      <c r="D3856" s="69" t="s">
        <v>798</v>
      </c>
      <c r="E3856" s="71" t="s">
        <v>798</v>
      </c>
      <c r="F3856" s="12" t="s">
        <v>9620</v>
      </c>
      <c r="G3856" s="13" t="s">
        <v>9716</v>
      </c>
      <c r="H3856" s="14" t="s">
        <v>798</v>
      </c>
      <c r="I3856" s="15" t="s">
        <v>798</v>
      </c>
      <c r="J3856" s="14" t="s">
        <v>798</v>
      </c>
      <c r="K3856" s="15" t="s">
        <v>798</v>
      </c>
      <c r="L3856" s="12" t="s">
        <v>800</v>
      </c>
      <c r="M3856" s="13" t="s">
        <v>9659</v>
      </c>
      <c r="N3856" s="19" t="s">
        <v>798</v>
      </c>
      <c r="O3856" s="15" t="s">
        <v>798</v>
      </c>
      <c r="P3856" s="14" t="s">
        <v>798</v>
      </c>
      <c r="Q3856" s="15" t="s">
        <v>798</v>
      </c>
      <c r="R3856" s="14" t="s">
        <v>798</v>
      </c>
      <c r="S3856" s="15" t="s">
        <v>798</v>
      </c>
      <c r="T3856" s="14" t="s">
        <v>798</v>
      </c>
      <c r="U3856" s="15" t="s">
        <v>798</v>
      </c>
      <c r="V3856" s="14" t="s">
        <v>798</v>
      </c>
      <c r="W3856" s="15" t="s">
        <v>798</v>
      </c>
      <c r="X3856" s="14" t="s">
        <v>798</v>
      </c>
      <c r="Y3856" s="15" t="s">
        <v>798</v>
      </c>
      <c r="Z3856" s="26" t="s">
        <v>798</v>
      </c>
      <c r="AA3856" s="20" t="s">
        <v>798</v>
      </c>
      <c r="AB3856" s="26" t="s">
        <v>798</v>
      </c>
      <c r="AC3856" s="20" t="s">
        <v>798</v>
      </c>
      <c r="AD3856" s="26" t="s">
        <v>798</v>
      </c>
      <c r="AE3856" s="20" t="s">
        <v>798</v>
      </c>
    </row>
    <row r="3857" spans="1:31" ht="8.65" customHeight="1" x14ac:dyDescent="0.2">
      <c r="A3857" s="76">
        <v>3857</v>
      </c>
      <c r="B3857" s="70" t="s">
        <v>9638</v>
      </c>
      <c r="C3857" s="24" t="s">
        <v>9574</v>
      </c>
      <c r="D3857" s="69" t="s">
        <v>798</v>
      </c>
      <c r="E3857" s="71" t="s">
        <v>798</v>
      </c>
      <c r="F3857" s="12" t="s">
        <v>9620</v>
      </c>
      <c r="G3857" s="13" t="s">
        <v>9717</v>
      </c>
      <c r="H3857" s="14" t="s">
        <v>798</v>
      </c>
      <c r="I3857" s="15" t="s">
        <v>798</v>
      </c>
      <c r="J3857" s="14" t="s">
        <v>798</v>
      </c>
      <c r="K3857" s="15" t="s">
        <v>798</v>
      </c>
      <c r="L3857" s="12" t="s">
        <v>800</v>
      </c>
      <c r="M3857" s="13" t="s">
        <v>9584</v>
      </c>
      <c r="N3857" s="19" t="s">
        <v>798</v>
      </c>
      <c r="O3857" s="15" t="s">
        <v>798</v>
      </c>
      <c r="P3857" s="14" t="s">
        <v>798</v>
      </c>
      <c r="Q3857" s="15" t="s">
        <v>798</v>
      </c>
      <c r="R3857" s="14" t="s">
        <v>798</v>
      </c>
      <c r="S3857" s="15" t="s">
        <v>798</v>
      </c>
      <c r="T3857" s="14" t="s">
        <v>798</v>
      </c>
      <c r="U3857" s="15" t="s">
        <v>798</v>
      </c>
      <c r="V3857" s="14" t="s">
        <v>798</v>
      </c>
      <c r="W3857" s="15" t="s">
        <v>798</v>
      </c>
      <c r="X3857" s="14" t="s">
        <v>798</v>
      </c>
      <c r="Y3857" s="15" t="s">
        <v>798</v>
      </c>
      <c r="Z3857" s="26" t="s">
        <v>798</v>
      </c>
      <c r="AA3857" s="20" t="s">
        <v>798</v>
      </c>
      <c r="AB3857" s="26" t="s">
        <v>798</v>
      </c>
      <c r="AC3857" s="20" t="s">
        <v>798</v>
      </c>
      <c r="AD3857" s="26" t="s">
        <v>798</v>
      </c>
      <c r="AE3857" s="20" t="s">
        <v>798</v>
      </c>
    </row>
    <row r="3858" spans="1:31" ht="8.65" customHeight="1" x14ac:dyDescent="0.2">
      <c r="A3858" s="76">
        <v>3858</v>
      </c>
      <c r="B3858" s="70" t="s">
        <v>9639</v>
      </c>
      <c r="C3858" s="24" t="s">
        <v>9574</v>
      </c>
      <c r="D3858" s="69" t="s">
        <v>798</v>
      </c>
      <c r="E3858" s="71" t="s">
        <v>798</v>
      </c>
      <c r="F3858" s="12" t="s">
        <v>9620</v>
      </c>
      <c r="G3858" s="13" t="s">
        <v>9718</v>
      </c>
      <c r="H3858" s="14" t="s">
        <v>798</v>
      </c>
      <c r="I3858" s="15" t="s">
        <v>798</v>
      </c>
      <c r="J3858" s="14" t="s">
        <v>798</v>
      </c>
      <c r="K3858" s="15" t="s">
        <v>798</v>
      </c>
      <c r="L3858" s="12" t="s">
        <v>800</v>
      </c>
      <c r="M3858" s="13" t="s">
        <v>9583</v>
      </c>
      <c r="N3858" s="19" t="s">
        <v>798</v>
      </c>
      <c r="O3858" s="15" t="s">
        <v>798</v>
      </c>
      <c r="P3858" s="14" t="s">
        <v>798</v>
      </c>
      <c r="Q3858" s="15" t="s">
        <v>798</v>
      </c>
      <c r="R3858" s="14" t="s">
        <v>798</v>
      </c>
      <c r="S3858" s="15" t="s">
        <v>798</v>
      </c>
      <c r="T3858" s="14" t="s">
        <v>798</v>
      </c>
      <c r="U3858" s="15" t="s">
        <v>798</v>
      </c>
      <c r="V3858" s="14" t="s">
        <v>798</v>
      </c>
      <c r="W3858" s="15" t="s">
        <v>798</v>
      </c>
      <c r="X3858" s="14" t="s">
        <v>798</v>
      </c>
      <c r="Y3858" s="15" t="s">
        <v>798</v>
      </c>
      <c r="Z3858" s="26" t="s">
        <v>798</v>
      </c>
      <c r="AA3858" s="20" t="s">
        <v>798</v>
      </c>
      <c r="AB3858" s="26" t="s">
        <v>798</v>
      </c>
      <c r="AC3858" s="20" t="s">
        <v>798</v>
      </c>
      <c r="AD3858" s="26" t="s">
        <v>798</v>
      </c>
      <c r="AE3858" s="20" t="s">
        <v>798</v>
      </c>
    </row>
    <row r="3859" spans="1:31" ht="8.65" customHeight="1" x14ac:dyDescent="0.2">
      <c r="A3859" s="76">
        <v>3859</v>
      </c>
      <c r="B3859" s="70" t="s">
        <v>9640</v>
      </c>
      <c r="C3859" s="24" t="s">
        <v>9574</v>
      </c>
      <c r="D3859" s="69" t="s">
        <v>798</v>
      </c>
      <c r="E3859" s="71" t="s">
        <v>798</v>
      </c>
      <c r="F3859" s="12" t="s">
        <v>9620</v>
      </c>
      <c r="G3859" s="13" t="s">
        <v>9719</v>
      </c>
      <c r="H3859" s="14" t="s">
        <v>798</v>
      </c>
      <c r="I3859" s="15" t="s">
        <v>798</v>
      </c>
      <c r="J3859" s="14" t="s">
        <v>798</v>
      </c>
      <c r="K3859" s="15" t="s">
        <v>798</v>
      </c>
      <c r="L3859" s="12" t="s">
        <v>800</v>
      </c>
      <c r="M3859" s="13" t="s">
        <v>9593</v>
      </c>
      <c r="N3859" s="19" t="s">
        <v>798</v>
      </c>
      <c r="O3859" s="15" t="s">
        <v>798</v>
      </c>
      <c r="P3859" s="14" t="s">
        <v>798</v>
      </c>
      <c r="Q3859" s="15" t="s">
        <v>798</v>
      </c>
      <c r="R3859" s="14" t="s">
        <v>798</v>
      </c>
      <c r="S3859" s="15" t="s">
        <v>798</v>
      </c>
      <c r="T3859" s="14" t="s">
        <v>798</v>
      </c>
      <c r="U3859" s="15" t="s">
        <v>798</v>
      </c>
      <c r="V3859" s="14" t="s">
        <v>798</v>
      </c>
      <c r="W3859" s="15" t="s">
        <v>798</v>
      </c>
      <c r="X3859" s="14" t="s">
        <v>798</v>
      </c>
      <c r="Y3859" s="15" t="s">
        <v>798</v>
      </c>
      <c r="Z3859" s="26" t="s">
        <v>798</v>
      </c>
      <c r="AA3859" s="20" t="s">
        <v>798</v>
      </c>
      <c r="AB3859" s="26" t="s">
        <v>798</v>
      </c>
      <c r="AC3859" s="20" t="s">
        <v>798</v>
      </c>
      <c r="AD3859" s="26" t="s">
        <v>798</v>
      </c>
      <c r="AE3859" s="20" t="s">
        <v>798</v>
      </c>
    </row>
    <row r="3860" spans="1:31" ht="8.65" customHeight="1" x14ac:dyDescent="0.2">
      <c r="A3860" s="76">
        <v>3860</v>
      </c>
      <c r="B3860" s="70" t="s">
        <v>9641</v>
      </c>
      <c r="C3860" s="24" t="s">
        <v>9574</v>
      </c>
      <c r="D3860" s="69" t="s">
        <v>798</v>
      </c>
      <c r="E3860" s="71" t="s">
        <v>798</v>
      </c>
      <c r="F3860" s="12" t="s">
        <v>9620</v>
      </c>
      <c r="G3860" s="13" t="s">
        <v>9721</v>
      </c>
      <c r="H3860" s="14" t="s">
        <v>798</v>
      </c>
      <c r="I3860" s="15" t="s">
        <v>798</v>
      </c>
      <c r="J3860" s="14" t="s">
        <v>798</v>
      </c>
      <c r="K3860" s="15" t="s">
        <v>798</v>
      </c>
      <c r="L3860" s="12" t="s">
        <v>800</v>
      </c>
      <c r="M3860" s="13" t="s">
        <v>9594</v>
      </c>
      <c r="N3860" s="19" t="s">
        <v>798</v>
      </c>
      <c r="O3860" s="15" t="s">
        <v>798</v>
      </c>
      <c r="P3860" s="14" t="s">
        <v>798</v>
      </c>
      <c r="Q3860" s="15" t="s">
        <v>798</v>
      </c>
      <c r="R3860" s="14" t="s">
        <v>798</v>
      </c>
      <c r="S3860" s="15" t="s">
        <v>798</v>
      </c>
      <c r="T3860" s="14" t="s">
        <v>798</v>
      </c>
      <c r="U3860" s="15" t="s">
        <v>798</v>
      </c>
      <c r="V3860" s="14" t="s">
        <v>798</v>
      </c>
      <c r="W3860" s="15" t="s">
        <v>798</v>
      </c>
      <c r="X3860" s="14" t="s">
        <v>798</v>
      </c>
      <c r="Y3860" s="15" t="s">
        <v>798</v>
      </c>
      <c r="Z3860" s="26" t="s">
        <v>798</v>
      </c>
      <c r="AA3860" s="20" t="s">
        <v>798</v>
      </c>
      <c r="AB3860" s="26" t="s">
        <v>798</v>
      </c>
      <c r="AC3860" s="20" t="s">
        <v>798</v>
      </c>
      <c r="AD3860" s="26" t="s">
        <v>798</v>
      </c>
      <c r="AE3860" s="20" t="s">
        <v>798</v>
      </c>
    </row>
    <row r="3861" spans="1:31" ht="8.65" customHeight="1" x14ac:dyDescent="0.2">
      <c r="A3861" s="76">
        <v>3861</v>
      </c>
      <c r="B3861" s="70" t="s">
        <v>9642</v>
      </c>
      <c r="C3861" s="24" t="s">
        <v>9574</v>
      </c>
      <c r="D3861" s="69" t="s">
        <v>798</v>
      </c>
      <c r="E3861" s="71" t="s">
        <v>798</v>
      </c>
      <c r="F3861" s="12" t="s">
        <v>9620</v>
      </c>
      <c r="G3861" s="13" t="s">
        <v>9720</v>
      </c>
      <c r="H3861" s="14" t="s">
        <v>798</v>
      </c>
      <c r="I3861" s="15" t="s">
        <v>798</v>
      </c>
      <c r="J3861" s="14" t="s">
        <v>798</v>
      </c>
      <c r="K3861" s="15" t="s">
        <v>798</v>
      </c>
      <c r="L3861" s="12" t="s">
        <v>800</v>
      </c>
      <c r="M3861" s="13" t="s">
        <v>9594</v>
      </c>
      <c r="N3861" s="19" t="s">
        <v>798</v>
      </c>
      <c r="O3861" s="15" t="s">
        <v>798</v>
      </c>
      <c r="P3861" s="14" t="s">
        <v>798</v>
      </c>
      <c r="Q3861" s="15" t="s">
        <v>798</v>
      </c>
      <c r="R3861" s="14" t="s">
        <v>798</v>
      </c>
      <c r="S3861" s="15" t="s">
        <v>798</v>
      </c>
      <c r="T3861" s="14" t="s">
        <v>798</v>
      </c>
      <c r="U3861" s="15" t="s">
        <v>798</v>
      </c>
      <c r="V3861" s="14" t="s">
        <v>798</v>
      </c>
      <c r="W3861" s="15" t="s">
        <v>798</v>
      </c>
      <c r="X3861" s="14" t="s">
        <v>798</v>
      </c>
      <c r="Y3861" s="15" t="s">
        <v>798</v>
      </c>
      <c r="Z3861" s="26" t="s">
        <v>798</v>
      </c>
      <c r="AA3861" s="20" t="s">
        <v>798</v>
      </c>
      <c r="AB3861" s="26" t="s">
        <v>798</v>
      </c>
      <c r="AC3861" s="20" t="s">
        <v>798</v>
      </c>
      <c r="AD3861" s="26" t="s">
        <v>798</v>
      </c>
      <c r="AE3861" s="20" t="s">
        <v>798</v>
      </c>
    </row>
    <row r="3862" spans="1:31" ht="8.65" customHeight="1" x14ac:dyDescent="0.2">
      <c r="A3862" s="76">
        <v>3862</v>
      </c>
      <c r="B3862" s="70" t="s">
        <v>9616</v>
      </c>
      <c r="C3862" s="24" t="s">
        <v>9574</v>
      </c>
      <c r="D3862" s="69" t="s">
        <v>798</v>
      </c>
      <c r="E3862" s="71" t="s">
        <v>798</v>
      </c>
      <c r="F3862" s="12" t="s">
        <v>9620</v>
      </c>
      <c r="G3862" s="13" t="s">
        <v>9727</v>
      </c>
      <c r="H3862" s="14" t="s">
        <v>798</v>
      </c>
      <c r="I3862" s="15" t="s">
        <v>798</v>
      </c>
      <c r="J3862" s="14" t="s">
        <v>798</v>
      </c>
      <c r="K3862" s="15" t="s">
        <v>798</v>
      </c>
      <c r="L3862" s="12" t="s">
        <v>800</v>
      </c>
      <c r="M3862" s="13" t="s">
        <v>9617</v>
      </c>
      <c r="N3862" s="19" t="s">
        <v>798</v>
      </c>
      <c r="O3862" s="15" t="s">
        <v>798</v>
      </c>
      <c r="P3862" s="14" t="s">
        <v>798</v>
      </c>
      <c r="Q3862" s="15" t="s">
        <v>798</v>
      </c>
      <c r="R3862" s="14" t="s">
        <v>798</v>
      </c>
      <c r="S3862" s="15" t="s">
        <v>798</v>
      </c>
      <c r="T3862" s="14" t="s">
        <v>798</v>
      </c>
      <c r="U3862" s="15" t="s">
        <v>798</v>
      </c>
      <c r="V3862" s="14" t="s">
        <v>798</v>
      </c>
      <c r="W3862" s="15" t="s">
        <v>798</v>
      </c>
      <c r="X3862" s="14" t="s">
        <v>798</v>
      </c>
      <c r="Y3862" s="15" t="s">
        <v>798</v>
      </c>
      <c r="Z3862" s="26" t="s">
        <v>798</v>
      </c>
      <c r="AA3862" s="20" t="s">
        <v>798</v>
      </c>
      <c r="AB3862" s="26" t="s">
        <v>798</v>
      </c>
      <c r="AC3862" s="20" t="s">
        <v>798</v>
      </c>
      <c r="AD3862" s="26" t="s">
        <v>798</v>
      </c>
      <c r="AE3862" s="20" t="s">
        <v>798</v>
      </c>
    </row>
    <row r="3863" spans="1:31" ht="8.65" customHeight="1" x14ac:dyDescent="0.2">
      <c r="A3863" s="76">
        <v>3863</v>
      </c>
      <c r="B3863" s="70" t="s">
        <v>9610</v>
      </c>
      <c r="C3863" s="24" t="s">
        <v>9574</v>
      </c>
      <c r="D3863" s="69" t="s">
        <v>798</v>
      </c>
      <c r="E3863" s="71" t="s">
        <v>798</v>
      </c>
      <c r="F3863" s="12" t="s">
        <v>9620</v>
      </c>
      <c r="G3863" s="13" t="s">
        <v>9723</v>
      </c>
      <c r="H3863" s="14" t="s">
        <v>798</v>
      </c>
      <c r="I3863" s="15" t="s">
        <v>798</v>
      </c>
      <c r="J3863" s="14" t="s">
        <v>798</v>
      </c>
      <c r="K3863" s="15" t="s">
        <v>798</v>
      </c>
      <c r="L3863" s="12" t="s">
        <v>800</v>
      </c>
      <c r="M3863" s="13" t="s">
        <v>9613</v>
      </c>
      <c r="N3863" s="19" t="s">
        <v>798</v>
      </c>
      <c r="O3863" s="15" t="s">
        <v>798</v>
      </c>
      <c r="P3863" s="14" t="s">
        <v>798</v>
      </c>
      <c r="Q3863" s="15" t="s">
        <v>798</v>
      </c>
      <c r="R3863" s="14" t="s">
        <v>798</v>
      </c>
      <c r="S3863" s="15" t="s">
        <v>798</v>
      </c>
      <c r="T3863" s="14" t="s">
        <v>798</v>
      </c>
      <c r="U3863" s="15" t="s">
        <v>798</v>
      </c>
      <c r="V3863" s="14" t="s">
        <v>798</v>
      </c>
      <c r="W3863" s="15" t="s">
        <v>798</v>
      </c>
      <c r="X3863" s="14" t="s">
        <v>798</v>
      </c>
      <c r="Y3863" s="15" t="s">
        <v>798</v>
      </c>
      <c r="Z3863" s="26" t="s">
        <v>798</v>
      </c>
      <c r="AA3863" s="20" t="s">
        <v>798</v>
      </c>
      <c r="AB3863" s="26" t="s">
        <v>798</v>
      </c>
      <c r="AC3863" s="20" t="s">
        <v>798</v>
      </c>
      <c r="AD3863" s="26" t="s">
        <v>798</v>
      </c>
      <c r="AE3863" s="20" t="s">
        <v>798</v>
      </c>
    </row>
    <row r="3864" spans="1:31" ht="8.65" customHeight="1" x14ac:dyDescent="0.2">
      <c r="A3864" s="76">
        <v>3864</v>
      </c>
      <c r="B3864" s="70" t="s">
        <v>9611</v>
      </c>
      <c r="C3864" s="24" t="s">
        <v>9574</v>
      </c>
      <c r="D3864" s="69" t="s">
        <v>798</v>
      </c>
      <c r="E3864" s="71" t="s">
        <v>798</v>
      </c>
      <c r="F3864" s="12" t="s">
        <v>9620</v>
      </c>
      <c r="G3864" s="13" t="s">
        <v>9722</v>
      </c>
      <c r="H3864" s="14" t="s">
        <v>798</v>
      </c>
      <c r="I3864" s="15" t="s">
        <v>798</v>
      </c>
      <c r="J3864" s="14" t="s">
        <v>798</v>
      </c>
      <c r="K3864" s="15" t="s">
        <v>798</v>
      </c>
      <c r="L3864" s="12" t="s">
        <v>800</v>
      </c>
      <c r="M3864" s="13" t="s">
        <v>9614</v>
      </c>
      <c r="N3864" s="19" t="s">
        <v>798</v>
      </c>
      <c r="O3864" s="15" t="s">
        <v>798</v>
      </c>
      <c r="P3864" s="14" t="s">
        <v>798</v>
      </c>
      <c r="Q3864" s="15" t="s">
        <v>798</v>
      </c>
      <c r="R3864" s="14" t="s">
        <v>798</v>
      </c>
      <c r="S3864" s="15" t="s">
        <v>798</v>
      </c>
      <c r="T3864" s="14" t="s">
        <v>798</v>
      </c>
      <c r="U3864" s="15" t="s">
        <v>798</v>
      </c>
      <c r="V3864" s="14" t="s">
        <v>798</v>
      </c>
      <c r="W3864" s="15" t="s">
        <v>798</v>
      </c>
      <c r="X3864" s="14" t="s">
        <v>798</v>
      </c>
      <c r="Y3864" s="15" t="s">
        <v>798</v>
      </c>
      <c r="Z3864" s="26" t="s">
        <v>798</v>
      </c>
      <c r="AA3864" s="20" t="s">
        <v>798</v>
      </c>
      <c r="AB3864" s="26" t="s">
        <v>798</v>
      </c>
      <c r="AC3864" s="20" t="s">
        <v>798</v>
      </c>
      <c r="AD3864" s="26" t="s">
        <v>798</v>
      </c>
      <c r="AE3864" s="20" t="s">
        <v>798</v>
      </c>
    </row>
    <row r="3865" spans="1:31" ht="8.65" customHeight="1" x14ac:dyDescent="0.2">
      <c r="A3865" s="76">
        <v>3865</v>
      </c>
      <c r="B3865" s="70" t="s">
        <v>9612</v>
      </c>
      <c r="C3865" s="24" t="s">
        <v>9574</v>
      </c>
      <c r="D3865" s="69" t="s">
        <v>798</v>
      </c>
      <c r="E3865" s="71" t="s">
        <v>798</v>
      </c>
      <c r="F3865" s="12" t="s">
        <v>9620</v>
      </c>
      <c r="G3865" s="13" t="s">
        <v>9724</v>
      </c>
      <c r="H3865" s="14" t="s">
        <v>798</v>
      </c>
      <c r="I3865" s="15" t="s">
        <v>798</v>
      </c>
      <c r="J3865" s="14" t="s">
        <v>798</v>
      </c>
      <c r="K3865" s="15" t="s">
        <v>798</v>
      </c>
      <c r="L3865" s="12" t="s">
        <v>800</v>
      </c>
      <c r="M3865" s="13" t="s">
        <v>9615</v>
      </c>
      <c r="N3865" s="19" t="s">
        <v>798</v>
      </c>
      <c r="O3865" s="15" t="s">
        <v>798</v>
      </c>
      <c r="P3865" s="14" t="s">
        <v>798</v>
      </c>
      <c r="Q3865" s="15" t="s">
        <v>798</v>
      </c>
      <c r="R3865" s="14" t="s">
        <v>798</v>
      </c>
      <c r="S3865" s="15" t="s">
        <v>798</v>
      </c>
      <c r="T3865" s="14" t="s">
        <v>798</v>
      </c>
      <c r="U3865" s="15" t="s">
        <v>798</v>
      </c>
      <c r="V3865" s="14" t="s">
        <v>798</v>
      </c>
      <c r="W3865" s="15" t="s">
        <v>798</v>
      </c>
      <c r="X3865" s="14" t="s">
        <v>798</v>
      </c>
      <c r="Y3865" s="15" t="s">
        <v>798</v>
      </c>
      <c r="Z3865" s="26" t="s">
        <v>798</v>
      </c>
      <c r="AA3865" s="20" t="s">
        <v>798</v>
      </c>
      <c r="AB3865" s="26" t="s">
        <v>798</v>
      </c>
      <c r="AC3865" s="20" t="s">
        <v>798</v>
      </c>
      <c r="AD3865" s="26" t="s">
        <v>798</v>
      </c>
      <c r="AE3865" s="20" t="s">
        <v>798</v>
      </c>
    </row>
    <row r="3866" spans="1:31" ht="8.65" customHeight="1" x14ac:dyDescent="0.2">
      <c r="A3866" s="76">
        <v>3866</v>
      </c>
      <c r="B3866" s="70" t="s">
        <v>9662</v>
      </c>
      <c r="C3866" s="24" t="s">
        <v>9574</v>
      </c>
      <c r="D3866" s="69" t="s">
        <v>798</v>
      </c>
      <c r="E3866" s="71" t="s">
        <v>798</v>
      </c>
      <c r="F3866" s="12" t="s">
        <v>9620</v>
      </c>
      <c r="G3866" s="13" t="s">
        <v>9725</v>
      </c>
      <c r="H3866" s="14" t="s">
        <v>798</v>
      </c>
      <c r="I3866" s="15" t="s">
        <v>798</v>
      </c>
      <c r="J3866" s="14" t="s">
        <v>798</v>
      </c>
      <c r="K3866" s="15" t="s">
        <v>798</v>
      </c>
      <c r="L3866" s="12" t="s">
        <v>800</v>
      </c>
      <c r="M3866" s="13" t="s">
        <v>9600</v>
      </c>
      <c r="N3866" s="19" t="s">
        <v>798</v>
      </c>
      <c r="O3866" s="15" t="s">
        <v>798</v>
      </c>
      <c r="P3866" s="14" t="s">
        <v>798</v>
      </c>
      <c r="Q3866" s="15" t="s">
        <v>798</v>
      </c>
      <c r="R3866" s="14" t="s">
        <v>798</v>
      </c>
      <c r="S3866" s="15" t="s">
        <v>798</v>
      </c>
      <c r="T3866" s="14" t="s">
        <v>798</v>
      </c>
      <c r="U3866" s="15" t="s">
        <v>798</v>
      </c>
      <c r="V3866" s="14" t="s">
        <v>798</v>
      </c>
      <c r="W3866" s="15" t="s">
        <v>798</v>
      </c>
      <c r="X3866" s="14" t="s">
        <v>798</v>
      </c>
      <c r="Y3866" s="15" t="s">
        <v>798</v>
      </c>
      <c r="Z3866" s="26" t="s">
        <v>798</v>
      </c>
      <c r="AA3866" s="20" t="s">
        <v>798</v>
      </c>
      <c r="AB3866" s="26" t="s">
        <v>798</v>
      </c>
      <c r="AC3866" s="20" t="s">
        <v>798</v>
      </c>
      <c r="AD3866" s="26" t="s">
        <v>798</v>
      </c>
      <c r="AE3866" s="20" t="s">
        <v>798</v>
      </c>
    </row>
    <row r="3867" spans="1:31" ht="8.65" customHeight="1" x14ac:dyDescent="0.2">
      <c r="A3867" s="76">
        <v>3867</v>
      </c>
      <c r="B3867" s="70" t="s">
        <v>9663</v>
      </c>
      <c r="C3867" s="24" t="s">
        <v>9574</v>
      </c>
      <c r="D3867" s="69" t="s">
        <v>798</v>
      </c>
      <c r="E3867" s="71" t="s">
        <v>798</v>
      </c>
      <c r="F3867" s="12" t="s">
        <v>9620</v>
      </c>
      <c r="G3867" s="13" t="s">
        <v>9726</v>
      </c>
      <c r="H3867" s="14" t="s">
        <v>798</v>
      </c>
      <c r="I3867" s="15" t="s">
        <v>798</v>
      </c>
      <c r="J3867" s="14" t="s">
        <v>798</v>
      </c>
      <c r="K3867" s="15" t="s">
        <v>798</v>
      </c>
      <c r="L3867" s="12" t="s">
        <v>800</v>
      </c>
      <c r="M3867" s="13" t="s">
        <v>9661</v>
      </c>
      <c r="N3867" s="19" t="s">
        <v>798</v>
      </c>
      <c r="O3867" s="15" t="s">
        <v>798</v>
      </c>
      <c r="P3867" s="14" t="s">
        <v>798</v>
      </c>
      <c r="Q3867" s="15" t="s">
        <v>798</v>
      </c>
      <c r="R3867" s="14" t="s">
        <v>798</v>
      </c>
      <c r="S3867" s="15" t="s">
        <v>798</v>
      </c>
      <c r="T3867" s="14" t="s">
        <v>798</v>
      </c>
      <c r="U3867" s="15" t="s">
        <v>798</v>
      </c>
      <c r="V3867" s="14" t="s">
        <v>798</v>
      </c>
      <c r="W3867" s="15" t="s">
        <v>798</v>
      </c>
      <c r="X3867" s="14" t="s">
        <v>798</v>
      </c>
      <c r="Y3867" s="15" t="s">
        <v>798</v>
      </c>
      <c r="Z3867" s="26" t="s">
        <v>798</v>
      </c>
      <c r="AA3867" s="20" t="s">
        <v>798</v>
      </c>
      <c r="AB3867" s="26" t="s">
        <v>798</v>
      </c>
      <c r="AC3867" s="20" t="s">
        <v>798</v>
      </c>
      <c r="AD3867" s="26" t="s">
        <v>798</v>
      </c>
      <c r="AE3867" s="20" t="s">
        <v>798</v>
      </c>
    </row>
    <row r="3868" spans="1:31" ht="8.65" customHeight="1" x14ac:dyDescent="0.2">
      <c r="A3868" s="76">
        <v>3868</v>
      </c>
      <c r="B3868" s="70" t="s">
        <v>9572</v>
      </c>
      <c r="C3868" s="24" t="s">
        <v>9574</v>
      </c>
      <c r="D3868" s="69" t="s">
        <v>798</v>
      </c>
      <c r="E3868" s="71" t="s">
        <v>798</v>
      </c>
      <c r="F3868" s="12" t="s">
        <v>9620</v>
      </c>
      <c r="G3868" s="13" t="s">
        <v>9623</v>
      </c>
      <c r="H3868" s="14" t="s">
        <v>798</v>
      </c>
      <c r="I3868" s="15" t="s">
        <v>798</v>
      </c>
      <c r="J3868" s="14" t="s">
        <v>798</v>
      </c>
      <c r="K3868" s="15" t="s">
        <v>798</v>
      </c>
      <c r="L3868" s="12" t="s">
        <v>800</v>
      </c>
      <c r="M3868" s="13" t="s">
        <v>9601</v>
      </c>
      <c r="N3868" s="19" t="s">
        <v>798</v>
      </c>
      <c r="O3868" s="15" t="s">
        <v>798</v>
      </c>
      <c r="P3868" s="14" t="s">
        <v>798</v>
      </c>
      <c r="Q3868" s="15" t="s">
        <v>798</v>
      </c>
      <c r="R3868" s="14" t="s">
        <v>798</v>
      </c>
      <c r="S3868" s="15" t="s">
        <v>798</v>
      </c>
      <c r="T3868" s="14" t="s">
        <v>798</v>
      </c>
      <c r="U3868" s="15" t="s">
        <v>798</v>
      </c>
      <c r="V3868" s="14" t="s">
        <v>798</v>
      </c>
      <c r="W3868" s="15" t="s">
        <v>798</v>
      </c>
      <c r="X3868" s="14" t="s">
        <v>798</v>
      </c>
      <c r="Y3868" s="15" t="s">
        <v>798</v>
      </c>
      <c r="Z3868" s="26" t="s">
        <v>798</v>
      </c>
      <c r="AA3868" s="20" t="s">
        <v>798</v>
      </c>
      <c r="AB3868" s="26" t="s">
        <v>798</v>
      </c>
      <c r="AC3868" s="20" t="s">
        <v>798</v>
      </c>
      <c r="AD3868" s="26" t="s">
        <v>798</v>
      </c>
      <c r="AE3868" s="20" t="s">
        <v>798</v>
      </c>
    </row>
    <row r="3869" spans="1:31" ht="8.65" customHeight="1" x14ac:dyDescent="0.2">
      <c r="A3869" s="76">
        <v>3869</v>
      </c>
      <c r="B3869" s="70" t="s">
        <v>9573</v>
      </c>
      <c r="C3869" s="24" t="s">
        <v>9574</v>
      </c>
      <c r="D3869" s="69" t="s">
        <v>798</v>
      </c>
      <c r="E3869" s="71" t="s">
        <v>798</v>
      </c>
      <c r="F3869" s="12" t="s">
        <v>9620</v>
      </c>
      <c r="G3869" s="13" t="s">
        <v>9624</v>
      </c>
      <c r="H3869" s="14" t="s">
        <v>798</v>
      </c>
      <c r="I3869" s="15" t="s">
        <v>798</v>
      </c>
      <c r="J3869" s="14" t="s">
        <v>798</v>
      </c>
      <c r="K3869" s="15" t="s">
        <v>798</v>
      </c>
      <c r="L3869" s="12" t="s">
        <v>800</v>
      </c>
      <c r="M3869" s="13" t="s">
        <v>9582</v>
      </c>
      <c r="N3869" s="19" t="s">
        <v>798</v>
      </c>
      <c r="O3869" s="15" t="s">
        <v>798</v>
      </c>
      <c r="P3869" s="14" t="s">
        <v>798</v>
      </c>
      <c r="Q3869" s="15" t="s">
        <v>798</v>
      </c>
      <c r="R3869" s="14" t="s">
        <v>798</v>
      </c>
      <c r="S3869" s="15" t="s">
        <v>798</v>
      </c>
      <c r="T3869" s="14" t="s">
        <v>798</v>
      </c>
      <c r="U3869" s="15" t="s">
        <v>798</v>
      </c>
      <c r="V3869" s="14" t="s">
        <v>798</v>
      </c>
      <c r="W3869" s="15" t="s">
        <v>798</v>
      </c>
      <c r="X3869" s="14" t="s">
        <v>798</v>
      </c>
      <c r="Y3869" s="15" t="s">
        <v>798</v>
      </c>
      <c r="Z3869" s="26" t="s">
        <v>798</v>
      </c>
      <c r="AA3869" s="20" t="s">
        <v>798</v>
      </c>
      <c r="AB3869" s="26" t="s">
        <v>798</v>
      </c>
      <c r="AC3869" s="20" t="s">
        <v>798</v>
      </c>
      <c r="AD3869" s="26" t="s">
        <v>798</v>
      </c>
      <c r="AE3869" s="20" t="s">
        <v>798</v>
      </c>
    </row>
    <row r="3870" spans="1:31" ht="8.65" customHeight="1" x14ac:dyDescent="0.2">
      <c r="A3870" s="76">
        <v>3870</v>
      </c>
      <c r="B3870" s="70" t="s">
        <v>9664</v>
      </c>
      <c r="C3870" s="24" t="s">
        <v>9574</v>
      </c>
      <c r="D3870" s="69" t="s">
        <v>798</v>
      </c>
      <c r="E3870" s="71" t="s">
        <v>798</v>
      </c>
      <c r="F3870" s="12" t="s">
        <v>9620</v>
      </c>
      <c r="G3870" s="13" t="s">
        <v>9669</v>
      </c>
      <c r="H3870" s="14" t="s">
        <v>798</v>
      </c>
      <c r="I3870" s="15" t="s">
        <v>798</v>
      </c>
      <c r="J3870" s="14" t="s">
        <v>798</v>
      </c>
      <c r="K3870" s="15" t="s">
        <v>798</v>
      </c>
      <c r="L3870" s="12" t="s">
        <v>800</v>
      </c>
      <c r="M3870" s="13" t="s">
        <v>9702</v>
      </c>
      <c r="N3870" s="19" t="s">
        <v>798</v>
      </c>
      <c r="O3870" s="15" t="s">
        <v>798</v>
      </c>
      <c r="P3870" s="14" t="s">
        <v>798</v>
      </c>
      <c r="Q3870" s="15" t="s">
        <v>798</v>
      </c>
      <c r="R3870" s="14" t="s">
        <v>798</v>
      </c>
      <c r="S3870" s="15" t="s">
        <v>798</v>
      </c>
      <c r="T3870" s="14" t="s">
        <v>798</v>
      </c>
      <c r="U3870" s="15" t="s">
        <v>798</v>
      </c>
      <c r="V3870" s="14" t="s">
        <v>798</v>
      </c>
      <c r="W3870" s="15" t="s">
        <v>798</v>
      </c>
      <c r="X3870" s="14" t="s">
        <v>798</v>
      </c>
      <c r="Y3870" s="15" t="s">
        <v>798</v>
      </c>
      <c r="Z3870" s="26" t="s">
        <v>798</v>
      </c>
      <c r="AA3870" s="20" t="s">
        <v>798</v>
      </c>
      <c r="AB3870" s="26" t="s">
        <v>798</v>
      </c>
      <c r="AC3870" s="20" t="s">
        <v>798</v>
      </c>
      <c r="AD3870" s="26" t="s">
        <v>798</v>
      </c>
      <c r="AE3870" s="20" t="s">
        <v>798</v>
      </c>
    </row>
    <row r="3871" spans="1:31" ht="8.65" customHeight="1" x14ac:dyDescent="0.2">
      <c r="A3871" s="76">
        <v>3871</v>
      </c>
      <c r="B3871" s="70" t="s">
        <v>9665</v>
      </c>
      <c r="C3871" s="24" t="s">
        <v>9574</v>
      </c>
      <c r="D3871" s="69" t="s">
        <v>798</v>
      </c>
      <c r="E3871" s="71" t="s">
        <v>798</v>
      </c>
      <c r="F3871" s="12" t="s">
        <v>9620</v>
      </c>
      <c r="G3871" s="13" t="s">
        <v>9670</v>
      </c>
      <c r="H3871" s="14" t="s">
        <v>798</v>
      </c>
      <c r="I3871" s="15" t="s">
        <v>798</v>
      </c>
      <c r="J3871" s="14" t="s">
        <v>798</v>
      </c>
      <c r="K3871" s="15" t="s">
        <v>798</v>
      </c>
      <c r="L3871" s="12" t="s">
        <v>800</v>
      </c>
      <c r="M3871" s="13" t="s">
        <v>9701</v>
      </c>
      <c r="N3871" s="19" t="s">
        <v>798</v>
      </c>
      <c r="O3871" s="15" t="s">
        <v>798</v>
      </c>
      <c r="P3871" s="14" t="s">
        <v>798</v>
      </c>
      <c r="Q3871" s="15" t="s">
        <v>798</v>
      </c>
      <c r="R3871" s="14" t="s">
        <v>798</v>
      </c>
      <c r="S3871" s="15" t="s">
        <v>798</v>
      </c>
      <c r="T3871" s="14" t="s">
        <v>798</v>
      </c>
      <c r="U3871" s="15" t="s">
        <v>798</v>
      </c>
      <c r="V3871" s="14" t="s">
        <v>798</v>
      </c>
      <c r="W3871" s="15" t="s">
        <v>798</v>
      </c>
      <c r="X3871" s="14" t="s">
        <v>798</v>
      </c>
      <c r="Y3871" s="15" t="s">
        <v>798</v>
      </c>
      <c r="Z3871" s="26" t="s">
        <v>798</v>
      </c>
      <c r="AA3871" s="20" t="s">
        <v>798</v>
      </c>
      <c r="AB3871" s="26" t="s">
        <v>798</v>
      </c>
      <c r="AC3871" s="20" t="s">
        <v>798</v>
      </c>
      <c r="AD3871" s="26" t="s">
        <v>798</v>
      </c>
      <c r="AE3871" s="20" t="s">
        <v>798</v>
      </c>
    </row>
    <row r="3872" spans="1:31" ht="8.65" customHeight="1" x14ac:dyDescent="0.2">
      <c r="A3872" s="76">
        <v>3872</v>
      </c>
      <c r="B3872" s="70" t="s">
        <v>9666</v>
      </c>
      <c r="C3872" s="24" t="s">
        <v>9574</v>
      </c>
      <c r="D3872" s="69" t="s">
        <v>798</v>
      </c>
      <c r="E3872" s="71" t="s">
        <v>798</v>
      </c>
      <c r="F3872" s="12" t="s">
        <v>9620</v>
      </c>
      <c r="G3872" s="13" t="s">
        <v>9671</v>
      </c>
      <c r="H3872" s="14" t="s">
        <v>798</v>
      </c>
      <c r="I3872" s="15" t="s">
        <v>798</v>
      </c>
      <c r="J3872" s="14" t="s">
        <v>798</v>
      </c>
      <c r="K3872" s="15" t="s">
        <v>798</v>
      </c>
      <c r="L3872" s="12" t="s">
        <v>800</v>
      </c>
      <c r="M3872" s="13" t="s">
        <v>9700</v>
      </c>
      <c r="N3872" s="19" t="s">
        <v>798</v>
      </c>
      <c r="O3872" s="15" t="s">
        <v>798</v>
      </c>
      <c r="P3872" s="14" t="s">
        <v>798</v>
      </c>
      <c r="Q3872" s="15" t="s">
        <v>798</v>
      </c>
      <c r="R3872" s="14" t="s">
        <v>798</v>
      </c>
      <c r="S3872" s="15" t="s">
        <v>798</v>
      </c>
      <c r="T3872" s="14" t="s">
        <v>798</v>
      </c>
      <c r="U3872" s="15" t="s">
        <v>798</v>
      </c>
      <c r="V3872" s="14" t="s">
        <v>798</v>
      </c>
      <c r="W3872" s="15" t="s">
        <v>798</v>
      </c>
      <c r="X3872" s="14" t="s">
        <v>798</v>
      </c>
      <c r="Y3872" s="15" t="s">
        <v>798</v>
      </c>
      <c r="Z3872" s="26" t="s">
        <v>798</v>
      </c>
      <c r="AA3872" s="20" t="s">
        <v>798</v>
      </c>
      <c r="AB3872" s="26" t="s">
        <v>798</v>
      </c>
      <c r="AC3872" s="20" t="s">
        <v>798</v>
      </c>
      <c r="AD3872" s="26" t="s">
        <v>798</v>
      </c>
      <c r="AE3872" s="20" t="s">
        <v>798</v>
      </c>
    </row>
    <row r="3873" spans="1:31" ht="8.65" customHeight="1" x14ac:dyDescent="0.2">
      <c r="A3873" s="76">
        <v>3873</v>
      </c>
      <c r="B3873" s="70" t="s">
        <v>9704</v>
      </c>
      <c r="C3873" s="24" t="s">
        <v>9574</v>
      </c>
      <c r="D3873" s="69" t="s">
        <v>798</v>
      </c>
      <c r="E3873" s="71" t="s">
        <v>798</v>
      </c>
      <c r="F3873" s="12" t="s">
        <v>9620</v>
      </c>
      <c r="G3873" s="13" t="s">
        <v>9706</v>
      </c>
      <c r="H3873" s="14" t="s">
        <v>798</v>
      </c>
      <c r="I3873" s="15" t="s">
        <v>798</v>
      </c>
      <c r="J3873" s="14" t="s">
        <v>798</v>
      </c>
      <c r="K3873" s="15" t="s">
        <v>798</v>
      </c>
      <c r="L3873" s="12" t="s">
        <v>800</v>
      </c>
      <c r="M3873" s="13" t="s">
        <v>9708</v>
      </c>
      <c r="N3873" s="19" t="s">
        <v>798</v>
      </c>
      <c r="O3873" s="15" t="s">
        <v>798</v>
      </c>
      <c r="P3873" s="14" t="s">
        <v>798</v>
      </c>
      <c r="Q3873" s="15" t="s">
        <v>798</v>
      </c>
      <c r="R3873" s="14" t="s">
        <v>798</v>
      </c>
      <c r="S3873" s="15" t="s">
        <v>798</v>
      </c>
      <c r="T3873" s="14" t="s">
        <v>798</v>
      </c>
      <c r="U3873" s="15" t="s">
        <v>798</v>
      </c>
      <c r="V3873" s="14" t="s">
        <v>798</v>
      </c>
      <c r="W3873" s="15" t="s">
        <v>798</v>
      </c>
      <c r="X3873" s="14" t="s">
        <v>798</v>
      </c>
      <c r="Y3873" s="15" t="s">
        <v>798</v>
      </c>
      <c r="Z3873" s="26" t="s">
        <v>798</v>
      </c>
      <c r="AA3873" s="20" t="s">
        <v>798</v>
      </c>
      <c r="AB3873" s="26" t="s">
        <v>798</v>
      </c>
      <c r="AC3873" s="20" t="s">
        <v>798</v>
      </c>
      <c r="AD3873" s="26" t="s">
        <v>798</v>
      </c>
      <c r="AE3873" s="20" t="s">
        <v>798</v>
      </c>
    </row>
    <row r="3874" spans="1:31" ht="8.65" customHeight="1" x14ac:dyDescent="0.2">
      <c r="A3874" s="76">
        <v>3874</v>
      </c>
      <c r="B3874" s="70" t="s">
        <v>9705</v>
      </c>
      <c r="C3874" s="24" t="s">
        <v>9574</v>
      </c>
      <c r="D3874" s="69" t="s">
        <v>798</v>
      </c>
      <c r="E3874" s="71" t="s">
        <v>798</v>
      </c>
      <c r="F3874" s="12" t="s">
        <v>9620</v>
      </c>
      <c r="G3874" s="13" t="s">
        <v>9707</v>
      </c>
      <c r="H3874" s="14" t="s">
        <v>798</v>
      </c>
      <c r="I3874" s="15" t="s">
        <v>798</v>
      </c>
      <c r="J3874" s="14" t="s">
        <v>798</v>
      </c>
      <c r="K3874" s="15" t="s">
        <v>798</v>
      </c>
      <c r="L3874" s="12" t="s">
        <v>800</v>
      </c>
      <c r="M3874" s="13" t="s">
        <v>9700</v>
      </c>
      <c r="N3874" s="19" t="s">
        <v>798</v>
      </c>
      <c r="O3874" s="15" t="s">
        <v>798</v>
      </c>
      <c r="P3874" s="14" t="s">
        <v>798</v>
      </c>
      <c r="Q3874" s="15" t="s">
        <v>798</v>
      </c>
      <c r="R3874" s="14" t="s">
        <v>798</v>
      </c>
      <c r="S3874" s="15" t="s">
        <v>798</v>
      </c>
      <c r="T3874" s="14" t="s">
        <v>798</v>
      </c>
      <c r="U3874" s="15" t="s">
        <v>798</v>
      </c>
      <c r="V3874" s="14" t="s">
        <v>798</v>
      </c>
      <c r="W3874" s="15" t="s">
        <v>798</v>
      </c>
      <c r="X3874" s="14" t="s">
        <v>798</v>
      </c>
      <c r="Y3874" s="15" t="s">
        <v>798</v>
      </c>
      <c r="Z3874" s="26" t="s">
        <v>798</v>
      </c>
      <c r="AA3874" s="20" t="s">
        <v>798</v>
      </c>
      <c r="AB3874" s="26" t="s">
        <v>798</v>
      </c>
      <c r="AC3874" s="20" t="s">
        <v>798</v>
      </c>
      <c r="AD3874" s="26" t="s">
        <v>798</v>
      </c>
      <c r="AE3874" s="20" t="s">
        <v>798</v>
      </c>
    </row>
    <row r="3875" spans="1:31" ht="8.65" customHeight="1" x14ac:dyDescent="0.2">
      <c r="A3875" s="76">
        <v>3875</v>
      </c>
      <c r="B3875" s="70" t="s">
        <v>9579</v>
      </c>
      <c r="C3875" s="24" t="s">
        <v>9574</v>
      </c>
      <c r="D3875" s="69" t="s">
        <v>798</v>
      </c>
      <c r="E3875" s="71" t="s">
        <v>798</v>
      </c>
      <c r="F3875" s="12" t="s">
        <v>9620</v>
      </c>
      <c r="G3875" s="13" t="s">
        <v>9625</v>
      </c>
      <c r="H3875" s="14" t="s">
        <v>798</v>
      </c>
      <c r="I3875" s="15" t="s">
        <v>798</v>
      </c>
      <c r="J3875" s="14" t="s">
        <v>798</v>
      </c>
      <c r="K3875" s="15" t="s">
        <v>798</v>
      </c>
      <c r="L3875" s="12" t="s">
        <v>800</v>
      </c>
      <c r="M3875" s="13" t="s">
        <v>9580</v>
      </c>
      <c r="N3875" s="19" t="s">
        <v>798</v>
      </c>
      <c r="O3875" s="15" t="s">
        <v>798</v>
      </c>
      <c r="P3875" s="14" t="s">
        <v>798</v>
      </c>
      <c r="Q3875" s="15" t="s">
        <v>798</v>
      </c>
      <c r="R3875" s="14" t="s">
        <v>798</v>
      </c>
      <c r="S3875" s="15" t="s">
        <v>798</v>
      </c>
      <c r="T3875" s="14" t="s">
        <v>798</v>
      </c>
      <c r="U3875" s="15" t="s">
        <v>798</v>
      </c>
      <c r="V3875" s="14" t="s">
        <v>798</v>
      </c>
      <c r="W3875" s="15" t="s">
        <v>798</v>
      </c>
      <c r="X3875" s="14" t="s">
        <v>798</v>
      </c>
      <c r="Y3875" s="15" t="s">
        <v>798</v>
      </c>
      <c r="Z3875" s="26" t="s">
        <v>798</v>
      </c>
      <c r="AA3875" s="20" t="s">
        <v>798</v>
      </c>
      <c r="AB3875" s="26" t="s">
        <v>798</v>
      </c>
      <c r="AC3875" s="20" t="s">
        <v>798</v>
      </c>
      <c r="AD3875" s="26" t="s">
        <v>798</v>
      </c>
      <c r="AE3875" s="20" t="s">
        <v>798</v>
      </c>
    </row>
  </sheetData>
  <autoFilter ref="G1:G3875" xr:uid="{A1A30CFA-4A0C-4501-ADBE-B142CC1A7FEB}"/>
  <sortState xmlns:xlrd2="http://schemas.microsoft.com/office/spreadsheetml/2017/richdata2" ref="A2:AE3876">
    <sortCondition ref="A1:A3876"/>
  </sortState>
  <phoneticPr fontId="8" type="noConversion"/>
  <conditionalFormatting sqref="F1 B1:C1">
    <cfRule type="duplicateValues" dxfId="12" priority="24"/>
  </conditionalFormatting>
  <conditionalFormatting sqref="H1">
    <cfRule type="duplicateValues" dxfId="11" priority="18"/>
  </conditionalFormatting>
  <conditionalFormatting sqref="J1">
    <cfRule type="duplicateValues" dxfId="10" priority="17"/>
  </conditionalFormatting>
  <conditionalFormatting sqref="L1">
    <cfRule type="duplicateValues" dxfId="9" priority="16"/>
  </conditionalFormatting>
  <conditionalFormatting sqref="N1">
    <cfRule type="duplicateValues" dxfId="8" priority="15"/>
  </conditionalFormatting>
  <conditionalFormatting sqref="P1">
    <cfRule type="duplicateValues" dxfId="7" priority="14"/>
  </conditionalFormatting>
  <conditionalFormatting sqref="R1">
    <cfRule type="duplicateValues" dxfId="6" priority="13"/>
  </conditionalFormatting>
  <conditionalFormatting sqref="T1">
    <cfRule type="duplicateValues" dxfId="5" priority="12"/>
  </conditionalFormatting>
  <conditionalFormatting sqref="V1">
    <cfRule type="duplicateValues" dxfId="4" priority="11"/>
  </conditionalFormatting>
  <conditionalFormatting sqref="X1">
    <cfRule type="duplicateValues" dxfId="3" priority="7"/>
  </conditionalFormatting>
  <conditionalFormatting sqref="Z1">
    <cfRule type="duplicateValues" dxfId="2" priority="5"/>
  </conditionalFormatting>
  <conditionalFormatting sqref="AB1">
    <cfRule type="duplicateValues" dxfId="1" priority="4"/>
  </conditionalFormatting>
  <conditionalFormatting sqref="AD1">
    <cfRule type="duplicateValues" dxfId="0" priority="3"/>
  </conditionalFormatting>
  <hyperlinks>
    <hyperlink ref="Q2540" r:id="rId1" display="https://standards.buildingsmart.org/IFC/RELEASE/IFC4/ADD2_TC1/HTML/schema/ifcmeasureresource/lexical/ifcwarpingmomentmeasure.htm" xr:uid="{FCD828F2-6540-496E-8085-178F06A77A88}"/>
    <hyperlink ref="Q2494" r:id="rId2" display="https://standards.buildingsmart.org/IFC/RELEASE/IFC4/ADD2_TC1/HTML/schema/ifcmeasureresource/lexical/ifcwarpingconstantmeasure.htm" xr:uid="{ADBE2C6D-1ACE-448E-9021-918A8B4AF8CA}"/>
    <hyperlink ref="Q2564" r:id="rId3" display="https://standards.buildingsmart.org/IFC/RELEASE/IFC4/ADD2_TC1/HTML/schema/ifcmeasureresource/lexical/ifcvolumetricflowratemeasure.htm" xr:uid="{430C1B44-B2F7-4858-82EA-27481B871C3D}"/>
    <hyperlink ref="Q2569" r:id="rId4" display="https://standards.buildingsmart.org/IFC/RELEASE/IFC4/ADD2_TC1/HTML/schema/ifcmeasureresource/lexical/ifcvolumemeasure.htm" xr:uid="{00F8F77E-7D3A-44E4-93C2-EA4BFF01EFE7}"/>
    <hyperlink ref="Q2543" r:id="rId5" display="https://standards.buildingsmart.org/IFC/RELEASE/IFC4/ADD2_TC1/HTML/schema/ifcmeasureresource/lexical/ifcvaporpermeabilitymeasure.htm" xr:uid="{588CD11E-A5E9-4868-9BF5-BF70A18EE383}"/>
    <hyperlink ref="Q2592" r:id="rId6" display="https://standards.buildingsmart.org/IFC/RELEASE/IFC4/ADD2_TC1/HTML/schema/ifcexternalreferenceresource/lexical/ifcurireference.htm" xr:uid="{674F1EAD-3945-4487-9C24-3CA0C82E436C}"/>
    <hyperlink ref="Q2560" r:id="rId7" display="https://standards.buildingsmart.org/IFC/RELEASE/IFC4/ADD2_TC1/HTML/schema/ifcmeasureresource/lexical/ifctorquemeasure.htm" xr:uid="{6665FD9A-49C0-4E55-8960-04DB0321CBDD}"/>
    <hyperlink ref="Q2473" r:id="rId8" display="https://standards.buildingsmart.org/IFC/RELEASE/IFC4/ADD2_TC1/HTML/schema/ifcdatetimeresource/lexical/ifctimestamp.htm" xr:uid="{A3A797AB-E55D-41A1-AD1A-5243004BADCB}"/>
    <hyperlink ref="Q2558" r:id="rId9" display="https://standards.buildingsmart.org/IFC/RELEASE/IFC4/ADD2_TC1/HTML/schema/ifcmeasureresource/lexical/ifctimemeasure.htm" xr:uid="{956E90B4-D80B-4882-A088-A1D8959F3717}"/>
    <hyperlink ref="Q2594" r:id="rId10" display="https://standards.buildingsmart.org/IFC/RELEASE/IFC4/ADD2_TC1/HTML/schema/ifcdatetimeresource/lexical/ifctime.htm" xr:uid="{A5DE680E-4D73-4F11-BF6B-0076B88B4D72}"/>
    <hyperlink ref="Q2557" r:id="rId11" display="https://standards.buildingsmart.org/IFC/RELEASE/IFC4/ADD2_TC1/HTML/schema/ifcmeasureresource/lexical/ifcthermodynamictemperaturemeasure.htm" xr:uid="{0D8E2F28-A9AD-44B6-977A-7914A86AB370}"/>
    <hyperlink ref="Q2561" r:id="rId12" display="https://standards.buildingsmart.org/IFC/RELEASE/IFC4/ADD2_TC1/HTML/schema/ifcmeasureresource/lexical/ifcthermaltransmittancemeasure.htm" xr:uid="{CDFA83C3-0A18-416D-8D86-CE3EF1B1B5AD}"/>
    <hyperlink ref="Q2554" r:id="rId13" display="https://standards.buildingsmart.org/IFC/RELEASE/IFC4/ADD2_TC1/HTML/schema/ifcmeasureresource/lexical/ifcthermalresistancemeasure.htm" xr:uid="{97F7648C-A869-42AF-9743-44A5DF278E13}"/>
    <hyperlink ref="Q2572" r:id="rId14" display="https://standards.buildingsmart.org/IFC/RELEASE/IFC4/ADD2_TC1/HTML/schema/ifcmeasureresource/lexical/ifcthermalexpansioncoefficientmeasure.htm" xr:uid="{A8FFC310-D8E5-4253-92D9-0B2721794D6C}"/>
    <hyperlink ref="Q2514" r:id="rId15" display="https://standards.buildingsmart.org/IFC/RELEASE/IFC4/ADD2_TC1/HTML/schema/ifcmeasureresource/lexical/ifcthermalconductivitymeasure.htm" xr:uid="{F1D0B129-DD94-4D1A-893B-9A25ED3EA1C0}"/>
    <hyperlink ref="Q2499" r:id="rId16" display="https://standards.buildingsmart.org/IFC/RELEASE/IFC4/ADD2_TC1/HTML/schema/ifcmeasureresource/lexical/ifcthermaladmittancemeasure.htm" xr:uid="{F85272E5-ED34-487D-84E8-4E99093CD1E6}"/>
    <hyperlink ref="Q2597" r:id="rId17" display="https://standards.buildingsmart.org/IFC/RELEASE/IFC4/ADD2_TC1/HTML/schema/ifcpresentationappearanceresource/lexical/ifctexttransformation.htm" xr:uid="{53E0268B-469A-4E64-8932-6F2E0F0516DA}"/>
    <hyperlink ref="Q2585" r:id="rId18" display="https://standards.buildingsmart.org/IFC/RELEASE/IFC4/ADD2_TC1/HTML/schema/ifcpresentationappearanceresource/lexical/ifctextfontname.htm" xr:uid="{F2DBDAA7-787A-4DEC-B7B7-8C78426C9373}"/>
    <hyperlink ref="Q2478" r:id="rId19" display="https://standards.buildingsmart.org/IFC/RELEASE/IFC4/ADD2_TC1/HTML/schema/ifcpresentationappearanceresource/lexical/ifctextdecoration.htm" xr:uid="{D32ED334-B7EA-4CF2-9F7E-F597249E6578}"/>
    <hyperlink ref="Q2472" r:id="rId20" display="https://standards.buildingsmart.org/IFC/RELEASE/IFC4/ADD2_TC1/HTML/schema/ifcpresentationappearanceresource/lexical/ifctextalignment.htm" xr:uid="{1B48E39D-6FE9-4E66-92ED-238DA2625D5D}"/>
    <hyperlink ref="Q2596" r:id="rId21" display="https://standards.buildingsmart.org/IFC/RELEASE/IFC4/ADD2_TC1/HTML/schema/ifcmeasureresource/lexical/ifctext.htm" xr:uid="{39E93E8E-8CDB-401B-A346-6E640A834FB6}"/>
    <hyperlink ref="Q2497" r:id="rId22" display="https://standards.buildingsmart.org/IFC/RELEASE/IFC4/ADD2_TC1/HTML/schema/ifcmeasureresource/lexical/ifctemperaturerateofchangemeasure.htm" xr:uid="{3246421B-8CEA-4A4F-A556-BA600B9555A0}"/>
    <hyperlink ref="Q2573" r:id="rId23" display="https://standards.buildingsmart.org/IFC/RELEASE/IFC4/ADD2_TC1/HTML/schema/ifcmeasureresource/lexical/ifctemperaturegradientmeasure.htm" xr:uid="{6D7E688C-5AC0-4242-B043-1AE6F733C404}"/>
    <hyperlink ref="Q2593" r:id="rId24" display="https://standards.buildingsmart.org/IFC/RELEASE/IFC4/ADD2_TC1/HTML/schema/ifcpresentationappearanceresource/lexical/ifcspecularroughness.htm" xr:uid="{9F884437-A6D5-49F9-92A7-198AA2D24C7B}"/>
    <hyperlink ref="Q2482" r:id="rId25" display="https://standards.buildingsmart.org/IFC/RELEASE/IFC4/ADD2_TC1/HTML/schema/ifcpresentationappearanceresource/lexical/ifcspecularexponent.htm" xr:uid="{E392C955-08BF-4743-A404-0FE16858A0DF}"/>
    <hyperlink ref="Q2578" r:id="rId26" display="https://standards.buildingsmart.org/IFC/RELEASE/IFC4/ADD2_TC1/HTML/schema/ifcmeasureresource/lexical/ifcspecificheatcapacitymeasure.htm" xr:uid="{E99A1CE9-E897-4E74-946C-EB1644007FF9}"/>
    <hyperlink ref="Q2548" r:id="rId27" display="https://standards.buildingsmart.org/IFC/RELEASE/IFC4/ADD2_TC1/HTML/schema/ifcmeasureresource/lexical/ifcsoundpressuremeasure.htm" xr:uid="{9C85A371-4BA7-4200-83C4-3DC5E6767FE1}"/>
    <hyperlink ref="Q2542" r:id="rId28" display="https://standards.buildingsmart.org/IFC/RELEASE/IFC4/ADD2_TC1/HTML/schema/ifcmeasureresource/lexical/ifcsoundpressurelevelmeasure.htm" xr:uid="{50F374F9-C0F9-46D2-91CB-44144F827298}"/>
    <hyperlink ref="Q2546" r:id="rId29" display="https://standards.buildingsmart.org/IFC/RELEASE/IFC4/ADD2_TC1/HTML/schema/ifcmeasureresource/lexical/ifcsoundpowermeasure.htm" xr:uid="{B3588BD6-48CC-4C18-8150-36B51CAE3A84}"/>
    <hyperlink ref="Q2493" r:id="rId30" display="https://standards.buildingsmart.org/IFC/RELEASE/IFC4/ADD2_TC1/HTML/schema/ifcmeasureresource/lexical/ifcsoundpowerlevelmeasure.htm" xr:uid="{E44C69F5-E6F5-4A4C-A1E1-05BFBA1F37D6}"/>
    <hyperlink ref="Q2503" r:id="rId31" display="https://standards.buildingsmart.org/IFC/RELEASE/IFC4/ADD2_TC1/HTML/schema/ifcmeasureresource/lexical/ifcsolidanglemeasure.htm" xr:uid="{A53ABA84-6DBD-47E5-B1D4-2C3E7741C991}"/>
    <hyperlink ref="Q2574" r:id="rId32" display="https://standards.buildingsmart.org/IFC/RELEASE/IFC4/ADD2_TC1/HTML/schema/ifcmeasureresource/lexical/ifcshearmodulusmeasure.htm" xr:uid="{3F8E0DE3-D98B-44E9-88B5-299A8A3B6827}"/>
    <hyperlink ref="Q2576" r:id="rId33" display="https://standards.buildingsmart.org/IFC/RELEASE/IFC4/ADD2_TC1/HTML/schema/ifcmeasureresource/lexical/ifcsectionmodulusmeasure.htm" xr:uid="{1F8E3882-3BB6-4BC2-8607-669BD4553146}"/>
    <hyperlink ref="Q2579" r:id="rId34" display="https://standards.buildingsmart.org/IFC/RELEASE/IFC4/ADD2_TC1/HTML/schema/ifcmeasureresource/lexical/ifcsectionalareaintegralmeasure.htm" xr:uid="{0CA8BF23-C903-43B5-833F-C8106117D5CD}"/>
    <hyperlink ref="Q2556" r:id="rId35" display="https://standards.buildingsmart.org/IFC/RELEASE/IFC4/ADD2_TC1/HTML/schema/ifcmeasureresource/lexical/ifcrotationalstiffnessmeasure.htm" xr:uid="{E3DB043C-3B55-43F1-8C94-FD61393D8DB7}"/>
    <hyperlink ref="Q2539" r:id="rId36" display="https://standards.buildingsmart.org/IFC/RELEASE/IFC4/ADD2_TC1/HTML/schema/ifcmeasureresource/lexical/ifcrotationalmassmeasure.htm" xr:uid="{0D2891AA-3B3A-47C7-BBA2-B190B12C0331}"/>
    <hyperlink ref="Q2533" r:id="rId37" display="https://standards.buildingsmart.org/IFC/RELEASE/IFC4/ADD2_TC1/HTML/schema/ifcmeasureresource/lexical/ifcrotationalfrequencymeasure.htm" xr:uid="{185F98D2-038F-48ED-8DE2-4D003F0A553B}"/>
    <hyperlink ref="Q2488" r:id="rId38" display="https://standards.buildingsmart.org/IFC/RELEASE/IFC4/ADD2_TC1/HTML/schema/ifcmeasureresource/lexical/ifcreal.htm" xr:uid="{DF2220AA-1FD6-4486-BC9B-9306AB7C55AA}"/>
    <hyperlink ref="Q2549" r:id="rId39" display="https://standards.buildingsmart.org/IFC/RELEASE/IFC4/ADD2_TC1/HTML/schema/ifcmeasureresource/lexical/ifcratiomeasure.htm" xr:uid="{5F229A30-3812-46F8-B40D-EAC41797D42B}"/>
    <hyperlink ref="Q2505" r:id="rId40" display="https://standards.buildingsmart.org/IFC/RELEASE/IFC4/ADD2_TC1/HTML/schema/ifcmeasureresource/lexical/ifcradioactivitymeasure.htm" xr:uid="{859F3AEE-DF3F-4E49-B0FD-0F220309F90A}"/>
    <hyperlink ref="Q2474" r:id="rId41" display="https://standards.buildingsmart.org/IFC/RELEASE/IFC4/ADD2_TC1/HTML/schema/ifckernel/lexical/ifcpropertysetdefinitionset.htm" xr:uid="{9ABA6287-3AF2-4AA1-80FA-754ECF16D888}"/>
    <hyperlink ref="Q2547" r:id="rId42" display="https://standards.buildingsmart.org/IFC/RELEASE/IFC4/ADD2_TC1/HTML/schema/ifcmeasureresource/lexical/ifcpressuremeasure.htm" xr:uid="{C3B6D233-BE8E-4614-A4B1-52786113FD62}"/>
    <hyperlink ref="Q2595" r:id="rId43" display="https://standards.buildingsmart.org/IFC/RELEASE/IFC4/ADD2_TC1/HTML/schema/ifcpresentationappearanceresource/lexical/ifcpresentabletext.htm" xr:uid="{159EFB43-A13D-4CE4-91D5-0922727FE39C}"/>
    <hyperlink ref="Q2545" r:id="rId44" display="https://standards.buildingsmart.org/IFC/RELEASE/IFC4/ADD2_TC1/HTML/schema/ifcmeasureresource/lexical/ifcpowermeasure.htm" xr:uid="{5D1615F4-DD69-4D80-BE26-7556F2E095F7}"/>
    <hyperlink ref="Q2551" r:id="rId45" display="https://standards.buildingsmart.org/IFC/RELEASE/IFC4/ADD2_TC1/HTML/schema/ifcmeasureresource/lexical/ifcpositiveratiomeasure.htm" xr:uid="{74CDEF8F-0084-4725-921F-029DADBDEFDE}"/>
    <hyperlink ref="Q2502" r:id="rId46" display="https://standards.buildingsmart.org/IFC/RELEASE/IFC4/ADD2_TC1/HTML/schema/ifcmeasureresource/lexical/ifcpositiveplaneanglemeasure.htm" xr:uid="{9A8E1B53-BC56-4F31-BCCA-945A35FECF63}"/>
    <hyperlink ref="Q2511" r:id="rId47" display="https://standards.buildingsmart.org/IFC/RELEASE/IFC4/ADD2_TC1/HTML/schema/ifcmeasureresource/lexical/ifcpositivelengthmeasure.htm" xr:uid="{48F8D7CC-3A1B-41A9-A22D-9E5F86A9D9C4}"/>
    <hyperlink ref="Q2492" r:id="rId48" display="https://standards.buildingsmart.org/IFC/RELEASE/IFC4/ADD2_TC1/HTML/schema/ifcmeasureresource/lexical/ifcpositiveinteger.htm" xr:uid="{38DE2C72-DFAD-40F0-82A9-FBF736636180}"/>
    <hyperlink ref="Q2501" r:id="rId49" display="https://standards.buildingsmart.org/IFC/RELEASE/IFC4/ADD2_TC1/HTML/schema/ifcmeasureresource/lexical/ifcplaneanglemeasure.htm" xr:uid="{D30929FE-47AF-469E-A87D-2D54C6106063}"/>
    <hyperlink ref="Q2531" r:id="rId50" display="https://standards.buildingsmart.org/IFC/RELEASE/IFC4/ADD2_TC1/HTML/schema/ifcmeasureresource/lexical/ifcplanarforcemeasure.htm" xr:uid="{0C39BBC8-FE7E-4236-BF8F-10358F84F0B2}"/>
    <hyperlink ref="Q2582" r:id="rId51" display="https://standards.buildingsmart.org/IFC/RELEASE/IFC4/ADD2_TC1/HTML/schema/ifcmeasureresource/lexical/ifcphmeasure.htm" xr:uid="{08A17988-EDD7-425A-9B64-121BD529C582}"/>
    <hyperlink ref="Q2599" r:id="rId52" display="https://standards.buildingsmart.org/IFC/RELEASE/IFC4/ADD2_TC1/HTML/schema/ifcmeasureresource/lexical/ifcparametervalue.htm" xr:uid="{C37D7BFB-090F-4AEA-BC32-0BC1DCCC3E0E}"/>
    <hyperlink ref="Q2581" r:id="rId53" display="https://standards.buildingsmart.org/IFC/RELEASE/IFC4/ADD2_TC1/HTML/schema/ifcmeasureresource/lexical/ifcnumericmeasure.htm" xr:uid="{01E463A6-2CF7-4235-BBBD-FD071C3A3F62}"/>
    <hyperlink ref="Q2550" r:id="rId54" display="https://standards.buildingsmart.org/IFC/RELEASE/IFC4/ADD2_TC1/HTML/schema/ifcmeasureresource/lexical/ifcnormalisedratiomeasure.htm" xr:uid="{6AB36C7E-3E17-4A80-9818-8038E02ED903}"/>
    <hyperlink ref="Q2510" r:id="rId55" display="https://standards.buildingsmart.org/IFC/RELEASE/IFC4/ADD2_TC1/HTML/schema/ifcmeasureresource/lexical/ifcnonnegativelengthmeasure.htm" xr:uid="{AF77863D-B9EA-4837-9B8A-F0E3DC01B37F}"/>
    <hyperlink ref="Q2587" r:id="rId56" display="https://standards.buildingsmart.org/IFC/RELEASE/IFC4/ADD2_TC1/HTML/schema/ifcdatetimeresource/lexical/ifcmonthinyearnumber.htm" xr:uid="{79CF7BE3-7A8C-42DD-9597-3397F80849F6}"/>
    <hyperlink ref="Q2580" r:id="rId57" display="https://standards.buildingsmart.org/IFC/RELEASE/IFC4/ADD2_TC1/HTML/schema/ifcmeasureresource/lexical/ifcmonetarymeasure.htm" xr:uid="{05D5EAA4-580A-4A82-9280-8AF109CE8CD4}"/>
    <hyperlink ref="Q2577" r:id="rId58" display="https://standards.buildingsmart.org/IFC/RELEASE/IFC4/ADD2_TC1/HTML/schema/ifcmeasureresource/lexical/ifcmomentofinertiameasure.htm" xr:uid="{8B848C5C-96B3-4C20-A226-469D49FFD63D}"/>
    <hyperlink ref="Q2544" r:id="rId59" display="https://standards.buildingsmart.org/IFC/RELEASE/IFC4/ADD2_TC1/HTML/schema/ifcmeasureresource/lexical/ifcmolecularweightmeasure.htm" xr:uid="{8AAEB8DD-F0F8-45CE-933A-B932FC827D6C}"/>
    <hyperlink ref="Q2522" r:id="rId60" display="https://standards.buildingsmart.org/IFC/RELEASE/IFC4/ADD2_TC1/HTML/schema/ifcmeasureresource/lexical/ifcmoisturediffusivitymeasure.htm" xr:uid="{BEC31D83-97EB-45AF-92E2-5BBA6A1F8DE6}"/>
    <hyperlink ref="Q2552" r:id="rId61" display="https://standards.buildingsmart.org/IFC/RELEASE/IFC4/ADD2_TC1/HTML/schema/ifcmeasureresource/lexical/ifcmodulusofsubgradereactionmeasure.htm" xr:uid="{65199890-5133-4148-AADE-DCC86F8A937D}"/>
    <hyperlink ref="Q2584" r:id="rId62" display="https://standards.buildingsmart.org/IFC/RELEASE/IFC4/ADD2_TC1/HTML/schema/ifcmeasureresource/lexical/ifcmodulusofrotationalsubgradereactionmeasure.htm" xr:uid="{6908B1E5-5B7F-408C-802C-3CDFD761C554}"/>
    <hyperlink ref="Q2583" r:id="rId63" display="https://standards.buildingsmart.org/IFC/RELEASE/IFC4/ADD2_TC1/HTML/schema/ifcmeasureresource/lexical/ifcmodulusoflinearsubgradereactionmeasure.htm" xr:uid="{FD7DE861-787E-4646-92F5-AF17BC5676FC}"/>
    <hyperlink ref="Q2575" r:id="rId64" display="https://standards.buildingsmart.org/IFC/RELEASE/IFC4/ADD2_TC1/HTML/schema/ifcmeasureresource/lexical/ifcmodulusofelasticitymeasure.htm" xr:uid="{53E0CC1C-0047-433E-830A-00AADCA8F290}"/>
    <hyperlink ref="Q2538" r:id="rId65" display="https://standards.buildingsmart.org/IFC/RELEASE/IFC4/ADD2_TC1/HTML/schema/ifcmeasureresource/lexical/ifcmassperlengthmeasure.htm" xr:uid="{BFD47449-3E5A-41E1-BC0C-50F7D2575C15}"/>
    <hyperlink ref="Q2537" r:id="rId66" display="https://standards.buildingsmart.org/IFC/RELEASE/IFC4/ADD2_TC1/HTML/schema/ifcmeasureresource/lexical/ifcmassmeasure.htm" xr:uid="{1DE64B18-C332-4BA3-A9EC-A80AC6353E9A}"/>
    <hyperlink ref="Q2563" r:id="rId67" display="https://standards.buildingsmart.org/IFC/RELEASE/IFC4/ADD2_TC1/HTML/schema/ifcmeasureresource/lexical/ifcmassflowratemeasure.htm" xr:uid="{165CC684-C40C-4679-85C5-B13446A5F75F}"/>
    <hyperlink ref="Q2521" r:id="rId68" display="https://standards.buildingsmart.org/IFC/RELEASE/IFC4/ADD2_TC1/HTML/schema/ifcmeasureresource/lexical/ifcmassdensitymeasure.htm" xr:uid="{C2CE98A1-A466-4099-8C15-6970510360B0}"/>
    <hyperlink ref="Q2528" r:id="rId69" display="https://standards.buildingsmart.org/IFC/RELEASE/IFC4/ADD2_TC1/HTML/schema/ifcmeasureresource/lexical/ifcmagneticfluxmeasure.htm" xr:uid="{96118421-6331-4653-9C07-A098543C9008}"/>
    <hyperlink ref="Q2520" r:id="rId70" display="https://standards.buildingsmart.org/IFC/RELEASE/IFC4/ADD2_TC1/HTML/schema/ifcmeasureresource/lexical/ifcmagneticfluxdensitymeasure.htm" xr:uid="{2EC1DDF3-7636-450E-B285-027F91506FC2}"/>
    <hyperlink ref="Q2536" r:id="rId71" display="https://standards.buildingsmart.org/IFC/RELEASE/IFC4/ADD2_TC1/HTML/schema/ifcmeasureresource/lexical/ifcluminousintensitymeasure.htm" xr:uid="{C0CEB674-E58D-47FB-A818-687A2BDE205B}"/>
    <hyperlink ref="Q2523" r:id="rId72" display="https://standards.buildingsmart.org/IFC/RELEASE/IFC4/ADD2_TC1/HTML/schema/ifcmeasureresource/lexical/ifcluminousintensitydistributionmeasure.htm" xr:uid="{C2F05D6C-C544-4330-907C-918A22A35910}"/>
    <hyperlink ref="Q2527" r:id="rId73" display="https://standards.buildingsmart.org/IFC/RELEASE/IFC4/ADD2_TC1/HTML/schema/ifcmeasureresource/lexical/ifcluminousfluxmeasure.htm" xr:uid="{1CA26B2A-0259-4895-9909-2B1F175306BD}"/>
    <hyperlink ref="Q2487" r:id="rId74" display="https://standards.buildingsmart.org/IFC/RELEASE/IFC4/ADD2_TC1/HTML/schema/ifcmeasureresource/lexical/ifclogical.htm" xr:uid="{286AAE95-319F-40F6-8A6C-EA5005AB28C2}"/>
    <hyperlink ref="Q2490" r:id="rId75" display="https://standards.buildingsmart.org/IFC/RELEASE/IFC4/ADD2_TC1/HTML/schema/ifcgeometryresource/lexical/ifclineindex.htm" xr:uid="{1B02135A-4B9C-4672-AAE7-C78DF3396EAA}"/>
    <hyperlink ref="Q2566" r:id="rId76" display="https://standards.buildingsmart.org/IFC/RELEASE/IFC4/ADD2_TC1/HTML/schema/ifcmeasureresource/lexical/ifclinearvelocitymeasure.htm" xr:uid="{A18AF37F-9E83-4140-A5AB-F5CA559A005D}"/>
    <hyperlink ref="Q2555" r:id="rId77" display="https://standards.buildingsmart.org/IFC/RELEASE/IFC4/ADD2_TC1/HTML/schema/ifcmeasureresource/lexical/ifclinearstiffnessmeasure.htm" xr:uid="{1898441C-4B10-4F24-BA09-6D1C03F6CA7D}"/>
    <hyperlink ref="Q2541" r:id="rId78" display="https://standards.buildingsmart.org/IFC/RELEASE/IFC4/ADD2_TC1/HTML/schema/ifcmeasureresource/lexical/ifclinearmomentmeasure.htm" xr:uid="{DF3D59FA-815F-4E58-B921-7AD012551BC1}"/>
    <hyperlink ref="Q2530" r:id="rId79" display="https://standards.buildingsmart.org/IFC/RELEASE/IFC4/ADD2_TC1/HTML/schema/ifcmeasureresource/lexical/ifclinearforcemeasure.htm" xr:uid="{C7ADA541-838A-4904-A741-901E653C49F3}"/>
    <hyperlink ref="Q2509" r:id="rId80" display="https://standards.buildingsmart.org/IFC/RELEASE/IFC4/ADD2_TC1/HTML/schema/ifcmeasureresource/lexical/ifclengthmeasure.htm" xr:uid="{B5E410DB-0068-4C75-A373-BFF0606025B5}"/>
    <hyperlink ref="Q2483" r:id="rId81" display="https://standards.buildingsmart.org/IFC/RELEASE/IFC4/ADD2_TC1/HTML/schema/ifcexternalreferenceresource/lexical/ifclanguageid.htm" xr:uid="{E68EA13E-93EC-4485-A41D-3142B8B61FF9}"/>
    <hyperlink ref="Q2480" r:id="rId82" display="https://standards.buildingsmart.org/IFC/RELEASE/IFC4/ADD2_TC1/HTML/schema/ifcmeasureresource/lexical/ifclabel.htm" xr:uid="{FEAD5A26-25FA-4B8B-8356-D71051E2AA98}"/>
    <hyperlink ref="Q2567" r:id="rId83" display="https://standards.buildingsmart.org/IFC/RELEASE/IFC4/ADD2_TC1/HTML/schema/ifcmeasureresource/lexical/ifckinematicviscositymeasure.htm" xr:uid="{582A0F08-D416-49F9-BD96-DC071382EDCE}"/>
    <hyperlink ref="Q2506" r:id="rId84" display="https://standards.buildingsmart.org/IFC/RELEASE/IFC4/ADD2_TC1/HTML/schema/ifcmeasureresource/lexical/ifcisothermalmoisturecapacitymeasure.htm" xr:uid="{AC358E20-125C-4AE6-923D-C41C4BD25542}"/>
    <hyperlink ref="Q2512" r:id="rId85" display="https://standards.buildingsmart.org/IFC/RELEASE/IFC4/ADD2_TC1/HTML/schema/ifcmeasureresource/lexical/ifcionconcentrationmeasure.htm" xr:uid="{C4E5B017-7FBA-4BA4-A739-12484EA384A3}"/>
    <hyperlink ref="Q2496" r:id="rId86" display="https://standards.buildingsmart.org/IFC/RELEASE/IFC4/ADD2_TC1/HTML/schema/ifcmeasureresource/lexical/ifcintegercountratemeasure.htm" xr:uid="{2D7FC511-7B23-4F5A-9AA0-C1D820E45B26}"/>
    <hyperlink ref="Q2491" r:id="rId87" display="https://standards.buildingsmart.org/IFC/RELEASE/IFC4/ADD2_TC1/HTML/schema/ifcmeasureresource/lexical/ifcinteger.htm" xr:uid="{4B5B5595-7CE1-451B-BD6B-690724A0302E}"/>
    <hyperlink ref="Q2535" r:id="rId88" display="https://standards.buildingsmart.org/IFC/RELEASE/IFC4/ADD2_TC1/HTML/schema/ifcmeasureresource/lexical/ifcinductancemeasure.htm" xr:uid="{B441FB5B-9873-4E49-A9DA-78AA89362B26}"/>
    <hyperlink ref="Q2534" r:id="rId89" display="https://standards.buildingsmart.org/IFC/RELEASE/IFC4/ADD2_TC1/HTML/schema/ifcmeasureresource/lexical/ifcilluminancemeasure.htm" xr:uid="{5A79205E-CE57-4C04-A729-7B805654C9D4}"/>
    <hyperlink ref="Q2485" r:id="rId90" display="https://standards.buildingsmart.org/IFC/RELEASE/IFC4/ADD2_TC1/HTML/schema/ifcmeasureresource/lexical/ifcidentifier.htm" xr:uid="{7728092E-E940-48CE-A015-8962F8A72236}"/>
    <hyperlink ref="Q2562" r:id="rId91" display="https://standards.buildingsmart.org/IFC/RELEASE/IFC4/ADD2_TC1/HTML/schema/ifcmeasureresource/lexical/ifcheatingvaluemeasure.htm" xr:uid="{D96E5340-D99E-4582-A418-E1A9C8F78D82}"/>
    <hyperlink ref="Q2519" r:id="rId92" display="https://standards.buildingsmart.org/IFC/RELEASE/IFC4/ADD2_TC1/HTML/schema/ifcmeasureresource/lexical/ifcheatfluxdensitymeasure.htm" xr:uid="{C6C3FD2C-E935-4804-A835-A02B1948BB6A}"/>
    <hyperlink ref="Q2484" r:id="rId93" display="https://standards.buildingsmart.org/IFC/RELEASE/IFC4/ADD2_TC1/HTML/schema/ifcutilityresource/lexical/ifcgloballyuniqueid.htm" xr:uid="{83EEF51D-C212-4D54-AA44-E352F573FBDE}"/>
    <hyperlink ref="Q2532" r:id="rId94" display="https://standards.buildingsmart.org/IFC/RELEASE/IFC4/ADD2_TC1/HTML/schema/ifcmeasureresource/lexical/ifcfrequencymeasure.htm" xr:uid="{452A8E65-6095-46BD-A75F-219EC5FDC551}"/>
    <hyperlink ref="Q2529" r:id="rId95" display="https://standards.buildingsmart.org/IFC/RELEASE/IFC4/ADD2_TC1/HTML/schema/ifcmeasureresource/lexical/ifcforcemeasure.htm" xr:uid="{A51A3C96-4AEF-43C3-A95E-D033D9409702}"/>
    <hyperlink ref="Q2590" r:id="rId96" display="https://standards.buildingsmart.org/IFC/RELEASE/IFC4/ADD2_TC1/HTML/schema/ifcpresentationappearanceresource/lexical/ifcfontweight.htm" xr:uid="{AE8B773C-C765-477B-B965-C4EA2555D96D}"/>
    <hyperlink ref="Q2600" r:id="rId97" display="https://standards.buildingsmart.org/IFC/RELEASE/IFC4/ADD2_TC1/HTML/schema/ifcpresentationappearanceresource/lexical/ifcfontvariant.htm" xr:uid="{B16FE590-A00A-45F5-BCA9-62FA8882B5DA}"/>
    <hyperlink ref="Q2481" r:id="rId98" display="https://standards.buildingsmart.org/IFC/RELEASE/IFC4/ADD2_TC1/HTML/schema/ifcpresentationappearanceresource/lexical/ifcfontstyle.htm" xr:uid="{D7FE75E0-363E-44C6-A0C4-834B84A3ECEF}"/>
    <hyperlink ref="Q2526" r:id="rId99" display="https://standards.buildingsmart.org/IFC/RELEASE/IFC4/ADD2_TC1/HTML/schema/ifcmeasureresource/lexical/ifcenergymeasure.htm" xr:uid="{9CC3EF1F-302C-4726-8134-4A9EF93A24F7}"/>
    <hyperlink ref="Q2559" r:id="rId100" display="https://standards.buildingsmart.org/IFC/RELEASE/IFC4/ADD2_TC1/HTML/schema/ifcmeasureresource/lexical/ifcelectricvoltagemeasure.htm" xr:uid="{3B7445E2-11DD-4054-8536-6FF96CDBB74F}"/>
    <hyperlink ref="Q2553" r:id="rId101" display="https://standards.buildingsmart.org/IFC/RELEASE/IFC4/ADD2_TC1/HTML/schema/ifcmeasureresource/lexical/ifcelectricresistancemeasure.htm" xr:uid="{FCE56105-30C0-463A-9155-EB8C3BC80439}"/>
    <hyperlink ref="Q2516" r:id="rId102" display="https://standards.buildingsmart.org/IFC/RELEASE/IFC4/ADD2_TC1/HTML/schema/ifcmeasureresource/lexical/ifcelectriccurrentmeasure.htm" xr:uid="{7FB4104E-BC80-4985-BF71-D96D06EC0639}"/>
    <hyperlink ref="Q2513" r:id="rId103" display="https://standards.buildingsmart.org/IFC/RELEASE/IFC4/ADD2_TC1/HTML/schema/ifcmeasureresource/lexical/ifcelectricconductancemeasure.htm" xr:uid="{D25C1DD3-C365-4F29-A71E-9FD40F6CEB1C}"/>
    <hyperlink ref="Q2508" r:id="rId104" display="https://standards.buildingsmart.org/IFC/RELEASE/IFC4/ADD2_TC1/HTML/schema/ifcmeasureresource/lexical/ifcelectricchargemeasure.htm" xr:uid="{AD62CC86-614C-4389-82EA-CFC4A81F597D}"/>
    <hyperlink ref="Q2507" r:id="rId105" display="https://standards.buildingsmart.org/IFC/RELEASE/IFC4/ADD2_TC1/HTML/schema/ifcmeasureresource/lexical/ifcelectriccapacitancemeasure.htm" xr:uid="{0C5CC992-DB82-45F5-8EA8-8D07F6F93452}"/>
    <hyperlink ref="Q2568" r:id="rId106" display="https://standards.buildingsmart.org/IFC/RELEASE/IFC4/ADD2_TC1/HTML/schema/ifcmeasureresource/lexical/ifcdynamicviscositymeasure.htm" xr:uid="{8067E3A6-93B3-4C2C-99AA-101E94E6974C}"/>
    <hyperlink ref="Q2479" r:id="rId107" display="https://standards.buildingsmart.org/IFC/RELEASE/IFC4/ADD2_TC1/HTML/schema/ifcdatetimeresource/lexical/ifcduration.htm" xr:uid="{D4807482-4846-4487-AD76-D4C6ADB84150}"/>
    <hyperlink ref="Q2525" r:id="rId108" display="https://standards.buildingsmart.org/IFC/RELEASE/IFC4/ADD2_TC1/HTML/schema/ifcmeasureresource/lexical/ifcdoseequivalentmeasure.htm" xr:uid="{319CDB28-8186-482D-A27F-760465EA6BA0}"/>
    <hyperlink ref="Q2475" r:id="rId109" display="https://standards.buildingsmart.org/IFC/RELEASE/IFC4/ADD2_TC1/HTML/schema/ifcgeometryresource/lexical/ifcdimensioncount.htm" xr:uid="{6B1B1449-08CF-4983-A271-2C9401974549}"/>
    <hyperlink ref="Q2571" r:id="rId110" display="https://standards.buildingsmart.org/IFC/RELEASE/IFC4/ADD2_TC1/HTML/schema/ifcmeasureresource/lexical/ifcdescriptivemeasure.htm" xr:uid="{FDFF9C68-FBE1-4A9F-973B-7CF5D9B37B1B}"/>
    <hyperlink ref="Q2588" r:id="rId111" display="https://standards.buildingsmart.org/IFC/RELEASE/IFC4/ADD2_TC1/HTML/schema/ifcdatetimeresource/lexical/ifcdayinweeknumber.htm" xr:uid="{496B3B61-5FF5-4496-AA2B-116B7018A1E6}"/>
    <hyperlink ref="Q2589" r:id="rId112" display="https://standards.buildingsmart.org/IFC/RELEASE/IFC4/ADD2_TC1/HTML/schema/ifcdatetimeresource/lexical/ifcdayinmonthnumber.htm" xr:uid="{01F6607A-A09A-4CB4-9D02-040D268D3708}"/>
    <hyperlink ref="Q2477" r:id="rId113" display="https://standards.buildingsmart.org/IFC/RELEASE/IFC4/ADD2_TC1/HTML/schema/ifcdatetimeresource/lexical/ifcdatetime.htm" xr:uid="{200D4113-859D-4C40-93A8-45F9963B7D4D}"/>
    <hyperlink ref="Q2476" r:id="rId114" display="https://standards.buildingsmart.org/IFC/RELEASE/IFC4/ADD2_TC1/HTML/schema/ifcdatetimeresource/lexical/ifcdate.htm" xr:uid="{34FA7143-C7FD-4423-9AB2-8F6C6AFCB4F1}"/>
    <hyperlink ref="Q2517" r:id="rId115" display="https://standards.buildingsmart.org/IFC/RELEASE/IFC4/ADD2_TC1/HTML/schema/ifcmeasureresource/lexical/ifccurvaturemeasure.htm" xr:uid="{6D5C2D4E-3EE1-44B1-A602-BB206827C48F}"/>
    <hyperlink ref="Q2515" r:id="rId116" display="https://standards.buildingsmart.org/IFC/RELEASE/IFC4/ADD2_TC1/HTML/schema/ifcmeasureresource/lexical/ifccountmeasure.htm" xr:uid="{4AC6625C-224E-40D5-A73C-B5E79344024B}"/>
    <hyperlink ref="Q2570" r:id="rId117" display="https://standards.buildingsmart.org/IFC/RELEASE/IFC4/ADD2_TC1/HTML/schema/ifcmeasureresource/lexical/ifccontextdependentmeasure.htm" xr:uid="{DEE674BF-BDB2-41B1-AB20-C754EAD4CE8F}"/>
    <hyperlink ref="Q2500" r:id="rId118" display="https://standards.buildingsmart.org/IFC/RELEASE/IFC4/ADD2_TC1/HTML/schema/ifcmeasureresource/lexical/ifccompoundplaneanglemeasure.htm" xr:uid="{5020ECB0-69D0-4BAF-AAE6-0B04B2455033}"/>
    <hyperlink ref="Q2591" r:id="rId119" display="https://standards.buildingsmart.org/IFC/RELEASE/IFC4/ADD2_TC1/HTML/schema/ifcmaterialresource/lexical/ifccardinalpointreference.htm" xr:uid="{C3314B23-0D50-4404-8DD9-9E0BA5D953AF}"/>
    <hyperlink ref="Q2486" r:id="rId120" display="https://standards.buildingsmart.org/IFC/RELEASE/IFC4/ADD2_TC1/HTML/schema/ifcmeasureresource/lexical/ifcboolean.htm" xr:uid="{41A1C7FB-49B9-4D80-BB40-6E8B3D11BFFB}"/>
    <hyperlink ref="Q2598" r:id="rId121" display="https://standards.buildingsmart.org/IFC/RELEASE/IFC4/ADD2_TC1/HTML/schema/ifcmeasureresource/lexical/ifcbinary.htm" xr:uid="{27D51BF9-EDF3-4D62-9116-C454EDB20D10}"/>
    <hyperlink ref="Q2504" r:id="rId122" display="https://standards.buildingsmart.org/IFC/RELEASE/IFC4/ADD2_TC1/HTML/schema/ifcmeasureresource/lexical/ifcareameasure.htm" xr:uid="{C0E5D354-52DB-4E6E-8A92-62F3B843AA15}"/>
    <hyperlink ref="Q2518" r:id="rId123" display="https://standards.buildingsmart.org/IFC/RELEASE/IFC4/ADD2_TC1/HTML/schema/ifcmeasureresource/lexical/ifcareadensitymeasure.htm" xr:uid="{555B1FA3-7F58-4DCE-8E25-862D13CD391A}"/>
    <hyperlink ref="Q2489" r:id="rId124" display="https://standards.buildingsmart.org/IFC/RELEASE/IFC4/ADD2_TC1/HTML/schema/ifcgeometryresource/lexical/ifcarcindex.htm" xr:uid="{DE4B2F96-D2D4-4D1E-B954-C7786AD6CC90}"/>
    <hyperlink ref="Q2565" r:id="rId125" display="https://standards.buildingsmart.org/IFC/RELEASE/IFC4/ADD2_TC1/HTML/schema/ifcmeasureresource/lexical/ifcangularvelocitymeasure.htm" xr:uid="{541230E3-92A9-4DD9-9954-EDA7928EF136}"/>
    <hyperlink ref="Q2495" r:id="rId126" display="https://standards.buildingsmart.org/IFC/RELEASE/IFC4/ADD2_TC1/HTML/schema/ifcmeasureresource/lexical/ifcamountofsubstancemeasure.htm" xr:uid="{4A670E61-AEB9-47BE-8E02-0026E88AF83A}"/>
    <hyperlink ref="Q2498" r:id="rId127" display="https://standards.buildingsmart.org/IFC/RELEASE/IFC4/ADD2_TC1/HTML/schema/ifcmeasureresource/lexical/ifcaccelerationmeasure.htm" xr:uid="{8413E806-2171-4E05-8AFF-73B1BB1E5FA9}"/>
    <hyperlink ref="Q2524" r:id="rId128" display="https://standards.buildingsmart.org/IFC/RELEASE/IFC4/ADD2_TC1/HTML/schema/ifcmeasureresource/lexical/ifcabsorbeddosemeasure.htm" xr:uid="{04BDAAEA-A2DF-4EE2-B3E3-DC25765575FF}"/>
    <hyperlink ref="Q2782" r:id="rId129" display="https://standards.buildingsmart.org/IFC/RELEASE/IFC4/ADD2_TC1/HTML/schema/ifcsharedmgmtelements/lexical/ifcactionrequesttypeenum.htm" xr:uid="{B19550D9-2CE9-4C36-900B-D5C8A7CF43ED}"/>
    <hyperlink ref="Q2731" r:id="rId130" display="https://standards.buildingsmart.org/IFC/RELEASE/IFC4/ADD2_TC1/HTML/schema/ifcstructuralanalysisdomain/lexical/ifcactionsourcetypeenum.htm" xr:uid="{A3522C9F-C761-48C2-8094-E05FDCC96937}"/>
    <hyperlink ref="Q2601" r:id="rId131" display="https://standards.buildingsmart.org/IFC/RELEASE/IFC4/ADD2_TC1/HTML/schema/ifcstructuralanalysisdomain/lexical/ifcactiontypeenum.htm" xr:uid="{DDA728DE-0FC2-4185-9FB9-532155616ACF}"/>
    <hyperlink ref="Q2613" r:id="rId132" display="https://standards.buildingsmart.org/IFC/RELEASE/IFC4/ADD2_TC1/HTML/schema/ifcbuildingcontrolsdomain/lexical/ifcactuatortypeenum.htm" xr:uid="{55360852-C5C7-4443-A12E-11436B7ABEAC}"/>
    <hyperlink ref="Q2666" r:id="rId133" display="https://standards.buildingsmart.org/IFC/RELEASE/IFC4/ADD2_TC1/HTML/schema/ifcactorresource/lexical/ifcaddresstypeenum.htm" xr:uid="{2BF753EF-13B2-4F24-A9A2-FBE25542F470}"/>
    <hyperlink ref="Q2619" r:id="rId134" display="https://standards.buildingsmart.org/IFC/RELEASE/IFC4/ADD2_TC1/HTML/schema/ifchvacdomain/lexical/ifcairterminalboxtypeenum.htm" xr:uid="{6B7A859F-2B22-477B-AD69-634D049F436B}"/>
    <hyperlink ref="Q2790" r:id="rId135" display="https://standards.buildingsmart.org/IFC/RELEASE/IFC4/ADD2_TC1/HTML/schema/ifchvacdomain/lexical/ifcairterminaltypeenum.htm" xr:uid="{A50BB55C-1F25-456C-B807-8DAD68887712}"/>
    <hyperlink ref="Q2754" r:id="rId136" display="https://standards.buildingsmart.org/IFC/RELEASE/IFC4/ADD2_TC1/HTML/schema/ifchvacdomain/lexical/ifcairtoairheatrecoverytypeenum.htm" xr:uid="{8EF7146E-2F60-4F1A-AF9C-FBEB411400F7}"/>
    <hyperlink ref="Q2604" r:id="rId137" display="https://standards.buildingsmart.org/IFC/RELEASE/IFC4/ADD2_TC1/HTML/schema/ifcbuildingcontrolsdomain/lexical/ifcalarmtypeenum.htm" xr:uid="{22600C1F-CB37-456A-9DE0-ED4AC7A11718}"/>
    <hyperlink ref="Q2711" r:id="rId138" display="https://standards.buildingsmart.org/IFC/RELEASE/IFC4/ADD2_TC1/HTML/schema/ifcstructuralanalysisdomain/lexical/ifcanalysismodeltypeenum.htm" xr:uid="{8C692D37-B00D-4614-9A09-51129A245A39}"/>
    <hyperlink ref="Q2789" r:id="rId139" display="https://standards.buildingsmart.org/IFC/RELEASE/IFC4/ADD2_TC1/HTML/schema/ifcstructuralanalysisdomain/lexical/ifcanalysistheorytypeenum.htm" xr:uid="{B57E9775-46AB-4EE4-A385-3B1CCDA89935}"/>
    <hyperlink ref="Q2727" r:id="rId140" display="https://standards.buildingsmart.org/IFC/RELEASE/IFC4/ADD2_TC1/HTML/schema/ifccostresource/lexical/ifcarithmeticoperatorenum.htm" xr:uid="{2D0FAE28-64D5-4E5E-B507-B79BE9EAF1A3}"/>
    <hyperlink ref="Q2701" r:id="rId141" display="https://standards.buildingsmart.org/IFC/RELEASE/IFC4/ADD2_TC1/HTML/schema/ifcproductextension/lexical/ifcassemblyplaceenum.htm" xr:uid="{26707F9E-E847-4F4C-BB6E-743FC0B06356}"/>
    <hyperlink ref="Q2608" r:id="rId142" display="https://standards.buildingsmart.org/IFC/RELEASE/IFC4/ADD2_TC1/HTML/schema/ifcelectricaldomain/lexical/ifcaudiovisualappliancetypeenum.htm" xr:uid="{6F6E23A8-AEDC-4E1B-A5CF-68D99ECE97D0}"/>
    <hyperlink ref="Q2677" r:id="rId143" display="https://standards.buildingsmart.org/IFC/RELEASE/IFC4/ADD2_TC1/HTML/schema/ifcsharedbldgelements/lexical/ifcbeamtypeenum.htm" xr:uid="{53422D11-7E59-4E39-9CD3-75AD6A173216}"/>
    <hyperlink ref="Q2737" r:id="rId144" display="https://standards.buildingsmart.org/IFC/RELEASE/IFC4/ADD2_TC1/HTML/schema/ifcconstraintresource/lexical/ifcbenchmarkenum.htm" xr:uid="{9CF5C4A3-053C-42DA-80A6-E69E3332DD2D}"/>
    <hyperlink ref="Q2616" r:id="rId145" display="https://standards.buildingsmart.org/IFC/RELEASE/IFC4/ADD2_TC1/HTML/schema/ifchvacdomain/lexical/ifcboilertypeenum.htm" xr:uid="{5F3FE347-B9B8-4ED5-91D5-FFA3C4990039}"/>
    <hyperlink ref="Q2728" r:id="rId146" display="https://standards.buildingsmart.org/IFC/RELEASE/IFC4/ADD2_TC1/HTML/schema/ifcgeometricmodelresource/lexical/ifcbooleanoperator.htm" xr:uid="{FBF35535-24AB-4856-BA5B-64FFF3F47DEA}"/>
    <hyperlink ref="Q2683" r:id="rId147" display="https://standards.buildingsmart.org/IFC/RELEASE/IFC4/ADD2_TC1/HTML/schema/ifcgeometryresource/lexical/ifcbsplinecurveform.htm" xr:uid="{0812F778-E86F-4FF6-9ED1-27BFE85B4DC0}"/>
    <hyperlink ref="Q2684" r:id="rId148" display="https://standards.buildingsmart.org/IFC/RELEASE/IFC4/ADD2_TC1/HTML/schema/ifcgeometryresource/lexical/ifcbsplinesurfaceform.htm" xr:uid="{837EEC56-7F86-4A33-9759-C592D71357BF}"/>
    <hyperlink ref="Q2658" r:id="rId149" display="https://standards.buildingsmart.org/IFC/RELEASE/IFC4/ADD2_TC1/HTML/schema/ifcsharedcomponentelements/lexical/ifcbuildingelementparttypeenum.htm" xr:uid="{84F65CF4-FE4B-4794-BDDD-F1694F72BB96}"/>
    <hyperlink ref="Q2748" r:id="rId150" display="https://standards.buildingsmart.org/IFC/RELEASE/IFC4/ADD2_TC1/HTML/schema/ifcsharedbldgelements/lexical/ifcbuildingelementproxytypeenum.htm" xr:uid="{E3FF7251-4101-443C-BD48-C6E9592A91A9}"/>
    <hyperlink ref="Q2780" r:id="rId151" display="https://standards.buildingsmart.org/IFC/RELEASE/IFC4/ADD2_TC1/HTML/schema/ifcsharedbldgelements/lexical/ifcbuildingsystemtypeenum.htm" xr:uid="{453544F4-CC76-4FA5-8224-7B913834D350}"/>
    <hyperlink ref="Q2750" r:id="rId152" display="https://standards.buildingsmart.org/IFC/RELEASE/IFC4/ADD2_TC1/HTML/schema/ifchvacdomain/lexical/ifcburnertypeenum.htm" xr:uid="{C70168DE-DAF0-4484-ABB7-FFBECE41BAFD}"/>
    <hyperlink ref="Q2634" r:id="rId153" display="https://standards.buildingsmart.org/IFC/RELEASE/IFC4/ADD2_TC1/HTML/schema/ifcelectricaldomain/lexical/ifccablecarrierfittingtypeenum.htm" xr:uid="{F9DAF1C6-59C1-4CBC-9E3B-CD12A10C4C48}"/>
    <hyperlink ref="Q2772" r:id="rId154" display="https://standards.buildingsmart.org/IFC/RELEASE/IFC4/ADD2_TC1/HTML/schema/ifcelectricaldomain/lexical/ifccablecarriersegmenttypeenum.htm" xr:uid="{55299511-AA65-4F44-83E2-A6AF35BC8838}"/>
    <hyperlink ref="Q2630" r:id="rId155" display="https://standards.buildingsmart.org/IFC/RELEASE/IFC4/ADD2_TC1/HTML/schema/ifcelectricaldomain/lexical/ifccablefittingtypeenum.htm" xr:uid="{CCF71CB2-4111-4128-8660-4F295A7B7587}"/>
    <hyperlink ref="Q2770" r:id="rId156" display="https://standards.buildingsmart.org/IFC/RELEASE/IFC4/ADD2_TC1/HTML/schema/ifcelectricaldomain/lexical/ifccablesegmenttypeenum.htm" xr:uid="{873C9682-3895-47A4-BAFC-8B43902900CF}"/>
    <hyperlink ref="Q2602" r:id="rId157" display="https://standards.buildingsmart.org/IFC/RELEASE/IFC4/ADD2_TC1/HTML/schema/ifcutilityresource/lexical/ifcchangeactionenum.htm" xr:uid="{0335E76B-27CC-4181-921F-94A79A810248}"/>
    <hyperlink ref="Q2764" r:id="rId158" display="https://standards.buildingsmart.org/IFC/RELEASE/IFC4/ADD2_TC1/HTML/schema/ifchvacdomain/lexical/ifcchillertypeenum.htm" xr:uid="{6E27D4D1-8C1D-4390-A22A-400C189B50A3}"/>
    <hyperlink ref="Q2623" r:id="rId159" display="https://standards.buildingsmart.org/IFC/RELEASE/IFC4/ADD2_TC1/HTML/schema/ifcsharedbldgelements/lexical/ifcchimneytypeenum.htm" xr:uid="{4FD6F463-8423-49E9-ADFE-DA1D0D33850D}"/>
    <hyperlink ref="Q2778" r:id="rId160" display="https://standards.buildingsmart.org/IFC/RELEASE/IFC4/ADD2_TC1/HTML/schema/ifchvacdomain/lexical/ifccoiltypeenum.htm" xr:uid="{BE329B6C-A8E8-41F7-AEF4-B330FDC16697}"/>
    <hyperlink ref="Q2626" r:id="rId161" display="https://standards.buildingsmart.org/IFC/RELEASE/IFC4/ADD2_TC1/HTML/schema/ifcsharedbldgelements/lexical/ifccolumntypeenum.htm" xr:uid="{ABFAE617-018C-4182-9948-77AB6786C702}"/>
    <hyperlink ref="Q2609" r:id="rId162" display="https://standards.buildingsmart.org/IFC/RELEASE/IFC4/ADD2_TC1/HTML/schema/ifcelectricaldomain/lexical/ifccommunicationsappliancetypeenum.htm" xr:uid="{218C3951-7A0B-430D-AEC2-7F8CC4307D11}"/>
    <hyperlink ref="Q2627" r:id="rId163" display="https://standards.buildingsmart.org/IFC/RELEASE/IFC4/ADD2_TC1/HTML/schema/ifchvacdomain/lexical/ifccompressortypeenum.htm" xr:uid="{74205CDE-378C-44EC-B389-F1CFF41CEF81}"/>
    <hyperlink ref="Q2629" r:id="rId164" display="https://standards.buildingsmart.org/IFC/RELEASE/IFC4/ADD2_TC1/HTML/schema/ifchvacdomain/lexical/ifccondensertypeenum.htm" xr:uid="{989BD82D-BE63-426A-A877-C5C224928A72}"/>
    <hyperlink ref="Q2635" r:id="rId165" display="https://standards.buildingsmart.org/IFC/RELEASE/IFC4/ADD2_TC1/HTML/schema/ifcsharedbldgelements/lexical/ifcconnectiontypeenum.htm" xr:uid="{0AFAB922-44D5-43C1-9079-AB35FEF52765}"/>
    <hyperlink ref="Q2765" r:id="rId166" display="https://standards.buildingsmart.org/IFC/RELEASE/IFC4/ADD2_TC1/HTML/schema/ifcconstraintresource/lexical/ifcconstraintenum.htm" xr:uid="{528C5407-C8E0-421D-B795-71F2A0844299}"/>
    <hyperlink ref="Q2755" r:id="rId167" display="https://standards.buildingsmart.org/IFC/RELEASE/IFC4/ADD2_TC1/HTML/schema/ifcconstructionmgmtdomain/lexical/ifcconstructionequipmentresourcetypeenum.htm" xr:uid="{35C3A78A-3825-4659-BCD9-9388AA77BC92}"/>
    <hyperlink ref="Q2760" r:id="rId168" display="https://standards.buildingsmart.org/IFC/RELEASE/IFC4/ADD2_TC1/HTML/schema/ifcconstructionmgmtdomain/lexical/ifcconstructionmaterialresourcetypeenum.htm" xr:uid="{FCDCC600-E48D-4939-80BF-525732B13B0C}"/>
    <hyperlink ref="Q2757" r:id="rId169" display="https://standards.buildingsmart.org/IFC/RELEASE/IFC4/ADD2_TC1/HTML/schema/ifcconstructionmgmtdomain/lexical/ifcconstructionproductresourcetypeenum.htm" xr:uid="{9B02A053-BC1B-4974-9D2F-484C2B24D669}"/>
    <hyperlink ref="Q2638" r:id="rId170" display="https://standards.buildingsmart.org/IFC/RELEASE/IFC4/ADD2_TC1/HTML/schema/ifcbuildingcontrolsdomain/lexical/ifccontrollertypeenum.htm" xr:uid="{A55E29A3-1BAB-41BD-BF43-49470C3F77C9}"/>
    <hyperlink ref="Q2806" r:id="rId171" display="https://standards.buildingsmart.org/IFC/RELEASE/IFC4/ADD2_TC1/HTML/schema/ifchvacdomain/lexical/ifccooledbeamtypeenum.htm" xr:uid="{DC16E2B1-D8DE-4AB7-960D-FDD93E0BDF25}"/>
    <hyperlink ref="Q2796" r:id="rId172" display="https://standards.buildingsmart.org/IFC/RELEASE/IFC4/ADD2_TC1/HTML/schema/ifchvacdomain/lexical/ifccoolingtowertypeenum.htm" xr:uid="{6F246F2B-BF77-46BE-BCF5-077E44B2C3A7}"/>
    <hyperlink ref="Q2643" r:id="rId173" display="https://standards.buildingsmart.org/IFC/RELEASE/IFC4/ADD2_TC1/HTML/schema/ifcsharedmgmtelements/lexical/ifccostitemtypeenum.htm" xr:uid="{FA379312-81E7-4127-8BBA-FE3C1912ED9C}"/>
    <hyperlink ref="Q2784" r:id="rId174" display="https://standards.buildingsmart.org/IFC/RELEASE/IFC4/ADD2_TC1/HTML/schema/ifcsharedmgmtelements/lexical/ifccostscheduletypeenum.htm" xr:uid="{E92BAA74-E181-45EC-B9AA-34A432176EA4}"/>
    <hyperlink ref="Q2624" r:id="rId175" display="https://standards.buildingsmart.org/IFC/RELEASE/IFC4/ADD2_TC1/HTML/schema/ifcsharedbldgelements/lexical/ifccoveringtypeenum.htm" xr:uid="{CBB6C6CA-0EAD-4F91-97A0-5D5D243E62CD}"/>
    <hyperlink ref="Q2758" r:id="rId176" display="https://standards.buildingsmart.org/IFC/RELEASE/IFC4/ADD2_TC1/HTML/schema/ifcconstructionmgmtdomain/lexical/ifccrewresourcetypeenum.htm" xr:uid="{9743B24B-07A4-4EF0-918C-6B376FCA5124}"/>
    <hyperlink ref="Q2735" r:id="rId177" display="https://standards.buildingsmart.org/IFC/RELEASE/IFC4/ADD2_TC1/HTML/schema/ifcsharedbldgelements/lexical/ifccurtainwalltypeenum.htm" xr:uid="{4A5AE743-2F1A-47DA-BA20-436E6E0CBB6A}"/>
    <hyperlink ref="Q2693" r:id="rId178" display="https://standards.buildingsmart.org/IFC/RELEASE/IFC4/ADD2_TC1/HTML/schema/ifcpropertyresource/lexical/ifccurveinterpolationenum.htm" xr:uid="{8EF34589-65E7-42B7-878D-A788957F9B38}"/>
    <hyperlink ref="Q2606" r:id="rId179" display="https://standards.buildingsmart.org/IFC/RELEASE/IFC4/ADD2_TC1/HTML/schema/ifchvacdomain/lexical/ifcdampertypeenum.htm" xr:uid="{16D1CEFE-6A60-49A5-8C21-B4BEBBEC8701}"/>
    <hyperlink ref="Q2733" r:id="rId180" display="https://standards.buildingsmart.org/IFC/RELEASE/IFC4/ADD2_TC1/HTML/schema/ifcdatetimeresource/lexical/ifcdataoriginenum.htm" xr:uid="{244D0951-4344-43B7-B566-4CBBB11BF7C5}"/>
    <hyperlink ref="Q2801" r:id="rId181" display="https://standards.buildingsmart.org/IFC/RELEASE/IFC4/ADD2_TC1/HTML/schema/ifcmeasureresource/lexical/ifcderivedunitenum.htm" xr:uid="{C8813FB1-B99A-4309-A992-9DD56113907B}"/>
    <hyperlink ref="Q2775" r:id="rId182" display="https://standards.buildingsmart.org/IFC/RELEASE/IFC4/ADD2_TC1/HTML/schema/ifcmaterialresource/lexical/ifcdirectionsenseenum.htm" xr:uid="{76140A37-71F9-4D74-B414-06F60CB2174D}"/>
    <hyperlink ref="Q2603" r:id="rId183" display="https://standards.buildingsmart.org/IFC/RELEASE/IFC4/ADD2_TC1/HTML/schema/ifcsharedcomponentelements/lexical/ifcdiscreteaccessorytypeenum.htm" xr:uid="{B99C8776-1626-4AA8-B039-A10A4702AD94}"/>
    <hyperlink ref="Q2655" r:id="rId184" display="https://standards.buildingsmart.org/IFC/RELEASE/IFC4/ADD2_TC1/HTML/schema/ifcsharedbldgserviceelements/lexical/ifcdistributionchamberelementtypeenum.htm" xr:uid="{06BC1C54-0DB9-4EAA-BEAB-F926454DBC1D}"/>
    <hyperlink ref="Q2742" r:id="rId185" display="https://standards.buildingsmart.org/IFC/RELEASE/IFC4/ADD2_TC1/HTML/schema/ifcsharedbldgserviceelements/lexical/ifcdistributionporttypeenum.htm" xr:uid="{6DC4B798-CA74-490A-B07A-6A88C6E515E4}"/>
    <hyperlink ref="Q2781" r:id="rId186" display="https://standards.buildingsmart.org/IFC/RELEASE/IFC4/ADD2_TC1/HTML/schema/ifcsharedbldgserviceelements/lexical/ifcdistributionsystemenum.htm" xr:uid="{4651EFB5-4381-4CC3-A093-000402F6FBFC}"/>
    <hyperlink ref="Q2636" r:id="rId187" display="https://standards.buildingsmart.org/IFC/RELEASE/IFC4/ADD2_TC1/HTML/schema/ifcexternalreferenceresource/lexical/ifcdocumentconfidentialityenum.htm" xr:uid="{BB9B1023-D83F-4C54-912F-63122E3A4200}"/>
    <hyperlink ref="Q2783" r:id="rId188" display="https://standards.buildingsmart.org/IFC/RELEASE/IFC4/ADD2_TC1/HTML/schema/ifcexternalreferenceresource/lexical/ifcdocumentstatusenum.htm" xr:uid="{5DBD80E3-7C12-4E96-9A82-B49428E3C995}"/>
    <hyperlink ref="Q2725" r:id="rId189" display="https://standards.buildingsmart.org/IFC/RELEASE/IFC4/ADD2_TC1/HTML/schema/ifcarchitecturedomain/lexical/ifcdoorpaneloperationenum.htm" xr:uid="{84AA921E-DFC5-4ED9-A9F1-D7CBD645DDFB}"/>
    <hyperlink ref="Q2744" r:id="rId190" display="https://standards.buildingsmart.org/IFC/RELEASE/IFC4/ADD2_TC1/HTML/schema/ifcarchitecturedomain/lexical/ifcdoorpanelpositionenum.htm" xr:uid="{FBDC1766-0840-48D9-96F1-375F4B50B370}"/>
    <hyperlink ref="Q2637" r:id="rId191" display="https://standards.buildingsmart.org/IFC/RELEASE/IFC4/ADD2_TC1/HTML/schema/ifcarchitecturedomain/lexical/ifcdoorstyleconstructionenum.htm" xr:uid="{B9971CEF-D79B-4ECC-9E54-659A5395B855}"/>
    <hyperlink ref="Q2726" r:id="rId192" display="https://standards.buildingsmart.org/IFC/RELEASE/IFC4/ADD2_TC1/HTML/schema/ifcarchitecturedomain/lexical/ifcdoorstyleoperationenum.htm" xr:uid="{4B815F94-9302-4332-A076-F95FACFF33D0}"/>
    <hyperlink ref="Q2741" r:id="rId193" display="https://standards.buildingsmart.org/IFC/RELEASE/IFC4/ADD2_TC1/HTML/schema/ifcsharedbldgelements/lexical/ifcdoortypeenum.htm" xr:uid="{CA7E053A-DA0C-4EDC-BDBB-225A8981B2F0}"/>
    <hyperlink ref="Q2723" r:id="rId194" display="https://standards.buildingsmart.org/IFC/RELEASE/IFC4/ADD2_TC1/HTML/schema/ifcsharedbldgelements/lexical/ifcdoortypeoperationenum.htm" xr:uid="{1AF76E7E-A96E-47EC-9DD3-3989386A7F0F}"/>
    <hyperlink ref="Q2631" r:id="rId195" display="https://standards.buildingsmart.org/IFC/RELEASE/IFC4/ADD2_TC1/HTML/schema/ifchvacdomain/lexical/ifcductfittingtypeenum.htm" xr:uid="{497E3DE5-70B7-4851-AF18-543BF50014AF}"/>
    <hyperlink ref="Q2771" r:id="rId196" display="https://standards.buildingsmart.org/IFC/RELEASE/IFC4/ADD2_TC1/HTML/schema/ifchvacdomain/lexical/ifcductsegmenttypeenum.htm" xr:uid="{900C83DF-08E1-4A9C-89C1-21CE8E1D33EF}"/>
    <hyperlink ref="Q2779" r:id="rId197" display="https://standards.buildingsmart.org/IFC/RELEASE/IFC4/ADD2_TC1/HTML/schema/ifchvacdomain/lexical/ifcductsilencertypeenum.htm" xr:uid="{D708B901-8695-42CA-82F0-532E0AAB3EED}"/>
    <hyperlink ref="Q2665" r:id="rId198" display="https://standards.buildingsmart.org/IFC/RELEASE/IFC4/ADD2_TC1/HTML/schema/ifcelectricaldomain/lexical/ifcelectricappliancetypeenum.htm" xr:uid="{B114FBBF-8A43-4C41-A58C-B86F92335265}"/>
    <hyperlink ref="Q2749" r:id="rId199" display="https://standards.buildingsmart.org/IFC/RELEASE/IFC4/ADD2_TC1/HTML/schema/ifcelectricaldomain/lexical/ifcelectricdistributionboardtypeenum.htm" xr:uid="{957B3656-65A3-429D-9FFC-85DCFE83FA71}"/>
    <hyperlink ref="Q2646" r:id="rId200" display="https://standards.buildingsmart.org/IFC/RELEASE/IFC4/ADD2_TC1/HTML/schema/ifcelectricaldomain/lexical/ifcelectricflowstoragedevicetypeenum.htm" xr:uid="{0EDBC753-5DDB-4A3F-AE77-05E66780E90F}"/>
    <hyperlink ref="Q2686" r:id="rId201" display="https://standards.buildingsmart.org/IFC/RELEASE/IFC4/ADD2_TC1/HTML/schema/ifcelectricaldomain/lexical/ifcelectricgeneratortypeenum.htm" xr:uid="{0FEA61C0-8F39-4EB5-8087-2DE8F6DAF9D5}"/>
    <hyperlink ref="Q2717" r:id="rId202" display="https://standards.buildingsmart.org/IFC/RELEASE/IFC4/ADD2_TC1/HTML/schema/ifcelectricaldomain/lexical/ifcelectricmotortypeenum.htm" xr:uid="{D7C26FAD-01EE-4B4B-AD8B-C68FB0EF8677}"/>
    <hyperlink ref="Q2639" r:id="rId203" display="https://standards.buildingsmart.org/IFC/RELEASE/IFC4/ADD2_TC1/HTML/schema/ifcelectricaldomain/lexical/ifcelectrictimecontroltypeenum.htm" xr:uid="{F06E62F8-A626-444F-BA3B-09ABCC205748}"/>
    <hyperlink ref="Q2715" r:id="rId204" display="https://standards.buildingsmart.org/IFC/RELEASE/IFC4/ADD2_TC1/HTML/schema/ifcproductextension/lexical/ifcelementassemblytypeenum.htm" xr:uid="{3767DF06-B1D7-44FB-8EBA-D461200D164C}"/>
    <hyperlink ref="Q2657" r:id="rId205" display="https://standards.buildingsmart.org/IFC/RELEASE/IFC4/ADD2_TC1/HTML/schema/ifcproductextension/lexical/ifcelementcompositionenum.htm" xr:uid="{CF425BB9-530A-4CB0-B710-2B8F8E996F5D}"/>
    <hyperlink ref="Q2716" r:id="rId206" display="https://standards.buildingsmart.org/IFC/RELEASE/IFC4/ADD2_TC1/HTML/schema/ifchvacdomain/lexical/ifcenginetypeenum.htm" xr:uid="{9E841A79-CF8B-4D20-AD03-31422A3A7886}"/>
    <hyperlink ref="Q2762" r:id="rId207" display="https://standards.buildingsmart.org/IFC/RELEASE/IFC4/ADD2_TC1/HTML/schema/ifchvacdomain/lexical/ifcevaporativecoolertypeenum.htm" xr:uid="{CFC493B4-B83B-43CD-B49B-283507D0785E}"/>
    <hyperlink ref="Q2675" r:id="rId208" display="https://standards.buildingsmart.org/IFC/RELEASE/IFC4/ADD2_TC1/HTML/schema/ifchvacdomain/lexical/ifcevaporatortypeenum.htm" xr:uid="{6E3563F2-B33A-4948-BB68-C32AB24FACDF}"/>
    <hyperlink ref="Q2685" r:id="rId209" display="https://standards.buildingsmart.org/IFC/RELEASE/IFC4/ADD2_TC1/HTML/schema/ifcprocessextension/lexical/ifceventtriggertypeenum.htm" xr:uid="{EED43D32-2D77-4F16-86B0-2EEB98714646}"/>
    <hyperlink ref="Q2676" r:id="rId210" display="https://standards.buildingsmart.org/IFC/RELEASE/IFC4/ADD2_TC1/HTML/schema/ifcprocessextension/lexical/ifceventtypeenum.htm" xr:uid="{4B989D32-5242-4DBF-8886-8A06935FC10D}"/>
    <hyperlink ref="Q2663" r:id="rId211" display="https://standards.buildingsmart.org/IFC/RELEASE/IFC4/ADD2_TC1/HTML/schema/ifcproductextension/lexical/ifcexternalspatialelementtypeenum.htm" xr:uid="{153B4F27-C2BB-4F3A-8534-322677B19814}"/>
    <hyperlink ref="Q2805" r:id="rId212" display="https://standards.buildingsmart.org/IFC/RELEASE/IFC4/ADD2_TC1/HTML/schema/ifchvacdomain/lexical/ifcfantypeenum.htm" xr:uid="{19E95A38-782B-4FB8-9FB5-2C77578083DE}"/>
    <hyperlink ref="Q2682" r:id="rId213" display="https://standards.buildingsmart.org/IFC/RELEASE/IFC4/ADD2_TC1/HTML/schema/ifcsharedcomponentelements/lexical/ifcfastenertypeenum.htm" xr:uid="{38F73C92-043D-4397-BA07-4A482ECCC7E4}"/>
    <hyperlink ref="Q2679" r:id="rId214" display="https://standards.buildingsmart.org/IFC/RELEASE/IFC4/ADD2_TC1/HTML/schema/ifchvacdomain/lexical/ifcfiltertypeenum.htm" xr:uid="{EFA461AE-83F0-4E1D-8027-F55587203B33}"/>
    <hyperlink ref="Q2793" r:id="rId215" display="https://standards.buildingsmart.org/IFC/RELEASE/IFC4/ADD2_TC1/HTML/schema/ifcplumbingfireprotectiondomain/lexical/ifcfiresuppressionterminaltypeenum.htm" xr:uid="{F30D6EBA-C123-4AD5-8BDA-ED739CAE9422}"/>
    <hyperlink ref="Q2644" r:id="rId216" display="https://standards.buildingsmart.org/IFC/RELEASE/IFC4/ADD2_TC1/HTML/schema/ifcsharedbldgserviceelements/lexical/ifcflowdirectionenum.htm" xr:uid="{258A9FF2-70F4-4BC0-8AB1-BCAFF606B2FB}"/>
    <hyperlink ref="Q2690" r:id="rId217" display="https://standards.buildingsmart.org/IFC/RELEASE/IFC4/ADD2_TC1/HTML/schema/ifcbuildingcontrolsdomain/lexical/ifcflowinstrumenttypeenum.htm" xr:uid="{FBF04A8E-2081-4469-B25F-C0B939400AB6}"/>
    <hyperlink ref="Q2704" r:id="rId218" display="https://standards.buildingsmart.org/IFC/RELEASE/IFC4/ADD2_TC1/HTML/schema/ifchvacdomain/lexical/ifcflowmetertypeenum.htm" xr:uid="{7CB4515E-D29F-4CCF-B0F8-727A4CD6A33B}"/>
    <hyperlink ref="Q2768" r:id="rId219" display="https://standards.buildingsmart.org/IFC/RELEASE/IFC4/ADD2_TC1/HTML/schema/ifcstructuralelementsdomain/lexical/ifcfootingtypeenum.htm" xr:uid="{EA4FCB94-8DAF-4CD4-B168-BA24759AC97E}"/>
    <hyperlink ref="Q2710" r:id="rId220" display="https://standards.buildingsmart.org/IFC/RELEASE/IFC4/ADD2_TC1/HTML/schema/ifcsharedfacilitieselements/lexical/ifcfurnituretypeenum.htm" xr:uid="{8924585F-EAEB-41D7-8355-E919163A798B}"/>
    <hyperlink ref="Q2664" r:id="rId221" display="https://standards.buildingsmart.org/IFC/RELEASE/IFC4/ADD2_TC1/HTML/schema/ifcproductextension/lexical/ifcgeographicelementtypeenum.htm" xr:uid="{FFC4C691-27D3-424B-81C4-0E4C8AFAA428}"/>
    <hyperlink ref="Q2747" r:id="rId222" display="https://standards.buildingsmart.org/IFC/RELEASE/IFC4/ADD2_TC1/HTML/schema/ifcrepresentationresource/lexical/ifcgeometricprojectionenum.htm" xr:uid="{4B775558-465E-4DC0-B150-A53F78F9031B}"/>
    <hyperlink ref="Q2687" r:id="rId223" display="https://standards.buildingsmart.org/IFC/RELEASE/IFC4/ADD2_TC1/HTML/schema/ifcrepresentationresource/lexical/ifcglobalorlocalenum.htm" xr:uid="{79A4B61F-F7B0-4DF6-B9AE-082471846F2D}"/>
    <hyperlink ref="Q2654" r:id="rId224" display="https://standards.buildingsmart.org/IFC/RELEASE/IFC4/ADD2_TC1/HTML/schema/ifcproductextension/lexical/ifcgridtypeenum.htm" xr:uid="{21B6A31C-018C-4841-A83B-F4D85573450E}"/>
    <hyperlink ref="Q2798" r:id="rId225" display="https://standards.buildingsmart.org/IFC/RELEASE/IFC4/ADD2_TC1/HTML/schema/ifchvacdomain/lexical/ifcheatexchangertypeenum.htm" xr:uid="{FF9060D1-D7A6-41D3-8927-489055D9B9BD}"/>
    <hyperlink ref="Q2799" r:id="rId226" display="https://standards.buildingsmart.org/IFC/RELEASE/IFC4/ADD2_TC1/HTML/schema/ifchvacdomain/lexical/ifchumidifiertypeenum.htm" xr:uid="{9427429E-9DBD-4F2A-8DF5-CD899D35BAB6}"/>
    <hyperlink ref="Q2691" r:id="rId227" display="https://standards.buildingsmart.org/IFC/RELEASE/IFC4/ADD2_TC1/HTML/schema/ifcplumbingfireprotectiondomain/lexical/ifcinterceptortypeenum.htm" xr:uid="{703D0413-A340-4252-A7FC-5BDB1410932A}"/>
    <hyperlink ref="Q2692" r:id="rId228" display="https://standards.buildingsmart.org/IFC/RELEASE/IFC4/ADD2_TC1/HTML/schema/ifcproductextension/lexical/ifcinternalorexternalenum.htm" xr:uid="{5AE4383C-9C0B-495E-90DD-2E283EF8714B}"/>
    <hyperlink ref="Q2694" r:id="rId229" display="https://standards.buildingsmart.org/IFC/RELEASE/IFC4/ADD2_TC1/HTML/schema/ifcsharedfacilitieselements/lexical/ifcinventorytypeenum.htm" xr:uid="{4FCEF788-D0AE-4C6E-B3F6-18AC03D377F5}"/>
    <hyperlink ref="Q2618" r:id="rId230" display="https://standards.buildingsmart.org/IFC/RELEASE/IFC4/ADD2_TC1/HTML/schema/ifcelectricaldomain/lexical/ifcjunctionboxtypeenum.htm" xr:uid="{D0A74DC8-11D3-4125-8D30-0FA7FC3E044B}"/>
    <hyperlink ref="Q2718" r:id="rId231" display="https://standards.buildingsmart.org/IFC/RELEASE/IFC4/ADD2_TC1/HTML/schema/ifcgeometryresource/lexical/ifcknottype.htm" xr:uid="{603FBB00-7F83-4FC2-B838-198A05E6F712}"/>
    <hyperlink ref="Q2756" r:id="rId232" display="https://standards.buildingsmart.org/IFC/RELEASE/IFC4/ADD2_TC1/HTML/schema/ifcconstructionmgmtdomain/lexical/ifclaborresourcetypeenum.htm" xr:uid="{041F4CBF-3E96-4C2D-9388-46BA73A8A483}"/>
    <hyperlink ref="Q2700" r:id="rId233" display="https://standards.buildingsmart.org/IFC/RELEASE/IFC4/ADD2_TC1/HTML/schema/ifcelectricaldomain/lexical/ifclamptypeenum.htm" xr:uid="{2C6710AE-C93A-4BAB-B264-7391F20F177E}"/>
    <hyperlink ref="Q2645" r:id="rId234" display="https://standards.buildingsmart.org/IFC/RELEASE/IFC4/ADD2_TC1/HTML/schema/ifcmaterialresource/lexical/ifclayersetdirectionenum.htm" xr:uid="{2BC57AFF-987A-4006-A436-163D8788CEFB}"/>
    <hyperlink ref="Q2642" r:id="rId235" display="https://standards.buildingsmart.org/IFC/RELEASE/IFC4/ADD2_TC1/HTML/schema/ifcpresentationorganizationresource/lexical/ifclightdistributioncurveenum.htm" xr:uid="{A51AC5E7-135E-4670-8D1C-EFCD7B10A9CB}"/>
    <hyperlink ref="Q2732" r:id="rId236" display="https://standards.buildingsmart.org/IFC/RELEASE/IFC4/ADD2_TC1/HTML/schema/ifcpresentationorganizationresource/lexical/ifclightemissionsourceenum.htm" xr:uid="{490F03D8-9930-4009-B803-C55A904A9F00}"/>
    <hyperlink ref="Q2702" r:id="rId237" display="https://standards.buildingsmart.org/IFC/RELEASE/IFC4/ADD2_TC1/HTML/schema/ifcelectricaldomain/lexical/ifclightfixturetypeenum.htm" xr:uid="{FBCE55D6-5314-4816-818E-5795F8EC3488}"/>
    <hyperlink ref="Q2688" r:id="rId238" display="https://standards.buildingsmart.org/IFC/RELEASE/IFC4/ADD2_TC1/HTML/schema/ifcstructuralanalysisdomain/lexical/ifcloadgrouptypeenum.htm" xr:uid="{9AC5230F-C63C-4D5A-9982-1531CDCAF33F}"/>
    <hyperlink ref="Q2729" r:id="rId239" display="https://standards.buildingsmart.org/IFC/RELEASE/IFC4/ADD2_TC1/HTML/schema/ifcconstraintresource/lexical/ifclogicaloperatorenum.htm" xr:uid="{E782588D-35D9-4840-B183-D0E76B1B218C}"/>
    <hyperlink ref="Q2681" r:id="rId240" display="https://standards.buildingsmart.org/IFC/RELEASE/IFC4/ADD2_TC1/HTML/schema/ifcsharedcomponentelements/lexical/ifcmechanicalfastenertypeenum.htm" xr:uid="{11F1F6FC-3FFE-4872-B66A-1DE957113F15}"/>
    <hyperlink ref="Q2651" r:id="rId241" display="https://standards.buildingsmart.org/IFC/RELEASE/IFC4/ADD2_TC1/HTML/schema/ifchvacdomain/lexical/ifcmedicaldevicetypeenum.htm" xr:uid="{C26E4062-0274-486D-BDA7-B069FEB97178}"/>
    <hyperlink ref="Q2705" r:id="rId242" display="https://standards.buildingsmart.org/IFC/RELEASE/IFC4/ADD2_TC1/HTML/schema/ifcsharedbldgelements/lexical/ifcmembertypeenum.htm" xr:uid="{32EC44D0-22B9-441B-9B19-39B0DC9B3F32}"/>
    <hyperlink ref="Q2632" r:id="rId243" display="https://standards.buildingsmart.org/IFC/RELEASE/IFC4/ADD2_TC1/HTML/schema/ifcelectricaldomain/lexical/ifcmotorconnectiontypeenum.htm" xr:uid="{DC206FF5-2DAB-4265-93A1-B570D157429D}"/>
    <hyperlink ref="Q2673" r:id="rId244" display="https://standards.buildingsmart.org/IFC/RELEASE/IFC4/ADD2_TC1/HTML/schema/ifcpresentationappearanceresource/lexical/ifcnullstyle.htm" xr:uid="{24576081-B356-46D4-AE72-9FB3FD005A51}"/>
    <hyperlink ref="Q2708" r:id="rId245" display="https://standards.buildingsmart.org/IFC/RELEASE/IFC4/ADD2_TC1/HTML/schema/ifcconstraintresource/lexical/ifcobjectiveenum.htm" xr:uid="{D74CB21C-D1AC-456B-A20E-F989F81761D1}"/>
    <hyperlink ref="Q2719" r:id="rId246" display="https://standards.buildingsmart.org/IFC/RELEASE/IFC4/ADD2_TC1/HTML/schema/ifckernel/lexical/ifcobjecttypeenum.htm" xr:uid="{50B5BC11-34F9-42ED-928B-1A35BB917D90}"/>
    <hyperlink ref="Q2720" r:id="rId247" display="https://standards.buildingsmart.org/IFC/RELEASE/IFC4/ADD2_TC1/HTML/schema/ifcsharedfacilitieselements/lexical/ifcoccupanttypeenum.htm" xr:uid="{9860656A-AF01-46EF-8565-79699A7DC0C2}"/>
    <hyperlink ref="Q2656" r:id="rId248" display="https://standards.buildingsmart.org/IFC/RELEASE/IFC4/ADD2_TC1/HTML/schema/ifcproductextension/lexical/ifcopeningelementtypeenum.htm" xr:uid="{AB7685AB-F96D-4AEC-A4E8-287C15E38982}"/>
    <hyperlink ref="Q2795" r:id="rId249" display="https://standards.buildingsmart.org/IFC/RELEASE/IFC4/ADD2_TC1/HTML/schema/ifcelectricaldomain/lexical/ifcoutlettypeenum.htm" xr:uid="{80069509-D91D-40F9-AED3-D374AC3382F4}"/>
    <hyperlink ref="Q2689" r:id="rId250" display="https://standards.buildingsmart.org/IFC/RELEASE/IFC4/ADD2_TC1/HTML/schema/ifccontrolextension/lexical/ifcperformancehistorytypeenum.htm" xr:uid="{C4F031C2-6EF9-42D4-B1BD-FC68434B0089}"/>
    <hyperlink ref="Q2721" r:id="rId251" display="https://standards.buildingsmart.org/IFC/RELEASE/IFC4/ADD2_TC1/HTML/schema/ifcarchitecturedomain/lexical/ifcpermeablecoveringoperationenum.htm" xr:uid="{4582FB80-A3FF-477A-BFA0-08C3CA18C13B}"/>
    <hyperlink ref="Q2738" r:id="rId252" display="https://standards.buildingsmart.org/IFC/RELEASE/IFC4/ADD2_TC1/HTML/schema/ifcsharedmgmtelements/lexical/ifcpermittypeenum.htm" xr:uid="{3E36B13B-9C7B-491A-8327-E5E70DFA1631}"/>
    <hyperlink ref="Q2680" r:id="rId253" display="https://standards.buildingsmart.org/IFC/RELEASE/IFC4/ADD2_TC1/HTML/schema/ifcproductextension/lexical/ifcphysicalorvirtualenum.htm" xr:uid="{0373468B-77B9-4A62-B547-1B776875A041}"/>
    <hyperlink ref="Q2670" r:id="rId254" display="https://standards.buildingsmart.org/IFC/RELEASE/IFC4/ADD2_TC1/HTML/schema/ifcstructuralelementsdomain/lexical/ifcpileconstructionenum.htm" xr:uid="{16758C5C-EEF3-46A5-AB94-A6C8DC6D8B06}"/>
    <hyperlink ref="Q2671" r:id="rId255" display="https://standards.buildingsmart.org/IFC/RELEASE/IFC4/ADD2_TC1/HTML/schema/ifcstructuralelementsdomain/lexical/ifcpiletypeenum.htm" xr:uid="{785B9169-70F4-4119-9D0D-B31A60633D38}"/>
    <hyperlink ref="Q2633" r:id="rId256" display="https://standards.buildingsmart.org/IFC/RELEASE/IFC4/ADD2_TC1/HTML/schema/ifchvacdomain/lexical/ifcpipefittingtypeenum.htm" xr:uid="{A3CAF29F-65E2-473C-9390-FFF203EA34E1}"/>
    <hyperlink ref="Q2773" r:id="rId257" display="https://standards.buildingsmart.org/IFC/RELEASE/IFC4/ADD2_TC1/HTML/schema/ifchvacdomain/lexical/ifcpipesegmenttypeenum.htm" xr:uid="{14F04824-C1F5-477A-9A21-DC556876EF8B}"/>
    <hyperlink ref="Q2739" r:id="rId258" display="https://standards.buildingsmart.org/IFC/RELEASE/IFC4/ADD2_TC1/HTML/schema/ifcsharedbldgelements/lexical/ifcplatetypeenum.htm" xr:uid="{6C6F1AA4-7948-48DA-8800-DFF79D09D9F9}"/>
    <hyperlink ref="Q2763" r:id="rId259" display="https://standards.buildingsmart.org/IFC/RELEASE/IFC4/ADD2_TC1/HTML/schema/ifcgeometryresource/lexical/ifcpreferredsurfacecurverepresentation.htm" xr:uid="{F8E952A3-35A9-4948-916E-92B03B1CE84E}"/>
    <hyperlink ref="Q2746" r:id="rId260" display="https://standards.buildingsmart.org/IFC/RELEASE/IFC4/ADD2_TC1/HTML/schema/ifcprocessextension/lexical/ifcproceduretypeenum.htm" xr:uid="{E6922092-FB2E-4C8A-BB75-EB562C21623A}"/>
    <hyperlink ref="Q2736" r:id="rId261" display="https://standards.buildingsmart.org/IFC/RELEASE/IFC4/ADD2_TC1/HTML/schema/ifcprofileresource/lexical/ifcprofiletypeenum.htm" xr:uid="{A4FE6649-93DD-4B01-A3B6-CA26AC03DAD3}"/>
    <hyperlink ref="Q2628" r:id="rId262" display="https://standards.buildingsmart.org/IFC/RELEASE/IFC4/ADD2_TC1/HTML/schema/ifcstructuralanalysisdomain/lexical/ifcprojectedortruelengthenum.htm" xr:uid="{0E988EC1-72DA-4781-BDAD-E59FFB74CE5A}"/>
    <hyperlink ref="Q2661" r:id="rId263" display="https://standards.buildingsmart.org/IFC/RELEASE/IFC4/ADD2_TC1/HTML/schema/ifcproductextension/lexical/ifcprojectionelementtypeenum.htm" xr:uid="{E8914654-D93D-400A-AE76-18D94613C50F}"/>
    <hyperlink ref="Q2730" r:id="rId264" display="https://standards.buildingsmart.org/IFC/RELEASE/IFC4/ADD2_TC1/HTML/schema/ifcsharedmgmtelements/lexical/ifcprojectordertypeenum.htm" xr:uid="{C4D051CC-71D3-42E9-94C5-09871621B1B2}"/>
    <hyperlink ref="Q2712" r:id="rId265" display="https://standards.buildingsmart.org/IFC/RELEASE/IFC4/ADD2_TC1/HTML/schema/ifckernel/lexical/ifcpropertysettemplatetypeenum.htm" xr:uid="{47EEBC32-9663-440A-9196-9780D6CB0AD4}"/>
    <hyperlink ref="Q2649" r:id="rId266" display="https://standards.buildingsmart.org/IFC/RELEASE/IFC4/ADD2_TC1/HTML/schema/ifcelectricaldomain/lexical/ifcprotectivedevicetrippingunittypeenum.htm" xr:uid="{17F917B2-638F-41AE-94E7-8D155BE9D665}"/>
    <hyperlink ref="Q2648" r:id="rId267" display="https://standards.buildingsmart.org/IFC/RELEASE/IFC4/ADD2_TC1/HTML/schema/ifcelectricaldomain/lexical/ifcprotectivedevicetypeenum.htm" xr:uid="{1B4DBB8A-25E3-40EE-B3EE-29D1DF27EDB1}"/>
    <hyperlink ref="Q2617" r:id="rId268" display="https://standards.buildingsmart.org/IFC/RELEASE/IFC4/ADD2_TC1/HTML/schema/ifchvacdomain/lexical/ifcpumptypeenum.htm" xr:uid="{5276AC81-2ABB-42C5-8185-C77910C92914}"/>
    <hyperlink ref="Q2640" r:id="rId269" display="https://standards.buildingsmart.org/IFC/RELEASE/IFC4/ADD2_TC1/HTML/schema/ifcsharedbldgelements/lexical/ifcrailingtypeenum.htm" xr:uid="{B8F98B93-EB07-4875-913A-BF161E6B89DC}"/>
    <hyperlink ref="Q2752" r:id="rId270" display="https://standards.buildingsmart.org/IFC/RELEASE/IFC4/ADD2_TC1/HTML/schema/ifcsharedbldgelements/lexical/ifcrampflighttypeenum.htm" xr:uid="{4CE4EAE2-9B62-4953-A410-2326E41B25A8}"/>
    <hyperlink ref="Q2751" r:id="rId271" display="https://standards.buildingsmart.org/IFC/RELEASE/IFC4/ADD2_TC1/HTML/schema/ifcsharedbldgelements/lexical/ifcramptypeenum.htm" xr:uid="{1E7E6C06-06D4-468C-83A4-220319F36B8C}"/>
    <hyperlink ref="Q2753" r:id="rId272" display="https://standards.buildingsmart.org/IFC/RELEASE/IFC4/ADD2_TC1/HTML/schema/ifcdatetimeresource/lexical/ifcrecurrencetypeenum.htm" xr:uid="{D5235049-49E7-4A2D-AB3B-D02BA8D6D5D4}"/>
    <hyperlink ref="Q2709" r:id="rId273" display="https://standards.buildingsmart.org/IFC/RELEASE/IFC4/ADD2_TC1/HTML/schema/ifcpresentationappearanceresource/lexical/ifcreflectancemethodenum.htm" xr:uid="{D7FF3577-6C6A-4722-8CFA-EF49F1715CF0}"/>
    <hyperlink ref="Q2767" r:id="rId274" display="https://standards.buildingsmart.org/IFC/RELEASE/IFC4/ADD2_TC1/HTML/schema/ifcprofileresource/lexical/ifcreinforcingbarroleenum.htm" xr:uid="{9CAE3487-1742-43B8-BF85-F412B27613CF}"/>
    <hyperlink ref="Q2615" r:id="rId275" display="https://standards.buildingsmart.org/IFC/RELEASE/IFC4/ADD2_TC1/HTML/schema/ifcprofileresource/lexical/ifcreinforcingbarsurfaceenum.htm" xr:uid="{B11ED4E9-D66F-421C-8A69-D262372F380B}"/>
    <hyperlink ref="Q2614" r:id="rId276" display="https://standards.buildingsmart.org/IFC/RELEASE/IFC4/ADD2_TC1/HTML/schema/ifcstructuralelementsdomain/lexical/ifcreinforcingbartypeenum.htm" xr:uid="{40A97F1C-773A-4677-BBBD-EE6FE10ADA21}"/>
    <hyperlink ref="Q2703" r:id="rId277" display="https://standards.buildingsmart.org/IFC/RELEASE/IFC4/ADD2_TC1/HTML/schema/ifcstructuralelementsdomain/lexical/ifcreinforcingmeshtypeenum.htm" xr:uid="{B3CC1746-1847-4CE2-A4F3-98454847126F}"/>
    <hyperlink ref="Q2766" r:id="rId278" display="https://standards.buildingsmart.org/IFC/RELEASE/IFC4/ADD2_TC1/HTML/schema/ifcactorresource/lexical/ifcroleenum.htm" xr:uid="{A1548D69-6417-479B-8735-B9803BA1F880}"/>
    <hyperlink ref="Q2787" r:id="rId279" display="https://standards.buildingsmart.org/IFC/RELEASE/IFC4/ADD2_TC1/HTML/schema/ifcsharedbldgelements/lexical/ifcrooftypeenum.htm" xr:uid="{92D122E9-2662-43A0-B33F-344E9DC61A00}"/>
    <hyperlink ref="Q2794" r:id="rId280" display="https://standards.buildingsmart.org/IFC/RELEASE/IFC4/ADD2_TC1/HTML/schema/ifcplumbingfireprotectiondomain/lexical/ifcsanitaryterminaltypeenum.htm" xr:uid="{9BDB3C35-748F-46C7-B50B-F1B23FF1025A}"/>
    <hyperlink ref="Q2769" r:id="rId281" display="https://standards.buildingsmart.org/IFC/RELEASE/IFC4/ADD2_TC1/HTML/schema/ifcprofileresource/lexical/ifcsectiontypeenum.htm" xr:uid="{45FF9E1D-F0AF-4ED3-B02A-D7295A08FFCC}"/>
    <hyperlink ref="Q2774" r:id="rId282" display="https://standards.buildingsmart.org/IFC/RELEASE/IFC4/ADD2_TC1/HTML/schema/ifcbuildingcontrolsdomain/lexical/ifcsensortypeenum.htm" xr:uid="{31EBB847-AD14-4CF2-A2E2-D76106FA184A}"/>
    <hyperlink ref="Q2776" r:id="rId283" display="https://standards.buildingsmart.org/IFC/RELEASE/IFC4/ADD2_TC1/HTML/schema/ifcprocessextension/lexical/ifcsequenceenum.htm" xr:uid="{C4F5AA0F-C0EE-4384-88B7-4B509389D5D3}"/>
    <hyperlink ref="Q2650" r:id="rId284" display="https://standards.buildingsmart.org/IFC/RELEASE/IFC4/ADD2_TC1/HTML/schema/ifcsharedbldgelements/lexical/ifcshadingdevicetypeenum.htm" xr:uid="{34568564-A5FD-48B0-999E-C2EDA93A44B3}"/>
    <hyperlink ref="Q2714" r:id="rId285" display="https://standards.buildingsmart.org/IFC/RELEASE/IFC4/ADD2_TC1/HTML/schema/ifckernel/lexical/ifcsimplepropertytemplatetypeenum.htm" xr:uid="{32A2D27F-C2C8-4630-A753-756ABC16C0E0}"/>
    <hyperlink ref="Q2803" r:id="rId286" display="https://standards.buildingsmart.org/IFC/RELEASE/IFC4/ADD2_TC1/HTML/schema/ifcmeasureresource/lexical/ifcsiprefix.htm" xr:uid="{8C17B972-7C30-4C36-B1F8-B659A0AC3778}"/>
    <hyperlink ref="Q2802" r:id="rId287" display="https://standards.buildingsmart.org/IFC/RELEASE/IFC4/ADD2_TC1/HTML/schema/ifcmeasureresource/lexical/ifcsiunitname.htm" xr:uid="{A7DD06E6-A3DB-4F25-9849-14A45EB4976E}"/>
    <hyperlink ref="Q2699" r:id="rId288" display="https://standards.buildingsmart.org/IFC/RELEASE/IFC4/ADD2_TC1/HTML/schema/ifcsharedbldgelements/lexical/ifcslabtypeenum.htm" xr:uid="{1FFD178B-EF4F-48F7-B09B-5D5D866BB3E7}"/>
    <hyperlink ref="Q2652" r:id="rId289" display="https://standards.buildingsmart.org/IFC/RELEASE/IFC4/ADD2_TC1/HTML/schema/ifcelectricaldomain/lexical/ifcsolardevicetypeenum.htm" xr:uid="{956146CE-7FFE-4AF2-B49C-675D45F1DB22}"/>
    <hyperlink ref="Q2610" r:id="rId290" display="https://standards.buildingsmart.org/IFC/RELEASE/IFC4/ADD2_TC1/HTML/schema/ifchvacdomain/lexical/ifcspaceheatertypeenum.htm" xr:uid="{93281A6E-BA95-41EC-9BC8-2DC23887B23C}"/>
    <hyperlink ref="Q2605" r:id="rId291" display="https://standards.buildingsmart.org/IFC/RELEASE/IFC4/ADD2_TC1/HTML/schema/ifcproductextension/lexical/ifcspacetypeenum.htm" xr:uid="{70F5F90B-8C86-4C39-A5ED-A44887845E24}"/>
    <hyperlink ref="Q2807" r:id="rId292" display="https://standards.buildingsmart.org/IFC/RELEASE/IFC4/ADD2_TC1/HTML/schema/ifcproductextension/lexical/ifcspatialzonetypeenum.htm" xr:uid="{34B5D0B7-CA4A-42CC-B2A0-CE6197D4F265}"/>
    <hyperlink ref="Q2791" r:id="rId293" display="https://standards.buildingsmart.org/IFC/RELEASE/IFC4/ADD2_TC1/HTML/schema/ifcplumbingfireprotectiondomain/lexical/ifcstackterminaltypeenum.htm" xr:uid="{4584BC2F-7191-417A-8E50-BB2FF3F150A2}"/>
    <hyperlink ref="Q2669" r:id="rId294" display="https://standards.buildingsmart.org/IFC/RELEASE/IFC4/ADD2_TC1/HTML/schema/ifcsharedbldgelements/lexical/ifcstairflighttypeenum.htm" xr:uid="{91753AC5-77B7-4B45-9B57-0609FCE7E6F5}"/>
    <hyperlink ref="Q2668" r:id="rId295" display="https://standards.buildingsmart.org/IFC/RELEASE/IFC4/ADD2_TC1/HTML/schema/ifcsharedbldgelements/lexical/ifcstairtypeenum.htm" xr:uid="{86B10B29-8B6C-41ED-94A1-31E2DE956614}"/>
    <hyperlink ref="Q2672" r:id="rId296" display="https://standards.buildingsmart.org/IFC/RELEASE/IFC4/ADD2_TC1/HTML/schema/ifcutilityresource/lexical/ifcstateenum.htm" xr:uid="{59292ACA-390A-4DD0-9596-82F4CC2BBF89}"/>
    <hyperlink ref="Q2611" r:id="rId297" display="https://standards.buildingsmart.org/IFC/RELEASE/IFC4/ADD2_TC1/HTML/schema/ifcstructuralanalysisdomain/lexical/ifcstructuralcurveactivitytypeenum.htm" xr:uid="{7AA8A877-2AC3-4A0E-A663-FF2794CAEDEC}"/>
    <hyperlink ref="Q2706" r:id="rId298" display="https://standards.buildingsmart.org/IFC/RELEASE/IFC4/ADD2_TC1/HTML/schema/ifcstructuralanalysisdomain/lexical/ifcstructuralcurvemembertypeenum.htm" xr:uid="{5EF10F69-05E6-481A-B157-CDF3468615C9}"/>
    <hyperlink ref="Q2612" r:id="rId299" display="https://standards.buildingsmart.org/IFC/RELEASE/IFC4/ADD2_TC1/HTML/schema/ifcstructuralanalysisdomain/lexical/ifcstructuralsurfaceactivitytypeenum.htm" xr:uid="{8A79BE5A-38AE-4B65-BBA3-F3A00C5E7C14}"/>
    <hyperlink ref="Q2707" r:id="rId300" display="https://standards.buildingsmart.org/IFC/RELEASE/IFC4/ADD2_TC1/HTML/schema/ifcstructuralanalysisdomain/lexical/ifcstructuralsurfacemembertypeenum.htm" xr:uid="{BDA9FDDD-66D4-448C-830B-55E1838C69D4}"/>
    <hyperlink ref="Q2761" r:id="rId301" display="https://standards.buildingsmart.org/IFC/RELEASE/IFC4/ADD2_TC1/HTML/schema/ifcconstructionmgmtdomain/lexical/ifcsubcontractresourcetypeenum.htm" xr:uid="{C621ED2B-D854-4480-9ABF-B257E5D8F6CA}"/>
    <hyperlink ref="Q2622" r:id="rId302" display="https://standards.buildingsmart.org/IFC/RELEASE/IFC4/ADD2_TC1/HTML/schema/ifcstructuralelementsdomain/lexical/ifcsurfacefeaturetypeenum.htm" xr:uid="{F073C122-B900-4AE3-9545-961B96913B9C}"/>
    <hyperlink ref="Q2698" r:id="rId303" display="https://standards.buildingsmart.org/IFC/RELEASE/IFC4/ADD2_TC1/HTML/schema/ifcpresentationappearanceresource/lexical/ifcsurfaceside.htm" xr:uid="{8D218963-1C6C-4368-ADC0-C2FD9FC9D33F}"/>
    <hyperlink ref="Q2647" r:id="rId304" display="https://standards.buildingsmart.org/IFC/RELEASE/IFC4/ADD2_TC1/HTML/schema/ifcelectricaldomain/lexical/ifcswitchingdevicetypeenum.htm" xr:uid="{3A2CB7AE-DF12-4567-AED6-7D57BDF50BD9}"/>
    <hyperlink ref="Q2660" r:id="rId305" display="https://standards.buildingsmart.org/IFC/RELEASE/IFC4/ADD2_TC1/HTML/schema/ifcsharedfacilitieselements/lexical/ifcsystemfurnitureelementtypeenum.htm" xr:uid="{F9FD7A27-9134-4907-8A37-9567BB9C8511}"/>
    <hyperlink ref="Q2785" r:id="rId306" display="https://standards.buildingsmart.org/IFC/RELEASE/IFC4/ADD2_TC1/HTML/schema/ifchvacdomain/lexical/ifctanktypeenum.htm" xr:uid="{BE5B2C97-3C2A-42AD-B748-1CFB413D1B68}"/>
    <hyperlink ref="Q2653" r:id="rId307" display="https://standards.buildingsmart.org/IFC/RELEASE/IFC4/ADD2_TC1/HTML/schema/ifcdatetimeresource/lexical/ifctaskdurationenum.htm" xr:uid="{FED6F892-38B1-4537-AB5E-8FCC2E611C6A}"/>
    <hyperlink ref="Q2786" r:id="rId308" display="https://standards.buildingsmart.org/IFC/RELEASE/IFC4/ADD2_TC1/HTML/schema/ifcprocessextension/lexical/ifctasktypeenum.htm" xr:uid="{C2F59302-1239-4DD1-A287-657C8414AE94}"/>
    <hyperlink ref="Q2607" r:id="rId309" display="https://standards.buildingsmart.org/IFC/RELEASE/IFC4/ADD2_TC1/HTML/schema/ifcstructuralelementsdomain/lexical/ifctendonanchortypeenum.htm" xr:uid="{1D745AA0-3C60-4BCA-B26E-E9013821212C}"/>
    <hyperlink ref="Q2788" r:id="rId310" display="https://standards.buildingsmart.org/IFC/RELEASE/IFC4/ADD2_TC1/HTML/schema/ifcstructuralelementsdomain/lexical/ifctendontypeenum.htm" xr:uid="{B4030B47-67C2-4573-AEA8-C817A08CB4B5}"/>
    <hyperlink ref="Q2621" r:id="rId311" display="https://standards.buildingsmart.org/IFC/RELEASE/IFC4/ADD2_TC1/HTML/schema/ifcpresentationdefinitionresource/lexical/ifctextpath.htm" xr:uid="{E8CEC295-104E-4D5B-8C5A-FA1445A68E3F}"/>
    <hyperlink ref="Q2777" r:id="rId312" display="https://standards.buildingsmart.org/IFC/RELEASE/IFC4/ADD2_TC1/HTML/schema/ifcdatetimeresource/lexical/ifctimeseriesdatatypeenum.htm" xr:uid="{113A057C-51FD-484F-85F3-96D2A17DB264}"/>
    <hyperlink ref="Q2797" r:id="rId313" display="https://standards.buildingsmart.org/IFC/RELEASE/IFC4/ADD2_TC1/HTML/schema/ifcelectricaldomain/lexical/ifctransformertypeenum.htm" xr:uid="{2C7CEEA3-3463-4D5F-928E-16BE6D0C13C6}"/>
    <hyperlink ref="Q2625" r:id="rId314" display="https://standards.buildingsmart.org/IFC/RELEASE/IFC4/ADD2_TC1/HTML/schema/ifcgeometryresource/lexical/ifctransitioncode.htm" xr:uid="{E6EF94DE-2D0F-42A7-B2A4-A45B9906B9F9}"/>
    <hyperlink ref="Q2662" r:id="rId315" display="https://standards.buildingsmart.org/IFC/RELEASE/IFC4/ADD2_TC1/HTML/schema/ifcproductextension/lexical/ifctransportelementtypeenum.htm" xr:uid="{F614DB64-27EE-44BC-973F-E5F2764C0739}"/>
    <hyperlink ref="Q2745" r:id="rId316" display="https://standards.buildingsmart.org/IFC/RELEASE/IFC4/ADD2_TC1/HTML/schema/ifcgeometryresource/lexical/ifctrimmingpreference.htm" xr:uid="{E0F3FE0A-E12C-421E-98EF-00D4316F1218}"/>
    <hyperlink ref="Q2678" r:id="rId317" display="https://standards.buildingsmart.org/IFC/RELEASE/IFC4/ADD2_TC1/HTML/schema/ifchvacdomain/lexical/ifctubebundletypeenum.htm" xr:uid="{7D21FB91-0E82-4AB8-9F53-D48E53F71B52}"/>
    <hyperlink ref="Q2659" r:id="rId318" display="https://standards.buildingsmart.org/IFC/RELEASE/IFC4/ADD2_TC1/HTML/schema/ifcbuildingcontrolsdomain/lexical/ifcunitarycontrolelementtypeenum.htm" xr:uid="{C00D4B29-0494-40FE-B7CE-459101519E0F}"/>
    <hyperlink ref="Q2667" r:id="rId319" display="https://standards.buildingsmart.org/IFC/RELEASE/IFC4/ADD2_TC1/HTML/schema/ifchvacdomain/lexical/ifcunitaryequipmenttypeenum.htm" xr:uid="{2F4D06D7-9635-47C9-97F0-EA6F52CDF6D1}"/>
    <hyperlink ref="Q2800" r:id="rId320" display="https://standards.buildingsmart.org/IFC/RELEASE/IFC4/ADD2_TC1/HTML/schema/ifcmeasureresource/lexical/ifcunitenum.htm" xr:uid="{CCE9AB4B-A6E8-46C6-8D6D-19B141A28607}"/>
    <hyperlink ref="Q2804" r:id="rId321" display="https://standards.buildingsmart.org/IFC/RELEASE/IFC4/ADD2_TC1/HTML/schema/ifchvacdomain/lexical/ifcvalvetypeenum.htm" xr:uid="{8CB6DEB3-1CD0-4BB4-8D22-7DE36D3E5BD4}"/>
    <hyperlink ref="Q2695" r:id="rId322" display="https://standards.buildingsmart.org/IFC/RELEASE/IFC4/ADD2_TC1/HTML/schema/ifchvacdomain/lexical/ifcvibrationisolatortypeenum.htm" xr:uid="{A8BF2AB0-32D3-4655-96D3-D07B0446C03E}"/>
    <hyperlink ref="Q2759" r:id="rId323" display="https://standards.buildingsmart.org/IFC/RELEASE/IFC4/ADD2_TC1/HTML/schema/ifcstructuralelementsdomain/lexical/ifcvoidingfeaturetypeenum.htm" xr:uid="{147E000D-D336-47F5-AB3A-FA09A7555F6E}"/>
    <hyperlink ref="Q2734" r:id="rId324" display="https://standards.buildingsmart.org/IFC/RELEASE/IFC4/ADD2_TC1/HTML/schema/ifcsharedbldgelements/lexical/ifcwalltypeenum.htm" xr:uid="{39E55944-7E52-442B-971C-6288D04DC5F3}"/>
    <hyperlink ref="Q2792" r:id="rId325" display="https://standards.buildingsmart.org/IFC/RELEASE/IFC4/ADD2_TC1/HTML/schema/ifcplumbingfireprotectiondomain/lexical/ifcwasteterminaltypeenum.htm" xr:uid="{B5DFD49F-1555-4144-ADD6-809C979CEEB4}"/>
    <hyperlink ref="Q2724" r:id="rId326" display="https://standards.buildingsmart.org/IFC/RELEASE/IFC4/ADD2_TC1/HTML/schema/ifcarchitecturedomain/lexical/ifcwindowpaneloperationenum.htm" xr:uid="{E472A8CA-B64E-45DB-B6C1-D712A13230CF}"/>
    <hyperlink ref="Q2743" r:id="rId327" display="https://standards.buildingsmart.org/IFC/RELEASE/IFC4/ADD2_TC1/HTML/schema/ifcarchitecturedomain/lexical/ifcwindowpanelpositionenum.htm" xr:uid="{E71F0CF5-D91E-496E-8F59-E8E3514E6EC2}"/>
    <hyperlink ref="Q2674" r:id="rId328" display="https://standards.buildingsmart.org/IFC/RELEASE/IFC4/ADD2_TC1/HTML/schema/ifcarchitecturedomain/lexical/ifcwindowstyleconstructionenum.htm" xr:uid="{D25D64F5-CA75-434E-9D00-0CB7716DA371}"/>
    <hyperlink ref="Q2722" r:id="rId329" display="https://standards.buildingsmart.org/IFC/RELEASE/IFC4/ADD2_TC1/HTML/schema/ifcarchitecturedomain/lexical/ifcwindowstyleoperationenum.htm" xr:uid="{15511A25-C39A-470E-BF50-F4F83A421BE2}"/>
    <hyperlink ref="Q2696" r:id="rId330" display="https://standards.buildingsmart.org/IFC/RELEASE/IFC4/ADD2_TC1/HTML/schema/ifcsharedbldgelements/lexical/ifcwindowtypeenum.htm" xr:uid="{ECC46F76-095A-4B4B-A649-B7E7760E8E52}"/>
    <hyperlink ref="Q2697" r:id="rId331" display="https://standards.buildingsmart.org/IFC/RELEASE/IFC4/ADD2_TC1/HTML/schema/ifcsharedbldgelements/lexical/ifcwindowtypepartitioningenum.htm" xr:uid="{C002E54A-5153-4CBE-B93C-93E0E66A2F9B}"/>
    <hyperlink ref="Q2620" r:id="rId332" display="https://standards.buildingsmart.org/IFC/RELEASE/IFC4/ADD2_TC1/HTML/schema/ifcprocessextension/lexical/ifcworkcalendartypeenum.htm" xr:uid="{C284587A-3CA4-4833-92D7-ED0FAE096791}"/>
    <hyperlink ref="Q2740" r:id="rId333" display="https://standards.buildingsmart.org/IFC/RELEASE/IFC4/ADD2_TC1/HTML/schema/ifcprocessextension/lexical/ifcworkplantypeenum.htm" xr:uid="{8D9E814E-7E44-4CC8-9CF6-DBD45262A236}"/>
    <hyperlink ref="Q2641" r:id="rId334" display="https://standards.buildingsmart.org/IFC/RELEASE/IFC4/ADD2_TC1/HTML/schema/ifcprocessextension/lexical/ifcworkscheduletypeenum.htm" xr:uid="{AC8BD15A-E6B3-490A-98AC-0797A8FD7400}"/>
    <hyperlink ref="Q2808" r:id="rId335" display="https://standards.buildingsmart.org/IFC/RELEASE/IFC4/ADD2_TC1/HTML/schema/ifcactorresource/lexical/ifcactorselect.htm" xr:uid="{0D509030-E31F-4848-ACC8-A3DF96309044}"/>
    <hyperlink ref="Q2862" r:id="rId336" display="https://standards.buildingsmart.org/IFC/RELEASE/IFC4/ADD2_TC1/HTML/schema/ifccostresource/lexical/ifcappliedvalueselect.htm" xr:uid="{8B69A92E-3B86-4635-AC16-5E6556CE5066}"/>
    <hyperlink ref="Q2843" r:id="rId337" display="https://standards.buildingsmart.org/IFC/RELEASE/IFC4/ADD2_TC1/HTML/schema/ifcgeometryresource/lexical/ifcaxis2placement.htm" xr:uid="{36F1B1E2-A912-4ACC-A1E2-F7D82526EFFE}"/>
    <hyperlink ref="Q2841" r:id="rId338" display="https://standards.buildingsmart.org/IFC/RELEASE/IFC4/ADD2_TC1/HTML/schema/ifcstructuralelementsdomain/lexical/ifcbendingparameterselect.htm" xr:uid="{3E6ED297-A227-470F-961A-28F9BE4D668A}"/>
    <hyperlink ref="Q2840" r:id="rId339" display="https://standards.buildingsmart.org/IFC/RELEASE/IFC4/ADD2_TC1/HTML/schema/ifcgeometricmodelresource/lexical/ifcbooleanoperand.htm" xr:uid="{CEA44BA1-E035-401D-BC0E-9D772D4A6E37}"/>
    <hyperlink ref="Q2847" r:id="rId340" display="https://standards.buildingsmart.org/IFC/RELEASE/IFC4/ADD2_TC1/HTML/schema/ifcexternalreferenceresource/lexical/ifcclassificationreferenceselect.htm" xr:uid="{D975E80F-F071-47C7-9A0F-04181006688A}"/>
    <hyperlink ref="Q2812" r:id="rId341" display="https://standards.buildingsmart.org/IFC/RELEASE/IFC4/ADD2_TC1/HTML/schema/ifcexternalreferenceresource/lexical/ifcclassificationselect.htm" xr:uid="{9C051B48-C111-4A60-860A-D05D4EE72F35}"/>
    <hyperlink ref="Q2814" r:id="rId342" display="https://standards.buildingsmart.org/IFC/RELEASE/IFC4/ADD2_TC1/HTML/schema/ifcpresentationappearanceresource/lexical/ifccolour.htm" xr:uid="{A205D61C-8FC1-4B7B-B497-55B00B6C6BE0}"/>
    <hyperlink ref="Q2815" r:id="rId343" display="https://standards.buildingsmart.org/IFC/RELEASE/IFC4/ADD2_TC1/HTML/schema/ifcpresentationappearanceresource/lexical/ifccolourorfactor.htm" xr:uid="{46B1ACA1-55F5-4D94-B0DC-2C89DCBFBD65}"/>
    <hyperlink ref="Q2854" r:id="rId344" display="https://standards.buildingsmart.org/IFC/RELEASE/IFC4/ADD2_TC1/HTML/schema/ifcrepresentationresource/lexical/ifccoordinatereferencesystemselect.htm" xr:uid="{AF96A22A-D7FB-464C-9861-9DB911138D65}"/>
    <hyperlink ref="Q2817" r:id="rId345" display="https://standards.buildingsmart.org/IFC/RELEASE/IFC4/ADD2_TC1/HTML/schema/ifcgeometricmodelresource/lexical/ifccsgselect.htm" xr:uid="{12F5EBAD-9E8A-4466-B9C6-417D4FD66768}"/>
    <hyperlink ref="Q2828" r:id="rId346" display="https://standards.buildingsmart.org/IFC/RELEASE/IFC4/ADD2_TC1/HTML/schema/ifcpresentationappearanceresource/lexical/ifccurvefontorscaledcurvefontselect.htm" xr:uid="{B70E77B0-EFA1-491B-B5E5-FEAC43FE0F2E}"/>
    <hyperlink ref="Q2818" r:id="rId347" display="https://standards.buildingsmart.org/IFC/RELEASE/IFC4/ADD2_TC1/HTML/schema/ifcgeometryresource/lexical/ifccurveonsurface.htm" xr:uid="{44CA53A0-748F-4575-91F5-E831AFB57F50}"/>
    <hyperlink ref="Q2819" r:id="rId348" display="https://standards.buildingsmart.org/IFC/RELEASE/IFC4/ADD2_TC1/HTML/schema/ifcgeometricconstraintresource/lexical/ifccurveoredgecurve.htm" xr:uid="{DBCE472D-2B89-4832-B65A-AB40086D4498}"/>
    <hyperlink ref="Q2831" r:id="rId349" display="https://standards.buildingsmart.org/IFC/RELEASE/IFC4/ADD2_TC1/HTML/schema/ifcpresentationappearanceresource/lexical/ifccurvestylefontselect.htm" xr:uid="{2B93E8DE-2DE7-4F4D-AB6C-A74DE1CF9A25}"/>
    <hyperlink ref="Q2821" r:id="rId350" display="https://standards.buildingsmart.org/IFC/RELEASE/IFC4/ADD2_TC1/HTML/schema/ifckernel/lexical/ifcdefinitionselect.htm" xr:uid="{2963B5E3-316C-48C0-A46C-2BC422FDC40F}"/>
    <hyperlink ref="Q2865" r:id="rId351" display="https://standards.buildingsmart.org/IFC/RELEASE/IFC4/ADD2_TC1/HTML/schema/ifcmeasureresource/lexical/ifcderivedmeasurevalue.htm" xr:uid="{D3292089-65E3-451C-9F74-3925C0C7EE9C}"/>
    <hyperlink ref="Q2825" r:id="rId352" display="https://standards.buildingsmart.org/IFC/RELEASE/IFC4/ADD2_TC1/HTML/schema/ifcexternalreferenceresource/lexical/ifcdocumentselect.htm" xr:uid="{EB056EA6-5144-4768-BFC0-B78AEBAA74F7}"/>
    <hyperlink ref="Q2827" r:id="rId353" display="https://standards.buildingsmart.org/IFC/RELEASE/IFC4/ADD2_TC1/HTML/schema/ifcpresentationappearanceresource/lexical/ifcfillstyleselect.htm" xr:uid="{5BEC8A5E-5999-42E9-B803-C2C961415FAA}"/>
    <hyperlink ref="Q2813" r:id="rId354" display="https://standards.buildingsmart.org/IFC/RELEASE/IFC4/ADD2_TC1/HTML/schema/ifcgeometricmodelresource/lexical/ifcgeometricsetselect.htm" xr:uid="{132C9B2E-BB71-4CAF-87D0-5AFF8F31F9AC}"/>
    <hyperlink ref="Q2823" r:id="rId355" display="https://standards.buildingsmart.org/IFC/RELEASE/IFC4/ADD2_TC1/HTML/schema/ifcgeometricconstraintresource/lexical/ifcgridplacementdirectionselect.htm" xr:uid="{664A1F18-9BA8-44C0-81A7-9F0F9B91A6D9}"/>
    <hyperlink ref="Q2824" r:id="rId356" display="https://standards.buildingsmart.org/IFC/RELEASE/IFC4/ADD2_TC1/HTML/schema/ifcpresentationappearanceresource/lexical/ifchatchlinedistanceselect.htm" xr:uid="{743232AB-3DB9-4ADB-8A59-AB4C9FC054DF}"/>
    <hyperlink ref="Q2834" r:id="rId357" display="https://standards.buildingsmart.org/IFC/RELEASE/IFC4/ADD2_TC1/HTML/schema/ifcpresentationorganizationresource/lexical/ifclayereditem.htm" xr:uid="{73C6B214-18B7-436D-B22E-DB929CB416F3}"/>
    <hyperlink ref="Q2811" r:id="rId358" display="https://standards.buildingsmart.org/IFC/RELEASE/IFC4/ADD2_TC1/HTML/schema/ifcexternalreferenceresource/lexical/ifclibraryselect.htm" xr:uid="{5079E2D6-F87E-4EA9-84D0-CB68D122AAF1}"/>
    <hyperlink ref="Q2829" r:id="rId359" display="https://standards.buildingsmart.org/IFC/RELEASE/IFC4/ADD2_TC1/HTML/schema/ifcpresentationorganizationresource/lexical/ifclightdistributiondatasourceselect.htm" xr:uid="{26E00E32-6050-4BF7-92B2-372A5EAE07CD}"/>
    <hyperlink ref="Q2835" r:id="rId360" display="https://standards.buildingsmart.org/IFC/RELEASE/IFC4/ADD2_TC1/HTML/schema/ifcmaterialresource/lexical/ifcmaterialselect.htm" xr:uid="{C44D3AA7-9DCD-4BCE-99FC-73B5E070A554}"/>
    <hyperlink ref="Q2864" r:id="rId361" display="https://standards.buildingsmart.org/IFC/RELEASE/IFC4/ADD2_TC1/HTML/schema/ifcmeasureresource/lexical/ifcmeasurevalue.htm" xr:uid="{1B2687B3-7052-41D4-91A8-7EB7AD2BC834}"/>
    <hyperlink ref="Q2863" r:id="rId362" display="https://standards.buildingsmart.org/IFC/RELEASE/IFC4/ADD2_TC1/HTML/schema/ifcconstraintresource/lexical/ifcmetricvalueselect.htm" xr:uid="{245F26B8-32C7-4067-A0FE-5EDC24120620}"/>
    <hyperlink ref="Q2836" r:id="rId363" display="https://standards.buildingsmart.org/IFC/RELEASE/IFC4/ADD2_TC1/HTML/schema/ifcstructuralloadresource/lexical/ifcmodulusofrotationalsubgradereactionselect.htm" xr:uid="{66488F38-F945-4C47-92C4-B523E3471C28}"/>
    <hyperlink ref="Q2838" r:id="rId364" display="https://standards.buildingsmart.org/IFC/RELEASE/IFC4/ADD2_TC1/HTML/schema/ifcstructuralloadresource/lexical/ifcmodulusofsubgradereactionselect.htm" xr:uid="{81BE1051-47AE-4182-9EB1-1FFC5BF59E1D}"/>
    <hyperlink ref="Q2837" r:id="rId365" display="https://standards.buildingsmart.org/IFC/RELEASE/IFC4/ADD2_TC1/HTML/schema/ifcstructuralloadresource/lexical/ifcmodulusoftranslationalsubgradereactionselect.htm" xr:uid="{E83EC694-33AB-47C6-BE07-59F5C7F63830}"/>
    <hyperlink ref="Q2848" r:id="rId366" display="https://standards.buildingsmart.org/IFC/RELEASE/IFC4/ADD2_TC1/HTML/schema/ifcpropertyresource/lexical/ifcobjectreferenceselect.htm" xr:uid="{AA9CB683-A539-4E13-8C4A-CC315D82C0DE}"/>
    <hyperlink ref="Q2842" r:id="rId367" display="https://standards.buildingsmart.org/IFC/RELEASE/IFC4/ADD2_TC1/HTML/schema/ifcgeometricconstraintresource/lexical/ifcpointorvertexpoint.htm" xr:uid="{DE0625CC-2323-4AA9-AF5D-401314F3C148}"/>
    <hyperlink ref="Q2853" r:id="rId368" display="https://standards.buildingsmart.org/IFC/RELEASE/IFC4/ADD2_TC1/HTML/schema/ifcpresentationappearanceresource/lexical/ifcpresentationstyleselect.htm" xr:uid="{4FBFD6C9-996C-4CE2-B03C-AF78647E3683}"/>
    <hyperlink ref="Q2844" r:id="rId369" display="https://standards.buildingsmart.org/IFC/RELEASE/IFC4/ADD2_TC1/HTML/schema/ifckernel/lexical/ifcprocessselect.htm" xr:uid="{3623F460-18F5-4D92-B17C-CC246E31B986}"/>
    <hyperlink ref="Q2849" r:id="rId370" display="https://standards.buildingsmart.org/IFC/RELEASE/IFC4/ADD2_TC1/HTML/schema/ifcrepresentationresource/lexical/ifcproductrepresentationselect.htm" xr:uid="{B1605D32-BB20-400F-87E5-3C35074B4750}"/>
    <hyperlink ref="Q2845" r:id="rId371" display="https://standards.buildingsmart.org/IFC/RELEASE/IFC4/ADD2_TC1/HTML/schema/ifckernel/lexical/ifcproductselect.htm" xr:uid="{C387CDCF-3788-4746-9A65-919761704DB4}"/>
    <hyperlink ref="Q2820" r:id="rId372" display="https://standards.buildingsmart.org/IFC/RELEASE/IFC4/ADD2_TC1/HTML/schema/ifckernel/lexical/ifcpropertysetdefinitionselect.htm" xr:uid="{F70E44DB-4EB2-42F6-8CB9-E84AD705F113}"/>
    <hyperlink ref="Q2839" r:id="rId373" display="https://standards.buildingsmart.org/IFC/RELEASE/IFC4/ADD2_TC1/HTML/schema/ifcexternalreferenceresource/lexical/ifcresourceobjectselect.htm" xr:uid="{8019416F-7CAD-4041-BD4F-F116F850F0B8}"/>
    <hyperlink ref="Q2846" r:id="rId374" display="https://standards.buildingsmart.org/IFC/RELEASE/IFC4/ADD2_TC1/HTML/schema/ifckernel/lexical/ifcresourceselect.htm" xr:uid="{6618AA07-1FB4-4AC0-9B59-97F2B8CECE3E}"/>
    <hyperlink ref="Q2851" r:id="rId375" display="https://standards.buildingsmart.org/IFC/RELEASE/IFC4/ADD2_TC1/HTML/schema/ifcstructuralloadresource/lexical/ifcrotationalstiffnessselect.htm" xr:uid="{45CC591F-17C3-40B2-8B34-B28A648998E0}"/>
    <hyperlink ref="Q2833" r:id="rId376" display="https://standards.buildingsmart.org/IFC/RELEASE/IFC4/ADD2_TC1/HTML/schema/ifcgeometryresource/lexical/ifcsegmentindexselect.htm" xr:uid="{55EB5588-4B83-4D9F-8730-68F451F731D6}"/>
    <hyperlink ref="Q2855" r:id="rId377" display="https://standards.buildingsmart.org/IFC/RELEASE/IFC4/ADD2_TC1/HTML/schema/ifctopologyresource/lexical/ifcshell.htm" xr:uid="{0254F31A-EAC5-4064-A2CC-9D9E5966B3D0}"/>
    <hyperlink ref="Q2866" r:id="rId378" display="https://standards.buildingsmart.org/IFC/RELEASE/IFC4/ADD2_TC1/HTML/schema/ifcmeasureresource/lexical/ifcsimplevalue.htm" xr:uid="{AEDC3E29-4B2C-439C-B274-C7C37A8B9429}"/>
    <hyperlink ref="Q2858" r:id="rId379" display="https://standards.buildingsmart.org/IFC/RELEASE/IFC4/ADD2_TC1/HTML/schema/ifcpresentationappearanceresource/lexical/ifcsizeselect.htm" xr:uid="{3A7FF6FF-BBF5-4847-AFCA-2BF1C1897D4B}"/>
    <hyperlink ref="Q2856" r:id="rId380" display="https://standards.buildingsmart.org/IFC/RELEASE/IFC4/ADD2_TC1/HTML/schema/ifcgeometricconstraintresource/lexical/ifcsolidorshell.htm" xr:uid="{25E9236C-451A-4F8E-9D4E-E73CFAAF2A2F}"/>
    <hyperlink ref="Q2832" r:id="rId381" display="https://standards.buildingsmart.org/IFC/RELEASE/IFC4/ADD2_TC1/HTML/schema/ifcproductextension/lexical/ifcspaceboundaryselect.htm" xr:uid="{992F6EAE-0275-4255-AB03-F6E7C94D77FD}"/>
    <hyperlink ref="Q2822" r:id="rId382" display="https://standards.buildingsmart.org/IFC/RELEASE/IFC4/ADD2_TC1/HTML/schema/ifcpresentationappearanceresource/lexical/ifcspecularhighlightselect.htm" xr:uid="{C5CDF964-1134-4DE2-BC78-C2838AFC9221}"/>
    <hyperlink ref="Q2809" r:id="rId383" display="https://standards.buildingsmart.org/IFC/RELEASE/IFC4/ADD2_TC1/HTML/schema/ifcstructuralanalysisdomain/lexical/ifcstructuralactivityassignmentselect.htm" xr:uid="{0DD206A1-AD8B-41B5-8DD9-F3C2CA82E25D}"/>
    <hyperlink ref="Q2810" r:id="rId384" display="https://standards.buildingsmart.org/IFC/RELEASE/IFC4/ADD2_TC1/HTML/schema/ifcpresentationappearanceresource/lexical/ifcstyleassignmentselect.htm" xr:uid="{82370405-FE7E-4E30-851E-FDFE69C721AF}"/>
    <hyperlink ref="Q2857" r:id="rId385" display="https://standards.buildingsmart.org/IFC/RELEASE/IFC4/ADD2_TC1/HTML/schema/ifcgeometricconstraintresource/lexical/ifcsurfaceorfacesurface.htm" xr:uid="{DEC8AEB5-E8E4-4245-A7BD-F7279DAD6DA9}"/>
    <hyperlink ref="Q2826" r:id="rId386" display="https://standards.buildingsmart.org/IFC/RELEASE/IFC4/ADD2_TC1/HTML/schema/ifcpresentationappearanceresource/lexical/ifcsurfacestyleelementselect.htm" xr:uid="{276BECA7-2820-4D90-8826-BEE6C8625B22}"/>
    <hyperlink ref="Q2830" r:id="rId387" display="https://standards.buildingsmart.org/IFC/RELEASE/IFC4/ADD2_TC1/HTML/schema/ifcpresentationappearanceresource/lexical/ifctextfontselect.htm" xr:uid="{D316C9A7-DF00-4BB5-9AC6-FD3172A14B46}"/>
    <hyperlink ref="Q2859" r:id="rId388" display="https://standards.buildingsmart.org/IFC/RELEASE/IFC4/ADD2_TC1/HTML/schema/ifcdatetimeresource/lexical/ifctimeorratioselect.htm" xr:uid="{AC9ECAC0-F8A4-439E-A8A9-148400BB150C}"/>
    <hyperlink ref="Q2852" r:id="rId389" display="https://standards.buildingsmart.org/IFC/RELEASE/IFC4/ADD2_TC1/HTML/schema/ifcstructuralloadresource/lexical/ifctranslationalstiffnessselect.htm" xr:uid="{235636E8-6E30-49C8-83CB-6B1AB6FFE6E3}"/>
    <hyperlink ref="Q2816" r:id="rId390" display="https://standards.buildingsmart.org/IFC/RELEASE/IFC4/ADD2_TC1/HTML/schema/ifcgeometryresource/lexical/ifctrimmingselect.htm" xr:uid="{38103635-F722-46AF-A546-494510E5D5C2}"/>
    <hyperlink ref="Q2860" r:id="rId391" display="https://standards.buildingsmart.org/IFC/RELEASE/IFC4/ADD2_TC1/HTML/schema/ifcmeasureresource/lexical/ifcunit.htm" xr:uid="{40F2110F-091C-4FB7-A8F5-C097AA61EDA7}"/>
    <hyperlink ref="Q2861" r:id="rId392" display="https://standards.buildingsmart.org/IFC/RELEASE/IFC4/ADD2_TC1/HTML/schema/ifcmeasureresource/lexical/ifcvalue.htm" xr:uid="{1F2D1D4B-1691-4AE8-B2E6-18334970DF7E}"/>
    <hyperlink ref="Q2867" r:id="rId393" display="https://standards.buildingsmart.org/IFC/RELEASE/IFC4/ADD2_TC1/HTML/schema/ifcgeometryresource/lexical/ifcvectorordirection.htm" xr:uid="{88183C85-6300-4772-B340-794467111C33}"/>
    <hyperlink ref="Q2850" r:id="rId394" display="https://standards.buildingsmart.org/IFC/RELEASE/IFC4/ADD2_TC1/HTML/schema/ifcstructuralloadresource/lexical/ifcwarpingstiffnessselect.htm" xr:uid="{1416FAF2-68CD-46BE-A87B-F8E76813FDDA}"/>
    <hyperlink ref="Q3546" r:id="rId395" display="https://standards.buildingsmart.org/IFC/RELEASE/IFC4/ADD2_TC1/HTML/schema/ifcsharedmgmtelements/lexical/ifcactionrequest.htm" xr:uid="{5AC1B38F-EDB2-4F76-9D48-2CE0DC73CC25}"/>
    <hyperlink ref="Q2932" r:id="rId396" display="https://standards.buildingsmart.org/IFC/RELEASE/IFC4/ADD2_TC1/HTML/schema/ifckernel/lexical/ifcactor.htm" xr:uid="{32E9DB79-0C5C-46DB-82E7-19B500A4DB70}"/>
    <hyperlink ref="Q3525" r:id="rId397" display="https://standards.buildingsmart.org/IFC/RELEASE/IFC4/ADD2_TC1/HTML/schema/ifcactorresource/lexical/ifcactorrole.htm" xr:uid="{D7FD818D-607E-4C70-85BE-280D2CDCD7B0}"/>
    <hyperlink ref="Q2934" r:id="rId398" display="https://standards.buildingsmart.org/IFC/RELEASE/IFC4/ADD2_TC1/HTML/schema/ifcbuildingcontrolsdomain/lexical/ifcactuator.htm" xr:uid="{91391C27-9FFA-4969-8756-49510F2DC13D}"/>
    <hyperlink ref="Q2935" r:id="rId399" display="https://standards.buildingsmart.org/IFC/RELEASE/IFC4/ADD2_TC1/HTML/schema/ifcbuildingcontrolsdomain/lexical/ifcactuatortype.htm" xr:uid="{25CC070C-91A4-4221-86F6-272B101C5221}"/>
    <hyperlink ref="Q3094" r:id="rId400" display="https://standards.buildingsmart.org/IFC/RELEASE/IFC4/ADD2_TC1/HTML/schema/ifcactorresource/lexical/ifcaddress.htm" xr:uid="{556892C2-2704-4EBB-8300-A219D84C01D6}"/>
    <hyperlink ref="Q3162" r:id="rId401" display="https://standards.buildingsmart.org/IFC/RELEASE/IFC4/ADD2_TC1/HTML/schema/ifcgeometricmodelresource/lexical/ifcadvancedbrep.htm" xr:uid="{862B7AEC-6E4E-48DA-9613-830951D589DA}"/>
    <hyperlink ref="Q3163" r:id="rId402" display="https://standards.buildingsmart.org/IFC/RELEASE/IFC4/ADD2_TC1/HTML/schema/ifcgeometricmodelresource/lexical/ifcadvancedbrepwithvoids.htm" xr:uid="{B4553C80-B3BC-4BD0-82C9-DAFAC763FED2}"/>
    <hyperlink ref="Q3214" r:id="rId403" display="https://standards.buildingsmart.org/IFC/RELEASE/IFC4/ADD2_TC1/HTML/schema/ifctopologyresource/lexical/ifcadvancedface.htm" xr:uid="{EBC683BF-64C7-474C-8229-5F49EC31412E}"/>
    <hyperlink ref="Q3580" r:id="rId404" display="https://standards.buildingsmart.org/IFC/RELEASE/IFC4/ADD2_TC1/HTML/schema/ifchvacdomain/lexical/ifcairterminal.htm" xr:uid="{FA83F1CA-754B-4ABC-921D-A9FFC125B939}"/>
    <hyperlink ref="Q3582" r:id="rId405" display="https://standards.buildingsmart.org/IFC/RELEASE/IFC4/ADD2_TC1/HTML/schema/ifchvacdomain/lexical/ifcairterminalbox.htm" xr:uid="{D53CB3AA-648A-4322-8451-2E374D71F91E}"/>
    <hyperlink ref="Q3583" r:id="rId406" display="https://standards.buildingsmart.org/IFC/RELEASE/IFC4/ADD2_TC1/HTML/schema/ifchvacdomain/lexical/ifcairterminalboxtype.htm" xr:uid="{A4E2519E-F4CE-4453-8E21-BA13F2FED280}"/>
    <hyperlink ref="Q3581" r:id="rId407" display="https://standards.buildingsmart.org/IFC/RELEASE/IFC4/ADD2_TC1/HTML/schema/ifchvacdomain/lexical/ifcairterminaltype.htm" xr:uid="{A1EFE4DB-E97B-4A01-96B3-DE758781603A}"/>
    <hyperlink ref="Q3424" r:id="rId408" display="https://standards.buildingsmart.org/IFC/RELEASE/IFC4/ADD2_TC1/HTML/schema/ifchvacdomain/lexical/ifcairtoairheatrecovery.htm" xr:uid="{B32CD620-5B29-4BF9-AAD2-100E8F3AAC54}"/>
    <hyperlink ref="Q3425" r:id="rId409" display="https://standards.buildingsmart.org/IFC/RELEASE/IFC4/ADD2_TC1/HTML/schema/ifchvacdomain/lexical/ifcairtoairheatrecoverytype.htm" xr:uid="{CA965D69-9810-4E02-8ECA-410D00AF05D2}"/>
    <hyperlink ref="Q2874" r:id="rId410" display="https://standards.buildingsmart.org/IFC/RELEASE/IFC4/ADD2_TC1/HTML/schema/ifcbuildingcontrolsdomain/lexical/ifcalarm.htm" xr:uid="{489EDF1D-15D2-4646-908D-10CAB62445B1}"/>
    <hyperlink ref="Q2875" r:id="rId411" display="https://standards.buildingsmart.org/IFC/RELEASE/IFC4/ADD2_TC1/HTML/schema/ifcbuildingcontrolsdomain/lexical/ifcalarmtype.htm" xr:uid="{DFC4CBEF-3646-4379-9B3C-954224BC0E3E}"/>
    <hyperlink ref="Q3102" r:id="rId412" display="https://standards.buildingsmart.org/IFC/RELEASE/IFC4/ADD2_TC1/HTML/schema/ifcproductextension/lexical/ifcannotation.htm" xr:uid="{AF0C1818-4865-4472-847D-A99CB69D8030}"/>
    <hyperlink ref="Q3103" r:id="rId413" display="https://standards.buildingsmart.org/IFC/RELEASE/IFC4/ADD2_TC1/HTML/schema/ifcpresentationdefinitionresource/lexical/ifcannotationfillarea.htm" xr:uid="{0AA041D1-C9AA-4689-A04C-29F77E631C34}"/>
    <hyperlink ref="Q2922" r:id="rId414" display="https://standards.buildingsmart.org/IFC/RELEASE/IFC4/ADD2_TC1/HTML/schema/ifcutilityresource/lexical/ifcapplication.htm" xr:uid="{14D9928F-6A36-4503-8BE8-5471CAD5D461}"/>
    <hyperlink ref="Q3623" r:id="rId415" display="https://standards.buildingsmart.org/IFC/RELEASE/IFC4/ADD2_TC1/HTML/schema/ifccostresource/lexical/ifcappliedvalue.htm" xr:uid="{CB2C2BE3-9425-40A0-8811-4A155E71CC04}"/>
    <hyperlink ref="Q2923" r:id="rId416" display="https://standards.buildingsmart.org/IFC/RELEASE/IFC4/ADD2_TC1/HTML/schema/ifcapprovalresource/lexical/ifcapproval.htm" xr:uid="{1ADF2003-EB08-4919-9BA8-9060B162B1EF}"/>
    <hyperlink ref="Q3458" r:id="rId417" display="https://standards.buildingsmart.org/IFC/RELEASE/IFC4/ADD2_TC1/HTML/schema/ifcapprovalresource/lexical/ifcapprovalrelationship.htm" xr:uid="{A985A3DF-21CA-4430-A10C-41D67E379C9A}"/>
    <hyperlink ref="Q3015" r:id="rId418" display="https://standards.buildingsmart.org/IFC/RELEASE/IFC4/ADD2_TC1/HTML/schema/ifcprofileresource/lexical/ifcarbitraryclosedprofiledef.htm" xr:uid="{D0B5CED1-EAE3-44AF-8ECA-945C9CBE20DD}"/>
    <hyperlink ref="Q3013" r:id="rId419" display="https://standards.buildingsmart.org/IFC/RELEASE/IFC4/ADD2_TC1/HTML/schema/ifcprofileresource/lexical/ifcarbitraryopenprofiledef.htm" xr:uid="{8EBF398C-9D85-42AA-816B-863386469058}"/>
    <hyperlink ref="Q3014" r:id="rId420" display="https://standards.buildingsmart.org/IFC/RELEASE/IFC4/ADD2_TC1/HTML/schema/ifcprofileresource/lexical/ifcarbitraryprofiledefwithvoids.htm" xr:uid="{74137ABB-2F5E-46CC-9392-ACA42EB0D4F8}"/>
    <hyperlink ref="Q2931" r:id="rId421" display="https://standards.buildingsmart.org/IFC/RELEASE/IFC4/ADD2_TC1/HTML/schema/ifcsharedfacilitieselements/lexical/ifcasset.htm" xr:uid="{2788F76A-257E-4407-8C9A-037480B32BBE}"/>
    <hyperlink ref="Q3016" r:id="rId422" display="https://standards.buildingsmart.org/IFC/RELEASE/IFC4/ADD2_TC1/HTML/schema/ifcprofileresource/lexical/ifcasymmetricishapeprofiledef.htm" xr:uid="{92D53522-D974-47C1-AD85-C0A4B14B9914}"/>
    <hyperlink ref="Q2918" r:id="rId423" display="https://standards.buildingsmart.org/IFC/RELEASE/IFC4/ADD2_TC1/HTML/schema/ifcelectricaldomain/lexical/ifcaudiovisualappliance.htm" xr:uid="{8AD465F0-E5DF-42AF-B3A8-87BA356B125A}"/>
    <hyperlink ref="Q2919" r:id="rId424" display="https://standards.buildingsmart.org/IFC/RELEASE/IFC4/ADD2_TC1/HTML/schema/ifcelectricaldomain/lexical/ifcaudiovisualappliancetype.htm" xr:uid="{99D70D6A-7086-46FE-B9E4-27C25E3F04A2}"/>
    <hyperlink ref="Q3232" r:id="rId425" display="https://standards.buildingsmart.org/IFC/RELEASE/IFC4/ADD2_TC1/HTML/schema/ifcgeometryresource/lexical/ifcaxis1placement.htm" xr:uid="{A0E3D2D2-2A5E-4F5F-9891-DD5C4C3A71AB}"/>
    <hyperlink ref="Q3233" r:id="rId426" display="https://standards.buildingsmart.org/IFC/RELEASE/IFC4/ADD2_TC1/HTML/schema/ifcgeometryresource/lexical/ifcaxis2placement2d.htm" xr:uid="{E6717078-636E-4B21-BAD6-73CB5F0E3D97}"/>
    <hyperlink ref="Q3234" r:id="rId427" display="https://standards.buildingsmart.org/IFC/RELEASE/IFC4/ADD2_TC1/HTML/schema/ifcgeometryresource/lexical/ifcaxis2placement3d.htm" xr:uid="{06F51D98-DF9C-4B56-8D11-238FDB1EA5D8}"/>
    <hyperlink ref="Q3639" r:id="rId428" display="https://standards.buildingsmart.org/IFC/RELEASE/IFC4/ADD2_TC1/HTML/schema/ifcsharedbldgelements/lexical/ifcbeam.htm" xr:uid="{258F4E90-CDBB-4B68-A98E-C5638735277D}"/>
    <hyperlink ref="Q2951" r:id="rId429" display="https://standards.buildingsmart.org/IFC/RELEASE/IFC4/ADD2_TC1/HTML/schema/ifcsharedbldgelements/lexical/ifcbeamstandardcase.htm" xr:uid="{596E38A6-01CC-4466-B94D-8011C1DDEE17}"/>
    <hyperlink ref="Q3640" r:id="rId430" display="https://standards.buildingsmart.org/IFC/RELEASE/IFC4/ADD2_TC1/HTML/schema/ifcsharedbldgelements/lexical/ifcbeamtype.htm" xr:uid="{B0D3165A-410B-407F-9204-2B8DDBD9BBD2}"/>
    <hyperlink ref="Q3274" r:id="rId431" display="https://standards.buildingsmart.org/IFC/RELEASE/IFC4/ADD2_TC1/HTML/schema/ifcpresentationappearanceresource/lexical/ifcblobtexture.htm" xr:uid="{A85812E6-5BD7-44E9-8659-25BEEF27C4E9}"/>
    <hyperlink ref="Q2937" r:id="rId432" display="https://standards.buildingsmart.org/IFC/RELEASE/IFC4/ADD2_TC1/HTML/schema/ifcgeometricmodelresource/lexical/ifcblock.htm" xr:uid="{0F70B876-E791-4E9C-8AFD-F15336309886}"/>
    <hyperlink ref="Q2938" r:id="rId433" display="https://standards.buildingsmart.org/IFC/RELEASE/IFC4/ADD2_TC1/HTML/schema/ifchvacdomain/lexical/ifcboiler.htm" xr:uid="{BC55FAA5-048C-4796-AC27-1073FA373C34}"/>
    <hyperlink ref="Q2939" r:id="rId434" display="https://standards.buildingsmart.org/IFC/RELEASE/IFC4/ADD2_TC1/HTML/schema/ifchvacdomain/lexical/ifcboilertype.htm" xr:uid="{BDDEDE2B-CE24-4B27-A6CD-78BFEDE1D0A1}"/>
    <hyperlink ref="Q3524" r:id="rId435" display="https://standards.buildingsmart.org/IFC/RELEASE/IFC4/ADD2_TC1/HTML/schema/ifcgeometricmodelresource/lexical/ifcbooleanclippingresult.htm" xr:uid="{CE70DFB3-BA33-4CBE-9C66-0720F59A2CF8}"/>
    <hyperlink ref="Q3523" r:id="rId436" display="https://standards.buildingsmart.org/IFC/RELEASE/IFC4/ADD2_TC1/HTML/schema/ifcgeometricmodelresource/lexical/ifcbooleanresult.htm" xr:uid="{F0C0F881-D356-499D-8A9A-D1A8076E362E}"/>
    <hyperlink ref="Q2901" r:id="rId437" display="https://standards.buildingsmart.org/IFC/RELEASE/IFC4/ADD2_TC1/HTML/schema/ifcstructuralloadresource/lexical/ifcboundarycondition.htm" xr:uid="{50C4C315-855B-4D35-ADFD-11932EBF69E7}"/>
    <hyperlink ref="Q3195" r:id="rId438" display="https://standards.buildingsmart.org/IFC/RELEASE/IFC4/ADD2_TC1/HTML/schema/ifcgeometryresource/lexical/ifcboundarycurve.htm" xr:uid="{102576E8-639A-4C5E-A18D-7ADEADF081A8}"/>
    <hyperlink ref="Q2897" r:id="rId439" display="https://standards.buildingsmart.org/IFC/RELEASE/IFC4/ADD2_TC1/HTML/schema/ifcstructuralloadresource/lexical/ifcboundaryedgecondition.htm" xr:uid="{F48DA75A-8570-495F-B3B4-024FE660FEBF}"/>
    <hyperlink ref="Q2902" r:id="rId440" display="https://standards.buildingsmart.org/IFC/RELEASE/IFC4/ADD2_TC1/HTML/schema/ifcstructuralloadresource/lexical/ifcboundaryfacecondition.htm" xr:uid="{15BF84AF-0CE4-45B1-B947-369DD47AB368}"/>
    <hyperlink ref="Q2903" r:id="rId441" display="https://standards.buildingsmart.org/IFC/RELEASE/IFC4/ADD2_TC1/HTML/schema/ifcstructuralloadresource/lexical/ifcboundarynodecondition.htm" xr:uid="{38219570-07C1-4FCF-8E16-234EB7B55986}"/>
    <hyperlink ref="Q2904" r:id="rId442" display="https://standards.buildingsmart.org/IFC/RELEASE/IFC4/ADD2_TC1/HTML/schema/ifcstructuralloadresource/lexical/ifcboundarynodeconditionwarping.htm" xr:uid="{36AB4EAF-EF15-4863-974E-1552D4147500}"/>
    <hyperlink ref="Q3202" r:id="rId443" display="https://standards.buildingsmart.org/IFC/RELEASE/IFC4/ADD2_TC1/HTML/schema/ifcgeometryresource/lexical/ifcboundedcurve.htm" xr:uid="{0F61541E-13AB-4C72-A7CA-781AC8C9F51B}"/>
    <hyperlink ref="Q3267" r:id="rId444" display="https://standards.buildingsmart.org/IFC/RELEASE/IFC4/ADD2_TC1/HTML/schema/ifcgeometryresource/lexical/ifcboundedsurface.htm" xr:uid="{EA5074F6-9439-480E-BFCE-762B205EADFE}"/>
    <hyperlink ref="Q3167" r:id="rId445" display="https://standards.buildingsmart.org/IFC/RELEASE/IFC4/ADD2_TC1/HTML/schema/ifcgeometricmodelresource/lexical/ifcboundingbox.htm" xr:uid="{2C87528F-5D8E-485E-B6C6-123F17EB9018}"/>
    <hyperlink ref="Q3248" r:id="rId446" display="https://standards.buildingsmart.org/IFC/RELEASE/IFC4/ADD2_TC1/HTML/schema/ifcgeometricmodelresource/lexical/ifcboxedhalfspace.htm" xr:uid="{C6E90A78-44F6-4488-B618-D2058DB66324}"/>
    <hyperlink ref="Q3190" r:id="rId447" display="https://standards.buildingsmart.org/IFC/RELEASE/IFC4/ADD2_TC1/HTML/schema/ifcgeometryresource/lexical/ifcbsplinecurve.htm" xr:uid="{13DC38E6-9A00-46C0-8EE7-7A61608DEEEA}"/>
    <hyperlink ref="Q3191" r:id="rId448" display="https://standards.buildingsmart.org/IFC/RELEASE/IFC4/ADD2_TC1/HTML/schema/ifcgeometryresource/lexical/ifcbsplinecurvewithknots.htm" xr:uid="{EA41ACEF-953F-4001-B315-1EBD8CEFC112}"/>
    <hyperlink ref="Q3257" r:id="rId449" display="https://standards.buildingsmart.org/IFC/RELEASE/IFC4/ADD2_TC1/HTML/schema/ifcgeometryresource/lexical/ifcbsplinesurface.htm" xr:uid="{627FF0C3-239A-4147-B32E-0EF6B6555199}"/>
    <hyperlink ref="Q3258" r:id="rId450" display="https://standards.buildingsmart.org/IFC/RELEASE/IFC4/ADD2_TC1/HTML/schema/ifcgeometryresource/lexical/ifcbsplinesurfacewithknots.htm" xr:uid="{A706685F-3909-4946-91F9-84B1383E6F30}"/>
    <hyperlink ref="Q3058" r:id="rId451" display="https://standards.buildingsmart.org/IFC/RELEASE/IFC4/ADD2_TC1/HTML/schema/ifcproductextension/lexical/ifcbuilding.htm" xr:uid="{222E5D6A-2043-42BC-AF76-1DB0982FEE2C}"/>
    <hyperlink ref="Q3069" r:id="rId452" display="https://standards.buildingsmart.org/IFC/RELEASE/IFC4/ADD2_TC1/HTML/schema/ifcproductextension/lexical/ifcbuildingelement.htm" xr:uid="{85608B8C-810E-4573-8ACD-289B070A0F2F}"/>
    <hyperlink ref="Q3381" r:id="rId453" display="https://standards.buildingsmart.org/IFC/RELEASE/IFC4/ADD2_TC1/HTML/schema/ifcsharedcomponentelements/lexical/ifcbuildingelementpart.htm" xr:uid="{F1D782DB-E0AC-469B-A460-CB4296BE43CF}"/>
    <hyperlink ref="Q3382" r:id="rId454" display="https://standards.buildingsmart.org/IFC/RELEASE/IFC4/ADD2_TC1/HTML/schema/ifcsharedcomponentelements/lexical/ifcbuildingelementparttype.htm" xr:uid="{E6705465-989A-42B2-BF38-A2BC9F69C106}"/>
    <hyperlink ref="Q3411" r:id="rId455" display="https://standards.buildingsmart.org/IFC/RELEASE/IFC4/ADD2_TC1/HTML/schema/ifcsharedbldgelements/lexical/ifcbuildingelementproxy.htm" xr:uid="{B9467C2B-6282-4F06-BA8B-940CA2DA8A85}"/>
    <hyperlink ref="Q3412" r:id="rId456" display="https://standards.buildingsmart.org/IFC/RELEASE/IFC4/ADD2_TC1/HTML/schema/ifcsharedbldgelements/lexical/ifcbuildingelementproxytype.htm" xr:uid="{1D148FED-01E0-4ABB-9A86-F31F0E2586D4}"/>
    <hyperlink ref="Q3070" r:id="rId457" display="https://standards.buildingsmart.org/IFC/RELEASE/IFC4/ADD2_TC1/HTML/schema/ifcproductextension/lexical/ifcbuildingelementtype.htm" xr:uid="{FFAA9FFC-F1A2-4845-A947-49A5399F9FB9}"/>
    <hyperlink ref="Q2917" r:id="rId458" display="https://standards.buildingsmart.org/IFC/RELEASE/IFC4/ADD2_TC1/HTML/schema/ifcproductextension/lexical/ifcbuildingstorey.htm" xr:uid="{FB274ACA-4298-4206-BA52-B948E58C8C72}"/>
    <hyperlink ref="Q3542" r:id="rId459" display="https://standards.buildingsmart.org/IFC/RELEASE/IFC4/ADD2_TC1/HTML/schema/ifcsharedbldgelements/lexical/ifcbuildingsystem.htm" xr:uid="{9DF7F854-4449-4FE8-81CB-5E1EF8C77DAD}"/>
    <hyperlink ref="Q3418" r:id="rId460" display="https://standards.buildingsmart.org/IFC/RELEASE/IFC4/ADD2_TC1/HTML/schema/ifchvacdomain/lexical/ifcburner.htm" xr:uid="{2E17C44F-5898-47DC-9C9B-CC8F414B2CE5}"/>
    <hyperlink ref="Q3419" r:id="rId461" display="https://standards.buildingsmart.org/IFC/RELEASE/IFC4/ADD2_TC1/HTML/schema/ifchvacdomain/lexical/ifcburnertype.htm" xr:uid="{921CC796-363E-4FDF-912D-48C7294FA0BA}"/>
    <hyperlink ref="Q2990" r:id="rId462" display="https://standards.buildingsmart.org/IFC/RELEASE/IFC4/ADD2_TC1/HTML/schema/ifcelectricaldomain/lexical/ifccablecarrierfitting.htm" xr:uid="{95541FCC-AE84-4F83-960D-8E7D2A21F0AB}"/>
    <hyperlink ref="Q2991" r:id="rId463" display="https://standards.buildingsmart.org/IFC/RELEASE/IFC4/ADD2_TC1/HTML/schema/ifcelectricaldomain/lexical/ifccablecarrierfittingtype.htm" xr:uid="{48D4251C-B106-42AD-AA2C-491A19204543}"/>
    <hyperlink ref="Q3532" r:id="rId464" display="https://standards.buildingsmart.org/IFC/RELEASE/IFC4/ADD2_TC1/HTML/schema/ifcelectricaldomain/lexical/ifccablecarriersegment.htm" xr:uid="{E1AA4CA0-6D82-4C27-B075-92F437B74E18}"/>
    <hyperlink ref="Q3533" r:id="rId465" display="https://standards.buildingsmart.org/IFC/RELEASE/IFC4/ADD2_TC1/HTML/schema/ifcelectricaldomain/lexical/ifccablecarriersegmenttype.htm" xr:uid="{B4F3A206-A087-4AA0-AA67-77F2F13EA46B}"/>
    <hyperlink ref="Q2977" r:id="rId466" display="https://standards.buildingsmart.org/IFC/RELEASE/IFC4/ADD2_TC1/HTML/schema/ifcelectricaldomain/lexical/ifccablefitting.htm" xr:uid="{09658C7C-46D4-4756-8B26-67DABBEE5920}"/>
    <hyperlink ref="Q2978" r:id="rId467" display="https://standards.buildingsmart.org/IFC/RELEASE/IFC4/ADD2_TC1/HTML/schema/ifcelectricaldomain/lexical/ifccablefittingtype.htm" xr:uid="{74930624-D0B9-4DF7-8339-1C1C3AB884CD}"/>
    <hyperlink ref="Q3526" r:id="rId468" display="https://standards.buildingsmart.org/IFC/RELEASE/IFC4/ADD2_TC1/HTML/schema/ifcelectricaldomain/lexical/ifccablesegment.htm" xr:uid="{13674AEC-BFD6-4345-8D02-EE228C638F0B}"/>
    <hyperlink ref="Q3527" r:id="rId469" display="https://standards.buildingsmart.org/IFC/RELEASE/IFC4/ADD2_TC1/HTML/schema/ifcelectricaldomain/lexical/ifccablesegmenttype.htm" xr:uid="{1560BCD1-0B0E-476D-BDB5-615E71326A21}"/>
    <hyperlink ref="Q3243" r:id="rId470" display="https://standards.buildingsmart.org/IFC/RELEASE/IFC4/ADD2_TC1/HTML/schema/ifcgeometryresource/lexical/ifccartesianpoint.htm" xr:uid="{5DB209C1-2D02-49A6-8AC0-ECA7E8D4B784}"/>
    <hyperlink ref="Q3175" r:id="rId471" display="https://standards.buildingsmart.org/IFC/RELEASE/IFC4/ADD2_TC1/HTML/schema/ifcgeometricmodelresource/lexical/ifccartesianpointlist.htm" xr:uid="{E050A182-CF85-44F7-BE29-CCDCB046B749}"/>
    <hyperlink ref="Q3176" r:id="rId472" display="https://standards.buildingsmart.org/IFC/RELEASE/IFC4/ADD2_TC1/HTML/schema/ifcgeometricmodelresource/lexical/ifccartesianpointlist2d.htm" xr:uid="{BE3E46C1-E0C8-4CA3-ADA5-A964E52A120B}"/>
    <hyperlink ref="Q3177" r:id="rId473" display="https://standards.buildingsmart.org/IFC/RELEASE/IFC4/ADD2_TC1/HTML/schema/ifcgeometricmodelresource/lexical/ifccartesianpointlist3d.htm" xr:uid="{9A8C7384-46D0-4376-BFC1-D32B9B36D674}"/>
    <hyperlink ref="Q3179" r:id="rId474" display="https://standards.buildingsmart.org/IFC/RELEASE/IFC4/ADD2_TC1/HTML/schema/ifcgeometryresource/lexical/ifccartesiantransformationoperator.htm" xr:uid="{19AA4CE4-F64F-4136-9DCA-09F6605F636E}"/>
    <hyperlink ref="Q3180" r:id="rId475" display="https://standards.buildingsmart.org/IFC/RELEASE/IFC4/ADD2_TC1/HTML/schema/ifcgeometryresource/lexical/ifccartesiantransformationoperator2d.htm" xr:uid="{1CE3D90C-FC61-401B-A59A-0EEECCD743B2}"/>
    <hyperlink ref="Q3181" r:id="rId476" display="https://standards.buildingsmart.org/IFC/RELEASE/IFC4/ADD2_TC1/HTML/schema/ifcgeometryresource/lexical/ifccartesiantransformationoperator2dnonuniform.htm" xr:uid="{D48B8C44-ED31-450D-BD48-40AE703BC829}"/>
    <hyperlink ref="Q3182" r:id="rId477" display="https://standards.buildingsmart.org/IFC/RELEASE/IFC4/ADD2_TC1/HTML/schema/ifcgeometryresource/lexical/ifccartesiantransformationoperator3d.htm" xr:uid="{1D57CA0B-85DB-4928-A795-E7B5128A1716}"/>
    <hyperlink ref="Q3183" r:id="rId478" display="https://standards.buildingsmart.org/IFC/RELEASE/IFC4/ADD2_TC1/HTML/schema/ifcgeometryresource/lexical/ifccartesiantransformationoperator3dnonuniform.htm" xr:uid="{EF184E71-3D66-43F8-9014-FFF8D560910A}"/>
    <hyperlink ref="Q3026" r:id="rId479" display="https://standards.buildingsmart.org/IFC/RELEASE/IFC4/ADD2_TC1/HTML/schema/ifcprofileresource/lexical/ifccenterlineprofiledef.htm" xr:uid="{935E6617-7D0B-47C4-803D-40CDCC87CD22}"/>
    <hyperlink ref="Q2954" r:id="rId480" display="https://standards.buildingsmart.org/IFC/RELEASE/IFC4/ADD2_TC1/HTML/schema/ifchvacdomain/lexical/ifcchiller.htm" xr:uid="{A6F66C0E-4C67-4859-A0F8-7BAB7C6B8F65}"/>
    <hyperlink ref="Q2955" r:id="rId481" display="https://standards.buildingsmart.org/IFC/RELEASE/IFC4/ADD2_TC1/HTML/schema/ifchvacdomain/lexical/ifcchillertype.htm" xr:uid="{535734D6-9CC6-45A2-93BC-0BC2B86F8D4D}"/>
    <hyperlink ref="Q2952" r:id="rId482" display="https://standards.buildingsmart.org/IFC/RELEASE/IFC4/ADD2_TC1/HTML/schema/ifcsharedbldgelements/lexical/ifcchimney.htm" xr:uid="{61E8711A-517E-4A37-A9B2-266E40A6F306}"/>
    <hyperlink ref="Q2953" r:id="rId483" display="https://standards.buildingsmart.org/IFC/RELEASE/IFC4/ADD2_TC1/HTML/schema/ifcsharedbldgelements/lexical/ifcchimneytype.htm" xr:uid="{DD15C1EF-B75E-4DC0-A4B7-85E0A36921D0}"/>
    <hyperlink ref="Q3237" r:id="rId484" display="https://standards.buildingsmart.org/IFC/RELEASE/IFC4/ADD2_TC1/HTML/schema/ifcgeometryresource/lexical/ifccircle.htm" xr:uid="{59CCFC31-4164-4FA2-9BEE-9BA6BE045815}"/>
    <hyperlink ref="Q3019" r:id="rId485" display="https://standards.buildingsmart.org/IFC/RELEASE/IFC4/ADD2_TC1/HTML/schema/ifcprofileresource/lexical/ifccirclehollowprofiledef.htm" xr:uid="{FF170F21-82C7-4566-96ED-FD5C0691B839}"/>
    <hyperlink ref="Q3018" r:id="rId486" display="https://standards.buildingsmart.org/IFC/RELEASE/IFC4/ADD2_TC1/HTML/schema/ifcprofileresource/lexical/ifccircleprofiledef.htm" xr:uid="{72247C90-67E3-46EA-AB40-89120E6D6353}"/>
    <hyperlink ref="Q3063" r:id="rId487" display="https://standards.buildingsmart.org/IFC/RELEASE/IFC4/ADD2_TC1/HTML/schema/ifcproductextension/lexical/ifccivilelement.htm" xr:uid="{98452D37-D2F8-4D78-92B6-216D620DB182}"/>
    <hyperlink ref="Q3064" r:id="rId488" display="https://standards.buildingsmart.org/IFC/RELEASE/IFC4/ADD2_TC1/HTML/schema/ifcproductextension/lexical/ifccivilelementtype.htm" xr:uid="{0BF9F9F2-55F5-46FC-97C0-14964D794E4C}"/>
    <hyperlink ref="Q2965" r:id="rId489" display="https://standards.buildingsmart.org/IFC/RELEASE/IFC4/ADD2_TC1/HTML/schema/ifcexternalreferenceresource/lexical/ifcclassification.htm" xr:uid="{CE7F9D28-A31F-4BB3-956E-43B3F4318516}"/>
    <hyperlink ref="Q3444" r:id="rId490" display="https://standards.buildingsmart.org/IFC/RELEASE/IFC4/ADD2_TC1/HTML/schema/ifcexternalreferenceresource/lexical/ifcclassificationreference.htm" xr:uid="{BCB71C11-F48A-4EF3-A64B-A42AAAA78FAB}"/>
    <hyperlink ref="Q2945" r:id="rId491" display="https://standards.buildingsmart.org/IFC/RELEASE/IFC4/ADD2_TC1/HTML/schema/ifctopologyresource/lexical/ifcclosedshell.htm" xr:uid="{BE4BC6F0-3293-4DAD-AE4D-6F929FA784F9}"/>
    <hyperlink ref="Q3538" r:id="rId492" display="https://standards.buildingsmart.org/IFC/RELEASE/IFC4/ADD2_TC1/HTML/schema/ifchvacdomain/lexical/ifccoil.htm" xr:uid="{4F4BD1F7-D8A9-423F-BCEC-F3C3F9A6EA81}"/>
    <hyperlink ref="Q3539" r:id="rId493" display="https://standards.buildingsmart.org/IFC/RELEASE/IFC4/ADD2_TC1/HTML/schema/ifchvacdomain/lexical/ifccoiltype.htm" xr:uid="{85DEA239-DC9F-4EE5-BC58-432AB26DEA5D}"/>
    <hyperlink ref="Q3112" r:id="rId494" display="https://standards.buildingsmart.org/IFC/RELEASE/IFC4/ADD2_TC1/HTML/schema/ifcpresentationappearanceresource/lexical/ifccolourrgb.htm" xr:uid="{3F06F13C-BC66-4224-907E-1A6CDFF1C664}"/>
    <hyperlink ref="Q3113" r:id="rId495" display="https://standards.buildingsmart.org/IFC/RELEASE/IFC4/ADD2_TC1/HTML/schema/ifcpresentationappearanceresource/lexical/ifccolourrgblist.htm" xr:uid="{E7766CD8-621C-4988-B9AD-4F5D54CF0605}"/>
    <hyperlink ref="Q3109" r:id="rId496" display="https://standards.buildingsmart.org/IFC/RELEASE/IFC4/ADD2_TC1/HTML/schema/ifcpresentationappearanceresource/lexical/ifccolourspecification.htm" xr:uid="{551F107D-29FC-4CB9-B45B-799213170A82}"/>
    <hyperlink ref="Q2966" r:id="rId497" display="https://standards.buildingsmart.org/IFC/RELEASE/IFC4/ADD2_TC1/HTML/schema/ifcsharedbldgelements/lexical/ifccolumn.htm" xr:uid="{3C5375D1-80A9-4F92-9BB8-674C7F18B1A5}"/>
    <hyperlink ref="Q2946" r:id="rId498" display="https://standards.buildingsmart.org/IFC/RELEASE/IFC4/ADD2_TC1/HTML/schema/ifcsharedbldgelements/lexical/ifccolumnstandardcase.htm" xr:uid="{30BBF3D4-5C85-42D3-99C7-18E7D39DA58D}"/>
    <hyperlink ref="Q2967" r:id="rId499" display="https://standards.buildingsmart.org/IFC/RELEASE/IFC4/ADD2_TC1/HTML/schema/ifcsharedbldgelements/lexical/ifccolumntype.htm" xr:uid="{9ADA63CF-1E99-4D6F-85E5-4CD34F368B27}"/>
    <hyperlink ref="Q2920" r:id="rId500" display="https://standards.buildingsmart.org/IFC/RELEASE/IFC4/ADD2_TC1/HTML/schema/ifcelectricaldomain/lexical/ifccommunicationsappliance.htm" xr:uid="{E82A86F9-1C66-45D3-83B0-D0CF3816D7D4}"/>
    <hyperlink ref="Q2921" r:id="rId501" display="https://standards.buildingsmart.org/IFC/RELEASE/IFC4/ADD2_TC1/HTML/schema/ifcelectricaldomain/lexical/ifccommunicationsappliancetype.htm" xr:uid="{05FAD6EA-EB20-46B7-AFD6-2E6CA667422B}"/>
    <hyperlink ref="Q3192" r:id="rId502" display="https://standards.buildingsmart.org/IFC/RELEASE/IFC4/ADD2_TC1/HTML/schema/ifcgeometryresource/lexical/ifccompositecurve.htm" xr:uid="{A9381396-ABD3-4BD7-9F37-E882B0BE00D5}"/>
    <hyperlink ref="Q3193" r:id="rId503" display="https://standards.buildingsmart.org/IFC/RELEASE/IFC4/ADD2_TC1/HTML/schema/ifcgeometryresource/lexical/ifccompositecurveonsurface.htm" xr:uid="{7771FD48-2291-4623-B3B7-419B2807138A}"/>
    <hyperlink ref="Q3246" r:id="rId504" display="https://standards.buildingsmart.org/IFC/RELEASE/IFC4/ADD2_TC1/HTML/schema/ifcgeometryresource/lexical/ifccompositecurvesegment.htm" xr:uid="{42950000-4463-43C7-B0C1-2FD74090A2B6}"/>
    <hyperlink ref="Q3021" r:id="rId505" display="https://standards.buildingsmart.org/IFC/RELEASE/IFC4/ADD2_TC1/HTML/schema/ifcprofileresource/lexical/ifccompositeprofiledef.htm" xr:uid="{3DB73592-EB5F-49A6-987A-7713CC374090}"/>
    <hyperlink ref="Q2971" r:id="rId506" display="https://standards.buildingsmart.org/IFC/RELEASE/IFC4/ADD2_TC1/HTML/schema/ifchvacdomain/lexical/ifccompressor.htm" xr:uid="{EC3622C1-E9F0-45CC-9D11-89D3D9979FCF}"/>
    <hyperlink ref="Q2972" r:id="rId507" display="https://standards.buildingsmart.org/IFC/RELEASE/IFC4/ADD2_TC1/HTML/schema/ifchvacdomain/lexical/ifccompressortype.htm" xr:uid="{0FF5C38C-D0AE-4EA1-940D-7BDC8EE85C5A}"/>
    <hyperlink ref="Q2973" r:id="rId508" display="https://standards.buildingsmart.org/IFC/RELEASE/IFC4/ADD2_TC1/HTML/schema/ifchvacdomain/lexical/ifccondenser.htm" xr:uid="{00F5AF91-03E9-44F4-A2B8-D6A1754D365E}"/>
    <hyperlink ref="Q2974" r:id="rId509" display="https://standards.buildingsmart.org/IFC/RELEASE/IFC4/ADD2_TC1/HTML/schema/ifchvacdomain/lexical/ifccondensertype.htm" xr:uid="{F22887FE-D4D8-4858-9394-7C4CC029829A}"/>
    <hyperlink ref="Q3238" r:id="rId510" display="https://standards.buildingsmart.org/IFC/RELEASE/IFC4/ADD2_TC1/HTML/schema/ifcgeometryresource/lexical/ifcconic.htm" xr:uid="{F6AA52FE-21EC-4F57-9A63-5B6CFB9FC442}"/>
    <hyperlink ref="Q3169" r:id="rId511" display="https://standards.buildingsmart.org/IFC/RELEASE/IFC4/ADD2_TC1/HTML/schema/ifctopologyresource/lexical/ifcconnectedfaceset.htm" xr:uid="{F4F89638-BB49-4EEF-BA41-7FE9CDCA1B52}"/>
    <hyperlink ref="Q3245" r:id="rId512" display="https://standards.buildingsmart.org/IFC/RELEASE/IFC4/ADD2_TC1/HTML/schema/ifcgeometricconstraintresource/lexical/ifcconnectioncurvegeometry.htm" xr:uid="{A23AD59D-FB7E-4DE2-BAB5-4AA384D11BC3}"/>
    <hyperlink ref="Q3244" r:id="rId513" display="https://standards.buildingsmart.org/IFC/RELEASE/IFC4/ADD2_TC1/HTML/schema/ifcgeometricconstraintresource/lexical/ifcconnectiongeometry.htm" xr:uid="{4A24819F-E5DD-480B-A5C4-0F6134F78727}"/>
    <hyperlink ref="Q3226" r:id="rId514" display="https://standards.buildingsmart.org/IFC/RELEASE/IFC4/ADD2_TC1/HTML/schema/ifcgeometricconstraintresource/lexical/ifcconnectionpointeccentricity.htm" xr:uid="{C1C078ED-1015-4D26-A77D-0E29FDE6A519}"/>
    <hyperlink ref="Q3225" r:id="rId515" display="https://standards.buildingsmart.org/IFC/RELEASE/IFC4/ADD2_TC1/HTML/schema/ifcgeometricconstraintresource/lexical/ifcconnectionpointgeometry.htm" xr:uid="{7F2100D7-C835-48F3-B390-E1DB01F7108B}"/>
    <hyperlink ref="Q3272" r:id="rId516" display="https://standards.buildingsmart.org/IFC/RELEASE/IFC4/ADD2_TC1/HTML/schema/ifcgeometricconstraintresource/lexical/ifcconnectionsurfacegeometry.htm" xr:uid="{0FD0DFE3-EFAC-4CC1-B15C-DC312164B14C}"/>
    <hyperlink ref="Q3287" r:id="rId517" display="https://standards.buildingsmart.org/IFC/RELEASE/IFC4/ADD2_TC1/HTML/schema/ifcgeometricconstraintresource/lexical/ifcconnectionvolumegeometry.htm" xr:uid="{A2339E8F-2569-4D04-9978-82123D9F209E}"/>
    <hyperlink ref="Q3522" r:id="rId518" display="https://standards.buildingsmart.org/IFC/RELEASE/IFC4/ADD2_TC1/HTML/schema/ifcconstraintresource/lexical/ifcconstraint.htm" xr:uid="{8AC0AD13-D6F8-4C59-96E0-A5B51B836ECC}"/>
    <hyperlink ref="Q3440" r:id="rId519" display="https://standards.buildingsmart.org/IFC/RELEASE/IFC4/ADD2_TC1/HTML/schema/ifcconstructionmgmtdomain/lexical/ifcconstructionequipmentresource.htm" xr:uid="{450A8206-6CDD-400B-9C41-8CCE8AAA296E}"/>
    <hyperlink ref="Q3429" r:id="rId520" display="https://standards.buildingsmart.org/IFC/RELEASE/IFC4/ADD2_TC1/HTML/schema/ifcconstructionmgmtdomain/lexical/ifcconstructionequipmentresourcetype.htm" xr:uid="{DDEA4C25-3382-4403-8406-9D3D05CF72BF}"/>
    <hyperlink ref="Q3344" r:id="rId521" display="https://standards.buildingsmart.org/IFC/RELEASE/IFC4/ADD2_TC1/HTML/schema/ifcconstructionmgmtdomain/lexical/ifcconstructionmaterialresource.htm" xr:uid="{0EE5E2D7-D917-4426-800E-47679A0F589E}"/>
    <hyperlink ref="Q3437" r:id="rId522" display="https://standards.buildingsmart.org/IFC/RELEASE/IFC4/ADD2_TC1/HTML/schema/ifcconstructionmgmtdomain/lexical/ifcconstructionmaterialresourcetype.htm" xr:uid="{24DF7321-D699-473F-AEED-D0EEA1719BF2}"/>
    <hyperlink ref="Q3434" r:id="rId523" display="https://standards.buildingsmart.org/IFC/RELEASE/IFC4/ADD2_TC1/HTML/schema/ifcconstructionmgmtdomain/lexical/ifcconstructionproductresource.htm" xr:uid="{B8A6A7AC-CCF1-4C3D-A01A-1CC581B28A16}"/>
    <hyperlink ref="Q3433" r:id="rId524" display="https://standards.buildingsmart.org/IFC/RELEASE/IFC4/ADD2_TC1/HTML/schema/ifcconstructionmgmtdomain/lexical/ifcconstructionproductresourcetype.htm" xr:uid="{6DD5C94F-A674-4197-B06D-C5D22E91FD00}"/>
    <hyperlink ref="Q3439" r:id="rId525" display="https://standards.buildingsmart.org/IFC/RELEASE/IFC4/ADD2_TC1/HTML/schema/ifcconstructionmgmtdomain/lexical/ifcconstructionresource.htm" xr:uid="{1C606DE1-6A9A-439F-80FA-18EB8AFFD10F}"/>
    <hyperlink ref="Q3428" r:id="rId526" display="https://standards.buildingsmart.org/IFC/RELEASE/IFC4/ADD2_TC1/HTML/schema/ifcconstructionmgmtdomain/lexical/ifcconstructionresourcetype.htm" xr:uid="{B2F92CCD-433F-4A64-8C08-A9221328BD9F}"/>
    <hyperlink ref="Q2996" r:id="rId527" display="https://standards.buildingsmart.org/IFC/RELEASE/IFC4/ADD2_TC1/HTML/schema/ifckernel/lexical/ifccontext.htm" xr:uid="{B2099A1C-E03A-4C29-ADCC-D76DABF6A5A5}"/>
    <hyperlink ref="Q3616" r:id="rId528" display="https://standards.buildingsmart.org/IFC/RELEASE/IFC4/ADD2_TC1/HTML/schema/ifcmeasureresource/lexical/ifccontextdependentunit.htm" xr:uid="{3C2F3BCB-89D3-4947-B565-ED04E6F7E72E}"/>
    <hyperlink ref="Q3005" r:id="rId529" display="https://standards.buildingsmart.org/IFC/RELEASE/IFC4/ADD2_TC1/HTML/schema/ifckernel/lexical/ifccontrol.htm" xr:uid="{3F204386-F348-4732-BA1C-460C6C1DA209}"/>
    <hyperlink ref="Q2999" r:id="rId530" display="https://standards.buildingsmart.org/IFC/RELEASE/IFC4/ADD2_TC1/HTML/schema/ifcbuildingcontrolsdomain/lexical/ifccontroller.htm" xr:uid="{3CA077F3-6762-4572-BA6E-227BEDA0385A}"/>
    <hyperlink ref="Q3004" r:id="rId531" display="https://standards.buildingsmart.org/IFC/RELEASE/IFC4/ADD2_TC1/HTML/schema/ifcbuildingcontrolsdomain/lexical/ifccontrollertype.htm" xr:uid="{7FCFCAD7-5B45-43DE-B92D-E29EB7B841E0}"/>
    <hyperlink ref="Q3611" r:id="rId532" display="https://standards.buildingsmart.org/IFC/RELEASE/IFC4/ADD2_TC1/HTML/schema/ifcmeasureresource/lexical/ifcconversionbasedunit.htm" xr:uid="{CF1744C8-DBE4-4CF6-B0F9-4DBA69386697}"/>
    <hyperlink ref="Q3612" r:id="rId533" display="https://standards.buildingsmart.org/IFC/RELEASE/IFC4/ADD2_TC1/HTML/schema/ifcmeasureresource/lexical/ifcconversionbasedunitwithoffset.htm" xr:uid="{3B69ACDC-E5B3-45AD-B156-32026F9D8249}"/>
    <hyperlink ref="Q3637" r:id="rId534" display="https://standards.buildingsmart.org/IFC/RELEASE/IFC4/ADD2_TC1/HTML/schema/ifchvacdomain/lexical/ifccooledbeam.htm" xr:uid="{EFF78D7A-BFEA-4A7D-85A6-F12A4CED841A}"/>
    <hyperlink ref="Q3638" r:id="rId535" display="https://standards.buildingsmart.org/IFC/RELEASE/IFC4/ADD2_TC1/HTML/schema/ifchvacdomain/lexical/ifccooledbeamtype.htm" xr:uid="{6B5DE102-0478-41A3-B1DA-E86BB0BDB183}"/>
    <hyperlink ref="Q3603" r:id="rId536" display="https://standards.buildingsmart.org/IFC/RELEASE/IFC4/ADD2_TC1/HTML/schema/ifchvacdomain/lexical/ifccoolingtower.htm" xr:uid="{0A2ED893-FF93-4CC2-A1FF-32197192860A}"/>
    <hyperlink ref="Q3604" r:id="rId537" display="https://standards.buildingsmart.org/IFC/RELEASE/IFC4/ADD2_TC1/HTML/schema/ifchvacdomain/lexical/ifccoolingtowertype.htm" xr:uid="{B640EC63-70F8-4C0C-84E7-E66F015485FB}"/>
    <hyperlink ref="Q3178" r:id="rId538" display="https://standards.buildingsmart.org/IFC/RELEASE/IFC4/ADD2_TC1/HTML/schema/ifcrepresentationresource/lexical/ifccoordinateoperation.htm" xr:uid="{77D284DD-692C-4BE9-B47E-DA10AF97EBA3}"/>
    <hyperlink ref="Q3543" r:id="rId539" display="https://standards.buildingsmart.org/IFC/RELEASE/IFC4/ADD2_TC1/HTML/schema/ifcrepresentationresource/lexical/ifccoordinatereferencesystem.htm" xr:uid="{FEEA888C-1114-40E2-A645-72CE51D900F1}"/>
    <hyperlink ref="Q3303" r:id="rId540" display="https://standards.buildingsmart.org/IFC/RELEASE/IFC4/ADD2_TC1/HTML/schema/ifcsharedmgmtelements/lexical/ifccostitem.htm" xr:uid="{9D3C118A-E3AC-4C6A-B5A3-3CFE2F4A29BA}"/>
    <hyperlink ref="Q3549" r:id="rId541" display="https://standards.buildingsmart.org/IFC/RELEASE/IFC4/ADD2_TC1/HTML/schema/ifcsharedmgmtelements/lexical/ifccostschedule.htm" xr:uid="{786EB9CF-B140-458A-8B66-7341C4536957}"/>
    <hyperlink ref="Q3626" r:id="rId542" display="https://standards.buildingsmart.org/IFC/RELEASE/IFC4/ADD2_TC1/HTML/schema/ifccostresource/lexical/ifccostvalue.htm" xr:uid="{E8684D81-24C1-4942-8EEB-080A6569DBC3}"/>
    <hyperlink ref="Q2869" r:id="rId543" display="https://standards.buildingsmart.org/IFC/RELEASE/IFC4/ADD2_TC1/HTML/schema/ifcsharedbldgelements/lexical/ifccovering.htm" xr:uid="{561A9884-09D6-4B90-B89E-B1A0F5CE1795}"/>
    <hyperlink ref="Q2870" r:id="rId544" display="https://standards.buildingsmart.org/IFC/RELEASE/IFC4/ADD2_TC1/HTML/schema/ifcsharedbldgelements/lexical/ifccoveringtype.htm" xr:uid="{E4AB07BB-2251-4C3A-AE7E-8DE66DA8CC41}"/>
    <hyperlink ref="Q3430" r:id="rId545" display="https://standards.buildingsmart.org/IFC/RELEASE/IFC4/ADD2_TC1/HTML/schema/ifcconstructionmgmtdomain/lexical/ifccrewresource.htm" xr:uid="{AD7F62EA-C8B2-4C26-87AB-C5A7D2E93FCC}"/>
    <hyperlink ref="Q3431" r:id="rId546" display="https://standards.buildingsmart.org/IFC/RELEASE/IFC4/ADD2_TC1/HTML/schema/ifcconstructionmgmtdomain/lexical/ifccrewresourcetype.htm" xr:uid="{CDAB7DB5-D9E9-498B-851C-8E0B8536EC50}"/>
    <hyperlink ref="Q3185" r:id="rId547" display="https://standards.buildingsmart.org/IFC/RELEASE/IFC4/ADD2_TC1/HTML/schema/ifcgeometricmodelresource/lexical/ifccsgprimitive3d.htm" xr:uid="{F1B4CBC9-62A8-4C56-AD66-43D41EA937A7}"/>
    <hyperlink ref="Q3186" r:id="rId548" display="https://standards.buildingsmart.org/IFC/RELEASE/IFC4/ADD2_TC1/HTML/schema/ifcgeometricmodelresource/lexical/ifccsgsolid.htm" xr:uid="{1975B875-141C-41CC-93D9-8A86200EED82}"/>
    <hyperlink ref="Q3017" r:id="rId549" display="https://standards.buildingsmart.org/IFC/RELEASE/IFC4/ADD2_TC1/HTML/schema/ifcprofileresource/lexical/ifccshapeprofiledef.htm" xr:uid="{ABAED005-D07B-48AE-BC71-AF8F389EEB4A}"/>
    <hyperlink ref="Q3462" r:id="rId550" display="https://standards.buildingsmart.org/IFC/RELEASE/IFC4/ADD2_TC1/HTML/schema/ifccostresource/lexical/ifccurrencyrelationship.htm" xr:uid="{2DD22363-7B24-4FA3-9B5C-6F87C1A35063}"/>
    <hyperlink ref="Q3377" r:id="rId551" display="https://standards.buildingsmart.org/IFC/RELEASE/IFC4/ADD2_TC1/HTML/schema/ifcsharedbldgelements/lexical/ifccurtainwall.htm" xr:uid="{56D726A2-25B0-45D5-BCD5-71DF675C2E4C}"/>
    <hyperlink ref="Q3378" r:id="rId552" display="https://standards.buildingsmart.org/IFC/RELEASE/IFC4/ADD2_TC1/HTML/schema/ifcsharedbldgelements/lexical/ifccurtainwalltype.htm" xr:uid="{0B35DEE2-F536-4F9D-B34C-752906AF1A0B}"/>
    <hyperlink ref="Q3188" r:id="rId553" display="https://standards.buildingsmart.org/IFC/RELEASE/IFC4/ADD2_TC1/HTML/schema/ifcgeometryresource/lexical/ifccurve.htm" xr:uid="{28123600-4657-48F4-AAA8-5C43723431F6}"/>
    <hyperlink ref="Q3222" r:id="rId554" display="https://standards.buildingsmart.org/IFC/RELEASE/IFC4/ADD2_TC1/HTML/schema/ifcgeometryresource/lexical/ifccurveboundedplane.htm" xr:uid="{0246FA2F-13DA-4D08-AF7E-4172F2554A2A}"/>
    <hyperlink ref="Q3268" r:id="rId555" display="https://standards.buildingsmart.org/IFC/RELEASE/IFC4/ADD2_TC1/HTML/schema/ifcgeometryresource/lexical/ifccurveboundedsurface.htm" xr:uid="{AE3D50A8-55E9-4A09-8BC2-8A1AD739844D}"/>
    <hyperlink ref="Q3117" r:id="rId556" display="https://standards.buildingsmart.org/IFC/RELEASE/IFC4/ADD2_TC1/HTML/schema/ifcpresentationappearanceresource/lexical/ifccurvestyle.htm" xr:uid="{601474F1-0788-48B8-8457-05BB207296E4}"/>
    <hyperlink ref="Q3119" r:id="rId557" display="https://standards.buildingsmart.org/IFC/RELEASE/IFC4/ADD2_TC1/HTML/schema/ifcpresentationappearanceresource/lexical/ifccurvestylefont.htm" xr:uid="{77A6F3B0-BF9E-4B5C-B1A1-F3C87EE6543E}"/>
    <hyperlink ref="Q3120" r:id="rId558" display="https://standards.buildingsmart.org/IFC/RELEASE/IFC4/ADD2_TC1/HTML/schema/ifcpresentationappearanceresource/lexical/ifccurvestylefontandscaling.htm" xr:uid="{0610D6A8-AB7A-4D18-AF9B-3760D1D0CE95}"/>
    <hyperlink ref="Q3116" r:id="rId559" display="https://standards.buildingsmart.org/IFC/RELEASE/IFC4/ADD2_TC1/HTML/schema/ifcpresentationappearanceresource/lexical/ifccurvestylefontpattern.htm" xr:uid="{171744E6-4C1C-4FBA-B833-D9C3219784EF}"/>
    <hyperlink ref="Q3260" r:id="rId560" display="https://standards.buildingsmart.org/IFC/RELEASE/IFC4/ADD2_TC1/HTML/schema/ifcgeometryresource/lexical/ifccylindricalsurface.htm" xr:uid="{791490E9-E0F2-4F88-AD4F-A42DDB62FED1}"/>
    <hyperlink ref="Q2876" r:id="rId561" display="https://standards.buildingsmart.org/IFC/RELEASE/IFC4/ADD2_TC1/HTML/schema/ifchvacdomain/lexical/ifcdamper.htm" xr:uid="{4C61953A-2570-413B-88FE-AAFB8959BC53}"/>
    <hyperlink ref="Q2877" r:id="rId562" display="https://standards.buildingsmart.org/IFC/RELEASE/IFC4/ADD2_TC1/HTML/schema/ifchvacdomain/lexical/ifcdampertype.htm" xr:uid="{39342221-F292-4DB4-9B5F-7B75DC7DFD61}"/>
    <hyperlink ref="Q3020" r:id="rId563" display="https://standards.buildingsmart.org/IFC/RELEASE/IFC4/ADD2_TC1/HTML/schema/ifcprofileresource/lexical/ifcderivedprofiledef.htm" xr:uid="{104767A8-92D3-49EB-92CD-5B7E59575BC2}"/>
    <hyperlink ref="Q3617" r:id="rId564" display="https://standards.buildingsmart.org/IFC/RELEASE/IFC4/ADD2_TC1/HTML/schema/ifcmeasureresource/lexical/ifcderivedunit.htm" xr:uid="{6DDD9675-D9FA-461A-B3DA-85BF7FF6EB35}"/>
    <hyperlink ref="Q3618" r:id="rId565" display="https://standards.buildingsmart.org/IFC/RELEASE/IFC4/ADD2_TC1/HTML/schema/ifcmeasureresource/lexical/ifcderivedunitelement.htm" xr:uid="{3A6A2A04-4189-4CCD-9789-DC10FF5DB887}"/>
    <hyperlink ref="Q3207" r:id="rId566" display="https://standards.buildingsmart.org/IFC/RELEASE/IFC4/ADD2_TC1/HTML/schema/ifcmeasureresource/lexical/ifcdimensionalexponents.htm" xr:uid="{EF0A05D8-B439-44C7-87AD-C47B6211C24E}"/>
    <hyperlink ref="Q3206" r:id="rId567" display="https://standards.buildingsmart.org/IFC/RELEASE/IFC4/ADD2_TC1/HTML/schema/ifcgeometryresource/lexical/ifcdirection.htm" xr:uid="{B3365CFD-5C02-4120-98A6-96CCCE4C73D0}"/>
    <hyperlink ref="Q2871" r:id="rId568" display="https://standards.buildingsmart.org/IFC/RELEASE/IFC4/ADD2_TC1/HTML/schema/ifcsharedcomponentelements/lexical/ifcdiscreteaccessory.htm" xr:uid="{4A725FE4-5914-484C-B2B2-B7E1DA37F876}"/>
    <hyperlink ref="Q2872" r:id="rId569" display="https://standards.buildingsmart.org/IFC/RELEASE/IFC4/ADD2_TC1/HTML/schema/ifcsharedcomponentelements/lexical/ifcdiscreteaccessorytype.htm" xr:uid="{169D73B7-F948-4CB6-A4E6-1E4A11924780}"/>
    <hyperlink ref="Q3066" r:id="rId570" display="https://standards.buildingsmart.org/IFC/RELEASE/IFC4/ADD2_TC1/HTML/schema/ifcsharedbldgserviceelements/lexical/ifcdistributionchamberelement.htm" xr:uid="{D583D441-5A8E-422B-80EE-20B174498969}"/>
    <hyperlink ref="Q3067" r:id="rId571" display="https://standards.buildingsmart.org/IFC/RELEASE/IFC4/ADD2_TC1/HTML/schema/ifcsharedbldgserviceelements/lexical/ifcdistributionchamberelementtype.htm" xr:uid="{533A6D57-4A9C-49E3-B571-7725BC09983D}"/>
    <hyperlink ref="Q2956" r:id="rId572" display="https://standards.buildingsmart.org/IFC/RELEASE/IFC4/ADD2_TC1/HTML/schema/ifcsharedbldgserviceelements/lexical/ifcdistributioncircuit.htm" xr:uid="{8725EDB4-2028-4A15-A537-CCC285DDA868}"/>
    <hyperlink ref="Q3071" r:id="rId573" display="https://standards.buildingsmart.org/IFC/RELEASE/IFC4/ADD2_TC1/HTML/schema/ifcsharedbldgserviceelements/lexical/ifcdistributioncontrolelement.htm" xr:uid="{C3E4B297-8E9D-4047-BA39-42DCDC3582FF}"/>
    <hyperlink ref="Q3072" r:id="rId574" display="https://standards.buildingsmart.org/IFC/RELEASE/IFC4/ADD2_TC1/HTML/schema/ifcsharedbldgserviceelements/lexical/ifcdistributioncontrolelementtype.htm" xr:uid="{5881A8C4-4093-4FE9-8289-29B1B7A8B95C}"/>
    <hyperlink ref="Q3073" r:id="rId575" display="https://standards.buildingsmart.org/IFC/RELEASE/IFC4/ADD2_TC1/HTML/schema/ifcproductextension/lexical/ifcdistributionelement.htm" xr:uid="{E22C2A66-A7A6-4C21-91D8-06EED1D69BA2}"/>
    <hyperlink ref="Q3076" r:id="rId576" display="https://standards.buildingsmart.org/IFC/RELEASE/IFC4/ADD2_TC1/HTML/schema/ifcproductextension/lexical/ifcdistributionelementtype.htm" xr:uid="{B38A9ED1-5E9A-4EF9-AF92-5C9A24587691}"/>
    <hyperlink ref="Q3074" r:id="rId577" display="https://standards.buildingsmart.org/IFC/RELEASE/IFC4/ADD2_TC1/HTML/schema/ifcsharedbldgserviceelements/lexical/ifcdistributionflowelement.htm" xr:uid="{6ABD978F-4631-45CD-8285-4A17C25FCD90}"/>
    <hyperlink ref="Q3075" r:id="rId578" display="https://standards.buildingsmart.org/IFC/RELEASE/IFC4/ADD2_TC1/HTML/schema/ifcsharedbldgserviceelements/lexical/ifcdistributionflowelementtype.htm" xr:uid="{E654397A-5375-4C36-BD93-394326E6BE8A}"/>
    <hyperlink ref="Q2976" r:id="rId579" display="https://standards.buildingsmart.org/IFC/RELEASE/IFC4/ADD2_TC1/HTML/schema/ifcsharedbldgserviceelements/lexical/ifcdistributionport.htm" xr:uid="{DE664272-B28E-45CE-9023-FFD8E7BC51E2}"/>
    <hyperlink ref="Q3544" r:id="rId580" display="https://standards.buildingsmart.org/IFC/RELEASE/IFC4/ADD2_TC1/HTML/schema/ifcsharedbldgserviceelements/lexical/ifcdistributionsystem.htm" xr:uid="{4CB3C296-36F3-46FC-BE86-B55D3DC9D735}"/>
    <hyperlink ref="Q3293" r:id="rId581" display="https://standards.buildingsmart.org/IFC/RELEASE/IFC4/ADD2_TC1/HTML/schema/ifcexternalreferenceresource/lexical/ifcdocumentinformation.htm" xr:uid="{202BD1ED-AA07-4CE2-B844-77D3E1C937F2}"/>
    <hyperlink ref="Q3476" r:id="rId582" display="https://standards.buildingsmart.org/IFC/RELEASE/IFC4/ADD2_TC1/HTML/schema/ifcexternalreferenceresource/lexical/ifcdocumentinformationrelationship.htm" xr:uid="{E2FD45C5-4BA3-4DD5-A0E4-3E0A9EC545BA}"/>
    <hyperlink ref="Q3445" r:id="rId583" display="https://standards.buildingsmart.org/IFC/RELEASE/IFC4/ADD2_TC1/HTML/schema/ifcexternalreferenceresource/lexical/ifcdocumentreference.htm" xr:uid="{EBEAE60E-D2B5-4056-ADF9-3D71BED59BEF}"/>
    <hyperlink ref="Q3390" r:id="rId584" display="https://standards.buildingsmart.org/IFC/RELEASE/IFC4/ADD2_TC1/HTML/schema/ifcsharedbldgelements/lexical/ifcdoor.htm" xr:uid="{ABC3C6CC-6B3B-4266-B7D7-3747A55A9490}"/>
    <hyperlink ref="Q3392" r:id="rId585" display="https://standards.buildingsmart.org/IFC/RELEASE/IFC4/ADD2_TC1/HTML/schema/ifcarchitecturedomain/lexical/ifcdoorliningproperties.htm" xr:uid="{45CE7DC4-4EBA-40E4-84A1-EF011B6429A8}"/>
    <hyperlink ref="Q3393" r:id="rId586" display="https://standards.buildingsmart.org/IFC/RELEASE/IFC4/ADD2_TC1/HTML/schema/ifcarchitecturedomain/lexical/ifcdoorpanelproperties.htm" xr:uid="{140DC5B8-5C01-4E0D-A367-4721CF8839CA}"/>
    <hyperlink ref="Q3391" r:id="rId587" display="https://standards.buildingsmart.org/IFC/RELEASE/IFC4/ADD2_TC1/HTML/schema/ifcsharedbldgelements/lexical/ifcdoorstandardcase.htm" xr:uid="{8AD3B6D2-93D1-4FFC-A6BC-8A1CC31A4A86}"/>
    <hyperlink ref="Q3125" r:id="rId588" display="https://standards.buildingsmart.org/IFC/RELEASE/IFC4/ADD2_TC1/HTML/schema/ifcarchitecturedomain/lexical/ifcdoorstyle.htm" xr:uid="{61938344-80D2-4ACE-8EB7-D21CFB785686}"/>
    <hyperlink ref="Q3394" r:id="rId589" display="https://standards.buildingsmart.org/IFC/RELEASE/IFC4/ADD2_TC1/HTML/schema/ifcsharedbldgelements/lexical/ifcdoortype.htm" xr:uid="{CEE11C59-C083-4D6E-80C8-3EE5CCC52044}"/>
    <hyperlink ref="Q3111" r:id="rId590" display="https://standards.buildingsmart.org/IFC/RELEASE/IFC4/ADD2_TC1/HTML/schema/ifcpresentationappearanceresource/lexical/ifcdraughtingpredefinedcolour.htm" xr:uid="{C4C0BA70-B310-4157-A786-00102196B639}"/>
    <hyperlink ref="Q3217" r:id="rId591" display="https://standards.buildingsmart.org/IFC/RELEASE/IFC4/ADD2_TC1/HTML/schema/ifcpresentationappearanceresource/lexical/ifcdraughtingpredefinedcurvefont.htm" xr:uid="{758B7167-AE2A-4FCA-BD59-6C9DCBBCEC23}"/>
    <hyperlink ref="Q2979" r:id="rId592" display="https://standards.buildingsmart.org/IFC/RELEASE/IFC4/ADD2_TC1/HTML/schema/ifchvacdomain/lexical/ifcductfitting.htm" xr:uid="{BE7A6D2C-39F5-419B-AE5A-2946E9706366}"/>
    <hyperlink ref="Q2980" r:id="rId593" display="https://standards.buildingsmart.org/IFC/RELEASE/IFC4/ADD2_TC1/HTML/schema/ifchvacdomain/lexical/ifcductfittingtype.htm" xr:uid="{96CE5495-0241-4281-9DA4-8139E518BBF8}"/>
    <hyperlink ref="Q3530" r:id="rId594" display="https://standards.buildingsmart.org/IFC/RELEASE/IFC4/ADD2_TC1/HTML/schema/ifchvacdomain/lexical/ifcductsegment.htm" xr:uid="{CA523DDA-A1C7-49CA-BFE8-67A971FD0EB6}"/>
    <hyperlink ref="Q3531" r:id="rId595" display="https://standards.buildingsmart.org/IFC/RELEASE/IFC4/ADD2_TC1/HTML/schema/ifchvacdomain/lexical/ifcductsegmenttype.htm" xr:uid="{D4F55C2A-A133-4084-A20F-887862BAD544}"/>
    <hyperlink ref="Q3540" r:id="rId596" display="https://standards.buildingsmart.org/IFC/RELEASE/IFC4/ADD2_TC1/HTML/schema/ifchvacdomain/lexical/ifcductsilencer.htm" xr:uid="{B88245D1-12A9-4000-A2D1-0CBAFB15512E}"/>
    <hyperlink ref="Q3541" r:id="rId597" display="https://standards.buildingsmart.org/IFC/RELEASE/IFC4/ADD2_TC1/HTML/schema/ifchvacdomain/lexical/ifcductsilencertype.htm" xr:uid="{31C7BE36-6F37-4406-9E1E-A8D88A8D6903}"/>
    <hyperlink ref="Q3159" r:id="rId598" display="https://standards.buildingsmart.org/IFC/RELEASE/IFC4/ADD2_TC1/HTML/schema/ifctopologyresource/lexical/ifcedge.htm" xr:uid="{7B74D786-F058-4DBE-B5FA-C53C57D239AC}"/>
    <hyperlink ref="Q3194" r:id="rId599" display="https://standards.buildingsmart.org/IFC/RELEASE/IFC4/ADD2_TC1/HTML/schema/ifctopologyresource/lexical/ifcedgecurve.htm" xr:uid="{21F689E2-C225-4CB2-AD2D-656EC2416232}"/>
    <hyperlink ref="Q3601" r:id="rId600" display="https://standards.buildingsmart.org/IFC/RELEASE/IFC4/ADD2_TC1/HTML/schema/ifctopologyresource/lexical/ifcedgeloop.htm" xr:uid="{E497327C-7F2C-4009-8303-497C4E3EBA00}"/>
    <hyperlink ref="Q3090" r:id="rId601" display="https://standards.buildingsmart.org/IFC/RELEASE/IFC4/ADD2_TC1/HTML/schema/ifcelectricaldomain/lexical/ifcelectricappliance.htm" xr:uid="{7C0E522C-4952-4158-905F-AA21A71E05B1}"/>
    <hyperlink ref="Q3091" r:id="rId602" display="https://standards.buildingsmart.org/IFC/RELEASE/IFC4/ADD2_TC1/HTML/schema/ifcelectricaldomain/lexical/ifcelectricappliancetype.htm" xr:uid="{EE1674AF-A178-4F79-9EE7-AAA547C3C096}"/>
    <hyperlink ref="Q3413" r:id="rId603" display="https://standards.buildingsmart.org/IFC/RELEASE/IFC4/ADD2_TC1/HTML/schema/ifcelectricaldomain/lexical/ifcelectricdistributionboard.htm" xr:uid="{F8A18BAA-EF05-40B3-B8A1-C47AC0AE5197}"/>
    <hyperlink ref="Q3414" r:id="rId604" display="https://standards.buildingsmart.org/IFC/RELEASE/IFC4/ADD2_TC1/HTML/schema/ifcelectricaldomain/lexical/ifcelectricdistributionboardtype.htm" xr:uid="{43FDA965-A52C-4669-A93A-1425B9602C3A}"/>
    <hyperlink ref="Q3040" r:id="rId605" display="https://standards.buildingsmart.org/IFC/RELEASE/IFC4/ADD2_TC1/HTML/schema/ifcelectricaldomain/lexical/ifcelectricflowstoragedevice.htm" xr:uid="{5A9BF3A9-0FC0-47B2-8362-D420FD620587}"/>
    <hyperlink ref="Q3041" r:id="rId606" display="https://standards.buildingsmart.org/IFC/RELEASE/IFC4/ADD2_TC1/HTML/schema/ifcelectricaldomain/lexical/ifcelectricflowstoragedevicetype.htm" xr:uid="{A6987266-4706-4494-BF7A-A38F8354ACB0}"/>
    <hyperlink ref="Q3288" r:id="rId607" display="https://standards.buildingsmart.org/IFC/RELEASE/IFC4/ADD2_TC1/HTML/schema/ifcelectricaldomain/lexical/ifcelectricgenerator.htm" xr:uid="{0769A055-7A44-4CD7-819D-0D8B016EC050}"/>
    <hyperlink ref="Q3289" r:id="rId608" display="https://standards.buildingsmart.org/IFC/RELEASE/IFC4/ADD2_TC1/HTML/schema/ifcelectricaldomain/lexical/ifcelectricgeneratortype.htm" xr:uid="{244A57BB-17B6-4E21-8051-A9E0D21A1FDC}"/>
    <hyperlink ref="Q3365" r:id="rId609" display="https://standards.buildingsmart.org/IFC/RELEASE/IFC4/ADD2_TC1/HTML/schema/ifcelectricaldomain/lexical/ifcelectricmotor.htm" xr:uid="{D3C62E34-E4CD-45FC-8197-8A12E6AFE87C}"/>
    <hyperlink ref="Q3366" r:id="rId610" display="https://standards.buildingsmart.org/IFC/RELEASE/IFC4/ADD2_TC1/HTML/schema/ifcelectricaldomain/lexical/ifcelectricmotortype.htm" xr:uid="{D2B6257B-0902-488C-AFA7-DD60AEA6470B}"/>
    <hyperlink ref="Q3002" r:id="rId611" display="https://standards.buildingsmart.org/IFC/RELEASE/IFC4/ADD2_TC1/HTML/schema/ifcelectricaldomain/lexical/ifcelectrictimecontrol.htm" xr:uid="{0851DE6A-ECEA-4F8C-A09A-B39CEBAC1DE5}"/>
    <hyperlink ref="Q3003" r:id="rId612" display="https://standards.buildingsmart.org/IFC/RELEASE/IFC4/ADD2_TC1/HTML/schema/ifcelectricaldomain/lexical/ifcelectrictimecontroltype.htm" xr:uid="{AC34602D-DB9C-4645-9BA9-576C5B2DC2ED}"/>
    <hyperlink ref="Q3422" r:id="rId613" display="https://standards.buildingsmart.org/IFC/RELEASE/IFC4/ADD2_TC1/HTML/schema/ifcproductextension/lexical/ifcelement.htm" xr:uid="{634B5261-57FB-431B-B37B-4474464A904F}"/>
    <hyperlink ref="Q3265" r:id="rId614" display="https://standards.buildingsmart.org/IFC/RELEASE/IFC4/ADD2_TC1/HTML/schema/ifcgeometryresource/lexical/ifcelementarysurface.htm" xr:uid="{886A975E-88C9-4D44-AA0B-3CC0FB475A89}"/>
    <hyperlink ref="Q3363" r:id="rId615" display="https://standards.buildingsmart.org/IFC/RELEASE/IFC4/ADD2_TC1/HTML/schema/ifcproductextension/lexical/ifcelementassembly.htm" xr:uid="{94060718-1985-4A9E-B4B4-435750F660EE}"/>
    <hyperlink ref="Q3364" r:id="rId616" display="https://standards.buildingsmart.org/IFC/RELEASE/IFC4/ADD2_TC1/HTML/schema/ifcproductextension/lexical/ifcelementassemblytype.htm" xr:uid="{0013AD79-8C96-483D-AE5F-B035996361E1}"/>
    <hyperlink ref="Q2968" r:id="rId617" display="https://standards.buildingsmart.org/IFC/RELEASE/IFC4/ADD2_TC1/HTML/schema/ifcsharedcomponentelements/lexical/ifcelementcomponent.htm" xr:uid="{BC1C55E6-EDF2-4461-856C-37CD398D4E12}"/>
    <hyperlink ref="Q2970" r:id="rId618" display="https://standards.buildingsmart.org/IFC/RELEASE/IFC4/ADD2_TC1/HTML/schema/ifcsharedcomponentelements/lexical/ifcelementcomponenttype.htm" xr:uid="{AC7E8415-CEF7-477F-AAB5-BB937EEE654A}"/>
    <hyperlink ref="Q2969" r:id="rId619" display="https://standards.buildingsmart.org/IFC/RELEASE/IFC4/ADD2_TC1/HTML/schema/ifcproductextension/lexical/ifcelementquantity.htm" xr:uid="{F7EB4C7E-EF25-4CEC-8CC2-99CE3779F215}"/>
    <hyperlink ref="Q3423" r:id="rId620" display="https://standards.buildingsmart.org/IFC/RELEASE/IFC4/ADD2_TC1/HTML/schema/ifcproductextension/lexical/ifcelementtype.htm" xr:uid="{AF5D4119-0F99-4E72-AE2A-8495671198DB}"/>
    <hyperlink ref="Q3239" r:id="rId621" display="https://standards.buildingsmart.org/IFC/RELEASE/IFC4/ADD2_TC1/HTML/schema/ifcgeometryresource/lexical/ifcellipse.htm" xr:uid="{24AC25D4-8550-488B-8EE0-C76C005B5CAC}"/>
    <hyperlink ref="Q3022" r:id="rId622" display="https://standards.buildingsmart.org/IFC/RELEASE/IFC4/ADD2_TC1/HTML/schema/ifcprofileresource/lexical/ifcellipseprofiledef.htm" xr:uid="{74EC343D-FEF1-4A19-869B-D83DE925774C}"/>
    <hyperlink ref="Q3044" r:id="rId623" display="https://standards.buildingsmart.org/IFC/RELEASE/IFC4/ADD2_TC1/HTML/schema/ifcsharedbldgserviceelements/lexical/ifcenergyconversiondevice.htm" xr:uid="{A2FE5F50-A51B-40FA-AB24-DCE5EDB1D294}"/>
    <hyperlink ref="Q3045" r:id="rId624" display="https://standards.buildingsmart.org/IFC/RELEASE/IFC4/ADD2_TC1/HTML/schema/ifcsharedbldgserviceelements/lexical/ifcenergyconversiondevicetype.htm" xr:uid="{E1E0139B-8219-40DE-A4FB-86091EE77AE5}"/>
    <hyperlink ref="Q3326" r:id="rId625" display="https://standards.buildingsmart.org/IFC/RELEASE/IFC4/ADD2_TC1/HTML/schema/ifchvacdomain/lexical/ifcengine.htm" xr:uid="{60FF6D48-4ED8-42B2-8D14-8F2D30D3B7C4}"/>
    <hyperlink ref="Q3327" r:id="rId626" display="https://standards.buildingsmart.org/IFC/RELEASE/IFC4/ADD2_TC1/HTML/schema/ifchvacdomain/lexical/ifcenginetype.htm" xr:uid="{DB0765E7-622D-486D-9208-0FC2B619694D}"/>
    <hyperlink ref="Q3520" r:id="rId627" display="https://standards.buildingsmart.org/IFC/RELEASE/IFC4/ADD2_TC1/HTML/schema/ifchvacdomain/lexical/ifcevaporativecooler.htm" xr:uid="{4E8AAEAF-AB90-40E8-B300-43684891AD8B}"/>
    <hyperlink ref="Q3521" r:id="rId628" display="https://standards.buildingsmart.org/IFC/RELEASE/IFC4/ADD2_TC1/HTML/schema/ifchvacdomain/lexical/ifcevaporativecoolertype.htm" xr:uid="{04E3C934-C8FC-44DB-A293-B79E2D9A1B8A}"/>
    <hyperlink ref="Q3139" r:id="rId629" display="https://standards.buildingsmart.org/IFC/RELEASE/IFC4/ADD2_TC1/HTML/schema/ifchvacdomain/lexical/ifcevaporator.htm" xr:uid="{24725A94-4F27-4B3A-B57E-FF4EFB7AB5AB}"/>
    <hyperlink ref="Q3140" r:id="rId630" display="https://standards.buildingsmart.org/IFC/RELEASE/IFC4/ADD2_TC1/HTML/schema/ifchvacdomain/lexical/ifcevaporatortype.htm" xr:uid="{A1BE5F29-884F-4F62-98D7-419D679C7979}"/>
    <hyperlink ref="Q3558" r:id="rId631" display="https://standards.buildingsmart.org/IFC/RELEASE/IFC4/ADD2_TC1/HTML/schema/ifcprocessextension/lexical/ifcevent.htm" xr:uid="{28607F56-1BA2-4416-84B8-38444ADBA0C7}"/>
    <hyperlink ref="Q3559" r:id="rId632" display="https://standards.buildingsmart.org/IFC/RELEASE/IFC4/ADD2_TC1/HTML/schema/ifcdatetimeresource/lexical/ifceventtime.htm" xr:uid="{9ADC9B3B-6F87-4B67-B96C-5D8CCC516D04}"/>
    <hyperlink ref="Q3560" r:id="rId633" display="https://standards.buildingsmart.org/IFC/RELEASE/IFC4/ADD2_TC1/HTML/schema/ifcprocessextension/lexical/ifceventtype.htm" xr:uid="{739B51EC-F375-4C7B-93F3-5E945EC9278F}"/>
    <hyperlink ref="Q3408" r:id="rId634" display="https://standards.buildingsmart.org/IFC/RELEASE/IFC4/ADD2_TC1/HTML/schema/ifcpropertyresource/lexical/ifcextendedproperties.htm" xr:uid="{FCD7BC62-D417-4B25-A47E-F74F8048FCFA}"/>
    <hyperlink ref="Q3294" r:id="rId635" display="https://standards.buildingsmart.org/IFC/RELEASE/IFC4/ADD2_TC1/HTML/schema/ifcexternalreferenceresource/lexical/ifcexternalinformation.htm" xr:uid="{ADC2A6FF-C736-4234-864F-44C9BCA265DA}"/>
    <hyperlink ref="Q3127" r:id="rId636" display="https://standards.buildingsmart.org/IFC/RELEASE/IFC4/ADD2_TC1/HTML/schema/ifcpresentationappearanceresource/lexical/ifcexternallydefinedhatchstyle.htm" xr:uid="{D48DC4F4-04B1-433E-8D13-EC6791967554}"/>
    <hyperlink ref="Q3134" r:id="rId637" display="https://standards.buildingsmart.org/IFC/RELEASE/IFC4/ADD2_TC1/HTML/schema/ifcpresentationappearanceresource/lexical/ifcexternallydefinedsurfacestyle.htm" xr:uid="{607F227E-3117-43FA-A70E-247F082ED1C7}"/>
    <hyperlink ref="Q3122" r:id="rId638" display="https://standards.buildingsmart.org/IFC/RELEASE/IFC4/ADD2_TC1/HTML/schema/ifcpresentationappearanceresource/lexical/ifcexternallydefinedtextfont.htm" xr:uid="{0801C88D-5719-4C16-9CDB-9280CB5325CB}"/>
    <hyperlink ref="Q3446" r:id="rId639" display="https://standards.buildingsmart.org/IFC/RELEASE/IFC4/ADD2_TC1/HTML/schema/ifcexternalreferenceresource/lexical/ifcexternalreference.htm" xr:uid="{41E968FF-D868-4644-8D2F-067BE5C32662}"/>
    <hyperlink ref="Q3489" r:id="rId640" display="https://standards.buildingsmart.org/IFC/RELEASE/IFC4/ADD2_TC1/HTML/schema/ifcexternalreferenceresource/lexical/ifcexternalreferencerelationship.htm" xr:uid="{D6F181ED-61AF-4492-A3E8-DFCFF365CDE6}"/>
    <hyperlink ref="Q3083" r:id="rId641" display="https://standards.buildingsmart.org/IFC/RELEASE/IFC4/ADD2_TC1/HTML/schema/ifcproductextension/lexical/ifcexternalspatialelement.htm" xr:uid="{A56EE044-89A3-4C68-999C-55B7459CD80A}"/>
    <hyperlink ref="Q3078" r:id="rId642" display="https://standards.buildingsmart.org/IFC/RELEASE/IFC4/ADD2_TC1/HTML/schema/ifcproductextension/lexical/ifcexternalspatialstructureelement.htm" xr:uid="{193AE740-1E0B-40F9-B77B-3911DE734838}"/>
    <hyperlink ref="Q2929" r:id="rId643" display="https://standards.buildingsmart.org/IFC/RELEASE/IFC4/ADD2_TC1/HTML/schema/ifcgeometricmodelresource/lexical/ifcextrudedareasolid.htm" xr:uid="{B61BEE24-5D2B-4421-8485-9165162102E8}"/>
    <hyperlink ref="Q2930" r:id="rId644" display="https://standards.buildingsmart.org/IFC/RELEASE/IFC4/ADD2_TC1/HTML/schema/ifcgeometricmodelresource/lexical/ifcextrudedareasolidtapered.htm" xr:uid="{0FEA7545-B739-4EDF-BA0A-AED95C8CD572}"/>
    <hyperlink ref="Q3209" r:id="rId645" display="https://standards.buildingsmart.org/IFC/RELEASE/IFC4/ADD2_TC1/HTML/schema/ifctopologyresource/lexical/ifcface.htm" xr:uid="{C5A60AEF-4650-4C1A-BD7F-16CBB3451E13}"/>
    <hyperlink ref="Q3361" r:id="rId646" display="https://standards.buildingsmart.org/IFC/RELEASE/IFC4/ADD2_TC1/HTML/schema/ifcgeometricmodelresource/lexical/ifcfacebasedsurfacemodel.htm" xr:uid="{498737AA-D17D-45A5-80AC-18A567214A80}"/>
    <hyperlink ref="Q3210" r:id="rId647" display="https://standards.buildingsmart.org/IFC/RELEASE/IFC4/ADD2_TC1/HTML/schema/ifctopologyresource/lexical/ifcfacebound.htm" xr:uid="{3260C79F-F3AA-401C-8C50-05E1F5EFD207}"/>
    <hyperlink ref="Q3211" r:id="rId648" display="https://standards.buildingsmart.org/IFC/RELEASE/IFC4/ADD2_TC1/HTML/schema/ifctopologyresource/lexical/ifcfaceouterbound.htm" xr:uid="{4E074EE2-272C-4007-B5B0-99BC1C5A8964}"/>
    <hyperlink ref="Q3262" r:id="rId649" display="https://standards.buildingsmart.org/IFC/RELEASE/IFC4/ADD2_TC1/HTML/schema/ifctopologyresource/lexical/ifcfacesurface.htm" xr:uid="{E17718EF-272B-47ED-B76F-62085E7BB9AF}"/>
    <hyperlink ref="Q3164" r:id="rId650" display="https://standards.buildingsmart.org/IFC/RELEASE/IFC4/ADD2_TC1/HTML/schema/ifcgeometricmodelresource/lexical/ifcfacetedbrep.htm" xr:uid="{E31D8F7A-E14B-485B-B062-40E6942B912D}"/>
    <hyperlink ref="Q3165" r:id="rId651" display="https://standards.buildingsmart.org/IFC/RELEASE/IFC4/ADD2_TC1/HTML/schema/ifcgeometricmodelresource/lexical/ifcfacetedbrepwithvoids.htm" xr:uid="{A6C5DA2D-8865-4687-903C-95A50BE01855}"/>
    <hyperlink ref="Q2898" r:id="rId652" display="https://standards.buildingsmart.org/IFC/RELEASE/IFC4/ADD2_TC1/HTML/schema/ifcstructuralloadresource/lexical/ifcfailureconnectioncondition.htm" xr:uid="{DA58550C-A7B6-43E5-A633-4EA48B88A5DE}"/>
    <hyperlink ref="Q3635" r:id="rId653" display="https://standards.buildingsmart.org/IFC/RELEASE/IFC4/ADD2_TC1/HTML/schema/ifchvacdomain/lexical/ifcfan.htm" xr:uid="{8E879902-8CF2-4C10-9314-4F1BF644F3F7}"/>
    <hyperlink ref="Q3636" r:id="rId654" display="https://standards.buildingsmart.org/IFC/RELEASE/IFC4/ADD2_TC1/HTML/schema/ifchvacdomain/lexical/ifcfantype.htm" xr:uid="{44CEDEE6-AD98-46FD-B6EA-CADC1BD7E94A}"/>
    <hyperlink ref="Q3145" r:id="rId655" display="https://standards.buildingsmart.org/IFC/RELEASE/IFC4/ADD2_TC1/HTML/schema/ifcsharedcomponentelements/lexical/ifcfastener.htm" xr:uid="{7BFBD88B-723D-44FC-9215-E5D765675545}"/>
    <hyperlink ref="Q3146" r:id="rId656" display="https://standards.buildingsmart.org/IFC/RELEASE/IFC4/ADD2_TC1/HTML/schema/ifcsharedcomponentelements/lexical/ifcfastenertype.htm" xr:uid="{4B7AB762-EEA8-4ED1-B4EC-09EC277C6EFE}"/>
    <hyperlink ref="Q3068" r:id="rId657" display="https://standards.buildingsmart.org/IFC/RELEASE/IFC4/ADD2_TC1/HTML/schema/ifcproductextension/lexical/ifcfeatureelement.htm" xr:uid="{A45033F5-E329-43E0-984F-B4448DABDC08}"/>
    <hyperlink ref="Q2873" r:id="rId658" display="https://standards.buildingsmart.org/IFC/RELEASE/IFC4/ADD2_TC1/HTML/schema/ifcproductextension/lexical/ifcfeatureelementaddition.htm" xr:uid="{C6592258-0F0C-403F-8D2F-7F89D1807AAB}"/>
    <hyperlink ref="Q3255" r:id="rId659" display="https://standards.buildingsmart.org/IFC/RELEASE/IFC4/ADD2_TC1/HTML/schema/ifcproductextension/lexical/ifcfeatureelementsubtraction.htm" xr:uid="{5F00DCCD-A3A5-4D99-88D6-DAFE756348D7}"/>
    <hyperlink ref="Q3107" r:id="rId660" display="https://standards.buildingsmart.org/IFC/RELEASE/IFC4/ADD2_TC1/HTML/schema/ifcpresentationappearanceresource/lexical/ifcfillareastyle.htm" xr:uid="{E4855470-7A22-4B3E-B6C6-966AF1C234FD}"/>
    <hyperlink ref="Q3126" r:id="rId661" display="https://standards.buildingsmart.org/IFC/RELEASE/IFC4/ADD2_TC1/HTML/schema/ifcpresentationappearanceresource/lexical/ifcfillareastylehatching.htm" xr:uid="{AD48B4BA-743F-44E7-A7DA-97DBE141A3BD}"/>
    <hyperlink ref="Q3108" r:id="rId662" display="https://standards.buildingsmart.org/IFC/RELEASE/IFC4/ADD2_TC1/HTML/schema/ifcpresentationappearanceresource/lexical/ifcfillareastyletiles.htm" xr:uid="{F78292C8-B311-433F-8DBC-1F2166FC9EE5}"/>
    <hyperlink ref="Q3143" r:id="rId663" display="https://standards.buildingsmart.org/IFC/RELEASE/IFC4/ADD2_TC1/HTML/schema/ifchvacdomain/lexical/ifcfilter.htm" xr:uid="{6C49C2D3-DA2D-418E-9AF6-45A5B131CD31}"/>
    <hyperlink ref="Q3144" r:id="rId664" display="https://standards.buildingsmart.org/IFC/RELEASE/IFC4/ADD2_TC1/HTML/schema/ifchvacdomain/lexical/ifcfiltertype.htm" xr:uid="{087671D1-B993-4684-9C68-9436F0C466BB}"/>
    <hyperlink ref="Q3584" r:id="rId665" display="https://standards.buildingsmart.org/IFC/RELEASE/IFC4/ADD2_TC1/HTML/schema/ifcplumbingfireprotectiondomain/lexical/ifcfiresuppressionterminal.htm" xr:uid="{B23DBC0F-6E49-44AE-A9E0-65A80054BB97}"/>
    <hyperlink ref="Q3585" r:id="rId666" display="https://standards.buildingsmart.org/IFC/RELEASE/IFC4/ADD2_TC1/HTML/schema/ifcplumbingfireprotectiondomain/lexical/ifcfiresuppressionterminaltype.htm" xr:uid="{2750E7AC-6258-4E07-A01D-DD9C27704B75}"/>
    <hyperlink ref="Q3158" r:id="rId667" display="https://standards.buildingsmart.org/IFC/RELEASE/IFC4/ADD2_TC1/HTML/schema/ifcgeometricmodelresource/lexical/ifcfixedreferencesweptareasolid.htm" xr:uid="{8B94D063-0264-4A9E-B27B-FCE65BD7C933}"/>
    <hyperlink ref="Q3000" r:id="rId668" display="https://standards.buildingsmart.org/IFC/RELEASE/IFC4/ADD2_TC1/HTML/schema/ifcsharedbldgserviceelements/lexical/ifcflowcontroller.htm" xr:uid="{F2556B5A-4A98-4277-8871-06AA1A9217CC}"/>
    <hyperlink ref="Q3001" r:id="rId669" display="https://standards.buildingsmart.org/IFC/RELEASE/IFC4/ADD2_TC1/HTML/schema/ifcsharedbldgserviceelements/lexical/ifcflowcontrollertype.htm" xr:uid="{C1126D88-703D-48B4-803A-F2336C0E44E7}"/>
    <hyperlink ref="Q2981" r:id="rId670" display="https://standards.buildingsmart.org/IFC/RELEASE/IFC4/ADD2_TC1/HTML/schema/ifcsharedbldgserviceelements/lexical/ifcflowfitting.htm" xr:uid="{BEF9D391-89CD-4626-B11A-76A84FA7D104}"/>
    <hyperlink ref="Q2982" r:id="rId671" display="https://standards.buildingsmart.org/IFC/RELEASE/IFC4/ADD2_TC1/HTML/schema/ifcsharedbldgserviceelements/lexical/ifcflowfittingtype.htm" xr:uid="{8B19FB75-2A91-4B62-AD49-2A424D1DDF5D}"/>
    <hyperlink ref="Q3295" r:id="rId672" display="https://standards.buildingsmart.org/IFC/RELEASE/IFC4/ADD2_TC1/HTML/schema/ifcbuildingcontrolsdomain/lexical/ifcflowinstrument.htm" xr:uid="{E64E3914-D63C-41AE-B426-0B707B0C616D}"/>
    <hyperlink ref="Q3296" r:id="rId673" display="https://standards.buildingsmart.org/IFC/RELEASE/IFC4/ADD2_TC1/HTML/schema/ifcbuildingcontrolsdomain/lexical/ifcflowinstrumenttype.htm" xr:uid="{622D7F6C-0204-4D42-B442-147AAB684788}"/>
    <hyperlink ref="Q3347" r:id="rId674" display="https://standards.buildingsmart.org/IFC/RELEASE/IFC4/ADD2_TC1/HTML/schema/ifchvacdomain/lexical/ifcflowmeter.htm" xr:uid="{4CD13F61-AB46-41EB-B6AC-9C03EC71A9E5}"/>
    <hyperlink ref="Q3348" r:id="rId675" display="https://standards.buildingsmart.org/IFC/RELEASE/IFC4/ADD2_TC1/HTML/schema/ifchvacdomain/lexical/ifcflowmetertype.htm" xr:uid="{A8CF99F5-7D57-4E08-816F-0B0B2094026E}"/>
    <hyperlink ref="Q3046" r:id="rId676" display="https://standards.buildingsmart.org/IFC/RELEASE/IFC4/ADD2_TC1/HTML/schema/ifcsharedbldgserviceelements/lexical/ifcflowmovingdevice.htm" xr:uid="{C710E45F-F0E1-4A6A-AE5A-F9703CFC937D}"/>
    <hyperlink ref="Q3047" r:id="rId677" display="https://standards.buildingsmart.org/IFC/RELEASE/IFC4/ADD2_TC1/HTML/schema/ifcsharedbldgserviceelements/lexical/ifcflowmovingdevicetype.htm" xr:uid="{6079D5E9-89A9-4EE8-8F23-B04554C43394}"/>
    <hyperlink ref="Q3528" r:id="rId678" display="https://standards.buildingsmart.org/IFC/RELEASE/IFC4/ADD2_TC1/HTML/schema/ifcsharedbldgserviceelements/lexical/ifcflowsegment.htm" xr:uid="{4EBB4185-DEE0-438C-B371-A831CA92360C}"/>
    <hyperlink ref="Q3529" r:id="rId679" display="https://standards.buildingsmart.org/IFC/RELEASE/IFC4/ADD2_TC1/HTML/schema/ifcsharedbldgserviceelements/lexical/ifcflowsegmenttype.htm" xr:uid="{DFEF2288-50A1-4E98-8DAD-3BEC5E62E3AF}"/>
    <hyperlink ref="Q3038" r:id="rId680" display="https://standards.buildingsmart.org/IFC/RELEASE/IFC4/ADD2_TC1/HTML/schema/ifcsharedbldgserviceelements/lexical/ifcflowstoragedevice.htm" xr:uid="{6292A334-BEEA-4680-BDAB-D425DE2EB23F}"/>
    <hyperlink ref="Q3039" r:id="rId681" display="https://standards.buildingsmart.org/IFC/RELEASE/IFC4/ADD2_TC1/HTML/schema/ifcsharedbldgserviceelements/lexical/ifcflowstoragedevicetype.htm" xr:uid="{A380CB9C-B690-4C02-92F4-EC31839F367C}"/>
    <hyperlink ref="Q3586" r:id="rId682" display="https://standards.buildingsmart.org/IFC/RELEASE/IFC4/ADD2_TC1/HTML/schema/ifcsharedbldgserviceelements/lexical/ifcflowterminal.htm" xr:uid="{82D26693-3C2D-4953-AFA2-C6D6104B0683}"/>
    <hyperlink ref="Q3587" r:id="rId683" display="https://standards.buildingsmart.org/IFC/RELEASE/IFC4/ADD2_TC1/HTML/schema/ifcsharedbldgserviceelements/lexical/ifcflowterminaltype.htm" xr:uid="{86C6EE58-39CF-4EE3-84F9-C5570D7BF513}"/>
    <hyperlink ref="Q3052" r:id="rId684" display="https://standards.buildingsmart.org/IFC/RELEASE/IFC4/ADD2_TC1/HTML/schema/ifcsharedbldgserviceelements/lexical/ifcflowtreatmentdevice.htm" xr:uid="{221831B8-5E15-4227-A4FD-4C936CDF0E3E}"/>
    <hyperlink ref="Q3053" r:id="rId685" display="https://standards.buildingsmart.org/IFC/RELEASE/IFC4/ADD2_TC1/HTML/schema/ifcsharedbldgserviceelements/lexical/ifcflowtreatmentdevicetype.htm" xr:uid="{19107CBE-C8C4-4D8B-99D3-9045A824DA35}"/>
    <hyperlink ref="Q3155" r:id="rId686" display="https://standards.buildingsmart.org/IFC/RELEASE/IFC4/ADD2_TC1/HTML/schema/ifcstructuralelementsdomain/lexical/ifcfooting.htm" xr:uid="{8A849A64-1C2F-4705-8E86-F83A29912744}"/>
    <hyperlink ref="Q3156" r:id="rId687" display="https://standards.buildingsmart.org/IFC/RELEASE/IFC4/ADD2_TC1/HTML/schema/ifcstructuralelementsdomain/lexical/ifcfootingtype.htm" xr:uid="{A7A1EAA9-8B71-433B-B5CF-A8B69F9BFB70}"/>
    <hyperlink ref="Q3354" r:id="rId688" display="https://standards.buildingsmart.org/IFC/RELEASE/IFC4/ADD2_TC1/HTML/schema/ifcproductextension/lexical/ifcfurnishingelement.htm" xr:uid="{F1F4A7F7-2EB0-4E0E-9074-3D55E897DD6E}"/>
    <hyperlink ref="Q3355" r:id="rId689" display="https://standards.buildingsmart.org/IFC/RELEASE/IFC4/ADD2_TC1/HTML/schema/ifcproductextension/lexical/ifcfurnishingelementtype.htm" xr:uid="{D0EAB7CE-4748-462C-A7E3-ACDA0D008F10}"/>
    <hyperlink ref="Q3367" r:id="rId690" display="https://standards.buildingsmart.org/IFC/RELEASE/IFC4/ADD2_TC1/HTML/schema/ifcsharedfacilitieselements/lexical/ifcfurniture.htm" xr:uid="{73C69463-400A-47C6-BB2E-1F048C12280A}"/>
    <hyperlink ref="Q3368" r:id="rId691" display="https://standards.buildingsmart.org/IFC/RELEASE/IFC4/ADD2_TC1/HTML/schema/ifcsharedfacilitieselements/lexical/ifcfurnituretype.htm" xr:uid="{F7E49837-137D-4198-AEB3-B516E00BFDAF}"/>
    <hyperlink ref="Q3087" r:id="rId692" display="https://standards.buildingsmart.org/IFC/RELEASE/IFC4/ADD2_TC1/HTML/schema/ifcproductextension/lexical/ifcgeographicelement.htm" xr:uid="{A6F020AA-8517-4A29-89AF-CF9E3915DC3D}"/>
    <hyperlink ref="Q3088" r:id="rId693" display="https://standards.buildingsmart.org/IFC/RELEASE/IFC4/ADD2_TC1/HTML/schema/ifcproductextension/lexical/ifcgeographicelementtype.htm" xr:uid="{3C9971C3-A791-483F-8F77-59DC8F995B6A}"/>
    <hyperlink ref="Q3168" r:id="rId694" display="https://standards.buildingsmart.org/IFC/RELEASE/IFC4/ADD2_TC1/HTML/schema/ifcgeometricmodelresource/lexical/ifcgeometriccurveset.htm" xr:uid="{A657DFA8-2854-4EB2-AE1C-4EEE1A0DBB04}"/>
    <hyperlink ref="Q2998" r:id="rId695" display="https://standards.buildingsmart.org/IFC/RELEASE/IFC4/ADD2_TC1/HTML/schema/ifcrepresentationresource/lexical/ifcgeometricrepresentationcontext.htm" xr:uid="{71D3A8FF-3D31-42DA-AB8C-6E37B3A63580}"/>
    <hyperlink ref="Q3305" r:id="rId696" display="https://standards.buildingsmart.org/IFC/RELEASE/IFC4/ADD2_TC1/HTML/schema/ifcgeometryresource/lexical/ifcgeometricrepresentationitem.htm" xr:uid="{FFEB0E1F-ECAB-4FD9-9B4B-5099F2243626}"/>
    <hyperlink ref="Q3253" r:id="rId697" display="https://standards.buildingsmart.org/IFC/RELEASE/IFC4/ADD2_TC1/HTML/schema/ifcrepresentationresource/lexical/ifcgeometricrepresentationsubcontext.htm" xr:uid="{DD9070AB-F53D-47D4-94D8-BB995227CBF4}"/>
    <hyperlink ref="Q3173" r:id="rId698" display="https://standards.buildingsmart.org/IFC/RELEASE/IFC4/ADD2_TC1/HTML/schema/ifcgeometricmodelresource/lexical/ifcgeometricset.htm" xr:uid="{020EAC47-D7F6-430D-ADB8-DC92241E6B2D}"/>
    <hyperlink ref="Q3059" r:id="rId699" display="https://standards.buildingsmart.org/IFC/RELEASE/IFC4/ADD2_TC1/HTML/schema/ifcproductextension/lexical/ifcgrid.htm" xr:uid="{DA688CF3-B245-4C54-A68F-DFA86B66EEF8}"/>
    <hyperlink ref="Q3060" r:id="rId700" display="https://standards.buildingsmart.org/IFC/RELEASE/IFC4/ADD2_TC1/HTML/schema/ifcgeometricconstraintresource/lexical/ifcgridaxis.htm" xr:uid="{D9B20621-99BC-49BD-8958-E2778B942550}"/>
    <hyperlink ref="Q3062" r:id="rId701" display="https://standards.buildingsmart.org/IFC/RELEASE/IFC4/ADD2_TC1/HTML/schema/ifcgeometricconstraintresource/lexical/ifcgridplacement.htm" xr:uid="{08C4AA87-7B0D-4AD8-88C1-AD45106B5DEC}"/>
    <hyperlink ref="Q3291" r:id="rId702" display="https://standards.buildingsmart.org/IFC/RELEASE/IFC4/ADD2_TC1/HTML/schema/ifckernel/lexical/ifcgroup.htm" xr:uid="{0ADF586D-A566-47BC-8B91-EB0EA4022CEF}"/>
    <hyperlink ref="Q3250" r:id="rId703" display="https://standards.buildingsmart.org/IFC/RELEASE/IFC4/ADD2_TC1/HTML/schema/ifcgeometricmodelresource/lexical/ifchalfspacesolid.htm" xr:uid="{94167F2B-48F1-40AF-B7AE-B716A73CC7BC}"/>
    <hyperlink ref="Q3607" r:id="rId704" display="https://standards.buildingsmart.org/IFC/RELEASE/IFC4/ADD2_TC1/HTML/schema/ifchvacdomain/lexical/ifcheatexchanger.htm" xr:uid="{6030AFC5-9110-40F8-8A64-BF7F79CF0ED4}"/>
    <hyperlink ref="Q3608" r:id="rId705" display="https://standards.buildingsmart.org/IFC/RELEASE/IFC4/ADD2_TC1/HTML/schema/ifchvacdomain/lexical/ifcheatexchangertype.htm" xr:uid="{A0FEDFE5-50A3-4B3D-8ACD-7E8412A5E052}"/>
    <hyperlink ref="Q3609" r:id="rId706" display="https://standards.buildingsmart.org/IFC/RELEASE/IFC4/ADD2_TC1/HTML/schema/ifchvacdomain/lexical/ifchumidifier.htm" xr:uid="{951E8222-743A-45C5-9E86-B483852125E8}"/>
    <hyperlink ref="Q3610" r:id="rId707" display="https://standards.buildingsmart.org/IFC/RELEASE/IFC4/ADD2_TC1/HTML/schema/ifchvacdomain/lexical/ifchumidifiertype.htm" xr:uid="{F80A633E-372E-4158-9F64-27EAB1D62DDC}"/>
    <hyperlink ref="Q3275" r:id="rId708" display="https://standards.buildingsmart.org/IFC/RELEASE/IFC4/ADD2_TC1/HTML/schema/ifcpresentationappearanceresource/lexical/ifcimagetexture.htm" xr:uid="{BFA78FA1-F0CC-4795-BEE5-C358F035E15E}"/>
    <hyperlink ref="Q3137" r:id="rId709" display="https://standards.buildingsmart.org/IFC/RELEASE/IFC4/ADD2_TC1/HTML/schema/ifcpresentationappearanceresource/lexical/ifcindexedcolourmap.htm" xr:uid="{66EBBADA-96A3-4E20-9AB7-B3869DF9E04B}"/>
    <hyperlink ref="Q3204" r:id="rId710" display="https://standards.buildingsmart.org/IFC/RELEASE/IFC4/ADD2_TC1/HTML/schema/ifcgeometryresource/lexical/ifcindexedpolycurve.htm" xr:uid="{B71B3701-F5A5-44CA-98EA-2D7839B55E5B}"/>
    <hyperlink ref="Q3212" r:id="rId711" display="https://standards.buildingsmart.org/IFC/RELEASE/IFC4/ADD2_TC1/HTML/schema/ifcgeometricmodelresource/lexical/ifcindexedpolygonalface.htm" xr:uid="{CB852548-0734-4D2D-B91C-9A796702C5E1}"/>
    <hyperlink ref="Q3213" r:id="rId712" display="https://standards.buildingsmart.org/IFC/RELEASE/IFC4/ADD2_TC1/HTML/schema/ifcgeometricmodelresource/lexical/ifcindexedpolygonalfacewithvoids.htm" xr:uid="{6579F1A4-FD02-4DDA-B84D-66686A1BC608}"/>
    <hyperlink ref="Q3281" r:id="rId713" display="https://standards.buildingsmart.org/IFC/RELEASE/IFC4/ADD2_TC1/HTML/schema/ifcpresentationappearanceresource/lexical/ifcindexedtexturemap.htm" xr:uid="{73A1FF1B-6107-48BE-8EF1-2D8414BA1795}"/>
    <hyperlink ref="Q3280" r:id="rId714" display="https://standards.buildingsmart.org/IFC/RELEASE/IFC4/ADD2_TC1/HTML/schema/ifcpresentationappearanceresource/lexical/ifcindexedtriangletexturemap.htm" xr:uid="{1DBD6F9D-840D-419F-BC35-70D416CBF663}"/>
    <hyperlink ref="Q3297" r:id="rId715" display="https://standards.buildingsmart.org/IFC/RELEASE/IFC4/ADD2_TC1/HTML/schema/ifcplumbingfireprotectiondomain/lexical/ifcinterceptor.htm" xr:uid="{54B5D84A-071A-4100-85BF-F5C93C582AEC}"/>
    <hyperlink ref="Q3298" r:id="rId716" display="https://standards.buildingsmart.org/IFC/RELEASE/IFC4/ADD2_TC1/HTML/schema/ifcplumbingfireprotectiondomain/lexical/ifcinterceptortype.htm" xr:uid="{D476067F-27D3-41BD-8D9C-D4EE417CE641}"/>
    <hyperlink ref="Q3197" r:id="rId717" display="https://standards.buildingsmart.org/IFC/RELEASE/IFC4/ADD2_TC1/HTML/schema/ifcgeometryresource/lexical/ifcintersectioncurve.htm" xr:uid="{EC1A163F-B55D-409D-A8B7-E0AD10E49D87}"/>
    <hyperlink ref="Q3299" r:id="rId718" display="https://standards.buildingsmart.org/IFC/RELEASE/IFC4/ADD2_TC1/HTML/schema/ifcsharedfacilitieselements/lexical/ifcinventory.htm" xr:uid="{D5FB21C6-C887-4CF5-8DDE-31DEA0E70113}"/>
    <hyperlink ref="Q3568" r:id="rId719" display="https://standards.buildingsmart.org/IFC/RELEASE/IFC4/ADD2_TC1/HTML/schema/ifcdatetimeresource/lexical/ifcirregulartimeseries.htm" xr:uid="{7ACC17BA-26EF-4BFD-9BD2-A3B18F26BCFE}"/>
    <hyperlink ref="Q3569" r:id="rId720" display="https://standards.buildingsmart.org/IFC/RELEASE/IFC4/ADD2_TC1/HTML/schema/ifcdatetimeresource/lexical/ifcirregulartimeseriesvalue.htm" xr:uid="{31FF624B-581B-4832-B32E-6E1C0ED4238E}"/>
    <hyperlink ref="Q3024" r:id="rId721" display="https://standards.buildingsmart.org/IFC/RELEASE/IFC4/ADD2_TC1/HTML/schema/ifcprofileresource/lexical/ifcishapeprofiledef.htm" xr:uid="{1E0FB768-A40F-47A6-9835-7CA0AF378AF0}"/>
    <hyperlink ref="Q2942" r:id="rId722" display="https://standards.buildingsmart.org/IFC/RELEASE/IFC4/ADD2_TC1/HTML/schema/ifcelectricaldomain/lexical/ifcjunctionbox.htm" xr:uid="{46714776-5B26-4BA0-9626-9B5105D46CF9}"/>
    <hyperlink ref="Q2943" r:id="rId723" display="https://standards.buildingsmart.org/IFC/RELEASE/IFC4/ADD2_TC1/HTML/schema/ifcelectricaldomain/lexical/ifcjunctionboxtype.htm" xr:uid="{88F926A4-497C-4D71-AB17-7A1673610553}"/>
    <hyperlink ref="Q3441" r:id="rId724" display="https://standards.buildingsmart.org/IFC/RELEASE/IFC4/ADD2_TC1/HTML/schema/ifcconstructionmgmtdomain/lexical/ifclaborresource.htm" xr:uid="{3B900427-1CAE-4224-9939-BA7F023AE374}"/>
    <hyperlink ref="Q3432" r:id="rId725" display="https://standards.buildingsmart.org/IFC/RELEASE/IFC4/ADD2_TC1/HTML/schema/ifcconstructionmgmtdomain/lexical/ifclaborresourcetype.htm" xr:uid="{FF8939C4-41BB-4776-99B2-E35C34486B36}"/>
    <hyperlink ref="Q3555" r:id="rId726" display="https://standards.buildingsmart.org/IFC/RELEASE/IFC4/ADD2_TC1/HTML/schema/ifcdatetimeresource/lexical/ifclagtime.htm" xr:uid="{786EB473-0114-4FAB-BA9C-15235EA92510}"/>
    <hyperlink ref="Q3320" r:id="rId727" display="https://standards.buildingsmart.org/IFC/RELEASE/IFC4/ADD2_TC1/HTML/schema/ifcelectricaldomain/lexical/ifclamp.htm" xr:uid="{A64E5A40-4A30-4906-A537-9C1344E59092}"/>
    <hyperlink ref="Q3321" r:id="rId728" display="https://standards.buildingsmart.org/IFC/RELEASE/IFC4/ADD2_TC1/HTML/schema/ifcelectricaldomain/lexical/ifclamptype.htm" xr:uid="{F291A8A8-B88A-4542-B4DA-D60D91AA1FEE}"/>
    <hyperlink ref="Q3292" r:id="rId729" display="https://standards.buildingsmart.org/IFC/RELEASE/IFC4/ADD2_TC1/HTML/schema/ifcexternalreferenceresource/lexical/ifclibraryinformation.htm" xr:uid="{19B1B9E4-25F6-45E5-8418-5BB713A9B88A}"/>
    <hyperlink ref="Q3443" r:id="rId730" display="https://standards.buildingsmart.org/IFC/RELEASE/IFC4/ADD2_TC1/HTML/schema/ifcexternalreferenceresource/lexical/ifclibraryreference.htm" xr:uid="{2AC3BCFC-20AE-4882-9AB2-DDCA95B8A92B}"/>
    <hyperlink ref="Q3324" r:id="rId731" display="https://standards.buildingsmart.org/IFC/RELEASE/IFC4/ADD2_TC1/HTML/schema/ifcpresentationorganizationresource/lexical/ifclightdistributiondata.htm" xr:uid="{D8332B03-724E-46F7-B8FB-6303C71059D7}"/>
    <hyperlink ref="Q3322" r:id="rId732" display="https://standards.buildingsmart.org/IFC/RELEASE/IFC4/ADD2_TC1/HTML/schema/ifcelectricaldomain/lexical/ifclightfixture.htm" xr:uid="{B4709012-14B9-4A50-B9E8-AE26554A1CA2}"/>
    <hyperlink ref="Q3323" r:id="rId733" display="https://standards.buildingsmart.org/IFC/RELEASE/IFC4/ADD2_TC1/HTML/schema/ifcelectricaldomain/lexical/ifclightfixturetype.htm" xr:uid="{0856A7F0-9DC0-45FB-8983-B90E8EFF321D}"/>
    <hyperlink ref="Q3325" r:id="rId734" display="https://standards.buildingsmart.org/IFC/RELEASE/IFC4/ADD2_TC1/HTML/schema/ifcpresentationorganizationresource/lexical/ifclightintensitydistribution.htm" xr:uid="{BD41EE08-B92B-4B62-A46B-EBAEB4EAA3FE}"/>
    <hyperlink ref="Q3149" r:id="rId735" display="https://standards.buildingsmart.org/IFC/RELEASE/IFC4/ADD2_TC1/HTML/schema/ifcpresentationorganizationresource/lexical/ifclightsource.htm" xr:uid="{A1789417-29EB-4FDA-98CA-EEA7CC5532E1}"/>
    <hyperlink ref="Q3150" r:id="rId736" display="https://standards.buildingsmart.org/IFC/RELEASE/IFC4/ADD2_TC1/HTML/schema/ifcpresentationorganizationresource/lexical/ifclightsourceambient.htm" xr:uid="{F44E5EB6-FABE-4E74-81C9-282C3C09DD90}"/>
    <hyperlink ref="Q3037" r:id="rId737" display="https://standards.buildingsmart.org/IFC/RELEASE/IFC4/ADD2_TC1/HTML/schema/ifcpresentationorganizationresource/lexical/ifclightsourcedirectional.htm" xr:uid="{7E8C73AA-1A9C-4947-B399-487223C3E932}"/>
    <hyperlink ref="Q3151" r:id="rId738" display="https://standards.buildingsmart.org/IFC/RELEASE/IFC4/ADD2_TC1/HTML/schema/ifcpresentationorganizationresource/lexical/ifclightsourcegoniometric.htm" xr:uid="{FD378408-41E6-46AF-BCE8-A99510679337}"/>
    <hyperlink ref="Q3152" r:id="rId739" display="https://standards.buildingsmart.org/IFC/RELEASE/IFC4/ADD2_TC1/HTML/schema/ifcpresentationorganizationresource/lexical/ifclightsourcepositional.htm" xr:uid="{86802145-A0AB-4879-AAA3-AFB16A5A6CEA}"/>
    <hyperlink ref="Q3389" r:id="rId740" display="https://standards.buildingsmart.org/IFC/RELEASE/IFC4/ADD2_TC1/HTML/schema/ifcpresentationorganizationresource/lexical/ifclightsourcespot.htm" xr:uid="{6E6BD8CB-F78E-4D6F-9852-8BC1214B78FD}"/>
    <hyperlink ref="Q3242" r:id="rId741" display="https://standards.buildingsmart.org/IFC/RELEASE/IFC4/ADD2_TC1/HTML/schema/ifcgeometryresource/lexical/ifcline.htm" xr:uid="{CA57C67C-8606-4B2D-949D-5430B630660B}"/>
    <hyperlink ref="Q3236" r:id="rId742" display="https://standards.buildingsmart.org/IFC/RELEASE/IFC4/ADD2_TC1/HTML/schema/ifcgeometricconstraintresource/lexical/ifclocalplacement.htm" xr:uid="{36FBB4BA-43F5-4EC5-A915-CF8E95049DE9}"/>
    <hyperlink ref="Q3600" r:id="rId743" display="https://standards.buildingsmart.org/IFC/RELEASE/IFC4/ADD2_TC1/HTML/schema/ifctopologyresource/lexical/ifcloop.htm" xr:uid="{28CC4F0B-E573-4B4D-827C-0D5DCB10A857}"/>
    <hyperlink ref="Q3025" r:id="rId744" display="https://standards.buildingsmart.org/IFC/RELEASE/IFC4/ADD2_TC1/HTML/schema/ifcprofileresource/lexical/ifclshapeprofiledef.htm" xr:uid="{C09DDA3A-8C2C-4681-8E0A-C9261FE0A7C3}"/>
    <hyperlink ref="Q3166" r:id="rId745" display="https://standards.buildingsmart.org/IFC/RELEASE/IFC4/ADD2_TC1/HTML/schema/ifcgeometricmodelresource/lexical/ifcmanifoldsolidbrep.htm" xr:uid="{9202D7D0-9ACF-44BE-A719-5F6E5E8AFEC7}"/>
    <hyperlink ref="Q3174" r:id="rId746" display="https://standards.buildingsmart.org/IFC/RELEASE/IFC4/ADD2_TC1/HTML/schema/ifcrepresentationresource/lexical/ifcmapconversion.htm" xr:uid="{3303B03D-C84B-451E-88D4-128385E7C266}"/>
    <hyperlink ref="Q3309" r:id="rId747" display="https://standards.buildingsmart.org/IFC/RELEASE/IFC4/ADD2_TC1/HTML/schema/ifcgeometryresource/lexical/ifcmappeditem.htm" xr:uid="{CFAE8B7D-5D3A-4E76-9ABC-B01EDECC9B91}"/>
    <hyperlink ref="Q3328" r:id="rId748" display="https://standards.buildingsmart.org/IFC/RELEASE/IFC4/ADD2_TC1/HTML/schema/ifcmaterialresource/lexical/ifcmaterial.htm" xr:uid="{ED325FFC-04BA-402A-BD79-0A13A9D0644C}"/>
    <hyperlink ref="Q3463" r:id="rId749" display="https://standards.buildingsmart.org/IFC/RELEASE/IFC4/ADD2_TC1/HTML/schema/ifcmaterialresource/lexical/ifcmaterialclassificationrelationship.htm" xr:uid="{FAA96CC2-C877-444F-A90A-E892936C617C}"/>
    <hyperlink ref="Q3334" r:id="rId750" display="https://standards.buildingsmart.org/IFC/RELEASE/IFC4/ADD2_TC1/HTML/schema/ifcmaterialresource/lexical/ifcmaterialconstituent.htm" xr:uid="{A06D0F26-6814-471C-BFDA-4B539689635C}"/>
    <hyperlink ref="Q3333" r:id="rId751" display="https://standards.buildingsmart.org/IFC/RELEASE/IFC4/ADD2_TC1/HTML/schema/ifcmaterialresource/lexical/ifcmaterialconstituentset.htm" xr:uid="{B0E27CB6-EC68-434F-A71B-ABE1503937DF}"/>
    <hyperlink ref="Q3335" r:id="rId752" display="https://standards.buildingsmart.org/IFC/RELEASE/IFC4/ADD2_TC1/HTML/schema/ifcmaterialresource/lexical/ifcmaterialdefinition.htm" xr:uid="{BABCB994-3502-4004-B622-6ED6BA9302D7}"/>
    <hyperlink ref="Q3345" r:id="rId753" display="https://standards.buildingsmart.org/IFC/RELEASE/IFC4/ADD2_TC1/HTML/schema/ifcrepresentationresource/lexical/ifcmaterialdefinitionrepresentation.htm" xr:uid="{C7FD1A14-6158-421F-8549-0625CF94F778}"/>
    <hyperlink ref="Q3329" r:id="rId754" display="https://standards.buildingsmart.org/IFC/RELEASE/IFC4/ADD2_TC1/HTML/schema/ifcmaterialresource/lexical/ifcmateriallayer.htm" xr:uid="{EC0CF181-91B5-45A3-836B-469763BBDC20}"/>
    <hyperlink ref="Q3332" r:id="rId755" display="https://standards.buildingsmart.org/IFC/RELEASE/IFC4/ADD2_TC1/HTML/schema/ifcmaterialresource/lexical/ifcmateriallayerset.htm" xr:uid="{AAD8948C-9677-4ACE-A7A7-68EA8CB781C4}"/>
    <hyperlink ref="Q3331" r:id="rId756" display="https://standards.buildingsmart.org/IFC/RELEASE/IFC4/ADD2_TC1/HTML/schema/ifcmaterialresource/lexical/ifcmateriallayersetusage.htm" xr:uid="{44A09EE4-21E3-4DEF-9BF0-7D387A8664E5}"/>
    <hyperlink ref="Q3330" r:id="rId757" display="https://standards.buildingsmart.org/IFC/RELEASE/IFC4/ADD2_TC1/HTML/schema/ifcmaterialresource/lexical/ifcmateriallayerwithoffsets.htm" xr:uid="{94566754-CD39-4F33-85FC-3559F4AB4BD0}"/>
    <hyperlink ref="Q3337" r:id="rId758" display="https://standards.buildingsmart.org/IFC/RELEASE/IFC4/ADD2_TC1/HTML/schema/ifcmaterialresource/lexical/ifcmateriallist.htm" xr:uid="{E7B17C4C-9980-490D-B658-9D4959B4372F}"/>
    <hyperlink ref="Q3338" r:id="rId759" display="https://standards.buildingsmart.org/IFC/RELEASE/IFC4/ADD2_TC1/HTML/schema/ifcmaterialresource/lexical/ifcmaterialprofile.htm" xr:uid="{40F83D98-84D9-467A-B07F-5057384F67A1}"/>
    <hyperlink ref="Q3339" r:id="rId760" display="https://standards.buildingsmart.org/IFC/RELEASE/IFC4/ADD2_TC1/HTML/schema/ifcmaterialresource/lexical/ifcmaterialprofileset.htm" xr:uid="{4C104A49-F8BD-44A1-90DD-B7576BA5E6C9}"/>
    <hyperlink ref="Q3341" r:id="rId761" display="https://standards.buildingsmart.org/IFC/RELEASE/IFC4/ADD2_TC1/HTML/schema/ifcmaterialresource/lexical/ifcmaterialprofilesetusage.htm" xr:uid="{F22A3F4C-3CC1-430F-881B-FDA505990FB4}"/>
    <hyperlink ref="Q3342" r:id="rId762" display="https://standards.buildingsmart.org/IFC/RELEASE/IFC4/ADD2_TC1/HTML/schema/ifcmaterialresource/lexical/ifcmaterialprofilesetusagetapering.htm" xr:uid="{BFB00250-E7C5-4E0A-920B-0D3700E8FDF1}"/>
    <hyperlink ref="Q3340" r:id="rId763" display="https://standards.buildingsmart.org/IFC/RELEASE/IFC4/ADD2_TC1/HTML/schema/ifcmaterialresource/lexical/ifcmaterialprofilewithoffsets.htm" xr:uid="{ED1B6040-6B8F-49C4-A4B7-8887DD7F4AD5}"/>
    <hyperlink ref="Q3343" r:id="rId764" display="https://standards.buildingsmart.org/IFC/RELEASE/IFC4/ADD2_TC1/HTML/schema/ifcmaterialresource/lexical/ifcmaterialproperties.htm" xr:uid="{257D0B7A-C4D9-40DF-9E9D-C71BFAEE3D6B}"/>
    <hyperlink ref="Q3499" r:id="rId765" display="https://standards.buildingsmart.org/IFC/RELEASE/IFC4/ADD2_TC1/HTML/schema/ifcmaterialresource/lexical/ifcmaterialrelationship.htm" xr:uid="{535C0C2C-27AB-48A5-BD13-7637F8CB1F2B}"/>
    <hyperlink ref="Q3336" r:id="rId766" display="https://standards.buildingsmart.org/IFC/RELEASE/IFC4/ADD2_TC1/HTML/schema/ifcmaterialresource/lexical/ifcmaterialusagedefinition.htm" xr:uid="{FDC84FD2-6932-4B6F-80AD-8A3AEFB10974}"/>
    <hyperlink ref="Q3346" r:id="rId767" display="https://standards.buildingsmart.org/IFC/RELEASE/IFC4/ADD2_TC1/HTML/schema/ifcmeasureresource/lexical/ifcmeasurewithunit.htm" xr:uid="{87E6207B-49BE-4055-9F3C-44043498A054}"/>
    <hyperlink ref="Q3147" r:id="rId768" display="https://standards.buildingsmart.org/IFC/RELEASE/IFC4/ADD2_TC1/HTML/schema/ifcsharedcomponentelements/lexical/ifcmechanicalfastener.htm" xr:uid="{90DD7784-4577-4745-8084-2797ED6BF791}"/>
    <hyperlink ref="Q3148" r:id="rId769" display="https://standards.buildingsmart.org/IFC/RELEASE/IFC4/ADD2_TC1/HTML/schema/ifcsharedcomponentelements/lexical/ifcmechanicalfastenertype.htm" xr:uid="{63E912D0-2B0B-46EE-A10A-63D9F3493955}"/>
    <hyperlink ref="Q3054" r:id="rId770" display="https://standards.buildingsmart.org/IFC/RELEASE/IFC4/ADD2_TC1/HTML/schema/ifchvacdomain/lexical/ifcmedicaldevice.htm" xr:uid="{77EE8FDD-DE0F-4F3D-AEBE-D5A206BA7150}"/>
    <hyperlink ref="Q3055" r:id="rId771" display="https://standards.buildingsmart.org/IFC/RELEASE/IFC4/ADD2_TC1/HTML/schema/ifchvacdomain/lexical/ifcmedicaldevicetype.htm" xr:uid="{EB708437-3FD5-47DC-8A2B-BE371A6CE42A}"/>
    <hyperlink ref="Q3350" r:id="rId772" display="https://standards.buildingsmart.org/IFC/RELEASE/IFC4/ADD2_TC1/HTML/schema/ifcsharedbldgelements/lexical/ifcmember.htm" xr:uid="{0BD8AE23-65F7-4023-9E86-5F81626D55C1}"/>
    <hyperlink ref="Q2948" r:id="rId773" display="https://standards.buildingsmart.org/IFC/RELEASE/IFC4/ADD2_TC1/HTML/schema/ifcsharedbldgelements/lexical/ifcmemberstandardcase.htm" xr:uid="{D6347C27-283E-47DE-944F-33ED741ABE80}"/>
    <hyperlink ref="Q3351" r:id="rId774" display="https://standards.buildingsmart.org/IFC/RELEASE/IFC4/ADD2_TC1/HTML/schema/ifcsharedbldgelements/lexical/ifcmembertype.htm" xr:uid="{0D65BFC1-CE6A-461C-9821-4B97AE51D491}"/>
    <hyperlink ref="Q3620" r:id="rId775" display="https://standards.buildingsmart.org/IFC/RELEASE/IFC4/ADD2_TC1/HTML/schema/ifcconstraintresource/lexical/ifcmetric.htm" xr:uid="{0798258C-FECD-44D3-87D2-B4C54A3DBC99}"/>
    <hyperlink ref="Q3023" r:id="rId776" display="https://standards.buildingsmart.org/IFC/RELEASE/IFC4/ADD2_TC1/HTML/schema/ifcprofileresource/lexical/ifcmirroredprofiledef.htm" xr:uid="{0BA7EDE2-5D76-4D5E-B264-5821777E751D}"/>
    <hyperlink ref="Q3621" r:id="rId777" display="https://standards.buildingsmart.org/IFC/RELEASE/IFC4/ADD2_TC1/HTML/schema/ifcmeasureresource/lexical/ifcmonetaryunit.htm" xr:uid="{13992FEB-B9DE-4103-8BA1-5229EF73E07C}"/>
    <hyperlink ref="Q2983" r:id="rId778" display="https://standards.buildingsmart.org/IFC/RELEASE/IFC4/ADD2_TC1/HTML/schema/ifcelectricaldomain/lexical/ifcmotorconnection.htm" xr:uid="{7D59415F-1B5B-4955-B7CE-F63E79137135}"/>
    <hyperlink ref="Q2989" r:id="rId779" display="https://standards.buildingsmart.org/IFC/RELEASE/IFC4/ADD2_TC1/HTML/schema/ifcelectricaldomain/lexical/ifcmotorconnectiontype.htm" xr:uid="{8139A3AC-7A85-443D-96BA-B591266ADF4F}"/>
    <hyperlink ref="Q3622" r:id="rId780" display="https://standards.buildingsmart.org/IFC/RELEASE/IFC4/ADD2_TC1/HTML/schema/ifcmeasureresource/lexical/ifcnamedunit.htm" xr:uid="{93B4984F-F3E3-444A-8D77-4C3E884C8302}"/>
    <hyperlink ref="Q3370" r:id="rId781" display="https://standards.buildingsmart.org/IFC/RELEASE/IFC4/ADD2_TC1/HTML/schema/ifckernel/lexical/ifcobject.htm" xr:uid="{9BF28F18-4913-43B0-9ABB-BF9CAE3D5615}"/>
    <hyperlink ref="Q3011" r:id="rId782" display="https://standards.buildingsmart.org/IFC/RELEASE/IFC4/ADD2_TC1/HTML/schema/ifckernel/lexical/ifcobjectdefinition.htm" xr:uid="{A337D23A-7CAC-4B1D-95A1-42BDC7FEFE17}"/>
    <hyperlink ref="Q3369" r:id="rId783" display="https://standards.buildingsmart.org/IFC/RELEASE/IFC4/ADD2_TC1/HTML/schema/ifcconstraintresource/lexical/ifcobjective.htm" xr:uid="{FFF081E3-697F-4825-8473-8AD42807096C}"/>
    <hyperlink ref="Q3235" r:id="rId784" display="https://standards.buildingsmart.org/IFC/RELEASE/IFC4/ADD2_TC1/HTML/schema/ifcgeometricconstraintresource/lexical/ifcobjectplacement.htm" xr:uid="{40C0EEA6-C269-414E-BBA8-F87EED835058}"/>
    <hyperlink ref="Q3372" r:id="rId785" display="https://standards.buildingsmart.org/IFC/RELEASE/IFC4/ADD2_TC1/HTML/schema/ifcsharedfacilitieselements/lexical/ifcoccupant.htm" xr:uid="{B49918A4-1C25-4799-B417-F45EC20BEDDC}"/>
    <hyperlink ref="Q3200" r:id="rId786" display="https://standards.buildingsmart.org/IFC/RELEASE/IFC4/ADD2_TC1/HTML/schema/ifcgeometryresource/lexical/ifcoffsetcurve2d.htm" xr:uid="{0F61C543-FB40-4770-A6ED-4AEBFCAF96E7}"/>
    <hyperlink ref="Q3201" r:id="rId787" display="https://standards.buildingsmart.org/IFC/RELEASE/IFC4/ADD2_TC1/HTML/schema/ifcgeometryresource/lexical/ifcoffsetcurve3d.htm" xr:uid="{D1A454F9-5896-4FE8-8A6E-356856373E31}"/>
    <hyperlink ref="Q3065" r:id="rId788" display="https://standards.buildingsmart.org/IFC/RELEASE/IFC4/ADD2_TC1/HTML/schema/ifcproductextension/lexical/ifcopeningelement.htm" xr:uid="{F8867CA6-EADB-4BDA-8729-9B390DBBA55F}"/>
    <hyperlink ref="Q2868" r:id="rId789" display="https://standards.buildingsmart.org/IFC/RELEASE/IFC4/ADD2_TC1/HTML/schema/ifcproductextension/lexical/ifcopeningstandardcase.htm" xr:uid="{F8AC6910-74F5-4EBA-AA3B-EC7A2D806C04}"/>
    <hyperlink ref="Q2944" r:id="rId790" display="https://standards.buildingsmart.org/IFC/RELEASE/IFC4/ADD2_TC1/HTML/schema/ifctopologyresource/lexical/ifcopenshell.htm" xr:uid="{31BB963E-8651-43C7-93CD-FE38FCE7F60D}"/>
    <hyperlink ref="Q3374" r:id="rId791" display="https://standards.buildingsmart.org/IFC/RELEASE/IFC4/ADD2_TC1/HTML/schema/ifcactorresource/lexical/ifcorganization.htm" xr:uid="{81B2AB86-0A14-47A3-9B21-1CB7B53B43A2}"/>
    <hyperlink ref="Q3500" r:id="rId792" display="https://standards.buildingsmart.org/IFC/RELEASE/IFC4/ADD2_TC1/HTML/schema/ifcactorresource/lexical/ifcorganizationrelationship.htm" xr:uid="{25B667B9-A244-486F-8FBD-1D6C2E51C08E}"/>
    <hyperlink ref="Q3160" r:id="rId793" display="https://standards.buildingsmart.org/IFC/RELEASE/IFC4/ADD2_TC1/HTML/schema/ifctopologyresource/lexical/ifcorientededge.htm" xr:uid="{AA113E75-3D9C-44EB-AB91-72547F90B110}"/>
    <hyperlink ref="Q3196" r:id="rId794" display="https://standards.buildingsmart.org/IFC/RELEASE/IFC4/ADD2_TC1/HTML/schema/ifcgeometryresource/lexical/ifcouterboundarycurve.htm" xr:uid="{92FFD872-C511-40E6-8504-02E1987B2F8B}"/>
    <hyperlink ref="Q3597" r:id="rId795" display="https://standards.buildingsmart.org/IFC/RELEASE/IFC4/ADD2_TC1/HTML/schema/ifcelectricaldomain/lexical/ifcoutlet.htm" xr:uid="{7B4A9A08-9EB8-4D8C-8F61-7383F5D8B27F}"/>
    <hyperlink ref="Q3598" r:id="rId796" display="https://standards.buildingsmart.org/IFC/RELEASE/IFC4/ADD2_TC1/HTML/schema/ifcelectricaldomain/lexical/ifcoutlettype.htm" xr:uid="{6803E87C-D303-4A80-BC02-1ED50857C730}"/>
    <hyperlink ref="Q3562" r:id="rId797" display="https://standards.buildingsmart.org/IFC/RELEASE/IFC4/ADD2_TC1/HTML/schema/ifcutilityresource/lexical/ifcownerhistory.htm" xr:uid="{1CC02697-E086-4626-9BC1-F82A55E7BF46}"/>
    <hyperlink ref="Q3027" r:id="rId798" display="https://standards.buildingsmart.org/IFC/RELEASE/IFC4/ADD2_TC1/HTML/schema/ifcprofileresource/lexical/ifcparameterizedprofiledef.htm" xr:uid="{B8A36C3F-AB57-4AE1-BA6C-D742FB830D71}"/>
    <hyperlink ref="Q3599" r:id="rId799" display="https://standards.buildingsmart.org/IFC/RELEASE/IFC4/ADD2_TC1/HTML/schema/ifctopologyresource/lexical/ifcpath.htm" xr:uid="{92AD10E2-7E03-49E6-9525-387F231383F9}"/>
    <hyperlink ref="Q3203" r:id="rId800" display="https://standards.buildingsmart.org/IFC/RELEASE/IFC4/ADD2_TC1/HTML/schema/ifcgeometryresource/lexical/ifcpcurve.htm" xr:uid="{77F381B4-E23B-4BBD-8E9D-0FD3D0E3C5D9}"/>
    <hyperlink ref="Q3561" r:id="rId801" display="https://standards.buildingsmart.org/IFC/RELEASE/IFC4/ADD2_TC1/HTML/schema/ifccontrolextension/lexical/ifcperformancehistory.htm" xr:uid="{AF091CFC-EF9D-4968-895A-55A2F9644095}"/>
    <hyperlink ref="Q3406" r:id="rId802" display="https://standards.buildingsmart.org/IFC/RELEASE/IFC4/ADD2_TC1/HTML/schema/ifcarchitecturedomain/lexical/ifcpermeablecoveringproperties.htm" xr:uid="{90FDC70E-08E9-4F8A-B9EB-94F04920DF02}"/>
    <hyperlink ref="Q3383" r:id="rId803" display="https://standards.buildingsmart.org/IFC/RELEASE/IFC4/ADD2_TC1/HTML/schema/ifcsharedmgmtelements/lexical/ifcpermit.htm" xr:uid="{E458C03F-C2F6-46C2-857C-092E1AA135AE}"/>
    <hyperlink ref="Q3385" r:id="rId804" display="https://standards.buildingsmart.org/IFC/RELEASE/IFC4/ADD2_TC1/HTML/schema/ifcactorresource/lexical/ifcperson.htm" xr:uid="{6A6446C3-8EFB-4C8F-BE81-2A4DE1CCA7BB}"/>
    <hyperlink ref="Q3386" r:id="rId805" display="https://standards.buildingsmart.org/IFC/RELEASE/IFC4/ADD2_TC1/HTML/schema/ifcactorresource/lexical/ifcpersonandorganization.htm" xr:uid="{ECAC69F9-6593-4C6D-9480-32720B649664}"/>
    <hyperlink ref="Q3415" r:id="rId806" display="https://standards.buildingsmart.org/IFC/RELEASE/IFC4/ADD2_TC1/HTML/schema/ifcquantityresource/lexical/ifcphysicalquantity.htm" xr:uid="{B2B16786-EF12-4640-B49B-B1D3BDC83245}"/>
    <hyperlink ref="Q3417" r:id="rId807" display="https://standards.buildingsmart.org/IFC/RELEASE/IFC4/ADD2_TC1/HTML/schema/ifcquantityresource/lexical/ifcphysicalsimplequantity.htm" xr:uid="{EE98D120-8353-4765-9A79-DAC4969080AE}"/>
    <hyperlink ref="Q3153" r:id="rId808" display="https://standards.buildingsmart.org/IFC/RELEASE/IFC4/ADD2_TC1/HTML/schema/ifcstructuralelementsdomain/lexical/ifcpile.htm" xr:uid="{37027BF5-45BE-4AC8-88ED-EAC268827DC6}"/>
    <hyperlink ref="Q3154" r:id="rId809" display="https://standards.buildingsmart.org/IFC/RELEASE/IFC4/ADD2_TC1/HTML/schema/ifcstructuralelementsdomain/lexical/ifcpiletype.htm" xr:uid="{604E0855-E47F-454D-9D98-0AA253D287B9}"/>
    <hyperlink ref="Q2984" r:id="rId810" display="https://standards.buildingsmart.org/IFC/RELEASE/IFC4/ADD2_TC1/HTML/schema/ifchvacdomain/lexical/ifcpipefitting.htm" xr:uid="{33E520C0-7FD8-45AB-AA04-D3142FDA85C7}"/>
    <hyperlink ref="Q2985" r:id="rId811" display="https://standards.buildingsmart.org/IFC/RELEASE/IFC4/ADD2_TC1/HTML/schema/ifchvacdomain/lexical/ifcpipefittingtype.htm" xr:uid="{F6BB6D93-334E-4903-84AC-474D4C00A91F}"/>
    <hyperlink ref="Q3534" r:id="rId812" display="https://standards.buildingsmart.org/IFC/RELEASE/IFC4/ADD2_TC1/HTML/schema/ifchvacdomain/lexical/ifcpipesegment.htm" xr:uid="{4C9BFE11-C724-4F83-B56D-E986E2DE1206}"/>
    <hyperlink ref="Q3535" r:id="rId813" display="https://standards.buildingsmart.org/IFC/RELEASE/IFC4/ADD2_TC1/HTML/schema/ifchvacdomain/lexical/ifcpipesegmenttype.htm" xr:uid="{F2BB20BE-7EE4-431E-9994-83ACB2DC86C7}"/>
    <hyperlink ref="Q3276" r:id="rId814" display="https://standards.buildingsmart.org/IFC/RELEASE/IFC4/ADD2_TC1/HTML/schema/ifcpresentationappearanceresource/lexical/ifcpixeltexture.htm" xr:uid="{862C3736-AE24-43AA-8866-8C9D0D6265E2}"/>
    <hyperlink ref="Q3231" r:id="rId815" display="https://standards.buildingsmart.org/IFC/RELEASE/IFC4/ADD2_TC1/HTML/schema/ifcgeometryresource/lexical/ifcplacement.htm" xr:uid="{BA6B06FA-58F8-42DD-81A7-392F69CC39FA}"/>
    <hyperlink ref="Q3220" r:id="rId816" display="https://standards.buildingsmart.org/IFC/RELEASE/IFC4/ADD2_TC1/HTML/schema/ifcpresentationdefinitionresource/lexical/ifcplanarbox.htm" xr:uid="{7E4ECAF9-4466-4F61-B00C-2A46BF542356}"/>
    <hyperlink ref="Q3208" r:id="rId817" display="https://standards.buildingsmart.org/IFC/RELEASE/IFC4/ADD2_TC1/HTML/schema/ifcpresentationdefinitionresource/lexical/ifcplanarextent.htm" xr:uid="{5001FBD1-D4E9-4EBD-A350-A6BBC317376E}"/>
    <hyperlink ref="Q3221" r:id="rId818" display="https://standards.buildingsmart.org/IFC/RELEASE/IFC4/ADD2_TC1/HTML/schema/ifcgeometryresource/lexical/ifcplane.htm" xr:uid="{6618D39A-96C0-4585-A5CC-892601D3F829}"/>
    <hyperlink ref="Q3387" r:id="rId819" display="https://standards.buildingsmart.org/IFC/RELEASE/IFC4/ADD2_TC1/HTML/schema/ifcsharedbldgelements/lexical/ifcplate.htm" xr:uid="{1E7DA39F-165A-4C99-9EEA-A385DA6B61F2}"/>
    <hyperlink ref="Q2950" r:id="rId820" display="https://standards.buildingsmart.org/IFC/RELEASE/IFC4/ADD2_TC1/HTML/schema/ifcsharedbldgelements/lexical/ifcplatestandardcase.htm" xr:uid="{9BC09B88-E5A6-4DA0-A0F5-FE37A07BD6D2}"/>
    <hyperlink ref="Q3388" r:id="rId821" display="https://standards.buildingsmart.org/IFC/RELEASE/IFC4/ADD2_TC1/HTML/schema/ifcsharedbldgelements/lexical/ifcplatetype.htm" xr:uid="{103AF770-ECEA-409F-BE30-BF85DF8DA172}"/>
    <hyperlink ref="Q3230" r:id="rId822" display="https://standards.buildingsmart.org/IFC/RELEASE/IFC4/ADD2_TC1/HTML/schema/ifcgeometryresource/lexical/ifcpoint.htm" xr:uid="{62713D02-DC6B-44B9-AF02-B6F08E0BF211}"/>
    <hyperlink ref="Q3227" r:id="rId823" display="https://standards.buildingsmart.org/IFC/RELEASE/IFC4/ADD2_TC1/HTML/schema/ifcgeometryresource/lexical/ifcpointoncurve.htm" xr:uid="{03FB7F8D-FB41-47CD-9D72-1FE8396C10BF}"/>
    <hyperlink ref="Q3228" r:id="rId824" display="https://standards.buildingsmart.org/IFC/RELEASE/IFC4/ADD2_TC1/HTML/schema/ifcgeometryresource/lexical/ifcpointonsurface.htm" xr:uid="{0DAF28D4-83F5-407A-97F0-6531C524DDA7}"/>
    <hyperlink ref="Q3249" r:id="rId825" display="https://standards.buildingsmart.org/IFC/RELEASE/IFC4/ADD2_TC1/HTML/schema/ifcgeometricmodelresource/lexical/ifcpolygonalboundedhalfspace.htm" xr:uid="{8620B735-AE23-46E0-841C-FB4374572395}"/>
    <hyperlink ref="Q3170" r:id="rId826" display="https://standards.buildingsmart.org/IFC/RELEASE/IFC4/ADD2_TC1/HTML/schema/ifcgeometricmodelresource/lexical/ifcpolygonalfaceset.htm" xr:uid="{884B275B-34B7-43A3-BDA1-EE93E6439552}"/>
    <hyperlink ref="Q3223" r:id="rId827" display="https://standards.buildingsmart.org/IFC/RELEASE/IFC4/ADD2_TC1/HTML/schema/ifcgeometryresource/lexical/ifcpolyline.htm" xr:uid="{84D6E682-84B2-4734-AD56-A7F3B5DB0212}"/>
    <hyperlink ref="Q3224" r:id="rId828" display="https://standards.buildingsmart.org/IFC/RELEASE/IFC4/ADD2_TC1/HTML/schema/ifctopologyresource/lexical/ifcpolyloop.htm" xr:uid="{8B0E2C6C-13E9-4231-83A1-6550A25D074C}"/>
    <hyperlink ref="Q2975" r:id="rId829" display="https://standards.buildingsmart.org/IFC/RELEASE/IFC4/ADD2_TC1/HTML/schema/ifcproductextension/lexical/ifcport.htm" xr:uid="{9D4753FE-004D-4187-85F0-C1109C6F3619}"/>
    <hyperlink ref="Q3092" r:id="rId830" display="https://standards.buildingsmart.org/IFC/RELEASE/IFC4/ADD2_TC1/HTML/schema/ifcactorresource/lexical/ifcpostaladdress.htm" xr:uid="{4FBD6373-6DA2-4EAE-AFFB-A6D3E6E21518}"/>
    <hyperlink ref="Q3110" r:id="rId831" display="https://standards.buildingsmart.org/IFC/RELEASE/IFC4/ADD2_TC1/HTML/schema/ifcpresentationappearanceresource/lexical/ifcpredefinedcolour.htm" xr:uid="{2625B811-2727-4E57-B4ED-41D64090E032}"/>
    <hyperlink ref="Q3216" r:id="rId832" display="https://standards.buildingsmart.org/IFC/RELEASE/IFC4/ADD2_TC1/HTML/schema/ifcpresentationappearanceresource/lexical/ifcpredefinedcurvefont.htm" xr:uid="{D90D0AD5-5102-46E0-A5C8-F6EC30C54B06}"/>
    <hyperlink ref="Q3310" r:id="rId833" display="https://standards.buildingsmart.org/IFC/RELEASE/IFC4/ADD2_TC1/HTML/schema/ifcpresentationappearanceresource/lexical/ifcpredefineditem.htm" xr:uid="{7CA5093F-B480-4517-8254-25412054C037}"/>
    <hyperlink ref="Q3409" r:id="rId834" display="https://standards.buildingsmart.org/IFC/RELEASE/IFC4/ADD2_TC1/HTML/schema/ifcpropertyresource/lexical/ifcpredefinedproperties.htm" xr:uid="{234DDC37-A0ED-44B9-8A87-62B5BE0342F8}"/>
    <hyperlink ref="Q2993" r:id="rId835" display="https://standards.buildingsmart.org/IFC/RELEASE/IFC4/ADD2_TC1/HTML/schema/ifckernel/lexical/ifcpredefinedpropertyset.htm" xr:uid="{1F3A58B0-5FD5-4551-A8CF-9E7D5DA8FAD3}"/>
    <hyperlink ref="Q3124" r:id="rId836" display="https://standards.buildingsmart.org/IFC/RELEASE/IFC4/ADD2_TC1/HTML/schema/ifcpresentationappearanceresource/lexical/ifcpredefinedtextfont.htm" xr:uid="{298B4AE3-93DE-48D9-926F-DF6D37CBEA89}"/>
    <hyperlink ref="Q3302" r:id="rId837" display="https://standards.buildingsmart.org/IFC/RELEASE/IFC4/ADD2_TC1/HTML/schema/ifcpresentationdefinitionresource/lexical/ifcpresentationitem.htm" xr:uid="{4696BEAB-593B-443C-84E3-C0B54AE491B8}"/>
    <hyperlink ref="Q2933" r:id="rId838" display="https://standards.buildingsmart.org/IFC/RELEASE/IFC4/ADD2_TC1/HTML/schema/ifcpresentationorganizationresource/lexical/ifcpresentationlayerassignment.htm" xr:uid="{B024B484-C9F9-4A8B-A324-2800E41E83AD}"/>
    <hyperlink ref="Q3106" r:id="rId839" display="https://standards.buildingsmart.org/IFC/RELEASE/IFC4/ADD2_TC1/HTML/schema/ifcpresentationorganizationresource/lexical/ifcpresentationlayerwithstyle.htm" xr:uid="{3C239920-A99D-44E8-B554-6FBCD8E9673C}"/>
    <hyperlink ref="Q3104" r:id="rId840" display="https://standards.buildingsmart.org/IFC/RELEASE/IFC4/ADD2_TC1/HTML/schema/ifcpresentationappearanceresource/lexical/ifcpresentationstyle.htm" xr:uid="{0B0FD14A-79F2-4B65-899A-AA74EA5D0B1C}"/>
    <hyperlink ref="Q3105" r:id="rId841" display="https://standards.buildingsmart.org/IFC/RELEASE/IFC4/ADD2_TC1/HTML/schema/ifcpresentationappearanceresource/lexical/ifcpresentationstyleassignment.htm" xr:uid="{CA0E1D2E-A572-4CF4-93D3-F55B2BAB3D22}"/>
    <hyperlink ref="Q3395" r:id="rId842" display="https://standards.buildingsmart.org/IFC/RELEASE/IFC4/ADD2_TC1/HTML/schema/ifcprocessextension/lexical/ifcprocedure.htm" xr:uid="{A33FA2AF-33C1-41B3-9BAB-67EAB70B348C}"/>
    <hyperlink ref="Q3396" r:id="rId843" display="https://standards.buildingsmart.org/IFC/RELEASE/IFC4/ADD2_TC1/HTML/schema/ifcprocessextension/lexical/ifcproceduretype.htm" xr:uid="{81207721-50E3-4D04-8617-3C494B06BA6D}"/>
    <hyperlink ref="Q3397" r:id="rId844" display="https://standards.buildingsmart.org/IFC/RELEASE/IFC4/ADD2_TC1/HTML/schema/ifckernel/lexical/ifcprocess.htm" xr:uid="{3AD11664-5935-4435-841E-315767CF6553}"/>
    <hyperlink ref="Q3399" r:id="rId845" display="https://standards.buildingsmart.org/IFC/RELEASE/IFC4/ADD2_TC1/HTML/schema/ifckernel/lexical/ifcproduct.htm" xr:uid="{73D19A9F-4B34-449D-B81B-715101EE2381}"/>
    <hyperlink ref="Q3035" r:id="rId846" display="https://standards.buildingsmart.org/IFC/RELEASE/IFC4/ADD2_TC1/HTML/schema/ifcrepresentationresource/lexical/ifcproductdefinitionshape.htm" xr:uid="{4D239CB4-F235-4E71-BAA6-E5A64D57B304}"/>
    <hyperlink ref="Q3518" r:id="rId847" display="https://standards.buildingsmart.org/IFC/RELEASE/IFC4/ADD2_TC1/HTML/schema/ifcrepresentationresource/lexical/ifcproductrepresentation.htm" xr:uid="{D8091B4A-5214-4BF2-A68C-E48064B4DF03}"/>
    <hyperlink ref="Q3012" r:id="rId848" display="https://standards.buildingsmart.org/IFC/RELEASE/IFC4/ADD2_TC1/HTML/schema/ifcprofileresource/lexical/ifcprofiledef.htm" xr:uid="{ABA4EF2C-0ED5-44A4-9651-FBAFC52CA125}"/>
    <hyperlink ref="Q3402" r:id="rId849" display="https://standards.buildingsmart.org/IFC/RELEASE/IFC4/ADD2_TC1/HTML/schema/ifcprofileresource/lexical/ifcprofileproperties.htm" xr:uid="{30DEF9B1-0D02-4058-A568-9A83A0ABA5A3}"/>
    <hyperlink ref="Q3401" r:id="rId850" display="https://standards.buildingsmart.org/IFC/RELEASE/IFC4/ADD2_TC1/HTML/schema/ifckernel/lexical/ifcproject.htm" xr:uid="{81DEA34E-D0C8-4C24-9C92-CBCB7AEF9940}"/>
    <hyperlink ref="Q3184" r:id="rId851" display="https://standards.buildingsmart.org/IFC/RELEASE/IFC4/ADD2_TC1/HTML/schema/ifcrepresentationresource/lexical/ifcprojectedcrs.htm" xr:uid="{BEEF6FB4-1D13-438D-AEC8-C7DEC0411CBD}"/>
    <hyperlink ref="Q3080" r:id="rId852" display="https://standards.buildingsmart.org/IFC/RELEASE/IFC4/ADD2_TC1/HTML/schema/ifcproductextension/lexical/ifcprojectionelement.htm" xr:uid="{90137037-322D-4860-A6C6-FC3F6D9FEBA5}"/>
    <hyperlink ref="Q2936" r:id="rId853" display="https://standards.buildingsmart.org/IFC/RELEASE/IFC4/ADD2_TC1/HTML/schema/ifckernel/lexical/ifcprojectlibrary.htm" xr:uid="{AEF4273E-4C79-4BE8-889D-646600DEA1FD}"/>
    <hyperlink ref="Q3373" r:id="rId854" display="https://standards.buildingsmart.org/IFC/RELEASE/IFC4/ADD2_TC1/HTML/schema/ifcsharedmgmtelements/lexical/ifcprojectorder.htm" xr:uid="{8DB80175-8151-4907-9BA8-C277721BD2B5}"/>
    <hyperlink ref="Q3403" r:id="rId855" display="https://standards.buildingsmart.org/IFC/RELEASE/IFC4/ADD2_TC1/HTML/schema/ifcpropertyresource/lexical/ifcproperty.htm" xr:uid="{9D32B605-34D2-446A-BDFB-B19E7D3922EB}"/>
    <hyperlink ref="Q3421" r:id="rId856" display="https://standards.buildingsmart.org/IFC/RELEASE/IFC4/ADD2_TC1/HTML/schema/ifcpropertyresource/lexical/ifcpropertyabstraction.htm" xr:uid="{FFA4A4FB-1F58-4258-8DCC-3DCACC70E04A}"/>
    <hyperlink ref="Q3627" r:id="rId857" display="https://standards.buildingsmart.org/IFC/RELEASE/IFC4/ADD2_TC1/HTML/schema/ifcpropertyresource/lexical/ifcpropertyboundedvalue.htm" xr:uid="{B41E72B2-4E2B-43F2-93DC-12E4046363C6}"/>
    <hyperlink ref="Q3036" r:id="rId858" display="https://standards.buildingsmart.org/IFC/RELEASE/IFC4/ADD2_TC1/HTML/schema/ifckernel/lexical/ifcpropertydefinition.htm" xr:uid="{C7651778-4269-421F-9970-87F48B3C8247}"/>
    <hyperlink ref="Q3477" r:id="rId859" display="https://standards.buildingsmart.org/IFC/RELEASE/IFC4/ADD2_TC1/HTML/schema/ifcpropertyresource/lexical/ifcpropertydependencyrelationship.htm" xr:uid="{2CDDBB7A-1271-48F4-A688-FE7A3C1BB59C}"/>
    <hyperlink ref="Q3629" r:id="rId860" display="https://standards.buildingsmart.org/IFC/RELEASE/IFC4/ADD2_TC1/HTML/schema/ifcpropertyresource/lexical/ifcpropertyenumeratedvalue.htm" xr:uid="{344D1A7D-076E-49A9-96B7-986EF607157F}"/>
    <hyperlink ref="Q3095" r:id="rId861" display="https://standards.buildingsmart.org/IFC/RELEASE/IFC4/ADD2_TC1/HTML/schema/ifcpropertyresource/lexical/ifcpropertyenumeration.htm" xr:uid="{3B80C2CC-D769-4480-8295-1B81144C5980}"/>
    <hyperlink ref="Q3630" r:id="rId862" display="https://standards.buildingsmart.org/IFC/RELEASE/IFC4/ADD2_TC1/HTML/schema/ifcpropertyresource/lexical/ifcpropertylistvalue.htm" xr:uid="{6CA678A1-7656-4C6E-AAEF-47BD5FB359D0}"/>
    <hyperlink ref="Q3628" r:id="rId863" display="https://standards.buildingsmart.org/IFC/RELEASE/IFC4/ADD2_TC1/HTML/schema/ifcpropertyresource/lexical/ifcpropertyreferencevalue.htm" xr:uid="{F9058BD8-CD55-468E-A2A6-95D0F2664BB1}"/>
    <hyperlink ref="Q2992" r:id="rId864" display="https://standards.buildingsmart.org/IFC/RELEASE/IFC4/ADD2_TC1/HTML/schema/ifckernel/lexical/ifcpropertyset.htm" xr:uid="{E8D7C7A6-ED21-4112-8298-DA4777A68BA0}"/>
    <hyperlink ref="Q3009" r:id="rId865" display="https://standards.buildingsmart.org/IFC/RELEASE/IFC4/ADD2_TC1/HTML/schema/ifckernel/lexical/ifcpropertysetdefinition.htm" xr:uid="{EC1E71C3-3E15-47C3-B11D-FBEC5C9FA6DD}"/>
    <hyperlink ref="Q3356" r:id="rId866" display="https://standards.buildingsmart.org/IFC/RELEASE/IFC4/ADD2_TC1/HTML/schema/ifckernel/lexical/ifcpropertysettemplate.htm" xr:uid="{DDE03041-EFF3-4EBB-AECB-2ECB54EE6767}"/>
    <hyperlink ref="Q3631" r:id="rId867" display="https://standards.buildingsmart.org/IFC/RELEASE/IFC4/ADD2_TC1/HTML/schema/ifcpropertyresource/lexical/ifcpropertysinglevalue.htm" xr:uid="{B85A1417-3013-4BE9-B0A6-E98808851A38}"/>
    <hyperlink ref="Q3632" r:id="rId868" display="https://standards.buildingsmart.org/IFC/RELEASE/IFC4/ADD2_TC1/HTML/schema/ifcpropertyresource/lexical/ifcpropertytablevalue.htm" xr:uid="{246C03CC-E769-4E2B-9170-94DDFBCF9710}"/>
    <hyperlink ref="Q3358" r:id="rId869" display="https://standards.buildingsmart.org/IFC/RELEASE/IFC4/ADD2_TC1/HTML/schema/ifckernel/lexical/ifcpropertytemplate.htm" xr:uid="{2EE4093A-0E4C-4BAC-9CE3-440587A5138A}"/>
    <hyperlink ref="Q3010" r:id="rId870" display="https://standards.buildingsmart.org/IFC/RELEASE/IFC4/ADD2_TC1/HTML/schema/ifckernel/lexical/ifcpropertytemplatedefinition.htm" xr:uid="{29A6F404-06BE-4FBD-9F23-542137441D1E}"/>
    <hyperlink ref="Q3048" r:id="rId871" display="https://standards.buildingsmart.org/IFC/RELEASE/IFC4/ADD2_TC1/HTML/schema/ifcelectricaldomain/lexical/ifcprotectivedevice.htm" xr:uid="{C578C3CA-2B25-44B7-A450-A223BC78B789}"/>
    <hyperlink ref="Q3613" r:id="rId872" display="https://standards.buildingsmart.org/IFC/RELEASE/IFC4/ADD2_TC1/HTML/schema/ifcelectricaldomain/lexical/ifcprotectivedevicetrippingunit.htm" xr:uid="{841A3A38-0752-4831-B76A-0BD41CA4D419}"/>
    <hyperlink ref="Q3614" r:id="rId873" display="https://standards.buildingsmart.org/IFC/RELEASE/IFC4/ADD2_TC1/HTML/schema/ifcelectricaldomain/lexical/ifcprotectivedevicetrippingunittype.htm" xr:uid="{57E971BA-EA2C-4CB3-9F44-AAB082C04AC1}"/>
    <hyperlink ref="Q3049" r:id="rId874" display="https://standards.buildingsmart.org/IFC/RELEASE/IFC4/ADD2_TC1/HTML/schema/ifcelectricaldomain/lexical/ifcprotectivedevicetype.htm" xr:uid="{B04F623C-2557-4ABB-8913-450F1AD86E1B}"/>
    <hyperlink ref="Q3410" r:id="rId875" display="https://standards.buildingsmart.org/IFC/RELEASE/IFC4/ADD2_TC1/HTML/schema/ifckernel/lexical/ifcproxy.htm" xr:uid="{AE94073A-EB8A-4A3E-A2FA-9733B7A7FD2F}"/>
    <hyperlink ref="Q2940" r:id="rId876" display="https://standards.buildingsmart.org/IFC/RELEASE/IFC4/ADD2_TC1/HTML/schema/ifchvacdomain/lexical/ifcpump.htm" xr:uid="{A32ED76F-0D49-48A2-8B65-0F9B13F018EF}"/>
    <hyperlink ref="Q2941" r:id="rId877" display="https://standards.buildingsmart.org/IFC/RELEASE/IFC4/ADD2_TC1/HTML/schema/ifchvacdomain/lexical/ifcpumptype.htm" xr:uid="{DEDFADFA-2CB6-4E4B-9199-5F5B7E934236}"/>
    <hyperlink ref="Q3624" r:id="rId878" display="https://standards.buildingsmart.org/IFC/RELEASE/IFC4/ADD2_TC1/HTML/schema/ifcquantityresource/lexical/ifcquantityarea.htm" xr:uid="{9D5FB893-8FED-4006-9643-034B484F5789}"/>
    <hyperlink ref="Q2995" r:id="rId879" display="https://standards.buildingsmart.org/IFC/RELEASE/IFC4/ADD2_TC1/HTML/schema/ifcquantityresource/lexical/ifcquantitycount.htm" xr:uid="{9E797AAA-8F13-4B34-9D5C-831E871BB8FD}"/>
    <hyperlink ref="Q3625" r:id="rId880" display="https://standards.buildingsmart.org/IFC/RELEASE/IFC4/ADD2_TC1/HTML/schema/ifcquantityresource/lexical/ifcquantitylength.htm" xr:uid="{8ADA4C01-F909-4719-9039-2B15640B5102}"/>
    <hyperlink ref="Q2994" r:id="rId881" display="https://standards.buildingsmart.org/IFC/RELEASE/IFC4/ADD2_TC1/HTML/schema/ifckernel/lexical/ifcquantityset.htm" xr:uid="{FFDBAC40-6023-4641-BA8A-B262B9DE3553}"/>
    <hyperlink ref="Q3566" r:id="rId882" display="https://standards.buildingsmart.org/IFC/RELEASE/IFC4/ADD2_TC1/HTML/schema/ifcquantityresource/lexical/ifcquantitytime.htm" xr:uid="{387A05E7-63BA-4913-A023-F3F7EC3AAC31}"/>
    <hyperlink ref="Q3286" r:id="rId883" display="https://standards.buildingsmart.org/IFC/RELEASE/IFC4/ADD2_TC1/HTML/schema/ifcquantityresource/lexical/ifcquantityvolume.htm" xr:uid="{B378277A-14D7-460B-A0D4-4A4C1A8D50B7}"/>
    <hyperlink ref="Q3384" r:id="rId884" display="https://standards.buildingsmart.org/IFC/RELEASE/IFC4/ADD2_TC1/HTML/schema/ifcquantityresource/lexical/ifcquantityweight.htm" xr:uid="{9543E62F-DD24-402B-B133-3177A297A5AC}"/>
    <hyperlink ref="Q3007" r:id="rId885" display="https://standards.buildingsmart.org/IFC/RELEASE/IFC4/ADD2_TC1/HTML/schema/ifcsharedbldgelements/lexical/ifcrailing.htm" xr:uid="{A8719451-59CE-4E72-83F5-65AD63690D76}"/>
    <hyperlink ref="Q3008" r:id="rId886" display="https://standards.buildingsmart.org/IFC/RELEASE/IFC4/ADD2_TC1/HTML/schema/ifcsharedbldgelements/lexical/ifcrailingtype.htm" xr:uid="{E98600C1-80CB-45EC-A762-622F6D229BE7}"/>
    <hyperlink ref="Q2963" r:id="rId887" display="https://standards.buildingsmart.org/IFC/RELEASE/IFC4/ADD2_TC1/HTML/schema/ifcsharedbldgelements/lexical/ifcramp.htm" xr:uid="{ECE2BFD3-27C3-4467-BEDB-37A9AF6A24C5}"/>
    <hyperlink ref="Q2959" r:id="rId888" display="https://standards.buildingsmart.org/IFC/RELEASE/IFC4/ADD2_TC1/HTML/schema/ifcsharedbldgelements/lexical/ifcrampflight.htm" xr:uid="{9176233B-A27A-4739-9258-0EED3E61BED3}"/>
    <hyperlink ref="Q2960" r:id="rId889" display="https://standards.buildingsmart.org/IFC/RELEASE/IFC4/ADD2_TC1/HTML/schema/ifcsharedbldgelements/lexical/ifcrampflighttype.htm" xr:uid="{29A8876B-CF9E-4255-BEC6-31D6531550F1}"/>
    <hyperlink ref="Q2964" r:id="rId890" display="https://standards.buildingsmart.org/IFC/RELEASE/IFC4/ADD2_TC1/HTML/schema/ifcsharedbldgelements/lexical/ifcramptype.htm" xr:uid="{3EBBAC40-4AA4-4B68-AEBE-E4BC0BBE8813}"/>
    <hyperlink ref="Q3205" r:id="rId891" display="https://standards.buildingsmart.org/IFC/RELEASE/IFC4/ADD2_TC1/HTML/schema/ifcgeometryresource/lexical/ifcrationalbsplinecurvewithknots.htm" xr:uid="{3DD308FB-DA46-4109-8B70-6DBF0C0A0651}"/>
    <hyperlink ref="Q3259" r:id="rId892" display="https://standards.buildingsmart.org/IFC/RELEASE/IFC4/ADD2_TC1/HTML/schema/ifcgeometryresource/lexical/ifcrationalbsplinesurfacewithknots.htm" xr:uid="{66DE0023-FEC0-4138-8022-047CD845E332}"/>
    <hyperlink ref="Q3030" r:id="rId893" display="https://standards.buildingsmart.org/IFC/RELEASE/IFC4/ADD2_TC1/HTML/schema/ifcprofileresource/lexical/ifcrectanglehollowprofiledef.htm" xr:uid="{57E590D0-4CEC-49B5-9DEC-011DCB1B2B2F}"/>
    <hyperlink ref="Q3028" r:id="rId894" display="https://standards.buildingsmart.org/IFC/RELEASE/IFC4/ADD2_TC1/HTML/schema/ifcprofileresource/lexical/ifcrectangleprofiledef.htm" xr:uid="{6F6621DF-74ED-4FE1-A579-C2799AB0FD2C}"/>
    <hyperlink ref="Q3219" r:id="rId895" display="https://standards.buildingsmart.org/IFC/RELEASE/IFC4/ADD2_TC1/HTML/schema/ifcgeometricmodelresource/lexical/ifcrectangularpyramid.htm" xr:uid="{F193C501-4922-4AC9-A13A-91D6B3194A3B}"/>
    <hyperlink ref="Q3269" r:id="rId896" display="https://standards.buildingsmart.org/IFC/RELEASE/IFC4/ADD2_TC1/HTML/schema/ifcgeometryresource/lexical/ifcrectangulartrimmedsurface.htm" xr:uid="{7E59A5EF-2B36-402F-AC68-D7A94779550A}"/>
    <hyperlink ref="Q3375" r:id="rId897" display="https://standards.buildingsmart.org/IFC/RELEASE/IFC4/ADD2_TC1/HTML/schema/ifcdatetimeresource/lexical/ifcrecurrencepattern.htm" xr:uid="{58871D7C-E263-4757-96CD-24C1EF99FB35}"/>
    <hyperlink ref="Q3442" r:id="rId898" display="https://standards.buildingsmart.org/IFC/RELEASE/IFC4/ADD2_TC1/HTML/schema/ifcconstraintresource/lexical/ifcreference.htm" xr:uid="{7BAFCAB6-F5FA-4992-A012-14558F85FD5F}"/>
    <hyperlink ref="Q3570" r:id="rId899" display="https://standards.buildingsmart.org/IFC/RELEASE/IFC4/ADD2_TC1/HTML/schema/ifcdatetimeresource/lexical/ifcregulartimeseries.htm" xr:uid="{87089432-006F-4EED-81D5-DD90109724B1}"/>
    <hyperlink ref="Q3452" r:id="rId900" display="https://standards.buildingsmart.org/IFC/RELEASE/IFC4/ADD2_TC1/HTML/schema/ifcprofileresource/lexical/ifcreinforcementbarproperties.htm" xr:uid="{FC99B9B1-DEF2-4063-B1DC-B4A6B74A1967}"/>
    <hyperlink ref="Q3449" r:id="rId901" display="https://standards.buildingsmart.org/IFC/RELEASE/IFC4/ADD2_TC1/HTML/schema/ifcstructuralelementsdomain/lexical/ifcreinforcementdefinitionproperties.htm" xr:uid="{917682D2-9526-4C3A-B974-2F7FA70946BD}"/>
    <hyperlink ref="Q3448" r:id="rId902" display="https://standards.buildingsmart.org/IFC/RELEASE/IFC4/ADD2_TC1/HTML/schema/ifcstructuralelementsdomain/lexical/ifcreinforcingbar.htm" xr:uid="{AB8386B2-2E7D-4474-813D-74CA080FA4B7}"/>
    <hyperlink ref="Q3454" r:id="rId903" display="https://standards.buildingsmart.org/IFC/RELEASE/IFC4/ADD2_TC1/HTML/schema/ifcstructuralelementsdomain/lexical/ifcreinforcingbartype.htm" xr:uid="{D1A05737-EB38-46FA-9E85-A60DAE8C62A7}"/>
    <hyperlink ref="Q3450" r:id="rId904" display="https://standards.buildingsmart.org/IFC/RELEASE/IFC4/ADD2_TC1/HTML/schema/ifcstructuralelementsdomain/lexical/ifcreinforcingelement.htm" xr:uid="{FE1730C3-2446-429F-A5BD-A94F8E577104}"/>
    <hyperlink ref="Q3455" r:id="rId905" display="https://standards.buildingsmart.org/IFC/RELEASE/IFC4/ADD2_TC1/HTML/schema/ifcstructuralelementsdomain/lexical/ifcreinforcingelementtype.htm" xr:uid="{12016F2C-11A0-4B9C-A799-0042EB76A258}"/>
    <hyperlink ref="Q3451" r:id="rId906" display="https://standards.buildingsmart.org/IFC/RELEASE/IFC4/ADD2_TC1/HTML/schema/ifcstructuralelementsdomain/lexical/ifcreinforcingmesh.htm" xr:uid="{A4373976-B7CA-4627-8074-C957F2C8085D}"/>
    <hyperlink ref="Q3456" r:id="rId907" display="https://standards.buildingsmart.org/IFC/RELEASE/IFC4/ADD2_TC1/HTML/schema/ifcstructuralelementsdomain/lexical/ifcreinforcingmeshtype.htm" xr:uid="{FFEBDF77-3B9A-4297-AE49-5A1646887171}"/>
    <hyperlink ref="Q3479" r:id="rId908" display="https://standards.buildingsmart.org/IFC/RELEASE/IFC4/ADD2_TC1/HTML/schema/ifckernel/lexical/ifcrelaggregates.htm" xr:uid="{B5871943-D097-411E-A007-6497B7F4B30A}"/>
    <hyperlink ref="Q3460" r:id="rId909" display="https://standards.buildingsmart.org/IFC/RELEASE/IFC4/ADD2_TC1/HTML/schema/ifckernel/lexical/ifcrelassigns.htm" xr:uid="{49629320-B32E-4181-8C10-B622E70CFC64}"/>
    <hyperlink ref="Q3514" r:id="rId910" display="https://standards.buildingsmart.org/IFC/RELEASE/IFC4/ADD2_TC1/HTML/schema/ifckernel/lexical/ifcrelassignstoactor.htm" xr:uid="{B2A24438-3CE1-440F-9545-6B148E9DEA1B}"/>
    <hyperlink ref="Q3503" r:id="rId911" display="https://standards.buildingsmart.org/IFC/RELEASE/IFC4/ADD2_TC1/HTML/schema/ifckernel/lexical/ifcrelassignstocontrol.htm" xr:uid="{822CBFA4-7E29-4747-917C-ABAB7111962C}"/>
    <hyperlink ref="Q3504" r:id="rId912" display="https://standards.buildingsmart.org/IFC/RELEASE/IFC4/ADD2_TC1/HTML/schema/ifckernel/lexical/ifcrelassignstogroup.htm" xr:uid="{475E7690-056B-4B1B-94E3-684255BA6AE4}"/>
    <hyperlink ref="Q3505" r:id="rId913" display="https://standards.buildingsmart.org/IFC/RELEASE/IFC4/ADD2_TC1/HTML/schema/ifckernel/lexical/ifcrelassignstogroupbyfactor.htm" xr:uid="{438D4CA8-1C1B-4C02-8D69-C4CF9CC46BCA}"/>
    <hyperlink ref="Q3507" r:id="rId914" display="https://standards.buildingsmart.org/IFC/RELEASE/IFC4/ADD2_TC1/HTML/schema/ifckernel/lexical/ifcrelassignstoprocess.htm" xr:uid="{45CC7A93-9914-4422-920A-87ABBF9E191F}"/>
    <hyperlink ref="Q3508" r:id="rId915" display="https://standards.buildingsmart.org/IFC/RELEASE/IFC4/ADD2_TC1/HTML/schema/ifckernel/lexical/ifcrelassignstoproduct.htm" xr:uid="{F6CDDE8A-0552-4D2A-9F46-4E55F0982F16}"/>
    <hyperlink ref="Q3509" r:id="rId916" display="https://standards.buildingsmart.org/IFC/RELEASE/IFC4/ADD2_TC1/HTML/schema/ifckernel/lexical/ifcrelassignstoresource.htm" xr:uid="{5C8732DF-F820-49DE-9987-5412E43450E0}"/>
    <hyperlink ref="Q3481" r:id="rId917" display="https://standards.buildingsmart.org/IFC/RELEASE/IFC4/ADD2_TC1/HTML/schema/ifckernel/lexical/ifcrelassociates.htm" xr:uid="{C62B4490-998B-4DD3-BADB-6C9472341584}"/>
    <hyperlink ref="Q3457" r:id="rId918" display="https://standards.buildingsmart.org/IFC/RELEASE/IFC4/ADD2_TC1/HTML/schema/ifccontrolextension/lexical/ifcrelassociatesapproval.htm" xr:uid="{79B2F788-B55A-4203-8648-6B64B96AD976}"/>
    <hyperlink ref="Q3464" r:id="rId919" display="https://standards.buildingsmart.org/IFC/RELEASE/IFC4/ADD2_TC1/HTML/schema/ifckernel/lexical/ifcrelassociatesclassification.htm" xr:uid="{26B73D66-896E-4439-A471-CB7FC1173C2F}"/>
    <hyperlink ref="Q3493" r:id="rId920" display="https://standards.buildingsmart.org/IFC/RELEASE/IFC4/ADD2_TC1/HTML/schema/ifccontrolextension/lexical/ifcrelassociatesconstraint.htm" xr:uid="{EAC53980-4323-4618-AAB3-F38332EF2EFB}"/>
    <hyperlink ref="Q3478" r:id="rId921" display="https://standards.buildingsmart.org/IFC/RELEASE/IFC4/ADD2_TC1/HTML/schema/ifckernel/lexical/ifcrelassociatesdocument.htm" xr:uid="{8F27E409-15EB-4051-850B-D41ABEF2DB02}"/>
    <hyperlink ref="Q3461" r:id="rId922" display="https://standards.buildingsmart.org/IFC/RELEASE/IFC4/ADD2_TC1/HTML/schema/ifckernel/lexical/ifcrelassociateslibrary.htm" xr:uid="{0147813C-0DF6-438F-8D6E-6092BAFA3128}"/>
    <hyperlink ref="Q3506" r:id="rId923" display="https://standards.buildingsmart.org/IFC/RELEASE/IFC4/ADD2_TC1/HTML/schema/ifcproductextension/lexical/ifcrelassociatesmaterial.htm" xr:uid="{F56B4B66-D8D4-40C4-9984-49FF39CBB4EC}"/>
    <hyperlink ref="Q3498" r:id="rId924" display="https://standards.buildingsmart.org/IFC/RELEASE/IFC4/ADD2_TC1/HTML/schema/ifckernel/lexical/ifcrelationship.htm" xr:uid="{E4554B50-B569-463C-BBC0-950AE65F0FEB}"/>
    <hyperlink ref="Q3510" r:id="rId925" display="https://standards.buildingsmart.org/IFC/RELEASE/IFC4/ADD2_TC1/HTML/schema/ifckernel/lexical/ifcrelconnects.htm" xr:uid="{586EDB45-E84A-4F3A-876F-EB9BAA995142}"/>
    <hyperlink ref="Q3511" r:id="rId926" display="https://standards.buildingsmart.org/IFC/RELEASE/IFC4/ADD2_TC1/HTML/schema/ifcproductextension/lexical/ifcrelconnectselements.htm" xr:uid="{0163C231-2B7F-4A84-86CE-CE0DDAC6ED97}"/>
    <hyperlink ref="Q3512" r:id="rId927" display="https://standards.buildingsmart.org/IFC/RELEASE/IFC4/ADD2_TC1/HTML/schema/ifcsharedbldgelements/lexical/ifcrelconnectspathelements.htm" xr:uid="{B85991B5-46FA-4221-8844-711468127111}"/>
    <hyperlink ref="Q3465" r:id="rId928" display="https://standards.buildingsmart.org/IFC/RELEASE/IFC4/ADD2_TC1/HTML/schema/ifcproductextension/lexical/ifcrelconnectsports.htm" xr:uid="{4EA8D51B-C017-4A81-BE3E-41DC49868CB6}"/>
    <hyperlink ref="Q3466" r:id="rId929" display="https://standards.buildingsmart.org/IFC/RELEASE/IFC4/ADD2_TC1/HTML/schema/ifcproductextension/lexical/ifcrelconnectsporttoelement.htm" xr:uid="{4CA12B80-FDEF-4BB7-904F-E58E2981B785}"/>
    <hyperlink ref="Q3467" r:id="rId930" display="https://standards.buildingsmart.org/IFC/RELEASE/IFC4/ADD2_TC1/HTML/schema/ifcstructuralanalysisdomain/lexical/ifcrelconnectsstructuralactivity.htm" xr:uid="{E26EFD80-726D-4AFB-9AAD-F41DC0983F3C}"/>
    <hyperlink ref="Q3470" r:id="rId931" display="https://standards.buildingsmart.org/IFC/RELEASE/IFC4/ADD2_TC1/HTML/schema/ifcstructuralanalysisdomain/lexical/ifcrelconnectsstructuralmember.htm" xr:uid="{AB85D175-31A8-4D15-B643-22A7D233B2A2}"/>
    <hyperlink ref="Q3469" r:id="rId932" display="https://standards.buildingsmart.org/IFC/RELEASE/IFC4/ADD2_TC1/HTML/schema/ifcstructuralanalysisdomain/lexical/ifcrelconnectswitheccentricity.htm" xr:uid="{766A8E64-F011-4E4B-A9EC-55506A74B929}"/>
    <hyperlink ref="Q3468" r:id="rId933" display="https://standards.buildingsmart.org/IFC/RELEASE/IFC4/ADD2_TC1/HTML/schema/ifcproductextension/lexical/ifcrelconnectswithrealizingelements.htm" xr:uid="{6D8E5B05-D66F-44DA-BF2C-6767C1925221}"/>
    <hyperlink ref="Q3484" r:id="rId934" display="https://standards.buildingsmart.org/IFC/RELEASE/IFC4/ADD2_TC1/HTML/schema/ifcproductextension/lexical/ifcrelcontainedinspatialstructure.htm" xr:uid="{2ACB6A5C-BC07-47D9-8A0B-5A3F3D1DB14C}"/>
    <hyperlink ref="Q3501" r:id="rId935" display="https://standards.buildingsmart.org/IFC/RELEASE/IFC4/ADD2_TC1/HTML/schema/ifcsharedbldgelements/lexical/ifcrelcoversbldgelements.htm" xr:uid="{1E073AC9-2E41-4F35-A0F8-9FCC417552BF}"/>
    <hyperlink ref="Q3502" r:id="rId936" display="https://standards.buildingsmart.org/IFC/RELEASE/IFC4/ADD2_TC1/HTML/schema/ifcsharedbldgelements/lexical/ifcrelcoversspaces.htm" xr:uid="{CEC89309-EB80-4208-8C52-A62A701C40FB}"/>
    <hyperlink ref="Q3513" r:id="rId937" display="https://standards.buildingsmart.org/IFC/RELEASE/IFC4/ADD2_TC1/HTML/schema/ifckernel/lexical/ifcreldeclares.htm" xr:uid="{20B76731-5A34-42E4-A9ED-71C0756D5959}"/>
    <hyperlink ref="Q3490" r:id="rId938" display="https://standards.buildingsmart.org/IFC/RELEASE/IFC4/ADD2_TC1/HTML/schema/ifckernel/lexical/ifcreldecomposes.htm" xr:uid="{E4683246-FA8E-4827-83FD-C9484A025813}"/>
    <hyperlink ref="Q3482" r:id="rId939" display="https://standards.buildingsmart.org/IFC/RELEASE/IFC4/ADD2_TC1/HTML/schema/ifckernel/lexical/ifcreldefines.htm" xr:uid="{ACE4EF43-E286-40E7-A238-D2F4ADD4496B}"/>
    <hyperlink ref="Q3472" r:id="rId940" display="https://standards.buildingsmart.org/IFC/RELEASE/IFC4/ADD2_TC1/HTML/schema/ifckernel/lexical/ifcreldefinesbyobject.htm" xr:uid="{3E80E064-8715-4943-AE67-A350A422CD8A}"/>
    <hyperlink ref="Q3473" r:id="rId941" display="https://standards.buildingsmart.org/IFC/RELEASE/IFC4/ADD2_TC1/HTML/schema/ifckernel/lexical/ifcreldefinesbyproperties.htm" xr:uid="{FF3CB287-9370-49A5-A066-B40FECD7094A}"/>
    <hyperlink ref="Q3474" r:id="rId942" display="https://standards.buildingsmart.org/IFC/RELEASE/IFC4/ADD2_TC1/HTML/schema/ifckernel/lexical/ifcreldefinesbytemplate.htm" xr:uid="{1B5F5F05-BEAB-4422-A48B-CA1F87AD110B}"/>
    <hyperlink ref="Q3475" r:id="rId943" display="https://standards.buildingsmart.org/IFC/RELEASE/IFC4/ADD2_TC1/HTML/schema/ifckernel/lexical/ifcreldefinesbytype.htm" xr:uid="{CB44D25B-DF54-4878-8DB5-C148892B49BB}"/>
    <hyperlink ref="Q3491" r:id="rId944" display="https://standards.buildingsmart.org/IFC/RELEASE/IFC4/ADD2_TC1/HTML/schema/ifcproductextension/lexical/ifcrelfillselement.htm" xr:uid="{FE3B678B-FE23-4E68-921F-8227B04A4E3C}"/>
    <hyperlink ref="Q3471" r:id="rId945" display="https://standards.buildingsmart.org/IFC/RELEASE/IFC4/ADD2_TC1/HTML/schema/ifcsharedbldgserviceelements/lexical/ifcrelflowcontrolelements.htm" xr:uid="{E4E6D1CC-5979-454A-9C40-090F3EFA0B44}"/>
    <hyperlink ref="Q3485" r:id="rId946" display="https://standards.buildingsmart.org/IFC/RELEASE/IFC4/ADD2_TC1/HTML/schema/ifcproductextension/lexical/ifcrelinterfereselements.htm" xr:uid="{EA6D6FB0-12FB-4C03-972E-A4ED5622354C}"/>
    <hyperlink ref="Q3480" r:id="rId947" display="https://standards.buildingsmart.org/IFC/RELEASE/IFC4/ADD2_TC1/HTML/schema/ifckernel/lexical/ifcrelnests.htm" xr:uid="{F5FC0A66-8998-408F-9642-D779CC5AF2F4}"/>
    <hyperlink ref="Q3492" r:id="rId948" display="https://standards.buildingsmart.org/IFC/RELEASE/IFC4/ADD2_TC1/HTML/schema/ifcproductextension/lexical/ifcrelprojectselement.htm" xr:uid="{2A8E4EA4-4B70-403E-B3F9-C93855E92AD0}"/>
    <hyperlink ref="Q3483" r:id="rId949" display="https://standards.buildingsmart.org/IFC/RELEASE/IFC4/ADD2_TC1/HTML/schema/ifcproductextension/lexical/ifcrelreferencedinspatialstructure.htm" xr:uid="{397DD160-FFC7-4917-B442-BB01CF3E9943}"/>
    <hyperlink ref="Q3495" r:id="rId950" display="https://standards.buildingsmart.org/IFC/RELEASE/IFC4/ADD2_TC1/HTML/schema/ifcprocessextension/lexical/ifcrelsequence.htm" xr:uid="{F7D2D8E7-FBBA-4D7E-9B7E-5172C66D9073}"/>
    <hyperlink ref="Q3496" r:id="rId951" display="https://standards.buildingsmart.org/IFC/RELEASE/IFC4/ADD2_TC1/HTML/schema/ifcproductextension/lexical/ifcrelservicesbuildings.htm" xr:uid="{07AB4136-A4B9-4244-A67C-76BBC77385B7}"/>
    <hyperlink ref="Q3486" r:id="rId952" display="https://standards.buildingsmart.org/IFC/RELEASE/IFC4/ADD2_TC1/HTML/schema/ifcproductextension/lexical/ifcrelspaceboundary.htm" xr:uid="{6FAFECAC-CB41-4625-9DCD-0EB35EE12B29}"/>
    <hyperlink ref="Q3487" r:id="rId953" display="https://standards.buildingsmart.org/IFC/RELEASE/IFC4/ADD2_TC1/HTML/schema/ifcproductextension/lexical/ifcrelspaceboundary1stlevel.htm" xr:uid="{CDAB0C67-BAD3-4EEC-A04B-388154A14266}"/>
    <hyperlink ref="Q3488" r:id="rId954" display="https://standards.buildingsmart.org/IFC/RELEASE/IFC4/ADD2_TC1/HTML/schema/ifcproductextension/lexical/ifcrelspaceboundary2ndlevel.htm" xr:uid="{9D949662-D5C2-461D-9C4C-A8F5AACCCB08}"/>
    <hyperlink ref="Q3497" r:id="rId955" display="https://standards.buildingsmart.org/IFC/RELEASE/IFC4/ADD2_TC1/HTML/schema/ifcproductextension/lexical/ifcrelvoidselement.htm" xr:uid="{1E371A24-013F-4548-B7E2-78DEF14FD0B1}"/>
    <hyperlink ref="Q3247" r:id="rId956" display="https://standards.buildingsmart.org/IFC/RELEASE/IFC4/ADD2_TC1/HTML/schema/ifcgeometryresource/lexical/ifcreparametrisedcompositecurvesegment.htm" xr:uid="{C4FAF35D-EB02-4DDE-A0EA-415750D3F207}"/>
    <hyperlink ref="Q3516" r:id="rId957" display="https://standards.buildingsmart.org/IFC/RELEASE/IFC4/ADD2_TC1/HTML/schema/ifcrepresentationresource/lexical/ifcrepresentation.htm" xr:uid="{0D4838CA-93FC-4F53-B89D-A0DB3B106342}"/>
    <hyperlink ref="Q2997" r:id="rId958" display="https://standards.buildingsmart.org/IFC/RELEASE/IFC4/ADD2_TC1/HTML/schema/ifcrepresentationresource/lexical/ifcrepresentationcontext.htm" xr:uid="{A93B6C9A-D353-482A-A746-71832255262C}"/>
    <hyperlink ref="Q3306" r:id="rId959" display="https://standards.buildingsmart.org/IFC/RELEASE/IFC4/ADD2_TC1/HTML/schema/ifcgeometryresource/lexical/ifcrepresentationitem.htm" xr:uid="{A6A7D5F4-46F6-4782-A02B-3427A342A45B}"/>
    <hyperlink ref="Q3138" r:id="rId960" display="https://standards.buildingsmart.org/IFC/RELEASE/IFC4/ADD2_TC1/HTML/schema/ifcgeometryresource/lexical/ifcrepresentationmap.htm" xr:uid="{FB9D9974-C558-4823-9940-51CB52C4452E}"/>
    <hyperlink ref="Q3426" r:id="rId961" display="https://standards.buildingsmart.org/IFC/RELEASE/IFC4/ADD2_TC1/HTML/schema/ifckernel/lexical/ifcresource.htm" xr:uid="{339D6B5A-DAB9-42F6-8F4A-1DA89817122E}"/>
    <hyperlink ref="Q3459" r:id="rId962" display="https://standards.buildingsmart.org/IFC/RELEASE/IFC4/ADD2_TC1/HTML/schema/ifcapprovalresource/lexical/ifcresourceapprovalrelationship.htm" xr:uid="{BD527526-BBEB-412E-BE7C-91D694FEF976}"/>
    <hyperlink ref="Q3494" r:id="rId963" display="https://standards.buildingsmart.org/IFC/RELEASE/IFC4/ADD2_TC1/HTML/schema/ifcconstraintresource/lexical/ifcresourceconstraintrelationship.htm" xr:uid="{E98BEF52-5532-4DF2-9F8B-6C077BEE73ED}"/>
    <hyperlink ref="Q3515" r:id="rId964" display="https://standards.buildingsmart.org/IFC/RELEASE/IFC4/ADD2_TC1/HTML/schema/ifcexternalreferenceresource/lexical/ifcresourcelevelrelationship.htm" xr:uid="{72BEE3E1-843B-46B0-AFD5-4AAF38457ED5}"/>
    <hyperlink ref="Q3556" r:id="rId965" display="https://standards.buildingsmart.org/IFC/RELEASE/IFC4/ADD2_TC1/HTML/schema/ifcdatetimeresource/lexical/ifcresourcetime.htm" xr:uid="{36003C0C-E63D-4E49-BBD6-0C7F2381F354}"/>
    <hyperlink ref="Q2926" r:id="rId966" display="https://standards.buildingsmart.org/IFC/RELEASE/IFC4/ADD2_TC1/HTML/schema/ifcgeometricmodelresource/lexical/ifcrevolvedareasolid.htm" xr:uid="{C75B6829-330C-4237-BD18-3D96CB320F4D}"/>
    <hyperlink ref="Q2927" r:id="rId967" display="https://standards.buildingsmart.org/IFC/RELEASE/IFC4/ADD2_TC1/HTML/schema/ifcgeometricmodelresource/lexical/ifcrevolvedareasolidtapered.htm" xr:uid="{221B80BB-3729-4B22-8251-2C9CC7B35305}"/>
    <hyperlink ref="Q3240" r:id="rId968" display="https://standards.buildingsmart.org/IFC/RELEASE/IFC4/ADD2_TC1/HTML/schema/ifcgeometricmodelresource/lexical/ifcrightcircularcone.htm" xr:uid="{451515C3-7615-4079-9ED6-5867471BB08F}"/>
    <hyperlink ref="Q3187" r:id="rId969" display="https://standards.buildingsmart.org/IFC/RELEASE/IFC4/ADD2_TC1/HTML/schema/ifcgeometricmodelresource/lexical/ifcrightcircularcylinder.htm" xr:uid="{8F63E498-DBBF-46C0-B1D0-C018D535F23D}"/>
    <hyperlink ref="Q3553" r:id="rId970" display="https://standards.buildingsmart.org/IFC/RELEASE/IFC4/ADD2_TC1/HTML/schema/ifcsharedbldgelements/lexical/ifcroof.htm" xr:uid="{E05A37FE-ED52-48FA-89E1-7965E316DF22}"/>
    <hyperlink ref="Q3554" r:id="rId971" display="https://standards.buildingsmart.org/IFC/RELEASE/IFC4/ADD2_TC1/HTML/schema/ifcsharedbldgelements/lexical/ifcrooftype.htm" xr:uid="{AE861DB4-2DEC-4DFB-AEC1-697BC38BD930}"/>
    <hyperlink ref="Q3420" r:id="rId972" display="https://standards.buildingsmart.org/IFC/RELEASE/IFC4/ADD2_TC1/HTML/schema/ifckernel/lexical/ifcroot.htm" xr:uid="{20F85A27-B581-478F-8507-BA688A23E441}"/>
    <hyperlink ref="Q3029" r:id="rId973" display="https://standards.buildingsmart.org/IFC/RELEASE/IFC4/ADD2_TC1/HTML/schema/ifcprofileresource/lexical/ifcroundedrectangleprofiledef.htm" xr:uid="{3910DDA0-7729-4035-8CDF-0CFA7DE90B7D}"/>
    <hyperlink ref="Q3592" r:id="rId974" display="https://standards.buildingsmart.org/IFC/RELEASE/IFC4/ADD2_TC1/HTML/schema/ifcplumbingfireprotectiondomain/lexical/ifcsanitaryterminal.htm" xr:uid="{4DA25FD1-53FC-44A5-9DEA-8B6C1AE3BC46}"/>
    <hyperlink ref="Q3593" r:id="rId975" display="https://standards.buildingsmart.org/IFC/RELEASE/IFC4/ADD2_TC1/HTML/schema/ifcplumbingfireprotectiondomain/lexical/ifcsanitaryterminaltype.htm" xr:uid="{55774AC7-6066-439B-ABFE-ADB6BB71FA11}"/>
    <hyperlink ref="Q3564" r:id="rId976" display="https://standards.buildingsmart.org/IFC/RELEASE/IFC4/ADD2_TC1/HTML/schema/ifcdatetimeresource/lexical/ifcschedulingtime.htm" xr:uid="{5F9E0FA0-059B-4DD5-98A7-EE5589BD99EB}"/>
    <hyperlink ref="Q3198" r:id="rId977" display="https://standards.buildingsmart.org/IFC/RELEASE/IFC4/ADD2_TC1/HTML/schema/ifcgeometryresource/lexical/ifcseamcurve.htm" xr:uid="{85F28690-BE35-4D1D-9FA0-E530F2E65BDF}"/>
    <hyperlink ref="Q3157" r:id="rId978" display="https://standards.buildingsmart.org/IFC/RELEASE/IFC4/ADD2_TC1/HTML/schema/ifcgeometricmodelresource/lexical/ifcsectionedspine.htm" xr:uid="{5A3E1F35-6616-4F09-B76F-7DF1C4B38318}"/>
    <hyperlink ref="Q3407" r:id="rId979" display="https://standards.buildingsmart.org/IFC/RELEASE/IFC4/ADD2_TC1/HTML/schema/ifcprofileresource/lexical/ifcsectionproperties.htm" xr:uid="{0F9E5205-BD73-44C1-ACF4-B1703387FC0D}"/>
    <hyperlink ref="Q3453" r:id="rId980" display="https://standards.buildingsmart.org/IFC/RELEASE/IFC4/ADD2_TC1/HTML/schema/ifcprofileresource/lexical/ifcsectionreinforcementproperties.htm" xr:uid="{24B40D78-C55B-47B2-8054-DABB510D3795}"/>
    <hyperlink ref="Q3536" r:id="rId981" display="https://standards.buildingsmart.org/IFC/RELEASE/IFC4/ADD2_TC1/HTML/schema/ifcbuildingcontrolsdomain/lexical/ifcsensor.htm" xr:uid="{3EC0A37F-F0D5-459B-A774-8642519EF04B}"/>
    <hyperlink ref="Q3537" r:id="rId982" display="https://standards.buildingsmart.org/IFC/RELEASE/IFC4/ADD2_TC1/HTML/schema/ifcbuildingcontrolsdomain/lexical/ifcsensortype.htm" xr:uid="{3E978B06-0B30-407D-AFFA-B902AA6DA658}"/>
    <hyperlink ref="Q3050" r:id="rId983" display="https://standards.buildingsmart.org/IFC/RELEASE/IFC4/ADD2_TC1/HTML/schema/ifcsharedbldgelements/lexical/ifcshadingdevice.htm" xr:uid="{FB6F8BA4-5E0E-43CF-BF8D-B37960F06D02}"/>
    <hyperlink ref="Q3051" r:id="rId984" display="https://standards.buildingsmart.org/IFC/RELEASE/IFC4/ADD2_TC1/HTML/schema/ifcsharedbldgelements/lexical/ifcshadingdevicetype.htm" xr:uid="{C6AD0A08-7F85-47EF-9717-A8E84F06D535}"/>
    <hyperlink ref="Q3161" r:id="rId985" display="https://standards.buildingsmart.org/IFC/RELEASE/IFC4/ADD2_TC1/HTML/schema/ifcrepresentationresource/lexical/ifcshapeaspect.htm" xr:uid="{6B5E6165-6267-458A-9129-F1E7EC085340}"/>
    <hyperlink ref="Q3357" r:id="rId986" display="https://standards.buildingsmart.org/IFC/RELEASE/IFC4/ADD2_TC1/HTML/schema/ifcrepresentationresource/lexical/ifcshapemodel.htm" xr:uid="{6F6A11AB-253A-487E-BBD1-3B8C4CD4FD0A}"/>
    <hyperlink ref="Q3517" r:id="rId987" display="https://standards.buildingsmart.org/IFC/RELEASE/IFC4/ADD2_TC1/HTML/schema/ifcrepresentationresource/lexical/ifcshaperepresentation.htm" xr:uid="{6F869E93-3F16-48A4-A58D-3C80FC568CAA}"/>
    <hyperlink ref="Q3360" r:id="rId988" display="https://standards.buildingsmart.org/IFC/RELEASE/IFC4/ADD2_TC1/HTML/schema/ifcgeometricmodelresource/lexical/ifcshellbasedsurfacemodel.htm" xr:uid="{F2972FDB-DD2E-40AE-A1B3-7D571DC015ED}"/>
    <hyperlink ref="Q3405" r:id="rId989" display="https://standards.buildingsmart.org/IFC/RELEASE/IFC4/ADD2_TC1/HTML/schema/ifcpropertyresource/lexical/ifcsimpleproperty.htm" xr:uid="{411125B0-8E67-4A18-915F-1BE3CB91B4FA}"/>
    <hyperlink ref="Q3362" r:id="rId990" display="https://standards.buildingsmart.org/IFC/RELEASE/IFC4/ADD2_TC1/HTML/schema/ifckernel/lexical/ifcsimplepropertytemplate.htm" xr:uid="{740C31F3-964F-4562-A23E-53E8A6E6A96A}"/>
    <hyperlink ref="Q3594" r:id="rId991" display="https://standards.buildingsmart.org/IFC/RELEASE/IFC4/ADD2_TC1/HTML/schema/ifcproductextension/lexical/ifcsite.htm" xr:uid="{5A289205-1314-4DD1-911B-E793B058962B}"/>
    <hyperlink ref="Q3615" r:id="rId992" display="https://standards.buildingsmart.org/IFC/RELEASE/IFC4/ADD2_TC1/HTML/schema/ifcmeasureresource/lexical/ifcsiunit.htm" xr:uid="{DBBA127E-4613-467F-82D0-7F991E824D23}"/>
    <hyperlink ref="Q3316" r:id="rId993" display="https://standards.buildingsmart.org/IFC/RELEASE/IFC4/ADD2_TC1/HTML/schema/ifcsharedbldgelements/lexical/ifcslab.htm" xr:uid="{EFBCC6AD-098A-447C-845A-025E1C589DBE}"/>
    <hyperlink ref="Q3317" r:id="rId994" display="https://standards.buildingsmart.org/IFC/RELEASE/IFC4/ADD2_TC1/HTML/schema/ifcsharedbldgelements/lexical/ifcslabelementedcase.htm" xr:uid="{11A9AB92-83F0-49DD-A376-1A841C32A0A8}"/>
    <hyperlink ref="Q3318" r:id="rId995" display="https://standards.buildingsmart.org/IFC/RELEASE/IFC4/ADD2_TC1/HTML/schema/ifcsharedbldgelements/lexical/ifcslabstandardcase.htm" xr:uid="{BB75AD86-1DCC-43D2-9E35-8936C9956442}"/>
    <hyperlink ref="Q3319" r:id="rId996" display="https://standards.buildingsmart.org/IFC/RELEASE/IFC4/ADD2_TC1/HTML/schema/ifcsharedbldgelements/lexical/ifcslabtype.htm" xr:uid="{E1A6EC3B-C04C-48D6-B869-6B5E6CC918B8}"/>
    <hyperlink ref="Q2900" r:id="rId997" display="https://standards.buildingsmart.org/IFC/RELEASE/IFC4/ADD2_TC1/HTML/schema/ifcstructuralloadresource/lexical/ifcslippageconnectioncondition.htm" xr:uid="{2F71EEAD-20AB-49D9-93ED-40488BB4DFD2}"/>
    <hyperlink ref="Q3056" r:id="rId998" display="https://standards.buildingsmart.org/IFC/RELEASE/IFC4/ADD2_TC1/HTML/schema/ifcelectricaldomain/lexical/ifcsolardevice.htm" xr:uid="{9CA0E85E-01C2-4894-AAAF-9EE2DB07DF17}"/>
    <hyperlink ref="Q3057" r:id="rId999" display="https://standards.buildingsmart.org/IFC/RELEASE/IFC4/ADD2_TC1/HTML/schema/ifcelectricaldomain/lexical/ifcsolardevicetype.htm" xr:uid="{79C18DE6-7812-44C6-873C-27F79FCC42A7}"/>
    <hyperlink ref="Q3218" r:id="rId1000" display="https://standards.buildingsmart.org/IFC/RELEASE/IFC4/ADD2_TC1/HTML/schema/ifcgeometricmodelresource/lexical/ifcsolidmodel.htm" xr:uid="{D3C084B3-1378-451A-A7B3-79F3A3D8121B}"/>
    <hyperlink ref="Q3100" r:id="rId1001" display="https://standards.buildingsmart.org/IFC/RELEASE/IFC4/ADD2_TC1/HTML/schema/ifcproductextension/lexical/ifcspace.htm" xr:uid="{04ACA934-6295-4277-8F89-F7D2BEE2D417}"/>
    <hyperlink ref="Q2924" r:id="rId1002" display="https://standards.buildingsmart.org/IFC/RELEASE/IFC4/ADD2_TC1/HTML/schema/ifchvacdomain/lexical/ifcspaceheater.htm" xr:uid="{B212E7B5-E33B-4572-821F-BCF99407AE4D}"/>
    <hyperlink ref="Q2925" r:id="rId1003" display="https://standards.buildingsmart.org/IFC/RELEASE/IFC4/ADD2_TC1/HTML/schema/ifchvacdomain/lexical/ifcspaceheatertype.htm" xr:uid="{648F6106-2E2A-4621-99B3-54C49CE2FADA}"/>
    <hyperlink ref="Q3101" r:id="rId1004" display="https://standards.buildingsmart.org/IFC/RELEASE/IFC4/ADD2_TC1/HTML/schema/ifcproductextension/lexical/ifcspacetype.htm" xr:uid="{393C416A-CD58-4398-93DA-8C9C30B529B9}"/>
    <hyperlink ref="Q3084" r:id="rId1005" display="https://standards.buildingsmart.org/IFC/RELEASE/IFC4/ADD2_TC1/HTML/schema/ifcproductextension/lexical/ifcspatialelement.htm" xr:uid="{CE996DF2-A476-48F6-B97B-1D48F118749D}"/>
    <hyperlink ref="Q3085" r:id="rId1006" display="https://standards.buildingsmart.org/IFC/RELEASE/IFC4/ADD2_TC1/HTML/schema/ifcproductextension/lexical/ifcspatialelementtype.htm" xr:uid="{E8FBC010-A2E3-491B-A080-1731A0323F20}"/>
    <hyperlink ref="Q3077" r:id="rId1007" display="https://standards.buildingsmart.org/IFC/RELEASE/IFC4/ADD2_TC1/HTML/schema/ifcproductextension/lexical/ifcspatialstructureelement.htm" xr:uid="{51112953-AE65-4933-9C7A-8491F630A579}"/>
    <hyperlink ref="Q3079" r:id="rId1008" display="https://standards.buildingsmart.org/IFC/RELEASE/IFC4/ADD2_TC1/HTML/schema/ifcproductextension/lexical/ifcspatialstructureelementtype.htm" xr:uid="{DDB2693B-A336-434E-942F-444707C01974}"/>
    <hyperlink ref="Q3642" r:id="rId1009" display="https://standards.buildingsmart.org/IFC/RELEASE/IFC4/ADD2_TC1/HTML/schema/ifcproductextension/lexical/ifcspatialzone.htm" xr:uid="{86523740-1F3A-4912-8AF9-FA5DABE08C92}"/>
    <hyperlink ref="Q3643" r:id="rId1010" display="https://standards.buildingsmart.org/IFC/RELEASE/IFC4/ADD2_TC1/HTML/schema/ifcproductextension/lexical/ifcspatialzonetype.htm" xr:uid="{A2D4418B-F082-434E-8836-244553CB534E}"/>
    <hyperlink ref="Q3241" r:id="rId1011" display="https://standards.buildingsmart.org/IFC/RELEASE/IFC4/ADD2_TC1/HTML/schema/ifcgeometricmodelresource/lexical/ifcsphere.htm" xr:uid="{91D0FE12-E013-428A-8AB6-90A869744E73}"/>
    <hyperlink ref="Q3266" r:id="rId1012" display="https://standards.buildingsmart.org/IFC/RELEASE/IFC4/ADD2_TC1/HTML/schema/ifcgeometryresource/lexical/ifcsphericalsurface.htm" xr:uid="{2A069063-2C8C-4E09-9F2E-5DBB02AB4460}"/>
    <hyperlink ref="Q3590" r:id="rId1013" display="https://standards.buildingsmart.org/IFC/RELEASE/IFC4/ADD2_TC1/HTML/schema/ifcplumbingfireprotectiondomain/lexical/ifcstackterminal.htm" xr:uid="{0E9CC7BF-8625-4346-A81E-828BC60FFC2C}"/>
    <hyperlink ref="Q3591" r:id="rId1014" display="https://standards.buildingsmart.org/IFC/RELEASE/IFC4/ADD2_TC1/HTML/schema/ifcplumbingfireprotectiondomain/lexical/ifcstackterminaltype.htm" xr:uid="{6BCB006E-E28E-4E2E-BB6F-7E16621D03EA}"/>
    <hyperlink ref="Q2957" r:id="rId1015" display="https://standards.buildingsmart.org/IFC/RELEASE/IFC4/ADD2_TC1/HTML/schema/ifcsharedbldgelements/lexical/ifcstair.htm" xr:uid="{760E2919-DADD-49F3-ADD9-5417D2138326}"/>
    <hyperlink ref="Q2961" r:id="rId1016" display="https://standards.buildingsmart.org/IFC/RELEASE/IFC4/ADD2_TC1/HTML/schema/ifcsharedbldgelements/lexical/ifcstairflight.htm" xr:uid="{CFCED4AC-19C5-43E1-AFE2-0CA1E2C06F2A}"/>
    <hyperlink ref="Q2962" r:id="rId1017" display="https://standards.buildingsmart.org/IFC/RELEASE/IFC4/ADD2_TC1/HTML/schema/ifcsharedbldgelements/lexical/ifcstairflighttype.htm" xr:uid="{2898C0AF-32B3-4A74-8CB6-3EF457283753}"/>
    <hyperlink ref="Q2958" r:id="rId1018" display="https://standards.buildingsmart.org/IFC/RELEASE/IFC4/ADD2_TC1/HTML/schema/ifcsharedbldgelements/lexical/ifcstairtype.htm" xr:uid="{8739AF7E-C92E-46F0-95D3-584EA8A1896B}"/>
    <hyperlink ref="Q2880" r:id="rId1019" display="https://standards.buildingsmart.org/IFC/RELEASE/IFC4/ADD2_TC1/HTML/schema/ifcstructuralanalysisdomain/lexical/ifcstructuralaction.htm" xr:uid="{F3CBB1F4-1F71-47C6-9E86-5DF1C048745D}"/>
    <hyperlink ref="Q2879" r:id="rId1020" display="https://standards.buildingsmart.org/IFC/RELEASE/IFC4/ADD2_TC1/HTML/schema/ifcstructuralanalysisdomain/lexical/ifcstructuralactivity.htm" xr:uid="{775106C0-8368-4977-84D9-D945E7866F58}"/>
    <hyperlink ref="Q2907" r:id="rId1021" display="https://standards.buildingsmart.org/IFC/RELEASE/IFC4/ADD2_TC1/HTML/schema/ifcstructuralanalysisdomain/lexical/ifcstructuralanalysismodel.htm" xr:uid="{8E00071F-57B6-4C85-A332-02CFA4D5D94F}"/>
    <hyperlink ref="Q2986" r:id="rId1022" display="https://standards.buildingsmart.org/IFC/RELEASE/IFC4/ADD2_TC1/HTML/schema/ifcstructuralanalysisdomain/lexical/ifcstructuralconnection.htm" xr:uid="{A8C39A1C-C87D-47AB-89E8-DF2014F42A44}"/>
    <hyperlink ref="Q2899" r:id="rId1023" display="https://standards.buildingsmart.org/IFC/RELEASE/IFC4/ADD2_TC1/HTML/schema/ifcstructuralloadresource/lexical/ifcstructuralconnectioncondition.htm" xr:uid="{F45D3A58-A8CC-4DBB-8ED0-DB0315DABC6D}"/>
    <hyperlink ref="Q2881" r:id="rId1024" display="https://standards.buildingsmart.org/IFC/RELEASE/IFC4/ADD2_TC1/HTML/schema/ifcstructuralanalysisdomain/lexical/ifcstructuralcurveaction.htm" xr:uid="{C31DB9D6-0C7A-4ABE-B7C4-D43697595393}"/>
    <hyperlink ref="Q2905" r:id="rId1025" display="https://standards.buildingsmart.org/IFC/RELEASE/IFC4/ADD2_TC1/HTML/schema/ifcstructuralanalysisdomain/lexical/ifcstructuralcurveconnection.htm" xr:uid="{0F1904B6-93E2-4D13-8C6E-236566120998}"/>
    <hyperlink ref="Q2906" r:id="rId1026" display="https://standards.buildingsmart.org/IFC/RELEASE/IFC4/ADD2_TC1/HTML/schema/ifcstructuralanalysisdomain/lexical/ifcstructuralcurvemember.htm" xr:uid="{C90B8C03-D934-4AB2-931E-FEF28E03F56B}"/>
    <hyperlink ref="Q2913" r:id="rId1027" display="https://standards.buildingsmart.org/IFC/RELEASE/IFC4/ADD2_TC1/HTML/schema/ifcstructuralanalysisdomain/lexical/ifcstructuralcurvemembervarying.htm" xr:uid="{87601D53-EF2E-4EC5-B46E-A07992E9652D}"/>
    <hyperlink ref="Q2909" r:id="rId1028" display="https://standards.buildingsmart.org/IFC/RELEASE/IFC4/ADD2_TC1/HTML/schema/ifcstructuralanalysisdomain/lexical/ifcstructuralcurvereaction.htm" xr:uid="{902E7200-2B35-4FB6-94C4-B19352708834}"/>
    <hyperlink ref="Q3308" r:id="rId1029" display="https://standards.buildingsmart.org/IFC/RELEASE/IFC4/ADD2_TC1/HTML/schema/ifcstructuralanalysisdomain/lexical/ifcstructuralitem.htm" xr:uid="{27AC5C91-80F1-4105-9408-F4827539A906}"/>
    <hyperlink ref="Q2882" r:id="rId1030" display="https://standards.buildingsmart.org/IFC/RELEASE/IFC4/ADD2_TC1/HTML/schema/ifcstructuralanalysisdomain/lexical/ifcstructurallinearaction.htm" xr:uid="{D2DEC6E6-98F0-49B4-935F-3F70F33BDFB9}"/>
    <hyperlink ref="Q2878" r:id="rId1031" display="https://standards.buildingsmart.org/IFC/RELEASE/IFC4/ADD2_TC1/HTML/schema/ifcstructuralloadresource/lexical/ifcstructuralload.htm" xr:uid="{8CE130AE-DA14-4989-BAFD-734A03E775FC}"/>
    <hyperlink ref="Q2886" r:id="rId1032" display="https://standards.buildingsmart.org/IFC/RELEASE/IFC4/ADD2_TC1/HTML/schema/ifcstructuralanalysisdomain/lexical/ifcstructuralloadcase.htm" xr:uid="{6479A508-C930-4BED-BAE3-E752E7787146}"/>
    <hyperlink ref="Q2887" r:id="rId1033" display="https://standards.buildingsmart.org/IFC/RELEASE/IFC4/ADD2_TC1/HTML/schema/ifcstructuralloadresource/lexical/ifcstructuralloadconfiguration.htm" xr:uid="{05F2BDEB-F1E1-44D0-B623-451C2EAC534E}"/>
    <hyperlink ref="Q2895" r:id="rId1034" display="https://standards.buildingsmart.org/IFC/RELEASE/IFC4/ADD2_TC1/HTML/schema/ifcstructuralanalysisdomain/lexical/ifcstructuralloadgroup.htm" xr:uid="{2B3C4B3E-278D-4D05-9424-80E6F88D0D18}"/>
    <hyperlink ref="Q2888" r:id="rId1035" display="https://standards.buildingsmart.org/IFC/RELEASE/IFC4/ADD2_TC1/HTML/schema/ifcstructuralloadresource/lexical/ifcstructuralloadlinearforce.htm" xr:uid="{E2C6F133-BA57-45C4-A4E0-4F2A4EEE94E6}"/>
    <hyperlink ref="Q2896" r:id="rId1036" display="https://standards.buildingsmart.org/IFC/RELEASE/IFC4/ADD2_TC1/HTML/schema/ifcstructuralloadresource/lexical/ifcstructuralloadorresult.htm" xr:uid="{96B7D520-8198-4FED-BFAE-AB942CC2B158}"/>
    <hyperlink ref="Q2893" r:id="rId1037" display="https://standards.buildingsmart.org/IFC/RELEASE/IFC4/ADD2_TC1/HTML/schema/ifcstructuralloadresource/lexical/ifcstructuralloadplanarforce.htm" xr:uid="{C2924AD8-D3AD-4A4B-B680-6378D732DCF2}"/>
    <hyperlink ref="Q2890" r:id="rId1038" display="https://standards.buildingsmart.org/IFC/RELEASE/IFC4/ADD2_TC1/HTML/schema/ifcstructuralloadresource/lexical/ifcstructuralloadsingledisplacement.htm" xr:uid="{D04A6BB0-54F7-469A-BA29-7A1B94DF30A7}"/>
    <hyperlink ref="Q2891" r:id="rId1039" display="https://standards.buildingsmart.org/IFC/RELEASE/IFC4/ADD2_TC1/HTML/schema/ifcstructuralloadresource/lexical/ifcstructuralloadsingledisplacementdistortion.htm" xr:uid="{D05A3177-4F5F-4109-A2AB-29BE4745D7A5}"/>
    <hyperlink ref="Q2889" r:id="rId1040" display="https://standards.buildingsmart.org/IFC/RELEASE/IFC4/ADD2_TC1/HTML/schema/ifcstructuralloadresource/lexical/ifcstructuralloadsingleforce.htm" xr:uid="{C8B01727-49B4-4B93-B6F1-05AF1FE4F7F2}"/>
    <hyperlink ref="Q2892" r:id="rId1041" display="https://standards.buildingsmart.org/IFC/RELEASE/IFC4/ADD2_TC1/HTML/schema/ifcstructuralloadresource/lexical/ifcstructuralloadsingleforcewarping.htm" xr:uid="{47C0A3B8-217B-4E06-885F-077E3CC4984E}"/>
    <hyperlink ref="Q2894" r:id="rId1042" display="https://standards.buildingsmart.org/IFC/RELEASE/IFC4/ADD2_TC1/HTML/schema/ifcstructuralloadresource/lexical/ifcstructuralloadstatic.htm" xr:uid="{D4240B4F-92F1-403B-93C0-71FA1BBD1036}"/>
    <hyperlink ref="Q2912" r:id="rId1043" display="https://standards.buildingsmart.org/IFC/RELEASE/IFC4/ADD2_TC1/HTML/schema/ifcstructuralloadresource/lexical/ifcstructuralloadtemperature.htm" xr:uid="{6143E7CD-B578-4C76-BFD3-7EDE033326B9}"/>
    <hyperlink ref="Q3349" r:id="rId1044" display="https://standards.buildingsmart.org/IFC/RELEASE/IFC4/ADD2_TC1/HTML/schema/ifcstructuralanalysisdomain/lexical/ifcstructuralmember.htm" xr:uid="{398EBCD2-9512-4927-BEE3-71CA2AD2E5FD}"/>
    <hyperlink ref="Q2884" r:id="rId1045" display="https://standards.buildingsmart.org/IFC/RELEASE/IFC4/ADD2_TC1/HTML/schema/ifcstructuralanalysisdomain/lexical/ifcstructuralplanaraction.htm" xr:uid="{82E2037B-3F38-4B40-A782-70B2F7CBC96B}"/>
    <hyperlink ref="Q2883" r:id="rId1046" display="https://standards.buildingsmart.org/IFC/RELEASE/IFC4/ADD2_TC1/HTML/schema/ifcstructuralanalysisdomain/lexical/ifcstructuralpointaction.htm" xr:uid="{07257198-C5B4-4610-AA3E-A246CAC69868}"/>
    <hyperlink ref="Q2988" r:id="rId1047" display="https://standards.buildingsmart.org/IFC/RELEASE/IFC4/ADD2_TC1/HTML/schema/ifcstructuralanalysisdomain/lexical/ifcstructuralpointconnection.htm" xr:uid="{288F10C2-2CDD-46A3-8F31-20BB89DAB48E}"/>
    <hyperlink ref="Q2910" r:id="rId1048" display="https://standards.buildingsmart.org/IFC/RELEASE/IFC4/ADD2_TC1/HTML/schema/ifcstructuralanalysisdomain/lexical/ifcstructuralpointreaction.htm" xr:uid="{57EB634C-D444-4FD1-A53B-715007F831E1}"/>
    <hyperlink ref="Q2908" r:id="rId1049" display="https://standards.buildingsmart.org/IFC/RELEASE/IFC4/ADD2_TC1/HTML/schema/ifcstructuralanalysisdomain/lexical/ifcstructuralreaction.htm" xr:uid="{D3FDB3AA-07C6-4A39-BCD6-E4E75D57F50B}"/>
    <hyperlink ref="Q3290" r:id="rId1050" display="https://standards.buildingsmart.org/IFC/RELEASE/IFC4/ADD2_TC1/HTML/schema/ifcstructuralanalysisdomain/lexical/ifcstructuralresultgroup.htm" xr:uid="{419B63F9-17D8-4A45-BA0A-B48C0149273C}"/>
    <hyperlink ref="Q2885" r:id="rId1051" display="https://standards.buildingsmart.org/IFC/RELEASE/IFC4/ADD2_TC1/HTML/schema/ifcstructuralanalysisdomain/lexical/ifcstructuralsurfaceaction.htm" xr:uid="{3F84463B-CEA0-4291-B39B-F7B5710BCC12}"/>
    <hyperlink ref="Q2987" r:id="rId1052" display="https://standards.buildingsmart.org/IFC/RELEASE/IFC4/ADD2_TC1/HTML/schema/ifcstructuralanalysisdomain/lexical/ifcstructuralsurfaceconnection.htm" xr:uid="{FA78E1F6-1198-4590-90B3-7F3184AFC434}"/>
    <hyperlink ref="Q3086" r:id="rId1053" display="https://standards.buildingsmart.org/IFC/RELEASE/IFC4/ADD2_TC1/HTML/schema/ifcstructuralanalysisdomain/lexical/ifcstructuralsurfacemember.htm" xr:uid="{D8BF381C-556D-4534-A71A-5B43FA99AD6B}"/>
    <hyperlink ref="Q2914" r:id="rId1054" display="https://standards.buildingsmart.org/IFC/RELEASE/IFC4/ADD2_TC1/HTML/schema/ifcstructuralanalysisdomain/lexical/ifcstructuralsurfacemembervarying.htm" xr:uid="{55EA22A3-8684-4E08-8FD1-3F236181DF7F}"/>
    <hyperlink ref="Q2911" r:id="rId1055" display="https://standards.buildingsmart.org/IFC/RELEASE/IFC4/ADD2_TC1/HTML/schema/ifcstructuralanalysisdomain/lexical/ifcstructuralsurfacereaction.htm" xr:uid="{36010F28-1709-4BC1-8560-38E93430669D}"/>
    <hyperlink ref="Q3304" r:id="rId1056" display="https://standards.buildingsmart.org/IFC/RELEASE/IFC4/ADD2_TC1/HTML/schema/ifcpresentationappearanceresource/lexical/ifcstyleditem.htm" xr:uid="{75A2249E-7327-4C65-86A9-0025AAE55120}"/>
    <hyperlink ref="Q3128" r:id="rId1057" display="https://standards.buildingsmart.org/IFC/RELEASE/IFC4/ADD2_TC1/HTML/schema/ifcrepresentationresource/lexical/ifcstyledrepresentation.htm" xr:uid="{DAFD4CA8-0761-4E17-9480-69566FF1C095}"/>
    <hyperlink ref="Q3118" r:id="rId1058" display="https://standards.buildingsmart.org/IFC/RELEASE/IFC4/ADD2_TC1/HTML/schema/ifcrepresentationresource/lexical/ifcstylemodel.htm" xr:uid="{F662E63D-82AE-4CEF-9350-A35AC45BD975}"/>
    <hyperlink ref="Q3435" r:id="rId1059" display="https://standards.buildingsmart.org/IFC/RELEASE/IFC4/ADD2_TC1/HTML/schema/ifcconstructionmgmtdomain/lexical/ifcsubcontractresource.htm" xr:uid="{CC71F2AB-58D7-473E-B26F-BBE15FCBA21B}"/>
    <hyperlink ref="Q3436" r:id="rId1060" display="https://standards.buildingsmart.org/IFC/RELEASE/IFC4/ADD2_TC1/HTML/schema/ifcconstructionmgmtdomain/lexical/ifcsubcontractresourcetype.htm" xr:uid="{57B1998F-BAFA-4575-84E6-365CEE146D31}"/>
    <hyperlink ref="Q3254" r:id="rId1061" display="https://standards.buildingsmart.org/IFC/RELEASE/IFC4/ADD2_TC1/HTML/schema/ifctopologyresource/lexical/ifcsubedge.htm" xr:uid="{0058FAFC-84A8-43B8-A8DE-60C0CE658D50}"/>
    <hyperlink ref="Q3256" r:id="rId1062" display="https://standards.buildingsmart.org/IFC/RELEASE/IFC4/ADD2_TC1/HTML/schema/ifcgeometryresource/lexical/ifcsurface.htm" xr:uid="{D4DDF74E-51B4-4AE0-9A8F-5776C45C185C}"/>
    <hyperlink ref="Q3199" r:id="rId1063" display="https://standards.buildingsmart.org/IFC/RELEASE/IFC4/ADD2_TC1/HTML/schema/ifcgeometryresource/lexical/ifcsurfacecurve.htm" xr:uid="{4F052194-151A-42CD-A7CA-50E6EB1DB301}"/>
    <hyperlink ref="Q3270" r:id="rId1064" display="https://standards.buildingsmart.org/IFC/RELEASE/IFC4/ADD2_TC1/HTML/schema/ifcgeometricmodelresource/lexical/ifcsurfacecurvesweptareasolid.htm" xr:uid="{84B2E789-1716-4F73-967B-DEF3A346922D}"/>
    <hyperlink ref="Q3215" r:id="rId1065" display="https://standards.buildingsmart.org/IFC/RELEASE/IFC4/ADD2_TC1/HTML/schema/ifcstructuralelementsdomain/lexical/ifcsurfacefeature.htm" xr:uid="{D1A8B055-8432-4D92-A6CB-6728B0A4073F}"/>
    <hyperlink ref="Q3261" r:id="rId1066" display="https://standards.buildingsmart.org/IFC/RELEASE/IFC4/ADD2_TC1/HTML/schema/ifcgeometryresource/lexical/ifcsurfaceoflinearextrusion.htm" xr:uid="{1E52205B-AE44-45A0-A956-18B2C6DD445F}"/>
    <hyperlink ref="Q3263" r:id="rId1067" display="https://standards.buildingsmart.org/IFC/RELEASE/IFC4/ADD2_TC1/HTML/schema/ifcgeometryresource/lexical/ifcsurfaceofrevolution.htm" xr:uid="{FF973BCB-F08F-412D-8AAB-840423C33912}"/>
    <hyperlink ref="Q3447" r:id="rId1068" display="https://standards.buildingsmart.org/IFC/RELEASE/IFC4/ADD2_TC1/HTML/schema/ifcstructuralloadresource/lexical/ifcsurfacereinforcementarea.htm" xr:uid="{D70050AA-DA9A-4C28-906F-8AA567F13830}"/>
    <hyperlink ref="Q3130" r:id="rId1069" display="https://standards.buildingsmart.org/IFC/RELEASE/IFC4/ADD2_TC1/HTML/schema/ifcpresentationappearanceresource/lexical/ifcsurfacestyle.htm" xr:uid="{1AA2A0FD-79BD-41CA-B822-9DE6880B48E1}"/>
    <hyperlink ref="Q3114" r:id="rId1070" display="https://standards.buildingsmart.org/IFC/RELEASE/IFC4/ADD2_TC1/HTML/schema/ifcpresentationappearanceresource/lexical/ifcsurfacestylelighting.htm" xr:uid="{BAB3E24E-6D90-4400-A629-043DBBFE49E3}"/>
    <hyperlink ref="Q3131" r:id="rId1071" display="https://standards.buildingsmart.org/IFC/RELEASE/IFC4/ADD2_TC1/HTML/schema/ifcpresentationappearanceresource/lexical/ifcsurfacestylerefraction.htm" xr:uid="{6066232B-D447-4948-ACD2-5D269EEC4B15}"/>
    <hyperlink ref="Q3132" r:id="rId1072" display="https://standards.buildingsmart.org/IFC/RELEASE/IFC4/ADD2_TC1/HTML/schema/ifcpresentationappearanceresource/lexical/ifcsurfacestylerendering.htm" xr:uid="{E9359495-BB11-43EB-B517-D4EB612ED508}"/>
    <hyperlink ref="Q3129" r:id="rId1073" display="https://standards.buildingsmart.org/IFC/RELEASE/IFC4/ADD2_TC1/HTML/schema/ifcpresentationappearanceresource/lexical/ifcsurfacestyleshading.htm" xr:uid="{341C91DD-A838-43A6-AC9A-F4F975F6F29E}"/>
    <hyperlink ref="Q3133" r:id="rId1074" display="https://standards.buildingsmart.org/IFC/RELEASE/IFC4/ADD2_TC1/HTML/schema/ifcpresentationappearanceresource/lexical/ifcsurfacestylewithtextures.htm" xr:uid="{C7C38456-FC3F-4750-8740-31F5519B4604}"/>
    <hyperlink ref="Q3277" r:id="rId1075" display="https://standards.buildingsmart.org/IFC/RELEASE/IFC4/ADD2_TC1/HTML/schema/ifcpresentationappearanceresource/lexical/ifcsurfacetexture.htm" xr:uid="{9443E80C-7406-4C56-B5AD-27BDC664D37A}"/>
    <hyperlink ref="Q2928" r:id="rId1076" display="https://standards.buildingsmart.org/IFC/RELEASE/IFC4/ADD2_TC1/HTML/schema/ifcgeometricmodelresource/lexical/ifcsweptareasolid.htm" xr:uid="{E806F01D-06A8-46FA-BA07-D8CD24355018}"/>
    <hyperlink ref="Q3251" r:id="rId1077" display="https://standards.buildingsmart.org/IFC/RELEASE/IFC4/ADD2_TC1/HTML/schema/ifcgeometricmodelresource/lexical/ifcsweptdisksolid.htm" xr:uid="{FFC5E446-F8B7-4B93-95AF-90EF1D91D972}"/>
    <hyperlink ref="Q3252" r:id="rId1078" display="https://standards.buildingsmart.org/IFC/RELEASE/IFC4/ADD2_TC1/HTML/schema/ifcgeometricmodelresource/lexical/ifcsweptdisksolidpolygonal.htm" xr:uid="{209BB5AE-5C4F-47AA-A0A1-12ED0C66A2D1}"/>
    <hyperlink ref="Q3264" r:id="rId1079" display="https://standards.buildingsmart.org/IFC/RELEASE/IFC4/ADD2_TC1/HTML/schema/ifcgeometryresource/lexical/ifcsweptsurface.htm" xr:uid="{F6B3EB50-0FC4-4296-BEEA-738573DF52D8}"/>
    <hyperlink ref="Q3042" r:id="rId1080" display="https://standards.buildingsmart.org/IFC/RELEASE/IFC4/ADD2_TC1/HTML/schema/ifcelectricaldomain/lexical/ifcswitchingdevice.htm" xr:uid="{9E9F4F6E-B7E8-4E06-89E6-C1C070FFF416}"/>
    <hyperlink ref="Q3043" r:id="rId1081" display="https://standards.buildingsmart.org/IFC/RELEASE/IFC4/ADD2_TC1/HTML/schema/ifcelectricaldomain/lexical/ifcswitchingdevicetype.htm" xr:uid="{B1384702-211D-429E-81B5-A8A4587BA3EB}"/>
    <hyperlink ref="Q3545" r:id="rId1082" display="https://standards.buildingsmart.org/IFC/RELEASE/IFC4/ADD2_TC1/HTML/schema/ifcproductextension/lexical/ifcsystem.htm" xr:uid="{9DAC42E9-7FF8-48D5-9B15-4BAAADF7E8D3}"/>
    <hyperlink ref="Q3352" r:id="rId1083" display="https://standards.buildingsmart.org/IFC/RELEASE/IFC4/ADD2_TC1/HTML/schema/ifcsharedfacilitieselements/lexical/ifcsystemfurnitureelement.htm" xr:uid="{E8A13B25-8950-450C-9AE2-A46FCB38F9BB}"/>
    <hyperlink ref="Q3353" r:id="rId1084" display="https://standards.buildingsmart.org/IFC/RELEASE/IFC4/ADD2_TC1/HTML/schema/ifcsharedfacilitieselements/lexical/ifcsystemfurnitureelementtype.htm" xr:uid="{EC04C1E2-FF5D-4584-A5C4-511CB204FC0D}"/>
    <hyperlink ref="Q3550" r:id="rId1085" display="https://standards.buildingsmart.org/IFC/RELEASE/IFC4/ADD2_TC1/HTML/schema/ifcutilityresource/lexical/ifctable.htm" xr:uid="{E7F8AA82-F057-4200-8A42-A10766A37AB4}"/>
    <hyperlink ref="Q3548" r:id="rId1086" display="https://standards.buildingsmart.org/IFC/RELEASE/IFC4/ADD2_TC1/HTML/schema/ifcutilityresource/lexical/ifctablecolumn.htm" xr:uid="{6D068332-4350-4A7B-BFD1-E17A216D146A}"/>
    <hyperlink ref="Q3547" r:id="rId1087" display="https://standards.buildingsmart.org/IFC/RELEASE/IFC4/ADD2_TC1/HTML/schema/ifcutilityresource/lexical/ifctablerow.htm" xr:uid="{8B88C315-65CA-4E3B-B240-99BDF5412CEC}"/>
    <hyperlink ref="Q3551" r:id="rId1088" display="https://standards.buildingsmart.org/IFC/RELEASE/IFC4/ADD2_TC1/HTML/schema/ifchvacdomain/lexical/ifctank.htm" xr:uid="{FAA9F6E8-F8CC-4C5D-9F95-88BD366128E5}"/>
    <hyperlink ref="Q3552" r:id="rId1089" display="https://standards.buildingsmart.org/IFC/RELEASE/IFC4/ADD2_TC1/HTML/schema/ifchvacdomain/lexical/ifctanktype.htm" xr:uid="{E33B5C67-BB85-4E5D-BD68-A55BDE60BC3D}"/>
    <hyperlink ref="Q3572" r:id="rId1090" display="https://standards.buildingsmart.org/IFC/RELEASE/IFC4/ADD2_TC1/HTML/schema/ifcprocessextension/lexical/ifctask.htm" xr:uid="{A2C97D7A-F4C4-4794-9457-593601F80DE1}"/>
    <hyperlink ref="Q3574" r:id="rId1091" display="https://standards.buildingsmart.org/IFC/RELEASE/IFC4/ADD2_TC1/HTML/schema/ifcdatetimeresource/lexical/ifctasktime.htm" xr:uid="{94081746-BE1F-48AA-9F2E-637BB2D2B7FD}"/>
    <hyperlink ref="Q3576" r:id="rId1092" display="https://standards.buildingsmart.org/IFC/RELEASE/IFC4/ADD2_TC1/HTML/schema/ifcdatetimeresource/lexical/ifctasktimerecurring.htm" xr:uid="{78862A12-2D3F-4502-9936-B2100B371253}"/>
    <hyperlink ref="Q3577" r:id="rId1093" display="https://standards.buildingsmart.org/IFC/RELEASE/IFC4/ADD2_TC1/HTML/schema/ifcprocessextension/lexical/ifctasktype.htm" xr:uid="{D41238AD-B7E5-4D3E-AEC0-BE568263CD48}"/>
    <hyperlink ref="Q3093" r:id="rId1094" display="https://standards.buildingsmart.org/IFC/RELEASE/IFC4/ADD2_TC1/HTML/schema/ifcactorresource/lexical/ifctelecomaddress.htm" xr:uid="{1DD56C8F-846E-40BA-ADC6-0154F5F58F71}"/>
    <hyperlink ref="Q3578" r:id="rId1095" display="https://standards.buildingsmart.org/IFC/RELEASE/IFC4/ADD2_TC1/HTML/schema/ifcstructuralelementsdomain/lexical/ifctendon.htm" xr:uid="{488190D5-F266-4796-8EC8-0EC59A40488F}"/>
    <hyperlink ref="Q2915" r:id="rId1096" display="https://standards.buildingsmart.org/IFC/RELEASE/IFC4/ADD2_TC1/HTML/schema/ifcstructuralelementsdomain/lexical/ifctendonanchor.htm" xr:uid="{20720206-86CA-40EF-B180-8DF8DC5CB1A3}"/>
    <hyperlink ref="Q2916" r:id="rId1097" display="https://standards.buildingsmart.org/IFC/RELEASE/IFC4/ADD2_TC1/HTML/schema/ifcstructuralelementsdomain/lexical/ifctendonanchortype.htm" xr:uid="{5B3FDFDF-1B52-47D1-A0E5-71E77E4554EA}"/>
    <hyperlink ref="Q3579" r:id="rId1098" display="https://standards.buildingsmart.org/IFC/RELEASE/IFC4/ADD2_TC1/HTML/schema/ifcstructuralelementsdomain/lexical/ifctendontype.htm" xr:uid="{2A3645EE-E110-4BC9-93B9-937924B6E012}"/>
    <hyperlink ref="Q3171" r:id="rId1099" display="https://standards.buildingsmart.org/IFC/RELEASE/IFC4/ADD2_TC1/HTML/schema/ifcgeometricmodelresource/lexical/ifctessellatedfaceset.htm" xr:uid="{A806D9CF-BE8E-4228-859F-8E3B90E274F7}"/>
    <hyperlink ref="Q3311" r:id="rId1100" display="https://standards.buildingsmart.org/IFC/RELEASE/IFC4/ADD2_TC1/HTML/schema/ifcgeometricmodelresource/lexical/ifctessellateditem.htm" xr:uid="{A691A752-765B-4586-AEEE-A3AC54633DF8}"/>
    <hyperlink ref="Q3595" r:id="rId1101" display="https://standards.buildingsmart.org/IFC/RELEASE/IFC4/ADD2_TC1/HTML/schema/ifcpresentationdefinitionresource/lexical/ifctextliteral.htm" xr:uid="{EB5461F3-6A49-430F-BF8D-052656E5A5CC}"/>
    <hyperlink ref="Q3596" r:id="rId1102" display="https://standards.buildingsmart.org/IFC/RELEASE/IFC4/ADD2_TC1/HTML/schema/ifcpresentationdefinitionresource/lexical/ifctextliteralwithextent.htm" xr:uid="{22D059EE-0281-404E-8BC2-206760B581A8}"/>
    <hyperlink ref="Q3135" r:id="rId1103" display="https://standards.buildingsmart.org/IFC/RELEASE/IFC4/ADD2_TC1/HTML/schema/ifcpresentationappearanceresource/lexical/ifctextstyle.htm" xr:uid="{9E036ED3-2295-4A11-88AC-51BC2CCC0170}"/>
    <hyperlink ref="Q3123" r:id="rId1104" display="https://standards.buildingsmart.org/IFC/RELEASE/IFC4/ADD2_TC1/HTML/schema/ifcpresentationappearanceresource/lexical/ifctextstylefontmodel.htm" xr:uid="{5FCBC820-9F5D-404E-8C39-7FD48B168AA1}"/>
    <hyperlink ref="Q3121" r:id="rId1105" display="https://standards.buildingsmart.org/IFC/RELEASE/IFC4/ADD2_TC1/HTML/schema/ifcpresentationappearanceresource/lexical/ifctextstylefordefinedfont.htm" xr:uid="{50CCB836-0F53-4F74-84BA-C4945F234D08}"/>
    <hyperlink ref="Q3136" r:id="rId1106" display="https://standards.buildingsmart.org/IFC/RELEASE/IFC4/ADD2_TC1/HTML/schema/ifcpresentationappearanceresource/lexical/ifctextstyletextmodel.htm" xr:uid="{6E4235BB-9706-4F1F-BE59-36540492D63D}"/>
    <hyperlink ref="Q3273" r:id="rId1107" display="https://standards.buildingsmart.org/IFC/RELEASE/IFC4/ADD2_TC1/HTML/schema/ifcpresentationappearanceresource/lexical/ifctexturecoordinate.htm" xr:uid="{0C560684-4867-4BD8-886D-F0CEE94F2D0B}"/>
    <hyperlink ref="Q3278" r:id="rId1108" display="https://standards.buildingsmart.org/IFC/RELEASE/IFC4/ADD2_TC1/HTML/schema/ifcpresentationappearanceresource/lexical/ifctexturecoordinategenerator.htm" xr:uid="{31CCB76F-F64D-4A7E-BA7A-59BABE59F2BC}"/>
    <hyperlink ref="Q3279" r:id="rId1109" display="https://standards.buildingsmart.org/IFC/RELEASE/IFC4/ADD2_TC1/HTML/schema/ifcpresentationappearanceresource/lexical/ifctexturemap.htm" xr:uid="{62E77C84-2473-4553-9A2E-780F2A444E19}"/>
    <hyperlink ref="Q3282" r:id="rId1110" display="https://standards.buildingsmart.org/IFC/RELEASE/IFC4/ADD2_TC1/HTML/schema/ifcpresentationappearanceresource/lexical/ifctexturevertex.htm" xr:uid="{3EEE8FFB-5802-4C0D-B880-610A4A3A1D8F}"/>
    <hyperlink ref="Q3283" r:id="rId1111" display="https://standards.buildingsmart.org/IFC/RELEASE/IFC4/ADD2_TC1/HTML/schema/ifcpresentationappearanceresource/lexical/ifctexturevertexlist.htm" xr:uid="{FF2F4E3A-4CD6-47F7-BA8B-4B66A325BB95}"/>
    <hyperlink ref="Q3565" r:id="rId1112" display="https://standards.buildingsmart.org/IFC/RELEASE/IFC4/ADD2_TC1/HTML/schema/ifcdatetimeresource/lexical/ifctimeperiod.htm" xr:uid="{739D7BF9-EE1B-43EC-B8BA-EF4198DCFA02}"/>
    <hyperlink ref="Q3567" r:id="rId1113" display="https://standards.buildingsmart.org/IFC/RELEASE/IFC4/ADD2_TC1/HTML/schema/ifcdatetimeresource/lexical/ifctimeseries.htm" xr:uid="{2731DB6D-74B4-4426-A719-453E47355637}"/>
    <hyperlink ref="Q3571" r:id="rId1114" display="https://standards.buildingsmart.org/IFC/RELEASE/IFC4/ADD2_TC1/HTML/schema/ifcdatetimeresource/lexical/ifctimeseriesvalue.htm" xr:uid="{AE1B500F-13CF-48E7-8033-295A70CB7A9B}"/>
    <hyperlink ref="Q3307" r:id="rId1115" display="https://standards.buildingsmart.org/IFC/RELEASE/IFC4/ADD2_TC1/HTML/schema/ifctopologyresource/lexical/ifctopologicalrepresentationitem.htm" xr:uid="{EB6C34D9-7D9A-4994-9A9A-198F346281C6}"/>
    <hyperlink ref="Q3519" r:id="rId1116" display="https://standards.buildingsmart.org/IFC/RELEASE/IFC4/ADD2_TC1/HTML/schema/ifcrepresentationresource/lexical/ifctopologyrepresentation.htm" xr:uid="{A9E1F149-4690-46EC-8744-931524FEB343}"/>
    <hyperlink ref="Q3271" r:id="rId1117" display="https://standards.buildingsmart.org/IFC/RELEASE/IFC4/ADD2_TC1/HTML/schema/ifcgeometryresource/lexical/ifctoroidalsurface.htm" xr:uid="{EC5CE9A8-0368-4650-B107-69646D01EA8A}"/>
    <hyperlink ref="Q3605" r:id="rId1118" display="https://standards.buildingsmart.org/IFC/RELEASE/IFC4/ADD2_TC1/HTML/schema/ifcelectricaldomain/lexical/ifctransformer.htm" xr:uid="{5647BE5E-F8B1-407F-A794-4850809A1272}"/>
    <hyperlink ref="Q3606" r:id="rId1119" display="https://standards.buildingsmart.org/IFC/RELEASE/IFC4/ADD2_TC1/HTML/schema/ifcelectricaldomain/lexical/ifctransformertype.htm" xr:uid="{F8A5377E-1575-4DA7-B04A-56FA329C3BAE}"/>
    <hyperlink ref="Q3081" r:id="rId1120" display="https://standards.buildingsmart.org/IFC/RELEASE/IFC4/ADD2_TC1/HTML/schema/ifcproductextension/lexical/ifctransportelement.htm" xr:uid="{16AF8D1D-C7AC-4343-B023-A6EFF098F8B1}"/>
    <hyperlink ref="Q3082" r:id="rId1121" display="https://standards.buildingsmart.org/IFC/RELEASE/IFC4/ADD2_TC1/HTML/schema/ifcproductextension/lexical/ifctransportelementtype.htm" xr:uid="{F9626636-54EF-4118-8996-1D5B6DA48CEE}"/>
    <hyperlink ref="Q3032" r:id="rId1122" display="https://standards.buildingsmart.org/IFC/RELEASE/IFC4/ADD2_TC1/HTML/schema/ifcprofileresource/lexical/ifctrapeziumprofiledef.htm" xr:uid="{FF313B22-2788-4B2A-B68B-6DA4E03E46BB}"/>
    <hyperlink ref="Q3172" r:id="rId1123" display="https://standards.buildingsmart.org/IFC/RELEASE/IFC4/ADD2_TC1/HTML/schema/ifcgeometricmodelresource/lexical/ifctriangulatedfaceset.htm" xr:uid="{828D0B8B-6E7B-4875-B6A5-432BC1180980}"/>
    <hyperlink ref="Q3189" r:id="rId1124" display="https://standards.buildingsmart.org/IFC/RELEASE/IFC4/ADD2_TC1/HTML/schema/ifcgeometryresource/lexical/ifctrimmedcurve.htm" xr:uid="{6FAD04D6-DCE7-4F90-908E-CD7C7DE8C99D}"/>
    <hyperlink ref="Q3031" r:id="rId1125" display="https://standards.buildingsmart.org/IFC/RELEASE/IFC4/ADD2_TC1/HTML/schema/ifcprofileresource/lexical/ifctshapeprofiledef.htm" xr:uid="{B3F6CB34-B746-4B21-AFC3-20013845B1B6}"/>
    <hyperlink ref="Q3141" r:id="rId1126" display="https://standards.buildingsmart.org/IFC/RELEASE/IFC4/ADD2_TC1/HTML/schema/ifchvacdomain/lexical/ifctubebundle.htm" xr:uid="{8EBFAFB3-CBDD-424B-A983-D53DE7E8E343}"/>
    <hyperlink ref="Q3142" r:id="rId1127" display="https://standards.buildingsmart.org/IFC/RELEASE/IFC4/ADD2_TC1/HTML/schema/ifchvacdomain/lexical/ifctubebundletype.htm" xr:uid="{4BEE1945-0B1D-43C9-8908-2C5A3B4F7015}"/>
    <hyperlink ref="Q3371" r:id="rId1128" display="https://standards.buildingsmart.org/IFC/RELEASE/IFC4/ADD2_TC1/HTML/schema/ifckernel/lexical/ifctypeobject.htm" xr:uid="{C7895B5A-6DF4-4810-95A4-F3EFF1ECE08C}"/>
    <hyperlink ref="Q3398" r:id="rId1129" display="https://standards.buildingsmart.org/IFC/RELEASE/IFC4/ADD2_TC1/HTML/schema/ifckernel/lexical/ifctypeprocess.htm" xr:uid="{1D910A0F-BAD2-4A36-8708-7D3697BDA8B3}"/>
    <hyperlink ref="Q3400" r:id="rId1130" display="https://standards.buildingsmart.org/IFC/RELEASE/IFC4/ADD2_TC1/HTML/schema/ifckernel/lexical/ifctypeproduct.htm" xr:uid="{222C864C-CB7D-4249-9747-43D63881B359}"/>
    <hyperlink ref="Q3438" r:id="rId1131" display="https://standards.buildingsmart.org/IFC/RELEASE/IFC4/ADD2_TC1/HTML/schema/ifckernel/lexical/ifctyperesource.htm" xr:uid="{584CCC54-1732-43B7-A12E-043552FA5885}"/>
    <hyperlink ref="Q3097" r:id="rId1132" display="https://standards.buildingsmart.org/IFC/RELEASE/IFC4/ADD2_TC1/HTML/schema/ifcbuildingcontrolsdomain/lexical/ifcunitarycontrolelement.htm" xr:uid="{2054C209-16E2-409F-8A18-0476FA6B5249}"/>
    <hyperlink ref="Q3098" r:id="rId1133" display="https://standards.buildingsmart.org/IFC/RELEASE/IFC4/ADD2_TC1/HTML/schema/ifcbuildingcontrolsdomain/lexical/ifcunitarycontrolelementtype.htm" xr:uid="{6EDE2A54-45E9-4FA2-A868-14721B48CB3B}"/>
    <hyperlink ref="Q3096" r:id="rId1134" display="https://standards.buildingsmart.org/IFC/RELEASE/IFC4/ADD2_TC1/HTML/schema/ifchvacdomain/lexical/ifcunitaryequipment.htm" xr:uid="{7B4DCC2B-BDD2-47B7-8C49-BF342E906178}"/>
    <hyperlink ref="Q3099" r:id="rId1135" display="https://standards.buildingsmart.org/IFC/RELEASE/IFC4/ADD2_TC1/HTML/schema/ifchvacdomain/lexical/ifcunitaryequipmenttype.htm" xr:uid="{CFA2E2E7-5EE0-45EF-A49D-E047DC935CD1}"/>
    <hyperlink ref="Q3619" r:id="rId1136" display="https://standards.buildingsmart.org/IFC/RELEASE/IFC4/ADD2_TC1/HTML/schema/ifcmeasureresource/lexical/ifcunitassignment.htm" xr:uid="{CC221824-68A9-42FE-8D41-02512B4A61B3}"/>
    <hyperlink ref="Q3033" r:id="rId1137" display="https://standards.buildingsmart.org/IFC/RELEASE/IFC4/ADD2_TC1/HTML/schema/ifcprofileresource/lexical/ifcushapeprofiledef.htm" xr:uid="{42E6DBBF-21AC-4BF3-859F-D4B5308D2AAA}"/>
    <hyperlink ref="Q3633" r:id="rId1138" display="https://standards.buildingsmart.org/IFC/RELEASE/IFC4/ADD2_TC1/HTML/schema/ifchvacdomain/lexical/ifcvalve.htm" xr:uid="{040D10CC-3EA2-41EB-86AC-EB047AAF47AE}"/>
    <hyperlink ref="Q3634" r:id="rId1139" display="https://standards.buildingsmart.org/IFC/RELEASE/IFC4/ADD2_TC1/HTML/schema/ifchvacdomain/lexical/ifcvalvetype.htm" xr:uid="{E13B9873-E284-4A56-83BD-372CC102BDDB}"/>
    <hyperlink ref="Q3285" r:id="rId1140" display="https://standards.buildingsmart.org/IFC/RELEASE/IFC4/ADD2_TC1/HTML/schema/ifcgeometryresource/lexical/ifcvector.htm" xr:uid="{9F944105-324F-478C-AC75-524C2994813F}"/>
    <hyperlink ref="Q3284" r:id="rId1141" display="https://standards.buildingsmart.org/IFC/RELEASE/IFC4/ADD2_TC1/HTML/schema/ifctopologyresource/lexical/ifcvertex.htm" xr:uid="{E1C56C43-502F-4C0C-ABB5-6A05D164604D}"/>
    <hyperlink ref="Q3602" r:id="rId1142" display="https://standards.buildingsmart.org/IFC/RELEASE/IFC4/ADD2_TC1/HTML/schema/ifctopologyresource/lexical/ifcvertexloop.htm" xr:uid="{6C951509-E71B-4281-A7E8-28E57212DB9F}"/>
    <hyperlink ref="Q3229" r:id="rId1143" display="https://standards.buildingsmart.org/IFC/RELEASE/IFC4/ADD2_TC1/HTML/schema/ifctopologyresource/lexical/ifcvertexpoint.htm" xr:uid="{D5712E50-51B4-4AAC-A848-A205AE12D6D8}"/>
    <hyperlink ref="Q3300" r:id="rId1144" display="https://standards.buildingsmart.org/IFC/RELEASE/IFC4/ADD2_TC1/HTML/schema/ifchvacdomain/lexical/ifcvibrationisolator.htm" xr:uid="{4CD360F9-69D1-48DA-A40B-9626BF8684D9}"/>
    <hyperlink ref="Q3301" r:id="rId1145" display="https://standards.buildingsmart.org/IFC/RELEASE/IFC4/ADD2_TC1/HTML/schema/ifchvacdomain/lexical/ifcvibrationisolatortype.htm" xr:uid="{A7145FE0-80E3-4422-B284-86D94A24B830}"/>
    <hyperlink ref="Q3089" r:id="rId1146" display="https://standards.buildingsmart.org/IFC/RELEASE/IFC4/ADD2_TC1/HTML/schema/ifcproductextension/lexical/ifcvirtualelement.htm" xr:uid="{1F81475B-6340-45AC-95D9-CD7F2AE764B0}"/>
    <hyperlink ref="Q3061" r:id="rId1147" display="https://standards.buildingsmart.org/IFC/RELEASE/IFC4/ADD2_TC1/HTML/schema/ifcgeometricconstraintresource/lexical/ifcvirtualgridintersection.htm" xr:uid="{D91E5A10-DBCB-454C-AFE4-2C566F1C4297}"/>
    <hyperlink ref="Q3427" r:id="rId1148" display="https://standards.buildingsmart.org/IFC/RELEASE/IFC4/ADD2_TC1/HTML/schema/ifcstructuralelementsdomain/lexical/ifcvoidingfeature.htm" xr:uid="{69C3CC51-EAA6-4571-8C4C-99AE9E8A0B8F}"/>
    <hyperlink ref="Q3379" r:id="rId1149" display="https://standards.buildingsmart.org/IFC/RELEASE/IFC4/ADD2_TC1/HTML/schema/ifcsharedbldgelements/lexical/ifcwall.htm" xr:uid="{509A94F8-9595-478C-A70E-099FAA8B9780}"/>
    <hyperlink ref="Q3376" r:id="rId1150" display="https://standards.buildingsmart.org/IFC/RELEASE/IFC4/ADD2_TC1/HTML/schema/ifcsharedbldgelements/lexical/ifcwallelementedcase.htm" xr:uid="{F7173920-C61F-4A6E-AB24-16ADB966F4D4}"/>
    <hyperlink ref="Q2949" r:id="rId1151" display="https://standards.buildingsmart.org/IFC/RELEASE/IFC4/ADD2_TC1/HTML/schema/ifcsharedbldgelements/lexical/ifcwallstandardcase.htm" xr:uid="{9EA12EF0-84FA-466D-9EA3-37D75BAF00E2}"/>
    <hyperlink ref="Q3380" r:id="rId1152" display="https://standards.buildingsmart.org/IFC/RELEASE/IFC4/ADD2_TC1/HTML/schema/ifcsharedbldgelements/lexical/ifcwalltype.htm" xr:uid="{E575C8D9-FEBA-4C42-97B5-1965B70B2413}"/>
    <hyperlink ref="Q3588" r:id="rId1153" display="https://standards.buildingsmart.org/IFC/RELEASE/IFC4/ADD2_TC1/HTML/schema/ifcplumbingfireprotectiondomain/lexical/ifcwasteterminal.htm" xr:uid="{5DDEA468-28DF-4D0C-840F-D696B4F78C7B}"/>
    <hyperlink ref="Q3589" r:id="rId1154" display="https://standards.buildingsmart.org/IFC/RELEASE/IFC4/ADD2_TC1/HTML/schema/ifcplumbingfireprotectiondomain/lexical/ifcwasteterminaltype.htm" xr:uid="{2FF32F1F-6412-437A-B08C-22EC3FBF891E}"/>
    <hyperlink ref="Q3312" r:id="rId1155" display="https://standards.buildingsmart.org/IFC/RELEASE/IFC4/ADD2_TC1/HTML/schema/ifcsharedbldgelements/lexical/ifcwindow.htm" xr:uid="{0C306712-7DEC-4480-B580-D5A8FC481F6E}"/>
    <hyperlink ref="Q3314" r:id="rId1156" display="https://standards.buildingsmart.org/IFC/RELEASE/IFC4/ADD2_TC1/HTML/schema/ifcarchitecturedomain/lexical/ifcwindowliningproperties.htm" xr:uid="{0016E84C-A26C-4561-941C-381E01338AB4}"/>
    <hyperlink ref="Q3313" r:id="rId1157" display="https://standards.buildingsmart.org/IFC/RELEASE/IFC4/ADD2_TC1/HTML/schema/ifcarchitecturedomain/lexical/ifcwindowpanelproperties.htm" xr:uid="{D128EB13-2891-4594-B842-76821E20E7E1}"/>
    <hyperlink ref="Q2947" r:id="rId1158" display="https://standards.buildingsmart.org/IFC/RELEASE/IFC4/ADD2_TC1/HTML/schema/ifcsharedbldgelements/lexical/ifcwindowstandardcase.htm" xr:uid="{EA4FEDA2-4C16-4984-B07E-5A5D8811C8C8}"/>
    <hyperlink ref="Q3115" r:id="rId1159" display="https://standards.buildingsmart.org/IFC/RELEASE/IFC4/ADD2_TC1/HTML/schema/ifcarchitecturedomain/lexical/ifcwindowstyle.htm" xr:uid="{5C0BC0F6-53EA-48C1-A159-041A82BC5E0F}"/>
    <hyperlink ref="Q3315" r:id="rId1160" display="https://standards.buildingsmart.org/IFC/RELEASE/IFC4/ADD2_TC1/HTML/schema/ifcsharedbldgelements/lexical/ifcwindowtype.htm" xr:uid="{6F274BFB-7381-45B7-905C-7D7F356C7F9B}"/>
    <hyperlink ref="Q3573" r:id="rId1161" display="https://standards.buildingsmart.org/IFC/RELEASE/IFC4/ADD2_TC1/HTML/schema/ifcprocessextension/lexical/ifcworkcalendar.htm" xr:uid="{01B04F1A-D12D-4BE1-A831-6C3B77D5A0C8}"/>
    <hyperlink ref="Q3006" r:id="rId1162" display="https://standards.buildingsmart.org/IFC/RELEASE/IFC4/ADD2_TC1/HTML/schema/ifcprocessextension/lexical/ifcworkcontrol.htm" xr:uid="{059E93EB-2D2C-4245-83F3-D45A1E6D3D29}"/>
    <hyperlink ref="Q3575" r:id="rId1163" display="https://standards.buildingsmart.org/IFC/RELEASE/IFC4/ADD2_TC1/HTML/schema/ifcprocessextension/lexical/ifcworkplan.htm" xr:uid="{96559276-15CE-4D74-8D23-209C4F6CAC72}"/>
    <hyperlink ref="Q3563" r:id="rId1164" display="https://standards.buildingsmart.org/IFC/RELEASE/IFC4/ADD2_TC1/HTML/schema/ifcprocessextension/lexical/ifcworkschedule.htm" xr:uid="{28F3CAC7-4F0E-4F1B-BAA5-A18C61C4B1FF}"/>
    <hyperlink ref="Q3557" r:id="rId1165" display="https://standards.buildingsmart.org/IFC/RELEASE/IFC4/ADD2_TC1/HTML/schema/ifcdatetimeresource/lexical/ifcworktime.htm" xr:uid="{56A86014-0DBC-4BA7-822C-B1DD3E60F0B3}"/>
    <hyperlink ref="Q3641" r:id="rId1166" display="https://standards.buildingsmart.org/IFC/RELEASE/IFC4/ADD2_TC1/HTML/schema/ifcproductextension/lexical/ifczone.htm" xr:uid="{34F9E7BA-0671-4C0B-9D09-0EB9976CB0B4}"/>
    <hyperlink ref="Q3034" r:id="rId1167" display="https://standards.buildingsmart.org/IFC/RELEASE/IFC4/ADD2_TC1/HTML/schema/ifcprofileresource/lexical/ifczshapeprofiledef.htm" xr:uid="{F274CD64-23EA-43FB-8450-8240FA10DCFA}"/>
    <hyperlink ref="Q3700" r:id="rId1168" display="https://standards.buildingsmart.org/IFC/RELEASE/IFC4/ADD2_TC1/HTML/schema/ifcbuildingcontrolsdomain/qset/qto_actuatorbasequantities.htm" xr:uid="{C81F46E2-F71A-492A-83A2-580A84F4FA13}"/>
    <hyperlink ref="Q3771" r:id="rId1169" display="https://standards.buildingsmart.org/IFC/RELEASE/IFC4/ADD2_TC1/HTML/schema/ifchvacdomain/qset/qto_airterminalbasequantities.htm" xr:uid="{FEFF6338-BDC7-4BDD-9B42-4D34FACD5F93}"/>
    <hyperlink ref="Q3772" r:id="rId1170" display="https://standards.buildingsmart.org/IFC/RELEASE/IFC4/ADD2_TC1/HTML/schema/ifchvacdomain/qset/qto_airterminalboxtypebasequantities.htm" xr:uid="{546710E2-B9CB-4AB3-9033-369F6A85DCC9}"/>
    <hyperlink ref="Q3755" r:id="rId1171" display="https://standards.buildingsmart.org/IFC/RELEASE/IFC4/ADD2_TC1/HTML/schema/ifchvacdomain/qset/qto_airtoairheatrecoverybasequantities.htm" xr:uid="{46C2D8A2-8586-4A9A-8B53-052C669A300E}"/>
    <hyperlink ref="Q3695" r:id="rId1172" display="https://standards.buildingsmart.org/IFC/RELEASE/IFC4/ADD2_TC1/HTML/schema/ifcbuildingcontrolsdomain/qset/qto_alarmbasequantities.htm" xr:uid="{FF027A47-6788-4F71-88F6-D7F050F00451}"/>
    <hyperlink ref="Q3697" r:id="rId1173" display="https://standards.buildingsmart.org/IFC/RELEASE/IFC4/ADD2_TC1/HTML/schema/ifcelectricaldomain/qset/qto_audiovisualappliancebasequantities.htm" xr:uid="{EFAF30AE-CDAC-4D75-86BB-06E7E5AF429A}"/>
    <hyperlink ref="Q3784" r:id="rId1174" display="https://standards.buildingsmart.org/IFC/RELEASE/IFC4/ADD2_TC1/HTML/schema/ifcsharedbldgelements/qset/qto_beambasequantities.htm" xr:uid="{42E60E7D-80B6-41EB-AE19-04C3319580B4}"/>
    <hyperlink ref="Q3703" r:id="rId1175" display="https://standards.buildingsmart.org/IFC/RELEASE/IFC4/ADD2_TC1/HTML/schema/ifchvacdomain/qset/qto_boilerbasequantities.htm" xr:uid="{2FC47704-9E2E-433F-BD1C-BFB3B1BDF182}"/>
    <hyperlink ref="Q3718" r:id="rId1176" display="https://standards.buildingsmart.org/IFC/RELEASE/IFC4/ADD2_TC1/HTML/schema/ifcproductextension/qset/qto_buildingbasequantities.htm" xr:uid="{60DDE120-10BF-4382-AB64-2D1AC000F2AF}"/>
    <hyperlink ref="Q3752" r:id="rId1177" display="https://standards.buildingsmart.org/IFC/RELEASE/IFC4/ADD2_TC1/HTML/schema/ifcsharedbldgelements/qset/qto_buildingelementproxyquantities.htm" xr:uid="{91392BC7-4FEF-45D7-A5BC-76D070FB0184}"/>
    <hyperlink ref="Q3696" r:id="rId1178" display="https://standards.buildingsmart.org/IFC/RELEASE/IFC4/ADD2_TC1/HTML/schema/ifcproductextension/qset/qto_buildingstoreybasequantities.htm" xr:uid="{CB2307D7-6707-4521-9539-9E09D1D9EEFB}"/>
    <hyperlink ref="Q3754" r:id="rId1179" display="https://standards.buildingsmart.org/IFC/RELEASE/IFC4/ADD2_TC1/HTML/schema/ifchvacdomain/qset/qto_burnerbasequantities.htm" xr:uid="{C8648F27-6AB3-46AF-8070-9E0223A1C3FC}"/>
    <hyperlink ref="Q3716" r:id="rId1180" display="https://standards.buildingsmart.org/IFC/RELEASE/IFC4/ADD2_TC1/HTML/schema/ifcelectricaldomain/qset/qto_cablecarrierfittingbasequantities.htm" xr:uid="{A77B813A-CB52-44B2-929D-7CB6F69DF2BB}"/>
    <hyperlink ref="Q3763" r:id="rId1181" display="https://standards.buildingsmart.org/IFC/RELEASE/IFC4/ADD2_TC1/HTML/schema/ifcelectricaldomain/qset/qto_cablecarriersegmentbasequantities.htm" xr:uid="{39781B31-D319-4267-8BC9-760EE42A0F03}"/>
    <hyperlink ref="Q3713" r:id="rId1182" display="https://standards.buildingsmart.org/IFC/RELEASE/IFC4/ADD2_TC1/HTML/schema/ifcelectricaldomain/qset/qto_cablefittingbasequantities.htm" xr:uid="{940053A5-77DF-478D-B145-76B72246B2AD}"/>
    <hyperlink ref="Q3761" r:id="rId1183" display="https://standards.buildingsmart.org/IFC/RELEASE/IFC4/ADD2_TC1/HTML/schema/ifcelectricaldomain/qset/qto_cablesegmentbasequantities.htm" xr:uid="{D9EA95C6-7A98-44B3-B979-FD59481F7B56}"/>
    <hyperlink ref="Q3706" r:id="rId1184" display="https://standards.buildingsmart.org/IFC/RELEASE/IFC4/ADD2_TC1/HTML/schema/ifchvacdomain/qset/qto_chillerbasequantities.htm" xr:uid="{38716572-70A4-41F8-B630-34867F8E5C7C}"/>
    <hyperlink ref="Q3705" r:id="rId1185" display="https://standards.buildingsmart.org/IFC/RELEASE/IFC4/ADD2_TC1/HTML/schema/ifcsharedbldgelements/qset/qto_chimneybasequantities.htm" xr:uid="{CA08EEA6-AE11-41B6-BEF0-603E6A6BA7DE}"/>
    <hyperlink ref="Q3766" r:id="rId1186" display="https://standards.buildingsmart.org/IFC/RELEASE/IFC4/ADD2_TC1/HTML/schema/ifchvacdomain/qset/qto_coilbasequantities.htm" xr:uid="{7F0AF43D-A196-4712-A4C3-0A6F605D8C38}"/>
    <hyperlink ref="Q3710" r:id="rId1187" display="https://standards.buildingsmart.org/IFC/RELEASE/IFC4/ADD2_TC1/HTML/schema/ifcsharedbldgelements/qset/qto_columnbasequantities.htm" xr:uid="{FC4C21DE-9025-4DB8-9964-02BB6A7D6AA7}"/>
    <hyperlink ref="Q3698" r:id="rId1188" display="https://standards.buildingsmart.org/IFC/RELEASE/IFC4/ADD2_TC1/HTML/schema/ifcelectricaldomain/qset/qto_communicationsappliancebasequantities.htm" xr:uid="{FA6D69F9-7DDD-4CF3-A3C7-D8B96DAEE543}"/>
    <hyperlink ref="Q3711" r:id="rId1189" display="https://standards.buildingsmart.org/IFC/RELEASE/IFC4/ADD2_TC1/HTML/schema/ifchvacdomain/qset/qto_compressorbasequantities.htm" xr:uid="{F672773B-15F6-4B96-835D-E9D599174C2B}"/>
    <hyperlink ref="Q3712" r:id="rId1190" display="https://standards.buildingsmart.org/IFC/RELEASE/IFC4/ADD2_TC1/HTML/schema/ifchvacdomain/qset/qto_condenserbasequantities.htm" xr:uid="{62E16CA9-3583-4BC6-BB09-75C122C7C23E}"/>
    <hyperlink ref="Q3756" r:id="rId1191" display="https://standards.buildingsmart.org/IFC/RELEASE/IFC4/ADD2_TC1/HTML/schema/ifcconstructionmgmtdomain/qset/qto_constructionequipmentresourcebasequantities.htm" xr:uid="{9C0B1A4E-6C2C-4336-BDD6-D3D36E074278}"/>
    <hyperlink ref="Q3757" r:id="rId1192" display="https://standards.buildingsmart.org/IFC/RELEASE/IFC4/ADD2_TC1/HTML/schema/ifcconstructionmgmtdomain/qset/qto_constructionmaterialresourcebasequantities.htm" xr:uid="{13306B91-4C7B-464B-A392-032EE2000AA1}"/>
    <hyperlink ref="Q3719" r:id="rId1193" display="https://standards.buildingsmart.org/IFC/RELEASE/IFC4/ADD2_TC1/HTML/schema/ifcbuildingcontrolsdomain/qset/qto_controllerbasequantities.htm" xr:uid="{50C3A185-6B00-4C7D-9A9B-DBA0FD219E73}"/>
    <hyperlink ref="Q3785" r:id="rId1194" display="https://standards.buildingsmart.org/IFC/RELEASE/IFC4/ADD2_TC1/HTML/schema/ifchvacdomain/qset/qto_cooledbeambasequantities.htm" xr:uid="{219F59BD-0486-4F0B-9D4C-7A7D954BD9B5}"/>
    <hyperlink ref="Q3778" r:id="rId1195" display="https://standards.buildingsmart.org/IFC/RELEASE/IFC4/ADD2_TC1/HTML/schema/ifchvacdomain/qset/qto_coolingtowerbasequantities.htm" xr:uid="{5E2F0B15-C056-4B9E-BF3E-510E1A76E2A3}"/>
    <hyperlink ref="Q3694" r:id="rId1196" display="https://standards.buildingsmart.org/IFC/RELEASE/IFC4/ADD2_TC1/HTML/schema/ifcsharedbldgelements/qset/qto_coveringbasequantities.htm" xr:uid="{A78E9413-532B-4F3C-BA13-B51A5D75FD53}"/>
    <hyperlink ref="Q3749" r:id="rId1197" display="https://standards.buildingsmart.org/IFC/RELEASE/IFC4/ADD2_TC1/HTML/schema/ifcsharedbldgelements/qset/qto_curtainwallquantities.htm" xr:uid="{2D6A4641-B204-4B2B-A62E-073AFCF2244A}"/>
    <hyperlink ref="Q3721" r:id="rId1198" display="https://standards.buildingsmart.org/IFC/RELEASE/IFC4/ADD2_TC1/HTML/schema/ifchvacdomain/qset/qto_damperbasequantities.htm" xr:uid="{CC9DA358-F6BC-4D7F-AB0B-836101950DE9}"/>
    <hyperlink ref="Q3704" r:id="rId1199" display="https://standards.buildingsmart.org/IFC/RELEASE/IFC4/ADD2_TC1/HTML/schema/ifcsharedbldgserviceelements/qset/qto_distributionchamberelementbasequantities.htm" xr:uid="{5B2E5674-C989-4A74-9F34-48D33561ADE5}"/>
    <hyperlink ref="Q3751" r:id="rId1200" display="https://standards.buildingsmart.org/IFC/RELEASE/IFC4/ADD2_TC1/HTML/schema/ifcsharedbldgelements/qset/qto_doorbasequantities.htm" xr:uid="{4D797046-60C0-4FB1-A47A-1872F3FFD788}"/>
    <hyperlink ref="Q3714" r:id="rId1201" display="https://standards.buildingsmart.org/IFC/RELEASE/IFC4/ADD2_TC1/HTML/schema/ifchvacdomain/qset/qto_ductfittingbasequantities.htm" xr:uid="{78AB5811-0CE3-4C9A-AA2D-38D7AD7953A2}"/>
    <hyperlink ref="Q3762" r:id="rId1202" display="https://standards.buildingsmart.org/IFC/RELEASE/IFC4/ADD2_TC1/HTML/schema/ifchvacdomain/qset/qto_ductsegmentbasequantities.htm" xr:uid="{9C11EC87-03F5-4E36-A882-59B5DE96F43C}"/>
    <hyperlink ref="Q3767" r:id="rId1203" display="https://standards.buildingsmart.org/IFC/RELEASE/IFC4/ADD2_TC1/HTML/schema/ifchvacdomain/qset/qto_ductsilencerbasequantities.htm" xr:uid="{43E97B0B-5336-46E8-8DD5-D37A0A7F0713}"/>
    <hyperlink ref="Q3728" r:id="rId1204" display="https://standards.buildingsmart.org/IFC/RELEASE/IFC4/ADD2_TC1/HTML/schema/ifcelectricaldomain/qset/qto_electricappliancebasequantities.htm" xr:uid="{BF994B14-39E9-4E5A-BB6D-A1D3C0E4BE88}"/>
    <hyperlink ref="Q3753" r:id="rId1205" display="https://standards.buildingsmart.org/IFC/RELEASE/IFC4/ADD2_TC1/HTML/schema/ifcelectricaldomain/qset/qto_electricdistributionboardbasequantities.htm" xr:uid="{A9CEAB4C-8218-457F-8A04-04C58D6524EC}"/>
    <hyperlink ref="Q3722" r:id="rId1206" display="https://standards.buildingsmart.org/IFC/RELEASE/IFC4/ADD2_TC1/HTML/schema/ifcelectricaldomain/qset/qto_electricflowstoragedevicebasequantities.htm" xr:uid="{236A38FD-548E-4830-9939-6222007CEF0D}"/>
    <hyperlink ref="Q3737" r:id="rId1207" display="https://standards.buildingsmart.org/IFC/RELEASE/IFC4/ADD2_TC1/HTML/schema/ifcelectricaldomain/qset/qto_electricgeneratorbasequantities.htm" xr:uid="{019425F4-A5A3-40FC-9635-679E2A6181C4}"/>
    <hyperlink ref="Q3747" r:id="rId1208" display="https://standards.buildingsmart.org/IFC/RELEASE/IFC4/ADD2_TC1/HTML/schema/ifcelectricaldomain/qset/qto_electricmotorbasequantities.htm" xr:uid="{5B303DD3-9FDC-4C69-A72C-BE9DE3D1786F}"/>
    <hyperlink ref="Q3720" r:id="rId1209" display="https://standards.buildingsmart.org/IFC/RELEASE/IFC4/ADD2_TC1/HTML/schema/ifcelectricaldomain/qset/qto_electrictimecontrolbasequantities.htm" xr:uid="{57C03749-316C-4221-B7F6-BEDFA7EB9CF9}"/>
    <hyperlink ref="Q3760" r:id="rId1210" display="https://standards.buildingsmart.org/IFC/RELEASE/IFC4/ADD2_TC1/HTML/schema/ifchvacdomain/qset/qto_evaporativecoolerbasequantities.htm" xr:uid="{B9991CB3-ED46-44EB-B482-FC83280085D5}"/>
    <hyperlink ref="Q3732" r:id="rId1211" display="https://standards.buildingsmart.org/IFC/RELEASE/IFC4/ADD2_TC1/HTML/schema/ifchvacdomain/qset/qto_evaporatorbasequantities.htm" xr:uid="{EE8F0773-998B-4FC4-9AD4-79E5555135ED}"/>
    <hyperlink ref="Q3783" r:id="rId1212" display="https://standards.buildingsmart.org/IFC/RELEASE/IFC4/ADD2_TC1/HTML/schema/ifchvacdomain/qset/qto_fanbasequantities.htm" xr:uid="{90B81265-0437-4A0D-9A3E-9464E6183578}"/>
    <hyperlink ref="Q3734" r:id="rId1213" display="https://standards.buildingsmart.org/IFC/RELEASE/IFC4/ADD2_TC1/HTML/schema/ifchvacdomain/qset/qto_filterbasequantities.htm" xr:uid="{E903F4A8-0F56-43A6-AE12-2C4DB82C82F2}"/>
    <hyperlink ref="Q3773" r:id="rId1214" display="https://standards.buildingsmart.org/IFC/RELEASE/IFC4/ADD2_TC1/HTML/schema/ifcplumbingfireprotectiondomain/qset/qto_firesuppressionterminalbasequantities.htm" xr:uid="{DC6A5E76-2F90-4DEF-875B-D5B21C31F293}"/>
    <hyperlink ref="Q3738" r:id="rId1215" display="https://standards.buildingsmart.org/IFC/RELEASE/IFC4/ADD2_TC1/HTML/schema/ifcbuildingcontrolsdomain/qset/qto_flowinstrumentbasequantities.htm" xr:uid="{A7B54136-9009-4975-9E60-30B7C84370BF}"/>
    <hyperlink ref="Q3745" r:id="rId1216" display="https://standards.buildingsmart.org/IFC/RELEASE/IFC4/ADD2_TC1/HTML/schema/ifchvacdomain/qset/qto_flowmeterbasequantities.htm" xr:uid="{5809D031-3E5F-4111-88A3-8AD7DAD3E9E8}"/>
    <hyperlink ref="Q3735" r:id="rId1217" display="https://standards.buildingsmart.org/IFC/RELEASE/IFC4/ADD2_TC1/HTML/schema/ifcstructuralelementsdomain/qset/qto_footingbasequantities.htm" xr:uid="{7A55646B-0ABF-47B3-8A60-BE54BA0CB96B}"/>
    <hyperlink ref="Q3780" r:id="rId1218" display="https://standards.buildingsmart.org/IFC/RELEASE/IFC4/ADD2_TC1/HTML/schema/ifchvacdomain/qset/qto_heatexchangerbasequantities.htm" xr:uid="{22D6F6E9-C0F2-4257-AEFE-5A6168D9C408}"/>
    <hyperlink ref="Q3781" r:id="rId1219" display="https://standards.buildingsmart.org/IFC/RELEASE/IFC4/ADD2_TC1/HTML/schema/ifchvacdomain/qset/qto_humidifierbasequantities.htm" xr:uid="{361BB464-70D3-4E30-A1D1-93E8ACBBEDC8}"/>
    <hyperlink ref="Q3739" r:id="rId1220" display="https://standards.buildingsmart.org/IFC/RELEASE/IFC4/ADD2_TC1/HTML/schema/ifcplumbingfireprotectiondomain/qset/qto_interceptorbasequantities.htm" xr:uid="{915DFF87-92CF-495D-B8AF-C76CD2D45796}"/>
    <hyperlink ref="Q3702" r:id="rId1221" display="https://standards.buildingsmart.org/IFC/RELEASE/IFC4/ADD2_TC1/HTML/schema/ifcelectricaldomain/qset/qto_junctionboxbasequantities.htm" xr:uid="{296B4B9E-60EE-4A4D-9960-D9AAD06EE5CA}"/>
    <hyperlink ref="Q3758" r:id="rId1222" display="https://standards.buildingsmart.org/IFC/RELEASE/IFC4/ADD2_TC1/HTML/schema/ifcconstructionmgmtdomain/qset/qto_laborresourcebasequantities.htm" xr:uid="{A5BF0065-78BD-4459-94E1-04E3B5CE1E27}"/>
    <hyperlink ref="Q3743" r:id="rId1223" display="https://standards.buildingsmart.org/IFC/RELEASE/IFC4/ADD2_TC1/HTML/schema/ifcelectricaldomain/qset/qto_lampbasequantities.htm" xr:uid="{1EDD04DE-5FA4-469D-96AD-5010F07D0046}"/>
    <hyperlink ref="Q3744" r:id="rId1224" display="https://standards.buildingsmart.org/IFC/RELEASE/IFC4/ADD2_TC1/HTML/schema/ifcelectricaldomain/qset/qto_lightfixturebasequantities.htm" xr:uid="{2D40B05D-87BB-44C1-856F-398D371A7FF9}"/>
    <hyperlink ref="Q3746" r:id="rId1225" display="https://standards.buildingsmart.org/IFC/RELEASE/IFC4/ADD2_TC1/HTML/schema/ifcsharedbldgelements/qset/qto_memberbasequantities.htm" xr:uid="{1188B83E-D781-45C0-90A1-8AA0E88F0662}"/>
    <hyperlink ref="Q3715" r:id="rId1226" display="https://standards.buildingsmart.org/IFC/RELEASE/IFC4/ADD2_TC1/HTML/schema/ifcelectricaldomain/qset/qto_motorconnectionbasequantities.htm" xr:uid="{B29D2819-4106-4810-A90C-4B807570DD00}"/>
    <hyperlink ref="Q3693" r:id="rId1227" display="https://standards.buildingsmart.org/IFC/RELEASE/IFC4/ADD2_TC1/HTML/schema/ifcproductextension/qset/qto_openingelementbasequantities.htm" xr:uid="{2867D924-84E0-49C1-8625-AE004F876B03}"/>
    <hyperlink ref="Q3777" r:id="rId1228" display="https://standards.buildingsmart.org/IFC/RELEASE/IFC4/ADD2_TC1/HTML/schema/ifcelectricaldomain/qset/qto_outletbasequantities.htm" xr:uid="{D80732BF-61CA-4DFB-8905-005B72745B15}"/>
    <hyperlink ref="Q3736" r:id="rId1229" display="https://standards.buildingsmart.org/IFC/RELEASE/IFC4/ADD2_TC1/HTML/schema/ifcstructuralelementsdomain/qset/qto_pilebasequantities.htm" xr:uid="{447AFBED-EF90-4C18-9C60-AD1E1D88471B}"/>
    <hyperlink ref="Q3717" r:id="rId1230" display="https://standards.buildingsmart.org/IFC/RELEASE/IFC4/ADD2_TC1/HTML/schema/ifchvacdomain/qset/qto_pipefittingbasequantities.htm" xr:uid="{C44E7E66-FF77-4255-A892-B82B310DD16F}"/>
    <hyperlink ref="Q3764" r:id="rId1231" display="https://standards.buildingsmart.org/IFC/RELEASE/IFC4/ADD2_TC1/HTML/schema/ifchvacdomain/qset/qto_pipesegmentbasequantities.htm" xr:uid="{1A918132-9DA6-4990-BCAA-27410603A7B1}"/>
    <hyperlink ref="Q3750" r:id="rId1232" display="https://standards.buildingsmart.org/IFC/RELEASE/IFC4/ADD2_TC1/HTML/schema/ifcsharedbldgelements/qset/qto_platebasequantities.htm" xr:uid="{170249C7-4EE6-4A66-B272-942B6923190B}"/>
    <hyperlink ref="Q3727" r:id="rId1233" display="https://standards.buildingsmart.org/IFC/RELEASE/IFC4/ADD2_TC1/HTML/schema/ifcproductextension/qset/qto_projectionelementbasequantities.htm" xr:uid="{28256239-B1DD-4F96-91DD-A873AE4CDB4D}"/>
    <hyperlink ref="Q3724" r:id="rId1234" display="https://standards.buildingsmart.org/IFC/RELEASE/IFC4/ADD2_TC1/HTML/schema/ifcelectricaldomain/qset/qto_protectivedevicebasequantities.htm" xr:uid="{E6C26028-62CB-4C43-9D85-B2CABF813B01}"/>
    <hyperlink ref="Q3725" r:id="rId1235" display="https://standards.buildingsmart.org/IFC/RELEASE/IFC4/ADD2_TC1/HTML/schema/ifcelectricaldomain/qset/qto_protectivedevicetrippingunitbasequantities.htm" xr:uid="{9ADB78B3-3FBE-4847-AB80-A7E9D736C2E7}"/>
    <hyperlink ref="Q3701" r:id="rId1236" display="https://standards.buildingsmart.org/IFC/RELEASE/IFC4/ADD2_TC1/HTML/schema/ifchvacdomain/qset/qto_pumpbasequantities.htm" xr:uid="{A3524A35-A9ED-4B27-B445-778FB4EA7B4C}"/>
    <hyperlink ref="Q3707" r:id="rId1237" display="https://standards.buildingsmart.org/IFC/RELEASE/IFC4/ADD2_TC1/HTML/schema/ifcsharedbldgelements/qset/qto_railingbasequantities.htm" xr:uid="{0EA24F33-22EB-42B1-BDD2-529415F72EE4}"/>
    <hyperlink ref="Q3709" r:id="rId1238" display="https://standards.buildingsmart.org/IFC/RELEASE/IFC4/ADD2_TC1/HTML/schema/ifcsharedbldgelements/qset/qto_rampflightbasequantities.htm" xr:uid="{C85B9811-0A01-4DA3-B04F-63D28582E85E}"/>
    <hyperlink ref="Q3759" r:id="rId1239" display="https://standards.buildingsmart.org/IFC/RELEASE/IFC4/ADD2_TC1/HTML/schema/ifcstructuralelementsdomain/qset/qto_reinforcingelementbasequantities.htm" xr:uid="{8B4335E1-A469-43A6-A1EC-8ABA8D162FFD}"/>
    <hyperlink ref="Q3770" r:id="rId1240" display="https://standards.buildingsmart.org/IFC/RELEASE/IFC4/ADD2_TC1/HTML/schema/ifcsharedbldgelements/qset/qto_roofbasequantities.htm" xr:uid="{40A42A17-4B66-4A02-9DBF-9DC48E0E7FE7}"/>
    <hyperlink ref="Q3776" r:id="rId1241" display="https://standards.buildingsmart.org/IFC/RELEASE/IFC4/ADD2_TC1/HTML/schema/ifcplumbingfireprotectiondomain/qset/qto_sanitaryterminalbasequantities.htm" xr:uid="{C04D2439-D4F9-4D76-BE37-54F247803E66}"/>
    <hyperlink ref="Q3765" r:id="rId1242" display="https://standards.buildingsmart.org/IFC/RELEASE/IFC4/ADD2_TC1/HTML/schema/ifcbuildingcontrolsdomain/qset/qto_sensorbasequantities.htm" xr:uid="{AE8BA084-C081-4987-81F1-0E475C7E647A}"/>
    <hyperlink ref="Q3768" r:id="rId1243" display="https://standards.buildingsmart.org/IFC/RELEASE/IFC4/ADD2_TC1/HTML/schema/ifcproductextension/qset/qto_sitebasequantities.htm" xr:uid="{5F1568DF-01DA-4628-BBB1-9CB7CDF75AA8}"/>
    <hyperlink ref="Q3742" r:id="rId1244" display="https://standards.buildingsmart.org/IFC/RELEASE/IFC4/ADD2_TC1/HTML/schema/ifcsharedbldgelements/qset/qto_slabbasequantities.htm" xr:uid="{26C6FF6A-6B58-41E4-8B8A-4247A377C0E6}"/>
    <hyperlink ref="Q3726" r:id="rId1245" display="https://standards.buildingsmart.org/IFC/RELEASE/IFC4/ADD2_TC1/HTML/schema/ifcelectricaldomain/qset/qto_solardevicebasequantities.htm" xr:uid="{4277A1FF-C0C4-4E7B-95FA-3A6329587A52}"/>
    <hyperlink ref="Q3731" r:id="rId1246" display="https://standards.buildingsmart.org/IFC/RELEASE/IFC4/ADD2_TC1/HTML/schema/ifcproductextension/qset/qto_spacebasequantities.htm" xr:uid="{0A0EB5CC-9D13-4EAB-8296-506D8ACA13BA}"/>
    <hyperlink ref="Q3699" r:id="rId1247" display="https://standards.buildingsmart.org/IFC/RELEASE/IFC4/ADD2_TC1/HTML/schema/ifchvacdomain/qset/qto_spaceheaterbasequantities.htm" xr:uid="{AF6A349B-3018-48F0-B3A6-034161985F8A}"/>
    <hyperlink ref="Q3775" r:id="rId1248" display="https://standards.buildingsmart.org/IFC/RELEASE/IFC4/ADD2_TC1/HTML/schema/ifcplumbingfireprotectiondomain/qset/qto_stackterminalbasequantities.htm" xr:uid="{6C155438-D248-4BF2-9153-09AD1AD9E231}"/>
    <hyperlink ref="Q3708" r:id="rId1249" display="https://standards.buildingsmart.org/IFC/RELEASE/IFC4/ADD2_TC1/HTML/schema/ifcsharedbldgelements/qset/qto_stairflightbasequantities.htm" xr:uid="{0DEB01EF-1A88-4ED4-A6E9-98720237F6BA}"/>
    <hyperlink ref="Q3723" r:id="rId1250" display="https://standards.buildingsmart.org/IFC/RELEASE/IFC4/ADD2_TC1/HTML/schema/ifcelectricaldomain/qset/qto_switchingdevicebasequantities.htm" xr:uid="{D213CB63-B4AB-494B-BA17-AB78FBE42F41}"/>
    <hyperlink ref="Q3769" r:id="rId1251" display="https://standards.buildingsmart.org/IFC/RELEASE/IFC4/ADD2_TC1/HTML/schema/ifchvacdomain/qset/qto_tankbasequantities.htm" xr:uid="{641E4BAB-44CC-4455-B362-30121014597D}"/>
    <hyperlink ref="Q3779" r:id="rId1252" display="https://standards.buildingsmart.org/IFC/RELEASE/IFC4/ADD2_TC1/HTML/schema/ifcelectricaldomain/qset/qto_transformerbasequantities.htm" xr:uid="{7C47D21F-FF0B-4D34-AC22-C3AF965EAFE3}"/>
    <hyperlink ref="Q3733" r:id="rId1253" display="https://standards.buildingsmart.org/IFC/RELEASE/IFC4/ADD2_TC1/HTML/schema/ifchvacdomain/qset/qto_tubebundlebasequantities.htm" xr:uid="{A55469F2-22DA-4DF9-ADB2-F8AB9FA1FA87}"/>
    <hyperlink ref="Q3730" r:id="rId1254" display="https://standards.buildingsmart.org/IFC/RELEASE/IFC4/ADD2_TC1/HTML/schema/ifcbuildingcontrolsdomain/qset/qto_unitarycontrolelementbasequantities.htm" xr:uid="{7D1DA255-9C07-4CBF-8285-76DA45B3B884}"/>
    <hyperlink ref="Q3729" r:id="rId1255" display="https://standards.buildingsmart.org/IFC/RELEASE/IFC4/ADD2_TC1/HTML/schema/ifchvacdomain/qset/qto_unitaryequipmentbasequantities.htm" xr:uid="{61870C1C-8338-457F-8C54-FAF3D4F5E94B}"/>
    <hyperlink ref="Q3782" r:id="rId1256" display="https://standards.buildingsmart.org/IFC/RELEASE/IFC4/ADD2_TC1/HTML/schema/ifchvacdomain/qset/qto_valvebasequantities.htm" xr:uid="{16274C25-D59B-4E1E-AF7E-78BA3708C96A}"/>
    <hyperlink ref="Q3740" r:id="rId1257" display="https://standards.buildingsmart.org/IFC/RELEASE/IFC4/ADD2_TC1/HTML/schema/ifchvacdomain/qset/qto_vibrationisolatorbasequantities.htm" xr:uid="{DBE75E3C-61EC-4F8A-BE12-28BA80D42751}"/>
    <hyperlink ref="Q3748" r:id="rId1258" display="https://standards.buildingsmart.org/IFC/RELEASE/IFC4/ADD2_TC1/HTML/schema/ifcsharedbldgelements/qset/qto_wallbasequantities.htm" xr:uid="{C7677A73-D44A-4DA3-ADE3-06B8B717A2A6}"/>
    <hyperlink ref="Q3774" r:id="rId1259" display="https://standards.buildingsmart.org/IFC/RELEASE/IFC4/ADD2_TC1/HTML/schema/ifcplumbingfireprotectiondomain/qset/qto_wasteterminalbasequantities.htm" xr:uid="{76428DE7-2537-4379-AB84-AF6B9EF94A82}"/>
    <hyperlink ref="Q3741" r:id="rId1260" display="https://standards.buildingsmart.org/IFC/RELEASE/IFC4/ADD2_TC1/HTML/schema/ifcsharedbldgelements/qset/qto_windowbasequantities.htm" xr:uid="{A9E5A3BF-CFBA-43DF-905C-3708EC629014}"/>
    <hyperlink ref="Q3679" r:id="rId1261" display="https://standards.buildingsmart.org/IFC/RELEASE/IFC4/ADD2_TC1/HTML/schema/ifcgeometryresource/lexical/ifcassociatedsurface.htm" xr:uid="{1C648E84-C3B4-4284-BC1A-56A52AE8A58F}"/>
    <hyperlink ref="Q3685" r:id="rId1262" display="https://standards.buildingsmart.org/IFC/RELEASE/IFC4/ADD2_TC1/HTML/schema/ifcgeometryresource/lexical/ifcbaseaxis.htm" xr:uid="{789597DF-3F49-4041-A402-3AD030F13B73}"/>
    <hyperlink ref="Q3662" r:id="rId1263" display="https://standards.buildingsmart.org/IFC/RELEASE/IFC4/ADD2_TC1/HTML/schema/ifctopologyresource/lexical/ifcbooleanchoose.htm" xr:uid="{256BA5EF-098F-4D72-AFE3-3868A96C98E1}"/>
    <hyperlink ref="Q3658" r:id="rId1264" display="https://standards.buildingsmart.org/IFC/RELEASE/IFC4/ADD2_TC1/HTML/schema/ifcgeometryresource/lexical/ifcbuild2axes.htm" xr:uid="{CE0F7DA9-BFF2-4FE3-B024-F3B363F59BC9}"/>
    <hyperlink ref="Q3657" r:id="rId1265" display="https://standards.buildingsmart.org/IFC/RELEASE/IFC4/ADD2_TC1/HTML/schema/ifcgeometryresource/lexical/ifcbuildaxes.htm" xr:uid="{B9EA4BDA-BD5C-41FE-9EFE-DF09640D0EC5}"/>
    <hyperlink ref="Q3682" r:id="rId1266" display="https://standards.buildingsmart.org/IFC/RELEASE/IFC4/ADD2_TC1/HTML/schema/ifcgeometryresource/lexical/ifcconsecutivesegments.htm" xr:uid="{C5DC6240-9AD4-4B1C-976C-FE14E5F371D8}"/>
    <hyperlink ref="Q3678" r:id="rId1267" display="https://standards.buildingsmart.org/IFC/RELEASE/IFC4/ADD2_TC1/HTML/schema/ifcgeometryresource/lexical/ifcconstraintsparambspline.htm" xr:uid="{3C11970B-363E-4469-9B3E-5ABAF78F55DD}"/>
    <hyperlink ref="Q3651" r:id="rId1268" display="https://standards.buildingsmart.org/IFC/RELEASE/IFC4/ADD2_TC1/HTML/schema/ifcrepresentationresource/lexical/ifcconvertdirectioninto2d.htm" xr:uid="{68296C66-5181-4B8B-B4CD-1FAE9DDF2201}"/>
    <hyperlink ref="Q3652" r:id="rId1269" display="https://standards.buildingsmart.org/IFC/RELEASE/IFC4/ADD2_TC1/HTML/schema/ifcmeasureresource/lexical/ifccorrectdimensions.htm" xr:uid="{5CAA9A8B-F5FF-4B80-9F78-637787F325D8}"/>
    <hyperlink ref="Q3663" r:id="rId1270" display="https://standards.buildingsmart.org/IFC/RELEASE/IFC4/ADD2_TC1/HTML/schema/ifcpresentationappearanceresource/lexical/ifccorrectfillareastyle.htm" xr:uid="{3E537C97-6462-4A7D-8886-F5C6DCA03BB9}"/>
    <hyperlink ref="Q3646" r:id="rId1271" display="https://standards.buildingsmart.org/IFC/RELEASE/IFC4/ADD2_TC1/HTML/schema/ifcgeometricconstraintresource/lexical/ifccorrectlocalplacement.htm" xr:uid="{F5378F50-13A3-402A-9AA4-9678443CDC01}"/>
    <hyperlink ref="Q3647" r:id="rId1272" display="https://standards.buildingsmart.org/IFC/RELEASE/IFC4/ADD2_TC1/HTML/schema/ifckernel/lexical/ifccorrectobjectassignment.htm" xr:uid="{53F97034-CAB6-4D2D-B80F-E3886F777C83}"/>
    <hyperlink ref="Q3648" r:id="rId1273" display="https://standards.buildingsmart.org/IFC/RELEASE/IFC4/ADD2_TC1/HTML/schema/ifcmeasureresource/lexical/ifccorrectunitassignment.htm" xr:uid="{744B42F7-85B7-45CF-AE91-51808351A3F9}"/>
    <hyperlink ref="Q3688" r:id="rId1274" display="https://standards.buildingsmart.org/IFC/RELEASE/IFC4/ADD2_TC1/HTML/schema/ifcgeometryresource/lexical/ifccrossproduct.htm" xr:uid="{D1E1FDA9-2DBD-4D40-AB87-900D0056535E}"/>
    <hyperlink ref="Q3653" r:id="rId1275" display="https://standards.buildingsmart.org/IFC/RELEASE/IFC4/ADD2_TC1/HTML/schema/ifcgeometryresource/lexical/ifccurvedim.htm" xr:uid="{3572AC86-8FBD-4AF6-8847-8F21827726EF}"/>
    <hyperlink ref="Q3680" r:id="rId1276" display="https://standards.buildingsmart.org/IFC/RELEASE/IFC4/ADD2_TC1/HTML/schema/ifcgeometryresource/lexical/ifccurveweightspositive.htm" xr:uid="{FB2D6B05-0E1B-4456-8AEC-AAADDAB0D681}"/>
    <hyperlink ref="Q3654" r:id="rId1277" display="https://standards.buildingsmart.org/IFC/RELEASE/IFC4/ADD2_TC1/HTML/schema/ifcmeasureresource/lexical/ifcderivedimensionalexponents.htm" xr:uid="{38D0E168-59F3-408F-9963-D925CF5B5B0C}"/>
    <hyperlink ref="Q3656" r:id="rId1278" display="https://standards.buildingsmart.org/IFC/RELEASE/IFC4/ADD2_TC1/HTML/schema/ifcmeasureresource/lexical/ifcdimensionsforsiunit.htm" xr:uid="{CBABCB39-38DA-4171-BB94-BC595116A246}"/>
    <hyperlink ref="Q3687" r:id="rId1279" display="https://standards.buildingsmart.org/IFC/RELEASE/IFC4/ADD2_TC1/HTML/schema/ifcgeometryresource/lexical/ifcdotproduct.htm" xr:uid="{EEE4C5AA-FB1E-4C8A-8B63-9F1730538C45}"/>
    <hyperlink ref="Q3660" r:id="rId1280" display="https://standards.buildingsmart.org/IFC/RELEASE/IFC4/ADD2_TC1/HTML/schema/ifcgeometryresource/lexical/ifcfirstprojaxis.htm" xr:uid="{F9089C13-415A-4ADA-854C-10308AC802DA}"/>
    <hyperlink ref="Q3674" r:id="rId1281" display="https://standards.buildingsmart.org/IFC/RELEASE/IFC4/ADD2_TC1/HTML/schema/ifcgeometryresource/lexical/ifcgetbasissurface.htm" xr:uid="{29A74A54-2E43-45EB-904B-A2FF64497A44}"/>
    <hyperlink ref="Q3645" r:id="rId1282" display="https://standards.buildingsmart.org/IFC/RELEASE/IFC4/ADD2_TC1/HTML/schema/ifcgeometryresource/lexical/ifclisttoarray.htm" xr:uid="{BC5C77B9-0B22-40AC-A5CA-55840BCA598B}"/>
    <hyperlink ref="Q3650" r:id="rId1283" display="https://standards.buildingsmart.org/IFC/RELEASE/IFC4/ADD2_TC1/HTML/schema/ifctopologyresource/lexical/ifcloopheadtotail.htm" xr:uid="{F9875D0F-A6E0-4845-9341-2EDC2D18E214}"/>
    <hyperlink ref="Q3644" r:id="rId1284" display="https://standards.buildingsmart.org/IFC/RELEASE/IFC4/ADD2_TC1/HTML/schema/ifcgeometryresource/lexical/ifcmakearrayofarray.htm" xr:uid="{834C0044-2449-4F40-8AB3-B519A8C1914E}"/>
    <hyperlink ref="Q3664" r:id="rId1285" display="https://standards.buildingsmart.org/IFC/RELEASE/IFC4/ADD2_TC1/HTML/schema/ifcmaterialresource/lexical/ifcmlstotalthickness.htm" xr:uid="{78B880B8-D8F5-4BFC-BF04-FC16FFDA54F6}"/>
    <hyperlink ref="Q3686" r:id="rId1286" display="https://standards.buildingsmart.org/IFC/RELEASE/IFC4/ADD2_TC1/HTML/schema/ifcgeometryresource/lexical/ifcnormalise.htm" xr:uid="{29361D63-5F3A-44EC-81ED-C49A9A0817BF}"/>
    <hyperlink ref="Q3683" r:id="rId1287" display="https://standards.buildingsmart.org/IFC/RELEASE/IFC4/ADD2_TC1/HTML/schema/ifcgeometryresource/lexical/ifcorthogonalcomplement.htm" xr:uid="{B58FD618-CC80-4197-9C39-4F07EDCB4A58}"/>
    <hyperlink ref="Q3649" r:id="rId1288" display="https://standards.buildingsmart.org/IFC/RELEASE/IFC4/ADD2_TC1/HTML/schema/ifctopologyresource/lexical/ifcpathheadtotail.htm" xr:uid="{FFC9F7DA-0330-42A6-8F18-46D692E48A4C}"/>
    <hyperlink ref="Q3655" r:id="rId1289" display="https://standards.buildingsmart.org/IFC/RELEASE/IFC4/ADD2_TC1/HTML/schema/ifcgeometricmodelresource/lexical/ifcpointlistdim.htm" xr:uid="{DB7772AB-B613-4295-BBFB-972EC817BB55}"/>
    <hyperlink ref="Q3659" r:id="rId1290" display="https://standards.buildingsmart.org/IFC/RELEASE/IFC4/ADD2_TC1/HTML/schema/ifcgeometryresource/lexical/ifcsameaxis2placement.htm" xr:uid="{4B11E9DA-C346-4D48-859D-00B0308A8BAA}"/>
    <hyperlink ref="Q3667" r:id="rId1291" display="https://standards.buildingsmart.org/IFC/RELEASE/IFC4/ADD2_TC1/HTML/schema/ifcgeometryresource/lexical/ifcsamecartesianpoint.htm" xr:uid="{07E55129-382B-49DB-9019-75C91E3A7677}"/>
    <hyperlink ref="Q3665" r:id="rId1292" display="https://standards.buildingsmart.org/IFC/RELEASE/IFC4/ADD2_TC1/HTML/schema/ifcgeometryresource/lexical/ifcsamedirection.htm" xr:uid="{F43529D1-19AA-4B79-8BCA-232F53F62695}"/>
    <hyperlink ref="Q3666" r:id="rId1293" display="https://standards.buildingsmart.org/IFC/RELEASE/IFC4/ADD2_TC1/HTML/schema/ifcrepresentationresource/lexical/ifcsamevalidprecision.htm" xr:uid="{56EA581B-9376-47B6-9FC2-C7D097B46799}"/>
    <hyperlink ref="Q3668" r:id="rId1294" display="https://standards.buildingsmart.org/IFC/RELEASE/IFC4/ADD2_TC1/HTML/schema/ifcgeometryresource/lexical/ifcsamevalue.htm" xr:uid="{E5FC1618-96E3-42D8-9A54-D222CB08E0CB}"/>
    <hyperlink ref="Q3690" r:id="rId1295" display="https://standards.buildingsmart.org/IFC/RELEASE/IFC4/ADD2_TC1/HTML/schema/ifcgeometryresource/lexical/ifcscalartimesvector.htm" xr:uid="{2440313F-31CC-4A00-82E3-EDFA75B59AFE}"/>
    <hyperlink ref="Q3661" r:id="rId1296" display="https://standards.buildingsmart.org/IFC/RELEASE/IFC4/ADD2_TC1/HTML/schema/ifcgeometryresource/lexical/ifcsecondprojaxis.htm" xr:uid="{1AA7CE6C-88FF-434B-8732-A0DEA2FF4415}"/>
    <hyperlink ref="Q3676" r:id="rId1297" display="https://standards.buildingsmart.org/IFC/RELEASE/IFC4/ADD2_TC1/HTML/schema/ifcrepresentationresource/lexical/ifcshaperepresentationtypes.htm" xr:uid="{DEBA8FC5-FD6C-4FAA-8295-A6BEB8CBC9D1}"/>
    <hyperlink ref="Q3681" r:id="rId1298" display="https://standards.buildingsmart.org/IFC/RELEASE/IFC4/ADD2_TC1/HTML/schema/ifcgeometryresource/lexical/ifcsurfaceweightspositive.htm" xr:uid="{F5FEA35C-1E9D-4596-8A0B-16BC39FE9BC4}"/>
    <hyperlink ref="Q3675" r:id="rId1299" display="https://standards.buildingsmart.org/IFC/RELEASE/IFC4/ADD2_TC1/HTML/schema/ifcgeometricmodelresource/lexical/ifctaperedsweptareaprofiles.htm" xr:uid="{4AD71AE7-ADF7-4893-B2F8-D0023521B268}"/>
    <hyperlink ref="Q3677" r:id="rId1300" display="https://standards.buildingsmart.org/IFC/RELEASE/IFC4/ADD2_TC1/HTML/schema/ifcrepresentationresource/lexical/ifctopologyrepresentationtypes.htm" xr:uid="{3EEBE6D5-03EA-445C-AEA7-A5C012D0471A}"/>
    <hyperlink ref="Q3670" r:id="rId1301" display="https://standards.buildingsmart.org/IFC/RELEASE/IFC4/ADD2_TC1/HTML/schema/ifckernel/lexical/ifcuniquedefinitionnames.htm" xr:uid="{DE6473B9-4BFE-4FB4-A48B-C82BC4CF3509}"/>
    <hyperlink ref="Q3672" r:id="rId1302" display="https://standards.buildingsmart.org/IFC/RELEASE/IFC4/ADD2_TC1/HTML/schema/ifckernel/lexical/ifcuniquepropertyname.htm" xr:uid="{B9B9884F-7CF6-464D-9DD6-94983C98551F}"/>
    <hyperlink ref="Q3669" r:id="rId1303" display="https://standards.buildingsmart.org/IFC/RELEASE/IFC4/ADD2_TC1/HTML/schema/ifckernel/lexical/ifcuniquepropertysetnames.htm" xr:uid="{D4C339F3-5D9C-4258-AD1F-07146B195D26}"/>
    <hyperlink ref="Q3671" r:id="rId1304" display="https://standards.buildingsmart.org/IFC/RELEASE/IFC4/ADD2_TC1/HTML/schema/ifckernel/lexical/ifcuniquepropertytemplatenames.htm" xr:uid="{B98DDCEE-AE52-4DCB-9237-A426E392EF26}"/>
    <hyperlink ref="Q3673" r:id="rId1305" display="https://standards.buildingsmart.org/IFC/RELEASE/IFC4/ADD2_TC1/HTML/schema/ifcquantityresource/lexical/ifcuniquequantitynames.htm" xr:uid="{90942701-1A97-445E-959A-D45535464330}"/>
    <hyperlink ref="Q3684" r:id="rId1306" display="https://standards.buildingsmart.org/IFC/RELEASE/IFC4/ADD2_TC1/HTML/schema/ifcgeometryresource/lexical/ifcvectordifference.htm" xr:uid="{AAE8290E-0C9A-4876-9815-4339BC8C1917}"/>
    <hyperlink ref="Q3689" r:id="rId1307" display="https://standards.buildingsmart.org/IFC/RELEASE/IFC4/ADD2_TC1/HTML/schema/ifcgeometryresource/lexical/ifcvectorsum.htm" xr:uid="{44BF675B-6CA8-4667-8EDC-030203D4E0B3}"/>
    <hyperlink ref="Q3691" r:id="rId1308" display="https://standards.buildingsmart.org/IFC/RELEASE/IFC4/ADD2_TC1/HTML/schema/ifcrepresentationresource/lexical/ifcrepresentationcontextsamewcs.htm" xr:uid="{B4AB57E5-7DBB-4136-8AC1-0E75089AA243}"/>
    <hyperlink ref="Q3692" r:id="rId1309" display="https://standards.buildingsmart.org/IFC/RELEASE/IFC4/ADD2_TC1/HTML/schema/ifckernel/lexical/ifcsingleprojectinstance.htm" xr:uid="{3CD18EA9-3115-442E-B9EC-B925DD6EB26E}"/>
    <hyperlink ref="Q2470" r:id="rId1310" display="https://standards.buildingsmart.org/IFC/RELEASE/IFC4/ADD2_TC1/HTML/schema/ifcelectricaldomain/pset/pset_audiovisualappliancetypecamera.htm" xr:uid="{D41CCE54-FCE9-4DF6-89DE-5E56CD225ED1}"/>
    <hyperlink ref="Q1203" r:id="rId1311" display="https://standards.buildingsmart.org/IFC/RELEASE/IFC4/ADD2_TC1/HTML/schema/ifcsharedcomponentelements/pset/pset_fastenerweld.htm" xr:uid="{492C5C93-052D-46D5-9AEB-28BA4BE29D8F}"/>
    <hyperlink ref="Q1236" r:id="rId1312" display="https://standards.buildingsmart.org/IFC/RELEASE/IFC4/ADD2_TC1/HTML/schema/ifcmaterialresource/pset/pset_materialmechanical.htm" xr:uid="{024492A8-0AA2-46FE-BF09-53965A4ABAB1}"/>
    <hyperlink ref="Q2120" r:id="rId1313" display="https://standards.buildingsmart.org/IFC/RELEASE/IFC4/ADD2_TC1/HTML/schema/ifcmaterialresource/pset/pset_materialsteel.htm" xr:uid="{4516B652-7F05-4B1A-B838-AD17ED356DE3}"/>
    <hyperlink ref="Q80" r:id="rId1314" display="https://standards.buildingsmart.org/IFC/RELEASE/IFC4/ADD2_TC1/HTML/schema/ifcproductextension/pset/pset_buildingcommon.htm" xr:uid="{6D974BAE-CE8D-4BD0-9AF3-F5FE1272900E}"/>
    <hyperlink ref="Q79" r:id="rId1315" display="https://standards.buildingsmart.org/IFC/RELEASE/IFC4/ADD2_TC1/HTML/schema/ifcproductextension/pset/pset_buildingcommon.htm" xr:uid="{B5F22AFF-FC98-40D7-A319-7B0F988839C0}"/>
    <hyperlink ref="Q479" r:id="rId1316" display="https://standards.buildingsmart.org/IFC/RELEASE/IFC4/ADD2_TC1/HTML/schema/ifcstructuralelementsdomain/pset/pset_reinforcementbarcountofindependentfooting.htm" xr:uid="{6B604574-096F-4EAF-AA33-BE0C394C4B83}"/>
    <hyperlink ref="Q475" r:id="rId1317" display="https://standards.buildingsmart.org/IFC/RELEASE/IFC4/ADD2_TC1/HTML/schema/ifcstructuralelementsdomain/pset/pset_reinforcementbarpitchofcolumn.htm" xr:uid="{2D2F53FC-81A6-4E59-835E-298EA281C5E5}"/>
    <hyperlink ref="Q1037" r:id="rId1318" display="https://standards.buildingsmart.org/IFC/RELEASE/IFC4/ADD2_TC1/HTML/schema/ifcstructuralelementsdomain/pset/pset_reinforcementbarpitchofcolumn.htm" xr:uid="{43A5407D-5FDD-4608-8B0E-1311113DAAB8}"/>
    <hyperlink ref="Q477" r:id="rId1319" display="https://standards.buildingsmart.org/IFC/RELEASE/IFC4/ADD2_TC1/HTML/schema/ifcstructuralelementsdomain/pset/pset_reinforcementbarcountofindependentfooting.htm" xr:uid="{D4A2E1D9-76ED-44B6-886B-9BAF3604A4F8}"/>
    <hyperlink ref="Q478" r:id="rId1320" display="https://standards.buildingsmart.org/IFC/RELEASE/IFC4/ADD2_TC1/HTML/schema/ifcstructuralelementsdomain/pset/pset_reinforcementbarcountofindependentfooting.htm" xr:uid="{CD77B1C9-1ECF-47EC-A57A-57938D9F5ABF}"/>
    <hyperlink ref="Q474" r:id="rId1321" display="https://standards.buildingsmart.org/IFC/RELEASE/IFC4/ADD2_TC1/HTML/schema/ifcstructuralelementsdomain/pset/pset_reinforcementbarpitchofcolumn.htm" xr:uid="{CDD87E55-23F8-4224-98CE-D1C2BCA5CE02}"/>
    <hyperlink ref="Q1038" r:id="rId1322" display="https://standards.buildingsmart.org/IFC/RELEASE/IFC4/ADD2_TC1/HTML/schema/ifcstructuralelementsdomain/pset/pset_reinforcementbarpitchofcolumn.htm" xr:uid="{4D6924CB-491C-4138-A2C1-0575143817F9}"/>
    <hyperlink ref="Q476" r:id="rId1323" display="https://standards.buildingsmart.org/IFC/RELEASE/IFC4/ADD2_TC1/HTML/schema/ifcstructuralelementsdomain/pset/pset_reinforcementbarcountofindependentfooting.htm" xr:uid="{410F4BC7-8687-4E80-9497-60CB92AEEC91}"/>
    <hyperlink ref="Q1184" r:id="rId1324" display="https://standards.buildingsmart.org/IFC/RELEASE/IFC4/ADD2_TC1/HTML/schema/ifcsharedmgmtelements/pset/pset_packinginstructions.htm" xr:uid="{BD374338-808D-492E-9C77-DA9301E8DE11}"/>
    <hyperlink ref="Q710" r:id="rId1325" display="https://standards.buildingsmart.org/IFC/RELEASE/IFC4/ADD2_TC1/HTML/schema/ifcprocessextension/pset/pset_workcontrolcommon.htm" xr:uid="{11D808C4-E94A-4F71-AF12-1ED9AF44DE99}"/>
    <hyperlink ref="Q2259" r:id="rId1326" display="https://standards.buildingsmart.org/IFC/RELEASE/IFC4/ADD2_TC1/HTML/schema/ifcsharedmgmtelements/pset/pset_projectorderworkorder.htm" xr:uid="{2ABA32A9-7565-4B64-A6C9-7A38E66402E3}"/>
    <hyperlink ref="Q2258" r:id="rId1327" display="https://standards.buildingsmart.org/IFC/RELEASE/IFC4/ADD2_TC1/HTML/schema/ifcsharedmgmtelements/pset/pset_projectordermaintenanceworkorder.htm" xr:uid="{A340FB84-9E13-4F5D-9432-1F588FEB83A4}"/>
    <hyperlink ref="Q105" r:id="rId1328" display="https://standards.buildingsmart.org/IFC/RELEASE/IFC4/ADD2_TC1/HTML/schema/ifcsharedfacilitieselements/pset/pset_furnituretypetable.htm" xr:uid="{CA1B04FD-15EE-42C7-8AF0-0894AB044648}"/>
    <hyperlink ref="Q104" r:id="rId1329" display="https://standards.buildingsmart.org/IFC/RELEASE/IFC4/ADD2_TC1/HTML/schema/ifcsharedfacilitieselements/pset/pset_furnituretypedesk.htm" xr:uid="{117EE9A6-7BAD-4EB0-A11A-E984E9D516BE}"/>
    <hyperlink ref="Q1020" r:id="rId1330" display="https://standards.buildingsmart.org/IFC/RELEASE/IFC4/ADD2_TC1/HTML/schema/ifcprocessextension/pset/pset_workcontrolcommon.htm" xr:uid="{53EE7888-B158-4920-BC14-3EBE7697A8EC}"/>
    <hyperlink ref="Q709" r:id="rId1331" display="https://standards.buildingsmart.org/IFC/RELEASE/IFC4/ADD2_TC1/HTML/schema/ifcprocessextension/pset/pset_workcontrolcommon.htm" xr:uid="{C9B1D274-4595-4A67-A6C7-BDAED02E0735}"/>
    <hyperlink ref="Q1958" r:id="rId1332" display="https://standards.buildingsmart.org/IFC/RELEASE/IFC4/ADD2_TC1/HTML/schema/ifchvacdomain/pset/pset_ductsilencertypecommon.htm" xr:uid="{3F589B27-BAED-42E2-9B1D-3966FB26BAD5}"/>
    <hyperlink ref="Q1416" r:id="rId1333" display="https://standards.buildingsmart.org/IFC/RELEASE/IFC4/ADD2_TC1/HTML/schema/ifchvacdomain/pset/pset_valvetypecommon.htm" xr:uid="{4920A69B-C386-4E22-AF76-36FE57B41F85}"/>
    <hyperlink ref="Q1415" r:id="rId1334" display="https://standards.buildingsmart.org/IFC/RELEASE/IFC4/ADD2_TC1/HTML/schema/ifchvacdomain/pset/pset_pipesegmenttypecommon.htm" xr:uid="{EF38EE9F-6670-4F76-B101-4F89185AC4D8}"/>
    <hyperlink ref="Q1414" r:id="rId1335" display="https://standards.buildingsmart.org/IFC/RELEASE/IFC4/ADD2_TC1/HTML/schema/ifchvacdomain/pset/pset_ductsegmenttypecommon.htm" xr:uid="{6D3D6665-4D42-48FD-A0D5-E91F2332A0EC}"/>
    <hyperlink ref="Q1413" r:id="rId1336" display="https://standards.buildingsmart.org/IFC/RELEASE/IFC4/ADD2_TC1/HTML/schema/ifchvacdomain/pset/pset_boilerphistory.htm" xr:uid="{37C721DC-64B9-4A5D-AA40-2F25A73EC5DB}"/>
    <hyperlink ref="Q1019" r:id="rId1337" display="https://standards.buildingsmart.org/IFC/RELEASE/IFC4/ADD2_TC1/HTML/schema/ifcprocessextension/pset/pset_workcontrolcommon.htm" xr:uid="{1A6BECBD-53E8-4592-8609-0B9843017740}"/>
    <hyperlink ref="Q1263" r:id="rId1338" display="https://standards.buildingsmart.org/IFC/RELEASE/IFC4/ADD2_TC1/HTML/schema/ifcsharedfacilitieselements/pset/pset_servicelifefactors.htm" xr:uid="{A3433903-C4D8-48B0-A49D-D299F8CB96A0}"/>
    <hyperlink ref="Q708" r:id="rId1339" display="https://standards.buildingsmart.org/IFC/RELEASE/IFC4/ADD2_TC1/HTML/schema/ifcprocessextension/pset/pset_workcontrolcommon.htm" xr:uid="{A29AB69D-0B0D-4635-9F0A-936A2E2F7864}"/>
    <hyperlink ref="Q995" r:id="rId1340" display="https://standards.buildingsmart.org/IFC/RELEASE/IFC4/ADD2_TC1/HTML/schema/ifcmaterialresource/pset/pset_materialconcrete.htm" xr:uid="{0D49CC40-EB50-432D-A520-6A4F5EA559FC}"/>
    <hyperlink ref="Q371" r:id="rId1341" display="https://standards.buildingsmart.org/IFC/RELEASE/IFC4/ADD2_TC1/HTML/schema/ifcsharedfacilitieselements/pset/pset_furnituretypefilecabinet.htm" xr:uid="{B4BBF2DB-041D-4C57-919B-72D7CA9FA72D}"/>
    <hyperlink ref="Q2034" r:id="rId1342" display="https://standards.buildingsmart.org/IFC/RELEASE/IFC4/ADD2_TC1/HTML/schema/ifcsharedbldgserviceelements/pset/pset_distributionchamberelementtypemanhole.htm" xr:uid="{960DCA86-AF03-4A30-B597-859D874C5B85}"/>
    <hyperlink ref="Q372" r:id="rId1343" display="https://standards.buildingsmart.org/IFC/RELEASE/IFC4/ADD2_TC1/HTML/schema/ifcsharedbldgserviceelements/pset/pset_distributionchamberelementtypeinspectionchamber.htm" xr:uid="{A9E37580-069D-46D9-9C4D-21FBACBCDF14}"/>
    <hyperlink ref="Q386" r:id="rId1344" display="https://standards.buildingsmart.org/IFC/RELEASE/IFC4/ADD2_TC1/HTML/schema/ifcsharedcomponentelements/pset/pset_discreteaccessorywireloop.htm" xr:uid="{6891D38E-9C57-4F37-9327-6597D20CA292}"/>
    <hyperlink ref="Q1093" r:id="rId1345" display="https://standards.buildingsmart.org/IFC/RELEASE/IFC4/ADD2_TC1/HTML/schema/ifcsharedcomponentelements/pset/pset_discreteaccessorywireloop.htm" xr:uid="{8E7B234E-7FD3-4C17-B120-45DD1D5B5DBC}"/>
    <hyperlink ref="Q842" r:id="rId1346" display="https://standards.buildingsmart.org/IFC/RELEASE/IFC4/ADD2_TC1/HTML/schema/ifcsharedcomponentelements/pset/pset_discreteaccessorywireloop.htm" xr:uid="{4CABCADC-4D51-46A6-A5FC-76C8139E6977}"/>
    <hyperlink ref="Q382" r:id="rId1347" display="https://standards.buildingsmart.org/IFC/RELEASE/IFC4/ADD2_TC1/HTML/schema/ifcsharedcomponentelements/pset/pset_discreteaccessorywireloop.htm" xr:uid="{F8972601-4762-476D-B214-1ACAD2FDFD12}"/>
    <hyperlink ref="Q384" r:id="rId1348" display="https://standards.buildingsmart.org/IFC/RELEASE/IFC4/ADD2_TC1/HTML/schema/ifcsharedcomponentelements/pset/pset_discreteaccessorywireloop.htm" xr:uid="{EA23DC15-4E3A-4510-BFC2-06B9749CCBB6}"/>
    <hyperlink ref="Q650" r:id="rId1349" display="https://standards.buildingsmart.org/IFC/RELEASE/IFC4/ADD2_TC1/HTML/schema/ifcsharedcomponentelements/pset/pset_discreteaccessorywireloop.htm" xr:uid="{55DE6DF5-EB32-44A8-88DF-6E6F5F7079AC}"/>
    <hyperlink ref="Q2280" r:id="rId1350" display="https://standards.buildingsmart.org/IFC/RELEASE/IFC4/ADD2_TC1/HTML/schema/ifcbuildingcontrolsdomain/pset/pset_sensortypewindsensor.htm" xr:uid="{8EAEFDD7-8085-43A0-A734-8EDB1F9D2993}"/>
    <hyperlink ref="Q298" r:id="rId1351" display="https://standards.buildingsmart.org/IFC/RELEASE/IFC4/ADD2_TC1/HTML/schema/ifcsharedbldgelements/pset/pset_windowcommon.htm" xr:uid="{667368E7-03D8-4033-A0CD-C1C2EA685516}"/>
    <hyperlink ref="Q299" r:id="rId1352" display="https://standards.buildingsmart.org/IFC/RELEASE/IFC4/ADD2_TC1/HTML/schema/ifcsharedbldgelements/pset/pset_doorcommon.htm" xr:uid="{D43C75A9-415D-444B-A002-09571DEE0DB1}"/>
    <hyperlink ref="Q1144" r:id="rId1353" display="https://standards.buildingsmart.org/IFC/RELEASE/IFC4/ADD2_TC1/HTML/schema/ifcsharedbldgserviceelements/pset/pset_distributionchamberelementtypetrench.htm" xr:uid="{C139029D-9950-4291-8AB3-8AA88FCEA02C}"/>
    <hyperlink ref="Q1145" r:id="rId1354" display="https://standards.buildingsmart.org/IFC/RELEASE/IFC4/ADD2_TC1/HTML/schema/ifcsharedbldgserviceelements/pset/pset_distributionchamberelementtypesump.htm" xr:uid="{3BE95DD3-4508-43E4-AD54-23AF1F75B8F4}"/>
    <hyperlink ref="Q1143" r:id="rId1355" display="https://standards.buildingsmart.org/IFC/RELEASE/IFC4/ADD2_TC1/HTML/schema/ifcsharedbldgserviceelements/pset/pset_distributionchamberelementtypeinspectionpit.htm" xr:uid="{EF6E3401-81F8-40F0-9B15-3A2A3C721BBE}"/>
    <hyperlink ref="Q1146" r:id="rId1356" display="https://standards.buildingsmart.org/IFC/RELEASE/IFC4/ADD2_TC1/HTML/schema/ifcsharedbldgelements/pset/pset_buildingelementproxyprovisionforvoid.htm" xr:uid="{76837F0C-87AF-4F55-887D-5EA6EF116534}"/>
    <hyperlink ref="Q2419" r:id="rId1357" display="https://standards.buildingsmart.org/IFC/RELEASE/IFC4/ADD2_TC1/HTML/schema/ifchvacdomain/pset/pset_fanphistory.htm" xr:uid="{54D3BFF1-D9A0-4FBD-9B5F-56DD7DEC867B}"/>
    <hyperlink ref="Q967" r:id="rId1358" display="https://standards.buildingsmart.org/IFC/RELEASE/IFC4/ADD2_TC1/HTML/schema/ifchvacdomain/pset/pset_coiltypehydronic.htm" xr:uid="{BDB10361-0974-4360-BAEF-FD109D407FCB}"/>
    <hyperlink ref="Q2058" r:id="rId1359" display="https://standards.buildingsmart.org/IFC/RELEASE/IFC4/ADD2_TC1/HTML/schema/ifcsharedbldgserviceelements/pset/pset_distributionportphistoryduct.htm" xr:uid="{E431287E-1E3E-4D2D-8187-7C17F82D656F}"/>
    <hyperlink ref="Q2059" r:id="rId1360" display="https://standards.buildingsmart.org/IFC/RELEASE/IFC4/ADD2_TC1/HTML/schema/ifcsharedbldgserviceelements/pset/pset_distributionporttypeduct.htm" xr:uid="{1CB91B63-C896-4D9A-8F8A-E06EAB383E8B}"/>
    <hyperlink ref="Q554" r:id="rId1361" display="https://standards.buildingsmart.org/IFC/RELEASE/IFC4/ADD2_TC1/HTML/schema/ifchvacdomain/pset/pset_filtertypeairparticlefilter.htm" xr:uid="{40F65834-20D4-4361-BADD-756049B9CC1A}"/>
    <hyperlink ref="Q808" r:id="rId1362" display="https://standards.buildingsmart.org/IFC/RELEASE/IFC4/ADD2_TC1/HTML/schema/ifchvacdomain/pset/pset_filterphistory.htm" xr:uid="{73C1B57A-636D-4916-8965-2C3E1DBF5776}"/>
    <hyperlink ref="Q1358" r:id="rId1363" display="https://standards.buildingsmart.org/IFC/RELEASE/IFC4/ADD2_TC1/HTML/schema/ifchvacdomain/pset/pset_humidifiertypecommon.htm" xr:uid="{0331ACB7-FC48-461F-BF48-82D72933175C}"/>
    <hyperlink ref="Q1354" r:id="rId1364" display="https://standards.buildingsmart.org/IFC/RELEASE/IFC4/ADD2_TC1/HTML/schema/ifchvacdomain/pset/pset_filtertypecommon.htm" xr:uid="{58719BEA-E0AC-4449-8D81-00ED88DC5DDB}"/>
    <hyperlink ref="Q1357" r:id="rId1365" display="https://standards.buildingsmart.org/IFC/RELEASE/IFC4/ADD2_TC1/HTML/schema/ifchvacdomain/pset/pset_ductsilencertypecommon.htm" xr:uid="{EDEC83BE-538A-4131-B602-343C0C4BD23E}"/>
    <hyperlink ref="Q1355" r:id="rId1366" display="https://standards.buildingsmart.org/IFC/RELEASE/IFC4/ADD2_TC1/HTML/schema/ifcelectricaldomain/pset/pset_cablesegmenttypecoresegment.htm" xr:uid="{797349D1-CCCB-4476-8A98-94FE249166B7}"/>
    <hyperlink ref="Q1356" r:id="rId1367" display="https://standards.buildingsmart.org/IFC/RELEASE/IFC4/ADD2_TC1/HTML/schema/ifcelectricaldomain/pset/pset_cablesegmenttypecablesegment.htm" xr:uid="{8B68595A-B017-4624-9BDB-62401DA0DA37}"/>
    <hyperlink ref="Q884" r:id="rId1368" display="https://standards.buildingsmart.org/IFC/RELEASE/IFC4/ADD2_TC1/HTML/schema/ifcsharedbldgserviceelements/pset/pset_outsidedesigncriteria.htm" xr:uid="{F485FD5D-C0B5-4AFC-A832-40DC9C9CBC3F}"/>
    <hyperlink ref="Q594" r:id="rId1369" display="https://standards.buildingsmart.org/IFC/RELEASE/IFC4/ADD2_TC1/HTML/schema/ifcsharedbldgserviceelements/pset/pset_outsidedesigncriteria.htm" xr:uid="{6FBFF216-17EC-4E04-BDB5-E1DD1C9C29FC}"/>
    <hyperlink ref="Q305" r:id="rId1370" display="https://standards.buildingsmart.org/IFC/RELEASE/IFC4/ADD2_TC1/HTML/schema/ifcsharedbldgelements/pset/pset_windowcommon.htm" xr:uid="{0E1690E6-E281-4ECD-8CFB-89BC0728D7DD}"/>
    <hyperlink ref="Q306" r:id="rId1371" display="https://standards.buildingsmart.org/IFC/RELEASE/IFC4/ADD2_TC1/HTML/schema/ifcsharedbldgelements/pset/pset_doorcommon.htm" xr:uid="{E9A14F02-421D-459A-A2D0-B66B960160F6}"/>
    <hyperlink ref="Q2069" r:id="rId1372" display="https://standards.buildingsmart.org/IFC/RELEASE/IFC4/ADD2_TC1/HTML/schema/ifchvacdomain/pset/pset_evaporativecoolerphistory.htm" xr:uid="{0E3B2352-FD59-43CD-AB0A-CA304F9577D3}"/>
    <hyperlink ref="Q188" r:id="rId1373" display="https://standards.buildingsmart.org/IFC/RELEASE/IFC4/ADD2_TC1/HTML/schema/ifchvacdomain/pset/pset_boilertypecommon.htm" xr:uid="{07809A01-D006-4BFB-9A5F-B1D8E21C64F9}"/>
    <hyperlink ref="Q1259" r:id="rId1374" display="https://standards.buildingsmart.org/IFC/RELEASE/IFC4/ADD2_TC1/HTML/schema/ifchvacdomain/pset/pset_humidifiertypecommon.htm" xr:uid="{E645DBDA-E2A6-4049-8D37-1E17AC4C6D3E}"/>
    <hyperlink ref="Q1257" r:id="rId1375" display="https://standards.buildingsmart.org/IFC/RELEASE/IFC4/ADD2_TC1/HTML/schema/ifchvacdomain/pset/pset_evaporativecoolertypecommon.htm" xr:uid="{2F64AD92-08F7-4B17-8FD0-3FB4B2DFD9AB}"/>
    <hyperlink ref="Q1258" r:id="rId1376" display="https://standards.buildingsmart.org/IFC/RELEASE/IFC4/ADD2_TC1/HTML/schema/ifchvacdomain/pset/pset_coolingtowertypecommon.htm" xr:uid="{FE86631E-4FBA-4DA1-B54F-45AB18E23D07}"/>
    <hyperlink ref="Q1955" r:id="rId1377" display="https://standards.buildingsmart.org/IFC/RELEASE/IFC4/ADD2_TC1/HTML/schema/ifchvacdomain/pset/pset_cooledbeamtypecommon.htm" xr:uid="{AEFC9BA9-9FA3-47F5-94E1-F9E6ADD50633}"/>
    <hyperlink ref="Q582" r:id="rId1378" display="https://standards.buildingsmart.org/IFC/RELEASE/IFC4/ADD2_TC1/HTML/schema/ifchvacdomain/pset/pset_cooledbeamphistory.htm" xr:uid="{E97DE846-E946-40EC-9509-FAD475ADFFCB}"/>
    <hyperlink ref="Q562" r:id="rId1379" display="https://standards.buildingsmart.org/IFC/RELEASE/IFC4/ADD2_TC1/HTML/schema/ifchvacdomain/pset/pset_coiltypehydronic.htm" xr:uid="{3FD14355-708F-4350-99BF-2D541264606F}"/>
    <hyperlink ref="Q561" r:id="rId1380" display="https://standards.buildingsmart.org/IFC/RELEASE/IFC4/ADD2_TC1/HTML/schema/ifchvacdomain/pset/pset_evaporativecoolertypecommon.htm" xr:uid="{0B29BDF0-A1BD-48BD-A96F-3C6E968A364C}"/>
    <hyperlink ref="Q23" r:id="rId1381" display="https://standards.buildingsmart.org/IFC/RELEASE/IFC4/ADD2_TC1/HTML/schema/ifcplumbingfireprotectiondomain/pset/pset_firesuppressionterminaltypefirehydrant.htm" xr:uid="{CF920D32-3928-4D84-B6CD-049B30A04B2B}"/>
    <hyperlink ref="Q1968" r:id="rId1382" display="https://standards.buildingsmart.org/IFC/RELEASE/IFC4/ADD2_TC1/HTML/schema/ifchvacdomain/pset/pset_boilertypecommon.htm" xr:uid="{DC3CE959-660F-4E73-B728-6A2DD8B1E87E}"/>
    <hyperlink ref="Q1033" r:id="rId1383" display="https://standards.buildingsmart.org/IFC/RELEASE/IFC4/ADD2_TC1/HTML/schema/ifcmaterialresource/pset/pset_materialconcrete.htm" xr:uid="{601C9C6D-84D8-4675-A35A-C15FAD3D55B2}"/>
    <hyperlink ref="Q1694" r:id="rId1384" display="https://standards.buildingsmart.org/IFC/RELEASE/IFC4/ADD2_TC1/HTML/schema/ifchvacdomain/pset/pset_evaporatorphistory.htm" xr:uid="{42B94313-7365-481B-8EC2-4E6A83B50473}"/>
    <hyperlink ref="Q1693" r:id="rId1385" display="https://standards.buildingsmart.org/IFC/RELEASE/IFC4/ADD2_TC1/HTML/schema/ifchvacdomain/pset/pset_condenserphistory.htm" xr:uid="{B1803AF4-BE7B-46DB-94F9-F3CD3CB2E896}"/>
    <hyperlink ref="Q2255" r:id="rId1386" display="https://standards.buildingsmart.org/IFC/RELEASE/IFC4/ADD2_TC1/HTML/schema/ifchvacdomain/pset/pset_cooledbeamtypecommon.htm" xr:uid="{ED9460FC-A70F-4599-A487-E56432B1C476}"/>
    <hyperlink ref="Q2202" r:id="rId1387" display="https://standards.buildingsmart.org/IFC/RELEASE/IFC4/ADD2_TC1/HTML/schema/ifchvacdomain/pset/pset_filtertypewaterfilter.htm" xr:uid="{39D4B8B7-BAF7-4EB3-B2F1-A08AAFCA3989}"/>
    <hyperlink ref="Q482" r:id="rId1388" display="https://standards.buildingsmart.org/IFC/RELEASE/IFC4/ADD2_TC1/HTML/schema/ifchvacdomain/pset/pset_spaceheatertyperadiator.htm" xr:uid="{24192F55-7394-48F2-86FA-F5FF8CEFB148}"/>
    <hyperlink ref="Q461" r:id="rId1389" display="https://standards.buildingsmart.org/IFC/RELEASE/IFC4/ADD2_TC1/HTML/schema/ifcproductextension/pset/pset_environmentalimpactindicators.htm" xr:uid="{C84EBAAD-5FE3-4508-8975-823A16CD49CB}"/>
    <hyperlink ref="Q462" r:id="rId1390" display="https://standards.buildingsmart.org/IFC/RELEASE/IFC4/ADD2_TC1/HTML/schema/ifcproductextension/pset/pset_environmentalimpactvalues.htm" xr:uid="{4A914E77-78D6-425F-B8DE-955254512ED2}"/>
    <hyperlink ref="Q24" r:id="rId1391" display="https://standards.buildingsmart.org/IFC/RELEASE/IFC4/ADD2_TC1/HTML/schema/ifcsharedbldgserviceelements/pset/pset_utilityconsumptionphistory.htm" xr:uid="{C660CA4B-41C4-40F2-9B43-A7B1A583E21E}"/>
    <hyperlink ref="Q2140" r:id="rId1392" display="https://standards.buildingsmart.org/IFC/RELEASE/IFC4/ADD2_TC1/HTML/schema/ifcplumbingfireprotectiondomain/pset/pset_wasteterminaltypewastetrap.htm" xr:uid="{FD912B47-DC1E-4875-AF08-D6C30A6E8D6A}"/>
    <hyperlink ref="Q2240" r:id="rId1393" display="https://standards.buildingsmart.org/IFC/RELEASE/IFC4/ADD2_TC1/HTML/schema/ifcplumbingfireprotectiondomain/pset/pset_sanitaryterminaltypewashhandbasin.htm" xr:uid="{05CC9A7E-F28C-40A9-8F9F-7009DCE85BB5}"/>
    <hyperlink ref="Q952" r:id="rId1394" display="https://standards.buildingsmart.org/IFC/RELEASE/IFC4/ADD2_TC1/HTML/schema/ifcsharedcomponentelements/pset/pset_mechanicalfastenerbolt.htm" xr:uid="{440CD050-CED9-43F1-AF68-80FFF64D440E}"/>
    <hyperlink ref="Q1489" r:id="rId1395" display="https://standards.buildingsmart.org/IFC/RELEASE/IFC4/ADD2_TC1/HTML/schema/ifcsharedcomponentelements/pset/pset_mechanicalfastenerbolt.htm" xr:uid="{E7F55DEF-9656-4C00-80AB-5F8BF228CC0B}"/>
    <hyperlink ref="Q596" r:id="rId1396" display="https://standards.buildingsmart.org/IFC/RELEASE/IFC4/ADD2_TC1/HTML/schema/ifcsharedfacilitieselements/pset/pset_warranty.htm" xr:uid="{737B0166-9A99-4CEB-A266-E206BDB26933}"/>
    <hyperlink ref="Q1347" r:id="rId1397" display="https://standards.buildingsmart.org/IFC/RELEASE/IFC4/ADD2_TC1/HTML/schema/ifcsharedfacilitieselements/pset/pset_warranty.htm" xr:uid="{D90A2C53-77AD-4096-9205-33C7EA7AB1CB}"/>
    <hyperlink ref="Q1024" r:id="rId1398" display="https://standards.buildingsmart.org/IFC/RELEASE/IFC4/ADD2_TC1/HTML/schema/ifcsharedfacilitieselements/pset/pset_warranty.htm" xr:uid="{0C910C7E-095D-4902-BDD1-563915F8FD75}"/>
    <hyperlink ref="Q598" r:id="rId1399" display="https://standards.buildingsmart.org/IFC/RELEASE/IFC4/ADD2_TC1/HTML/schema/ifcsharedfacilitieselements/pset/pset_warranty.htm" xr:uid="{9CB25912-FEE3-4BE3-9D09-4896CE6765AF}"/>
    <hyperlink ref="Q485" r:id="rId1400" display="https://standards.buildingsmart.org/IFC/RELEASE/IFC4/ADD2_TC1/HTML/schema/ifcsharedfacilitieselements/pset/pset_warranty.htm" xr:uid="{4ADB5201-38D8-4E6A-BA29-BA5A9450B206}"/>
    <hyperlink ref="Q450" r:id="rId1401" display="https://standards.buildingsmart.org/IFC/RELEASE/IFC4/ADD2_TC1/HTML/schema/ifcprofileresource/pset/pset_profilemechanical.htm" xr:uid="{0431C760-88F0-4E1C-B43E-0CDFFDF07267}"/>
    <hyperlink ref="Q857" r:id="rId1402" display="https://standards.buildingsmart.org/IFC/RELEASE/IFC4/ADD2_TC1/HTML/schema/ifcsharedbldgserviceelements/pset/pset_distributionchamberelementtypevalvechamber.htm" xr:uid="{7AC1C8CA-0F24-4A50-BD2F-B32E63D0FA98}"/>
    <hyperlink ref="Q856" r:id="rId1403" display="https://standards.buildingsmart.org/IFC/RELEASE/IFC4/ADD2_TC1/HTML/schema/ifcsharedbldgserviceelements/pset/pset_distributionchamberelementtypemeterchamber.htm" xr:uid="{D4C72AD0-620B-4124-8E9F-C653FD5E1C76}"/>
    <hyperlink ref="Q855" r:id="rId1404" display="https://standards.buildingsmart.org/IFC/RELEASE/IFC4/ADD2_TC1/HTML/schema/ifcsharedbldgserviceelements/pset/pset_distributionchamberelementtypemanhole.htm" xr:uid="{94597A2D-8A7F-429B-A9EF-AF8B43B079DB}"/>
    <hyperlink ref="Q854" r:id="rId1405" display="https://standards.buildingsmart.org/IFC/RELEASE/IFC4/ADD2_TC1/HTML/schema/ifcsharedbldgserviceelements/pset/pset_distributionchamberelementtypeinspectionchamber.htm" xr:uid="{89B9393F-C051-4E1F-AB4A-BA0FE937D172}"/>
    <hyperlink ref="Q858" r:id="rId1406" display="https://standards.buildingsmart.org/IFC/RELEASE/IFC4/ADD2_TC1/HTML/schema/ifcsharedbldgserviceelements/pset/pset_distributionchamberelementtypeformedduct.htm" xr:uid="{D83A31F4-FF1B-4AF9-BBC6-BDDAA088B45F}"/>
    <hyperlink ref="Q1189" r:id="rId1407" display="https://standards.buildingsmart.org/IFC/RELEASE/IFC4/ADD2_TC1/HTML/schema/ifcsharedbldgserviceelements/pset/pset_distributionchamberelementtypevalvechamber.htm" xr:uid="{2F3D704B-B5FC-47A5-8BFB-7D75254B5101}"/>
    <hyperlink ref="Q1188" r:id="rId1408" display="https://standards.buildingsmart.org/IFC/RELEASE/IFC4/ADD2_TC1/HTML/schema/ifcsharedbldgserviceelements/pset/pset_distributionchamberelementtypemeterchamber.htm" xr:uid="{74C86319-A106-4D69-A4B9-F1B3F672F788}"/>
    <hyperlink ref="Q1187" r:id="rId1409" display="https://standards.buildingsmart.org/IFC/RELEASE/IFC4/ADD2_TC1/HTML/schema/ifcsharedbldgserviceelements/pset/pset_distributionchamberelementtypemanhole.htm" xr:uid="{4D321051-09A5-48F7-B1A8-C2235574E336}"/>
    <hyperlink ref="Q1186" r:id="rId1410" display="https://standards.buildingsmart.org/IFC/RELEASE/IFC4/ADD2_TC1/HTML/schema/ifcsharedbldgserviceelements/pset/pset_distributionchamberelementtypeinspectionchamber.htm" xr:uid="{4F95E8C0-14B6-44ED-8CE0-8593D99F02B2}"/>
    <hyperlink ref="Q850" r:id="rId1411" display="https://standards.buildingsmart.org/IFC/RELEASE/IFC4/ADD2_TC1/HTML/schema/ifcproductextension/pset/pset_spacecoveringrequirements.htm" xr:uid="{D9AC8902-A6F7-49FF-82B4-68BD7E462863}"/>
    <hyperlink ref="Q1702" r:id="rId1412" display="https://standards.buildingsmart.org/IFC/RELEASE/IFC4/ADD2_TC1/HTML/schema/ifcproductextension/pset/pset_spacecoveringrequirements.htm" xr:uid="{D75ED9FB-DA68-4D8D-853E-E8721661CE44}"/>
    <hyperlink ref="Q638" r:id="rId1413" display="https://standards.buildingsmart.org/IFC/RELEASE/IFC4/ADD2_TC1/HTML/schema/ifcsharedbldgelements/pset/pset_stairflightcommon.htm" xr:uid="{AE2D6C79-98C1-4EEB-B018-53D9D0690C25}"/>
    <hyperlink ref="Q637" r:id="rId1414" display="https://standards.buildingsmart.org/IFC/RELEASE/IFC4/ADD2_TC1/HTML/schema/ifcsharedbldgelements/pset/pset_staircommon.htm" xr:uid="{35C69301-6FEA-42E8-AFCB-519BF517BBF8}"/>
    <hyperlink ref="Q867" r:id="rId1415" display="https://standards.buildingsmart.org/IFC/RELEASE/IFC4/ADD2_TC1/HTML/schema/ifcsharedbldgelements/pset/pset_stairflightcommon.htm" xr:uid="{2DBCADB9-739F-45FA-A92C-4C80B35A9338}"/>
    <hyperlink ref="Q866" r:id="rId1416" display="https://standards.buildingsmart.org/IFC/RELEASE/IFC4/ADD2_TC1/HTML/schema/ifcsharedbldgelements/pset/pset_staircommon.htm" xr:uid="{B5F189D4-C740-4ABD-A3DC-AC5522CF7492}"/>
    <hyperlink ref="Q2411" r:id="rId1417" display="https://standards.buildingsmart.org/IFC/RELEASE/IFC4/ADD2_TC1/HTML/schema/ifcsharedbldgserviceelements/pset/pset_distributionportphistoryduct.htm" xr:uid="{277DF373-302B-4BFE-A5E1-7FE49D121ECB}"/>
    <hyperlink ref="Q2410" r:id="rId1418" display="https://standards.buildingsmart.org/IFC/RELEASE/IFC4/ADD2_TC1/HTML/schema/ifcsharedbldgserviceelements/pset/pset_distributionporttypepipe.htm" xr:uid="{81784BD4-88E5-4074-BD88-E8DDCF1809F0}"/>
    <hyperlink ref="Q2412" r:id="rId1419" display="https://standards.buildingsmart.org/IFC/RELEASE/IFC4/ADD2_TC1/HTML/schema/ifcsharedbldgserviceelements/pset/pset_distributionporttypeduct.htm" xr:uid="{E39366F4-62F2-429B-B649-74FD9AE2DEE8}"/>
    <hyperlink ref="Q811" r:id="rId1420" display="https://standards.buildingsmart.org/IFC/RELEASE/IFC4/ADD2_TC1/HTML/schema/ifchvacdomain/pset/pset_compressorphistory.htm" xr:uid="{68D50044-402E-47B2-88E1-C1CC46BFC963}"/>
    <hyperlink ref="Q2468" r:id="rId1421" display="https://standards.buildingsmart.org/IFC/RELEASE/IFC4/ADD2_TC1/HTML/schema/ifchvacdomain/pset/pset_tubebundletypecommon.htm" xr:uid="{3A44BB3C-A7FF-43A4-B01A-F5B90256A23F}"/>
    <hyperlink ref="Q1272" r:id="rId1422" display="https://standards.buildingsmart.org/IFC/RELEASE/IFC4/ADD2_TC1/HTML/schema/ifcelectricaldomain/pset/pset_protectivedevicetypefusedisconnector.htm" xr:uid="{984ED9EC-5784-4ACD-91C0-D1AEE0D6B90A}"/>
    <hyperlink ref="Q1273" r:id="rId1423" display="https://standards.buildingsmart.org/IFC/RELEASE/IFC4/ADD2_TC1/HTML/schema/ifcelectricaldomain/pset/pset_protectivedevicetypecircuitbreaker.htm" xr:uid="{BB1E66AE-D9EB-4E9B-BF78-A2F40BBE3BA3}"/>
    <hyperlink ref="Q1269" r:id="rId1424" display="https://standards.buildingsmart.org/IFC/RELEASE/IFC4/ADD2_TC1/HTML/schema/ifcelectricaldomain/pset/pset_protectivedevicebreakerunittypemotorprotection.htm" xr:uid="{F563E1E0-91B5-4F4F-884A-23EB67CBC921}"/>
    <hyperlink ref="Q1270" r:id="rId1425" display="https://standards.buildingsmart.org/IFC/RELEASE/IFC4/ADD2_TC1/HTML/schema/ifcelectricaldomain/pset/pset_protectivedevicebreakerunittypemcb.htm" xr:uid="{B1D8E076-27BB-41BE-8BAF-C269D8E04601}"/>
    <hyperlink ref="Q1268" r:id="rId1426" display="https://standards.buildingsmart.org/IFC/RELEASE/IFC4/ADD2_TC1/HTML/schema/ifcelectricaldomain/pset/pset_protectivedevicebreakerunitipicurve.htm" xr:uid="{AF0ABCEE-B9F9-458E-937F-6E1595C14850}"/>
    <hyperlink ref="Q1271" r:id="rId1427" display="https://standards.buildingsmart.org/IFC/RELEASE/IFC4/ADD2_TC1/HTML/schema/ifcelectricaldomain/pset/pset_protectivedevicebreakeruniti2tfusecurve.htm" xr:uid="{93FCF49D-26B9-48CF-9854-813A90BFA319}"/>
    <hyperlink ref="Q1267" r:id="rId1428" display="https://standards.buildingsmart.org/IFC/RELEASE/IFC4/ADD2_TC1/HTML/schema/ifcelectricaldomain/pset/pset_protectivedevicebreakeruniti2tcurve.htm" xr:uid="{345BA159-3C1D-40D1-8B11-9869D837431C}"/>
    <hyperlink ref="Q2128" r:id="rId1429" display="https://standards.buildingsmart.org/IFC/RELEASE/IFC4/ADD2_TC1/HTML/schema/ifcsharedbldgserviceelements/pset/pset_distributionportphistorycable.htm" xr:uid="{1115D609-9C97-44DC-B7BD-80367275DA39}"/>
    <hyperlink ref="Q2129" r:id="rId1430" display="https://standards.buildingsmart.org/IFC/RELEASE/IFC4/ADD2_TC1/HTML/schema/ifcsharedbldgserviceelements/pset/pset_distributionporttypecable.htm" xr:uid="{287A5564-4364-4AC5-8FCD-A39425E18083}"/>
    <hyperlink ref="Q2332" r:id="rId1431" display="https://standards.buildingsmart.org/IFC/RELEASE/IFC4/ADD2_TC1/HTML/schema/ifcmaterialresource/pset/pset_materialoptical.htm" xr:uid="{06AD54FE-81B7-4A17-8BC4-CCA4FBE2876D}"/>
    <hyperlink ref="Q1058" r:id="rId1432" display="https://standards.buildingsmart.org/IFC/RELEASE/IFC4/ADD2_TC1/HTML/schema/ifcmaterialresource/pset/pset_materialenergy.htm" xr:uid="{EB0F5BAB-2429-4F48-A2ED-89323E3DE832}"/>
    <hyperlink ref="Q974" r:id="rId1433" display="https://standards.buildingsmart.org/IFC/RELEASE/IFC4/ADD2_TC1/HTML/schema/ifcmaterialresource/pset/pset_materialoptical.htm" xr:uid="{B558DC89-FA55-4C7E-A55C-D5EF777C72C4}"/>
    <hyperlink ref="Q1671" r:id="rId1434" display="https://standards.buildingsmart.org/IFC/RELEASE/IFC4/ADD2_TC1/HTML/schema/ifcmaterialresource/pset/pset_materialoptical.htm" xr:uid="{B87D3041-B336-4307-98A4-B8238F6ED58C}"/>
    <hyperlink ref="Q2308" r:id="rId1435" display="https://standards.buildingsmart.org/IFC/RELEASE/IFC4/ADD2_TC1/HTML/schema/ifcsharedbldgelements/pset/pset_shadingdevicecommon.htm" xr:uid="{AF568C6B-744F-476C-A068-62667AE514F6}"/>
    <hyperlink ref="Q2309" r:id="rId1436" display="https://standards.buildingsmart.org/IFC/RELEASE/IFC4/ADD2_TC1/HTML/schema/ifcsharedbldgelements/pset/pset_doorwindowglazingtype.htm" xr:uid="{6C7CFDAC-E3BE-4AB0-82CB-7220DE757452}"/>
    <hyperlink ref="Q1666" r:id="rId1437" display="https://standards.buildingsmart.org/IFC/RELEASE/IFC4/ADD2_TC1/HTML/schema/ifcsharedbldgelements/pset/pset_shadingdevicecommon.htm" xr:uid="{4AE2F50C-B6C0-4556-BFB3-EE765FEDAD60}"/>
    <hyperlink ref="Q1667" r:id="rId1438" display="https://standards.buildingsmart.org/IFC/RELEASE/IFC4/ADD2_TC1/HTML/schema/ifcsharedbldgelements/pset/pset_doorwindowglazingtype.htm" xr:uid="{E4692921-85B4-4B3C-8965-80F87EAB2C14}"/>
    <hyperlink ref="Q77" r:id="rId1439" display="https://standards.buildingsmart.org/IFC/RELEASE/IFC4/ADD2_TC1/HTML/schema/ifcproductextension/pset/pset_annotationlineofsight.htm" xr:uid="{20409EB4-5394-4287-9717-FE4723B3DB78}"/>
    <hyperlink ref="Q78" r:id="rId1440" display="https://standards.buildingsmart.org/IFC/RELEASE/IFC4/ADD2_TC1/HTML/schema/ifcproductextension/pset/pset_annotationlineofsight.htm" xr:uid="{DA7D083D-A0A9-477D-91EB-2B02BA9B0399}"/>
    <hyperlink ref="Q611" r:id="rId1441" display="https://standards.buildingsmart.org/IFC/RELEASE/IFC4/ADD2_TC1/HTML/schema/ifcmaterialresource/pset/pset_materialenergy.htm" xr:uid="{19CE53E7-ADE6-4F7B-A0DF-8DE0795BE484}"/>
    <hyperlink ref="Q2459" r:id="rId1442" display="https://standards.buildingsmart.org/IFC/RELEASE/IFC4/ADD2_TC1/HTML/schema/ifcelectricaldomain/pset/pset_audiovisualappliancetypeprojector.htm" xr:uid="{C842E9E8-4D68-4D0C-92DC-AAADA0665B04}"/>
    <hyperlink ref="Q2458" r:id="rId1443" display="https://standards.buildingsmart.org/IFC/RELEASE/IFC4/ADD2_TC1/HTML/schema/ifcelectricaldomain/pset/pset_audiovisualappliancetypedisplay.htm" xr:uid="{68A2086F-2BC4-4B7F-ABDF-444AB31E900A}"/>
    <hyperlink ref="Q2452" r:id="rId1444" display="https://standards.buildingsmart.org/IFC/RELEASE/IFC4/ADD2_TC1/HTML/schema/ifcelectricaldomain/pset/pset_audiovisualappliancetypeprojector.htm" xr:uid="{4913F0B2-F7E9-4A66-BACC-3F8731C77467}"/>
    <hyperlink ref="Q2451" r:id="rId1445" display="https://standards.buildingsmart.org/IFC/RELEASE/IFC4/ADD2_TC1/HTML/schema/ifcelectricaldomain/pset/pset_audiovisualappliancetypedisplay.htm" xr:uid="{0897FAB5-9657-4BA5-A15A-4A8D1F94CFB1}"/>
    <hyperlink ref="Q2450" r:id="rId1446" display="https://standards.buildingsmart.org/IFC/RELEASE/IFC4/ADD2_TC1/HTML/schema/ifcelectricaldomain/pset/pset_audiovisualappliancetypecamera.htm" xr:uid="{3561BC90-F7DC-4AF5-919B-EFD558C156F1}"/>
    <hyperlink ref="Q2457" r:id="rId1447" display="https://standards.buildingsmart.org/IFC/RELEASE/IFC4/ADD2_TC1/HTML/schema/ifcelectricaldomain/pset/pset_audiovisualappliancetypeprojector.htm" xr:uid="{E2D92C3C-BCDA-482A-AFC9-2F14972061E5}"/>
    <hyperlink ref="Q2456" r:id="rId1448" display="https://standards.buildingsmart.org/IFC/RELEASE/IFC4/ADD2_TC1/HTML/schema/ifcelectricaldomain/pset/pset_audiovisualappliancetypedisplay.htm" xr:uid="{3AF105E6-EC38-43A3-BBFF-62D634BD6047}"/>
    <hyperlink ref="Q2455" r:id="rId1449" display="https://standards.buildingsmart.org/IFC/RELEASE/IFC4/ADD2_TC1/HTML/schema/ifcelectricaldomain/pset/pset_audiovisualappliancetypecamera.htm" xr:uid="{5B4FDC09-E959-4AC9-8F8D-E9E7721079A8}"/>
    <hyperlink ref="Q2449" r:id="rId1450" display="https://standards.buildingsmart.org/IFC/RELEASE/IFC4/ADD2_TC1/HTML/schema/ifcelectricaldomain/pset/pset_audiovisualappliancetypeprojector.htm" xr:uid="{F275A4D6-92D4-4430-8590-5B2AA5A71612}"/>
    <hyperlink ref="Q2448" r:id="rId1451" display="https://standards.buildingsmart.org/IFC/RELEASE/IFC4/ADD2_TC1/HTML/schema/ifcelectricaldomain/pset/pset_audiovisualappliancetypedisplay.htm" xr:uid="{B9D25E4C-02FE-4F58-917A-F706C871FB00}"/>
    <hyperlink ref="Q2447" r:id="rId1452" display="https://standards.buildingsmart.org/IFC/RELEASE/IFC4/ADD2_TC1/HTML/schema/ifcelectricaldomain/pset/pset_audiovisualappliancetypecamera.htm" xr:uid="{70E3C864-3364-43CB-848A-C79D6CD0A21C}"/>
    <hyperlink ref="Q1080" r:id="rId1453" display="https://standards.buildingsmart.org/IFC/RELEASE/IFC4/ADD2_TC1/HTML/schema/ifcelectricaldomain/pset/pset_audiovisualappliancetypecamera.htm" xr:uid="{ED6BC643-97DA-4A59-9B64-C54595C5AF89}"/>
    <hyperlink ref="Q2454" r:id="rId1454" display="https://standards.buildingsmart.org/IFC/RELEASE/IFC4/ADD2_TC1/HTML/schema/ifcelectricaldomain/pset/pset_audiovisualappliancetypeprojector.htm" xr:uid="{D2A4C8A4-7807-44EA-948C-F28E9FDE5E8F}"/>
    <hyperlink ref="Q2453" r:id="rId1455" display="https://standards.buildingsmart.org/IFC/RELEASE/IFC4/ADD2_TC1/HTML/schema/ifcelectricaldomain/pset/pset_audiovisualappliancetypedisplay.htm" xr:uid="{56715E81-2A32-452F-913A-6ADCA26876B9}"/>
    <hyperlink ref="Q2306" r:id="rId1456" display="https://standards.buildingsmart.org/IFC/RELEASE/IFC4/ADD2_TC1/HTML/schema/ifchvacdomain/pset/pset_vibrationisolatortypecommon.htm" xr:uid="{AE0BB636-409B-42F3-8E4D-EE85ABE0DAA3}"/>
    <hyperlink ref="Q838" r:id="rId1457" display="https://standards.buildingsmart.org/IFC/RELEASE/IFC4/ADD2_TC1/HTML/schema/ifchvacdomain/pset/pset_tubebundletypecommon.htm" xr:uid="{2A5D09B3-BC3B-4C7D-ADB6-0715211DCA02}"/>
    <hyperlink ref="Q1036" r:id="rId1458" display="https://standards.buildingsmart.org/IFC/RELEASE/IFC4/ADD2_TC1/HTML/schema/ifcstructuralelementsdomain/pset/pset_reinforcementbarpitchofwall.htm" xr:uid="{99F7C1D7-F037-4B35-AF9D-5F1190161D76}"/>
    <hyperlink ref="Q601" r:id="rId1459" display="https://standards.buildingsmart.org/IFC/RELEASE/IFC4/ADD2_TC1/HTML/schema/ifcsharedfacilitieselements/pset/pset_propertyagreement.htm" xr:uid="{24DB6B77-A2A0-4637-BB8E-A991C3EF447C}"/>
    <hyperlink ref="Q2445" r:id="rId1460" display="https://standards.buildingsmart.org/IFC/RELEASE/IFC4/ADD2_TC1/HTML/schema/ifcsharedfacilitieselements/pset/pset_propertyagreement.htm" xr:uid="{48FF8E15-2652-4485-8A2F-91D31A4FF773}"/>
    <hyperlink ref="Q2432" r:id="rId1461" display="https://standards.buildingsmart.org/IFC/RELEASE/IFC4/ADD2_TC1/HTML/schema/ifcsharedbldgserviceelements/pset/pset_spacethermalloadphistory.htm" xr:uid="{74286C7F-FB2F-43EC-A74B-8EBCBBB3F379}"/>
    <hyperlink ref="Q2431" r:id="rId1462" display="https://standards.buildingsmart.org/IFC/RELEASE/IFC4/ADD2_TC1/HTML/schema/ifcsharedbldgserviceelements/pset/pset_spacethermalload.htm" xr:uid="{EC13B113-FF68-44B8-A1C3-236407DC8B8E}"/>
    <hyperlink ref="Q2434" r:id="rId1463" display="https://standards.buildingsmart.org/IFC/RELEASE/IFC4/ADD2_TC1/HTML/schema/ifcsharedbldgserviceelements/pset/pset_spacethermalloadphistory.htm" xr:uid="{B49D2A8D-72AE-47B1-A337-1BECA9898E3D}"/>
    <hyperlink ref="Q2433" r:id="rId1464" display="https://standards.buildingsmart.org/IFC/RELEASE/IFC4/ADD2_TC1/HTML/schema/ifcsharedbldgserviceelements/pset/pset_spacethermalload.htm" xr:uid="{82CDD148-5A05-4326-A36C-0D5E1C61ABC4}"/>
    <hyperlink ref="Q2390" r:id="rId1465" display="https://standards.buildingsmart.org/IFC/RELEASE/IFC4/ADD2_TC1/HTML/schema/ifcsharedbldgserviceelements/pset/pset_spacethermaldesign.htm" xr:uid="{8D059978-F0F1-4665-A6B2-0D70479B005C}"/>
    <hyperlink ref="Q2389" r:id="rId1466" display="https://standards.buildingsmart.org/IFC/RELEASE/IFC4/ADD2_TC1/HTML/schema/ifchvacdomain/pset/pset_spacethermalphistory.htm" xr:uid="{478BBF3E-AFED-45E9-9E97-2FEDEEB74585}"/>
    <hyperlink ref="Q2436" r:id="rId1467" display="https://standards.buildingsmart.org/IFC/RELEASE/IFC4/ADD2_TC1/HTML/schema/ifcsharedbldgserviceelements/pset/pset_airsidesysteminformation.htm" xr:uid="{55EE1CA2-2E67-4994-8370-66B37E733D50}"/>
    <hyperlink ref="Q1926" r:id="rId1468" display="https://standards.buildingsmart.org/IFC/RELEASE/IFC4/ADD2_TC1/HTML/schema/ifcplumbingfireprotectiondomain/pset/pset_interceptortypecommon.htm" xr:uid="{943CD605-C531-4DE8-AE5B-D258F1648291}"/>
    <hyperlink ref="Q2429" r:id="rId1469" display="https://standards.buildingsmart.org/IFC/RELEASE/IFC4/ADD2_TC1/HTML/schema/ifcsharedbldgserviceelements/pset/pset_distributionportphistoryduct.htm" xr:uid="{741FE49C-02B0-4DF3-8F88-436A194A7ADA}"/>
    <hyperlink ref="Q2428" r:id="rId1470" display="https://standards.buildingsmart.org/IFC/RELEASE/IFC4/ADD2_TC1/HTML/schema/ifcsharedbldgserviceelements/pset/pset_distributionporttypepipe.htm" xr:uid="{A61623BF-6116-4394-B275-761DE8C07E13}"/>
    <hyperlink ref="Q2430" r:id="rId1471" display="https://standards.buildingsmart.org/IFC/RELEASE/IFC4/ADD2_TC1/HTML/schema/ifcsharedbldgserviceelements/pset/pset_distributionporttypeduct.htm" xr:uid="{D7A5AEE5-F19C-411F-90EC-7847FE21E813}"/>
    <hyperlink ref="Q2286" r:id="rId1472" display="https://standards.buildingsmart.org/IFC/RELEASE/IFC4/ADD2_TC1/HTML/schema/ifcelectricaldomain/pset/pset_protectivedevicetypevaristor.htm" xr:uid="{4774A6F0-C5B2-455E-9DA6-63AB250BF935}"/>
    <hyperlink ref="Q1348" r:id="rId1473" display="https://standards.buildingsmart.org/IFC/RELEASE/IFC4/ADD2_TC1/HTML/schema/ifcmaterialresource/pset/pset_materialhygroscopic.htm" xr:uid="{D8B39612-40A4-455F-905A-A5D3EE3414D6}"/>
    <hyperlink ref="Q1314" r:id="rId1474" display="https://standards.buildingsmart.org/IFC/RELEASE/IFC4/ADD2_TC1/HTML/schema/ifchvacdomain/pset/pset_valvetypecommon.htm" xr:uid="{E5639602-04CB-4FBD-8ED3-0FA74C76B283}"/>
    <hyperlink ref="Q1308" r:id="rId1475" display="https://standards.buildingsmart.org/IFC/RELEASE/IFC4/ADD2_TC1/HTML/schema/ifchvacdomain/pset/pset_valvetypecommon.htm" xr:uid="{A661BD59-B20B-4220-8A78-57933C854C38}"/>
    <hyperlink ref="Q1195" r:id="rId1476" display="https://standards.buildingsmart.org/IFC/RELEASE/IFC4/ADD2_TC1/HTML/schema/ifchvacdomain/pset/pset_valvetypecommon.htm" xr:uid="{FE6F2328-09DD-47CF-87E6-CD25C5C7D5D2}"/>
    <hyperlink ref="Q2375" r:id="rId1477" display="https://standards.buildingsmart.org/IFC/RELEASE/IFC4/ADD2_TC1/HTML/schema/ifcbuildingcontrolsdomain/pset/pset_controllertypetwoposition.htm" xr:uid="{ECE801C1-4352-4459-8D65-95FE1208BF38}"/>
    <hyperlink ref="Q2374" r:id="rId1478" display="https://standards.buildingsmart.org/IFC/RELEASE/IFC4/ADD2_TC1/HTML/schema/ifcbuildingcontrolsdomain/pset/pset_sensorphistory.htm" xr:uid="{D6DD58D8-0212-4D13-8B91-D09C10723135}"/>
    <hyperlink ref="Q2373" r:id="rId1479" display="https://standards.buildingsmart.org/IFC/RELEASE/IFC4/ADD2_TC1/HTML/schema/ifcbuildingcontrolsdomain/pset/pset_flowinstrumentphistory.htm" xr:uid="{1EE5055C-7B33-437E-BB32-D26354AC31DF}"/>
    <hyperlink ref="Q2372" r:id="rId1480" display="https://standards.buildingsmart.org/IFC/RELEASE/IFC4/ADD2_TC1/HTML/schema/ifcbuildingcontrolsdomain/pset/pset_controllerphistory.htm" xr:uid="{E7B23E87-EB34-46F6-9CA3-F58C61FF29BF}"/>
    <hyperlink ref="Q2371" r:id="rId1481" display="https://standards.buildingsmart.org/IFC/RELEASE/IFC4/ADD2_TC1/HTML/schema/ifcbuildingcontrolsdomain/pset/pset_controllertypeproportional.htm" xr:uid="{C5B82539-2B40-4437-BBFC-3DF4951F339A}"/>
    <hyperlink ref="Q2369" r:id="rId1482" display="https://standards.buildingsmart.org/IFC/RELEASE/IFC4/ADD2_TC1/HTML/schema/ifcbuildingcontrolsdomain/pset/pset_controllertypefloating.htm" xr:uid="{11295566-5E88-484B-9280-F5EE56B6618B}"/>
    <hyperlink ref="Q2370" r:id="rId1483" display="https://standards.buildingsmart.org/IFC/RELEASE/IFC4/ADD2_TC1/HTML/schema/ifcbuildingcontrolsdomain/pset/pset_controllertypemultiposition.htm" xr:uid="{EB5D4CF3-F1B6-4B47-837A-085219871C0C}"/>
    <hyperlink ref="Q1991" r:id="rId1484" display="https://standards.buildingsmart.org/IFC/RELEASE/IFC4/ADD2_TC1/HTML/schema/ifcproductextension/pset/pset_buildinguse.htm" xr:uid="{199FB877-112D-4363-8E21-E2FA97484031}"/>
    <hyperlink ref="Q1992" r:id="rId1485" display="https://standards.buildingsmart.org/IFC/RELEASE/IFC4/ADD2_TC1/HTML/schema/ifcproductextension/pset/pset_buildinguse.htm" xr:uid="{E5A5764E-3FB6-4BB7-840E-10E39EF156ED}"/>
    <hyperlink ref="Q906" r:id="rId1486" display="https://standards.buildingsmart.org/IFC/RELEASE/IFC4/ADD2_TC1/HTML/schema/ifcelectricaldomain/pset/pset_cablesegmentoccurrence.htm" xr:uid="{40A13A86-A607-47A8-A6F6-1E8AD8E1D8CD}"/>
    <hyperlink ref="Q2359" r:id="rId1487" display="https://standards.buildingsmart.org/IFC/RELEASE/IFC4/ADD2_TC1/HTML/schema/ifcbuildingcontrolsdomain/pset/pset_alarmphistory.htm" xr:uid="{BB0F2D09-F44D-4CFE-BE79-B4E0EC7A1016}"/>
    <hyperlink ref="Q2357" r:id="rId1488" display="https://standards.buildingsmart.org/IFC/RELEASE/IFC4/ADD2_TC1/HTML/schema/ifcsharedfacilitieselements/pset/pset_systemfurnitureelementtypeworksurface.htm" xr:uid="{3EC095B1-3055-4178-9DC1-88F2C4576749}"/>
    <hyperlink ref="Q2358" r:id="rId1489" display="https://standards.buildingsmart.org/IFC/RELEASE/IFC4/ADD2_TC1/HTML/schema/ifcelectricaldomain/pset/pset_protectivedevicetrippingunittypecommon.htm" xr:uid="{5F49025B-BF2E-45F8-9ADE-C90043E92B5F}"/>
    <hyperlink ref="Q2226" r:id="rId1490" display="https://standards.buildingsmart.org/IFC/RELEASE/IFC4/ADD2_TC1/HTML/schema/ifcplumbingfireprotectiondomain/pset/pset_sanitaryterminaltypeurinal.htm" xr:uid="{B1B3C371-FA00-4AA3-80ED-1766FBFD719A}"/>
    <hyperlink ref="Q1401" r:id="rId1491" display="https://standards.buildingsmart.org/IFC/RELEASE/IFC4/ADD2_TC1/HTML/schema/ifchvacdomain/pset/pset_valvetypepressurereducing.htm" xr:uid="{5DE9BA8E-2C99-4509-834D-E7BA15B960E0}"/>
    <hyperlink ref="Q927" r:id="rId1492" display="https://standards.buildingsmart.org/IFC/RELEASE/IFC4/ADD2_TC1/HTML/schema/ifcmaterialresource/pset/pset_materialhygroscopic.htm" xr:uid="{EDE17290-FD58-460F-AD44-9FD3F111389B}"/>
    <hyperlink ref="Q2118" r:id="rId1493" display="https://standards.buildingsmart.org/IFC/RELEASE/IFC4/ADD2_TC1/HTML/schema/ifcelectricaldomain/pset/pset_protectivedevicetrippingfunctionlcurve.htm" xr:uid="{A5EBA509-7977-4D7D-9F57-BFF9E66BF359}"/>
    <hyperlink ref="Q2117" r:id="rId1494" display="https://standards.buildingsmart.org/IFC/RELEASE/IFC4/ADD2_TC1/HTML/schema/ifcelectricaldomain/pset/pset_protectivedevicetrippingfunctionlcurve.htm" xr:uid="{BECA4142-A98F-4703-8EE1-A7286460B3A7}"/>
    <hyperlink ref="Q533" r:id="rId1495" display="https://standards.buildingsmart.org/IFC/RELEASE/IFC4/ADD2_TC1/HTML/schema/ifcelectricaldomain/pset/pset_protectivedevicetrippingfunctionlcurve.htm" xr:uid="{4B737BBF-F58E-4808-A862-FC92FBEFC6E3}"/>
    <hyperlink ref="Q532" r:id="rId1496" display="https://standards.buildingsmart.org/IFC/RELEASE/IFC4/ADD2_TC1/HTML/schema/ifcelectricaldomain/pset/pset_protectivedevicetrippingfunctionlcurve.htm" xr:uid="{8C72AD15-00D6-40F2-B82F-B3697FE16149}"/>
    <hyperlink ref="Q2355" r:id="rId1497" display="https://standards.buildingsmart.org/IFC/RELEASE/IFC4/ADD2_TC1/HTML/schema/ifcproductextension/pset/pset_environmentalimpactindicators.htm" xr:uid="{ED12DF1D-8C70-41D4-AE98-377E140A7251}"/>
    <hyperlink ref="Q605" r:id="rId1498" display="https://standards.buildingsmart.org/IFC/RELEASE/IFC4/ADD2_TC1/HTML/schema/ifcmaterialresource/pset/pset_materialsteel.htm" xr:uid="{44E5717F-C4FB-4C80-8D0D-F1D24C528690}"/>
    <hyperlink ref="Q604" r:id="rId1499" display="https://standards.buildingsmart.org/IFC/RELEASE/IFC4/ADD2_TC1/HTML/schema/ifcmaterialresource/pset/pset_materialsteel.htm" xr:uid="{52F27F28-BC83-40C6-A7B4-DF28D56EA2B3}"/>
    <hyperlink ref="Q580" r:id="rId1500" display="https://standards.buildingsmart.org/IFC/RELEASE/IFC4/ADD2_TC1/HTML/schema/ifchvacdomain/pset/pset_evaporatorphistory.htm" xr:uid="{0069E704-E0D3-4046-95EF-3385A1F09A51}"/>
    <hyperlink ref="Q579" r:id="rId1501" display="https://standards.buildingsmart.org/IFC/RELEASE/IFC4/ADD2_TC1/HTML/schema/ifchvacdomain/pset/pset_condenserphistory.htm" xr:uid="{8BCD3B99-55FA-4307-BDAA-D48059DB53C9}"/>
    <hyperlink ref="Q577" r:id="rId1502" display="https://standards.buildingsmart.org/IFC/RELEASE/IFC4/ADD2_TC1/HTML/schema/ifchvacdomain/pset/pset_spaceheaterphistory.htm" xr:uid="{84B695AB-A1EA-4CF0-9A7D-8FEF75BBE2BA}"/>
    <hyperlink ref="Q578" r:id="rId1503" display="https://standards.buildingsmart.org/IFC/RELEASE/IFC4/ADD2_TC1/HTML/schema/ifchvacdomain/pset/pset_coolingtowerphistory.htm" xr:uid="{A7197418-E504-45AC-BF06-F4D1548FDFCE}"/>
    <hyperlink ref="Q633" r:id="rId1504" display="https://standards.buildingsmart.org/IFC/RELEASE/IFC4/ADD2_TC1/HTML/schema/ifcstructuralelementsdomain/pset/pset_precastslab.htm" xr:uid="{4F803CE2-257A-4969-BE24-B1C63CBC3E67}"/>
    <hyperlink ref="Q631" r:id="rId1505" display="https://standards.buildingsmart.org/IFC/RELEASE/IFC4/ADD2_TC1/HTML/schema/ifcstructuralelementsdomain/pset/pset_precastconcreteelementgeneral.htm" xr:uid="{595D9B48-4BBE-4D09-8142-C191D970D02B}"/>
    <hyperlink ref="Q632" r:id="rId1506" display="https://standards.buildingsmart.org/IFC/RELEASE/IFC4/ADD2_TC1/HTML/schema/ifcstructuralelementsdomain/pset/pset_precastconcreteelementfabrication.htm" xr:uid="{E3630F34-71E6-473D-8A75-1CAF5932233B}"/>
    <hyperlink ref="Q511" r:id="rId1507" display="https://standards.buildingsmart.org/IFC/RELEASE/IFC4/ADD2_TC1/HTML/schema/ifcsharedcomponentelements/pset/pset_fastenerweld.htm" xr:uid="{1FC3A472-F7F2-4BF7-A140-A782C57BDD6E}"/>
    <hyperlink ref="Q510" r:id="rId1508" display="https://standards.buildingsmart.org/IFC/RELEASE/IFC4/ADD2_TC1/HTML/schema/ifcsharedcomponentelements/pset/pset_fastenerweld.htm" xr:uid="{FCD4AF1A-CAA1-4A95-9D5C-9F50D7E40E81}"/>
    <hyperlink ref="Q2225" r:id="rId1509" display="https://standards.buildingsmart.org/IFC/RELEASE/IFC4/ADD2_TC1/HTML/schema/ifchvacdomain/pset/pset_flowmetertypewatermeter.htm" xr:uid="{D9B4640A-91C2-4FDB-AC3F-8EFFC16703C0}"/>
    <hyperlink ref="Q2301" r:id="rId1510" display="https://standards.buildingsmart.org/IFC/RELEASE/IFC4/ADD2_TC1/HTML/schema/ifcstructuralelementsdomain/pset/pset_precastconcreteelementgeneral.htm" xr:uid="{0804CACD-AABE-4537-8E47-A25F2A740671}"/>
    <hyperlink ref="Q2283" r:id="rId1511" display="https://standards.buildingsmart.org/IFC/RELEASE/IFC4/ADD2_TC1/HTML/schema/ifcelectricaldomain/pset/pset_audiovisualappliancetypetuner.htm" xr:uid="{C0ED0BE6-A7F2-4A31-949F-1AD9E72D867A}"/>
    <hyperlink ref="Q1225" r:id="rId1512" display="https://standards.buildingsmart.org/IFC/RELEASE/IFC4/ADD2_TC1/HTML/schema/ifcelectricaldomain/pset/pset_audiovisualappliancetypetuner.htm" xr:uid="{B34EEADB-1609-44EE-8B7D-CCBCCE17075C}"/>
    <hyperlink ref="Q976" r:id="rId1513" display="https://standards.buildingsmart.org/IFC/RELEASE/IFC4/ADD2_TC1/HTML/schema/ifcelectricaldomain/pset/pset_audiovisualappliancetypetuner.htm" xr:uid="{3AE3178E-F4FE-4394-9EB5-51EB3D05ED5F}"/>
    <hyperlink ref="Q182" r:id="rId1514" display="https://standards.buildingsmart.org/IFC/RELEASE/IFC4/ADD2_TC1/HTML/schema/ifcelectricaldomain/pset/pset_audiovisualappliancetypetuner.htm" xr:uid="{00B8368D-6210-42BD-A353-6CE5C36ADB22}"/>
    <hyperlink ref="Q404" r:id="rId1515" display="https://standards.buildingsmart.org/IFC/RELEASE/IFC4/ADD2_TC1/HTML/schema/ifchvacdomain/pset/pset_spaceheatertyperadiator.htm" xr:uid="{EBE7E32A-F680-40BC-AEF6-2A758399EFBA}"/>
    <hyperlink ref="Q512" r:id="rId1516" display="https://standards.buildingsmart.org/IFC/RELEASE/IFC4/ADD2_TC1/HTML/schema/ifcelectricaldomain/pset/pset_protectivedevicetrippingunittyperesidualcurrent.htm" xr:uid="{55444718-8DE3-4386-8D8D-98F2FCC8D347}"/>
    <hyperlink ref="Q2192" r:id="rId1517" display="https://standards.buildingsmart.org/IFC/RELEASE/IFC4/ADD2_TC1/HTML/schema/ifcelectricaldomain/pset/pset_protectivedevicetrippingcurve.htm" xr:uid="{FFB47E18-7A78-4DB2-90CE-49A684E0A217}"/>
    <hyperlink ref="Q551" r:id="rId1518" display="https://standards.buildingsmart.org/IFC/RELEASE/IFC4/ADD2_TC1/HTML/schema/ifcelectricaldomain/pset/pset_protectivedevicetrippingcurve.htm" xr:uid="{42A8D3B4-A95C-4119-87F4-428A69E184BE}"/>
    <hyperlink ref="Q1444" r:id="rId1519" display="https://standards.buildingsmart.org/IFC/RELEASE/IFC4/ADD2_TC1/HTML/schema/ifcsharedbldgelements/pset/pset_stairflightcommon.htm" xr:uid="{7A5E18B4-2D3A-48A3-A667-2FEF4DB90842}"/>
    <hyperlink ref="Q1443" r:id="rId1520" display="https://standards.buildingsmart.org/IFC/RELEASE/IFC4/ADD2_TC1/HTML/schema/ifcsharedbldgelements/pset/pset_staircommon.htm" xr:uid="{09226575-203D-488D-B5D8-1EDF67A6C024}"/>
    <hyperlink ref="Q1446" r:id="rId1521" display="https://standards.buildingsmart.org/IFC/RELEASE/IFC4/ADD2_TC1/HTML/schema/ifcsharedbldgelements/pset/pset_stairflightcommon.htm" xr:uid="{F24F80D8-AF7B-4447-A5C2-BFFA963FBBA4}"/>
    <hyperlink ref="Q1445" r:id="rId1522" display="https://standards.buildingsmart.org/IFC/RELEASE/IFC4/ADD2_TC1/HTML/schema/ifcsharedbldgelements/pset/pset_staircommon.htm" xr:uid="{6F29015F-A3B1-453E-872F-EF3E53689C08}"/>
    <hyperlink ref="Q1448" r:id="rId1523" display="https://standards.buildingsmart.org/IFC/RELEASE/IFC4/ADD2_TC1/HTML/schema/ifcsharedbldgelements/pset/pset_stairflightcommon.htm" xr:uid="{F0F8B813-4B2F-439F-8627-945BA82BFBE5}"/>
    <hyperlink ref="Q1447" r:id="rId1524" display="https://standards.buildingsmart.org/IFC/RELEASE/IFC4/ADD2_TC1/HTML/schema/ifcsharedbldgelements/pset/pset_staircommon.htm" xr:uid="{1F8062A9-7A02-45F5-887A-99EBEB0EECF9}"/>
    <hyperlink ref="Q2142" r:id="rId1525" display="https://standards.buildingsmart.org/IFC/RELEASE/IFC4/ADD2_TC1/HTML/schema/ifcplumbingfireprotectiondomain/pset/pset_wasteterminaltypegullytrap.htm" xr:uid="{7E08DADF-347E-4F14-907C-E9B52EADCB31}"/>
    <hyperlink ref="Q2143" r:id="rId1526" display="https://standards.buildingsmart.org/IFC/RELEASE/IFC4/ADD2_TC1/HTML/schema/ifcplumbingfireprotectiondomain/pset/pset_wasteterminaltypegullysump.htm" xr:uid="{EB5BFD6D-3F34-4F8E-BFA7-4A7EE80296A1}"/>
    <hyperlink ref="Q2141" r:id="rId1527" display="https://standards.buildingsmart.org/IFC/RELEASE/IFC4/ADD2_TC1/HTML/schema/ifcplumbingfireprotectiondomain/pset/pset_wasteterminaltypefloortrap.htm" xr:uid="{572C84B5-F2E4-4D0D-9C4B-4447F552795E}"/>
    <hyperlink ref="Q163" r:id="rId1528" display="https://standards.buildingsmart.org/IFC/RELEASE/IFC4/ADD2_TC1/HTML/schema/ifcstructuralelementsdomain/pset/pset_reinforcingmeshcommon.htm" xr:uid="{8CFB0EBC-239D-46B5-8287-EE0F55E490A2}"/>
    <hyperlink ref="Q162" r:id="rId1529" display="https://standards.buildingsmart.org/IFC/RELEASE/IFC4/ADD2_TC1/HTML/schema/ifcstructuralelementsdomain/pset/pset_reinforcingmeshcommon.htm" xr:uid="{5FCECA7E-BDD4-4779-998E-3B35AD19ECD6}"/>
    <hyperlink ref="Q669" r:id="rId1530" display="https://standards.buildingsmart.org/IFC/RELEASE/IFC4/ADD2_TC1/HTML/schema/ifcstructuralelementsdomain/pset/pset_reinforcingmeshcommon.htm" xr:uid="{50B57BA6-3FE0-4684-B091-8DB144AB49E2}"/>
    <hyperlink ref="Q343" r:id="rId1531" display="https://standards.buildingsmart.org/IFC/RELEASE/IFC4/ADD2_TC1/HTML/schema/ifcstructuralelementsdomain/pset/pset_reinforcingmeshcommon.htm" xr:uid="{274EB9FA-2527-4A19-8FF1-C7F7A1A8A881}"/>
    <hyperlink ref="Q1320" r:id="rId1532" display="https://standards.buildingsmart.org/IFC/RELEASE/IFC4/ADD2_TC1/HTML/schema/ifcstructuralelementsdomain/pset/pset_reinforcingmeshcommon.htm" xr:uid="{E56E345C-84E7-4D2C-843D-459ABEA9C4C4}"/>
    <hyperlink ref="Q948" r:id="rId1533" display="https://standards.buildingsmart.org/IFC/RELEASE/IFC4/ADD2_TC1/HTML/schema/ifcstructuralelementsdomain/pset/pset_precastconcreteelementgeneral.htm" xr:uid="{F8865BDC-F9C4-41FA-B8F0-3C5D3E1E9DFE}"/>
    <hyperlink ref="Q1012" r:id="rId1534" display="https://standards.buildingsmart.org/IFC/RELEASE/IFC4/ADD2_TC1/HTML/schema/ifcelectricaldomain/pset/pset_transformertypecommon.htm" xr:uid="{2DAC8A03-3EF1-4B55-80F2-A4B306008986}"/>
    <hyperlink ref="Q770" r:id="rId1535" display="https://standards.buildingsmart.org/IFC/RELEASE/IFC4/ADD2_TC1/HTML/schema/ifcelectricaldomain/pset/pset_audiovisualappliancetypedisplay.htm" xr:uid="{6A1E83AF-90DA-4890-AB3F-B3DBA200FCE1}"/>
    <hyperlink ref="Q1396" r:id="rId1536" display="https://standards.buildingsmart.org/IFC/RELEASE/IFC4/ADD2_TC1/HTML/schema/ifcelectricaldomain/pset/pset_lightfixturetypecommon.htm" xr:uid="{6A819619-C976-4ECC-B183-DE0B5789B167}"/>
    <hyperlink ref="Q585" r:id="rId1537" display="https://standards.buildingsmart.org/IFC/RELEASE/IFC4/ADD2_TC1/HTML/schema/ifchvacdomain/pset/pset_coiltypehydronic.htm" xr:uid="{7A178D93-F503-4DDE-8757-13C0E29F2DCA}"/>
    <hyperlink ref="Q240" r:id="rId1538" display="https://standards.buildingsmart.org/IFC/RELEASE/IFC4/ADD2_TC1/HTML/schema/ifcsharedbldgserviceelements/pset/pset_spacethermalloadphistory.htm" xr:uid="{4D05FFEC-05E4-4952-A7CF-8E46B331BA4C}"/>
    <hyperlink ref="Q239" r:id="rId1539" display="https://standards.buildingsmart.org/IFC/RELEASE/IFC4/ADD2_TC1/HTML/schema/ifcsharedbldgserviceelements/pset/pset_spacethermalload.htm" xr:uid="{1142DEB3-6431-4C36-8E08-F110EC0E63A1}"/>
    <hyperlink ref="Q1003" r:id="rId1540" display="https://standards.buildingsmart.org/IFC/RELEASE/IFC4/ADD2_TC1/HTML/schema/ifcsharedbldgserviceelements/pset/pset_spacethermaldesign.htm" xr:uid="{030217AA-AD70-4858-9ED3-6BBFA8759898}"/>
    <hyperlink ref="Q235" r:id="rId1541" display="https://standards.buildingsmart.org/IFC/RELEASE/IFC4/ADD2_TC1/HTML/schema/ifcsharedbldgserviceelements/pset/pset_spacethermalloadphistory.htm" xr:uid="{F7472943-447B-4503-B9FE-558D5AC4B607}"/>
    <hyperlink ref="Q234" r:id="rId1542" display="https://standards.buildingsmart.org/IFC/RELEASE/IFC4/ADD2_TC1/HTML/schema/ifcsharedbldgserviceelements/pset/pset_spacethermalload.htm" xr:uid="{FCC118EF-7089-4507-B888-EA388AA95116}"/>
    <hyperlink ref="Q472" r:id="rId1543" display="https://standards.buildingsmart.org/IFC/RELEASE/IFC4/ADD2_TC1/HTML/schema/ifcproductextension/pset/pset_environmentalimpactindicators.htm" xr:uid="{1618CD85-344E-419F-860D-5EDF5E103A13}"/>
    <hyperlink ref="Q473" r:id="rId1544" display="https://standards.buildingsmart.org/IFC/RELEASE/IFC4/ADD2_TC1/HTML/schema/ifcproductextension/pset/pset_environmentalimpactvalues.htm" xr:uid="{7FD00EC2-486F-4102-BDF6-12B431D6AAFD}"/>
    <hyperlink ref="Q218" r:id="rId1545" display="https://standards.buildingsmart.org/IFC/RELEASE/IFC4/ADD2_TC1/HTML/schema/ifcsharedbldgserviceelements/pset/pset_spacethermalloadphistory.htm" xr:uid="{ACC35CB7-5F8A-483B-B2DA-62C766E82E22}"/>
    <hyperlink ref="Q217" r:id="rId1546" display="https://standards.buildingsmart.org/IFC/RELEASE/IFC4/ADD2_TC1/HTML/schema/ifcsharedbldgserviceelements/pset/pset_spacethermalload.htm" xr:uid="{10C2C6A6-426E-434D-A8BF-B313834C0235}"/>
    <hyperlink ref="Q1989" r:id="rId1547" display="https://standards.buildingsmart.org/IFC/RELEASE/IFC4/ADD2_TC1/HTML/schema/ifchvacdomain/pset/pset_evaporativecoolerphistory.htm" xr:uid="{2B3F1607-BA05-4C01-B819-84FF50FCF6B1}"/>
    <hyperlink ref="Q1990" r:id="rId1548" display="https://standards.buildingsmart.org/IFC/RELEASE/IFC4/ADD2_TC1/HTML/schema/ifchvacdomain/pset/pset_airtoairheatrecoveryphistory.htm" xr:uid="{B66D34A6-A80B-4426-8945-D11A2284CCD3}"/>
    <hyperlink ref="Q1340" r:id="rId1549" display="https://standards.buildingsmart.org/IFC/RELEASE/IFC4/ADD2_TC1/HTML/schema/ifcsharedbldgserviceelements/pset/pset_spacethermaldesign.htm" xr:uid="{D5E4EA0E-EFB6-4E25-895B-FFA35D8EA0AB}"/>
    <hyperlink ref="Q237" r:id="rId1550" display="https://standards.buildingsmart.org/IFC/RELEASE/IFC4/ADD2_TC1/HTML/schema/ifcsharedbldgserviceelements/pset/pset_thermalloadaggregate.htm" xr:uid="{FEB19AF6-B95A-4AED-A98D-2C991B650BC3}"/>
    <hyperlink ref="Q212" r:id="rId1551" display="https://standards.buildingsmart.org/IFC/RELEASE/IFC4/ADD2_TC1/HTML/schema/ifchvacdomain/pset/pset_cooledbeamphistory.htm" xr:uid="{4D60D75D-24A4-4B2D-8593-04FF427B498B}"/>
    <hyperlink ref="Q1004" r:id="rId1552" display="https://standards.buildingsmart.org/IFC/RELEASE/IFC4/ADD2_TC1/HTML/schema/ifcsharedbldgserviceelements/pset/pset_spacethermaldesign.htm" xr:uid="{12DD9F78-23BF-4A6D-8351-300508AFFC08}"/>
    <hyperlink ref="Q1888" r:id="rId1553" display="https://standards.buildingsmart.org/IFC/RELEASE/IFC4/ADD2_TC1/HTML/schema/ifchvacdomain/pset/pset_airtoairheatrecoveryphistory.htm" xr:uid="{7296154E-6D96-483D-AE1D-3B6E157FBACF}"/>
    <hyperlink ref="Q784" r:id="rId1554" display="https://standards.buildingsmart.org/IFC/RELEASE/IFC4/ADD2_TC1/HTML/schema/ifchvacdomain/pset/pset_airtoairheatrecoveryphistory.htm" xr:uid="{694AE1DD-BF7C-4D93-9284-032AEE92E3CA}"/>
    <hyperlink ref="Q238" r:id="rId1555" display="https://standards.buildingsmart.org/IFC/RELEASE/IFC4/ADD2_TC1/HTML/schema/ifcsharedbldgserviceelements/pset/pset_thermalloadaggregate.htm" xr:uid="{77F7F3FB-8F33-4E84-BAE5-14E6D366D80F}"/>
    <hyperlink ref="Q213" r:id="rId1556" display="https://standards.buildingsmart.org/IFC/RELEASE/IFC4/ADD2_TC1/HTML/schema/ifchvacdomain/pset/pset_cooledbeamphistory.htm" xr:uid="{90A0CB98-EA2E-4FD7-946A-1973B280EF9E}"/>
    <hyperlink ref="Q125" r:id="rId1557" display="https://standards.buildingsmart.org/IFC/RELEASE/IFC4/ADD2_TC1/HTML/schema/ifcproductextension/pset/pset_sitecommon.htm" xr:uid="{75CE1323-D727-4DCA-908B-175BCB401F1F}"/>
    <hyperlink ref="Q932" r:id="rId1558" display="https://standards.buildingsmart.org/IFC/RELEASE/IFC4/ADD2_TC1/HTML/schema/ifcsharedbldgserviceelements/pset/pset_airsidesysteminformation.htm" xr:uid="{864074CA-5FFB-4C49-96E6-3A9CB7A0A4ED}"/>
    <hyperlink ref="Q1235" r:id="rId1559" display="https://standards.buildingsmart.org/IFC/RELEASE/IFC4/ADD2_TC1/HTML/schema/ifcprofileresource/pset/pset_profilemechanical.htm" xr:uid="{E855D6BE-6021-48CA-8B27-D66242DD9D12}"/>
    <hyperlink ref="Q455" r:id="rId1560" display="https://standards.buildingsmart.org/IFC/RELEASE/IFC4/ADD2_TC1/HTML/schema/ifcprofileresource/pset/pset_profilemechanical.htm" xr:uid="{2AC03AA4-809B-42F2-8BFB-CAE0FA098636}"/>
    <hyperlink ref="Q1984" r:id="rId1561" display="https://standards.buildingsmart.org/IFC/RELEASE/IFC4/ADD2_TC1/HTML/schema/ifchvacdomain/pset/pset_dampertypecontroldamper.htm" xr:uid="{4C6395E0-E83C-47D2-AA83-877F1E9CD2F0}"/>
    <hyperlink ref="Q2302" r:id="rId1562" display="https://standards.buildingsmart.org/IFC/RELEASE/IFC4/ADD2_TC1/HTML/schema/ifcbuildingcontrolsdomain/pset/pset_actuatortyperotationalactuation.htm" xr:uid="{B054CFD6-F36C-4A92-B430-791B25B4F6B0}"/>
    <hyperlink ref="Q2171" r:id="rId1563" display="https://standards.buildingsmart.org/IFC/RELEASE/IFC4/ADD2_TC1/HTML/schema/ifcstructuralelementsdomain/pset/pset_precastslab.htm" xr:uid="{6E626C98-5868-47DB-9C08-3728863233A6}"/>
    <hyperlink ref="Q2165" r:id="rId1564" display="https://standards.buildingsmart.org/IFC/RELEASE/IFC4/ADD2_TC1/HTML/schema/ifcplumbingfireprotectiondomain/pset/pset_sanitaryterminaltypetoiletpan.htm" xr:uid="{12A37CA3-9357-486E-A8BA-9A498B7F4DFC}"/>
    <hyperlink ref="Q2287" r:id="rId1565" display="https://standards.buildingsmart.org/IFC/RELEASE/IFC4/ADD2_TC1/HTML/schema/ifcplumbingfireprotectiondomain/pset/pset_sanitaryterminaltypetoiletpan.htm" xr:uid="{3D6EEC1F-FF7F-4D3F-9390-FA679944F482}"/>
    <hyperlink ref="Q2219" r:id="rId1566" display="https://standards.buildingsmart.org/IFC/RELEASE/IFC4/ADD2_TC1/HTML/schema/ifcelectricaldomain/pset/pset_switchingdevicetypetoggleswitch.htm" xr:uid="{F28A656D-EE1A-4843-910E-9EDB6438905E}"/>
    <hyperlink ref="Q1158" r:id="rId1567" display="https://standards.buildingsmart.org/IFC/RELEASE/IFC4/ADD2_TC1/HTML/schema/ifcelectricaldomain/pset/pset_protectivedevicetrippingfunctionscurve.htm" xr:uid="{9F871926-1405-409D-83ED-98F3342D7786}"/>
    <hyperlink ref="Q1156" r:id="rId1568" display="https://standards.buildingsmart.org/IFC/RELEASE/IFC4/ADD2_TC1/HTML/schema/ifcelectricaldomain/pset/pset_protectivedevicetrippingfunctionicurve.htm" xr:uid="{3C891463-3E03-438B-8710-A79C6534A088}"/>
    <hyperlink ref="Q1157" r:id="rId1569" display="https://standards.buildingsmart.org/IFC/RELEASE/IFC4/ADD2_TC1/HTML/schema/ifcelectricaldomain/pset/pset_protectivedevicetrippingfunctiongcurve.htm" xr:uid="{8CD75D05-AE97-4B04-8DFD-6534B514877E}"/>
    <hyperlink ref="Q2296" r:id="rId1570" display="https://standards.buildingsmart.org/IFC/RELEASE/IFC4/ADD2_TC1/HTML/schema/ifcelectricaldomain/pset/pset_protectivedevicetrippingfunctionscurve.htm" xr:uid="{1639780F-4BEA-4563-978D-DDB22C393BAE}"/>
    <hyperlink ref="Q2294" r:id="rId1571" display="https://standards.buildingsmart.org/IFC/RELEASE/IFC4/ADD2_TC1/HTML/schema/ifcelectricaldomain/pset/pset_protectivedevicetrippingfunctionicurve.htm" xr:uid="{AFB6CC35-92FD-46E1-83C7-A8CE21E73CDA}"/>
    <hyperlink ref="Q2295" r:id="rId1572" display="https://standards.buildingsmart.org/IFC/RELEASE/IFC4/ADD2_TC1/HTML/schema/ifcelectricaldomain/pset/pset_protectivedevicetrippingfunctiongcurve.htm" xr:uid="{68E76438-669F-45CC-A5B0-B8E9A91FDFC5}"/>
    <hyperlink ref="Q2299" r:id="rId1573" display="https://standards.buildingsmart.org/IFC/RELEASE/IFC4/ADD2_TC1/HTML/schema/ifcelectricaldomain/pset/pset_protectivedevicetrippingfunctionscurve.htm" xr:uid="{60F11ACE-9CFE-471B-A6A4-EF24D2C57C17}"/>
    <hyperlink ref="Q2297" r:id="rId1574" display="https://standards.buildingsmart.org/IFC/RELEASE/IFC4/ADD2_TC1/HTML/schema/ifcelectricaldomain/pset/pset_protectivedevicetrippingfunctionicurve.htm" xr:uid="{BB4747E2-BAAB-409E-8858-DC264AC7A60F}"/>
    <hyperlink ref="Q2298" r:id="rId1575" display="https://standards.buildingsmart.org/IFC/RELEASE/IFC4/ADD2_TC1/HTML/schema/ifcelectricaldomain/pset/pset_protectivedevicetrippingfunctiongcurve.htm" xr:uid="{D7E7FF04-27EB-400A-B287-854457EF0146}"/>
    <hyperlink ref="Q451" r:id="rId1576" display="https://standards.buildingsmart.org/IFC/RELEASE/IFC4/ADD2_TC1/HTML/schema/ifcbuildingcontrolsdomain/pset/pset_sensortypefiresensor.htm" xr:uid="{E14A06B5-D163-45F2-B547-05EFF5A5DD5E}"/>
    <hyperlink ref="Q1047" r:id="rId1577" display="https://standards.buildingsmart.org/IFC/RELEASE/IFC4/ADD2_TC1/HTML/schema/ifcelectricaldomain/pset/pset_audiovisualappliancetypecamera.htm" xr:uid="{1BBD230B-54F1-4CF8-8BCB-EFA7846CDC11}"/>
    <hyperlink ref="Q1046" r:id="rId1578" display="https://standards.buildingsmart.org/IFC/RELEASE/IFC4/ADD2_TC1/HTML/schema/ifcelectricaldomain/pset/pset_audiovisualappliancetypecamera.htm" xr:uid="{952A890F-FAEE-449D-B6C8-E9306570DB04}"/>
    <hyperlink ref="Q70" r:id="rId1579" display="https://standards.buildingsmart.org/IFC/RELEASE/IFC4/ADD2_TC1/HTML/schema/ifchvacdomain/pset/pset_shadingdevicephistory.htm" xr:uid="{E3622EE1-4C75-4334-8C42-2081C3873F98}"/>
    <hyperlink ref="Q1091" r:id="rId1580" display="https://standards.buildingsmart.org/IFC/RELEASE/IFC4/ADD2_TC1/HTML/schema/ifcsharedbldgelements/pset/pset_coveringceiling.htm" xr:uid="{886C4C70-C0F4-4EA1-BFDD-D3F9AB198462}"/>
    <hyperlink ref="Q380" r:id="rId1581" display="https://standards.buildingsmart.org/IFC/RELEASE/IFC4/ADD2_TC1/HTML/schema/ifcsharedbldgelements/pset/pset_coveringceiling.htm" xr:uid="{DF0085FA-22EB-455C-94B5-AB8CB3CF69DB}"/>
    <hyperlink ref="Q30" r:id="rId1582" display="https://standards.buildingsmart.org/IFC/RELEASE/IFC4/ADD2_TC1/HTML/schema/ifchvacdomain/pset/pset_airterminaltypecommon.htm" xr:uid="{753F5EAF-8338-442E-8951-9AC3FA53D13F}"/>
    <hyperlink ref="Q31" r:id="rId1583" display="https://standards.buildingsmart.org/IFC/RELEASE/IFC4/ADD2_TC1/HTML/schema/ifchvacdomain/pset/pset_cooledbeamphistoryactive.htm" xr:uid="{091E8083-D724-4019-B46B-277F1DD12D1C}"/>
    <hyperlink ref="Q385" r:id="rId1584" display="https://standards.buildingsmart.org/IFC/RELEASE/IFC4/ADD2_TC1/HTML/schema/ifcsharedcomponentelements/pset/pset_mechanicalfastenerbolt.htm" xr:uid="{993275D2-A306-4049-B8CA-00F4E18C7833}"/>
    <hyperlink ref="Q649" r:id="rId1585" display="https://standards.buildingsmart.org/IFC/RELEASE/IFC4/ADD2_TC1/HTML/schema/ifcsharedcomponentelements/pset/pset_mechanicalfastenerbolt.htm" xr:uid="{E91A649A-5A49-41C9-9BEF-CA0AD6F9CBAD}"/>
    <hyperlink ref="Q1035" r:id="rId1586" display="https://standards.buildingsmart.org/IFC/RELEASE/IFC4/ADD2_TC1/HTML/schema/ifcmaterialresource/pset/pset_materialwood.htm" xr:uid="{CFD895E8-7BE4-4E43-B838-FC0A0083E44B}"/>
    <hyperlink ref="Q879" r:id="rId1587" display="https://standards.buildingsmart.org/IFC/RELEASE/IFC4/ADD2_TC1/HTML/schema/ifcstructuralanalysisdomain/pset/pset_structuralsurfacemembervaryingthickness.htm" xr:uid="{DC775E10-6827-47F2-85E4-C760EE8D6A60}"/>
    <hyperlink ref="Q878" r:id="rId1588" display="https://standards.buildingsmart.org/IFC/RELEASE/IFC4/ADD2_TC1/HTML/schema/ifcstructuralanalysisdomain/pset/pset_structuralsurfacemembervaryingthickness.htm" xr:uid="{19D8C105-1C3E-49CE-92E6-62F38EF64743}"/>
    <hyperlink ref="Q877" r:id="rId1589" display="https://standards.buildingsmart.org/IFC/RELEASE/IFC4/ADD2_TC1/HTML/schema/ifcstructuralanalysisdomain/pset/pset_structuralsurfacemembervaryingthickness.htm" xr:uid="{B8F33F02-B972-4415-B48A-7B6B8E42F0D4}"/>
    <hyperlink ref="Q876" r:id="rId1590" display="https://standards.buildingsmart.org/IFC/RELEASE/IFC4/ADD2_TC1/HTML/schema/ifchvacdomain/pset/pset_tubebundletypefinned.htm" xr:uid="{122E357F-C218-4080-89DF-265F47A46527}"/>
    <hyperlink ref="Q2282" r:id="rId1591" display="https://standards.buildingsmart.org/IFC/RELEASE/IFC4/ADD2_TC1/HTML/schema/ifcbuildingcontrolsdomain/pset/pset_flowinstrumenttypethermometer.htm" xr:uid="{C1494433-9129-4CBC-95C1-C692EC080205}"/>
    <hyperlink ref="Q2264" r:id="rId1592" display="https://standards.buildingsmart.org/IFC/RELEASE/IFC4/ADD2_TC1/HTML/schema/ifcelectricaldomain/pset/pset_protectivedevicetrippingunittypethermal.htm" xr:uid="{512882F5-28B6-4F45-AA29-CBB1DA0F2ABD}"/>
    <hyperlink ref="Q2313" r:id="rId1593" display="https://standards.buildingsmart.org/IFC/RELEASE/IFC4/ADD2_TC1/HTML/schema/ifcsharedbldgelements/pset/pset_doorwindowglazingtype.htm" xr:uid="{C0A54892-41D0-4851-9CE3-3039C817275D}"/>
    <hyperlink ref="Q2314" r:id="rId1594" display="https://standards.buildingsmart.org/IFC/RELEASE/IFC4/ADD2_TC1/HTML/schema/ifcsharedbldgelements/pset/pset_doorwindowglazingtype.htm" xr:uid="{F657626D-C961-49E8-B895-95D796F0CD10}"/>
    <hyperlink ref="Q2320" r:id="rId1595" display="https://standards.buildingsmart.org/IFC/RELEASE/IFC4/ADD2_TC1/HTML/schema/ifcsharedbldgelements/pset/pset_windowcommon.htm" xr:uid="{FB9B0B5B-8E70-472B-86DB-DE6445F77549}"/>
    <hyperlink ref="Q2322" r:id="rId1596" display="https://standards.buildingsmart.org/IFC/RELEASE/IFC4/ADD2_TC1/HTML/schema/ifcsharedbldgelements/pset/pset_wallcommon.htm" xr:uid="{5755DC02-0500-40D6-84FD-F47D1A5053FC}"/>
    <hyperlink ref="Q2328" r:id="rId1597" display="https://standards.buildingsmart.org/IFC/RELEASE/IFC4/ADD2_TC1/HTML/schema/ifcsharedbldgelements/pset/pset_slabcommon.htm" xr:uid="{8162D711-13AF-4AA7-BA80-0775BCC6F3BB}"/>
    <hyperlink ref="Q2318" r:id="rId1598" display="https://standards.buildingsmart.org/IFC/RELEASE/IFC4/ADD2_TC1/HTML/schema/ifcsharedbldgelements/pset/pset_shadingdevicecommon.htm" xr:uid="{49C91386-3026-4776-8DD7-BC9A3BEEA76E}"/>
    <hyperlink ref="Q2329" r:id="rId1599" display="https://standards.buildingsmart.org/IFC/RELEASE/IFC4/ADD2_TC1/HTML/schema/ifcsharedbldgelements/pset/pset_roofcommon.htm" xr:uid="{4BCEC3F1-4DF2-494B-B52C-B1FC5D5AF48B}"/>
    <hyperlink ref="Q2324" r:id="rId1600" display="https://standards.buildingsmart.org/IFC/RELEASE/IFC4/ADD2_TC1/HTML/schema/ifcsharedbldgelements/pset/pset_platecommon.htm" xr:uid="{820D7BAD-16C2-4519-9A39-95EF8CFD4401}"/>
    <hyperlink ref="Q2321" r:id="rId1601" display="https://standards.buildingsmart.org/IFC/RELEASE/IFC4/ADD2_TC1/HTML/schema/ifcsharedbldgelements/pset/pset_membercommon.htm" xr:uid="{FEA079FB-52E3-49D5-9891-6AF439C18463}"/>
    <hyperlink ref="Q2325" r:id="rId1602" display="https://standards.buildingsmart.org/IFC/RELEASE/IFC4/ADD2_TC1/HTML/schema/ifcsharedbldgelements/pset/pset_doorcommon.htm" xr:uid="{1470FCBE-B136-4528-AA17-05674ACEC11D}"/>
    <hyperlink ref="Q2323" r:id="rId1603" display="https://standards.buildingsmart.org/IFC/RELEASE/IFC4/ADD2_TC1/HTML/schema/ifcsharedbldgelements/pset/pset_curtainwallcommon.htm" xr:uid="{322072F0-B814-445E-8939-5F81475AC90B}"/>
    <hyperlink ref="Q2331" r:id="rId1604" display="https://standards.buildingsmart.org/IFC/RELEASE/IFC4/ADD2_TC1/HTML/schema/ifcsharedbldgelements/pset/pset_coveringcommon.htm" xr:uid="{3AA2AAA3-2B3C-4EF8-B364-6D9EE327C3CD}"/>
    <hyperlink ref="Q2317" r:id="rId1605" display="https://standards.buildingsmart.org/IFC/RELEASE/IFC4/ADD2_TC1/HTML/schema/ifcsharedbldgelements/pset/pset_columncommon.htm" xr:uid="{172CC3B0-873C-4244-8D20-044E86F10EE7}"/>
    <hyperlink ref="Q2316" r:id="rId1606" display="https://standards.buildingsmart.org/IFC/RELEASE/IFC4/ADD2_TC1/HTML/schema/ifcsharedbldgelements/pset/pset_chimneycommon.htm" xr:uid="{B99BF1CB-698E-4E9E-B855-F029F8CCA67A}"/>
    <hyperlink ref="Q2326" r:id="rId1607" display="https://standards.buildingsmart.org/IFC/RELEASE/IFC4/ADD2_TC1/HTML/schema/ifcsharedbldgelements/pset/pset_buildingelementproxycommon.htm" xr:uid="{E5258226-4E83-4A55-85EB-DCF89EF9AF62}"/>
    <hyperlink ref="Q2330" r:id="rId1608" display="https://standards.buildingsmart.org/IFC/RELEASE/IFC4/ADD2_TC1/HTML/schema/ifcsharedbldgelements/pset/pset_beamcommon.htm" xr:uid="{6A799806-254A-417F-A242-EC8C10C7587B}"/>
    <hyperlink ref="Q2319" r:id="rId1609" display="https://standards.buildingsmart.org/IFC/RELEASE/IFC4/ADD2_TC1/HTML/schema/ifcsharedbldgelements/pset/pset_staircommon.htm" xr:uid="{375FA092-057B-4288-AD26-A289998CCDF8}"/>
    <hyperlink ref="Q2327" r:id="rId1610" display="https://standards.buildingsmart.org/IFC/RELEASE/IFC4/ADD2_TC1/HTML/schema/ifcsharedbldgelements/pset/pset_rampcommon.htm" xr:uid="{7F79BBBE-1087-48B1-9AAA-9B16535C9D55}"/>
    <hyperlink ref="Q211" r:id="rId1611" display="https://standards.buildingsmart.org/IFC/RELEASE/IFC4/ADD2_TC1/HTML/schema/ifchvacdomain/pset/pset_spaceheatertypecommon.htm" xr:uid="{9A1551EA-DC37-449E-BFD8-FC016F30E280}"/>
    <hyperlink ref="Q2315" r:id="rId1612" display="https://standards.buildingsmart.org/IFC/RELEASE/IFC4/ADD2_TC1/HTML/schema/ifcmaterialresource/pset/pset_materialoptical.htm" xr:uid="{91C18733-42F1-4571-ACAA-9A3F70F45EB5}"/>
    <hyperlink ref="Q972" r:id="rId1613" display="https://standards.buildingsmart.org/IFC/RELEASE/IFC4/ADD2_TC1/HTML/schema/ifcmaterialresource/pset/pset_materialoptical.htm" xr:uid="{2EB01D9D-92A0-4DA4-AF26-2429E4E24DD5}"/>
    <hyperlink ref="Q815" r:id="rId1614" display="https://standards.buildingsmart.org/IFC/RELEASE/IFC4/ADD2_TC1/HTML/schema/ifcmaterialresource/pset/pset_materialoptical.htm" xr:uid="{C9820A7D-53C0-4DBE-B0E6-1F07D4405643}"/>
    <hyperlink ref="Q351" r:id="rId1615" display="https://standards.buildingsmart.org/IFC/RELEASE/IFC4/ADD2_TC1/HTML/schema/ifcmaterialresource/pset/pset_materialmechanical.htm" xr:uid="{B7D8517B-1B52-4229-9BCE-E49959788BF1}"/>
    <hyperlink ref="Q809" r:id="rId1616" display="https://standards.buildingsmart.org/IFC/RELEASE/IFC4/ADD2_TC1/HTML/schema/ifchvacdomain/pset/pset_spaceheatertypecommon.htm" xr:uid="{1BEE6630-8870-4C9E-BE1B-B185EBCC9144}"/>
    <hyperlink ref="Q610" r:id="rId1617" display="https://standards.buildingsmart.org/IFC/RELEASE/IFC4/ADD2_TC1/HTML/schema/ifcmaterialresource/pset/pset_materialenergy.htm" xr:uid="{245FE6F9-C378-46C1-94CB-51BBD0A8C591}"/>
    <hyperlink ref="Q440" r:id="rId1618" display="https://standards.buildingsmart.org/IFC/RELEASE/IFC4/ADD2_TC1/HTML/schema/ifchvacdomain/pset/pset_tubebundletypefinned.htm" xr:uid="{36993452-0C66-43A0-BF25-4AF5BB711B36}"/>
    <hyperlink ref="Q442" r:id="rId1619" display="https://standards.buildingsmart.org/IFC/RELEASE/IFC4/ADD2_TC1/HTML/schema/ifchvacdomain/pset/pset_tubebundletypecommon.htm" xr:uid="{77AA8CBC-D81D-4CD7-9800-8DA7763382E9}"/>
    <hyperlink ref="Q441" r:id="rId1620" display="https://standards.buildingsmart.org/IFC/RELEASE/IFC4/ADD2_TC1/HTML/schema/ifcmaterialresource/pset/pset_materialthermal.htm" xr:uid="{0DFA8D27-E846-4DB1-B3EC-6B5360A77978}"/>
    <hyperlink ref="Q2111" r:id="rId1621" display="https://standards.buildingsmart.org/IFC/RELEASE/IFC4/ADD2_TC1/HTML/schema/ifcelectricaldomain/pset/pset_electricmotortypecommon.htm" xr:uid="{315868BC-D45C-4646-A9CA-1EDA646C3DE5}"/>
    <hyperlink ref="Q1417" r:id="rId1622" display="https://standards.buildingsmart.org/IFC/RELEASE/IFC4/ADD2_TC1/HTML/schema/ifchvacdomain/pset/pset_valvetypecommon.htm" xr:uid="{49A2AC8D-95C3-4D44-BBF5-918E98D9ED72}"/>
    <hyperlink ref="Q600" r:id="rId1623" display="https://standards.buildingsmart.org/IFC/RELEASE/IFC4/ADD2_TC1/HTML/schema/ifcsharedfacilitieselements/pset/pset_propertyagreement.htm" xr:uid="{C1794C47-919A-4E68-99B6-4F6AA3998CEC}"/>
    <hyperlink ref="Q1228" r:id="rId1624" display="https://standards.buildingsmart.org/IFC/RELEASE/IFC4/ADD2_TC1/HTML/schema/ifcproductextension/pset/pset_buildinguse.htm" xr:uid="{05404F85-465C-4348-A31A-6BBD41F0BB55}"/>
    <hyperlink ref="Q1229" r:id="rId1625" display="https://standards.buildingsmart.org/IFC/RELEASE/IFC4/ADD2_TC1/HTML/schema/ifcproductextension/pset/pset_buildinguse.htm" xr:uid="{E71755B1-D2C8-444A-A4A7-257E77082819}"/>
    <hyperlink ref="Q1676" r:id="rId1626" display="https://standards.buildingsmart.org/IFC/RELEASE/IFC4/ADD2_TC1/HTML/schema/ifcstructuralelementsdomain/pset/pset_precastconcreteelementgeneral.htm" xr:uid="{BC896211-D6DB-40EB-B435-E5D0365418C5}"/>
    <hyperlink ref="Q1366" r:id="rId1627" display="https://standards.buildingsmart.org/IFC/RELEASE/IFC4/ADD2_TC1/HTML/schema/ifcbuildingcontrolsdomain/pset/pset_unitarycontrolelementtypethermostat.htm" xr:uid="{E18DB31F-80B2-4830-9CF7-1493F0963A5C}"/>
    <hyperlink ref="Q2252" r:id="rId1628" display="https://standards.buildingsmart.org/IFC/RELEASE/IFC4/ADD2_TC1/HTML/schema/ifcbuildingcontrolsdomain/pset/pset_sensortypetemperaturesensor.htm" xr:uid="{3107DEAF-D662-411C-A691-CCD6ACE41DB8}"/>
    <hyperlink ref="Q2100" r:id="rId1629" display="https://standards.buildingsmart.org/IFC/RELEASE/IFC4/ADD2_TC1/HTML/schema/ifchvacdomain/pset/pset_dampertypecommon.htm" xr:uid="{D870ADFA-837D-4349-A3D2-25CB2AC95EBB}"/>
    <hyperlink ref="Q1976" r:id="rId1630" display="https://standards.buildingsmart.org/IFC/RELEASE/IFC4/ADD2_TC1/HTML/schema/ifchvacdomain/pset/pset_pumptypecommon.htm" xr:uid="{C504CDB1-123A-4FC7-8C9C-8ECF66E1C394}"/>
    <hyperlink ref="Q1981" r:id="rId1631" display="https://standards.buildingsmart.org/IFC/RELEASE/IFC4/ADD2_TC1/HTML/schema/ifchvacdomain/pset/pset_pipesegmenttypecommon.htm" xr:uid="{66158A98-2AFC-466F-A515-DA70C9EF3CF4}"/>
    <hyperlink ref="Q1978" r:id="rId1632" display="https://standards.buildingsmart.org/IFC/RELEASE/IFC4/ADD2_TC1/HTML/schema/ifchvacdomain/pset/pset_pipefittingtypecommon.htm" xr:uid="{671A97BA-2606-414F-A197-5D712CECD93C}"/>
    <hyperlink ref="Q1982" r:id="rId1633" display="https://standards.buildingsmart.org/IFC/RELEASE/IFC4/ADD2_TC1/HTML/schema/ifchvacdomain/pset/pset_ductsilencertypecommon.htm" xr:uid="{B60EA403-013E-469E-A22D-0B65E87BF95E}"/>
    <hyperlink ref="Q1980" r:id="rId1634" display="https://standards.buildingsmart.org/IFC/RELEASE/IFC4/ADD2_TC1/HTML/schema/ifchvacdomain/pset/pset_ductsegmenttypecommon.htm" xr:uid="{7633544B-F803-451D-BFE1-C18FD7521A16}"/>
    <hyperlink ref="Q1977" r:id="rId1635" display="https://standards.buildingsmart.org/IFC/RELEASE/IFC4/ADD2_TC1/HTML/schema/ifchvacdomain/pset/pset_ductfittingtypecommon.htm" xr:uid="{E5D345CC-837B-40DB-B292-B9AD0FFDF1FE}"/>
    <hyperlink ref="Q1979" r:id="rId1636" display="https://standards.buildingsmart.org/IFC/RELEASE/IFC4/ADD2_TC1/HTML/schema/ifchvacdomain/pset/pset_dampertypecommon.htm" xr:uid="{CFEEED54-11FF-4801-826A-9D445F703759}"/>
    <hyperlink ref="Q1983" r:id="rId1637" display="https://standards.buildingsmart.org/IFC/RELEASE/IFC4/ADD2_TC1/HTML/schema/ifchvacdomain/pset/pset_airterminaltypecommon.htm" xr:uid="{DECB3AE2-D482-4EDF-8806-CCE3EA2A7C23}"/>
    <hyperlink ref="Q926" r:id="rId1638" display="https://standards.buildingsmart.org/IFC/RELEASE/IFC4/ADD2_TC1/HTML/schema/ifcelectricaldomain/pset/pset_protectivedevicetrippingunittypethermal.htm" xr:uid="{DB0AA1C0-7F59-413C-92DC-F2A65EEE9748}"/>
    <hyperlink ref="Q925" r:id="rId1639" display="https://standards.buildingsmart.org/IFC/RELEASE/IFC4/ADD2_TC1/HTML/schema/ifcelectricaldomain/pset/pset_protectivedevicetrippingunittypeelectromagnetic.htm" xr:uid="{051B48B7-5FAC-4B75-AA44-54BA415C36F8}"/>
    <hyperlink ref="Q781" r:id="rId1640" display="https://standards.buildingsmart.org/IFC/RELEASE/IFC4/ADD2_TC1/HTML/schema/ifchvacdomain/pset/pset_airtoairheatrecoveryphistory.htm" xr:uid="{C2D80D15-D0C2-41D7-A026-40868E72DDDE}"/>
    <hyperlink ref="Q334" r:id="rId1641" display="https://standards.buildingsmart.org/IFC/RELEASE/IFC4/ADD2_TC1/HTML/schema/ifchvacdomain/pset/pset_spaceheatertypecommon.htm" xr:uid="{3A955FD1-05D6-4C5D-96A4-184EC49C6F30}"/>
    <hyperlink ref="Q2097" r:id="rId1642" display="https://standards.buildingsmart.org/IFC/RELEASE/IFC4/ADD2_TC1/HTML/schema/ifchvacdomain/pset/pset_tankphistory.htm" xr:uid="{258A597C-B1C7-47AA-B69D-D839711B38DB}"/>
    <hyperlink ref="Q2098" r:id="rId1643" display="https://standards.buildingsmart.org/IFC/RELEASE/IFC4/ADD2_TC1/HTML/schema/ifcbuildingcontrolsdomain/pset/pset_unitarycontrolelementphistory.htm" xr:uid="{AE99196F-8DC1-4199-A9D3-6BE4B9C4E8A2}"/>
    <hyperlink ref="Q2099" r:id="rId1644" display="https://standards.buildingsmart.org/IFC/RELEASE/IFC4/ADD2_TC1/HTML/schema/ifcsharedbldgserviceelements/pset/pset_distributionportphistorypipe.htm" xr:uid="{C8529D51-B41E-4AB4-95BC-DDDFCD34CAAE}"/>
    <hyperlink ref="Q2096" r:id="rId1645" display="https://standards.buildingsmart.org/IFC/RELEASE/IFC4/ADD2_TC1/HTML/schema/ifcsharedbldgserviceelements/pset/pset_distributionportphistoryduct.htm" xr:uid="{4DABDDA8-FEBB-47CC-B14E-F2A731F361BC}"/>
    <hyperlink ref="Q2095" r:id="rId1646" display="https://standards.buildingsmart.org/IFC/RELEASE/IFC4/ADD2_TC1/HTML/schema/ifcsharedbldgserviceelements/pset/pset_distributionporttypepipe.htm" xr:uid="{03612A29-751C-4F93-8116-7A0961346D90}"/>
    <hyperlink ref="Q378" r:id="rId1647" display="https://standards.buildingsmart.org/IFC/RELEASE/IFC4/ADD2_TC1/HTML/schema/ifchvacdomain/pset/pset_tankoccurrence.htm" xr:uid="{C37A20C8-D8FF-451C-A463-58267B0003F4}"/>
    <hyperlink ref="Q2108" r:id="rId1648" display="https://standards.buildingsmart.org/IFC/RELEASE/IFC4/ADD2_TC1/HTML/schema/ifcelectricaldomain/pset/pset_protectivedevicetrippingunittypeelectromagnetic.htm" xr:uid="{71A5833F-5D82-43C9-AC9E-13E5BB126C71}"/>
    <hyperlink ref="Q2110" r:id="rId1649" display="https://standards.buildingsmart.org/IFC/RELEASE/IFC4/ADD2_TC1/HTML/schema/ifcelectricaldomain/pset/pset_protectivedevicetrippingunittypethermal.htm" xr:uid="{4D3C1939-2D93-4F9F-B3DF-9E263A00E522}"/>
    <hyperlink ref="Q2109" r:id="rId1650" display="https://standards.buildingsmart.org/IFC/RELEASE/IFC4/ADD2_TC1/HTML/schema/ifcelectricaldomain/pset/pset_protectivedevicetrippingunittypeelectromagnetic.htm" xr:uid="{2A1D352C-F231-4EE2-A9FB-544BCE95E05B}"/>
    <hyperlink ref="Q1769" r:id="rId1651" display="https://standards.buildingsmart.org/IFC/RELEASE/IFC4/ADD2_TC1/HTML/schema/ifcsharedbldgelements/pset/pset_buildingelementproxyprovisionforvoid.htm" xr:uid="{0798B7D9-BEE3-4C3A-9090-4EEFDC3CD0C3}"/>
    <hyperlink ref="Q1078" r:id="rId1652" display="https://standards.buildingsmart.org/IFC/RELEASE/IFC4/ADD2_TC1/HTML/schema/ifcelectricaldomain/pset/pset_switchingdevicetypetoggleswitch.htm" xr:uid="{CF9532A3-58E2-4C4A-82E3-5670C2E04570}"/>
    <hyperlink ref="Q1079" r:id="rId1653" display="https://standards.buildingsmart.org/IFC/RELEASE/IFC4/ADD2_TC1/HTML/schema/ifcelectricaldomain/pset/pset_switchingdevicetypeselectorswitch.htm" xr:uid="{59331D27-CB1C-4989-9C17-10C4A02FF030}"/>
    <hyperlink ref="Q1076" r:id="rId1654" display="https://standards.buildingsmart.org/IFC/RELEASE/IFC4/ADD2_TC1/HTML/schema/ifcelectricaldomain/pset/pset_switchingdevicetypeemergencystop.htm" xr:uid="{5F9041F7-FEE7-4AE6-B373-34178A646602}"/>
    <hyperlink ref="Q1075" r:id="rId1655" display="https://standards.buildingsmart.org/IFC/RELEASE/IFC4/ADD2_TC1/HTML/schema/ifcelectricaldomain/pset/pset_switchingdevicetypecommon.htm" xr:uid="{FA746994-EAE0-4655-A9C7-A7B5EE5612C6}"/>
    <hyperlink ref="Q1077" r:id="rId1656" display="https://standards.buildingsmart.org/IFC/RELEASE/IFC4/ADD2_TC1/HTML/schema/ifcelectricaldomain/pset/pset_switchingdevicetypeswitchdisconnector.htm" xr:uid="{341C3038-5DEC-4548-AA18-502AC6A86233}"/>
    <hyperlink ref="Q1073" r:id="rId1657" display="https://standards.buildingsmart.org/IFC/RELEASE/IFC4/ADD2_TC1/HTML/schema/ifcelectricaldomain/pset/pset_switchingdevicetypetoggleswitch.htm" xr:uid="{49552213-60B4-4930-8362-59BC065EDAB3}"/>
    <hyperlink ref="Q1074" r:id="rId1658" display="https://standards.buildingsmart.org/IFC/RELEASE/IFC4/ADD2_TC1/HTML/schema/ifcelectricaldomain/pset/pset_switchingdevicetypeselectorswitch.htm" xr:uid="{284747D5-6BB3-4F8C-80A6-62F87F5AF74A}"/>
    <hyperlink ref="Q2086" r:id="rId1659" display="https://standards.buildingsmart.org/IFC/RELEASE/IFC4/ADD2_TC1/HTML/schema/ifchvacdomain/pset/pset_spaceheaterphistory.htm" xr:uid="{4A7D413A-21F4-44D6-BBED-E8E3C4CD86CE}"/>
    <hyperlink ref="Q1054" r:id="rId1660" display="https://standards.buildingsmart.org/IFC/RELEASE/IFC4/ADD2_TC1/HTML/schema/ifcsharedbldgelements/pset/pset_wallcommon.htm" xr:uid="{C96C33CD-B66A-4F99-9215-23F7BC632989}"/>
    <hyperlink ref="Q1056" r:id="rId1661" display="https://standards.buildingsmart.org/IFC/RELEASE/IFC4/ADD2_TC1/HTML/schema/ifcsharedbldgelements/pset/pset_slabcommon.htm" xr:uid="{2E928660-37B0-410F-9910-D6243867B4D7}"/>
    <hyperlink ref="Q1055" r:id="rId1662" display="https://standards.buildingsmart.org/IFC/RELEASE/IFC4/ADD2_TC1/HTML/schema/ifcsharedbldgelements/pset/pset_curtainwallcommon.htm" xr:uid="{8A35AF28-9A0D-40E6-B74C-9B8BFADAE05C}"/>
    <hyperlink ref="Q1053" r:id="rId1663" display="https://standards.buildingsmart.org/IFC/RELEASE/IFC4/ADD2_TC1/HTML/schema/ifcsharedbldgelements/pset/pset_coveringcommon.htm" xr:uid="{A5EB9F37-B5D6-4E9C-A066-8752A22DEEFF}"/>
    <hyperlink ref="Q499" r:id="rId1664" display="https://standards.buildingsmart.org/IFC/RELEASE/IFC4/ADD2_TC1/HTML/schema/ifcsharedbldgelements/pset/pset_shadingdevicecommon.htm" xr:uid="{F6501E6B-E5F4-4DF8-929D-945982B678E8}"/>
    <hyperlink ref="Q139" r:id="rId1665" display="https://standards.buildingsmart.org/IFC/RELEASE/IFC4/ADD2_TC1/HTML/schema/ifcsharedcomponentelements/pset/pset_fastenerweld.htm" xr:uid="{B426F320-5DB1-4EC8-9D14-D5E00EC4A1E2}"/>
    <hyperlink ref="Q138" r:id="rId1666" display="https://standards.buildingsmart.org/IFC/RELEASE/IFC4/ADD2_TC1/HTML/schema/ifcsharedcomponentelements/pset/pset_fastenerweld.htm" xr:uid="{7BB437EA-2C0A-485A-8B36-4E3B15AA7BC3}"/>
    <hyperlink ref="Q2257" r:id="rId1667" display="https://standards.buildingsmart.org/IFC/RELEASE/IFC4/ADD2_TC1/HTML/schema/ifcsharedfacilitieselements/pset/pset_systemfurnitureelementtypeworksurface.htm" xr:uid="{3CD5F22F-CA8C-4FA5-9103-2BE7B7696E1B}"/>
    <hyperlink ref="Q1549" r:id="rId1668" display="https://standards.buildingsmart.org/IFC/RELEASE/IFC4/ADD2_TC1/HTML/schema/ifcstructuralelementsdomain/pset/pset_precastconcreteelementgeneral.htm" xr:uid="{68B6161E-28B6-4076-AED8-2E5D5B8AFB27}"/>
    <hyperlink ref="Q614" r:id="rId1669" display="https://standards.buildingsmart.org/IFC/RELEASE/IFC4/ADD2_TC1/HTML/schema/ifcstructuralelementsdomain/pset/pset_precastconcreteelementgeneral.htm" xr:uid="{9D201637-EF7B-408D-BAF1-DF68F0713EC5}"/>
    <hyperlink ref="Q2048" r:id="rId1670" display="https://standards.buildingsmart.org/IFC/RELEASE/IFC4/ADD2_TC1/HTML/schema/ifchvacdomain/pset/pset_cooledbeamphistory.htm" xr:uid="{CF38E4B2-2461-472C-8173-B408FF58E3E2}"/>
    <hyperlink ref="Q2070" r:id="rId1671" display="https://standards.buildingsmart.org/IFC/RELEASE/IFC4/ADD2_TC1/HTML/schema/ifchvacdomain/pset/pset_cooledbeamphistory.htm" xr:uid="{669E7479-97EB-48B0-823D-FE782422B24C}"/>
    <hyperlink ref="Q2050" r:id="rId1672" display="https://standards.buildingsmart.org/IFC/RELEASE/IFC4/ADD2_TC1/HTML/schema/ifchvacdomain/pset/pset_airterminalphistory.htm" xr:uid="{F5B201C3-1786-4054-8E32-DFBA50B7631F}"/>
    <hyperlink ref="Q2051" r:id="rId1673" display="https://standards.buildingsmart.org/IFC/RELEASE/IFC4/ADD2_TC1/HTML/schema/ifchvacdomain/pset/pset_airterminalphistory.htm" xr:uid="{3E3BC17E-34BE-4537-A356-1E4F6C2DA647}"/>
    <hyperlink ref="Q2175" r:id="rId1674" display="https://standards.buildingsmart.org/IFC/RELEASE/IFC4/ADD2_TC1/HTML/schema/ifchvacdomain/pset/pset_cooledbeamtypeactive.htm" xr:uid="{B478ACBC-76DD-4C3E-A841-922FF8B21824}"/>
    <hyperlink ref="Q818" r:id="rId1675" display="https://standards.buildingsmart.org/IFC/RELEASE/IFC4/ADD2_TC1/HTML/schema/ifchvacdomain/pset/pset_coolingtowerphistory.htm" xr:uid="{030BDD28-864A-41E2-9C63-139CA4051799}"/>
    <hyperlink ref="Q1882" r:id="rId1676" display="https://standards.buildingsmart.org/IFC/RELEASE/IFC4/ADD2_TC1/HTML/schema/ifcbuildingcontrolsdomain/pset/pset_sensortypeionconcentrationsensor.htm" xr:uid="{33F3E0DA-4FEE-4B3D-80FB-58290F0CA235}"/>
    <hyperlink ref="Q1881" r:id="rId1677" display="https://standards.buildingsmart.org/IFC/RELEASE/IFC4/ADD2_TC1/HTML/schema/ifcsharedfacilitieselements/pset/pset_risk.htm" xr:uid="{91299D9C-4D03-498B-91A7-B5E9EE35C202}"/>
    <hyperlink ref="Q1880" r:id="rId1678" display="https://standards.buildingsmart.org/IFC/RELEASE/IFC4/ADD2_TC1/HTML/schema/ifcsharedfacilitieselements/pset/pset_risk.htm" xr:uid="{BF19EAB6-5565-482D-B283-40CFEAED92F0}"/>
    <hyperlink ref="Q895" r:id="rId1679" display="https://standards.buildingsmart.org/IFC/RELEASE/IFC4/ADD2_TC1/HTML/schema/ifcsharedfacilitieselements/pset/pset_furnituretypecommon.htm" xr:uid="{B9B25762-0601-457A-80E3-4D14AFE27A03}"/>
    <hyperlink ref="Q282" r:id="rId1680" display="https://standards.buildingsmart.org/IFC/RELEASE/IFC4/ADD2_TC1/HTML/schema/ifcstructuralelementsdomain/pset/pset_concreteelementgeneral.htm" xr:uid="{234571BF-8BCC-4093-837F-577FE5FFCA82}"/>
    <hyperlink ref="Q546" r:id="rId1681" display="https://standards.buildingsmart.org/IFC/RELEASE/IFC4/ADD2_TC1/HTML/schema/ifcbuildingcontrolsdomain/pset/pset_actuatortypelinearactuation.htm" xr:uid="{C07E55F7-F2F4-4045-AA21-6DF88159EFEE}"/>
    <hyperlink ref="Q944" r:id="rId1682" display="https://standards.buildingsmart.org/IFC/RELEASE/IFC4/ADD2_TC1/HTML/schema/ifcmaterialresource/pset/pset_materialwood.htm" xr:uid="{FD93FDF2-4EFC-4912-A4DE-BE077C5A00E6}"/>
    <hyperlink ref="Q943" r:id="rId1683" display="https://standards.buildingsmart.org/IFC/RELEASE/IFC4/ADD2_TC1/HTML/schema/ifcstructuralelementsdomain/pset/pset_concreteelementgeneral.htm" xr:uid="{1A0B101E-AD7D-45DE-B37B-C5B1A16BA8B1}"/>
    <hyperlink ref="Q643" r:id="rId1684" display="https://standards.buildingsmart.org/IFC/RELEASE/IFC4/ADD2_TC1/HTML/schema/ifcproductextension/pset/pset_environmentalimpactindicators.htm" xr:uid="{23E55649-ECD6-4E08-ABEF-6FC891A26FD7}"/>
    <hyperlink ref="Q644" r:id="rId1685" display="https://standards.buildingsmart.org/IFC/RELEASE/IFC4/ADD2_TC1/HTML/schema/ifcproductextension/pset/pset_environmentalimpactvalues.htm" xr:uid="{AE7478B8-5F09-40A9-8AF1-0420811FC30D}"/>
    <hyperlink ref="Q2160" r:id="rId1686" display="https://standards.buildingsmart.org/IFC/RELEASE/IFC4/ADD2_TC1/HTML/schema/ifchvacdomain/pset/pset_tanktypecommon.htm" xr:uid="{1A9FEF55-F185-4A1A-9136-F2EB49413BB4}"/>
    <hyperlink ref="Q1039" r:id="rId1687" display="https://standards.buildingsmart.org/IFC/RELEASE/IFC4/ADD2_TC1/HTML/schema/ifcstructuralelementsdomain/pset/pset_reinforcementbarpitchofbeam.htm" xr:uid="{9CB5F18F-2FC0-4E5B-B3C3-D9C4B9D610BA}"/>
    <hyperlink ref="Q1119" r:id="rId1688" display="https://standards.buildingsmart.org/IFC/RELEASE/IFC4/ADD2_TC1/HTML/schema/ifcprofileresource/pset/pset_profilearbitrarydoublet.htm" xr:uid="{EDA1FC00-B3FB-4A53-903E-0E5F181F870C}"/>
    <hyperlink ref="Q1533" r:id="rId1689" display="https://standards.buildingsmart.org/IFC/RELEASE/IFC4/ADD2_TC1/HTML/schema/ifcprofileresource/pset/pset_profilearbitrarydoublet.htm" xr:uid="{B3CE351E-BB1D-461B-B2B9-CE679F38231B}"/>
    <hyperlink ref="Q254" r:id="rId1690" display="https://standards.buildingsmart.org/IFC/RELEASE/IFC4/ADD2_TC1/HTML/schema/ifcprofileresource/pset/pset_profilearbitrarydoublet.htm" xr:uid="{6B295832-D0CD-414D-81F7-4ED6D0C3CA7E}"/>
    <hyperlink ref="Q1092" r:id="rId1691" display="https://standards.buildingsmart.org/IFC/RELEASE/IFC4/ADD2_TC1/HTML/schema/ifcprofileresource/pset/pset_profilearbitrarydoublet.htm" xr:uid="{34A9FAF6-5AFC-4CD4-8000-B54624A7E0BC}"/>
    <hyperlink ref="Q1530" r:id="rId1692" display="https://standards.buildingsmart.org/IFC/RELEASE/IFC4/ADD2_TC1/HTML/schema/ifcprofileresource/pset/pset_profilearbitrarydoublet.htm" xr:uid="{037AC0DA-3119-4FA6-A2EA-C71934F23045}"/>
    <hyperlink ref="Q253" r:id="rId1693" display="https://standards.buildingsmart.org/IFC/RELEASE/IFC4/ADD2_TC1/HTML/schema/ifcprofileresource/pset/pset_profilearbitrarydoublet.htm" xr:uid="{7E65E0D5-F62E-4AF3-8CB2-DCF1558E3A56}"/>
    <hyperlink ref="Q2380" r:id="rId1694" display="https://standards.buildingsmart.org/IFC/RELEASE/IFC4/ADD2_TC1/HTML/schema/ifcsharedbldgserviceelements/pset/pset_utilityconsumptionphistory.htm" xr:uid="{88DAA41C-5CEC-4329-8181-6AFAF8A1EE0E}"/>
    <hyperlink ref="Q1824" r:id="rId1695" display="https://standards.buildingsmart.org/IFC/RELEASE/IFC4/ADD2_TC1/HTML/schema/ifcbuildingcontrolsdomain/pset/pset_sensorphistory.htm" xr:uid="{C19538F9-ED6D-44FE-AB27-3D1AA6CDDAFD}"/>
    <hyperlink ref="Q1823" r:id="rId1696" display="https://standards.buildingsmart.org/IFC/RELEASE/IFC4/ADD2_TC1/HTML/schema/ifcbuildingcontrolsdomain/pset/pset_flowinstrumentphistory.htm" xr:uid="{EF11675F-8D6B-48E2-B504-ED40431B2049}"/>
    <hyperlink ref="Q1822" r:id="rId1697" display="https://standards.buildingsmart.org/IFC/RELEASE/IFC4/ADD2_TC1/HTML/schema/ifcbuildingcontrolsdomain/pset/pset_controllerphistory.htm" xr:uid="{4202B21D-2531-4153-8BA8-6627F03D3513}"/>
    <hyperlink ref="Q1821" r:id="rId1698" display="https://standards.buildingsmart.org/IFC/RELEASE/IFC4/ADD2_TC1/HTML/schema/ifcbuildingcontrolsdomain/pset/pset_actuatorphistory.htm" xr:uid="{5CD21155-6C55-4251-83B9-CBC040596ED0}"/>
    <hyperlink ref="Q1829" r:id="rId1699" display="https://standards.buildingsmart.org/IFC/RELEASE/IFC4/ADD2_TC1/HTML/schema/ifcsharedbldgelements/pset/pset_windowcommon.htm" xr:uid="{B42BC3B2-5571-41A9-AE97-41806D3B9C19}"/>
    <hyperlink ref="Q1864" r:id="rId1700" display="https://standards.buildingsmart.org/IFC/RELEASE/IFC4/ADD2_TC1/HTML/schema/ifcplumbingfireprotectiondomain/pset/pset_wasteterminaltypecommon.htm" xr:uid="{26D152C2-C00A-45C6-AAF2-0C4EBC33BC76}"/>
    <hyperlink ref="Q1838" r:id="rId1701" display="https://standards.buildingsmart.org/IFC/RELEASE/IFC4/ADD2_TC1/HTML/schema/ifcsharedbldgelements/pset/pset_wallcommon.htm" xr:uid="{850DFF0E-A7E5-45B7-A97F-73CB8B5FFCB7}"/>
    <hyperlink ref="Q1827" r:id="rId1702" display="https://standards.buildingsmart.org/IFC/RELEASE/IFC4/ADD2_TC1/HTML/schema/ifchvacdomain/pset/pset_vibrationisolatortypecommon.htm" xr:uid="{4788616D-F0BF-4E91-943B-C059C547B783}"/>
    <hyperlink ref="Q1872" r:id="rId1703" display="https://standards.buildingsmart.org/IFC/RELEASE/IFC4/ADD2_TC1/HTML/schema/ifchvacdomain/pset/pset_valvetypecommon.htm" xr:uid="{DE40A73B-1C86-4786-A6C0-AC7893695D22}"/>
    <hyperlink ref="Q1813" r:id="rId1704" display="https://standards.buildingsmart.org/IFC/RELEASE/IFC4/ADD2_TC1/HTML/schema/ifchvacdomain/pset/pset_unitaryequipmenttypecommon.htm" xr:uid="{935EE1C0-25B5-4147-AAAF-754BDB48D369}"/>
    <hyperlink ref="Q1810" r:id="rId1705" display="https://standards.buildingsmart.org/IFC/RELEASE/IFC4/ADD2_TC1/HTML/schema/ifcbuildingcontrolsdomain/pset/pset_unitarycontrolelementtypecommon.htm" xr:uid="{C437CEC2-A277-4136-BE6C-55B0AF7430E7}"/>
    <hyperlink ref="Q1856" r:id="rId1706" display="https://standards.buildingsmart.org/IFC/RELEASE/IFC4/ADD2_TC1/HTML/schema/ifchvacdomain/pset/pset_tubebundletypecommon.htm" xr:uid="{CE58F549-8908-43DF-B19B-BE6F9EBFB7DF}"/>
    <hyperlink ref="Q1811" r:id="rId1707" display="https://standards.buildingsmart.org/IFC/RELEASE/IFC4/ADD2_TC1/HTML/schema/ifcproductextension/pset/pset_transportelementcommon.htm" xr:uid="{5DAA8EDE-532E-48DC-905F-7D2DFDE07DBE}"/>
    <hyperlink ref="Q1869" r:id="rId1708" display="https://standards.buildingsmart.org/IFC/RELEASE/IFC4/ADD2_TC1/HTML/schema/ifcelectricaldomain/pset/pset_transformertypecommon.htm" xr:uid="{EC97248B-8839-4388-83CC-3FF42CB1EAC3}"/>
    <hyperlink ref="Q1861" r:id="rId1709" display="https://standards.buildingsmart.org/IFC/RELEASE/IFC4/ADD2_TC1/HTML/schema/ifcstructuralelementsdomain/pset/pset_tendoncommon.htm" xr:uid="{DA9EF028-683D-49F0-A3A6-944846785E51}"/>
    <hyperlink ref="Q1776" r:id="rId1710" display="https://standards.buildingsmart.org/IFC/RELEASE/IFC4/ADD2_TC1/HTML/schema/ifcstructuralelementsdomain/pset/pset_tendonanchorcommon.htm" xr:uid="{74E97009-5E5B-4C32-9B1F-60442534AC6D}"/>
    <hyperlink ref="Q1859" r:id="rId1711" display="https://standards.buildingsmart.org/IFC/RELEASE/IFC4/ADD2_TC1/HTML/schema/ifchvacdomain/pset/pset_tanktypecommon.htm" xr:uid="{6C53407A-44E1-48DF-89C4-9A9A53C3EE43}"/>
    <hyperlink ref="Q1801" r:id="rId1712" display="https://standards.buildingsmart.org/IFC/RELEASE/IFC4/ADD2_TC1/HTML/schema/ifcelectricaldomain/pset/pset_switchingdevicetypecommon.htm" xr:uid="{53E97753-A5E2-4B6C-A0B3-A69A761571C2}"/>
    <hyperlink ref="Q1815" r:id="rId1713" display="https://standards.buildingsmart.org/IFC/RELEASE/IFC4/ADD2_TC1/HTML/schema/ifcsharedbldgelements/pset/pset_stairflightcommon.htm" xr:uid="{33560824-B415-429A-9A0B-F940DAAA1D76}"/>
    <hyperlink ref="Q1814" r:id="rId1714" display="https://standards.buildingsmart.org/IFC/RELEASE/IFC4/ADD2_TC1/HTML/schema/ifcsharedbldgelements/pset/pset_staircommon.htm" xr:uid="{CF1CB920-E0C6-46E9-A97B-38BEF39BE75A}"/>
    <hyperlink ref="Q1865" r:id="rId1715" display="https://standards.buildingsmart.org/IFC/RELEASE/IFC4/ADD2_TC1/HTML/schema/ifcplumbingfireprotectiondomain/pset/pset_stackterminaltypecommon.htm" xr:uid="{DE92A321-4EC9-4AE8-8E04-A452E92F8CA5}"/>
    <hyperlink ref="Q1779" r:id="rId1716" display="https://standards.buildingsmart.org/IFC/RELEASE/IFC4/ADD2_TC1/HTML/schema/ifchvacdomain/pset/pset_spaceheatertypecommon.htm" xr:uid="{F28AA514-F694-4B35-9B62-83E40E3ACE5A}"/>
    <hyperlink ref="Q1806" r:id="rId1717" display="https://standards.buildingsmart.org/IFC/RELEASE/IFC4/ADD2_TC1/HTML/schema/ifcelectricaldomain/pset/pset_solardevicetypecommon.htm" xr:uid="{5EA4577F-B440-43ED-881C-F9BD2374F8C3}"/>
    <hyperlink ref="Q1858" r:id="rId1718" display="https://standards.buildingsmart.org/IFC/RELEASE/IFC4/ADD2_TC1/HTML/schema/ifcsharedbldgelements/pset/pset_slabcommon.htm" xr:uid="{0EF92421-4480-41E3-82DB-ADCD452D23BE}"/>
    <hyperlink ref="Q1804" r:id="rId1719" display="https://standards.buildingsmart.org/IFC/RELEASE/IFC4/ADD2_TC1/HTML/schema/ifcsharedbldgelements/pset/pset_shadingdevicecommon.htm" xr:uid="{87D8E5D3-81E0-4EFE-83F9-FFEB5D63680F}"/>
    <hyperlink ref="Q1854" r:id="rId1720" display="https://standards.buildingsmart.org/IFC/RELEASE/IFC4/ADD2_TC1/HTML/schema/ifcbuildingcontrolsdomain/pset/pset_sensortypecommon.htm" xr:uid="{F98DA45B-79F0-4B06-8B40-D2A89B1D1E86}"/>
    <hyperlink ref="Q1866" r:id="rId1721" display="https://standards.buildingsmart.org/IFC/RELEASE/IFC4/ADD2_TC1/HTML/schema/ifcplumbingfireprotectiondomain/pset/pset_sanitaryterminaltypecommon.htm" xr:uid="{5DE2A5C5-2836-4885-BEEB-466E91CC93B1}"/>
    <hyperlink ref="Q1860" r:id="rId1722" display="https://standards.buildingsmart.org/IFC/RELEASE/IFC4/ADD2_TC1/HTML/schema/ifcsharedbldgelements/pset/pset_roofcommon.htm" xr:uid="{DD7C0BA9-316A-4DED-B036-B9A7A319AED0}"/>
    <hyperlink ref="Q1848" r:id="rId1723" display="https://standards.buildingsmart.org/IFC/RELEASE/IFC4/ADD2_TC1/HTML/schema/ifcstructuralelementsdomain/pset/pset_reinforcingmeshcommon.htm" xr:uid="{C6DFFCFE-7D44-4DB9-9D13-A3748AFD6E12}"/>
    <hyperlink ref="Q1781" r:id="rId1724" display="https://standards.buildingsmart.org/IFC/RELEASE/IFC4/ADD2_TC1/HTML/schema/ifcstructuralelementsdomain/pset/pset_reinforcingbarcommon.htm" xr:uid="{0110CBB0-FE28-48D9-A6F7-26E715E19F44}"/>
    <hyperlink ref="Q1845" r:id="rId1725" display="https://standards.buildingsmart.org/IFC/RELEASE/IFC4/ADD2_TC1/HTML/schema/ifcsharedbldgelements/pset/pset_rampflightcommon.htm" xr:uid="{245139D8-545A-4E05-80C0-1FAC364BDFF0}"/>
    <hyperlink ref="Q1846" r:id="rId1726" display="https://standards.buildingsmart.org/IFC/RELEASE/IFC4/ADD2_TC1/HTML/schema/ifcsharedbldgelements/pset/pset_rampcommon.htm" xr:uid="{1690843C-A4CA-4A05-B60D-D5194823B2D5}"/>
    <hyperlink ref="Q1799" r:id="rId1727" display="https://standards.buildingsmart.org/IFC/RELEASE/IFC4/ADD2_TC1/HTML/schema/ifcsharedbldgelements/pset/pset_railingcommon.htm" xr:uid="{7BE94202-AFA9-4F2C-9214-16833F62C7E1}"/>
    <hyperlink ref="Q1782" r:id="rId1728" display="https://standards.buildingsmart.org/IFC/RELEASE/IFC4/ADD2_TC1/HTML/schema/ifchvacdomain/pset/pset_pumptypecommon.htm" xr:uid="{B2CE2DF0-BC36-48AD-889A-32B74DC8C97B}"/>
    <hyperlink ref="Q1803" r:id="rId1729" display="https://standards.buildingsmart.org/IFC/RELEASE/IFC4/ADD2_TC1/HTML/schema/ifcelectricaldomain/pset/pset_protectivedevicetypecommon.htm" xr:uid="{37312AD9-CA3E-4825-897F-F1BD6B13C928}"/>
    <hyperlink ref="Q1802" r:id="rId1730" display="https://standards.buildingsmart.org/IFC/RELEASE/IFC4/ADD2_TC1/HTML/schema/ifcelectricaldomain/pset/pset_protectivedevicetrippingunittypecommon.htm" xr:uid="{2B31EE94-BE6B-44A8-8FA4-031F6CE4C179}"/>
    <hyperlink ref="Q1840" r:id="rId1731" display="https://standards.buildingsmart.org/IFC/RELEASE/IFC4/ADD2_TC1/HTML/schema/ifcsharedbldgelements/pset/pset_platecommon.htm" xr:uid="{4E1E99FA-610B-4652-868D-629A1CC521CB}"/>
    <hyperlink ref="Q1853" r:id="rId1732" display="https://standards.buildingsmart.org/IFC/RELEASE/IFC4/ADD2_TC1/HTML/schema/ifchvacdomain/pset/pset_pipesegmenttypecommon.htm" xr:uid="{93E55B54-E6A2-4C2E-AD60-C592CDAEA4F9}"/>
    <hyperlink ref="Q1796" r:id="rId1733" display="https://standards.buildingsmart.org/IFC/RELEASE/IFC4/ADD2_TC1/HTML/schema/ifchvacdomain/pset/pset_pipefittingtypecommon.htm" xr:uid="{00F13576-B474-4B70-AC23-50D6F893B0B6}"/>
    <hyperlink ref="Q1816" r:id="rId1734" display="https://standards.buildingsmart.org/IFC/RELEASE/IFC4/ADD2_TC1/HTML/schema/ifcstructuralelementsdomain/pset/pset_pilecommon.htm" xr:uid="{D2BE3290-8D35-4618-A19A-2E4038231CC1}"/>
    <hyperlink ref="Q1867" r:id="rId1735" display="https://standards.buildingsmart.org/IFC/RELEASE/IFC4/ADD2_TC1/HTML/schema/ifcelectricaldomain/pset/pset_outlettypecommon.htm" xr:uid="{EE30ECB6-BC9B-47BF-87D7-F6C6E31105E2}"/>
    <hyperlink ref="Q1809" r:id="rId1736" display="https://standards.buildingsmart.org/IFC/RELEASE/IFC4/ADD2_TC1/HTML/schema/ifcproductextension/pset/pset_openingelementcommon.htm" xr:uid="{D038428D-6072-4C9C-BEE8-DF0C558A0F7D}"/>
    <hyperlink ref="Q1794" r:id="rId1737" display="https://standards.buildingsmart.org/IFC/RELEASE/IFC4/ADD2_TC1/HTML/schema/ifcelectricaldomain/pset/pset_motorconnectiontypecommon.htm" xr:uid="{AF3E41F3-BA7C-4DB9-B346-D8ADC2D4DD06}"/>
    <hyperlink ref="Q1834" r:id="rId1738" display="https://standards.buildingsmart.org/IFC/RELEASE/IFC4/ADD2_TC1/HTML/schema/ifcsharedbldgelements/pset/pset_membercommon.htm" xr:uid="{56C88176-4508-4CE6-A8DF-B2B265FDC0C5}"/>
    <hyperlink ref="Q1805" r:id="rId1739" display="https://standards.buildingsmart.org/IFC/RELEASE/IFC4/ADD2_TC1/HTML/schema/ifchvacdomain/pset/pset_medicaldevicetypecommon.htm" xr:uid="{CDE806FF-C737-4A54-A42E-53527DD010F4}"/>
    <hyperlink ref="Q1831" r:id="rId1740" display="https://standards.buildingsmart.org/IFC/RELEASE/IFC4/ADD2_TC1/HTML/schema/ifcelectricaldomain/pset/pset_lightfixturetypecommon.htm" xr:uid="{FDED619F-6949-4A9C-B7F2-A4C8100C689B}"/>
    <hyperlink ref="Q1830" r:id="rId1741" display="https://standards.buildingsmart.org/IFC/RELEASE/IFC4/ADD2_TC1/HTML/schema/ifcelectricaldomain/pset/pset_lamptypecommon.htm" xr:uid="{B72C91EA-27CB-418A-8AB3-9F7D14396D33}"/>
    <hyperlink ref="Q1784" r:id="rId1742" display="https://standards.buildingsmart.org/IFC/RELEASE/IFC4/ADD2_TC1/HTML/schema/ifcelectricaldomain/pset/pset_junctionboxtypecommon.htm" xr:uid="{DCEDB84E-9FFB-4E5E-B0C6-09A9BE2EBDC1}"/>
    <hyperlink ref="Q1826" r:id="rId1743" display="https://standards.buildingsmart.org/IFC/RELEASE/IFC4/ADD2_TC1/HTML/schema/ifcplumbingfireprotectiondomain/pset/pset_interceptortypecommon.htm" xr:uid="{31145D11-1640-4222-AE33-C66FB5809A2D}"/>
    <hyperlink ref="Q1871" r:id="rId1744" display="https://standards.buildingsmart.org/IFC/RELEASE/IFC4/ADD2_TC1/HTML/schema/ifchvacdomain/pset/pset_humidifiertypecommon.htm" xr:uid="{6B191DAC-35FE-46C3-95AB-A65B7DA3DC3A}"/>
    <hyperlink ref="Q1870" r:id="rId1745" display="https://standards.buildingsmart.org/IFC/RELEASE/IFC4/ADD2_TC1/HTML/schema/ifchvacdomain/pset/pset_heatexchangertypecommon.htm" xr:uid="{D85F33CA-9A78-4F9A-859D-7A81B8195D4E}"/>
    <hyperlink ref="Q1835" r:id="rId1746" display="https://standards.buildingsmart.org/IFC/RELEASE/IFC4/ADD2_TC1/HTML/schema/ifcsharedfacilitieselements/pset/pset_furnituretypecommon.htm" xr:uid="{1B44978B-3C81-42BB-A6D8-8E0C9952BD9D}"/>
    <hyperlink ref="Q1819" r:id="rId1747" display="https://standards.buildingsmart.org/IFC/RELEASE/IFC4/ADD2_TC1/HTML/schema/ifcstructuralelementsdomain/pset/pset_footingcommon.htm" xr:uid="{0BB01260-5A9C-4839-93E8-9B9054B25A8C}"/>
    <hyperlink ref="Q1833" r:id="rId1748" display="https://standards.buildingsmart.org/IFC/RELEASE/IFC4/ADD2_TC1/HTML/schema/ifchvacdomain/pset/pset_flowmetertypecommon.htm" xr:uid="{3CDC49B0-122A-4C63-B2B1-A147DA159AE4}"/>
    <hyperlink ref="Q1825" r:id="rId1749" display="https://standards.buildingsmart.org/IFC/RELEASE/IFC4/ADD2_TC1/HTML/schema/ifcbuildingcontrolsdomain/pset/pset_flowinstrumenttypecommon.htm" xr:uid="{F916DA3F-EE0D-4727-95BB-7FD8001928C9}"/>
    <hyperlink ref="Q1863" r:id="rId1750" display="https://standards.buildingsmart.org/IFC/RELEASE/IFC4/ADD2_TC1/HTML/schema/ifcplumbingfireprotectiondomain/pset/pset_firesuppressionterminaltypecommon.htm" xr:uid="{7698E373-D14B-498C-A8E3-3DBB375FAD26}"/>
    <hyperlink ref="Q1818" r:id="rId1751" display="https://standards.buildingsmart.org/IFC/RELEASE/IFC4/ADD2_TC1/HTML/schema/ifchvacdomain/pset/pset_filtertypecommon.htm" xr:uid="{01714D88-7E23-4251-97A1-10930762D8B5}"/>
    <hyperlink ref="Q1873" r:id="rId1752" display="https://standards.buildingsmart.org/IFC/RELEASE/IFC4/ADD2_TC1/HTML/schema/ifchvacdomain/pset/pset_fantypecommon.htm" xr:uid="{65ABEDB9-16D8-49C3-A5EC-7270146520F3}"/>
    <hyperlink ref="Q1817" r:id="rId1753" display="https://standards.buildingsmart.org/IFC/RELEASE/IFC4/ADD2_TC1/HTML/schema/ifchvacdomain/pset/pset_evaporatortypecommon.htm" xr:uid="{0CD78F22-8243-4478-B839-BB181474A664}"/>
    <hyperlink ref="Q1849" r:id="rId1754" display="https://standards.buildingsmart.org/IFC/RELEASE/IFC4/ADD2_TC1/HTML/schema/ifchvacdomain/pset/pset_evaporativecoolertypecommon.htm" xr:uid="{F8C1B193-5ABA-4B6A-9A3A-BE994A0BB510}"/>
    <hyperlink ref="Q1832" r:id="rId1755" display="https://standards.buildingsmart.org/IFC/RELEASE/IFC4/ADD2_TC1/HTML/schema/ifchvacdomain/pset/pset_enginetypecommon.htm" xr:uid="{E969BE08-90B9-46C5-8F12-41CD10E07C0D}"/>
    <hyperlink ref="Q1808" r:id="rId1756" display="https://standards.buildingsmart.org/IFC/RELEASE/IFC4/ADD2_TC1/HTML/schema/ifcsharedcomponentelements/pset/pset_elementcomponentcommon.htm" xr:uid="{D93646EF-76B7-463F-98A3-B3CDDBAB16B9}"/>
    <hyperlink ref="Q1836" r:id="rId1757" display="https://standards.buildingsmart.org/IFC/RELEASE/IFC4/ADD2_TC1/HTML/schema/ifcproductextension/pset/pset_elementassemblycommon.htm" xr:uid="{47094BAB-C512-430D-84E3-9D47D23E31A9}"/>
    <hyperlink ref="Q1797" r:id="rId1758" display="https://standards.buildingsmart.org/IFC/RELEASE/IFC4/ADD2_TC1/HTML/schema/ifcelectricaldomain/pset/pset_electrictimecontroltypecommon.htm" xr:uid="{A3ABD8CE-A9E2-4858-A6A5-0566E81358E0}"/>
    <hyperlink ref="Q1837" r:id="rId1759" display="https://standards.buildingsmart.org/IFC/RELEASE/IFC4/ADD2_TC1/HTML/schema/ifcelectricaldomain/pset/pset_electricmotortypecommon.htm" xr:uid="{B431CE1A-6F5F-4974-9DE4-0EE79CE1D082}"/>
    <hyperlink ref="Q1820" r:id="rId1760" display="https://standards.buildingsmart.org/IFC/RELEASE/IFC4/ADD2_TC1/HTML/schema/ifcelectricaldomain/pset/pset_electricgeneratortypecommon.htm" xr:uid="{857D7248-4A6C-4747-9044-3B61E5DAA4D2}"/>
    <hyperlink ref="Q1800" r:id="rId1761" display="https://standards.buildingsmart.org/IFC/RELEASE/IFC4/ADD2_TC1/HTML/schema/ifcelectricaldomain/pset/pset_electricflowstoragedevicetypecommon.htm" xr:uid="{41B3371D-696D-4428-BD9C-B629B0C43E2C}"/>
    <hyperlink ref="Q1843" r:id="rId1762" display="https://standards.buildingsmart.org/IFC/RELEASE/IFC4/ADD2_TC1/HTML/schema/ifcelectricaldomain/pset/pset_electricdistributionboardtypecommon.htm" xr:uid="{353DE1EB-174D-4971-A876-88D3B9952FB7}"/>
    <hyperlink ref="Q1812" r:id="rId1763" display="https://standards.buildingsmart.org/IFC/RELEASE/IFC4/ADD2_TC1/HTML/schema/ifcelectricaldomain/pset/pset_electricappliancetypecommon.htm" xr:uid="{D06A602B-9385-44CC-857D-282F9C07B723}"/>
    <hyperlink ref="Q1857" r:id="rId1764" display="https://standards.buildingsmart.org/IFC/RELEASE/IFC4/ADD2_TC1/HTML/schema/ifchvacdomain/pset/pset_ductsilencertypecommon.htm" xr:uid="{FD415242-7DED-483D-A6DE-593DD719FBDD}"/>
    <hyperlink ref="Q1852" r:id="rId1765" display="https://standards.buildingsmart.org/IFC/RELEASE/IFC4/ADD2_TC1/HTML/schema/ifchvacdomain/pset/pset_ductsegmenttypecommon.htm" xr:uid="{7C8F4506-FAF0-4666-A570-FBC9E9A4ABA7}"/>
    <hyperlink ref="Q1793" r:id="rId1766" display="https://standards.buildingsmart.org/IFC/RELEASE/IFC4/ADD2_TC1/HTML/schema/ifchvacdomain/pset/pset_ductfittingtypecommon.htm" xr:uid="{F2291F66-9CEC-4323-A2AE-B4BC106AA745}"/>
    <hyperlink ref="Q1841" r:id="rId1767" display="https://standards.buildingsmart.org/IFC/RELEASE/IFC4/ADD2_TC1/HTML/schema/ifcsharedbldgelements/pset/pset_doorcommon.htm" xr:uid="{9B11654F-9A60-4801-A837-07EE8D6E879A}"/>
    <hyperlink ref="Q1786" r:id="rId1768" display="https://standards.buildingsmart.org/IFC/RELEASE/IFC4/ADD2_TC1/HTML/schema/ifcsharedbldgserviceelements/pset/pset_distributionchamberelementcommon.htm" xr:uid="{37CF59A4-EA2C-4C51-BA55-776649552B23}"/>
    <hyperlink ref="Q1828" r:id="rId1769" display="https://standards.buildingsmart.org/IFC/RELEASE/IFC4/ADD2_TC1/HTML/schema/ifchvacdomain/pset/pset_dampertypecommon.htm" xr:uid="{F06C62E5-040E-41FC-8A82-487E925A5FED}"/>
    <hyperlink ref="Q1839" r:id="rId1770" display="https://standards.buildingsmart.org/IFC/RELEASE/IFC4/ADD2_TC1/HTML/schema/ifcsharedbldgelements/pset/pset_curtainwallcommon.htm" xr:uid="{240EB385-5E73-4A46-9553-6BA648C6270E}"/>
    <hyperlink ref="Q1774" r:id="rId1771" display="https://standards.buildingsmart.org/IFC/RELEASE/IFC4/ADD2_TC1/HTML/schema/ifcsharedbldgelements/pset/pset_coveringcommon.htm" xr:uid="{638EAFC3-0281-4006-A610-1C7E3876D154}"/>
    <hyperlink ref="Q1868" r:id="rId1772" display="https://standards.buildingsmart.org/IFC/RELEASE/IFC4/ADD2_TC1/HTML/schema/ifchvacdomain/pset/pset_coolingtowertypecommon.htm" xr:uid="{5029979F-62DF-42ED-B2A7-5BD30E1D4E75}"/>
    <hyperlink ref="Q1875" r:id="rId1773" display="https://standards.buildingsmart.org/IFC/RELEASE/IFC4/ADD2_TC1/HTML/schema/ifchvacdomain/pset/pset_cooledbeamtypecommon.htm" xr:uid="{8849033E-7EEC-4058-93B5-F22CFCE08FD3}"/>
    <hyperlink ref="Q1798" r:id="rId1774" display="https://standards.buildingsmart.org/IFC/RELEASE/IFC4/ADD2_TC1/HTML/schema/ifcbuildingcontrolsdomain/pset/pset_controllertypecommon.htm" xr:uid="{A16BAE39-1FF7-4F1D-9664-E9A20C24085E}"/>
    <hyperlink ref="Q1791" r:id="rId1775" display="https://standards.buildingsmart.org/IFC/RELEASE/IFC4/ADD2_TC1/HTML/schema/ifchvacdomain/pset/pset_condensertypecommon.htm" xr:uid="{ABE45F99-C952-4EEA-BDF4-B6299F484BDF}"/>
    <hyperlink ref="Q1790" r:id="rId1776" display="https://standards.buildingsmart.org/IFC/RELEASE/IFC4/ADD2_TC1/HTML/schema/ifchvacdomain/pset/pset_compressortypecommon.htm" xr:uid="{2DD1A4AF-0DC4-4F92-A4CC-0415994E785B}"/>
    <hyperlink ref="Q1778" r:id="rId1777" display="https://standards.buildingsmart.org/IFC/RELEASE/IFC4/ADD2_TC1/HTML/schema/ifcelectricaldomain/pset/pset_communicationsappliancetypecommon.htm" xr:uid="{56BBE05B-F54F-4983-8038-9CD09C58C12D}"/>
    <hyperlink ref="Q1789" r:id="rId1778" display="https://standards.buildingsmart.org/IFC/RELEASE/IFC4/ADD2_TC1/HTML/schema/ifcsharedbldgelements/pset/pset_columncommon.htm" xr:uid="{5A39911A-5A35-4EFB-9C48-F81948496D55}"/>
    <hyperlink ref="Q1855" r:id="rId1779" display="https://standards.buildingsmart.org/IFC/RELEASE/IFC4/ADD2_TC1/HTML/schema/ifchvacdomain/pset/pset_coiltypecommon.htm" xr:uid="{81676945-EAAB-4409-B143-6E522FDC8B88}"/>
    <hyperlink ref="Q1807" r:id="rId1780" display="https://standards.buildingsmart.org/IFC/RELEASE/IFC4/ADD2_TC1/HTML/schema/ifcproductextension/pset/pset_civilelementcommon.htm" xr:uid="{6A65E564-BB3E-4039-8302-470317878E8C}"/>
    <hyperlink ref="Q1788" r:id="rId1781" display="https://standards.buildingsmart.org/IFC/RELEASE/IFC4/ADD2_TC1/HTML/schema/ifcsharedbldgelements/pset/pset_chimneycommon.htm" xr:uid="{47571FF2-786E-46C2-92D9-9A71C7466012}"/>
    <hyperlink ref="Q1787" r:id="rId1782" display="https://standards.buildingsmart.org/IFC/RELEASE/IFC4/ADD2_TC1/HTML/schema/ifchvacdomain/pset/pset_chillertypecommon.htm" xr:uid="{85C4420F-6549-4EFD-BF73-FE09654738C5}"/>
    <hyperlink ref="Q1850" r:id="rId1783" display="https://standards.buildingsmart.org/IFC/RELEASE/IFC4/ADD2_TC1/HTML/schema/ifcelectricaldomain/pset/pset_cablesegmenttypecommon.htm" xr:uid="{755127CC-B8E2-42CC-A7B7-B1D032BE78AB}"/>
    <hyperlink ref="Q1792" r:id="rId1784" display="https://standards.buildingsmart.org/IFC/RELEASE/IFC4/ADD2_TC1/HTML/schema/ifcelectricaldomain/pset/pset_cablefittingtypecommon.htm" xr:uid="{5EA0B718-7444-4F21-90F6-0BEB1B8BB955}"/>
    <hyperlink ref="Q1851" r:id="rId1785" display="https://standards.buildingsmart.org/IFC/RELEASE/IFC4/ADD2_TC1/HTML/schema/ifcelectricaldomain/pset/pset_cablecarriersegmenttypecommon.htm" xr:uid="{B1E24DB4-5ACF-4CFA-9E64-3E911B133F7A}"/>
    <hyperlink ref="Q1795" r:id="rId1786" display="https://standards.buildingsmart.org/IFC/RELEASE/IFC4/ADD2_TC1/HTML/schema/ifcelectricaldomain/pset/pset_cablecarrierfittingtypecommon.htm" xr:uid="{260A1266-9774-475A-9F87-72E5A7324885}"/>
    <hyperlink ref="Q1844" r:id="rId1787" display="https://standards.buildingsmart.org/IFC/RELEASE/IFC4/ADD2_TC1/HTML/schema/ifchvacdomain/pset/pset_burnertypecommon.htm" xr:uid="{3297015D-65A1-4D6F-AA7A-C23F2AFAE2CB}"/>
    <hyperlink ref="Q1842" r:id="rId1788" display="https://standards.buildingsmart.org/IFC/RELEASE/IFC4/ADD2_TC1/HTML/schema/ifcsharedbldgelements/pset/pset_buildingelementproxycommon.htm" xr:uid="{390E015E-4BCE-4BC6-B206-49F3CC8A173D}"/>
    <hyperlink ref="Q1785" r:id="rId1789" display="https://standards.buildingsmart.org/IFC/RELEASE/IFC4/ADD2_TC1/HTML/schema/ifchvacdomain/pset/pset_boilertypecommon.htm" xr:uid="{050FE00E-EF2A-4E25-9537-8187916A6927}"/>
    <hyperlink ref="Q1874" r:id="rId1790" display="https://standards.buildingsmart.org/IFC/RELEASE/IFC4/ADD2_TC1/HTML/schema/ifcsharedbldgelements/pset/pset_beamcommon.htm" xr:uid="{AD150471-4EE7-4917-A9DA-6D5AE8F12FA7}"/>
    <hyperlink ref="Q1777" r:id="rId1791" display="https://standards.buildingsmart.org/IFC/RELEASE/IFC4/ADD2_TC1/HTML/schema/ifcelectricaldomain/pset/pset_audiovisualappliancetypecommon.htm" xr:uid="{A538B85C-251E-466A-A5EB-A75C1BF64CD8}"/>
    <hyperlink ref="Q1775" r:id="rId1792" display="https://standards.buildingsmart.org/IFC/RELEASE/IFC4/ADD2_TC1/HTML/schema/ifcbuildingcontrolsdomain/pset/pset_alarmtypecommon.htm" xr:uid="{2FAF4DB0-9FDD-46CA-BBEB-6C573EA63055}"/>
    <hyperlink ref="Q1847" r:id="rId1793" display="https://standards.buildingsmart.org/IFC/RELEASE/IFC4/ADD2_TC1/HTML/schema/ifchvacdomain/pset/pset_airtoairheatrecoverytypecommon.htm" xr:uid="{29789B49-21D4-45C9-BCF0-02F50FB044A4}"/>
    <hyperlink ref="Q1862" r:id="rId1794" display="https://standards.buildingsmart.org/IFC/RELEASE/IFC4/ADD2_TC1/HTML/schema/ifchvacdomain/pset/pset_airterminaltypecommon.htm" xr:uid="{A4819F81-68DD-42FF-B06D-FB13D8DC799E}"/>
    <hyperlink ref="Q1783" r:id="rId1795" display="https://standards.buildingsmart.org/IFC/RELEASE/IFC4/ADD2_TC1/HTML/schema/ifchvacdomain/pset/pset_airterminalboxtypecommon.htm" xr:uid="{FA13AEEE-C72C-4F51-85AA-322134846BDD}"/>
    <hyperlink ref="Q1780" r:id="rId1796" display="https://standards.buildingsmart.org/IFC/RELEASE/IFC4/ADD2_TC1/HTML/schema/ifcbuildingcontrolsdomain/pset/pset_actuatortypecommon.htm" xr:uid="{38B42C4A-800D-4E05-BB49-D8C550F45AD0}"/>
    <hyperlink ref="Q1021" r:id="rId1797" display="https://standards.buildingsmart.org/IFC/RELEASE/IFC4/ADD2_TC1/HTML/schema/ifcelectricaldomain/pset/pset_electricmotortypecommon.htm" xr:uid="{B309C3BC-D941-4D3C-8F0E-3427DDB55825}"/>
    <hyperlink ref="Q2272" r:id="rId1798" display="https://standards.buildingsmart.org/IFC/RELEASE/IFC4/ADD2_TC1/HTML/schema/ifcelectricaldomain/pset/pset_switchingdevicetypestarter.htm" xr:uid="{1D064CBC-82B8-455D-8BAC-D1D120315D09}"/>
    <hyperlink ref="Q597" r:id="rId1799" display="https://standards.buildingsmart.org/IFC/RELEASE/IFC4/ADD2_TC1/HTML/schema/ifcsharedmgmtelements/pset/pset_permit.htm" xr:uid="{9CB5CF4C-4FCB-40B8-B0AE-ECD82E4CE78F}"/>
    <hyperlink ref="Q910" r:id="rId1800" display="https://standards.buildingsmart.org/IFC/RELEASE/IFC4/ADD2_TC1/HTML/schema/ifcelectricaldomain/pset/pset_electricmotortypecommon.htm" xr:uid="{D90BDAF1-8B15-4F6A-AE53-F39D694E4AA5}"/>
    <hyperlink ref="Q909" r:id="rId1801" display="https://standards.buildingsmart.org/IFC/RELEASE/IFC4/ADD2_TC1/HTML/schema/ifcelectricaldomain/pset/pset_electricgeneratortypecommon.htm" xr:uid="{635F5BC3-45AF-4106-8396-1912E926FD67}"/>
    <hyperlink ref="Q1139" r:id="rId1802" display="https://standards.buildingsmart.org/IFC/RELEASE/IFC4/ADD2_TC1/HTML/schema/ifcsharedcomponentelements/pset/pset_discreteaccessorystandardfixingplate.htm" xr:uid="{94FC7668-FAAB-4C94-9335-F1D2D750423F}"/>
    <hyperlink ref="Q875" r:id="rId1803" display="https://standards.buildingsmart.org/IFC/RELEASE/IFC4/ADD2_TC1/HTML/schema/ifcsharedcomponentelements/pset/pset_discreteaccessorystandardfixingplate.htm" xr:uid="{E9CE79CD-BF5E-408D-8B6E-C8E3795F8E8C}"/>
    <hyperlink ref="Q1466" r:id="rId1804" display="https://standards.buildingsmart.org/IFC/RELEASE/IFC4/ADD2_TC1/HTML/schema/ifcsharedcomponentelements/pset/pset_discreteaccessorystandardfixingplate.htm" xr:uid="{0403DDB3-E5BB-41DD-9260-C5DFD8674255}"/>
    <hyperlink ref="Q1315" r:id="rId1805" display="https://standards.buildingsmart.org/IFC/RELEASE/IFC4/ADD2_TC1/HTML/schema/ifcelectricaldomain/pset/pset_protectivedevicetrippingunittypecommon.htm" xr:uid="{F0EDE026-EFB9-41F2-B63E-766957B3A82E}"/>
    <hyperlink ref="Q1316" r:id="rId1806" display="https://standards.buildingsmart.org/IFC/RELEASE/IFC4/ADD2_TC1/HTML/schema/ifcelectricaldomain/pset/pset_cablesegmenttypecoresegment.htm" xr:uid="{326FCCCD-FE79-4C48-BDC3-8213719D43BB}"/>
    <hyperlink ref="Q1317" r:id="rId1807" display="https://standards.buildingsmart.org/IFC/RELEASE/IFC4/ADD2_TC1/HTML/schema/ifcelectricaldomain/pset/pset_cablesegmenttypecablesegment.htm" xr:uid="{56C1BE8B-F268-427D-BF84-43CB013D0EF2}"/>
    <hyperlink ref="Q830" r:id="rId1808" display="https://standards.buildingsmart.org/IFC/RELEASE/IFC4/ADD2_TC1/HTML/schema/ifchvacdomain/pset/pset_tubebundletypecommon.htm" xr:uid="{5B77415F-A754-4E0D-BBD2-ECFBFF0FA8D6}"/>
    <hyperlink ref="Q825" r:id="rId1809" display="https://standards.buildingsmart.org/IFC/RELEASE/IFC4/ADD2_TC1/HTML/schema/ifcsharedcomponentelements/pset/pset_fastenerweld.htm" xr:uid="{1A4B5C65-0F7C-465F-A131-B65BB9F99543}"/>
    <hyperlink ref="Q2144" r:id="rId1810" display="https://standards.buildingsmart.org/IFC/RELEASE/IFC4/ADD2_TC1/HTML/schema/ifcplumbingfireprotectiondomain/pset/pset_firesuppressionterminaltypesprinkler.htm" xr:uid="{528135C8-26FF-418A-A37B-AB44F8DFDA58}"/>
    <hyperlink ref="Q1478" r:id="rId1811" display="https://standards.buildingsmart.org/IFC/RELEASE/IFC4/ADD2_TC1/HTML/schema/ifcproductextension/pset/pset_spacefiresafetyrequirements.htm" xr:uid="{A72B95AE-1F65-4BDC-94A3-0BC5750471A1}"/>
    <hyperlink ref="Q1476" r:id="rId1812" display="https://standards.buildingsmart.org/IFC/RELEASE/IFC4/ADD2_TC1/HTML/schema/ifcproductextension/pset/pset_buildingstoreycommon.htm" xr:uid="{7461DECD-33D5-4597-A1D0-793CCB625667}"/>
    <hyperlink ref="Q1477" r:id="rId1813" display="https://standards.buildingsmart.org/IFC/RELEASE/IFC4/ADD2_TC1/HTML/schema/ifcproductextension/pset/pset_buildingcommon.htm" xr:uid="{3D739B55-AD1C-47F1-AF2D-7D1D423A3100}"/>
    <hyperlink ref="Q1481" r:id="rId1814" display="https://standards.buildingsmart.org/IFC/RELEASE/IFC4/ADD2_TC1/HTML/schema/ifcproductextension/pset/pset_spacefiresafetyrequirements.htm" xr:uid="{95F8632C-1101-4B16-952C-C6EF291F55B7}"/>
    <hyperlink ref="Q1479" r:id="rId1815" display="https://standards.buildingsmart.org/IFC/RELEASE/IFC4/ADD2_TC1/HTML/schema/ifcproductextension/pset/pset_buildingstoreycommon.htm" xr:uid="{04467A13-F58E-46D1-A59C-3B3AEB5D61EE}"/>
    <hyperlink ref="Q1480" r:id="rId1816" display="https://standards.buildingsmart.org/IFC/RELEASE/IFC4/ADD2_TC1/HTML/schema/ifcproductextension/pset/pset_buildingcommon.htm" xr:uid="{EFF311E4-FA19-479A-B1D0-3740194632CC}"/>
    <hyperlink ref="Q2281" r:id="rId1817" display="https://standards.buildingsmart.org/IFC/RELEASE/IFC4/ADD2_TC1/HTML/schema/ifchvacdomain/pset/pset_coolingtowertypecommon.htm" xr:uid="{61D2E39D-BD76-404C-9B64-0FA10F0B3071}"/>
    <hyperlink ref="Q1274" r:id="rId1818" display="https://standards.buildingsmart.org/IFC/RELEASE/IFC4/ADD2_TC1/HTML/schema/ifcplumbingfireprotectiondomain/pset/pset_wasteterminaltypefloortrap.htm" xr:uid="{F88F14C3-1E40-4164-87EB-14D91E1C7EBC}"/>
    <hyperlink ref="Q1276" r:id="rId1819" display="https://standards.buildingsmart.org/IFC/RELEASE/IFC4/ADD2_TC1/HTML/schema/ifcplumbingfireprotectiondomain/pset/pset_sanitaryterminaltypeurinal.htm" xr:uid="{2DE9E398-69FA-41C5-8ED4-962565BBAEB9}"/>
    <hyperlink ref="Q1277" r:id="rId1820" display="https://standards.buildingsmart.org/IFC/RELEASE/IFC4/ADD2_TC1/HTML/schema/ifcplumbingfireprotectiondomain/pset/pset_sanitaryterminaltypetoiletpan.htm" xr:uid="{CC422C57-3D2D-407E-AFF5-7E3A45E6861D}"/>
    <hyperlink ref="Q1275" r:id="rId1821" display="https://standards.buildingsmart.org/IFC/RELEASE/IFC4/ADD2_TC1/HTML/schema/ifcplumbingfireprotectiondomain/pset/pset_sanitaryterminaltypebidet.htm" xr:uid="{F2C82AD7-56B8-469C-85A3-FAB84F5896AD}"/>
    <hyperlink ref="Q841" r:id="rId1822" display="https://standards.buildingsmart.org/IFC/RELEASE/IFC4/ADD2_TC1/HTML/schema/ifcelectricaldomain/pset/pset_lamptypecommon.htm" xr:uid="{F43847D6-05FD-40FB-9E7A-4ADBD3EF23FA}"/>
    <hyperlink ref="Q612" r:id="rId1823" display="https://standards.buildingsmart.org/IFC/RELEASE/IFC4/ADD2_TC1/HTML/schema/ifcmaterialresource/pset/pset_materialenergy.htm" xr:uid="{3D36D2CD-BC4D-47C2-B6AB-5DA6D6CBD7CD}"/>
    <hyperlink ref="Q185" r:id="rId1824" display="https://standards.buildingsmart.org/IFC/RELEASE/IFC4/ADD2_TC1/HTML/schema/ifcmaterialresource/pset/pset_materialthermal.htm" xr:uid="{22072B0C-8632-450F-8D1B-EF49FB5F7854}"/>
    <hyperlink ref="Q184" r:id="rId1825" display="https://standards.buildingsmart.org/IFC/RELEASE/IFC4/ADD2_TC1/HTML/schema/ifcmaterialresource/pset/pset_materialcombustion.htm" xr:uid="{B0F16447-3E56-422F-9394-E6F2297671FE}"/>
    <hyperlink ref="Q840" r:id="rId1826" display="https://standards.buildingsmart.org/IFC/RELEASE/IFC4/ADD2_TC1/HTML/schema/ifcmaterialresource/pset/pset_materialwood.htm" xr:uid="{EBFC2C36-6D1C-412B-8796-94B9D7400434}"/>
    <hyperlink ref="Q1679" r:id="rId1827" display="https://standards.buildingsmart.org/IFC/RELEASE/IFC4/ADD2_TC1/HTML/schema/ifcsharedmgmtelements/pset/pset_permit.htm" xr:uid="{66F4278B-C9A2-42F8-BF79-B09582EA69C3}"/>
    <hyperlink ref="Q1069" r:id="rId1828" display="https://standards.buildingsmart.org/IFC/RELEASE/IFC4/ADD2_TC1/HTML/schema/ifcsharedmgmtelements/pset/pset_projectordermoveorder.htm" xr:uid="{49F29C31-116C-4096-9AF9-6E753483F9F6}"/>
    <hyperlink ref="Q1068" r:id="rId1829" display="https://standards.buildingsmart.org/IFC/RELEASE/IFC4/ADD2_TC1/HTML/schema/ifcsharedmgmtelements/pset/pset_packinginstructions.htm" xr:uid="{35B5E1D2-45F9-42C0-8DBD-E4ABF2C20D0E}"/>
    <hyperlink ref="Q457" r:id="rId1830" display="https://standards.buildingsmart.org/IFC/RELEASE/IFC4/ADD2_TC1/HTML/schema/ifcelectricaldomain/pset/pset_cablesegmenttypecablesegment.htm" xr:uid="{5B0321AD-74FD-4F2C-9D38-69F436AFC778}"/>
    <hyperlink ref="Q2158" r:id="rId1831" display="https://standards.buildingsmart.org/IFC/RELEASE/IFC4/ADD2_TC1/HTML/schema/ifcelectricaldomain/pset/pset_audiovisualappliancetypespeaker.htm" xr:uid="{7CCDF81F-BC64-451E-84BA-468D7A10EDE5}"/>
    <hyperlink ref="Q1243" r:id="rId1832" display="https://standards.buildingsmart.org/IFC/RELEASE/IFC4/ADD2_TC1/HTML/schema/ifcelectricaldomain/pset/pset_audiovisualappliancetypespeaker.htm" xr:uid="{FD3212D8-F0F9-4C33-BDCE-03CD1180D13C}"/>
    <hyperlink ref="Q1923" r:id="rId1833" display="https://standards.buildingsmart.org/IFC/RELEASE/IFC4/ADD2_TC1/HTML/schema/ifcelectricaldomain/pset/pset_audiovisualappliancetypespeaker.htm" xr:uid="{8B150991-51F5-4677-9243-22948B5DD565}"/>
    <hyperlink ref="Q2378" r:id="rId1834" display="https://standards.buildingsmart.org/IFC/RELEASE/IFC4/ADD2_TC1/HTML/schema/ifcsharedbldgelements/pset/pset_membercommon.htm" xr:uid="{D7DB8B17-8797-405D-924A-BBDE41045DBB}"/>
    <hyperlink ref="Q2379" r:id="rId1835" display="https://standards.buildingsmart.org/IFC/RELEASE/IFC4/ADD2_TC1/HTML/schema/ifcsharedbldgelements/pset/pset_beamcommon.htm" xr:uid="{CDE2D9AA-1403-4828-853A-7CA81121CF78}"/>
    <hyperlink ref="Q831" r:id="rId1836" display="https://standards.buildingsmart.org/IFC/RELEASE/IFC4/ADD2_TC1/HTML/schema/ifcstructuralelementsdomain/pset/pset_reinforcementbarpitchofwall.htm" xr:uid="{645A070B-932E-409C-B583-F206513826BD}"/>
    <hyperlink ref="Q832" r:id="rId1837" display="https://standards.buildingsmart.org/IFC/RELEASE/IFC4/ADD2_TC1/HTML/schema/ifcstructuralelementsdomain/pset/pset_reinforcementbarpitchofbeam.htm" xr:uid="{094D20D5-E09B-4905-80A1-1FD81633166E}"/>
    <hyperlink ref="Q839" r:id="rId1838" display="https://standards.buildingsmart.org/IFC/RELEASE/IFC4/ADD2_TC1/HTML/schema/ifchvacdomain/pset/pset_tubebundletypefinned.htm" xr:uid="{D9F6F9F5-58EE-4912-9D4C-EC5BC2D382ED}"/>
    <hyperlink ref="Q2076" r:id="rId1839" display="https://standards.buildingsmart.org/IFC/RELEASE/IFC4/ADD2_TC1/HTML/schema/ifcproductextension/pset/pset_spacethermalrequirements.htm" xr:uid="{DDCE5A84-444F-4B3D-9202-CB320AF7D5ED}"/>
    <hyperlink ref="Q2075" r:id="rId1840" display="https://standards.buildingsmart.org/IFC/RELEASE/IFC4/ADD2_TC1/HTML/schema/ifcproductextension/pset/pset_spacethermalrequirements.htm" xr:uid="{5A5F15AE-A3CB-4411-A844-F58407F44130}"/>
    <hyperlink ref="Q2079" r:id="rId1841" display="https://standards.buildingsmart.org/IFC/RELEASE/IFC4/ADD2_TC1/HTML/schema/ifcproductextension/pset/pset_spacethermalrequirements.htm" xr:uid="{E6639AED-24A7-4B0F-9AAF-2DBD495EA651}"/>
    <hyperlink ref="Q2077" r:id="rId1842" display="https://standards.buildingsmart.org/IFC/RELEASE/IFC4/ADD2_TC1/HTML/schema/ifcproductextension/pset/pset_spacethermalrequirements.htm" xr:uid="{D2378F70-6F30-4AAA-9EC4-0233A7A4953F}"/>
    <hyperlink ref="Q2078" r:id="rId1843" display="https://standards.buildingsmart.org/IFC/RELEASE/IFC4/ADD2_TC1/HTML/schema/ifcproductextension/pset/pset_spacethermalrequirements.htm" xr:uid="{D0007FEF-7DA4-443C-B4D2-00D2D64398A7}"/>
    <hyperlink ref="Q2084" r:id="rId1844" display="https://standards.buildingsmart.org/IFC/RELEASE/IFC4/ADD2_TC1/HTML/schema/ifcproductextension/pset/pset_spacethermalrequirements.htm" xr:uid="{7B4AB2DF-C171-4FB1-A2A2-4308BB198165}"/>
    <hyperlink ref="Q2081" r:id="rId1845" display="https://standards.buildingsmart.org/IFC/RELEASE/IFC4/ADD2_TC1/HTML/schema/ifcproductextension/pset/pset_spacethermalrequirements.htm" xr:uid="{661ECDA5-7F85-4C74-86D2-0467267AB58B}"/>
    <hyperlink ref="Q2080" r:id="rId1846" display="https://standards.buildingsmart.org/IFC/RELEASE/IFC4/ADD2_TC1/HTML/schema/ifchvacdomain/pset/pset_spacethermalphistory.htm" xr:uid="{64BC44B8-6BE2-4261-A71A-6FF4A877B070}"/>
    <hyperlink ref="Q2350" r:id="rId1847" display="https://standards.buildingsmart.org/IFC/RELEASE/IFC4/ADD2_TC1/HTML/schema/ifchvacdomain/pset/pset_spacethermalphistory.htm" xr:uid="{46B5D98F-1D3F-4DE1-9D04-FBA8CC0B8043}"/>
    <hyperlink ref="Q2085" r:id="rId1848" display="https://standards.buildingsmart.org/IFC/RELEASE/IFC4/ADD2_TC1/HTML/schema/ifchvacdomain/pset/pset_spaceheaterphistory.htm" xr:uid="{ABEE6DD3-EAE1-41F5-A68B-306BF0D6735E}"/>
    <hyperlink ref="Q2347" r:id="rId1849" display="https://standards.buildingsmart.org/IFC/RELEASE/IFC4/ADD2_TC1/HTML/schema/ifcproductextension/pset/pset_spacethermalrequirements.htm" xr:uid="{C3E9C3B2-5896-4C55-907C-CE3E7FAE1670}"/>
    <hyperlink ref="Q2441" r:id="rId1850" display="https://standards.buildingsmart.org/IFC/RELEASE/IFC4/ADD2_TC1/HTML/schema/ifcproductextension/pset/pset_spacethermalrequirements.htm" xr:uid="{155ED4E8-17F9-46B2-9921-D5090F367F7A}"/>
    <hyperlink ref="Q1220" r:id="rId1851" display="https://standards.buildingsmart.org/IFC/RELEASE/IFC4/ADD2_TC1/HTML/schema/ifcproductextension/pset/pset_spacethermalrequirements.htm" xr:uid="{7A103885-5541-4654-BEC6-E17893E7F5C3}"/>
    <hyperlink ref="Q2348" r:id="rId1852" display="https://standards.buildingsmart.org/IFC/RELEASE/IFC4/ADD2_TC1/HTML/schema/ifcproductextension/pset/pset_spacethermalrequirements.htm" xr:uid="{0681C109-74BD-4BFE-83CE-1EB867B6FF89}"/>
    <hyperlink ref="Q2346" r:id="rId1853" display="https://standards.buildingsmart.org/IFC/RELEASE/IFC4/ADD2_TC1/HTML/schema/ifcproductextension/pset/pset_spacethermalrequirements.htm" xr:uid="{634633F5-898C-4260-A31E-3950CFD0E528}"/>
    <hyperlink ref="Q2049" r:id="rId1854" display="https://standards.buildingsmart.org/IFC/RELEASE/IFC4/ADD2_TC1/HTML/schema/ifchvacdomain/pset/pset_spaceheaterphistory.htm" xr:uid="{2FF0C978-CC26-4A08-B9F6-2BAF1AF85C06}"/>
    <hyperlink ref="Q824" r:id="rId1855" display="https://standards.buildingsmart.org/IFC/RELEASE/IFC4/ADD2_TC1/HTML/schema/ifcsharedbldgserviceelements/pset/pset_soundattenuation.htm" xr:uid="{73E8E5E2-3EED-4C42-BC3C-C1BF0A130490}"/>
    <hyperlink ref="Q1424" r:id="rId1856" display="https://standards.buildingsmart.org/IFC/RELEASE/IFC4/ADD2_TC1/HTML/schema/ifcsharedbldgserviceelements/pset/pset_soundattenuation.htm" xr:uid="{72096B96-FFAD-4FFE-9D49-7B082EB84BB1}"/>
    <hyperlink ref="Q977" r:id="rId1857" display="https://standards.buildingsmart.org/IFC/RELEASE/IFC4/ADD2_TC1/HTML/schema/ifcsharedbldgserviceelements/pset/pset_soundattenuation.htm" xr:uid="{3C9BCDC9-E88C-4CEB-AB67-5C9F2DD2CE45}"/>
    <hyperlink ref="Q575" r:id="rId1858" display="https://standards.buildingsmart.org/IFC/RELEASE/IFC4/ADD2_TC1/HTML/schema/ifcsharedbldgserviceelements/pset/pset_soundgeneration.htm" xr:uid="{19F10F81-ADD9-4CB8-9836-42B325CB8FE3}"/>
    <hyperlink ref="Q576" r:id="rId1859" display="https://standards.buildingsmart.org/IFC/RELEASE/IFC4/ADD2_TC1/HTML/schema/ifchvacdomain/pset/pset_coilphistory.htm" xr:uid="{E4C3CD2E-6F8F-4499-B3BC-D3F270798B24}"/>
    <hyperlink ref="Q1773" r:id="rId1860" display="https://standards.buildingsmart.org/IFC/RELEASE/IFC4/ADD2_TC1/HTML/schema/ifchvacdomain/pset/pset_airterminalboxphistory.htm" xr:uid="{F8225FF0-DBD0-4B34-84D7-EFE36375A8F1}"/>
    <hyperlink ref="Q2310" r:id="rId1861" display="https://standards.buildingsmart.org/IFC/RELEASE/IFC4/ADD2_TC1/HTML/schema/ifcsharedbldgelements/pset/pset_shadingdevicecommon.htm" xr:uid="{C88F08B6-7EB3-4E00-846D-BB1C87E5CB7B}"/>
    <hyperlink ref="Q2311" r:id="rId1862" display="https://standards.buildingsmart.org/IFC/RELEASE/IFC4/ADD2_TC1/HTML/schema/ifcmaterialresource/pset/pset_materialoptical.htm" xr:uid="{07583491-E1D5-4FD4-BCB9-6D57F91215A2}"/>
    <hyperlink ref="Q2312" r:id="rId1863" display="https://standards.buildingsmart.org/IFC/RELEASE/IFC4/ADD2_TC1/HTML/schema/ifcsharedbldgelements/pset/pset_doorwindowglazingtype.htm" xr:uid="{E67DB45A-6AB9-4A13-96BA-B96831F2A18C}"/>
    <hyperlink ref="Q1057" r:id="rId1864" display="https://standards.buildingsmart.org/IFC/RELEASE/IFC4/ADD2_TC1/HTML/schema/ifcmaterialresource/pset/pset_materialenergy.htm" xr:uid="{7565D5B0-9C43-4C6B-98A0-09A7CCD313D4}"/>
    <hyperlink ref="Q973" r:id="rId1865" display="https://standards.buildingsmart.org/IFC/RELEASE/IFC4/ADD2_TC1/HTML/schema/ifcmaterialresource/pset/pset_materialoptical.htm" xr:uid="{9C413591-FE42-4529-9307-AA6EA3068D8A}"/>
    <hyperlink ref="Q1668" r:id="rId1866" display="https://standards.buildingsmart.org/IFC/RELEASE/IFC4/ADD2_TC1/HTML/schema/ifcmaterialresource/pset/pset_materialoptical.htm" xr:uid="{5D854D00-6512-445A-AA8D-E5C7B92BC6BA}"/>
    <hyperlink ref="Q1669" r:id="rId1867" display="https://standards.buildingsmart.org/IFC/RELEASE/IFC4/ADD2_TC1/HTML/schema/ifcsharedbldgelements/pset/pset_shadingdevicecommon.htm" xr:uid="{9A570696-0295-4BEB-B7CB-E142A6B0EA24}"/>
    <hyperlink ref="Q1670" r:id="rId1868" display="https://standards.buildingsmart.org/IFC/RELEASE/IFC4/ADD2_TC1/HTML/schema/ifcsharedbldgelements/pset/pset_doorwindowglazingtype.htm" xr:uid="{BCFC943F-58AE-4114-BE28-93B80B05C879}"/>
    <hyperlink ref="Q2307" r:id="rId1869" display="https://standards.buildingsmart.org/IFC/RELEASE/IFC4/ADD2_TC1/HTML/schema/ifcsharedbldgelements/pset/pset_doorwindowglazingtype.htm" xr:uid="{E73DB021-DE91-401F-90FE-B499401B3AAE}"/>
    <hyperlink ref="Q3" r:id="rId1870" display="https://standards.buildingsmart.org/IFC/RELEASE/IFC4/ADD2_TC1/HTML/schema/ifcsharedbldgelements/pset/pset_doorwindowglazingtype.htm" xr:uid="{4B577073-50B5-4D6A-920E-924AB012E2BF}"/>
    <hyperlink ref="Q439" r:id="rId1871" display="https://standards.buildingsmart.org/IFC/RELEASE/IFC4/ADD2_TC1/HTML/schema/ifcelectricaldomain/pset/pset_cablesegmentoccurrence.htm" xr:uid="{38F92BBC-CF8E-48B1-A65C-9FE56DB5A4A5}"/>
    <hyperlink ref="Q2444" r:id="rId1872" display="https://standards.buildingsmart.org/IFC/RELEASE/IFC4/ADD2_TC1/HTML/schema/ifcbuildingcontrolsdomain/pset/pset_controllertypeprogrammable.htm" xr:uid="{7CFFE4A6-528C-4EE1-A034-C28F0EB80E25}"/>
    <hyperlink ref="Q1279" r:id="rId1873" display="https://standards.buildingsmart.org/IFC/RELEASE/IFC4/ADD2_TC1/HTML/schema/ifcsharedbldgserviceelements/pset/pset_distributionchamberelementtypemanhole.htm" xr:uid="{5ED321CE-89DF-4267-AA0B-2BFF39E96DF6}"/>
    <hyperlink ref="Q1278" r:id="rId1874" display="https://standards.buildingsmart.org/IFC/RELEASE/IFC4/ADD2_TC1/HTML/schema/ifcsharedbldgserviceelements/pset/pset_distributionchamberelementtypeinspectionchamber.htm" xr:uid="{1E60ED78-0D4C-4DF1-9CE2-7A10F8242AAA}"/>
    <hyperlink ref="Q164" r:id="rId1875" display="https://standards.buildingsmart.org/IFC/RELEASE/IFC4/ADD2_TC1/HTML/schema/ifcsharedbldgelements/pset/pset_windowcommon.htm" xr:uid="{9FE8737F-DDFA-4141-BEEA-92BDEBB261C8}"/>
    <hyperlink ref="Q165" r:id="rId1876" display="https://standards.buildingsmart.org/IFC/RELEASE/IFC4/ADD2_TC1/HTML/schema/ifcsharedbldgelements/pset/pset_doorcommon.htm" xr:uid="{ACFB58A4-C618-4A82-84EB-AF28A92F3212}"/>
    <hyperlink ref="Q1112" r:id="rId1877" display="https://standards.buildingsmart.org/IFC/RELEASE/IFC4/ADD2_TC1/HTML/schema/ifchvacdomain/pset/pset_airterminaltypecommon.htm" xr:uid="{6221FF45-1F44-4BFE-A779-68C955C5D40C}"/>
    <hyperlink ref="Q397" r:id="rId1878" display="https://standards.buildingsmart.org/IFC/RELEASE/IFC4/ADD2_TC1/HTML/schema/ifchvacdomain/pset/pset_airterminaltypecommon.htm" xr:uid="{CD29F91A-0356-4419-8E61-DBDF81A08423}"/>
    <hyperlink ref="Q1043" r:id="rId1879" display="https://standards.buildingsmart.org/IFC/RELEASE/IFC4/ADD2_TC1/HTML/schema/ifcsharedbldgelements/pset/pset_rampflightcommon.htm" xr:uid="{1716413C-9E0B-437E-8FDA-13C1B3538BEC}"/>
    <hyperlink ref="Q1044" r:id="rId1880" display="https://standards.buildingsmart.org/IFC/RELEASE/IFC4/ADD2_TC1/HTML/schema/ifchvacdomain/pset/pset_pipesegmenttypegutter.htm" xr:uid="{FF54738A-BA21-4788-9ECE-871BE3EB3F99}"/>
    <hyperlink ref="Q1042" r:id="rId1881" display="https://standards.buildingsmart.org/IFC/RELEASE/IFC4/ADD2_TC1/HTML/schema/ifcsharedbldgelements/pset/pset_membercommon.htm" xr:uid="{F183588A-FD5E-4C7C-9F60-FA847C5B7BA7}"/>
    <hyperlink ref="Q1041" r:id="rId1882" display="https://standards.buildingsmart.org/IFC/RELEASE/IFC4/ADD2_TC1/HTML/schema/ifcsharedbldgelements/pset/pset_columncommon.htm" xr:uid="{F82C9B5D-4F80-4AA3-AD11-E587D2BD0EAE}"/>
    <hyperlink ref="Q1045" r:id="rId1883" display="https://standards.buildingsmart.org/IFC/RELEASE/IFC4/ADD2_TC1/HTML/schema/ifcsharedbldgelements/pset/pset_beamcommon.htm" xr:uid="{3621E5C3-CC7B-4E89-9F70-BDDE9AEBF851}"/>
    <hyperlink ref="Q44" r:id="rId1884" display="https://standards.buildingsmart.org/IFC/RELEASE/IFC4/ADD2_TC1/HTML/schema/ifcproductextension/pset/pset_spacecoveringrequirements.htm" xr:uid="{6BEB1E99-6355-48A8-96BB-8AE402648FF3}"/>
    <hyperlink ref="Q1704" r:id="rId1885" display="https://standards.buildingsmart.org/IFC/RELEASE/IFC4/ADD2_TC1/HTML/schema/ifcproductextension/pset/pset_spacecoveringrequirements.htm" xr:uid="{2B3D7AE7-B0ED-47EA-8389-36B36A24F3B1}"/>
    <hyperlink ref="Q1264" r:id="rId1886" display="https://standards.buildingsmart.org/IFC/RELEASE/IFC4/ADD2_TC1/HTML/schema/ifckernel/pset/pset_actorcommon.htm" xr:uid="{E8FA9E74-C45F-4889-ABFD-58EBB71C7AAD}"/>
    <hyperlink ref="Q1213" r:id="rId1887" display="https://standards.buildingsmart.org/IFC/RELEASE/IFC4/ADD2_TC1/HTML/schema/ifchvacdomain/pset/pset_damperoccurrence.htm" xr:uid="{B68F8CB5-A0DE-43EC-AC34-EF131D59B28F}"/>
    <hyperlink ref="Q1929" r:id="rId1888" display="https://standards.buildingsmart.org/IFC/RELEASE/IFC4/ADD2_TC1/HTML/schema/ifchvacdomain/pset/pset_valvetypecommon.htm" xr:uid="{E5F432BE-60B7-422F-AB27-42B0B1B3338C}"/>
    <hyperlink ref="Q1049" r:id="rId1889" display="https://standards.buildingsmart.org/IFC/RELEASE/IFC4/ADD2_TC1/HTML/schema/ifcproductextension/pset/pset_sitecommon.htm" xr:uid="{54F4D36A-059A-4FD0-9FFB-D43C82383750}"/>
    <hyperlink ref="Q2277" r:id="rId1890" display="https://standards.buildingsmart.org/IFC/RELEASE/IFC4/ADD2_TC1/HTML/schema/ifcplumbingfireprotectiondomain/pset/pset_sanitaryterminaltypesink.htm" xr:uid="{29379503-7C85-4081-BC10-82D4DF8EF8BA}"/>
    <hyperlink ref="Q1765" r:id="rId1891" display="https://standards.buildingsmart.org/IFC/RELEASE/IFC4/ADD2_TC1/HTML/schema/ifcbuildingcontrolsdomain/pset/pset_controllertypeproportional.htm" xr:uid="{94A17F96-B7F2-416E-8676-9CDDF814CCA8}"/>
    <hyperlink ref="Q1764" r:id="rId1892" display="https://standards.buildingsmart.org/IFC/RELEASE/IFC4/ADD2_TC1/HTML/schema/ifcbuildingcontrolsdomain/pset/pset_controllertypeproportional.htm" xr:uid="{C8218B68-0A3F-4B94-8E35-CE614CA4229E}"/>
    <hyperlink ref="Q1766" r:id="rId1893" display="https://standards.buildingsmart.org/IFC/RELEASE/IFC4/ADD2_TC1/HTML/schema/ifcbuildingcontrolsdomain/pset/pset_controllertypefloating.htm" xr:uid="{6C98CD99-A96A-44C9-AAA0-BAC9C4C61D62}"/>
    <hyperlink ref="Q1763" r:id="rId1894" display="https://standards.buildingsmart.org/IFC/RELEASE/IFC4/ADD2_TC1/HTML/schema/ifcbuildingcontrolsdomain/pset/pset_controllertypefloating.htm" xr:uid="{CC1A6A0F-E4B7-40F9-8706-D7471CC7D1E7}"/>
    <hyperlink ref="Q1767" r:id="rId1895" display="https://standards.buildingsmart.org/IFC/RELEASE/IFC4/ADD2_TC1/HTML/schema/ifcbuildingcontrolsdomain/pset/pset_controllertypefloating.htm" xr:uid="{889C09CE-9F89-4072-8C36-9E95C538793E}"/>
    <hyperlink ref="Q2149" r:id="rId1896" display="https://standards.buildingsmart.org/IFC/RELEASE/IFC4/ADD2_TC1/HTML/schema/ifcplumbingfireprotectiondomain/pset/pset_sanitaryterminaltypeshower.htm" xr:uid="{8241ECB2-021E-4A57-962E-4B11F7D5205C}"/>
    <hyperlink ref="Q616" r:id="rId1897" display="https://standards.buildingsmart.org/IFC/RELEASE/IFC4/ADD2_TC1/HTML/schema/ifcplumbingfireprotectiondomain/pset/pset_sanitaryterminaltypeshower.htm" xr:uid="{552E528C-A0F4-457E-97A6-9427D39BA6EB}"/>
    <hyperlink ref="Q2101" r:id="rId1898" display="https://standards.buildingsmart.org/IFC/RELEASE/IFC4/ADD2_TC1/HTML/schema/ifcelectricaldomain/pset/pset_protectivedeviceoccurrence.htm" xr:uid="{C747B2AA-5D3D-4549-BD3E-BBA3455E105C}"/>
    <hyperlink ref="Q985" r:id="rId1899" display="https://standards.buildingsmart.org/IFC/RELEASE/IFC4/ADD2_TC1/HTML/schema/ifcelectricaldomain/pset/pset_protectivedeviceoccurrence.htm" xr:uid="{5F3B9486-B4EB-4D2E-84B8-60BF1DBF1D41}"/>
    <hyperlink ref="Q991" r:id="rId1900" display="https://standards.buildingsmart.org/IFC/RELEASE/IFC4/ADD2_TC1/HTML/schema/ifcelectricaldomain/pset/pset_protectivedeviceoccurrence.htm" xr:uid="{8D247E52-E859-426E-8195-4AAFC39BDCE1}"/>
    <hyperlink ref="Q2362" r:id="rId1901" display="https://standards.buildingsmart.org/IFC/RELEASE/IFC4/ADD2_TC1/HTML/schema/ifcelectricaldomain/pset/pset_protectivedeviceoccurrence.htm" xr:uid="{4B53E3F2-9D8E-4D3F-9A7C-5BCD27CAED0A}"/>
    <hyperlink ref="Q157" r:id="rId1902" display="https://standards.buildingsmart.org/IFC/RELEASE/IFC4/ADD2_TC1/HTML/schema/ifcstructuralelementsdomain/pset/pset_reinforcementbarpitchofslab.htm" xr:uid="{865343C7-84D3-41C3-9C41-B907DA12765B}"/>
    <hyperlink ref="Q151" r:id="rId1903" display="https://standards.buildingsmart.org/IFC/RELEASE/IFC4/ADD2_TC1/HTML/schema/ifcstructuralelementsdomain/pset/pset_reinforcementbarpitchofslab.htm" xr:uid="{CFF7E49C-1ED5-4E0B-BBC2-CF8D01A0648E}"/>
    <hyperlink ref="Q158" r:id="rId1904" display="https://standards.buildingsmart.org/IFC/RELEASE/IFC4/ADD2_TC1/HTML/schema/ifcstructuralelementsdomain/pset/pset_reinforcementbarpitchofslab.htm" xr:uid="{19B0E96A-2210-4A41-8D25-22AE8ED9455B}"/>
    <hyperlink ref="Q152" r:id="rId1905" display="https://standards.buildingsmart.org/IFC/RELEASE/IFC4/ADD2_TC1/HTML/schema/ifcstructuralelementsdomain/pset/pset_reinforcementbarpitchofslab.htm" xr:uid="{DA331BCC-4B63-4018-9C5D-961711200F51}"/>
    <hyperlink ref="Q156" r:id="rId1906" display="https://standards.buildingsmart.org/IFC/RELEASE/IFC4/ADD2_TC1/HTML/schema/ifcstructuralelementsdomain/pset/pset_reinforcementbarpitchofslab.htm" xr:uid="{F550F339-C991-47B0-B78A-D42318685F39}"/>
    <hyperlink ref="Q150" r:id="rId1907" display="https://standards.buildingsmart.org/IFC/RELEASE/IFC4/ADD2_TC1/HTML/schema/ifcstructuralelementsdomain/pset/pset_reinforcementbarpitchofslab.htm" xr:uid="{8033B9E7-5340-4376-8991-39717CD5F068}"/>
    <hyperlink ref="Q816" r:id="rId1908" display="https://standards.buildingsmart.org/IFC/RELEASE/IFC4/ADD2_TC1/HTML/schema/ifcstructuralelementsdomain/pset/pset_precastconcreteelementgeneral.htm" xr:uid="{5C8C5403-C9E6-47FA-A6DA-F059AA0C9B38}"/>
    <hyperlink ref="Q2119" r:id="rId1909" display="https://standards.buildingsmart.org/IFC/RELEASE/IFC4/ADD2_TC1/HTML/schema/ifcelectricaldomain/pset/pset_transformertypecommon.htm" xr:uid="{FC9B3717-9A72-494D-A84F-07E12E426418}"/>
    <hyperlink ref="Q262" r:id="rId1910" display="https://standards.buildingsmart.org/IFC/RELEASE/IFC4/ADD2_TC1/HTML/schema/ifcelectricaldomain/pset/pset_electricflowstoragedevicetypecommon.htm" xr:uid="{61D4A785-7880-4F85-97D5-1349D4FBC1FA}"/>
    <hyperlink ref="Q261" r:id="rId1911" display="https://standards.buildingsmart.org/IFC/RELEASE/IFC4/ADD2_TC1/HTML/schema/ifcelectricaldomain/pset/pset_electricflowstoragedevicetypecommon.htm" xr:uid="{86D09F2B-ADBF-42AE-96D0-C74770E780E9}"/>
    <hyperlink ref="Q256" r:id="rId1912" display="https://standards.buildingsmart.org/IFC/RELEASE/IFC4/ADD2_TC1/HTML/schema/ifcelectricaldomain/pset/pset_electricflowstoragedevicetypecommon.htm" xr:uid="{7AA442B7-AE04-4CF8-8D0A-15E9E606F223}"/>
    <hyperlink ref="Q255" r:id="rId1913" display="https://standards.buildingsmart.org/IFC/RELEASE/IFC4/ADD2_TC1/HTML/schema/ifcelectricaldomain/pset/pset_electricflowstoragedevicetypecommon.htm" xr:uid="{2C8493BA-D60C-4911-A232-1345B9E93E85}"/>
    <hyperlink ref="Q260" r:id="rId1914" display="https://standards.buildingsmart.org/IFC/RELEASE/IFC4/ADD2_TC1/HTML/schema/ifcelectricaldomain/pset/pset_electricflowstoragedevicetypecommon.htm" xr:uid="{B5B0A056-3070-4A32-AE4C-93698227B21D}"/>
    <hyperlink ref="Q259" r:id="rId1915" display="https://standards.buildingsmart.org/IFC/RELEASE/IFC4/ADD2_TC1/HTML/schema/ifcelectricaldomain/pset/pset_electricflowstoragedevicetypecommon.htm" xr:uid="{B4E0F52E-71D4-4ECF-9339-907F7CCB13A6}"/>
    <hyperlink ref="Q258" r:id="rId1916" display="https://standards.buildingsmart.org/IFC/RELEASE/IFC4/ADD2_TC1/HTML/schema/ifcelectricaldomain/pset/pset_electricflowstoragedevicetypecommon.htm" xr:uid="{80D9D38F-44A7-46C2-B3E6-2121EA89FBE5}"/>
    <hyperlink ref="Q257" r:id="rId1917" display="https://standards.buildingsmart.org/IFC/RELEASE/IFC4/ADD2_TC1/HTML/schema/ifcelectricaldomain/pset/pset_electricflowstoragedevicetypecommon.htm" xr:uid="{BD31256F-3FBB-4C29-91EA-0AF7CB31DE15}"/>
    <hyperlink ref="Q1214" r:id="rId1918" display="https://standards.buildingsmart.org/IFC/RELEASE/IFC4/ADD2_TC1/HTML/schema/ifcsharedmgmtelements/pset/pset_projectorderpurchaseorder.htm" xr:uid="{10FD6DB8-7560-4360-AF8D-0F25625893FC}"/>
    <hyperlink ref="Q149" r:id="rId1919" display="https://standards.buildingsmart.org/IFC/RELEASE/IFC4/ADD2_TC1/HTML/schema/ifcstructuralelementsdomain/pset/pset_tendoncommon.htm" xr:uid="{839B9D81-16ED-4206-BD5F-DA85A0520B77}"/>
    <hyperlink ref="Q148" r:id="rId1920" display="https://standards.buildingsmart.org/IFC/RELEASE/IFC4/ADD2_TC1/HTML/schema/ifcelectricaldomain/pset/pset_cablesegmenttypecoresegment.htm" xr:uid="{D30F1A5D-0D79-447C-BD14-E912AE9EACE9}"/>
    <hyperlink ref="Q269" r:id="rId1921" display="https://standards.buildingsmart.org/IFC/RELEASE/IFC4/ADD2_TC1/HTML/schema/ifcmaterialresource/pset/pset_materialmechanical.htm" xr:uid="{1EDB7FAB-9C0F-4D37-990C-9AF4C6BEE198}"/>
    <hyperlink ref="Q264" r:id="rId1922" display="https://standards.buildingsmart.org/IFC/RELEASE/IFC4/ADD2_TC1/HTML/schema/ifcprofileresource/pset/pset_profilemechanical.htm" xr:uid="{65436FC6-CFBE-4A83-8C89-E7D4DEEE273F}"/>
    <hyperlink ref="Q263" r:id="rId1923" display="https://standards.buildingsmart.org/IFC/RELEASE/IFC4/ADD2_TC1/HTML/schema/ifcprofileresource/pset/pset_profilemechanical.htm" xr:uid="{1CB170A9-59F6-455A-B14C-A8B1696B5950}"/>
    <hyperlink ref="Q268" r:id="rId1924" display="https://standards.buildingsmart.org/IFC/RELEASE/IFC4/ADD2_TC1/HTML/schema/ifcprofileresource/pset/pset_profilemechanical.htm" xr:uid="{274A5930-5AEA-4CAA-88FD-811252FE2732}"/>
    <hyperlink ref="Q267" r:id="rId1925" display="https://standards.buildingsmart.org/IFC/RELEASE/IFC4/ADD2_TC1/HTML/schema/ifcprofileresource/pset/pset_profilemechanical.htm" xr:uid="{1FBBC406-3E4D-4D50-8CA9-51D3873D7764}"/>
    <hyperlink ref="Q266" r:id="rId1926" display="https://standards.buildingsmart.org/IFC/RELEASE/IFC4/ADD2_TC1/HTML/schema/ifcprofileresource/pset/pset_profilemechanical.htm" xr:uid="{044808EC-4352-4353-B187-57E4F2E13397}"/>
    <hyperlink ref="Q265" r:id="rId1927" display="https://standards.buildingsmart.org/IFC/RELEASE/IFC4/ADD2_TC1/HTML/schema/ifcprofileresource/pset/pset_profilemechanical.htm" xr:uid="{8C895420-CA2F-4FD7-82F0-C0DC8B55329D}"/>
    <hyperlink ref="Q2210" r:id="rId1928" display="https://standards.buildingsmart.org/IFC/RELEASE/IFC4/ADD2_TC1/HTML/schema/ifcelectricaldomain/pset/pset_junctionboxtypecommon.htm" xr:uid="{0D067520-4BEE-4867-BE28-EA6BB62B5BB2}"/>
    <hyperlink ref="Q617" r:id="rId1929" display="https://standards.buildingsmart.org/IFC/RELEASE/IFC4/ADD2_TC1/HTML/schema/ifcsharedfacilitieselements/pset/pset_systemfurnitureelementtypeworksurface.htm" xr:uid="{8C4773C7-E969-4193-88F9-6125A3164F48}"/>
    <hyperlink ref="Q957" r:id="rId1930" display="https://standards.buildingsmart.org/IFC/RELEASE/IFC4/ADD2_TC1/HTML/schema/ifcsharedbldgelements/pset/pset_buildingelementproxyprovisionforvoid.htm" xr:uid="{0D50BB20-0B52-4AE9-A0F7-30AD47B736D6}"/>
    <hyperlink ref="Q959" r:id="rId1931" display="https://standards.buildingsmart.org/IFC/RELEASE/IFC4/ADD2_TC1/HTML/schema/ifchvacdomain/pset/pset_ductsegmenttypecommon.htm" xr:uid="{FB28E772-EAA8-425B-B3F0-4CC0AFE3C653}"/>
    <hyperlink ref="Q958" r:id="rId1932" display="https://standards.buildingsmart.org/IFC/RELEASE/IFC4/ADD2_TC1/HTML/schema/ifcelectricaldomain/pset/pset_cablesegmenttypeconductorsegment.htm" xr:uid="{7C680790-481F-4034-82E8-8C6BF2C03F56}"/>
    <hyperlink ref="Q960" r:id="rId1933" display="https://standards.buildingsmart.org/IFC/RELEASE/IFC4/ADD2_TC1/HTML/schema/ifchvacdomain/pset/pset_airterminaltypecommon.htm" xr:uid="{A5906197-2652-4897-8512-DDE823062178}"/>
    <hyperlink ref="Q1953" r:id="rId1934" display="https://standards.buildingsmart.org/IFC/RELEASE/IFC4/ADD2_TC1/HTML/schema/ifchvacdomain/pset/pset_fanphistory.htm" xr:uid="{3BB5549B-FA4F-4395-A49F-A9BEFB1AA490}"/>
    <hyperlink ref="Q1387" r:id="rId1935" display="https://standards.buildingsmart.org/IFC/RELEASE/IFC4/ADD2_TC1/HTML/schema/ifchvacdomain/pset/pset_compressorphistory.htm" xr:uid="{7C8CEEE1-625B-4192-B226-0308A5E84CB1}"/>
    <hyperlink ref="Q2197" r:id="rId1936" display="https://standards.buildingsmart.org/IFC/RELEASE/IFC4/ADD2_TC1/HTML/schema/ifcsharedbldgelements/pset/pset_shadingdevicecommon.htm" xr:uid="{3D41933E-7602-47D4-A4D7-681A0A9D8A4D}"/>
    <hyperlink ref="Q363" r:id="rId1937" display="https://standards.buildingsmart.org/IFC/RELEASE/IFC4/ADD2_TC1/HTML/schema/ifcsharedbldgelements/pset/pset_doorwindowglazingtype.htm" xr:uid="{663B13E5-0727-4227-9819-A4E5B09A9C83}"/>
    <hyperlink ref="Q1011" r:id="rId1938" display="https://standards.buildingsmart.org/IFC/RELEASE/IFC4/ADD2_TC1/HTML/schema/ifcbuildingcontrolsdomain/pset/pset_alarmphistory.htm" xr:uid="{7B94EA96-028C-4E42-B56C-EB3ABC449C9D}"/>
    <hyperlink ref="Q1756" r:id="rId1939" display="https://standards.buildingsmart.org/IFC/RELEASE/IFC4/ADD2_TC1/HTML/schema/ifcbuildingcontrolsdomain/pset/pset_sensortypetemperaturesensor.htm" xr:uid="{58142B46-B213-44CC-9296-E9CC4D8F03C2}"/>
    <hyperlink ref="Q1755" r:id="rId1940" display="https://standards.buildingsmart.org/IFC/RELEASE/IFC4/ADD2_TC1/HTML/schema/ifcbuildingcontrolsdomain/pset/pset_sensortypeheatsensor.htm" xr:uid="{3695F8A9-6D1C-4F77-8474-0AFD6337F480}"/>
    <hyperlink ref="Q1759" r:id="rId1941" display="https://standards.buildingsmart.org/IFC/RELEASE/IFC4/ADD2_TC1/HTML/schema/ifcbuildingcontrolsdomain/pset/pset_sensortypewindsensor.htm" xr:uid="{BA0DAED4-B8C4-4630-BAC6-84FD0E21DCA4}"/>
    <hyperlink ref="Q1754" r:id="rId1942" display="https://standards.buildingsmart.org/IFC/RELEASE/IFC4/ADD2_TC1/HTML/schema/ifcbuildingcontrolsdomain/pset/pset_sensortypesoundsensor.htm" xr:uid="{EB434F9C-7615-4AB3-896A-56F63C39E441}"/>
    <hyperlink ref="Q1753" r:id="rId1943" display="https://standards.buildingsmart.org/IFC/RELEASE/IFC4/ADD2_TC1/HTML/schema/ifcbuildingcontrolsdomain/pset/pset_sensortyperadioactivitysensor.htm" xr:uid="{19A1DCB1-44FE-4CD2-AAEC-678F0B95E977}"/>
    <hyperlink ref="Q1752" r:id="rId1944" display="https://standards.buildingsmart.org/IFC/RELEASE/IFC4/ADD2_TC1/HTML/schema/ifcbuildingcontrolsdomain/pset/pset_sensortyperadiationsensor.htm" xr:uid="{A953E5C7-D1B5-4D2F-8C60-D623E544BCEF}"/>
    <hyperlink ref="Q1751" r:id="rId1945" display="https://standards.buildingsmart.org/IFC/RELEASE/IFC4/ADD2_TC1/HTML/schema/ifcbuildingcontrolsdomain/pset/pset_sensortypepressuresensor.htm" xr:uid="{68DFCFCD-D420-4BB1-BF5D-3E70560A1498}"/>
    <hyperlink ref="Q1750" r:id="rId1946" display="https://standards.buildingsmart.org/IFC/RELEASE/IFC4/ADD2_TC1/HTML/schema/ifcbuildingcontrolsdomain/pset/pset_sensortypephsensor.htm" xr:uid="{82D9FEC4-67F9-41AE-96C6-54A91F80B618}"/>
    <hyperlink ref="Q1748" r:id="rId1947" display="https://standards.buildingsmart.org/IFC/RELEASE/IFC4/ADD2_TC1/HTML/schema/ifcbuildingcontrolsdomain/pset/pset_sensortypemovementsensor.htm" xr:uid="{F6EE2B87-FB23-4773-91D4-5941E9FB7CE7}"/>
    <hyperlink ref="Q1757" r:id="rId1948" display="https://standards.buildingsmart.org/IFC/RELEASE/IFC4/ADD2_TC1/HTML/schema/ifcbuildingcontrolsdomain/pset/pset_sensortypemoisturesensor.htm" xr:uid="{0863811E-2716-4964-AC26-DD715B34482F}"/>
    <hyperlink ref="Q1749" r:id="rId1949" display="https://standards.buildingsmart.org/IFC/RELEASE/IFC4/ADD2_TC1/HTML/schema/ifcbuildingcontrolsdomain/pset/pset_sensortypelevelsensor.htm" xr:uid="{25F44765-6535-4FC7-9986-D61C732D316C}"/>
    <hyperlink ref="Q1747" r:id="rId1950" display="https://standards.buildingsmart.org/IFC/RELEASE/IFC4/ADD2_TC1/HTML/schema/ifcbuildingcontrolsdomain/pset/pset_sensortypelightsensor.htm" xr:uid="{1E78F9EC-8982-4513-B506-A6F24DDD76AF}"/>
    <hyperlink ref="Q1738" r:id="rId1951" display="https://standards.buildingsmart.org/IFC/RELEASE/IFC4/ADD2_TC1/HTML/schema/ifcbuildingcontrolsdomain/pset/pset_sensortypeidentifiersensor.htm" xr:uid="{EE78F504-2F53-41CF-984D-239C72E1DCFA}"/>
    <hyperlink ref="Q1758" r:id="rId1952" display="https://standards.buildingsmart.org/IFC/RELEASE/IFC4/ADD2_TC1/HTML/schema/ifcbuildingcontrolsdomain/pset/pset_sensortypehumiditysensor.htm" xr:uid="{E3622D1A-28BA-43BF-9C64-FE45EBE66C43}"/>
    <hyperlink ref="Q1744" r:id="rId1953" display="https://standards.buildingsmart.org/IFC/RELEASE/IFC4/ADD2_TC1/HTML/schema/ifcbuildingcontrolsdomain/pset/pset_sensortypefrostsensor.htm" xr:uid="{9CA1C2E3-59DD-4D3F-8F87-0FEA96714A74}"/>
    <hyperlink ref="Q1746" r:id="rId1954" display="https://standards.buildingsmart.org/IFC/RELEASE/IFC4/ADD2_TC1/HTML/schema/ifcbuildingcontrolsdomain/pset/pset_sensortypeflowsensor.htm" xr:uid="{3146A04D-B745-431C-B567-856E11B49045}"/>
    <hyperlink ref="Q1745" r:id="rId1955" display="https://standards.buildingsmart.org/IFC/RELEASE/IFC4/ADD2_TC1/HTML/schema/ifcbuildingcontrolsdomain/pset/pset_sensortypecontactsensor.htm" xr:uid="{CD54865E-8643-47AC-B35C-02CDBFD05C12}"/>
    <hyperlink ref="Q1743" r:id="rId1956" display="https://standards.buildingsmart.org/IFC/RELEASE/IFC4/ADD2_TC1/HTML/schema/ifcbuildingcontrolsdomain/pset/pset_sensortypeconductancesensor.htm" xr:uid="{2D5A95A4-354A-454A-811D-B937A92F54C2}"/>
    <hyperlink ref="Q1741" r:id="rId1957" display="https://standards.buildingsmart.org/IFC/RELEASE/IFC4/ADD2_TC1/HTML/schema/ifcbuildingcontrolsdomain/pset/pset_sensortypesmokesensor.htm" xr:uid="{C4520502-7D63-48DF-98EC-48B5B4CD9CFA}"/>
    <hyperlink ref="Q1742" r:id="rId1958" display="https://standards.buildingsmart.org/IFC/RELEASE/IFC4/ADD2_TC1/HTML/schema/ifcbuildingcontrolsdomain/pset/pset_sensortypegassensor.htm" xr:uid="{A8D6332C-9804-4C44-A612-777DC0289192}"/>
    <hyperlink ref="Q1739" r:id="rId1959" display="https://standards.buildingsmart.org/IFC/RELEASE/IFC4/ADD2_TC1/HTML/schema/ifcbuildingcontrolsdomain/pset/pset_sensortypeco2sensor.htm" xr:uid="{F29277FA-7C97-4052-9B6C-692F682557F6}"/>
    <hyperlink ref="Q1740" r:id="rId1960" display="https://standards.buildingsmart.org/IFC/RELEASE/IFC4/ADD2_TC1/HTML/schema/ifcbuildingcontrolsdomain/pset/pset_sensortypeionconcentrationsensor.htm" xr:uid="{B93429DA-8BB7-4208-B970-A57AEE055CA4}"/>
    <hyperlink ref="Q1760" r:id="rId1961" display="https://standards.buildingsmart.org/IFC/RELEASE/IFC4/ADD2_TC1/HTML/schema/ifcelectricaldomain/pset/pset_switchingdevicetypecommon.htm" xr:uid="{C48C4F61-3F06-4643-A1DA-BA470C77CDD3}"/>
    <hyperlink ref="Q1762" r:id="rId1962" display="https://standards.buildingsmart.org/IFC/RELEASE/IFC4/ADD2_TC1/HTML/schema/ifcbuildingcontrolsdomain/pset/pset_unitarycontrolelementphistory.htm" xr:uid="{C6BD809B-DA6E-4249-B785-1950927D3FC6}"/>
    <hyperlink ref="Q1761" r:id="rId1963" display="https://standards.buildingsmart.org/IFC/RELEASE/IFC4/ADD2_TC1/HTML/schema/ifcelectricaldomain/pset/pset_switchingdevicetypephistory.htm" xr:uid="{0C02A1F0-9DBF-4FEA-95BA-431B7AA62516}"/>
    <hyperlink ref="Q696" r:id="rId1964" display="https://standards.buildingsmart.org/IFC/RELEASE/IFC4/ADD2_TC1/HTML/schema/ifcproductextension/pset/pset_annotationlineofsight.htm" xr:uid="{DE44B3FC-8286-4109-8F69-CC1FE9AEA09F}"/>
    <hyperlink ref="Q711" r:id="rId1965" display="https://standards.buildingsmart.org/IFC/RELEASE/IFC4/ADD2_TC1/HTML/schema/ifcsharedfacilitieselements/pset/pset_servicelife.htm" xr:uid="{AF475F5C-960D-4A66-A838-218B1F962696}"/>
    <hyperlink ref="Q1299" r:id="rId1966" display="https://standards.buildingsmart.org/IFC/RELEASE/IFC4/ADD2_TC1/HTML/schema/ifcstructuralelementsdomain/pset/pset_precastconcreteelementfabrication.htm" xr:uid="{56078B5B-78B2-4113-A2F6-EF6714787C8E}"/>
    <hyperlink ref="Q1300" r:id="rId1967" display="https://standards.buildingsmart.org/IFC/RELEASE/IFC4/ADD2_TC1/HTML/schema/ifcsharedfacilitieselements/pset/pset_manufactureroccurrence.htm" xr:uid="{D241B7FF-5099-4B7E-82E8-3DC9299B4B62}"/>
    <hyperlink ref="Q2253" r:id="rId1968" display="https://standards.buildingsmart.org/IFC/RELEASE/IFC4/ADD2_TC1/HTML/schema/ifchvacdomain/pset/pset_filtertypeairparticlefilter.htm" xr:uid="{1465EBAE-7B06-4EF6-9144-42BBCD88ADF2}"/>
    <hyperlink ref="Q1724" r:id="rId1969" display="https://standards.buildingsmart.org/IFC/RELEASE/IFC4/ADD2_TC1/HTML/schema/ifcelectricaldomain/pset/pset_protectivedevicetyperesidualcurrentswitch.htm" xr:uid="{0E824258-CD15-4405-97C7-F43C418EFA2E}"/>
    <hyperlink ref="Q1723" r:id="rId1970" display="https://standards.buildingsmart.org/IFC/RELEASE/IFC4/ADD2_TC1/HTML/schema/ifcelectricaldomain/pset/pset_protectivedevicetyperesidualcurrentcircuitbreaker.htm" xr:uid="{03F92787-61AC-4E6C-B7DE-207039BC00D4}"/>
    <hyperlink ref="Q1722" r:id="rId1971" display="https://standards.buildingsmart.org/IFC/RELEASE/IFC4/ADD2_TC1/HTML/schema/ifcelectricaldomain/pset/pset_protectivedevicetypeearthleakagecircuitbreaker.htm" xr:uid="{0D6B8B18-4604-4B8B-B4D3-1C05B1C03740}"/>
    <hyperlink ref="Q236" r:id="rId1972" display="https://standards.buildingsmart.org/IFC/RELEASE/IFC4/ADD2_TC1/HTML/schema/ifcelectricaldomain/pset/pset_lightfixturetypecommon.htm" xr:uid="{B424B4BA-4FD1-44BC-B5FF-1929009356E2}"/>
    <hyperlink ref="Q1987" r:id="rId1973" display="https://standards.buildingsmart.org/IFC/RELEASE/IFC4/ADD2_TC1/HTML/schema/ifchvacdomain/pset/pset_evaporativecoolerphistory.htm" xr:uid="{4210A5A3-BDB7-4ECF-84C0-3253B42ACD95}"/>
    <hyperlink ref="Q1988" r:id="rId1974" display="https://standards.buildingsmart.org/IFC/RELEASE/IFC4/ADD2_TC1/HTML/schema/ifchvacdomain/pset/pset_airtoairheatrecoveryphistory.htm" xr:uid="{F7D2B70A-F316-42D4-9600-47D38863802D}"/>
    <hyperlink ref="Q1536" r:id="rId1975" display="https://standards.buildingsmart.org/IFC/RELEASE/IFC4/ADD2_TC1/HTML/schema/ifchvacdomain/pset/pset_coiltypehydronic.htm" xr:uid="{5CA5FF42-397A-4BD6-8891-D554829A2553}"/>
    <hyperlink ref="Q1887" r:id="rId1976" display="https://standards.buildingsmart.org/IFC/RELEASE/IFC4/ADD2_TC1/HTML/schema/ifchvacdomain/pset/pset_airtoairheatrecoveryphistory.htm" xr:uid="{06649FF3-204E-42F8-BBF1-B344A89A6DF2}"/>
    <hyperlink ref="Q783" r:id="rId1977" display="https://standards.buildingsmart.org/IFC/RELEASE/IFC4/ADD2_TC1/HTML/schema/ifchvacdomain/pset/pset_airtoairheatrecoveryphistory.htm" xr:uid="{23688BB3-B10D-426E-A9E0-B0ED232D437B}"/>
    <hyperlink ref="Q195" r:id="rId1978" display="https://standards.buildingsmart.org/IFC/RELEASE/IFC4/ADD2_TC1/HTML/schema/ifchvacdomain/pset/pset_unitaryequipmenttypeairconditioningunit.htm" xr:uid="{9DB2007D-932A-4697-BEEA-630FD8185472}"/>
    <hyperlink ref="Q987" r:id="rId1979" display="https://standards.buildingsmart.org/IFC/RELEASE/IFC4/ADD2_TC1/HTML/schema/ifcelectricaldomain/pset/pset_lightfixturetypesecuritylighting.htm" xr:uid="{2E32FA03-4C84-43D0-90EA-E0E394FFEB3C}"/>
    <hyperlink ref="Q176" r:id="rId1980" display="https://standards.buildingsmart.org/IFC/RELEASE/IFC4/ADD2_TC1/HTML/schema/ifcelectricaldomain/pset/pset_cablesegmenttypecoresegment.htm" xr:uid="{BFFC7393-E89C-4276-9ADF-1533C6DD3E6F}"/>
    <hyperlink ref="Q177" r:id="rId1981" display="https://standards.buildingsmart.org/IFC/RELEASE/IFC4/ADD2_TC1/HTML/schema/ifcelectricaldomain/pset/pset_cablesegmenttypecablesegment.htm" xr:uid="{571A893A-1821-422F-8B62-34D82D3984EE}"/>
    <hyperlink ref="Q174" r:id="rId1982" display="https://standards.buildingsmart.org/IFC/RELEASE/IFC4/ADD2_TC1/HTML/schema/ifcelectricaldomain/pset/pset_cablesegmenttypecoresegment.htm" xr:uid="{8DBE2CB7-6EE9-4421-98A3-29C779925B73}"/>
    <hyperlink ref="Q175" r:id="rId1983" display="https://standards.buildingsmart.org/IFC/RELEASE/IFC4/ADD2_TC1/HTML/schema/ifcelectricaldomain/pset/pset_cablesegmenttypecablesegment.htm" xr:uid="{24DB00A3-3FA4-419A-8122-4005DCD314A3}"/>
    <hyperlink ref="Q144" r:id="rId1984" display="https://standards.buildingsmart.org/IFC/RELEASE/IFC4/ADD2_TC1/HTML/schema/ifcsharedbldgelements/pset/pset_doorcommon.htm" xr:uid="{89D981AC-D7C5-476F-91A6-58312E1D555B}"/>
    <hyperlink ref="Q2250" r:id="rId1985" display="https://standards.buildingsmart.org/IFC/RELEASE/IFC4/ADD2_TC1/HTML/schema/ifcelectricaldomain/pset/pset_switchingdevicetypeselectorswitch.htm" xr:uid="{56D2A6CB-8E41-48F7-8758-15FF6483FF8E}"/>
    <hyperlink ref="Q332" r:id="rId1986" display="https://standards.buildingsmart.org/IFC/RELEASE/IFC4/ADD2_TC1/HTML/schema/ifcsharedbldgelements/pset/pset_windowcommon.htm" xr:uid="{EB473488-1D44-4BCD-9C7F-55BEE7C12176}"/>
    <hyperlink ref="Q333" r:id="rId1987" display="https://standards.buildingsmart.org/IFC/RELEASE/IFC4/ADD2_TC1/HTML/schema/ifcsharedbldgelements/pset/pset_doorcommon.htm" xr:uid="{D46B8812-7131-40B3-B3FE-681565C3FB3D}"/>
    <hyperlink ref="Q2212" r:id="rId1988" display="https://standards.buildingsmart.org/IFC/RELEASE/IFC4/ADD2_TC1/HTML/schema/ifcelectricaldomain/pset/pset_lightfixturetypesecuritylighting.htm" xr:uid="{B3107571-23AE-47D0-9B72-C649ACAF771B}"/>
    <hyperlink ref="Q1110" r:id="rId1989" display="https://standards.buildingsmart.org/IFC/RELEASE/IFC4/ADD2_TC1/HTML/schema/ifchvacdomain/pset/pset_tanktypesectional.htm" xr:uid="{FDD4B97E-77A9-4B57-B94E-FE102827A95C}"/>
    <hyperlink ref="Q396" r:id="rId1990" display="https://standards.buildingsmart.org/IFC/RELEASE/IFC4/ADD2_TC1/HTML/schema/ifchvacdomain/pset/pset_tanktypesectional.htm" xr:uid="{47C5A17D-B80F-40FB-BE69-A6D8E0A0833E}"/>
    <hyperlink ref="Q1719" r:id="rId1991" display="https://standards.buildingsmart.org/IFC/RELEASE/IFC4/ADD2_TC1/HTML/schema/ifchvacdomain/pset/pset_tanktypepreformed.htm" xr:uid="{65D21E26-3A43-49BE-AA50-C3EC6DC8C572}"/>
    <hyperlink ref="Q1720" r:id="rId1992" display="https://standards.buildingsmart.org/IFC/RELEASE/IFC4/ADD2_TC1/HTML/schema/ifchvacdomain/pset/pset_tanktypecommon.htm" xr:uid="{E70582CB-7BD8-4B8F-B32D-70F72CEA9FF6}"/>
    <hyperlink ref="Q2127" r:id="rId1993" display="https://standards.buildingsmart.org/IFC/RELEASE/IFC4/ADD2_TC1/HTML/schema/ifcelectricaldomain/pset/pset_transformertypecommon.htm" xr:uid="{E75BB49C-48EC-4515-A198-C089942495AB}"/>
    <hyperlink ref="Q124" r:id="rId1994" display="https://standards.buildingsmart.org/IFC/RELEASE/IFC4/ADD2_TC1/HTML/schema/ifchvacdomain/pset/pset_coiltypehydronic.htm" xr:uid="{D241ED03-C87C-45F7-8FD3-E8F97F667CA7}"/>
    <hyperlink ref="Q981" r:id="rId1995" display="https://standards.buildingsmart.org/IFC/RELEASE/IFC4/ADD2_TC1/HTML/schema/ifcelectricaldomain/pset/pset_transformertypecommon.htm" xr:uid="{D651C655-4FE7-40CB-AF16-E001E5984D51}"/>
    <hyperlink ref="Q2190" r:id="rId1996" display="https://standards.buildingsmart.org/IFC/RELEASE/IFC4/ADD2_TC1/HTML/schema/ifcelectricaldomain/pset/pset_transformertypecommon.htm" xr:uid="{442E2861-82F2-4D96-9C28-9FC02D184C26}"/>
    <hyperlink ref="Q531" r:id="rId1997" display="https://standards.buildingsmart.org/IFC/RELEASE/IFC4/ADD2_TC1/HTML/schema/ifcelectricaldomain/pset/pset_transformertypecommon.htm" xr:uid="{97E0FD2A-C82C-4FE9-9C2A-7AF171F27C41}"/>
    <hyperlink ref="Q1385" r:id="rId1998" display="https://standards.buildingsmart.org/IFC/RELEASE/IFC4/ADD2_TC1/HTML/schema/ifcelectricaldomain/pset/pset_transformertypecommon.htm" xr:uid="{97CF5199-5838-4E0F-8B07-F3E625B17662}"/>
    <hyperlink ref="Q1993" r:id="rId1999" display="https://standards.buildingsmart.org/IFC/RELEASE/IFC4/ADD2_TC1/HTML/schema/ifchvacdomain/pset/pset_airtoairheatrecoverytypecommon.htm" xr:uid="{F8EF63E5-A35A-4F92-B171-462571DA99D8}"/>
    <hyperlink ref="Q32" r:id="rId2000" display="https://standards.buildingsmart.org/IFC/RELEASE/IFC4/ADD2_TC1/HTML/schema/ifcsharedfacilitieselements/pset/pset_furnituretypechair.htm" xr:uid="{E5D33F5B-A6B1-46AB-9006-AA9677F616E1}"/>
    <hyperlink ref="Q658" r:id="rId2001" display="https://standards.buildingsmart.org/IFC/RELEASE/IFC4/ADD2_TC1/HTML/schema/ifcelectricaldomain/pset/pset_cablesegmenttypecoresegment.htm" xr:uid="{F858AF0B-CEC4-4F4F-9CB8-2269F54ACF11}"/>
    <hyperlink ref="Q659" r:id="rId2002" display="https://standards.buildingsmart.org/IFC/RELEASE/IFC4/ADD2_TC1/HTML/schema/ifcelectricaldomain/pset/pset_cablesegmenttypecablesegment.htm" xr:uid="{42233D20-7714-4D66-AAB9-9A779D53941E}"/>
    <hyperlink ref="Q918" r:id="rId2003" display="https://standards.buildingsmart.org/IFC/RELEASE/IFC4/ADD2_TC1/HTML/schema/ifcsharedbldgserviceelements/pset/pset_distributionsystemtypeventilation.htm" xr:uid="{5F0E44A9-E43C-4C08-AEB2-2DD5CFA8153B}"/>
    <hyperlink ref="Q1930" r:id="rId2004" display="https://standards.buildingsmart.org/IFC/RELEASE/IFC4/ADD2_TC1/HTML/schema/ifcconstructionmgmtdomain/pset/pset_constructionresource.htm" xr:uid="{DF922658-5D02-4E47-A434-B05658C2D2EC}"/>
    <hyperlink ref="Q980" r:id="rId2005" display="https://standards.buildingsmart.org/IFC/RELEASE/IFC4/ADD2_TC1/HTML/schema/ifcsharedmgmtelements/pset/pset_projectordermaintenanceworkorder.htm" xr:uid="{2655ACC8-DDBE-4096-8511-A4BAC447E98A}"/>
    <hyperlink ref="Q586" r:id="rId2006" display="https://standards.buildingsmart.org/IFC/RELEASE/IFC4/ADD2_TC1/HTML/schema/ifcconstructionmgmtdomain/pset/pset_constructionresource.htm" xr:uid="{03752C77-00CA-417A-929D-0D8D82830EB7}"/>
    <hyperlink ref="Q430" r:id="rId2007" display="https://standards.buildingsmart.org/IFC/RELEASE/IFC4/ADD2_TC1/HTML/schema/ifcconstructionmgmtdomain/pset/pset_constructionresource.htm" xr:uid="{634BC41A-855C-4DAA-9733-8400D30D1E38}"/>
    <hyperlink ref="Q553" r:id="rId2008" display="https://standards.buildingsmart.org/IFC/RELEASE/IFC4/ADD2_TC1/HTML/schema/ifchvacdomain/pset/pset_humidifiertypecommon.htm" xr:uid="{493889A9-23C3-4ABC-BBF5-489A5E91D3F1}"/>
    <hyperlink ref="Q795" r:id="rId2009" display="https://standards.buildingsmart.org/IFC/RELEASE/IFC4/ADD2_TC1/HTML/schema/ifchvacdomain/pset/pset_humidifierphistory.htm" xr:uid="{B1BE0E29-21AB-4AF0-BC4C-930629A45567}"/>
    <hyperlink ref="Q1202" r:id="rId2010" display="https://standards.buildingsmart.org/IFC/RELEASE/IFC4/ADD2_TC1/HTML/schema/ifcsharedcomponentelements/pset/pset_fastenerweld.htm" xr:uid="{CA4A40CF-7509-4010-80EF-CD3EF8112400}"/>
    <hyperlink ref="Q140" r:id="rId2011" display="https://standards.buildingsmart.org/IFC/RELEASE/IFC4/ADD2_TC1/HTML/schema/ifcsharedbldgelements/pset/pset_shadingdevicecommon.htm" xr:uid="{741C7EC3-DF6B-4A2F-82CC-4166FDB173B1}"/>
    <hyperlink ref="Q2421" r:id="rId2012" display="https://standards.buildingsmart.org/IFC/RELEASE/IFC4/ADD2_TC1/HTML/schema/ifchvacdomain/pset/pset_pumpphistory.htm" xr:uid="{5A882E1C-3A42-4648-AD94-6C8D50510288}"/>
    <hyperlink ref="Q1705" r:id="rId2013" display="https://standards.buildingsmart.org/IFC/RELEASE/IFC4/ADD2_TC1/HTML/schema/ifcsharedbldgelements/pset/pset_columncommon.htm" xr:uid="{F498F926-716D-4EE9-AEA3-046EA5ABD449}"/>
    <hyperlink ref="Q1706" r:id="rId2014" display="https://standards.buildingsmart.org/IFC/RELEASE/IFC4/ADD2_TC1/HTML/schema/ifcsharedbldgelements/pset/pset_beamcommon.htm" xr:uid="{19FDDBDD-651C-4797-A5C6-5B61A66F99DA}"/>
    <hyperlink ref="Q699" r:id="rId2015" display="https://standards.buildingsmart.org/IFC/RELEASE/IFC4/ADD2_TC1/HTML/schema/ifcproductextension/pset/pset_annotationlineofsight.htm" xr:uid="{4F85C5DA-2D12-4116-958C-1D1B4B83B1C1}"/>
    <hyperlink ref="Q700" r:id="rId2016" display="https://standards.buildingsmart.org/IFC/RELEASE/IFC4/ADD2_TC1/HTML/schema/ifcproductextension/pset/pset_annotationlineofsight.htm" xr:uid="{6B4BED48-0A66-4902-B7EE-9DCC522E4680}"/>
    <hyperlink ref="Q2248" r:id="rId2017" display="https://standards.buildingsmart.org/IFC/RELEASE/IFC4/ADD2_TC1/HTML/schema/ifcsharedfacilitieselements/pset/pset_risk.htm" xr:uid="{C5627B63-BC7A-40D2-AA6D-4D476A8D360B}"/>
    <hyperlink ref="Q331" r:id="rId2018" display="https://standards.buildingsmart.org/IFC/RELEASE/IFC4/ADD2_TC1/HTML/schema/ifcsharedfacilitieselements/pset/pset_risk.htm" xr:uid="{7542F0EC-490C-4ED9-B58E-44B9846D35BA}"/>
    <hyperlink ref="Q2300" r:id="rId2019" display="https://standards.buildingsmart.org/IFC/RELEASE/IFC4/ADD2_TC1/HTML/schema/ifcsharedfacilitieselements/pset/pset_risk.htm" xr:uid="{8B4C09E2-F7B5-42D5-9331-C6365BE98A9D}"/>
    <hyperlink ref="Q449" r:id="rId2020" display="https://standards.buildingsmart.org/IFC/RELEASE/IFC4/ADD2_TC1/HTML/schema/ifcsharedfacilitieselements/pset/pset_risk.htm" xr:uid="{C86680A5-7C53-4D42-8505-86CA3B488AC2}"/>
    <hyperlink ref="Q246" r:id="rId2021" display="https://standards.buildingsmart.org/IFC/RELEASE/IFC4/ADD2_TC1/HTML/schema/ifcsharedfacilitieselements/pset/pset_risk.htm" xr:uid="{F915EF7E-8095-454A-8B7A-5108806219D2}"/>
    <hyperlink ref="Q38" r:id="rId2022" display="https://standards.buildingsmart.org/IFC/RELEASE/IFC4/ADD2_TC1/HTML/schema/ifcsharedbldgelements/pset/pset_stairflightcommon.htm" xr:uid="{AFF61511-B89D-4764-ABF9-7359A606577F}"/>
    <hyperlink ref="Q37" r:id="rId2023" display="https://standards.buildingsmart.org/IFC/RELEASE/IFC4/ADD2_TC1/HTML/schema/ifcsharedbldgelements/pset/pset_staircommon.htm" xr:uid="{FB7D02F8-5528-48E6-A94E-DCE28870B9E8}"/>
    <hyperlink ref="Q1105" r:id="rId2024" display="https://standards.buildingsmart.org/IFC/RELEASE/IFC4/ADD2_TC1/HTML/schema/ifcprofileresource/pset/pset_profilearbitrarydoublet.htm" xr:uid="{A3BE7B22-06BF-40D6-A0F3-7ECFFB332971}"/>
    <hyperlink ref="Q2047" r:id="rId2025" display="https://standards.buildingsmart.org/IFC/RELEASE/IFC4/ADD2_TC1/HTML/schema/ifchvacdomain/pset/pset_cooledbeamphistory.htm" xr:uid="{FBDDA5FE-2AF8-47F6-B389-E9D491239CF4}"/>
    <hyperlink ref="Q2071" r:id="rId2026" display="https://standards.buildingsmart.org/IFC/RELEASE/IFC4/ADD2_TC1/HTML/schema/ifchvacdomain/pset/pset_cooledbeamphistory.htm" xr:uid="{2D5268D8-23E9-4CF5-9F68-BA3165A0A5FC}"/>
    <hyperlink ref="Q962" r:id="rId2027" display="https://standards.buildingsmart.org/IFC/RELEASE/IFC4/ADD2_TC1/HTML/schema/ifchvacdomain/pset/pset_airterminalboxtypecommon.htm" xr:uid="{85408A8D-147B-489B-A43B-1E2DF4D40011}"/>
    <hyperlink ref="Q1700" r:id="rId2028" display="https://standards.buildingsmart.org/IFC/RELEASE/IFC4/ADD2_TC1/HTML/schema/ifcsharedfacilitieselements/pset/pset_propertyagreement.htm" xr:uid="{4F01CF92-C22F-4DD9-BB23-9A49F703ED87}"/>
    <hyperlink ref="Q1699" r:id="rId2029" display="https://standards.buildingsmart.org/IFC/RELEASE/IFC4/ADD2_TC1/HTML/schema/ifcplumbingfireprotectiondomain/pset/pset_firesuppressionterminaltypesprinkler.htm" xr:uid="{9C985FF3-9401-4A1C-9807-679FD6123CDA}"/>
    <hyperlink ref="Q826" r:id="rId2030" display="https://standards.buildingsmart.org/IFC/RELEASE/IFC4/ADD2_TC1/HTML/schema/ifcproductextension/pset/pset_environmentalimpactindicators.htm" xr:uid="{73A41427-8906-48F6-99BB-D75B17A04549}"/>
    <hyperlink ref="Q827" r:id="rId2031" display="https://standards.buildingsmart.org/IFC/RELEASE/IFC4/ADD2_TC1/HTML/schema/ifcproductextension/pset/pset_environmentalimpactvalues.htm" xr:uid="{033E0E3B-7E3B-43D8-9423-7849104AB9A0}"/>
    <hyperlink ref="Q1423" r:id="rId2032" display="https://standards.buildingsmart.org/IFC/RELEASE/IFC4/ADD2_TC1/HTML/schema/ifcplumbingfireprotectiondomain/pset/pset_firesuppressionterminaltypesprinkler.htm" xr:uid="{B92248F2-C9EE-4432-919E-BC4E49FB03EF}"/>
    <hyperlink ref="Q1040" r:id="rId2033" display="https://standards.buildingsmart.org/IFC/RELEASE/IFC4/ADD2_TC1/HTML/schema/ifcsharedbldgelements/pset/pset_rampcommon.htm" xr:uid="{9B69011A-509A-4EB9-82C6-1B25C5C3CF79}"/>
    <hyperlink ref="Q1325" r:id="rId2034" display="https://standards.buildingsmart.org/IFC/RELEASE/IFC4/ADD2_TC1/HTML/schema/ifcsharedbldgelements/pset/pset_staircommon.htm" xr:uid="{258EC01D-8B6A-4865-89EE-757FD77DCB93}"/>
    <hyperlink ref="Q1326" r:id="rId2035" display="https://standards.buildingsmart.org/IFC/RELEASE/IFC4/ADD2_TC1/HTML/schema/ifcsharedbldgelements/pset/pset_rampcommon.htm" xr:uid="{F6FA81D9-1AF7-4348-BC95-33BF65BD7991}"/>
    <hyperlink ref="Q1771" r:id="rId2036" display="https://standards.buildingsmart.org/IFC/RELEASE/IFC4/ADD2_TC1/HTML/schema/ifcsharedmgmtelements/pset/pset_actionrequest.htm" xr:uid="{AEA8EFCD-9FAA-4DE5-81B6-9B4DC79249B6}"/>
    <hyperlink ref="Q1772" r:id="rId2037" display="https://standards.buildingsmart.org/IFC/RELEASE/IFC4/ADD2_TC1/HTML/schema/ifcsharedmgmtelements/pset/pset_actionrequest.htm" xr:uid="{39A0C58C-C89C-462F-81BC-53EDE26FA5B6}"/>
    <hyperlink ref="Q1770" r:id="rId2038" display="https://standards.buildingsmart.org/IFC/RELEASE/IFC4/ADD2_TC1/HTML/schema/ifcsharedmgmtelements/pset/pset_actionrequest.htm" xr:uid="{3B13597C-1E65-4A64-AF01-3B711C0953A5}"/>
    <hyperlink ref="Q1936" r:id="rId2039" display="https://standards.buildingsmart.org/IFC/RELEASE/IFC4/ADD2_TC1/HTML/schema/ifcproductextension/pset/pset_buildinguse.htm" xr:uid="{98709B98-2021-467C-88F9-536BB485F1BB}"/>
    <hyperlink ref="Q1937" r:id="rId2040" display="https://standards.buildingsmart.org/IFC/RELEASE/IFC4/ADD2_TC1/HTML/schema/ifcproductextension/pset/pset_buildinguse.htm" xr:uid="{9CF9A444-257D-48BD-8394-75FEB6C67B87}"/>
    <hyperlink ref="Q466" r:id="rId2041" display="https://standards.buildingsmart.org/IFC/RELEASE/IFC4/ADD2_TC1/HTML/schema/ifcproductextension/pset/pset_environmentalimpactindicators.htm" xr:uid="{3DFE621B-3F7C-4818-A89B-6133033C86CB}"/>
    <hyperlink ref="Q467" r:id="rId2042" display="https://standards.buildingsmart.org/IFC/RELEASE/IFC4/ADD2_TC1/HTML/schema/ifcproductextension/pset/pset_environmentalimpactvalues.htm" xr:uid="{D65C55D0-BDD3-4B35-B74F-4068E55A3BE0}"/>
    <hyperlink ref="Q1147" r:id="rId2043" display="https://standards.buildingsmart.org/IFC/RELEASE/IFC4/ADD2_TC1/HTML/schema/ifchvacdomain/pset/pset_flowmetertypecommon.htm" xr:uid="{DB38DBE0-DD6B-4386-A608-74C4293F62D0}"/>
    <hyperlink ref="Q1932" r:id="rId2044" display="https://standards.buildingsmart.org/IFC/RELEASE/IFC4/ADD2_TC1/HTML/schema/ifcconstructionmgmtdomain/pset/pset_constructionresource.htm" xr:uid="{2F0C8AF6-E2D6-4FAE-AC5E-B6554DDB928E}"/>
    <hyperlink ref="Q588" r:id="rId2045" display="https://standards.buildingsmart.org/IFC/RELEASE/IFC4/ADD2_TC1/HTML/schema/ifcconstructionmgmtdomain/pset/pset_constructionresource.htm" xr:uid="{9D8677B5-8BB8-4E8F-A2FF-195658928611}"/>
    <hyperlink ref="Q28" r:id="rId2046" display="https://standards.buildingsmart.org/IFC/RELEASE/IFC4/ADD2_TC1/HTML/schema/ifchvacdomain/pset/pset_tanktypepressurevessel.htm" xr:uid="{629178F4-D3A0-4671-8580-D2531061A1B2}"/>
    <hyperlink ref="Q27" r:id="rId2047" display="https://standards.buildingsmart.org/IFC/RELEASE/IFC4/ADD2_TC1/HTML/schema/ifchvacdomain/pset/pset_tanktypeexpansion.htm" xr:uid="{338B272F-131F-4DAB-97B5-F9D3D1A38A87}"/>
    <hyperlink ref="Q1407" r:id="rId2048" display="https://standards.buildingsmart.org/IFC/RELEASE/IFC4/ADD2_TC1/HTML/schema/ifchvacdomain/pset/pset_valvetypepressurerelief.htm" xr:uid="{5DAA28B3-BCB2-4F7C-8FD5-CCA1B069FB81}"/>
    <hyperlink ref="Q1014" r:id="rId2049" display="https://standards.buildingsmart.org/IFC/RELEASE/IFC4/ADD2_TC1/HTML/schema/ifcelectricaldomain/pset/pset_protectivedevicetrippingfunctionscurve.htm" xr:uid="{605E393E-1C92-451E-9FBC-E9DA05817657}"/>
    <hyperlink ref="Q1013" r:id="rId2050" display="https://standards.buildingsmart.org/IFC/RELEASE/IFC4/ADD2_TC1/HTML/schema/ifcelectricaldomain/pset/pset_protectivedevicetrippingfunctiongcurve.htm" xr:uid="{61EECC63-EA47-4B74-8C91-3A392CF475E7}"/>
    <hyperlink ref="Q2115" r:id="rId2051" display="https://standards.buildingsmart.org/IFC/RELEASE/IFC4/ADD2_TC1/HTML/schema/ifcelectricaldomain/pset/pset_protectivedevicetrippingfunctionscurve.htm" xr:uid="{04DB682D-9931-4EA3-8E79-DE62D81D9B5D}"/>
    <hyperlink ref="Q2114" r:id="rId2052" display="https://standards.buildingsmart.org/IFC/RELEASE/IFC4/ADD2_TC1/HTML/schema/ifcelectricaldomain/pset/pset_protectivedevicetrippingfunctiongcurve.htm" xr:uid="{FED4AB0F-8C8F-4E3E-A95F-0F3464BAD811}"/>
    <hyperlink ref="Q1017" r:id="rId2053" display="https://standards.buildingsmart.org/IFC/RELEASE/IFC4/ADD2_TC1/HTML/schema/ifcelectricaldomain/pset/pset_protectivedevicetrippingfunctionscurve.htm" xr:uid="{8CD7A264-2D5F-4A5F-BD3A-6E7419DA7F3C}"/>
    <hyperlink ref="Q1015" r:id="rId2054" display="https://standards.buildingsmart.org/IFC/RELEASE/IFC4/ADD2_TC1/HTML/schema/ifcelectricaldomain/pset/pset_protectivedevicetrippingfunctionicurve.htm" xr:uid="{DB616F13-EC25-48E4-8649-AC10922BCE76}"/>
    <hyperlink ref="Q1016" r:id="rId2055" display="https://standards.buildingsmart.org/IFC/RELEASE/IFC4/ADD2_TC1/HTML/schema/ifcelectricaldomain/pset/pset_protectivedevicetrippingfunctiongcurve.htm" xr:uid="{050FAED8-F6F2-45F9-B718-5DB1E9E5B135}"/>
    <hyperlink ref="Q947" r:id="rId2056" display="https://standards.buildingsmart.org/IFC/RELEASE/IFC4/ADD2_TC1/HTML/schema/ifcstructuralelementsdomain/pset/pset_precastconcreteelementgeneral.htm" xr:uid="{DC71A88E-7ACC-4775-B5E7-91DB3076D552}"/>
    <hyperlink ref="Q515" r:id="rId2057" display="https://standards.buildingsmart.org/IFC/RELEASE/IFC4/ADD2_TC1/HTML/schema/ifcelectricaldomain/pset/pset_protectivedevicetrippingfunctionscurve.htm" xr:uid="{BD12A4BD-8422-42C1-9E3B-54EEC43F1C50}"/>
    <hyperlink ref="Q514" r:id="rId2058" display="https://standards.buildingsmart.org/IFC/RELEASE/IFC4/ADD2_TC1/HTML/schema/ifcelectricaldomain/pset/pset_protectivedevicetrippingfunctiongcurve.htm" xr:uid="{409ADF38-F7B8-4E4C-973A-AE51B23B8B70}"/>
    <hyperlink ref="Q1150" r:id="rId2059" display="https://standards.buildingsmart.org/IFC/RELEASE/IFC4/ADD2_TC1/HTML/schema/ifcelectricaldomain/pset/pset_protectivedevicetrippingfunctionscurve.htm" xr:uid="{E0A89CB2-19A7-43F8-AC21-96C9C5A90763}"/>
    <hyperlink ref="Q1149" r:id="rId2060" display="https://standards.buildingsmart.org/IFC/RELEASE/IFC4/ADD2_TC1/HTML/schema/ifcelectricaldomain/pset/pset_protectivedevicetrippingfunctiongcurve.htm" xr:uid="{BBDC6A5C-3205-4E81-B75A-E989291C9822}"/>
    <hyperlink ref="Q518" r:id="rId2061" display="https://standards.buildingsmart.org/IFC/RELEASE/IFC4/ADD2_TC1/HTML/schema/ifcelectricaldomain/pset/pset_protectivedevicetrippingfunctionscurve.htm" xr:uid="{CE87780D-AA23-4FB6-9B2E-0E403B089634}"/>
    <hyperlink ref="Q516" r:id="rId2062" display="https://standards.buildingsmart.org/IFC/RELEASE/IFC4/ADD2_TC1/HTML/schema/ifcelectricaldomain/pset/pset_protectivedevicetrippingfunctionicurve.htm" xr:uid="{B4551931-4197-42DC-82E0-5B1A706D7370}"/>
    <hyperlink ref="Q517" r:id="rId2063" display="https://standards.buildingsmart.org/IFC/RELEASE/IFC4/ADD2_TC1/HTML/schema/ifcelectricaldomain/pset/pset_protectivedevicetrippingfunctiongcurve.htm" xr:uid="{89BE6470-F4CC-4007-BAE4-53E76F735AB6}"/>
    <hyperlink ref="Q1677" r:id="rId2064" display="https://standards.buildingsmart.org/IFC/RELEASE/IFC4/ADD2_TC1/HTML/schema/ifcmaterialresource/pset/pset_materialsteel.htm" xr:uid="{A52E7317-1EC9-4F1E-81E4-47CEC43F1188}"/>
    <hyperlink ref="Q2353" r:id="rId2065" display="https://standards.buildingsmart.org/IFC/RELEASE/IFC4/ADD2_TC1/HTML/schema/ifcsharedbldgserviceelements/pset/pset_spacethermalloadphistory.htm" xr:uid="{81C065FC-2FBD-4D3D-ADD8-1B11D1D07877}"/>
    <hyperlink ref="Q2352" r:id="rId2066" display="https://standards.buildingsmart.org/IFC/RELEASE/IFC4/ADD2_TC1/HTML/schema/ifcsharedbldgserviceelements/pset/pset_spacethermalload.htm" xr:uid="{4F1938ED-4928-4BBE-AA14-BA7863A9D188}"/>
    <hyperlink ref="Q1542" r:id="rId2067" display="https://standards.buildingsmart.org/IFC/RELEASE/IFC4/ADD2_TC1/HTML/schema/ifcstructuralelementsdomain/pset/pset_concreteelementgeneral.htm" xr:uid="{92BD3B01-C9A2-42C3-A30D-C23BE4F9BC4E}"/>
    <hyperlink ref="Q272" r:id="rId2068" display="https://standards.buildingsmart.org/IFC/RELEASE/IFC4/ADD2_TC1/HTML/schema/ifcstructuralelementsdomain/pset/pset_concreteelementgeneral.htm" xr:uid="{D52E02A4-7F3F-4D1F-8E41-C602A4BA7AAC}"/>
    <hyperlink ref="Q834" r:id="rId2069" display="https://standards.buildingsmart.org/IFC/RELEASE/IFC4/ADD2_TC1/HTML/schema/ifchvacdomain/pset/pset_ductsegmenttypecommon.htm" xr:uid="{4FB0B1EC-5303-494E-9D39-C1FB3C348D70}"/>
    <hyperlink ref="Q2166" r:id="rId2070" display="https://standards.buildingsmart.org/IFC/RELEASE/IFC4/ADD2_TC1/HTML/schema/ifcstructuralelementsdomain/pset/pset_reinforcementbarpitchofcolumn.htm" xr:uid="{847A62DE-A5D3-404F-9969-7926B0949EA5}"/>
    <hyperlink ref="Q1535" r:id="rId2071" display="https://standards.buildingsmart.org/IFC/RELEASE/IFC4/ADD2_TC1/HTML/schema/ifcstructuralelementsdomain/pset/pset_concreteelementgeneral.htm" xr:uid="{E6458215-2885-4239-AB35-76CC530B21AC}"/>
    <hyperlink ref="Q1672" r:id="rId2072" display="https://standards.buildingsmart.org/IFC/RELEASE/IFC4/ADD2_TC1/HTML/schema/ifchvacdomain/pset/pset_ductsegmenttypecommon.htm" xr:uid="{161FF666-9AA2-42C3-B69A-470DFA6684C2}"/>
    <hyperlink ref="Q2246" r:id="rId2073" display="https://standards.buildingsmart.org/IFC/RELEASE/IFC4/ADD2_TC1/HTML/schema/ifchvacdomain/pset/pset_airterminalboxtypecommon.htm" xr:uid="{35B5FDFB-E8BC-4E55-829C-4330980423BE}"/>
    <hyperlink ref="Q574" r:id="rId2074" display="https://standards.buildingsmart.org/IFC/RELEASE/IFC4/ADD2_TC1/HTML/schema/ifchvacdomain/pset/pset_dampertypecommon.htm" xr:uid="{C729590C-FF8E-4245-8C82-99CA01246EFF}"/>
    <hyperlink ref="Q1696" r:id="rId2075" display="https://standards.buildingsmart.org/IFC/RELEASE/IFC4/ADD2_TC1/HTML/schema/ifchvacdomain/pset/pset_evaporatorphistory.htm" xr:uid="{C6E55E89-37D4-4B79-9E95-F1CC0E441544}"/>
    <hyperlink ref="Q1695" r:id="rId2076" display="https://standards.buildingsmart.org/IFC/RELEASE/IFC4/ADD2_TC1/HTML/schema/ifchvacdomain/pset/pset_condenserphistory.htm" xr:uid="{642BB711-675B-4A9E-97D5-60970A5C1787}"/>
    <hyperlink ref="Q286" r:id="rId2077" display="https://standards.buildingsmart.org/IFC/RELEASE/IFC4/ADD2_TC1/HTML/schema/ifchvacdomain/pset/pset_evaporatortypecommon.htm" xr:uid="{74AE1FE4-3D2C-4E0A-A1AC-660E74C10746}"/>
    <hyperlink ref="Q285" r:id="rId2078" display="https://standards.buildingsmart.org/IFC/RELEASE/IFC4/ADD2_TC1/HTML/schema/ifchvacdomain/pset/pset_condensertypecommon.htm" xr:uid="{54FD609A-666A-499F-96A2-B4DCF6598C9D}"/>
    <hyperlink ref="Q284" r:id="rId2079" display="https://standards.buildingsmart.org/IFC/RELEASE/IFC4/ADD2_TC1/HTML/schema/ifchvacdomain/pset/pset_compressortypecommon.htm" xr:uid="{14202FE3-B52A-4F6D-A71A-1591C8DCBA13}"/>
    <hyperlink ref="Q1938" r:id="rId2080" display="https://standards.buildingsmart.org/IFC/RELEASE/IFC4/ADD2_TC1/HTML/schema/ifcelectricaldomain/pset/pset_audiovisualappliancetypedisplay.htm" xr:uid="{984C156D-D18B-4C50-9F49-E0A22C855CB4}"/>
    <hyperlink ref="Q1664" r:id="rId2081" display="https://standards.buildingsmart.org/IFC/RELEASE/IFC4/ADD2_TC1/HTML/schema/ifcproductextension/pset/pset_spatialzonecommon.htm" xr:uid="{3D34C094-5AC0-469F-9676-223C4EC886D3}"/>
    <hyperlink ref="Q1606" r:id="rId2082" display="https://standards.buildingsmart.org/IFC/RELEASE/IFC4/ADD2_TC1/HTML/schema/ifcstructuralelementsdomain/pset/pset_reinforcementbarpitchofwall.htm" xr:uid="{7FBAD628-5557-4630-8D07-CB78EF928386}"/>
    <hyperlink ref="Q1605" r:id="rId2083" display="https://standards.buildingsmart.org/IFC/RELEASE/IFC4/ADD2_TC1/HTML/schema/ifcstructuralelementsdomain/pset/pset_reinforcementbarpitchofslab.htm" xr:uid="{8D7CCC65-CA31-448A-8E84-5A19910847DF}"/>
    <hyperlink ref="Q1607" r:id="rId2084" display="https://standards.buildingsmart.org/IFC/RELEASE/IFC4/ADD2_TC1/HTML/schema/ifcstructuralelementsdomain/pset/pset_reinforcementbarpitchofcontinuousfooting.htm" xr:uid="{3CECE22C-AC15-4FBD-B10C-24B78ECAE9AC}"/>
    <hyperlink ref="Q1604" r:id="rId2085" display="https://standards.buildingsmart.org/IFC/RELEASE/IFC4/ADD2_TC1/HTML/schema/ifcstructuralelementsdomain/pset/pset_reinforcementbarpitchofcolumn.htm" xr:uid="{27A608E2-7B03-4AAD-A960-417499198EF3}"/>
    <hyperlink ref="Q1608" r:id="rId2086" display="https://standards.buildingsmart.org/IFC/RELEASE/IFC4/ADD2_TC1/HTML/schema/ifcstructuralelementsdomain/pset/pset_reinforcementbarpitchofbeam.htm" xr:uid="{D4585DFC-5754-44CF-949E-4F4D3B5F5DA8}"/>
    <hyperlink ref="Q1577" r:id="rId2087" display="https://standards.buildingsmart.org/IFC/RELEASE/IFC4/ADD2_TC1/HTML/schema/ifcstructuralelementsdomain/pset/pset_reinforcementbarcountofindependentfooting.htm" xr:uid="{EE4F73AD-4623-4FFE-8EE4-15165DB9D4B9}"/>
    <hyperlink ref="Q1620" r:id="rId2088" display="https://standards.buildingsmart.org/IFC/RELEASE/IFC4/ADD2_TC1/HTML/schema/ifcsharedfacilitieselements/pset/pset_furnituretypecommon.htm" xr:uid="{D9D33243-680C-4028-8709-9E1B7ACC26B4}"/>
    <hyperlink ref="Q1621" r:id="rId2089" display="https://standards.buildingsmart.org/IFC/RELEASE/IFC4/ADD2_TC1/HTML/schema/ifcproductextension/pset/pset_elementassemblycommon.htm" xr:uid="{F1A674BA-C399-4330-B416-5E030C0FE6B0}"/>
    <hyperlink ref="Q1589" r:id="rId2090" display="https://standards.buildingsmart.org/IFC/RELEASE/IFC4/ADD2_TC1/HTML/schema/ifcproductextension/pset/pset_civilelementcommon.htm" xr:uid="{C58E2B5C-1534-4B75-AC85-DA8A60DF0289}"/>
    <hyperlink ref="Q1665" r:id="rId2091" display="https://standards.buildingsmart.org/IFC/RELEASE/IFC4/ADD2_TC1/HTML/schema/ifcproductextension/pset/pset_zonecommon.htm" xr:uid="{D79E5325-82F5-4B65-97B0-D888059EF630}"/>
    <hyperlink ref="Q1614" r:id="rId2092" display="https://standards.buildingsmart.org/IFC/RELEASE/IFC4/ADD2_TC1/HTML/schema/ifcsharedbldgelements/pset/pset_windowcommon.htm" xr:uid="{A5F3AA36-3137-4AA1-893A-874126D08D53}"/>
    <hyperlink ref="Q1652" r:id="rId2093" display="https://standards.buildingsmart.org/IFC/RELEASE/IFC4/ADD2_TC1/HTML/schema/ifcplumbingfireprotectiondomain/pset/pset_wasteterminaltypecommon.htm" xr:uid="{CBE2E370-1A5C-4337-AD08-A0A8C9DDEB2E}"/>
    <hyperlink ref="Q1623" r:id="rId2094" display="https://standards.buildingsmart.org/IFC/RELEASE/IFC4/ADD2_TC1/HTML/schema/ifcsharedbldgelements/pset/pset_wallcommon.htm" xr:uid="{645DF89F-EBCE-4DD7-AB66-58A296029317}"/>
    <hyperlink ref="Q1612" r:id="rId2095" display="https://standards.buildingsmart.org/IFC/RELEASE/IFC4/ADD2_TC1/HTML/schema/ifchvacdomain/pset/pset_vibrationisolatortypecommon.htm" xr:uid="{314BD10A-174C-47BB-8235-8892C8B48525}"/>
    <hyperlink ref="Q1660" r:id="rId2096" display="https://standards.buildingsmart.org/IFC/RELEASE/IFC4/ADD2_TC1/HTML/schema/ifchvacdomain/pset/pset_valvetypecommon.htm" xr:uid="{7FB3B2BD-07DB-46B5-B455-0F4BEEAC45DC}"/>
    <hyperlink ref="Q1595" r:id="rId2097" display="https://standards.buildingsmart.org/IFC/RELEASE/IFC4/ADD2_TC1/HTML/schema/ifchvacdomain/pset/pset_unitaryequipmenttypecommon.htm" xr:uid="{6104C205-28DD-4898-8890-5078AFCB0837}"/>
    <hyperlink ref="Q1592" r:id="rId2098" display="https://standards.buildingsmart.org/IFC/RELEASE/IFC4/ADD2_TC1/HTML/schema/ifcbuildingcontrolsdomain/pset/pset_unitarycontrolelementtypecommon.htm" xr:uid="{B06ECB77-C4B8-4A28-BAE0-41F7F978F4E7}"/>
    <hyperlink ref="Q1641" r:id="rId2099" display="https://standards.buildingsmart.org/IFC/RELEASE/IFC4/ADD2_TC1/HTML/schema/ifchvacdomain/pset/pset_tubebundletypecommon.htm" xr:uid="{32F17D1A-C7B8-40E6-8523-7BCA14746F3F}"/>
    <hyperlink ref="Q1593" r:id="rId2100" display="https://standards.buildingsmart.org/IFC/RELEASE/IFC4/ADD2_TC1/HTML/schema/ifcproductextension/pset/pset_transportelementcommon.htm" xr:uid="{7AE40DA2-6467-418F-BCA7-FF0620F7BACE}"/>
    <hyperlink ref="Q1657" r:id="rId2101" display="https://standards.buildingsmart.org/IFC/RELEASE/IFC4/ADD2_TC1/HTML/schema/ifcelectricaldomain/pset/pset_transformertypecommon.htm" xr:uid="{8EF891CA-91BE-41B2-B9EC-3BE1548E23D3}"/>
    <hyperlink ref="Q1649" r:id="rId2102" display="https://standards.buildingsmart.org/IFC/RELEASE/IFC4/ADD2_TC1/HTML/schema/ifcstructuralelementsdomain/pset/pset_tendoncommon.htm" xr:uid="{735423AA-3B2F-470E-A004-25A000D7896D}"/>
    <hyperlink ref="Q1555" r:id="rId2103" display="https://standards.buildingsmart.org/IFC/RELEASE/IFC4/ADD2_TC1/HTML/schema/ifcstructuralelementsdomain/pset/pset_tendonanchorcommon.htm" xr:uid="{F2303EC7-274F-49B0-9F13-FB4C45346DE1}"/>
    <hyperlink ref="Q1647" r:id="rId2104" display="https://standards.buildingsmart.org/IFC/RELEASE/IFC4/ADD2_TC1/HTML/schema/ifchvacdomain/pset/pset_tanktypecommon.htm" xr:uid="{C114BD12-9841-4288-8586-C46F0DE49555}"/>
    <hyperlink ref="Q1582" r:id="rId2105" display="https://standards.buildingsmart.org/IFC/RELEASE/IFC4/ADD2_TC1/HTML/schema/ifcelectricaldomain/pset/pset_switchingdevicetypecommon.htm" xr:uid="{493E7440-83A6-41C1-AC28-40247B588D60}"/>
    <hyperlink ref="Q1597" r:id="rId2106" display="https://standards.buildingsmart.org/IFC/RELEASE/IFC4/ADD2_TC1/HTML/schema/ifcsharedbldgelements/pset/pset_stairflightcommon.htm" xr:uid="{1A863EFF-7890-47B6-88BB-785286C99BB3}"/>
    <hyperlink ref="Q1596" r:id="rId2107" display="https://standards.buildingsmart.org/IFC/RELEASE/IFC4/ADD2_TC1/HTML/schema/ifcsharedbldgelements/pset/pset_staircommon.htm" xr:uid="{06DAF11B-D913-45C0-88CD-DC9AC86CDE70}"/>
    <hyperlink ref="Q1653" r:id="rId2108" display="https://standards.buildingsmart.org/IFC/RELEASE/IFC4/ADD2_TC1/HTML/schema/ifcplumbingfireprotectiondomain/pset/pset_stackterminaltypecommon.htm" xr:uid="{FE373D72-D28F-4C48-8C9C-AE13976931ED}"/>
    <hyperlink ref="Q1559" r:id="rId2109" display="https://standards.buildingsmart.org/IFC/RELEASE/IFC4/ADD2_TC1/HTML/schema/ifchvacdomain/pset/pset_spaceheatertypecommon.htm" xr:uid="{2CB8382B-3E67-46B4-B22E-731767C20E8B}"/>
    <hyperlink ref="Q1598" r:id="rId2110" display="https://standards.buildingsmart.org/IFC/RELEASE/IFC4/ADD2_TC1/HTML/schema/ifcproductextension/pset/pset_spacecommon.htm" xr:uid="{0D15CBB7-BAA7-4FA7-994A-7905D8E81960}"/>
    <hyperlink ref="Q1587" r:id="rId2111" display="https://standards.buildingsmart.org/IFC/RELEASE/IFC4/ADD2_TC1/HTML/schema/ifcelectricaldomain/pset/pset_solardevicetypecommon.htm" xr:uid="{826956D0-B9B6-4C39-A8EB-36514AF78578}"/>
    <hyperlink ref="Q1646" r:id="rId2112" display="https://standards.buildingsmart.org/IFC/RELEASE/IFC4/ADD2_TC1/HTML/schema/ifcsharedbldgelements/pset/pset_slabcommon.htm" xr:uid="{64CDE5D8-868E-48FD-95FA-689A93340147}"/>
    <hyperlink ref="Q1645" r:id="rId2113" display="https://standards.buildingsmart.org/IFC/RELEASE/IFC4/ADD2_TC1/HTML/schema/ifcproductextension/pset/pset_sitecommon.htm" xr:uid="{71073C03-E88F-4084-862E-C091375673A2}"/>
    <hyperlink ref="Q1585" r:id="rId2114" display="https://standards.buildingsmart.org/IFC/RELEASE/IFC4/ADD2_TC1/HTML/schema/ifcsharedbldgelements/pset/pset_shadingdevicecommon.htm" xr:uid="{EF66D0F5-FE83-4811-959D-7D37D722C968}"/>
    <hyperlink ref="Q1639" r:id="rId2115" display="https://standards.buildingsmart.org/IFC/RELEASE/IFC4/ADD2_TC1/HTML/schema/ifcbuildingcontrolsdomain/pset/pset_sensortypecommon.htm" xr:uid="{C8418746-C645-4CD7-A354-8AB35006CEFA}"/>
    <hyperlink ref="Q1654" r:id="rId2116" display="https://standards.buildingsmart.org/IFC/RELEASE/IFC4/ADD2_TC1/HTML/schema/ifcplumbingfireprotectiondomain/pset/pset_sanitaryterminaltypecommon.htm" xr:uid="{19EDA7B1-0FB0-440E-AD6F-591B4E196C0C}"/>
    <hyperlink ref="Q1648" r:id="rId2117" display="https://standards.buildingsmart.org/IFC/RELEASE/IFC4/ADD2_TC1/HTML/schema/ifcsharedbldgelements/pset/pset_roofcommon.htm" xr:uid="{E52E496B-815D-4E91-9448-1AA584B794B3}"/>
    <hyperlink ref="Q1633" r:id="rId2118" display="https://standards.buildingsmart.org/IFC/RELEASE/IFC4/ADD2_TC1/HTML/schema/ifcstructuralelementsdomain/pset/pset_reinforcingmeshcommon.htm" xr:uid="{9089041E-39EE-4202-85AE-FACCBD89B303}"/>
    <hyperlink ref="Q1561" r:id="rId2119" display="https://standards.buildingsmart.org/IFC/RELEASE/IFC4/ADD2_TC1/HTML/schema/ifcstructuralelementsdomain/pset/pset_reinforcingbarcommon.htm" xr:uid="{E814A0F2-5FAB-42EB-B2EC-F9E9DBF58402}"/>
    <hyperlink ref="Q1630" r:id="rId2120" display="https://standards.buildingsmart.org/IFC/RELEASE/IFC4/ADD2_TC1/HTML/schema/ifcsharedbldgelements/pset/pset_rampflightcommon.htm" xr:uid="{2A8C6D4E-AE10-4069-A907-C8FD68E2761B}"/>
    <hyperlink ref="Q1631" r:id="rId2121" display="https://standards.buildingsmart.org/IFC/RELEASE/IFC4/ADD2_TC1/HTML/schema/ifcsharedbldgelements/pset/pset_rampcommon.htm" xr:uid="{1565421D-245D-4D09-85CE-01C943674D9B}"/>
    <hyperlink ref="Q1580" r:id="rId2122" display="https://standards.buildingsmart.org/IFC/RELEASE/IFC4/ADD2_TC1/HTML/schema/ifcsharedbldgelements/pset/pset_railingcommon.htm" xr:uid="{36A3FFD9-15E6-47BA-8A68-660062AAE780}"/>
    <hyperlink ref="Q1562" r:id="rId2123" display="https://standards.buildingsmart.org/IFC/RELEASE/IFC4/ADD2_TC1/HTML/schema/ifchvacdomain/pset/pset_pumptypecommon.htm" xr:uid="{C8E22F06-2D8B-4E35-9DBF-DF3E860B999F}"/>
    <hyperlink ref="Q1584" r:id="rId2124" display="https://standards.buildingsmart.org/IFC/RELEASE/IFC4/ADD2_TC1/HTML/schema/ifcelectricaldomain/pset/pset_protectivedevicetypecommon.htm" xr:uid="{4C16C22C-122B-4FA1-83C0-9F181D04A38B}"/>
    <hyperlink ref="Q1583" r:id="rId2125" display="https://standards.buildingsmart.org/IFC/RELEASE/IFC4/ADD2_TC1/HTML/schema/ifcelectricaldomain/pset/pset_protectivedevicetrippingunittypecommon.htm" xr:uid="{4DFA26FC-A447-4A1F-B2DD-62C785C751BB}"/>
    <hyperlink ref="Q1625" r:id="rId2126" display="https://standards.buildingsmart.org/IFC/RELEASE/IFC4/ADD2_TC1/HTML/schema/ifcsharedbldgelements/pset/pset_platecommon.htm" xr:uid="{5E938A06-097D-45D3-B8A1-AE8255AE721A}"/>
    <hyperlink ref="Q1638" r:id="rId2127" display="https://standards.buildingsmart.org/IFC/RELEASE/IFC4/ADD2_TC1/HTML/schema/ifchvacdomain/pset/pset_pipesegmenttypecommon.htm" xr:uid="{1E8CD5E6-B407-4B62-9132-A628FEED183E}"/>
    <hyperlink ref="Q1576" r:id="rId2128" display="https://standards.buildingsmart.org/IFC/RELEASE/IFC4/ADD2_TC1/HTML/schema/ifchvacdomain/pset/pset_pipefittingtypecommon.htm" xr:uid="{D2ED5412-2C82-4E82-BCF1-823D46638F7A}"/>
    <hyperlink ref="Q1599" r:id="rId2129" display="https://standards.buildingsmart.org/IFC/RELEASE/IFC4/ADD2_TC1/HTML/schema/ifcstructuralelementsdomain/pset/pset_pilecommon.htm" xr:uid="{A1FC6005-7018-46CF-8532-233885238D31}"/>
    <hyperlink ref="Q1655" r:id="rId2130" display="https://standards.buildingsmart.org/IFC/RELEASE/IFC4/ADD2_TC1/HTML/schema/ifcelectricaldomain/pset/pset_outlettypecommon.htm" xr:uid="{D3F24880-0F74-4B54-A697-0B4102470B95}"/>
    <hyperlink ref="Q1591" r:id="rId2131" display="https://standards.buildingsmart.org/IFC/RELEASE/IFC4/ADD2_TC1/HTML/schema/ifcproductextension/pset/pset_openingelementcommon.htm" xr:uid="{5AE9C103-0089-4B2B-9A70-E3B24958DB56}"/>
    <hyperlink ref="Q1574" r:id="rId2132" display="https://standards.buildingsmart.org/IFC/RELEASE/IFC4/ADD2_TC1/HTML/schema/ifcelectricaldomain/pset/pset_motorconnectiontypecommon.htm" xr:uid="{FB62E6AA-B105-488E-8CDA-0FA043CD7DD6}"/>
    <hyperlink ref="Q1619" r:id="rId2133" display="https://standards.buildingsmart.org/IFC/RELEASE/IFC4/ADD2_TC1/HTML/schema/ifcsharedbldgelements/pset/pset_membercommon.htm" xr:uid="{F3DB173B-61E1-4908-A312-D491F4D0D444}"/>
    <hyperlink ref="Q1586" r:id="rId2134" display="https://standards.buildingsmart.org/IFC/RELEASE/IFC4/ADD2_TC1/HTML/schema/ifchvacdomain/pset/pset_medicaldevicetypecommon.htm" xr:uid="{82534507-70C5-42DF-BC4B-3BB7E804A774}"/>
    <hyperlink ref="Q1616" r:id="rId2135" display="https://standards.buildingsmart.org/IFC/RELEASE/IFC4/ADD2_TC1/HTML/schema/ifcelectricaldomain/pset/pset_lightfixturetypecommon.htm" xr:uid="{57FC6AB6-3AD0-4E56-9A39-3D2418B91AA4}"/>
    <hyperlink ref="Q1615" r:id="rId2136" display="https://standards.buildingsmart.org/IFC/RELEASE/IFC4/ADD2_TC1/HTML/schema/ifcelectricaldomain/pset/pset_lamptypecommon.htm" xr:uid="{D2C7C592-23E2-4DFC-9BC0-86AE5399C1F0}"/>
    <hyperlink ref="Q1564" r:id="rId2137" display="https://standards.buildingsmart.org/IFC/RELEASE/IFC4/ADD2_TC1/HTML/schema/ifcelectricaldomain/pset/pset_junctionboxtypecommon.htm" xr:uid="{B5CF0B6D-D047-4CEB-9D18-424E4E832BEE}"/>
    <hyperlink ref="Q1611" r:id="rId2138" display="https://standards.buildingsmart.org/IFC/RELEASE/IFC4/ADD2_TC1/HTML/schema/ifcplumbingfireprotectiondomain/pset/pset_interceptortypecommon.htm" xr:uid="{8F33088D-80A2-44B8-B022-80BF993189F6}"/>
    <hyperlink ref="Q1659" r:id="rId2139" display="https://standards.buildingsmart.org/IFC/RELEASE/IFC4/ADD2_TC1/HTML/schema/ifchvacdomain/pset/pset_humidifiertypecommon.htm" xr:uid="{1DCF83B4-29C1-46A3-8283-DC069B78D446}"/>
    <hyperlink ref="Q1658" r:id="rId2140" display="https://standards.buildingsmart.org/IFC/RELEASE/IFC4/ADD2_TC1/HTML/schema/ifchvacdomain/pset/pset_heatexchangertypecommon.htm" xr:uid="{A88841FD-AAF4-471D-BD06-7255D728C837}"/>
    <hyperlink ref="Q1602" r:id="rId2141" display="https://standards.buildingsmart.org/IFC/RELEASE/IFC4/ADD2_TC1/HTML/schema/ifcstructuralelementsdomain/pset/pset_footingcommon.htm" xr:uid="{D0098CCC-E794-4FF2-8720-135D56515D43}"/>
    <hyperlink ref="Q1618" r:id="rId2142" display="https://standards.buildingsmart.org/IFC/RELEASE/IFC4/ADD2_TC1/HTML/schema/ifchvacdomain/pset/pset_flowmetertypecommon.htm" xr:uid="{FAAF98C8-DBEF-44FC-81D9-C64BCC915966}"/>
    <hyperlink ref="Q1610" r:id="rId2143" display="https://standards.buildingsmart.org/IFC/RELEASE/IFC4/ADD2_TC1/HTML/schema/ifcbuildingcontrolsdomain/pset/pset_flowinstrumenttypecommon.htm" xr:uid="{9914FF26-3461-43F8-BE39-4D6D0C0FB3BA}"/>
    <hyperlink ref="Q1651" r:id="rId2144" display="https://standards.buildingsmart.org/IFC/RELEASE/IFC4/ADD2_TC1/HTML/schema/ifcplumbingfireprotectiondomain/pset/pset_firesuppressionterminaltypecommon.htm" xr:uid="{2AB463CD-74F5-43A5-A112-DCF3D9A9ABA1}"/>
    <hyperlink ref="Q1601" r:id="rId2145" display="https://standards.buildingsmart.org/IFC/RELEASE/IFC4/ADD2_TC1/HTML/schema/ifchvacdomain/pset/pset_filtertypecommon.htm" xr:uid="{55050496-E0A7-4497-B004-A3171E9FCDAC}"/>
    <hyperlink ref="Q1661" r:id="rId2146" display="https://standards.buildingsmart.org/IFC/RELEASE/IFC4/ADD2_TC1/HTML/schema/ifchvacdomain/pset/pset_fantypecommon.htm" xr:uid="{31DD93BF-7447-4704-9099-5DFA98A4F97A}"/>
    <hyperlink ref="Q1600" r:id="rId2147" display="https://standards.buildingsmart.org/IFC/RELEASE/IFC4/ADD2_TC1/HTML/schema/ifchvacdomain/pset/pset_evaporatortypecommon.htm" xr:uid="{67BB9B24-C6BE-483F-819E-93C57A7498A0}"/>
    <hyperlink ref="Q1634" r:id="rId2148" display="https://standards.buildingsmart.org/IFC/RELEASE/IFC4/ADD2_TC1/HTML/schema/ifchvacdomain/pset/pset_evaporativecoolertypecommon.htm" xr:uid="{DC596B3C-A285-4C1C-8293-491B313E1E75}"/>
    <hyperlink ref="Q1609" r:id="rId2149" display="https://standards.buildingsmart.org/IFC/RELEASE/IFC4/ADD2_TC1/HTML/schema/ifcproductextension/pset/pset_environmentalimpactindicators.htm" xr:uid="{087BDCB5-8356-4062-9688-E66FB6693099}"/>
    <hyperlink ref="Q1617" r:id="rId2150" display="https://standards.buildingsmart.org/IFC/RELEASE/IFC4/ADD2_TC1/HTML/schema/ifchvacdomain/pset/pset_enginetypecommon.htm" xr:uid="{FA028B9D-251A-4638-9B6E-18F4597CBAC8}"/>
    <hyperlink ref="Q1590" r:id="rId2151" display="https://standards.buildingsmart.org/IFC/RELEASE/IFC4/ADD2_TC1/HTML/schema/ifcsharedcomponentelements/pset/pset_elementcomponentcommon.htm" xr:uid="{07C6918D-F25D-4F7D-A0D2-A843C42C6695}"/>
    <hyperlink ref="Q1578" r:id="rId2152" display="https://standards.buildingsmart.org/IFC/RELEASE/IFC4/ADD2_TC1/HTML/schema/ifcelectricaldomain/pset/pset_electrictimecontroltypecommon.htm" xr:uid="{00184EB6-1CA9-4D50-BD3B-5350FBEF3F2C}"/>
    <hyperlink ref="Q1622" r:id="rId2153" display="https://standards.buildingsmart.org/IFC/RELEASE/IFC4/ADD2_TC1/HTML/schema/ifcelectricaldomain/pset/pset_electricmotortypecommon.htm" xr:uid="{004B0118-5986-43B9-A276-A3DBC38D6E0B}"/>
    <hyperlink ref="Q1603" r:id="rId2154" display="https://standards.buildingsmart.org/IFC/RELEASE/IFC4/ADD2_TC1/HTML/schema/ifcelectricaldomain/pset/pset_electricgeneratortypecommon.htm" xr:uid="{050395BC-2926-432E-8A66-0D5309641CEF}"/>
    <hyperlink ref="Q1581" r:id="rId2155" display="https://standards.buildingsmart.org/IFC/RELEASE/IFC4/ADD2_TC1/HTML/schema/ifcelectricaldomain/pset/pset_electricflowstoragedevicetypecommon.htm" xr:uid="{AC61AA7C-74F3-4B03-9BBD-3B42981A42BD}"/>
    <hyperlink ref="Q1628" r:id="rId2156" display="https://standards.buildingsmart.org/IFC/RELEASE/IFC4/ADD2_TC1/HTML/schema/ifcelectricaldomain/pset/pset_electricdistributionboardtypecommon.htm" xr:uid="{DD11426A-71D0-430C-9AF6-EC5A31D7B71B}"/>
    <hyperlink ref="Q1594" r:id="rId2157" display="https://standards.buildingsmart.org/IFC/RELEASE/IFC4/ADD2_TC1/HTML/schema/ifcelectricaldomain/pset/pset_electricappliancetypecommon.htm" xr:uid="{3410E951-494C-46C8-B573-C503F30ABD47}"/>
    <hyperlink ref="Q1642" r:id="rId2158" display="https://standards.buildingsmart.org/IFC/RELEASE/IFC4/ADD2_TC1/HTML/schema/ifchvacdomain/pset/pset_ductsilencertypecommon.htm" xr:uid="{40DF48C7-7031-439C-B3B1-CCDCC9180486}"/>
    <hyperlink ref="Q1637" r:id="rId2159" display="https://standards.buildingsmart.org/IFC/RELEASE/IFC4/ADD2_TC1/HTML/schema/ifchvacdomain/pset/pset_ductsegmenttypecommon.htm" xr:uid="{1A21E748-314F-41A0-853A-7C76048B292A}"/>
    <hyperlink ref="Q1573" r:id="rId2160" display="https://standards.buildingsmart.org/IFC/RELEASE/IFC4/ADD2_TC1/HTML/schema/ifchvacdomain/pset/pset_ductfittingtypecommon.htm" xr:uid="{EE9355F8-5558-4299-B933-172C5E9F4784}"/>
    <hyperlink ref="Q1626" r:id="rId2161" display="https://standards.buildingsmart.org/IFC/RELEASE/IFC4/ADD2_TC1/HTML/schema/ifcsharedbldgelements/pset/pset_doorcommon.htm" xr:uid="{F1B40B9A-FA24-4414-9B78-6ED717C9FA0B}"/>
    <hyperlink ref="Q1644" r:id="rId2162" display="https://standards.buildingsmart.org/IFC/RELEASE/IFC4/ADD2_TC1/HTML/schema/ifcsharedbldgserviceelements/pset/pset_distributionsystemcommon.htm" xr:uid="{D44F264A-A6DF-494C-8D21-4F393D401F85}"/>
    <hyperlink ref="Q1566" r:id="rId2163" display="https://standards.buildingsmart.org/IFC/RELEASE/IFC4/ADD2_TC1/HTML/schema/ifcsharedbldgserviceelements/pset/pset_distributionchamberelementcommon.htm" xr:uid="{4342A350-9019-4631-9033-2A0406BAC921}"/>
    <hyperlink ref="Q1613" r:id="rId2164" display="https://standards.buildingsmart.org/IFC/RELEASE/IFC4/ADD2_TC1/HTML/schema/ifchvacdomain/pset/pset_dampertypecommon.htm" xr:uid="{925EB02A-80C1-46D6-964C-F17E739C7450}"/>
    <hyperlink ref="Q1624" r:id="rId2165" display="https://standards.buildingsmart.org/IFC/RELEASE/IFC4/ADD2_TC1/HTML/schema/ifcsharedbldgelements/pset/pset_curtainwallcommon.htm" xr:uid="{49EA17ED-6320-4595-B1EE-CE3973D5B73B}"/>
    <hyperlink ref="Q1553" r:id="rId2166" display="https://standards.buildingsmart.org/IFC/RELEASE/IFC4/ADD2_TC1/HTML/schema/ifcsharedbldgelements/pset/pset_coveringcommon.htm" xr:uid="{60BA5502-1BAF-4C19-A0C8-76D2AD015BCC}"/>
    <hyperlink ref="Q1656" r:id="rId2167" display="https://standards.buildingsmart.org/IFC/RELEASE/IFC4/ADD2_TC1/HTML/schema/ifchvacdomain/pset/pset_coolingtowertypecommon.htm" xr:uid="{B9BC783E-FBC7-4B03-8DF9-9E798D79A00E}"/>
    <hyperlink ref="Q1663" r:id="rId2168" display="https://standards.buildingsmart.org/IFC/RELEASE/IFC4/ADD2_TC1/HTML/schema/ifchvacdomain/pset/pset_cooledbeamtypecommon.htm" xr:uid="{A6A10B55-F738-49AC-9DA3-6AF2A02B9EED}"/>
    <hyperlink ref="Q1579" r:id="rId2169" display="https://standards.buildingsmart.org/IFC/RELEASE/IFC4/ADD2_TC1/HTML/schema/ifcbuildingcontrolsdomain/pset/pset_controllertypecommon.htm" xr:uid="{A4D64264-A5C6-4692-80F4-766020316264}"/>
    <hyperlink ref="Q1571" r:id="rId2170" display="https://standards.buildingsmart.org/IFC/RELEASE/IFC4/ADD2_TC1/HTML/schema/ifchvacdomain/pset/pset_condensertypecommon.htm" xr:uid="{519BB292-A70C-424D-91E1-7FFFFE94EC1A}"/>
    <hyperlink ref="Q1570" r:id="rId2171" display="https://standards.buildingsmart.org/IFC/RELEASE/IFC4/ADD2_TC1/HTML/schema/ifchvacdomain/pset/pset_compressortypecommon.htm" xr:uid="{C4A6A106-EB97-43CC-9272-DD00139FB5D8}"/>
    <hyperlink ref="Q1558" r:id="rId2172" display="https://standards.buildingsmart.org/IFC/RELEASE/IFC4/ADD2_TC1/HTML/schema/ifcelectricaldomain/pset/pset_communicationsappliancetypecommon.htm" xr:uid="{C9D0A122-0E3B-4C83-8474-F7BF2CD06BB9}"/>
    <hyperlink ref="Q1569" r:id="rId2173" display="https://standards.buildingsmart.org/IFC/RELEASE/IFC4/ADD2_TC1/HTML/schema/ifcsharedbldgelements/pset/pset_columncommon.htm" xr:uid="{79E04769-5BC7-4EE2-A403-C315C7DE9EBC}"/>
    <hyperlink ref="Q1640" r:id="rId2174" display="https://standards.buildingsmart.org/IFC/RELEASE/IFC4/ADD2_TC1/HTML/schema/ifchvacdomain/pset/pset_coiltypecommon.htm" xr:uid="{A40EA731-72FC-4678-89E6-54273C1357E3}"/>
    <hyperlink ref="Q1568" r:id="rId2175" display="https://standards.buildingsmart.org/IFC/RELEASE/IFC4/ADD2_TC1/HTML/schema/ifcsharedbldgelements/pset/pset_chimneycommon.htm" xr:uid="{CECE6880-3291-49F4-82D6-CAB99E21A305}"/>
    <hyperlink ref="Q1567" r:id="rId2176" display="https://standards.buildingsmart.org/IFC/RELEASE/IFC4/ADD2_TC1/HTML/schema/ifchvacdomain/pset/pset_chillertypecommon.htm" xr:uid="{36393520-1D46-4901-B321-5AEB1B5D453E}"/>
    <hyperlink ref="Q1635" r:id="rId2177" display="https://standards.buildingsmart.org/IFC/RELEASE/IFC4/ADD2_TC1/HTML/schema/ifcelectricaldomain/pset/pset_cablesegmenttypecommon.htm" xr:uid="{0773F54D-B9E6-4D61-B065-068258129061}"/>
    <hyperlink ref="Q1572" r:id="rId2178" display="https://standards.buildingsmart.org/IFC/RELEASE/IFC4/ADD2_TC1/HTML/schema/ifcelectricaldomain/pset/pset_cablefittingtypecommon.htm" xr:uid="{C390F1E8-8D8A-4C10-A249-918050B56E0B}"/>
    <hyperlink ref="Q1636" r:id="rId2179" display="https://standards.buildingsmart.org/IFC/RELEASE/IFC4/ADD2_TC1/HTML/schema/ifcelectricaldomain/pset/pset_cablecarriersegmenttypecommon.htm" xr:uid="{5A600AD6-C750-42EE-BDAD-8DEEA1E3451D}"/>
    <hyperlink ref="Q1575" r:id="rId2180" display="https://standards.buildingsmart.org/IFC/RELEASE/IFC4/ADD2_TC1/HTML/schema/ifcelectricaldomain/pset/pset_cablecarrierfittingtypecommon.htm" xr:uid="{00774887-1EBD-4FC2-B52C-CCACA1D325A0}"/>
    <hyperlink ref="Q1629" r:id="rId2181" display="https://standards.buildingsmart.org/IFC/RELEASE/IFC4/ADD2_TC1/HTML/schema/ifchvacdomain/pset/pset_burnertypecommon.htm" xr:uid="{A85E5B1B-F0BF-4EDF-8335-F842ED9D94A9}"/>
    <hyperlink ref="Q1643" r:id="rId2182" display="https://standards.buildingsmart.org/IFC/RELEASE/IFC4/ADD2_TC1/HTML/schema/ifcsharedbldgelements/pset/pset_buildingsystemcommon.htm" xr:uid="{DC5DFB3A-43E2-418A-8636-46CF0B202429}"/>
    <hyperlink ref="Q1556" r:id="rId2183" display="https://standards.buildingsmart.org/IFC/RELEASE/IFC4/ADD2_TC1/HTML/schema/ifcproductextension/pset/pset_buildingstoreycommon.htm" xr:uid="{31E25C3C-7622-4814-A7DC-35A5C9AF127A}"/>
    <hyperlink ref="Q1627" r:id="rId2184" display="https://standards.buildingsmart.org/IFC/RELEASE/IFC4/ADD2_TC1/HTML/schema/ifcsharedbldgelements/pset/pset_buildingelementproxycommon.htm" xr:uid="{241DAF74-869D-4B28-8715-0995BB55E67F}"/>
    <hyperlink ref="Q1588" r:id="rId2185" display="https://standards.buildingsmart.org/IFC/RELEASE/IFC4/ADD2_TC1/HTML/schema/ifcproductextension/pset/pset_buildingcommon.htm" xr:uid="{A98FD4BD-5FA3-4932-ACAF-05220BBAA71C}"/>
    <hyperlink ref="Q1565" r:id="rId2186" display="https://standards.buildingsmart.org/IFC/RELEASE/IFC4/ADD2_TC1/HTML/schema/ifchvacdomain/pset/pset_boilertypecommon.htm" xr:uid="{2ECD289D-72D6-4528-9D1E-D211FF47A9B2}"/>
    <hyperlink ref="Q1662" r:id="rId2187" display="https://standards.buildingsmart.org/IFC/RELEASE/IFC4/ADD2_TC1/HTML/schema/ifcsharedbldgelements/pset/pset_beamcommon.htm" xr:uid="{F31DD3BD-845C-4918-8D3B-46F22A18764C}"/>
    <hyperlink ref="Q1557" r:id="rId2188" display="https://standards.buildingsmart.org/IFC/RELEASE/IFC4/ADD2_TC1/HTML/schema/ifcelectricaldomain/pset/pset_audiovisualappliancetypecommon.htm" xr:uid="{D144FA1F-E3DC-4343-B4AA-F6DC4FC0FDD9}"/>
    <hyperlink ref="Q1554" r:id="rId2189" display="https://standards.buildingsmart.org/IFC/RELEASE/IFC4/ADD2_TC1/HTML/schema/ifcbuildingcontrolsdomain/pset/pset_alarmtypecommon.htm" xr:uid="{C700957E-2F51-42BA-AA33-C8F2F3995A4A}"/>
    <hyperlink ref="Q1632" r:id="rId2190" display="https://standards.buildingsmart.org/IFC/RELEASE/IFC4/ADD2_TC1/HTML/schema/ifchvacdomain/pset/pset_airtoairheatrecoverytypecommon.htm" xr:uid="{CA6D648D-5326-44A8-B2C9-5BC8C5957892}"/>
    <hyperlink ref="Q1650" r:id="rId2191" display="https://standards.buildingsmart.org/IFC/RELEASE/IFC4/ADD2_TC1/HTML/schema/ifchvacdomain/pset/pset_airterminaltypecommon.htm" xr:uid="{263D04E4-07C2-47DE-8DA9-BCD6ED36488C}"/>
    <hyperlink ref="Q1563" r:id="rId2192" display="https://standards.buildingsmart.org/IFC/RELEASE/IFC4/ADD2_TC1/HTML/schema/ifchvacdomain/pset/pset_airterminalboxtypecommon.htm" xr:uid="{E5543635-C0C1-46A0-B389-52B4A2BBAF75}"/>
    <hyperlink ref="Q1560" r:id="rId2193" display="https://standards.buildingsmart.org/IFC/RELEASE/IFC4/ADD2_TC1/HTML/schema/ifcbuildingcontrolsdomain/pset/pset_actuatortypecommon.htm" xr:uid="{CEB85210-BD50-43D3-9B52-B717A3BD5CC1}"/>
    <hyperlink ref="Q92" r:id="rId2194" display="https://standards.buildingsmart.org/IFC/RELEASE/IFC4/ADD2_TC1/HTML/schema/ifcsharedbldgserviceelements/pset/pset_spacethermalloadphistory.htm" xr:uid="{E771C76A-D07D-4E1A-B3C4-B94A56B50E3D}"/>
    <hyperlink ref="Q91" r:id="rId2195" display="https://standards.buildingsmart.org/IFC/RELEASE/IFC4/ADD2_TC1/HTML/schema/ifcsharedbldgserviceelements/pset/pset_spacethermalload.htm" xr:uid="{9D953EB7-6805-498D-99D5-5AC8C74E55CB}"/>
    <hyperlink ref="Q1071" r:id="rId2196" display="https://standards.buildingsmart.org/IFC/RELEASE/IFC4/ADD2_TC1/HTML/schema/ifcsharedbldgserviceelements/pset/pset_thermalloaddesigncriteria.htm" xr:uid="{DFD13655-92CC-45B3-9940-8D97430A5E11}"/>
    <hyperlink ref="Q2247" r:id="rId2197" display="https://standards.buildingsmart.org/IFC/RELEASE/IFC4/ADD2_TC1/HTML/schema/ifcelectricaldomain/pset/pset_audiovisualappliancetypereceiver.htm" xr:uid="{3D9C618C-F19E-4ABA-83B0-7F3862FCE7BD}"/>
    <hyperlink ref="Q1546" r:id="rId2198" display="https://standards.buildingsmart.org/IFC/RELEASE/IFC4/ADD2_TC1/HTML/schema/ifcsharedmgmtelements/pset/pset_projectorderchangeorder.htm" xr:uid="{B0834CE2-D502-4CE3-8405-A7061843F139}"/>
    <hyperlink ref="Q1394" r:id="rId2199" display="https://standards.buildingsmart.org/IFC/RELEASE/IFC4/ADD2_TC1/HTML/schema/ifcsharedbldgserviceelements/pset/pset_distributionportphistorycable.htm" xr:uid="{A18AEA9A-A8F8-4163-8983-53C1335235EC}"/>
    <hyperlink ref="Q1540" r:id="rId2200" display="https://standards.buildingsmart.org/IFC/RELEASE/IFC4/ADD2_TC1/HTML/schema/ifcelectricaldomain/pset/pset_transformertypecommon.htm" xr:uid="{EDEEBAA2-E04B-4A4A-ACBF-F3CC5237A215}"/>
    <hyperlink ref="Q2222" r:id="rId2201" display="https://standards.buildingsmart.org/IFC/RELEASE/IFC4/ADD2_TC1/HTML/schema/ifchvacdomain/pset/pset_flowmetertypecommon.htm" xr:uid="{2CC99AC1-5831-4291-B444-D6D5DD03AEE9}"/>
    <hyperlink ref="Q1395" r:id="rId2202" display="https://standards.buildingsmart.org/IFC/RELEASE/IFC4/ADD2_TC1/HTML/schema/ifcsharedbldgserviceelements/pset/pset_distributionportphistorycable.htm" xr:uid="{F1F29E24-F883-4EB8-A9F6-69E0E8C3448C}"/>
    <hyperlink ref="Q1939" r:id="rId2203" display="https://standards.buildingsmart.org/IFC/RELEASE/IFC4/ADD2_TC1/HTML/schema/ifcbuildingcontrolsdomain/pset/pset_sensortypeheatsensor.htm" xr:uid="{E6BA29D8-D929-4745-B16A-0190961D8076}"/>
    <hyperlink ref="Q2123" r:id="rId2204" display="https://standards.buildingsmart.org/IFC/RELEASE/IFC4/ADD2_TC1/HTML/schema/ifcelectricaldomain/pset/pset_electricaldevicecommon.htm" xr:uid="{2512C92D-C7AA-4388-A0FE-BC3326A74D2C}"/>
    <hyperlink ref="Q2124" r:id="rId2205" display="https://standards.buildingsmart.org/IFC/RELEASE/IFC4/ADD2_TC1/HTML/schema/ifcelectricaldomain/pset/pset_cablesegmenttypecoresegment.htm" xr:uid="{4537E87A-CC2B-496A-8460-A41D64060A34}"/>
    <hyperlink ref="Q2125" r:id="rId2206" display="https://standards.buildingsmart.org/IFC/RELEASE/IFC4/ADD2_TC1/HTML/schema/ifcelectricaldomain/pset/pset_cablesegmenttypecablesegment.htm" xr:uid="{25C32A80-56EB-466C-A303-32462922F121}"/>
    <hyperlink ref="Q2093" r:id="rId2207" display="https://standards.buildingsmart.org/IFC/RELEASE/IFC4/ADD2_TC1/HTML/schema/ifcelectricaldomain/pset/pset_cablesegmenttypecoresegment.htm" xr:uid="{0D4CE590-496A-4D1B-A86D-04680E88A9BC}"/>
    <hyperlink ref="Q2094" r:id="rId2208" display="https://standards.buildingsmart.org/IFC/RELEASE/IFC4/ADD2_TC1/HTML/schema/ifcelectricaldomain/pset/pset_cablesegmenttypecablesegment.htm" xr:uid="{E62411CD-6F0D-4095-BC64-CDD6FC64DC9A}"/>
    <hyperlink ref="Q528" r:id="rId2209" display="https://standards.buildingsmart.org/IFC/RELEASE/IFC4/ADD2_TC1/HTML/schema/ifcelectricaldomain/pset/pset_electricaldevicecommon.htm" xr:uid="{8BE9D307-4D58-4FD7-B18C-E4FBA7463EC1}"/>
    <hyperlink ref="Q67" r:id="rId2210" display="https://standards.buildingsmart.org/IFC/RELEASE/IFC4/ADD2_TC1/HTML/schema/ifcbuildingcontrolsdomain/pset/pset_actuatortyperotationalactuation.htm" xr:uid="{0D4A55B6-65DD-4B4F-B36E-55CBDE60C1F6}"/>
    <hyperlink ref="Q1083" r:id="rId2211" display="https://standards.buildingsmart.org/IFC/RELEASE/IFC4/ADD2_TC1/HTML/schema/ifcbuildingcontrolsdomain/pset/pset_controllertypeproportional.htm" xr:uid="{00E69137-7167-489B-9097-C21D8C87EE3B}"/>
    <hyperlink ref="Q1081" r:id="rId2212" display="https://standards.buildingsmart.org/IFC/RELEASE/IFC4/ADD2_TC1/HTML/schema/ifcbuildingcontrolsdomain/pset/pset_controllertypefloating.htm" xr:uid="{E31938E0-1344-4B52-BF25-25DF278EE028}"/>
    <hyperlink ref="Q1082" r:id="rId2213" display="https://standards.buildingsmart.org/IFC/RELEASE/IFC4/ADD2_TC1/HTML/schema/ifcbuildingcontrolsdomain/pset/pset_controllertypemultiposition.htm" xr:uid="{660048FE-8E93-4116-ADAF-54A02AF057C6}"/>
    <hyperlink ref="Q1690" r:id="rId2214" display="https://standards.buildingsmart.org/IFC/RELEASE/IFC4/ADD2_TC1/HTML/schema/ifcproductextension/pset/pset_environmentalimpactindicators.htm" xr:uid="{7CA66D3E-7B68-416B-A478-84242B9EBBD6}"/>
    <hyperlink ref="Q1691" r:id="rId2215" display="https://standards.buildingsmart.org/IFC/RELEASE/IFC4/ADD2_TC1/HTML/schema/ifcproductextension/pset/pset_environmentalimpactvalues.htm" xr:uid="{994329C3-5668-4B50-98C5-B44F1798DB3A}"/>
    <hyperlink ref="Q2279" r:id="rId2216" display="https://standards.buildingsmart.org/IFC/RELEASE/IFC4/ADD2_TC1/HTML/schema/ifchvacdomain/pset/pset_spaceheatertyperadiator.htm" xr:uid="{1A0D2CE2-139C-432F-87FE-186006466F9F}"/>
    <hyperlink ref="Q971" r:id="rId2217" display="https://standards.buildingsmart.org/IFC/RELEASE/IFC4/ADD2_TC1/HTML/schema/ifcelectricaldomain/pset/pset_transformertypecommon.htm" xr:uid="{2618B887-58F2-4429-8A06-C2D496631029}"/>
    <hyperlink ref="Q970" r:id="rId2218" display="https://standards.buildingsmart.org/IFC/RELEASE/IFC4/ADD2_TC1/HTML/schema/ifcelectricaldomain/pset/pset_electricflowstoragedevicetypecommon.htm" xr:uid="{BF523D8B-59C3-4579-909F-A3ADFDF8207B}"/>
    <hyperlink ref="Q1483" r:id="rId2219" display="https://standards.buildingsmart.org/IFC/RELEASE/IFC4/ADD2_TC1/HTML/schema/ifcsharedfacilitieselements/pset/pset_servicelifefactors.htm" xr:uid="{4B7813E3-AA3B-4F41-A36B-9BB5209EF80B}"/>
    <hyperlink ref="Q1487" r:id="rId2220" display="https://standards.buildingsmart.org/IFC/RELEASE/IFC4/ADD2_TC1/HTML/schema/ifcbuildingcontrolsdomain/pset/pset_sensorphistory.htm" xr:uid="{95E5DAA7-8F37-4B28-8061-1E111887567D}"/>
    <hyperlink ref="Q1486" r:id="rId2221" display="https://standards.buildingsmart.org/IFC/RELEASE/IFC4/ADD2_TC1/HTML/schema/ifcbuildingcontrolsdomain/pset/pset_flowinstrumentphistory.htm" xr:uid="{0DA15805-544C-4067-AEB1-7EFC437E9D4F}"/>
    <hyperlink ref="Q1485" r:id="rId2222" display="https://standards.buildingsmart.org/IFC/RELEASE/IFC4/ADD2_TC1/HTML/schema/ifcbuildingcontrolsdomain/pset/pset_controllerphistory.htm" xr:uid="{F1146FD8-836D-4C17-9D8D-C8F96571CBE1}"/>
    <hyperlink ref="Q1484" r:id="rId2223" display="https://standards.buildingsmart.org/IFC/RELEASE/IFC4/ADD2_TC1/HTML/schema/ifcbuildingcontrolsdomain/pset/pset_actuatorphistory.htm" xr:uid="{B3344F76-198E-476B-84D3-12C752058BC5}"/>
    <hyperlink ref="Q1474" r:id="rId2224" display="https://standards.buildingsmart.org/IFC/RELEASE/IFC4/ADD2_TC1/HTML/schema/ifcproductextension/pset/pset_openingelementcommon.htm" xr:uid="{DC4CFF79-3C8B-41F0-BC86-4280A62D9645}"/>
    <hyperlink ref="Q1475" r:id="rId2225" display="https://standards.buildingsmart.org/IFC/RELEASE/IFC4/ADD2_TC1/HTML/schema/ifchvacdomain/pset/pset_flowmeteroccurrence.htm" xr:uid="{9EB6D2FF-84A0-401B-90D8-BBF7129A820D}"/>
    <hyperlink ref="Q1890" r:id="rId2226" display="https://standards.buildingsmart.org/IFC/RELEASE/IFC4/ADD2_TC1/HTML/schema/ifcplumbingfireprotectiondomain/pset/pset_firesuppressionterminaltypefirehydrant.htm" xr:uid="{F5BE725F-380B-4858-8DEF-C5E328A1561F}"/>
    <hyperlink ref="Q11" r:id="rId2227" display="https://standards.buildingsmart.org/IFC/RELEASE/IFC4/ADD2_TC1/HTML/schema/ifcproductextension/pset/pset_zonecommon.htm" xr:uid="{71F173E7-C93B-4D45-942E-48D395F7A592}"/>
    <hyperlink ref="Q10" r:id="rId2228" display="https://standards.buildingsmart.org/IFC/RELEASE/IFC4/ADD2_TC1/HTML/schema/ifcproductextension/pset/pset_spacecommon.htm" xr:uid="{E3376FE7-0CCD-4D55-A4BF-1EDB0692E9CA}"/>
    <hyperlink ref="Q1482" r:id="rId2229" display="https://standards.buildingsmart.org/IFC/RELEASE/IFC4/ADD2_TC1/HTML/schema/ifcsharedbldgserviceelements/pset/pset_distributionporttypecable.htm" xr:uid="{DAB1627B-3B3A-475A-830F-22CAE9ADA698}"/>
    <hyperlink ref="Q1472" r:id="rId2230" display="https://standards.buildingsmart.org/IFC/RELEASE/IFC4/ADD2_TC1/HTML/schema/ifcmaterialresource/pset/pset_materialconcrete.htm" xr:uid="{0948C766-0648-40A4-8333-C19A757C1B41}"/>
    <hyperlink ref="Q2" r:id="rId2231" xr:uid="{B242DBF8-5CB4-40AB-8C9B-DF8F4FE1B4D1}"/>
    <hyperlink ref="Q897" r:id="rId2232" display="https://standards.buildingsmart.org/IFC/RELEASE/IFC4/ADD2_TC1/HTML/schema/ifcmaterialresource/pset/pset_materialsteel.htm" xr:uid="{312FAFD7-601A-4850-BA93-95CFC3ED353A}"/>
    <hyperlink ref="Q454" r:id="rId2233" display="https://standards.buildingsmart.org/IFC/RELEASE/IFC4/ADD2_TC1/HTML/schema/ifcbuildingcontrolsdomain/pset/pset_controllertypeproportional.htm" xr:uid="{1A5DC544-107E-4961-9388-B56EE6B5BF92}"/>
    <hyperlink ref="Q1289" r:id="rId2234" display="https://standards.buildingsmart.org/IFC/RELEASE/IFC4/ADD2_TC1/HTML/schema/ifcsharedfacilitieselements/pset/pset_propertyagreement.htm" xr:uid="{B97D0437-2211-4CE7-A39C-057FD6A02C6A}"/>
    <hyperlink ref="Q2244" r:id="rId2235" display="https://standards.buildingsmart.org/IFC/RELEASE/IFC4/ADD2_TC1/HTML/schema/ifcelectricaldomain/pset/pset_audiovisualappliancetypeprojector.htm" xr:uid="{7CA3F6F0-71CC-40C4-B24E-7AE0568CF4D4}"/>
    <hyperlink ref="Q1436" r:id="rId2236" display="https://standards.buildingsmart.org/IFC/RELEASE/IFC4/ADD2_TC1/HTML/schema/ifcsharedfacilitieselements/pset/pset_manufacturertypeinformation.htm" xr:uid="{3B3CA1B7-FAF8-4402-BBD1-DE6F54EC55B0}"/>
    <hyperlink ref="Q1439" r:id="rId2237" display="https://standards.buildingsmart.org/IFC/RELEASE/IFC4/ADD2_TC1/HTML/schema/ifcstructuralelementsdomain/pset/pset_precastconcreteelementfabrication.htm" xr:uid="{A07216C9-F336-4B29-81EF-52A2D2DE591E}"/>
    <hyperlink ref="Q1438" r:id="rId2238" display="https://standards.buildingsmart.org/IFC/RELEASE/IFC4/ADD2_TC1/HTML/schema/ifcsharedmgmtelements/pset/pset_projectorderworkorder.htm" xr:uid="{F8417DD0-FDE6-44F0-B8DA-F7C8355B30CC}"/>
    <hyperlink ref="Q1437" r:id="rId2239" display="https://standards.buildingsmart.org/IFC/RELEASE/IFC4/ADD2_TC1/HTML/schema/ifcsharedmgmtelements/pset/pset_projectordermaintenanceworkorder.htm" xr:uid="{09F5D5A6-C7DF-4406-8381-998DF42A1E11}"/>
    <hyperlink ref="Q1434" r:id="rId2240" display="https://standards.buildingsmart.org/IFC/RELEASE/IFC4/ADD2_TC1/HTML/schema/ifcsharedcomponentelements/pset/pset_fastenerweld.htm" xr:uid="{F12FE4A1-DC6E-4F47-8243-BE0E31166D41}"/>
    <hyperlink ref="Q1435" r:id="rId2241" display="https://standards.buildingsmart.org/IFC/RELEASE/IFC4/ADD2_TC1/HTML/schema/ifcsharedcomponentelements/pset/pset_fastenerweld.htm" xr:uid="{5F0D3B04-593E-4301-BF69-324877966572}"/>
    <hyperlink ref="Q2126" r:id="rId2242" display="https://standards.buildingsmart.org/IFC/RELEASE/IFC4/ADD2_TC1/HTML/schema/ifcelectricaldomain/pset/pset_transformertypecommon.htm" xr:uid="{6614CF6E-D26D-4797-8041-5BAF8906CD6A}"/>
    <hyperlink ref="Q123" r:id="rId2243" display="https://standards.buildingsmart.org/IFC/RELEASE/IFC4/ADD2_TC1/HTML/schema/ifchvacdomain/pset/pset_coiltypehydronic.htm" xr:uid="{ACCF5BC2-775C-4C6F-8BE6-48B6C8227183}"/>
    <hyperlink ref="Q979" r:id="rId2244" display="https://standards.buildingsmart.org/IFC/RELEASE/IFC4/ADD2_TC1/HTML/schema/ifcelectricaldomain/pset/pset_transformertypecommon.htm" xr:uid="{3D06EAA2-4F2D-4D18-A210-F833AD1BDE88}"/>
    <hyperlink ref="Q465" r:id="rId2245" display="https://standards.buildingsmart.org/IFC/RELEASE/IFC4/ADD2_TC1/HTML/schema/ifchvacdomain/pset/pset_boilerphistory.htm" xr:uid="{16326D06-036B-4A99-A29D-04960C504BDA}"/>
    <hyperlink ref="Q530" r:id="rId2246" display="https://standards.buildingsmart.org/IFC/RELEASE/IFC4/ADD2_TC1/HTML/schema/ifcelectricaldomain/pset/pset_transformertypecommon.htm" xr:uid="{57AFA6FA-73C3-420E-92B1-E8EBB6ECF691}"/>
    <hyperlink ref="Q1384" r:id="rId2247" display="https://standards.buildingsmart.org/IFC/RELEASE/IFC4/ADD2_TC1/HTML/schema/ifcelectricaldomain/pset/pset_transformertypecommon.htm" xr:uid="{8F3437B1-AC2B-427B-A2F8-505045916122}"/>
    <hyperlink ref="Q2006" r:id="rId2248" display="https://standards.buildingsmart.org/IFC/RELEASE/IFC4/ADD2_TC1/HTML/schema/ifchvacdomain/pset/pset_airtoairheatrecoverytypecommon.htm" xr:uid="{95F26DBF-FFE3-417A-A2A8-85A6FFE4064C}"/>
    <hyperlink ref="Q1204" r:id="rId2249" display="https://standards.buildingsmart.org/IFC/RELEASE/IFC4/ADD2_TC1/HTML/schema/ifcsharedfacilitieselements/pset/pset_risk.htm" xr:uid="{C9A16389-691E-41C1-830C-15C1CC43529C}"/>
    <hyperlink ref="Q2439" r:id="rId2250" display="https://standards.buildingsmart.org/IFC/RELEASE/IFC4/ADD2_TC1/HTML/schema/ifcsharedbldgserviceelements/pset/pset_outsidedesigncriteria.htm" xr:uid="{7E1C315A-0C6F-4178-8F55-73AF3A557083}"/>
    <hyperlink ref="Q2438" r:id="rId2251" display="https://standards.buildingsmart.org/IFC/RELEASE/IFC4/ADD2_TC1/HTML/schema/ifcsharedbldgserviceelements/pset/pset_outsidedesigncriteria.htm" xr:uid="{C3217416-E00B-4905-A41F-AEE266E4F8D7}"/>
    <hyperlink ref="Q143" r:id="rId2252" display="https://standards.buildingsmart.org/IFC/RELEASE/IFC4/ADD2_TC1/HTML/schema/ifchvacdomain/pset/pset_pumpphistory.htm" xr:uid="{B093FEA5-EA86-450D-8A33-06ADD8B964BC}"/>
    <hyperlink ref="Q26" r:id="rId2253" display="https://standards.buildingsmart.org/IFC/RELEASE/IFC4/ADD2_TC1/HTML/schema/ifchvacdomain/pset/pset_tanktypepressurevessel.htm" xr:uid="{F12CAA9F-82B9-46C6-9624-1007C8690559}"/>
    <hyperlink ref="Q25" r:id="rId2254" display="https://standards.buildingsmart.org/IFC/RELEASE/IFC4/ADD2_TC1/HTML/schema/ifchvacdomain/pset/pset_tanktypeexpansion.htm" xr:uid="{4262F419-F0E7-431C-A024-12EFBB244168}"/>
    <hyperlink ref="Q315" r:id="rId2255" display="https://standards.buildingsmart.org/IFC/RELEASE/IFC4/ADD2_TC1/HTML/schema/ifcplumbingfireprotectiondomain/pset/pset_firesuppressionterminaltypefirehydrant.htm" xr:uid="{CEC7DD60-6A24-4603-BD8A-BA7631F5EEF9}"/>
    <hyperlink ref="Q314" r:id="rId2256" display="https://standards.buildingsmart.org/IFC/RELEASE/IFC4/ADD2_TC1/HTML/schema/ifchvacdomain/pset/pset_boilertypecommon.htm" xr:uid="{889D2234-4792-450F-A0F5-421219002222}"/>
    <hyperlink ref="Q1962" r:id="rId2257" display="https://standards.buildingsmart.org/IFC/RELEASE/IFC4/ADD2_TC1/HTML/schema/ifchvacdomain/pset/pset_pipesegmenttypecommon.htm" xr:uid="{205CB738-847F-449D-BAF3-C2A74783BA21}"/>
    <hyperlink ref="Q1960" r:id="rId2258" display="https://standards.buildingsmart.org/IFC/RELEASE/IFC4/ADD2_TC1/HTML/schema/ifchvacdomain/pset/pset_pipefittingtypecommon.htm" xr:uid="{C37F32A0-F43E-4A33-811B-38B3C8B628FA}"/>
    <hyperlink ref="Q1961" r:id="rId2259" display="https://standards.buildingsmart.org/IFC/RELEASE/IFC4/ADD2_TC1/HTML/schema/ifchvacdomain/pset/pset_ductsegmenttypecommon.htm" xr:uid="{04E52286-EC37-4EDA-88CD-DC844E7E8A47}"/>
    <hyperlink ref="Q1959" r:id="rId2260" display="https://standards.buildingsmart.org/IFC/RELEASE/IFC4/ADD2_TC1/HTML/schema/ifchvacdomain/pset/pset_ductfittingtypecommon.htm" xr:uid="{B437306D-6A13-4F43-B904-37BAFA20180F}"/>
    <hyperlink ref="Q354" r:id="rId2261" display="https://standards.buildingsmart.org/IFC/RELEASE/IFC4/ADD2_TC1/HTML/schema/ifchvacdomain/pset/pset_damperphistory.htm" xr:uid="{3E9AFA42-91D3-4480-9458-453661BB3A0D}"/>
    <hyperlink ref="Q2223" r:id="rId2262" display="https://standards.buildingsmart.org/IFC/RELEASE/IFC4/ADD2_TC1/HTML/schema/ifcbuildingcontrolsdomain/pset/pset_flowinstrumenttypepressuregauge.htm" xr:uid="{F9364F17-2125-4D64-AF85-7BF49A4B03B0}"/>
    <hyperlink ref="Q567" r:id="rId2263" display="https://standards.buildingsmart.org/IFC/RELEASE/IFC4/ADD2_TC1/HTML/schema/ifchvacdomain/pset/pset_filtertypeairparticlefilter.htm" xr:uid="{58B0EEA8-730E-46C9-9838-36877C5DF939}"/>
    <hyperlink ref="Q1526" r:id="rId2264" display="https://standards.buildingsmart.org/IFC/RELEASE/IFC4/ADD2_TC1/HTML/schema/ifchvacdomain/pset/pset_damperphistory.htm" xr:uid="{C117C3F5-B970-4A67-9642-1C6991DB15D9}"/>
    <hyperlink ref="Q1527" r:id="rId2265" display="https://standards.buildingsmart.org/IFC/RELEASE/IFC4/ADD2_TC1/HTML/schema/ifchvacdomain/pset/pset_airterminalphistory.htm" xr:uid="{CEE0F528-7532-4F57-A8CD-898382B41B3F}"/>
    <hyperlink ref="Q559" r:id="rId2266" display="https://standards.buildingsmart.org/IFC/RELEASE/IFC4/ADD2_TC1/HTML/schema/ifchvacdomain/pset/pset_fantypecommon.htm" xr:uid="{7AE50B1A-190A-4384-939A-8B480C1969E7}"/>
    <hyperlink ref="Q275" r:id="rId2267" display="https://standards.buildingsmart.org/IFC/RELEASE/IFC4/ADD2_TC1/HTML/schema/ifchvacdomain/pset/pset_pipefittingtypecommon.htm" xr:uid="{CF211BA0-1516-4E3E-89F5-37899D47C020}"/>
    <hyperlink ref="Q274" r:id="rId2268" display="https://standards.buildingsmart.org/IFC/RELEASE/IFC4/ADD2_TC1/HTML/schema/ifchvacdomain/pset/pset_ductfittingtypecommon.htm" xr:uid="{1A5AFF8B-46FD-4B25-8E44-791CC2FC1099}"/>
    <hyperlink ref="Q276" r:id="rId2269" display="https://standards.buildingsmart.org/IFC/RELEASE/IFC4/ADD2_TC1/HTML/schema/ifcsharedbldgserviceelements/pset/pset_distributionsystemtypeventilation.htm" xr:uid="{9007C01D-8E93-45A9-A37F-CCFE69A37FD5}"/>
    <hyperlink ref="Q1428" r:id="rId2270" display="https://standards.buildingsmart.org/IFC/RELEASE/IFC4/ADD2_TC1/HTML/schema/ifchvacdomain/pset/pset_tankphistory.htm" xr:uid="{F9DF1DE3-71BE-4018-96D1-F9DC396FABE4}"/>
    <hyperlink ref="Q1430" r:id="rId2271" display="https://standards.buildingsmart.org/IFC/RELEASE/IFC4/ADD2_TC1/HTML/schema/ifcsharedbldgserviceelements/pset/pset_distributionportphistorypipe.htm" xr:uid="{6EB2586E-EB51-4504-BAA5-FE50E839878B}"/>
    <hyperlink ref="Q1427" r:id="rId2272" display="https://standards.buildingsmart.org/IFC/RELEASE/IFC4/ADD2_TC1/HTML/schema/ifcsharedbldgserviceelements/pset/pset_distributionportphistoryduct.htm" xr:uid="{A959D550-3BF0-401D-8A49-B21F0615D269}"/>
    <hyperlink ref="Q1426" r:id="rId2273" display="https://standards.buildingsmart.org/IFC/RELEASE/IFC4/ADD2_TC1/HTML/schema/ifcsharedbldgserviceelements/pset/pset_distributionporttypepipe.htm" xr:uid="{C9DF8F6C-14C9-4CD8-A6BE-DD08FF76E293}"/>
    <hyperlink ref="Q1429" r:id="rId2274" display="https://standards.buildingsmart.org/IFC/RELEASE/IFC4/ADD2_TC1/HTML/schema/ifcsharedbldgserviceelements/pset/pset_distributionporttypeduct.htm" xr:uid="{610A0273-00AA-41ED-AC4A-86E7F0B56D80}"/>
    <hyperlink ref="Q889" r:id="rId2275" display="https://standards.buildingsmart.org/IFC/RELEASE/IFC4/ADD2_TC1/HTML/schema/ifcelectricaldomain/pset/pset_electricappliancephistory.htm" xr:uid="{D98700DC-43F6-4039-9737-A8AE7FC13AA2}"/>
    <hyperlink ref="Q888" r:id="rId2276" display="https://standards.buildingsmart.org/IFC/RELEASE/IFC4/ADD2_TC1/HTML/schema/ifcelectricaldomain/pset/pset_communicationsappliancephistory.htm" xr:uid="{536B1E8A-209A-42E6-9A52-60A858894573}"/>
    <hyperlink ref="Q887" r:id="rId2277" display="https://standards.buildingsmart.org/IFC/RELEASE/IFC4/ADD2_TC1/HTML/schema/ifcelectricaldomain/pset/pset_audiovisualappliancephistory.htm" xr:uid="{20BE5DE0-0E8A-4753-A692-5ED3573A4ADD}"/>
    <hyperlink ref="Q938" r:id="rId2278" display="https://standards.buildingsmart.org/IFC/RELEASE/IFC4/ADD2_TC1/HTML/schema/ifchvacdomain/pset/pset_compressortypecommon.htm" xr:uid="{79504794-ADCC-41EC-9D88-DD1472E1F52F}"/>
    <hyperlink ref="Q1333" r:id="rId2279" display="https://standards.buildingsmart.org/IFC/RELEASE/IFC4/ADD2_TC1/HTML/schema/ifcelectricaldomain/pset/pset_protectivedevicetypefusedisconnector.htm" xr:uid="{1848D2E1-4B24-4025-A29E-49A25BA959B2}"/>
    <hyperlink ref="Q1332" r:id="rId2280" display="https://standards.buildingsmart.org/IFC/RELEASE/IFC4/ADD2_TC1/HTML/schema/ifcelectricaldomain/pset/pset_protectivedevicebreakerunittypemcb.htm" xr:uid="{08FC34E7-9ECB-4A20-B3F5-E29B84F04E7C}"/>
    <hyperlink ref="Q1334" r:id="rId2281" display="https://standards.buildingsmart.org/IFC/RELEASE/IFC4/ADD2_TC1/HTML/schema/ifcelectricaldomain/pset/pset_cablesegmentoccurrence.htm" xr:uid="{3C97705D-3659-4B97-BD97-64118BB82569}"/>
    <hyperlink ref="Q920" r:id="rId2282" display="https://standards.buildingsmart.org/IFC/RELEASE/IFC4/ADD2_TC1/HTML/schema/ifcelectricaldomain/pset/pset_electricaldevicecommon.htm" xr:uid="{AAD4FEA1-3CFC-4560-80B0-E5F421085B63}"/>
    <hyperlink ref="Q919" r:id="rId2283" display="https://standards.buildingsmart.org/IFC/RELEASE/IFC4/ADD2_TC1/HTML/schema/ifcsharedbldgserviceelements/pset/pset_distributionportphistorycable.htm" xr:uid="{E57BCA47-BF92-43C8-86A1-BF9FCAEF88A0}"/>
    <hyperlink ref="Q1397" r:id="rId2284" display="https://standards.buildingsmart.org/IFC/RELEASE/IFC4/ADD2_TC1/HTML/schema/ifchvacdomain/pset/pset_pumpphistory.htm" xr:uid="{61942FA5-2C4D-4E57-860A-A67F637B6344}"/>
    <hyperlink ref="Q1398" r:id="rId2285" display="https://standards.buildingsmart.org/IFC/RELEASE/IFC4/ADD2_TC1/HTML/schema/ifcsharedbldgserviceelements/pset/pset_distributionporttypecable.htm" xr:uid="{19355E7A-D9E8-4CFA-B528-5EDA95397F0C}"/>
    <hyperlink ref="Q1378" r:id="rId2286" display="https://standards.buildingsmart.org/IFC/RELEASE/IFC4/ADD2_TC1/HTML/schema/ifcbuildingcontrolsdomain/pset/pset_actuatorphistory.htm" xr:uid="{199DD0BF-53EA-4B83-BDE2-F8119833C944}"/>
    <hyperlink ref="Q1295" r:id="rId2287" display="https://standards.buildingsmart.org/IFC/RELEASE/IFC4/ADD2_TC1/HTML/schema/ifcsharedbldgserviceelements/pset/pset_distributionportcommon.htm" xr:uid="{76C648B5-107F-4195-A483-C03B181D02B4}"/>
    <hyperlink ref="Q1371" r:id="rId2288" display="https://standards.buildingsmart.org/IFC/RELEASE/IFC4/ADD2_TC1/HTML/schema/ifcmaterialresource/pset/pset_materialcommon.htm" xr:uid="{0AD1E83C-4B01-4F56-B68B-5706C7C1E65E}"/>
    <hyperlink ref="Q2356" r:id="rId2289" display="https://standards.buildingsmart.org/IFC/RELEASE/IFC4/ADD2_TC1/HTML/schema/ifcelectricaldomain/pset/pset_protectivedeviceoccurrence.htm" xr:uid="{6582D4DD-7B39-4249-9CE2-6F41126DE0FE}"/>
    <hyperlink ref="Q1364" r:id="rId2290" display="https://standards.buildingsmart.org/IFC/RELEASE/IFC4/ADD2_TC1/HTML/schema/ifcbuildingcontrolsdomain/pset/pset_controllertypetwoposition.htm" xr:uid="{F3F1D457-4C13-4B3F-B990-FEC54C807DDF}"/>
    <hyperlink ref="Q358" r:id="rId2291" display="https://standards.buildingsmart.org/IFC/RELEASE/IFC4/ADD2_TC1/HTML/schema/ifcmaterialresource/pset/pset_materialmechanical.htm" xr:uid="{8B86BAB1-5842-40EC-A495-F2A85922150A}"/>
    <hyperlink ref="Q1368" r:id="rId2292" display="https://standards.buildingsmart.org/IFC/RELEASE/IFC4/ADD2_TC1/HTML/schema/ifcsharedfacilitieselements/pset/pset_warranty.htm" xr:uid="{48527FD9-90E2-41C0-8B5E-FB23425751F0}"/>
    <hyperlink ref="Q1087" r:id="rId2293" display="https://standards.buildingsmart.org/IFC/RELEASE/IFC4/ADD2_TC1/HTML/schema/ifcmaterialresource/pset/pset_materialwood.htm" xr:uid="{01885B5E-391F-4566-86E0-7D6D5EB4F4B2}"/>
    <hyperlink ref="Q2241" r:id="rId2294" display="https://standards.buildingsmart.org/IFC/RELEASE/IFC4/ADD2_TC1/HTML/schema/ifcelectricaldomain/pset/pset_audiovisualappliancetypeplayer.htm" xr:uid="{96B1CB70-E119-4045-99D8-AEBC8D73EA79}"/>
    <hyperlink ref="Q955" r:id="rId2295" display="https://standards.buildingsmart.org/IFC/RELEASE/IFC4/ADD2_TC1/HTML/schema/ifcelectricaldomain/pset/pset_audiovisualappliancetypeplayer.htm" xr:uid="{8A0B1662-AE00-4DD3-916D-63D36A5B35D5}"/>
    <hyperlink ref="Q812" r:id="rId2296" display="https://standards.buildingsmart.org/IFC/RELEASE/IFC4/ADD2_TC1/HTML/schema/ifcelectricaldomain/pset/pset_audiovisualappliancetypeplayer.htm" xr:uid="{3D33E9EB-0E61-46DE-B3CF-F5126D337F2E}"/>
    <hyperlink ref="Q606" r:id="rId2297" display="https://standards.buildingsmart.org/IFC/RELEASE/IFC4/ADD2_TC1/HTML/schema/ifcmaterialresource/pset/pset_materialsteel.htm" xr:uid="{0AB9CF5E-2061-4F9C-92D5-B8105EA1B7DB}"/>
    <hyperlink ref="Q913" r:id="rId2298" display="https://standards.buildingsmart.org/IFC/RELEASE/IFC4/ADD2_TC1/HTML/schema/ifcprofileresource/pset/pset_profilemechanical.htm" xr:uid="{B3847154-2F7D-4AA7-920C-5E17B85676A2}"/>
    <hyperlink ref="Q912" r:id="rId2299" display="https://standards.buildingsmart.org/IFC/RELEASE/IFC4/ADD2_TC1/HTML/schema/ifcprofileresource/pset/pset_profilemechanical.htm" xr:uid="{4C95D665-1585-4DBA-A5C9-3CCE0E88B992}"/>
    <hyperlink ref="Q885" r:id="rId2300" display="https://standards.buildingsmart.org/IFC/RELEASE/IFC4/ADD2_TC1/HTML/schema/ifcproductextension/pset/pset_buildinguseadjacent.htm" xr:uid="{4EAD4BF1-98D0-455D-A03D-158EAEEA8D37}"/>
    <hyperlink ref="Q886" r:id="rId2301" display="https://standards.buildingsmart.org/IFC/RELEASE/IFC4/ADD2_TC1/HTML/schema/ifcproductextension/pset/pset_buildinguse.htm" xr:uid="{E063A42B-A9F6-46EE-88ED-613A0F056AD0}"/>
    <hyperlink ref="Q2218" r:id="rId2302" display="https://standards.buildingsmart.org/IFC/RELEASE/IFC4/ADD2_TC1/HTML/schema/ifcelectricaldomain/pset/pset_junctionboxtypecommon.htm" xr:uid="{808F70E8-7B90-4CC6-A9E0-A443FE8954D2}"/>
    <hyperlink ref="Q2216" r:id="rId2303" display="https://standards.buildingsmart.org/IFC/RELEASE/IFC4/ADD2_TC1/HTML/schema/ifchvacdomain/pset/pset_spaceheatertypecommon.htm" xr:uid="{070886D8-CE14-491C-84B9-E37BE22BA4F4}"/>
    <hyperlink ref="Q2217" r:id="rId2304" display="https://standards.buildingsmart.org/IFC/RELEASE/IFC4/ADD2_TC1/HTML/schema/ifchvacdomain/pset/pset_coiltypecommon.htm" xr:uid="{1BE85164-0291-4259-81D1-636A764895A5}"/>
    <hyperlink ref="Q69" r:id="rId2305" display="https://standards.buildingsmart.org/IFC/RELEASE/IFC4/ADD2_TC1/HTML/schema/ifcsharedbldgelements/pset/pset_slabcommon.htm" xr:uid="{7D836A5D-4C17-4A75-9A06-C4DF0FE3B555}"/>
    <hyperlink ref="Q443" r:id="rId2306" display="https://standards.buildingsmart.org/IFC/RELEASE/IFC4/ADD2_TC1/HTML/schema/ifchvacdomain/pset/pset_cooledbeamtypecommon.htm" xr:uid="{5C189A52-202A-4D7A-8D9D-7BC27B1575FA}"/>
    <hyperlink ref="Q1174" r:id="rId2307" display="https://standards.buildingsmart.org/IFC/RELEASE/IFC4/ADD2_TC1/HTML/schema/ifcstructuralelementsdomain/pset/pset_precastconcreteelementgeneral.htm" xr:uid="{4872E541-355D-4D02-99AB-38ABD987324E}"/>
    <hyperlink ref="Q1175" r:id="rId2308" display="https://standards.buildingsmart.org/IFC/RELEASE/IFC4/ADD2_TC1/HTML/schema/ifcstructuralelementsdomain/pset/pset_precastconcreteelementfabrication.htm" xr:uid="{D2C4BAD1-F558-42D0-B618-D525E58E4740}"/>
    <hyperlink ref="Q690" r:id="rId2309" display="https://standards.buildingsmart.org/IFC/RELEASE/IFC4/ADD2_TC1/HTML/schema/ifcelectricaldomain/pset/pset_lightfixturetypesecuritylighting.htm" xr:uid="{5FA70740-3F46-47AC-8595-510994EF390A}"/>
    <hyperlink ref="Q950" r:id="rId2310" display="https://standards.buildingsmart.org/IFC/RELEASE/IFC4/ADD2_TC1/HTML/schema/ifcproductextension/pset/pset_environmentalimpactindicators.htm" xr:uid="{2ECE6078-B4CE-4303-8236-423A102FF456}"/>
    <hyperlink ref="Q951" r:id="rId2311" display="https://standards.buildingsmart.org/IFC/RELEASE/IFC4/ADD2_TC1/HTML/schema/ifcproductextension/pset/pset_environmentalimpactvalues.htm" xr:uid="{FF13A0BA-8479-41FD-8931-D7817269D3B5}"/>
    <hyperlink ref="Q1266" r:id="rId2312" display="https://standards.buildingsmart.org/IFC/RELEASE/IFC4/ADD2_TC1/HTML/schema/ifcmaterialresource/pset/pset_materialwater.htm" xr:uid="{32E6E370-864C-496B-801A-3FDF0E69426E}"/>
    <hyperlink ref="Q1349" r:id="rId2313" display="https://standards.buildingsmart.org/IFC/RELEASE/IFC4/ADD2_TC1/HTML/schema/ifcsharedbldgelements/pset/pset_coveringceiling.htm" xr:uid="{9566D09F-EBF2-47DC-8945-59FDAD6D306A}"/>
    <hyperlink ref="Q1346" r:id="rId2314" display="https://standards.buildingsmart.org/IFC/RELEASE/IFC4/ADD2_TC1/HTML/schema/ifcprofileresource/pset/pset_profilemechanical.htm" xr:uid="{C414E71F-5C2B-4DC7-95C0-B9E782BF9585}"/>
    <hyperlink ref="Q303" r:id="rId2315" display="https://standards.buildingsmart.org/IFC/RELEASE/IFC4/ADD2_TC1/HTML/schema/ifcelectricaldomain/pset/pset_protectivedevicetypecircuitbreaker.htm" xr:uid="{8A220907-3A07-4530-9F71-1081A8C4DFD8}"/>
    <hyperlink ref="Q302" r:id="rId2316" display="https://standards.buildingsmart.org/IFC/RELEASE/IFC4/ADD2_TC1/HTML/schema/ifcelectricaldomain/pset/pset_protectivedevicebreakerunittypemotorprotection.htm" xr:uid="{A0C1425C-66B0-4436-A7D5-FB8BA2720857}"/>
    <hyperlink ref="Q1345" r:id="rId2317" display="https://standards.buildingsmart.org/IFC/RELEASE/IFC4/ADD2_TC1/HTML/schema/ifchvacdomain/pset/pset_coolingtowerphistory.htm" xr:uid="{1DAE409F-FFC2-4695-87E3-D5B726FF5F27}"/>
    <hyperlink ref="Q1329" r:id="rId2318" display="https://standards.buildingsmart.org/IFC/RELEASE/IFC4/ADD2_TC1/HTML/schema/ifchvacdomain/pset/pset_valvephistory.htm" xr:uid="{D6778A1E-5AF8-4EBD-A36C-758BE8DF8462}"/>
    <hyperlink ref="Q1360" r:id="rId2319" display="https://standards.buildingsmart.org/IFC/RELEASE/IFC4/ADD2_TC1/HTML/schema/ifcsharedbldgserviceelements/pset/pset_spacethermalloadphistory.htm" xr:uid="{90F697ED-B8BB-4993-B170-265C5BED0FAF}"/>
    <hyperlink ref="Q1359" r:id="rId2320" display="https://standards.buildingsmart.org/IFC/RELEASE/IFC4/ADD2_TC1/HTML/schema/ifcsharedbldgserviceelements/pset/pset_spacethermalload.htm" xr:uid="{46CF5083-2EFD-43F2-AC01-2B7288AF75CC}"/>
    <hyperlink ref="Q2237" r:id="rId2321" display="https://standards.buildingsmart.org/IFC/RELEASE/IFC4/ADD2_TC1/HTML/schema/ifchvacdomain/pset/pset_tanktypepreformed.htm" xr:uid="{0116AC35-E991-4256-BF05-7F83AD26ECB1}"/>
    <hyperlink ref="Q2238" r:id="rId2322" display="https://standards.buildingsmart.org/IFC/RELEASE/IFC4/ADD2_TC1/HTML/schema/ifchvacdomain/pset/pset_tanktypecommon.htm" xr:uid="{219E71A2-35DC-4CF0-963F-F55A3DE13B29}"/>
    <hyperlink ref="Q1675" r:id="rId2323" display="https://standards.buildingsmart.org/IFC/RELEASE/IFC4/ADD2_TC1/HTML/schema/ifchvacdomain/pset/pset_boilerphistory.htm" xr:uid="{CEAE5BE2-D8B9-4205-A85A-D04451AA10A4}"/>
    <hyperlink ref="Q1701" r:id="rId2324" display="https://standards.buildingsmart.org/IFC/RELEASE/IFC4/ADD2_TC1/HTML/schema/ifchvacdomain/pset/pset_filterphistory.htm" xr:uid="{86CB113D-65B6-4115-857F-329CEC457C73}"/>
    <hyperlink ref="Q548" r:id="rId2325" display="https://standards.buildingsmart.org/IFC/RELEASE/IFC4/ADD2_TC1/HTML/schema/ifchvacdomain/pset/pset_filtertypecompressedairfilter.htm" xr:uid="{7BBB2BC0-4155-4DC8-8551-C60EE7F27D95}"/>
    <hyperlink ref="Q581" r:id="rId2326" display="https://standards.buildingsmart.org/IFC/RELEASE/IFC4/ADD2_TC1/HTML/schema/ifchvacdomain/pset/pset_boilertypecommon.htm" xr:uid="{D302ECC0-EDE5-4087-A6DB-0F41D851364C}"/>
    <hyperlink ref="Q2361" r:id="rId2327" display="https://standards.buildingsmart.org/IFC/RELEASE/IFC4/ADD2_TC1/HTML/schema/ifcproductextension/pset/pset_spaceparking.htm" xr:uid="{406AFB05-94B3-4BDC-B55D-1844BC7CD3CE}"/>
    <hyperlink ref="Q2360" r:id="rId2328" display="https://standards.buildingsmart.org/IFC/RELEASE/IFC4/ADD2_TC1/HTML/schema/ifcproductextension/pset/pset_spaceparking.htm" xr:uid="{9CCECB9A-9BB3-4871-AD38-0476C8CAD288}"/>
    <hyperlink ref="Q1319" r:id="rId2329" display="https://standards.buildingsmart.org/IFC/RELEASE/IFC4/ADD2_TC1/HTML/schema/ifcelectricaldomain/pset/pset_audiovisualappliancetypecamera.htm" xr:uid="{234AF912-355A-4F26-A2B1-79C8B4785E83}"/>
    <hyperlink ref="Q2469" r:id="rId2330" display="https://standards.buildingsmart.org/IFC/RELEASE/IFC4/ADD2_TC1/HTML/schema/ifcelectricaldomain/pset/pset_audiovisualappliancetypecamera.htm" xr:uid="{286F07BE-FFB1-4851-A43C-1FE13CC8311C}"/>
    <hyperlink ref="Q1244" r:id="rId2331" display="https://standards.buildingsmart.org/IFC/RELEASE/IFC4/ADD2_TC1/HTML/schema/ifcplumbingfireprotectiondomain/pset/pset_sanitaryterminaltypetoiletpan.htm" xr:uid="{6A569E90-0981-48CD-9FBC-863CFC18D3A8}"/>
    <hyperlink ref="Q1318" r:id="rId2332" display="https://standards.buildingsmart.org/IFC/RELEASE/IFC4/ADD2_TC1/HTML/schema/ifcelectricaldomain/pset/pset_audiovisualappliancetypecamera.htm" xr:uid="{1D10A198-C10E-4FF2-BB9D-53EB5BEF380D}"/>
    <hyperlink ref="Q2191" r:id="rId2333" display="https://standards.buildingsmart.org/IFC/RELEASE/IFC4/ADD2_TC1/HTML/schema/ifcsharedmgmtelements/pset/pset_packinginstructions.htm" xr:uid="{3E5C49BB-845D-4EC2-A29D-6007276B0E11}"/>
    <hyperlink ref="Q1142" r:id="rId2334" display="https://standards.buildingsmart.org/IFC/RELEASE/IFC4/ADD2_TC1/HTML/schema/ifcprofileresource/pset/pset_profilearbitraryhollowcore.htm" xr:uid="{675DFD8A-BDA2-48D9-AEDF-AD9280E09E5B}"/>
    <hyperlink ref="Q1141" r:id="rId2335" display="https://standards.buildingsmart.org/IFC/RELEASE/IFC4/ADD2_TC1/HTML/schema/ifcprofileresource/pset/pset_profilearbitrarydoublet.htm" xr:uid="{7775F629-D36A-46FE-B314-75D2BAF78D11}"/>
    <hyperlink ref="Q797" r:id="rId2336" display="https://standards.buildingsmart.org/IFC/RELEASE/IFC4/ADD2_TC1/HTML/schema/ifchvacdomain/pset/pset_pumpphistory.htm" xr:uid="{38CCCFC8-1975-4D63-A819-86708B637AFB}"/>
    <hyperlink ref="Q798" r:id="rId2337" display="https://standards.buildingsmart.org/IFC/RELEASE/IFC4/ADD2_TC1/HTML/schema/ifchvacdomain/pset/pset_fanphistory.htm" xr:uid="{A824E584-D13F-4F74-89C8-72E64B1D031E}"/>
    <hyperlink ref="Q678" r:id="rId2338" display="https://standards.buildingsmart.org/IFC/RELEASE/IFC4/ADD2_TC1/HTML/schema/ifcelectricaldomain/pset/pset_cablesegmenttypecoresegment.htm" xr:uid="{82B8CD3F-2BD4-45D2-B233-1476853C9C3E}"/>
    <hyperlink ref="Q679" r:id="rId2339" display="https://standards.buildingsmart.org/IFC/RELEASE/IFC4/ADD2_TC1/HTML/schema/ifcelectricaldomain/pset/pset_cablesegmenttypecablesegment.htm" xr:uid="{ACA7F25A-9E01-48A0-9FBD-EE70F690D913}"/>
    <hyperlink ref="Q1452" r:id="rId2340" display="https://standards.buildingsmart.org/IFC/RELEASE/IFC4/ADD2_TC1/HTML/schema/ifcprofileresource/pset/pset_profilearbitraryhollowcore.htm" xr:uid="{415EDBF4-E9EB-408F-85FF-C61FB3F0A5FA}"/>
    <hyperlink ref="Q1451" r:id="rId2341" display="https://standards.buildingsmart.org/IFC/RELEASE/IFC4/ADD2_TC1/HTML/schema/ifcprofileresource/pset/pset_profilearbitrarydoublet.htm" xr:uid="{FDAB483C-0667-44E2-9BEA-91B678646512}"/>
    <hyperlink ref="Q662" r:id="rId2342" display="https://standards.buildingsmart.org/IFC/RELEASE/IFC4/ADD2_TC1/HTML/schema/ifchvacdomain/pset/pset_tubebundletypecommon.htm" xr:uid="{2A4D1108-17C6-4953-A061-37874DBDEB88}"/>
    <hyperlink ref="Q93" r:id="rId2343" display="https://standards.buildingsmart.org/IFC/RELEASE/IFC4/ADD2_TC1/HTML/schema/ifcsharedbldgserviceelements/pset/pset_thermalloaddesigncriteria.htm" xr:uid="{EAC81F2B-CBC9-4DDF-BD84-318D7D20D1E5}"/>
    <hyperlink ref="Q2391" r:id="rId2344" display="https://standards.buildingsmart.org/IFC/RELEASE/IFC4/ADD2_TC1/HTML/schema/ifchvacdomain/pset/pset_unitaryequipmenttypeairconditioningunit.htm" xr:uid="{F2E63724-5219-4C4E-B26D-FB06E0CD9AEC}"/>
    <hyperlink ref="Q549" r:id="rId2345" display="https://standards.buildingsmart.org/IFC/RELEASE/IFC4/ADD2_TC1/HTML/schema/ifchvacdomain/pset/pset_spaceheaterphistory.htm" xr:uid="{F803A1F2-280F-4EF2-96D3-9FF41369DBB4}"/>
    <hyperlink ref="Q197" r:id="rId2346" display="https://standards.buildingsmart.org/IFC/RELEASE/IFC4/ADD2_TC1/HTML/schema/ifchvacdomain/pset/pset_spaceheatertypecommon.htm" xr:uid="{DE4848B9-2DFA-4EB4-9BAF-D91BBBC3C7DE}"/>
    <hyperlink ref="Q1260" r:id="rId2347" display="https://standards.buildingsmart.org/IFC/RELEASE/IFC4/ADD2_TC1/HTML/schema/ifcmaterialresource/pset/pset_materialwoodbasedpanel.htm" xr:uid="{123CB013-B7E3-4B30-A46A-072374469D44}"/>
    <hyperlink ref="Q941" r:id="rId2348" display="https://standards.buildingsmart.org/IFC/RELEASE/IFC4/ADD2_TC1/HTML/schema/ifcmaterialresource/pset/pset_materialwoodbasedpanel.htm" xr:uid="{7B7168AC-B951-4DE1-A0DB-6AEE742C37EA}"/>
    <hyperlink ref="Q942" r:id="rId2349" display="https://standards.buildingsmart.org/IFC/RELEASE/IFC4/ADD2_TC1/HTML/schema/ifcmaterialresource/pset/pset_materialwoodbasedbeam.htm" xr:uid="{2B9A40CE-4CF0-4147-86E0-3425866F6CA7}"/>
    <hyperlink ref="Q1975" r:id="rId2350" display="https://standards.buildingsmart.org/IFC/RELEASE/IFC4/ADD2_TC1/HTML/schema/ifchvacdomain/pset/pset_boilertypecommon.htm" xr:uid="{7E250B39-1603-4E20-B760-652577BEFA77}"/>
    <hyperlink ref="Q657" r:id="rId2351" display="https://standards.buildingsmart.org/IFC/RELEASE/IFC4/ADD2_TC1/HTML/schema/ifcplumbingfireprotectiondomain/pset/pset_firesuppressionterminaltypebreechinginlet.htm" xr:uid="{16AD616C-4EE1-431A-92BF-B59AFA0FA262}"/>
    <hyperlink ref="Q1904" r:id="rId2352" display="https://standards.buildingsmart.org/IFC/RELEASE/IFC4/ADD2_TC1/HTML/schema/ifcplumbingfireprotectiondomain/pset/pset_wasteterminaltypewastetrap.htm" xr:uid="{81296EC7-CE22-4AC2-A445-CCE65F516696}"/>
    <hyperlink ref="Q1902" r:id="rId2353" display="https://standards.buildingsmart.org/IFC/RELEASE/IFC4/ADD2_TC1/HTML/schema/ifcplumbingfireprotectiondomain/pset/pset_wasteterminaltypewastedisposalunit.htm" xr:uid="{B0D82A1A-322C-4D0F-90E3-8AAF63DBA88E}"/>
    <hyperlink ref="Q1906" r:id="rId2354" display="https://standards.buildingsmart.org/IFC/RELEASE/IFC4/ADD2_TC1/HTML/schema/ifcplumbingfireprotectiondomain/pset/pset_wasteterminaltyperoofdrain.htm" xr:uid="{F8A55C5A-7276-45AE-8A92-BE4A05ECF047}"/>
    <hyperlink ref="Q1901" r:id="rId2355" display="https://standards.buildingsmart.org/IFC/RELEASE/IFC4/ADD2_TC1/HTML/schema/ifcplumbingfireprotectiondomain/pset/pset_wasteterminaltypegullytrap.htm" xr:uid="{2CB1441E-AA12-4D72-9A4B-07AEE951715A}"/>
    <hyperlink ref="Q1905" r:id="rId2356" display="https://standards.buildingsmart.org/IFC/RELEASE/IFC4/ADD2_TC1/HTML/schema/ifcplumbingfireprotectiondomain/pset/pset_wasteterminaltypegullysump.htm" xr:uid="{096DAB9A-A4D8-4C93-A2A0-2A83B1C69A86}"/>
    <hyperlink ref="Q1903" r:id="rId2357" display="https://standards.buildingsmart.org/IFC/RELEASE/IFC4/ADD2_TC1/HTML/schema/ifcplumbingfireprotectiondomain/pset/pset_wasteterminaltypefloorwaste.htm" xr:uid="{347003CE-7CD4-4DC2-ADC7-5768E6407D00}"/>
    <hyperlink ref="Q1900" r:id="rId2358" display="https://standards.buildingsmart.org/IFC/RELEASE/IFC4/ADD2_TC1/HTML/schema/ifcplumbingfireprotectiondomain/pset/pset_wasteterminaltypefloortrap.htm" xr:uid="{AE45FB16-2EA4-4E59-A4F4-950AF0AEAEE4}"/>
    <hyperlink ref="Q1907" r:id="rId2359" display="https://standards.buildingsmart.org/IFC/RELEASE/IFC4/ADD2_TC1/HTML/schema/ifchvacdomain/pset/pset_valvetypemixing.htm" xr:uid="{87DC286A-06F5-4712-89F5-068CFD595F75}"/>
    <hyperlink ref="Q1899" r:id="rId2360" display="https://standards.buildingsmart.org/IFC/RELEASE/IFC4/ADD2_TC1/HTML/schema/ifcplumbingfireprotectiondomain/pset/pset_interceptortypecommon.htm" xr:uid="{65D90BAE-0986-4BB2-9CF9-7C41F9ACD80D}"/>
    <hyperlink ref="Q661" r:id="rId2361" display="https://standards.buildingsmart.org/IFC/RELEASE/IFC4/ADD2_TC1/HTML/schema/ifchvacdomain/pset/pset_pipesegmenttypecommon.htm" xr:uid="{2BB5873D-4030-4CE7-8D08-41BF01C1A52C}"/>
    <hyperlink ref="Q660" r:id="rId2362" display="https://standards.buildingsmart.org/IFC/RELEASE/IFC4/ADD2_TC1/HTML/schema/ifcsharedbldgserviceelements/pset/pset_distributionporttypepipe.htm" xr:uid="{AAE9C5D0-B083-4E86-B137-AEC1AFA5D36B}"/>
    <hyperlink ref="Q63" r:id="rId2363" display="https://standards.buildingsmart.org/IFC/RELEASE/IFC4/ADD2_TC1/HTML/schema/ifcsharedfacilitieselements/pset/pset_servicelifefactors.htm" xr:uid="{B1777D01-3584-4172-8195-58851C389E2C}"/>
    <hyperlink ref="Q1309" r:id="rId2364" display="https://standards.buildingsmart.org/IFC/RELEASE/IFC4/ADD2_TC1/HTML/schema/ifchvacdomain/pset/pset_dampertypecommon.htm" xr:uid="{14688293-A7CE-4095-9E13-FBD1B4D70DD9}"/>
    <hyperlink ref="Q1302" r:id="rId2365" display="https://standards.buildingsmart.org/IFC/RELEASE/IFC4/ADD2_TC1/HTML/schema/ifcsharedfacilitieselements/pset/pset_propertyagreement.htm" xr:uid="{22B1D913-BBDC-437E-97E1-D5CAE8A675E7}"/>
    <hyperlink ref="Q1973" r:id="rId2366" display="https://standards.buildingsmart.org/IFC/RELEASE/IFC4/ADD2_TC1/HTML/schema/ifchvacdomain/pset/pset_coolingtowertypecommon.htm" xr:uid="{0D23910F-D583-4786-99EA-EE469AB63FAA}"/>
    <hyperlink ref="Q1971" r:id="rId2367" display="https://standards.buildingsmart.org/IFC/RELEASE/IFC4/ADD2_TC1/HTML/schema/ifchvacdomain/pset/pset_filtertypecommon.htm" xr:uid="{6B3B9C81-9B65-4D0B-99D1-D8844310F791}"/>
    <hyperlink ref="Q1974" r:id="rId2368" display="https://standards.buildingsmart.org/IFC/RELEASE/IFC4/ADD2_TC1/HTML/schema/ifchvacdomain/pset/pset_fantypecommon.htm" xr:uid="{73FAFA1A-DF92-4C15-9CFD-0891AD71F04A}"/>
    <hyperlink ref="Q1972" r:id="rId2369" display="https://standards.buildingsmart.org/IFC/RELEASE/IFC4/ADD2_TC1/HTML/schema/ifchvacdomain/pset/pset_evaporativecoolertypecommon.htm" xr:uid="{E0F84AEE-E46E-4927-BA06-53D5E2DE5E22}"/>
    <hyperlink ref="Q2068" r:id="rId2370" display="https://standards.buildingsmart.org/IFC/RELEASE/IFC4/ADD2_TC1/HTML/schema/ifchvacdomain/pset/pset_airterminalboxtypecommon.htm" xr:uid="{2DB8DFB8-00C0-45DD-8319-0DBC80595D30}"/>
    <hyperlink ref="Q1304" r:id="rId2371" display="https://standards.buildingsmart.org/IFC/RELEASE/IFC4/ADD2_TC1/HTML/schema/ifchvacdomain/pset/pset_filtertypecompressedairfilter.htm" xr:uid="{6239C955-EEDA-4671-B5F6-0B7B734F2580}"/>
    <hyperlink ref="Q1970" r:id="rId2372" display="https://standards.buildingsmart.org/IFC/RELEASE/IFC4/ADD2_TC1/HTML/schema/ifchvacdomain/pset/pset_coiltypecommon.htm" xr:uid="{237EFDE0-A500-493E-B1D6-2628F6D25E69}"/>
    <hyperlink ref="Q1969" r:id="rId2373" display="https://standards.buildingsmart.org/IFC/RELEASE/IFC4/ADD2_TC1/HTML/schema/ifchvacdomain/pset/pset_airtoairheatrecoverytypecommon.htm" xr:uid="{C213B5C0-0058-497A-81B7-EDA19564D84C}"/>
    <hyperlink ref="Q807" r:id="rId2374" display="https://standards.buildingsmart.org/IFC/RELEASE/IFC4/ADD2_TC1/HTML/schema/ifchvacdomain/pset/pset_boilerphistory.htm" xr:uid="{63B61230-A1D5-4D52-8217-A77EB3DC0A74}"/>
    <hyperlink ref="Q543" r:id="rId2375" display="https://standards.buildingsmart.org/IFC/RELEASE/IFC4/ADD2_TC1/HTML/schema/ifchvacdomain/pset/pset_fantypecommon.htm" xr:uid="{D6346CC4-6A29-41C1-A47C-DF751A8B8CCC}"/>
    <hyperlink ref="Q1305" r:id="rId2376" display="https://standards.buildingsmart.org/IFC/RELEASE/IFC4/ADD2_TC1/HTML/schema/ifchvacdomain/pset/pset_dampertypecommon.htm" xr:uid="{B5B19099-2F1D-4551-A927-BB4B996EC808}"/>
    <hyperlink ref="Q1351" r:id="rId2377" display="https://standards.buildingsmart.org/IFC/RELEASE/IFC4/ADD2_TC1/HTML/schema/ifchvacdomain/pset/pset_tanktypecommon.htm" xr:uid="{C3B1602A-087B-4188-8144-2B2F77777E9E}"/>
    <hyperlink ref="Q1224" r:id="rId2378" display="https://standards.buildingsmart.org/IFC/RELEASE/IFC4/ADD2_TC1/HTML/schema/ifchvacdomain/pset/pset_boilertypecommon.htm" xr:uid="{99E01849-E876-4676-A162-C413193B893F}"/>
    <hyperlink ref="Q1521" r:id="rId2379" display="https://standards.buildingsmart.org/IFC/RELEASE/IFC4/ADD2_TC1/HTML/schema/ifchvacdomain/pset/pset_dampertypecommon.htm" xr:uid="{D2C726EA-D212-4BBE-9577-4D61E7D68652}"/>
    <hyperlink ref="Q694" r:id="rId2380" display="https://standards.buildingsmart.org/IFC/RELEASE/IFC4/ADD2_TC1/HTML/schema/ifcelectricaldomain/pset/pset_protectivedevicetrippingunittypecommon.htm" xr:uid="{A4CC412B-8173-4DB5-9467-629314645324}"/>
    <hyperlink ref="Q2233" r:id="rId2381" display="https://standards.buildingsmart.org/IFC/RELEASE/IFC4/ADD2_TC1/HTML/schema/ifcproductextension/pset/pset_spaceoccupancyrequirements.htm" xr:uid="{BD2DC6D1-6A44-41C6-80FE-4F1A2B3938B9}"/>
    <hyperlink ref="Q2232" r:id="rId2382" display="https://standards.buildingsmart.org/IFC/RELEASE/IFC4/ADD2_TC1/HTML/schema/ifcproductextension/pset/pset_buildingcommon.htm" xr:uid="{8FDE2EA8-C721-435F-863C-BC6A1D9A8FBC}"/>
    <hyperlink ref="Q2104" r:id="rId2383" display="https://standards.buildingsmart.org/IFC/RELEASE/IFC4/ADD2_TC1/HTML/schema/ifcproductextension/pset/pset_spaceoccupancyrequirements.htm" xr:uid="{F8B18717-5AD7-446F-81F2-435D1023F1FE}"/>
    <hyperlink ref="Q1301" r:id="rId2384" display="https://standards.buildingsmart.org/IFC/RELEASE/IFC4/ADD2_TC1/HTML/schema/ifcproductextension/pset/pset_spaceoccupancyrequirements.htm" xr:uid="{B0358932-84E2-4ED1-8F86-DBC039233C43}"/>
    <hyperlink ref="Q1512" r:id="rId2385" display="https://standards.buildingsmart.org/IFC/RELEASE/IFC4/ADD2_TC1/HTML/schema/ifcproductextension/pset/pset_spaceoccupancyrequirements.htm" xr:uid="{75EDB9E9-E721-4F51-B9FF-7A553AB1F33D}"/>
    <hyperlink ref="Q705" r:id="rId2386" display="https://standards.buildingsmart.org/IFC/RELEASE/IFC4/ADD2_TC1/HTML/schema/ifcsharedbldgserviceelements/pset/pset_thermalloaddesigncriteria.htm" xr:uid="{A592A9EB-7606-47A1-AD1F-FE67BF9254AC}"/>
    <hyperlink ref="Q956" r:id="rId2387" display="https://standards.buildingsmart.org/IFC/RELEASE/IFC4/ADD2_TC1/HTML/schema/ifcsharedcomponentelements/pset/pset_mechanicalfastenerbolt.htm" xr:uid="{C870D589-4D8E-4D3B-BB22-EACB7275241E}"/>
    <hyperlink ref="Q480" r:id="rId2388" display="https://standards.buildingsmart.org/IFC/RELEASE/IFC4/ADD2_TC1/HTML/schema/ifcsharedcomponentelements/pset/pset_mechanicalfastenerbolt.htm" xr:uid="{CE9A89A4-D5E9-4744-99A0-0FD0DC4A42D3}"/>
    <hyperlink ref="Q1499" r:id="rId2389" display="https://standards.buildingsmart.org/IFC/RELEASE/IFC4/ADD2_TC1/HTML/schema/ifcsharedbldgelements/pset/pset_stairflightcommon.htm" xr:uid="{D015C29F-43C9-47E4-9233-7EB4791EE2A5}"/>
    <hyperlink ref="Q1498" r:id="rId2390" display="https://standards.buildingsmart.org/IFC/RELEASE/IFC4/ADD2_TC1/HTML/schema/ifcsharedbldgelements/pset/pset_staircommon.htm" xr:uid="{45DCC48E-0573-44AE-AA49-C3CB23C54816}"/>
    <hyperlink ref="Q1488" r:id="rId2391" display="https://standards.buildingsmart.org/IFC/RELEASE/IFC4/ADD2_TC1/HTML/schema/ifcproductextension/pset/pset_buildingcommon.htm" xr:uid="{531D344C-FDB4-47D5-9DD5-4936AB708D79}"/>
    <hyperlink ref="Q1503" r:id="rId2392" display="https://standards.buildingsmart.org/IFC/RELEASE/IFC4/ADD2_TC1/HTML/schema/ifcelectricaldomain/pset/pset_lightfixturetypecommon.htm" xr:uid="{F81B3A21-1139-45D8-8697-1B7F56480B04}"/>
    <hyperlink ref="Q1520" r:id="rId2393" display="https://standards.buildingsmart.org/IFC/RELEASE/IFC4/ADD2_TC1/HTML/schema/ifcelectricaldomain/pset/pset_outlettypecommon.htm" xr:uid="{D5BA63F5-88A4-4DC6-A201-66DC0B824274}"/>
    <hyperlink ref="Q1519" r:id="rId2394" display="https://standards.buildingsmart.org/IFC/RELEASE/IFC4/ADD2_TC1/HTML/schema/ifchvacdomain/pset/pset_airterminaltypecommon.htm" xr:uid="{B0E460BF-C3CC-4BF8-80E2-003CF5A0387C}"/>
    <hyperlink ref="Q1517" r:id="rId2395" display="https://standards.buildingsmart.org/IFC/RELEASE/IFC4/ADD2_TC1/HTML/schema/ifchvacdomain/pset/pset_tanktypesectional.htm" xr:uid="{D71B5626-BC60-4105-ABB8-2E612C88F2E1}"/>
    <hyperlink ref="Q1518" r:id="rId2396" display="https://standards.buildingsmart.org/IFC/RELEASE/IFC4/ADD2_TC1/HTML/schema/ifchvacdomain/pset/pset_tanktypecommon.htm" xr:uid="{7BCB3026-2D28-407E-AAD6-5389FCB03AAB}"/>
    <hyperlink ref="Q1516" r:id="rId2397" display="https://standards.buildingsmart.org/IFC/RELEASE/IFC4/ADD2_TC1/HTML/schema/ifchvacdomain/pset/pset_spaceheatertypecommon.htm" xr:uid="{F2FA8F44-E56B-49D2-BC95-B3D398BE19D2}"/>
    <hyperlink ref="Q1508" r:id="rId2398" display="https://standards.buildingsmart.org/IFC/RELEASE/IFC4/ADD2_TC1/HTML/schema/ifchvacdomain/pset/pset_tubebundletypecommon.htm" xr:uid="{DA633766-F3E8-4782-B523-437FDF844630}"/>
    <hyperlink ref="Q1501" r:id="rId2399" display="https://standards.buildingsmart.org/IFC/RELEASE/IFC4/ADD2_TC1/HTML/schema/ifcsharedbldgelements/pset/pset_stairflightcommon.htm" xr:uid="{D5663895-3E21-4529-B94E-BBF85374A5F4}"/>
    <hyperlink ref="Q1500" r:id="rId2400" display="https://standards.buildingsmart.org/IFC/RELEASE/IFC4/ADD2_TC1/HTML/schema/ifcsharedbldgelements/pset/pset_staircommon.htm" xr:uid="{B284F9EA-3FDB-4676-9055-A6AB18DC5D37}"/>
    <hyperlink ref="Q1502" r:id="rId2401" display="https://standards.buildingsmart.org/IFC/RELEASE/IFC4/ADD2_TC1/HTML/schema/ifcelectricaldomain/pset/pset_electricaldevicecommon.htm" xr:uid="{6EFC6D18-BF76-4609-A95E-F22712A393CA}"/>
    <hyperlink ref="Q1514" r:id="rId2402" display="https://standards.buildingsmart.org/IFC/RELEASE/IFC4/ADD2_TC1/HTML/schema/ifchvacdomain/pset/pset_heatexchangertypeplate.htm" xr:uid="{4282470E-67D3-44C6-A7CC-7C6CA4E1B068}"/>
    <hyperlink ref="Q1493" r:id="rId2403" display="https://standards.buildingsmart.org/IFC/RELEASE/IFC4/ADD2_TC1/HTML/schema/ifcelectricaldomain/pset/pset_cablesegmentoccurrence.htm" xr:uid="{1677847E-1407-4BD0-911A-254F194B4481}"/>
    <hyperlink ref="Q1513" r:id="rId2404" display="https://standards.buildingsmart.org/IFC/RELEASE/IFC4/ADD2_TC1/HTML/schema/ifchvacdomain/pset/pset_spaceheatertypecommon.htm" xr:uid="{8BB756AC-A018-42E3-B5D2-1D3BF8D08289}"/>
    <hyperlink ref="Q1496" r:id="rId2405" display="https://standards.buildingsmart.org/IFC/RELEASE/IFC4/ADD2_TC1/HTML/schema/ifcsharedbldgserviceelements/pset/pset_distributionsystemtypeelectrical.htm" xr:uid="{44587B3D-5B13-4EF3-BA85-540901F20773}"/>
    <hyperlink ref="Q1497" r:id="rId2406" display="https://standards.buildingsmart.org/IFC/RELEASE/IFC4/ADD2_TC1/HTML/schema/ifcplumbingfireprotectiondomain/pset/pset_firesuppressionterminaltypefirehydrant.htm" xr:uid="{438805FE-2DDE-4D25-95F1-0DEFFABBA29F}"/>
    <hyperlink ref="Q1509" r:id="rId2407" display="https://standards.buildingsmart.org/IFC/RELEASE/IFC4/ADD2_TC1/HTML/schema/ifcelectricaldomain/pset/pset_switchingdevicetypecommon.htm" xr:uid="{217EA413-7FD0-462D-8D39-737AF2CEA2C5}"/>
    <hyperlink ref="Q1505" r:id="rId2408" display="https://standards.buildingsmart.org/IFC/RELEASE/IFC4/ADD2_TC1/HTML/schema/ifcelectricaldomain/pset/pset_junctionboxtypecommon.htm" xr:uid="{87F395F0-CC88-422C-9773-A94BF0340229}"/>
    <hyperlink ref="Q1515" r:id="rId2409" display="https://standards.buildingsmart.org/IFC/RELEASE/IFC4/ADD2_TC1/HTML/schema/ifcsharedbldgelements/pset/pset_chimneycommon.htm" xr:uid="{E9B68D2E-3990-4135-8264-242CBF477924}"/>
    <hyperlink ref="Q1511" r:id="rId2410" display="https://standards.buildingsmart.org/IFC/RELEASE/IFC4/ADD2_TC1/HTML/schema/ifcelectricaldomain/pset/pset_cablesegmenttypecablesegment.htm" xr:uid="{91B4B121-6A2F-4935-B3FD-74FE44A70E31}"/>
    <hyperlink ref="Q1510" r:id="rId2411" display="https://standards.buildingsmart.org/IFC/RELEASE/IFC4/ADD2_TC1/HTML/schema/ifcprofileresource/pset/pset_profilearbitraryhollowcore.htm" xr:uid="{F90D01CA-245F-41BC-9C16-9ADB15CE562B}"/>
    <hyperlink ref="Q1495" r:id="rId2412" display="https://standards.buildingsmart.org/IFC/RELEASE/IFC4/ADD2_TC1/HTML/schema/ifcelectricaldomain/pset/pset_cablecarriersegmenttypecabletrunkingsegment.htm" xr:uid="{25D4DC49-0676-405C-A8DE-46539F430F37}"/>
    <hyperlink ref="Q1494" r:id="rId2413" display="https://standards.buildingsmart.org/IFC/RELEASE/IFC4/ADD2_TC1/HTML/schema/ifchvacdomain/pset/pset_tubebundletypecommon.htm" xr:uid="{C6E6893E-3015-4B1B-BE8E-BB4FF0498680}"/>
    <hyperlink ref="Q1491" r:id="rId2414" display="https://standards.buildingsmart.org/IFC/RELEASE/IFC4/ADD2_TC1/HTML/schema/ifcsharedfacilitieselements/pset/pset_furnituretypetable.htm" xr:uid="{421DBC65-A852-44E5-9217-ED4FCF8E9C79}"/>
    <hyperlink ref="Q1492" r:id="rId2415" display="https://standards.buildingsmart.org/IFC/RELEASE/IFC4/ADD2_TC1/HTML/schema/ifchvacdomain/pset/pset_coolingtowertypecommon.htm" xr:uid="{12527A2B-2197-4E54-83FF-4EAC9B0727BD}"/>
    <hyperlink ref="Q1504" r:id="rId2416" display="https://standards.buildingsmart.org/IFC/RELEASE/IFC4/ADD2_TC1/HTML/schema/ifchvacdomain/pset/pset_pipeconnectionflanged.htm" xr:uid="{2F38FB6A-23E3-4042-A29F-321340014B18}"/>
    <hyperlink ref="Q1507" r:id="rId2417" display="https://standards.buildingsmart.org/IFC/RELEASE/IFC4/ADD2_TC1/HTML/schema/ifchvacdomain/pset/pset_dampertypecommon.htm" xr:uid="{FBEEA3AF-6088-42DC-87D1-A4CF6FE628B3}"/>
    <hyperlink ref="Q1490" r:id="rId2418" display="https://standards.buildingsmart.org/IFC/RELEASE/IFC4/ADD2_TC1/HTML/schema/ifckernel/pset/pset_actorcommon.htm" xr:uid="{0218803A-7670-4413-97FB-D773B22BD526}"/>
    <hyperlink ref="Q390" r:id="rId2419" display="https://standards.buildingsmart.org/IFC/RELEASE/IFC4/ADD2_TC1/HTML/schema/ifcsharedbldgelements/pset/pset_stairflightcommon.htm" xr:uid="{D7B10100-64D7-4F04-9776-559618F3BA43}"/>
    <hyperlink ref="Q389" r:id="rId2420" display="https://standards.buildingsmart.org/IFC/RELEASE/IFC4/ADD2_TC1/HTML/schema/ifcsharedbldgelements/pset/pset_staircommon.htm" xr:uid="{3125FAA2-76D7-4012-9143-F90DB7049F9E}"/>
    <hyperlink ref="Q463" r:id="rId2421" display="https://standards.buildingsmart.org/IFC/RELEASE/IFC4/ADD2_TC1/HTML/schema/ifcproductextension/pset/pset_environmentalimpactindicators.htm" xr:uid="{8F94BF31-F592-4182-9213-6961938E5256}"/>
    <hyperlink ref="Q464" r:id="rId2422" display="https://standards.buildingsmart.org/IFC/RELEASE/IFC4/ADD2_TC1/HTML/schema/ifcproductextension/pset/pset_environmentalimpactvalues.htm" xr:uid="{704962E9-F6B0-4BD6-9B73-CC5E50F74733}"/>
    <hyperlink ref="Q1686" r:id="rId2423" display="https://standards.buildingsmart.org/IFC/RELEASE/IFC4/ADD2_TC1/HTML/schema/ifcproductextension/pset/pset_environmentalimpactindicators.htm" xr:uid="{99F46369-4F27-4829-AFF3-73368B7C8CF9}"/>
    <hyperlink ref="Q1687" r:id="rId2424" display="https://standards.buildingsmart.org/IFC/RELEASE/IFC4/ADD2_TC1/HTML/schema/ifcproductextension/pset/pset_environmentalimpactvalues.htm" xr:uid="{D50A01D8-9A78-4263-B0EA-347CC302DA74}"/>
    <hyperlink ref="Q1138" r:id="rId2425" display="https://standards.buildingsmart.org/IFC/RELEASE/IFC4/ADD2_TC1/HTML/schema/ifchvacdomain/pset/pset_tanktypecommon.htm" xr:uid="{C26A2614-35D5-45E6-B91C-9386C22C17D1}"/>
    <hyperlink ref="Q1131" r:id="rId2426" display="https://standards.buildingsmart.org/IFC/RELEASE/IFC4/ADD2_TC1/HTML/schema/ifcsharedfacilitieselements/pset/pset_systemfurnitureelementtypecommon.htm" xr:uid="{9DEC6001-58CD-4298-9D03-C882C149246A}"/>
    <hyperlink ref="Q1137" r:id="rId2427" display="https://standards.buildingsmart.org/IFC/RELEASE/IFC4/ADD2_TC1/HTML/schema/ifcplumbingfireprotectiondomain/pset/pset_sanitaryterminaltypecommon.htm" xr:uid="{5E3D8E00-760D-49E6-8192-62C6386BAC75}"/>
    <hyperlink ref="Q1132" r:id="rId2428" display="https://standards.buildingsmart.org/IFC/RELEASE/IFC4/ADD2_TC1/HTML/schema/ifcsharedbldgserviceelements/pset/pset_distributionporttypeduct.htm" xr:uid="{01A119E0-C63B-47B6-ACF7-D9980D64A210}"/>
    <hyperlink ref="Q1136" r:id="rId2429" display="https://standards.buildingsmart.org/IFC/RELEASE/IFC4/ADD2_TC1/HTML/schema/ifcelectricaldomain/pset/pset_cablecarriersegmenttypeconduitsegment.htm" xr:uid="{D101072E-FA1D-468C-A380-F2D9E821D421}"/>
    <hyperlink ref="Q1133" r:id="rId2430" display="https://standards.buildingsmart.org/IFC/RELEASE/IFC4/ADD2_TC1/HTML/schema/ifcelectricaldomain/pset/pset_cablecarriersegmenttypecabletrunkingsegment.htm" xr:uid="{375D6A47-3131-4C00-AE90-1C06F1455BC2}"/>
    <hyperlink ref="Q1135" r:id="rId2431" display="https://standards.buildingsmart.org/IFC/RELEASE/IFC4/ADD2_TC1/HTML/schema/ifcelectricaldomain/pset/pset_cablecarriersegmenttypecabletraysegment.htm" xr:uid="{2B1B2B9D-8982-4A9E-A444-C33E8C8054C6}"/>
    <hyperlink ref="Q1134" r:id="rId2432" display="https://standards.buildingsmart.org/IFC/RELEASE/IFC4/ADD2_TC1/HTML/schema/ifcelectricaldomain/pset/pset_cablecarriersegmenttypecableladdersegment.htm" xr:uid="{CE614876-5E5C-4B5E-92D8-42A82FBC7110}"/>
    <hyperlink ref="Q803" r:id="rId2433" display="https://standards.buildingsmart.org/IFC/RELEASE/IFC4/ADD2_TC1/HTML/schema/ifchvacdomain/pset/pset_filtertypeairparticlefilter.htm" xr:uid="{BFA4326E-B24B-491D-90AE-6971EE4E3C00}"/>
    <hyperlink ref="Q934" r:id="rId2434" display="https://standards.buildingsmart.org/IFC/RELEASE/IFC4/ADD2_TC1/HTML/schema/ifchvacdomain/pset/pset_cooledbeamtypecommon.htm" xr:uid="{CE2C8FC5-1D62-4592-BF68-1DBF2A2FD909}"/>
    <hyperlink ref="Q1680" r:id="rId2435" display="https://standards.buildingsmart.org/IFC/RELEASE/IFC4/ADD2_TC1/HTML/schema/ifchvacdomain/pset/pset_cooledbeamtypecommon.htm" xr:uid="{ABF0B281-870A-434B-BE3D-41E2635E97CA}"/>
    <hyperlink ref="Q1291" r:id="rId2436" display="https://standards.buildingsmart.org/IFC/RELEASE/IFC4/ADD2_TC1/HTML/schema/ifchvacdomain/pset/pset_coiltypecommon.htm" xr:uid="{D944674E-0333-4EC7-AC98-CD3847B63A96}"/>
    <hyperlink ref="Q1425" r:id="rId2437" display="https://standards.buildingsmart.org/IFC/RELEASE/IFC4/ADD2_TC1/HTML/schema/ifchvacdomain/pset/pset_fantypecommon.htm" xr:uid="{6124819D-5E7A-4B17-A8C2-005DF92E1E9C}"/>
    <hyperlink ref="Q870" r:id="rId2438" display="https://standards.buildingsmart.org/IFC/RELEASE/IFC4/ADD2_TC1/HTML/schema/ifcstructuralelementsdomain/pset/pset_precastslab.htm" xr:uid="{D38F2363-9E57-4104-9DDC-4768D055AFDD}"/>
    <hyperlink ref="Q874" r:id="rId2439" display="https://standards.buildingsmart.org/IFC/RELEASE/IFC4/ADD2_TC1/HTML/schema/ifcsharedfacilitieselements/pset/pset_systemfurnitureelementtypeworksurface.htm" xr:uid="{3784BF48-C42E-4931-BF82-B1D2E42EBBC5}"/>
    <hyperlink ref="Q872" r:id="rId2440" display="https://standards.buildingsmart.org/IFC/RELEASE/IFC4/ADD2_TC1/HTML/schema/ifcsharedfacilitieselements/pset/pset_systemfurnitureelementtypepanel.htm" xr:uid="{561C72E2-FB31-4DC5-A0D0-037DD1B4E9E5}"/>
    <hyperlink ref="Q871" r:id="rId2441" display="https://standards.buildingsmart.org/IFC/RELEASE/IFC4/ADD2_TC1/HTML/schema/ifcstructuralelementsdomain/pset/pset_precastslab.htm" xr:uid="{0E124F0B-184B-40D8-86A3-B4BC58BA691C}"/>
    <hyperlink ref="Q873" r:id="rId2442" display="https://standards.buildingsmart.org/IFC/RELEASE/IFC4/ADD2_TC1/HTML/schema/ifcsharedbldgserviceelements/pset/pset_distributionporttypeduct.htm" xr:uid="{564DCF98-B5A7-4754-9FC9-AC4B8089D083}"/>
    <hyperlink ref="Q2089" r:id="rId2443" display="https://standards.buildingsmart.org/IFC/RELEASE/IFC4/ADD2_TC1/HTML/schema/ifchvacdomain/pset/pset_cooledbeamtypecommon.htm" xr:uid="{53C3F9E7-F423-4CCE-8251-00C051DB97B3}"/>
    <hyperlink ref="Q1681" r:id="rId2444" display="https://standards.buildingsmart.org/IFC/RELEASE/IFC4/ADD2_TC1/HTML/schema/ifchvacdomain/pset/pset_cooledbeamtypecommon.htm" xr:uid="{82B59CE0-087D-4A18-BF51-662370BBC5E6}"/>
    <hyperlink ref="Q1683" r:id="rId2445" display="https://standards.buildingsmart.org/IFC/RELEASE/IFC4/ADD2_TC1/HTML/schema/ifchvacdomain/pset/pset_cooledbeamtypecommon.htm" xr:uid="{80746F3B-4022-4201-AD0A-C37B6DA0A56B}"/>
    <hyperlink ref="Q2087" r:id="rId2446" display="https://standards.buildingsmart.org/IFC/RELEASE/IFC4/ADD2_TC1/HTML/schema/ifchvacdomain/pset/pset_cooledbeamtypecommon.htm" xr:uid="{A1BC7960-D8A9-404C-8372-9BD7A4E215FA}"/>
    <hyperlink ref="Q2092" r:id="rId2447" display="https://standards.buildingsmart.org/IFC/RELEASE/IFC4/ADD2_TC1/HTML/schema/ifchvacdomain/pset/pset_cooledbeamtypecommon.htm" xr:uid="{DBF91C3C-2ABD-4260-9C24-8F39AEB8D190}"/>
    <hyperlink ref="Q642" r:id="rId2448" display="https://standards.buildingsmart.org/IFC/RELEASE/IFC4/ADD2_TC1/HTML/schema/ifcelectricaldomain/pset/pset_electricflowstoragedevicetypecommon.htm" xr:uid="{D6ADD710-068D-4609-8AC9-73DB8FF95DB0}"/>
    <hyperlink ref="Q2122" r:id="rId2449" display="https://standards.buildingsmart.org/IFC/RELEASE/IFC4/ADD2_TC1/HTML/schema/ifcelectricaldomain/pset/pset_electricflowstoragedevicetypecommon.htm" xr:uid="{DFA2501D-AF5D-47AB-8F42-6FA466A83D96}"/>
    <hyperlink ref="Q1125" r:id="rId2450" display="https://standards.buildingsmart.org/IFC/RELEASE/IFC4/ADD2_TC1/HTML/schema/ifcplumbingfireprotectiondomain/pset/pset_wasteterminaltypegullysump.htm" xr:uid="{7EE75ECE-E60F-467E-8E49-BD28F7C52E1D}"/>
    <hyperlink ref="Q412" r:id="rId2451" display="https://standards.buildingsmart.org/IFC/RELEASE/IFC4/ADD2_TC1/HTML/schema/ifcplumbingfireprotectiondomain/pset/pset_wasteterminaltypegullysump.htm" xr:uid="{CDE37837-812E-423C-BB2F-7247EE619B97}"/>
    <hyperlink ref="Q1440" r:id="rId2452" display="https://standards.buildingsmart.org/IFC/RELEASE/IFC4/ADD2_TC1/HTML/schema/ifcplumbingfireprotectiondomain/pset/pset_wasteterminaltypegullysump.htm" xr:uid="{4D6A5E04-E056-4AD5-8551-34C34738928E}"/>
    <hyperlink ref="Q1418" r:id="rId2453" display="https://standards.buildingsmart.org/IFC/RELEASE/IFC4/ADD2_TC1/HTML/schema/ifchvacdomain/pset/pset_fantypecommon.htm" xr:uid="{13ED6C94-0EE7-49B9-9982-306B47EF8094}"/>
    <hyperlink ref="Q1928" r:id="rId2454" display="https://standards.buildingsmart.org/IFC/RELEASE/IFC4/ADD2_TC1/HTML/schema/ifcelectricaldomain/pset/pset_audiovisualappliancetypedisplay.htm" xr:uid="{1EA56D5E-4F08-4084-B75F-0FCE0FB00185}"/>
    <hyperlink ref="Q206" r:id="rId2455" display="https://standards.buildingsmart.org/IFC/RELEASE/IFC4/ADD2_TC1/HTML/schema/ifchvacdomain/pset/pset_coiltypecommon.htm" xr:uid="{314E6400-7B60-4F11-AD2D-665AAC29B687}"/>
    <hyperlink ref="Q2425" r:id="rId2456" display="https://standards.buildingsmart.org/IFC/RELEASE/IFC4/ADD2_TC1/HTML/schema/ifchvacdomain/pset/pset_pumptypecommon.htm" xr:uid="{A7326232-8975-4076-882F-7A2266465422}"/>
    <hyperlink ref="Q2426" r:id="rId2457" display="https://standards.buildingsmart.org/IFC/RELEASE/IFC4/ADD2_TC1/HTML/schema/ifchvacdomain/pset/pset_fantypecommon.htm" xr:uid="{8BCF7B97-E454-4018-90EF-431CEF57E213}"/>
    <hyperlink ref="Q2088" r:id="rId2458" display="https://standards.buildingsmart.org/IFC/RELEASE/IFC4/ADD2_TC1/HTML/schema/ifchvacdomain/pset/pset_cooledbeamtypecommon.htm" xr:uid="{215BAA3E-3613-463F-BAFF-49281B4149EA}"/>
    <hyperlink ref="Q1682" r:id="rId2459" display="https://standards.buildingsmart.org/IFC/RELEASE/IFC4/ADD2_TC1/HTML/schema/ifchvacdomain/pset/pset_cooledbeamtypecommon.htm" xr:uid="{FC3F3F2A-363B-42CB-A47F-E14A7BA47A87}"/>
    <hyperlink ref="Q1524" r:id="rId2460" display="https://standards.buildingsmart.org/IFC/RELEASE/IFC4/ADD2_TC1/HTML/schema/ifchvacdomain/pset/pset_filtertypecommon.htm" xr:uid="{B7A8AD21-27D7-419C-B711-E716227ECA7C}"/>
    <hyperlink ref="Q2004" r:id="rId2461" display="https://standards.buildingsmart.org/IFC/RELEASE/IFC4/ADD2_TC1/HTML/schema/ifchvacdomain/pset/pset_fantypecommon.htm" xr:uid="{01378A0E-75D5-487C-AC6C-06046F1633C9}"/>
    <hyperlink ref="Q471" r:id="rId2462" display="https://standards.buildingsmart.org/IFC/RELEASE/IFC4/ADD2_TC1/HTML/schema/ifchvacdomain/pset/pset_chillertypecommon.htm" xr:uid="{F468F9D8-0A96-4317-980E-EF89DC44E7BF}"/>
    <hyperlink ref="Q1545" r:id="rId2463" display="https://standards.buildingsmart.org/IFC/RELEASE/IFC4/ADD2_TC1/HTML/schema/ifchvacdomain/pset/pset_boilertypecommon.htm" xr:uid="{DAB7829B-4D5D-4FD9-8F39-7BEBE2B9385F}"/>
    <hyperlink ref="Q645" r:id="rId2464" display="https://standards.buildingsmart.org/IFC/RELEASE/IFC4/ADD2_TC1/HTML/schema/ifchvacdomain/pset/pset_filtertypecommon.htm" xr:uid="{A4AC8134-6DA4-43CE-AFB0-57353D70A64E}"/>
    <hyperlink ref="Q667" r:id="rId2465" display="https://standards.buildingsmart.org/IFC/RELEASE/IFC4/ADD2_TC1/HTML/schema/ifchvacdomain/pset/pset_filtertypecommon.htm" xr:uid="{1603725A-8249-40A9-9294-446CB4499ED2}"/>
    <hyperlink ref="Q1001" r:id="rId2466" display="https://standards.buildingsmart.org/IFC/RELEASE/IFC4/ADD2_TC1/HTML/schema/ifchvacdomain/pset/pset_humidifiertypecommon.htm" xr:uid="{EDFE81E1-C5E7-434A-BB02-C0A046B34B6A}"/>
    <hyperlink ref="Q2427" r:id="rId2467" display="https://standards.buildingsmart.org/IFC/RELEASE/IFC4/ADD2_TC1/HTML/schema/ifchvacdomain/pset/pset_filtertypecommon.htm" xr:uid="{4752BACC-AF6E-4CDB-937F-C770A3DA9E73}"/>
    <hyperlink ref="Q416" r:id="rId2468" display="https://standards.buildingsmart.org/IFC/RELEASE/IFC4/ADD2_TC1/HTML/schema/ifchvacdomain/pset/pset_tanktypecommon.htm" xr:uid="{6CB9300C-0069-43D4-A967-BD62A3D1C729}"/>
    <hyperlink ref="Q415" r:id="rId2469" display="https://standards.buildingsmart.org/IFC/RELEASE/IFC4/ADD2_TC1/HTML/schema/ifcplumbingfireprotectiondomain/pset/pset_sanitaryterminaltypecommon.htm" xr:uid="{216809FE-F971-4E67-ADB4-2A85B1D78D45}"/>
    <hyperlink ref="Q413" r:id="rId2470" display="https://standards.buildingsmart.org/IFC/RELEASE/IFC4/ADD2_TC1/HTML/schema/ifcsharedcomponentelements/pset/pset_mechanicalfastenercommon.htm" xr:uid="{5C7912E1-C584-4BA7-85B9-7DFBF21DF17B}"/>
    <hyperlink ref="Q414" r:id="rId2471" display="https://standards.buildingsmart.org/IFC/RELEASE/IFC4/ADD2_TC1/HTML/schema/ifcsharedfacilitieselements/pset/pset_furnituretypecommon.htm" xr:uid="{1AB920A8-462D-439E-BAF4-B52B4845B487}"/>
    <hyperlink ref="Q203" r:id="rId2472" display="https://standards.buildingsmart.org/IFC/RELEASE/IFC4/ADD2_TC1/HTML/schema/ifchvacdomain/pset/pset_coiltypecommon.htm" xr:uid="{DD4E7F9D-4B94-4006-9D12-9F1DE5A63C34}"/>
    <hyperlink ref="Q1422" r:id="rId2473" display="https://standards.buildingsmart.org/IFC/RELEASE/IFC4/ADD2_TC1/HTML/schema/ifchvacdomain/pset/pset_airterminalboxtypecommon.htm" xr:uid="{126A8DAA-2BDF-40E5-9C5C-E0D87078F4FC}"/>
    <hyperlink ref="Q50" r:id="rId2474" display="https://standards.buildingsmart.org/IFC/RELEASE/IFC4/ADD2_TC1/HTML/schema/ifchvacdomain/pset/pset_vibrationisolatortypecommon.htm" xr:uid="{9F439CF5-0DB0-49E8-B3F9-DF14D4A7387F}"/>
    <hyperlink ref="Q49" r:id="rId2475" display="https://standards.buildingsmart.org/IFC/RELEASE/IFC4/ADD2_TC1/HTML/schema/ifcsharedfacilitieselements/pset/pset_systemfurnitureelementtypecommon.htm" xr:uid="{2E7D9523-13FA-4A92-B4FF-CE0A1CE71EF1}"/>
    <hyperlink ref="Q51" r:id="rId2476" display="https://standards.buildingsmart.org/IFC/RELEASE/IFC4/ADD2_TC1/HTML/schema/ifcsharedfacilitieselements/pset/pset_furnituretypecommon.htm" xr:uid="{77ECB5BE-304C-4947-9798-99C883642DB1}"/>
    <hyperlink ref="Q57" r:id="rId2477" display="https://standards.buildingsmart.org/IFC/RELEASE/IFC4/ADD2_TC1/HTML/schema/ifchvacdomain/pset/pset_ductsegmenttypecommon.htm" xr:uid="{2AFB973F-F5C9-48D4-94AD-6DD2CBC64EFD}"/>
    <hyperlink ref="Q52" r:id="rId2478" display="https://standards.buildingsmart.org/IFC/RELEASE/IFC4/ADD2_TC1/HTML/schema/ifcsharedbldgserviceelements/pset/pset_distributionporttypeduct.htm" xr:uid="{ABEDF86B-9877-4E7A-B3FA-D2032A693A6B}"/>
    <hyperlink ref="Q56" r:id="rId2479" display="https://standards.buildingsmart.org/IFC/RELEASE/IFC4/ADD2_TC1/HTML/schema/ifcelectricaldomain/pset/pset_cablecarriersegmenttypeconduitsegment.htm" xr:uid="{A16ABB22-1250-4474-B549-71F81A078B44}"/>
    <hyperlink ref="Q53" r:id="rId2480" display="https://standards.buildingsmart.org/IFC/RELEASE/IFC4/ADD2_TC1/HTML/schema/ifcelectricaldomain/pset/pset_cablecarriersegmenttypecabletrunkingsegment.htm" xr:uid="{0AC063C5-32C8-46E2-BAC5-E6C6195022C1}"/>
    <hyperlink ref="Q55" r:id="rId2481" display="https://standards.buildingsmart.org/IFC/RELEASE/IFC4/ADD2_TC1/HTML/schema/ifcelectricaldomain/pset/pset_cablecarriersegmenttypecabletraysegment.htm" xr:uid="{1A85E1EC-E602-4E34-949B-EA8EE28B4C29}"/>
    <hyperlink ref="Q54" r:id="rId2482" display="https://standards.buildingsmart.org/IFC/RELEASE/IFC4/ADD2_TC1/HTML/schema/ifcelectricaldomain/pset/pset_cablecarriersegmenttypecableladdersegment.htm" xr:uid="{86FCC28C-4412-438C-BA97-49C1B8837360}"/>
    <hyperlink ref="Q370" r:id="rId2483" display="https://standards.buildingsmart.org/IFC/RELEASE/IFC4/ADD2_TC1/HTML/schema/ifchvacdomain/pset/pset_evaporatortypecommon.htm" xr:uid="{15747E52-5265-40CB-A0CD-D29B6C5F9809}"/>
    <hyperlink ref="Q369" r:id="rId2484" display="https://standards.buildingsmart.org/IFC/RELEASE/IFC4/ADD2_TC1/HTML/schema/ifchvacdomain/pset/pset_condensertypecommon.htm" xr:uid="{76E34C1C-D6E4-4521-A0C5-54E32AE553DA}"/>
    <hyperlink ref="Q120" r:id="rId2485" display="https://standards.buildingsmart.org/IFC/RELEASE/IFC4/ADD2_TC1/HTML/schema/ifchvacdomain/pset/pset_evaporatortypecommon.htm" xr:uid="{6037CD06-2A25-46BA-B1A2-542C5F0204A0}"/>
    <hyperlink ref="Q119" r:id="rId2486" display="https://standards.buildingsmart.org/IFC/RELEASE/IFC4/ADD2_TC1/HTML/schema/ifchvacdomain/pset/pset_condensertypecommon.htm" xr:uid="{80AC8C32-A64B-4C2A-868B-7EAC2AFE43E1}"/>
    <hyperlink ref="Q2005" r:id="rId2487" display="https://standards.buildingsmart.org/IFC/RELEASE/IFC4/ADD2_TC1/HTML/schema/ifchvacdomain/pset/pset_chillertypecommon.htm" xr:uid="{9506AEDB-241D-4E12-953C-19B7C9E723C4}"/>
    <hyperlink ref="Q204" r:id="rId2488" display="https://standards.buildingsmart.org/IFC/RELEASE/IFC4/ADD2_TC1/HTML/schema/ifchvacdomain/pset/pset_cooledbeamtypecommon.htm" xr:uid="{23365322-CD69-4181-85DF-13FFF0E38974}"/>
    <hyperlink ref="Q1952" r:id="rId2489" display="https://standards.buildingsmart.org/IFC/RELEASE/IFC4/ADD2_TC1/HTML/schema/ifcelectricaldomain/pset/pset_electricaldevicecommon.htm" xr:uid="{0F035741-BAB3-424A-8C4E-02C0C86E7B4A}"/>
    <hyperlink ref="Q978" r:id="rId2490" display="https://standards.buildingsmart.org/IFC/RELEASE/IFC4/ADD2_TC1/HTML/schema/ifcelectricaldomain/pset/pset_electricflowstoragedevicetypecommon.htm" xr:uid="{9C144B4F-9DA9-4E21-926D-ADE4C24AE6D4}"/>
    <hyperlink ref="Q2409" r:id="rId2491" display="https://standards.buildingsmart.org/IFC/RELEASE/IFC4/ADD2_TC1/HTML/schema/ifchvacdomain/pset/pset_filtertypecommon.htm" xr:uid="{510AEFB8-8C96-4974-A282-5B132B17CA69}"/>
    <hyperlink ref="Q2424" r:id="rId2492" display="https://standards.buildingsmart.org/IFC/RELEASE/IFC4/ADD2_TC1/HTML/schema/ifchvacdomain/pset/pset_filtertypecommon.htm" xr:uid="{0F8810BB-DA2A-4797-87E7-BC280799E1F8}"/>
    <hyperlink ref="Q2091" r:id="rId2493" display="https://standards.buildingsmart.org/IFC/RELEASE/IFC4/ADD2_TC1/HTML/schema/ifchvacdomain/pset/pset_chillertypecommon.htm" xr:uid="{52E941D4-11FE-4F80-809A-8BF71D021FD2}"/>
    <hyperlink ref="Q470" r:id="rId2494" display="https://standards.buildingsmart.org/IFC/RELEASE/IFC4/ADD2_TC1/HTML/schema/ifchvacdomain/pset/pset_boilertypecommon.htm" xr:uid="{D8533DB1-B58F-4FF6-973D-075655F1783F}"/>
    <hyperlink ref="Q804" r:id="rId2495" display="https://standards.buildingsmart.org/IFC/RELEASE/IFC4/ADD2_TC1/HTML/schema/ifchvacdomain/pset/pset_boilertypewater.htm" xr:uid="{4C69210D-2504-4207-9AF1-F95E5E00FAF8}"/>
    <hyperlink ref="Q805" r:id="rId2496" display="https://standards.buildingsmart.org/IFC/RELEASE/IFC4/ADD2_TC1/HTML/schema/ifchvacdomain/pset/pset_boilertypesteam.htm" xr:uid="{9680991C-7704-4190-9ED8-9F6436751949}"/>
    <hyperlink ref="Q806" r:id="rId2497" display="https://standards.buildingsmart.org/IFC/RELEASE/IFC4/ADD2_TC1/HTML/schema/ifchvacdomain/pset/pset_chillertypecommon.htm" xr:uid="{0CA012AE-E92A-494B-AC6B-1E1C6B381697}"/>
    <hyperlink ref="Q677" r:id="rId2498" display="https://standards.buildingsmart.org/IFC/RELEASE/IFC4/ADD2_TC1/HTML/schema/ifchvacdomain/pset/pset_ductsegmenttypecommon.htm" xr:uid="{8FB86EF1-9A83-40EE-B5AA-A62A43E9A03E}"/>
    <hyperlink ref="Q675" r:id="rId2499" display="https://standards.buildingsmart.org/IFC/RELEASE/IFC4/ADD2_TC1/HTML/schema/ifchvacdomain/pset/pset_tubebundletypecommon.htm" xr:uid="{E84F8095-6A89-4B0C-AB8F-BAE1EEFA0D81}"/>
    <hyperlink ref="Q676" r:id="rId2500" display="https://standards.buildingsmart.org/IFC/RELEASE/IFC4/ADD2_TC1/HTML/schema/ifcstructuralelementsdomain/pset/pset_tendoncommon.htm" xr:uid="{BE90EDEF-1E03-4908-8CEE-5A3E3CA45CBE}"/>
    <hyperlink ref="Q671" r:id="rId2501" display="https://standards.buildingsmart.org/IFC/RELEASE/IFC4/ADD2_TC1/HTML/schema/ifcstructuralelementsdomain/pset/pset_reinforcingbarcommon.htm" xr:uid="{EBE0275C-F9EB-4505-9763-275AA99BD1ED}"/>
    <hyperlink ref="Q674" r:id="rId2502" display="https://standards.buildingsmart.org/IFC/RELEASE/IFC4/ADD2_TC1/HTML/schema/ifchvacdomain/pset/pset_pipesegmenttypecommon.htm" xr:uid="{EF087966-70A9-466B-B923-60C8A65728B7}"/>
    <hyperlink ref="Q673" r:id="rId2503" display="https://standards.buildingsmart.org/IFC/RELEASE/IFC4/ADD2_TC1/HTML/schema/ifcsharedcomponentelements/pset/pset_mechanicalfastenercommon.htm" xr:uid="{07B36282-E325-4E63-8229-9CE9903735EE}"/>
    <hyperlink ref="Q672" r:id="rId2504" display="https://standards.buildingsmart.org/IFC/RELEASE/IFC4/ADD2_TC1/HTML/schema/ifcsharedbldgserviceelements/pset/pset_distributionporttypepipe.htm" xr:uid="{1AA47A7A-D810-4425-BCC1-DA0425785393}"/>
    <hyperlink ref="Q1464" r:id="rId2505" display="https://standards.buildingsmart.org/IFC/RELEASE/IFC4/ADD2_TC1/HTML/schema/ifcplumbingfireprotectiondomain/pset/pset_wasteterminaltypewastedisposalunit.htm" xr:uid="{6279A094-F67B-45CA-9B97-142116999DFB}"/>
    <hyperlink ref="Q1463" r:id="rId2506" display="https://standards.buildingsmart.org/IFC/RELEASE/IFC4/ADD2_TC1/HTML/schema/ifchvacdomain/pset/pset_tanktypecommon.htm" xr:uid="{67B11BDF-FB61-4813-88EF-2B4138F15B41}"/>
    <hyperlink ref="Q1465" r:id="rId2507" display="https://standards.buildingsmart.org/IFC/RELEASE/IFC4/ADD2_TC1/HTML/schema/ifcplumbingfireprotectiondomain/pset/pset_sanitaryterminaltypecommon.htm" xr:uid="{AECEF3A0-C21D-474A-83BE-E2A147DF8E3C}"/>
    <hyperlink ref="Q1462" r:id="rId2508" display="https://standards.buildingsmart.org/IFC/RELEASE/IFC4/ADD2_TC1/HTML/schema/ifcsharedfacilitieselements/pset/pset_furnituretypecommon.htm" xr:uid="{75466C4B-508A-4A9A-9B00-BE5F05CD6774}"/>
    <hyperlink ref="Q670" r:id="rId2509" display="https://standards.buildingsmart.org/IFC/RELEASE/IFC4/ADD2_TC1/HTML/schema/ifchvacdomain/pset/pset_airterminalboxtypecommon.htm" xr:uid="{7012B043-E9DA-447C-92E5-A38E908F41DA}"/>
    <hyperlink ref="Q537" r:id="rId2510" display="https://standards.buildingsmart.org/IFC/RELEASE/IFC4/ADD2_TC1/HTML/schema/ifcelectricaldomain/pset/pset_protectivedevicetrippingunittypeelectronic.htm" xr:uid="{E21BDB7C-7C12-4748-A24D-C102CB165BE1}"/>
    <hyperlink ref="Q536" r:id="rId2511" display="https://standards.buildingsmart.org/IFC/RELEASE/IFC4/ADD2_TC1/HTML/schema/ifcelectricaldomain/pset/pset_protectivedevicebreakerunittypemcb.htm" xr:uid="{11B32B9D-D7AF-4141-A42B-9CD0C42EEBC1}"/>
    <hyperlink ref="Q524" r:id="rId2512" display="https://standards.buildingsmart.org/IFC/RELEASE/IFC4/ADD2_TC1/HTML/schema/ifcelectricaldomain/pset/pset_protectivedevicetrippingfunctionscurve.htm" xr:uid="{D55B8DD8-10F0-4A3B-B187-00131555E08E}"/>
    <hyperlink ref="Q522" r:id="rId2513" display="https://standards.buildingsmart.org/IFC/RELEASE/IFC4/ADD2_TC1/HTML/schema/ifcelectricaldomain/pset/pset_protectivedevicetrippingfunctionicurve.htm" xr:uid="{C7C86FD3-8058-4A74-9F27-8A6063E098CE}"/>
    <hyperlink ref="Q523" r:id="rId2514" display="https://standards.buildingsmart.org/IFC/RELEASE/IFC4/ADD2_TC1/HTML/schema/ifcelectricaldomain/pset/pset_protectivedevicetrippingfunctiongcurve.htm" xr:uid="{04DDD96E-3F72-4321-B710-91AC6AE49F39}"/>
    <hyperlink ref="Q526" r:id="rId2515" display="https://standards.buildingsmart.org/IFC/RELEASE/IFC4/ADD2_TC1/HTML/schema/ifcelectricaldomain/pset/pset_protectivedevicebreakerunitipicurve.htm" xr:uid="{196BE877-89F1-4D4B-BA9E-DAE5472010B5}"/>
    <hyperlink ref="Q525" r:id="rId2516" display="https://standards.buildingsmart.org/IFC/RELEASE/IFC4/ADD2_TC1/HTML/schema/ifcelectricaldomain/pset/pset_protectivedevicebreakeruniti2tcurve.htm" xr:uid="{B99F3D8C-438E-4A6C-8ACA-3458013523CB}"/>
    <hyperlink ref="Q527" r:id="rId2517" display="https://standards.buildingsmart.org/IFC/RELEASE/IFC4/ADD2_TC1/HTML/schema/ifchvacdomain/pset/pset_flowmetertypeenergymeter.htm" xr:uid="{8EB8052A-A0BF-4152-9478-BC1B6800A4A2}"/>
    <hyperlink ref="Q802" r:id="rId2518" display="https://standards.buildingsmart.org/IFC/RELEASE/IFC4/ADD2_TC1/HTML/schema/ifchvacdomain/pset/pset_filtertypeairparticlefilter.htm" xr:uid="{BE5F08A4-EC25-4AC4-9B04-4DB98E219FE8}"/>
    <hyperlink ref="Q205" r:id="rId2519" display="https://standards.buildingsmart.org/IFC/RELEASE/IFC4/ADD2_TC1/HTML/schema/ifchvacdomain/pset/pset_cooledbeamtypecommon.htm" xr:uid="{F154D213-1A13-419D-B5D1-3B1B9073D089}"/>
    <hyperlink ref="Q2090" r:id="rId2520" display="https://standards.buildingsmart.org/IFC/RELEASE/IFC4/ADD2_TC1/HTML/schema/ifchvacdomain/pset/pset_chillertypecommon.htm" xr:uid="{E67299C7-60FA-42A2-ADA6-A3A53FB36A49}"/>
    <hyperlink ref="Q209" r:id="rId2521" display="https://standards.buildingsmart.org/IFC/RELEASE/IFC4/ADD2_TC1/HTML/schema/ifchvacdomain/pset/pset_tanktypecommon.htm" xr:uid="{E74086E8-B85E-41BE-84B7-BF50B2E98568}"/>
    <hyperlink ref="Q210" r:id="rId2522" display="https://standards.buildingsmart.org/IFC/RELEASE/IFC4/ADD2_TC1/HTML/schema/ifchvacdomain/pset/pset_coolingtowertypecommon.htm" xr:uid="{4B6E31A5-3E69-4A15-B7C9-E55DF0B32146}"/>
    <hyperlink ref="Q208" r:id="rId2523" display="https://standards.buildingsmart.org/IFC/RELEASE/IFC4/ADD2_TC1/HTML/schema/ifchvacdomain/pset/pset_compressortypecommon.htm" xr:uid="{EBD77ECF-6E9D-47DB-A9D8-459E150BE7B9}"/>
    <hyperlink ref="Q207" r:id="rId2524" display="https://standards.buildingsmart.org/IFC/RELEASE/IFC4/ADD2_TC1/HTML/schema/ifchvacdomain/pset/pset_chillertypecommon.htm" xr:uid="{96DDE0CA-C268-4BBA-B365-B079A5115394}"/>
    <hyperlink ref="Q1130" r:id="rId2525" display="https://standards.buildingsmart.org/IFC/RELEASE/IFC4/ADD2_TC1/HTML/schema/ifcplumbingfireprotectiondomain/pset/pset_wasteterminaltyperoofdrain.htm" xr:uid="{CC25F6EA-44F3-48CB-976C-90BA27EC4C39}"/>
    <hyperlink ref="Q1128" r:id="rId2526" display="https://standards.buildingsmart.org/IFC/RELEASE/IFC4/ADD2_TC1/HTML/schema/ifcplumbingfireprotectiondomain/pset/pset_wasteterminaltypegullytrap.htm" xr:uid="{A1233713-FF16-4CF3-A9D5-3CB7F06166B4}"/>
    <hyperlink ref="Q1129" r:id="rId2527" display="https://standards.buildingsmart.org/IFC/RELEASE/IFC4/ADD2_TC1/HTML/schema/ifcplumbingfireprotectiondomain/pset/pset_wasteterminaltypefloorwaste.htm" xr:uid="{05F54A41-96CD-497F-92F5-7F898FB2E5C9}"/>
    <hyperlink ref="Q1127" r:id="rId2528" display="https://standards.buildingsmart.org/IFC/RELEASE/IFC4/ADD2_TC1/HTML/schema/ifcplumbingfireprotectiondomain/pset/pset_wasteterminaltypefloortrap.htm" xr:uid="{22BAF295-CE3F-4318-927F-68733F7678F4}"/>
    <hyperlink ref="Q1126" r:id="rId2529" display="https://standards.buildingsmart.org/IFC/RELEASE/IFC4/ADD2_TC1/HTML/schema/ifcplumbingfireprotectiondomain/pset/pset_interceptortypecommon.htm" xr:uid="{840123FF-373E-4556-9414-9005B376391F}"/>
    <hyperlink ref="Q411" r:id="rId2530" display="https://standards.buildingsmart.org/IFC/RELEASE/IFC4/ADD2_TC1/HTML/schema/ifcplumbingfireprotectiondomain/pset/pset_wasteterminaltyperoofdrain.htm" xr:uid="{088D4416-9A6E-4F45-91DD-9B9B953867E6}"/>
    <hyperlink ref="Q409" r:id="rId2531" display="https://standards.buildingsmart.org/IFC/RELEASE/IFC4/ADD2_TC1/HTML/schema/ifcplumbingfireprotectiondomain/pset/pset_wasteterminaltypegullytrap.htm" xr:uid="{A464A521-9EA1-4802-A1D8-0F0EAB6E83EE}"/>
    <hyperlink ref="Q410" r:id="rId2532" display="https://standards.buildingsmart.org/IFC/RELEASE/IFC4/ADD2_TC1/HTML/schema/ifcplumbingfireprotectiondomain/pset/pset_wasteterminaltypefloorwaste.htm" xr:uid="{18508996-0608-4B32-BEF6-B5CFD43308A2}"/>
    <hyperlink ref="Q408" r:id="rId2533" display="https://standards.buildingsmart.org/IFC/RELEASE/IFC4/ADD2_TC1/HTML/schema/ifcplumbingfireprotectiondomain/pset/pset_wasteterminaltypefloortrap.htm" xr:uid="{0B1823F3-B318-4C57-B768-EF64D8EF8B46}"/>
    <hyperlink ref="Q407" r:id="rId2534" display="https://standards.buildingsmart.org/IFC/RELEASE/IFC4/ADD2_TC1/HTML/schema/ifcplumbingfireprotectiondomain/pset/pset_interceptortypecommon.htm" xr:uid="{BC0AE586-4635-40F8-A852-18B3D6734363}"/>
    <hyperlink ref="Q1461" r:id="rId2535" display="https://standards.buildingsmart.org/IFC/RELEASE/IFC4/ADD2_TC1/HTML/schema/ifcplumbingfireprotectiondomain/pset/pset_wasteterminaltyperoofdrain.htm" xr:uid="{F889B4F2-A493-4097-B271-8384F7F9F5E7}"/>
    <hyperlink ref="Q1459" r:id="rId2536" display="https://standards.buildingsmart.org/IFC/RELEASE/IFC4/ADD2_TC1/HTML/schema/ifcplumbingfireprotectiondomain/pset/pset_wasteterminaltypegullytrap.htm" xr:uid="{C144E71E-6CC5-4BD0-920F-4F7618BAEC63}"/>
    <hyperlink ref="Q1460" r:id="rId2537" display="https://standards.buildingsmart.org/IFC/RELEASE/IFC4/ADD2_TC1/HTML/schema/ifcplumbingfireprotectiondomain/pset/pset_wasteterminaltypefloorwaste.htm" xr:uid="{4B87BBB9-135B-400D-A414-58D899B6C2AE}"/>
    <hyperlink ref="Q1458" r:id="rId2538" display="https://standards.buildingsmart.org/IFC/RELEASE/IFC4/ADD2_TC1/HTML/schema/ifcplumbingfireprotectiondomain/pset/pset_wasteterminaltypefloortrap.htm" xr:uid="{790D4E79-1514-40C7-81C4-4E063EC43EB6}"/>
    <hyperlink ref="Q1457" r:id="rId2539" display="https://standards.buildingsmart.org/IFC/RELEASE/IFC4/ADD2_TC1/HTML/schema/ifcplumbingfireprotectiondomain/pset/pset_interceptortypecommon.htm" xr:uid="{64BCCE12-70BF-4F4D-B580-8026BB3FAF77}"/>
    <hyperlink ref="Q2407" r:id="rId2540" display="https://standards.buildingsmart.org/IFC/RELEASE/IFC4/ADD2_TC1/HTML/schema/ifchvacdomain/pset/pset_humidifiertypecommon.htm" xr:uid="{A1540715-6102-415A-B6F5-EBCD028AFBA5}"/>
    <hyperlink ref="Q2408" r:id="rId2541" display="https://standards.buildingsmart.org/IFC/RELEASE/IFC4/ADD2_TC1/HTML/schema/ifchvacdomain/pset/pset_fantypecommon.htm" xr:uid="{D4A3204D-4A3D-4E5B-B238-9E04F1EB5F5D}"/>
    <hyperlink ref="Q2406" r:id="rId2542" display="https://standards.buildingsmart.org/IFC/RELEASE/IFC4/ADD2_TC1/HTML/schema/ifchvacdomain/pset/pset_dampertypecommon.htm" xr:uid="{AFC04ECD-7987-462B-B63C-325D4C095DDB}"/>
    <hyperlink ref="Q2405" r:id="rId2543" display="https://standards.buildingsmart.org/IFC/RELEASE/IFC4/ADD2_TC1/HTML/schema/ifchvacdomain/pset/pset_airterminalboxtypecommon.htm" xr:uid="{68D0C881-E29E-43E0-B1CC-40A1D94E4F52}"/>
    <hyperlink ref="Q173" r:id="rId2544" display="https://standards.buildingsmart.org/IFC/RELEASE/IFC4/ADD2_TC1/HTML/schema/ifchvacdomain/pset/pset_pumptypecommon.htm" xr:uid="{C6B4BA60-41DB-46B4-ADFA-73B60C971B64}"/>
    <hyperlink ref="Q129" r:id="rId2545" display="https://standards.buildingsmart.org/IFC/RELEASE/IFC4/ADD2_TC1/HTML/schema/ifcproductextension/pset/pset_zonecommon.htm" xr:uid="{B45961A8-0E53-4545-91FD-BD7A5BD2AB86}"/>
    <hyperlink ref="Q128" r:id="rId2546" display="https://standards.buildingsmart.org/IFC/RELEASE/IFC4/ADD2_TC1/HTML/schema/ifcproductextension/pset/pset_spacecommon.htm" xr:uid="{63279ACA-2EBC-4028-B30F-4E009382FF6C}"/>
    <hyperlink ref="Q126" r:id="rId2547" display="https://standards.buildingsmart.org/IFC/RELEASE/IFC4/ADD2_TC1/HTML/schema/ifcproductextension/pset/pset_buildingstoreycommon.htm" xr:uid="{BD59142E-04D5-4D39-ABD4-16D4DCCB458C}"/>
    <hyperlink ref="Q127" r:id="rId2548" display="https://standards.buildingsmart.org/IFC/RELEASE/IFC4/ADD2_TC1/HTML/schema/ifcproductextension/pset/pset_buildingcommon.htm" xr:uid="{E04FA053-77C4-494C-957D-4E0DDE4256F2}"/>
    <hyperlink ref="Q1031" r:id="rId2549" display="https://standards.buildingsmart.org/IFC/RELEASE/IFC4/ADD2_TC1/HTML/schema/ifcsharedbldgserviceelements/pset/pset_distributionsystemtypeelectrical.htm" xr:uid="{CF6A51EE-0303-42B4-9251-BDA3105912B9}"/>
    <hyperlink ref="Q1674" r:id="rId2550" display="https://standards.buildingsmart.org/IFC/RELEASE/IFC4/ADD2_TC1/HTML/schema/ifchvacdomain/pset/pset_airterminaltypecommon.htm" xr:uid="{27DF6E49-7FD1-41F7-AE4E-66C12F9801E0}"/>
    <hyperlink ref="Q2416" r:id="rId2551" display="https://standards.buildingsmart.org/IFC/RELEASE/IFC4/ADD2_TC1/HTML/schema/ifchvacdomain/pset/pset_airterminalphistory.htm" xr:uid="{821F6398-6483-4357-A00B-F325742C2BFC}"/>
    <hyperlink ref="Q1256" r:id="rId2552" display="https://standards.buildingsmart.org/IFC/RELEASE/IFC4/ADD2_TC1/HTML/schema/ifcsharedfacilitieselements/pset/pset_risk.htm" xr:uid="{26D36917-D5C1-4DDC-8532-A63D2FD62143}"/>
    <hyperlink ref="Q2002" r:id="rId2553" display="https://standards.buildingsmart.org/IFC/RELEASE/IFC4/ADD2_TC1/HTML/schema/ifcproductextension/pset/pset_spacethermalrequirements.htm" xr:uid="{C9DAFB7C-9679-49AD-B694-9C3C5E1D9C23}"/>
    <hyperlink ref="Q2435" r:id="rId2554" display="https://standards.buildingsmart.org/IFC/RELEASE/IFC4/ADD2_TC1/HTML/schema/ifcproductextension/pset/pset_spacethermalrequirements.htm" xr:uid="{0985B3D4-8908-4A39-BA7F-D109DACB7315}"/>
    <hyperlink ref="Q2138" r:id="rId2555" display="https://standards.buildingsmart.org/IFC/RELEASE/IFC4/ADD2_TC1/HTML/schema/ifcproductextension/pset/pset_buildinguseadjacent.htm" xr:uid="{1042A4B8-7009-4DCC-846F-0A608376E48F}"/>
    <hyperlink ref="Q2139" r:id="rId2556" display="https://standards.buildingsmart.org/IFC/RELEASE/IFC4/ADD2_TC1/HTML/schema/ifcproductextension/pset/pset_buildinguse.htm" xr:uid="{EB275652-6CAD-451A-8AC0-7BBB9F046B83}"/>
    <hyperlink ref="Q1290" r:id="rId2557" display="https://standards.buildingsmart.org/IFC/RELEASE/IFC4/ADD2_TC1/HTML/schema/ifcsharedbldgserviceelements/pset/pset_airsidesysteminformation.htm" xr:uid="{9F824F89-CA22-4BA8-AF3B-B550590E9711}"/>
    <hyperlink ref="Q490" r:id="rId2558" display="https://standards.buildingsmart.org/IFC/RELEASE/IFC4/ADD2_TC1/HTML/schema/ifcmaterialresource/pset/pset_materialcombustion.htm" xr:uid="{7EEA3540-89A3-4FDE-8F3A-6EB556522308}"/>
    <hyperlink ref="Q1253" r:id="rId2559" display="https://standards.buildingsmart.org/IFC/RELEASE/IFC4/ADD2_TC1/HTML/schema/ifcelectricaldomain/pset/pset_protectivedevicetrippingunittypeelectronic.htm" xr:uid="{06214DE9-3540-4680-A410-449F74591B94}"/>
    <hyperlink ref="Q1255" r:id="rId2560" display="https://standards.buildingsmart.org/IFC/RELEASE/IFC4/ADD2_TC1/HTML/schema/ifcelectricaldomain/pset/pset_protectivedevicetrippingunittypeelectronic.htm" xr:uid="{6E35A7B8-1943-4517-80BC-7A0C7CC14928}"/>
    <hyperlink ref="Q1254" r:id="rId2561" display="https://standards.buildingsmart.org/IFC/RELEASE/IFC4/ADD2_TC1/HTML/schema/ifcelectricaldomain/pset/pset_protectivedevicetrippingunittypeelectronic.htm" xr:uid="{C6EB7274-1446-4E94-9183-80D5E2D6E6C5}"/>
    <hyperlink ref="Q1252" r:id="rId2562" display="https://standards.buildingsmart.org/IFC/RELEASE/IFC4/ADD2_TC1/HTML/schema/ifcelectricaldomain/pset/pset_protectivedevicetrippingunittypeelectronic.htm" xr:uid="{98B5749E-00EA-4D5D-A64B-E024140F4F89}"/>
    <hyperlink ref="Q1201" r:id="rId2563" display="https://standards.buildingsmart.org/IFC/RELEASE/IFC4/ADD2_TC1/HTML/schema/ifcsharedcomponentelements/pset/pset_fastenerweld.htm" xr:uid="{C97C92D5-5728-412D-92DB-B0C084E819FA}"/>
    <hyperlink ref="Q1933" r:id="rId2564" display="https://standards.buildingsmart.org/IFC/RELEASE/IFC4/ADD2_TC1/HTML/schema/ifchvacdomain/pset/pset_flowmetertypeenergymeter.htm" xr:uid="{A8FA7805-B819-4B58-ABD4-48B080A3905C}"/>
    <hyperlink ref="Q2251" r:id="rId2565" display="https://standards.buildingsmart.org/IFC/RELEASE/IFC4/ADD2_TC1/HTML/schema/ifcbuildingcontrolsdomain/pset/pset_sensortypemovementsensor.htm" xr:uid="{6B56744C-B445-4A6A-A0F1-5FCA840FA3B2}"/>
    <hyperlink ref="Q2230" r:id="rId2566" display="https://standards.buildingsmart.org/IFC/RELEASE/IFC4/ADD2_TC1/HTML/schema/ifcelectricaldomain/pset/pset_junctionboxtypecommon.htm" xr:uid="{8DD8D50A-51CB-457E-BBF5-C4193B9A1F81}"/>
    <hyperlink ref="Q2231" r:id="rId2567" display="https://standards.buildingsmart.org/IFC/RELEASE/IFC4/ADD2_TC1/HTML/schema/ifchvacdomain/pset/pset_airterminaltypecommon.htm" xr:uid="{E43C352F-419A-49C9-8A53-5837DE5674E1}"/>
    <hyperlink ref="Q640" r:id="rId2568" display="https://standards.buildingsmart.org/IFC/RELEASE/IFC4/ADD2_TC1/HTML/schema/ifcplumbingfireprotectiondomain/pset/pset_sanitaryterminaltypewashhandbasin.htm" xr:uid="{0054A102-E23B-428B-A8BC-F363B28255A3}"/>
    <hyperlink ref="Q639" r:id="rId2569" display="https://standards.buildingsmart.org/IFC/RELEASE/IFC4/ADD2_TC1/HTML/schema/ifcplumbingfireprotectiondomain/pset/pset_sanitaryterminaltypesink.htm" xr:uid="{8DCE12DB-94C4-497A-99DD-223A72B655A3}"/>
    <hyperlink ref="Q1217" r:id="rId2570" display="https://standards.buildingsmart.org/IFC/RELEASE/IFC4/ADD2_TC1/HTML/schema/ifcelectricaldomain/pset/pset_cablesegmentoccurrence.htm" xr:uid="{A0497A9D-5F20-4AB2-A89B-4D2724B950CF}"/>
    <hyperlink ref="Q1248" r:id="rId2571" display="https://standards.buildingsmart.org/IFC/RELEASE/IFC4/ADD2_TC1/HTML/schema/ifcplumbingfireprotectiondomain/pset/pset_sanitaryterminaltypewashhandbasin.htm" xr:uid="{6944E4C6-AC71-4650-B644-FFA486EC7128}"/>
    <hyperlink ref="Q1249" r:id="rId2572" display="https://standards.buildingsmart.org/IFC/RELEASE/IFC4/ADD2_TC1/HTML/schema/ifcplumbingfireprotectiondomain/pset/pset_sanitaryterminaltypeurinal.htm" xr:uid="{F82FE211-9439-430A-94F9-E227F8A55104}"/>
    <hyperlink ref="Q1245" r:id="rId2573" display="https://standards.buildingsmart.org/IFC/RELEASE/IFC4/ADD2_TC1/HTML/schema/ifcplumbingfireprotectiondomain/pset/pset_sanitaryterminaltypesink.htm" xr:uid="{341A245E-72B9-48E2-9E31-ABB5AF061BE8}"/>
    <hyperlink ref="Q1247" r:id="rId2574" display="https://standards.buildingsmart.org/IFC/RELEASE/IFC4/ADD2_TC1/HTML/schema/ifcplumbingfireprotectiondomain/pset/pset_sanitaryterminaltypesanitaryfountain.htm" xr:uid="{BDC20AE3-987E-4E0A-A84E-C0F97B6DA478}"/>
    <hyperlink ref="Q1246" r:id="rId2575" display="https://standards.buildingsmart.org/IFC/RELEASE/IFC4/ADD2_TC1/HTML/schema/ifcplumbingfireprotectiondomain/pset/pset_sanitaryterminaltypebidet.htm" xr:uid="{5DE4B9DA-D621-40C0-8DA0-9CDA44BF53D5}"/>
    <hyperlink ref="Q1376" r:id="rId2576" display="https://standards.buildingsmart.org/IFC/RELEASE/IFC4/ADD2_TC1/HTML/schema/ifchvacdomain/pset/pset_fanoccurrence.htm" xr:uid="{60A2C96D-D15A-4B85-809E-C4176AF462F8}"/>
    <hyperlink ref="Q2211" r:id="rId2577" display="https://standards.buildingsmart.org/IFC/RELEASE/IFC4/ADD2_TC1/HTML/schema/ifcelectricaldomain/pset/pset_electricmotortypecommon.htm" xr:uid="{4E3A8E42-BFB8-4219-BE06-695585EEEE1E}"/>
    <hyperlink ref="Q2154" r:id="rId2578" display="https://standards.buildingsmart.org/IFC/RELEASE/IFC4/ADD2_TC1/HTML/schema/ifchvacdomain/pset/pset_fantypecommon.htm" xr:uid="{7397E95B-409F-4661-B6E0-048F706629F5}"/>
    <hyperlink ref="Q1242" r:id="rId2579" display="https://standards.buildingsmart.org/IFC/RELEASE/IFC4/ADD2_TC1/HTML/schema/ifcprofileresource/pset/pset_profilemechanical.htm" xr:uid="{8C1143D8-1757-4A9D-A3C8-E6F0F77FE8A9}"/>
    <hyperlink ref="Q1241" r:id="rId2580" display="https://standards.buildingsmart.org/IFC/RELEASE/IFC4/ADD2_TC1/HTML/schema/ifcprofileresource/pset/pset_profilemechanical.htm" xr:uid="{6B254EBD-CAD9-448D-A2CA-0C023C43C4DE}"/>
    <hyperlink ref="Q1240" r:id="rId2581" display="https://standards.buildingsmart.org/IFC/RELEASE/IFC4/ADD2_TC1/HTML/schema/ifcprofileresource/pset/pset_profilemechanical.htm" xr:uid="{4E0B85B2-3C8C-40A5-91C1-5A91B82A5CF2}"/>
    <hyperlink ref="Q2275" r:id="rId2582" display="https://standards.buildingsmart.org/IFC/RELEASE/IFC4/ADD2_TC1/HTML/schema/ifcelectricaldomain/pset/pset_switchingdevicetypemomentaryswitch.htm" xr:uid="{6EC7B147-3981-497B-A46A-1163A44BB725}"/>
    <hyperlink ref="Q1353" r:id="rId2583" display="https://standards.buildingsmart.org/IFC/RELEASE/IFC4/ADD2_TC1/HTML/schema/ifcmaterialresource/pset/pset_materialcommon.htm" xr:uid="{E7AB462A-59EE-4FAF-911A-1D096B3647BF}"/>
    <hyperlink ref="Q39" r:id="rId2584" display="https://standards.buildingsmart.org/IFC/RELEASE/IFC4/ADD2_TC1/HTML/schema/ifcproductextension/pset/pset_spacecoveringrequirements.htm" xr:uid="{954E3915-ED53-4AEC-AFCB-92A2FBDA08DD}"/>
    <hyperlink ref="Q1239" r:id="rId2585" display="https://standards.buildingsmart.org/IFC/RELEASE/IFC4/ADD2_TC1/HTML/schema/ifcproductextension/pset/pset_spacecoveringrequirements.htm" xr:uid="{79DDD80D-7A2D-4071-8A08-CC8046BE9581}"/>
    <hyperlink ref="Q686" r:id="rId2586" display="https://standards.buildingsmart.org/IFC/RELEASE/IFC4/ADD2_TC1/HTML/schema/ifcmaterialresource/pset/pset_materialhygroscopic.htm" xr:uid="{F67F89F2-E413-40C3-9F32-D00420686224}"/>
    <hyperlink ref="Q489" r:id="rId2587" display="https://standards.buildingsmart.org/IFC/RELEASE/IFC4/ADD2_TC1/HTML/schema/ifcmaterialresource/pset/pset_materialwood.htm" xr:uid="{5AD6431A-189A-4F8B-827D-25240FC24C3E}"/>
    <hyperlink ref="Q1008" r:id="rId2588" display="https://standards.buildingsmart.org/IFC/RELEASE/IFC4/ADD2_TC1/HTML/schema/ifcmaterialresource/pset/pset_materialenergy.htm" xr:uid="{89A8A323-376D-4E5D-8E45-80FBCD6B85CF}"/>
    <hyperlink ref="Q1238" r:id="rId2589" display="https://standards.buildingsmart.org/IFC/RELEASE/IFC4/ADD2_TC1/HTML/schema/ifcelectricaldomain/pset/pset_electricflowstoragedevicetypecommon.htm" xr:uid="{2AB79F3A-526D-4CE8-B3F3-AB043F889DE5}"/>
    <hyperlink ref="Q1237" r:id="rId2590" display="https://standards.buildingsmart.org/IFC/RELEASE/IFC4/ADD2_TC1/HTML/schema/ifcelectricaldomain/pset/pset_electricflowstoragedevicetypecommon.htm" xr:uid="{89E9EF23-A68B-44E4-88F7-9956BFDC5D26}"/>
    <hyperlink ref="Q192" r:id="rId2591" display="https://standards.buildingsmart.org/IFC/RELEASE/IFC4/ADD2_TC1/HTML/schema/ifcelectricaldomain/pset/pset_electricflowstoragedevicetypecommon.htm" xr:uid="{BC48071D-BDE1-40B8-80D8-85F8B6AE39AD}"/>
    <hyperlink ref="Q1551" r:id="rId2592" display="https://standards.buildingsmart.org/IFC/RELEASE/IFC4/ADD2_TC1/HTML/schema/ifcsharedfacilitieselements/pset/pset_manufacturertypeinformation.htm" xr:uid="{8B0A7E5F-A164-4A1F-9022-3F3537F5F5B6}"/>
    <hyperlink ref="Q898" r:id="rId2593" display="https://standards.buildingsmart.org/IFC/RELEASE/IFC4/ADD2_TC1/HTML/schema/ifcsharedfacilitieselements/pset/pset_manufacturertypeinformation.htm" xr:uid="{0E5B5371-F371-4E8D-829C-F004AB0D1E09}"/>
    <hyperlink ref="Q1226" r:id="rId2594" display="https://standards.buildingsmart.org/IFC/RELEASE/IFC4/ADD2_TC1/HTML/schema/ifcbuildingcontrolsdomain/pset/pset_unitarycontrolelementtypecommon.htm" xr:uid="{06207ED8-01D2-4CBC-BF62-7847B92C8341}"/>
    <hyperlink ref="Q1227" r:id="rId2595" display="https://standards.buildingsmart.org/IFC/RELEASE/IFC4/ADD2_TC1/HTML/schema/ifcbuildingcontrolsdomain/pset/pset_unitarycontrolelementphistory.htm" xr:uid="{CE23339D-AB29-4E4E-A581-0986A5D60E6E}"/>
    <hyperlink ref="Q494" r:id="rId2596" display="https://standards.buildingsmart.org/IFC/RELEASE/IFC4/ADD2_TC1/HTML/schema/ifchvacdomain/pset/pset_valvetypemixing.htm" xr:uid="{D55221B3-E4A6-4636-9318-177702F89804}"/>
    <hyperlink ref="Q1124" r:id="rId2597" display="https://standards.buildingsmart.org/IFC/RELEASE/IFC4/ADD2_TC1/HTML/schema/ifcsharedbldgserviceelements/pset/pset_distributionsystemtypeventilation.htm" xr:uid="{E6D9DD8E-178A-4557-ACEB-2B45DAC52985}"/>
    <hyperlink ref="Q1234" r:id="rId2598" display="https://standards.buildingsmart.org/IFC/RELEASE/IFC4/ADD2_TC1/HTML/schema/ifcprofileresource/pset/pset_profilemechanical.htm" xr:uid="{A3FA8126-2C7B-440D-B881-89FFA0BB5234}"/>
    <hyperlink ref="Q1233" r:id="rId2599" display="https://standards.buildingsmart.org/IFC/RELEASE/IFC4/ADD2_TC1/HTML/schema/ifcprofileresource/pset/pset_profilemechanical.htm" xr:uid="{3016698B-9C0B-40BB-808E-38F9F6A0BF2D}"/>
    <hyperlink ref="Q869" r:id="rId2600" display="https://standards.buildingsmart.org/IFC/RELEASE/IFC4/ADD2_TC1/HTML/schema/ifcprofileresource/pset/pset_profilemechanical.htm" xr:uid="{6FA5A1B9-F09D-4A4C-B601-F81CD912FF26}"/>
    <hyperlink ref="Q1544" r:id="rId2601" display="https://standards.buildingsmart.org/IFC/RELEASE/IFC4/ADD2_TC1/HTML/schema/ifchvacdomain/pset/pset_compressortypecommon.htm" xr:uid="{8DB0A5C4-9885-4758-B00B-FE913AA26DCF}"/>
    <hyperlink ref="Q48" r:id="rId2602" display="https://standards.buildingsmart.org/IFC/RELEASE/IFC4/ADD2_TC1/HTML/schema/ifcsharedbldgserviceelements/pset/pset_distributionsystemtypeventilation.htm" xr:uid="{968DD831-C330-4BBB-B5EB-DA4026FAAB35}"/>
    <hyperlink ref="Q1324" r:id="rId2603" display="https://standards.buildingsmart.org/IFC/RELEASE/IFC4/ADD2_TC1/HTML/schema/ifcproductextension/pset/pset_spaceoccupancyrequirements.htm" xr:uid="{06B055A8-7FAC-4D05-A6E8-63CBA7972BE4}"/>
    <hyperlink ref="Q406" r:id="rId2604" display="https://standards.buildingsmart.org/IFC/RELEASE/IFC4/ADD2_TC1/HTML/schema/ifcstructuralelementsdomain/pset/pset_precastconcreteelementgeneral.htm" xr:uid="{53DF83AD-1878-4709-B449-56ED8BAA4450}"/>
    <hyperlink ref="Q1107" r:id="rId2605" display="https://standards.buildingsmart.org/IFC/RELEASE/IFC4/ADD2_TC1/HTML/schema/ifcstructuralelementsdomain/pset/pset_reinforcingmeshcommon.htm" xr:uid="{AE64CB9D-62CA-42D2-98F6-068ACDFCD45B}"/>
    <hyperlink ref="Q387" r:id="rId2606" display="https://standards.buildingsmart.org/IFC/RELEASE/IFC4/ADD2_TC1/HTML/schema/ifcstructuralelementsdomain/pset/pset_reinforcingmeshcommon.htm" xr:uid="{A0E1AEF7-CF99-4CC0-B960-146C83722910}"/>
    <hyperlink ref="Q1311" r:id="rId2607" display="https://standards.buildingsmart.org/IFC/RELEASE/IFC4/ADD2_TC1/HTML/schema/ifcelectricaldomain/pset/pset_audiovisualappliancetypecommon.htm" xr:uid="{5844E048-6981-4A47-8D5C-F06F5A17C4F8}"/>
    <hyperlink ref="Q939" r:id="rId2608" display="https://standards.buildingsmart.org/IFC/RELEASE/IFC4/ADD2_TC1/HTML/schema/ifcelectricaldomain/pset/pset_audiovisualappliancephistory.htm" xr:uid="{07473CF1-7482-4CA7-B35F-6ECE4A04E555}"/>
    <hyperlink ref="Q116" r:id="rId2609" display="https://standards.buildingsmart.org/IFC/RELEASE/IFC4/ADD2_TC1/HTML/schema/ifchvacdomain/pset/pset_filtertypeairparticlefilter.htm" xr:uid="{C23E48C5-9144-4ED9-B790-444B0CF2B335}"/>
    <hyperlink ref="Q487" r:id="rId2610" display="https://standards.buildingsmart.org/IFC/RELEASE/IFC4/ADD2_TC1/HTML/schema/ifcelectricaldomain/pset/pset_audiovisualappliancephistory.htm" xr:uid="{9F780D5E-49DB-45DE-BECE-624946F9D358}"/>
    <hyperlink ref="Q2001" r:id="rId2611" display="https://standards.buildingsmart.org/IFC/RELEASE/IFC4/ADD2_TC1/HTML/schema/ifcproductextension/pset/pset_spacethermalrequirements.htm" xr:uid="{B74CAF24-82C0-4A24-B3FC-53259BC37C39}"/>
    <hyperlink ref="Q1306" r:id="rId2612" display="https://standards.buildingsmart.org/IFC/RELEASE/IFC4/ADD2_TC1/HTML/schema/ifcsharedbldgelements/pset/pset_shadingdevicecommon.htm" xr:uid="{17BB72FC-8323-42B9-83AC-62866014E744}"/>
    <hyperlink ref="Q300" r:id="rId2613" display="https://standards.buildingsmart.org/IFC/RELEASE/IFC4/ADD2_TC1/HTML/schema/ifcsharedbldgelements/pset/pset_windowcommon.htm" xr:uid="{BD72B18C-B7BD-45E8-8948-C031FA6B8825}"/>
    <hyperlink ref="Q301" r:id="rId2614" display="https://standards.buildingsmart.org/IFC/RELEASE/IFC4/ADD2_TC1/HTML/schema/ifcsharedbldgelements/pset/pset_doorcommon.htm" xr:uid="{F65A336F-4024-4C14-9C70-3D6435C7FD23}"/>
    <hyperlink ref="Q800" r:id="rId2615" display="https://standards.buildingsmart.org/IFC/RELEASE/IFC4/ADD2_TC1/HTML/schema/ifchvacdomain/pset/pset_pumpphistory.htm" xr:uid="{B1F0D816-9640-4118-9C79-EE020D786528}"/>
    <hyperlink ref="Q801" r:id="rId2616" display="https://standards.buildingsmart.org/IFC/RELEASE/IFC4/ADD2_TC1/HTML/schema/ifchvacdomain/pset/pset_compressorphistory.htm" xr:uid="{67F68D25-5776-41E6-A56A-2346B92711D2}"/>
    <hyperlink ref="Q1525" r:id="rId2617" display="https://standards.buildingsmart.org/IFC/RELEASE/IFC4/ADD2_TC1/HTML/schema/ifchvacdomain/pset/pset_valvephistory.htm" xr:uid="{B383158F-4442-44B2-876E-DFF07EBCFA37}"/>
    <hyperlink ref="Q2404" r:id="rId2618" display="https://standards.buildingsmart.org/IFC/RELEASE/IFC4/ADD2_TC1/HTML/schema/ifchvacdomain/pset/pset_valvephistory.htm" xr:uid="{DB002FE6-32F6-488B-885D-E3B105C454C7}"/>
    <hyperlink ref="Q2116" r:id="rId2619" display="https://standards.buildingsmart.org/IFC/RELEASE/IFC4/ADD2_TC1/HTML/schema/ifcsharedfacilitieselements/pset/pset_servicelife.htm" xr:uid="{107C10EC-5A2C-422D-9F1A-179D0D166CA5}"/>
    <hyperlink ref="Q1421" r:id="rId2620" display="https://standards.buildingsmart.org/IFC/RELEASE/IFC4/ADD2_TC1/HTML/schema/ifcplumbingfireprotectiondomain/pset/pset_firesuppressionterminaltypesprinkler.htm" xr:uid="{CB6B78D0-090A-4D72-85F4-DCE80E49A8C9}"/>
    <hyperlink ref="Q1420" r:id="rId2621" display="https://standards.buildingsmart.org/IFC/RELEASE/IFC4/ADD2_TC1/HTML/schema/ifchvacdomain/pset/pset_dampertypecommon.htm" xr:uid="{CCCA1C6B-A367-4F56-B7C9-776841331F1F}"/>
    <hyperlink ref="Q2423" r:id="rId2622" display="https://standards.buildingsmart.org/IFC/RELEASE/IFC4/ADD2_TC1/HTML/schema/ifcsharedbldgserviceelements/pset/pset_distributionsystemtypeventilation.htm" xr:uid="{91D65E0B-9A90-4341-90BB-9786C198F255}"/>
    <hyperlink ref="Q1352" r:id="rId2623" display="https://standards.buildingsmart.org/IFC/RELEASE/IFC4/ADD2_TC1/HTML/schema/ifchvacdomain/pset/pset_vibrationisolatortypecommon.htm" xr:uid="{CA60BB29-293F-4F69-9FC8-E2F04DCC037E}"/>
    <hyperlink ref="Q219" r:id="rId2624" display="https://standards.buildingsmart.org/IFC/RELEASE/IFC4/ADD2_TC1/HTML/schema/ifcelectricaldomain/pset/pset_lightfixturetypecommon.htm" xr:uid="{F59D6885-599B-4543-A328-0F0A7080D310}"/>
    <hyperlink ref="Q2082" r:id="rId2625" display="https://standards.buildingsmart.org/IFC/RELEASE/IFC4/ADD2_TC1/HTML/schema/ifcelectricaldomain/pset/pset_cablesegmenttypecablesegment.htm" xr:uid="{51960689-F20A-4276-A413-FF6F2E90ECD8}"/>
    <hyperlink ref="Q1232" r:id="rId2626" display="https://standards.buildingsmart.org/IFC/RELEASE/IFC4/ADD2_TC1/HTML/schema/ifcprofileresource/pset/pset_profilemechanical.htm" xr:uid="{E78656D4-06C2-4B77-B360-886C3BCAFED4}"/>
    <hyperlink ref="Q1231" r:id="rId2627" display="https://standards.buildingsmart.org/IFC/RELEASE/IFC4/ADD2_TC1/HTML/schema/ifcprofileresource/pset/pset_profilemechanical.htm" xr:uid="{BD0A4A32-7F51-468C-8E10-894F1D7D1EAD}"/>
    <hyperlink ref="Q1337" r:id="rId2628" display="https://standards.buildingsmart.org/IFC/RELEASE/IFC4/ADD2_TC1/HTML/schema/ifchvacdomain/pset/pset_flowmetertypewatermeter.htm" xr:uid="{4A6AB892-D933-4FD3-9D04-06730EDE6777}"/>
    <hyperlink ref="Q1338" r:id="rId2629" display="https://standards.buildingsmart.org/IFC/RELEASE/IFC4/ADD2_TC1/HTML/schema/ifchvacdomain/pset/pset_flowmetertypegasmeter.htm" xr:uid="{1140A212-66BD-4779-BE48-ACFB12F051B9}"/>
    <hyperlink ref="Q1392" r:id="rId2630" display="https://standards.buildingsmart.org/IFC/RELEASE/IFC4/ADD2_TC1/HTML/schema/ifcelectricaldomain/pset/pset_electricmotortypecommon.htm" xr:uid="{1C1BE8EC-CE36-4F23-82B1-3E87FE38C032}"/>
    <hyperlink ref="Q1391" r:id="rId2631" display="https://standards.buildingsmart.org/IFC/RELEASE/IFC4/ADD2_TC1/HTML/schema/ifcelectricaldomain/pset/pset_electricgeneratortypecommon.htm" xr:uid="{DAAD859B-6648-41E8-AFFB-4E49DB4CBBEA}"/>
    <hyperlink ref="Q220" r:id="rId2632" display="https://standards.buildingsmart.org/IFC/RELEASE/IFC4/ADD2_TC1/HTML/schema/ifcelectricaldomain/pset/pset_lightfixturetypecommon.htm" xr:uid="{E706B51A-6973-4837-8B40-512C64B04261}"/>
    <hyperlink ref="Q868" r:id="rId2633" display="https://standards.buildingsmart.org/IFC/RELEASE/IFC4/ADD2_TC1/HTML/schema/ifcprofileresource/pset/pset_profilemechanical.htm" xr:uid="{18CD79DC-4359-4968-B690-D5E4FD9A3C99}"/>
    <hyperlink ref="Q1543" r:id="rId2634" display="https://standards.buildingsmart.org/IFC/RELEASE/IFC4/ADD2_TC1/HTML/schema/ifchvacdomain/pset/pset_compressortypecommon.htm" xr:uid="{875EF718-E678-4C1A-9EB3-18432DAA4B04}"/>
    <hyperlink ref="Q1419" r:id="rId2635" display="https://standards.buildingsmart.org/IFC/RELEASE/IFC4/ADD2_TC1/HTML/schema/ifchvacdomain/pset/pset_boilertypesteam.htm" xr:uid="{D1F805AA-6BA3-402A-949C-520F66660EA0}"/>
    <hyperlink ref="Q2083" r:id="rId2636" display="https://standards.buildingsmart.org/IFC/RELEASE/IFC4/ADD2_TC1/HTML/schema/ifcelectricaldomain/pset/pset_cablesegmenttypecablesegment.htm" xr:uid="{D9E08238-D258-497B-A809-37F35A8BB4E4}"/>
    <hyperlink ref="Q2401" r:id="rId2637" display="https://standards.buildingsmart.org/IFC/RELEASE/IFC4/ADD2_TC1/HTML/schema/ifchvacdomain/pset/pset_flowmetertypewatermeter.htm" xr:uid="{F85E2EDC-2335-4CEF-A21D-0410F5C9AA62}"/>
    <hyperlink ref="Q2403" r:id="rId2638" display="https://standards.buildingsmart.org/IFC/RELEASE/IFC4/ADD2_TC1/HTML/schema/ifchvacdomain/pset/pset_flowmetertypeoilmeter.htm" xr:uid="{0DE200CD-4DE7-4B08-B3D8-35B45832DAFB}"/>
    <hyperlink ref="Q2402" r:id="rId2639" display="https://standards.buildingsmart.org/IFC/RELEASE/IFC4/ADD2_TC1/HTML/schema/ifchvacdomain/pset/pset_flowmetertypegasmeter.htm" xr:uid="{D7DC88B9-C8B6-411F-A085-EC7716799544}"/>
    <hyperlink ref="Q521" r:id="rId2640" display="https://standards.buildingsmart.org/IFC/RELEASE/IFC4/ADD2_TC1/HTML/schema/ifchvacdomain/pset/pset_flowmetertypeenergymeter.htm" xr:uid="{0CC4DF31-8610-4F1B-B61B-FCE46A08E6B9}"/>
    <hyperlink ref="Q405" r:id="rId2641" display="https://standards.buildingsmart.org/IFC/RELEASE/IFC4/ADD2_TC1/HTML/schema/ifcelectricaldomain/pset/pset_cablesegmentoccurrence.htm" xr:uid="{AA4C545B-1AF9-4F2C-BB31-781655BCB458}"/>
    <hyperlink ref="Q1383" r:id="rId2642" display="https://standards.buildingsmart.org/IFC/RELEASE/IFC4/ADD2_TC1/HTML/schema/ifcelectricaldomain/pset/pset_transformertypecommon.htm" xr:uid="{071ACCB7-3D33-48B4-8814-D01B7C6B7C5F}"/>
    <hyperlink ref="Q1528" r:id="rId2643" display="https://standards.buildingsmart.org/IFC/RELEASE/IFC4/ADD2_TC1/HTML/schema/ifcsharedbldgserviceelements/pset/pset_distributionsystemtypeelectrical.htm" xr:uid="{F0A92636-708D-4967-8B10-2AB6E709E88D}"/>
    <hyperlink ref="Q2400" r:id="rId2644" display="https://standards.buildingsmart.org/IFC/RELEASE/IFC4/ADD2_TC1/HTML/schema/ifchvacdomain/pset/pset_dampertypecommon.htm" xr:uid="{CF886EF8-1EAF-43EA-94B4-BE186E9E660D}"/>
    <hyperlink ref="Q1927" r:id="rId2645" display="https://standards.buildingsmart.org/IFC/RELEASE/IFC4/ADD2_TC1/HTML/schema/ifcmaterialresource/pset/pset_materialconcrete.htm" xr:uid="{E52CC485-E0B4-43FE-877B-3169BB555C42}"/>
    <hyperlink ref="Q201" r:id="rId2646" display="https://standards.buildingsmart.org/IFC/RELEASE/IFC4/ADD2_TC1/HTML/schema/ifcelectricaldomain/pset/pset_protectivedevicetrippingfunctionicurve.htm" xr:uid="{0B631D2C-5F9D-4AD4-9D40-516DFE6C7CD0}"/>
    <hyperlink ref="Q1194" r:id="rId2647" display="https://standards.buildingsmart.org/IFC/RELEASE/IFC4/ADD2_TC1/HTML/schema/ifcelectricaldomain/pset/pset_cablesegmenttypeconductorsegment.htm" xr:uid="{7763EF0B-86B8-40DC-9715-0B3D3CCCB2E4}"/>
    <hyperlink ref="Q1177" r:id="rId2648" display="https://standards.buildingsmart.org/IFC/RELEASE/IFC4/ADD2_TC1/HTML/schema/ifcprofileresource/pset/pset_profilemechanical.htm" xr:uid="{31051983-AAC6-434B-85C2-55E222920903}"/>
    <hyperlink ref="Q2398" r:id="rId2649" display="https://standards.buildingsmart.org/IFC/RELEASE/IFC4/ADD2_TC1/HTML/schema/ifcsharedbldgserviceelements/pset/pset_distributionportphistoryduct.htm" xr:uid="{3435103F-2F85-4CC6-BE33-E9268C2D4067}"/>
    <hyperlink ref="Q2397" r:id="rId2650" display="https://standards.buildingsmart.org/IFC/RELEASE/IFC4/ADD2_TC1/HTML/schema/ifcsharedbldgserviceelements/pset/pset_distributionporttypepipe.htm" xr:uid="{F14DD993-8F8E-4FAE-AD83-3E2E890D74BE}"/>
    <hyperlink ref="Q609" r:id="rId2651" display="https://standards.buildingsmart.org/IFC/RELEASE/IFC4/ADD2_TC1/HTML/schema/ifcmaterialresource/pset/pset_materialcommon.htm" xr:uid="{4BA8EB69-9EA9-419C-B7BB-101031B438A6}"/>
    <hyperlink ref="Q1876" r:id="rId2652" display="https://standards.buildingsmart.org/IFC/RELEASE/IFC4/ADD2_TC1/HTML/schema/ifcproductextension/pset/pset_buildinguseadjacent.htm" xr:uid="{D651A93A-CBD0-4BCF-9A14-A17733757AD3}"/>
    <hyperlink ref="Q1877" r:id="rId2653" display="https://standards.buildingsmart.org/IFC/RELEASE/IFC4/ADD2_TC1/HTML/schema/ifcproductextension/pset/pset_buildinguse.htm" xr:uid="{78C268A0-C3AE-4490-B7C4-73C79AF8C782}"/>
    <hyperlink ref="Q1878" r:id="rId2654" display="https://standards.buildingsmart.org/IFC/RELEASE/IFC4/ADD2_TC1/HTML/schema/ifcproductextension/pset/pset_buildinguse.htm" xr:uid="{C37F324D-7235-4CFF-821B-C4C31127018E}"/>
    <hyperlink ref="Q1879" r:id="rId2655" display="https://standards.buildingsmart.org/IFC/RELEASE/IFC4/ADD2_TC1/HTML/schema/ifcproductextension/pset/pset_buildinguse.htm" xr:uid="{AA0D694B-8A48-4252-8282-96052E8C790B}"/>
    <hyperlink ref="Q242" r:id="rId2656" display="https://standards.buildingsmart.org/IFC/RELEASE/IFC4/ADD2_TC1/HTML/schema/ifcproductextension/pset/pset_buildinguseadjacent.htm" xr:uid="{D5E711D5-6AD6-4E8C-A5F4-719B24D8755F}"/>
    <hyperlink ref="Q243" r:id="rId2657" display="https://standards.buildingsmart.org/IFC/RELEASE/IFC4/ADD2_TC1/HTML/schema/ifcproductextension/pset/pset_buildinguse.htm" xr:uid="{68D40B04-C9AD-40B5-9225-4D2EE04E7490}"/>
    <hyperlink ref="Q280" r:id="rId2658" display="https://standards.buildingsmart.org/IFC/RELEASE/IFC4/ADD2_TC1/HTML/schema/ifcstructuralelementsdomain/pset/pset_precastconcreteelementgeneral.htm" xr:uid="{663CCF0A-2641-43D2-ABDE-0D937901D58C}"/>
    <hyperlink ref="Q904" r:id="rId2659" display="https://standards.buildingsmart.org/IFC/RELEASE/IFC4/ADD2_TC1/HTML/schema/ifcsharedfacilitieselements/pset/pset_manufacturertypeinformation.htm" xr:uid="{48F0FAFB-7E89-47C6-943C-1D0C6C53667E}"/>
    <hyperlink ref="Q1883" r:id="rId2660" display="https://standards.buildingsmart.org/IFC/RELEASE/IFC4/ADD2_TC1/HTML/schema/ifcbuildingcontrolsdomain/pset/pset_actuatortypecommon.htm" xr:uid="{F14D314B-7CA4-4469-B101-382328FC95F7}"/>
    <hyperlink ref="Q1265" r:id="rId2661" display="https://standards.buildingsmart.org/IFC/RELEASE/IFC4/ADD2_TC1/HTML/schema/ifcsharedfacilitieselements/pset/pset_servicelifefactors.htm" xr:uid="{D9F42A24-999D-42B0-B185-428CA58BD9E0}"/>
    <hyperlink ref="Q916" r:id="rId2662" display="https://standards.buildingsmart.org/IFC/RELEASE/IFC4/ADD2_TC1/HTML/schema/ifcelectricaldomain/pset/pset_lightfixturetypecommon.htm" xr:uid="{6E66B1D3-0401-4F3D-8C09-F33048707035}"/>
    <hyperlink ref="Q2224" r:id="rId2663" display="https://standards.buildingsmart.org/IFC/RELEASE/IFC4/ADD2_TC1/HTML/schema/ifcsharedmgmtelements/pset/pset_projectordermaintenanceworkorder.htm" xr:uid="{D3B3EA85-39E6-43D5-B4EA-0A7643CE6AB7}"/>
    <hyperlink ref="Q503" r:id="rId2664" display="https://standards.buildingsmart.org/IFC/RELEASE/IFC4/ADD2_TC1/HTML/schema/ifcsharedfacilitieselements/pset/pset_furnituretypecommon.htm" xr:uid="{325F0DFC-14E7-4E91-8445-D1D0E4CD6AA7}"/>
    <hyperlink ref="Q996" r:id="rId2665" display="https://standards.buildingsmart.org/IFC/RELEASE/IFC4/ADD2_TC1/HTML/schema/ifchvacdomain/pset/pset_compressorphistory.htm" xr:uid="{9CFF603E-3069-47CC-B471-9A8A9913C670}"/>
    <hyperlink ref="Q1206" r:id="rId2666" display="https://standards.buildingsmart.org/IFC/RELEASE/IFC4/ADD2_TC1/HTML/schema/ifcsharedfacilitieselements/pset/pset_furnituretypechair.htm" xr:uid="{E66FEBC5-E769-4B69-9E04-C002B6A3B29C}"/>
    <hyperlink ref="Q921" r:id="rId2667" display="https://standards.buildingsmart.org/IFC/RELEASE/IFC4/ADD2_TC1/HTML/schema/ifcmaterialresource/pset/pset_materialhygroscopic.htm" xr:uid="{A80789FA-E618-41A9-A9D1-0A82726CC047}"/>
    <hyperlink ref="Q2113" r:id="rId2668" display="https://standards.buildingsmart.org/IFC/RELEASE/IFC4/ADD2_TC1/HTML/schema/ifcelectricaldomain/pset/pset_protectivedevicetrippingfunctionlcurve.htm" xr:uid="{825F47B1-DEEC-447B-8594-39CF94C1B547}"/>
    <hyperlink ref="Q2112" r:id="rId2669" display="https://standards.buildingsmart.org/IFC/RELEASE/IFC4/ADD2_TC1/HTML/schema/ifcelectricaldomain/pset/pset_protectivedevicetrippingfunctionlcurve.htm" xr:uid="{AB1EBB29-9DBA-4892-95AB-A1E09682B8AF}"/>
    <hyperlink ref="Q1207" r:id="rId2670" display="https://standards.buildingsmart.org/IFC/RELEASE/IFC4/ADD2_TC1/HTML/schema/ifcmaterialresource/pset/pset_materialfuel.htm" xr:uid="{4C2A5954-C53D-4394-8A81-C412D2B1D43A}"/>
    <hyperlink ref="Q520" r:id="rId2671" display="https://standards.buildingsmart.org/IFC/RELEASE/IFC4/ADD2_TC1/HTML/schema/ifcelectricaldomain/pset/pset_protectivedevicetrippingfunctionlcurve.htm" xr:uid="{E77FCE52-A2FF-4ABF-BBC0-FC0B616BDC41}"/>
    <hyperlink ref="Q519" r:id="rId2672" display="https://standards.buildingsmart.org/IFC/RELEASE/IFC4/ADD2_TC1/HTML/schema/ifcelectricaldomain/pset/pset_protectivedevicetrippingfunctionlcurve.htm" xr:uid="{5799E862-0BEC-496E-AD6A-C4B9826CB9FB}"/>
    <hyperlink ref="Q356" r:id="rId2673" display="https://standards.buildingsmart.org/IFC/RELEASE/IFC4/ADD2_TC1/HTML/schema/ifchvacdomain/pset/pset_pipefittingphistory.htm" xr:uid="{4D59EF6D-C893-46C2-AB80-4F86DF29167E}"/>
    <hyperlink ref="Q357" r:id="rId2674" display="https://standards.buildingsmart.org/IFC/RELEASE/IFC4/ADD2_TC1/HTML/schema/ifchvacdomain/pset/pset_ductsegmentphistory.htm" xr:uid="{6C0A617E-7039-4491-8945-E3FC5DC228CA}"/>
    <hyperlink ref="Q355" r:id="rId2675" display="https://standards.buildingsmart.org/IFC/RELEASE/IFC4/ADD2_TC1/HTML/schema/ifchvacdomain/pset/pset_ductfittingphistory.htm" xr:uid="{E31B5CAD-1795-42D6-AD3B-AFFF5BEC741C}"/>
    <hyperlink ref="Q547" r:id="rId2676" display="https://standards.buildingsmart.org/IFC/RELEASE/IFC4/ADD2_TC1/HTML/schema/ifchvacdomain/pset/pset_dampertypecommon.htm" xr:uid="{8412E3E8-F144-4CA8-841A-43D759D50752}"/>
    <hyperlink ref="Q992" r:id="rId2677" display="https://standards.buildingsmart.org/IFC/RELEASE/IFC4/ADD2_TC1/HTML/schema/ifcelectricaldomain/pset/pset_protectivedeviceoccurrence.htm" xr:uid="{37BE1B43-9CB1-4CFD-AC6E-974B58FCF7A0}"/>
    <hyperlink ref="Q142" r:id="rId2678" display="https://standards.buildingsmart.org/IFC/RELEASE/IFC4/ADD2_TC1/HTML/schema/ifcelectricaldomain/pset/pset_protectivedeviceoccurrence.htm" xr:uid="{06FABA76-5DD9-4065-AE32-58D40A252E9C}"/>
    <hyperlink ref="Q2363" r:id="rId2679" display="https://standards.buildingsmart.org/IFC/RELEASE/IFC4/ADD2_TC1/HTML/schema/ifcelectricaldomain/pset/pset_protectivedeviceoccurrence.htm" xr:uid="{48432747-FE74-4B27-8D93-E933D05886CE}"/>
    <hyperlink ref="Q160" r:id="rId2680" display="https://standards.buildingsmart.org/IFC/RELEASE/IFC4/ADD2_TC1/HTML/schema/ifcstructuralelementsdomain/pset/pset_reinforcementbarpitchofslab.htm" xr:uid="{F5334F77-90DF-4C94-A4F2-3C73772E07A4}"/>
    <hyperlink ref="Q154" r:id="rId2681" display="https://standards.buildingsmart.org/IFC/RELEASE/IFC4/ADD2_TC1/HTML/schema/ifcstructuralelementsdomain/pset/pset_reinforcementbarpitchofslab.htm" xr:uid="{6FBB3A33-2993-426F-B038-456A2C140304}"/>
    <hyperlink ref="Q542" r:id="rId2682" display="https://standards.buildingsmart.org/IFC/RELEASE/IFC4/ADD2_TC1/HTML/schema/ifchvacdomain/pset/pset_ductsegmenttypecommon.htm" xr:uid="{526AF95D-D94A-4C2B-904C-0D2F9DEE1791}"/>
    <hyperlink ref="Q6" r:id="rId2683" display="https://standards.buildingsmart.org/IFC/RELEASE/IFC4/ADD2_TC1/HTML/schema/ifcstructuralelementsdomain/pset/pset_reinforcingmeshcommon.htm" xr:uid="{0AF70169-9011-4F04-A999-40185BE1C490}"/>
    <hyperlink ref="Q837" r:id="rId2684" display="https://standards.buildingsmart.org/IFC/RELEASE/IFC4/ADD2_TC1/HTML/schema/ifcstructuralelementsdomain/pset/pset_reinforcingmeshcommon.htm" xr:uid="{EFB33D7B-7BBC-402E-BFDF-7BD057A56896}"/>
    <hyperlink ref="Q668" r:id="rId2685" display="https://standards.buildingsmart.org/IFC/RELEASE/IFC4/ADD2_TC1/HTML/schema/ifcstructuralelementsdomain/pset/pset_reinforcingmeshcommon.htm" xr:uid="{0C7C06B2-D15D-4856-B27C-60850250DB95}"/>
    <hyperlink ref="Q161" r:id="rId2686" display="https://standards.buildingsmart.org/IFC/RELEASE/IFC4/ADD2_TC1/HTML/schema/ifcstructuralelementsdomain/pset/pset_reinforcementbarpitchofslab.htm" xr:uid="{FA83134D-89EB-469C-AAB5-C322A7798530}"/>
    <hyperlink ref="Q155" r:id="rId2687" display="https://standards.buildingsmart.org/IFC/RELEASE/IFC4/ADD2_TC1/HTML/schema/ifcstructuralelementsdomain/pset/pset_reinforcementbarpitchofslab.htm" xr:uid="{236E97A5-EF31-4FF9-AC3C-92F5D118D313}"/>
    <hyperlink ref="Q159" r:id="rId2688" display="https://standards.buildingsmart.org/IFC/RELEASE/IFC4/ADD2_TC1/HTML/schema/ifcstructuralelementsdomain/pset/pset_reinforcementbarpitchofslab.htm" xr:uid="{729588BA-BBA3-436D-B016-DB0823F5F846}"/>
    <hyperlink ref="Q153" r:id="rId2689" display="https://standards.buildingsmart.org/IFC/RELEASE/IFC4/ADD2_TC1/HTML/schema/ifcstructuralelementsdomain/pset/pset_reinforcementbarpitchofslab.htm" xr:uid="{6F84D807-DCAA-492E-8884-0D9619DDC010}"/>
    <hyperlink ref="Q685" r:id="rId2690" display="https://standards.buildingsmart.org/IFC/RELEASE/IFC4/ADD2_TC1/HTML/schema/ifchvacdomain/pset/pset_evaporatorphistory.htm" xr:uid="{C010C530-619D-4493-A6EA-20BB47441CEA}"/>
    <hyperlink ref="Q684" r:id="rId2691" display="https://standards.buildingsmart.org/IFC/RELEASE/IFC4/ADD2_TC1/HTML/schema/ifchvacdomain/pset/pset_condenserphistory.htm" xr:uid="{542C6172-7785-468A-ABCE-A93F2E6E7971}"/>
    <hyperlink ref="Q513" r:id="rId2692" display="https://standards.buildingsmart.org/IFC/RELEASE/IFC4/ADD2_TC1/HTML/schema/ifcelectricaldomain/pset/pset_electricmotortypecommon.htm" xr:uid="{C0C24A38-8452-45A7-B1C2-54A04546A95F}"/>
    <hyperlink ref="Q2243" r:id="rId2693" display="https://standards.buildingsmart.org/IFC/RELEASE/IFC4/ADD2_TC1/HTML/schema/ifcsharedmgmtelements/pset/pset_projectordermaintenanceworkorder.htm" xr:uid="{9273BEC0-9E61-4668-8EB9-46ECD7E9EA7F}"/>
    <hyperlink ref="Q1169" r:id="rId2694" display="https://standards.buildingsmart.org/IFC/RELEASE/IFC4/ADD2_TC1/HTML/schema/ifcstructuralanalysisdomain/pset/pset_structuralsurfacemembervaryingthickness.htm" xr:uid="{7A6053C5-77CC-46F4-BF7E-9335AB60079A}"/>
    <hyperlink ref="Q1166" r:id="rId2695" display="https://standards.buildingsmart.org/IFC/RELEASE/IFC4/ADD2_TC1/HTML/schema/ifcstructuralanalysisdomain/pset/pset_structuralsurfacemembervaryingthickness.htm" xr:uid="{51AB9D3E-A193-4650-9DF0-CE2D715E8CE9}"/>
    <hyperlink ref="Q1168" r:id="rId2696" display="https://standards.buildingsmart.org/IFC/RELEASE/IFC4/ADD2_TC1/HTML/schema/ifcstructuralanalysisdomain/pset/pset_structuralsurfacemembervaryingthickness.htm" xr:uid="{88356302-522B-40A3-9A8C-7196A14666BD}"/>
    <hyperlink ref="Q1165" r:id="rId2697" display="https://standards.buildingsmart.org/IFC/RELEASE/IFC4/ADD2_TC1/HTML/schema/ifcstructuralanalysisdomain/pset/pset_structuralsurfacemembervaryingthickness.htm" xr:uid="{2F191940-3385-430A-9A44-682373218994}"/>
    <hyperlink ref="Q1167" r:id="rId2698" display="https://standards.buildingsmart.org/IFC/RELEASE/IFC4/ADD2_TC1/HTML/schema/ifcstructuralanalysisdomain/pset/pset_structuralsurfacemembervaryingthickness.htm" xr:uid="{81F39B02-4CF0-4209-84E4-755BF845E2BA}"/>
    <hyperlink ref="Q1164" r:id="rId2699" display="https://standards.buildingsmart.org/IFC/RELEASE/IFC4/ADD2_TC1/HTML/schema/ifcstructuralanalysisdomain/pset/pset_structuralsurfacemembervaryingthickness.htm" xr:uid="{EC324239-DD42-4717-91A8-02E8DADF94CA}"/>
    <hyperlink ref="Q1170" r:id="rId2700" display="https://standards.buildingsmart.org/IFC/RELEASE/IFC4/ADD2_TC1/HTML/schema/ifchvacdomain/pset/pset_airterminaloccurrence.htm" xr:uid="{1F1134F1-84D3-46C8-B54A-3F7DADADEB72}"/>
    <hyperlink ref="Q923" r:id="rId2701" display="https://standards.buildingsmart.org/IFC/RELEASE/IFC4/ADD2_TC1/HTML/schema/ifcsharedbldgserviceelements/pset/pset_thermalloadaggregate.htm" xr:uid="{10510367-3482-4193-A013-E9246FE77490}"/>
    <hyperlink ref="Q924" r:id="rId2702" display="https://standards.buildingsmart.org/IFC/RELEASE/IFC4/ADD2_TC1/HTML/schema/ifcsharedbldgserviceelements/pset/pset_airsidesysteminformation.htm" xr:uid="{6104AC54-466A-48EB-8C29-23AAF783D6FC}"/>
    <hyperlink ref="Q2194" r:id="rId2703" display="https://standards.buildingsmart.org/IFC/RELEASE/IFC4/ADD2_TC1/HTML/schema/ifcelectricaldomain/pset/pset_switchingdevicetypeswitchdisconnector.htm" xr:uid="{D629DB2C-1A20-42E1-9BCB-3D0A4D57700F}"/>
    <hyperlink ref="Q189" r:id="rId2704" display="https://standards.buildingsmart.org/IFC/RELEASE/IFC4/ADD2_TC1/HTML/schema/ifcproductextension/pset/pset_buildingstoreycommon.htm" xr:uid="{C327D7EA-E2B2-4C73-B0C8-99CD00D94F04}"/>
    <hyperlink ref="Q223" r:id="rId2705" display="https://standards.buildingsmart.org/IFC/RELEASE/IFC4/ADD2_TC1/HTML/schema/ifcsharedbldgelements/pset/pset_staircommon.htm" xr:uid="{CB91C3DB-AD97-4EF1-8484-DC5490B1014B}"/>
    <hyperlink ref="Q232" r:id="rId2706" display="https://standards.buildingsmart.org/IFC/RELEASE/IFC4/ADD2_TC1/HTML/schema/ifcsharedbldgelements/pset/pset_roofcommon.htm" xr:uid="{B67F80EE-657C-40E6-BCD8-2948B5CF05DB}"/>
    <hyperlink ref="Q230" r:id="rId2707" display="https://standards.buildingsmart.org/IFC/RELEASE/IFC4/ADD2_TC1/HTML/schema/ifcsharedbldgelements/pset/pset_rampcommon.htm" xr:uid="{5F854B03-6B32-4D93-9E61-865D2E172CA1}"/>
    <hyperlink ref="Q227" r:id="rId2708" display="https://standards.buildingsmart.org/IFC/RELEASE/IFC4/ADD2_TC1/HTML/schema/ifcsharedbldgelements/pset/pset_wallcommon.htm" xr:uid="{6AD430C2-5BBD-4FD3-97DF-3BB7770C8678}"/>
    <hyperlink ref="Q231" r:id="rId2709" display="https://standards.buildingsmart.org/IFC/RELEASE/IFC4/ADD2_TC1/HTML/schema/ifcsharedbldgelements/pset/pset_slabcommon.htm" xr:uid="{D198A684-E722-4AB3-8506-B22EB48ADA54}"/>
    <hyperlink ref="Q228" r:id="rId2710" display="https://standards.buildingsmart.org/IFC/RELEASE/IFC4/ADD2_TC1/HTML/schema/ifcsharedbldgelements/pset/pset_platecommon.htm" xr:uid="{551BC4E4-3285-4094-95DD-CF51C33D27D0}"/>
    <hyperlink ref="Q224" r:id="rId2711" display="https://standards.buildingsmart.org/IFC/RELEASE/IFC4/ADD2_TC1/HTML/schema/ifcstructuralelementsdomain/pset/pset_pilecommon.htm" xr:uid="{D6347384-2DC9-4AD8-9BE5-768607162A0E}"/>
    <hyperlink ref="Q226" r:id="rId2712" display="https://standards.buildingsmart.org/IFC/RELEASE/IFC4/ADD2_TC1/HTML/schema/ifcsharedbldgelements/pset/pset_membercommon.htm" xr:uid="{4F595415-B83B-4204-9DF3-9B0633B48C0A}"/>
    <hyperlink ref="Q225" r:id="rId2713" display="https://standards.buildingsmart.org/IFC/RELEASE/IFC4/ADD2_TC1/HTML/schema/ifcstructuralelementsdomain/pset/pset_footingcommon.htm" xr:uid="{362FE792-EE7D-4E4A-911C-750D58724D2F}"/>
    <hyperlink ref="Q222" r:id="rId2714" display="https://standards.buildingsmart.org/IFC/RELEASE/IFC4/ADD2_TC1/HTML/schema/ifcsharedbldgelements/pset/pset_columncommon.htm" xr:uid="{C18B9D72-7FD4-4CB2-80B7-F5718ABEFA72}"/>
    <hyperlink ref="Q221" r:id="rId2715" display="https://standards.buildingsmart.org/IFC/RELEASE/IFC4/ADD2_TC1/HTML/schema/ifcsharedbldgelements/pset/pset_chimneycommon.htm" xr:uid="{32D2009F-D60D-46E9-947B-28F2AA3009F5}"/>
    <hyperlink ref="Q229" r:id="rId2716" display="https://standards.buildingsmart.org/IFC/RELEASE/IFC4/ADD2_TC1/HTML/schema/ifcsharedbldgelements/pset/pset_buildingelementproxycommon.htm" xr:uid="{4E61BF25-BAE9-4BB4-87EA-A3BE43A94789}"/>
    <hyperlink ref="Q233" r:id="rId2717" display="https://standards.buildingsmart.org/IFC/RELEASE/IFC4/ADD2_TC1/HTML/schema/ifcsharedbldgelements/pset/pset_beamcommon.htm" xr:uid="{70163045-52FC-44B3-BB92-CC85019895DD}"/>
    <hyperlink ref="Q241" r:id="rId2718" display="https://standards.buildingsmart.org/IFC/RELEASE/IFC4/ADD2_TC1/HTML/schema/ifchvacdomain/pset/pset_boilerphistory.htm" xr:uid="{450B0848-4BEF-43D5-93C7-1876C9889A6F}"/>
    <hyperlink ref="Q1151" r:id="rId2719" display="https://standards.buildingsmart.org/IFC/RELEASE/IFC4/ADD2_TC1/HTML/schema/ifcelectricaldomain/pset/pset_protectivedevicetrippingunittypecommon.htm" xr:uid="{EE1361BF-389C-41FF-9744-22F67EF80805}"/>
    <hyperlink ref="Q216" r:id="rId2720" display="https://standards.buildingsmart.org/IFC/RELEASE/IFC4/ADD2_TC1/HTML/schema/ifcsharedbldgserviceelements/pset/pset_thermalloaddesigncriteria.htm" xr:uid="{646A1498-E2C2-4672-AD61-8D59DAA5E784}"/>
    <hyperlink ref="Q1070" r:id="rId2721" display="https://standards.buildingsmart.org/IFC/RELEASE/IFC4/ADD2_TC1/HTML/schema/ifcsharedbldgserviceelements/pset/pset_thermalloaddesigncriteria.htm" xr:uid="{8974E4D3-12BB-4137-8F72-33121DA42F9A}"/>
    <hyperlink ref="Q702" r:id="rId2722" display="https://standards.buildingsmart.org/IFC/RELEASE/IFC4/ADD2_TC1/HTML/schema/ifcsharedbldgserviceelements/pset/pset_thermalloadaggregate.htm" xr:uid="{7797CD46-40BC-4FB0-96FF-AC6AEA0D3718}"/>
    <hyperlink ref="Q704" r:id="rId2723" display="https://standards.buildingsmart.org/IFC/RELEASE/IFC4/ADD2_TC1/HTML/schema/ifcsharedbldgserviceelements/pset/pset_airsidesysteminformation.htm" xr:uid="{092FBE8B-E5E8-4AE6-9398-A530104223C5}"/>
    <hyperlink ref="Q1029" r:id="rId2724" display="https://standards.buildingsmart.org/IFC/RELEASE/IFC4/ADD2_TC1/HTML/schema/ifcsharedbldgserviceelements/pset/pset_spacethermalloadphistory.htm" xr:uid="{8CD12E3C-6E5A-486B-A68A-46DDC0CB446E}"/>
    <hyperlink ref="Q1028" r:id="rId2725" display="https://standards.buildingsmart.org/IFC/RELEASE/IFC4/ADD2_TC1/HTML/schema/ifcsharedbldgserviceelements/pset/pset_spacethermalload.htm" xr:uid="{162074B4-FEA8-4C77-B1F0-CA79256F2EE1}"/>
    <hyperlink ref="Q2215" r:id="rId2726" display="https://standards.buildingsmart.org/IFC/RELEASE/IFC4/ADD2_TC1/HTML/schema/ifcelectricaldomain/pset/pset_lightfixturetypecommon.htm" xr:uid="{8B750084-6F13-40A7-A8ED-8B418EEEFB78}"/>
    <hyperlink ref="Q2228" r:id="rId2727" display="https://standards.buildingsmart.org/IFC/RELEASE/IFC4/ADD2_TC1/HTML/schema/ifcelectricaldomain/pset/pset_lightfixturetypecommon.htm" xr:uid="{D745F917-37DE-4B11-8CD5-E986536790DC}"/>
    <hyperlink ref="Q1393" r:id="rId2728" display="https://standards.buildingsmart.org/IFC/RELEASE/IFC4/ADD2_TC1/HTML/schema/ifcelectricaldomain/pset/pset_lamptypecommon.htm" xr:uid="{A20DB637-B075-4696-A9BD-CF56FE739C43}"/>
    <hyperlink ref="Q946" r:id="rId2729" display="https://standards.buildingsmart.org/IFC/RELEASE/IFC4/ADD2_TC1/HTML/schema/ifcstructuralelementsdomain/pset/pset_precastconcreteelementgeneral.htm" xr:uid="{60FC900B-1A45-4F56-848E-8C65F6FC8615}"/>
    <hyperlink ref="Q683" r:id="rId2730" display="https://standards.buildingsmart.org/IFC/RELEASE/IFC4/ADD2_TC1/HTML/schema/ifchvacdomain/pset/pset_coolingtowertypecommon.htm" xr:uid="{542E29DD-1A09-477C-9636-24D853A3DC86}"/>
    <hyperlink ref="Q905" r:id="rId2731" display="https://standards.buildingsmart.org/IFC/RELEASE/IFC4/ADD2_TC1/HTML/schema/ifcproductextension/pset/pset_environmentalimpactindicators.htm" xr:uid="{594C2699-91CA-4A0A-ADBA-6D570571FCF2}"/>
    <hyperlink ref="Q1284" r:id="rId2732" display="https://standards.buildingsmart.org/IFC/RELEASE/IFC4/ADD2_TC1/HTML/schema/ifcelectricaldomain/pset/pset_electricflowstoragedevicephistory.htm" xr:uid="{B1718293-3F63-4C6C-BF9E-EFF9FB9432B1}"/>
    <hyperlink ref="Q1285" r:id="rId2733" display="https://standards.buildingsmart.org/IFC/RELEASE/IFC4/ADD2_TC1/HTML/schema/ifchvacdomain/pset/pset_tankphistory.htm" xr:uid="{81D96BF3-ECDF-44A8-A286-C5908D09B2BD}"/>
    <hyperlink ref="Q424" r:id="rId2734" display="https://standards.buildingsmart.org/IFC/RELEASE/IFC4/ADD2_TC1/HTML/schema/ifchvacdomain/pset/pset_tubebundletypefinned.htm" xr:uid="{CDEB6943-0B12-4956-AC03-894154763370}"/>
    <hyperlink ref="Q425" r:id="rId2735" display="https://standards.buildingsmart.org/IFC/RELEASE/IFC4/ADD2_TC1/HTML/schema/ifchvacdomain/pset/pset_tubebundletypecommon.htm" xr:uid="{6BC34566-76AE-4697-AECB-7BFB78B8553E}"/>
    <hyperlink ref="Q423" r:id="rId2736" display="https://standards.buildingsmart.org/IFC/RELEASE/IFC4/ADD2_TC1/HTML/schema/ifcsharedbldgserviceelements/pset/pset_distributionchamberelementtypesump.htm" xr:uid="{AA435A79-E40B-4CFB-85FE-06294AA49B63}"/>
    <hyperlink ref="Q422" r:id="rId2737" display="https://standards.buildingsmart.org/IFC/RELEASE/IFC4/ADD2_TC1/HTML/schema/ifcsharedbldgserviceelements/pset/pset_distributionchamberelementtypeinspectionpit.htm" xr:uid="{7C90896B-14B2-4DC8-B98C-12F9C91C518F}"/>
    <hyperlink ref="Q426" r:id="rId2738" display="https://standards.buildingsmart.org/IFC/RELEASE/IFC4/ADD2_TC1/HTML/schema/ifchvacdomain/pset/pset_ductsilencertypecommon.htm" xr:uid="{E3BBF8F9-C640-468F-90CC-6A16AB597087}"/>
    <hyperlink ref="Q1148" r:id="rId2739" display="https://standards.buildingsmart.org/IFC/RELEASE/IFC4/ADD2_TC1/HTML/schema/ifcelectricaldomain/pset/pset_switchingdevicetypecommon.htm" xr:uid="{08B48354-08D8-4254-BAD4-349F14253426}"/>
    <hyperlink ref="Q1106" r:id="rId2740" display="https://standards.buildingsmart.org/IFC/RELEASE/IFC4/ADD2_TC1/HTML/schema/ifcprofileresource/pset/pset_profilearbitrarydoublet.htm" xr:uid="{73917425-9E47-4C9E-BD90-ECD59FA57344}"/>
    <hyperlink ref="Q2385" r:id="rId2741" display="https://standards.buildingsmart.org/IFC/RELEASE/IFC4/ADD2_TC1/HTML/schema/ifchvacdomain/pset/pset_dampertypecommon.htm" xr:uid="{5A09E946-B05A-4FE0-95EE-EAA34F2D125A}"/>
    <hyperlink ref="Q573" r:id="rId2742" display="https://standards.buildingsmart.org/IFC/RELEASE/IFC4/ADD2_TC1/HTML/schema/ifchvacdomain/pset/pset_dampertypecommon.htm" xr:uid="{FB7D210E-1A4B-4140-9237-4974217792CB}"/>
    <hyperlink ref="Q572" r:id="rId2743" display="https://standards.buildingsmart.org/IFC/RELEASE/IFC4/ADD2_TC1/HTML/schema/ifchvacdomain/pset/pset_pipesegmentphistory.htm" xr:uid="{B9B7460E-4136-41BC-AC8C-4743F795E8D7}"/>
    <hyperlink ref="Q571" r:id="rId2744" display="https://standards.buildingsmart.org/IFC/RELEASE/IFC4/ADD2_TC1/HTML/schema/ifchvacdomain/pset/pset_ductsegmentphistory.htm" xr:uid="{F98869E3-9D67-4CC4-9D6B-BDFBFEA69354}"/>
    <hyperlink ref="Q281" r:id="rId2745" display="https://standards.buildingsmart.org/IFC/RELEASE/IFC4/ADD2_TC1/HTML/schema/ifcsharedbldgserviceelements/pset/pset_distributionsystemtypeventilation.htm" xr:uid="{5670620B-8596-46B1-A699-3F79D3E8B28A}"/>
    <hyperlink ref="Q2386" r:id="rId2746" display="https://standards.buildingsmart.org/IFC/RELEASE/IFC4/ADD2_TC1/HTML/schema/ifchvacdomain/pset/pset_damperphistory.htm" xr:uid="{6ADFF1D1-0A67-4656-9189-1921228B815D}"/>
    <hyperlink ref="Q1018" r:id="rId2747" display="https://standards.buildingsmart.org/IFC/RELEASE/IFC4/ADD2_TC1/HTML/schema/ifcproductextension/pset/pset_environmentalimpactvalues.htm" xr:uid="{75F8E2D1-89B4-439D-9E51-BFBA7B302DD9}"/>
    <hyperlink ref="Q2105" r:id="rId2748" display="https://standards.buildingsmart.org/IFC/RELEASE/IFC4/ADD2_TC1/HTML/schema/ifcproductextension/pset/pset_environmentalimpactvalues.htm" xr:uid="{1D78A793-D501-4530-8DC7-DA4048F0D1D3}"/>
    <hyperlink ref="Q1088" r:id="rId2749" display="https://standards.buildingsmart.org/IFC/RELEASE/IFC4/ADD2_TC1/HTML/schema/ifcmaterialresource/pset/pset_materialwood.htm" xr:uid="{03DEF237-EA23-4FB2-A8BE-4D80954237D4}"/>
    <hyperlink ref="Q181" r:id="rId2750" display="https://standards.buildingsmart.org/IFC/RELEASE/IFC4/ADD2_TC1/HTML/schema/ifcmaterialresource/pset/pset_materialwood.htm" xr:uid="{F5A03591-1815-4995-9FDB-F15C10D19D0D}"/>
    <hyperlink ref="Q1985" r:id="rId2751" display="https://standards.buildingsmart.org/IFC/RELEASE/IFC4/ADD2_TC1/HTML/schema/ifchvacdomain/pset/pset_evaporativecoolerphistory.htm" xr:uid="{49BB4A91-6201-4BB1-A950-53D98A295337}"/>
    <hyperlink ref="Q1986" r:id="rId2752" display="https://standards.buildingsmart.org/IFC/RELEASE/IFC4/ADD2_TC1/HTML/schema/ifchvacdomain/pset/pset_airtoairheatrecoveryphistory.htm" xr:uid="{54F2309E-20D5-47A4-A3BE-D2A95FF7BA10}"/>
    <hyperlink ref="Q194" r:id="rId2753" display="https://standards.buildingsmart.org/IFC/RELEASE/IFC4/ADD2_TC1/HTML/schema/ifchvacdomain/pset/pset_unitaryequipmenttypeairconditioningunit.htm" xr:uid="{C931B6FD-B15D-49F8-8638-63CA6FF9492B}"/>
    <hyperlink ref="Q1023" r:id="rId2754" display="https://standards.buildingsmart.org/IFC/RELEASE/IFC4/ADD2_TC1/HTML/schema/ifcproductextension/pset/pset_landregistration.htm" xr:uid="{E0519D8E-DEA6-4C8A-98A9-EC805FCF7F51}"/>
    <hyperlink ref="Q1022" r:id="rId2755" display="https://standards.buildingsmart.org/IFC/RELEASE/IFC4/ADD2_TC1/HTML/schema/ifcproductextension/pset/pset_landregistration.htm" xr:uid="{C0F6A843-0330-4018-9CEC-D18C8E8798EB}"/>
    <hyperlink ref="Q915" r:id="rId2756" display="https://standards.buildingsmart.org/IFC/RELEASE/IFC4/ADD2_TC1/HTML/schema/ifcelectricaldomain/pset/pset_lamptypecommon.htm" xr:uid="{44EBA6E3-A25D-4D10-B39D-C52A8F61A480}"/>
    <hyperlink ref="Q2172" r:id="rId2757" display="https://standards.buildingsmart.org/IFC/RELEASE/IFC4/ADD2_TC1/HTML/schema/ifcelectricaldomain/pset/pset_lamptypecommon.htm" xr:uid="{A0C86F8C-15C4-4CE3-9408-237AC1DE6AF4}"/>
    <hyperlink ref="Q2221" r:id="rId2758" display="https://standards.buildingsmart.org/IFC/RELEASE/IFC4/ADD2_TC1/HTML/schema/ifcelectricaldomain/pset/pset_lamptypecommon.htm" xr:uid="{2BB459FC-CCF2-4618-AA9D-8DEA29478384}"/>
    <hyperlink ref="Q2342" r:id="rId2759" display="https://standards.buildingsmart.org/IFC/RELEASE/IFC4/ADD2_TC1/HTML/schema/ifcsharedcomponentelements/pset/pset_discreteaccessoryladdertrussconnector.htm" xr:uid="{150A2FC8-80E5-41F7-9862-355B83B8671B}"/>
    <hyperlink ref="Q2341" r:id="rId2760" display="https://standards.buildingsmart.org/IFC/RELEASE/IFC4/ADD2_TC1/HTML/schema/ifcsharedcomponentelements/pset/pset_discreteaccessoryladdertrussconnector.htm" xr:uid="{3E7D893A-A05E-4755-B8B8-4F494E4426BD}"/>
    <hyperlink ref="Q2340" r:id="rId2761" display="https://standards.buildingsmart.org/IFC/RELEASE/IFC4/ADD2_TC1/HTML/schema/ifcsharedcomponentelements/pset/pset_discreteaccessoryladdertrussconnector.htm" xr:uid="{F7E31013-E19C-4F54-86CB-A661493C8FFC}"/>
    <hyperlink ref="Q2345" r:id="rId2762" display="https://standards.buildingsmart.org/IFC/RELEASE/IFC4/ADD2_TC1/HTML/schema/ifcsharedcomponentelements/pset/pset_discreteaccessoryladdertrussconnector.htm" xr:uid="{45143B24-AF9B-4CCE-832A-ACBA5000FB77}"/>
    <hyperlink ref="Q2343" r:id="rId2763" display="https://standards.buildingsmart.org/IFC/RELEASE/IFC4/ADD2_TC1/HTML/schema/ifcsharedcomponentelements/pset/pset_discreteaccessoryladdertrussconnector.htm" xr:uid="{3BE87C28-B87A-48F3-A80A-9D3862B36D30}"/>
    <hyperlink ref="Q2344" r:id="rId2764" display="https://standards.buildingsmart.org/IFC/RELEASE/IFC4/ADD2_TC1/HTML/schema/ifcsharedcomponentelements/pset/pset_discreteaccessoryladdertrussconnector.htm" xr:uid="{7FF52355-C502-4924-BB02-478FAB7449CB}"/>
    <hyperlink ref="Q444" r:id="rId2765" display="https://standards.buildingsmart.org/IFC/RELEASE/IFC4/ADD2_TC1/HTML/schema/ifcelectricaldomain/pset/pset_cablecarriersegmenttypecableladdersegment.htm" xr:uid="{0BEEF4E3-41AB-4F3D-B0FF-C6D42EE87DC8}"/>
    <hyperlink ref="Q1709" r:id="rId2766" display="https://standards.buildingsmart.org/IFC/RELEASE/IFC4/ADD2_TC1/HTML/schema/ifcbuildingcontrolsdomain/pset/pset_controllertypeproportional.htm" xr:uid="{D5E1CB16-E467-4F85-92FC-FE353B864B13}"/>
    <hyperlink ref="Q1707" r:id="rId2767" display="https://standards.buildingsmart.org/IFC/RELEASE/IFC4/ADD2_TC1/HTML/schema/ifcbuildingcontrolsdomain/pset/pset_controllertypefloating.htm" xr:uid="{9862AEEA-3B9B-49A2-A6D3-C42CD477BC3E}"/>
    <hyperlink ref="Q1708" r:id="rId2768" display="https://standards.buildingsmart.org/IFC/RELEASE/IFC4/ADD2_TC1/HTML/schema/ifcbuildingcontrolsdomain/pset/pset_controllertypemultiposition.htm" xr:uid="{B5A38D78-6782-4CA4-87BB-FA0A9EA28C73}"/>
    <hyperlink ref="Q1710" r:id="rId2769" display="https://standards.buildingsmart.org/IFC/RELEASE/IFC4/ADD2_TC1/HTML/schema/ifcbuildingcontrolsdomain/pset/pset_controllertypetwoposition.htm" xr:uid="{C82E46B4-4A70-46EE-83AF-EBFDC92BC24A}"/>
    <hyperlink ref="Q1200" r:id="rId2770" display="https://standards.buildingsmart.org/IFC/RELEASE/IFC4/ADD2_TC1/HTML/schema/ifcsharedcomponentelements/pset/pset_fastenerweld.htm" xr:uid="{CDD9B48A-2FE2-4BA0-9B85-DEDA9857B797}"/>
    <hyperlink ref="Q1344" r:id="rId2771" display="https://standards.buildingsmart.org/IFC/RELEASE/IFC4/ADD2_TC1/HTML/schema/ifcsharedcomponentelements/pset/pset_mechanicalfastenerbolt.htm" xr:uid="{7EEAA2E8-2D62-47FF-B7F4-23B006B458B3}"/>
    <hyperlink ref="Q2260" r:id="rId2772" display="https://standards.buildingsmart.org/IFC/RELEASE/IFC4/ADD2_TC1/HTML/schema/ifcelectricaldomain/pset/pset_switchingdevicetypekeypad.htm" xr:uid="{AA5990CD-5848-479C-8BDD-A2657B1DA78B}"/>
    <hyperlink ref="Q1342" r:id="rId2773" display="https://standards.buildingsmart.org/IFC/RELEASE/IFC4/ADD2_TC1/HTML/schema/ifcprofileresource/pset/pset_profilearbitraryhollowcore.htm" xr:uid="{E3234FCB-43FD-4BDE-97C2-340727F23167}"/>
    <hyperlink ref="Q1341" r:id="rId2774" display="https://standards.buildingsmart.org/IFC/RELEASE/IFC4/ADD2_TC1/HTML/schema/ifcprofileresource/pset/pset_profilearbitraryhollowcore.htm" xr:uid="{B0081544-BEEE-427B-8F15-BA60C432AF61}"/>
    <hyperlink ref="Q820" r:id="rId2775" display="https://standards.buildingsmart.org/IFC/RELEASE/IFC4/ADD2_TC1/HTML/schema/ifcprofileresource/pset/pset_profilearbitraryhollowcore.htm" xr:uid="{87BF11E9-EAB6-45EE-AE75-41489D746810}"/>
    <hyperlink ref="Q2220" r:id="rId2776" display="https://standards.buildingsmart.org/IFC/RELEASE/IFC4/ADD2_TC1/HTML/schema/ifchvacdomain/pset/pset_pipefittingtypejunction.htm" xr:uid="{B29398E4-E986-41A2-A82E-4E35017EE997}"/>
    <hyperlink ref="Q1534" r:id="rId2777" display="https://standards.buildingsmart.org/IFC/RELEASE/IFC4/ADD2_TC1/HTML/schema/ifchvacdomain/pset/pset_pipefittingtypejunction.htm" xr:uid="{E9DD7387-7213-4F57-AA89-812D9313D428}"/>
    <hyperlink ref="Q76" r:id="rId2778" display="https://standards.buildingsmart.org/IFC/RELEASE/IFC4/ADD2_TC1/HTML/schema/ifchvacdomain/pset/pset_pipefittingtypejunction.htm" xr:uid="{259D95A5-8D96-434D-8382-6117B15BB174}"/>
    <hyperlink ref="Q1085" r:id="rId2779" display="https://standards.buildingsmart.org/IFC/RELEASE/IFC4/ADD2_TC1/HTML/schema/ifchvacdomain/pset/pset_pipefittingtypejunction.htm" xr:uid="{F9C14C07-19E2-4591-9F6C-44D0465D03AD}"/>
    <hyperlink ref="Q75" r:id="rId2780" display="https://standards.buildingsmart.org/IFC/RELEASE/IFC4/ADD2_TC1/HTML/schema/ifchvacdomain/pset/pset_pipefittingtypejunction.htm" xr:uid="{AC00165C-4A9D-4DB0-A432-BD7CE5BB1D14}"/>
    <hyperlink ref="Q883" r:id="rId2781" display="https://standards.buildingsmart.org/IFC/RELEASE/IFC4/ADD2_TC1/HTML/schema/ifcsharedbldgelements/pset/pset_doorwindowglazingtype.htm" xr:uid="{8E136E5E-07BB-4CB8-A46A-DD766A9DB490}"/>
    <hyperlink ref="Q717" r:id="rId2782" display="https://standards.buildingsmart.org/IFC/RELEASE/IFC4/ADD2_TC1/HTML/schema/ifchvacdomain/pset/pset_boilertypecommon.htm" xr:uid="{C88DFD06-B624-499F-A01B-6A63E7C19361}"/>
    <hyperlink ref="Q779" r:id="rId2783" display="https://standards.buildingsmart.org/IFC/RELEASE/IFC4/ADD2_TC1/HTML/schema/ifcsharedfacilitieselements/pset/pset_systemfurnitureelementtypecommon.htm" xr:uid="{81E28B6F-B4AC-4AB9-90EB-2A900C350166}"/>
    <hyperlink ref="Q774" r:id="rId2784" display="https://standards.buildingsmart.org/IFC/RELEASE/IFC4/ADD2_TC1/HTML/schema/ifcelectricaldomain/pset/pset_protectivedevicetrippingfunctionscurve.htm" xr:uid="{81126B60-4682-4FFE-A9B0-9228108D5F79}"/>
    <hyperlink ref="Q772" r:id="rId2785" display="https://standards.buildingsmart.org/IFC/RELEASE/IFC4/ADD2_TC1/HTML/schema/ifcelectricaldomain/pset/pset_protectivedevicetrippingfunctionicurve.htm" xr:uid="{D6D56254-D789-467D-B206-A1E838FB5197}"/>
    <hyperlink ref="Q773" r:id="rId2786" display="https://standards.buildingsmart.org/IFC/RELEASE/IFC4/ADD2_TC1/HTML/schema/ifcelectricaldomain/pset/pset_protectivedevicetrippingfunctiongcurve.htm" xr:uid="{CB92FE49-B11A-4A41-9E4D-85065A6E1374}"/>
    <hyperlink ref="Q771" r:id="rId2787" display="https://standards.buildingsmart.org/IFC/RELEASE/IFC4/ADD2_TC1/HTML/schema/ifcsharedbldgelements/pset/pset_doorwindowglazingtype.htm" xr:uid="{5A57F69C-7195-4098-B636-FDB91CF5D1CE}"/>
    <hyperlink ref="Q754" r:id="rId2788" display="https://standards.buildingsmart.org/IFC/RELEASE/IFC4/ADD2_TC1/HTML/schema/ifcbuildingcontrolsdomain/pset/pset_sensortypepressuresensor.htm" xr:uid="{9FDB0F49-A287-462E-BD59-BB20270B24A0}"/>
    <hyperlink ref="Q757" r:id="rId2789" display="https://standards.buildingsmart.org/IFC/RELEASE/IFC4/ADD2_TC1/HTML/schema/ifcelectricaldomain/pset/pset_electricdistributionboardoccurrence.htm" xr:uid="{F858007E-710D-4628-8B85-98A617BCE8D1}"/>
    <hyperlink ref="Q727" r:id="rId2790" display="https://standards.buildingsmart.org/IFC/RELEASE/IFC4/ADD2_TC1/HTML/schema/ifcplumbingfireprotectiondomain/pset/pset_sanitaryterminaltypecistern.htm" xr:uid="{A719E817-E181-40C1-B94B-B0775C1FDC59}"/>
    <hyperlink ref="Q763" r:id="rId2791" display="https://standards.buildingsmart.org/IFC/RELEASE/IFC4/ADD2_TC1/HTML/schema/ifcsharedbldgserviceelements/pset/pset_distributionchamberelementtypemanhole.htm" xr:uid="{7A55E934-F72A-45E8-BDBF-F7A656CC4489}"/>
    <hyperlink ref="Q768" r:id="rId2792" display="https://standards.buildingsmart.org/IFC/RELEASE/IFC4/ADD2_TC1/HTML/schema/ifcelectricaldomain/pset/pset_protectivedevicetrippingfunctionscurve.htm" xr:uid="{58E69110-17CE-4465-856D-E9757789A86B}"/>
    <hyperlink ref="Q766" r:id="rId2793" display="https://standards.buildingsmart.org/IFC/RELEASE/IFC4/ADD2_TC1/HTML/schema/ifcelectricaldomain/pset/pset_protectivedevicetrippingfunctionlcurve.htm" xr:uid="{4B8601A0-3BF8-4264-BA90-6A83A6A58B1B}"/>
    <hyperlink ref="Q765" r:id="rId2794" display="https://standards.buildingsmart.org/IFC/RELEASE/IFC4/ADD2_TC1/HTML/schema/ifcelectricaldomain/pset/pset_protectivedevicetrippingfunctionicurve.htm" xr:uid="{B9F3114D-F7E7-49A3-B819-F831C68E207E}"/>
    <hyperlink ref="Q767" r:id="rId2795" display="https://standards.buildingsmart.org/IFC/RELEASE/IFC4/ADD2_TC1/HTML/schema/ifcelectricaldomain/pset/pset_protectivedevicetrippingfunctiongcurve.htm" xr:uid="{D1308620-BBA1-44E3-B87F-2DE1DFFC6493}"/>
    <hyperlink ref="Q764" r:id="rId2796" display="https://standards.buildingsmart.org/IFC/RELEASE/IFC4/ADD2_TC1/HTML/schema/ifcelectricaldomain/pset/pset_cablecarriersegmenttypeconduitsegment.htm" xr:uid="{63E9C86A-E8E9-4EAE-AF36-43B312AF5656}"/>
    <hyperlink ref="Q761" r:id="rId2797" display="https://standards.buildingsmart.org/IFC/RELEASE/IFC4/ADD2_TC1/HTML/schema/ifcmaterialresource/pset/pset_materialwater.htm" xr:uid="{96025202-C1DA-4661-B4DE-365589F5FC2E}"/>
    <hyperlink ref="Q778" r:id="rId2798" display="https://standards.buildingsmart.org/IFC/RELEASE/IFC4/ADD2_TC1/HTML/schema/ifcelectricaldomain/pset/pset_outlettypecommon.htm" xr:uid="{2A9C728C-9630-4FCB-B40A-1E1E877821DD}"/>
    <hyperlink ref="Q752" r:id="rId2799" display="https://standards.buildingsmart.org/IFC/RELEASE/IFC4/ADD2_TC1/HTML/schema/ifcproductextension/pset/pset_landregistration.htm" xr:uid="{7A2F47AC-6A4B-4A6B-BF62-B1B09BDA7446}"/>
    <hyperlink ref="Q753" r:id="rId2800" display="https://standards.buildingsmart.org/IFC/RELEASE/IFC4/ADD2_TC1/HTML/schema/ifcproductextension/pset/pset_buildingcommon.htm" xr:uid="{D3D24F44-7F0A-48A0-82A7-15218C396553}"/>
    <hyperlink ref="Q760" r:id="rId2801" display="https://standards.buildingsmart.org/IFC/RELEASE/IFC4/ADD2_TC1/HTML/schema/ifcproductextension/pset/pset_spaceoccupancyrequirements.htm" xr:uid="{1595F455-5920-4F03-83B8-C8E5C2C7FD1D}"/>
    <hyperlink ref="Q758" r:id="rId2802" display="https://standards.buildingsmart.org/IFC/RELEASE/IFC4/ADD2_TC1/HTML/schema/ifcelectricaldomain/pset/pset_audiovisualappliancetypecamera.htm" xr:uid="{DA81251A-DA8A-4434-A020-75B0E25D97A4}"/>
    <hyperlink ref="Q199" r:id="rId2803" display="https://standards.buildingsmart.org/IFC/RELEASE/IFC4/ADD2_TC1/HTML/schema/ifcmaterialresource/pset/pset_materialhygroscopic.htm" xr:uid="{091F2801-8CB7-4591-8061-86CDB4698E70}"/>
    <hyperlink ref="Q769" r:id="rId2804" display="https://standards.buildingsmart.org/IFC/RELEASE/IFC4/ADD2_TC1/HTML/schema/ifcproductextension/pset/pset_spaceparking.htm" xr:uid="{230C3668-46C8-4BE9-9E4F-42B5B7559EB9}"/>
    <hyperlink ref="Q603" r:id="rId2805" display="https://standards.buildingsmart.org/IFC/RELEASE/IFC4/ADD2_TC1/HTML/schema/ifchvacdomain/pset/pset_vibrationisolatortypecommon.htm" xr:uid="{F97C72E3-51B7-48A3-84DE-482FFD351294}"/>
    <hyperlink ref="Q379" r:id="rId2806" display="https://standards.buildingsmart.org/IFC/RELEASE/IFC4/ADD2_TC1/HTML/schema/ifchvacdomain/pset/pset_vibrationisolatortypecommon.htm" xr:uid="{DA1F0465-8BD7-482B-AD7E-46DCA9A9B1BB}"/>
    <hyperlink ref="Q1473" r:id="rId2807" display="https://standards.buildingsmart.org/IFC/RELEASE/IFC4/ADD2_TC1/HTML/schema/ifchvacdomain/pset/pset_valvetypeisolating.htm" xr:uid="{53BF5EF6-5F24-4056-ACC5-438C6D34E949}"/>
    <hyperlink ref="Q635" r:id="rId2808" display="https://standards.buildingsmart.org/IFC/RELEASE/IFC4/ADD2_TC1/HTML/schema/ifcelectricaldomain/pset/pset_protectivedevicetrippingfunctionicurve.htm" xr:uid="{A9E61431-B899-415F-B043-1E0AF599DF21}"/>
    <hyperlink ref="Q634" r:id="rId2809" display="https://standards.buildingsmart.org/IFC/RELEASE/IFC4/ADD2_TC1/HTML/schema/ifcelectricaldomain/pset/pset_protectivedevicetrippingfunctionscurve.htm" xr:uid="{D3D4670E-5F39-43A7-9118-1318AE9A5AC4}"/>
    <hyperlink ref="Q1292" r:id="rId2810" display="https://standards.buildingsmart.org/IFC/RELEASE/IFC4/ADD2_TC1/HTML/schema/ifchvacdomain/pset/pset_valvetypeisolating.htm" xr:uid="{9FF410BC-A8F3-4698-B6CC-59F8B29938A1}"/>
    <hyperlink ref="Q2131" r:id="rId2811" display="https://standards.buildingsmart.org/IFC/RELEASE/IFC4/ADD2_TC1/HTML/schema/ifcelectricaldomain/pset/pset_transformertypecommon.htm" xr:uid="{C091D408-5172-4784-AABF-4B66FE466051}"/>
    <hyperlink ref="Q2130" r:id="rId2812" display="https://standards.buildingsmart.org/IFC/RELEASE/IFC4/ADD2_TC1/HTML/schema/ifcelectricaldomain/pset/pset_transformertypecommon.htm" xr:uid="{3645D167-FF3D-4BA4-8100-28FF1E936BAF}"/>
    <hyperlink ref="Q721" r:id="rId2813" display="https://standards.buildingsmart.org/IFC/RELEASE/IFC4/ADD2_TC1/HTML/schema/ifcelectricaldomain/pset/pset_cablesegmentoccurrence.htm" xr:uid="{81672B73-46A2-4E05-B5F5-8FC611205374}"/>
    <hyperlink ref="Q762" r:id="rId2814" display="https://standards.buildingsmart.org/IFC/RELEASE/IFC4/ADD2_TC1/HTML/schema/ifcelectricaldomain/pset/pset_electricdistributionboardoccurrence.htm" xr:uid="{DBBBE85D-FE68-478D-81CA-95FC5AB89CFC}"/>
    <hyperlink ref="Q756" r:id="rId2815" display="https://standards.buildingsmart.org/IFC/RELEASE/IFC4/ADD2_TC1/HTML/schema/ifcproductextension/pset/pset_buildingcommon.htm" xr:uid="{E62C0646-B9E1-4FE7-96B8-96DED989962F}"/>
    <hyperlink ref="Q755" r:id="rId2816" display="https://standards.buildingsmart.org/IFC/RELEASE/IFC4/ADD2_TC1/HTML/schema/ifcsharedbldgelements/pset/pset_doorwindowglazingtype.htm" xr:uid="{88DD7B99-6471-4A86-9A16-35E2039853F9}"/>
    <hyperlink ref="Q881" r:id="rId2817" display="https://standards.buildingsmart.org/IFC/RELEASE/IFC4/ADD2_TC1/HTML/schema/ifcelectricaldomain/pset/pset_switchingdevicetypecommon.htm" xr:uid="{7ABD6F11-494A-4C8E-9896-09FE7D4FA772}"/>
    <hyperlink ref="Q720" r:id="rId2818" display="https://standards.buildingsmart.org/IFC/RELEASE/IFC4/ADD2_TC1/HTML/schema/ifcelectricaldomain/pset/pset_cablesegmentoccurrence.htm" xr:uid="{34D632F4-5DBB-43CB-A748-43DDA5CF336D}"/>
    <hyperlink ref="Q719" r:id="rId2819" display="https://standards.buildingsmart.org/IFC/RELEASE/IFC4/ADD2_TC1/HTML/schema/ifcelectricaldomain/pset/pset_cablesegmenttypebusbarsegment.htm" xr:uid="{865984F0-1D64-4220-9194-52347FAF6542}"/>
    <hyperlink ref="Q716" r:id="rId2820" display="https://standards.buildingsmart.org/IFC/RELEASE/IFC4/ADD2_TC1/HTML/schema/ifchvacdomain/pset/pset_valvetypeflushing.htm" xr:uid="{BA424F0E-3E40-40D0-BC28-71B3B333FEC4}"/>
    <hyperlink ref="Q880" r:id="rId2821" display="https://standards.buildingsmart.org/IFC/RELEASE/IFC4/ADD2_TC1/HTML/schema/ifcelectricaldomain/pset/pset_electricmotortypecommon.htm" xr:uid="{3D18ACAD-BEEB-4A9E-A6A2-EC0BBB4A90B2}"/>
    <hyperlink ref="Q759" r:id="rId2822" display="https://standards.buildingsmart.org/IFC/RELEASE/IFC4/ADD2_TC1/HTML/schema/ifchvacdomain/pset/pset_cooledbeamtypecommon.htm" xr:uid="{071CC642-4A47-444F-AC9B-3FAD3F96DEA5}"/>
    <hyperlink ref="Q715" r:id="rId2823" display="https://standards.buildingsmart.org/IFC/RELEASE/IFC4/ADD2_TC1/HTML/schema/ifcplumbingfireprotectiondomain/pset/pset_wasteterminaltypefloortrap.htm" xr:uid="{8D6EE91F-B902-471E-8FF6-97E58F09282D}"/>
    <hyperlink ref="Q750" r:id="rId2824" display="https://standards.buildingsmart.org/IFC/RELEASE/IFC4/ADD2_TC1/HTML/schema/ifcsharedmgmtelements/pset/pset_projectorderpurchaseorder.htm" xr:uid="{7C134D52-CF99-44F0-B58B-30863A3E09AB}"/>
    <hyperlink ref="Q747" r:id="rId2825" display="https://standards.buildingsmart.org/IFC/RELEASE/IFC4/ADD2_TC1/HTML/schema/ifcproductextension/pset/pset_zonecommon.htm" xr:uid="{34AD8C47-04C5-42DD-BABB-2BC218E2927A}"/>
    <hyperlink ref="Q736" r:id="rId2826" display="https://standards.buildingsmart.org/IFC/RELEASE/IFC4/ADD2_TC1/HTML/schema/ifcsharedbldgelements/pset/pset_windowcommon.htm" xr:uid="{AFA443B7-36DF-4ED0-84A1-74C9C0FD3B07}"/>
    <hyperlink ref="Q738" r:id="rId2827" display="https://standards.buildingsmart.org/IFC/RELEASE/IFC4/ADD2_TC1/HTML/schema/ifcsharedbldgelements/pset/pset_wallcommon.htm" xr:uid="{B61FAB9E-3EDC-4122-A385-3FE103936C31}"/>
    <hyperlink ref="Q735" r:id="rId2828" display="https://standards.buildingsmart.org/IFC/RELEASE/IFC4/ADD2_TC1/HTML/schema/ifcsharedbldgelements/pset/pset_staircommon.htm" xr:uid="{4A00DFC7-B0E0-40D2-A4D8-75891EDAAF87}"/>
    <hyperlink ref="Q748" r:id="rId2829" display="https://standards.buildingsmart.org/IFC/RELEASE/IFC4/ADD2_TC1/HTML/schema/ifcproductextension/pset/pset_spatialzonecommon.htm" xr:uid="{4E1A1523-8796-4AA2-B00D-99BE5CC57778}"/>
    <hyperlink ref="Q729" r:id="rId2830" display="https://standards.buildingsmart.org/IFC/RELEASE/IFC4/ADD2_TC1/HTML/schema/ifcproductextension/pset/pset_spacecommon.htm" xr:uid="{019309D4-DA4A-4F13-912A-1E9007C3620C}"/>
    <hyperlink ref="Q744" r:id="rId2831" display="https://standards.buildingsmart.org/IFC/RELEASE/IFC4/ADD2_TC1/HTML/schema/ifcsharedbldgelements/pset/pset_slabcommon.htm" xr:uid="{4DDA4CA0-9404-4BD9-B01D-FBA28BC71E7C}"/>
    <hyperlink ref="Q734" r:id="rId2832" display="https://standards.buildingsmart.org/IFC/RELEASE/IFC4/ADD2_TC1/HTML/schema/ifcsharedbldgelements/pset/pset_shadingdevicecommon.htm" xr:uid="{37EC5A02-AF4E-48D6-A6B5-AE1027E3D632}"/>
    <hyperlink ref="Q745" r:id="rId2833" display="https://standards.buildingsmart.org/IFC/RELEASE/IFC4/ADD2_TC1/HTML/schema/ifcsharedbldgelements/pset/pset_roofcommon.htm" xr:uid="{B88D46F8-9806-4A55-AAB2-112578C338C4}"/>
    <hyperlink ref="Q743" r:id="rId2834" display="https://standards.buildingsmart.org/IFC/RELEASE/IFC4/ADD2_TC1/HTML/schema/ifcsharedbldgelements/pset/pset_rampcommon.htm" xr:uid="{F2FDB9EF-88ED-4397-9546-FA53624188DB}"/>
    <hyperlink ref="Q733" r:id="rId2835" display="https://standards.buildingsmart.org/IFC/RELEASE/IFC4/ADD2_TC1/HTML/schema/ifcsharedbldgelements/pset/pset_railingcommon.htm" xr:uid="{93F3FBDE-5514-409E-AA8A-3FDED115C8F3}"/>
    <hyperlink ref="Q740" r:id="rId2836" display="https://standards.buildingsmart.org/IFC/RELEASE/IFC4/ADD2_TC1/HTML/schema/ifcsharedbldgelements/pset/pset_platecommon.htm" xr:uid="{AB9F22BC-A482-4436-9890-17C160F54E37}"/>
    <hyperlink ref="Q737" r:id="rId2837" display="https://standards.buildingsmart.org/IFC/RELEASE/IFC4/ADD2_TC1/HTML/schema/ifcsharedbldgelements/pset/pset_membercommon.htm" xr:uid="{782B1974-9219-4EAA-B62B-330472204849}"/>
    <hyperlink ref="Q730" r:id="rId2838" display="https://standards.buildingsmart.org/IFC/RELEASE/IFC4/ADD2_TC1/HTML/schema/ifcelectricaldomain/pset/pset_junctionboxtypecommon.htm" xr:uid="{165206EA-CA27-44FF-8A7E-D5B758B60EF3}"/>
    <hyperlink ref="Q741" r:id="rId2839" display="https://standards.buildingsmart.org/IFC/RELEASE/IFC4/ADD2_TC1/HTML/schema/ifcsharedbldgelements/pset/pset_doorcommon.htm" xr:uid="{EA647B59-6380-485C-AE27-56A092B3FDC7}"/>
    <hyperlink ref="Q739" r:id="rId2840" display="https://standards.buildingsmart.org/IFC/RELEASE/IFC4/ADD2_TC1/HTML/schema/ifcsharedbldgelements/pset/pset_curtainwallcommon.htm" xr:uid="{AA0EC686-58DF-4ACC-84AE-392CDB036854}"/>
    <hyperlink ref="Q728" r:id="rId2841" display="https://standards.buildingsmart.org/IFC/RELEASE/IFC4/ADD2_TC1/HTML/schema/ifcsharedbldgelements/pset/pset_coveringcommon.htm" xr:uid="{A870E434-9D33-443F-88F4-F5FDFB88A4CC}"/>
    <hyperlink ref="Q732" r:id="rId2842" display="https://standards.buildingsmart.org/IFC/RELEASE/IFC4/ADD2_TC1/HTML/schema/ifcsharedbldgelements/pset/pset_columncommon.htm" xr:uid="{63426700-0AE2-4260-976C-ECF6F0D98CFF}"/>
    <hyperlink ref="Q731" r:id="rId2843" display="https://standards.buildingsmart.org/IFC/RELEASE/IFC4/ADD2_TC1/HTML/schema/ifcsharedbldgelements/pset/pset_chimneycommon.htm" xr:uid="{AE9EC8FA-D71B-44AF-AF50-83FC056A0C37}"/>
    <hyperlink ref="Q742" r:id="rId2844" display="https://standards.buildingsmart.org/IFC/RELEASE/IFC4/ADD2_TC1/HTML/schema/ifcsharedbldgelements/pset/pset_buildingelementproxycommon.htm" xr:uid="{228AC031-FA25-4470-8A07-B0FA58A409D0}"/>
    <hyperlink ref="Q746" r:id="rId2845" display="https://standards.buildingsmart.org/IFC/RELEASE/IFC4/ADD2_TC1/HTML/schema/ifcsharedbldgelements/pset/pset_beamcommon.htm" xr:uid="{5B7DA29D-F06F-4E1A-B376-C933D18FC3BE}"/>
    <hyperlink ref="Q751" r:id="rId2846" display="https://standards.buildingsmart.org/IFC/RELEASE/IFC4/ADD2_TC1/HTML/schema/ifcsharedfacilitieselements/pset/pset_warranty.htm" xr:uid="{82317EF0-C4AA-426B-A575-7221EDD0205C}"/>
    <hyperlink ref="Q799" r:id="rId2847" display="https://standards.buildingsmart.org/IFC/RELEASE/IFC4/ADD2_TC1/HTML/schema/ifchvacdomain/pset/pset_compressorphistory.htm" xr:uid="{EB828D8E-750F-42D5-8D3B-F1C9B687EACD}"/>
    <hyperlink ref="Q777" r:id="rId2848" display="https://standards.buildingsmart.org/IFC/RELEASE/IFC4/ADD2_TC1/HTML/schema/ifcelectricaldomain/pset/pset_protectivedevicetrippingfunctionscurve.htm" xr:uid="{E9A12761-3182-4D7E-BC3C-BF97614A1104}"/>
    <hyperlink ref="Q775" r:id="rId2849" display="https://standards.buildingsmart.org/IFC/RELEASE/IFC4/ADD2_TC1/HTML/schema/ifcelectricaldomain/pset/pset_protectivedevicetrippingfunctionicurve.htm" xr:uid="{EC6768A4-B9A4-4F6F-920D-F366005CC90A}"/>
    <hyperlink ref="Q776" r:id="rId2850" display="https://standards.buildingsmart.org/IFC/RELEASE/IFC4/ADD2_TC1/HTML/schema/ifcelectricaldomain/pset/pset_protectivedevicetrippingfunctiongcurve.htm" xr:uid="{355B1562-AC00-4B99-9E81-28366885314B}"/>
    <hyperlink ref="Q2008" r:id="rId2851" display="https://standards.buildingsmart.org/IFC/RELEASE/IFC4/ADD2_TC1/HTML/schema/ifcsharedbldgelements/pset/pset_doorwindowglazingtype.htm" xr:uid="{2D70C6F4-1B05-4C91-BAFE-EF53D667E428}"/>
    <hyperlink ref="Q882" r:id="rId2852" display="https://standards.buildingsmart.org/IFC/RELEASE/IFC4/ADD2_TC1/HTML/schema/ifcsharedfacilitieselements/pset/pset_furnituretypecommon.htm" xr:uid="{5E863A8B-6647-435D-8FEA-E0C5D91AB082}"/>
    <hyperlink ref="Q726" r:id="rId2853" display="https://standards.buildingsmart.org/IFC/RELEASE/IFC4/ADD2_TC1/HTML/schema/ifcplumbingfireprotectiondomain/pset/pset_sanitaryterminaltypecistern.htm" xr:uid="{ABE3E770-FCCF-4528-A728-F627A8931E41}"/>
    <hyperlink ref="Q718" r:id="rId2854" display="https://standards.buildingsmart.org/IFC/RELEASE/IFC4/ADD2_TC1/HTML/schema/ifchvacdomain/pset/pset_valvetypeairrelease.htm" xr:uid="{A92A98AC-D64F-4AED-A9C2-0CB8217F52A8}"/>
    <hyperlink ref="Q749" r:id="rId2855" display="https://standards.buildingsmart.org/IFC/RELEASE/IFC4/ADD2_TC1/HTML/schema/ifcproductextension/pset/pset_spaceparking.htm" xr:uid="{FD92B576-4719-4BC7-B6F7-46719A8AF0D3}"/>
    <hyperlink ref="Q345" r:id="rId2856" display="https://standards.buildingsmart.org/IFC/RELEASE/IFC4/ADD2_TC1/HTML/schema/ifcelectricaldomain/pset/pset_junctionboxtypecommon.htm" xr:uid="{FA377469-5E15-45BA-936F-014AC8262861}"/>
    <hyperlink ref="Q346" r:id="rId2857" display="https://standards.buildingsmart.org/IFC/RELEASE/IFC4/ADD2_TC1/HTML/schema/ifcelectricaldomain/pset/pset_electricaldevicecommon.htm" xr:uid="{A321D6A0-8874-4411-A31B-1C59FEBDBBE1}"/>
    <hyperlink ref="Q1283" r:id="rId2858" display="https://standards.buildingsmart.org/IFC/RELEASE/IFC4/ADD2_TC1/HTML/schema/ifcsharedbldgserviceelements/pset/pset_distributionchamberelementtypesump.htm" xr:uid="{1DDB930B-8F5B-4A9E-90D1-63314427E567}"/>
    <hyperlink ref="Q1281" r:id="rId2859" display="https://standards.buildingsmart.org/IFC/RELEASE/IFC4/ADD2_TC1/HTML/schema/ifcsharedbldgserviceelements/pset/pset_distributionchamberelementtypetrench.htm" xr:uid="{459DE3C7-291C-43C2-B05E-12B79DBD2A96}"/>
    <hyperlink ref="Q1282" r:id="rId2860" display="https://standards.buildingsmart.org/IFC/RELEASE/IFC4/ADD2_TC1/HTML/schema/ifcsharedbldgserviceelements/pset/pset_distributionchamberelementtypemanhole.htm" xr:uid="{86C89293-E787-4119-B2BE-C8BEEF1CBB16}"/>
    <hyperlink ref="Q1280" r:id="rId2861" display="https://standards.buildingsmart.org/IFC/RELEASE/IFC4/ADD2_TC1/HTML/schema/ifcsharedbldgserviceelements/pset/pset_distributionchamberelementtypeinspectionchamber.htm" xr:uid="{89A70ECF-43C1-4D09-8FFB-38EFC4565DA3}"/>
    <hyperlink ref="Q1084" r:id="rId2862" display="https://standards.buildingsmart.org/IFC/RELEASE/IFC4/ADD2_TC1/HTML/schema/ifchvacdomain/pset/pset_pipesegmentoccurrence.htm" xr:uid="{EB5B2F85-D48E-479B-B16E-46295DBCD97F}"/>
    <hyperlink ref="Q438" r:id="rId2863" display="https://standards.buildingsmart.org/IFC/RELEASE/IFC4/ADD2_TC1/HTML/schema/ifcsharedfacilitieselements/pset/pset_servicelifefactors.htm" xr:uid="{2D30EEAC-C99A-40AE-9ADB-B3DE0DBA2FDA}"/>
    <hyperlink ref="Q1120" r:id="rId2864" display="https://standards.buildingsmart.org/IFC/RELEASE/IFC4/ADD2_TC1/HTML/schema/ifchvacdomain/pset/pset_pipesegmenttypeculvert.htm" xr:uid="{4EFA1253-6E84-4C4F-BA29-195A708148AF}"/>
    <hyperlink ref="Q2465" r:id="rId2865" display="https://standards.buildingsmart.org/IFC/RELEASE/IFC4/ADD2_TC1/HTML/schema/ifchvacdomain/pset/pset_evaporatortypecommon.htm" xr:uid="{4DABB921-4768-4A48-94AD-93C91AC00DEC}"/>
    <hyperlink ref="Q2464" r:id="rId2866" display="https://standards.buildingsmart.org/IFC/RELEASE/IFC4/ADD2_TC1/HTML/schema/ifchvacdomain/pset/pset_condensertypecommon.htm" xr:uid="{6B268B37-E673-4EC5-94CB-1B8F088BED8C}"/>
    <hyperlink ref="Q118" r:id="rId2867" display="https://standards.buildingsmart.org/IFC/RELEASE/IFC4/ADD2_TC1/HTML/schema/ifchvacdomain/pset/pset_evaporatortypecommon.htm" xr:uid="{1E5C0793-A1DB-44F5-98ED-33AE5FCE8BD9}"/>
    <hyperlink ref="Q117" r:id="rId2868" display="https://standards.buildingsmart.org/IFC/RELEASE/IFC4/ADD2_TC1/HTML/schema/ifchvacdomain/pset/pset_condensertypecommon.htm" xr:uid="{4DA6B026-C56E-48DE-9111-58BE586BBBD8}"/>
    <hyperlink ref="Q2467" r:id="rId2869" display="https://standards.buildingsmart.org/IFC/RELEASE/IFC4/ADD2_TC1/HTML/schema/ifchvacdomain/pset/pset_evaporatortypecommon.htm" xr:uid="{34010796-6191-4E7E-B59A-A3F90855D416}"/>
    <hyperlink ref="Q2466" r:id="rId2870" display="https://standards.buildingsmart.org/IFC/RELEASE/IFC4/ADD2_TC1/HTML/schema/ifchvacdomain/pset/pset_condensertypecommon.htm" xr:uid="{B8CCADA1-0E1A-4D93-9B14-55E4219129FC}"/>
    <hyperlink ref="Q495" r:id="rId2871" display="https://standards.buildingsmart.org/IFC/RELEASE/IFC4/ADD2_TC1/HTML/schema/ifchvacdomain/pset/pset_humidifiertypecommon.htm" xr:uid="{4DC57BC6-5A01-40CD-A08B-C92530E02B47}"/>
    <hyperlink ref="Q1072" r:id="rId2872" display="https://standards.buildingsmart.org/IFC/RELEASE/IFC4/ADD2_TC1/HTML/schema/ifcsharedcomponentelements/pset/pset_fastenerweld.htm" xr:uid="{ED5A98D8-A299-443B-A92E-CDC094287044}"/>
    <hyperlink ref="Q362" r:id="rId2873" display="https://standards.buildingsmart.org/IFC/RELEASE/IFC4/ADD2_TC1/HTML/schema/ifchvacdomain/pset/pset_pipesegmentoccurrence.htm" xr:uid="{1937ACE4-2D77-4498-90A2-15FC658DDFCF}"/>
    <hyperlink ref="Q360" r:id="rId2874" display="https://standards.buildingsmart.org/IFC/RELEASE/IFC4/ADD2_TC1/HTML/schema/ifchvacdomain/pset/pset_pipefittingoccurrence.htm" xr:uid="{DF818B40-37A1-47A1-85D9-8DECDFCF8C4D}"/>
    <hyperlink ref="Q361" r:id="rId2875" display="https://standards.buildingsmart.org/IFC/RELEASE/IFC4/ADD2_TC1/HTML/schema/ifchvacdomain/pset/pset_ductsegmentoccurrence.htm" xr:uid="{A4AB2962-F12B-4196-B220-DAC38082965D}"/>
    <hyperlink ref="Q359" r:id="rId2876" display="https://standards.buildingsmart.org/IFC/RELEASE/IFC4/ADD2_TC1/HTML/schema/ifchvacdomain/pset/pset_ductfittingoccurrence.htm" xr:uid="{553D8048-2013-40AE-8B40-597E9335A2C3}"/>
    <hyperlink ref="Q367" r:id="rId2877" display="https://standards.buildingsmart.org/IFC/RELEASE/IFC4/ADD2_TC1/HTML/schema/ifchvacdomain/pset/pset_evaporatorphistory.htm" xr:uid="{67EB3928-68C4-4DB8-B4E6-1726DC376CC3}"/>
    <hyperlink ref="Q366" r:id="rId2878" display="https://standards.buildingsmart.org/IFC/RELEASE/IFC4/ADD2_TC1/HTML/schema/ifchvacdomain/pset/pset_condenserphistory.htm" xr:uid="{CFAA6743-5427-4F23-B4CA-5AC321D7C125}"/>
    <hyperlink ref="Q2213" r:id="rId2879" display="https://standards.buildingsmart.org/IFC/RELEASE/IFC4/ADD2_TC1/HTML/schema/ifchvacdomain/pset/pset_cooledbeamtypecommon.htm" xr:uid="{40717565-9D6C-4245-8C60-E4BFA07A8FE0}"/>
    <hyperlink ref="Q453" r:id="rId2880" display="https://standards.buildingsmart.org/IFC/RELEASE/IFC4/ADD2_TC1/HTML/schema/ifcbuildingcontrolsdomain/pset/pset_controllertypeproportional.htm" xr:uid="{497CF173-1E22-4A46-8E67-2C27431850F3}"/>
    <hyperlink ref="Q283" r:id="rId2881" display="https://standards.buildingsmart.org/IFC/RELEASE/IFC4/ADD2_TC1/HTML/schema/ifcelectricaldomain/pset/pset_electricaldevicecommon.htm" xr:uid="{7BB79930-B5E2-4757-B722-29AADF32F169}"/>
    <hyperlink ref="Q2103" r:id="rId2882" display="https://standards.buildingsmart.org/IFC/RELEASE/IFC4/ADD2_TC1/HTML/schema/ifcelectricaldomain/pset/pset_protectivedeviceoccurrence.htm" xr:uid="{74F81751-1552-41CD-B20D-68FB1DBC953A}"/>
    <hyperlink ref="Q2365" r:id="rId2883" display="https://standards.buildingsmart.org/IFC/RELEASE/IFC4/ADD2_TC1/HTML/schema/ifcelectricaldomain/pset/pset_protectivedeviceoccurrence.htm" xr:uid="{02A8E27E-B08D-4BD2-890B-58BA56766482}"/>
    <hyperlink ref="Q1215" r:id="rId2884" display="https://standards.buildingsmart.org/IFC/RELEASE/IFC4/ADD2_TC1/HTML/schema/ifcelectricaldomain/pset/pset_cablesegmentoccurrence.htm" xr:uid="{82847195-4270-4CBD-A8F7-329CCA8C6A80}"/>
    <hyperlink ref="Q1216" r:id="rId2885" display="https://standards.buildingsmart.org/IFC/RELEASE/IFC4/ADD2_TC1/HTML/schema/ifcelectricaldomain/pset/pset_cablesegmentoccurrence.htm" xr:uid="{A274A33D-4E72-4793-AC11-07A74B58F1E3}"/>
    <hyperlink ref="Q666" r:id="rId2886" display="https://standards.buildingsmart.org/IFC/RELEASE/IFC4/ADD2_TC1/HTML/schema/ifchvacdomain/pset/pset_tubebundletypecommon.htm" xr:uid="{E08562D8-5AD9-43DD-97EA-C22AC3BF428E}"/>
    <hyperlink ref="Q1411" r:id="rId2887" display="https://standards.buildingsmart.org/IFC/RELEASE/IFC4/ADD2_TC1/HTML/schema/ifcbuildingcontrolsdomain/pset/pset_actuatortypepneumaticactuator.htm" xr:uid="{505E9703-1DD2-4F30-A390-2416B7050D0F}"/>
    <hyperlink ref="Q1410" r:id="rId2888" display="https://standards.buildingsmart.org/IFC/RELEASE/IFC4/ADD2_TC1/HTML/schema/ifcbuildingcontrolsdomain/pset/pset_actuatortypehydraulicactuator.htm" xr:uid="{7BBA572D-AA31-4538-B8A1-41595822C2FA}"/>
    <hyperlink ref="Q819" r:id="rId2889" display="https://standards.buildingsmart.org/IFC/RELEASE/IFC4/ADD2_TC1/HTML/schema/ifchvacdomain/pset/pset_compressorphistory.htm" xr:uid="{85113411-79A1-4075-87B7-A5C306DECDB4}"/>
    <hyperlink ref="Q2396" r:id="rId2890" display="https://standards.buildingsmart.org/IFC/RELEASE/IFC4/ADD2_TC1/HTML/schema/ifcbuildingcontrolsdomain/pset/pset_actuatortypepneumaticactuator.htm" xr:uid="{C86C891C-0177-4631-B26C-BAEC1FBBC9C6}"/>
    <hyperlink ref="Q2395" r:id="rId2891" display="https://standards.buildingsmart.org/IFC/RELEASE/IFC4/ADD2_TC1/HTML/schema/ifcbuildingcontrolsdomain/pset/pset_actuatortypehydraulicactuator.htm" xr:uid="{253706A4-22DF-4BBF-B3CB-35838D43ECC2}"/>
    <hyperlink ref="Q1034" r:id="rId2892" display="https://standards.buildingsmart.org/IFC/RELEASE/IFC4/ADD2_TC1/HTML/schema/ifcmaterialresource/pset/pset_materialwoodbasedbeam.htm" xr:uid="{92CC7B70-EAE7-48B5-9D49-A44C4123BB90}"/>
    <hyperlink ref="Q1286" r:id="rId2893" display="https://standards.buildingsmart.org/IFC/RELEASE/IFC4/ADD2_TC1/HTML/schema/ifcmaterialresource/pset/pset_materialwoodbasedpanel.htm" xr:uid="{F7EE62FF-C55C-40B7-92CF-BEF795AB46F3}"/>
    <hyperlink ref="Q1287" r:id="rId2894" display="https://standards.buildingsmart.org/IFC/RELEASE/IFC4/ADD2_TC1/HTML/schema/ifcmaterialresource/pset/pset_materialwoodbasedbeam.htm" xr:uid="{D61657FA-BF16-46C6-B65A-1B7FD29DFA32}"/>
    <hyperlink ref="Q665" r:id="rId2895" display="https://standards.buildingsmart.org/IFC/RELEASE/IFC4/ADD2_TC1/HTML/schema/ifchvacdomain/pset/pset_pipesegmenttypecommon.htm" xr:uid="{8024BF34-3D9D-4265-B001-5E1E821B4F57}"/>
    <hyperlink ref="Q664" r:id="rId2896" display="https://standards.buildingsmart.org/IFC/RELEASE/IFC4/ADD2_TC1/HTML/schema/ifcsharedbldgserviceelements/pset/pset_distributionporttypepipe.htm" xr:uid="{331BDF95-360A-4F14-95C5-6653A5963B59}"/>
    <hyperlink ref="Q835" r:id="rId2897" display="https://standards.buildingsmart.org/IFC/RELEASE/IFC4/ADD2_TC1/HTML/schema/ifchvacdomain/pset/pset_tubebundletypecommon.htm" xr:uid="{9DAD5EB3-4442-4AB1-A0D0-D1805D40F82F}"/>
    <hyperlink ref="Q2236" r:id="rId2898" display="https://standards.buildingsmart.org/IFC/RELEASE/IFC4/ADD2_TC1/HTML/schema/ifcplumbingfireprotectiondomain/pset/pset_wasteterminaltypefloortrap.htm" xr:uid="{00D63084-1B1C-4FC1-987D-E3E4FB253AB9}"/>
    <hyperlink ref="Q648" r:id="rId2899" display="https://standards.buildingsmart.org/IFC/RELEASE/IFC4/ADD2_TC1/HTML/schema/ifcplumbingfireprotectiondomain/pset/pset_firesuppressionterminaltypebreechinginlet.htm" xr:uid="{0AD6521D-5AB9-42BE-95C5-ADF76BDBA273}"/>
    <hyperlink ref="Q1896" r:id="rId2900" display="https://standards.buildingsmart.org/IFC/RELEASE/IFC4/ADD2_TC1/HTML/schema/ifcplumbingfireprotectiondomain/pset/pset_wasteterminaltypewastetrap.htm" xr:uid="{7E50817B-2FB8-47F9-9B27-7F7E5EB27956}"/>
    <hyperlink ref="Q1895" r:id="rId2901" display="https://standards.buildingsmart.org/IFC/RELEASE/IFC4/ADD2_TC1/HTML/schema/ifcplumbingfireprotectiondomain/pset/pset_wasteterminaltypegullytrap.htm" xr:uid="{03248281-409A-434C-BF2B-017D9C01B7AB}"/>
    <hyperlink ref="Q1897" r:id="rId2902" display="https://standards.buildingsmart.org/IFC/RELEASE/IFC4/ADD2_TC1/HTML/schema/ifcplumbingfireprotectiondomain/pset/pset_wasteterminaltypegullysump.htm" xr:uid="{8266692D-6905-4EDA-966A-855C266F9CC4}"/>
    <hyperlink ref="Q1893" r:id="rId2903" display="https://standards.buildingsmart.org/IFC/RELEASE/IFC4/ADD2_TC1/HTML/schema/ifcplumbingfireprotectiondomain/pset/pset_wasteterminaltypefloortrap.htm" xr:uid="{BFCFFF68-615F-4374-9E1F-BD683CD8C0C4}"/>
    <hyperlink ref="Q1892" r:id="rId2904" display="https://standards.buildingsmart.org/IFC/RELEASE/IFC4/ADD2_TC1/HTML/schema/ifcplumbingfireprotectiondomain/pset/pset_interceptortypecommon.htm" xr:uid="{E074BE8C-CD2F-4A76-A112-DD3128C67ABE}"/>
    <hyperlink ref="Q1894" r:id="rId2905" display="https://standards.buildingsmart.org/IFC/RELEASE/IFC4/ADD2_TC1/HTML/schema/ifcplumbingfireprotectiondomain/pset/pset_firesuppressionterminaltypehosereel.htm" xr:uid="{336D2C06-6DBA-45AA-AFEC-555666D5DD62}"/>
    <hyperlink ref="Q2121" r:id="rId2906" display="https://standards.buildingsmart.org/IFC/RELEASE/IFC4/ADD2_TC1/HTML/schema/ifcstructuralelementsdomain/pset/pset_precastconcreteelementgeneral.htm" xr:uid="{3D8A4C97-7A25-451E-B28E-6A4592BB0AFA}"/>
    <hyperlink ref="Q1698" r:id="rId2907" display="https://standards.buildingsmart.org/IFC/RELEASE/IFC4/ADD2_TC1/HTML/schema/ifchvacdomain/pset/pset_filtertypecommon.htm" xr:uid="{AB7358D1-5D73-4FEA-99DF-C52A02C495AD}"/>
    <hyperlink ref="Q1064" r:id="rId2908" display="https://standards.buildingsmart.org/IFC/RELEASE/IFC4/ADD2_TC1/HTML/schema/ifcsharedbldgserviceelements/pset/pset_spacethermalloadphistory.htm" xr:uid="{256DE7A1-C64E-4B9A-87C0-ED038C304594}"/>
    <hyperlink ref="Q1063" r:id="rId2909" display="https://standards.buildingsmart.org/IFC/RELEASE/IFC4/ADD2_TC1/HTML/schema/ifcsharedbldgserviceelements/pset/pset_spacethermalload.htm" xr:uid="{AAE1FAE3-0C7F-4C6A-9FCB-C29EBE1AA65B}"/>
    <hyperlink ref="Q1060" r:id="rId2910" display="https://standards.buildingsmart.org/IFC/RELEASE/IFC4/ADD2_TC1/HTML/schema/ifcsharedbldgserviceelements/pset/pset_thermalloadaggregate.htm" xr:uid="{28417EF8-228B-46CB-BBEB-33F37B6B8AE4}"/>
    <hyperlink ref="Q1062" r:id="rId2911" display="https://standards.buildingsmart.org/IFC/RELEASE/IFC4/ADD2_TC1/HTML/schema/ifcsharedbldgserviceelements/pset/pset_airsidesysteminformation.htm" xr:uid="{5EB786C0-1C16-4486-ADC0-1AF2E60A21D1}"/>
    <hyperlink ref="Q1061" r:id="rId2912" display="https://standards.buildingsmart.org/IFC/RELEASE/IFC4/ADD2_TC1/HTML/schema/ifcsharedbldgserviceelements/pset/pset_thermalloadaggregate.htm" xr:uid="{BC9DC815-9937-484F-8B3A-244C99F2F752}"/>
    <hyperlink ref="Q2440" r:id="rId2913" display="https://standards.buildingsmart.org/IFC/RELEASE/IFC4/ADD2_TC1/HTML/schema/ifcsharedbldgserviceelements/pset/pset_airsidesysteminformation.htm" xr:uid="{50F9E2BE-A03E-47B7-BDD0-B852D712E44B}"/>
    <hyperlink ref="Q1065" r:id="rId2914" display="https://standards.buildingsmart.org/IFC/RELEASE/IFC4/ADD2_TC1/HTML/schema/ifcsharedbldgelements/pset/pset_windowcommon.htm" xr:uid="{3615DE58-E988-4AFF-A7FD-862A73C5ADE3}"/>
    <hyperlink ref="Q1066" r:id="rId2915" display="https://standards.buildingsmart.org/IFC/RELEASE/IFC4/ADD2_TC1/HTML/schema/ifcsharedbldgelements/pset/pset_doorcommon.htm" xr:uid="{E87E8005-2A38-4F20-B915-5604EC6C202E}"/>
    <hyperlink ref="Q1684" r:id="rId2916" display="https://standards.buildingsmart.org/IFC/RELEASE/IFC4/ADD2_TC1/HTML/schema/ifcproductextension/pset/pset_environmentalimpactindicators.htm" xr:uid="{EAD7E32D-233E-41FB-AC5F-FBAE45E3C41C}"/>
    <hyperlink ref="Q1685" r:id="rId2917" display="https://standards.buildingsmart.org/IFC/RELEASE/IFC4/ADD2_TC1/HTML/schema/ifcproductextension/pset/pset_environmentalimpactvalues.htm" xr:uid="{E82A5696-1A5A-4EB9-B8C8-6D8ED7DE4195}"/>
    <hyperlink ref="Q1541" r:id="rId2918" display="https://standards.buildingsmart.org/IFC/RELEASE/IFC4/ADD2_TC1/HTML/schema/ifchvacdomain/pset/pset_airterminalphistory.htm" xr:uid="{5032E85B-A9E9-4776-842D-991BA76ECDA7}"/>
    <hyperlink ref="Q64" r:id="rId2919" display="https://standards.buildingsmart.org/IFC/RELEASE/IFC4/ADD2_TC1/HTML/schema/ifcsharedfacilitieselements/pset/pset_servicelifefactors.htm" xr:uid="{C5ADD5D3-5184-416F-A990-CB3C600D757E}"/>
    <hyperlink ref="Q486" r:id="rId2920" display="https://standards.buildingsmart.org/IFC/RELEASE/IFC4/ADD2_TC1/HTML/schema/ifcmaterialresource/pset/pset_materialwater.htm" xr:uid="{998DC7B5-D0F5-44CE-A75B-43BA532B792C}"/>
    <hyperlink ref="Q653" r:id="rId2921" display="https://standards.buildingsmart.org/IFC/RELEASE/IFC4/ADD2_TC1/HTML/schema/ifchvacdomain/pset/pset_pumpoccurrence.htm" xr:uid="{EA1AE31D-0DB7-4432-B143-8C29FA4A10C1}"/>
    <hyperlink ref="Q654" r:id="rId2922" display="https://standards.buildingsmart.org/IFC/RELEASE/IFC4/ADD2_TC1/HTML/schema/ifchvacdomain/pset/pset_fanoccurrence.htm" xr:uid="{416D63A5-7122-46DD-AE79-18BEAFDCBB3F}"/>
    <hyperlink ref="Q652" r:id="rId2923" display="https://standards.buildingsmart.org/IFC/RELEASE/IFC4/ADD2_TC1/HTML/schema/ifchvacdomain/pset/pset_compressortypecommon.htm" xr:uid="{561387AC-2417-482F-B88E-FED6A3F7BB03}"/>
    <hyperlink ref="Q1032" r:id="rId2924" display="https://standards.buildingsmart.org/IFC/RELEASE/IFC4/ADD2_TC1/HTML/schema/ifcelectricaldomain/pset/pset_audiovisualappliancetypespeaker.htm" xr:uid="{4CF31603-0769-40C7-8096-36F9746BDEBA}"/>
    <hyperlink ref="Q1539" r:id="rId2925" display="https://standards.buildingsmart.org/IFC/RELEASE/IFC4/ADD2_TC1/HTML/schema/ifcelectricaldomain/pset/pset_transformertypecommon.htm" xr:uid="{CCCC3F05-564F-4791-B142-4B7C40184935}"/>
    <hyperlink ref="Q1030" r:id="rId2926" display="https://standards.buildingsmart.org/IFC/RELEASE/IFC4/ADD2_TC1/HTML/schema/ifcproductextension/pset/pset_spacelightingrequirements.htm" xr:uid="{B240255A-2939-45B7-9A2C-0082B064DB49}"/>
    <hyperlink ref="Q344" r:id="rId2927" display="https://standards.buildingsmart.org/IFC/RELEASE/IFC4/ADD2_TC1/HTML/schema/ifcelectricaldomain/pset/pset_electricaldevicecommon.htm" xr:uid="{11F62CC5-9497-4E9D-80BE-917640A7F0AE}"/>
    <hyperlink ref="Q375" r:id="rId2928" display="https://standards.buildingsmart.org/IFC/RELEASE/IFC4/ADD2_TC1/HTML/schema/ifcsharedmgmtelements/pset/pset_projectorderworkorder.htm" xr:uid="{097CCD9A-4957-428C-859D-13D00B774ED9}"/>
    <hyperlink ref="Q374" r:id="rId2929" display="https://standards.buildingsmart.org/IFC/RELEASE/IFC4/ADD2_TC1/HTML/schema/ifcsharedmgmtelements/pset/pset_projectordermaintenanceworkorder.htm" xr:uid="{9E13C24A-7CDB-47FA-B598-829A52526E56}"/>
    <hyperlink ref="Q1026" r:id="rId2930" display="https://standards.buildingsmart.org/IFC/RELEASE/IFC4/ADD2_TC1/HTML/schema/ifcsharedfacilitieselements/pset/pset_propertyagreement.htm" xr:uid="{AFA664F9-9687-48D4-9A91-1DCCC99B94B8}"/>
    <hyperlink ref="Q1390" r:id="rId2931" display="https://standards.buildingsmart.org/IFC/RELEASE/IFC4/ADD2_TC1/HTML/schema/ifchvacdomain/pset/pset_compressortypecommon.htm" xr:uid="{8FC203E7-159E-4860-B6E5-A694043D8350}"/>
    <hyperlink ref="Q202" r:id="rId2932" display="https://standards.buildingsmart.org/IFC/RELEASE/IFC4/ADD2_TC1/HTML/schema/ifchvacdomain/pset/pset_compressortypecommon.htm" xr:uid="{1B26BC81-C59E-498A-AD14-B861FF6D4C31}"/>
    <hyperlink ref="Q1737" r:id="rId2933" display="https://standards.buildingsmart.org/IFC/RELEASE/IFC4/ADD2_TC1/HTML/schema/ifcelectricaldomain/pset/pset_protectivedevicetypecircuitbreaker.htm" xr:uid="{D3BE9B76-B378-43CB-A095-DC6E68859ACE}"/>
    <hyperlink ref="Q1736" r:id="rId2934" display="https://standards.buildingsmart.org/IFC/RELEASE/IFC4/ADD2_TC1/HTML/schema/ifcelectricaldomain/pset/pset_protectivedevicebreakerunittypemotorprotection.htm" xr:uid="{4F637712-5A9C-4EF8-B0DF-62C040CFCADA}"/>
    <hyperlink ref="Q1730" r:id="rId2935" display="https://standards.buildingsmart.org/IFC/RELEASE/IFC4/ADD2_TC1/HTML/schema/ifcelectricaldomain/pset/pset_protectivedevicetypecircuitbreaker.htm" xr:uid="{5CAC9B12-0BFA-4F26-A7C4-BE8524E09392}"/>
    <hyperlink ref="Q1728" r:id="rId2936" display="https://standards.buildingsmart.org/IFC/RELEASE/IFC4/ADD2_TC1/HTML/schema/ifcelectricaldomain/pset/pset_protectivedevicebreakerunittypemotorprotection.htm" xr:uid="{31E7937A-B5CC-419C-8AD9-B02FF5CD135E}"/>
    <hyperlink ref="Q1729" r:id="rId2937" display="https://standards.buildingsmart.org/IFC/RELEASE/IFC4/ADD2_TC1/HTML/schema/ifcelectricaldomain/pset/pset_protectivedevicebreakerunittypemcb.htm" xr:uid="{58C73F5C-E68D-43DD-8149-2DCD6E6C9AA4}"/>
    <hyperlink ref="Q1735" r:id="rId2938" display="https://standards.buildingsmart.org/IFC/RELEASE/IFC4/ADD2_TC1/HTML/schema/ifcelectricaldomain/pset/pset_protectivedevicetypecircuitbreaker.htm" xr:uid="{0375B00A-3869-4D6B-ACDC-3CC1A91772D5}"/>
    <hyperlink ref="Q1733" r:id="rId2939" display="https://standards.buildingsmart.org/IFC/RELEASE/IFC4/ADD2_TC1/HTML/schema/ifcelectricaldomain/pset/pset_protectivedevicebreakerunittypemotorprotection.htm" xr:uid="{CA36ED59-5CA3-4CD9-815A-5DD6EBFF6F2D}"/>
    <hyperlink ref="Q1734" r:id="rId2940" display="https://standards.buildingsmart.org/IFC/RELEASE/IFC4/ADD2_TC1/HTML/schema/ifcelectricaldomain/pset/pset_protectivedevicebreakerunittypemcb.htm" xr:uid="{2B8432ED-AA88-4600-9436-15A8BDA55B19}"/>
    <hyperlink ref="Q1727" r:id="rId2941" display="https://standards.buildingsmart.org/IFC/RELEASE/IFC4/ADD2_TC1/HTML/schema/ifcelectricaldomain/pset/pset_protectivedevicebreakerunittypemcb.htm" xr:uid="{B41852BB-2C54-490E-86E3-D086AF63CB2E}"/>
    <hyperlink ref="Q1726" r:id="rId2942" display="https://standards.buildingsmart.org/IFC/RELEASE/IFC4/ADD2_TC1/HTML/schema/ifcelectricaldomain/pset/pset_protectivedevicebreakerunittypemcb.htm" xr:uid="{A64BA7E0-3635-481C-8B5E-AD276BBDD08A}"/>
    <hyperlink ref="Q1732" r:id="rId2943" display="https://standards.buildingsmart.org/IFC/RELEASE/IFC4/ADD2_TC1/HTML/schema/ifcelectricaldomain/pset/pset_protectivedevicetypecircuitbreaker.htm" xr:uid="{9E1745EB-B19E-4F7E-982A-E6E24678CB3D}"/>
    <hyperlink ref="Q1731" r:id="rId2944" display="https://standards.buildingsmart.org/IFC/RELEASE/IFC4/ADD2_TC1/HTML/schema/ifcelectricaldomain/pset/pset_protectivedevicebreakerunittypemotorprotection.htm" xr:uid="{0F0BA1E0-FF6F-42B7-973E-54D681EF7CCD}"/>
    <hyperlink ref="Q1725" r:id="rId2945" display="https://standards.buildingsmart.org/IFC/RELEASE/IFC4/ADD2_TC1/HTML/schema/ifcelectricaldomain/pset/pset_protectivedevicetypefusedisconnector.htm" xr:uid="{8FD2BE8F-5A19-4130-A3D1-4318761455A1}"/>
    <hyperlink ref="Q2133" r:id="rId2946" display="https://standards.buildingsmart.org/IFC/RELEASE/IFC4/ADD2_TC1/HTML/schema/ifcelectricaldomain/pset/pset_protectivedevicetrippingunittypeelectromagnetic.htm" xr:uid="{C399D1B1-5199-4425-B96D-2F5537A145E7}"/>
    <hyperlink ref="Q2132" r:id="rId2947" display="https://standards.buildingsmart.org/IFC/RELEASE/IFC4/ADD2_TC1/HTML/schema/ifcelectricaldomain/pset/pset_protectivedevicetrippingunittypeelectromagnetic.htm" xr:uid="{0D70DC21-DCF7-45B5-93DC-A279AC2629FE}"/>
    <hyperlink ref="Q82" r:id="rId2948" display="https://standards.buildingsmart.org/IFC/RELEASE/IFC4/ADD2_TC1/HTML/schema/ifcelectricaldomain/pset/pset_protectivedevicetrippingunittimeadjustment.htm" xr:uid="{DEC84D50-D205-49AB-A940-1B529A373AD1}"/>
    <hyperlink ref="Q2137" r:id="rId2949" display="https://standards.buildingsmart.org/IFC/RELEASE/IFC4/ADD2_TC1/HTML/schema/ifcelectricaldomain/pset/pset_protectivedevicetrippingunittypethermal.htm" xr:uid="{94EC762D-8674-46AE-87E1-796AC4BBF238}"/>
    <hyperlink ref="Q2136" r:id="rId2950" display="https://standards.buildingsmart.org/IFC/RELEASE/IFC4/ADD2_TC1/HTML/schema/ifcelectricaldomain/pset/pset_protectivedevicetrippingunittypeelectromagnetic.htm" xr:uid="{5E92CB83-F43C-4815-9F55-7C7D64A053E6}"/>
    <hyperlink ref="Q2135" r:id="rId2951" display="https://standards.buildingsmart.org/IFC/RELEASE/IFC4/ADD2_TC1/HTML/schema/ifcelectricaldomain/pset/pset_protectivedevicetrippingunittypethermal.htm" xr:uid="{69C332C1-A0EA-4D5F-9AE8-C8D005AE8B08}"/>
    <hyperlink ref="Q2134" r:id="rId2952" display="https://standards.buildingsmart.org/IFC/RELEASE/IFC4/ADD2_TC1/HTML/schema/ifcelectricaldomain/pset/pset_protectivedevicetrippingunittypeelectromagnetic.htm" xr:uid="{60BA26E3-B8AF-45D2-9D58-FE2CDC88324B}"/>
    <hyperlink ref="Q2003" r:id="rId2953" display="https://standards.buildingsmart.org/IFC/RELEASE/IFC4/ADD2_TC1/HTML/schema/ifcsharedbldgelements/pset/pset_doorcommon.htm" xr:uid="{9609EE69-8947-495B-B297-C0F63BF55E97}"/>
    <hyperlink ref="Q663" r:id="rId2954" display="https://standards.buildingsmart.org/IFC/RELEASE/IFC4/ADD2_TC1/HTML/schema/ifchvacdomain/pset/pset_ductsilencertypecommon.htm" xr:uid="{24B108EF-70A0-4417-A8C3-F38F50F467D4}"/>
    <hyperlink ref="Q782" r:id="rId2955" display="https://standards.buildingsmart.org/IFC/RELEASE/IFC4/ADD2_TC1/HTML/schema/ifchvacdomain/pset/pset_airtoairheatrecoveryphistory.htm" xr:uid="{A5C6836C-DB80-47DA-BF52-B91F6872C2A5}"/>
    <hyperlink ref="Q849" r:id="rId2956" display="https://standards.buildingsmart.org/IFC/RELEASE/IFC4/ADD2_TC1/HTML/schema/ifchvacdomain/pset/pset_airterminalboxtypecommon.htm" xr:uid="{71A5F526-858C-42A9-A512-B6B76BB66EBD}"/>
    <hyperlink ref="Q2169" r:id="rId2957" display="https://standards.buildingsmart.org/IFC/RELEASE/IFC4/ADD2_TC1/HTML/schema/ifcplumbingfireprotectiondomain/pset/pset_firesuppressionterminaltypehosereel.htm" xr:uid="{7FBBA651-4BA0-489E-8037-7D31E8882C38}"/>
    <hyperlink ref="Q2227" r:id="rId2958" display="https://standards.buildingsmart.org/IFC/RELEASE/IFC4/ADD2_TC1/HTML/schema/ifcplumbingfireprotectiondomain/pset/pset_firesuppressionterminaltypehosereel.htm" xr:uid="{A01636ED-47A5-4ECE-8EF4-BDC2AD2FE138}"/>
    <hyperlink ref="Q2167" r:id="rId2959" display="https://standards.buildingsmart.org/IFC/RELEASE/IFC4/ADD2_TC1/HTML/schema/ifcplumbingfireprotectiondomain/pset/pset_firesuppressionterminaltypehosereel.htm" xr:uid="{107E0CAA-68F3-492A-BCEC-67033621D8E0}"/>
    <hyperlink ref="Q388" r:id="rId2960" display="https://standards.buildingsmart.org/IFC/RELEASE/IFC4/ADD2_TC1/HTML/schema/ifcplumbingfireprotectiondomain/pset/pset_firesuppressionterminaltypehosereel.htm" xr:uid="{09F6B37E-C34C-47AD-8CFB-B90A8684362F}"/>
    <hyperlink ref="Q655" r:id="rId2961" display="https://standards.buildingsmart.org/IFC/RELEASE/IFC4/ADD2_TC1/HTML/schema/ifcplumbingfireprotectiondomain/pset/pset_firesuppressionterminaltypehosereel.htm" xr:uid="{8B086435-80B7-42FC-B443-83B8E83C358A}"/>
    <hyperlink ref="Q1898" r:id="rId2962" display="https://standards.buildingsmart.org/IFC/RELEASE/IFC4/ADD2_TC1/HTML/schema/ifcplumbingfireprotectiondomain/pset/pset_firesuppressionterminaltypefirehydrant.htm" xr:uid="{C52BCF66-4022-4BD1-819A-5EECE75650C2}"/>
    <hyperlink ref="Q836" r:id="rId2963" display="https://standards.buildingsmart.org/IFC/RELEASE/IFC4/ADD2_TC1/HTML/schema/ifchvacdomain/pset/pset_tubebundletypecommon.htm" xr:uid="{6E78A01F-414C-40C5-B66F-07E461C5A1E1}"/>
    <hyperlink ref="Q1322" r:id="rId2964" display="https://standards.buildingsmart.org/IFC/RELEASE/IFC4/ADD2_TC1/HTML/schema/ifcstructuralelementsdomain/pset/pset_reinforcementbarpitchofwall.htm" xr:uid="{CFA5EAFC-A84D-461A-9ED0-88A8DBC34295}"/>
    <hyperlink ref="Q1362" r:id="rId2965" display="https://standards.buildingsmart.org/IFC/RELEASE/IFC4/ADD2_TC1/HTML/schema/ifcstructuralelementsdomain/pset/pset_reinforcementbarpitchofcolumn.htm" xr:uid="{04C09D0E-5707-48EE-B8AA-B81C54FBAD4D}"/>
    <hyperlink ref="Q821" r:id="rId2966" display="https://standards.buildingsmart.org/IFC/RELEASE/IFC4/ADD2_TC1/HTML/schema/ifcstructuralelementsdomain/pset/pset_precastconcreteelementgeneral.htm" xr:uid="{E5D07D10-9946-4E19-A9F6-0D4C64C8281A}"/>
    <hyperlink ref="Q1172" r:id="rId2967" display="https://standards.buildingsmart.org/IFC/RELEASE/IFC4/ADD2_TC1/HTML/schema/ifcsharedfacilitieselements/pset/pset_furnituretypechair.htm" xr:uid="{931C1293-B15A-4300-B5A6-A656322B6699}"/>
    <hyperlink ref="Q1173" r:id="rId2968" display="https://standards.buildingsmart.org/IFC/RELEASE/IFC4/ADD2_TC1/HTML/schema/ifcmaterialresource/pset/pset_materialfuel.htm" xr:uid="{7C6A6EC0-8829-4F23-A3AE-4093396AE890}"/>
    <hyperlink ref="Q61" r:id="rId2969" display="https://standards.buildingsmart.org/IFC/RELEASE/IFC4/ADD2_TC1/HTML/schema/ifchvacdomain/pset/pset_tubebundletypefinned.htm" xr:uid="{5B6F989C-268F-4030-8646-5D3E0591F075}"/>
    <hyperlink ref="Q60" r:id="rId2970" display="https://standards.buildingsmart.org/IFC/RELEASE/IFC4/ADD2_TC1/HTML/schema/ifcsharedbldgelements/pset/pset_railingcommon.htm" xr:uid="{89FD6135-2E9A-48E5-A6DD-F11EB047448A}"/>
    <hyperlink ref="Q62" r:id="rId2971" display="https://standards.buildingsmart.org/IFC/RELEASE/IFC4/ADD2_TC1/HTML/schema/ifcsharedbldgelements/pset/pset_buildingelementproxyprovisionforvoid.htm" xr:uid="{D1737D21-3DD6-4F6E-92A8-6395B1884486}"/>
    <hyperlink ref="Q2262" r:id="rId2972" display="https://standards.buildingsmart.org/IFC/RELEASE/IFC4/ADD2_TC1/HTML/schema/ifchvacdomain/pset/pset_airtoairheatrecoverytypecommon.htm" xr:uid="{1476B44D-AC86-44D6-AF28-35D3ACCFBF61}"/>
    <hyperlink ref="Q110" r:id="rId2973" display="https://standards.buildingsmart.org/IFC/RELEASE/IFC4/ADD2_TC1/HTML/schema/ifchvacdomain/pset/pset_boilertypecommon.htm" xr:uid="{0B23AFF7-16EA-4EE8-8B10-99DAF1FA6EC8}"/>
    <hyperlink ref="Q1205" r:id="rId2974" display="https://standards.buildingsmart.org/IFC/RELEASE/IFC4/ADD2_TC1/HTML/schema/ifchvacdomain/pset/pset_spaceheatertypecommon.htm" xr:uid="{503110C8-DE9B-43A3-9719-568BB2E47C41}"/>
    <hyperlink ref="Q687" r:id="rId2975" display="https://standards.buildingsmart.org/IFC/RELEASE/IFC4/ADD2_TC1/HTML/schema/ifchvacdomain/pset/pset_spaceheatertypecommon.htm" xr:uid="{1CDB64CB-5704-4713-AAF4-09C389423693}"/>
    <hyperlink ref="Q368" r:id="rId2976" display="https://standards.buildingsmart.org/IFC/RELEASE/IFC4/ADD2_TC1/HTML/schema/ifchvacdomain/pset/pset_coolingtowerphistory.htm" xr:uid="{FE8547B5-E5F9-4C88-8987-283F8E7E0BA0}"/>
    <hyperlink ref="Q1965" r:id="rId2977" display="https://standards.buildingsmart.org/IFC/RELEASE/IFC4/ADD2_TC1/HTML/schema/ifchvacdomain/pset/pset_evaporatorphistory.htm" xr:uid="{858F357F-99E4-4B5E-A887-9395CDD41CFC}"/>
    <hyperlink ref="Q1964" r:id="rId2978" display="https://standards.buildingsmart.org/IFC/RELEASE/IFC4/ADD2_TC1/HTML/schema/ifchvacdomain/pset/pset_condenserphistory.htm" xr:uid="{D473CD50-38BF-4EDB-B5E6-EEFB86D3D5CD}"/>
    <hyperlink ref="Q1963" r:id="rId2979" display="https://standards.buildingsmart.org/IFC/RELEASE/IFC4/ADD2_TC1/HTML/schema/ifchvacdomain/pset/pset_spaceheaterphistory.htm" xr:uid="{7DB9A2C9-7BF9-4C80-8048-24C97D57D059}"/>
    <hyperlink ref="Q1711" r:id="rId2980" display="https://standards.buildingsmart.org/IFC/RELEASE/IFC4/ADD2_TC1/HTML/schema/ifchvacdomain/pset/pset_boilertypewater.htm" xr:uid="{A0F86143-2669-4B86-B606-E88214834B46}"/>
    <hyperlink ref="Q178" r:id="rId2981" display="https://standards.buildingsmart.org/IFC/RELEASE/IFC4/ADD2_TC1/HTML/schema/ifchvacdomain/pset/pset_boilertypesteam.htm" xr:uid="{8F60E9E0-741C-4F21-A73D-0DCE2E8B815A}"/>
    <hyperlink ref="Q171" r:id="rId2982" display="https://standards.buildingsmart.org/IFC/RELEASE/IFC4/ADD2_TC1/HTML/schema/ifcsharedbldgserviceelements/pset/pset_outsidedesigncriteria.htm" xr:uid="{79CD50EA-4A5E-494A-A513-9163981A4D30}"/>
    <hyperlink ref="Q1943" r:id="rId2983" display="https://standards.buildingsmart.org/IFC/RELEASE/IFC4/ADD2_TC1/HTML/schema/ifchvacdomain/pset/pset_cooledbeamphistory.htm" xr:uid="{211E4B96-2A99-461C-B268-64C0517BBDC1}"/>
    <hyperlink ref="Q607" r:id="rId2984" display="https://standards.buildingsmart.org/IFC/RELEASE/IFC4/ADD2_TC1/HTML/schema/ifcsharedbldgserviceelements/pset/pset_airsidesysteminformation.htm" xr:uid="{E76690CC-0405-4C5F-92B1-6DF85592B93C}"/>
    <hyperlink ref="Q2349" r:id="rId2985" display="https://standards.buildingsmart.org/IFC/RELEASE/IFC4/ADD2_TC1/HTML/schema/ifcsharedbldgserviceelements/pset/pset_spacethermaldesign.htm" xr:uid="{6ECD2B1B-72A4-4A27-B06A-E357DD6412EB}"/>
    <hyperlink ref="Q788" r:id="rId2986" display="https://standards.buildingsmart.org/IFC/RELEASE/IFC4/ADD2_TC1/HTML/schema/ifchvacdomain/pset/pset_unitaryequipmenttypeairconditioningunit.htm" xr:uid="{975C1C3B-2EEB-4C32-938D-3E52A1449771}"/>
    <hyperlink ref="Q168" r:id="rId2987" display="https://standards.buildingsmart.org/IFC/RELEASE/IFC4/ADD2_TC1/HTML/schema/ifcsharedbldgserviceelements/pset/pset_spacethermaldesign.htm" xr:uid="{37194B73-581E-4A50-BDD7-8B730C432B45}"/>
    <hyperlink ref="Q167" r:id="rId2988" display="https://standards.buildingsmart.org/IFC/RELEASE/IFC4/ADD2_TC1/HTML/schema/ifcsharedbldgserviceelements/pset/pset_outsidedesigncriteria.htm" xr:uid="{3F8DBA30-1604-408B-A06E-4FB7D90D4064}"/>
    <hyperlink ref="Q646" r:id="rId2989" display="https://standards.buildingsmart.org/IFC/RELEASE/IFC4/ADD2_TC1/HTML/schema/ifcsharedbldgserviceelements/pset/pset_outsidedesigncriteria.htm" xr:uid="{C9C241E3-5818-47D1-A823-ECCF0BD253E1}"/>
    <hyperlink ref="Q929" r:id="rId2990" display="https://standards.buildingsmart.org/IFC/RELEASE/IFC4/ADD2_TC1/HTML/schema/ifcsharedbldgserviceelements/pset/pset_spacethermaldesign.htm" xr:uid="{FC90482D-106E-4A0B-BD49-7D4D47459096}"/>
    <hyperlink ref="Q187" r:id="rId2991" display="https://standards.buildingsmart.org/IFC/RELEASE/IFC4/ADD2_TC1/HTML/schema/ifchvacdomain/pset/pset_unitaryequipmenttypeairconditioningunit.htm" xr:uid="{7834F7FA-C40C-4DED-80B2-5CD77A377DAB}"/>
    <hyperlink ref="Q1944" r:id="rId2992" display="https://standards.buildingsmart.org/IFC/RELEASE/IFC4/ADD2_TC1/HTML/schema/ifchvacdomain/pset/pset_spacethermalphistory.htm" xr:uid="{B18743D2-A330-4C44-B627-3182311C5E9E}"/>
    <hyperlink ref="Q111" r:id="rId2993" display="https://standards.buildingsmart.org/IFC/RELEASE/IFC4/ADD2_TC1/HTML/schema/ifchvacdomain/pset/pset_coiltypehydronic.htm" xr:uid="{A469CE68-0AE8-42CA-BDAF-4D7D1AA3E08B}"/>
    <hyperlink ref="Q114" r:id="rId2994" display="https://standards.buildingsmart.org/IFC/RELEASE/IFC4/ADD2_TC1/HTML/schema/ifchvacdomain/pset/pset_evaporativecoolertypecommon.htm" xr:uid="{27ACE286-84B5-444E-807A-EE511DB1157A}"/>
    <hyperlink ref="Q179" r:id="rId2995" display="https://standards.buildingsmart.org/IFC/RELEASE/IFC4/ADD2_TC1/HTML/schema/ifcsharedbldgserviceelements/pset/pset_utilityconsumptionphistory.htm" xr:uid="{14BCC62E-AF23-4339-84D0-F72E4A576096}"/>
    <hyperlink ref="Q953" r:id="rId2996" display="https://standards.buildingsmart.org/IFC/RELEASE/IFC4/ADD2_TC1/HTML/schema/ifcsharedcomponentelements/pset/pset_mechanicalfastenerbolt.htm" xr:uid="{BD539413-5C93-430B-8F52-C69DA9CAD271}"/>
    <hyperlink ref="Q1327" r:id="rId2997" display="https://standards.buildingsmart.org/IFC/RELEASE/IFC4/ADD2_TC1/HTML/schema/ifcsharedbldgelements/pset/pset_stairflightcommon.htm" xr:uid="{5E39CEAD-C312-490A-8DFE-11074DA05AD4}"/>
    <hyperlink ref="Q1328" r:id="rId2998" display="https://standards.buildingsmart.org/IFC/RELEASE/IFC4/ADD2_TC1/HTML/schema/ifcsharedbldgelements/pset/pset_rampflightcommon.htm" xr:uid="{71A03F7D-FFF9-4E40-BFF9-B7E94CF57876}"/>
    <hyperlink ref="Q1688" r:id="rId2999" display="https://standards.buildingsmart.org/IFC/RELEASE/IFC4/ADD2_TC1/HTML/schema/ifcproductextension/pset/pset_environmentalimpactindicators.htm" xr:uid="{809FD12D-7450-4BF6-8F2F-52FB872B35C5}"/>
    <hyperlink ref="Q1689" r:id="rId3000" display="https://standards.buildingsmart.org/IFC/RELEASE/IFC4/ADD2_TC1/HTML/schema/ifcproductextension/pset/pset_environmentalimpactvalues.htm" xr:uid="{9076BFF2-DFAB-406D-BEE9-80EE5787468A}"/>
    <hyperlink ref="Q2030" r:id="rId3001" display="https://standards.buildingsmart.org/IFC/RELEASE/IFC4/ADD2_TC1/HTML/schema/ifchvacdomain/pset/pset_tankoccurrence.htm" xr:uid="{79927EE7-D81B-4D6F-8A75-83D118FD19CA}"/>
    <hyperlink ref="Q2044" r:id="rId3002" display="https://standards.buildingsmart.org/IFC/RELEASE/IFC4/ADD2_TC1/HTML/schema/ifchvacdomain/pset/pset_tubebundletypecommon.htm" xr:uid="{1DA1040C-0A31-430D-88A2-65BEBF0017A1}"/>
    <hyperlink ref="Q2017" r:id="rId3003" display="https://standards.buildingsmart.org/IFC/RELEASE/IFC4/ADD2_TC1/HTML/schema/ifcplumbingfireprotectiondomain/pset/pset_sanitaryterminaltypeshower.htm" xr:uid="{47B32CC3-E138-4C56-A769-072E519D4CEA}"/>
    <hyperlink ref="Q1382" r:id="rId3004" display="https://standards.buildingsmart.org/IFC/RELEASE/IFC4/ADD2_TC1/HTML/schema/ifchvacdomain/pset/pset_airterminaltypecommon.htm" xr:uid="{FBFE345C-10C7-4FF3-BBBF-0C7B7B70BDEC}"/>
    <hyperlink ref="Q2024" r:id="rId3005" display="https://standards.buildingsmart.org/IFC/RELEASE/IFC4/ADD2_TC1/HTML/schema/ifcplumbingfireprotectiondomain/pset/pset_wasteterminaltypegullytrap.htm" xr:uid="{4501E7DA-0AD0-4241-84B2-6B250174AC17}"/>
    <hyperlink ref="Q2023" r:id="rId3006" display="https://standards.buildingsmart.org/IFC/RELEASE/IFC4/ADD2_TC1/HTML/schema/ifcplumbingfireprotectiondomain/pset/pset_wasteterminaltypefloortrap.htm" xr:uid="{BF45B6CD-DC50-4E9B-BFCE-42B27575B6EA}"/>
    <hyperlink ref="Q2027" r:id="rId3007" display="https://standards.buildingsmart.org/IFC/RELEASE/IFC4/ADD2_TC1/HTML/schema/ifcsharedbldgserviceelements/pset/pset_distributionchamberelementtypemanhole.htm" xr:uid="{11F53625-EDF9-4C65-84BD-5187689935A6}"/>
    <hyperlink ref="Q2014" r:id="rId3008" display="https://standards.buildingsmart.org/IFC/RELEASE/IFC4/ADD2_TC1/HTML/schema/ifchvacdomain/pset/pset_airterminaltypecommon.htm" xr:uid="{96DCC767-1E8B-4965-BEEE-6CA0C4620B5E}"/>
    <hyperlink ref="Q2013" r:id="rId3009" display="https://standards.buildingsmart.org/IFC/RELEASE/IFC4/ADD2_TC1/HTML/schema/ifchvacdomain/pset/pset_airterminalboxtypecommon.htm" xr:uid="{1863FED9-171A-4933-9993-B6FB0F43C540}"/>
    <hyperlink ref="Q2012" r:id="rId3010" display="https://standards.buildingsmart.org/IFC/RELEASE/IFC4/ADD2_TC1/HTML/schema/ifchvacdomain/pset/pset_coiloccurrence.htm" xr:uid="{6399DA1C-25C7-4C25-969B-06E0EB41D3A6}"/>
    <hyperlink ref="Q2036" r:id="rId3011" display="https://standards.buildingsmart.org/IFC/RELEASE/IFC4/ADD2_TC1/HTML/schema/ifcsharedbldgelements/pset/pset_windowcommon.htm" xr:uid="{C2C0B773-A2DF-4162-AF1C-45388FB6706D}"/>
    <hyperlink ref="Q2035" r:id="rId3012" display="https://standards.buildingsmart.org/IFC/RELEASE/IFC4/ADD2_TC1/HTML/schema/ifcsharedbldgelements/pset/pset_windowcommon.htm" xr:uid="{9DDC05E1-A1A9-4110-959F-BACB52390E27}"/>
    <hyperlink ref="Q2011" r:id="rId3013" display="https://standards.buildingsmart.org/IFC/RELEASE/IFC4/ADD2_TC1/HTML/schema/ifchvacdomain/pset/pset_airterminalboxtypecommon.htm" xr:uid="{9927E071-F29F-4AEC-A63B-862F6D5BA4FF}"/>
    <hyperlink ref="Q2015" r:id="rId3014" display="https://standards.buildingsmart.org/IFC/RELEASE/IFC4/ADD2_TC1/HTML/schema/ifcelectricaldomain/pset/pset_electricaldevicecommon.htm" xr:uid="{F38B0940-8B18-4075-B1D7-B5EB120F7F06}"/>
    <hyperlink ref="Q2016" r:id="rId3015" display="https://standards.buildingsmart.org/IFC/RELEASE/IFC4/ADD2_TC1/HTML/schema/ifcelectricaldomain/pset/pset_cablesegmenttypecablesegment.htm" xr:uid="{663C1308-B874-4F9E-A9B3-610684033710}"/>
    <hyperlink ref="Q2031" r:id="rId3016" display="https://standards.buildingsmart.org/IFC/RELEASE/IFC4/ADD2_TC1/HTML/schema/ifcelectricaldomain/pset/pset_electricmotortypecommon.htm" xr:uid="{C11CFF35-F0BD-40B1-9A98-72B39C5A79C2}"/>
    <hyperlink ref="Q2007" r:id="rId3017" display="https://standards.buildingsmart.org/IFC/RELEASE/IFC4/ADD2_TC1/HTML/schema/ifcsharedfacilitieselements/pset/pset_systemfurnitureelementtypepanel.htm" xr:uid="{55EB5E92-3A31-44E9-BB9A-DC362958B02A}"/>
    <hyperlink ref="Q2038" r:id="rId3018" display="https://standards.buildingsmart.org/IFC/RELEASE/IFC4/ADD2_TC1/HTML/schema/ifcsharedbldgelements/pset/pset_staircommon.htm" xr:uid="{7EB4053B-50D0-4491-BD4F-C3128757022C}"/>
    <hyperlink ref="Q2039" r:id="rId3019" display="https://standards.buildingsmart.org/IFC/RELEASE/IFC4/ADD2_TC1/HTML/schema/ifcsharedbldgelements/pset/pset_rampcommon.htm" xr:uid="{B138C411-4823-4477-AF90-46BAB3A62967}"/>
    <hyperlink ref="Q2040" r:id="rId3020" display="https://standards.buildingsmart.org/IFC/RELEASE/IFC4/ADD2_TC1/HTML/schema/ifcsharedbldgelements/pset/pset_coveringflooring.htm" xr:uid="{4A1D5C34-E192-4A8C-A727-53FD5D082655}"/>
    <hyperlink ref="Q2043" r:id="rId3021" display="https://standards.buildingsmart.org/IFC/RELEASE/IFC4/ADD2_TC1/HTML/schema/ifcelectricaldomain/pset/pset_switchingdevicetypecommon.htm" xr:uid="{B1383FC4-0417-462B-9ACF-A5A464086A69}"/>
    <hyperlink ref="Q2026" r:id="rId3022" display="https://standards.buildingsmart.org/IFC/RELEASE/IFC4/ADD2_TC1/HTML/schema/ifchvacdomain/pset/pset_ductsegmentoccurrence.htm" xr:uid="{A5BC1B8A-0B09-4102-92BE-D0AB60701BC6}"/>
    <hyperlink ref="Q2025" r:id="rId3023" display="https://standards.buildingsmart.org/IFC/RELEASE/IFC4/ADD2_TC1/HTML/schema/ifchvacdomain/pset/pset_ductfittingoccurrence.htm" xr:uid="{83169891-DABA-486F-863C-9D3A79362D5D}"/>
    <hyperlink ref="Q2022" r:id="rId3024" display="https://standards.buildingsmart.org/IFC/RELEASE/IFC4/ADD2_TC1/HTML/schema/ifchvacdomain/pset/pset_tankoccurrence.htm" xr:uid="{F70D7A31-8448-4679-A249-7A31B5E07541}"/>
    <hyperlink ref="Q1380" r:id="rId3025" display="https://standards.buildingsmart.org/IFC/RELEASE/IFC4/ADD2_TC1/HTML/schema/ifchvacdomain/pset/pset_valvetypeflushing.htm" xr:uid="{1E332B46-DD4E-4622-BC16-A466DB6DA3DB}"/>
    <hyperlink ref="Q2019" r:id="rId3026" display="https://standards.buildingsmart.org/IFC/RELEASE/IFC4/ADD2_TC1/HTML/schema/ifchvacdomain/pset/pset_airterminaltypecommon.htm" xr:uid="{8CE0A727-705D-4DC4-A113-E1B6C7BD6389}"/>
    <hyperlink ref="Q1379" r:id="rId3027" display="https://standards.buildingsmart.org/IFC/RELEASE/IFC4/ADD2_TC1/HTML/schema/ifchvacdomain/pset/pset_compressortypecommon.htm" xr:uid="{57885BF0-2948-48C4-9EAB-127284E8FE35}"/>
    <hyperlink ref="Q2032" r:id="rId3028" display="https://standards.buildingsmart.org/IFC/RELEASE/IFC4/ADD2_TC1/HTML/schema/ifchvacdomain/pset/pset_valvetypegastap.htm" xr:uid="{455D6318-F464-4CC7-989F-3A1C0D143E13}"/>
    <hyperlink ref="Q2033" r:id="rId3029" display="https://standards.buildingsmart.org/IFC/RELEASE/IFC4/ADD2_TC1/HTML/schema/ifchvacdomain/pset/pset_valvetypedrawoffcock.htm" xr:uid="{2D98400C-663D-4F1D-9C5B-4401B6114569}"/>
    <hyperlink ref="Q2010" r:id="rId3030" display="https://standards.buildingsmart.org/IFC/RELEASE/IFC4/ADD2_TC1/HTML/schema/ifcplumbingfireprotectiondomain/pset/pset_sanitaryterminaltypebath.htm" xr:uid="{D28AF416-4829-431F-9E7D-29ADB103E59B}"/>
    <hyperlink ref="Q2045" r:id="rId3031" display="https://standards.buildingsmart.org/IFC/RELEASE/IFC4/ADD2_TC1/HTML/schema/ifchvacdomain/pset/pset_airterminalboxtypecommon.htm" xr:uid="{C0E8D802-EEC3-4AC4-99B0-4F3C00FF1386}"/>
    <hyperlink ref="Q1381" r:id="rId3032" display="https://standards.buildingsmart.org/IFC/RELEASE/IFC4/ADD2_TC1/HTML/schema/ifchvacdomain/pset/pset_ductsilencertypecommon.htm" xr:uid="{4F3C9661-D073-4981-B840-E39C729F08DB}"/>
    <hyperlink ref="Q2028" r:id="rId3033" display="https://standards.buildingsmart.org/IFC/RELEASE/IFC4/ADD2_TC1/HTML/schema/ifcsharedbldgelements/pset/pset_windowcommon.htm" xr:uid="{C842ECDC-C2A9-41BE-A3FA-F5B0DBE3583B}"/>
    <hyperlink ref="Q2029" r:id="rId3034" display="https://standards.buildingsmart.org/IFC/RELEASE/IFC4/ADD2_TC1/HTML/schema/ifcsharedbldgelements/pset/pset_doorcommon.htm" xr:uid="{323D8202-CF57-4A26-ABE0-4267A2F41D64}"/>
    <hyperlink ref="Q2021" r:id="rId3035" display="https://standards.buildingsmart.org/IFC/RELEASE/IFC4/ADD2_TC1/HTML/schema/ifchvacdomain/pset/pset_airtoairheatrecoverytypecommon.htm" xr:uid="{50DBC00D-6E59-4456-BF1D-EF51776011FB}"/>
    <hyperlink ref="Q2020" r:id="rId3036" display="https://standards.buildingsmart.org/IFC/RELEASE/IFC4/ADD2_TC1/HTML/schema/ifcplumbingfireprotectiondomain/pset/pset_firesuppressionterminaltypesprinkler.htm" xr:uid="{3098522A-90C8-4383-9BA4-37CAD59DDA94}"/>
    <hyperlink ref="Q2042" r:id="rId3037" display="https://standards.buildingsmart.org/IFC/RELEASE/IFC4/ADD2_TC1/HTML/schema/ifcelectricaldomain/pset/pset_cablecarriersegmenttypecabletraysegment.htm" xr:uid="{144B738D-E6A7-436D-8215-EEBF1F7D9DA4}"/>
    <hyperlink ref="Q2037" r:id="rId3038" display="https://standards.buildingsmart.org/IFC/RELEASE/IFC4/ADD2_TC1/HTML/schema/ifchvacdomain/pset/pset_tubebundletypefinned.htm" xr:uid="{E88F9892-40FE-4862-A9BD-6F7ABA47F452}"/>
    <hyperlink ref="Q2018" r:id="rId3039" display="https://standards.buildingsmart.org/IFC/RELEASE/IFC4/ADD2_TC1/HTML/schema/ifcplumbingfireprotectiondomain/pset/pset_firesuppressionterminaltypebreechinginlet.htm" xr:uid="{1EB042A3-1741-4FDB-8A1F-4D3876E9B6AC}"/>
    <hyperlink ref="Q2009" r:id="rId3040" display="https://standards.buildingsmart.org/IFC/RELEASE/IFC4/ADD2_TC1/HTML/schema/ifcbuildingcontrolsdomain/pset/pset_sensortypesmokesensor.htm" xr:uid="{7CAB9441-9451-4B6C-823A-DF43355A2675}"/>
    <hyperlink ref="Q2041" r:id="rId3041" display="https://standards.buildingsmart.org/IFC/RELEASE/IFC4/ADD2_TC1/HTML/schema/ifcsharedbldgelements/pset/pset_coveringflooring.htm" xr:uid="{E48B01CF-1EC3-4D2C-B0F0-317F888B504D}"/>
    <hyperlink ref="Q714" r:id="rId3042" display="https://standards.buildingsmart.org/IFC/RELEASE/IFC4/ADD2_TC1/HTML/schema/ifcmaterialresource/pset/pset_materialwater.htm" xr:uid="{5ABB8E3A-5085-4BED-ACA8-82262129ABC2}"/>
    <hyperlink ref="Q1230" r:id="rId3043" display="https://standards.buildingsmart.org/IFC/RELEASE/IFC4/ADD2_TC1/HTML/schema/ifcmaterialresource/pset/pset_materialsteel.htm" xr:uid="{ACFC0FAB-FF28-4C65-B393-2EE9784DC231}"/>
    <hyperlink ref="Q42" r:id="rId3044" display="https://standards.buildingsmart.org/IFC/RELEASE/IFC4/ADD2_TC1/HTML/schema/ifcsharedfacilitieselements/pset/pset_systemfurnitureelementtypeworksurface.htm" xr:uid="{537EDEC8-B44E-4756-AA2C-18FCBCE2AB9C}"/>
    <hyperlink ref="Q16" r:id="rId3045" display="https://standards.buildingsmart.org/IFC/RELEASE/IFC4/ADD2_TC1/HTML/schema/ifcproductextension/pset/pset_zonecommon.htm" xr:uid="{A843BFEC-0A74-411E-AE6C-1501A83CAC1F}"/>
    <hyperlink ref="Q13" r:id="rId3046" display="https://standards.buildingsmart.org/IFC/RELEASE/IFC4/ADD2_TC1/HTML/schema/ifcsharedbldgelements/pset/pset_staircommon.htm" xr:uid="{DB72F876-9ABC-4068-BD4A-54273070DD50}"/>
    <hyperlink ref="Q12" r:id="rId3047" display="https://standards.buildingsmart.org/IFC/RELEASE/IFC4/ADD2_TC1/HTML/schema/ifcproductextension/pset/pset_spacecommon.htm" xr:uid="{72C3EE72-0112-4803-BE3C-64E1C88868AA}"/>
    <hyperlink ref="Q15" r:id="rId3048" display="https://standards.buildingsmart.org/IFC/RELEASE/IFC4/ADD2_TC1/HTML/schema/ifcsharedbldgelements/pset/pset_rampcommon.htm" xr:uid="{30CDDF83-2B00-4F3B-A092-68D78E08F409}"/>
    <hyperlink ref="Q14" r:id="rId3049" display="https://standards.buildingsmart.org/IFC/RELEASE/IFC4/ADD2_TC1/HTML/schema/ifcsharedbldgelements/pset/pset_doorcommon.htm" xr:uid="{B8024F11-2386-4998-841B-4A0DA1331706}"/>
    <hyperlink ref="Q1160" r:id="rId3050" display="https://standards.buildingsmart.org/IFC/RELEASE/IFC4/ADD2_TC1/HTML/schema/ifcelectricaldomain/pset/pset_cablesegmenttypecoresegment.htm" xr:uid="{4744E962-3503-45A0-998E-7CDFD4E285DA}"/>
    <hyperlink ref="Q1161" r:id="rId3051" display="https://standards.buildingsmart.org/IFC/RELEASE/IFC4/ADD2_TC1/HTML/schema/ifcelectricaldomain/pset/pset_cablesegmenttypecablesegment.htm" xr:uid="{A717FEDF-BD9B-43F4-B49A-3593888A1DA4}"/>
    <hyperlink ref="Q2147" r:id="rId3052" display="https://standards.buildingsmart.org/IFC/RELEASE/IFC4/ADD2_TC1/HTML/schema/ifcplumbingfireprotectiondomain/pset/pset_wasteterminaltypegullytrap.htm" xr:uid="{96A7D154-02F8-4AD5-BACA-52D27575D189}"/>
    <hyperlink ref="Q2148" r:id="rId3053" display="https://standards.buildingsmart.org/IFC/RELEASE/IFC4/ADD2_TC1/HTML/schema/ifcplumbingfireprotectiondomain/pset/pset_wasteterminaltypegullysump.htm" xr:uid="{CBF556A7-0906-451C-9CD6-A11EE8D4C338}"/>
    <hyperlink ref="Q341" r:id="rId3054" display="https://standards.buildingsmart.org/IFC/RELEASE/IFC4/ADD2_TC1/HTML/schema/ifcsharedfacilitieselements/pset/pset_systemfurnitureelementtypecommon.htm" xr:uid="{EC1E863D-24B4-4EE1-89E2-9FF9C5A9D9A5}"/>
    <hyperlink ref="Q2102" r:id="rId3055" display="https://standards.buildingsmart.org/IFC/RELEASE/IFC4/ADD2_TC1/HTML/schema/ifcelectricaldomain/pset/pset_protectivedeviceoccurrence.htm" xr:uid="{0762F412-D25F-4821-B2C1-03FFE09C05C6}"/>
    <hyperlink ref="Q982" r:id="rId3056" display="https://standards.buildingsmart.org/IFC/RELEASE/IFC4/ADD2_TC1/HTML/schema/ifcelectricaldomain/pset/pset_protectivedeviceoccurrence.htm" xr:uid="{2A4D8105-DEAB-48B1-83A9-DF156B642E4C}"/>
    <hyperlink ref="Q986" r:id="rId3057" display="https://standards.buildingsmart.org/IFC/RELEASE/IFC4/ADD2_TC1/HTML/schema/ifcelectricaldomain/pset/pset_protectivedeviceoccurrence.htm" xr:uid="{7D940F9B-F7FA-458C-9371-A931B9DBD481}"/>
    <hyperlink ref="Q2364" r:id="rId3058" display="https://standards.buildingsmart.org/IFC/RELEASE/IFC4/ADD2_TC1/HTML/schema/ifcelectricaldomain/pset/pset_protectivedeviceoccurrence.htm" xr:uid="{98D190ED-8243-4AAB-89EB-84E73156B573}"/>
    <hyperlink ref="Q98" r:id="rId3059" display="https://standards.buildingsmart.org/IFC/RELEASE/IFC4/ADD2_TC1/HTML/schema/ifcproductextension/pset/pset_zonecommon.htm" xr:uid="{7065A293-FC77-4F70-932F-B4CAC5101034}"/>
    <hyperlink ref="Q97" r:id="rId3060" display="https://standards.buildingsmart.org/IFC/RELEASE/IFC4/ADD2_TC1/HTML/schema/ifcproductextension/pset/pset_spacecommon.htm" xr:uid="{F6B86FFC-8F65-4A25-BB7F-2D27EF9BCA7D}"/>
    <hyperlink ref="Q95" r:id="rId3061" display="https://standards.buildingsmart.org/IFC/RELEASE/IFC4/ADD2_TC1/HTML/schema/ifcproductextension/pset/pset_buildingstoreycommon.htm" xr:uid="{33211BC9-012D-4BE3-9B7E-7776E558E1FD}"/>
    <hyperlink ref="Q96" r:id="rId3062" display="https://standards.buildingsmart.org/IFC/RELEASE/IFC4/ADD2_TC1/HTML/schema/ifcproductextension/pset/pset_buildingcommon.htm" xr:uid="{08F4D14E-A5F4-4447-A938-98B0688F3FD4}"/>
    <hyperlink ref="Q1009" r:id="rId3063" display="https://standards.buildingsmart.org/IFC/RELEASE/IFC4/ADD2_TC1/HTML/schema/ifchvacdomain/pset/pset_pipesegmentoccurrence.htm" xr:uid="{5BB48AEB-5349-4424-BBBC-C6E7ED5A5510}"/>
    <hyperlink ref="Q1506" r:id="rId3064" display="https://standards.buildingsmart.org/IFC/RELEASE/IFC4/ADD2_TC1/HTML/schema/ifcsharedfacilitieselements/pset/pset_manufacturertypeinformation.htm" xr:uid="{AB564949-81C5-46A8-B842-8C730EE17CC3}"/>
    <hyperlink ref="Q964" r:id="rId3065" display="https://standards.buildingsmart.org/IFC/RELEASE/IFC4/ADD2_TC1/HTML/schema/ifcsharedbldgelements/pset/pset_windowcommon.htm" xr:uid="{48B18CFB-562B-400C-9AED-DE4D619EE14D}"/>
    <hyperlink ref="Q965" r:id="rId3066" display="https://standards.buildingsmart.org/IFC/RELEASE/IFC4/ADD2_TC1/HTML/schema/ifcsharedbldgelements/pset/pset_doorcommon.htm" xr:uid="{7649B3E9-05F8-4F82-962D-36A47BA6858B}"/>
    <hyperlink ref="Q865" r:id="rId3067" display="https://standards.buildingsmart.org/IFC/RELEASE/IFC4/ADD2_TC1/HTML/schema/ifcsharedbldgelements/pset/pset_doorwindowglazingtype.htm" xr:uid="{EC88102F-93C3-4C2B-B5FB-286F259BDCD3}"/>
    <hyperlink ref="Q864" r:id="rId3068" display="https://standards.buildingsmart.org/IFC/RELEASE/IFC4/ADD2_TC1/HTML/schema/ifcsharedbldgelements/pset/pset_doorwindowglazingtype.htm" xr:uid="{193E008D-8786-4B50-9B49-91CBCBC32831}"/>
    <hyperlink ref="Q863" r:id="rId3069" display="https://standards.buildingsmart.org/IFC/RELEASE/IFC4/ADD2_TC1/HTML/schema/ifcsharedbldgelements/pset/pset_doorwindowglazingtype.htm" xr:uid="{B2293738-E3F7-4EBD-A9DF-02450456BD72}"/>
    <hyperlink ref="Q180" r:id="rId3070" display="https://standards.buildingsmart.org/IFC/RELEASE/IFC4/ADD2_TC1/HTML/schema/ifcsharedbldgelements/pset/pset_doorwindowglazingtype.htm" xr:uid="{A3F68201-0471-4C8E-96B4-ECACEE02D795}"/>
    <hyperlink ref="Q501" r:id="rId3071" display="https://standards.buildingsmart.org/IFC/RELEASE/IFC4/ADD2_TC1/HTML/schema/ifcsharedbldgelements/pset/pset_doorwindowglazingtype.htm" xr:uid="{7E8BBA5C-C1A2-4586-A25C-18FF85FD30E6}"/>
    <hyperlink ref="Q2270" r:id="rId3072" display="https://standards.buildingsmart.org/IFC/RELEASE/IFC4/ADD2_TC1/HTML/schema/ifchvacdomain/pset/pset_flowmetertypegasmeter.htm" xr:uid="{349D4E6D-BB20-46E6-9879-D6F9815D61BD}"/>
    <hyperlink ref="Q1412" r:id="rId3073" display="https://standards.buildingsmart.org/IFC/RELEASE/IFC4/ADD2_TC1/HTML/schema/ifcmaterialresource/pset/pset_materialenergy.htm" xr:uid="{0C29E551-8287-480A-96C8-0624F20BB1A2}"/>
    <hyperlink ref="Q1006" r:id="rId3074" display="https://standards.buildingsmart.org/IFC/RELEASE/IFC4/ADD2_TC1/HTML/schema/ifcbuildingcontrolsdomain/pset/pset_sensortypegassensor.htm" xr:uid="{B0DF6417-DE65-4096-8F08-7AA04DAEE4E4}"/>
    <hyperlink ref="Q2066" r:id="rId3075" display="https://standards.buildingsmart.org/IFC/RELEASE/IFC4/ADD2_TC1/HTML/schema/ifchvacdomain/pset/pset_dampertypefiresmokedamper.htm" xr:uid="{0A927A19-5E7A-4D7C-92A5-785F2DCC729F}"/>
    <hyperlink ref="Q2067" r:id="rId3076" display="https://standards.buildingsmart.org/IFC/RELEASE/IFC4/ADD2_TC1/HTML/schema/ifchvacdomain/pset/pset_dampertypefiredamper.htm" xr:uid="{9A103B65-2E9E-41CF-87F7-B1AF15501539}"/>
    <hyperlink ref="Q2267" r:id="rId3077" display="https://standards.buildingsmart.org/IFC/RELEASE/IFC4/ADD2_TC1/HTML/schema/ifcelectricaldomain/pset/pset_protectivedevicetypefusedisconnector.htm" xr:uid="{6EC9044B-FD10-4849-9D2B-F8504C61F7AE}"/>
    <hyperlink ref="Q2239" r:id="rId3078" display="https://standards.buildingsmart.org/IFC/RELEASE/IFC4/ADD2_TC1/HTML/schema/ifcsharedfacilitieselements/pset/pset_systemfurnitureelementtypepanel.htm" xr:uid="{A96EE2A8-7A13-4F70-8FC0-DAC03FB4424C}"/>
    <hyperlink ref="Q983" r:id="rId3079" display="https://standards.buildingsmart.org/IFC/RELEASE/IFC4/ADD2_TC1/HTML/schema/ifcelectricaldomain/pset/pset_cablesegmenttypecoresegment.htm" xr:uid="{958234DD-5C82-44D4-9762-8946D1D75982}"/>
    <hyperlink ref="Q984" r:id="rId3080" display="https://standards.buildingsmart.org/IFC/RELEASE/IFC4/ADD2_TC1/HTML/schema/ifcelectricaldomain/pset/pset_cablesegmenttypecablesegment.htm" xr:uid="{F4649782-CD86-4B7B-B365-5B2581E66870}"/>
    <hyperlink ref="Q1552" r:id="rId3081" display="https://standards.buildingsmart.org/IFC/RELEASE/IFC4/ADD2_TC1/HTML/schema/ifcproductextension/pset/pset_environmentalimpactindicators.htm" xr:uid="{A30B6DC4-DEEC-47AF-9130-50A0BFC43619}"/>
    <hyperlink ref="Q994" r:id="rId3082" display="https://standards.buildingsmart.org/IFC/RELEASE/IFC4/ADD2_TC1/HTML/schema/ifcelectricaldomain/pset/pset_cablesegmenttypeconductorsegment.htm" xr:uid="{9A800AC2-B95C-4A78-9B3D-C164FCD78891}"/>
    <hyperlink ref="Q568" r:id="rId3083" display="https://standards.buildingsmart.org/IFC/RELEASE/IFC4/ADD2_TC1/HTML/schema/ifchvacdomain/pset/pset_chillertypecommon.htm" xr:uid="{0B44BE6E-FA96-4225-8A83-D873E33D6573}"/>
    <hyperlink ref="Q1537" r:id="rId3084" display="https://standards.buildingsmart.org/IFC/RELEASE/IFC4/ADD2_TC1/HTML/schema/ifchvacdomain/pset/pset_compressorphistory.htm" xr:uid="{625319C0-4789-4766-A382-A4659A180D46}"/>
    <hyperlink ref="Q373" r:id="rId3085" display="https://standards.buildingsmart.org/IFC/RELEASE/IFC4/ADD2_TC1/HTML/schema/ifcsharedbldgserviceelements/pset/pset_utilityconsumptionphistory.htm" xr:uid="{B8B26BBB-0978-46A0-999B-B5754A881B6C}"/>
    <hyperlink ref="Q1339" r:id="rId3086" display="https://standards.buildingsmart.org/IFC/RELEASE/IFC4/ADD2_TC1/HTML/schema/ifcsharedbldgserviceelements/pset/pset_distributionsystemtypeventilation.htm" xr:uid="{1F9E9CD7-6E33-485D-8B82-A4BDA80D82A4}"/>
    <hyperlink ref="Q999" r:id="rId3087" display="https://standards.buildingsmart.org/IFC/RELEASE/IFC4/ADD2_TC1/HTML/schema/ifchvacdomain/pset/pset_compressorphistory.htm" xr:uid="{A9242C32-5033-4BE2-A56B-0DEDE0F74996}"/>
    <hyperlink ref="Q975" r:id="rId3088" display="https://standards.buildingsmart.org/IFC/RELEASE/IFC4/ADD2_TC1/HTML/schema/ifcelectricaldomain/pset/pset_audiovisualappliancetypespeaker.htm" xr:uid="{7C1C6083-444D-407F-B48E-D612A3356855}"/>
    <hyperlink ref="Q1367" r:id="rId3089" display="https://standards.buildingsmart.org/IFC/RELEASE/IFC4/ADD2_TC1/HTML/schema/ifcmaterialresource/pset/pset_materialthermal.htm" xr:uid="{8C066D06-2E38-4754-A92E-B5770D4BE861}"/>
    <hyperlink ref="Q2245" r:id="rId3090" display="https://standards.buildingsmart.org/IFC/RELEASE/IFC4/ADD2_TC1/HTML/schema/ifchvacdomain/pset/pset_dampertypecommon.htm" xr:uid="{B89AFE0D-FB97-4372-8511-FEE5401B27E1}"/>
    <hyperlink ref="Q861" r:id="rId3091" display="https://standards.buildingsmart.org/IFC/RELEASE/IFC4/ADD2_TC1/HTML/schema/ifchvacdomain/pset/pset_dampertypecommon.htm" xr:uid="{733B175C-3666-4544-AFA5-A356A9E68015}"/>
    <hyperlink ref="Q1920" r:id="rId3092" display="https://standards.buildingsmart.org/IFC/RELEASE/IFC4/ADD2_TC1/HTML/schema/ifcelectricaldomain/pset/pset_electricmotortypecommon.htm" xr:uid="{92ECABED-6357-484F-933E-F23593A7CE9D}"/>
    <hyperlink ref="Q1185" r:id="rId3093" display="https://standards.buildingsmart.org/IFC/RELEASE/IFC4/ADD2_TC1/HTML/schema/ifchvacdomain/pset/pset_filtertypeairparticlefilter.htm" xr:uid="{C29C3B2C-5883-46DC-92D8-04E3B4E65DE7}"/>
    <hyperlink ref="Q1450" r:id="rId3094" display="https://standards.buildingsmart.org/IFC/RELEASE/IFC4/ADD2_TC1/HTML/schema/ifchvacdomain/pset/pset_dampertypecommon.htm" xr:uid="{2A8A5056-7BB1-4750-A530-4E276F1F54F3}"/>
    <hyperlink ref="Q312" r:id="rId3095" display="https://standards.buildingsmart.org/IFC/RELEASE/IFC4/ADD2_TC1/HTML/schema/ifcsharedbldgelements/pset/pset_coveringcommon.htm" xr:uid="{8E72EE5E-93E2-4740-ACF7-4C996916D20B}"/>
    <hyperlink ref="Q2305" r:id="rId3096" display="https://standards.buildingsmart.org/IFC/RELEASE/IFC4/ADD2_TC1/HTML/schema/ifchvacdomain/pset/pset_spaceheaterphistory.htm" xr:uid="{24206709-7021-45BB-947D-752B3850D8B5}"/>
    <hyperlink ref="Q966" r:id="rId3097" display="https://standards.buildingsmart.org/IFC/RELEASE/IFC4/ADD2_TC1/HTML/schema/ifchvacdomain/pset/pset_fanoccurrence.htm" xr:uid="{25E6E6F9-2A3F-426A-A354-608EEAAE0291}"/>
    <hyperlink ref="Q2304" r:id="rId3098" display="https://standards.buildingsmart.org/IFC/RELEASE/IFC4/ADD2_TC1/HTML/schema/ifchvacdomain/pset/pset_spaceheaterphistory.htm" xr:uid="{3D7E143A-CBD8-47ED-9A84-2914510D21D3}"/>
    <hyperlink ref="Q2269" r:id="rId3099" display="https://standards.buildingsmart.org/IFC/RELEASE/IFC4/ADD2_TC1/HTML/schema/ifcplumbingfireprotectiondomain/pset/pset_sanitaryterminaltypesanitaryfountain.htm" xr:uid="{161DEB85-253A-4A93-9653-E23049FD3D03}"/>
    <hyperlink ref="Q914" r:id="rId3100" display="https://standards.buildingsmart.org/IFC/RELEASE/IFC4/ADD2_TC1/HTML/schema/ifchvacdomain/pset/pset_tubebundletypecommon.htm" xr:uid="{CEF5BBCD-7F94-4845-B278-784C464C7A2D}"/>
    <hyperlink ref="Q945" r:id="rId3101" display="https://standards.buildingsmart.org/IFC/RELEASE/IFC4/ADD2_TC1/HTML/schema/ifcstructuralelementsdomain/pset/pset_precastconcreteelementgeneral.htm" xr:uid="{4CC92411-0FED-48A5-BFC2-9FE8A828045F}"/>
    <hyperlink ref="Q949" r:id="rId3102" display="https://standards.buildingsmart.org/IFC/RELEASE/IFC4/ADD2_TC1/HTML/schema/ifcbuildingcontrolsdomain/pset/pset_actuatortypelinearactuation.htm" xr:uid="{499295AF-6D77-4EDB-AAAC-36CBCE3523D6}"/>
    <hyperlink ref="Q2266" r:id="rId3103" display="https://standards.buildingsmart.org/IFC/RELEASE/IFC4/ADD2_TC1/HTML/schema/ifcplumbingfireprotectiondomain/pset/pset_sanitaryterminaltypecistern.htm" xr:uid="{D12390EE-C2BB-43D9-B56E-C13172490258}"/>
    <hyperlink ref="Q1942" r:id="rId3104" display="https://standards.buildingsmart.org/IFC/RELEASE/IFC4/ADD2_TC1/HTML/schema/ifcplumbingfireprotectiondomain/pset/pset_sanitaryterminaltypecistern.htm" xr:uid="{1FBA354D-D9D3-4750-A916-7FEB0D9EF1DD}"/>
    <hyperlink ref="Q1941" r:id="rId3105" display="https://standards.buildingsmart.org/IFC/RELEASE/IFC4/ADD2_TC1/HTML/schema/ifchvacdomain/pset/pset_valvetypeflushing.htm" xr:uid="{1BB986F9-B9C2-4FF1-9906-888003D227C8}"/>
    <hyperlink ref="Q1957" r:id="rId3106" display="https://standards.buildingsmart.org/IFC/RELEASE/IFC4/ADD2_TC1/HTML/schema/ifchvacdomain/pset/pset_coiltypehydronic.htm" xr:uid="{20414EC1-D0F5-4EDA-A022-69B84DC2A8AB}"/>
    <hyperlink ref="Q2383" r:id="rId3107" display="https://standards.buildingsmart.org/IFC/RELEASE/IFC4/ADD2_TC1/HTML/schema/ifchvacdomain/pset/pset_pipesegmentphistory.htm" xr:uid="{90204C35-6F2D-4328-9562-83568134C8D2}"/>
    <hyperlink ref="Q2382" r:id="rId3108" display="https://standards.buildingsmart.org/IFC/RELEASE/IFC4/ADD2_TC1/HTML/schema/ifchvacdomain/pset/pset_ductsegmentphistory.htm" xr:uid="{C55CE3D8-6010-4828-B7BA-5B710B3DA047}"/>
    <hyperlink ref="Q1967" r:id="rId3109" display="https://standards.buildingsmart.org/IFC/RELEASE/IFC4/ADD2_TC1/HTML/schema/ifchvacdomain/pset/pset_pumptypecommon.htm" xr:uid="{71BE562C-D8B1-4516-B288-5A605F14642E}"/>
    <hyperlink ref="Q311" r:id="rId3110" display="https://standards.buildingsmart.org/IFC/RELEASE/IFC4/ADD2_TC1/HTML/schema/ifchvacdomain/pset/pset_pipesegmenttypegutter.htm" xr:uid="{F385BE4A-282A-4061-AA03-AAF2186F7315}"/>
    <hyperlink ref="Q2000" r:id="rId3111" display="https://standards.buildingsmart.org/IFC/RELEASE/IFC4/ADD2_TC1/HTML/schema/ifchvacdomain/pset/pset_filtertypecommon.htm" xr:uid="{F58D1A1D-8131-45BB-A8BA-D84BC0CFBF15}"/>
    <hyperlink ref="Q1999" r:id="rId3112" display="https://standards.buildingsmart.org/IFC/RELEASE/IFC4/ADD2_TC1/HTML/schema/ifchvacdomain/pset/pset_pumptypecommon.htm" xr:uid="{301D1130-94CC-4FEB-AC8D-61DAB97B744D}"/>
    <hyperlink ref="Q2384" r:id="rId3113" display="https://standards.buildingsmart.org/IFC/RELEASE/IFC4/ADD2_TC1/HTML/schema/ifchvacdomain/pset/pset_pipefittingphistory.htm" xr:uid="{DD916A88-0739-417E-ACA3-D7AA128A4A12}"/>
    <hyperlink ref="Q2413" r:id="rId3114" display="https://standards.buildingsmart.org/IFC/RELEASE/IFC4/ADD2_TC1/HTML/schema/ifchvacdomain/pset/pset_pumpphistory.htm" xr:uid="{D95E797E-BB49-47FF-A558-307E22770F7D}"/>
    <hyperlink ref="Q2414" r:id="rId3115" display="https://standards.buildingsmart.org/IFC/RELEASE/IFC4/ADD2_TC1/HTML/schema/ifcsharedbldgserviceelements/pset/pset_distributionportphistorypipe.htm" xr:uid="{12C83969-8938-4AAF-8BE3-906B7DEE8F24}"/>
    <hyperlink ref="Q1313" r:id="rId3116" display="https://standards.buildingsmart.org/IFC/RELEASE/IFC4/ADD2_TC1/HTML/schema/ifchvacdomain/pset/pset_airterminaltypecommon.htm" xr:uid="{E03B4606-1B03-46EF-85FF-13BA7D0A204F}"/>
    <hyperlink ref="Q2181" r:id="rId3117" display="https://standards.buildingsmart.org/IFC/RELEASE/IFC4/ADD2_TC1/HTML/schema/ifchvacdomain/pset/pset_airterminaltypecommon.htm" xr:uid="{BCEEB854-CFE4-4869-9ACE-2AEA91DC0C6B}"/>
    <hyperlink ref="Q435" r:id="rId3118" display="https://standards.buildingsmart.org/IFC/RELEASE/IFC4/ADD2_TC1/HTML/schema/ifcsharedbldgserviceelements/pset/pset_distributionportphistoryduct.htm" xr:uid="{2D6F955F-77C2-481E-A068-C12AF53AD274}"/>
    <hyperlink ref="Q434" r:id="rId3119" display="https://standards.buildingsmart.org/IFC/RELEASE/IFC4/ADD2_TC1/HTML/schema/ifcsharedbldgserviceelements/pset/pset_distributionporttypepipe.htm" xr:uid="{307520AA-7B7E-4BCA-9BA6-B3BDDACB896B}"/>
    <hyperlink ref="Q352" r:id="rId3120" display="https://standards.buildingsmart.org/IFC/RELEASE/IFC4/ADD2_TC1/HTML/schema/ifchvacdomain/pset/pset_valvetypecommon.htm" xr:uid="{EC7C6F4C-4312-4DC9-9B99-A16796FF71BE}"/>
    <hyperlink ref="Q271" r:id="rId3121" display="https://standards.buildingsmart.org/IFC/RELEASE/IFC4/ADD2_TC1/HTML/schema/ifcplumbingfireprotectiondomain/pset/pset_firesuppressionterminaltypefirehydrant.htm" xr:uid="{6C8E4AED-B0D4-4CB0-A268-C67569C4E036}"/>
    <hyperlink ref="Q134" r:id="rId3122" display="https://standards.buildingsmart.org/IFC/RELEASE/IFC4/ADD2_TC1/HTML/schema/ifchvacdomain/pset/pset_evaporativecoolertypecommon.htm" xr:uid="{3B54901B-1E80-46F1-890E-BDC809A30786}"/>
    <hyperlink ref="Q135" r:id="rId3123" display="https://standards.buildingsmart.org/IFC/RELEASE/IFC4/ADD2_TC1/HTML/schema/ifchvacdomain/pset/pset_coolingtowertypecommon.htm" xr:uid="{A49A1838-DF2A-4CE3-902F-12258B9895AC}"/>
    <hyperlink ref="Q851" r:id="rId3124" display="https://standards.buildingsmart.org/IFC/RELEASE/IFC4/ADD2_TC1/HTML/schema/ifcproductextension/pset/pset_spacecoveringrequirements.htm" xr:uid="{998F30F4-4946-41F4-A45A-F029EEB30835}"/>
    <hyperlink ref="Q1703" r:id="rId3125" display="https://standards.buildingsmart.org/IFC/RELEASE/IFC4/ADD2_TC1/HTML/schema/ifcproductextension/pset/pset_spacecoveringrequirements.htm" xr:uid="{BE74B769-199D-4924-AA9E-2755C767F6AE}"/>
    <hyperlink ref="Q1470" r:id="rId3126" display="https://standards.buildingsmart.org/IFC/RELEASE/IFC4/ADD2_TC1/HTML/schema/ifcproductextension/pset/pset_sitecommon.htm" xr:uid="{9494365F-0E53-4808-9A4F-A5F0A5A7A4EF}"/>
    <hyperlink ref="Q1532" r:id="rId3127" display="https://standards.buildingsmart.org/IFC/RELEASE/IFC4/ADD2_TC1/HTML/schema/ifcprofileresource/pset/pset_profilearbitrarydoublet.htm" xr:uid="{33B09C45-C2D8-4911-863A-DEEDF91A3ACE}"/>
    <hyperlink ref="Q852" r:id="rId3128" display="https://standards.buildingsmart.org/IFC/RELEASE/IFC4/ADD2_TC1/HTML/schema/ifchvacdomain/pset/pset_pipeconnectionflanged.htm" xr:uid="{B627D017-DC81-4B4F-BA39-F1D94C10F277}"/>
    <hyperlink ref="Q1208" r:id="rId3129" display="https://standards.buildingsmart.org/IFC/RELEASE/IFC4/ADD2_TC1/HTML/schema/ifchvacdomain/pset/pset_pipeconnectionflanged.htm" xr:uid="{1E46ACE1-42EA-4307-8886-6B5EED764A96}"/>
    <hyperlink ref="Q1312" r:id="rId3130" display="https://standards.buildingsmart.org/IFC/RELEASE/IFC4/ADD2_TC1/HTML/schema/ifchvacdomain/pset/pset_pipeconnectionflanged.htm" xr:uid="{7D297542-A300-4C0A-BEDF-884C056EEFD4}"/>
    <hyperlink ref="Q72" r:id="rId3131" display="https://standards.buildingsmart.org/IFC/RELEASE/IFC4/ADD2_TC1/HTML/schema/ifcprofileresource/pset/pset_profilearbitrarydoublet.htm" xr:uid="{7E51D449-04F2-4DBF-8AF2-59A9E44BDED3}"/>
    <hyperlink ref="Q651" r:id="rId3132" display="https://standards.buildingsmart.org/IFC/RELEASE/IFC4/ADD2_TC1/HTML/schema/ifchvacdomain/pset/pset_pipeconnectionflanged.htm" xr:uid="{8CAEB578-E636-483A-8902-8E5F82A894C8}"/>
    <hyperlink ref="Q1449" r:id="rId3133" display="https://standards.buildingsmart.org/IFC/RELEASE/IFC4/ADD2_TC1/HTML/schema/ifcprofileresource/pset/pset_profilearbitrarydoublet.htm" xr:uid="{F59B9A56-8B86-4890-82A9-7D2FABDBE4C5}"/>
    <hyperlink ref="Q252" r:id="rId3134" display="https://standards.buildingsmart.org/IFC/RELEASE/IFC4/ADD2_TC1/HTML/schema/ifcprofileresource/pset/pset_profilearbitrarydoublet.htm" xr:uid="{47EB488F-0862-40FA-8CC2-C4777C504AF2}"/>
    <hyperlink ref="Q1529" r:id="rId3135" display="https://standards.buildingsmart.org/IFC/RELEASE/IFC4/ADD2_TC1/HTML/schema/ifcprofileresource/pset/pset_profilearbitrarydoublet.htm" xr:uid="{8AC9E4B2-A267-45D4-A6CF-B86924AB50AD}"/>
    <hyperlink ref="Q131" r:id="rId3136" display="https://standards.buildingsmart.org/IFC/RELEASE/IFC4/ADD2_TC1/HTML/schema/ifcproductextension/pset/pset_spacefiresafetyrequirements.htm" xr:uid="{9DF18104-1CB3-4B94-8B93-6AF93709383D}"/>
    <hyperlink ref="Q313" r:id="rId3137" display="https://standards.buildingsmart.org/IFC/RELEASE/IFC4/ADD2_TC1/HTML/schema/ifcsharedbldgelements/pset/pset_coveringcommon.htm" xr:uid="{15510504-C247-421C-BED2-AF79699F474A}"/>
    <hyperlink ref="Q36" r:id="rId3138" display="https://standards.buildingsmart.org/IFC/RELEASE/IFC4/ADD2_TC1/HTML/schema/ifcelectricaldomain/pset/pset_lightfixturetypesecuritylighting.htm" xr:uid="{AB2EE0A7-9A23-41F4-9F35-BD3977B50EC9}"/>
    <hyperlink ref="Q928" r:id="rId3139" display="https://standards.buildingsmart.org/IFC/RELEASE/IFC4/ADD2_TC1/HTML/schema/ifcsharedcomponentelements/pset/pset_discreteaccessoryfixingsocket.htm" xr:uid="{3636FA3C-90D2-4A8D-9962-9D25F068D066}"/>
    <hyperlink ref="Q539" r:id="rId3140" display="https://standards.buildingsmart.org/IFC/RELEASE/IFC4/ADD2_TC1/HTML/schema/ifcsharedcomponentelements/pset/pset_discreteaccessoryfixingsocket.htm" xr:uid="{65CA6D1C-CF0D-47C1-9AA3-FAB988398370}"/>
    <hyperlink ref="Q540" r:id="rId3141" display="https://standards.buildingsmart.org/IFC/RELEASE/IFC4/ADD2_TC1/HTML/schema/ifcsharedcomponentelements/pset/pset_discreteaccessoryfixingsocket.htm" xr:uid="{2F313788-8715-4364-8EBD-557D7E8E1B88}"/>
    <hyperlink ref="Q538" r:id="rId3142" display="https://standards.buildingsmart.org/IFC/RELEASE/IFC4/ADD2_TC1/HTML/schema/ifcsharedcomponentelements/pset/pset_discreteaccessoryfixingsocket.htm" xr:uid="{E50B0D81-0B52-4E54-8D81-B68C358B3D55}"/>
    <hyperlink ref="Q917" r:id="rId3143" display="https://standards.buildingsmart.org/IFC/RELEASE/IFC4/ADD2_TC1/HTML/schema/ifchvacdomain/pset/pset_pipefittingtypecommon.htm" xr:uid="{66501404-8723-4B8B-961B-CC6E01DAD77D}"/>
    <hyperlink ref="Q1432" r:id="rId3144" display="https://standards.buildingsmart.org/IFC/RELEASE/IFC4/ADD2_TC1/HTML/schema/ifchvacdomain/pset/pset_tanktypepreformed.htm" xr:uid="{EBE9ACE7-824D-46FE-8DED-EEEE76210656}"/>
    <hyperlink ref="Q1433" r:id="rId3145" display="https://standards.buildingsmart.org/IFC/RELEASE/IFC4/ADD2_TC1/HTML/schema/ifchvacdomain/pset/pset_tanktypecommon.htm" xr:uid="{2CEF6C42-BDD8-4631-A5DF-CFB8F793B84E}"/>
    <hyperlink ref="Q2443" r:id="rId3146" display="https://standards.buildingsmart.org/IFC/RELEASE/IFC4/ADD2_TC1/HTML/schema/ifcbuildingcontrolsdomain/pset/pset_controllertypeprogrammable.htm" xr:uid="{B8011BDE-82B9-49D9-8BD8-ED3A2FE39B2D}"/>
    <hyperlink ref="Q1365" r:id="rId3147" display="https://standards.buildingsmart.org/IFC/RELEASE/IFC4/ADD2_TC1/HTML/schema/ifcbuildingcontrolsdomain/pset/pset_sensortypefiresensor.htm" xr:uid="{B97E0813-E312-4942-8D25-6BED1BFEA233}"/>
    <hyperlink ref="Q922" r:id="rId3148" display="https://standards.buildingsmart.org/IFC/RELEASE/IFC4/ADD2_TC1/HTML/schema/ifcproductextension/pset/pset_spacefiresafetyrequirements.htm" xr:uid="{50CA0B0B-77AA-4F12-8EDE-255C4E60083A}"/>
    <hyperlink ref="Q2106" r:id="rId3149" display="https://standards.buildingsmart.org/IFC/RELEASE/IFC4/ADD2_TC1/HTML/schema/ifchvacdomain/pset/pset_dampertypefiresmokedamper.htm" xr:uid="{920F05DA-B13B-4D31-9808-45C56560831F}"/>
    <hyperlink ref="Q2107" r:id="rId3150" display="https://standards.buildingsmart.org/IFC/RELEASE/IFC4/ADD2_TC1/HTML/schema/ifchvacdomain/pset/pset_dampertypefiredamper.htm" xr:uid="{FBA900BA-763B-4A9B-8A1C-D86C70D8FEED}"/>
    <hyperlink ref="Q320" r:id="rId3151" display="https://standards.buildingsmart.org/IFC/RELEASE/IFC4/ADD2_TC1/HTML/schema/ifcsharedbldgelements/pset/pset_windowcommon.htm" xr:uid="{C52BEBA8-DB93-4B03-8566-0B7360A470C6}"/>
    <hyperlink ref="Q322" r:id="rId3152" display="https://standards.buildingsmart.org/IFC/RELEASE/IFC4/ADD2_TC1/HTML/schema/ifcsharedbldgelements/pset/pset_wallcommon.htm" xr:uid="{4BDFC84C-82CA-4F77-B71F-D52EE26CE2DD}"/>
    <hyperlink ref="Q319" r:id="rId3153" display="https://standards.buildingsmart.org/IFC/RELEASE/IFC4/ADD2_TC1/HTML/schema/ifcsharedbldgelements/pset/pset_staircommon.htm" xr:uid="{AD98B473-FEF5-4DDC-9346-B435A3D04295}"/>
    <hyperlink ref="Q328" r:id="rId3154" display="https://standards.buildingsmart.org/IFC/RELEASE/IFC4/ADD2_TC1/HTML/schema/ifcsharedbldgelements/pset/pset_slabcommon.htm" xr:uid="{D9E3C784-7802-4299-A3BE-1469C89FA104}"/>
    <hyperlink ref="Q329" r:id="rId3155" display="https://standards.buildingsmart.org/IFC/RELEASE/IFC4/ADD2_TC1/HTML/schema/ifcsharedbldgelements/pset/pset_roofcommon.htm" xr:uid="{9A7C681C-8D27-4212-A3DB-BB6143DB18D1}"/>
    <hyperlink ref="Q327" r:id="rId3156" display="https://standards.buildingsmart.org/IFC/RELEASE/IFC4/ADD2_TC1/HTML/schema/ifcsharedbldgelements/pset/pset_rampcommon.htm" xr:uid="{0488B309-FFA5-4574-ADE4-4A3A0AEDBAED}"/>
    <hyperlink ref="Q324" r:id="rId3157" display="https://standards.buildingsmart.org/IFC/RELEASE/IFC4/ADD2_TC1/HTML/schema/ifcsharedbldgelements/pset/pset_platecommon.htm" xr:uid="{CFA888F8-BBCF-4A04-A091-B91CCB017E99}"/>
    <hyperlink ref="Q321" r:id="rId3158" display="https://standards.buildingsmart.org/IFC/RELEASE/IFC4/ADD2_TC1/HTML/schema/ifcsharedbldgelements/pset/pset_membercommon.htm" xr:uid="{4C417191-AF72-4674-A2FF-BB79C5F5C63A}"/>
    <hyperlink ref="Q325" r:id="rId3159" display="https://standards.buildingsmart.org/IFC/RELEASE/IFC4/ADD2_TC1/HTML/schema/ifcsharedbldgelements/pset/pset_doorcommon.htm" xr:uid="{F2A37630-D47B-4BDB-A43E-40BB801200C6}"/>
    <hyperlink ref="Q323" r:id="rId3160" display="https://standards.buildingsmart.org/IFC/RELEASE/IFC4/ADD2_TC1/HTML/schema/ifcsharedbldgelements/pset/pset_curtainwallcommon.htm" xr:uid="{B5350496-CF90-47AF-9953-8A97AB3484AF}"/>
    <hyperlink ref="Q316" r:id="rId3161" display="https://standards.buildingsmart.org/IFC/RELEASE/IFC4/ADD2_TC1/HTML/schema/ifcsharedbldgelements/pset/pset_coveringcommon.htm" xr:uid="{D9A86FDF-7E52-4874-89C3-E1AF4E159DC9}"/>
    <hyperlink ref="Q318" r:id="rId3162" display="https://standards.buildingsmart.org/IFC/RELEASE/IFC4/ADD2_TC1/HTML/schema/ifcsharedbldgelements/pset/pset_columncommon.htm" xr:uid="{2832BC74-55BC-4DEF-B99F-96B7C9A6435E}"/>
    <hyperlink ref="Q317" r:id="rId3163" display="https://standards.buildingsmart.org/IFC/RELEASE/IFC4/ADD2_TC1/HTML/schema/ifcsharedbldgelements/pset/pset_chimneycommon.htm" xr:uid="{860A9749-A80B-41C2-A719-AB4BB610308B}"/>
    <hyperlink ref="Q326" r:id="rId3164" display="https://standards.buildingsmart.org/IFC/RELEASE/IFC4/ADD2_TC1/HTML/schema/ifcsharedbldgelements/pset/pset_buildingelementproxycommon.htm" xr:uid="{6B88D932-2345-433B-8A87-0CAB99249A1B}"/>
    <hyperlink ref="Q330" r:id="rId3165" display="https://standards.buildingsmart.org/IFC/RELEASE/IFC4/ADD2_TC1/HTML/schema/ifcsharedbldgelements/pset/pset_beamcommon.htm" xr:uid="{3C26E555-E317-4EB3-BCD6-E6372DE84373}"/>
    <hyperlink ref="Q277" r:id="rId3166" display="https://standards.buildingsmart.org/IFC/RELEASE/IFC4/ADD2_TC1/HTML/schema/ifcproductextension/pset/pset_buildingcommon.htm" xr:uid="{2E2CD37C-49AA-4A37-B08A-05DD94933D73}"/>
    <hyperlink ref="Q2271" r:id="rId3167" display="https://standards.buildingsmart.org/IFC/RELEASE/IFC4/ADD2_TC1/HTML/schema/ifcplumbingfireprotectiondomain/pset/pset_firesuppressionterminaltypefirehydrant.htm" xr:uid="{C325D89E-98EF-4B90-8F79-8F71EDD01CD9}"/>
    <hyperlink ref="Q814" r:id="rId3168" display="https://standards.buildingsmart.org/IFC/RELEASE/IFC4/ADD2_TC1/HTML/schema/ifcproductextension/pset/pset_transportelementelevator.htm" xr:uid="{C7218182-744E-4BEE-868C-570A636C7481}"/>
    <hyperlink ref="Q1715" r:id="rId3169" display="https://standards.buildingsmart.org/IFC/RELEASE/IFC4/ADD2_TC1/HTML/schema/ifcsharedbldgelements/pset/pset_windowcommon.htm" xr:uid="{DDE34A46-4818-41FC-9525-04BF0E03C41D}"/>
    <hyperlink ref="Q1713" r:id="rId3170" display="https://standards.buildingsmart.org/IFC/RELEASE/IFC4/ADD2_TC1/HTML/schema/ifcproductextension/pset/pset_transportelementcommon.htm" xr:uid="{ECED8C73-3A53-4B48-966E-988EC22BD9F3}"/>
    <hyperlink ref="Q1714" r:id="rId3171" display="https://standards.buildingsmart.org/IFC/RELEASE/IFC4/ADD2_TC1/HTML/schema/ifcsharedbldgelements/pset/pset_staircommon.htm" xr:uid="{202176EE-21F1-495A-B958-4F967457FB78}"/>
    <hyperlink ref="Q1718" r:id="rId3172" display="https://standards.buildingsmart.org/IFC/RELEASE/IFC4/ADD2_TC1/HTML/schema/ifcproductextension/pset/pset_spacefiresafetyrequirements.htm" xr:uid="{6CF5CEC3-C2A3-4509-B5FF-EA171BE8D3E5}"/>
    <hyperlink ref="Q1717" r:id="rId3173" display="https://standards.buildingsmart.org/IFC/RELEASE/IFC4/ADD2_TC1/HTML/schema/ifcsharedbldgelements/pset/pset_rampcommon.htm" xr:uid="{6FB53725-5847-4912-8066-82E585525F9B}"/>
    <hyperlink ref="Q1712" r:id="rId3174" display="https://standards.buildingsmart.org/IFC/RELEASE/IFC4/ADD2_TC1/HTML/schema/ifcproductextension/pset/pset_openingelementcommon.htm" xr:uid="{F0CFBE91-6534-41A7-941C-DF90D9D4E1D2}"/>
    <hyperlink ref="Q1716" r:id="rId3175" display="https://standards.buildingsmart.org/IFC/RELEASE/IFC4/ADD2_TC1/HTML/schema/ifcsharedbldgelements/pset/pset_doorcommon.htm" xr:uid="{E94C07D7-CA32-494B-8933-FB83557670EB}"/>
    <hyperlink ref="Q2205" r:id="rId3176" display="https://standards.buildingsmart.org/IFC/RELEASE/IFC4/ADD2_TC1/HTML/schema/ifchvacdomain/pset/pset_airterminaltypecommon.htm" xr:uid="{4A9FF21C-FB32-434D-AB11-3D10B6BB631E}"/>
    <hyperlink ref="Q4" r:id="rId3177" display="https://standards.buildingsmart.org/IFC/RELEASE/IFC4/ADD2_TC1/HTML/schema/ifcsharedfacilitieselements/pset/pset_systemfurnitureelementtypecommon.htm" xr:uid="{08145672-745E-43D4-B2F6-9D2042EE71AE}"/>
    <hyperlink ref="Q497" r:id="rId3178" display="https://standards.buildingsmart.org/IFC/RELEASE/IFC4/ADD2_TC1/HTML/schema/ifchvacdomain/pset/pset_cooledbeamtypecommon.htm" xr:uid="{3EDAD773-45C9-4DCA-AE8D-2931260594EB}"/>
    <hyperlink ref="Q496" r:id="rId3179" display="https://standards.buildingsmart.org/IFC/RELEASE/IFC4/ADD2_TC1/HTML/schema/ifchvacdomain/pset/pset_airterminaltypecommon.htm" xr:uid="{07A1E84B-56AE-41C3-A1F6-297D0C85CD27}"/>
    <hyperlink ref="Q8" r:id="rId3180" display="https://standards.buildingsmart.org/IFC/RELEASE/IFC4/ADD2_TC1/HTML/schema/ifchvacdomain/pset/pset_valvetypefaucet.htm" xr:uid="{0F69C44D-A9EA-44CF-A85B-BFE52E4C199A}"/>
    <hyperlink ref="Q7" r:id="rId3181" display="https://standards.buildingsmart.org/IFC/RELEASE/IFC4/ADD2_TC1/HTML/schema/ifcsharedbldgelements/pset/pset_coveringcommon.htm" xr:uid="{D88C4DDB-CC37-46C7-93BC-7DC83A590EA1}"/>
    <hyperlink ref="Q541" r:id="rId3182" display="https://standards.buildingsmart.org/IFC/RELEASE/IFC4/ADD2_TC1/HTML/schema/ifchvacdomain/pset/pset_tubebundletypefinned.htm" xr:uid="{8BF2003A-DD31-4F99-BD96-85426AC80129}"/>
    <hyperlink ref="Q1697" r:id="rId3183" display="https://standards.buildingsmart.org/IFC/RELEASE/IFC4/ADD2_TC1/HTML/schema/ifchvacdomain/pset/pset_filtertypecommon.htm" xr:uid="{B6CFDDDF-4C0E-41A5-9FC8-BF0397E559A3}"/>
    <hyperlink ref="Q1005" r:id="rId3184" display="https://standards.buildingsmart.org/IFC/RELEASE/IFC4/ADD2_TC1/HTML/schema/ifcsharedbldgelements/pset/pset_doorwindowglazingtype.htm" xr:uid="{BE0F60EB-2F7C-4E31-BFE4-FE9B9B286E9B}"/>
    <hyperlink ref="Q2242" r:id="rId3185" display="https://standards.buildingsmart.org/IFC/RELEASE/IFC4/ADD2_TC1/HTML/schema/ifcsharedmgmtelements/pset/pset_projectordermaintenanceworkorder.htm" xr:uid="{EC74107D-DBCE-45B4-9E41-10764E886D5D}"/>
    <hyperlink ref="Q2261" r:id="rId3186" display="https://standards.buildingsmart.org/IFC/RELEASE/IFC4/ADD2_TC1/HTML/schema/ifchvacdomain/pset/pset_valvetypefaucet.htm" xr:uid="{3AAF7FE2-FD6E-42FE-80B6-D076E0F13D3D}"/>
    <hyperlink ref="Q619" r:id="rId3187" display="https://standards.buildingsmart.org/IFC/RELEASE/IFC4/ADD2_TC1/HTML/schema/ifchvacdomain/pset/pset_valvetypefaucet.htm" xr:uid="{DA98694C-EFF4-42AD-B85B-366B000A017F}"/>
    <hyperlink ref="Q1307" r:id="rId3188" display="https://standards.buildingsmart.org/IFC/RELEASE/IFC4/ADD2_TC1/HTML/schema/ifchvacdomain/pset/pset_valvetypefaucet.htm" xr:uid="{3E0AA9BB-9EAC-430F-A1C8-29272B5D2E95}"/>
    <hyperlink ref="Q993" r:id="rId3189" display="https://standards.buildingsmart.org/IFC/RELEASE/IFC4/ADD2_TC1/HTML/schema/ifchvacdomain/pset/pset_valvetypefaucet.htm" xr:uid="{1FC0A45E-F73B-4103-B10F-60A5578DB888}"/>
    <hyperlink ref="Q2420" r:id="rId3190" display="https://standards.buildingsmart.org/IFC/RELEASE/IFC4/ADD2_TC1/HTML/schema/ifchvacdomain/pset/pset_fanphistory.htm" xr:uid="{DBA10B5A-A68D-4744-AA56-DD09E9CF450D}"/>
    <hyperlink ref="Q1954" r:id="rId3191" display="https://standards.buildingsmart.org/IFC/RELEASE/IFC4/ADD2_TC1/HTML/schema/ifchvacdomain/pset/pset_fanphistory.htm" xr:uid="{A9641E57-D3B2-4967-A5FE-4DEEB40B4F1A}"/>
    <hyperlink ref="Q1389" r:id="rId3192" display="https://standards.buildingsmart.org/IFC/RELEASE/IFC4/ADD2_TC1/HTML/schema/ifcsharedbldgserviceelements/pset/pset_airsidesysteminformation.htm" xr:uid="{A2F09019-A339-494D-813A-8A22E89E0B91}"/>
    <hyperlink ref="Q2229" r:id="rId3193" display="https://standards.buildingsmart.org/IFC/RELEASE/IFC4/ADD2_TC1/HTML/schema/ifchvacdomain/pset/pset_fanoccurrence.htm" xr:uid="{472C984D-D808-4A16-B4E4-59AA4A23084C}"/>
    <hyperlink ref="Q796" r:id="rId3194" display="https://standards.buildingsmart.org/IFC/RELEASE/IFC4/ADD2_TC1/HTML/schema/ifchvacdomain/pset/pset_fanphistory.htm" xr:uid="{1E4D0E71-8BD0-4AB2-8DCB-60FDCBB5319C}"/>
    <hyperlink ref="Q2437" r:id="rId3195" display="https://standards.buildingsmart.org/IFC/RELEASE/IFC4/ADD2_TC1/HTML/schema/ifcbuildingcontrolsdomain/pset/pset_unitarycontrolelementphistory.htm" xr:uid="{265BEF82-88E4-45A3-AFBC-09F88C772B1F}"/>
    <hyperlink ref="Q1375" r:id="rId3196" display="https://standards.buildingsmart.org/IFC/RELEASE/IFC4/ADD2_TC1/HTML/schema/ifcbuildingcontrolsdomain/pset/pset_actuatortypecommon.htm" xr:uid="{8F74FFC3-2750-45FB-8F63-2CE000CDEFC2}"/>
    <hyperlink ref="Q2422" r:id="rId3197" display="https://standards.buildingsmart.org/IFC/RELEASE/IFC4/ADD2_TC1/HTML/schema/ifchvacdomain/pset/pset_coilphistory.htm" xr:uid="{BA52BF5E-D6C7-40FB-8D6A-E13D73A21350}"/>
    <hyperlink ref="Q2201" r:id="rId3198" display="https://standards.buildingsmart.org/IFC/RELEASE/IFC4/ADD2_TC1/HTML/schema/ifchvacdomain/pset/pset_airterminaltypecommon.htm" xr:uid="{FF3CE6A5-4FA3-4738-8B3A-0A56DE98B035}"/>
    <hyperlink ref="Q109" r:id="rId3199" display="https://standards.buildingsmart.org/IFC/RELEASE/IFC4/ADD2_TC1/HTML/schema/ifchvacdomain/pset/pset_filtertypeairparticlefilter.htm" xr:uid="{EDEFB4C7-15CE-4CFD-8F74-2BC7A31FB846}"/>
    <hyperlink ref="Q108" r:id="rId3200" display="https://standards.buildingsmart.org/IFC/RELEASE/IFC4/ADD2_TC1/HTML/schema/ifchvacdomain/pset/pset_dampertypecommon.htm" xr:uid="{BB86C8A0-075A-4A1B-8DB3-60792760286A}"/>
    <hyperlink ref="Q113" r:id="rId3201" display="https://standards.buildingsmart.org/IFC/RELEASE/IFC4/ADD2_TC1/HTML/schema/ifchvacdomain/pset/pset_evaporatortypecommon.htm" xr:uid="{B86900BB-A817-4EEE-AEC8-98AF654AF528}"/>
    <hyperlink ref="Q112" r:id="rId3202" display="https://standards.buildingsmart.org/IFC/RELEASE/IFC4/ADD2_TC1/HTML/schema/ifchvacdomain/pset/pset_condensertypecommon.htm" xr:uid="{7EA85850-22F7-4E9F-81B7-EF5EB260B8C1}"/>
    <hyperlink ref="Q29" r:id="rId3203" display="https://standards.buildingsmart.org/IFC/RELEASE/IFC4/ADD2_TC1/HTML/schema/ifcelectricaldomain/pset/pset_protectivedevicetrippingfunctiongcurve.htm" xr:uid="{C1D864C5-37C0-45FC-889A-F2580FE7BBEB}"/>
    <hyperlink ref="Q365" r:id="rId3204" display="https://standards.buildingsmart.org/IFC/RELEASE/IFC4/ADD2_TC1/HTML/schema/ifchvacdomain/pset/pset_evaporatorphistory.htm" xr:uid="{AF04D22B-C50C-449C-8F02-568FAD2B4631}"/>
    <hyperlink ref="Q364" r:id="rId3205" display="https://standards.buildingsmart.org/IFC/RELEASE/IFC4/ADD2_TC1/HTML/schema/ifchvacdomain/pset/pset_condenserphistory.htm" xr:uid="{7455B889-D09E-449B-BAB3-8A709CE3F8B5}"/>
    <hyperlink ref="Q894" r:id="rId3206" display="https://standards.buildingsmart.org/IFC/RELEASE/IFC4/ADD2_TC1/HTML/schema/ifcsharedbldgelements/pset/pset_wallcommon.htm" xr:uid="{5D75EF18-0E24-4BB8-AF2A-C8F36F3BAF79}"/>
    <hyperlink ref="Q270" r:id="rId3207" display="https://standards.buildingsmart.org/IFC/RELEASE/IFC4/ADD2_TC1/HTML/schema/ifcstructuralelementsdomain/pset/pset_concreteelementgeneral.htm" xr:uid="{B197E19C-D04E-4180-A9B9-1C151EA83148}"/>
    <hyperlink ref="Q902" r:id="rId3208" display="https://standards.buildingsmart.org/IFC/RELEASE/IFC4/ADD2_TC1/HTML/schema/ifchvacdomain/pset/pset_spaceheaterphistory.htm" xr:uid="{B79CB27D-DCB0-456F-BC95-D123894B69A8}"/>
    <hyperlink ref="Q2446" r:id="rId3209" display="https://standards.buildingsmart.org/IFC/RELEASE/IFC4/ADD2_TC1/HTML/schema/ifcproductextension/pset/pset_environmentalimpactindicators.htm" xr:uid="{D40027D3-47D8-4BD6-BEE1-968085F505A3}"/>
    <hyperlink ref="Q2388" r:id="rId3210" display="https://standards.buildingsmart.org/IFC/RELEASE/IFC4/ADD2_TC1/HTML/schema/ifcsharedbldgserviceelements/pset/pset_spacethermaldesign.htm" xr:uid="{C9564007-DDA0-4F06-815A-A54F2F056B8E}"/>
    <hyperlink ref="Q1945" r:id="rId3211" display="https://standards.buildingsmart.org/IFC/RELEASE/IFC4/ADD2_TC1/HTML/schema/ifchvacdomain/pset/pset_spacethermalphistory.htm" xr:uid="{277ED767-0CBF-447D-973C-1FE64E4E420D}"/>
    <hyperlink ref="Q90" r:id="rId3212" display="https://standards.buildingsmart.org/IFC/RELEASE/IFC4/ADD2_TC1/HTML/schema/ifcsharedbldgserviceelements/pset/pset_spacethermalloadphistory.htm" xr:uid="{D53EF3C0-A2ED-44CE-8F21-11134BF0E503}"/>
    <hyperlink ref="Q89" r:id="rId3213" display="https://standards.buildingsmart.org/IFC/RELEASE/IFC4/ADD2_TC1/HTML/schema/ifcsharedbldgserviceelements/pset/pset_spacethermalload.htm" xr:uid="{D6791287-235B-4D0B-B5DD-405F1870F967}"/>
    <hyperlink ref="Q901" r:id="rId3214" display="https://standards.buildingsmart.org/IFC/RELEASE/IFC4/ADD2_TC1/HTML/schema/ifcsharedfacilitieselements/pset/pset_warranty.htm" xr:uid="{46298C44-F66B-4C98-8E7E-4364DC748BC8}"/>
    <hyperlink ref="Q2274" r:id="rId3215" display="https://standards.buildingsmart.org/IFC/RELEASE/IFC4/ADD2_TC1/HTML/schema/ifchvacdomain/pset/pset_evaporatortypecommon.htm" xr:uid="{2ADE2449-017B-4A47-A000-9427107158FE}"/>
    <hyperlink ref="Q969" r:id="rId3216" display="https://standards.buildingsmart.org/IFC/RELEASE/IFC4/ADD2_TC1/HTML/schema/ifchvacdomain/pset/pset_evaporatorphistory.htm" xr:uid="{061AA3E4-1946-46C7-8259-27A1165ED70C}"/>
    <hyperlink ref="Q1159" r:id="rId3217" display="https://standards.buildingsmart.org/IFC/RELEASE/IFC4/ADD2_TC1/HTML/schema/ifchvacdomain/pset/pset_evaporatortypecommon.htm" xr:uid="{1622FDE7-06F1-453F-A346-0276CDD401ED}"/>
    <hyperlink ref="Q2065" r:id="rId3218" display="https://standards.buildingsmart.org/IFC/RELEASE/IFC4/ADD2_TC1/HTML/schema/ifchvacdomain/pset/pset_evaporatorphistory.htm" xr:uid="{B2C7EB1C-7173-4022-8EBC-56B564488FD7}"/>
    <hyperlink ref="Q899" r:id="rId3219" display="https://standards.buildingsmart.org/IFC/RELEASE/IFC4/ADD2_TC1/HTML/schema/ifcproductextension/pset/pset_environmentalimpactindicators.htm" xr:uid="{54C028A7-2A83-4490-A2CB-144108BA720F}"/>
    <hyperlink ref="Q900" r:id="rId3220" display="https://standards.buildingsmart.org/IFC/RELEASE/IFC4/ADD2_TC1/HTML/schema/ifcproductextension/pset/pset_environmentalimpactvalues.htm" xr:uid="{495EE84A-CE99-4A3F-B2B9-071B5E8EB6FC}"/>
    <hyperlink ref="Q1678" r:id="rId3221" display="https://standards.buildingsmart.org/IFC/RELEASE/IFC4/ADD2_TC1/HTML/schema/ifcsharedmgmtelements/pset/pset_permit.htm" xr:uid="{79143242-498B-4FF1-8F3F-27597BE459B9}"/>
    <hyperlink ref="Q823" r:id="rId3222" display="https://standards.buildingsmart.org/IFC/RELEASE/IFC4/ADD2_TC1/HTML/schema/ifcsharedbldgserviceelements/pset/pset_spacethermalloadphistory.htm" xr:uid="{D0DFACF6-5E64-4208-B86C-AE6D91EE19E1}"/>
    <hyperlink ref="Q822" r:id="rId3223" display="https://standards.buildingsmart.org/IFC/RELEASE/IFC4/ADD2_TC1/HTML/schema/ifcsharedbldgserviceelements/pset/pset_spacethermalload.htm" xr:uid="{22B5A7FB-DE70-4C8C-859C-51D21367D442}"/>
    <hyperlink ref="Q1262" r:id="rId3224" display="https://standards.buildingsmart.org/IFC/RELEASE/IFC4/ADD2_TC1/HTML/schema/ifcproductextension/pset/pset_buildingstoreycommon.htm" xr:uid="{BAD95A59-2A93-44F2-806C-D81B8BFE9E41}"/>
    <hyperlink ref="Q469" r:id="rId3225" display="https://standards.buildingsmart.org/IFC/RELEASE/IFC4/ADD2_TC1/HTML/schema/ifchvacdomain/pset/pset_boilerphistory.htm" xr:uid="{DB9EE399-1116-4CE1-8DEE-5A4FEE07B913}"/>
    <hyperlink ref="Q1310" r:id="rId3226" display="https://standards.buildingsmart.org/IFC/RELEASE/IFC4/ADD2_TC1/HTML/schema/ifchvacdomain/pset/pset_spaceheatertypecommon.htm" xr:uid="{4A2C6A65-B6DC-43A4-89DF-E9F5611B049F}"/>
    <hyperlink ref="Q936" r:id="rId3227" display="https://standards.buildingsmart.org/IFC/RELEASE/IFC4/ADD2_TC1/HTML/schema/ifchvacdomain/pset/pset_enginetypecommon.htm" xr:uid="{9E88E63E-3192-4893-BABF-58748403F9B2}"/>
    <hyperlink ref="Q937" r:id="rId3228" display="https://standards.buildingsmart.org/IFC/RELEASE/IFC4/ADD2_TC1/HTML/schema/ifchvacdomain/pset/pset_burnertypecommon.htm" xr:uid="{537C3082-B6E5-436E-B006-E0499E19AB89}"/>
    <hyperlink ref="Q935" r:id="rId3229" display="https://standards.buildingsmart.org/IFC/RELEASE/IFC4/ADD2_TC1/HTML/schema/ifchvacdomain/pset/pset_boilertypecommon.htm" xr:uid="{D6BF9192-8CDC-4B7A-829A-3684A6CCC863}"/>
    <hyperlink ref="Q1331" r:id="rId3230" display="https://standards.buildingsmart.org/IFC/RELEASE/IFC4/ADD2_TC1/HTML/schema/ifcsharedbldgserviceelements/pset/pset_airsidesysteminformation.htm" xr:uid="{830EC021-6FB4-4582-B02A-D7464609BDCD}"/>
    <hyperlink ref="Q2303" r:id="rId3231" display="https://standards.buildingsmart.org/IFC/RELEASE/IFC4/ADD2_TC1/HTML/schema/ifcsharedbldgserviceelements/pset/pset_airsidesysteminformation.htm" xr:uid="{DC3D7F57-3DB6-4609-A0BB-E3942D56B997}"/>
    <hyperlink ref="Q1000" r:id="rId3232" display="https://standards.buildingsmart.org/IFC/RELEASE/IFC4/ADD2_TC1/HTML/schema/ifcsharedbldgserviceelements/pset/pset_airsidesysteminformation.htm" xr:uid="{F58BA024-E3EA-470A-94A6-86ADC9155E5A}"/>
    <hyperlink ref="Q1052" r:id="rId3233" display="https://standards.buildingsmart.org/IFC/RELEASE/IFC4/ADD2_TC1/HTML/schema/ifchvacdomain/pset/pset_compressorphistory.htm" xr:uid="{AAE64C82-0FBB-4A80-93C0-84B0BDB3D2FF}"/>
    <hyperlink ref="Q1051" r:id="rId3234" display="https://standards.buildingsmart.org/IFC/RELEASE/IFC4/ADD2_TC1/HTML/schema/ifchvacdomain/pset/pset_chillerphistory.htm" xr:uid="{C7B845DA-F56F-48FD-9B88-A2EB468B6062}"/>
    <hyperlink ref="Q2208" r:id="rId3235" display="https://standards.buildingsmart.org/IFC/RELEASE/IFC4/ADD2_TC1/HTML/schema/ifchvacdomain/pset/pset_tanktypepreformed.htm" xr:uid="{3622BA87-2348-42E8-A6E8-A7A32824B7AF}"/>
    <hyperlink ref="Q2209" r:id="rId3236" display="https://standards.buildingsmart.org/IFC/RELEASE/IFC4/ADD2_TC1/HTML/schema/ifchvacdomain/pset/pset_tanktypecommon.htm" xr:uid="{B6DEB1BA-8E1A-409D-9ABC-E4D4E3AE3578}"/>
    <hyperlink ref="Q599" r:id="rId3237" display="https://standards.buildingsmart.org/IFC/RELEASE/IFC4/ADD2_TC1/HTML/schema/ifcsharedmgmtelements/pset/pset_permit.htm" xr:uid="{89367FE6-7718-4546-9FEF-52DA43E100E4}"/>
    <hyperlink ref="Q693" r:id="rId3238" display="https://standards.buildingsmart.org/IFC/RELEASE/IFC4/ADD2_TC1/HTML/schema/ifcbuildingcontrolsdomain/pset/pset_alarmphistory.htm" xr:uid="{B628281B-E18B-42B8-94C9-CBCFA74FCAA2}"/>
    <hyperlink ref="Q2265" r:id="rId3239" display="https://standards.buildingsmart.org/IFC/RELEASE/IFC4/ADD2_TC1/HTML/schema/ifcelectricaldomain/pset/pset_protectivedevicetrippingunittypeelectronic.htm" xr:uid="{6322EF01-7763-4EB9-9B4D-B235FCEB0A13}"/>
    <hyperlink ref="Q2263" r:id="rId3240" display="https://standards.buildingsmart.org/IFC/RELEASE/IFC4/ADD2_TC1/HTML/schema/ifcelectricaldomain/pset/pset_protectivedevicetrippingunittypeelectromagnetic.htm" xr:uid="{190C4055-8D61-4394-B201-786E696BE4C4}"/>
    <hyperlink ref="Q793" r:id="rId3241" display="https://standards.buildingsmart.org/IFC/RELEASE/IFC4/ADD2_TC1/HTML/schema/ifcelectricaldomain/pset/pset_electricmotortypecommon.htm" xr:uid="{7FD39A94-CBB6-43FF-8266-30D203872CC5}"/>
    <hyperlink ref="Q813" r:id="rId3242" display="https://standards.buildingsmart.org/IFC/RELEASE/IFC4/ADD2_TC1/HTML/schema/ifcsharedbldgserviceelements/pset/pset_utilityconsumptionphistory.htm" xr:uid="{876DD6BB-97EE-4AA8-903B-C398184E3F66}"/>
    <hyperlink ref="Q792" r:id="rId3243" display="https://standards.buildingsmart.org/IFC/RELEASE/IFC4/ADD2_TC1/HTML/schema/ifcelectricaldomain/pset/pset_electricgeneratortypecommon.htm" xr:uid="{62ACF5A8-EBDB-4625-9DA3-92F50C0F3A7C}"/>
    <hyperlink ref="Q2207" r:id="rId3244" display="https://standards.buildingsmart.org/IFC/RELEASE/IFC4/ADD2_TC1/HTML/schema/ifcelectricaldomain/pset/pset_electricappliancetypeelectriccooker.htm" xr:uid="{FD41B877-FB9E-4C46-8C77-8CE02E6A8C87}"/>
    <hyperlink ref="Q2256" r:id="rId3245" display="https://standards.buildingsmart.org/IFC/RELEASE/IFC4/ADD2_TC1/HTML/schema/ifcsharedbldgserviceelements/pset/pset_distributionsystemtypeelectrical.htm" xr:uid="{A3485CB4-5128-4F52-BE1F-827C7E17C148}"/>
    <hyperlink ref="Q244" r:id="rId3246" display="https://standards.buildingsmart.org/IFC/RELEASE/IFC4/ADD2_TC1/HTML/schema/ifcsharedbldgserviceelements/pset/pset_distributionsystemtypeelectrical.htm" xr:uid="{277B2C1B-0301-44BB-8945-94559CC4E464}"/>
    <hyperlink ref="Q2164" r:id="rId3247" display="https://standards.buildingsmart.org/IFC/RELEASE/IFC4/ADD2_TC1/HTML/schema/ifcbuildingcontrolsdomain/pset/pset_actuatortypeelectricactuator.htm" xr:uid="{D9888728-6314-4167-9203-E4C8C6BE5A10}"/>
    <hyperlink ref="Q556" r:id="rId3248" display="https://standards.buildingsmart.org/IFC/RELEASE/IFC4/ADD2_TC1/HTML/schema/ifchvacdomain/pset/pset_fantypecommon.htm" xr:uid="{81859907-DD28-4961-9A18-446FD2854DDA}"/>
    <hyperlink ref="Q555" r:id="rId3249" display="https://standards.buildingsmart.org/IFC/RELEASE/IFC4/ADD2_TC1/HTML/schema/ifcelectricaldomain/pset/pset_transformertypecommon.htm" xr:uid="{55E643CD-DCF5-4472-9734-87471AA56523}"/>
    <hyperlink ref="Q1889" r:id="rId3250" display="https://standards.buildingsmart.org/IFC/RELEASE/IFC4/ADD2_TC1/HTML/schema/ifchvacdomain/pset/pset_evaporativecoolertypecommon.htm" xr:uid="{20141D4D-A6E3-441E-82E7-C71D44DCF329}"/>
    <hyperlink ref="Q785" r:id="rId3251" display="https://standards.buildingsmart.org/IFC/RELEASE/IFC4/ADD2_TC1/HTML/schema/ifchvacdomain/pset/pset_spaceheaterphistory.htm" xr:uid="{7CDC4A22-BE90-4018-84DA-FFE7F17F659F}"/>
    <hyperlink ref="Q786" r:id="rId3252" display="https://standards.buildingsmart.org/IFC/RELEASE/IFC4/ADD2_TC1/HTML/schema/ifchvacdomain/pset/pset_evaporativecoolerphistory.htm" xr:uid="{4022EC5C-BD31-4C88-86A3-4598A9B7DB58}"/>
    <hyperlink ref="Q200" r:id="rId3253" display="https://standards.buildingsmart.org/IFC/RELEASE/IFC4/ADD2_TC1/HTML/schema/ifchvacdomain/pset/pset_tanktypecommon.htm" xr:uid="{0C24EF01-FF48-4483-B9AA-C1A261633668}"/>
    <hyperlink ref="Q115" r:id="rId3254" display="https://standards.buildingsmart.org/IFC/RELEASE/IFC4/ADD2_TC1/HTML/schema/ifchvacdomain/pset/pset_airterminaltypecommon.htm" xr:uid="{6EB23165-C4E1-4C8B-803C-D95D32E27627}"/>
    <hyperlink ref="Q859" r:id="rId3255" display="https://standards.buildingsmart.org/IFC/RELEASE/IFC4/ADD2_TC1/HTML/schema/ifcsharedcomponentelements/pset/pset_discreteaccessoryedgefixingplate.htm" xr:uid="{C691E310-D7EE-400C-B2C9-172B37F17B4B}"/>
    <hyperlink ref="Q392" r:id="rId3256" display="https://standards.buildingsmart.org/IFC/RELEASE/IFC4/ADD2_TC1/HTML/schema/ifcsharedcomponentelements/pset/pset_discreteaccessoryedgefixingplate.htm" xr:uid="{8DDBBA4E-7225-4C50-BEFF-2E0EE501919A}"/>
    <hyperlink ref="Q1102" r:id="rId3257" display="https://standards.buildingsmart.org/IFC/RELEASE/IFC4/ADD2_TC1/HTML/schema/ifcsharedcomponentelements/pset/pset_discreteaccessoryedgefixingplate.htm" xr:uid="{4B5AC206-35E1-4188-8457-F6BD25DA5094}"/>
    <hyperlink ref="Q1101" r:id="rId3258" display="https://standards.buildingsmart.org/IFC/RELEASE/IFC4/ADD2_TC1/HTML/schema/ifcsharedcomponentelements/pset/pset_discreteaccessoryedgefixingplate.htm" xr:uid="{B3C91367-8CF2-4577-BA7D-E0EC0C9F0FC1}"/>
    <hyperlink ref="Q130" r:id="rId3259" display="https://standards.buildingsmart.org/IFC/RELEASE/IFC4/ADD2_TC1/HTML/schema/ifcprofileresource/pset/pset_profilearbitraryhollowcore.htm" xr:uid="{628DA8A6-C0AF-4FD2-BCF8-C4F532F3D066}"/>
    <hyperlink ref="Q695" r:id="rId3260" display="https://standards.buildingsmart.org/IFC/RELEASE/IFC4/ADD2_TC1/HTML/schema/ifcstructuralelementsdomain/pset/pset_precastslab.htm" xr:uid="{FE94C2B1-DD74-421E-8EAE-FC9DC3F4A8A7}"/>
    <hyperlink ref="Q892" r:id="rId3261" display="https://standards.buildingsmart.org/IFC/RELEASE/IFC4/ADD2_TC1/HTML/schema/ifcelectricaldomain/pset/pset_electricflowstoragedevicetypecommon.htm" xr:uid="{3974351F-E26A-43FD-AB85-8229045021BF}"/>
    <hyperlink ref="Q890" r:id="rId3262" display="https://standards.buildingsmart.org/IFC/RELEASE/IFC4/ADD2_TC1/HTML/schema/ifcelectricaldomain/pset/pset_electricflowstoragedevicetypecommon.htm" xr:uid="{13F6BEFE-7F22-4B38-BD56-704CBDF43DB9}"/>
    <hyperlink ref="Q893" r:id="rId3263" display="https://standards.buildingsmart.org/IFC/RELEASE/IFC4/ADD2_TC1/HTML/schema/ifcelectricaldomain/pset/pset_electricflowstoragedevicetypecommon.htm" xr:uid="{A403D564-7A19-4C06-AF42-966EA277DFB7}"/>
    <hyperlink ref="Q891" r:id="rId3264" display="https://standards.buildingsmart.org/IFC/RELEASE/IFC4/ADD2_TC1/HTML/schema/ifcelectricaldomain/pset/pset_electricflowstoragedevicetypecommon.htm" xr:uid="{CBD17B31-FA2D-4C00-B541-284391416E50}"/>
    <hyperlink ref="Q2196" r:id="rId3265" display="https://standards.buildingsmart.org/IFC/RELEASE/IFC4/ADD2_TC1/HTML/schema/ifcelectricaldomain/pset/pset_protectivedevicetypeearthleakagecircuitbreaker.htm" xr:uid="{363A1FD4-A9B2-4E96-AC58-788C3AAACC42}"/>
    <hyperlink ref="Q1199" r:id="rId3266" display="https://standards.buildingsmart.org/IFC/RELEASE/IFC4/ADD2_TC1/HTML/schema/ifcsharedcomponentelements/pset/pset_fastenerweld.htm" xr:uid="{E14042F3-EFF1-4DA1-A9CD-867FA15DD246}"/>
    <hyperlink ref="Q2460" r:id="rId3267" display="https://standards.buildingsmart.org/IFC/RELEASE/IFC4/ADD2_TC1/HTML/schema/ifcmaterialresource/pset/pset_materialmechanical.htm" xr:uid="{FA700D56-0367-43E3-9DC6-DA388D3CE2A1}"/>
    <hyperlink ref="Q196" r:id="rId3268" display="https://standards.buildingsmart.org/IFC/RELEASE/IFC4/ADD2_TC1/HTML/schema/ifchvacdomain/pset/pset_filtertypeairparticlefilter.htm" xr:uid="{1EF0829D-8A41-43FC-9F4A-263A34BDFA6A}"/>
    <hyperlink ref="Q712" r:id="rId3269" display="https://standards.buildingsmart.org/IFC/RELEASE/IFC4/ADD2_TC1/HTML/schema/ifcsharedfacilitieselements/pset/pset_propertyagreement.htm" xr:uid="{FD0BE0BC-C422-4AB4-9B9E-FC74DF47361D}"/>
    <hyperlink ref="Q713" r:id="rId3270" display="https://standards.buildingsmart.org/IFC/RELEASE/IFC4/ADD2_TC1/HTML/schema/ifcproductextension/pset/pset_environmentalimpactvalues.htm" xr:uid="{F89B80A0-D536-4A80-B7D6-CF0B193E3BF6}"/>
    <hyperlink ref="Q304" r:id="rId3271" display="https://standards.buildingsmart.org/IFC/RELEASE/IFC4/ADD2_TC1/HTML/schema/ifcsharedbldgelements/pset/pset_doorcommon.htm" xr:uid="{FA3D0605-CE11-450D-9981-C1ECC835880D}"/>
    <hyperlink ref="Q1212" r:id="rId3272" display="https://standards.buildingsmart.org/IFC/RELEASE/IFC4/ADD2_TC1/HTML/schema/ifcsharedbldgserviceelements/pset/pset_distributionsystemtypeventilation.htm" xr:uid="{68D38964-2330-49E4-AD0B-96421EEEF446}"/>
    <hyperlink ref="Q1721" r:id="rId3273" display="https://standards.buildingsmart.org/IFC/RELEASE/IFC4/ADD2_TC1/HTML/schema/ifcsharedbldgserviceelements/pset/pset_distributionsystemtypeventilation.htm" xr:uid="{B41CFECA-0738-4DC1-ABA7-63C304453A12}"/>
    <hyperlink ref="Q707" r:id="rId3274" display="https://standards.buildingsmart.org/IFC/RELEASE/IFC4/ADD2_TC1/HTML/schema/ifchvacdomain/pset/pset_unitaryequipmenttypeairhandler.htm" xr:uid="{85A12D7D-4F75-42D5-98F4-9BEF0146C48B}"/>
    <hyperlink ref="Q2055" r:id="rId3275" display="https://standards.buildingsmart.org/IFC/RELEASE/IFC4/ADD2_TC1/HTML/schema/ifcsharedbldgserviceelements/pset/pset_spacethermalloadphistory.htm" xr:uid="{002CB098-DBA4-423F-BADF-388F6A4DAD55}"/>
    <hyperlink ref="Q2056" r:id="rId3276" display="https://standards.buildingsmart.org/IFC/RELEASE/IFC4/ADD2_TC1/HTML/schema/ifcsharedbldgserviceelements/pset/pset_distributionporttypeduct.htm" xr:uid="{FFCB11C9-E0A4-4EBB-8E30-3DD6E6CEF294}"/>
    <hyperlink ref="Q2054" r:id="rId3277" display="https://standards.buildingsmart.org/IFC/RELEASE/IFC4/ADD2_TC1/HTML/schema/ifcsharedbldgserviceelements/pset/pset_spacethermalload.htm" xr:uid="{85BEE988-6313-4C63-BC8F-0C40CFBF3D47}"/>
    <hyperlink ref="Q1335" r:id="rId3278" display="https://standards.buildingsmart.org/IFC/RELEASE/IFC4/ADD2_TC1/HTML/schema/ifchvacdomain/pset/pset_fanphistory.htm" xr:uid="{D0F09561-CAF6-4502-994B-6DDCA07D287E}"/>
    <hyperlink ref="Q2174" r:id="rId3279" display="https://standards.buildingsmart.org/IFC/RELEASE/IFC4/ADD2_TC1/HTML/schema/ifchvacdomain/pset/pset_pumpoccurrence.htm" xr:uid="{D3130FF3-8C70-409B-8179-300DAF74BBA5}"/>
    <hyperlink ref="Q1919" r:id="rId3280" display="https://standards.buildingsmart.org/IFC/RELEASE/IFC4/ADD2_TC1/HTML/schema/ifcplumbingfireprotectiondomain/pset/pset_sanitaryterminaltypewashhandbasin.htm" xr:uid="{11B9A6DE-6BEC-4566-BB31-66013A52D802}"/>
    <hyperlink ref="Q1914" r:id="rId3281" display="https://standards.buildingsmart.org/IFC/RELEASE/IFC4/ADD2_TC1/HTML/schema/ifcplumbingfireprotectiondomain/pset/pset_sanitaryterminaltypesink.htm" xr:uid="{D4F6D245-C8A9-4807-B698-B5A6BDEF3FC5}"/>
    <hyperlink ref="Q1917" r:id="rId3282" display="https://standards.buildingsmart.org/IFC/RELEASE/IFC4/ADD2_TC1/HTML/schema/ifcplumbingfireprotectiondomain/pset/pset_sanitaryterminaltypeshower.htm" xr:uid="{656EE9D6-CC5E-4A01-9986-BB25968B1C91}"/>
    <hyperlink ref="Q1918" r:id="rId3283" display="https://standards.buildingsmart.org/IFC/RELEASE/IFC4/ADD2_TC1/HTML/schema/ifcplumbingfireprotectiondomain/pset/pset_sanitaryterminaltypesanitaryfountain.htm" xr:uid="{3D7BFEC7-9F7E-40AA-8F86-1BA95BA130A8}"/>
    <hyperlink ref="Q1916" r:id="rId3284" display="https://standards.buildingsmart.org/IFC/RELEASE/IFC4/ADD2_TC1/HTML/schema/ifcplumbingfireprotectiondomain/pset/pset_sanitaryterminaltypebidet.htm" xr:uid="{2BE65AC4-28F0-407C-9BE5-84CE40D9EB34}"/>
    <hyperlink ref="Q1915" r:id="rId3285" display="https://standards.buildingsmart.org/IFC/RELEASE/IFC4/ADD2_TC1/HTML/schema/ifcplumbingfireprotectiondomain/pset/pset_sanitaryterminaltypebath.htm" xr:uid="{52BB8B94-BB01-43F9-8F5E-55BE3B20DA51}"/>
    <hyperlink ref="Q1891" r:id="rId3286" display="https://standards.buildingsmart.org/IFC/RELEASE/IFC4/ADD2_TC1/HTML/schema/ifcplumbingfireprotectiondomain/pset/pset_wasteterminaltypewastedisposalunit.htm" xr:uid="{C03B1BA4-4F68-4BC2-AA4E-25C866BBFEF3}"/>
    <hyperlink ref="Q636" r:id="rId3287" display="https://standards.buildingsmart.org/IFC/RELEASE/IFC4/ADD2_TC1/HTML/schema/ifcprofileresource/pset/pset_profilearbitraryhollowcore.htm" xr:uid="{D214136E-5E73-4F23-9051-BA81EEAE7A12}"/>
    <hyperlink ref="Q641" r:id="rId3288" display="https://standards.buildingsmart.org/IFC/RELEASE/IFC4/ADD2_TC1/HTML/schema/ifcprofileresource/pset/pset_profilearbitraryhollowcore.htm" xr:uid="{5F81FEAE-D96F-4D0F-98F8-DE291A8A884E}"/>
    <hyperlink ref="Q1400" r:id="rId3289" display="https://standards.buildingsmart.org/IFC/RELEASE/IFC4/ADD2_TC1/HTML/schema/ifchvacdomain/pset/pset_valvetypepressurereducing.htm" xr:uid="{E4499E5D-E952-4C5D-9DBE-E8CF3F206AEB}"/>
    <hyperlink ref="Q706" r:id="rId3290" display="https://standards.buildingsmart.org/IFC/RELEASE/IFC4/ADD2_TC1/HTML/schema/ifcsharedbldgserviceelements/pset/pset_distributionsystemtypeelectrical.htm" xr:uid="{A1FF76DD-158A-42AB-9BDE-85D7F1B949A3}"/>
    <hyperlink ref="Q697" r:id="rId3291" display="https://standards.buildingsmart.org/IFC/RELEASE/IFC4/ADD2_TC1/HTML/schema/ifcelectricaldomain/pset/pset_cablesegmentoccurrence.htm" xr:uid="{E6D75F64-B5D2-4024-B502-60E7BBBE96B2}"/>
    <hyperlink ref="Q698" r:id="rId3292" display="https://standards.buildingsmart.org/IFC/RELEASE/IFC4/ADD2_TC1/HTML/schema/ifcstructuralelementsdomain/pset/pset_precastslab.htm" xr:uid="{892CA973-0126-42A1-8911-F6F2041E4D6C}"/>
    <hyperlink ref="Q488" r:id="rId3293" display="https://standards.buildingsmart.org/IFC/RELEASE/IFC4/ADD2_TC1/HTML/schema/ifcmaterialresource/pset/pset_materialwater.htm" xr:uid="{80D595C3-2A63-464B-8EC5-D96FF8FAC765}"/>
    <hyperlink ref="Q1100" r:id="rId3294" display="https://standards.buildingsmart.org/IFC/RELEASE/IFC4/ADD2_TC1/HTML/schema/ifcelectricaldomain/pset/pset_audiovisualappliancetypedisplay.htm" xr:uid="{4C35E088-7159-4F4E-A2F6-BEB7A1ACE949}"/>
    <hyperlink ref="Q2195" r:id="rId3295" display="https://standards.buildingsmart.org/IFC/RELEASE/IFC4/ADD2_TC1/HTML/schema/ifcelectricaldomain/pset/pset_audiovisualappliancetypedisplay.htm" xr:uid="{6B0CA748-D680-470D-95EB-77DB2742E9A5}"/>
    <hyperlink ref="Q1925" r:id="rId3296" display="https://standards.buildingsmart.org/IFC/RELEASE/IFC4/ADD2_TC1/HTML/schema/ifcbuildingcontrolsdomain/pset/pset_flowinstrumenttypethermometer.htm" xr:uid="{B337069D-0271-46D8-9A54-F099C78EF8AF}"/>
    <hyperlink ref="Q1924" r:id="rId3297" display="https://standards.buildingsmart.org/IFC/RELEASE/IFC4/ADD2_TC1/HTML/schema/ifcbuildingcontrolsdomain/pset/pset_flowinstrumenttypepressuregauge.htm" xr:uid="{285B7B20-759E-42DD-9819-7AF8710D1E19}"/>
    <hyperlink ref="Q35" r:id="rId3298" display="https://standards.buildingsmart.org/IFC/RELEASE/IFC4/ADD2_TC1/HTML/schema/ifcelectricaldomain/pset/pset_audiovisualappliancetypedisplay.htm" xr:uid="{05A885B8-A3AB-459B-84F5-06ED92FAE694}"/>
    <hyperlink ref="Q2273" r:id="rId3299" display="https://standards.buildingsmart.org/IFC/RELEASE/IFC4/ADD2_TC1/HTML/schema/ifcelectricaldomain/pset/pset_electricappliancetypedishwasher.htm" xr:uid="{B02512B2-E64F-496F-BA1B-676187CAB393}"/>
    <hyperlink ref="Q88" r:id="rId3300" display="https://standards.buildingsmart.org/IFC/RELEASE/IFC4/ADD2_TC1/HTML/schema/ifcproductextension/pset/pset_spacethermalrequirements.htm" xr:uid="{A2BA6BB1-C1AD-4520-89E9-A01405BFD0A9}"/>
    <hyperlink ref="Q2418" r:id="rId3301" display="https://standards.buildingsmart.org/IFC/RELEASE/IFC4/ADD2_TC1/HTML/schema/ifchvacdomain/pset/pset_fanphistory.htm" xr:uid="{A80C890D-1D8C-4EAA-877D-84370C3A431D}"/>
    <hyperlink ref="Q2193" r:id="rId3302" display="https://standards.buildingsmart.org/IFC/RELEASE/IFC4/ADD2_TC1/HTML/schema/ifchvacdomain/pset/pset_fanoccurrence.htm" xr:uid="{35411EBD-0B2A-4A07-9C51-1C4C38407AE3}"/>
    <hyperlink ref="Q1336" r:id="rId3303" display="https://standards.buildingsmart.org/IFC/RELEASE/IFC4/ADD2_TC1/HTML/schema/ifchvacdomain/pset/pset_fanphistory.htm" xr:uid="{5D6698DC-A56A-4677-8BF4-0A52399149B2}"/>
    <hyperlink ref="Q1374" r:id="rId3304" display="https://standards.buildingsmart.org/IFC/RELEASE/IFC4/ADD2_TC1/HTML/schema/ifchvacdomain/pset/pset_fancentrifugal.htm" xr:uid="{9A1B60BF-8A20-427A-9E9A-78EBB04574BD}"/>
    <hyperlink ref="Q2394" r:id="rId3305" display="https://standards.buildingsmart.org/IFC/RELEASE/IFC4/ADD2_TC1/HTML/schema/ifcplumbingfireprotectiondomain/pset/pset_firesuppressionterminaltypesprinkler.htm" xr:uid="{3E45C1CD-5E3F-4DD6-B177-8B0ECEE87ED8}"/>
    <hyperlink ref="Q2393" r:id="rId3306" display="https://standards.buildingsmart.org/IFC/RELEASE/IFC4/ADD2_TC1/HTML/schema/ifcplumbingfireprotectiondomain/pset/pset_firesuppressionterminaltypefirehydrant.htm" xr:uid="{D63BDCC9-719A-4E40-BF8C-579CBE196643}"/>
    <hyperlink ref="Q689" r:id="rId3307" display="https://standards.buildingsmart.org/IFC/RELEASE/IFC4/ADD2_TC1/HTML/schema/ifchvacdomain/pset/pset_airterminaltypecommon.htm" xr:uid="{D946494B-EE66-43F1-BBAB-65BED842EEF0}"/>
    <hyperlink ref="Q348" r:id="rId3308" display="https://standards.buildingsmart.org/IFC/RELEASE/IFC4/ADD2_TC1/HTML/schema/ifcplumbingfireprotectiondomain/pset/pset_firesuppressionterminaltypesprinkler.htm" xr:uid="{210E6349-8F77-403D-9B4B-5391760858A5}"/>
    <hyperlink ref="Q691" r:id="rId3309" display="https://standards.buildingsmart.org/IFC/RELEASE/IFC4/ADD2_TC1/HTML/schema/ifchvacdomain/pset/pset_fancentrifugal.htm" xr:uid="{772E2DF1-10A9-4DBC-947D-B9A5962C71BA}"/>
    <hyperlink ref="Q692" r:id="rId3310" display="https://standards.buildingsmart.org/IFC/RELEASE/IFC4/ADD2_TC1/HTML/schema/ifcbuildingcontrolsdomain/pset/pset_sensorphistory.htm" xr:uid="{5F9436B6-1E5C-4BC3-80D2-1A892B345833}"/>
    <hyperlink ref="Q2268" r:id="rId3311" display="https://standards.buildingsmart.org/IFC/RELEASE/IFC4/ADD2_TC1/HTML/schema/ifcelectricaldomain/pset/pset_switchingdevicetypedimmerswitch.htm" xr:uid="{1EA528BB-3844-420F-8397-74B5487D805F}"/>
    <hyperlink ref="Q353" r:id="rId3312" display="https://standards.buildingsmart.org/IFC/RELEASE/IFC4/ADD2_TC1/HTML/schema/ifcmaterialresource/pset/pset_materialwood.htm" xr:uid="{3DBCFA99-FE20-435B-815C-147A4513AEF2}"/>
    <hyperlink ref="Q273" r:id="rId3313" display="https://standards.buildingsmart.org/IFC/RELEASE/IFC4/ADD2_TC1/HTML/schema/ifcstructuralelementsdomain/pset/pset_concreteelementgeneral.htm" xr:uid="{3F7E9830-45DA-478F-B061-401EE3CB27D8}"/>
    <hyperlink ref="Q681" r:id="rId3314" display="https://standards.buildingsmart.org/IFC/RELEASE/IFC4/ADD2_TC1/HTML/schema/ifchvacdomain/pset/pset_tubebundletypefinned.htm" xr:uid="{571E7F0C-8962-475A-A64A-2969114F0475}"/>
    <hyperlink ref="Q680" r:id="rId3315" display="https://standards.buildingsmart.org/IFC/RELEASE/IFC4/ADD2_TC1/HTML/schema/ifcsharedbldgelements/pset/pset_railingcommon.htm" xr:uid="{7F0A8A74-5E36-49A7-B855-DB0381A96143}"/>
    <hyperlink ref="Q682" r:id="rId3316" display="https://standards.buildingsmart.org/IFC/RELEASE/IFC4/ADD2_TC1/HTML/schema/ifcsharedbldgelements/pset/pset_buildingelementproxyprovisionforvoid.htm" xr:uid="{4F31F124-500C-4FB4-820F-C8A5243C1A98}"/>
    <hyperlink ref="Q2336" r:id="rId3317" display="https://standards.buildingsmart.org/IFC/RELEASE/IFC4/ADD2_TC1/HTML/schema/ifcsharedcomponentelements/pset/pset_discreteaccessorydiagonaltrussconnector.htm" xr:uid="{E360765F-9600-45E5-9078-8B6C3FA32132}"/>
    <hyperlink ref="Q2335" r:id="rId3318" display="https://standards.buildingsmart.org/IFC/RELEASE/IFC4/ADD2_TC1/HTML/schema/ifcsharedcomponentelements/pset/pset_discreteaccessorydiagonaltrussconnector.htm" xr:uid="{AFD82DA4-586A-4DD5-926B-CE4EA0601A71}"/>
    <hyperlink ref="Q2334" r:id="rId3319" display="https://standards.buildingsmart.org/IFC/RELEASE/IFC4/ADD2_TC1/HTML/schema/ifcsharedcomponentelements/pset/pset_discreteaccessorydiagonaltrussconnector.htm" xr:uid="{BEAD5EF3-9DA5-48EB-8A62-580224922FBB}"/>
    <hyperlink ref="Q2339" r:id="rId3320" display="https://standards.buildingsmart.org/IFC/RELEASE/IFC4/ADD2_TC1/HTML/schema/ifcsharedcomponentelements/pset/pset_discreteaccessorydiagonaltrussconnector.htm" xr:uid="{E192EE12-2A9F-490B-9412-1ABC05B316B4}"/>
    <hyperlink ref="Q2337" r:id="rId3321" display="https://standards.buildingsmart.org/IFC/RELEASE/IFC4/ADD2_TC1/HTML/schema/ifcsharedcomponentelements/pset/pset_discreteaccessorydiagonaltrussconnector.htm" xr:uid="{29562F03-6934-4ADF-BF07-DD9A251D8ADC}"/>
    <hyperlink ref="Q2338" r:id="rId3322" display="https://standards.buildingsmart.org/IFC/RELEASE/IFC4/ADD2_TC1/HTML/schema/ifcsharedcomponentelements/pset/pset_discreteaccessorydiagonaltrussconnector.htm" xr:uid="{76396EEF-45A6-4247-9294-0CAE71199C4B}"/>
    <hyperlink ref="Q1288" r:id="rId3323" display="https://standards.buildingsmart.org/IFC/RELEASE/IFC4/ADD2_TC1/HTML/schema/ifcsharedbldgserviceelements/pset/pset_distributionsystemtypeventilation.htm" xr:uid="{A370DB97-61D8-4968-A28C-2C4272FE1B76}"/>
    <hyperlink ref="Q1297" r:id="rId3324" display="https://standards.buildingsmart.org/IFC/RELEASE/IFC4/ADD2_TC1/HTML/schema/ifcstructuralelementsdomain/pset/pset_precastconcreteelementgeneral.htm" xr:uid="{A0AAFAD0-7959-4179-8E43-1BF316760B29}"/>
    <hyperlink ref="Q1261" r:id="rId3325" display="https://standards.buildingsmart.org/IFC/RELEASE/IFC4/ADD2_TC1/HTML/schema/ifcsharedfacilitieselements/pset/pset_servicelifefactors.htm" xr:uid="{90ABC6D7-946E-43C9-957B-4CDE3140D2A2}"/>
    <hyperlink ref="Q2046" r:id="rId3326" display="https://standards.buildingsmart.org/IFC/RELEASE/IFC4/ADD2_TC1/HTML/schema/ifcelectricaldomain/pset/pset_cablesegmentoccurrence.htm" xr:uid="{78723DF2-4641-4567-BB2E-40E79F628F39}"/>
    <hyperlink ref="Q623" r:id="rId3327" display="https://standards.buildingsmart.org/IFC/RELEASE/IFC4/ADD2_TC1/HTML/schema/ifcstructuralelementsdomain/pset/pset_reinforcementbarpitchofwall.htm" xr:uid="{71D60699-EE8B-470C-9383-F6087EA837B2}"/>
    <hyperlink ref="Q622" r:id="rId3328" display="https://standards.buildingsmart.org/IFC/RELEASE/IFC4/ADD2_TC1/HTML/schema/ifcstructuralelementsdomain/pset/pset_reinforcementbarpitchofslab.htm" xr:uid="{46AC4907-AF0A-41B8-84A2-909E6BC42C7A}"/>
    <hyperlink ref="Q624" r:id="rId3329" display="https://standards.buildingsmart.org/IFC/RELEASE/IFC4/ADD2_TC1/HTML/schema/ifcstructuralelementsdomain/pset/pset_reinforcementbarpitchofcontinuousfooting.htm" xr:uid="{453796DB-6874-44F7-89E1-C05D4BC441B3}"/>
    <hyperlink ref="Q621" r:id="rId3330" display="https://standards.buildingsmart.org/IFC/RELEASE/IFC4/ADD2_TC1/HTML/schema/ifcstructuralelementsdomain/pset/pset_reinforcementbarpitchofcolumn.htm" xr:uid="{A8324D5D-2AC9-42FD-A60F-2FDC7149AAF0}"/>
    <hyperlink ref="Q625" r:id="rId3331" display="https://standards.buildingsmart.org/IFC/RELEASE/IFC4/ADD2_TC1/HTML/schema/ifcstructuralelementsdomain/pset/pset_reinforcementbarpitchofbeam.htm" xr:uid="{8E35092D-C695-49E3-B1C9-96A794420EC9}"/>
    <hyperlink ref="Q620" r:id="rId3332" display="https://standards.buildingsmart.org/IFC/RELEASE/IFC4/ADD2_TC1/HTML/schema/ifcstructuralelementsdomain/pset/pset_reinforcementbarcountofindependentfooting.htm" xr:uid="{F0A0E9F4-F3F7-4254-B136-5BE1029BCAA6}"/>
    <hyperlink ref="Q626" r:id="rId3333" display="https://standards.buildingsmart.org/IFC/RELEASE/IFC4/ADD2_TC1/HTML/schema/ifcsharedbldgserviceelements/pset/pset_airsidesysteminformation.htm" xr:uid="{2D4029F5-7443-40BA-A4D3-649BFB066F38}"/>
    <hyperlink ref="Q452" r:id="rId3334" display="https://standards.buildingsmart.org/IFC/RELEASE/IFC4/ADD2_TC1/HTML/schema/ifcbuildingcontrolsdomain/pset/pset_controllertypeproportional.htm" xr:uid="{3BA87E65-31F1-45C3-BFBE-A8BB0339A1B1}"/>
    <hyperlink ref="Q1468" r:id="rId3335" display="https://standards.buildingsmart.org/IFC/RELEASE/IFC4/ADD2_TC1/HTML/schema/ifcsharedbldgserviceelements/pset/pset_distributionchamberelementtypetrench.htm" xr:uid="{39AD29B1-4211-49F7-98B5-7F5E4231F3D1}"/>
    <hyperlink ref="Q1467" r:id="rId3336" display="https://standards.buildingsmart.org/IFC/RELEASE/IFC4/ADD2_TC1/HTML/schema/ifcsharedbldgserviceelements/pset/pset_distributionchamberelementtypeinspectionpit.htm" xr:uid="{CC7D74B9-CE57-4EE6-BDD3-282EDD60E219}"/>
    <hyperlink ref="Q1469" r:id="rId3337" display="https://standards.buildingsmart.org/IFC/RELEASE/IFC4/ADD2_TC1/HTML/schema/ifcsharedbldgelements/pset/pset_buildingelementproxyprovisionforvoid.htm" xr:uid="{3D522EAC-30D9-4C8F-8AEA-145F174D86A4}"/>
    <hyperlink ref="Q2200" r:id="rId3338" display="https://standards.buildingsmart.org/IFC/RELEASE/IFC4/ADD2_TC1/HTML/schema/ifcsharedcomponentelements/pset/pset_elementcomponentcommon.htm" xr:uid="{8CA81462-F887-4B8F-AFC3-92604DAC9542}"/>
    <hyperlink ref="Q780" r:id="rId3339" display="https://standards.buildingsmart.org/IFC/RELEASE/IFC4/ADD2_TC1/HTML/schema/ifchvacdomain/pset/pset_airtoairheatrecoveryphistory.htm" xr:uid="{D73DF212-0989-4EC0-8FF6-EDE149EDB64A}"/>
    <hyperlink ref="Q2074" r:id="rId3340" display="https://standards.buildingsmart.org/IFC/RELEASE/IFC4/ADD2_TC1/HTML/schema/ifcelectricaldomain/pset/pset_protectivedevicetrippingunittypethermal.htm" xr:uid="{65CF73E3-3897-4159-ACCC-ECB8D8F44E7C}"/>
    <hyperlink ref="Q2073" r:id="rId3341" display="https://standards.buildingsmart.org/IFC/RELEASE/IFC4/ADD2_TC1/HTML/schema/ifcelectricaldomain/pset/pset_protectivedevicetrippingunittypeelectromagnetic.htm" xr:uid="{6C5C3DEB-2B3B-44A1-87DD-182807258D6B}"/>
    <hyperlink ref="Q590" r:id="rId3342" display="https://standards.buildingsmart.org/IFC/RELEASE/IFC4/ADD2_TC1/HTML/schema/ifcsharedbldgserviceelements/pset/pset_distributionportphistorycable.htm" xr:uid="{00A4F1B6-6D98-4B49-A63C-58A8F7A9E370}"/>
    <hyperlink ref="Q589" r:id="rId3343" display="https://standards.buildingsmart.org/IFC/RELEASE/IFC4/ADD2_TC1/HTML/schema/ifcsharedbldgserviceelements/pset/pset_distributionportphistorycable.htm" xr:uid="{E5B0A20F-402E-413D-B9D4-5F44F2F19FD4}"/>
    <hyperlink ref="Q1372" r:id="rId3344" display="https://standards.buildingsmart.org/IFC/RELEASE/IFC4/ADD2_TC1/HTML/schema/ifchvacdomain/pset/pset_damperphistory.htm" xr:uid="{BB2C4BF1-29A2-4BC1-BEA5-E7E04CDD5C45}"/>
    <hyperlink ref="Q1373" r:id="rId3345" display="https://standards.buildingsmart.org/IFC/RELEASE/IFC4/ADD2_TC1/HTML/schema/ifchvacdomain/pset/pset_airterminalboxphistory.htm" xr:uid="{CECEFFD2-424E-4DF6-AA93-16A237D39361}"/>
    <hyperlink ref="Q1198" r:id="rId3346" display="https://standards.buildingsmart.org/IFC/RELEASE/IFC4/ADD2_TC1/HTML/schema/ifcsharedcomponentelements/pset/pset_fastenerweld.htm" xr:uid="{D0EAF3FE-D5D9-4C95-978F-9D22DBC234E4}"/>
    <hyperlink ref="Q630" r:id="rId3347" display="https://standards.buildingsmart.org/IFC/RELEASE/IFC4/ADD2_TC1/HTML/schema/ifcelectricaldomain/pset/pset_protectivedevicetrippingunittypethermal.htm" xr:uid="{716B001B-AD4F-4825-BC29-0BE0AE3A6398}"/>
    <hyperlink ref="Q629" r:id="rId3348" display="https://standards.buildingsmart.org/IFC/RELEASE/IFC4/ADD2_TC1/HTML/schema/ifcelectricaldomain/pset/pset_protectivedevicetrippingunittypeelectromagnetic.htm" xr:uid="{C427B866-66D3-4CAA-AB3D-A39047E346A3}"/>
    <hyperlink ref="Q1155" r:id="rId3349" display="https://standards.buildingsmart.org/IFC/RELEASE/IFC4/ADD2_TC1/HTML/schema/ifcelectricaldomain/pset/pset_protectivedevicetrippingfunctionscurve.htm" xr:uid="{98F9F00E-1245-4296-AED1-8E16140DC48D}"/>
    <hyperlink ref="Q1153" r:id="rId3350" display="https://standards.buildingsmart.org/IFC/RELEASE/IFC4/ADD2_TC1/HTML/schema/ifcelectricaldomain/pset/pset_protectivedevicetrippingfunctionicurve.htm" xr:uid="{A02A37B7-1BCF-4240-A5D5-FC29517D1356}"/>
    <hyperlink ref="Q1154" r:id="rId3351" display="https://standards.buildingsmart.org/IFC/RELEASE/IFC4/ADD2_TC1/HTML/schema/ifcelectricaldomain/pset/pset_protectivedevicetrippingfunctiongcurve.htm" xr:uid="{AF722A08-A840-4729-9968-D34A1BA23CAB}"/>
    <hyperlink ref="Q2293" r:id="rId3352" display="https://standards.buildingsmart.org/IFC/RELEASE/IFC4/ADD2_TC1/HTML/schema/ifcelectricaldomain/pset/pset_protectivedevicetrippingfunctionscurve.htm" xr:uid="{1056D0DD-DF7A-4BDD-8D66-2FC47CF0789D}"/>
    <hyperlink ref="Q2290" r:id="rId3353" display="https://standards.buildingsmart.org/IFC/RELEASE/IFC4/ADD2_TC1/HTML/schema/ifcelectricaldomain/pset/pset_protectivedevicetrippingfunctionicurve.htm" xr:uid="{95D638B3-0215-4C8F-96A3-D1D57945692E}"/>
    <hyperlink ref="Q2291" r:id="rId3354" display="https://standards.buildingsmart.org/IFC/RELEASE/IFC4/ADD2_TC1/HTML/schema/ifcelectricaldomain/pset/pset_protectivedevicetrippingfunctiongcurve.htm" xr:uid="{83E1F8E7-17D2-4B86-93DC-7A23F2D4624E}"/>
    <hyperlink ref="Q2292" r:id="rId3355" display="https://standards.buildingsmart.org/IFC/RELEASE/IFC4/ADD2_TC1/HTML/schema/ifcelectricaldomain/pset/pset_protectivedevicetrippingfunctionscurve.htm" xr:uid="{3C668DF1-7DEF-40BE-B414-5B4DB5C08225}"/>
    <hyperlink ref="Q2288" r:id="rId3356" display="https://standards.buildingsmart.org/IFC/RELEASE/IFC4/ADD2_TC1/HTML/schema/ifcelectricaldomain/pset/pset_protectivedevicetrippingfunctionicurve.htm" xr:uid="{8E76B838-EE88-4CB7-8DFE-89C9644B2CA0}"/>
    <hyperlink ref="Q2289" r:id="rId3357" display="https://standards.buildingsmart.org/IFC/RELEASE/IFC4/ADD2_TC1/HTML/schema/ifcelectricaldomain/pset/pset_protectivedevicetrippingfunctiongcurve.htm" xr:uid="{B33FACCC-3A0D-49EC-A7F1-8F0104B80C0D}"/>
    <hyperlink ref="Q529" r:id="rId3358" display="https://standards.buildingsmart.org/IFC/RELEASE/IFC4/ADD2_TC1/HTML/schema/ifcelectricaldomain/pset/pset_protectivedevicetrippingunittimeadjustment.htm" xr:uid="{25B1D254-C0B7-4383-9446-82406BE7339C}"/>
    <hyperlink ref="Q481" r:id="rId3359" display="https://standards.buildingsmart.org/IFC/RELEASE/IFC4/ADD2_TC1/HTML/schema/ifcsharedbldgserviceelements/pset/pset_distributionporttypecable.htm" xr:uid="{EB0CCE06-A3AC-4D32-9077-FEA6B66D6947}"/>
    <hyperlink ref="Q198" r:id="rId3360" display="https://standards.buildingsmart.org/IFC/RELEASE/IFC4/ADD2_TC1/HTML/schema/ifcelectricaldomain/pset/pset_cablesegmentoccurrence.htm" xr:uid="{6AD31034-0BC3-461B-AC68-3F31BE196FFC}"/>
    <hyperlink ref="Q534" r:id="rId3361" display="https://standards.buildingsmart.org/IFC/RELEASE/IFC4/ADD2_TC1/HTML/schema/ifcsharedbldgserviceelements/pset/pset_distributionportphistorycable.htm" xr:uid="{11CECFD9-2358-4977-B062-E648580CEE5C}"/>
    <hyperlink ref="Q535" r:id="rId3362" display="https://standards.buildingsmart.org/IFC/RELEASE/IFC4/ADD2_TC1/HTML/schema/ifcsharedbldgserviceelements/pset/pset_distributionporttypecable.htm" xr:uid="{6F6D0A6C-5449-4B7D-84F8-61FF1CA1DCC2}"/>
    <hyperlink ref="Q107" r:id="rId3363" display="https://standards.buildingsmart.org/IFC/RELEASE/IFC4/ADD2_TC1/HTML/schema/ifcprofileresource/pset/pset_profilemechanical.htm" xr:uid="{4D2D3232-7C06-4F9E-A4DB-233F58B68C9E}"/>
    <hyperlink ref="Q106" r:id="rId3364" display="https://standards.buildingsmart.org/IFC/RELEASE/IFC4/ADD2_TC1/HTML/schema/ifcelectricaldomain/pset/pset_cablesegmenttypeconductorsegment.htm" xr:uid="{330B6D0F-E13C-4B88-BD57-C18BB4B56E7B}"/>
    <hyperlink ref="Q545" r:id="rId3365" display="https://standards.buildingsmart.org/IFC/RELEASE/IFC4/ADD2_TC1/HTML/schema/ifcstructuralelementsdomain/pset/pset_reinforcementbarpitchofcontinuousfooting.htm" xr:uid="{549BB79A-E37E-416F-B2CB-D59B6A5EF836}"/>
    <hyperlink ref="Q544" r:id="rId3366" display="https://standards.buildingsmart.org/IFC/RELEASE/IFC4/ADD2_TC1/HTML/schema/ifcstructuralelementsdomain/pset/pset_reinforcementbarpitchofcontinuousfooting.htm" xr:uid="{E385AE46-1F95-4486-817B-3898C48EA1B5}"/>
    <hyperlink ref="Q1118" r:id="rId3367" display="https://standards.buildingsmart.org/IFC/RELEASE/IFC4/ADD2_TC1/HTML/schema/ifcplumbingfireprotectiondomain/pset/pset_wasteterminaltyperoofdrain.htm" xr:uid="{7421D463-1346-44ED-819A-4DB213B272B3}"/>
    <hyperlink ref="Q1115" r:id="rId3368" display="https://standards.buildingsmart.org/IFC/RELEASE/IFC4/ADD2_TC1/HTML/schema/ifcplumbingfireprotectiondomain/pset/pset_wasteterminaltypegullytrap.htm" xr:uid="{54CDBF3B-FCCC-41C1-B1F7-C393EDC64C05}"/>
    <hyperlink ref="Q1117" r:id="rId3369" display="https://standards.buildingsmart.org/IFC/RELEASE/IFC4/ADD2_TC1/HTML/schema/ifcplumbingfireprotectiondomain/pset/pset_wasteterminaltypegullysump.htm" xr:uid="{71E7B4A0-2C4F-4DDC-A2D2-6120182F0A44}"/>
    <hyperlink ref="Q1116" r:id="rId3370" display="https://standards.buildingsmart.org/IFC/RELEASE/IFC4/ADD2_TC1/HTML/schema/ifcplumbingfireprotectiondomain/pset/pset_wasteterminaltypefloorwaste.htm" xr:uid="{4C83A068-5C86-4A3B-826F-18D17F5F0DB0}"/>
    <hyperlink ref="Q1114" r:id="rId3371" display="https://standards.buildingsmart.org/IFC/RELEASE/IFC4/ADD2_TC1/HTML/schema/ifcplumbingfireprotectiondomain/pset/pset_wasteterminaltypefloortrap.htm" xr:uid="{83F7C977-D2A0-4BCE-A759-A335D9E57970}"/>
    <hyperlink ref="Q1113" r:id="rId3372" display="https://standards.buildingsmart.org/IFC/RELEASE/IFC4/ADD2_TC1/HTML/schema/ifcplumbingfireprotectiondomain/pset/pset_interceptortypecommon.htm" xr:uid="{DBBAF0BA-513D-47B7-A3BE-EEC1D148A96A}"/>
    <hyperlink ref="Q1182" r:id="rId3373" display="https://standards.buildingsmart.org/IFC/RELEASE/IFC4/ADD2_TC1/HTML/schema/ifcplumbingfireprotectiondomain/pset/pset_wasteterminaltypefloortrap.htm" xr:uid="{CE1ED23C-7AB7-440C-82F3-E880DFFAF812}"/>
    <hyperlink ref="Q403" r:id="rId3374" display="https://standards.buildingsmart.org/IFC/RELEASE/IFC4/ADD2_TC1/HTML/schema/ifcplumbingfireprotectiondomain/pset/pset_wasteterminaltyperoofdrain.htm" xr:uid="{F252E51C-97BA-4AC0-93CF-D341222AFA2E}"/>
    <hyperlink ref="Q400" r:id="rId3375" display="https://standards.buildingsmart.org/IFC/RELEASE/IFC4/ADD2_TC1/HTML/schema/ifcplumbingfireprotectiondomain/pset/pset_wasteterminaltypegullytrap.htm" xr:uid="{7D65CA53-0DBD-4839-B88D-308C5435FF48}"/>
    <hyperlink ref="Q402" r:id="rId3376" display="https://standards.buildingsmart.org/IFC/RELEASE/IFC4/ADD2_TC1/HTML/schema/ifcplumbingfireprotectiondomain/pset/pset_wasteterminaltypegullysump.htm" xr:uid="{26695E20-323B-4F48-AF67-B8D4D052A7FF}"/>
    <hyperlink ref="Q401" r:id="rId3377" display="https://standards.buildingsmart.org/IFC/RELEASE/IFC4/ADD2_TC1/HTML/schema/ifcplumbingfireprotectiondomain/pset/pset_wasteterminaltypefloorwaste.htm" xr:uid="{9EB2525E-5127-4719-B660-CFE91029BA3E}"/>
    <hyperlink ref="Q399" r:id="rId3378" display="https://standards.buildingsmart.org/IFC/RELEASE/IFC4/ADD2_TC1/HTML/schema/ifcplumbingfireprotectiondomain/pset/pset_wasteterminaltypefloortrap.htm" xr:uid="{95BB0DF0-F3FE-4F8D-A2C3-ACC2E31BC47F}"/>
    <hyperlink ref="Q398" r:id="rId3379" display="https://standards.buildingsmart.org/IFC/RELEASE/IFC4/ADD2_TC1/HTML/schema/ifcplumbingfireprotectiondomain/pset/pset_interceptortypecommon.htm" xr:uid="{BA58E56D-C2EA-4320-A88C-E3830DABB4EB}"/>
    <hyperlink ref="Q101" r:id="rId3380" display="https://standards.buildingsmart.org/IFC/RELEASE/IFC4/ADD2_TC1/HTML/schema/ifcbuildingcontrolsdomain/pset/pset_sensortypesmokesensor.htm" xr:uid="{4CFABD11-BAC1-4A6D-BBB2-2B40C2811BDB}"/>
    <hyperlink ref="Q100" r:id="rId3381" display="https://standards.buildingsmart.org/IFC/RELEASE/IFC4/ADD2_TC1/HTML/schema/ifcbuildingcontrolsdomain/pset/pset_sensortypeheatsensor.htm" xr:uid="{26C230AE-3332-4BF8-9C96-3DEC52D0009A}"/>
    <hyperlink ref="Q102" r:id="rId3382" display="https://standards.buildingsmart.org/IFC/RELEASE/IFC4/ADD2_TC1/HTML/schema/ifcbuildingcontrolsdomain/pset/pset_sensortypegassensor.htm" xr:uid="{20A0A94B-DBCE-47A8-909A-BF6E342264DE}"/>
    <hyperlink ref="Q103" r:id="rId3383" display="https://standards.buildingsmart.org/IFC/RELEASE/IFC4/ADD2_TC1/HTML/schema/ifcplumbingfireprotectiondomain/pset/pset_firesuppressionterminaltypesprinkler.htm" xr:uid="{8503514F-7BD6-442A-B908-6FD2CBC04CDA}"/>
    <hyperlink ref="Q2155" r:id="rId3384" display="https://standards.buildingsmart.org/IFC/RELEASE/IFC4/ADD2_TC1/HTML/schema/ifcplumbingfireprotectiondomain/pset/pset_firesuppressionterminaltypebreechinginlet.htm" xr:uid="{259FE56E-C61A-4788-B20B-57012D4FF36B}"/>
    <hyperlink ref="Q492" r:id="rId3385" display="https://standards.buildingsmart.org/IFC/RELEASE/IFC4/ADD2_TC1/HTML/schema/ifcsharedbldgelements/pset/pset_rampflightcommon.htm" xr:uid="{B998E28C-7D94-43E9-B7B2-6F120F566EAA}"/>
    <hyperlink ref="Q552" r:id="rId3386" display="https://standards.buildingsmart.org/IFC/RELEASE/IFC4/ADD2_TC1/HTML/schema/ifchvacdomain/pset/pset_filtertypeairparticlefilter.htm" xr:uid="{2B104E03-0363-4270-91FB-BB06633B15B5}"/>
    <hyperlink ref="Q787" r:id="rId3387" display="https://standards.buildingsmart.org/IFC/RELEASE/IFC4/ADD2_TC1/HTML/schema/ifchvacdomain/pset/pset_filterphistory.htm" xr:uid="{4629E6B3-BACB-469C-A9F5-0790F923D9B1}"/>
    <hyperlink ref="Q2333" r:id="rId3388" display="https://standards.buildingsmart.org/IFC/RELEASE/IFC4/ADD2_TC1/HTML/schema/ifcsharedcomponentelements/pset/pset_elementcomponentcommon.htm" xr:uid="{AF4B9E8C-E742-46FB-A6D2-65CAD0963B97}"/>
    <hyperlink ref="Q907" r:id="rId3389" display="https://standards.buildingsmart.org/IFC/RELEASE/IFC4/ADD2_TC1/HTML/schema/ifchvacdomain/pset/pset_cooledbeamphistory.htm" xr:uid="{78C70E26-3CB4-429C-AF9D-271F3FE9E127}"/>
    <hyperlink ref="Q908" r:id="rId3390" display="https://standards.buildingsmart.org/IFC/RELEASE/IFC4/ADD2_TC1/HTML/schema/ifchvacdomain/pset/pset_cooledbeamphistory.htm" xr:uid="{E8CD92E5-6B2A-4A32-8026-21843A90684F}"/>
    <hyperlink ref="Q860" r:id="rId3391" display="https://standards.buildingsmart.org/IFC/RELEASE/IFC4/ADD2_TC1/HTML/schema/ifcsharedcomponentelements/pset/pset_discreteaccessorycornerfixingplate.htm" xr:uid="{5B5DA7A5-8B3A-4C89-932F-712C9469433F}"/>
    <hyperlink ref="Q393" r:id="rId3392" display="https://standards.buildingsmart.org/IFC/RELEASE/IFC4/ADD2_TC1/HTML/schema/ifcsharedcomponentelements/pset/pset_discreteaccessorycornerfixingplate.htm" xr:uid="{B68EE680-B5F6-45FC-83B5-334A13EFCF6F}"/>
    <hyperlink ref="Q1104" r:id="rId3393" display="https://standards.buildingsmart.org/IFC/RELEASE/IFC4/ADD2_TC1/HTML/schema/ifcsharedcomponentelements/pset/pset_discreteaccessorycornerfixingplate.htm" xr:uid="{9BE21D82-B3EA-4A4A-B1F6-BF152B68D7F2}"/>
    <hyperlink ref="Q1103" r:id="rId3394" display="https://standards.buildingsmart.org/IFC/RELEASE/IFC4/ADD2_TC1/HTML/schema/ifcsharedcomponentelements/pset/pset_discreteaccessorycornerfixingplate.htm" xr:uid="{60F39215-4118-43D5-87C3-04EF0D4C0881}"/>
    <hyperlink ref="Q251" r:id="rId3395" display="https://standards.buildingsmart.org/IFC/RELEASE/IFC4/ADD2_TC1/HTML/schema/ifcstructuralelementsdomain/pset/pset_precastconcreteelementgeneral.htm" xr:uid="{31D88BDE-9529-4DC4-881D-25139A395C2C}"/>
    <hyperlink ref="Q2276" r:id="rId3396" display="https://standards.buildingsmart.org/IFC/RELEASE/IFC4/ADD2_TC1/HTML/schema/ifchvacdomain/pset/pset_airterminaltypecommon.htm" xr:uid="{93DC285D-9D67-4B93-8333-BEDF68EA33F3}"/>
    <hyperlink ref="Q1108" r:id="rId3397" display="https://standards.buildingsmart.org/IFC/RELEASE/IFC4/ADD2_TC1/HTML/schema/ifcprofileresource/pset/pset_profilearbitraryhollowcore.htm" xr:uid="{695A02E8-A4A4-4760-B455-47239B697300}"/>
    <hyperlink ref="Q59" r:id="rId3398" display="https://standards.buildingsmart.org/IFC/RELEASE/IFC4/ADD2_TC1/HTML/schema/ifcprofileresource/pset/pset_profilearbitraryhollowcore.htm" xr:uid="{A4FA102B-3A4E-4DFE-A654-E69EC5AEAA30}"/>
    <hyperlink ref="Q833" r:id="rId3399" display="https://standards.buildingsmart.org/IFC/RELEASE/IFC4/ADD2_TC1/HTML/schema/ifcprofileresource/pset/pset_profilearbitraryhollowcore.htm" xr:uid="{320F4B72-2A69-4D1F-9E78-0A1CC407F678}"/>
    <hyperlink ref="Q448" r:id="rId3400" display="https://standards.buildingsmart.org/IFC/RELEASE/IFC4/ADD2_TC1/HTML/schema/ifchvacdomain/pset/pset_airterminaltypecommon.htm" xr:uid="{9C7C98B2-B049-49ED-9B88-5093CC5E0F3C}"/>
    <hyperlink ref="Q447" r:id="rId3401" display="https://standards.buildingsmart.org/IFC/RELEASE/IFC4/ADD2_TC1/HTML/schema/ifchvacdomain/pset/pset_airterminaltypecommon.htm" xr:uid="{5B4C35C9-A2A0-4F91-AD95-46A564E575B3}"/>
    <hyperlink ref="Q47" r:id="rId3402" display="https://standards.buildingsmart.org/IFC/RELEASE/IFC4/ADD2_TC1/HTML/schema/ifcprofileresource/pset/pset_profilearbitraryhollowcore.htm" xr:uid="{0E2FA270-AF52-409D-84B5-0E0286CC058E}"/>
    <hyperlink ref="Q1025" r:id="rId3403" display="https://standards.buildingsmart.org/IFC/RELEASE/IFC4/ADD2_TC1/HTML/schema/ifcelectricaldomain/pset/pset_cablesegmenttypecoresegment.htm" xr:uid="{925BAC66-04CE-48B0-B1A3-5D3A4BE08473}"/>
    <hyperlink ref="Q1095" r:id="rId3404" display="https://standards.buildingsmart.org/IFC/RELEASE/IFC4/ADD2_TC1/HTML/schema/ifcprofileresource/pset/pset_profilearbitraryhollowcore.htm" xr:uid="{E17D5942-2387-47BA-A91E-899D51C12520}"/>
    <hyperlink ref="Q41" r:id="rId3405" display="https://standards.buildingsmart.org/IFC/RELEASE/IFC4/ADD2_TC1/HTML/schema/ifcprofileresource/pset/pset_profilearbitraryhollowcore.htm" xr:uid="{96228230-2B9B-4361-87EA-6A3A95154EF2}"/>
    <hyperlink ref="Q172" r:id="rId3406" display="https://standards.buildingsmart.org/IFC/RELEASE/IFC4/ADD2_TC1/HTML/schema/ifcsharedbldgserviceelements/pset/pset_outsidedesigncriteria.htm" xr:uid="{4D0E6386-5C63-411D-BF48-FA275EC766C3}"/>
    <hyperlink ref="Q2387" r:id="rId3407" display="https://standards.buildingsmart.org/IFC/RELEASE/IFC4/ADD2_TC1/HTML/schema/ifchvacdomain/pset/pset_cooledbeamphistory.htm" xr:uid="{613C3542-A4F3-4C18-A1C3-4E46775746DD}"/>
    <hyperlink ref="Q608" r:id="rId3408" display="https://standards.buildingsmart.org/IFC/RELEASE/IFC4/ADD2_TC1/HTML/schema/ifcsharedbldgserviceelements/pset/pset_airsidesysteminformation.htm" xr:uid="{F59C6DCB-F465-4444-8EA2-137BFAEB6147}"/>
    <hyperlink ref="Q2351" r:id="rId3409" display="https://standards.buildingsmart.org/IFC/RELEASE/IFC4/ADD2_TC1/HTML/schema/ifcsharedbldgserviceelements/pset/pset_spacethermaldesign.htm" xr:uid="{25783610-8AD3-4134-9E26-DD83BBA51EDF}"/>
    <hyperlink ref="Q794" r:id="rId3410" display="https://standards.buildingsmart.org/IFC/RELEASE/IFC4/ADD2_TC1/HTML/schema/ifchvacdomain/pset/pset_unitaryequipmenttypeairconditioningunit.htm" xr:uid="{CB2465E5-40CF-41FF-B39B-9B82CC053F56}"/>
    <hyperlink ref="Q170" r:id="rId3411" display="https://standards.buildingsmart.org/IFC/RELEASE/IFC4/ADD2_TC1/HTML/schema/ifcsharedbldgserviceelements/pset/pset_spacethermaldesign.htm" xr:uid="{B9821F9E-C8B2-4902-81D6-BD0C61D1EFB3}"/>
    <hyperlink ref="Q169" r:id="rId3412" display="https://standards.buildingsmart.org/IFC/RELEASE/IFC4/ADD2_TC1/HTML/schema/ifcsharedbldgserviceelements/pset/pset_outsidedesigncriteria.htm" xr:uid="{8127C767-E006-4BAD-AC79-3600ABC8A15B}"/>
    <hyperlink ref="Q647" r:id="rId3413" display="https://standards.buildingsmart.org/IFC/RELEASE/IFC4/ADD2_TC1/HTML/schema/ifcsharedbldgserviceelements/pset/pset_outsidedesigncriteria.htm" xr:uid="{23160B3C-AF7A-4B03-915B-FFC1F95DFC08}"/>
    <hyperlink ref="Q930" r:id="rId3414" display="https://standards.buildingsmart.org/IFC/RELEASE/IFC4/ADD2_TC1/HTML/schema/ifcsharedbldgserviceelements/pset/pset_spacethermaldesign.htm" xr:uid="{5C3E4B05-46A5-4C7B-A516-2B20B9D8C308}"/>
    <hyperlink ref="Q1946" r:id="rId3415" display="https://standards.buildingsmart.org/IFC/RELEASE/IFC4/ADD2_TC1/HTML/schema/ifchvacdomain/pset/pset_spacethermalphistory.htm" xr:uid="{43098FEC-1524-4A23-85B9-B19EC793D1CC}"/>
    <hyperlink ref="Q2189" r:id="rId3416" display="https://standards.buildingsmart.org/IFC/RELEASE/IFC4/ADD2_TC1/HTML/schema/ifchvacdomain/pset/pset_spaceheatertypeconvector.htm" xr:uid="{D562F1D4-2247-4997-980B-D7DA35051DD7}"/>
    <hyperlink ref="Q2187" r:id="rId3417" display="https://standards.buildingsmart.org/IFC/RELEASE/IFC4/ADD2_TC1/HTML/schema/ifchvacdomain/pset/pset_dampertypesmokedamper.htm" xr:uid="{92471CDA-D583-4BF7-8CFB-EAA4E7524D5C}"/>
    <hyperlink ref="Q2186" r:id="rId3418" display="https://standards.buildingsmart.org/IFC/RELEASE/IFC4/ADD2_TC1/HTML/schema/ifchvacdomain/pset/pset_dampertypefiresmokedamper.htm" xr:uid="{46E39220-148A-4A5B-8A4B-2DD6C456FF4A}"/>
    <hyperlink ref="Q2188" r:id="rId3419" display="https://standards.buildingsmart.org/IFC/RELEASE/IFC4/ADD2_TC1/HTML/schema/ifcbuildingcontrolsdomain/pset/pset_controllertypetwoposition.htm" xr:uid="{EB98EA48-A655-44CE-8CBD-C829A13BF94F}"/>
    <hyperlink ref="Q2185" r:id="rId3420" display="https://standards.buildingsmart.org/IFC/RELEASE/IFC4/ADD2_TC1/HTML/schema/ifcbuildingcontrolsdomain/pset/pset_controllertypeproportional.htm" xr:uid="{7D549165-33B6-4D95-A124-24D6569A6CA7}"/>
    <hyperlink ref="Q2184" r:id="rId3421" display="https://standards.buildingsmart.org/IFC/RELEASE/IFC4/ADD2_TC1/HTML/schema/ifcbuildingcontrolsdomain/pset/pset_controllertypeprogrammable.htm" xr:uid="{A44F561E-E8B0-4A43-A5A0-7B9549137F96}"/>
    <hyperlink ref="Q2183" r:id="rId3422" display="https://standards.buildingsmart.org/IFC/RELEASE/IFC4/ADD2_TC1/HTML/schema/ifcbuildingcontrolsdomain/pset/pset_controllertypemultiposition.htm" xr:uid="{7B4F1549-39E7-442D-BF93-8DD71281898D}"/>
    <hyperlink ref="Q2182" r:id="rId3423" display="https://standards.buildingsmart.org/IFC/RELEASE/IFC4/ADD2_TC1/HTML/schema/ifcbuildingcontrolsdomain/pset/pset_controllertypefloating.htm" xr:uid="{7B6F5BDE-6B92-4A33-B323-3FA9529EE0A6}"/>
    <hyperlink ref="Q896" r:id="rId3424" display="https://standards.buildingsmart.org/IFC/RELEASE/IFC4/ADD2_TC1/HTML/schema/ifchvacdomain/pset/pset_coolingtowertypecommon.htm" xr:uid="{6D7BD73B-2192-4FE7-BFCB-09D1B3681E22}"/>
    <hyperlink ref="Q1303" r:id="rId3425" display="https://standards.buildingsmart.org/IFC/RELEASE/IFC4/ADD2_TC1/HTML/schema/ifchvacdomain/pset/pset_dampertypecontroldamper.htm" xr:uid="{01431555-105E-46C1-98E4-06152EF960D6}"/>
    <hyperlink ref="Q933" r:id="rId3426" display="https://standards.buildingsmart.org/IFC/RELEASE/IFC4/ADD2_TC1/HTML/schema/ifcelectricaldomain/pset/pset_lamptypecommon.htm" xr:uid="{601A988C-DEC4-4F20-B03C-8A1059B8FB31}"/>
    <hyperlink ref="Q1538" r:id="rId3427" display="https://standards.buildingsmart.org/IFC/RELEASE/IFC4/ADD2_TC1/HTML/schema/ifcelectricaldomain/pset/pset_audiovisualappliancetypedisplay.htm" xr:uid="{47C83122-4032-4A45-9D74-F3F429967A10}"/>
    <hyperlink ref="Q2152" r:id="rId3428" display="https://standards.buildingsmart.org/IFC/RELEASE/IFC4/ADD2_TC1/HTML/schema/ifcsharedmgmtelements/pset/pset_projectorderworkorder.htm" xr:uid="{97750FF6-DD4B-4BFE-81F0-7F1E6831B75A}"/>
    <hyperlink ref="Q2151" r:id="rId3429" display="https://standards.buildingsmart.org/IFC/RELEASE/IFC4/ADD2_TC1/HTML/schema/ifcsharedmgmtelements/pset/pset_projectordermaintenanceworkorder.htm" xr:uid="{0FED8B73-D168-46B0-BF01-05267F0E99DA}"/>
    <hyperlink ref="Q2366" r:id="rId3430" display="https://standards.buildingsmart.org/IFC/RELEASE/IFC4/ADD2_TC1/HTML/schema/ifcproductextension/pset/pset_annotationcontourline.htm" xr:uid="{1CBC42E5-CDB7-46F0-BDD4-42BF5794F59B}"/>
    <hyperlink ref="Q1183" r:id="rId3431" display="https://standards.buildingsmart.org/IFC/RELEASE/IFC4/ADD2_TC1/HTML/schema/ifcsharedmgmtelements/pset/pset_packinginstructions.htm" xr:uid="{594568A7-65C8-4581-B62D-48002EEF9558}"/>
    <hyperlink ref="Q2150" r:id="rId3432" display="https://standards.buildingsmart.org/IFC/RELEASE/IFC4/ADD2_TC1/HTML/schema/ifcelectricaldomain/pset/pset_switchingdevicetypecontactor.htm" xr:uid="{E6659822-D1DD-4097-9094-69CA113B1BC0}"/>
    <hyperlink ref="Q279" r:id="rId3433" display="https://standards.buildingsmart.org/IFC/RELEASE/IFC4/ADD2_TC1/HTML/schema/ifcstructuralelementsdomain/pset/pset_concreteelementgeneral.htm" xr:uid="{007AAC15-67A0-4A65-814F-1FC25F40156C}"/>
    <hyperlink ref="Q1211" r:id="rId3434" display="https://standards.buildingsmart.org/IFC/RELEASE/IFC4/ADD2_TC1/HTML/schema/ifcstructuralelementsdomain/pset/pset_concreteelementgeneral.htm" xr:uid="{381808A4-127E-418C-8C22-CD21E6749DCC}"/>
    <hyperlink ref="Q1210" r:id="rId3435" display="https://standards.buildingsmart.org/IFC/RELEASE/IFC4/ADD2_TC1/HTML/schema/ifcproductextension/pset/pset_buildingcommon.htm" xr:uid="{B74111EF-8B23-48B6-84FF-6BE191C14C07}"/>
    <hyperlink ref="Q459" r:id="rId3436" display="https://standards.buildingsmart.org/IFC/RELEASE/IFC4/ADD2_TC1/HTML/schema/ifcelectricaldomain/pset/pset_cablesegmenttypeconductorsegment.htm" xr:uid="{53233C8B-A0A4-4DCA-AD4D-C50EF66E450B}"/>
    <hyperlink ref="Q2176" r:id="rId3437" display="https://standards.buildingsmart.org/IFC/RELEASE/IFC4/ADD2_TC1/HTML/schema/ifcsharedbldgserviceelements/pset/pset_distributionporttypepipe.htm" xr:uid="{698D0894-6298-4D61-817D-81BCFBEFCC8E}"/>
    <hyperlink ref="Q2178" r:id="rId3438" display="https://standards.buildingsmart.org/IFC/RELEASE/IFC4/ADD2_TC1/HTML/schema/ifcsharedbldgserviceelements/pset/pset_distributionporttypeduct.htm" xr:uid="{17EDB504-F594-40D1-A325-8B6CDCA6DAB2}"/>
    <hyperlink ref="Q2177" r:id="rId3439" display="https://standards.buildingsmart.org/IFC/RELEASE/IFC4/ADD2_TC1/HTML/schema/ifcsharedbldgserviceelements/pset/pset_distributionporttypecable.htm" xr:uid="{ACA9B204-6070-40FE-A3DA-911520477627}"/>
    <hyperlink ref="Q1884" r:id="rId3440" display="https://standards.buildingsmart.org/IFC/RELEASE/IFC4/ADD2_TC1/HTML/schema/ifcsharedbldgserviceelements/pset/pset_distributionporttypepipe.htm" xr:uid="{4F05A756-5C5A-40DC-B491-283E25767C0D}"/>
    <hyperlink ref="Q1886" r:id="rId3441" display="https://standards.buildingsmart.org/IFC/RELEASE/IFC4/ADD2_TC1/HTML/schema/ifcsharedbldgserviceelements/pset/pset_distributionporttypeduct.htm" xr:uid="{0DB19286-C303-4645-9256-FCFB5D0519B1}"/>
    <hyperlink ref="Q1885" r:id="rId3442" display="https://standards.buildingsmart.org/IFC/RELEASE/IFC4/ADD2_TC1/HTML/schema/ifcsharedbldgserviceelements/pset/pset_distributionporttypecable.htm" xr:uid="{88BAC479-1C61-425C-812B-83768298B355}"/>
    <hyperlink ref="Q1908" r:id="rId3443" display="https://standards.buildingsmart.org/IFC/RELEASE/IFC4/ADD2_TC1/HTML/schema/ifchvacdomain/pset/pset_pumptypecommon.htm" xr:uid="{CEDBA5F6-A129-4F66-B888-0E37AD5D419B}"/>
    <hyperlink ref="Q1909" r:id="rId3444" display="https://standards.buildingsmart.org/IFC/RELEASE/IFC4/ADD2_TC1/HTML/schema/ifchvacdomain/pset/pset_flowmetertypewatermeter.htm" xr:uid="{A090284A-A52B-40AD-90A9-C196B3852581}"/>
    <hyperlink ref="Q1911" r:id="rId3445" display="https://standards.buildingsmart.org/IFC/RELEASE/IFC4/ADD2_TC1/HTML/schema/ifchvacdomain/pset/pset_flowmetertypeoilmeter.htm" xr:uid="{ABA67A5A-8491-4032-9BB9-CACC41EDA126}"/>
    <hyperlink ref="Q1910" r:id="rId3446" display="https://standards.buildingsmart.org/IFC/RELEASE/IFC4/ADD2_TC1/HTML/schema/ifchvacdomain/pset/pset_flowmetertypegasmeter.htm" xr:uid="{C5CF2B7C-1CF4-4FBD-B093-05EAD70E3D87}"/>
    <hyperlink ref="Q1912" r:id="rId3447" display="https://standards.buildingsmart.org/IFC/RELEASE/IFC4/ADD2_TC1/HTML/schema/ifcplumbingfireprotectiondomain/pset/pset_firesuppressionterminaltypesprinkler.htm" xr:uid="{69A725F3-1B63-466B-B22A-532A2BEC406B}"/>
    <hyperlink ref="Q1913" r:id="rId3448" display="https://standards.buildingsmart.org/IFC/RELEASE/IFC4/ADD2_TC1/HTML/schema/ifchvacdomain/pset/pset_cooledbeamtypeactive.htm" xr:uid="{E16B512B-CE76-4DE3-93C3-13005B9ACEFB}"/>
    <hyperlink ref="Q1007" r:id="rId3449" display="https://standards.buildingsmart.org/IFC/RELEASE/IFC4/ADD2_TC1/HTML/schema/ifcsharedbldgserviceelements/pset/pset_distributionporttypecable.htm" xr:uid="{5B04B28C-87F7-4CF0-A506-D9499188AFCB}"/>
    <hyperlink ref="Q988" r:id="rId3450" display="https://standards.buildingsmart.org/IFC/RELEASE/IFC4/ADD2_TC1/HTML/schema/ifcelectricaldomain/pset/pset_electricflowstoragedevicetypecommon.htm" xr:uid="{003167E9-A7BA-4842-80C2-662FA7CAF896}"/>
    <hyperlink ref="Q2173" r:id="rId3451" display="https://standards.buildingsmart.org/IFC/RELEASE/IFC4/ADD2_TC1/HTML/schema/ifcelectricaldomain/pset/pset_cablecarriersegmenttypeconduitsegment.htm" xr:uid="{3E1FD533-77EB-42EC-BE39-A29B74584BE9}"/>
    <hyperlink ref="Q989" r:id="rId3452" display="https://standards.buildingsmart.org/IFC/RELEASE/IFC4/ADD2_TC1/HTML/schema/ifcelectricaldomain/pset/pset_electricaldevicecommon.htm" xr:uid="{B6936527-590D-4DBD-9D64-D6E29CBC272C}"/>
    <hyperlink ref="Q990" r:id="rId3453" display="https://standards.buildingsmart.org/IFC/RELEASE/IFC4/ADD2_TC1/HTML/schema/ifcsharedbldgserviceelements/pset/pset_distributionporttypecable.htm" xr:uid="{4951D334-89AD-4569-87EF-A1FD2A23A5E6}"/>
    <hyperlink ref="Q433" r:id="rId3454" display="https://standards.buildingsmart.org/IFC/RELEASE/IFC4/ADD2_TC1/HTML/schema/ifcsharedfacilitieselements/pset/pset_propertyagreement.htm" xr:uid="{34B550CE-BE1B-4AEE-AB1D-4AC1A825C1FE}"/>
    <hyperlink ref="Q1067" r:id="rId3455" display="https://standards.buildingsmart.org/IFC/RELEASE/IFC4/ADD2_TC1/HTML/schema/ifcsharedfacilitieselements/pset/pset_propertyagreement.htm" xr:uid="{8F67D1C6-C226-4F67-BA4C-F29A7B11CE79}"/>
    <hyperlink ref="Q436" r:id="rId3456" display="https://standards.buildingsmart.org/IFC/RELEASE/IFC4/ADD2_TC1/HTML/schema/ifcbuildingcontrolsdomain/pset/pset_alarmtypecommon.htm" xr:uid="{E9CBE856-C4C4-456D-B7FD-FBAC925F2A94}"/>
    <hyperlink ref="Q437" r:id="rId3457" display="https://standards.buildingsmart.org/IFC/RELEASE/IFC4/ADD2_TC1/HTML/schema/ifcbuildingcontrolsdomain/pset/pset_alarmphistory.htm" xr:uid="{8A095912-C213-466D-9818-4393D9E9B907}"/>
    <hyperlink ref="Q2062" r:id="rId3458" display="https://standards.buildingsmart.org/IFC/RELEASE/IFC4/ADD2_TC1/HTML/schema/ifchvacdomain/pset/pset_condenserphistory.htm" xr:uid="{418BD52D-2D01-47C2-A594-8F87096BAE1F}"/>
    <hyperlink ref="Q968" r:id="rId3459" display="https://standards.buildingsmart.org/IFC/RELEASE/IFC4/ADD2_TC1/HTML/schema/ifchvacdomain/pset/pset_condenserphistory.htm" xr:uid="{B5F6A2A4-39D1-400C-B12A-C3CC2A4D7EFE}"/>
    <hyperlink ref="Q2072" r:id="rId3460" display="https://standards.buildingsmart.org/IFC/RELEASE/IFC4/ADD2_TC1/HTML/schema/ifchvacdomain/pset/pset_unitaryequipmenttypeairconditioningunit.htm" xr:uid="{57582364-CF0A-433D-ABC4-6CD43C8D7D91}"/>
    <hyperlink ref="Q2399" r:id="rId3461" display="https://standards.buildingsmart.org/IFC/RELEASE/IFC4/ADD2_TC1/HTML/schema/ifchvacdomain/pset/pset_unitaryequipmenttypeairconditioningunit.htm" xr:uid="{682D30D9-39B8-4956-989B-25B6DFF70B40}"/>
    <hyperlink ref="Q2064" r:id="rId3462" display="https://standards.buildingsmart.org/IFC/RELEASE/IFC4/ADD2_TC1/HTML/schema/ifchvacdomain/pset/pset_unitaryequipmenttypeairconditioningunit.htm" xr:uid="{18A324A8-279B-4D37-9C8D-68E22F790508}"/>
    <hyperlink ref="Q337" r:id="rId3463" display="https://standards.buildingsmart.org/IFC/RELEASE/IFC4/ADD2_TC1/HTML/schema/ifcstructuralelementsdomain/pset/pset_concreteelementgeneral.htm" xr:uid="{C9322793-B91A-4085-BE98-BC7315653AFD}"/>
    <hyperlink ref="Q338" r:id="rId3464" display="https://standards.buildingsmart.org/IFC/RELEASE/IFC4/ADD2_TC1/HTML/schema/ifcstructuralelementsdomain/pset/pset_concreteelementgeneral.htm" xr:uid="{13E565C5-A83B-4060-8A0C-1BEC7EFBE3D4}"/>
    <hyperlink ref="Q336" r:id="rId3465" display="https://standards.buildingsmart.org/IFC/RELEASE/IFC4/ADD2_TC1/HTML/schema/ifcstructuralelementsdomain/pset/pset_concreteelementgeneral.htm" xr:uid="{7A21D438-B75A-4C1F-9272-9CA8D5E5B548}"/>
    <hyperlink ref="Q43" r:id="rId3466" display="https://standards.buildingsmart.org/IFC/RELEASE/IFC4/ADD2_TC1/HTML/schema/ifcproductextension/pset/pset_spacecoveringrequirements.htm" xr:uid="{C157DA4E-70F2-4EFF-A4B2-94FB2342A949}"/>
    <hyperlink ref="Q1361" r:id="rId3467" display="https://standards.buildingsmart.org/IFC/RELEASE/IFC4/ADD2_TC1/HTML/schema/ifcproductextension/pset/pset_spacecoveringrequirements.htm" xr:uid="{03167C60-0B26-436B-8A3E-1E8D6145C7A4}"/>
    <hyperlink ref="Q45" r:id="rId3468" display="https://standards.buildingsmart.org/IFC/RELEASE/IFC4/ADD2_TC1/HTML/schema/ifcproductextension/pset/pset_spacecoveringrequirements.htm" xr:uid="{51C939D6-52FB-421B-87B7-8D8B12CAA6A7}"/>
    <hyperlink ref="Q961" r:id="rId3469" display="https://standards.buildingsmart.org/IFC/RELEASE/IFC4/ADD2_TC1/HTML/schema/ifcproductextension/pset/pset_spacecoveringrequirements.htm" xr:uid="{4F13FEBA-A39D-4015-92D2-BDA6F9049408}"/>
    <hyperlink ref="Q1002" r:id="rId3470" display="https://standards.buildingsmart.org/IFC/RELEASE/IFC4/ADD2_TC1/HTML/schema/ifchvacdomain/pset/pset_compressorphistory.htm" xr:uid="{1705DA92-F056-4EE8-981C-468C1D252F0F}"/>
    <hyperlink ref="Q810" r:id="rId3471" display="https://standards.buildingsmart.org/IFC/RELEASE/IFC4/ADD2_TC1/HTML/schema/ifchvacdomain/pset/pset_compressorphistory.htm" xr:uid="{05CFFCB1-E2BC-436E-9CB7-9C2F35DAD1A2}"/>
    <hyperlink ref="Q2417" r:id="rId3472" display="https://standards.buildingsmart.org/IFC/RELEASE/IFC4/ADD2_TC1/HTML/schema/ifchvacdomain/pset/pset_compressortypecommon.htm" xr:uid="{89D126D1-D50E-4A45-8C88-B0D6BD09C1A7}"/>
    <hyperlink ref="Q1523" r:id="rId3473" display="https://standards.buildingsmart.org/IFC/RELEASE/IFC4/ADD2_TC1/HTML/schema/ifchvacdomain/pset/pset_evaporatorphistory.htm" xr:uid="{13369667-5C89-4F54-BAF5-CBB7531107A9}"/>
    <hyperlink ref="Q998" r:id="rId3474" display="https://standards.buildingsmart.org/IFC/RELEASE/IFC4/ADD2_TC1/HTML/schema/ifchvacdomain/pset/pset_evaporatorphistory.htm" xr:uid="{A7DC51F0-D20E-42A9-A0F5-DDC01621FD0E}"/>
    <hyperlink ref="Q1522" r:id="rId3475" display="https://standards.buildingsmart.org/IFC/RELEASE/IFC4/ADD2_TC1/HTML/schema/ifchvacdomain/pset/pset_condenserphistory.htm" xr:uid="{C8CCC743-5ABD-4ACE-B78C-68B9AABA1B9C}"/>
    <hyperlink ref="Q997" r:id="rId3476" display="https://standards.buildingsmart.org/IFC/RELEASE/IFC4/ADD2_TC1/HTML/schema/ifchvacdomain/pset/pset_condenserphistory.htm" xr:uid="{928BFCAB-62C9-4FC5-85E2-F97C02ED4137}"/>
    <hyperlink ref="Q191" r:id="rId3477" display="https://standards.buildingsmart.org/IFC/RELEASE/IFC4/ADD2_TC1/HTML/schema/ifchvacdomain/pset/pset_compressorphistory.htm" xr:uid="{D0E296D0-4E72-4B7F-840D-8B483C6FDDAE}"/>
    <hyperlink ref="Q1692" r:id="rId3478" display="https://standards.buildingsmart.org/IFC/RELEASE/IFC4/ADD2_TC1/HTML/schema/ifcmaterialresource/pset/pset_materialconcrete.htm" xr:uid="{D1B5CEB0-DD2A-4262-AD8F-6C37EC35F6B0}"/>
    <hyperlink ref="Q791" r:id="rId3479" display="https://standards.buildingsmart.org/IFC/RELEASE/IFC4/ADD2_TC1/HTML/schema/ifchvacdomain/pset/pset_compressorphistory.htm" xr:uid="{13BAD459-9F74-451F-99BD-14C555A365FA}"/>
    <hyperlink ref="Q2203" r:id="rId3480" display="https://standards.buildingsmart.org/IFC/RELEASE/IFC4/ADD2_TC1/HTML/schema/ifchvacdomain/pset/pset_filtertypecompressedairfilter.htm" xr:uid="{AF5F2E59-1C86-4200-95CD-C462116F4D91}"/>
    <hyperlink ref="Q376" r:id="rId3481" display="https://standards.buildingsmart.org/IFC/RELEASE/IFC4/ADD2_TC1/HTML/schema/ifcsharedbldgelements/pset/pset_wallcommon.htm" xr:uid="{23013BB1-6697-4BF6-8678-CC29D597C4F8}"/>
    <hyperlink ref="Q377" r:id="rId3482" display="https://standards.buildingsmart.org/IFC/RELEASE/IFC4/ADD2_TC1/HTML/schema/ifcsharedbldgelements/pset/pset_slabcommon.htm" xr:uid="{A2CF1780-A523-4479-B5B3-1B3DFB2949CE}"/>
    <hyperlink ref="Q595" r:id="rId3483" display="https://standards.buildingsmart.org/IFC/RELEASE/IFC4/ADD2_TC1/HTML/schema/ifcsharedfacilitieselements/pset/pset_propertyagreement.htm" xr:uid="{9E02838C-0315-4F47-B2DC-831C02E112A2}"/>
    <hyperlink ref="Q2061" r:id="rId3484" display="https://standards.buildingsmart.org/IFC/RELEASE/IFC4/ADD2_TC1/HTML/schema/ifcmaterialresource/pset/pset_materialfuel.htm" xr:uid="{C96D0A61-980D-4337-B3C7-D15497DA8649}"/>
    <hyperlink ref="Q2060" r:id="rId3485" display="https://standards.buildingsmart.org/IFC/RELEASE/IFC4/ADD2_TC1/HTML/schema/ifchvacdomain/pset/pset_boilerphistory.htm" xr:uid="{A0AB45CF-02C0-41C6-B601-9E4E3898C9FB}"/>
    <hyperlink ref="Q790" r:id="rId3486" display="https://standards.buildingsmart.org/IFC/RELEASE/IFC4/ADD2_TC1/HTML/schema/ifchvacdomain/pset/pset_boilerphistory.htm" xr:uid="{051BFD18-FF22-4DC2-B5D8-BF21F2216AE6}"/>
    <hyperlink ref="Q723" r:id="rId3487" display="https://standards.buildingsmart.org/IFC/RELEASE/IFC4/ADD2_TC1/HTML/schema/ifcsharedbldgelements/pset/pset_wallcommon.htm" xr:uid="{78211478-A8E2-4CF4-9FC0-1C16B5BB6A85}"/>
    <hyperlink ref="Q725" r:id="rId3488" display="https://standards.buildingsmart.org/IFC/RELEASE/IFC4/ADD2_TC1/HTML/schema/ifcsharedbldgelements/pset/pset_slabcommon.htm" xr:uid="{35C64037-DFAE-43B6-B9C9-9DDAD3598FC7}"/>
    <hyperlink ref="Q724" r:id="rId3489" display="https://standards.buildingsmart.org/IFC/RELEASE/IFC4/ADD2_TC1/HTML/schema/ifcsharedbldgelements/pset/pset_curtainwallcommon.htm" xr:uid="{659BECA4-1B2A-45DA-BA21-FA69C004E993}"/>
    <hyperlink ref="Q722" r:id="rId3490" display="https://standards.buildingsmart.org/IFC/RELEASE/IFC4/ADD2_TC1/HTML/schema/ifcsharedbldgelements/pset/pset_coveringcommon.htm" xr:uid="{201631C1-F272-42D0-8B77-8311E1C85155}"/>
    <hyperlink ref="Q1096" r:id="rId3491" display="https://standards.buildingsmart.org/IFC/RELEASE/IFC4/ADD2_TC1/HTML/schema/ifcsharedcomponentelements/pset/pset_discreteaccessorycolumnshoe.htm" xr:uid="{2ABD91A0-7894-4683-9F63-5EFDDA51E44C}"/>
    <hyperlink ref="Q33" r:id="rId3492" display="https://standards.buildingsmart.org/IFC/RELEASE/IFC4/ADD2_TC1/HTML/schema/ifcsharedcomponentelements/pset/pset_discreteaccessorycolumnshoe.htm" xr:uid="{B4F4EADC-5E37-46CE-8BA7-4356DFD2DCC2}"/>
    <hyperlink ref="Q1442" r:id="rId3493" display="https://standards.buildingsmart.org/IFC/RELEASE/IFC4/ADD2_TC1/HTML/schema/ifcsharedcomponentelements/pset/pset_discreteaccessorycolumnshoe.htm" xr:uid="{B55B180D-5F1B-45EA-886B-FDC84DB8A716}"/>
    <hyperlink ref="Q1109" r:id="rId3494" display="https://standards.buildingsmart.org/IFC/RELEASE/IFC4/ADD2_TC1/HTML/schema/ifcsharedcomponentelements/pset/pset_discreteaccessorycolumnshoe.htm" xr:uid="{46E9E88D-8B39-4BAD-B840-6BB70934DA57}"/>
    <hyperlink ref="Q843" r:id="rId3495" display="https://standards.buildingsmart.org/IFC/RELEASE/IFC4/ADD2_TC1/HTML/schema/ifcsharedcomponentelements/pset/pset_discreteaccessorycolumnshoe.htm" xr:uid="{84DEFA2C-2F81-4A6E-A63B-A3439D419CB5}"/>
    <hyperlink ref="Q1441" r:id="rId3496" display="https://standards.buildingsmart.org/IFC/RELEASE/IFC4/ADD2_TC1/HTML/schema/ifcsharedcomponentelements/pset/pset_discreteaccessorycolumnshoe.htm" xr:uid="{085C4896-2A8C-464E-AFD7-16CC9938921A}"/>
    <hyperlink ref="Q2063" r:id="rId3497" display="https://standards.buildingsmart.org/IFC/RELEASE/IFC4/ADD2_TC1/HTML/schema/ifcelectricaldomain/pset/pset_lamptypecommon.htm" xr:uid="{5088CF80-82E3-49F2-A9CC-44658FCDD075}"/>
    <hyperlink ref="Q1059" r:id="rId3498" display="https://standards.buildingsmart.org/IFC/RELEASE/IFC4/ADD2_TC1/HTML/schema/ifcelectricaldomain/pset/pset_lamptypecommon.htm" xr:uid="{04291BA7-A88E-4825-B81B-D58613B10D9A}"/>
    <hyperlink ref="Q340" r:id="rId3499" display="https://standards.buildingsmart.org/IFC/RELEASE/IFC4/ADD2_TC1/HTML/schema/ifcsharedbldgserviceelements/pset/pset_distributionportcommon.htm" xr:uid="{0894463D-9642-41CF-82E2-5322CA5E450D}"/>
    <hyperlink ref="Q81" r:id="rId3500" display="https://standards.buildingsmart.org/IFC/RELEASE/IFC4/ADD2_TC1/HTML/schema/ifcelectricaldomain/pset/pset_lamptypecommon.htm" xr:uid="{6B6D9913-EED0-4EF2-A238-534D72B99F97}"/>
    <hyperlink ref="Q508" r:id="rId3501" display="https://standards.buildingsmart.org/IFC/RELEASE/IFC4/ADD2_TC1/HTML/schema/ifcplumbingfireprotectiondomain/pset/pset_sanitaryterminaltypesink.htm" xr:uid="{0DE7D0DF-64D6-46A9-9687-B448F8B90320}"/>
    <hyperlink ref="Q509" r:id="rId3502" display="https://standards.buildingsmart.org/IFC/RELEASE/IFC4/ADD2_TC1/HTML/schema/ifcplumbingfireprotectiondomain/pset/pset_sanitaryterminaltypecommon.htm" xr:uid="{F2D2B570-D565-4E6D-ADCB-6D410E495DB2}"/>
    <hyperlink ref="Q507" r:id="rId3503" display="https://standards.buildingsmart.org/IFC/RELEASE/IFC4/ADD2_TC1/HTML/schema/ifchvacdomain/pset/pset_pipesegmentoccurrence.htm" xr:uid="{FD15296B-2AF8-403A-885E-4DC4C4A38CB8}"/>
    <hyperlink ref="Q505" r:id="rId3504" display="https://standards.buildingsmart.org/IFC/RELEASE/IFC4/ADD2_TC1/HTML/schema/ifchvacdomain/pset/pset_pipefittingoccurrence.htm" xr:uid="{532FC9B4-925E-4E82-9072-28F17A884DCE}"/>
    <hyperlink ref="Q506" r:id="rId3505" display="https://standards.buildingsmart.org/IFC/RELEASE/IFC4/ADD2_TC1/HTML/schema/ifchvacdomain/pset/pset_ductsegmentoccurrence.htm" xr:uid="{6EBA93A7-8770-4F16-87DD-6C1582464FBD}"/>
    <hyperlink ref="Q504" r:id="rId3506" display="https://standards.buildingsmart.org/IFC/RELEASE/IFC4/ADD2_TC1/HTML/schema/ifchvacdomain/pset/pset_ductfittingoccurrence.htm" xr:uid="{D1559167-8ADC-4372-98D7-12BFC920CA05}"/>
    <hyperlink ref="Q1111" r:id="rId3507" display="https://standards.buildingsmart.org/IFC/RELEASE/IFC4/ADD2_TC1/HTML/schema/ifchvacdomain/pset/pset_cooledbeamtypecommon.htm" xr:uid="{B22B5747-99F5-40FF-A3BE-425B95131FA1}"/>
    <hyperlink ref="Q1377" r:id="rId3508" display="https://standards.buildingsmart.org/IFC/RELEASE/IFC4/ADD2_TC1/HTML/schema/ifchvacdomain/pset/pset_fanoccurrence.htm" xr:uid="{A63D8EDA-9C7B-491F-82CB-DC2162AA78CF}"/>
    <hyperlink ref="Q383" r:id="rId3509" display="https://standards.buildingsmart.org/IFC/RELEASE/IFC4/ADD2_TC1/HTML/schema/ifchvacdomain/pset/pset_cooledbeamtypecommon.htm" xr:uid="{0A132DBF-EE97-4A69-8191-4E982AFE099F}"/>
    <hyperlink ref="Q133" r:id="rId3510" display="https://standards.buildingsmart.org/IFC/RELEASE/IFC4/ADD2_TC1/HTML/schema/ifchvacdomain/pset/pset_coiltypehydronic.htm" xr:uid="{C44D7136-3F57-4834-A795-399CC4029F1D}"/>
    <hyperlink ref="Q122" r:id="rId3511" display="https://standards.buildingsmart.org/IFC/RELEASE/IFC4/ADD2_TC1/HTML/schema/ifchvacdomain/pset/pset_coiltypehydronic.htm" xr:uid="{AE8D8AAF-E05B-491F-BBE3-030AB48F3AF1}"/>
    <hyperlink ref="Q1673" r:id="rId3512" display="https://standards.buildingsmart.org/IFC/RELEASE/IFC4/ADD2_TC1/HTML/schema/ifchvacdomain/pset/pset_coiltypehydronic.htm" xr:uid="{02FB1862-C0AB-45BD-8074-1FF9AD6B6790}"/>
    <hyperlink ref="Q688" r:id="rId3513" display="https://standards.buildingsmart.org/IFC/RELEASE/IFC4/ADD2_TC1/HTML/schema/ifchvacdomain/pset/pset_coiltypehydronic.htm" xr:uid="{59C59651-64B1-4918-8F7C-024534B48C89}"/>
    <hyperlink ref="Q347" r:id="rId3514" display="https://standards.buildingsmart.org/IFC/RELEASE/IFC4/ADD2_TC1/HTML/schema/ifchvacdomain/pset/pset_chillertypecommon.htm" xr:uid="{6B450701-32F4-4C1C-80CB-6C2933FAF82B}"/>
    <hyperlink ref="Q350" r:id="rId3515" display="https://standards.buildingsmart.org/IFC/RELEASE/IFC4/ADD2_TC1/HTML/schema/ifchvacdomain/pset/pset_compressorphistory.htm" xr:uid="{84381DD4-70F5-4A7F-AAFE-1A8D773DF175}"/>
    <hyperlink ref="Q349" r:id="rId3516" display="https://standards.buildingsmart.org/IFC/RELEASE/IFC4/ADD2_TC1/HTML/schema/ifchvacdomain/pset/pset_chillerphistory.htm" xr:uid="{9CAE3BAB-334D-414C-88CA-5AD95D6A608A}"/>
    <hyperlink ref="Q429" r:id="rId3517" display="https://standards.buildingsmart.org/IFC/RELEASE/IFC4/ADD2_TC1/HTML/schema/ifcmaterialresource/pset/pset_materialcombustion.htm" xr:uid="{1B2D0A3F-9341-42CB-83F5-E1B2313C3497}"/>
    <hyperlink ref="Q483" r:id="rId3518" display="https://standards.buildingsmart.org/IFC/RELEASE/IFC4/ADD2_TC1/HTML/schema/ifcmaterialresource/pset/pset_materialcombustion.htm" xr:uid="{B9AEC68C-17A1-4600-BDEA-BF611AE6DB59}"/>
    <hyperlink ref="Q309" r:id="rId3519" display="https://standards.buildingsmart.org/IFC/RELEASE/IFC4/ADD2_TC1/HTML/schema/ifchvacdomain/pset/pset_dampertypefiresmokedamper.htm" xr:uid="{B27B0C76-7789-4556-B9D7-253C8CD50CDC}"/>
    <hyperlink ref="Q310" r:id="rId3520" display="https://standards.buildingsmart.org/IFC/RELEASE/IFC4/ADD2_TC1/HTML/schema/ifchvacdomain/pset/pset_dampertypefiredamper.htm" xr:uid="{1AF8B3A5-6B24-483D-A090-F3835542C94E}"/>
    <hyperlink ref="Q308" r:id="rId3521" display="https://standards.buildingsmart.org/IFC/RELEASE/IFC4/ADD2_TC1/HTML/schema/ifchvacdomain/pset/pset_valvetypecommon.htm" xr:uid="{CBAFD16A-DCBF-4DDB-A525-661EA27A3CFD}"/>
    <hyperlink ref="Q307" r:id="rId3522" display="https://standards.buildingsmart.org/IFC/RELEASE/IFC4/ADD2_TC1/HTML/schema/ifchvacdomain/pset/pset_dampertypecommon.htm" xr:uid="{864C0664-7339-469A-A9A4-96997C38B0EC}"/>
    <hyperlink ref="Q1048" r:id="rId3523" display="https://standards.buildingsmart.org/IFC/RELEASE/IFC4/ADD2_TC1/HTML/schema/ifchvacdomain/pset/pset_filtertypecompressedairfilter.htm" xr:uid="{A6121D92-5344-4324-9035-413575C3802A}"/>
    <hyperlink ref="Q1250" r:id="rId3524" display="https://standards.buildingsmart.org/IFC/RELEASE/IFC4/ADD2_TC1/HTML/schema/ifcproductextension/pset/pset_environmentalimpactindicators.htm" xr:uid="{D3B5D46E-DEA3-4527-A50B-AD5FB61CDDF3}"/>
    <hyperlink ref="Q1251" r:id="rId3525" display="https://standards.buildingsmart.org/IFC/RELEASE/IFC4/ADD2_TC1/HTML/schema/ifcproductextension/pset/pset_environmentalimpactvalues.htm" xr:uid="{EFBB1442-7BE3-492D-B16C-B8BC1C8337AD}"/>
    <hyperlink ref="Q1122" r:id="rId3526" display="https://standards.buildingsmart.org/IFC/RELEASE/IFC4/ADD2_TC1/HTML/schema/ifcproductextension/pset/pset_transportelementelevator.htm" xr:uid="{0836BBCF-313D-490F-A77B-E0D617DFB279}"/>
    <hyperlink ref="Q1123" r:id="rId3527" display="https://standards.buildingsmart.org/IFC/RELEASE/IFC4/ADD2_TC1/HTML/schema/ifcsharedbldgelements/pset/pset_rampflightcommon.htm" xr:uid="{201EB00D-E7AC-4E48-8981-D5D6760C0EB5}"/>
    <hyperlink ref="Q1121" r:id="rId3528" display="https://standards.buildingsmart.org/IFC/RELEASE/IFC4/ADD2_TC1/HTML/schema/ifcsharedbldgserviceelements/pset/pset_distributionchamberelementtypeformedduct.htm" xr:uid="{C7644765-1F98-4521-999E-1CC696DABAC6}"/>
    <hyperlink ref="Q46" r:id="rId3529" display="https://standards.buildingsmart.org/IFC/RELEASE/IFC4/ADD2_TC1/HTML/schema/ifcproductextension/pset/pset_transportelementelevator.htm" xr:uid="{0234C002-AADC-4178-8A9B-53D65E5306B3}"/>
    <hyperlink ref="Q1455" r:id="rId3530" display="https://standards.buildingsmart.org/IFC/RELEASE/IFC4/ADD2_TC1/HTML/schema/ifcproductextension/pset/pset_transportelementelevator.htm" xr:uid="{14CAF021-0A38-45A0-B13C-0465DADA83A5}"/>
    <hyperlink ref="Q1453" r:id="rId3531" display="https://standards.buildingsmart.org/IFC/RELEASE/IFC4/ADD2_TC1/HTML/schema/ifcelectricaldomain/pset/pset_junctionboxtypecommon.htm" xr:uid="{16154730-11B3-4613-9431-1044140B34A7}"/>
    <hyperlink ref="Q1454" r:id="rId3532" display="https://standards.buildingsmart.org/IFC/RELEASE/IFC4/ADD2_TC1/HTML/schema/ifcsharedbldgserviceelements/pset/pset_distributionchamberelementtypeformedduct.htm" xr:uid="{8D71E437-BE99-44DB-91F0-4B3660E65463}"/>
    <hyperlink ref="Q1456" r:id="rId3533" display="https://standards.buildingsmart.org/IFC/RELEASE/IFC4/ADD2_TC1/HTML/schema/ifchvacdomain/pset/pset_pipesegmenttypeculvert.htm" xr:uid="{E9AAF2B8-87C1-4F56-89C0-8F83328F2583}"/>
    <hyperlink ref="Q278" r:id="rId3534" display="https://standards.buildingsmart.org/IFC/RELEASE/IFC4/ADD2_TC1/HTML/schema/ifcplumbingfireprotectiondomain/pset/pset_firesuppressionterminaltypehosereel.htm" xr:uid="{88B3EAE7-63CE-4CDA-ADF8-A89955C891F1}"/>
    <hyperlink ref="Q145" r:id="rId3535" display="https://standards.buildingsmart.org/IFC/RELEASE/IFC4/ADD2_TC1/HTML/schema/ifcplumbingfireprotectiondomain/pset/pset_firesuppressionterminaltypehosereel.htm" xr:uid="{F845E165-3616-44C2-93F3-8006759C802D}"/>
    <hyperlink ref="Q34" r:id="rId3536" display="https://standards.buildingsmart.org/IFC/RELEASE/IFC4/ADD2_TC1/HTML/schema/ifcplumbingfireprotectiondomain/pset/pset_sanitaryterminaltypecistern.htm" xr:uid="{3CB51548-9C27-407D-A9D5-C1B3E578F419}"/>
    <hyperlink ref="Q190" r:id="rId3537" display="https://standards.buildingsmart.org/IFC/RELEASE/IFC4/ADD2_TC1/HTML/schema/ifcplumbingfireprotectiondomain/pset/pset_sanitaryterminaltypecistern.htm" xr:uid="{008FC9F9-3D96-4666-914B-50A8132FB76C}"/>
    <hyperlink ref="Q2170" r:id="rId3538" display="https://standards.buildingsmart.org/IFC/RELEASE/IFC4/ADD2_TC1/HTML/schema/ifchvacdomain/pset/pset_coolingtowertypecommon.htm" xr:uid="{0007FAFC-1959-4104-B86F-53B19C411548}"/>
    <hyperlink ref="Q1409" r:id="rId3539" display="https://standards.buildingsmart.org/IFC/RELEASE/IFC4/ADD2_TC1/HTML/schema/ifchvacdomain/pset/pset_tanktypepressurevessel.htm" xr:uid="{C0D3A761-6E00-43BC-B9F2-5F2832422A3B}"/>
    <hyperlink ref="Q1408" r:id="rId3540" display="https://standards.buildingsmart.org/IFC/RELEASE/IFC4/ADD2_TC1/HTML/schema/ifchvacdomain/pset/pset_tanktypeexpansion.htm" xr:uid="{A286B688-3428-42A1-B8A0-A206D2A2826E}"/>
    <hyperlink ref="Q1099" r:id="rId3541" display="https://standards.buildingsmart.org/IFC/RELEASE/IFC4/ADD2_TC1/HTML/schema/ifcsharedbldgserviceelements/pset/pset_distributionchamberelementtypevalvechamber.htm" xr:uid="{B976DD64-1690-4C1E-9DDB-B98BA145EFA0}"/>
    <hyperlink ref="Q1098" r:id="rId3542" display="https://standards.buildingsmart.org/IFC/RELEASE/IFC4/ADD2_TC1/HTML/schema/ifcsharedbldgserviceelements/pset/pset_distributionchamberelementtypemeterchamber.htm" xr:uid="{4232B9F5-A745-4EC3-A985-A3115EE1F44B}"/>
    <hyperlink ref="Q1097" r:id="rId3543" display="https://standards.buildingsmart.org/IFC/RELEASE/IFC4/ADD2_TC1/HTML/schema/ifcsharedbldgserviceelements/pset/pset_distributionchamberelementtypeinspectionchamber.htm" xr:uid="{F71AA9C3-CA8E-4DD3-A759-1ED2627E1188}"/>
    <hyperlink ref="Q421" r:id="rId3544" display="https://standards.buildingsmart.org/IFC/RELEASE/IFC4/ADD2_TC1/HTML/schema/ifcsharedbldgserviceelements/pset/pset_distributionchamberelementtypevalvechamber.htm" xr:uid="{3AD12693-64E5-4450-BB84-02C2BF75F57E}"/>
    <hyperlink ref="Q420" r:id="rId3545" display="https://standards.buildingsmart.org/IFC/RELEASE/IFC4/ADD2_TC1/HTML/schema/ifcsharedbldgserviceelements/pset/pset_distributionchamberelementtypemeterchamber.htm" xr:uid="{C16C6F56-05A7-4A76-866D-8D39C3A89FE1}"/>
    <hyperlink ref="Q419" r:id="rId3546" display="https://standards.buildingsmart.org/IFC/RELEASE/IFC4/ADD2_TC1/HTML/schema/ifcsharedbldgserviceelements/pset/pset_distributionchamberelementtypeinspectionchamber.htm" xr:uid="{9767F14A-25EC-45A4-8EDF-196392B5B984}"/>
    <hyperlink ref="Q249" r:id="rId3547" display="https://standards.buildingsmart.org/IFC/RELEASE/IFC4/ADD2_TC1/HTML/schema/ifcprofileresource/pset/pset_profilemechanical.htm" xr:uid="{F8ECF09B-FF2E-4254-99E2-F76D912C5BFE}"/>
    <hyperlink ref="Q248" r:id="rId3548" display="https://standards.buildingsmart.org/IFC/RELEASE/IFC4/ADD2_TC1/HTML/schema/ifcprofileresource/pset/pset_profilemechanical.htm" xr:uid="{86A6F5F5-8DE4-4900-BF39-002EEC4AE58E}"/>
    <hyperlink ref="Q2415" r:id="rId3549" display="https://standards.buildingsmart.org/IFC/RELEASE/IFC4/ADD2_TC1/HTML/schema/ifchvacdomain/pset/pset_airterminalphistory.htm" xr:uid="{785ABD7D-9F3C-45B8-9FB4-5B5559EB5D92}"/>
    <hyperlink ref="Q1140" r:id="rId3550" display="https://standards.buildingsmart.org/IFC/RELEASE/IFC4/ADD2_TC1/HTML/schema/ifcprofileresource/pset/pset_profilearbitraryhollowcore.htm" xr:uid="{AA385325-37C3-41F8-9549-2DA68BDBEAC9}"/>
    <hyperlink ref="Q58" r:id="rId3551" display="https://standards.buildingsmart.org/IFC/RELEASE/IFC4/ADD2_TC1/HTML/schema/ifcprofileresource/pset/pset_profilearbitraryhollowcore.htm" xr:uid="{5D91C406-BAE0-4FF9-A49D-62781BE061B3}"/>
    <hyperlink ref="Q829" r:id="rId3552" display="https://standards.buildingsmart.org/IFC/RELEASE/IFC4/ADD2_TC1/HTML/schema/ifcprofileresource/pset/pset_profilearbitraryhollowcore.htm" xr:uid="{446B40DB-CD34-436B-B6B6-A63040A49A94}"/>
    <hyperlink ref="Q1293" r:id="rId3553" display="https://standards.buildingsmart.org/IFC/RELEASE/IFC4/ADD2_TC1/HTML/schema/ifcprofileresource/pset/pset_profilearbitraryhollowcore.htm" xr:uid="{39877C68-F3DF-49AF-9EC7-996C63F70585}"/>
    <hyperlink ref="Q1094" r:id="rId3554" display="https://standards.buildingsmart.org/IFC/RELEASE/IFC4/ADD2_TC1/HTML/schema/ifcprofileresource/pset/pset_profilearbitraryhollowcore.htm" xr:uid="{FB60460B-27B3-4CD8-AAD8-7A001E1CB47B}"/>
    <hyperlink ref="Q40" r:id="rId3555" display="https://standards.buildingsmart.org/IFC/RELEASE/IFC4/ADD2_TC1/HTML/schema/ifcprofileresource/pset/pset_profilearbitraryhollowcore.htm" xr:uid="{2E59B05D-CA32-47A8-B409-4575B590D93A}"/>
    <hyperlink ref="Q789" r:id="rId3556" display="https://standards.buildingsmart.org/IFC/RELEASE/IFC4/ADD2_TC1/HTML/schema/ifcelectricaldomain/pset/pset_solardevicetypecommon.htm" xr:uid="{8A4C5FD4-3C5B-49E5-9DEF-2527D3EFE969}"/>
    <hyperlink ref="Q1363" r:id="rId3557" display="https://standards.buildingsmart.org/IFC/RELEASE/IFC4/ADD2_TC1/HTML/schema/ifcsharedbldgserviceelements/pset/pset_spacethermaldesign.htm" xr:uid="{BA9547F4-C697-4E1E-A4F0-27AA9BDA16D0}"/>
    <hyperlink ref="Q862" r:id="rId3558" display="https://standards.buildingsmart.org/IFC/RELEASE/IFC4/ADD2_TC1/HTML/schema/ifcproductextension/pset/pset_spacecoveringrequirements.htm" xr:uid="{6C68E1A5-1B58-4F78-902F-49DCA69E67D8}"/>
    <hyperlink ref="Q335" r:id="rId3559" display="https://standards.buildingsmart.org/IFC/RELEASE/IFC4/ADD2_TC1/HTML/schema/ifcproductextension/pset/pset_spacecoveringrequirements.htm" xr:uid="{2572AFC6-69AA-46DF-8205-EDA0B81F4570}"/>
    <hyperlink ref="Q245" r:id="rId3560" display="https://standards.buildingsmart.org/IFC/RELEASE/IFC4/ADD2_TC1/HTML/schema/ifckernel/pset/pset_actorcommon.htm" xr:uid="{5CA37CCA-CAEB-4C3D-A2E4-3D4AC9B23720}"/>
    <hyperlink ref="Q1298" r:id="rId3561" display="https://standards.buildingsmart.org/IFC/RELEASE/IFC4/ADD2_TC1/HTML/schema/ifcelectricaldomain/pset/pset_cablesegmentoccurrence.htm" xr:uid="{AFCF89CC-7469-479C-94F4-7CFEE1F015EC}"/>
    <hyperlink ref="Q484" r:id="rId3562" display="https://standards.buildingsmart.org/IFC/RELEASE/IFC4/ADD2_TC1/HTML/schema/ifcmaterialresource/pset/pset_materialfuel.htm" xr:uid="{2567AB66-F2EA-4AD2-8C4F-B362BBB36AF1}"/>
    <hyperlink ref="Q500" r:id="rId3563" display="https://standards.buildingsmart.org/IFC/RELEASE/IFC4/ADD2_TC1/HTML/schema/ifcplumbingfireprotectiondomain/pset/pset_firesuppressionterminaltypefirehydrant.htm" xr:uid="{19A8D6B4-B0D6-4D32-8024-74CF32CFA5E2}"/>
    <hyperlink ref="Q1350" r:id="rId3564" display="https://standards.buildingsmart.org/IFC/RELEASE/IFC4/ADD2_TC1/HTML/schema/ifcproductextension/pset/pset_transportelementcommon.htm" xr:uid="{C65C79C7-C774-4F5C-9E08-788E2B40B3B5}"/>
    <hyperlink ref="Q1171" r:id="rId3565" display="https://standards.buildingsmart.org/IFC/RELEASE/IFC4/ADD2_TC1/HTML/schema/ifcproductextension/pset/pset_transportelementcommon.htm" xr:uid="{91E3AE5C-FC5B-42A9-B92D-174016AB019A}"/>
    <hyperlink ref="Q550" r:id="rId3566" display="https://standards.buildingsmart.org/IFC/RELEASE/IFC4/ADD2_TC1/HTML/schema/ifchvacdomain/pset/pset_chillertypecommon.htm" xr:uid="{AC80976F-0FB9-4741-BF9C-041CC197931A}"/>
    <hyperlink ref="Q2180" r:id="rId3567" display="https://standards.buildingsmart.org/IFC/RELEASE/IFC4/ADD2_TC1/HTML/schema/ifchvacdomain/pset/pset_fantypecommon.htm" xr:uid="{4B9990DD-BEC2-473F-9B0B-94DE2C3798CE}"/>
    <hyperlink ref="Q493" r:id="rId3568" display="https://standards.buildingsmart.org/IFC/RELEASE/IFC4/ADD2_TC1/HTML/schema/ifchvacdomain/pset/pset_coolingtowertypecommon.htm" xr:uid="{F2D40020-83C2-45AD-8983-EB7E24316D75}"/>
    <hyperlink ref="Q215" r:id="rId3569" display="https://standards.buildingsmart.org/IFC/RELEASE/IFC4/ADD2_TC1/HTML/schema/ifchvacdomain/pset/pset_coolingtowerphistory.htm" xr:uid="{2C8E7397-3E14-4B17-9150-706E11924CC9}"/>
    <hyperlink ref="Q214" r:id="rId3570" display="https://standards.buildingsmart.org/IFC/RELEASE/IFC4/ADD2_TC1/HTML/schema/ifchvacdomain/pset/pset_chillerphistory.htm" xr:uid="{4F588642-AC5F-4FC7-B5A0-220C8147E908}"/>
    <hyperlink ref="Q2168" r:id="rId3571" display="https://standards.buildingsmart.org/IFC/RELEASE/IFC4/ADD2_TC1/HTML/schema/ifcelectricaldomain/pset/pset_audiovisualappliancetypecamera.htm" xr:uid="{B5FDD16C-4BC0-47CB-9BF1-FC73A2F1A4C0}"/>
    <hyperlink ref="Q491" r:id="rId3572" display="https://standards.buildingsmart.org/IFC/RELEASE/IFC4/ADD2_TC1/HTML/schema/ifcstructuralelementsdomain/pset/pset_precastconcreteelementgeneral.htm" xr:uid="{A8054AF5-307F-4A75-ABCD-593EE43BDE33}"/>
    <hyperlink ref="Q1197" r:id="rId3573" display="https://standards.buildingsmart.org/IFC/RELEASE/IFC4/ADD2_TC1/HTML/schema/ifcsharedcomponentelements/pset/pset_fastenerweld.htm" xr:uid="{91492114-AE0A-48B3-A097-A01C840F3AB3}"/>
    <hyperlink ref="Q911" r:id="rId3574" display="https://standards.buildingsmart.org/IFC/RELEASE/IFC4/ADD2_TC1/HTML/schema/ifchvacdomain/pset/pset_coiltypehydronic.htm" xr:uid="{6AEE6081-2350-4449-B99B-CE22D0884DE5}"/>
    <hyperlink ref="Q502" r:id="rId3575" display="https://standards.buildingsmart.org/IFC/RELEASE/IFC4/ADD2_TC1/HTML/schema/ifcplumbingfireprotectiondomain/pset/pset_firesuppressionterminaltypesprinkler.htm" xr:uid="{FBF8C532-6BA4-4C45-AB5E-B875A2CBF2D6}"/>
    <hyperlink ref="Q903" r:id="rId3576" display="https://standards.buildingsmart.org/IFC/RELEASE/IFC4/ADD2_TC1/HTML/schema/ifcsharedbldgserviceelements/pset/pset_outsidedesigncriteria.htm" xr:uid="{E0B45293-37DE-4766-8022-203D50D6F79A}"/>
    <hyperlink ref="Q458" r:id="rId3577" display="https://standards.buildingsmart.org/IFC/RELEASE/IFC4/ADD2_TC1/HTML/schema/ifcproductextension/pset/pset_buildingcommon.htm" xr:uid="{B5F7DDB6-92F2-4967-B4D8-ED13BB70091C}"/>
    <hyperlink ref="Q1152" r:id="rId3578" display="https://standards.buildingsmart.org/IFC/RELEASE/IFC4/ADD2_TC1/HTML/schema/ifcproductextension/pset/pset_sitecommon.htm" xr:uid="{E8133354-3514-4C1E-B6DF-A2BA11426FF6}"/>
    <hyperlink ref="Q99" r:id="rId3579" display="https://standards.buildingsmart.org/IFC/RELEASE/IFC4/ADD2_TC1/HTML/schema/ifcproductextension/pset/pset_sitecommon.htm" xr:uid="{0CB22E64-7C06-4C29-9ADA-1826B41B8B28}"/>
    <hyperlink ref="Q940" r:id="rId3580" display="https://standards.buildingsmart.org/IFC/RELEASE/IFC4/ADD2_TC1/HTML/schema/ifcsharedmgmtelements/pset/pset_projectorderchangeorder.htm" xr:uid="{86FF9E40-7C21-493B-B0F5-6C84BAA88A49}"/>
    <hyperlink ref="Q166" r:id="rId3581" display="https://standards.buildingsmart.org/IFC/RELEASE/IFC4/ADD2_TC1/HTML/schema/ifcelectricaldomain/pset/pset_audiovisualappliancetypedisplay.htm" xr:uid="{ED10552F-0EE0-4960-955A-6793422E31FB}"/>
    <hyperlink ref="Q2199" r:id="rId3582" display="https://standards.buildingsmart.org/IFC/RELEASE/IFC4/ADD2_TC1/HTML/schema/ifcplumbingfireprotectiondomain/pset/pset_firesuppressionterminaltypebreechinginlet.htm" xr:uid="{0E8B4300-D607-4943-B21F-0ABA1D6D5754}"/>
    <hyperlink ref="Q2354" r:id="rId3583" display="https://standards.buildingsmart.org/IFC/RELEASE/IFC4/ADD2_TC1/HTML/schema/ifcelectricaldomain/pset/pset_protectivedevicebreakerunitipicurve.htm" xr:uid="{BCA98934-D8EE-4378-A25F-47D396C60CEC}"/>
    <hyperlink ref="Q558" r:id="rId3584" display="https://standards.buildingsmart.org/IFC/RELEASE/IFC4/ADD2_TC1/HTML/schema/ifcelectricaldomain/pset/pset_protectivedevicebreakeruniti2tfusecurve.htm" xr:uid="{33861ADF-3776-49AA-ABAC-44B75477B509}"/>
    <hyperlink ref="Q560" r:id="rId3585" display="https://standards.buildingsmart.org/IFC/RELEASE/IFC4/ADD2_TC1/HTML/schema/ifcelectricaldomain/pset/pset_protectivedevicebreakeruniti2tfusecurve.htm" xr:uid="{2CB4349F-D33F-4FFD-81E0-FD44F94A736B}"/>
    <hyperlink ref="Q570" r:id="rId3586" display="https://standards.buildingsmart.org/IFC/RELEASE/IFC4/ADD2_TC1/HTML/schema/ifcelectricaldomain/pset/pset_protectivedevicebreakeruniti2tcurve.htm" xr:uid="{8120A1A8-1357-4EE0-9FE6-6C6279F40D31}"/>
    <hyperlink ref="Q1330" r:id="rId3587" display="https://standards.buildingsmart.org/IFC/RELEASE/IFC4/ADD2_TC1/HTML/schema/ifcsharedbldgserviceelements/pset/pset_spacethermaldesign.htm" xr:uid="{3097134D-B079-4970-B789-C15214D6E60E}"/>
    <hyperlink ref="Q183" r:id="rId3588" display="https://standards.buildingsmart.org/IFC/RELEASE/IFC4/ADD2_TC1/HTML/schema/ifcprofileresource/pset/pset_profilearbitraryhollowcore.htm" xr:uid="{1C2EFC99-4E35-4CB4-80FD-D6DE6B4301B1}"/>
    <hyperlink ref="Q1921" r:id="rId3589" display="https://standards.buildingsmart.org/IFC/RELEASE/IFC4/ADD2_TC1/HTML/schema/ifchvacdomain/pset/pset_pipeconnectionflanged.htm" xr:uid="{C54CD707-7EA8-4EBB-BC5D-BAD2F46B96C4}"/>
    <hyperlink ref="Q1922" r:id="rId3590" display="https://standards.buildingsmart.org/IFC/RELEASE/IFC4/ADD2_TC1/HTML/schema/ifchvacdomain/pset/pset_pipeconnectionflanged.htm" xr:uid="{51315038-86E8-4B10-BA87-83930B23D242}"/>
    <hyperlink ref="Q1323" r:id="rId3591" display="https://standards.buildingsmart.org/IFC/RELEASE/IFC4/ADD2_TC1/HTML/schema/ifchvacdomain/pset/pset_pipeconnectionflanged.htm" xr:uid="{F943EEB1-CF95-413B-B981-F1BE35088E68}"/>
    <hyperlink ref="Q1369" r:id="rId3592" display="https://standards.buildingsmart.org/IFC/RELEASE/IFC4/ADD2_TC1/HTML/schema/ifcmaterialresource/pset/pset_materialthermal.htm" xr:uid="{454C7F6F-EC9D-49A9-98BD-B37389CD5403}"/>
    <hyperlink ref="Q1176" r:id="rId3593" display="https://standards.buildingsmart.org/IFC/RELEASE/IFC4/ADD2_TC1/HTML/schema/ifchvacdomain/pset/pset_spaceheatertypecommon.htm" xr:uid="{CB72D7D2-CEAB-48CB-B0CE-C70013080BC5}"/>
    <hyperlink ref="Q498" r:id="rId3594" display="https://standards.buildingsmart.org/IFC/RELEASE/IFC4/ADD2_TC1/HTML/schema/ifcplumbingfireprotectiondomain/pset/pset_firesuppressionterminaltypefirehydrant.htm" xr:uid="{92562CC2-0580-4FF5-ADB0-09BA91904630}"/>
    <hyperlink ref="Q853" r:id="rId3595" display="https://standards.buildingsmart.org/IFC/RELEASE/IFC4/ADD2_TC1/HTML/schema/ifchvacdomain/pset/pset_dampertypecommon.htm" xr:uid="{A28A790D-BE38-49C9-9481-3325D0EDDF6B}"/>
    <hyperlink ref="Q954" r:id="rId3596" display="https://standards.buildingsmart.org/IFC/RELEASE/IFC4/ADD2_TC1/HTML/schema/ifchvacdomain/pset/pset_dampertypecommon.htm" xr:uid="{61214E2D-FD37-4415-BBC3-39CB2FEF2396}"/>
    <hyperlink ref="Q71" r:id="rId3597" display="https://standards.buildingsmart.org/IFC/RELEASE/IFC4/ADD2_TC1/HTML/schema/ifchvacdomain/pset/pset_damperphistory.htm" xr:uid="{7FFDBB0D-AA30-4F07-8FEC-533160D04F09}"/>
    <hyperlink ref="Q1086" r:id="rId3598" display="https://standards.buildingsmart.org/IFC/RELEASE/IFC4/ADD2_TC1/HTML/schema/ifchvacdomain/pset/pset_dampertypecommon.htm" xr:uid="{C2AD47B9-E1D6-4504-BF1C-9DA54D4FAE42}"/>
    <hyperlink ref="Q9" r:id="rId3599" display="https://standards.buildingsmart.org/IFC/RELEASE/IFC4/ADD2_TC1/HTML/schema/ifchvacdomain/pset/pset_dampertypecommon.htm" xr:uid="{5C494814-4377-4122-A8CB-00E2F6C7BF99}"/>
    <hyperlink ref="Q1531" r:id="rId3600" display="https://standards.buildingsmart.org/IFC/RELEASE/IFC4/ADD2_TC1/HTML/schema/ifchvacdomain/pset/pset_pipefittingtypebend.htm" xr:uid="{45C70287-7B15-4251-B766-940292ACFDD1}"/>
    <hyperlink ref="Q342" r:id="rId3601" display="https://standards.buildingsmart.org/IFC/RELEASE/IFC4/ADD2_TC1/HTML/schema/ifcstructuralelementsdomain/pset/pset_reinforcingbarcommon.htm" xr:uid="{11F40E1E-79DA-4CB9-9A63-158B96EDDB3D}"/>
    <hyperlink ref="Q1321" r:id="rId3602" display="https://standards.buildingsmart.org/IFC/RELEASE/IFC4/ADD2_TC1/HTML/schema/ifcstructuralelementsdomain/pset/pset_reinforcingbarcommon.htm" xr:uid="{E3C46F6D-87A3-428D-96F3-EB5676CDD7F6}"/>
    <hyperlink ref="Q68" r:id="rId3603" display="https://standards.buildingsmart.org/IFC/RELEASE/IFC4/ADD2_TC1/HTML/schema/ifchvacdomain/pset/pset_pipefittingtypebend.htm" xr:uid="{DF6244E9-D099-4156-8A5C-D8EFDF7B2314}"/>
    <hyperlink ref="Q186" r:id="rId3604" display="https://standards.buildingsmart.org/IFC/RELEASE/IFC4/ADD2_TC1/HTML/schema/ifchvacdomain/pset/pset_cooledbeamphistory.htm" xr:uid="{033EFE7D-D6C3-4FBE-8D26-37A7067F8C8B}"/>
    <hyperlink ref="Q193" r:id="rId3605" display="https://standards.buildingsmart.org/IFC/RELEASE/IFC4/ADD2_TC1/HTML/schema/ifchvacdomain/pset/pset_cooledbeamphistory.htm" xr:uid="{C7472FEC-5790-4E55-AE9E-EF21141CD39B}"/>
    <hyperlink ref="Q1548" r:id="rId3606" display="https://standards.buildingsmart.org/IFC/RELEASE/IFC4/ADD2_TC1/HTML/schema/ifcstructuralelementsdomain/pset/pset_precastconcreteelementgeneral.htm" xr:uid="{5825383B-9CD0-4512-9EB0-A839BA98E4BD}"/>
    <hyperlink ref="Q1547" r:id="rId3607" display="https://standards.buildingsmart.org/IFC/RELEASE/IFC4/ADD2_TC1/HTML/schema/ifcstructuralelementsdomain/pset/pset_precastconcreteelementgeneral.htm" xr:uid="{29FEB56A-B300-4B37-AE2F-F676968D05C9}"/>
    <hyperlink ref="Q2145" r:id="rId3608" display="https://standards.buildingsmart.org/IFC/RELEASE/IFC4/ADD2_TC1/HTML/schema/ifcplumbingfireprotectiondomain/pset/pset_sanitaryterminaltypebath.htm" xr:uid="{1B16D17D-E002-4CBA-AD26-6700A9DAC6D6}"/>
    <hyperlink ref="Q1550" r:id="rId3609" display="https://standards.buildingsmart.org/IFC/RELEASE/IFC4/ADD2_TC1/HTML/schema/ifcsharedfacilitieselements/pset/pset_manufactureroccurrence.htm" xr:uid="{9C584F2D-C28C-4975-AAA5-76A0EA0651C3}"/>
    <hyperlink ref="Q2463" r:id="rId3610" display="https://standards.buildingsmart.org/IFC/RELEASE/IFC4/ADD2_TC1/HTML/schema/ifchvacdomain/pset/pset_coolingtowertypecommon.htm" xr:uid="{794D0506-A57B-4E96-BDB8-A9D93B156322}"/>
    <hyperlink ref="Q2146" r:id="rId3611" display="https://standards.buildingsmart.org/IFC/RELEASE/IFC4/ADD2_TC1/HTML/schema/ifchvacdomain/pset/pset_pumpoccurrence.htm" xr:uid="{EF88BBEE-C3F1-4E10-A36F-843EFFD01A0C}"/>
    <hyperlink ref="Q847" r:id="rId3612" display="https://standards.buildingsmart.org/IFC/RELEASE/IFC4/ADD2_TC1/HTML/schema/ifcsharedbldgserviceelements/pset/pset_distributionchamberelementtypevalvechamber.htm" xr:uid="{FC8EAB4D-6198-4F92-B669-C0A47FCF8A03}"/>
    <hyperlink ref="Q846" r:id="rId3613" display="https://standards.buildingsmart.org/IFC/RELEASE/IFC4/ADD2_TC1/HTML/schema/ifcsharedbldgserviceelements/pset/pset_distributionchamberelementtypemeterchamber.htm" xr:uid="{94F10903-01EE-4E02-893F-E5F1C5EAEE21}"/>
    <hyperlink ref="Q845" r:id="rId3614" display="https://standards.buildingsmart.org/IFC/RELEASE/IFC4/ADD2_TC1/HTML/schema/ifcsharedbldgserviceelements/pset/pset_distributionchamberelementtypemanhole.htm" xr:uid="{3EBF9E93-CE26-48C8-84B7-D4ACC8EED738}"/>
    <hyperlink ref="Q844" r:id="rId3615" display="https://standards.buildingsmart.org/IFC/RELEASE/IFC4/ADD2_TC1/HTML/schema/ifcsharedbldgserviceelements/pset/pset_distributionchamberelementtypeinspectionchamber.htm" xr:uid="{64E2B456-2ED5-41AC-8D83-7313C33D0483}"/>
    <hyperlink ref="Q848" r:id="rId3616" display="https://standards.buildingsmart.org/IFC/RELEASE/IFC4/ADD2_TC1/HTML/schema/ifcsharedbldgserviceelements/pset/pset_distributionchamberelementtypeformedduct.htm" xr:uid="{B0111588-B350-4848-91E2-A7AE1391C958}"/>
    <hyperlink ref="Q1180" r:id="rId3617" display="https://standards.buildingsmart.org/IFC/RELEASE/IFC4/ADD2_TC1/HTML/schema/ifcsharedbldgserviceelements/pset/pset_distributionchamberelementtypevalvechamber.htm" xr:uid="{65FC5169-CDD3-4A9A-921D-1C17FEFDFFFE}"/>
    <hyperlink ref="Q1179" r:id="rId3618" display="https://standards.buildingsmart.org/IFC/RELEASE/IFC4/ADD2_TC1/HTML/schema/ifcsharedbldgserviceelements/pset/pset_distributionchamberelementtypemeterchamber.htm" xr:uid="{C0825395-0576-4FE1-BFDB-59F36CA77D6C}"/>
    <hyperlink ref="Q1178" r:id="rId3619" display="https://standards.buildingsmart.org/IFC/RELEASE/IFC4/ADD2_TC1/HTML/schema/ifcsharedbldgserviceelements/pset/pset_distributionchamberelementtypemanhole.htm" xr:uid="{711C2BF2-EB5C-4777-9637-649065DC22AA}"/>
    <hyperlink ref="Q1181" r:id="rId3620" display="https://standards.buildingsmart.org/IFC/RELEASE/IFC4/ADD2_TC1/HTML/schema/ifcsharedbldgserviceelements/pset/pset_distributionchamberelementtypeinspectionchamber.htm" xr:uid="{08322009-7186-4B78-963A-311DCE858627}"/>
    <hyperlink ref="Q250" r:id="rId3621" display="https://standards.buildingsmart.org/IFC/RELEASE/IFC4/ADD2_TC1/HTML/schema/ifcprofileresource/pset/pset_profilearbitraryhollowcore.htm" xr:uid="{60F68BBF-6D46-482B-BE5E-E0AE4D94EDFF}"/>
    <hyperlink ref="Q5" r:id="rId3622" display="https://standards.buildingsmart.org/IFC/RELEASE/IFC4/ADD2_TC1/HTML/schema/ifcstructuralelementsdomain/pset/pset_reinforcingbarcommon.htm" xr:uid="{2FE90521-B15A-4792-BB31-984B344BBADC}"/>
    <hyperlink ref="Q828" r:id="rId3623" display="https://standards.buildingsmart.org/IFC/RELEASE/IFC4/ADD2_TC1/HTML/schema/ifcstructuralelementsdomain/pset/pset_reinforcingbarcommon.htm" xr:uid="{F3E9A30F-FA39-4B48-823E-DFE6C5AFCDF0}"/>
    <hyperlink ref="Q381" r:id="rId3624" display="https://standards.buildingsmart.org/IFC/RELEASE/IFC4/ADD2_TC1/HTML/schema/ifcstructuralelementsdomain/pset/pset_reinforcingbarcommon.htm" xr:uid="{424FB6EE-85A5-4847-8950-13A4D51EF32F}"/>
    <hyperlink ref="Q339" r:id="rId3625" display="https://standards.buildingsmart.org/IFC/RELEASE/IFC4/ADD2_TC1/HTML/schema/ifcsharedfacilitieselements/pset/pset_manufactureroccurrence.htm" xr:uid="{0805A772-0852-4E5C-976F-24288A0F37FF}"/>
    <hyperlink ref="Q2157" r:id="rId3626" display="https://standards.buildingsmart.org/IFC/RELEASE/IFC4/ADD2_TC1/HTML/schema/ifcstructuralelementsdomain/pset/pset_reinforcementbarpitchofwall.htm" xr:uid="{E79E5E4E-9159-440F-B768-EDB57627A2F8}"/>
    <hyperlink ref="Q1768" r:id="rId3627" display="https://standards.buildingsmart.org/IFC/RELEASE/IFC4/ADD2_TC1/HTML/schema/ifcelectricaldomain/pset/pset_lightfixturetypesecuritylighting.htm" xr:uid="{47CA91F4-52F1-4197-A8D9-2943BEA78972}"/>
    <hyperlink ref="Q2234" r:id="rId3628" display="https://standards.buildingsmart.org/IFC/RELEASE/IFC4/ADD2_TC1/HTML/schema/ifcplumbingfireprotectiondomain/pset/pset_wasteterminaltypegullytrap.htm" xr:uid="{53740A34-CE05-49F2-8E5C-B52354F09B50}"/>
    <hyperlink ref="Q2235" r:id="rId3629" display="https://standards.buildingsmart.org/IFC/RELEASE/IFC4/ADD2_TC1/HTML/schema/ifcplumbingfireprotectiondomain/pset/pset_wasteterminaltypegullysump.htm" xr:uid="{8816BB33-90C2-4E87-97FE-A27041BF5F48}"/>
    <hyperlink ref="Q2278" r:id="rId3630" display="https://standards.buildingsmart.org/IFC/RELEASE/IFC4/ADD2_TC1/HTML/schema/ifchvacdomain/pset/pset_flowmetertypewatermeter.htm" xr:uid="{F15F138C-BBEE-4065-9173-577048CF9616}"/>
    <hyperlink ref="Q147" r:id="rId3631" display="https://standards.buildingsmart.org/IFC/RELEASE/IFC4/ADD2_TC1/HTML/schema/ifchvacdomain/pset/pset_shadingdevicephistory.htm" xr:uid="{07805898-B04E-4D5D-9D1B-5203710B4460}"/>
    <hyperlink ref="Q468" r:id="rId3632" display="https://standards.buildingsmart.org/IFC/RELEASE/IFC4/ADD2_TC1/HTML/schema/ifchvacdomain/pset/pset_spaceheaterphistory.htm" xr:uid="{D1D2BBE9-B7A6-43D7-800E-7686ADECE46C}"/>
    <hyperlink ref="Q460" r:id="rId3633" display="https://standards.buildingsmart.org/IFC/RELEASE/IFC4/ADD2_TC1/HTML/schema/ifchvacdomain/pset/pset_boilerphistory.htm" xr:uid="{19214685-7EC5-49F8-A5E4-7B1F1DD9CBC9}"/>
    <hyperlink ref="Q613" r:id="rId3634" display="https://standards.buildingsmart.org/IFC/RELEASE/IFC4/ADD2_TC1/HTML/schema/ifchvacdomain/pset/pset_filtertypecompressedairfilter.htm" xr:uid="{B826EA4F-51EA-4179-A2FE-F4C8377E7F03}"/>
    <hyperlink ref="Q2461" r:id="rId3635" display="https://standards.buildingsmart.org/IFC/RELEASE/IFC4/ADD2_TC1/HTML/schema/ifcelectricaldomain/pset/pset_audiovisualappliancetypecommon.htm" xr:uid="{D99EEDD3-6C81-4AA2-9268-813AA2DC9AB6}"/>
    <hyperlink ref="Q2462" r:id="rId3636" display="https://standards.buildingsmart.org/IFC/RELEASE/IFC4/ADD2_TC1/HTML/schema/ifcelectricaldomain/pset/pset_audiovisualappliancephistory.htm" xr:uid="{31F03900-D66A-423A-837F-63281EC9292B}"/>
    <hyperlink ref="Q1223" r:id="rId3637" display="https://standards.buildingsmart.org/IFC/RELEASE/IFC4/ADD2_TC1/HTML/schema/ifcelectricaldomain/pset/pset_audiovisualappliancetypereceiver.htm" xr:uid="{841B25BB-2D1E-4D9A-AC7B-128D6476C599}"/>
    <hyperlink ref="Q1222" r:id="rId3638" display="https://standards.buildingsmart.org/IFC/RELEASE/IFC4/ADD2_TC1/HTML/schema/ifcelectricaldomain/pset/pset_audiovisualappliancetypedisplay.htm" xr:uid="{88502A52-A201-416A-BEA4-164B866D63F2}"/>
    <hyperlink ref="Q1221" r:id="rId3639" display="https://standards.buildingsmart.org/IFC/RELEASE/IFC4/ADD2_TC1/HTML/schema/ifcelectricaldomain/pset/pset_audiovisualappliancetypeamplifier.htm" xr:uid="{CC39D653-64AA-47BF-9429-670A82BE65FB}"/>
    <hyperlink ref="Q66" r:id="rId3640" display="https://standards.buildingsmart.org/IFC/RELEASE/IFC4/ADD2_TC1/HTML/schema/ifcelectricaldomain/pset/pset_audiovisualappliancetypereceiver.htm" xr:uid="{239F02D8-18C5-4EE8-9DEB-96D9DC5E9049}"/>
    <hyperlink ref="Q65" r:id="rId3641" display="https://standards.buildingsmart.org/IFC/RELEASE/IFC4/ADD2_TC1/HTML/schema/ifcelectricaldomain/pset/pset_audiovisualappliancetypeamplifier.htm" xr:uid="{8D8F629A-C31D-4D2B-A9CA-40F5999E8631}"/>
    <hyperlink ref="Q1406" r:id="rId3642" display="https://standards.buildingsmart.org/IFC/RELEASE/IFC4/ADD2_TC1/HTML/schema/ifchvacdomain/pset/pset_humidifierphistory.htm" xr:uid="{78719496-C60C-443A-8F83-788842074703}"/>
    <hyperlink ref="Q1404" r:id="rId3643" display="https://standards.buildingsmart.org/IFC/RELEASE/IFC4/ADD2_TC1/HTML/schema/ifchvacdomain/pset/pset_ductsegmentphistory.htm" xr:uid="{97B8B62A-0387-47B9-A258-112F96D04825}"/>
    <hyperlink ref="Q1403" r:id="rId3644" display="https://standards.buildingsmart.org/IFC/RELEASE/IFC4/ADD2_TC1/HTML/schema/ifchvacdomain/pset/pset_ductfittingphistory.htm" xr:uid="{A47C5291-1392-428A-A847-73AB888D334A}"/>
    <hyperlink ref="Q1405" r:id="rId3645" display="https://standards.buildingsmart.org/IFC/RELEASE/IFC4/ADD2_TC1/HTML/schema/ifchvacdomain/pset/pset_coilphistory.htm" xr:uid="{7E9D57E0-443D-4A8A-9345-B398E89FA9AC}"/>
    <hyperlink ref="Q1402" r:id="rId3646" display="https://standards.buildingsmart.org/IFC/RELEASE/IFC4/ADD2_TC1/HTML/schema/ifchvacdomain/pset/pset_airterminalboxphistory.htm" xr:uid="{8681C96D-8540-40E1-A54A-FDBCAE739BB9}"/>
    <hyperlink ref="Q17" r:id="rId3647" display="https://standards.buildingsmart.org/IFC/RELEASE/IFC4/ADD2_TC1/HTML/schema/ifcproductextension/pset/pset_environmentalimpactindicators.htm" xr:uid="{F443E1EA-1D77-4471-9A61-1033B05D5A74}"/>
    <hyperlink ref="Q18" r:id="rId3648" display="https://standards.buildingsmart.org/IFC/RELEASE/IFC4/ADD2_TC1/HTML/schema/ifcproductextension/pset/pset_environmentalimpactvalues.htm" xr:uid="{BD59DDC4-6607-47B8-AA4B-467C155F7A61}"/>
    <hyperlink ref="Q2442" r:id="rId3649" display="https://standards.buildingsmart.org/IFC/RELEASE/IFC4/ADD2_TC1/HTML/schema/ifcelectricaldomain/pset/pset_protectivedevicetrippingunittypecommon.htm" xr:uid="{074396A1-B470-4A3B-84DC-67602451B6EB}"/>
    <hyperlink ref="Q2214" r:id="rId3650" display="https://standards.buildingsmart.org/IFC/RELEASE/IFC4/ADD2_TC1/HTML/schema/ifcsharedfacilitieselements/pset/pset_asset.htm" xr:uid="{8E74BF47-C25C-43DB-B70B-362500383A9A}"/>
    <hyperlink ref="Q2249" r:id="rId3651" display="https://standards.buildingsmart.org/IFC/RELEASE/IFC4/ADD2_TC1/HTML/schema/ifcsharedfacilitieselements/pset/pset_asset.htm" xr:uid="{C584AE77-D376-41F3-8B21-B7944C18501E}"/>
    <hyperlink ref="Q2179" r:id="rId3652" display="https://standards.buildingsmart.org/IFC/RELEASE/IFC4/ADD2_TC1/HTML/schema/ifcsharedfacilitieselements/pset/pset_asset.htm" xr:uid="{23F7AFD2-1024-4B30-8980-09778B6E24FE}"/>
    <hyperlink ref="Q146" r:id="rId3653" display="https://standards.buildingsmart.org/IFC/RELEASE/IFC4/ADD2_TC1/HTML/schema/ifcsharedfacilitieselements/pset/pset_risk.htm" xr:uid="{469FD803-E321-48D3-900A-61157902E684}"/>
    <hyperlink ref="Q615" r:id="rId3654" display="https://standards.buildingsmart.org/IFC/RELEASE/IFC4/ADD2_TC1/HTML/schema/ifcsharedfacilitieselements/pset/pset_condition.htm" xr:uid="{D34B1515-2989-4ACE-BB3B-69FCF76E0F77}"/>
    <hyperlink ref="Q593" r:id="rId3655" display="https://standards.buildingsmart.org/IFC/RELEASE/IFC4/ADD2_TC1/HTML/schema/ifcsharedfacilitieselements/pset/pset_condition.htm" xr:uid="{E0D3571A-C022-45D7-AEAD-C678630F1FF9}"/>
    <hyperlink ref="Q432" r:id="rId3656" display="https://standards.buildingsmart.org/IFC/RELEASE/IFC4/ADD2_TC1/HTML/schema/ifcsharedfacilitieselements/pset/pset_condition.htm" xr:uid="{86ED0FB2-B5FA-4571-BA78-F37840EFDE0B}"/>
    <hyperlink ref="Q1162" r:id="rId3657" display="https://standards.buildingsmart.org/IFC/RELEASE/IFC4/ADD2_TC1/HTML/schema/ifcsharedfacilitieselements/pset/pset_manufacturertypeinformation.htm" xr:uid="{3ECDB91C-C8FA-4E65-A880-FA6ABF80E156}"/>
    <hyperlink ref="Q1163" r:id="rId3658" display="https://standards.buildingsmart.org/IFC/RELEASE/IFC4/ADD2_TC1/HTML/schema/ifcsharedfacilitieselements/pset/pset_manufactureroccurrence.htm" xr:uid="{2D5DD782-D2BD-49CD-B793-50C3EACDD52B}"/>
    <hyperlink ref="Q1471" r:id="rId3659" display="https://standards.buildingsmart.org/IFC/RELEASE/IFC4/ADD2_TC1/HTML/schema/ifcsharedbldgserviceelements/pset/pset_distributionsystemtypeventilation.htm" xr:uid="{40EACC52-3E20-4A78-9214-54D25619DDAD}"/>
    <hyperlink ref="Q1296" r:id="rId3660" display="https://standards.buildingsmart.org/IFC/RELEASE/IFC4/ADD2_TC1/HTML/schema/ifcstructuralelementsdomain/pset/pset_precastconcreteelementfabrication.htm" xr:uid="{9B5CCFD5-52C2-446B-84BB-5DF8E93D5FEF}"/>
    <hyperlink ref="Q1027" r:id="rId3661" display="https://standards.buildingsmart.org/IFC/RELEASE/IFC4/ADD2_TC1/HTML/schema/ifcproductextension/pset/pset_spacelightingrequirements.htm" xr:uid="{BF9B0F89-BB84-437A-BBEB-C9FC6FCC6B0E}"/>
    <hyperlink ref="Q1294" r:id="rId3662" display="https://standards.buildingsmart.org/IFC/RELEASE/IFC4/ADD2_TC1/HTML/schema/ifcsharedfacilitieselements/pset/pset_manufacturertypeinformation.htm" xr:uid="{57FFC879-58D1-48BA-9177-A05499AA4670}"/>
    <hyperlink ref="Q2161" r:id="rId3663" display="https://standards.buildingsmart.org/IFC/RELEASE/IFC4/ADD2_TC1/HTML/schema/ifchvacdomain/pset/pset_airterminalboxtypecommon.htm" xr:uid="{FB8B0FAA-2A41-4253-A8C2-438E3C2F967C}"/>
    <hyperlink ref="Q137" r:id="rId3664" display="https://standards.buildingsmart.org/IFC/RELEASE/IFC4/ADD2_TC1/HTML/schema/ifchvacdomain/pset/pset_heatexchangertypecommon.htm" xr:uid="{08E53CCB-9F80-42C1-ACAA-E22EAEAF7999}"/>
    <hyperlink ref="Q136" r:id="rId3665" display="https://standards.buildingsmart.org/IFC/RELEASE/IFC4/ADD2_TC1/HTML/schema/ifchvacdomain/pset/pset_fancentrifugal.htm" xr:uid="{9326214A-6F71-4C9B-A9F7-6A9B57D3B8A3}"/>
    <hyperlink ref="Q121" r:id="rId3666" display="https://standards.buildingsmart.org/IFC/RELEASE/IFC4/ADD2_TC1/HTML/schema/ifcproductextension/pset/pset_spaceoccupancyrequirements.htm" xr:uid="{BF002BB4-E1E0-400B-BEFA-87CC7AF19B74}"/>
    <hyperlink ref="Q83" r:id="rId3667" display="https://standards.buildingsmart.org/IFC/RELEASE/IFC4/ADD2_TC1/HTML/schema/ifchvacdomain/pset/pset_fanoccurrence.htm" xr:uid="{97050655-D2B6-40AD-9F4F-EAFA3FBD1DB3}"/>
    <hyperlink ref="Q86" r:id="rId3668" display="https://standards.buildingsmart.org/IFC/RELEASE/IFC4/ADD2_TC1/HTML/schema/ifcbuildingcontrolsdomain/pset/pset_unitarycontrolelementtypeindicatorpanel.htm" xr:uid="{7FBBB147-F054-46B6-B171-5A5D82CB9CA4}"/>
    <hyperlink ref="Q87" r:id="rId3669" display="https://standards.buildingsmart.org/IFC/RELEASE/IFC4/ADD2_TC1/HTML/schema/ifchvacdomain/pset/pset_humidifiertypecommon.htm" xr:uid="{4EC6D9B6-C84D-4016-96B6-826CE0A063DF}"/>
    <hyperlink ref="Q85" r:id="rId3670" display="https://standards.buildingsmart.org/IFC/RELEASE/IFC4/ADD2_TC1/HTML/schema/ifcbuildingcontrolsdomain/pset/pset_controllertypeprogrammable.htm" xr:uid="{B27DCDD2-FB31-436F-9638-1D0634F363A4}"/>
    <hyperlink ref="Q84" r:id="rId3671" display="https://standards.buildingsmart.org/IFC/RELEASE/IFC4/ADD2_TC1/HTML/schema/ifcbuildingcontrolsdomain/pset/pset_actuatortypecommon.htm" xr:uid="{7F43F202-2E54-484F-8150-0FB34B278B46}"/>
    <hyperlink ref="Q1218" r:id="rId3672" display="https://standards.buildingsmart.org/IFC/RELEASE/IFC4/ADD2_TC1/HTML/schema/ifcmaterialresource/pset/pset_materialwoodbasedpanel.htm" xr:uid="{26777934-A4E9-4BC6-917C-95497D614488}"/>
    <hyperlink ref="Q1219" r:id="rId3673" display="https://standards.buildingsmart.org/IFC/RELEASE/IFC4/ADD2_TC1/HTML/schema/ifcmaterialresource/pset/pset_materialwoodbasedbeam.htm" xr:uid="{F2715EA0-7AA0-4852-B129-47704526A487}"/>
    <hyperlink ref="Q1370" r:id="rId3674" display="https://standards.buildingsmart.org/IFC/RELEASE/IFC4/ADD2_TC1/HTML/schema/ifcsharedbldgserviceelements/pset/pset_thermalloaddesigncriteria.htm" xr:uid="{43C381A2-8ADF-44B0-8BEE-8B1DD7EF7B5A}"/>
    <hyperlink ref="Q701" r:id="rId3675" display="https://standards.buildingsmart.org/IFC/RELEASE/IFC4/ADD2_TC1/HTML/schema/ifcsharedbldgserviceelements/pset/pset_thermalloadaggregate.htm" xr:uid="{836E3AEF-D904-4125-B842-E1DC0D0CF291}"/>
    <hyperlink ref="Q703" r:id="rId3676" display="https://standards.buildingsmart.org/IFC/RELEASE/IFC4/ADD2_TC1/HTML/schema/ifcsharedbldgserviceelements/pset/pset_airsidesysteminformation.htm" xr:uid="{F6AC65A1-59F6-4041-B2EE-E49F930F28B3}"/>
    <hyperlink ref="Q1010" r:id="rId3677" display="https://standards.buildingsmart.org/IFC/RELEASE/IFC4/ADD2_TC1/HTML/schema/ifcmaterialresource/pset/pset_materialwood.htm" xr:uid="{38A6239E-0C67-401B-A7B8-168A09D80889}"/>
    <hyperlink ref="Q1386" r:id="rId3678" display="https://standards.buildingsmart.org/IFC/RELEASE/IFC4/ADD2_TC1/HTML/schema/ifcsharedbldgserviceelements/pset/pset_distributionportphistorycable.htm" xr:uid="{4268E858-403B-48A6-97C5-C674A13CC0BA}"/>
    <hyperlink ref="Q73" r:id="rId3679" display="https://standards.buildingsmart.org/IFC/RELEASE/IFC4/ADD2_TC1/HTML/schema/ifcstructuralelementsdomain/pset/pset_precastslab.htm" xr:uid="{0023E76C-2A5F-4664-9A0B-20267BD826BE}"/>
    <hyperlink ref="Q74" r:id="rId3680" display="https://standards.buildingsmart.org/IFC/RELEASE/IFC4/ADD2_TC1/HTML/schema/ifcstructuralelementsdomain/pset/pset_precastslab.htm" xr:uid="{EB81960F-FDA8-4CBE-B34C-C6767A85D8E1}"/>
    <hyperlink ref="Q395" r:id="rId3681" display="https://standards.buildingsmart.org/IFC/RELEASE/IFC4/ADD2_TC1/HTML/schema/ifcsharedcomponentelements/pset/pset_mechanicalfasteneranchorbolt.htm" xr:uid="{2A278B08-1385-45B1-9C36-0C37F5BC782F}"/>
    <hyperlink ref="Q394" r:id="rId3682" display="https://standards.buildingsmart.org/IFC/RELEASE/IFC4/ADD2_TC1/HTML/schema/ifcsharedcomponentelements/pset/pset_mechanicalfasteneranchorbolt.htm" xr:uid="{4A8F2A23-913D-4DD9-9ECE-6D68C4E4B9C9}"/>
    <hyperlink ref="Q391" r:id="rId3683" display="https://standards.buildingsmart.org/IFC/RELEASE/IFC4/ADD2_TC1/HTML/schema/ifcsharedcomponentelements/pset/pset_mechanicalfasteneranchorbolt.htm" xr:uid="{5B36BF22-74F9-40DF-B5F4-6DE51EEFDC9C}"/>
    <hyperlink ref="Q656" r:id="rId3684" display="https://standards.buildingsmart.org/IFC/RELEASE/IFC4/ADD2_TC1/HTML/schema/ifcsharedcomponentelements/pset/pset_mechanicalfasteneranchorbolt.htm" xr:uid="{BD66D876-83FF-449D-98F0-7A4379A173D9}"/>
    <hyperlink ref="Q2159" r:id="rId3685" display="https://standards.buildingsmart.org/IFC/RELEASE/IFC4/ADD2_TC1/HTML/schema/ifcelectricaldomain/pset/pset_audiovisualappliancetypeamplifier.htm" xr:uid="{384EC7EB-460A-4220-8329-A187CA91B324}"/>
    <hyperlink ref="Q2057" r:id="rId3686" display="https://standards.buildingsmart.org/IFC/RELEASE/IFC4/ADD2_TC1/HTML/schema/ifchvacdomain/pset/pset_coolingtowertypecommon.htm" xr:uid="{EA1F7108-7484-445C-BD12-F64C3152B613}"/>
    <hyperlink ref="Q2053" r:id="rId3687" display="https://standards.buildingsmart.org/IFC/RELEASE/IFC4/ADD2_TC1/HTML/schema/ifchvacdomain/pset/pset_coolingtowertypecommon.htm" xr:uid="{A5083058-E901-4BAB-999B-71FAFB28A1CF}"/>
    <hyperlink ref="Q428" r:id="rId3688" display="https://standards.buildingsmart.org/IFC/RELEASE/IFC4/ADD2_TC1/HTML/schema/ifcmaterialresource/pset/pset_materialwater.htm" xr:uid="{B7656809-CA34-4E4D-992C-706F06A71129}"/>
    <hyperlink ref="Q2254" r:id="rId3689" display="https://standards.buildingsmart.org/IFC/RELEASE/IFC4/ADD2_TC1/HTML/schema/ifcsharedbldgserviceelements/pset/pset_airsidesysteminformation.htm" xr:uid="{01B32AE8-23DA-429A-8366-665006F751D9}"/>
    <hyperlink ref="Q2198" r:id="rId3690" display="https://standards.buildingsmart.org/IFC/RELEASE/IFC4/ADD2_TC1/HTML/schema/ifcsharedbldgserviceelements/pset/pset_airsidesysteminformation.htm" xr:uid="{D42BA746-96F5-48C1-B3F9-6A5410AE6EB5}"/>
    <hyperlink ref="Q569" r:id="rId3691" display="https://standards.buildingsmart.org/IFC/RELEASE/IFC4/ADD2_TC1/HTML/schema/ifchvacdomain/pset/pset_spaceheaterphistory.htm" xr:uid="{ABA8CC99-88E4-4193-A8F1-CD1ADA66DDD2}"/>
    <hyperlink ref="Q1431" r:id="rId3692" display="https://standards.buildingsmart.org/IFC/RELEASE/IFC4/ADD2_TC1/HTML/schema/ifcproductextension/pset/pset_spacefiresafetyrequirements.htm" xr:uid="{37B2BEBF-C6A0-49DA-9EA4-1BD4901F77BE}"/>
    <hyperlink ref="Q1956" r:id="rId3693" display="https://standards.buildingsmart.org/IFC/RELEASE/IFC4/ADD2_TC1/HTML/schema/ifchvacdomain/pset/pset_airterminalboxtypecommon.htm" xr:uid="{FCB30288-75E1-413E-9BCA-DC2A1615BD3F}"/>
    <hyperlink ref="Q584" r:id="rId3694" display="https://standards.buildingsmart.org/IFC/RELEASE/IFC4/ADD2_TC1/HTML/schema/ifchvacdomain/pset/pset_cooledbeamphistoryactive.htm" xr:uid="{A0737883-19A4-47FE-A689-FAFE2BFB7913}"/>
    <hyperlink ref="Q583" r:id="rId3695" display="https://standards.buildingsmart.org/IFC/RELEASE/IFC4/ADD2_TC1/HTML/schema/ifchvacdomain/pset/pset_airtoairheatrecoveryphistory.htm" xr:uid="{235C212A-50A5-4924-9346-7D1C02D8E37F}"/>
    <hyperlink ref="Q566" r:id="rId3696" display="https://standards.buildingsmart.org/IFC/RELEASE/IFC4/ADD2_TC1/HTML/schema/ifchvacdomain/pset/pset_humidifiertypecommon.htm" xr:uid="{56DE5176-3468-48CF-82E8-69582F684C76}"/>
    <hyperlink ref="Q565" r:id="rId3697" display="https://standards.buildingsmart.org/IFC/RELEASE/IFC4/ADD2_TC1/HTML/schema/ifchvacdomain/pset/pset_evaporativecoolertypecommon.htm" xr:uid="{5DF6ED04-A8F8-433D-9A73-7379DC370097}"/>
    <hyperlink ref="Q564" r:id="rId3698" display="https://standards.buildingsmart.org/IFC/RELEASE/IFC4/ADD2_TC1/HTML/schema/ifchvacdomain/pset/pset_ductsilencerphistory.htm" xr:uid="{5877338A-1E7E-48B9-8E15-3FE7D8BA4B05}"/>
    <hyperlink ref="Q563" r:id="rId3699" display="https://standards.buildingsmart.org/IFC/RELEASE/IFC4/ADD2_TC1/HTML/schema/ifchvacdomain/pset/pset_coilphistory.htm" xr:uid="{AA5044B2-2B26-4D19-B5DD-972792C7D88A}"/>
    <hyperlink ref="Q2204" r:id="rId3700" display="https://standards.buildingsmart.org/IFC/RELEASE/IFC4/ADD2_TC1/HTML/schema/ifchvacdomain/pset/pset_filtertypeairparticlefilter.htm" xr:uid="{F1219E04-F4AA-440A-89C1-2FFA5F645116}"/>
    <hyperlink ref="Q132" r:id="rId3701" display="https://standards.buildingsmart.org/IFC/RELEASE/IFC4/ADD2_TC1/HTML/schema/ifchvacdomain/pset/pset_unitaryequipmenttypeairhandler.htm" xr:uid="{0D835A6F-F951-4220-B5D6-4E1C7C172E38}"/>
    <hyperlink ref="Q456" r:id="rId3702" display="https://standards.buildingsmart.org/IFC/RELEASE/IFC4/ADD2_TC1/HTML/schema/ifchvacdomain/pset/pset_unitaryequipmenttypeairhandler.htm" xr:uid="{2BEF063A-B1B2-4C00-BE52-7BC5B227E980}"/>
    <hyperlink ref="Q2206" r:id="rId3703" display="https://standards.buildingsmart.org/IFC/RELEASE/IFC4/ADD2_TC1/HTML/schema/ifchvacdomain/pset/pset_airterminaloccurrence.htm" xr:uid="{99BEB441-D900-4360-ADBA-33401C0C9984}"/>
    <hyperlink ref="Q931" r:id="rId3704" display="https://standards.buildingsmart.org/IFC/RELEASE/IFC4/ADD2_TC1/HTML/schema/ifcsharedbldgserviceelements/pset/pset_airsidesysteminformation.htm" xr:uid="{FAA12FED-772A-4B29-81FE-A36EE712DD10}"/>
    <hyperlink ref="Q2392" r:id="rId3705" display="https://standards.buildingsmart.org/IFC/RELEASE/IFC4/ADD2_TC1/HTML/schema/ifchvacdomain/pset/pset_airterminaltypecommon.htm" xr:uid="{2DDD7233-EC6C-4921-9931-4168286898BA}"/>
    <hyperlink ref="Q1996" r:id="rId3706" display="https://standards.buildingsmart.org/IFC/RELEASE/IFC4/ADD2_TC1/HTML/schema/ifchvacdomain/pset/pset_ductsilencertypecommon.htm" xr:uid="{4C7F1E54-8B4B-4B06-8945-6D385FE329F1}"/>
    <hyperlink ref="Q1997" r:id="rId3707" display="https://standards.buildingsmart.org/IFC/RELEASE/IFC4/ADD2_TC1/HTML/schema/ifchvacdomain/pset/pset_airterminaltypecommon.htm" xr:uid="{F0D89F01-3DC6-4330-8347-BDDFE7B9EA0A}"/>
    <hyperlink ref="Q1998" r:id="rId3708" display="https://standards.buildingsmart.org/IFC/RELEASE/IFC4/ADD2_TC1/HTML/schema/ifchvacdomain/pset/pset_cooledbeamtypeactive.htm" xr:uid="{A8E6F590-FEE3-4313-BB0E-9AD3C919C217}"/>
    <hyperlink ref="Q1995" r:id="rId3709" display="https://standards.buildingsmart.org/IFC/RELEASE/IFC4/ADD2_TC1/HTML/schema/ifchvacdomain/pset/pset_coiltypecommon.htm" xr:uid="{FFD2680F-B7F2-4E25-A6F7-E0A4971A7C37}"/>
    <hyperlink ref="Q1994" r:id="rId3710" display="https://standards.buildingsmart.org/IFC/RELEASE/IFC4/ADD2_TC1/HTML/schema/ifchvacdomain/pset/pset_airterminalboxtypecommon.htm" xr:uid="{BDA8C22C-9FF6-40D5-B4F9-8F4F5A2F3CD9}"/>
    <hyperlink ref="Q1951" r:id="rId3711" display="https://standards.buildingsmart.org/IFC/RELEASE/IFC4/ADD2_TC1/HTML/schema/ifchvacdomain/pset/pset_airterminaloccurrence.htm" xr:uid="{47D36A10-5E3E-4583-9E53-CC2B9191A670}"/>
    <hyperlink ref="Q1948" r:id="rId3712" display="https://standards.buildingsmart.org/IFC/RELEASE/IFC4/ADD2_TC1/HTML/schema/ifchvacdomain/pset/pset_ductsilencerphistory.htm" xr:uid="{B5811E7A-F9D7-4C3E-B30C-2A030F8A4C9E}"/>
    <hyperlink ref="Q1947" r:id="rId3713" display="https://standards.buildingsmart.org/IFC/RELEASE/IFC4/ADD2_TC1/HTML/schema/ifchvacdomain/pset/pset_damperphistory.htm" xr:uid="{30358978-0B4B-45E4-B3AC-988447967272}"/>
    <hyperlink ref="Q1950" r:id="rId3714" display="https://standards.buildingsmart.org/IFC/RELEASE/IFC4/ADD2_TC1/HTML/schema/ifchvacdomain/pset/pset_cooledbeamphistoryactive.htm" xr:uid="{7B5D2841-1462-4CC6-9BEA-21472C260CB7}"/>
    <hyperlink ref="Q1949" r:id="rId3715" display="https://standards.buildingsmart.org/IFC/RELEASE/IFC4/ADD2_TC1/HTML/schema/ifchvacdomain/pset/pset_airterminalphistory.htm" xr:uid="{4BCBEC5F-7A02-4B19-AB47-E7C08B0145D9}"/>
    <hyperlink ref="Q2381" r:id="rId3716" display="https://standards.buildingsmart.org/IFC/RELEASE/IFC4/ADD2_TC1/HTML/schema/ifchvacdomain/pset/pset_ductfittingphistory.htm" xr:uid="{D1F563D8-9E19-4512-97FF-E93621C51EBD}"/>
    <hyperlink ref="Q557" r:id="rId3717" display="https://standards.buildingsmart.org/IFC/RELEASE/IFC4/ADD2_TC1/HTML/schema/ifchvacdomain/pset/pset_airterminalboxphistory.htm" xr:uid="{C4C106CD-D6AC-45A0-8FFD-0D6004B0929B}"/>
    <hyperlink ref="Q445" r:id="rId3718" display="https://standards.buildingsmart.org/IFC/RELEASE/IFC4/ADD2_TC1/HTML/schema/ifchvacdomain/pset/pset_cooledbeamtypeactive.htm" xr:uid="{4F1EAADE-5630-43A4-9CBD-C82CC3606943}"/>
    <hyperlink ref="Q1940" r:id="rId3719" display="https://standards.buildingsmart.org/IFC/RELEASE/IFC4/ADD2_TC1/HTML/schema/ifcsharedbldgserviceelements/pset/pset_spacethermalloadphistory.htm" xr:uid="{46846691-DBC4-445F-8525-5B6A0759D06C}"/>
    <hyperlink ref="Q1966" r:id="rId3720" display="https://standards.buildingsmart.org/IFC/RELEASE/IFC4/ADD2_TC1/HTML/schema/ifcsharedbldgserviceelements/pset/pset_spacethermalload.htm" xr:uid="{6252FEBF-B728-4A02-8C41-5BC00188F180}"/>
    <hyperlink ref="Q1050" r:id="rId3721" display="https://standards.buildingsmart.org/IFC/RELEASE/IFC4/ADD2_TC1/HTML/schema/ifchvacdomain/pset/pset_airterminaltypecommon.htm" xr:uid="{2ADB9695-2CC9-4062-86DB-6EA26F4B4580}"/>
    <hyperlink ref="Q247" r:id="rId3722" display="https://standards.buildingsmart.org/IFC/RELEASE/IFC4/ADD2_TC1/HTML/schema/ifcproductextension/pset/pset_spacethermalrequirements.htm" xr:uid="{719BC068-694E-4B51-8A20-4AF5D4EF5BCB}"/>
    <hyperlink ref="Q94" r:id="rId3723" display="https://standards.buildingsmart.org/IFC/RELEASE/IFC4/ADD2_TC1/HTML/schema/ifcproductextension/pset/pset_spacethermalrequirements.htm" xr:uid="{C406E947-A370-40E0-95F6-BC677596E197}"/>
    <hyperlink ref="Q2156" r:id="rId3724" display="https://standards.buildingsmart.org/IFC/RELEASE/IFC4/ADD2_TC1/HTML/schema/ifcsharedfacilitieselements/pset/pset_propertyagreement.htm" xr:uid="{6420A0C2-AAA1-471A-AC9F-93D7FCD73A70}"/>
    <hyperlink ref="Q22" r:id="rId3725" display="https://standards.buildingsmart.org/IFC/RELEASE/IFC4/ADD2_TC1/HTML/schema/ifcsharedfacilitieselements/pset/pset_risk.htm" xr:uid="{6679504D-0D8D-4270-9396-2B42F35AE292}"/>
    <hyperlink ref="Q618" r:id="rId3726" display="https://standards.buildingsmart.org/IFC/RELEASE/IFC4/ADD2_TC1/HTML/schema/ifcmaterialresource/pset/pset_materialconcrete.htm" xr:uid="{34493825-F252-4602-BB93-3DE27EB6334C}"/>
    <hyperlink ref="Q2284" r:id="rId3727" display="https://standards.buildingsmart.org/IFC/RELEASE/IFC4/ADD2_TC1/HTML/schema/ifcelectricaldomain/pset/pset_protectivedevicetrippingunittimeadjustment.htm" xr:uid="{6B8C6181-AC87-47A9-B4EF-71112E6D319A}"/>
    <hyperlink ref="Q2285" r:id="rId3728" display="https://standards.buildingsmart.org/IFC/RELEASE/IFC4/ADD2_TC1/HTML/schema/ifcelectricaldomain/pset/pset_protectivedevicetrippingunitcurrentadjustment.htm" xr:uid="{5B773F39-5335-453F-A133-738D3E8FA2AC}"/>
    <hyperlink ref="Q2376" r:id="rId3729" display="https://standards.buildingsmart.org/IFC/RELEASE/IFC4/ADD2_TC1/HTML/schema/ifcelectricaldomain/pset/pset_protectivedevicetrippingunittimeadjustment.htm" xr:uid="{E2A756CA-E23F-4BB0-A750-16B8673E8BA1}"/>
    <hyperlink ref="Q2377" r:id="rId3730" display="https://standards.buildingsmart.org/IFC/RELEASE/IFC4/ADD2_TC1/HTML/schema/ifcelectricaldomain/pset/pset_protectivedevicetrippingunitcurrentadjustment.htm" xr:uid="{0786F50F-3E78-4BB0-ADA3-EC2700C9A02A}"/>
    <hyperlink ref="Q2367" r:id="rId3731" display="https://standards.buildingsmart.org/IFC/RELEASE/IFC4/ADD2_TC1/HTML/schema/ifcelectricaldomain/pset/pset_protectivedevicetrippingunittimeadjustment.htm" xr:uid="{F84532FF-8BA6-4042-81FA-6B5335ADA363}"/>
    <hyperlink ref="Q2368" r:id="rId3732" display="https://standards.buildingsmart.org/IFC/RELEASE/IFC4/ADD2_TC1/HTML/schema/ifcelectricaldomain/pset/pset_protectivedevicetrippingunitcurrentadjustment.htm" xr:uid="{E52654A9-0098-4A24-BD73-DDF3FF3F5B1D}"/>
    <hyperlink ref="Q1934" r:id="rId3733" display="https://standards.buildingsmart.org/IFC/RELEASE/IFC4/ADD2_TC1/HTML/schema/ifcelectricaldomain/pset/pset_protectivedevicetrippingunittimeadjustment.htm" xr:uid="{DE94B675-EB72-4F86-9870-E32E9DA14868}"/>
    <hyperlink ref="Q1935" r:id="rId3734" display="https://standards.buildingsmart.org/IFC/RELEASE/IFC4/ADD2_TC1/HTML/schema/ifcelectricaldomain/pset/pset_protectivedevicetrippingunitcurrentadjustment.htm" xr:uid="{1F4AC971-1AF1-4BB1-9B59-9DB6331B25CC}"/>
    <hyperlink ref="Q627" r:id="rId3735" display="https://standards.buildingsmart.org/IFC/RELEASE/IFC4/ADD2_TC1/HTML/schema/ifcelectricaldomain/pset/pset_protectivedevicetrippingunittimeadjustment.htm" xr:uid="{040ADD30-E240-42E6-9704-3E7263815111}"/>
    <hyperlink ref="Q628" r:id="rId3736" display="https://standards.buildingsmart.org/IFC/RELEASE/IFC4/ADD2_TC1/HTML/schema/ifcelectricaldomain/pset/pset_protectivedevicetrippingunitcurrentadjustment.htm" xr:uid="{E393AF8E-7B14-491D-93C5-3748AB80206B}"/>
    <hyperlink ref="Q817" r:id="rId3737" display="https://standards.buildingsmart.org/IFC/RELEASE/IFC4/ADD2_TC1/HTML/schema/ifcelectricaldomain/pset/pset_lightfixturetypesecuritylighting.htm" xr:uid="{CC2EC967-C80E-4A15-9B89-EE2537BDE92F}"/>
    <hyperlink ref="Q1388" r:id="rId3738" display="https://standards.buildingsmart.org/IFC/RELEASE/IFC4/ADD2_TC1/HTML/schema/ifcbuildingcontrolsdomain/pset/pset_actuatortypeelectricactuator.htm" xr:uid="{86AAD801-4F83-4523-8759-8DE39AD72C67}"/>
    <hyperlink ref="Q2162" r:id="rId3739" display="https://standards.buildingsmart.org/IFC/RELEASE/IFC4/ADD2_TC1/HTML/schema/ifchvacdomain/pset/pset_dampertypefiresmokedamper.htm" xr:uid="{EECBF8CD-486E-45B5-B127-EBBC32C996D6}"/>
    <hyperlink ref="Q2163" r:id="rId3740" display="https://standards.buildingsmart.org/IFC/RELEASE/IFC4/ADD2_TC1/HTML/schema/ifchvacdomain/pset/pset_dampertypefiredamper.htm" xr:uid="{EEFC003E-EC2E-4296-8925-1EF9969785A9}"/>
    <hyperlink ref="Q1931" r:id="rId3741" display="https://standards.buildingsmart.org/IFC/RELEASE/IFC4/ADD2_TC1/HTML/schema/ifcconstructionmgmtdomain/pset/pset_constructionresource.htm" xr:uid="{B4DE539D-49F7-479B-9D03-DA536173A036}"/>
    <hyperlink ref="Q591" r:id="rId3742" display="https://standards.buildingsmart.org/IFC/RELEASE/IFC4/ADD2_TC1/HTML/schema/ifcstructuralelementsdomain/pset/pset_precastconcreteelementfabrication.htm" xr:uid="{20D443F4-779D-42CA-9CEA-32A0961D6117}"/>
    <hyperlink ref="Q602" r:id="rId3743" display="https://standards.buildingsmart.org/IFC/RELEASE/IFC4/ADD2_TC1/HTML/schema/ifcstructuralelementsdomain/pset/pset_precastconcreteelementfabrication.htm" xr:uid="{CA6250F7-955C-4220-A5E8-25305274BB1C}"/>
    <hyperlink ref="Q587" r:id="rId3744" display="https://standards.buildingsmart.org/IFC/RELEASE/IFC4/ADD2_TC1/HTML/schema/ifcconstructionmgmtdomain/pset/pset_constructionresource.htm" xr:uid="{2D8A3B92-A2AD-401F-ADCE-99AC3FD6F2EE}"/>
    <hyperlink ref="Q431" r:id="rId3745" display="https://standards.buildingsmart.org/IFC/RELEASE/IFC4/ADD2_TC1/HTML/schema/ifcconstructionmgmtdomain/pset/pset_constructionresource.htm" xr:uid="{536C58CD-373A-42AD-B65B-DB60B7A04D8D}"/>
    <hyperlink ref="Q963" r:id="rId3746" display="https://standards.buildingsmart.org/IFC/RELEASE/IFC4/ADD2_TC1/HTML/schema/ifcelectricaldomain/pset/pset_solardevicetypecommon.htm" xr:uid="{DCA08C94-5E4E-44F0-8D9E-31E0F60D84C1}"/>
    <hyperlink ref="Q2052" r:id="rId3747" display="https://standards.buildingsmart.org/IFC/RELEASE/IFC4/ADD2_TC1/HTML/schema/ifcplumbingfireprotectiondomain/pset/pset_firesuppressionterminaltypesprinkler.htm" xr:uid="{6C36B3FF-E771-4EBF-A2C3-7BF54B1F8B41}"/>
    <hyperlink ref="Q141" r:id="rId3748" display="https://standards.buildingsmart.org/IFC/RELEASE/IFC4/ADD2_TC1/HTML/schema/ifcplumbingfireprotectiondomain/pset/pset_firesuppressionterminaltypesprinkler.htm" xr:uid="{3019EBB8-3C0C-4DDC-9A80-DF1EA6909DD1}"/>
    <hyperlink ref="Q1209" r:id="rId3749" display="https://standards.buildingsmart.org/IFC/RELEASE/IFC4/ADD2_TC1/HTML/schema/ifcproductextension/pset/pset_annotationsurveyarea.htm" xr:uid="{2B405178-86E0-4971-B32F-45ECD12136AB}"/>
    <hyperlink ref="Q592" r:id="rId3750" display="https://standards.buildingsmart.org/IFC/RELEASE/IFC4/ADD2_TC1/HTML/schema/ifcsharedfacilitieselements/pset/pset_manufactureroccurrence.htm" xr:uid="{ABEC9AF4-2A61-430A-BE48-B9938D4AA4D1}"/>
    <hyperlink ref="Q288" r:id="rId3751" display="https://standards.buildingsmart.org/IFC/RELEASE/IFC4/ADD2_TC1/HTML/schema/ifcsharedbldgelements/pset/pset_windowcommon.htm" xr:uid="{9C1143D2-B3B2-43A8-815D-4C8B3F487D8E}"/>
    <hyperlink ref="Q289" r:id="rId3752" display="https://standards.buildingsmart.org/IFC/RELEASE/IFC4/ADD2_TC1/HTML/schema/ifcsharedbldgelements/pset/pset_wallcommon.htm" xr:uid="{B90716D6-3F92-488C-ABF2-1238B1443D27}"/>
    <hyperlink ref="Q293" r:id="rId3753" display="https://standards.buildingsmart.org/IFC/RELEASE/IFC4/ADD2_TC1/HTML/schema/ifcsharedbldgelements/pset/pset_slabcommon.htm" xr:uid="{CFDD7FEA-7AD5-4077-92C8-41D00B5EA791}"/>
    <hyperlink ref="Q294" r:id="rId3754" display="https://standards.buildingsmart.org/IFC/RELEASE/IFC4/ADD2_TC1/HTML/schema/ifcsharedbldgelements/pset/pset_roofcommon.htm" xr:uid="{CA798C18-0F6E-42E5-A9C6-CF0F32ECDA48}"/>
    <hyperlink ref="Q291" r:id="rId3755" display="https://standards.buildingsmart.org/IFC/RELEASE/IFC4/ADD2_TC1/HTML/schema/ifcsharedbldgelements/pset/pset_platecommon.htm" xr:uid="{BAF30135-C68D-43C2-8B79-E66F9F9FAF75}"/>
    <hyperlink ref="Q292" r:id="rId3756" display="https://standards.buildingsmart.org/IFC/RELEASE/IFC4/ADD2_TC1/HTML/schema/ifcsharedbldgelements/pset/pset_doorcommon.htm" xr:uid="{61740122-B7C6-4CAA-8A41-00E56B36E248}"/>
    <hyperlink ref="Q290" r:id="rId3757" display="https://standards.buildingsmart.org/IFC/RELEASE/IFC4/ADD2_TC1/HTML/schema/ifcsharedbldgelements/pset/pset_curtainwallcommon.htm" xr:uid="{FFA38D76-3B51-4A71-A55B-8A6C1273FF62}"/>
    <hyperlink ref="Q287" r:id="rId3758" display="https://standards.buildingsmart.org/IFC/RELEASE/IFC4/ADD2_TC1/HTML/schema/ifcsharedbldgelements/pset/pset_coveringcommon.htm" xr:uid="{7B1803E9-BC26-43EA-B483-81AF3894D500}"/>
    <hyperlink ref="Q446" r:id="rId3759" display="https://standards.buildingsmart.org/IFC/RELEASE/IFC4/ADD2_TC1/HTML/schema/ifcbuildingcontrolsdomain/pset/pset_alarmphistory.htm" xr:uid="{17E4753A-D010-41DB-893E-0472AE96311C}"/>
    <hyperlink ref="Q427" r:id="rId3760" display="https://standards.buildingsmart.org/IFC/RELEASE/IFC4/ADD2_TC1/HTML/schema/ifcmaterialresource/pset/pset_materialwater.htm" xr:uid="{83F8B746-B509-45B8-AC8C-65BA927B7FA7}"/>
    <hyperlink ref="Q21" r:id="rId3761" display="https://standards.buildingsmart.org/IFC/RELEASE/IFC4/ADD2_TC1/HTML/schema/ifcproductextension/pset/pset_annotationsurveyarea.htm" xr:uid="{9530E691-B424-4E18-B68B-E6C04FC24DB8}"/>
    <hyperlink ref="Q20" r:id="rId3762" display="https://standards.buildingsmart.org/IFC/RELEASE/IFC4/ADD2_TC1/HTML/schema/ifcproductextension/pset/pset_annotationsurveyarea.htm" xr:uid="{F7CD2376-3B3F-4C42-92B6-6B452325DA10}"/>
    <hyperlink ref="Q1399" r:id="rId3763" display="https://standards.buildingsmart.org/IFC/RELEASE/IFC4/ADD2_TC1/HTML/schema/ifcbuildingcontrolsdomain/pset/pset_sensortypefiresensor.htm" xr:uid="{FA9CD99E-31E6-4627-9D23-4261D2ACEEB0}"/>
    <hyperlink ref="Q1090" r:id="rId3764" display="https://standards.buildingsmart.org/IFC/RELEASE/IFC4/ADD2_TC1/HTML/schema/ifcsharedbldgserviceelements/pset/pset_distributionchamberelementtypemanhole.htm" xr:uid="{5444AE2D-882A-462B-8720-0C79FE6DED01}"/>
    <hyperlink ref="Q1089" r:id="rId3765" display="https://standards.buildingsmart.org/IFC/RELEASE/IFC4/ADD2_TC1/HTML/schema/ifcsharedbldgserviceelements/pset/pset_distributionchamberelementtypeinspectionchamber.htm" xr:uid="{F7BC11F9-462A-47C8-87D3-141E0BDD5E32}"/>
    <hyperlink ref="Q2153" r:id="rId3766" display="https://standards.buildingsmart.org/IFC/RELEASE/IFC4/ADD2_TC1/HTML/schema/ifchvacdomain/pset/pset_tanktypecommon.htm" xr:uid="{AD63F5FF-52EE-4166-988A-D274F3D17297}"/>
    <hyperlink ref="Q418" r:id="rId3767" display="https://standards.buildingsmart.org/IFC/RELEASE/IFC4/ADD2_TC1/HTML/schema/ifcsharedbldgserviceelements/pset/pset_distributionchamberelementtypemanhole.htm" xr:uid="{294BDD4B-971D-4359-9406-F68BA0D26D67}"/>
    <hyperlink ref="Q417" r:id="rId3768" display="https://standards.buildingsmart.org/IFC/RELEASE/IFC4/ADD2_TC1/HTML/schema/ifcsharedbldgserviceelements/pset/pset_distributionchamberelementtypeinspectionchamber.htm" xr:uid="{BA814144-3A9C-4DB7-AED9-C60D2A5A2CA6}"/>
    <hyperlink ref="Q1193" r:id="rId3769" display="https://standards.buildingsmart.org/IFC/RELEASE/IFC4/ADD2_TC1/HTML/schema/ifcsharedbldgserviceelements/pset/pset_distributionchamberelementtypevalvechamber.htm" xr:uid="{8F3F2BF4-84AA-4795-9379-9B6552CEEFE8}"/>
    <hyperlink ref="Q1192" r:id="rId3770" display="https://standards.buildingsmart.org/IFC/RELEASE/IFC4/ADD2_TC1/HTML/schema/ifcsharedbldgserviceelements/pset/pset_distributionchamberelementtypemeterchamber.htm" xr:uid="{C8472CDE-22B7-4067-9828-4264000D29BD}"/>
    <hyperlink ref="Q1191" r:id="rId3771" display="https://standards.buildingsmart.org/IFC/RELEASE/IFC4/ADD2_TC1/HTML/schema/ifcsharedbldgserviceelements/pset/pset_distributionchamberelementtypemanhole.htm" xr:uid="{E7ACA1DF-A26C-495B-A25B-BE9D515A2C72}"/>
    <hyperlink ref="Q1190" r:id="rId3772" display="https://standards.buildingsmart.org/IFC/RELEASE/IFC4/ADD2_TC1/HTML/schema/ifcsharedbldgserviceelements/pset/pset_distributionchamberelementtypeinspectionchamber.htm" xr:uid="{655928AC-8F25-434D-933D-B4A89EB1F480}"/>
    <hyperlink ref="Q296" r:id="rId3773" display="https://standards.buildingsmart.org/IFC/RELEASE/IFC4/ADD2_TC1/HTML/schema/ifcsharedbldgserviceelements/pset/pset_distributionchamberelementtypemanhole.htm" xr:uid="{4FF58BEB-4A28-4175-ABB1-FFE58FDBCB1E}"/>
    <hyperlink ref="Q295" r:id="rId3774" display="https://standards.buildingsmart.org/IFC/RELEASE/IFC4/ADD2_TC1/HTML/schema/ifcsharedbldgserviceelements/pset/pset_distributionchamberelementtypeinspectionchamber.htm" xr:uid="{7D253A34-0228-4DF3-BB42-80BDE5D21FC8}"/>
    <hyperlink ref="Q297" r:id="rId3775" display="https://standards.buildingsmart.org/IFC/RELEASE/IFC4/ADD2_TC1/HTML/schema/ifcsharedbldgserviceelements/pset/pset_distributionchamberelementtypeformedduct.htm" xr:uid="{9C880A19-1EDA-4645-882B-A890BFCE8A09}"/>
    <hyperlink ref="Q19" r:id="rId3776" display="https://standards.buildingsmart.org/IFC/RELEASE/IFC4/ADD2_TC1/HTML/schema/ifcproductextension/pset/pset_buildingstoreycommon.htm" xr:uid="{5483A5B8-5D5C-45BD-9D6E-1FE3DECAEF97}"/>
    <hyperlink ref="Q1196" r:id="rId3777" display="https://standards.buildingsmart.org/IFC/RELEASE/IFC4/ADD2_TC1/HTML/schema/ifcsharedcomponentelements/pset/pset_fastenerweld.htm" xr:uid="{8BEC94DD-7467-4124-89A0-95EF83EFD660}"/>
    <hyperlink ref="Q1343" r:id="rId3778" display="https://standards.buildingsmart.org/IFC/RELEASE/IFC4/ADD2_TC1/HTML/schema/ifcprofileresource/pset/pset_profilearbitraryhollowcore.htm" xr:uid="{1D10601F-F276-40D6-9D65-DD9CB7C60BDD}"/>
    <hyperlink ref="Q2471" r:id="rId3779" display="&quot;https://standards.buildingsmart.org/IFC/RELEASE/IFC4/ADD2_TC1/HTML/schema/ifcpresentationdefinitionresource/lexical/ifcboxalignment.htm&quot;" xr:uid="{51F74253-81D4-4B11-A821-2E29D795738A}"/>
    <hyperlink ref="Q2586" r:id="rId3780" display="https://standards.buildingsmart.org/IFC/RELEASE/IFC4/ADD2_TC1/HTML/schema/ifcmeasureresource/lexical/ifccomplexnumber.htm" xr:uid="{FE19A5A3-D6B4-4783-A4AD-196849B817C7}"/>
    <hyperlink ref="Q2713" r:id="rId3781" display="https://standards.buildingsmart.org/IFC/RELEASE/IFC4/ADD2_TC1/HTML/schema/ifckernel/lexical/ifccomplexpropertytemplatetypeenum.htm" xr:uid="{F5CC4287-F51C-4FD2-AB7A-6960BBBFF2C1}"/>
    <hyperlink ref="Q3359" r:id="rId3782" display="https://standards.buildingsmart.org/IFC/RELEASE/IFC4/ADD2_TC1/HTML/schema/ifckernel/lexical/ifccomplexpropertytemplate.htm" xr:uid="{37D154BE-7C3B-44DD-B0FF-C78E6AF5966B}"/>
    <hyperlink ref="Q3404" r:id="rId3783" display="https://standards.buildingsmart.org/IFC/RELEASE/IFC4/ADD2_TC1/HTML/schema/ifcpropertyresource/lexical/ifccomplexproperty.htm" xr:uid="{56770C3C-59EF-4DAF-BB34-21C6C5E8258F}"/>
    <hyperlink ref="Q3416" r:id="rId3784" display="https://standards.buildingsmart.org/IFC/RELEASE/IFC4/ADD2_TC1/HTML/schema/ifcquantityresource/lexical/ifcphysicalcomplexquantity.htm" xr:uid="{94A76030-8E5B-46CA-93CF-BE9023587ADE}"/>
  </hyperlinks>
  <pageMargins left="0.511811024" right="0.511811024" top="0.78740157499999996" bottom="0.78740157499999996" header="0.31496062000000002" footer="0.31496062000000002"/>
  <pageSetup paperSize="9" orientation="portrait" r:id="rId37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3D26-702A-4554-A712-432EF28217DB}">
  <sheetPr codeName="Planilha1"/>
  <dimension ref="A1:F392"/>
  <sheetViews>
    <sheetView topLeftCell="A85" zoomScale="175" zoomScaleNormal="175" workbookViewId="0">
      <selection activeCell="E118" sqref="E118"/>
    </sheetView>
  </sheetViews>
  <sheetFormatPr defaultColWidth="9.33203125" defaultRowHeight="11.25" x14ac:dyDescent="0.2"/>
  <cols>
    <col min="1" max="1" width="44.1640625" style="1" bestFit="1" customWidth="1"/>
    <col min="2" max="4" width="9.33203125" style="2"/>
    <col min="5" max="5" width="18.83203125" style="1" customWidth="1"/>
    <col min="6" max="6" width="44.1640625" style="1" bestFit="1" customWidth="1"/>
    <col min="7" max="16384" width="9.33203125" style="1"/>
  </cols>
  <sheetData>
    <row r="1" spans="1:6" x14ac:dyDescent="0.2">
      <c r="A1" s="3" t="s">
        <v>201</v>
      </c>
      <c r="B1" s="4" t="s">
        <v>197</v>
      </c>
      <c r="C1" s="4" t="s">
        <v>198</v>
      </c>
      <c r="D1" s="4" t="s">
        <v>199</v>
      </c>
      <c r="E1" s="5" t="s">
        <v>200</v>
      </c>
      <c r="F1" s="3" t="s">
        <v>201</v>
      </c>
    </row>
    <row r="2" spans="1:6" x14ac:dyDescent="0.2">
      <c r="A2" s="6" t="s">
        <v>12</v>
      </c>
      <c r="B2" s="7">
        <v>1</v>
      </c>
      <c r="C2" s="7">
        <v>1</v>
      </c>
      <c r="D2" s="7">
        <v>1</v>
      </c>
      <c r="E2" s="6" t="s">
        <v>13</v>
      </c>
      <c r="F2" s="6" t="s">
        <v>206</v>
      </c>
    </row>
    <row r="3" spans="1:6" x14ac:dyDescent="0.2">
      <c r="A3" s="6" t="s">
        <v>161</v>
      </c>
      <c r="B3" s="7">
        <v>0</v>
      </c>
      <c r="C3" s="7">
        <v>1</v>
      </c>
      <c r="D3" s="7">
        <v>1</v>
      </c>
      <c r="E3" s="6" t="s">
        <v>13</v>
      </c>
      <c r="F3" s="6" t="s">
        <v>280</v>
      </c>
    </row>
    <row r="4" spans="1:6" x14ac:dyDescent="0.2">
      <c r="A4" s="6" t="s">
        <v>25</v>
      </c>
      <c r="B4" s="7">
        <v>0</v>
      </c>
      <c r="C4" s="7">
        <v>1</v>
      </c>
      <c r="D4" s="7">
        <v>1</v>
      </c>
      <c r="E4" s="6" t="s">
        <v>26</v>
      </c>
      <c r="F4" s="6" t="s">
        <v>214</v>
      </c>
    </row>
    <row r="5" spans="1:6" x14ac:dyDescent="0.2">
      <c r="A5" s="6" t="s">
        <v>27</v>
      </c>
      <c r="B5" s="7">
        <v>0</v>
      </c>
      <c r="C5" s="7">
        <v>1</v>
      </c>
      <c r="D5" s="7">
        <v>1</v>
      </c>
      <c r="E5" s="6" t="s">
        <v>28</v>
      </c>
      <c r="F5" s="6" t="s">
        <v>215</v>
      </c>
    </row>
    <row r="6" spans="1:6" x14ac:dyDescent="0.2">
      <c r="A6" s="6" t="s">
        <v>0</v>
      </c>
      <c r="B6" s="7">
        <v>1</v>
      </c>
      <c r="C6" s="7">
        <v>1</v>
      </c>
      <c r="D6" s="7">
        <v>1</v>
      </c>
      <c r="E6" s="6" t="s">
        <v>1</v>
      </c>
      <c r="F6" s="6" t="s">
        <v>300</v>
      </c>
    </row>
    <row r="7" spans="1:6" x14ac:dyDescent="0.2">
      <c r="A7" s="6" t="s">
        <v>2</v>
      </c>
      <c r="B7" s="7">
        <v>1</v>
      </c>
      <c r="C7" s="7">
        <v>1</v>
      </c>
      <c r="D7" s="7">
        <v>1</v>
      </c>
      <c r="E7" s="6" t="s">
        <v>1</v>
      </c>
      <c r="F7" s="6" t="s">
        <v>301</v>
      </c>
    </row>
    <row r="8" spans="1:6" x14ac:dyDescent="0.2">
      <c r="A8" s="6" t="s">
        <v>4</v>
      </c>
      <c r="B8" s="7">
        <v>1</v>
      </c>
      <c r="C8" s="7">
        <v>1</v>
      </c>
      <c r="D8" s="7">
        <v>1</v>
      </c>
      <c r="E8" s="6" t="s">
        <v>1</v>
      </c>
      <c r="F8" s="6" t="s">
        <v>302</v>
      </c>
    </row>
    <row r="9" spans="1:6" x14ac:dyDescent="0.2">
      <c r="A9" s="6" t="s">
        <v>5</v>
      </c>
      <c r="B9" s="7">
        <v>1</v>
      </c>
      <c r="C9" s="7">
        <v>1</v>
      </c>
      <c r="D9" s="7">
        <v>1</v>
      </c>
      <c r="E9" s="6" t="s">
        <v>1</v>
      </c>
      <c r="F9" s="6" t="s">
        <v>303</v>
      </c>
    </row>
    <row r="10" spans="1:6" x14ac:dyDescent="0.2">
      <c r="A10" s="6" t="s">
        <v>6</v>
      </c>
      <c r="B10" s="7">
        <v>0</v>
      </c>
      <c r="C10" s="7">
        <v>1</v>
      </c>
      <c r="D10" s="7">
        <v>1</v>
      </c>
      <c r="E10" s="6" t="s">
        <v>1</v>
      </c>
      <c r="F10" s="6" t="s">
        <v>304</v>
      </c>
    </row>
    <row r="11" spans="1:6" x14ac:dyDescent="0.2">
      <c r="A11" s="6" t="s">
        <v>7</v>
      </c>
      <c r="B11" s="7">
        <v>1</v>
      </c>
      <c r="C11" s="7">
        <v>1</v>
      </c>
      <c r="D11" s="7">
        <v>1</v>
      </c>
      <c r="E11" s="6" t="s">
        <v>1</v>
      </c>
      <c r="F11" s="6" t="s">
        <v>305</v>
      </c>
    </row>
    <row r="12" spans="1:6" x14ac:dyDescent="0.2">
      <c r="A12" s="6" t="s">
        <v>19</v>
      </c>
      <c r="B12" s="7">
        <v>1</v>
      </c>
      <c r="C12" s="7">
        <v>1</v>
      </c>
      <c r="D12" s="7">
        <v>1</v>
      </c>
      <c r="E12" s="6" t="s">
        <v>1</v>
      </c>
      <c r="F12" s="6" t="s">
        <v>306</v>
      </c>
    </row>
    <row r="13" spans="1:6" x14ac:dyDescent="0.2">
      <c r="A13" s="6" t="s">
        <v>22</v>
      </c>
      <c r="B13" s="7">
        <v>1</v>
      </c>
      <c r="C13" s="7">
        <v>1</v>
      </c>
      <c r="D13" s="7">
        <v>1</v>
      </c>
      <c r="E13" s="6" t="s">
        <v>1</v>
      </c>
      <c r="F13" s="6" t="s">
        <v>308</v>
      </c>
    </row>
    <row r="14" spans="1:6" x14ac:dyDescent="0.2">
      <c r="A14" s="6" t="s">
        <v>44</v>
      </c>
      <c r="B14" s="7">
        <v>1</v>
      </c>
      <c r="C14" s="7">
        <v>1</v>
      </c>
      <c r="D14" s="7">
        <v>1</v>
      </c>
      <c r="E14" s="6" t="s">
        <v>1</v>
      </c>
      <c r="F14" s="6" t="s">
        <v>310</v>
      </c>
    </row>
    <row r="15" spans="1:6" x14ac:dyDescent="0.2">
      <c r="A15" s="6" t="s">
        <v>47</v>
      </c>
      <c r="B15" s="7">
        <v>1</v>
      </c>
      <c r="C15" s="7">
        <v>1</v>
      </c>
      <c r="D15" s="7">
        <v>1</v>
      </c>
      <c r="E15" s="6" t="s">
        <v>1</v>
      </c>
      <c r="F15" s="6" t="s">
        <v>311</v>
      </c>
    </row>
    <row r="16" spans="1:6" x14ac:dyDescent="0.2">
      <c r="A16" s="6" t="s">
        <v>48</v>
      </c>
      <c r="B16" s="7">
        <v>1</v>
      </c>
      <c r="C16" s="7">
        <v>1</v>
      </c>
      <c r="D16" s="7">
        <v>1</v>
      </c>
      <c r="E16" s="6" t="s">
        <v>1</v>
      </c>
      <c r="F16" s="6" t="s">
        <v>312</v>
      </c>
    </row>
    <row r="17" spans="1:6" x14ac:dyDescent="0.2">
      <c r="A17" s="6" t="s">
        <v>49</v>
      </c>
      <c r="B17" s="7">
        <v>1</v>
      </c>
      <c r="C17" s="7">
        <v>1</v>
      </c>
      <c r="D17" s="7">
        <v>1</v>
      </c>
      <c r="E17" s="6" t="s">
        <v>1</v>
      </c>
      <c r="F17" s="6" t="s">
        <v>313</v>
      </c>
    </row>
    <row r="18" spans="1:6" x14ac:dyDescent="0.2">
      <c r="A18" s="6" t="s">
        <v>50</v>
      </c>
      <c r="B18" s="7">
        <v>1</v>
      </c>
      <c r="C18" s="7">
        <v>1</v>
      </c>
      <c r="D18" s="7">
        <v>1</v>
      </c>
      <c r="E18" s="6" t="s">
        <v>1</v>
      </c>
      <c r="F18" s="6" t="s">
        <v>314</v>
      </c>
    </row>
    <row r="19" spans="1:6" x14ac:dyDescent="0.2">
      <c r="A19" s="6" t="s">
        <v>52</v>
      </c>
      <c r="B19" s="7">
        <v>1</v>
      </c>
      <c r="C19" s="7">
        <v>1</v>
      </c>
      <c r="D19" s="7">
        <v>1</v>
      </c>
      <c r="E19" s="6" t="s">
        <v>1</v>
      </c>
      <c r="F19" s="6" t="s">
        <v>315</v>
      </c>
    </row>
    <row r="20" spans="1:6" x14ac:dyDescent="0.2">
      <c r="A20" s="6" t="s">
        <v>54</v>
      </c>
      <c r="B20" s="7">
        <v>1</v>
      </c>
      <c r="C20" s="7">
        <v>1</v>
      </c>
      <c r="D20" s="7">
        <v>1</v>
      </c>
      <c r="E20" s="6" t="s">
        <v>1</v>
      </c>
      <c r="F20" s="6" t="s">
        <v>316</v>
      </c>
    </row>
    <row r="21" spans="1:6" x14ac:dyDescent="0.2">
      <c r="A21" s="6" t="s">
        <v>55</v>
      </c>
      <c r="B21" s="7">
        <v>1</v>
      </c>
      <c r="C21" s="7">
        <v>1</v>
      </c>
      <c r="D21" s="7">
        <v>1</v>
      </c>
      <c r="E21" s="6" t="s">
        <v>1</v>
      </c>
      <c r="F21" s="6" t="s">
        <v>317</v>
      </c>
    </row>
    <row r="22" spans="1:6" x14ac:dyDescent="0.2">
      <c r="A22" s="6" t="s">
        <v>57</v>
      </c>
      <c r="B22" s="7">
        <v>1</v>
      </c>
      <c r="C22" s="7">
        <v>1</v>
      </c>
      <c r="D22" s="7">
        <v>1</v>
      </c>
      <c r="E22" s="6" t="s">
        <v>1</v>
      </c>
      <c r="F22" s="6" t="s">
        <v>318</v>
      </c>
    </row>
    <row r="23" spans="1:6" x14ac:dyDescent="0.2">
      <c r="A23" s="6" t="s">
        <v>65</v>
      </c>
      <c r="B23" s="7">
        <v>1</v>
      </c>
      <c r="C23" s="7">
        <v>1</v>
      </c>
      <c r="D23" s="7">
        <v>1</v>
      </c>
      <c r="E23" s="6" t="s">
        <v>1</v>
      </c>
      <c r="F23" s="6" t="s">
        <v>319</v>
      </c>
    </row>
    <row r="24" spans="1:6" x14ac:dyDescent="0.2">
      <c r="A24" s="6" t="s">
        <v>66</v>
      </c>
      <c r="B24" s="7">
        <v>1</v>
      </c>
      <c r="C24" s="7">
        <v>1</v>
      </c>
      <c r="D24" s="7">
        <v>1</v>
      </c>
      <c r="E24" s="6" t="s">
        <v>1</v>
      </c>
      <c r="F24" s="6" t="s">
        <v>320</v>
      </c>
    </row>
    <row r="25" spans="1:6" x14ac:dyDescent="0.2">
      <c r="A25" s="6" t="s">
        <v>70</v>
      </c>
      <c r="B25" s="7">
        <v>1</v>
      </c>
      <c r="C25" s="7">
        <v>1</v>
      </c>
      <c r="D25" s="7">
        <v>1</v>
      </c>
      <c r="E25" s="6" t="s">
        <v>1</v>
      </c>
      <c r="F25" s="6" t="s">
        <v>321</v>
      </c>
    </row>
    <row r="26" spans="1:6" x14ac:dyDescent="0.2">
      <c r="A26" s="6" t="s">
        <v>71</v>
      </c>
      <c r="B26" s="7">
        <v>1</v>
      </c>
      <c r="C26" s="7">
        <v>1</v>
      </c>
      <c r="D26" s="7">
        <v>1</v>
      </c>
      <c r="E26" s="6" t="s">
        <v>1</v>
      </c>
      <c r="F26" s="6" t="s">
        <v>322</v>
      </c>
    </row>
    <row r="27" spans="1:6" x14ac:dyDescent="0.2">
      <c r="A27" s="6" t="s">
        <v>74</v>
      </c>
      <c r="B27" s="7">
        <v>1</v>
      </c>
      <c r="C27" s="7">
        <v>1</v>
      </c>
      <c r="D27" s="7">
        <v>1</v>
      </c>
      <c r="E27" s="6" t="s">
        <v>1</v>
      </c>
      <c r="F27" s="6" t="s">
        <v>323</v>
      </c>
    </row>
    <row r="28" spans="1:6" x14ac:dyDescent="0.2">
      <c r="A28" s="6" t="s">
        <v>75</v>
      </c>
      <c r="B28" s="7">
        <v>1</v>
      </c>
      <c r="C28" s="7">
        <v>1</v>
      </c>
      <c r="D28" s="7">
        <v>1</v>
      </c>
      <c r="E28" s="6" t="s">
        <v>1</v>
      </c>
      <c r="F28" s="6" t="s">
        <v>324</v>
      </c>
    </row>
    <row r="29" spans="1:6" x14ac:dyDescent="0.2">
      <c r="A29" s="6" t="s">
        <v>79</v>
      </c>
      <c r="B29" s="7">
        <v>1</v>
      </c>
      <c r="C29" s="7">
        <v>1</v>
      </c>
      <c r="D29" s="7">
        <v>1</v>
      </c>
      <c r="E29" s="6" t="s">
        <v>1</v>
      </c>
      <c r="F29" s="6" t="s">
        <v>326</v>
      </c>
    </row>
    <row r="30" spans="1:6" x14ac:dyDescent="0.2">
      <c r="A30" s="6" t="s">
        <v>80</v>
      </c>
      <c r="B30" s="7">
        <v>1</v>
      </c>
      <c r="C30" s="7">
        <v>1</v>
      </c>
      <c r="D30" s="7">
        <v>1</v>
      </c>
      <c r="E30" s="6" t="s">
        <v>1</v>
      </c>
      <c r="F30" s="6" t="s">
        <v>327</v>
      </c>
    </row>
    <row r="31" spans="1:6" x14ac:dyDescent="0.2">
      <c r="A31" s="6" t="s">
        <v>81</v>
      </c>
      <c r="B31" s="7">
        <v>1</v>
      </c>
      <c r="C31" s="7">
        <v>1</v>
      </c>
      <c r="D31" s="7">
        <v>1</v>
      </c>
      <c r="E31" s="6" t="s">
        <v>1</v>
      </c>
      <c r="F31" s="6" t="s">
        <v>328</v>
      </c>
    </row>
    <row r="32" spans="1:6" x14ac:dyDescent="0.2">
      <c r="A32" s="6" t="s">
        <v>85</v>
      </c>
      <c r="B32" s="7">
        <v>1</v>
      </c>
      <c r="C32" s="7">
        <v>1</v>
      </c>
      <c r="D32" s="7">
        <v>1</v>
      </c>
      <c r="E32" s="6" t="s">
        <v>1</v>
      </c>
      <c r="F32" s="6" t="s">
        <v>329</v>
      </c>
    </row>
    <row r="33" spans="1:6" x14ac:dyDescent="0.2">
      <c r="A33" s="6" t="s">
        <v>88</v>
      </c>
      <c r="B33" s="7">
        <v>1</v>
      </c>
      <c r="C33" s="7">
        <v>1</v>
      </c>
      <c r="D33" s="7">
        <v>1</v>
      </c>
      <c r="E33" s="6" t="s">
        <v>1</v>
      </c>
      <c r="F33" s="6" t="s">
        <v>330</v>
      </c>
    </row>
    <row r="34" spans="1:6" x14ac:dyDescent="0.2">
      <c r="A34" s="6" t="s">
        <v>89</v>
      </c>
      <c r="B34" s="7">
        <v>1</v>
      </c>
      <c r="C34" s="7">
        <v>1</v>
      </c>
      <c r="D34" s="7">
        <v>1</v>
      </c>
      <c r="E34" s="6" t="s">
        <v>1</v>
      </c>
      <c r="F34" s="6" t="s">
        <v>331</v>
      </c>
    </row>
    <row r="35" spans="1:6" x14ac:dyDescent="0.2">
      <c r="A35" s="6" t="s">
        <v>90</v>
      </c>
      <c r="B35" s="7">
        <v>1</v>
      </c>
      <c r="C35" s="7">
        <v>1</v>
      </c>
      <c r="D35" s="7">
        <v>1</v>
      </c>
      <c r="E35" s="6" t="s">
        <v>1</v>
      </c>
      <c r="F35" s="6" t="s">
        <v>332</v>
      </c>
    </row>
    <row r="36" spans="1:6" x14ac:dyDescent="0.2">
      <c r="A36" s="6" t="s">
        <v>91</v>
      </c>
      <c r="B36" s="7">
        <v>1</v>
      </c>
      <c r="C36" s="7">
        <v>1</v>
      </c>
      <c r="D36" s="7">
        <v>1</v>
      </c>
      <c r="E36" s="6" t="s">
        <v>1</v>
      </c>
      <c r="F36" s="6" t="s">
        <v>333</v>
      </c>
    </row>
    <row r="37" spans="1:6" x14ac:dyDescent="0.2">
      <c r="A37" s="6" t="s">
        <v>94</v>
      </c>
      <c r="B37" s="7">
        <v>1</v>
      </c>
      <c r="C37" s="7">
        <v>1</v>
      </c>
      <c r="D37" s="7">
        <v>1</v>
      </c>
      <c r="E37" s="6" t="s">
        <v>1</v>
      </c>
      <c r="F37" s="6" t="s">
        <v>334</v>
      </c>
    </row>
    <row r="38" spans="1:6" x14ac:dyDescent="0.2">
      <c r="A38" s="6" t="s">
        <v>95</v>
      </c>
      <c r="B38" s="7">
        <v>1</v>
      </c>
      <c r="C38" s="7">
        <v>1</v>
      </c>
      <c r="D38" s="7">
        <v>1</v>
      </c>
      <c r="E38" s="6" t="s">
        <v>1</v>
      </c>
      <c r="F38" s="6" t="s">
        <v>335</v>
      </c>
    </row>
    <row r="39" spans="1:6" x14ac:dyDescent="0.2">
      <c r="A39" s="6" t="s">
        <v>96</v>
      </c>
      <c r="B39" s="7">
        <v>1</v>
      </c>
      <c r="C39" s="7">
        <v>1</v>
      </c>
      <c r="D39" s="7">
        <v>1</v>
      </c>
      <c r="E39" s="6" t="s">
        <v>1</v>
      </c>
      <c r="F39" s="6" t="s">
        <v>336</v>
      </c>
    </row>
    <row r="40" spans="1:6" x14ac:dyDescent="0.2">
      <c r="A40" s="6" t="s">
        <v>97</v>
      </c>
      <c r="B40" s="7">
        <v>1</v>
      </c>
      <c r="C40" s="7">
        <v>1</v>
      </c>
      <c r="D40" s="7">
        <v>1</v>
      </c>
      <c r="E40" s="6" t="s">
        <v>1</v>
      </c>
      <c r="F40" s="6" t="s">
        <v>337</v>
      </c>
    </row>
    <row r="41" spans="1:6" x14ac:dyDescent="0.2">
      <c r="A41" s="6" t="s">
        <v>98</v>
      </c>
      <c r="B41" s="7">
        <v>1</v>
      </c>
      <c r="C41" s="7">
        <v>1</v>
      </c>
      <c r="D41" s="7">
        <v>1</v>
      </c>
      <c r="E41" s="6" t="s">
        <v>1</v>
      </c>
      <c r="F41" s="6" t="s">
        <v>338</v>
      </c>
    </row>
    <row r="42" spans="1:6" x14ac:dyDescent="0.2">
      <c r="A42" s="6" t="s">
        <v>99</v>
      </c>
      <c r="B42" s="7">
        <v>1</v>
      </c>
      <c r="C42" s="7">
        <v>1</v>
      </c>
      <c r="D42" s="7">
        <v>1</v>
      </c>
      <c r="E42" s="6" t="s">
        <v>1</v>
      </c>
      <c r="F42" s="6" t="s">
        <v>339</v>
      </c>
    </row>
    <row r="43" spans="1:6" x14ac:dyDescent="0.2">
      <c r="A43" s="6" t="s">
        <v>100</v>
      </c>
      <c r="B43" s="7">
        <v>1</v>
      </c>
      <c r="C43" s="7">
        <v>1</v>
      </c>
      <c r="D43" s="7">
        <v>1</v>
      </c>
      <c r="E43" s="6" t="s">
        <v>1</v>
      </c>
      <c r="F43" s="6" t="s">
        <v>340</v>
      </c>
    </row>
    <row r="44" spans="1:6" x14ac:dyDescent="0.2">
      <c r="A44" s="6" t="s">
        <v>101</v>
      </c>
      <c r="B44" s="7">
        <v>1</v>
      </c>
      <c r="C44" s="7">
        <v>1</v>
      </c>
      <c r="D44" s="7">
        <v>1</v>
      </c>
      <c r="E44" s="6" t="s">
        <v>1</v>
      </c>
      <c r="F44" s="6" t="s">
        <v>341</v>
      </c>
    </row>
    <row r="45" spans="1:6" x14ac:dyDescent="0.2">
      <c r="A45" s="6" t="s">
        <v>102</v>
      </c>
      <c r="B45" s="7">
        <v>1</v>
      </c>
      <c r="C45" s="7">
        <v>1</v>
      </c>
      <c r="D45" s="7">
        <v>1</v>
      </c>
      <c r="E45" s="6" t="s">
        <v>1</v>
      </c>
      <c r="F45" s="6" t="s">
        <v>342</v>
      </c>
    </row>
    <row r="46" spans="1:6" x14ac:dyDescent="0.2">
      <c r="A46" s="6" t="s">
        <v>104</v>
      </c>
      <c r="B46" s="7">
        <v>1</v>
      </c>
      <c r="C46" s="7">
        <v>1</v>
      </c>
      <c r="D46" s="7">
        <v>1</v>
      </c>
      <c r="E46" s="6" t="s">
        <v>1</v>
      </c>
      <c r="F46" s="6" t="s">
        <v>343</v>
      </c>
    </row>
    <row r="47" spans="1:6" x14ac:dyDescent="0.2">
      <c r="A47" s="6" t="s">
        <v>105</v>
      </c>
      <c r="B47" s="7">
        <v>1</v>
      </c>
      <c r="C47" s="7">
        <v>1</v>
      </c>
      <c r="D47" s="7">
        <v>1</v>
      </c>
      <c r="E47" s="6" t="s">
        <v>1</v>
      </c>
      <c r="F47" s="6" t="s">
        <v>344</v>
      </c>
    </row>
    <row r="48" spans="1:6" x14ac:dyDescent="0.2">
      <c r="A48" s="6" t="s">
        <v>106</v>
      </c>
      <c r="B48" s="7">
        <v>1</v>
      </c>
      <c r="C48" s="7">
        <v>1</v>
      </c>
      <c r="D48" s="7">
        <v>1</v>
      </c>
      <c r="E48" s="6" t="s">
        <v>1</v>
      </c>
      <c r="F48" s="6" t="s">
        <v>345</v>
      </c>
    </row>
    <row r="49" spans="1:6" x14ac:dyDescent="0.2">
      <c r="A49" s="6" t="s">
        <v>107</v>
      </c>
      <c r="B49" s="7">
        <v>1</v>
      </c>
      <c r="C49" s="7">
        <v>1</v>
      </c>
      <c r="D49" s="7">
        <v>1</v>
      </c>
      <c r="E49" s="6" t="s">
        <v>1</v>
      </c>
      <c r="F49" s="6" t="s">
        <v>346</v>
      </c>
    </row>
    <row r="50" spans="1:6" x14ac:dyDescent="0.2">
      <c r="A50" s="6" t="s">
        <v>108</v>
      </c>
      <c r="B50" s="7">
        <v>1</v>
      </c>
      <c r="C50" s="7">
        <v>1</v>
      </c>
      <c r="D50" s="7">
        <v>1</v>
      </c>
      <c r="E50" s="6" t="s">
        <v>1</v>
      </c>
      <c r="F50" s="6" t="s">
        <v>347</v>
      </c>
    </row>
    <row r="51" spans="1:6" x14ac:dyDescent="0.2">
      <c r="A51" s="6" t="s">
        <v>109</v>
      </c>
      <c r="B51" s="7">
        <v>1</v>
      </c>
      <c r="C51" s="7">
        <v>1</v>
      </c>
      <c r="D51" s="7">
        <v>1</v>
      </c>
      <c r="E51" s="6" t="s">
        <v>1</v>
      </c>
      <c r="F51" s="6" t="s">
        <v>348</v>
      </c>
    </row>
    <row r="52" spans="1:6" x14ac:dyDescent="0.2">
      <c r="A52" s="6" t="s">
        <v>110</v>
      </c>
      <c r="B52" s="7">
        <v>1</v>
      </c>
      <c r="C52" s="7">
        <v>1</v>
      </c>
      <c r="D52" s="7">
        <v>1</v>
      </c>
      <c r="E52" s="6" t="s">
        <v>1</v>
      </c>
      <c r="F52" s="6" t="s">
        <v>349</v>
      </c>
    </row>
    <row r="53" spans="1:6" x14ac:dyDescent="0.2">
      <c r="A53" s="6" t="s">
        <v>111</v>
      </c>
      <c r="B53" s="7">
        <v>1</v>
      </c>
      <c r="C53" s="7">
        <v>1</v>
      </c>
      <c r="D53" s="7">
        <v>1</v>
      </c>
      <c r="E53" s="6" t="s">
        <v>1</v>
      </c>
      <c r="F53" s="6" t="s">
        <v>350</v>
      </c>
    </row>
    <row r="54" spans="1:6" x14ac:dyDescent="0.2">
      <c r="A54" s="6" t="s">
        <v>113</v>
      </c>
      <c r="B54" s="7">
        <v>0</v>
      </c>
      <c r="C54" s="7">
        <v>1</v>
      </c>
      <c r="D54" s="7">
        <v>1</v>
      </c>
      <c r="E54" s="6" t="s">
        <v>1</v>
      </c>
      <c r="F54" s="6" t="s">
        <v>351</v>
      </c>
    </row>
    <row r="55" spans="1:6" x14ac:dyDescent="0.2">
      <c r="A55" s="6" t="s">
        <v>114</v>
      </c>
      <c r="B55" s="7">
        <v>1</v>
      </c>
      <c r="C55" s="7">
        <v>1</v>
      </c>
      <c r="D55" s="7">
        <v>1</v>
      </c>
      <c r="E55" s="6" t="s">
        <v>1</v>
      </c>
      <c r="F55" s="6" t="s">
        <v>352</v>
      </c>
    </row>
    <row r="56" spans="1:6" x14ac:dyDescent="0.2">
      <c r="A56" s="6" t="s">
        <v>116</v>
      </c>
      <c r="B56" s="7">
        <v>1</v>
      </c>
      <c r="C56" s="7">
        <v>1</v>
      </c>
      <c r="D56" s="7">
        <v>1</v>
      </c>
      <c r="E56" s="6" t="s">
        <v>1</v>
      </c>
      <c r="F56" s="6" t="s">
        <v>353</v>
      </c>
    </row>
    <row r="57" spans="1:6" x14ac:dyDescent="0.2">
      <c r="A57" s="6" t="s">
        <v>118</v>
      </c>
      <c r="B57" s="7">
        <v>1</v>
      </c>
      <c r="C57" s="7">
        <v>1</v>
      </c>
      <c r="D57" s="7">
        <v>1</v>
      </c>
      <c r="E57" s="6" t="s">
        <v>1</v>
      </c>
      <c r="F57" s="6" t="s">
        <v>259</v>
      </c>
    </row>
    <row r="58" spans="1:6" x14ac:dyDescent="0.2">
      <c r="A58" s="6" t="s">
        <v>120</v>
      </c>
      <c r="B58" s="7">
        <v>1</v>
      </c>
      <c r="C58" s="7">
        <v>1</v>
      </c>
      <c r="D58" s="7">
        <v>1</v>
      </c>
      <c r="E58" s="6" t="s">
        <v>1</v>
      </c>
      <c r="F58" s="6" t="s">
        <v>354</v>
      </c>
    </row>
    <row r="59" spans="1:6" x14ac:dyDescent="0.2">
      <c r="A59" s="6" t="s">
        <v>123</v>
      </c>
      <c r="B59" s="7">
        <v>1</v>
      </c>
      <c r="C59" s="7">
        <v>1</v>
      </c>
      <c r="D59" s="7">
        <v>1</v>
      </c>
      <c r="E59" s="6" t="s">
        <v>1</v>
      </c>
      <c r="F59" s="6" t="s">
        <v>355</v>
      </c>
    </row>
    <row r="60" spans="1:6" x14ac:dyDescent="0.2">
      <c r="A60" s="6" t="s">
        <v>124</v>
      </c>
      <c r="B60" s="7">
        <v>1</v>
      </c>
      <c r="C60" s="7">
        <v>1</v>
      </c>
      <c r="D60" s="7">
        <v>1</v>
      </c>
      <c r="E60" s="6" t="s">
        <v>1</v>
      </c>
      <c r="F60" s="6" t="s">
        <v>356</v>
      </c>
    </row>
    <row r="61" spans="1:6" x14ac:dyDescent="0.2">
      <c r="A61" s="6" t="s">
        <v>126</v>
      </c>
      <c r="B61" s="7">
        <v>1</v>
      </c>
      <c r="C61" s="7">
        <v>1</v>
      </c>
      <c r="D61" s="7">
        <v>1</v>
      </c>
      <c r="E61" s="6" t="s">
        <v>1</v>
      </c>
      <c r="F61" s="6" t="s">
        <v>357</v>
      </c>
    </row>
    <row r="62" spans="1:6" x14ac:dyDescent="0.2">
      <c r="A62" s="6" t="s">
        <v>127</v>
      </c>
      <c r="B62" s="7">
        <v>1</v>
      </c>
      <c r="C62" s="7">
        <v>1</v>
      </c>
      <c r="D62" s="7">
        <v>1</v>
      </c>
      <c r="E62" s="6" t="s">
        <v>1</v>
      </c>
      <c r="F62" s="6" t="s">
        <v>358</v>
      </c>
    </row>
    <row r="63" spans="1:6" x14ac:dyDescent="0.2">
      <c r="A63" s="6" t="s">
        <v>128</v>
      </c>
      <c r="B63" s="7">
        <v>1</v>
      </c>
      <c r="C63" s="7">
        <v>1</v>
      </c>
      <c r="D63" s="7">
        <v>1</v>
      </c>
      <c r="E63" s="6" t="s">
        <v>1</v>
      </c>
      <c r="F63" s="6" t="s">
        <v>359</v>
      </c>
    </row>
    <row r="64" spans="1:6" x14ac:dyDescent="0.2">
      <c r="A64" s="6" t="s">
        <v>129</v>
      </c>
      <c r="B64" s="7">
        <v>1</v>
      </c>
      <c r="C64" s="7">
        <v>1</v>
      </c>
      <c r="D64" s="7">
        <v>1</v>
      </c>
      <c r="E64" s="6" t="s">
        <v>1</v>
      </c>
      <c r="F64" s="6" t="s">
        <v>360</v>
      </c>
    </row>
    <row r="65" spans="1:6" x14ac:dyDescent="0.2">
      <c r="A65" s="6" t="s">
        <v>131</v>
      </c>
      <c r="B65" s="7">
        <v>1</v>
      </c>
      <c r="C65" s="7">
        <v>1</v>
      </c>
      <c r="D65" s="7">
        <v>1</v>
      </c>
      <c r="E65" s="6" t="s">
        <v>1</v>
      </c>
      <c r="F65" s="6" t="s">
        <v>361</v>
      </c>
    </row>
    <row r="66" spans="1:6" x14ac:dyDescent="0.2">
      <c r="A66" s="6" t="s">
        <v>134</v>
      </c>
      <c r="B66" s="7">
        <v>1</v>
      </c>
      <c r="C66" s="7">
        <v>1</v>
      </c>
      <c r="D66" s="7">
        <v>1</v>
      </c>
      <c r="E66" s="6" t="s">
        <v>1</v>
      </c>
      <c r="F66" s="6" t="s">
        <v>362</v>
      </c>
    </row>
    <row r="67" spans="1:6" x14ac:dyDescent="0.2">
      <c r="A67" s="6" t="s">
        <v>135</v>
      </c>
      <c r="B67" s="7">
        <v>1</v>
      </c>
      <c r="C67" s="7">
        <v>1</v>
      </c>
      <c r="D67" s="7">
        <v>1</v>
      </c>
      <c r="E67" s="6" t="s">
        <v>1</v>
      </c>
      <c r="F67" s="6" t="s">
        <v>363</v>
      </c>
    </row>
    <row r="68" spans="1:6" x14ac:dyDescent="0.2">
      <c r="A68" s="6" t="s">
        <v>136</v>
      </c>
      <c r="B68" s="7">
        <v>1</v>
      </c>
      <c r="C68" s="7">
        <v>1</v>
      </c>
      <c r="D68" s="7">
        <v>1</v>
      </c>
      <c r="E68" s="6" t="s">
        <v>1</v>
      </c>
      <c r="F68" s="6" t="s">
        <v>267</v>
      </c>
    </row>
    <row r="69" spans="1:6" x14ac:dyDescent="0.2">
      <c r="A69" s="6" t="s">
        <v>143</v>
      </c>
      <c r="B69" s="7">
        <v>1</v>
      </c>
      <c r="C69" s="7">
        <v>1</v>
      </c>
      <c r="D69" s="7">
        <v>1</v>
      </c>
      <c r="E69" s="6" t="s">
        <v>1</v>
      </c>
      <c r="F69" s="6" t="s">
        <v>364</v>
      </c>
    </row>
    <row r="70" spans="1:6" x14ac:dyDescent="0.2">
      <c r="A70" s="6" t="s">
        <v>144</v>
      </c>
      <c r="B70" s="7">
        <v>1</v>
      </c>
      <c r="C70" s="7">
        <v>1</v>
      </c>
      <c r="D70" s="7">
        <v>1</v>
      </c>
      <c r="E70" s="6" t="s">
        <v>1</v>
      </c>
      <c r="F70" s="6" t="s">
        <v>365</v>
      </c>
    </row>
    <row r="71" spans="1:6" x14ac:dyDescent="0.2">
      <c r="A71" s="6" t="s">
        <v>145</v>
      </c>
      <c r="B71" s="7">
        <v>1</v>
      </c>
      <c r="C71" s="7">
        <v>1</v>
      </c>
      <c r="D71" s="7">
        <v>1</v>
      </c>
      <c r="E71" s="6" t="s">
        <v>1</v>
      </c>
      <c r="F71" s="6" t="s">
        <v>366</v>
      </c>
    </row>
    <row r="72" spans="1:6" x14ac:dyDescent="0.2">
      <c r="A72" s="6" t="s">
        <v>146</v>
      </c>
      <c r="B72" s="7">
        <v>1</v>
      </c>
      <c r="C72" s="7">
        <v>0</v>
      </c>
      <c r="D72" s="7">
        <v>0</v>
      </c>
      <c r="E72" s="6" t="s">
        <v>1</v>
      </c>
      <c r="F72" s="6" t="s">
        <v>274</v>
      </c>
    </row>
    <row r="73" spans="1:6" x14ac:dyDescent="0.2">
      <c r="A73" s="6" t="s">
        <v>147</v>
      </c>
      <c r="B73" s="7">
        <v>1</v>
      </c>
      <c r="C73" s="7">
        <v>1</v>
      </c>
      <c r="D73" s="7">
        <v>1</v>
      </c>
      <c r="E73" s="6" t="s">
        <v>1</v>
      </c>
      <c r="F73" s="6" t="s">
        <v>367</v>
      </c>
    </row>
    <row r="74" spans="1:6" x14ac:dyDescent="0.2">
      <c r="A74" s="6" t="s">
        <v>148</v>
      </c>
      <c r="B74" s="7">
        <v>1</v>
      </c>
      <c r="C74" s="7">
        <v>1</v>
      </c>
      <c r="D74" s="7">
        <v>1</v>
      </c>
      <c r="E74" s="6" t="s">
        <v>1</v>
      </c>
      <c r="F74" s="6" t="s">
        <v>368</v>
      </c>
    </row>
    <row r="75" spans="1:6" x14ac:dyDescent="0.2">
      <c r="A75" s="6" t="s">
        <v>150</v>
      </c>
      <c r="B75" s="7">
        <v>1</v>
      </c>
      <c r="C75" s="7">
        <v>1</v>
      </c>
      <c r="D75" s="7">
        <v>1</v>
      </c>
      <c r="E75" s="6" t="s">
        <v>1</v>
      </c>
      <c r="F75" s="6" t="s">
        <v>369</v>
      </c>
    </row>
    <row r="76" spans="1:6" x14ac:dyDescent="0.2">
      <c r="A76" s="6" t="s">
        <v>151</v>
      </c>
      <c r="B76" s="7">
        <v>1</v>
      </c>
      <c r="C76" s="7">
        <v>1</v>
      </c>
      <c r="D76" s="7">
        <v>1</v>
      </c>
      <c r="E76" s="6" t="s">
        <v>1</v>
      </c>
      <c r="F76" s="6" t="s">
        <v>370</v>
      </c>
    </row>
    <row r="77" spans="1:6" x14ac:dyDescent="0.2">
      <c r="A77" s="6" t="s">
        <v>152</v>
      </c>
      <c r="B77" s="7">
        <v>0</v>
      </c>
      <c r="C77" s="7">
        <v>1</v>
      </c>
      <c r="D77" s="7">
        <v>1</v>
      </c>
      <c r="E77" s="6" t="s">
        <v>1</v>
      </c>
      <c r="F77" s="6" t="s">
        <v>371</v>
      </c>
    </row>
    <row r="78" spans="1:6" x14ac:dyDescent="0.2">
      <c r="A78" s="6" t="s">
        <v>153</v>
      </c>
      <c r="B78" s="7">
        <v>1</v>
      </c>
      <c r="C78" s="7">
        <v>1</v>
      </c>
      <c r="D78" s="7">
        <v>1</v>
      </c>
      <c r="E78" s="6" t="s">
        <v>1</v>
      </c>
      <c r="F78" s="6" t="s">
        <v>372</v>
      </c>
    </row>
    <row r="79" spans="1:6" x14ac:dyDescent="0.2">
      <c r="A79" s="6" t="s">
        <v>154</v>
      </c>
      <c r="B79" s="7">
        <v>0</v>
      </c>
      <c r="C79" s="7">
        <v>1</v>
      </c>
      <c r="D79" s="7">
        <v>1</v>
      </c>
      <c r="E79" s="6" t="s">
        <v>1</v>
      </c>
      <c r="F79" s="6" t="s">
        <v>373</v>
      </c>
    </row>
    <row r="80" spans="1:6" x14ac:dyDescent="0.2">
      <c r="A80" s="6" t="s">
        <v>155</v>
      </c>
      <c r="B80" s="7">
        <v>1</v>
      </c>
      <c r="C80" s="7">
        <v>1</v>
      </c>
      <c r="D80" s="7">
        <v>1</v>
      </c>
      <c r="E80" s="6" t="s">
        <v>1</v>
      </c>
      <c r="F80" s="6" t="s">
        <v>374</v>
      </c>
    </row>
    <row r="81" spans="1:6" x14ac:dyDescent="0.2">
      <c r="A81" s="6" t="s">
        <v>157</v>
      </c>
      <c r="B81" s="7">
        <v>1</v>
      </c>
      <c r="C81" s="7">
        <v>1</v>
      </c>
      <c r="D81" s="7">
        <v>1</v>
      </c>
      <c r="E81" s="6" t="s">
        <v>1</v>
      </c>
      <c r="F81" s="6" t="s">
        <v>375</v>
      </c>
    </row>
    <row r="82" spans="1:6" x14ac:dyDescent="0.2">
      <c r="A82" s="6" t="s">
        <v>158</v>
      </c>
      <c r="B82" s="7">
        <v>1</v>
      </c>
      <c r="C82" s="7">
        <v>1</v>
      </c>
      <c r="D82" s="7">
        <v>1</v>
      </c>
      <c r="E82" s="6" t="s">
        <v>1</v>
      </c>
      <c r="F82" s="6" t="s">
        <v>277</v>
      </c>
    </row>
    <row r="83" spans="1:6" x14ac:dyDescent="0.2">
      <c r="A83" s="6" t="s">
        <v>159</v>
      </c>
      <c r="B83" s="7">
        <v>1</v>
      </c>
      <c r="C83" s="7">
        <v>1</v>
      </c>
      <c r="D83" s="7">
        <v>1</v>
      </c>
      <c r="E83" s="6" t="s">
        <v>1</v>
      </c>
      <c r="F83" s="6" t="s">
        <v>278</v>
      </c>
    </row>
    <row r="84" spans="1:6" x14ac:dyDescent="0.2">
      <c r="A84" s="6" t="s">
        <v>164</v>
      </c>
      <c r="B84" s="7">
        <v>1</v>
      </c>
      <c r="C84" s="7">
        <v>1</v>
      </c>
      <c r="D84" s="7">
        <v>1</v>
      </c>
      <c r="E84" s="6" t="s">
        <v>1</v>
      </c>
      <c r="F84" s="6" t="s">
        <v>376</v>
      </c>
    </row>
    <row r="85" spans="1:6" x14ac:dyDescent="0.2">
      <c r="A85" s="6" t="s">
        <v>165</v>
      </c>
      <c r="B85" s="7">
        <v>0</v>
      </c>
      <c r="C85" s="7">
        <v>1</v>
      </c>
      <c r="D85" s="7">
        <v>1</v>
      </c>
      <c r="E85" s="6" t="s">
        <v>1</v>
      </c>
      <c r="F85" s="6" t="s">
        <v>377</v>
      </c>
    </row>
    <row r="86" spans="1:6" x14ac:dyDescent="0.2">
      <c r="A86" s="6" t="s">
        <v>171</v>
      </c>
      <c r="B86" s="7">
        <v>1</v>
      </c>
      <c r="C86" s="7">
        <v>1</v>
      </c>
      <c r="D86" s="7">
        <v>1</v>
      </c>
      <c r="E86" s="6" t="s">
        <v>1</v>
      </c>
      <c r="F86" s="6" t="s">
        <v>378</v>
      </c>
    </row>
    <row r="87" spans="1:6" x14ac:dyDescent="0.2">
      <c r="A87" s="6" t="s">
        <v>172</v>
      </c>
      <c r="B87" s="7">
        <v>1</v>
      </c>
      <c r="C87" s="7">
        <v>1</v>
      </c>
      <c r="D87" s="7">
        <v>1</v>
      </c>
      <c r="E87" s="6" t="s">
        <v>1</v>
      </c>
      <c r="F87" s="6" t="s">
        <v>379</v>
      </c>
    </row>
    <row r="88" spans="1:6" x14ac:dyDescent="0.2">
      <c r="A88" s="6" t="s">
        <v>173</v>
      </c>
      <c r="B88" s="7">
        <v>1</v>
      </c>
      <c r="C88" s="7">
        <v>1</v>
      </c>
      <c r="D88" s="7">
        <v>1</v>
      </c>
      <c r="E88" s="6" t="s">
        <v>1</v>
      </c>
      <c r="F88" s="6" t="s">
        <v>380</v>
      </c>
    </row>
    <row r="89" spans="1:6" x14ac:dyDescent="0.2">
      <c r="A89" s="6" t="s">
        <v>175</v>
      </c>
      <c r="B89" s="7">
        <v>1</v>
      </c>
      <c r="C89" s="7">
        <v>1</v>
      </c>
      <c r="D89" s="7">
        <v>1</v>
      </c>
      <c r="E89" s="6" t="s">
        <v>1</v>
      </c>
      <c r="F89" s="6" t="s">
        <v>381</v>
      </c>
    </row>
    <row r="90" spans="1:6" x14ac:dyDescent="0.2">
      <c r="A90" s="6" t="s">
        <v>176</v>
      </c>
      <c r="B90" s="7">
        <v>1</v>
      </c>
      <c r="C90" s="7">
        <v>1</v>
      </c>
      <c r="D90" s="7">
        <v>1</v>
      </c>
      <c r="E90" s="6" t="s">
        <v>1</v>
      </c>
      <c r="F90" s="6" t="s">
        <v>382</v>
      </c>
    </row>
    <row r="91" spans="1:6" x14ac:dyDescent="0.2">
      <c r="A91" s="6" t="s">
        <v>177</v>
      </c>
      <c r="B91" s="7">
        <v>1</v>
      </c>
      <c r="C91" s="7">
        <v>1</v>
      </c>
      <c r="D91" s="7">
        <v>1</v>
      </c>
      <c r="E91" s="6" t="s">
        <v>1</v>
      </c>
      <c r="F91" s="6" t="s">
        <v>383</v>
      </c>
    </row>
    <row r="92" spans="1:6" x14ac:dyDescent="0.2">
      <c r="A92" s="6" t="s">
        <v>180</v>
      </c>
      <c r="B92" s="7">
        <v>1</v>
      </c>
      <c r="C92" s="7">
        <v>1</v>
      </c>
      <c r="D92" s="7">
        <v>1</v>
      </c>
      <c r="E92" s="6" t="s">
        <v>1</v>
      </c>
      <c r="F92" s="6" t="s">
        <v>384</v>
      </c>
    </row>
    <row r="93" spans="1:6" x14ac:dyDescent="0.2">
      <c r="A93" s="6" t="s">
        <v>182</v>
      </c>
      <c r="B93" s="7">
        <v>1</v>
      </c>
      <c r="C93" s="7">
        <v>1</v>
      </c>
      <c r="D93" s="7">
        <v>1</v>
      </c>
      <c r="E93" s="6" t="s">
        <v>1</v>
      </c>
      <c r="F93" s="6" t="s">
        <v>385</v>
      </c>
    </row>
    <row r="94" spans="1:6" x14ac:dyDescent="0.2">
      <c r="A94" s="6" t="s">
        <v>185</v>
      </c>
      <c r="B94" s="7">
        <v>1</v>
      </c>
      <c r="C94" s="7">
        <v>1</v>
      </c>
      <c r="D94" s="7">
        <v>1</v>
      </c>
      <c r="E94" s="6" t="s">
        <v>1</v>
      </c>
      <c r="F94" s="6" t="s">
        <v>386</v>
      </c>
    </row>
    <row r="95" spans="1:6" x14ac:dyDescent="0.2">
      <c r="A95" s="6" t="s">
        <v>186</v>
      </c>
      <c r="B95" s="7">
        <v>1</v>
      </c>
      <c r="C95" s="7">
        <v>1</v>
      </c>
      <c r="D95" s="7">
        <v>1</v>
      </c>
      <c r="E95" s="6" t="s">
        <v>1</v>
      </c>
      <c r="F95" s="6" t="s">
        <v>387</v>
      </c>
    </row>
    <row r="96" spans="1:6" x14ac:dyDescent="0.2">
      <c r="A96" s="6" t="s">
        <v>187</v>
      </c>
      <c r="B96" s="7">
        <v>1</v>
      </c>
      <c r="C96" s="7">
        <v>1</v>
      </c>
      <c r="D96" s="7">
        <v>1</v>
      </c>
      <c r="E96" s="6" t="s">
        <v>1</v>
      </c>
      <c r="F96" s="6" t="s">
        <v>388</v>
      </c>
    </row>
    <row r="97" spans="1:6" x14ac:dyDescent="0.2">
      <c r="A97" s="6" t="s">
        <v>188</v>
      </c>
      <c r="B97" s="7">
        <v>1</v>
      </c>
      <c r="C97" s="7">
        <v>1</v>
      </c>
      <c r="D97" s="7">
        <v>1</v>
      </c>
      <c r="E97" s="6" t="s">
        <v>1</v>
      </c>
      <c r="F97" s="6" t="s">
        <v>389</v>
      </c>
    </row>
    <row r="98" spans="1:6" x14ac:dyDescent="0.2">
      <c r="A98" s="6" t="s">
        <v>189</v>
      </c>
      <c r="B98" s="7">
        <v>1</v>
      </c>
      <c r="C98" s="7">
        <v>1</v>
      </c>
      <c r="D98" s="7">
        <v>1</v>
      </c>
      <c r="E98" s="6" t="s">
        <v>1</v>
      </c>
      <c r="F98" s="6" t="s">
        <v>390</v>
      </c>
    </row>
    <row r="99" spans="1:6" x14ac:dyDescent="0.2">
      <c r="A99" s="6" t="s">
        <v>45</v>
      </c>
      <c r="B99" s="7">
        <v>0</v>
      </c>
      <c r="C99" s="7">
        <v>1</v>
      </c>
      <c r="D99" s="7">
        <v>1</v>
      </c>
      <c r="E99" s="6" t="s">
        <v>46</v>
      </c>
      <c r="F99" s="6" t="s">
        <v>230</v>
      </c>
    </row>
    <row r="100" spans="1:6" x14ac:dyDescent="0.2">
      <c r="A100" s="6" t="s">
        <v>11</v>
      </c>
      <c r="B100" s="7">
        <v>0</v>
      </c>
      <c r="C100" s="7">
        <v>1</v>
      </c>
      <c r="D100" s="7">
        <v>1</v>
      </c>
      <c r="E100" s="6" t="s">
        <v>795</v>
      </c>
      <c r="F100" s="6" t="s">
        <v>205</v>
      </c>
    </row>
    <row r="101" spans="1:6" x14ac:dyDescent="0.2">
      <c r="A101" s="6" t="s">
        <v>15</v>
      </c>
      <c r="B101" s="7">
        <v>0</v>
      </c>
      <c r="C101" s="7">
        <v>1</v>
      </c>
      <c r="D101" s="7">
        <v>1</v>
      </c>
      <c r="E101" s="6" t="s">
        <v>16</v>
      </c>
      <c r="F101" s="6" t="s">
        <v>208</v>
      </c>
    </row>
    <row r="102" spans="1:6" x14ac:dyDescent="0.2">
      <c r="A102" s="6" t="s">
        <v>20</v>
      </c>
      <c r="B102" s="7">
        <v>1</v>
      </c>
      <c r="C102" s="7">
        <v>1</v>
      </c>
      <c r="D102" s="7">
        <v>1</v>
      </c>
      <c r="E102" s="6" t="s">
        <v>16</v>
      </c>
      <c r="F102" s="6" t="s">
        <v>307</v>
      </c>
    </row>
    <row r="103" spans="1:6" x14ac:dyDescent="0.2">
      <c r="A103" s="6" t="s">
        <v>29</v>
      </c>
      <c r="B103" s="7">
        <v>1</v>
      </c>
      <c r="C103" s="7">
        <v>1</v>
      </c>
      <c r="D103" s="7">
        <v>1</v>
      </c>
      <c r="E103" s="6" t="s">
        <v>16</v>
      </c>
      <c r="F103" s="6" t="s">
        <v>216</v>
      </c>
    </row>
    <row r="104" spans="1:6" x14ac:dyDescent="0.2">
      <c r="A104" s="6" t="s">
        <v>30</v>
      </c>
      <c r="B104" s="7">
        <v>0</v>
      </c>
      <c r="C104" s="7">
        <v>1</v>
      </c>
      <c r="D104" s="7">
        <v>1</v>
      </c>
      <c r="E104" s="6" t="s">
        <v>16</v>
      </c>
      <c r="F104" s="6" t="s">
        <v>217</v>
      </c>
    </row>
    <row r="105" spans="1:6" x14ac:dyDescent="0.2">
      <c r="A105" s="6" t="s">
        <v>31</v>
      </c>
      <c r="B105" s="7">
        <v>1</v>
      </c>
      <c r="C105" s="7">
        <v>0</v>
      </c>
      <c r="D105" s="7">
        <v>0</v>
      </c>
      <c r="E105" s="6" t="s">
        <v>16</v>
      </c>
      <c r="F105" s="6" t="s">
        <v>218</v>
      </c>
    </row>
    <row r="106" spans="1:6" x14ac:dyDescent="0.2">
      <c r="A106" s="6" t="s">
        <v>34</v>
      </c>
      <c r="B106" s="7">
        <v>1</v>
      </c>
      <c r="C106" s="7">
        <v>1</v>
      </c>
      <c r="D106" s="7">
        <v>1</v>
      </c>
      <c r="E106" s="6" t="s">
        <v>16</v>
      </c>
      <c r="F106" s="6" t="s">
        <v>220</v>
      </c>
    </row>
    <row r="107" spans="1:6" x14ac:dyDescent="0.2">
      <c r="A107" s="6" t="s">
        <v>72</v>
      </c>
      <c r="B107" s="7">
        <v>1</v>
      </c>
      <c r="C107" s="7">
        <v>0</v>
      </c>
      <c r="D107" s="7">
        <v>0</v>
      </c>
      <c r="E107" s="6" t="s">
        <v>16</v>
      </c>
      <c r="F107" s="6" t="s">
        <v>244</v>
      </c>
    </row>
    <row r="108" spans="1:6" x14ac:dyDescent="0.2">
      <c r="A108" s="6" t="s">
        <v>76</v>
      </c>
      <c r="B108" s="7">
        <v>1</v>
      </c>
      <c r="C108" s="7">
        <v>1</v>
      </c>
      <c r="D108" s="7">
        <v>1</v>
      </c>
      <c r="E108" s="6" t="s">
        <v>16</v>
      </c>
      <c r="F108" s="6" t="s">
        <v>246</v>
      </c>
    </row>
    <row r="109" spans="1:6" x14ac:dyDescent="0.2">
      <c r="A109" s="6" t="s">
        <v>77</v>
      </c>
      <c r="B109" s="7">
        <v>1</v>
      </c>
      <c r="C109" s="7">
        <v>1</v>
      </c>
      <c r="D109" s="7">
        <v>1</v>
      </c>
      <c r="E109" s="6" t="s">
        <v>16</v>
      </c>
      <c r="F109" s="6" t="s">
        <v>325</v>
      </c>
    </row>
    <row r="110" spans="1:6" x14ac:dyDescent="0.2">
      <c r="A110" s="6" t="s">
        <v>103</v>
      </c>
      <c r="B110" s="7">
        <v>1</v>
      </c>
      <c r="C110" s="7">
        <v>0</v>
      </c>
      <c r="D110" s="7">
        <v>0</v>
      </c>
      <c r="E110" s="6" t="s">
        <v>16</v>
      </c>
      <c r="F110" s="6" t="s">
        <v>255</v>
      </c>
    </row>
    <row r="111" spans="1:6" x14ac:dyDescent="0.2">
      <c r="A111" s="6" t="s">
        <v>112</v>
      </c>
      <c r="B111" s="7">
        <v>1</v>
      </c>
      <c r="C111" s="7">
        <v>1</v>
      </c>
      <c r="D111" s="7">
        <v>1</v>
      </c>
      <c r="E111" s="6" t="s">
        <v>16</v>
      </c>
      <c r="F111" s="6" t="s">
        <v>256</v>
      </c>
    </row>
    <row r="112" spans="1:6" x14ac:dyDescent="0.2">
      <c r="A112" s="6" t="s">
        <v>125</v>
      </c>
      <c r="B112" s="7">
        <v>0</v>
      </c>
      <c r="C112" s="7">
        <v>1</v>
      </c>
      <c r="D112" s="7">
        <v>1</v>
      </c>
      <c r="E112" s="6" t="s">
        <v>16</v>
      </c>
      <c r="F112" s="6" t="s">
        <v>263</v>
      </c>
    </row>
    <row r="113" spans="1:6" x14ac:dyDescent="0.2">
      <c r="A113" s="6" t="s">
        <v>181</v>
      </c>
      <c r="B113" s="7">
        <v>1</v>
      </c>
      <c r="C113" s="7">
        <v>1</v>
      </c>
      <c r="D113" s="7">
        <v>1</v>
      </c>
      <c r="E113" s="6" t="s">
        <v>16</v>
      </c>
      <c r="F113" s="6" t="s">
        <v>290</v>
      </c>
    </row>
    <row r="114" spans="1:6" x14ac:dyDescent="0.2">
      <c r="A114" s="6" t="s">
        <v>196</v>
      </c>
      <c r="B114" s="7">
        <v>1</v>
      </c>
      <c r="C114" s="7">
        <v>0</v>
      </c>
      <c r="D114" s="7">
        <v>0</v>
      </c>
      <c r="E114" s="6" t="s">
        <v>16</v>
      </c>
      <c r="F114" s="6" t="s">
        <v>299</v>
      </c>
    </row>
    <row r="115" spans="1:6" x14ac:dyDescent="0.2">
      <c r="A115" s="6" t="s">
        <v>391</v>
      </c>
      <c r="B115" s="7">
        <v>0</v>
      </c>
      <c r="C115" s="7">
        <v>1</v>
      </c>
      <c r="D115" s="7">
        <v>1</v>
      </c>
      <c r="E115" s="6" t="s">
        <v>3</v>
      </c>
      <c r="F115" s="6" t="s">
        <v>392</v>
      </c>
    </row>
    <row r="116" spans="1:6" x14ac:dyDescent="0.2">
      <c r="A116" s="6" t="s">
        <v>393</v>
      </c>
      <c r="B116" s="7">
        <v>1</v>
      </c>
      <c r="C116" s="7">
        <v>1</v>
      </c>
      <c r="D116" s="7">
        <v>1</v>
      </c>
      <c r="E116" s="6" t="s">
        <v>3</v>
      </c>
      <c r="F116" s="6" t="s">
        <v>394</v>
      </c>
    </row>
    <row r="117" spans="1:6" x14ac:dyDescent="0.2">
      <c r="A117" s="6" t="s">
        <v>395</v>
      </c>
      <c r="B117" s="7">
        <v>1</v>
      </c>
      <c r="C117" s="7">
        <v>1</v>
      </c>
      <c r="D117" s="7">
        <v>1</v>
      </c>
      <c r="E117" s="6" t="s">
        <v>3</v>
      </c>
      <c r="F117" s="6" t="s">
        <v>396</v>
      </c>
    </row>
    <row r="118" spans="1:6" x14ac:dyDescent="0.2">
      <c r="A118" s="6" t="s">
        <v>397</v>
      </c>
      <c r="B118" s="7">
        <v>1</v>
      </c>
      <c r="C118" s="7">
        <v>1</v>
      </c>
      <c r="D118" s="7">
        <v>1</v>
      </c>
      <c r="E118" s="6" t="s">
        <v>3</v>
      </c>
      <c r="F118" s="6" t="s">
        <v>398</v>
      </c>
    </row>
    <row r="119" spans="1:6" x14ac:dyDescent="0.2">
      <c r="A119" s="6" t="s">
        <v>399</v>
      </c>
      <c r="B119" s="7">
        <v>1</v>
      </c>
      <c r="C119" s="7">
        <v>1</v>
      </c>
      <c r="D119" s="7">
        <v>1</v>
      </c>
      <c r="E119" s="6" t="s">
        <v>3</v>
      </c>
      <c r="F119" s="6" t="s">
        <v>400</v>
      </c>
    </row>
    <row r="120" spans="1:6" x14ac:dyDescent="0.2">
      <c r="A120" s="6" t="s">
        <v>401</v>
      </c>
      <c r="B120" s="7">
        <v>1</v>
      </c>
      <c r="C120" s="7">
        <v>1</v>
      </c>
      <c r="D120" s="7">
        <v>1</v>
      </c>
      <c r="E120" s="6" t="s">
        <v>3</v>
      </c>
      <c r="F120" s="6" t="s">
        <v>402</v>
      </c>
    </row>
    <row r="121" spans="1:6" x14ac:dyDescent="0.2">
      <c r="A121" s="6" t="s">
        <v>403</v>
      </c>
      <c r="B121" s="7">
        <v>1</v>
      </c>
      <c r="C121" s="7">
        <v>1</v>
      </c>
      <c r="D121" s="7">
        <v>1</v>
      </c>
      <c r="E121" s="6" t="s">
        <v>3</v>
      </c>
      <c r="F121" s="6" t="s">
        <v>404</v>
      </c>
    </row>
    <row r="122" spans="1:6" x14ac:dyDescent="0.2">
      <c r="A122" s="6" t="s">
        <v>405</v>
      </c>
      <c r="B122" s="7">
        <v>1</v>
      </c>
      <c r="C122" s="7">
        <v>1</v>
      </c>
      <c r="D122" s="7">
        <v>1</v>
      </c>
      <c r="E122" s="6" t="s">
        <v>3</v>
      </c>
      <c r="F122" s="6" t="s">
        <v>406</v>
      </c>
    </row>
    <row r="123" spans="1:6" x14ac:dyDescent="0.2">
      <c r="A123" s="6" t="s">
        <v>407</v>
      </c>
      <c r="B123" s="7">
        <v>1</v>
      </c>
      <c r="C123" s="7">
        <v>1</v>
      </c>
      <c r="D123" s="7">
        <v>1</v>
      </c>
      <c r="E123" s="6" t="s">
        <v>3</v>
      </c>
      <c r="F123" s="6" t="s">
        <v>408</v>
      </c>
    </row>
    <row r="124" spans="1:6" x14ac:dyDescent="0.2">
      <c r="A124" s="6" t="s">
        <v>409</v>
      </c>
      <c r="B124" s="7">
        <v>0</v>
      </c>
      <c r="C124" s="7">
        <v>0</v>
      </c>
      <c r="D124" s="7">
        <v>1</v>
      </c>
      <c r="E124" s="6" t="s">
        <v>3</v>
      </c>
      <c r="F124" s="6" t="s">
        <v>410</v>
      </c>
    </row>
    <row r="125" spans="1:6" x14ac:dyDescent="0.2">
      <c r="A125" s="6" t="s">
        <v>411</v>
      </c>
      <c r="B125" s="7">
        <v>0</v>
      </c>
      <c r="C125" s="7">
        <v>0</v>
      </c>
      <c r="D125" s="7">
        <v>1</v>
      </c>
      <c r="E125" s="6" t="s">
        <v>3</v>
      </c>
      <c r="F125" s="6" t="s">
        <v>412</v>
      </c>
    </row>
    <row r="126" spans="1:6" x14ac:dyDescent="0.2">
      <c r="A126" s="6" t="s">
        <v>413</v>
      </c>
      <c r="B126" s="7">
        <v>0</v>
      </c>
      <c r="C126" s="7">
        <v>0</v>
      </c>
      <c r="D126" s="7">
        <v>1</v>
      </c>
      <c r="E126" s="6" t="s">
        <v>3</v>
      </c>
      <c r="F126" s="6" t="s">
        <v>414</v>
      </c>
    </row>
    <row r="127" spans="1:6" x14ac:dyDescent="0.2">
      <c r="A127" s="6" t="s">
        <v>415</v>
      </c>
      <c r="B127" s="7">
        <v>0</v>
      </c>
      <c r="C127" s="7">
        <v>0</v>
      </c>
      <c r="D127" s="7">
        <v>1</v>
      </c>
      <c r="E127" s="6" t="s">
        <v>3</v>
      </c>
      <c r="F127" s="6" t="s">
        <v>416</v>
      </c>
    </row>
    <row r="128" spans="1:6" x14ac:dyDescent="0.2">
      <c r="A128" s="6" t="s">
        <v>417</v>
      </c>
      <c r="B128" s="7">
        <v>1</v>
      </c>
      <c r="C128" s="7">
        <v>1</v>
      </c>
      <c r="D128" s="7">
        <v>1</v>
      </c>
      <c r="E128" s="6" t="s">
        <v>3</v>
      </c>
      <c r="F128" s="6" t="s">
        <v>418</v>
      </c>
    </row>
    <row r="129" spans="1:6" x14ac:dyDescent="0.2">
      <c r="A129" s="6" t="s">
        <v>419</v>
      </c>
      <c r="B129" s="7">
        <v>1</v>
      </c>
      <c r="C129" s="7">
        <v>1</v>
      </c>
      <c r="D129" s="7">
        <v>1</v>
      </c>
      <c r="E129" s="6" t="s">
        <v>3</v>
      </c>
      <c r="F129" s="6" t="s">
        <v>420</v>
      </c>
    </row>
    <row r="130" spans="1:6" x14ac:dyDescent="0.2">
      <c r="A130" s="6" t="s">
        <v>421</v>
      </c>
      <c r="B130" s="7">
        <v>0</v>
      </c>
      <c r="C130" s="7">
        <v>0</v>
      </c>
      <c r="D130" s="7">
        <v>1</v>
      </c>
      <c r="E130" s="6" t="s">
        <v>3</v>
      </c>
      <c r="F130" s="6" t="s">
        <v>422</v>
      </c>
    </row>
    <row r="131" spans="1:6" x14ac:dyDescent="0.2">
      <c r="A131" s="6" t="s">
        <v>8</v>
      </c>
      <c r="B131" s="7">
        <v>1</v>
      </c>
      <c r="C131" s="7">
        <v>1</v>
      </c>
      <c r="D131" s="7">
        <v>1</v>
      </c>
      <c r="E131" s="6" t="s">
        <v>3</v>
      </c>
      <c r="F131" s="6" t="s">
        <v>202</v>
      </c>
    </row>
    <row r="132" spans="1:6" x14ac:dyDescent="0.2">
      <c r="A132" s="6" t="s">
        <v>9</v>
      </c>
      <c r="B132" s="7">
        <v>1</v>
      </c>
      <c r="C132" s="7">
        <v>1</v>
      </c>
      <c r="D132" s="7">
        <v>1</v>
      </c>
      <c r="E132" s="6" t="s">
        <v>3</v>
      </c>
      <c r="F132" s="6" t="s">
        <v>203</v>
      </c>
    </row>
    <row r="133" spans="1:6" x14ac:dyDescent="0.2">
      <c r="A133" s="6" t="s">
        <v>423</v>
      </c>
      <c r="B133" s="7">
        <v>0</v>
      </c>
      <c r="C133" s="7">
        <v>1</v>
      </c>
      <c r="D133" s="7">
        <v>1</v>
      </c>
      <c r="E133" s="6" t="s">
        <v>3</v>
      </c>
      <c r="F133" s="6" t="s">
        <v>424</v>
      </c>
    </row>
    <row r="134" spans="1:6" x14ac:dyDescent="0.2">
      <c r="A134" s="6" t="s">
        <v>425</v>
      </c>
      <c r="B134" s="7">
        <v>1</v>
      </c>
      <c r="C134" s="7">
        <v>1</v>
      </c>
      <c r="D134" s="7">
        <v>1</v>
      </c>
      <c r="E134" s="6" t="s">
        <v>3</v>
      </c>
      <c r="F134" s="6" t="s">
        <v>426</v>
      </c>
    </row>
    <row r="135" spans="1:6" x14ac:dyDescent="0.2">
      <c r="A135" s="6" t="s">
        <v>427</v>
      </c>
      <c r="B135" s="7">
        <v>0</v>
      </c>
      <c r="C135" s="7">
        <v>0</v>
      </c>
      <c r="D135" s="7">
        <v>1</v>
      </c>
      <c r="E135" s="6" t="s">
        <v>3</v>
      </c>
      <c r="F135" s="6" t="s">
        <v>428</v>
      </c>
    </row>
    <row r="136" spans="1:6" x14ac:dyDescent="0.2">
      <c r="A136" s="6" t="s">
        <v>10</v>
      </c>
      <c r="B136" s="7">
        <v>1</v>
      </c>
      <c r="C136" s="7">
        <v>1</v>
      </c>
      <c r="D136" s="7">
        <v>1</v>
      </c>
      <c r="E136" s="6" t="s">
        <v>3</v>
      </c>
      <c r="F136" s="6" t="s">
        <v>204</v>
      </c>
    </row>
    <row r="137" spans="1:6" x14ac:dyDescent="0.2">
      <c r="A137" s="6" t="s">
        <v>429</v>
      </c>
      <c r="B137" s="7">
        <v>1</v>
      </c>
      <c r="C137" s="7">
        <v>1</v>
      </c>
      <c r="D137" s="7">
        <v>1</v>
      </c>
      <c r="E137" s="6" t="s">
        <v>3</v>
      </c>
      <c r="F137" s="6" t="s">
        <v>430</v>
      </c>
    </row>
    <row r="138" spans="1:6" x14ac:dyDescent="0.2">
      <c r="A138" s="6" t="s">
        <v>14</v>
      </c>
      <c r="B138" s="7">
        <v>1</v>
      </c>
      <c r="C138" s="7">
        <v>1</v>
      </c>
      <c r="D138" s="7">
        <v>1</v>
      </c>
      <c r="E138" s="6" t="s">
        <v>3</v>
      </c>
      <c r="F138" s="6" t="s">
        <v>207</v>
      </c>
    </row>
    <row r="139" spans="1:6" x14ac:dyDescent="0.2">
      <c r="A139" s="6" t="s">
        <v>431</v>
      </c>
      <c r="B139" s="7">
        <v>0</v>
      </c>
      <c r="C139" s="7">
        <v>0</v>
      </c>
      <c r="D139" s="7">
        <v>1</v>
      </c>
      <c r="E139" s="6" t="s">
        <v>3</v>
      </c>
      <c r="F139" s="6" t="s">
        <v>432</v>
      </c>
    </row>
    <row r="140" spans="1:6" x14ac:dyDescent="0.2">
      <c r="A140" s="6" t="s">
        <v>433</v>
      </c>
      <c r="B140" s="7">
        <v>0</v>
      </c>
      <c r="C140" s="7">
        <v>0</v>
      </c>
      <c r="D140" s="7">
        <v>1</v>
      </c>
      <c r="E140" s="6" t="s">
        <v>3</v>
      </c>
      <c r="F140" s="6" t="s">
        <v>434</v>
      </c>
    </row>
    <row r="141" spans="1:6" x14ac:dyDescent="0.2">
      <c r="A141" s="6" t="s">
        <v>435</v>
      </c>
      <c r="B141" s="7">
        <v>0</v>
      </c>
      <c r="C141" s="7">
        <v>1</v>
      </c>
      <c r="D141" s="7">
        <v>1</v>
      </c>
      <c r="E141" s="6" t="s">
        <v>3</v>
      </c>
      <c r="F141" s="6" t="s">
        <v>436</v>
      </c>
    </row>
    <row r="142" spans="1:6" x14ac:dyDescent="0.2">
      <c r="A142" s="6" t="s">
        <v>437</v>
      </c>
      <c r="B142" s="7">
        <v>1</v>
      </c>
      <c r="C142" s="7">
        <v>1</v>
      </c>
      <c r="D142" s="7">
        <v>1</v>
      </c>
      <c r="E142" s="6" t="s">
        <v>3</v>
      </c>
      <c r="F142" s="6" t="s">
        <v>438</v>
      </c>
    </row>
    <row r="143" spans="1:6" x14ac:dyDescent="0.2">
      <c r="A143" s="6" t="s">
        <v>439</v>
      </c>
      <c r="B143" s="7">
        <v>0</v>
      </c>
      <c r="C143" s="7">
        <v>1</v>
      </c>
      <c r="D143" s="7">
        <v>1</v>
      </c>
      <c r="E143" s="6" t="s">
        <v>3</v>
      </c>
      <c r="F143" s="6" t="s">
        <v>440</v>
      </c>
    </row>
    <row r="144" spans="1:6" x14ac:dyDescent="0.2">
      <c r="A144" s="6" t="s">
        <v>441</v>
      </c>
      <c r="B144" s="7">
        <v>0</v>
      </c>
      <c r="C144" s="7">
        <v>0</v>
      </c>
      <c r="D144" s="7">
        <v>1</v>
      </c>
      <c r="E144" s="6" t="s">
        <v>3</v>
      </c>
      <c r="F144" s="6" t="s">
        <v>442</v>
      </c>
    </row>
    <row r="145" spans="1:6" x14ac:dyDescent="0.2">
      <c r="A145" s="6" t="s">
        <v>443</v>
      </c>
      <c r="B145" s="7">
        <v>0</v>
      </c>
      <c r="C145" s="7">
        <v>1</v>
      </c>
      <c r="D145" s="7">
        <v>1</v>
      </c>
      <c r="E145" s="6" t="s">
        <v>3</v>
      </c>
      <c r="F145" s="6" t="s">
        <v>444</v>
      </c>
    </row>
    <row r="146" spans="1:6" x14ac:dyDescent="0.2">
      <c r="A146" s="6" t="s">
        <v>445</v>
      </c>
      <c r="B146" s="7">
        <v>1</v>
      </c>
      <c r="C146" s="7">
        <v>1</v>
      </c>
      <c r="D146" s="7">
        <v>1</v>
      </c>
      <c r="E146" s="6" t="s">
        <v>3</v>
      </c>
      <c r="F146" s="6" t="s">
        <v>446</v>
      </c>
    </row>
    <row r="147" spans="1:6" x14ac:dyDescent="0.2">
      <c r="A147" s="6" t="s">
        <v>447</v>
      </c>
      <c r="B147" s="7">
        <v>1</v>
      </c>
      <c r="C147" s="7">
        <v>1</v>
      </c>
      <c r="D147" s="7">
        <v>1</v>
      </c>
      <c r="E147" s="6" t="s">
        <v>3</v>
      </c>
      <c r="F147" s="6" t="s">
        <v>448</v>
      </c>
    </row>
    <row r="148" spans="1:6" x14ac:dyDescent="0.2">
      <c r="A148" s="6" t="s">
        <v>449</v>
      </c>
      <c r="B148" s="7">
        <v>0</v>
      </c>
      <c r="C148" s="7">
        <v>1</v>
      </c>
      <c r="D148" s="7">
        <v>1</v>
      </c>
      <c r="E148" s="6" t="s">
        <v>3</v>
      </c>
      <c r="F148" s="6" t="s">
        <v>450</v>
      </c>
    </row>
    <row r="149" spans="1:6" x14ac:dyDescent="0.2">
      <c r="A149" s="6" t="s">
        <v>451</v>
      </c>
      <c r="B149" s="7">
        <v>1</v>
      </c>
      <c r="C149" s="7">
        <v>1</v>
      </c>
      <c r="D149" s="7">
        <v>1</v>
      </c>
      <c r="E149" s="6" t="s">
        <v>3</v>
      </c>
      <c r="F149" s="6" t="s">
        <v>452</v>
      </c>
    </row>
    <row r="150" spans="1:6" x14ac:dyDescent="0.2">
      <c r="A150" s="6" t="s">
        <v>453</v>
      </c>
      <c r="B150" s="7">
        <v>0</v>
      </c>
      <c r="C150" s="7">
        <v>0</v>
      </c>
      <c r="D150" s="7">
        <v>1</v>
      </c>
      <c r="E150" s="6" t="s">
        <v>3</v>
      </c>
      <c r="F150" s="6" t="s">
        <v>454</v>
      </c>
    </row>
    <row r="151" spans="1:6" x14ac:dyDescent="0.2">
      <c r="A151" s="6" t="s">
        <v>17</v>
      </c>
      <c r="B151" s="7">
        <v>1</v>
      </c>
      <c r="C151" s="7">
        <v>1</v>
      </c>
      <c r="D151" s="7">
        <v>1</v>
      </c>
      <c r="E151" s="6" t="s">
        <v>3</v>
      </c>
      <c r="F151" s="6" t="s">
        <v>209</v>
      </c>
    </row>
    <row r="152" spans="1:6" x14ac:dyDescent="0.2">
      <c r="A152" s="6" t="s">
        <v>455</v>
      </c>
      <c r="B152" s="7">
        <v>1</v>
      </c>
      <c r="C152" s="7">
        <v>1</v>
      </c>
      <c r="D152" s="7">
        <v>1</v>
      </c>
      <c r="E152" s="6" t="s">
        <v>3</v>
      </c>
      <c r="F152" s="6" t="s">
        <v>456</v>
      </c>
    </row>
    <row r="153" spans="1:6" x14ac:dyDescent="0.2">
      <c r="A153" s="6" t="s">
        <v>457</v>
      </c>
      <c r="B153" s="7">
        <v>0</v>
      </c>
      <c r="C153" s="7">
        <v>1</v>
      </c>
      <c r="D153" s="7">
        <v>1</v>
      </c>
      <c r="E153" s="6" t="s">
        <v>3</v>
      </c>
      <c r="F153" s="6" t="s">
        <v>458</v>
      </c>
    </row>
    <row r="154" spans="1:6" x14ac:dyDescent="0.2">
      <c r="A154" s="6" t="s">
        <v>459</v>
      </c>
      <c r="B154" s="7">
        <v>1</v>
      </c>
      <c r="C154" s="7">
        <v>1</v>
      </c>
      <c r="D154" s="7">
        <v>1</v>
      </c>
      <c r="E154" s="6" t="s">
        <v>3</v>
      </c>
      <c r="F154" s="6" t="s">
        <v>460</v>
      </c>
    </row>
    <row r="155" spans="1:6" x14ac:dyDescent="0.2">
      <c r="A155" s="6" t="s">
        <v>461</v>
      </c>
      <c r="B155" s="7">
        <v>1</v>
      </c>
      <c r="C155" s="7">
        <v>1</v>
      </c>
      <c r="D155" s="7">
        <v>1</v>
      </c>
      <c r="E155" s="6" t="s">
        <v>3</v>
      </c>
      <c r="F155" s="6" t="s">
        <v>462</v>
      </c>
    </row>
    <row r="156" spans="1:6" x14ac:dyDescent="0.2">
      <c r="A156" s="6" t="s">
        <v>463</v>
      </c>
      <c r="B156" s="7">
        <v>0</v>
      </c>
      <c r="C156" s="7">
        <v>1</v>
      </c>
      <c r="D156" s="7">
        <v>1</v>
      </c>
      <c r="E156" s="6" t="s">
        <v>3</v>
      </c>
      <c r="F156" s="6" t="s">
        <v>464</v>
      </c>
    </row>
    <row r="157" spans="1:6" x14ac:dyDescent="0.2">
      <c r="A157" s="6" t="s">
        <v>465</v>
      </c>
      <c r="B157" s="7">
        <v>0</v>
      </c>
      <c r="C157" s="7">
        <v>1</v>
      </c>
      <c r="D157" s="7">
        <v>1</v>
      </c>
      <c r="E157" s="6" t="s">
        <v>3</v>
      </c>
      <c r="F157" s="6" t="s">
        <v>466</v>
      </c>
    </row>
    <row r="158" spans="1:6" x14ac:dyDescent="0.2">
      <c r="A158" s="6" t="s">
        <v>467</v>
      </c>
      <c r="B158" s="7">
        <v>1</v>
      </c>
      <c r="C158" s="7">
        <v>1</v>
      </c>
      <c r="D158" s="7">
        <v>1</v>
      </c>
      <c r="E158" s="6" t="s">
        <v>3</v>
      </c>
      <c r="F158" s="6" t="s">
        <v>468</v>
      </c>
    </row>
    <row r="159" spans="1:6" x14ac:dyDescent="0.2">
      <c r="A159" s="6" t="s">
        <v>469</v>
      </c>
      <c r="B159" s="7">
        <v>1</v>
      </c>
      <c r="C159" s="7">
        <v>1</v>
      </c>
      <c r="D159" s="7">
        <v>1</v>
      </c>
      <c r="E159" s="6" t="s">
        <v>3</v>
      </c>
      <c r="F159" s="6" t="s">
        <v>470</v>
      </c>
    </row>
    <row r="160" spans="1:6" x14ac:dyDescent="0.2">
      <c r="A160" s="6" t="s">
        <v>471</v>
      </c>
      <c r="B160" s="7">
        <v>1</v>
      </c>
      <c r="C160" s="7">
        <v>1</v>
      </c>
      <c r="D160" s="7">
        <v>1</v>
      </c>
      <c r="E160" s="6" t="s">
        <v>3</v>
      </c>
      <c r="F160" s="6" t="s">
        <v>472</v>
      </c>
    </row>
    <row r="161" spans="1:6" x14ac:dyDescent="0.2">
      <c r="A161" s="6" t="s">
        <v>18</v>
      </c>
      <c r="B161" s="7">
        <v>1</v>
      </c>
      <c r="C161" s="7">
        <v>1</v>
      </c>
      <c r="D161" s="7">
        <v>1</v>
      </c>
      <c r="E161" s="6" t="s">
        <v>3</v>
      </c>
      <c r="F161" s="6" t="s">
        <v>210</v>
      </c>
    </row>
    <row r="162" spans="1:6" x14ac:dyDescent="0.2">
      <c r="A162" s="6" t="s">
        <v>473</v>
      </c>
      <c r="B162" s="7">
        <v>0</v>
      </c>
      <c r="C162" s="7">
        <v>1</v>
      </c>
      <c r="D162" s="7">
        <v>1</v>
      </c>
      <c r="E162" s="6" t="s">
        <v>3</v>
      </c>
      <c r="F162" s="6" t="s">
        <v>474</v>
      </c>
    </row>
    <row r="163" spans="1:6" x14ac:dyDescent="0.2">
      <c r="A163" s="6" t="s">
        <v>475</v>
      </c>
      <c r="B163" s="7">
        <v>0</v>
      </c>
      <c r="C163" s="7">
        <v>1</v>
      </c>
      <c r="D163" s="7">
        <v>1</v>
      </c>
      <c r="E163" s="6" t="s">
        <v>3</v>
      </c>
      <c r="F163" s="6" t="s">
        <v>476</v>
      </c>
    </row>
    <row r="164" spans="1:6" x14ac:dyDescent="0.2">
      <c r="A164" s="6" t="s">
        <v>477</v>
      </c>
      <c r="B164" s="7">
        <v>0</v>
      </c>
      <c r="C164" s="7">
        <v>1</v>
      </c>
      <c r="D164" s="7">
        <v>1</v>
      </c>
      <c r="E164" s="6" t="s">
        <v>3</v>
      </c>
      <c r="F164" s="6" t="s">
        <v>478</v>
      </c>
    </row>
    <row r="165" spans="1:6" x14ac:dyDescent="0.2">
      <c r="A165" s="6" t="s">
        <v>479</v>
      </c>
      <c r="B165" s="7">
        <v>1</v>
      </c>
      <c r="C165" s="7">
        <v>1</v>
      </c>
      <c r="D165" s="7">
        <v>1</v>
      </c>
      <c r="E165" s="6" t="s">
        <v>3</v>
      </c>
      <c r="F165" s="6" t="s">
        <v>480</v>
      </c>
    </row>
    <row r="166" spans="1:6" x14ac:dyDescent="0.2">
      <c r="A166" s="6" t="s">
        <v>481</v>
      </c>
      <c r="B166" s="7">
        <v>0</v>
      </c>
      <c r="C166" s="7">
        <v>0</v>
      </c>
      <c r="D166" s="7">
        <v>1</v>
      </c>
      <c r="E166" s="6" t="s">
        <v>3</v>
      </c>
      <c r="F166" s="6" t="s">
        <v>482</v>
      </c>
    </row>
    <row r="167" spans="1:6" x14ac:dyDescent="0.2">
      <c r="A167" s="6" t="s">
        <v>483</v>
      </c>
      <c r="B167" s="7">
        <v>1</v>
      </c>
      <c r="C167" s="7">
        <v>1</v>
      </c>
      <c r="D167" s="7">
        <v>1</v>
      </c>
      <c r="E167" s="6" t="s">
        <v>3</v>
      </c>
      <c r="F167" s="6" t="s">
        <v>484</v>
      </c>
    </row>
    <row r="168" spans="1:6" x14ac:dyDescent="0.2">
      <c r="A168" s="6" t="s">
        <v>485</v>
      </c>
      <c r="B168" s="7">
        <v>1</v>
      </c>
      <c r="C168" s="7">
        <v>1</v>
      </c>
      <c r="D168" s="7">
        <v>1</v>
      </c>
      <c r="E168" s="6" t="s">
        <v>3</v>
      </c>
      <c r="F168" s="6" t="s">
        <v>486</v>
      </c>
    </row>
    <row r="169" spans="1:6" x14ac:dyDescent="0.2">
      <c r="A169" s="6" t="s">
        <v>487</v>
      </c>
      <c r="B169" s="7">
        <v>0</v>
      </c>
      <c r="C169" s="7">
        <v>1</v>
      </c>
      <c r="D169" s="7">
        <v>1</v>
      </c>
      <c r="E169" s="6" t="s">
        <v>3</v>
      </c>
      <c r="F169" s="6" t="s">
        <v>488</v>
      </c>
    </row>
    <row r="170" spans="1:6" x14ac:dyDescent="0.2">
      <c r="A170" s="6" t="s">
        <v>489</v>
      </c>
      <c r="B170" s="7">
        <v>1</v>
      </c>
      <c r="C170" s="7">
        <v>1</v>
      </c>
      <c r="D170" s="7">
        <v>1</v>
      </c>
      <c r="E170" s="6" t="s">
        <v>3</v>
      </c>
      <c r="F170" s="6" t="s">
        <v>490</v>
      </c>
    </row>
    <row r="171" spans="1:6" x14ac:dyDescent="0.2">
      <c r="A171" s="6" t="s">
        <v>491</v>
      </c>
      <c r="B171" s="7">
        <v>0</v>
      </c>
      <c r="C171" s="7">
        <v>0</v>
      </c>
      <c r="D171" s="7">
        <v>1</v>
      </c>
      <c r="E171" s="6" t="s">
        <v>3</v>
      </c>
      <c r="F171" s="6" t="s">
        <v>492</v>
      </c>
    </row>
    <row r="172" spans="1:6" x14ac:dyDescent="0.2">
      <c r="A172" s="6" t="s">
        <v>493</v>
      </c>
      <c r="B172" s="7">
        <v>1</v>
      </c>
      <c r="C172" s="7">
        <v>1</v>
      </c>
      <c r="D172" s="7">
        <v>1</v>
      </c>
      <c r="E172" s="6" t="s">
        <v>3</v>
      </c>
      <c r="F172" s="6" t="s">
        <v>494</v>
      </c>
    </row>
    <row r="173" spans="1:6" x14ac:dyDescent="0.2">
      <c r="A173" s="6" t="s">
        <v>495</v>
      </c>
      <c r="B173" s="7">
        <v>0</v>
      </c>
      <c r="C173" s="7">
        <v>1</v>
      </c>
      <c r="D173" s="7">
        <v>1</v>
      </c>
      <c r="E173" s="6" t="s">
        <v>3</v>
      </c>
      <c r="F173" s="6" t="s">
        <v>496</v>
      </c>
    </row>
    <row r="174" spans="1:6" x14ac:dyDescent="0.2">
      <c r="A174" s="6" t="s">
        <v>21</v>
      </c>
      <c r="B174" s="7">
        <v>1</v>
      </c>
      <c r="C174" s="7">
        <v>0</v>
      </c>
      <c r="D174" s="7">
        <v>0</v>
      </c>
      <c r="E174" s="6" t="s">
        <v>3</v>
      </c>
      <c r="F174" s="6" t="s">
        <v>211</v>
      </c>
    </row>
    <row r="175" spans="1:6" x14ac:dyDescent="0.2">
      <c r="A175" s="6" t="s">
        <v>497</v>
      </c>
      <c r="B175" s="7">
        <v>1</v>
      </c>
      <c r="C175" s="7">
        <v>1</v>
      </c>
      <c r="D175" s="7">
        <v>1</v>
      </c>
      <c r="E175" s="6" t="s">
        <v>3</v>
      </c>
      <c r="F175" s="6" t="s">
        <v>498</v>
      </c>
    </row>
    <row r="176" spans="1:6" x14ac:dyDescent="0.2">
      <c r="A176" s="6" t="s">
        <v>23</v>
      </c>
      <c r="B176" s="7">
        <v>0</v>
      </c>
      <c r="C176" s="7">
        <v>1</v>
      </c>
      <c r="D176" s="7">
        <v>1</v>
      </c>
      <c r="E176" s="6" t="s">
        <v>3</v>
      </c>
      <c r="F176" s="6" t="s">
        <v>212</v>
      </c>
    </row>
    <row r="177" spans="1:6" x14ac:dyDescent="0.2">
      <c r="A177" s="6" t="s">
        <v>499</v>
      </c>
      <c r="B177" s="7">
        <v>1</v>
      </c>
      <c r="C177" s="7">
        <v>1</v>
      </c>
      <c r="D177" s="7">
        <v>1</v>
      </c>
      <c r="E177" s="6" t="s">
        <v>3</v>
      </c>
      <c r="F177" s="6" t="s">
        <v>500</v>
      </c>
    </row>
    <row r="178" spans="1:6" x14ac:dyDescent="0.2">
      <c r="A178" s="6" t="s">
        <v>24</v>
      </c>
      <c r="B178" s="7">
        <v>1</v>
      </c>
      <c r="C178" s="7">
        <v>1</v>
      </c>
      <c r="D178" s="7">
        <v>1</v>
      </c>
      <c r="E178" s="6" t="s">
        <v>3</v>
      </c>
      <c r="F178" s="6" t="s">
        <v>213</v>
      </c>
    </row>
    <row r="179" spans="1:6" x14ac:dyDescent="0.2">
      <c r="A179" s="6" t="s">
        <v>32</v>
      </c>
      <c r="B179" s="7">
        <v>1</v>
      </c>
      <c r="C179" s="7">
        <v>1</v>
      </c>
      <c r="D179" s="7">
        <v>1</v>
      </c>
      <c r="E179" s="6" t="s">
        <v>3</v>
      </c>
      <c r="F179" s="6" t="s">
        <v>219</v>
      </c>
    </row>
    <row r="180" spans="1:6" x14ac:dyDescent="0.2">
      <c r="A180" s="6" t="s">
        <v>33</v>
      </c>
      <c r="B180" s="7">
        <v>1</v>
      </c>
      <c r="C180" s="7">
        <v>1</v>
      </c>
      <c r="D180" s="7">
        <v>1</v>
      </c>
      <c r="E180" s="6" t="s">
        <v>3</v>
      </c>
      <c r="F180" s="6" t="s">
        <v>309</v>
      </c>
    </row>
    <row r="181" spans="1:6" x14ac:dyDescent="0.2">
      <c r="A181" s="6" t="s">
        <v>35</v>
      </c>
      <c r="B181" s="7">
        <v>1</v>
      </c>
      <c r="C181" s="7">
        <v>1</v>
      </c>
      <c r="D181" s="7">
        <v>1</v>
      </c>
      <c r="E181" s="6" t="s">
        <v>3</v>
      </c>
      <c r="F181" s="6" t="s">
        <v>221</v>
      </c>
    </row>
    <row r="182" spans="1:6" x14ac:dyDescent="0.2">
      <c r="A182" s="6" t="s">
        <v>501</v>
      </c>
      <c r="B182" s="7">
        <v>0</v>
      </c>
      <c r="C182" s="7">
        <v>1</v>
      </c>
      <c r="D182" s="7">
        <v>1</v>
      </c>
      <c r="E182" s="6" t="s">
        <v>3</v>
      </c>
      <c r="F182" s="6" t="s">
        <v>502</v>
      </c>
    </row>
    <row r="183" spans="1:6" x14ac:dyDescent="0.2">
      <c r="A183" s="6" t="s">
        <v>503</v>
      </c>
      <c r="B183" s="7">
        <v>0</v>
      </c>
      <c r="C183" s="7">
        <v>0</v>
      </c>
      <c r="D183" s="7">
        <v>1</v>
      </c>
      <c r="E183" s="6" t="s">
        <v>3</v>
      </c>
      <c r="F183" s="6" t="s">
        <v>504</v>
      </c>
    </row>
    <row r="184" spans="1:6" x14ac:dyDescent="0.2">
      <c r="A184" s="6" t="s">
        <v>505</v>
      </c>
      <c r="B184" s="7">
        <v>1</v>
      </c>
      <c r="C184" s="7">
        <v>1</v>
      </c>
      <c r="D184" s="7">
        <v>1</v>
      </c>
      <c r="E184" s="6" t="s">
        <v>3</v>
      </c>
      <c r="F184" s="6" t="s">
        <v>506</v>
      </c>
    </row>
    <row r="185" spans="1:6" x14ac:dyDescent="0.2">
      <c r="A185" s="6" t="s">
        <v>507</v>
      </c>
      <c r="B185" s="7">
        <v>0</v>
      </c>
      <c r="C185" s="7">
        <v>1</v>
      </c>
      <c r="D185" s="7">
        <v>1</v>
      </c>
      <c r="E185" s="6" t="s">
        <v>3</v>
      </c>
      <c r="F185" s="6" t="s">
        <v>508</v>
      </c>
    </row>
    <row r="186" spans="1:6" x14ac:dyDescent="0.2">
      <c r="A186" s="6" t="s">
        <v>36</v>
      </c>
      <c r="B186" s="7">
        <v>0</v>
      </c>
      <c r="C186" s="7">
        <v>1</v>
      </c>
      <c r="D186" s="7">
        <v>1</v>
      </c>
      <c r="E186" s="6" t="s">
        <v>3</v>
      </c>
      <c r="F186" s="6" t="s">
        <v>222</v>
      </c>
    </row>
    <row r="187" spans="1:6" x14ac:dyDescent="0.2">
      <c r="A187" s="6" t="s">
        <v>37</v>
      </c>
      <c r="B187" s="7">
        <v>1</v>
      </c>
      <c r="C187" s="7">
        <v>1</v>
      </c>
      <c r="D187" s="7">
        <v>1</v>
      </c>
      <c r="E187" s="6" t="s">
        <v>3</v>
      </c>
      <c r="F187" s="6" t="s">
        <v>223</v>
      </c>
    </row>
    <row r="188" spans="1:6" x14ac:dyDescent="0.2">
      <c r="A188" s="6" t="s">
        <v>38</v>
      </c>
      <c r="B188" s="7">
        <v>1</v>
      </c>
      <c r="C188" s="7">
        <v>1</v>
      </c>
      <c r="D188" s="7">
        <v>1</v>
      </c>
      <c r="E188" s="6" t="s">
        <v>3</v>
      </c>
      <c r="F188" s="6" t="s">
        <v>224</v>
      </c>
    </row>
    <row r="189" spans="1:6" x14ac:dyDescent="0.2">
      <c r="A189" s="6" t="s">
        <v>39</v>
      </c>
      <c r="B189" s="7">
        <v>1</v>
      </c>
      <c r="C189" s="7">
        <v>1</v>
      </c>
      <c r="D189" s="7">
        <v>1</v>
      </c>
      <c r="E189" s="6" t="s">
        <v>3</v>
      </c>
      <c r="F189" s="6" t="s">
        <v>225</v>
      </c>
    </row>
    <row r="190" spans="1:6" x14ac:dyDescent="0.2">
      <c r="A190" s="6" t="s">
        <v>40</v>
      </c>
      <c r="B190" s="7">
        <v>1</v>
      </c>
      <c r="C190" s="7">
        <v>1</v>
      </c>
      <c r="D190" s="7">
        <v>1</v>
      </c>
      <c r="E190" s="6" t="s">
        <v>3</v>
      </c>
      <c r="F190" s="6" t="s">
        <v>226</v>
      </c>
    </row>
    <row r="191" spans="1:6" x14ac:dyDescent="0.2">
      <c r="A191" s="6" t="s">
        <v>41</v>
      </c>
      <c r="B191" s="7">
        <v>1</v>
      </c>
      <c r="C191" s="7">
        <v>1</v>
      </c>
      <c r="D191" s="7">
        <v>0</v>
      </c>
      <c r="E191" s="6" t="s">
        <v>3</v>
      </c>
      <c r="F191" s="6" t="s">
        <v>227</v>
      </c>
    </row>
    <row r="192" spans="1:6" x14ac:dyDescent="0.2">
      <c r="A192" s="6" t="s">
        <v>42</v>
      </c>
      <c r="B192" s="7">
        <v>1</v>
      </c>
      <c r="C192" s="7">
        <v>1</v>
      </c>
      <c r="D192" s="7">
        <v>0</v>
      </c>
      <c r="E192" s="6" t="s">
        <v>3</v>
      </c>
      <c r="F192" s="6" t="s">
        <v>228</v>
      </c>
    </row>
    <row r="193" spans="1:6" x14ac:dyDescent="0.2">
      <c r="A193" s="6" t="s">
        <v>509</v>
      </c>
      <c r="B193" s="7">
        <v>0</v>
      </c>
      <c r="C193" s="7">
        <v>1</v>
      </c>
      <c r="D193" s="7">
        <v>1</v>
      </c>
      <c r="E193" s="6" t="s">
        <v>3</v>
      </c>
      <c r="F193" s="6" t="s">
        <v>510</v>
      </c>
    </row>
    <row r="194" spans="1:6" x14ac:dyDescent="0.2">
      <c r="A194" s="6" t="s">
        <v>43</v>
      </c>
      <c r="B194" s="7">
        <v>0</v>
      </c>
      <c r="C194" s="7">
        <v>1</v>
      </c>
      <c r="D194" s="7">
        <v>1</v>
      </c>
      <c r="E194" s="6" t="s">
        <v>3</v>
      </c>
      <c r="F194" s="6" t="s">
        <v>229</v>
      </c>
    </row>
    <row r="195" spans="1:6" x14ac:dyDescent="0.2">
      <c r="A195" s="6" t="s">
        <v>511</v>
      </c>
      <c r="B195" s="7">
        <v>1</v>
      </c>
      <c r="C195" s="7">
        <v>1</v>
      </c>
      <c r="D195" s="7">
        <v>1</v>
      </c>
      <c r="E195" s="6" t="s">
        <v>3</v>
      </c>
      <c r="F195" s="6" t="s">
        <v>512</v>
      </c>
    </row>
    <row r="196" spans="1:6" x14ac:dyDescent="0.2">
      <c r="A196" s="6" t="s">
        <v>513</v>
      </c>
      <c r="B196" s="7">
        <v>1</v>
      </c>
      <c r="C196" s="7">
        <v>1</v>
      </c>
      <c r="D196" s="7">
        <v>1</v>
      </c>
      <c r="E196" s="6" t="s">
        <v>3</v>
      </c>
      <c r="F196" s="6" t="s">
        <v>514</v>
      </c>
    </row>
    <row r="197" spans="1:6" x14ac:dyDescent="0.2">
      <c r="A197" s="6" t="s">
        <v>515</v>
      </c>
      <c r="B197" s="7">
        <v>1</v>
      </c>
      <c r="C197" s="7">
        <v>1</v>
      </c>
      <c r="D197" s="7">
        <v>1</v>
      </c>
      <c r="E197" s="6" t="s">
        <v>3</v>
      </c>
      <c r="F197" s="6" t="s">
        <v>516</v>
      </c>
    </row>
    <row r="198" spans="1:6" x14ac:dyDescent="0.2">
      <c r="A198" s="6" t="s">
        <v>517</v>
      </c>
      <c r="B198" s="7">
        <v>0</v>
      </c>
      <c r="C198" s="7">
        <v>0</v>
      </c>
      <c r="D198" s="7">
        <v>1</v>
      </c>
      <c r="E198" s="6" t="s">
        <v>3</v>
      </c>
      <c r="F198" s="6" t="s">
        <v>518</v>
      </c>
    </row>
    <row r="199" spans="1:6" x14ac:dyDescent="0.2">
      <c r="A199" s="6" t="s">
        <v>519</v>
      </c>
      <c r="B199" s="7">
        <v>0</v>
      </c>
      <c r="C199" s="7">
        <v>0</v>
      </c>
      <c r="D199" s="7">
        <v>1</v>
      </c>
      <c r="E199" s="6" t="s">
        <v>3</v>
      </c>
      <c r="F199" s="6" t="s">
        <v>520</v>
      </c>
    </row>
    <row r="200" spans="1:6" x14ac:dyDescent="0.2">
      <c r="A200" s="6" t="s">
        <v>521</v>
      </c>
      <c r="B200" s="7">
        <v>1</v>
      </c>
      <c r="C200" s="7">
        <v>1</v>
      </c>
      <c r="D200" s="7">
        <v>1</v>
      </c>
      <c r="E200" s="6" t="s">
        <v>3</v>
      </c>
      <c r="F200" s="6" t="s">
        <v>522</v>
      </c>
    </row>
    <row r="201" spans="1:6" x14ac:dyDescent="0.2">
      <c r="A201" s="6" t="s">
        <v>51</v>
      </c>
      <c r="B201" s="7">
        <v>1</v>
      </c>
      <c r="C201" s="7">
        <v>0</v>
      </c>
      <c r="D201" s="7">
        <v>0</v>
      </c>
      <c r="E201" s="6" t="s">
        <v>3</v>
      </c>
      <c r="F201" s="6" t="s">
        <v>231</v>
      </c>
    </row>
    <row r="202" spans="1:6" x14ac:dyDescent="0.2">
      <c r="A202" s="6" t="s">
        <v>523</v>
      </c>
      <c r="B202" s="7">
        <v>0</v>
      </c>
      <c r="C202" s="7">
        <v>1</v>
      </c>
      <c r="D202" s="7">
        <v>1</v>
      </c>
      <c r="E202" s="6" t="s">
        <v>3</v>
      </c>
      <c r="F202" s="6" t="s">
        <v>524</v>
      </c>
    </row>
    <row r="203" spans="1:6" x14ac:dyDescent="0.2">
      <c r="A203" s="6" t="s">
        <v>53</v>
      </c>
      <c r="B203" s="7">
        <v>1</v>
      </c>
      <c r="C203" s="7">
        <v>0</v>
      </c>
      <c r="D203" s="7">
        <v>0</v>
      </c>
      <c r="E203" s="6" t="s">
        <v>3</v>
      </c>
      <c r="F203" s="6" t="s">
        <v>232</v>
      </c>
    </row>
    <row r="204" spans="1:6" x14ac:dyDescent="0.2">
      <c r="A204" s="6" t="s">
        <v>525</v>
      </c>
      <c r="B204" s="7">
        <v>1</v>
      </c>
      <c r="C204" s="7">
        <v>1</v>
      </c>
      <c r="D204" s="7">
        <v>1</v>
      </c>
      <c r="E204" s="6" t="s">
        <v>3</v>
      </c>
      <c r="F204" s="6" t="s">
        <v>526</v>
      </c>
    </row>
    <row r="205" spans="1:6" x14ac:dyDescent="0.2">
      <c r="A205" s="6" t="s">
        <v>527</v>
      </c>
      <c r="B205" s="7">
        <v>0</v>
      </c>
      <c r="C205" s="7">
        <v>0</v>
      </c>
      <c r="D205" s="7">
        <v>1</v>
      </c>
      <c r="E205" s="6" t="s">
        <v>3</v>
      </c>
      <c r="F205" s="6" t="s">
        <v>528</v>
      </c>
    </row>
    <row r="206" spans="1:6" x14ac:dyDescent="0.2">
      <c r="A206" s="6" t="s">
        <v>529</v>
      </c>
      <c r="B206" s="7">
        <v>1</v>
      </c>
      <c r="C206" s="7">
        <v>1</v>
      </c>
      <c r="D206" s="7">
        <v>1</v>
      </c>
      <c r="E206" s="6" t="s">
        <v>3</v>
      </c>
      <c r="F206" s="6" t="s">
        <v>530</v>
      </c>
    </row>
    <row r="207" spans="1:6" x14ac:dyDescent="0.2">
      <c r="A207" s="6" t="s">
        <v>531</v>
      </c>
      <c r="B207" s="7">
        <v>1</v>
      </c>
      <c r="C207" s="7">
        <v>0</v>
      </c>
      <c r="D207" s="7">
        <v>0</v>
      </c>
      <c r="E207" s="6" t="s">
        <v>3</v>
      </c>
      <c r="F207" s="6" t="s">
        <v>532</v>
      </c>
    </row>
    <row r="208" spans="1:6" x14ac:dyDescent="0.2">
      <c r="A208" s="6" t="s">
        <v>533</v>
      </c>
      <c r="B208" s="7">
        <v>1</v>
      </c>
      <c r="C208" s="7">
        <v>1</v>
      </c>
      <c r="D208" s="7">
        <v>1</v>
      </c>
      <c r="E208" s="6" t="s">
        <v>3</v>
      </c>
      <c r="F208" s="6" t="s">
        <v>534</v>
      </c>
    </row>
    <row r="209" spans="1:6" x14ac:dyDescent="0.2">
      <c r="A209" s="6" t="s">
        <v>535</v>
      </c>
      <c r="B209" s="7">
        <v>1</v>
      </c>
      <c r="C209" s="7">
        <v>1</v>
      </c>
      <c r="D209" s="7">
        <v>1</v>
      </c>
      <c r="E209" s="6" t="s">
        <v>3</v>
      </c>
      <c r="F209" s="6" t="s">
        <v>536</v>
      </c>
    </row>
    <row r="210" spans="1:6" x14ac:dyDescent="0.2">
      <c r="A210" s="6" t="s">
        <v>537</v>
      </c>
      <c r="B210" s="7">
        <v>1</v>
      </c>
      <c r="C210" s="7">
        <v>1</v>
      </c>
      <c r="D210" s="7">
        <v>1</v>
      </c>
      <c r="E210" s="6" t="s">
        <v>3</v>
      </c>
      <c r="F210" s="6" t="s">
        <v>538</v>
      </c>
    </row>
    <row r="211" spans="1:6" x14ac:dyDescent="0.2">
      <c r="A211" s="6" t="s">
        <v>56</v>
      </c>
      <c r="B211" s="7">
        <v>1</v>
      </c>
      <c r="C211" s="7">
        <v>1</v>
      </c>
      <c r="D211" s="7">
        <v>1</v>
      </c>
      <c r="E211" s="6" t="s">
        <v>3</v>
      </c>
      <c r="F211" s="6" t="s">
        <v>233</v>
      </c>
    </row>
    <row r="212" spans="1:6" x14ac:dyDescent="0.2">
      <c r="A212" s="6" t="s">
        <v>58</v>
      </c>
      <c r="B212" s="7">
        <v>1</v>
      </c>
      <c r="C212" s="7">
        <v>0</v>
      </c>
      <c r="D212" s="7">
        <v>0</v>
      </c>
      <c r="E212" s="6" t="s">
        <v>3</v>
      </c>
      <c r="F212" s="6" t="s">
        <v>234</v>
      </c>
    </row>
    <row r="213" spans="1:6" x14ac:dyDescent="0.2">
      <c r="A213" s="6" t="s">
        <v>539</v>
      </c>
      <c r="B213" s="7">
        <v>0</v>
      </c>
      <c r="C213" s="7">
        <v>1</v>
      </c>
      <c r="D213" s="7">
        <v>1</v>
      </c>
      <c r="E213" s="6" t="s">
        <v>3</v>
      </c>
      <c r="F213" s="6" t="s">
        <v>540</v>
      </c>
    </row>
    <row r="214" spans="1:6" x14ac:dyDescent="0.2">
      <c r="A214" s="6" t="s">
        <v>59</v>
      </c>
      <c r="B214" s="7">
        <v>1</v>
      </c>
      <c r="C214" s="7">
        <v>0</v>
      </c>
      <c r="D214" s="7">
        <v>0</v>
      </c>
      <c r="E214" s="6" t="s">
        <v>3</v>
      </c>
      <c r="F214" s="6" t="s">
        <v>235</v>
      </c>
    </row>
    <row r="215" spans="1:6" x14ac:dyDescent="0.2">
      <c r="A215" s="6" t="s">
        <v>541</v>
      </c>
      <c r="B215" s="7">
        <v>1</v>
      </c>
      <c r="C215" s="7">
        <v>1</v>
      </c>
      <c r="D215" s="7">
        <v>1</v>
      </c>
      <c r="E215" s="6" t="s">
        <v>3</v>
      </c>
      <c r="F215" s="6" t="s">
        <v>542</v>
      </c>
    </row>
    <row r="216" spans="1:6" x14ac:dyDescent="0.2">
      <c r="A216" s="6" t="s">
        <v>543</v>
      </c>
      <c r="B216" s="7">
        <v>1</v>
      </c>
      <c r="C216" s="7">
        <v>1</v>
      </c>
      <c r="D216" s="7">
        <v>1</v>
      </c>
      <c r="E216" s="6" t="s">
        <v>3</v>
      </c>
      <c r="F216" s="6" t="s">
        <v>544</v>
      </c>
    </row>
    <row r="217" spans="1:6" x14ac:dyDescent="0.2">
      <c r="A217" s="6" t="s">
        <v>545</v>
      </c>
      <c r="B217" s="7">
        <v>0</v>
      </c>
      <c r="C217" s="7">
        <v>1</v>
      </c>
      <c r="D217" s="7">
        <v>1</v>
      </c>
      <c r="E217" s="6" t="s">
        <v>3</v>
      </c>
      <c r="F217" s="6" t="s">
        <v>546</v>
      </c>
    </row>
    <row r="218" spans="1:6" x14ac:dyDescent="0.2">
      <c r="A218" s="6" t="s">
        <v>547</v>
      </c>
      <c r="B218" s="7">
        <v>0</v>
      </c>
      <c r="C218" s="7">
        <v>1</v>
      </c>
      <c r="D218" s="7">
        <v>1</v>
      </c>
      <c r="E218" s="6" t="s">
        <v>3</v>
      </c>
      <c r="F218" s="6" t="s">
        <v>548</v>
      </c>
    </row>
    <row r="219" spans="1:6" x14ac:dyDescent="0.2">
      <c r="A219" s="6" t="s">
        <v>549</v>
      </c>
      <c r="B219" s="7">
        <v>0</v>
      </c>
      <c r="C219" s="7">
        <v>1</v>
      </c>
      <c r="D219" s="7">
        <v>1</v>
      </c>
      <c r="E219" s="6" t="s">
        <v>3</v>
      </c>
      <c r="F219" s="6" t="s">
        <v>550</v>
      </c>
    </row>
    <row r="220" spans="1:6" x14ac:dyDescent="0.2">
      <c r="A220" s="6" t="s">
        <v>551</v>
      </c>
      <c r="B220" s="7">
        <v>0</v>
      </c>
      <c r="C220" s="7">
        <v>0</v>
      </c>
      <c r="D220" s="7">
        <v>1</v>
      </c>
      <c r="E220" s="6" t="s">
        <v>3</v>
      </c>
      <c r="F220" s="6" t="s">
        <v>552</v>
      </c>
    </row>
    <row r="221" spans="1:6" x14ac:dyDescent="0.2">
      <c r="A221" s="6" t="s">
        <v>60</v>
      </c>
      <c r="B221" s="7">
        <v>0</v>
      </c>
      <c r="C221" s="7">
        <v>0</v>
      </c>
      <c r="D221" s="7">
        <v>1</v>
      </c>
      <c r="E221" s="6" t="s">
        <v>3</v>
      </c>
      <c r="F221" s="6" t="s">
        <v>236</v>
      </c>
    </row>
    <row r="222" spans="1:6" x14ac:dyDescent="0.2">
      <c r="A222" s="6" t="s">
        <v>553</v>
      </c>
      <c r="B222" s="7">
        <v>1</v>
      </c>
      <c r="C222" s="7">
        <v>1</v>
      </c>
      <c r="D222" s="7">
        <v>1</v>
      </c>
      <c r="E222" s="6" t="s">
        <v>3</v>
      </c>
      <c r="F222" s="6" t="s">
        <v>554</v>
      </c>
    </row>
    <row r="223" spans="1:6" x14ac:dyDescent="0.2">
      <c r="A223" s="6" t="s">
        <v>555</v>
      </c>
      <c r="B223" s="7">
        <v>0</v>
      </c>
      <c r="C223" s="7">
        <v>1</v>
      </c>
      <c r="D223" s="7">
        <v>1</v>
      </c>
      <c r="E223" s="6" t="s">
        <v>3</v>
      </c>
      <c r="F223" s="6" t="s">
        <v>556</v>
      </c>
    </row>
    <row r="224" spans="1:6" x14ac:dyDescent="0.2">
      <c r="A224" s="6" t="s">
        <v>557</v>
      </c>
      <c r="B224" s="7">
        <v>1</v>
      </c>
      <c r="C224" s="7">
        <v>1</v>
      </c>
      <c r="D224" s="7">
        <v>1</v>
      </c>
      <c r="E224" s="6" t="s">
        <v>3</v>
      </c>
      <c r="F224" s="6" t="s">
        <v>558</v>
      </c>
    </row>
    <row r="225" spans="1:6" x14ac:dyDescent="0.2">
      <c r="A225" s="6" t="s">
        <v>559</v>
      </c>
      <c r="B225" s="7">
        <v>1</v>
      </c>
      <c r="C225" s="7">
        <v>1</v>
      </c>
      <c r="D225" s="7">
        <v>1</v>
      </c>
      <c r="E225" s="6" t="s">
        <v>3</v>
      </c>
      <c r="F225" s="6" t="s">
        <v>560</v>
      </c>
    </row>
    <row r="226" spans="1:6" x14ac:dyDescent="0.2">
      <c r="A226" s="6" t="s">
        <v>61</v>
      </c>
      <c r="B226" s="7">
        <v>1</v>
      </c>
      <c r="C226" s="7">
        <v>1</v>
      </c>
      <c r="D226" s="7">
        <v>1</v>
      </c>
      <c r="E226" s="6" t="s">
        <v>3</v>
      </c>
      <c r="F226" s="6" t="s">
        <v>237</v>
      </c>
    </row>
    <row r="227" spans="1:6" x14ac:dyDescent="0.2">
      <c r="A227" s="6" t="s">
        <v>561</v>
      </c>
      <c r="B227" s="7">
        <v>1</v>
      </c>
      <c r="C227" s="7">
        <v>1</v>
      </c>
      <c r="D227" s="7">
        <v>1</v>
      </c>
      <c r="E227" s="6" t="s">
        <v>3</v>
      </c>
      <c r="F227" s="6" t="s">
        <v>562</v>
      </c>
    </row>
    <row r="228" spans="1:6" x14ac:dyDescent="0.2">
      <c r="A228" s="6" t="s">
        <v>563</v>
      </c>
      <c r="B228" s="7">
        <v>1</v>
      </c>
      <c r="C228" s="7">
        <v>1</v>
      </c>
      <c r="D228" s="7">
        <v>1</v>
      </c>
      <c r="E228" s="6" t="s">
        <v>3</v>
      </c>
      <c r="F228" s="6" t="s">
        <v>564</v>
      </c>
    </row>
    <row r="229" spans="1:6" x14ac:dyDescent="0.2">
      <c r="A229" s="6" t="s">
        <v>62</v>
      </c>
      <c r="B229" s="7">
        <v>1</v>
      </c>
      <c r="C229" s="7">
        <v>1</v>
      </c>
      <c r="D229" s="7">
        <v>1</v>
      </c>
      <c r="E229" s="6" t="s">
        <v>3</v>
      </c>
      <c r="F229" s="6" t="s">
        <v>238</v>
      </c>
    </row>
    <row r="230" spans="1:6" x14ac:dyDescent="0.2">
      <c r="A230" s="6" t="s">
        <v>63</v>
      </c>
      <c r="B230" s="7">
        <v>1</v>
      </c>
      <c r="C230" s="7">
        <v>1</v>
      </c>
      <c r="D230" s="7">
        <v>1</v>
      </c>
      <c r="E230" s="6" t="s">
        <v>3</v>
      </c>
      <c r="F230" s="6" t="s">
        <v>239</v>
      </c>
    </row>
    <row r="231" spans="1:6" x14ac:dyDescent="0.2">
      <c r="A231" s="6" t="s">
        <v>64</v>
      </c>
      <c r="B231" s="7">
        <v>1</v>
      </c>
      <c r="C231" s="7">
        <v>1</v>
      </c>
      <c r="D231" s="7">
        <v>1</v>
      </c>
      <c r="E231" s="6" t="s">
        <v>3</v>
      </c>
      <c r="F231" s="6" t="s">
        <v>240</v>
      </c>
    </row>
    <row r="232" spans="1:6" x14ac:dyDescent="0.2">
      <c r="A232" s="6" t="s">
        <v>565</v>
      </c>
      <c r="B232" s="7">
        <v>1</v>
      </c>
      <c r="C232" s="7">
        <v>1</v>
      </c>
      <c r="D232" s="7">
        <v>1</v>
      </c>
      <c r="E232" s="6" t="s">
        <v>3</v>
      </c>
      <c r="F232" s="6" t="s">
        <v>566</v>
      </c>
    </row>
    <row r="233" spans="1:6" x14ac:dyDescent="0.2">
      <c r="A233" s="6" t="s">
        <v>567</v>
      </c>
      <c r="B233" s="7">
        <v>0</v>
      </c>
      <c r="C233" s="7">
        <v>1</v>
      </c>
      <c r="D233" s="7">
        <v>1</v>
      </c>
      <c r="E233" s="6" t="s">
        <v>3</v>
      </c>
      <c r="F233" s="6" t="s">
        <v>568</v>
      </c>
    </row>
    <row r="234" spans="1:6" x14ac:dyDescent="0.2">
      <c r="A234" s="6" t="s">
        <v>569</v>
      </c>
      <c r="B234" s="7">
        <v>1</v>
      </c>
      <c r="C234" s="7">
        <v>0</v>
      </c>
      <c r="D234" s="7">
        <v>0</v>
      </c>
      <c r="E234" s="6" t="s">
        <v>3</v>
      </c>
      <c r="F234" s="6" t="s">
        <v>570</v>
      </c>
    </row>
    <row r="235" spans="1:6" x14ac:dyDescent="0.2">
      <c r="A235" s="6" t="s">
        <v>571</v>
      </c>
      <c r="B235" s="7">
        <v>0</v>
      </c>
      <c r="C235" s="7">
        <v>1</v>
      </c>
      <c r="D235" s="7">
        <v>1</v>
      </c>
      <c r="E235" s="6" t="s">
        <v>3</v>
      </c>
      <c r="F235" s="6" t="s">
        <v>572</v>
      </c>
    </row>
    <row r="236" spans="1:6" x14ac:dyDescent="0.2">
      <c r="A236" s="6" t="s">
        <v>67</v>
      </c>
      <c r="B236" s="7">
        <v>1</v>
      </c>
      <c r="C236" s="7">
        <v>1</v>
      </c>
      <c r="D236" s="7">
        <v>1</v>
      </c>
      <c r="E236" s="6" t="s">
        <v>3</v>
      </c>
      <c r="F236" s="6" t="s">
        <v>241</v>
      </c>
    </row>
    <row r="237" spans="1:6" x14ac:dyDescent="0.2">
      <c r="A237" s="6" t="s">
        <v>573</v>
      </c>
      <c r="B237" s="7">
        <v>0</v>
      </c>
      <c r="C237" s="7">
        <v>0</v>
      </c>
      <c r="D237" s="7">
        <v>1</v>
      </c>
      <c r="E237" s="6" t="s">
        <v>3</v>
      </c>
      <c r="F237" s="6" t="s">
        <v>574</v>
      </c>
    </row>
    <row r="238" spans="1:6" x14ac:dyDescent="0.2">
      <c r="A238" s="6" t="s">
        <v>68</v>
      </c>
      <c r="B238" s="7">
        <v>1</v>
      </c>
      <c r="C238" s="7">
        <v>1</v>
      </c>
      <c r="D238" s="7">
        <v>1</v>
      </c>
      <c r="E238" s="6" t="s">
        <v>3</v>
      </c>
      <c r="F238" s="6" t="s">
        <v>242</v>
      </c>
    </row>
    <row r="239" spans="1:6" x14ac:dyDescent="0.2">
      <c r="A239" s="6" t="s">
        <v>69</v>
      </c>
      <c r="B239" s="7">
        <v>1</v>
      </c>
      <c r="C239" s="7">
        <v>1</v>
      </c>
      <c r="D239" s="7">
        <v>1</v>
      </c>
      <c r="E239" s="6" t="s">
        <v>3</v>
      </c>
      <c r="F239" s="6" t="s">
        <v>243</v>
      </c>
    </row>
    <row r="240" spans="1:6" x14ac:dyDescent="0.2">
      <c r="A240" s="6" t="s">
        <v>575</v>
      </c>
      <c r="B240" s="7">
        <v>0</v>
      </c>
      <c r="C240" s="7">
        <v>1</v>
      </c>
      <c r="D240" s="7">
        <v>1</v>
      </c>
      <c r="E240" s="6" t="s">
        <v>3</v>
      </c>
      <c r="F240" s="6" t="s">
        <v>576</v>
      </c>
    </row>
    <row r="241" spans="1:6" x14ac:dyDescent="0.2">
      <c r="A241" s="6" t="s">
        <v>577</v>
      </c>
      <c r="B241" s="7">
        <v>1</v>
      </c>
      <c r="C241" s="7">
        <v>1</v>
      </c>
      <c r="D241" s="7">
        <v>1</v>
      </c>
      <c r="E241" s="6" t="s">
        <v>3</v>
      </c>
      <c r="F241" s="6" t="s">
        <v>578</v>
      </c>
    </row>
    <row r="242" spans="1:6" x14ac:dyDescent="0.2">
      <c r="A242" s="6" t="s">
        <v>579</v>
      </c>
      <c r="B242" s="7">
        <v>1</v>
      </c>
      <c r="C242" s="7">
        <v>1</v>
      </c>
      <c r="D242" s="7">
        <v>1</v>
      </c>
      <c r="E242" s="6" t="s">
        <v>3</v>
      </c>
      <c r="F242" s="6" t="s">
        <v>580</v>
      </c>
    </row>
    <row r="243" spans="1:6" x14ac:dyDescent="0.2">
      <c r="A243" s="6" t="s">
        <v>73</v>
      </c>
      <c r="B243" s="7">
        <v>1</v>
      </c>
      <c r="C243" s="7">
        <v>1</v>
      </c>
      <c r="D243" s="7">
        <v>1</v>
      </c>
      <c r="E243" s="6" t="s">
        <v>3</v>
      </c>
      <c r="F243" s="6" t="s">
        <v>245</v>
      </c>
    </row>
    <row r="244" spans="1:6" x14ac:dyDescent="0.2">
      <c r="A244" s="6" t="s">
        <v>581</v>
      </c>
      <c r="B244" s="7">
        <v>0</v>
      </c>
      <c r="C244" s="7">
        <v>0</v>
      </c>
      <c r="D244" s="7">
        <v>1</v>
      </c>
      <c r="E244" s="6" t="s">
        <v>3</v>
      </c>
      <c r="F244" s="6" t="s">
        <v>582</v>
      </c>
    </row>
    <row r="245" spans="1:6" x14ac:dyDescent="0.2">
      <c r="A245" s="6" t="s">
        <v>583</v>
      </c>
      <c r="B245" s="7">
        <v>0</v>
      </c>
      <c r="C245" s="7">
        <v>1</v>
      </c>
      <c r="D245" s="7">
        <v>1</v>
      </c>
      <c r="E245" s="6" t="s">
        <v>3</v>
      </c>
      <c r="F245" s="6" t="s">
        <v>584</v>
      </c>
    </row>
    <row r="246" spans="1:6" x14ac:dyDescent="0.2">
      <c r="A246" s="6" t="s">
        <v>78</v>
      </c>
      <c r="B246" s="7">
        <v>1</v>
      </c>
      <c r="C246" s="7">
        <v>1</v>
      </c>
      <c r="D246" s="7">
        <v>1</v>
      </c>
      <c r="E246" s="6" t="s">
        <v>3</v>
      </c>
      <c r="F246" s="6" t="s">
        <v>247</v>
      </c>
    </row>
    <row r="247" spans="1:6" x14ac:dyDescent="0.2">
      <c r="A247" s="6" t="s">
        <v>585</v>
      </c>
      <c r="B247" s="7">
        <v>1</v>
      </c>
      <c r="C247" s="7">
        <v>1</v>
      </c>
      <c r="D247" s="7">
        <v>1</v>
      </c>
      <c r="E247" s="6" t="s">
        <v>3</v>
      </c>
      <c r="F247" s="6" t="s">
        <v>586</v>
      </c>
    </row>
    <row r="248" spans="1:6" x14ac:dyDescent="0.2">
      <c r="A248" s="6" t="s">
        <v>587</v>
      </c>
      <c r="B248" s="7">
        <v>1</v>
      </c>
      <c r="C248" s="7">
        <v>1</v>
      </c>
      <c r="D248" s="7">
        <v>1</v>
      </c>
      <c r="E248" s="6" t="s">
        <v>3</v>
      </c>
      <c r="F248" s="6" t="s">
        <v>588</v>
      </c>
    </row>
    <row r="249" spans="1:6" x14ac:dyDescent="0.2">
      <c r="A249" s="6" t="s">
        <v>589</v>
      </c>
      <c r="B249" s="7">
        <v>0</v>
      </c>
      <c r="C249" s="7">
        <v>0</v>
      </c>
      <c r="D249" s="7">
        <v>1</v>
      </c>
      <c r="E249" s="6" t="s">
        <v>3</v>
      </c>
      <c r="F249" s="6" t="s">
        <v>590</v>
      </c>
    </row>
    <row r="250" spans="1:6" x14ac:dyDescent="0.2">
      <c r="A250" s="6" t="s">
        <v>82</v>
      </c>
      <c r="B250" s="7">
        <v>1</v>
      </c>
      <c r="C250" s="7">
        <v>1</v>
      </c>
      <c r="D250" s="7">
        <v>1</v>
      </c>
      <c r="E250" s="6" t="s">
        <v>3</v>
      </c>
      <c r="F250" s="6" t="s">
        <v>248</v>
      </c>
    </row>
    <row r="251" spans="1:6" x14ac:dyDescent="0.2">
      <c r="A251" s="6" t="s">
        <v>591</v>
      </c>
      <c r="B251" s="7">
        <v>0</v>
      </c>
      <c r="C251" s="7">
        <v>1</v>
      </c>
      <c r="D251" s="7">
        <v>1</v>
      </c>
      <c r="E251" s="6" t="s">
        <v>3</v>
      </c>
      <c r="F251" s="6" t="s">
        <v>592</v>
      </c>
    </row>
    <row r="252" spans="1:6" x14ac:dyDescent="0.2">
      <c r="A252" s="6" t="s">
        <v>593</v>
      </c>
      <c r="B252" s="7">
        <v>1</v>
      </c>
      <c r="C252" s="7">
        <v>1</v>
      </c>
      <c r="D252" s="7">
        <v>1</v>
      </c>
      <c r="E252" s="6" t="s">
        <v>3</v>
      </c>
      <c r="F252" s="6" t="s">
        <v>594</v>
      </c>
    </row>
    <row r="253" spans="1:6" x14ac:dyDescent="0.2">
      <c r="A253" s="6" t="s">
        <v>83</v>
      </c>
      <c r="B253" s="7">
        <v>0</v>
      </c>
      <c r="C253" s="7">
        <v>1</v>
      </c>
      <c r="D253" s="7">
        <v>1</v>
      </c>
      <c r="E253" s="6" t="s">
        <v>3</v>
      </c>
      <c r="F253" s="6" t="s">
        <v>249</v>
      </c>
    </row>
    <row r="254" spans="1:6" x14ac:dyDescent="0.2">
      <c r="A254" s="6" t="s">
        <v>84</v>
      </c>
      <c r="B254" s="7">
        <v>1</v>
      </c>
      <c r="C254" s="7">
        <v>1</v>
      </c>
      <c r="D254" s="7">
        <v>1</v>
      </c>
      <c r="E254" s="6" t="s">
        <v>3</v>
      </c>
      <c r="F254" s="6" t="s">
        <v>250</v>
      </c>
    </row>
    <row r="255" spans="1:6" x14ac:dyDescent="0.2">
      <c r="A255" s="6" t="s">
        <v>86</v>
      </c>
      <c r="B255" s="7">
        <v>1</v>
      </c>
      <c r="C255" s="7">
        <v>1</v>
      </c>
      <c r="D255" s="7">
        <v>1</v>
      </c>
      <c r="E255" s="6" t="s">
        <v>3</v>
      </c>
      <c r="F255" s="6" t="s">
        <v>251</v>
      </c>
    </row>
    <row r="256" spans="1:6" x14ac:dyDescent="0.2">
      <c r="A256" s="6" t="s">
        <v>87</v>
      </c>
      <c r="B256" s="7">
        <v>1</v>
      </c>
      <c r="C256" s="7">
        <v>1</v>
      </c>
      <c r="D256" s="7">
        <v>1</v>
      </c>
      <c r="E256" s="6" t="s">
        <v>3</v>
      </c>
      <c r="F256" s="6" t="s">
        <v>252</v>
      </c>
    </row>
    <row r="257" spans="1:6" x14ac:dyDescent="0.2">
      <c r="A257" s="6" t="s">
        <v>595</v>
      </c>
      <c r="B257" s="7">
        <v>1</v>
      </c>
      <c r="C257" s="7">
        <v>1</v>
      </c>
      <c r="D257" s="7">
        <v>1</v>
      </c>
      <c r="E257" s="6" t="s">
        <v>3</v>
      </c>
      <c r="F257" s="6" t="s">
        <v>596</v>
      </c>
    </row>
    <row r="258" spans="1:6" x14ac:dyDescent="0.2">
      <c r="A258" s="6" t="s">
        <v>597</v>
      </c>
      <c r="B258" s="7">
        <v>0</v>
      </c>
      <c r="C258" s="7">
        <v>0</v>
      </c>
      <c r="D258" s="7">
        <v>1</v>
      </c>
      <c r="E258" s="6" t="s">
        <v>3</v>
      </c>
      <c r="F258" s="6" t="s">
        <v>598</v>
      </c>
    </row>
    <row r="259" spans="1:6" x14ac:dyDescent="0.2">
      <c r="A259" s="6" t="s">
        <v>599</v>
      </c>
      <c r="B259" s="7">
        <v>1</v>
      </c>
      <c r="C259" s="7">
        <v>1</v>
      </c>
      <c r="D259" s="7">
        <v>1</v>
      </c>
      <c r="E259" s="6" t="s">
        <v>3</v>
      </c>
      <c r="F259" s="6" t="s">
        <v>600</v>
      </c>
    </row>
    <row r="260" spans="1:6" x14ac:dyDescent="0.2">
      <c r="A260" s="6" t="s">
        <v>92</v>
      </c>
      <c r="B260" s="7">
        <v>1</v>
      </c>
      <c r="C260" s="7">
        <v>1</v>
      </c>
      <c r="D260" s="7">
        <v>1</v>
      </c>
      <c r="E260" s="6" t="s">
        <v>3</v>
      </c>
      <c r="F260" s="6" t="s">
        <v>253</v>
      </c>
    </row>
    <row r="261" spans="1:6" x14ac:dyDescent="0.2">
      <c r="A261" s="6" t="s">
        <v>93</v>
      </c>
      <c r="B261" s="7">
        <v>1</v>
      </c>
      <c r="C261" s="7">
        <v>1</v>
      </c>
      <c r="D261" s="7">
        <v>1</v>
      </c>
      <c r="E261" s="6" t="s">
        <v>3</v>
      </c>
      <c r="F261" s="6" t="s">
        <v>254</v>
      </c>
    </row>
    <row r="262" spans="1:6" x14ac:dyDescent="0.2">
      <c r="A262" s="6" t="s">
        <v>601</v>
      </c>
      <c r="B262" s="7">
        <v>0</v>
      </c>
      <c r="C262" s="7">
        <v>0</v>
      </c>
      <c r="D262" s="7">
        <v>1</v>
      </c>
      <c r="E262" s="6" t="s">
        <v>3</v>
      </c>
      <c r="F262" s="6" t="s">
        <v>602</v>
      </c>
    </row>
    <row r="263" spans="1:6" x14ac:dyDescent="0.2">
      <c r="A263" s="6" t="s">
        <v>603</v>
      </c>
      <c r="B263" s="7">
        <v>0</v>
      </c>
      <c r="C263" s="7">
        <v>0</v>
      </c>
      <c r="D263" s="7">
        <v>1</v>
      </c>
      <c r="E263" s="6" t="s">
        <v>3</v>
      </c>
      <c r="F263" s="6" t="s">
        <v>604</v>
      </c>
    </row>
    <row r="264" spans="1:6" x14ac:dyDescent="0.2">
      <c r="A264" s="6" t="s">
        <v>605</v>
      </c>
      <c r="B264" s="7">
        <v>0</v>
      </c>
      <c r="C264" s="7">
        <v>1</v>
      </c>
      <c r="D264" s="7">
        <v>1</v>
      </c>
      <c r="E264" s="6" t="s">
        <v>3</v>
      </c>
      <c r="F264" s="6" t="s">
        <v>606</v>
      </c>
    </row>
    <row r="265" spans="1:6" x14ac:dyDescent="0.2">
      <c r="A265" s="6" t="s">
        <v>607</v>
      </c>
      <c r="B265" s="7">
        <v>0</v>
      </c>
      <c r="C265" s="7">
        <v>1</v>
      </c>
      <c r="D265" s="7">
        <v>1</v>
      </c>
      <c r="E265" s="6" t="s">
        <v>3</v>
      </c>
      <c r="F265" s="6" t="s">
        <v>608</v>
      </c>
    </row>
    <row r="266" spans="1:6" x14ac:dyDescent="0.2">
      <c r="A266" s="6" t="s">
        <v>609</v>
      </c>
      <c r="B266" s="7">
        <v>1</v>
      </c>
      <c r="C266" s="7">
        <v>1</v>
      </c>
      <c r="D266" s="7">
        <v>1</v>
      </c>
      <c r="E266" s="6" t="s">
        <v>3</v>
      </c>
      <c r="F266" s="6" t="s">
        <v>610</v>
      </c>
    </row>
    <row r="267" spans="1:6" x14ac:dyDescent="0.2">
      <c r="A267" s="6" t="s">
        <v>611</v>
      </c>
      <c r="B267" s="7">
        <v>0</v>
      </c>
      <c r="C267" s="7">
        <v>0</v>
      </c>
      <c r="D267" s="7">
        <v>1</v>
      </c>
      <c r="E267" s="6" t="s">
        <v>3</v>
      </c>
      <c r="F267" s="6" t="s">
        <v>612</v>
      </c>
    </row>
    <row r="268" spans="1:6" x14ac:dyDescent="0.2">
      <c r="A268" s="6" t="s">
        <v>613</v>
      </c>
      <c r="B268" s="7">
        <v>0</v>
      </c>
      <c r="C268" s="7">
        <v>0</v>
      </c>
      <c r="D268" s="7">
        <v>1</v>
      </c>
      <c r="E268" s="6" t="s">
        <v>3</v>
      </c>
      <c r="F268" s="6" t="s">
        <v>614</v>
      </c>
    </row>
    <row r="269" spans="1:6" x14ac:dyDescent="0.2">
      <c r="A269" s="6" t="s">
        <v>615</v>
      </c>
      <c r="B269" s="7">
        <v>1</v>
      </c>
      <c r="C269" s="7">
        <v>1</v>
      </c>
      <c r="D269" s="7">
        <v>1</v>
      </c>
      <c r="E269" s="6" t="s">
        <v>3</v>
      </c>
      <c r="F269" s="6" t="s">
        <v>616</v>
      </c>
    </row>
    <row r="270" spans="1:6" x14ac:dyDescent="0.2">
      <c r="A270" s="6" t="s">
        <v>617</v>
      </c>
      <c r="B270" s="7">
        <v>0</v>
      </c>
      <c r="C270" s="7">
        <v>0</v>
      </c>
      <c r="D270" s="7">
        <v>1</v>
      </c>
      <c r="E270" s="6" t="s">
        <v>3</v>
      </c>
      <c r="F270" s="6" t="s">
        <v>618</v>
      </c>
    </row>
    <row r="271" spans="1:6" x14ac:dyDescent="0.2">
      <c r="A271" s="6" t="s">
        <v>115</v>
      </c>
      <c r="B271" s="7">
        <v>1</v>
      </c>
      <c r="C271" s="7">
        <v>1</v>
      </c>
      <c r="D271" s="7">
        <v>0</v>
      </c>
      <c r="E271" s="6" t="s">
        <v>3</v>
      </c>
      <c r="F271" s="6" t="s">
        <v>257</v>
      </c>
    </row>
    <row r="272" spans="1:6" x14ac:dyDescent="0.2">
      <c r="A272" s="6" t="s">
        <v>117</v>
      </c>
      <c r="B272" s="7">
        <v>1</v>
      </c>
      <c r="C272" s="7">
        <v>1</v>
      </c>
      <c r="D272" s="7">
        <v>1</v>
      </c>
      <c r="E272" s="6" t="s">
        <v>3</v>
      </c>
      <c r="F272" s="6" t="s">
        <v>258</v>
      </c>
    </row>
    <row r="273" spans="1:6" x14ac:dyDescent="0.2">
      <c r="A273" s="6" t="s">
        <v>619</v>
      </c>
      <c r="B273" s="7">
        <v>1</v>
      </c>
      <c r="C273" s="7">
        <v>1</v>
      </c>
      <c r="D273" s="7">
        <v>0</v>
      </c>
      <c r="E273" s="6" t="s">
        <v>3</v>
      </c>
      <c r="F273" s="6" t="s">
        <v>620</v>
      </c>
    </row>
    <row r="274" spans="1:6" x14ac:dyDescent="0.2">
      <c r="A274" s="6" t="s">
        <v>621</v>
      </c>
      <c r="B274" s="7">
        <v>1</v>
      </c>
      <c r="C274" s="7">
        <v>1</v>
      </c>
      <c r="D274" s="7">
        <v>1</v>
      </c>
      <c r="E274" s="6" t="s">
        <v>3</v>
      </c>
      <c r="F274" s="6" t="s">
        <v>622</v>
      </c>
    </row>
    <row r="275" spans="1:6" x14ac:dyDescent="0.2">
      <c r="A275" s="6" t="s">
        <v>623</v>
      </c>
      <c r="B275" s="7">
        <v>0</v>
      </c>
      <c r="C275" s="7">
        <v>1</v>
      </c>
      <c r="D275" s="7">
        <v>1</v>
      </c>
      <c r="E275" s="6" t="s">
        <v>3</v>
      </c>
      <c r="F275" s="6" t="s">
        <v>624</v>
      </c>
    </row>
    <row r="276" spans="1:6" x14ac:dyDescent="0.2">
      <c r="A276" s="6" t="s">
        <v>625</v>
      </c>
      <c r="B276" s="7">
        <v>1</v>
      </c>
      <c r="C276" s="7">
        <v>1</v>
      </c>
      <c r="D276" s="7">
        <v>1</v>
      </c>
      <c r="E276" s="6" t="s">
        <v>3</v>
      </c>
      <c r="F276" s="6" t="s">
        <v>626</v>
      </c>
    </row>
    <row r="277" spans="1:6" x14ac:dyDescent="0.2">
      <c r="A277" s="6" t="s">
        <v>627</v>
      </c>
      <c r="B277" s="7">
        <v>0</v>
      </c>
      <c r="C277" s="7">
        <v>0</v>
      </c>
      <c r="D277" s="7">
        <v>1</v>
      </c>
      <c r="E277" s="6" t="s">
        <v>3</v>
      </c>
      <c r="F277" s="6" t="s">
        <v>628</v>
      </c>
    </row>
    <row r="278" spans="1:6" x14ac:dyDescent="0.2">
      <c r="A278" s="6" t="s">
        <v>629</v>
      </c>
      <c r="B278" s="7">
        <v>0</v>
      </c>
      <c r="C278" s="7">
        <v>1</v>
      </c>
      <c r="D278" s="7">
        <v>1</v>
      </c>
      <c r="E278" s="6" t="s">
        <v>3</v>
      </c>
      <c r="F278" s="6" t="s">
        <v>630</v>
      </c>
    </row>
    <row r="279" spans="1:6" x14ac:dyDescent="0.2">
      <c r="A279" s="6" t="s">
        <v>119</v>
      </c>
      <c r="B279" s="7">
        <v>1</v>
      </c>
      <c r="C279" s="7">
        <v>1</v>
      </c>
      <c r="D279" s="7">
        <v>1</v>
      </c>
      <c r="E279" s="6" t="s">
        <v>3</v>
      </c>
      <c r="F279" s="6" t="s">
        <v>260</v>
      </c>
    </row>
    <row r="280" spans="1:6" x14ac:dyDescent="0.2">
      <c r="A280" s="6" t="s">
        <v>631</v>
      </c>
      <c r="B280" s="7">
        <v>0</v>
      </c>
      <c r="C280" s="7">
        <v>1</v>
      </c>
      <c r="D280" s="7">
        <v>1</v>
      </c>
      <c r="E280" s="6" t="s">
        <v>3</v>
      </c>
      <c r="F280" s="6" t="s">
        <v>632</v>
      </c>
    </row>
    <row r="281" spans="1:6" x14ac:dyDescent="0.2">
      <c r="A281" s="6" t="s">
        <v>121</v>
      </c>
      <c r="B281" s="7">
        <v>1</v>
      </c>
      <c r="C281" s="7">
        <v>1</v>
      </c>
      <c r="D281" s="7">
        <v>1</v>
      </c>
      <c r="E281" s="6" t="s">
        <v>3</v>
      </c>
      <c r="F281" s="6" t="s">
        <v>261</v>
      </c>
    </row>
    <row r="282" spans="1:6" x14ac:dyDescent="0.2">
      <c r="A282" s="6" t="s">
        <v>122</v>
      </c>
      <c r="B282" s="7">
        <v>1</v>
      </c>
      <c r="C282" s="7">
        <v>1</v>
      </c>
      <c r="D282" s="7">
        <v>1</v>
      </c>
      <c r="E282" s="6" t="s">
        <v>3</v>
      </c>
      <c r="F282" s="6" t="s">
        <v>262</v>
      </c>
    </row>
    <row r="283" spans="1:6" x14ac:dyDescent="0.2">
      <c r="A283" s="6" t="s">
        <v>633</v>
      </c>
      <c r="B283" s="7">
        <v>1</v>
      </c>
      <c r="C283" s="7">
        <v>1</v>
      </c>
      <c r="D283" s="7">
        <v>1</v>
      </c>
      <c r="E283" s="6" t="s">
        <v>3</v>
      </c>
      <c r="F283" s="6" t="s">
        <v>634</v>
      </c>
    </row>
    <row r="284" spans="1:6" x14ac:dyDescent="0.2">
      <c r="A284" s="6" t="s">
        <v>635</v>
      </c>
      <c r="B284" s="7">
        <v>1</v>
      </c>
      <c r="C284" s="7">
        <v>1</v>
      </c>
      <c r="D284" s="7">
        <v>1</v>
      </c>
      <c r="E284" s="6" t="s">
        <v>3</v>
      </c>
      <c r="F284" s="6" t="s">
        <v>636</v>
      </c>
    </row>
    <row r="285" spans="1:6" x14ac:dyDescent="0.2">
      <c r="A285" s="6" t="s">
        <v>637</v>
      </c>
      <c r="B285" s="7">
        <v>1</v>
      </c>
      <c r="C285" s="7">
        <v>1</v>
      </c>
      <c r="D285" s="7">
        <v>1</v>
      </c>
      <c r="E285" s="6" t="s">
        <v>3</v>
      </c>
      <c r="F285" s="6" t="s">
        <v>638</v>
      </c>
    </row>
    <row r="286" spans="1:6" x14ac:dyDescent="0.2">
      <c r="A286" s="6" t="s">
        <v>639</v>
      </c>
      <c r="B286" s="7">
        <v>1</v>
      </c>
      <c r="C286" s="7">
        <v>1</v>
      </c>
      <c r="D286" s="7">
        <v>1</v>
      </c>
      <c r="E286" s="6" t="s">
        <v>3</v>
      </c>
      <c r="F286" s="6" t="s">
        <v>640</v>
      </c>
    </row>
    <row r="287" spans="1:6" x14ac:dyDescent="0.2">
      <c r="A287" s="6" t="s">
        <v>130</v>
      </c>
      <c r="B287" s="7">
        <v>1</v>
      </c>
      <c r="C287" s="7">
        <v>1</v>
      </c>
      <c r="D287" s="7">
        <v>1</v>
      </c>
      <c r="E287" s="6" t="s">
        <v>3</v>
      </c>
      <c r="F287" s="6" t="s">
        <v>264</v>
      </c>
    </row>
    <row r="288" spans="1:6" x14ac:dyDescent="0.2">
      <c r="A288" s="6" t="s">
        <v>641</v>
      </c>
      <c r="B288" s="7">
        <v>1</v>
      </c>
      <c r="C288" s="7">
        <v>1</v>
      </c>
      <c r="D288" s="7">
        <v>1</v>
      </c>
      <c r="E288" s="6" t="s">
        <v>3</v>
      </c>
      <c r="F288" s="6" t="s">
        <v>642</v>
      </c>
    </row>
    <row r="289" spans="1:6" x14ac:dyDescent="0.2">
      <c r="A289" s="6" t="s">
        <v>643</v>
      </c>
      <c r="B289" s="7">
        <v>1</v>
      </c>
      <c r="C289" s="7">
        <v>1</v>
      </c>
      <c r="D289" s="7">
        <v>1</v>
      </c>
      <c r="E289" s="6" t="s">
        <v>3</v>
      </c>
      <c r="F289" s="6" t="s">
        <v>644</v>
      </c>
    </row>
    <row r="290" spans="1:6" x14ac:dyDescent="0.2">
      <c r="A290" s="6" t="s">
        <v>132</v>
      </c>
      <c r="B290" s="7">
        <v>1</v>
      </c>
      <c r="C290" s="7">
        <v>1</v>
      </c>
      <c r="D290" s="7">
        <v>1</v>
      </c>
      <c r="E290" s="6" t="s">
        <v>3</v>
      </c>
      <c r="F290" s="6" t="s">
        <v>265</v>
      </c>
    </row>
    <row r="291" spans="1:6" x14ac:dyDescent="0.2">
      <c r="A291" s="6" t="s">
        <v>645</v>
      </c>
      <c r="B291" s="7">
        <v>0</v>
      </c>
      <c r="C291" s="7">
        <v>1</v>
      </c>
      <c r="D291" s="7">
        <v>1</v>
      </c>
      <c r="E291" s="6" t="s">
        <v>3</v>
      </c>
      <c r="F291" s="6" t="s">
        <v>646</v>
      </c>
    </row>
    <row r="292" spans="1:6" x14ac:dyDescent="0.2">
      <c r="A292" s="6" t="s">
        <v>647</v>
      </c>
      <c r="B292" s="7">
        <v>1</v>
      </c>
      <c r="C292" s="7">
        <v>0</v>
      </c>
      <c r="D292" s="7">
        <v>0</v>
      </c>
      <c r="E292" s="6" t="s">
        <v>3</v>
      </c>
      <c r="F292" s="6" t="s">
        <v>648</v>
      </c>
    </row>
    <row r="293" spans="1:6" x14ac:dyDescent="0.2">
      <c r="A293" s="6" t="s">
        <v>649</v>
      </c>
      <c r="B293" s="7">
        <v>1</v>
      </c>
      <c r="C293" s="7">
        <v>1</v>
      </c>
      <c r="D293" s="7">
        <v>1</v>
      </c>
      <c r="E293" s="6" t="s">
        <v>3</v>
      </c>
      <c r="F293" s="6" t="s">
        <v>650</v>
      </c>
    </row>
    <row r="294" spans="1:6" x14ac:dyDescent="0.2">
      <c r="A294" s="6" t="s">
        <v>651</v>
      </c>
      <c r="B294" s="7">
        <v>0</v>
      </c>
      <c r="C294" s="7">
        <v>1</v>
      </c>
      <c r="D294" s="7">
        <v>1</v>
      </c>
      <c r="E294" s="6" t="s">
        <v>3</v>
      </c>
      <c r="F294" s="6" t="s">
        <v>652</v>
      </c>
    </row>
    <row r="295" spans="1:6" x14ac:dyDescent="0.2">
      <c r="A295" s="6" t="s">
        <v>133</v>
      </c>
      <c r="B295" s="7">
        <v>1</v>
      </c>
      <c r="C295" s="7">
        <v>0</v>
      </c>
      <c r="D295" s="7">
        <v>0</v>
      </c>
      <c r="E295" s="6" t="s">
        <v>3</v>
      </c>
      <c r="F295" s="6" t="s">
        <v>266</v>
      </c>
    </row>
    <row r="296" spans="1:6" x14ac:dyDescent="0.2">
      <c r="A296" s="6" t="s">
        <v>653</v>
      </c>
      <c r="B296" s="7">
        <v>0</v>
      </c>
      <c r="C296" s="7">
        <v>1</v>
      </c>
      <c r="D296" s="7">
        <v>1</v>
      </c>
      <c r="E296" s="6" t="s">
        <v>3</v>
      </c>
      <c r="F296" s="6" t="s">
        <v>654</v>
      </c>
    </row>
    <row r="297" spans="1:6" x14ac:dyDescent="0.2">
      <c r="A297" s="6" t="s">
        <v>655</v>
      </c>
      <c r="B297" s="7">
        <v>1</v>
      </c>
      <c r="C297" s="7">
        <v>1</v>
      </c>
      <c r="D297" s="7">
        <v>1</v>
      </c>
      <c r="E297" s="6" t="s">
        <v>3</v>
      </c>
      <c r="F297" s="6" t="s">
        <v>656</v>
      </c>
    </row>
    <row r="298" spans="1:6" x14ac:dyDescent="0.2">
      <c r="A298" s="6" t="s">
        <v>657</v>
      </c>
      <c r="B298" s="7">
        <v>1</v>
      </c>
      <c r="C298" s="7">
        <v>1</v>
      </c>
      <c r="D298" s="7">
        <v>1</v>
      </c>
      <c r="E298" s="6" t="s">
        <v>3</v>
      </c>
      <c r="F298" s="6" t="s">
        <v>658</v>
      </c>
    </row>
    <row r="299" spans="1:6" x14ac:dyDescent="0.2">
      <c r="A299" s="6" t="s">
        <v>659</v>
      </c>
      <c r="B299" s="7">
        <v>1</v>
      </c>
      <c r="C299" s="7">
        <v>1</v>
      </c>
      <c r="D299" s="7">
        <v>1</v>
      </c>
      <c r="E299" s="6" t="s">
        <v>3</v>
      </c>
      <c r="F299" s="6" t="s">
        <v>660</v>
      </c>
    </row>
    <row r="300" spans="1:6" x14ac:dyDescent="0.2">
      <c r="A300" s="6" t="s">
        <v>661</v>
      </c>
      <c r="B300" s="7">
        <v>0</v>
      </c>
      <c r="C300" s="7">
        <v>0</v>
      </c>
      <c r="D300" s="7">
        <v>1</v>
      </c>
      <c r="E300" s="6" t="s">
        <v>3</v>
      </c>
      <c r="F300" s="6" t="s">
        <v>662</v>
      </c>
    </row>
    <row r="301" spans="1:6" x14ac:dyDescent="0.2">
      <c r="A301" s="6" t="s">
        <v>663</v>
      </c>
      <c r="B301" s="7">
        <v>0</v>
      </c>
      <c r="C301" s="7">
        <v>0</v>
      </c>
      <c r="D301" s="7">
        <v>1</v>
      </c>
      <c r="E301" s="6" t="s">
        <v>3</v>
      </c>
      <c r="F301" s="6" t="s">
        <v>664</v>
      </c>
    </row>
    <row r="302" spans="1:6" x14ac:dyDescent="0.2">
      <c r="A302" s="6" t="s">
        <v>665</v>
      </c>
      <c r="B302" s="7">
        <v>0</v>
      </c>
      <c r="C302" s="7">
        <v>0</v>
      </c>
      <c r="D302" s="7">
        <v>1</v>
      </c>
      <c r="E302" s="6" t="s">
        <v>3</v>
      </c>
      <c r="F302" s="6" t="s">
        <v>666</v>
      </c>
    </row>
    <row r="303" spans="1:6" x14ac:dyDescent="0.2">
      <c r="A303" s="6" t="s">
        <v>667</v>
      </c>
      <c r="B303" s="7">
        <v>1</v>
      </c>
      <c r="C303" s="7">
        <v>1</v>
      </c>
      <c r="D303" s="7">
        <v>1</v>
      </c>
      <c r="E303" s="6" t="s">
        <v>3</v>
      </c>
      <c r="F303" s="6" t="s">
        <v>668</v>
      </c>
    </row>
    <row r="304" spans="1:6" x14ac:dyDescent="0.2">
      <c r="A304" s="6" t="s">
        <v>669</v>
      </c>
      <c r="B304" s="7">
        <v>1</v>
      </c>
      <c r="C304" s="7">
        <v>1</v>
      </c>
      <c r="D304" s="7">
        <v>1</v>
      </c>
      <c r="E304" s="6" t="s">
        <v>3</v>
      </c>
      <c r="F304" s="6" t="s">
        <v>670</v>
      </c>
    </row>
    <row r="305" spans="1:6" x14ac:dyDescent="0.2">
      <c r="A305" s="6" t="s">
        <v>671</v>
      </c>
      <c r="B305" s="7">
        <v>0</v>
      </c>
      <c r="C305" s="7">
        <v>1</v>
      </c>
      <c r="D305" s="7">
        <v>1</v>
      </c>
      <c r="E305" s="6" t="s">
        <v>3</v>
      </c>
      <c r="F305" s="6" t="s">
        <v>672</v>
      </c>
    </row>
    <row r="306" spans="1:6" x14ac:dyDescent="0.2">
      <c r="A306" s="6" t="s">
        <v>673</v>
      </c>
      <c r="B306" s="7">
        <v>0</v>
      </c>
      <c r="C306" s="7">
        <v>1</v>
      </c>
      <c r="D306" s="7">
        <v>1</v>
      </c>
      <c r="E306" s="6" t="s">
        <v>3</v>
      </c>
      <c r="F306" s="6" t="s">
        <v>674</v>
      </c>
    </row>
    <row r="307" spans="1:6" x14ac:dyDescent="0.2">
      <c r="A307" s="6" t="s">
        <v>137</v>
      </c>
      <c r="B307" s="7">
        <v>1</v>
      </c>
      <c r="C307" s="7">
        <v>1</v>
      </c>
      <c r="D307" s="7">
        <v>1</v>
      </c>
      <c r="E307" s="6" t="s">
        <v>3</v>
      </c>
      <c r="F307" s="6" t="s">
        <v>268</v>
      </c>
    </row>
    <row r="308" spans="1:6" x14ac:dyDescent="0.2">
      <c r="A308" s="6" t="s">
        <v>675</v>
      </c>
      <c r="B308" s="7">
        <v>0</v>
      </c>
      <c r="C308" s="7">
        <v>0</v>
      </c>
      <c r="D308" s="7">
        <v>1</v>
      </c>
      <c r="E308" s="6" t="s">
        <v>3</v>
      </c>
      <c r="F308" s="6" t="s">
        <v>676</v>
      </c>
    </row>
    <row r="309" spans="1:6" x14ac:dyDescent="0.2">
      <c r="A309" s="6" t="s">
        <v>138</v>
      </c>
      <c r="B309" s="7">
        <v>1</v>
      </c>
      <c r="C309" s="7">
        <v>1</v>
      </c>
      <c r="D309" s="7">
        <v>1</v>
      </c>
      <c r="E309" s="6" t="s">
        <v>3</v>
      </c>
      <c r="F309" s="6" t="s">
        <v>269</v>
      </c>
    </row>
    <row r="310" spans="1:6" x14ac:dyDescent="0.2">
      <c r="A310" s="6" t="s">
        <v>139</v>
      </c>
      <c r="B310" s="7">
        <v>1</v>
      </c>
      <c r="C310" s="7">
        <v>1</v>
      </c>
      <c r="D310" s="7">
        <v>1</v>
      </c>
      <c r="E310" s="6" t="s">
        <v>3</v>
      </c>
      <c r="F310" s="6" t="s">
        <v>270</v>
      </c>
    </row>
    <row r="311" spans="1:6" x14ac:dyDescent="0.2">
      <c r="A311" s="6" t="s">
        <v>677</v>
      </c>
      <c r="B311" s="7">
        <v>0</v>
      </c>
      <c r="C311" s="7">
        <v>1</v>
      </c>
      <c r="D311" s="7">
        <v>1</v>
      </c>
      <c r="E311" s="6" t="s">
        <v>3</v>
      </c>
      <c r="F311" s="6" t="s">
        <v>678</v>
      </c>
    </row>
    <row r="312" spans="1:6" x14ac:dyDescent="0.2">
      <c r="A312" s="6" t="s">
        <v>679</v>
      </c>
      <c r="B312" s="7">
        <v>0</v>
      </c>
      <c r="C312" s="7">
        <v>1</v>
      </c>
      <c r="D312" s="7">
        <v>1</v>
      </c>
      <c r="E312" s="6" t="s">
        <v>3</v>
      </c>
      <c r="F312" s="6" t="s">
        <v>680</v>
      </c>
    </row>
    <row r="313" spans="1:6" x14ac:dyDescent="0.2">
      <c r="A313" s="6" t="s">
        <v>140</v>
      </c>
      <c r="B313" s="7">
        <v>1</v>
      </c>
      <c r="C313" s="7">
        <v>0</v>
      </c>
      <c r="D313" s="7">
        <v>0</v>
      </c>
      <c r="E313" s="6" t="s">
        <v>3</v>
      </c>
      <c r="F313" s="6" t="s">
        <v>271</v>
      </c>
    </row>
    <row r="314" spans="1:6" x14ac:dyDescent="0.2">
      <c r="A314" s="6" t="s">
        <v>141</v>
      </c>
      <c r="B314" s="7">
        <v>1</v>
      </c>
      <c r="C314" s="7">
        <v>0</v>
      </c>
      <c r="D314" s="7">
        <v>0</v>
      </c>
      <c r="E314" s="6" t="s">
        <v>3</v>
      </c>
      <c r="F314" s="6" t="s">
        <v>272</v>
      </c>
    </row>
    <row r="315" spans="1:6" x14ac:dyDescent="0.2">
      <c r="A315" s="6" t="s">
        <v>681</v>
      </c>
      <c r="B315" s="7">
        <v>0</v>
      </c>
      <c r="C315" s="7">
        <v>0</v>
      </c>
      <c r="D315" s="7">
        <v>1</v>
      </c>
      <c r="E315" s="6" t="s">
        <v>3</v>
      </c>
      <c r="F315" s="6" t="s">
        <v>682</v>
      </c>
    </row>
    <row r="316" spans="1:6" x14ac:dyDescent="0.2">
      <c r="A316" s="6" t="s">
        <v>683</v>
      </c>
      <c r="B316" s="7">
        <v>0</v>
      </c>
      <c r="C316" s="7">
        <v>0</v>
      </c>
      <c r="D316" s="7">
        <v>1</v>
      </c>
      <c r="E316" s="6" t="s">
        <v>3</v>
      </c>
      <c r="F316" s="6" t="s">
        <v>684</v>
      </c>
    </row>
    <row r="317" spans="1:6" x14ac:dyDescent="0.2">
      <c r="A317" s="6" t="s">
        <v>142</v>
      </c>
      <c r="B317" s="7">
        <v>1</v>
      </c>
      <c r="C317" s="7">
        <v>1</v>
      </c>
      <c r="D317" s="7">
        <v>1</v>
      </c>
      <c r="E317" s="6" t="s">
        <v>3</v>
      </c>
      <c r="F317" s="6" t="s">
        <v>273</v>
      </c>
    </row>
    <row r="318" spans="1:6" x14ac:dyDescent="0.2">
      <c r="A318" s="6" t="s">
        <v>685</v>
      </c>
      <c r="B318" s="7">
        <v>1</v>
      </c>
      <c r="C318" s="7">
        <v>1</v>
      </c>
      <c r="D318" s="7">
        <v>1</v>
      </c>
      <c r="E318" s="6" t="s">
        <v>3</v>
      </c>
      <c r="F318" s="6" t="s">
        <v>686</v>
      </c>
    </row>
    <row r="319" spans="1:6" x14ac:dyDescent="0.2">
      <c r="A319" s="6" t="s">
        <v>687</v>
      </c>
      <c r="B319" s="7">
        <v>1</v>
      </c>
      <c r="C319" s="7">
        <v>1</v>
      </c>
      <c r="D319" s="7">
        <v>1</v>
      </c>
      <c r="E319" s="6" t="s">
        <v>3</v>
      </c>
      <c r="F319" s="6" t="s">
        <v>688</v>
      </c>
    </row>
    <row r="320" spans="1:6" x14ac:dyDescent="0.2">
      <c r="A320" s="6" t="s">
        <v>689</v>
      </c>
      <c r="B320" s="7">
        <v>1</v>
      </c>
      <c r="C320" s="7">
        <v>1</v>
      </c>
      <c r="D320" s="7">
        <v>1</v>
      </c>
      <c r="E320" s="6" t="s">
        <v>3</v>
      </c>
      <c r="F320" s="6" t="s">
        <v>690</v>
      </c>
    </row>
    <row r="321" spans="1:6" x14ac:dyDescent="0.2">
      <c r="A321" s="6" t="s">
        <v>691</v>
      </c>
      <c r="B321" s="7">
        <v>1</v>
      </c>
      <c r="C321" s="7">
        <v>1</v>
      </c>
      <c r="D321" s="7">
        <v>1</v>
      </c>
      <c r="E321" s="6" t="s">
        <v>3</v>
      </c>
      <c r="F321" s="6" t="s">
        <v>692</v>
      </c>
    </row>
    <row r="322" spans="1:6" x14ac:dyDescent="0.2">
      <c r="A322" s="6" t="s">
        <v>149</v>
      </c>
      <c r="B322" s="7">
        <v>1</v>
      </c>
      <c r="C322" s="7">
        <v>1</v>
      </c>
      <c r="D322" s="7">
        <v>1</v>
      </c>
      <c r="E322" s="6" t="s">
        <v>3</v>
      </c>
      <c r="F322" s="6" t="s">
        <v>275</v>
      </c>
    </row>
    <row r="323" spans="1:6" x14ac:dyDescent="0.2">
      <c r="A323" s="6" t="s">
        <v>693</v>
      </c>
      <c r="B323" s="7">
        <v>1</v>
      </c>
      <c r="C323" s="7">
        <v>0</v>
      </c>
      <c r="D323" s="7">
        <v>0</v>
      </c>
      <c r="E323" s="6" t="s">
        <v>3</v>
      </c>
      <c r="F323" s="6" t="s">
        <v>694</v>
      </c>
    </row>
    <row r="324" spans="1:6" x14ac:dyDescent="0.2">
      <c r="A324" s="6" t="s">
        <v>695</v>
      </c>
      <c r="B324" s="7">
        <v>1</v>
      </c>
      <c r="C324" s="7">
        <v>0</v>
      </c>
      <c r="D324" s="7">
        <v>0</v>
      </c>
      <c r="E324" s="6" t="s">
        <v>3</v>
      </c>
      <c r="F324" s="6" t="s">
        <v>696</v>
      </c>
    </row>
    <row r="325" spans="1:6" x14ac:dyDescent="0.2">
      <c r="A325" s="6" t="s">
        <v>697</v>
      </c>
      <c r="B325" s="7">
        <v>0</v>
      </c>
      <c r="C325" s="7">
        <v>1</v>
      </c>
      <c r="D325" s="7">
        <v>1</v>
      </c>
      <c r="E325" s="6" t="s">
        <v>3</v>
      </c>
      <c r="F325" s="6" t="s">
        <v>698</v>
      </c>
    </row>
    <row r="326" spans="1:6" x14ac:dyDescent="0.2">
      <c r="A326" s="6" t="s">
        <v>699</v>
      </c>
      <c r="B326" s="7">
        <v>0</v>
      </c>
      <c r="C326" s="7">
        <v>0</v>
      </c>
      <c r="D326" s="7">
        <v>1</v>
      </c>
      <c r="E326" s="6" t="s">
        <v>3</v>
      </c>
      <c r="F326" s="6" t="s">
        <v>700</v>
      </c>
    </row>
    <row r="327" spans="1:6" x14ac:dyDescent="0.2">
      <c r="A327" s="6" t="s">
        <v>701</v>
      </c>
      <c r="B327" s="7">
        <v>0</v>
      </c>
      <c r="C327" s="7">
        <v>0</v>
      </c>
      <c r="D327" s="7">
        <v>1</v>
      </c>
      <c r="E327" s="6" t="s">
        <v>3</v>
      </c>
      <c r="F327" s="6" t="s">
        <v>702</v>
      </c>
    </row>
    <row r="328" spans="1:6" x14ac:dyDescent="0.2">
      <c r="A328" s="6" t="s">
        <v>703</v>
      </c>
      <c r="B328" s="7">
        <v>0</v>
      </c>
      <c r="C328" s="7">
        <v>1</v>
      </c>
      <c r="D328" s="7">
        <v>1</v>
      </c>
      <c r="E328" s="6" t="s">
        <v>3</v>
      </c>
      <c r="F328" s="6" t="s">
        <v>704</v>
      </c>
    </row>
    <row r="329" spans="1:6" x14ac:dyDescent="0.2">
      <c r="A329" s="6" t="s">
        <v>705</v>
      </c>
      <c r="B329" s="7">
        <v>1</v>
      </c>
      <c r="C329" s="7">
        <v>1</v>
      </c>
      <c r="D329" s="7">
        <v>1</v>
      </c>
      <c r="E329" s="6" t="s">
        <v>3</v>
      </c>
      <c r="F329" s="6" t="s">
        <v>706</v>
      </c>
    </row>
    <row r="330" spans="1:6" x14ac:dyDescent="0.2">
      <c r="A330" s="6" t="s">
        <v>707</v>
      </c>
      <c r="B330" s="7">
        <v>0</v>
      </c>
      <c r="C330" s="7">
        <v>1</v>
      </c>
      <c r="D330" s="7">
        <v>1</v>
      </c>
      <c r="E330" s="6" t="s">
        <v>3</v>
      </c>
      <c r="F330" s="6" t="s">
        <v>708</v>
      </c>
    </row>
    <row r="331" spans="1:6" x14ac:dyDescent="0.2">
      <c r="A331" s="6" t="s">
        <v>156</v>
      </c>
      <c r="B331" s="7">
        <v>1</v>
      </c>
      <c r="C331" s="7">
        <v>0</v>
      </c>
      <c r="D331" s="7">
        <v>0</v>
      </c>
      <c r="E331" s="6" t="s">
        <v>3</v>
      </c>
      <c r="F331" s="6" t="s">
        <v>276</v>
      </c>
    </row>
    <row r="332" spans="1:6" x14ac:dyDescent="0.2">
      <c r="A332" s="6" t="s">
        <v>709</v>
      </c>
      <c r="B332" s="7">
        <v>1</v>
      </c>
      <c r="C332" s="7">
        <v>1</v>
      </c>
      <c r="D332" s="7">
        <v>1</v>
      </c>
      <c r="E332" s="6" t="s">
        <v>3</v>
      </c>
      <c r="F332" s="6" t="s">
        <v>710</v>
      </c>
    </row>
    <row r="333" spans="1:6" x14ac:dyDescent="0.2">
      <c r="A333" s="6" t="s">
        <v>711</v>
      </c>
      <c r="B333" s="7">
        <v>1</v>
      </c>
      <c r="C333" s="7">
        <v>1</v>
      </c>
      <c r="D333" s="7">
        <v>1</v>
      </c>
      <c r="E333" s="6" t="s">
        <v>3</v>
      </c>
      <c r="F333" s="6" t="s">
        <v>712</v>
      </c>
    </row>
    <row r="334" spans="1:6" x14ac:dyDescent="0.2">
      <c r="A334" s="6" t="s">
        <v>713</v>
      </c>
      <c r="B334" s="7">
        <v>0</v>
      </c>
      <c r="C334" s="7">
        <v>1</v>
      </c>
      <c r="D334" s="7">
        <v>1</v>
      </c>
      <c r="E334" s="6" t="s">
        <v>3</v>
      </c>
      <c r="F334" s="6" t="s">
        <v>714</v>
      </c>
    </row>
    <row r="335" spans="1:6" x14ac:dyDescent="0.2">
      <c r="A335" s="6" t="s">
        <v>715</v>
      </c>
      <c r="B335" s="7">
        <v>1</v>
      </c>
      <c r="C335" s="7">
        <v>1</v>
      </c>
      <c r="D335" s="7">
        <v>1</v>
      </c>
      <c r="E335" s="6" t="s">
        <v>3</v>
      </c>
      <c r="F335" s="6" t="s">
        <v>716</v>
      </c>
    </row>
    <row r="336" spans="1:6" x14ac:dyDescent="0.2">
      <c r="A336" s="6" t="s">
        <v>717</v>
      </c>
      <c r="B336" s="7">
        <v>1</v>
      </c>
      <c r="C336" s="7">
        <v>1</v>
      </c>
      <c r="D336" s="7">
        <v>1</v>
      </c>
      <c r="E336" s="6" t="s">
        <v>3</v>
      </c>
      <c r="F336" s="6" t="s">
        <v>718</v>
      </c>
    </row>
    <row r="337" spans="1:6" x14ac:dyDescent="0.2">
      <c r="A337" s="6" t="s">
        <v>719</v>
      </c>
      <c r="B337" s="7">
        <v>1</v>
      </c>
      <c r="C337" s="7">
        <v>1</v>
      </c>
      <c r="D337" s="7">
        <v>1</v>
      </c>
      <c r="E337" s="6" t="s">
        <v>3</v>
      </c>
      <c r="F337" s="6" t="s">
        <v>720</v>
      </c>
    </row>
    <row r="338" spans="1:6" x14ac:dyDescent="0.2">
      <c r="A338" s="6" t="s">
        <v>160</v>
      </c>
      <c r="B338" s="7">
        <v>1</v>
      </c>
      <c r="C338" s="7">
        <v>1</v>
      </c>
      <c r="D338" s="7">
        <v>1</v>
      </c>
      <c r="E338" s="6" t="s">
        <v>3</v>
      </c>
      <c r="F338" s="6" t="s">
        <v>279</v>
      </c>
    </row>
    <row r="339" spans="1:6" x14ac:dyDescent="0.2">
      <c r="A339" s="6" t="s">
        <v>721</v>
      </c>
      <c r="B339" s="7">
        <v>0</v>
      </c>
      <c r="C339" s="7">
        <v>1</v>
      </c>
      <c r="D339" s="7">
        <v>1</v>
      </c>
      <c r="E339" s="6" t="s">
        <v>3</v>
      </c>
      <c r="F339" s="6" t="s">
        <v>722</v>
      </c>
    </row>
    <row r="340" spans="1:6" x14ac:dyDescent="0.2">
      <c r="A340" s="6" t="s">
        <v>723</v>
      </c>
      <c r="B340" s="7">
        <v>0</v>
      </c>
      <c r="C340" s="7">
        <v>1</v>
      </c>
      <c r="D340" s="7">
        <v>1</v>
      </c>
      <c r="E340" s="6" t="s">
        <v>3</v>
      </c>
      <c r="F340" s="6" t="s">
        <v>724</v>
      </c>
    </row>
    <row r="341" spans="1:6" x14ac:dyDescent="0.2">
      <c r="A341" s="6" t="s">
        <v>725</v>
      </c>
      <c r="B341" s="7">
        <v>1</v>
      </c>
      <c r="C341" s="7">
        <v>0</v>
      </c>
      <c r="D341" s="7">
        <v>0</v>
      </c>
      <c r="E341" s="6" t="s">
        <v>3</v>
      </c>
      <c r="F341" s="6" t="s">
        <v>726</v>
      </c>
    </row>
    <row r="342" spans="1:6" x14ac:dyDescent="0.2">
      <c r="A342" s="6" t="s">
        <v>727</v>
      </c>
      <c r="B342" s="7">
        <v>0</v>
      </c>
      <c r="C342" s="7">
        <v>1</v>
      </c>
      <c r="D342" s="7">
        <v>1</v>
      </c>
      <c r="E342" s="6" t="s">
        <v>3</v>
      </c>
      <c r="F342" s="6" t="s">
        <v>728</v>
      </c>
    </row>
    <row r="343" spans="1:6" x14ac:dyDescent="0.2">
      <c r="A343" s="6" t="s">
        <v>729</v>
      </c>
      <c r="B343" s="7">
        <v>0</v>
      </c>
      <c r="C343" s="7">
        <v>1</v>
      </c>
      <c r="D343" s="7">
        <v>1</v>
      </c>
      <c r="E343" s="6" t="s">
        <v>3</v>
      </c>
      <c r="F343" s="6" t="s">
        <v>730</v>
      </c>
    </row>
    <row r="344" spans="1:6" x14ac:dyDescent="0.2">
      <c r="A344" s="6" t="s">
        <v>731</v>
      </c>
      <c r="B344" s="7">
        <v>1</v>
      </c>
      <c r="C344" s="7">
        <v>0</v>
      </c>
      <c r="D344" s="7">
        <v>0</v>
      </c>
      <c r="E344" s="6" t="s">
        <v>3</v>
      </c>
      <c r="F344" s="6" t="s">
        <v>732</v>
      </c>
    </row>
    <row r="345" spans="1:6" x14ac:dyDescent="0.2">
      <c r="A345" s="6" t="s">
        <v>733</v>
      </c>
      <c r="B345" s="7">
        <v>0</v>
      </c>
      <c r="C345" s="7">
        <v>1</v>
      </c>
      <c r="D345" s="7">
        <v>1</v>
      </c>
      <c r="E345" s="6" t="s">
        <v>3</v>
      </c>
      <c r="F345" s="6" t="s">
        <v>734</v>
      </c>
    </row>
    <row r="346" spans="1:6" x14ac:dyDescent="0.2">
      <c r="A346" s="6" t="s">
        <v>735</v>
      </c>
      <c r="B346" s="7">
        <v>0</v>
      </c>
      <c r="C346" s="7">
        <v>1</v>
      </c>
      <c r="D346" s="7">
        <v>1</v>
      </c>
      <c r="E346" s="6" t="s">
        <v>3</v>
      </c>
      <c r="F346" s="6" t="s">
        <v>736</v>
      </c>
    </row>
    <row r="347" spans="1:6" x14ac:dyDescent="0.2">
      <c r="A347" s="6" t="s">
        <v>162</v>
      </c>
      <c r="B347" s="7">
        <v>1</v>
      </c>
      <c r="C347" s="7">
        <v>0</v>
      </c>
      <c r="D347" s="7">
        <v>0</v>
      </c>
      <c r="E347" s="6" t="s">
        <v>3</v>
      </c>
      <c r="F347" s="6" t="s">
        <v>281</v>
      </c>
    </row>
    <row r="348" spans="1:6" x14ac:dyDescent="0.2">
      <c r="A348" s="6" t="s">
        <v>737</v>
      </c>
      <c r="B348" s="7">
        <v>1</v>
      </c>
      <c r="C348" s="7">
        <v>1</v>
      </c>
      <c r="D348" s="7">
        <v>1</v>
      </c>
      <c r="E348" s="6" t="s">
        <v>3</v>
      </c>
      <c r="F348" s="6" t="s">
        <v>738</v>
      </c>
    </row>
    <row r="349" spans="1:6" x14ac:dyDescent="0.2">
      <c r="A349" s="6" t="s">
        <v>739</v>
      </c>
      <c r="B349" s="7">
        <v>0</v>
      </c>
      <c r="C349" s="7">
        <v>1</v>
      </c>
      <c r="D349" s="7">
        <v>1</v>
      </c>
      <c r="E349" s="6" t="s">
        <v>3</v>
      </c>
      <c r="F349" s="6" t="s">
        <v>740</v>
      </c>
    </row>
    <row r="350" spans="1:6" x14ac:dyDescent="0.2">
      <c r="A350" s="6" t="s">
        <v>741</v>
      </c>
      <c r="B350" s="7">
        <v>1</v>
      </c>
      <c r="C350" s="7">
        <v>1</v>
      </c>
      <c r="D350" s="7">
        <v>1</v>
      </c>
      <c r="E350" s="6" t="s">
        <v>3</v>
      </c>
      <c r="F350" s="6" t="s">
        <v>742</v>
      </c>
    </row>
    <row r="351" spans="1:6" x14ac:dyDescent="0.2">
      <c r="A351" s="6" t="s">
        <v>163</v>
      </c>
      <c r="B351" s="7">
        <v>0</v>
      </c>
      <c r="C351" s="7">
        <v>1</v>
      </c>
      <c r="D351" s="7">
        <v>1</v>
      </c>
      <c r="E351" s="6" t="s">
        <v>3</v>
      </c>
      <c r="F351" s="6" t="s">
        <v>282</v>
      </c>
    </row>
    <row r="352" spans="1:6" x14ac:dyDescent="0.2">
      <c r="A352" s="6" t="s">
        <v>743</v>
      </c>
      <c r="B352" s="7">
        <v>0</v>
      </c>
      <c r="C352" s="7">
        <v>1</v>
      </c>
      <c r="D352" s="7">
        <v>1</v>
      </c>
      <c r="E352" s="6" t="s">
        <v>3</v>
      </c>
      <c r="F352" s="6" t="s">
        <v>744</v>
      </c>
    </row>
    <row r="353" spans="1:6" x14ac:dyDescent="0.2">
      <c r="A353" s="6" t="s">
        <v>745</v>
      </c>
      <c r="B353" s="7">
        <v>0</v>
      </c>
      <c r="C353" s="7">
        <v>1</v>
      </c>
      <c r="D353" s="7">
        <v>1</v>
      </c>
      <c r="E353" s="6" t="s">
        <v>3</v>
      </c>
      <c r="F353" s="6" t="s">
        <v>746</v>
      </c>
    </row>
    <row r="354" spans="1:6" x14ac:dyDescent="0.2">
      <c r="A354" s="6" t="s">
        <v>747</v>
      </c>
      <c r="B354" s="7">
        <v>0</v>
      </c>
      <c r="C354" s="7">
        <v>0</v>
      </c>
      <c r="D354" s="7">
        <v>1</v>
      </c>
      <c r="E354" s="6" t="s">
        <v>3</v>
      </c>
      <c r="F354" s="6" t="s">
        <v>748</v>
      </c>
    </row>
    <row r="355" spans="1:6" x14ac:dyDescent="0.2">
      <c r="A355" s="6" t="s">
        <v>749</v>
      </c>
      <c r="B355" s="7">
        <v>1</v>
      </c>
      <c r="C355" s="7">
        <v>1</v>
      </c>
      <c r="D355" s="7">
        <v>1</v>
      </c>
      <c r="E355" s="6" t="s">
        <v>3</v>
      </c>
      <c r="F355" s="6" t="s">
        <v>750</v>
      </c>
    </row>
    <row r="356" spans="1:6" x14ac:dyDescent="0.2">
      <c r="A356" s="6" t="s">
        <v>166</v>
      </c>
      <c r="B356" s="7">
        <v>1</v>
      </c>
      <c r="C356" s="7">
        <v>1</v>
      </c>
      <c r="D356" s="7">
        <v>1</v>
      </c>
      <c r="E356" s="6" t="s">
        <v>3</v>
      </c>
      <c r="F356" s="6" t="s">
        <v>283</v>
      </c>
    </row>
    <row r="357" spans="1:6" x14ac:dyDescent="0.2">
      <c r="A357" s="6" t="s">
        <v>167</v>
      </c>
      <c r="B357" s="7">
        <v>1</v>
      </c>
      <c r="C357" s="7">
        <v>1</v>
      </c>
      <c r="D357" s="7">
        <v>1</v>
      </c>
      <c r="E357" s="6" t="s">
        <v>3</v>
      </c>
      <c r="F357" s="6" t="s">
        <v>284</v>
      </c>
    </row>
    <row r="358" spans="1:6" x14ac:dyDescent="0.2">
      <c r="A358" s="6" t="s">
        <v>168</v>
      </c>
      <c r="B358" s="7">
        <v>1</v>
      </c>
      <c r="C358" s="7">
        <v>1</v>
      </c>
      <c r="D358" s="7">
        <v>1</v>
      </c>
      <c r="E358" s="6" t="s">
        <v>3</v>
      </c>
      <c r="F358" s="6" t="s">
        <v>285</v>
      </c>
    </row>
    <row r="359" spans="1:6" x14ac:dyDescent="0.2">
      <c r="A359" s="6" t="s">
        <v>169</v>
      </c>
      <c r="B359" s="7">
        <v>1</v>
      </c>
      <c r="C359" s="7">
        <v>1</v>
      </c>
      <c r="D359" s="7">
        <v>1</v>
      </c>
      <c r="E359" s="6" t="s">
        <v>3</v>
      </c>
      <c r="F359" s="6" t="s">
        <v>286</v>
      </c>
    </row>
    <row r="360" spans="1:6" x14ac:dyDescent="0.2">
      <c r="A360" s="6" t="s">
        <v>170</v>
      </c>
      <c r="B360" s="7">
        <v>1</v>
      </c>
      <c r="C360" s="7">
        <v>1</v>
      </c>
      <c r="D360" s="7">
        <v>1</v>
      </c>
      <c r="E360" s="6" t="s">
        <v>3</v>
      </c>
      <c r="F360" s="6" t="s">
        <v>287</v>
      </c>
    </row>
    <row r="361" spans="1:6" x14ac:dyDescent="0.2">
      <c r="A361" s="6" t="s">
        <v>174</v>
      </c>
      <c r="B361" s="7">
        <v>1</v>
      </c>
      <c r="C361" s="7">
        <v>0</v>
      </c>
      <c r="D361" s="7">
        <v>0</v>
      </c>
      <c r="E361" s="6" t="s">
        <v>3</v>
      </c>
      <c r="F361" s="6" t="s">
        <v>288</v>
      </c>
    </row>
    <row r="362" spans="1:6" x14ac:dyDescent="0.2">
      <c r="A362" s="6" t="s">
        <v>751</v>
      </c>
      <c r="B362" s="7">
        <v>1</v>
      </c>
      <c r="C362" s="7">
        <v>0</v>
      </c>
      <c r="D362" s="7">
        <v>0</v>
      </c>
      <c r="E362" s="6" t="s">
        <v>3</v>
      </c>
      <c r="F362" s="6" t="s">
        <v>752</v>
      </c>
    </row>
    <row r="363" spans="1:6" x14ac:dyDescent="0.2">
      <c r="A363" s="6" t="s">
        <v>753</v>
      </c>
      <c r="B363" s="7">
        <v>1</v>
      </c>
      <c r="C363" s="7">
        <v>1</v>
      </c>
      <c r="D363" s="7">
        <v>1</v>
      </c>
      <c r="E363" s="6" t="s">
        <v>3</v>
      </c>
      <c r="F363" s="6" t="s">
        <v>754</v>
      </c>
    </row>
    <row r="364" spans="1:6" x14ac:dyDescent="0.2">
      <c r="A364" s="6" t="s">
        <v>755</v>
      </c>
      <c r="B364" s="7">
        <v>1</v>
      </c>
      <c r="C364" s="7">
        <v>0</v>
      </c>
      <c r="D364" s="7">
        <v>0</v>
      </c>
      <c r="E364" s="6" t="s">
        <v>3</v>
      </c>
      <c r="F364" s="6" t="s">
        <v>756</v>
      </c>
    </row>
    <row r="365" spans="1:6" x14ac:dyDescent="0.2">
      <c r="A365" s="6" t="s">
        <v>757</v>
      </c>
      <c r="B365" s="7">
        <v>0</v>
      </c>
      <c r="C365" s="7">
        <v>0</v>
      </c>
      <c r="D365" s="7">
        <v>1</v>
      </c>
      <c r="E365" s="6" t="s">
        <v>3</v>
      </c>
      <c r="F365" s="6" t="s">
        <v>758</v>
      </c>
    </row>
    <row r="366" spans="1:6" x14ac:dyDescent="0.2">
      <c r="A366" s="6" t="s">
        <v>759</v>
      </c>
      <c r="B366" s="7">
        <v>1</v>
      </c>
      <c r="C366" s="7">
        <v>1</v>
      </c>
      <c r="D366" s="7">
        <v>1</v>
      </c>
      <c r="E366" s="6" t="s">
        <v>3</v>
      </c>
      <c r="F366" s="6" t="s">
        <v>760</v>
      </c>
    </row>
    <row r="367" spans="1:6" x14ac:dyDescent="0.2">
      <c r="A367" s="6" t="s">
        <v>761</v>
      </c>
      <c r="B367" s="7">
        <v>1</v>
      </c>
      <c r="C367" s="7">
        <v>1</v>
      </c>
      <c r="D367" s="7">
        <v>1</v>
      </c>
      <c r="E367" s="6" t="s">
        <v>3</v>
      </c>
      <c r="F367" s="6" t="s">
        <v>762</v>
      </c>
    </row>
    <row r="368" spans="1:6" x14ac:dyDescent="0.2">
      <c r="A368" s="6" t="s">
        <v>763</v>
      </c>
      <c r="B368" s="7">
        <v>1</v>
      </c>
      <c r="C368" s="7">
        <v>1</v>
      </c>
      <c r="D368" s="7">
        <v>1</v>
      </c>
      <c r="E368" s="6" t="s">
        <v>3</v>
      </c>
      <c r="F368" s="6" t="s">
        <v>764</v>
      </c>
    </row>
    <row r="369" spans="1:6" x14ac:dyDescent="0.2">
      <c r="A369" s="6" t="s">
        <v>765</v>
      </c>
      <c r="B369" s="7">
        <v>0</v>
      </c>
      <c r="C369" s="7">
        <v>1</v>
      </c>
      <c r="D369" s="7">
        <v>1</v>
      </c>
      <c r="E369" s="6" t="s">
        <v>3</v>
      </c>
      <c r="F369" s="6" t="s">
        <v>766</v>
      </c>
    </row>
    <row r="370" spans="1:6" x14ac:dyDescent="0.2">
      <c r="A370" s="6" t="s">
        <v>767</v>
      </c>
      <c r="B370" s="7">
        <v>1</v>
      </c>
      <c r="C370" s="7">
        <v>1</v>
      </c>
      <c r="D370" s="7">
        <v>1</v>
      </c>
      <c r="E370" s="6" t="s">
        <v>3</v>
      </c>
      <c r="F370" s="6" t="s">
        <v>768</v>
      </c>
    </row>
    <row r="371" spans="1:6" x14ac:dyDescent="0.2">
      <c r="A371" s="6" t="s">
        <v>183</v>
      </c>
      <c r="B371" s="7">
        <v>1</v>
      </c>
      <c r="C371" s="7">
        <v>1</v>
      </c>
      <c r="D371" s="7">
        <v>1</v>
      </c>
      <c r="E371" s="6" t="s">
        <v>3</v>
      </c>
      <c r="F371" s="6" t="s">
        <v>291</v>
      </c>
    </row>
    <row r="372" spans="1:6" x14ac:dyDescent="0.2">
      <c r="A372" s="6" t="s">
        <v>184</v>
      </c>
      <c r="B372" s="7">
        <v>0</v>
      </c>
      <c r="C372" s="7">
        <v>1</v>
      </c>
      <c r="D372" s="7">
        <v>1</v>
      </c>
      <c r="E372" s="6" t="s">
        <v>3</v>
      </c>
      <c r="F372" s="6" t="s">
        <v>292</v>
      </c>
    </row>
    <row r="373" spans="1:6" x14ac:dyDescent="0.2">
      <c r="A373" s="6" t="s">
        <v>769</v>
      </c>
      <c r="B373" s="7">
        <v>1</v>
      </c>
      <c r="C373" s="7">
        <v>1</v>
      </c>
      <c r="D373" s="7">
        <v>1</v>
      </c>
      <c r="E373" s="6" t="s">
        <v>3</v>
      </c>
      <c r="F373" s="6" t="s">
        <v>770</v>
      </c>
    </row>
    <row r="374" spans="1:6" x14ac:dyDescent="0.2">
      <c r="A374" s="6" t="s">
        <v>771</v>
      </c>
      <c r="B374" s="7">
        <v>0</v>
      </c>
      <c r="C374" s="7">
        <v>0</v>
      </c>
      <c r="D374" s="7">
        <v>1</v>
      </c>
      <c r="E374" s="6" t="s">
        <v>3</v>
      </c>
      <c r="F374" s="6" t="s">
        <v>772</v>
      </c>
    </row>
    <row r="375" spans="1:6" x14ac:dyDescent="0.2">
      <c r="A375" s="6" t="s">
        <v>773</v>
      </c>
      <c r="B375" s="7">
        <v>0</v>
      </c>
      <c r="C375" s="7">
        <v>0</v>
      </c>
      <c r="D375" s="7">
        <v>1</v>
      </c>
      <c r="E375" s="6" t="s">
        <v>3</v>
      </c>
      <c r="F375" s="6" t="s">
        <v>774</v>
      </c>
    </row>
    <row r="376" spans="1:6" x14ac:dyDescent="0.2">
      <c r="A376" s="6" t="s">
        <v>775</v>
      </c>
      <c r="B376" s="7">
        <v>1</v>
      </c>
      <c r="C376" s="7">
        <v>1</v>
      </c>
      <c r="D376" s="7">
        <v>1</v>
      </c>
      <c r="E376" s="6" t="s">
        <v>3</v>
      </c>
      <c r="F376" s="6" t="s">
        <v>776</v>
      </c>
    </row>
    <row r="377" spans="1:6" x14ac:dyDescent="0.2">
      <c r="A377" s="6" t="s">
        <v>777</v>
      </c>
      <c r="B377" s="7">
        <v>0</v>
      </c>
      <c r="C377" s="7">
        <v>0</v>
      </c>
      <c r="D377" s="7">
        <v>1</v>
      </c>
      <c r="E377" s="6" t="s">
        <v>3</v>
      </c>
      <c r="F377" s="6" t="s">
        <v>778</v>
      </c>
    </row>
    <row r="378" spans="1:6" x14ac:dyDescent="0.2">
      <c r="A378" s="6" t="s">
        <v>779</v>
      </c>
      <c r="B378" s="7">
        <v>0</v>
      </c>
      <c r="C378" s="7">
        <v>1</v>
      </c>
      <c r="D378" s="7">
        <v>1</v>
      </c>
      <c r="E378" s="6" t="s">
        <v>3</v>
      </c>
      <c r="F378" s="6" t="s">
        <v>780</v>
      </c>
    </row>
    <row r="379" spans="1:6" x14ac:dyDescent="0.2">
      <c r="A379" s="6" t="s">
        <v>781</v>
      </c>
      <c r="B379" s="7">
        <v>1</v>
      </c>
      <c r="C379" s="7">
        <v>1</v>
      </c>
      <c r="D379" s="7">
        <v>1</v>
      </c>
      <c r="E379" s="6" t="s">
        <v>3</v>
      </c>
      <c r="F379" s="6" t="s">
        <v>782</v>
      </c>
    </row>
    <row r="380" spans="1:6" x14ac:dyDescent="0.2">
      <c r="A380" s="6" t="s">
        <v>783</v>
      </c>
      <c r="B380" s="7">
        <v>1</v>
      </c>
      <c r="C380" s="7">
        <v>1</v>
      </c>
      <c r="D380" s="7">
        <v>1</v>
      </c>
      <c r="E380" s="6" t="s">
        <v>3</v>
      </c>
      <c r="F380" s="6" t="s">
        <v>784</v>
      </c>
    </row>
    <row r="381" spans="1:6" x14ac:dyDescent="0.2">
      <c r="A381" s="6" t="s">
        <v>190</v>
      </c>
      <c r="B381" s="7">
        <v>0</v>
      </c>
      <c r="C381" s="7">
        <v>0</v>
      </c>
      <c r="D381" s="7">
        <v>1</v>
      </c>
      <c r="E381" s="6" t="s">
        <v>3</v>
      </c>
      <c r="F381" s="6" t="s">
        <v>293</v>
      </c>
    </row>
    <row r="382" spans="1:6" x14ac:dyDescent="0.2">
      <c r="A382" s="6" t="s">
        <v>191</v>
      </c>
      <c r="B382" s="7">
        <v>1</v>
      </c>
      <c r="C382" s="7">
        <v>1</v>
      </c>
      <c r="D382" s="7">
        <v>1</v>
      </c>
      <c r="E382" s="6" t="s">
        <v>3</v>
      </c>
      <c r="F382" s="6" t="s">
        <v>294</v>
      </c>
    </row>
    <row r="383" spans="1:6" x14ac:dyDescent="0.2">
      <c r="A383" s="6" t="s">
        <v>192</v>
      </c>
      <c r="B383" s="7">
        <v>1</v>
      </c>
      <c r="C383" s="7">
        <v>1</v>
      </c>
      <c r="D383" s="7">
        <v>1</v>
      </c>
      <c r="E383" s="6" t="s">
        <v>3</v>
      </c>
      <c r="F383" s="6" t="s">
        <v>295</v>
      </c>
    </row>
    <row r="384" spans="1:6" x14ac:dyDescent="0.2">
      <c r="A384" s="6" t="s">
        <v>193</v>
      </c>
      <c r="B384" s="7">
        <v>1</v>
      </c>
      <c r="C384" s="7">
        <v>1</v>
      </c>
      <c r="D384" s="7">
        <v>0</v>
      </c>
      <c r="E384" s="6" t="s">
        <v>3</v>
      </c>
      <c r="F384" s="6" t="s">
        <v>296</v>
      </c>
    </row>
    <row r="385" spans="1:6" x14ac:dyDescent="0.2">
      <c r="A385" s="6" t="s">
        <v>194</v>
      </c>
      <c r="B385" s="7">
        <v>1</v>
      </c>
      <c r="C385" s="7">
        <v>1</v>
      </c>
      <c r="D385" s="7">
        <v>0</v>
      </c>
      <c r="E385" s="6" t="s">
        <v>3</v>
      </c>
      <c r="F385" s="6" t="s">
        <v>297</v>
      </c>
    </row>
    <row r="386" spans="1:6" x14ac:dyDescent="0.2">
      <c r="A386" s="6" t="s">
        <v>785</v>
      </c>
      <c r="B386" s="7">
        <v>0</v>
      </c>
      <c r="C386" s="7">
        <v>1</v>
      </c>
      <c r="D386" s="7">
        <v>1</v>
      </c>
      <c r="E386" s="6" t="s">
        <v>3</v>
      </c>
      <c r="F386" s="6" t="s">
        <v>786</v>
      </c>
    </row>
    <row r="387" spans="1:6" x14ac:dyDescent="0.2">
      <c r="A387" s="6" t="s">
        <v>195</v>
      </c>
      <c r="B387" s="7">
        <v>0</v>
      </c>
      <c r="C387" s="7">
        <v>1</v>
      </c>
      <c r="D387" s="7">
        <v>1</v>
      </c>
      <c r="E387" s="6" t="s">
        <v>3</v>
      </c>
      <c r="F387" s="6" t="s">
        <v>298</v>
      </c>
    </row>
    <row r="388" spans="1:6" x14ac:dyDescent="0.2">
      <c r="A388" s="6" t="s">
        <v>787</v>
      </c>
      <c r="B388" s="7">
        <v>0</v>
      </c>
      <c r="C388" s="7">
        <v>1</v>
      </c>
      <c r="D388" s="7">
        <v>1</v>
      </c>
      <c r="E388" s="6" t="s">
        <v>3</v>
      </c>
      <c r="F388" s="6" t="s">
        <v>788</v>
      </c>
    </row>
    <row r="389" spans="1:6" x14ac:dyDescent="0.2">
      <c r="A389" s="6" t="s">
        <v>789</v>
      </c>
      <c r="B389" s="7">
        <v>1</v>
      </c>
      <c r="C389" s="7">
        <v>0</v>
      </c>
      <c r="D389" s="7">
        <v>0</v>
      </c>
      <c r="E389" s="6" t="s">
        <v>3</v>
      </c>
      <c r="F389" s="6" t="s">
        <v>790</v>
      </c>
    </row>
    <row r="390" spans="1:6" x14ac:dyDescent="0.2">
      <c r="A390" s="6" t="s">
        <v>791</v>
      </c>
      <c r="B390" s="7">
        <v>0</v>
      </c>
      <c r="C390" s="7">
        <v>1</v>
      </c>
      <c r="D390" s="7">
        <v>1</v>
      </c>
      <c r="E390" s="6" t="s">
        <v>3</v>
      </c>
      <c r="F390" s="6" t="s">
        <v>792</v>
      </c>
    </row>
    <row r="391" spans="1:6" x14ac:dyDescent="0.2">
      <c r="A391" s="6" t="s">
        <v>793</v>
      </c>
      <c r="B391" s="7">
        <v>0</v>
      </c>
      <c r="C391" s="7">
        <v>1</v>
      </c>
      <c r="D391" s="7">
        <v>1</v>
      </c>
      <c r="E391" s="6" t="s">
        <v>3</v>
      </c>
      <c r="F391" s="6" t="s">
        <v>794</v>
      </c>
    </row>
    <row r="392" spans="1:6" x14ac:dyDescent="0.2">
      <c r="A392" s="6" t="s">
        <v>178</v>
      </c>
      <c r="B392" s="7">
        <v>0</v>
      </c>
      <c r="C392" s="7">
        <v>1</v>
      </c>
      <c r="D392" s="7">
        <v>1</v>
      </c>
      <c r="E392" s="6" t="s">
        <v>179</v>
      </c>
      <c r="F392" s="6" t="s">
        <v>289</v>
      </c>
    </row>
  </sheetData>
  <sortState xmlns:xlrd2="http://schemas.microsoft.com/office/spreadsheetml/2017/richdata2" ref="A2:F392">
    <sortCondition ref="E130:E392"/>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Projeto</vt:lpstr>
      <vt:lpstr>Classes</vt:lpstr>
      <vt:lpstr>Disjunt</vt:lpstr>
      <vt:lpstr>Interop</vt:lpstr>
      <vt:lpstr>FatosIn</vt:lpstr>
      <vt:lpstr>TYPEENUM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2026-04-14T18:40:36Z</dcterms:created>
  <dcterms:modified xsi:type="dcterms:W3CDTF">2026-08-10T18:42:07Z</dcterms:modified>
</cp:coreProperties>
</file>